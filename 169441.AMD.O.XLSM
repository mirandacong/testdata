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690" yWindow="-15" windowWidth="18735" windowHeight="11760" tabRatio="928" firstSheet="1" activeTab="1"/>
  </bookViews>
  <sheets>
    <sheet name="__FDSCACHE__" sheetId="7" state="veryHidden" r:id="rId1"/>
    <sheet name="ImportantDisclosures" sheetId="76" r:id="rId2"/>
    <sheet name="IS" sheetId="1" r:id="rId3"/>
    <sheet name="MW-Cache" sheetId="9" state="veryHidden" r:id="rId4"/>
    <sheet name="BS" sheetId="2" r:id="rId5"/>
    <sheet name="CFS" sheetId="3" r:id="rId6"/>
    <sheet name="BU-Segment" sheetId="13" r:id="rId7"/>
    <sheet name="BU Bottoms Up" sheetId="35" r:id="rId8"/>
    <sheet name="IndexInformation" sheetId="77" r:id="rId9"/>
    <sheet name="ModPubIndex" sheetId="78" r:id="rId10"/>
  </sheets>
  <externalReferences>
    <externalReference r:id="rId11"/>
    <externalReference r:id="rId12"/>
  </externalReferences>
  <definedNames>
    <definedName name="__FDS_HYPERLINK_TOGGLE_STATE__" hidden="1">"ON"</definedName>
    <definedName name="__FDS_UNIQUE_RANGE_ID_GENERATOR_COUNTER" hidden="1">1</definedName>
    <definedName name="_1__FDSAUDITLINK__" localSheetId="7" hidden="1">{"fdsup://Directions/FactSet Auditing Viewer?action=AUDIT_VALUE&amp;DB=129&amp;ID1=03265410&amp;VALUEID=02001&amp;SDATE=201103&amp;PERIODTYPE=QTR_STD&amp;SCFT=3&amp;window=popup_no_bar&amp;width=385&amp;height=120&amp;START_MAXIMIZED=FALSE&amp;creator=factset&amp;display_string=Audit"}</definedName>
    <definedName name="_1__FDSAUDITLINK__" hidden="1">{"fdsup://Directions/FactSet Auditing Viewer?action=AUDIT_VALUE&amp;DB=129&amp;ID1=03265410&amp;VALUEID=02001&amp;SDATE=201103&amp;PERIODTYPE=QTR_STD&amp;SCFT=3&amp;window=popup_no_bar&amp;width=385&amp;height=120&amp;START_MAXIMIZED=FALSE&amp;creator=factset&amp;display_string=Audit"}</definedName>
    <definedName name="_10__FDSAUDITLINK__" localSheetId="7" hidden="1">{"fdsup://Directions/FactSet Auditing Viewer?action=AUDIT_VALUE&amp;DB=129&amp;ID1=74752510&amp;VALUEID=05194&amp;SDATE=201103&amp;PERIODTYPE=QTR_STD&amp;SCFT=3&amp;window=popup_no_bar&amp;width=385&amp;height=120&amp;START_MAXIMIZED=FALSE&amp;creator=factset&amp;display_string=Audit"}</definedName>
    <definedName name="_10__FDSAUDITLINK__" hidden="1">{"fdsup://Directions/FactSet Auditing Viewer?action=AUDIT_VALUE&amp;DB=129&amp;ID1=74752510&amp;VALUEID=05194&amp;SDATE=201103&amp;PERIODTYPE=QTR_STD&amp;SCFT=3&amp;window=popup_no_bar&amp;width=385&amp;height=120&amp;START_MAXIMIZED=FALSE&amp;creator=factset&amp;display_string=Audit"}</definedName>
    <definedName name="_100__FDSAUDITLINK__" localSheetId="7" hidden="1">{"fdsup://Directions/FactSet Auditing Viewer?action=AUDIT_VALUE&amp;DB=129&amp;ID1=45814010&amp;VALUEID=02001&amp;SDATE=201101&amp;PERIODTYPE=QTR_STD&amp;SCFT=3&amp;window=popup_no_bar&amp;width=385&amp;height=120&amp;START_MAXIMIZED=FALSE&amp;creator=factset&amp;display_string=Audit"}</definedName>
    <definedName name="_100__FDSAUDITLINK__" hidden="1">{"fdsup://Directions/FactSet Auditing Viewer?action=AUDIT_VALUE&amp;DB=129&amp;ID1=45814010&amp;VALUEID=02001&amp;SDATE=201101&amp;PERIODTYPE=QTR_STD&amp;SCFT=3&amp;window=popup_no_bar&amp;width=385&amp;height=120&amp;START_MAXIMIZED=FALSE&amp;creator=factset&amp;display_string=Audit"}</definedName>
    <definedName name="_1000__FDSAUDITLINK__" localSheetId="7" hidden="1">{"fdsup://Directions/FactSet Auditing Viewer?action=AUDIT_VALUE&amp;DB=129&amp;ID1=25454310&amp;VALUEID=02001&amp;SDATE=200902&amp;PERIODTYPE=QTR_STD&amp;SCFT=3&amp;window=popup_no_bar&amp;width=385&amp;height=120&amp;START_MAXIMIZED=FALSE&amp;creator=factset&amp;display_string=Audit"}</definedName>
    <definedName name="_1000__FDSAUDITLINK__" hidden="1">{"fdsup://Directions/FactSet Auditing Viewer?action=AUDIT_VALUE&amp;DB=129&amp;ID1=25454310&amp;VALUEID=02001&amp;SDATE=200902&amp;PERIODTYPE=QTR_STD&amp;SCFT=3&amp;window=popup_no_bar&amp;width=385&amp;height=120&amp;START_MAXIMIZED=FALSE&amp;creator=factset&amp;display_string=Audit"}</definedName>
    <definedName name="_1001__FDSAUDITLINK__" localSheetId="7" hidden="1">{"fdsup://Directions/FactSet Auditing Viewer?action=AUDIT_VALUE&amp;DB=129&amp;ID1=24702R10&amp;VALUEID=02001&amp;SDATE=200902&amp;PERIODTYPE=QTR_STD&amp;SCFT=3&amp;window=popup_no_bar&amp;width=385&amp;height=120&amp;START_MAXIMIZED=FALSE&amp;creator=factset&amp;display_string=Audit"}</definedName>
    <definedName name="_1001__FDSAUDITLINK__" hidden="1">{"fdsup://Directions/FactSet Auditing Viewer?action=AUDIT_VALUE&amp;DB=129&amp;ID1=24702R10&amp;VALUEID=02001&amp;SDATE=200902&amp;PERIODTYPE=QTR_STD&amp;SCFT=3&amp;window=popup_no_bar&amp;width=385&amp;height=120&amp;START_MAXIMIZED=FALSE&amp;creator=factset&amp;display_string=Audit"}</definedName>
    <definedName name="_1002__FDSAUDITLINK__" localSheetId="7" hidden="1">{"fdsup://Directions/FactSet Auditing Viewer?action=AUDIT_VALUE&amp;DB=129&amp;ID1=24702R10&amp;VALUEID=02001&amp;SDATE=200902&amp;PERIODTYPE=QTR_STD&amp;SCFT=3&amp;window=popup_no_bar&amp;width=385&amp;height=120&amp;START_MAXIMIZED=FALSE&amp;creator=factset&amp;display_string=Audit"}</definedName>
    <definedName name="_1002__FDSAUDITLINK__" hidden="1">{"fdsup://Directions/FactSet Auditing Viewer?action=AUDIT_VALUE&amp;DB=129&amp;ID1=24702R10&amp;VALUEID=02001&amp;SDATE=200902&amp;PERIODTYPE=QTR_STD&amp;SCFT=3&amp;window=popup_no_bar&amp;width=385&amp;height=120&amp;START_MAXIMIZED=FALSE&amp;creator=factset&amp;display_string=Audit"}</definedName>
    <definedName name="_1003__FDSAUDITLINK__" localSheetId="7" hidden="1">{"fdsup://Directions/FactSet Auditing Viewer?action=AUDIT_VALUE&amp;DB=129&amp;ID1=23257210&amp;VALUEID=02001&amp;SDATE=200902&amp;PERIODTYPE=QTR_STD&amp;SCFT=3&amp;window=popup_no_bar&amp;width=385&amp;height=120&amp;START_MAXIMIZED=FALSE&amp;creator=factset&amp;display_string=Audit"}</definedName>
    <definedName name="_1003__FDSAUDITLINK__" hidden="1">{"fdsup://Directions/FactSet Auditing Viewer?action=AUDIT_VALUE&amp;DB=129&amp;ID1=23257210&amp;VALUEID=02001&amp;SDATE=200902&amp;PERIODTYPE=QTR_STD&amp;SCFT=3&amp;window=popup_no_bar&amp;width=385&amp;height=120&amp;START_MAXIMIZED=FALSE&amp;creator=factset&amp;display_string=Audit"}</definedName>
    <definedName name="_1004__FDSAUDITLINK__" localSheetId="7" hidden="1">{"fdsup://Directions/FactSet Auditing Viewer?action=AUDIT_VALUE&amp;DB=129&amp;ID1=23257210&amp;VALUEID=02001&amp;SDATE=200902&amp;PERIODTYPE=QTR_STD&amp;SCFT=3&amp;window=popup_no_bar&amp;width=385&amp;height=120&amp;START_MAXIMIZED=FALSE&amp;creator=factset&amp;display_string=Audit"}</definedName>
    <definedName name="_1004__FDSAUDITLINK__" hidden="1">{"fdsup://Directions/FactSet Auditing Viewer?action=AUDIT_VALUE&amp;DB=129&amp;ID1=23257210&amp;VALUEID=02001&amp;SDATE=200902&amp;PERIODTYPE=QTR_STD&amp;SCFT=3&amp;window=popup_no_bar&amp;width=385&amp;height=120&amp;START_MAXIMIZED=FALSE&amp;creator=factset&amp;display_string=Audit"}</definedName>
    <definedName name="_1005__FDSAUDITLINK__" localSheetId="7" hidden="1">{"fdsup://Directions/FactSet Auditing Viewer?action=AUDIT_VALUE&amp;DB=129&amp;ID1=23280610&amp;VALUEID=02001&amp;SDATE=200902&amp;PERIODTYPE=QTR_STD&amp;SCFT=3&amp;window=popup_no_bar&amp;width=385&amp;height=120&amp;START_MAXIMIZED=FALSE&amp;creator=factset&amp;display_string=Audit"}</definedName>
    <definedName name="_1005__FDSAUDITLINK__" hidden="1">{"fdsup://Directions/FactSet Auditing Viewer?action=AUDIT_VALUE&amp;DB=129&amp;ID1=23280610&amp;VALUEID=02001&amp;SDATE=200902&amp;PERIODTYPE=QTR_STD&amp;SCFT=3&amp;window=popup_no_bar&amp;width=385&amp;height=120&amp;START_MAXIMIZED=FALSE&amp;creator=factset&amp;display_string=Audit"}</definedName>
    <definedName name="_1006__FDSAUDITLINK__" localSheetId="7" hidden="1">{"fdsup://Directions/FactSet Auditing Viewer?action=AUDIT_VALUE&amp;DB=129&amp;ID1=23280610&amp;VALUEID=02001&amp;SDATE=200902&amp;PERIODTYPE=QTR_STD&amp;SCFT=3&amp;window=popup_no_bar&amp;width=385&amp;height=120&amp;START_MAXIMIZED=FALSE&amp;creator=factset&amp;display_string=Audit"}</definedName>
    <definedName name="_1006__FDSAUDITLINK__" hidden="1">{"fdsup://Directions/FactSet Auditing Viewer?action=AUDIT_VALUE&amp;DB=129&amp;ID1=23280610&amp;VALUEID=02001&amp;SDATE=200902&amp;PERIODTYPE=QTR_STD&amp;SCFT=3&amp;window=popup_no_bar&amp;width=385&amp;height=120&amp;START_MAXIMIZED=FALSE&amp;creator=factset&amp;display_string=Audit"}</definedName>
    <definedName name="_1007__FDSAUDITLINK__" localSheetId="7" hidden="1">{"fdsup://Directions/FactSet Auditing Viewer?action=AUDIT_VALUE&amp;DB=129&amp;ID1=20714230&amp;VALUEID=02001&amp;SDATE=200903&amp;PERIODTYPE=QTR_STD&amp;SCFT=3&amp;window=popup_no_bar&amp;width=385&amp;height=120&amp;START_MAXIMIZED=FALSE&amp;creator=factset&amp;display_string=Audit"}</definedName>
    <definedName name="_1007__FDSAUDITLINK__" hidden="1">{"fdsup://Directions/FactSet Auditing Viewer?action=AUDIT_VALUE&amp;DB=129&amp;ID1=20714230&amp;VALUEID=02001&amp;SDATE=200903&amp;PERIODTYPE=QTR_STD&amp;SCFT=3&amp;window=popup_no_bar&amp;width=385&amp;height=120&amp;START_MAXIMIZED=FALSE&amp;creator=factset&amp;display_string=Audit"}</definedName>
    <definedName name="_1008__FDSAUDITLINK__" localSheetId="7" hidden="1">{"fdsup://Directions/FactSet Auditing Viewer?action=AUDIT_VALUE&amp;DB=129&amp;ID1=20714230&amp;VALUEID=02001&amp;SDATE=200903&amp;PERIODTYPE=QTR_STD&amp;SCFT=3&amp;window=popup_no_bar&amp;width=385&amp;height=120&amp;START_MAXIMIZED=FALSE&amp;creator=factset&amp;display_string=Audit"}</definedName>
    <definedName name="_1008__FDSAUDITLINK__" hidden="1">{"fdsup://Directions/FactSet Auditing Viewer?action=AUDIT_VALUE&amp;DB=129&amp;ID1=20714230&amp;VALUEID=02001&amp;SDATE=200903&amp;PERIODTYPE=QTR_STD&amp;SCFT=3&amp;window=popup_no_bar&amp;width=385&amp;height=120&amp;START_MAXIMIZED=FALSE&amp;creator=factset&amp;display_string=Audit"}</definedName>
    <definedName name="_1009__FDSAUDITLINK__" localSheetId="7" hidden="1">{"fdsup://Directions/FactSet Auditing Viewer?action=AUDIT_VALUE&amp;DB=129&amp;ID1=12738710&amp;VALUEID=02001&amp;SDATE=200902&amp;PERIODTYPE=QTR_STD&amp;SCFT=3&amp;window=popup_no_bar&amp;width=385&amp;height=120&amp;START_MAXIMIZED=FALSE&amp;creator=factset&amp;display_string=Audit"}</definedName>
    <definedName name="_1009__FDSAUDITLINK__" hidden="1">{"fdsup://Directions/FactSet Auditing Viewer?action=AUDIT_VALUE&amp;DB=129&amp;ID1=12738710&amp;VALUEID=02001&amp;SDATE=200902&amp;PERIODTYPE=QTR_STD&amp;SCFT=3&amp;window=popup_no_bar&amp;width=385&amp;height=120&amp;START_MAXIMIZED=FALSE&amp;creator=factset&amp;display_string=Audit"}</definedName>
    <definedName name="_101__FDSAUDITLINK__" localSheetId="7" hidden="1">{"fdsup://Directions/FactSet Auditing Viewer?action=AUDIT_VALUE&amp;DB=129&amp;ID1=45811810&amp;VALUEID=02001&amp;SDATE=201004&amp;PERIODTYPE=QTR_STD&amp;SCFT=3&amp;window=popup_no_bar&amp;width=385&amp;height=120&amp;START_MAXIMIZED=FALSE&amp;creator=factset&amp;display_string=Audit"}</definedName>
    <definedName name="_101__FDSAUDITLINK__" hidden="1">{"fdsup://Directions/FactSet Auditing Viewer?action=AUDIT_VALUE&amp;DB=129&amp;ID1=45811810&amp;VALUEID=02001&amp;SDATE=201004&amp;PERIODTYPE=QTR_STD&amp;SCFT=3&amp;window=popup_no_bar&amp;width=385&amp;height=120&amp;START_MAXIMIZED=FALSE&amp;creator=factset&amp;display_string=Audit"}</definedName>
    <definedName name="_1010__FDSAUDITLINK__" localSheetId="7" hidden="1">{"fdsup://Directions/FactSet Auditing Viewer?action=AUDIT_VALUE&amp;DB=129&amp;ID1=12738710&amp;VALUEID=02001&amp;SDATE=200902&amp;PERIODTYPE=QTR_STD&amp;SCFT=3&amp;window=popup_no_bar&amp;width=385&amp;height=120&amp;START_MAXIMIZED=FALSE&amp;creator=factset&amp;display_string=Audit"}</definedName>
    <definedName name="_1010__FDSAUDITLINK__" hidden="1">{"fdsup://Directions/FactSet Auditing Viewer?action=AUDIT_VALUE&amp;DB=129&amp;ID1=12738710&amp;VALUEID=02001&amp;SDATE=200902&amp;PERIODTYPE=QTR_STD&amp;SCFT=3&amp;window=popup_no_bar&amp;width=385&amp;height=120&amp;START_MAXIMIZED=FALSE&amp;creator=factset&amp;display_string=Audit"}</definedName>
    <definedName name="_1011__FDSAUDITLINK__" localSheetId="7" hidden="1">{"fdsup://Directions/FactSet Auditing Viewer?action=AUDIT_VALUE&amp;DB=129&amp;ID1=14964U10&amp;VALUEID=02001&amp;SDATE=200902&amp;PERIODTYPE=QTR_STD&amp;SCFT=3&amp;window=popup_no_bar&amp;width=385&amp;height=120&amp;START_MAXIMIZED=FALSE&amp;creator=factset&amp;display_string=Audit"}</definedName>
    <definedName name="_1011__FDSAUDITLINK__" hidden="1">{"fdsup://Directions/FactSet Auditing Viewer?action=AUDIT_VALUE&amp;DB=129&amp;ID1=14964U10&amp;VALUEID=02001&amp;SDATE=200902&amp;PERIODTYPE=QTR_STD&amp;SCFT=3&amp;window=popup_no_bar&amp;width=385&amp;height=120&amp;START_MAXIMIZED=FALSE&amp;creator=factset&amp;display_string=Audit"}</definedName>
    <definedName name="_1012__FDSAUDITLINK__" localSheetId="7" hidden="1">{"fdsup://Directions/FactSet Auditing Viewer?action=AUDIT_VALUE&amp;DB=129&amp;ID1=14964U10&amp;VALUEID=02001&amp;SDATE=200902&amp;PERIODTYPE=QTR_STD&amp;SCFT=3&amp;window=popup_no_bar&amp;width=385&amp;height=120&amp;START_MAXIMIZED=FALSE&amp;creator=factset&amp;display_string=Audit"}</definedName>
    <definedName name="_1012__FDSAUDITLINK__" hidden="1">{"fdsup://Directions/FactSet Auditing Viewer?action=AUDIT_VALUE&amp;DB=129&amp;ID1=14964U10&amp;VALUEID=02001&amp;SDATE=200902&amp;PERIODTYPE=QTR_STD&amp;SCFT=3&amp;window=popup_no_bar&amp;width=385&amp;height=120&amp;START_MAXIMIZED=FALSE&amp;creator=factset&amp;display_string=Audit"}</definedName>
    <definedName name="_1013__FDSAUDITLINK__" localSheetId="7" hidden="1">{"fdsup://Directions/FactSet Auditing Viewer?action=AUDIT_VALUE&amp;DB=129&amp;ID1=11162130&amp;VALUEID=02001&amp;SDATE=200903&amp;PERIODTYPE=QTR_STD&amp;SCFT=3&amp;window=popup_no_bar&amp;width=385&amp;height=120&amp;START_MAXIMIZED=FALSE&amp;creator=factset&amp;display_string=Audit"}</definedName>
    <definedName name="_1013__FDSAUDITLINK__" hidden="1">{"fdsup://Directions/FactSet Auditing Viewer?action=AUDIT_VALUE&amp;DB=129&amp;ID1=11162130&amp;VALUEID=02001&amp;SDATE=200903&amp;PERIODTYPE=QTR_STD&amp;SCFT=3&amp;window=popup_no_bar&amp;width=385&amp;height=120&amp;START_MAXIMIZED=FALSE&amp;creator=factset&amp;display_string=Audit"}</definedName>
    <definedName name="_1014__FDSAUDITLINK__" localSheetId="7" hidden="1">{"fdsup://Directions/FactSet Auditing Viewer?action=AUDIT_VALUE&amp;DB=129&amp;ID1=11162130&amp;VALUEID=02001&amp;SDATE=200903&amp;PERIODTYPE=QTR_STD&amp;SCFT=3&amp;window=popup_no_bar&amp;width=385&amp;height=120&amp;START_MAXIMIZED=FALSE&amp;creator=factset&amp;display_string=Audit"}</definedName>
    <definedName name="_1014__FDSAUDITLINK__" hidden="1">{"fdsup://Directions/FactSet Auditing Viewer?action=AUDIT_VALUE&amp;DB=129&amp;ID1=11162130&amp;VALUEID=02001&amp;SDATE=200903&amp;PERIODTYPE=QTR_STD&amp;SCFT=3&amp;window=popup_no_bar&amp;width=385&amp;height=120&amp;START_MAXIMIZED=FALSE&amp;creator=factset&amp;display_string=Audit"}</definedName>
    <definedName name="_1015__FDSAUDITLINK__" localSheetId="7" hidden="1">{"fdsup://Directions/FactSet Auditing Viewer?action=AUDIT_VALUE&amp;DB=129&amp;ID1=Y0486S10&amp;VALUEID=02001&amp;SDATE=200903&amp;PERIODTYPE=QTR_STD&amp;SCFT=3&amp;window=popup_no_bar&amp;width=385&amp;height=120&amp;START_MAXIMIZED=FALSE&amp;creator=factset&amp;display_string=Audit"}</definedName>
    <definedName name="_1015__FDSAUDITLINK__" hidden="1">{"fdsup://Directions/FactSet Auditing Viewer?action=AUDIT_VALUE&amp;DB=129&amp;ID1=Y0486S10&amp;VALUEID=02001&amp;SDATE=200903&amp;PERIODTYPE=QTR_STD&amp;SCFT=3&amp;window=popup_no_bar&amp;width=385&amp;height=120&amp;START_MAXIMIZED=FALSE&amp;creator=factset&amp;display_string=Audit"}</definedName>
    <definedName name="_1016__FDSAUDITLINK__" localSheetId="7" hidden="1">{"fdsup://Directions/FactSet Auditing Viewer?action=AUDIT_VALUE&amp;DB=129&amp;ID1=Y0486S10&amp;VALUEID=02001&amp;SDATE=200903&amp;PERIODTYPE=QTR_STD&amp;SCFT=3&amp;window=popup_no_bar&amp;width=385&amp;height=120&amp;START_MAXIMIZED=FALSE&amp;creator=factset&amp;display_string=Audit"}</definedName>
    <definedName name="_1016__FDSAUDITLINK__" hidden="1">{"fdsup://Directions/FactSet Auditing Viewer?action=AUDIT_VALUE&amp;DB=129&amp;ID1=Y0486S10&amp;VALUEID=02001&amp;SDATE=200903&amp;PERIODTYPE=QTR_STD&amp;SCFT=3&amp;window=popup_no_bar&amp;width=385&amp;height=120&amp;START_MAXIMIZED=FALSE&amp;creator=factset&amp;display_string=Audit"}</definedName>
    <definedName name="_1017__FDSAUDITLINK__" localSheetId="7" hidden="1">{"fdsup://Directions/FactSet Auditing Viewer?action=AUDIT_VALUE&amp;DB=129&amp;ID1=04743P10&amp;VALUEID=02001&amp;SDATE=200902&amp;PERIODTYPE=QTR_STD&amp;SCFT=3&amp;window=popup_no_bar&amp;width=385&amp;height=120&amp;START_MAXIMIZED=FALSE&amp;creator=factset&amp;display_string=Audit"}</definedName>
    <definedName name="_1017__FDSAUDITLINK__" hidden="1">{"fdsup://Directions/FactSet Auditing Viewer?action=AUDIT_VALUE&amp;DB=129&amp;ID1=04743P10&amp;VALUEID=02001&amp;SDATE=200902&amp;PERIODTYPE=QTR_STD&amp;SCFT=3&amp;window=popup_no_bar&amp;width=385&amp;height=120&amp;START_MAXIMIZED=FALSE&amp;creator=factset&amp;display_string=Audit"}</definedName>
    <definedName name="_1018__FDSAUDITLINK__" localSheetId="7" hidden="1">{"fdsup://Directions/FactSet Auditing Viewer?action=AUDIT_VALUE&amp;DB=129&amp;ID1=04743P10&amp;VALUEID=02001&amp;SDATE=200902&amp;PERIODTYPE=QTR_STD&amp;SCFT=3&amp;window=popup_no_bar&amp;width=385&amp;height=120&amp;START_MAXIMIZED=FALSE&amp;creator=factset&amp;display_string=Audit"}</definedName>
    <definedName name="_1018__FDSAUDITLINK__" hidden="1">{"fdsup://Directions/FactSet Auditing Viewer?action=AUDIT_VALUE&amp;DB=129&amp;ID1=04743P10&amp;VALUEID=02001&amp;SDATE=200902&amp;PERIODTYPE=QTR_STD&amp;SCFT=3&amp;window=popup_no_bar&amp;width=385&amp;height=120&amp;START_MAXIMIZED=FALSE&amp;creator=factset&amp;display_string=Audit"}</definedName>
    <definedName name="_1019__FDSAUDITLINK__" localSheetId="7" hidden="1">{"fdsup://Directions/FactSet Auditing Viewer?action=AUDIT_VALUE&amp;DB=129&amp;ID1=03251510&amp;VALUEID=02001&amp;SDATE=200902&amp;PERIODTYPE=QTR_STD&amp;SCFT=3&amp;window=popup_no_bar&amp;width=385&amp;height=120&amp;START_MAXIMIZED=FALSE&amp;creator=factset&amp;display_string=Audit"}</definedName>
    <definedName name="_1019__FDSAUDITLINK__" hidden="1">{"fdsup://Directions/FactSet Auditing Viewer?action=AUDIT_VALUE&amp;DB=129&amp;ID1=03251510&amp;VALUEID=02001&amp;SDATE=200902&amp;PERIODTYPE=QTR_STD&amp;SCFT=3&amp;window=popup_no_bar&amp;width=385&amp;height=120&amp;START_MAXIMIZED=FALSE&amp;creator=factset&amp;display_string=Audit"}</definedName>
    <definedName name="_102__FDSAUDITLINK__" localSheetId="7" hidden="1">{"fdsup://Directions/FactSet Auditing Viewer?action=AUDIT_VALUE&amp;DB=129&amp;ID1=45811810&amp;VALUEID=02001&amp;SDATE=201004&amp;PERIODTYPE=QTR_STD&amp;SCFT=3&amp;window=popup_no_bar&amp;width=385&amp;height=120&amp;START_MAXIMIZED=FALSE&amp;creator=factset&amp;display_string=Audit"}</definedName>
    <definedName name="_102__FDSAUDITLINK__" hidden="1">{"fdsup://Directions/FactSet Auditing Viewer?action=AUDIT_VALUE&amp;DB=129&amp;ID1=45811810&amp;VALUEID=02001&amp;SDATE=201004&amp;PERIODTYPE=QTR_STD&amp;SCFT=3&amp;window=popup_no_bar&amp;width=385&amp;height=120&amp;START_MAXIMIZED=FALSE&amp;creator=factset&amp;display_string=Audit"}</definedName>
    <definedName name="_1020__FDSAUDITLINK__" localSheetId="7" hidden="1">{"fdsup://Directions/FactSet Auditing Viewer?action=AUDIT_VALUE&amp;DB=129&amp;ID1=03251510&amp;VALUEID=02001&amp;SDATE=200902&amp;PERIODTYPE=QTR_STD&amp;SCFT=3&amp;window=popup_no_bar&amp;width=385&amp;height=120&amp;START_MAXIMIZED=FALSE&amp;creator=factset&amp;display_string=Audit"}</definedName>
    <definedName name="_1020__FDSAUDITLINK__" hidden="1">{"fdsup://Directions/FactSet Auditing Viewer?action=AUDIT_VALUE&amp;DB=129&amp;ID1=03251510&amp;VALUEID=02001&amp;SDATE=200902&amp;PERIODTYPE=QTR_STD&amp;SCFT=3&amp;window=popup_no_bar&amp;width=385&amp;height=120&amp;START_MAXIMIZED=FALSE&amp;creator=factset&amp;display_string=Audit"}</definedName>
    <definedName name="_1021__FDSAUDITLINK__" localSheetId="7" hidden="1">{"fdsup://Directions/FactSet Auditing Viewer?action=AUDIT_VALUE&amp;DB=129&amp;ID1=00790310&amp;VALUEID=02001&amp;SDATE=200902&amp;PERIODTYPE=QTR_STD&amp;SCFT=3&amp;window=popup_no_bar&amp;width=385&amp;height=120&amp;START_MAXIMIZED=FALSE&amp;creator=factset&amp;display_string=Audit"}</definedName>
    <definedName name="_1021__FDSAUDITLINK__" hidden="1">{"fdsup://Directions/FactSet Auditing Viewer?action=AUDIT_VALUE&amp;DB=129&amp;ID1=00790310&amp;VALUEID=02001&amp;SDATE=200902&amp;PERIODTYPE=QTR_STD&amp;SCFT=3&amp;window=popup_no_bar&amp;width=385&amp;height=120&amp;START_MAXIMIZED=FALSE&amp;creator=factset&amp;display_string=Audit"}</definedName>
    <definedName name="_1022__FDSAUDITLINK__" localSheetId="7" hidden="1">{"fdsup://Directions/FactSet Auditing Viewer?action=AUDIT_VALUE&amp;DB=129&amp;ID1=00790310&amp;VALUEID=02001&amp;SDATE=200902&amp;PERIODTYPE=QTR_STD&amp;SCFT=3&amp;window=popup_no_bar&amp;width=385&amp;height=120&amp;START_MAXIMIZED=FALSE&amp;creator=factset&amp;display_string=Audit"}</definedName>
    <definedName name="_1022__FDSAUDITLINK__" hidden="1">{"fdsup://Directions/FactSet Auditing Viewer?action=AUDIT_VALUE&amp;DB=129&amp;ID1=00790310&amp;VALUEID=02001&amp;SDATE=200902&amp;PERIODTYPE=QTR_STD&amp;SCFT=3&amp;window=popup_no_bar&amp;width=385&amp;height=120&amp;START_MAXIMIZED=FALSE&amp;creator=factset&amp;display_string=Audit"}</definedName>
    <definedName name="_1023__FDSAUDITLINK__" localSheetId="7" hidden="1">{"fdsup://Directions/FactSet Auditing Viewer?action=AUDIT_VALUE&amp;DB=129&amp;ID1=03822W40&amp;VALUEID=02001&amp;SDATE=200901&amp;PERIODTYPE=QTR_STD&amp;SCFT=3&amp;window=popup_no_bar&amp;width=385&amp;height=120&amp;START_MAXIMIZED=FALSE&amp;creator=factset&amp;display_string=Audit"}</definedName>
    <definedName name="_1023__FDSAUDITLINK__" hidden="1">{"fdsup://Directions/FactSet Auditing Viewer?action=AUDIT_VALUE&amp;DB=129&amp;ID1=03822W40&amp;VALUEID=02001&amp;SDATE=200901&amp;PERIODTYPE=QTR_STD&amp;SCFT=3&amp;window=popup_no_bar&amp;width=385&amp;height=120&amp;START_MAXIMIZED=FALSE&amp;creator=factset&amp;display_string=Audit"}</definedName>
    <definedName name="_1024__FDSAUDITLINK__" localSheetId="7" hidden="1">{"fdsup://Directions/FactSet Auditing Viewer?action=AUDIT_VALUE&amp;DB=129&amp;ID1=03822W40&amp;VALUEID=02001&amp;SDATE=200901&amp;PERIODTYPE=QTR_STD&amp;SCFT=3&amp;window=popup_no_bar&amp;width=385&amp;height=120&amp;START_MAXIMIZED=FALSE&amp;creator=factset&amp;display_string=Audit"}</definedName>
    <definedName name="_1024__FDSAUDITLINK__" hidden="1">{"fdsup://Directions/FactSet Auditing Viewer?action=AUDIT_VALUE&amp;DB=129&amp;ID1=03822W40&amp;VALUEID=02001&amp;SDATE=200901&amp;PERIODTYPE=QTR_STD&amp;SCFT=3&amp;window=popup_no_bar&amp;width=385&amp;height=120&amp;START_MAXIMIZED=FALSE&amp;creator=factset&amp;display_string=Audit"}</definedName>
    <definedName name="_1025__FDSAUDITLINK__" localSheetId="7" hidden="1">{"fdsup://Directions/FactSet Auditing Viewer?action=AUDIT_VALUE&amp;DB=129&amp;ID1=03822210&amp;VALUEID=02001&amp;SDATE=200903&amp;PERIODTYPE=QTR_STD&amp;SCFT=3&amp;window=popup_no_bar&amp;width=385&amp;height=120&amp;START_MAXIMIZED=FALSE&amp;creator=factset&amp;display_string=Audit"}</definedName>
    <definedName name="_1025__FDSAUDITLINK__" hidden="1">{"fdsup://Directions/FactSet Auditing Viewer?action=AUDIT_VALUE&amp;DB=129&amp;ID1=03822210&amp;VALUEID=02001&amp;SDATE=200903&amp;PERIODTYPE=QTR_STD&amp;SCFT=3&amp;window=popup_no_bar&amp;width=385&amp;height=120&amp;START_MAXIMIZED=FALSE&amp;creator=factset&amp;display_string=Audit"}</definedName>
    <definedName name="_1026__FDSAUDITLINK__" localSheetId="7" hidden="1">{"fdsup://Directions/FactSet Auditing Viewer?action=AUDIT_VALUE&amp;DB=129&amp;ID1=03822210&amp;VALUEID=02001&amp;SDATE=200903&amp;PERIODTYPE=QTR_STD&amp;SCFT=3&amp;window=popup_no_bar&amp;width=385&amp;height=120&amp;START_MAXIMIZED=FALSE&amp;creator=factset&amp;display_string=Audit"}</definedName>
    <definedName name="_1026__FDSAUDITLINK__" hidden="1">{"fdsup://Directions/FactSet Auditing Viewer?action=AUDIT_VALUE&amp;DB=129&amp;ID1=03822210&amp;VALUEID=02001&amp;SDATE=200903&amp;PERIODTYPE=QTR_STD&amp;SCFT=3&amp;window=popup_no_bar&amp;width=385&amp;height=120&amp;START_MAXIMIZED=FALSE&amp;creator=factset&amp;display_string=Audit"}</definedName>
    <definedName name="_1027__FDSAUDITLINK__" localSheetId="7" hidden="1">{"fdsup://Directions/FactSet Auditing Viewer?action=AUDIT_VALUE&amp;DB=129&amp;ID1=02144110&amp;VALUEID=02001&amp;SDATE=200902&amp;PERIODTYPE=QTR_STD&amp;SCFT=3&amp;window=popup_no_bar&amp;width=385&amp;height=120&amp;START_MAXIMIZED=FALSE&amp;creator=factset&amp;display_string=Audit"}</definedName>
    <definedName name="_1027__FDSAUDITLINK__" hidden="1">{"fdsup://Directions/FactSet Auditing Viewer?action=AUDIT_VALUE&amp;DB=129&amp;ID1=02144110&amp;VALUEID=02001&amp;SDATE=200902&amp;PERIODTYPE=QTR_STD&amp;SCFT=3&amp;window=popup_no_bar&amp;width=385&amp;height=120&amp;START_MAXIMIZED=FALSE&amp;creator=factset&amp;display_string=Audit"}</definedName>
    <definedName name="_1028__FDSAUDITLINK__" localSheetId="7" hidden="1">{"fdsup://Directions/FactSet Auditing Viewer?action=AUDIT_VALUE&amp;DB=129&amp;ID1=02144110&amp;VALUEID=02001&amp;SDATE=200902&amp;PERIODTYPE=QTR_STD&amp;SCFT=3&amp;window=popup_no_bar&amp;width=385&amp;height=120&amp;START_MAXIMIZED=FALSE&amp;creator=factset&amp;display_string=Audit"}</definedName>
    <definedName name="_1028__FDSAUDITLINK__" hidden="1">{"fdsup://Directions/FactSet Auditing Viewer?action=AUDIT_VALUE&amp;DB=129&amp;ID1=02144110&amp;VALUEID=02001&amp;SDATE=200902&amp;PERIODTYPE=QTR_STD&amp;SCFT=3&amp;window=popup_no_bar&amp;width=385&amp;height=120&amp;START_MAXIMIZED=FALSE&amp;creator=factset&amp;display_string=Audit"}</definedName>
    <definedName name="_1029__FDSAUDITLINK__" localSheetId="7" hidden="1">{"fdsup://Directions/FactSet Auditing Viewer?action=AUDIT_VALUE&amp;DB=129&amp;ID1=03265410&amp;VALUEID=02001&amp;SDATE=200903&amp;PERIODTYPE=QTR_STD&amp;SCFT=3&amp;window=popup_no_bar&amp;width=385&amp;height=120&amp;START_MAXIMIZED=FALSE&amp;creator=factset&amp;display_string=Audit"}</definedName>
    <definedName name="_1029__FDSAUDITLINK__" hidden="1">{"fdsup://Directions/FactSet Auditing Viewer?action=AUDIT_VALUE&amp;DB=129&amp;ID1=03265410&amp;VALUEID=02001&amp;SDATE=200903&amp;PERIODTYPE=QTR_STD&amp;SCFT=3&amp;window=popup_no_bar&amp;width=385&amp;height=120&amp;START_MAXIMIZED=FALSE&amp;creator=factset&amp;display_string=Audit"}</definedName>
    <definedName name="_103__FDSAUDITLINK__" localSheetId="7" hidden="1">{"fdsup://Directions/FactSet Auditing Viewer?action=AUDIT_VALUE&amp;DB=129&amp;ID1=42823610&amp;VALUEID=02001&amp;SDATE=201102&amp;PERIODTYPE=QTR_STD&amp;SCFT=3&amp;window=popup_no_bar&amp;width=385&amp;height=120&amp;START_MAXIMIZED=FALSE&amp;creator=factset&amp;display_string=Audit"}</definedName>
    <definedName name="_103__FDSAUDITLINK__" hidden="1">{"fdsup://Directions/FactSet Auditing Viewer?action=AUDIT_VALUE&amp;DB=129&amp;ID1=42823610&amp;VALUEID=02001&amp;SDATE=201102&amp;PERIODTYPE=QTR_STD&amp;SCFT=3&amp;window=popup_no_bar&amp;width=385&amp;height=120&amp;START_MAXIMIZED=FALSE&amp;creator=factset&amp;display_string=Audit"}</definedName>
    <definedName name="_1030__FDSAUDITLINK__" localSheetId="7" hidden="1">{"fdsup://Directions/FactSet Auditing Viewer?action=AUDIT_VALUE&amp;DB=129&amp;ID1=03265410&amp;VALUEID=02001&amp;SDATE=200903&amp;PERIODTYPE=QTR_STD&amp;SCFT=3&amp;window=popup_no_bar&amp;width=385&amp;height=120&amp;START_MAXIMIZED=FALSE&amp;creator=factset&amp;display_string=Audit"}</definedName>
    <definedName name="_1030__FDSAUDITLINK__" hidden="1">{"fdsup://Directions/FactSet Auditing Viewer?action=AUDIT_VALUE&amp;DB=129&amp;ID1=03265410&amp;VALUEID=02001&amp;SDATE=200903&amp;PERIODTYPE=QTR_STD&amp;SCFT=3&amp;window=popup_no_bar&amp;width=385&amp;height=120&amp;START_MAXIMIZED=FALSE&amp;creator=factset&amp;display_string=Audit"}</definedName>
    <definedName name="_1031__FDSAUDITLINK__" localSheetId="7" hidden="1">{"fdsup://Directions/FactSet Auditing Viewer?action=AUDIT_VALUE&amp;DB=129&amp;ID1=00752J10&amp;VALUEID=02001&amp;SDATE=200902&amp;PERIODTYPE=QTR_STD&amp;SCFT=3&amp;window=popup_no_bar&amp;width=385&amp;height=120&amp;START_MAXIMIZED=FALSE&amp;creator=factset&amp;display_string=Audit"}</definedName>
    <definedName name="_1031__FDSAUDITLINK__" hidden="1">{"fdsup://Directions/FactSet Auditing Viewer?action=AUDIT_VALUE&amp;DB=129&amp;ID1=00752J10&amp;VALUEID=02001&amp;SDATE=200902&amp;PERIODTYPE=QTR_STD&amp;SCFT=3&amp;window=popup_no_bar&amp;width=385&amp;height=120&amp;START_MAXIMIZED=FALSE&amp;creator=factset&amp;display_string=Audit"}</definedName>
    <definedName name="_1032__FDSAUDITLINK__" localSheetId="7" hidden="1">{"fdsup://Directions/FactSet Auditing Viewer?action=AUDIT_VALUE&amp;DB=129&amp;ID1=00752J10&amp;VALUEID=02001&amp;SDATE=200902&amp;PERIODTYPE=QTR_STD&amp;SCFT=3&amp;window=popup_no_bar&amp;width=385&amp;height=120&amp;START_MAXIMIZED=FALSE&amp;creator=factset&amp;display_string=Audit"}</definedName>
    <definedName name="_1032__FDSAUDITLINK__" hidden="1">{"fdsup://Directions/FactSet Auditing Viewer?action=AUDIT_VALUE&amp;DB=129&amp;ID1=00752J10&amp;VALUEID=02001&amp;SDATE=200902&amp;PERIODTYPE=QTR_STD&amp;SCFT=3&amp;window=popup_no_bar&amp;width=385&amp;height=120&amp;START_MAXIMIZED=FALSE&amp;creator=factset&amp;display_string=Audit"}</definedName>
    <definedName name="_1033__FDSAUDITLINK__" localSheetId="7" hidden="1">{"fdsup://Directions/FactSet Auditing Viewer?action=AUDIT_VALUE&amp;DB=129&amp;ID1=98975F10&amp;VALUEID=02001&amp;SDATE=200901&amp;PERIODTYPE=QTR_STD&amp;SCFT=3&amp;window=popup_no_bar&amp;width=385&amp;height=120&amp;START_MAXIMIZED=FALSE&amp;creator=factset&amp;display_string=Audit"}</definedName>
    <definedName name="_1033__FDSAUDITLINK__" hidden="1">{"fdsup://Directions/FactSet Auditing Viewer?action=AUDIT_VALUE&amp;DB=129&amp;ID1=98975F10&amp;VALUEID=02001&amp;SDATE=200901&amp;PERIODTYPE=QTR_STD&amp;SCFT=3&amp;window=popup_no_bar&amp;width=385&amp;height=120&amp;START_MAXIMIZED=FALSE&amp;creator=factset&amp;display_string=Audit"}</definedName>
    <definedName name="_1034__FDSAUDITLINK__" localSheetId="7" hidden="1">{"fdsup://Directions/FactSet Auditing Viewer?action=AUDIT_VALUE&amp;DB=129&amp;ID1=98975F10&amp;VALUEID=02001&amp;SDATE=200901&amp;PERIODTYPE=QTR_STD&amp;SCFT=3&amp;window=popup_no_bar&amp;width=385&amp;height=120&amp;START_MAXIMIZED=FALSE&amp;creator=factset&amp;display_string=Audit"}</definedName>
    <definedName name="_1034__FDSAUDITLINK__" hidden="1">{"fdsup://Directions/FactSet Auditing Viewer?action=AUDIT_VALUE&amp;DB=129&amp;ID1=98975F10&amp;VALUEID=02001&amp;SDATE=200901&amp;PERIODTYPE=QTR_STD&amp;SCFT=3&amp;window=popup_no_bar&amp;width=385&amp;height=120&amp;START_MAXIMIZED=FALSE&amp;creator=factset&amp;display_string=Audit"}</definedName>
    <definedName name="_1035__FDSAUDITLINK__" localSheetId="7" hidden="1">{"fdsup://Directions/FactSet Auditing Viewer?action=AUDIT_VALUE&amp;DB=129&amp;ID1=95810210&amp;VALUEID=02001&amp;SDATE=200903&amp;PERIODTYPE=QTR_STD&amp;SCFT=3&amp;window=popup_no_bar&amp;width=385&amp;height=120&amp;START_MAXIMIZED=FALSE&amp;creator=factset&amp;display_string=Audit"}</definedName>
    <definedName name="_1035__FDSAUDITLINK__" hidden="1">{"fdsup://Directions/FactSet Auditing Viewer?action=AUDIT_VALUE&amp;DB=129&amp;ID1=95810210&amp;VALUEID=02001&amp;SDATE=200903&amp;PERIODTYPE=QTR_STD&amp;SCFT=3&amp;window=popup_no_bar&amp;width=385&amp;height=120&amp;START_MAXIMIZED=FALSE&amp;creator=factset&amp;display_string=Audit"}</definedName>
    <definedName name="_1036__FDSAUDITLINK__" localSheetId="7" hidden="1">{"fdsup://Directions/FactSet Auditing Viewer?action=AUDIT_VALUE&amp;DB=129&amp;ID1=95810210&amp;VALUEID=02001&amp;SDATE=200903&amp;PERIODTYPE=QTR_STD&amp;SCFT=3&amp;window=popup_no_bar&amp;width=385&amp;height=120&amp;START_MAXIMIZED=FALSE&amp;creator=factset&amp;display_string=Audit"}</definedName>
    <definedName name="_1036__FDSAUDITLINK__" hidden="1">{"fdsup://Directions/FactSet Auditing Viewer?action=AUDIT_VALUE&amp;DB=129&amp;ID1=95810210&amp;VALUEID=02001&amp;SDATE=200903&amp;PERIODTYPE=QTR_STD&amp;SCFT=3&amp;window=popup_no_bar&amp;width=385&amp;height=120&amp;START_MAXIMIZED=FALSE&amp;creator=factset&amp;display_string=Audit"}</definedName>
    <definedName name="_1037__FDSAUDITLINK__" localSheetId="7" hidden="1">{"fdsup://Directions/FactSet Auditing Viewer?action=AUDIT_VALUE&amp;DB=129&amp;ID1=92849730&amp;VALUEID=02001&amp;SDATE=200902&amp;PERIODTYPE=QTR_STD&amp;SCFT=3&amp;window=popup_no_bar&amp;width=385&amp;height=120&amp;START_MAXIMIZED=FALSE&amp;creator=factset&amp;display_string=Audit"}</definedName>
    <definedName name="_1037__FDSAUDITLINK__" hidden="1">{"fdsup://Directions/FactSet Auditing Viewer?action=AUDIT_VALUE&amp;DB=129&amp;ID1=92849730&amp;VALUEID=02001&amp;SDATE=200902&amp;PERIODTYPE=QTR_STD&amp;SCFT=3&amp;window=popup_no_bar&amp;width=385&amp;height=120&amp;START_MAXIMIZED=FALSE&amp;creator=factset&amp;display_string=Audit"}</definedName>
    <definedName name="_1038__FDSAUDITLINK__" localSheetId="7" hidden="1">{"fdsup://Directions/FactSet Auditing Viewer?action=AUDIT_VALUE&amp;DB=129&amp;ID1=92849730&amp;VALUEID=02001&amp;SDATE=200902&amp;PERIODTYPE=QTR_STD&amp;SCFT=3&amp;window=popup_no_bar&amp;width=385&amp;height=120&amp;START_MAXIMIZED=FALSE&amp;creator=factset&amp;display_string=Audit"}</definedName>
    <definedName name="_1038__FDSAUDITLINK__" hidden="1">{"fdsup://Directions/FactSet Auditing Viewer?action=AUDIT_VALUE&amp;DB=129&amp;ID1=92849730&amp;VALUEID=02001&amp;SDATE=200902&amp;PERIODTYPE=QTR_STD&amp;SCFT=3&amp;window=popup_no_bar&amp;width=385&amp;height=120&amp;START_MAXIMIZED=FALSE&amp;creator=factset&amp;display_string=Audit"}</definedName>
    <definedName name="_1039__FDSAUDITLINK__" localSheetId="7" hidden="1">{"fdsup://Directions/FactSet Auditing Viewer?action=AUDIT_VALUE&amp;DB=129&amp;ID1=92829810&amp;VALUEID=02001&amp;SDATE=200901&amp;PERIODTYPE=QTR_STD&amp;SCFT=3&amp;window=popup_no_bar&amp;width=385&amp;height=120&amp;START_MAXIMIZED=FALSE&amp;creator=factset&amp;display_string=Audit"}</definedName>
    <definedName name="_1039__FDSAUDITLINK__" hidden="1">{"fdsup://Directions/FactSet Auditing Viewer?action=AUDIT_VALUE&amp;DB=129&amp;ID1=92829810&amp;VALUEID=02001&amp;SDATE=200901&amp;PERIODTYPE=QTR_STD&amp;SCFT=3&amp;window=popup_no_bar&amp;width=385&amp;height=120&amp;START_MAXIMIZED=FALSE&amp;creator=factset&amp;display_string=Audit"}</definedName>
    <definedName name="_104__FDSAUDITLINK__" localSheetId="7" hidden="1">{"fdsup://Directions/FactSet Auditing Viewer?action=AUDIT_VALUE&amp;DB=129&amp;ID1=42823610&amp;VALUEID=02001&amp;SDATE=201102&amp;PERIODTYPE=QTR_STD&amp;SCFT=3&amp;window=popup_no_bar&amp;width=385&amp;height=120&amp;START_MAXIMIZED=FALSE&amp;creator=factset&amp;display_string=Audit"}</definedName>
    <definedName name="_104__FDSAUDITLINK__" hidden="1">{"fdsup://Directions/FactSet Auditing Viewer?action=AUDIT_VALUE&amp;DB=129&amp;ID1=42823610&amp;VALUEID=02001&amp;SDATE=201102&amp;PERIODTYPE=QTR_STD&amp;SCFT=3&amp;window=popup_no_bar&amp;width=385&amp;height=120&amp;START_MAXIMIZED=FALSE&amp;creator=factset&amp;display_string=Audit"}</definedName>
    <definedName name="_1040__FDSAUDITLINK__" localSheetId="7" hidden="1">{"fdsup://Directions/FactSet Auditing Viewer?action=AUDIT_VALUE&amp;DB=129&amp;ID1=92829810&amp;VALUEID=02001&amp;SDATE=200901&amp;PERIODTYPE=QTR_STD&amp;SCFT=3&amp;window=popup_no_bar&amp;width=385&amp;height=120&amp;START_MAXIMIZED=FALSE&amp;creator=factset&amp;display_string=Audit"}</definedName>
    <definedName name="_1040__FDSAUDITLINK__" hidden="1">{"fdsup://Directions/FactSet Auditing Viewer?action=AUDIT_VALUE&amp;DB=129&amp;ID1=92829810&amp;VALUEID=02001&amp;SDATE=200901&amp;PERIODTYPE=QTR_STD&amp;SCFT=3&amp;window=popup_no_bar&amp;width=385&amp;height=120&amp;START_MAXIMIZED=FALSE&amp;creator=factset&amp;display_string=Audit"}</definedName>
    <definedName name="_1041__FDSAUDITLINK__" localSheetId="7" hidden="1">{"fdsup://Directions/FactSet Auditing Viewer?action=AUDIT_VALUE&amp;DB=129&amp;ID1=88250810&amp;VALUEID=02001&amp;SDATE=200901&amp;PERIODTYPE=QTR_STD&amp;SCFT=3&amp;window=popup_no_bar&amp;width=385&amp;height=120&amp;START_MAXIMIZED=FALSE&amp;creator=factset&amp;display_string=Audit"}</definedName>
    <definedName name="_1041__FDSAUDITLINK__" hidden="1">{"fdsup://Directions/FactSet Auditing Viewer?action=AUDIT_VALUE&amp;DB=129&amp;ID1=88250810&amp;VALUEID=02001&amp;SDATE=200901&amp;PERIODTYPE=QTR_STD&amp;SCFT=3&amp;window=popup_no_bar&amp;width=385&amp;height=120&amp;START_MAXIMIZED=FALSE&amp;creator=factset&amp;display_string=Audit"}</definedName>
    <definedName name="_1042__FDSAUDITLINK__" localSheetId="7" hidden="1">{"fdsup://Directions/FactSet Auditing Viewer?action=AUDIT_VALUE&amp;DB=129&amp;ID1=88250810&amp;VALUEID=02001&amp;SDATE=200901&amp;PERIODTYPE=QTR_STD&amp;SCFT=3&amp;window=popup_no_bar&amp;width=385&amp;height=120&amp;START_MAXIMIZED=FALSE&amp;creator=factset&amp;display_string=Audit"}</definedName>
    <definedName name="_1042__FDSAUDITLINK__" hidden="1">{"fdsup://Directions/FactSet Auditing Viewer?action=AUDIT_VALUE&amp;DB=129&amp;ID1=88250810&amp;VALUEID=02001&amp;SDATE=200901&amp;PERIODTYPE=QTR_STD&amp;SCFT=3&amp;window=popup_no_bar&amp;width=385&amp;height=120&amp;START_MAXIMIZED=FALSE&amp;creator=factset&amp;display_string=Audit"}</definedName>
    <definedName name="_1043__FDSAUDITLINK__" localSheetId="7" hidden="1">{"fdsup://Directions/FactSet Auditing Viewer?action=AUDIT_VALUE&amp;DB=129&amp;ID1=89674K10&amp;VALUEID=02001&amp;SDATE=200901&amp;PERIODTYPE=QTR_STD&amp;SCFT=3&amp;window=popup_no_bar&amp;width=385&amp;height=120&amp;START_MAXIMIZED=FALSE&amp;creator=factset&amp;display_string=Audit"}</definedName>
    <definedName name="_1043__FDSAUDITLINK__" hidden="1">{"fdsup://Directions/FactSet Auditing Viewer?action=AUDIT_VALUE&amp;DB=129&amp;ID1=89674K10&amp;VALUEID=02001&amp;SDATE=200901&amp;PERIODTYPE=QTR_STD&amp;SCFT=3&amp;window=popup_no_bar&amp;width=385&amp;height=120&amp;START_MAXIMIZED=FALSE&amp;creator=factset&amp;display_string=Audit"}</definedName>
    <definedName name="_1044__FDSAUDITLINK__" localSheetId="7" hidden="1">{"fdsup://Directions/FactSet Auditing Viewer?action=AUDIT_VALUE&amp;DB=129&amp;ID1=89674K10&amp;VALUEID=02001&amp;SDATE=200901&amp;PERIODTYPE=QTR_STD&amp;SCFT=3&amp;window=popup_no_bar&amp;width=385&amp;height=120&amp;START_MAXIMIZED=FALSE&amp;creator=factset&amp;display_string=Audit"}</definedName>
    <definedName name="_1044__FDSAUDITLINK__" hidden="1">{"fdsup://Directions/FactSet Auditing Viewer?action=AUDIT_VALUE&amp;DB=129&amp;ID1=89674K10&amp;VALUEID=02001&amp;SDATE=200901&amp;PERIODTYPE=QTR_STD&amp;SCFT=3&amp;window=popup_no_bar&amp;width=385&amp;height=120&amp;START_MAXIMIZED=FALSE&amp;creator=factset&amp;display_string=Audit"}</definedName>
    <definedName name="_1045__FDSAUDITLINK__" localSheetId="7" hidden="1">{"fdsup://Directions/FactSet Auditing Viewer?action=AUDIT_VALUE&amp;DB=129&amp;ID1=83088M10&amp;VALUEID=02001&amp;SDATE=200902&amp;PERIODTYPE=QTR_STD&amp;SCFT=3&amp;window=popup_no_bar&amp;width=385&amp;height=120&amp;START_MAXIMIZED=FALSE&amp;creator=factset&amp;display_string=Audit"}</definedName>
    <definedName name="_1045__FDSAUDITLINK__" hidden="1">{"fdsup://Directions/FactSet Auditing Viewer?action=AUDIT_VALUE&amp;DB=129&amp;ID1=83088M10&amp;VALUEID=02001&amp;SDATE=200902&amp;PERIODTYPE=QTR_STD&amp;SCFT=3&amp;window=popup_no_bar&amp;width=385&amp;height=120&amp;START_MAXIMIZED=FALSE&amp;creator=factset&amp;display_string=Audit"}</definedName>
    <definedName name="_1046__FDSAUDITLINK__" localSheetId="7" hidden="1">{"fdsup://Directions/FactSet Auditing Viewer?action=AUDIT_VALUE&amp;DB=129&amp;ID1=83088M10&amp;VALUEID=02001&amp;SDATE=200902&amp;PERIODTYPE=QTR_STD&amp;SCFT=3&amp;window=popup_no_bar&amp;width=385&amp;height=120&amp;START_MAXIMIZED=FALSE&amp;creator=factset&amp;display_string=Audit"}</definedName>
    <definedName name="_1046__FDSAUDITLINK__" hidden="1">{"fdsup://Directions/FactSet Auditing Viewer?action=AUDIT_VALUE&amp;DB=129&amp;ID1=83088M10&amp;VALUEID=02001&amp;SDATE=200902&amp;PERIODTYPE=QTR_STD&amp;SCFT=3&amp;window=popup_no_bar&amp;width=385&amp;height=120&amp;START_MAXIMIZED=FALSE&amp;creator=factset&amp;display_string=Audit"}</definedName>
    <definedName name="_1047__FDSAUDITLINK__" localSheetId="7" hidden="1">{"fdsup://Directions/FactSet Auditing Viewer?action=AUDIT_VALUE&amp;DB=129&amp;ID1=G7945M10&amp;VALUEID=02001&amp;SDATE=200903&amp;PERIODTYPE=QTR_STD&amp;SCFT=3&amp;window=popup_no_bar&amp;width=385&amp;height=120&amp;START_MAXIMIZED=FALSE&amp;creator=factset&amp;display_string=Audit"}</definedName>
    <definedName name="_1047__FDSAUDITLINK__" hidden="1">{"fdsup://Directions/FactSet Auditing Viewer?action=AUDIT_VALUE&amp;DB=129&amp;ID1=G7945M10&amp;VALUEID=02001&amp;SDATE=200903&amp;PERIODTYPE=QTR_STD&amp;SCFT=3&amp;window=popup_no_bar&amp;width=385&amp;height=120&amp;START_MAXIMIZED=FALSE&amp;creator=factset&amp;display_string=Audit"}</definedName>
    <definedName name="_1048__FDSAUDITLINK__" localSheetId="7" hidden="1">{"fdsup://Directions/FactSet Auditing Viewer?action=AUDIT_VALUE&amp;DB=129&amp;ID1=G7945M10&amp;VALUEID=02001&amp;SDATE=200903&amp;PERIODTYPE=QTR_STD&amp;SCFT=3&amp;window=popup_no_bar&amp;width=385&amp;height=120&amp;START_MAXIMIZED=FALSE&amp;creator=factset&amp;display_string=Audit"}</definedName>
    <definedName name="_1048__FDSAUDITLINK__" hidden="1">{"fdsup://Directions/FactSet Auditing Viewer?action=AUDIT_VALUE&amp;DB=129&amp;ID1=G7945M10&amp;VALUEID=02001&amp;SDATE=200903&amp;PERIODTYPE=QTR_STD&amp;SCFT=3&amp;window=popup_no_bar&amp;width=385&amp;height=120&amp;START_MAXIMIZED=FALSE&amp;creator=factset&amp;display_string=Audit"}</definedName>
    <definedName name="_1049__FDSAUDITLINK__" localSheetId="7" hidden="1">{"fdsup://Directions/FactSet Auditing Viewer?action=AUDIT_VALUE&amp;DB=129&amp;ID1=78477410&amp;VALUEID=02001&amp;SDATE=200901&amp;PERIODTYPE=QTR_STD&amp;SCFT=3&amp;window=popup_no_bar&amp;width=385&amp;height=120&amp;START_MAXIMIZED=FALSE&amp;creator=factset&amp;display_string=Audit"}</definedName>
    <definedName name="_1049__FDSAUDITLINK__" hidden="1">{"fdsup://Directions/FactSet Auditing Viewer?action=AUDIT_VALUE&amp;DB=129&amp;ID1=78477410&amp;VALUEID=02001&amp;SDATE=200901&amp;PERIODTYPE=QTR_STD&amp;SCFT=3&amp;window=popup_no_bar&amp;width=385&amp;height=120&amp;START_MAXIMIZED=FALSE&amp;creator=factset&amp;display_string=Audit"}</definedName>
    <definedName name="_105__FDSAUDITLINK__" localSheetId="7" hidden="1">{"fdsup://Directions/FactSet Auditing Viewer?action=AUDIT_VALUE&amp;DB=129&amp;ID1=H2906T10&amp;VALUEID=02001&amp;SDATE=201101&amp;PERIODTYPE=QTR_STD&amp;SCFT=3&amp;window=popup_no_bar&amp;width=385&amp;height=120&amp;START_MAXIMIZED=FALSE&amp;creator=factset&amp;display_string=Audit"}</definedName>
    <definedName name="_105__FDSAUDITLINK__" hidden="1">{"fdsup://Directions/FactSet Auditing Viewer?action=AUDIT_VALUE&amp;DB=129&amp;ID1=H2906T10&amp;VALUEID=02001&amp;SDATE=201101&amp;PERIODTYPE=QTR_STD&amp;SCFT=3&amp;window=popup_no_bar&amp;width=385&amp;height=120&amp;START_MAXIMIZED=FALSE&amp;creator=factset&amp;display_string=Audit"}</definedName>
    <definedName name="_1050__FDSAUDITLINK__" localSheetId="7" hidden="1">{"fdsup://Directions/FactSet Auditing Viewer?action=AUDIT_VALUE&amp;DB=129&amp;ID1=78477410&amp;VALUEID=02001&amp;SDATE=200901&amp;PERIODTYPE=QTR_STD&amp;SCFT=3&amp;window=popup_no_bar&amp;width=385&amp;height=120&amp;START_MAXIMIZED=FALSE&amp;creator=factset&amp;display_string=Audit"}</definedName>
    <definedName name="_1050__FDSAUDITLINK__" hidden="1">{"fdsup://Directions/FactSet Auditing Viewer?action=AUDIT_VALUE&amp;DB=129&amp;ID1=78477410&amp;VALUEID=02001&amp;SDATE=200901&amp;PERIODTYPE=QTR_STD&amp;SCFT=3&amp;window=popup_no_bar&amp;width=385&amp;height=120&amp;START_MAXIMIZED=FALSE&amp;creator=factset&amp;display_string=Audit"}</definedName>
    <definedName name="_1051__FDSAUDITLINK__" localSheetId="7" hidden="1">{"fdsup://Directions/FactSet Auditing Viewer?action=AUDIT_VALUE&amp;DB=129&amp;ID1=82705710&amp;VALUEID=02001&amp;SDATE=200901&amp;PERIODTYPE=QTR_STD&amp;SCFT=3&amp;window=popup_no_bar&amp;width=385&amp;height=120&amp;START_MAXIMIZED=FALSE&amp;creator=factset&amp;display_string=Audit"}</definedName>
    <definedName name="_1051__FDSAUDITLINK__" hidden="1">{"fdsup://Directions/FactSet Auditing Viewer?action=AUDIT_VALUE&amp;DB=129&amp;ID1=82705710&amp;VALUEID=02001&amp;SDATE=200901&amp;PERIODTYPE=QTR_STD&amp;SCFT=3&amp;window=popup_no_bar&amp;width=385&amp;height=120&amp;START_MAXIMIZED=FALSE&amp;creator=factset&amp;display_string=Audit"}</definedName>
    <definedName name="_1052__FDSAUDITLINK__" localSheetId="7" hidden="1">{"fdsup://Directions/FactSet Auditing Viewer?action=AUDIT_VALUE&amp;DB=129&amp;ID1=82705710&amp;VALUEID=02001&amp;SDATE=200901&amp;PERIODTYPE=QTR_STD&amp;SCFT=3&amp;window=popup_no_bar&amp;width=385&amp;height=120&amp;START_MAXIMIZED=FALSE&amp;creator=factset&amp;display_string=Audit"}</definedName>
    <definedName name="_1052__FDSAUDITLINK__" hidden="1">{"fdsup://Directions/FactSet Auditing Viewer?action=AUDIT_VALUE&amp;DB=129&amp;ID1=82705710&amp;VALUEID=02001&amp;SDATE=200901&amp;PERIODTYPE=QTR_STD&amp;SCFT=3&amp;window=popup_no_bar&amp;width=385&amp;height=120&amp;START_MAXIMIZED=FALSE&amp;creator=factset&amp;display_string=Audit"}</definedName>
    <definedName name="_1053__FDSAUDITLINK__" localSheetId="7" hidden="1">{"fdsup://Directions/FactSet Auditing Viewer?action=AUDIT_VALUE&amp;DB=129&amp;ID1=83547010&amp;VALUEID=02001&amp;SDATE=200901&amp;PERIODTYPE=QTR_STD&amp;SCFT=3&amp;window=popup_no_bar&amp;width=385&amp;height=120&amp;START_MAXIMIZED=FALSE&amp;creator=factset&amp;display_string=Audit"}</definedName>
    <definedName name="_1053__FDSAUDITLINK__" hidden="1">{"fdsup://Directions/FactSet Auditing Viewer?action=AUDIT_VALUE&amp;DB=129&amp;ID1=83547010&amp;VALUEID=02001&amp;SDATE=200901&amp;PERIODTYPE=QTR_STD&amp;SCFT=3&amp;window=popup_no_bar&amp;width=385&amp;height=120&amp;START_MAXIMIZED=FALSE&amp;creator=factset&amp;display_string=Audit"}</definedName>
    <definedName name="_1054__FDSAUDITLINK__" localSheetId="7" hidden="1">{"fdsup://Directions/FactSet Auditing Viewer?action=AUDIT_VALUE&amp;DB=129&amp;ID1=83547010&amp;VALUEID=02001&amp;SDATE=200901&amp;PERIODTYPE=QTR_STD&amp;SCFT=3&amp;window=popup_no_bar&amp;width=385&amp;height=120&amp;START_MAXIMIZED=FALSE&amp;creator=factset&amp;display_string=Audit"}</definedName>
    <definedName name="_1054__FDSAUDITLINK__" hidden="1">{"fdsup://Directions/FactSet Auditing Viewer?action=AUDIT_VALUE&amp;DB=129&amp;ID1=83547010&amp;VALUEID=02001&amp;SDATE=200901&amp;PERIODTYPE=QTR_STD&amp;SCFT=3&amp;window=popup_no_bar&amp;width=385&amp;height=120&amp;START_MAXIMIZED=FALSE&amp;creator=factset&amp;display_string=Audit"}</definedName>
    <definedName name="_1055__FDSAUDITLINK__" localSheetId="7" hidden="1">{"fdsup://Directions/FactSet Auditing Viewer?action=AUDIT_VALUE&amp;DB=129&amp;ID1=80004C10&amp;VALUEID=02001&amp;SDATE=200901&amp;PERIODTYPE=QTR_STD&amp;SCFT=3&amp;window=popup_no_bar&amp;width=385&amp;height=120&amp;START_MAXIMIZED=FALSE&amp;creator=factset&amp;display_string=Audit"}</definedName>
    <definedName name="_1055__FDSAUDITLINK__" hidden="1">{"fdsup://Directions/FactSet Auditing Viewer?action=AUDIT_VALUE&amp;DB=129&amp;ID1=80004C10&amp;VALUEID=02001&amp;SDATE=200901&amp;PERIODTYPE=QTR_STD&amp;SCFT=3&amp;window=popup_no_bar&amp;width=385&amp;height=120&amp;START_MAXIMIZED=FALSE&amp;creator=factset&amp;display_string=Audit"}</definedName>
    <definedName name="_1056__FDSAUDITLINK__" localSheetId="7" hidden="1">{"fdsup://Directions/FactSet Auditing Viewer?action=AUDIT_VALUE&amp;DB=129&amp;ID1=80004C10&amp;VALUEID=02001&amp;SDATE=200901&amp;PERIODTYPE=QTR_STD&amp;SCFT=3&amp;window=popup_no_bar&amp;width=385&amp;height=120&amp;START_MAXIMIZED=FALSE&amp;creator=factset&amp;display_string=Audit"}</definedName>
    <definedName name="_1056__FDSAUDITLINK__" hidden="1">{"fdsup://Directions/FactSet Auditing Viewer?action=AUDIT_VALUE&amp;DB=129&amp;ID1=80004C10&amp;VALUEID=02001&amp;SDATE=200901&amp;PERIODTYPE=QTR_STD&amp;SCFT=3&amp;window=popup_no_bar&amp;width=385&amp;height=120&amp;START_MAXIMIZED=FALSE&amp;creator=factset&amp;display_string=Audit"}</definedName>
    <definedName name="_1057__FDSAUDITLINK__" localSheetId="7" hidden="1">{"fdsup://Directions/FactSet Auditing Viewer?action=AUDIT_VALUE&amp;DB=129&amp;ID1=82691910&amp;VALUEID=02001&amp;SDATE=200901&amp;PERIODTYPE=QTR_STD&amp;SCFT=3&amp;window=popup_no_bar&amp;width=385&amp;height=120&amp;START_MAXIMIZED=FALSE&amp;creator=factset&amp;display_string=Audit"}</definedName>
    <definedName name="_1057__FDSAUDITLINK__" hidden="1">{"fdsup://Directions/FactSet Auditing Viewer?action=AUDIT_VALUE&amp;DB=129&amp;ID1=82691910&amp;VALUEID=02001&amp;SDATE=200901&amp;PERIODTYPE=QTR_STD&amp;SCFT=3&amp;window=popup_no_bar&amp;width=385&amp;height=120&amp;START_MAXIMIZED=FALSE&amp;creator=factset&amp;display_string=Audit"}</definedName>
    <definedName name="_1058__FDSAUDITLINK__" localSheetId="7" hidden="1">{"fdsup://Directions/FactSet Auditing Viewer?action=AUDIT_VALUE&amp;DB=129&amp;ID1=82691910&amp;VALUEID=02001&amp;SDATE=200901&amp;PERIODTYPE=QTR_STD&amp;SCFT=3&amp;window=popup_no_bar&amp;width=385&amp;height=120&amp;START_MAXIMIZED=FALSE&amp;creator=factset&amp;display_string=Audit"}</definedName>
    <definedName name="_1058__FDSAUDITLINK__" hidden="1">{"fdsup://Directions/FactSet Auditing Viewer?action=AUDIT_VALUE&amp;DB=129&amp;ID1=82691910&amp;VALUEID=02001&amp;SDATE=200901&amp;PERIODTYPE=QTR_STD&amp;SCFT=3&amp;window=popup_no_bar&amp;width=385&amp;height=120&amp;START_MAXIMIZED=FALSE&amp;creator=factset&amp;display_string=Audit"}</definedName>
    <definedName name="_1059__FDSAUDITLINK__" localSheetId="7" hidden="1">{"fdsup://Directions/FactSet Auditing Viewer?action=AUDIT_VALUE&amp;DB=129&amp;ID1=82705T10&amp;VALUEID=02001&amp;SDATE=200901&amp;PERIODTYPE=QTR_STD&amp;SCFT=3&amp;window=popup_no_bar&amp;width=385&amp;height=120&amp;START_MAXIMIZED=FALSE&amp;creator=factset&amp;display_string=Audit"}</definedName>
    <definedName name="_1059__FDSAUDITLINK__" hidden="1">{"fdsup://Directions/FactSet Auditing Viewer?action=AUDIT_VALUE&amp;DB=129&amp;ID1=82705T10&amp;VALUEID=02001&amp;SDATE=200901&amp;PERIODTYPE=QTR_STD&amp;SCFT=3&amp;window=popup_no_bar&amp;width=385&amp;height=120&amp;START_MAXIMIZED=FALSE&amp;creator=factset&amp;display_string=Audit"}</definedName>
    <definedName name="_106__FDSAUDITLINK__" localSheetId="7" hidden="1">{"fdsup://Directions/FactSet Auditing Viewer?action=AUDIT_VALUE&amp;DB=129&amp;ID1=H2906T10&amp;VALUEID=02001&amp;SDATE=201101&amp;PERIODTYPE=QTR_STD&amp;SCFT=3&amp;window=popup_no_bar&amp;width=385&amp;height=120&amp;START_MAXIMIZED=FALSE&amp;creator=factset&amp;display_string=Audit"}</definedName>
    <definedName name="_106__FDSAUDITLINK__" hidden="1">{"fdsup://Directions/FactSet Auditing Viewer?action=AUDIT_VALUE&amp;DB=129&amp;ID1=H2906T10&amp;VALUEID=02001&amp;SDATE=201101&amp;PERIODTYPE=QTR_STD&amp;SCFT=3&amp;window=popup_no_bar&amp;width=385&amp;height=120&amp;START_MAXIMIZED=FALSE&amp;creator=factset&amp;display_string=Audit"}</definedName>
    <definedName name="_1060__FDSAUDITLINK__" localSheetId="7" hidden="1">{"fdsup://Directions/FactSet Auditing Viewer?action=AUDIT_VALUE&amp;DB=129&amp;ID1=82705T10&amp;VALUEID=02001&amp;SDATE=200901&amp;PERIODTYPE=QTR_STD&amp;SCFT=3&amp;window=popup_no_bar&amp;width=385&amp;height=120&amp;START_MAXIMIZED=FALSE&amp;creator=factset&amp;display_string=Audit"}</definedName>
    <definedName name="_1060__FDSAUDITLINK__" hidden="1">{"fdsup://Directions/FactSet Auditing Viewer?action=AUDIT_VALUE&amp;DB=129&amp;ID1=82705T10&amp;VALUEID=02001&amp;SDATE=200901&amp;PERIODTYPE=QTR_STD&amp;SCFT=3&amp;window=popup_no_bar&amp;width=385&amp;height=120&amp;START_MAXIMIZED=FALSE&amp;creator=factset&amp;display_string=Audit"}</definedName>
    <definedName name="_1061__FDSAUDITLINK__" localSheetId="7" hidden="1">{"fdsup://Directions/FactSet Auditing Viewer?action=AUDIT_VALUE&amp;DB=129&amp;ID1=75091710&amp;VALUEID=02001&amp;SDATE=200901&amp;PERIODTYPE=QTR_STD&amp;SCFT=3&amp;window=popup_no_bar&amp;width=385&amp;height=120&amp;START_MAXIMIZED=FALSE&amp;creator=factset&amp;display_string=Audit"}</definedName>
    <definedName name="_1061__FDSAUDITLINK__" hidden="1">{"fdsup://Directions/FactSet Auditing Viewer?action=AUDIT_VALUE&amp;DB=129&amp;ID1=75091710&amp;VALUEID=02001&amp;SDATE=200901&amp;PERIODTYPE=QTR_STD&amp;SCFT=3&amp;window=popup_no_bar&amp;width=385&amp;height=120&amp;START_MAXIMIZED=FALSE&amp;creator=factset&amp;display_string=Audit"}</definedName>
    <definedName name="_1062__FDSAUDITLINK__" localSheetId="7" hidden="1">{"fdsup://Directions/FactSet Auditing Viewer?action=AUDIT_VALUE&amp;DB=129&amp;ID1=75091710&amp;VALUEID=02001&amp;SDATE=200901&amp;PERIODTYPE=QTR_STD&amp;SCFT=3&amp;window=popup_no_bar&amp;width=385&amp;height=120&amp;START_MAXIMIZED=FALSE&amp;creator=factset&amp;display_string=Audit"}</definedName>
    <definedName name="_1062__FDSAUDITLINK__" hidden="1">{"fdsup://Directions/FactSet Auditing Viewer?action=AUDIT_VALUE&amp;DB=129&amp;ID1=75091710&amp;VALUEID=02001&amp;SDATE=200901&amp;PERIODTYPE=QTR_STD&amp;SCFT=3&amp;window=popup_no_bar&amp;width=385&amp;height=120&amp;START_MAXIMIZED=FALSE&amp;creator=factset&amp;display_string=Audit"}</definedName>
    <definedName name="_1063__FDSAUDITLINK__" localSheetId="7" hidden="1">{"fdsup://Directions/FactSet Auditing Viewer?action=AUDIT_VALUE&amp;DB=129&amp;ID1=74752510&amp;VALUEID=02001&amp;SDATE=200902&amp;PERIODTYPE=QTR_STD&amp;SCFT=3&amp;window=popup_no_bar&amp;width=385&amp;height=120&amp;START_MAXIMIZED=FALSE&amp;creator=factset&amp;display_string=Audit"}</definedName>
    <definedName name="_1063__FDSAUDITLINK__" hidden="1">{"fdsup://Directions/FactSet Auditing Viewer?action=AUDIT_VALUE&amp;DB=129&amp;ID1=74752510&amp;VALUEID=02001&amp;SDATE=200902&amp;PERIODTYPE=QTR_STD&amp;SCFT=3&amp;window=popup_no_bar&amp;width=385&amp;height=120&amp;START_MAXIMIZED=FALSE&amp;creator=factset&amp;display_string=Audit"}</definedName>
    <definedName name="_1064__FDSAUDITLINK__" localSheetId="7" hidden="1">{"fdsup://Directions/FactSet Auditing Viewer?action=AUDIT_VALUE&amp;DB=129&amp;ID1=74752510&amp;VALUEID=02001&amp;SDATE=200902&amp;PERIODTYPE=QTR_STD&amp;SCFT=3&amp;window=popup_no_bar&amp;width=385&amp;height=120&amp;START_MAXIMIZED=FALSE&amp;creator=factset&amp;display_string=Audit"}</definedName>
    <definedName name="_1064__FDSAUDITLINK__" hidden="1">{"fdsup://Directions/FactSet Auditing Viewer?action=AUDIT_VALUE&amp;DB=129&amp;ID1=74752510&amp;VALUEID=02001&amp;SDATE=200902&amp;PERIODTYPE=QTR_STD&amp;SCFT=3&amp;window=popup_no_bar&amp;width=385&amp;height=120&amp;START_MAXIMIZED=FALSE&amp;creator=factset&amp;display_string=Audit"}</definedName>
    <definedName name="_1065__FDSAUDITLINK__" localSheetId="7" hidden="1">{"fdsup://Directions/FactSet Auditing Viewer?action=AUDIT_VALUE&amp;DB=129&amp;ID1=72581M30&amp;VALUEID=02001&amp;SDATE=200901&amp;PERIODTYPE=QTR_STD&amp;SCFT=3&amp;window=popup_no_bar&amp;width=385&amp;height=120&amp;START_MAXIMIZED=FALSE&amp;creator=factset&amp;display_string=Audit"}</definedName>
    <definedName name="_1065__FDSAUDITLINK__" hidden="1">{"fdsup://Directions/FactSet Auditing Viewer?action=AUDIT_VALUE&amp;DB=129&amp;ID1=72581M30&amp;VALUEID=02001&amp;SDATE=200901&amp;PERIODTYPE=QTR_STD&amp;SCFT=3&amp;window=popup_no_bar&amp;width=385&amp;height=120&amp;START_MAXIMIZED=FALSE&amp;creator=factset&amp;display_string=Audit"}</definedName>
    <definedName name="_1066__FDSAUDITLINK__" localSheetId="7" hidden="1">{"fdsup://Directions/FactSet Auditing Viewer?action=AUDIT_VALUE&amp;DB=129&amp;ID1=72581M30&amp;VALUEID=02001&amp;SDATE=200901&amp;PERIODTYPE=QTR_STD&amp;SCFT=3&amp;window=popup_no_bar&amp;width=385&amp;height=120&amp;START_MAXIMIZED=FALSE&amp;creator=factset&amp;display_string=Audit"}</definedName>
    <definedName name="_1066__FDSAUDITLINK__" hidden="1">{"fdsup://Directions/FactSet Auditing Viewer?action=AUDIT_VALUE&amp;DB=129&amp;ID1=72581M30&amp;VALUEID=02001&amp;SDATE=200901&amp;PERIODTYPE=QTR_STD&amp;SCFT=3&amp;window=popup_no_bar&amp;width=385&amp;height=120&amp;START_MAXIMIZED=FALSE&amp;creator=factset&amp;display_string=Audit"}</definedName>
    <definedName name="_1067__FDSAUDITLINK__" localSheetId="7" hidden="1">{"fdsup://Directions/FactSet Auditing Viewer?action=AUDIT_VALUE&amp;DB=129&amp;ID1=73927610&amp;VALUEID=02001&amp;SDATE=200901&amp;PERIODTYPE=QTR_STD&amp;SCFT=3&amp;window=popup_no_bar&amp;width=385&amp;height=120&amp;START_MAXIMIZED=FALSE&amp;creator=factset&amp;display_string=Audit"}</definedName>
    <definedName name="_1067__FDSAUDITLINK__" hidden="1">{"fdsup://Directions/FactSet Auditing Viewer?action=AUDIT_VALUE&amp;DB=129&amp;ID1=73927610&amp;VALUEID=02001&amp;SDATE=200901&amp;PERIODTYPE=QTR_STD&amp;SCFT=3&amp;window=popup_no_bar&amp;width=385&amp;height=120&amp;START_MAXIMIZED=FALSE&amp;creator=factset&amp;display_string=Audit"}</definedName>
    <definedName name="_1068__FDSAUDITLINK__" localSheetId="7" hidden="1">{"fdsup://Directions/FactSet Auditing Viewer?action=AUDIT_VALUE&amp;DB=129&amp;ID1=73927610&amp;VALUEID=02001&amp;SDATE=200901&amp;PERIODTYPE=QTR_STD&amp;SCFT=3&amp;window=popup_no_bar&amp;width=385&amp;height=120&amp;START_MAXIMIZED=FALSE&amp;creator=factset&amp;display_string=Audit"}</definedName>
    <definedName name="_1068__FDSAUDITLINK__" hidden="1">{"fdsup://Directions/FactSet Auditing Viewer?action=AUDIT_VALUE&amp;DB=129&amp;ID1=73927610&amp;VALUEID=02001&amp;SDATE=200901&amp;PERIODTYPE=QTR_STD&amp;SCFT=3&amp;window=popup_no_bar&amp;width=385&amp;height=120&amp;START_MAXIMIZED=FALSE&amp;creator=factset&amp;display_string=Audit"}</definedName>
    <definedName name="_1069__FDSAUDITLINK__" localSheetId="7" hidden="1">{"fdsup://Directions/FactSet Auditing Viewer?action=AUDIT_VALUE&amp;DB=129&amp;ID1=69344F10&amp;VALUEID=02001&amp;SDATE=200901&amp;PERIODTYPE=QTR_STD&amp;SCFT=3&amp;window=popup_no_bar&amp;width=385&amp;height=120&amp;START_MAXIMIZED=FALSE&amp;creator=factset&amp;display_string=Audit"}</definedName>
    <definedName name="_1069__FDSAUDITLINK__" hidden="1">{"fdsup://Directions/FactSet Auditing Viewer?action=AUDIT_VALUE&amp;DB=129&amp;ID1=69344F10&amp;VALUEID=02001&amp;SDATE=200901&amp;PERIODTYPE=QTR_STD&amp;SCFT=3&amp;window=popup_no_bar&amp;width=385&amp;height=120&amp;START_MAXIMIZED=FALSE&amp;creator=factset&amp;display_string=Audit"}</definedName>
    <definedName name="_107__FDSAUDITLINK__" localSheetId="7" hidden="1">{"fdsup://Directions/FactSet Auditing Viewer?action=AUDIT_VALUE&amp;DB=129&amp;ID1=34637510&amp;VALUEID=02001&amp;SDATE=201101&amp;PERIODTYPE=QTR_STD&amp;SCFT=3&amp;window=popup_no_bar&amp;width=385&amp;height=120&amp;START_MAXIMIZED=FALSE&amp;creator=factset&amp;display_string=Audit"}</definedName>
    <definedName name="_107__FDSAUDITLINK__" hidden="1">{"fdsup://Directions/FactSet Auditing Viewer?action=AUDIT_VALUE&amp;DB=129&amp;ID1=34637510&amp;VALUEID=02001&amp;SDATE=201101&amp;PERIODTYPE=QTR_STD&amp;SCFT=3&amp;window=popup_no_bar&amp;width=385&amp;height=120&amp;START_MAXIMIZED=FALSE&amp;creator=factset&amp;display_string=Audit"}</definedName>
    <definedName name="_1070__FDSAUDITLINK__" localSheetId="7" hidden="1">{"fdsup://Directions/FactSet Auditing Viewer?action=AUDIT_VALUE&amp;DB=129&amp;ID1=69344F10&amp;VALUEID=02001&amp;SDATE=200901&amp;PERIODTYPE=QTR_STD&amp;SCFT=3&amp;window=popup_no_bar&amp;width=385&amp;height=120&amp;START_MAXIMIZED=FALSE&amp;creator=factset&amp;display_string=Audit"}</definedName>
    <definedName name="_1070__FDSAUDITLINK__" hidden="1">{"fdsup://Directions/FactSet Auditing Viewer?action=AUDIT_VALUE&amp;DB=129&amp;ID1=69344F10&amp;VALUEID=02001&amp;SDATE=200901&amp;PERIODTYPE=QTR_STD&amp;SCFT=3&amp;window=popup_no_bar&amp;width=385&amp;height=120&amp;START_MAXIMIZED=FALSE&amp;creator=factset&amp;display_string=Audit"}</definedName>
    <definedName name="_1071__FDSAUDITLINK__" localSheetId="7" hidden="1">{"fdsup://Directions/FactSet Auditing Viewer?action=AUDIT_VALUE&amp;DB=129&amp;ID1=69341710&amp;VALUEID=02001&amp;SDATE=200901&amp;PERIODTYPE=QTR_STD&amp;SCFT=3&amp;window=popup_no_bar&amp;width=385&amp;height=120&amp;START_MAXIMIZED=FALSE&amp;creator=factset&amp;display_string=Audit"}</definedName>
    <definedName name="_1071__FDSAUDITLINK__" hidden="1">{"fdsup://Directions/FactSet Auditing Viewer?action=AUDIT_VALUE&amp;DB=129&amp;ID1=69341710&amp;VALUEID=02001&amp;SDATE=200901&amp;PERIODTYPE=QTR_STD&amp;SCFT=3&amp;window=popup_no_bar&amp;width=385&amp;height=120&amp;START_MAXIMIZED=FALSE&amp;creator=factset&amp;display_string=Audit"}</definedName>
    <definedName name="_1072__FDSAUDITLINK__" localSheetId="7" hidden="1">{"fdsup://Directions/FactSet Auditing Viewer?action=AUDIT_VALUE&amp;DB=129&amp;ID1=69341710&amp;VALUEID=02001&amp;SDATE=200901&amp;PERIODTYPE=QTR_STD&amp;SCFT=3&amp;window=popup_no_bar&amp;width=385&amp;height=120&amp;START_MAXIMIZED=FALSE&amp;creator=factset&amp;display_string=Audit"}</definedName>
    <definedName name="_1072__FDSAUDITLINK__" hidden="1">{"fdsup://Directions/FactSet Auditing Viewer?action=AUDIT_VALUE&amp;DB=129&amp;ID1=69341710&amp;VALUEID=02001&amp;SDATE=200901&amp;PERIODTYPE=QTR_STD&amp;SCFT=3&amp;window=popup_no_bar&amp;width=385&amp;height=120&amp;START_MAXIMIZED=FALSE&amp;creator=factset&amp;display_string=Audit"}</definedName>
    <definedName name="_1073__FDSAUDITLINK__" localSheetId="7" hidden="1">{"fdsup://Directions/FactSet Auditing Viewer?action=AUDIT_VALUE&amp;DB=129&amp;ID1=68218910&amp;VALUEID=02001&amp;SDATE=200901&amp;PERIODTYPE=QTR_STD&amp;SCFT=3&amp;window=popup_no_bar&amp;width=385&amp;height=120&amp;START_MAXIMIZED=FALSE&amp;creator=factset&amp;display_string=Audit"}</definedName>
    <definedName name="_1073__FDSAUDITLINK__" hidden="1">{"fdsup://Directions/FactSet Auditing Viewer?action=AUDIT_VALUE&amp;DB=129&amp;ID1=68218910&amp;VALUEID=02001&amp;SDATE=200901&amp;PERIODTYPE=QTR_STD&amp;SCFT=3&amp;window=popup_no_bar&amp;width=385&amp;height=120&amp;START_MAXIMIZED=FALSE&amp;creator=factset&amp;display_string=Audit"}</definedName>
    <definedName name="_1074__FDSAUDITLINK__" localSheetId="7" hidden="1">{"fdsup://Directions/FactSet Auditing Viewer?action=AUDIT_VALUE&amp;DB=129&amp;ID1=68218910&amp;VALUEID=02001&amp;SDATE=200901&amp;PERIODTYPE=QTR_STD&amp;SCFT=3&amp;window=popup_no_bar&amp;width=385&amp;height=120&amp;START_MAXIMIZED=FALSE&amp;creator=factset&amp;display_string=Audit"}</definedName>
    <definedName name="_1074__FDSAUDITLINK__" hidden="1">{"fdsup://Directions/FactSet Auditing Viewer?action=AUDIT_VALUE&amp;DB=129&amp;ID1=68218910&amp;VALUEID=02001&amp;SDATE=200901&amp;PERIODTYPE=QTR_STD&amp;SCFT=3&amp;window=popup_no_bar&amp;width=385&amp;height=120&amp;START_MAXIMIZED=FALSE&amp;creator=factset&amp;display_string=Audit"}</definedName>
    <definedName name="_1075__FDSAUDITLINK__" localSheetId="7" hidden="1">{"fdsup://Directions/FactSet Auditing Viewer?action=AUDIT_VALUE&amp;DB=129&amp;ID1=B505PN&amp;VALUEID=02001&amp;SDATE=200901&amp;PERIODTYPE=QTR_STD&amp;SCFT=3&amp;window=popup_no_bar&amp;width=385&amp;height=120&amp;START_MAXIMIZED=FALSE&amp;creator=factset&amp;display_string=Audit"}</definedName>
    <definedName name="_1075__FDSAUDITLINK__" hidden="1">{"fdsup://Directions/FactSet Auditing Viewer?action=AUDIT_VALUE&amp;DB=129&amp;ID1=B505PN&amp;VALUEID=02001&amp;SDATE=200901&amp;PERIODTYPE=QTR_STD&amp;SCFT=3&amp;window=popup_no_bar&amp;width=385&amp;height=120&amp;START_MAXIMIZED=FALSE&amp;creator=factset&amp;display_string=Audit"}</definedName>
    <definedName name="_1076__FDSAUDITLINK__" localSheetId="7" hidden="1">{"fdsup://Directions/FactSet Auditing Viewer?action=AUDIT_VALUE&amp;DB=129&amp;ID1=B505PN&amp;VALUEID=02001&amp;SDATE=200901&amp;PERIODTYPE=QTR_STD&amp;SCFT=3&amp;window=popup_no_bar&amp;width=385&amp;height=120&amp;START_MAXIMIZED=FALSE&amp;creator=factset&amp;display_string=Audit"}</definedName>
    <definedName name="_1076__FDSAUDITLINK__" hidden="1">{"fdsup://Directions/FactSet Auditing Viewer?action=AUDIT_VALUE&amp;DB=129&amp;ID1=B505PN&amp;VALUEID=02001&amp;SDATE=200901&amp;PERIODTYPE=QTR_STD&amp;SCFT=3&amp;window=popup_no_bar&amp;width=385&amp;height=120&amp;START_MAXIMIZED=FALSE&amp;creator=factset&amp;display_string=Audit"}</definedName>
    <definedName name="_1077__FDSAUDITLINK__" localSheetId="7" hidden="1">{"fdsup://Directions/FactSet Auditing Viewer?action=AUDIT_VALUE&amp;DB=129&amp;ID1=67000810&amp;VALUEID=02001&amp;SDATE=200901&amp;PERIODTYPE=QTR_STD&amp;SCFT=3&amp;window=popup_no_bar&amp;width=385&amp;height=120&amp;START_MAXIMIZED=FALSE&amp;creator=factset&amp;display_string=Audit"}</definedName>
    <definedName name="_1077__FDSAUDITLINK__" hidden="1">{"fdsup://Directions/FactSet Auditing Viewer?action=AUDIT_VALUE&amp;DB=129&amp;ID1=67000810&amp;VALUEID=02001&amp;SDATE=200901&amp;PERIODTYPE=QTR_STD&amp;SCFT=3&amp;window=popup_no_bar&amp;width=385&amp;height=120&amp;START_MAXIMIZED=FALSE&amp;creator=factset&amp;display_string=Audit"}</definedName>
    <definedName name="_1078__FDSAUDITLINK__" localSheetId="7" hidden="1">{"fdsup://Directions/FactSet Auditing Viewer?action=AUDIT_VALUE&amp;DB=129&amp;ID1=67000810&amp;VALUEID=02001&amp;SDATE=200901&amp;PERIODTYPE=QTR_STD&amp;SCFT=3&amp;window=popup_no_bar&amp;width=385&amp;height=120&amp;START_MAXIMIZED=FALSE&amp;creator=factset&amp;display_string=Audit"}</definedName>
    <definedName name="_1078__FDSAUDITLINK__" hidden="1">{"fdsup://Directions/FactSet Auditing Viewer?action=AUDIT_VALUE&amp;DB=129&amp;ID1=67000810&amp;VALUEID=02001&amp;SDATE=200901&amp;PERIODTYPE=QTR_STD&amp;SCFT=3&amp;window=popup_no_bar&amp;width=385&amp;height=120&amp;START_MAXIMIZED=FALSE&amp;creator=factset&amp;display_string=Audit"}</definedName>
    <definedName name="_1079__FDSAUDITLINK__" localSheetId="7" hidden="1">{"fdsup://Directions/FactSet Auditing Viewer?action=AUDIT_VALUE&amp;DB=129&amp;ID1=63764010&amp;VALUEID=02001&amp;SDATE=200803&amp;PERIODTYPE=QTR_STD&amp;SCFT=3&amp;window=popup_no_bar&amp;width=385&amp;height=120&amp;START_MAXIMIZED=FALSE&amp;creator=factset&amp;display_string=Audit"}</definedName>
    <definedName name="_1079__FDSAUDITLINK__" hidden="1">{"fdsup://Directions/FactSet Auditing Viewer?action=AUDIT_VALUE&amp;DB=129&amp;ID1=63764010&amp;VALUEID=02001&amp;SDATE=200803&amp;PERIODTYPE=QTR_STD&amp;SCFT=3&amp;window=popup_no_bar&amp;width=385&amp;height=120&amp;START_MAXIMIZED=FALSE&amp;creator=factset&amp;display_string=Audit"}</definedName>
    <definedName name="_108__FDSAUDITLINK__" localSheetId="7" hidden="1">{"fdsup://Directions/FactSet Auditing Viewer?action=AUDIT_VALUE&amp;DB=129&amp;ID1=34637510&amp;VALUEID=02001&amp;SDATE=201101&amp;PERIODTYPE=QTR_STD&amp;SCFT=3&amp;window=popup_no_bar&amp;width=385&amp;height=120&amp;START_MAXIMIZED=FALSE&amp;creator=factset&amp;display_string=Audit"}</definedName>
    <definedName name="_108__FDSAUDITLINK__" hidden="1">{"fdsup://Directions/FactSet Auditing Viewer?action=AUDIT_VALUE&amp;DB=129&amp;ID1=34637510&amp;VALUEID=02001&amp;SDATE=201101&amp;PERIODTYPE=QTR_STD&amp;SCFT=3&amp;window=popup_no_bar&amp;width=385&amp;height=120&amp;START_MAXIMIZED=FALSE&amp;creator=factset&amp;display_string=Audit"}</definedName>
    <definedName name="_1080__FDSAUDITLINK__" localSheetId="7" hidden="1">{"fdsup://Directions/FactSet Auditing Viewer?action=AUDIT_VALUE&amp;DB=129&amp;ID1=63764010&amp;VALUEID=02001&amp;SDATE=200803&amp;PERIODTYPE=QTR_STD&amp;SCFT=3&amp;window=popup_no_bar&amp;width=385&amp;height=120&amp;START_MAXIMIZED=FALSE&amp;creator=factset&amp;display_string=Audit"}</definedName>
    <definedName name="_1080__FDSAUDITLINK__" hidden="1">{"fdsup://Directions/FactSet Auditing Viewer?action=AUDIT_VALUE&amp;DB=129&amp;ID1=63764010&amp;VALUEID=02001&amp;SDATE=200803&amp;PERIODTYPE=QTR_STD&amp;SCFT=3&amp;window=popup_no_bar&amp;width=385&amp;height=120&amp;START_MAXIMIZED=FALSE&amp;creator=factset&amp;display_string=Audit"}</definedName>
    <definedName name="_1081__FDSAUDITLINK__" localSheetId="7" hidden="1">{"fdsup://Directions/FactSet Auditing Viewer?action=AUDIT_VALUE&amp;DB=129&amp;ID1=64118B10&amp;VALUEID=02001&amp;SDATE=200901&amp;PERIODTYPE=QTR_STD&amp;SCFT=3&amp;window=popup_no_bar&amp;width=385&amp;height=120&amp;START_MAXIMIZED=FALSE&amp;creator=factset&amp;display_string=Audit"}</definedName>
    <definedName name="_1081__FDSAUDITLINK__" hidden="1">{"fdsup://Directions/FactSet Auditing Viewer?action=AUDIT_VALUE&amp;DB=129&amp;ID1=64118B10&amp;VALUEID=02001&amp;SDATE=200901&amp;PERIODTYPE=QTR_STD&amp;SCFT=3&amp;window=popup_no_bar&amp;width=385&amp;height=120&amp;START_MAXIMIZED=FALSE&amp;creator=factset&amp;display_string=Audit"}</definedName>
    <definedName name="_1082__FDSAUDITLINK__" localSheetId="7" hidden="1">{"fdsup://Directions/FactSet Auditing Viewer?action=AUDIT_VALUE&amp;DB=129&amp;ID1=64118B10&amp;VALUEID=02001&amp;SDATE=200901&amp;PERIODTYPE=QTR_STD&amp;SCFT=3&amp;window=popup_no_bar&amp;width=385&amp;height=120&amp;START_MAXIMIZED=FALSE&amp;creator=factset&amp;display_string=Audit"}</definedName>
    <definedName name="_1082__FDSAUDITLINK__" hidden="1">{"fdsup://Directions/FactSet Auditing Viewer?action=AUDIT_VALUE&amp;DB=129&amp;ID1=64118B10&amp;VALUEID=02001&amp;SDATE=200901&amp;PERIODTYPE=QTR_STD&amp;SCFT=3&amp;window=popup_no_bar&amp;width=385&amp;height=120&amp;START_MAXIMIZED=FALSE&amp;creator=factset&amp;display_string=Audit"}</definedName>
    <definedName name="_1083__FDSAUDITLINK__" localSheetId="7" hidden="1">{"fdsup://Directions/FactSet Auditing Viewer?action=AUDIT_VALUE&amp;DB=129&amp;ID1=57772K10&amp;VALUEID=02001&amp;SDATE=200903&amp;PERIODTYPE=QTR_STD&amp;SCFT=3&amp;window=popup_no_bar&amp;width=385&amp;height=120&amp;START_MAXIMIZED=FALSE&amp;creator=factset&amp;display_string=Audit"}</definedName>
    <definedName name="_1083__FDSAUDITLINK__" hidden="1">{"fdsup://Directions/FactSet Auditing Viewer?action=AUDIT_VALUE&amp;DB=129&amp;ID1=57772K10&amp;VALUEID=02001&amp;SDATE=200903&amp;PERIODTYPE=QTR_STD&amp;SCFT=3&amp;window=popup_no_bar&amp;width=385&amp;height=120&amp;START_MAXIMIZED=FALSE&amp;creator=factset&amp;display_string=Audit"}</definedName>
    <definedName name="_1084__FDSAUDITLINK__" localSheetId="7" hidden="1">{"fdsup://Directions/FactSet Auditing Viewer?action=AUDIT_VALUE&amp;DB=129&amp;ID1=57772K10&amp;VALUEID=02001&amp;SDATE=200903&amp;PERIODTYPE=QTR_STD&amp;SCFT=3&amp;window=popup_no_bar&amp;width=385&amp;height=120&amp;START_MAXIMIZED=FALSE&amp;creator=factset&amp;display_string=Audit"}</definedName>
    <definedName name="_1084__FDSAUDITLINK__" hidden="1">{"fdsup://Directions/FactSet Auditing Viewer?action=AUDIT_VALUE&amp;DB=129&amp;ID1=57772K10&amp;VALUEID=02001&amp;SDATE=200903&amp;PERIODTYPE=QTR_STD&amp;SCFT=3&amp;window=popup_no_bar&amp;width=385&amp;height=120&amp;START_MAXIMIZED=FALSE&amp;creator=factset&amp;display_string=Audit"}</definedName>
    <definedName name="_1085__FDSAUDITLINK__" localSheetId="7" hidden="1">{"fdsup://Directions/FactSet Auditing Viewer?action=AUDIT_VALUE&amp;DB=129&amp;ID1=59511210&amp;VALUEID=02001&amp;SDATE=200902&amp;PERIODTYPE=QTR_STD&amp;SCFT=3&amp;window=popup_no_bar&amp;width=385&amp;height=120&amp;START_MAXIMIZED=FALSE&amp;creator=factset&amp;display_string=Audit"}</definedName>
    <definedName name="_1085__FDSAUDITLINK__" hidden="1">{"fdsup://Directions/FactSet Auditing Viewer?action=AUDIT_VALUE&amp;DB=129&amp;ID1=59511210&amp;VALUEID=02001&amp;SDATE=200902&amp;PERIODTYPE=QTR_STD&amp;SCFT=3&amp;window=popup_no_bar&amp;width=385&amp;height=120&amp;START_MAXIMIZED=FALSE&amp;creator=factset&amp;display_string=Audit"}</definedName>
    <definedName name="_1086__FDSAUDITLINK__" localSheetId="7" hidden="1">{"fdsup://Directions/FactSet Auditing Viewer?action=AUDIT_VALUE&amp;DB=129&amp;ID1=59511210&amp;VALUEID=02001&amp;SDATE=200902&amp;PERIODTYPE=QTR_STD&amp;SCFT=3&amp;window=popup_no_bar&amp;width=385&amp;height=120&amp;START_MAXIMIZED=FALSE&amp;creator=factset&amp;display_string=Audit"}</definedName>
    <definedName name="_1086__FDSAUDITLINK__" hidden="1">{"fdsup://Directions/FactSet Auditing Viewer?action=AUDIT_VALUE&amp;DB=129&amp;ID1=59511210&amp;VALUEID=02001&amp;SDATE=200902&amp;PERIODTYPE=QTR_STD&amp;SCFT=3&amp;window=popup_no_bar&amp;width=385&amp;height=120&amp;START_MAXIMIZED=FALSE&amp;creator=factset&amp;display_string=Audit"}</definedName>
    <definedName name="_1087__FDSAUDITLINK__" localSheetId="7" hidden="1">{"fdsup://Directions/FactSet Auditing Viewer?action=AUDIT_VALUE&amp;DB=129&amp;ID1=59513710&amp;VALUEID=02001&amp;SDATE=200902&amp;PERIODTYPE=QTR_STD&amp;SCFT=3&amp;window=popup_no_bar&amp;width=385&amp;height=120&amp;START_MAXIMIZED=FALSE&amp;creator=factset&amp;display_string=Audit"}</definedName>
    <definedName name="_1087__FDSAUDITLINK__" hidden="1">{"fdsup://Directions/FactSet Auditing Viewer?action=AUDIT_VALUE&amp;DB=129&amp;ID1=59513710&amp;VALUEID=02001&amp;SDATE=200902&amp;PERIODTYPE=QTR_STD&amp;SCFT=3&amp;window=popup_no_bar&amp;width=385&amp;height=120&amp;START_MAXIMIZED=FALSE&amp;creator=factset&amp;display_string=Audit"}</definedName>
    <definedName name="_1088__FDSAUDITLINK__" localSheetId="7" hidden="1">{"fdsup://Directions/FactSet Auditing Viewer?action=AUDIT_VALUE&amp;DB=129&amp;ID1=59513710&amp;VALUEID=02001&amp;SDATE=200902&amp;PERIODTYPE=QTR_STD&amp;SCFT=3&amp;window=popup_no_bar&amp;width=385&amp;height=120&amp;START_MAXIMIZED=FALSE&amp;creator=factset&amp;display_string=Audit"}</definedName>
    <definedName name="_1088__FDSAUDITLINK__" hidden="1">{"fdsup://Directions/FactSet Auditing Viewer?action=AUDIT_VALUE&amp;DB=129&amp;ID1=59513710&amp;VALUEID=02001&amp;SDATE=200902&amp;PERIODTYPE=QTR_STD&amp;SCFT=3&amp;window=popup_no_bar&amp;width=385&amp;height=120&amp;START_MAXIMIZED=FALSE&amp;creator=factset&amp;display_string=Audit"}</definedName>
    <definedName name="_1089__FDSAUDITLINK__" localSheetId="7" hidden="1">{"fdsup://Directions/FactSet Auditing Viewer?action=AUDIT_VALUE&amp;DB=129&amp;ID1=62007630&amp;VALUEID=02001&amp;SDATE=200901&amp;PERIODTYPE=QTR_STD&amp;SCFT=3&amp;window=popup_no_bar&amp;width=385&amp;height=120&amp;START_MAXIMIZED=FALSE&amp;creator=factset&amp;display_string=Audit"}</definedName>
    <definedName name="_1089__FDSAUDITLINK__" hidden="1">{"fdsup://Directions/FactSet Auditing Viewer?action=AUDIT_VALUE&amp;DB=129&amp;ID1=62007630&amp;VALUEID=02001&amp;SDATE=200901&amp;PERIODTYPE=QTR_STD&amp;SCFT=3&amp;window=popup_no_bar&amp;width=385&amp;height=120&amp;START_MAXIMIZED=FALSE&amp;creator=factset&amp;display_string=Audit"}</definedName>
    <definedName name="_109__FDSAUDITLINK__" localSheetId="7" hidden="1">{"fdsup://Directions/FactSet Auditing Viewer?action=AUDIT_VALUE&amp;DB=129&amp;ID1=31561610&amp;VALUEID=02001&amp;SDATE=201102&amp;PERIODTYPE=QTR_STD&amp;SCFT=3&amp;window=popup_no_bar&amp;width=385&amp;height=120&amp;START_MAXIMIZED=FALSE&amp;creator=factset&amp;display_string=Audit"}</definedName>
    <definedName name="_109__FDSAUDITLINK__" hidden="1">{"fdsup://Directions/FactSet Auditing Viewer?action=AUDIT_VALUE&amp;DB=129&amp;ID1=31561610&amp;VALUEID=02001&amp;SDATE=201102&amp;PERIODTYPE=QTR_STD&amp;SCFT=3&amp;window=popup_no_bar&amp;width=385&amp;height=120&amp;START_MAXIMIZED=FALSE&amp;creator=factset&amp;display_string=Audit"}</definedName>
    <definedName name="_1090__FDSAUDITLINK__" localSheetId="7" hidden="1">{"fdsup://Directions/FactSet Auditing Viewer?action=AUDIT_VALUE&amp;DB=129&amp;ID1=62007630&amp;VALUEID=02001&amp;SDATE=200901&amp;PERIODTYPE=QTR_STD&amp;SCFT=3&amp;window=popup_no_bar&amp;width=385&amp;height=120&amp;START_MAXIMIZED=FALSE&amp;creator=factset&amp;display_string=Audit"}</definedName>
    <definedName name="_1090__FDSAUDITLINK__" hidden="1">{"fdsup://Directions/FactSet Auditing Viewer?action=AUDIT_VALUE&amp;DB=129&amp;ID1=62007630&amp;VALUEID=02001&amp;SDATE=200901&amp;PERIODTYPE=QTR_STD&amp;SCFT=3&amp;window=popup_no_bar&amp;width=385&amp;height=120&amp;START_MAXIMIZED=FALSE&amp;creator=factset&amp;display_string=Audit"}</definedName>
    <definedName name="_1091__FDSAUDITLINK__" localSheetId="7" hidden="1">{"fdsup://Directions/FactSet Auditing Viewer?action=AUDIT_VALUE&amp;DB=129&amp;ID1=59479310&amp;VALUEID=02001&amp;SDATE=200901&amp;PERIODTYPE=QTR_STD&amp;SCFT=3&amp;window=popup_no_bar&amp;width=385&amp;height=120&amp;START_MAXIMIZED=FALSE&amp;creator=factset&amp;display_string=Audit"}</definedName>
    <definedName name="_1091__FDSAUDITLINK__" hidden="1">{"fdsup://Directions/FactSet Auditing Viewer?action=AUDIT_VALUE&amp;DB=129&amp;ID1=59479310&amp;VALUEID=02001&amp;SDATE=200901&amp;PERIODTYPE=QTR_STD&amp;SCFT=3&amp;window=popup_no_bar&amp;width=385&amp;height=120&amp;START_MAXIMIZED=FALSE&amp;creator=factset&amp;display_string=Audit"}</definedName>
    <definedName name="_1092__FDSAUDITLINK__" localSheetId="7" hidden="1">{"fdsup://Directions/FactSet Auditing Viewer?action=AUDIT_VALUE&amp;DB=129&amp;ID1=59479310&amp;VALUEID=02001&amp;SDATE=200901&amp;PERIODTYPE=QTR_STD&amp;SCFT=3&amp;window=popup_no_bar&amp;width=385&amp;height=120&amp;START_MAXIMIZED=FALSE&amp;creator=factset&amp;display_string=Audit"}</definedName>
    <definedName name="_1092__FDSAUDITLINK__" hidden="1">{"fdsup://Directions/FactSet Auditing Viewer?action=AUDIT_VALUE&amp;DB=129&amp;ID1=59479310&amp;VALUEID=02001&amp;SDATE=200901&amp;PERIODTYPE=QTR_STD&amp;SCFT=3&amp;window=popup_no_bar&amp;width=385&amp;height=120&amp;START_MAXIMIZED=FALSE&amp;creator=factset&amp;display_string=Audit"}</definedName>
    <definedName name="_1093__FDSAUDITLINK__" localSheetId="7" hidden="1">{"fdsup://Directions/FactSet Auditing Viewer?action=AUDIT_VALUE&amp;DB=129&amp;ID1=50216110&amp;VALUEID=02001&amp;SDATE=200901&amp;PERIODTYPE=QTR_STD&amp;SCFT=3&amp;window=popup_no_bar&amp;width=385&amp;height=120&amp;START_MAXIMIZED=FALSE&amp;creator=factset&amp;display_string=Audit"}</definedName>
    <definedName name="_1093__FDSAUDITLINK__" hidden="1">{"fdsup://Directions/FactSet Auditing Viewer?action=AUDIT_VALUE&amp;DB=129&amp;ID1=50216110&amp;VALUEID=02001&amp;SDATE=200901&amp;PERIODTYPE=QTR_STD&amp;SCFT=3&amp;window=popup_no_bar&amp;width=385&amp;height=120&amp;START_MAXIMIZED=FALSE&amp;creator=factset&amp;display_string=Audit"}</definedName>
    <definedName name="_1094__FDSAUDITLINK__" localSheetId="7" hidden="1">{"fdsup://Directions/FactSet Auditing Viewer?action=AUDIT_VALUE&amp;DB=129&amp;ID1=50216110&amp;VALUEID=02001&amp;SDATE=200901&amp;PERIODTYPE=QTR_STD&amp;SCFT=3&amp;window=popup_no_bar&amp;width=385&amp;height=120&amp;START_MAXIMIZED=FALSE&amp;creator=factset&amp;display_string=Audit"}</definedName>
    <definedName name="_1094__FDSAUDITLINK__" hidden="1">{"fdsup://Directions/FactSet Auditing Viewer?action=AUDIT_VALUE&amp;DB=129&amp;ID1=50216110&amp;VALUEID=02001&amp;SDATE=200901&amp;PERIODTYPE=QTR_STD&amp;SCFT=3&amp;window=popup_no_bar&amp;width=385&amp;height=120&amp;START_MAXIMIZED=FALSE&amp;creator=factset&amp;display_string=Audit"}</definedName>
    <definedName name="_1095__FDSAUDITLINK__" localSheetId="7" hidden="1">{"fdsup://Directions/FactSet Auditing Viewer?action=AUDIT_VALUE&amp;DB=129&amp;ID1=51841510&amp;VALUEID=02001&amp;SDATE=200901&amp;PERIODTYPE=QTR_STD&amp;SCFT=3&amp;window=popup_no_bar&amp;width=385&amp;height=120&amp;START_MAXIMIZED=FALSE&amp;creator=factset&amp;display_string=Audit"}</definedName>
    <definedName name="_1095__FDSAUDITLINK__" hidden="1">{"fdsup://Directions/FactSet Auditing Viewer?action=AUDIT_VALUE&amp;DB=129&amp;ID1=51841510&amp;VALUEID=02001&amp;SDATE=200901&amp;PERIODTYPE=QTR_STD&amp;SCFT=3&amp;window=popup_no_bar&amp;width=385&amp;height=120&amp;START_MAXIMIZED=FALSE&amp;creator=factset&amp;display_string=Audit"}</definedName>
    <definedName name="_1096__FDSAUDITLINK__" localSheetId="7" hidden="1">{"fdsup://Directions/FactSet Auditing Viewer?action=AUDIT_VALUE&amp;DB=129&amp;ID1=51841510&amp;VALUEID=02001&amp;SDATE=200901&amp;PERIODTYPE=QTR_STD&amp;SCFT=3&amp;window=popup_no_bar&amp;width=385&amp;height=120&amp;START_MAXIMIZED=FALSE&amp;creator=factset&amp;display_string=Audit"}</definedName>
    <definedName name="_1096__FDSAUDITLINK__" hidden="1">{"fdsup://Directions/FactSet Auditing Viewer?action=AUDIT_VALUE&amp;DB=129&amp;ID1=51841510&amp;VALUEID=02001&amp;SDATE=200901&amp;PERIODTYPE=QTR_STD&amp;SCFT=3&amp;window=popup_no_bar&amp;width=385&amp;height=120&amp;START_MAXIMIZED=FALSE&amp;creator=factset&amp;display_string=Audit"}</definedName>
    <definedName name="_1097__FDSAUDITLINK__" localSheetId="7" hidden="1">{"fdsup://Directions/FactSet Auditing Viewer?action=AUDIT_VALUE&amp;DB=129&amp;ID1=51280710&amp;VALUEID=02001&amp;SDATE=200903&amp;PERIODTYPE=QTR_STD&amp;SCFT=3&amp;window=popup_no_bar&amp;width=385&amp;height=120&amp;START_MAXIMIZED=FALSE&amp;creator=factset&amp;display_string=Audit"}</definedName>
    <definedName name="_1097__FDSAUDITLINK__" hidden="1">{"fdsup://Directions/FactSet Auditing Viewer?action=AUDIT_VALUE&amp;DB=129&amp;ID1=51280710&amp;VALUEID=02001&amp;SDATE=200903&amp;PERIODTYPE=QTR_STD&amp;SCFT=3&amp;window=popup_no_bar&amp;width=385&amp;height=120&amp;START_MAXIMIZED=FALSE&amp;creator=factset&amp;display_string=Audit"}</definedName>
    <definedName name="_1098__FDSAUDITLINK__" localSheetId="7" hidden="1">{"fdsup://Directions/FactSet Auditing Viewer?action=AUDIT_VALUE&amp;DB=129&amp;ID1=51280710&amp;VALUEID=02001&amp;SDATE=200903&amp;PERIODTYPE=QTR_STD&amp;SCFT=3&amp;window=popup_no_bar&amp;width=385&amp;height=120&amp;START_MAXIMIZED=FALSE&amp;creator=factset&amp;display_string=Audit"}</definedName>
    <definedName name="_1098__FDSAUDITLINK__" hidden="1">{"fdsup://Directions/FactSet Auditing Viewer?action=AUDIT_VALUE&amp;DB=129&amp;ID1=51280710&amp;VALUEID=02001&amp;SDATE=200903&amp;PERIODTYPE=QTR_STD&amp;SCFT=3&amp;window=popup_no_bar&amp;width=385&amp;height=120&amp;START_MAXIMIZED=FALSE&amp;creator=factset&amp;display_string=Audit"}</definedName>
    <definedName name="_1099__FDSAUDITLINK__" localSheetId="7" hidden="1">{"fdsup://Directions/FactSet Auditing Viewer?action=AUDIT_VALUE&amp;DB=129&amp;ID1=53567810&amp;VALUEID=02001&amp;SDATE=200903&amp;PERIODTYPE=QTR_STD&amp;SCFT=3&amp;window=popup_no_bar&amp;width=385&amp;height=120&amp;START_MAXIMIZED=FALSE&amp;creator=factset&amp;display_string=Audit"}</definedName>
    <definedName name="_1099__FDSAUDITLINK__" hidden="1">{"fdsup://Directions/FactSet Auditing Viewer?action=AUDIT_VALUE&amp;DB=129&amp;ID1=53567810&amp;VALUEID=02001&amp;SDATE=200903&amp;PERIODTYPE=QTR_STD&amp;SCFT=3&amp;window=popup_no_bar&amp;width=385&amp;height=120&amp;START_MAXIMIZED=FALSE&amp;creator=factset&amp;display_string=Audit"}</definedName>
    <definedName name="_11__FDSAUDITLINK__" localSheetId="7" hidden="1">{"fdsup://Directions/FactSet Auditing Viewer?action=AUDIT_VALUE&amp;DB=129&amp;ID1=596233&amp;VALUEID=02001&amp;SDATE=201103&amp;PERIODTYPE=QTR_STD&amp;SCFT=3&amp;window=popup_no_bar&amp;width=385&amp;height=120&amp;START_MAXIMIZED=FALSE&amp;creator=factset&amp;display_string=Audit"}</definedName>
    <definedName name="_11__FDSAUDITLINK__" hidden="1">{"fdsup://Directions/FactSet Auditing Viewer?action=AUDIT_VALUE&amp;DB=129&amp;ID1=596233&amp;VALUEID=02001&amp;SDATE=201103&amp;PERIODTYPE=QTR_STD&amp;SCFT=3&amp;window=popup_no_bar&amp;width=385&amp;height=120&amp;START_MAXIMIZED=FALSE&amp;creator=factset&amp;display_string=Audit"}</definedName>
    <definedName name="_110__FDSAUDITLINK__" localSheetId="7" hidden="1">{"fdsup://Directions/FactSet Auditing Viewer?action=AUDIT_VALUE&amp;DB=129&amp;ID1=31561610&amp;VALUEID=02001&amp;SDATE=201102&amp;PERIODTYPE=QTR_STD&amp;SCFT=3&amp;window=popup_no_bar&amp;width=385&amp;height=120&amp;START_MAXIMIZED=FALSE&amp;creator=factset&amp;display_string=Audit"}</definedName>
    <definedName name="_110__FDSAUDITLINK__" hidden="1">{"fdsup://Directions/FactSet Auditing Viewer?action=AUDIT_VALUE&amp;DB=129&amp;ID1=31561610&amp;VALUEID=02001&amp;SDATE=201102&amp;PERIODTYPE=QTR_STD&amp;SCFT=3&amp;window=popup_no_bar&amp;width=385&amp;height=120&amp;START_MAXIMIZED=FALSE&amp;creator=factset&amp;display_string=Audit"}</definedName>
    <definedName name="_1100__FDSAUDITLINK__" localSheetId="7" hidden="1">{"fdsup://Directions/FactSet Auditing Viewer?action=AUDIT_VALUE&amp;DB=129&amp;ID1=53567810&amp;VALUEID=02001&amp;SDATE=200903&amp;PERIODTYPE=QTR_STD&amp;SCFT=3&amp;window=popup_no_bar&amp;width=385&amp;height=120&amp;START_MAXIMIZED=FALSE&amp;creator=factset&amp;display_string=Audit"}</definedName>
    <definedName name="_1100__FDSAUDITLINK__" hidden="1">{"fdsup://Directions/FactSet Auditing Viewer?action=AUDIT_VALUE&amp;DB=129&amp;ID1=53567810&amp;VALUEID=02001&amp;SDATE=200903&amp;PERIODTYPE=QTR_STD&amp;SCFT=3&amp;window=popup_no_bar&amp;width=385&amp;height=120&amp;START_MAXIMIZED=FALSE&amp;creator=factset&amp;display_string=Audit"}</definedName>
    <definedName name="_1101__FDSAUDITLINK__" localSheetId="7" hidden="1">{"fdsup://Directions/FactSet Auditing Viewer?action=AUDIT_VALUE&amp;DB=129&amp;ID1=48248010&amp;VALUEID=02001&amp;SDATE=200903&amp;PERIODTYPE=QTR_STD&amp;SCFT=3&amp;window=popup_no_bar&amp;width=385&amp;height=120&amp;START_MAXIMIZED=FALSE&amp;creator=factset&amp;display_string=Audit"}</definedName>
    <definedName name="_1101__FDSAUDITLINK__" hidden="1">{"fdsup://Directions/FactSet Auditing Viewer?action=AUDIT_VALUE&amp;DB=129&amp;ID1=48248010&amp;VALUEID=02001&amp;SDATE=200903&amp;PERIODTYPE=QTR_STD&amp;SCFT=3&amp;window=popup_no_bar&amp;width=385&amp;height=120&amp;START_MAXIMIZED=FALSE&amp;creator=factset&amp;display_string=Audit"}</definedName>
    <definedName name="_1102__FDSAUDITLINK__" localSheetId="7" hidden="1">{"fdsup://Directions/FactSet Auditing Viewer?action=AUDIT_VALUE&amp;DB=129&amp;ID1=48248010&amp;VALUEID=02001&amp;SDATE=200903&amp;PERIODTYPE=QTR_STD&amp;SCFT=3&amp;window=popup_no_bar&amp;width=385&amp;height=120&amp;START_MAXIMIZED=FALSE&amp;creator=factset&amp;display_string=Audit"}</definedName>
    <definedName name="_1102__FDSAUDITLINK__" hidden="1">{"fdsup://Directions/FactSet Auditing Viewer?action=AUDIT_VALUE&amp;DB=129&amp;ID1=48248010&amp;VALUEID=02001&amp;SDATE=200903&amp;PERIODTYPE=QTR_STD&amp;SCFT=3&amp;window=popup_no_bar&amp;width=385&amp;height=120&amp;START_MAXIMIZED=FALSE&amp;creator=factset&amp;display_string=Audit"}</definedName>
    <definedName name="_1103__FDSAUDITLINK__" localSheetId="7" hidden="1">{"fdsup://Directions/FactSet Auditing Viewer?action=AUDIT_VALUE&amp;DB=129&amp;ID1=48203R10&amp;VALUEID=02001&amp;SDATE=200901&amp;PERIODTYPE=QTR_STD&amp;SCFT=3&amp;window=popup_no_bar&amp;width=385&amp;height=120&amp;START_MAXIMIZED=FALSE&amp;creator=factset&amp;display_string=Audit"}</definedName>
    <definedName name="_1103__FDSAUDITLINK__" hidden="1">{"fdsup://Directions/FactSet Auditing Viewer?action=AUDIT_VALUE&amp;DB=129&amp;ID1=48203R10&amp;VALUEID=02001&amp;SDATE=200901&amp;PERIODTYPE=QTR_STD&amp;SCFT=3&amp;window=popup_no_bar&amp;width=385&amp;height=120&amp;START_MAXIMIZED=FALSE&amp;creator=factset&amp;display_string=Audit"}</definedName>
    <definedName name="_1104__FDSAUDITLINK__" localSheetId="7" hidden="1">{"fdsup://Directions/FactSet Auditing Viewer?action=AUDIT_VALUE&amp;DB=129&amp;ID1=48203R10&amp;VALUEID=02001&amp;SDATE=200901&amp;PERIODTYPE=QTR_STD&amp;SCFT=3&amp;window=popup_no_bar&amp;width=385&amp;height=120&amp;START_MAXIMIZED=FALSE&amp;creator=factset&amp;display_string=Audit"}</definedName>
    <definedName name="_1104__FDSAUDITLINK__" hidden="1">{"fdsup://Directions/FactSet Auditing Viewer?action=AUDIT_VALUE&amp;DB=129&amp;ID1=48203R10&amp;VALUEID=02001&amp;SDATE=200901&amp;PERIODTYPE=QTR_STD&amp;SCFT=3&amp;window=popup_no_bar&amp;width=385&amp;height=120&amp;START_MAXIMIZED=FALSE&amp;creator=factset&amp;display_string=Audit"}</definedName>
    <definedName name="_1105__FDSAUDITLINK__" localSheetId="7" hidden="1">{"fdsup://Directions/FactSet Auditing Viewer?action=AUDIT_VALUE&amp;DB=129&amp;ID1=86681020&amp;VALUEID=02001&amp;SDATE=200903&amp;PERIODTYPE=QTR_STD&amp;SCFT=3&amp;window=popup_no_bar&amp;width=385&amp;height=120&amp;START_MAXIMIZED=FALSE&amp;creator=factset&amp;display_string=Audit"}</definedName>
    <definedName name="_1105__FDSAUDITLINK__" hidden="1">{"fdsup://Directions/FactSet Auditing Viewer?action=AUDIT_VALUE&amp;DB=129&amp;ID1=86681020&amp;VALUEID=02001&amp;SDATE=200903&amp;PERIODTYPE=QTR_STD&amp;SCFT=3&amp;window=popup_no_bar&amp;width=385&amp;height=120&amp;START_MAXIMIZED=FALSE&amp;creator=factset&amp;display_string=Audit"}</definedName>
    <definedName name="_1106__FDSAUDITLINK__" localSheetId="7" hidden="1">{"fdsup://Directions/FactSet Auditing Viewer?action=AUDIT_VALUE&amp;DB=129&amp;ID1=86681020&amp;VALUEID=02001&amp;SDATE=200903&amp;PERIODTYPE=QTR_STD&amp;SCFT=3&amp;window=popup_no_bar&amp;width=385&amp;height=120&amp;START_MAXIMIZED=FALSE&amp;creator=factset&amp;display_string=Audit"}</definedName>
    <definedName name="_1106__FDSAUDITLINK__" hidden="1">{"fdsup://Directions/FactSet Auditing Viewer?action=AUDIT_VALUE&amp;DB=129&amp;ID1=86681020&amp;VALUEID=02001&amp;SDATE=200903&amp;PERIODTYPE=QTR_STD&amp;SCFT=3&amp;window=popup_no_bar&amp;width=385&amp;height=120&amp;START_MAXIMIZED=FALSE&amp;creator=factset&amp;display_string=Audit"}</definedName>
    <definedName name="_1107__FDSAUDITLINK__" localSheetId="7" hidden="1">{"fdsup://Directions/FactSet Auditing Viewer?action=AUDIT_VALUE&amp;DB=129&amp;ID1=46069S10&amp;VALUEID=02001&amp;SDATE=200901&amp;PERIODTYPE=QTR_STD&amp;SCFT=3&amp;window=popup_no_bar&amp;width=385&amp;height=120&amp;START_MAXIMIZED=FALSE&amp;creator=factset&amp;display_string=Audit"}</definedName>
    <definedName name="_1107__FDSAUDITLINK__" hidden="1">{"fdsup://Directions/FactSet Auditing Viewer?action=AUDIT_VALUE&amp;DB=129&amp;ID1=46069S10&amp;VALUEID=02001&amp;SDATE=200901&amp;PERIODTYPE=QTR_STD&amp;SCFT=3&amp;window=popup_no_bar&amp;width=385&amp;height=120&amp;START_MAXIMIZED=FALSE&amp;creator=factset&amp;display_string=Audit"}</definedName>
    <definedName name="_1108__FDSAUDITLINK__" localSheetId="7" hidden="1">{"fdsup://Directions/FactSet Auditing Viewer?action=AUDIT_VALUE&amp;DB=129&amp;ID1=46069S10&amp;VALUEID=02001&amp;SDATE=200901&amp;PERIODTYPE=QTR_STD&amp;SCFT=3&amp;window=popup_no_bar&amp;width=385&amp;height=120&amp;START_MAXIMIZED=FALSE&amp;creator=factset&amp;display_string=Audit"}</definedName>
    <definedName name="_1108__FDSAUDITLINK__" hidden="1">{"fdsup://Directions/FactSet Auditing Viewer?action=AUDIT_VALUE&amp;DB=129&amp;ID1=46069S10&amp;VALUEID=02001&amp;SDATE=200901&amp;PERIODTYPE=QTR_STD&amp;SCFT=3&amp;window=popup_no_bar&amp;width=385&amp;height=120&amp;START_MAXIMIZED=FALSE&amp;creator=factset&amp;display_string=Audit"}</definedName>
    <definedName name="_1109__FDSAUDITLINK__" localSheetId="7" hidden="1">{"fdsup://Directions/FactSet Auditing Viewer?action=AUDIT_VALUE&amp;DB=129&amp;ID1=46025410&amp;VALUEID=02001&amp;SDATE=200903&amp;PERIODTYPE=QTR_STD&amp;SCFT=3&amp;window=popup_no_bar&amp;width=385&amp;height=120&amp;START_MAXIMIZED=FALSE&amp;creator=factset&amp;display_string=Audit"}</definedName>
    <definedName name="_1109__FDSAUDITLINK__" hidden="1">{"fdsup://Directions/FactSet Auditing Viewer?action=AUDIT_VALUE&amp;DB=129&amp;ID1=46025410&amp;VALUEID=02001&amp;SDATE=200903&amp;PERIODTYPE=QTR_STD&amp;SCFT=3&amp;window=popup_no_bar&amp;width=385&amp;height=120&amp;START_MAXIMIZED=FALSE&amp;creator=factset&amp;display_string=Audit"}</definedName>
    <definedName name="_111__FDSAUDITLINK__" localSheetId="7" hidden="1">{"fdsup://Directions/FactSet Auditing Viewer?action=AUDIT_VALUE&amp;DB=129&amp;ID1=29247520&amp;VALUEID=02001&amp;SDATE=201103&amp;PERIODTYPE=QTR_STD&amp;SCFT=3&amp;window=popup_no_bar&amp;width=385&amp;height=120&amp;START_MAXIMIZED=FALSE&amp;creator=factset&amp;display_string=Audit"}</definedName>
    <definedName name="_111__FDSAUDITLINK__" hidden="1">{"fdsup://Directions/FactSet Auditing Viewer?action=AUDIT_VALUE&amp;DB=129&amp;ID1=29247520&amp;VALUEID=02001&amp;SDATE=201103&amp;PERIODTYPE=QTR_STD&amp;SCFT=3&amp;window=popup_no_bar&amp;width=385&amp;height=120&amp;START_MAXIMIZED=FALSE&amp;creator=factset&amp;display_string=Audit"}</definedName>
    <definedName name="_1110__FDSAUDITLINK__" localSheetId="7" hidden="1">{"fdsup://Directions/FactSet Auditing Viewer?action=AUDIT_VALUE&amp;DB=129&amp;ID1=46025410&amp;VALUEID=02001&amp;SDATE=200903&amp;PERIODTYPE=QTR_STD&amp;SCFT=3&amp;window=popup_no_bar&amp;width=385&amp;height=120&amp;START_MAXIMIZED=FALSE&amp;creator=factset&amp;display_string=Audit"}</definedName>
    <definedName name="_1110__FDSAUDITLINK__" hidden="1">{"fdsup://Directions/FactSet Auditing Viewer?action=AUDIT_VALUE&amp;DB=129&amp;ID1=46025410&amp;VALUEID=02001&amp;SDATE=200903&amp;PERIODTYPE=QTR_STD&amp;SCFT=3&amp;window=popup_no_bar&amp;width=385&amp;height=120&amp;START_MAXIMIZED=FALSE&amp;creator=factset&amp;display_string=Audit"}</definedName>
    <definedName name="_1111__FDSAUDITLINK__" localSheetId="7" hidden="1">{"fdsup://Directions/FactSet Auditing Viewer?action=AUDIT_VALUE&amp;DB=129&amp;ID1=45814010&amp;VALUEID=02001&amp;SDATE=200901&amp;PERIODTYPE=QTR_STD&amp;SCFT=3&amp;window=popup_no_bar&amp;width=385&amp;height=120&amp;START_MAXIMIZED=FALSE&amp;creator=factset&amp;display_string=Audit"}</definedName>
    <definedName name="_1111__FDSAUDITLINK__" hidden="1">{"fdsup://Directions/FactSet Auditing Viewer?action=AUDIT_VALUE&amp;DB=129&amp;ID1=45814010&amp;VALUEID=02001&amp;SDATE=200901&amp;PERIODTYPE=QTR_STD&amp;SCFT=3&amp;window=popup_no_bar&amp;width=385&amp;height=120&amp;START_MAXIMIZED=FALSE&amp;creator=factset&amp;display_string=Audit"}</definedName>
    <definedName name="_1112__FDSAUDITLINK__" localSheetId="7" hidden="1">{"fdsup://Directions/FactSet Auditing Viewer?action=AUDIT_VALUE&amp;DB=129&amp;ID1=45814010&amp;VALUEID=02001&amp;SDATE=200901&amp;PERIODTYPE=QTR_STD&amp;SCFT=3&amp;window=popup_no_bar&amp;width=385&amp;height=120&amp;START_MAXIMIZED=FALSE&amp;creator=factset&amp;display_string=Audit"}</definedName>
    <definedName name="_1112__FDSAUDITLINK__" hidden="1">{"fdsup://Directions/FactSet Auditing Viewer?action=AUDIT_VALUE&amp;DB=129&amp;ID1=45814010&amp;VALUEID=02001&amp;SDATE=200901&amp;PERIODTYPE=QTR_STD&amp;SCFT=3&amp;window=popup_no_bar&amp;width=385&amp;height=120&amp;START_MAXIMIZED=FALSE&amp;creator=factset&amp;display_string=Audit"}</definedName>
    <definedName name="_1113__FDSAUDITLINK__" localSheetId="7" hidden="1">{"fdsup://Directions/FactSet Auditing Viewer?action=AUDIT_VALUE&amp;DB=129&amp;ID1=42823610&amp;VALUEID=02001&amp;SDATE=200902&amp;PERIODTYPE=QTR_STD&amp;SCFT=3&amp;window=popup_no_bar&amp;width=385&amp;height=120&amp;START_MAXIMIZED=FALSE&amp;creator=factset&amp;display_string=Audit"}</definedName>
    <definedName name="_1113__FDSAUDITLINK__" hidden="1">{"fdsup://Directions/FactSet Auditing Viewer?action=AUDIT_VALUE&amp;DB=129&amp;ID1=42823610&amp;VALUEID=02001&amp;SDATE=200902&amp;PERIODTYPE=QTR_STD&amp;SCFT=3&amp;window=popup_no_bar&amp;width=385&amp;height=120&amp;START_MAXIMIZED=FALSE&amp;creator=factset&amp;display_string=Audit"}</definedName>
    <definedName name="_1114__FDSAUDITLINK__" localSheetId="7" hidden="1">{"fdsup://Directions/FactSet Auditing Viewer?action=AUDIT_VALUE&amp;DB=129&amp;ID1=42823610&amp;VALUEID=02001&amp;SDATE=200902&amp;PERIODTYPE=QTR_STD&amp;SCFT=3&amp;window=popup_no_bar&amp;width=385&amp;height=120&amp;START_MAXIMIZED=FALSE&amp;creator=factset&amp;display_string=Audit"}</definedName>
    <definedName name="_1114__FDSAUDITLINK__" hidden="1">{"fdsup://Directions/FactSet Auditing Viewer?action=AUDIT_VALUE&amp;DB=129&amp;ID1=42823610&amp;VALUEID=02001&amp;SDATE=200902&amp;PERIODTYPE=QTR_STD&amp;SCFT=3&amp;window=popup_no_bar&amp;width=385&amp;height=120&amp;START_MAXIMIZED=FALSE&amp;creator=factset&amp;display_string=Audit"}</definedName>
    <definedName name="_1115__FDSAUDITLINK__" localSheetId="7" hidden="1">{"fdsup://Directions/FactSet Auditing Viewer?action=AUDIT_VALUE&amp;DB=129&amp;ID1=H2906T10&amp;VALUEID=02001&amp;SDATE=200901&amp;PERIODTYPE=QTR_STD&amp;SCFT=3&amp;window=popup_no_bar&amp;width=385&amp;height=120&amp;START_MAXIMIZED=FALSE&amp;creator=factset&amp;display_string=Audit"}</definedName>
    <definedName name="_1115__FDSAUDITLINK__" hidden="1">{"fdsup://Directions/FactSet Auditing Viewer?action=AUDIT_VALUE&amp;DB=129&amp;ID1=H2906T10&amp;VALUEID=02001&amp;SDATE=200901&amp;PERIODTYPE=QTR_STD&amp;SCFT=3&amp;window=popup_no_bar&amp;width=385&amp;height=120&amp;START_MAXIMIZED=FALSE&amp;creator=factset&amp;display_string=Audit"}</definedName>
    <definedName name="_1116__FDSAUDITLINK__" localSheetId="7" hidden="1">{"fdsup://Directions/FactSet Auditing Viewer?action=AUDIT_VALUE&amp;DB=129&amp;ID1=H2906T10&amp;VALUEID=02001&amp;SDATE=200901&amp;PERIODTYPE=QTR_STD&amp;SCFT=3&amp;window=popup_no_bar&amp;width=385&amp;height=120&amp;START_MAXIMIZED=FALSE&amp;creator=factset&amp;display_string=Audit"}</definedName>
    <definedName name="_1116__FDSAUDITLINK__" hidden="1">{"fdsup://Directions/FactSet Auditing Viewer?action=AUDIT_VALUE&amp;DB=129&amp;ID1=H2906T10&amp;VALUEID=02001&amp;SDATE=200901&amp;PERIODTYPE=QTR_STD&amp;SCFT=3&amp;window=popup_no_bar&amp;width=385&amp;height=120&amp;START_MAXIMIZED=FALSE&amp;creator=factset&amp;display_string=Audit"}</definedName>
    <definedName name="_1117__FDSAUDITLINK__" localSheetId="7" hidden="1">{"fdsup://Directions/FactSet Auditing Viewer?action=AUDIT_VALUE&amp;DB=129&amp;ID1=34637510&amp;VALUEID=02001&amp;SDATE=200901&amp;PERIODTYPE=QTR_STD&amp;SCFT=3&amp;window=popup_no_bar&amp;width=385&amp;height=120&amp;START_MAXIMIZED=FALSE&amp;creator=factset&amp;display_string=Audit"}</definedName>
    <definedName name="_1117__FDSAUDITLINK__" hidden="1">{"fdsup://Directions/FactSet Auditing Viewer?action=AUDIT_VALUE&amp;DB=129&amp;ID1=34637510&amp;VALUEID=02001&amp;SDATE=200901&amp;PERIODTYPE=QTR_STD&amp;SCFT=3&amp;window=popup_no_bar&amp;width=385&amp;height=120&amp;START_MAXIMIZED=FALSE&amp;creator=factset&amp;display_string=Audit"}</definedName>
    <definedName name="_1118__FDSAUDITLINK__" localSheetId="7" hidden="1">{"fdsup://Directions/FactSet Auditing Viewer?action=AUDIT_VALUE&amp;DB=129&amp;ID1=34637510&amp;VALUEID=02001&amp;SDATE=200901&amp;PERIODTYPE=QTR_STD&amp;SCFT=3&amp;window=popup_no_bar&amp;width=385&amp;height=120&amp;START_MAXIMIZED=FALSE&amp;creator=factset&amp;display_string=Audit"}</definedName>
    <definedName name="_1118__FDSAUDITLINK__" hidden="1">{"fdsup://Directions/FactSet Auditing Viewer?action=AUDIT_VALUE&amp;DB=129&amp;ID1=34637510&amp;VALUEID=02001&amp;SDATE=200901&amp;PERIODTYPE=QTR_STD&amp;SCFT=3&amp;window=popup_no_bar&amp;width=385&amp;height=120&amp;START_MAXIMIZED=FALSE&amp;creator=factset&amp;display_string=Audit"}</definedName>
    <definedName name="_1119__FDSAUDITLINK__" localSheetId="7" hidden="1">{"fdsup://Directions/FactSet Auditing Viewer?action=AUDIT_VALUE&amp;DB=129&amp;ID1=31561610&amp;VALUEID=02001&amp;SDATE=200902&amp;PERIODTYPE=QTR_STD&amp;SCFT=3&amp;window=popup_no_bar&amp;width=385&amp;height=120&amp;START_MAXIMIZED=FALSE&amp;creator=factset&amp;display_string=Audit"}</definedName>
    <definedName name="_1119__FDSAUDITLINK__" hidden="1">{"fdsup://Directions/FactSet Auditing Viewer?action=AUDIT_VALUE&amp;DB=129&amp;ID1=31561610&amp;VALUEID=02001&amp;SDATE=200902&amp;PERIODTYPE=QTR_STD&amp;SCFT=3&amp;window=popup_no_bar&amp;width=385&amp;height=120&amp;START_MAXIMIZED=FALSE&amp;creator=factset&amp;display_string=Audit"}</definedName>
    <definedName name="_112__FDSAUDITLINK__" localSheetId="7" hidden="1">{"fdsup://Directions/FactSet Auditing Viewer?action=AUDIT_VALUE&amp;DB=129&amp;ID1=29247520&amp;VALUEID=02001&amp;SDATE=201103&amp;PERIODTYPE=QTR_STD&amp;SCFT=3&amp;window=popup_no_bar&amp;width=385&amp;height=120&amp;START_MAXIMIZED=FALSE&amp;creator=factset&amp;display_string=Audit"}</definedName>
    <definedName name="_112__FDSAUDITLINK__" hidden="1">{"fdsup://Directions/FactSet Auditing Viewer?action=AUDIT_VALUE&amp;DB=129&amp;ID1=29247520&amp;VALUEID=02001&amp;SDATE=201103&amp;PERIODTYPE=QTR_STD&amp;SCFT=3&amp;window=popup_no_bar&amp;width=385&amp;height=120&amp;START_MAXIMIZED=FALSE&amp;creator=factset&amp;display_string=Audit"}</definedName>
    <definedName name="_1120__FDSAUDITLINK__" localSheetId="7" hidden="1">{"fdsup://Directions/FactSet Auditing Viewer?action=AUDIT_VALUE&amp;DB=129&amp;ID1=31561610&amp;VALUEID=02001&amp;SDATE=200902&amp;PERIODTYPE=QTR_STD&amp;SCFT=3&amp;window=popup_no_bar&amp;width=385&amp;height=120&amp;START_MAXIMIZED=FALSE&amp;creator=factset&amp;display_string=Audit"}</definedName>
    <definedName name="_1120__FDSAUDITLINK__" hidden="1">{"fdsup://Directions/FactSet Auditing Viewer?action=AUDIT_VALUE&amp;DB=129&amp;ID1=31561610&amp;VALUEID=02001&amp;SDATE=200902&amp;PERIODTYPE=QTR_STD&amp;SCFT=3&amp;window=popup_no_bar&amp;width=385&amp;height=120&amp;START_MAXIMIZED=FALSE&amp;creator=factset&amp;display_string=Audit"}</definedName>
    <definedName name="_1121__FDSAUDITLINK__" localSheetId="7" hidden="1">{"fdsup://Directions/FactSet Auditing Viewer?action=AUDIT_VALUE&amp;DB=129&amp;ID1=29247520&amp;VALUEID=02001&amp;SDATE=200903&amp;PERIODTYPE=QTR_STD&amp;SCFT=3&amp;window=popup_no_bar&amp;width=385&amp;height=120&amp;START_MAXIMIZED=FALSE&amp;creator=factset&amp;display_string=Audit"}</definedName>
    <definedName name="_1121__FDSAUDITLINK__" hidden="1">{"fdsup://Directions/FactSet Auditing Viewer?action=AUDIT_VALUE&amp;DB=129&amp;ID1=29247520&amp;VALUEID=02001&amp;SDATE=200903&amp;PERIODTYPE=QTR_STD&amp;SCFT=3&amp;window=popup_no_bar&amp;width=385&amp;height=120&amp;START_MAXIMIZED=FALSE&amp;creator=factset&amp;display_string=Audit"}</definedName>
    <definedName name="_1122__FDSAUDITLINK__" localSheetId="7" hidden="1">{"fdsup://Directions/FactSet Auditing Viewer?action=AUDIT_VALUE&amp;DB=129&amp;ID1=29247520&amp;VALUEID=02001&amp;SDATE=200903&amp;PERIODTYPE=QTR_STD&amp;SCFT=3&amp;window=popup_no_bar&amp;width=385&amp;height=120&amp;START_MAXIMIZED=FALSE&amp;creator=factset&amp;display_string=Audit"}</definedName>
    <definedName name="_1122__FDSAUDITLINK__" hidden="1">{"fdsup://Directions/FactSet Auditing Viewer?action=AUDIT_VALUE&amp;DB=129&amp;ID1=29247520&amp;VALUEID=02001&amp;SDATE=200903&amp;PERIODTYPE=QTR_STD&amp;SCFT=3&amp;window=popup_no_bar&amp;width=385&amp;height=120&amp;START_MAXIMIZED=FALSE&amp;creator=factset&amp;display_string=Audit"}</definedName>
    <definedName name="_1123__FDSAUDITLINK__" localSheetId="7" hidden="1">{"fdsup://Directions/FactSet Auditing Viewer?action=AUDIT_VALUE&amp;DB=129&amp;ID1=25454310&amp;VALUEID=02001&amp;SDATE=200901&amp;PERIODTYPE=QTR_STD&amp;SCFT=3&amp;window=popup_no_bar&amp;width=385&amp;height=120&amp;START_MAXIMIZED=FALSE&amp;creator=factset&amp;display_string=Audit"}</definedName>
    <definedName name="_1123__FDSAUDITLINK__" hidden="1">{"fdsup://Directions/FactSet Auditing Viewer?action=AUDIT_VALUE&amp;DB=129&amp;ID1=25454310&amp;VALUEID=02001&amp;SDATE=200901&amp;PERIODTYPE=QTR_STD&amp;SCFT=3&amp;window=popup_no_bar&amp;width=385&amp;height=120&amp;START_MAXIMIZED=FALSE&amp;creator=factset&amp;display_string=Audit"}</definedName>
    <definedName name="_1124__FDSAUDITLINK__" localSheetId="7" hidden="1">{"fdsup://Directions/FactSet Auditing Viewer?action=AUDIT_VALUE&amp;DB=129&amp;ID1=25454310&amp;VALUEID=02001&amp;SDATE=200901&amp;PERIODTYPE=QTR_STD&amp;SCFT=3&amp;window=popup_no_bar&amp;width=385&amp;height=120&amp;START_MAXIMIZED=FALSE&amp;creator=factset&amp;display_string=Audit"}</definedName>
    <definedName name="_1124__FDSAUDITLINK__" hidden="1">{"fdsup://Directions/FactSet Auditing Viewer?action=AUDIT_VALUE&amp;DB=129&amp;ID1=25454310&amp;VALUEID=02001&amp;SDATE=200901&amp;PERIODTYPE=QTR_STD&amp;SCFT=3&amp;window=popup_no_bar&amp;width=385&amp;height=120&amp;START_MAXIMIZED=FALSE&amp;creator=factset&amp;display_string=Audit"}</definedName>
    <definedName name="_1125__FDSAUDITLINK__" localSheetId="7" hidden="1">{"fdsup://Directions/FactSet Auditing Viewer?action=AUDIT_VALUE&amp;DB=129&amp;ID1=23257210&amp;VALUEID=02001&amp;SDATE=200901&amp;PERIODTYPE=QTR_STD&amp;SCFT=3&amp;window=popup_no_bar&amp;width=385&amp;height=120&amp;START_MAXIMIZED=FALSE&amp;creator=factset&amp;display_string=Audit"}</definedName>
    <definedName name="_1125__FDSAUDITLINK__" hidden="1">{"fdsup://Directions/FactSet Auditing Viewer?action=AUDIT_VALUE&amp;DB=129&amp;ID1=23257210&amp;VALUEID=02001&amp;SDATE=200901&amp;PERIODTYPE=QTR_STD&amp;SCFT=3&amp;window=popup_no_bar&amp;width=385&amp;height=120&amp;START_MAXIMIZED=FALSE&amp;creator=factset&amp;display_string=Audit"}</definedName>
    <definedName name="_1126__FDSAUDITLINK__" localSheetId="7" hidden="1">{"fdsup://Directions/FactSet Auditing Viewer?action=AUDIT_VALUE&amp;DB=129&amp;ID1=23257210&amp;VALUEID=02001&amp;SDATE=200901&amp;PERIODTYPE=QTR_STD&amp;SCFT=3&amp;window=popup_no_bar&amp;width=385&amp;height=120&amp;START_MAXIMIZED=FALSE&amp;creator=factset&amp;display_string=Audit"}</definedName>
    <definedName name="_1126__FDSAUDITLINK__" hidden="1">{"fdsup://Directions/FactSet Auditing Viewer?action=AUDIT_VALUE&amp;DB=129&amp;ID1=23257210&amp;VALUEID=02001&amp;SDATE=200901&amp;PERIODTYPE=QTR_STD&amp;SCFT=3&amp;window=popup_no_bar&amp;width=385&amp;height=120&amp;START_MAXIMIZED=FALSE&amp;creator=factset&amp;display_string=Audit"}</definedName>
    <definedName name="_1127__FDSAUDITLINK__" localSheetId="7" hidden="1">{"fdsup://Directions/FactSet Auditing Viewer?action=AUDIT_VALUE&amp;DB=129&amp;ID1=23280610&amp;VALUEID=02001&amp;SDATE=200901&amp;PERIODTYPE=QTR_STD&amp;SCFT=3&amp;window=popup_no_bar&amp;width=385&amp;height=120&amp;START_MAXIMIZED=FALSE&amp;creator=factset&amp;display_string=Audit"}</definedName>
    <definedName name="_1127__FDSAUDITLINK__" hidden="1">{"fdsup://Directions/FactSet Auditing Viewer?action=AUDIT_VALUE&amp;DB=129&amp;ID1=23280610&amp;VALUEID=02001&amp;SDATE=200901&amp;PERIODTYPE=QTR_STD&amp;SCFT=3&amp;window=popup_no_bar&amp;width=385&amp;height=120&amp;START_MAXIMIZED=FALSE&amp;creator=factset&amp;display_string=Audit"}</definedName>
    <definedName name="_1128__FDSAUDITLINK__" localSheetId="7" hidden="1">{"fdsup://Directions/FactSet Auditing Viewer?action=AUDIT_VALUE&amp;DB=129&amp;ID1=23280610&amp;VALUEID=02001&amp;SDATE=200901&amp;PERIODTYPE=QTR_STD&amp;SCFT=3&amp;window=popup_no_bar&amp;width=385&amp;height=120&amp;START_MAXIMIZED=FALSE&amp;creator=factset&amp;display_string=Audit"}</definedName>
    <definedName name="_1128__FDSAUDITLINK__" hidden="1">{"fdsup://Directions/FactSet Auditing Viewer?action=AUDIT_VALUE&amp;DB=129&amp;ID1=23280610&amp;VALUEID=02001&amp;SDATE=200901&amp;PERIODTYPE=QTR_STD&amp;SCFT=3&amp;window=popup_no_bar&amp;width=385&amp;height=120&amp;START_MAXIMIZED=FALSE&amp;creator=factset&amp;display_string=Audit"}</definedName>
    <definedName name="_1129__FDSAUDITLINK__" localSheetId="7" hidden="1">{"fdsup://Directions/FactSet Auditing Viewer?action=AUDIT_VALUE&amp;DB=129&amp;ID1=17275R10&amp;VALUEID=02001&amp;SDATE=200903&amp;PERIODTYPE=QTR_STD&amp;SCFT=3&amp;window=popup_no_bar&amp;width=385&amp;height=120&amp;START_MAXIMIZED=FALSE&amp;creator=factset&amp;display_string=Audit"}</definedName>
    <definedName name="_1129__FDSAUDITLINK__" hidden="1">{"fdsup://Directions/FactSet Auditing Viewer?action=AUDIT_VALUE&amp;DB=129&amp;ID1=17275R10&amp;VALUEID=02001&amp;SDATE=200903&amp;PERIODTYPE=QTR_STD&amp;SCFT=3&amp;window=popup_no_bar&amp;width=385&amp;height=120&amp;START_MAXIMIZED=FALSE&amp;creator=factset&amp;display_string=Audit"}</definedName>
    <definedName name="_113__FDSAUDITLINK__" localSheetId="7" hidden="1">{"fdsup://Directions/FactSet Auditing Viewer?action=AUDIT_VALUE&amp;DB=129&amp;ID1=25454310&amp;VALUEID=02001&amp;SDATE=201101&amp;PERIODTYPE=QTR_STD&amp;SCFT=3&amp;window=popup_no_bar&amp;width=385&amp;height=120&amp;START_MAXIMIZED=FALSE&amp;creator=factset&amp;display_string=Audit"}</definedName>
    <definedName name="_113__FDSAUDITLINK__" hidden="1">{"fdsup://Directions/FactSet Auditing Viewer?action=AUDIT_VALUE&amp;DB=129&amp;ID1=25454310&amp;VALUEID=02001&amp;SDATE=201101&amp;PERIODTYPE=QTR_STD&amp;SCFT=3&amp;window=popup_no_bar&amp;width=385&amp;height=120&amp;START_MAXIMIZED=FALSE&amp;creator=factset&amp;display_string=Audit"}</definedName>
    <definedName name="_1130__FDSAUDITLINK__" localSheetId="7" hidden="1">{"fdsup://Directions/FactSet Auditing Viewer?action=AUDIT_VALUE&amp;DB=129&amp;ID1=17275R10&amp;VALUEID=02001&amp;SDATE=200903&amp;PERIODTYPE=QTR_STD&amp;SCFT=3&amp;window=popup_no_bar&amp;width=385&amp;height=120&amp;START_MAXIMIZED=FALSE&amp;creator=factset&amp;display_string=Audit"}</definedName>
    <definedName name="_1130__FDSAUDITLINK__" hidden="1">{"fdsup://Directions/FactSet Auditing Viewer?action=AUDIT_VALUE&amp;DB=129&amp;ID1=17275R10&amp;VALUEID=02001&amp;SDATE=200903&amp;PERIODTYPE=QTR_STD&amp;SCFT=3&amp;window=popup_no_bar&amp;width=385&amp;height=120&amp;START_MAXIMIZED=FALSE&amp;creator=factset&amp;display_string=Audit"}</definedName>
    <definedName name="_1131__FDSAUDITLINK__" localSheetId="7" hidden="1">{"fdsup://Directions/FactSet Auditing Viewer?action=AUDIT_VALUE&amp;DB=129&amp;ID1=22544710&amp;VALUEID=02001&amp;SDATE=200903&amp;PERIODTYPE=QTR_STD&amp;SCFT=3&amp;window=popup_no_bar&amp;width=385&amp;height=120&amp;START_MAXIMIZED=FALSE&amp;creator=factset&amp;display_string=Audit"}</definedName>
    <definedName name="_1131__FDSAUDITLINK__" hidden="1">{"fdsup://Directions/FactSet Auditing Viewer?action=AUDIT_VALUE&amp;DB=129&amp;ID1=22544710&amp;VALUEID=02001&amp;SDATE=200903&amp;PERIODTYPE=QTR_STD&amp;SCFT=3&amp;window=popup_no_bar&amp;width=385&amp;height=120&amp;START_MAXIMIZED=FALSE&amp;creator=factset&amp;display_string=Audit"}</definedName>
    <definedName name="_1132__FDSAUDITLINK__" localSheetId="7" hidden="1">{"fdsup://Directions/FactSet Auditing Viewer?action=AUDIT_VALUE&amp;DB=129&amp;ID1=22544710&amp;VALUEID=02001&amp;SDATE=200903&amp;PERIODTYPE=QTR_STD&amp;SCFT=3&amp;window=popup_no_bar&amp;width=385&amp;height=120&amp;START_MAXIMIZED=FALSE&amp;creator=factset&amp;display_string=Audit"}</definedName>
    <definedName name="_1132__FDSAUDITLINK__" hidden="1">{"fdsup://Directions/FactSet Auditing Viewer?action=AUDIT_VALUE&amp;DB=129&amp;ID1=22544710&amp;VALUEID=02001&amp;SDATE=200903&amp;PERIODTYPE=QTR_STD&amp;SCFT=3&amp;window=popup_no_bar&amp;width=385&amp;height=120&amp;START_MAXIMIZED=FALSE&amp;creator=factset&amp;display_string=Audit"}</definedName>
    <definedName name="_1133__FDSAUDITLINK__" localSheetId="7" hidden="1">{"fdsup://Directions/FactSet Auditing Viewer?action=AUDIT_VALUE&amp;DB=129&amp;ID1=20714230&amp;VALUEID=02001&amp;SDATE=200902&amp;PERIODTYPE=QTR_STD&amp;SCFT=3&amp;window=popup_no_bar&amp;width=385&amp;height=120&amp;START_MAXIMIZED=FALSE&amp;creator=factset&amp;display_string=Audit"}</definedName>
    <definedName name="_1133__FDSAUDITLINK__" hidden="1">{"fdsup://Directions/FactSet Auditing Viewer?action=AUDIT_VALUE&amp;DB=129&amp;ID1=20714230&amp;VALUEID=02001&amp;SDATE=200902&amp;PERIODTYPE=QTR_STD&amp;SCFT=3&amp;window=popup_no_bar&amp;width=385&amp;height=120&amp;START_MAXIMIZED=FALSE&amp;creator=factset&amp;display_string=Audit"}</definedName>
    <definedName name="_1134__FDSAUDITLINK__" localSheetId="7" hidden="1">{"fdsup://Directions/FactSet Auditing Viewer?action=AUDIT_VALUE&amp;DB=129&amp;ID1=20714230&amp;VALUEID=02001&amp;SDATE=200902&amp;PERIODTYPE=QTR_STD&amp;SCFT=3&amp;window=popup_no_bar&amp;width=385&amp;height=120&amp;START_MAXIMIZED=FALSE&amp;creator=factset&amp;display_string=Audit"}</definedName>
    <definedName name="_1134__FDSAUDITLINK__" hidden="1">{"fdsup://Directions/FactSet Auditing Viewer?action=AUDIT_VALUE&amp;DB=129&amp;ID1=20714230&amp;VALUEID=02001&amp;SDATE=200902&amp;PERIODTYPE=QTR_STD&amp;SCFT=3&amp;window=popup_no_bar&amp;width=385&amp;height=120&amp;START_MAXIMIZED=FALSE&amp;creator=factset&amp;display_string=Audit"}</definedName>
    <definedName name="_1135__FDSAUDITLINK__" localSheetId="7" hidden="1">{"fdsup://Directions/FactSet Auditing Viewer?action=AUDIT_VALUE&amp;DB=129&amp;ID1=12738710&amp;VALUEID=02001&amp;SDATE=200901&amp;PERIODTYPE=QTR_STD&amp;SCFT=3&amp;window=popup_no_bar&amp;width=385&amp;height=120&amp;START_MAXIMIZED=FALSE&amp;creator=factset&amp;display_string=Audit"}</definedName>
    <definedName name="_1135__FDSAUDITLINK__" hidden="1">{"fdsup://Directions/FactSet Auditing Viewer?action=AUDIT_VALUE&amp;DB=129&amp;ID1=12738710&amp;VALUEID=02001&amp;SDATE=200901&amp;PERIODTYPE=QTR_STD&amp;SCFT=3&amp;window=popup_no_bar&amp;width=385&amp;height=120&amp;START_MAXIMIZED=FALSE&amp;creator=factset&amp;display_string=Audit"}</definedName>
    <definedName name="_1136__FDSAUDITLINK__" localSheetId="7" hidden="1">{"fdsup://Directions/FactSet Auditing Viewer?action=AUDIT_VALUE&amp;DB=129&amp;ID1=12738710&amp;VALUEID=02001&amp;SDATE=200901&amp;PERIODTYPE=QTR_STD&amp;SCFT=3&amp;window=popup_no_bar&amp;width=385&amp;height=120&amp;START_MAXIMIZED=FALSE&amp;creator=factset&amp;display_string=Audit"}</definedName>
    <definedName name="_1136__FDSAUDITLINK__" hidden="1">{"fdsup://Directions/FactSet Auditing Viewer?action=AUDIT_VALUE&amp;DB=129&amp;ID1=12738710&amp;VALUEID=02001&amp;SDATE=200901&amp;PERIODTYPE=QTR_STD&amp;SCFT=3&amp;window=popup_no_bar&amp;width=385&amp;height=120&amp;START_MAXIMIZED=FALSE&amp;creator=factset&amp;display_string=Audit"}</definedName>
    <definedName name="_1137__FDSAUDITLINK__" localSheetId="7" hidden="1">{"fdsup://Directions/FactSet Auditing Viewer?action=AUDIT_VALUE&amp;DB=129&amp;ID1=14964U10&amp;VALUEID=02001&amp;SDATE=200901&amp;PERIODTYPE=QTR_STD&amp;SCFT=3&amp;window=popup_no_bar&amp;width=385&amp;height=120&amp;START_MAXIMIZED=FALSE&amp;creator=factset&amp;display_string=Audit"}</definedName>
    <definedName name="_1137__FDSAUDITLINK__" hidden="1">{"fdsup://Directions/FactSet Auditing Viewer?action=AUDIT_VALUE&amp;DB=129&amp;ID1=14964U10&amp;VALUEID=02001&amp;SDATE=200901&amp;PERIODTYPE=QTR_STD&amp;SCFT=3&amp;window=popup_no_bar&amp;width=385&amp;height=120&amp;START_MAXIMIZED=FALSE&amp;creator=factset&amp;display_string=Audit"}</definedName>
    <definedName name="_1138__FDSAUDITLINK__" localSheetId="7" hidden="1">{"fdsup://Directions/FactSet Auditing Viewer?action=AUDIT_VALUE&amp;DB=129&amp;ID1=14964U10&amp;VALUEID=02001&amp;SDATE=200901&amp;PERIODTYPE=QTR_STD&amp;SCFT=3&amp;window=popup_no_bar&amp;width=385&amp;height=120&amp;START_MAXIMIZED=FALSE&amp;creator=factset&amp;display_string=Audit"}</definedName>
    <definedName name="_1138__FDSAUDITLINK__" hidden="1">{"fdsup://Directions/FactSet Auditing Viewer?action=AUDIT_VALUE&amp;DB=129&amp;ID1=14964U10&amp;VALUEID=02001&amp;SDATE=200901&amp;PERIODTYPE=QTR_STD&amp;SCFT=3&amp;window=popup_no_bar&amp;width=385&amp;height=120&amp;START_MAXIMIZED=FALSE&amp;creator=factset&amp;display_string=Audit"}</definedName>
    <definedName name="_1139__FDSAUDITLINK__" localSheetId="7" hidden="1">{"fdsup://Directions/FactSet Auditing Viewer?action=AUDIT_VALUE&amp;DB=129&amp;ID1=11162130&amp;VALUEID=02001&amp;SDATE=200902&amp;PERIODTYPE=QTR_STD&amp;SCFT=3&amp;window=popup_no_bar&amp;width=385&amp;height=120&amp;START_MAXIMIZED=FALSE&amp;creator=factset&amp;display_string=Audit"}</definedName>
    <definedName name="_1139__FDSAUDITLINK__" hidden="1">{"fdsup://Directions/FactSet Auditing Viewer?action=AUDIT_VALUE&amp;DB=129&amp;ID1=11162130&amp;VALUEID=02001&amp;SDATE=200902&amp;PERIODTYPE=QTR_STD&amp;SCFT=3&amp;window=popup_no_bar&amp;width=385&amp;height=120&amp;START_MAXIMIZED=FALSE&amp;creator=factset&amp;display_string=Audit"}</definedName>
    <definedName name="_114__FDSAUDITLINK__" localSheetId="7" hidden="1">{"fdsup://Directions/FactSet Auditing Viewer?action=AUDIT_VALUE&amp;DB=129&amp;ID1=25454310&amp;VALUEID=02001&amp;SDATE=201101&amp;PERIODTYPE=QTR_STD&amp;SCFT=3&amp;window=popup_no_bar&amp;width=385&amp;height=120&amp;START_MAXIMIZED=FALSE&amp;creator=factset&amp;display_string=Audit"}</definedName>
    <definedName name="_114__FDSAUDITLINK__" hidden="1">{"fdsup://Directions/FactSet Auditing Viewer?action=AUDIT_VALUE&amp;DB=129&amp;ID1=25454310&amp;VALUEID=02001&amp;SDATE=201101&amp;PERIODTYPE=QTR_STD&amp;SCFT=3&amp;window=popup_no_bar&amp;width=385&amp;height=120&amp;START_MAXIMIZED=FALSE&amp;creator=factset&amp;display_string=Audit"}</definedName>
    <definedName name="_1140__FDSAUDITLINK__" localSheetId="7" hidden="1">{"fdsup://Directions/FactSet Auditing Viewer?action=AUDIT_VALUE&amp;DB=129&amp;ID1=11162130&amp;VALUEID=02001&amp;SDATE=200902&amp;PERIODTYPE=QTR_STD&amp;SCFT=3&amp;window=popup_no_bar&amp;width=385&amp;height=120&amp;START_MAXIMIZED=FALSE&amp;creator=factset&amp;display_string=Audit"}</definedName>
    <definedName name="_1140__FDSAUDITLINK__" hidden="1">{"fdsup://Directions/FactSet Auditing Viewer?action=AUDIT_VALUE&amp;DB=129&amp;ID1=11162130&amp;VALUEID=02001&amp;SDATE=200902&amp;PERIODTYPE=QTR_STD&amp;SCFT=3&amp;window=popup_no_bar&amp;width=385&amp;height=120&amp;START_MAXIMIZED=FALSE&amp;creator=factset&amp;display_string=Audit"}</definedName>
    <definedName name="_1141__FDSAUDITLINK__" localSheetId="7" hidden="1">{"fdsup://Directions/FactSet Auditing Viewer?action=AUDIT_VALUE&amp;DB=129&amp;ID1=Y0486S10&amp;VALUEID=02001&amp;SDATE=200902&amp;PERIODTYPE=QTR_STD&amp;SCFT=3&amp;window=popup_no_bar&amp;width=385&amp;height=120&amp;START_MAXIMIZED=FALSE&amp;creator=factset&amp;display_string=Audit"}</definedName>
    <definedName name="_1141__FDSAUDITLINK__" hidden="1">{"fdsup://Directions/FactSet Auditing Viewer?action=AUDIT_VALUE&amp;DB=129&amp;ID1=Y0486S10&amp;VALUEID=02001&amp;SDATE=200902&amp;PERIODTYPE=QTR_STD&amp;SCFT=3&amp;window=popup_no_bar&amp;width=385&amp;height=120&amp;START_MAXIMIZED=FALSE&amp;creator=factset&amp;display_string=Audit"}</definedName>
    <definedName name="_1142__FDSAUDITLINK__" localSheetId="7" hidden="1">{"fdsup://Directions/FactSet Auditing Viewer?action=AUDIT_VALUE&amp;DB=129&amp;ID1=Y0486S10&amp;VALUEID=02001&amp;SDATE=200902&amp;PERIODTYPE=QTR_STD&amp;SCFT=3&amp;window=popup_no_bar&amp;width=385&amp;height=120&amp;START_MAXIMIZED=FALSE&amp;creator=factset&amp;display_string=Audit"}</definedName>
    <definedName name="_1142__FDSAUDITLINK__" hidden="1">{"fdsup://Directions/FactSet Auditing Viewer?action=AUDIT_VALUE&amp;DB=129&amp;ID1=Y0486S10&amp;VALUEID=02001&amp;SDATE=200902&amp;PERIODTYPE=QTR_STD&amp;SCFT=3&amp;window=popup_no_bar&amp;width=385&amp;height=120&amp;START_MAXIMIZED=FALSE&amp;creator=factset&amp;display_string=Audit"}</definedName>
    <definedName name="_1143__FDSAUDITLINK__" localSheetId="7" hidden="1">{"fdsup://Directions/FactSet Auditing Viewer?action=AUDIT_VALUE&amp;DB=129&amp;ID1=04743P10&amp;VALUEID=02001&amp;SDATE=200901&amp;PERIODTYPE=QTR_STD&amp;SCFT=3&amp;window=popup_no_bar&amp;width=385&amp;height=120&amp;START_MAXIMIZED=FALSE&amp;creator=factset&amp;display_string=Audit"}</definedName>
    <definedName name="_1143__FDSAUDITLINK__" hidden="1">{"fdsup://Directions/FactSet Auditing Viewer?action=AUDIT_VALUE&amp;DB=129&amp;ID1=04743P10&amp;VALUEID=02001&amp;SDATE=200901&amp;PERIODTYPE=QTR_STD&amp;SCFT=3&amp;window=popup_no_bar&amp;width=385&amp;height=120&amp;START_MAXIMIZED=FALSE&amp;creator=factset&amp;display_string=Audit"}</definedName>
    <definedName name="_1144__FDSAUDITLINK__" localSheetId="7" hidden="1">{"fdsup://Directions/FactSet Auditing Viewer?action=AUDIT_VALUE&amp;DB=129&amp;ID1=04743P10&amp;VALUEID=02001&amp;SDATE=200901&amp;PERIODTYPE=QTR_STD&amp;SCFT=3&amp;window=popup_no_bar&amp;width=385&amp;height=120&amp;START_MAXIMIZED=FALSE&amp;creator=factset&amp;display_string=Audit"}</definedName>
    <definedName name="_1144__FDSAUDITLINK__" hidden="1">{"fdsup://Directions/FactSet Auditing Viewer?action=AUDIT_VALUE&amp;DB=129&amp;ID1=04743P10&amp;VALUEID=02001&amp;SDATE=200901&amp;PERIODTYPE=QTR_STD&amp;SCFT=3&amp;window=popup_no_bar&amp;width=385&amp;height=120&amp;START_MAXIMIZED=FALSE&amp;creator=factset&amp;display_string=Audit"}</definedName>
    <definedName name="_1145__FDSAUDITLINK__" localSheetId="7" hidden="1">{"fdsup://Directions/FactSet Auditing Viewer?action=AUDIT_VALUE&amp;DB=129&amp;ID1=03251510&amp;VALUEID=02001&amp;SDATE=200901&amp;PERIODTYPE=QTR_STD&amp;SCFT=3&amp;window=popup_no_bar&amp;width=385&amp;height=120&amp;START_MAXIMIZED=FALSE&amp;creator=factset&amp;display_string=Audit"}</definedName>
    <definedName name="_1145__FDSAUDITLINK__" hidden="1">{"fdsup://Directions/FactSet Auditing Viewer?action=AUDIT_VALUE&amp;DB=129&amp;ID1=03251510&amp;VALUEID=02001&amp;SDATE=200901&amp;PERIODTYPE=QTR_STD&amp;SCFT=3&amp;window=popup_no_bar&amp;width=385&amp;height=120&amp;START_MAXIMIZED=FALSE&amp;creator=factset&amp;display_string=Audit"}</definedName>
    <definedName name="_1146__FDSAUDITLINK__" localSheetId="7" hidden="1">{"fdsup://Directions/FactSet Auditing Viewer?action=AUDIT_VALUE&amp;DB=129&amp;ID1=03251510&amp;VALUEID=02001&amp;SDATE=200901&amp;PERIODTYPE=QTR_STD&amp;SCFT=3&amp;window=popup_no_bar&amp;width=385&amp;height=120&amp;START_MAXIMIZED=FALSE&amp;creator=factset&amp;display_string=Audit"}</definedName>
    <definedName name="_1146__FDSAUDITLINK__" hidden="1">{"fdsup://Directions/FactSet Auditing Viewer?action=AUDIT_VALUE&amp;DB=129&amp;ID1=03251510&amp;VALUEID=02001&amp;SDATE=200901&amp;PERIODTYPE=QTR_STD&amp;SCFT=3&amp;window=popup_no_bar&amp;width=385&amp;height=120&amp;START_MAXIMIZED=FALSE&amp;creator=factset&amp;display_string=Audit"}</definedName>
    <definedName name="_1147__FDSAUDITLINK__" localSheetId="7" hidden="1">{"fdsup://Directions/FactSet Auditing Viewer?action=AUDIT_VALUE&amp;DB=129&amp;ID1=00790310&amp;VALUEID=02001&amp;SDATE=200901&amp;PERIODTYPE=QTR_STD&amp;SCFT=3&amp;window=popup_no_bar&amp;width=385&amp;height=120&amp;START_MAXIMIZED=FALSE&amp;creator=factset&amp;display_string=Audit"}</definedName>
    <definedName name="_1147__FDSAUDITLINK__" hidden="1">{"fdsup://Directions/FactSet Auditing Viewer?action=AUDIT_VALUE&amp;DB=129&amp;ID1=00790310&amp;VALUEID=02001&amp;SDATE=200901&amp;PERIODTYPE=QTR_STD&amp;SCFT=3&amp;window=popup_no_bar&amp;width=385&amp;height=120&amp;START_MAXIMIZED=FALSE&amp;creator=factset&amp;display_string=Audit"}</definedName>
    <definedName name="_1148__FDSAUDITLINK__" localSheetId="7" hidden="1">{"fdsup://Directions/FactSet Auditing Viewer?action=AUDIT_VALUE&amp;DB=129&amp;ID1=00790310&amp;VALUEID=02001&amp;SDATE=200901&amp;PERIODTYPE=QTR_STD&amp;SCFT=3&amp;window=popup_no_bar&amp;width=385&amp;height=120&amp;START_MAXIMIZED=FALSE&amp;creator=factset&amp;display_string=Audit"}</definedName>
    <definedName name="_1148__FDSAUDITLINK__" hidden="1">{"fdsup://Directions/FactSet Auditing Viewer?action=AUDIT_VALUE&amp;DB=129&amp;ID1=00790310&amp;VALUEID=02001&amp;SDATE=200901&amp;PERIODTYPE=QTR_STD&amp;SCFT=3&amp;window=popup_no_bar&amp;width=385&amp;height=120&amp;START_MAXIMIZED=FALSE&amp;creator=factset&amp;display_string=Audit"}</definedName>
    <definedName name="_1149__FDSAUDITLINK__" localSheetId="7" hidden="1">{"fdsup://Directions/FactSet Auditing Viewer?action=AUDIT_VALUE&amp;DB=129&amp;ID1=02144110&amp;VALUEID=02001&amp;SDATE=200901&amp;PERIODTYPE=QTR_STD&amp;SCFT=3&amp;window=popup_no_bar&amp;width=385&amp;height=120&amp;START_MAXIMIZED=FALSE&amp;creator=factset&amp;display_string=Audit"}</definedName>
    <definedName name="_1149__FDSAUDITLINK__" hidden="1">{"fdsup://Directions/FactSet Auditing Viewer?action=AUDIT_VALUE&amp;DB=129&amp;ID1=02144110&amp;VALUEID=02001&amp;SDATE=200901&amp;PERIODTYPE=QTR_STD&amp;SCFT=3&amp;window=popup_no_bar&amp;width=385&amp;height=120&amp;START_MAXIMIZED=FALSE&amp;creator=factset&amp;display_string=Audit"}</definedName>
    <definedName name="_115__FDSAUDITLINK__" localSheetId="7" hidden="1">{"fdsup://Directions/FactSet Auditing Viewer?action=AUDIT_VALUE&amp;DB=129&amp;ID1=24702R10&amp;VALUEID=02001&amp;SDATE=201101&amp;PERIODTYPE=QTR_STD&amp;SCFT=3&amp;window=popup_no_bar&amp;width=385&amp;height=120&amp;START_MAXIMIZED=FALSE&amp;creator=factset&amp;display_string=Audit"}</definedName>
    <definedName name="_115__FDSAUDITLINK__" hidden="1">{"fdsup://Directions/FactSet Auditing Viewer?action=AUDIT_VALUE&amp;DB=129&amp;ID1=24702R10&amp;VALUEID=02001&amp;SDATE=201101&amp;PERIODTYPE=QTR_STD&amp;SCFT=3&amp;window=popup_no_bar&amp;width=385&amp;height=120&amp;START_MAXIMIZED=FALSE&amp;creator=factset&amp;display_string=Audit"}</definedName>
    <definedName name="_1150__FDSAUDITLINK__" localSheetId="7" hidden="1">{"fdsup://Directions/FactSet Auditing Viewer?action=AUDIT_VALUE&amp;DB=129&amp;ID1=02144110&amp;VALUEID=02001&amp;SDATE=200901&amp;PERIODTYPE=QTR_STD&amp;SCFT=3&amp;window=popup_no_bar&amp;width=385&amp;height=120&amp;START_MAXIMIZED=FALSE&amp;creator=factset&amp;display_string=Audit"}</definedName>
    <definedName name="_1150__FDSAUDITLINK__" hidden="1">{"fdsup://Directions/FactSet Auditing Viewer?action=AUDIT_VALUE&amp;DB=129&amp;ID1=02144110&amp;VALUEID=02001&amp;SDATE=200901&amp;PERIODTYPE=QTR_STD&amp;SCFT=3&amp;window=popup_no_bar&amp;width=385&amp;height=120&amp;START_MAXIMIZED=FALSE&amp;creator=factset&amp;display_string=Audit"}</definedName>
    <definedName name="_1151__FDSAUDITLINK__" localSheetId="7" hidden="1">{"fdsup://Directions/FactSet Auditing Viewer?action=AUDIT_VALUE&amp;DB=129&amp;ID1=00752J10&amp;VALUEID=02001&amp;SDATE=200901&amp;PERIODTYPE=QTR_STD&amp;SCFT=3&amp;window=popup_no_bar&amp;width=385&amp;height=120&amp;START_MAXIMIZED=FALSE&amp;creator=factset&amp;display_string=Audit"}</definedName>
    <definedName name="_1151__FDSAUDITLINK__" hidden="1">{"fdsup://Directions/FactSet Auditing Viewer?action=AUDIT_VALUE&amp;DB=129&amp;ID1=00752J10&amp;VALUEID=02001&amp;SDATE=200901&amp;PERIODTYPE=QTR_STD&amp;SCFT=3&amp;window=popup_no_bar&amp;width=385&amp;height=120&amp;START_MAXIMIZED=FALSE&amp;creator=factset&amp;display_string=Audit"}</definedName>
    <definedName name="_1152__FDSAUDITLINK__" localSheetId="7" hidden="1">{"fdsup://Directions/FactSet Auditing Viewer?action=AUDIT_VALUE&amp;DB=129&amp;ID1=00752J10&amp;VALUEID=02001&amp;SDATE=200901&amp;PERIODTYPE=QTR_STD&amp;SCFT=3&amp;window=popup_no_bar&amp;width=385&amp;height=120&amp;START_MAXIMIZED=FALSE&amp;creator=factset&amp;display_string=Audit"}</definedName>
    <definedName name="_1152__FDSAUDITLINK__" hidden="1">{"fdsup://Directions/FactSet Auditing Viewer?action=AUDIT_VALUE&amp;DB=129&amp;ID1=00752J10&amp;VALUEID=02001&amp;SDATE=200901&amp;PERIODTYPE=QTR_STD&amp;SCFT=3&amp;window=popup_no_bar&amp;width=385&amp;height=120&amp;START_MAXIMIZED=FALSE&amp;creator=factset&amp;display_string=Audit"}</definedName>
    <definedName name="_1153__FDSAUDITLINK__" localSheetId="7" hidden="1">{"fdsup://Directions/FactSet Auditing Viewer?action=AUDIT_VALUE&amp;DB=129&amp;ID1=98391910&amp;VALUEID=02001&amp;SDATE=200803&amp;PERIODTYPE=QTR_STD&amp;SCFT=3&amp;window=popup_no_bar&amp;width=385&amp;height=120&amp;START_MAXIMIZED=FALSE&amp;creator=factset&amp;display_string=Audit"}</definedName>
    <definedName name="_1153__FDSAUDITLINK__" hidden="1">{"fdsup://Directions/FactSet Auditing Viewer?action=AUDIT_VALUE&amp;DB=129&amp;ID1=98391910&amp;VALUEID=02001&amp;SDATE=200803&amp;PERIODTYPE=QTR_STD&amp;SCFT=3&amp;window=popup_no_bar&amp;width=385&amp;height=120&amp;START_MAXIMIZED=FALSE&amp;creator=factset&amp;display_string=Audit"}</definedName>
    <definedName name="_1154__FDSAUDITLINK__" localSheetId="7" hidden="1">{"fdsup://Directions/FactSet Auditing Viewer?action=AUDIT_VALUE&amp;DB=129&amp;ID1=98391910&amp;VALUEID=02001&amp;SDATE=200803&amp;PERIODTYPE=QTR_STD&amp;SCFT=3&amp;window=popup_no_bar&amp;width=385&amp;height=120&amp;START_MAXIMIZED=FALSE&amp;creator=factset&amp;display_string=Audit"}</definedName>
    <definedName name="_1154__FDSAUDITLINK__" hidden="1">{"fdsup://Directions/FactSet Auditing Viewer?action=AUDIT_VALUE&amp;DB=129&amp;ID1=98391910&amp;VALUEID=02001&amp;SDATE=200803&amp;PERIODTYPE=QTR_STD&amp;SCFT=3&amp;window=popup_no_bar&amp;width=385&amp;height=120&amp;START_MAXIMIZED=FALSE&amp;creator=factset&amp;display_string=Audit"}</definedName>
    <definedName name="_1155__FDSAUDITLINK__" localSheetId="7" hidden="1">{"fdsup://Directions/FactSet Auditing Viewer?action=AUDIT_VALUE&amp;DB=129&amp;ID1=95810210&amp;VALUEID=02001&amp;SDATE=200902&amp;PERIODTYPE=QTR_STD&amp;SCFT=3&amp;window=popup_no_bar&amp;width=385&amp;height=120&amp;START_MAXIMIZED=FALSE&amp;creator=factset&amp;display_string=Audit"}</definedName>
    <definedName name="_1155__FDSAUDITLINK__" hidden="1">{"fdsup://Directions/FactSet Auditing Viewer?action=AUDIT_VALUE&amp;DB=129&amp;ID1=95810210&amp;VALUEID=02001&amp;SDATE=200902&amp;PERIODTYPE=QTR_STD&amp;SCFT=3&amp;window=popup_no_bar&amp;width=385&amp;height=120&amp;START_MAXIMIZED=FALSE&amp;creator=factset&amp;display_string=Audit"}</definedName>
    <definedName name="_1156__FDSAUDITLINK__" localSheetId="7" hidden="1">{"fdsup://Directions/FactSet Auditing Viewer?action=AUDIT_VALUE&amp;DB=129&amp;ID1=95810210&amp;VALUEID=02001&amp;SDATE=200902&amp;PERIODTYPE=QTR_STD&amp;SCFT=3&amp;window=popup_no_bar&amp;width=385&amp;height=120&amp;START_MAXIMIZED=FALSE&amp;creator=factset&amp;display_string=Audit"}</definedName>
    <definedName name="_1156__FDSAUDITLINK__" hidden="1">{"fdsup://Directions/FactSet Auditing Viewer?action=AUDIT_VALUE&amp;DB=129&amp;ID1=95810210&amp;VALUEID=02001&amp;SDATE=200902&amp;PERIODTYPE=QTR_STD&amp;SCFT=3&amp;window=popup_no_bar&amp;width=385&amp;height=120&amp;START_MAXIMIZED=FALSE&amp;creator=factset&amp;display_string=Audit"}</definedName>
    <definedName name="_1157__FDSAUDITLINK__" localSheetId="7" hidden="1">{"fdsup://Directions/FactSet Auditing Viewer?action=AUDIT_VALUE&amp;DB=129&amp;ID1=92849730&amp;VALUEID=02001&amp;SDATE=200901&amp;PERIODTYPE=QTR_STD&amp;SCFT=3&amp;window=popup_no_bar&amp;width=385&amp;height=120&amp;START_MAXIMIZED=FALSE&amp;creator=factset&amp;display_string=Audit"}</definedName>
    <definedName name="_1157__FDSAUDITLINK__" hidden="1">{"fdsup://Directions/FactSet Auditing Viewer?action=AUDIT_VALUE&amp;DB=129&amp;ID1=92849730&amp;VALUEID=02001&amp;SDATE=200901&amp;PERIODTYPE=QTR_STD&amp;SCFT=3&amp;window=popup_no_bar&amp;width=385&amp;height=120&amp;START_MAXIMIZED=FALSE&amp;creator=factset&amp;display_string=Audit"}</definedName>
    <definedName name="_1158__FDSAUDITLINK__" localSheetId="7" hidden="1">{"fdsup://Directions/FactSet Auditing Viewer?action=AUDIT_VALUE&amp;DB=129&amp;ID1=92849730&amp;VALUEID=02001&amp;SDATE=200901&amp;PERIODTYPE=QTR_STD&amp;SCFT=3&amp;window=popup_no_bar&amp;width=385&amp;height=120&amp;START_MAXIMIZED=FALSE&amp;creator=factset&amp;display_string=Audit"}</definedName>
    <definedName name="_1158__FDSAUDITLINK__" hidden="1">{"fdsup://Directions/FactSet Auditing Viewer?action=AUDIT_VALUE&amp;DB=129&amp;ID1=92849730&amp;VALUEID=02001&amp;SDATE=200901&amp;PERIODTYPE=QTR_STD&amp;SCFT=3&amp;window=popup_no_bar&amp;width=385&amp;height=120&amp;START_MAXIMIZED=FALSE&amp;creator=factset&amp;display_string=Audit"}</definedName>
    <definedName name="_1159__FDSAUDITLINK__" localSheetId="7" hidden="1">{"fdsup://Directions/FactSet Auditing Viewer?action=AUDIT_VALUE&amp;DB=129&amp;ID1=83088M10&amp;VALUEID=02001&amp;SDATE=200901&amp;PERIODTYPE=QTR_STD&amp;SCFT=3&amp;window=popup_no_bar&amp;width=385&amp;height=120&amp;START_MAXIMIZED=FALSE&amp;creator=factset&amp;display_string=Audit"}</definedName>
    <definedName name="_1159__FDSAUDITLINK__" hidden="1">{"fdsup://Directions/FactSet Auditing Viewer?action=AUDIT_VALUE&amp;DB=129&amp;ID1=83088M10&amp;VALUEID=02001&amp;SDATE=200901&amp;PERIODTYPE=QTR_STD&amp;SCFT=3&amp;window=popup_no_bar&amp;width=385&amp;height=120&amp;START_MAXIMIZED=FALSE&amp;creator=factset&amp;display_string=Audit"}</definedName>
    <definedName name="_116__FDSAUDITLINK__" localSheetId="7" hidden="1">{"fdsup://Directions/FactSet Auditing Viewer?action=AUDIT_VALUE&amp;DB=129&amp;ID1=24702R10&amp;VALUEID=02001&amp;SDATE=201101&amp;PERIODTYPE=QTR_STD&amp;SCFT=3&amp;window=popup_no_bar&amp;width=385&amp;height=120&amp;START_MAXIMIZED=FALSE&amp;creator=factset&amp;display_string=Audit"}</definedName>
    <definedName name="_116__FDSAUDITLINK__" hidden="1">{"fdsup://Directions/FactSet Auditing Viewer?action=AUDIT_VALUE&amp;DB=129&amp;ID1=24702R10&amp;VALUEID=02001&amp;SDATE=201101&amp;PERIODTYPE=QTR_STD&amp;SCFT=3&amp;window=popup_no_bar&amp;width=385&amp;height=120&amp;START_MAXIMIZED=FALSE&amp;creator=factset&amp;display_string=Audit"}</definedName>
    <definedName name="_1160__FDSAUDITLINK__" localSheetId="7" hidden="1">{"fdsup://Directions/FactSet Auditing Viewer?action=AUDIT_VALUE&amp;DB=129&amp;ID1=83088M10&amp;VALUEID=02001&amp;SDATE=200901&amp;PERIODTYPE=QTR_STD&amp;SCFT=3&amp;window=popup_no_bar&amp;width=385&amp;height=120&amp;START_MAXIMIZED=FALSE&amp;creator=factset&amp;display_string=Audit"}</definedName>
    <definedName name="_1160__FDSAUDITLINK__" hidden="1">{"fdsup://Directions/FactSet Auditing Viewer?action=AUDIT_VALUE&amp;DB=129&amp;ID1=83088M10&amp;VALUEID=02001&amp;SDATE=200901&amp;PERIODTYPE=QTR_STD&amp;SCFT=3&amp;window=popup_no_bar&amp;width=385&amp;height=120&amp;START_MAXIMIZED=FALSE&amp;creator=factset&amp;display_string=Audit"}</definedName>
    <definedName name="_1161__FDSAUDITLINK__" localSheetId="7" hidden="1">{"fdsup://Directions/FactSet Auditing Viewer?action=AUDIT_VALUE&amp;DB=129&amp;ID1=G7945M10&amp;VALUEID=02001&amp;SDATE=200902&amp;PERIODTYPE=QTR_STD&amp;SCFT=3&amp;window=popup_no_bar&amp;width=385&amp;height=120&amp;START_MAXIMIZED=FALSE&amp;creator=factset&amp;display_string=Audit"}</definedName>
    <definedName name="_1161__FDSAUDITLINK__" hidden="1">{"fdsup://Directions/FactSet Auditing Viewer?action=AUDIT_VALUE&amp;DB=129&amp;ID1=G7945M10&amp;VALUEID=02001&amp;SDATE=200902&amp;PERIODTYPE=QTR_STD&amp;SCFT=3&amp;window=popup_no_bar&amp;width=385&amp;height=120&amp;START_MAXIMIZED=FALSE&amp;creator=factset&amp;display_string=Audit"}</definedName>
    <definedName name="_1162__FDSAUDITLINK__" localSheetId="7" hidden="1">{"fdsup://Directions/FactSet Auditing Viewer?action=AUDIT_VALUE&amp;DB=129&amp;ID1=G7945M10&amp;VALUEID=02001&amp;SDATE=200902&amp;PERIODTYPE=QTR_STD&amp;SCFT=3&amp;window=popup_no_bar&amp;width=385&amp;height=120&amp;START_MAXIMIZED=FALSE&amp;creator=factset&amp;display_string=Audit"}</definedName>
    <definedName name="_1162__FDSAUDITLINK__" hidden="1">{"fdsup://Directions/FactSet Auditing Viewer?action=AUDIT_VALUE&amp;DB=129&amp;ID1=G7945M10&amp;VALUEID=02001&amp;SDATE=200902&amp;PERIODTYPE=QTR_STD&amp;SCFT=3&amp;window=popup_no_bar&amp;width=385&amp;height=120&amp;START_MAXIMIZED=FALSE&amp;creator=factset&amp;display_string=Audit"}</definedName>
    <definedName name="_1163__FDSAUDITLINK__" localSheetId="7" hidden="1">{"fdsup://Directions/FactSet Auditing Viewer?action=AUDIT_VALUE&amp;DB=129&amp;ID1=87160710&amp;VALUEID=02001&amp;SDATE=200901&amp;PERIODTYPE=QTR_STD&amp;SCFT=3&amp;window=popup_no_bar&amp;width=385&amp;height=120&amp;START_MAXIMIZED=FALSE&amp;creator=factset&amp;display_string=Audit"}</definedName>
    <definedName name="_1163__FDSAUDITLINK__" hidden="1">{"fdsup://Directions/FactSet Auditing Viewer?action=AUDIT_VALUE&amp;DB=129&amp;ID1=87160710&amp;VALUEID=02001&amp;SDATE=200901&amp;PERIODTYPE=QTR_STD&amp;SCFT=3&amp;window=popup_no_bar&amp;width=385&amp;height=120&amp;START_MAXIMIZED=FALSE&amp;creator=factset&amp;display_string=Audit"}</definedName>
    <definedName name="_1164__FDSAUDITLINK__" localSheetId="7" hidden="1">{"fdsup://Directions/FactSet Auditing Viewer?action=AUDIT_VALUE&amp;DB=129&amp;ID1=87160710&amp;VALUEID=02001&amp;SDATE=200901&amp;PERIODTYPE=QTR_STD&amp;SCFT=3&amp;window=popup_no_bar&amp;width=385&amp;height=120&amp;START_MAXIMIZED=FALSE&amp;creator=factset&amp;display_string=Audit"}</definedName>
    <definedName name="_1164__FDSAUDITLINK__" hidden="1">{"fdsup://Directions/FactSet Auditing Viewer?action=AUDIT_VALUE&amp;DB=129&amp;ID1=87160710&amp;VALUEID=02001&amp;SDATE=200901&amp;PERIODTYPE=QTR_STD&amp;SCFT=3&amp;window=popup_no_bar&amp;width=385&amp;height=120&amp;START_MAXIMIZED=FALSE&amp;creator=factset&amp;display_string=Audit"}</definedName>
    <definedName name="_1165__FDSAUDITLINK__" localSheetId="7" hidden="1">{"fdsup://Directions/FactSet Auditing Viewer?action=AUDIT_VALUE&amp;DB=129&amp;ID1=74994110&amp;VALUEID=02001&amp;SDATE=200803&amp;PERIODTYPE=QTR_STD&amp;SCFT=3&amp;window=popup_no_bar&amp;width=385&amp;height=120&amp;START_MAXIMIZED=FALSE&amp;creator=factset&amp;display_string=Audit"}</definedName>
    <definedName name="_1165__FDSAUDITLINK__" hidden="1">{"fdsup://Directions/FactSet Auditing Viewer?action=AUDIT_VALUE&amp;DB=129&amp;ID1=74994110&amp;VALUEID=02001&amp;SDATE=200803&amp;PERIODTYPE=QTR_STD&amp;SCFT=3&amp;window=popup_no_bar&amp;width=385&amp;height=120&amp;START_MAXIMIZED=FALSE&amp;creator=factset&amp;display_string=Audit"}</definedName>
    <definedName name="_1166__FDSAUDITLINK__" localSheetId="7" hidden="1">{"fdsup://Directions/FactSet Auditing Viewer?action=AUDIT_VALUE&amp;DB=129&amp;ID1=74994110&amp;VALUEID=02001&amp;SDATE=200803&amp;PERIODTYPE=QTR_STD&amp;SCFT=3&amp;window=popup_no_bar&amp;width=385&amp;height=120&amp;START_MAXIMIZED=FALSE&amp;creator=factset&amp;display_string=Audit"}</definedName>
    <definedName name="_1166__FDSAUDITLINK__" hidden="1">{"fdsup://Directions/FactSet Auditing Viewer?action=AUDIT_VALUE&amp;DB=129&amp;ID1=74994110&amp;VALUEID=02001&amp;SDATE=200803&amp;PERIODTYPE=QTR_STD&amp;SCFT=3&amp;window=popup_no_bar&amp;width=385&amp;height=120&amp;START_MAXIMIZED=FALSE&amp;creator=factset&amp;display_string=Audit"}</definedName>
    <definedName name="_1167__FDSAUDITLINK__" localSheetId="7" hidden="1">{"fdsup://Directions/FactSet Auditing Viewer?action=AUDIT_VALUE&amp;DB=129&amp;ID1=74727710&amp;VALUEID=02001&amp;SDATE=200803&amp;PERIODTYPE=QTR_STD&amp;SCFT=3&amp;window=popup_no_bar&amp;width=385&amp;height=120&amp;START_MAXIMIZED=FALSE&amp;creator=factset&amp;display_string=Audit"}</definedName>
    <definedName name="_1167__FDSAUDITLINK__" hidden="1">{"fdsup://Directions/FactSet Auditing Viewer?action=AUDIT_VALUE&amp;DB=129&amp;ID1=74727710&amp;VALUEID=02001&amp;SDATE=200803&amp;PERIODTYPE=QTR_STD&amp;SCFT=3&amp;window=popup_no_bar&amp;width=385&amp;height=120&amp;START_MAXIMIZED=FALSE&amp;creator=factset&amp;display_string=Audit"}</definedName>
    <definedName name="_1168__FDSAUDITLINK__" localSheetId="7" hidden="1">{"fdsup://Directions/FactSet Auditing Viewer?action=AUDIT_VALUE&amp;DB=129&amp;ID1=74727710&amp;VALUEID=02001&amp;SDATE=200803&amp;PERIODTYPE=QTR_STD&amp;SCFT=3&amp;window=popup_no_bar&amp;width=385&amp;height=120&amp;START_MAXIMIZED=FALSE&amp;creator=factset&amp;display_string=Audit"}</definedName>
    <definedName name="_1168__FDSAUDITLINK__" hidden="1">{"fdsup://Directions/FactSet Auditing Viewer?action=AUDIT_VALUE&amp;DB=129&amp;ID1=74727710&amp;VALUEID=02001&amp;SDATE=200803&amp;PERIODTYPE=QTR_STD&amp;SCFT=3&amp;window=popup_no_bar&amp;width=385&amp;height=120&amp;START_MAXIMIZED=FALSE&amp;creator=factset&amp;display_string=Audit"}</definedName>
    <definedName name="_1169__FDSAUDITLINK__" localSheetId="7" hidden="1">{"fdsup://Directions/FactSet Auditing Viewer?action=AUDIT_VALUE&amp;DB=129&amp;ID1=74752510&amp;VALUEID=02001&amp;SDATE=200901&amp;PERIODTYPE=QTR_STD&amp;SCFT=3&amp;window=popup_no_bar&amp;width=385&amp;height=120&amp;START_MAXIMIZED=FALSE&amp;creator=factset&amp;display_string=Audit"}</definedName>
    <definedName name="_1169__FDSAUDITLINK__" hidden="1">{"fdsup://Directions/FactSet Auditing Viewer?action=AUDIT_VALUE&amp;DB=129&amp;ID1=74752510&amp;VALUEID=02001&amp;SDATE=200901&amp;PERIODTYPE=QTR_STD&amp;SCFT=3&amp;window=popup_no_bar&amp;width=385&amp;height=120&amp;START_MAXIMIZED=FALSE&amp;creator=factset&amp;display_string=Audit"}</definedName>
    <definedName name="_117__FDSAUDITLINK__" localSheetId="7" hidden="1">{"fdsup://Directions/FactSet Auditing Viewer?action=AUDIT_VALUE&amp;DB=129&amp;ID1=23257210&amp;VALUEID=02001&amp;SDATE=201101&amp;PERIODTYPE=QTR_STD&amp;SCFT=3&amp;window=popup_no_bar&amp;width=385&amp;height=120&amp;START_MAXIMIZED=FALSE&amp;creator=factset&amp;display_string=Audit"}</definedName>
    <definedName name="_117__FDSAUDITLINK__" hidden="1">{"fdsup://Directions/FactSet Auditing Viewer?action=AUDIT_VALUE&amp;DB=129&amp;ID1=23257210&amp;VALUEID=02001&amp;SDATE=201101&amp;PERIODTYPE=QTR_STD&amp;SCFT=3&amp;window=popup_no_bar&amp;width=385&amp;height=120&amp;START_MAXIMIZED=FALSE&amp;creator=factset&amp;display_string=Audit"}</definedName>
    <definedName name="_1170__FDSAUDITLINK__" localSheetId="7" hidden="1">{"fdsup://Directions/FactSet Auditing Viewer?action=AUDIT_VALUE&amp;DB=129&amp;ID1=74752510&amp;VALUEID=02001&amp;SDATE=200901&amp;PERIODTYPE=QTR_STD&amp;SCFT=3&amp;window=popup_no_bar&amp;width=385&amp;height=120&amp;START_MAXIMIZED=FALSE&amp;creator=factset&amp;display_string=Audit"}</definedName>
    <definedName name="_1170__FDSAUDITLINK__" hidden="1">{"fdsup://Directions/FactSet Auditing Viewer?action=AUDIT_VALUE&amp;DB=129&amp;ID1=74752510&amp;VALUEID=02001&amp;SDATE=200901&amp;PERIODTYPE=QTR_STD&amp;SCFT=3&amp;window=popup_no_bar&amp;width=385&amp;height=120&amp;START_MAXIMIZED=FALSE&amp;creator=factset&amp;display_string=Audit"}</definedName>
    <definedName name="_1171__FDSAUDITLINK__" localSheetId="7" hidden="1">{"fdsup://Directions/FactSet Auditing Viewer?action=AUDIT_VALUE&amp;DB=129&amp;ID1=B505PN&amp;VALUEID=02001&amp;SDATE=200804&amp;PERIODTYPE=QTR_STD&amp;SCFT=3&amp;window=popup_no_bar&amp;width=385&amp;height=120&amp;START_MAXIMIZED=FALSE&amp;creator=factset&amp;display_string=Audit"}</definedName>
    <definedName name="_1171__FDSAUDITLINK__" hidden="1">{"fdsup://Directions/FactSet Auditing Viewer?action=AUDIT_VALUE&amp;DB=129&amp;ID1=B505PN&amp;VALUEID=02001&amp;SDATE=200804&amp;PERIODTYPE=QTR_STD&amp;SCFT=3&amp;window=popup_no_bar&amp;width=385&amp;height=120&amp;START_MAXIMIZED=FALSE&amp;creator=factset&amp;display_string=Audit"}</definedName>
    <definedName name="_1172__FDSAUDITLINK__" localSheetId="7" hidden="1">{"fdsup://Directions/FactSet Auditing Viewer?action=AUDIT_VALUE&amp;DB=129&amp;ID1=B505PN&amp;VALUEID=02001&amp;SDATE=200804&amp;PERIODTYPE=QTR_STD&amp;SCFT=3&amp;window=popup_no_bar&amp;width=385&amp;height=120&amp;START_MAXIMIZED=FALSE&amp;creator=factset&amp;display_string=Audit"}</definedName>
    <definedName name="_1172__FDSAUDITLINK__" hidden="1">{"fdsup://Directions/FactSet Auditing Viewer?action=AUDIT_VALUE&amp;DB=129&amp;ID1=B505PN&amp;VALUEID=02001&amp;SDATE=200804&amp;PERIODTYPE=QTR_STD&amp;SCFT=3&amp;window=popup_no_bar&amp;width=385&amp;height=120&amp;START_MAXIMIZED=FALSE&amp;creator=factset&amp;display_string=Audit"}</definedName>
    <definedName name="_1173__FDSAUDITLINK__" localSheetId="7" hidden="1">{"fdsup://Directions/FactSet Auditing Viewer?action=AUDIT_VALUE&amp;DB=129&amp;ID1=63764010&amp;VALUEID=02001&amp;SDATE=200802&amp;PERIODTYPE=QTR_STD&amp;SCFT=3&amp;window=popup_no_bar&amp;width=385&amp;height=120&amp;START_MAXIMIZED=FALSE&amp;creator=factset&amp;display_string=Audit"}</definedName>
    <definedName name="_1173__FDSAUDITLINK__" hidden="1">{"fdsup://Directions/FactSet Auditing Viewer?action=AUDIT_VALUE&amp;DB=129&amp;ID1=63764010&amp;VALUEID=02001&amp;SDATE=200802&amp;PERIODTYPE=QTR_STD&amp;SCFT=3&amp;window=popup_no_bar&amp;width=385&amp;height=120&amp;START_MAXIMIZED=FALSE&amp;creator=factset&amp;display_string=Audit"}</definedName>
    <definedName name="_1174__FDSAUDITLINK__" localSheetId="7" hidden="1">{"fdsup://Directions/FactSet Auditing Viewer?action=AUDIT_VALUE&amp;DB=129&amp;ID1=63764010&amp;VALUEID=02001&amp;SDATE=200802&amp;PERIODTYPE=QTR_STD&amp;SCFT=3&amp;window=popup_no_bar&amp;width=385&amp;height=120&amp;START_MAXIMIZED=FALSE&amp;creator=factset&amp;display_string=Audit"}</definedName>
    <definedName name="_1174__FDSAUDITLINK__" hidden="1">{"fdsup://Directions/FactSet Auditing Viewer?action=AUDIT_VALUE&amp;DB=129&amp;ID1=63764010&amp;VALUEID=02001&amp;SDATE=200802&amp;PERIODTYPE=QTR_STD&amp;SCFT=3&amp;window=popup_no_bar&amp;width=385&amp;height=120&amp;START_MAXIMIZED=FALSE&amp;creator=factset&amp;display_string=Audit"}</definedName>
    <definedName name="_1175__FDSAUDITLINK__" localSheetId="7" hidden="1">{"fdsup://Directions/FactSet Auditing Viewer?action=AUDIT_VALUE&amp;DB=129&amp;ID1=57772K10&amp;VALUEID=02001&amp;SDATE=200902&amp;PERIODTYPE=QTR_STD&amp;SCFT=3&amp;window=popup_no_bar&amp;width=385&amp;height=120&amp;START_MAXIMIZED=FALSE&amp;creator=factset&amp;display_string=Audit"}</definedName>
    <definedName name="_1175__FDSAUDITLINK__" hidden="1">{"fdsup://Directions/FactSet Auditing Viewer?action=AUDIT_VALUE&amp;DB=129&amp;ID1=57772K10&amp;VALUEID=02001&amp;SDATE=200902&amp;PERIODTYPE=QTR_STD&amp;SCFT=3&amp;window=popup_no_bar&amp;width=385&amp;height=120&amp;START_MAXIMIZED=FALSE&amp;creator=factset&amp;display_string=Audit"}</definedName>
    <definedName name="_1176__FDSAUDITLINK__" localSheetId="7" hidden="1">{"fdsup://Directions/FactSet Auditing Viewer?action=AUDIT_VALUE&amp;DB=129&amp;ID1=57772K10&amp;VALUEID=02001&amp;SDATE=200902&amp;PERIODTYPE=QTR_STD&amp;SCFT=3&amp;window=popup_no_bar&amp;width=385&amp;height=120&amp;START_MAXIMIZED=FALSE&amp;creator=factset&amp;display_string=Audit"}</definedName>
    <definedName name="_1176__FDSAUDITLINK__" hidden="1">{"fdsup://Directions/FactSet Auditing Viewer?action=AUDIT_VALUE&amp;DB=129&amp;ID1=57772K10&amp;VALUEID=02001&amp;SDATE=200902&amp;PERIODTYPE=QTR_STD&amp;SCFT=3&amp;window=popup_no_bar&amp;width=385&amp;height=120&amp;START_MAXIMIZED=FALSE&amp;creator=factset&amp;display_string=Audit"}</definedName>
    <definedName name="_1177__FDSAUDITLINK__" localSheetId="7" hidden="1">{"fdsup://Directions/FactSet Auditing Viewer?action=AUDIT_VALUE&amp;DB=129&amp;ID1=59511210&amp;VALUEID=02001&amp;SDATE=200901&amp;PERIODTYPE=QTR_STD&amp;SCFT=3&amp;window=popup_no_bar&amp;width=385&amp;height=120&amp;START_MAXIMIZED=FALSE&amp;creator=factset&amp;display_string=Audit"}</definedName>
    <definedName name="_1177__FDSAUDITLINK__" hidden="1">{"fdsup://Directions/FactSet Auditing Viewer?action=AUDIT_VALUE&amp;DB=129&amp;ID1=59511210&amp;VALUEID=02001&amp;SDATE=200901&amp;PERIODTYPE=QTR_STD&amp;SCFT=3&amp;window=popup_no_bar&amp;width=385&amp;height=120&amp;START_MAXIMIZED=FALSE&amp;creator=factset&amp;display_string=Audit"}</definedName>
    <definedName name="_1178__FDSAUDITLINK__" localSheetId="7" hidden="1">{"fdsup://Directions/FactSet Auditing Viewer?action=AUDIT_VALUE&amp;DB=129&amp;ID1=59511210&amp;VALUEID=02001&amp;SDATE=200901&amp;PERIODTYPE=QTR_STD&amp;SCFT=3&amp;window=popup_no_bar&amp;width=385&amp;height=120&amp;START_MAXIMIZED=FALSE&amp;creator=factset&amp;display_string=Audit"}</definedName>
    <definedName name="_1178__FDSAUDITLINK__" hidden="1">{"fdsup://Directions/FactSet Auditing Viewer?action=AUDIT_VALUE&amp;DB=129&amp;ID1=59511210&amp;VALUEID=02001&amp;SDATE=200901&amp;PERIODTYPE=QTR_STD&amp;SCFT=3&amp;window=popup_no_bar&amp;width=385&amp;height=120&amp;START_MAXIMIZED=FALSE&amp;creator=factset&amp;display_string=Audit"}</definedName>
    <definedName name="_1179__FDSAUDITLINK__" localSheetId="7" hidden="1">{"fdsup://Directions/FactSet Auditing Viewer?action=AUDIT_VALUE&amp;DB=129&amp;ID1=59513710&amp;VALUEID=02001&amp;SDATE=200901&amp;PERIODTYPE=QTR_STD&amp;SCFT=3&amp;window=popup_no_bar&amp;width=385&amp;height=120&amp;START_MAXIMIZED=FALSE&amp;creator=factset&amp;display_string=Audit"}</definedName>
    <definedName name="_1179__FDSAUDITLINK__" hidden="1">{"fdsup://Directions/FactSet Auditing Viewer?action=AUDIT_VALUE&amp;DB=129&amp;ID1=59513710&amp;VALUEID=02001&amp;SDATE=200901&amp;PERIODTYPE=QTR_STD&amp;SCFT=3&amp;window=popup_no_bar&amp;width=385&amp;height=120&amp;START_MAXIMIZED=FALSE&amp;creator=factset&amp;display_string=Audit"}</definedName>
    <definedName name="_118__FDSAUDITLINK__" localSheetId="7" hidden="1">{"fdsup://Directions/FactSet Auditing Viewer?action=AUDIT_VALUE&amp;DB=129&amp;ID1=23257210&amp;VALUEID=02001&amp;SDATE=201101&amp;PERIODTYPE=QTR_STD&amp;SCFT=3&amp;window=popup_no_bar&amp;width=385&amp;height=120&amp;START_MAXIMIZED=FALSE&amp;creator=factset&amp;display_string=Audit"}</definedName>
    <definedName name="_118__FDSAUDITLINK__" hidden="1">{"fdsup://Directions/FactSet Auditing Viewer?action=AUDIT_VALUE&amp;DB=129&amp;ID1=23257210&amp;VALUEID=02001&amp;SDATE=201101&amp;PERIODTYPE=QTR_STD&amp;SCFT=3&amp;window=popup_no_bar&amp;width=385&amp;height=120&amp;START_MAXIMIZED=FALSE&amp;creator=factset&amp;display_string=Audit"}</definedName>
    <definedName name="_1180__FDSAUDITLINK__" localSheetId="7" hidden="1">{"fdsup://Directions/FactSet Auditing Viewer?action=AUDIT_VALUE&amp;DB=129&amp;ID1=59513710&amp;VALUEID=02001&amp;SDATE=200901&amp;PERIODTYPE=QTR_STD&amp;SCFT=3&amp;window=popup_no_bar&amp;width=385&amp;height=120&amp;START_MAXIMIZED=FALSE&amp;creator=factset&amp;display_string=Audit"}</definedName>
    <definedName name="_1180__FDSAUDITLINK__" hidden="1">{"fdsup://Directions/FactSet Auditing Viewer?action=AUDIT_VALUE&amp;DB=129&amp;ID1=59513710&amp;VALUEID=02001&amp;SDATE=200901&amp;PERIODTYPE=QTR_STD&amp;SCFT=3&amp;window=popup_no_bar&amp;width=385&amp;height=120&amp;START_MAXIMIZED=FALSE&amp;creator=factset&amp;display_string=Audit"}</definedName>
    <definedName name="_1181__FDSAUDITLINK__" localSheetId="7" hidden="1">{"fdsup://Directions/FactSet Auditing Viewer?action=AUDIT_VALUE&amp;DB=129&amp;ID1=59501710&amp;VALUEID=02001&amp;SDATE=200803&amp;PERIODTYPE=QTR_STD&amp;SCFT=3&amp;window=popup_no_bar&amp;width=385&amp;height=120&amp;START_MAXIMIZED=FALSE&amp;creator=factset&amp;display_string=Audit"}</definedName>
    <definedName name="_1181__FDSAUDITLINK__" hidden="1">{"fdsup://Directions/FactSet Auditing Viewer?action=AUDIT_VALUE&amp;DB=129&amp;ID1=59501710&amp;VALUEID=02001&amp;SDATE=200803&amp;PERIODTYPE=QTR_STD&amp;SCFT=3&amp;window=popup_no_bar&amp;width=385&amp;height=120&amp;START_MAXIMIZED=FALSE&amp;creator=factset&amp;display_string=Audit"}</definedName>
    <definedName name="_1182__FDSAUDITLINK__" localSheetId="7" hidden="1">{"fdsup://Directions/FactSet Auditing Viewer?action=AUDIT_VALUE&amp;DB=129&amp;ID1=59501710&amp;VALUEID=02001&amp;SDATE=200803&amp;PERIODTYPE=QTR_STD&amp;SCFT=3&amp;window=popup_no_bar&amp;width=385&amp;height=120&amp;START_MAXIMIZED=FALSE&amp;creator=factset&amp;display_string=Audit"}</definedName>
    <definedName name="_1182__FDSAUDITLINK__" hidden="1">{"fdsup://Directions/FactSet Auditing Viewer?action=AUDIT_VALUE&amp;DB=129&amp;ID1=59501710&amp;VALUEID=02001&amp;SDATE=200803&amp;PERIODTYPE=QTR_STD&amp;SCFT=3&amp;window=popup_no_bar&amp;width=385&amp;height=120&amp;START_MAXIMIZED=FALSE&amp;creator=factset&amp;display_string=Audit"}</definedName>
    <definedName name="_1183__FDSAUDITLINK__" localSheetId="7" hidden="1">{"fdsup://Directions/FactSet Auditing Viewer?action=AUDIT_VALUE&amp;DB=129&amp;ID1=51280710&amp;VALUEID=02001&amp;SDATE=200902&amp;PERIODTYPE=QTR_STD&amp;SCFT=3&amp;window=popup_no_bar&amp;width=385&amp;height=120&amp;START_MAXIMIZED=FALSE&amp;creator=factset&amp;display_string=Audit"}</definedName>
    <definedName name="_1183__FDSAUDITLINK__" hidden="1">{"fdsup://Directions/FactSet Auditing Viewer?action=AUDIT_VALUE&amp;DB=129&amp;ID1=51280710&amp;VALUEID=02001&amp;SDATE=200902&amp;PERIODTYPE=QTR_STD&amp;SCFT=3&amp;window=popup_no_bar&amp;width=385&amp;height=120&amp;START_MAXIMIZED=FALSE&amp;creator=factset&amp;display_string=Audit"}</definedName>
    <definedName name="_1184__FDSAUDITLINK__" localSheetId="7" hidden="1">{"fdsup://Directions/FactSet Auditing Viewer?action=AUDIT_VALUE&amp;DB=129&amp;ID1=51280710&amp;VALUEID=02001&amp;SDATE=200902&amp;PERIODTYPE=QTR_STD&amp;SCFT=3&amp;window=popup_no_bar&amp;width=385&amp;height=120&amp;START_MAXIMIZED=FALSE&amp;creator=factset&amp;display_string=Audit"}</definedName>
    <definedName name="_1184__FDSAUDITLINK__" hidden="1">{"fdsup://Directions/FactSet Auditing Viewer?action=AUDIT_VALUE&amp;DB=129&amp;ID1=51280710&amp;VALUEID=02001&amp;SDATE=200902&amp;PERIODTYPE=QTR_STD&amp;SCFT=3&amp;window=popup_no_bar&amp;width=385&amp;height=120&amp;START_MAXIMIZED=FALSE&amp;creator=factset&amp;display_string=Audit"}</definedName>
    <definedName name="_1185__FDSAUDITLINK__" localSheetId="7" hidden="1">{"fdsup://Directions/FactSet Auditing Viewer?action=AUDIT_VALUE&amp;DB=129&amp;ID1=53567810&amp;VALUEID=02001&amp;SDATE=200902&amp;PERIODTYPE=QTR_STD&amp;SCFT=3&amp;window=popup_no_bar&amp;width=385&amp;height=120&amp;START_MAXIMIZED=FALSE&amp;creator=factset&amp;display_string=Audit"}</definedName>
    <definedName name="_1185__FDSAUDITLINK__" hidden="1">{"fdsup://Directions/FactSet Auditing Viewer?action=AUDIT_VALUE&amp;DB=129&amp;ID1=53567810&amp;VALUEID=02001&amp;SDATE=200902&amp;PERIODTYPE=QTR_STD&amp;SCFT=3&amp;window=popup_no_bar&amp;width=385&amp;height=120&amp;START_MAXIMIZED=FALSE&amp;creator=factset&amp;display_string=Audit"}</definedName>
    <definedName name="_1186__FDSAUDITLINK__" localSheetId="7" hidden="1">{"fdsup://Directions/FactSet Auditing Viewer?action=AUDIT_VALUE&amp;DB=129&amp;ID1=53567810&amp;VALUEID=02001&amp;SDATE=200902&amp;PERIODTYPE=QTR_STD&amp;SCFT=3&amp;window=popup_no_bar&amp;width=385&amp;height=120&amp;START_MAXIMIZED=FALSE&amp;creator=factset&amp;display_string=Audit"}</definedName>
    <definedName name="_1186__FDSAUDITLINK__" hidden="1">{"fdsup://Directions/FactSet Auditing Viewer?action=AUDIT_VALUE&amp;DB=129&amp;ID1=53567810&amp;VALUEID=02001&amp;SDATE=200902&amp;PERIODTYPE=QTR_STD&amp;SCFT=3&amp;window=popup_no_bar&amp;width=385&amp;height=120&amp;START_MAXIMIZED=FALSE&amp;creator=factset&amp;display_string=Audit"}</definedName>
    <definedName name="_1187__FDSAUDITLINK__" localSheetId="7" hidden="1">{"fdsup://Directions/FactSet Auditing Viewer?action=AUDIT_VALUE&amp;DB=129&amp;ID1=48248010&amp;VALUEID=02001&amp;SDATE=200902&amp;PERIODTYPE=QTR_STD&amp;SCFT=3&amp;window=popup_no_bar&amp;width=385&amp;height=120&amp;START_MAXIMIZED=FALSE&amp;creator=factset&amp;display_string=Audit"}</definedName>
    <definedName name="_1187__FDSAUDITLINK__" hidden="1">{"fdsup://Directions/FactSet Auditing Viewer?action=AUDIT_VALUE&amp;DB=129&amp;ID1=48248010&amp;VALUEID=02001&amp;SDATE=200902&amp;PERIODTYPE=QTR_STD&amp;SCFT=3&amp;window=popup_no_bar&amp;width=385&amp;height=120&amp;START_MAXIMIZED=FALSE&amp;creator=factset&amp;display_string=Audit"}</definedName>
    <definedName name="_1188__FDSAUDITLINK__" localSheetId="7" hidden="1">{"fdsup://Directions/FactSet Auditing Viewer?action=AUDIT_VALUE&amp;DB=129&amp;ID1=48248010&amp;VALUEID=02001&amp;SDATE=200902&amp;PERIODTYPE=QTR_STD&amp;SCFT=3&amp;window=popup_no_bar&amp;width=385&amp;height=120&amp;START_MAXIMIZED=FALSE&amp;creator=factset&amp;display_string=Audit"}</definedName>
    <definedName name="_1188__FDSAUDITLINK__" hidden="1">{"fdsup://Directions/FactSet Auditing Viewer?action=AUDIT_VALUE&amp;DB=129&amp;ID1=48248010&amp;VALUEID=02001&amp;SDATE=200902&amp;PERIODTYPE=QTR_STD&amp;SCFT=3&amp;window=popup_no_bar&amp;width=385&amp;height=120&amp;START_MAXIMIZED=FALSE&amp;creator=factset&amp;display_string=Audit"}</definedName>
    <definedName name="_1189__FDSAUDITLINK__" localSheetId="7" hidden="1">{"fdsup://Directions/FactSet Auditing Viewer?action=AUDIT_VALUE&amp;DB=129&amp;ID1=48836020&amp;VALUEID=02001&amp;SDATE=200803&amp;PERIODTYPE=QTR_STD&amp;SCFT=3&amp;window=popup_no_bar&amp;width=385&amp;height=120&amp;START_MAXIMIZED=FALSE&amp;creator=factset&amp;display_string=Audit"}</definedName>
    <definedName name="_1189__FDSAUDITLINK__" hidden="1">{"fdsup://Directions/FactSet Auditing Viewer?action=AUDIT_VALUE&amp;DB=129&amp;ID1=48836020&amp;VALUEID=02001&amp;SDATE=200803&amp;PERIODTYPE=QTR_STD&amp;SCFT=3&amp;window=popup_no_bar&amp;width=385&amp;height=120&amp;START_MAXIMIZED=FALSE&amp;creator=factset&amp;display_string=Audit"}</definedName>
    <definedName name="_119__FDSAUDITLINK__" localSheetId="7" hidden="1">{"fdsup://Directions/FactSet Auditing Viewer?action=AUDIT_VALUE&amp;DB=129&amp;ID1=23280610&amp;VALUEID=02001&amp;SDATE=201101&amp;PERIODTYPE=QTR_STD&amp;SCFT=3&amp;window=popup_no_bar&amp;width=385&amp;height=120&amp;START_MAXIMIZED=FALSE&amp;creator=factset&amp;display_string=Audit"}</definedName>
    <definedName name="_119__FDSAUDITLINK__" hidden="1">{"fdsup://Directions/FactSet Auditing Viewer?action=AUDIT_VALUE&amp;DB=129&amp;ID1=23280610&amp;VALUEID=02001&amp;SDATE=201101&amp;PERIODTYPE=QTR_STD&amp;SCFT=3&amp;window=popup_no_bar&amp;width=385&amp;height=120&amp;START_MAXIMIZED=FALSE&amp;creator=factset&amp;display_string=Audit"}</definedName>
    <definedName name="_1190__FDSAUDITLINK__" localSheetId="7" hidden="1">{"fdsup://Directions/FactSet Auditing Viewer?action=AUDIT_VALUE&amp;DB=129&amp;ID1=48836020&amp;VALUEID=02001&amp;SDATE=200803&amp;PERIODTYPE=QTR_STD&amp;SCFT=3&amp;window=popup_no_bar&amp;width=385&amp;height=120&amp;START_MAXIMIZED=FALSE&amp;creator=factset&amp;display_string=Audit"}</definedName>
    <definedName name="_1190__FDSAUDITLINK__" hidden="1">{"fdsup://Directions/FactSet Auditing Viewer?action=AUDIT_VALUE&amp;DB=129&amp;ID1=48836020&amp;VALUEID=02001&amp;SDATE=200803&amp;PERIODTYPE=QTR_STD&amp;SCFT=3&amp;window=popup_no_bar&amp;width=385&amp;height=120&amp;START_MAXIMIZED=FALSE&amp;creator=factset&amp;display_string=Audit"}</definedName>
    <definedName name="_1191__FDSAUDITLINK__" localSheetId="7" hidden="1">{"fdsup://Directions/FactSet Auditing Viewer?action=AUDIT_VALUE&amp;DB=129&amp;ID1=86681020&amp;VALUEID=02001&amp;SDATE=200902&amp;PERIODTYPE=QTR_STD&amp;SCFT=3&amp;window=popup_no_bar&amp;width=385&amp;height=120&amp;START_MAXIMIZED=FALSE&amp;creator=factset&amp;display_string=Audit"}</definedName>
    <definedName name="_1191__FDSAUDITLINK__" hidden="1">{"fdsup://Directions/FactSet Auditing Viewer?action=AUDIT_VALUE&amp;DB=129&amp;ID1=86681020&amp;VALUEID=02001&amp;SDATE=200902&amp;PERIODTYPE=QTR_STD&amp;SCFT=3&amp;window=popup_no_bar&amp;width=385&amp;height=120&amp;START_MAXIMIZED=FALSE&amp;creator=factset&amp;display_string=Audit"}</definedName>
    <definedName name="_1192__FDSAUDITLINK__" localSheetId="7" hidden="1">{"fdsup://Directions/FactSet Auditing Viewer?action=AUDIT_VALUE&amp;DB=129&amp;ID1=86681020&amp;VALUEID=02001&amp;SDATE=200902&amp;PERIODTYPE=QTR_STD&amp;SCFT=3&amp;window=popup_no_bar&amp;width=385&amp;height=120&amp;START_MAXIMIZED=FALSE&amp;creator=factset&amp;display_string=Audit"}</definedName>
    <definedName name="_1192__FDSAUDITLINK__" hidden="1">{"fdsup://Directions/FactSet Auditing Viewer?action=AUDIT_VALUE&amp;DB=129&amp;ID1=86681020&amp;VALUEID=02001&amp;SDATE=200902&amp;PERIODTYPE=QTR_STD&amp;SCFT=3&amp;window=popup_no_bar&amp;width=385&amp;height=120&amp;START_MAXIMIZED=FALSE&amp;creator=factset&amp;display_string=Audit"}</definedName>
    <definedName name="_1193__FDSAUDITLINK__" localSheetId="7" hidden="1">{"fdsup://Directions/FactSet Auditing Viewer?action=AUDIT_VALUE&amp;DB=129&amp;ID1=46025410&amp;VALUEID=02001&amp;SDATE=200902&amp;PERIODTYPE=QTR_STD&amp;SCFT=3&amp;window=popup_no_bar&amp;width=385&amp;height=120&amp;START_MAXIMIZED=FALSE&amp;creator=factset&amp;display_string=Audit"}</definedName>
    <definedName name="_1193__FDSAUDITLINK__" hidden="1">{"fdsup://Directions/FactSet Auditing Viewer?action=AUDIT_VALUE&amp;DB=129&amp;ID1=46025410&amp;VALUEID=02001&amp;SDATE=200902&amp;PERIODTYPE=QTR_STD&amp;SCFT=3&amp;window=popup_no_bar&amp;width=385&amp;height=120&amp;START_MAXIMIZED=FALSE&amp;creator=factset&amp;display_string=Audit"}</definedName>
    <definedName name="_1194__FDSAUDITLINK__" localSheetId="7" hidden="1">{"fdsup://Directions/FactSet Auditing Viewer?action=AUDIT_VALUE&amp;DB=129&amp;ID1=46025410&amp;VALUEID=02001&amp;SDATE=200902&amp;PERIODTYPE=QTR_STD&amp;SCFT=3&amp;window=popup_no_bar&amp;width=385&amp;height=120&amp;START_MAXIMIZED=FALSE&amp;creator=factset&amp;display_string=Audit"}</definedName>
    <definedName name="_1194__FDSAUDITLINK__" hidden="1">{"fdsup://Directions/FactSet Auditing Viewer?action=AUDIT_VALUE&amp;DB=129&amp;ID1=46025410&amp;VALUEID=02001&amp;SDATE=200902&amp;PERIODTYPE=QTR_STD&amp;SCFT=3&amp;window=popup_no_bar&amp;width=385&amp;height=120&amp;START_MAXIMIZED=FALSE&amp;creator=factset&amp;display_string=Audit"}</definedName>
    <definedName name="_1195__FDSAUDITLINK__" localSheetId="7" hidden="1">{"fdsup://Directions/FactSet Auditing Viewer?action=AUDIT_VALUE&amp;DB=129&amp;ID1=45811810&amp;VALUEID=02001&amp;SDATE=200803&amp;PERIODTYPE=QTR_STD&amp;SCFT=3&amp;window=popup_no_bar&amp;width=385&amp;height=120&amp;START_MAXIMIZED=FALSE&amp;creator=factset&amp;display_string=Audit"}</definedName>
    <definedName name="_1195__FDSAUDITLINK__" hidden="1">{"fdsup://Directions/FactSet Auditing Viewer?action=AUDIT_VALUE&amp;DB=129&amp;ID1=45811810&amp;VALUEID=02001&amp;SDATE=200803&amp;PERIODTYPE=QTR_STD&amp;SCFT=3&amp;window=popup_no_bar&amp;width=385&amp;height=120&amp;START_MAXIMIZED=FALSE&amp;creator=factset&amp;display_string=Audit"}</definedName>
    <definedName name="_1196__FDSAUDITLINK__" localSheetId="7" hidden="1">{"fdsup://Directions/FactSet Auditing Viewer?action=AUDIT_VALUE&amp;DB=129&amp;ID1=45811810&amp;VALUEID=02001&amp;SDATE=200803&amp;PERIODTYPE=QTR_STD&amp;SCFT=3&amp;window=popup_no_bar&amp;width=385&amp;height=120&amp;START_MAXIMIZED=FALSE&amp;creator=factset&amp;display_string=Audit"}</definedName>
    <definedName name="_1196__FDSAUDITLINK__" hidden="1">{"fdsup://Directions/FactSet Auditing Viewer?action=AUDIT_VALUE&amp;DB=129&amp;ID1=45811810&amp;VALUEID=02001&amp;SDATE=200803&amp;PERIODTYPE=QTR_STD&amp;SCFT=3&amp;window=popup_no_bar&amp;width=385&amp;height=120&amp;START_MAXIMIZED=FALSE&amp;creator=factset&amp;display_string=Audit"}</definedName>
    <definedName name="_1197__FDSAUDITLINK__" localSheetId="7" hidden="1">{"fdsup://Directions/FactSet Auditing Viewer?action=AUDIT_VALUE&amp;DB=129&amp;ID1=42823610&amp;VALUEID=02001&amp;SDATE=200901&amp;PERIODTYPE=QTR_STD&amp;SCFT=3&amp;window=popup_no_bar&amp;width=385&amp;height=120&amp;START_MAXIMIZED=FALSE&amp;creator=factset&amp;display_string=Audit"}</definedName>
    <definedName name="_1197__FDSAUDITLINK__" hidden="1">{"fdsup://Directions/FactSet Auditing Viewer?action=AUDIT_VALUE&amp;DB=129&amp;ID1=42823610&amp;VALUEID=02001&amp;SDATE=200901&amp;PERIODTYPE=QTR_STD&amp;SCFT=3&amp;window=popup_no_bar&amp;width=385&amp;height=120&amp;START_MAXIMIZED=FALSE&amp;creator=factset&amp;display_string=Audit"}</definedName>
    <definedName name="_1198__FDSAUDITLINK__" localSheetId="7" hidden="1">{"fdsup://Directions/FactSet Auditing Viewer?action=AUDIT_VALUE&amp;DB=129&amp;ID1=42823610&amp;VALUEID=02001&amp;SDATE=200901&amp;PERIODTYPE=QTR_STD&amp;SCFT=3&amp;window=popup_no_bar&amp;width=385&amp;height=120&amp;START_MAXIMIZED=FALSE&amp;creator=factset&amp;display_string=Audit"}</definedName>
    <definedName name="_1198__FDSAUDITLINK__" hidden="1">{"fdsup://Directions/FactSet Auditing Viewer?action=AUDIT_VALUE&amp;DB=129&amp;ID1=42823610&amp;VALUEID=02001&amp;SDATE=200901&amp;PERIODTYPE=QTR_STD&amp;SCFT=3&amp;window=popup_no_bar&amp;width=385&amp;height=120&amp;START_MAXIMIZED=FALSE&amp;creator=factset&amp;display_string=Audit"}</definedName>
    <definedName name="_1199__FDSAUDITLINK__" localSheetId="7" hidden="1">{"fdsup://Directions/FactSet Auditing Viewer?action=AUDIT_VALUE&amp;DB=129&amp;ID1=31561610&amp;VALUEID=02001&amp;SDATE=200901&amp;PERIODTYPE=QTR_STD&amp;SCFT=3&amp;window=popup_no_bar&amp;width=385&amp;height=120&amp;START_MAXIMIZED=FALSE&amp;creator=factset&amp;display_string=Audit"}</definedName>
    <definedName name="_1199__FDSAUDITLINK__" hidden="1">{"fdsup://Directions/FactSet Auditing Viewer?action=AUDIT_VALUE&amp;DB=129&amp;ID1=31561610&amp;VALUEID=02001&amp;SDATE=200901&amp;PERIODTYPE=QTR_STD&amp;SCFT=3&amp;window=popup_no_bar&amp;width=385&amp;height=120&amp;START_MAXIMIZED=FALSE&amp;creator=factset&amp;display_string=Audit"}</definedName>
    <definedName name="_12__FDSAUDITLINK__" localSheetId="7" hidden="1">{"fdsup://Directions/FactSet Auditing Viewer?action=AUDIT_VALUE&amp;DB=129&amp;ID1=74752510&amp;VALUEID=02001&amp;SDATE=201104&amp;PERIODTYPE=QTR_STD&amp;SCFT=3&amp;window=popup_no_bar&amp;width=385&amp;height=120&amp;START_MAXIMIZED=FALSE&amp;creator=factset&amp;display_string=Audit"}</definedName>
    <definedName name="_12__FDSAUDITLINK__" hidden="1">{"fdsup://Directions/FactSet Auditing Viewer?action=AUDIT_VALUE&amp;DB=129&amp;ID1=74752510&amp;VALUEID=02001&amp;SDATE=201104&amp;PERIODTYPE=QTR_STD&amp;SCFT=3&amp;window=popup_no_bar&amp;width=385&amp;height=120&amp;START_MAXIMIZED=FALSE&amp;creator=factset&amp;display_string=Audit"}</definedName>
    <definedName name="_120__FDSAUDITLINK__" localSheetId="7" hidden="1">{"fdsup://Directions/FactSet Auditing Viewer?action=AUDIT_VALUE&amp;DB=129&amp;ID1=23280610&amp;VALUEID=02001&amp;SDATE=201101&amp;PERIODTYPE=QTR_STD&amp;SCFT=3&amp;window=popup_no_bar&amp;width=385&amp;height=120&amp;START_MAXIMIZED=FALSE&amp;creator=factset&amp;display_string=Audit"}</definedName>
    <definedName name="_120__FDSAUDITLINK__" hidden="1">{"fdsup://Directions/FactSet Auditing Viewer?action=AUDIT_VALUE&amp;DB=129&amp;ID1=23280610&amp;VALUEID=02001&amp;SDATE=201101&amp;PERIODTYPE=QTR_STD&amp;SCFT=3&amp;window=popup_no_bar&amp;width=385&amp;height=120&amp;START_MAXIMIZED=FALSE&amp;creator=factset&amp;display_string=Audit"}</definedName>
    <definedName name="_1200__FDSAUDITLINK__" localSheetId="7" hidden="1">{"fdsup://Directions/FactSet Auditing Viewer?action=AUDIT_VALUE&amp;DB=129&amp;ID1=31561610&amp;VALUEID=02001&amp;SDATE=200901&amp;PERIODTYPE=QTR_STD&amp;SCFT=3&amp;window=popup_no_bar&amp;width=385&amp;height=120&amp;START_MAXIMIZED=FALSE&amp;creator=factset&amp;display_string=Audit"}</definedName>
    <definedName name="_1200__FDSAUDITLINK__" hidden="1">{"fdsup://Directions/FactSet Auditing Viewer?action=AUDIT_VALUE&amp;DB=129&amp;ID1=31561610&amp;VALUEID=02001&amp;SDATE=200901&amp;PERIODTYPE=QTR_STD&amp;SCFT=3&amp;window=popup_no_bar&amp;width=385&amp;height=120&amp;START_MAXIMIZED=FALSE&amp;creator=factset&amp;display_string=Audit"}</definedName>
    <definedName name="_1201__FDSAUDITLINK__" localSheetId="7" hidden="1">{"fdsup://Directions/FactSet Auditing Viewer?action=AUDIT_VALUE&amp;DB=129&amp;ID1=29247520&amp;VALUEID=02001&amp;SDATE=200902&amp;PERIODTYPE=QTR_STD&amp;SCFT=3&amp;window=popup_no_bar&amp;width=385&amp;height=120&amp;START_MAXIMIZED=FALSE&amp;creator=factset&amp;display_string=Audit"}</definedName>
    <definedName name="_1201__FDSAUDITLINK__" hidden="1">{"fdsup://Directions/FactSet Auditing Viewer?action=AUDIT_VALUE&amp;DB=129&amp;ID1=29247520&amp;VALUEID=02001&amp;SDATE=200902&amp;PERIODTYPE=QTR_STD&amp;SCFT=3&amp;window=popup_no_bar&amp;width=385&amp;height=120&amp;START_MAXIMIZED=FALSE&amp;creator=factset&amp;display_string=Audit"}</definedName>
    <definedName name="_1202__FDSAUDITLINK__" localSheetId="7" hidden="1">{"fdsup://Directions/FactSet Auditing Viewer?action=AUDIT_VALUE&amp;DB=129&amp;ID1=29247520&amp;VALUEID=02001&amp;SDATE=200902&amp;PERIODTYPE=QTR_STD&amp;SCFT=3&amp;window=popup_no_bar&amp;width=385&amp;height=120&amp;START_MAXIMIZED=FALSE&amp;creator=factset&amp;display_string=Audit"}</definedName>
    <definedName name="_1202__FDSAUDITLINK__" hidden="1">{"fdsup://Directions/FactSet Auditing Viewer?action=AUDIT_VALUE&amp;DB=129&amp;ID1=29247520&amp;VALUEID=02001&amp;SDATE=200902&amp;PERIODTYPE=QTR_STD&amp;SCFT=3&amp;window=popup_no_bar&amp;width=385&amp;height=120&amp;START_MAXIMIZED=FALSE&amp;creator=factset&amp;display_string=Audit"}</definedName>
    <definedName name="_1203__FDSAUDITLINK__" localSheetId="7" hidden="1">{"fdsup://Directions/FactSet Auditing Viewer?action=AUDIT_VALUE&amp;DB=129&amp;ID1=17275R10&amp;VALUEID=02001&amp;SDATE=200902&amp;PERIODTYPE=QTR_STD&amp;SCFT=3&amp;window=popup_no_bar&amp;width=385&amp;height=120&amp;START_MAXIMIZED=FALSE&amp;creator=factset&amp;display_string=Audit"}</definedName>
    <definedName name="_1203__FDSAUDITLINK__" hidden="1">{"fdsup://Directions/FactSet Auditing Viewer?action=AUDIT_VALUE&amp;DB=129&amp;ID1=17275R10&amp;VALUEID=02001&amp;SDATE=200902&amp;PERIODTYPE=QTR_STD&amp;SCFT=3&amp;window=popup_no_bar&amp;width=385&amp;height=120&amp;START_MAXIMIZED=FALSE&amp;creator=factset&amp;display_string=Audit"}</definedName>
    <definedName name="_1204__FDSAUDITLINK__" localSheetId="7" hidden="1">{"fdsup://Directions/FactSet Auditing Viewer?action=AUDIT_VALUE&amp;DB=129&amp;ID1=17275R10&amp;VALUEID=02001&amp;SDATE=200902&amp;PERIODTYPE=QTR_STD&amp;SCFT=3&amp;window=popup_no_bar&amp;width=385&amp;height=120&amp;START_MAXIMIZED=FALSE&amp;creator=factset&amp;display_string=Audit"}</definedName>
    <definedName name="_1204__FDSAUDITLINK__" hidden="1">{"fdsup://Directions/FactSet Auditing Viewer?action=AUDIT_VALUE&amp;DB=129&amp;ID1=17275R10&amp;VALUEID=02001&amp;SDATE=200902&amp;PERIODTYPE=QTR_STD&amp;SCFT=3&amp;window=popup_no_bar&amp;width=385&amp;height=120&amp;START_MAXIMIZED=FALSE&amp;creator=factset&amp;display_string=Audit"}</definedName>
    <definedName name="_1205__FDSAUDITLINK__" localSheetId="7" hidden="1">{"fdsup://Directions/FactSet Auditing Viewer?action=AUDIT_VALUE&amp;DB=129&amp;ID1=22544710&amp;VALUEID=02001&amp;SDATE=200902&amp;PERIODTYPE=QTR_STD&amp;SCFT=3&amp;window=popup_no_bar&amp;width=385&amp;height=120&amp;START_MAXIMIZED=FALSE&amp;creator=factset&amp;display_string=Audit"}</definedName>
    <definedName name="_1205__FDSAUDITLINK__" hidden="1">{"fdsup://Directions/FactSet Auditing Viewer?action=AUDIT_VALUE&amp;DB=129&amp;ID1=22544710&amp;VALUEID=02001&amp;SDATE=200902&amp;PERIODTYPE=QTR_STD&amp;SCFT=3&amp;window=popup_no_bar&amp;width=385&amp;height=120&amp;START_MAXIMIZED=FALSE&amp;creator=factset&amp;display_string=Audit"}</definedName>
    <definedName name="_1206__FDSAUDITLINK__" localSheetId="7" hidden="1">{"fdsup://Directions/FactSet Auditing Viewer?action=AUDIT_VALUE&amp;DB=129&amp;ID1=22544710&amp;VALUEID=02001&amp;SDATE=200902&amp;PERIODTYPE=QTR_STD&amp;SCFT=3&amp;window=popup_no_bar&amp;width=385&amp;height=120&amp;START_MAXIMIZED=FALSE&amp;creator=factset&amp;display_string=Audit"}</definedName>
    <definedName name="_1206__FDSAUDITLINK__" hidden="1">{"fdsup://Directions/FactSet Auditing Viewer?action=AUDIT_VALUE&amp;DB=129&amp;ID1=22544710&amp;VALUEID=02001&amp;SDATE=200902&amp;PERIODTYPE=QTR_STD&amp;SCFT=3&amp;window=popup_no_bar&amp;width=385&amp;height=120&amp;START_MAXIMIZED=FALSE&amp;creator=factset&amp;display_string=Audit"}</definedName>
    <definedName name="_1207__FDSAUDITLINK__" localSheetId="7" hidden="1">{"fdsup://Directions/FactSet Auditing Viewer?action=AUDIT_VALUE&amp;DB=129&amp;ID1=20714230&amp;VALUEID=02001&amp;SDATE=200901&amp;PERIODTYPE=QTR_STD&amp;SCFT=3&amp;window=popup_no_bar&amp;width=385&amp;height=120&amp;START_MAXIMIZED=FALSE&amp;creator=factset&amp;display_string=Audit"}</definedName>
    <definedName name="_1207__FDSAUDITLINK__" hidden="1">{"fdsup://Directions/FactSet Auditing Viewer?action=AUDIT_VALUE&amp;DB=129&amp;ID1=20714230&amp;VALUEID=02001&amp;SDATE=200901&amp;PERIODTYPE=QTR_STD&amp;SCFT=3&amp;window=popup_no_bar&amp;width=385&amp;height=120&amp;START_MAXIMIZED=FALSE&amp;creator=factset&amp;display_string=Audit"}</definedName>
    <definedName name="_1208__FDSAUDITLINK__" localSheetId="7" hidden="1">{"fdsup://Directions/FactSet Auditing Viewer?action=AUDIT_VALUE&amp;DB=129&amp;ID1=20714230&amp;VALUEID=02001&amp;SDATE=200901&amp;PERIODTYPE=QTR_STD&amp;SCFT=3&amp;window=popup_no_bar&amp;width=385&amp;height=120&amp;START_MAXIMIZED=FALSE&amp;creator=factset&amp;display_string=Audit"}</definedName>
    <definedName name="_1208__FDSAUDITLINK__" hidden="1">{"fdsup://Directions/FactSet Auditing Viewer?action=AUDIT_VALUE&amp;DB=129&amp;ID1=20714230&amp;VALUEID=02001&amp;SDATE=200901&amp;PERIODTYPE=QTR_STD&amp;SCFT=3&amp;window=popup_no_bar&amp;width=385&amp;height=120&amp;START_MAXIMIZED=FALSE&amp;creator=factset&amp;display_string=Audit"}</definedName>
    <definedName name="_1209__FDSAUDITLINK__" localSheetId="7" hidden="1">{"fdsup://Directions/FactSet Auditing Viewer?action=AUDIT_VALUE&amp;DB=129&amp;ID1=11162130&amp;VALUEID=02001&amp;SDATE=200901&amp;PERIODTYPE=QTR_STD&amp;SCFT=3&amp;window=popup_no_bar&amp;width=385&amp;height=120&amp;START_MAXIMIZED=FALSE&amp;creator=factset&amp;display_string=Audit"}</definedName>
    <definedName name="_1209__FDSAUDITLINK__" hidden="1">{"fdsup://Directions/FactSet Auditing Viewer?action=AUDIT_VALUE&amp;DB=129&amp;ID1=11162130&amp;VALUEID=02001&amp;SDATE=200901&amp;PERIODTYPE=QTR_STD&amp;SCFT=3&amp;window=popup_no_bar&amp;width=385&amp;height=120&amp;START_MAXIMIZED=FALSE&amp;creator=factset&amp;display_string=Audit"}</definedName>
    <definedName name="_121__FDSAUDITLINK__" localSheetId="7" hidden="1">{"fdsup://Directions/FactSet Auditing Viewer?action=AUDIT_VALUE&amp;DB=129&amp;ID1=17275R10&amp;VALUEID=02001&amp;SDATE=201103&amp;PERIODTYPE=QTR_STD&amp;SCFT=3&amp;window=popup_no_bar&amp;width=385&amp;height=120&amp;START_MAXIMIZED=FALSE&amp;creator=factset&amp;display_string=Audit"}</definedName>
    <definedName name="_121__FDSAUDITLINK__" hidden="1">{"fdsup://Directions/FactSet Auditing Viewer?action=AUDIT_VALUE&amp;DB=129&amp;ID1=17275R10&amp;VALUEID=02001&amp;SDATE=201103&amp;PERIODTYPE=QTR_STD&amp;SCFT=3&amp;window=popup_no_bar&amp;width=385&amp;height=120&amp;START_MAXIMIZED=FALSE&amp;creator=factset&amp;display_string=Audit"}</definedName>
    <definedName name="_1210__FDSAUDITLINK__" localSheetId="7" hidden="1">{"fdsup://Directions/FactSet Auditing Viewer?action=AUDIT_VALUE&amp;DB=129&amp;ID1=11162130&amp;VALUEID=02001&amp;SDATE=200901&amp;PERIODTYPE=QTR_STD&amp;SCFT=3&amp;window=popup_no_bar&amp;width=385&amp;height=120&amp;START_MAXIMIZED=FALSE&amp;creator=factset&amp;display_string=Audit"}</definedName>
    <definedName name="_1210__FDSAUDITLINK__" hidden="1">{"fdsup://Directions/FactSet Auditing Viewer?action=AUDIT_VALUE&amp;DB=129&amp;ID1=11162130&amp;VALUEID=02001&amp;SDATE=200901&amp;PERIODTYPE=QTR_STD&amp;SCFT=3&amp;window=popup_no_bar&amp;width=385&amp;height=120&amp;START_MAXIMIZED=FALSE&amp;creator=factset&amp;display_string=Audit"}</definedName>
    <definedName name="_1211__FDSAUDITLINK__" localSheetId="7" hidden="1">{"fdsup://Directions/FactSet Auditing Viewer?action=AUDIT_VALUE&amp;DB=129&amp;ID1=Y0486S10&amp;VALUEID=02001&amp;SDATE=200901&amp;PERIODTYPE=QTR_STD&amp;SCFT=3&amp;window=popup_no_bar&amp;width=385&amp;height=120&amp;START_MAXIMIZED=FALSE&amp;creator=factset&amp;display_string=Audit"}</definedName>
    <definedName name="_1211__FDSAUDITLINK__" hidden="1">{"fdsup://Directions/FactSet Auditing Viewer?action=AUDIT_VALUE&amp;DB=129&amp;ID1=Y0486S10&amp;VALUEID=02001&amp;SDATE=200901&amp;PERIODTYPE=QTR_STD&amp;SCFT=3&amp;window=popup_no_bar&amp;width=385&amp;height=120&amp;START_MAXIMIZED=FALSE&amp;creator=factset&amp;display_string=Audit"}</definedName>
    <definedName name="_1212__FDSAUDITLINK__" localSheetId="7" hidden="1">{"fdsup://Directions/FactSet Auditing Viewer?action=AUDIT_VALUE&amp;DB=129&amp;ID1=Y0486S10&amp;VALUEID=02001&amp;SDATE=200901&amp;PERIODTYPE=QTR_STD&amp;SCFT=3&amp;window=popup_no_bar&amp;width=385&amp;height=120&amp;START_MAXIMIZED=FALSE&amp;creator=factset&amp;display_string=Audit"}</definedName>
    <definedName name="_1212__FDSAUDITLINK__" hidden="1">{"fdsup://Directions/FactSet Auditing Viewer?action=AUDIT_VALUE&amp;DB=129&amp;ID1=Y0486S10&amp;VALUEID=02001&amp;SDATE=200901&amp;PERIODTYPE=QTR_STD&amp;SCFT=3&amp;window=popup_no_bar&amp;width=385&amp;height=120&amp;START_MAXIMIZED=FALSE&amp;creator=factset&amp;display_string=Audit"}</definedName>
    <definedName name="_1213__FDSAUDITLINK__" localSheetId="7" hidden="1">{"fdsup://Directions/FactSet Auditing Viewer?action=AUDIT_VALUE&amp;DB=129&amp;ID1=03822W40&amp;VALUEID=02001&amp;SDATE=200803&amp;PERIODTYPE=QTR_STD&amp;SCFT=3&amp;window=popup_no_bar&amp;width=385&amp;height=120&amp;START_MAXIMIZED=FALSE&amp;creator=factset&amp;display_string=Audit"}</definedName>
    <definedName name="_1213__FDSAUDITLINK__" hidden="1">{"fdsup://Directions/FactSet Auditing Viewer?action=AUDIT_VALUE&amp;DB=129&amp;ID1=03822W40&amp;VALUEID=02001&amp;SDATE=200803&amp;PERIODTYPE=QTR_STD&amp;SCFT=3&amp;window=popup_no_bar&amp;width=385&amp;height=120&amp;START_MAXIMIZED=FALSE&amp;creator=factset&amp;display_string=Audit"}</definedName>
    <definedName name="_1214__FDSAUDITLINK__" localSheetId="7" hidden="1">{"fdsup://Directions/FactSet Auditing Viewer?action=AUDIT_VALUE&amp;DB=129&amp;ID1=03822W40&amp;VALUEID=02001&amp;SDATE=200803&amp;PERIODTYPE=QTR_STD&amp;SCFT=3&amp;window=popup_no_bar&amp;width=385&amp;height=120&amp;START_MAXIMIZED=FALSE&amp;creator=factset&amp;display_string=Audit"}</definedName>
    <definedName name="_1214__FDSAUDITLINK__" hidden="1">{"fdsup://Directions/FactSet Auditing Viewer?action=AUDIT_VALUE&amp;DB=129&amp;ID1=03822W40&amp;VALUEID=02001&amp;SDATE=200803&amp;PERIODTYPE=QTR_STD&amp;SCFT=3&amp;window=popup_no_bar&amp;width=385&amp;height=120&amp;START_MAXIMIZED=FALSE&amp;creator=factset&amp;display_string=Audit"}</definedName>
    <definedName name="_1215__FDSAUDITLINK__" localSheetId="7" hidden="1">{"fdsup://Directions/FactSet Auditing Viewer?action=AUDIT_VALUE&amp;DB=129&amp;ID1=03822210&amp;VALUEID=02001&amp;SDATE=200901&amp;PERIODTYPE=QTR_STD&amp;SCFT=3&amp;window=popup_no_bar&amp;width=385&amp;height=120&amp;START_MAXIMIZED=FALSE&amp;creator=factset&amp;display_string=Audit"}</definedName>
    <definedName name="_1215__FDSAUDITLINK__" hidden="1">{"fdsup://Directions/FactSet Auditing Viewer?action=AUDIT_VALUE&amp;DB=129&amp;ID1=03822210&amp;VALUEID=02001&amp;SDATE=200901&amp;PERIODTYPE=QTR_STD&amp;SCFT=3&amp;window=popup_no_bar&amp;width=385&amp;height=120&amp;START_MAXIMIZED=FALSE&amp;creator=factset&amp;display_string=Audit"}</definedName>
    <definedName name="_1216__FDSAUDITLINK__" localSheetId="7" hidden="1">{"fdsup://Directions/FactSet Auditing Viewer?action=AUDIT_VALUE&amp;DB=129&amp;ID1=03822210&amp;VALUEID=02001&amp;SDATE=200901&amp;PERIODTYPE=QTR_STD&amp;SCFT=3&amp;window=popup_no_bar&amp;width=385&amp;height=120&amp;START_MAXIMIZED=FALSE&amp;creator=factset&amp;display_string=Audit"}</definedName>
    <definedName name="_1216__FDSAUDITLINK__" hidden="1">{"fdsup://Directions/FactSet Auditing Viewer?action=AUDIT_VALUE&amp;DB=129&amp;ID1=03822210&amp;VALUEID=02001&amp;SDATE=200901&amp;PERIODTYPE=QTR_STD&amp;SCFT=3&amp;window=popup_no_bar&amp;width=385&amp;height=120&amp;START_MAXIMIZED=FALSE&amp;creator=factset&amp;display_string=Audit"}</definedName>
    <definedName name="_1217__FDSAUDITLINK__" localSheetId="7" hidden="1">{"fdsup://Directions/FactSet Auditing Viewer?action=AUDIT_VALUE&amp;DB=129&amp;ID1=03265410&amp;VALUEID=02001&amp;SDATE=200901&amp;PERIODTYPE=QTR_STD&amp;SCFT=3&amp;window=popup_no_bar&amp;width=385&amp;height=120&amp;START_MAXIMIZED=FALSE&amp;creator=factset&amp;display_string=Audit"}</definedName>
    <definedName name="_1217__FDSAUDITLINK__" hidden="1">{"fdsup://Directions/FactSet Auditing Viewer?action=AUDIT_VALUE&amp;DB=129&amp;ID1=03265410&amp;VALUEID=02001&amp;SDATE=200901&amp;PERIODTYPE=QTR_STD&amp;SCFT=3&amp;window=popup_no_bar&amp;width=385&amp;height=120&amp;START_MAXIMIZED=FALSE&amp;creator=factset&amp;display_string=Audit"}</definedName>
    <definedName name="_1218__FDSAUDITLINK__" localSheetId="7" hidden="1">{"fdsup://Directions/FactSet Auditing Viewer?action=AUDIT_VALUE&amp;DB=129&amp;ID1=03265410&amp;VALUEID=02001&amp;SDATE=200901&amp;PERIODTYPE=QTR_STD&amp;SCFT=3&amp;window=popup_no_bar&amp;width=385&amp;height=120&amp;START_MAXIMIZED=FALSE&amp;creator=factset&amp;display_string=Audit"}</definedName>
    <definedName name="_1218__FDSAUDITLINK__" hidden="1">{"fdsup://Directions/FactSet Auditing Viewer?action=AUDIT_VALUE&amp;DB=129&amp;ID1=03265410&amp;VALUEID=02001&amp;SDATE=200901&amp;PERIODTYPE=QTR_STD&amp;SCFT=3&amp;window=popup_no_bar&amp;width=385&amp;height=120&amp;START_MAXIMIZED=FALSE&amp;creator=factset&amp;display_string=Audit"}</definedName>
    <definedName name="_1219__FDSAUDITLINK__" localSheetId="7" hidden="1">{"fdsup://Directions/FactSet Auditing Viewer?action=AUDIT_VALUE&amp;DB=129&amp;ID1=98975F10&amp;VALUEID=02001&amp;SDATE=200803&amp;PERIODTYPE=QTR_STD&amp;SCFT=3&amp;window=popup_no_bar&amp;width=385&amp;height=120&amp;START_MAXIMIZED=FALSE&amp;creator=factset&amp;display_string=Audit"}</definedName>
    <definedName name="_1219__FDSAUDITLINK__" hidden="1">{"fdsup://Directions/FactSet Auditing Viewer?action=AUDIT_VALUE&amp;DB=129&amp;ID1=98975F10&amp;VALUEID=02001&amp;SDATE=200803&amp;PERIODTYPE=QTR_STD&amp;SCFT=3&amp;window=popup_no_bar&amp;width=385&amp;height=120&amp;START_MAXIMIZED=FALSE&amp;creator=factset&amp;display_string=Audit"}</definedName>
    <definedName name="_122__FDSAUDITLINK__" localSheetId="7" hidden="1">{"fdsup://Directions/FactSet Auditing Viewer?action=AUDIT_VALUE&amp;DB=129&amp;ID1=17275R10&amp;VALUEID=02001&amp;SDATE=201103&amp;PERIODTYPE=QTR_STD&amp;SCFT=3&amp;window=popup_no_bar&amp;width=385&amp;height=120&amp;START_MAXIMIZED=FALSE&amp;creator=factset&amp;display_string=Audit"}</definedName>
    <definedName name="_122__FDSAUDITLINK__" hidden="1">{"fdsup://Directions/FactSet Auditing Viewer?action=AUDIT_VALUE&amp;DB=129&amp;ID1=17275R10&amp;VALUEID=02001&amp;SDATE=201103&amp;PERIODTYPE=QTR_STD&amp;SCFT=3&amp;window=popup_no_bar&amp;width=385&amp;height=120&amp;START_MAXIMIZED=FALSE&amp;creator=factset&amp;display_string=Audit"}</definedName>
    <definedName name="_1220__FDSAUDITLINK__" localSheetId="7" hidden="1">{"fdsup://Directions/FactSet Auditing Viewer?action=AUDIT_VALUE&amp;DB=129&amp;ID1=98975F10&amp;VALUEID=02001&amp;SDATE=200803&amp;PERIODTYPE=QTR_STD&amp;SCFT=3&amp;window=popup_no_bar&amp;width=385&amp;height=120&amp;START_MAXIMIZED=FALSE&amp;creator=factset&amp;display_string=Audit"}</definedName>
    <definedName name="_1220__FDSAUDITLINK__" hidden="1">{"fdsup://Directions/FactSet Auditing Viewer?action=AUDIT_VALUE&amp;DB=129&amp;ID1=98975F10&amp;VALUEID=02001&amp;SDATE=200803&amp;PERIODTYPE=QTR_STD&amp;SCFT=3&amp;window=popup_no_bar&amp;width=385&amp;height=120&amp;START_MAXIMIZED=FALSE&amp;creator=factset&amp;display_string=Audit"}</definedName>
    <definedName name="_1221__FDSAUDITLINK__" localSheetId="7" hidden="1">{"fdsup://Directions/FactSet Auditing Viewer?action=AUDIT_VALUE&amp;DB=129&amp;ID1=98391910&amp;VALUEID=02001&amp;SDATE=200802&amp;PERIODTYPE=QTR_STD&amp;SCFT=3&amp;window=popup_no_bar&amp;width=385&amp;height=120&amp;START_MAXIMIZED=FALSE&amp;creator=factset&amp;display_string=Audit"}</definedName>
    <definedName name="_1221__FDSAUDITLINK__" hidden="1">{"fdsup://Directions/FactSet Auditing Viewer?action=AUDIT_VALUE&amp;DB=129&amp;ID1=98391910&amp;VALUEID=02001&amp;SDATE=200802&amp;PERIODTYPE=QTR_STD&amp;SCFT=3&amp;window=popup_no_bar&amp;width=385&amp;height=120&amp;START_MAXIMIZED=FALSE&amp;creator=factset&amp;display_string=Audit"}</definedName>
    <definedName name="_1222__FDSAUDITLINK__" localSheetId="7" hidden="1">{"fdsup://Directions/FactSet Auditing Viewer?action=AUDIT_VALUE&amp;DB=129&amp;ID1=98391910&amp;VALUEID=02001&amp;SDATE=200802&amp;PERIODTYPE=QTR_STD&amp;SCFT=3&amp;window=popup_no_bar&amp;width=385&amp;height=120&amp;START_MAXIMIZED=FALSE&amp;creator=factset&amp;display_string=Audit"}</definedName>
    <definedName name="_1222__FDSAUDITLINK__" hidden="1">{"fdsup://Directions/FactSet Auditing Viewer?action=AUDIT_VALUE&amp;DB=129&amp;ID1=98391910&amp;VALUEID=02001&amp;SDATE=200802&amp;PERIODTYPE=QTR_STD&amp;SCFT=3&amp;window=popup_no_bar&amp;width=385&amp;height=120&amp;START_MAXIMIZED=FALSE&amp;creator=factset&amp;display_string=Audit"}</definedName>
    <definedName name="_1223__FDSAUDITLINK__" localSheetId="7" hidden="1">{"fdsup://Directions/FactSet Auditing Viewer?action=AUDIT_VALUE&amp;DB=129&amp;ID1=95810210&amp;VALUEID=02001&amp;SDATE=200901&amp;PERIODTYPE=QTR_STD&amp;SCFT=3&amp;window=popup_no_bar&amp;width=385&amp;height=120&amp;START_MAXIMIZED=FALSE&amp;creator=factset&amp;display_string=Audit"}</definedName>
    <definedName name="_1223__FDSAUDITLINK__" hidden="1">{"fdsup://Directions/FactSet Auditing Viewer?action=AUDIT_VALUE&amp;DB=129&amp;ID1=95810210&amp;VALUEID=02001&amp;SDATE=200901&amp;PERIODTYPE=QTR_STD&amp;SCFT=3&amp;window=popup_no_bar&amp;width=385&amp;height=120&amp;START_MAXIMIZED=FALSE&amp;creator=factset&amp;display_string=Audit"}</definedName>
    <definedName name="_1224__FDSAUDITLINK__" localSheetId="7" hidden="1">{"fdsup://Directions/FactSet Auditing Viewer?action=AUDIT_VALUE&amp;DB=129&amp;ID1=95810210&amp;VALUEID=02001&amp;SDATE=200901&amp;PERIODTYPE=QTR_STD&amp;SCFT=3&amp;window=popup_no_bar&amp;width=385&amp;height=120&amp;START_MAXIMIZED=FALSE&amp;creator=factset&amp;display_string=Audit"}</definedName>
    <definedName name="_1224__FDSAUDITLINK__" hidden="1">{"fdsup://Directions/FactSet Auditing Viewer?action=AUDIT_VALUE&amp;DB=129&amp;ID1=95810210&amp;VALUEID=02001&amp;SDATE=200901&amp;PERIODTYPE=QTR_STD&amp;SCFT=3&amp;window=popup_no_bar&amp;width=385&amp;height=120&amp;START_MAXIMIZED=FALSE&amp;creator=factset&amp;display_string=Audit"}</definedName>
    <definedName name="_1225__FDSAUDITLINK__" localSheetId="7" hidden="1">{"fdsup://Directions/FactSet Auditing Viewer?action=AUDIT_VALUE&amp;DB=129&amp;ID1=92829810&amp;VALUEID=02001&amp;SDATE=200803&amp;PERIODTYPE=QTR_STD&amp;SCFT=3&amp;window=popup_no_bar&amp;width=385&amp;height=120&amp;START_MAXIMIZED=FALSE&amp;creator=factset&amp;display_string=Audit"}</definedName>
    <definedName name="_1225__FDSAUDITLINK__" hidden="1">{"fdsup://Directions/FactSet Auditing Viewer?action=AUDIT_VALUE&amp;DB=129&amp;ID1=92829810&amp;VALUEID=02001&amp;SDATE=200803&amp;PERIODTYPE=QTR_STD&amp;SCFT=3&amp;window=popup_no_bar&amp;width=385&amp;height=120&amp;START_MAXIMIZED=FALSE&amp;creator=factset&amp;display_string=Audit"}</definedName>
    <definedName name="_1226__FDSAUDITLINK__" localSheetId="7" hidden="1">{"fdsup://Directions/FactSet Auditing Viewer?action=AUDIT_VALUE&amp;DB=129&amp;ID1=92829810&amp;VALUEID=02001&amp;SDATE=200803&amp;PERIODTYPE=QTR_STD&amp;SCFT=3&amp;window=popup_no_bar&amp;width=385&amp;height=120&amp;START_MAXIMIZED=FALSE&amp;creator=factset&amp;display_string=Audit"}</definedName>
    <definedName name="_1226__FDSAUDITLINK__" hidden="1">{"fdsup://Directions/FactSet Auditing Viewer?action=AUDIT_VALUE&amp;DB=129&amp;ID1=92829810&amp;VALUEID=02001&amp;SDATE=200803&amp;PERIODTYPE=QTR_STD&amp;SCFT=3&amp;window=popup_no_bar&amp;width=385&amp;height=120&amp;START_MAXIMIZED=FALSE&amp;creator=factset&amp;display_string=Audit"}</definedName>
    <definedName name="_1227__FDSAUDITLINK__" localSheetId="7" hidden="1">{"fdsup://Directions/FactSet Auditing Viewer?action=AUDIT_VALUE&amp;DB=129&amp;ID1=88250810&amp;VALUEID=02001&amp;SDATE=200803&amp;PERIODTYPE=QTR_STD&amp;SCFT=3&amp;window=popup_no_bar&amp;width=385&amp;height=120&amp;START_MAXIMIZED=FALSE&amp;creator=factset&amp;display_string=Audit"}</definedName>
    <definedName name="_1227__FDSAUDITLINK__" hidden="1">{"fdsup://Directions/FactSet Auditing Viewer?action=AUDIT_VALUE&amp;DB=129&amp;ID1=88250810&amp;VALUEID=02001&amp;SDATE=200803&amp;PERIODTYPE=QTR_STD&amp;SCFT=3&amp;window=popup_no_bar&amp;width=385&amp;height=120&amp;START_MAXIMIZED=FALSE&amp;creator=factset&amp;display_string=Audit"}</definedName>
    <definedName name="_1228__FDSAUDITLINK__" localSheetId="7" hidden="1">{"fdsup://Directions/FactSet Auditing Viewer?action=AUDIT_VALUE&amp;DB=129&amp;ID1=88250810&amp;VALUEID=02001&amp;SDATE=200803&amp;PERIODTYPE=QTR_STD&amp;SCFT=3&amp;window=popup_no_bar&amp;width=385&amp;height=120&amp;START_MAXIMIZED=FALSE&amp;creator=factset&amp;display_string=Audit"}</definedName>
    <definedName name="_1228__FDSAUDITLINK__" hidden="1">{"fdsup://Directions/FactSet Auditing Viewer?action=AUDIT_VALUE&amp;DB=129&amp;ID1=88250810&amp;VALUEID=02001&amp;SDATE=200803&amp;PERIODTYPE=QTR_STD&amp;SCFT=3&amp;window=popup_no_bar&amp;width=385&amp;height=120&amp;START_MAXIMIZED=FALSE&amp;creator=factset&amp;display_string=Audit"}</definedName>
    <definedName name="_1229__FDSAUDITLINK__" localSheetId="7" hidden="1">{"fdsup://Directions/FactSet Auditing Viewer?action=AUDIT_VALUE&amp;DB=129&amp;ID1=89674K10&amp;VALUEID=02001&amp;SDATE=200803&amp;PERIODTYPE=QTR_STD&amp;SCFT=3&amp;window=popup_no_bar&amp;width=385&amp;height=120&amp;START_MAXIMIZED=FALSE&amp;creator=factset&amp;display_string=Audit"}</definedName>
    <definedName name="_1229__FDSAUDITLINK__" hidden="1">{"fdsup://Directions/FactSet Auditing Viewer?action=AUDIT_VALUE&amp;DB=129&amp;ID1=89674K10&amp;VALUEID=02001&amp;SDATE=200803&amp;PERIODTYPE=QTR_STD&amp;SCFT=3&amp;window=popup_no_bar&amp;width=385&amp;height=120&amp;START_MAXIMIZED=FALSE&amp;creator=factset&amp;display_string=Audit"}</definedName>
    <definedName name="_123__FDSAUDITLINK__" localSheetId="7" hidden="1">{"fdsup://Directions/FactSet Auditing Viewer?action=AUDIT_VALUE&amp;DB=129&amp;ID1=22544710&amp;VALUEID=02001&amp;SDATE=201103&amp;PERIODTYPE=QTR_STD&amp;SCFT=3&amp;window=popup_no_bar&amp;width=385&amp;height=120&amp;START_MAXIMIZED=FALSE&amp;creator=factset&amp;display_string=Audit"}</definedName>
    <definedName name="_123__FDSAUDITLINK__" hidden="1">{"fdsup://Directions/FactSet Auditing Viewer?action=AUDIT_VALUE&amp;DB=129&amp;ID1=22544710&amp;VALUEID=02001&amp;SDATE=201103&amp;PERIODTYPE=QTR_STD&amp;SCFT=3&amp;window=popup_no_bar&amp;width=385&amp;height=120&amp;START_MAXIMIZED=FALSE&amp;creator=factset&amp;display_string=Audit"}</definedName>
    <definedName name="_1230__FDSAUDITLINK__" localSheetId="7" hidden="1">{"fdsup://Directions/FactSet Auditing Viewer?action=AUDIT_VALUE&amp;DB=129&amp;ID1=89674K10&amp;VALUEID=02001&amp;SDATE=200803&amp;PERIODTYPE=QTR_STD&amp;SCFT=3&amp;window=popup_no_bar&amp;width=385&amp;height=120&amp;START_MAXIMIZED=FALSE&amp;creator=factset&amp;display_string=Audit"}</definedName>
    <definedName name="_1230__FDSAUDITLINK__" hidden="1">{"fdsup://Directions/FactSet Auditing Viewer?action=AUDIT_VALUE&amp;DB=129&amp;ID1=89674K10&amp;VALUEID=02001&amp;SDATE=200803&amp;PERIODTYPE=QTR_STD&amp;SCFT=3&amp;window=popup_no_bar&amp;width=385&amp;height=120&amp;START_MAXIMIZED=FALSE&amp;creator=factset&amp;display_string=Audit"}</definedName>
    <definedName name="_1231__FDSAUDITLINK__" localSheetId="7" hidden="1">{"fdsup://Directions/FactSet Auditing Viewer?action=AUDIT_VALUE&amp;DB=129&amp;ID1=G7945M10&amp;VALUEID=02001&amp;SDATE=200901&amp;PERIODTYPE=QTR_STD&amp;SCFT=3&amp;window=popup_no_bar&amp;width=385&amp;height=120&amp;START_MAXIMIZED=FALSE&amp;creator=factset&amp;display_string=Audit"}</definedName>
    <definedName name="_1231__FDSAUDITLINK__" hidden="1">{"fdsup://Directions/FactSet Auditing Viewer?action=AUDIT_VALUE&amp;DB=129&amp;ID1=G7945M10&amp;VALUEID=02001&amp;SDATE=200901&amp;PERIODTYPE=QTR_STD&amp;SCFT=3&amp;window=popup_no_bar&amp;width=385&amp;height=120&amp;START_MAXIMIZED=FALSE&amp;creator=factset&amp;display_string=Audit"}</definedName>
    <definedName name="_1232__FDSAUDITLINK__" localSheetId="7" hidden="1">{"fdsup://Directions/FactSet Auditing Viewer?action=AUDIT_VALUE&amp;DB=129&amp;ID1=G7945M10&amp;VALUEID=02001&amp;SDATE=200901&amp;PERIODTYPE=QTR_STD&amp;SCFT=3&amp;window=popup_no_bar&amp;width=385&amp;height=120&amp;START_MAXIMIZED=FALSE&amp;creator=factset&amp;display_string=Audit"}</definedName>
    <definedName name="_1232__FDSAUDITLINK__" hidden="1">{"fdsup://Directions/FactSet Auditing Viewer?action=AUDIT_VALUE&amp;DB=129&amp;ID1=G7945M10&amp;VALUEID=02001&amp;SDATE=200901&amp;PERIODTYPE=QTR_STD&amp;SCFT=3&amp;window=popup_no_bar&amp;width=385&amp;height=120&amp;START_MAXIMIZED=FALSE&amp;creator=factset&amp;display_string=Audit"}</definedName>
    <definedName name="_1233__FDSAUDITLINK__" localSheetId="7" hidden="1">{"fdsup://Directions/FactSet Auditing Viewer?action=AUDIT_VALUE&amp;DB=129&amp;ID1=78477410&amp;VALUEID=02001&amp;SDATE=200803&amp;PERIODTYPE=QTR_STD&amp;SCFT=3&amp;window=popup_no_bar&amp;width=385&amp;height=120&amp;START_MAXIMIZED=FALSE&amp;creator=factset&amp;display_string=Audit"}</definedName>
    <definedName name="_1233__FDSAUDITLINK__" hidden="1">{"fdsup://Directions/FactSet Auditing Viewer?action=AUDIT_VALUE&amp;DB=129&amp;ID1=78477410&amp;VALUEID=02001&amp;SDATE=200803&amp;PERIODTYPE=QTR_STD&amp;SCFT=3&amp;window=popup_no_bar&amp;width=385&amp;height=120&amp;START_MAXIMIZED=FALSE&amp;creator=factset&amp;display_string=Audit"}</definedName>
    <definedName name="_1234__FDSAUDITLINK__" localSheetId="7" hidden="1">{"fdsup://Directions/FactSet Auditing Viewer?action=AUDIT_VALUE&amp;DB=129&amp;ID1=78477410&amp;VALUEID=02001&amp;SDATE=200803&amp;PERIODTYPE=QTR_STD&amp;SCFT=3&amp;window=popup_no_bar&amp;width=385&amp;height=120&amp;START_MAXIMIZED=FALSE&amp;creator=factset&amp;display_string=Audit"}</definedName>
    <definedName name="_1234__FDSAUDITLINK__" hidden="1">{"fdsup://Directions/FactSet Auditing Viewer?action=AUDIT_VALUE&amp;DB=129&amp;ID1=78477410&amp;VALUEID=02001&amp;SDATE=200803&amp;PERIODTYPE=QTR_STD&amp;SCFT=3&amp;window=popup_no_bar&amp;width=385&amp;height=120&amp;START_MAXIMIZED=FALSE&amp;creator=factset&amp;display_string=Audit"}</definedName>
    <definedName name="_1235__FDSAUDITLINK__" localSheetId="7" hidden="1">{"fdsup://Directions/FactSet Auditing Viewer?action=AUDIT_VALUE&amp;DB=129&amp;ID1=82705710&amp;VALUEID=02001&amp;SDATE=200803&amp;PERIODTYPE=QTR_STD&amp;SCFT=3&amp;window=popup_no_bar&amp;width=385&amp;height=120&amp;START_MAXIMIZED=FALSE&amp;creator=factset&amp;display_string=Audit"}</definedName>
    <definedName name="_1235__FDSAUDITLINK__" hidden="1">{"fdsup://Directions/FactSet Auditing Viewer?action=AUDIT_VALUE&amp;DB=129&amp;ID1=82705710&amp;VALUEID=02001&amp;SDATE=200803&amp;PERIODTYPE=QTR_STD&amp;SCFT=3&amp;window=popup_no_bar&amp;width=385&amp;height=120&amp;START_MAXIMIZED=FALSE&amp;creator=factset&amp;display_string=Audit"}</definedName>
    <definedName name="_1236__FDSAUDITLINK__" localSheetId="7" hidden="1">{"fdsup://Directions/FactSet Auditing Viewer?action=AUDIT_VALUE&amp;DB=129&amp;ID1=82705710&amp;VALUEID=02001&amp;SDATE=200803&amp;PERIODTYPE=QTR_STD&amp;SCFT=3&amp;window=popup_no_bar&amp;width=385&amp;height=120&amp;START_MAXIMIZED=FALSE&amp;creator=factset&amp;display_string=Audit"}</definedName>
    <definedName name="_1236__FDSAUDITLINK__" hidden="1">{"fdsup://Directions/FactSet Auditing Viewer?action=AUDIT_VALUE&amp;DB=129&amp;ID1=82705710&amp;VALUEID=02001&amp;SDATE=200803&amp;PERIODTYPE=QTR_STD&amp;SCFT=3&amp;window=popup_no_bar&amp;width=385&amp;height=120&amp;START_MAXIMIZED=FALSE&amp;creator=factset&amp;display_string=Audit"}</definedName>
    <definedName name="_1237__FDSAUDITLINK__" localSheetId="7" hidden="1">{"fdsup://Directions/FactSet Auditing Viewer?action=AUDIT_VALUE&amp;DB=129&amp;ID1=83547010&amp;VALUEID=02001&amp;SDATE=200803&amp;PERIODTYPE=QTR_STD&amp;SCFT=3&amp;window=popup_no_bar&amp;width=385&amp;height=120&amp;START_MAXIMIZED=FALSE&amp;creator=factset&amp;display_string=Audit"}</definedName>
    <definedName name="_1237__FDSAUDITLINK__" hidden="1">{"fdsup://Directions/FactSet Auditing Viewer?action=AUDIT_VALUE&amp;DB=129&amp;ID1=83547010&amp;VALUEID=02001&amp;SDATE=200803&amp;PERIODTYPE=QTR_STD&amp;SCFT=3&amp;window=popup_no_bar&amp;width=385&amp;height=120&amp;START_MAXIMIZED=FALSE&amp;creator=factset&amp;display_string=Audit"}</definedName>
    <definedName name="_1238__FDSAUDITLINK__" localSheetId="7" hidden="1">{"fdsup://Directions/FactSet Auditing Viewer?action=AUDIT_VALUE&amp;DB=129&amp;ID1=83547010&amp;VALUEID=02001&amp;SDATE=200803&amp;PERIODTYPE=QTR_STD&amp;SCFT=3&amp;window=popup_no_bar&amp;width=385&amp;height=120&amp;START_MAXIMIZED=FALSE&amp;creator=factset&amp;display_string=Audit"}</definedName>
    <definedName name="_1238__FDSAUDITLINK__" hidden="1">{"fdsup://Directions/FactSet Auditing Viewer?action=AUDIT_VALUE&amp;DB=129&amp;ID1=83547010&amp;VALUEID=02001&amp;SDATE=200803&amp;PERIODTYPE=QTR_STD&amp;SCFT=3&amp;window=popup_no_bar&amp;width=385&amp;height=120&amp;START_MAXIMIZED=FALSE&amp;creator=factset&amp;display_string=Audit"}</definedName>
    <definedName name="_1239__FDSAUDITLINK__" localSheetId="7" hidden="1">{"fdsup://Directions/FactSet Auditing Viewer?action=AUDIT_VALUE&amp;DB=129&amp;ID1=80004C10&amp;VALUEID=02001&amp;SDATE=200803&amp;PERIODTYPE=QTR_STD&amp;SCFT=3&amp;window=popup_no_bar&amp;width=385&amp;height=120&amp;START_MAXIMIZED=FALSE&amp;creator=factset&amp;display_string=Audit"}</definedName>
    <definedName name="_1239__FDSAUDITLINK__" hidden="1">{"fdsup://Directions/FactSet Auditing Viewer?action=AUDIT_VALUE&amp;DB=129&amp;ID1=80004C10&amp;VALUEID=02001&amp;SDATE=200803&amp;PERIODTYPE=QTR_STD&amp;SCFT=3&amp;window=popup_no_bar&amp;width=385&amp;height=120&amp;START_MAXIMIZED=FALSE&amp;creator=factset&amp;display_string=Audit"}</definedName>
    <definedName name="_124__FDSAUDITLINK__" localSheetId="7" hidden="1">{"fdsup://Directions/FactSet Auditing Viewer?action=AUDIT_VALUE&amp;DB=129&amp;ID1=22544710&amp;VALUEID=02001&amp;SDATE=201103&amp;PERIODTYPE=QTR_STD&amp;SCFT=3&amp;window=popup_no_bar&amp;width=385&amp;height=120&amp;START_MAXIMIZED=FALSE&amp;creator=factset&amp;display_string=Audit"}</definedName>
    <definedName name="_124__FDSAUDITLINK__" hidden="1">{"fdsup://Directions/FactSet Auditing Viewer?action=AUDIT_VALUE&amp;DB=129&amp;ID1=22544710&amp;VALUEID=02001&amp;SDATE=201103&amp;PERIODTYPE=QTR_STD&amp;SCFT=3&amp;window=popup_no_bar&amp;width=385&amp;height=120&amp;START_MAXIMIZED=FALSE&amp;creator=factset&amp;display_string=Audit"}</definedName>
    <definedName name="_1240__FDSAUDITLINK__" localSheetId="7" hidden="1">{"fdsup://Directions/FactSet Auditing Viewer?action=AUDIT_VALUE&amp;DB=129&amp;ID1=80004C10&amp;VALUEID=02001&amp;SDATE=200803&amp;PERIODTYPE=QTR_STD&amp;SCFT=3&amp;window=popup_no_bar&amp;width=385&amp;height=120&amp;START_MAXIMIZED=FALSE&amp;creator=factset&amp;display_string=Audit"}</definedName>
    <definedName name="_1240__FDSAUDITLINK__" hidden="1">{"fdsup://Directions/FactSet Auditing Viewer?action=AUDIT_VALUE&amp;DB=129&amp;ID1=80004C10&amp;VALUEID=02001&amp;SDATE=200803&amp;PERIODTYPE=QTR_STD&amp;SCFT=3&amp;window=popup_no_bar&amp;width=385&amp;height=120&amp;START_MAXIMIZED=FALSE&amp;creator=factset&amp;display_string=Audit"}</definedName>
    <definedName name="_1241__FDSAUDITLINK__" localSheetId="7" hidden="1">{"fdsup://Directions/FactSet Auditing Viewer?action=AUDIT_VALUE&amp;DB=129&amp;ID1=81685010&amp;VALUEID=02001&amp;SDATE=200803&amp;PERIODTYPE=QTR_STD&amp;SCFT=3&amp;window=popup_no_bar&amp;width=385&amp;height=120&amp;START_MAXIMIZED=FALSE&amp;creator=factset&amp;display_string=Audit"}</definedName>
    <definedName name="_1241__FDSAUDITLINK__" hidden="1">{"fdsup://Directions/FactSet Auditing Viewer?action=AUDIT_VALUE&amp;DB=129&amp;ID1=81685010&amp;VALUEID=02001&amp;SDATE=200803&amp;PERIODTYPE=QTR_STD&amp;SCFT=3&amp;window=popup_no_bar&amp;width=385&amp;height=120&amp;START_MAXIMIZED=FALSE&amp;creator=factset&amp;display_string=Audit"}</definedName>
    <definedName name="_1242__FDSAUDITLINK__" localSheetId="7" hidden="1">{"fdsup://Directions/FactSet Auditing Viewer?action=AUDIT_VALUE&amp;DB=129&amp;ID1=81685010&amp;VALUEID=02001&amp;SDATE=200803&amp;PERIODTYPE=QTR_STD&amp;SCFT=3&amp;window=popup_no_bar&amp;width=385&amp;height=120&amp;START_MAXIMIZED=FALSE&amp;creator=factset&amp;display_string=Audit"}</definedName>
    <definedName name="_1242__FDSAUDITLINK__" hidden="1">{"fdsup://Directions/FactSet Auditing Viewer?action=AUDIT_VALUE&amp;DB=129&amp;ID1=81685010&amp;VALUEID=02001&amp;SDATE=200803&amp;PERIODTYPE=QTR_STD&amp;SCFT=3&amp;window=popup_no_bar&amp;width=385&amp;height=120&amp;START_MAXIMIZED=FALSE&amp;creator=factset&amp;display_string=Audit"}</definedName>
    <definedName name="_1243__FDSAUDITLINK__" localSheetId="7" hidden="1">{"fdsup://Directions/FactSet Auditing Viewer?action=AUDIT_VALUE&amp;DB=129&amp;ID1=82691910&amp;VALUEID=02001&amp;SDATE=200803&amp;PERIODTYPE=QTR_STD&amp;SCFT=3&amp;window=popup_no_bar&amp;width=385&amp;height=120&amp;START_MAXIMIZED=FALSE&amp;creator=factset&amp;display_string=Audit"}</definedName>
    <definedName name="_1243__FDSAUDITLINK__" hidden="1">{"fdsup://Directions/FactSet Auditing Viewer?action=AUDIT_VALUE&amp;DB=129&amp;ID1=82691910&amp;VALUEID=02001&amp;SDATE=200803&amp;PERIODTYPE=QTR_STD&amp;SCFT=3&amp;window=popup_no_bar&amp;width=385&amp;height=120&amp;START_MAXIMIZED=FALSE&amp;creator=factset&amp;display_string=Audit"}</definedName>
    <definedName name="_1244__FDSAUDITLINK__" localSheetId="7" hidden="1">{"fdsup://Directions/FactSet Auditing Viewer?action=AUDIT_VALUE&amp;DB=129&amp;ID1=82691910&amp;VALUEID=02001&amp;SDATE=200803&amp;PERIODTYPE=QTR_STD&amp;SCFT=3&amp;window=popup_no_bar&amp;width=385&amp;height=120&amp;START_MAXIMIZED=FALSE&amp;creator=factset&amp;display_string=Audit"}</definedName>
    <definedName name="_1244__FDSAUDITLINK__" hidden="1">{"fdsup://Directions/FactSet Auditing Viewer?action=AUDIT_VALUE&amp;DB=129&amp;ID1=82691910&amp;VALUEID=02001&amp;SDATE=200803&amp;PERIODTYPE=QTR_STD&amp;SCFT=3&amp;window=popup_no_bar&amp;width=385&amp;height=120&amp;START_MAXIMIZED=FALSE&amp;creator=factset&amp;display_string=Audit"}</definedName>
    <definedName name="_1245__FDSAUDITLINK__" localSheetId="7" hidden="1">{"fdsup://Directions/FactSet Auditing Viewer?action=AUDIT_VALUE&amp;DB=129&amp;ID1=82705T10&amp;VALUEID=02001&amp;SDATE=200803&amp;PERIODTYPE=QTR_STD&amp;SCFT=3&amp;window=popup_no_bar&amp;width=385&amp;height=120&amp;START_MAXIMIZED=FALSE&amp;creator=factset&amp;display_string=Audit"}</definedName>
    <definedName name="_1245__FDSAUDITLINK__" hidden="1">{"fdsup://Directions/FactSet Auditing Viewer?action=AUDIT_VALUE&amp;DB=129&amp;ID1=82705T10&amp;VALUEID=02001&amp;SDATE=200803&amp;PERIODTYPE=QTR_STD&amp;SCFT=3&amp;window=popup_no_bar&amp;width=385&amp;height=120&amp;START_MAXIMIZED=FALSE&amp;creator=factset&amp;display_string=Audit"}</definedName>
    <definedName name="_1246__FDSAUDITLINK__" localSheetId="7" hidden="1">{"fdsup://Directions/FactSet Auditing Viewer?action=AUDIT_VALUE&amp;DB=129&amp;ID1=82705T10&amp;VALUEID=02001&amp;SDATE=200803&amp;PERIODTYPE=QTR_STD&amp;SCFT=3&amp;window=popup_no_bar&amp;width=385&amp;height=120&amp;START_MAXIMIZED=FALSE&amp;creator=factset&amp;display_string=Audit"}</definedName>
    <definedName name="_1246__FDSAUDITLINK__" hidden="1">{"fdsup://Directions/FactSet Auditing Viewer?action=AUDIT_VALUE&amp;DB=129&amp;ID1=82705T10&amp;VALUEID=02001&amp;SDATE=200803&amp;PERIODTYPE=QTR_STD&amp;SCFT=3&amp;window=popup_no_bar&amp;width=385&amp;height=120&amp;START_MAXIMIZED=FALSE&amp;creator=factset&amp;display_string=Audit"}</definedName>
    <definedName name="_1247__FDSAUDITLINK__" localSheetId="7" hidden="1">{"fdsup://Directions/FactSet Auditing Viewer?action=AUDIT_VALUE&amp;DB=129&amp;ID1=75091710&amp;VALUEID=02001&amp;SDATE=200803&amp;PERIODTYPE=QTR_STD&amp;SCFT=3&amp;window=popup_no_bar&amp;width=385&amp;height=120&amp;START_MAXIMIZED=FALSE&amp;creator=factset&amp;display_string=Audit"}</definedName>
    <definedName name="_1247__FDSAUDITLINK__" hidden="1">{"fdsup://Directions/FactSet Auditing Viewer?action=AUDIT_VALUE&amp;DB=129&amp;ID1=75091710&amp;VALUEID=02001&amp;SDATE=200803&amp;PERIODTYPE=QTR_STD&amp;SCFT=3&amp;window=popup_no_bar&amp;width=385&amp;height=120&amp;START_MAXIMIZED=FALSE&amp;creator=factset&amp;display_string=Audit"}</definedName>
    <definedName name="_1248__FDSAUDITLINK__" localSheetId="7" hidden="1">{"fdsup://Directions/FactSet Auditing Viewer?action=AUDIT_VALUE&amp;DB=129&amp;ID1=75091710&amp;VALUEID=02001&amp;SDATE=200803&amp;PERIODTYPE=QTR_STD&amp;SCFT=3&amp;window=popup_no_bar&amp;width=385&amp;height=120&amp;START_MAXIMIZED=FALSE&amp;creator=factset&amp;display_string=Audit"}</definedName>
    <definedName name="_1248__FDSAUDITLINK__" hidden="1">{"fdsup://Directions/FactSet Auditing Viewer?action=AUDIT_VALUE&amp;DB=129&amp;ID1=75091710&amp;VALUEID=02001&amp;SDATE=200803&amp;PERIODTYPE=QTR_STD&amp;SCFT=3&amp;window=popup_no_bar&amp;width=385&amp;height=120&amp;START_MAXIMIZED=FALSE&amp;creator=factset&amp;display_string=Audit"}</definedName>
    <definedName name="_1249__FDSAUDITLINK__" localSheetId="7" hidden="1">{"fdsup://Directions/FactSet Auditing Viewer?action=AUDIT_VALUE&amp;DB=129&amp;ID1=74994110&amp;VALUEID=02001&amp;SDATE=200802&amp;PERIODTYPE=QTR_STD&amp;SCFT=3&amp;window=popup_no_bar&amp;width=385&amp;height=120&amp;START_MAXIMIZED=FALSE&amp;creator=factset&amp;display_string=Audit"}</definedName>
    <definedName name="_1249__FDSAUDITLINK__" hidden="1">{"fdsup://Directions/FactSet Auditing Viewer?action=AUDIT_VALUE&amp;DB=129&amp;ID1=74994110&amp;VALUEID=02001&amp;SDATE=200802&amp;PERIODTYPE=QTR_STD&amp;SCFT=3&amp;window=popup_no_bar&amp;width=385&amp;height=120&amp;START_MAXIMIZED=FALSE&amp;creator=factset&amp;display_string=Audit"}</definedName>
    <definedName name="_125__FDSAUDITLINK__" localSheetId="7" hidden="1">{"fdsup://Directions/FactSet Auditing Viewer?action=AUDIT_VALUE&amp;DB=129&amp;ID1=20714230&amp;VALUEID=02001&amp;SDATE=201102&amp;PERIODTYPE=QTR_STD&amp;SCFT=3&amp;window=popup_no_bar&amp;width=385&amp;height=120&amp;START_MAXIMIZED=FALSE&amp;creator=factset&amp;display_string=Audit"}</definedName>
    <definedName name="_125__FDSAUDITLINK__" hidden="1">{"fdsup://Directions/FactSet Auditing Viewer?action=AUDIT_VALUE&amp;DB=129&amp;ID1=20714230&amp;VALUEID=02001&amp;SDATE=201102&amp;PERIODTYPE=QTR_STD&amp;SCFT=3&amp;window=popup_no_bar&amp;width=385&amp;height=120&amp;START_MAXIMIZED=FALSE&amp;creator=factset&amp;display_string=Audit"}</definedName>
    <definedName name="_1250__FDSAUDITLINK__" localSheetId="7" hidden="1">{"fdsup://Directions/FactSet Auditing Viewer?action=AUDIT_VALUE&amp;DB=129&amp;ID1=74994110&amp;VALUEID=02001&amp;SDATE=200802&amp;PERIODTYPE=QTR_STD&amp;SCFT=3&amp;window=popup_no_bar&amp;width=385&amp;height=120&amp;START_MAXIMIZED=FALSE&amp;creator=factset&amp;display_string=Audit"}</definedName>
    <definedName name="_1250__FDSAUDITLINK__" hidden="1">{"fdsup://Directions/FactSet Auditing Viewer?action=AUDIT_VALUE&amp;DB=129&amp;ID1=74994110&amp;VALUEID=02001&amp;SDATE=200802&amp;PERIODTYPE=QTR_STD&amp;SCFT=3&amp;window=popup_no_bar&amp;width=385&amp;height=120&amp;START_MAXIMIZED=FALSE&amp;creator=factset&amp;display_string=Audit"}</definedName>
    <definedName name="_1251__FDSAUDITLINK__" localSheetId="7" hidden="1">{"fdsup://Directions/FactSet Auditing Viewer?action=AUDIT_VALUE&amp;DB=129&amp;ID1=74727710&amp;VALUEID=02001&amp;SDATE=200802&amp;PERIODTYPE=QTR_STD&amp;SCFT=3&amp;window=popup_no_bar&amp;width=385&amp;height=120&amp;START_MAXIMIZED=FALSE&amp;creator=factset&amp;display_string=Audit"}</definedName>
    <definedName name="_1251__FDSAUDITLINK__" hidden="1">{"fdsup://Directions/FactSet Auditing Viewer?action=AUDIT_VALUE&amp;DB=129&amp;ID1=74727710&amp;VALUEID=02001&amp;SDATE=200802&amp;PERIODTYPE=QTR_STD&amp;SCFT=3&amp;window=popup_no_bar&amp;width=385&amp;height=120&amp;START_MAXIMIZED=FALSE&amp;creator=factset&amp;display_string=Audit"}</definedName>
    <definedName name="_1252__FDSAUDITLINK__" localSheetId="7" hidden="1">{"fdsup://Directions/FactSet Auditing Viewer?action=AUDIT_VALUE&amp;DB=129&amp;ID1=74727710&amp;VALUEID=02001&amp;SDATE=200802&amp;PERIODTYPE=QTR_STD&amp;SCFT=3&amp;window=popup_no_bar&amp;width=385&amp;height=120&amp;START_MAXIMIZED=FALSE&amp;creator=factset&amp;display_string=Audit"}</definedName>
    <definedName name="_1252__FDSAUDITLINK__" hidden="1">{"fdsup://Directions/FactSet Auditing Viewer?action=AUDIT_VALUE&amp;DB=129&amp;ID1=74727710&amp;VALUEID=02001&amp;SDATE=200802&amp;PERIODTYPE=QTR_STD&amp;SCFT=3&amp;window=popup_no_bar&amp;width=385&amp;height=120&amp;START_MAXIMIZED=FALSE&amp;creator=factset&amp;display_string=Audit"}</definedName>
    <definedName name="_1253__FDSAUDITLINK__" localSheetId="7" hidden="1">{"fdsup://Directions/FactSet Auditing Viewer?action=AUDIT_VALUE&amp;DB=129&amp;ID1=72581M30&amp;VALUEID=02001&amp;SDATE=200803&amp;PERIODTYPE=QTR_STD&amp;SCFT=3&amp;window=popup_no_bar&amp;width=385&amp;height=120&amp;START_MAXIMIZED=FALSE&amp;creator=factset&amp;display_string=Audit"}</definedName>
    <definedName name="_1253__FDSAUDITLINK__" hidden="1">{"fdsup://Directions/FactSet Auditing Viewer?action=AUDIT_VALUE&amp;DB=129&amp;ID1=72581M30&amp;VALUEID=02001&amp;SDATE=200803&amp;PERIODTYPE=QTR_STD&amp;SCFT=3&amp;window=popup_no_bar&amp;width=385&amp;height=120&amp;START_MAXIMIZED=FALSE&amp;creator=factset&amp;display_string=Audit"}</definedName>
    <definedName name="_1254__FDSAUDITLINK__" localSheetId="7" hidden="1">{"fdsup://Directions/FactSet Auditing Viewer?action=AUDIT_VALUE&amp;DB=129&amp;ID1=72581M30&amp;VALUEID=02001&amp;SDATE=200803&amp;PERIODTYPE=QTR_STD&amp;SCFT=3&amp;window=popup_no_bar&amp;width=385&amp;height=120&amp;START_MAXIMIZED=FALSE&amp;creator=factset&amp;display_string=Audit"}</definedName>
    <definedName name="_1254__FDSAUDITLINK__" hidden="1">{"fdsup://Directions/FactSet Auditing Viewer?action=AUDIT_VALUE&amp;DB=129&amp;ID1=72581M30&amp;VALUEID=02001&amp;SDATE=200803&amp;PERIODTYPE=QTR_STD&amp;SCFT=3&amp;window=popup_no_bar&amp;width=385&amp;height=120&amp;START_MAXIMIZED=FALSE&amp;creator=factset&amp;display_string=Audit"}</definedName>
    <definedName name="_1255__FDSAUDITLINK__" localSheetId="7" hidden="1">{"fdsup://Directions/FactSet Auditing Viewer?action=AUDIT_VALUE&amp;DB=129&amp;ID1=73927610&amp;VALUEID=02001&amp;SDATE=200803&amp;PERIODTYPE=QTR_STD&amp;SCFT=3&amp;window=popup_no_bar&amp;width=385&amp;height=120&amp;START_MAXIMIZED=FALSE&amp;creator=factset&amp;display_string=Audit"}</definedName>
    <definedName name="_1255__FDSAUDITLINK__" hidden="1">{"fdsup://Directions/FactSet Auditing Viewer?action=AUDIT_VALUE&amp;DB=129&amp;ID1=73927610&amp;VALUEID=02001&amp;SDATE=200803&amp;PERIODTYPE=QTR_STD&amp;SCFT=3&amp;window=popup_no_bar&amp;width=385&amp;height=120&amp;START_MAXIMIZED=FALSE&amp;creator=factset&amp;display_string=Audit"}</definedName>
    <definedName name="_1256__FDSAUDITLINK__" localSheetId="7" hidden="1">{"fdsup://Directions/FactSet Auditing Viewer?action=AUDIT_VALUE&amp;DB=129&amp;ID1=73927610&amp;VALUEID=02001&amp;SDATE=200803&amp;PERIODTYPE=QTR_STD&amp;SCFT=3&amp;window=popup_no_bar&amp;width=385&amp;height=120&amp;START_MAXIMIZED=FALSE&amp;creator=factset&amp;display_string=Audit"}</definedName>
    <definedName name="_1256__FDSAUDITLINK__" hidden="1">{"fdsup://Directions/FactSet Auditing Viewer?action=AUDIT_VALUE&amp;DB=129&amp;ID1=73927610&amp;VALUEID=02001&amp;SDATE=200803&amp;PERIODTYPE=QTR_STD&amp;SCFT=3&amp;window=popup_no_bar&amp;width=385&amp;height=120&amp;START_MAXIMIZED=FALSE&amp;creator=factset&amp;display_string=Audit"}</definedName>
    <definedName name="_1257__FDSAUDITLINK__" localSheetId="7" hidden="1">{"fdsup://Directions/FactSet Auditing Viewer?action=AUDIT_VALUE&amp;DB=129&amp;ID1=69344F10&amp;VALUEID=02001&amp;SDATE=200803&amp;PERIODTYPE=QTR_STD&amp;SCFT=3&amp;window=popup_no_bar&amp;width=385&amp;height=120&amp;START_MAXIMIZED=FALSE&amp;creator=factset&amp;display_string=Audit"}</definedName>
    <definedName name="_1257__FDSAUDITLINK__" hidden="1">{"fdsup://Directions/FactSet Auditing Viewer?action=AUDIT_VALUE&amp;DB=129&amp;ID1=69344F10&amp;VALUEID=02001&amp;SDATE=200803&amp;PERIODTYPE=QTR_STD&amp;SCFT=3&amp;window=popup_no_bar&amp;width=385&amp;height=120&amp;START_MAXIMIZED=FALSE&amp;creator=factset&amp;display_string=Audit"}</definedName>
    <definedName name="_1258__FDSAUDITLINK__" localSheetId="7" hidden="1">{"fdsup://Directions/FactSet Auditing Viewer?action=AUDIT_VALUE&amp;DB=129&amp;ID1=69344F10&amp;VALUEID=02001&amp;SDATE=200803&amp;PERIODTYPE=QTR_STD&amp;SCFT=3&amp;window=popup_no_bar&amp;width=385&amp;height=120&amp;START_MAXIMIZED=FALSE&amp;creator=factset&amp;display_string=Audit"}</definedName>
    <definedName name="_1258__FDSAUDITLINK__" hidden="1">{"fdsup://Directions/FactSet Auditing Viewer?action=AUDIT_VALUE&amp;DB=129&amp;ID1=69344F10&amp;VALUEID=02001&amp;SDATE=200803&amp;PERIODTYPE=QTR_STD&amp;SCFT=3&amp;window=popup_no_bar&amp;width=385&amp;height=120&amp;START_MAXIMIZED=FALSE&amp;creator=factset&amp;display_string=Audit"}</definedName>
    <definedName name="_1259__FDSAUDITLINK__" localSheetId="7" hidden="1">{"fdsup://Directions/FactSet Auditing Viewer?action=AUDIT_VALUE&amp;DB=129&amp;ID1=69341710&amp;VALUEID=02001&amp;SDATE=200803&amp;PERIODTYPE=QTR_STD&amp;SCFT=3&amp;window=popup_no_bar&amp;width=385&amp;height=120&amp;START_MAXIMIZED=FALSE&amp;creator=factset&amp;display_string=Audit"}</definedName>
    <definedName name="_1259__FDSAUDITLINK__" hidden="1">{"fdsup://Directions/FactSet Auditing Viewer?action=AUDIT_VALUE&amp;DB=129&amp;ID1=69341710&amp;VALUEID=02001&amp;SDATE=200803&amp;PERIODTYPE=QTR_STD&amp;SCFT=3&amp;window=popup_no_bar&amp;width=385&amp;height=120&amp;START_MAXIMIZED=FALSE&amp;creator=factset&amp;display_string=Audit"}</definedName>
    <definedName name="_126__FDSAUDITLINK__" localSheetId="7" hidden="1">{"fdsup://Directions/FactSet Auditing Viewer?action=AUDIT_VALUE&amp;DB=129&amp;ID1=20714230&amp;VALUEID=02001&amp;SDATE=201102&amp;PERIODTYPE=QTR_STD&amp;SCFT=3&amp;window=popup_no_bar&amp;width=385&amp;height=120&amp;START_MAXIMIZED=FALSE&amp;creator=factset&amp;display_string=Audit"}</definedName>
    <definedName name="_126__FDSAUDITLINK__" hidden="1">{"fdsup://Directions/FactSet Auditing Viewer?action=AUDIT_VALUE&amp;DB=129&amp;ID1=20714230&amp;VALUEID=02001&amp;SDATE=201102&amp;PERIODTYPE=QTR_STD&amp;SCFT=3&amp;window=popup_no_bar&amp;width=385&amp;height=120&amp;START_MAXIMIZED=FALSE&amp;creator=factset&amp;display_string=Audit"}</definedName>
    <definedName name="_1260__FDSAUDITLINK__" localSheetId="7" hidden="1">{"fdsup://Directions/FactSet Auditing Viewer?action=AUDIT_VALUE&amp;DB=129&amp;ID1=69341710&amp;VALUEID=02001&amp;SDATE=200803&amp;PERIODTYPE=QTR_STD&amp;SCFT=3&amp;window=popup_no_bar&amp;width=385&amp;height=120&amp;START_MAXIMIZED=FALSE&amp;creator=factset&amp;display_string=Audit"}</definedName>
    <definedName name="_1260__FDSAUDITLINK__" hidden="1">{"fdsup://Directions/FactSet Auditing Viewer?action=AUDIT_VALUE&amp;DB=129&amp;ID1=69341710&amp;VALUEID=02001&amp;SDATE=200803&amp;PERIODTYPE=QTR_STD&amp;SCFT=3&amp;window=popup_no_bar&amp;width=385&amp;height=120&amp;START_MAXIMIZED=FALSE&amp;creator=factset&amp;display_string=Audit"}</definedName>
    <definedName name="_1261__FDSAUDITLINK__" localSheetId="7" hidden="1">{"fdsup://Directions/FactSet Auditing Viewer?action=AUDIT_VALUE&amp;DB=129&amp;ID1=68218910&amp;VALUEID=02001&amp;SDATE=200803&amp;PERIODTYPE=QTR_STD&amp;SCFT=3&amp;window=popup_no_bar&amp;width=385&amp;height=120&amp;START_MAXIMIZED=FALSE&amp;creator=factset&amp;display_string=Audit"}</definedName>
    <definedName name="_1261__FDSAUDITLINK__" hidden="1">{"fdsup://Directions/FactSet Auditing Viewer?action=AUDIT_VALUE&amp;DB=129&amp;ID1=68218910&amp;VALUEID=02001&amp;SDATE=200803&amp;PERIODTYPE=QTR_STD&amp;SCFT=3&amp;window=popup_no_bar&amp;width=385&amp;height=120&amp;START_MAXIMIZED=FALSE&amp;creator=factset&amp;display_string=Audit"}</definedName>
    <definedName name="_1262__FDSAUDITLINK__" localSheetId="7" hidden="1">{"fdsup://Directions/FactSet Auditing Viewer?action=AUDIT_VALUE&amp;DB=129&amp;ID1=68218910&amp;VALUEID=02001&amp;SDATE=200803&amp;PERIODTYPE=QTR_STD&amp;SCFT=3&amp;window=popup_no_bar&amp;width=385&amp;height=120&amp;START_MAXIMIZED=FALSE&amp;creator=factset&amp;display_string=Audit"}</definedName>
    <definedName name="_1262__FDSAUDITLINK__" hidden="1">{"fdsup://Directions/FactSet Auditing Viewer?action=AUDIT_VALUE&amp;DB=129&amp;ID1=68218910&amp;VALUEID=02001&amp;SDATE=200803&amp;PERIODTYPE=QTR_STD&amp;SCFT=3&amp;window=popup_no_bar&amp;width=385&amp;height=120&amp;START_MAXIMIZED=FALSE&amp;creator=factset&amp;display_string=Audit"}</definedName>
    <definedName name="_1263__FDSAUDITLINK__" localSheetId="7" hidden="1">{"fdsup://Directions/FactSet Auditing Viewer?action=AUDIT_VALUE&amp;DB=129&amp;ID1=B505PN&amp;VALUEID=02001&amp;SDATE=200803&amp;PERIODTYPE=QTR_STD&amp;SCFT=3&amp;window=popup_no_bar&amp;width=385&amp;height=120&amp;START_MAXIMIZED=FALSE&amp;creator=factset&amp;display_string=Audit"}</definedName>
    <definedName name="_1263__FDSAUDITLINK__" hidden="1">{"fdsup://Directions/FactSet Auditing Viewer?action=AUDIT_VALUE&amp;DB=129&amp;ID1=B505PN&amp;VALUEID=02001&amp;SDATE=200803&amp;PERIODTYPE=QTR_STD&amp;SCFT=3&amp;window=popup_no_bar&amp;width=385&amp;height=120&amp;START_MAXIMIZED=FALSE&amp;creator=factset&amp;display_string=Audit"}</definedName>
    <definedName name="_1264__FDSAUDITLINK__" localSheetId="7" hidden="1">{"fdsup://Directions/FactSet Auditing Viewer?action=AUDIT_VALUE&amp;DB=129&amp;ID1=B505PN&amp;VALUEID=02001&amp;SDATE=200803&amp;PERIODTYPE=QTR_STD&amp;SCFT=3&amp;window=popup_no_bar&amp;width=385&amp;height=120&amp;START_MAXIMIZED=FALSE&amp;creator=factset&amp;display_string=Audit"}</definedName>
    <definedName name="_1264__FDSAUDITLINK__" hidden="1">{"fdsup://Directions/FactSet Auditing Viewer?action=AUDIT_VALUE&amp;DB=129&amp;ID1=B505PN&amp;VALUEID=02001&amp;SDATE=200803&amp;PERIODTYPE=QTR_STD&amp;SCFT=3&amp;window=popup_no_bar&amp;width=385&amp;height=120&amp;START_MAXIMIZED=FALSE&amp;creator=factset&amp;display_string=Audit"}</definedName>
    <definedName name="_1265__FDSAUDITLINK__" localSheetId="7" hidden="1">{"fdsup://Directions/FactSet Auditing Viewer?action=AUDIT_VALUE&amp;DB=129&amp;ID1=67000810&amp;VALUEID=02001&amp;SDATE=200803&amp;PERIODTYPE=QTR_STD&amp;SCFT=3&amp;window=popup_no_bar&amp;width=385&amp;height=120&amp;START_MAXIMIZED=FALSE&amp;creator=factset&amp;display_string=Audit"}</definedName>
    <definedName name="_1265__FDSAUDITLINK__" hidden="1">{"fdsup://Directions/FactSet Auditing Viewer?action=AUDIT_VALUE&amp;DB=129&amp;ID1=67000810&amp;VALUEID=02001&amp;SDATE=200803&amp;PERIODTYPE=QTR_STD&amp;SCFT=3&amp;window=popup_no_bar&amp;width=385&amp;height=120&amp;START_MAXIMIZED=FALSE&amp;creator=factset&amp;display_string=Audit"}</definedName>
    <definedName name="_1266__FDSAUDITLINK__" localSheetId="7" hidden="1">{"fdsup://Directions/FactSet Auditing Viewer?action=AUDIT_VALUE&amp;DB=129&amp;ID1=67000810&amp;VALUEID=02001&amp;SDATE=200803&amp;PERIODTYPE=QTR_STD&amp;SCFT=3&amp;window=popup_no_bar&amp;width=385&amp;height=120&amp;START_MAXIMIZED=FALSE&amp;creator=factset&amp;display_string=Audit"}</definedName>
    <definedName name="_1266__FDSAUDITLINK__" hidden="1">{"fdsup://Directions/FactSet Auditing Viewer?action=AUDIT_VALUE&amp;DB=129&amp;ID1=67000810&amp;VALUEID=02001&amp;SDATE=200803&amp;PERIODTYPE=QTR_STD&amp;SCFT=3&amp;window=popup_no_bar&amp;width=385&amp;height=120&amp;START_MAXIMIZED=FALSE&amp;creator=factset&amp;display_string=Audit"}</definedName>
    <definedName name="_1267__FDSAUDITLINK__" localSheetId="7" hidden="1">{"fdsup://Directions/FactSet Auditing Viewer?action=AUDIT_VALUE&amp;DB=129&amp;ID1=67066G10&amp;VALUEID=02001&amp;SDATE=200803&amp;PERIODTYPE=QTR_STD&amp;SCFT=3&amp;window=popup_no_bar&amp;width=385&amp;height=120&amp;START_MAXIMIZED=FALSE&amp;creator=factset&amp;display_string=Audit"}</definedName>
    <definedName name="_1267__FDSAUDITLINK__" hidden="1">{"fdsup://Directions/FactSet Auditing Viewer?action=AUDIT_VALUE&amp;DB=129&amp;ID1=67066G10&amp;VALUEID=02001&amp;SDATE=200803&amp;PERIODTYPE=QTR_STD&amp;SCFT=3&amp;window=popup_no_bar&amp;width=385&amp;height=120&amp;START_MAXIMIZED=FALSE&amp;creator=factset&amp;display_string=Audit"}</definedName>
    <definedName name="_1268__FDSAUDITLINK__" localSheetId="7" hidden="1">{"fdsup://Directions/FactSet Auditing Viewer?action=AUDIT_VALUE&amp;DB=129&amp;ID1=67066G10&amp;VALUEID=02001&amp;SDATE=200803&amp;PERIODTYPE=QTR_STD&amp;SCFT=3&amp;window=popup_no_bar&amp;width=385&amp;height=120&amp;START_MAXIMIZED=FALSE&amp;creator=factset&amp;display_string=Audit"}</definedName>
    <definedName name="_1268__FDSAUDITLINK__" hidden="1">{"fdsup://Directions/FactSet Auditing Viewer?action=AUDIT_VALUE&amp;DB=129&amp;ID1=67066G10&amp;VALUEID=02001&amp;SDATE=200803&amp;PERIODTYPE=QTR_STD&amp;SCFT=3&amp;window=popup_no_bar&amp;width=385&amp;height=120&amp;START_MAXIMIZED=FALSE&amp;creator=factset&amp;display_string=Audit"}</definedName>
    <definedName name="_1269__FDSAUDITLINK__" localSheetId="7" hidden="1">{"fdsup://Directions/FactSet Auditing Viewer?action=AUDIT_VALUE&amp;DB=129&amp;ID1=63764010&amp;VALUEID=02001&amp;SDATE=200801&amp;PERIODTYPE=QTR_STD&amp;SCFT=3&amp;window=popup_no_bar&amp;width=385&amp;height=120&amp;START_MAXIMIZED=FALSE&amp;creator=factset&amp;display_string=Audit"}</definedName>
    <definedName name="_1269__FDSAUDITLINK__" hidden="1">{"fdsup://Directions/FactSet Auditing Viewer?action=AUDIT_VALUE&amp;DB=129&amp;ID1=63764010&amp;VALUEID=02001&amp;SDATE=200801&amp;PERIODTYPE=QTR_STD&amp;SCFT=3&amp;window=popup_no_bar&amp;width=385&amp;height=120&amp;START_MAXIMIZED=FALSE&amp;creator=factset&amp;display_string=Audit"}</definedName>
    <definedName name="_127__FDSAUDITLINK__" localSheetId="7" hidden="1">{"fdsup://Directions/FactSet Auditing Viewer?action=AUDIT_VALUE&amp;DB=129&amp;ID1=12738710&amp;VALUEID=02001&amp;SDATE=201101&amp;PERIODTYPE=QTR_STD&amp;SCFT=3&amp;window=popup_no_bar&amp;width=385&amp;height=120&amp;START_MAXIMIZED=FALSE&amp;creator=factset&amp;display_string=Audit"}</definedName>
    <definedName name="_127__FDSAUDITLINK__" hidden="1">{"fdsup://Directions/FactSet Auditing Viewer?action=AUDIT_VALUE&amp;DB=129&amp;ID1=12738710&amp;VALUEID=02001&amp;SDATE=201101&amp;PERIODTYPE=QTR_STD&amp;SCFT=3&amp;window=popup_no_bar&amp;width=385&amp;height=120&amp;START_MAXIMIZED=FALSE&amp;creator=factset&amp;display_string=Audit"}</definedName>
    <definedName name="_1270__FDSAUDITLINK__" localSheetId="7" hidden="1">{"fdsup://Directions/FactSet Auditing Viewer?action=AUDIT_VALUE&amp;DB=129&amp;ID1=63764010&amp;VALUEID=02001&amp;SDATE=200801&amp;PERIODTYPE=QTR_STD&amp;SCFT=3&amp;window=popup_no_bar&amp;width=385&amp;height=120&amp;START_MAXIMIZED=FALSE&amp;creator=factset&amp;display_string=Audit"}</definedName>
    <definedName name="_1270__FDSAUDITLINK__" hidden="1">{"fdsup://Directions/FactSet Auditing Viewer?action=AUDIT_VALUE&amp;DB=129&amp;ID1=63764010&amp;VALUEID=02001&amp;SDATE=200801&amp;PERIODTYPE=QTR_STD&amp;SCFT=3&amp;window=popup_no_bar&amp;width=385&amp;height=120&amp;START_MAXIMIZED=FALSE&amp;creator=factset&amp;display_string=Audit"}</definedName>
    <definedName name="_1271__FDSAUDITLINK__" localSheetId="7" hidden="1">{"fdsup://Directions/FactSet Auditing Viewer?action=AUDIT_VALUE&amp;DB=129&amp;ID1=64118B10&amp;VALUEID=02001&amp;SDATE=200803&amp;PERIODTYPE=QTR_STD&amp;SCFT=3&amp;window=popup_no_bar&amp;width=385&amp;height=120&amp;START_MAXIMIZED=FALSE&amp;creator=factset&amp;display_string=Audit"}</definedName>
    <definedName name="_1271__FDSAUDITLINK__" hidden="1">{"fdsup://Directions/FactSet Auditing Viewer?action=AUDIT_VALUE&amp;DB=129&amp;ID1=64118B10&amp;VALUEID=02001&amp;SDATE=200803&amp;PERIODTYPE=QTR_STD&amp;SCFT=3&amp;window=popup_no_bar&amp;width=385&amp;height=120&amp;START_MAXIMIZED=FALSE&amp;creator=factset&amp;display_string=Audit"}</definedName>
    <definedName name="_1272__FDSAUDITLINK__" localSheetId="7" hidden="1">{"fdsup://Directions/FactSet Auditing Viewer?action=AUDIT_VALUE&amp;DB=129&amp;ID1=64118B10&amp;VALUEID=02001&amp;SDATE=200803&amp;PERIODTYPE=QTR_STD&amp;SCFT=3&amp;window=popup_no_bar&amp;width=385&amp;height=120&amp;START_MAXIMIZED=FALSE&amp;creator=factset&amp;display_string=Audit"}</definedName>
    <definedName name="_1272__FDSAUDITLINK__" hidden="1">{"fdsup://Directions/FactSet Auditing Viewer?action=AUDIT_VALUE&amp;DB=129&amp;ID1=64118B10&amp;VALUEID=02001&amp;SDATE=200803&amp;PERIODTYPE=QTR_STD&amp;SCFT=3&amp;window=popup_no_bar&amp;width=385&amp;height=120&amp;START_MAXIMIZED=FALSE&amp;creator=factset&amp;display_string=Audit"}</definedName>
    <definedName name="_1273__FDSAUDITLINK__" localSheetId="7" hidden="1">{"fdsup://Directions/FactSet Auditing Viewer?action=AUDIT_VALUE&amp;DB=129&amp;ID1=G5876H10&amp;VALUEID=02001&amp;SDATE=200803&amp;PERIODTYPE=QTR_STD&amp;SCFT=3&amp;window=popup_no_bar&amp;width=385&amp;height=120&amp;START_MAXIMIZED=FALSE&amp;creator=factset&amp;display_string=Audit"}</definedName>
    <definedName name="_1273__FDSAUDITLINK__" hidden="1">{"fdsup://Directions/FactSet Auditing Viewer?action=AUDIT_VALUE&amp;DB=129&amp;ID1=G5876H10&amp;VALUEID=02001&amp;SDATE=200803&amp;PERIODTYPE=QTR_STD&amp;SCFT=3&amp;window=popup_no_bar&amp;width=385&amp;height=120&amp;START_MAXIMIZED=FALSE&amp;creator=factset&amp;display_string=Audit"}</definedName>
    <definedName name="_1274__FDSAUDITLINK__" localSheetId="7" hidden="1">{"fdsup://Directions/FactSet Auditing Viewer?action=AUDIT_VALUE&amp;DB=129&amp;ID1=G5876H10&amp;VALUEID=02001&amp;SDATE=200803&amp;PERIODTYPE=QTR_STD&amp;SCFT=3&amp;window=popup_no_bar&amp;width=385&amp;height=120&amp;START_MAXIMIZED=FALSE&amp;creator=factset&amp;display_string=Audit"}</definedName>
    <definedName name="_1274__FDSAUDITLINK__" hidden="1">{"fdsup://Directions/FactSet Auditing Viewer?action=AUDIT_VALUE&amp;DB=129&amp;ID1=G5876H10&amp;VALUEID=02001&amp;SDATE=200803&amp;PERIODTYPE=QTR_STD&amp;SCFT=3&amp;window=popup_no_bar&amp;width=385&amp;height=120&amp;START_MAXIMIZED=FALSE&amp;creator=factset&amp;display_string=Audit"}</definedName>
    <definedName name="_1275__FDSAUDITLINK__" localSheetId="7" hidden="1">{"fdsup://Directions/FactSet Auditing Viewer?action=AUDIT_VALUE&amp;DB=129&amp;ID1=62007630&amp;VALUEID=02001&amp;SDATE=200803&amp;PERIODTYPE=QTR_STD&amp;SCFT=3&amp;window=popup_no_bar&amp;width=385&amp;height=120&amp;START_MAXIMIZED=FALSE&amp;creator=factset&amp;display_string=Audit"}</definedName>
    <definedName name="_1275__FDSAUDITLINK__" hidden="1">{"fdsup://Directions/FactSet Auditing Viewer?action=AUDIT_VALUE&amp;DB=129&amp;ID1=62007630&amp;VALUEID=02001&amp;SDATE=200803&amp;PERIODTYPE=QTR_STD&amp;SCFT=3&amp;window=popup_no_bar&amp;width=385&amp;height=120&amp;START_MAXIMIZED=FALSE&amp;creator=factset&amp;display_string=Audit"}</definedName>
    <definedName name="_1276__FDSAUDITLINK__" localSheetId="7" hidden="1">{"fdsup://Directions/FactSet Auditing Viewer?action=AUDIT_VALUE&amp;DB=129&amp;ID1=62007630&amp;VALUEID=02001&amp;SDATE=200803&amp;PERIODTYPE=QTR_STD&amp;SCFT=3&amp;window=popup_no_bar&amp;width=385&amp;height=120&amp;START_MAXIMIZED=FALSE&amp;creator=factset&amp;display_string=Audit"}</definedName>
    <definedName name="_1276__FDSAUDITLINK__" hidden="1">{"fdsup://Directions/FactSet Auditing Viewer?action=AUDIT_VALUE&amp;DB=129&amp;ID1=62007630&amp;VALUEID=02001&amp;SDATE=200803&amp;PERIODTYPE=QTR_STD&amp;SCFT=3&amp;window=popup_no_bar&amp;width=385&amp;height=120&amp;START_MAXIMIZED=FALSE&amp;creator=factset&amp;display_string=Audit"}</definedName>
    <definedName name="_1277__FDSAUDITLINK__" localSheetId="7" hidden="1">{"fdsup://Directions/FactSet Auditing Viewer?action=AUDIT_VALUE&amp;DB=129&amp;ID1=60456710&amp;VALUEID=02001&amp;SDATE=200901&amp;PERIODTYPE=QTR_STD&amp;SCFT=3&amp;window=popup_no_bar&amp;width=385&amp;height=120&amp;START_MAXIMIZED=FALSE&amp;creator=factset&amp;display_string=Audit"}</definedName>
    <definedName name="_1277__FDSAUDITLINK__" hidden="1">{"fdsup://Directions/FactSet Auditing Viewer?action=AUDIT_VALUE&amp;DB=129&amp;ID1=60456710&amp;VALUEID=02001&amp;SDATE=200901&amp;PERIODTYPE=QTR_STD&amp;SCFT=3&amp;window=popup_no_bar&amp;width=385&amp;height=120&amp;START_MAXIMIZED=FALSE&amp;creator=factset&amp;display_string=Audit"}</definedName>
    <definedName name="_1278__FDSAUDITLINK__" localSheetId="7" hidden="1">{"fdsup://Directions/FactSet Auditing Viewer?action=AUDIT_VALUE&amp;DB=129&amp;ID1=60456710&amp;VALUEID=02001&amp;SDATE=200901&amp;PERIODTYPE=QTR_STD&amp;SCFT=3&amp;window=popup_no_bar&amp;width=385&amp;height=120&amp;START_MAXIMIZED=FALSE&amp;creator=factset&amp;display_string=Audit"}</definedName>
    <definedName name="_1278__FDSAUDITLINK__" hidden="1">{"fdsup://Directions/FactSet Auditing Viewer?action=AUDIT_VALUE&amp;DB=129&amp;ID1=60456710&amp;VALUEID=02001&amp;SDATE=200901&amp;PERIODTYPE=QTR_STD&amp;SCFT=3&amp;window=popup_no_bar&amp;width=385&amp;height=120&amp;START_MAXIMIZED=FALSE&amp;creator=factset&amp;display_string=Audit"}</definedName>
    <definedName name="_1279__FDSAUDITLINK__" localSheetId="7" hidden="1">{"fdsup://Directions/FactSet Auditing Viewer?action=AUDIT_VALUE&amp;DB=129&amp;ID1=59479310&amp;VALUEID=02001&amp;SDATE=200803&amp;PERIODTYPE=QTR_STD&amp;SCFT=3&amp;window=popup_no_bar&amp;width=385&amp;height=120&amp;START_MAXIMIZED=FALSE&amp;creator=factset&amp;display_string=Audit"}</definedName>
    <definedName name="_1279__FDSAUDITLINK__" hidden="1">{"fdsup://Directions/FactSet Auditing Viewer?action=AUDIT_VALUE&amp;DB=129&amp;ID1=59479310&amp;VALUEID=02001&amp;SDATE=200803&amp;PERIODTYPE=QTR_STD&amp;SCFT=3&amp;window=popup_no_bar&amp;width=385&amp;height=120&amp;START_MAXIMIZED=FALSE&amp;creator=factset&amp;display_string=Audit"}</definedName>
    <definedName name="_128__FDSAUDITLINK__" localSheetId="7" hidden="1">{"fdsup://Directions/FactSet Auditing Viewer?action=AUDIT_VALUE&amp;DB=129&amp;ID1=12738710&amp;VALUEID=02001&amp;SDATE=201101&amp;PERIODTYPE=QTR_STD&amp;SCFT=3&amp;window=popup_no_bar&amp;width=385&amp;height=120&amp;START_MAXIMIZED=FALSE&amp;creator=factset&amp;display_string=Audit"}</definedName>
    <definedName name="_128__FDSAUDITLINK__" hidden="1">{"fdsup://Directions/FactSet Auditing Viewer?action=AUDIT_VALUE&amp;DB=129&amp;ID1=12738710&amp;VALUEID=02001&amp;SDATE=201101&amp;PERIODTYPE=QTR_STD&amp;SCFT=3&amp;window=popup_no_bar&amp;width=385&amp;height=120&amp;START_MAXIMIZED=FALSE&amp;creator=factset&amp;display_string=Audit"}</definedName>
    <definedName name="_1280__FDSAUDITLINK__" localSheetId="7" hidden="1">{"fdsup://Directions/FactSet Auditing Viewer?action=AUDIT_VALUE&amp;DB=129&amp;ID1=59479310&amp;VALUEID=02001&amp;SDATE=200803&amp;PERIODTYPE=QTR_STD&amp;SCFT=3&amp;window=popup_no_bar&amp;width=385&amp;height=120&amp;START_MAXIMIZED=FALSE&amp;creator=factset&amp;display_string=Audit"}</definedName>
    <definedName name="_1280__FDSAUDITLINK__" hidden="1">{"fdsup://Directions/FactSet Auditing Viewer?action=AUDIT_VALUE&amp;DB=129&amp;ID1=59479310&amp;VALUEID=02001&amp;SDATE=200803&amp;PERIODTYPE=QTR_STD&amp;SCFT=3&amp;window=popup_no_bar&amp;width=385&amp;height=120&amp;START_MAXIMIZED=FALSE&amp;creator=factset&amp;display_string=Audit"}</definedName>
    <definedName name="_1281__FDSAUDITLINK__" localSheetId="7" hidden="1">{"fdsup://Directions/FactSet Auditing Viewer?action=AUDIT_VALUE&amp;DB=129&amp;ID1=59501710&amp;VALUEID=02001&amp;SDATE=200802&amp;PERIODTYPE=QTR_STD&amp;SCFT=3&amp;window=popup_no_bar&amp;width=385&amp;height=120&amp;START_MAXIMIZED=FALSE&amp;creator=factset&amp;display_string=Audit"}</definedName>
    <definedName name="_1281__FDSAUDITLINK__" hidden="1">{"fdsup://Directions/FactSet Auditing Viewer?action=AUDIT_VALUE&amp;DB=129&amp;ID1=59501710&amp;VALUEID=02001&amp;SDATE=200802&amp;PERIODTYPE=QTR_STD&amp;SCFT=3&amp;window=popup_no_bar&amp;width=385&amp;height=120&amp;START_MAXIMIZED=FALSE&amp;creator=factset&amp;display_string=Audit"}</definedName>
    <definedName name="_1282__FDSAUDITLINK__" localSheetId="7" hidden="1">{"fdsup://Directions/FactSet Auditing Viewer?action=AUDIT_VALUE&amp;DB=129&amp;ID1=59501710&amp;VALUEID=02001&amp;SDATE=200802&amp;PERIODTYPE=QTR_STD&amp;SCFT=3&amp;window=popup_no_bar&amp;width=385&amp;height=120&amp;START_MAXIMIZED=FALSE&amp;creator=factset&amp;display_string=Audit"}</definedName>
    <definedName name="_1282__FDSAUDITLINK__" hidden="1">{"fdsup://Directions/FactSet Auditing Viewer?action=AUDIT_VALUE&amp;DB=129&amp;ID1=59501710&amp;VALUEID=02001&amp;SDATE=200802&amp;PERIODTYPE=QTR_STD&amp;SCFT=3&amp;window=popup_no_bar&amp;width=385&amp;height=120&amp;START_MAXIMIZED=FALSE&amp;creator=factset&amp;display_string=Audit"}</definedName>
    <definedName name="_1283__FDSAUDITLINK__" localSheetId="7" hidden="1">{"fdsup://Directions/FactSet Auditing Viewer?action=AUDIT_VALUE&amp;DB=129&amp;ID1=50216110&amp;VALUEID=02001&amp;SDATE=200803&amp;PERIODTYPE=QTR_STD&amp;SCFT=3&amp;window=popup_no_bar&amp;width=385&amp;height=120&amp;START_MAXIMIZED=FALSE&amp;creator=factset&amp;display_string=Audit"}</definedName>
    <definedName name="_1283__FDSAUDITLINK__" hidden="1">{"fdsup://Directions/FactSet Auditing Viewer?action=AUDIT_VALUE&amp;DB=129&amp;ID1=50216110&amp;VALUEID=02001&amp;SDATE=200803&amp;PERIODTYPE=QTR_STD&amp;SCFT=3&amp;window=popup_no_bar&amp;width=385&amp;height=120&amp;START_MAXIMIZED=FALSE&amp;creator=factset&amp;display_string=Audit"}</definedName>
    <definedName name="_1284__FDSAUDITLINK__" localSheetId="7" hidden="1">{"fdsup://Directions/FactSet Auditing Viewer?action=AUDIT_VALUE&amp;DB=129&amp;ID1=50216110&amp;VALUEID=02001&amp;SDATE=200803&amp;PERIODTYPE=QTR_STD&amp;SCFT=3&amp;window=popup_no_bar&amp;width=385&amp;height=120&amp;START_MAXIMIZED=FALSE&amp;creator=factset&amp;display_string=Audit"}</definedName>
    <definedName name="_1284__FDSAUDITLINK__" hidden="1">{"fdsup://Directions/FactSet Auditing Viewer?action=AUDIT_VALUE&amp;DB=129&amp;ID1=50216110&amp;VALUEID=02001&amp;SDATE=200803&amp;PERIODTYPE=QTR_STD&amp;SCFT=3&amp;window=popup_no_bar&amp;width=385&amp;height=120&amp;START_MAXIMIZED=FALSE&amp;creator=factset&amp;display_string=Audit"}</definedName>
    <definedName name="_1285__FDSAUDITLINK__" localSheetId="7" hidden="1">{"fdsup://Directions/FactSet Auditing Viewer?action=AUDIT_VALUE&amp;DB=129&amp;ID1=51841510&amp;VALUEID=02001&amp;SDATE=200803&amp;PERIODTYPE=QTR_STD&amp;SCFT=3&amp;window=popup_no_bar&amp;width=385&amp;height=120&amp;START_MAXIMIZED=FALSE&amp;creator=factset&amp;display_string=Audit"}</definedName>
    <definedName name="_1285__FDSAUDITLINK__" hidden="1">{"fdsup://Directions/FactSet Auditing Viewer?action=AUDIT_VALUE&amp;DB=129&amp;ID1=51841510&amp;VALUEID=02001&amp;SDATE=200803&amp;PERIODTYPE=QTR_STD&amp;SCFT=3&amp;window=popup_no_bar&amp;width=385&amp;height=120&amp;START_MAXIMIZED=FALSE&amp;creator=factset&amp;display_string=Audit"}</definedName>
    <definedName name="_1286__FDSAUDITLINK__" localSheetId="7" hidden="1">{"fdsup://Directions/FactSet Auditing Viewer?action=AUDIT_VALUE&amp;DB=129&amp;ID1=51841510&amp;VALUEID=02001&amp;SDATE=200803&amp;PERIODTYPE=QTR_STD&amp;SCFT=3&amp;window=popup_no_bar&amp;width=385&amp;height=120&amp;START_MAXIMIZED=FALSE&amp;creator=factset&amp;display_string=Audit"}</definedName>
    <definedName name="_1286__FDSAUDITLINK__" hidden="1">{"fdsup://Directions/FactSet Auditing Viewer?action=AUDIT_VALUE&amp;DB=129&amp;ID1=51841510&amp;VALUEID=02001&amp;SDATE=200803&amp;PERIODTYPE=QTR_STD&amp;SCFT=3&amp;window=popup_no_bar&amp;width=385&amp;height=120&amp;START_MAXIMIZED=FALSE&amp;creator=factset&amp;display_string=Audit"}</definedName>
    <definedName name="_1287__FDSAUDITLINK__" localSheetId="7" hidden="1">{"fdsup://Directions/FactSet Auditing Viewer?action=AUDIT_VALUE&amp;DB=129&amp;ID1=51280710&amp;VALUEID=02001&amp;SDATE=200901&amp;PERIODTYPE=QTR_STD&amp;SCFT=3&amp;window=popup_no_bar&amp;width=385&amp;height=120&amp;START_MAXIMIZED=FALSE&amp;creator=factset&amp;display_string=Audit"}</definedName>
    <definedName name="_1287__FDSAUDITLINK__" hidden="1">{"fdsup://Directions/FactSet Auditing Viewer?action=AUDIT_VALUE&amp;DB=129&amp;ID1=51280710&amp;VALUEID=02001&amp;SDATE=200901&amp;PERIODTYPE=QTR_STD&amp;SCFT=3&amp;window=popup_no_bar&amp;width=385&amp;height=120&amp;START_MAXIMIZED=FALSE&amp;creator=factset&amp;display_string=Audit"}</definedName>
    <definedName name="_1288__FDSAUDITLINK__" localSheetId="7" hidden="1">{"fdsup://Directions/FactSet Auditing Viewer?action=AUDIT_VALUE&amp;DB=129&amp;ID1=51280710&amp;VALUEID=02001&amp;SDATE=200901&amp;PERIODTYPE=QTR_STD&amp;SCFT=3&amp;window=popup_no_bar&amp;width=385&amp;height=120&amp;START_MAXIMIZED=FALSE&amp;creator=factset&amp;display_string=Audit"}</definedName>
    <definedName name="_1288__FDSAUDITLINK__" hidden="1">{"fdsup://Directions/FactSet Auditing Viewer?action=AUDIT_VALUE&amp;DB=129&amp;ID1=51280710&amp;VALUEID=02001&amp;SDATE=200901&amp;PERIODTYPE=QTR_STD&amp;SCFT=3&amp;window=popup_no_bar&amp;width=385&amp;height=120&amp;START_MAXIMIZED=FALSE&amp;creator=factset&amp;display_string=Audit"}</definedName>
    <definedName name="_1289__FDSAUDITLINK__" localSheetId="7" hidden="1">{"fdsup://Directions/FactSet Auditing Viewer?action=AUDIT_VALUE&amp;DB=129&amp;ID1=53567810&amp;VALUEID=02001&amp;SDATE=200901&amp;PERIODTYPE=QTR_STD&amp;SCFT=3&amp;window=popup_no_bar&amp;width=385&amp;height=120&amp;START_MAXIMIZED=FALSE&amp;creator=factset&amp;display_string=Audit"}</definedName>
    <definedName name="_1289__FDSAUDITLINK__" hidden="1">{"fdsup://Directions/FactSet Auditing Viewer?action=AUDIT_VALUE&amp;DB=129&amp;ID1=53567810&amp;VALUEID=02001&amp;SDATE=200901&amp;PERIODTYPE=QTR_STD&amp;SCFT=3&amp;window=popup_no_bar&amp;width=385&amp;height=120&amp;START_MAXIMIZED=FALSE&amp;creator=factset&amp;display_string=Audit"}</definedName>
    <definedName name="_129__FDSAUDITLINK__" localSheetId="7" hidden="1">{"fdsup://Directions/FactSet Auditing Viewer?action=AUDIT_VALUE&amp;DB=129&amp;ID1=14964U10&amp;VALUEID=02001&amp;SDATE=201101&amp;PERIODTYPE=QTR_STD&amp;SCFT=3&amp;window=popup_no_bar&amp;width=385&amp;height=120&amp;START_MAXIMIZED=FALSE&amp;creator=factset&amp;display_string=Audit"}</definedName>
    <definedName name="_129__FDSAUDITLINK__" hidden="1">{"fdsup://Directions/FactSet Auditing Viewer?action=AUDIT_VALUE&amp;DB=129&amp;ID1=14964U10&amp;VALUEID=02001&amp;SDATE=201101&amp;PERIODTYPE=QTR_STD&amp;SCFT=3&amp;window=popup_no_bar&amp;width=385&amp;height=120&amp;START_MAXIMIZED=FALSE&amp;creator=factset&amp;display_string=Audit"}</definedName>
    <definedName name="_1290__FDSAUDITLINK__" localSheetId="7" hidden="1">{"fdsup://Directions/FactSet Auditing Viewer?action=AUDIT_VALUE&amp;DB=129&amp;ID1=53567810&amp;VALUEID=02001&amp;SDATE=200901&amp;PERIODTYPE=QTR_STD&amp;SCFT=3&amp;window=popup_no_bar&amp;width=385&amp;height=120&amp;START_MAXIMIZED=FALSE&amp;creator=factset&amp;display_string=Audit"}</definedName>
    <definedName name="_1290__FDSAUDITLINK__" hidden="1">{"fdsup://Directions/FactSet Auditing Viewer?action=AUDIT_VALUE&amp;DB=129&amp;ID1=53567810&amp;VALUEID=02001&amp;SDATE=200901&amp;PERIODTYPE=QTR_STD&amp;SCFT=3&amp;window=popup_no_bar&amp;width=385&amp;height=120&amp;START_MAXIMIZED=FALSE&amp;creator=factset&amp;display_string=Audit"}</definedName>
    <definedName name="_1291__FDSAUDITLINK__" localSheetId="7" hidden="1">{"fdsup://Directions/FactSet Auditing Viewer?action=AUDIT_VALUE&amp;DB=129&amp;ID1=48248010&amp;VALUEID=02001&amp;SDATE=200901&amp;PERIODTYPE=QTR_STD&amp;SCFT=3&amp;window=popup_no_bar&amp;width=385&amp;height=120&amp;START_MAXIMIZED=FALSE&amp;creator=factset&amp;display_string=Audit"}</definedName>
    <definedName name="_1291__FDSAUDITLINK__" hidden="1">{"fdsup://Directions/FactSet Auditing Viewer?action=AUDIT_VALUE&amp;DB=129&amp;ID1=48248010&amp;VALUEID=02001&amp;SDATE=200901&amp;PERIODTYPE=QTR_STD&amp;SCFT=3&amp;window=popup_no_bar&amp;width=385&amp;height=120&amp;START_MAXIMIZED=FALSE&amp;creator=factset&amp;display_string=Audit"}</definedName>
    <definedName name="_1292__FDSAUDITLINK__" localSheetId="7" hidden="1">{"fdsup://Directions/FactSet Auditing Viewer?action=AUDIT_VALUE&amp;DB=129&amp;ID1=48248010&amp;VALUEID=02001&amp;SDATE=200901&amp;PERIODTYPE=QTR_STD&amp;SCFT=3&amp;window=popup_no_bar&amp;width=385&amp;height=120&amp;START_MAXIMIZED=FALSE&amp;creator=factset&amp;display_string=Audit"}</definedName>
    <definedName name="_1292__FDSAUDITLINK__" hidden="1">{"fdsup://Directions/FactSet Auditing Viewer?action=AUDIT_VALUE&amp;DB=129&amp;ID1=48248010&amp;VALUEID=02001&amp;SDATE=200901&amp;PERIODTYPE=QTR_STD&amp;SCFT=3&amp;window=popup_no_bar&amp;width=385&amp;height=120&amp;START_MAXIMIZED=FALSE&amp;creator=factset&amp;display_string=Audit"}</definedName>
    <definedName name="_1293__FDSAUDITLINK__" localSheetId="7" hidden="1">{"fdsup://Directions/FactSet Auditing Viewer?action=AUDIT_VALUE&amp;DB=129&amp;ID1=48836020&amp;VALUEID=02001&amp;SDATE=200802&amp;PERIODTYPE=QTR_STD&amp;SCFT=3&amp;window=popup_no_bar&amp;width=385&amp;height=120&amp;START_MAXIMIZED=FALSE&amp;creator=factset&amp;display_string=Audit"}</definedName>
    <definedName name="_1293__FDSAUDITLINK__" hidden="1">{"fdsup://Directions/FactSet Auditing Viewer?action=AUDIT_VALUE&amp;DB=129&amp;ID1=48836020&amp;VALUEID=02001&amp;SDATE=200802&amp;PERIODTYPE=QTR_STD&amp;SCFT=3&amp;window=popup_no_bar&amp;width=385&amp;height=120&amp;START_MAXIMIZED=FALSE&amp;creator=factset&amp;display_string=Audit"}</definedName>
    <definedName name="_1294__FDSAUDITLINK__" localSheetId="7" hidden="1">{"fdsup://Directions/FactSet Auditing Viewer?action=AUDIT_VALUE&amp;DB=129&amp;ID1=48836020&amp;VALUEID=02001&amp;SDATE=200802&amp;PERIODTYPE=QTR_STD&amp;SCFT=3&amp;window=popup_no_bar&amp;width=385&amp;height=120&amp;START_MAXIMIZED=FALSE&amp;creator=factset&amp;display_string=Audit"}</definedName>
    <definedName name="_1294__FDSAUDITLINK__" hidden="1">{"fdsup://Directions/FactSet Auditing Viewer?action=AUDIT_VALUE&amp;DB=129&amp;ID1=48836020&amp;VALUEID=02001&amp;SDATE=200802&amp;PERIODTYPE=QTR_STD&amp;SCFT=3&amp;window=popup_no_bar&amp;width=385&amp;height=120&amp;START_MAXIMIZED=FALSE&amp;creator=factset&amp;display_string=Audit"}</definedName>
    <definedName name="_1295__FDSAUDITLINK__" localSheetId="7" hidden="1">{"fdsup://Directions/FactSet Auditing Viewer?action=AUDIT_VALUE&amp;DB=129&amp;ID1=48203R10&amp;VALUEID=02001&amp;SDATE=200803&amp;PERIODTYPE=QTR_STD&amp;SCFT=3&amp;window=popup_no_bar&amp;width=385&amp;height=120&amp;START_MAXIMIZED=FALSE&amp;creator=factset&amp;display_string=Audit"}</definedName>
    <definedName name="_1295__FDSAUDITLINK__" hidden="1">{"fdsup://Directions/FactSet Auditing Viewer?action=AUDIT_VALUE&amp;DB=129&amp;ID1=48203R10&amp;VALUEID=02001&amp;SDATE=200803&amp;PERIODTYPE=QTR_STD&amp;SCFT=3&amp;window=popup_no_bar&amp;width=385&amp;height=120&amp;START_MAXIMIZED=FALSE&amp;creator=factset&amp;display_string=Audit"}</definedName>
    <definedName name="_1296__FDSAUDITLINK__" localSheetId="7" hidden="1">{"fdsup://Directions/FactSet Auditing Viewer?action=AUDIT_VALUE&amp;DB=129&amp;ID1=48203R10&amp;VALUEID=02001&amp;SDATE=200803&amp;PERIODTYPE=QTR_STD&amp;SCFT=3&amp;window=popup_no_bar&amp;width=385&amp;height=120&amp;START_MAXIMIZED=FALSE&amp;creator=factset&amp;display_string=Audit"}</definedName>
    <definedName name="_1296__FDSAUDITLINK__" hidden="1">{"fdsup://Directions/FactSet Auditing Viewer?action=AUDIT_VALUE&amp;DB=129&amp;ID1=48203R10&amp;VALUEID=02001&amp;SDATE=200803&amp;PERIODTYPE=QTR_STD&amp;SCFT=3&amp;window=popup_no_bar&amp;width=385&amp;height=120&amp;START_MAXIMIZED=FALSE&amp;creator=factset&amp;display_string=Audit"}</definedName>
    <definedName name="_1297__FDSAUDITLINK__" localSheetId="7" hidden="1">{"fdsup://Directions/FactSet Auditing Viewer?action=AUDIT_VALUE&amp;DB=129&amp;ID1=86681020&amp;VALUEID=02001&amp;SDATE=200901&amp;PERIODTYPE=QTR_STD&amp;SCFT=3&amp;window=popup_no_bar&amp;width=385&amp;height=120&amp;START_MAXIMIZED=FALSE&amp;creator=factset&amp;display_string=Audit"}</definedName>
    <definedName name="_1297__FDSAUDITLINK__" hidden="1">{"fdsup://Directions/FactSet Auditing Viewer?action=AUDIT_VALUE&amp;DB=129&amp;ID1=86681020&amp;VALUEID=02001&amp;SDATE=200901&amp;PERIODTYPE=QTR_STD&amp;SCFT=3&amp;window=popup_no_bar&amp;width=385&amp;height=120&amp;START_MAXIMIZED=FALSE&amp;creator=factset&amp;display_string=Audit"}</definedName>
    <definedName name="_1298__FDSAUDITLINK__" localSheetId="7" hidden="1">{"fdsup://Directions/FactSet Auditing Viewer?action=AUDIT_VALUE&amp;DB=129&amp;ID1=86681020&amp;VALUEID=02001&amp;SDATE=200901&amp;PERIODTYPE=QTR_STD&amp;SCFT=3&amp;window=popup_no_bar&amp;width=385&amp;height=120&amp;START_MAXIMIZED=FALSE&amp;creator=factset&amp;display_string=Audit"}</definedName>
    <definedName name="_1298__FDSAUDITLINK__" hidden="1">{"fdsup://Directions/FactSet Auditing Viewer?action=AUDIT_VALUE&amp;DB=129&amp;ID1=86681020&amp;VALUEID=02001&amp;SDATE=200901&amp;PERIODTYPE=QTR_STD&amp;SCFT=3&amp;window=popup_no_bar&amp;width=385&amp;height=120&amp;START_MAXIMIZED=FALSE&amp;creator=factset&amp;display_string=Audit"}</definedName>
    <definedName name="_1299__FDSAUDITLINK__" localSheetId="7" hidden="1">{"fdsup://Directions/FactSet Auditing Viewer?action=AUDIT_VALUE&amp;DB=129&amp;ID1=46069S10&amp;VALUEID=02001&amp;SDATE=200803&amp;PERIODTYPE=QTR_STD&amp;SCFT=3&amp;window=popup_no_bar&amp;width=385&amp;height=120&amp;START_MAXIMIZED=FALSE&amp;creator=factset&amp;display_string=Audit"}</definedName>
    <definedName name="_1299__FDSAUDITLINK__" hidden="1">{"fdsup://Directions/FactSet Auditing Viewer?action=AUDIT_VALUE&amp;DB=129&amp;ID1=46069S10&amp;VALUEID=02001&amp;SDATE=200803&amp;PERIODTYPE=QTR_STD&amp;SCFT=3&amp;window=popup_no_bar&amp;width=385&amp;height=120&amp;START_MAXIMIZED=FALSE&amp;creator=factset&amp;display_string=Audit"}</definedName>
    <definedName name="_13__FDSAUDITLINK__" localSheetId="7" hidden="1">{"fdsup://Directions/FactSet Auditing Viewer?action=AUDIT_VALUE&amp;DB=129&amp;ID1=74752510&amp;VALUEID=05194&amp;SDATE=201104&amp;PERIODTYPE=QTR_STD&amp;SCFT=3&amp;window=popup_no_bar&amp;width=385&amp;height=120&amp;START_MAXIMIZED=FALSE&amp;creator=factset&amp;display_string=Audit"}</definedName>
    <definedName name="_13__FDSAUDITLINK__" hidden="1">{"fdsup://Directions/FactSet Auditing Viewer?action=AUDIT_VALUE&amp;DB=129&amp;ID1=74752510&amp;VALUEID=05194&amp;SDATE=201104&amp;PERIODTYPE=QTR_STD&amp;SCFT=3&amp;window=popup_no_bar&amp;width=385&amp;height=120&amp;START_MAXIMIZED=FALSE&amp;creator=factset&amp;display_string=Audit"}</definedName>
    <definedName name="_130__FDSAUDITLINK__" localSheetId="7" hidden="1">{"fdsup://Directions/FactSet Auditing Viewer?action=AUDIT_VALUE&amp;DB=129&amp;ID1=14964U10&amp;VALUEID=02001&amp;SDATE=201101&amp;PERIODTYPE=QTR_STD&amp;SCFT=3&amp;window=popup_no_bar&amp;width=385&amp;height=120&amp;START_MAXIMIZED=FALSE&amp;creator=factset&amp;display_string=Audit"}</definedName>
    <definedName name="_130__FDSAUDITLINK__" hidden="1">{"fdsup://Directions/FactSet Auditing Viewer?action=AUDIT_VALUE&amp;DB=129&amp;ID1=14964U10&amp;VALUEID=02001&amp;SDATE=201101&amp;PERIODTYPE=QTR_STD&amp;SCFT=3&amp;window=popup_no_bar&amp;width=385&amp;height=120&amp;START_MAXIMIZED=FALSE&amp;creator=factset&amp;display_string=Audit"}</definedName>
    <definedName name="_1300__FDSAUDITLINK__" localSheetId="7" hidden="1">{"fdsup://Directions/FactSet Auditing Viewer?action=AUDIT_VALUE&amp;DB=129&amp;ID1=46069S10&amp;VALUEID=02001&amp;SDATE=200803&amp;PERIODTYPE=QTR_STD&amp;SCFT=3&amp;window=popup_no_bar&amp;width=385&amp;height=120&amp;START_MAXIMIZED=FALSE&amp;creator=factset&amp;display_string=Audit"}</definedName>
    <definedName name="_1300__FDSAUDITLINK__" hidden="1">{"fdsup://Directions/FactSet Auditing Viewer?action=AUDIT_VALUE&amp;DB=129&amp;ID1=46069S10&amp;VALUEID=02001&amp;SDATE=200803&amp;PERIODTYPE=QTR_STD&amp;SCFT=3&amp;window=popup_no_bar&amp;width=385&amp;height=120&amp;START_MAXIMIZED=FALSE&amp;creator=factset&amp;display_string=Audit"}</definedName>
    <definedName name="_1301__FDSAUDITLINK__" localSheetId="7" hidden="1">{"fdsup://Directions/FactSet Auditing Viewer?action=AUDIT_VALUE&amp;DB=129&amp;ID1=46025410&amp;VALUEID=02001&amp;SDATE=200901&amp;PERIODTYPE=QTR_STD&amp;SCFT=3&amp;window=popup_no_bar&amp;width=385&amp;height=120&amp;START_MAXIMIZED=FALSE&amp;creator=factset&amp;display_string=Audit"}</definedName>
    <definedName name="_1301__FDSAUDITLINK__" hidden="1">{"fdsup://Directions/FactSet Auditing Viewer?action=AUDIT_VALUE&amp;DB=129&amp;ID1=46025410&amp;VALUEID=02001&amp;SDATE=200901&amp;PERIODTYPE=QTR_STD&amp;SCFT=3&amp;window=popup_no_bar&amp;width=385&amp;height=120&amp;START_MAXIMIZED=FALSE&amp;creator=factset&amp;display_string=Audit"}</definedName>
    <definedName name="_1302__FDSAUDITLINK__" localSheetId="7" hidden="1">{"fdsup://Directions/FactSet Auditing Viewer?action=AUDIT_VALUE&amp;DB=129&amp;ID1=46025410&amp;VALUEID=02001&amp;SDATE=200901&amp;PERIODTYPE=QTR_STD&amp;SCFT=3&amp;window=popup_no_bar&amp;width=385&amp;height=120&amp;START_MAXIMIZED=FALSE&amp;creator=factset&amp;display_string=Audit"}</definedName>
    <definedName name="_1302__FDSAUDITLINK__" hidden="1">{"fdsup://Directions/FactSet Auditing Viewer?action=AUDIT_VALUE&amp;DB=129&amp;ID1=46025410&amp;VALUEID=02001&amp;SDATE=200901&amp;PERIODTYPE=QTR_STD&amp;SCFT=3&amp;window=popup_no_bar&amp;width=385&amp;height=120&amp;START_MAXIMIZED=FALSE&amp;creator=factset&amp;display_string=Audit"}</definedName>
    <definedName name="_1303__FDSAUDITLINK__" localSheetId="7" hidden="1">{"fdsup://Directions/FactSet Auditing Viewer?action=AUDIT_VALUE&amp;DB=129&amp;ID1=45814010&amp;VALUEID=02001&amp;SDATE=200803&amp;PERIODTYPE=QTR_STD&amp;SCFT=3&amp;window=popup_no_bar&amp;width=385&amp;height=120&amp;START_MAXIMIZED=FALSE&amp;creator=factset&amp;display_string=Audit"}</definedName>
    <definedName name="_1303__FDSAUDITLINK__" hidden="1">{"fdsup://Directions/FactSet Auditing Viewer?action=AUDIT_VALUE&amp;DB=129&amp;ID1=45814010&amp;VALUEID=02001&amp;SDATE=200803&amp;PERIODTYPE=QTR_STD&amp;SCFT=3&amp;window=popup_no_bar&amp;width=385&amp;height=120&amp;START_MAXIMIZED=FALSE&amp;creator=factset&amp;display_string=Audit"}</definedName>
    <definedName name="_1304__FDSAUDITLINK__" localSheetId="7" hidden="1">{"fdsup://Directions/FactSet Auditing Viewer?action=AUDIT_VALUE&amp;DB=129&amp;ID1=45814010&amp;VALUEID=02001&amp;SDATE=200803&amp;PERIODTYPE=QTR_STD&amp;SCFT=3&amp;window=popup_no_bar&amp;width=385&amp;height=120&amp;START_MAXIMIZED=FALSE&amp;creator=factset&amp;display_string=Audit"}</definedName>
    <definedName name="_1304__FDSAUDITLINK__" hidden="1">{"fdsup://Directions/FactSet Auditing Viewer?action=AUDIT_VALUE&amp;DB=129&amp;ID1=45814010&amp;VALUEID=02001&amp;SDATE=200803&amp;PERIODTYPE=QTR_STD&amp;SCFT=3&amp;window=popup_no_bar&amp;width=385&amp;height=120&amp;START_MAXIMIZED=FALSE&amp;creator=factset&amp;display_string=Audit"}</definedName>
    <definedName name="_1305__FDSAUDITLINK__" localSheetId="7" hidden="1">{"fdsup://Directions/FactSet Auditing Viewer?action=AUDIT_VALUE&amp;DB=129&amp;ID1=45811810&amp;VALUEID=02001&amp;SDATE=200802&amp;PERIODTYPE=QTR_STD&amp;SCFT=3&amp;window=popup_no_bar&amp;width=385&amp;height=120&amp;START_MAXIMIZED=FALSE&amp;creator=factset&amp;display_string=Audit"}</definedName>
    <definedName name="_1305__FDSAUDITLINK__" hidden="1">{"fdsup://Directions/FactSet Auditing Viewer?action=AUDIT_VALUE&amp;DB=129&amp;ID1=45811810&amp;VALUEID=02001&amp;SDATE=200802&amp;PERIODTYPE=QTR_STD&amp;SCFT=3&amp;window=popup_no_bar&amp;width=385&amp;height=120&amp;START_MAXIMIZED=FALSE&amp;creator=factset&amp;display_string=Audit"}</definedName>
    <definedName name="_1306__FDSAUDITLINK__" localSheetId="7" hidden="1">{"fdsup://Directions/FactSet Auditing Viewer?action=AUDIT_VALUE&amp;DB=129&amp;ID1=45811810&amp;VALUEID=02001&amp;SDATE=200802&amp;PERIODTYPE=QTR_STD&amp;SCFT=3&amp;window=popup_no_bar&amp;width=385&amp;height=120&amp;START_MAXIMIZED=FALSE&amp;creator=factset&amp;display_string=Audit"}</definedName>
    <definedName name="_1306__FDSAUDITLINK__" hidden="1">{"fdsup://Directions/FactSet Auditing Viewer?action=AUDIT_VALUE&amp;DB=129&amp;ID1=45811810&amp;VALUEID=02001&amp;SDATE=200802&amp;PERIODTYPE=QTR_STD&amp;SCFT=3&amp;window=popup_no_bar&amp;width=385&amp;height=120&amp;START_MAXIMIZED=FALSE&amp;creator=factset&amp;display_string=Audit"}</definedName>
    <definedName name="_1307__FDSAUDITLINK__" localSheetId="7" hidden="1">{"fdsup://Directions/FactSet Auditing Viewer?action=AUDIT_VALUE&amp;DB=129&amp;ID1=H2906T10&amp;VALUEID=02001&amp;SDATE=200803&amp;PERIODTYPE=QTR_STD&amp;SCFT=3&amp;window=popup_no_bar&amp;width=385&amp;height=120&amp;START_MAXIMIZED=FALSE&amp;creator=factset&amp;display_string=Audit"}</definedName>
    <definedName name="_1307__FDSAUDITLINK__" hidden="1">{"fdsup://Directions/FactSet Auditing Viewer?action=AUDIT_VALUE&amp;DB=129&amp;ID1=H2906T10&amp;VALUEID=02001&amp;SDATE=200803&amp;PERIODTYPE=QTR_STD&amp;SCFT=3&amp;window=popup_no_bar&amp;width=385&amp;height=120&amp;START_MAXIMIZED=FALSE&amp;creator=factset&amp;display_string=Audit"}</definedName>
    <definedName name="_1308__FDSAUDITLINK__" localSheetId="7" hidden="1">{"fdsup://Directions/FactSet Auditing Viewer?action=AUDIT_VALUE&amp;DB=129&amp;ID1=H2906T10&amp;VALUEID=02001&amp;SDATE=200803&amp;PERIODTYPE=QTR_STD&amp;SCFT=3&amp;window=popup_no_bar&amp;width=385&amp;height=120&amp;START_MAXIMIZED=FALSE&amp;creator=factset&amp;display_string=Audit"}</definedName>
    <definedName name="_1308__FDSAUDITLINK__" hidden="1">{"fdsup://Directions/FactSet Auditing Viewer?action=AUDIT_VALUE&amp;DB=129&amp;ID1=H2906T10&amp;VALUEID=02001&amp;SDATE=200803&amp;PERIODTYPE=QTR_STD&amp;SCFT=3&amp;window=popup_no_bar&amp;width=385&amp;height=120&amp;START_MAXIMIZED=FALSE&amp;creator=factset&amp;display_string=Audit"}</definedName>
    <definedName name="_1309__FDSAUDITLINK__" localSheetId="7" hidden="1">{"fdsup://Directions/FactSet Auditing Viewer?action=AUDIT_VALUE&amp;DB=129&amp;ID1=34637510&amp;VALUEID=02001&amp;SDATE=200803&amp;PERIODTYPE=QTR_STD&amp;SCFT=3&amp;window=popup_no_bar&amp;width=385&amp;height=120&amp;START_MAXIMIZED=FALSE&amp;creator=factset&amp;display_string=Audit"}</definedName>
    <definedName name="_1309__FDSAUDITLINK__" hidden="1">{"fdsup://Directions/FactSet Auditing Viewer?action=AUDIT_VALUE&amp;DB=129&amp;ID1=34637510&amp;VALUEID=02001&amp;SDATE=200803&amp;PERIODTYPE=QTR_STD&amp;SCFT=3&amp;window=popup_no_bar&amp;width=385&amp;height=120&amp;START_MAXIMIZED=FALSE&amp;creator=factset&amp;display_string=Audit"}</definedName>
    <definedName name="_131__FDSAUDITLINK__" localSheetId="7" hidden="1">{"fdsup://Directions/FactSet Auditing Viewer?action=AUDIT_VALUE&amp;DB=129&amp;ID1=11162130&amp;VALUEID=02001&amp;SDATE=201102&amp;PERIODTYPE=QTR_STD&amp;SCFT=3&amp;window=popup_no_bar&amp;width=385&amp;height=120&amp;START_MAXIMIZED=FALSE&amp;creator=factset&amp;display_string=Audit"}</definedName>
    <definedName name="_131__FDSAUDITLINK__" hidden="1">{"fdsup://Directions/FactSet Auditing Viewer?action=AUDIT_VALUE&amp;DB=129&amp;ID1=11162130&amp;VALUEID=02001&amp;SDATE=201102&amp;PERIODTYPE=QTR_STD&amp;SCFT=3&amp;window=popup_no_bar&amp;width=385&amp;height=120&amp;START_MAXIMIZED=FALSE&amp;creator=factset&amp;display_string=Audit"}</definedName>
    <definedName name="_1310__FDSAUDITLINK__" localSheetId="7" hidden="1">{"fdsup://Directions/FactSet Auditing Viewer?action=AUDIT_VALUE&amp;DB=129&amp;ID1=34637510&amp;VALUEID=02001&amp;SDATE=200803&amp;PERIODTYPE=QTR_STD&amp;SCFT=3&amp;window=popup_no_bar&amp;width=385&amp;height=120&amp;START_MAXIMIZED=FALSE&amp;creator=factset&amp;display_string=Audit"}</definedName>
    <definedName name="_1310__FDSAUDITLINK__" hidden="1">{"fdsup://Directions/FactSet Auditing Viewer?action=AUDIT_VALUE&amp;DB=129&amp;ID1=34637510&amp;VALUEID=02001&amp;SDATE=200803&amp;PERIODTYPE=QTR_STD&amp;SCFT=3&amp;window=popup_no_bar&amp;width=385&amp;height=120&amp;START_MAXIMIZED=FALSE&amp;creator=factset&amp;display_string=Audit"}</definedName>
    <definedName name="_1311__FDSAUDITLINK__" localSheetId="7" hidden="1">{"fdsup://Directions/FactSet Auditing Viewer?action=AUDIT_VALUE&amp;DB=129&amp;ID1=29247520&amp;VALUEID=02001&amp;SDATE=200901&amp;PERIODTYPE=QTR_STD&amp;SCFT=3&amp;window=popup_no_bar&amp;width=385&amp;height=120&amp;START_MAXIMIZED=FALSE&amp;creator=factset&amp;display_string=Audit"}</definedName>
    <definedName name="_1311__FDSAUDITLINK__" hidden="1">{"fdsup://Directions/FactSet Auditing Viewer?action=AUDIT_VALUE&amp;DB=129&amp;ID1=29247520&amp;VALUEID=02001&amp;SDATE=200901&amp;PERIODTYPE=QTR_STD&amp;SCFT=3&amp;window=popup_no_bar&amp;width=385&amp;height=120&amp;START_MAXIMIZED=FALSE&amp;creator=factset&amp;display_string=Audit"}</definedName>
    <definedName name="_1312__FDSAUDITLINK__" localSheetId="7" hidden="1">{"fdsup://Directions/FactSet Auditing Viewer?action=AUDIT_VALUE&amp;DB=129&amp;ID1=29247520&amp;VALUEID=02001&amp;SDATE=200901&amp;PERIODTYPE=QTR_STD&amp;SCFT=3&amp;window=popup_no_bar&amp;width=385&amp;height=120&amp;START_MAXIMIZED=FALSE&amp;creator=factset&amp;display_string=Audit"}</definedName>
    <definedName name="_1312__FDSAUDITLINK__" hidden="1">{"fdsup://Directions/FactSet Auditing Viewer?action=AUDIT_VALUE&amp;DB=129&amp;ID1=29247520&amp;VALUEID=02001&amp;SDATE=200901&amp;PERIODTYPE=QTR_STD&amp;SCFT=3&amp;window=popup_no_bar&amp;width=385&amp;height=120&amp;START_MAXIMIZED=FALSE&amp;creator=factset&amp;display_string=Audit"}</definedName>
    <definedName name="_1313__FDSAUDITLINK__" localSheetId="7" hidden="1">{"fdsup://Directions/FactSet Auditing Viewer?action=AUDIT_VALUE&amp;DB=129&amp;ID1=25454310&amp;VALUEID=02001&amp;SDATE=200803&amp;PERIODTYPE=QTR_STD&amp;SCFT=3&amp;window=popup_no_bar&amp;width=385&amp;height=120&amp;START_MAXIMIZED=FALSE&amp;creator=factset&amp;display_string=Audit"}</definedName>
    <definedName name="_1313__FDSAUDITLINK__" hidden="1">{"fdsup://Directions/FactSet Auditing Viewer?action=AUDIT_VALUE&amp;DB=129&amp;ID1=25454310&amp;VALUEID=02001&amp;SDATE=200803&amp;PERIODTYPE=QTR_STD&amp;SCFT=3&amp;window=popup_no_bar&amp;width=385&amp;height=120&amp;START_MAXIMIZED=FALSE&amp;creator=factset&amp;display_string=Audit"}</definedName>
    <definedName name="_1314__FDSAUDITLINK__" localSheetId="7" hidden="1">{"fdsup://Directions/FactSet Auditing Viewer?action=AUDIT_VALUE&amp;DB=129&amp;ID1=25454310&amp;VALUEID=02001&amp;SDATE=200803&amp;PERIODTYPE=QTR_STD&amp;SCFT=3&amp;window=popup_no_bar&amp;width=385&amp;height=120&amp;START_MAXIMIZED=FALSE&amp;creator=factset&amp;display_string=Audit"}</definedName>
    <definedName name="_1314__FDSAUDITLINK__" hidden="1">{"fdsup://Directions/FactSet Auditing Viewer?action=AUDIT_VALUE&amp;DB=129&amp;ID1=25454310&amp;VALUEID=02001&amp;SDATE=200803&amp;PERIODTYPE=QTR_STD&amp;SCFT=3&amp;window=popup_no_bar&amp;width=385&amp;height=120&amp;START_MAXIMIZED=FALSE&amp;creator=factset&amp;display_string=Audit"}</definedName>
    <definedName name="_1315__FDSAUDITLINK__" localSheetId="7" hidden="1">{"fdsup://Directions/FactSet Auditing Viewer?action=AUDIT_VALUE&amp;DB=129&amp;ID1=24702R10&amp;VALUEID=02001&amp;SDATE=200803&amp;PERIODTYPE=QTR_STD&amp;SCFT=3&amp;window=popup_no_bar&amp;width=385&amp;height=120&amp;START_MAXIMIZED=FALSE&amp;creator=factset&amp;display_string=Audit"}</definedName>
    <definedName name="_1315__FDSAUDITLINK__" hidden="1">{"fdsup://Directions/FactSet Auditing Viewer?action=AUDIT_VALUE&amp;DB=129&amp;ID1=24702R10&amp;VALUEID=02001&amp;SDATE=200803&amp;PERIODTYPE=QTR_STD&amp;SCFT=3&amp;window=popup_no_bar&amp;width=385&amp;height=120&amp;START_MAXIMIZED=FALSE&amp;creator=factset&amp;display_string=Audit"}</definedName>
    <definedName name="_1316__FDSAUDITLINK__" localSheetId="7" hidden="1">{"fdsup://Directions/FactSet Auditing Viewer?action=AUDIT_VALUE&amp;DB=129&amp;ID1=24702R10&amp;VALUEID=02001&amp;SDATE=200803&amp;PERIODTYPE=QTR_STD&amp;SCFT=3&amp;window=popup_no_bar&amp;width=385&amp;height=120&amp;START_MAXIMIZED=FALSE&amp;creator=factset&amp;display_string=Audit"}</definedName>
    <definedName name="_1316__FDSAUDITLINK__" hidden="1">{"fdsup://Directions/FactSet Auditing Viewer?action=AUDIT_VALUE&amp;DB=129&amp;ID1=24702R10&amp;VALUEID=02001&amp;SDATE=200803&amp;PERIODTYPE=QTR_STD&amp;SCFT=3&amp;window=popup_no_bar&amp;width=385&amp;height=120&amp;START_MAXIMIZED=FALSE&amp;creator=factset&amp;display_string=Audit"}</definedName>
    <definedName name="_1317__FDSAUDITLINK__" localSheetId="7" hidden="1">{"fdsup://Directions/FactSet Auditing Viewer?action=AUDIT_VALUE&amp;DB=129&amp;ID1=23257210&amp;VALUEID=02001&amp;SDATE=200803&amp;PERIODTYPE=QTR_STD&amp;SCFT=3&amp;window=popup_no_bar&amp;width=385&amp;height=120&amp;START_MAXIMIZED=FALSE&amp;creator=factset&amp;display_string=Audit"}</definedName>
    <definedName name="_1317__FDSAUDITLINK__" hidden="1">{"fdsup://Directions/FactSet Auditing Viewer?action=AUDIT_VALUE&amp;DB=129&amp;ID1=23257210&amp;VALUEID=02001&amp;SDATE=200803&amp;PERIODTYPE=QTR_STD&amp;SCFT=3&amp;window=popup_no_bar&amp;width=385&amp;height=120&amp;START_MAXIMIZED=FALSE&amp;creator=factset&amp;display_string=Audit"}</definedName>
    <definedName name="_1318__FDSAUDITLINK__" localSheetId="7" hidden="1">{"fdsup://Directions/FactSet Auditing Viewer?action=AUDIT_VALUE&amp;DB=129&amp;ID1=23257210&amp;VALUEID=02001&amp;SDATE=200803&amp;PERIODTYPE=QTR_STD&amp;SCFT=3&amp;window=popup_no_bar&amp;width=385&amp;height=120&amp;START_MAXIMIZED=FALSE&amp;creator=factset&amp;display_string=Audit"}</definedName>
    <definedName name="_1318__FDSAUDITLINK__" hidden="1">{"fdsup://Directions/FactSet Auditing Viewer?action=AUDIT_VALUE&amp;DB=129&amp;ID1=23257210&amp;VALUEID=02001&amp;SDATE=200803&amp;PERIODTYPE=QTR_STD&amp;SCFT=3&amp;window=popup_no_bar&amp;width=385&amp;height=120&amp;START_MAXIMIZED=FALSE&amp;creator=factset&amp;display_string=Audit"}</definedName>
    <definedName name="_1319__FDSAUDITLINK__" localSheetId="7" hidden="1">{"fdsup://Directions/FactSet Auditing Viewer?action=AUDIT_VALUE&amp;DB=129&amp;ID1=23280610&amp;VALUEID=02001&amp;SDATE=200803&amp;PERIODTYPE=QTR_STD&amp;SCFT=3&amp;window=popup_no_bar&amp;width=385&amp;height=120&amp;START_MAXIMIZED=FALSE&amp;creator=factset&amp;display_string=Audit"}</definedName>
    <definedName name="_1319__FDSAUDITLINK__" hidden="1">{"fdsup://Directions/FactSet Auditing Viewer?action=AUDIT_VALUE&amp;DB=129&amp;ID1=23280610&amp;VALUEID=02001&amp;SDATE=200803&amp;PERIODTYPE=QTR_STD&amp;SCFT=3&amp;window=popup_no_bar&amp;width=385&amp;height=120&amp;START_MAXIMIZED=FALSE&amp;creator=factset&amp;display_string=Audit"}</definedName>
    <definedName name="_132__FDSAUDITLINK__" localSheetId="7" hidden="1">{"fdsup://Directions/FactSet Auditing Viewer?action=AUDIT_VALUE&amp;DB=129&amp;ID1=11162130&amp;VALUEID=02001&amp;SDATE=201102&amp;PERIODTYPE=QTR_STD&amp;SCFT=3&amp;window=popup_no_bar&amp;width=385&amp;height=120&amp;START_MAXIMIZED=FALSE&amp;creator=factset&amp;display_string=Audit"}</definedName>
    <definedName name="_132__FDSAUDITLINK__" hidden="1">{"fdsup://Directions/FactSet Auditing Viewer?action=AUDIT_VALUE&amp;DB=129&amp;ID1=11162130&amp;VALUEID=02001&amp;SDATE=201102&amp;PERIODTYPE=QTR_STD&amp;SCFT=3&amp;window=popup_no_bar&amp;width=385&amp;height=120&amp;START_MAXIMIZED=FALSE&amp;creator=factset&amp;display_string=Audit"}</definedName>
    <definedName name="_1320__FDSAUDITLINK__" localSheetId="7" hidden="1">{"fdsup://Directions/FactSet Auditing Viewer?action=AUDIT_VALUE&amp;DB=129&amp;ID1=23280610&amp;VALUEID=02001&amp;SDATE=200803&amp;PERIODTYPE=QTR_STD&amp;SCFT=3&amp;window=popup_no_bar&amp;width=385&amp;height=120&amp;START_MAXIMIZED=FALSE&amp;creator=factset&amp;display_string=Audit"}</definedName>
    <definedName name="_1320__FDSAUDITLINK__" hidden="1">{"fdsup://Directions/FactSet Auditing Viewer?action=AUDIT_VALUE&amp;DB=129&amp;ID1=23280610&amp;VALUEID=02001&amp;SDATE=200803&amp;PERIODTYPE=QTR_STD&amp;SCFT=3&amp;window=popup_no_bar&amp;width=385&amp;height=120&amp;START_MAXIMIZED=FALSE&amp;creator=factset&amp;display_string=Audit"}</definedName>
    <definedName name="_1321__FDSAUDITLINK__" localSheetId="7" hidden="1">{"fdsup://Directions/FactSet Auditing Viewer?action=AUDIT_VALUE&amp;DB=129&amp;ID1=17275R10&amp;VALUEID=02001&amp;SDATE=200901&amp;PERIODTYPE=QTR_STD&amp;SCFT=3&amp;window=popup_no_bar&amp;width=385&amp;height=120&amp;START_MAXIMIZED=FALSE&amp;creator=factset&amp;display_string=Audit"}</definedName>
    <definedName name="_1321__FDSAUDITLINK__" hidden="1">{"fdsup://Directions/FactSet Auditing Viewer?action=AUDIT_VALUE&amp;DB=129&amp;ID1=17275R10&amp;VALUEID=02001&amp;SDATE=200901&amp;PERIODTYPE=QTR_STD&amp;SCFT=3&amp;window=popup_no_bar&amp;width=385&amp;height=120&amp;START_MAXIMIZED=FALSE&amp;creator=factset&amp;display_string=Audit"}</definedName>
    <definedName name="_1322__FDSAUDITLINK__" localSheetId="7" hidden="1">{"fdsup://Directions/FactSet Auditing Viewer?action=AUDIT_VALUE&amp;DB=129&amp;ID1=17275R10&amp;VALUEID=02001&amp;SDATE=200901&amp;PERIODTYPE=QTR_STD&amp;SCFT=3&amp;window=popup_no_bar&amp;width=385&amp;height=120&amp;START_MAXIMIZED=FALSE&amp;creator=factset&amp;display_string=Audit"}</definedName>
    <definedName name="_1322__FDSAUDITLINK__" hidden="1">{"fdsup://Directions/FactSet Auditing Viewer?action=AUDIT_VALUE&amp;DB=129&amp;ID1=17275R10&amp;VALUEID=02001&amp;SDATE=200901&amp;PERIODTYPE=QTR_STD&amp;SCFT=3&amp;window=popup_no_bar&amp;width=385&amp;height=120&amp;START_MAXIMIZED=FALSE&amp;creator=factset&amp;display_string=Audit"}</definedName>
    <definedName name="_1323__FDSAUDITLINK__" localSheetId="7" hidden="1">{"fdsup://Directions/FactSet Auditing Viewer?action=AUDIT_VALUE&amp;DB=129&amp;ID1=22544710&amp;VALUEID=02001&amp;SDATE=200901&amp;PERIODTYPE=QTR_STD&amp;SCFT=3&amp;window=popup_no_bar&amp;width=385&amp;height=120&amp;START_MAXIMIZED=FALSE&amp;creator=factset&amp;display_string=Audit"}</definedName>
    <definedName name="_1323__FDSAUDITLINK__" hidden="1">{"fdsup://Directions/FactSet Auditing Viewer?action=AUDIT_VALUE&amp;DB=129&amp;ID1=22544710&amp;VALUEID=02001&amp;SDATE=200901&amp;PERIODTYPE=QTR_STD&amp;SCFT=3&amp;window=popup_no_bar&amp;width=385&amp;height=120&amp;START_MAXIMIZED=FALSE&amp;creator=factset&amp;display_string=Audit"}</definedName>
    <definedName name="_1324__FDSAUDITLINK__" localSheetId="7" hidden="1">{"fdsup://Directions/FactSet Auditing Viewer?action=AUDIT_VALUE&amp;DB=129&amp;ID1=22544710&amp;VALUEID=02001&amp;SDATE=200901&amp;PERIODTYPE=QTR_STD&amp;SCFT=3&amp;window=popup_no_bar&amp;width=385&amp;height=120&amp;START_MAXIMIZED=FALSE&amp;creator=factset&amp;display_string=Audit"}</definedName>
    <definedName name="_1324__FDSAUDITLINK__" hidden="1">{"fdsup://Directions/FactSet Auditing Viewer?action=AUDIT_VALUE&amp;DB=129&amp;ID1=22544710&amp;VALUEID=02001&amp;SDATE=200901&amp;PERIODTYPE=QTR_STD&amp;SCFT=3&amp;window=popup_no_bar&amp;width=385&amp;height=120&amp;START_MAXIMIZED=FALSE&amp;creator=factset&amp;display_string=Audit"}</definedName>
    <definedName name="_1325__FDSAUDITLINK__" localSheetId="7" hidden="1">{"fdsup://Directions/FactSet Auditing Viewer?action=AUDIT_VALUE&amp;DB=129&amp;ID1=12738710&amp;VALUEID=02001&amp;SDATE=200803&amp;PERIODTYPE=QTR_STD&amp;SCFT=3&amp;window=popup_no_bar&amp;width=385&amp;height=120&amp;START_MAXIMIZED=FALSE&amp;creator=factset&amp;display_string=Audit"}</definedName>
    <definedName name="_1325__FDSAUDITLINK__" hidden="1">{"fdsup://Directions/FactSet Auditing Viewer?action=AUDIT_VALUE&amp;DB=129&amp;ID1=12738710&amp;VALUEID=02001&amp;SDATE=200803&amp;PERIODTYPE=QTR_STD&amp;SCFT=3&amp;window=popup_no_bar&amp;width=385&amp;height=120&amp;START_MAXIMIZED=FALSE&amp;creator=factset&amp;display_string=Audit"}</definedName>
    <definedName name="_1326__FDSAUDITLINK__" localSheetId="7" hidden="1">{"fdsup://Directions/FactSet Auditing Viewer?action=AUDIT_VALUE&amp;DB=129&amp;ID1=12738710&amp;VALUEID=02001&amp;SDATE=200803&amp;PERIODTYPE=QTR_STD&amp;SCFT=3&amp;window=popup_no_bar&amp;width=385&amp;height=120&amp;START_MAXIMIZED=FALSE&amp;creator=factset&amp;display_string=Audit"}</definedName>
    <definedName name="_1326__FDSAUDITLINK__" hidden="1">{"fdsup://Directions/FactSet Auditing Viewer?action=AUDIT_VALUE&amp;DB=129&amp;ID1=12738710&amp;VALUEID=02001&amp;SDATE=200803&amp;PERIODTYPE=QTR_STD&amp;SCFT=3&amp;window=popup_no_bar&amp;width=385&amp;height=120&amp;START_MAXIMIZED=FALSE&amp;creator=factset&amp;display_string=Audit"}</definedName>
    <definedName name="_1327__FDSAUDITLINK__" localSheetId="7" hidden="1">{"fdsup://Directions/FactSet Auditing Viewer?action=AUDIT_VALUE&amp;DB=129&amp;ID1=14964U10&amp;VALUEID=02001&amp;SDATE=200803&amp;PERIODTYPE=QTR_STD&amp;SCFT=3&amp;window=popup_no_bar&amp;width=385&amp;height=120&amp;START_MAXIMIZED=FALSE&amp;creator=factset&amp;display_string=Audit"}</definedName>
    <definedName name="_1327__FDSAUDITLINK__" hidden="1">{"fdsup://Directions/FactSet Auditing Viewer?action=AUDIT_VALUE&amp;DB=129&amp;ID1=14964U10&amp;VALUEID=02001&amp;SDATE=200803&amp;PERIODTYPE=QTR_STD&amp;SCFT=3&amp;window=popup_no_bar&amp;width=385&amp;height=120&amp;START_MAXIMIZED=FALSE&amp;creator=factset&amp;display_string=Audit"}</definedName>
    <definedName name="_1328__FDSAUDITLINK__" localSheetId="7" hidden="1">{"fdsup://Directions/FactSet Auditing Viewer?action=AUDIT_VALUE&amp;DB=129&amp;ID1=14964U10&amp;VALUEID=02001&amp;SDATE=200803&amp;PERIODTYPE=QTR_STD&amp;SCFT=3&amp;window=popup_no_bar&amp;width=385&amp;height=120&amp;START_MAXIMIZED=FALSE&amp;creator=factset&amp;display_string=Audit"}</definedName>
    <definedName name="_1328__FDSAUDITLINK__" hidden="1">{"fdsup://Directions/FactSet Auditing Viewer?action=AUDIT_VALUE&amp;DB=129&amp;ID1=14964U10&amp;VALUEID=02001&amp;SDATE=200803&amp;PERIODTYPE=QTR_STD&amp;SCFT=3&amp;window=popup_no_bar&amp;width=385&amp;height=120&amp;START_MAXIMIZED=FALSE&amp;creator=factset&amp;display_string=Audit"}</definedName>
    <definedName name="_1329__FDSAUDITLINK__" localSheetId="7" hidden="1">{"fdsup://Directions/FactSet Auditing Viewer?action=AUDIT_VALUE&amp;DB=129&amp;ID1=04743P10&amp;VALUEID=02001&amp;SDATE=200803&amp;PERIODTYPE=QTR_STD&amp;SCFT=3&amp;window=popup_no_bar&amp;width=385&amp;height=120&amp;START_MAXIMIZED=FALSE&amp;creator=factset&amp;display_string=Audit"}</definedName>
    <definedName name="_1329__FDSAUDITLINK__" hidden="1">{"fdsup://Directions/FactSet Auditing Viewer?action=AUDIT_VALUE&amp;DB=129&amp;ID1=04743P10&amp;VALUEID=02001&amp;SDATE=200803&amp;PERIODTYPE=QTR_STD&amp;SCFT=3&amp;window=popup_no_bar&amp;width=385&amp;height=120&amp;START_MAXIMIZED=FALSE&amp;creator=factset&amp;display_string=Audit"}</definedName>
    <definedName name="_133__FDSAUDITLINK__" localSheetId="7" hidden="1">{"fdsup://Directions/FactSet Auditing Viewer?action=AUDIT_VALUE&amp;DB=129&amp;ID1=Y0486S10&amp;VALUEID=02001&amp;SDATE=201102&amp;PERIODTYPE=QTR_STD&amp;SCFT=3&amp;window=popup_no_bar&amp;width=385&amp;height=120&amp;START_MAXIMIZED=FALSE&amp;creator=factset&amp;display_string=Audit"}</definedName>
    <definedName name="_133__FDSAUDITLINK__" hidden="1">{"fdsup://Directions/FactSet Auditing Viewer?action=AUDIT_VALUE&amp;DB=129&amp;ID1=Y0486S10&amp;VALUEID=02001&amp;SDATE=201102&amp;PERIODTYPE=QTR_STD&amp;SCFT=3&amp;window=popup_no_bar&amp;width=385&amp;height=120&amp;START_MAXIMIZED=FALSE&amp;creator=factset&amp;display_string=Audit"}</definedName>
    <definedName name="_1330__FDSAUDITLINK__" localSheetId="7" hidden="1">{"fdsup://Directions/FactSet Auditing Viewer?action=AUDIT_VALUE&amp;DB=129&amp;ID1=04743P10&amp;VALUEID=02001&amp;SDATE=200803&amp;PERIODTYPE=QTR_STD&amp;SCFT=3&amp;window=popup_no_bar&amp;width=385&amp;height=120&amp;START_MAXIMIZED=FALSE&amp;creator=factset&amp;display_string=Audit"}</definedName>
    <definedName name="_1330__FDSAUDITLINK__" hidden="1">{"fdsup://Directions/FactSet Auditing Viewer?action=AUDIT_VALUE&amp;DB=129&amp;ID1=04743P10&amp;VALUEID=02001&amp;SDATE=200803&amp;PERIODTYPE=QTR_STD&amp;SCFT=3&amp;window=popup_no_bar&amp;width=385&amp;height=120&amp;START_MAXIMIZED=FALSE&amp;creator=factset&amp;display_string=Audit"}</definedName>
    <definedName name="_1331__FDSAUDITLINK__" localSheetId="7" hidden="1">{"fdsup://Directions/FactSet Auditing Viewer?action=AUDIT_VALUE&amp;DB=129&amp;ID1=03251510&amp;VALUEID=02001&amp;SDATE=200803&amp;PERIODTYPE=QTR_STD&amp;SCFT=3&amp;window=popup_no_bar&amp;width=385&amp;height=120&amp;START_MAXIMIZED=FALSE&amp;creator=factset&amp;display_string=Audit"}</definedName>
    <definedName name="_1331__FDSAUDITLINK__" hidden="1">{"fdsup://Directions/FactSet Auditing Viewer?action=AUDIT_VALUE&amp;DB=129&amp;ID1=03251510&amp;VALUEID=02001&amp;SDATE=200803&amp;PERIODTYPE=QTR_STD&amp;SCFT=3&amp;window=popup_no_bar&amp;width=385&amp;height=120&amp;START_MAXIMIZED=FALSE&amp;creator=factset&amp;display_string=Audit"}</definedName>
    <definedName name="_1332__FDSAUDITLINK__" localSheetId="7" hidden="1">{"fdsup://Directions/FactSet Auditing Viewer?action=AUDIT_VALUE&amp;DB=129&amp;ID1=03251510&amp;VALUEID=02001&amp;SDATE=200803&amp;PERIODTYPE=QTR_STD&amp;SCFT=3&amp;window=popup_no_bar&amp;width=385&amp;height=120&amp;START_MAXIMIZED=FALSE&amp;creator=factset&amp;display_string=Audit"}</definedName>
    <definedName name="_1332__FDSAUDITLINK__" hidden="1">{"fdsup://Directions/FactSet Auditing Viewer?action=AUDIT_VALUE&amp;DB=129&amp;ID1=03251510&amp;VALUEID=02001&amp;SDATE=200803&amp;PERIODTYPE=QTR_STD&amp;SCFT=3&amp;window=popup_no_bar&amp;width=385&amp;height=120&amp;START_MAXIMIZED=FALSE&amp;creator=factset&amp;display_string=Audit"}</definedName>
    <definedName name="_1333__FDSAUDITLINK__" localSheetId="7" hidden="1">{"fdsup://Directions/FactSet Auditing Viewer?action=AUDIT_VALUE&amp;DB=129&amp;ID1=00790310&amp;VALUEID=02001&amp;SDATE=200803&amp;PERIODTYPE=QTR_STD&amp;SCFT=3&amp;window=popup_no_bar&amp;width=385&amp;height=120&amp;START_MAXIMIZED=FALSE&amp;creator=factset&amp;display_string=Audit"}</definedName>
    <definedName name="_1333__FDSAUDITLINK__" hidden="1">{"fdsup://Directions/FactSet Auditing Viewer?action=AUDIT_VALUE&amp;DB=129&amp;ID1=00790310&amp;VALUEID=02001&amp;SDATE=200803&amp;PERIODTYPE=QTR_STD&amp;SCFT=3&amp;window=popup_no_bar&amp;width=385&amp;height=120&amp;START_MAXIMIZED=FALSE&amp;creator=factset&amp;display_string=Audit"}</definedName>
    <definedName name="_1334__FDSAUDITLINK__" localSheetId="7" hidden="1">{"fdsup://Directions/FactSet Auditing Viewer?action=AUDIT_VALUE&amp;DB=129&amp;ID1=00790310&amp;VALUEID=02001&amp;SDATE=200803&amp;PERIODTYPE=QTR_STD&amp;SCFT=3&amp;window=popup_no_bar&amp;width=385&amp;height=120&amp;START_MAXIMIZED=FALSE&amp;creator=factset&amp;display_string=Audit"}</definedName>
    <definedName name="_1334__FDSAUDITLINK__" hidden="1">{"fdsup://Directions/FactSet Auditing Viewer?action=AUDIT_VALUE&amp;DB=129&amp;ID1=00790310&amp;VALUEID=02001&amp;SDATE=200803&amp;PERIODTYPE=QTR_STD&amp;SCFT=3&amp;window=popup_no_bar&amp;width=385&amp;height=120&amp;START_MAXIMIZED=FALSE&amp;creator=factset&amp;display_string=Audit"}</definedName>
    <definedName name="_1335__FDSAUDITLINK__" localSheetId="7" hidden="1">{"fdsup://Directions/FactSet Auditing Viewer?action=AUDIT_VALUE&amp;DB=129&amp;ID1=03822W40&amp;VALUEID=02001&amp;SDATE=200802&amp;PERIODTYPE=QTR_STD&amp;SCFT=3&amp;window=popup_no_bar&amp;width=385&amp;height=120&amp;START_MAXIMIZED=FALSE&amp;creator=factset&amp;display_string=Audit"}</definedName>
    <definedName name="_1335__FDSAUDITLINK__" hidden="1">{"fdsup://Directions/FactSet Auditing Viewer?action=AUDIT_VALUE&amp;DB=129&amp;ID1=03822W40&amp;VALUEID=02001&amp;SDATE=200802&amp;PERIODTYPE=QTR_STD&amp;SCFT=3&amp;window=popup_no_bar&amp;width=385&amp;height=120&amp;START_MAXIMIZED=FALSE&amp;creator=factset&amp;display_string=Audit"}</definedName>
    <definedName name="_1336__FDSAUDITLINK__" localSheetId="7" hidden="1">{"fdsup://Directions/FactSet Auditing Viewer?action=AUDIT_VALUE&amp;DB=129&amp;ID1=03822W40&amp;VALUEID=02001&amp;SDATE=200802&amp;PERIODTYPE=QTR_STD&amp;SCFT=3&amp;window=popup_no_bar&amp;width=385&amp;height=120&amp;START_MAXIMIZED=FALSE&amp;creator=factset&amp;display_string=Audit"}</definedName>
    <definedName name="_1336__FDSAUDITLINK__" hidden="1">{"fdsup://Directions/FactSet Auditing Viewer?action=AUDIT_VALUE&amp;DB=129&amp;ID1=03822W40&amp;VALUEID=02001&amp;SDATE=200802&amp;PERIODTYPE=QTR_STD&amp;SCFT=3&amp;window=popup_no_bar&amp;width=385&amp;height=120&amp;START_MAXIMIZED=FALSE&amp;creator=factset&amp;display_string=Audit"}</definedName>
    <definedName name="_1337__FDSAUDITLINK__" localSheetId="7" hidden="1">{"fdsup://Directions/FactSet Auditing Viewer?action=AUDIT_VALUE&amp;DB=129&amp;ID1=02144110&amp;VALUEID=02001&amp;SDATE=200803&amp;PERIODTYPE=QTR_STD&amp;SCFT=3&amp;window=popup_no_bar&amp;width=385&amp;height=120&amp;START_MAXIMIZED=FALSE&amp;creator=factset&amp;display_string=Audit"}</definedName>
    <definedName name="_1337__FDSAUDITLINK__" hidden="1">{"fdsup://Directions/FactSet Auditing Viewer?action=AUDIT_VALUE&amp;DB=129&amp;ID1=02144110&amp;VALUEID=02001&amp;SDATE=200803&amp;PERIODTYPE=QTR_STD&amp;SCFT=3&amp;window=popup_no_bar&amp;width=385&amp;height=120&amp;START_MAXIMIZED=FALSE&amp;creator=factset&amp;display_string=Audit"}</definedName>
    <definedName name="_1338__FDSAUDITLINK__" localSheetId="7" hidden="1">{"fdsup://Directions/FactSet Auditing Viewer?action=AUDIT_VALUE&amp;DB=129&amp;ID1=02144110&amp;VALUEID=02001&amp;SDATE=200803&amp;PERIODTYPE=QTR_STD&amp;SCFT=3&amp;window=popup_no_bar&amp;width=385&amp;height=120&amp;START_MAXIMIZED=FALSE&amp;creator=factset&amp;display_string=Audit"}</definedName>
    <definedName name="_1338__FDSAUDITLINK__" hidden="1">{"fdsup://Directions/FactSet Auditing Viewer?action=AUDIT_VALUE&amp;DB=129&amp;ID1=02144110&amp;VALUEID=02001&amp;SDATE=200803&amp;PERIODTYPE=QTR_STD&amp;SCFT=3&amp;window=popup_no_bar&amp;width=385&amp;height=120&amp;START_MAXIMIZED=FALSE&amp;creator=factset&amp;display_string=Audit"}</definedName>
    <definedName name="_1339__FDSAUDITLINK__" localSheetId="7" hidden="1">{"fdsup://Directions/FactSet Auditing Viewer?action=AUDIT_VALUE&amp;DB=129&amp;ID1=00752J10&amp;VALUEID=02001&amp;SDATE=200803&amp;PERIODTYPE=QTR_STD&amp;SCFT=3&amp;window=popup_no_bar&amp;width=385&amp;height=120&amp;START_MAXIMIZED=FALSE&amp;creator=factset&amp;display_string=Audit"}</definedName>
    <definedName name="_1339__FDSAUDITLINK__" hidden="1">{"fdsup://Directions/FactSet Auditing Viewer?action=AUDIT_VALUE&amp;DB=129&amp;ID1=00752J10&amp;VALUEID=02001&amp;SDATE=200803&amp;PERIODTYPE=QTR_STD&amp;SCFT=3&amp;window=popup_no_bar&amp;width=385&amp;height=120&amp;START_MAXIMIZED=FALSE&amp;creator=factset&amp;display_string=Audit"}</definedName>
    <definedName name="_134__FDSAUDITLINK__" localSheetId="7" hidden="1">{"fdsup://Directions/FactSet Auditing Viewer?action=AUDIT_VALUE&amp;DB=129&amp;ID1=Y0486S10&amp;VALUEID=02001&amp;SDATE=201102&amp;PERIODTYPE=QTR_STD&amp;SCFT=3&amp;window=popup_no_bar&amp;width=385&amp;height=120&amp;START_MAXIMIZED=FALSE&amp;creator=factset&amp;display_string=Audit"}</definedName>
    <definedName name="_134__FDSAUDITLINK__" hidden="1">{"fdsup://Directions/FactSet Auditing Viewer?action=AUDIT_VALUE&amp;DB=129&amp;ID1=Y0486S10&amp;VALUEID=02001&amp;SDATE=201102&amp;PERIODTYPE=QTR_STD&amp;SCFT=3&amp;window=popup_no_bar&amp;width=385&amp;height=120&amp;START_MAXIMIZED=FALSE&amp;creator=factset&amp;display_string=Audit"}</definedName>
    <definedName name="_1340__FDSAUDITLINK__" localSheetId="7" hidden="1">{"fdsup://Directions/FactSet Auditing Viewer?action=AUDIT_VALUE&amp;DB=129&amp;ID1=00752J10&amp;VALUEID=02001&amp;SDATE=200803&amp;PERIODTYPE=QTR_STD&amp;SCFT=3&amp;window=popup_no_bar&amp;width=385&amp;height=120&amp;START_MAXIMIZED=FALSE&amp;creator=factset&amp;display_string=Audit"}</definedName>
    <definedName name="_1340__FDSAUDITLINK__" hidden="1">{"fdsup://Directions/FactSet Auditing Viewer?action=AUDIT_VALUE&amp;DB=129&amp;ID1=00752J10&amp;VALUEID=02001&amp;SDATE=200803&amp;PERIODTYPE=QTR_STD&amp;SCFT=3&amp;window=popup_no_bar&amp;width=385&amp;height=120&amp;START_MAXIMIZED=FALSE&amp;creator=factset&amp;display_string=Audit"}</definedName>
    <definedName name="_1341__FDSAUDITLINK__" localSheetId="7" hidden="1">{"fdsup://Directions/FactSet Auditing Viewer?action=AUDIT_VALUE&amp;DB=129&amp;ID1=98975F10&amp;VALUEID=02001&amp;SDATE=200802&amp;PERIODTYPE=QTR_STD&amp;SCFT=3&amp;window=popup_no_bar&amp;width=385&amp;height=120&amp;START_MAXIMIZED=FALSE&amp;creator=factset&amp;display_string=Audit"}</definedName>
    <definedName name="_1341__FDSAUDITLINK__" hidden="1">{"fdsup://Directions/FactSet Auditing Viewer?action=AUDIT_VALUE&amp;DB=129&amp;ID1=98975F10&amp;VALUEID=02001&amp;SDATE=200802&amp;PERIODTYPE=QTR_STD&amp;SCFT=3&amp;window=popup_no_bar&amp;width=385&amp;height=120&amp;START_MAXIMIZED=FALSE&amp;creator=factset&amp;display_string=Audit"}</definedName>
    <definedName name="_1342__FDSAUDITLINK__" localSheetId="7" hidden="1">{"fdsup://Directions/FactSet Auditing Viewer?action=AUDIT_VALUE&amp;DB=129&amp;ID1=98975F10&amp;VALUEID=02001&amp;SDATE=200802&amp;PERIODTYPE=QTR_STD&amp;SCFT=3&amp;window=popup_no_bar&amp;width=385&amp;height=120&amp;START_MAXIMIZED=FALSE&amp;creator=factset&amp;display_string=Audit"}</definedName>
    <definedName name="_1342__FDSAUDITLINK__" hidden="1">{"fdsup://Directions/FactSet Auditing Viewer?action=AUDIT_VALUE&amp;DB=129&amp;ID1=98975F10&amp;VALUEID=02001&amp;SDATE=200802&amp;PERIODTYPE=QTR_STD&amp;SCFT=3&amp;window=popup_no_bar&amp;width=385&amp;height=120&amp;START_MAXIMIZED=FALSE&amp;creator=factset&amp;display_string=Audit"}</definedName>
    <definedName name="_1343__FDSAUDITLINK__" localSheetId="7" hidden="1">{"fdsup://Directions/FactSet Auditing Viewer?action=AUDIT_VALUE&amp;DB=129&amp;ID1=98391910&amp;VALUEID=02001&amp;SDATE=200801&amp;PERIODTYPE=QTR_STD&amp;SCFT=3&amp;window=popup_no_bar&amp;width=385&amp;height=120&amp;START_MAXIMIZED=FALSE&amp;creator=factset&amp;display_string=Audit"}</definedName>
    <definedName name="_1343__FDSAUDITLINK__" hidden="1">{"fdsup://Directions/FactSet Auditing Viewer?action=AUDIT_VALUE&amp;DB=129&amp;ID1=98391910&amp;VALUEID=02001&amp;SDATE=200801&amp;PERIODTYPE=QTR_STD&amp;SCFT=3&amp;window=popup_no_bar&amp;width=385&amp;height=120&amp;START_MAXIMIZED=FALSE&amp;creator=factset&amp;display_string=Audit"}</definedName>
    <definedName name="_1344__FDSAUDITLINK__" localSheetId="7" hidden="1">{"fdsup://Directions/FactSet Auditing Viewer?action=AUDIT_VALUE&amp;DB=129&amp;ID1=98391910&amp;VALUEID=02001&amp;SDATE=200801&amp;PERIODTYPE=QTR_STD&amp;SCFT=3&amp;window=popup_no_bar&amp;width=385&amp;height=120&amp;START_MAXIMIZED=FALSE&amp;creator=factset&amp;display_string=Audit"}</definedName>
    <definedName name="_1344__FDSAUDITLINK__" hidden="1">{"fdsup://Directions/FactSet Auditing Viewer?action=AUDIT_VALUE&amp;DB=129&amp;ID1=98391910&amp;VALUEID=02001&amp;SDATE=200801&amp;PERIODTYPE=QTR_STD&amp;SCFT=3&amp;window=popup_no_bar&amp;width=385&amp;height=120&amp;START_MAXIMIZED=FALSE&amp;creator=factset&amp;display_string=Audit"}</definedName>
    <definedName name="_1345__FDSAUDITLINK__" localSheetId="7" hidden="1">{"fdsup://Directions/FactSet Auditing Viewer?action=AUDIT_VALUE&amp;DB=129&amp;ID1=92849730&amp;VALUEID=02001&amp;SDATE=200803&amp;PERIODTYPE=QTR_STD&amp;SCFT=3&amp;window=popup_no_bar&amp;width=385&amp;height=120&amp;START_MAXIMIZED=FALSE&amp;creator=factset&amp;display_string=Audit"}</definedName>
    <definedName name="_1345__FDSAUDITLINK__" hidden="1">{"fdsup://Directions/FactSet Auditing Viewer?action=AUDIT_VALUE&amp;DB=129&amp;ID1=92849730&amp;VALUEID=02001&amp;SDATE=200803&amp;PERIODTYPE=QTR_STD&amp;SCFT=3&amp;window=popup_no_bar&amp;width=385&amp;height=120&amp;START_MAXIMIZED=FALSE&amp;creator=factset&amp;display_string=Audit"}</definedName>
    <definedName name="_1346__FDSAUDITLINK__" localSheetId="7" hidden="1">{"fdsup://Directions/FactSet Auditing Viewer?action=AUDIT_VALUE&amp;DB=129&amp;ID1=92849730&amp;VALUEID=02001&amp;SDATE=200803&amp;PERIODTYPE=QTR_STD&amp;SCFT=3&amp;window=popup_no_bar&amp;width=385&amp;height=120&amp;START_MAXIMIZED=FALSE&amp;creator=factset&amp;display_string=Audit"}</definedName>
    <definedName name="_1346__FDSAUDITLINK__" hidden="1">{"fdsup://Directions/FactSet Auditing Viewer?action=AUDIT_VALUE&amp;DB=129&amp;ID1=92849730&amp;VALUEID=02001&amp;SDATE=200803&amp;PERIODTYPE=QTR_STD&amp;SCFT=3&amp;window=popup_no_bar&amp;width=385&amp;height=120&amp;START_MAXIMIZED=FALSE&amp;creator=factset&amp;display_string=Audit"}</definedName>
    <definedName name="_1347__FDSAUDITLINK__" localSheetId="7" hidden="1">{"fdsup://Directions/FactSet Auditing Viewer?action=AUDIT_VALUE&amp;DB=129&amp;ID1=92829810&amp;VALUEID=02001&amp;SDATE=200802&amp;PERIODTYPE=QTR_STD&amp;SCFT=3&amp;window=popup_no_bar&amp;width=385&amp;height=120&amp;START_MAXIMIZED=FALSE&amp;creator=factset&amp;display_string=Audit"}</definedName>
    <definedName name="_1347__FDSAUDITLINK__" hidden="1">{"fdsup://Directions/FactSet Auditing Viewer?action=AUDIT_VALUE&amp;DB=129&amp;ID1=92829810&amp;VALUEID=02001&amp;SDATE=200802&amp;PERIODTYPE=QTR_STD&amp;SCFT=3&amp;window=popup_no_bar&amp;width=385&amp;height=120&amp;START_MAXIMIZED=FALSE&amp;creator=factset&amp;display_string=Audit"}</definedName>
    <definedName name="_1348__FDSAUDITLINK__" localSheetId="7" hidden="1">{"fdsup://Directions/FactSet Auditing Viewer?action=AUDIT_VALUE&amp;DB=129&amp;ID1=92829810&amp;VALUEID=02001&amp;SDATE=200802&amp;PERIODTYPE=QTR_STD&amp;SCFT=3&amp;window=popup_no_bar&amp;width=385&amp;height=120&amp;START_MAXIMIZED=FALSE&amp;creator=factset&amp;display_string=Audit"}</definedName>
    <definedName name="_1348__FDSAUDITLINK__" hidden="1">{"fdsup://Directions/FactSet Auditing Viewer?action=AUDIT_VALUE&amp;DB=129&amp;ID1=92829810&amp;VALUEID=02001&amp;SDATE=200802&amp;PERIODTYPE=QTR_STD&amp;SCFT=3&amp;window=popup_no_bar&amp;width=385&amp;height=120&amp;START_MAXIMIZED=FALSE&amp;creator=factset&amp;display_string=Audit"}</definedName>
    <definedName name="_1349__FDSAUDITLINK__" localSheetId="7" hidden="1">{"fdsup://Directions/FactSet Auditing Viewer?action=AUDIT_VALUE&amp;DB=129&amp;ID1=88250810&amp;VALUEID=02001&amp;SDATE=200802&amp;PERIODTYPE=QTR_STD&amp;SCFT=3&amp;window=popup_no_bar&amp;width=385&amp;height=120&amp;START_MAXIMIZED=FALSE&amp;creator=factset&amp;display_string=Audit"}</definedName>
    <definedName name="_1349__FDSAUDITLINK__" hidden="1">{"fdsup://Directions/FactSet Auditing Viewer?action=AUDIT_VALUE&amp;DB=129&amp;ID1=88250810&amp;VALUEID=02001&amp;SDATE=200802&amp;PERIODTYPE=QTR_STD&amp;SCFT=3&amp;window=popup_no_bar&amp;width=385&amp;height=120&amp;START_MAXIMIZED=FALSE&amp;creator=factset&amp;display_string=Audit"}</definedName>
    <definedName name="_135__FDSAUDITLINK__" localSheetId="7" hidden="1">{"fdsup://Directions/FactSet Auditing Viewer?action=AUDIT_VALUE&amp;DB=129&amp;ID1=04743P10&amp;VALUEID=02001&amp;SDATE=201101&amp;PERIODTYPE=QTR_STD&amp;SCFT=3&amp;window=popup_no_bar&amp;width=385&amp;height=120&amp;START_MAXIMIZED=FALSE&amp;creator=factset&amp;display_string=Audit"}</definedName>
    <definedName name="_135__FDSAUDITLINK__" hidden="1">{"fdsup://Directions/FactSet Auditing Viewer?action=AUDIT_VALUE&amp;DB=129&amp;ID1=04743P10&amp;VALUEID=02001&amp;SDATE=201101&amp;PERIODTYPE=QTR_STD&amp;SCFT=3&amp;window=popup_no_bar&amp;width=385&amp;height=120&amp;START_MAXIMIZED=FALSE&amp;creator=factset&amp;display_string=Audit"}</definedName>
    <definedName name="_1350__FDSAUDITLINK__" localSheetId="7" hidden="1">{"fdsup://Directions/FactSet Auditing Viewer?action=AUDIT_VALUE&amp;DB=129&amp;ID1=88250810&amp;VALUEID=02001&amp;SDATE=200802&amp;PERIODTYPE=QTR_STD&amp;SCFT=3&amp;window=popup_no_bar&amp;width=385&amp;height=120&amp;START_MAXIMIZED=FALSE&amp;creator=factset&amp;display_string=Audit"}</definedName>
    <definedName name="_1350__FDSAUDITLINK__" hidden="1">{"fdsup://Directions/FactSet Auditing Viewer?action=AUDIT_VALUE&amp;DB=129&amp;ID1=88250810&amp;VALUEID=02001&amp;SDATE=200802&amp;PERIODTYPE=QTR_STD&amp;SCFT=3&amp;window=popup_no_bar&amp;width=385&amp;height=120&amp;START_MAXIMIZED=FALSE&amp;creator=factset&amp;display_string=Audit"}</definedName>
    <definedName name="_1351__FDSAUDITLINK__" localSheetId="7" hidden="1">{"fdsup://Directions/FactSet Auditing Viewer?action=AUDIT_VALUE&amp;DB=129&amp;ID1=89674K10&amp;VALUEID=02001&amp;SDATE=200802&amp;PERIODTYPE=QTR_STD&amp;SCFT=3&amp;window=popup_no_bar&amp;width=385&amp;height=120&amp;START_MAXIMIZED=FALSE&amp;creator=factset&amp;display_string=Audit"}</definedName>
    <definedName name="_1351__FDSAUDITLINK__" hidden="1">{"fdsup://Directions/FactSet Auditing Viewer?action=AUDIT_VALUE&amp;DB=129&amp;ID1=89674K10&amp;VALUEID=02001&amp;SDATE=200802&amp;PERIODTYPE=QTR_STD&amp;SCFT=3&amp;window=popup_no_bar&amp;width=385&amp;height=120&amp;START_MAXIMIZED=FALSE&amp;creator=factset&amp;display_string=Audit"}</definedName>
    <definedName name="_1352__FDSAUDITLINK__" localSheetId="7" hidden="1">{"fdsup://Directions/FactSet Auditing Viewer?action=AUDIT_VALUE&amp;DB=129&amp;ID1=89674K10&amp;VALUEID=02001&amp;SDATE=200802&amp;PERIODTYPE=QTR_STD&amp;SCFT=3&amp;window=popup_no_bar&amp;width=385&amp;height=120&amp;START_MAXIMIZED=FALSE&amp;creator=factset&amp;display_string=Audit"}</definedName>
    <definedName name="_1352__FDSAUDITLINK__" hidden="1">{"fdsup://Directions/FactSet Auditing Viewer?action=AUDIT_VALUE&amp;DB=129&amp;ID1=89674K10&amp;VALUEID=02001&amp;SDATE=200802&amp;PERIODTYPE=QTR_STD&amp;SCFT=3&amp;window=popup_no_bar&amp;width=385&amp;height=120&amp;START_MAXIMIZED=FALSE&amp;creator=factset&amp;display_string=Audit"}</definedName>
    <definedName name="_1353__FDSAUDITLINK__" localSheetId="7" hidden="1">{"fdsup://Directions/FactSet Auditing Viewer?action=AUDIT_VALUE&amp;DB=129&amp;ID1=83088M10&amp;VALUEID=02001&amp;SDATE=200803&amp;PERIODTYPE=QTR_STD&amp;SCFT=3&amp;window=popup_no_bar&amp;width=385&amp;height=120&amp;START_MAXIMIZED=FALSE&amp;creator=factset&amp;display_string=Audit"}</definedName>
    <definedName name="_1353__FDSAUDITLINK__" hidden="1">{"fdsup://Directions/FactSet Auditing Viewer?action=AUDIT_VALUE&amp;DB=129&amp;ID1=83088M10&amp;VALUEID=02001&amp;SDATE=200803&amp;PERIODTYPE=QTR_STD&amp;SCFT=3&amp;window=popup_no_bar&amp;width=385&amp;height=120&amp;START_MAXIMIZED=FALSE&amp;creator=factset&amp;display_string=Audit"}</definedName>
    <definedName name="_1354__FDSAUDITLINK__" localSheetId="7" hidden="1">{"fdsup://Directions/FactSet Auditing Viewer?action=AUDIT_VALUE&amp;DB=129&amp;ID1=83088M10&amp;VALUEID=02001&amp;SDATE=200803&amp;PERIODTYPE=QTR_STD&amp;SCFT=3&amp;window=popup_no_bar&amp;width=385&amp;height=120&amp;START_MAXIMIZED=FALSE&amp;creator=factset&amp;display_string=Audit"}</definedName>
    <definedName name="_1354__FDSAUDITLINK__" hidden="1">{"fdsup://Directions/FactSet Auditing Viewer?action=AUDIT_VALUE&amp;DB=129&amp;ID1=83088M10&amp;VALUEID=02001&amp;SDATE=200803&amp;PERIODTYPE=QTR_STD&amp;SCFT=3&amp;window=popup_no_bar&amp;width=385&amp;height=120&amp;START_MAXIMIZED=FALSE&amp;creator=factset&amp;display_string=Audit"}</definedName>
    <definedName name="_1355__FDSAUDITLINK__" localSheetId="7" hidden="1">{"fdsup://Directions/FactSet Auditing Viewer?action=AUDIT_VALUE&amp;DB=129&amp;ID1=78477410&amp;VALUEID=02001&amp;SDATE=200802&amp;PERIODTYPE=QTR_STD&amp;SCFT=3&amp;window=popup_no_bar&amp;width=385&amp;height=120&amp;START_MAXIMIZED=FALSE&amp;creator=factset&amp;display_string=Audit"}</definedName>
    <definedName name="_1355__FDSAUDITLINK__" hidden="1">{"fdsup://Directions/FactSet Auditing Viewer?action=AUDIT_VALUE&amp;DB=129&amp;ID1=78477410&amp;VALUEID=02001&amp;SDATE=200802&amp;PERIODTYPE=QTR_STD&amp;SCFT=3&amp;window=popup_no_bar&amp;width=385&amp;height=120&amp;START_MAXIMIZED=FALSE&amp;creator=factset&amp;display_string=Audit"}</definedName>
    <definedName name="_1356__FDSAUDITLINK__" localSheetId="7" hidden="1">{"fdsup://Directions/FactSet Auditing Viewer?action=AUDIT_VALUE&amp;DB=129&amp;ID1=78477410&amp;VALUEID=02001&amp;SDATE=200802&amp;PERIODTYPE=QTR_STD&amp;SCFT=3&amp;window=popup_no_bar&amp;width=385&amp;height=120&amp;START_MAXIMIZED=FALSE&amp;creator=factset&amp;display_string=Audit"}</definedName>
    <definedName name="_1356__FDSAUDITLINK__" hidden="1">{"fdsup://Directions/FactSet Auditing Viewer?action=AUDIT_VALUE&amp;DB=129&amp;ID1=78477410&amp;VALUEID=02001&amp;SDATE=200802&amp;PERIODTYPE=QTR_STD&amp;SCFT=3&amp;window=popup_no_bar&amp;width=385&amp;height=120&amp;START_MAXIMIZED=FALSE&amp;creator=factset&amp;display_string=Audit"}</definedName>
    <definedName name="_1357__FDSAUDITLINK__" localSheetId="7" hidden="1">{"fdsup://Directions/FactSet Auditing Viewer?action=AUDIT_VALUE&amp;DB=129&amp;ID1=82705710&amp;VALUEID=02001&amp;SDATE=200802&amp;PERIODTYPE=QTR_STD&amp;SCFT=3&amp;window=popup_no_bar&amp;width=385&amp;height=120&amp;START_MAXIMIZED=FALSE&amp;creator=factset&amp;display_string=Audit"}</definedName>
    <definedName name="_1357__FDSAUDITLINK__" hidden="1">{"fdsup://Directions/FactSet Auditing Viewer?action=AUDIT_VALUE&amp;DB=129&amp;ID1=82705710&amp;VALUEID=02001&amp;SDATE=200802&amp;PERIODTYPE=QTR_STD&amp;SCFT=3&amp;window=popup_no_bar&amp;width=385&amp;height=120&amp;START_MAXIMIZED=FALSE&amp;creator=factset&amp;display_string=Audit"}</definedName>
    <definedName name="_1358__FDSAUDITLINK__" localSheetId="7" hidden="1">{"fdsup://Directions/FactSet Auditing Viewer?action=AUDIT_VALUE&amp;DB=129&amp;ID1=82705710&amp;VALUEID=02001&amp;SDATE=200802&amp;PERIODTYPE=QTR_STD&amp;SCFT=3&amp;window=popup_no_bar&amp;width=385&amp;height=120&amp;START_MAXIMIZED=FALSE&amp;creator=factset&amp;display_string=Audit"}</definedName>
    <definedName name="_1358__FDSAUDITLINK__" hidden="1">{"fdsup://Directions/FactSet Auditing Viewer?action=AUDIT_VALUE&amp;DB=129&amp;ID1=82705710&amp;VALUEID=02001&amp;SDATE=200802&amp;PERIODTYPE=QTR_STD&amp;SCFT=3&amp;window=popup_no_bar&amp;width=385&amp;height=120&amp;START_MAXIMIZED=FALSE&amp;creator=factset&amp;display_string=Audit"}</definedName>
    <definedName name="_1359__FDSAUDITLINK__" localSheetId="7" hidden="1">{"fdsup://Directions/FactSet Auditing Viewer?action=AUDIT_VALUE&amp;DB=129&amp;ID1=83547010&amp;VALUEID=02001&amp;SDATE=200802&amp;PERIODTYPE=QTR_STD&amp;SCFT=3&amp;window=popup_no_bar&amp;width=385&amp;height=120&amp;START_MAXIMIZED=FALSE&amp;creator=factset&amp;display_string=Audit"}</definedName>
    <definedName name="_1359__FDSAUDITLINK__" hidden="1">{"fdsup://Directions/FactSet Auditing Viewer?action=AUDIT_VALUE&amp;DB=129&amp;ID1=83547010&amp;VALUEID=02001&amp;SDATE=200802&amp;PERIODTYPE=QTR_STD&amp;SCFT=3&amp;window=popup_no_bar&amp;width=385&amp;height=120&amp;START_MAXIMIZED=FALSE&amp;creator=factset&amp;display_string=Audit"}</definedName>
    <definedName name="_136__FDSAUDITLINK__" localSheetId="7" hidden="1">{"fdsup://Directions/FactSet Auditing Viewer?action=AUDIT_VALUE&amp;DB=129&amp;ID1=04743P10&amp;VALUEID=02001&amp;SDATE=201101&amp;PERIODTYPE=QTR_STD&amp;SCFT=3&amp;window=popup_no_bar&amp;width=385&amp;height=120&amp;START_MAXIMIZED=FALSE&amp;creator=factset&amp;display_string=Audit"}</definedName>
    <definedName name="_136__FDSAUDITLINK__" hidden="1">{"fdsup://Directions/FactSet Auditing Viewer?action=AUDIT_VALUE&amp;DB=129&amp;ID1=04743P10&amp;VALUEID=02001&amp;SDATE=201101&amp;PERIODTYPE=QTR_STD&amp;SCFT=3&amp;window=popup_no_bar&amp;width=385&amp;height=120&amp;START_MAXIMIZED=FALSE&amp;creator=factset&amp;display_string=Audit"}</definedName>
    <definedName name="_1360__FDSAUDITLINK__" localSheetId="7" hidden="1">{"fdsup://Directions/FactSet Auditing Viewer?action=AUDIT_VALUE&amp;DB=129&amp;ID1=83547010&amp;VALUEID=02001&amp;SDATE=200802&amp;PERIODTYPE=QTR_STD&amp;SCFT=3&amp;window=popup_no_bar&amp;width=385&amp;height=120&amp;START_MAXIMIZED=FALSE&amp;creator=factset&amp;display_string=Audit"}</definedName>
    <definedName name="_1360__FDSAUDITLINK__" hidden="1">{"fdsup://Directions/FactSet Auditing Viewer?action=AUDIT_VALUE&amp;DB=129&amp;ID1=83547010&amp;VALUEID=02001&amp;SDATE=200802&amp;PERIODTYPE=QTR_STD&amp;SCFT=3&amp;window=popup_no_bar&amp;width=385&amp;height=120&amp;START_MAXIMIZED=FALSE&amp;creator=factset&amp;display_string=Audit"}</definedName>
    <definedName name="_1361__FDSAUDITLINK__" localSheetId="7" hidden="1">{"fdsup://Directions/FactSet Auditing Viewer?action=AUDIT_VALUE&amp;DB=129&amp;ID1=87160710&amp;VALUEID=02001&amp;SDATE=200803&amp;PERIODTYPE=QTR_STD&amp;SCFT=3&amp;window=popup_no_bar&amp;width=385&amp;height=120&amp;START_MAXIMIZED=FALSE&amp;creator=factset&amp;display_string=Audit"}</definedName>
    <definedName name="_1361__FDSAUDITLINK__" hidden="1">{"fdsup://Directions/FactSet Auditing Viewer?action=AUDIT_VALUE&amp;DB=129&amp;ID1=87160710&amp;VALUEID=02001&amp;SDATE=200803&amp;PERIODTYPE=QTR_STD&amp;SCFT=3&amp;window=popup_no_bar&amp;width=385&amp;height=120&amp;START_MAXIMIZED=FALSE&amp;creator=factset&amp;display_string=Audit"}</definedName>
    <definedName name="_1362__FDSAUDITLINK__" localSheetId="7" hidden="1">{"fdsup://Directions/FactSet Auditing Viewer?action=AUDIT_VALUE&amp;DB=129&amp;ID1=87160710&amp;VALUEID=02001&amp;SDATE=200803&amp;PERIODTYPE=QTR_STD&amp;SCFT=3&amp;window=popup_no_bar&amp;width=385&amp;height=120&amp;START_MAXIMIZED=FALSE&amp;creator=factset&amp;display_string=Audit"}</definedName>
    <definedName name="_1362__FDSAUDITLINK__" hidden="1">{"fdsup://Directions/FactSet Auditing Viewer?action=AUDIT_VALUE&amp;DB=129&amp;ID1=87160710&amp;VALUEID=02001&amp;SDATE=200803&amp;PERIODTYPE=QTR_STD&amp;SCFT=3&amp;window=popup_no_bar&amp;width=385&amp;height=120&amp;START_MAXIMIZED=FALSE&amp;creator=factset&amp;display_string=Audit"}</definedName>
    <definedName name="_1363__FDSAUDITLINK__" localSheetId="7" hidden="1">{"fdsup://Directions/FactSet Auditing Viewer?action=AUDIT_VALUE&amp;DB=129&amp;ID1=80004C10&amp;VALUEID=02001&amp;SDATE=200802&amp;PERIODTYPE=QTR_STD&amp;SCFT=3&amp;window=popup_no_bar&amp;width=385&amp;height=120&amp;START_MAXIMIZED=FALSE&amp;creator=factset&amp;display_string=Audit"}</definedName>
    <definedName name="_1363__FDSAUDITLINK__" hidden="1">{"fdsup://Directions/FactSet Auditing Viewer?action=AUDIT_VALUE&amp;DB=129&amp;ID1=80004C10&amp;VALUEID=02001&amp;SDATE=200802&amp;PERIODTYPE=QTR_STD&amp;SCFT=3&amp;window=popup_no_bar&amp;width=385&amp;height=120&amp;START_MAXIMIZED=FALSE&amp;creator=factset&amp;display_string=Audit"}</definedName>
    <definedName name="_1364__FDSAUDITLINK__" localSheetId="7" hidden="1">{"fdsup://Directions/FactSet Auditing Viewer?action=AUDIT_VALUE&amp;DB=129&amp;ID1=80004C10&amp;VALUEID=02001&amp;SDATE=200802&amp;PERIODTYPE=QTR_STD&amp;SCFT=3&amp;window=popup_no_bar&amp;width=385&amp;height=120&amp;START_MAXIMIZED=FALSE&amp;creator=factset&amp;display_string=Audit"}</definedName>
    <definedName name="_1364__FDSAUDITLINK__" hidden="1">{"fdsup://Directions/FactSet Auditing Viewer?action=AUDIT_VALUE&amp;DB=129&amp;ID1=80004C10&amp;VALUEID=02001&amp;SDATE=200802&amp;PERIODTYPE=QTR_STD&amp;SCFT=3&amp;window=popup_no_bar&amp;width=385&amp;height=120&amp;START_MAXIMIZED=FALSE&amp;creator=factset&amp;display_string=Audit"}</definedName>
    <definedName name="_1365__FDSAUDITLINK__" localSheetId="7" hidden="1">{"fdsup://Directions/FactSet Auditing Viewer?action=AUDIT_VALUE&amp;DB=129&amp;ID1=81685010&amp;VALUEID=02001&amp;SDATE=200802&amp;PERIODTYPE=QTR_STD&amp;SCFT=3&amp;window=popup_no_bar&amp;width=385&amp;height=120&amp;START_MAXIMIZED=FALSE&amp;creator=factset&amp;display_string=Audit"}</definedName>
    <definedName name="_1365__FDSAUDITLINK__" hidden="1">{"fdsup://Directions/FactSet Auditing Viewer?action=AUDIT_VALUE&amp;DB=129&amp;ID1=81685010&amp;VALUEID=02001&amp;SDATE=200802&amp;PERIODTYPE=QTR_STD&amp;SCFT=3&amp;window=popup_no_bar&amp;width=385&amp;height=120&amp;START_MAXIMIZED=FALSE&amp;creator=factset&amp;display_string=Audit"}</definedName>
    <definedName name="_1366__FDSAUDITLINK__" localSheetId="7" hidden="1">{"fdsup://Directions/FactSet Auditing Viewer?action=AUDIT_VALUE&amp;DB=129&amp;ID1=81685010&amp;VALUEID=02001&amp;SDATE=200802&amp;PERIODTYPE=QTR_STD&amp;SCFT=3&amp;window=popup_no_bar&amp;width=385&amp;height=120&amp;START_MAXIMIZED=FALSE&amp;creator=factset&amp;display_string=Audit"}</definedName>
    <definedName name="_1366__FDSAUDITLINK__" hidden="1">{"fdsup://Directions/FactSet Auditing Viewer?action=AUDIT_VALUE&amp;DB=129&amp;ID1=81685010&amp;VALUEID=02001&amp;SDATE=200802&amp;PERIODTYPE=QTR_STD&amp;SCFT=3&amp;window=popup_no_bar&amp;width=385&amp;height=120&amp;START_MAXIMIZED=FALSE&amp;creator=factset&amp;display_string=Audit"}</definedName>
    <definedName name="_1367__FDSAUDITLINK__" localSheetId="7" hidden="1">{"fdsup://Directions/FactSet Auditing Viewer?action=AUDIT_VALUE&amp;DB=129&amp;ID1=82691910&amp;VALUEID=02001&amp;SDATE=200802&amp;PERIODTYPE=QTR_STD&amp;SCFT=3&amp;window=popup_no_bar&amp;width=385&amp;height=120&amp;START_MAXIMIZED=FALSE&amp;creator=factset&amp;display_string=Audit"}</definedName>
    <definedName name="_1367__FDSAUDITLINK__" hidden="1">{"fdsup://Directions/FactSet Auditing Viewer?action=AUDIT_VALUE&amp;DB=129&amp;ID1=82691910&amp;VALUEID=02001&amp;SDATE=200802&amp;PERIODTYPE=QTR_STD&amp;SCFT=3&amp;window=popup_no_bar&amp;width=385&amp;height=120&amp;START_MAXIMIZED=FALSE&amp;creator=factset&amp;display_string=Audit"}</definedName>
    <definedName name="_1368__FDSAUDITLINK__" localSheetId="7" hidden="1">{"fdsup://Directions/FactSet Auditing Viewer?action=AUDIT_VALUE&amp;DB=129&amp;ID1=82691910&amp;VALUEID=02001&amp;SDATE=200802&amp;PERIODTYPE=QTR_STD&amp;SCFT=3&amp;window=popup_no_bar&amp;width=385&amp;height=120&amp;START_MAXIMIZED=FALSE&amp;creator=factset&amp;display_string=Audit"}</definedName>
    <definedName name="_1368__FDSAUDITLINK__" hidden="1">{"fdsup://Directions/FactSet Auditing Viewer?action=AUDIT_VALUE&amp;DB=129&amp;ID1=82691910&amp;VALUEID=02001&amp;SDATE=200802&amp;PERIODTYPE=QTR_STD&amp;SCFT=3&amp;window=popup_no_bar&amp;width=385&amp;height=120&amp;START_MAXIMIZED=FALSE&amp;creator=factset&amp;display_string=Audit"}</definedName>
    <definedName name="_1369__FDSAUDITLINK__" localSheetId="7" hidden="1">{"fdsup://Directions/FactSet Auditing Viewer?action=AUDIT_VALUE&amp;DB=129&amp;ID1=82705T10&amp;VALUEID=02001&amp;SDATE=200802&amp;PERIODTYPE=QTR_STD&amp;SCFT=3&amp;window=popup_no_bar&amp;width=385&amp;height=120&amp;START_MAXIMIZED=FALSE&amp;creator=factset&amp;display_string=Audit"}</definedName>
    <definedName name="_1369__FDSAUDITLINK__" hidden="1">{"fdsup://Directions/FactSet Auditing Viewer?action=AUDIT_VALUE&amp;DB=129&amp;ID1=82705T10&amp;VALUEID=02001&amp;SDATE=200802&amp;PERIODTYPE=QTR_STD&amp;SCFT=3&amp;window=popup_no_bar&amp;width=385&amp;height=120&amp;START_MAXIMIZED=FALSE&amp;creator=factset&amp;display_string=Audit"}</definedName>
    <definedName name="_137__FDSAUDITLINK__" localSheetId="7" hidden="1">{"fdsup://Directions/FactSet Auditing Viewer?action=AUDIT_VALUE&amp;DB=129&amp;ID1=03251510&amp;VALUEID=02001&amp;SDATE=201101&amp;PERIODTYPE=QTR_STD&amp;SCFT=3&amp;window=popup_no_bar&amp;width=385&amp;height=120&amp;START_MAXIMIZED=FALSE&amp;creator=factset&amp;display_string=Audit"}</definedName>
    <definedName name="_137__FDSAUDITLINK__" hidden="1">{"fdsup://Directions/FactSet Auditing Viewer?action=AUDIT_VALUE&amp;DB=129&amp;ID1=03251510&amp;VALUEID=02001&amp;SDATE=201101&amp;PERIODTYPE=QTR_STD&amp;SCFT=3&amp;window=popup_no_bar&amp;width=385&amp;height=120&amp;START_MAXIMIZED=FALSE&amp;creator=factset&amp;display_string=Audit"}</definedName>
    <definedName name="_1370__FDSAUDITLINK__" localSheetId="7" hidden="1">{"fdsup://Directions/FactSet Auditing Viewer?action=AUDIT_VALUE&amp;DB=129&amp;ID1=82705T10&amp;VALUEID=02001&amp;SDATE=200802&amp;PERIODTYPE=QTR_STD&amp;SCFT=3&amp;window=popup_no_bar&amp;width=385&amp;height=120&amp;START_MAXIMIZED=FALSE&amp;creator=factset&amp;display_string=Audit"}</definedName>
    <definedName name="_1370__FDSAUDITLINK__" hidden="1">{"fdsup://Directions/FactSet Auditing Viewer?action=AUDIT_VALUE&amp;DB=129&amp;ID1=82705T10&amp;VALUEID=02001&amp;SDATE=200802&amp;PERIODTYPE=QTR_STD&amp;SCFT=3&amp;window=popup_no_bar&amp;width=385&amp;height=120&amp;START_MAXIMIZED=FALSE&amp;creator=factset&amp;display_string=Audit"}</definedName>
    <definedName name="_1371__FDSAUDITLINK__" localSheetId="7" hidden="1">{"fdsup://Directions/FactSet Auditing Viewer?action=AUDIT_VALUE&amp;DB=129&amp;ID1=75091710&amp;VALUEID=02001&amp;SDATE=200802&amp;PERIODTYPE=QTR_STD&amp;SCFT=3&amp;window=popup_no_bar&amp;width=385&amp;height=120&amp;START_MAXIMIZED=FALSE&amp;creator=factset&amp;display_string=Audit"}</definedName>
    <definedName name="_1371__FDSAUDITLINK__" hidden="1">{"fdsup://Directions/FactSet Auditing Viewer?action=AUDIT_VALUE&amp;DB=129&amp;ID1=75091710&amp;VALUEID=02001&amp;SDATE=200802&amp;PERIODTYPE=QTR_STD&amp;SCFT=3&amp;window=popup_no_bar&amp;width=385&amp;height=120&amp;START_MAXIMIZED=FALSE&amp;creator=factset&amp;display_string=Audit"}</definedName>
    <definedName name="_1372__FDSAUDITLINK__" localSheetId="7" hidden="1">{"fdsup://Directions/FactSet Auditing Viewer?action=AUDIT_VALUE&amp;DB=129&amp;ID1=75091710&amp;VALUEID=02001&amp;SDATE=200802&amp;PERIODTYPE=QTR_STD&amp;SCFT=3&amp;window=popup_no_bar&amp;width=385&amp;height=120&amp;START_MAXIMIZED=FALSE&amp;creator=factset&amp;display_string=Audit"}</definedName>
    <definedName name="_1372__FDSAUDITLINK__" hidden="1">{"fdsup://Directions/FactSet Auditing Viewer?action=AUDIT_VALUE&amp;DB=129&amp;ID1=75091710&amp;VALUEID=02001&amp;SDATE=200802&amp;PERIODTYPE=QTR_STD&amp;SCFT=3&amp;window=popup_no_bar&amp;width=385&amp;height=120&amp;START_MAXIMIZED=FALSE&amp;creator=factset&amp;display_string=Audit"}</definedName>
    <definedName name="_1373__FDSAUDITLINK__" localSheetId="7" hidden="1">{"fdsup://Directions/FactSet Auditing Viewer?action=AUDIT_VALUE&amp;DB=129&amp;ID1=74994110&amp;VALUEID=02001&amp;SDATE=200801&amp;PERIODTYPE=QTR_STD&amp;SCFT=3&amp;window=popup_no_bar&amp;width=385&amp;height=120&amp;START_MAXIMIZED=FALSE&amp;creator=factset&amp;display_string=Audit"}</definedName>
    <definedName name="_1373__FDSAUDITLINK__" hidden="1">{"fdsup://Directions/FactSet Auditing Viewer?action=AUDIT_VALUE&amp;DB=129&amp;ID1=74994110&amp;VALUEID=02001&amp;SDATE=200801&amp;PERIODTYPE=QTR_STD&amp;SCFT=3&amp;window=popup_no_bar&amp;width=385&amp;height=120&amp;START_MAXIMIZED=FALSE&amp;creator=factset&amp;display_string=Audit"}</definedName>
    <definedName name="_1374__FDSAUDITLINK__" localSheetId="7" hidden="1">{"fdsup://Directions/FactSet Auditing Viewer?action=AUDIT_VALUE&amp;DB=129&amp;ID1=74994110&amp;VALUEID=02001&amp;SDATE=200801&amp;PERIODTYPE=QTR_STD&amp;SCFT=3&amp;window=popup_no_bar&amp;width=385&amp;height=120&amp;START_MAXIMIZED=FALSE&amp;creator=factset&amp;display_string=Audit"}</definedName>
    <definedName name="_1374__FDSAUDITLINK__" hidden="1">{"fdsup://Directions/FactSet Auditing Viewer?action=AUDIT_VALUE&amp;DB=129&amp;ID1=74994110&amp;VALUEID=02001&amp;SDATE=200801&amp;PERIODTYPE=QTR_STD&amp;SCFT=3&amp;window=popup_no_bar&amp;width=385&amp;height=120&amp;START_MAXIMIZED=FALSE&amp;creator=factset&amp;display_string=Audit"}</definedName>
    <definedName name="_1375__FDSAUDITLINK__" localSheetId="7" hidden="1">{"fdsup://Directions/FactSet Auditing Viewer?action=AUDIT_VALUE&amp;DB=129&amp;ID1=74727710&amp;VALUEID=02001&amp;SDATE=200801&amp;PERIODTYPE=QTR_STD&amp;SCFT=3&amp;window=popup_no_bar&amp;width=385&amp;height=120&amp;START_MAXIMIZED=FALSE&amp;creator=factset&amp;display_string=Audit"}</definedName>
    <definedName name="_1375__FDSAUDITLINK__" hidden="1">{"fdsup://Directions/FactSet Auditing Viewer?action=AUDIT_VALUE&amp;DB=129&amp;ID1=74727710&amp;VALUEID=02001&amp;SDATE=200801&amp;PERIODTYPE=QTR_STD&amp;SCFT=3&amp;window=popup_no_bar&amp;width=385&amp;height=120&amp;START_MAXIMIZED=FALSE&amp;creator=factset&amp;display_string=Audit"}</definedName>
    <definedName name="_1376__FDSAUDITLINK__" localSheetId="7" hidden="1">{"fdsup://Directions/FactSet Auditing Viewer?action=AUDIT_VALUE&amp;DB=129&amp;ID1=74727710&amp;VALUEID=02001&amp;SDATE=200801&amp;PERIODTYPE=QTR_STD&amp;SCFT=3&amp;window=popup_no_bar&amp;width=385&amp;height=120&amp;START_MAXIMIZED=FALSE&amp;creator=factset&amp;display_string=Audit"}</definedName>
    <definedName name="_1376__FDSAUDITLINK__" hidden="1">{"fdsup://Directions/FactSet Auditing Viewer?action=AUDIT_VALUE&amp;DB=129&amp;ID1=74727710&amp;VALUEID=02001&amp;SDATE=200801&amp;PERIODTYPE=QTR_STD&amp;SCFT=3&amp;window=popup_no_bar&amp;width=385&amp;height=120&amp;START_MAXIMIZED=FALSE&amp;creator=factset&amp;display_string=Audit"}</definedName>
    <definedName name="_1377__FDSAUDITLINK__" localSheetId="7" hidden="1">{"fdsup://Directions/FactSet Auditing Viewer?action=AUDIT_VALUE&amp;DB=129&amp;ID1=74752510&amp;VALUEID=02001&amp;SDATE=200803&amp;PERIODTYPE=QTR_STD&amp;SCFT=3&amp;window=popup_no_bar&amp;width=385&amp;height=120&amp;START_MAXIMIZED=FALSE&amp;creator=factset&amp;display_string=Audit"}</definedName>
    <definedName name="_1377__FDSAUDITLINK__" hidden="1">{"fdsup://Directions/FactSet Auditing Viewer?action=AUDIT_VALUE&amp;DB=129&amp;ID1=74752510&amp;VALUEID=02001&amp;SDATE=200803&amp;PERIODTYPE=QTR_STD&amp;SCFT=3&amp;window=popup_no_bar&amp;width=385&amp;height=120&amp;START_MAXIMIZED=FALSE&amp;creator=factset&amp;display_string=Audit"}</definedName>
    <definedName name="_1378__FDSAUDITLINK__" localSheetId="7" hidden="1">{"fdsup://Directions/FactSet Auditing Viewer?action=AUDIT_VALUE&amp;DB=129&amp;ID1=74752510&amp;VALUEID=02001&amp;SDATE=200803&amp;PERIODTYPE=QTR_STD&amp;SCFT=3&amp;window=popup_no_bar&amp;width=385&amp;height=120&amp;START_MAXIMIZED=FALSE&amp;creator=factset&amp;display_string=Audit"}</definedName>
    <definedName name="_1378__FDSAUDITLINK__" hidden="1">{"fdsup://Directions/FactSet Auditing Viewer?action=AUDIT_VALUE&amp;DB=129&amp;ID1=74752510&amp;VALUEID=02001&amp;SDATE=200803&amp;PERIODTYPE=QTR_STD&amp;SCFT=3&amp;window=popup_no_bar&amp;width=385&amp;height=120&amp;START_MAXIMIZED=FALSE&amp;creator=factset&amp;display_string=Audit"}</definedName>
    <definedName name="_1379__FDSAUDITLINK__" localSheetId="7" hidden="1">{"fdsup://Directions/FactSet Auditing Viewer?action=AUDIT_VALUE&amp;DB=129&amp;ID1=72581M30&amp;VALUEID=02001&amp;SDATE=200802&amp;PERIODTYPE=QTR_STD&amp;SCFT=3&amp;window=popup_no_bar&amp;width=385&amp;height=120&amp;START_MAXIMIZED=FALSE&amp;creator=factset&amp;display_string=Audit"}</definedName>
    <definedName name="_1379__FDSAUDITLINK__" hidden="1">{"fdsup://Directions/FactSet Auditing Viewer?action=AUDIT_VALUE&amp;DB=129&amp;ID1=72581M30&amp;VALUEID=02001&amp;SDATE=200802&amp;PERIODTYPE=QTR_STD&amp;SCFT=3&amp;window=popup_no_bar&amp;width=385&amp;height=120&amp;START_MAXIMIZED=FALSE&amp;creator=factset&amp;display_string=Audit"}</definedName>
    <definedName name="_138__FDSAUDITLINK__" localSheetId="7" hidden="1">{"fdsup://Directions/FactSet Auditing Viewer?action=AUDIT_VALUE&amp;DB=129&amp;ID1=03251510&amp;VALUEID=02001&amp;SDATE=201101&amp;PERIODTYPE=QTR_STD&amp;SCFT=3&amp;window=popup_no_bar&amp;width=385&amp;height=120&amp;START_MAXIMIZED=FALSE&amp;creator=factset&amp;display_string=Audit"}</definedName>
    <definedName name="_138__FDSAUDITLINK__" hidden="1">{"fdsup://Directions/FactSet Auditing Viewer?action=AUDIT_VALUE&amp;DB=129&amp;ID1=03251510&amp;VALUEID=02001&amp;SDATE=201101&amp;PERIODTYPE=QTR_STD&amp;SCFT=3&amp;window=popup_no_bar&amp;width=385&amp;height=120&amp;START_MAXIMIZED=FALSE&amp;creator=factset&amp;display_string=Audit"}</definedName>
    <definedName name="_1380__FDSAUDITLINK__" localSheetId="7" hidden="1">{"fdsup://Directions/FactSet Auditing Viewer?action=AUDIT_VALUE&amp;DB=129&amp;ID1=72581M30&amp;VALUEID=02001&amp;SDATE=200802&amp;PERIODTYPE=QTR_STD&amp;SCFT=3&amp;window=popup_no_bar&amp;width=385&amp;height=120&amp;START_MAXIMIZED=FALSE&amp;creator=factset&amp;display_string=Audit"}</definedName>
    <definedName name="_1380__FDSAUDITLINK__" hidden="1">{"fdsup://Directions/FactSet Auditing Viewer?action=AUDIT_VALUE&amp;DB=129&amp;ID1=72581M30&amp;VALUEID=02001&amp;SDATE=200802&amp;PERIODTYPE=QTR_STD&amp;SCFT=3&amp;window=popup_no_bar&amp;width=385&amp;height=120&amp;START_MAXIMIZED=FALSE&amp;creator=factset&amp;display_string=Audit"}</definedName>
    <definedName name="_1381__FDSAUDITLINK__" localSheetId="7" hidden="1">{"fdsup://Directions/FactSet Auditing Viewer?action=AUDIT_VALUE&amp;DB=129&amp;ID1=73927610&amp;VALUEID=02001&amp;SDATE=200802&amp;PERIODTYPE=QTR_STD&amp;SCFT=3&amp;window=popup_no_bar&amp;width=385&amp;height=120&amp;START_MAXIMIZED=FALSE&amp;creator=factset&amp;display_string=Audit"}</definedName>
    <definedName name="_1381__FDSAUDITLINK__" hidden="1">{"fdsup://Directions/FactSet Auditing Viewer?action=AUDIT_VALUE&amp;DB=129&amp;ID1=73927610&amp;VALUEID=02001&amp;SDATE=200802&amp;PERIODTYPE=QTR_STD&amp;SCFT=3&amp;window=popup_no_bar&amp;width=385&amp;height=120&amp;START_MAXIMIZED=FALSE&amp;creator=factset&amp;display_string=Audit"}</definedName>
    <definedName name="_1382__FDSAUDITLINK__" localSheetId="7" hidden="1">{"fdsup://Directions/FactSet Auditing Viewer?action=AUDIT_VALUE&amp;DB=129&amp;ID1=73927610&amp;VALUEID=02001&amp;SDATE=200802&amp;PERIODTYPE=QTR_STD&amp;SCFT=3&amp;window=popup_no_bar&amp;width=385&amp;height=120&amp;START_MAXIMIZED=FALSE&amp;creator=factset&amp;display_string=Audit"}</definedName>
    <definedName name="_1382__FDSAUDITLINK__" hidden="1">{"fdsup://Directions/FactSet Auditing Viewer?action=AUDIT_VALUE&amp;DB=129&amp;ID1=73927610&amp;VALUEID=02001&amp;SDATE=200802&amp;PERIODTYPE=QTR_STD&amp;SCFT=3&amp;window=popup_no_bar&amp;width=385&amp;height=120&amp;START_MAXIMIZED=FALSE&amp;creator=factset&amp;display_string=Audit"}</definedName>
    <definedName name="_1383__FDSAUDITLINK__" localSheetId="7" hidden="1">{"fdsup://Directions/FactSet Auditing Viewer?action=AUDIT_VALUE&amp;DB=129&amp;ID1=69344F10&amp;VALUEID=02001&amp;SDATE=200802&amp;PERIODTYPE=QTR_STD&amp;SCFT=3&amp;window=popup_no_bar&amp;width=385&amp;height=120&amp;START_MAXIMIZED=FALSE&amp;creator=factset&amp;display_string=Audit"}</definedName>
    <definedName name="_1383__FDSAUDITLINK__" hidden="1">{"fdsup://Directions/FactSet Auditing Viewer?action=AUDIT_VALUE&amp;DB=129&amp;ID1=69344F10&amp;VALUEID=02001&amp;SDATE=200802&amp;PERIODTYPE=QTR_STD&amp;SCFT=3&amp;window=popup_no_bar&amp;width=385&amp;height=120&amp;START_MAXIMIZED=FALSE&amp;creator=factset&amp;display_string=Audit"}</definedName>
    <definedName name="_1384__FDSAUDITLINK__" localSheetId="7" hidden="1">{"fdsup://Directions/FactSet Auditing Viewer?action=AUDIT_VALUE&amp;DB=129&amp;ID1=69344F10&amp;VALUEID=02001&amp;SDATE=200802&amp;PERIODTYPE=QTR_STD&amp;SCFT=3&amp;window=popup_no_bar&amp;width=385&amp;height=120&amp;START_MAXIMIZED=FALSE&amp;creator=factset&amp;display_string=Audit"}</definedName>
    <definedName name="_1384__FDSAUDITLINK__" hidden="1">{"fdsup://Directions/FactSet Auditing Viewer?action=AUDIT_VALUE&amp;DB=129&amp;ID1=69344F10&amp;VALUEID=02001&amp;SDATE=200802&amp;PERIODTYPE=QTR_STD&amp;SCFT=3&amp;window=popup_no_bar&amp;width=385&amp;height=120&amp;START_MAXIMIZED=FALSE&amp;creator=factset&amp;display_string=Audit"}</definedName>
    <definedName name="_1385__FDSAUDITLINK__" localSheetId="7" hidden="1">{"fdsup://Directions/FactSet Auditing Viewer?action=AUDIT_VALUE&amp;DB=129&amp;ID1=69341710&amp;VALUEID=02001&amp;SDATE=200802&amp;PERIODTYPE=QTR_STD&amp;SCFT=3&amp;window=popup_no_bar&amp;width=385&amp;height=120&amp;START_MAXIMIZED=FALSE&amp;creator=factset&amp;display_string=Audit"}</definedName>
    <definedName name="_1385__FDSAUDITLINK__" hidden="1">{"fdsup://Directions/FactSet Auditing Viewer?action=AUDIT_VALUE&amp;DB=129&amp;ID1=69341710&amp;VALUEID=02001&amp;SDATE=200802&amp;PERIODTYPE=QTR_STD&amp;SCFT=3&amp;window=popup_no_bar&amp;width=385&amp;height=120&amp;START_MAXIMIZED=FALSE&amp;creator=factset&amp;display_string=Audit"}</definedName>
    <definedName name="_1386__FDSAUDITLINK__" localSheetId="7" hidden="1">{"fdsup://Directions/FactSet Auditing Viewer?action=AUDIT_VALUE&amp;DB=129&amp;ID1=69341710&amp;VALUEID=02001&amp;SDATE=200802&amp;PERIODTYPE=QTR_STD&amp;SCFT=3&amp;window=popup_no_bar&amp;width=385&amp;height=120&amp;START_MAXIMIZED=FALSE&amp;creator=factset&amp;display_string=Audit"}</definedName>
    <definedName name="_1386__FDSAUDITLINK__" hidden="1">{"fdsup://Directions/FactSet Auditing Viewer?action=AUDIT_VALUE&amp;DB=129&amp;ID1=69341710&amp;VALUEID=02001&amp;SDATE=200802&amp;PERIODTYPE=QTR_STD&amp;SCFT=3&amp;window=popup_no_bar&amp;width=385&amp;height=120&amp;START_MAXIMIZED=FALSE&amp;creator=factset&amp;display_string=Audit"}</definedName>
    <definedName name="_1387__FDSAUDITLINK__" localSheetId="7" hidden="1">{"fdsup://Directions/FactSet Auditing Viewer?action=AUDIT_VALUE&amp;DB=129&amp;ID1=68218910&amp;VALUEID=02001&amp;SDATE=200802&amp;PERIODTYPE=QTR_STD&amp;SCFT=3&amp;window=popup_no_bar&amp;width=385&amp;height=120&amp;START_MAXIMIZED=FALSE&amp;creator=factset&amp;display_string=Audit"}</definedName>
    <definedName name="_1387__FDSAUDITLINK__" hidden="1">{"fdsup://Directions/FactSet Auditing Viewer?action=AUDIT_VALUE&amp;DB=129&amp;ID1=68218910&amp;VALUEID=02001&amp;SDATE=200802&amp;PERIODTYPE=QTR_STD&amp;SCFT=3&amp;window=popup_no_bar&amp;width=385&amp;height=120&amp;START_MAXIMIZED=FALSE&amp;creator=factset&amp;display_string=Audit"}</definedName>
    <definedName name="_1388__FDSAUDITLINK__" localSheetId="7" hidden="1">{"fdsup://Directions/FactSet Auditing Viewer?action=AUDIT_VALUE&amp;DB=129&amp;ID1=68218910&amp;VALUEID=02001&amp;SDATE=200802&amp;PERIODTYPE=QTR_STD&amp;SCFT=3&amp;window=popup_no_bar&amp;width=385&amp;height=120&amp;START_MAXIMIZED=FALSE&amp;creator=factset&amp;display_string=Audit"}</definedName>
    <definedName name="_1388__FDSAUDITLINK__" hidden="1">{"fdsup://Directions/FactSet Auditing Viewer?action=AUDIT_VALUE&amp;DB=129&amp;ID1=68218910&amp;VALUEID=02001&amp;SDATE=200802&amp;PERIODTYPE=QTR_STD&amp;SCFT=3&amp;window=popup_no_bar&amp;width=385&amp;height=120&amp;START_MAXIMIZED=FALSE&amp;creator=factset&amp;display_string=Audit"}</definedName>
    <definedName name="_1389__FDSAUDITLINK__" localSheetId="7" hidden="1">{"fdsup://Directions/FactSet Auditing Viewer?action=AUDIT_VALUE&amp;DB=129&amp;ID1=B505PN&amp;VALUEID=02001&amp;SDATE=200802&amp;PERIODTYPE=QTR_STD&amp;SCFT=3&amp;window=popup_no_bar&amp;width=385&amp;height=120&amp;START_MAXIMIZED=FALSE&amp;creator=factset&amp;display_string=Audit"}</definedName>
    <definedName name="_1389__FDSAUDITLINK__" hidden="1">{"fdsup://Directions/FactSet Auditing Viewer?action=AUDIT_VALUE&amp;DB=129&amp;ID1=B505PN&amp;VALUEID=02001&amp;SDATE=200802&amp;PERIODTYPE=QTR_STD&amp;SCFT=3&amp;window=popup_no_bar&amp;width=385&amp;height=120&amp;START_MAXIMIZED=FALSE&amp;creator=factset&amp;display_string=Audit"}</definedName>
    <definedName name="_139__FDSAUDITLINK__" localSheetId="7" hidden="1">{"fdsup://Directions/FactSet Auditing Viewer?action=AUDIT_VALUE&amp;DB=129&amp;ID1=00790310&amp;VALUEID=02001&amp;SDATE=201101&amp;PERIODTYPE=QTR_STD&amp;SCFT=3&amp;window=popup_no_bar&amp;width=385&amp;height=120&amp;START_MAXIMIZED=FALSE&amp;creator=factset&amp;display_string=Audit"}</definedName>
    <definedName name="_139__FDSAUDITLINK__" hidden="1">{"fdsup://Directions/FactSet Auditing Viewer?action=AUDIT_VALUE&amp;DB=129&amp;ID1=00790310&amp;VALUEID=02001&amp;SDATE=201101&amp;PERIODTYPE=QTR_STD&amp;SCFT=3&amp;window=popup_no_bar&amp;width=385&amp;height=120&amp;START_MAXIMIZED=FALSE&amp;creator=factset&amp;display_string=Audit"}</definedName>
    <definedName name="_1390__FDSAUDITLINK__" localSheetId="7" hidden="1">{"fdsup://Directions/FactSet Auditing Viewer?action=AUDIT_VALUE&amp;DB=129&amp;ID1=B505PN&amp;VALUEID=02001&amp;SDATE=200802&amp;PERIODTYPE=QTR_STD&amp;SCFT=3&amp;window=popup_no_bar&amp;width=385&amp;height=120&amp;START_MAXIMIZED=FALSE&amp;creator=factset&amp;display_string=Audit"}</definedName>
    <definedName name="_1390__FDSAUDITLINK__" hidden="1">{"fdsup://Directions/FactSet Auditing Viewer?action=AUDIT_VALUE&amp;DB=129&amp;ID1=B505PN&amp;VALUEID=02001&amp;SDATE=200802&amp;PERIODTYPE=QTR_STD&amp;SCFT=3&amp;window=popup_no_bar&amp;width=385&amp;height=120&amp;START_MAXIMIZED=FALSE&amp;creator=factset&amp;display_string=Audit"}</definedName>
    <definedName name="_1391__FDSAUDITLINK__" localSheetId="7" hidden="1">{"fdsup://Directions/FactSet Auditing Viewer?action=AUDIT_VALUE&amp;DB=129&amp;ID1=67000810&amp;VALUEID=02001&amp;SDATE=200802&amp;PERIODTYPE=QTR_STD&amp;SCFT=3&amp;window=popup_no_bar&amp;width=385&amp;height=120&amp;START_MAXIMIZED=FALSE&amp;creator=factset&amp;display_string=Audit"}</definedName>
    <definedName name="_1391__FDSAUDITLINK__" hidden="1">{"fdsup://Directions/FactSet Auditing Viewer?action=AUDIT_VALUE&amp;DB=129&amp;ID1=67000810&amp;VALUEID=02001&amp;SDATE=200802&amp;PERIODTYPE=QTR_STD&amp;SCFT=3&amp;window=popup_no_bar&amp;width=385&amp;height=120&amp;START_MAXIMIZED=FALSE&amp;creator=factset&amp;display_string=Audit"}</definedName>
    <definedName name="_1392__FDSAUDITLINK__" localSheetId="7" hidden="1">{"fdsup://Directions/FactSet Auditing Viewer?action=AUDIT_VALUE&amp;DB=129&amp;ID1=67000810&amp;VALUEID=02001&amp;SDATE=200802&amp;PERIODTYPE=QTR_STD&amp;SCFT=3&amp;window=popup_no_bar&amp;width=385&amp;height=120&amp;START_MAXIMIZED=FALSE&amp;creator=factset&amp;display_string=Audit"}</definedName>
    <definedName name="_1392__FDSAUDITLINK__" hidden="1">{"fdsup://Directions/FactSet Auditing Viewer?action=AUDIT_VALUE&amp;DB=129&amp;ID1=67000810&amp;VALUEID=02001&amp;SDATE=200802&amp;PERIODTYPE=QTR_STD&amp;SCFT=3&amp;window=popup_no_bar&amp;width=385&amp;height=120&amp;START_MAXIMIZED=FALSE&amp;creator=factset&amp;display_string=Audit"}</definedName>
    <definedName name="_1393__FDSAUDITLINK__" localSheetId="7" hidden="1">{"fdsup://Directions/FactSet Auditing Viewer?action=AUDIT_VALUE&amp;DB=129&amp;ID1=67066G10&amp;VALUEID=02001&amp;SDATE=200802&amp;PERIODTYPE=QTR_STD&amp;SCFT=3&amp;window=popup_no_bar&amp;width=385&amp;height=120&amp;START_MAXIMIZED=FALSE&amp;creator=factset&amp;display_string=Audit"}</definedName>
    <definedName name="_1393__FDSAUDITLINK__" hidden="1">{"fdsup://Directions/FactSet Auditing Viewer?action=AUDIT_VALUE&amp;DB=129&amp;ID1=67066G10&amp;VALUEID=02001&amp;SDATE=200802&amp;PERIODTYPE=QTR_STD&amp;SCFT=3&amp;window=popup_no_bar&amp;width=385&amp;height=120&amp;START_MAXIMIZED=FALSE&amp;creator=factset&amp;display_string=Audit"}</definedName>
    <definedName name="_1394__FDSAUDITLINK__" localSheetId="7" hidden="1">{"fdsup://Directions/FactSet Auditing Viewer?action=AUDIT_VALUE&amp;DB=129&amp;ID1=67066G10&amp;VALUEID=02001&amp;SDATE=200802&amp;PERIODTYPE=QTR_STD&amp;SCFT=3&amp;window=popup_no_bar&amp;width=385&amp;height=120&amp;START_MAXIMIZED=FALSE&amp;creator=factset&amp;display_string=Audit"}</definedName>
    <definedName name="_1394__FDSAUDITLINK__" hidden="1">{"fdsup://Directions/FactSet Auditing Viewer?action=AUDIT_VALUE&amp;DB=129&amp;ID1=67066G10&amp;VALUEID=02001&amp;SDATE=200802&amp;PERIODTYPE=QTR_STD&amp;SCFT=3&amp;window=popup_no_bar&amp;width=385&amp;height=120&amp;START_MAXIMIZED=FALSE&amp;creator=factset&amp;display_string=Audit"}</definedName>
    <definedName name="_1395__FDSAUDITLINK__" localSheetId="7" hidden="1">{"fdsup://Directions/FactSet Auditing Viewer?action=AUDIT_VALUE&amp;DB=129&amp;ID1=64118B10&amp;VALUEID=02001&amp;SDATE=200802&amp;PERIODTYPE=QTR_STD&amp;SCFT=3&amp;window=popup_no_bar&amp;width=385&amp;height=120&amp;START_MAXIMIZED=FALSE&amp;creator=factset&amp;display_string=Audit"}</definedName>
    <definedName name="_1395__FDSAUDITLINK__" hidden="1">{"fdsup://Directions/FactSet Auditing Viewer?action=AUDIT_VALUE&amp;DB=129&amp;ID1=64118B10&amp;VALUEID=02001&amp;SDATE=200802&amp;PERIODTYPE=QTR_STD&amp;SCFT=3&amp;window=popup_no_bar&amp;width=385&amp;height=120&amp;START_MAXIMIZED=FALSE&amp;creator=factset&amp;display_string=Audit"}</definedName>
    <definedName name="_1396__FDSAUDITLINK__" localSheetId="7" hidden="1">{"fdsup://Directions/FactSet Auditing Viewer?action=AUDIT_VALUE&amp;DB=129&amp;ID1=64118B10&amp;VALUEID=02001&amp;SDATE=200802&amp;PERIODTYPE=QTR_STD&amp;SCFT=3&amp;window=popup_no_bar&amp;width=385&amp;height=120&amp;START_MAXIMIZED=FALSE&amp;creator=factset&amp;display_string=Audit"}</definedName>
    <definedName name="_1396__FDSAUDITLINK__" hidden="1">{"fdsup://Directions/FactSet Auditing Viewer?action=AUDIT_VALUE&amp;DB=129&amp;ID1=64118B10&amp;VALUEID=02001&amp;SDATE=200802&amp;PERIODTYPE=QTR_STD&amp;SCFT=3&amp;window=popup_no_bar&amp;width=385&amp;height=120&amp;START_MAXIMIZED=FALSE&amp;creator=factset&amp;display_string=Audit"}</definedName>
    <definedName name="_1397__FDSAUDITLINK__" localSheetId="7" hidden="1">{"fdsup://Directions/FactSet Auditing Viewer?action=AUDIT_VALUE&amp;DB=129&amp;ID1=59511210&amp;VALUEID=02001&amp;SDATE=200803&amp;PERIODTYPE=QTR_STD&amp;SCFT=3&amp;window=popup_no_bar&amp;width=385&amp;height=120&amp;START_MAXIMIZED=FALSE&amp;creator=factset&amp;display_string=Audit"}</definedName>
    <definedName name="_1397__FDSAUDITLINK__" hidden="1">{"fdsup://Directions/FactSet Auditing Viewer?action=AUDIT_VALUE&amp;DB=129&amp;ID1=59511210&amp;VALUEID=02001&amp;SDATE=200803&amp;PERIODTYPE=QTR_STD&amp;SCFT=3&amp;window=popup_no_bar&amp;width=385&amp;height=120&amp;START_MAXIMIZED=FALSE&amp;creator=factset&amp;display_string=Audit"}</definedName>
    <definedName name="_1398__FDSAUDITLINK__" localSheetId="7" hidden="1">{"fdsup://Directions/FactSet Auditing Viewer?action=AUDIT_VALUE&amp;DB=129&amp;ID1=59511210&amp;VALUEID=02001&amp;SDATE=200803&amp;PERIODTYPE=QTR_STD&amp;SCFT=3&amp;window=popup_no_bar&amp;width=385&amp;height=120&amp;START_MAXIMIZED=FALSE&amp;creator=factset&amp;display_string=Audit"}</definedName>
    <definedName name="_1398__FDSAUDITLINK__" hidden="1">{"fdsup://Directions/FactSet Auditing Viewer?action=AUDIT_VALUE&amp;DB=129&amp;ID1=59511210&amp;VALUEID=02001&amp;SDATE=200803&amp;PERIODTYPE=QTR_STD&amp;SCFT=3&amp;window=popup_no_bar&amp;width=385&amp;height=120&amp;START_MAXIMIZED=FALSE&amp;creator=factset&amp;display_string=Audit"}</definedName>
    <definedName name="_1399__FDSAUDITLINK__" localSheetId="7" hidden="1">{"fdsup://Directions/FactSet Auditing Viewer?action=AUDIT_VALUE&amp;DB=129&amp;ID1=59513710&amp;VALUEID=02001&amp;SDATE=200803&amp;PERIODTYPE=QTR_STD&amp;SCFT=3&amp;window=popup_no_bar&amp;width=385&amp;height=120&amp;START_MAXIMIZED=FALSE&amp;creator=factset&amp;display_string=Audit"}</definedName>
    <definedName name="_1399__FDSAUDITLINK__" hidden="1">{"fdsup://Directions/FactSet Auditing Viewer?action=AUDIT_VALUE&amp;DB=129&amp;ID1=59513710&amp;VALUEID=02001&amp;SDATE=200803&amp;PERIODTYPE=QTR_STD&amp;SCFT=3&amp;window=popup_no_bar&amp;width=385&amp;height=120&amp;START_MAXIMIZED=FALSE&amp;creator=factset&amp;display_string=Audit"}</definedName>
    <definedName name="_14__FDSAUDITLINK__" localSheetId="7" hidden="1">{"fdsup://Directions/FactSet Auditing Viewer?action=AUDIT_VALUE&amp;DB=129&amp;ID1=67066G10&amp;VALUEID=02001&amp;SDATE=201103&amp;PERIODTYPE=QTR_STD&amp;SCFT=3&amp;window=popup_no_bar&amp;width=385&amp;height=120&amp;START_MAXIMIZED=FALSE&amp;creator=factset&amp;display_string=Audit"}</definedName>
    <definedName name="_14__FDSAUDITLINK__" hidden="1">{"fdsup://Directions/FactSet Auditing Viewer?action=AUDIT_VALUE&amp;DB=129&amp;ID1=67066G10&amp;VALUEID=02001&amp;SDATE=201103&amp;PERIODTYPE=QTR_STD&amp;SCFT=3&amp;window=popup_no_bar&amp;width=385&amp;height=120&amp;START_MAXIMIZED=FALSE&amp;creator=factset&amp;display_string=Audit"}</definedName>
    <definedName name="_140__FDSAUDITLINK__" localSheetId="7" hidden="1">{"fdsup://Directions/FactSet Auditing Viewer?action=AUDIT_VALUE&amp;DB=129&amp;ID1=00790310&amp;VALUEID=02001&amp;SDATE=201101&amp;PERIODTYPE=QTR_STD&amp;SCFT=3&amp;window=popup_no_bar&amp;width=385&amp;height=120&amp;START_MAXIMIZED=FALSE&amp;creator=factset&amp;display_string=Audit"}</definedName>
    <definedName name="_140__FDSAUDITLINK__" hidden="1">{"fdsup://Directions/FactSet Auditing Viewer?action=AUDIT_VALUE&amp;DB=129&amp;ID1=00790310&amp;VALUEID=02001&amp;SDATE=201101&amp;PERIODTYPE=QTR_STD&amp;SCFT=3&amp;window=popup_no_bar&amp;width=385&amp;height=120&amp;START_MAXIMIZED=FALSE&amp;creator=factset&amp;display_string=Audit"}</definedName>
    <definedName name="_1400__FDSAUDITLINK__" localSheetId="7" hidden="1">{"fdsup://Directions/FactSet Auditing Viewer?action=AUDIT_VALUE&amp;DB=129&amp;ID1=59513710&amp;VALUEID=02001&amp;SDATE=200803&amp;PERIODTYPE=QTR_STD&amp;SCFT=3&amp;window=popup_no_bar&amp;width=385&amp;height=120&amp;START_MAXIMIZED=FALSE&amp;creator=factset&amp;display_string=Audit"}</definedName>
    <definedName name="_1400__FDSAUDITLINK__" hidden="1">{"fdsup://Directions/FactSet Auditing Viewer?action=AUDIT_VALUE&amp;DB=129&amp;ID1=59513710&amp;VALUEID=02001&amp;SDATE=200803&amp;PERIODTYPE=QTR_STD&amp;SCFT=3&amp;window=popup_no_bar&amp;width=385&amp;height=120&amp;START_MAXIMIZED=FALSE&amp;creator=factset&amp;display_string=Audit"}</definedName>
    <definedName name="_1401__FDSAUDITLINK__" localSheetId="7" hidden="1">{"fdsup://Directions/FactSet Auditing Viewer?action=AUDIT_VALUE&amp;DB=129&amp;ID1=G5876H10&amp;VALUEID=02001&amp;SDATE=200802&amp;PERIODTYPE=QTR_STD&amp;SCFT=3&amp;window=popup_no_bar&amp;width=385&amp;height=120&amp;START_MAXIMIZED=FALSE&amp;creator=factset&amp;display_string=Audit"}</definedName>
    <definedName name="_1401__FDSAUDITLINK__" hidden="1">{"fdsup://Directions/FactSet Auditing Viewer?action=AUDIT_VALUE&amp;DB=129&amp;ID1=G5876H10&amp;VALUEID=02001&amp;SDATE=200802&amp;PERIODTYPE=QTR_STD&amp;SCFT=3&amp;window=popup_no_bar&amp;width=385&amp;height=120&amp;START_MAXIMIZED=FALSE&amp;creator=factset&amp;display_string=Audit"}</definedName>
    <definedName name="_1402__FDSAUDITLINK__" localSheetId="7" hidden="1">{"fdsup://Directions/FactSet Auditing Viewer?action=AUDIT_VALUE&amp;DB=129&amp;ID1=G5876H10&amp;VALUEID=02001&amp;SDATE=200802&amp;PERIODTYPE=QTR_STD&amp;SCFT=3&amp;window=popup_no_bar&amp;width=385&amp;height=120&amp;START_MAXIMIZED=FALSE&amp;creator=factset&amp;display_string=Audit"}</definedName>
    <definedName name="_1402__FDSAUDITLINK__" hidden="1">{"fdsup://Directions/FactSet Auditing Viewer?action=AUDIT_VALUE&amp;DB=129&amp;ID1=G5876H10&amp;VALUEID=02001&amp;SDATE=200802&amp;PERIODTYPE=QTR_STD&amp;SCFT=3&amp;window=popup_no_bar&amp;width=385&amp;height=120&amp;START_MAXIMIZED=FALSE&amp;creator=factset&amp;display_string=Audit"}</definedName>
    <definedName name="_1403__FDSAUDITLINK__" localSheetId="7" hidden="1">{"fdsup://Directions/FactSet Auditing Viewer?action=AUDIT_VALUE&amp;DB=129&amp;ID1=62007630&amp;VALUEID=02001&amp;SDATE=200802&amp;PERIODTYPE=QTR_STD&amp;SCFT=3&amp;window=popup_no_bar&amp;width=385&amp;height=120&amp;START_MAXIMIZED=FALSE&amp;creator=factset&amp;display_string=Audit"}</definedName>
    <definedName name="_1403__FDSAUDITLINK__" hidden="1">{"fdsup://Directions/FactSet Auditing Viewer?action=AUDIT_VALUE&amp;DB=129&amp;ID1=62007630&amp;VALUEID=02001&amp;SDATE=200802&amp;PERIODTYPE=QTR_STD&amp;SCFT=3&amp;window=popup_no_bar&amp;width=385&amp;height=120&amp;START_MAXIMIZED=FALSE&amp;creator=factset&amp;display_string=Audit"}</definedName>
    <definedName name="_1404__FDSAUDITLINK__" localSheetId="7" hidden="1">{"fdsup://Directions/FactSet Auditing Viewer?action=AUDIT_VALUE&amp;DB=129&amp;ID1=62007630&amp;VALUEID=02001&amp;SDATE=200802&amp;PERIODTYPE=QTR_STD&amp;SCFT=3&amp;window=popup_no_bar&amp;width=385&amp;height=120&amp;START_MAXIMIZED=FALSE&amp;creator=factset&amp;display_string=Audit"}</definedName>
    <definedName name="_1404__FDSAUDITLINK__" hidden="1">{"fdsup://Directions/FactSet Auditing Viewer?action=AUDIT_VALUE&amp;DB=129&amp;ID1=62007630&amp;VALUEID=02001&amp;SDATE=200802&amp;PERIODTYPE=QTR_STD&amp;SCFT=3&amp;window=popup_no_bar&amp;width=385&amp;height=120&amp;START_MAXIMIZED=FALSE&amp;creator=factset&amp;display_string=Audit"}</definedName>
    <definedName name="_1405__FDSAUDITLINK__" localSheetId="7" hidden="1">{"fdsup://Directions/FactSet Auditing Viewer?action=AUDIT_VALUE&amp;DB=129&amp;ID1=59479310&amp;VALUEID=02001&amp;SDATE=200802&amp;PERIODTYPE=QTR_STD&amp;SCFT=3&amp;window=popup_no_bar&amp;width=385&amp;height=120&amp;START_MAXIMIZED=FALSE&amp;creator=factset&amp;display_string=Audit"}</definedName>
    <definedName name="_1405__FDSAUDITLINK__" hidden="1">{"fdsup://Directions/FactSet Auditing Viewer?action=AUDIT_VALUE&amp;DB=129&amp;ID1=59479310&amp;VALUEID=02001&amp;SDATE=200802&amp;PERIODTYPE=QTR_STD&amp;SCFT=3&amp;window=popup_no_bar&amp;width=385&amp;height=120&amp;START_MAXIMIZED=FALSE&amp;creator=factset&amp;display_string=Audit"}</definedName>
    <definedName name="_1406__FDSAUDITLINK__" localSheetId="7" hidden="1">{"fdsup://Directions/FactSet Auditing Viewer?action=AUDIT_VALUE&amp;DB=129&amp;ID1=59479310&amp;VALUEID=02001&amp;SDATE=200802&amp;PERIODTYPE=QTR_STD&amp;SCFT=3&amp;window=popup_no_bar&amp;width=385&amp;height=120&amp;START_MAXIMIZED=FALSE&amp;creator=factset&amp;display_string=Audit"}</definedName>
    <definedName name="_1406__FDSAUDITLINK__" hidden="1">{"fdsup://Directions/FactSet Auditing Viewer?action=AUDIT_VALUE&amp;DB=129&amp;ID1=59479310&amp;VALUEID=02001&amp;SDATE=200802&amp;PERIODTYPE=QTR_STD&amp;SCFT=3&amp;window=popup_no_bar&amp;width=385&amp;height=120&amp;START_MAXIMIZED=FALSE&amp;creator=factset&amp;display_string=Audit"}</definedName>
    <definedName name="_1407__FDSAUDITLINK__" localSheetId="7" hidden="1">{"fdsup://Directions/FactSet Auditing Viewer?action=AUDIT_VALUE&amp;DB=129&amp;ID1=59501710&amp;VALUEID=02001&amp;SDATE=200801&amp;PERIODTYPE=QTR_STD&amp;SCFT=3&amp;window=popup_no_bar&amp;width=385&amp;height=120&amp;START_MAXIMIZED=FALSE&amp;creator=factset&amp;display_string=Audit"}</definedName>
    <definedName name="_1407__FDSAUDITLINK__" hidden="1">{"fdsup://Directions/FactSet Auditing Viewer?action=AUDIT_VALUE&amp;DB=129&amp;ID1=59501710&amp;VALUEID=02001&amp;SDATE=200801&amp;PERIODTYPE=QTR_STD&amp;SCFT=3&amp;window=popup_no_bar&amp;width=385&amp;height=120&amp;START_MAXIMIZED=FALSE&amp;creator=factset&amp;display_string=Audit"}</definedName>
    <definedName name="_1408__FDSAUDITLINK__" localSheetId="7" hidden="1">{"fdsup://Directions/FactSet Auditing Viewer?action=AUDIT_VALUE&amp;DB=129&amp;ID1=59501710&amp;VALUEID=02001&amp;SDATE=200801&amp;PERIODTYPE=QTR_STD&amp;SCFT=3&amp;window=popup_no_bar&amp;width=385&amp;height=120&amp;START_MAXIMIZED=FALSE&amp;creator=factset&amp;display_string=Audit"}</definedName>
    <definedName name="_1408__FDSAUDITLINK__" hidden="1">{"fdsup://Directions/FactSet Auditing Viewer?action=AUDIT_VALUE&amp;DB=129&amp;ID1=59501710&amp;VALUEID=02001&amp;SDATE=200801&amp;PERIODTYPE=QTR_STD&amp;SCFT=3&amp;window=popup_no_bar&amp;width=385&amp;height=120&amp;START_MAXIMIZED=FALSE&amp;creator=factset&amp;display_string=Audit"}</definedName>
    <definedName name="_1409__FDSAUDITLINK__" localSheetId="7" hidden="1">{"fdsup://Directions/FactSet Auditing Viewer?action=AUDIT_VALUE&amp;DB=129&amp;ID1=50216110&amp;VALUEID=02001&amp;SDATE=200802&amp;PERIODTYPE=QTR_STD&amp;SCFT=3&amp;window=popup_no_bar&amp;width=385&amp;height=120&amp;START_MAXIMIZED=FALSE&amp;creator=factset&amp;display_string=Audit"}</definedName>
    <definedName name="_1409__FDSAUDITLINK__" hidden="1">{"fdsup://Directions/FactSet Auditing Viewer?action=AUDIT_VALUE&amp;DB=129&amp;ID1=50216110&amp;VALUEID=02001&amp;SDATE=200802&amp;PERIODTYPE=QTR_STD&amp;SCFT=3&amp;window=popup_no_bar&amp;width=385&amp;height=120&amp;START_MAXIMIZED=FALSE&amp;creator=factset&amp;display_string=Audit"}</definedName>
    <definedName name="_141__FDSAUDITLINK__" localSheetId="7" hidden="1">{"fdsup://Directions/FactSet Auditing Viewer?action=AUDIT_VALUE&amp;DB=129&amp;ID1=03822W40&amp;VALUEID=02001&amp;SDATE=201004&amp;PERIODTYPE=QTR_STD&amp;SCFT=3&amp;window=popup_no_bar&amp;width=385&amp;height=120&amp;START_MAXIMIZED=FALSE&amp;creator=factset&amp;display_string=Audit"}</definedName>
    <definedName name="_141__FDSAUDITLINK__" hidden="1">{"fdsup://Directions/FactSet Auditing Viewer?action=AUDIT_VALUE&amp;DB=129&amp;ID1=03822W40&amp;VALUEID=02001&amp;SDATE=201004&amp;PERIODTYPE=QTR_STD&amp;SCFT=3&amp;window=popup_no_bar&amp;width=385&amp;height=120&amp;START_MAXIMIZED=FALSE&amp;creator=factset&amp;display_string=Audit"}</definedName>
    <definedName name="_1410__FDSAUDITLINK__" localSheetId="7" hidden="1">{"fdsup://Directions/FactSet Auditing Viewer?action=AUDIT_VALUE&amp;DB=129&amp;ID1=50216110&amp;VALUEID=02001&amp;SDATE=200802&amp;PERIODTYPE=QTR_STD&amp;SCFT=3&amp;window=popup_no_bar&amp;width=385&amp;height=120&amp;START_MAXIMIZED=FALSE&amp;creator=factset&amp;display_string=Audit"}</definedName>
    <definedName name="_1410__FDSAUDITLINK__" hidden="1">{"fdsup://Directions/FactSet Auditing Viewer?action=AUDIT_VALUE&amp;DB=129&amp;ID1=50216110&amp;VALUEID=02001&amp;SDATE=200802&amp;PERIODTYPE=QTR_STD&amp;SCFT=3&amp;window=popup_no_bar&amp;width=385&amp;height=120&amp;START_MAXIMIZED=FALSE&amp;creator=factset&amp;display_string=Audit"}</definedName>
    <definedName name="_1411__FDSAUDITLINK__" localSheetId="7" hidden="1">{"fdsup://Directions/FactSet Auditing Viewer?action=AUDIT_VALUE&amp;DB=129&amp;ID1=51841510&amp;VALUEID=02001&amp;SDATE=200802&amp;PERIODTYPE=QTR_STD&amp;SCFT=3&amp;window=popup_no_bar&amp;width=385&amp;height=120&amp;START_MAXIMIZED=FALSE&amp;creator=factset&amp;display_string=Audit"}</definedName>
    <definedName name="_1411__FDSAUDITLINK__" hidden="1">{"fdsup://Directions/FactSet Auditing Viewer?action=AUDIT_VALUE&amp;DB=129&amp;ID1=51841510&amp;VALUEID=02001&amp;SDATE=200802&amp;PERIODTYPE=QTR_STD&amp;SCFT=3&amp;window=popup_no_bar&amp;width=385&amp;height=120&amp;START_MAXIMIZED=FALSE&amp;creator=factset&amp;display_string=Audit"}</definedName>
    <definedName name="_1412__FDSAUDITLINK__" localSheetId="7" hidden="1">{"fdsup://Directions/FactSet Auditing Viewer?action=AUDIT_VALUE&amp;DB=129&amp;ID1=51841510&amp;VALUEID=02001&amp;SDATE=200802&amp;PERIODTYPE=QTR_STD&amp;SCFT=3&amp;window=popup_no_bar&amp;width=385&amp;height=120&amp;START_MAXIMIZED=FALSE&amp;creator=factset&amp;display_string=Audit"}</definedName>
    <definedName name="_1412__FDSAUDITLINK__" hidden="1">{"fdsup://Directions/FactSet Auditing Viewer?action=AUDIT_VALUE&amp;DB=129&amp;ID1=51841510&amp;VALUEID=02001&amp;SDATE=200802&amp;PERIODTYPE=QTR_STD&amp;SCFT=3&amp;window=popup_no_bar&amp;width=385&amp;height=120&amp;START_MAXIMIZED=FALSE&amp;creator=factset&amp;display_string=Audit"}</definedName>
    <definedName name="_1413__FDSAUDITLINK__" localSheetId="7" hidden="1">{"fdsup://Directions/FactSet Auditing Viewer?action=AUDIT_VALUE&amp;DB=129&amp;ID1=48836020&amp;VALUEID=02001&amp;SDATE=200801&amp;PERIODTYPE=QTR_STD&amp;SCFT=3&amp;window=popup_no_bar&amp;width=385&amp;height=120&amp;START_MAXIMIZED=FALSE&amp;creator=factset&amp;display_string=Audit"}</definedName>
    <definedName name="_1413__FDSAUDITLINK__" hidden="1">{"fdsup://Directions/FactSet Auditing Viewer?action=AUDIT_VALUE&amp;DB=129&amp;ID1=48836020&amp;VALUEID=02001&amp;SDATE=200801&amp;PERIODTYPE=QTR_STD&amp;SCFT=3&amp;window=popup_no_bar&amp;width=385&amp;height=120&amp;START_MAXIMIZED=FALSE&amp;creator=factset&amp;display_string=Audit"}</definedName>
    <definedName name="_1414__FDSAUDITLINK__" localSheetId="7" hidden="1">{"fdsup://Directions/FactSet Auditing Viewer?action=AUDIT_VALUE&amp;DB=129&amp;ID1=48836020&amp;VALUEID=02001&amp;SDATE=200801&amp;PERIODTYPE=QTR_STD&amp;SCFT=3&amp;window=popup_no_bar&amp;width=385&amp;height=120&amp;START_MAXIMIZED=FALSE&amp;creator=factset&amp;display_string=Audit"}</definedName>
    <definedName name="_1414__FDSAUDITLINK__" hidden="1">{"fdsup://Directions/FactSet Auditing Viewer?action=AUDIT_VALUE&amp;DB=129&amp;ID1=48836020&amp;VALUEID=02001&amp;SDATE=200801&amp;PERIODTYPE=QTR_STD&amp;SCFT=3&amp;window=popup_no_bar&amp;width=385&amp;height=120&amp;START_MAXIMIZED=FALSE&amp;creator=factset&amp;display_string=Audit"}</definedName>
    <definedName name="_1415__FDSAUDITLINK__" localSheetId="7" hidden="1">{"fdsup://Directions/FactSet Auditing Viewer?action=AUDIT_VALUE&amp;DB=129&amp;ID1=48203R10&amp;VALUEID=02001&amp;SDATE=200802&amp;PERIODTYPE=QTR_STD&amp;SCFT=3&amp;window=popup_no_bar&amp;width=385&amp;height=120&amp;START_MAXIMIZED=FALSE&amp;creator=factset&amp;display_string=Audit"}</definedName>
    <definedName name="_1415__FDSAUDITLINK__" hidden="1">{"fdsup://Directions/FactSet Auditing Viewer?action=AUDIT_VALUE&amp;DB=129&amp;ID1=48203R10&amp;VALUEID=02001&amp;SDATE=200802&amp;PERIODTYPE=QTR_STD&amp;SCFT=3&amp;window=popup_no_bar&amp;width=385&amp;height=120&amp;START_MAXIMIZED=FALSE&amp;creator=factset&amp;display_string=Audit"}</definedName>
    <definedName name="_1416__FDSAUDITLINK__" localSheetId="7" hidden="1">{"fdsup://Directions/FactSet Auditing Viewer?action=AUDIT_VALUE&amp;DB=129&amp;ID1=48203R10&amp;VALUEID=02001&amp;SDATE=200802&amp;PERIODTYPE=QTR_STD&amp;SCFT=3&amp;window=popup_no_bar&amp;width=385&amp;height=120&amp;START_MAXIMIZED=FALSE&amp;creator=factset&amp;display_string=Audit"}</definedName>
    <definedName name="_1416__FDSAUDITLINK__" hidden="1">{"fdsup://Directions/FactSet Auditing Viewer?action=AUDIT_VALUE&amp;DB=129&amp;ID1=48203R10&amp;VALUEID=02001&amp;SDATE=200802&amp;PERIODTYPE=QTR_STD&amp;SCFT=3&amp;window=popup_no_bar&amp;width=385&amp;height=120&amp;START_MAXIMIZED=FALSE&amp;creator=factset&amp;display_string=Audit"}</definedName>
    <definedName name="_1417__FDSAUDITLINK__" localSheetId="7" hidden="1">{"fdsup://Directions/FactSet Auditing Viewer?action=AUDIT_VALUE&amp;DB=129&amp;ID1=46069S10&amp;VALUEID=02001&amp;SDATE=200802&amp;PERIODTYPE=QTR_STD&amp;SCFT=3&amp;window=popup_no_bar&amp;width=385&amp;height=120&amp;START_MAXIMIZED=FALSE&amp;creator=factset&amp;display_string=Audit"}</definedName>
    <definedName name="_1417__FDSAUDITLINK__" hidden="1">{"fdsup://Directions/FactSet Auditing Viewer?action=AUDIT_VALUE&amp;DB=129&amp;ID1=46069S10&amp;VALUEID=02001&amp;SDATE=200802&amp;PERIODTYPE=QTR_STD&amp;SCFT=3&amp;window=popup_no_bar&amp;width=385&amp;height=120&amp;START_MAXIMIZED=FALSE&amp;creator=factset&amp;display_string=Audit"}</definedName>
    <definedName name="_1418__FDSAUDITLINK__" localSheetId="7" hidden="1">{"fdsup://Directions/FactSet Auditing Viewer?action=AUDIT_VALUE&amp;DB=129&amp;ID1=46069S10&amp;VALUEID=02001&amp;SDATE=200802&amp;PERIODTYPE=QTR_STD&amp;SCFT=3&amp;window=popup_no_bar&amp;width=385&amp;height=120&amp;START_MAXIMIZED=FALSE&amp;creator=factset&amp;display_string=Audit"}</definedName>
    <definedName name="_1418__FDSAUDITLINK__" hidden="1">{"fdsup://Directions/FactSet Auditing Viewer?action=AUDIT_VALUE&amp;DB=129&amp;ID1=46069S10&amp;VALUEID=02001&amp;SDATE=200802&amp;PERIODTYPE=QTR_STD&amp;SCFT=3&amp;window=popup_no_bar&amp;width=385&amp;height=120&amp;START_MAXIMIZED=FALSE&amp;creator=factset&amp;display_string=Audit"}</definedName>
    <definedName name="_1419__FDSAUDITLINK__" localSheetId="7" hidden="1">{"fdsup://Directions/FactSet Auditing Viewer?action=AUDIT_VALUE&amp;DB=129&amp;ID1=45814010&amp;VALUEID=02001&amp;SDATE=200802&amp;PERIODTYPE=QTR_STD&amp;SCFT=3&amp;window=popup_no_bar&amp;width=385&amp;height=120&amp;START_MAXIMIZED=FALSE&amp;creator=factset&amp;display_string=Audit"}</definedName>
    <definedName name="_1419__FDSAUDITLINK__" hidden="1">{"fdsup://Directions/FactSet Auditing Viewer?action=AUDIT_VALUE&amp;DB=129&amp;ID1=45814010&amp;VALUEID=02001&amp;SDATE=200802&amp;PERIODTYPE=QTR_STD&amp;SCFT=3&amp;window=popup_no_bar&amp;width=385&amp;height=120&amp;START_MAXIMIZED=FALSE&amp;creator=factset&amp;display_string=Audit"}</definedName>
    <definedName name="_142__FDSAUDITLINK__" localSheetId="7" hidden="1">{"fdsup://Directions/FactSet Auditing Viewer?action=AUDIT_VALUE&amp;DB=129&amp;ID1=03822W40&amp;VALUEID=02001&amp;SDATE=201004&amp;PERIODTYPE=QTR_STD&amp;SCFT=3&amp;window=popup_no_bar&amp;width=385&amp;height=120&amp;START_MAXIMIZED=FALSE&amp;creator=factset&amp;display_string=Audit"}</definedName>
    <definedName name="_142__FDSAUDITLINK__" hidden="1">{"fdsup://Directions/FactSet Auditing Viewer?action=AUDIT_VALUE&amp;DB=129&amp;ID1=03822W40&amp;VALUEID=02001&amp;SDATE=201004&amp;PERIODTYPE=QTR_STD&amp;SCFT=3&amp;window=popup_no_bar&amp;width=385&amp;height=120&amp;START_MAXIMIZED=FALSE&amp;creator=factset&amp;display_string=Audit"}</definedName>
    <definedName name="_1420__FDSAUDITLINK__" localSheetId="7" hidden="1">{"fdsup://Directions/FactSet Auditing Viewer?action=AUDIT_VALUE&amp;DB=129&amp;ID1=45814010&amp;VALUEID=02001&amp;SDATE=200802&amp;PERIODTYPE=QTR_STD&amp;SCFT=3&amp;window=popup_no_bar&amp;width=385&amp;height=120&amp;START_MAXIMIZED=FALSE&amp;creator=factset&amp;display_string=Audit"}</definedName>
    <definedName name="_1420__FDSAUDITLINK__" hidden="1">{"fdsup://Directions/FactSet Auditing Viewer?action=AUDIT_VALUE&amp;DB=129&amp;ID1=45814010&amp;VALUEID=02001&amp;SDATE=200802&amp;PERIODTYPE=QTR_STD&amp;SCFT=3&amp;window=popup_no_bar&amp;width=385&amp;height=120&amp;START_MAXIMIZED=FALSE&amp;creator=factset&amp;display_string=Audit"}</definedName>
    <definedName name="_1421__FDSAUDITLINK__" localSheetId="7" hidden="1">{"fdsup://Directions/FactSet Auditing Viewer?action=AUDIT_VALUE&amp;DB=129&amp;ID1=45811810&amp;VALUEID=02001&amp;SDATE=200801&amp;PERIODTYPE=QTR_STD&amp;SCFT=3&amp;window=popup_no_bar&amp;width=385&amp;height=120&amp;START_MAXIMIZED=FALSE&amp;creator=factset&amp;display_string=Audit"}</definedName>
    <definedName name="_1421__FDSAUDITLINK__" hidden="1">{"fdsup://Directions/FactSet Auditing Viewer?action=AUDIT_VALUE&amp;DB=129&amp;ID1=45811810&amp;VALUEID=02001&amp;SDATE=200801&amp;PERIODTYPE=QTR_STD&amp;SCFT=3&amp;window=popup_no_bar&amp;width=385&amp;height=120&amp;START_MAXIMIZED=FALSE&amp;creator=factset&amp;display_string=Audit"}</definedName>
    <definedName name="_1422__FDSAUDITLINK__" localSheetId="7" hidden="1">{"fdsup://Directions/FactSet Auditing Viewer?action=AUDIT_VALUE&amp;DB=129&amp;ID1=45811810&amp;VALUEID=02001&amp;SDATE=200801&amp;PERIODTYPE=QTR_STD&amp;SCFT=3&amp;window=popup_no_bar&amp;width=385&amp;height=120&amp;START_MAXIMIZED=FALSE&amp;creator=factset&amp;display_string=Audit"}</definedName>
    <definedName name="_1422__FDSAUDITLINK__" hidden="1">{"fdsup://Directions/FactSet Auditing Viewer?action=AUDIT_VALUE&amp;DB=129&amp;ID1=45811810&amp;VALUEID=02001&amp;SDATE=200801&amp;PERIODTYPE=QTR_STD&amp;SCFT=3&amp;window=popup_no_bar&amp;width=385&amp;height=120&amp;START_MAXIMIZED=FALSE&amp;creator=factset&amp;display_string=Audit"}</definedName>
    <definedName name="_1423__FDSAUDITLINK__" localSheetId="7" hidden="1">{"fdsup://Directions/FactSet Auditing Viewer?action=AUDIT_VALUE&amp;DB=129&amp;ID1=42823610&amp;VALUEID=02001&amp;SDATE=200803&amp;PERIODTYPE=QTR_STD&amp;SCFT=3&amp;window=popup_no_bar&amp;width=385&amp;height=120&amp;START_MAXIMIZED=FALSE&amp;creator=factset&amp;display_string=Audit"}</definedName>
    <definedName name="_1423__FDSAUDITLINK__" hidden="1">{"fdsup://Directions/FactSet Auditing Viewer?action=AUDIT_VALUE&amp;DB=129&amp;ID1=42823610&amp;VALUEID=02001&amp;SDATE=200803&amp;PERIODTYPE=QTR_STD&amp;SCFT=3&amp;window=popup_no_bar&amp;width=385&amp;height=120&amp;START_MAXIMIZED=FALSE&amp;creator=factset&amp;display_string=Audit"}</definedName>
    <definedName name="_1424__FDSAUDITLINK__" localSheetId="7" hidden="1">{"fdsup://Directions/FactSet Auditing Viewer?action=AUDIT_VALUE&amp;DB=129&amp;ID1=42823610&amp;VALUEID=02001&amp;SDATE=200803&amp;PERIODTYPE=QTR_STD&amp;SCFT=3&amp;window=popup_no_bar&amp;width=385&amp;height=120&amp;START_MAXIMIZED=FALSE&amp;creator=factset&amp;display_string=Audit"}</definedName>
    <definedName name="_1424__FDSAUDITLINK__" hidden="1">{"fdsup://Directions/FactSet Auditing Viewer?action=AUDIT_VALUE&amp;DB=129&amp;ID1=42823610&amp;VALUEID=02001&amp;SDATE=200803&amp;PERIODTYPE=QTR_STD&amp;SCFT=3&amp;window=popup_no_bar&amp;width=385&amp;height=120&amp;START_MAXIMIZED=FALSE&amp;creator=factset&amp;display_string=Audit"}</definedName>
    <definedName name="_1425__FDSAUDITLINK__" localSheetId="7" hidden="1">{"fdsup://Directions/FactSet Auditing Viewer?action=AUDIT_VALUE&amp;DB=129&amp;ID1=H2906T10&amp;VALUEID=02001&amp;SDATE=200802&amp;PERIODTYPE=QTR_STD&amp;SCFT=3&amp;window=popup_no_bar&amp;width=385&amp;height=120&amp;START_MAXIMIZED=FALSE&amp;creator=factset&amp;display_string=Audit"}</definedName>
    <definedName name="_1425__FDSAUDITLINK__" hidden="1">{"fdsup://Directions/FactSet Auditing Viewer?action=AUDIT_VALUE&amp;DB=129&amp;ID1=H2906T10&amp;VALUEID=02001&amp;SDATE=200802&amp;PERIODTYPE=QTR_STD&amp;SCFT=3&amp;window=popup_no_bar&amp;width=385&amp;height=120&amp;START_MAXIMIZED=FALSE&amp;creator=factset&amp;display_string=Audit"}</definedName>
    <definedName name="_1426__FDSAUDITLINK__" localSheetId="7" hidden="1">{"fdsup://Directions/FactSet Auditing Viewer?action=AUDIT_VALUE&amp;DB=129&amp;ID1=H2906T10&amp;VALUEID=02001&amp;SDATE=200802&amp;PERIODTYPE=QTR_STD&amp;SCFT=3&amp;window=popup_no_bar&amp;width=385&amp;height=120&amp;START_MAXIMIZED=FALSE&amp;creator=factset&amp;display_string=Audit"}</definedName>
    <definedName name="_1426__FDSAUDITLINK__" hidden="1">{"fdsup://Directions/FactSet Auditing Viewer?action=AUDIT_VALUE&amp;DB=129&amp;ID1=H2906T10&amp;VALUEID=02001&amp;SDATE=200802&amp;PERIODTYPE=QTR_STD&amp;SCFT=3&amp;window=popup_no_bar&amp;width=385&amp;height=120&amp;START_MAXIMIZED=FALSE&amp;creator=factset&amp;display_string=Audit"}</definedName>
    <definedName name="_1427__FDSAUDITLINK__" localSheetId="7" hidden="1">{"fdsup://Directions/FactSet Auditing Viewer?action=AUDIT_VALUE&amp;DB=129&amp;ID1=34637510&amp;VALUEID=02001&amp;SDATE=200802&amp;PERIODTYPE=QTR_STD&amp;SCFT=3&amp;window=popup_no_bar&amp;width=385&amp;height=120&amp;START_MAXIMIZED=FALSE&amp;creator=factset&amp;display_string=Audit"}</definedName>
    <definedName name="_1427__FDSAUDITLINK__" hidden="1">{"fdsup://Directions/FactSet Auditing Viewer?action=AUDIT_VALUE&amp;DB=129&amp;ID1=34637510&amp;VALUEID=02001&amp;SDATE=200802&amp;PERIODTYPE=QTR_STD&amp;SCFT=3&amp;window=popup_no_bar&amp;width=385&amp;height=120&amp;START_MAXIMIZED=FALSE&amp;creator=factset&amp;display_string=Audit"}</definedName>
    <definedName name="_1428__FDSAUDITLINK__" localSheetId="7" hidden="1">{"fdsup://Directions/FactSet Auditing Viewer?action=AUDIT_VALUE&amp;DB=129&amp;ID1=34637510&amp;VALUEID=02001&amp;SDATE=200802&amp;PERIODTYPE=QTR_STD&amp;SCFT=3&amp;window=popup_no_bar&amp;width=385&amp;height=120&amp;START_MAXIMIZED=FALSE&amp;creator=factset&amp;display_string=Audit"}</definedName>
    <definedName name="_1428__FDSAUDITLINK__" hidden="1">{"fdsup://Directions/FactSet Auditing Viewer?action=AUDIT_VALUE&amp;DB=129&amp;ID1=34637510&amp;VALUEID=02001&amp;SDATE=200802&amp;PERIODTYPE=QTR_STD&amp;SCFT=3&amp;window=popup_no_bar&amp;width=385&amp;height=120&amp;START_MAXIMIZED=FALSE&amp;creator=factset&amp;display_string=Audit"}</definedName>
    <definedName name="_1429__FDSAUDITLINK__" localSheetId="7" hidden="1">{"fdsup://Directions/FactSet Auditing Viewer?action=AUDIT_VALUE&amp;DB=129&amp;ID1=31561610&amp;VALUEID=02001&amp;SDATE=200803&amp;PERIODTYPE=QTR_STD&amp;SCFT=3&amp;window=popup_no_bar&amp;width=385&amp;height=120&amp;START_MAXIMIZED=FALSE&amp;creator=factset&amp;display_string=Audit"}</definedName>
    <definedName name="_1429__FDSAUDITLINK__" hidden="1">{"fdsup://Directions/FactSet Auditing Viewer?action=AUDIT_VALUE&amp;DB=129&amp;ID1=31561610&amp;VALUEID=02001&amp;SDATE=200803&amp;PERIODTYPE=QTR_STD&amp;SCFT=3&amp;window=popup_no_bar&amp;width=385&amp;height=120&amp;START_MAXIMIZED=FALSE&amp;creator=factset&amp;display_string=Audit"}</definedName>
    <definedName name="_143__FDSAUDITLINK__" localSheetId="7" hidden="1">{"fdsup://Directions/FactSet Auditing Viewer?action=AUDIT_VALUE&amp;DB=129&amp;ID1=03822210&amp;VALUEID=02001&amp;SDATE=201102&amp;PERIODTYPE=QTR_STD&amp;SCFT=3&amp;window=popup_no_bar&amp;width=385&amp;height=120&amp;START_MAXIMIZED=FALSE&amp;creator=factset&amp;display_string=Audit"}</definedName>
    <definedName name="_143__FDSAUDITLINK__" hidden="1">{"fdsup://Directions/FactSet Auditing Viewer?action=AUDIT_VALUE&amp;DB=129&amp;ID1=03822210&amp;VALUEID=02001&amp;SDATE=201102&amp;PERIODTYPE=QTR_STD&amp;SCFT=3&amp;window=popup_no_bar&amp;width=385&amp;height=120&amp;START_MAXIMIZED=FALSE&amp;creator=factset&amp;display_string=Audit"}</definedName>
    <definedName name="_1430__FDSAUDITLINK__" localSheetId="7" hidden="1">{"fdsup://Directions/FactSet Auditing Viewer?action=AUDIT_VALUE&amp;DB=129&amp;ID1=31561610&amp;VALUEID=02001&amp;SDATE=200803&amp;PERIODTYPE=QTR_STD&amp;SCFT=3&amp;window=popup_no_bar&amp;width=385&amp;height=120&amp;START_MAXIMIZED=FALSE&amp;creator=factset&amp;display_string=Audit"}</definedName>
    <definedName name="_1430__FDSAUDITLINK__" hidden="1">{"fdsup://Directions/FactSet Auditing Viewer?action=AUDIT_VALUE&amp;DB=129&amp;ID1=31561610&amp;VALUEID=02001&amp;SDATE=200803&amp;PERIODTYPE=QTR_STD&amp;SCFT=3&amp;window=popup_no_bar&amp;width=385&amp;height=120&amp;START_MAXIMIZED=FALSE&amp;creator=factset&amp;display_string=Audit"}</definedName>
    <definedName name="_1431__FDSAUDITLINK__" localSheetId="7" hidden="1">{"fdsup://Directions/FactSet Auditing Viewer?action=AUDIT_VALUE&amp;DB=129&amp;ID1=25454310&amp;VALUEID=02001&amp;SDATE=200802&amp;PERIODTYPE=QTR_STD&amp;SCFT=3&amp;window=popup_no_bar&amp;width=385&amp;height=120&amp;START_MAXIMIZED=FALSE&amp;creator=factset&amp;display_string=Audit"}</definedName>
    <definedName name="_1431__FDSAUDITLINK__" hidden="1">{"fdsup://Directions/FactSet Auditing Viewer?action=AUDIT_VALUE&amp;DB=129&amp;ID1=25454310&amp;VALUEID=02001&amp;SDATE=200802&amp;PERIODTYPE=QTR_STD&amp;SCFT=3&amp;window=popup_no_bar&amp;width=385&amp;height=120&amp;START_MAXIMIZED=FALSE&amp;creator=factset&amp;display_string=Audit"}</definedName>
    <definedName name="_1432__FDSAUDITLINK__" localSheetId="7" hidden="1">{"fdsup://Directions/FactSet Auditing Viewer?action=AUDIT_VALUE&amp;DB=129&amp;ID1=25454310&amp;VALUEID=02001&amp;SDATE=200802&amp;PERIODTYPE=QTR_STD&amp;SCFT=3&amp;window=popup_no_bar&amp;width=385&amp;height=120&amp;START_MAXIMIZED=FALSE&amp;creator=factset&amp;display_string=Audit"}</definedName>
    <definedName name="_1432__FDSAUDITLINK__" hidden="1">{"fdsup://Directions/FactSet Auditing Viewer?action=AUDIT_VALUE&amp;DB=129&amp;ID1=25454310&amp;VALUEID=02001&amp;SDATE=200802&amp;PERIODTYPE=QTR_STD&amp;SCFT=3&amp;window=popup_no_bar&amp;width=385&amp;height=120&amp;START_MAXIMIZED=FALSE&amp;creator=factset&amp;display_string=Audit"}</definedName>
    <definedName name="_1433__FDSAUDITLINK__" localSheetId="7" hidden="1">{"fdsup://Directions/FactSet Auditing Viewer?action=AUDIT_VALUE&amp;DB=129&amp;ID1=24702R10&amp;VALUEID=02001&amp;SDATE=200802&amp;PERIODTYPE=QTR_STD&amp;SCFT=3&amp;window=popup_no_bar&amp;width=385&amp;height=120&amp;START_MAXIMIZED=FALSE&amp;creator=factset&amp;display_string=Audit"}</definedName>
    <definedName name="_1433__FDSAUDITLINK__" hidden="1">{"fdsup://Directions/FactSet Auditing Viewer?action=AUDIT_VALUE&amp;DB=129&amp;ID1=24702R10&amp;VALUEID=02001&amp;SDATE=200802&amp;PERIODTYPE=QTR_STD&amp;SCFT=3&amp;window=popup_no_bar&amp;width=385&amp;height=120&amp;START_MAXIMIZED=FALSE&amp;creator=factset&amp;display_string=Audit"}</definedName>
    <definedName name="_1434__FDSAUDITLINK__" localSheetId="7" hidden="1">{"fdsup://Directions/FactSet Auditing Viewer?action=AUDIT_VALUE&amp;DB=129&amp;ID1=24702R10&amp;VALUEID=02001&amp;SDATE=200802&amp;PERIODTYPE=QTR_STD&amp;SCFT=3&amp;window=popup_no_bar&amp;width=385&amp;height=120&amp;START_MAXIMIZED=FALSE&amp;creator=factset&amp;display_string=Audit"}</definedName>
    <definedName name="_1434__FDSAUDITLINK__" hidden="1">{"fdsup://Directions/FactSet Auditing Viewer?action=AUDIT_VALUE&amp;DB=129&amp;ID1=24702R10&amp;VALUEID=02001&amp;SDATE=200802&amp;PERIODTYPE=QTR_STD&amp;SCFT=3&amp;window=popup_no_bar&amp;width=385&amp;height=120&amp;START_MAXIMIZED=FALSE&amp;creator=factset&amp;display_string=Audit"}</definedName>
    <definedName name="_1435__FDSAUDITLINK__" localSheetId="7" hidden="1">{"fdsup://Directions/FactSet Auditing Viewer?action=AUDIT_VALUE&amp;DB=129&amp;ID1=23257210&amp;VALUEID=02001&amp;SDATE=200802&amp;PERIODTYPE=QTR_STD&amp;SCFT=3&amp;window=popup_no_bar&amp;width=385&amp;height=120&amp;START_MAXIMIZED=FALSE&amp;creator=factset&amp;display_string=Audit"}</definedName>
    <definedName name="_1435__FDSAUDITLINK__" hidden="1">{"fdsup://Directions/FactSet Auditing Viewer?action=AUDIT_VALUE&amp;DB=129&amp;ID1=23257210&amp;VALUEID=02001&amp;SDATE=200802&amp;PERIODTYPE=QTR_STD&amp;SCFT=3&amp;window=popup_no_bar&amp;width=385&amp;height=120&amp;START_MAXIMIZED=FALSE&amp;creator=factset&amp;display_string=Audit"}</definedName>
    <definedName name="_1436__FDSAUDITLINK__" localSheetId="7" hidden="1">{"fdsup://Directions/FactSet Auditing Viewer?action=AUDIT_VALUE&amp;DB=129&amp;ID1=23257210&amp;VALUEID=02001&amp;SDATE=200802&amp;PERIODTYPE=QTR_STD&amp;SCFT=3&amp;window=popup_no_bar&amp;width=385&amp;height=120&amp;START_MAXIMIZED=FALSE&amp;creator=factset&amp;display_string=Audit"}</definedName>
    <definedName name="_1436__FDSAUDITLINK__" hidden="1">{"fdsup://Directions/FactSet Auditing Viewer?action=AUDIT_VALUE&amp;DB=129&amp;ID1=23257210&amp;VALUEID=02001&amp;SDATE=200802&amp;PERIODTYPE=QTR_STD&amp;SCFT=3&amp;window=popup_no_bar&amp;width=385&amp;height=120&amp;START_MAXIMIZED=FALSE&amp;creator=factset&amp;display_string=Audit"}</definedName>
    <definedName name="_1437__FDSAUDITLINK__" localSheetId="7" hidden="1">{"fdsup://Directions/FactSet Auditing Viewer?action=AUDIT_VALUE&amp;DB=129&amp;ID1=23280610&amp;VALUEID=02001&amp;SDATE=200802&amp;PERIODTYPE=QTR_STD&amp;SCFT=3&amp;window=popup_no_bar&amp;width=385&amp;height=120&amp;START_MAXIMIZED=FALSE&amp;creator=factset&amp;display_string=Audit"}</definedName>
    <definedName name="_1437__FDSAUDITLINK__" hidden="1">{"fdsup://Directions/FactSet Auditing Viewer?action=AUDIT_VALUE&amp;DB=129&amp;ID1=23280610&amp;VALUEID=02001&amp;SDATE=200802&amp;PERIODTYPE=QTR_STD&amp;SCFT=3&amp;window=popup_no_bar&amp;width=385&amp;height=120&amp;START_MAXIMIZED=FALSE&amp;creator=factset&amp;display_string=Audit"}</definedName>
    <definedName name="_1438__FDSAUDITLINK__" localSheetId="7" hidden="1">{"fdsup://Directions/FactSet Auditing Viewer?action=AUDIT_VALUE&amp;DB=129&amp;ID1=23280610&amp;VALUEID=02001&amp;SDATE=200802&amp;PERIODTYPE=QTR_STD&amp;SCFT=3&amp;window=popup_no_bar&amp;width=385&amp;height=120&amp;START_MAXIMIZED=FALSE&amp;creator=factset&amp;display_string=Audit"}</definedName>
    <definedName name="_1438__FDSAUDITLINK__" hidden="1">{"fdsup://Directions/FactSet Auditing Viewer?action=AUDIT_VALUE&amp;DB=129&amp;ID1=23280610&amp;VALUEID=02001&amp;SDATE=200802&amp;PERIODTYPE=QTR_STD&amp;SCFT=3&amp;window=popup_no_bar&amp;width=385&amp;height=120&amp;START_MAXIMIZED=FALSE&amp;creator=factset&amp;display_string=Audit"}</definedName>
    <definedName name="_1439__FDSAUDITLINK__" localSheetId="7" hidden="1">{"fdsup://Directions/FactSet Auditing Viewer?action=AUDIT_VALUE&amp;DB=129&amp;ID1=20714230&amp;VALUEID=02001&amp;SDATE=200803&amp;PERIODTYPE=QTR_STD&amp;SCFT=3&amp;window=popup_no_bar&amp;width=385&amp;height=120&amp;START_MAXIMIZED=FALSE&amp;creator=factset&amp;display_string=Audit"}</definedName>
    <definedName name="_1439__FDSAUDITLINK__" hidden="1">{"fdsup://Directions/FactSet Auditing Viewer?action=AUDIT_VALUE&amp;DB=129&amp;ID1=20714230&amp;VALUEID=02001&amp;SDATE=200803&amp;PERIODTYPE=QTR_STD&amp;SCFT=3&amp;window=popup_no_bar&amp;width=385&amp;height=120&amp;START_MAXIMIZED=FALSE&amp;creator=factset&amp;display_string=Audit"}</definedName>
    <definedName name="_144__FDSAUDITLINK__" localSheetId="7" hidden="1">{"fdsup://Directions/FactSet Auditing Viewer?action=AUDIT_VALUE&amp;DB=129&amp;ID1=03822210&amp;VALUEID=02001&amp;SDATE=201102&amp;PERIODTYPE=QTR_STD&amp;SCFT=3&amp;window=popup_no_bar&amp;width=385&amp;height=120&amp;START_MAXIMIZED=FALSE&amp;creator=factset&amp;display_string=Audit"}</definedName>
    <definedName name="_144__FDSAUDITLINK__" hidden="1">{"fdsup://Directions/FactSet Auditing Viewer?action=AUDIT_VALUE&amp;DB=129&amp;ID1=03822210&amp;VALUEID=02001&amp;SDATE=201102&amp;PERIODTYPE=QTR_STD&amp;SCFT=3&amp;window=popup_no_bar&amp;width=385&amp;height=120&amp;START_MAXIMIZED=FALSE&amp;creator=factset&amp;display_string=Audit"}</definedName>
    <definedName name="_1440__FDSAUDITLINK__" localSheetId="7" hidden="1">{"fdsup://Directions/FactSet Auditing Viewer?action=AUDIT_VALUE&amp;DB=129&amp;ID1=20714230&amp;VALUEID=02001&amp;SDATE=200803&amp;PERIODTYPE=QTR_STD&amp;SCFT=3&amp;window=popup_no_bar&amp;width=385&amp;height=120&amp;START_MAXIMIZED=FALSE&amp;creator=factset&amp;display_string=Audit"}</definedName>
    <definedName name="_1440__FDSAUDITLINK__" hidden="1">{"fdsup://Directions/FactSet Auditing Viewer?action=AUDIT_VALUE&amp;DB=129&amp;ID1=20714230&amp;VALUEID=02001&amp;SDATE=200803&amp;PERIODTYPE=QTR_STD&amp;SCFT=3&amp;window=popup_no_bar&amp;width=385&amp;height=120&amp;START_MAXIMIZED=FALSE&amp;creator=factset&amp;display_string=Audit"}</definedName>
    <definedName name="_1441__FDSAUDITLINK__" localSheetId="7" hidden="1">{"fdsup://Directions/FactSet Auditing Viewer?action=AUDIT_VALUE&amp;DB=129&amp;ID1=12738710&amp;VALUEID=02001&amp;SDATE=200802&amp;PERIODTYPE=QTR_STD&amp;SCFT=3&amp;window=popup_no_bar&amp;width=385&amp;height=120&amp;START_MAXIMIZED=FALSE&amp;creator=factset&amp;display_string=Audit"}</definedName>
    <definedName name="_1441__FDSAUDITLINK__" hidden="1">{"fdsup://Directions/FactSet Auditing Viewer?action=AUDIT_VALUE&amp;DB=129&amp;ID1=12738710&amp;VALUEID=02001&amp;SDATE=200802&amp;PERIODTYPE=QTR_STD&amp;SCFT=3&amp;window=popup_no_bar&amp;width=385&amp;height=120&amp;START_MAXIMIZED=FALSE&amp;creator=factset&amp;display_string=Audit"}</definedName>
    <definedName name="_1442__FDSAUDITLINK__" localSheetId="7" hidden="1">{"fdsup://Directions/FactSet Auditing Viewer?action=AUDIT_VALUE&amp;DB=129&amp;ID1=12738710&amp;VALUEID=02001&amp;SDATE=200802&amp;PERIODTYPE=QTR_STD&amp;SCFT=3&amp;window=popup_no_bar&amp;width=385&amp;height=120&amp;START_MAXIMIZED=FALSE&amp;creator=factset&amp;display_string=Audit"}</definedName>
    <definedName name="_1442__FDSAUDITLINK__" hidden="1">{"fdsup://Directions/FactSet Auditing Viewer?action=AUDIT_VALUE&amp;DB=129&amp;ID1=12738710&amp;VALUEID=02001&amp;SDATE=200802&amp;PERIODTYPE=QTR_STD&amp;SCFT=3&amp;window=popup_no_bar&amp;width=385&amp;height=120&amp;START_MAXIMIZED=FALSE&amp;creator=factset&amp;display_string=Audit"}</definedName>
    <definedName name="_1443__FDSAUDITLINK__" localSheetId="7" hidden="1">{"fdsup://Directions/FactSet Auditing Viewer?action=AUDIT_VALUE&amp;DB=129&amp;ID1=14964U10&amp;VALUEID=02001&amp;SDATE=200802&amp;PERIODTYPE=QTR_STD&amp;SCFT=3&amp;window=popup_no_bar&amp;width=385&amp;height=120&amp;START_MAXIMIZED=FALSE&amp;creator=factset&amp;display_string=Audit"}</definedName>
    <definedName name="_1443__FDSAUDITLINK__" hidden="1">{"fdsup://Directions/FactSet Auditing Viewer?action=AUDIT_VALUE&amp;DB=129&amp;ID1=14964U10&amp;VALUEID=02001&amp;SDATE=200802&amp;PERIODTYPE=QTR_STD&amp;SCFT=3&amp;window=popup_no_bar&amp;width=385&amp;height=120&amp;START_MAXIMIZED=FALSE&amp;creator=factset&amp;display_string=Audit"}</definedName>
    <definedName name="_1444__FDSAUDITLINK__" localSheetId="7" hidden="1">{"fdsup://Directions/FactSet Auditing Viewer?action=AUDIT_VALUE&amp;DB=129&amp;ID1=14964U10&amp;VALUEID=02001&amp;SDATE=200802&amp;PERIODTYPE=QTR_STD&amp;SCFT=3&amp;window=popup_no_bar&amp;width=385&amp;height=120&amp;START_MAXIMIZED=FALSE&amp;creator=factset&amp;display_string=Audit"}</definedName>
    <definedName name="_1444__FDSAUDITLINK__" hidden="1">{"fdsup://Directions/FactSet Auditing Viewer?action=AUDIT_VALUE&amp;DB=129&amp;ID1=14964U10&amp;VALUEID=02001&amp;SDATE=200802&amp;PERIODTYPE=QTR_STD&amp;SCFT=3&amp;window=popup_no_bar&amp;width=385&amp;height=120&amp;START_MAXIMIZED=FALSE&amp;creator=factset&amp;display_string=Audit"}</definedName>
    <definedName name="_1445__FDSAUDITLINK__" localSheetId="7" hidden="1">{"fdsup://Directions/FactSet Auditing Viewer?action=AUDIT_VALUE&amp;DB=129&amp;ID1=11162130&amp;VALUEID=02001&amp;SDATE=200803&amp;PERIODTYPE=QTR_STD&amp;SCFT=3&amp;window=popup_no_bar&amp;width=385&amp;height=120&amp;START_MAXIMIZED=FALSE&amp;creator=factset&amp;display_string=Audit"}</definedName>
    <definedName name="_1445__FDSAUDITLINK__" hidden="1">{"fdsup://Directions/FactSet Auditing Viewer?action=AUDIT_VALUE&amp;DB=129&amp;ID1=11162130&amp;VALUEID=02001&amp;SDATE=200803&amp;PERIODTYPE=QTR_STD&amp;SCFT=3&amp;window=popup_no_bar&amp;width=385&amp;height=120&amp;START_MAXIMIZED=FALSE&amp;creator=factset&amp;display_string=Audit"}</definedName>
    <definedName name="_1446__FDSAUDITLINK__" localSheetId="7" hidden="1">{"fdsup://Directions/FactSet Auditing Viewer?action=AUDIT_VALUE&amp;DB=129&amp;ID1=11162130&amp;VALUEID=02001&amp;SDATE=200803&amp;PERIODTYPE=QTR_STD&amp;SCFT=3&amp;window=popup_no_bar&amp;width=385&amp;height=120&amp;START_MAXIMIZED=FALSE&amp;creator=factset&amp;display_string=Audit"}</definedName>
    <definedName name="_1446__FDSAUDITLINK__" hidden="1">{"fdsup://Directions/FactSet Auditing Viewer?action=AUDIT_VALUE&amp;DB=129&amp;ID1=11162130&amp;VALUEID=02001&amp;SDATE=200803&amp;PERIODTYPE=QTR_STD&amp;SCFT=3&amp;window=popup_no_bar&amp;width=385&amp;height=120&amp;START_MAXIMIZED=FALSE&amp;creator=factset&amp;display_string=Audit"}</definedName>
    <definedName name="_1447__FDSAUDITLINK__" localSheetId="7" hidden="1">{"fdsup://Directions/FactSet Auditing Viewer?action=AUDIT_VALUE&amp;DB=129&amp;ID1=04743P10&amp;VALUEID=02001&amp;SDATE=200802&amp;PERIODTYPE=QTR_STD&amp;SCFT=3&amp;window=popup_no_bar&amp;width=385&amp;height=120&amp;START_MAXIMIZED=FALSE&amp;creator=factset&amp;display_string=Audit"}</definedName>
    <definedName name="_1447__FDSAUDITLINK__" hidden="1">{"fdsup://Directions/FactSet Auditing Viewer?action=AUDIT_VALUE&amp;DB=129&amp;ID1=04743P10&amp;VALUEID=02001&amp;SDATE=200802&amp;PERIODTYPE=QTR_STD&amp;SCFT=3&amp;window=popup_no_bar&amp;width=385&amp;height=120&amp;START_MAXIMIZED=FALSE&amp;creator=factset&amp;display_string=Audit"}</definedName>
    <definedName name="_1448__FDSAUDITLINK__" localSheetId="7" hidden="1">{"fdsup://Directions/FactSet Auditing Viewer?action=AUDIT_VALUE&amp;DB=129&amp;ID1=04743P10&amp;VALUEID=02001&amp;SDATE=200802&amp;PERIODTYPE=QTR_STD&amp;SCFT=3&amp;window=popup_no_bar&amp;width=385&amp;height=120&amp;START_MAXIMIZED=FALSE&amp;creator=factset&amp;display_string=Audit"}</definedName>
    <definedName name="_1448__FDSAUDITLINK__" hidden="1">{"fdsup://Directions/FactSet Auditing Viewer?action=AUDIT_VALUE&amp;DB=129&amp;ID1=04743P10&amp;VALUEID=02001&amp;SDATE=200802&amp;PERIODTYPE=QTR_STD&amp;SCFT=3&amp;window=popup_no_bar&amp;width=385&amp;height=120&amp;START_MAXIMIZED=FALSE&amp;creator=factset&amp;display_string=Audit"}</definedName>
    <definedName name="_1449__FDSAUDITLINK__" localSheetId="7" hidden="1">{"fdsup://Directions/FactSet Auditing Viewer?action=AUDIT_VALUE&amp;DB=129&amp;ID1=03251510&amp;VALUEID=02001&amp;SDATE=200802&amp;PERIODTYPE=QTR_STD&amp;SCFT=3&amp;window=popup_no_bar&amp;width=385&amp;height=120&amp;START_MAXIMIZED=FALSE&amp;creator=factset&amp;display_string=Audit"}</definedName>
    <definedName name="_1449__FDSAUDITLINK__" hidden="1">{"fdsup://Directions/FactSet Auditing Viewer?action=AUDIT_VALUE&amp;DB=129&amp;ID1=03251510&amp;VALUEID=02001&amp;SDATE=200802&amp;PERIODTYPE=QTR_STD&amp;SCFT=3&amp;window=popup_no_bar&amp;width=385&amp;height=120&amp;START_MAXIMIZED=FALSE&amp;creator=factset&amp;display_string=Audit"}</definedName>
    <definedName name="_145__FDSAUDITLINK__" localSheetId="7" hidden="1">{"fdsup://Directions/FactSet Auditing Viewer?action=AUDIT_VALUE&amp;DB=129&amp;ID1=02144110&amp;VALUEID=02001&amp;SDATE=201101&amp;PERIODTYPE=QTR_STD&amp;SCFT=3&amp;window=popup_no_bar&amp;width=385&amp;height=120&amp;START_MAXIMIZED=FALSE&amp;creator=factset&amp;display_string=Audit"}</definedName>
    <definedName name="_145__FDSAUDITLINK__" hidden="1">{"fdsup://Directions/FactSet Auditing Viewer?action=AUDIT_VALUE&amp;DB=129&amp;ID1=02144110&amp;VALUEID=02001&amp;SDATE=201101&amp;PERIODTYPE=QTR_STD&amp;SCFT=3&amp;window=popup_no_bar&amp;width=385&amp;height=120&amp;START_MAXIMIZED=FALSE&amp;creator=factset&amp;display_string=Audit"}</definedName>
    <definedName name="_1450__FDSAUDITLINK__" localSheetId="7" hidden="1">{"fdsup://Directions/FactSet Auditing Viewer?action=AUDIT_VALUE&amp;DB=129&amp;ID1=03251510&amp;VALUEID=02001&amp;SDATE=200802&amp;PERIODTYPE=QTR_STD&amp;SCFT=3&amp;window=popup_no_bar&amp;width=385&amp;height=120&amp;START_MAXIMIZED=FALSE&amp;creator=factset&amp;display_string=Audit"}</definedName>
    <definedName name="_1450__FDSAUDITLINK__" hidden="1">{"fdsup://Directions/FactSet Auditing Viewer?action=AUDIT_VALUE&amp;DB=129&amp;ID1=03251510&amp;VALUEID=02001&amp;SDATE=200802&amp;PERIODTYPE=QTR_STD&amp;SCFT=3&amp;window=popup_no_bar&amp;width=385&amp;height=120&amp;START_MAXIMIZED=FALSE&amp;creator=factset&amp;display_string=Audit"}</definedName>
    <definedName name="_1451__FDSAUDITLINK__" localSheetId="7" hidden="1">{"fdsup://Directions/FactSet Auditing Viewer?action=AUDIT_VALUE&amp;DB=129&amp;ID1=00790310&amp;VALUEID=02001&amp;SDATE=200802&amp;PERIODTYPE=QTR_STD&amp;SCFT=3&amp;window=popup_no_bar&amp;width=385&amp;height=120&amp;START_MAXIMIZED=FALSE&amp;creator=factset&amp;display_string=Audit"}</definedName>
    <definedName name="_1451__FDSAUDITLINK__" hidden="1">{"fdsup://Directions/FactSet Auditing Viewer?action=AUDIT_VALUE&amp;DB=129&amp;ID1=00790310&amp;VALUEID=02001&amp;SDATE=200802&amp;PERIODTYPE=QTR_STD&amp;SCFT=3&amp;window=popup_no_bar&amp;width=385&amp;height=120&amp;START_MAXIMIZED=FALSE&amp;creator=factset&amp;display_string=Audit"}</definedName>
    <definedName name="_1452__FDSAUDITLINK__" localSheetId="7" hidden="1">{"fdsup://Directions/FactSet Auditing Viewer?action=AUDIT_VALUE&amp;DB=129&amp;ID1=00790310&amp;VALUEID=02001&amp;SDATE=200802&amp;PERIODTYPE=QTR_STD&amp;SCFT=3&amp;window=popup_no_bar&amp;width=385&amp;height=120&amp;START_MAXIMIZED=FALSE&amp;creator=factset&amp;display_string=Audit"}</definedName>
    <definedName name="_1452__FDSAUDITLINK__" hidden="1">{"fdsup://Directions/FactSet Auditing Viewer?action=AUDIT_VALUE&amp;DB=129&amp;ID1=00790310&amp;VALUEID=02001&amp;SDATE=200802&amp;PERIODTYPE=QTR_STD&amp;SCFT=3&amp;window=popup_no_bar&amp;width=385&amp;height=120&amp;START_MAXIMIZED=FALSE&amp;creator=factset&amp;display_string=Audit"}</definedName>
    <definedName name="_1453__FDSAUDITLINK__" localSheetId="7" hidden="1">{"fdsup://Directions/FactSet Auditing Viewer?action=AUDIT_VALUE&amp;DB=129&amp;ID1=03822W40&amp;VALUEID=02001&amp;SDATE=200801&amp;PERIODTYPE=QTR_STD&amp;SCFT=3&amp;window=popup_no_bar&amp;width=385&amp;height=120&amp;START_MAXIMIZED=FALSE&amp;creator=factset&amp;display_string=Audit"}</definedName>
    <definedName name="_1453__FDSAUDITLINK__" hidden="1">{"fdsup://Directions/FactSet Auditing Viewer?action=AUDIT_VALUE&amp;DB=129&amp;ID1=03822W40&amp;VALUEID=02001&amp;SDATE=200801&amp;PERIODTYPE=QTR_STD&amp;SCFT=3&amp;window=popup_no_bar&amp;width=385&amp;height=120&amp;START_MAXIMIZED=FALSE&amp;creator=factset&amp;display_string=Audit"}</definedName>
    <definedName name="_1454__FDSAUDITLINK__" localSheetId="7" hidden="1">{"fdsup://Directions/FactSet Auditing Viewer?action=AUDIT_VALUE&amp;DB=129&amp;ID1=03822W40&amp;VALUEID=02001&amp;SDATE=200801&amp;PERIODTYPE=QTR_STD&amp;SCFT=3&amp;window=popup_no_bar&amp;width=385&amp;height=120&amp;START_MAXIMIZED=FALSE&amp;creator=factset&amp;display_string=Audit"}</definedName>
    <definedName name="_1454__FDSAUDITLINK__" hidden="1">{"fdsup://Directions/FactSet Auditing Viewer?action=AUDIT_VALUE&amp;DB=129&amp;ID1=03822W40&amp;VALUEID=02001&amp;SDATE=200801&amp;PERIODTYPE=QTR_STD&amp;SCFT=3&amp;window=popup_no_bar&amp;width=385&amp;height=120&amp;START_MAXIMIZED=FALSE&amp;creator=factset&amp;display_string=Audit"}</definedName>
    <definedName name="_1455__FDSAUDITLINK__" localSheetId="7" hidden="1">{"fdsup://Directions/FactSet Auditing Viewer?action=AUDIT_VALUE&amp;DB=129&amp;ID1=03822210&amp;VALUEID=02001&amp;SDATE=200803&amp;PERIODTYPE=QTR_STD&amp;SCFT=3&amp;window=popup_no_bar&amp;width=385&amp;height=120&amp;START_MAXIMIZED=FALSE&amp;creator=factset&amp;display_string=Audit"}</definedName>
    <definedName name="_1455__FDSAUDITLINK__" hidden="1">{"fdsup://Directions/FactSet Auditing Viewer?action=AUDIT_VALUE&amp;DB=129&amp;ID1=03822210&amp;VALUEID=02001&amp;SDATE=200803&amp;PERIODTYPE=QTR_STD&amp;SCFT=3&amp;window=popup_no_bar&amp;width=385&amp;height=120&amp;START_MAXIMIZED=FALSE&amp;creator=factset&amp;display_string=Audit"}</definedName>
    <definedName name="_1456__FDSAUDITLINK__" localSheetId="7" hidden="1">{"fdsup://Directions/FactSet Auditing Viewer?action=AUDIT_VALUE&amp;DB=129&amp;ID1=03822210&amp;VALUEID=02001&amp;SDATE=200803&amp;PERIODTYPE=QTR_STD&amp;SCFT=3&amp;window=popup_no_bar&amp;width=385&amp;height=120&amp;START_MAXIMIZED=FALSE&amp;creator=factset&amp;display_string=Audit"}</definedName>
    <definedName name="_1456__FDSAUDITLINK__" hidden="1">{"fdsup://Directions/FactSet Auditing Viewer?action=AUDIT_VALUE&amp;DB=129&amp;ID1=03822210&amp;VALUEID=02001&amp;SDATE=200803&amp;PERIODTYPE=QTR_STD&amp;SCFT=3&amp;window=popup_no_bar&amp;width=385&amp;height=120&amp;START_MAXIMIZED=FALSE&amp;creator=factset&amp;display_string=Audit"}</definedName>
    <definedName name="_1457__FDSAUDITLINK__" localSheetId="7" hidden="1">{"fdsup://Directions/FactSet Auditing Viewer?action=AUDIT_VALUE&amp;DB=129&amp;ID1=02144110&amp;VALUEID=02001&amp;SDATE=200802&amp;PERIODTYPE=QTR_STD&amp;SCFT=3&amp;window=popup_no_bar&amp;width=385&amp;height=120&amp;START_MAXIMIZED=FALSE&amp;creator=factset&amp;display_string=Audit"}</definedName>
    <definedName name="_1457__FDSAUDITLINK__" hidden="1">{"fdsup://Directions/FactSet Auditing Viewer?action=AUDIT_VALUE&amp;DB=129&amp;ID1=02144110&amp;VALUEID=02001&amp;SDATE=200802&amp;PERIODTYPE=QTR_STD&amp;SCFT=3&amp;window=popup_no_bar&amp;width=385&amp;height=120&amp;START_MAXIMIZED=FALSE&amp;creator=factset&amp;display_string=Audit"}</definedName>
    <definedName name="_1458__FDSAUDITLINK__" localSheetId="7" hidden="1">{"fdsup://Directions/FactSet Auditing Viewer?action=AUDIT_VALUE&amp;DB=129&amp;ID1=02144110&amp;VALUEID=02001&amp;SDATE=200802&amp;PERIODTYPE=QTR_STD&amp;SCFT=3&amp;window=popup_no_bar&amp;width=385&amp;height=120&amp;START_MAXIMIZED=FALSE&amp;creator=factset&amp;display_string=Audit"}</definedName>
    <definedName name="_1458__FDSAUDITLINK__" hidden="1">{"fdsup://Directions/FactSet Auditing Viewer?action=AUDIT_VALUE&amp;DB=129&amp;ID1=02144110&amp;VALUEID=02001&amp;SDATE=200802&amp;PERIODTYPE=QTR_STD&amp;SCFT=3&amp;window=popup_no_bar&amp;width=385&amp;height=120&amp;START_MAXIMIZED=FALSE&amp;creator=factset&amp;display_string=Audit"}</definedName>
    <definedName name="_1459__FDSAUDITLINK__" localSheetId="7" hidden="1">{"fdsup://Directions/FactSet Auditing Viewer?action=AUDIT_VALUE&amp;DB=129&amp;ID1=03265410&amp;VALUEID=02001&amp;SDATE=200803&amp;PERIODTYPE=QTR_STD&amp;SCFT=3&amp;window=popup_no_bar&amp;width=385&amp;height=120&amp;START_MAXIMIZED=FALSE&amp;creator=factset&amp;display_string=Audit"}</definedName>
    <definedName name="_1459__FDSAUDITLINK__" hidden="1">{"fdsup://Directions/FactSet Auditing Viewer?action=AUDIT_VALUE&amp;DB=129&amp;ID1=03265410&amp;VALUEID=02001&amp;SDATE=200803&amp;PERIODTYPE=QTR_STD&amp;SCFT=3&amp;window=popup_no_bar&amp;width=385&amp;height=120&amp;START_MAXIMIZED=FALSE&amp;creator=factset&amp;display_string=Audit"}</definedName>
    <definedName name="_146__FDSAUDITLINK__" localSheetId="7" hidden="1">{"fdsup://Directions/FactSet Auditing Viewer?action=AUDIT_VALUE&amp;DB=129&amp;ID1=02144110&amp;VALUEID=02001&amp;SDATE=201101&amp;PERIODTYPE=QTR_STD&amp;SCFT=3&amp;window=popup_no_bar&amp;width=385&amp;height=120&amp;START_MAXIMIZED=FALSE&amp;creator=factset&amp;display_string=Audit"}</definedName>
    <definedName name="_146__FDSAUDITLINK__" hidden="1">{"fdsup://Directions/FactSet Auditing Viewer?action=AUDIT_VALUE&amp;DB=129&amp;ID1=02144110&amp;VALUEID=02001&amp;SDATE=201101&amp;PERIODTYPE=QTR_STD&amp;SCFT=3&amp;window=popup_no_bar&amp;width=385&amp;height=120&amp;START_MAXIMIZED=FALSE&amp;creator=factset&amp;display_string=Audit"}</definedName>
    <definedName name="_1460__FDSAUDITLINK__" localSheetId="7" hidden="1">{"fdsup://Directions/FactSet Auditing Viewer?action=AUDIT_VALUE&amp;DB=129&amp;ID1=03265410&amp;VALUEID=02001&amp;SDATE=200803&amp;PERIODTYPE=QTR_STD&amp;SCFT=3&amp;window=popup_no_bar&amp;width=385&amp;height=120&amp;START_MAXIMIZED=FALSE&amp;creator=factset&amp;display_string=Audit"}</definedName>
    <definedName name="_1460__FDSAUDITLINK__" hidden="1">{"fdsup://Directions/FactSet Auditing Viewer?action=AUDIT_VALUE&amp;DB=129&amp;ID1=03265410&amp;VALUEID=02001&amp;SDATE=200803&amp;PERIODTYPE=QTR_STD&amp;SCFT=3&amp;window=popup_no_bar&amp;width=385&amp;height=120&amp;START_MAXIMIZED=FALSE&amp;creator=factset&amp;display_string=Audit"}</definedName>
    <definedName name="_1461__FDSAUDITLINK__" localSheetId="7" hidden="1">{"fdsup://Directions/FactSet Auditing Viewer?action=AUDIT_VALUE&amp;DB=129&amp;ID1=00752J10&amp;VALUEID=02001&amp;SDATE=200802&amp;PERIODTYPE=QTR_STD&amp;SCFT=3&amp;window=popup_no_bar&amp;width=385&amp;height=120&amp;START_MAXIMIZED=FALSE&amp;creator=factset&amp;display_string=Audit"}</definedName>
    <definedName name="_1461__FDSAUDITLINK__" hidden="1">{"fdsup://Directions/FactSet Auditing Viewer?action=AUDIT_VALUE&amp;DB=129&amp;ID1=00752J10&amp;VALUEID=02001&amp;SDATE=200802&amp;PERIODTYPE=QTR_STD&amp;SCFT=3&amp;window=popup_no_bar&amp;width=385&amp;height=120&amp;START_MAXIMIZED=FALSE&amp;creator=factset&amp;display_string=Audit"}</definedName>
    <definedName name="_1462__FDSAUDITLINK__" localSheetId="7" hidden="1">{"fdsup://Directions/FactSet Auditing Viewer?action=AUDIT_VALUE&amp;DB=129&amp;ID1=00752J10&amp;VALUEID=02001&amp;SDATE=200802&amp;PERIODTYPE=QTR_STD&amp;SCFT=3&amp;window=popup_no_bar&amp;width=385&amp;height=120&amp;START_MAXIMIZED=FALSE&amp;creator=factset&amp;display_string=Audit"}</definedName>
    <definedName name="_1462__FDSAUDITLINK__" hidden="1">{"fdsup://Directions/FactSet Auditing Viewer?action=AUDIT_VALUE&amp;DB=129&amp;ID1=00752J10&amp;VALUEID=02001&amp;SDATE=200802&amp;PERIODTYPE=QTR_STD&amp;SCFT=3&amp;window=popup_no_bar&amp;width=385&amp;height=120&amp;START_MAXIMIZED=FALSE&amp;creator=factset&amp;display_string=Audit"}</definedName>
    <definedName name="_1463__FDSAUDITLINK__" localSheetId="7" hidden="1">{"fdsup://Directions/FactSet Auditing Viewer?action=AUDIT_VALUE&amp;DB=129&amp;ID1=98975F10&amp;VALUEID=02001&amp;SDATE=200801&amp;PERIODTYPE=QTR_STD&amp;SCFT=3&amp;window=popup_no_bar&amp;width=385&amp;height=120&amp;START_MAXIMIZED=FALSE&amp;creator=factset&amp;display_string=Audit"}</definedName>
    <definedName name="_1463__FDSAUDITLINK__" hidden="1">{"fdsup://Directions/FactSet Auditing Viewer?action=AUDIT_VALUE&amp;DB=129&amp;ID1=98975F10&amp;VALUEID=02001&amp;SDATE=200801&amp;PERIODTYPE=QTR_STD&amp;SCFT=3&amp;window=popup_no_bar&amp;width=385&amp;height=120&amp;START_MAXIMIZED=FALSE&amp;creator=factset&amp;display_string=Audit"}</definedName>
    <definedName name="_1464__FDSAUDITLINK__" localSheetId="7" hidden="1">{"fdsup://Directions/FactSet Auditing Viewer?action=AUDIT_VALUE&amp;DB=129&amp;ID1=98975F10&amp;VALUEID=02001&amp;SDATE=200801&amp;PERIODTYPE=QTR_STD&amp;SCFT=3&amp;window=popup_no_bar&amp;width=385&amp;height=120&amp;START_MAXIMIZED=FALSE&amp;creator=factset&amp;display_string=Audit"}</definedName>
    <definedName name="_1464__FDSAUDITLINK__" hidden="1">{"fdsup://Directions/FactSet Auditing Viewer?action=AUDIT_VALUE&amp;DB=129&amp;ID1=98975F10&amp;VALUEID=02001&amp;SDATE=200801&amp;PERIODTYPE=QTR_STD&amp;SCFT=3&amp;window=popup_no_bar&amp;width=385&amp;height=120&amp;START_MAXIMIZED=FALSE&amp;creator=factset&amp;display_string=Audit"}</definedName>
    <definedName name="_1465__FDSAUDITLINK__" localSheetId="7" hidden="1">{"fdsup://Directions/FactSet Auditing Viewer?action=AUDIT_VALUE&amp;DB=129&amp;ID1=98391910&amp;VALUEID=02001&amp;SDATE=200704&amp;PERIODTYPE=QTR_STD&amp;SCFT=3&amp;window=popup_no_bar&amp;width=385&amp;height=120&amp;START_MAXIMIZED=FALSE&amp;creator=factset&amp;display_string=Audit"}</definedName>
    <definedName name="_1465__FDSAUDITLINK__" hidden="1">{"fdsup://Directions/FactSet Auditing Viewer?action=AUDIT_VALUE&amp;DB=129&amp;ID1=98391910&amp;VALUEID=02001&amp;SDATE=200704&amp;PERIODTYPE=QTR_STD&amp;SCFT=3&amp;window=popup_no_bar&amp;width=385&amp;height=120&amp;START_MAXIMIZED=FALSE&amp;creator=factset&amp;display_string=Audit"}</definedName>
    <definedName name="_1466__FDSAUDITLINK__" localSheetId="7" hidden="1">{"fdsup://Directions/FactSet Auditing Viewer?action=AUDIT_VALUE&amp;DB=129&amp;ID1=98391910&amp;VALUEID=02001&amp;SDATE=200704&amp;PERIODTYPE=QTR_STD&amp;SCFT=3&amp;window=popup_no_bar&amp;width=385&amp;height=120&amp;START_MAXIMIZED=FALSE&amp;creator=factset&amp;display_string=Audit"}</definedName>
    <definedName name="_1466__FDSAUDITLINK__" hidden="1">{"fdsup://Directions/FactSet Auditing Viewer?action=AUDIT_VALUE&amp;DB=129&amp;ID1=98391910&amp;VALUEID=02001&amp;SDATE=200704&amp;PERIODTYPE=QTR_STD&amp;SCFT=3&amp;window=popup_no_bar&amp;width=385&amp;height=120&amp;START_MAXIMIZED=FALSE&amp;creator=factset&amp;display_string=Audit"}</definedName>
    <definedName name="_1467__FDSAUDITLINK__" localSheetId="7" hidden="1">{"fdsup://Directions/FactSet Auditing Viewer?action=AUDIT_VALUE&amp;DB=129&amp;ID1=95810210&amp;VALUEID=02001&amp;SDATE=200803&amp;PERIODTYPE=QTR_STD&amp;SCFT=3&amp;window=popup_no_bar&amp;width=385&amp;height=120&amp;START_MAXIMIZED=FALSE&amp;creator=factset&amp;display_string=Audit"}</definedName>
    <definedName name="_1467__FDSAUDITLINK__" hidden="1">{"fdsup://Directions/FactSet Auditing Viewer?action=AUDIT_VALUE&amp;DB=129&amp;ID1=95810210&amp;VALUEID=02001&amp;SDATE=200803&amp;PERIODTYPE=QTR_STD&amp;SCFT=3&amp;window=popup_no_bar&amp;width=385&amp;height=120&amp;START_MAXIMIZED=FALSE&amp;creator=factset&amp;display_string=Audit"}</definedName>
    <definedName name="_1468__FDSAUDITLINK__" localSheetId="7" hidden="1">{"fdsup://Directions/FactSet Auditing Viewer?action=AUDIT_VALUE&amp;DB=129&amp;ID1=95810210&amp;VALUEID=02001&amp;SDATE=200803&amp;PERIODTYPE=QTR_STD&amp;SCFT=3&amp;window=popup_no_bar&amp;width=385&amp;height=120&amp;START_MAXIMIZED=FALSE&amp;creator=factset&amp;display_string=Audit"}</definedName>
    <definedName name="_1468__FDSAUDITLINK__" hidden="1">{"fdsup://Directions/FactSet Auditing Viewer?action=AUDIT_VALUE&amp;DB=129&amp;ID1=95810210&amp;VALUEID=02001&amp;SDATE=200803&amp;PERIODTYPE=QTR_STD&amp;SCFT=3&amp;window=popup_no_bar&amp;width=385&amp;height=120&amp;START_MAXIMIZED=FALSE&amp;creator=factset&amp;display_string=Audit"}</definedName>
    <definedName name="_1469__FDSAUDITLINK__" localSheetId="7" hidden="1">{"fdsup://Directions/FactSet Auditing Viewer?action=AUDIT_VALUE&amp;DB=129&amp;ID1=92849730&amp;VALUEID=02001&amp;SDATE=200802&amp;PERIODTYPE=QTR_STD&amp;SCFT=3&amp;window=popup_no_bar&amp;width=385&amp;height=120&amp;START_MAXIMIZED=FALSE&amp;creator=factset&amp;display_string=Audit"}</definedName>
    <definedName name="_1469__FDSAUDITLINK__" hidden="1">{"fdsup://Directions/FactSet Auditing Viewer?action=AUDIT_VALUE&amp;DB=129&amp;ID1=92849730&amp;VALUEID=02001&amp;SDATE=200802&amp;PERIODTYPE=QTR_STD&amp;SCFT=3&amp;window=popup_no_bar&amp;width=385&amp;height=120&amp;START_MAXIMIZED=FALSE&amp;creator=factset&amp;display_string=Audit"}</definedName>
    <definedName name="_147__FDSAUDITLINK__" localSheetId="7" hidden="1">{"fdsup://Directions/FactSet Auditing Viewer?action=AUDIT_VALUE&amp;DB=129&amp;ID1=03265410&amp;VALUEID=02001&amp;SDATE=201102&amp;PERIODTYPE=QTR_STD&amp;SCFT=3&amp;window=popup_no_bar&amp;width=385&amp;height=120&amp;START_MAXIMIZED=FALSE&amp;creator=factset&amp;display_string=Audit"}</definedName>
    <definedName name="_147__FDSAUDITLINK__" hidden="1">{"fdsup://Directions/FactSet Auditing Viewer?action=AUDIT_VALUE&amp;DB=129&amp;ID1=03265410&amp;VALUEID=02001&amp;SDATE=201102&amp;PERIODTYPE=QTR_STD&amp;SCFT=3&amp;window=popup_no_bar&amp;width=385&amp;height=120&amp;START_MAXIMIZED=FALSE&amp;creator=factset&amp;display_string=Audit"}</definedName>
    <definedName name="_1470__FDSAUDITLINK__" localSheetId="7" hidden="1">{"fdsup://Directions/FactSet Auditing Viewer?action=AUDIT_VALUE&amp;DB=129&amp;ID1=92849730&amp;VALUEID=02001&amp;SDATE=200802&amp;PERIODTYPE=QTR_STD&amp;SCFT=3&amp;window=popup_no_bar&amp;width=385&amp;height=120&amp;START_MAXIMIZED=FALSE&amp;creator=factset&amp;display_string=Audit"}</definedName>
    <definedName name="_1470__FDSAUDITLINK__" hidden="1">{"fdsup://Directions/FactSet Auditing Viewer?action=AUDIT_VALUE&amp;DB=129&amp;ID1=92849730&amp;VALUEID=02001&amp;SDATE=200802&amp;PERIODTYPE=QTR_STD&amp;SCFT=3&amp;window=popup_no_bar&amp;width=385&amp;height=120&amp;START_MAXIMIZED=FALSE&amp;creator=factset&amp;display_string=Audit"}</definedName>
    <definedName name="_1471__FDSAUDITLINK__" localSheetId="7" hidden="1">{"fdsup://Directions/FactSet Auditing Viewer?action=AUDIT_VALUE&amp;DB=129&amp;ID1=92829810&amp;VALUEID=02001&amp;SDATE=200801&amp;PERIODTYPE=QTR_STD&amp;SCFT=3&amp;window=popup_no_bar&amp;width=385&amp;height=120&amp;START_MAXIMIZED=FALSE&amp;creator=factset&amp;display_string=Audit"}</definedName>
    <definedName name="_1471__FDSAUDITLINK__" hidden="1">{"fdsup://Directions/FactSet Auditing Viewer?action=AUDIT_VALUE&amp;DB=129&amp;ID1=92829810&amp;VALUEID=02001&amp;SDATE=200801&amp;PERIODTYPE=QTR_STD&amp;SCFT=3&amp;window=popup_no_bar&amp;width=385&amp;height=120&amp;START_MAXIMIZED=FALSE&amp;creator=factset&amp;display_string=Audit"}</definedName>
    <definedName name="_1472__FDSAUDITLINK__" localSheetId="7" hidden="1">{"fdsup://Directions/FactSet Auditing Viewer?action=AUDIT_VALUE&amp;DB=129&amp;ID1=92829810&amp;VALUEID=02001&amp;SDATE=200801&amp;PERIODTYPE=QTR_STD&amp;SCFT=3&amp;window=popup_no_bar&amp;width=385&amp;height=120&amp;START_MAXIMIZED=FALSE&amp;creator=factset&amp;display_string=Audit"}</definedName>
    <definedName name="_1472__FDSAUDITLINK__" hidden="1">{"fdsup://Directions/FactSet Auditing Viewer?action=AUDIT_VALUE&amp;DB=129&amp;ID1=92829810&amp;VALUEID=02001&amp;SDATE=200801&amp;PERIODTYPE=QTR_STD&amp;SCFT=3&amp;window=popup_no_bar&amp;width=385&amp;height=120&amp;START_MAXIMIZED=FALSE&amp;creator=factset&amp;display_string=Audit"}</definedName>
    <definedName name="_1473__FDSAUDITLINK__" localSheetId="7" hidden="1">{"fdsup://Directions/FactSet Auditing Viewer?action=AUDIT_VALUE&amp;DB=129&amp;ID1=88250810&amp;VALUEID=02001&amp;SDATE=200801&amp;PERIODTYPE=QTR_STD&amp;SCFT=3&amp;window=popup_no_bar&amp;width=385&amp;height=120&amp;START_MAXIMIZED=FALSE&amp;creator=factset&amp;display_string=Audit"}</definedName>
    <definedName name="_1473__FDSAUDITLINK__" hidden="1">{"fdsup://Directions/FactSet Auditing Viewer?action=AUDIT_VALUE&amp;DB=129&amp;ID1=88250810&amp;VALUEID=02001&amp;SDATE=200801&amp;PERIODTYPE=QTR_STD&amp;SCFT=3&amp;window=popup_no_bar&amp;width=385&amp;height=120&amp;START_MAXIMIZED=FALSE&amp;creator=factset&amp;display_string=Audit"}</definedName>
    <definedName name="_1474__FDSAUDITLINK__" localSheetId="7" hidden="1">{"fdsup://Directions/FactSet Auditing Viewer?action=AUDIT_VALUE&amp;DB=129&amp;ID1=88250810&amp;VALUEID=02001&amp;SDATE=200801&amp;PERIODTYPE=QTR_STD&amp;SCFT=3&amp;window=popup_no_bar&amp;width=385&amp;height=120&amp;START_MAXIMIZED=FALSE&amp;creator=factset&amp;display_string=Audit"}</definedName>
    <definedName name="_1474__FDSAUDITLINK__" hidden="1">{"fdsup://Directions/FactSet Auditing Viewer?action=AUDIT_VALUE&amp;DB=129&amp;ID1=88250810&amp;VALUEID=02001&amp;SDATE=200801&amp;PERIODTYPE=QTR_STD&amp;SCFT=3&amp;window=popup_no_bar&amp;width=385&amp;height=120&amp;START_MAXIMIZED=FALSE&amp;creator=factset&amp;display_string=Audit"}</definedName>
    <definedName name="_1475__FDSAUDITLINK__" localSheetId="7" hidden="1">{"fdsup://Directions/FactSet Auditing Viewer?action=AUDIT_VALUE&amp;DB=129&amp;ID1=89674K10&amp;VALUEID=02001&amp;SDATE=200801&amp;PERIODTYPE=QTR_STD&amp;SCFT=3&amp;window=popup_no_bar&amp;width=385&amp;height=120&amp;START_MAXIMIZED=FALSE&amp;creator=factset&amp;display_string=Audit"}</definedName>
    <definedName name="_1475__FDSAUDITLINK__" hidden="1">{"fdsup://Directions/FactSet Auditing Viewer?action=AUDIT_VALUE&amp;DB=129&amp;ID1=89674K10&amp;VALUEID=02001&amp;SDATE=200801&amp;PERIODTYPE=QTR_STD&amp;SCFT=3&amp;window=popup_no_bar&amp;width=385&amp;height=120&amp;START_MAXIMIZED=FALSE&amp;creator=factset&amp;display_string=Audit"}</definedName>
    <definedName name="_1476__FDSAUDITLINK__" localSheetId="7" hidden="1">{"fdsup://Directions/FactSet Auditing Viewer?action=AUDIT_VALUE&amp;DB=129&amp;ID1=89674K10&amp;VALUEID=02001&amp;SDATE=200801&amp;PERIODTYPE=QTR_STD&amp;SCFT=3&amp;window=popup_no_bar&amp;width=385&amp;height=120&amp;START_MAXIMIZED=FALSE&amp;creator=factset&amp;display_string=Audit"}</definedName>
    <definedName name="_1476__FDSAUDITLINK__" hidden="1">{"fdsup://Directions/FactSet Auditing Viewer?action=AUDIT_VALUE&amp;DB=129&amp;ID1=89674K10&amp;VALUEID=02001&amp;SDATE=200801&amp;PERIODTYPE=QTR_STD&amp;SCFT=3&amp;window=popup_no_bar&amp;width=385&amp;height=120&amp;START_MAXIMIZED=FALSE&amp;creator=factset&amp;display_string=Audit"}</definedName>
    <definedName name="_1477__FDSAUDITLINK__" localSheetId="7" hidden="1">{"fdsup://Directions/FactSet Auditing Viewer?action=AUDIT_VALUE&amp;DB=129&amp;ID1=83088M10&amp;VALUEID=02001&amp;SDATE=200802&amp;PERIODTYPE=QTR_STD&amp;SCFT=3&amp;window=popup_no_bar&amp;width=385&amp;height=120&amp;START_MAXIMIZED=FALSE&amp;creator=factset&amp;display_string=Audit"}</definedName>
    <definedName name="_1477__FDSAUDITLINK__" hidden="1">{"fdsup://Directions/FactSet Auditing Viewer?action=AUDIT_VALUE&amp;DB=129&amp;ID1=83088M10&amp;VALUEID=02001&amp;SDATE=200802&amp;PERIODTYPE=QTR_STD&amp;SCFT=3&amp;window=popup_no_bar&amp;width=385&amp;height=120&amp;START_MAXIMIZED=FALSE&amp;creator=factset&amp;display_string=Audit"}</definedName>
    <definedName name="_1478__FDSAUDITLINK__" localSheetId="7" hidden="1">{"fdsup://Directions/FactSet Auditing Viewer?action=AUDIT_VALUE&amp;DB=129&amp;ID1=83088M10&amp;VALUEID=02001&amp;SDATE=200802&amp;PERIODTYPE=QTR_STD&amp;SCFT=3&amp;window=popup_no_bar&amp;width=385&amp;height=120&amp;START_MAXIMIZED=FALSE&amp;creator=factset&amp;display_string=Audit"}</definedName>
    <definedName name="_1478__FDSAUDITLINK__" hidden="1">{"fdsup://Directions/FactSet Auditing Viewer?action=AUDIT_VALUE&amp;DB=129&amp;ID1=83088M10&amp;VALUEID=02001&amp;SDATE=200802&amp;PERIODTYPE=QTR_STD&amp;SCFT=3&amp;window=popup_no_bar&amp;width=385&amp;height=120&amp;START_MAXIMIZED=FALSE&amp;creator=factset&amp;display_string=Audit"}</definedName>
    <definedName name="_1479__FDSAUDITLINK__" localSheetId="7" hidden="1">{"fdsup://Directions/FactSet Auditing Viewer?action=AUDIT_VALUE&amp;DB=129&amp;ID1=G7945M10&amp;VALUEID=02001&amp;SDATE=200803&amp;PERIODTYPE=QTR_STD&amp;SCFT=3&amp;window=popup_no_bar&amp;width=385&amp;height=120&amp;START_MAXIMIZED=FALSE&amp;creator=factset&amp;display_string=Audit"}</definedName>
    <definedName name="_1479__FDSAUDITLINK__" hidden="1">{"fdsup://Directions/FactSet Auditing Viewer?action=AUDIT_VALUE&amp;DB=129&amp;ID1=G7945M10&amp;VALUEID=02001&amp;SDATE=200803&amp;PERIODTYPE=QTR_STD&amp;SCFT=3&amp;window=popup_no_bar&amp;width=385&amp;height=120&amp;START_MAXIMIZED=FALSE&amp;creator=factset&amp;display_string=Audit"}</definedName>
    <definedName name="_148__FDSAUDITLINK__" localSheetId="7" hidden="1">{"fdsup://Directions/FactSet Auditing Viewer?action=AUDIT_VALUE&amp;DB=129&amp;ID1=03265410&amp;VALUEID=02001&amp;SDATE=201102&amp;PERIODTYPE=QTR_STD&amp;SCFT=3&amp;window=popup_no_bar&amp;width=385&amp;height=120&amp;START_MAXIMIZED=FALSE&amp;creator=factset&amp;display_string=Audit"}</definedName>
    <definedName name="_148__FDSAUDITLINK__" hidden="1">{"fdsup://Directions/FactSet Auditing Viewer?action=AUDIT_VALUE&amp;DB=129&amp;ID1=03265410&amp;VALUEID=02001&amp;SDATE=201102&amp;PERIODTYPE=QTR_STD&amp;SCFT=3&amp;window=popup_no_bar&amp;width=385&amp;height=120&amp;START_MAXIMIZED=FALSE&amp;creator=factset&amp;display_string=Audit"}</definedName>
    <definedName name="_1480__FDSAUDITLINK__" localSheetId="7" hidden="1">{"fdsup://Directions/FactSet Auditing Viewer?action=AUDIT_VALUE&amp;DB=129&amp;ID1=G7945M10&amp;VALUEID=02001&amp;SDATE=200803&amp;PERIODTYPE=QTR_STD&amp;SCFT=3&amp;window=popup_no_bar&amp;width=385&amp;height=120&amp;START_MAXIMIZED=FALSE&amp;creator=factset&amp;display_string=Audit"}</definedName>
    <definedName name="_1480__FDSAUDITLINK__" hidden="1">{"fdsup://Directions/FactSet Auditing Viewer?action=AUDIT_VALUE&amp;DB=129&amp;ID1=G7945M10&amp;VALUEID=02001&amp;SDATE=200803&amp;PERIODTYPE=QTR_STD&amp;SCFT=3&amp;window=popup_no_bar&amp;width=385&amp;height=120&amp;START_MAXIMIZED=FALSE&amp;creator=factset&amp;display_string=Audit"}</definedName>
    <definedName name="_1481__FDSAUDITLINK__" localSheetId="7" hidden="1">{"fdsup://Directions/FactSet Auditing Viewer?action=AUDIT_VALUE&amp;DB=129&amp;ID1=78477410&amp;VALUEID=02001&amp;SDATE=200801&amp;PERIODTYPE=QTR_STD&amp;SCFT=3&amp;window=popup_no_bar&amp;width=385&amp;height=120&amp;START_MAXIMIZED=FALSE&amp;creator=factset&amp;display_string=Audit"}</definedName>
    <definedName name="_1481__FDSAUDITLINK__" hidden="1">{"fdsup://Directions/FactSet Auditing Viewer?action=AUDIT_VALUE&amp;DB=129&amp;ID1=78477410&amp;VALUEID=02001&amp;SDATE=200801&amp;PERIODTYPE=QTR_STD&amp;SCFT=3&amp;window=popup_no_bar&amp;width=385&amp;height=120&amp;START_MAXIMIZED=FALSE&amp;creator=factset&amp;display_string=Audit"}</definedName>
    <definedName name="_1482__FDSAUDITLINK__" localSheetId="7" hidden="1">{"fdsup://Directions/FactSet Auditing Viewer?action=AUDIT_VALUE&amp;DB=129&amp;ID1=78477410&amp;VALUEID=02001&amp;SDATE=200801&amp;PERIODTYPE=QTR_STD&amp;SCFT=3&amp;window=popup_no_bar&amp;width=385&amp;height=120&amp;START_MAXIMIZED=FALSE&amp;creator=factset&amp;display_string=Audit"}</definedName>
    <definedName name="_1482__FDSAUDITLINK__" hidden="1">{"fdsup://Directions/FactSet Auditing Viewer?action=AUDIT_VALUE&amp;DB=129&amp;ID1=78477410&amp;VALUEID=02001&amp;SDATE=200801&amp;PERIODTYPE=QTR_STD&amp;SCFT=3&amp;window=popup_no_bar&amp;width=385&amp;height=120&amp;START_MAXIMIZED=FALSE&amp;creator=factset&amp;display_string=Audit"}</definedName>
    <definedName name="_1483__FDSAUDITLINK__" localSheetId="7" hidden="1">{"fdsup://Directions/FactSet Auditing Viewer?action=AUDIT_VALUE&amp;DB=129&amp;ID1=82705710&amp;VALUEID=02001&amp;SDATE=200801&amp;PERIODTYPE=QTR_STD&amp;SCFT=3&amp;window=popup_no_bar&amp;width=385&amp;height=120&amp;START_MAXIMIZED=FALSE&amp;creator=factset&amp;display_string=Audit"}</definedName>
    <definedName name="_1483__FDSAUDITLINK__" hidden="1">{"fdsup://Directions/FactSet Auditing Viewer?action=AUDIT_VALUE&amp;DB=129&amp;ID1=82705710&amp;VALUEID=02001&amp;SDATE=200801&amp;PERIODTYPE=QTR_STD&amp;SCFT=3&amp;window=popup_no_bar&amp;width=385&amp;height=120&amp;START_MAXIMIZED=FALSE&amp;creator=factset&amp;display_string=Audit"}</definedName>
    <definedName name="_1484__FDSAUDITLINK__" localSheetId="7" hidden="1">{"fdsup://Directions/FactSet Auditing Viewer?action=AUDIT_VALUE&amp;DB=129&amp;ID1=82705710&amp;VALUEID=02001&amp;SDATE=200801&amp;PERIODTYPE=QTR_STD&amp;SCFT=3&amp;window=popup_no_bar&amp;width=385&amp;height=120&amp;START_MAXIMIZED=FALSE&amp;creator=factset&amp;display_string=Audit"}</definedName>
    <definedName name="_1484__FDSAUDITLINK__" hidden="1">{"fdsup://Directions/FactSet Auditing Viewer?action=AUDIT_VALUE&amp;DB=129&amp;ID1=82705710&amp;VALUEID=02001&amp;SDATE=200801&amp;PERIODTYPE=QTR_STD&amp;SCFT=3&amp;window=popup_no_bar&amp;width=385&amp;height=120&amp;START_MAXIMIZED=FALSE&amp;creator=factset&amp;display_string=Audit"}</definedName>
    <definedName name="_1485__FDSAUDITLINK__" localSheetId="7" hidden="1">{"fdsup://Directions/FactSet Auditing Viewer?action=AUDIT_VALUE&amp;DB=129&amp;ID1=83547010&amp;VALUEID=02001&amp;SDATE=200801&amp;PERIODTYPE=QTR_STD&amp;SCFT=3&amp;window=popup_no_bar&amp;width=385&amp;height=120&amp;START_MAXIMIZED=FALSE&amp;creator=factset&amp;display_string=Audit"}</definedName>
    <definedName name="_1485__FDSAUDITLINK__" hidden="1">{"fdsup://Directions/FactSet Auditing Viewer?action=AUDIT_VALUE&amp;DB=129&amp;ID1=83547010&amp;VALUEID=02001&amp;SDATE=200801&amp;PERIODTYPE=QTR_STD&amp;SCFT=3&amp;window=popup_no_bar&amp;width=385&amp;height=120&amp;START_MAXIMIZED=FALSE&amp;creator=factset&amp;display_string=Audit"}</definedName>
    <definedName name="_1486__FDSAUDITLINK__" localSheetId="7" hidden="1">{"fdsup://Directions/FactSet Auditing Viewer?action=AUDIT_VALUE&amp;DB=129&amp;ID1=83547010&amp;VALUEID=02001&amp;SDATE=200801&amp;PERIODTYPE=QTR_STD&amp;SCFT=3&amp;window=popup_no_bar&amp;width=385&amp;height=120&amp;START_MAXIMIZED=FALSE&amp;creator=factset&amp;display_string=Audit"}</definedName>
    <definedName name="_1486__FDSAUDITLINK__" hidden="1">{"fdsup://Directions/FactSet Auditing Viewer?action=AUDIT_VALUE&amp;DB=129&amp;ID1=83547010&amp;VALUEID=02001&amp;SDATE=200801&amp;PERIODTYPE=QTR_STD&amp;SCFT=3&amp;window=popup_no_bar&amp;width=385&amp;height=120&amp;START_MAXIMIZED=FALSE&amp;creator=factset&amp;display_string=Audit"}</definedName>
    <definedName name="_1487__FDSAUDITLINK__" localSheetId="7" hidden="1">{"fdsup://Directions/FactSet Auditing Viewer?action=AUDIT_VALUE&amp;DB=129&amp;ID1=87160710&amp;VALUEID=02001&amp;SDATE=200802&amp;PERIODTYPE=QTR_STD&amp;SCFT=3&amp;window=popup_no_bar&amp;width=385&amp;height=120&amp;START_MAXIMIZED=FALSE&amp;creator=factset&amp;display_string=Audit"}</definedName>
    <definedName name="_1487__FDSAUDITLINK__" hidden="1">{"fdsup://Directions/FactSet Auditing Viewer?action=AUDIT_VALUE&amp;DB=129&amp;ID1=87160710&amp;VALUEID=02001&amp;SDATE=200802&amp;PERIODTYPE=QTR_STD&amp;SCFT=3&amp;window=popup_no_bar&amp;width=385&amp;height=120&amp;START_MAXIMIZED=FALSE&amp;creator=factset&amp;display_string=Audit"}</definedName>
    <definedName name="_1488__FDSAUDITLINK__" localSheetId="7" hidden="1">{"fdsup://Directions/FactSet Auditing Viewer?action=AUDIT_VALUE&amp;DB=129&amp;ID1=87160710&amp;VALUEID=02001&amp;SDATE=200802&amp;PERIODTYPE=QTR_STD&amp;SCFT=3&amp;window=popup_no_bar&amp;width=385&amp;height=120&amp;START_MAXIMIZED=FALSE&amp;creator=factset&amp;display_string=Audit"}</definedName>
    <definedName name="_1488__FDSAUDITLINK__" hidden="1">{"fdsup://Directions/FactSet Auditing Viewer?action=AUDIT_VALUE&amp;DB=129&amp;ID1=87160710&amp;VALUEID=02001&amp;SDATE=200802&amp;PERIODTYPE=QTR_STD&amp;SCFT=3&amp;window=popup_no_bar&amp;width=385&amp;height=120&amp;START_MAXIMIZED=FALSE&amp;creator=factset&amp;display_string=Audit"}</definedName>
    <definedName name="_1489__FDSAUDITLINK__" localSheetId="7" hidden="1">{"fdsup://Directions/FactSet Auditing Viewer?action=AUDIT_VALUE&amp;DB=129&amp;ID1=80004C10&amp;VALUEID=02001&amp;SDATE=200801&amp;PERIODTYPE=QTR_STD&amp;SCFT=3&amp;window=popup_no_bar&amp;width=385&amp;height=120&amp;START_MAXIMIZED=FALSE&amp;creator=factset&amp;display_string=Audit"}</definedName>
    <definedName name="_1489__FDSAUDITLINK__" hidden="1">{"fdsup://Directions/FactSet Auditing Viewer?action=AUDIT_VALUE&amp;DB=129&amp;ID1=80004C10&amp;VALUEID=02001&amp;SDATE=200801&amp;PERIODTYPE=QTR_STD&amp;SCFT=3&amp;window=popup_no_bar&amp;width=385&amp;height=120&amp;START_MAXIMIZED=FALSE&amp;creator=factset&amp;display_string=Audit"}</definedName>
    <definedName name="_149__FDSAUDITLINK__" localSheetId="7" hidden="1">{"fdsup://Directions/FactSet Auditing Viewer?action=AUDIT_VALUE&amp;DB=129&amp;ID1=00752J10&amp;VALUEID=02001&amp;SDATE=201101&amp;PERIODTYPE=QTR_STD&amp;SCFT=3&amp;window=popup_no_bar&amp;width=385&amp;height=120&amp;START_MAXIMIZED=FALSE&amp;creator=factset&amp;display_string=Audit"}</definedName>
    <definedName name="_149__FDSAUDITLINK__" hidden="1">{"fdsup://Directions/FactSet Auditing Viewer?action=AUDIT_VALUE&amp;DB=129&amp;ID1=00752J10&amp;VALUEID=02001&amp;SDATE=201101&amp;PERIODTYPE=QTR_STD&amp;SCFT=3&amp;window=popup_no_bar&amp;width=385&amp;height=120&amp;START_MAXIMIZED=FALSE&amp;creator=factset&amp;display_string=Audit"}</definedName>
    <definedName name="_1490__FDSAUDITLINK__" localSheetId="7" hidden="1">{"fdsup://Directions/FactSet Auditing Viewer?action=AUDIT_VALUE&amp;DB=129&amp;ID1=80004C10&amp;VALUEID=02001&amp;SDATE=200801&amp;PERIODTYPE=QTR_STD&amp;SCFT=3&amp;window=popup_no_bar&amp;width=385&amp;height=120&amp;START_MAXIMIZED=FALSE&amp;creator=factset&amp;display_string=Audit"}</definedName>
    <definedName name="_1490__FDSAUDITLINK__" hidden="1">{"fdsup://Directions/FactSet Auditing Viewer?action=AUDIT_VALUE&amp;DB=129&amp;ID1=80004C10&amp;VALUEID=02001&amp;SDATE=200801&amp;PERIODTYPE=QTR_STD&amp;SCFT=3&amp;window=popup_no_bar&amp;width=385&amp;height=120&amp;START_MAXIMIZED=FALSE&amp;creator=factset&amp;display_string=Audit"}</definedName>
    <definedName name="_1491__FDSAUDITLINK__" localSheetId="7" hidden="1">{"fdsup://Directions/FactSet Auditing Viewer?action=AUDIT_VALUE&amp;DB=129&amp;ID1=81685010&amp;VALUEID=02001&amp;SDATE=200801&amp;PERIODTYPE=QTR_STD&amp;SCFT=3&amp;window=popup_no_bar&amp;width=385&amp;height=120&amp;START_MAXIMIZED=FALSE&amp;creator=factset&amp;display_string=Audit"}</definedName>
    <definedName name="_1491__FDSAUDITLINK__" hidden="1">{"fdsup://Directions/FactSet Auditing Viewer?action=AUDIT_VALUE&amp;DB=129&amp;ID1=81685010&amp;VALUEID=02001&amp;SDATE=200801&amp;PERIODTYPE=QTR_STD&amp;SCFT=3&amp;window=popup_no_bar&amp;width=385&amp;height=120&amp;START_MAXIMIZED=FALSE&amp;creator=factset&amp;display_string=Audit"}</definedName>
    <definedName name="_1492__FDSAUDITLINK__" localSheetId="7" hidden="1">{"fdsup://Directions/FactSet Auditing Viewer?action=AUDIT_VALUE&amp;DB=129&amp;ID1=81685010&amp;VALUEID=02001&amp;SDATE=200801&amp;PERIODTYPE=QTR_STD&amp;SCFT=3&amp;window=popup_no_bar&amp;width=385&amp;height=120&amp;START_MAXIMIZED=FALSE&amp;creator=factset&amp;display_string=Audit"}</definedName>
    <definedName name="_1492__FDSAUDITLINK__" hidden="1">{"fdsup://Directions/FactSet Auditing Viewer?action=AUDIT_VALUE&amp;DB=129&amp;ID1=81685010&amp;VALUEID=02001&amp;SDATE=200801&amp;PERIODTYPE=QTR_STD&amp;SCFT=3&amp;window=popup_no_bar&amp;width=385&amp;height=120&amp;START_MAXIMIZED=FALSE&amp;creator=factset&amp;display_string=Audit"}</definedName>
    <definedName name="_1493__FDSAUDITLINK__" localSheetId="7" hidden="1">{"fdsup://Directions/FactSet Auditing Viewer?action=AUDIT_VALUE&amp;DB=129&amp;ID1=82691910&amp;VALUEID=02001&amp;SDATE=200801&amp;PERIODTYPE=QTR_STD&amp;SCFT=3&amp;window=popup_no_bar&amp;width=385&amp;height=120&amp;START_MAXIMIZED=FALSE&amp;creator=factset&amp;display_string=Audit"}</definedName>
    <definedName name="_1493__FDSAUDITLINK__" hidden="1">{"fdsup://Directions/FactSet Auditing Viewer?action=AUDIT_VALUE&amp;DB=129&amp;ID1=82691910&amp;VALUEID=02001&amp;SDATE=200801&amp;PERIODTYPE=QTR_STD&amp;SCFT=3&amp;window=popup_no_bar&amp;width=385&amp;height=120&amp;START_MAXIMIZED=FALSE&amp;creator=factset&amp;display_string=Audit"}</definedName>
    <definedName name="_1494__FDSAUDITLINK__" localSheetId="7" hidden="1">{"fdsup://Directions/FactSet Auditing Viewer?action=AUDIT_VALUE&amp;DB=129&amp;ID1=82691910&amp;VALUEID=02001&amp;SDATE=200801&amp;PERIODTYPE=QTR_STD&amp;SCFT=3&amp;window=popup_no_bar&amp;width=385&amp;height=120&amp;START_MAXIMIZED=FALSE&amp;creator=factset&amp;display_string=Audit"}</definedName>
    <definedName name="_1494__FDSAUDITLINK__" hidden="1">{"fdsup://Directions/FactSet Auditing Viewer?action=AUDIT_VALUE&amp;DB=129&amp;ID1=82691910&amp;VALUEID=02001&amp;SDATE=200801&amp;PERIODTYPE=QTR_STD&amp;SCFT=3&amp;window=popup_no_bar&amp;width=385&amp;height=120&amp;START_MAXIMIZED=FALSE&amp;creator=factset&amp;display_string=Audit"}</definedName>
    <definedName name="_1495__FDSAUDITLINK__" localSheetId="7" hidden="1">{"fdsup://Directions/FactSet Auditing Viewer?action=AUDIT_VALUE&amp;DB=129&amp;ID1=82705T10&amp;VALUEID=02001&amp;SDATE=200801&amp;PERIODTYPE=QTR_STD&amp;SCFT=3&amp;window=popup_no_bar&amp;width=385&amp;height=120&amp;START_MAXIMIZED=FALSE&amp;creator=factset&amp;display_string=Audit"}</definedName>
    <definedName name="_1495__FDSAUDITLINK__" hidden="1">{"fdsup://Directions/FactSet Auditing Viewer?action=AUDIT_VALUE&amp;DB=129&amp;ID1=82705T10&amp;VALUEID=02001&amp;SDATE=200801&amp;PERIODTYPE=QTR_STD&amp;SCFT=3&amp;window=popup_no_bar&amp;width=385&amp;height=120&amp;START_MAXIMIZED=FALSE&amp;creator=factset&amp;display_string=Audit"}</definedName>
    <definedName name="_1496__FDSAUDITLINK__" localSheetId="7" hidden="1">{"fdsup://Directions/FactSet Auditing Viewer?action=AUDIT_VALUE&amp;DB=129&amp;ID1=82705T10&amp;VALUEID=02001&amp;SDATE=200801&amp;PERIODTYPE=QTR_STD&amp;SCFT=3&amp;window=popup_no_bar&amp;width=385&amp;height=120&amp;START_MAXIMIZED=FALSE&amp;creator=factset&amp;display_string=Audit"}</definedName>
    <definedName name="_1496__FDSAUDITLINK__" hidden="1">{"fdsup://Directions/FactSet Auditing Viewer?action=AUDIT_VALUE&amp;DB=129&amp;ID1=82705T10&amp;VALUEID=02001&amp;SDATE=200801&amp;PERIODTYPE=QTR_STD&amp;SCFT=3&amp;window=popup_no_bar&amp;width=385&amp;height=120&amp;START_MAXIMIZED=FALSE&amp;creator=factset&amp;display_string=Audit"}</definedName>
    <definedName name="_1497__FDSAUDITLINK__" localSheetId="7" hidden="1">{"fdsup://Directions/FactSet Auditing Viewer?action=AUDIT_VALUE&amp;DB=129&amp;ID1=75091710&amp;VALUEID=02001&amp;SDATE=200801&amp;PERIODTYPE=QTR_STD&amp;SCFT=3&amp;window=popup_no_bar&amp;width=385&amp;height=120&amp;START_MAXIMIZED=FALSE&amp;creator=factset&amp;display_string=Audit"}</definedName>
    <definedName name="_1497__FDSAUDITLINK__" hidden="1">{"fdsup://Directions/FactSet Auditing Viewer?action=AUDIT_VALUE&amp;DB=129&amp;ID1=75091710&amp;VALUEID=02001&amp;SDATE=200801&amp;PERIODTYPE=QTR_STD&amp;SCFT=3&amp;window=popup_no_bar&amp;width=385&amp;height=120&amp;START_MAXIMIZED=FALSE&amp;creator=factset&amp;display_string=Audit"}</definedName>
    <definedName name="_1498__FDSAUDITLINK__" localSheetId="7" hidden="1">{"fdsup://Directions/FactSet Auditing Viewer?action=AUDIT_VALUE&amp;DB=129&amp;ID1=75091710&amp;VALUEID=02001&amp;SDATE=200801&amp;PERIODTYPE=QTR_STD&amp;SCFT=3&amp;window=popup_no_bar&amp;width=385&amp;height=120&amp;START_MAXIMIZED=FALSE&amp;creator=factset&amp;display_string=Audit"}</definedName>
    <definedName name="_1498__FDSAUDITLINK__" hidden="1">{"fdsup://Directions/FactSet Auditing Viewer?action=AUDIT_VALUE&amp;DB=129&amp;ID1=75091710&amp;VALUEID=02001&amp;SDATE=200801&amp;PERIODTYPE=QTR_STD&amp;SCFT=3&amp;window=popup_no_bar&amp;width=385&amp;height=120&amp;START_MAXIMIZED=FALSE&amp;creator=factset&amp;display_string=Audit"}</definedName>
    <definedName name="_1499__FDSAUDITLINK__" localSheetId="7" hidden="1">{"fdsup://Directions/FactSet Auditing Viewer?action=AUDIT_VALUE&amp;DB=129&amp;ID1=74727710&amp;VALUEID=02001&amp;SDATE=200704&amp;PERIODTYPE=QTR_STD&amp;SCFT=3&amp;window=popup_no_bar&amp;width=385&amp;height=120&amp;START_MAXIMIZED=FALSE&amp;creator=factset&amp;display_string=Audit"}</definedName>
    <definedName name="_1499__FDSAUDITLINK__" hidden="1">{"fdsup://Directions/FactSet Auditing Viewer?action=AUDIT_VALUE&amp;DB=129&amp;ID1=74727710&amp;VALUEID=02001&amp;SDATE=200704&amp;PERIODTYPE=QTR_STD&amp;SCFT=3&amp;window=popup_no_bar&amp;width=385&amp;height=120&amp;START_MAXIMIZED=FALSE&amp;creator=factset&amp;display_string=Audit"}</definedName>
    <definedName name="_15__FDSAUDITLINK__" localSheetId="7" hidden="1">{"fdsup://Directions/FactSet Auditing Viewer?action=AUDIT_VALUE&amp;DB=129&amp;ID1=67066G10&amp;VALUEID=05194&amp;SDATE=201103&amp;PERIODTYPE=QTR_STD&amp;SCFT=3&amp;window=popup_no_bar&amp;width=385&amp;height=120&amp;START_MAXIMIZED=FALSE&amp;creator=factset&amp;display_string=Audit"}</definedName>
    <definedName name="_15__FDSAUDITLINK__" hidden="1">{"fdsup://Directions/FactSet Auditing Viewer?action=AUDIT_VALUE&amp;DB=129&amp;ID1=67066G10&amp;VALUEID=05194&amp;SDATE=201103&amp;PERIODTYPE=QTR_STD&amp;SCFT=3&amp;window=popup_no_bar&amp;width=385&amp;height=120&amp;START_MAXIMIZED=FALSE&amp;creator=factset&amp;display_string=Audit"}</definedName>
    <definedName name="_150__FDSAUDITLINK__" localSheetId="7" hidden="1">{"fdsup://Directions/FactSet Auditing Viewer?action=AUDIT_VALUE&amp;DB=129&amp;ID1=00752J10&amp;VALUEID=02001&amp;SDATE=201101&amp;PERIODTYPE=QTR_STD&amp;SCFT=3&amp;window=popup_no_bar&amp;width=385&amp;height=120&amp;START_MAXIMIZED=FALSE&amp;creator=factset&amp;display_string=Audit"}</definedName>
    <definedName name="_150__FDSAUDITLINK__" hidden="1">{"fdsup://Directions/FactSet Auditing Viewer?action=AUDIT_VALUE&amp;DB=129&amp;ID1=00752J10&amp;VALUEID=02001&amp;SDATE=201101&amp;PERIODTYPE=QTR_STD&amp;SCFT=3&amp;window=popup_no_bar&amp;width=385&amp;height=120&amp;START_MAXIMIZED=FALSE&amp;creator=factset&amp;display_string=Audit"}</definedName>
    <definedName name="_1500__FDSAUDITLINK__" localSheetId="7" hidden="1">{"fdsup://Directions/FactSet Auditing Viewer?action=AUDIT_VALUE&amp;DB=129&amp;ID1=74727710&amp;VALUEID=02001&amp;SDATE=200704&amp;PERIODTYPE=QTR_STD&amp;SCFT=3&amp;window=popup_no_bar&amp;width=385&amp;height=120&amp;START_MAXIMIZED=FALSE&amp;creator=factset&amp;display_string=Audit"}</definedName>
    <definedName name="_1500__FDSAUDITLINK__" hidden="1">{"fdsup://Directions/FactSet Auditing Viewer?action=AUDIT_VALUE&amp;DB=129&amp;ID1=74727710&amp;VALUEID=02001&amp;SDATE=200704&amp;PERIODTYPE=QTR_STD&amp;SCFT=3&amp;window=popup_no_bar&amp;width=385&amp;height=120&amp;START_MAXIMIZED=FALSE&amp;creator=factset&amp;display_string=Audit"}</definedName>
    <definedName name="_1501__FDSAUDITLINK__" localSheetId="7" hidden="1">{"fdsup://Directions/FactSet Auditing Viewer?action=AUDIT_VALUE&amp;DB=129&amp;ID1=74752510&amp;VALUEID=02001&amp;SDATE=200802&amp;PERIODTYPE=QTR_STD&amp;SCFT=3&amp;window=popup_no_bar&amp;width=385&amp;height=120&amp;START_MAXIMIZED=FALSE&amp;creator=factset&amp;display_string=Audit"}</definedName>
    <definedName name="_1501__FDSAUDITLINK__" hidden="1">{"fdsup://Directions/FactSet Auditing Viewer?action=AUDIT_VALUE&amp;DB=129&amp;ID1=74752510&amp;VALUEID=02001&amp;SDATE=200802&amp;PERIODTYPE=QTR_STD&amp;SCFT=3&amp;window=popup_no_bar&amp;width=385&amp;height=120&amp;START_MAXIMIZED=FALSE&amp;creator=factset&amp;display_string=Audit"}</definedName>
    <definedName name="_1502__FDSAUDITLINK__" localSheetId="7" hidden="1">{"fdsup://Directions/FactSet Auditing Viewer?action=AUDIT_VALUE&amp;DB=129&amp;ID1=74752510&amp;VALUEID=02001&amp;SDATE=200802&amp;PERIODTYPE=QTR_STD&amp;SCFT=3&amp;window=popup_no_bar&amp;width=385&amp;height=120&amp;START_MAXIMIZED=FALSE&amp;creator=factset&amp;display_string=Audit"}</definedName>
    <definedName name="_1502__FDSAUDITLINK__" hidden="1">{"fdsup://Directions/FactSet Auditing Viewer?action=AUDIT_VALUE&amp;DB=129&amp;ID1=74752510&amp;VALUEID=02001&amp;SDATE=200802&amp;PERIODTYPE=QTR_STD&amp;SCFT=3&amp;window=popup_no_bar&amp;width=385&amp;height=120&amp;START_MAXIMIZED=FALSE&amp;creator=factset&amp;display_string=Audit"}</definedName>
    <definedName name="_1503__FDSAUDITLINK__" localSheetId="7" hidden="1">{"fdsup://Directions/FactSet Auditing Viewer?action=AUDIT_VALUE&amp;DB=129&amp;ID1=72581M30&amp;VALUEID=02001&amp;SDATE=200801&amp;PERIODTYPE=QTR_STD&amp;SCFT=3&amp;window=popup_no_bar&amp;width=385&amp;height=120&amp;START_MAXIMIZED=FALSE&amp;creator=factset&amp;display_string=Audit"}</definedName>
    <definedName name="_1503__FDSAUDITLINK__" hidden="1">{"fdsup://Directions/FactSet Auditing Viewer?action=AUDIT_VALUE&amp;DB=129&amp;ID1=72581M30&amp;VALUEID=02001&amp;SDATE=200801&amp;PERIODTYPE=QTR_STD&amp;SCFT=3&amp;window=popup_no_bar&amp;width=385&amp;height=120&amp;START_MAXIMIZED=FALSE&amp;creator=factset&amp;display_string=Audit"}</definedName>
    <definedName name="_1504__FDSAUDITLINK__" localSheetId="7" hidden="1">{"fdsup://Directions/FactSet Auditing Viewer?action=AUDIT_VALUE&amp;DB=129&amp;ID1=72581M30&amp;VALUEID=02001&amp;SDATE=200801&amp;PERIODTYPE=QTR_STD&amp;SCFT=3&amp;window=popup_no_bar&amp;width=385&amp;height=120&amp;START_MAXIMIZED=FALSE&amp;creator=factset&amp;display_string=Audit"}</definedName>
    <definedName name="_1504__FDSAUDITLINK__" hidden="1">{"fdsup://Directions/FactSet Auditing Viewer?action=AUDIT_VALUE&amp;DB=129&amp;ID1=72581M30&amp;VALUEID=02001&amp;SDATE=200801&amp;PERIODTYPE=QTR_STD&amp;SCFT=3&amp;window=popup_no_bar&amp;width=385&amp;height=120&amp;START_MAXIMIZED=FALSE&amp;creator=factset&amp;display_string=Audit"}</definedName>
    <definedName name="_1505__FDSAUDITLINK__" localSheetId="7" hidden="1">{"fdsup://Directions/FactSet Auditing Viewer?action=AUDIT_VALUE&amp;DB=129&amp;ID1=73927610&amp;VALUEID=02001&amp;SDATE=200801&amp;PERIODTYPE=QTR_STD&amp;SCFT=3&amp;window=popup_no_bar&amp;width=385&amp;height=120&amp;START_MAXIMIZED=FALSE&amp;creator=factset&amp;display_string=Audit"}</definedName>
    <definedName name="_1505__FDSAUDITLINK__" hidden="1">{"fdsup://Directions/FactSet Auditing Viewer?action=AUDIT_VALUE&amp;DB=129&amp;ID1=73927610&amp;VALUEID=02001&amp;SDATE=200801&amp;PERIODTYPE=QTR_STD&amp;SCFT=3&amp;window=popup_no_bar&amp;width=385&amp;height=120&amp;START_MAXIMIZED=FALSE&amp;creator=factset&amp;display_string=Audit"}</definedName>
    <definedName name="_1506__FDSAUDITLINK__" localSheetId="7" hidden="1">{"fdsup://Directions/FactSet Auditing Viewer?action=AUDIT_VALUE&amp;DB=129&amp;ID1=73927610&amp;VALUEID=02001&amp;SDATE=200801&amp;PERIODTYPE=QTR_STD&amp;SCFT=3&amp;window=popup_no_bar&amp;width=385&amp;height=120&amp;START_MAXIMIZED=FALSE&amp;creator=factset&amp;display_string=Audit"}</definedName>
    <definedName name="_1506__FDSAUDITLINK__" hidden="1">{"fdsup://Directions/FactSet Auditing Viewer?action=AUDIT_VALUE&amp;DB=129&amp;ID1=73927610&amp;VALUEID=02001&amp;SDATE=200801&amp;PERIODTYPE=QTR_STD&amp;SCFT=3&amp;window=popup_no_bar&amp;width=385&amp;height=120&amp;START_MAXIMIZED=FALSE&amp;creator=factset&amp;display_string=Audit"}</definedName>
    <definedName name="_1507__FDSAUDITLINK__" localSheetId="7" hidden="1">{"fdsup://Directions/FactSet Auditing Viewer?action=AUDIT_VALUE&amp;DB=129&amp;ID1=69344F10&amp;VALUEID=02001&amp;SDATE=200801&amp;PERIODTYPE=QTR_STD&amp;SCFT=3&amp;window=popup_no_bar&amp;width=385&amp;height=120&amp;START_MAXIMIZED=FALSE&amp;creator=factset&amp;display_string=Audit"}</definedName>
    <definedName name="_1507__FDSAUDITLINK__" hidden="1">{"fdsup://Directions/FactSet Auditing Viewer?action=AUDIT_VALUE&amp;DB=129&amp;ID1=69344F10&amp;VALUEID=02001&amp;SDATE=200801&amp;PERIODTYPE=QTR_STD&amp;SCFT=3&amp;window=popup_no_bar&amp;width=385&amp;height=120&amp;START_MAXIMIZED=FALSE&amp;creator=factset&amp;display_string=Audit"}</definedName>
    <definedName name="_1508__FDSAUDITLINK__" localSheetId="7" hidden="1">{"fdsup://Directions/FactSet Auditing Viewer?action=AUDIT_VALUE&amp;DB=129&amp;ID1=69344F10&amp;VALUEID=02001&amp;SDATE=200801&amp;PERIODTYPE=QTR_STD&amp;SCFT=3&amp;window=popup_no_bar&amp;width=385&amp;height=120&amp;START_MAXIMIZED=FALSE&amp;creator=factset&amp;display_string=Audit"}</definedName>
    <definedName name="_1508__FDSAUDITLINK__" hidden="1">{"fdsup://Directions/FactSet Auditing Viewer?action=AUDIT_VALUE&amp;DB=129&amp;ID1=69344F10&amp;VALUEID=02001&amp;SDATE=200801&amp;PERIODTYPE=QTR_STD&amp;SCFT=3&amp;window=popup_no_bar&amp;width=385&amp;height=120&amp;START_MAXIMIZED=FALSE&amp;creator=factset&amp;display_string=Audit"}</definedName>
    <definedName name="_1509__FDSAUDITLINK__" localSheetId="7" hidden="1">{"fdsup://Directions/FactSet Auditing Viewer?action=AUDIT_VALUE&amp;DB=129&amp;ID1=69341710&amp;VALUEID=02001&amp;SDATE=200801&amp;PERIODTYPE=QTR_STD&amp;SCFT=3&amp;window=popup_no_bar&amp;width=385&amp;height=120&amp;START_MAXIMIZED=FALSE&amp;creator=factset&amp;display_string=Audit"}</definedName>
    <definedName name="_1509__FDSAUDITLINK__" hidden="1">{"fdsup://Directions/FactSet Auditing Viewer?action=AUDIT_VALUE&amp;DB=129&amp;ID1=69341710&amp;VALUEID=02001&amp;SDATE=200801&amp;PERIODTYPE=QTR_STD&amp;SCFT=3&amp;window=popup_no_bar&amp;width=385&amp;height=120&amp;START_MAXIMIZED=FALSE&amp;creator=factset&amp;display_string=Audit"}</definedName>
    <definedName name="_151__FDSAUDITLINK__" localSheetId="7" hidden="1">{"fdsup://Directions/FactSet Auditing Viewer?action=AUDIT_VALUE&amp;DB=129&amp;ID1=98975F10&amp;VALUEID=02001&amp;SDATE=201004&amp;PERIODTYPE=QTR_STD&amp;SCFT=3&amp;window=popup_no_bar&amp;width=385&amp;height=120&amp;START_MAXIMIZED=FALSE&amp;creator=factset&amp;display_string=Audit"}</definedName>
    <definedName name="_151__FDSAUDITLINK__" hidden="1">{"fdsup://Directions/FactSet Auditing Viewer?action=AUDIT_VALUE&amp;DB=129&amp;ID1=98975F10&amp;VALUEID=02001&amp;SDATE=201004&amp;PERIODTYPE=QTR_STD&amp;SCFT=3&amp;window=popup_no_bar&amp;width=385&amp;height=120&amp;START_MAXIMIZED=FALSE&amp;creator=factset&amp;display_string=Audit"}</definedName>
    <definedName name="_1510__FDSAUDITLINK__" localSheetId="7" hidden="1">{"fdsup://Directions/FactSet Auditing Viewer?action=AUDIT_VALUE&amp;DB=129&amp;ID1=69341710&amp;VALUEID=02001&amp;SDATE=200801&amp;PERIODTYPE=QTR_STD&amp;SCFT=3&amp;window=popup_no_bar&amp;width=385&amp;height=120&amp;START_MAXIMIZED=FALSE&amp;creator=factset&amp;display_string=Audit"}</definedName>
    <definedName name="_1510__FDSAUDITLINK__" hidden="1">{"fdsup://Directions/FactSet Auditing Viewer?action=AUDIT_VALUE&amp;DB=129&amp;ID1=69341710&amp;VALUEID=02001&amp;SDATE=200801&amp;PERIODTYPE=QTR_STD&amp;SCFT=3&amp;window=popup_no_bar&amp;width=385&amp;height=120&amp;START_MAXIMIZED=FALSE&amp;creator=factset&amp;display_string=Audit"}</definedName>
    <definedName name="_1511__FDSAUDITLINK__" localSheetId="7" hidden="1">{"fdsup://Directions/FactSet Auditing Viewer?action=AUDIT_VALUE&amp;DB=129&amp;ID1=68218910&amp;VALUEID=02001&amp;SDATE=200801&amp;PERIODTYPE=QTR_STD&amp;SCFT=3&amp;window=popup_no_bar&amp;width=385&amp;height=120&amp;START_MAXIMIZED=FALSE&amp;creator=factset&amp;display_string=Audit"}</definedName>
    <definedName name="_1511__FDSAUDITLINK__" hidden="1">{"fdsup://Directions/FactSet Auditing Viewer?action=AUDIT_VALUE&amp;DB=129&amp;ID1=68218910&amp;VALUEID=02001&amp;SDATE=200801&amp;PERIODTYPE=QTR_STD&amp;SCFT=3&amp;window=popup_no_bar&amp;width=385&amp;height=120&amp;START_MAXIMIZED=FALSE&amp;creator=factset&amp;display_string=Audit"}</definedName>
    <definedName name="_1512__FDSAUDITLINK__" localSheetId="7" hidden="1">{"fdsup://Directions/FactSet Auditing Viewer?action=AUDIT_VALUE&amp;DB=129&amp;ID1=68218910&amp;VALUEID=02001&amp;SDATE=200801&amp;PERIODTYPE=QTR_STD&amp;SCFT=3&amp;window=popup_no_bar&amp;width=385&amp;height=120&amp;START_MAXIMIZED=FALSE&amp;creator=factset&amp;display_string=Audit"}</definedName>
    <definedName name="_1512__FDSAUDITLINK__" hidden="1">{"fdsup://Directions/FactSet Auditing Viewer?action=AUDIT_VALUE&amp;DB=129&amp;ID1=68218910&amp;VALUEID=02001&amp;SDATE=200801&amp;PERIODTYPE=QTR_STD&amp;SCFT=3&amp;window=popup_no_bar&amp;width=385&amp;height=120&amp;START_MAXIMIZED=FALSE&amp;creator=factset&amp;display_string=Audit"}</definedName>
    <definedName name="_1513__FDSAUDITLINK__" localSheetId="7" hidden="1">{"fdsup://Directions/FactSet Auditing Viewer?action=AUDIT_VALUE&amp;DB=129&amp;ID1=B505PN&amp;VALUEID=02001&amp;SDATE=200801&amp;PERIODTYPE=QTR_STD&amp;SCFT=3&amp;window=popup_no_bar&amp;width=385&amp;height=120&amp;START_MAXIMIZED=FALSE&amp;creator=factset&amp;display_string=Audit"}</definedName>
    <definedName name="_1513__FDSAUDITLINK__" hidden="1">{"fdsup://Directions/FactSet Auditing Viewer?action=AUDIT_VALUE&amp;DB=129&amp;ID1=B505PN&amp;VALUEID=02001&amp;SDATE=200801&amp;PERIODTYPE=QTR_STD&amp;SCFT=3&amp;window=popup_no_bar&amp;width=385&amp;height=120&amp;START_MAXIMIZED=FALSE&amp;creator=factset&amp;display_string=Audit"}</definedName>
    <definedName name="_1514__FDSAUDITLINK__" localSheetId="7" hidden="1">{"fdsup://Directions/FactSet Auditing Viewer?action=AUDIT_VALUE&amp;DB=129&amp;ID1=B505PN&amp;VALUEID=02001&amp;SDATE=200801&amp;PERIODTYPE=QTR_STD&amp;SCFT=3&amp;window=popup_no_bar&amp;width=385&amp;height=120&amp;START_MAXIMIZED=FALSE&amp;creator=factset&amp;display_string=Audit"}</definedName>
    <definedName name="_1514__FDSAUDITLINK__" hidden="1">{"fdsup://Directions/FactSet Auditing Viewer?action=AUDIT_VALUE&amp;DB=129&amp;ID1=B505PN&amp;VALUEID=02001&amp;SDATE=200801&amp;PERIODTYPE=QTR_STD&amp;SCFT=3&amp;window=popup_no_bar&amp;width=385&amp;height=120&amp;START_MAXIMIZED=FALSE&amp;creator=factset&amp;display_string=Audit"}</definedName>
    <definedName name="_1515__FDSAUDITLINK__" localSheetId="7" hidden="1">{"fdsup://Directions/FactSet Auditing Viewer?action=AUDIT_VALUE&amp;DB=129&amp;ID1=67000810&amp;VALUEID=02001&amp;SDATE=200801&amp;PERIODTYPE=QTR_STD&amp;SCFT=3&amp;window=popup_no_bar&amp;width=385&amp;height=120&amp;START_MAXIMIZED=FALSE&amp;creator=factset&amp;display_string=Audit"}</definedName>
    <definedName name="_1515__FDSAUDITLINK__" hidden="1">{"fdsup://Directions/FactSet Auditing Viewer?action=AUDIT_VALUE&amp;DB=129&amp;ID1=67000810&amp;VALUEID=02001&amp;SDATE=200801&amp;PERIODTYPE=QTR_STD&amp;SCFT=3&amp;window=popup_no_bar&amp;width=385&amp;height=120&amp;START_MAXIMIZED=FALSE&amp;creator=factset&amp;display_string=Audit"}</definedName>
    <definedName name="_1516__FDSAUDITLINK__" localSheetId="7" hidden="1">{"fdsup://Directions/FactSet Auditing Viewer?action=AUDIT_VALUE&amp;DB=129&amp;ID1=67000810&amp;VALUEID=02001&amp;SDATE=200801&amp;PERIODTYPE=QTR_STD&amp;SCFT=3&amp;window=popup_no_bar&amp;width=385&amp;height=120&amp;START_MAXIMIZED=FALSE&amp;creator=factset&amp;display_string=Audit"}</definedName>
    <definedName name="_1516__FDSAUDITLINK__" hidden="1">{"fdsup://Directions/FactSet Auditing Viewer?action=AUDIT_VALUE&amp;DB=129&amp;ID1=67000810&amp;VALUEID=02001&amp;SDATE=200801&amp;PERIODTYPE=QTR_STD&amp;SCFT=3&amp;window=popup_no_bar&amp;width=385&amp;height=120&amp;START_MAXIMIZED=FALSE&amp;creator=factset&amp;display_string=Audit"}</definedName>
    <definedName name="_1517__FDSAUDITLINK__" localSheetId="7" hidden="1">{"fdsup://Directions/FactSet Auditing Viewer?action=AUDIT_VALUE&amp;DB=129&amp;ID1=67066G10&amp;VALUEID=02001&amp;SDATE=200801&amp;PERIODTYPE=QTR_STD&amp;SCFT=3&amp;window=popup_no_bar&amp;width=385&amp;height=120&amp;START_MAXIMIZED=FALSE&amp;creator=factset&amp;display_string=Audit"}</definedName>
    <definedName name="_1517__FDSAUDITLINK__" hidden="1">{"fdsup://Directions/FactSet Auditing Viewer?action=AUDIT_VALUE&amp;DB=129&amp;ID1=67066G10&amp;VALUEID=02001&amp;SDATE=200801&amp;PERIODTYPE=QTR_STD&amp;SCFT=3&amp;window=popup_no_bar&amp;width=385&amp;height=120&amp;START_MAXIMIZED=FALSE&amp;creator=factset&amp;display_string=Audit"}</definedName>
    <definedName name="_1518__FDSAUDITLINK__" localSheetId="7" hidden="1">{"fdsup://Directions/FactSet Auditing Viewer?action=AUDIT_VALUE&amp;DB=129&amp;ID1=67066G10&amp;VALUEID=02001&amp;SDATE=200801&amp;PERIODTYPE=QTR_STD&amp;SCFT=3&amp;window=popup_no_bar&amp;width=385&amp;height=120&amp;START_MAXIMIZED=FALSE&amp;creator=factset&amp;display_string=Audit"}</definedName>
    <definedName name="_1518__FDSAUDITLINK__" hidden="1">{"fdsup://Directions/FactSet Auditing Viewer?action=AUDIT_VALUE&amp;DB=129&amp;ID1=67066G10&amp;VALUEID=02001&amp;SDATE=200801&amp;PERIODTYPE=QTR_STD&amp;SCFT=3&amp;window=popup_no_bar&amp;width=385&amp;height=120&amp;START_MAXIMIZED=FALSE&amp;creator=factset&amp;display_string=Audit"}</definedName>
    <definedName name="_1519__FDSAUDITLINK__" localSheetId="7" hidden="1">{"fdsup://Directions/FactSet Auditing Viewer?action=AUDIT_VALUE&amp;DB=129&amp;ID1=63764010&amp;VALUEID=02001&amp;SDATE=200703&amp;PERIODTYPE=QTR_STD&amp;SCFT=3&amp;window=popup_no_bar&amp;width=385&amp;height=120&amp;START_MAXIMIZED=FALSE&amp;creator=factset&amp;display_string=Audit"}</definedName>
    <definedName name="_1519__FDSAUDITLINK__" hidden="1">{"fdsup://Directions/FactSet Auditing Viewer?action=AUDIT_VALUE&amp;DB=129&amp;ID1=63764010&amp;VALUEID=02001&amp;SDATE=200703&amp;PERIODTYPE=QTR_STD&amp;SCFT=3&amp;window=popup_no_bar&amp;width=385&amp;height=120&amp;START_MAXIMIZED=FALSE&amp;creator=factset&amp;display_string=Audit"}</definedName>
    <definedName name="_152__FDSAUDITLINK__" localSheetId="7" hidden="1">{"fdsup://Directions/FactSet Auditing Viewer?action=AUDIT_VALUE&amp;DB=129&amp;ID1=98975F10&amp;VALUEID=02001&amp;SDATE=201004&amp;PERIODTYPE=QTR_STD&amp;SCFT=3&amp;window=popup_no_bar&amp;width=385&amp;height=120&amp;START_MAXIMIZED=FALSE&amp;creator=factset&amp;display_string=Audit"}</definedName>
    <definedName name="_152__FDSAUDITLINK__" hidden="1">{"fdsup://Directions/FactSet Auditing Viewer?action=AUDIT_VALUE&amp;DB=129&amp;ID1=98975F10&amp;VALUEID=02001&amp;SDATE=201004&amp;PERIODTYPE=QTR_STD&amp;SCFT=3&amp;window=popup_no_bar&amp;width=385&amp;height=120&amp;START_MAXIMIZED=FALSE&amp;creator=factset&amp;display_string=Audit"}</definedName>
    <definedName name="_1520__FDSAUDITLINK__" localSheetId="7" hidden="1">{"fdsup://Directions/FactSet Auditing Viewer?action=AUDIT_VALUE&amp;DB=129&amp;ID1=63764010&amp;VALUEID=02001&amp;SDATE=200703&amp;PERIODTYPE=QTR_STD&amp;SCFT=3&amp;window=popup_no_bar&amp;width=385&amp;height=120&amp;START_MAXIMIZED=FALSE&amp;creator=factset&amp;display_string=Audit"}</definedName>
    <definedName name="_1520__FDSAUDITLINK__" hidden="1">{"fdsup://Directions/FactSet Auditing Viewer?action=AUDIT_VALUE&amp;DB=129&amp;ID1=63764010&amp;VALUEID=02001&amp;SDATE=200703&amp;PERIODTYPE=QTR_STD&amp;SCFT=3&amp;window=popup_no_bar&amp;width=385&amp;height=120&amp;START_MAXIMIZED=FALSE&amp;creator=factset&amp;display_string=Audit"}</definedName>
    <definedName name="_1521__FDSAUDITLINK__" localSheetId="7" hidden="1">{"fdsup://Directions/FactSet Auditing Viewer?action=AUDIT_VALUE&amp;DB=129&amp;ID1=64118B10&amp;VALUEID=02001&amp;SDATE=200801&amp;PERIODTYPE=QTR_STD&amp;SCFT=3&amp;window=popup_no_bar&amp;width=385&amp;height=120&amp;START_MAXIMIZED=FALSE&amp;creator=factset&amp;display_string=Audit"}</definedName>
    <definedName name="_1521__FDSAUDITLINK__" hidden="1">{"fdsup://Directions/FactSet Auditing Viewer?action=AUDIT_VALUE&amp;DB=129&amp;ID1=64118B10&amp;VALUEID=02001&amp;SDATE=200801&amp;PERIODTYPE=QTR_STD&amp;SCFT=3&amp;window=popup_no_bar&amp;width=385&amp;height=120&amp;START_MAXIMIZED=FALSE&amp;creator=factset&amp;display_string=Audit"}</definedName>
    <definedName name="_1522__FDSAUDITLINK__" localSheetId="7" hidden="1">{"fdsup://Directions/FactSet Auditing Viewer?action=AUDIT_VALUE&amp;DB=129&amp;ID1=64118B10&amp;VALUEID=02001&amp;SDATE=200801&amp;PERIODTYPE=QTR_STD&amp;SCFT=3&amp;window=popup_no_bar&amp;width=385&amp;height=120&amp;START_MAXIMIZED=FALSE&amp;creator=factset&amp;display_string=Audit"}</definedName>
    <definedName name="_1522__FDSAUDITLINK__" hidden="1">{"fdsup://Directions/FactSet Auditing Viewer?action=AUDIT_VALUE&amp;DB=129&amp;ID1=64118B10&amp;VALUEID=02001&amp;SDATE=200801&amp;PERIODTYPE=QTR_STD&amp;SCFT=3&amp;window=popup_no_bar&amp;width=385&amp;height=120&amp;START_MAXIMIZED=FALSE&amp;creator=factset&amp;display_string=Audit"}</definedName>
    <definedName name="_1523__FDSAUDITLINK__" localSheetId="7" hidden="1">{"fdsup://Directions/FactSet Auditing Viewer?action=AUDIT_VALUE&amp;DB=129&amp;ID1=57772K10&amp;VALUEID=02001&amp;SDATE=200803&amp;PERIODTYPE=QTR_STD&amp;SCFT=3&amp;window=popup_no_bar&amp;width=385&amp;height=120&amp;START_MAXIMIZED=FALSE&amp;creator=factset&amp;display_string=Audit"}</definedName>
    <definedName name="_1523__FDSAUDITLINK__" hidden="1">{"fdsup://Directions/FactSet Auditing Viewer?action=AUDIT_VALUE&amp;DB=129&amp;ID1=57772K10&amp;VALUEID=02001&amp;SDATE=200803&amp;PERIODTYPE=QTR_STD&amp;SCFT=3&amp;window=popup_no_bar&amp;width=385&amp;height=120&amp;START_MAXIMIZED=FALSE&amp;creator=factset&amp;display_string=Audit"}</definedName>
    <definedName name="_1524__FDSAUDITLINK__" localSheetId="7" hidden="1">{"fdsup://Directions/FactSet Auditing Viewer?action=AUDIT_VALUE&amp;DB=129&amp;ID1=57772K10&amp;VALUEID=02001&amp;SDATE=200803&amp;PERIODTYPE=QTR_STD&amp;SCFT=3&amp;window=popup_no_bar&amp;width=385&amp;height=120&amp;START_MAXIMIZED=FALSE&amp;creator=factset&amp;display_string=Audit"}</definedName>
    <definedName name="_1524__FDSAUDITLINK__" hidden="1">{"fdsup://Directions/FactSet Auditing Viewer?action=AUDIT_VALUE&amp;DB=129&amp;ID1=57772K10&amp;VALUEID=02001&amp;SDATE=200803&amp;PERIODTYPE=QTR_STD&amp;SCFT=3&amp;window=popup_no_bar&amp;width=385&amp;height=120&amp;START_MAXIMIZED=FALSE&amp;creator=factset&amp;display_string=Audit"}</definedName>
    <definedName name="_1525__FDSAUDITLINK__" localSheetId="7" hidden="1">{"fdsup://Directions/FactSet Auditing Viewer?action=AUDIT_VALUE&amp;DB=129&amp;ID1=59511210&amp;VALUEID=02001&amp;SDATE=200802&amp;PERIODTYPE=QTR_STD&amp;SCFT=3&amp;window=popup_no_bar&amp;width=385&amp;height=120&amp;START_MAXIMIZED=FALSE&amp;creator=factset&amp;display_string=Audit"}</definedName>
    <definedName name="_1525__FDSAUDITLINK__" hidden="1">{"fdsup://Directions/FactSet Auditing Viewer?action=AUDIT_VALUE&amp;DB=129&amp;ID1=59511210&amp;VALUEID=02001&amp;SDATE=200802&amp;PERIODTYPE=QTR_STD&amp;SCFT=3&amp;window=popup_no_bar&amp;width=385&amp;height=120&amp;START_MAXIMIZED=FALSE&amp;creator=factset&amp;display_string=Audit"}</definedName>
    <definedName name="_1526__FDSAUDITLINK__" localSheetId="7" hidden="1">{"fdsup://Directions/FactSet Auditing Viewer?action=AUDIT_VALUE&amp;DB=129&amp;ID1=59511210&amp;VALUEID=02001&amp;SDATE=200802&amp;PERIODTYPE=QTR_STD&amp;SCFT=3&amp;window=popup_no_bar&amp;width=385&amp;height=120&amp;START_MAXIMIZED=FALSE&amp;creator=factset&amp;display_string=Audit"}</definedName>
    <definedName name="_1526__FDSAUDITLINK__" hidden="1">{"fdsup://Directions/FactSet Auditing Viewer?action=AUDIT_VALUE&amp;DB=129&amp;ID1=59511210&amp;VALUEID=02001&amp;SDATE=200802&amp;PERIODTYPE=QTR_STD&amp;SCFT=3&amp;window=popup_no_bar&amp;width=385&amp;height=120&amp;START_MAXIMIZED=FALSE&amp;creator=factset&amp;display_string=Audit"}</definedName>
    <definedName name="_1527__FDSAUDITLINK__" localSheetId="7" hidden="1">{"fdsup://Directions/FactSet Auditing Viewer?action=AUDIT_VALUE&amp;DB=129&amp;ID1=59513710&amp;VALUEID=02001&amp;SDATE=200802&amp;PERIODTYPE=QTR_STD&amp;SCFT=3&amp;window=popup_no_bar&amp;width=385&amp;height=120&amp;START_MAXIMIZED=FALSE&amp;creator=factset&amp;display_string=Audit"}</definedName>
    <definedName name="_1527__FDSAUDITLINK__" hidden="1">{"fdsup://Directions/FactSet Auditing Viewer?action=AUDIT_VALUE&amp;DB=129&amp;ID1=59513710&amp;VALUEID=02001&amp;SDATE=200802&amp;PERIODTYPE=QTR_STD&amp;SCFT=3&amp;window=popup_no_bar&amp;width=385&amp;height=120&amp;START_MAXIMIZED=FALSE&amp;creator=factset&amp;display_string=Audit"}</definedName>
    <definedName name="_1528__FDSAUDITLINK__" localSheetId="7" hidden="1">{"fdsup://Directions/FactSet Auditing Viewer?action=AUDIT_VALUE&amp;DB=129&amp;ID1=59513710&amp;VALUEID=02001&amp;SDATE=200802&amp;PERIODTYPE=QTR_STD&amp;SCFT=3&amp;window=popup_no_bar&amp;width=385&amp;height=120&amp;START_MAXIMIZED=FALSE&amp;creator=factset&amp;display_string=Audit"}</definedName>
    <definedName name="_1528__FDSAUDITLINK__" hidden="1">{"fdsup://Directions/FactSet Auditing Viewer?action=AUDIT_VALUE&amp;DB=129&amp;ID1=59513710&amp;VALUEID=02001&amp;SDATE=200802&amp;PERIODTYPE=QTR_STD&amp;SCFT=3&amp;window=popup_no_bar&amp;width=385&amp;height=120&amp;START_MAXIMIZED=FALSE&amp;creator=factset&amp;display_string=Audit"}</definedName>
    <definedName name="_1529__FDSAUDITLINK__" localSheetId="7" hidden="1">{"fdsup://Directions/FactSet Auditing Viewer?action=AUDIT_VALUE&amp;DB=129&amp;ID1=G5876H10&amp;VALUEID=02001&amp;SDATE=200801&amp;PERIODTYPE=QTR_STD&amp;SCFT=3&amp;window=popup_no_bar&amp;width=385&amp;height=120&amp;START_MAXIMIZED=FALSE&amp;creator=factset&amp;display_string=Audit"}</definedName>
    <definedName name="_1529__FDSAUDITLINK__" hidden="1">{"fdsup://Directions/FactSet Auditing Viewer?action=AUDIT_VALUE&amp;DB=129&amp;ID1=G5876H10&amp;VALUEID=02001&amp;SDATE=200801&amp;PERIODTYPE=QTR_STD&amp;SCFT=3&amp;window=popup_no_bar&amp;width=385&amp;height=120&amp;START_MAXIMIZED=FALSE&amp;creator=factset&amp;display_string=Audit"}</definedName>
    <definedName name="_153__FDSAUDITLINK__" localSheetId="7" hidden="1">{"fdsup://Directions/FactSet Auditing Viewer?action=AUDIT_VALUE&amp;DB=129&amp;ID1=98391910&amp;VALUEID=02001&amp;SDATE=201003&amp;PERIODTYPE=QTR_STD&amp;SCFT=3&amp;window=popup_no_bar&amp;width=385&amp;height=120&amp;START_MAXIMIZED=FALSE&amp;creator=factset&amp;display_string=Audit"}</definedName>
    <definedName name="_153__FDSAUDITLINK__" hidden="1">{"fdsup://Directions/FactSet Auditing Viewer?action=AUDIT_VALUE&amp;DB=129&amp;ID1=98391910&amp;VALUEID=02001&amp;SDATE=201003&amp;PERIODTYPE=QTR_STD&amp;SCFT=3&amp;window=popup_no_bar&amp;width=385&amp;height=120&amp;START_MAXIMIZED=FALSE&amp;creator=factset&amp;display_string=Audit"}</definedName>
    <definedName name="_1530__FDSAUDITLINK__" localSheetId="7" hidden="1">{"fdsup://Directions/FactSet Auditing Viewer?action=AUDIT_VALUE&amp;DB=129&amp;ID1=G5876H10&amp;VALUEID=02001&amp;SDATE=200801&amp;PERIODTYPE=QTR_STD&amp;SCFT=3&amp;window=popup_no_bar&amp;width=385&amp;height=120&amp;START_MAXIMIZED=FALSE&amp;creator=factset&amp;display_string=Audit"}</definedName>
    <definedName name="_1530__FDSAUDITLINK__" hidden="1">{"fdsup://Directions/FactSet Auditing Viewer?action=AUDIT_VALUE&amp;DB=129&amp;ID1=G5876H10&amp;VALUEID=02001&amp;SDATE=200801&amp;PERIODTYPE=QTR_STD&amp;SCFT=3&amp;window=popup_no_bar&amp;width=385&amp;height=120&amp;START_MAXIMIZED=FALSE&amp;creator=factset&amp;display_string=Audit"}</definedName>
    <definedName name="_1531__FDSAUDITLINK__" localSheetId="7" hidden="1">{"fdsup://Directions/FactSet Auditing Viewer?action=AUDIT_VALUE&amp;DB=129&amp;ID1=62007630&amp;VALUEID=02001&amp;SDATE=200801&amp;PERIODTYPE=QTR_STD&amp;SCFT=3&amp;window=popup_no_bar&amp;width=385&amp;height=120&amp;START_MAXIMIZED=FALSE&amp;creator=factset&amp;display_string=Audit"}</definedName>
    <definedName name="_1531__FDSAUDITLINK__" hidden="1">{"fdsup://Directions/FactSet Auditing Viewer?action=AUDIT_VALUE&amp;DB=129&amp;ID1=62007630&amp;VALUEID=02001&amp;SDATE=200801&amp;PERIODTYPE=QTR_STD&amp;SCFT=3&amp;window=popup_no_bar&amp;width=385&amp;height=120&amp;START_MAXIMIZED=FALSE&amp;creator=factset&amp;display_string=Audit"}</definedName>
    <definedName name="_1532__FDSAUDITLINK__" localSheetId="7" hidden="1">{"fdsup://Directions/FactSet Auditing Viewer?action=AUDIT_VALUE&amp;DB=129&amp;ID1=62007630&amp;VALUEID=02001&amp;SDATE=200801&amp;PERIODTYPE=QTR_STD&amp;SCFT=3&amp;window=popup_no_bar&amp;width=385&amp;height=120&amp;START_MAXIMIZED=FALSE&amp;creator=factset&amp;display_string=Audit"}</definedName>
    <definedName name="_1532__FDSAUDITLINK__" hidden="1">{"fdsup://Directions/FactSet Auditing Viewer?action=AUDIT_VALUE&amp;DB=129&amp;ID1=62007630&amp;VALUEID=02001&amp;SDATE=200801&amp;PERIODTYPE=QTR_STD&amp;SCFT=3&amp;window=popup_no_bar&amp;width=385&amp;height=120&amp;START_MAXIMIZED=FALSE&amp;creator=factset&amp;display_string=Audit"}</definedName>
    <definedName name="_1533__FDSAUDITLINK__" localSheetId="7" hidden="1">{"fdsup://Directions/FactSet Auditing Viewer?action=AUDIT_VALUE&amp;DB=129&amp;ID1=60456710&amp;VALUEID=02001&amp;SDATE=200803&amp;PERIODTYPE=QTR_STD&amp;SCFT=3&amp;window=popup_no_bar&amp;width=385&amp;height=120&amp;START_MAXIMIZED=FALSE&amp;creator=factset&amp;display_string=Audit"}</definedName>
    <definedName name="_1533__FDSAUDITLINK__" hidden="1">{"fdsup://Directions/FactSet Auditing Viewer?action=AUDIT_VALUE&amp;DB=129&amp;ID1=60456710&amp;VALUEID=02001&amp;SDATE=200803&amp;PERIODTYPE=QTR_STD&amp;SCFT=3&amp;window=popup_no_bar&amp;width=385&amp;height=120&amp;START_MAXIMIZED=FALSE&amp;creator=factset&amp;display_string=Audit"}</definedName>
    <definedName name="_1534__FDSAUDITLINK__" localSheetId="7" hidden="1">{"fdsup://Directions/FactSet Auditing Viewer?action=AUDIT_VALUE&amp;DB=129&amp;ID1=60456710&amp;VALUEID=02001&amp;SDATE=200803&amp;PERIODTYPE=QTR_STD&amp;SCFT=3&amp;window=popup_no_bar&amp;width=385&amp;height=120&amp;START_MAXIMIZED=FALSE&amp;creator=factset&amp;display_string=Audit"}</definedName>
    <definedName name="_1534__FDSAUDITLINK__" hidden="1">{"fdsup://Directions/FactSet Auditing Viewer?action=AUDIT_VALUE&amp;DB=129&amp;ID1=60456710&amp;VALUEID=02001&amp;SDATE=200803&amp;PERIODTYPE=QTR_STD&amp;SCFT=3&amp;window=popup_no_bar&amp;width=385&amp;height=120&amp;START_MAXIMIZED=FALSE&amp;creator=factset&amp;display_string=Audit"}</definedName>
    <definedName name="_1535__FDSAUDITLINK__" localSheetId="7" hidden="1">{"fdsup://Directions/FactSet Auditing Viewer?action=AUDIT_VALUE&amp;DB=129&amp;ID1=59479310&amp;VALUEID=02001&amp;SDATE=200801&amp;PERIODTYPE=QTR_STD&amp;SCFT=3&amp;window=popup_no_bar&amp;width=385&amp;height=120&amp;START_MAXIMIZED=FALSE&amp;creator=factset&amp;display_string=Audit"}</definedName>
    <definedName name="_1535__FDSAUDITLINK__" hidden="1">{"fdsup://Directions/FactSet Auditing Viewer?action=AUDIT_VALUE&amp;DB=129&amp;ID1=59479310&amp;VALUEID=02001&amp;SDATE=200801&amp;PERIODTYPE=QTR_STD&amp;SCFT=3&amp;window=popup_no_bar&amp;width=385&amp;height=120&amp;START_MAXIMIZED=FALSE&amp;creator=factset&amp;display_string=Audit"}</definedName>
    <definedName name="_1536__FDSAUDITLINK__" localSheetId="7" hidden="1">{"fdsup://Directions/FactSet Auditing Viewer?action=AUDIT_VALUE&amp;DB=129&amp;ID1=59479310&amp;VALUEID=02001&amp;SDATE=200801&amp;PERIODTYPE=QTR_STD&amp;SCFT=3&amp;window=popup_no_bar&amp;width=385&amp;height=120&amp;START_MAXIMIZED=FALSE&amp;creator=factset&amp;display_string=Audit"}</definedName>
    <definedName name="_1536__FDSAUDITLINK__" hidden="1">{"fdsup://Directions/FactSet Auditing Viewer?action=AUDIT_VALUE&amp;DB=129&amp;ID1=59479310&amp;VALUEID=02001&amp;SDATE=200801&amp;PERIODTYPE=QTR_STD&amp;SCFT=3&amp;window=popup_no_bar&amp;width=385&amp;height=120&amp;START_MAXIMIZED=FALSE&amp;creator=factset&amp;display_string=Audit"}</definedName>
    <definedName name="_1537__FDSAUDITLINK__" localSheetId="7" hidden="1">{"fdsup://Directions/FactSet Auditing Viewer?action=AUDIT_VALUE&amp;DB=129&amp;ID1=59501710&amp;VALUEID=02001&amp;SDATE=200704&amp;PERIODTYPE=QTR_STD&amp;SCFT=3&amp;window=popup_no_bar&amp;width=385&amp;height=120&amp;START_MAXIMIZED=FALSE&amp;creator=factset&amp;display_string=Audit"}</definedName>
    <definedName name="_1537__FDSAUDITLINK__" hidden="1">{"fdsup://Directions/FactSet Auditing Viewer?action=AUDIT_VALUE&amp;DB=129&amp;ID1=59501710&amp;VALUEID=02001&amp;SDATE=200704&amp;PERIODTYPE=QTR_STD&amp;SCFT=3&amp;window=popup_no_bar&amp;width=385&amp;height=120&amp;START_MAXIMIZED=FALSE&amp;creator=factset&amp;display_string=Audit"}</definedName>
    <definedName name="_1538__FDSAUDITLINK__" localSheetId="7" hidden="1">{"fdsup://Directions/FactSet Auditing Viewer?action=AUDIT_VALUE&amp;DB=129&amp;ID1=59501710&amp;VALUEID=02001&amp;SDATE=200704&amp;PERIODTYPE=QTR_STD&amp;SCFT=3&amp;window=popup_no_bar&amp;width=385&amp;height=120&amp;START_MAXIMIZED=FALSE&amp;creator=factset&amp;display_string=Audit"}</definedName>
    <definedName name="_1538__FDSAUDITLINK__" hidden="1">{"fdsup://Directions/FactSet Auditing Viewer?action=AUDIT_VALUE&amp;DB=129&amp;ID1=59501710&amp;VALUEID=02001&amp;SDATE=200704&amp;PERIODTYPE=QTR_STD&amp;SCFT=3&amp;window=popup_no_bar&amp;width=385&amp;height=120&amp;START_MAXIMIZED=FALSE&amp;creator=factset&amp;display_string=Audit"}</definedName>
    <definedName name="_1539__FDSAUDITLINK__" localSheetId="7" hidden="1">{"fdsup://Directions/FactSet Auditing Viewer?action=AUDIT_VALUE&amp;DB=129&amp;ID1=50216110&amp;VALUEID=02001&amp;SDATE=200801&amp;PERIODTYPE=QTR_STD&amp;SCFT=3&amp;window=popup_no_bar&amp;width=385&amp;height=120&amp;START_MAXIMIZED=FALSE&amp;creator=factset&amp;display_string=Audit"}</definedName>
    <definedName name="_1539__FDSAUDITLINK__" hidden="1">{"fdsup://Directions/FactSet Auditing Viewer?action=AUDIT_VALUE&amp;DB=129&amp;ID1=50216110&amp;VALUEID=02001&amp;SDATE=200801&amp;PERIODTYPE=QTR_STD&amp;SCFT=3&amp;window=popup_no_bar&amp;width=385&amp;height=120&amp;START_MAXIMIZED=FALSE&amp;creator=factset&amp;display_string=Audit"}</definedName>
    <definedName name="_154__FDSAUDITLINK__" localSheetId="7" hidden="1">{"fdsup://Directions/FactSet Auditing Viewer?action=AUDIT_VALUE&amp;DB=129&amp;ID1=98391910&amp;VALUEID=02001&amp;SDATE=201003&amp;PERIODTYPE=QTR_STD&amp;SCFT=3&amp;window=popup_no_bar&amp;width=385&amp;height=120&amp;START_MAXIMIZED=FALSE&amp;creator=factset&amp;display_string=Audit"}</definedName>
    <definedName name="_154__FDSAUDITLINK__" hidden="1">{"fdsup://Directions/FactSet Auditing Viewer?action=AUDIT_VALUE&amp;DB=129&amp;ID1=98391910&amp;VALUEID=02001&amp;SDATE=201003&amp;PERIODTYPE=QTR_STD&amp;SCFT=3&amp;window=popup_no_bar&amp;width=385&amp;height=120&amp;START_MAXIMIZED=FALSE&amp;creator=factset&amp;display_string=Audit"}</definedName>
    <definedName name="_1540__FDSAUDITLINK__" localSheetId="7" hidden="1">{"fdsup://Directions/FactSet Auditing Viewer?action=AUDIT_VALUE&amp;DB=129&amp;ID1=50216110&amp;VALUEID=02001&amp;SDATE=200801&amp;PERIODTYPE=QTR_STD&amp;SCFT=3&amp;window=popup_no_bar&amp;width=385&amp;height=120&amp;START_MAXIMIZED=FALSE&amp;creator=factset&amp;display_string=Audit"}</definedName>
    <definedName name="_1540__FDSAUDITLINK__" hidden="1">{"fdsup://Directions/FactSet Auditing Viewer?action=AUDIT_VALUE&amp;DB=129&amp;ID1=50216110&amp;VALUEID=02001&amp;SDATE=200801&amp;PERIODTYPE=QTR_STD&amp;SCFT=3&amp;window=popup_no_bar&amp;width=385&amp;height=120&amp;START_MAXIMIZED=FALSE&amp;creator=factset&amp;display_string=Audit"}</definedName>
    <definedName name="_1541__FDSAUDITLINK__" localSheetId="7" hidden="1">{"fdsup://Directions/FactSet Auditing Viewer?action=AUDIT_VALUE&amp;DB=129&amp;ID1=51841510&amp;VALUEID=02001&amp;SDATE=200801&amp;PERIODTYPE=QTR_STD&amp;SCFT=3&amp;window=popup_no_bar&amp;width=385&amp;height=120&amp;START_MAXIMIZED=FALSE&amp;creator=factset&amp;display_string=Audit"}</definedName>
    <definedName name="_1541__FDSAUDITLINK__" hidden="1">{"fdsup://Directions/FactSet Auditing Viewer?action=AUDIT_VALUE&amp;DB=129&amp;ID1=51841510&amp;VALUEID=02001&amp;SDATE=200801&amp;PERIODTYPE=QTR_STD&amp;SCFT=3&amp;window=popup_no_bar&amp;width=385&amp;height=120&amp;START_MAXIMIZED=FALSE&amp;creator=factset&amp;display_string=Audit"}</definedName>
    <definedName name="_1542__FDSAUDITLINK__" localSheetId="7" hidden="1">{"fdsup://Directions/FactSet Auditing Viewer?action=AUDIT_VALUE&amp;DB=129&amp;ID1=51841510&amp;VALUEID=02001&amp;SDATE=200801&amp;PERIODTYPE=QTR_STD&amp;SCFT=3&amp;window=popup_no_bar&amp;width=385&amp;height=120&amp;START_MAXIMIZED=FALSE&amp;creator=factset&amp;display_string=Audit"}</definedName>
    <definedName name="_1542__FDSAUDITLINK__" hidden="1">{"fdsup://Directions/FactSet Auditing Viewer?action=AUDIT_VALUE&amp;DB=129&amp;ID1=51841510&amp;VALUEID=02001&amp;SDATE=200801&amp;PERIODTYPE=QTR_STD&amp;SCFT=3&amp;window=popup_no_bar&amp;width=385&amp;height=120&amp;START_MAXIMIZED=FALSE&amp;creator=factset&amp;display_string=Audit"}</definedName>
    <definedName name="_1543__FDSAUDITLINK__" localSheetId="7" hidden="1">{"fdsup://Directions/FactSet Auditing Viewer?action=AUDIT_VALUE&amp;DB=129&amp;ID1=51280710&amp;VALUEID=02001&amp;SDATE=200803&amp;PERIODTYPE=QTR_STD&amp;SCFT=3&amp;window=popup_no_bar&amp;width=385&amp;height=120&amp;START_MAXIMIZED=FALSE&amp;creator=factset&amp;display_string=Audit"}</definedName>
    <definedName name="_1543__FDSAUDITLINK__" hidden="1">{"fdsup://Directions/FactSet Auditing Viewer?action=AUDIT_VALUE&amp;DB=129&amp;ID1=51280710&amp;VALUEID=02001&amp;SDATE=200803&amp;PERIODTYPE=QTR_STD&amp;SCFT=3&amp;window=popup_no_bar&amp;width=385&amp;height=120&amp;START_MAXIMIZED=FALSE&amp;creator=factset&amp;display_string=Audit"}</definedName>
    <definedName name="_1544__FDSAUDITLINK__" localSheetId="7" hidden="1">{"fdsup://Directions/FactSet Auditing Viewer?action=AUDIT_VALUE&amp;DB=129&amp;ID1=51280710&amp;VALUEID=02001&amp;SDATE=200803&amp;PERIODTYPE=QTR_STD&amp;SCFT=3&amp;window=popup_no_bar&amp;width=385&amp;height=120&amp;START_MAXIMIZED=FALSE&amp;creator=factset&amp;display_string=Audit"}</definedName>
    <definedName name="_1544__FDSAUDITLINK__" hidden="1">{"fdsup://Directions/FactSet Auditing Viewer?action=AUDIT_VALUE&amp;DB=129&amp;ID1=51280710&amp;VALUEID=02001&amp;SDATE=200803&amp;PERIODTYPE=QTR_STD&amp;SCFT=3&amp;window=popup_no_bar&amp;width=385&amp;height=120&amp;START_MAXIMIZED=FALSE&amp;creator=factset&amp;display_string=Audit"}</definedName>
    <definedName name="_1545__FDSAUDITLINK__" localSheetId="7" hidden="1">{"fdsup://Directions/FactSet Auditing Viewer?action=AUDIT_VALUE&amp;DB=129&amp;ID1=53567810&amp;VALUEID=02001&amp;SDATE=200803&amp;PERIODTYPE=QTR_STD&amp;SCFT=3&amp;window=popup_no_bar&amp;width=385&amp;height=120&amp;START_MAXIMIZED=FALSE&amp;creator=factset&amp;display_string=Audit"}</definedName>
    <definedName name="_1545__FDSAUDITLINK__" hidden="1">{"fdsup://Directions/FactSet Auditing Viewer?action=AUDIT_VALUE&amp;DB=129&amp;ID1=53567810&amp;VALUEID=02001&amp;SDATE=200803&amp;PERIODTYPE=QTR_STD&amp;SCFT=3&amp;window=popup_no_bar&amp;width=385&amp;height=120&amp;START_MAXIMIZED=FALSE&amp;creator=factset&amp;display_string=Audit"}</definedName>
    <definedName name="_1546__FDSAUDITLINK__" localSheetId="7" hidden="1">{"fdsup://Directions/FactSet Auditing Viewer?action=AUDIT_VALUE&amp;DB=129&amp;ID1=53567810&amp;VALUEID=02001&amp;SDATE=200803&amp;PERIODTYPE=QTR_STD&amp;SCFT=3&amp;window=popup_no_bar&amp;width=385&amp;height=120&amp;START_MAXIMIZED=FALSE&amp;creator=factset&amp;display_string=Audit"}</definedName>
    <definedName name="_1546__FDSAUDITLINK__" hidden="1">{"fdsup://Directions/FactSet Auditing Viewer?action=AUDIT_VALUE&amp;DB=129&amp;ID1=53567810&amp;VALUEID=02001&amp;SDATE=200803&amp;PERIODTYPE=QTR_STD&amp;SCFT=3&amp;window=popup_no_bar&amp;width=385&amp;height=120&amp;START_MAXIMIZED=FALSE&amp;creator=factset&amp;display_string=Audit"}</definedName>
    <definedName name="_1547__FDSAUDITLINK__" localSheetId="7" hidden="1">{"fdsup://Directions/FactSet Auditing Viewer?action=AUDIT_VALUE&amp;DB=129&amp;ID1=48248010&amp;VALUEID=02001&amp;SDATE=200803&amp;PERIODTYPE=QTR_STD&amp;SCFT=3&amp;window=popup_no_bar&amp;width=385&amp;height=120&amp;START_MAXIMIZED=FALSE&amp;creator=factset&amp;display_string=Audit"}</definedName>
    <definedName name="_1547__FDSAUDITLINK__" hidden="1">{"fdsup://Directions/FactSet Auditing Viewer?action=AUDIT_VALUE&amp;DB=129&amp;ID1=48248010&amp;VALUEID=02001&amp;SDATE=200803&amp;PERIODTYPE=QTR_STD&amp;SCFT=3&amp;window=popup_no_bar&amp;width=385&amp;height=120&amp;START_MAXIMIZED=FALSE&amp;creator=factset&amp;display_string=Audit"}</definedName>
    <definedName name="_1548__FDSAUDITLINK__" localSheetId="7" hidden="1">{"fdsup://Directions/FactSet Auditing Viewer?action=AUDIT_VALUE&amp;DB=129&amp;ID1=48248010&amp;VALUEID=02001&amp;SDATE=200803&amp;PERIODTYPE=QTR_STD&amp;SCFT=3&amp;window=popup_no_bar&amp;width=385&amp;height=120&amp;START_MAXIMIZED=FALSE&amp;creator=factset&amp;display_string=Audit"}</definedName>
    <definedName name="_1548__FDSAUDITLINK__" hidden="1">{"fdsup://Directions/FactSet Auditing Viewer?action=AUDIT_VALUE&amp;DB=129&amp;ID1=48248010&amp;VALUEID=02001&amp;SDATE=200803&amp;PERIODTYPE=QTR_STD&amp;SCFT=3&amp;window=popup_no_bar&amp;width=385&amp;height=120&amp;START_MAXIMIZED=FALSE&amp;creator=factset&amp;display_string=Audit"}</definedName>
    <definedName name="_1549__FDSAUDITLINK__" localSheetId="7" hidden="1">{"fdsup://Directions/FactSet Auditing Viewer?action=AUDIT_VALUE&amp;DB=129&amp;ID1=48203R10&amp;VALUEID=02001&amp;SDATE=200801&amp;PERIODTYPE=QTR_STD&amp;SCFT=3&amp;window=popup_no_bar&amp;width=385&amp;height=120&amp;START_MAXIMIZED=FALSE&amp;creator=factset&amp;display_string=Audit"}</definedName>
    <definedName name="_1549__FDSAUDITLINK__" hidden="1">{"fdsup://Directions/FactSet Auditing Viewer?action=AUDIT_VALUE&amp;DB=129&amp;ID1=48203R10&amp;VALUEID=02001&amp;SDATE=200801&amp;PERIODTYPE=QTR_STD&amp;SCFT=3&amp;window=popup_no_bar&amp;width=385&amp;height=120&amp;START_MAXIMIZED=FALSE&amp;creator=factset&amp;display_string=Audit"}</definedName>
    <definedName name="_155__FDSAUDITLINK__" localSheetId="7" hidden="1">{"fdsup://Directions/FactSet Auditing Viewer?action=AUDIT_VALUE&amp;DB=129&amp;ID1=95810210&amp;VALUEID=02001&amp;SDATE=201102&amp;PERIODTYPE=QTR_STD&amp;SCFT=3&amp;window=popup_no_bar&amp;width=385&amp;height=120&amp;START_MAXIMIZED=FALSE&amp;creator=factset&amp;display_string=Audit"}</definedName>
    <definedName name="_155__FDSAUDITLINK__" hidden="1">{"fdsup://Directions/FactSet Auditing Viewer?action=AUDIT_VALUE&amp;DB=129&amp;ID1=95810210&amp;VALUEID=02001&amp;SDATE=201102&amp;PERIODTYPE=QTR_STD&amp;SCFT=3&amp;window=popup_no_bar&amp;width=385&amp;height=120&amp;START_MAXIMIZED=FALSE&amp;creator=factset&amp;display_string=Audit"}</definedName>
    <definedName name="_1550__FDSAUDITLINK__" localSheetId="7" hidden="1">{"fdsup://Directions/FactSet Auditing Viewer?action=AUDIT_VALUE&amp;DB=129&amp;ID1=48203R10&amp;VALUEID=02001&amp;SDATE=200801&amp;PERIODTYPE=QTR_STD&amp;SCFT=3&amp;window=popup_no_bar&amp;width=385&amp;height=120&amp;START_MAXIMIZED=FALSE&amp;creator=factset&amp;display_string=Audit"}</definedName>
    <definedName name="_1550__FDSAUDITLINK__" hidden="1">{"fdsup://Directions/FactSet Auditing Viewer?action=AUDIT_VALUE&amp;DB=129&amp;ID1=48203R10&amp;VALUEID=02001&amp;SDATE=200801&amp;PERIODTYPE=QTR_STD&amp;SCFT=3&amp;window=popup_no_bar&amp;width=385&amp;height=120&amp;START_MAXIMIZED=FALSE&amp;creator=factset&amp;display_string=Audit"}</definedName>
    <definedName name="_1551__FDSAUDITLINK__" localSheetId="7" hidden="1">{"fdsup://Directions/FactSet Auditing Viewer?action=AUDIT_VALUE&amp;DB=129&amp;ID1=86681020&amp;VALUEID=02001&amp;SDATE=200803&amp;PERIODTYPE=QTR_STD&amp;SCFT=3&amp;window=popup_no_bar&amp;width=385&amp;height=120&amp;START_MAXIMIZED=FALSE&amp;creator=factset&amp;display_string=Audit"}</definedName>
    <definedName name="_1551__FDSAUDITLINK__" hidden="1">{"fdsup://Directions/FactSet Auditing Viewer?action=AUDIT_VALUE&amp;DB=129&amp;ID1=86681020&amp;VALUEID=02001&amp;SDATE=200803&amp;PERIODTYPE=QTR_STD&amp;SCFT=3&amp;window=popup_no_bar&amp;width=385&amp;height=120&amp;START_MAXIMIZED=FALSE&amp;creator=factset&amp;display_string=Audit"}</definedName>
    <definedName name="_1552__FDSAUDITLINK__" localSheetId="7" hidden="1">{"fdsup://Directions/FactSet Auditing Viewer?action=AUDIT_VALUE&amp;DB=129&amp;ID1=86681020&amp;VALUEID=02001&amp;SDATE=200803&amp;PERIODTYPE=QTR_STD&amp;SCFT=3&amp;window=popup_no_bar&amp;width=385&amp;height=120&amp;START_MAXIMIZED=FALSE&amp;creator=factset&amp;display_string=Audit"}</definedName>
    <definedName name="_1552__FDSAUDITLINK__" hidden="1">{"fdsup://Directions/FactSet Auditing Viewer?action=AUDIT_VALUE&amp;DB=129&amp;ID1=86681020&amp;VALUEID=02001&amp;SDATE=200803&amp;PERIODTYPE=QTR_STD&amp;SCFT=3&amp;window=popup_no_bar&amp;width=385&amp;height=120&amp;START_MAXIMIZED=FALSE&amp;creator=factset&amp;display_string=Audit"}</definedName>
    <definedName name="_1553__FDSAUDITLINK__" localSheetId="7" hidden="1">{"fdsup://Directions/FactSet Auditing Viewer?action=AUDIT_VALUE&amp;DB=129&amp;ID1=46069S10&amp;VALUEID=02001&amp;SDATE=200801&amp;PERIODTYPE=QTR_STD&amp;SCFT=3&amp;window=popup_no_bar&amp;width=385&amp;height=120&amp;START_MAXIMIZED=FALSE&amp;creator=factset&amp;display_string=Audit"}</definedName>
    <definedName name="_1553__FDSAUDITLINK__" hidden="1">{"fdsup://Directions/FactSet Auditing Viewer?action=AUDIT_VALUE&amp;DB=129&amp;ID1=46069S10&amp;VALUEID=02001&amp;SDATE=200801&amp;PERIODTYPE=QTR_STD&amp;SCFT=3&amp;window=popup_no_bar&amp;width=385&amp;height=120&amp;START_MAXIMIZED=FALSE&amp;creator=factset&amp;display_string=Audit"}</definedName>
    <definedName name="_1554__FDSAUDITLINK__" localSheetId="7" hidden="1">{"fdsup://Directions/FactSet Auditing Viewer?action=AUDIT_VALUE&amp;DB=129&amp;ID1=46069S10&amp;VALUEID=02001&amp;SDATE=200801&amp;PERIODTYPE=QTR_STD&amp;SCFT=3&amp;window=popup_no_bar&amp;width=385&amp;height=120&amp;START_MAXIMIZED=FALSE&amp;creator=factset&amp;display_string=Audit"}</definedName>
    <definedName name="_1554__FDSAUDITLINK__" hidden="1">{"fdsup://Directions/FactSet Auditing Viewer?action=AUDIT_VALUE&amp;DB=129&amp;ID1=46069S10&amp;VALUEID=02001&amp;SDATE=200801&amp;PERIODTYPE=QTR_STD&amp;SCFT=3&amp;window=popup_no_bar&amp;width=385&amp;height=120&amp;START_MAXIMIZED=FALSE&amp;creator=factset&amp;display_string=Audit"}</definedName>
    <definedName name="_1555__FDSAUDITLINK__" localSheetId="7" hidden="1">{"fdsup://Directions/FactSet Auditing Viewer?action=AUDIT_VALUE&amp;DB=129&amp;ID1=46025410&amp;VALUEID=02001&amp;SDATE=200803&amp;PERIODTYPE=QTR_STD&amp;SCFT=3&amp;window=popup_no_bar&amp;width=385&amp;height=120&amp;START_MAXIMIZED=FALSE&amp;creator=factset&amp;display_string=Audit"}</definedName>
    <definedName name="_1555__FDSAUDITLINK__" hidden="1">{"fdsup://Directions/FactSet Auditing Viewer?action=AUDIT_VALUE&amp;DB=129&amp;ID1=46025410&amp;VALUEID=02001&amp;SDATE=200803&amp;PERIODTYPE=QTR_STD&amp;SCFT=3&amp;window=popup_no_bar&amp;width=385&amp;height=120&amp;START_MAXIMIZED=FALSE&amp;creator=factset&amp;display_string=Audit"}</definedName>
    <definedName name="_1556__FDSAUDITLINK__" localSheetId="7" hidden="1">{"fdsup://Directions/FactSet Auditing Viewer?action=AUDIT_VALUE&amp;DB=129&amp;ID1=46025410&amp;VALUEID=02001&amp;SDATE=200803&amp;PERIODTYPE=QTR_STD&amp;SCFT=3&amp;window=popup_no_bar&amp;width=385&amp;height=120&amp;START_MAXIMIZED=FALSE&amp;creator=factset&amp;display_string=Audit"}</definedName>
    <definedName name="_1556__FDSAUDITLINK__" hidden="1">{"fdsup://Directions/FactSet Auditing Viewer?action=AUDIT_VALUE&amp;DB=129&amp;ID1=46025410&amp;VALUEID=02001&amp;SDATE=200803&amp;PERIODTYPE=QTR_STD&amp;SCFT=3&amp;window=popup_no_bar&amp;width=385&amp;height=120&amp;START_MAXIMIZED=FALSE&amp;creator=factset&amp;display_string=Audit"}</definedName>
    <definedName name="_1557__FDSAUDITLINK__" localSheetId="7" hidden="1">{"fdsup://Directions/FactSet Auditing Viewer?action=AUDIT_VALUE&amp;DB=129&amp;ID1=45814010&amp;VALUEID=02001&amp;SDATE=200801&amp;PERIODTYPE=QTR_STD&amp;SCFT=3&amp;window=popup_no_bar&amp;width=385&amp;height=120&amp;START_MAXIMIZED=FALSE&amp;creator=factset&amp;display_string=Audit"}</definedName>
    <definedName name="_1557__FDSAUDITLINK__" hidden="1">{"fdsup://Directions/FactSet Auditing Viewer?action=AUDIT_VALUE&amp;DB=129&amp;ID1=45814010&amp;VALUEID=02001&amp;SDATE=200801&amp;PERIODTYPE=QTR_STD&amp;SCFT=3&amp;window=popup_no_bar&amp;width=385&amp;height=120&amp;START_MAXIMIZED=FALSE&amp;creator=factset&amp;display_string=Audit"}</definedName>
    <definedName name="_1558__FDSAUDITLINK__" localSheetId="7" hidden="1">{"fdsup://Directions/FactSet Auditing Viewer?action=AUDIT_VALUE&amp;DB=129&amp;ID1=45814010&amp;VALUEID=02001&amp;SDATE=200801&amp;PERIODTYPE=QTR_STD&amp;SCFT=3&amp;window=popup_no_bar&amp;width=385&amp;height=120&amp;START_MAXIMIZED=FALSE&amp;creator=factset&amp;display_string=Audit"}</definedName>
    <definedName name="_1558__FDSAUDITLINK__" hidden="1">{"fdsup://Directions/FactSet Auditing Viewer?action=AUDIT_VALUE&amp;DB=129&amp;ID1=45814010&amp;VALUEID=02001&amp;SDATE=200801&amp;PERIODTYPE=QTR_STD&amp;SCFT=3&amp;window=popup_no_bar&amp;width=385&amp;height=120&amp;START_MAXIMIZED=FALSE&amp;creator=factset&amp;display_string=Audit"}</definedName>
    <definedName name="_1559__FDSAUDITLINK__" localSheetId="7" hidden="1">{"fdsup://Directions/FactSet Auditing Viewer?action=AUDIT_VALUE&amp;DB=129&amp;ID1=42823610&amp;VALUEID=02001&amp;SDATE=200802&amp;PERIODTYPE=QTR_STD&amp;SCFT=3&amp;window=popup_no_bar&amp;width=385&amp;height=120&amp;START_MAXIMIZED=FALSE&amp;creator=factset&amp;display_string=Audit"}</definedName>
    <definedName name="_1559__FDSAUDITLINK__" hidden="1">{"fdsup://Directions/FactSet Auditing Viewer?action=AUDIT_VALUE&amp;DB=129&amp;ID1=42823610&amp;VALUEID=02001&amp;SDATE=200802&amp;PERIODTYPE=QTR_STD&amp;SCFT=3&amp;window=popup_no_bar&amp;width=385&amp;height=120&amp;START_MAXIMIZED=FALSE&amp;creator=factset&amp;display_string=Audit"}</definedName>
    <definedName name="_156__FDSAUDITLINK__" localSheetId="7" hidden="1">{"fdsup://Directions/FactSet Auditing Viewer?action=AUDIT_VALUE&amp;DB=129&amp;ID1=95810210&amp;VALUEID=02001&amp;SDATE=201102&amp;PERIODTYPE=QTR_STD&amp;SCFT=3&amp;window=popup_no_bar&amp;width=385&amp;height=120&amp;START_MAXIMIZED=FALSE&amp;creator=factset&amp;display_string=Audit"}</definedName>
    <definedName name="_156__FDSAUDITLINK__" hidden="1">{"fdsup://Directions/FactSet Auditing Viewer?action=AUDIT_VALUE&amp;DB=129&amp;ID1=95810210&amp;VALUEID=02001&amp;SDATE=201102&amp;PERIODTYPE=QTR_STD&amp;SCFT=3&amp;window=popup_no_bar&amp;width=385&amp;height=120&amp;START_MAXIMIZED=FALSE&amp;creator=factset&amp;display_string=Audit"}</definedName>
    <definedName name="_1560__FDSAUDITLINK__" localSheetId="7" hidden="1">{"fdsup://Directions/FactSet Auditing Viewer?action=AUDIT_VALUE&amp;DB=129&amp;ID1=42823610&amp;VALUEID=02001&amp;SDATE=200802&amp;PERIODTYPE=QTR_STD&amp;SCFT=3&amp;window=popup_no_bar&amp;width=385&amp;height=120&amp;START_MAXIMIZED=FALSE&amp;creator=factset&amp;display_string=Audit"}</definedName>
    <definedName name="_1560__FDSAUDITLINK__" hidden="1">{"fdsup://Directions/FactSet Auditing Viewer?action=AUDIT_VALUE&amp;DB=129&amp;ID1=42823610&amp;VALUEID=02001&amp;SDATE=200802&amp;PERIODTYPE=QTR_STD&amp;SCFT=3&amp;window=popup_no_bar&amp;width=385&amp;height=120&amp;START_MAXIMIZED=FALSE&amp;creator=factset&amp;display_string=Audit"}</definedName>
    <definedName name="_1561__FDSAUDITLINK__" localSheetId="7" hidden="1">{"fdsup://Directions/FactSet Auditing Viewer?action=AUDIT_VALUE&amp;DB=129&amp;ID1=H2906T10&amp;VALUEID=02001&amp;SDATE=200801&amp;PERIODTYPE=QTR_STD&amp;SCFT=3&amp;window=popup_no_bar&amp;width=385&amp;height=120&amp;START_MAXIMIZED=FALSE&amp;creator=factset&amp;display_string=Audit"}</definedName>
    <definedName name="_1561__FDSAUDITLINK__" hidden="1">{"fdsup://Directions/FactSet Auditing Viewer?action=AUDIT_VALUE&amp;DB=129&amp;ID1=H2906T10&amp;VALUEID=02001&amp;SDATE=200801&amp;PERIODTYPE=QTR_STD&amp;SCFT=3&amp;window=popup_no_bar&amp;width=385&amp;height=120&amp;START_MAXIMIZED=FALSE&amp;creator=factset&amp;display_string=Audit"}</definedName>
    <definedName name="_1562__FDSAUDITLINK__" localSheetId="7" hidden="1">{"fdsup://Directions/FactSet Auditing Viewer?action=AUDIT_VALUE&amp;DB=129&amp;ID1=H2906T10&amp;VALUEID=02001&amp;SDATE=200801&amp;PERIODTYPE=QTR_STD&amp;SCFT=3&amp;window=popup_no_bar&amp;width=385&amp;height=120&amp;START_MAXIMIZED=FALSE&amp;creator=factset&amp;display_string=Audit"}</definedName>
    <definedName name="_1562__FDSAUDITLINK__" hidden="1">{"fdsup://Directions/FactSet Auditing Viewer?action=AUDIT_VALUE&amp;DB=129&amp;ID1=H2906T10&amp;VALUEID=02001&amp;SDATE=200801&amp;PERIODTYPE=QTR_STD&amp;SCFT=3&amp;window=popup_no_bar&amp;width=385&amp;height=120&amp;START_MAXIMIZED=FALSE&amp;creator=factset&amp;display_string=Audit"}</definedName>
    <definedName name="_1563__FDSAUDITLINK__" localSheetId="7" hidden="1">{"fdsup://Directions/FactSet Auditing Viewer?action=AUDIT_VALUE&amp;DB=129&amp;ID1=34637510&amp;VALUEID=02001&amp;SDATE=200801&amp;PERIODTYPE=QTR_STD&amp;SCFT=3&amp;window=popup_no_bar&amp;width=385&amp;height=120&amp;START_MAXIMIZED=FALSE&amp;creator=factset&amp;display_string=Audit"}</definedName>
    <definedName name="_1563__FDSAUDITLINK__" hidden="1">{"fdsup://Directions/FactSet Auditing Viewer?action=AUDIT_VALUE&amp;DB=129&amp;ID1=34637510&amp;VALUEID=02001&amp;SDATE=200801&amp;PERIODTYPE=QTR_STD&amp;SCFT=3&amp;window=popup_no_bar&amp;width=385&amp;height=120&amp;START_MAXIMIZED=FALSE&amp;creator=factset&amp;display_string=Audit"}</definedName>
    <definedName name="_1564__FDSAUDITLINK__" localSheetId="7" hidden="1">{"fdsup://Directions/FactSet Auditing Viewer?action=AUDIT_VALUE&amp;DB=129&amp;ID1=34637510&amp;VALUEID=02001&amp;SDATE=200801&amp;PERIODTYPE=QTR_STD&amp;SCFT=3&amp;window=popup_no_bar&amp;width=385&amp;height=120&amp;START_MAXIMIZED=FALSE&amp;creator=factset&amp;display_string=Audit"}</definedName>
    <definedName name="_1564__FDSAUDITLINK__" hidden="1">{"fdsup://Directions/FactSet Auditing Viewer?action=AUDIT_VALUE&amp;DB=129&amp;ID1=34637510&amp;VALUEID=02001&amp;SDATE=200801&amp;PERIODTYPE=QTR_STD&amp;SCFT=3&amp;window=popup_no_bar&amp;width=385&amp;height=120&amp;START_MAXIMIZED=FALSE&amp;creator=factset&amp;display_string=Audit"}</definedName>
    <definedName name="_1565__FDSAUDITLINK__" localSheetId="7" hidden="1">{"fdsup://Directions/FactSet Auditing Viewer?action=AUDIT_VALUE&amp;DB=129&amp;ID1=31561610&amp;VALUEID=02001&amp;SDATE=200802&amp;PERIODTYPE=QTR_STD&amp;SCFT=3&amp;window=popup_no_bar&amp;width=385&amp;height=120&amp;START_MAXIMIZED=FALSE&amp;creator=factset&amp;display_string=Audit"}</definedName>
    <definedName name="_1565__FDSAUDITLINK__" hidden="1">{"fdsup://Directions/FactSet Auditing Viewer?action=AUDIT_VALUE&amp;DB=129&amp;ID1=31561610&amp;VALUEID=02001&amp;SDATE=200802&amp;PERIODTYPE=QTR_STD&amp;SCFT=3&amp;window=popup_no_bar&amp;width=385&amp;height=120&amp;START_MAXIMIZED=FALSE&amp;creator=factset&amp;display_string=Audit"}</definedName>
    <definedName name="_1566__FDSAUDITLINK__" localSheetId="7" hidden="1">{"fdsup://Directions/FactSet Auditing Viewer?action=AUDIT_VALUE&amp;DB=129&amp;ID1=31561610&amp;VALUEID=02001&amp;SDATE=200802&amp;PERIODTYPE=QTR_STD&amp;SCFT=3&amp;window=popup_no_bar&amp;width=385&amp;height=120&amp;START_MAXIMIZED=FALSE&amp;creator=factset&amp;display_string=Audit"}</definedName>
    <definedName name="_1566__FDSAUDITLINK__" hidden="1">{"fdsup://Directions/FactSet Auditing Viewer?action=AUDIT_VALUE&amp;DB=129&amp;ID1=31561610&amp;VALUEID=02001&amp;SDATE=200802&amp;PERIODTYPE=QTR_STD&amp;SCFT=3&amp;window=popup_no_bar&amp;width=385&amp;height=120&amp;START_MAXIMIZED=FALSE&amp;creator=factset&amp;display_string=Audit"}</definedName>
    <definedName name="_1567__FDSAUDITLINK__" localSheetId="7" hidden="1">{"fdsup://Directions/FactSet Auditing Viewer?action=AUDIT_VALUE&amp;DB=129&amp;ID1=29247520&amp;VALUEID=02001&amp;SDATE=200803&amp;PERIODTYPE=QTR_STD&amp;SCFT=3&amp;window=popup_no_bar&amp;width=385&amp;height=120&amp;START_MAXIMIZED=FALSE&amp;creator=factset&amp;display_string=Audit"}</definedName>
    <definedName name="_1567__FDSAUDITLINK__" hidden="1">{"fdsup://Directions/FactSet Auditing Viewer?action=AUDIT_VALUE&amp;DB=129&amp;ID1=29247520&amp;VALUEID=02001&amp;SDATE=200803&amp;PERIODTYPE=QTR_STD&amp;SCFT=3&amp;window=popup_no_bar&amp;width=385&amp;height=120&amp;START_MAXIMIZED=FALSE&amp;creator=factset&amp;display_string=Audit"}</definedName>
    <definedName name="_1568__FDSAUDITLINK__" localSheetId="7" hidden="1">{"fdsup://Directions/FactSet Auditing Viewer?action=AUDIT_VALUE&amp;DB=129&amp;ID1=29247520&amp;VALUEID=02001&amp;SDATE=200803&amp;PERIODTYPE=QTR_STD&amp;SCFT=3&amp;window=popup_no_bar&amp;width=385&amp;height=120&amp;START_MAXIMIZED=FALSE&amp;creator=factset&amp;display_string=Audit"}</definedName>
    <definedName name="_1568__FDSAUDITLINK__" hidden="1">{"fdsup://Directions/FactSet Auditing Viewer?action=AUDIT_VALUE&amp;DB=129&amp;ID1=29247520&amp;VALUEID=02001&amp;SDATE=200803&amp;PERIODTYPE=QTR_STD&amp;SCFT=3&amp;window=popup_no_bar&amp;width=385&amp;height=120&amp;START_MAXIMIZED=FALSE&amp;creator=factset&amp;display_string=Audit"}</definedName>
    <definedName name="_1569__FDSAUDITLINK__" localSheetId="7" hidden="1">{"fdsup://Directions/FactSet Auditing Viewer?action=AUDIT_VALUE&amp;DB=129&amp;ID1=25454310&amp;VALUEID=02001&amp;SDATE=200801&amp;PERIODTYPE=QTR_STD&amp;SCFT=3&amp;window=popup_no_bar&amp;width=385&amp;height=120&amp;START_MAXIMIZED=FALSE&amp;creator=factset&amp;display_string=Audit"}</definedName>
    <definedName name="_1569__FDSAUDITLINK__" hidden="1">{"fdsup://Directions/FactSet Auditing Viewer?action=AUDIT_VALUE&amp;DB=129&amp;ID1=25454310&amp;VALUEID=02001&amp;SDATE=200801&amp;PERIODTYPE=QTR_STD&amp;SCFT=3&amp;window=popup_no_bar&amp;width=385&amp;height=120&amp;START_MAXIMIZED=FALSE&amp;creator=factset&amp;display_string=Audit"}</definedName>
    <definedName name="_157__FDSAUDITLINK__" localSheetId="7" hidden="1">{"fdsup://Directions/FactSet Auditing Viewer?action=AUDIT_VALUE&amp;DB=129&amp;ID1=92849730&amp;VALUEID=02001&amp;SDATE=201101&amp;PERIODTYPE=QTR_STD&amp;SCFT=3&amp;window=popup_no_bar&amp;width=385&amp;height=120&amp;START_MAXIMIZED=FALSE&amp;creator=factset&amp;display_string=Audit"}</definedName>
    <definedName name="_157__FDSAUDITLINK__" hidden="1">{"fdsup://Directions/FactSet Auditing Viewer?action=AUDIT_VALUE&amp;DB=129&amp;ID1=92849730&amp;VALUEID=02001&amp;SDATE=201101&amp;PERIODTYPE=QTR_STD&amp;SCFT=3&amp;window=popup_no_bar&amp;width=385&amp;height=120&amp;START_MAXIMIZED=FALSE&amp;creator=factset&amp;display_string=Audit"}</definedName>
    <definedName name="_1570__FDSAUDITLINK__" localSheetId="7" hidden="1">{"fdsup://Directions/FactSet Auditing Viewer?action=AUDIT_VALUE&amp;DB=129&amp;ID1=25454310&amp;VALUEID=02001&amp;SDATE=200801&amp;PERIODTYPE=QTR_STD&amp;SCFT=3&amp;window=popup_no_bar&amp;width=385&amp;height=120&amp;START_MAXIMIZED=FALSE&amp;creator=factset&amp;display_string=Audit"}</definedName>
    <definedName name="_1570__FDSAUDITLINK__" hidden="1">{"fdsup://Directions/FactSet Auditing Viewer?action=AUDIT_VALUE&amp;DB=129&amp;ID1=25454310&amp;VALUEID=02001&amp;SDATE=200801&amp;PERIODTYPE=QTR_STD&amp;SCFT=3&amp;window=popup_no_bar&amp;width=385&amp;height=120&amp;START_MAXIMIZED=FALSE&amp;creator=factset&amp;display_string=Audit"}</definedName>
    <definedName name="_1571__FDSAUDITLINK__" localSheetId="7" hidden="1">{"fdsup://Directions/FactSet Auditing Viewer?action=AUDIT_VALUE&amp;DB=129&amp;ID1=24702R10&amp;VALUEID=02001&amp;SDATE=200801&amp;PERIODTYPE=QTR_STD&amp;SCFT=3&amp;window=popup_no_bar&amp;width=385&amp;height=120&amp;START_MAXIMIZED=FALSE&amp;creator=factset&amp;display_string=Audit"}</definedName>
    <definedName name="_1571__FDSAUDITLINK__" hidden="1">{"fdsup://Directions/FactSet Auditing Viewer?action=AUDIT_VALUE&amp;DB=129&amp;ID1=24702R10&amp;VALUEID=02001&amp;SDATE=200801&amp;PERIODTYPE=QTR_STD&amp;SCFT=3&amp;window=popup_no_bar&amp;width=385&amp;height=120&amp;START_MAXIMIZED=FALSE&amp;creator=factset&amp;display_string=Audit"}</definedName>
    <definedName name="_1572__FDSAUDITLINK__" localSheetId="7" hidden="1">{"fdsup://Directions/FactSet Auditing Viewer?action=AUDIT_VALUE&amp;DB=129&amp;ID1=24702R10&amp;VALUEID=02001&amp;SDATE=200801&amp;PERIODTYPE=QTR_STD&amp;SCFT=3&amp;window=popup_no_bar&amp;width=385&amp;height=120&amp;START_MAXIMIZED=FALSE&amp;creator=factset&amp;display_string=Audit"}</definedName>
    <definedName name="_1572__FDSAUDITLINK__" hidden="1">{"fdsup://Directions/FactSet Auditing Viewer?action=AUDIT_VALUE&amp;DB=129&amp;ID1=24702R10&amp;VALUEID=02001&amp;SDATE=200801&amp;PERIODTYPE=QTR_STD&amp;SCFT=3&amp;window=popup_no_bar&amp;width=385&amp;height=120&amp;START_MAXIMIZED=FALSE&amp;creator=factset&amp;display_string=Audit"}</definedName>
    <definedName name="_1573__FDSAUDITLINK__" localSheetId="7" hidden="1">{"fdsup://Directions/FactSet Auditing Viewer?action=AUDIT_VALUE&amp;DB=129&amp;ID1=23257210&amp;VALUEID=02001&amp;SDATE=200801&amp;PERIODTYPE=QTR_STD&amp;SCFT=3&amp;window=popup_no_bar&amp;width=385&amp;height=120&amp;START_MAXIMIZED=FALSE&amp;creator=factset&amp;display_string=Audit"}</definedName>
    <definedName name="_1573__FDSAUDITLINK__" hidden="1">{"fdsup://Directions/FactSet Auditing Viewer?action=AUDIT_VALUE&amp;DB=129&amp;ID1=23257210&amp;VALUEID=02001&amp;SDATE=200801&amp;PERIODTYPE=QTR_STD&amp;SCFT=3&amp;window=popup_no_bar&amp;width=385&amp;height=120&amp;START_MAXIMIZED=FALSE&amp;creator=factset&amp;display_string=Audit"}</definedName>
    <definedName name="_1574__FDSAUDITLINK__" localSheetId="7" hidden="1">{"fdsup://Directions/FactSet Auditing Viewer?action=AUDIT_VALUE&amp;DB=129&amp;ID1=23257210&amp;VALUEID=02001&amp;SDATE=200801&amp;PERIODTYPE=QTR_STD&amp;SCFT=3&amp;window=popup_no_bar&amp;width=385&amp;height=120&amp;START_MAXIMIZED=FALSE&amp;creator=factset&amp;display_string=Audit"}</definedName>
    <definedName name="_1574__FDSAUDITLINK__" hidden="1">{"fdsup://Directions/FactSet Auditing Viewer?action=AUDIT_VALUE&amp;DB=129&amp;ID1=23257210&amp;VALUEID=02001&amp;SDATE=200801&amp;PERIODTYPE=QTR_STD&amp;SCFT=3&amp;window=popup_no_bar&amp;width=385&amp;height=120&amp;START_MAXIMIZED=FALSE&amp;creator=factset&amp;display_string=Audit"}</definedName>
    <definedName name="_1575__FDSAUDITLINK__" localSheetId="7" hidden="1">{"fdsup://Directions/FactSet Auditing Viewer?action=AUDIT_VALUE&amp;DB=129&amp;ID1=23280610&amp;VALUEID=02001&amp;SDATE=200801&amp;PERIODTYPE=QTR_STD&amp;SCFT=3&amp;window=popup_no_bar&amp;width=385&amp;height=120&amp;START_MAXIMIZED=FALSE&amp;creator=factset&amp;display_string=Audit"}</definedName>
    <definedName name="_1575__FDSAUDITLINK__" hidden="1">{"fdsup://Directions/FactSet Auditing Viewer?action=AUDIT_VALUE&amp;DB=129&amp;ID1=23280610&amp;VALUEID=02001&amp;SDATE=200801&amp;PERIODTYPE=QTR_STD&amp;SCFT=3&amp;window=popup_no_bar&amp;width=385&amp;height=120&amp;START_MAXIMIZED=FALSE&amp;creator=factset&amp;display_string=Audit"}</definedName>
    <definedName name="_1576__FDSAUDITLINK__" localSheetId="7" hidden="1">{"fdsup://Directions/FactSet Auditing Viewer?action=AUDIT_VALUE&amp;DB=129&amp;ID1=23280610&amp;VALUEID=02001&amp;SDATE=200801&amp;PERIODTYPE=QTR_STD&amp;SCFT=3&amp;window=popup_no_bar&amp;width=385&amp;height=120&amp;START_MAXIMIZED=FALSE&amp;creator=factset&amp;display_string=Audit"}</definedName>
    <definedName name="_1576__FDSAUDITLINK__" hidden="1">{"fdsup://Directions/FactSet Auditing Viewer?action=AUDIT_VALUE&amp;DB=129&amp;ID1=23280610&amp;VALUEID=02001&amp;SDATE=200801&amp;PERIODTYPE=QTR_STD&amp;SCFT=3&amp;window=popup_no_bar&amp;width=385&amp;height=120&amp;START_MAXIMIZED=FALSE&amp;creator=factset&amp;display_string=Audit"}</definedName>
    <definedName name="_1577__FDSAUDITLINK__" localSheetId="7" hidden="1">{"fdsup://Directions/FactSet Auditing Viewer?action=AUDIT_VALUE&amp;DB=129&amp;ID1=17275R10&amp;VALUEID=02001&amp;SDATE=200803&amp;PERIODTYPE=QTR_STD&amp;SCFT=3&amp;window=popup_no_bar&amp;width=385&amp;height=120&amp;START_MAXIMIZED=FALSE&amp;creator=factset&amp;display_string=Audit"}</definedName>
    <definedName name="_1577__FDSAUDITLINK__" hidden="1">{"fdsup://Directions/FactSet Auditing Viewer?action=AUDIT_VALUE&amp;DB=129&amp;ID1=17275R10&amp;VALUEID=02001&amp;SDATE=200803&amp;PERIODTYPE=QTR_STD&amp;SCFT=3&amp;window=popup_no_bar&amp;width=385&amp;height=120&amp;START_MAXIMIZED=FALSE&amp;creator=factset&amp;display_string=Audit"}</definedName>
    <definedName name="_1578__FDSAUDITLINK__" localSheetId="7" hidden="1">{"fdsup://Directions/FactSet Auditing Viewer?action=AUDIT_VALUE&amp;DB=129&amp;ID1=17275R10&amp;VALUEID=02001&amp;SDATE=200803&amp;PERIODTYPE=QTR_STD&amp;SCFT=3&amp;window=popup_no_bar&amp;width=385&amp;height=120&amp;START_MAXIMIZED=FALSE&amp;creator=factset&amp;display_string=Audit"}</definedName>
    <definedName name="_1578__FDSAUDITLINK__" hidden="1">{"fdsup://Directions/FactSet Auditing Viewer?action=AUDIT_VALUE&amp;DB=129&amp;ID1=17275R10&amp;VALUEID=02001&amp;SDATE=200803&amp;PERIODTYPE=QTR_STD&amp;SCFT=3&amp;window=popup_no_bar&amp;width=385&amp;height=120&amp;START_MAXIMIZED=FALSE&amp;creator=factset&amp;display_string=Audit"}</definedName>
    <definedName name="_1579__FDSAUDITLINK__" localSheetId="7" hidden="1">{"fdsup://Directions/FactSet Auditing Viewer?action=AUDIT_VALUE&amp;DB=129&amp;ID1=22544710&amp;VALUEID=02001&amp;SDATE=200803&amp;PERIODTYPE=QTR_STD&amp;SCFT=3&amp;window=popup_no_bar&amp;width=385&amp;height=120&amp;START_MAXIMIZED=FALSE&amp;creator=factset&amp;display_string=Audit"}</definedName>
    <definedName name="_1579__FDSAUDITLINK__" hidden="1">{"fdsup://Directions/FactSet Auditing Viewer?action=AUDIT_VALUE&amp;DB=129&amp;ID1=22544710&amp;VALUEID=02001&amp;SDATE=200803&amp;PERIODTYPE=QTR_STD&amp;SCFT=3&amp;window=popup_no_bar&amp;width=385&amp;height=120&amp;START_MAXIMIZED=FALSE&amp;creator=factset&amp;display_string=Audit"}</definedName>
    <definedName name="_158__FDSAUDITLINK__" localSheetId="7" hidden="1">{"fdsup://Directions/FactSet Auditing Viewer?action=AUDIT_VALUE&amp;DB=129&amp;ID1=92849730&amp;VALUEID=02001&amp;SDATE=201101&amp;PERIODTYPE=QTR_STD&amp;SCFT=3&amp;window=popup_no_bar&amp;width=385&amp;height=120&amp;START_MAXIMIZED=FALSE&amp;creator=factset&amp;display_string=Audit"}</definedName>
    <definedName name="_158__FDSAUDITLINK__" hidden="1">{"fdsup://Directions/FactSet Auditing Viewer?action=AUDIT_VALUE&amp;DB=129&amp;ID1=92849730&amp;VALUEID=02001&amp;SDATE=201101&amp;PERIODTYPE=QTR_STD&amp;SCFT=3&amp;window=popup_no_bar&amp;width=385&amp;height=120&amp;START_MAXIMIZED=FALSE&amp;creator=factset&amp;display_string=Audit"}</definedName>
    <definedName name="_1580__FDSAUDITLINK__" localSheetId="7" hidden="1">{"fdsup://Directions/FactSet Auditing Viewer?action=AUDIT_VALUE&amp;DB=129&amp;ID1=22544710&amp;VALUEID=02001&amp;SDATE=200803&amp;PERIODTYPE=QTR_STD&amp;SCFT=3&amp;window=popup_no_bar&amp;width=385&amp;height=120&amp;START_MAXIMIZED=FALSE&amp;creator=factset&amp;display_string=Audit"}</definedName>
    <definedName name="_1580__FDSAUDITLINK__" hidden="1">{"fdsup://Directions/FactSet Auditing Viewer?action=AUDIT_VALUE&amp;DB=129&amp;ID1=22544710&amp;VALUEID=02001&amp;SDATE=200803&amp;PERIODTYPE=QTR_STD&amp;SCFT=3&amp;window=popup_no_bar&amp;width=385&amp;height=120&amp;START_MAXIMIZED=FALSE&amp;creator=factset&amp;display_string=Audit"}</definedName>
    <definedName name="_1581__FDSAUDITLINK__" localSheetId="7" hidden="1">{"fdsup://Directions/FactSet Auditing Viewer?action=AUDIT_VALUE&amp;DB=129&amp;ID1=20714230&amp;VALUEID=02001&amp;SDATE=200802&amp;PERIODTYPE=QTR_STD&amp;SCFT=3&amp;window=popup_no_bar&amp;width=385&amp;height=120&amp;START_MAXIMIZED=FALSE&amp;creator=factset&amp;display_string=Audit"}</definedName>
    <definedName name="_1581__FDSAUDITLINK__" hidden="1">{"fdsup://Directions/FactSet Auditing Viewer?action=AUDIT_VALUE&amp;DB=129&amp;ID1=20714230&amp;VALUEID=02001&amp;SDATE=200802&amp;PERIODTYPE=QTR_STD&amp;SCFT=3&amp;window=popup_no_bar&amp;width=385&amp;height=120&amp;START_MAXIMIZED=FALSE&amp;creator=factset&amp;display_string=Audit"}</definedName>
    <definedName name="_1582__FDSAUDITLINK__" localSheetId="7" hidden="1">{"fdsup://Directions/FactSet Auditing Viewer?action=AUDIT_VALUE&amp;DB=129&amp;ID1=20714230&amp;VALUEID=02001&amp;SDATE=200802&amp;PERIODTYPE=QTR_STD&amp;SCFT=3&amp;window=popup_no_bar&amp;width=385&amp;height=120&amp;START_MAXIMIZED=FALSE&amp;creator=factset&amp;display_string=Audit"}</definedName>
    <definedName name="_1582__FDSAUDITLINK__" hidden="1">{"fdsup://Directions/FactSet Auditing Viewer?action=AUDIT_VALUE&amp;DB=129&amp;ID1=20714230&amp;VALUEID=02001&amp;SDATE=200802&amp;PERIODTYPE=QTR_STD&amp;SCFT=3&amp;window=popup_no_bar&amp;width=385&amp;height=120&amp;START_MAXIMIZED=FALSE&amp;creator=factset&amp;display_string=Audit"}</definedName>
    <definedName name="_1583__FDSAUDITLINK__" localSheetId="7" hidden="1">{"fdsup://Directions/FactSet Auditing Viewer?action=AUDIT_VALUE&amp;DB=129&amp;ID1=12738710&amp;VALUEID=02001&amp;SDATE=200801&amp;PERIODTYPE=QTR_STD&amp;SCFT=3&amp;window=popup_no_bar&amp;width=385&amp;height=120&amp;START_MAXIMIZED=FALSE&amp;creator=factset&amp;display_string=Audit"}</definedName>
    <definedName name="_1583__FDSAUDITLINK__" hidden="1">{"fdsup://Directions/FactSet Auditing Viewer?action=AUDIT_VALUE&amp;DB=129&amp;ID1=12738710&amp;VALUEID=02001&amp;SDATE=200801&amp;PERIODTYPE=QTR_STD&amp;SCFT=3&amp;window=popup_no_bar&amp;width=385&amp;height=120&amp;START_MAXIMIZED=FALSE&amp;creator=factset&amp;display_string=Audit"}</definedName>
    <definedName name="_1584__FDSAUDITLINK__" localSheetId="7" hidden="1">{"fdsup://Directions/FactSet Auditing Viewer?action=AUDIT_VALUE&amp;DB=129&amp;ID1=12738710&amp;VALUEID=02001&amp;SDATE=200801&amp;PERIODTYPE=QTR_STD&amp;SCFT=3&amp;window=popup_no_bar&amp;width=385&amp;height=120&amp;START_MAXIMIZED=FALSE&amp;creator=factset&amp;display_string=Audit"}</definedName>
    <definedName name="_1584__FDSAUDITLINK__" hidden="1">{"fdsup://Directions/FactSet Auditing Viewer?action=AUDIT_VALUE&amp;DB=129&amp;ID1=12738710&amp;VALUEID=02001&amp;SDATE=200801&amp;PERIODTYPE=QTR_STD&amp;SCFT=3&amp;window=popup_no_bar&amp;width=385&amp;height=120&amp;START_MAXIMIZED=FALSE&amp;creator=factset&amp;display_string=Audit"}</definedName>
    <definedName name="_1585__FDSAUDITLINK__" localSheetId="7" hidden="1">{"fdsup://Directions/FactSet Auditing Viewer?action=AUDIT_VALUE&amp;DB=129&amp;ID1=14964U10&amp;VALUEID=02001&amp;SDATE=200801&amp;PERIODTYPE=QTR_STD&amp;SCFT=3&amp;window=popup_no_bar&amp;width=385&amp;height=120&amp;START_MAXIMIZED=FALSE&amp;creator=factset&amp;display_string=Audit"}</definedName>
    <definedName name="_1585__FDSAUDITLINK__" hidden="1">{"fdsup://Directions/FactSet Auditing Viewer?action=AUDIT_VALUE&amp;DB=129&amp;ID1=14964U10&amp;VALUEID=02001&amp;SDATE=200801&amp;PERIODTYPE=QTR_STD&amp;SCFT=3&amp;window=popup_no_bar&amp;width=385&amp;height=120&amp;START_MAXIMIZED=FALSE&amp;creator=factset&amp;display_string=Audit"}</definedName>
    <definedName name="_1586__FDSAUDITLINK__" localSheetId="7" hidden="1">{"fdsup://Directions/FactSet Auditing Viewer?action=AUDIT_VALUE&amp;DB=129&amp;ID1=14964U10&amp;VALUEID=02001&amp;SDATE=200801&amp;PERIODTYPE=QTR_STD&amp;SCFT=3&amp;window=popup_no_bar&amp;width=385&amp;height=120&amp;START_MAXIMIZED=FALSE&amp;creator=factset&amp;display_string=Audit"}</definedName>
    <definedName name="_1586__FDSAUDITLINK__" hidden="1">{"fdsup://Directions/FactSet Auditing Viewer?action=AUDIT_VALUE&amp;DB=129&amp;ID1=14964U10&amp;VALUEID=02001&amp;SDATE=200801&amp;PERIODTYPE=QTR_STD&amp;SCFT=3&amp;window=popup_no_bar&amp;width=385&amp;height=120&amp;START_MAXIMIZED=FALSE&amp;creator=factset&amp;display_string=Audit"}</definedName>
    <definedName name="_1587__FDSAUDITLINK__" localSheetId="7" hidden="1">{"fdsup://Directions/FactSet Auditing Viewer?action=AUDIT_VALUE&amp;DB=129&amp;ID1=11162130&amp;VALUEID=02001&amp;SDATE=200802&amp;PERIODTYPE=QTR_STD&amp;SCFT=3&amp;window=popup_no_bar&amp;width=385&amp;height=120&amp;START_MAXIMIZED=FALSE&amp;creator=factset&amp;display_string=Audit"}</definedName>
    <definedName name="_1587__FDSAUDITLINK__" hidden="1">{"fdsup://Directions/FactSet Auditing Viewer?action=AUDIT_VALUE&amp;DB=129&amp;ID1=11162130&amp;VALUEID=02001&amp;SDATE=200802&amp;PERIODTYPE=QTR_STD&amp;SCFT=3&amp;window=popup_no_bar&amp;width=385&amp;height=120&amp;START_MAXIMIZED=FALSE&amp;creator=factset&amp;display_string=Audit"}</definedName>
    <definedName name="_1588__FDSAUDITLINK__" localSheetId="7" hidden="1">{"fdsup://Directions/FactSet Auditing Viewer?action=AUDIT_VALUE&amp;DB=129&amp;ID1=11162130&amp;VALUEID=02001&amp;SDATE=200802&amp;PERIODTYPE=QTR_STD&amp;SCFT=3&amp;window=popup_no_bar&amp;width=385&amp;height=120&amp;START_MAXIMIZED=FALSE&amp;creator=factset&amp;display_string=Audit"}</definedName>
    <definedName name="_1588__FDSAUDITLINK__" hidden="1">{"fdsup://Directions/FactSet Auditing Viewer?action=AUDIT_VALUE&amp;DB=129&amp;ID1=11162130&amp;VALUEID=02001&amp;SDATE=200802&amp;PERIODTYPE=QTR_STD&amp;SCFT=3&amp;window=popup_no_bar&amp;width=385&amp;height=120&amp;START_MAXIMIZED=FALSE&amp;creator=factset&amp;display_string=Audit"}</definedName>
    <definedName name="_1589__FDSAUDITLINK__" localSheetId="7" hidden="1">{"fdsup://Directions/FactSet Auditing Viewer?action=AUDIT_VALUE&amp;DB=129&amp;ID1=04743P10&amp;VALUEID=02001&amp;SDATE=200801&amp;PERIODTYPE=QTR_STD&amp;SCFT=3&amp;window=popup_no_bar&amp;width=385&amp;height=120&amp;START_MAXIMIZED=FALSE&amp;creator=factset&amp;display_string=Audit"}</definedName>
    <definedName name="_1589__FDSAUDITLINK__" hidden="1">{"fdsup://Directions/FactSet Auditing Viewer?action=AUDIT_VALUE&amp;DB=129&amp;ID1=04743P10&amp;VALUEID=02001&amp;SDATE=200801&amp;PERIODTYPE=QTR_STD&amp;SCFT=3&amp;window=popup_no_bar&amp;width=385&amp;height=120&amp;START_MAXIMIZED=FALSE&amp;creator=factset&amp;display_string=Audit"}</definedName>
    <definedName name="_159__FDSAUDITLINK__" localSheetId="7" hidden="1">{"fdsup://Directions/FactSet Auditing Viewer?action=AUDIT_VALUE&amp;DB=129&amp;ID1=92829810&amp;VALUEID=02001&amp;SDATE=201004&amp;PERIODTYPE=QTR_STD&amp;SCFT=3&amp;window=popup_no_bar&amp;width=385&amp;height=120&amp;START_MAXIMIZED=FALSE&amp;creator=factset&amp;display_string=Audit"}</definedName>
    <definedName name="_159__FDSAUDITLINK__" hidden="1">{"fdsup://Directions/FactSet Auditing Viewer?action=AUDIT_VALUE&amp;DB=129&amp;ID1=92829810&amp;VALUEID=02001&amp;SDATE=201004&amp;PERIODTYPE=QTR_STD&amp;SCFT=3&amp;window=popup_no_bar&amp;width=385&amp;height=120&amp;START_MAXIMIZED=FALSE&amp;creator=factset&amp;display_string=Audit"}</definedName>
    <definedName name="_1590__FDSAUDITLINK__" localSheetId="7" hidden="1">{"fdsup://Directions/FactSet Auditing Viewer?action=AUDIT_VALUE&amp;DB=129&amp;ID1=04743P10&amp;VALUEID=02001&amp;SDATE=200801&amp;PERIODTYPE=QTR_STD&amp;SCFT=3&amp;window=popup_no_bar&amp;width=385&amp;height=120&amp;START_MAXIMIZED=FALSE&amp;creator=factset&amp;display_string=Audit"}</definedName>
    <definedName name="_1590__FDSAUDITLINK__" hidden="1">{"fdsup://Directions/FactSet Auditing Viewer?action=AUDIT_VALUE&amp;DB=129&amp;ID1=04743P10&amp;VALUEID=02001&amp;SDATE=200801&amp;PERIODTYPE=QTR_STD&amp;SCFT=3&amp;window=popup_no_bar&amp;width=385&amp;height=120&amp;START_MAXIMIZED=FALSE&amp;creator=factset&amp;display_string=Audit"}</definedName>
    <definedName name="_1591__FDSAUDITLINK__" localSheetId="7" hidden="1">{"fdsup://Directions/FactSet Auditing Viewer?action=AUDIT_VALUE&amp;DB=129&amp;ID1=03251510&amp;VALUEID=02001&amp;SDATE=200801&amp;PERIODTYPE=QTR_STD&amp;SCFT=3&amp;window=popup_no_bar&amp;width=385&amp;height=120&amp;START_MAXIMIZED=FALSE&amp;creator=factset&amp;display_string=Audit"}</definedName>
    <definedName name="_1591__FDSAUDITLINK__" hidden="1">{"fdsup://Directions/FactSet Auditing Viewer?action=AUDIT_VALUE&amp;DB=129&amp;ID1=03251510&amp;VALUEID=02001&amp;SDATE=200801&amp;PERIODTYPE=QTR_STD&amp;SCFT=3&amp;window=popup_no_bar&amp;width=385&amp;height=120&amp;START_MAXIMIZED=FALSE&amp;creator=factset&amp;display_string=Audit"}</definedName>
    <definedName name="_1592__FDSAUDITLINK__" localSheetId="7" hidden="1">{"fdsup://Directions/FactSet Auditing Viewer?action=AUDIT_VALUE&amp;DB=129&amp;ID1=03251510&amp;VALUEID=02001&amp;SDATE=200801&amp;PERIODTYPE=QTR_STD&amp;SCFT=3&amp;window=popup_no_bar&amp;width=385&amp;height=120&amp;START_MAXIMIZED=FALSE&amp;creator=factset&amp;display_string=Audit"}</definedName>
    <definedName name="_1592__FDSAUDITLINK__" hidden="1">{"fdsup://Directions/FactSet Auditing Viewer?action=AUDIT_VALUE&amp;DB=129&amp;ID1=03251510&amp;VALUEID=02001&amp;SDATE=200801&amp;PERIODTYPE=QTR_STD&amp;SCFT=3&amp;window=popup_no_bar&amp;width=385&amp;height=120&amp;START_MAXIMIZED=FALSE&amp;creator=factset&amp;display_string=Audit"}</definedName>
    <definedName name="_1593__FDSAUDITLINK__" localSheetId="7" hidden="1">{"fdsup://Directions/FactSet Auditing Viewer?action=AUDIT_VALUE&amp;DB=129&amp;ID1=00790310&amp;VALUEID=02001&amp;SDATE=200801&amp;PERIODTYPE=QTR_STD&amp;SCFT=3&amp;window=popup_no_bar&amp;width=385&amp;height=120&amp;START_MAXIMIZED=FALSE&amp;creator=factset&amp;display_string=Audit"}</definedName>
    <definedName name="_1593__FDSAUDITLINK__" hidden="1">{"fdsup://Directions/FactSet Auditing Viewer?action=AUDIT_VALUE&amp;DB=129&amp;ID1=00790310&amp;VALUEID=02001&amp;SDATE=200801&amp;PERIODTYPE=QTR_STD&amp;SCFT=3&amp;window=popup_no_bar&amp;width=385&amp;height=120&amp;START_MAXIMIZED=FALSE&amp;creator=factset&amp;display_string=Audit"}</definedName>
    <definedName name="_1594__FDSAUDITLINK__" localSheetId="7" hidden="1">{"fdsup://Directions/FactSet Auditing Viewer?action=AUDIT_VALUE&amp;DB=129&amp;ID1=00790310&amp;VALUEID=02001&amp;SDATE=200801&amp;PERIODTYPE=QTR_STD&amp;SCFT=3&amp;window=popup_no_bar&amp;width=385&amp;height=120&amp;START_MAXIMIZED=FALSE&amp;creator=factset&amp;display_string=Audit"}</definedName>
    <definedName name="_1594__FDSAUDITLINK__" hidden="1">{"fdsup://Directions/FactSet Auditing Viewer?action=AUDIT_VALUE&amp;DB=129&amp;ID1=00790310&amp;VALUEID=02001&amp;SDATE=200801&amp;PERIODTYPE=QTR_STD&amp;SCFT=3&amp;window=popup_no_bar&amp;width=385&amp;height=120&amp;START_MAXIMIZED=FALSE&amp;creator=factset&amp;display_string=Audit"}</definedName>
    <definedName name="_1595__FDSAUDITLINK__" localSheetId="7" hidden="1">{"fdsup://Directions/FactSet Auditing Viewer?action=AUDIT_VALUE&amp;DB=129&amp;ID1=03822210&amp;VALUEID=02001&amp;SDATE=200802&amp;PERIODTYPE=QTR_STD&amp;SCFT=3&amp;window=popup_no_bar&amp;width=385&amp;height=120&amp;START_MAXIMIZED=FALSE&amp;creator=factset&amp;display_string=Audit"}</definedName>
    <definedName name="_1595__FDSAUDITLINK__" hidden="1">{"fdsup://Directions/FactSet Auditing Viewer?action=AUDIT_VALUE&amp;DB=129&amp;ID1=03822210&amp;VALUEID=02001&amp;SDATE=200802&amp;PERIODTYPE=QTR_STD&amp;SCFT=3&amp;window=popup_no_bar&amp;width=385&amp;height=120&amp;START_MAXIMIZED=FALSE&amp;creator=factset&amp;display_string=Audit"}</definedName>
    <definedName name="_1596__FDSAUDITLINK__" localSheetId="7" hidden="1">{"fdsup://Directions/FactSet Auditing Viewer?action=AUDIT_VALUE&amp;DB=129&amp;ID1=03822210&amp;VALUEID=02001&amp;SDATE=200802&amp;PERIODTYPE=QTR_STD&amp;SCFT=3&amp;window=popup_no_bar&amp;width=385&amp;height=120&amp;START_MAXIMIZED=FALSE&amp;creator=factset&amp;display_string=Audit"}</definedName>
    <definedName name="_1596__FDSAUDITLINK__" hidden="1">{"fdsup://Directions/FactSet Auditing Viewer?action=AUDIT_VALUE&amp;DB=129&amp;ID1=03822210&amp;VALUEID=02001&amp;SDATE=200802&amp;PERIODTYPE=QTR_STD&amp;SCFT=3&amp;window=popup_no_bar&amp;width=385&amp;height=120&amp;START_MAXIMIZED=FALSE&amp;creator=factset&amp;display_string=Audit"}</definedName>
    <definedName name="_1597__FDSAUDITLINK__" localSheetId="7" hidden="1">{"fdsup://Directions/FactSet Auditing Viewer?action=AUDIT_VALUE&amp;DB=129&amp;ID1=02144110&amp;VALUEID=02001&amp;SDATE=200801&amp;PERIODTYPE=QTR_STD&amp;SCFT=3&amp;window=popup_no_bar&amp;width=385&amp;height=120&amp;START_MAXIMIZED=FALSE&amp;creator=factset&amp;display_string=Audit"}</definedName>
    <definedName name="_1597__FDSAUDITLINK__" hidden="1">{"fdsup://Directions/FactSet Auditing Viewer?action=AUDIT_VALUE&amp;DB=129&amp;ID1=02144110&amp;VALUEID=02001&amp;SDATE=200801&amp;PERIODTYPE=QTR_STD&amp;SCFT=3&amp;window=popup_no_bar&amp;width=385&amp;height=120&amp;START_MAXIMIZED=FALSE&amp;creator=factset&amp;display_string=Audit"}</definedName>
    <definedName name="_1598__FDSAUDITLINK__" localSheetId="7" hidden="1">{"fdsup://Directions/FactSet Auditing Viewer?action=AUDIT_VALUE&amp;DB=129&amp;ID1=02144110&amp;VALUEID=02001&amp;SDATE=200801&amp;PERIODTYPE=QTR_STD&amp;SCFT=3&amp;window=popup_no_bar&amp;width=385&amp;height=120&amp;START_MAXIMIZED=FALSE&amp;creator=factset&amp;display_string=Audit"}</definedName>
    <definedName name="_1598__FDSAUDITLINK__" hidden="1">{"fdsup://Directions/FactSet Auditing Viewer?action=AUDIT_VALUE&amp;DB=129&amp;ID1=02144110&amp;VALUEID=02001&amp;SDATE=200801&amp;PERIODTYPE=QTR_STD&amp;SCFT=3&amp;window=popup_no_bar&amp;width=385&amp;height=120&amp;START_MAXIMIZED=FALSE&amp;creator=factset&amp;display_string=Audit"}</definedName>
    <definedName name="_1599__FDSAUDITLINK__" localSheetId="7" hidden="1">{"fdsup://Directions/FactSet Auditing Viewer?action=AUDIT_VALUE&amp;DB=129&amp;ID1=03265410&amp;VALUEID=02001&amp;SDATE=200802&amp;PERIODTYPE=QTR_STD&amp;SCFT=3&amp;window=popup_no_bar&amp;width=385&amp;height=120&amp;START_MAXIMIZED=FALSE&amp;creator=factset&amp;display_string=Audit"}</definedName>
    <definedName name="_1599__FDSAUDITLINK__" hidden="1">{"fdsup://Directions/FactSet Auditing Viewer?action=AUDIT_VALUE&amp;DB=129&amp;ID1=03265410&amp;VALUEID=02001&amp;SDATE=200802&amp;PERIODTYPE=QTR_STD&amp;SCFT=3&amp;window=popup_no_bar&amp;width=385&amp;height=120&amp;START_MAXIMIZED=FALSE&amp;creator=factset&amp;display_string=Audit"}</definedName>
    <definedName name="_16__FDSAUDITLINK__" localSheetId="7" hidden="1">{"fdsup://Directions/FactSet Auditing Viewer?action=AUDIT_VALUE&amp;DB=129&amp;ID1=637248&amp;VALUEID=02001&amp;SDATE=201103&amp;PERIODTYPE=QTR_STD&amp;SCFT=3&amp;window=popup_no_bar&amp;width=385&amp;height=120&amp;START_MAXIMIZED=FALSE&amp;creator=factset&amp;display_string=Audit"}</definedName>
    <definedName name="_16__FDSAUDITLINK__" hidden="1">{"fdsup://Directions/FactSet Auditing Viewer?action=AUDIT_VALUE&amp;DB=129&amp;ID1=637248&amp;VALUEID=02001&amp;SDATE=201103&amp;PERIODTYPE=QTR_STD&amp;SCFT=3&amp;window=popup_no_bar&amp;width=385&amp;height=120&amp;START_MAXIMIZED=FALSE&amp;creator=factset&amp;display_string=Audit"}</definedName>
    <definedName name="_160__FDSAUDITLINK__" localSheetId="7" hidden="1">{"fdsup://Directions/FactSet Auditing Viewer?action=AUDIT_VALUE&amp;DB=129&amp;ID1=92829810&amp;VALUEID=02001&amp;SDATE=201004&amp;PERIODTYPE=QTR_STD&amp;SCFT=3&amp;window=popup_no_bar&amp;width=385&amp;height=120&amp;START_MAXIMIZED=FALSE&amp;creator=factset&amp;display_string=Audit"}</definedName>
    <definedName name="_160__FDSAUDITLINK__" hidden="1">{"fdsup://Directions/FactSet Auditing Viewer?action=AUDIT_VALUE&amp;DB=129&amp;ID1=92829810&amp;VALUEID=02001&amp;SDATE=201004&amp;PERIODTYPE=QTR_STD&amp;SCFT=3&amp;window=popup_no_bar&amp;width=385&amp;height=120&amp;START_MAXIMIZED=FALSE&amp;creator=factset&amp;display_string=Audit"}</definedName>
    <definedName name="_1600__FDSAUDITLINK__" localSheetId="7" hidden="1">{"fdsup://Directions/FactSet Auditing Viewer?action=AUDIT_VALUE&amp;DB=129&amp;ID1=03265410&amp;VALUEID=02001&amp;SDATE=200802&amp;PERIODTYPE=QTR_STD&amp;SCFT=3&amp;window=popup_no_bar&amp;width=385&amp;height=120&amp;START_MAXIMIZED=FALSE&amp;creator=factset&amp;display_string=Audit"}</definedName>
    <definedName name="_1600__FDSAUDITLINK__" hidden="1">{"fdsup://Directions/FactSet Auditing Viewer?action=AUDIT_VALUE&amp;DB=129&amp;ID1=03265410&amp;VALUEID=02001&amp;SDATE=200802&amp;PERIODTYPE=QTR_STD&amp;SCFT=3&amp;window=popup_no_bar&amp;width=385&amp;height=120&amp;START_MAXIMIZED=FALSE&amp;creator=factset&amp;display_string=Audit"}</definedName>
    <definedName name="_1601__FDSAUDITLINK__" localSheetId="7" hidden="1">{"fdsup://Directions/FactSet Auditing Viewer?action=AUDIT_VALUE&amp;DB=129&amp;ID1=00752J10&amp;VALUEID=02001&amp;SDATE=200801&amp;PERIODTYPE=QTR_STD&amp;SCFT=3&amp;window=popup_no_bar&amp;width=385&amp;height=120&amp;START_MAXIMIZED=FALSE&amp;creator=factset&amp;display_string=Audit"}</definedName>
    <definedName name="_1601__FDSAUDITLINK__" hidden="1">{"fdsup://Directions/FactSet Auditing Viewer?action=AUDIT_VALUE&amp;DB=129&amp;ID1=00752J10&amp;VALUEID=02001&amp;SDATE=200801&amp;PERIODTYPE=QTR_STD&amp;SCFT=3&amp;window=popup_no_bar&amp;width=385&amp;height=120&amp;START_MAXIMIZED=FALSE&amp;creator=factset&amp;display_string=Audit"}</definedName>
    <definedName name="_1602__FDSAUDITLINK__" localSheetId="7" hidden="1">{"fdsup://Directions/FactSet Auditing Viewer?action=AUDIT_VALUE&amp;DB=129&amp;ID1=00752J10&amp;VALUEID=02001&amp;SDATE=200801&amp;PERIODTYPE=QTR_STD&amp;SCFT=3&amp;window=popup_no_bar&amp;width=385&amp;height=120&amp;START_MAXIMIZED=FALSE&amp;creator=factset&amp;display_string=Audit"}</definedName>
    <definedName name="_1602__FDSAUDITLINK__" hidden="1">{"fdsup://Directions/FactSet Auditing Viewer?action=AUDIT_VALUE&amp;DB=129&amp;ID1=00752J10&amp;VALUEID=02001&amp;SDATE=200801&amp;PERIODTYPE=QTR_STD&amp;SCFT=3&amp;window=popup_no_bar&amp;width=385&amp;height=120&amp;START_MAXIMIZED=FALSE&amp;creator=factset&amp;display_string=Audit"}</definedName>
    <definedName name="_1603__FDSAUDITLINK__" localSheetId="7" hidden="1">{"fdsup://Directions/FactSet Auditing Viewer?action=AUDIT_VALUE&amp;DB=129&amp;ID1=98391910&amp;VALUEID=02001&amp;SDATE=200703&amp;PERIODTYPE=QTR_STD&amp;SCFT=3&amp;window=popup_no_bar&amp;width=385&amp;height=120&amp;START_MAXIMIZED=FALSE&amp;creator=factset&amp;display_string=Audit"}</definedName>
    <definedName name="_1603__FDSAUDITLINK__" hidden="1">{"fdsup://Directions/FactSet Auditing Viewer?action=AUDIT_VALUE&amp;DB=129&amp;ID1=98391910&amp;VALUEID=02001&amp;SDATE=200703&amp;PERIODTYPE=QTR_STD&amp;SCFT=3&amp;window=popup_no_bar&amp;width=385&amp;height=120&amp;START_MAXIMIZED=FALSE&amp;creator=factset&amp;display_string=Audit"}</definedName>
    <definedName name="_1604__FDSAUDITLINK__" localSheetId="7" hidden="1">{"fdsup://Directions/FactSet Auditing Viewer?action=AUDIT_VALUE&amp;DB=129&amp;ID1=98391910&amp;VALUEID=02001&amp;SDATE=200703&amp;PERIODTYPE=QTR_STD&amp;SCFT=3&amp;window=popup_no_bar&amp;width=385&amp;height=120&amp;START_MAXIMIZED=FALSE&amp;creator=factset&amp;display_string=Audit"}</definedName>
    <definedName name="_1604__FDSAUDITLINK__" hidden="1">{"fdsup://Directions/FactSet Auditing Viewer?action=AUDIT_VALUE&amp;DB=129&amp;ID1=98391910&amp;VALUEID=02001&amp;SDATE=200703&amp;PERIODTYPE=QTR_STD&amp;SCFT=3&amp;window=popup_no_bar&amp;width=385&amp;height=120&amp;START_MAXIMIZED=FALSE&amp;creator=factset&amp;display_string=Audit"}</definedName>
    <definedName name="_1605__FDSAUDITLINK__" localSheetId="7" hidden="1">{"fdsup://Directions/FactSet Auditing Viewer?action=AUDIT_VALUE&amp;DB=129&amp;ID1=95810210&amp;VALUEID=02001&amp;SDATE=200802&amp;PERIODTYPE=QTR_STD&amp;SCFT=3&amp;window=popup_no_bar&amp;width=385&amp;height=120&amp;START_MAXIMIZED=FALSE&amp;creator=factset&amp;display_string=Audit"}</definedName>
    <definedName name="_1605__FDSAUDITLINK__" hidden="1">{"fdsup://Directions/FactSet Auditing Viewer?action=AUDIT_VALUE&amp;DB=129&amp;ID1=95810210&amp;VALUEID=02001&amp;SDATE=200802&amp;PERIODTYPE=QTR_STD&amp;SCFT=3&amp;window=popup_no_bar&amp;width=385&amp;height=120&amp;START_MAXIMIZED=FALSE&amp;creator=factset&amp;display_string=Audit"}</definedName>
    <definedName name="_1606__FDSAUDITLINK__" localSheetId="7" hidden="1">{"fdsup://Directions/FactSet Auditing Viewer?action=AUDIT_VALUE&amp;DB=129&amp;ID1=95810210&amp;VALUEID=02001&amp;SDATE=200802&amp;PERIODTYPE=QTR_STD&amp;SCFT=3&amp;window=popup_no_bar&amp;width=385&amp;height=120&amp;START_MAXIMIZED=FALSE&amp;creator=factset&amp;display_string=Audit"}</definedName>
    <definedName name="_1606__FDSAUDITLINK__" hidden="1">{"fdsup://Directions/FactSet Auditing Viewer?action=AUDIT_VALUE&amp;DB=129&amp;ID1=95810210&amp;VALUEID=02001&amp;SDATE=200802&amp;PERIODTYPE=QTR_STD&amp;SCFT=3&amp;window=popup_no_bar&amp;width=385&amp;height=120&amp;START_MAXIMIZED=FALSE&amp;creator=factset&amp;display_string=Audit"}</definedName>
    <definedName name="_1607__FDSAUDITLINK__" localSheetId="7" hidden="1">{"fdsup://Directions/FactSet Auditing Viewer?action=AUDIT_VALUE&amp;DB=129&amp;ID1=92849730&amp;VALUEID=02001&amp;SDATE=200801&amp;PERIODTYPE=QTR_STD&amp;SCFT=3&amp;window=popup_no_bar&amp;width=385&amp;height=120&amp;START_MAXIMIZED=FALSE&amp;creator=factset&amp;display_string=Audit"}</definedName>
    <definedName name="_1607__FDSAUDITLINK__" hidden="1">{"fdsup://Directions/FactSet Auditing Viewer?action=AUDIT_VALUE&amp;DB=129&amp;ID1=92849730&amp;VALUEID=02001&amp;SDATE=200801&amp;PERIODTYPE=QTR_STD&amp;SCFT=3&amp;window=popup_no_bar&amp;width=385&amp;height=120&amp;START_MAXIMIZED=FALSE&amp;creator=factset&amp;display_string=Audit"}</definedName>
    <definedName name="_1608__FDSAUDITLINK__" localSheetId="7" hidden="1">{"fdsup://Directions/FactSet Auditing Viewer?action=AUDIT_VALUE&amp;DB=129&amp;ID1=92849730&amp;VALUEID=02001&amp;SDATE=200801&amp;PERIODTYPE=QTR_STD&amp;SCFT=3&amp;window=popup_no_bar&amp;width=385&amp;height=120&amp;START_MAXIMIZED=FALSE&amp;creator=factset&amp;display_string=Audit"}</definedName>
    <definedName name="_1608__FDSAUDITLINK__" hidden="1">{"fdsup://Directions/FactSet Auditing Viewer?action=AUDIT_VALUE&amp;DB=129&amp;ID1=92849730&amp;VALUEID=02001&amp;SDATE=200801&amp;PERIODTYPE=QTR_STD&amp;SCFT=3&amp;window=popup_no_bar&amp;width=385&amp;height=120&amp;START_MAXIMIZED=FALSE&amp;creator=factset&amp;display_string=Audit"}</definedName>
    <definedName name="_1609__FDSAUDITLINK__" localSheetId="7" hidden="1">{"fdsup://Directions/FactSet Auditing Viewer?action=AUDIT_VALUE&amp;DB=129&amp;ID1=83088M10&amp;VALUEID=02001&amp;SDATE=200801&amp;PERIODTYPE=QTR_STD&amp;SCFT=3&amp;window=popup_no_bar&amp;width=385&amp;height=120&amp;START_MAXIMIZED=FALSE&amp;creator=factset&amp;display_string=Audit"}</definedName>
    <definedName name="_1609__FDSAUDITLINK__" hidden="1">{"fdsup://Directions/FactSet Auditing Viewer?action=AUDIT_VALUE&amp;DB=129&amp;ID1=83088M10&amp;VALUEID=02001&amp;SDATE=200801&amp;PERIODTYPE=QTR_STD&amp;SCFT=3&amp;window=popup_no_bar&amp;width=385&amp;height=120&amp;START_MAXIMIZED=FALSE&amp;creator=factset&amp;display_string=Audit"}</definedName>
    <definedName name="_161__FDSAUDITLINK__" localSheetId="7" hidden="1">{"fdsup://Directions/FactSet Auditing Viewer?action=AUDIT_VALUE&amp;DB=129&amp;ID1=88250810&amp;VALUEID=02001&amp;SDATE=201004&amp;PERIODTYPE=QTR_STD&amp;SCFT=3&amp;window=popup_no_bar&amp;width=385&amp;height=120&amp;START_MAXIMIZED=FALSE&amp;creator=factset&amp;display_string=Audit"}</definedName>
    <definedName name="_161__FDSAUDITLINK__" hidden="1">{"fdsup://Directions/FactSet Auditing Viewer?action=AUDIT_VALUE&amp;DB=129&amp;ID1=88250810&amp;VALUEID=02001&amp;SDATE=201004&amp;PERIODTYPE=QTR_STD&amp;SCFT=3&amp;window=popup_no_bar&amp;width=385&amp;height=120&amp;START_MAXIMIZED=FALSE&amp;creator=factset&amp;display_string=Audit"}</definedName>
    <definedName name="_1610__FDSAUDITLINK__" localSheetId="7" hidden="1">{"fdsup://Directions/FactSet Auditing Viewer?action=AUDIT_VALUE&amp;DB=129&amp;ID1=83088M10&amp;VALUEID=02001&amp;SDATE=200801&amp;PERIODTYPE=QTR_STD&amp;SCFT=3&amp;window=popup_no_bar&amp;width=385&amp;height=120&amp;START_MAXIMIZED=FALSE&amp;creator=factset&amp;display_string=Audit"}</definedName>
    <definedName name="_1610__FDSAUDITLINK__" hidden="1">{"fdsup://Directions/FactSet Auditing Viewer?action=AUDIT_VALUE&amp;DB=129&amp;ID1=83088M10&amp;VALUEID=02001&amp;SDATE=200801&amp;PERIODTYPE=QTR_STD&amp;SCFT=3&amp;window=popup_no_bar&amp;width=385&amp;height=120&amp;START_MAXIMIZED=FALSE&amp;creator=factset&amp;display_string=Audit"}</definedName>
    <definedName name="_1611__FDSAUDITLINK__" localSheetId="7" hidden="1">{"fdsup://Directions/FactSet Auditing Viewer?action=AUDIT_VALUE&amp;DB=129&amp;ID1=G7945M10&amp;VALUEID=02001&amp;SDATE=200802&amp;PERIODTYPE=QTR_STD&amp;SCFT=3&amp;window=popup_no_bar&amp;width=385&amp;height=120&amp;START_MAXIMIZED=FALSE&amp;creator=factset&amp;display_string=Audit"}</definedName>
    <definedName name="_1611__FDSAUDITLINK__" hidden="1">{"fdsup://Directions/FactSet Auditing Viewer?action=AUDIT_VALUE&amp;DB=129&amp;ID1=G7945M10&amp;VALUEID=02001&amp;SDATE=200802&amp;PERIODTYPE=QTR_STD&amp;SCFT=3&amp;window=popup_no_bar&amp;width=385&amp;height=120&amp;START_MAXIMIZED=FALSE&amp;creator=factset&amp;display_string=Audit"}</definedName>
    <definedName name="_1612__FDSAUDITLINK__" localSheetId="7" hidden="1">{"fdsup://Directions/FactSet Auditing Viewer?action=AUDIT_VALUE&amp;DB=129&amp;ID1=G7945M10&amp;VALUEID=02001&amp;SDATE=200802&amp;PERIODTYPE=QTR_STD&amp;SCFT=3&amp;window=popup_no_bar&amp;width=385&amp;height=120&amp;START_MAXIMIZED=FALSE&amp;creator=factset&amp;display_string=Audit"}</definedName>
    <definedName name="_1612__FDSAUDITLINK__" hidden="1">{"fdsup://Directions/FactSet Auditing Viewer?action=AUDIT_VALUE&amp;DB=129&amp;ID1=G7945M10&amp;VALUEID=02001&amp;SDATE=200802&amp;PERIODTYPE=QTR_STD&amp;SCFT=3&amp;window=popup_no_bar&amp;width=385&amp;height=120&amp;START_MAXIMIZED=FALSE&amp;creator=factset&amp;display_string=Audit"}</definedName>
    <definedName name="_1613__FDSAUDITLINK__" localSheetId="7" hidden="1">{"fdsup://Directions/FactSet Auditing Viewer?action=AUDIT_VALUE&amp;DB=129&amp;ID1=87160710&amp;VALUEID=02001&amp;SDATE=200801&amp;PERIODTYPE=QTR_STD&amp;SCFT=3&amp;window=popup_no_bar&amp;width=385&amp;height=120&amp;START_MAXIMIZED=FALSE&amp;creator=factset&amp;display_string=Audit"}</definedName>
    <definedName name="_1613__FDSAUDITLINK__" hidden="1">{"fdsup://Directions/FactSet Auditing Viewer?action=AUDIT_VALUE&amp;DB=129&amp;ID1=87160710&amp;VALUEID=02001&amp;SDATE=200801&amp;PERIODTYPE=QTR_STD&amp;SCFT=3&amp;window=popup_no_bar&amp;width=385&amp;height=120&amp;START_MAXIMIZED=FALSE&amp;creator=factset&amp;display_string=Audit"}</definedName>
    <definedName name="_1614__FDSAUDITLINK__" localSheetId="7" hidden="1">{"fdsup://Directions/FactSet Auditing Viewer?action=AUDIT_VALUE&amp;DB=129&amp;ID1=87160710&amp;VALUEID=02001&amp;SDATE=200801&amp;PERIODTYPE=QTR_STD&amp;SCFT=3&amp;window=popup_no_bar&amp;width=385&amp;height=120&amp;START_MAXIMIZED=FALSE&amp;creator=factset&amp;display_string=Audit"}</definedName>
    <definedName name="_1614__FDSAUDITLINK__" hidden="1">{"fdsup://Directions/FactSet Auditing Viewer?action=AUDIT_VALUE&amp;DB=129&amp;ID1=87160710&amp;VALUEID=02001&amp;SDATE=200801&amp;PERIODTYPE=QTR_STD&amp;SCFT=3&amp;window=popup_no_bar&amp;width=385&amp;height=120&amp;START_MAXIMIZED=FALSE&amp;creator=factset&amp;display_string=Audit"}</definedName>
    <definedName name="_1615__FDSAUDITLINK__" localSheetId="7" hidden="1">{"fdsup://Directions/FactSet Auditing Viewer?action=AUDIT_VALUE&amp;DB=129&amp;ID1=74994110&amp;VALUEID=02001&amp;SDATE=200703&amp;PERIODTYPE=QTR_STD&amp;SCFT=3&amp;window=popup_no_bar&amp;width=385&amp;height=120&amp;START_MAXIMIZED=FALSE&amp;creator=factset&amp;display_string=Audit"}</definedName>
    <definedName name="_1615__FDSAUDITLINK__" hidden="1">{"fdsup://Directions/FactSet Auditing Viewer?action=AUDIT_VALUE&amp;DB=129&amp;ID1=74994110&amp;VALUEID=02001&amp;SDATE=200703&amp;PERIODTYPE=QTR_STD&amp;SCFT=3&amp;window=popup_no_bar&amp;width=385&amp;height=120&amp;START_MAXIMIZED=FALSE&amp;creator=factset&amp;display_string=Audit"}</definedName>
    <definedName name="_1616__FDSAUDITLINK__" localSheetId="7" hidden="1">{"fdsup://Directions/FactSet Auditing Viewer?action=AUDIT_VALUE&amp;DB=129&amp;ID1=74994110&amp;VALUEID=02001&amp;SDATE=200703&amp;PERIODTYPE=QTR_STD&amp;SCFT=3&amp;window=popup_no_bar&amp;width=385&amp;height=120&amp;START_MAXIMIZED=FALSE&amp;creator=factset&amp;display_string=Audit"}</definedName>
    <definedName name="_1616__FDSAUDITLINK__" hidden="1">{"fdsup://Directions/FactSet Auditing Viewer?action=AUDIT_VALUE&amp;DB=129&amp;ID1=74994110&amp;VALUEID=02001&amp;SDATE=200703&amp;PERIODTYPE=QTR_STD&amp;SCFT=3&amp;window=popup_no_bar&amp;width=385&amp;height=120&amp;START_MAXIMIZED=FALSE&amp;creator=factset&amp;display_string=Audit"}</definedName>
    <definedName name="_1617__FDSAUDITLINK__" localSheetId="7" hidden="1">{"fdsup://Directions/FactSet Auditing Viewer?action=AUDIT_VALUE&amp;DB=129&amp;ID1=74727710&amp;VALUEID=02001&amp;SDATE=200703&amp;PERIODTYPE=QTR_STD&amp;SCFT=3&amp;window=popup_no_bar&amp;width=385&amp;height=120&amp;START_MAXIMIZED=FALSE&amp;creator=factset&amp;display_string=Audit"}</definedName>
    <definedName name="_1617__FDSAUDITLINK__" hidden="1">{"fdsup://Directions/FactSet Auditing Viewer?action=AUDIT_VALUE&amp;DB=129&amp;ID1=74727710&amp;VALUEID=02001&amp;SDATE=200703&amp;PERIODTYPE=QTR_STD&amp;SCFT=3&amp;window=popup_no_bar&amp;width=385&amp;height=120&amp;START_MAXIMIZED=FALSE&amp;creator=factset&amp;display_string=Audit"}</definedName>
    <definedName name="_1618__FDSAUDITLINK__" localSheetId="7" hidden="1">{"fdsup://Directions/FactSet Auditing Viewer?action=AUDIT_VALUE&amp;DB=129&amp;ID1=74727710&amp;VALUEID=02001&amp;SDATE=200703&amp;PERIODTYPE=QTR_STD&amp;SCFT=3&amp;window=popup_no_bar&amp;width=385&amp;height=120&amp;START_MAXIMIZED=FALSE&amp;creator=factset&amp;display_string=Audit"}</definedName>
    <definedName name="_1618__FDSAUDITLINK__" hidden="1">{"fdsup://Directions/FactSet Auditing Viewer?action=AUDIT_VALUE&amp;DB=129&amp;ID1=74727710&amp;VALUEID=02001&amp;SDATE=200703&amp;PERIODTYPE=QTR_STD&amp;SCFT=3&amp;window=popup_no_bar&amp;width=385&amp;height=120&amp;START_MAXIMIZED=FALSE&amp;creator=factset&amp;display_string=Audit"}</definedName>
    <definedName name="_1619__FDSAUDITLINK__" localSheetId="7" hidden="1">{"fdsup://Directions/FactSet Auditing Viewer?action=AUDIT_VALUE&amp;DB=129&amp;ID1=74752510&amp;VALUEID=02001&amp;SDATE=200801&amp;PERIODTYPE=QTR_STD&amp;SCFT=3&amp;window=popup_no_bar&amp;width=385&amp;height=120&amp;START_MAXIMIZED=FALSE&amp;creator=factset&amp;display_string=Audit"}</definedName>
    <definedName name="_1619__FDSAUDITLINK__" hidden="1">{"fdsup://Directions/FactSet Auditing Viewer?action=AUDIT_VALUE&amp;DB=129&amp;ID1=74752510&amp;VALUEID=02001&amp;SDATE=200801&amp;PERIODTYPE=QTR_STD&amp;SCFT=3&amp;window=popup_no_bar&amp;width=385&amp;height=120&amp;START_MAXIMIZED=FALSE&amp;creator=factset&amp;display_string=Audit"}</definedName>
    <definedName name="_162__FDSAUDITLINK__" localSheetId="7" hidden="1">{"fdsup://Directions/FactSet Auditing Viewer?action=AUDIT_VALUE&amp;DB=129&amp;ID1=88250810&amp;VALUEID=02001&amp;SDATE=201004&amp;PERIODTYPE=QTR_STD&amp;SCFT=3&amp;window=popup_no_bar&amp;width=385&amp;height=120&amp;START_MAXIMIZED=FALSE&amp;creator=factset&amp;display_string=Audit"}</definedName>
    <definedName name="_162__FDSAUDITLINK__" hidden="1">{"fdsup://Directions/FactSet Auditing Viewer?action=AUDIT_VALUE&amp;DB=129&amp;ID1=88250810&amp;VALUEID=02001&amp;SDATE=201004&amp;PERIODTYPE=QTR_STD&amp;SCFT=3&amp;window=popup_no_bar&amp;width=385&amp;height=120&amp;START_MAXIMIZED=FALSE&amp;creator=factset&amp;display_string=Audit"}</definedName>
    <definedName name="_1620__FDSAUDITLINK__" localSheetId="7" hidden="1">{"fdsup://Directions/FactSet Auditing Viewer?action=AUDIT_VALUE&amp;DB=129&amp;ID1=74752510&amp;VALUEID=02001&amp;SDATE=200801&amp;PERIODTYPE=QTR_STD&amp;SCFT=3&amp;window=popup_no_bar&amp;width=385&amp;height=120&amp;START_MAXIMIZED=FALSE&amp;creator=factset&amp;display_string=Audit"}</definedName>
    <definedName name="_1620__FDSAUDITLINK__" hidden="1">{"fdsup://Directions/FactSet Auditing Viewer?action=AUDIT_VALUE&amp;DB=129&amp;ID1=74752510&amp;VALUEID=02001&amp;SDATE=200801&amp;PERIODTYPE=QTR_STD&amp;SCFT=3&amp;window=popup_no_bar&amp;width=385&amp;height=120&amp;START_MAXIMIZED=FALSE&amp;creator=factset&amp;display_string=Audit"}</definedName>
    <definedName name="_1621__FDSAUDITLINK__" localSheetId="7" hidden="1">{"fdsup://Directions/FactSet Auditing Viewer?action=AUDIT_VALUE&amp;DB=129&amp;ID1=63764010&amp;VALUEID=02001&amp;SDATE=200702&amp;PERIODTYPE=QTR_STD&amp;SCFT=3&amp;window=popup_no_bar&amp;width=385&amp;height=120&amp;START_MAXIMIZED=FALSE&amp;creator=factset&amp;display_string=Audit"}</definedName>
    <definedName name="_1621__FDSAUDITLINK__" hidden="1">{"fdsup://Directions/FactSet Auditing Viewer?action=AUDIT_VALUE&amp;DB=129&amp;ID1=63764010&amp;VALUEID=02001&amp;SDATE=200702&amp;PERIODTYPE=QTR_STD&amp;SCFT=3&amp;window=popup_no_bar&amp;width=385&amp;height=120&amp;START_MAXIMIZED=FALSE&amp;creator=factset&amp;display_string=Audit"}</definedName>
    <definedName name="_1622__FDSAUDITLINK__" localSheetId="7" hidden="1">{"fdsup://Directions/FactSet Auditing Viewer?action=AUDIT_VALUE&amp;DB=129&amp;ID1=63764010&amp;VALUEID=02001&amp;SDATE=200702&amp;PERIODTYPE=QTR_STD&amp;SCFT=3&amp;window=popup_no_bar&amp;width=385&amp;height=120&amp;START_MAXIMIZED=FALSE&amp;creator=factset&amp;display_string=Audit"}</definedName>
    <definedName name="_1622__FDSAUDITLINK__" hidden="1">{"fdsup://Directions/FactSet Auditing Viewer?action=AUDIT_VALUE&amp;DB=129&amp;ID1=63764010&amp;VALUEID=02001&amp;SDATE=200702&amp;PERIODTYPE=QTR_STD&amp;SCFT=3&amp;window=popup_no_bar&amp;width=385&amp;height=120&amp;START_MAXIMIZED=FALSE&amp;creator=factset&amp;display_string=Audit"}</definedName>
    <definedName name="_1623__FDSAUDITLINK__" localSheetId="7" hidden="1">{"fdsup://Directions/FactSet Auditing Viewer?action=AUDIT_VALUE&amp;DB=129&amp;ID1=57772K10&amp;VALUEID=02001&amp;SDATE=200802&amp;PERIODTYPE=QTR_STD&amp;SCFT=3&amp;window=popup_no_bar&amp;width=385&amp;height=120&amp;START_MAXIMIZED=FALSE&amp;creator=factset&amp;display_string=Audit"}</definedName>
    <definedName name="_1623__FDSAUDITLINK__" hidden="1">{"fdsup://Directions/FactSet Auditing Viewer?action=AUDIT_VALUE&amp;DB=129&amp;ID1=57772K10&amp;VALUEID=02001&amp;SDATE=200802&amp;PERIODTYPE=QTR_STD&amp;SCFT=3&amp;window=popup_no_bar&amp;width=385&amp;height=120&amp;START_MAXIMIZED=FALSE&amp;creator=factset&amp;display_string=Audit"}</definedName>
    <definedName name="_1624__FDSAUDITLINK__" localSheetId="7" hidden="1">{"fdsup://Directions/FactSet Auditing Viewer?action=AUDIT_VALUE&amp;DB=129&amp;ID1=57772K10&amp;VALUEID=02001&amp;SDATE=200802&amp;PERIODTYPE=QTR_STD&amp;SCFT=3&amp;window=popup_no_bar&amp;width=385&amp;height=120&amp;START_MAXIMIZED=FALSE&amp;creator=factset&amp;display_string=Audit"}</definedName>
    <definedName name="_1624__FDSAUDITLINK__" hidden="1">{"fdsup://Directions/FactSet Auditing Viewer?action=AUDIT_VALUE&amp;DB=129&amp;ID1=57772K10&amp;VALUEID=02001&amp;SDATE=200802&amp;PERIODTYPE=QTR_STD&amp;SCFT=3&amp;window=popup_no_bar&amp;width=385&amp;height=120&amp;START_MAXIMIZED=FALSE&amp;creator=factset&amp;display_string=Audit"}</definedName>
    <definedName name="_1625__FDSAUDITLINK__" localSheetId="7" hidden="1">{"fdsup://Directions/FactSet Auditing Viewer?action=AUDIT_VALUE&amp;DB=129&amp;ID1=59511210&amp;VALUEID=02001&amp;SDATE=200801&amp;PERIODTYPE=QTR_STD&amp;SCFT=3&amp;window=popup_no_bar&amp;width=385&amp;height=120&amp;START_MAXIMIZED=FALSE&amp;creator=factset&amp;display_string=Audit"}</definedName>
    <definedName name="_1625__FDSAUDITLINK__" hidden="1">{"fdsup://Directions/FactSet Auditing Viewer?action=AUDIT_VALUE&amp;DB=129&amp;ID1=59511210&amp;VALUEID=02001&amp;SDATE=200801&amp;PERIODTYPE=QTR_STD&amp;SCFT=3&amp;window=popup_no_bar&amp;width=385&amp;height=120&amp;START_MAXIMIZED=FALSE&amp;creator=factset&amp;display_string=Audit"}</definedName>
    <definedName name="_1626__FDSAUDITLINK__" localSheetId="7" hidden="1">{"fdsup://Directions/FactSet Auditing Viewer?action=AUDIT_VALUE&amp;DB=129&amp;ID1=59511210&amp;VALUEID=02001&amp;SDATE=200801&amp;PERIODTYPE=QTR_STD&amp;SCFT=3&amp;window=popup_no_bar&amp;width=385&amp;height=120&amp;START_MAXIMIZED=FALSE&amp;creator=factset&amp;display_string=Audit"}</definedName>
    <definedName name="_1626__FDSAUDITLINK__" hidden="1">{"fdsup://Directions/FactSet Auditing Viewer?action=AUDIT_VALUE&amp;DB=129&amp;ID1=59511210&amp;VALUEID=02001&amp;SDATE=200801&amp;PERIODTYPE=QTR_STD&amp;SCFT=3&amp;window=popup_no_bar&amp;width=385&amp;height=120&amp;START_MAXIMIZED=FALSE&amp;creator=factset&amp;display_string=Audit"}</definedName>
    <definedName name="_1627__FDSAUDITLINK__" localSheetId="7" hidden="1">{"fdsup://Directions/FactSet Auditing Viewer?action=AUDIT_VALUE&amp;DB=129&amp;ID1=59513710&amp;VALUEID=02001&amp;SDATE=200801&amp;PERIODTYPE=QTR_STD&amp;SCFT=3&amp;window=popup_no_bar&amp;width=385&amp;height=120&amp;START_MAXIMIZED=FALSE&amp;creator=factset&amp;display_string=Audit"}</definedName>
    <definedName name="_1627__FDSAUDITLINK__" hidden="1">{"fdsup://Directions/FactSet Auditing Viewer?action=AUDIT_VALUE&amp;DB=129&amp;ID1=59513710&amp;VALUEID=02001&amp;SDATE=200801&amp;PERIODTYPE=QTR_STD&amp;SCFT=3&amp;window=popup_no_bar&amp;width=385&amp;height=120&amp;START_MAXIMIZED=FALSE&amp;creator=factset&amp;display_string=Audit"}</definedName>
    <definedName name="_1628__FDSAUDITLINK__" localSheetId="7" hidden="1">{"fdsup://Directions/FactSet Auditing Viewer?action=AUDIT_VALUE&amp;DB=129&amp;ID1=59513710&amp;VALUEID=02001&amp;SDATE=200801&amp;PERIODTYPE=QTR_STD&amp;SCFT=3&amp;window=popup_no_bar&amp;width=385&amp;height=120&amp;START_MAXIMIZED=FALSE&amp;creator=factset&amp;display_string=Audit"}</definedName>
    <definedName name="_1628__FDSAUDITLINK__" hidden="1">{"fdsup://Directions/FactSet Auditing Viewer?action=AUDIT_VALUE&amp;DB=129&amp;ID1=59513710&amp;VALUEID=02001&amp;SDATE=200801&amp;PERIODTYPE=QTR_STD&amp;SCFT=3&amp;window=popup_no_bar&amp;width=385&amp;height=120&amp;START_MAXIMIZED=FALSE&amp;creator=factset&amp;display_string=Audit"}</definedName>
    <definedName name="_1629__FDSAUDITLINK__" localSheetId="7" hidden="1">{"fdsup://Directions/FactSet Auditing Viewer?action=AUDIT_VALUE&amp;DB=129&amp;ID1=60456710&amp;VALUEID=02001&amp;SDATE=200802&amp;PERIODTYPE=QTR_STD&amp;SCFT=3&amp;window=popup_no_bar&amp;width=385&amp;height=120&amp;START_MAXIMIZED=FALSE&amp;creator=factset&amp;display_string=Audit"}</definedName>
    <definedName name="_1629__FDSAUDITLINK__" hidden="1">{"fdsup://Directions/FactSet Auditing Viewer?action=AUDIT_VALUE&amp;DB=129&amp;ID1=60456710&amp;VALUEID=02001&amp;SDATE=200802&amp;PERIODTYPE=QTR_STD&amp;SCFT=3&amp;window=popup_no_bar&amp;width=385&amp;height=120&amp;START_MAXIMIZED=FALSE&amp;creator=factset&amp;display_string=Audit"}</definedName>
    <definedName name="_163__FDSAUDITLINK__" localSheetId="7" hidden="1">{"fdsup://Directions/FactSet Auditing Viewer?action=AUDIT_VALUE&amp;DB=129&amp;ID1=89674K10&amp;VALUEID=02001&amp;SDATE=201004&amp;PERIODTYPE=QTR_STD&amp;SCFT=3&amp;window=popup_no_bar&amp;width=385&amp;height=120&amp;START_MAXIMIZED=FALSE&amp;creator=factset&amp;display_string=Audit"}</definedName>
    <definedName name="_163__FDSAUDITLINK__" hidden="1">{"fdsup://Directions/FactSet Auditing Viewer?action=AUDIT_VALUE&amp;DB=129&amp;ID1=89674K10&amp;VALUEID=02001&amp;SDATE=201004&amp;PERIODTYPE=QTR_STD&amp;SCFT=3&amp;window=popup_no_bar&amp;width=385&amp;height=120&amp;START_MAXIMIZED=FALSE&amp;creator=factset&amp;display_string=Audit"}</definedName>
    <definedName name="_1630__FDSAUDITLINK__" localSheetId="7" hidden="1">{"fdsup://Directions/FactSet Auditing Viewer?action=AUDIT_VALUE&amp;DB=129&amp;ID1=60456710&amp;VALUEID=02001&amp;SDATE=200802&amp;PERIODTYPE=QTR_STD&amp;SCFT=3&amp;window=popup_no_bar&amp;width=385&amp;height=120&amp;START_MAXIMIZED=FALSE&amp;creator=factset&amp;display_string=Audit"}</definedName>
    <definedName name="_1630__FDSAUDITLINK__" hidden="1">{"fdsup://Directions/FactSet Auditing Viewer?action=AUDIT_VALUE&amp;DB=129&amp;ID1=60456710&amp;VALUEID=02001&amp;SDATE=200802&amp;PERIODTYPE=QTR_STD&amp;SCFT=3&amp;window=popup_no_bar&amp;width=385&amp;height=120&amp;START_MAXIMIZED=FALSE&amp;creator=factset&amp;display_string=Audit"}</definedName>
    <definedName name="_1631__FDSAUDITLINK__" localSheetId="7" hidden="1">{"fdsup://Directions/FactSet Auditing Viewer?action=AUDIT_VALUE&amp;DB=129&amp;ID1=59501710&amp;VALUEID=02001&amp;SDATE=200703&amp;PERIODTYPE=QTR_STD&amp;SCFT=3&amp;window=popup_no_bar&amp;width=385&amp;height=120&amp;START_MAXIMIZED=FALSE&amp;creator=factset&amp;display_string=Audit"}</definedName>
    <definedName name="_1631__FDSAUDITLINK__" hidden="1">{"fdsup://Directions/FactSet Auditing Viewer?action=AUDIT_VALUE&amp;DB=129&amp;ID1=59501710&amp;VALUEID=02001&amp;SDATE=200703&amp;PERIODTYPE=QTR_STD&amp;SCFT=3&amp;window=popup_no_bar&amp;width=385&amp;height=120&amp;START_MAXIMIZED=FALSE&amp;creator=factset&amp;display_string=Audit"}</definedName>
    <definedName name="_1632__FDSAUDITLINK__" localSheetId="7" hidden="1">{"fdsup://Directions/FactSet Auditing Viewer?action=AUDIT_VALUE&amp;DB=129&amp;ID1=59501710&amp;VALUEID=02001&amp;SDATE=200703&amp;PERIODTYPE=QTR_STD&amp;SCFT=3&amp;window=popup_no_bar&amp;width=385&amp;height=120&amp;START_MAXIMIZED=FALSE&amp;creator=factset&amp;display_string=Audit"}</definedName>
    <definedName name="_1632__FDSAUDITLINK__" hidden="1">{"fdsup://Directions/FactSet Auditing Viewer?action=AUDIT_VALUE&amp;DB=129&amp;ID1=59501710&amp;VALUEID=02001&amp;SDATE=200703&amp;PERIODTYPE=QTR_STD&amp;SCFT=3&amp;window=popup_no_bar&amp;width=385&amp;height=120&amp;START_MAXIMIZED=FALSE&amp;creator=factset&amp;display_string=Audit"}</definedName>
    <definedName name="_1633__FDSAUDITLINK__" localSheetId="7" hidden="1">{"fdsup://Directions/FactSet Auditing Viewer?action=AUDIT_VALUE&amp;DB=129&amp;ID1=51280710&amp;VALUEID=02001&amp;SDATE=200802&amp;PERIODTYPE=QTR_STD&amp;SCFT=3&amp;window=popup_no_bar&amp;width=385&amp;height=120&amp;START_MAXIMIZED=FALSE&amp;creator=factset&amp;display_string=Audit"}</definedName>
    <definedName name="_1633__FDSAUDITLINK__" hidden="1">{"fdsup://Directions/FactSet Auditing Viewer?action=AUDIT_VALUE&amp;DB=129&amp;ID1=51280710&amp;VALUEID=02001&amp;SDATE=200802&amp;PERIODTYPE=QTR_STD&amp;SCFT=3&amp;window=popup_no_bar&amp;width=385&amp;height=120&amp;START_MAXIMIZED=FALSE&amp;creator=factset&amp;display_string=Audit"}</definedName>
    <definedName name="_1634__FDSAUDITLINK__" localSheetId="7" hidden="1">{"fdsup://Directions/FactSet Auditing Viewer?action=AUDIT_VALUE&amp;DB=129&amp;ID1=51280710&amp;VALUEID=02001&amp;SDATE=200802&amp;PERIODTYPE=QTR_STD&amp;SCFT=3&amp;window=popup_no_bar&amp;width=385&amp;height=120&amp;START_MAXIMIZED=FALSE&amp;creator=factset&amp;display_string=Audit"}</definedName>
    <definedName name="_1634__FDSAUDITLINK__" hidden="1">{"fdsup://Directions/FactSet Auditing Viewer?action=AUDIT_VALUE&amp;DB=129&amp;ID1=51280710&amp;VALUEID=02001&amp;SDATE=200802&amp;PERIODTYPE=QTR_STD&amp;SCFT=3&amp;window=popup_no_bar&amp;width=385&amp;height=120&amp;START_MAXIMIZED=FALSE&amp;creator=factset&amp;display_string=Audit"}</definedName>
    <definedName name="_1635__FDSAUDITLINK__" localSheetId="7" hidden="1">{"fdsup://Directions/FactSet Auditing Viewer?action=AUDIT_VALUE&amp;DB=129&amp;ID1=53567810&amp;VALUEID=02001&amp;SDATE=200802&amp;PERIODTYPE=QTR_STD&amp;SCFT=3&amp;window=popup_no_bar&amp;width=385&amp;height=120&amp;START_MAXIMIZED=FALSE&amp;creator=factset&amp;display_string=Audit"}</definedName>
    <definedName name="_1635__FDSAUDITLINK__" hidden="1">{"fdsup://Directions/FactSet Auditing Viewer?action=AUDIT_VALUE&amp;DB=129&amp;ID1=53567810&amp;VALUEID=02001&amp;SDATE=200802&amp;PERIODTYPE=QTR_STD&amp;SCFT=3&amp;window=popup_no_bar&amp;width=385&amp;height=120&amp;START_MAXIMIZED=FALSE&amp;creator=factset&amp;display_string=Audit"}</definedName>
    <definedName name="_1636__FDSAUDITLINK__" localSheetId="7" hidden="1">{"fdsup://Directions/FactSet Auditing Viewer?action=AUDIT_VALUE&amp;DB=129&amp;ID1=53567810&amp;VALUEID=02001&amp;SDATE=200802&amp;PERIODTYPE=QTR_STD&amp;SCFT=3&amp;window=popup_no_bar&amp;width=385&amp;height=120&amp;START_MAXIMIZED=FALSE&amp;creator=factset&amp;display_string=Audit"}</definedName>
    <definedName name="_1636__FDSAUDITLINK__" hidden="1">{"fdsup://Directions/FactSet Auditing Viewer?action=AUDIT_VALUE&amp;DB=129&amp;ID1=53567810&amp;VALUEID=02001&amp;SDATE=200802&amp;PERIODTYPE=QTR_STD&amp;SCFT=3&amp;window=popup_no_bar&amp;width=385&amp;height=120&amp;START_MAXIMIZED=FALSE&amp;creator=factset&amp;display_string=Audit"}</definedName>
    <definedName name="_1637__FDSAUDITLINK__" localSheetId="7" hidden="1">{"fdsup://Directions/FactSet Auditing Viewer?action=AUDIT_VALUE&amp;DB=129&amp;ID1=48248010&amp;VALUEID=02001&amp;SDATE=200802&amp;PERIODTYPE=QTR_STD&amp;SCFT=3&amp;window=popup_no_bar&amp;width=385&amp;height=120&amp;START_MAXIMIZED=FALSE&amp;creator=factset&amp;display_string=Audit"}</definedName>
    <definedName name="_1637__FDSAUDITLINK__" hidden="1">{"fdsup://Directions/FactSet Auditing Viewer?action=AUDIT_VALUE&amp;DB=129&amp;ID1=48248010&amp;VALUEID=02001&amp;SDATE=200802&amp;PERIODTYPE=QTR_STD&amp;SCFT=3&amp;window=popup_no_bar&amp;width=385&amp;height=120&amp;START_MAXIMIZED=FALSE&amp;creator=factset&amp;display_string=Audit"}</definedName>
    <definedName name="_1638__FDSAUDITLINK__" localSheetId="7" hidden="1">{"fdsup://Directions/FactSet Auditing Viewer?action=AUDIT_VALUE&amp;DB=129&amp;ID1=48248010&amp;VALUEID=02001&amp;SDATE=200802&amp;PERIODTYPE=QTR_STD&amp;SCFT=3&amp;window=popup_no_bar&amp;width=385&amp;height=120&amp;START_MAXIMIZED=FALSE&amp;creator=factset&amp;display_string=Audit"}</definedName>
    <definedName name="_1638__FDSAUDITLINK__" hidden="1">{"fdsup://Directions/FactSet Auditing Viewer?action=AUDIT_VALUE&amp;DB=129&amp;ID1=48248010&amp;VALUEID=02001&amp;SDATE=200802&amp;PERIODTYPE=QTR_STD&amp;SCFT=3&amp;window=popup_no_bar&amp;width=385&amp;height=120&amp;START_MAXIMIZED=FALSE&amp;creator=factset&amp;display_string=Audit"}</definedName>
    <definedName name="_1639__FDSAUDITLINK__" localSheetId="7" hidden="1">{"fdsup://Directions/FactSet Auditing Viewer?action=AUDIT_VALUE&amp;DB=129&amp;ID1=48836020&amp;VALUEID=02001&amp;SDATE=200703&amp;PERIODTYPE=QTR_STD&amp;SCFT=3&amp;window=popup_no_bar&amp;width=385&amp;height=120&amp;START_MAXIMIZED=FALSE&amp;creator=factset&amp;display_string=Audit"}</definedName>
    <definedName name="_1639__FDSAUDITLINK__" hidden="1">{"fdsup://Directions/FactSet Auditing Viewer?action=AUDIT_VALUE&amp;DB=129&amp;ID1=48836020&amp;VALUEID=02001&amp;SDATE=200703&amp;PERIODTYPE=QTR_STD&amp;SCFT=3&amp;window=popup_no_bar&amp;width=385&amp;height=120&amp;START_MAXIMIZED=FALSE&amp;creator=factset&amp;display_string=Audit"}</definedName>
    <definedName name="_164__FDSAUDITLINK__" localSheetId="7" hidden="1">{"fdsup://Directions/FactSet Auditing Viewer?action=AUDIT_VALUE&amp;DB=129&amp;ID1=89674K10&amp;VALUEID=02001&amp;SDATE=201004&amp;PERIODTYPE=QTR_STD&amp;SCFT=3&amp;window=popup_no_bar&amp;width=385&amp;height=120&amp;START_MAXIMIZED=FALSE&amp;creator=factset&amp;display_string=Audit"}</definedName>
    <definedName name="_164__FDSAUDITLINK__" hidden="1">{"fdsup://Directions/FactSet Auditing Viewer?action=AUDIT_VALUE&amp;DB=129&amp;ID1=89674K10&amp;VALUEID=02001&amp;SDATE=201004&amp;PERIODTYPE=QTR_STD&amp;SCFT=3&amp;window=popup_no_bar&amp;width=385&amp;height=120&amp;START_MAXIMIZED=FALSE&amp;creator=factset&amp;display_string=Audit"}</definedName>
    <definedName name="_1640__FDSAUDITLINK__" localSheetId="7" hidden="1">{"fdsup://Directions/FactSet Auditing Viewer?action=AUDIT_VALUE&amp;DB=129&amp;ID1=48836020&amp;VALUEID=02001&amp;SDATE=200703&amp;PERIODTYPE=QTR_STD&amp;SCFT=3&amp;window=popup_no_bar&amp;width=385&amp;height=120&amp;START_MAXIMIZED=FALSE&amp;creator=factset&amp;display_string=Audit"}</definedName>
    <definedName name="_1640__FDSAUDITLINK__" hidden="1">{"fdsup://Directions/FactSet Auditing Viewer?action=AUDIT_VALUE&amp;DB=129&amp;ID1=48836020&amp;VALUEID=02001&amp;SDATE=200703&amp;PERIODTYPE=QTR_STD&amp;SCFT=3&amp;window=popup_no_bar&amp;width=385&amp;height=120&amp;START_MAXIMIZED=FALSE&amp;creator=factset&amp;display_string=Audit"}</definedName>
    <definedName name="_1641__FDSAUDITLINK__" localSheetId="7" hidden="1">{"fdsup://Directions/FactSet Auditing Viewer?action=AUDIT_VALUE&amp;DB=129&amp;ID1=86681020&amp;VALUEID=02001&amp;SDATE=200802&amp;PERIODTYPE=QTR_STD&amp;SCFT=3&amp;window=popup_no_bar&amp;width=385&amp;height=120&amp;START_MAXIMIZED=FALSE&amp;creator=factset&amp;display_string=Audit"}</definedName>
    <definedName name="_1641__FDSAUDITLINK__" hidden="1">{"fdsup://Directions/FactSet Auditing Viewer?action=AUDIT_VALUE&amp;DB=129&amp;ID1=86681020&amp;VALUEID=02001&amp;SDATE=200802&amp;PERIODTYPE=QTR_STD&amp;SCFT=3&amp;window=popup_no_bar&amp;width=385&amp;height=120&amp;START_MAXIMIZED=FALSE&amp;creator=factset&amp;display_string=Audit"}</definedName>
    <definedName name="_1642__FDSAUDITLINK__" localSheetId="7" hidden="1">{"fdsup://Directions/FactSet Auditing Viewer?action=AUDIT_VALUE&amp;DB=129&amp;ID1=86681020&amp;VALUEID=02001&amp;SDATE=200802&amp;PERIODTYPE=QTR_STD&amp;SCFT=3&amp;window=popup_no_bar&amp;width=385&amp;height=120&amp;START_MAXIMIZED=FALSE&amp;creator=factset&amp;display_string=Audit"}</definedName>
    <definedName name="_1642__FDSAUDITLINK__" hidden="1">{"fdsup://Directions/FactSet Auditing Viewer?action=AUDIT_VALUE&amp;DB=129&amp;ID1=86681020&amp;VALUEID=02001&amp;SDATE=200802&amp;PERIODTYPE=QTR_STD&amp;SCFT=3&amp;window=popup_no_bar&amp;width=385&amp;height=120&amp;START_MAXIMIZED=FALSE&amp;creator=factset&amp;display_string=Audit"}</definedName>
    <definedName name="_1643__FDSAUDITLINK__" localSheetId="7" hidden="1">{"fdsup://Directions/FactSet Auditing Viewer?action=AUDIT_VALUE&amp;DB=129&amp;ID1=46025410&amp;VALUEID=02001&amp;SDATE=200802&amp;PERIODTYPE=QTR_STD&amp;SCFT=3&amp;window=popup_no_bar&amp;width=385&amp;height=120&amp;START_MAXIMIZED=FALSE&amp;creator=factset&amp;display_string=Audit"}</definedName>
    <definedName name="_1643__FDSAUDITLINK__" hidden="1">{"fdsup://Directions/FactSet Auditing Viewer?action=AUDIT_VALUE&amp;DB=129&amp;ID1=46025410&amp;VALUEID=02001&amp;SDATE=200802&amp;PERIODTYPE=QTR_STD&amp;SCFT=3&amp;window=popup_no_bar&amp;width=385&amp;height=120&amp;START_MAXIMIZED=FALSE&amp;creator=factset&amp;display_string=Audit"}</definedName>
    <definedName name="_1644__FDSAUDITLINK__" localSheetId="7" hidden="1">{"fdsup://Directions/FactSet Auditing Viewer?action=AUDIT_VALUE&amp;DB=129&amp;ID1=46025410&amp;VALUEID=02001&amp;SDATE=200802&amp;PERIODTYPE=QTR_STD&amp;SCFT=3&amp;window=popup_no_bar&amp;width=385&amp;height=120&amp;START_MAXIMIZED=FALSE&amp;creator=factset&amp;display_string=Audit"}</definedName>
    <definedName name="_1644__FDSAUDITLINK__" hidden="1">{"fdsup://Directions/FactSet Auditing Viewer?action=AUDIT_VALUE&amp;DB=129&amp;ID1=46025410&amp;VALUEID=02001&amp;SDATE=200802&amp;PERIODTYPE=QTR_STD&amp;SCFT=3&amp;window=popup_no_bar&amp;width=385&amp;height=120&amp;START_MAXIMIZED=FALSE&amp;creator=factset&amp;display_string=Audit"}</definedName>
    <definedName name="_1645__FDSAUDITLINK__" localSheetId="7" hidden="1">{"fdsup://Directions/FactSet Auditing Viewer?action=AUDIT_VALUE&amp;DB=129&amp;ID1=45811810&amp;VALUEID=02001&amp;SDATE=200703&amp;PERIODTYPE=QTR_STD&amp;SCFT=3&amp;window=popup_no_bar&amp;width=385&amp;height=120&amp;START_MAXIMIZED=FALSE&amp;creator=factset&amp;display_string=Audit"}</definedName>
    <definedName name="_1645__FDSAUDITLINK__" hidden="1">{"fdsup://Directions/FactSet Auditing Viewer?action=AUDIT_VALUE&amp;DB=129&amp;ID1=45811810&amp;VALUEID=02001&amp;SDATE=200703&amp;PERIODTYPE=QTR_STD&amp;SCFT=3&amp;window=popup_no_bar&amp;width=385&amp;height=120&amp;START_MAXIMIZED=FALSE&amp;creator=factset&amp;display_string=Audit"}</definedName>
    <definedName name="_1646__FDSAUDITLINK__" localSheetId="7" hidden="1">{"fdsup://Directions/FactSet Auditing Viewer?action=AUDIT_VALUE&amp;DB=129&amp;ID1=45811810&amp;VALUEID=02001&amp;SDATE=200703&amp;PERIODTYPE=QTR_STD&amp;SCFT=3&amp;window=popup_no_bar&amp;width=385&amp;height=120&amp;START_MAXIMIZED=FALSE&amp;creator=factset&amp;display_string=Audit"}</definedName>
    <definedName name="_1646__FDSAUDITLINK__" hidden="1">{"fdsup://Directions/FactSet Auditing Viewer?action=AUDIT_VALUE&amp;DB=129&amp;ID1=45811810&amp;VALUEID=02001&amp;SDATE=200703&amp;PERIODTYPE=QTR_STD&amp;SCFT=3&amp;window=popup_no_bar&amp;width=385&amp;height=120&amp;START_MAXIMIZED=FALSE&amp;creator=factset&amp;display_string=Audit"}</definedName>
    <definedName name="_1647__FDSAUDITLINK__" localSheetId="7" hidden="1">{"fdsup://Directions/FactSet Auditing Viewer?action=AUDIT_VALUE&amp;DB=129&amp;ID1=42823610&amp;VALUEID=02001&amp;SDATE=200801&amp;PERIODTYPE=QTR_STD&amp;SCFT=3&amp;window=popup_no_bar&amp;width=385&amp;height=120&amp;START_MAXIMIZED=FALSE&amp;creator=factset&amp;display_string=Audit"}</definedName>
    <definedName name="_1647__FDSAUDITLINK__" hidden="1">{"fdsup://Directions/FactSet Auditing Viewer?action=AUDIT_VALUE&amp;DB=129&amp;ID1=42823610&amp;VALUEID=02001&amp;SDATE=200801&amp;PERIODTYPE=QTR_STD&amp;SCFT=3&amp;window=popup_no_bar&amp;width=385&amp;height=120&amp;START_MAXIMIZED=FALSE&amp;creator=factset&amp;display_string=Audit"}</definedName>
    <definedName name="_1648__FDSAUDITLINK__" localSheetId="7" hidden="1">{"fdsup://Directions/FactSet Auditing Viewer?action=AUDIT_VALUE&amp;DB=129&amp;ID1=42823610&amp;VALUEID=02001&amp;SDATE=200801&amp;PERIODTYPE=QTR_STD&amp;SCFT=3&amp;window=popup_no_bar&amp;width=385&amp;height=120&amp;START_MAXIMIZED=FALSE&amp;creator=factset&amp;display_string=Audit"}</definedName>
    <definedName name="_1648__FDSAUDITLINK__" hidden="1">{"fdsup://Directions/FactSet Auditing Viewer?action=AUDIT_VALUE&amp;DB=129&amp;ID1=42823610&amp;VALUEID=02001&amp;SDATE=200801&amp;PERIODTYPE=QTR_STD&amp;SCFT=3&amp;window=popup_no_bar&amp;width=385&amp;height=120&amp;START_MAXIMIZED=FALSE&amp;creator=factset&amp;display_string=Audit"}</definedName>
    <definedName name="_1649__FDSAUDITLINK__" localSheetId="7" hidden="1">{"fdsup://Directions/FactSet Auditing Viewer?action=AUDIT_VALUE&amp;DB=129&amp;ID1=31561610&amp;VALUEID=02001&amp;SDATE=200801&amp;PERIODTYPE=QTR_STD&amp;SCFT=3&amp;window=popup_no_bar&amp;width=385&amp;height=120&amp;START_MAXIMIZED=FALSE&amp;creator=factset&amp;display_string=Audit"}</definedName>
    <definedName name="_1649__FDSAUDITLINK__" hidden="1">{"fdsup://Directions/FactSet Auditing Viewer?action=AUDIT_VALUE&amp;DB=129&amp;ID1=31561610&amp;VALUEID=02001&amp;SDATE=200801&amp;PERIODTYPE=QTR_STD&amp;SCFT=3&amp;window=popup_no_bar&amp;width=385&amp;height=120&amp;START_MAXIMIZED=FALSE&amp;creator=factset&amp;display_string=Audit"}</definedName>
    <definedName name="_165__FDSAUDITLINK__" localSheetId="7" hidden="1">{"fdsup://Directions/FactSet Auditing Viewer?action=AUDIT_VALUE&amp;DB=129&amp;ID1=83088M10&amp;VALUEID=02001&amp;SDATE=201101&amp;PERIODTYPE=QTR_STD&amp;SCFT=3&amp;window=popup_no_bar&amp;width=385&amp;height=120&amp;START_MAXIMIZED=FALSE&amp;creator=factset&amp;display_string=Audit"}</definedName>
    <definedName name="_165__FDSAUDITLINK__" hidden="1">{"fdsup://Directions/FactSet Auditing Viewer?action=AUDIT_VALUE&amp;DB=129&amp;ID1=83088M10&amp;VALUEID=02001&amp;SDATE=201101&amp;PERIODTYPE=QTR_STD&amp;SCFT=3&amp;window=popup_no_bar&amp;width=385&amp;height=120&amp;START_MAXIMIZED=FALSE&amp;creator=factset&amp;display_string=Audit"}</definedName>
    <definedName name="_1650__FDSAUDITLINK__" localSheetId="7" hidden="1">{"fdsup://Directions/FactSet Auditing Viewer?action=AUDIT_VALUE&amp;DB=129&amp;ID1=31561610&amp;VALUEID=02001&amp;SDATE=200801&amp;PERIODTYPE=QTR_STD&amp;SCFT=3&amp;window=popup_no_bar&amp;width=385&amp;height=120&amp;START_MAXIMIZED=FALSE&amp;creator=factset&amp;display_string=Audit"}</definedName>
    <definedName name="_1650__FDSAUDITLINK__" hidden="1">{"fdsup://Directions/FactSet Auditing Viewer?action=AUDIT_VALUE&amp;DB=129&amp;ID1=31561610&amp;VALUEID=02001&amp;SDATE=200801&amp;PERIODTYPE=QTR_STD&amp;SCFT=3&amp;window=popup_no_bar&amp;width=385&amp;height=120&amp;START_MAXIMIZED=FALSE&amp;creator=factset&amp;display_string=Audit"}</definedName>
    <definedName name="_1651__FDSAUDITLINK__" localSheetId="7" hidden="1">{"fdsup://Directions/FactSet Auditing Viewer?action=AUDIT_VALUE&amp;DB=129&amp;ID1=29247520&amp;VALUEID=02001&amp;SDATE=200802&amp;PERIODTYPE=QTR_STD&amp;SCFT=3&amp;window=popup_no_bar&amp;width=385&amp;height=120&amp;START_MAXIMIZED=FALSE&amp;creator=factset&amp;display_string=Audit"}</definedName>
    <definedName name="_1651__FDSAUDITLINK__" hidden="1">{"fdsup://Directions/FactSet Auditing Viewer?action=AUDIT_VALUE&amp;DB=129&amp;ID1=29247520&amp;VALUEID=02001&amp;SDATE=200802&amp;PERIODTYPE=QTR_STD&amp;SCFT=3&amp;window=popup_no_bar&amp;width=385&amp;height=120&amp;START_MAXIMIZED=FALSE&amp;creator=factset&amp;display_string=Audit"}</definedName>
    <definedName name="_1652__FDSAUDITLINK__" localSheetId="7" hidden="1">{"fdsup://Directions/FactSet Auditing Viewer?action=AUDIT_VALUE&amp;DB=129&amp;ID1=29247520&amp;VALUEID=02001&amp;SDATE=200802&amp;PERIODTYPE=QTR_STD&amp;SCFT=3&amp;window=popup_no_bar&amp;width=385&amp;height=120&amp;START_MAXIMIZED=FALSE&amp;creator=factset&amp;display_string=Audit"}</definedName>
    <definedName name="_1652__FDSAUDITLINK__" hidden="1">{"fdsup://Directions/FactSet Auditing Viewer?action=AUDIT_VALUE&amp;DB=129&amp;ID1=29247520&amp;VALUEID=02001&amp;SDATE=200802&amp;PERIODTYPE=QTR_STD&amp;SCFT=3&amp;window=popup_no_bar&amp;width=385&amp;height=120&amp;START_MAXIMIZED=FALSE&amp;creator=factset&amp;display_string=Audit"}</definedName>
    <definedName name="_1653__FDSAUDITLINK__" localSheetId="7" hidden="1">{"fdsup://Directions/FactSet Auditing Viewer?action=AUDIT_VALUE&amp;DB=129&amp;ID1=17275R10&amp;VALUEID=02001&amp;SDATE=200802&amp;PERIODTYPE=QTR_STD&amp;SCFT=3&amp;window=popup_no_bar&amp;width=385&amp;height=120&amp;START_MAXIMIZED=FALSE&amp;creator=factset&amp;display_string=Audit"}</definedName>
    <definedName name="_1653__FDSAUDITLINK__" hidden="1">{"fdsup://Directions/FactSet Auditing Viewer?action=AUDIT_VALUE&amp;DB=129&amp;ID1=17275R10&amp;VALUEID=02001&amp;SDATE=200802&amp;PERIODTYPE=QTR_STD&amp;SCFT=3&amp;window=popup_no_bar&amp;width=385&amp;height=120&amp;START_MAXIMIZED=FALSE&amp;creator=factset&amp;display_string=Audit"}</definedName>
    <definedName name="_1654__FDSAUDITLINK__" localSheetId="7" hidden="1">{"fdsup://Directions/FactSet Auditing Viewer?action=AUDIT_VALUE&amp;DB=129&amp;ID1=17275R10&amp;VALUEID=02001&amp;SDATE=200802&amp;PERIODTYPE=QTR_STD&amp;SCFT=3&amp;window=popup_no_bar&amp;width=385&amp;height=120&amp;START_MAXIMIZED=FALSE&amp;creator=factset&amp;display_string=Audit"}</definedName>
    <definedName name="_1654__FDSAUDITLINK__" hidden="1">{"fdsup://Directions/FactSet Auditing Viewer?action=AUDIT_VALUE&amp;DB=129&amp;ID1=17275R10&amp;VALUEID=02001&amp;SDATE=200802&amp;PERIODTYPE=QTR_STD&amp;SCFT=3&amp;window=popup_no_bar&amp;width=385&amp;height=120&amp;START_MAXIMIZED=FALSE&amp;creator=factset&amp;display_string=Audit"}</definedName>
    <definedName name="_1655__FDSAUDITLINK__" localSheetId="7" hidden="1">{"fdsup://Directions/FactSet Auditing Viewer?action=AUDIT_VALUE&amp;DB=129&amp;ID1=22544710&amp;VALUEID=02001&amp;SDATE=200802&amp;PERIODTYPE=QTR_STD&amp;SCFT=3&amp;window=popup_no_bar&amp;width=385&amp;height=120&amp;START_MAXIMIZED=FALSE&amp;creator=factset&amp;display_string=Audit"}</definedName>
    <definedName name="_1655__FDSAUDITLINK__" hidden="1">{"fdsup://Directions/FactSet Auditing Viewer?action=AUDIT_VALUE&amp;DB=129&amp;ID1=22544710&amp;VALUEID=02001&amp;SDATE=200802&amp;PERIODTYPE=QTR_STD&amp;SCFT=3&amp;window=popup_no_bar&amp;width=385&amp;height=120&amp;START_MAXIMIZED=FALSE&amp;creator=factset&amp;display_string=Audit"}</definedName>
    <definedName name="_1656__FDSAUDITLINK__" localSheetId="7" hidden="1">{"fdsup://Directions/FactSet Auditing Viewer?action=AUDIT_VALUE&amp;DB=129&amp;ID1=22544710&amp;VALUEID=02001&amp;SDATE=200802&amp;PERIODTYPE=QTR_STD&amp;SCFT=3&amp;window=popup_no_bar&amp;width=385&amp;height=120&amp;START_MAXIMIZED=FALSE&amp;creator=factset&amp;display_string=Audit"}</definedName>
    <definedName name="_1656__FDSAUDITLINK__" hidden="1">{"fdsup://Directions/FactSet Auditing Viewer?action=AUDIT_VALUE&amp;DB=129&amp;ID1=22544710&amp;VALUEID=02001&amp;SDATE=200802&amp;PERIODTYPE=QTR_STD&amp;SCFT=3&amp;window=popup_no_bar&amp;width=385&amp;height=120&amp;START_MAXIMIZED=FALSE&amp;creator=factset&amp;display_string=Audit"}</definedName>
    <definedName name="_1657__FDSAUDITLINK__" localSheetId="7" hidden="1">{"fdsup://Directions/FactSet Auditing Viewer?action=AUDIT_VALUE&amp;DB=129&amp;ID1=20714230&amp;VALUEID=02001&amp;SDATE=200801&amp;PERIODTYPE=QTR_STD&amp;SCFT=3&amp;window=popup_no_bar&amp;width=385&amp;height=120&amp;START_MAXIMIZED=FALSE&amp;creator=factset&amp;display_string=Audit"}</definedName>
    <definedName name="_1657__FDSAUDITLINK__" hidden="1">{"fdsup://Directions/FactSet Auditing Viewer?action=AUDIT_VALUE&amp;DB=129&amp;ID1=20714230&amp;VALUEID=02001&amp;SDATE=200801&amp;PERIODTYPE=QTR_STD&amp;SCFT=3&amp;window=popup_no_bar&amp;width=385&amp;height=120&amp;START_MAXIMIZED=FALSE&amp;creator=factset&amp;display_string=Audit"}</definedName>
    <definedName name="_1658__FDSAUDITLINK__" localSheetId="7" hidden="1">{"fdsup://Directions/FactSet Auditing Viewer?action=AUDIT_VALUE&amp;DB=129&amp;ID1=20714230&amp;VALUEID=02001&amp;SDATE=200801&amp;PERIODTYPE=QTR_STD&amp;SCFT=3&amp;window=popup_no_bar&amp;width=385&amp;height=120&amp;START_MAXIMIZED=FALSE&amp;creator=factset&amp;display_string=Audit"}</definedName>
    <definedName name="_1658__FDSAUDITLINK__" hidden="1">{"fdsup://Directions/FactSet Auditing Viewer?action=AUDIT_VALUE&amp;DB=129&amp;ID1=20714230&amp;VALUEID=02001&amp;SDATE=200801&amp;PERIODTYPE=QTR_STD&amp;SCFT=3&amp;window=popup_no_bar&amp;width=385&amp;height=120&amp;START_MAXIMIZED=FALSE&amp;creator=factset&amp;display_string=Audit"}</definedName>
    <definedName name="_1659__FDSAUDITLINK__" localSheetId="7" hidden="1">{"fdsup://Directions/FactSet Auditing Viewer?action=AUDIT_VALUE&amp;DB=129&amp;ID1=11162130&amp;VALUEID=02001&amp;SDATE=200801&amp;PERIODTYPE=QTR_STD&amp;SCFT=3&amp;window=popup_no_bar&amp;width=385&amp;height=120&amp;START_MAXIMIZED=FALSE&amp;creator=factset&amp;display_string=Audit"}</definedName>
    <definedName name="_1659__FDSAUDITLINK__" hidden="1">{"fdsup://Directions/FactSet Auditing Viewer?action=AUDIT_VALUE&amp;DB=129&amp;ID1=11162130&amp;VALUEID=02001&amp;SDATE=200801&amp;PERIODTYPE=QTR_STD&amp;SCFT=3&amp;window=popup_no_bar&amp;width=385&amp;height=120&amp;START_MAXIMIZED=FALSE&amp;creator=factset&amp;display_string=Audit"}</definedName>
    <definedName name="_166__FDSAUDITLINK__" localSheetId="7" hidden="1">{"fdsup://Directions/FactSet Auditing Viewer?action=AUDIT_VALUE&amp;DB=129&amp;ID1=83088M10&amp;VALUEID=02001&amp;SDATE=201101&amp;PERIODTYPE=QTR_STD&amp;SCFT=3&amp;window=popup_no_bar&amp;width=385&amp;height=120&amp;START_MAXIMIZED=FALSE&amp;creator=factset&amp;display_string=Audit"}</definedName>
    <definedName name="_166__FDSAUDITLINK__" hidden="1">{"fdsup://Directions/FactSet Auditing Viewer?action=AUDIT_VALUE&amp;DB=129&amp;ID1=83088M10&amp;VALUEID=02001&amp;SDATE=201101&amp;PERIODTYPE=QTR_STD&amp;SCFT=3&amp;window=popup_no_bar&amp;width=385&amp;height=120&amp;START_MAXIMIZED=FALSE&amp;creator=factset&amp;display_string=Audit"}</definedName>
    <definedName name="_1660__FDSAUDITLINK__" localSheetId="7" hidden="1">{"fdsup://Directions/FactSet Auditing Viewer?action=AUDIT_VALUE&amp;DB=129&amp;ID1=11162130&amp;VALUEID=02001&amp;SDATE=200801&amp;PERIODTYPE=QTR_STD&amp;SCFT=3&amp;window=popup_no_bar&amp;width=385&amp;height=120&amp;START_MAXIMIZED=FALSE&amp;creator=factset&amp;display_string=Audit"}</definedName>
    <definedName name="_1660__FDSAUDITLINK__" hidden="1">{"fdsup://Directions/FactSet Auditing Viewer?action=AUDIT_VALUE&amp;DB=129&amp;ID1=11162130&amp;VALUEID=02001&amp;SDATE=200801&amp;PERIODTYPE=QTR_STD&amp;SCFT=3&amp;window=popup_no_bar&amp;width=385&amp;height=120&amp;START_MAXIMIZED=FALSE&amp;creator=factset&amp;display_string=Audit"}</definedName>
    <definedName name="_1661__FDSAUDITLINK__" localSheetId="7" hidden="1">{"fdsup://Directions/FactSet Auditing Viewer?action=AUDIT_VALUE&amp;DB=129&amp;ID1=03822W40&amp;VALUEID=02001&amp;SDATE=200703&amp;PERIODTYPE=QTR_STD&amp;SCFT=3&amp;window=popup_no_bar&amp;width=385&amp;height=120&amp;START_MAXIMIZED=FALSE&amp;creator=factset&amp;display_string=Audit"}</definedName>
    <definedName name="_1661__FDSAUDITLINK__" hidden="1">{"fdsup://Directions/FactSet Auditing Viewer?action=AUDIT_VALUE&amp;DB=129&amp;ID1=03822W40&amp;VALUEID=02001&amp;SDATE=200703&amp;PERIODTYPE=QTR_STD&amp;SCFT=3&amp;window=popup_no_bar&amp;width=385&amp;height=120&amp;START_MAXIMIZED=FALSE&amp;creator=factset&amp;display_string=Audit"}</definedName>
    <definedName name="_1662__FDSAUDITLINK__" localSheetId="7" hidden="1">{"fdsup://Directions/FactSet Auditing Viewer?action=AUDIT_VALUE&amp;DB=129&amp;ID1=03822W40&amp;VALUEID=02001&amp;SDATE=200703&amp;PERIODTYPE=QTR_STD&amp;SCFT=3&amp;window=popup_no_bar&amp;width=385&amp;height=120&amp;START_MAXIMIZED=FALSE&amp;creator=factset&amp;display_string=Audit"}</definedName>
    <definedName name="_1662__FDSAUDITLINK__" hidden="1">{"fdsup://Directions/FactSet Auditing Viewer?action=AUDIT_VALUE&amp;DB=129&amp;ID1=03822W40&amp;VALUEID=02001&amp;SDATE=200703&amp;PERIODTYPE=QTR_STD&amp;SCFT=3&amp;window=popup_no_bar&amp;width=385&amp;height=120&amp;START_MAXIMIZED=FALSE&amp;creator=factset&amp;display_string=Audit"}</definedName>
    <definedName name="_1663__FDSAUDITLINK__" localSheetId="7" hidden="1">{"fdsup://Directions/FactSet Auditing Viewer?action=AUDIT_VALUE&amp;DB=129&amp;ID1=03822210&amp;VALUEID=02001&amp;SDATE=200801&amp;PERIODTYPE=QTR_STD&amp;SCFT=3&amp;window=popup_no_bar&amp;width=385&amp;height=120&amp;START_MAXIMIZED=FALSE&amp;creator=factset&amp;display_string=Audit"}</definedName>
    <definedName name="_1663__FDSAUDITLINK__" hidden="1">{"fdsup://Directions/FactSet Auditing Viewer?action=AUDIT_VALUE&amp;DB=129&amp;ID1=03822210&amp;VALUEID=02001&amp;SDATE=200801&amp;PERIODTYPE=QTR_STD&amp;SCFT=3&amp;window=popup_no_bar&amp;width=385&amp;height=120&amp;START_MAXIMIZED=FALSE&amp;creator=factset&amp;display_string=Audit"}</definedName>
    <definedName name="_1664__FDSAUDITLINK__" localSheetId="7" hidden="1">{"fdsup://Directions/FactSet Auditing Viewer?action=AUDIT_VALUE&amp;DB=129&amp;ID1=03822210&amp;VALUEID=02001&amp;SDATE=200801&amp;PERIODTYPE=QTR_STD&amp;SCFT=3&amp;window=popup_no_bar&amp;width=385&amp;height=120&amp;START_MAXIMIZED=FALSE&amp;creator=factset&amp;display_string=Audit"}</definedName>
    <definedName name="_1664__FDSAUDITLINK__" hidden="1">{"fdsup://Directions/FactSet Auditing Viewer?action=AUDIT_VALUE&amp;DB=129&amp;ID1=03822210&amp;VALUEID=02001&amp;SDATE=200801&amp;PERIODTYPE=QTR_STD&amp;SCFT=3&amp;window=popup_no_bar&amp;width=385&amp;height=120&amp;START_MAXIMIZED=FALSE&amp;creator=factset&amp;display_string=Audit"}</definedName>
    <definedName name="_1665__FDSAUDITLINK__" localSheetId="7" hidden="1">{"fdsup://Directions/FactSet Auditing Viewer?action=AUDIT_VALUE&amp;DB=129&amp;ID1=03265410&amp;VALUEID=02001&amp;SDATE=200801&amp;PERIODTYPE=QTR_STD&amp;SCFT=3&amp;window=popup_no_bar&amp;width=385&amp;height=120&amp;START_MAXIMIZED=FALSE&amp;creator=factset&amp;display_string=Audit"}</definedName>
    <definedName name="_1665__FDSAUDITLINK__" hidden="1">{"fdsup://Directions/FactSet Auditing Viewer?action=AUDIT_VALUE&amp;DB=129&amp;ID1=03265410&amp;VALUEID=02001&amp;SDATE=200801&amp;PERIODTYPE=QTR_STD&amp;SCFT=3&amp;window=popup_no_bar&amp;width=385&amp;height=120&amp;START_MAXIMIZED=FALSE&amp;creator=factset&amp;display_string=Audit"}</definedName>
    <definedName name="_1666__FDSAUDITLINK__" localSheetId="7" hidden="1">{"fdsup://Directions/FactSet Auditing Viewer?action=AUDIT_VALUE&amp;DB=129&amp;ID1=03265410&amp;VALUEID=02001&amp;SDATE=200801&amp;PERIODTYPE=QTR_STD&amp;SCFT=3&amp;window=popup_no_bar&amp;width=385&amp;height=120&amp;START_MAXIMIZED=FALSE&amp;creator=factset&amp;display_string=Audit"}</definedName>
    <definedName name="_1666__FDSAUDITLINK__" hidden="1">{"fdsup://Directions/FactSet Auditing Viewer?action=AUDIT_VALUE&amp;DB=129&amp;ID1=03265410&amp;VALUEID=02001&amp;SDATE=200801&amp;PERIODTYPE=QTR_STD&amp;SCFT=3&amp;window=popup_no_bar&amp;width=385&amp;height=120&amp;START_MAXIMIZED=FALSE&amp;creator=factset&amp;display_string=Audit"}</definedName>
    <definedName name="_1667__FDSAUDITLINK__" localSheetId="7" hidden="1">{"fdsup://Directions/FactSet Auditing Viewer?action=AUDIT_VALUE&amp;DB=129&amp;ID1=98975F10&amp;VALUEID=02001&amp;SDATE=200703&amp;PERIODTYPE=QTR_STD&amp;SCFT=3&amp;window=popup_no_bar&amp;width=385&amp;height=120&amp;START_MAXIMIZED=FALSE&amp;creator=factset&amp;display_string=Audit"}</definedName>
    <definedName name="_1667__FDSAUDITLINK__" hidden="1">{"fdsup://Directions/FactSet Auditing Viewer?action=AUDIT_VALUE&amp;DB=129&amp;ID1=98975F10&amp;VALUEID=02001&amp;SDATE=200703&amp;PERIODTYPE=QTR_STD&amp;SCFT=3&amp;window=popup_no_bar&amp;width=385&amp;height=120&amp;START_MAXIMIZED=FALSE&amp;creator=factset&amp;display_string=Audit"}</definedName>
    <definedName name="_1668__FDSAUDITLINK__" localSheetId="7" hidden="1">{"fdsup://Directions/FactSet Auditing Viewer?action=AUDIT_VALUE&amp;DB=129&amp;ID1=98975F10&amp;VALUEID=02001&amp;SDATE=200703&amp;PERIODTYPE=QTR_STD&amp;SCFT=3&amp;window=popup_no_bar&amp;width=385&amp;height=120&amp;START_MAXIMIZED=FALSE&amp;creator=factset&amp;display_string=Audit"}</definedName>
    <definedName name="_1668__FDSAUDITLINK__" hidden="1">{"fdsup://Directions/FactSet Auditing Viewer?action=AUDIT_VALUE&amp;DB=129&amp;ID1=98975F10&amp;VALUEID=02001&amp;SDATE=200703&amp;PERIODTYPE=QTR_STD&amp;SCFT=3&amp;window=popup_no_bar&amp;width=385&amp;height=120&amp;START_MAXIMIZED=FALSE&amp;creator=factset&amp;display_string=Audit"}</definedName>
    <definedName name="_1669__FDSAUDITLINK__" localSheetId="7" hidden="1">{"fdsup://Directions/FactSet Auditing Viewer?action=AUDIT_VALUE&amp;DB=129&amp;ID1=98391910&amp;VALUEID=02001&amp;SDATE=200702&amp;PERIODTYPE=QTR_STD&amp;SCFT=3&amp;window=popup_no_bar&amp;width=385&amp;height=120&amp;START_MAXIMIZED=FALSE&amp;creator=factset&amp;display_string=Audit"}</definedName>
    <definedName name="_1669__FDSAUDITLINK__" hidden="1">{"fdsup://Directions/FactSet Auditing Viewer?action=AUDIT_VALUE&amp;DB=129&amp;ID1=98391910&amp;VALUEID=02001&amp;SDATE=200702&amp;PERIODTYPE=QTR_STD&amp;SCFT=3&amp;window=popup_no_bar&amp;width=385&amp;height=120&amp;START_MAXIMIZED=FALSE&amp;creator=factset&amp;display_string=Audit"}</definedName>
    <definedName name="_167__FDSAUDITLINK__" localSheetId="7" hidden="1">{"fdsup://Directions/FactSet Auditing Viewer?action=AUDIT_VALUE&amp;DB=129&amp;ID1=G7945M10&amp;VALUEID=02001&amp;SDATE=201102&amp;PERIODTYPE=QTR_STD&amp;SCFT=3&amp;window=popup_no_bar&amp;width=385&amp;height=120&amp;START_MAXIMIZED=FALSE&amp;creator=factset&amp;display_string=Audit"}</definedName>
    <definedName name="_167__FDSAUDITLINK__" hidden="1">{"fdsup://Directions/FactSet Auditing Viewer?action=AUDIT_VALUE&amp;DB=129&amp;ID1=G7945M10&amp;VALUEID=02001&amp;SDATE=201102&amp;PERIODTYPE=QTR_STD&amp;SCFT=3&amp;window=popup_no_bar&amp;width=385&amp;height=120&amp;START_MAXIMIZED=FALSE&amp;creator=factset&amp;display_string=Audit"}</definedName>
    <definedName name="_1670__FDSAUDITLINK__" localSheetId="7" hidden="1">{"fdsup://Directions/FactSet Auditing Viewer?action=AUDIT_VALUE&amp;DB=129&amp;ID1=98391910&amp;VALUEID=02001&amp;SDATE=200702&amp;PERIODTYPE=QTR_STD&amp;SCFT=3&amp;window=popup_no_bar&amp;width=385&amp;height=120&amp;START_MAXIMIZED=FALSE&amp;creator=factset&amp;display_string=Audit"}</definedName>
    <definedName name="_1670__FDSAUDITLINK__" hidden="1">{"fdsup://Directions/FactSet Auditing Viewer?action=AUDIT_VALUE&amp;DB=129&amp;ID1=98391910&amp;VALUEID=02001&amp;SDATE=200702&amp;PERIODTYPE=QTR_STD&amp;SCFT=3&amp;window=popup_no_bar&amp;width=385&amp;height=120&amp;START_MAXIMIZED=FALSE&amp;creator=factset&amp;display_string=Audit"}</definedName>
    <definedName name="_1671__FDSAUDITLINK__" localSheetId="7" hidden="1">{"fdsup://Directions/FactSet Auditing Viewer?action=AUDIT_VALUE&amp;DB=129&amp;ID1=95810210&amp;VALUEID=02001&amp;SDATE=200801&amp;PERIODTYPE=QTR_STD&amp;SCFT=3&amp;window=popup_no_bar&amp;width=385&amp;height=120&amp;START_MAXIMIZED=FALSE&amp;creator=factset&amp;display_string=Audit"}</definedName>
    <definedName name="_1671__FDSAUDITLINK__" hidden="1">{"fdsup://Directions/FactSet Auditing Viewer?action=AUDIT_VALUE&amp;DB=129&amp;ID1=95810210&amp;VALUEID=02001&amp;SDATE=200801&amp;PERIODTYPE=QTR_STD&amp;SCFT=3&amp;window=popup_no_bar&amp;width=385&amp;height=120&amp;START_MAXIMIZED=FALSE&amp;creator=factset&amp;display_string=Audit"}</definedName>
    <definedName name="_1672__FDSAUDITLINK__" localSheetId="7" hidden="1">{"fdsup://Directions/FactSet Auditing Viewer?action=AUDIT_VALUE&amp;DB=129&amp;ID1=95810210&amp;VALUEID=02001&amp;SDATE=200801&amp;PERIODTYPE=QTR_STD&amp;SCFT=3&amp;window=popup_no_bar&amp;width=385&amp;height=120&amp;START_MAXIMIZED=FALSE&amp;creator=factset&amp;display_string=Audit"}</definedName>
    <definedName name="_1672__FDSAUDITLINK__" hidden="1">{"fdsup://Directions/FactSet Auditing Viewer?action=AUDIT_VALUE&amp;DB=129&amp;ID1=95810210&amp;VALUEID=02001&amp;SDATE=200801&amp;PERIODTYPE=QTR_STD&amp;SCFT=3&amp;window=popup_no_bar&amp;width=385&amp;height=120&amp;START_MAXIMIZED=FALSE&amp;creator=factset&amp;display_string=Audit"}</definedName>
    <definedName name="_1673__FDSAUDITLINK__" localSheetId="7" hidden="1">{"fdsup://Directions/FactSet Auditing Viewer?action=AUDIT_VALUE&amp;DB=129&amp;ID1=92829810&amp;VALUEID=02001&amp;SDATE=200703&amp;PERIODTYPE=QTR_STD&amp;SCFT=3&amp;window=popup_no_bar&amp;width=385&amp;height=120&amp;START_MAXIMIZED=FALSE&amp;creator=factset&amp;display_string=Audit"}</definedName>
    <definedName name="_1673__FDSAUDITLINK__" hidden="1">{"fdsup://Directions/FactSet Auditing Viewer?action=AUDIT_VALUE&amp;DB=129&amp;ID1=92829810&amp;VALUEID=02001&amp;SDATE=200703&amp;PERIODTYPE=QTR_STD&amp;SCFT=3&amp;window=popup_no_bar&amp;width=385&amp;height=120&amp;START_MAXIMIZED=FALSE&amp;creator=factset&amp;display_string=Audit"}</definedName>
    <definedName name="_1674__FDSAUDITLINK__" localSheetId="7" hidden="1">{"fdsup://Directions/FactSet Auditing Viewer?action=AUDIT_VALUE&amp;DB=129&amp;ID1=92829810&amp;VALUEID=02001&amp;SDATE=200703&amp;PERIODTYPE=QTR_STD&amp;SCFT=3&amp;window=popup_no_bar&amp;width=385&amp;height=120&amp;START_MAXIMIZED=FALSE&amp;creator=factset&amp;display_string=Audit"}</definedName>
    <definedName name="_1674__FDSAUDITLINK__" hidden="1">{"fdsup://Directions/FactSet Auditing Viewer?action=AUDIT_VALUE&amp;DB=129&amp;ID1=92829810&amp;VALUEID=02001&amp;SDATE=200703&amp;PERIODTYPE=QTR_STD&amp;SCFT=3&amp;window=popup_no_bar&amp;width=385&amp;height=120&amp;START_MAXIMIZED=FALSE&amp;creator=factset&amp;display_string=Audit"}</definedName>
    <definedName name="_1675__FDSAUDITLINK__" localSheetId="7" hidden="1">{"fdsup://Directions/FactSet Auditing Viewer?action=AUDIT_VALUE&amp;DB=129&amp;ID1=88250810&amp;VALUEID=02001&amp;SDATE=200703&amp;PERIODTYPE=QTR_STD&amp;SCFT=3&amp;window=popup_no_bar&amp;width=385&amp;height=120&amp;START_MAXIMIZED=FALSE&amp;creator=factset&amp;display_string=Audit"}</definedName>
    <definedName name="_1675__FDSAUDITLINK__" hidden="1">{"fdsup://Directions/FactSet Auditing Viewer?action=AUDIT_VALUE&amp;DB=129&amp;ID1=88250810&amp;VALUEID=02001&amp;SDATE=200703&amp;PERIODTYPE=QTR_STD&amp;SCFT=3&amp;window=popup_no_bar&amp;width=385&amp;height=120&amp;START_MAXIMIZED=FALSE&amp;creator=factset&amp;display_string=Audit"}</definedName>
    <definedName name="_1676__FDSAUDITLINK__" localSheetId="7" hidden="1">{"fdsup://Directions/FactSet Auditing Viewer?action=AUDIT_VALUE&amp;DB=129&amp;ID1=88250810&amp;VALUEID=02001&amp;SDATE=200703&amp;PERIODTYPE=QTR_STD&amp;SCFT=3&amp;window=popup_no_bar&amp;width=385&amp;height=120&amp;START_MAXIMIZED=FALSE&amp;creator=factset&amp;display_string=Audit"}</definedName>
    <definedName name="_1676__FDSAUDITLINK__" hidden="1">{"fdsup://Directions/FactSet Auditing Viewer?action=AUDIT_VALUE&amp;DB=129&amp;ID1=88250810&amp;VALUEID=02001&amp;SDATE=200703&amp;PERIODTYPE=QTR_STD&amp;SCFT=3&amp;window=popup_no_bar&amp;width=385&amp;height=120&amp;START_MAXIMIZED=FALSE&amp;creator=factset&amp;display_string=Audit"}</definedName>
    <definedName name="_1677__FDSAUDITLINK__" localSheetId="7" hidden="1">{"fdsup://Directions/FactSet Auditing Viewer?action=AUDIT_VALUE&amp;DB=129&amp;ID1=89674K10&amp;VALUEID=02001&amp;SDATE=200703&amp;PERIODTYPE=QTR_STD&amp;SCFT=3&amp;window=popup_no_bar&amp;width=385&amp;height=120&amp;START_MAXIMIZED=FALSE&amp;creator=factset&amp;display_string=Audit"}</definedName>
    <definedName name="_1677__FDSAUDITLINK__" hidden="1">{"fdsup://Directions/FactSet Auditing Viewer?action=AUDIT_VALUE&amp;DB=129&amp;ID1=89674K10&amp;VALUEID=02001&amp;SDATE=200703&amp;PERIODTYPE=QTR_STD&amp;SCFT=3&amp;window=popup_no_bar&amp;width=385&amp;height=120&amp;START_MAXIMIZED=FALSE&amp;creator=factset&amp;display_string=Audit"}</definedName>
    <definedName name="_1678__FDSAUDITLINK__" localSheetId="7" hidden="1">{"fdsup://Directions/FactSet Auditing Viewer?action=AUDIT_VALUE&amp;DB=129&amp;ID1=89674K10&amp;VALUEID=02001&amp;SDATE=200703&amp;PERIODTYPE=QTR_STD&amp;SCFT=3&amp;window=popup_no_bar&amp;width=385&amp;height=120&amp;START_MAXIMIZED=FALSE&amp;creator=factset&amp;display_string=Audit"}</definedName>
    <definedName name="_1678__FDSAUDITLINK__" hidden="1">{"fdsup://Directions/FactSet Auditing Viewer?action=AUDIT_VALUE&amp;DB=129&amp;ID1=89674K10&amp;VALUEID=02001&amp;SDATE=200703&amp;PERIODTYPE=QTR_STD&amp;SCFT=3&amp;window=popup_no_bar&amp;width=385&amp;height=120&amp;START_MAXIMIZED=FALSE&amp;creator=factset&amp;display_string=Audit"}</definedName>
    <definedName name="_1679__FDSAUDITLINK__" localSheetId="7" hidden="1">{"fdsup://Directions/FactSet Auditing Viewer?action=AUDIT_VALUE&amp;DB=129&amp;ID1=G7945M10&amp;VALUEID=02001&amp;SDATE=200801&amp;PERIODTYPE=QTR_STD&amp;SCFT=3&amp;window=popup_no_bar&amp;width=385&amp;height=120&amp;START_MAXIMIZED=FALSE&amp;creator=factset&amp;display_string=Audit"}</definedName>
    <definedName name="_1679__FDSAUDITLINK__" hidden="1">{"fdsup://Directions/FactSet Auditing Viewer?action=AUDIT_VALUE&amp;DB=129&amp;ID1=G7945M10&amp;VALUEID=02001&amp;SDATE=200801&amp;PERIODTYPE=QTR_STD&amp;SCFT=3&amp;window=popup_no_bar&amp;width=385&amp;height=120&amp;START_MAXIMIZED=FALSE&amp;creator=factset&amp;display_string=Audit"}</definedName>
    <definedName name="_168__FDSAUDITLINK__" localSheetId="7" hidden="1">{"fdsup://Directions/FactSet Auditing Viewer?action=AUDIT_VALUE&amp;DB=129&amp;ID1=G7945M10&amp;VALUEID=02001&amp;SDATE=201102&amp;PERIODTYPE=QTR_STD&amp;SCFT=3&amp;window=popup_no_bar&amp;width=385&amp;height=120&amp;START_MAXIMIZED=FALSE&amp;creator=factset&amp;display_string=Audit"}</definedName>
    <definedName name="_168__FDSAUDITLINK__" hidden="1">{"fdsup://Directions/FactSet Auditing Viewer?action=AUDIT_VALUE&amp;DB=129&amp;ID1=G7945M10&amp;VALUEID=02001&amp;SDATE=201102&amp;PERIODTYPE=QTR_STD&amp;SCFT=3&amp;window=popup_no_bar&amp;width=385&amp;height=120&amp;START_MAXIMIZED=FALSE&amp;creator=factset&amp;display_string=Audit"}</definedName>
    <definedName name="_1680__FDSAUDITLINK__" localSheetId="7" hidden="1">{"fdsup://Directions/FactSet Auditing Viewer?action=AUDIT_VALUE&amp;DB=129&amp;ID1=G7945M10&amp;VALUEID=02001&amp;SDATE=200801&amp;PERIODTYPE=QTR_STD&amp;SCFT=3&amp;window=popup_no_bar&amp;width=385&amp;height=120&amp;START_MAXIMIZED=FALSE&amp;creator=factset&amp;display_string=Audit"}</definedName>
    <definedName name="_1680__FDSAUDITLINK__" hidden="1">{"fdsup://Directions/FactSet Auditing Viewer?action=AUDIT_VALUE&amp;DB=129&amp;ID1=G7945M10&amp;VALUEID=02001&amp;SDATE=200801&amp;PERIODTYPE=QTR_STD&amp;SCFT=3&amp;window=popup_no_bar&amp;width=385&amp;height=120&amp;START_MAXIMIZED=FALSE&amp;creator=factset&amp;display_string=Audit"}</definedName>
    <definedName name="_1681__FDSAUDITLINK__" localSheetId="7" hidden="1">{"fdsup://Directions/FactSet Auditing Viewer?action=AUDIT_VALUE&amp;DB=129&amp;ID1=78477410&amp;VALUEID=02001&amp;SDATE=200703&amp;PERIODTYPE=QTR_STD&amp;SCFT=3&amp;window=popup_no_bar&amp;width=385&amp;height=120&amp;START_MAXIMIZED=FALSE&amp;creator=factset&amp;display_string=Audit"}</definedName>
    <definedName name="_1681__FDSAUDITLINK__" hidden="1">{"fdsup://Directions/FactSet Auditing Viewer?action=AUDIT_VALUE&amp;DB=129&amp;ID1=78477410&amp;VALUEID=02001&amp;SDATE=200703&amp;PERIODTYPE=QTR_STD&amp;SCFT=3&amp;window=popup_no_bar&amp;width=385&amp;height=120&amp;START_MAXIMIZED=FALSE&amp;creator=factset&amp;display_string=Audit"}</definedName>
    <definedName name="_1682__FDSAUDITLINK__" localSheetId="7" hidden="1">{"fdsup://Directions/FactSet Auditing Viewer?action=AUDIT_VALUE&amp;DB=129&amp;ID1=78477410&amp;VALUEID=02001&amp;SDATE=200703&amp;PERIODTYPE=QTR_STD&amp;SCFT=3&amp;window=popup_no_bar&amp;width=385&amp;height=120&amp;START_MAXIMIZED=FALSE&amp;creator=factset&amp;display_string=Audit"}</definedName>
    <definedName name="_1682__FDSAUDITLINK__" hidden="1">{"fdsup://Directions/FactSet Auditing Viewer?action=AUDIT_VALUE&amp;DB=129&amp;ID1=78477410&amp;VALUEID=02001&amp;SDATE=200703&amp;PERIODTYPE=QTR_STD&amp;SCFT=3&amp;window=popup_no_bar&amp;width=385&amp;height=120&amp;START_MAXIMIZED=FALSE&amp;creator=factset&amp;display_string=Audit"}</definedName>
    <definedName name="_1683__FDSAUDITLINK__" localSheetId="7" hidden="1">{"fdsup://Directions/FactSet Auditing Viewer?action=AUDIT_VALUE&amp;DB=129&amp;ID1=82705710&amp;VALUEID=02001&amp;SDATE=200703&amp;PERIODTYPE=QTR_STD&amp;SCFT=3&amp;window=popup_no_bar&amp;width=385&amp;height=120&amp;START_MAXIMIZED=FALSE&amp;creator=factset&amp;display_string=Audit"}</definedName>
    <definedName name="_1683__FDSAUDITLINK__" hidden="1">{"fdsup://Directions/FactSet Auditing Viewer?action=AUDIT_VALUE&amp;DB=129&amp;ID1=82705710&amp;VALUEID=02001&amp;SDATE=200703&amp;PERIODTYPE=QTR_STD&amp;SCFT=3&amp;window=popup_no_bar&amp;width=385&amp;height=120&amp;START_MAXIMIZED=FALSE&amp;creator=factset&amp;display_string=Audit"}</definedName>
    <definedName name="_1684__FDSAUDITLINK__" localSheetId="7" hidden="1">{"fdsup://Directions/FactSet Auditing Viewer?action=AUDIT_VALUE&amp;DB=129&amp;ID1=82705710&amp;VALUEID=02001&amp;SDATE=200703&amp;PERIODTYPE=QTR_STD&amp;SCFT=3&amp;window=popup_no_bar&amp;width=385&amp;height=120&amp;START_MAXIMIZED=FALSE&amp;creator=factset&amp;display_string=Audit"}</definedName>
    <definedName name="_1684__FDSAUDITLINK__" hidden="1">{"fdsup://Directions/FactSet Auditing Viewer?action=AUDIT_VALUE&amp;DB=129&amp;ID1=82705710&amp;VALUEID=02001&amp;SDATE=200703&amp;PERIODTYPE=QTR_STD&amp;SCFT=3&amp;window=popup_no_bar&amp;width=385&amp;height=120&amp;START_MAXIMIZED=FALSE&amp;creator=factset&amp;display_string=Audit"}</definedName>
    <definedName name="_1685__FDSAUDITLINK__" localSheetId="7" hidden="1">{"fdsup://Directions/FactSet Auditing Viewer?action=AUDIT_VALUE&amp;DB=129&amp;ID1=83547010&amp;VALUEID=02001&amp;SDATE=200703&amp;PERIODTYPE=QTR_STD&amp;SCFT=3&amp;window=popup_no_bar&amp;width=385&amp;height=120&amp;START_MAXIMIZED=FALSE&amp;creator=factset&amp;display_string=Audit"}</definedName>
    <definedName name="_1685__FDSAUDITLINK__" hidden="1">{"fdsup://Directions/FactSet Auditing Viewer?action=AUDIT_VALUE&amp;DB=129&amp;ID1=83547010&amp;VALUEID=02001&amp;SDATE=200703&amp;PERIODTYPE=QTR_STD&amp;SCFT=3&amp;window=popup_no_bar&amp;width=385&amp;height=120&amp;START_MAXIMIZED=FALSE&amp;creator=factset&amp;display_string=Audit"}</definedName>
    <definedName name="_1686__FDSAUDITLINK__" localSheetId="7" hidden="1">{"fdsup://Directions/FactSet Auditing Viewer?action=AUDIT_VALUE&amp;DB=129&amp;ID1=83547010&amp;VALUEID=02001&amp;SDATE=200703&amp;PERIODTYPE=QTR_STD&amp;SCFT=3&amp;window=popup_no_bar&amp;width=385&amp;height=120&amp;START_MAXIMIZED=FALSE&amp;creator=factset&amp;display_string=Audit"}</definedName>
    <definedName name="_1686__FDSAUDITLINK__" hidden="1">{"fdsup://Directions/FactSet Auditing Viewer?action=AUDIT_VALUE&amp;DB=129&amp;ID1=83547010&amp;VALUEID=02001&amp;SDATE=200703&amp;PERIODTYPE=QTR_STD&amp;SCFT=3&amp;window=popup_no_bar&amp;width=385&amp;height=120&amp;START_MAXIMIZED=FALSE&amp;creator=factset&amp;display_string=Audit"}</definedName>
    <definedName name="_1687__FDSAUDITLINK__" localSheetId="7" hidden="1">{"fdsup://Directions/FactSet Auditing Viewer?action=AUDIT_VALUE&amp;DB=129&amp;ID1=80004C10&amp;VALUEID=02001&amp;SDATE=200703&amp;PERIODTYPE=QTR_STD&amp;SCFT=3&amp;window=popup_no_bar&amp;width=385&amp;height=120&amp;START_MAXIMIZED=FALSE&amp;creator=factset&amp;display_string=Audit"}</definedName>
    <definedName name="_1687__FDSAUDITLINK__" hidden="1">{"fdsup://Directions/FactSet Auditing Viewer?action=AUDIT_VALUE&amp;DB=129&amp;ID1=80004C10&amp;VALUEID=02001&amp;SDATE=200703&amp;PERIODTYPE=QTR_STD&amp;SCFT=3&amp;window=popup_no_bar&amp;width=385&amp;height=120&amp;START_MAXIMIZED=FALSE&amp;creator=factset&amp;display_string=Audit"}</definedName>
    <definedName name="_1688__FDSAUDITLINK__" localSheetId="7" hidden="1">{"fdsup://Directions/FactSet Auditing Viewer?action=AUDIT_VALUE&amp;DB=129&amp;ID1=80004C10&amp;VALUEID=02001&amp;SDATE=200703&amp;PERIODTYPE=QTR_STD&amp;SCFT=3&amp;window=popup_no_bar&amp;width=385&amp;height=120&amp;START_MAXIMIZED=FALSE&amp;creator=factset&amp;display_string=Audit"}</definedName>
    <definedName name="_1688__FDSAUDITLINK__" hidden="1">{"fdsup://Directions/FactSet Auditing Viewer?action=AUDIT_VALUE&amp;DB=129&amp;ID1=80004C10&amp;VALUEID=02001&amp;SDATE=200703&amp;PERIODTYPE=QTR_STD&amp;SCFT=3&amp;window=popup_no_bar&amp;width=385&amp;height=120&amp;START_MAXIMIZED=FALSE&amp;creator=factset&amp;display_string=Audit"}</definedName>
    <definedName name="_1689__FDSAUDITLINK__" localSheetId="7" hidden="1">{"fdsup://Directions/FactSet Auditing Viewer?action=AUDIT_VALUE&amp;DB=129&amp;ID1=81685010&amp;VALUEID=02001&amp;SDATE=200703&amp;PERIODTYPE=QTR_STD&amp;SCFT=3&amp;window=popup_no_bar&amp;width=385&amp;height=120&amp;START_MAXIMIZED=FALSE&amp;creator=factset&amp;display_string=Audit"}</definedName>
    <definedName name="_1689__FDSAUDITLINK__" hidden="1">{"fdsup://Directions/FactSet Auditing Viewer?action=AUDIT_VALUE&amp;DB=129&amp;ID1=81685010&amp;VALUEID=02001&amp;SDATE=200703&amp;PERIODTYPE=QTR_STD&amp;SCFT=3&amp;window=popup_no_bar&amp;width=385&amp;height=120&amp;START_MAXIMIZED=FALSE&amp;creator=factset&amp;display_string=Audit"}</definedName>
    <definedName name="_169__FDSAUDITLINK__" localSheetId="7" hidden="1">{"fdsup://Directions/FactSet Auditing Viewer?action=AUDIT_VALUE&amp;DB=129&amp;ID1=78477410&amp;VALUEID=02001&amp;SDATE=201004&amp;PERIODTYPE=QTR_STD&amp;SCFT=3&amp;window=popup_no_bar&amp;width=385&amp;height=120&amp;START_MAXIMIZED=FALSE&amp;creator=factset&amp;display_string=Audit"}</definedName>
    <definedName name="_169__FDSAUDITLINK__" hidden="1">{"fdsup://Directions/FactSet Auditing Viewer?action=AUDIT_VALUE&amp;DB=129&amp;ID1=78477410&amp;VALUEID=02001&amp;SDATE=201004&amp;PERIODTYPE=QTR_STD&amp;SCFT=3&amp;window=popup_no_bar&amp;width=385&amp;height=120&amp;START_MAXIMIZED=FALSE&amp;creator=factset&amp;display_string=Audit"}</definedName>
    <definedName name="_1690__FDSAUDITLINK__" localSheetId="7" hidden="1">{"fdsup://Directions/FactSet Auditing Viewer?action=AUDIT_VALUE&amp;DB=129&amp;ID1=81685010&amp;VALUEID=02001&amp;SDATE=200703&amp;PERIODTYPE=QTR_STD&amp;SCFT=3&amp;window=popup_no_bar&amp;width=385&amp;height=120&amp;START_MAXIMIZED=FALSE&amp;creator=factset&amp;display_string=Audit"}</definedName>
    <definedName name="_1690__FDSAUDITLINK__" hidden="1">{"fdsup://Directions/FactSet Auditing Viewer?action=AUDIT_VALUE&amp;DB=129&amp;ID1=81685010&amp;VALUEID=02001&amp;SDATE=200703&amp;PERIODTYPE=QTR_STD&amp;SCFT=3&amp;window=popup_no_bar&amp;width=385&amp;height=120&amp;START_MAXIMIZED=FALSE&amp;creator=factset&amp;display_string=Audit"}</definedName>
    <definedName name="_1691__FDSAUDITLINK__" localSheetId="7" hidden="1">{"fdsup://Directions/FactSet Auditing Viewer?action=AUDIT_VALUE&amp;DB=129&amp;ID1=82691910&amp;VALUEID=02001&amp;SDATE=200703&amp;PERIODTYPE=QTR_STD&amp;SCFT=3&amp;window=popup_no_bar&amp;width=385&amp;height=120&amp;START_MAXIMIZED=FALSE&amp;creator=factset&amp;display_string=Audit"}</definedName>
    <definedName name="_1691__FDSAUDITLINK__" hidden="1">{"fdsup://Directions/FactSet Auditing Viewer?action=AUDIT_VALUE&amp;DB=129&amp;ID1=82691910&amp;VALUEID=02001&amp;SDATE=200703&amp;PERIODTYPE=QTR_STD&amp;SCFT=3&amp;window=popup_no_bar&amp;width=385&amp;height=120&amp;START_MAXIMIZED=FALSE&amp;creator=factset&amp;display_string=Audit"}</definedName>
    <definedName name="_1692__FDSAUDITLINK__" localSheetId="7" hidden="1">{"fdsup://Directions/FactSet Auditing Viewer?action=AUDIT_VALUE&amp;DB=129&amp;ID1=82691910&amp;VALUEID=02001&amp;SDATE=200703&amp;PERIODTYPE=QTR_STD&amp;SCFT=3&amp;window=popup_no_bar&amp;width=385&amp;height=120&amp;START_MAXIMIZED=FALSE&amp;creator=factset&amp;display_string=Audit"}</definedName>
    <definedName name="_1692__FDSAUDITLINK__" hidden="1">{"fdsup://Directions/FactSet Auditing Viewer?action=AUDIT_VALUE&amp;DB=129&amp;ID1=82691910&amp;VALUEID=02001&amp;SDATE=200703&amp;PERIODTYPE=QTR_STD&amp;SCFT=3&amp;window=popup_no_bar&amp;width=385&amp;height=120&amp;START_MAXIMIZED=FALSE&amp;creator=factset&amp;display_string=Audit"}</definedName>
    <definedName name="_1693__FDSAUDITLINK__" localSheetId="7" hidden="1">{"fdsup://Directions/FactSet Auditing Viewer?action=AUDIT_VALUE&amp;DB=129&amp;ID1=82705T10&amp;VALUEID=02001&amp;SDATE=200703&amp;PERIODTYPE=QTR_STD&amp;SCFT=3&amp;window=popup_no_bar&amp;width=385&amp;height=120&amp;START_MAXIMIZED=FALSE&amp;creator=factset&amp;display_string=Audit"}</definedName>
    <definedName name="_1693__FDSAUDITLINK__" hidden="1">{"fdsup://Directions/FactSet Auditing Viewer?action=AUDIT_VALUE&amp;DB=129&amp;ID1=82705T10&amp;VALUEID=02001&amp;SDATE=200703&amp;PERIODTYPE=QTR_STD&amp;SCFT=3&amp;window=popup_no_bar&amp;width=385&amp;height=120&amp;START_MAXIMIZED=FALSE&amp;creator=factset&amp;display_string=Audit"}</definedName>
    <definedName name="_1694__FDSAUDITLINK__" localSheetId="7" hidden="1">{"fdsup://Directions/FactSet Auditing Viewer?action=AUDIT_VALUE&amp;DB=129&amp;ID1=82705T10&amp;VALUEID=02001&amp;SDATE=200703&amp;PERIODTYPE=QTR_STD&amp;SCFT=3&amp;window=popup_no_bar&amp;width=385&amp;height=120&amp;START_MAXIMIZED=FALSE&amp;creator=factset&amp;display_string=Audit"}</definedName>
    <definedName name="_1694__FDSAUDITLINK__" hidden="1">{"fdsup://Directions/FactSet Auditing Viewer?action=AUDIT_VALUE&amp;DB=129&amp;ID1=82705T10&amp;VALUEID=02001&amp;SDATE=200703&amp;PERIODTYPE=QTR_STD&amp;SCFT=3&amp;window=popup_no_bar&amp;width=385&amp;height=120&amp;START_MAXIMIZED=FALSE&amp;creator=factset&amp;display_string=Audit"}</definedName>
    <definedName name="_1695__FDSAUDITLINK__" localSheetId="7" hidden="1">{"fdsup://Directions/FactSet Auditing Viewer?action=AUDIT_VALUE&amp;DB=129&amp;ID1=75091710&amp;VALUEID=02001&amp;SDATE=200703&amp;PERIODTYPE=QTR_STD&amp;SCFT=3&amp;window=popup_no_bar&amp;width=385&amp;height=120&amp;START_MAXIMIZED=FALSE&amp;creator=factset&amp;display_string=Audit"}</definedName>
    <definedName name="_1695__FDSAUDITLINK__" hidden="1">{"fdsup://Directions/FactSet Auditing Viewer?action=AUDIT_VALUE&amp;DB=129&amp;ID1=75091710&amp;VALUEID=02001&amp;SDATE=200703&amp;PERIODTYPE=QTR_STD&amp;SCFT=3&amp;window=popup_no_bar&amp;width=385&amp;height=120&amp;START_MAXIMIZED=FALSE&amp;creator=factset&amp;display_string=Audit"}</definedName>
    <definedName name="_1696__FDSAUDITLINK__" localSheetId="7" hidden="1">{"fdsup://Directions/FactSet Auditing Viewer?action=AUDIT_VALUE&amp;DB=129&amp;ID1=75091710&amp;VALUEID=02001&amp;SDATE=200703&amp;PERIODTYPE=QTR_STD&amp;SCFT=3&amp;window=popup_no_bar&amp;width=385&amp;height=120&amp;START_MAXIMIZED=FALSE&amp;creator=factset&amp;display_string=Audit"}</definedName>
    <definedName name="_1696__FDSAUDITLINK__" hidden="1">{"fdsup://Directions/FactSet Auditing Viewer?action=AUDIT_VALUE&amp;DB=129&amp;ID1=75091710&amp;VALUEID=02001&amp;SDATE=200703&amp;PERIODTYPE=QTR_STD&amp;SCFT=3&amp;window=popup_no_bar&amp;width=385&amp;height=120&amp;START_MAXIMIZED=FALSE&amp;creator=factset&amp;display_string=Audit"}</definedName>
    <definedName name="_1697__FDSAUDITLINK__" localSheetId="7" hidden="1">{"fdsup://Directions/FactSet Auditing Viewer?action=AUDIT_VALUE&amp;DB=129&amp;ID1=74994110&amp;VALUEID=02001&amp;SDATE=200702&amp;PERIODTYPE=QTR_STD&amp;SCFT=3&amp;window=popup_no_bar&amp;width=385&amp;height=120&amp;START_MAXIMIZED=FALSE&amp;creator=factset&amp;display_string=Audit"}</definedName>
    <definedName name="_1697__FDSAUDITLINK__" hidden="1">{"fdsup://Directions/FactSet Auditing Viewer?action=AUDIT_VALUE&amp;DB=129&amp;ID1=74994110&amp;VALUEID=02001&amp;SDATE=200702&amp;PERIODTYPE=QTR_STD&amp;SCFT=3&amp;window=popup_no_bar&amp;width=385&amp;height=120&amp;START_MAXIMIZED=FALSE&amp;creator=factset&amp;display_string=Audit"}</definedName>
    <definedName name="_1698__FDSAUDITLINK__" localSheetId="7" hidden="1">{"fdsup://Directions/FactSet Auditing Viewer?action=AUDIT_VALUE&amp;DB=129&amp;ID1=74994110&amp;VALUEID=02001&amp;SDATE=200702&amp;PERIODTYPE=QTR_STD&amp;SCFT=3&amp;window=popup_no_bar&amp;width=385&amp;height=120&amp;START_MAXIMIZED=FALSE&amp;creator=factset&amp;display_string=Audit"}</definedName>
    <definedName name="_1698__FDSAUDITLINK__" hidden="1">{"fdsup://Directions/FactSet Auditing Viewer?action=AUDIT_VALUE&amp;DB=129&amp;ID1=74994110&amp;VALUEID=02001&amp;SDATE=200702&amp;PERIODTYPE=QTR_STD&amp;SCFT=3&amp;window=popup_no_bar&amp;width=385&amp;height=120&amp;START_MAXIMIZED=FALSE&amp;creator=factset&amp;display_string=Audit"}</definedName>
    <definedName name="_1699__FDSAUDITLINK__" localSheetId="7" hidden="1">{"fdsup://Directions/FactSet Auditing Viewer?action=AUDIT_VALUE&amp;DB=129&amp;ID1=74727710&amp;VALUEID=02001&amp;SDATE=200702&amp;PERIODTYPE=QTR_STD&amp;SCFT=3&amp;window=popup_no_bar&amp;width=385&amp;height=120&amp;START_MAXIMIZED=FALSE&amp;creator=factset&amp;display_string=Audit"}</definedName>
    <definedName name="_1699__FDSAUDITLINK__" hidden="1">{"fdsup://Directions/FactSet Auditing Viewer?action=AUDIT_VALUE&amp;DB=129&amp;ID1=74727710&amp;VALUEID=02001&amp;SDATE=200702&amp;PERIODTYPE=QTR_STD&amp;SCFT=3&amp;window=popup_no_bar&amp;width=385&amp;height=120&amp;START_MAXIMIZED=FALSE&amp;creator=factset&amp;display_string=Audit"}</definedName>
    <definedName name="_17__FDSAUDITLINK__" localSheetId="7" hidden="1">{"fdsup://Directions/FactSet Auditing Viewer?action=AUDIT_VALUE&amp;DB=129&amp;ID1=637248&amp;VALUEID=05194&amp;SDATE=201103&amp;PERIODTYPE=QTR_STD&amp;SCFT=3&amp;window=popup_no_bar&amp;width=385&amp;height=120&amp;START_MAXIMIZED=FALSE&amp;creator=factset&amp;display_string=Audit"}</definedName>
    <definedName name="_17__FDSAUDITLINK__" hidden="1">{"fdsup://Directions/FactSet Auditing Viewer?action=AUDIT_VALUE&amp;DB=129&amp;ID1=637248&amp;VALUEID=05194&amp;SDATE=201103&amp;PERIODTYPE=QTR_STD&amp;SCFT=3&amp;window=popup_no_bar&amp;width=385&amp;height=120&amp;START_MAXIMIZED=FALSE&amp;creator=factset&amp;display_string=Audit"}</definedName>
    <definedName name="_170__FDSAUDITLINK__" localSheetId="7" hidden="1">{"fdsup://Directions/FactSet Auditing Viewer?action=AUDIT_VALUE&amp;DB=129&amp;ID1=78477410&amp;VALUEID=02001&amp;SDATE=201004&amp;PERIODTYPE=QTR_STD&amp;SCFT=3&amp;window=popup_no_bar&amp;width=385&amp;height=120&amp;START_MAXIMIZED=FALSE&amp;creator=factset&amp;display_string=Audit"}</definedName>
    <definedName name="_170__FDSAUDITLINK__" hidden="1">{"fdsup://Directions/FactSet Auditing Viewer?action=AUDIT_VALUE&amp;DB=129&amp;ID1=78477410&amp;VALUEID=02001&amp;SDATE=201004&amp;PERIODTYPE=QTR_STD&amp;SCFT=3&amp;window=popup_no_bar&amp;width=385&amp;height=120&amp;START_MAXIMIZED=FALSE&amp;creator=factset&amp;display_string=Audit"}</definedName>
    <definedName name="_1700__FDSAUDITLINK__" localSheetId="7" hidden="1">{"fdsup://Directions/FactSet Auditing Viewer?action=AUDIT_VALUE&amp;DB=129&amp;ID1=74727710&amp;VALUEID=02001&amp;SDATE=200702&amp;PERIODTYPE=QTR_STD&amp;SCFT=3&amp;window=popup_no_bar&amp;width=385&amp;height=120&amp;START_MAXIMIZED=FALSE&amp;creator=factset&amp;display_string=Audit"}</definedName>
    <definedName name="_1700__FDSAUDITLINK__" hidden="1">{"fdsup://Directions/FactSet Auditing Viewer?action=AUDIT_VALUE&amp;DB=129&amp;ID1=74727710&amp;VALUEID=02001&amp;SDATE=200702&amp;PERIODTYPE=QTR_STD&amp;SCFT=3&amp;window=popup_no_bar&amp;width=385&amp;height=120&amp;START_MAXIMIZED=FALSE&amp;creator=factset&amp;display_string=Audit"}</definedName>
    <definedName name="_1701__FDSAUDITLINK__" localSheetId="7" hidden="1">{"fdsup://Directions/FactSet Auditing Viewer?action=AUDIT_VALUE&amp;DB=129&amp;ID1=72581M30&amp;VALUEID=02001&amp;SDATE=200703&amp;PERIODTYPE=QTR_STD&amp;SCFT=3&amp;window=popup_no_bar&amp;width=385&amp;height=120&amp;START_MAXIMIZED=FALSE&amp;creator=factset&amp;display_string=Audit"}</definedName>
    <definedName name="_1701__FDSAUDITLINK__" hidden="1">{"fdsup://Directions/FactSet Auditing Viewer?action=AUDIT_VALUE&amp;DB=129&amp;ID1=72581M30&amp;VALUEID=02001&amp;SDATE=200703&amp;PERIODTYPE=QTR_STD&amp;SCFT=3&amp;window=popup_no_bar&amp;width=385&amp;height=120&amp;START_MAXIMIZED=FALSE&amp;creator=factset&amp;display_string=Audit"}</definedName>
    <definedName name="_1702__FDSAUDITLINK__" localSheetId="7" hidden="1">{"fdsup://Directions/FactSet Auditing Viewer?action=AUDIT_VALUE&amp;DB=129&amp;ID1=72581M30&amp;VALUEID=02001&amp;SDATE=200703&amp;PERIODTYPE=QTR_STD&amp;SCFT=3&amp;window=popup_no_bar&amp;width=385&amp;height=120&amp;START_MAXIMIZED=FALSE&amp;creator=factset&amp;display_string=Audit"}</definedName>
    <definedName name="_1702__FDSAUDITLINK__" hidden="1">{"fdsup://Directions/FactSet Auditing Viewer?action=AUDIT_VALUE&amp;DB=129&amp;ID1=72581M30&amp;VALUEID=02001&amp;SDATE=200703&amp;PERIODTYPE=QTR_STD&amp;SCFT=3&amp;window=popup_no_bar&amp;width=385&amp;height=120&amp;START_MAXIMIZED=FALSE&amp;creator=factset&amp;display_string=Audit"}</definedName>
    <definedName name="_1703__FDSAUDITLINK__" localSheetId="7" hidden="1">{"fdsup://Directions/FactSet Auditing Viewer?action=AUDIT_VALUE&amp;DB=129&amp;ID1=73927610&amp;VALUEID=02001&amp;SDATE=200703&amp;PERIODTYPE=QTR_STD&amp;SCFT=3&amp;window=popup_no_bar&amp;width=385&amp;height=120&amp;START_MAXIMIZED=FALSE&amp;creator=factset&amp;display_string=Audit"}</definedName>
    <definedName name="_1703__FDSAUDITLINK__" hidden="1">{"fdsup://Directions/FactSet Auditing Viewer?action=AUDIT_VALUE&amp;DB=129&amp;ID1=73927610&amp;VALUEID=02001&amp;SDATE=200703&amp;PERIODTYPE=QTR_STD&amp;SCFT=3&amp;window=popup_no_bar&amp;width=385&amp;height=120&amp;START_MAXIMIZED=FALSE&amp;creator=factset&amp;display_string=Audit"}</definedName>
    <definedName name="_1704__FDSAUDITLINK__" localSheetId="7" hidden="1">{"fdsup://Directions/FactSet Auditing Viewer?action=AUDIT_VALUE&amp;DB=129&amp;ID1=73927610&amp;VALUEID=02001&amp;SDATE=200703&amp;PERIODTYPE=QTR_STD&amp;SCFT=3&amp;window=popup_no_bar&amp;width=385&amp;height=120&amp;START_MAXIMIZED=FALSE&amp;creator=factset&amp;display_string=Audit"}</definedName>
    <definedName name="_1704__FDSAUDITLINK__" hidden="1">{"fdsup://Directions/FactSet Auditing Viewer?action=AUDIT_VALUE&amp;DB=129&amp;ID1=73927610&amp;VALUEID=02001&amp;SDATE=200703&amp;PERIODTYPE=QTR_STD&amp;SCFT=3&amp;window=popup_no_bar&amp;width=385&amp;height=120&amp;START_MAXIMIZED=FALSE&amp;creator=factset&amp;display_string=Audit"}</definedName>
    <definedName name="_1705__FDSAUDITLINK__" localSheetId="7" hidden="1">{"fdsup://Directions/FactSet Auditing Viewer?action=AUDIT_VALUE&amp;DB=129&amp;ID1=69344F10&amp;VALUEID=02001&amp;SDATE=200703&amp;PERIODTYPE=QTR_STD&amp;SCFT=3&amp;window=popup_no_bar&amp;width=385&amp;height=120&amp;START_MAXIMIZED=FALSE&amp;creator=factset&amp;display_string=Audit"}</definedName>
    <definedName name="_1705__FDSAUDITLINK__" hidden="1">{"fdsup://Directions/FactSet Auditing Viewer?action=AUDIT_VALUE&amp;DB=129&amp;ID1=69344F10&amp;VALUEID=02001&amp;SDATE=200703&amp;PERIODTYPE=QTR_STD&amp;SCFT=3&amp;window=popup_no_bar&amp;width=385&amp;height=120&amp;START_MAXIMIZED=FALSE&amp;creator=factset&amp;display_string=Audit"}</definedName>
    <definedName name="_1706__FDSAUDITLINK__" localSheetId="7" hidden="1">{"fdsup://Directions/FactSet Auditing Viewer?action=AUDIT_VALUE&amp;DB=129&amp;ID1=69344F10&amp;VALUEID=02001&amp;SDATE=200703&amp;PERIODTYPE=QTR_STD&amp;SCFT=3&amp;window=popup_no_bar&amp;width=385&amp;height=120&amp;START_MAXIMIZED=FALSE&amp;creator=factset&amp;display_string=Audit"}</definedName>
    <definedName name="_1706__FDSAUDITLINK__" hidden="1">{"fdsup://Directions/FactSet Auditing Viewer?action=AUDIT_VALUE&amp;DB=129&amp;ID1=69344F10&amp;VALUEID=02001&amp;SDATE=200703&amp;PERIODTYPE=QTR_STD&amp;SCFT=3&amp;window=popup_no_bar&amp;width=385&amp;height=120&amp;START_MAXIMIZED=FALSE&amp;creator=factset&amp;display_string=Audit"}</definedName>
    <definedName name="_1707__FDSAUDITLINK__" localSheetId="7" hidden="1">{"fdsup://Directions/FactSet Auditing Viewer?action=AUDIT_VALUE&amp;DB=129&amp;ID1=69341710&amp;VALUEID=02001&amp;SDATE=200703&amp;PERIODTYPE=QTR_STD&amp;SCFT=3&amp;window=popup_no_bar&amp;width=385&amp;height=120&amp;START_MAXIMIZED=FALSE&amp;creator=factset&amp;display_string=Audit"}</definedName>
    <definedName name="_1707__FDSAUDITLINK__" hidden="1">{"fdsup://Directions/FactSet Auditing Viewer?action=AUDIT_VALUE&amp;DB=129&amp;ID1=69341710&amp;VALUEID=02001&amp;SDATE=200703&amp;PERIODTYPE=QTR_STD&amp;SCFT=3&amp;window=popup_no_bar&amp;width=385&amp;height=120&amp;START_MAXIMIZED=FALSE&amp;creator=factset&amp;display_string=Audit"}</definedName>
    <definedName name="_1708__FDSAUDITLINK__" localSheetId="7" hidden="1">{"fdsup://Directions/FactSet Auditing Viewer?action=AUDIT_VALUE&amp;DB=129&amp;ID1=69341710&amp;VALUEID=02001&amp;SDATE=200703&amp;PERIODTYPE=QTR_STD&amp;SCFT=3&amp;window=popup_no_bar&amp;width=385&amp;height=120&amp;START_MAXIMIZED=FALSE&amp;creator=factset&amp;display_string=Audit"}</definedName>
    <definedName name="_1708__FDSAUDITLINK__" hidden="1">{"fdsup://Directions/FactSet Auditing Viewer?action=AUDIT_VALUE&amp;DB=129&amp;ID1=69341710&amp;VALUEID=02001&amp;SDATE=200703&amp;PERIODTYPE=QTR_STD&amp;SCFT=3&amp;window=popup_no_bar&amp;width=385&amp;height=120&amp;START_MAXIMIZED=FALSE&amp;creator=factset&amp;display_string=Audit"}</definedName>
    <definedName name="_1709__FDSAUDITLINK__" localSheetId="7" hidden="1">{"fdsup://Directions/FactSet Auditing Viewer?action=AUDIT_VALUE&amp;DB=129&amp;ID1=68218910&amp;VALUEID=02001&amp;SDATE=200703&amp;PERIODTYPE=QTR_STD&amp;SCFT=3&amp;window=popup_no_bar&amp;width=385&amp;height=120&amp;START_MAXIMIZED=FALSE&amp;creator=factset&amp;display_string=Audit"}</definedName>
    <definedName name="_1709__FDSAUDITLINK__" hidden="1">{"fdsup://Directions/FactSet Auditing Viewer?action=AUDIT_VALUE&amp;DB=129&amp;ID1=68218910&amp;VALUEID=02001&amp;SDATE=200703&amp;PERIODTYPE=QTR_STD&amp;SCFT=3&amp;window=popup_no_bar&amp;width=385&amp;height=120&amp;START_MAXIMIZED=FALSE&amp;creator=factset&amp;display_string=Audit"}</definedName>
    <definedName name="_171__FDSAUDITLINK__" localSheetId="7" hidden="1">{"fdsup://Directions/FactSet Auditing Viewer?action=AUDIT_VALUE&amp;DB=129&amp;ID1=87160710&amp;VALUEID=02001&amp;SDATE=201101&amp;PERIODTYPE=QTR_STD&amp;SCFT=3&amp;window=popup_no_bar&amp;width=385&amp;height=120&amp;START_MAXIMIZED=FALSE&amp;creator=factset&amp;display_string=Audit"}</definedName>
    <definedName name="_171__FDSAUDITLINK__" hidden="1">{"fdsup://Directions/FactSet Auditing Viewer?action=AUDIT_VALUE&amp;DB=129&amp;ID1=87160710&amp;VALUEID=02001&amp;SDATE=201101&amp;PERIODTYPE=QTR_STD&amp;SCFT=3&amp;window=popup_no_bar&amp;width=385&amp;height=120&amp;START_MAXIMIZED=FALSE&amp;creator=factset&amp;display_string=Audit"}</definedName>
    <definedName name="_1710__FDSAUDITLINK__" localSheetId="7" hidden="1">{"fdsup://Directions/FactSet Auditing Viewer?action=AUDIT_VALUE&amp;DB=129&amp;ID1=68218910&amp;VALUEID=02001&amp;SDATE=200703&amp;PERIODTYPE=QTR_STD&amp;SCFT=3&amp;window=popup_no_bar&amp;width=385&amp;height=120&amp;START_MAXIMIZED=FALSE&amp;creator=factset&amp;display_string=Audit"}</definedName>
    <definedName name="_1710__FDSAUDITLINK__" hidden="1">{"fdsup://Directions/FactSet Auditing Viewer?action=AUDIT_VALUE&amp;DB=129&amp;ID1=68218910&amp;VALUEID=02001&amp;SDATE=200703&amp;PERIODTYPE=QTR_STD&amp;SCFT=3&amp;window=popup_no_bar&amp;width=385&amp;height=120&amp;START_MAXIMIZED=FALSE&amp;creator=factset&amp;display_string=Audit"}</definedName>
    <definedName name="_1711__FDSAUDITLINK__" localSheetId="7" hidden="1">{"fdsup://Directions/FactSet Auditing Viewer?action=AUDIT_VALUE&amp;DB=129&amp;ID1=67000810&amp;VALUEID=02001&amp;SDATE=200703&amp;PERIODTYPE=QTR_STD&amp;SCFT=3&amp;window=popup_no_bar&amp;width=385&amp;height=120&amp;START_MAXIMIZED=FALSE&amp;creator=factset&amp;display_string=Audit"}</definedName>
    <definedName name="_1711__FDSAUDITLINK__" hidden="1">{"fdsup://Directions/FactSet Auditing Viewer?action=AUDIT_VALUE&amp;DB=129&amp;ID1=67000810&amp;VALUEID=02001&amp;SDATE=200703&amp;PERIODTYPE=QTR_STD&amp;SCFT=3&amp;window=popup_no_bar&amp;width=385&amp;height=120&amp;START_MAXIMIZED=FALSE&amp;creator=factset&amp;display_string=Audit"}</definedName>
    <definedName name="_1712__FDSAUDITLINK__" localSheetId="7" hidden="1">{"fdsup://Directions/FactSet Auditing Viewer?action=AUDIT_VALUE&amp;DB=129&amp;ID1=67000810&amp;VALUEID=02001&amp;SDATE=200703&amp;PERIODTYPE=QTR_STD&amp;SCFT=3&amp;window=popup_no_bar&amp;width=385&amp;height=120&amp;START_MAXIMIZED=FALSE&amp;creator=factset&amp;display_string=Audit"}</definedName>
    <definedName name="_1712__FDSAUDITLINK__" hidden="1">{"fdsup://Directions/FactSet Auditing Viewer?action=AUDIT_VALUE&amp;DB=129&amp;ID1=67000810&amp;VALUEID=02001&amp;SDATE=200703&amp;PERIODTYPE=QTR_STD&amp;SCFT=3&amp;window=popup_no_bar&amp;width=385&amp;height=120&amp;START_MAXIMIZED=FALSE&amp;creator=factset&amp;display_string=Audit"}</definedName>
    <definedName name="_1713__FDSAUDITLINK__" localSheetId="7" hidden="1">{"fdsup://Directions/FactSet Auditing Viewer?action=AUDIT_VALUE&amp;DB=129&amp;ID1=67066G10&amp;VALUEID=02001&amp;SDATE=200703&amp;PERIODTYPE=QTR_STD&amp;SCFT=3&amp;window=popup_no_bar&amp;width=385&amp;height=120&amp;START_MAXIMIZED=FALSE&amp;creator=factset&amp;display_string=Audit"}</definedName>
    <definedName name="_1713__FDSAUDITLINK__" hidden="1">{"fdsup://Directions/FactSet Auditing Viewer?action=AUDIT_VALUE&amp;DB=129&amp;ID1=67066G10&amp;VALUEID=02001&amp;SDATE=200703&amp;PERIODTYPE=QTR_STD&amp;SCFT=3&amp;window=popup_no_bar&amp;width=385&amp;height=120&amp;START_MAXIMIZED=FALSE&amp;creator=factset&amp;display_string=Audit"}</definedName>
    <definedName name="_1714__FDSAUDITLINK__" localSheetId="7" hidden="1">{"fdsup://Directions/FactSet Auditing Viewer?action=AUDIT_VALUE&amp;DB=129&amp;ID1=67066G10&amp;VALUEID=02001&amp;SDATE=200703&amp;PERIODTYPE=QTR_STD&amp;SCFT=3&amp;window=popup_no_bar&amp;width=385&amp;height=120&amp;START_MAXIMIZED=FALSE&amp;creator=factset&amp;display_string=Audit"}</definedName>
    <definedName name="_1714__FDSAUDITLINK__" hidden="1">{"fdsup://Directions/FactSet Auditing Viewer?action=AUDIT_VALUE&amp;DB=129&amp;ID1=67066G10&amp;VALUEID=02001&amp;SDATE=200703&amp;PERIODTYPE=QTR_STD&amp;SCFT=3&amp;window=popup_no_bar&amp;width=385&amp;height=120&amp;START_MAXIMIZED=FALSE&amp;creator=factset&amp;display_string=Audit"}</definedName>
    <definedName name="_1715__FDSAUDITLINK__" localSheetId="7" hidden="1">{"fdsup://Directions/FactSet Auditing Viewer?action=AUDIT_VALUE&amp;DB=129&amp;ID1=63764010&amp;VALUEID=02001&amp;SDATE=200701&amp;PERIODTYPE=QTR_STD&amp;SCFT=3&amp;window=popup_no_bar&amp;width=385&amp;height=120&amp;START_MAXIMIZED=FALSE&amp;creator=factset&amp;display_string=Audit"}</definedName>
    <definedName name="_1715__FDSAUDITLINK__" hidden="1">{"fdsup://Directions/FactSet Auditing Viewer?action=AUDIT_VALUE&amp;DB=129&amp;ID1=63764010&amp;VALUEID=02001&amp;SDATE=200701&amp;PERIODTYPE=QTR_STD&amp;SCFT=3&amp;window=popup_no_bar&amp;width=385&amp;height=120&amp;START_MAXIMIZED=FALSE&amp;creator=factset&amp;display_string=Audit"}</definedName>
    <definedName name="_1716__FDSAUDITLINK__" localSheetId="7" hidden="1">{"fdsup://Directions/FactSet Auditing Viewer?action=AUDIT_VALUE&amp;DB=129&amp;ID1=63764010&amp;VALUEID=02001&amp;SDATE=200701&amp;PERIODTYPE=QTR_STD&amp;SCFT=3&amp;window=popup_no_bar&amp;width=385&amp;height=120&amp;START_MAXIMIZED=FALSE&amp;creator=factset&amp;display_string=Audit"}</definedName>
    <definedName name="_1716__FDSAUDITLINK__" hidden="1">{"fdsup://Directions/FactSet Auditing Viewer?action=AUDIT_VALUE&amp;DB=129&amp;ID1=63764010&amp;VALUEID=02001&amp;SDATE=200701&amp;PERIODTYPE=QTR_STD&amp;SCFT=3&amp;window=popup_no_bar&amp;width=385&amp;height=120&amp;START_MAXIMIZED=FALSE&amp;creator=factset&amp;display_string=Audit"}</definedName>
    <definedName name="_1717__FDSAUDITLINK__" localSheetId="7" hidden="1">{"fdsup://Directions/FactSet Auditing Viewer?action=AUDIT_VALUE&amp;DB=129&amp;ID1=64118B10&amp;VALUEID=02001&amp;SDATE=200703&amp;PERIODTYPE=QTR_STD&amp;SCFT=3&amp;window=popup_no_bar&amp;width=385&amp;height=120&amp;START_MAXIMIZED=FALSE&amp;creator=factset&amp;display_string=Audit"}</definedName>
    <definedName name="_1717__FDSAUDITLINK__" hidden="1">{"fdsup://Directions/FactSet Auditing Viewer?action=AUDIT_VALUE&amp;DB=129&amp;ID1=64118B10&amp;VALUEID=02001&amp;SDATE=200703&amp;PERIODTYPE=QTR_STD&amp;SCFT=3&amp;window=popup_no_bar&amp;width=385&amp;height=120&amp;START_MAXIMIZED=FALSE&amp;creator=factset&amp;display_string=Audit"}</definedName>
    <definedName name="_1718__FDSAUDITLINK__" localSheetId="7" hidden="1">{"fdsup://Directions/FactSet Auditing Viewer?action=AUDIT_VALUE&amp;DB=129&amp;ID1=64118B10&amp;VALUEID=02001&amp;SDATE=200703&amp;PERIODTYPE=QTR_STD&amp;SCFT=3&amp;window=popup_no_bar&amp;width=385&amp;height=120&amp;START_MAXIMIZED=FALSE&amp;creator=factset&amp;display_string=Audit"}</definedName>
    <definedName name="_1718__FDSAUDITLINK__" hidden="1">{"fdsup://Directions/FactSet Auditing Viewer?action=AUDIT_VALUE&amp;DB=129&amp;ID1=64118B10&amp;VALUEID=02001&amp;SDATE=200703&amp;PERIODTYPE=QTR_STD&amp;SCFT=3&amp;window=popup_no_bar&amp;width=385&amp;height=120&amp;START_MAXIMIZED=FALSE&amp;creator=factset&amp;display_string=Audit"}</definedName>
    <definedName name="_1719__FDSAUDITLINK__" localSheetId="7" hidden="1">{"fdsup://Directions/FactSet Auditing Viewer?action=AUDIT_VALUE&amp;DB=129&amp;ID1=57772K10&amp;VALUEID=02001&amp;SDATE=200801&amp;PERIODTYPE=QTR_STD&amp;SCFT=3&amp;window=popup_no_bar&amp;width=385&amp;height=120&amp;START_MAXIMIZED=FALSE&amp;creator=factset&amp;display_string=Audit"}</definedName>
    <definedName name="_1719__FDSAUDITLINK__" hidden="1">{"fdsup://Directions/FactSet Auditing Viewer?action=AUDIT_VALUE&amp;DB=129&amp;ID1=57772K10&amp;VALUEID=02001&amp;SDATE=200801&amp;PERIODTYPE=QTR_STD&amp;SCFT=3&amp;window=popup_no_bar&amp;width=385&amp;height=120&amp;START_MAXIMIZED=FALSE&amp;creator=factset&amp;display_string=Audit"}</definedName>
    <definedName name="_172__FDSAUDITLINK__" localSheetId="7" hidden="1">{"fdsup://Directions/FactSet Auditing Viewer?action=AUDIT_VALUE&amp;DB=129&amp;ID1=87160710&amp;VALUEID=02001&amp;SDATE=201101&amp;PERIODTYPE=QTR_STD&amp;SCFT=3&amp;window=popup_no_bar&amp;width=385&amp;height=120&amp;START_MAXIMIZED=FALSE&amp;creator=factset&amp;display_string=Audit"}</definedName>
    <definedName name="_172__FDSAUDITLINK__" hidden="1">{"fdsup://Directions/FactSet Auditing Viewer?action=AUDIT_VALUE&amp;DB=129&amp;ID1=87160710&amp;VALUEID=02001&amp;SDATE=201101&amp;PERIODTYPE=QTR_STD&amp;SCFT=3&amp;window=popup_no_bar&amp;width=385&amp;height=120&amp;START_MAXIMIZED=FALSE&amp;creator=factset&amp;display_string=Audit"}</definedName>
    <definedName name="_1720__FDSAUDITLINK__" localSheetId="7" hidden="1">{"fdsup://Directions/FactSet Auditing Viewer?action=AUDIT_VALUE&amp;DB=129&amp;ID1=57772K10&amp;VALUEID=02001&amp;SDATE=200801&amp;PERIODTYPE=QTR_STD&amp;SCFT=3&amp;window=popup_no_bar&amp;width=385&amp;height=120&amp;START_MAXIMIZED=FALSE&amp;creator=factset&amp;display_string=Audit"}</definedName>
    <definedName name="_1720__FDSAUDITLINK__" hidden="1">{"fdsup://Directions/FactSet Auditing Viewer?action=AUDIT_VALUE&amp;DB=129&amp;ID1=57772K10&amp;VALUEID=02001&amp;SDATE=200801&amp;PERIODTYPE=QTR_STD&amp;SCFT=3&amp;window=popup_no_bar&amp;width=385&amp;height=120&amp;START_MAXIMIZED=FALSE&amp;creator=factset&amp;display_string=Audit"}</definedName>
    <definedName name="_1721__FDSAUDITLINK__" localSheetId="7" hidden="1">{"fdsup://Directions/FactSet Auditing Viewer?action=AUDIT_VALUE&amp;DB=129&amp;ID1=G5876H10&amp;VALUEID=02001&amp;SDATE=200703&amp;PERIODTYPE=QTR_STD&amp;SCFT=3&amp;window=popup_no_bar&amp;width=385&amp;height=120&amp;START_MAXIMIZED=FALSE&amp;creator=factset&amp;display_string=Audit"}</definedName>
    <definedName name="_1721__FDSAUDITLINK__" hidden="1">{"fdsup://Directions/FactSet Auditing Viewer?action=AUDIT_VALUE&amp;DB=129&amp;ID1=G5876H10&amp;VALUEID=02001&amp;SDATE=200703&amp;PERIODTYPE=QTR_STD&amp;SCFT=3&amp;window=popup_no_bar&amp;width=385&amp;height=120&amp;START_MAXIMIZED=FALSE&amp;creator=factset&amp;display_string=Audit"}</definedName>
    <definedName name="_1722__FDSAUDITLINK__" localSheetId="7" hidden="1">{"fdsup://Directions/FactSet Auditing Viewer?action=AUDIT_VALUE&amp;DB=129&amp;ID1=G5876H10&amp;VALUEID=02001&amp;SDATE=200703&amp;PERIODTYPE=QTR_STD&amp;SCFT=3&amp;window=popup_no_bar&amp;width=385&amp;height=120&amp;START_MAXIMIZED=FALSE&amp;creator=factset&amp;display_string=Audit"}</definedName>
    <definedName name="_1722__FDSAUDITLINK__" hidden="1">{"fdsup://Directions/FactSet Auditing Viewer?action=AUDIT_VALUE&amp;DB=129&amp;ID1=G5876H10&amp;VALUEID=02001&amp;SDATE=200703&amp;PERIODTYPE=QTR_STD&amp;SCFT=3&amp;window=popup_no_bar&amp;width=385&amp;height=120&amp;START_MAXIMIZED=FALSE&amp;creator=factset&amp;display_string=Audit"}</definedName>
    <definedName name="_1723__FDSAUDITLINK__" localSheetId="7" hidden="1">{"fdsup://Directions/FactSet Auditing Viewer?action=AUDIT_VALUE&amp;DB=129&amp;ID1=62007630&amp;VALUEID=02001&amp;SDATE=200703&amp;PERIODTYPE=QTR_STD&amp;SCFT=3&amp;window=popup_no_bar&amp;width=385&amp;height=120&amp;START_MAXIMIZED=FALSE&amp;creator=factset&amp;display_string=Audit"}</definedName>
    <definedName name="_1723__FDSAUDITLINK__" hidden="1">{"fdsup://Directions/FactSet Auditing Viewer?action=AUDIT_VALUE&amp;DB=129&amp;ID1=62007630&amp;VALUEID=02001&amp;SDATE=200703&amp;PERIODTYPE=QTR_STD&amp;SCFT=3&amp;window=popup_no_bar&amp;width=385&amp;height=120&amp;START_MAXIMIZED=FALSE&amp;creator=factset&amp;display_string=Audit"}</definedName>
    <definedName name="_1724__FDSAUDITLINK__" localSheetId="7" hidden="1">{"fdsup://Directions/FactSet Auditing Viewer?action=AUDIT_VALUE&amp;DB=129&amp;ID1=62007630&amp;VALUEID=02001&amp;SDATE=200703&amp;PERIODTYPE=QTR_STD&amp;SCFT=3&amp;window=popup_no_bar&amp;width=385&amp;height=120&amp;START_MAXIMIZED=FALSE&amp;creator=factset&amp;display_string=Audit"}</definedName>
    <definedName name="_1724__FDSAUDITLINK__" hidden="1">{"fdsup://Directions/FactSet Auditing Viewer?action=AUDIT_VALUE&amp;DB=129&amp;ID1=62007630&amp;VALUEID=02001&amp;SDATE=200703&amp;PERIODTYPE=QTR_STD&amp;SCFT=3&amp;window=popup_no_bar&amp;width=385&amp;height=120&amp;START_MAXIMIZED=FALSE&amp;creator=factset&amp;display_string=Audit"}</definedName>
    <definedName name="_1725__FDSAUDITLINK__" localSheetId="7" hidden="1">{"fdsup://Directions/FactSet Auditing Viewer?action=AUDIT_VALUE&amp;DB=129&amp;ID1=60456710&amp;VALUEID=02001&amp;SDATE=200801&amp;PERIODTYPE=QTR_STD&amp;SCFT=3&amp;window=popup_no_bar&amp;width=385&amp;height=120&amp;START_MAXIMIZED=FALSE&amp;creator=factset&amp;display_string=Audit"}</definedName>
    <definedName name="_1725__FDSAUDITLINK__" hidden="1">{"fdsup://Directions/FactSet Auditing Viewer?action=AUDIT_VALUE&amp;DB=129&amp;ID1=60456710&amp;VALUEID=02001&amp;SDATE=200801&amp;PERIODTYPE=QTR_STD&amp;SCFT=3&amp;window=popup_no_bar&amp;width=385&amp;height=120&amp;START_MAXIMIZED=FALSE&amp;creator=factset&amp;display_string=Audit"}</definedName>
    <definedName name="_1726__FDSAUDITLINK__" localSheetId="7" hidden="1">{"fdsup://Directions/FactSet Auditing Viewer?action=AUDIT_VALUE&amp;DB=129&amp;ID1=60456710&amp;VALUEID=02001&amp;SDATE=200801&amp;PERIODTYPE=QTR_STD&amp;SCFT=3&amp;window=popup_no_bar&amp;width=385&amp;height=120&amp;START_MAXIMIZED=FALSE&amp;creator=factset&amp;display_string=Audit"}</definedName>
    <definedName name="_1726__FDSAUDITLINK__" hidden="1">{"fdsup://Directions/FactSet Auditing Viewer?action=AUDIT_VALUE&amp;DB=129&amp;ID1=60456710&amp;VALUEID=02001&amp;SDATE=200801&amp;PERIODTYPE=QTR_STD&amp;SCFT=3&amp;window=popup_no_bar&amp;width=385&amp;height=120&amp;START_MAXIMIZED=FALSE&amp;creator=factset&amp;display_string=Audit"}</definedName>
    <definedName name="_1727__FDSAUDITLINK__" localSheetId="7" hidden="1">{"fdsup://Directions/FactSet Auditing Viewer?action=AUDIT_VALUE&amp;DB=129&amp;ID1=59479310&amp;VALUEID=02001&amp;SDATE=200703&amp;PERIODTYPE=QTR_STD&amp;SCFT=3&amp;window=popup_no_bar&amp;width=385&amp;height=120&amp;START_MAXIMIZED=FALSE&amp;creator=factset&amp;display_string=Audit"}</definedName>
    <definedName name="_1727__FDSAUDITLINK__" hidden="1">{"fdsup://Directions/FactSet Auditing Viewer?action=AUDIT_VALUE&amp;DB=129&amp;ID1=59479310&amp;VALUEID=02001&amp;SDATE=200703&amp;PERIODTYPE=QTR_STD&amp;SCFT=3&amp;window=popup_no_bar&amp;width=385&amp;height=120&amp;START_MAXIMIZED=FALSE&amp;creator=factset&amp;display_string=Audit"}</definedName>
    <definedName name="_1728__FDSAUDITLINK__" localSheetId="7" hidden="1">{"fdsup://Directions/FactSet Auditing Viewer?action=AUDIT_VALUE&amp;DB=129&amp;ID1=59479310&amp;VALUEID=02001&amp;SDATE=200703&amp;PERIODTYPE=QTR_STD&amp;SCFT=3&amp;window=popup_no_bar&amp;width=385&amp;height=120&amp;START_MAXIMIZED=FALSE&amp;creator=factset&amp;display_string=Audit"}</definedName>
    <definedName name="_1728__FDSAUDITLINK__" hidden="1">{"fdsup://Directions/FactSet Auditing Viewer?action=AUDIT_VALUE&amp;DB=129&amp;ID1=59479310&amp;VALUEID=02001&amp;SDATE=200703&amp;PERIODTYPE=QTR_STD&amp;SCFT=3&amp;window=popup_no_bar&amp;width=385&amp;height=120&amp;START_MAXIMIZED=FALSE&amp;creator=factset&amp;display_string=Audit"}</definedName>
    <definedName name="_1729__FDSAUDITLINK__" localSheetId="7" hidden="1">{"fdsup://Directions/FactSet Auditing Viewer?action=AUDIT_VALUE&amp;DB=129&amp;ID1=59501710&amp;VALUEID=02001&amp;SDATE=200702&amp;PERIODTYPE=QTR_STD&amp;SCFT=3&amp;window=popup_no_bar&amp;width=385&amp;height=120&amp;START_MAXIMIZED=FALSE&amp;creator=factset&amp;display_string=Audit"}</definedName>
    <definedName name="_1729__FDSAUDITLINK__" hidden="1">{"fdsup://Directions/FactSet Auditing Viewer?action=AUDIT_VALUE&amp;DB=129&amp;ID1=59501710&amp;VALUEID=02001&amp;SDATE=200702&amp;PERIODTYPE=QTR_STD&amp;SCFT=3&amp;window=popup_no_bar&amp;width=385&amp;height=120&amp;START_MAXIMIZED=FALSE&amp;creator=factset&amp;display_string=Audit"}</definedName>
    <definedName name="_173__FDSAUDITLINK__" localSheetId="7" hidden="1">{"fdsup://Directions/FactSet Auditing Viewer?action=AUDIT_VALUE&amp;DB=129&amp;ID1=80004C10&amp;VALUEID=02001&amp;SDATE=201004&amp;PERIODTYPE=QTR_STD&amp;SCFT=3&amp;window=popup_no_bar&amp;width=385&amp;height=120&amp;START_MAXIMIZED=FALSE&amp;creator=factset&amp;display_string=Audit"}</definedName>
    <definedName name="_173__FDSAUDITLINK__" hidden="1">{"fdsup://Directions/FactSet Auditing Viewer?action=AUDIT_VALUE&amp;DB=129&amp;ID1=80004C10&amp;VALUEID=02001&amp;SDATE=201004&amp;PERIODTYPE=QTR_STD&amp;SCFT=3&amp;window=popup_no_bar&amp;width=385&amp;height=120&amp;START_MAXIMIZED=FALSE&amp;creator=factset&amp;display_string=Audit"}</definedName>
    <definedName name="_1730__FDSAUDITLINK__" localSheetId="7" hidden="1">{"fdsup://Directions/FactSet Auditing Viewer?action=AUDIT_VALUE&amp;DB=129&amp;ID1=59501710&amp;VALUEID=02001&amp;SDATE=200702&amp;PERIODTYPE=QTR_STD&amp;SCFT=3&amp;window=popup_no_bar&amp;width=385&amp;height=120&amp;START_MAXIMIZED=FALSE&amp;creator=factset&amp;display_string=Audit"}</definedName>
    <definedName name="_1730__FDSAUDITLINK__" hidden="1">{"fdsup://Directions/FactSet Auditing Viewer?action=AUDIT_VALUE&amp;DB=129&amp;ID1=59501710&amp;VALUEID=02001&amp;SDATE=200702&amp;PERIODTYPE=QTR_STD&amp;SCFT=3&amp;window=popup_no_bar&amp;width=385&amp;height=120&amp;START_MAXIMIZED=FALSE&amp;creator=factset&amp;display_string=Audit"}</definedName>
    <definedName name="_1731__FDSAUDITLINK__" localSheetId="7" hidden="1">{"fdsup://Directions/FactSet Auditing Viewer?action=AUDIT_VALUE&amp;DB=129&amp;ID1=50216110&amp;VALUEID=02001&amp;SDATE=200703&amp;PERIODTYPE=QTR_STD&amp;SCFT=3&amp;window=popup_no_bar&amp;width=385&amp;height=120&amp;START_MAXIMIZED=FALSE&amp;creator=factset&amp;display_string=Audit"}</definedName>
    <definedName name="_1731__FDSAUDITLINK__" hidden="1">{"fdsup://Directions/FactSet Auditing Viewer?action=AUDIT_VALUE&amp;DB=129&amp;ID1=50216110&amp;VALUEID=02001&amp;SDATE=200703&amp;PERIODTYPE=QTR_STD&amp;SCFT=3&amp;window=popup_no_bar&amp;width=385&amp;height=120&amp;START_MAXIMIZED=FALSE&amp;creator=factset&amp;display_string=Audit"}</definedName>
    <definedName name="_1732__FDSAUDITLINK__" localSheetId="7" hidden="1">{"fdsup://Directions/FactSet Auditing Viewer?action=AUDIT_VALUE&amp;DB=129&amp;ID1=50216110&amp;VALUEID=02001&amp;SDATE=200703&amp;PERIODTYPE=QTR_STD&amp;SCFT=3&amp;window=popup_no_bar&amp;width=385&amp;height=120&amp;START_MAXIMIZED=FALSE&amp;creator=factset&amp;display_string=Audit"}</definedName>
    <definedName name="_1732__FDSAUDITLINK__" hidden="1">{"fdsup://Directions/FactSet Auditing Viewer?action=AUDIT_VALUE&amp;DB=129&amp;ID1=50216110&amp;VALUEID=02001&amp;SDATE=200703&amp;PERIODTYPE=QTR_STD&amp;SCFT=3&amp;window=popup_no_bar&amp;width=385&amp;height=120&amp;START_MAXIMIZED=FALSE&amp;creator=factset&amp;display_string=Audit"}</definedName>
    <definedName name="_1733__FDSAUDITLINK__" localSheetId="7" hidden="1">{"fdsup://Directions/FactSet Auditing Viewer?action=AUDIT_VALUE&amp;DB=129&amp;ID1=51841510&amp;VALUEID=02001&amp;SDATE=200703&amp;PERIODTYPE=QTR_STD&amp;SCFT=3&amp;window=popup_no_bar&amp;width=385&amp;height=120&amp;START_MAXIMIZED=FALSE&amp;creator=factset&amp;display_string=Audit"}</definedName>
    <definedName name="_1733__FDSAUDITLINK__" hidden="1">{"fdsup://Directions/FactSet Auditing Viewer?action=AUDIT_VALUE&amp;DB=129&amp;ID1=51841510&amp;VALUEID=02001&amp;SDATE=200703&amp;PERIODTYPE=QTR_STD&amp;SCFT=3&amp;window=popup_no_bar&amp;width=385&amp;height=120&amp;START_MAXIMIZED=FALSE&amp;creator=factset&amp;display_string=Audit"}</definedName>
    <definedName name="_1734__FDSAUDITLINK__" localSheetId="7" hidden="1">{"fdsup://Directions/FactSet Auditing Viewer?action=AUDIT_VALUE&amp;DB=129&amp;ID1=51841510&amp;VALUEID=02001&amp;SDATE=200703&amp;PERIODTYPE=QTR_STD&amp;SCFT=3&amp;window=popup_no_bar&amp;width=385&amp;height=120&amp;START_MAXIMIZED=FALSE&amp;creator=factset&amp;display_string=Audit"}</definedName>
    <definedName name="_1734__FDSAUDITLINK__" hidden="1">{"fdsup://Directions/FactSet Auditing Viewer?action=AUDIT_VALUE&amp;DB=129&amp;ID1=51841510&amp;VALUEID=02001&amp;SDATE=200703&amp;PERIODTYPE=QTR_STD&amp;SCFT=3&amp;window=popup_no_bar&amp;width=385&amp;height=120&amp;START_MAXIMIZED=FALSE&amp;creator=factset&amp;display_string=Audit"}</definedName>
    <definedName name="_1735__FDSAUDITLINK__" localSheetId="7" hidden="1">{"fdsup://Directions/FactSet Auditing Viewer?action=AUDIT_VALUE&amp;DB=129&amp;ID1=51280710&amp;VALUEID=02001&amp;SDATE=200801&amp;PERIODTYPE=QTR_STD&amp;SCFT=3&amp;window=popup_no_bar&amp;width=385&amp;height=120&amp;START_MAXIMIZED=FALSE&amp;creator=factset&amp;display_string=Audit"}</definedName>
    <definedName name="_1735__FDSAUDITLINK__" hidden="1">{"fdsup://Directions/FactSet Auditing Viewer?action=AUDIT_VALUE&amp;DB=129&amp;ID1=51280710&amp;VALUEID=02001&amp;SDATE=200801&amp;PERIODTYPE=QTR_STD&amp;SCFT=3&amp;window=popup_no_bar&amp;width=385&amp;height=120&amp;START_MAXIMIZED=FALSE&amp;creator=factset&amp;display_string=Audit"}</definedName>
    <definedName name="_1736__FDSAUDITLINK__" localSheetId="7" hidden="1">{"fdsup://Directions/FactSet Auditing Viewer?action=AUDIT_VALUE&amp;DB=129&amp;ID1=51280710&amp;VALUEID=02001&amp;SDATE=200801&amp;PERIODTYPE=QTR_STD&amp;SCFT=3&amp;window=popup_no_bar&amp;width=385&amp;height=120&amp;START_MAXIMIZED=FALSE&amp;creator=factset&amp;display_string=Audit"}</definedName>
    <definedName name="_1736__FDSAUDITLINK__" hidden="1">{"fdsup://Directions/FactSet Auditing Viewer?action=AUDIT_VALUE&amp;DB=129&amp;ID1=51280710&amp;VALUEID=02001&amp;SDATE=200801&amp;PERIODTYPE=QTR_STD&amp;SCFT=3&amp;window=popup_no_bar&amp;width=385&amp;height=120&amp;START_MAXIMIZED=FALSE&amp;creator=factset&amp;display_string=Audit"}</definedName>
    <definedName name="_1737__FDSAUDITLINK__" localSheetId="7" hidden="1">{"fdsup://Directions/FactSet Auditing Viewer?action=AUDIT_VALUE&amp;DB=129&amp;ID1=53567810&amp;VALUEID=02001&amp;SDATE=200801&amp;PERIODTYPE=QTR_STD&amp;SCFT=3&amp;window=popup_no_bar&amp;width=385&amp;height=120&amp;START_MAXIMIZED=FALSE&amp;creator=factset&amp;display_string=Audit"}</definedName>
    <definedName name="_1737__FDSAUDITLINK__" hidden="1">{"fdsup://Directions/FactSet Auditing Viewer?action=AUDIT_VALUE&amp;DB=129&amp;ID1=53567810&amp;VALUEID=02001&amp;SDATE=200801&amp;PERIODTYPE=QTR_STD&amp;SCFT=3&amp;window=popup_no_bar&amp;width=385&amp;height=120&amp;START_MAXIMIZED=FALSE&amp;creator=factset&amp;display_string=Audit"}</definedName>
    <definedName name="_1738__FDSAUDITLINK__" localSheetId="7" hidden="1">{"fdsup://Directions/FactSet Auditing Viewer?action=AUDIT_VALUE&amp;DB=129&amp;ID1=53567810&amp;VALUEID=02001&amp;SDATE=200801&amp;PERIODTYPE=QTR_STD&amp;SCFT=3&amp;window=popup_no_bar&amp;width=385&amp;height=120&amp;START_MAXIMIZED=FALSE&amp;creator=factset&amp;display_string=Audit"}</definedName>
    <definedName name="_1738__FDSAUDITLINK__" hidden="1">{"fdsup://Directions/FactSet Auditing Viewer?action=AUDIT_VALUE&amp;DB=129&amp;ID1=53567810&amp;VALUEID=02001&amp;SDATE=200801&amp;PERIODTYPE=QTR_STD&amp;SCFT=3&amp;window=popup_no_bar&amp;width=385&amp;height=120&amp;START_MAXIMIZED=FALSE&amp;creator=factset&amp;display_string=Audit"}</definedName>
    <definedName name="_1739__FDSAUDITLINK__" localSheetId="7" hidden="1">{"fdsup://Directions/FactSet Auditing Viewer?action=AUDIT_VALUE&amp;DB=129&amp;ID1=48248010&amp;VALUEID=02001&amp;SDATE=200801&amp;PERIODTYPE=QTR_STD&amp;SCFT=3&amp;window=popup_no_bar&amp;width=385&amp;height=120&amp;START_MAXIMIZED=FALSE&amp;creator=factset&amp;display_string=Audit"}</definedName>
    <definedName name="_1739__FDSAUDITLINK__" hidden="1">{"fdsup://Directions/FactSet Auditing Viewer?action=AUDIT_VALUE&amp;DB=129&amp;ID1=48248010&amp;VALUEID=02001&amp;SDATE=200801&amp;PERIODTYPE=QTR_STD&amp;SCFT=3&amp;window=popup_no_bar&amp;width=385&amp;height=120&amp;START_MAXIMIZED=FALSE&amp;creator=factset&amp;display_string=Audit"}</definedName>
    <definedName name="_174__FDSAUDITLINK__" localSheetId="7" hidden="1">{"fdsup://Directions/FactSet Auditing Viewer?action=AUDIT_VALUE&amp;DB=129&amp;ID1=80004C10&amp;VALUEID=02001&amp;SDATE=201004&amp;PERIODTYPE=QTR_STD&amp;SCFT=3&amp;window=popup_no_bar&amp;width=385&amp;height=120&amp;START_MAXIMIZED=FALSE&amp;creator=factset&amp;display_string=Audit"}</definedName>
    <definedName name="_174__FDSAUDITLINK__" hidden="1">{"fdsup://Directions/FactSet Auditing Viewer?action=AUDIT_VALUE&amp;DB=129&amp;ID1=80004C10&amp;VALUEID=02001&amp;SDATE=201004&amp;PERIODTYPE=QTR_STD&amp;SCFT=3&amp;window=popup_no_bar&amp;width=385&amp;height=120&amp;START_MAXIMIZED=FALSE&amp;creator=factset&amp;display_string=Audit"}</definedName>
    <definedName name="_1740__FDSAUDITLINK__" localSheetId="7" hidden="1">{"fdsup://Directions/FactSet Auditing Viewer?action=AUDIT_VALUE&amp;DB=129&amp;ID1=48248010&amp;VALUEID=02001&amp;SDATE=200801&amp;PERIODTYPE=QTR_STD&amp;SCFT=3&amp;window=popup_no_bar&amp;width=385&amp;height=120&amp;START_MAXIMIZED=FALSE&amp;creator=factset&amp;display_string=Audit"}</definedName>
    <definedName name="_1740__FDSAUDITLINK__" hidden="1">{"fdsup://Directions/FactSet Auditing Viewer?action=AUDIT_VALUE&amp;DB=129&amp;ID1=48248010&amp;VALUEID=02001&amp;SDATE=200801&amp;PERIODTYPE=QTR_STD&amp;SCFT=3&amp;window=popup_no_bar&amp;width=385&amp;height=120&amp;START_MAXIMIZED=FALSE&amp;creator=factset&amp;display_string=Audit"}</definedName>
    <definedName name="_1741__FDSAUDITLINK__" localSheetId="7" hidden="1">{"fdsup://Directions/FactSet Auditing Viewer?action=AUDIT_VALUE&amp;DB=129&amp;ID1=48836020&amp;VALUEID=02001&amp;SDATE=200702&amp;PERIODTYPE=QTR_STD&amp;SCFT=3&amp;window=popup_no_bar&amp;width=385&amp;height=120&amp;START_MAXIMIZED=FALSE&amp;creator=factset&amp;display_string=Audit"}</definedName>
    <definedName name="_1741__FDSAUDITLINK__" hidden="1">{"fdsup://Directions/FactSet Auditing Viewer?action=AUDIT_VALUE&amp;DB=129&amp;ID1=48836020&amp;VALUEID=02001&amp;SDATE=200702&amp;PERIODTYPE=QTR_STD&amp;SCFT=3&amp;window=popup_no_bar&amp;width=385&amp;height=120&amp;START_MAXIMIZED=FALSE&amp;creator=factset&amp;display_string=Audit"}</definedName>
    <definedName name="_1742__FDSAUDITLINK__" localSheetId="7" hidden="1">{"fdsup://Directions/FactSet Auditing Viewer?action=AUDIT_VALUE&amp;DB=129&amp;ID1=48836020&amp;VALUEID=02001&amp;SDATE=200702&amp;PERIODTYPE=QTR_STD&amp;SCFT=3&amp;window=popup_no_bar&amp;width=385&amp;height=120&amp;START_MAXIMIZED=FALSE&amp;creator=factset&amp;display_string=Audit"}</definedName>
    <definedName name="_1742__FDSAUDITLINK__" hidden="1">{"fdsup://Directions/FactSet Auditing Viewer?action=AUDIT_VALUE&amp;DB=129&amp;ID1=48836020&amp;VALUEID=02001&amp;SDATE=200702&amp;PERIODTYPE=QTR_STD&amp;SCFT=3&amp;window=popup_no_bar&amp;width=385&amp;height=120&amp;START_MAXIMIZED=FALSE&amp;creator=factset&amp;display_string=Audit"}</definedName>
    <definedName name="_1743__FDSAUDITLINK__" localSheetId="7" hidden="1">{"fdsup://Directions/FactSet Auditing Viewer?action=AUDIT_VALUE&amp;DB=129&amp;ID1=48203R10&amp;VALUEID=02001&amp;SDATE=200703&amp;PERIODTYPE=QTR_STD&amp;SCFT=3&amp;window=popup_no_bar&amp;width=385&amp;height=120&amp;START_MAXIMIZED=FALSE&amp;creator=factset&amp;display_string=Audit"}</definedName>
    <definedName name="_1743__FDSAUDITLINK__" hidden="1">{"fdsup://Directions/FactSet Auditing Viewer?action=AUDIT_VALUE&amp;DB=129&amp;ID1=48203R10&amp;VALUEID=02001&amp;SDATE=200703&amp;PERIODTYPE=QTR_STD&amp;SCFT=3&amp;window=popup_no_bar&amp;width=385&amp;height=120&amp;START_MAXIMIZED=FALSE&amp;creator=factset&amp;display_string=Audit"}</definedName>
    <definedName name="_1744__FDSAUDITLINK__" localSheetId="7" hidden="1">{"fdsup://Directions/FactSet Auditing Viewer?action=AUDIT_VALUE&amp;DB=129&amp;ID1=48203R10&amp;VALUEID=02001&amp;SDATE=200703&amp;PERIODTYPE=QTR_STD&amp;SCFT=3&amp;window=popup_no_bar&amp;width=385&amp;height=120&amp;START_MAXIMIZED=FALSE&amp;creator=factset&amp;display_string=Audit"}</definedName>
    <definedName name="_1744__FDSAUDITLINK__" hidden="1">{"fdsup://Directions/FactSet Auditing Viewer?action=AUDIT_VALUE&amp;DB=129&amp;ID1=48203R10&amp;VALUEID=02001&amp;SDATE=200703&amp;PERIODTYPE=QTR_STD&amp;SCFT=3&amp;window=popup_no_bar&amp;width=385&amp;height=120&amp;START_MAXIMIZED=FALSE&amp;creator=factset&amp;display_string=Audit"}</definedName>
    <definedName name="_1745__FDSAUDITLINK__" localSheetId="7" hidden="1">{"fdsup://Directions/FactSet Auditing Viewer?action=AUDIT_VALUE&amp;DB=129&amp;ID1=86681020&amp;VALUEID=02001&amp;SDATE=200801&amp;PERIODTYPE=QTR_STD&amp;SCFT=3&amp;window=popup_no_bar&amp;width=385&amp;height=120&amp;START_MAXIMIZED=FALSE&amp;creator=factset&amp;display_string=Audit"}</definedName>
    <definedName name="_1745__FDSAUDITLINK__" hidden="1">{"fdsup://Directions/FactSet Auditing Viewer?action=AUDIT_VALUE&amp;DB=129&amp;ID1=86681020&amp;VALUEID=02001&amp;SDATE=200801&amp;PERIODTYPE=QTR_STD&amp;SCFT=3&amp;window=popup_no_bar&amp;width=385&amp;height=120&amp;START_MAXIMIZED=FALSE&amp;creator=factset&amp;display_string=Audit"}</definedName>
    <definedName name="_1746__FDSAUDITLINK__" localSheetId="7" hidden="1">{"fdsup://Directions/FactSet Auditing Viewer?action=AUDIT_VALUE&amp;DB=129&amp;ID1=86681020&amp;VALUEID=02001&amp;SDATE=200801&amp;PERIODTYPE=QTR_STD&amp;SCFT=3&amp;window=popup_no_bar&amp;width=385&amp;height=120&amp;START_MAXIMIZED=FALSE&amp;creator=factset&amp;display_string=Audit"}</definedName>
    <definedName name="_1746__FDSAUDITLINK__" hidden="1">{"fdsup://Directions/FactSet Auditing Viewer?action=AUDIT_VALUE&amp;DB=129&amp;ID1=86681020&amp;VALUEID=02001&amp;SDATE=200801&amp;PERIODTYPE=QTR_STD&amp;SCFT=3&amp;window=popup_no_bar&amp;width=385&amp;height=120&amp;START_MAXIMIZED=FALSE&amp;creator=factset&amp;display_string=Audit"}</definedName>
    <definedName name="_1747__FDSAUDITLINK__" localSheetId="7" hidden="1">{"fdsup://Directions/FactSet Auditing Viewer?action=AUDIT_VALUE&amp;DB=129&amp;ID1=46069S10&amp;VALUEID=02001&amp;SDATE=200703&amp;PERIODTYPE=QTR_STD&amp;SCFT=3&amp;window=popup_no_bar&amp;width=385&amp;height=120&amp;START_MAXIMIZED=FALSE&amp;creator=factset&amp;display_string=Audit"}</definedName>
    <definedName name="_1747__FDSAUDITLINK__" hidden="1">{"fdsup://Directions/FactSet Auditing Viewer?action=AUDIT_VALUE&amp;DB=129&amp;ID1=46069S10&amp;VALUEID=02001&amp;SDATE=200703&amp;PERIODTYPE=QTR_STD&amp;SCFT=3&amp;window=popup_no_bar&amp;width=385&amp;height=120&amp;START_MAXIMIZED=FALSE&amp;creator=factset&amp;display_string=Audit"}</definedName>
    <definedName name="_1748__FDSAUDITLINK__" localSheetId="7" hidden="1">{"fdsup://Directions/FactSet Auditing Viewer?action=AUDIT_VALUE&amp;DB=129&amp;ID1=46069S10&amp;VALUEID=02001&amp;SDATE=200703&amp;PERIODTYPE=QTR_STD&amp;SCFT=3&amp;window=popup_no_bar&amp;width=385&amp;height=120&amp;START_MAXIMIZED=FALSE&amp;creator=factset&amp;display_string=Audit"}</definedName>
    <definedName name="_1748__FDSAUDITLINK__" hidden="1">{"fdsup://Directions/FactSet Auditing Viewer?action=AUDIT_VALUE&amp;DB=129&amp;ID1=46069S10&amp;VALUEID=02001&amp;SDATE=200703&amp;PERIODTYPE=QTR_STD&amp;SCFT=3&amp;window=popup_no_bar&amp;width=385&amp;height=120&amp;START_MAXIMIZED=FALSE&amp;creator=factset&amp;display_string=Audit"}</definedName>
    <definedName name="_1749__FDSAUDITLINK__" localSheetId="7" hidden="1">{"fdsup://Directions/FactSet Auditing Viewer?action=AUDIT_VALUE&amp;DB=129&amp;ID1=46025410&amp;VALUEID=02001&amp;SDATE=200801&amp;PERIODTYPE=QTR_STD&amp;SCFT=3&amp;window=popup_no_bar&amp;width=385&amp;height=120&amp;START_MAXIMIZED=FALSE&amp;creator=factset&amp;display_string=Audit"}</definedName>
    <definedName name="_1749__FDSAUDITLINK__" hidden="1">{"fdsup://Directions/FactSet Auditing Viewer?action=AUDIT_VALUE&amp;DB=129&amp;ID1=46025410&amp;VALUEID=02001&amp;SDATE=200801&amp;PERIODTYPE=QTR_STD&amp;SCFT=3&amp;window=popup_no_bar&amp;width=385&amp;height=120&amp;START_MAXIMIZED=FALSE&amp;creator=factset&amp;display_string=Audit"}</definedName>
    <definedName name="_175__FDSAUDITLINK__" localSheetId="7" hidden="1">{"fdsup://Directions/FactSet Auditing Viewer?action=AUDIT_VALUE&amp;DB=129&amp;ID1=81685010&amp;VALUEID=02001&amp;SDATE=201004&amp;PERIODTYPE=QTR_STD&amp;SCFT=3&amp;window=popup_no_bar&amp;width=385&amp;height=120&amp;START_MAXIMIZED=FALSE&amp;creator=factset&amp;display_string=Audit"}</definedName>
    <definedName name="_175__FDSAUDITLINK__" hidden="1">{"fdsup://Directions/FactSet Auditing Viewer?action=AUDIT_VALUE&amp;DB=129&amp;ID1=81685010&amp;VALUEID=02001&amp;SDATE=201004&amp;PERIODTYPE=QTR_STD&amp;SCFT=3&amp;window=popup_no_bar&amp;width=385&amp;height=120&amp;START_MAXIMIZED=FALSE&amp;creator=factset&amp;display_string=Audit"}</definedName>
    <definedName name="_1750__FDSAUDITLINK__" localSheetId="7" hidden="1">{"fdsup://Directions/FactSet Auditing Viewer?action=AUDIT_VALUE&amp;DB=129&amp;ID1=46025410&amp;VALUEID=02001&amp;SDATE=200801&amp;PERIODTYPE=QTR_STD&amp;SCFT=3&amp;window=popup_no_bar&amp;width=385&amp;height=120&amp;START_MAXIMIZED=FALSE&amp;creator=factset&amp;display_string=Audit"}</definedName>
    <definedName name="_1750__FDSAUDITLINK__" hidden="1">{"fdsup://Directions/FactSet Auditing Viewer?action=AUDIT_VALUE&amp;DB=129&amp;ID1=46025410&amp;VALUEID=02001&amp;SDATE=200801&amp;PERIODTYPE=QTR_STD&amp;SCFT=3&amp;window=popup_no_bar&amp;width=385&amp;height=120&amp;START_MAXIMIZED=FALSE&amp;creator=factset&amp;display_string=Audit"}</definedName>
    <definedName name="_1751__FDSAUDITLINK__" localSheetId="7" hidden="1">{"fdsup://Directions/FactSet Auditing Viewer?action=AUDIT_VALUE&amp;DB=129&amp;ID1=45814010&amp;VALUEID=02001&amp;SDATE=200703&amp;PERIODTYPE=QTR_STD&amp;SCFT=3&amp;window=popup_no_bar&amp;width=385&amp;height=120&amp;START_MAXIMIZED=FALSE&amp;creator=factset&amp;display_string=Audit"}</definedName>
    <definedName name="_1751__FDSAUDITLINK__" hidden="1">{"fdsup://Directions/FactSet Auditing Viewer?action=AUDIT_VALUE&amp;DB=129&amp;ID1=45814010&amp;VALUEID=02001&amp;SDATE=200703&amp;PERIODTYPE=QTR_STD&amp;SCFT=3&amp;window=popup_no_bar&amp;width=385&amp;height=120&amp;START_MAXIMIZED=FALSE&amp;creator=factset&amp;display_string=Audit"}</definedName>
    <definedName name="_1752__FDSAUDITLINK__" localSheetId="7" hidden="1">{"fdsup://Directions/FactSet Auditing Viewer?action=AUDIT_VALUE&amp;DB=129&amp;ID1=45814010&amp;VALUEID=02001&amp;SDATE=200703&amp;PERIODTYPE=QTR_STD&amp;SCFT=3&amp;window=popup_no_bar&amp;width=385&amp;height=120&amp;START_MAXIMIZED=FALSE&amp;creator=factset&amp;display_string=Audit"}</definedName>
    <definedName name="_1752__FDSAUDITLINK__" hidden="1">{"fdsup://Directions/FactSet Auditing Viewer?action=AUDIT_VALUE&amp;DB=129&amp;ID1=45814010&amp;VALUEID=02001&amp;SDATE=200703&amp;PERIODTYPE=QTR_STD&amp;SCFT=3&amp;window=popup_no_bar&amp;width=385&amp;height=120&amp;START_MAXIMIZED=FALSE&amp;creator=factset&amp;display_string=Audit"}</definedName>
    <definedName name="_1753__FDSAUDITLINK__" localSheetId="7" hidden="1">{"fdsup://Directions/FactSet Auditing Viewer?action=AUDIT_VALUE&amp;DB=129&amp;ID1=45811810&amp;VALUEID=02001&amp;SDATE=200702&amp;PERIODTYPE=QTR_STD&amp;SCFT=3&amp;window=popup_no_bar&amp;width=385&amp;height=120&amp;START_MAXIMIZED=FALSE&amp;creator=factset&amp;display_string=Audit"}</definedName>
    <definedName name="_1753__FDSAUDITLINK__" hidden="1">{"fdsup://Directions/FactSet Auditing Viewer?action=AUDIT_VALUE&amp;DB=129&amp;ID1=45811810&amp;VALUEID=02001&amp;SDATE=200702&amp;PERIODTYPE=QTR_STD&amp;SCFT=3&amp;window=popup_no_bar&amp;width=385&amp;height=120&amp;START_MAXIMIZED=FALSE&amp;creator=factset&amp;display_string=Audit"}</definedName>
    <definedName name="_1754__FDSAUDITLINK__" localSheetId="7" hidden="1">{"fdsup://Directions/FactSet Auditing Viewer?action=AUDIT_VALUE&amp;DB=129&amp;ID1=45811810&amp;VALUEID=02001&amp;SDATE=200702&amp;PERIODTYPE=QTR_STD&amp;SCFT=3&amp;window=popup_no_bar&amp;width=385&amp;height=120&amp;START_MAXIMIZED=FALSE&amp;creator=factset&amp;display_string=Audit"}</definedName>
    <definedName name="_1754__FDSAUDITLINK__" hidden="1">{"fdsup://Directions/FactSet Auditing Viewer?action=AUDIT_VALUE&amp;DB=129&amp;ID1=45811810&amp;VALUEID=02001&amp;SDATE=200702&amp;PERIODTYPE=QTR_STD&amp;SCFT=3&amp;window=popup_no_bar&amp;width=385&amp;height=120&amp;START_MAXIMIZED=FALSE&amp;creator=factset&amp;display_string=Audit"}</definedName>
    <definedName name="_1755__FDSAUDITLINK__" localSheetId="7" hidden="1">{"fdsup://Directions/FactSet Auditing Viewer?action=AUDIT_VALUE&amp;DB=129&amp;ID1=H2906T10&amp;VALUEID=02001&amp;SDATE=200703&amp;PERIODTYPE=QTR_STD&amp;SCFT=3&amp;window=popup_no_bar&amp;width=385&amp;height=120&amp;START_MAXIMIZED=FALSE&amp;creator=factset&amp;display_string=Audit"}</definedName>
    <definedName name="_1755__FDSAUDITLINK__" hidden="1">{"fdsup://Directions/FactSet Auditing Viewer?action=AUDIT_VALUE&amp;DB=129&amp;ID1=H2906T10&amp;VALUEID=02001&amp;SDATE=200703&amp;PERIODTYPE=QTR_STD&amp;SCFT=3&amp;window=popup_no_bar&amp;width=385&amp;height=120&amp;START_MAXIMIZED=FALSE&amp;creator=factset&amp;display_string=Audit"}</definedName>
    <definedName name="_1756__FDSAUDITLINK__" localSheetId="7" hidden="1">{"fdsup://Directions/FactSet Auditing Viewer?action=AUDIT_VALUE&amp;DB=129&amp;ID1=H2906T10&amp;VALUEID=02001&amp;SDATE=200703&amp;PERIODTYPE=QTR_STD&amp;SCFT=3&amp;window=popup_no_bar&amp;width=385&amp;height=120&amp;START_MAXIMIZED=FALSE&amp;creator=factset&amp;display_string=Audit"}</definedName>
    <definedName name="_1756__FDSAUDITLINK__" hidden="1">{"fdsup://Directions/FactSet Auditing Viewer?action=AUDIT_VALUE&amp;DB=129&amp;ID1=H2906T10&amp;VALUEID=02001&amp;SDATE=200703&amp;PERIODTYPE=QTR_STD&amp;SCFT=3&amp;window=popup_no_bar&amp;width=385&amp;height=120&amp;START_MAXIMIZED=FALSE&amp;creator=factset&amp;display_string=Audit"}</definedName>
    <definedName name="_1757__FDSAUDITLINK__" localSheetId="7" hidden="1">{"fdsup://Directions/FactSet Auditing Viewer?action=AUDIT_VALUE&amp;DB=129&amp;ID1=34637510&amp;VALUEID=02001&amp;SDATE=200703&amp;PERIODTYPE=QTR_STD&amp;SCFT=3&amp;window=popup_no_bar&amp;width=385&amp;height=120&amp;START_MAXIMIZED=FALSE&amp;creator=factset&amp;display_string=Audit"}</definedName>
    <definedName name="_1757__FDSAUDITLINK__" hidden="1">{"fdsup://Directions/FactSet Auditing Viewer?action=AUDIT_VALUE&amp;DB=129&amp;ID1=34637510&amp;VALUEID=02001&amp;SDATE=200703&amp;PERIODTYPE=QTR_STD&amp;SCFT=3&amp;window=popup_no_bar&amp;width=385&amp;height=120&amp;START_MAXIMIZED=FALSE&amp;creator=factset&amp;display_string=Audit"}</definedName>
    <definedName name="_1758__FDSAUDITLINK__" localSheetId="7" hidden="1">{"fdsup://Directions/FactSet Auditing Viewer?action=AUDIT_VALUE&amp;DB=129&amp;ID1=34637510&amp;VALUEID=02001&amp;SDATE=200703&amp;PERIODTYPE=QTR_STD&amp;SCFT=3&amp;window=popup_no_bar&amp;width=385&amp;height=120&amp;START_MAXIMIZED=FALSE&amp;creator=factset&amp;display_string=Audit"}</definedName>
    <definedName name="_1758__FDSAUDITLINK__" hidden="1">{"fdsup://Directions/FactSet Auditing Viewer?action=AUDIT_VALUE&amp;DB=129&amp;ID1=34637510&amp;VALUEID=02001&amp;SDATE=200703&amp;PERIODTYPE=QTR_STD&amp;SCFT=3&amp;window=popup_no_bar&amp;width=385&amp;height=120&amp;START_MAXIMIZED=FALSE&amp;creator=factset&amp;display_string=Audit"}</definedName>
    <definedName name="_1759__FDSAUDITLINK__" localSheetId="7" hidden="1">{"fdsup://Directions/FactSet Auditing Viewer?action=AUDIT_VALUE&amp;DB=129&amp;ID1=29247520&amp;VALUEID=02001&amp;SDATE=200801&amp;PERIODTYPE=QTR_STD&amp;SCFT=3&amp;window=popup_no_bar&amp;width=385&amp;height=120&amp;START_MAXIMIZED=FALSE&amp;creator=factset&amp;display_string=Audit"}</definedName>
    <definedName name="_1759__FDSAUDITLINK__" hidden="1">{"fdsup://Directions/FactSet Auditing Viewer?action=AUDIT_VALUE&amp;DB=129&amp;ID1=29247520&amp;VALUEID=02001&amp;SDATE=200801&amp;PERIODTYPE=QTR_STD&amp;SCFT=3&amp;window=popup_no_bar&amp;width=385&amp;height=120&amp;START_MAXIMIZED=FALSE&amp;creator=factset&amp;display_string=Audit"}</definedName>
    <definedName name="_176__FDSAUDITLINK__" localSheetId="7" hidden="1">{"fdsup://Directions/FactSet Auditing Viewer?action=AUDIT_VALUE&amp;DB=129&amp;ID1=81685010&amp;VALUEID=02001&amp;SDATE=201004&amp;PERIODTYPE=QTR_STD&amp;SCFT=3&amp;window=popup_no_bar&amp;width=385&amp;height=120&amp;START_MAXIMIZED=FALSE&amp;creator=factset&amp;display_string=Audit"}</definedName>
    <definedName name="_176__FDSAUDITLINK__" hidden="1">{"fdsup://Directions/FactSet Auditing Viewer?action=AUDIT_VALUE&amp;DB=129&amp;ID1=81685010&amp;VALUEID=02001&amp;SDATE=201004&amp;PERIODTYPE=QTR_STD&amp;SCFT=3&amp;window=popup_no_bar&amp;width=385&amp;height=120&amp;START_MAXIMIZED=FALSE&amp;creator=factset&amp;display_string=Audit"}</definedName>
    <definedName name="_1760__FDSAUDITLINK__" localSheetId="7" hidden="1">{"fdsup://Directions/FactSet Auditing Viewer?action=AUDIT_VALUE&amp;DB=129&amp;ID1=29247520&amp;VALUEID=02001&amp;SDATE=200801&amp;PERIODTYPE=QTR_STD&amp;SCFT=3&amp;window=popup_no_bar&amp;width=385&amp;height=120&amp;START_MAXIMIZED=FALSE&amp;creator=factset&amp;display_string=Audit"}</definedName>
    <definedName name="_1760__FDSAUDITLINK__" hidden="1">{"fdsup://Directions/FactSet Auditing Viewer?action=AUDIT_VALUE&amp;DB=129&amp;ID1=29247520&amp;VALUEID=02001&amp;SDATE=200801&amp;PERIODTYPE=QTR_STD&amp;SCFT=3&amp;window=popup_no_bar&amp;width=385&amp;height=120&amp;START_MAXIMIZED=FALSE&amp;creator=factset&amp;display_string=Audit"}</definedName>
    <definedName name="_1761__FDSAUDITLINK__" localSheetId="7" hidden="1">{"fdsup://Directions/FactSet Auditing Viewer?action=AUDIT_VALUE&amp;DB=129&amp;ID1=25454310&amp;VALUEID=02001&amp;SDATE=200703&amp;PERIODTYPE=QTR_STD&amp;SCFT=3&amp;window=popup_no_bar&amp;width=385&amp;height=120&amp;START_MAXIMIZED=FALSE&amp;creator=factset&amp;display_string=Audit"}</definedName>
    <definedName name="_1761__FDSAUDITLINK__" hidden="1">{"fdsup://Directions/FactSet Auditing Viewer?action=AUDIT_VALUE&amp;DB=129&amp;ID1=25454310&amp;VALUEID=02001&amp;SDATE=200703&amp;PERIODTYPE=QTR_STD&amp;SCFT=3&amp;window=popup_no_bar&amp;width=385&amp;height=120&amp;START_MAXIMIZED=FALSE&amp;creator=factset&amp;display_string=Audit"}</definedName>
    <definedName name="_1762__FDSAUDITLINK__" localSheetId="7" hidden="1">{"fdsup://Directions/FactSet Auditing Viewer?action=AUDIT_VALUE&amp;DB=129&amp;ID1=25454310&amp;VALUEID=02001&amp;SDATE=200703&amp;PERIODTYPE=QTR_STD&amp;SCFT=3&amp;window=popup_no_bar&amp;width=385&amp;height=120&amp;START_MAXIMIZED=FALSE&amp;creator=factset&amp;display_string=Audit"}</definedName>
    <definedName name="_1762__FDSAUDITLINK__" hidden="1">{"fdsup://Directions/FactSet Auditing Viewer?action=AUDIT_VALUE&amp;DB=129&amp;ID1=25454310&amp;VALUEID=02001&amp;SDATE=200703&amp;PERIODTYPE=QTR_STD&amp;SCFT=3&amp;window=popup_no_bar&amp;width=385&amp;height=120&amp;START_MAXIMIZED=FALSE&amp;creator=factset&amp;display_string=Audit"}</definedName>
    <definedName name="_1763__FDSAUDITLINK__" localSheetId="7" hidden="1">{"fdsup://Directions/FactSet Auditing Viewer?action=AUDIT_VALUE&amp;DB=129&amp;ID1=24702R10&amp;VALUEID=02001&amp;SDATE=200703&amp;PERIODTYPE=QTR_STD&amp;SCFT=3&amp;window=popup_no_bar&amp;width=385&amp;height=120&amp;START_MAXIMIZED=FALSE&amp;creator=factset&amp;display_string=Audit"}</definedName>
    <definedName name="_1763__FDSAUDITLINK__" hidden="1">{"fdsup://Directions/FactSet Auditing Viewer?action=AUDIT_VALUE&amp;DB=129&amp;ID1=24702R10&amp;VALUEID=02001&amp;SDATE=200703&amp;PERIODTYPE=QTR_STD&amp;SCFT=3&amp;window=popup_no_bar&amp;width=385&amp;height=120&amp;START_MAXIMIZED=FALSE&amp;creator=factset&amp;display_string=Audit"}</definedName>
    <definedName name="_1764__FDSAUDITLINK__" localSheetId="7" hidden="1">{"fdsup://Directions/FactSet Auditing Viewer?action=AUDIT_VALUE&amp;DB=129&amp;ID1=24702R10&amp;VALUEID=02001&amp;SDATE=200703&amp;PERIODTYPE=QTR_STD&amp;SCFT=3&amp;window=popup_no_bar&amp;width=385&amp;height=120&amp;START_MAXIMIZED=FALSE&amp;creator=factset&amp;display_string=Audit"}</definedName>
    <definedName name="_1764__FDSAUDITLINK__" hidden="1">{"fdsup://Directions/FactSet Auditing Viewer?action=AUDIT_VALUE&amp;DB=129&amp;ID1=24702R10&amp;VALUEID=02001&amp;SDATE=200703&amp;PERIODTYPE=QTR_STD&amp;SCFT=3&amp;window=popup_no_bar&amp;width=385&amp;height=120&amp;START_MAXIMIZED=FALSE&amp;creator=factset&amp;display_string=Audit"}</definedName>
    <definedName name="_1765__FDSAUDITLINK__" localSheetId="7" hidden="1">{"fdsup://Directions/FactSet Auditing Viewer?action=AUDIT_VALUE&amp;DB=129&amp;ID1=23257210&amp;VALUEID=02001&amp;SDATE=200703&amp;PERIODTYPE=QTR_STD&amp;SCFT=3&amp;window=popup_no_bar&amp;width=385&amp;height=120&amp;START_MAXIMIZED=FALSE&amp;creator=factset&amp;display_string=Audit"}</definedName>
    <definedName name="_1765__FDSAUDITLINK__" hidden="1">{"fdsup://Directions/FactSet Auditing Viewer?action=AUDIT_VALUE&amp;DB=129&amp;ID1=23257210&amp;VALUEID=02001&amp;SDATE=200703&amp;PERIODTYPE=QTR_STD&amp;SCFT=3&amp;window=popup_no_bar&amp;width=385&amp;height=120&amp;START_MAXIMIZED=FALSE&amp;creator=factset&amp;display_string=Audit"}</definedName>
    <definedName name="_1766__FDSAUDITLINK__" localSheetId="7" hidden="1">{"fdsup://Directions/FactSet Auditing Viewer?action=AUDIT_VALUE&amp;DB=129&amp;ID1=23257210&amp;VALUEID=02001&amp;SDATE=200703&amp;PERIODTYPE=QTR_STD&amp;SCFT=3&amp;window=popup_no_bar&amp;width=385&amp;height=120&amp;START_MAXIMIZED=FALSE&amp;creator=factset&amp;display_string=Audit"}</definedName>
    <definedName name="_1766__FDSAUDITLINK__" hidden="1">{"fdsup://Directions/FactSet Auditing Viewer?action=AUDIT_VALUE&amp;DB=129&amp;ID1=23257210&amp;VALUEID=02001&amp;SDATE=200703&amp;PERIODTYPE=QTR_STD&amp;SCFT=3&amp;window=popup_no_bar&amp;width=385&amp;height=120&amp;START_MAXIMIZED=FALSE&amp;creator=factset&amp;display_string=Audit"}</definedName>
    <definedName name="_1767__FDSAUDITLINK__" localSheetId="7" hidden="1">{"fdsup://Directions/FactSet Auditing Viewer?action=AUDIT_VALUE&amp;DB=129&amp;ID1=23280610&amp;VALUEID=02001&amp;SDATE=200703&amp;PERIODTYPE=QTR_STD&amp;SCFT=3&amp;window=popup_no_bar&amp;width=385&amp;height=120&amp;START_MAXIMIZED=FALSE&amp;creator=factset&amp;display_string=Audit"}</definedName>
    <definedName name="_1767__FDSAUDITLINK__" hidden="1">{"fdsup://Directions/FactSet Auditing Viewer?action=AUDIT_VALUE&amp;DB=129&amp;ID1=23280610&amp;VALUEID=02001&amp;SDATE=200703&amp;PERIODTYPE=QTR_STD&amp;SCFT=3&amp;window=popup_no_bar&amp;width=385&amp;height=120&amp;START_MAXIMIZED=FALSE&amp;creator=factset&amp;display_string=Audit"}</definedName>
    <definedName name="_1768__FDSAUDITLINK__" localSheetId="7" hidden="1">{"fdsup://Directions/FactSet Auditing Viewer?action=AUDIT_VALUE&amp;DB=129&amp;ID1=23280610&amp;VALUEID=02001&amp;SDATE=200703&amp;PERIODTYPE=QTR_STD&amp;SCFT=3&amp;window=popup_no_bar&amp;width=385&amp;height=120&amp;START_MAXIMIZED=FALSE&amp;creator=factset&amp;display_string=Audit"}</definedName>
    <definedName name="_1768__FDSAUDITLINK__" hidden="1">{"fdsup://Directions/FactSet Auditing Viewer?action=AUDIT_VALUE&amp;DB=129&amp;ID1=23280610&amp;VALUEID=02001&amp;SDATE=200703&amp;PERIODTYPE=QTR_STD&amp;SCFT=3&amp;window=popup_no_bar&amp;width=385&amp;height=120&amp;START_MAXIMIZED=FALSE&amp;creator=factset&amp;display_string=Audit"}</definedName>
    <definedName name="_1769__FDSAUDITLINK__" localSheetId="7" hidden="1">{"fdsup://Directions/FactSet Auditing Viewer?action=AUDIT_VALUE&amp;DB=129&amp;ID1=17275R10&amp;VALUEID=02001&amp;SDATE=200801&amp;PERIODTYPE=QTR_STD&amp;SCFT=3&amp;window=popup_no_bar&amp;width=385&amp;height=120&amp;START_MAXIMIZED=FALSE&amp;creator=factset&amp;display_string=Audit"}</definedName>
    <definedName name="_1769__FDSAUDITLINK__" hidden="1">{"fdsup://Directions/FactSet Auditing Viewer?action=AUDIT_VALUE&amp;DB=129&amp;ID1=17275R10&amp;VALUEID=02001&amp;SDATE=200801&amp;PERIODTYPE=QTR_STD&amp;SCFT=3&amp;window=popup_no_bar&amp;width=385&amp;height=120&amp;START_MAXIMIZED=FALSE&amp;creator=factset&amp;display_string=Audit"}</definedName>
    <definedName name="_177__FDSAUDITLINK__" localSheetId="7" hidden="1">{"fdsup://Directions/FactSet Auditing Viewer?action=AUDIT_VALUE&amp;DB=129&amp;ID1=82691910&amp;VALUEID=02001&amp;SDATE=201004&amp;PERIODTYPE=QTR_STD&amp;SCFT=3&amp;window=popup_no_bar&amp;width=385&amp;height=120&amp;START_MAXIMIZED=FALSE&amp;creator=factset&amp;display_string=Audit"}</definedName>
    <definedName name="_177__FDSAUDITLINK__" hidden="1">{"fdsup://Directions/FactSet Auditing Viewer?action=AUDIT_VALUE&amp;DB=129&amp;ID1=82691910&amp;VALUEID=02001&amp;SDATE=201004&amp;PERIODTYPE=QTR_STD&amp;SCFT=3&amp;window=popup_no_bar&amp;width=385&amp;height=120&amp;START_MAXIMIZED=FALSE&amp;creator=factset&amp;display_string=Audit"}</definedName>
    <definedName name="_1770__FDSAUDITLINK__" localSheetId="7" hidden="1">{"fdsup://Directions/FactSet Auditing Viewer?action=AUDIT_VALUE&amp;DB=129&amp;ID1=17275R10&amp;VALUEID=02001&amp;SDATE=200801&amp;PERIODTYPE=QTR_STD&amp;SCFT=3&amp;window=popup_no_bar&amp;width=385&amp;height=120&amp;START_MAXIMIZED=FALSE&amp;creator=factset&amp;display_string=Audit"}</definedName>
    <definedName name="_1770__FDSAUDITLINK__" hidden="1">{"fdsup://Directions/FactSet Auditing Viewer?action=AUDIT_VALUE&amp;DB=129&amp;ID1=17275R10&amp;VALUEID=02001&amp;SDATE=200801&amp;PERIODTYPE=QTR_STD&amp;SCFT=3&amp;window=popup_no_bar&amp;width=385&amp;height=120&amp;START_MAXIMIZED=FALSE&amp;creator=factset&amp;display_string=Audit"}</definedName>
    <definedName name="_1771__FDSAUDITLINK__" localSheetId="7" hidden="1">{"fdsup://Directions/FactSet Auditing Viewer?action=AUDIT_VALUE&amp;DB=129&amp;ID1=22544710&amp;VALUEID=02001&amp;SDATE=200801&amp;PERIODTYPE=QTR_STD&amp;SCFT=3&amp;window=popup_no_bar&amp;width=385&amp;height=120&amp;START_MAXIMIZED=FALSE&amp;creator=factset&amp;display_string=Audit"}</definedName>
    <definedName name="_1771__FDSAUDITLINK__" hidden="1">{"fdsup://Directions/FactSet Auditing Viewer?action=AUDIT_VALUE&amp;DB=129&amp;ID1=22544710&amp;VALUEID=02001&amp;SDATE=200801&amp;PERIODTYPE=QTR_STD&amp;SCFT=3&amp;window=popup_no_bar&amp;width=385&amp;height=120&amp;START_MAXIMIZED=FALSE&amp;creator=factset&amp;display_string=Audit"}</definedName>
    <definedName name="_1772__FDSAUDITLINK__" localSheetId="7" hidden="1">{"fdsup://Directions/FactSet Auditing Viewer?action=AUDIT_VALUE&amp;DB=129&amp;ID1=22544710&amp;VALUEID=02001&amp;SDATE=200801&amp;PERIODTYPE=QTR_STD&amp;SCFT=3&amp;window=popup_no_bar&amp;width=385&amp;height=120&amp;START_MAXIMIZED=FALSE&amp;creator=factset&amp;display_string=Audit"}</definedName>
    <definedName name="_1772__FDSAUDITLINK__" hidden="1">{"fdsup://Directions/FactSet Auditing Viewer?action=AUDIT_VALUE&amp;DB=129&amp;ID1=22544710&amp;VALUEID=02001&amp;SDATE=200801&amp;PERIODTYPE=QTR_STD&amp;SCFT=3&amp;window=popup_no_bar&amp;width=385&amp;height=120&amp;START_MAXIMIZED=FALSE&amp;creator=factset&amp;display_string=Audit"}</definedName>
    <definedName name="_1773__FDSAUDITLINK__" localSheetId="7" hidden="1">{"fdsup://Directions/FactSet Auditing Viewer?action=AUDIT_VALUE&amp;DB=129&amp;ID1=12738710&amp;VALUEID=02001&amp;SDATE=200703&amp;PERIODTYPE=QTR_STD&amp;SCFT=3&amp;window=popup_no_bar&amp;width=385&amp;height=120&amp;START_MAXIMIZED=FALSE&amp;creator=factset&amp;display_string=Audit"}</definedName>
    <definedName name="_1773__FDSAUDITLINK__" hidden="1">{"fdsup://Directions/FactSet Auditing Viewer?action=AUDIT_VALUE&amp;DB=129&amp;ID1=12738710&amp;VALUEID=02001&amp;SDATE=200703&amp;PERIODTYPE=QTR_STD&amp;SCFT=3&amp;window=popup_no_bar&amp;width=385&amp;height=120&amp;START_MAXIMIZED=FALSE&amp;creator=factset&amp;display_string=Audit"}</definedName>
    <definedName name="_1774__FDSAUDITLINK__" localSheetId="7" hidden="1">{"fdsup://Directions/FactSet Auditing Viewer?action=AUDIT_VALUE&amp;DB=129&amp;ID1=12738710&amp;VALUEID=02001&amp;SDATE=200703&amp;PERIODTYPE=QTR_STD&amp;SCFT=3&amp;window=popup_no_bar&amp;width=385&amp;height=120&amp;START_MAXIMIZED=FALSE&amp;creator=factset&amp;display_string=Audit"}</definedName>
    <definedName name="_1774__FDSAUDITLINK__" hidden="1">{"fdsup://Directions/FactSet Auditing Viewer?action=AUDIT_VALUE&amp;DB=129&amp;ID1=12738710&amp;VALUEID=02001&amp;SDATE=200703&amp;PERIODTYPE=QTR_STD&amp;SCFT=3&amp;window=popup_no_bar&amp;width=385&amp;height=120&amp;START_MAXIMIZED=FALSE&amp;creator=factset&amp;display_string=Audit"}</definedName>
    <definedName name="_1775__FDSAUDITLINK__" localSheetId="7" hidden="1">{"fdsup://Directions/FactSet Auditing Viewer?action=AUDIT_VALUE&amp;DB=129&amp;ID1=14964U10&amp;VALUEID=02001&amp;SDATE=200703&amp;PERIODTYPE=QTR_STD&amp;SCFT=3&amp;window=popup_no_bar&amp;width=385&amp;height=120&amp;START_MAXIMIZED=FALSE&amp;creator=factset&amp;display_string=Audit"}</definedName>
    <definedName name="_1775__FDSAUDITLINK__" hidden="1">{"fdsup://Directions/FactSet Auditing Viewer?action=AUDIT_VALUE&amp;DB=129&amp;ID1=14964U10&amp;VALUEID=02001&amp;SDATE=200703&amp;PERIODTYPE=QTR_STD&amp;SCFT=3&amp;window=popup_no_bar&amp;width=385&amp;height=120&amp;START_MAXIMIZED=FALSE&amp;creator=factset&amp;display_string=Audit"}</definedName>
    <definedName name="_1776__FDSAUDITLINK__" localSheetId="7" hidden="1">{"fdsup://Directions/FactSet Auditing Viewer?action=AUDIT_VALUE&amp;DB=129&amp;ID1=14964U10&amp;VALUEID=02001&amp;SDATE=200703&amp;PERIODTYPE=QTR_STD&amp;SCFT=3&amp;window=popup_no_bar&amp;width=385&amp;height=120&amp;START_MAXIMIZED=FALSE&amp;creator=factset&amp;display_string=Audit"}</definedName>
    <definedName name="_1776__FDSAUDITLINK__" hidden="1">{"fdsup://Directions/FactSet Auditing Viewer?action=AUDIT_VALUE&amp;DB=129&amp;ID1=14964U10&amp;VALUEID=02001&amp;SDATE=200703&amp;PERIODTYPE=QTR_STD&amp;SCFT=3&amp;window=popup_no_bar&amp;width=385&amp;height=120&amp;START_MAXIMIZED=FALSE&amp;creator=factset&amp;display_string=Audit"}</definedName>
    <definedName name="_1777__FDSAUDITLINK__" localSheetId="7" hidden="1">{"fdsup://Directions/FactSet Auditing Viewer?action=AUDIT_VALUE&amp;DB=129&amp;ID1=04743P10&amp;VALUEID=02001&amp;SDATE=200703&amp;PERIODTYPE=QTR_STD&amp;SCFT=3&amp;window=popup_no_bar&amp;width=385&amp;height=120&amp;START_MAXIMIZED=FALSE&amp;creator=factset&amp;display_string=Audit"}</definedName>
    <definedName name="_1777__FDSAUDITLINK__" hidden="1">{"fdsup://Directions/FactSet Auditing Viewer?action=AUDIT_VALUE&amp;DB=129&amp;ID1=04743P10&amp;VALUEID=02001&amp;SDATE=200703&amp;PERIODTYPE=QTR_STD&amp;SCFT=3&amp;window=popup_no_bar&amp;width=385&amp;height=120&amp;START_MAXIMIZED=FALSE&amp;creator=factset&amp;display_string=Audit"}</definedName>
    <definedName name="_1778__FDSAUDITLINK__" localSheetId="7" hidden="1">{"fdsup://Directions/FactSet Auditing Viewer?action=AUDIT_VALUE&amp;DB=129&amp;ID1=04743P10&amp;VALUEID=02001&amp;SDATE=200703&amp;PERIODTYPE=QTR_STD&amp;SCFT=3&amp;window=popup_no_bar&amp;width=385&amp;height=120&amp;START_MAXIMIZED=FALSE&amp;creator=factset&amp;display_string=Audit"}</definedName>
    <definedName name="_1778__FDSAUDITLINK__" hidden="1">{"fdsup://Directions/FactSet Auditing Viewer?action=AUDIT_VALUE&amp;DB=129&amp;ID1=04743P10&amp;VALUEID=02001&amp;SDATE=200703&amp;PERIODTYPE=QTR_STD&amp;SCFT=3&amp;window=popup_no_bar&amp;width=385&amp;height=120&amp;START_MAXIMIZED=FALSE&amp;creator=factset&amp;display_string=Audit"}</definedName>
    <definedName name="_1779__FDSAUDITLINK__" localSheetId="7" hidden="1">{"fdsup://Directions/FactSet Auditing Viewer?action=AUDIT_VALUE&amp;DB=129&amp;ID1=03251510&amp;VALUEID=02001&amp;SDATE=200703&amp;PERIODTYPE=QTR_STD&amp;SCFT=3&amp;window=popup_no_bar&amp;width=385&amp;height=120&amp;START_MAXIMIZED=FALSE&amp;creator=factset&amp;display_string=Audit"}</definedName>
    <definedName name="_1779__FDSAUDITLINK__" hidden="1">{"fdsup://Directions/FactSet Auditing Viewer?action=AUDIT_VALUE&amp;DB=129&amp;ID1=03251510&amp;VALUEID=02001&amp;SDATE=200703&amp;PERIODTYPE=QTR_STD&amp;SCFT=3&amp;window=popup_no_bar&amp;width=385&amp;height=120&amp;START_MAXIMIZED=FALSE&amp;creator=factset&amp;display_string=Audit"}</definedName>
    <definedName name="_178__FDSAUDITLINK__" localSheetId="7" hidden="1">{"fdsup://Directions/FactSet Auditing Viewer?action=AUDIT_VALUE&amp;DB=129&amp;ID1=82691910&amp;VALUEID=02001&amp;SDATE=201004&amp;PERIODTYPE=QTR_STD&amp;SCFT=3&amp;window=popup_no_bar&amp;width=385&amp;height=120&amp;START_MAXIMIZED=FALSE&amp;creator=factset&amp;display_string=Audit"}</definedName>
    <definedName name="_178__FDSAUDITLINK__" hidden="1">{"fdsup://Directions/FactSet Auditing Viewer?action=AUDIT_VALUE&amp;DB=129&amp;ID1=82691910&amp;VALUEID=02001&amp;SDATE=201004&amp;PERIODTYPE=QTR_STD&amp;SCFT=3&amp;window=popup_no_bar&amp;width=385&amp;height=120&amp;START_MAXIMIZED=FALSE&amp;creator=factset&amp;display_string=Audit"}</definedName>
    <definedName name="_1780__FDSAUDITLINK__" localSheetId="7" hidden="1">{"fdsup://Directions/FactSet Auditing Viewer?action=AUDIT_VALUE&amp;DB=129&amp;ID1=03251510&amp;VALUEID=02001&amp;SDATE=200703&amp;PERIODTYPE=QTR_STD&amp;SCFT=3&amp;window=popup_no_bar&amp;width=385&amp;height=120&amp;START_MAXIMIZED=FALSE&amp;creator=factset&amp;display_string=Audit"}</definedName>
    <definedName name="_1780__FDSAUDITLINK__" hidden="1">{"fdsup://Directions/FactSet Auditing Viewer?action=AUDIT_VALUE&amp;DB=129&amp;ID1=03251510&amp;VALUEID=02001&amp;SDATE=200703&amp;PERIODTYPE=QTR_STD&amp;SCFT=3&amp;window=popup_no_bar&amp;width=385&amp;height=120&amp;START_MAXIMIZED=FALSE&amp;creator=factset&amp;display_string=Audit"}</definedName>
    <definedName name="_1781__FDSAUDITLINK__" localSheetId="7" hidden="1">{"fdsup://Directions/FactSet Auditing Viewer?action=AUDIT_VALUE&amp;DB=129&amp;ID1=00790310&amp;VALUEID=02001&amp;SDATE=200703&amp;PERIODTYPE=QTR_STD&amp;SCFT=3&amp;window=popup_no_bar&amp;width=385&amp;height=120&amp;START_MAXIMIZED=FALSE&amp;creator=factset&amp;display_string=Audit"}</definedName>
    <definedName name="_1781__FDSAUDITLINK__" hidden="1">{"fdsup://Directions/FactSet Auditing Viewer?action=AUDIT_VALUE&amp;DB=129&amp;ID1=00790310&amp;VALUEID=02001&amp;SDATE=200703&amp;PERIODTYPE=QTR_STD&amp;SCFT=3&amp;window=popup_no_bar&amp;width=385&amp;height=120&amp;START_MAXIMIZED=FALSE&amp;creator=factset&amp;display_string=Audit"}</definedName>
    <definedName name="_1782__FDSAUDITLINK__" localSheetId="7" hidden="1">{"fdsup://Directions/FactSet Auditing Viewer?action=AUDIT_VALUE&amp;DB=129&amp;ID1=00790310&amp;VALUEID=02001&amp;SDATE=200703&amp;PERIODTYPE=QTR_STD&amp;SCFT=3&amp;window=popup_no_bar&amp;width=385&amp;height=120&amp;START_MAXIMIZED=FALSE&amp;creator=factset&amp;display_string=Audit"}</definedName>
    <definedName name="_1782__FDSAUDITLINK__" hidden="1">{"fdsup://Directions/FactSet Auditing Viewer?action=AUDIT_VALUE&amp;DB=129&amp;ID1=00790310&amp;VALUEID=02001&amp;SDATE=200703&amp;PERIODTYPE=QTR_STD&amp;SCFT=3&amp;window=popup_no_bar&amp;width=385&amp;height=120&amp;START_MAXIMIZED=FALSE&amp;creator=factset&amp;display_string=Audit"}</definedName>
    <definedName name="_1783__FDSAUDITLINK__" localSheetId="7" hidden="1">{"fdsup://Directions/FactSet Auditing Viewer?action=AUDIT_VALUE&amp;DB=129&amp;ID1=03822W40&amp;VALUEID=02001&amp;SDATE=200702&amp;PERIODTYPE=QTR_STD&amp;SCFT=3&amp;window=popup_no_bar&amp;width=385&amp;height=120&amp;START_MAXIMIZED=FALSE&amp;creator=factset&amp;display_string=Audit"}</definedName>
    <definedName name="_1783__FDSAUDITLINK__" hidden="1">{"fdsup://Directions/FactSet Auditing Viewer?action=AUDIT_VALUE&amp;DB=129&amp;ID1=03822W40&amp;VALUEID=02001&amp;SDATE=200702&amp;PERIODTYPE=QTR_STD&amp;SCFT=3&amp;window=popup_no_bar&amp;width=385&amp;height=120&amp;START_MAXIMIZED=FALSE&amp;creator=factset&amp;display_string=Audit"}</definedName>
    <definedName name="_1784__FDSAUDITLINK__" localSheetId="7" hidden="1">{"fdsup://Directions/FactSet Auditing Viewer?action=AUDIT_VALUE&amp;DB=129&amp;ID1=03822W40&amp;VALUEID=02001&amp;SDATE=200702&amp;PERIODTYPE=QTR_STD&amp;SCFT=3&amp;window=popup_no_bar&amp;width=385&amp;height=120&amp;START_MAXIMIZED=FALSE&amp;creator=factset&amp;display_string=Audit"}</definedName>
    <definedName name="_1784__FDSAUDITLINK__" hidden="1">{"fdsup://Directions/FactSet Auditing Viewer?action=AUDIT_VALUE&amp;DB=129&amp;ID1=03822W40&amp;VALUEID=02001&amp;SDATE=200702&amp;PERIODTYPE=QTR_STD&amp;SCFT=3&amp;window=popup_no_bar&amp;width=385&amp;height=120&amp;START_MAXIMIZED=FALSE&amp;creator=factset&amp;display_string=Audit"}</definedName>
    <definedName name="_1785__FDSAUDITLINK__" localSheetId="7" hidden="1">{"fdsup://Directions/FactSet Auditing Viewer?action=AUDIT_VALUE&amp;DB=129&amp;ID1=02144110&amp;VALUEID=02001&amp;SDATE=200703&amp;PERIODTYPE=QTR_STD&amp;SCFT=3&amp;window=popup_no_bar&amp;width=385&amp;height=120&amp;START_MAXIMIZED=FALSE&amp;creator=factset&amp;display_string=Audit"}</definedName>
    <definedName name="_1785__FDSAUDITLINK__" hidden="1">{"fdsup://Directions/FactSet Auditing Viewer?action=AUDIT_VALUE&amp;DB=129&amp;ID1=02144110&amp;VALUEID=02001&amp;SDATE=200703&amp;PERIODTYPE=QTR_STD&amp;SCFT=3&amp;window=popup_no_bar&amp;width=385&amp;height=120&amp;START_MAXIMIZED=FALSE&amp;creator=factset&amp;display_string=Audit"}</definedName>
    <definedName name="_1786__FDSAUDITLINK__" localSheetId="7" hidden="1">{"fdsup://Directions/FactSet Auditing Viewer?action=AUDIT_VALUE&amp;DB=129&amp;ID1=02144110&amp;VALUEID=02001&amp;SDATE=200703&amp;PERIODTYPE=QTR_STD&amp;SCFT=3&amp;window=popup_no_bar&amp;width=385&amp;height=120&amp;START_MAXIMIZED=FALSE&amp;creator=factset&amp;display_string=Audit"}</definedName>
    <definedName name="_1786__FDSAUDITLINK__" hidden="1">{"fdsup://Directions/FactSet Auditing Viewer?action=AUDIT_VALUE&amp;DB=129&amp;ID1=02144110&amp;VALUEID=02001&amp;SDATE=200703&amp;PERIODTYPE=QTR_STD&amp;SCFT=3&amp;window=popup_no_bar&amp;width=385&amp;height=120&amp;START_MAXIMIZED=FALSE&amp;creator=factset&amp;display_string=Audit"}</definedName>
    <definedName name="_1787__FDSAUDITLINK__" localSheetId="7" hidden="1">{"fdsup://Directions/FactSet Auditing Viewer?action=AUDIT_VALUE&amp;DB=129&amp;ID1=00752J10&amp;VALUEID=02001&amp;SDATE=200703&amp;PERIODTYPE=QTR_STD&amp;SCFT=3&amp;window=popup_no_bar&amp;width=385&amp;height=120&amp;START_MAXIMIZED=FALSE&amp;creator=factset&amp;display_string=Audit"}</definedName>
    <definedName name="_1787__FDSAUDITLINK__" hidden="1">{"fdsup://Directions/FactSet Auditing Viewer?action=AUDIT_VALUE&amp;DB=129&amp;ID1=00752J10&amp;VALUEID=02001&amp;SDATE=200703&amp;PERIODTYPE=QTR_STD&amp;SCFT=3&amp;window=popup_no_bar&amp;width=385&amp;height=120&amp;START_MAXIMIZED=FALSE&amp;creator=factset&amp;display_string=Audit"}</definedName>
    <definedName name="_1788__FDSAUDITLINK__" localSheetId="7" hidden="1">{"fdsup://Directions/FactSet Auditing Viewer?action=AUDIT_VALUE&amp;DB=129&amp;ID1=00752J10&amp;VALUEID=02001&amp;SDATE=200703&amp;PERIODTYPE=QTR_STD&amp;SCFT=3&amp;window=popup_no_bar&amp;width=385&amp;height=120&amp;START_MAXIMIZED=FALSE&amp;creator=factset&amp;display_string=Audit"}</definedName>
    <definedName name="_1788__FDSAUDITLINK__" hidden="1">{"fdsup://Directions/FactSet Auditing Viewer?action=AUDIT_VALUE&amp;DB=129&amp;ID1=00752J10&amp;VALUEID=02001&amp;SDATE=200703&amp;PERIODTYPE=QTR_STD&amp;SCFT=3&amp;window=popup_no_bar&amp;width=385&amp;height=120&amp;START_MAXIMIZED=FALSE&amp;creator=factset&amp;display_string=Audit"}</definedName>
    <definedName name="_1789__FDSAUDITLINK__" localSheetId="7" hidden="1">{"fdsup://Directions/FactSet Auditing Viewer?action=AUDIT_VALUE&amp;DB=129&amp;ID1=98975F10&amp;VALUEID=02001&amp;SDATE=200702&amp;PERIODTYPE=QTR_STD&amp;SCFT=3&amp;window=popup_no_bar&amp;width=385&amp;height=120&amp;START_MAXIMIZED=FALSE&amp;creator=factset&amp;display_string=Audit"}</definedName>
    <definedName name="_1789__FDSAUDITLINK__" hidden="1">{"fdsup://Directions/FactSet Auditing Viewer?action=AUDIT_VALUE&amp;DB=129&amp;ID1=98975F10&amp;VALUEID=02001&amp;SDATE=200702&amp;PERIODTYPE=QTR_STD&amp;SCFT=3&amp;window=popup_no_bar&amp;width=385&amp;height=120&amp;START_MAXIMIZED=FALSE&amp;creator=factset&amp;display_string=Audit"}</definedName>
    <definedName name="_179__FDSAUDITLINK__" localSheetId="7" hidden="1">{"fdsup://Directions/FactSet Auditing Viewer?action=AUDIT_VALUE&amp;DB=129&amp;ID1=82705T10&amp;VALUEID=02001&amp;SDATE=201004&amp;PERIODTYPE=QTR_STD&amp;SCFT=3&amp;window=popup_no_bar&amp;width=385&amp;height=120&amp;START_MAXIMIZED=FALSE&amp;creator=factset&amp;display_string=Audit"}</definedName>
    <definedName name="_179__FDSAUDITLINK__" hidden="1">{"fdsup://Directions/FactSet Auditing Viewer?action=AUDIT_VALUE&amp;DB=129&amp;ID1=82705T10&amp;VALUEID=02001&amp;SDATE=201004&amp;PERIODTYPE=QTR_STD&amp;SCFT=3&amp;window=popup_no_bar&amp;width=385&amp;height=120&amp;START_MAXIMIZED=FALSE&amp;creator=factset&amp;display_string=Audit"}</definedName>
    <definedName name="_1790__FDSAUDITLINK__" localSheetId="7" hidden="1">{"fdsup://Directions/FactSet Auditing Viewer?action=AUDIT_VALUE&amp;DB=129&amp;ID1=98975F10&amp;VALUEID=02001&amp;SDATE=200702&amp;PERIODTYPE=QTR_STD&amp;SCFT=3&amp;window=popup_no_bar&amp;width=385&amp;height=120&amp;START_MAXIMIZED=FALSE&amp;creator=factset&amp;display_string=Audit"}</definedName>
    <definedName name="_1790__FDSAUDITLINK__" hidden="1">{"fdsup://Directions/FactSet Auditing Viewer?action=AUDIT_VALUE&amp;DB=129&amp;ID1=98975F10&amp;VALUEID=02001&amp;SDATE=200702&amp;PERIODTYPE=QTR_STD&amp;SCFT=3&amp;window=popup_no_bar&amp;width=385&amp;height=120&amp;START_MAXIMIZED=FALSE&amp;creator=factset&amp;display_string=Audit"}</definedName>
    <definedName name="_1791__FDSAUDITLINK__" localSheetId="7" hidden="1">{"fdsup://Directions/FactSet Auditing Viewer?action=AUDIT_VALUE&amp;DB=129&amp;ID1=98391910&amp;VALUEID=02001&amp;SDATE=200701&amp;PERIODTYPE=QTR_STD&amp;SCFT=3&amp;window=popup_no_bar&amp;width=385&amp;height=120&amp;START_MAXIMIZED=FALSE&amp;creator=factset&amp;display_string=Audit"}</definedName>
    <definedName name="_1791__FDSAUDITLINK__" hidden="1">{"fdsup://Directions/FactSet Auditing Viewer?action=AUDIT_VALUE&amp;DB=129&amp;ID1=98391910&amp;VALUEID=02001&amp;SDATE=200701&amp;PERIODTYPE=QTR_STD&amp;SCFT=3&amp;window=popup_no_bar&amp;width=385&amp;height=120&amp;START_MAXIMIZED=FALSE&amp;creator=factset&amp;display_string=Audit"}</definedName>
    <definedName name="_1792__FDSAUDITLINK__" localSheetId="7" hidden="1">{"fdsup://Directions/FactSet Auditing Viewer?action=AUDIT_VALUE&amp;DB=129&amp;ID1=98391910&amp;VALUEID=02001&amp;SDATE=200701&amp;PERIODTYPE=QTR_STD&amp;SCFT=3&amp;window=popup_no_bar&amp;width=385&amp;height=120&amp;START_MAXIMIZED=FALSE&amp;creator=factset&amp;display_string=Audit"}</definedName>
    <definedName name="_1792__FDSAUDITLINK__" hidden="1">{"fdsup://Directions/FactSet Auditing Viewer?action=AUDIT_VALUE&amp;DB=129&amp;ID1=98391910&amp;VALUEID=02001&amp;SDATE=200701&amp;PERIODTYPE=QTR_STD&amp;SCFT=3&amp;window=popup_no_bar&amp;width=385&amp;height=120&amp;START_MAXIMIZED=FALSE&amp;creator=factset&amp;display_string=Audit"}</definedName>
    <definedName name="_1793__FDSAUDITLINK__" localSheetId="7" hidden="1">{"fdsup://Directions/FactSet Auditing Viewer?action=AUDIT_VALUE&amp;DB=129&amp;ID1=92829810&amp;VALUEID=02001&amp;SDATE=200702&amp;PERIODTYPE=QTR_STD&amp;SCFT=3&amp;window=popup_no_bar&amp;width=385&amp;height=120&amp;START_MAXIMIZED=FALSE&amp;creator=factset&amp;display_string=Audit"}</definedName>
    <definedName name="_1793__FDSAUDITLINK__" hidden="1">{"fdsup://Directions/FactSet Auditing Viewer?action=AUDIT_VALUE&amp;DB=129&amp;ID1=92829810&amp;VALUEID=02001&amp;SDATE=200702&amp;PERIODTYPE=QTR_STD&amp;SCFT=3&amp;window=popup_no_bar&amp;width=385&amp;height=120&amp;START_MAXIMIZED=FALSE&amp;creator=factset&amp;display_string=Audit"}</definedName>
    <definedName name="_1794__FDSAUDITLINK__" localSheetId="7" hidden="1">{"fdsup://Directions/FactSet Auditing Viewer?action=AUDIT_VALUE&amp;DB=129&amp;ID1=92829810&amp;VALUEID=02001&amp;SDATE=200702&amp;PERIODTYPE=QTR_STD&amp;SCFT=3&amp;window=popup_no_bar&amp;width=385&amp;height=120&amp;START_MAXIMIZED=FALSE&amp;creator=factset&amp;display_string=Audit"}</definedName>
    <definedName name="_1794__FDSAUDITLINK__" hidden="1">{"fdsup://Directions/FactSet Auditing Viewer?action=AUDIT_VALUE&amp;DB=129&amp;ID1=92829810&amp;VALUEID=02001&amp;SDATE=200702&amp;PERIODTYPE=QTR_STD&amp;SCFT=3&amp;window=popup_no_bar&amp;width=385&amp;height=120&amp;START_MAXIMIZED=FALSE&amp;creator=factset&amp;display_string=Audit"}</definedName>
    <definedName name="_1795__FDSAUDITLINK__" localSheetId="7" hidden="1">{"fdsup://Directions/FactSet Auditing Viewer?action=AUDIT_VALUE&amp;DB=129&amp;ID1=88250810&amp;VALUEID=02001&amp;SDATE=200702&amp;PERIODTYPE=QTR_STD&amp;SCFT=3&amp;window=popup_no_bar&amp;width=385&amp;height=120&amp;START_MAXIMIZED=FALSE&amp;creator=factset&amp;display_string=Audit"}</definedName>
    <definedName name="_1795__FDSAUDITLINK__" hidden="1">{"fdsup://Directions/FactSet Auditing Viewer?action=AUDIT_VALUE&amp;DB=129&amp;ID1=88250810&amp;VALUEID=02001&amp;SDATE=200702&amp;PERIODTYPE=QTR_STD&amp;SCFT=3&amp;window=popup_no_bar&amp;width=385&amp;height=120&amp;START_MAXIMIZED=FALSE&amp;creator=factset&amp;display_string=Audit"}</definedName>
    <definedName name="_1796__FDSAUDITLINK__" localSheetId="7" hidden="1">{"fdsup://Directions/FactSet Auditing Viewer?action=AUDIT_VALUE&amp;DB=129&amp;ID1=88250810&amp;VALUEID=02001&amp;SDATE=200702&amp;PERIODTYPE=QTR_STD&amp;SCFT=3&amp;window=popup_no_bar&amp;width=385&amp;height=120&amp;START_MAXIMIZED=FALSE&amp;creator=factset&amp;display_string=Audit"}</definedName>
    <definedName name="_1796__FDSAUDITLINK__" hidden="1">{"fdsup://Directions/FactSet Auditing Viewer?action=AUDIT_VALUE&amp;DB=129&amp;ID1=88250810&amp;VALUEID=02001&amp;SDATE=200702&amp;PERIODTYPE=QTR_STD&amp;SCFT=3&amp;window=popup_no_bar&amp;width=385&amp;height=120&amp;START_MAXIMIZED=FALSE&amp;creator=factset&amp;display_string=Audit"}</definedName>
    <definedName name="_1797__FDSAUDITLINK__" localSheetId="7" hidden="1">{"fdsup://Directions/FactSet Auditing Viewer?action=AUDIT_VALUE&amp;DB=129&amp;ID1=89674K10&amp;VALUEID=02001&amp;SDATE=200702&amp;PERIODTYPE=QTR_STD&amp;SCFT=3&amp;window=popup_no_bar&amp;width=385&amp;height=120&amp;START_MAXIMIZED=FALSE&amp;creator=factset&amp;display_string=Audit"}</definedName>
    <definedName name="_1797__FDSAUDITLINK__" hidden="1">{"fdsup://Directions/FactSet Auditing Viewer?action=AUDIT_VALUE&amp;DB=129&amp;ID1=89674K10&amp;VALUEID=02001&amp;SDATE=200702&amp;PERIODTYPE=QTR_STD&amp;SCFT=3&amp;window=popup_no_bar&amp;width=385&amp;height=120&amp;START_MAXIMIZED=FALSE&amp;creator=factset&amp;display_string=Audit"}</definedName>
    <definedName name="_1798__FDSAUDITLINK__" localSheetId="7" hidden="1">{"fdsup://Directions/FactSet Auditing Viewer?action=AUDIT_VALUE&amp;DB=129&amp;ID1=89674K10&amp;VALUEID=02001&amp;SDATE=200702&amp;PERIODTYPE=QTR_STD&amp;SCFT=3&amp;window=popup_no_bar&amp;width=385&amp;height=120&amp;START_MAXIMIZED=FALSE&amp;creator=factset&amp;display_string=Audit"}</definedName>
    <definedName name="_1798__FDSAUDITLINK__" hidden="1">{"fdsup://Directions/FactSet Auditing Viewer?action=AUDIT_VALUE&amp;DB=129&amp;ID1=89674K10&amp;VALUEID=02001&amp;SDATE=200702&amp;PERIODTYPE=QTR_STD&amp;SCFT=3&amp;window=popup_no_bar&amp;width=385&amp;height=120&amp;START_MAXIMIZED=FALSE&amp;creator=factset&amp;display_string=Audit"}</definedName>
    <definedName name="_1799__FDSAUDITLINK__" localSheetId="7" hidden="1">{"fdsup://Directions/FactSet Auditing Viewer?action=AUDIT_VALUE&amp;DB=129&amp;ID1=83088M10&amp;VALUEID=02001&amp;SDATE=200703&amp;PERIODTYPE=QTR_STD&amp;SCFT=3&amp;window=popup_no_bar&amp;width=385&amp;height=120&amp;START_MAXIMIZED=FALSE&amp;creator=factset&amp;display_string=Audit"}</definedName>
    <definedName name="_1799__FDSAUDITLINK__" hidden="1">{"fdsup://Directions/FactSet Auditing Viewer?action=AUDIT_VALUE&amp;DB=129&amp;ID1=83088M10&amp;VALUEID=02001&amp;SDATE=200703&amp;PERIODTYPE=QTR_STD&amp;SCFT=3&amp;window=popup_no_bar&amp;width=385&amp;height=120&amp;START_MAXIMIZED=FALSE&amp;creator=factset&amp;display_string=Audit"}</definedName>
    <definedName name="_18__FDSAUDITLINK__" localSheetId="7" hidden="1">{"fdsup://Directions/FactSet Auditing Viewer?action=AUDIT_VALUE&amp;DB=129&amp;ID1=03265410&amp;VALUEID=02001&amp;SDATE=201104&amp;PERIODTYPE=QTR_STD&amp;SCFT=3&amp;window=popup_no_bar&amp;width=385&amp;height=120&amp;START_MAXIMIZED=FALSE&amp;creator=factset&amp;display_string=Audit"}</definedName>
    <definedName name="_18__FDSAUDITLINK__" hidden="1">{"fdsup://Directions/FactSet Auditing Viewer?action=AUDIT_VALUE&amp;DB=129&amp;ID1=03265410&amp;VALUEID=02001&amp;SDATE=201104&amp;PERIODTYPE=QTR_STD&amp;SCFT=3&amp;window=popup_no_bar&amp;width=385&amp;height=120&amp;START_MAXIMIZED=FALSE&amp;creator=factset&amp;display_string=Audit"}</definedName>
    <definedName name="_180__FDSAUDITLINK__" localSheetId="7" hidden="1">{"fdsup://Directions/FactSet Auditing Viewer?action=AUDIT_VALUE&amp;DB=129&amp;ID1=82705T10&amp;VALUEID=02001&amp;SDATE=201004&amp;PERIODTYPE=QTR_STD&amp;SCFT=3&amp;window=popup_no_bar&amp;width=385&amp;height=120&amp;START_MAXIMIZED=FALSE&amp;creator=factset&amp;display_string=Audit"}</definedName>
    <definedName name="_180__FDSAUDITLINK__" hidden="1">{"fdsup://Directions/FactSet Auditing Viewer?action=AUDIT_VALUE&amp;DB=129&amp;ID1=82705T10&amp;VALUEID=02001&amp;SDATE=201004&amp;PERIODTYPE=QTR_STD&amp;SCFT=3&amp;window=popup_no_bar&amp;width=385&amp;height=120&amp;START_MAXIMIZED=FALSE&amp;creator=factset&amp;display_string=Audit"}</definedName>
    <definedName name="_1800__FDSAUDITLINK__" localSheetId="7" hidden="1">{"fdsup://Directions/FactSet Auditing Viewer?action=AUDIT_VALUE&amp;DB=129&amp;ID1=83088M10&amp;VALUEID=02001&amp;SDATE=200703&amp;PERIODTYPE=QTR_STD&amp;SCFT=3&amp;window=popup_no_bar&amp;width=385&amp;height=120&amp;START_MAXIMIZED=FALSE&amp;creator=factset&amp;display_string=Audit"}</definedName>
    <definedName name="_1800__FDSAUDITLINK__" hidden="1">{"fdsup://Directions/FactSet Auditing Viewer?action=AUDIT_VALUE&amp;DB=129&amp;ID1=83088M10&amp;VALUEID=02001&amp;SDATE=200703&amp;PERIODTYPE=QTR_STD&amp;SCFT=3&amp;window=popup_no_bar&amp;width=385&amp;height=120&amp;START_MAXIMIZED=FALSE&amp;creator=factset&amp;display_string=Audit"}</definedName>
    <definedName name="_1801__FDSAUDITLINK__" localSheetId="7" hidden="1">{"fdsup://Directions/FactSet Auditing Viewer?action=AUDIT_VALUE&amp;DB=129&amp;ID1=78477410&amp;VALUEID=02001&amp;SDATE=200702&amp;PERIODTYPE=QTR_STD&amp;SCFT=3&amp;window=popup_no_bar&amp;width=385&amp;height=120&amp;START_MAXIMIZED=FALSE&amp;creator=factset&amp;display_string=Audit"}</definedName>
    <definedName name="_1801__FDSAUDITLINK__" hidden="1">{"fdsup://Directions/FactSet Auditing Viewer?action=AUDIT_VALUE&amp;DB=129&amp;ID1=78477410&amp;VALUEID=02001&amp;SDATE=200702&amp;PERIODTYPE=QTR_STD&amp;SCFT=3&amp;window=popup_no_bar&amp;width=385&amp;height=120&amp;START_MAXIMIZED=FALSE&amp;creator=factset&amp;display_string=Audit"}</definedName>
    <definedName name="_1802__FDSAUDITLINK__" localSheetId="7" hidden="1">{"fdsup://Directions/FactSet Auditing Viewer?action=AUDIT_VALUE&amp;DB=129&amp;ID1=78477410&amp;VALUEID=02001&amp;SDATE=200702&amp;PERIODTYPE=QTR_STD&amp;SCFT=3&amp;window=popup_no_bar&amp;width=385&amp;height=120&amp;START_MAXIMIZED=FALSE&amp;creator=factset&amp;display_string=Audit"}</definedName>
    <definedName name="_1802__FDSAUDITLINK__" hidden="1">{"fdsup://Directions/FactSet Auditing Viewer?action=AUDIT_VALUE&amp;DB=129&amp;ID1=78477410&amp;VALUEID=02001&amp;SDATE=200702&amp;PERIODTYPE=QTR_STD&amp;SCFT=3&amp;window=popup_no_bar&amp;width=385&amp;height=120&amp;START_MAXIMIZED=FALSE&amp;creator=factset&amp;display_string=Audit"}</definedName>
    <definedName name="_1803__FDSAUDITLINK__" localSheetId="7" hidden="1">{"fdsup://Directions/FactSet Auditing Viewer?action=AUDIT_VALUE&amp;DB=129&amp;ID1=82705710&amp;VALUEID=02001&amp;SDATE=200702&amp;PERIODTYPE=QTR_STD&amp;SCFT=3&amp;window=popup_no_bar&amp;width=385&amp;height=120&amp;START_MAXIMIZED=FALSE&amp;creator=factset&amp;display_string=Audit"}</definedName>
    <definedName name="_1803__FDSAUDITLINK__" hidden="1">{"fdsup://Directions/FactSet Auditing Viewer?action=AUDIT_VALUE&amp;DB=129&amp;ID1=82705710&amp;VALUEID=02001&amp;SDATE=200702&amp;PERIODTYPE=QTR_STD&amp;SCFT=3&amp;window=popup_no_bar&amp;width=385&amp;height=120&amp;START_MAXIMIZED=FALSE&amp;creator=factset&amp;display_string=Audit"}</definedName>
    <definedName name="_1804__FDSAUDITLINK__" localSheetId="7" hidden="1">{"fdsup://Directions/FactSet Auditing Viewer?action=AUDIT_VALUE&amp;DB=129&amp;ID1=82705710&amp;VALUEID=02001&amp;SDATE=200702&amp;PERIODTYPE=QTR_STD&amp;SCFT=3&amp;window=popup_no_bar&amp;width=385&amp;height=120&amp;START_MAXIMIZED=FALSE&amp;creator=factset&amp;display_string=Audit"}</definedName>
    <definedName name="_1804__FDSAUDITLINK__" hidden="1">{"fdsup://Directions/FactSet Auditing Viewer?action=AUDIT_VALUE&amp;DB=129&amp;ID1=82705710&amp;VALUEID=02001&amp;SDATE=200702&amp;PERIODTYPE=QTR_STD&amp;SCFT=3&amp;window=popup_no_bar&amp;width=385&amp;height=120&amp;START_MAXIMIZED=FALSE&amp;creator=factset&amp;display_string=Audit"}</definedName>
    <definedName name="_1805__FDSAUDITLINK__" localSheetId="7" hidden="1">{"fdsup://Directions/FactSet Auditing Viewer?action=AUDIT_VALUE&amp;DB=129&amp;ID1=83547010&amp;VALUEID=02001&amp;SDATE=200702&amp;PERIODTYPE=QTR_STD&amp;SCFT=3&amp;window=popup_no_bar&amp;width=385&amp;height=120&amp;START_MAXIMIZED=FALSE&amp;creator=factset&amp;display_string=Audit"}</definedName>
    <definedName name="_1805__FDSAUDITLINK__" hidden="1">{"fdsup://Directions/FactSet Auditing Viewer?action=AUDIT_VALUE&amp;DB=129&amp;ID1=83547010&amp;VALUEID=02001&amp;SDATE=200702&amp;PERIODTYPE=QTR_STD&amp;SCFT=3&amp;window=popup_no_bar&amp;width=385&amp;height=120&amp;START_MAXIMIZED=FALSE&amp;creator=factset&amp;display_string=Audit"}</definedName>
    <definedName name="_1806__FDSAUDITLINK__" localSheetId="7" hidden="1">{"fdsup://Directions/FactSet Auditing Viewer?action=AUDIT_VALUE&amp;DB=129&amp;ID1=83547010&amp;VALUEID=02001&amp;SDATE=200702&amp;PERIODTYPE=QTR_STD&amp;SCFT=3&amp;window=popup_no_bar&amp;width=385&amp;height=120&amp;START_MAXIMIZED=FALSE&amp;creator=factset&amp;display_string=Audit"}</definedName>
    <definedName name="_1806__FDSAUDITLINK__" hidden="1">{"fdsup://Directions/FactSet Auditing Viewer?action=AUDIT_VALUE&amp;DB=129&amp;ID1=83547010&amp;VALUEID=02001&amp;SDATE=200702&amp;PERIODTYPE=QTR_STD&amp;SCFT=3&amp;window=popup_no_bar&amp;width=385&amp;height=120&amp;START_MAXIMIZED=FALSE&amp;creator=factset&amp;display_string=Audit"}</definedName>
    <definedName name="_1807__FDSAUDITLINK__" localSheetId="7" hidden="1">{"fdsup://Directions/FactSet Auditing Viewer?action=AUDIT_VALUE&amp;DB=129&amp;ID1=87160710&amp;VALUEID=02001&amp;SDATE=200703&amp;PERIODTYPE=QTR_STD&amp;SCFT=3&amp;window=popup_no_bar&amp;width=385&amp;height=120&amp;START_MAXIMIZED=FALSE&amp;creator=factset&amp;display_string=Audit"}</definedName>
    <definedName name="_1807__FDSAUDITLINK__" hidden="1">{"fdsup://Directions/FactSet Auditing Viewer?action=AUDIT_VALUE&amp;DB=129&amp;ID1=87160710&amp;VALUEID=02001&amp;SDATE=200703&amp;PERIODTYPE=QTR_STD&amp;SCFT=3&amp;window=popup_no_bar&amp;width=385&amp;height=120&amp;START_MAXIMIZED=FALSE&amp;creator=factset&amp;display_string=Audit"}</definedName>
    <definedName name="_1808__FDSAUDITLINK__" localSheetId="7" hidden="1">{"fdsup://Directions/FactSet Auditing Viewer?action=AUDIT_VALUE&amp;DB=129&amp;ID1=87160710&amp;VALUEID=02001&amp;SDATE=200703&amp;PERIODTYPE=QTR_STD&amp;SCFT=3&amp;window=popup_no_bar&amp;width=385&amp;height=120&amp;START_MAXIMIZED=FALSE&amp;creator=factset&amp;display_string=Audit"}</definedName>
    <definedName name="_1808__FDSAUDITLINK__" hidden="1">{"fdsup://Directions/FactSet Auditing Viewer?action=AUDIT_VALUE&amp;DB=129&amp;ID1=87160710&amp;VALUEID=02001&amp;SDATE=200703&amp;PERIODTYPE=QTR_STD&amp;SCFT=3&amp;window=popup_no_bar&amp;width=385&amp;height=120&amp;START_MAXIMIZED=FALSE&amp;creator=factset&amp;display_string=Audit"}</definedName>
    <definedName name="_1809__FDSAUDITLINK__" localSheetId="7" hidden="1">{"fdsup://Directions/FactSet Auditing Viewer?action=AUDIT_VALUE&amp;DB=129&amp;ID1=80004C10&amp;VALUEID=02001&amp;SDATE=200702&amp;PERIODTYPE=QTR_STD&amp;SCFT=3&amp;window=popup_no_bar&amp;width=385&amp;height=120&amp;START_MAXIMIZED=FALSE&amp;creator=factset&amp;display_string=Audit"}</definedName>
    <definedName name="_1809__FDSAUDITLINK__" hidden="1">{"fdsup://Directions/FactSet Auditing Viewer?action=AUDIT_VALUE&amp;DB=129&amp;ID1=80004C10&amp;VALUEID=02001&amp;SDATE=200702&amp;PERIODTYPE=QTR_STD&amp;SCFT=3&amp;window=popup_no_bar&amp;width=385&amp;height=120&amp;START_MAXIMIZED=FALSE&amp;creator=factset&amp;display_string=Audit"}</definedName>
    <definedName name="_181__FDSAUDITLINK__" localSheetId="7" hidden="1">{"fdsup://Directions/FactSet Auditing Viewer?action=AUDIT_VALUE&amp;DB=129&amp;ID1=75091710&amp;VALUEID=02001&amp;SDATE=201004&amp;PERIODTYPE=QTR_STD&amp;SCFT=3&amp;window=popup_no_bar&amp;width=385&amp;height=120&amp;START_MAXIMIZED=FALSE&amp;creator=factset&amp;display_string=Audit"}</definedName>
    <definedName name="_181__FDSAUDITLINK__" hidden="1">{"fdsup://Directions/FactSet Auditing Viewer?action=AUDIT_VALUE&amp;DB=129&amp;ID1=75091710&amp;VALUEID=02001&amp;SDATE=201004&amp;PERIODTYPE=QTR_STD&amp;SCFT=3&amp;window=popup_no_bar&amp;width=385&amp;height=120&amp;START_MAXIMIZED=FALSE&amp;creator=factset&amp;display_string=Audit"}</definedName>
    <definedName name="_1810__FDSAUDITLINK__" localSheetId="7" hidden="1">{"fdsup://Directions/FactSet Auditing Viewer?action=AUDIT_VALUE&amp;DB=129&amp;ID1=80004C10&amp;VALUEID=02001&amp;SDATE=200702&amp;PERIODTYPE=QTR_STD&amp;SCFT=3&amp;window=popup_no_bar&amp;width=385&amp;height=120&amp;START_MAXIMIZED=FALSE&amp;creator=factset&amp;display_string=Audit"}</definedName>
    <definedName name="_1810__FDSAUDITLINK__" hidden="1">{"fdsup://Directions/FactSet Auditing Viewer?action=AUDIT_VALUE&amp;DB=129&amp;ID1=80004C10&amp;VALUEID=02001&amp;SDATE=200702&amp;PERIODTYPE=QTR_STD&amp;SCFT=3&amp;window=popup_no_bar&amp;width=385&amp;height=120&amp;START_MAXIMIZED=FALSE&amp;creator=factset&amp;display_string=Audit"}</definedName>
    <definedName name="_1811__FDSAUDITLINK__" localSheetId="7" hidden="1">{"fdsup://Directions/FactSet Auditing Viewer?action=AUDIT_VALUE&amp;DB=129&amp;ID1=81685010&amp;VALUEID=02001&amp;SDATE=200702&amp;PERIODTYPE=QTR_STD&amp;SCFT=3&amp;window=popup_no_bar&amp;width=385&amp;height=120&amp;START_MAXIMIZED=FALSE&amp;creator=factset&amp;display_string=Audit"}</definedName>
    <definedName name="_1811__FDSAUDITLINK__" hidden="1">{"fdsup://Directions/FactSet Auditing Viewer?action=AUDIT_VALUE&amp;DB=129&amp;ID1=81685010&amp;VALUEID=02001&amp;SDATE=200702&amp;PERIODTYPE=QTR_STD&amp;SCFT=3&amp;window=popup_no_bar&amp;width=385&amp;height=120&amp;START_MAXIMIZED=FALSE&amp;creator=factset&amp;display_string=Audit"}</definedName>
    <definedName name="_1812__FDSAUDITLINK__" localSheetId="7" hidden="1">{"fdsup://Directions/FactSet Auditing Viewer?action=AUDIT_VALUE&amp;DB=129&amp;ID1=81685010&amp;VALUEID=02001&amp;SDATE=200702&amp;PERIODTYPE=QTR_STD&amp;SCFT=3&amp;window=popup_no_bar&amp;width=385&amp;height=120&amp;START_MAXIMIZED=FALSE&amp;creator=factset&amp;display_string=Audit"}</definedName>
    <definedName name="_1812__FDSAUDITLINK__" hidden="1">{"fdsup://Directions/FactSet Auditing Viewer?action=AUDIT_VALUE&amp;DB=129&amp;ID1=81685010&amp;VALUEID=02001&amp;SDATE=200702&amp;PERIODTYPE=QTR_STD&amp;SCFT=3&amp;window=popup_no_bar&amp;width=385&amp;height=120&amp;START_MAXIMIZED=FALSE&amp;creator=factset&amp;display_string=Audit"}</definedName>
    <definedName name="_1813__FDSAUDITLINK__" localSheetId="7" hidden="1">{"fdsup://Directions/FactSet Auditing Viewer?action=AUDIT_VALUE&amp;DB=129&amp;ID1=82691910&amp;VALUEID=02001&amp;SDATE=200702&amp;PERIODTYPE=QTR_STD&amp;SCFT=3&amp;window=popup_no_bar&amp;width=385&amp;height=120&amp;START_MAXIMIZED=FALSE&amp;creator=factset&amp;display_string=Audit"}</definedName>
    <definedName name="_1813__FDSAUDITLINK__" hidden="1">{"fdsup://Directions/FactSet Auditing Viewer?action=AUDIT_VALUE&amp;DB=129&amp;ID1=82691910&amp;VALUEID=02001&amp;SDATE=200702&amp;PERIODTYPE=QTR_STD&amp;SCFT=3&amp;window=popup_no_bar&amp;width=385&amp;height=120&amp;START_MAXIMIZED=FALSE&amp;creator=factset&amp;display_string=Audit"}</definedName>
    <definedName name="_1814__FDSAUDITLINK__" localSheetId="7" hidden="1">{"fdsup://Directions/FactSet Auditing Viewer?action=AUDIT_VALUE&amp;DB=129&amp;ID1=82691910&amp;VALUEID=02001&amp;SDATE=200702&amp;PERIODTYPE=QTR_STD&amp;SCFT=3&amp;window=popup_no_bar&amp;width=385&amp;height=120&amp;START_MAXIMIZED=FALSE&amp;creator=factset&amp;display_string=Audit"}</definedName>
    <definedName name="_1814__FDSAUDITLINK__" hidden="1">{"fdsup://Directions/FactSet Auditing Viewer?action=AUDIT_VALUE&amp;DB=129&amp;ID1=82691910&amp;VALUEID=02001&amp;SDATE=200702&amp;PERIODTYPE=QTR_STD&amp;SCFT=3&amp;window=popup_no_bar&amp;width=385&amp;height=120&amp;START_MAXIMIZED=FALSE&amp;creator=factset&amp;display_string=Audit"}</definedName>
    <definedName name="_1815__FDSAUDITLINK__" localSheetId="7" hidden="1">{"fdsup://Directions/FactSet Auditing Viewer?action=AUDIT_VALUE&amp;DB=129&amp;ID1=82705T10&amp;VALUEID=02001&amp;SDATE=200702&amp;PERIODTYPE=QTR_STD&amp;SCFT=3&amp;window=popup_no_bar&amp;width=385&amp;height=120&amp;START_MAXIMIZED=FALSE&amp;creator=factset&amp;display_string=Audit"}</definedName>
    <definedName name="_1815__FDSAUDITLINK__" hidden="1">{"fdsup://Directions/FactSet Auditing Viewer?action=AUDIT_VALUE&amp;DB=129&amp;ID1=82705T10&amp;VALUEID=02001&amp;SDATE=200702&amp;PERIODTYPE=QTR_STD&amp;SCFT=3&amp;window=popup_no_bar&amp;width=385&amp;height=120&amp;START_MAXIMIZED=FALSE&amp;creator=factset&amp;display_string=Audit"}</definedName>
    <definedName name="_1816__FDSAUDITLINK__" localSheetId="7" hidden="1">{"fdsup://Directions/FactSet Auditing Viewer?action=AUDIT_VALUE&amp;DB=129&amp;ID1=82705T10&amp;VALUEID=02001&amp;SDATE=200702&amp;PERIODTYPE=QTR_STD&amp;SCFT=3&amp;window=popup_no_bar&amp;width=385&amp;height=120&amp;START_MAXIMIZED=FALSE&amp;creator=factset&amp;display_string=Audit"}</definedName>
    <definedName name="_1816__FDSAUDITLINK__" hidden="1">{"fdsup://Directions/FactSet Auditing Viewer?action=AUDIT_VALUE&amp;DB=129&amp;ID1=82705T10&amp;VALUEID=02001&amp;SDATE=200702&amp;PERIODTYPE=QTR_STD&amp;SCFT=3&amp;window=popup_no_bar&amp;width=385&amp;height=120&amp;START_MAXIMIZED=FALSE&amp;creator=factset&amp;display_string=Audit"}</definedName>
    <definedName name="_1817__FDSAUDITLINK__" localSheetId="7" hidden="1">{"fdsup://Directions/FactSet Auditing Viewer?action=AUDIT_VALUE&amp;DB=129&amp;ID1=75091710&amp;VALUEID=02001&amp;SDATE=200702&amp;PERIODTYPE=QTR_STD&amp;SCFT=3&amp;window=popup_no_bar&amp;width=385&amp;height=120&amp;START_MAXIMIZED=FALSE&amp;creator=factset&amp;display_string=Audit"}</definedName>
    <definedName name="_1817__FDSAUDITLINK__" hidden="1">{"fdsup://Directions/FactSet Auditing Viewer?action=AUDIT_VALUE&amp;DB=129&amp;ID1=75091710&amp;VALUEID=02001&amp;SDATE=200702&amp;PERIODTYPE=QTR_STD&amp;SCFT=3&amp;window=popup_no_bar&amp;width=385&amp;height=120&amp;START_MAXIMIZED=FALSE&amp;creator=factset&amp;display_string=Audit"}</definedName>
    <definedName name="_1818__FDSAUDITLINK__" localSheetId="7" hidden="1">{"fdsup://Directions/FactSet Auditing Viewer?action=AUDIT_VALUE&amp;DB=129&amp;ID1=75091710&amp;VALUEID=02001&amp;SDATE=200702&amp;PERIODTYPE=QTR_STD&amp;SCFT=3&amp;window=popup_no_bar&amp;width=385&amp;height=120&amp;START_MAXIMIZED=FALSE&amp;creator=factset&amp;display_string=Audit"}</definedName>
    <definedName name="_1818__FDSAUDITLINK__" hidden="1">{"fdsup://Directions/FactSet Auditing Viewer?action=AUDIT_VALUE&amp;DB=129&amp;ID1=75091710&amp;VALUEID=02001&amp;SDATE=200702&amp;PERIODTYPE=QTR_STD&amp;SCFT=3&amp;window=popup_no_bar&amp;width=385&amp;height=120&amp;START_MAXIMIZED=FALSE&amp;creator=factset&amp;display_string=Audit"}</definedName>
    <definedName name="_1819__FDSAUDITLINK__" localSheetId="7" hidden="1">{"fdsup://Directions/FactSet Auditing Viewer?action=AUDIT_VALUE&amp;DB=129&amp;ID1=74994110&amp;VALUEID=02001&amp;SDATE=200701&amp;PERIODTYPE=QTR_STD&amp;SCFT=3&amp;window=popup_no_bar&amp;width=385&amp;height=120&amp;START_MAXIMIZED=FALSE&amp;creator=factset&amp;display_string=Audit"}</definedName>
    <definedName name="_1819__FDSAUDITLINK__" hidden="1">{"fdsup://Directions/FactSet Auditing Viewer?action=AUDIT_VALUE&amp;DB=129&amp;ID1=74994110&amp;VALUEID=02001&amp;SDATE=200701&amp;PERIODTYPE=QTR_STD&amp;SCFT=3&amp;window=popup_no_bar&amp;width=385&amp;height=120&amp;START_MAXIMIZED=FALSE&amp;creator=factset&amp;display_string=Audit"}</definedName>
    <definedName name="_182__FDSAUDITLINK__" localSheetId="7" hidden="1">{"fdsup://Directions/FactSet Auditing Viewer?action=AUDIT_VALUE&amp;DB=129&amp;ID1=75091710&amp;VALUEID=02001&amp;SDATE=201004&amp;PERIODTYPE=QTR_STD&amp;SCFT=3&amp;window=popup_no_bar&amp;width=385&amp;height=120&amp;START_MAXIMIZED=FALSE&amp;creator=factset&amp;display_string=Audit"}</definedName>
    <definedName name="_182__FDSAUDITLINK__" hidden="1">{"fdsup://Directions/FactSet Auditing Viewer?action=AUDIT_VALUE&amp;DB=129&amp;ID1=75091710&amp;VALUEID=02001&amp;SDATE=201004&amp;PERIODTYPE=QTR_STD&amp;SCFT=3&amp;window=popup_no_bar&amp;width=385&amp;height=120&amp;START_MAXIMIZED=FALSE&amp;creator=factset&amp;display_string=Audit"}</definedName>
    <definedName name="_1820__FDSAUDITLINK__" localSheetId="7" hidden="1">{"fdsup://Directions/FactSet Auditing Viewer?action=AUDIT_VALUE&amp;DB=129&amp;ID1=74994110&amp;VALUEID=02001&amp;SDATE=200701&amp;PERIODTYPE=QTR_STD&amp;SCFT=3&amp;window=popup_no_bar&amp;width=385&amp;height=120&amp;START_MAXIMIZED=FALSE&amp;creator=factset&amp;display_string=Audit"}</definedName>
    <definedName name="_1820__FDSAUDITLINK__" hidden="1">{"fdsup://Directions/FactSet Auditing Viewer?action=AUDIT_VALUE&amp;DB=129&amp;ID1=74994110&amp;VALUEID=02001&amp;SDATE=200701&amp;PERIODTYPE=QTR_STD&amp;SCFT=3&amp;window=popup_no_bar&amp;width=385&amp;height=120&amp;START_MAXIMIZED=FALSE&amp;creator=factset&amp;display_string=Audit"}</definedName>
    <definedName name="_1821__FDSAUDITLINK__" localSheetId="7" hidden="1">{"fdsup://Directions/FactSet Auditing Viewer?action=AUDIT_VALUE&amp;DB=129&amp;ID1=74727710&amp;VALUEID=02001&amp;SDATE=200701&amp;PERIODTYPE=QTR_STD&amp;SCFT=3&amp;window=popup_no_bar&amp;width=385&amp;height=120&amp;START_MAXIMIZED=FALSE&amp;creator=factset&amp;display_string=Audit"}</definedName>
    <definedName name="_1821__FDSAUDITLINK__" hidden="1">{"fdsup://Directions/FactSet Auditing Viewer?action=AUDIT_VALUE&amp;DB=129&amp;ID1=74727710&amp;VALUEID=02001&amp;SDATE=200701&amp;PERIODTYPE=QTR_STD&amp;SCFT=3&amp;window=popup_no_bar&amp;width=385&amp;height=120&amp;START_MAXIMIZED=FALSE&amp;creator=factset&amp;display_string=Audit"}</definedName>
    <definedName name="_1822__FDSAUDITLINK__" localSheetId="7" hidden="1">{"fdsup://Directions/FactSet Auditing Viewer?action=AUDIT_VALUE&amp;DB=129&amp;ID1=74727710&amp;VALUEID=02001&amp;SDATE=200701&amp;PERIODTYPE=QTR_STD&amp;SCFT=3&amp;window=popup_no_bar&amp;width=385&amp;height=120&amp;START_MAXIMIZED=FALSE&amp;creator=factset&amp;display_string=Audit"}</definedName>
    <definedName name="_1822__FDSAUDITLINK__" hidden="1">{"fdsup://Directions/FactSet Auditing Viewer?action=AUDIT_VALUE&amp;DB=129&amp;ID1=74727710&amp;VALUEID=02001&amp;SDATE=200701&amp;PERIODTYPE=QTR_STD&amp;SCFT=3&amp;window=popup_no_bar&amp;width=385&amp;height=120&amp;START_MAXIMIZED=FALSE&amp;creator=factset&amp;display_string=Audit"}</definedName>
    <definedName name="_1823__FDSAUDITLINK__" localSheetId="7" hidden="1">{"fdsup://Directions/FactSet Auditing Viewer?action=AUDIT_VALUE&amp;DB=129&amp;ID1=74752510&amp;VALUEID=02001&amp;SDATE=200703&amp;PERIODTYPE=QTR_STD&amp;SCFT=3&amp;window=popup_no_bar&amp;width=385&amp;height=120&amp;START_MAXIMIZED=FALSE&amp;creator=factset&amp;display_string=Audit"}</definedName>
    <definedName name="_1823__FDSAUDITLINK__" hidden="1">{"fdsup://Directions/FactSet Auditing Viewer?action=AUDIT_VALUE&amp;DB=129&amp;ID1=74752510&amp;VALUEID=02001&amp;SDATE=200703&amp;PERIODTYPE=QTR_STD&amp;SCFT=3&amp;window=popup_no_bar&amp;width=385&amp;height=120&amp;START_MAXIMIZED=FALSE&amp;creator=factset&amp;display_string=Audit"}</definedName>
    <definedName name="_1824__FDSAUDITLINK__" localSheetId="7" hidden="1">{"fdsup://Directions/FactSet Auditing Viewer?action=AUDIT_VALUE&amp;DB=129&amp;ID1=74752510&amp;VALUEID=02001&amp;SDATE=200703&amp;PERIODTYPE=QTR_STD&amp;SCFT=3&amp;window=popup_no_bar&amp;width=385&amp;height=120&amp;START_MAXIMIZED=FALSE&amp;creator=factset&amp;display_string=Audit"}</definedName>
    <definedName name="_1824__FDSAUDITLINK__" hidden="1">{"fdsup://Directions/FactSet Auditing Viewer?action=AUDIT_VALUE&amp;DB=129&amp;ID1=74752510&amp;VALUEID=02001&amp;SDATE=200703&amp;PERIODTYPE=QTR_STD&amp;SCFT=3&amp;window=popup_no_bar&amp;width=385&amp;height=120&amp;START_MAXIMIZED=FALSE&amp;creator=factset&amp;display_string=Audit"}</definedName>
    <definedName name="_1825__FDSAUDITLINK__" localSheetId="7" hidden="1">{"fdsup://Directions/FactSet Auditing Viewer?action=AUDIT_VALUE&amp;DB=129&amp;ID1=72581M30&amp;VALUEID=02001&amp;SDATE=200702&amp;PERIODTYPE=QTR_STD&amp;SCFT=3&amp;window=popup_no_bar&amp;width=385&amp;height=120&amp;START_MAXIMIZED=FALSE&amp;creator=factset&amp;display_string=Audit"}</definedName>
    <definedName name="_1825__FDSAUDITLINK__" hidden="1">{"fdsup://Directions/FactSet Auditing Viewer?action=AUDIT_VALUE&amp;DB=129&amp;ID1=72581M30&amp;VALUEID=02001&amp;SDATE=200702&amp;PERIODTYPE=QTR_STD&amp;SCFT=3&amp;window=popup_no_bar&amp;width=385&amp;height=120&amp;START_MAXIMIZED=FALSE&amp;creator=factset&amp;display_string=Audit"}</definedName>
    <definedName name="_1826__FDSAUDITLINK__" localSheetId="7" hidden="1">{"fdsup://Directions/FactSet Auditing Viewer?action=AUDIT_VALUE&amp;DB=129&amp;ID1=72581M30&amp;VALUEID=02001&amp;SDATE=200702&amp;PERIODTYPE=QTR_STD&amp;SCFT=3&amp;window=popup_no_bar&amp;width=385&amp;height=120&amp;START_MAXIMIZED=FALSE&amp;creator=factset&amp;display_string=Audit"}</definedName>
    <definedName name="_1826__FDSAUDITLINK__" hidden="1">{"fdsup://Directions/FactSet Auditing Viewer?action=AUDIT_VALUE&amp;DB=129&amp;ID1=72581M30&amp;VALUEID=02001&amp;SDATE=200702&amp;PERIODTYPE=QTR_STD&amp;SCFT=3&amp;window=popup_no_bar&amp;width=385&amp;height=120&amp;START_MAXIMIZED=FALSE&amp;creator=factset&amp;display_string=Audit"}</definedName>
    <definedName name="_1827__FDSAUDITLINK__" localSheetId="7" hidden="1">{"fdsup://Directions/FactSet Auditing Viewer?action=AUDIT_VALUE&amp;DB=129&amp;ID1=73927610&amp;VALUEID=02001&amp;SDATE=200702&amp;PERIODTYPE=QTR_STD&amp;SCFT=3&amp;window=popup_no_bar&amp;width=385&amp;height=120&amp;START_MAXIMIZED=FALSE&amp;creator=factset&amp;display_string=Audit"}</definedName>
    <definedName name="_1827__FDSAUDITLINK__" hidden="1">{"fdsup://Directions/FactSet Auditing Viewer?action=AUDIT_VALUE&amp;DB=129&amp;ID1=73927610&amp;VALUEID=02001&amp;SDATE=200702&amp;PERIODTYPE=QTR_STD&amp;SCFT=3&amp;window=popup_no_bar&amp;width=385&amp;height=120&amp;START_MAXIMIZED=FALSE&amp;creator=factset&amp;display_string=Audit"}</definedName>
    <definedName name="_1828__FDSAUDITLINK__" localSheetId="7" hidden="1">{"fdsup://Directions/FactSet Auditing Viewer?action=AUDIT_VALUE&amp;DB=129&amp;ID1=73927610&amp;VALUEID=02001&amp;SDATE=200702&amp;PERIODTYPE=QTR_STD&amp;SCFT=3&amp;window=popup_no_bar&amp;width=385&amp;height=120&amp;START_MAXIMIZED=FALSE&amp;creator=factset&amp;display_string=Audit"}</definedName>
    <definedName name="_1828__FDSAUDITLINK__" hidden="1">{"fdsup://Directions/FactSet Auditing Viewer?action=AUDIT_VALUE&amp;DB=129&amp;ID1=73927610&amp;VALUEID=02001&amp;SDATE=200702&amp;PERIODTYPE=QTR_STD&amp;SCFT=3&amp;window=popup_no_bar&amp;width=385&amp;height=120&amp;START_MAXIMIZED=FALSE&amp;creator=factset&amp;display_string=Audit"}</definedName>
    <definedName name="_1829__FDSAUDITLINK__" localSheetId="7" hidden="1">{"fdsup://Directions/FactSet Auditing Viewer?action=AUDIT_VALUE&amp;DB=129&amp;ID1=69344F10&amp;VALUEID=02001&amp;SDATE=200702&amp;PERIODTYPE=QTR_STD&amp;SCFT=3&amp;window=popup_no_bar&amp;width=385&amp;height=120&amp;START_MAXIMIZED=FALSE&amp;creator=factset&amp;display_string=Audit"}</definedName>
    <definedName name="_1829__FDSAUDITLINK__" hidden="1">{"fdsup://Directions/FactSet Auditing Viewer?action=AUDIT_VALUE&amp;DB=129&amp;ID1=69344F10&amp;VALUEID=02001&amp;SDATE=200702&amp;PERIODTYPE=QTR_STD&amp;SCFT=3&amp;window=popup_no_bar&amp;width=385&amp;height=120&amp;START_MAXIMIZED=FALSE&amp;creator=factset&amp;display_string=Audit"}</definedName>
    <definedName name="_183__FDSAUDITLINK__" localSheetId="7" hidden="1">{"fdsup://Directions/FactSet Auditing Viewer?action=AUDIT_VALUE&amp;DB=129&amp;ID1=74994110&amp;VALUEID=02001&amp;SDATE=201003&amp;PERIODTYPE=QTR_STD&amp;SCFT=3&amp;window=popup_no_bar&amp;width=385&amp;height=120&amp;START_MAXIMIZED=FALSE&amp;creator=factset&amp;display_string=Audit"}</definedName>
    <definedName name="_183__FDSAUDITLINK__" hidden="1">{"fdsup://Directions/FactSet Auditing Viewer?action=AUDIT_VALUE&amp;DB=129&amp;ID1=74994110&amp;VALUEID=02001&amp;SDATE=201003&amp;PERIODTYPE=QTR_STD&amp;SCFT=3&amp;window=popup_no_bar&amp;width=385&amp;height=120&amp;START_MAXIMIZED=FALSE&amp;creator=factset&amp;display_string=Audit"}</definedName>
    <definedName name="_1830__FDSAUDITLINK__" localSheetId="7" hidden="1">{"fdsup://Directions/FactSet Auditing Viewer?action=AUDIT_VALUE&amp;DB=129&amp;ID1=69344F10&amp;VALUEID=02001&amp;SDATE=200702&amp;PERIODTYPE=QTR_STD&amp;SCFT=3&amp;window=popup_no_bar&amp;width=385&amp;height=120&amp;START_MAXIMIZED=FALSE&amp;creator=factset&amp;display_string=Audit"}</definedName>
    <definedName name="_1830__FDSAUDITLINK__" hidden="1">{"fdsup://Directions/FactSet Auditing Viewer?action=AUDIT_VALUE&amp;DB=129&amp;ID1=69344F10&amp;VALUEID=02001&amp;SDATE=200702&amp;PERIODTYPE=QTR_STD&amp;SCFT=3&amp;window=popup_no_bar&amp;width=385&amp;height=120&amp;START_MAXIMIZED=FALSE&amp;creator=factset&amp;display_string=Audit"}</definedName>
    <definedName name="_1831__FDSAUDITLINK__" localSheetId="7" hidden="1">{"fdsup://Directions/FactSet Auditing Viewer?action=AUDIT_VALUE&amp;DB=129&amp;ID1=69341710&amp;VALUEID=02001&amp;SDATE=200702&amp;PERIODTYPE=QTR_STD&amp;SCFT=3&amp;window=popup_no_bar&amp;width=385&amp;height=120&amp;START_MAXIMIZED=FALSE&amp;creator=factset&amp;display_string=Audit"}</definedName>
    <definedName name="_1831__FDSAUDITLINK__" hidden="1">{"fdsup://Directions/FactSet Auditing Viewer?action=AUDIT_VALUE&amp;DB=129&amp;ID1=69341710&amp;VALUEID=02001&amp;SDATE=200702&amp;PERIODTYPE=QTR_STD&amp;SCFT=3&amp;window=popup_no_bar&amp;width=385&amp;height=120&amp;START_MAXIMIZED=FALSE&amp;creator=factset&amp;display_string=Audit"}</definedName>
    <definedName name="_1832__FDSAUDITLINK__" localSheetId="7" hidden="1">{"fdsup://Directions/FactSet Auditing Viewer?action=AUDIT_VALUE&amp;DB=129&amp;ID1=69341710&amp;VALUEID=02001&amp;SDATE=200702&amp;PERIODTYPE=QTR_STD&amp;SCFT=3&amp;window=popup_no_bar&amp;width=385&amp;height=120&amp;START_MAXIMIZED=FALSE&amp;creator=factset&amp;display_string=Audit"}</definedName>
    <definedName name="_1832__FDSAUDITLINK__" hidden="1">{"fdsup://Directions/FactSet Auditing Viewer?action=AUDIT_VALUE&amp;DB=129&amp;ID1=69341710&amp;VALUEID=02001&amp;SDATE=200702&amp;PERIODTYPE=QTR_STD&amp;SCFT=3&amp;window=popup_no_bar&amp;width=385&amp;height=120&amp;START_MAXIMIZED=FALSE&amp;creator=factset&amp;display_string=Audit"}</definedName>
    <definedName name="_1833__FDSAUDITLINK__" localSheetId="7" hidden="1">{"fdsup://Directions/FactSet Auditing Viewer?action=AUDIT_VALUE&amp;DB=129&amp;ID1=68218910&amp;VALUEID=02001&amp;SDATE=200702&amp;PERIODTYPE=QTR_STD&amp;SCFT=3&amp;window=popup_no_bar&amp;width=385&amp;height=120&amp;START_MAXIMIZED=FALSE&amp;creator=factset&amp;display_string=Audit"}</definedName>
    <definedName name="_1833__FDSAUDITLINK__" hidden="1">{"fdsup://Directions/FactSet Auditing Viewer?action=AUDIT_VALUE&amp;DB=129&amp;ID1=68218910&amp;VALUEID=02001&amp;SDATE=200702&amp;PERIODTYPE=QTR_STD&amp;SCFT=3&amp;window=popup_no_bar&amp;width=385&amp;height=120&amp;START_MAXIMIZED=FALSE&amp;creator=factset&amp;display_string=Audit"}</definedName>
    <definedName name="_1834__FDSAUDITLINK__" localSheetId="7" hidden="1">{"fdsup://Directions/FactSet Auditing Viewer?action=AUDIT_VALUE&amp;DB=129&amp;ID1=68218910&amp;VALUEID=02001&amp;SDATE=200702&amp;PERIODTYPE=QTR_STD&amp;SCFT=3&amp;window=popup_no_bar&amp;width=385&amp;height=120&amp;START_MAXIMIZED=FALSE&amp;creator=factset&amp;display_string=Audit"}</definedName>
    <definedName name="_1834__FDSAUDITLINK__" hidden="1">{"fdsup://Directions/FactSet Auditing Viewer?action=AUDIT_VALUE&amp;DB=129&amp;ID1=68218910&amp;VALUEID=02001&amp;SDATE=200702&amp;PERIODTYPE=QTR_STD&amp;SCFT=3&amp;window=popup_no_bar&amp;width=385&amp;height=120&amp;START_MAXIMIZED=FALSE&amp;creator=factset&amp;display_string=Audit"}</definedName>
    <definedName name="_1835__FDSAUDITLINK__" localSheetId="7" hidden="1">{"fdsup://Directions/FactSet Auditing Viewer?action=AUDIT_VALUE&amp;DB=129&amp;ID1=67000810&amp;VALUEID=02001&amp;SDATE=200702&amp;PERIODTYPE=QTR_STD&amp;SCFT=3&amp;window=popup_no_bar&amp;width=385&amp;height=120&amp;START_MAXIMIZED=FALSE&amp;creator=factset&amp;display_string=Audit"}</definedName>
    <definedName name="_1835__FDSAUDITLINK__" hidden="1">{"fdsup://Directions/FactSet Auditing Viewer?action=AUDIT_VALUE&amp;DB=129&amp;ID1=67000810&amp;VALUEID=02001&amp;SDATE=200702&amp;PERIODTYPE=QTR_STD&amp;SCFT=3&amp;window=popup_no_bar&amp;width=385&amp;height=120&amp;START_MAXIMIZED=FALSE&amp;creator=factset&amp;display_string=Audit"}</definedName>
    <definedName name="_1836__FDSAUDITLINK__" localSheetId="7" hidden="1">{"fdsup://Directions/FactSet Auditing Viewer?action=AUDIT_VALUE&amp;DB=129&amp;ID1=67000810&amp;VALUEID=02001&amp;SDATE=200702&amp;PERIODTYPE=QTR_STD&amp;SCFT=3&amp;window=popup_no_bar&amp;width=385&amp;height=120&amp;START_MAXIMIZED=FALSE&amp;creator=factset&amp;display_string=Audit"}</definedName>
    <definedName name="_1836__FDSAUDITLINK__" hidden="1">{"fdsup://Directions/FactSet Auditing Viewer?action=AUDIT_VALUE&amp;DB=129&amp;ID1=67000810&amp;VALUEID=02001&amp;SDATE=200702&amp;PERIODTYPE=QTR_STD&amp;SCFT=3&amp;window=popup_no_bar&amp;width=385&amp;height=120&amp;START_MAXIMIZED=FALSE&amp;creator=factset&amp;display_string=Audit"}</definedName>
    <definedName name="_1837__FDSAUDITLINK__" localSheetId="7" hidden="1">{"fdsup://Directions/FactSet Auditing Viewer?action=AUDIT_VALUE&amp;DB=129&amp;ID1=67066G10&amp;VALUEID=02001&amp;SDATE=200702&amp;PERIODTYPE=QTR_STD&amp;SCFT=3&amp;window=popup_no_bar&amp;width=385&amp;height=120&amp;START_MAXIMIZED=FALSE&amp;creator=factset&amp;display_string=Audit"}</definedName>
    <definedName name="_1837__FDSAUDITLINK__" hidden="1">{"fdsup://Directions/FactSet Auditing Viewer?action=AUDIT_VALUE&amp;DB=129&amp;ID1=67066G10&amp;VALUEID=02001&amp;SDATE=200702&amp;PERIODTYPE=QTR_STD&amp;SCFT=3&amp;window=popup_no_bar&amp;width=385&amp;height=120&amp;START_MAXIMIZED=FALSE&amp;creator=factset&amp;display_string=Audit"}</definedName>
    <definedName name="_1838__FDSAUDITLINK__" localSheetId="7" hidden="1">{"fdsup://Directions/FactSet Auditing Viewer?action=AUDIT_VALUE&amp;DB=129&amp;ID1=67066G10&amp;VALUEID=02001&amp;SDATE=200702&amp;PERIODTYPE=QTR_STD&amp;SCFT=3&amp;window=popup_no_bar&amp;width=385&amp;height=120&amp;START_MAXIMIZED=FALSE&amp;creator=factset&amp;display_string=Audit"}</definedName>
    <definedName name="_1838__FDSAUDITLINK__" hidden="1">{"fdsup://Directions/FactSet Auditing Viewer?action=AUDIT_VALUE&amp;DB=129&amp;ID1=67066G10&amp;VALUEID=02001&amp;SDATE=200702&amp;PERIODTYPE=QTR_STD&amp;SCFT=3&amp;window=popup_no_bar&amp;width=385&amp;height=120&amp;START_MAXIMIZED=FALSE&amp;creator=factset&amp;display_string=Audit"}</definedName>
    <definedName name="_1839__FDSAUDITLINK__" localSheetId="7" hidden="1">{"fdsup://Directions/FactSet Auditing Viewer?action=AUDIT_VALUE&amp;DB=129&amp;ID1=64118B10&amp;VALUEID=02001&amp;SDATE=200702&amp;PERIODTYPE=QTR_STD&amp;SCFT=3&amp;window=popup_no_bar&amp;width=385&amp;height=120&amp;START_MAXIMIZED=FALSE&amp;creator=factset&amp;display_string=Audit"}</definedName>
    <definedName name="_1839__FDSAUDITLINK__" hidden="1">{"fdsup://Directions/FactSet Auditing Viewer?action=AUDIT_VALUE&amp;DB=129&amp;ID1=64118B10&amp;VALUEID=02001&amp;SDATE=200702&amp;PERIODTYPE=QTR_STD&amp;SCFT=3&amp;window=popup_no_bar&amp;width=385&amp;height=120&amp;START_MAXIMIZED=FALSE&amp;creator=factset&amp;display_string=Audit"}</definedName>
    <definedName name="_184__FDSAUDITLINK__" localSheetId="7" hidden="1">{"fdsup://Directions/FactSet Auditing Viewer?action=AUDIT_VALUE&amp;DB=129&amp;ID1=74994110&amp;VALUEID=02001&amp;SDATE=201003&amp;PERIODTYPE=QTR_STD&amp;SCFT=3&amp;window=popup_no_bar&amp;width=385&amp;height=120&amp;START_MAXIMIZED=FALSE&amp;creator=factset&amp;display_string=Audit"}</definedName>
    <definedName name="_184__FDSAUDITLINK__" hidden="1">{"fdsup://Directions/FactSet Auditing Viewer?action=AUDIT_VALUE&amp;DB=129&amp;ID1=74994110&amp;VALUEID=02001&amp;SDATE=201003&amp;PERIODTYPE=QTR_STD&amp;SCFT=3&amp;window=popup_no_bar&amp;width=385&amp;height=120&amp;START_MAXIMIZED=FALSE&amp;creator=factset&amp;display_string=Audit"}</definedName>
    <definedName name="_1840__FDSAUDITLINK__" localSheetId="7" hidden="1">{"fdsup://Directions/FactSet Auditing Viewer?action=AUDIT_VALUE&amp;DB=129&amp;ID1=64118B10&amp;VALUEID=02001&amp;SDATE=200702&amp;PERIODTYPE=QTR_STD&amp;SCFT=3&amp;window=popup_no_bar&amp;width=385&amp;height=120&amp;START_MAXIMIZED=FALSE&amp;creator=factset&amp;display_string=Audit"}</definedName>
    <definedName name="_1840__FDSAUDITLINK__" hidden="1">{"fdsup://Directions/FactSet Auditing Viewer?action=AUDIT_VALUE&amp;DB=129&amp;ID1=64118B10&amp;VALUEID=02001&amp;SDATE=200702&amp;PERIODTYPE=QTR_STD&amp;SCFT=3&amp;window=popup_no_bar&amp;width=385&amp;height=120&amp;START_MAXIMIZED=FALSE&amp;creator=factset&amp;display_string=Audit"}</definedName>
    <definedName name="_1841__FDSAUDITLINK__" localSheetId="7" hidden="1">{"fdsup://Directions/FactSet Auditing Viewer?action=AUDIT_VALUE&amp;DB=129&amp;ID1=59511210&amp;VALUEID=02001&amp;SDATE=200703&amp;PERIODTYPE=QTR_STD&amp;SCFT=3&amp;window=popup_no_bar&amp;width=385&amp;height=120&amp;START_MAXIMIZED=FALSE&amp;creator=factset&amp;display_string=Audit"}</definedName>
    <definedName name="_1841__FDSAUDITLINK__" hidden="1">{"fdsup://Directions/FactSet Auditing Viewer?action=AUDIT_VALUE&amp;DB=129&amp;ID1=59511210&amp;VALUEID=02001&amp;SDATE=200703&amp;PERIODTYPE=QTR_STD&amp;SCFT=3&amp;window=popup_no_bar&amp;width=385&amp;height=120&amp;START_MAXIMIZED=FALSE&amp;creator=factset&amp;display_string=Audit"}</definedName>
    <definedName name="_1842__FDSAUDITLINK__" localSheetId="7" hidden="1">{"fdsup://Directions/FactSet Auditing Viewer?action=AUDIT_VALUE&amp;DB=129&amp;ID1=59511210&amp;VALUEID=02001&amp;SDATE=200703&amp;PERIODTYPE=QTR_STD&amp;SCFT=3&amp;window=popup_no_bar&amp;width=385&amp;height=120&amp;START_MAXIMIZED=FALSE&amp;creator=factset&amp;display_string=Audit"}</definedName>
    <definedName name="_1842__FDSAUDITLINK__" hidden="1">{"fdsup://Directions/FactSet Auditing Viewer?action=AUDIT_VALUE&amp;DB=129&amp;ID1=59511210&amp;VALUEID=02001&amp;SDATE=200703&amp;PERIODTYPE=QTR_STD&amp;SCFT=3&amp;window=popup_no_bar&amp;width=385&amp;height=120&amp;START_MAXIMIZED=FALSE&amp;creator=factset&amp;display_string=Audit"}</definedName>
    <definedName name="_1843__FDSAUDITLINK__" localSheetId="7" hidden="1">{"fdsup://Directions/FactSet Auditing Viewer?action=AUDIT_VALUE&amp;DB=129&amp;ID1=59513710&amp;VALUEID=02001&amp;SDATE=200703&amp;PERIODTYPE=QTR_STD&amp;SCFT=3&amp;window=popup_no_bar&amp;width=385&amp;height=120&amp;START_MAXIMIZED=FALSE&amp;creator=factset&amp;display_string=Audit"}</definedName>
    <definedName name="_1843__FDSAUDITLINK__" hidden="1">{"fdsup://Directions/FactSet Auditing Viewer?action=AUDIT_VALUE&amp;DB=129&amp;ID1=59513710&amp;VALUEID=02001&amp;SDATE=200703&amp;PERIODTYPE=QTR_STD&amp;SCFT=3&amp;window=popup_no_bar&amp;width=385&amp;height=120&amp;START_MAXIMIZED=FALSE&amp;creator=factset&amp;display_string=Audit"}</definedName>
    <definedName name="_1844__FDSAUDITLINK__" localSheetId="7" hidden="1">{"fdsup://Directions/FactSet Auditing Viewer?action=AUDIT_VALUE&amp;DB=129&amp;ID1=59513710&amp;VALUEID=02001&amp;SDATE=200703&amp;PERIODTYPE=QTR_STD&amp;SCFT=3&amp;window=popup_no_bar&amp;width=385&amp;height=120&amp;START_MAXIMIZED=FALSE&amp;creator=factset&amp;display_string=Audit"}</definedName>
    <definedName name="_1844__FDSAUDITLINK__" hidden="1">{"fdsup://Directions/FactSet Auditing Viewer?action=AUDIT_VALUE&amp;DB=129&amp;ID1=59513710&amp;VALUEID=02001&amp;SDATE=200703&amp;PERIODTYPE=QTR_STD&amp;SCFT=3&amp;window=popup_no_bar&amp;width=385&amp;height=120&amp;START_MAXIMIZED=FALSE&amp;creator=factset&amp;display_string=Audit"}</definedName>
    <definedName name="_1845__FDSAUDITLINK__" localSheetId="7" hidden="1">{"fdsup://Directions/FactSet Auditing Viewer?action=AUDIT_VALUE&amp;DB=129&amp;ID1=G5876H10&amp;VALUEID=02001&amp;SDATE=200702&amp;PERIODTYPE=QTR_STD&amp;SCFT=3&amp;window=popup_no_bar&amp;width=385&amp;height=120&amp;START_MAXIMIZED=FALSE&amp;creator=factset&amp;display_string=Audit"}</definedName>
    <definedName name="_1845__FDSAUDITLINK__" hidden="1">{"fdsup://Directions/FactSet Auditing Viewer?action=AUDIT_VALUE&amp;DB=129&amp;ID1=G5876H10&amp;VALUEID=02001&amp;SDATE=200702&amp;PERIODTYPE=QTR_STD&amp;SCFT=3&amp;window=popup_no_bar&amp;width=385&amp;height=120&amp;START_MAXIMIZED=FALSE&amp;creator=factset&amp;display_string=Audit"}</definedName>
    <definedName name="_1846__FDSAUDITLINK__" localSheetId="7" hidden="1">{"fdsup://Directions/FactSet Auditing Viewer?action=AUDIT_VALUE&amp;DB=129&amp;ID1=G5876H10&amp;VALUEID=02001&amp;SDATE=200702&amp;PERIODTYPE=QTR_STD&amp;SCFT=3&amp;window=popup_no_bar&amp;width=385&amp;height=120&amp;START_MAXIMIZED=FALSE&amp;creator=factset&amp;display_string=Audit"}</definedName>
    <definedName name="_1846__FDSAUDITLINK__" hidden="1">{"fdsup://Directions/FactSet Auditing Viewer?action=AUDIT_VALUE&amp;DB=129&amp;ID1=G5876H10&amp;VALUEID=02001&amp;SDATE=200702&amp;PERIODTYPE=QTR_STD&amp;SCFT=3&amp;window=popup_no_bar&amp;width=385&amp;height=120&amp;START_MAXIMIZED=FALSE&amp;creator=factset&amp;display_string=Audit"}</definedName>
    <definedName name="_1847__FDSAUDITLINK__" localSheetId="7" hidden="1">{"fdsup://Directions/FactSet Auditing Viewer?action=AUDIT_VALUE&amp;DB=129&amp;ID1=62007630&amp;VALUEID=02001&amp;SDATE=200702&amp;PERIODTYPE=QTR_STD&amp;SCFT=3&amp;window=popup_no_bar&amp;width=385&amp;height=120&amp;START_MAXIMIZED=FALSE&amp;creator=factset&amp;display_string=Audit"}</definedName>
    <definedName name="_1847__FDSAUDITLINK__" hidden="1">{"fdsup://Directions/FactSet Auditing Viewer?action=AUDIT_VALUE&amp;DB=129&amp;ID1=62007630&amp;VALUEID=02001&amp;SDATE=200702&amp;PERIODTYPE=QTR_STD&amp;SCFT=3&amp;window=popup_no_bar&amp;width=385&amp;height=120&amp;START_MAXIMIZED=FALSE&amp;creator=factset&amp;display_string=Audit"}</definedName>
    <definedName name="_1848__FDSAUDITLINK__" localSheetId="7" hidden="1">{"fdsup://Directions/FactSet Auditing Viewer?action=AUDIT_VALUE&amp;DB=129&amp;ID1=62007630&amp;VALUEID=02001&amp;SDATE=200702&amp;PERIODTYPE=QTR_STD&amp;SCFT=3&amp;window=popup_no_bar&amp;width=385&amp;height=120&amp;START_MAXIMIZED=FALSE&amp;creator=factset&amp;display_string=Audit"}</definedName>
    <definedName name="_1848__FDSAUDITLINK__" hidden="1">{"fdsup://Directions/FactSet Auditing Viewer?action=AUDIT_VALUE&amp;DB=129&amp;ID1=62007630&amp;VALUEID=02001&amp;SDATE=200702&amp;PERIODTYPE=QTR_STD&amp;SCFT=3&amp;window=popup_no_bar&amp;width=385&amp;height=120&amp;START_MAXIMIZED=FALSE&amp;creator=factset&amp;display_string=Audit"}</definedName>
    <definedName name="_1849__FDSAUDITLINK__" localSheetId="7" hidden="1">{"fdsup://Directions/FactSet Auditing Viewer?action=AUDIT_VALUE&amp;DB=129&amp;ID1=59479310&amp;VALUEID=02001&amp;SDATE=200702&amp;PERIODTYPE=QTR_STD&amp;SCFT=3&amp;window=popup_no_bar&amp;width=385&amp;height=120&amp;START_MAXIMIZED=FALSE&amp;creator=factset&amp;display_string=Audit"}</definedName>
    <definedName name="_1849__FDSAUDITLINK__" hidden="1">{"fdsup://Directions/FactSet Auditing Viewer?action=AUDIT_VALUE&amp;DB=129&amp;ID1=59479310&amp;VALUEID=02001&amp;SDATE=200702&amp;PERIODTYPE=QTR_STD&amp;SCFT=3&amp;window=popup_no_bar&amp;width=385&amp;height=120&amp;START_MAXIMIZED=FALSE&amp;creator=factset&amp;display_string=Audit"}</definedName>
    <definedName name="_185__FDSAUDITLINK__" localSheetId="7" hidden="1">{"fdsup://Directions/FactSet Auditing Viewer?action=AUDIT_VALUE&amp;DB=129&amp;ID1=74727710&amp;VALUEID=02001&amp;SDATE=201003&amp;PERIODTYPE=QTR_STD&amp;SCFT=3&amp;window=popup_no_bar&amp;width=385&amp;height=120&amp;START_MAXIMIZED=FALSE&amp;creator=factset&amp;display_string=Audit"}</definedName>
    <definedName name="_185__FDSAUDITLINK__" hidden="1">{"fdsup://Directions/FactSet Auditing Viewer?action=AUDIT_VALUE&amp;DB=129&amp;ID1=74727710&amp;VALUEID=02001&amp;SDATE=201003&amp;PERIODTYPE=QTR_STD&amp;SCFT=3&amp;window=popup_no_bar&amp;width=385&amp;height=120&amp;START_MAXIMIZED=FALSE&amp;creator=factset&amp;display_string=Audit"}</definedName>
    <definedName name="_1850__FDSAUDITLINK__" localSheetId="7" hidden="1">{"fdsup://Directions/FactSet Auditing Viewer?action=AUDIT_VALUE&amp;DB=129&amp;ID1=59479310&amp;VALUEID=02001&amp;SDATE=200702&amp;PERIODTYPE=QTR_STD&amp;SCFT=3&amp;window=popup_no_bar&amp;width=385&amp;height=120&amp;START_MAXIMIZED=FALSE&amp;creator=factset&amp;display_string=Audit"}</definedName>
    <definedName name="_1850__FDSAUDITLINK__" hidden="1">{"fdsup://Directions/FactSet Auditing Viewer?action=AUDIT_VALUE&amp;DB=129&amp;ID1=59479310&amp;VALUEID=02001&amp;SDATE=200702&amp;PERIODTYPE=QTR_STD&amp;SCFT=3&amp;window=popup_no_bar&amp;width=385&amp;height=120&amp;START_MAXIMIZED=FALSE&amp;creator=factset&amp;display_string=Audit"}</definedName>
    <definedName name="_1851__FDSAUDITLINK__" localSheetId="7" hidden="1">{"fdsup://Directions/FactSet Auditing Viewer?action=AUDIT_VALUE&amp;DB=129&amp;ID1=59501710&amp;VALUEID=02001&amp;SDATE=200701&amp;PERIODTYPE=QTR_STD&amp;SCFT=3&amp;window=popup_no_bar&amp;width=385&amp;height=120&amp;START_MAXIMIZED=FALSE&amp;creator=factset&amp;display_string=Audit"}</definedName>
    <definedName name="_1851__FDSAUDITLINK__" hidden="1">{"fdsup://Directions/FactSet Auditing Viewer?action=AUDIT_VALUE&amp;DB=129&amp;ID1=59501710&amp;VALUEID=02001&amp;SDATE=200701&amp;PERIODTYPE=QTR_STD&amp;SCFT=3&amp;window=popup_no_bar&amp;width=385&amp;height=120&amp;START_MAXIMIZED=FALSE&amp;creator=factset&amp;display_string=Audit"}</definedName>
    <definedName name="_1852__FDSAUDITLINK__" localSheetId="7" hidden="1">{"fdsup://Directions/FactSet Auditing Viewer?action=AUDIT_VALUE&amp;DB=129&amp;ID1=59501710&amp;VALUEID=02001&amp;SDATE=200701&amp;PERIODTYPE=QTR_STD&amp;SCFT=3&amp;window=popup_no_bar&amp;width=385&amp;height=120&amp;START_MAXIMIZED=FALSE&amp;creator=factset&amp;display_string=Audit"}</definedName>
    <definedName name="_1852__FDSAUDITLINK__" hidden="1">{"fdsup://Directions/FactSet Auditing Viewer?action=AUDIT_VALUE&amp;DB=129&amp;ID1=59501710&amp;VALUEID=02001&amp;SDATE=200701&amp;PERIODTYPE=QTR_STD&amp;SCFT=3&amp;window=popup_no_bar&amp;width=385&amp;height=120&amp;START_MAXIMIZED=FALSE&amp;creator=factset&amp;display_string=Audit"}</definedName>
    <definedName name="_1853__FDSAUDITLINK__" localSheetId="7" hidden="1">{"fdsup://Directions/FactSet Auditing Viewer?action=AUDIT_VALUE&amp;DB=129&amp;ID1=50216110&amp;VALUEID=02001&amp;SDATE=200702&amp;PERIODTYPE=QTR_STD&amp;SCFT=3&amp;window=popup_no_bar&amp;width=385&amp;height=120&amp;START_MAXIMIZED=FALSE&amp;creator=factset&amp;display_string=Audit"}</definedName>
    <definedName name="_1853__FDSAUDITLINK__" hidden="1">{"fdsup://Directions/FactSet Auditing Viewer?action=AUDIT_VALUE&amp;DB=129&amp;ID1=50216110&amp;VALUEID=02001&amp;SDATE=200702&amp;PERIODTYPE=QTR_STD&amp;SCFT=3&amp;window=popup_no_bar&amp;width=385&amp;height=120&amp;START_MAXIMIZED=FALSE&amp;creator=factset&amp;display_string=Audit"}</definedName>
    <definedName name="_1854__FDSAUDITLINK__" localSheetId="7" hidden="1">{"fdsup://Directions/FactSet Auditing Viewer?action=AUDIT_VALUE&amp;DB=129&amp;ID1=50216110&amp;VALUEID=02001&amp;SDATE=200702&amp;PERIODTYPE=QTR_STD&amp;SCFT=3&amp;window=popup_no_bar&amp;width=385&amp;height=120&amp;START_MAXIMIZED=FALSE&amp;creator=factset&amp;display_string=Audit"}</definedName>
    <definedName name="_1854__FDSAUDITLINK__" hidden="1">{"fdsup://Directions/FactSet Auditing Viewer?action=AUDIT_VALUE&amp;DB=129&amp;ID1=50216110&amp;VALUEID=02001&amp;SDATE=200702&amp;PERIODTYPE=QTR_STD&amp;SCFT=3&amp;window=popup_no_bar&amp;width=385&amp;height=120&amp;START_MAXIMIZED=FALSE&amp;creator=factset&amp;display_string=Audit"}</definedName>
    <definedName name="_1855__FDSAUDITLINK__" localSheetId="7" hidden="1">{"fdsup://Directions/FactSet Auditing Viewer?action=AUDIT_VALUE&amp;DB=129&amp;ID1=51841510&amp;VALUEID=02001&amp;SDATE=200702&amp;PERIODTYPE=QTR_STD&amp;SCFT=3&amp;window=popup_no_bar&amp;width=385&amp;height=120&amp;START_MAXIMIZED=FALSE&amp;creator=factset&amp;display_string=Audit"}</definedName>
    <definedName name="_1855__FDSAUDITLINK__" hidden="1">{"fdsup://Directions/FactSet Auditing Viewer?action=AUDIT_VALUE&amp;DB=129&amp;ID1=51841510&amp;VALUEID=02001&amp;SDATE=200702&amp;PERIODTYPE=QTR_STD&amp;SCFT=3&amp;window=popup_no_bar&amp;width=385&amp;height=120&amp;START_MAXIMIZED=FALSE&amp;creator=factset&amp;display_string=Audit"}</definedName>
    <definedName name="_1856__FDSAUDITLINK__" localSheetId="7" hidden="1">{"fdsup://Directions/FactSet Auditing Viewer?action=AUDIT_VALUE&amp;DB=129&amp;ID1=51841510&amp;VALUEID=02001&amp;SDATE=200702&amp;PERIODTYPE=QTR_STD&amp;SCFT=3&amp;window=popup_no_bar&amp;width=385&amp;height=120&amp;START_MAXIMIZED=FALSE&amp;creator=factset&amp;display_string=Audit"}</definedName>
    <definedName name="_1856__FDSAUDITLINK__" hidden="1">{"fdsup://Directions/FactSet Auditing Viewer?action=AUDIT_VALUE&amp;DB=129&amp;ID1=51841510&amp;VALUEID=02001&amp;SDATE=200702&amp;PERIODTYPE=QTR_STD&amp;SCFT=3&amp;window=popup_no_bar&amp;width=385&amp;height=120&amp;START_MAXIMIZED=FALSE&amp;creator=factset&amp;display_string=Audit"}</definedName>
    <definedName name="_1857__FDSAUDITLINK__" localSheetId="7" hidden="1">{"fdsup://Directions/FactSet Auditing Viewer?action=AUDIT_VALUE&amp;DB=129&amp;ID1=48836020&amp;VALUEID=02001&amp;SDATE=200701&amp;PERIODTYPE=QTR_STD&amp;SCFT=3&amp;window=popup_no_bar&amp;width=385&amp;height=120&amp;START_MAXIMIZED=FALSE&amp;creator=factset&amp;display_string=Audit"}</definedName>
    <definedName name="_1857__FDSAUDITLINK__" hidden="1">{"fdsup://Directions/FactSet Auditing Viewer?action=AUDIT_VALUE&amp;DB=129&amp;ID1=48836020&amp;VALUEID=02001&amp;SDATE=200701&amp;PERIODTYPE=QTR_STD&amp;SCFT=3&amp;window=popup_no_bar&amp;width=385&amp;height=120&amp;START_MAXIMIZED=FALSE&amp;creator=factset&amp;display_string=Audit"}</definedName>
    <definedName name="_1858__FDSAUDITLINK__" localSheetId="7" hidden="1">{"fdsup://Directions/FactSet Auditing Viewer?action=AUDIT_VALUE&amp;DB=129&amp;ID1=48836020&amp;VALUEID=02001&amp;SDATE=200701&amp;PERIODTYPE=QTR_STD&amp;SCFT=3&amp;window=popup_no_bar&amp;width=385&amp;height=120&amp;START_MAXIMIZED=FALSE&amp;creator=factset&amp;display_string=Audit"}</definedName>
    <definedName name="_1858__FDSAUDITLINK__" hidden="1">{"fdsup://Directions/FactSet Auditing Viewer?action=AUDIT_VALUE&amp;DB=129&amp;ID1=48836020&amp;VALUEID=02001&amp;SDATE=200701&amp;PERIODTYPE=QTR_STD&amp;SCFT=3&amp;window=popup_no_bar&amp;width=385&amp;height=120&amp;START_MAXIMIZED=FALSE&amp;creator=factset&amp;display_string=Audit"}</definedName>
    <definedName name="_1859__FDSAUDITLINK__" localSheetId="7" hidden="1">{"fdsup://Directions/FactSet Auditing Viewer?action=AUDIT_VALUE&amp;DB=129&amp;ID1=48203R10&amp;VALUEID=02001&amp;SDATE=200702&amp;PERIODTYPE=QTR_STD&amp;SCFT=3&amp;window=popup_no_bar&amp;width=385&amp;height=120&amp;START_MAXIMIZED=FALSE&amp;creator=factset&amp;display_string=Audit"}</definedName>
    <definedName name="_1859__FDSAUDITLINK__" hidden="1">{"fdsup://Directions/FactSet Auditing Viewer?action=AUDIT_VALUE&amp;DB=129&amp;ID1=48203R10&amp;VALUEID=02001&amp;SDATE=200702&amp;PERIODTYPE=QTR_STD&amp;SCFT=3&amp;window=popup_no_bar&amp;width=385&amp;height=120&amp;START_MAXIMIZED=FALSE&amp;creator=factset&amp;display_string=Audit"}</definedName>
    <definedName name="_186__FDSAUDITLINK__" localSheetId="7" hidden="1">{"fdsup://Directions/FactSet Auditing Viewer?action=AUDIT_VALUE&amp;DB=129&amp;ID1=74727710&amp;VALUEID=02001&amp;SDATE=201003&amp;PERIODTYPE=QTR_STD&amp;SCFT=3&amp;window=popup_no_bar&amp;width=385&amp;height=120&amp;START_MAXIMIZED=FALSE&amp;creator=factset&amp;display_string=Audit"}</definedName>
    <definedName name="_186__FDSAUDITLINK__" hidden="1">{"fdsup://Directions/FactSet Auditing Viewer?action=AUDIT_VALUE&amp;DB=129&amp;ID1=74727710&amp;VALUEID=02001&amp;SDATE=201003&amp;PERIODTYPE=QTR_STD&amp;SCFT=3&amp;window=popup_no_bar&amp;width=385&amp;height=120&amp;START_MAXIMIZED=FALSE&amp;creator=factset&amp;display_string=Audit"}</definedName>
    <definedName name="_1860__FDSAUDITLINK__" localSheetId="7" hidden="1">{"fdsup://Directions/FactSet Auditing Viewer?action=AUDIT_VALUE&amp;DB=129&amp;ID1=48203R10&amp;VALUEID=02001&amp;SDATE=200702&amp;PERIODTYPE=QTR_STD&amp;SCFT=3&amp;window=popup_no_bar&amp;width=385&amp;height=120&amp;START_MAXIMIZED=FALSE&amp;creator=factset&amp;display_string=Audit"}</definedName>
    <definedName name="_1860__FDSAUDITLINK__" hidden="1">{"fdsup://Directions/FactSet Auditing Viewer?action=AUDIT_VALUE&amp;DB=129&amp;ID1=48203R10&amp;VALUEID=02001&amp;SDATE=200702&amp;PERIODTYPE=QTR_STD&amp;SCFT=3&amp;window=popup_no_bar&amp;width=385&amp;height=120&amp;START_MAXIMIZED=FALSE&amp;creator=factset&amp;display_string=Audit"}</definedName>
    <definedName name="_1861__FDSAUDITLINK__" localSheetId="7" hidden="1">{"fdsup://Directions/FactSet Auditing Viewer?action=AUDIT_VALUE&amp;DB=129&amp;ID1=46069S10&amp;VALUEID=02001&amp;SDATE=200702&amp;PERIODTYPE=QTR_STD&amp;SCFT=3&amp;window=popup_no_bar&amp;width=385&amp;height=120&amp;START_MAXIMIZED=FALSE&amp;creator=factset&amp;display_string=Audit"}</definedName>
    <definedName name="_1861__FDSAUDITLINK__" hidden="1">{"fdsup://Directions/FactSet Auditing Viewer?action=AUDIT_VALUE&amp;DB=129&amp;ID1=46069S10&amp;VALUEID=02001&amp;SDATE=200702&amp;PERIODTYPE=QTR_STD&amp;SCFT=3&amp;window=popup_no_bar&amp;width=385&amp;height=120&amp;START_MAXIMIZED=FALSE&amp;creator=factset&amp;display_string=Audit"}</definedName>
    <definedName name="_1862__FDSAUDITLINK__" localSheetId="7" hidden="1">{"fdsup://Directions/FactSet Auditing Viewer?action=AUDIT_VALUE&amp;DB=129&amp;ID1=46069S10&amp;VALUEID=02001&amp;SDATE=200702&amp;PERIODTYPE=QTR_STD&amp;SCFT=3&amp;window=popup_no_bar&amp;width=385&amp;height=120&amp;START_MAXIMIZED=FALSE&amp;creator=factset&amp;display_string=Audit"}</definedName>
    <definedName name="_1862__FDSAUDITLINK__" hidden="1">{"fdsup://Directions/FactSet Auditing Viewer?action=AUDIT_VALUE&amp;DB=129&amp;ID1=46069S10&amp;VALUEID=02001&amp;SDATE=200702&amp;PERIODTYPE=QTR_STD&amp;SCFT=3&amp;window=popup_no_bar&amp;width=385&amp;height=120&amp;START_MAXIMIZED=FALSE&amp;creator=factset&amp;display_string=Audit"}</definedName>
    <definedName name="_1863__FDSAUDITLINK__" localSheetId="7" hidden="1">{"fdsup://Directions/FactSet Auditing Viewer?action=AUDIT_VALUE&amp;DB=129&amp;ID1=45814010&amp;VALUEID=02001&amp;SDATE=200702&amp;PERIODTYPE=QTR_STD&amp;SCFT=3&amp;window=popup_no_bar&amp;width=385&amp;height=120&amp;START_MAXIMIZED=FALSE&amp;creator=factset&amp;display_string=Audit"}</definedName>
    <definedName name="_1863__FDSAUDITLINK__" hidden="1">{"fdsup://Directions/FactSet Auditing Viewer?action=AUDIT_VALUE&amp;DB=129&amp;ID1=45814010&amp;VALUEID=02001&amp;SDATE=200702&amp;PERIODTYPE=QTR_STD&amp;SCFT=3&amp;window=popup_no_bar&amp;width=385&amp;height=120&amp;START_MAXIMIZED=FALSE&amp;creator=factset&amp;display_string=Audit"}</definedName>
    <definedName name="_1864__FDSAUDITLINK__" localSheetId="7" hidden="1">{"fdsup://Directions/FactSet Auditing Viewer?action=AUDIT_VALUE&amp;DB=129&amp;ID1=45814010&amp;VALUEID=02001&amp;SDATE=200702&amp;PERIODTYPE=QTR_STD&amp;SCFT=3&amp;window=popup_no_bar&amp;width=385&amp;height=120&amp;START_MAXIMIZED=FALSE&amp;creator=factset&amp;display_string=Audit"}</definedName>
    <definedName name="_1864__FDSAUDITLINK__" hidden="1">{"fdsup://Directions/FactSet Auditing Viewer?action=AUDIT_VALUE&amp;DB=129&amp;ID1=45814010&amp;VALUEID=02001&amp;SDATE=200702&amp;PERIODTYPE=QTR_STD&amp;SCFT=3&amp;window=popup_no_bar&amp;width=385&amp;height=120&amp;START_MAXIMIZED=FALSE&amp;creator=factset&amp;display_string=Audit"}</definedName>
    <definedName name="_1865__FDSAUDITLINK__" localSheetId="7" hidden="1">{"fdsup://Directions/FactSet Auditing Viewer?action=AUDIT_VALUE&amp;DB=129&amp;ID1=45811810&amp;VALUEID=02001&amp;SDATE=200701&amp;PERIODTYPE=QTR_STD&amp;SCFT=3&amp;window=popup_no_bar&amp;width=385&amp;height=120&amp;START_MAXIMIZED=FALSE&amp;creator=factset&amp;display_string=Audit"}</definedName>
    <definedName name="_1865__FDSAUDITLINK__" hidden="1">{"fdsup://Directions/FactSet Auditing Viewer?action=AUDIT_VALUE&amp;DB=129&amp;ID1=45811810&amp;VALUEID=02001&amp;SDATE=200701&amp;PERIODTYPE=QTR_STD&amp;SCFT=3&amp;window=popup_no_bar&amp;width=385&amp;height=120&amp;START_MAXIMIZED=FALSE&amp;creator=factset&amp;display_string=Audit"}</definedName>
    <definedName name="_1866__FDSAUDITLINK__" localSheetId="7" hidden="1">{"fdsup://Directions/FactSet Auditing Viewer?action=AUDIT_VALUE&amp;DB=129&amp;ID1=45811810&amp;VALUEID=02001&amp;SDATE=200701&amp;PERIODTYPE=QTR_STD&amp;SCFT=3&amp;window=popup_no_bar&amp;width=385&amp;height=120&amp;START_MAXIMIZED=FALSE&amp;creator=factset&amp;display_string=Audit"}</definedName>
    <definedName name="_1866__FDSAUDITLINK__" hidden="1">{"fdsup://Directions/FactSet Auditing Viewer?action=AUDIT_VALUE&amp;DB=129&amp;ID1=45811810&amp;VALUEID=02001&amp;SDATE=200701&amp;PERIODTYPE=QTR_STD&amp;SCFT=3&amp;window=popup_no_bar&amp;width=385&amp;height=120&amp;START_MAXIMIZED=FALSE&amp;creator=factset&amp;display_string=Audit"}</definedName>
    <definedName name="_1867__FDSAUDITLINK__" localSheetId="7" hidden="1">{"fdsup://Directions/FactSet Auditing Viewer?action=AUDIT_VALUE&amp;DB=129&amp;ID1=42823610&amp;VALUEID=02001&amp;SDATE=200703&amp;PERIODTYPE=QTR_STD&amp;SCFT=3&amp;window=popup_no_bar&amp;width=385&amp;height=120&amp;START_MAXIMIZED=FALSE&amp;creator=factset&amp;display_string=Audit"}</definedName>
    <definedName name="_1867__FDSAUDITLINK__" hidden="1">{"fdsup://Directions/FactSet Auditing Viewer?action=AUDIT_VALUE&amp;DB=129&amp;ID1=42823610&amp;VALUEID=02001&amp;SDATE=200703&amp;PERIODTYPE=QTR_STD&amp;SCFT=3&amp;window=popup_no_bar&amp;width=385&amp;height=120&amp;START_MAXIMIZED=FALSE&amp;creator=factset&amp;display_string=Audit"}</definedName>
    <definedName name="_1868__FDSAUDITLINK__" localSheetId="7" hidden="1">{"fdsup://Directions/FactSet Auditing Viewer?action=AUDIT_VALUE&amp;DB=129&amp;ID1=42823610&amp;VALUEID=02001&amp;SDATE=200703&amp;PERIODTYPE=QTR_STD&amp;SCFT=3&amp;window=popup_no_bar&amp;width=385&amp;height=120&amp;START_MAXIMIZED=FALSE&amp;creator=factset&amp;display_string=Audit"}</definedName>
    <definedName name="_1868__FDSAUDITLINK__" hidden="1">{"fdsup://Directions/FactSet Auditing Viewer?action=AUDIT_VALUE&amp;DB=129&amp;ID1=42823610&amp;VALUEID=02001&amp;SDATE=200703&amp;PERIODTYPE=QTR_STD&amp;SCFT=3&amp;window=popup_no_bar&amp;width=385&amp;height=120&amp;START_MAXIMIZED=FALSE&amp;creator=factset&amp;display_string=Audit"}</definedName>
    <definedName name="_1869__FDSAUDITLINK__" localSheetId="7" hidden="1">{"fdsup://Directions/FactSet Auditing Viewer?action=AUDIT_VALUE&amp;DB=129&amp;ID1=H2906T10&amp;VALUEID=02001&amp;SDATE=200702&amp;PERIODTYPE=QTR_STD&amp;SCFT=3&amp;window=popup_no_bar&amp;width=385&amp;height=120&amp;START_MAXIMIZED=FALSE&amp;creator=factset&amp;display_string=Audit"}</definedName>
    <definedName name="_1869__FDSAUDITLINK__" hidden="1">{"fdsup://Directions/FactSet Auditing Viewer?action=AUDIT_VALUE&amp;DB=129&amp;ID1=H2906T10&amp;VALUEID=02001&amp;SDATE=200702&amp;PERIODTYPE=QTR_STD&amp;SCFT=3&amp;window=popup_no_bar&amp;width=385&amp;height=120&amp;START_MAXIMIZED=FALSE&amp;creator=factset&amp;display_string=Audit"}</definedName>
    <definedName name="_187__FDSAUDITLINK__" localSheetId="7" hidden="1">{"fdsup://Directions/FactSet Auditing Viewer?action=AUDIT_VALUE&amp;DB=129&amp;ID1=74752510&amp;VALUEID=02001&amp;SDATE=201101&amp;PERIODTYPE=QTR_STD&amp;SCFT=3&amp;window=popup_no_bar&amp;width=385&amp;height=120&amp;START_MAXIMIZED=FALSE&amp;creator=factset&amp;display_string=Audit"}</definedName>
    <definedName name="_187__FDSAUDITLINK__" hidden="1">{"fdsup://Directions/FactSet Auditing Viewer?action=AUDIT_VALUE&amp;DB=129&amp;ID1=74752510&amp;VALUEID=02001&amp;SDATE=201101&amp;PERIODTYPE=QTR_STD&amp;SCFT=3&amp;window=popup_no_bar&amp;width=385&amp;height=120&amp;START_MAXIMIZED=FALSE&amp;creator=factset&amp;display_string=Audit"}</definedName>
    <definedName name="_1870__FDSAUDITLINK__" localSheetId="7" hidden="1">{"fdsup://Directions/FactSet Auditing Viewer?action=AUDIT_VALUE&amp;DB=129&amp;ID1=H2906T10&amp;VALUEID=02001&amp;SDATE=200702&amp;PERIODTYPE=QTR_STD&amp;SCFT=3&amp;window=popup_no_bar&amp;width=385&amp;height=120&amp;START_MAXIMIZED=FALSE&amp;creator=factset&amp;display_string=Audit"}</definedName>
    <definedName name="_1870__FDSAUDITLINK__" hidden="1">{"fdsup://Directions/FactSet Auditing Viewer?action=AUDIT_VALUE&amp;DB=129&amp;ID1=H2906T10&amp;VALUEID=02001&amp;SDATE=200702&amp;PERIODTYPE=QTR_STD&amp;SCFT=3&amp;window=popup_no_bar&amp;width=385&amp;height=120&amp;START_MAXIMIZED=FALSE&amp;creator=factset&amp;display_string=Audit"}</definedName>
    <definedName name="_1871__FDSAUDITLINK__" localSheetId="7" hidden="1">{"fdsup://Directions/FactSet Auditing Viewer?action=AUDIT_VALUE&amp;DB=129&amp;ID1=31561610&amp;VALUEID=02001&amp;SDATE=200703&amp;PERIODTYPE=QTR_STD&amp;SCFT=3&amp;window=popup_no_bar&amp;width=385&amp;height=120&amp;START_MAXIMIZED=FALSE&amp;creator=factset&amp;display_string=Audit"}</definedName>
    <definedName name="_1871__FDSAUDITLINK__" hidden="1">{"fdsup://Directions/FactSet Auditing Viewer?action=AUDIT_VALUE&amp;DB=129&amp;ID1=31561610&amp;VALUEID=02001&amp;SDATE=200703&amp;PERIODTYPE=QTR_STD&amp;SCFT=3&amp;window=popup_no_bar&amp;width=385&amp;height=120&amp;START_MAXIMIZED=FALSE&amp;creator=factset&amp;display_string=Audit"}</definedName>
    <definedName name="_1872__FDSAUDITLINK__" localSheetId="7" hidden="1">{"fdsup://Directions/FactSet Auditing Viewer?action=AUDIT_VALUE&amp;DB=129&amp;ID1=31561610&amp;VALUEID=02001&amp;SDATE=200703&amp;PERIODTYPE=QTR_STD&amp;SCFT=3&amp;window=popup_no_bar&amp;width=385&amp;height=120&amp;START_MAXIMIZED=FALSE&amp;creator=factset&amp;display_string=Audit"}</definedName>
    <definedName name="_1872__FDSAUDITLINK__" hidden="1">{"fdsup://Directions/FactSet Auditing Viewer?action=AUDIT_VALUE&amp;DB=129&amp;ID1=31561610&amp;VALUEID=02001&amp;SDATE=200703&amp;PERIODTYPE=QTR_STD&amp;SCFT=3&amp;window=popup_no_bar&amp;width=385&amp;height=120&amp;START_MAXIMIZED=FALSE&amp;creator=factset&amp;display_string=Audit"}</definedName>
    <definedName name="_1873__FDSAUDITLINK__" localSheetId="7" hidden="1">{"fdsup://Directions/FactSet Auditing Viewer?action=AUDIT_VALUE&amp;DB=129&amp;ID1=24702R10&amp;VALUEID=02001&amp;SDATE=200702&amp;PERIODTYPE=QTR_STD&amp;SCFT=3&amp;window=popup_no_bar&amp;width=385&amp;height=120&amp;START_MAXIMIZED=FALSE&amp;creator=factset&amp;display_string=Audit"}</definedName>
    <definedName name="_1873__FDSAUDITLINK__" hidden="1">{"fdsup://Directions/FactSet Auditing Viewer?action=AUDIT_VALUE&amp;DB=129&amp;ID1=24702R10&amp;VALUEID=02001&amp;SDATE=200702&amp;PERIODTYPE=QTR_STD&amp;SCFT=3&amp;window=popup_no_bar&amp;width=385&amp;height=120&amp;START_MAXIMIZED=FALSE&amp;creator=factset&amp;display_string=Audit"}</definedName>
    <definedName name="_1874__FDSAUDITLINK__" localSheetId="7" hidden="1">{"fdsup://Directions/FactSet Auditing Viewer?action=AUDIT_VALUE&amp;DB=129&amp;ID1=24702R10&amp;VALUEID=02001&amp;SDATE=200702&amp;PERIODTYPE=QTR_STD&amp;SCFT=3&amp;window=popup_no_bar&amp;width=385&amp;height=120&amp;START_MAXIMIZED=FALSE&amp;creator=factset&amp;display_string=Audit"}</definedName>
    <definedName name="_1874__FDSAUDITLINK__" hidden="1">{"fdsup://Directions/FactSet Auditing Viewer?action=AUDIT_VALUE&amp;DB=129&amp;ID1=24702R10&amp;VALUEID=02001&amp;SDATE=200702&amp;PERIODTYPE=QTR_STD&amp;SCFT=3&amp;window=popup_no_bar&amp;width=385&amp;height=120&amp;START_MAXIMIZED=FALSE&amp;creator=factset&amp;display_string=Audit"}</definedName>
    <definedName name="_1875__FDSAUDITLINK__" localSheetId="7" hidden="1">{"fdsup://Directions/FactSet Auditing Viewer?action=AUDIT_VALUE&amp;DB=129&amp;ID1=23257210&amp;VALUEID=02001&amp;SDATE=200702&amp;PERIODTYPE=QTR_STD&amp;SCFT=3&amp;window=popup_no_bar&amp;width=385&amp;height=120&amp;START_MAXIMIZED=FALSE&amp;creator=factset&amp;display_string=Audit"}</definedName>
    <definedName name="_1875__FDSAUDITLINK__" hidden="1">{"fdsup://Directions/FactSet Auditing Viewer?action=AUDIT_VALUE&amp;DB=129&amp;ID1=23257210&amp;VALUEID=02001&amp;SDATE=200702&amp;PERIODTYPE=QTR_STD&amp;SCFT=3&amp;window=popup_no_bar&amp;width=385&amp;height=120&amp;START_MAXIMIZED=FALSE&amp;creator=factset&amp;display_string=Audit"}</definedName>
    <definedName name="_1876__FDSAUDITLINK__" localSheetId="7" hidden="1">{"fdsup://Directions/FactSet Auditing Viewer?action=AUDIT_VALUE&amp;DB=129&amp;ID1=23257210&amp;VALUEID=02001&amp;SDATE=200702&amp;PERIODTYPE=QTR_STD&amp;SCFT=3&amp;window=popup_no_bar&amp;width=385&amp;height=120&amp;START_MAXIMIZED=FALSE&amp;creator=factset&amp;display_string=Audit"}</definedName>
    <definedName name="_1876__FDSAUDITLINK__" hidden="1">{"fdsup://Directions/FactSet Auditing Viewer?action=AUDIT_VALUE&amp;DB=129&amp;ID1=23257210&amp;VALUEID=02001&amp;SDATE=200702&amp;PERIODTYPE=QTR_STD&amp;SCFT=3&amp;window=popup_no_bar&amp;width=385&amp;height=120&amp;START_MAXIMIZED=FALSE&amp;creator=factset&amp;display_string=Audit"}</definedName>
    <definedName name="_1877__FDSAUDITLINK__" localSheetId="7" hidden="1">{"fdsup://Directions/FactSet Auditing Viewer?action=AUDIT_VALUE&amp;DB=129&amp;ID1=23280610&amp;VALUEID=02001&amp;SDATE=200702&amp;PERIODTYPE=QTR_STD&amp;SCFT=3&amp;window=popup_no_bar&amp;width=385&amp;height=120&amp;START_MAXIMIZED=FALSE&amp;creator=factset&amp;display_string=Audit"}</definedName>
    <definedName name="_1877__FDSAUDITLINK__" hidden="1">{"fdsup://Directions/FactSet Auditing Viewer?action=AUDIT_VALUE&amp;DB=129&amp;ID1=23280610&amp;VALUEID=02001&amp;SDATE=200702&amp;PERIODTYPE=QTR_STD&amp;SCFT=3&amp;window=popup_no_bar&amp;width=385&amp;height=120&amp;START_MAXIMIZED=FALSE&amp;creator=factset&amp;display_string=Audit"}</definedName>
    <definedName name="_1878__FDSAUDITLINK__" localSheetId="7" hidden="1">{"fdsup://Directions/FactSet Auditing Viewer?action=AUDIT_VALUE&amp;DB=129&amp;ID1=23280610&amp;VALUEID=02001&amp;SDATE=200702&amp;PERIODTYPE=QTR_STD&amp;SCFT=3&amp;window=popup_no_bar&amp;width=385&amp;height=120&amp;START_MAXIMIZED=FALSE&amp;creator=factset&amp;display_string=Audit"}</definedName>
    <definedName name="_1878__FDSAUDITLINK__" hidden="1">{"fdsup://Directions/FactSet Auditing Viewer?action=AUDIT_VALUE&amp;DB=129&amp;ID1=23280610&amp;VALUEID=02001&amp;SDATE=200702&amp;PERIODTYPE=QTR_STD&amp;SCFT=3&amp;window=popup_no_bar&amp;width=385&amp;height=120&amp;START_MAXIMIZED=FALSE&amp;creator=factset&amp;display_string=Audit"}</definedName>
    <definedName name="_1879__FDSAUDITLINK__" localSheetId="7" hidden="1">{"fdsup://Directions/FactSet Auditing Viewer?action=AUDIT_VALUE&amp;DB=129&amp;ID1=20714230&amp;VALUEID=02001&amp;SDATE=200703&amp;PERIODTYPE=QTR_STD&amp;SCFT=3&amp;window=popup_no_bar&amp;width=385&amp;height=120&amp;START_MAXIMIZED=FALSE&amp;creator=factset&amp;display_string=Audit"}</definedName>
    <definedName name="_1879__FDSAUDITLINK__" hidden="1">{"fdsup://Directions/FactSet Auditing Viewer?action=AUDIT_VALUE&amp;DB=129&amp;ID1=20714230&amp;VALUEID=02001&amp;SDATE=200703&amp;PERIODTYPE=QTR_STD&amp;SCFT=3&amp;window=popup_no_bar&amp;width=385&amp;height=120&amp;START_MAXIMIZED=FALSE&amp;creator=factset&amp;display_string=Audit"}</definedName>
    <definedName name="_188__FDSAUDITLINK__" localSheetId="7" hidden="1">{"fdsup://Directions/FactSet Auditing Viewer?action=AUDIT_VALUE&amp;DB=129&amp;ID1=74752510&amp;VALUEID=02001&amp;SDATE=201101&amp;PERIODTYPE=QTR_STD&amp;SCFT=3&amp;window=popup_no_bar&amp;width=385&amp;height=120&amp;START_MAXIMIZED=FALSE&amp;creator=factset&amp;display_string=Audit"}</definedName>
    <definedName name="_188__FDSAUDITLINK__" hidden="1">{"fdsup://Directions/FactSet Auditing Viewer?action=AUDIT_VALUE&amp;DB=129&amp;ID1=74752510&amp;VALUEID=02001&amp;SDATE=201101&amp;PERIODTYPE=QTR_STD&amp;SCFT=3&amp;window=popup_no_bar&amp;width=385&amp;height=120&amp;START_MAXIMIZED=FALSE&amp;creator=factset&amp;display_string=Audit"}</definedName>
    <definedName name="_1880__FDSAUDITLINK__" localSheetId="7" hidden="1">{"fdsup://Directions/FactSet Auditing Viewer?action=AUDIT_VALUE&amp;DB=129&amp;ID1=20714230&amp;VALUEID=02001&amp;SDATE=200703&amp;PERIODTYPE=QTR_STD&amp;SCFT=3&amp;window=popup_no_bar&amp;width=385&amp;height=120&amp;START_MAXIMIZED=FALSE&amp;creator=factset&amp;display_string=Audit"}</definedName>
    <definedName name="_1880__FDSAUDITLINK__" hidden="1">{"fdsup://Directions/FactSet Auditing Viewer?action=AUDIT_VALUE&amp;DB=129&amp;ID1=20714230&amp;VALUEID=02001&amp;SDATE=200703&amp;PERIODTYPE=QTR_STD&amp;SCFT=3&amp;window=popup_no_bar&amp;width=385&amp;height=120&amp;START_MAXIMIZED=FALSE&amp;creator=factset&amp;display_string=Audit"}</definedName>
    <definedName name="_1881__FDSAUDITLINK__" localSheetId="7" hidden="1">{"fdsup://Directions/FactSet Auditing Viewer?action=AUDIT_VALUE&amp;DB=129&amp;ID1=12738710&amp;VALUEID=02001&amp;SDATE=200702&amp;PERIODTYPE=QTR_STD&amp;SCFT=3&amp;window=popup_no_bar&amp;width=385&amp;height=120&amp;START_MAXIMIZED=FALSE&amp;creator=factset&amp;display_string=Audit"}</definedName>
    <definedName name="_1881__FDSAUDITLINK__" hidden="1">{"fdsup://Directions/FactSet Auditing Viewer?action=AUDIT_VALUE&amp;DB=129&amp;ID1=12738710&amp;VALUEID=02001&amp;SDATE=200702&amp;PERIODTYPE=QTR_STD&amp;SCFT=3&amp;window=popup_no_bar&amp;width=385&amp;height=120&amp;START_MAXIMIZED=FALSE&amp;creator=factset&amp;display_string=Audit"}</definedName>
    <definedName name="_1882__FDSAUDITLINK__" localSheetId="7" hidden="1">{"fdsup://Directions/FactSet Auditing Viewer?action=AUDIT_VALUE&amp;DB=129&amp;ID1=12738710&amp;VALUEID=02001&amp;SDATE=200702&amp;PERIODTYPE=QTR_STD&amp;SCFT=3&amp;window=popup_no_bar&amp;width=385&amp;height=120&amp;START_MAXIMIZED=FALSE&amp;creator=factset&amp;display_string=Audit"}</definedName>
    <definedName name="_1882__FDSAUDITLINK__" hidden="1">{"fdsup://Directions/FactSet Auditing Viewer?action=AUDIT_VALUE&amp;DB=129&amp;ID1=12738710&amp;VALUEID=02001&amp;SDATE=200702&amp;PERIODTYPE=QTR_STD&amp;SCFT=3&amp;window=popup_no_bar&amp;width=385&amp;height=120&amp;START_MAXIMIZED=FALSE&amp;creator=factset&amp;display_string=Audit"}</definedName>
    <definedName name="_1883__FDSAUDITLINK__" localSheetId="7" hidden="1">{"fdsup://Directions/FactSet Auditing Viewer?action=AUDIT_VALUE&amp;DB=129&amp;ID1=14964U10&amp;VALUEID=02001&amp;SDATE=200702&amp;PERIODTYPE=QTR_STD&amp;SCFT=3&amp;window=popup_no_bar&amp;width=385&amp;height=120&amp;START_MAXIMIZED=FALSE&amp;creator=factset&amp;display_string=Audit"}</definedName>
    <definedName name="_1883__FDSAUDITLINK__" hidden="1">{"fdsup://Directions/FactSet Auditing Viewer?action=AUDIT_VALUE&amp;DB=129&amp;ID1=14964U10&amp;VALUEID=02001&amp;SDATE=200702&amp;PERIODTYPE=QTR_STD&amp;SCFT=3&amp;window=popup_no_bar&amp;width=385&amp;height=120&amp;START_MAXIMIZED=FALSE&amp;creator=factset&amp;display_string=Audit"}</definedName>
    <definedName name="_1884__FDSAUDITLINK__" localSheetId="7" hidden="1">{"fdsup://Directions/FactSet Auditing Viewer?action=AUDIT_VALUE&amp;DB=129&amp;ID1=14964U10&amp;VALUEID=02001&amp;SDATE=200702&amp;PERIODTYPE=QTR_STD&amp;SCFT=3&amp;window=popup_no_bar&amp;width=385&amp;height=120&amp;START_MAXIMIZED=FALSE&amp;creator=factset&amp;display_string=Audit"}</definedName>
    <definedName name="_1884__FDSAUDITLINK__" hidden="1">{"fdsup://Directions/FactSet Auditing Viewer?action=AUDIT_VALUE&amp;DB=129&amp;ID1=14964U10&amp;VALUEID=02001&amp;SDATE=200702&amp;PERIODTYPE=QTR_STD&amp;SCFT=3&amp;window=popup_no_bar&amp;width=385&amp;height=120&amp;START_MAXIMIZED=FALSE&amp;creator=factset&amp;display_string=Audit"}</definedName>
    <definedName name="_1885__FDSAUDITLINK__" localSheetId="7" hidden="1">{"fdsup://Directions/FactSet Auditing Viewer?action=AUDIT_VALUE&amp;DB=129&amp;ID1=11162130&amp;VALUEID=02001&amp;SDATE=200703&amp;PERIODTYPE=QTR_STD&amp;SCFT=3&amp;window=popup_no_bar&amp;width=385&amp;height=120&amp;START_MAXIMIZED=FALSE&amp;creator=factset&amp;display_string=Audit"}</definedName>
    <definedName name="_1885__FDSAUDITLINK__" hidden="1">{"fdsup://Directions/FactSet Auditing Viewer?action=AUDIT_VALUE&amp;DB=129&amp;ID1=11162130&amp;VALUEID=02001&amp;SDATE=200703&amp;PERIODTYPE=QTR_STD&amp;SCFT=3&amp;window=popup_no_bar&amp;width=385&amp;height=120&amp;START_MAXIMIZED=FALSE&amp;creator=factset&amp;display_string=Audit"}</definedName>
    <definedName name="_1886__FDSAUDITLINK__" localSheetId="7" hidden="1">{"fdsup://Directions/FactSet Auditing Viewer?action=AUDIT_VALUE&amp;DB=129&amp;ID1=11162130&amp;VALUEID=02001&amp;SDATE=200703&amp;PERIODTYPE=QTR_STD&amp;SCFT=3&amp;window=popup_no_bar&amp;width=385&amp;height=120&amp;START_MAXIMIZED=FALSE&amp;creator=factset&amp;display_string=Audit"}</definedName>
    <definedName name="_1886__FDSAUDITLINK__" hidden="1">{"fdsup://Directions/FactSet Auditing Viewer?action=AUDIT_VALUE&amp;DB=129&amp;ID1=11162130&amp;VALUEID=02001&amp;SDATE=200703&amp;PERIODTYPE=QTR_STD&amp;SCFT=3&amp;window=popup_no_bar&amp;width=385&amp;height=120&amp;START_MAXIMIZED=FALSE&amp;creator=factset&amp;display_string=Audit"}</definedName>
    <definedName name="_1887__FDSAUDITLINK__" localSheetId="7" hidden="1">{"fdsup://Directions/FactSet Auditing Viewer?action=AUDIT_VALUE&amp;DB=129&amp;ID1=04743P10&amp;VALUEID=02001&amp;SDATE=200702&amp;PERIODTYPE=QTR_STD&amp;SCFT=3&amp;window=popup_no_bar&amp;width=385&amp;height=120&amp;START_MAXIMIZED=FALSE&amp;creator=factset&amp;display_string=Audit"}</definedName>
    <definedName name="_1887__FDSAUDITLINK__" hidden="1">{"fdsup://Directions/FactSet Auditing Viewer?action=AUDIT_VALUE&amp;DB=129&amp;ID1=04743P10&amp;VALUEID=02001&amp;SDATE=200702&amp;PERIODTYPE=QTR_STD&amp;SCFT=3&amp;window=popup_no_bar&amp;width=385&amp;height=120&amp;START_MAXIMIZED=FALSE&amp;creator=factset&amp;display_string=Audit"}</definedName>
    <definedName name="_1888__FDSAUDITLINK__" localSheetId="7" hidden="1">{"fdsup://Directions/FactSet Auditing Viewer?action=AUDIT_VALUE&amp;DB=129&amp;ID1=04743P10&amp;VALUEID=02001&amp;SDATE=200702&amp;PERIODTYPE=QTR_STD&amp;SCFT=3&amp;window=popup_no_bar&amp;width=385&amp;height=120&amp;START_MAXIMIZED=FALSE&amp;creator=factset&amp;display_string=Audit"}</definedName>
    <definedName name="_1888__FDSAUDITLINK__" hidden="1">{"fdsup://Directions/FactSet Auditing Viewer?action=AUDIT_VALUE&amp;DB=129&amp;ID1=04743P10&amp;VALUEID=02001&amp;SDATE=200702&amp;PERIODTYPE=QTR_STD&amp;SCFT=3&amp;window=popup_no_bar&amp;width=385&amp;height=120&amp;START_MAXIMIZED=FALSE&amp;creator=factset&amp;display_string=Audit"}</definedName>
    <definedName name="_1889__FDSAUDITLINK__" localSheetId="7" hidden="1">{"fdsup://Directions/FactSet Auditing Viewer?action=AUDIT_VALUE&amp;DB=129&amp;ID1=03251510&amp;VALUEID=02001&amp;SDATE=200702&amp;PERIODTYPE=QTR_STD&amp;SCFT=3&amp;window=popup_no_bar&amp;width=385&amp;height=120&amp;START_MAXIMIZED=FALSE&amp;creator=factset&amp;display_string=Audit"}</definedName>
    <definedName name="_1889__FDSAUDITLINK__" hidden="1">{"fdsup://Directions/FactSet Auditing Viewer?action=AUDIT_VALUE&amp;DB=129&amp;ID1=03251510&amp;VALUEID=02001&amp;SDATE=200702&amp;PERIODTYPE=QTR_STD&amp;SCFT=3&amp;window=popup_no_bar&amp;width=385&amp;height=120&amp;START_MAXIMIZED=FALSE&amp;creator=factset&amp;display_string=Audit"}</definedName>
    <definedName name="_189__FDSAUDITLINK__" localSheetId="7" hidden="1">{"fdsup://Directions/FactSet Auditing Viewer?action=AUDIT_VALUE&amp;DB=129&amp;ID1=72581M30&amp;VALUEID=02001&amp;SDATE=201004&amp;PERIODTYPE=QTR_STD&amp;SCFT=3&amp;window=popup_no_bar&amp;width=385&amp;height=120&amp;START_MAXIMIZED=FALSE&amp;creator=factset&amp;display_string=Audit"}</definedName>
    <definedName name="_189__FDSAUDITLINK__" hidden="1">{"fdsup://Directions/FactSet Auditing Viewer?action=AUDIT_VALUE&amp;DB=129&amp;ID1=72581M30&amp;VALUEID=02001&amp;SDATE=201004&amp;PERIODTYPE=QTR_STD&amp;SCFT=3&amp;window=popup_no_bar&amp;width=385&amp;height=120&amp;START_MAXIMIZED=FALSE&amp;creator=factset&amp;display_string=Audit"}</definedName>
    <definedName name="_1890__FDSAUDITLINK__" localSheetId="7" hidden="1">{"fdsup://Directions/FactSet Auditing Viewer?action=AUDIT_VALUE&amp;DB=129&amp;ID1=03251510&amp;VALUEID=02001&amp;SDATE=200702&amp;PERIODTYPE=QTR_STD&amp;SCFT=3&amp;window=popup_no_bar&amp;width=385&amp;height=120&amp;START_MAXIMIZED=FALSE&amp;creator=factset&amp;display_string=Audit"}</definedName>
    <definedName name="_1890__FDSAUDITLINK__" hidden="1">{"fdsup://Directions/FactSet Auditing Viewer?action=AUDIT_VALUE&amp;DB=129&amp;ID1=03251510&amp;VALUEID=02001&amp;SDATE=200702&amp;PERIODTYPE=QTR_STD&amp;SCFT=3&amp;window=popup_no_bar&amp;width=385&amp;height=120&amp;START_MAXIMIZED=FALSE&amp;creator=factset&amp;display_string=Audit"}</definedName>
    <definedName name="_1891__FDSAUDITLINK__" localSheetId="7" hidden="1">{"fdsup://Directions/FactSet Auditing Viewer?action=AUDIT_VALUE&amp;DB=129&amp;ID1=00790310&amp;VALUEID=02001&amp;SDATE=200702&amp;PERIODTYPE=QTR_STD&amp;SCFT=3&amp;window=popup_no_bar&amp;width=385&amp;height=120&amp;START_MAXIMIZED=FALSE&amp;creator=factset&amp;display_string=Audit"}</definedName>
    <definedName name="_1891__FDSAUDITLINK__" hidden="1">{"fdsup://Directions/FactSet Auditing Viewer?action=AUDIT_VALUE&amp;DB=129&amp;ID1=00790310&amp;VALUEID=02001&amp;SDATE=200702&amp;PERIODTYPE=QTR_STD&amp;SCFT=3&amp;window=popup_no_bar&amp;width=385&amp;height=120&amp;START_MAXIMIZED=FALSE&amp;creator=factset&amp;display_string=Audit"}</definedName>
    <definedName name="_1892__FDSAUDITLINK__" localSheetId="7" hidden="1">{"fdsup://Directions/FactSet Auditing Viewer?action=AUDIT_VALUE&amp;DB=129&amp;ID1=00790310&amp;VALUEID=02001&amp;SDATE=200702&amp;PERIODTYPE=QTR_STD&amp;SCFT=3&amp;window=popup_no_bar&amp;width=385&amp;height=120&amp;START_MAXIMIZED=FALSE&amp;creator=factset&amp;display_string=Audit"}</definedName>
    <definedName name="_1892__FDSAUDITLINK__" hidden="1">{"fdsup://Directions/FactSet Auditing Viewer?action=AUDIT_VALUE&amp;DB=129&amp;ID1=00790310&amp;VALUEID=02001&amp;SDATE=200702&amp;PERIODTYPE=QTR_STD&amp;SCFT=3&amp;window=popup_no_bar&amp;width=385&amp;height=120&amp;START_MAXIMIZED=FALSE&amp;creator=factset&amp;display_string=Audit"}</definedName>
    <definedName name="_1893__FDSAUDITLINK__" localSheetId="7" hidden="1">{"fdsup://Directions/FactSet Auditing Viewer?action=AUDIT_VALUE&amp;DB=129&amp;ID1=03822W40&amp;VALUEID=02001&amp;SDATE=200701&amp;PERIODTYPE=QTR_STD&amp;SCFT=3&amp;window=popup_no_bar&amp;width=385&amp;height=120&amp;START_MAXIMIZED=FALSE&amp;creator=factset&amp;display_string=Audit"}</definedName>
    <definedName name="_1893__FDSAUDITLINK__" hidden="1">{"fdsup://Directions/FactSet Auditing Viewer?action=AUDIT_VALUE&amp;DB=129&amp;ID1=03822W40&amp;VALUEID=02001&amp;SDATE=200701&amp;PERIODTYPE=QTR_STD&amp;SCFT=3&amp;window=popup_no_bar&amp;width=385&amp;height=120&amp;START_MAXIMIZED=FALSE&amp;creator=factset&amp;display_string=Audit"}</definedName>
    <definedName name="_1894__FDSAUDITLINK__" localSheetId="7" hidden="1">{"fdsup://Directions/FactSet Auditing Viewer?action=AUDIT_VALUE&amp;DB=129&amp;ID1=03822W40&amp;VALUEID=02001&amp;SDATE=200701&amp;PERIODTYPE=QTR_STD&amp;SCFT=3&amp;window=popup_no_bar&amp;width=385&amp;height=120&amp;START_MAXIMIZED=FALSE&amp;creator=factset&amp;display_string=Audit"}</definedName>
    <definedName name="_1894__FDSAUDITLINK__" hidden="1">{"fdsup://Directions/FactSet Auditing Viewer?action=AUDIT_VALUE&amp;DB=129&amp;ID1=03822W40&amp;VALUEID=02001&amp;SDATE=200701&amp;PERIODTYPE=QTR_STD&amp;SCFT=3&amp;window=popup_no_bar&amp;width=385&amp;height=120&amp;START_MAXIMIZED=FALSE&amp;creator=factset&amp;display_string=Audit"}</definedName>
    <definedName name="_1895__FDSAUDITLINK__" localSheetId="7" hidden="1">{"fdsup://Directions/FactSet Auditing Viewer?action=AUDIT_VALUE&amp;DB=129&amp;ID1=03822210&amp;VALUEID=02001&amp;SDATE=200703&amp;PERIODTYPE=QTR_STD&amp;SCFT=3&amp;window=popup_no_bar&amp;width=385&amp;height=120&amp;START_MAXIMIZED=FALSE&amp;creator=factset&amp;display_string=Audit"}</definedName>
    <definedName name="_1895__FDSAUDITLINK__" hidden="1">{"fdsup://Directions/FactSet Auditing Viewer?action=AUDIT_VALUE&amp;DB=129&amp;ID1=03822210&amp;VALUEID=02001&amp;SDATE=200703&amp;PERIODTYPE=QTR_STD&amp;SCFT=3&amp;window=popup_no_bar&amp;width=385&amp;height=120&amp;START_MAXIMIZED=FALSE&amp;creator=factset&amp;display_string=Audit"}</definedName>
    <definedName name="_1896__FDSAUDITLINK__" localSheetId="7" hidden="1">{"fdsup://Directions/FactSet Auditing Viewer?action=AUDIT_VALUE&amp;DB=129&amp;ID1=03822210&amp;VALUEID=02001&amp;SDATE=200703&amp;PERIODTYPE=QTR_STD&amp;SCFT=3&amp;window=popup_no_bar&amp;width=385&amp;height=120&amp;START_MAXIMIZED=FALSE&amp;creator=factset&amp;display_string=Audit"}</definedName>
    <definedName name="_1896__FDSAUDITLINK__" hidden="1">{"fdsup://Directions/FactSet Auditing Viewer?action=AUDIT_VALUE&amp;DB=129&amp;ID1=03822210&amp;VALUEID=02001&amp;SDATE=200703&amp;PERIODTYPE=QTR_STD&amp;SCFT=3&amp;window=popup_no_bar&amp;width=385&amp;height=120&amp;START_MAXIMIZED=FALSE&amp;creator=factset&amp;display_string=Audit"}</definedName>
    <definedName name="_1897__FDSAUDITLINK__" localSheetId="7" hidden="1">{"fdsup://Directions/FactSet Auditing Viewer?action=AUDIT_VALUE&amp;DB=129&amp;ID1=02144110&amp;VALUEID=02001&amp;SDATE=200702&amp;PERIODTYPE=QTR_STD&amp;SCFT=3&amp;window=popup_no_bar&amp;width=385&amp;height=120&amp;START_MAXIMIZED=FALSE&amp;creator=factset&amp;display_string=Audit"}</definedName>
    <definedName name="_1897__FDSAUDITLINK__" hidden="1">{"fdsup://Directions/FactSet Auditing Viewer?action=AUDIT_VALUE&amp;DB=129&amp;ID1=02144110&amp;VALUEID=02001&amp;SDATE=200702&amp;PERIODTYPE=QTR_STD&amp;SCFT=3&amp;window=popup_no_bar&amp;width=385&amp;height=120&amp;START_MAXIMIZED=FALSE&amp;creator=factset&amp;display_string=Audit"}</definedName>
    <definedName name="_1898__FDSAUDITLINK__" localSheetId="7" hidden="1">{"fdsup://Directions/FactSet Auditing Viewer?action=AUDIT_VALUE&amp;DB=129&amp;ID1=02144110&amp;VALUEID=02001&amp;SDATE=200702&amp;PERIODTYPE=QTR_STD&amp;SCFT=3&amp;window=popup_no_bar&amp;width=385&amp;height=120&amp;START_MAXIMIZED=FALSE&amp;creator=factset&amp;display_string=Audit"}</definedName>
    <definedName name="_1898__FDSAUDITLINK__" hidden="1">{"fdsup://Directions/FactSet Auditing Viewer?action=AUDIT_VALUE&amp;DB=129&amp;ID1=02144110&amp;VALUEID=02001&amp;SDATE=200702&amp;PERIODTYPE=QTR_STD&amp;SCFT=3&amp;window=popup_no_bar&amp;width=385&amp;height=120&amp;START_MAXIMIZED=FALSE&amp;creator=factset&amp;display_string=Audit"}</definedName>
    <definedName name="_1899__FDSAUDITLINK__" localSheetId="7" hidden="1">{"fdsup://Directions/FactSet Auditing Viewer?action=AUDIT_VALUE&amp;DB=129&amp;ID1=03265410&amp;VALUEID=02001&amp;SDATE=200703&amp;PERIODTYPE=QTR_STD&amp;SCFT=3&amp;window=popup_no_bar&amp;width=385&amp;height=120&amp;START_MAXIMIZED=FALSE&amp;creator=factset&amp;display_string=Audit"}</definedName>
    <definedName name="_1899__FDSAUDITLINK__" hidden="1">{"fdsup://Directions/FactSet Auditing Viewer?action=AUDIT_VALUE&amp;DB=129&amp;ID1=03265410&amp;VALUEID=02001&amp;SDATE=200703&amp;PERIODTYPE=QTR_STD&amp;SCFT=3&amp;window=popup_no_bar&amp;width=385&amp;height=120&amp;START_MAXIMIZED=FALSE&amp;creator=factset&amp;display_string=Audit"}</definedName>
    <definedName name="_19__FDSAUDITLINK__" localSheetId="7" hidden="1">{"fdsup://Directions/FactSet Auditing Viewer?action=AUDIT_VALUE&amp;DB=129&amp;ID1=03265410&amp;VALUEID=05194&amp;SDATE=201104&amp;PERIODTYPE=QTR_STD&amp;SCFT=3&amp;window=popup_no_bar&amp;width=385&amp;height=120&amp;START_MAXIMIZED=FALSE&amp;creator=factset&amp;display_string=Audit"}</definedName>
    <definedName name="_19__FDSAUDITLINK__" hidden="1">{"fdsup://Directions/FactSet Auditing Viewer?action=AUDIT_VALUE&amp;DB=129&amp;ID1=03265410&amp;VALUEID=05194&amp;SDATE=201104&amp;PERIODTYPE=QTR_STD&amp;SCFT=3&amp;window=popup_no_bar&amp;width=385&amp;height=120&amp;START_MAXIMIZED=FALSE&amp;creator=factset&amp;display_string=Audit"}</definedName>
    <definedName name="_190__FDSAUDITLINK__" localSheetId="7" hidden="1">{"fdsup://Directions/FactSet Auditing Viewer?action=AUDIT_VALUE&amp;DB=129&amp;ID1=72581M30&amp;VALUEID=02001&amp;SDATE=201004&amp;PERIODTYPE=QTR_STD&amp;SCFT=3&amp;window=popup_no_bar&amp;width=385&amp;height=120&amp;START_MAXIMIZED=FALSE&amp;creator=factset&amp;display_string=Audit"}</definedName>
    <definedName name="_190__FDSAUDITLINK__" hidden="1">{"fdsup://Directions/FactSet Auditing Viewer?action=AUDIT_VALUE&amp;DB=129&amp;ID1=72581M30&amp;VALUEID=02001&amp;SDATE=201004&amp;PERIODTYPE=QTR_STD&amp;SCFT=3&amp;window=popup_no_bar&amp;width=385&amp;height=120&amp;START_MAXIMIZED=FALSE&amp;creator=factset&amp;display_string=Audit"}</definedName>
    <definedName name="_1900__FDSAUDITLINK__" localSheetId="7" hidden="1">{"fdsup://Directions/FactSet Auditing Viewer?action=AUDIT_VALUE&amp;DB=129&amp;ID1=03265410&amp;VALUEID=02001&amp;SDATE=200703&amp;PERIODTYPE=QTR_STD&amp;SCFT=3&amp;window=popup_no_bar&amp;width=385&amp;height=120&amp;START_MAXIMIZED=FALSE&amp;creator=factset&amp;display_string=Audit"}</definedName>
    <definedName name="_1900__FDSAUDITLINK__" hidden="1">{"fdsup://Directions/FactSet Auditing Viewer?action=AUDIT_VALUE&amp;DB=129&amp;ID1=03265410&amp;VALUEID=02001&amp;SDATE=200703&amp;PERIODTYPE=QTR_STD&amp;SCFT=3&amp;window=popup_no_bar&amp;width=385&amp;height=120&amp;START_MAXIMIZED=FALSE&amp;creator=factset&amp;display_string=Audit"}</definedName>
    <definedName name="_1901__FDSAUDITLINK__" localSheetId="7" hidden="1">{"fdsup://Directions/FactSet Auditing Viewer?action=AUDIT_VALUE&amp;DB=129&amp;ID1=00752J10&amp;VALUEID=02001&amp;SDATE=200702&amp;PERIODTYPE=QTR_STD&amp;SCFT=3&amp;window=popup_no_bar&amp;width=385&amp;height=120&amp;START_MAXIMIZED=FALSE&amp;creator=factset&amp;display_string=Audit"}</definedName>
    <definedName name="_1901__FDSAUDITLINK__" hidden="1">{"fdsup://Directions/FactSet Auditing Viewer?action=AUDIT_VALUE&amp;DB=129&amp;ID1=00752J10&amp;VALUEID=02001&amp;SDATE=200702&amp;PERIODTYPE=QTR_STD&amp;SCFT=3&amp;window=popup_no_bar&amp;width=385&amp;height=120&amp;START_MAXIMIZED=FALSE&amp;creator=factset&amp;display_string=Audit"}</definedName>
    <definedName name="_1902__FDSAUDITLINK__" localSheetId="7" hidden="1">{"fdsup://Directions/FactSet Auditing Viewer?action=AUDIT_VALUE&amp;DB=129&amp;ID1=00752J10&amp;VALUEID=02001&amp;SDATE=200702&amp;PERIODTYPE=QTR_STD&amp;SCFT=3&amp;window=popup_no_bar&amp;width=385&amp;height=120&amp;START_MAXIMIZED=FALSE&amp;creator=factset&amp;display_string=Audit"}</definedName>
    <definedName name="_1902__FDSAUDITLINK__" hidden="1">{"fdsup://Directions/FactSet Auditing Viewer?action=AUDIT_VALUE&amp;DB=129&amp;ID1=00752J10&amp;VALUEID=02001&amp;SDATE=200702&amp;PERIODTYPE=QTR_STD&amp;SCFT=3&amp;window=popup_no_bar&amp;width=385&amp;height=120&amp;START_MAXIMIZED=FALSE&amp;creator=factset&amp;display_string=Audit"}</definedName>
    <definedName name="_1903__FDSAUDITLINK__" localSheetId="7" hidden="1">{"fdsup://Directions/FactSet Auditing Viewer?action=AUDIT_VALUE&amp;DB=129&amp;ID1=98975F10&amp;VALUEID=02001&amp;SDATE=200701&amp;PERIODTYPE=QTR_STD&amp;SCFT=3&amp;window=popup_no_bar&amp;width=385&amp;height=120&amp;START_MAXIMIZED=FALSE&amp;creator=factset&amp;display_string=Audit"}</definedName>
    <definedName name="_1903__FDSAUDITLINK__" hidden="1">{"fdsup://Directions/FactSet Auditing Viewer?action=AUDIT_VALUE&amp;DB=129&amp;ID1=98975F10&amp;VALUEID=02001&amp;SDATE=200701&amp;PERIODTYPE=QTR_STD&amp;SCFT=3&amp;window=popup_no_bar&amp;width=385&amp;height=120&amp;START_MAXIMIZED=FALSE&amp;creator=factset&amp;display_string=Audit"}</definedName>
    <definedName name="_1904__FDSAUDITLINK__" localSheetId="7" hidden="1">{"fdsup://Directions/FactSet Auditing Viewer?action=AUDIT_VALUE&amp;DB=129&amp;ID1=98975F10&amp;VALUEID=02001&amp;SDATE=200701&amp;PERIODTYPE=QTR_STD&amp;SCFT=3&amp;window=popup_no_bar&amp;width=385&amp;height=120&amp;START_MAXIMIZED=FALSE&amp;creator=factset&amp;display_string=Audit"}</definedName>
    <definedName name="_1904__FDSAUDITLINK__" hidden="1">{"fdsup://Directions/FactSet Auditing Viewer?action=AUDIT_VALUE&amp;DB=129&amp;ID1=98975F10&amp;VALUEID=02001&amp;SDATE=200701&amp;PERIODTYPE=QTR_STD&amp;SCFT=3&amp;window=popup_no_bar&amp;width=385&amp;height=120&amp;START_MAXIMIZED=FALSE&amp;creator=factset&amp;display_string=Audit"}</definedName>
    <definedName name="_1905__FDSAUDITLINK__" localSheetId="7" hidden="1">{"fdsup://Directions/FactSet Auditing Viewer?action=AUDIT_VALUE&amp;DB=129&amp;ID1=95810210&amp;VALUEID=02001&amp;SDATE=200703&amp;PERIODTYPE=QTR_STD&amp;SCFT=3&amp;window=popup_no_bar&amp;width=385&amp;height=120&amp;START_MAXIMIZED=FALSE&amp;creator=factset&amp;display_string=Audit"}</definedName>
    <definedName name="_1905__FDSAUDITLINK__" hidden="1">{"fdsup://Directions/FactSet Auditing Viewer?action=AUDIT_VALUE&amp;DB=129&amp;ID1=95810210&amp;VALUEID=02001&amp;SDATE=200703&amp;PERIODTYPE=QTR_STD&amp;SCFT=3&amp;window=popup_no_bar&amp;width=385&amp;height=120&amp;START_MAXIMIZED=FALSE&amp;creator=factset&amp;display_string=Audit"}</definedName>
    <definedName name="_1906__FDSAUDITLINK__" localSheetId="7" hidden="1">{"fdsup://Directions/FactSet Auditing Viewer?action=AUDIT_VALUE&amp;DB=129&amp;ID1=95810210&amp;VALUEID=02001&amp;SDATE=200703&amp;PERIODTYPE=QTR_STD&amp;SCFT=3&amp;window=popup_no_bar&amp;width=385&amp;height=120&amp;START_MAXIMIZED=FALSE&amp;creator=factset&amp;display_string=Audit"}</definedName>
    <definedName name="_1906__FDSAUDITLINK__" hidden="1">{"fdsup://Directions/FactSet Auditing Viewer?action=AUDIT_VALUE&amp;DB=129&amp;ID1=95810210&amp;VALUEID=02001&amp;SDATE=200703&amp;PERIODTYPE=QTR_STD&amp;SCFT=3&amp;window=popup_no_bar&amp;width=385&amp;height=120&amp;START_MAXIMIZED=FALSE&amp;creator=factset&amp;display_string=Audit"}</definedName>
    <definedName name="_1907__FDSAUDITLINK__" localSheetId="7" hidden="1">{"fdsup://Directions/FactSet Auditing Viewer?action=AUDIT_VALUE&amp;DB=129&amp;ID1=92829810&amp;VALUEID=02001&amp;SDATE=200701&amp;PERIODTYPE=QTR_STD&amp;SCFT=3&amp;window=popup_no_bar&amp;width=385&amp;height=120&amp;START_MAXIMIZED=FALSE&amp;creator=factset&amp;display_string=Audit"}</definedName>
    <definedName name="_1907__FDSAUDITLINK__" hidden="1">{"fdsup://Directions/FactSet Auditing Viewer?action=AUDIT_VALUE&amp;DB=129&amp;ID1=92829810&amp;VALUEID=02001&amp;SDATE=200701&amp;PERIODTYPE=QTR_STD&amp;SCFT=3&amp;window=popup_no_bar&amp;width=385&amp;height=120&amp;START_MAXIMIZED=FALSE&amp;creator=factset&amp;display_string=Audit"}</definedName>
    <definedName name="_1908__FDSAUDITLINK__" localSheetId="7" hidden="1">{"fdsup://Directions/FactSet Auditing Viewer?action=AUDIT_VALUE&amp;DB=129&amp;ID1=92829810&amp;VALUEID=02001&amp;SDATE=200701&amp;PERIODTYPE=QTR_STD&amp;SCFT=3&amp;window=popup_no_bar&amp;width=385&amp;height=120&amp;START_MAXIMIZED=FALSE&amp;creator=factset&amp;display_string=Audit"}</definedName>
    <definedName name="_1908__FDSAUDITLINK__" hidden="1">{"fdsup://Directions/FactSet Auditing Viewer?action=AUDIT_VALUE&amp;DB=129&amp;ID1=92829810&amp;VALUEID=02001&amp;SDATE=200701&amp;PERIODTYPE=QTR_STD&amp;SCFT=3&amp;window=popup_no_bar&amp;width=385&amp;height=120&amp;START_MAXIMIZED=FALSE&amp;creator=factset&amp;display_string=Audit"}</definedName>
    <definedName name="_1909__FDSAUDITLINK__" localSheetId="7" hidden="1">{"fdsup://Directions/FactSet Auditing Viewer?action=AUDIT_VALUE&amp;DB=129&amp;ID1=88250810&amp;VALUEID=02001&amp;SDATE=200701&amp;PERIODTYPE=QTR_STD&amp;SCFT=3&amp;window=popup_no_bar&amp;width=385&amp;height=120&amp;START_MAXIMIZED=FALSE&amp;creator=factset&amp;display_string=Audit"}</definedName>
    <definedName name="_1909__FDSAUDITLINK__" hidden="1">{"fdsup://Directions/FactSet Auditing Viewer?action=AUDIT_VALUE&amp;DB=129&amp;ID1=88250810&amp;VALUEID=02001&amp;SDATE=200701&amp;PERIODTYPE=QTR_STD&amp;SCFT=3&amp;window=popup_no_bar&amp;width=385&amp;height=120&amp;START_MAXIMIZED=FALSE&amp;creator=factset&amp;display_string=Audit"}</definedName>
    <definedName name="_191__FDSAUDITLINK__" localSheetId="7" hidden="1">{"fdsup://Directions/FactSet Auditing Viewer?action=AUDIT_VALUE&amp;DB=129&amp;ID1=73927610&amp;VALUEID=02001&amp;SDATE=201004&amp;PERIODTYPE=QTR_STD&amp;SCFT=3&amp;window=popup_no_bar&amp;width=385&amp;height=120&amp;START_MAXIMIZED=FALSE&amp;creator=factset&amp;display_string=Audit"}</definedName>
    <definedName name="_191__FDSAUDITLINK__" hidden="1">{"fdsup://Directions/FactSet Auditing Viewer?action=AUDIT_VALUE&amp;DB=129&amp;ID1=73927610&amp;VALUEID=02001&amp;SDATE=201004&amp;PERIODTYPE=QTR_STD&amp;SCFT=3&amp;window=popup_no_bar&amp;width=385&amp;height=120&amp;START_MAXIMIZED=FALSE&amp;creator=factset&amp;display_string=Audit"}</definedName>
    <definedName name="_1910__FDSAUDITLINK__" localSheetId="7" hidden="1">{"fdsup://Directions/FactSet Auditing Viewer?action=AUDIT_VALUE&amp;DB=129&amp;ID1=88250810&amp;VALUEID=02001&amp;SDATE=200701&amp;PERIODTYPE=QTR_STD&amp;SCFT=3&amp;window=popup_no_bar&amp;width=385&amp;height=120&amp;START_MAXIMIZED=FALSE&amp;creator=factset&amp;display_string=Audit"}</definedName>
    <definedName name="_1910__FDSAUDITLINK__" hidden="1">{"fdsup://Directions/FactSet Auditing Viewer?action=AUDIT_VALUE&amp;DB=129&amp;ID1=88250810&amp;VALUEID=02001&amp;SDATE=200701&amp;PERIODTYPE=QTR_STD&amp;SCFT=3&amp;window=popup_no_bar&amp;width=385&amp;height=120&amp;START_MAXIMIZED=FALSE&amp;creator=factset&amp;display_string=Audit"}</definedName>
    <definedName name="_1911__FDSAUDITLINK__" localSheetId="7" hidden="1">{"fdsup://Directions/FactSet Auditing Viewer?action=AUDIT_VALUE&amp;DB=129&amp;ID1=89674K10&amp;VALUEID=02001&amp;SDATE=200701&amp;PERIODTYPE=QTR_STD&amp;SCFT=3&amp;window=popup_no_bar&amp;width=385&amp;height=120&amp;START_MAXIMIZED=FALSE&amp;creator=factset&amp;display_string=Audit"}</definedName>
    <definedName name="_1911__FDSAUDITLINK__" hidden="1">{"fdsup://Directions/FactSet Auditing Viewer?action=AUDIT_VALUE&amp;DB=129&amp;ID1=89674K10&amp;VALUEID=02001&amp;SDATE=200701&amp;PERIODTYPE=QTR_STD&amp;SCFT=3&amp;window=popup_no_bar&amp;width=385&amp;height=120&amp;START_MAXIMIZED=FALSE&amp;creator=factset&amp;display_string=Audit"}</definedName>
    <definedName name="_1912__FDSAUDITLINK__" localSheetId="7" hidden="1">{"fdsup://Directions/FactSet Auditing Viewer?action=AUDIT_VALUE&amp;DB=129&amp;ID1=89674K10&amp;VALUEID=02001&amp;SDATE=200701&amp;PERIODTYPE=QTR_STD&amp;SCFT=3&amp;window=popup_no_bar&amp;width=385&amp;height=120&amp;START_MAXIMIZED=FALSE&amp;creator=factset&amp;display_string=Audit"}</definedName>
    <definedName name="_1912__FDSAUDITLINK__" hidden="1">{"fdsup://Directions/FactSet Auditing Viewer?action=AUDIT_VALUE&amp;DB=129&amp;ID1=89674K10&amp;VALUEID=02001&amp;SDATE=200701&amp;PERIODTYPE=QTR_STD&amp;SCFT=3&amp;window=popup_no_bar&amp;width=385&amp;height=120&amp;START_MAXIMIZED=FALSE&amp;creator=factset&amp;display_string=Audit"}</definedName>
    <definedName name="_1913__FDSAUDITLINK__" localSheetId="7" hidden="1">{"fdsup://Directions/FactSet Auditing Viewer?action=AUDIT_VALUE&amp;DB=129&amp;ID1=83088M10&amp;VALUEID=02001&amp;SDATE=200702&amp;PERIODTYPE=QTR_STD&amp;SCFT=3&amp;window=popup_no_bar&amp;width=385&amp;height=120&amp;START_MAXIMIZED=FALSE&amp;creator=factset&amp;display_string=Audit"}</definedName>
    <definedName name="_1913__FDSAUDITLINK__" hidden="1">{"fdsup://Directions/FactSet Auditing Viewer?action=AUDIT_VALUE&amp;DB=129&amp;ID1=83088M10&amp;VALUEID=02001&amp;SDATE=200702&amp;PERIODTYPE=QTR_STD&amp;SCFT=3&amp;window=popup_no_bar&amp;width=385&amp;height=120&amp;START_MAXIMIZED=FALSE&amp;creator=factset&amp;display_string=Audit"}</definedName>
    <definedName name="_1914__FDSAUDITLINK__" localSheetId="7" hidden="1">{"fdsup://Directions/FactSet Auditing Viewer?action=AUDIT_VALUE&amp;DB=129&amp;ID1=83088M10&amp;VALUEID=02001&amp;SDATE=200702&amp;PERIODTYPE=QTR_STD&amp;SCFT=3&amp;window=popup_no_bar&amp;width=385&amp;height=120&amp;START_MAXIMIZED=FALSE&amp;creator=factset&amp;display_string=Audit"}</definedName>
    <definedName name="_1914__FDSAUDITLINK__" hidden="1">{"fdsup://Directions/FactSet Auditing Viewer?action=AUDIT_VALUE&amp;DB=129&amp;ID1=83088M10&amp;VALUEID=02001&amp;SDATE=200702&amp;PERIODTYPE=QTR_STD&amp;SCFT=3&amp;window=popup_no_bar&amp;width=385&amp;height=120&amp;START_MAXIMIZED=FALSE&amp;creator=factset&amp;display_string=Audit"}</definedName>
    <definedName name="_1915__FDSAUDITLINK__" localSheetId="7" hidden="1">{"fdsup://Directions/FactSet Auditing Viewer?action=AUDIT_VALUE&amp;DB=129&amp;ID1=G7945M10&amp;VALUEID=02001&amp;SDATE=200703&amp;PERIODTYPE=QTR_STD&amp;SCFT=3&amp;window=popup_no_bar&amp;width=385&amp;height=120&amp;START_MAXIMIZED=FALSE&amp;creator=factset&amp;display_string=Audit"}</definedName>
    <definedName name="_1915__FDSAUDITLINK__" hidden="1">{"fdsup://Directions/FactSet Auditing Viewer?action=AUDIT_VALUE&amp;DB=129&amp;ID1=G7945M10&amp;VALUEID=02001&amp;SDATE=200703&amp;PERIODTYPE=QTR_STD&amp;SCFT=3&amp;window=popup_no_bar&amp;width=385&amp;height=120&amp;START_MAXIMIZED=FALSE&amp;creator=factset&amp;display_string=Audit"}</definedName>
    <definedName name="_1916__FDSAUDITLINK__" localSheetId="7" hidden="1">{"fdsup://Directions/FactSet Auditing Viewer?action=AUDIT_VALUE&amp;DB=129&amp;ID1=G7945M10&amp;VALUEID=02001&amp;SDATE=200703&amp;PERIODTYPE=QTR_STD&amp;SCFT=3&amp;window=popup_no_bar&amp;width=385&amp;height=120&amp;START_MAXIMIZED=FALSE&amp;creator=factset&amp;display_string=Audit"}</definedName>
    <definedName name="_1916__FDSAUDITLINK__" hidden="1">{"fdsup://Directions/FactSet Auditing Viewer?action=AUDIT_VALUE&amp;DB=129&amp;ID1=G7945M10&amp;VALUEID=02001&amp;SDATE=200703&amp;PERIODTYPE=QTR_STD&amp;SCFT=3&amp;window=popup_no_bar&amp;width=385&amp;height=120&amp;START_MAXIMIZED=FALSE&amp;creator=factset&amp;display_string=Audit"}</definedName>
    <definedName name="_1917__FDSAUDITLINK__" localSheetId="7" hidden="1">{"fdsup://Directions/FactSet Auditing Viewer?action=AUDIT_VALUE&amp;DB=129&amp;ID1=78477410&amp;VALUEID=02001&amp;SDATE=200701&amp;PERIODTYPE=QTR_STD&amp;SCFT=3&amp;window=popup_no_bar&amp;width=385&amp;height=120&amp;START_MAXIMIZED=FALSE&amp;creator=factset&amp;display_string=Audit"}</definedName>
    <definedName name="_1917__FDSAUDITLINK__" hidden="1">{"fdsup://Directions/FactSet Auditing Viewer?action=AUDIT_VALUE&amp;DB=129&amp;ID1=78477410&amp;VALUEID=02001&amp;SDATE=200701&amp;PERIODTYPE=QTR_STD&amp;SCFT=3&amp;window=popup_no_bar&amp;width=385&amp;height=120&amp;START_MAXIMIZED=FALSE&amp;creator=factset&amp;display_string=Audit"}</definedName>
    <definedName name="_1918__FDSAUDITLINK__" localSheetId="7" hidden="1">{"fdsup://Directions/FactSet Auditing Viewer?action=AUDIT_VALUE&amp;DB=129&amp;ID1=78477410&amp;VALUEID=02001&amp;SDATE=200701&amp;PERIODTYPE=QTR_STD&amp;SCFT=3&amp;window=popup_no_bar&amp;width=385&amp;height=120&amp;START_MAXIMIZED=FALSE&amp;creator=factset&amp;display_string=Audit"}</definedName>
    <definedName name="_1918__FDSAUDITLINK__" hidden="1">{"fdsup://Directions/FactSet Auditing Viewer?action=AUDIT_VALUE&amp;DB=129&amp;ID1=78477410&amp;VALUEID=02001&amp;SDATE=200701&amp;PERIODTYPE=QTR_STD&amp;SCFT=3&amp;window=popup_no_bar&amp;width=385&amp;height=120&amp;START_MAXIMIZED=FALSE&amp;creator=factset&amp;display_string=Audit"}</definedName>
    <definedName name="_1919__FDSAUDITLINK__" localSheetId="7" hidden="1">{"fdsup://Directions/FactSet Auditing Viewer?action=AUDIT_VALUE&amp;DB=129&amp;ID1=82705710&amp;VALUEID=02001&amp;SDATE=200701&amp;PERIODTYPE=QTR_STD&amp;SCFT=3&amp;window=popup_no_bar&amp;width=385&amp;height=120&amp;START_MAXIMIZED=FALSE&amp;creator=factset&amp;display_string=Audit"}</definedName>
    <definedName name="_1919__FDSAUDITLINK__" hidden="1">{"fdsup://Directions/FactSet Auditing Viewer?action=AUDIT_VALUE&amp;DB=129&amp;ID1=82705710&amp;VALUEID=02001&amp;SDATE=200701&amp;PERIODTYPE=QTR_STD&amp;SCFT=3&amp;window=popup_no_bar&amp;width=385&amp;height=120&amp;START_MAXIMIZED=FALSE&amp;creator=factset&amp;display_string=Audit"}</definedName>
    <definedName name="_192__FDSAUDITLINK__" localSheetId="7" hidden="1">{"fdsup://Directions/FactSet Auditing Viewer?action=AUDIT_VALUE&amp;DB=129&amp;ID1=73927610&amp;VALUEID=02001&amp;SDATE=201004&amp;PERIODTYPE=QTR_STD&amp;SCFT=3&amp;window=popup_no_bar&amp;width=385&amp;height=120&amp;START_MAXIMIZED=FALSE&amp;creator=factset&amp;display_string=Audit"}</definedName>
    <definedName name="_192__FDSAUDITLINK__" hidden="1">{"fdsup://Directions/FactSet Auditing Viewer?action=AUDIT_VALUE&amp;DB=129&amp;ID1=73927610&amp;VALUEID=02001&amp;SDATE=201004&amp;PERIODTYPE=QTR_STD&amp;SCFT=3&amp;window=popup_no_bar&amp;width=385&amp;height=120&amp;START_MAXIMIZED=FALSE&amp;creator=factset&amp;display_string=Audit"}</definedName>
    <definedName name="_1920__FDSAUDITLINK__" localSheetId="7" hidden="1">{"fdsup://Directions/FactSet Auditing Viewer?action=AUDIT_VALUE&amp;DB=129&amp;ID1=82705710&amp;VALUEID=02001&amp;SDATE=200701&amp;PERIODTYPE=QTR_STD&amp;SCFT=3&amp;window=popup_no_bar&amp;width=385&amp;height=120&amp;START_MAXIMIZED=FALSE&amp;creator=factset&amp;display_string=Audit"}</definedName>
    <definedName name="_1920__FDSAUDITLINK__" hidden="1">{"fdsup://Directions/FactSet Auditing Viewer?action=AUDIT_VALUE&amp;DB=129&amp;ID1=82705710&amp;VALUEID=02001&amp;SDATE=200701&amp;PERIODTYPE=QTR_STD&amp;SCFT=3&amp;window=popup_no_bar&amp;width=385&amp;height=120&amp;START_MAXIMIZED=FALSE&amp;creator=factset&amp;display_string=Audit"}</definedName>
    <definedName name="_1921__FDSAUDITLINK__" localSheetId="7" hidden="1">{"fdsup://Directions/FactSet Auditing Viewer?action=AUDIT_VALUE&amp;DB=129&amp;ID1=83547010&amp;VALUEID=02001&amp;SDATE=200701&amp;PERIODTYPE=QTR_STD&amp;SCFT=3&amp;window=popup_no_bar&amp;width=385&amp;height=120&amp;START_MAXIMIZED=FALSE&amp;creator=factset&amp;display_string=Audit"}</definedName>
    <definedName name="_1921__FDSAUDITLINK__" hidden="1">{"fdsup://Directions/FactSet Auditing Viewer?action=AUDIT_VALUE&amp;DB=129&amp;ID1=83547010&amp;VALUEID=02001&amp;SDATE=200701&amp;PERIODTYPE=QTR_STD&amp;SCFT=3&amp;window=popup_no_bar&amp;width=385&amp;height=120&amp;START_MAXIMIZED=FALSE&amp;creator=factset&amp;display_string=Audit"}</definedName>
    <definedName name="_1922__FDSAUDITLINK__" localSheetId="7" hidden="1">{"fdsup://Directions/FactSet Auditing Viewer?action=AUDIT_VALUE&amp;DB=129&amp;ID1=83547010&amp;VALUEID=02001&amp;SDATE=200701&amp;PERIODTYPE=QTR_STD&amp;SCFT=3&amp;window=popup_no_bar&amp;width=385&amp;height=120&amp;START_MAXIMIZED=FALSE&amp;creator=factset&amp;display_string=Audit"}</definedName>
    <definedName name="_1922__FDSAUDITLINK__" hidden="1">{"fdsup://Directions/FactSet Auditing Viewer?action=AUDIT_VALUE&amp;DB=129&amp;ID1=83547010&amp;VALUEID=02001&amp;SDATE=200701&amp;PERIODTYPE=QTR_STD&amp;SCFT=3&amp;window=popup_no_bar&amp;width=385&amp;height=120&amp;START_MAXIMIZED=FALSE&amp;creator=factset&amp;display_string=Audit"}</definedName>
    <definedName name="_1923__FDSAUDITLINK__" localSheetId="7" hidden="1">{"fdsup://Directions/FactSet Auditing Viewer?action=AUDIT_VALUE&amp;DB=129&amp;ID1=87160710&amp;VALUEID=02001&amp;SDATE=200702&amp;PERIODTYPE=QTR_STD&amp;SCFT=3&amp;window=popup_no_bar&amp;width=385&amp;height=120&amp;START_MAXIMIZED=FALSE&amp;creator=factset&amp;display_string=Audit"}</definedName>
    <definedName name="_1923__FDSAUDITLINK__" hidden="1">{"fdsup://Directions/FactSet Auditing Viewer?action=AUDIT_VALUE&amp;DB=129&amp;ID1=87160710&amp;VALUEID=02001&amp;SDATE=200702&amp;PERIODTYPE=QTR_STD&amp;SCFT=3&amp;window=popup_no_bar&amp;width=385&amp;height=120&amp;START_MAXIMIZED=FALSE&amp;creator=factset&amp;display_string=Audit"}</definedName>
    <definedName name="_1924__FDSAUDITLINK__" localSheetId="7" hidden="1">{"fdsup://Directions/FactSet Auditing Viewer?action=AUDIT_VALUE&amp;DB=129&amp;ID1=87160710&amp;VALUEID=02001&amp;SDATE=200702&amp;PERIODTYPE=QTR_STD&amp;SCFT=3&amp;window=popup_no_bar&amp;width=385&amp;height=120&amp;START_MAXIMIZED=FALSE&amp;creator=factset&amp;display_string=Audit"}</definedName>
    <definedName name="_1924__FDSAUDITLINK__" hidden="1">{"fdsup://Directions/FactSet Auditing Viewer?action=AUDIT_VALUE&amp;DB=129&amp;ID1=87160710&amp;VALUEID=02001&amp;SDATE=200702&amp;PERIODTYPE=QTR_STD&amp;SCFT=3&amp;window=popup_no_bar&amp;width=385&amp;height=120&amp;START_MAXIMIZED=FALSE&amp;creator=factset&amp;display_string=Audit"}</definedName>
    <definedName name="_1925__FDSAUDITLINK__" localSheetId="7" hidden="1">{"fdsup://Directions/FactSet Auditing Viewer?action=AUDIT_VALUE&amp;DB=129&amp;ID1=80004C10&amp;VALUEID=02001&amp;SDATE=200701&amp;PERIODTYPE=QTR_STD&amp;SCFT=3&amp;window=popup_no_bar&amp;width=385&amp;height=120&amp;START_MAXIMIZED=FALSE&amp;creator=factset&amp;display_string=Audit"}</definedName>
    <definedName name="_1925__FDSAUDITLINK__" hidden="1">{"fdsup://Directions/FactSet Auditing Viewer?action=AUDIT_VALUE&amp;DB=129&amp;ID1=80004C10&amp;VALUEID=02001&amp;SDATE=200701&amp;PERIODTYPE=QTR_STD&amp;SCFT=3&amp;window=popup_no_bar&amp;width=385&amp;height=120&amp;START_MAXIMIZED=FALSE&amp;creator=factset&amp;display_string=Audit"}</definedName>
    <definedName name="_1926__FDSAUDITLINK__" localSheetId="7" hidden="1">{"fdsup://Directions/FactSet Auditing Viewer?action=AUDIT_VALUE&amp;DB=129&amp;ID1=80004C10&amp;VALUEID=02001&amp;SDATE=200701&amp;PERIODTYPE=QTR_STD&amp;SCFT=3&amp;window=popup_no_bar&amp;width=385&amp;height=120&amp;START_MAXIMIZED=FALSE&amp;creator=factset&amp;display_string=Audit"}</definedName>
    <definedName name="_1926__FDSAUDITLINK__" hidden="1">{"fdsup://Directions/FactSet Auditing Viewer?action=AUDIT_VALUE&amp;DB=129&amp;ID1=80004C10&amp;VALUEID=02001&amp;SDATE=200701&amp;PERIODTYPE=QTR_STD&amp;SCFT=3&amp;window=popup_no_bar&amp;width=385&amp;height=120&amp;START_MAXIMIZED=FALSE&amp;creator=factset&amp;display_string=Audit"}</definedName>
    <definedName name="_1927__FDSAUDITLINK__" localSheetId="7" hidden="1">{"fdsup://Directions/FactSet Auditing Viewer?action=AUDIT_VALUE&amp;DB=129&amp;ID1=81685010&amp;VALUEID=02001&amp;SDATE=200701&amp;PERIODTYPE=QTR_STD&amp;SCFT=3&amp;window=popup_no_bar&amp;width=385&amp;height=120&amp;START_MAXIMIZED=FALSE&amp;creator=factset&amp;display_string=Audit"}</definedName>
    <definedName name="_1927__FDSAUDITLINK__" hidden="1">{"fdsup://Directions/FactSet Auditing Viewer?action=AUDIT_VALUE&amp;DB=129&amp;ID1=81685010&amp;VALUEID=02001&amp;SDATE=200701&amp;PERIODTYPE=QTR_STD&amp;SCFT=3&amp;window=popup_no_bar&amp;width=385&amp;height=120&amp;START_MAXIMIZED=FALSE&amp;creator=factset&amp;display_string=Audit"}</definedName>
    <definedName name="_1928__FDSAUDITLINK__" localSheetId="7" hidden="1">{"fdsup://Directions/FactSet Auditing Viewer?action=AUDIT_VALUE&amp;DB=129&amp;ID1=81685010&amp;VALUEID=02001&amp;SDATE=200701&amp;PERIODTYPE=QTR_STD&amp;SCFT=3&amp;window=popup_no_bar&amp;width=385&amp;height=120&amp;START_MAXIMIZED=FALSE&amp;creator=factset&amp;display_string=Audit"}</definedName>
    <definedName name="_1928__FDSAUDITLINK__" hidden="1">{"fdsup://Directions/FactSet Auditing Viewer?action=AUDIT_VALUE&amp;DB=129&amp;ID1=81685010&amp;VALUEID=02001&amp;SDATE=200701&amp;PERIODTYPE=QTR_STD&amp;SCFT=3&amp;window=popup_no_bar&amp;width=385&amp;height=120&amp;START_MAXIMIZED=FALSE&amp;creator=factset&amp;display_string=Audit"}</definedName>
    <definedName name="_1929__FDSAUDITLINK__" localSheetId="7" hidden="1">{"fdsup://Directions/FactSet Auditing Viewer?action=AUDIT_VALUE&amp;DB=129&amp;ID1=82691910&amp;VALUEID=02001&amp;SDATE=200701&amp;PERIODTYPE=QTR_STD&amp;SCFT=3&amp;window=popup_no_bar&amp;width=385&amp;height=120&amp;START_MAXIMIZED=FALSE&amp;creator=factset&amp;display_string=Audit"}</definedName>
    <definedName name="_1929__FDSAUDITLINK__" hidden="1">{"fdsup://Directions/FactSet Auditing Viewer?action=AUDIT_VALUE&amp;DB=129&amp;ID1=82691910&amp;VALUEID=02001&amp;SDATE=200701&amp;PERIODTYPE=QTR_STD&amp;SCFT=3&amp;window=popup_no_bar&amp;width=385&amp;height=120&amp;START_MAXIMIZED=FALSE&amp;creator=factset&amp;display_string=Audit"}</definedName>
    <definedName name="_193__FDSAUDITLINK__" localSheetId="7" hidden="1">{"fdsup://Directions/FactSet Auditing Viewer?action=AUDIT_VALUE&amp;DB=129&amp;ID1=69344F10&amp;VALUEID=02001&amp;SDATE=201004&amp;PERIODTYPE=QTR_STD&amp;SCFT=3&amp;window=popup_no_bar&amp;width=385&amp;height=120&amp;START_MAXIMIZED=FALSE&amp;creator=factset&amp;display_string=Audit"}</definedName>
    <definedName name="_193__FDSAUDITLINK__" hidden="1">{"fdsup://Directions/FactSet Auditing Viewer?action=AUDIT_VALUE&amp;DB=129&amp;ID1=69344F10&amp;VALUEID=02001&amp;SDATE=201004&amp;PERIODTYPE=QTR_STD&amp;SCFT=3&amp;window=popup_no_bar&amp;width=385&amp;height=120&amp;START_MAXIMIZED=FALSE&amp;creator=factset&amp;display_string=Audit"}</definedName>
    <definedName name="_1930__FDSAUDITLINK__" localSheetId="7" hidden="1">{"fdsup://Directions/FactSet Auditing Viewer?action=AUDIT_VALUE&amp;DB=129&amp;ID1=82691910&amp;VALUEID=02001&amp;SDATE=200701&amp;PERIODTYPE=QTR_STD&amp;SCFT=3&amp;window=popup_no_bar&amp;width=385&amp;height=120&amp;START_MAXIMIZED=FALSE&amp;creator=factset&amp;display_string=Audit"}</definedName>
    <definedName name="_1930__FDSAUDITLINK__" hidden="1">{"fdsup://Directions/FactSet Auditing Viewer?action=AUDIT_VALUE&amp;DB=129&amp;ID1=82691910&amp;VALUEID=02001&amp;SDATE=200701&amp;PERIODTYPE=QTR_STD&amp;SCFT=3&amp;window=popup_no_bar&amp;width=385&amp;height=120&amp;START_MAXIMIZED=FALSE&amp;creator=factset&amp;display_string=Audit"}</definedName>
    <definedName name="_1931__FDSAUDITLINK__" localSheetId="7" hidden="1">{"fdsup://Directions/FactSet Auditing Viewer?action=AUDIT_VALUE&amp;DB=129&amp;ID1=82705T10&amp;VALUEID=02001&amp;SDATE=200701&amp;PERIODTYPE=QTR_STD&amp;SCFT=3&amp;window=popup_no_bar&amp;width=385&amp;height=120&amp;START_MAXIMIZED=FALSE&amp;creator=factset&amp;display_string=Audit"}</definedName>
    <definedName name="_1931__FDSAUDITLINK__" hidden="1">{"fdsup://Directions/FactSet Auditing Viewer?action=AUDIT_VALUE&amp;DB=129&amp;ID1=82705T10&amp;VALUEID=02001&amp;SDATE=200701&amp;PERIODTYPE=QTR_STD&amp;SCFT=3&amp;window=popup_no_bar&amp;width=385&amp;height=120&amp;START_MAXIMIZED=FALSE&amp;creator=factset&amp;display_string=Audit"}</definedName>
    <definedName name="_1932__FDSAUDITLINK__" localSheetId="7" hidden="1">{"fdsup://Directions/FactSet Auditing Viewer?action=AUDIT_VALUE&amp;DB=129&amp;ID1=82705T10&amp;VALUEID=02001&amp;SDATE=200701&amp;PERIODTYPE=QTR_STD&amp;SCFT=3&amp;window=popup_no_bar&amp;width=385&amp;height=120&amp;START_MAXIMIZED=FALSE&amp;creator=factset&amp;display_string=Audit"}</definedName>
    <definedName name="_1932__FDSAUDITLINK__" hidden="1">{"fdsup://Directions/FactSet Auditing Viewer?action=AUDIT_VALUE&amp;DB=129&amp;ID1=82705T10&amp;VALUEID=02001&amp;SDATE=200701&amp;PERIODTYPE=QTR_STD&amp;SCFT=3&amp;window=popup_no_bar&amp;width=385&amp;height=120&amp;START_MAXIMIZED=FALSE&amp;creator=factset&amp;display_string=Audit"}</definedName>
    <definedName name="_1933__FDSAUDITLINK__" localSheetId="7" hidden="1">{"fdsup://Directions/FactSet Auditing Viewer?action=AUDIT_VALUE&amp;DB=129&amp;ID1=75091710&amp;VALUEID=02001&amp;SDATE=200701&amp;PERIODTYPE=QTR_STD&amp;SCFT=3&amp;window=popup_no_bar&amp;width=385&amp;height=120&amp;START_MAXIMIZED=FALSE&amp;creator=factset&amp;display_string=Audit"}</definedName>
    <definedName name="_1933__FDSAUDITLINK__" hidden="1">{"fdsup://Directions/FactSet Auditing Viewer?action=AUDIT_VALUE&amp;DB=129&amp;ID1=75091710&amp;VALUEID=02001&amp;SDATE=200701&amp;PERIODTYPE=QTR_STD&amp;SCFT=3&amp;window=popup_no_bar&amp;width=385&amp;height=120&amp;START_MAXIMIZED=FALSE&amp;creator=factset&amp;display_string=Audit"}</definedName>
    <definedName name="_1934__FDSAUDITLINK__" localSheetId="7" hidden="1">{"fdsup://Directions/FactSet Auditing Viewer?action=AUDIT_VALUE&amp;DB=129&amp;ID1=75091710&amp;VALUEID=02001&amp;SDATE=200701&amp;PERIODTYPE=QTR_STD&amp;SCFT=3&amp;window=popup_no_bar&amp;width=385&amp;height=120&amp;START_MAXIMIZED=FALSE&amp;creator=factset&amp;display_string=Audit"}</definedName>
    <definedName name="_1934__FDSAUDITLINK__" hidden="1">{"fdsup://Directions/FactSet Auditing Viewer?action=AUDIT_VALUE&amp;DB=129&amp;ID1=75091710&amp;VALUEID=02001&amp;SDATE=200701&amp;PERIODTYPE=QTR_STD&amp;SCFT=3&amp;window=popup_no_bar&amp;width=385&amp;height=120&amp;START_MAXIMIZED=FALSE&amp;creator=factset&amp;display_string=Audit"}</definedName>
    <definedName name="_1935__FDSAUDITLINK__" localSheetId="7" hidden="1">{"fdsup://Directions/FactSet Auditing Viewer?action=AUDIT_VALUE&amp;DB=129&amp;ID1=74752510&amp;VALUEID=02001&amp;SDATE=200702&amp;PERIODTYPE=QTR_STD&amp;SCFT=3&amp;window=popup_no_bar&amp;width=385&amp;height=120&amp;START_MAXIMIZED=FALSE&amp;creator=factset&amp;display_string=Audit"}</definedName>
    <definedName name="_1935__FDSAUDITLINK__" hidden="1">{"fdsup://Directions/FactSet Auditing Viewer?action=AUDIT_VALUE&amp;DB=129&amp;ID1=74752510&amp;VALUEID=02001&amp;SDATE=200702&amp;PERIODTYPE=QTR_STD&amp;SCFT=3&amp;window=popup_no_bar&amp;width=385&amp;height=120&amp;START_MAXIMIZED=FALSE&amp;creator=factset&amp;display_string=Audit"}</definedName>
    <definedName name="_1936__FDSAUDITLINK__" localSheetId="7" hidden="1">{"fdsup://Directions/FactSet Auditing Viewer?action=AUDIT_VALUE&amp;DB=129&amp;ID1=74752510&amp;VALUEID=02001&amp;SDATE=200702&amp;PERIODTYPE=QTR_STD&amp;SCFT=3&amp;window=popup_no_bar&amp;width=385&amp;height=120&amp;START_MAXIMIZED=FALSE&amp;creator=factset&amp;display_string=Audit"}</definedName>
    <definedName name="_1936__FDSAUDITLINK__" hidden="1">{"fdsup://Directions/FactSet Auditing Viewer?action=AUDIT_VALUE&amp;DB=129&amp;ID1=74752510&amp;VALUEID=02001&amp;SDATE=200702&amp;PERIODTYPE=QTR_STD&amp;SCFT=3&amp;window=popup_no_bar&amp;width=385&amp;height=120&amp;START_MAXIMIZED=FALSE&amp;creator=factset&amp;display_string=Audit"}</definedName>
    <definedName name="_1937__FDSAUDITLINK__" localSheetId="7" hidden="1">{"fdsup://Directions/FactSet Auditing Viewer?action=AUDIT_VALUE&amp;DB=129&amp;ID1=72581M30&amp;VALUEID=02001&amp;SDATE=200701&amp;PERIODTYPE=QTR_STD&amp;SCFT=3&amp;window=popup_no_bar&amp;width=385&amp;height=120&amp;START_MAXIMIZED=FALSE&amp;creator=factset&amp;display_string=Audit"}</definedName>
    <definedName name="_1937__FDSAUDITLINK__" hidden="1">{"fdsup://Directions/FactSet Auditing Viewer?action=AUDIT_VALUE&amp;DB=129&amp;ID1=72581M30&amp;VALUEID=02001&amp;SDATE=200701&amp;PERIODTYPE=QTR_STD&amp;SCFT=3&amp;window=popup_no_bar&amp;width=385&amp;height=120&amp;START_MAXIMIZED=FALSE&amp;creator=factset&amp;display_string=Audit"}</definedName>
    <definedName name="_1938__FDSAUDITLINK__" localSheetId="7" hidden="1">{"fdsup://Directions/FactSet Auditing Viewer?action=AUDIT_VALUE&amp;DB=129&amp;ID1=72581M30&amp;VALUEID=02001&amp;SDATE=200701&amp;PERIODTYPE=QTR_STD&amp;SCFT=3&amp;window=popup_no_bar&amp;width=385&amp;height=120&amp;START_MAXIMIZED=FALSE&amp;creator=factset&amp;display_string=Audit"}</definedName>
    <definedName name="_1938__FDSAUDITLINK__" hidden="1">{"fdsup://Directions/FactSet Auditing Viewer?action=AUDIT_VALUE&amp;DB=129&amp;ID1=72581M30&amp;VALUEID=02001&amp;SDATE=200701&amp;PERIODTYPE=QTR_STD&amp;SCFT=3&amp;window=popup_no_bar&amp;width=385&amp;height=120&amp;START_MAXIMIZED=FALSE&amp;creator=factset&amp;display_string=Audit"}</definedName>
    <definedName name="_1939__FDSAUDITLINK__" localSheetId="7" hidden="1">{"fdsup://Directions/FactSet Auditing Viewer?action=AUDIT_VALUE&amp;DB=129&amp;ID1=73927610&amp;VALUEID=02001&amp;SDATE=200701&amp;PERIODTYPE=QTR_STD&amp;SCFT=3&amp;window=popup_no_bar&amp;width=385&amp;height=120&amp;START_MAXIMIZED=FALSE&amp;creator=factset&amp;display_string=Audit"}</definedName>
    <definedName name="_1939__FDSAUDITLINK__" hidden="1">{"fdsup://Directions/FactSet Auditing Viewer?action=AUDIT_VALUE&amp;DB=129&amp;ID1=73927610&amp;VALUEID=02001&amp;SDATE=200701&amp;PERIODTYPE=QTR_STD&amp;SCFT=3&amp;window=popup_no_bar&amp;width=385&amp;height=120&amp;START_MAXIMIZED=FALSE&amp;creator=factset&amp;display_string=Audit"}</definedName>
    <definedName name="_194__FDSAUDITLINK__" localSheetId="7" hidden="1">{"fdsup://Directions/FactSet Auditing Viewer?action=AUDIT_VALUE&amp;DB=129&amp;ID1=69344F10&amp;VALUEID=02001&amp;SDATE=201004&amp;PERIODTYPE=QTR_STD&amp;SCFT=3&amp;window=popup_no_bar&amp;width=385&amp;height=120&amp;START_MAXIMIZED=FALSE&amp;creator=factset&amp;display_string=Audit"}</definedName>
    <definedName name="_194__FDSAUDITLINK__" hidden="1">{"fdsup://Directions/FactSet Auditing Viewer?action=AUDIT_VALUE&amp;DB=129&amp;ID1=69344F10&amp;VALUEID=02001&amp;SDATE=201004&amp;PERIODTYPE=QTR_STD&amp;SCFT=3&amp;window=popup_no_bar&amp;width=385&amp;height=120&amp;START_MAXIMIZED=FALSE&amp;creator=factset&amp;display_string=Audit"}</definedName>
    <definedName name="_1940__FDSAUDITLINK__" localSheetId="7" hidden="1">{"fdsup://Directions/FactSet Auditing Viewer?action=AUDIT_VALUE&amp;DB=129&amp;ID1=73927610&amp;VALUEID=02001&amp;SDATE=200701&amp;PERIODTYPE=QTR_STD&amp;SCFT=3&amp;window=popup_no_bar&amp;width=385&amp;height=120&amp;START_MAXIMIZED=FALSE&amp;creator=factset&amp;display_string=Audit"}</definedName>
    <definedName name="_1940__FDSAUDITLINK__" hidden="1">{"fdsup://Directions/FactSet Auditing Viewer?action=AUDIT_VALUE&amp;DB=129&amp;ID1=73927610&amp;VALUEID=02001&amp;SDATE=200701&amp;PERIODTYPE=QTR_STD&amp;SCFT=3&amp;window=popup_no_bar&amp;width=385&amp;height=120&amp;START_MAXIMIZED=FALSE&amp;creator=factset&amp;display_string=Audit"}</definedName>
    <definedName name="_1941__FDSAUDITLINK__" localSheetId="7" hidden="1">{"fdsup://Directions/FactSet Auditing Viewer?action=AUDIT_VALUE&amp;DB=129&amp;ID1=69344F10&amp;VALUEID=02001&amp;SDATE=200701&amp;PERIODTYPE=QTR_STD&amp;SCFT=3&amp;window=popup_no_bar&amp;width=385&amp;height=120&amp;START_MAXIMIZED=FALSE&amp;creator=factset&amp;display_string=Audit"}</definedName>
    <definedName name="_1941__FDSAUDITLINK__" hidden="1">{"fdsup://Directions/FactSet Auditing Viewer?action=AUDIT_VALUE&amp;DB=129&amp;ID1=69344F10&amp;VALUEID=02001&amp;SDATE=200701&amp;PERIODTYPE=QTR_STD&amp;SCFT=3&amp;window=popup_no_bar&amp;width=385&amp;height=120&amp;START_MAXIMIZED=FALSE&amp;creator=factset&amp;display_string=Audit"}</definedName>
    <definedName name="_1942__FDSAUDITLINK__" localSheetId="7" hidden="1">{"fdsup://Directions/FactSet Auditing Viewer?action=AUDIT_VALUE&amp;DB=129&amp;ID1=69344F10&amp;VALUEID=02001&amp;SDATE=200701&amp;PERIODTYPE=QTR_STD&amp;SCFT=3&amp;window=popup_no_bar&amp;width=385&amp;height=120&amp;START_MAXIMIZED=FALSE&amp;creator=factset&amp;display_string=Audit"}</definedName>
    <definedName name="_1942__FDSAUDITLINK__" hidden="1">{"fdsup://Directions/FactSet Auditing Viewer?action=AUDIT_VALUE&amp;DB=129&amp;ID1=69344F10&amp;VALUEID=02001&amp;SDATE=200701&amp;PERIODTYPE=QTR_STD&amp;SCFT=3&amp;window=popup_no_bar&amp;width=385&amp;height=120&amp;START_MAXIMIZED=FALSE&amp;creator=factset&amp;display_string=Audit"}</definedName>
    <definedName name="_1943__FDSAUDITLINK__" localSheetId="7" hidden="1">{"fdsup://Directions/FactSet Auditing Viewer?action=AUDIT_VALUE&amp;DB=129&amp;ID1=69341710&amp;VALUEID=02001&amp;SDATE=200701&amp;PERIODTYPE=QTR_STD&amp;SCFT=3&amp;window=popup_no_bar&amp;width=385&amp;height=120&amp;START_MAXIMIZED=FALSE&amp;creator=factset&amp;display_string=Audit"}</definedName>
    <definedName name="_1943__FDSAUDITLINK__" hidden="1">{"fdsup://Directions/FactSet Auditing Viewer?action=AUDIT_VALUE&amp;DB=129&amp;ID1=69341710&amp;VALUEID=02001&amp;SDATE=200701&amp;PERIODTYPE=QTR_STD&amp;SCFT=3&amp;window=popup_no_bar&amp;width=385&amp;height=120&amp;START_MAXIMIZED=FALSE&amp;creator=factset&amp;display_string=Audit"}</definedName>
    <definedName name="_1944__FDSAUDITLINK__" localSheetId="7" hidden="1">{"fdsup://Directions/FactSet Auditing Viewer?action=AUDIT_VALUE&amp;DB=129&amp;ID1=69341710&amp;VALUEID=02001&amp;SDATE=200701&amp;PERIODTYPE=QTR_STD&amp;SCFT=3&amp;window=popup_no_bar&amp;width=385&amp;height=120&amp;START_MAXIMIZED=FALSE&amp;creator=factset&amp;display_string=Audit"}</definedName>
    <definedName name="_1944__FDSAUDITLINK__" hidden="1">{"fdsup://Directions/FactSet Auditing Viewer?action=AUDIT_VALUE&amp;DB=129&amp;ID1=69341710&amp;VALUEID=02001&amp;SDATE=200701&amp;PERIODTYPE=QTR_STD&amp;SCFT=3&amp;window=popup_no_bar&amp;width=385&amp;height=120&amp;START_MAXIMIZED=FALSE&amp;creator=factset&amp;display_string=Audit"}</definedName>
    <definedName name="_1945__FDSAUDITLINK__" localSheetId="7" hidden="1">{"fdsup://Directions/FactSet Auditing Viewer?action=AUDIT_VALUE&amp;DB=129&amp;ID1=68218910&amp;VALUEID=02001&amp;SDATE=200701&amp;PERIODTYPE=QTR_STD&amp;SCFT=3&amp;window=popup_no_bar&amp;width=385&amp;height=120&amp;START_MAXIMIZED=FALSE&amp;creator=factset&amp;display_string=Audit"}</definedName>
    <definedName name="_1945__FDSAUDITLINK__" hidden="1">{"fdsup://Directions/FactSet Auditing Viewer?action=AUDIT_VALUE&amp;DB=129&amp;ID1=68218910&amp;VALUEID=02001&amp;SDATE=200701&amp;PERIODTYPE=QTR_STD&amp;SCFT=3&amp;window=popup_no_bar&amp;width=385&amp;height=120&amp;START_MAXIMIZED=FALSE&amp;creator=factset&amp;display_string=Audit"}</definedName>
    <definedName name="_1946__FDSAUDITLINK__" localSheetId="7" hidden="1">{"fdsup://Directions/FactSet Auditing Viewer?action=AUDIT_VALUE&amp;DB=129&amp;ID1=68218910&amp;VALUEID=02001&amp;SDATE=200701&amp;PERIODTYPE=QTR_STD&amp;SCFT=3&amp;window=popup_no_bar&amp;width=385&amp;height=120&amp;START_MAXIMIZED=FALSE&amp;creator=factset&amp;display_string=Audit"}</definedName>
    <definedName name="_1946__FDSAUDITLINK__" hidden="1">{"fdsup://Directions/FactSet Auditing Viewer?action=AUDIT_VALUE&amp;DB=129&amp;ID1=68218910&amp;VALUEID=02001&amp;SDATE=200701&amp;PERIODTYPE=QTR_STD&amp;SCFT=3&amp;window=popup_no_bar&amp;width=385&amp;height=120&amp;START_MAXIMIZED=FALSE&amp;creator=factset&amp;display_string=Audit"}</definedName>
    <definedName name="_1947__FDSAUDITLINK__" localSheetId="7" hidden="1">{"fdsup://Directions/FactSet Auditing Viewer?action=AUDIT_VALUE&amp;DB=129&amp;ID1=67000810&amp;VALUEID=02001&amp;SDATE=200701&amp;PERIODTYPE=QTR_STD&amp;SCFT=3&amp;window=popup_no_bar&amp;width=385&amp;height=120&amp;START_MAXIMIZED=FALSE&amp;creator=factset&amp;display_string=Audit"}</definedName>
    <definedName name="_1947__FDSAUDITLINK__" hidden="1">{"fdsup://Directions/FactSet Auditing Viewer?action=AUDIT_VALUE&amp;DB=129&amp;ID1=67000810&amp;VALUEID=02001&amp;SDATE=200701&amp;PERIODTYPE=QTR_STD&amp;SCFT=3&amp;window=popup_no_bar&amp;width=385&amp;height=120&amp;START_MAXIMIZED=FALSE&amp;creator=factset&amp;display_string=Audit"}</definedName>
    <definedName name="_1948__FDSAUDITLINK__" localSheetId="7" hidden="1">{"fdsup://Directions/FactSet Auditing Viewer?action=AUDIT_VALUE&amp;DB=129&amp;ID1=67000810&amp;VALUEID=02001&amp;SDATE=200701&amp;PERIODTYPE=QTR_STD&amp;SCFT=3&amp;window=popup_no_bar&amp;width=385&amp;height=120&amp;START_MAXIMIZED=FALSE&amp;creator=factset&amp;display_string=Audit"}</definedName>
    <definedName name="_1948__FDSAUDITLINK__" hidden="1">{"fdsup://Directions/FactSet Auditing Viewer?action=AUDIT_VALUE&amp;DB=129&amp;ID1=67000810&amp;VALUEID=02001&amp;SDATE=200701&amp;PERIODTYPE=QTR_STD&amp;SCFT=3&amp;window=popup_no_bar&amp;width=385&amp;height=120&amp;START_MAXIMIZED=FALSE&amp;creator=factset&amp;display_string=Audit"}</definedName>
    <definedName name="_1949__FDSAUDITLINK__" localSheetId="7" hidden="1">{"fdsup://Directions/FactSet Auditing Viewer?action=AUDIT_VALUE&amp;DB=129&amp;ID1=67066G10&amp;VALUEID=02001&amp;SDATE=200701&amp;PERIODTYPE=QTR_STD&amp;SCFT=3&amp;window=popup_no_bar&amp;width=385&amp;height=120&amp;START_MAXIMIZED=FALSE&amp;creator=factset&amp;display_string=Audit"}</definedName>
    <definedName name="_1949__FDSAUDITLINK__" hidden="1">{"fdsup://Directions/FactSet Auditing Viewer?action=AUDIT_VALUE&amp;DB=129&amp;ID1=67066G10&amp;VALUEID=02001&amp;SDATE=200701&amp;PERIODTYPE=QTR_STD&amp;SCFT=3&amp;window=popup_no_bar&amp;width=385&amp;height=120&amp;START_MAXIMIZED=FALSE&amp;creator=factset&amp;display_string=Audit"}</definedName>
    <definedName name="_195__FDSAUDITLINK__" localSheetId="7" hidden="1">{"fdsup://Directions/FactSet Auditing Viewer?action=AUDIT_VALUE&amp;DB=129&amp;ID1=69341710&amp;VALUEID=02001&amp;SDATE=201004&amp;PERIODTYPE=QTR_STD&amp;SCFT=3&amp;window=popup_no_bar&amp;width=385&amp;height=120&amp;START_MAXIMIZED=FALSE&amp;creator=factset&amp;display_string=Audit"}</definedName>
    <definedName name="_195__FDSAUDITLINK__" hidden="1">{"fdsup://Directions/FactSet Auditing Viewer?action=AUDIT_VALUE&amp;DB=129&amp;ID1=69341710&amp;VALUEID=02001&amp;SDATE=201004&amp;PERIODTYPE=QTR_STD&amp;SCFT=3&amp;window=popup_no_bar&amp;width=385&amp;height=120&amp;START_MAXIMIZED=FALSE&amp;creator=factset&amp;display_string=Audit"}</definedName>
    <definedName name="_1950__FDSAUDITLINK__" localSheetId="7" hidden="1">{"fdsup://Directions/FactSet Auditing Viewer?action=AUDIT_VALUE&amp;DB=129&amp;ID1=67066G10&amp;VALUEID=02001&amp;SDATE=200701&amp;PERIODTYPE=QTR_STD&amp;SCFT=3&amp;window=popup_no_bar&amp;width=385&amp;height=120&amp;START_MAXIMIZED=FALSE&amp;creator=factset&amp;display_string=Audit"}</definedName>
    <definedName name="_1950__FDSAUDITLINK__" hidden="1">{"fdsup://Directions/FactSet Auditing Viewer?action=AUDIT_VALUE&amp;DB=129&amp;ID1=67066G10&amp;VALUEID=02001&amp;SDATE=200701&amp;PERIODTYPE=QTR_STD&amp;SCFT=3&amp;window=popup_no_bar&amp;width=385&amp;height=120&amp;START_MAXIMIZED=FALSE&amp;creator=factset&amp;display_string=Audit"}</definedName>
    <definedName name="_1951__FDSAUDITLINK__" localSheetId="7" hidden="1">{"fdsup://Directions/FactSet Auditing Viewer?action=AUDIT_VALUE&amp;DB=129&amp;ID1=63764010&amp;VALUEID=02001&amp;SDATE=200603&amp;PERIODTYPE=QTR_STD&amp;SCFT=3&amp;window=popup_no_bar&amp;width=385&amp;height=120&amp;START_MAXIMIZED=FALSE&amp;creator=factset&amp;display_string=Audit"}</definedName>
    <definedName name="_1951__FDSAUDITLINK__" hidden="1">{"fdsup://Directions/FactSet Auditing Viewer?action=AUDIT_VALUE&amp;DB=129&amp;ID1=63764010&amp;VALUEID=02001&amp;SDATE=200603&amp;PERIODTYPE=QTR_STD&amp;SCFT=3&amp;window=popup_no_bar&amp;width=385&amp;height=120&amp;START_MAXIMIZED=FALSE&amp;creator=factset&amp;display_string=Audit"}</definedName>
    <definedName name="_1952__FDSAUDITLINK__" localSheetId="7" hidden="1">{"fdsup://Directions/FactSet Auditing Viewer?action=AUDIT_VALUE&amp;DB=129&amp;ID1=63764010&amp;VALUEID=02001&amp;SDATE=200603&amp;PERIODTYPE=QTR_STD&amp;SCFT=3&amp;window=popup_no_bar&amp;width=385&amp;height=120&amp;START_MAXIMIZED=FALSE&amp;creator=factset&amp;display_string=Audit"}</definedName>
    <definedName name="_1952__FDSAUDITLINK__" hidden="1">{"fdsup://Directions/FactSet Auditing Viewer?action=AUDIT_VALUE&amp;DB=129&amp;ID1=63764010&amp;VALUEID=02001&amp;SDATE=200603&amp;PERIODTYPE=QTR_STD&amp;SCFT=3&amp;window=popup_no_bar&amp;width=385&amp;height=120&amp;START_MAXIMIZED=FALSE&amp;creator=factset&amp;display_string=Audit"}</definedName>
    <definedName name="_1953__FDSAUDITLINK__" localSheetId="7" hidden="1">{"fdsup://Directions/FactSet Auditing Viewer?action=AUDIT_VALUE&amp;DB=129&amp;ID1=64118B10&amp;VALUEID=02001&amp;SDATE=200701&amp;PERIODTYPE=QTR_STD&amp;SCFT=3&amp;window=popup_no_bar&amp;width=385&amp;height=120&amp;START_MAXIMIZED=FALSE&amp;creator=factset&amp;display_string=Audit"}</definedName>
    <definedName name="_1953__FDSAUDITLINK__" hidden="1">{"fdsup://Directions/FactSet Auditing Viewer?action=AUDIT_VALUE&amp;DB=129&amp;ID1=64118B10&amp;VALUEID=02001&amp;SDATE=200701&amp;PERIODTYPE=QTR_STD&amp;SCFT=3&amp;window=popup_no_bar&amp;width=385&amp;height=120&amp;START_MAXIMIZED=FALSE&amp;creator=factset&amp;display_string=Audit"}</definedName>
    <definedName name="_1954__FDSAUDITLINK__" localSheetId="7" hidden="1">{"fdsup://Directions/FactSet Auditing Viewer?action=AUDIT_VALUE&amp;DB=129&amp;ID1=64118B10&amp;VALUEID=02001&amp;SDATE=200701&amp;PERIODTYPE=QTR_STD&amp;SCFT=3&amp;window=popup_no_bar&amp;width=385&amp;height=120&amp;START_MAXIMIZED=FALSE&amp;creator=factset&amp;display_string=Audit"}</definedName>
    <definedName name="_1954__FDSAUDITLINK__" hidden="1">{"fdsup://Directions/FactSet Auditing Viewer?action=AUDIT_VALUE&amp;DB=129&amp;ID1=64118B10&amp;VALUEID=02001&amp;SDATE=200701&amp;PERIODTYPE=QTR_STD&amp;SCFT=3&amp;window=popup_no_bar&amp;width=385&amp;height=120&amp;START_MAXIMIZED=FALSE&amp;creator=factset&amp;display_string=Audit"}</definedName>
    <definedName name="_1955__FDSAUDITLINK__" localSheetId="7" hidden="1">{"fdsup://Directions/FactSet Auditing Viewer?action=AUDIT_VALUE&amp;DB=129&amp;ID1=57772K10&amp;VALUEID=02001&amp;SDATE=200703&amp;PERIODTYPE=QTR_STD&amp;SCFT=3&amp;window=popup_no_bar&amp;width=385&amp;height=120&amp;START_MAXIMIZED=FALSE&amp;creator=factset&amp;display_string=Audit"}</definedName>
    <definedName name="_1955__FDSAUDITLINK__" hidden="1">{"fdsup://Directions/FactSet Auditing Viewer?action=AUDIT_VALUE&amp;DB=129&amp;ID1=57772K10&amp;VALUEID=02001&amp;SDATE=200703&amp;PERIODTYPE=QTR_STD&amp;SCFT=3&amp;window=popup_no_bar&amp;width=385&amp;height=120&amp;START_MAXIMIZED=FALSE&amp;creator=factset&amp;display_string=Audit"}</definedName>
    <definedName name="_1956__FDSAUDITLINK__" localSheetId="7" hidden="1">{"fdsup://Directions/FactSet Auditing Viewer?action=AUDIT_VALUE&amp;DB=129&amp;ID1=57772K10&amp;VALUEID=02001&amp;SDATE=200703&amp;PERIODTYPE=QTR_STD&amp;SCFT=3&amp;window=popup_no_bar&amp;width=385&amp;height=120&amp;START_MAXIMIZED=FALSE&amp;creator=factset&amp;display_string=Audit"}</definedName>
    <definedName name="_1956__FDSAUDITLINK__" hidden="1">{"fdsup://Directions/FactSet Auditing Viewer?action=AUDIT_VALUE&amp;DB=129&amp;ID1=57772K10&amp;VALUEID=02001&amp;SDATE=200703&amp;PERIODTYPE=QTR_STD&amp;SCFT=3&amp;window=popup_no_bar&amp;width=385&amp;height=120&amp;START_MAXIMIZED=FALSE&amp;creator=factset&amp;display_string=Audit"}</definedName>
    <definedName name="_1957__FDSAUDITLINK__" localSheetId="7" hidden="1">{"fdsup://Directions/FactSet Auditing Viewer?action=AUDIT_VALUE&amp;DB=129&amp;ID1=59511210&amp;VALUEID=02001&amp;SDATE=200702&amp;PERIODTYPE=QTR_STD&amp;SCFT=3&amp;window=popup_no_bar&amp;width=385&amp;height=120&amp;START_MAXIMIZED=FALSE&amp;creator=factset&amp;display_string=Audit"}</definedName>
    <definedName name="_1957__FDSAUDITLINK__" hidden="1">{"fdsup://Directions/FactSet Auditing Viewer?action=AUDIT_VALUE&amp;DB=129&amp;ID1=59511210&amp;VALUEID=02001&amp;SDATE=200702&amp;PERIODTYPE=QTR_STD&amp;SCFT=3&amp;window=popup_no_bar&amp;width=385&amp;height=120&amp;START_MAXIMIZED=FALSE&amp;creator=factset&amp;display_string=Audit"}</definedName>
    <definedName name="_1958__FDSAUDITLINK__" localSheetId="7" hidden="1">{"fdsup://Directions/FactSet Auditing Viewer?action=AUDIT_VALUE&amp;DB=129&amp;ID1=59511210&amp;VALUEID=02001&amp;SDATE=200702&amp;PERIODTYPE=QTR_STD&amp;SCFT=3&amp;window=popup_no_bar&amp;width=385&amp;height=120&amp;START_MAXIMIZED=FALSE&amp;creator=factset&amp;display_string=Audit"}</definedName>
    <definedName name="_1958__FDSAUDITLINK__" hidden="1">{"fdsup://Directions/FactSet Auditing Viewer?action=AUDIT_VALUE&amp;DB=129&amp;ID1=59511210&amp;VALUEID=02001&amp;SDATE=200702&amp;PERIODTYPE=QTR_STD&amp;SCFT=3&amp;window=popup_no_bar&amp;width=385&amp;height=120&amp;START_MAXIMIZED=FALSE&amp;creator=factset&amp;display_string=Audit"}</definedName>
    <definedName name="_1959__FDSAUDITLINK__" localSheetId="7" hidden="1">{"fdsup://Directions/FactSet Auditing Viewer?action=AUDIT_VALUE&amp;DB=129&amp;ID1=59513710&amp;VALUEID=02001&amp;SDATE=200702&amp;PERIODTYPE=QTR_STD&amp;SCFT=3&amp;window=popup_no_bar&amp;width=385&amp;height=120&amp;START_MAXIMIZED=FALSE&amp;creator=factset&amp;display_string=Audit"}</definedName>
    <definedName name="_1959__FDSAUDITLINK__" hidden="1">{"fdsup://Directions/FactSet Auditing Viewer?action=AUDIT_VALUE&amp;DB=129&amp;ID1=59513710&amp;VALUEID=02001&amp;SDATE=200702&amp;PERIODTYPE=QTR_STD&amp;SCFT=3&amp;window=popup_no_bar&amp;width=385&amp;height=120&amp;START_MAXIMIZED=FALSE&amp;creator=factset&amp;display_string=Audit"}</definedName>
    <definedName name="_196__FDSAUDITLINK__" localSheetId="7" hidden="1">{"fdsup://Directions/FactSet Auditing Viewer?action=AUDIT_VALUE&amp;DB=129&amp;ID1=69341710&amp;VALUEID=02001&amp;SDATE=201004&amp;PERIODTYPE=QTR_STD&amp;SCFT=3&amp;window=popup_no_bar&amp;width=385&amp;height=120&amp;START_MAXIMIZED=FALSE&amp;creator=factset&amp;display_string=Audit"}</definedName>
    <definedName name="_196__FDSAUDITLINK__" hidden="1">{"fdsup://Directions/FactSet Auditing Viewer?action=AUDIT_VALUE&amp;DB=129&amp;ID1=69341710&amp;VALUEID=02001&amp;SDATE=201004&amp;PERIODTYPE=QTR_STD&amp;SCFT=3&amp;window=popup_no_bar&amp;width=385&amp;height=120&amp;START_MAXIMIZED=FALSE&amp;creator=factset&amp;display_string=Audit"}</definedName>
    <definedName name="_1960__FDSAUDITLINK__" localSheetId="7" hidden="1">{"fdsup://Directions/FactSet Auditing Viewer?action=AUDIT_VALUE&amp;DB=129&amp;ID1=59513710&amp;VALUEID=02001&amp;SDATE=200702&amp;PERIODTYPE=QTR_STD&amp;SCFT=3&amp;window=popup_no_bar&amp;width=385&amp;height=120&amp;START_MAXIMIZED=FALSE&amp;creator=factset&amp;display_string=Audit"}</definedName>
    <definedName name="_1960__FDSAUDITLINK__" hidden="1">{"fdsup://Directions/FactSet Auditing Viewer?action=AUDIT_VALUE&amp;DB=129&amp;ID1=59513710&amp;VALUEID=02001&amp;SDATE=200702&amp;PERIODTYPE=QTR_STD&amp;SCFT=3&amp;window=popup_no_bar&amp;width=385&amp;height=120&amp;START_MAXIMIZED=FALSE&amp;creator=factset&amp;display_string=Audit"}</definedName>
    <definedName name="_1961__FDSAUDITLINK__" localSheetId="7" hidden="1">{"fdsup://Directions/FactSet Auditing Viewer?action=AUDIT_VALUE&amp;DB=129&amp;ID1=G5876H10&amp;VALUEID=02001&amp;SDATE=200701&amp;PERIODTYPE=QTR_STD&amp;SCFT=3&amp;window=popup_no_bar&amp;width=385&amp;height=120&amp;START_MAXIMIZED=FALSE&amp;creator=factset&amp;display_string=Audit"}</definedName>
    <definedName name="_1961__FDSAUDITLINK__" hidden="1">{"fdsup://Directions/FactSet Auditing Viewer?action=AUDIT_VALUE&amp;DB=129&amp;ID1=G5876H10&amp;VALUEID=02001&amp;SDATE=200701&amp;PERIODTYPE=QTR_STD&amp;SCFT=3&amp;window=popup_no_bar&amp;width=385&amp;height=120&amp;START_MAXIMIZED=FALSE&amp;creator=factset&amp;display_string=Audit"}</definedName>
    <definedName name="_1962__FDSAUDITLINK__" localSheetId="7" hidden="1">{"fdsup://Directions/FactSet Auditing Viewer?action=AUDIT_VALUE&amp;DB=129&amp;ID1=G5876H10&amp;VALUEID=02001&amp;SDATE=200701&amp;PERIODTYPE=QTR_STD&amp;SCFT=3&amp;window=popup_no_bar&amp;width=385&amp;height=120&amp;START_MAXIMIZED=FALSE&amp;creator=factset&amp;display_string=Audit"}</definedName>
    <definedName name="_1962__FDSAUDITLINK__" hidden="1">{"fdsup://Directions/FactSet Auditing Viewer?action=AUDIT_VALUE&amp;DB=129&amp;ID1=G5876H10&amp;VALUEID=02001&amp;SDATE=200701&amp;PERIODTYPE=QTR_STD&amp;SCFT=3&amp;window=popup_no_bar&amp;width=385&amp;height=120&amp;START_MAXIMIZED=FALSE&amp;creator=factset&amp;display_string=Audit"}</definedName>
    <definedName name="_1963__FDSAUDITLINK__" localSheetId="7" hidden="1">{"fdsup://Directions/FactSet Auditing Viewer?action=AUDIT_VALUE&amp;DB=129&amp;ID1=62007630&amp;VALUEID=02001&amp;SDATE=200701&amp;PERIODTYPE=QTR_STD&amp;SCFT=3&amp;window=popup_no_bar&amp;width=385&amp;height=120&amp;START_MAXIMIZED=FALSE&amp;creator=factset&amp;display_string=Audit"}</definedName>
    <definedName name="_1963__FDSAUDITLINK__" hidden="1">{"fdsup://Directions/FactSet Auditing Viewer?action=AUDIT_VALUE&amp;DB=129&amp;ID1=62007630&amp;VALUEID=02001&amp;SDATE=200701&amp;PERIODTYPE=QTR_STD&amp;SCFT=3&amp;window=popup_no_bar&amp;width=385&amp;height=120&amp;START_MAXIMIZED=FALSE&amp;creator=factset&amp;display_string=Audit"}</definedName>
    <definedName name="_1964__FDSAUDITLINK__" localSheetId="7" hidden="1">{"fdsup://Directions/FactSet Auditing Viewer?action=AUDIT_VALUE&amp;DB=129&amp;ID1=62007630&amp;VALUEID=02001&amp;SDATE=200701&amp;PERIODTYPE=QTR_STD&amp;SCFT=3&amp;window=popup_no_bar&amp;width=385&amp;height=120&amp;START_MAXIMIZED=FALSE&amp;creator=factset&amp;display_string=Audit"}</definedName>
    <definedName name="_1964__FDSAUDITLINK__" hidden="1">{"fdsup://Directions/FactSet Auditing Viewer?action=AUDIT_VALUE&amp;DB=129&amp;ID1=62007630&amp;VALUEID=02001&amp;SDATE=200701&amp;PERIODTYPE=QTR_STD&amp;SCFT=3&amp;window=popup_no_bar&amp;width=385&amp;height=120&amp;START_MAXIMIZED=FALSE&amp;creator=factset&amp;display_string=Audit"}</definedName>
    <definedName name="_1965__FDSAUDITLINK__" localSheetId="7" hidden="1">{"fdsup://Directions/FactSet Auditing Viewer?action=AUDIT_VALUE&amp;DB=129&amp;ID1=60456710&amp;VALUEID=02001&amp;SDATE=200703&amp;PERIODTYPE=QTR_STD&amp;SCFT=3&amp;window=popup_no_bar&amp;width=385&amp;height=120&amp;START_MAXIMIZED=FALSE&amp;creator=factset&amp;display_string=Audit"}</definedName>
    <definedName name="_1965__FDSAUDITLINK__" hidden="1">{"fdsup://Directions/FactSet Auditing Viewer?action=AUDIT_VALUE&amp;DB=129&amp;ID1=60456710&amp;VALUEID=02001&amp;SDATE=200703&amp;PERIODTYPE=QTR_STD&amp;SCFT=3&amp;window=popup_no_bar&amp;width=385&amp;height=120&amp;START_MAXIMIZED=FALSE&amp;creator=factset&amp;display_string=Audit"}</definedName>
    <definedName name="_1966__FDSAUDITLINK__" localSheetId="7" hidden="1">{"fdsup://Directions/FactSet Auditing Viewer?action=AUDIT_VALUE&amp;DB=129&amp;ID1=60456710&amp;VALUEID=02001&amp;SDATE=200703&amp;PERIODTYPE=QTR_STD&amp;SCFT=3&amp;window=popup_no_bar&amp;width=385&amp;height=120&amp;START_MAXIMIZED=FALSE&amp;creator=factset&amp;display_string=Audit"}</definedName>
    <definedName name="_1966__FDSAUDITLINK__" hidden="1">{"fdsup://Directions/FactSet Auditing Viewer?action=AUDIT_VALUE&amp;DB=129&amp;ID1=60456710&amp;VALUEID=02001&amp;SDATE=200703&amp;PERIODTYPE=QTR_STD&amp;SCFT=3&amp;window=popup_no_bar&amp;width=385&amp;height=120&amp;START_MAXIMIZED=FALSE&amp;creator=factset&amp;display_string=Audit"}</definedName>
    <definedName name="_1967__FDSAUDITLINK__" localSheetId="7" hidden="1">{"fdsup://Directions/FactSet Auditing Viewer?action=AUDIT_VALUE&amp;DB=129&amp;ID1=59479310&amp;VALUEID=02001&amp;SDATE=200701&amp;PERIODTYPE=QTR_STD&amp;SCFT=3&amp;window=popup_no_bar&amp;width=385&amp;height=120&amp;START_MAXIMIZED=FALSE&amp;creator=factset&amp;display_string=Audit"}</definedName>
    <definedName name="_1967__FDSAUDITLINK__" hidden="1">{"fdsup://Directions/FactSet Auditing Viewer?action=AUDIT_VALUE&amp;DB=129&amp;ID1=59479310&amp;VALUEID=02001&amp;SDATE=200701&amp;PERIODTYPE=QTR_STD&amp;SCFT=3&amp;window=popup_no_bar&amp;width=385&amp;height=120&amp;START_MAXIMIZED=FALSE&amp;creator=factset&amp;display_string=Audit"}</definedName>
    <definedName name="_1968__FDSAUDITLINK__" localSheetId="7" hidden="1">{"fdsup://Directions/FactSet Auditing Viewer?action=AUDIT_VALUE&amp;DB=129&amp;ID1=59479310&amp;VALUEID=02001&amp;SDATE=200701&amp;PERIODTYPE=QTR_STD&amp;SCFT=3&amp;window=popup_no_bar&amp;width=385&amp;height=120&amp;START_MAXIMIZED=FALSE&amp;creator=factset&amp;display_string=Audit"}</definedName>
    <definedName name="_1968__FDSAUDITLINK__" hidden="1">{"fdsup://Directions/FactSet Auditing Viewer?action=AUDIT_VALUE&amp;DB=129&amp;ID1=59479310&amp;VALUEID=02001&amp;SDATE=200701&amp;PERIODTYPE=QTR_STD&amp;SCFT=3&amp;window=popup_no_bar&amp;width=385&amp;height=120&amp;START_MAXIMIZED=FALSE&amp;creator=factset&amp;display_string=Audit"}</definedName>
    <definedName name="_1969__FDSAUDITLINK__" localSheetId="7" hidden="1">{"fdsup://Directions/FactSet Auditing Viewer?action=AUDIT_VALUE&amp;DB=129&amp;ID1=50216110&amp;VALUEID=02001&amp;SDATE=200701&amp;PERIODTYPE=QTR_STD&amp;SCFT=3&amp;window=popup_no_bar&amp;width=385&amp;height=120&amp;START_MAXIMIZED=FALSE&amp;creator=factset&amp;display_string=Audit"}</definedName>
    <definedName name="_1969__FDSAUDITLINK__" hidden="1">{"fdsup://Directions/FactSet Auditing Viewer?action=AUDIT_VALUE&amp;DB=129&amp;ID1=50216110&amp;VALUEID=02001&amp;SDATE=200701&amp;PERIODTYPE=QTR_STD&amp;SCFT=3&amp;window=popup_no_bar&amp;width=385&amp;height=120&amp;START_MAXIMIZED=FALSE&amp;creator=factset&amp;display_string=Audit"}</definedName>
    <definedName name="_197__FDSAUDITLINK__" localSheetId="7" hidden="1">{"fdsup://Directions/FactSet Auditing Viewer?action=AUDIT_VALUE&amp;DB=129&amp;ID1=68218910&amp;VALUEID=02001&amp;SDATE=201004&amp;PERIODTYPE=QTR_STD&amp;SCFT=3&amp;window=popup_no_bar&amp;width=385&amp;height=120&amp;START_MAXIMIZED=FALSE&amp;creator=factset&amp;display_string=Audit"}</definedName>
    <definedName name="_197__FDSAUDITLINK__" hidden="1">{"fdsup://Directions/FactSet Auditing Viewer?action=AUDIT_VALUE&amp;DB=129&amp;ID1=68218910&amp;VALUEID=02001&amp;SDATE=201004&amp;PERIODTYPE=QTR_STD&amp;SCFT=3&amp;window=popup_no_bar&amp;width=385&amp;height=120&amp;START_MAXIMIZED=FALSE&amp;creator=factset&amp;display_string=Audit"}</definedName>
    <definedName name="_1970__FDSAUDITLINK__" localSheetId="7" hidden="1">{"fdsup://Directions/FactSet Auditing Viewer?action=AUDIT_VALUE&amp;DB=129&amp;ID1=50216110&amp;VALUEID=02001&amp;SDATE=200701&amp;PERIODTYPE=QTR_STD&amp;SCFT=3&amp;window=popup_no_bar&amp;width=385&amp;height=120&amp;START_MAXIMIZED=FALSE&amp;creator=factset&amp;display_string=Audit"}</definedName>
    <definedName name="_1970__FDSAUDITLINK__" hidden="1">{"fdsup://Directions/FactSet Auditing Viewer?action=AUDIT_VALUE&amp;DB=129&amp;ID1=50216110&amp;VALUEID=02001&amp;SDATE=200701&amp;PERIODTYPE=QTR_STD&amp;SCFT=3&amp;window=popup_no_bar&amp;width=385&amp;height=120&amp;START_MAXIMIZED=FALSE&amp;creator=factset&amp;display_string=Audit"}</definedName>
    <definedName name="_1971__FDSAUDITLINK__" localSheetId="7" hidden="1">{"fdsup://Directions/FactSet Auditing Viewer?action=AUDIT_VALUE&amp;DB=129&amp;ID1=51841510&amp;VALUEID=02001&amp;SDATE=200701&amp;PERIODTYPE=QTR_STD&amp;SCFT=3&amp;window=popup_no_bar&amp;width=385&amp;height=120&amp;START_MAXIMIZED=FALSE&amp;creator=factset&amp;display_string=Audit"}</definedName>
    <definedName name="_1971__FDSAUDITLINK__" hidden="1">{"fdsup://Directions/FactSet Auditing Viewer?action=AUDIT_VALUE&amp;DB=129&amp;ID1=51841510&amp;VALUEID=02001&amp;SDATE=200701&amp;PERIODTYPE=QTR_STD&amp;SCFT=3&amp;window=popup_no_bar&amp;width=385&amp;height=120&amp;START_MAXIMIZED=FALSE&amp;creator=factset&amp;display_string=Audit"}</definedName>
    <definedName name="_1972__FDSAUDITLINK__" localSheetId="7" hidden="1">{"fdsup://Directions/FactSet Auditing Viewer?action=AUDIT_VALUE&amp;DB=129&amp;ID1=51841510&amp;VALUEID=02001&amp;SDATE=200701&amp;PERIODTYPE=QTR_STD&amp;SCFT=3&amp;window=popup_no_bar&amp;width=385&amp;height=120&amp;START_MAXIMIZED=FALSE&amp;creator=factset&amp;display_string=Audit"}</definedName>
    <definedName name="_1972__FDSAUDITLINK__" hidden="1">{"fdsup://Directions/FactSet Auditing Viewer?action=AUDIT_VALUE&amp;DB=129&amp;ID1=51841510&amp;VALUEID=02001&amp;SDATE=200701&amp;PERIODTYPE=QTR_STD&amp;SCFT=3&amp;window=popup_no_bar&amp;width=385&amp;height=120&amp;START_MAXIMIZED=FALSE&amp;creator=factset&amp;display_string=Audit"}</definedName>
    <definedName name="_1973__FDSAUDITLINK__" localSheetId="7" hidden="1">{"fdsup://Directions/FactSet Auditing Viewer?action=AUDIT_VALUE&amp;DB=129&amp;ID1=51280710&amp;VALUEID=02001&amp;SDATE=200703&amp;PERIODTYPE=QTR_STD&amp;SCFT=3&amp;window=popup_no_bar&amp;width=385&amp;height=120&amp;START_MAXIMIZED=FALSE&amp;creator=factset&amp;display_string=Audit"}</definedName>
    <definedName name="_1973__FDSAUDITLINK__" hidden="1">{"fdsup://Directions/FactSet Auditing Viewer?action=AUDIT_VALUE&amp;DB=129&amp;ID1=51280710&amp;VALUEID=02001&amp;SDATE=200703&amp;PERIODTYPE=QTR_STD&amp;SCFT=3&amp;window=popup_no_bar&amp;width=385&amp;height=120&amp;START_MAXIMIZED=FALSE&amp;creator=factset&amp;display_string=Audit"}</definedName>
    <definedName name="_1974__FDSAUDITLINK__" localSheetId="7" hidden="1">{"fdsup://Directions/FactSet Auditing Viewer?action=AUDIT_VALUE&amp;DB=129&amp;ID1=51280710&amp;VALUEID=02001&amp;SDATE=200703&amp;PERIODTYPE=QTR_STD&amp;SCFT=3&amp;window=popup_no_bar&amp;width=385&amp;height=120&amp;START_MAXIMIZED=FALSE&amp;creator=factset&amp;display_string=Audit"}</definedName>
    <definedName name="_1974__FDSAUDITLINK__" hidden="1">{"fdsup://Directions/FactSet Auditing Viewer?action=AUDIT_VALUE&amp;DB=129&amp;ID1=51280710&amp;VALUEID=02001&amp;SDATE=200703&amp;PERIODTYPE=QTR_STD&amp;SCFT=3&amp;window=popup_no_bar&amp;width=385&amp;height=120&amp;START_MAXIMIZED=FALSE&amp;creator=factset&amp;display_string=Audit"}</definedName>
    <definedName name="_1975__FDSAUDITLINK__" localSheetId="7" hidden="1">{"fdsup://Directions/FactSet Auditing Viewer?action=AUDIT_VALUE&amp;DB=129&amp;ID1=53567810&amp;VALUEID=02001&amp;SDATE=200703&amp;PERIODTYPE=QTR_STD&amp;SCFT=3&amp;window=popup_no_bar&amp;width=385&amp;height=120&amp;START_MAXIMIZED=FALSE&amp;creator=factset&amp;display_string=Audit"}</definedName>
    <definedName name="_1975__FDSAUDITLINK__" hidden="1">{"fdsup://Directions/FactSet Auditing Viewer?action=AUDIT_VALUE&amp;DB=129&amp;ID1=53567810&amp;VALUEID=02001&amp;SDATE=200703&amp;PERIODTYPE=QTR_STD&amp;SCFT=3&amp;window=popup_no_bar&amp;width=385&amp;height=120&amp;START_MAXIMIZED=FALSE&amp;creator=factset&amp;display_string=Audit"}</definedName>
    <definedName name="_1976__FDSAUDITLINK__" localSheetId="7" hidden="1">{"fdsup://Directions/FactSet Auditing Viewer?action=AUDIT_VALUE&amp;DB=129&amp;ID1=53567810&amp;VALUEID=02001&amp;SDATE=200703&amp;PERIODTYPE=QTR_STD&amp;SCFT=3&amp;window=popup_no_bar&amp;width=385&amp;height=120&amp;START_MAXIMIZED=FALSE&amp;creator=factset&amp;display_string=Audit"}</definedName>
    <definedName name="_1976__FDSAUDITLINK__" hidden="1">{"fdsup://Directions/FactSet Auditing Viewer?action=AUDIT_VALUE&amp;DB=129&amp;ID1=53567810&amp;VALUEID=02001&amp;SDATE=200703&amp;PERIODTYPE=QTR_STD&amp;SCFT=3&amp;window=popup_no_bar&amp;width=385&amp;height=120&amp;START_MAXIMIZED=FALSE&amp;creator=factset&amp;display_string=Audit"}</definedName>
    <definedName name="_1977__FDSAUDITLINK__" localSheetId="7" hidden="1">{"fdsup://Directions/FactSet Auditing Viewer?action=AUDIT_VALUE&amp;DB=129&amp;ID1=48248010&amp;VALUEID=02001&amp;SDATE=200703&amp;PERIODTYPE=QTR_STD&amp;SCFT=3&amp;window=popup_no_bar&amp;width=385&amp;height=120&amp;START_MAXIMIZED=FALSE&amp;creator=factset&amp;display_string=Audit"}</definedName>
    <definedName name="_1977__FDSAUDITLINK__" hidden="1">{"fdsup://Directions/FactSet Auditing Viewer?action=AUDIT_VALUE&amp;DB=129&amp;ID1=48248010&amp;VALUEID=02001&amp;SDATE=200703&amp;PERIODTYPE=QTR_STD&amp;SCFT=3&amp;window=popup_no_bar&amp;width=385&amp;height=120&amp;START_MAXIMIZED=FALSE&amp;creator=factset&amp;display_string=Audit"}</definedName>
    <definedName name="_1978__FDSAUDITLINK__" localSheetId="7" hidden="1">{"fdsup://Directions/FactSet Auditing Viewer?action=AUDIT_VALUE&amp;DB=129&amp;ID1=48248010&amp;VALUEID=02001&amp;SDATE=200703&amp;PERIODTYPE=QTR_STD&amp;SCFT=3&amp;window=popup_no_bar&amp;width=385&amp;height=120&amp;START_MAXIMIZED=FALSE&amp;creator=factset&amp;display_string=Audit"}</definedName>
    <definedName name="_1978__FDSAUDITLINK__" hidden="1">{"fdsup://Directions/FactSet Auditing Viewer?action=AUDIT_VALUE&amp;DB=129&amp;ID1=48248010&amp;VALUEID=02001&amp;SDATE=200703&amp;PERIODTYPE=QTR_STD&amp;SCFT=3&amp;window=popup_no_bar&amp;width=385&amp;height=120&amp;START_MAXIMIZED=FALSE&amp;creator=factset&amp;display_string=Audit"}</definedName>
    <definedName name="_1979__FDSAUDITLINK__" localSheetId="7" hidden="1">{"fdsup://Directions/FactSet Auditing Viewer?action=AUDIT_VALUE&amp;DB=129&amp;ID1=48203R10&amp;VALUEID=02001&amp;SDATE=200701&amp;PERIODTYPE=QTR_STD&amp;SCFT=3&amp;window=popup_no_bar&amp;width=385&amp;height=120&amp;START_MAXIMIZED=FALSE&amp;creator=factset&amp;display_string=Audit"}</definedName>
    <definedName name="_1979__FDSAUDITLINK__" hidden="1">{"fdsup://Directions/FactSet Auditing Viewer?action=AUDIT_VALUE&amp;DB=129&amp;ID1=48203R10&amp;VALUEID=02001&amp;SDATE=200701&amp;PERIODTYPE=QTR_STD&amp;SCFT=3&amp;window=popup_no_bar&amp;width=385&amp;height=120&amp;START_MAXIMIZED=FALSE&amp;creator=factset&amp;display_string=Audit"}</definedName>
    <definedName name="_198__FDSAUDITLINK__" localSheetId="7" hidden="1">{"fdsup://Directions/FactSet Auditing Viewer?action=AUDIT_VALUE&amp;DB=129&amp;ID1=68218910&amp;VALUEID=02001&amp;SDATE=201004&amp;PERIODTYPE=QTR_STD&amp;SCFT=3&amp;window=popup_no_bar&amp;width=385&amp;height=120&amp;START_MAXIMIZED=FALSE&amp;creator=factset&amp;display_string=Audit"}</definedName>
    <definedName name="_198__FDSAUDITLINK__" hidden="1">{"fdsup://Directions/FactSet Auditing Viewer?action=AUDIT_VALUE&amp;DB=129&amp;ID1=68218910&amp;VALUEID=02001&amp;SDATE=201004&amp;PERIODTYPE=QTR_STD&amp;SCFT=3&amp;window=popup_no_bar&amp;width=385&amp;height=120&amp;START_MAXIMIZED=FALSE&amp;creator=factset&amp;display_string=Audit"}</definedName>
    <definedName name="_1980__FDSAUDITLINK__" localSheetId="7" hidden="1">{"fdsup://Directions/FactSet Auditing Viewer?action=AUDIT_VALUE&amp;DB=129&amp;ID1=48203R10&amp;VALUEID=02001&amp;SDATE=200701&amp;PERIODTYPE=QTR_STD&amp;SCFT=3&amp;window=popup_no_bar&amp;width=385&amp;height=120&amp;START_MAXIMIZED=FALSE&amp;creator=factset&amp;display_string=Audit"}</definedName>
    <definedName name="_1980__FDSAUDITLINK__" hidden="1">{"fdsup://Directions/FactSet Auditing Viewer?action=AUDIT_VALUE&amp;DB=129&amp;ID1=48203R10&amp;VALUEID=02001&amp;SDATE=200701&amp;PERIODTYPE=QTR_STD&amp;SCFT=3&amp;window=popup_no_bar&amp;width=385&amp;height=120&amp;START_MAXIMIZED=FALSE&amp;creator=factset&amp;display_string=Audit"}</definedName>
    <definedName name="_1981__FDSAUDITLINK__" localSheetId="7" hidden="1">{"fdsup://Directions/FactSet Auditing Viewer?action=AUDIT_VALUE&amp;DB=129&amp;ID1=86681020&amp;VALUEID=02001&amp;SDATE=200703&amp;PERIODTYPE=QTR_STD&amp;SCFT=3&amp;window=popup_no_bar&amp;width=385&amp;height=120&amp;START_MAXIMIZED=FALSE&amp;creator=factset&amp;display_string=Audit"}</definedName>
    <definedName name="_1981__FDSAUDITLINK__" hidden="1">{"fdsup://Directions/FactSet Auditing Viewer?action=AUDIT_VALUE&amp;DB=129&amp;ID1=86681020&amp;VALUEID=02001&amp;SDATE=200703&amp;PERIODTYPE=QTR_STD&amp;SCFT=3&amp;window=popup_no_bar&amp;width=385&amp;height=120&amp;START_MAXIMIZED=FALSE&amp;creator=factset&amp;display_string=Audit"}</definedName>
    <definedName name="_1982__FDSAUDITLINK__" localSheetId="7" hidden="1">{"fdsup://Directions/FactSet Auditing Viewer?action=AUDIT_VALUE&amp;DB=129&amp;ID1=86681020&amp;VALUEID=02001&amp;SDATE=200703&amp;PERIODTYPE=QTR_STD&amp;SCFT=3&amp;window=popup_no_bar&amp;width=385&amp;height=120&amp;START_MAXIMIZED=FALSE&amp;creator=factset&amp;display_string=Audit"}</definedName>
    <definedName name="_1982__FDSAUDITLINK__" hidden="1">{"fdsup://Directions/FactSet Auditing Viewer?action=AUDIT_VALUE&amp;DB=129&amp;ID1=86681020&amp;VALUEID=02001&amp;SDATE=200703&amp;PERIODTYPE=QTR_STD&amp;SCFT=3&amp;window=popup_no_bar&amp;width=385&amp;height=120&amp;START_MAXIMIZED=FALSE&amp;creator=factset&amp;display_string=Audit"}</definedName>
    <definedName name="_1983__FDSAUDITLINK__" localSheetId="7" hidden="1">{"fdsup://Directions/FactSet Auditing Viewer?action=AUDIT_VALUE&amp;DB=129&amp;ID1=46069S10&amp;VALUEID=02001&amp;SDATE=200701&amp;PERIODTYPE=QTR_STD&amp;SCFT=3&amp;window=popup_no_bar&amp;width=385&amp;height=120&amp;START_MAXIMIZED=FALSE&amp;creator=factset&amp;display_string=Audit"}</definedName>
    <definedName name="_1983__FDSAUDITLINK__" hidden="1">{"fdsup://Directions/FactSet Auditing Viewer?action=AUDIT_VALUE&amp;DB=129&amp;ID1=46069S10&amp;VALUEID=02001&amp;SDATE=200701&amp;PERIODTYPE=QTR_STD&amp;SCFT=3&amp;window=popup_no_bar&amp;width=385&amp;height=120&amp;START_MAXIMIZED=FALSE&amp;creator=factset&amp;display_string=Audit"}</definedName>
    <definedName name="_1984__FDSAUDITLINK__" localSheetId="7" hidden="1">{"fdsup://Directions/FactSet Auditing Viewer?action=AUDIT_VALUE&amp;DB=129&amp;ID1=46069S10&amp;VALUEID=02001&amp;SDATE=200701&amp;PERIODTYPE=QTR_STD&amp;SCFT=3&amp;window=popup_no_bar&amp;width=385&amp;height=120&amp;START_MAXIMIZED=FALSE&amp;creator=factset&amp;display_string=Audit"}</definedName>
    <definedName name="_1984__FDSAUDITLINK__" hidden="1">{"fdsup://Directions/FactSet Auditing Viewer?action=AUDIT_VALUE&amp;DB=129&amp;ID1=46069S10&amp;VALUEID=02001&amp;SDATE=200701&amp;PERIODTYPE=QTR_STD&amp;SCFT=3&amp;window=popup_no_bar&amp;width=385&amp;height=120&amp;START_MAXIMIZED=FALSE&amp;creator=factset&amp;display_string=Audit"}</definedName>
    <definedName name="_1985__FDSAUDITLINK__" localSheetId="7" hidden="1">{"fdsup://Directions/FactSet Auditing Viewer?action=AUDIT_VALUE&amp;DB=129&amp;ID1=46025410&amp;VALUEID=02001&amp;SDATE=200703&amp;PERIODTYPE=QTR_STD&amp;SCFT=3&amp;window=popup_no_bar&amp;width=385&amp;height=120&amp;START_MAXIMIZED=FALSE&amp;creator=factset&amp;display_string=Audit"}</definedName>
    <definedName name="_1985__FDSAUDITLINK__" hidden="1">{"fdsup://Directions/FactSet Auditing Viewer?action=AUDIT_VALUE&amp;DB=129&amp;ID1=46025410&amp;VALUEID=02001&amp;SDATE=200703&amp;PERIODTYPE=QTR_STD&amp;SCFT=3&amp;window=popup_no_bar&amp;width=385&amp;height=120&amp;START_MAXIMIZED=FALSE&amp;creator=factset&amp;display_string=Audit"}</definedName>
    <definedName name="_1986__FDSAUDITLINK__" localSheetId="7" hidden="1">{"fdsup://Directions/FactSet Auditing Viewer?action=AUDIT_VALUE&amp;DB=129&amp;ID1=46025410&amp;VALUEID=02001&amp;SDATE=200703&amp;PERIODTYPE=QTR_STD&amp;SCFT=3&amp;window=popup_no_bar&amp;width=385&amp;height=120&amp;START_MAXIMIZED=FALSE&amp;creator=factset&amp;display_string=Audit"}</definedName>
    <definedName name="_1986__FDSAUDITLINK__" hidden="1">{"fdsup://Directions/FactSet Auditing Viewer?action=AUDIT_VALUE&amp;DB=129&amp;ID1=46025410&amp;VALUEID=02001&amp;SDATE=200703&amp;PERIODTYPE=QTR_STD&amp;SCFT=3&amp;window=popup_no_bar&amp;width=385&amp;height=120&amp;START_MAXIMIZED=FALSE&amp;creator=factset&amp;display_string=Audit"}</definedName>
    <definedName name="_1987__FDSAUDITLINK__" localSheetId="7" hidden="1">{"fdsup://Directions/FactSet Auditing Viewer?action=AUDIT_VALUE&amp;DB=129&amp;ID1=45814010&amp;VALUEID=02001&amp;SDATE=200701&amp;PERIODTYPE=QTR_STD&amp;SCFT=3&amp;window=popup_no_bar&amp;width=385&amp;height=120&amp;START_MAXIMIZED=FALSE&amp;creator=factset&amp;display_string=Audit"}</definedName>
    <definedName name="_1987__FDSAUDITLINK__" hidden="1">{"fdsup://Directions/FactSet Auditing Viewer?action=AUDIT_VALUE&amp;DB=129&amp;ID1=45814010&amp;VALUEID=02001&amp;SDATE=200701&amp;PERIODTYPE=QTR_STD&amp;SCFT=3&amp;window=popup_no_bar&amp;width=385&amp;height=120&amp;START_MAXIMIZED=FALSE&amp;creator=factset&amp;display_string=Audit"}</definedName>
    <definedName name="_1988__FDSAUDITLINK__" localSheetId="7" hidden="1">{"fdsup://Directions/FactSet Auditing Viewer?action=AUDIT_VALUE&amp;DB=129&amp;ID1=45814010&amp;VALUEID=02001&amp;SDATE=200701&amp;PERIODTYPE=QTR_STD&amp;SCFT=3&amp;window=popup_no_bar&amp;width=385&amp;height=120&amp;START_MAXIMIZED=FALSE&amp;creator=factset&amp;display_string=Audit"}</definedName>
    <definedName name="_1988__FDSAUDITLINK__" hidden="1">{"fdsup://Directions/FactSet Auditing Viewer?action=AUDIT_VALUE&amp;DB=129&amp;ID1=45814010&amp;VALUEID=02001&amp;SDATE=200701&amp;PERIODTYPE=QTR_STD&amp;SCFT=3&amp;window=popup_no_bar&amp;width=385&amp;height=120&amp;START_MAXIMIZED=FALSE&amp;creator=factset&amp;display_string=Audit"}</definedName>
    <definedName name="_1989__FDSAUDITLINK__" localSheetId="7" hidden="1">{"fdsup://Directions/FactSet Auditing Viewer?action=AUDIT_VALUE&amp;DB=129&amp;ID1=42823610&amp;VALUEID=02001&amp;SDATE=200702&amp;PERIODTYPE=QTR_STD&amp;SCFT=3&amp;window=popup_no_bar&amp;width=385&amp;height=120&amp;START_MAXIMIZED=FALSE&amp;creator=factset&amp;display_string=Audit"}</definedName>
    <definedName name="_1989__FDSAUDITLINK__" hidden="1">{"fdsup://Directions/FactSet Auditing Viewer?action=AUDIT_VALUE&amp;DB=129&amp;ID1=42823610&amp;VALUEID=02001&amp;SDATE=200702&amp;PERIODTYPE=QTR_STD&amp;SCFT=3&amp;window=popup_no_bar&amp;width=385&amp;height=120&amp;START_MAXIMIZED=FALSE&amp;creator=factset&amp;display_string=Audit"}</definedName>
    <definedName name="_199__FDSAUDITLINK__" localSheetId="7" hidden="1">{"fdsup://Directions/FactSet Auditing Viewer?action=AUDIT_VALUE&amp;DB=129&amp;ID1=B505PN&amp;VALUEID=02001&amp;SDATE=201004&amp;PERIODTYPE=QTR_STD&amp;SCFT=3&amp;window=popup_no_bar&amp;width=385&amp;height=120&amp;START_MAXIMIZED=FALSE&amp;creator=factset&amp;display_string=Audit"}</definedName>
    <definedName name="_199__FDSAUDITLINK__" hidden="1">{"fdsup://Directions/FactSet Auditing Viewer?action=AUDIT_VALUE&amp;DB=129&amp;ID1=B505PN&amp;VALUEID=02001&amp;SDATE=201004&amp;PERIODTYPE=QTR_STD&amp;SCFT=3&amp;window=popup_no_bar&amp;width=385&amp;height=120&amp;START_MAXIMIZED=FALSE&amp;creator=factset&amp;display_string=Audit"}</definedName>
    <definedName name="_1990__FDSAUDITLINK__" localSheetId="7" hidden="1">{"fdsup://Directions/FactSet Auditing Viewer?action=AUDIT_VALUE&amp;DB=129&amp;ID1=42823610&amp;VALUEID=02001&amp;SDATE=200702&amp;PERIODTYPE=QTR_STD&amp;SCFT=3&amp;window=popup_no_bar&amp;width=385&amp;height=120&amp;START_MAXIMIZED=FALSE&amp;creator=factset&amp;display_string=Audit"}</definedName>
    <definedName name="_1990__FDSAUDITLINK__" hidden="1">{"fdsup://Directions/FactSet Auditing Viewer?action=AUDIT_VALUE&amp;DB=129&amp;ID1=42823610&amp;VALUEID=02001&amp;SDATE=200702&amp;PERIODTYPE=QTR_STD&amp;SCFT=3&amp;window=popup_no_bar&amp;width=385&amp;height=120&amp;START_MAXIMIZED=FALSE&amp;creator=factset&amp;display_string=Audit"}</definedName>
    <definedName name="_1991__FDSAUDITLINK__" localSheetId="7" hidden="1">{"fdsup://Directions/FactSet Auditing Viewer?action=AUDIT_VALUE&amp;DB=129&amp;ID1=H2906T10&amp;VALUEID=02001&amp;SDATE=200701&amp;PERIODTYPE=QTR_STD&amp;SCFT=3&amp;window=popup_no_bar&amp;width=385&amp;height=120&amp;START_MAXIMIZED=FALSE&amp;creator=factset&amp;display_string=Audit"}</definedName>
    <definedName name="_1991__FDSAUDITLINK__" hidden="1">{"fdsup://Directions/FactSet Auditing Viewer?action=AUDIT_VALUE&amp;DB=129&amp;ID1=H2906T10&amp;VALUEID=02001&amp;SDATE=200701&amp;PERIODTYPE=QTR_STD&amp;SCFT=3&amp;window=popup_no_bar&amp;width=385&amp;height=120&amp;START_MAXIMIZED=FALSE&amp;creator=factset&amp;display_string=Audit"}</definedName>
    <definedName name="_1992__FDSAUDITLINK__" localSheetId="7" hidden="1">{"fdsup://Directions/FactSet Auditing Viewer?action=AUDIT_VALUE&amp;DB=129&amp;ID1=H2906T10&amp;VALUEID=02001&amp;SDATE=200701&amp;PERIODTYPE=QTR_STD&amp;SCFT=3&amp;window=popup_no_bar&amp;width=385&amp;height=120&amp;START_MAXIMIZED=FALSE&amp;creator=factset&amp;display_string=Audit"}</definedName>
    <definedName name="_1992__FDSAUDITLINK__" hidden="1">{"fdsup://Directions/FactSet Auditing Viewer?action=AUDIT_VALUE&amp;DB=129&amp;ID1=H2906T10&amp;VALUEID=02001&amp;SDATE=200701&amp;PERIODTYPE=QTR_STD&amp;SCFT=3&amp;window=popup_no_bar&amp;width=385&amp;height=120&amp;START_MAXIMIZED=FALSE&amp;creator=factset&amp;display_string=Audit"}</definedName>
    <definedName name="_1993__FDSAUDITLINK__" localSheetId="7" hidden="1">{"fdsup://Directions/FactSet Auditing Viewer?action=AUDIT_VALUE&amp;DB=129&amp;ID1=34637510&amp;VALUEID=02001&amp;SDATE=200701&amp;PERIODTYPE=QTR_STD&amp;SCFT=3&amp;window=popup_no_bar&amp;width=385&amp;height=120&amp;START_MAXIMIZED=FALSE&amp;creator=factset&amp;display_string=Audit"}</definedName>
    <definedName name="_1993__FDSAUDITLINK__" hidden="1">{"fdsup://Directions/FactSet Auditing Viewer?action=AUDIT_VALUE&amp;DB=129&amp;ID1=34637510&amp;VALUEID=02001&amp;SDATE=200701&amp;PERIODTYPE=QTR_STD&amp;SCFT=3&amp;window=popup_no_bar&amp;width=385&amp;height=120&amp;START_MAXIMIZED=FALSE&amp;creator=factset&amp;display_string=Audit"}</definedName>
    <definedName name="_1994__FDSAUDITLINK__" localSheetId="7" hidden="1">{"fdsup://Directions/FactSet Auditing Viewer?action=AUDIT_VALUE&amp;DB=129&amp;ID1=34637510&amp;VALUEID=02001&amp;SDATE=200701&amp;PERIODTYPE=QTR_STD&amp;SCFT=3&amp;window=popup_no_bar&amp;width=385&amp;height=120&amp;START_MAXIMIZED=FALSE&amp;creator=factset&amp;display_string=Audit"}</definedName>
    <definedName name="_1994__FDSAUDITLINK__" hidden="1">{"fdsup://Directions/FactSet Auditing Viewer?action=AUDIT_VALUE&amp;DB=129&amp;ID1=34637510&amp;VALUEID=02001&amp;SDATE=200701&amp;PERIODTYPE=QTR_STD&amp;SCFT=3&amp;window=popup_no_bar&amp;width=385&amp;height=120&amp;START_MAXIMIZED=FALSE&amp;creator=factset&amp;display_string=Audit"}</definedName>
    <definedName name="_1995__FDSAUDITLINK__" localSheetId="7" hidden="1">{"fdsup://Directions/FactSet Auditing Viewer?action=AUDIT_VALUE&amp;DB=129&amp;ID1=31561610&amp;VALUEID=02001&amp;SDATE=200702&amp;PERIODTYPE=QTR_STD&amp;SCFT=3&amp;window=popup_no_bar&amp;width=385&amp;height=120&amp;START_MAXIMIZED=FALSE&amp;creator=factset&amp;display_string=Audit"}</definedName>
    <definedName name="_1995__FDSAUDITLINK__" hidden="1">{"fdsup://Directions/FactSet Auditing Viewer?action=AUDIT_VALUE&amp;DB=129&amp;ID1=31561610&amp;VALUEID=02001&amp;SDATE=200702&amp;PERIODTYPE=QTR_STD&amp;SCFT=3&amp;window=popup_no_bar&amp;width=385&amp;height=120&amp;START_MAXIMIZED=FALSE&amp;creator=factset&amp;display_string=Audit"}</definedName>
    <definedName name="_1996__FDSAUDITLINK__" localSheetId="7" hidden="1">{"fdsup://Directions/FactSet Auditing Viewer?action=AUDIT_VALUE&amp;DB=129&amp;ID1=31561610&amp;VALUEID=02001&amp;SDATE=200702&amp;PERIODTYPE=QTR_STD&amp;SCFT=3&amp;window=popup_no_bar&amp;width=385&amp;height=120&amp;START_MAXIMIZED=FALSE&amp;creator=factset&amp;display_string=Audit"}</definedName>
    <definedName name="_1996__FDSAUDITLINK__" hidden="1">{"fdsup://Directions/FactSet Auditing Viewer?action=AUDIT_VALUE&amp;DB=129&amp;ID1=31561610&amp;VALUEID=02001&amp;SDATE=200702&amp;PERIODTYPE=QTR_STD&amp;SCFT=3&amp;window=popup_no_bar&amp;width=385&amp;height=120&amp;START_MAXIMIZED=FALSE&amp;creator=factset&amp;display_string=Audit"}</definedName>
    <definedName name="_1997__FDSAUDITLINK__" localSheetId="7" hidden="1">{"fdsup://Directions/FactSet Auditing Viewer?action=AUDIT_VALUE&amp;DB=129&amp;ID1=29247520&amp;VALUEID=02001&amp;SDATE=200703&amp;PERIODTYPE=QTR_STD&amp;SCFT=3&amp;window=popup_no_bar&amp;width=385&amp;height=120&amp;START_MAXIMIZED=FALSE&amp;creator=factset&amp;display_string=Audit"}</definedName>
    <definedName name="_1997__FDSAUDITLINK__" hidden="1">{"fdsup://Directions/FactSet Auditing Viewer?action=AUDIT_VALUE&amp;DB=129&amp;ID1=29247520&amp;VALUEID=02001&amp;SDATE=200703&amp;PERIODTYPE=QTR_STD&amp;SCFT=3&amp;window=popup_no_bar&amp;width=385&amp;height=120&amp;START_MAXIMIZED=FALSE&amp;creator=factset&amp;display_string=Audit"}</definedName>
    <definedName name="_1998__FDSAUDITLINK__" localSheetId="7" hidden="1">{"fdsup://Directions/FactSet Auditing Viewer?action=AUDIT_VALUE&amp;DB=129&amp;ID1=29247520&amp;VALUEID=02001&amp;SDATE=200703&amp;PERIODTYPE=QTR_STD&amp;SCFT=3&amp;window=popup_no_bar&amp;width=385&amp;height=120&amp;START_MAXIMIZED=FALSE&amp;creator=factset&amp;display_string=Audit"}</definedName>
    <definedName name="_1998__FDSAUDITLINK__" hidden="1">{"fdsup://Directions/FactSet Auditing Viewer?action=AUDIT_VALUE&amp;DB=129&amp;ID1=29247520&amp;VALUEID=02001&amp;SDATE=200703&amp;PERIODTYPE=QTR_STD&amp;SCFT=3&amp;window=popup_no_bar&amp;width=385&amp;height=120&amp;START_MAXIMIZED=FALSE&amp;creator=factset&amp;display_string=Audit"}</definedName>
    <definedName name="_1999__FDSAUDITLINK__" localSheetId="7" hidden="1">{"fdsup://Directions/FactSet Auditing Viewer?action=AUDIT_VALUE&amp;DB=129&amp;ID1=25454310&amp;VALUEID=02001&amp;SDATE=200701&amp;PERIODTYPE=QTR_STD&amp;SCFT=3&amp;window=popup_no_bar&amp;width=385&amp;height=120&amp;START_MAXIMIZED=FALSE&amp;creator=factset&amp;display_string=Audit"}</definedName>
    <definedName name="_1999__FDSAUDITLINK__" hidden="1">{"fdsup://Directions/FactSet Auditing Viewer?action=AUDIT_VALUE&amp;DB=129&amp;ID1=25454310&amp;VALUEID=02001&amp;SDATE=200701&amp;PERIODTYPE=QTR_STD&amp;SCFT=3&amp;window=popup_no_bar&amp;width=385&amp;height=120&amp;START_MAXIMIZED=FALSE&amp;creator=factset&amp;display_string=Audit"}</definedName>
    <definedName name="_2__FDSAUDITLINK__" localSheetId="7" hidden="1">{"fdsup://Directions/FactSet Auditing Viewer?action=AUDIT_VALUE&amp;DB=129&amp;ID1=03265410&amp;VALUEID=05194&amp;SDATE=201103&amp;PERIODTYPE=QTR_STD&amp;SCFT=3&amp;window=popup_no_bar&amp;width=385&amp;height=120&amp;START_MAXIMIZED=FALSE&amp;creator=factset&amp;display_string=Audit"}</definedName>
    <definedName name="_2__FDSAUDITLINK__" hidden="1">{"fdsup://Directions/FactSet Auditing Viewer?action=AUDIT_VALUE&amp;DB=129&amp;ID1=03265410&amp;VALUEID=05194&amp;SDATE=201103&amp;PERIODTYPE=QTR_STD&amp;SCFT=3&amp;window=popup_no_bar&amp;width=385&amp;height=120&amp;START_MAXIMIZED=FALSE&amp;creator=factset&amp;display_string=Audit"}</definedName>
    <definedName name="_20__FDSAUDITLINK__" localSheetId="7" hidden="1">{"fdsup://Directions/FactSet Auditing Viewer?action=AUDIT_VALUE&amp;DB=129&amp;ID1=83088M10&amp;VALUEID=02001&amp;SDATE=201102&amp;PERIODTYPE=QTR_STD&amp;SCFT=3&amp;window=popup_no_bar&amp;width=385&amp;height=120&amp;START_MAXIMIZED=FALSE&amp;creator=factset&amp;display_string=Audit"}</definedName>
    <definedName name="_20__FDSAUDITLINK__" hidden="1">{"fdsup://Directions/FactSet Auditing Viewer?action=AUDIT_VALUE&amp;DB=129&amp;ID1=83088M10&amp;VALUEID=02001&amp;SDATE=201102&amp;PERIODTYPE=QTR_STD&amp;SCFT=3&amp;window=popup_no_bar&amp;width=385&amp;height=120&amp;START_MAXIMIZED=FALSE&amp;creator=factset&amp;display_string=Audit"}</definedName>
    <definedName name="_200__FDSAUDITLINK__" localSheetId="7" hidden="1">{"fdsup://Directions/FactSet Auditing Viewer?action=AUDIT_VALUE&amp;DB=129&amp;ID1=B505PN&amp;VALUEID=02001&amp;SDATE=201004&amp;PERIODTYPE=QTR_STD&amp;SCFT=3&amp;window=popup_no_bar&amp;width=385&amp;height=120&amp;START_MAXIMIZED=FALSE&amp;creator=factset&amp;display_string=Audit"}</definedName>
    <definedName name="_200__FDSAUDITLINK__" hidden="1">{"fdsup://Directions/FactSet Auditing Viewer?action=AUDIT_VALUE&amp;DB=129&amp;ID1=B505PN&amp;VALUEID=02001&amp;SDATE=201004&amp;PERIODTYPE=QTR_STD&amp;SCFT=3&amp;window=popup_no_bar&amp;width=385&amp;height=120&amp;START_MAXIMIZED=FALSE&amp;creator=factset&amp;display_string=Audit"}</definedName>
    <definedName name="_2000__FDSAUDITLINK__" localSheetId="7" hidden="1">{"fdsup://Directions/FactSet Auditing Viewer?action=AUDIT_VALUE&amp;DB=129&amp;ID1=25454310&amp;VALUEID=02001&amp;SDATE=200701&amp;PERIODTYPE=QTR_STD&amp;SCFT=3&amp;window=popup_no_bar&amp;width=385&amp;height=120&amp;START_MAXIMIZED=FALSE&amp;creator=factset&amp;display_string=Audit"}</definedName>
    <definedName name="_2000__FDSAUDITLINK__" hidden="1">{"fdsup://Directions/FactSet Auditing Viewer?action=AUDIT_VALUE&amp;DB=129&amp;ID1=25454310&amp;VALUEID=02001&amp;SDATE=200701&amp;PERIODTYPE=QTR_STD&amp;SCFT=3&amp;window=popup_no_bar&amp;width=385&amp;height=120&amp;START_MAXIMIZED=FALSE&amp;creator=factset&amp;display_string=Audit"}</definedName>
    <definedName name="_2001__FDSAUDITLINK__" localSheetId="7" hidden="1">{"fdsup://Directions/FactSet Auditing Viewer?action=AUDIT_VALUE&amp;DB=129&amp;ID1=24702R10&amp;VALUEID=02001&amp;SDATE=200701&amp;PERIODTYPE=QTR_STD&amp;SCFT=3&amp;window=popup_no_bar&amp;width=385&amp;height=120&amp;START_MAXIMIZED=FALSE&amp;creator=factset&amp;display_string=Audit"}</definedName>
    <definedName name="_2001__FDSAUDITLINK__" hidden="1">{"fdsup://Directions/FactSet Auditing Viewer?action=AUDIT_VALUE&amp;DB=129&amp;ID1=24702R10&amp;VALUEID=02001&amp;SDATE=200701&amp;PERIODTYPE=QTR_STD&amp;SCFT=3&amp;window=popup_no_bar&amp;width=385&amp;height=120&amp;START_MAXIMIZED=FALSE&amp;creator=factset&amp;display_string=Audit"}</definedName>
    <definedName name="_2002__FDSAUDITLINK__" localSheetId="7" hidden="1">{"fdsup://Directions/FactSet Auditing Viewer?action=AUDIT_VALUE&amp;DB=129&amp;ID1=24702R10&amp;VALUEID=02001&amp;SDATE=200701&amp;PERIODTYPE=QTR_STD&amp;SCFT=3&amp;window=popup_no_bar&amp;width=385&amp;height=120&amp;START_MAXIMIZED=FALSE&amp;creator=factset&amp;display_string=Audit"}</definedName>
    <definedName name="_2002__FDSAUDITLINK__" hidden="1">{"fdsup://Directions/FactSet Auditing Viewer?action=AUDIT_VALUE&amp;DB=129&amp;ID1=24702R10&amp;VALUEID=02001&amp;SDATE=200701&amp;PERIODTYPE=QTR_STD&amp;SCFT=3&amp;window=popup_no_bar&amp;width=385&amp;height=120&amp;START_MAXIMIZED=FALSE&amp;creator=factset&amp;display_string=Audit"}</definedName>
    <definedName name="_2003__FDSAUDITLINK__" localSheetId="7" hidden="1">{"fdsup://Directions/FactSet Auditing Viewer?action=AUDIT_VALUE&amp;DB=129&amp;ID1=23257210&amp;VALUEID=02001&amp;SDATE=200701&amp;PERIODTYPE=QTR_STD&amp;SCFT=3&amp;window=popup_no_bar&amp;width=385&amp;height=120&amp;START_MAXIMIZED=FALSE&amp;creator=factset&amp;display_string=Audit"}</definedName>
    <definedName name="_2003__FDSAUDITLINK__" hidden="1">{"fdsup://Directions/FactSet Auditing Viewer?action=AUDIT_VALUE&amp;DB=129&amp;ID1=23257210&amp;VALUEID=02001&amp;SDATE=200701&amp;PERIODTYPE=QTR_STD&amp;SCFT=3&amp;window=popup_no_bar&amp;width=385&amp;height=120&amp;START_MAXIMIZED=FALSE&amp;creator=factset&amp;display_string=Audit"}</definedName>
    <definedName name="_2004__FDSAUDITLINK__" localSheetId="7" hidden="1">{"fdsup://Directions/FactSet Auditing Viewer?action=AUDIT_VALUE&amp;DB=129&amp;ID1=23257210&amp;VALUEID=02001&amp;SDATE=200701&amp;PERIODTYPE=QTR_STD&amp;SCFT=3&amp;window=popup_no_bar&amp;width=385&amp;height=120&amp;START_MAXIMIZED=FALSE&amp;creator=factset&amp;display_string=Audit"}</definedName>
    <definedName name="_2004__FDSAUDITLINK__" hidden="1">{"fdsup://Directions/FactSet Auditing Viewer?action=AUDIT_VALUE&amp;DB=129&amp;ID1=23257210&amp;VALUEID=02001&amp;SDATE=200701&amp;PERIODTYPE=QTR_STD&amp;SCFT=3&amp;window=popup_no_bar&amp;width=385&amp;height=120&amp;START_MAXIMIZED=FALSE&amp;creator=factset&amp;display_string=Audit"}</definedName>
    <definedName name="_2005__FDSAUDITLINK__" localSheetId="7" hidden="1">{"fdsup://Directions/FactSet Auditing Viewer?action=AUDIT_VALUE&amp;DB=129&amp;ID1=23280610&amp;VALUEID=02001&amp;SDATE=200701&amp;PERIODTYPE=QTR_STD&amp;SCFT=3&amp;window=popup_no_bar&amp;width=385&amp;height=120&amp;START_MAXIMIZED=FALSE&amp;creator=factset&amp;display_string=Audit"}</definedName>
    <definedName name="_2005__FDSAUDITLINK__" hidden="1">{"fdsup://Directions/FactSet Auditing Viewer?action=AUDIT_VALUE&amp;DB=129&amp;ID1=23280610&amp;VALUEID=02001&amp;SDATE=200701&amp;PERIODTYPE=QTR_STD&amp;SCFT=3&amp;window=popup_no_bar&amp;width=385&amp;height=120&amp;START_MAXIMIZED=FALSE&amp;creator=factset&amp;display_string=Audit"}</definedName>
    <definedName name="_2006__FDSAUDITLINK__" localSheetId="7" hidden="1">{"fdsup://Directions/FactSet Auditing Viewer?action=AUDIT_VALUE&amp;DB=129&amp;ID1=23280610&amp;VALUEID=02001&amp;SDATE=200701&amp;PERIODTYPE=QTR_STD&amp;SCFT=3&amp;window=popup_no_bar&amp;width=385&amp;height=120&amp;START_MAXIMIZED=FALSE&amp;creator=factset&amp;display_string=Audit"}</definedName>
    <definedName name="_2006__FDSAUDITLINK__" hidden="1">{"fdsup://Directions/FactSet Auditing Viewer?action=AUDIT_VALUE&amp;DB=129&amp;ID1=23280610&amp;VALUEID=02001&amp;SDATE=200701&amp;PERIODTYPE=QTR_STD&amp;SCFT=3&amp;window=popup_no_bar&amp;width=385&amp;height=120&amp;START_MAXIMIZED=FALSE&amp;creator=factset&amp;display_string=Audit"}</definedName>
    <definedName name="_2007__FDSAUDITLINK__" localSheetId="7" hidden="1">{"fdsup://Directions/FactSet Auditing Viewer?action=AUDIT_VALUE&amp;DB=129&amp;ID1=17275R10&amp;VALUEID=02001&amp;SDATE=200703&amp;PERIODTYPE=QTR_STD&amp;SCFT=3&amp;window=popup_no_bar&amp;width=385&amp;height=120&amp;START_MAXIMIZED=FALSE&amp;creator=factset&amp;display_string=Audit"}</definedName>
    <definedName name="_2007__FDSAUDITLINK__" hidden="1">{"fdsup://Directions/FactSet Auditing Viewer?action=AUDIT_VALUE&amp;DB=129&amp;ID1=17275R10&amp;VALUEID=02001&amp;SDATE=200703&amp;PERIODTYPE=QTR_STD&amp;SCFT=3&amp;window=popup_no_bar&amp;width=385&amp;height=120&amp;START_MAXIMIZED=FALSE&amp;creator=factset&amp;display_string=Audit"}</definedName>
    <definedName name="_2008__FDSAUDITLINK__" localSheetId="7" hidden="1">{"fdsup://Directions/FactSet Auditing Viewer?action=AUDIT_VALUE&amp;DB=129&amp;ID1=17275R10&amp;VALUEID=02001&amp;SDATE=200703&amp;PERIODTYPE=QTR_STD&amp;SCFT=3&amp;window=popup_no_bar&amp;width=385&amp;height=120&amp;START_MAXIMIZED=FALSE&amp;creator=factset&amp;display_string=Audit"}</definedName>
    <definedName name="_2008__FDSAUDITLINK__" hidden="1">{"fdsup://Directions/FactSet Auditing Viewer?action=AUDIT_VALUE&amp;DB=129&amp;ID1=17275R10&amp;VALUEID=02001&amp;SDATE=200703&amp;PERIODTYPE=QTR_STD&amp;SCFT=3&amp;window=popup_no_bar&amp;width=385&amp;height=120&amp;START_MAXIMIZED=FALSE&amp;creator=factset&amp;display_string=Audit"}</definedName>
    <definedName name="_2009__FDSAUDITLINK__" localSheetId="7" hidden="1">{"fdsup://Directions/FactSet Auditing Viewer?action=AUDIT_VALUE&amp;DB=129&amp;ID1=22544710&amp;VALUEID=02001&amp;SDATE=200703&amp;PERIODTYPE=QTR_STD&amp;SCFT=3&amp;window=popup_no_bar&amp;width=385&amp;height=120&amp;START_MAXIMIZED=FALSE&amp;creator=factset&amp;display_string=Audit"}</definedName>
    <definedName name="_2009__FDSAUDITLINK__" hidden="1">{"fdsup://Directions/FactSet Auditing Viewer?action=AUDIT_VALUE&amp;DB=129&amp;ID1=22544710&amp;VALUEID=02001&amp;SDATE=200703&amp;PERIODTYPE=QTR_STD&amp;SCFT=3&amp;window=popup_no_bar&amp;width=385&amp;height=120&amp;START_MAXIMIZED=FALSE&amp;creator=factset&amp;display_string=Audit"}</definedName>
    <definedName name="_201__FDSAUDITLINK__" localSheetId="7" hidden="1">{"fdsup://Directions/FactSet Auditing Viewer?action=AUDIT_VALUE&amp;DB=129&amp;ID1=67000810&amp;VALUEID=02001&amp;SDATE=201004&amp;PERIODTYPE=QTR_STD&amp;SCFT=3&amp;window=popup_no_bar&amp;width=385&amp;height=120&amp;START_MAXIMIZED=FALSE&amp;creator=factset&amp;display_string=Audit"}</definedName>
    <definedName name="_201__FDSAUDITLINK__" hidden="1">{"fdsup://Directions/FactSet Auditing Viewer?action=AUDIT_VALUE&amp;DB=129&amp;ID1=67000810&amp;VALUEID=02001&amp;SDATE=201004&amp;PERIODTYPE=QTR_STD&amp;SCFT=3&amp;window=popup_no_bar&amp;width=385&amp;height=120&amp;START_MAXIMIZED=FALSE&amp;creator=factset&amp;display_string=Audit"}</definedName>
    <definedName name="_2010__FDSAUDITLINK__" localSheetId="7" hidden="1">{"fdsup://Directions/FactSet Auditing Viewer?action=AUDIT_VALUE&amp;DB=129&amp;ID1=22544710&amp;VALUEID=02001&amp;SDATE=200703&amp;PERIODTYPE=QTR_STD&amp;SCFT=3&amp;window=popup_no_bar&amp;width=385&amp;height=120&amp;START_MAXIMIZED=FALSE&amp;creator=factset&amp;display_string=Audit"}</definedName>
    <definedName name="_2010__FDSAUDITLINK__" hidden="1">{"fdsup://Directions/FactSet Auditing Viewer?action=AUDIT_VALUE&amp;DB=129&amp;ID1=22544710&amp;VALUEID=02001&amp;SDATE=200703&amp;PERIODTYPE=QTR_STD&amp;SCFT=3&amp;window=popup_no_bar&amp;width=385&amp;height=120&amp;START_MAXIMIZED=FALSE&amp;creator=factset&amp;display_string=Audit"}</definedName>
    <definedName name="_2011__FDSAUDITLINK__" localSheetId="7" hidden="1">{"fdsup://Directions/FactSet Auditing Viewer?action=AUDIT_VALUE&amp;DB=129&amp;ID1=20714230&amp;VALUEID=02001&amp;SDATE=200702&amp;PERIODTYPE=QTR_STD&amp;SCFT=3&amp;window=popup_no_bar&amp;width=385&amp;height=120&amp;START_MAXIMIZED=FALSE&amp;creator=factset&amp;display_string=Audit"}</definedName>
    <definedName name="_2011__FDSAUDITLINK__" hidden="1">{"fdsup://Directions/FactSet Auditing Viewer?action=AUDIT_VALUE&amp;DB=129&amp;ID1=20714230&amp;VALUEID=02001&amp;SDATE=200702&amp;PERIODTYPE=QTR_STD&amp;SCFT=3&amp;window=popup_no_bar&amp;width=385&amp;height=120&amp;START_MAXIMIZED=FALSE&amp;creator=factset&amp;display_string=Audit"}</definedName>
    <definedName name="_2012__FDSAUDITLINK__" localSheetId="7" hidden="1">{"fdsup://Directions/FactSet Auditing Viewer?action=AUDIT_VALUE&amp;DB=129&amp;ID1=20714230&amp;VALUEID=02001&amp;SDATE=200702&amp;PERIODTYPE=QTR_STD&amp;SCFT=3&amp;window=popup_no_bar&amp;width=385&amp;height=120&amp;START_MAXIMIZED=FALSE&amp;creator=factset&amp;display_string=Audit"}</definedName>
    <definedName name="_2012__FDSAUDITLINK__" hidden="1">{"fdsup://Directions/FactSet Auditing Viewer?action=AUDIT_VALUE&amp;DB=129&amp;ID1=20714230&amp;VALUEID=02001&amp;SDATE=200702&amp;PERIODTYPE=QTR_STD&amp;SCFT=3&amp;window=popup_no_bar&amp;width=385&amp;height=120&amp;START_MAXIMIZED=FALSE&amp;creator=factset&amp;display_string=Audit"}</definedName>
    <definedName name="_2013__FDSAUDITLINK__" localSheetId="7" hidden="1">{"fdsup://Directions/FactSet Auditing Viewer?action=AUDIT_VALUE&amp;DB=129&amp;ID1=12738710&amp;VALUEID=02001&amp;SDATE=200701&amp;PERIODTYPE=QTR_STD&amp;SCFT=3&amp;window=popup_no_bar&amp;width=385&amp;height=120&amp;START_MAXIMIZED=FALSE&amp;creator=factset&amp;display_string=Audit"}</definedName>
    <definedName name="_2013__FDSAUDITLINK__" hidden="1">{"fdsup://Directions/FactSet Auditing Viewer?action=AUDIT_VALUE&amp;DB=129&amp;ID1=12738710&amp;VALUEID=02001&amp;SDATE=200701&amp;PERIODTYPE=QTR_STD&amp;SCFT=3&amp;window=popup_no_bar&amp;width=385&amp;height=120&amp;START_MAXIMIZED=FALSE&amp;creator=factset&amp;display_string=Audit"}</definedName>
    <definedName name="_2014__FDSAUDITLINK__" localSheetId="7" hidden="1">{"fdsup://Directions/FactSet Auditing Viewer?action=AUDIT_VALUE&amp;DB=129&amp;ID1=12738710&amp;VALUEID=02001&amp;SDATE=200701&amp;PERIODTYPE=QTR_STD&amp;SCFT=3&amp;window=popup_no_bar&amp;width=385&amp;height=120&amp;START_MAXIMIZED=FALSE&amp;creator=factset&amp;display_string=Audit"}</definedName>
    <definedName name="_2014__FDSAUDITLINK__" hidden="1">{"fdsup://Directions/FactSet Auditing Viewer?action=AUDIT_VALUE&amp;DB=129&amp;ID1=12738710&amp;VALUEID=02001&amp;SDATE=200701&amp;PERIODTYPE=QTR_STD&amp;SCFT=3&amp;window=popup_no_bar&amp;width=385&amp;height=120&amp;START_MAXIMIZED=FALSE&amp;creator=factset&amp;display_string=Audit"}</definedName>
    <definedName name="_2015__FDSAUDITLINK__" localSheetId="7" hidden="1">{"fdsup://Directions/FactSet Auditing Viewer?action=AUDIT_VALUE&amp;DB=129&amp;ID1=11162130&amp;VALUEID=02001&amp;SDATE=200702&amp;PERIODTYPE=QTR_STD&amp;SCFT=3&amp;window=popup_no_bar&amp;width=385&amp;height=120&amp;START_MAXIMIZED=FALSE&amp;creator=factset&amp;display_string=Audit"}</definedName>
    <definedName name="_2015__FDSAUDITLINK__" hidden="1">{"fdsup://Directions/FactSet Auditing Viewer?action=AUDIT_VALUE&amp;DB=129&amp;ID1=11162130&amp;VALUEID=02001&amp;SDATE=200702&amp;PERIODTYPE=QTR_STD&amp;SCFT=3&amp;window=popup_no_bar&amp;width=385&amp;height=120&amp;START_MAXIMIZED=FALSE&amp;creator=factset&amp;display_string=Audit"}</definedName>
    <definedName name="_2016__FDSAUDITLINK__" localSheetId="7" hidden="1">{"fdsup://Directions/FactSet Auditing Viewer?action=AUDIT_VALUE&amp;DB=129&amp;ID1=11162130&amp;VALUEID=02001&amp;SDATE=200702&amp;PERIODTYPE=QTR_STD&amp;SCFT=3&amp;window=popup_no_bar&amp;width=385&amp;height=120&amp;START_MAXIMIZED=FALSE&amp;creator=factset&amp;display_string=Audit"}</definedName>
    <definedName name="_2016__FDSAUDITLINK__" hidden="1">{"fdsup://Directions/FactSet Auditing Viewer?action=AUDIT_VALUE&amp;DB=129&amp;ID1=11162130&amp;VALUEID=02001&amp;SDATE=200702&amp;PERIODTYPE=QTR_STD&amp;SCFT=3&amp;window=popup_no_bar&amp;width=385&amp;height=120&amp;START_MAXIMIZED=FALSE&amp;creator=factset&amp;display_string=Audit"}</definedName>
    <definedName name="_2017__FDSAUDITLINK__" localSheetId="7" hidden="1">{"fdsup://Directions/FactSet Auditing Viewer?action=AUDIT_VALUE&amp;DB=129&amp;ID1=04743P10&amp;VALUEID=02001&amp;SDATE=200701&amp;PERIODTYPE=QTR_STD&amp;SCFT=3&amp;window=popup_no_bar&amp;width=385&amp;height=120&amp;START_MAXIMIZED=FALSE&amp;creator=factset&amp;display_string=Audit"}</definedName>
    <definedName name="_2017__FDSAUDITLINK__" hidden="1">{"fdsup://Directions/FactSet Auditing Viewer?action=AUDIT_VALUE&amp;DB=129&amp;ID1=04743P10&amp;VALUEID=02001&amp;SDATE=200701&amp;PERIODTYPE=QTR_STD&amp;SCFT=3&amp;window=popup_no_bar&amp;width=385&amp;height=120&amp;START_MAXIMIZED=FALSE&amp;creator=factset&amp;display_string=Audit"}</definedName>
    <definedName name="_2018__FDSAUDITLINK__" localSheetId="7" hidden="1">{"fdsup://Directions/FactSet Auditing Viewer?action=AUDIT_VALUE&amp;DB=129&amp;ID1=04743P10&amp;VALUEID=02001&amp;SDATE=200701&amp;PERIODTYPE=QTR_STD&amp;SCFT=3&amp;window=popup_no_bar&amp;width=385&amp;height=120&amp;START_MAXIMIZED=FALSE&amp;creator=factset&amp;display_string=Audit"}</definedName>
    <definedName name="_2018__FDSAUDITLINK__" hidden="1">{"fdsup://Directions/FactSet Auditing Viewer?action=AUDIT_VALUE&amp;DB=129&amp;ID1=04743P10&amp;VALUEID=02001&amp;SDATE=200701&amp;PERIODTYPE=QTR_STD&amp;SCFT=3&amp;window=popup_no_bar&amp;width=385&amp;height=120&amp;START_MAXIMIZED=FALSE&amp;creator=factset&amp;display_string=Audit"}</definedName>
    <definedName name="_2019__FDSAUDITLINK__" localSheetId="7" hidden="1">{"fdsup://Directions/FactSet Auditing Viewer?action=AUDIT_VALUE&amp;DB=129&amp;ID1=03251510&amp;VALUEID=02001&amp;SDATE=200701&amp;PERIODTYPE=QTR_STD&amp;SCFT=3&amp;window=popup_no_bar&amp;width=385&amp;height=120&amp;START_MAXIMIZED=FALSE&amp;creator=factset&amp;display_string=Audit"}</definedName>
    <definedName name="_2019__FDSAUDITLINK__" hidden="1">{"fdsup://Directions/FactSet Auditing Viewer?action=AUDIT_VALUE&amp;DB=129&amp;ID1=03251510&amp;VALUEID=02001&amp;SDATE=200701&amp;PERIODTYPE=QTR_STD&amp;SCFT=3&amp;window=popup_no_bar&amp;width=385&amp;height=120&amp;START_MAXIMIZED=FALSE&amp;creator=factset&amp;display_string=Audit"}</definedName>
    <definedName name="_202__FDSAUDITLINK__" localSheetId="7" hidden="1">{"fdsup://Directions/FactSet Auditing Viewer?action=AUDIT_VALUE&amp;DB=129&amp;ID1=67000810&amp;VALUEID=02001&amp;SDATE=201004&amp;PERIODTYPE=QTR_STD&amp;SCFT=3&amp;window=popup_no_bar&amp;width=385&amp;height=120&amp;START_MAXIMIZED=FALSE&amp;creator=factset&amp;display_string=Audit"}</definedName>
    <definedName name="_202__FDSAUDITLINK__" hidden="1">{"fdsup://Directions/FactSet Auditing Viewer?action=AUDIT_VALUE&amp;DB=129&amp;ID1=67000810&amp;VALUEID=02001&amp;SDATE=201004&amp;PERIODTYPE=QTR_STD&amp;SCFT=3&amp;window=popup_no_bar&amp;width=385&amp;height=120&amp;START_MAXIMIZED=FALSE&amp;creator=factset&amp;display_string=Audit"}</definedName>
    <definedName name="_2020__FDSAUDITLINK__" localSheetId="7" hidden="1">{"fdsup://Directions/FactSet Auditing Viewer?action=AUDIT_VALUE&amp;DB=129&amp;ID1=03251510&amp;VALUEID=02001&amp;SDATE=200701&amp;PERIODTYPE=QTR_STD&amp;SCFT=3&amp;window=popup_no_bar&amp;width=385&amp;height=120&amp;START_MAXIMIZED=FALSE&amp;creator=factset&amp;display_string=Audit"}</definedName>
    <definedName name="_2020__FDSAUDITLINK__" hidden="1">{"fdsup://Directions/FactSet Auditing Viewer?action=AUDIT_VALUE&amp;DB=129&amp;ID1=03251510&amp;VALUEID=02001&amp;SDATE=200701&amp;PERIODTYPE=QTR_STD&amp;SCFT=3&amp;window=popup_no_bar&amp;width=385&amp;height=120&amp;START_MAXIMIZED=FALSE&amp;creator=factset&amp;display_string=Audit"}</definedName>
    <definedName name="_2021__FDSAUDITLINK__" localSheetId="7" hidden="1">{"fdsup://Directions/FactSet Auditing Viewer?action=AUDIT_VALUE&amp;DB=129&amp;ID1=00790310&amp;VALUEID=02001&amp;SDATE=200701&amp;PERIODTYPE=QTR_STD&amp;SCFT=3&amp;window=popup_no_bar&amp;width=385&amp;height=120&amp;START_MAXIMIZED=FALSE&amp;creator=factset&amp;display_string=Audit"}</definedName>
    <definedName name="_2021__FDSAUDITLINK__" hidden="1">{"fdsup://Directions/FactSet Auditing Viewer?action=AUDIT_VALUE&amp;DB=129&amp;ID1=00790310&amp;VALUEID=02001&amp;SDATE=200701&amp;PERIODTYPE=QTR_STD&amp;SCFT=3&amp;window=popup_no_bar&amp;width=385&amp;height=120&amp;START_MAXIMIZED=FALSE&amp;creator=factset&amp;display_string=Audit"}</definedName>
    <definedName name="_2022__FDSAUDITLINK__" localSheetId="7" hidden="1">{"fdsup://Directions/FactSet Auditing Viewer?action=AUDIT_VALUE&amp;DB=129&amp;ID1=00790310&amp;VALUEID=02001&amp;SDATE=200701&amp;PERIODTYPE=QTR_STD&amp;SCFT=3&amp;window=popup_no_bar&amp;width=385&amp;height=120&amp;START_MAXIMIZED=FALSE&amp;creator=factset&amp;display_string=Audit"}</definedName>
    <definedName name="_2022__FDSAUDITLINK__" hidden="1">{"fdsup://Directions/FactSet Auditing Viewer?action=AUDIT_VALUE&amp;DB=129&amp;ID1=00790310&amp;VALUEID=02001&amp;SDATE=200701&amp;PERIODTYPE=QTR_STD&amp;SCFT=3&amp;window=popup_no_bar&amp;width=385&amp;height=120&amp;START_MAXIMIZED=FALSE&amp;creator=factset&amp;display_string=Audit"}</definedName>
    <definedName name="_2023__FDSAUDITLINK__" localSheetId="7" hidden="1">{"fdsup://Directions/FactSet Auditing Viewer?action=AUDIT_VALUE&amp;DB=129&amp;ID1=03822210&amp;VALUEID=02001&amp;SDATE=200702&amp;PERIODTYPE=QTR_STD&amp;SCFT=3&amp;window=popup_no_bar&amp;width=385&amp;height=120&amp;START_MAXIMIZED=FALSE&amp;creator=factset&amp;display_string=Audit"}</definedName>
    <definedName name="_2023__FDSAUDITLINK__" hidden="1">{"fdsup://Directions/FactSet Auditing Viewer?action=AUDIT_VALUE&amp;DB=129&amp;ID1=03822210&amp;VALUEID=02001&amp;SDATE=200702&amp;PERIODTYPE=QTR_STD&amp;SCFT=3&amp;window=popup_no_bar&amp;width=385&amp;height=120&amp;START_MAXIMIZED=FALSE&amp;creator=factset&amp;display_string=Audit"}</definedName>
    <definedName name="_2024__FDSAUDITLINK__" localSheetId="7" hidden="1">{"fdsup://Directions/FactSet Auditing Viewer?action=AUDIT_VALUE&amp;DB=129&amp;ID1=03822210&amp;VALUEID=02001&amp;SDATE=200702&amp;PERIODTYPE=QTR_STD&amp;SCFT=3&amp;window=popup_no_bar&amp;width=385&amp;height=120&amp;START_MAXIMIZED=FALSE&amp;creator=factset&amp;display_string=Audit"}</definedName>
    <definedName name="_2024__FDSAUDITLINK__" hidden="1">{"fdsup://Directions/FactSet Auditing Viewer?action=AUDIT_VALUE&amp;DB=129&amp;ID1=03822210&amp;VALUEID=02001&amp;SDATE=200702&amp;PERIODTYPE=QTR_STD&amp;SCFT=3&amp;window=popup_no_bar&amp;width=385&amp;height=120&amp;START_MAXIMIZED=FALSE&amp;creator=factset&amp;display_string=Audit"}</definedName>
    <definedName name="_2025__FDSAUDITLINK__" localSheetId="7" hidden="1">{"fdsup://Directions/FactSet Auditing Viewer?action=AUDIT_VALUE&amp;DB=129&amp;ID1=02144110&amp;VALUEID=02001&amp;SDATE=200701&amp;PERIODTYPE=QTR_STD&amp;SCFT=3&amp;window=popup_no_bar&amp;width=385&amp;height=120&amp;START_MAXIMIZED=FALSE&amp;creator=factset&amp;display_string=Audit"}</definedName>
    <definedName name="_2025__FDSAUDITLINK__" hidden="1">{"fdsup://Directions/FactSet Auditing Viewer?action=AUDIT_VALUE&amp;DB=129&amp;ID1=02144110&amp;VALUEID=02001&amp;SDATE=200701&amp;PERIODTYPE=QTR_STD&amp;SCFT=3&amp;window=popup_no_bar&amp;width=385&amp;height=120&amp;START_MAXIMIZED=FALSE&amp;creator=factset&amp;display_string=Audit"}</definedName>
    <definedName name="_2026__FDSAUDITLINK__" localSheetId="7" hidden="1">{"fdsup://Directions/FactSet Auditing Viewer?action=AUDIT_VALUE&amp;DB=129&amp;ID1=02144110&amp;VALUEID=02001&amp;SDATE=200701&amp;PERIODTYPE=QTR_STD&amp;SCFT=3&amp;window=popup_no_bar&amp;width=385&amp;height=120&amp;START_MAXIMIZED=FALSE&amp;creator=factset&amp;display_string=Audit"}</definedName>
    <definedName name="_2026__FDSAUDITLINK__" hidden="1">{"fdsup://Directions/FactSet Auditing Viewer?action=AUDIT_VALUE&amp;DB=129&amp;ID1=02144110&amp;VALUEID=02001&amp;SDATE=200701&amp;PERIODTYPE=QTR_STD&amp;SCFT=3&amp;window=popup_no_bar&amp;width=385&amp;height=120&amp;START_MAXIMIZED=FALSE&amp;creator=factset&amp;display_string=Audit"}</definedName>
    <definedName name="_2027__FDSAUDITLINK__" localSheetId="7" hidden="1">{"fdsup://Directions/FactSet Auditing Viewer?action=AUDIT_VALUE&amp;DB=129&amp;ID1=03265410&amp;VALUEID=02001&amp;SDATE=200702&amp;PERIODTYPE=QTR_STD&amp;SCFT=3&amp;window=popup_no_bar&amp;width=385&amp;height=120&amp;START_MAXIMIZED=FALSE&amp;creator=factset&amp;display_string=Audit"}</definedName>
    <definedName name="_2027__FDSAUDITLINK__" hidden="1">{"fdsup://Directions/FactSet Auditing Viewer?action=AUDIT_VALUE&amp;DB=129&amp;ID1=03265410&amp;VALUEID=02001&amp;SDATE=200702&amp;PERIODTYPE=QTR_STD&amp;SCFT=3&amp;window=popup_no_bar&amp;width=385&amp;height=120&amp;START_MAXIMIZED=FALSE&amp;creator=factset&amp;display_string=Audit"}</definedName>
    <definedName name="_2028__FDSAUDITLINK__" localSheetId="7" hidden="1">{"fdsup://Directions/FactSet Auditing Viewer?action=AUDIT_VALUE&amp;DB=129&amp;ID1=03265410&amp;VALUEID=02001&amp;SDATE=200702&amp;PERIODTYPE=QTR_STD&amp;SCFT=3&amp;window=popup_no_bar&amp;width=385&amp;height=120&amp;START_MAXIMIZED=FALSE&amp;creator=factset&amp;display_string=Audit"}</definedName>
    <definedName name="_2028__FDSAUDITLINK__" hidden="1">{"fdsup://Directions/FactSet Auditing Viewer?action=AUDIT_VALUE&amp;DB=129&amp;ID1=03265410&amp;VALUEID=02001&amp;SDATE=200702&amp;PERIODTYPE=QTR_STD&amp;SCFT=3&amp;window=popup_no_bar&amp;width=385&amp;height=120&amp;START_MAXIMIZED=FALSE&amp;creator=factset&amp;display_string=Audit"}</definedName>
    <definedName name="_2029__FDSAUDITLINK__" localSheetId="7" hidden="1">{"fdsup://Directions/FactSet Auditing Viewer?action=AUDIT_VALUE&amp;DB=129&amp;ID1=00752J10&amp;VALUEID=02001&amp;SDATE=200701&amp;PERIODTYPE=QTR_STD&amp;SCFT=3&amp;window=popup_no_bar&amp;width=385&amp;height=120&amp;START_MAXIMIZED=FALSE&amp;creator=factset&amp;display_string=Audit"}</definedName>
    <definedName name="_2029__FDSAUDITLINK__" hidden="1">{"fdsup://Directions/FactSet Auditing Viewer?action=AUDIT_VALUE&amp;DB=129&amp;ID1=00752J10&amp;VALUEID=02001&amp;SDATE=200701&amp;PERIODTYPE=QTR_STD&amp;SCFT=3&amp;window=popup_no_bar&amp;width=385&amp;height=120&amp;START_MAXIMIZED=FALSE&amp;creator=factset&amp;display_string=Audit"}</definedName>
    <definedName name="_203__FDSAUDITLINK__" localSheetId="7" hidden="1">{"fdsup://Directions/FactSet Auditing Viewer?action=AUDIT_VALUE&amp;DB=129&amp;ID1=67066G10&amp;VALUEID=02001&amp;SDATE=201004&amp;PERIODTYPE=QTR_STD&amp;SCFT=3&amp;window=popup_no_bar&amp;width=385&amp;height=120&amp;START_MAXIMIZED=FALSE&amp;creator=factset&amp;display_string=Audit"}</definedName>
    <definedName name="_203__FDSAUDITLINK__" hidden="1">{"fdsup://Directions/FactSet Auditing Viewer?action=AUDIT_VALUE&amp;DB=129&amp;ID1=67066G10&amp;VALUEID=02001&amp;SDATE=201004&amp;PERIODTYPE=QTR_STD&amp;SCFT=3&amp;window=popup_no_bar&amp;width=385&amp;height=120&amp;START_MAXIMIZED=FALSE&amp;creator=factset&amp;display_string=Audit"}</definedName>
    <definedName name="_2030__FDSAUDITLINK__" localSheetId="7" hidden="1">{"fdsup://Directions/FactSet Auditing Viewer?action=AUDIT_VALUE&amp;DB=129&amp;ID1=00752J10&amp;VALUEID=02001&amp;SDATE=200701&amp;PERIODTYPE=QTR_STD&amp;SCFT=3&amp;window=popup_no_bar&amp;width=385&amp;height=120&amp;START_MAXIMIZED=FALSE&amp;creator=factset&amp;display_string=Audit"}</definedName>
    <definedName name="_2030__FDSAUDITLINK__" hidden="1">{"fdsup://Directions/FactSet Auditing Viewer?action=AUDIT_VALUE&amp;DB=129&amp;ID1=00752J10&amp;VALUEID=02001&amp;SDATE=200701&amp;PERIODTYPE=QTR_STD&amp;SCFT=3&amp;window=popup_no_bar&amp;width=385&amp;height=120&amp;START_MAXIMIZED=FALSE&amp;creator=factset&amp;display_string=Audit"}</definedName>
    <definedName name="_2031__FDSAUDITLINK__" localSheetId="7" hidden="1">{"fdsup://Directions/FactSet Auditing Viewer?action=AUDIT_VALUE&amp;DB=129&amp;ID1=98975F10&amp;VALUEID=02001&amp;SDATE=200603&amp;PERIODTYPE=QTR_STD&amp;SCFT=3&amp;window=popup_no_bar&amp;width=385&amp;height=120&amp;START_MAXIMIZED=FALSE&amp;creator=factset&amp;display_string=Audit"}</definedName>
    <definedName name="_2031__FDSAUDITLINK__" hidden="1">{"fdsup://Directions/FactSet Auditing Viewer?action=AUDIT_VALUE&amp;DB=129&amp;ID1=98975F10&amp;VALUEID=02001&amp;SDATE=200603&amp;PERIODTYPE=QTR_STD&amp;SCFT=3&amp;window=popup_no_bar&amp;width=385&amp;height=120&amp;START_MAXIMIZED=FALSE&amp;creator=factset&amp;display_string=Audit"}</definedName>
    <definedName name="_2032__FDSAUDITLINK__" localSheetId="7" hidden="1">{"fdsup://Directions/FactSet Auditing Viewer?action=AUDIT_VALUE&amp;DB=129&amp;ID1=98975F10&amp;VALUEID=02001&amp;SDATE=200603&amp;PERIODTYPE=QTR_STD&amp;SCFT=3&amp;window=popup_no_bar&amp;width=385&amp;height=120&amp;START_MAXIMIZED=FALSE&amp;creator=factset&amp;display_string=Audit"}</definedName>
    <definedName name="_2032__FDSAUDITLINK__" hidden="1">{"fdsup://Directions/FactSet Auditing Viewer?action=AUDIT_VALUE&amp;DB=129&amp;ID1=98975F10&amp;VALUEID=02001&amp;SDATE=200603&amp;PERIODTYPE=QTR_STD&amp;SCFT=3&amp;window=popup_no_bar&amp;width=385&amp;height=120&amp;START_MAXIMIZED=FALSE&amp;creator=factset&amp;display_string=Audit"}</definedName>
    <definedName name="_2033__FDSAUDITLINK__" localSheetId="7" hidden="1">{"fdsup://Directions/FactSet Auditing Viewer?action=AUDIT_VALUE&amp;DB=129&amp;ID1=98391910&amp;VALUEID=02001&amp;SDATE=200602&amp;PERIODTYPE=QTR_STD&amp;SCFT=3&amp;window=popup_no_bar&amp;width=385&amp;height=120&amp;START_MAXIMIZED=FALSE&amp;creator=factset&amp;display_string=Audit"}</definedName>
    <definedName name="_2033__FDSAUDITLINK__" hidden="1">{"fdsup://Directions/FactSet Auditing Viewer?action=AUDIT_VALUE&amp;DB=129&amp;ID1=98391910&amp;VALUEID=02001&amp;SDATE=200602&amp;PERIODTYPE=QTR_STD&amp;SCFT=3&amp;window=popup_no_bar&amp;width=385&amp;height=120&amp;START_MAXIMIZED=FALSE&amp;creator=factset&amp;display_string=Audit"}</definedName>
    <definedName name="_2034__FDSAUDITLINK__" localSheetId="7" hidden="1">{"fdsup://Directions/FactSet Auditing Viewer?action=AUDIT_VALUE&amp;DB=129&amp;ID1=98391910&amp;VALUEID=02001&amp;SDATE=200602&amp;PERIODTYPE=QTR_STD&amp;SCFT=3&amp;window=popup_no_bar&amp;width=385&amp;height=120&amp;START_MAXIMIZED=FALSE&amp;creator=factset&amp;display_string=Audit"}</definedName>
    <definedName name="_2034__FDSAUDITLINK__" hidden="1">{"fdsup://Directions/FactSet Auditing Viewer?action=AUDIT_VALUE&amp;DB=129&amp;ID1=98391910&amp;VALUEID=02001&amp;SDATE=200602&amp;PERIODTYPE=QTR_STD&amp;SCFT=3&amp;window=popup_no_bar&amp;width=385&amp;height=120&amp;START_MAXIMIZED=FALSE&amp;creator=factset&amp;display_string=Audit"}</definedName>
    <definedName name="_2035__FDSAUDITLINK__" localSheetId="7" hidden="1">{"fdsup://Directions/FactSet Auditing Viewer?action=AUDIT_VALUE&amp;DB=129&amp;ID1=95810210&amp;VALUEID=02001&amp;SDATE=200701&amp;PERIODTYPE=QTR_STD&amp;SCFT=3&amp;window=popup_no_bar&amp;width=385&amp;height=120&amp;START_MAXIMIZED=FALSE&amp;creator=factset&amp;display_string=Audit"}</definedName>
    <definedName name="_2035__FDSAUDITLINK__" hidden="1">{"fdsup://Directions/FactSet Auditing Viewer?action=AUDIT_VALUE&amp;DB=129&amp;ID1=95810210&amp;VALUEID=02001&amp;SDATE=200701&amp;PERIODTYPE=QTR_STD&amp;SCFT=3&amp;window=popup_no_bar&amp;width=385&amp;height=120&amp;START_MAXIMIZED=FALSE&amp;creator=factset&amp;display_string=Audit"}</definedName>
    <definedName name="_2036__FDSAUDITLINK__" localSheetId="7" hidden="1">{"fdsup://Directions/FactSet Auditing Viewer?action=AUDIT_VALUE&amp;DB=129&amp;ID1=95810210&amp;VALUEID=02001&amp;SDATE=200701&amp;PERIODTYPE=QTR_STD&amp;SCFT=3&amp;window=popup_no_bar&amp;width=385&amp;height=120&amp;START_MAXIMIZED=FALSE&amp;creator=factset&amp;display_string=Audit"}</definedName>
    <definedName name="_2036__FDSAUDITLINK__" hidden="1">{"fdsup://Directions/FactSet Auditing Viewer?action=AUDIT_VALUE&amp;DB=129&amp;ID1=95810210&amp;VALUEID=02001&amp;SDATE=200701&amp;PERIODTYPE=QTR_STD&amp;SCFT=3&amp;window=popup_no_bar&amp;width=385&amp;height=120&amp;START_MAXIMIZED=FALSE&amp;creator=factset&amp;display_string=Audit"}</definedName>
    <definedName name="_2037__FDSAUDITLINK__" localSheetId="7" hidden="1">{"fdsup://Directions/FactSet Auditing Viewer?action=AUDIT_VALUE&amp;DB=129&amp;ID1=92829810&amp;VALUEID=02001&amp;SDATE=200603&amp;PERIODTYPE=QTR_STD&amp;SCFT=3&amp;window=popup_no_bar&amp;width=385&amp;height=120&amp;START_MAXIMIZED=FALSE&amp;creator=factset&amp;display_string=Audit"}</definedName>
    <definedName name="_2037__FDSAUDITLINK__" hidden="1">{"fdsup://Directions/FactSet Auditing Viewer?action=AUDIT_VALUE&amp;DB=129&amp;ID1=92829810&amp;VALUEID=02001&amp;SDATE=200603&amp;PERIODTYPE=QTR_STD&amp;SCFT=3&amp;window=popup_no_bar&amp;width=385&amp;height=120&amp;START_MAXIMIZED=FALSE&amp;creator=factset&amp;display_string=Audit"}</definedName>
    <definedName name="_2038__FDSAUDITLINK__" localSheetId="7" hidden="1">{"fdsup://Directions/FactSet Auditing Viewer?action=AUDIT_VALUE&amp;DB=129&amp;ID1=92829810&amp;VALUEID=02001&amp;SDATE=200603&amp;PERIODTYPE=QTR_STD&amp;SCFT=3&amp;window=popup_no_bar&amp;width=385&amp;height=120&amp;START_MAXIMIZED=FALSE&amp;creator=factset&amp;display_string=Audit"}</definedName>
    <definedName name="_2038__FDSAUDITLINK__" hidden="1">{"fdsup://Directions/FactSet Auditing Viewer?action=AUDIT_VALUE&amp;DB=129&amp;ID1=92829810&amp;VALUEID=02001&amp;SDATE=200603&amp;PERIODTYPE=QTR_STD&amp;SCFT=3&amp;window=popup_no_bar&amp;width=385&amp;height=120&amp;START_MAXIMIZED=FALSE&amp;creator=factset&amp;display_string=Audit"}</definedName>
    <definedName name="_2039__FDSAUDITLINK__" localSheetId="7" hidden="1">{"fdsup://Directions/FactSet Auditing Viewer?action=AUDIT_VALUE&amp;DB=129&amp;ID1=88250810&amp;VALUEID=02001&amp;SDATE=200603&amp;PERIODTYPE=QTR_STD&amp;SCFT=3&amp;window=popup_no_bar&amp;width=385&amp;height=120&amp;START_MAXIMIZED=FALSE&amp;creator=factset&amp;display_string=Audit"}</definedName>
    <definedName name="_2039__FDSAUDITLINK__" hidden="1">{"fdsup://Directions/FactSet Auditing Viewer?action=AUDIT_VALUE&amp;DB=129&amp;ID1=88250810&amp;VALUEID=02001&amp;SDATE=200603&amp;PERIODTYPE=QTR_STD&amp;SCFT=3&amp;window=popup_no_bar&amp;width=385&amp;height=120&amp;START_MAXIMIZED=FALSE&amp;creator=factset&amp;display_string=Audit"}</definedName>
    <definedName name="_204__FDSAUDITLINK__" localSheetId="7" hidden="1">{"fdsup://Directions/FactSet Auditing Viewer?action=AUDIT_VALUE&amp;DB=129&amp;ID1=67066G10&amp;VALUEID=02001&amp;SDATE=201004&amp;PERIODTYPE=QTR_STD&amp;SCFT=3&amp;window=popup_no_bar&amp;width=385&amp;height=120&amp;START_MAXIMIZED=FALSE&amp;creator=factset&amp;display_string=Audit"}</definedName>
    <definedName name="_204__FDSAUDITLINK__" hidden="1">{"fdsup://Directions/FactSet Auditing Viewer?action=AUDIT_VALUE&amp;DB=129&amp;ID1=67066G10&amp;VALUEID=02001&amp;SDATE=201004&amp;PERIODTYPE=QTR_STD&amp;SCFT=3&amp;window=popup_no_bar&amp;width=385&amp;height=120&amp;START_MAXIMIZED=FALSE&amp;creator=factset&amp;display_string=Audit"}</definedName>
    <definedName name="_2040__FDSAUDITLINK__" localSheetId="7" hidden="1">{"fdsup://Directions/FactSet Auditing Viewer?action=AUDIT_VALUE&amp;DB=129&amp;ID1=88250810&amp;VALUEID=02001&amp;SDATE=200603&amp;PERIODTYPE=QTR_STD&amp;SCFT=3&amp;window=popup_no_bar&amp;width=385&amp;height=120&amp;START_MAXIMIZED=FALSE&amp;creator=factset&amp;display_string=Audit"}</definedName>
    <definedName name="_2040__FDSAUDITLINK__" hidden="1">{"fdsup://Directions/FactSet Auditing Viewer?action=AUDIT_VALUE&amp;DB=129&amp;ID1=88250810&amp;VALUEID=02001&amp;SDATE=200603&amp;PERIODTYPE=QTR_STD&amp;SCFT=3&amp;window=popup_no_bar&amp;width=385&amp;height=120&amp;START_MAXIMIZED=FALSE&amp;creator=factset&amp;display_string=Audit"}</definedName>
    <definedName name="_2041__FDSAUDITLINK__" localSheetId="7" hidden="1">{"fdsup://Directions/FactSet Auditing Viewer?action=AUDIT_VALUE&amp;DB=129&amp;ID1=89674K10&amp;VALUEID=02001&amp;SDATE=200603&amp;PERIODTYPE=QTR_STD&amp;SCFT=3&amp;window=popup_no_bar&amp;width=385&amp;height=120&amp;START_MAXIMIZED=FALSE&amp;creator=factset&amp;display_string=Audit"}</definedName>
    <definedName name="_2041__FDSAUDITLINK__" hidden="1">{"fdsup://Directions/FactSet Auditing Viewer?action=AUDIT_VALUE&amp;DB=129&amp;ID1=89674K10&amp;VALUEID=02001&amp;SDATE=200603&amp;PERIODTYPE=QTR_STD&amp;SCFT=3&amp;window=popup_no_bar&amp;width=385&amp;height=120&amp;START_MAXIMIZED=FALSE&amp;creator=factset&amp;display_string=Audit"}</definedName>
    <definedName name="_2042__FDSAUDITLINK__" localSheetId="7" hidden="1">{"fdsup://Directions/FactSet Auditing Viewer?action=AUDIT_VALUE&amp;DB=129&amp;ID1=89674K10&amp;VALUEID=02001&amp;SDATE=200603&amp;PERIODTYPE=QTR_STD&amp;SCFT=3&amp;window=popup_no_bar&amp;width=385&amp;height=120&amp;START_MAXIMIZED=FALSE&amp;creator=factset&amp;display_string=Audit"}</definedName>
    <definedName name="_2042__FDSAUDITLINK__" hidden="1">{"fdsup://Directions/FactSet Auditing Viewer?action=AUDIT_VALUE&amp;DB=129&amp;ID1=89674K10&amp;VALUEID=02001&amp;SDATE=200603&amp;PERIODTYPE=QTR_STD&amp;SCFT=3&amp;window=popup_no_bar&amp;width=385&amp;height=120&amp;START_MAXIMIZED=FALSE&amp;creator=factset&amp;display_string=Audit"}</definedName>
    <definedName name="_2043__FDSAUDITLINK__" localSheetId="7" hidden="1">{"fdsup://Directions/FactSet Auditing Viewer?action=AUDIT_VALUE&amp;DB=129&amp;ID1=G7945M10&amp;VALUEID=02001&amp;SDATE=200701&amp;PERIODTYPE=QTR_STD&amp;SCFT=3&amp;window=popup_no_bar&amp;width=385&amp;height=120&amp;START_MAXIMIZED=FALSE&amp;creator=factset&amp;display_string=Audit"}</definedName>
    <definedName name="_2043__FDSAUDITLINK__" hidden="1">{"fdsup://Directions/FactSet Auditing Viewer?action=AUDIT_VALUE&amp;DB=129&amp;ID1=G7945M10&amp;VALUEID=02001&amp;SDATE=200701&amp;PERIODTYPE=QTR_STD&amp;SCFT=3&amp;window=popup_no_bar&amp;width=385&amp;height=120&amp;START_MAXIMIZED=FALSE&amp;creator=factset&amp;display_string=Audit"}</definedName>
    <definedName name="_2044__FDSAUDITLINK__" localSheetId="7" hidden="1">{"fdsup://Directions/FactSet Auditing Viewer?action=AUDIT_VALUE&amp;DB=129&amp;ID1=G7945M10&amp;VALUEID=02001&amp;SDATE=200701&amp;PERIODTYPE=QTR_STD&amp;SCFT=3&amp;window=popup_no_bar&amp;width=385&amp;height=120&amp;START_MAXIMIZED=FALSE&amp;creator=factset&amp;display_string=Audit"}</definedName>
    <definedName name="_2044__FDSAUDITLINK__" hidden="1">{"fdsup://Directions/FactSet Auditing Viewer?action=AUDIT_VALUE&amp;DB=129&amp;ID1=G7945M10&amp;VALUEID=02001&amp;SDATE=200701&amp;PERIODTYPE=QTR_STD&amp;SCFT=3&amp;window=popup_no_bar&amp;width=385&amp;height=120&amp;START_MAXIMIZED=FALSE&amp;creator=factset&amp;display_string=Audit"}</definedName>
    <definedName name="_2045__FDSAUDITLINK__" localSheetId="7" hidden="1">{"fdsup://Directions/FactSet Auditing Viewer?action=AUDIT_VALUE&amp;DB=129&amp;ID1=78477410&amp;VALUEID=02001&amp;SDATE=200603&amp;PERIODTYPE=QTR_STD&amp;SCFT=3&amp;window=popup_no_bar&amp;width=385&amp;height=120&amp;START_MAXIMIZED=FALSE&amp;creator=factset&amp;display_string=Audit"}</definedName>
    <definedName name="_2045__FDSAUDITLINK__" hidden="1">{"fdsup://Directions/FactSet Auditing Viewer?action=AUDIT_VALUE&amp;DB=129&amp;ID1=78477410&amp;VALUEID=02001&amp;SDATE=200603&amp;PERIODTYPE=QTR_STD&amp;SCFT=3&amp;window=popup_no_bar&amp;width=385&amp;height=120&amp;START_MAXIMIZED=FALSE&amp;creator=factset&amp;display_string=Audit"}</definedName>
    <definedName name="_2046__FDSAUDITLINK__" localSheetId="7" hidden="1">{"fdsup://Directions/FactSet Auditing Viewer?action=AUDIT_VALUE&amp;DB=129&amp;ID1=78477410&amp;VALUEID=02001&amp;SDATE=200603&amp;PERIODTYPE=QTR_STD&amp;SCFT=3&amp;window=popup_no_bar&amp;width=385&amp;height=120&amp;START_MAXIMIZED=FALSE&amp;creator=factset&amp;display_string=Audit"}</definedName>
    <definedName name="_2046__FDSAUDITLINK__" hidden="1">{"fdsup://Directions/FactSet Auditing Viewer?action=AUDIT_VALUE&amp;DB=129&amp;ID1=78477410&amp;VALUEID=02001&amp;SDATE=200603&amp;PERIODTYPE=QTR_STD&amp;SCFT=3&amp;window=popup_no_bar&amp;width=385&amp;height=120&amp;START_MAXIMIZED=FALSE&amp;creator=factset&amp;display_string=Audit"}</definedName>
    <definedName name="_2047__FDSAUDITLINK__" localSheetId="7" hidden="1">{"fdsup://Directions/FactSet Auditing Viewer?action=AUDIT_VALUE&amp;DB=129&amp;ID1=82705710&amp;VALUEID=02001&amp;SDATE=200603&amp;PERIODTYPE=QTR_STD&amp;SCFT=3&amp;window=popup_no_bar&amp;width=385&amp;height=120&amp;START_MAXIMIZED=FALSE&amp;creator=factset&amp;display_string=Audit"}</definedName>
    <definedName name="_2047__FDSAUDITLINK__" hidden="1">{"fdsup://Directions/FactSet Auditing Viewer?action=AUDIT_VALUE&amp;DB=129&amp;ID1=82705710&amp;VALUEID=02001&amp;SDATE=200603&amp;PERIODTYPE=QTR_STD&amp;SCFT=3&amp;window=popup_no_bar&amp;width=385&amp;height=120&amp;START_MAXIMIZED=FALSE&amp;creator=factset&amp;display_string=Audit"}</definedName>
    <definedName name="_2048__FDSAUDITLINK__" localSheetId="7" hidden="1">{"fdsup://Directions/FactSet Auditing Viewer?action=AUDIT_VALUE&amp;DB=129&amp;ID1=82705710&amp;VALUEID=02001&amp;SDATE=200603&amp;PERIODTYPE=QTR_STD&amp;SCFT=3&amp;window=popup_no_bar&amp;width=385&amp;height=120&amp;START_MAXIMIZED=FALSE&amp;creator=factset&amp;display_string=Audit"}</definedName>
    <definedName name="_2048__FDSAUDITLINK__" hidden="1">{"fdsup://Directions/FactSet Auditing Viewer?action=AUDIT_VALUE&amp;DB=129&amp;ID1=82705710&amp;VALUEID=02001&amp;SDATE=200603&amp;PERIODTYPE=QTR_STD&amp;SCFT=3&amp;window=popup_no_bar&amp;width=385&amp;height=120&amp;START_MAXIMIZED=FALSE&amp;creator=factset&amp;display_string=Audit"}</definedName>
    <definedName name="_2049__FDSAUDITLINK__" localSheetId="7" hidden="1">{"fdsup://Directions/FactSet Auditing Viewer?action=AUDIT_VALUE&amp;DB=129&amp;ID1=80004C10&amp;VALUEID=02001&amp;SDATE=200603&amp;PERIODTYPE=QTR_STD&amp;SCFT=3&amp;window=popup_no_bar&amp;width=385&amp;height=120&amp;START_MAXIMIZED=FALSE&amp;creator=factset&amp;display_string=Audit"}</definedName>
    <definedName name="_2049__FDSAUDITLINK__" hidden="1">{"fdsup://Directions/FactSet Auditing Viewer?action=AUDIT_VALUE&amp;DB=129&amp;ID1=80004C10&amp;VALUEID=02001&amp;SDATE=200603&amp;PERIODTYPE=QTR_STD&amp;SCFT=3&amp;window=popup_no_bar&amp;width=385&amp;height=120&amp;START_MAXIMIZED=FALSE&amp;creator=factset&amp;display_string=Audit"}</definedName>
    <definedName name="_205__FDSAUDITLINK__" localSheetId="7" hidden="1">{"fdsup://Directions/FactSet Auditing Viewer?action=AUDIT_VALUE&amp;DB=129&amp;ID1=63764010&amp;VALUEID=02001&amp;SDATE=201002&amp;PERIODTYPE=QTR_STD&amp;SCFT=3&amp;window=popup_no_bar&amp;width=385&amp;height=120&amp;START_MAXIMIZED=FALSE&amp;creator=factset&amp;display_string=Audit"}</definedName>
    <definedName name="_205__FDSAUDITLINK__" hidden="1">{"fdsup://Directions/FactSet Auditing Viewer?action=AUDIT_VALUE&amp;DB=129&amp;ID1=63764010&amp;VALUEID=02001&amp;SDATE=201002&amp;PERIODTYPE=QTR_STD&amp;SCFT=3&amp;window=popup_no_bar&amp;width=385&amp;height=120&amp;START_MAXIMIZED=FALSE&amp;creator=factset&amp;display_string=Audit"}</definedName>
    <definedName name="_2050__FDSAUDITLINK__" localSheetId="7" hidden="1">{"fdsup://Directions/FactSet Auditing Viewer?action=AUDIT_VALUE&amp;DB=129&amp;ID1=80004C10&amp;VALUEID=02001&amp;SDATE=200603&amp;PERIODTYPE=QTR_STD&amp;SCFT=3&amp;window=popup_no_bar&amp;width=385&amp;height=120&amp;START_MAXIMIZED=FALSE&amp;creator=factset&amp;display_string=Audit"}</definedName>
    <definedName name="_2050__FDSAUDITLINK__" hidden="1">{"fdsup://Directions/FactSet Auditing Viewer?action=AUDIT_VALUE&amp;DB=129&amp;ID1=80004C10&amp;VALUEID=02001&amp;SDATE=200603&amp;PERIODTYPE=QTR_STD&amp;SCFT=3&amp;window=popup_no_bar&amp;width=385&amp;height=120&amp;START_MAXIMIZED=FALSE&amp;creator=factset&amp;display_string=Audit"}</definedName>
    <definedName name="_2051__FDSAUDITLINK__" localSheetId="7" hidden="1">{"fdsup://Directions/FactSet Auditing Viewer?action=AUDIT_VALUE&amp;DB=129&amp;ID1=81685010&amp;VALUEID=02001&amp;SDATE=200603&amp;PERIODTYPE=QTR_STD&amp;SCFT=3&amp;window=popup_no_bar&amp;width=385&amp;height=120&amp;START_MAXIMIZED=FALSE&amp;creator=factset&amp;display_string=Audit"}</definedName>
    <definedName name="_2051__FDSAUDITLINK__" hidden="1">{"fdsup://Directions/FactSet Auditing Viewer?action=AUDIT_VALUE&amp;DB=129&amp;ID1=81685010&amp;VALUEID=02001&amp;SDATE=200603&amp;PERIODTYPE=QTR_STD&amp;SCFT=3&amp;window=popup_no_bar&amp;width=385&amp;height=120&amp;START_MAXIMIZED=FALSE&amp;creator=factset&amp;display_string=Audit"}</definedName>
    <definedName name="_2052__FDSAUDITLINK__" localSheetId="7" hidden="1">{"fdsup://Directions/FactSet Auditing Viewer?action=AUDIT_VALUE&amp;DB=129&amp;ID1=81685010&amp;VALUEID=02001&amp;SDATE=200603&amp;PERIODTYPE=QTR_STD&amp;SCFT=3&amp;window=popup_no_bar&amp;width=385&amp;height=120&amp;START_MAXIMIZED=FALSE&amp;creator=factset&amp;display_string=Audit"}</definedName>
    <definedName name="_2052__FDSAUDITLINK__" hidden="1">{"fdsup://Directions/FactSet Auditing Viewer?action=AUDIT_VALUE&amp;DB=129&amp;ID1=81685010&amp;VALUEID=02001&amp;SDATE=200603&amp;PERIODTYPE=QTR_STD&amp;SCFT=3&amp;window=popup_no_bar&amp;width=385&amp;height=120&amp;START_MAXIMIZED=FALSE&amp;creator=factset&amp;display_string=Audit"}</definedName>
    <definedName name="_2053__FDSAUDITLINK__" localSheetId="7" hidden="1">{"fdsup://Directions/FactSet Auditing Viewer?action=AUDIT_VALUE&amp;DB=129&amp;ID1=82691910&amp;VALUEID=02001&amp;SDATE=200603&amp;PERIODTYPE=QTR_STD&amp;SCFT=3&amp;window=popup_no_bar&amp;width=385&amp;height=120&amp;START_MAXIMIZED=FALSE&amp;creator=factset&amp;display_string=Audit"}</definedName>
    <definedName name="_2053__FDSAUDITLINK__" hidden="1">{"fdsup://Directions/FactSet Auditing Viewer?action=AUDIT_VALUE&amp;DB=129&amp;ID1=82691910&amp;VALUEID=02001&amp;SDATE=200603&amp;PERIODTYPE=QTR_STD&amp;SCFT=3&amp;window=popup_no_bar&amp;width=385&amp;height=120&amp;START_MAXIMIZED=FALSE&amp;creator=factset&amp;display_string=Audit"}</definedName>
    <definedName name="_2054__FDSAUDITLINK__" localSheetId="7" hidden="1">{"fdsup://Directions/FactSet Auditing Viewer?action=AUDIT_VALUE&amp;DB=129&amp;ID1=82691910&amp;VALUEID=02001&amp;SDATE=200603&amp;PERIODTYPE=QTR_STD&amp;SCFT=3&amp;window=popup_no_bar&amp;width=385&amp;height=120&amp;START_MAXIMIZED=FALSE&amp;creator=factset&amp;display_string=Audit"}</definedName>
    <definedName name="_2054__FDSAUDITLINK__" hidden="1">{"fdsup://Directions/FactSet Auditing Viewer?action=AUDIT_VALUE&amp;DB=129&amp;ID1=82691910&amp;VALUEID=02001&amp;SDATE=200603&amp;PERIODTYPE=QTR_STD&amp;SCFT=3&amp;window=popup_no_bar&amp;width=385&amp;height=120&amp;START_MAXIMIZED=FALSE&amp;creator=factset&amp;display_string=Audit"}</definedName>
    <definedName name="_2055__FDSAUDITLINK__" localSheetId="7" hidden="1">{"fdsup://Directions/FactSet Auditing Viewer?action=AUDIT_VALUE&amp;DB=129&amp;ID1=82705T10&amp;VALUEID=02001&amp;SDATE=200603&amp;PERIODTYPE=QTR_STD&amp;SCFT=3&amp;window=popup_no_bar&amp;width=385&amp;height=120&amp;START_MAXIMIZED=FALSE&amp;creator=factset&amp;display_string=Audit"}</definedName>
    <definedName name="_2055__FDSAUDITLINK__" hidden="1">{"fdsup://Directions/FactSet Auditing Viewer?action=AUDIT_VALUE&amp;DB=129&amp;ID1=82705T10&amp;VALUEID=02001&amp;SDATE=200603&amp;PERIODTYPE=QTR_STD&amp;SCFT=3&amp;window=popup_no_bar&amp;width=385&amp;height=120&amp;START_MAXIMIZED=FALSE&amp;creator=factset&amp;display_string=Audit"}</definedName>
    <definedName name="_2056__FDSAUDITLINK__" localSheetId="7" hidden="1">{"fdsup://Directions/FactSet Auditing Viewer?action=AUDIT_VALUE&amp;DB=129&amp;ID1=82705T10&amp;VALUEID=02001&amp;SDATE=200603&amp;PERIODTYPE=QTR_STD&amp;SCFT=3&amp;window=popup_no_bar&amp;width=385&amp;height=120&amp;START_MAXIMIZED=FALSE&amp;creator=factset&amp;display_string=Audit"}</definedName>
    <definedName name="_2056__FDSAUDITLINK__" hidden="1">{"fdsup://Directions/FactSet Auditing Viewer?action=AUDIT_VALUE&amp;DB=129&amp;ID1=82705T10&amp;VALUEID=02001&amp;SDATE=200603&amp;PERIODTYPE=QTR_STD&amp;SCFT=3&amp;window=popup_no_bar&amp;width=385&amp;height=120&amp;START_MAXIMIZED=FALSE&amp;creator=factset&amp;display_string=Audit"}</definedName>
    <definedName name="_2057__FDSAUDITLINK__" localSheetId="7" hidden="1">{"fdsup://Directions/FactSet Auditing Viewer?action=AUDIT_VALUE&amp;DB=129&amp;ID1=75091710&amp;VALUEID=02001&amp;SDATE=200603&amp;PERIODTYPE=QTR_STD&amp;SCFT=3&amp;window=popup_no_bar&amp;width=385&amp;height=120&amp;START_MAXIMIZED=FALSE&amp;creator=factset&amp;display_string=Audit"}</definedName>
    <definedName name="_2057__FDSAUDITLINK__" hidden="1">{"fdsup://Directions/FactSet Auditing Viewer?action=AUDIT_VALUE&amp;DB=129&amp;ID1=75091710&amp;VALUEID=02001&amp;SDATE=200603&amp;PERIODTYPE=QTR_STD&amp;SCFT=3&amp;window=popup_no_bar&amp;width=385&amp;height=120&amp;START_MAXIMIZED=FALSE&amp;creator=factset&amp;display_string=Audit"}</definedName>
    <definedName name="_2058__FDSAUDITLINK__" localSheetId="7" hidden="1">{"fdsup://Directions/FactSet Auditing Viewer?action=AUDIT_VALUE&amp;DB=129&amp;ID1=75091710&amp;VALUEID=02001&amp;SDATE=200603&amp;PERIODTYPE=QTR_STD&amp;SCFT=3&amp;window=popup_no_bar&amp;width=385&amp;height=120&amp;START_MAXIMIZED=FALSE&amp;creator=factset&amp;display_string=Audit"}</definedName>
    <definedName name="_2058__FDSAUDITLINK__" hidden="1">{"fdsup://Directions/FactSet Auditing Viewer?action=AUDIT_VALUE&amp;DB=129&amp;ID1=75091710&amp;VALUEID=02001&amp;SDATE=200603&amp;PERIODTYPE=QTR_STD&amp;SCFT=3&amp;window=popup_no_bar&amp;width=385&amp;height=120&amp;START_MAXIMIZED=FALSE&amp;creator=factset&amp;display_string=Audit"}</definedName>
    <definedName name="_2059__FDSAUDITLINK__" localSheetId="7" hidden="1">{"fdsup://Directions/FactSet Auditing Viewer?action=AUDIT_VALUE&amp;DB=129&amp;ID1=74994110&amp;VALUEID=02001&amp;SDATE=200602&amp;PERIODTYPE=QTR_STD&amp;SCFT=3&amp;window=popup_no_bar&amp;width=385&amp;height=120&amp;START_MAXIMIZED=FALSE&amp;creator=factset&amp;display_string=Audit"}</definedName>
    <definedName name="_2059__FDSAUDITLINK__" hidden="1">{"fdsup://Directions/FactSet Auditing Viewer?action=AUDIT_VALUE&amp;DB=129&amp;ID1=74994110&amp;VALUEID=02001&amp;SDATE=200602&amp;PERIODTYPE=QTR_STD&amp;SCFT=3&amp;window=popup_no_bar&amp;width=385&amp;height=120&amp;START_MAXIMIZED=FALSE&amp;creator=factset&amp;display_string=Audit"}</definedName>
    <definedName name="_206__FDSAUDITLINK__" localSheetId="7" hidden="1">{"fdsup://Directions/FactSet Auditing Viewer?action=AUDIT_VALUE&amp;DB=129&amp;ID1=63764010&amp;VALUEID=02001&amp;SDATE=201002&amp;PERIODTYPE=QTR_STD&amp;SCFT=3&amp;window=popup_no_bar&amp;width=385&amp;height=120&amp;START_MAXIMIZED=FALSE&amp;creator=factset&amp;display_string=Audit"}</definedName>
    <definedName name="_206__FDSAUDITLINK__" hidden="1">{"fdsup://Directions/FactSet Auditing Viewer?action=AUDIT_VALUE&amp;DB=129&amp;ID1=63764010&amp;VALUEID=02001&amp;SDATE=201002&amp;PERIODTYPE=QTR_STD&amp;SCFT=3&amp;window=popup_no_bar&amp;width=385&amp;height=120&amp;START_MAXIMIZED=FALSE&amp;creator=factset&amp;display_string=Audit"}</definedName>
    <definedName name="_2060__FDSAUDITLINK__" localSheetId="7" hidden="1">{"fdsup://Directions/FactSet Auditing Viewer?action=AUDIT_VALUE&amp;DB=129&amp;ID1=74994110&amp;VALUEID=02001&amp;SDATE=200602&amp;PERIODTYPE=QTR_STD&amp;SCFT=3&amp;window=popup_no_bar&amp;width=385&amp;height=120&amp;START_MAXIMIZED=FALSE&amp;creator=factset&amp;display_string=Audit"}</definedName>
    <definedName name="_2060__FDSAUDITLINK__" hidden="1">{"fdsup://Directions/FactSet Auditing Viewer?action=AUDIT_VALUE&amp;DB=129&amp;ID1=74994110&amp;VALUEID=02001&amp;SDATE=200602&amp;PERIODTYPE=QTR_STD&amp;SCFT=3&amp;window=popup_no_bar&amp;width=385&amp;height=120&amp;START_MAXIMIZED=FALSE&amp;creator=factset&amp;display_string=Audit"}</definedName>
    <definedName name="_2061__FDSAUDITLINK__" localSheetId="7" hidden="1">{"fdsup://Directions/FactSet Auditing Viewer?action=AUDIT_VALUE&amp;DB=129&amp;ID1=74727710&amp;VALUEID=02001&amp;SDATE=200602&amp;PERIODTYPE=QTR_STD&amp;SCFT=3&amp;window=popup_no_bar&amp;width=385&amp;height=120&amp;START_MAXIMIZED=FALSE&amp;creator=factset&amp;display_string=Audit"}</definedName>
    <definedName name="_2061__FDSAUDITLINK__" hidden="1">{"fdsup://Directions/FactSet Auditing Viewer?action=AUDIT_VALUE&amp;DB=129&amp;ID1=74727710&amp;VALUEID=02001&amp;SDATE=200602&amp;PERIODTYPE=QTR_STD&amp;SCFT=3&amp;window=popup_no_bar&amp;width=385&amp;height=120&amp;START_MAXIMIZED=FALSE&amp;creator=factset&amp;display_string=Audit"}</definedName>
    <definedName name="_2062__FDSAUDITLINK__" localSheetId="7" hidden="1">{"fdsup://Directions/FactSet Auditing Viewer?action=AUDIT_VALUE&amp;DB=129&amp;ID1=74727710&amp;VALUEID=02001&amp;SDATE=200602&amp;PERIODTYPE=QTR_STD&amp;SCFT=3&amp;window=popup_no_bar&amp;width=385&amp;height=120&amp;START_MAXIMIZED=FALSE&amp;creator=factset&amp;display_string=Audit"}</definedName>
    <definedName name="_2062__FDSAUDITLINK__" hidden="1">{"fdsup://Directions/FactSet Auditing Viewer?action=AUDIT_VALUE&amp;DB=129&amp;ID1=74727710&amp;VALUEID=02001&amp;SDATE=200602&amp;PERIODTYPE=QTR_STD&amp;SCFT=3&amp;window=popup_no_bar&amp;width=385&amp;height=120&amp;START_MAXIMIZED=FALSE&amp;creator=factset&amp;display_string=Audit"}</definedName>
    <definedName name="_2063__FDSAUDITLINK__" localSheetId="7" hidden="1">{"fdsup://Directions/FactSet Auditing Viewer?action=AUDIT_VALUE&amp;DB=129&amp;ID1=72581M30&amp;VALUEID=02001&amp;SDATE=200603&amp;PERIODTYPE=QTR_STD&amp;SCFT=3&amp;window=popup_no_bar&amp;width=385&amp;height=120&amp;START_MAXIMIZED=FALSE&amp;creator=factset&amp;display_string=Audit"}</definedName>
    <definedName name="_2063__FDSAUDITLINK__" hidden="1">{"fdsup://Directions/FactSet Auditing Viewer?action=AUDIT_VALUE&amp;DB=129&amp;ID1=72581M30&amp;VALUEID=02001&amp;SDATE=200603&amp;PERIODTYPE=QTR_STD&amp;SCFT=3&amp;window=popup_no_bar&amp;width=385&amp;height=120&amp;START_MAXIMIZED=FALSE&amp;creator=factset&amp;display_string=Audit"}</definedName>
    <definedName name="_2064__FDSAUDITLINK__" localSheetId="7" hidden="1">{"fdsup://Directions/FactSet Auditing Viewer?action=AUDIT_VALUE&amp;DB=129&amp;ID1=72581M30&amp;VALUEID=02001&amp;SDATE=200603&amp;PERIODTYPE=QTR_STD&amp;SCFT=3&amp;window=popup_no_bar&amp;width=385&amp;height=120&amp;START_MAXIMIZED=FALSE&amp;creator=factset&amp;display_string=Audit"}</definedName>
    <definedName name="_2064__FDSAUDITLINK__" hidden="1">{"fdsup://Directions/FactSet Auditing Viewer?action=AUDIT_VALUE&amp;DB=129&amp;ID1=72581M30&amp;VALUEID=02001&amp;SDATE=200603&amp;PERIODTYPE=QTR_STD&amp;SCFT=3&amp;window=popup_no_bar&amp;width=385&amp;height=120&amp;START_MAXIMIZED=FALSE&amp;creator=factset&amp;display_string=Audit"}</definedName>
    <definedName name="_2065__FDSAUDITLINK__" localSheetId="7" hidden="1">{"fdsup://Directions/FactSet Auditing Viewer?action=AUDIT_VALUE&amp;DB=129&amp;ID1=73927610&amp;VALUEID=02001&amp;SDATE=200603&amp;PERIODTYPE=QTR_STD&amp;SCFT=3&amp;window=popup_no_bar&amp;width=385&amp;height=120&amp;START_MAXIMIZED=FALSE&amp;creator=factset&amp;display_string=Audit"}</definedName>
    <definedName name="_2065__FDSAUDITLINK__" hidden="1">{"fdsup://Directions/FactSet Auditing Viewer?action=AUDIT_VALUE&amp;DB=129&amp;ID1=73927610&amp;VALUEID=02001&amp;SDATE=200603&amp;PERIODTYPE=QTR_STD&amp;SCFT=3&amp;window=popup_no_bar&amp;width=385&amp;height=120&amp;START_MAXIMIZED=FALSE&amp;creator=factset&amp;display_string=Audit"}</definedName>
    <definedName name="_2066__FDSAUDITLINK__" localSheetId="7" hidden="1">{"fdsup://Directions/FactSet Auditing Viewer?action=AUDIT_VALUE&amp;DB=129&amp;ID1=73927610&amp;VALUEID=02001&amp;SDATE=200603&amp;PERIODTYPE=QTR_STD&amp;SCFT=3&amp;window=popup_no_bar&amp;width=385&amp;height=120&amp;START_MAXIMIZED=FALSE&amp;creator=factset&amp;display_string=Audit"}</definedName>
    <definedName name="_2066__FDSAUDITLINK__" hidden="1">{"fdsup://Directions/FactSet Auditing Viewer?action=AUDIT_VALUE&amp;DB=129&amp;ID1=73927610&amp;VALUEID=02001&amp;SDATE=200603&amp;PERIODTYPE=QTR_STD&amp;SCFT=3&amp;window=popup_no_bar&amp;width=385&amp;height=120&amp;START_MAXIMIZED=FALSE&amp;creator=factset&amp;display_string=Audit"}</definedName>
    <definedName name="_2067__FDSAUDITLINK__" localSheetId="7" hidden="1">{"fdsup://Directions/FactSet Auditing Viewer?action=AUDIT_VALUE&amp;DB=129&amp;ID1=69344F10&amp;VALUEID=02001&amp;SDATE=200603&amp;PERIODTYPE=QTR_STD&amp;SCFT=3&amp;window=popup_no_bar&amp;width=385&amp;height=120&amp;START_MAXIMIZED=FALSE&amp;creator=factset&amp;display_string=Audit"}</definedName>
    <definedName name="_2067__FDSAUDITLINK__" hidden="1">{"fdsup://Directions/FactSet Auditing Viewer?action=AUDIT_VALUE&amp;DB=129&amp;ID1=69344F10&amp;VALUEID=02001&amp;SDATE=200603&amp;PERIODTYPE=QTR_STD&amp;SCFT=3&amp;window=popup_no_bar&amp;width=385&amp;height=120&amp;START_MAXIMIZED=FALSE&amp;creator=factset&amp;display_string=Audit"}</definedName>
    <definedName name="_2068__FDSAUDITLINK__" localSheetId="7" hidden="1">{"fdsup://Directions/FactSet Auditing Viewer?action=AUDIT_VALUE&amp;DB=129&amp;ID1=69344F10&amp;VALUEID=02001&amp;SDATE=200603&amp;PERIODTYPE=QTR_STD&amp;SCFT=3&amp;window=popup_no_bar&amp;width=385&amp;height=120&amp;START_MAXIMIZED=FALSE&amp;creator=factset&amp;display_string=Audit"}</definedName>
    <definedName name="_2068__FDSAUDITLINK__" hidden="1">{"fdsup://Directions/FactSet Auditing Viewer?action=AUDIT_VALUE&amp;DB=129&amp;ID1=69344F10&amp;VALUEID=02001&amp;SDATE=200603&amp;PERIODTYPE=QTR_STD&amp;SCFT=3&amp;window=popup_no_bar&amp;width=385&amp;height=120&amp;START_MAXIMIZED=FALSE&amp;creator=factset&amp;display_string=Audit"}</definedName>
    <definedName name="_2069__FDSAUDITLINK__" localSheetId="7" hidden="1">{"fdsup://Directions/FactSet Auditing Viewer?action=AUDIT_VALUE&amp;DB=129&amp;ID1=69341710&amp;VALUEID=02001&amp;SDATE=200603&amp;PERIODTYPE=QTR_STD&amp;SCFT=3&amp;window=popup_no_bar&amp;width=385&amp;height=120&amp;START_MAXIMIZED=FALSE&amp;creator=factset&amp;display_string=Audit"}</definedName>
    <definedName name="_2069__FDSAUDITLINK__" hidden="1">{"fdsup://Directions/FactSet Auditing Viewer?action=AUDIT_VALUE&amp;DB=129&amp;ID1=69341710&amp;VALUEID=02001&amp;SDATE=200603&amp;PERIODTYPE=QTR_STD&amp;SCFT=3&amp;window=popup_no_bar&amp;width=385&amp;height=120&amp;START_MAXIMIZED=FALSE&amp;creator=factset&amp;display_string=Audit"}</definedName>
    <definedName name="_207__FDSAUDITLINK__" localSheetId="7" hidden="1">{"fdsup://Directions/FactSet Auditing Viewer?action=AUDIT_VALUE&amp;DB=129&amp;ID1=64118B10&amp;VALUEID=02001&amp;SDATE=201004&amp;PERIODTYPE=QTR_STD&amp;SCFT=3&amp;window=popup_no_bar&amp;width=385&amp;height=120&amp;START_MAXIMIZED=FALSE&amp;creator=factset&amp;display_string=Audit"}</definedName>
    <definedName name="_207__FDSAUDITLINK__" hidden="1">{"fdsup://Directions/FactSet Auditing Viewer?action=AUDIT_VALUE&amp;DB=129&amp;ID1=64118B10&amp;VALUEID=02001&amp;SDATE=201004&amp;PERIODTYPE=QTR_STD&amp;SCFT=3&amp;window=popup_no_bar&amp;width=385&amp;height=120&amp;START_MAXIMIZED=FALSE&amp;creator=factset&amp;display_string=Audit"}</definedName>
    <definedName name="_2070__FDSAUDITLINK__" localSheetId="7" hidden="1">{"fdsup://Directions/FactSet Auditing Viewer?action=AUDIT_VALUE&amp;DB=129&amp;ID1=69341710&amp;VALUEID=02001&amp;SDATE=200603&amp;PERIODTYPE=QTR_STD&amp;SCFT=3&amp;window=popup_no_bar&amp;width=385&amp;height=120&amp;START_MAXIMIZED=FALSE&amp;creator=factset&amp;display_string=Audit"}</definedName>
    <definedName name="_2070__FDSAUDITLINK__" hidden="1">{"fdsup://Directions/FactSet Auditing Viewer?action=AUDIT_VALUE&amp;DB=129&amp;ID1=69341710&amp;VALUEID=02001&amp;SDATE=200603&amp;PERIODTYPE=QTR_STD&amp;SCFT=3&amp;window=popup_no_bar&amp;width=385&amp;height=120&amp;START_MAXIMIZED=FALSE&amp;creator=factset&amp;display_string=Audit"}</definedName>
    <definedName name="_2071__FDSAUDITLINK__" localSheetId="7" hidden="1">{"fdsup://Directions/FactSet Auditing Viewer?action=AUDIT_VALUE&amp;DB=129&amp;ID1=68218910&amp;VALUEID=02001&amp;SDATE=200603&amp;PERIODTYPE=QTR_STD&amp;SCFT=3&amp;window=popup_no_bar&amp;width=385&amp;height=120&amp;START_MAXIMIZED=FALSE&amp;creator=factset&amp;display_string=Audit"}</definedName>
    <definedName name="_2071__FDSAUDITLINK__" hidden="1">{"fdsup://Directions/FactSet Auditing Viewer?action=AUDIT_VALUE&amp;DB=129&amp;ID1=68218910&amp;VALUEID=02001&amp;SDATE=200603&amp;PERIODTYPE=QTR_STD&amp;SCFT=3&amp;window=popup_no_bar&amp;width=385&amp;height=120&amp;START_MAXIMIZED=FALSE&amp;creator=factset&amp;display_string=Audit"}</definedName>
    <definedName name="_2072__FDSAUDITLINK__" localSheetId="7" hidden="1">{"fdsup://Directions/FactSet Auditing Viewer?action=AUDIT_VALUE&amp;DB=129&amp;ID1=68218910&amp;VALUEID=02001&amp;SDATE=200603&amp;PERIODTYPE=QTR_STD&amp;SCFT=3&amp;window=popup_no_bar&amp;width=385&amp;height=120&amp;START_MAXIMIZED=FALSE&amp;creator=factset&amp;display_string=Audit"}</definedName>
    <definedName name="_2072__FDSAUDITLINK__" hidden="1">{"fdsup://Directions/FactSet Auditing Viewer?action=AUDIT_VALUE&amp;DB=129&amp;ID1=68218910&amp;VALUEID=02001&amp;SDATE=200603&amp;PERIODTYPE=QTR_STD&amp;SCFT=3&amp;window=popup_no_bar&amp;width=385&amp;height=120&amp;START_MAXIMIZED=FALSE&amp;creator=factset&amp;display_string=Audit"}</definedName>
    <definedName name="_2073__FDSAUDITLINK__" localSheetId="7" hidden="1">{"fdsup://Directions/FactSet Auditing Viewer?action=AUDIT_VALUE&amp;DB=129&amp;ID1=67000810&amp;VALUEID=02001&amp;SDATE=200603&amp;PERIODTYPE=QTR_STD&amp;SCFT=3&amp;window=popup_no_bar&amp;width=385&amp;height=120&amp;START_MAXIMIZED=FALSE&amp;creator=factset&amp;display_string=Audit"}</definedName>
    <definedName name="_2073__FDSAUDITLINK__" hidden="1">{"fdsup://Directions/FactSet Auditing Viewer?action=AUDIT_VALUE&amp;DB=129&amp;ID1=67000810&amp;VALUEID=02001&amp;SDATE=200603&amp;PERIODTYPE=QTR_STD&amp;SCFT=3&amp;window=popup_no_bar&amp;width=385&amp;height=120&amp;START_MAXIMIZED=FALSE&amp;creator=factset&amp;display_string=Audit"}</definedName>
    <definedName name="_2074__FDSAUDITLINK__" localSheetId="7" hidden="1">{"fdsup://Directions/FactSet Auditing Viewer?action=AUDIT_VALUE&amp;DB=129&amp;ID1=67000810&amp;VALUEID=02001&amp;SDATE=200603&amp;PERIODTYPE=QTR_STD&amp;SCFT=3&amp;window=popup_no_bar&amp;width=385&amp;height=120&amp;START_MAXIMIZED=FALSE&amp;creator=factset&amp;display_string=Audit"}</definedName>
    <definedName name="_2074__FDSAUDITLINK__" hidden="1">{"fdsup://Directions/FactSet Auditing Viewer?action=AUDIT_VALUE&amp;DB=129&amp;ID1=67000810&amp;VALUEID=02001&amp;SDATE=200603&amp;PERIODTYPE=QTR_STD&amp;SCFT=3&amp;window=popup_no_bar&amp;width=385&amp;height=120&amp;START_MAXIMIZED=FALSE&amp;creator=factset&amp;display_string=Audit"}</definedName>
    <definedName name="_2075__FDSAUDITLINK__" localSheetId="7" hidden="1">{"fdsup://Directions/FactSet Auditing Viewer?action=AUDIT_VALUE&amp;DB=129&amp;ID1=67066G10&amp;VALUEID=02001&amp;SDATE=200603&amp;PERIODTYPE=QTR_STD&amp;SCFT=3&amp;window=popup_no_bar&amp;width=385&amp;height=120&amp;START_MAXIMIZED=FALSE&amp;creator=factset&amp;display_string=Audit"}</definedName>
    <definedName name="_2075__FDSAUDITLINK__" hidden="1">{"fdsup://Directions/FactSet Auditing Viewer?action=AUDIT_VALUE&amp;DB=129&amp;ID1=67066G10&amp;VALUEID=02001&amp;SDATE=200603&amp;PERIODTYPE=QTR_STD&amp;SCFT=3&amp;window=popup_no_bar&amp;width=385&amp;height=120&amp;START_MAXIMIZED=FALSE&amp;creator=factset&amp;display_string=Audit"}</definedName>
    <definedName name="_2076__FDSAUDITLINK__" localSheetId="7" hidden="1">{"fdsup://Directions/FactSet Auditing Viewer?action=AUDIT_VALUE&amp;DB=129&amp;ID1=67066G10&amp;VALUEID=02001&amp;SDATE=200603&amp;PERIODTYPE=QTR_STD&amp;SCFT=3&amp;window=popup_no_bar&amp;width=385&amp;height=120&amp;START_MAXIMIZED=FALSE&amp;creator=factset&amp;display_string=Audit"}</definedName>
    <definedName name="_2076__FDSAUDITLINK__" hidden="1">{"fdsup://Directions/FactSet Auditing Viewer?action=AUDIT_VALUE&amp;DB=129&amp;ID1=67066G10&amp;VALUEID=02001&amp;SDATE=200603&amp;PERIODTYPE=QTR_STD&amp;SCFT=3&amp;window=popup_no_bar&amp;width=385&amp;height=120&amp;START_MAXIMIZED=FALSE&amp;creator=factset&amp;display_string=Audit"}</definedName>
    <definedName name="_2077__FDSAUDITLINK__" localSheetId="7" hidden="1">{"fdsup://Directions/FactSet Auditing Viewer?action=AUDIT_VALUE&amp;DB=129&amp;ID1=63764010&amp;VALUEID=02001&amp;SDATE=200601&amp;PERIODTYPE=QTR_STD&amp;SCFT=3&amp;window=popup_no_bar&amp;width=385&amp;height=120&amp;START_MAXIMIZED=FALSE&amp;creator=factset&amp;display_string=Audit"}</definedName>
    <definedName name="_2077__FDSAUDITLINK__" hidden="1">{"fdsup://Directions/FactSet Auditing Viewer?action=AUDIT_VALUE&amp;DB=129&amp;ID1=63764010&amp;VALUEID=02001&amp;SDATE=200601&amp;PERIODTYPE=QTR_STD&amp;SCFT=3&amp;window=popup_no_bar&amp;width=385&amp;height=120&amp;START_MAXIMIZED=FALSE&amp;creator=factset&amp;display_string=Audit"}</definedName>
    <definedName name="_2078__FDSAUDITLINK__" localSheetId="7" hidden="1">{"fdsup://Directions/FactSet Auditing Viewer?action=AUDIT_VALUE&amp;DB=129&amp;ID1=63764010&amp;VALUEID=02001&amp;SDATE=200601&amp;PERIODTYPE=QTR_STD&amp;SCFT=3&amp;window=popup_no_bar&amp;width=385&amp;height=120&amp;START_MAXIMIZED=FALSE&amp;creator=factset&amp;display_string=Audit"}</definedName>
    <definedName name="_2078__FDSAUDITLINK__" hidden="1">{"fdsup://Directions/FactSet Auditing Viewer?action=AUDIT_VALUE&amp;DB=129&amp;ID1=63764010&amp;VALUEID=02001&amp;SDATE=200601&amp;PERIODTYPE=QTR_STD&amp;SCFT=3&amp;window=popup_no_bar&amp;width=385&amp;height=120&amp;START_MAXIMIZED=FALSE&amp;creator=factset&amp;display_string=Audit"}</definedName>
    <definedName name="_2079__FDSAUDITLINK__" localSheetId="7" hidden="1">{"fdsup://Directions/FactSet Auditing Viewer?action=AUDIT_VALUE&amp;DB=129&amp;ID1=64118B10&amp;VALUEID=02001&amp;SDATE=200603&amp;PERIODTYPE=QTR_STD&amp;SCFT=3&amp;window=popup_no_bar&amp;width=385&amp;height=120&amp;START_MAXIMIZED=FALSE&amp;creator=factset&amp;display_string=Audit"}</definedName>
    <definedName name="_2079__FDSAUDITLINK__" hidden="1">{"fdsup://Directions/FactSet Auditing Viewer?action=AUDIT_VALUE&amp;DB=129&amp;ID1=64118B10&amp;VALUEID=02001&amp;SDATE=200603&amp;PERIODTYPE=QTR_STD&amp;SCFT=3&amp;window=popup_no_bar&amp;width=385&amp;height=120&amp;START_MAXIMIZED=FALSE&amp;creator=factset&amp;display_string=Audit"}</definedName>
    <definedName name="_208__FDSAUDITLINK__" localSheetId="7" hidden="1">{"fdsup://Directions/FactSet Auditing Viewer?action=AUDIT_VALUE&amp;DB=129&amp;ID1=64118B10&amp;VALUEID=02001&amp;SDATE=201004&amp;PERIODTYPE=QTR_STD&amp;SCFT=3&amp;window=popup_no_bar&amp;width=385&amp;height=120&amp;START_MAXIMIZED=FALSE&amp;creator=factset&amp;display_string=Audit"}</definedName>
    <definedName name="_208__FDSAUDITLINK__" hidden="1">{"fdsup://Directions/FactSet Auditing Viewer?action=AUDIT_VALUE&amp;DB=129&amp;ID1=64118B10&amp;VALUEID=02001&amp;SDATE=201004&amp;PERIODTYPE=QTR_STD&amp;SCFT=3&amp;window=popup_no_bar&amp;width=385&amp;height=120&amp;START_MAXIMIZED=FALSE&amp;creator=factset&amp;display_string=Audit"}</definedName>
    <definedName name="_2080__FDSAUDITLINK__" localSheetId="7" hidden="1">{"fdsup://Directions/FactSet Auditing Viewer?action=AUDIT_VALUE&amp;DB=129&amp;ID1=64118B10&amp;VALUEID=02001&amp;SDATE=200603&amp;PERIODTYPE=QTR_STD&amp;SCFT=3&amp;window=popup_no_bar&amp;width=385&amp;height=120&amp;START_MAXIMIZED=FALSE&amp;creator=factset&amp;display_string=Audit"}</definedName>
    <definedName name="_2080__FDSAUDITLINK__" hidden="1">{"fdsup://Directions/FactSet Auditing Viewer?action=AUDIT_VALUE&amp;DB=129&amp;ID1=64118B10&amp;VALUEID=02001&amp;SDATE=200603&amp;PERIODTYPE=QTR_STD&amp;SCFT=3&amp;window=popup_no_bar&amp;width=385&amp;height=120&amp;START_MAXIMIZED=FALSE&amp;creator=factset&amp;display_string=Audit"}</definedName>
    <definedName name="_2081__FDSAUDITLINK__" localSheetId="7" hidden="1">{"fdsup://Directions/FactSet Auditing Viewer?action=AUDIT_VALUE&amp;DB=129&amp;ID1=57772K10&amp;VALUEID=02001&amp;SDATE=200701&amp;PERIODTYPE=QTR_STD&amp;SCFT=3&amp;window=popup_no_bar&amp;width=385&amp;height=120&amp;START_MAXIMIZED=FALSE&amp;creator=factset&amp;display_string=Audit"}</definedName>
    <definedName name="_2081__FDSAUDITLINK__" hidden="1">{"fdsup://Directions/FactSet Auditing Viewer?action=AUDIT_VALUE&amp;DB=129&amp;ID1=57772K10&amp;VALUEID=02001&amp;SDATE=200701&amp;PERIODTYPE=QTR_STD&amp;SCFT=3&amp;window=popup_no_bar&amp;width=385&amp;height=120&amp;START_MAXIMIZED=FALSE&amp;creator=factset&amp;display_string=Audit"}</definedName>
    <definedName name="_2082__FDSAUDITLINK__" localSheetId="7" hidden="1">{"fdsup://Directions/FactSet Auditing Viewer?action=AUDIT_VALUE&amp;DB=129&amp;ID1=57772K10&amp;VALUEID=02001&amp;SDATE=200701&amp;PERIODTYPE=QTR_STD&amp;SCFT=3&amp;window=popup_no_bar&amp;width=385&amp;height=120&amp;START_MAXIMIZED=FALSE&amp;creator=factset&amp;display_string=Audit"}</definedName>
    <definedName name="_2082__FDSAUDITLINK__" hidden="1">{"fdsup://Directions/FactSet Auditing Viewer?action=AUDIT_VALUE&amp;DB=129&amp;ID1=57772K10&amp;VALUEID=02001&amp;SDATE=200701&amp;PERIODTYPE=QTR_STD&amp;SCFT=3&amp;window=popup_no_bar&amp;width=385&amp;height=120&amp;START_MAXIMIZED=FALSE&amp;creator=factset&amp;display_string=Audit"}</definedName>
    <definedName name="_2083__FDSAUDITLINK__" localSheetId="7" hidden="1">{"fdsup://Directions/FactSet Auditing Viewer?action=AUDIT_VALUE&amp;DB=129&amp;ID1=G5876H10&amp;VALUEID=02001&amp;SDATE=200603&amp;PERIODTYPE=QTR_STD&amp;SCFT=3&amp;window=popup_no_bar&amp;width=385&amp;height=120&amp;START_MAXIMIZED=FALSE&amp;creator=factset&amp;display_string=Audit"}</definedName>
    <definedName name="_2083__FDSAUDITLINK__" hidden="1">{"fdsup://Directions/FactSet Auditing Viewer?action=AUDIT_VALUE&amp;DB=129&amp;ID1=G5876H10&amp;VALUEID=02001&amp;SDATE=200603&amp;PERIODTYPE=QTR_STD&amp;SCFT=3&amp;window=popup_no_bar&amp;width=385&amp;height=120&amp;START_MAXIMIZED=FALSE&amp;creator=factset&amp;display_string=Audit"}</definedName>
    <definedName name="_2084__FDSAUDITLINK__" localSheetId="7" hidden="1">{"fdsup://Directions/FactSet Auditing Viewer?action=AUDIT_VALUE&amp;DB=129&amp;ID1=G5876H10&amp;VALUEID=02001&amp;SDATE=200603&amp;PERIODTYPE=QTR_STD&amp;SCFT=3&amp;window=popup_no_bar&amp;width=385&amp;height=120&amp;START_MAXIMIZED=FALSE&amp;creator=factset&amp;display_string=Audit"}</definedName>
    <definedName name="_2084__FDSAUDITLINK__" hidden="1">{"fdsup://Directions/FactSet Auditing Viewer?action=AUDIT_VALUE&amp;DB=129&amp;ID1=G5876H10&amp;VALUEID=02001&amp;SDATE=200603&amp;PERIODTYPE=QTR_STD&amp;SCFT=3&amp;window=popup_no_bar&amp;width=385&amp;height=120&amp;START_MAXIMIZED=FALSE&amp;creator=factset&amp;display_string=Audit"}</definedName>
    <definedName name="_2085__FDSAUDITLINK__" localSheetId="7" hidden="1">{"fdsup://Directions/FactSet Auditing Viewer?action=AUDIT_VALUE&amp;DB=129&amp;ID1=62007630&amp;VALUEID=02001&amp;SDATE=200603&amp;PERIODTYPE=QTR_STD&amp;SCFT=3&amp;window=popup_no_bar&amp;width=385&amp;height=120&amp;START_MAXIMIZED=FALSE&amp;creator=factset&amp;display_string=Audit"}</definedName>
    <definedName name="_2085__FDSAUDITLINK__" hidden="1">{"fdsup://Directions/FactSet Auditing Viewer?action=AUDIT_VALUE&amp;DB=129&amp;ID1=62007630&amp;VALUEID=02001&amp;SDATE=200603&amp;PERIODTYPE=QTR_STD&amp;SCFT=3&amp;window=popup_no_bar&amp;width=385&amp;height=120&amp;START_MAXIMIZED=FALSE&amp;creator=factset&amp;display_string=Audit"}</definedName>
    <definedName name="_2086__FDSAUDITLINK__" localSheetId="7" hidden="1">{"fdsup://Directions/FactSet Auditing Viewer?action=AUDIT_VALUE&amp;DB=129&amp;ID1=62007630&amp;VALUEID=02001&amp;SDATE=200603&amp;PERIODTYPE=QTR_STD&amp;SCFT=3&amp;window=popup_no_bar&amp;width=385&amp;height=120&amp;START_MAXIMIZED=FALSE&amp;creator=factset&amp;display_string=Audit"}</definedName>
    <definedName name="_2086__FDSAUDITLINK__" hidden="1">{"fdsup://Directions/FactSet Auditing Viewer?action=AUDIT_VALUE&amp;DB=129&amp;ID1=62007630&amp;VALUEID=02001&amp;SDATE=200603&amp;PERIODTYPE=QTR_STD&amp;SCFT=3&amp;window=popup_no_bar&amp;width=385&amp;height=120&amp;START_MAXIMIZED=FALSE&amp;creator=factset&amp;display_string=Audit"}</definedName>
    <definedName name="_2087__FDSAUDITLINK__" localSheetId="7" hidden="1">{"fdsup://Directions/FactSet Auditing Viewer?action=AUDIT_VALUE&amp;DB=129&amp;ID1=60456710&amp;VALUEID=02001&amp;SDATE=200701&amp;PERIODTYPE=QTR_STD&amp;SCFT=3&amp;window=popup_no_bar&amp;width=385&amp;height=120&amp;START_MAXIMIZED=FALSE&amp;creator=factset&amp;display_string=Audit"}</definedName>
    <definedName name="_2087__FDSAUDITLINK__" hidden="1">{"fdsup://Directions/FactSet Auditing Viewer?action=AUDIT_VALUE&amp;DB=129&amp;ID1=60456710&amp;VALUEID=02001&amp;SDATE=200701&amp;PERIODTYPE=QTR_STD&amp;SCFT=3&amp;window=popup_no_bar&amp;width=385&amp;height=120&amp;START_MAXIMIZED=FALSE&amp;creator=factset&amp;display_string=Audit"}</definedName>
    <definedName name="_2088__FDSAUDITLINK__" localSheetId="7" hidden="1">{"fdsup://Directions/FactSet Auditing Viewer?action=AUDIT_VALUE&amp;DB=129&amp;ID1=60456710&amp;VALUEID=02001&amp;SDATE=200701&amp;PERIODTYPE=QTR_STD&amp;SCFT=3&amp;window=popup_no_bar&amp;width=385&amp;height=120&amp;START_MAXIMIZED=FALSE&amp;creator=factset&amp;display_string=Audit"}</definedName>
    <definedName name="_2088__FDSAUDITLINK__" hidden="1">{"fdsup://Directions/FactSet Auditing Viewer?action=AUDIT_VALUE&amp;DB=129&amp;ID1=60456710&amp;VALUEID=02001&amp;SDATE=200701&amp;PERIODTYPE=QTR_STD&amp;SCFT=3&amp;window=popup_no_bar&amp;width=385&amp;height=120&amp;START_MAXIMIZED=FALSE&amp;creator=factset&amp;display_string=Audit"}</definedName>
    <definedName name="_2089__FDSAUDITLINK__" localSheetId="7" hidden="1">{"fdsup://Directions/FactSet Auditing Viewer?action=AUDIT_VALUE&amp;DB=129&amp;ID1=59479310&amp;VALUEID=02001&amp;SDATE=200603&amp;PERIODTYPE=QTR_STD&amp;SCFT=3&amp;window=popup_no_bar&amp;width=385&amp;height=120&amp;START_MAXIMIZED=FALSE&amp;creator=factset&amp;display_string=Audit"}</definedName>
    <definedName name="_2089__FDSAUDITLINK__" hidden="1">{"fdsup://Directions/FactSet Auditing Viewer?action=AUDIT_VALUE&amp;DB=129&amp;ID1=59479310&amp;VALUEID=02001&amp;SDATE=200603&amp;PERIODTYPE=QTR_STD&amp;SCFT=3&amp;window=popup_no_bar&amp;width=385&amp;height=120&amp;START_MAXIMIZED=FALSE&amp;creator=factset&amp;display_string=Audit"}</definedName>
    <definedName name="_209__FDSAUDITLINK__" localSheetId="7" hidden="1">{"fdsup://Directions/FactSet Auditing Viewer?action=AUDIT_VALUE&amp;DB=129&amp;ID1=57772K10&amp;VALUEID=02001&amp;SDATE=201102&amp;PERIODTYPE=QTR_STD&amp;SCFT=3&amp;window=popup_no_bar&amp;width=385&amp;height=120&amp;START_MAXIMIZED=FALSE&amp;creator=factset&amp;display_string=Audit"}</definedName>
    <definedName name="_209__FDSAUDITLINK__" hidden="1">{"fdsup://Directions/FactSet Auditing Viewer?action=AUDIT_VALUE&amp;DB=129&amp;ID1=57772K10&amp;VALUEID=02001&amp;SDATE=201102&amp;PERIODTYPE=QTR_STD&amp;SCFT=3&amp;window=popup_no_bar&amp;width=385&amp;height=120&amp;START_MAXIMIZED=FALSE&amp;creator=factset&amp;display_string=Audit"}</definedName>
    <definedName name="_2090__FDSAUDITLINK__" localSheetId="7" hidden="1">{"fdsup://Directions/FactSet Auditing Viewer?action=AUDIT_VALUE&amp;DB=129&amp;ID1=59479310&amp;VALUEID=02001&amp;SDATE=200603&amp;PERIODTYPE=QTR_STD&amp;SCFT=3&amp;window=popup_no_bar&amp;width=385&amp;height=120&amp;START_MAXIMIZED=FALSE&amp;creator=factset&amp;display_string=Audit"}</definedName>
    <definedName name="_2090__FDSAUDITLINK__" hidden="1">{"fdsup://Directions/FactSet Auditing Viewer?action=AUDIT_VALUE&amp;DB=129&amp;ID1=59479310&amp;VALUEID=02001&amp;SDATE=200603&amp;PERIODTYPE=QTR_STD&amp;SCFT=3&amp;window=popup_no_bar&amp;width=385&amp;height=120&amp;START_MAXIMIZED=FALSE&amp;creator=factset&amp;display_string=Audit"}</definedName>
    <definedName name="_2091__FDSAUDITLINK__" localSheetId="7" hidden="1">{"fdsup://Directions/FactSet Auditing Viewer?action=AUDIT_VALUE&amp;DB=129&amp;ID1=59501710&amp;VALUEID=02001&amp;SDATE=200602&amp;PERIODTYPE=QTR_STD&amp;SCFT=3&amp;window=popup_no_bar&amp;width=385&amp;height=120&amp;START_MAXIMIZED=FALSE&amp;creator=factset&amp;display_string=Audit"}</definedName>
    <definedName name="_2091__FDSAUDITLINK__" hidden="1">{"fdsup://Directions/FactSet Auditing Viewer?action=AUDIT_VALUE&amp;DB=129&amp;ID1=59501710&amp;VALUEID=02001&amp;SDATE=200602&amp;PERIODTYPE=QTR_STD&amp;SCFT=3&amp;window=popup_no_bar&amp;width=385&amp;height=120&amp;START_MAXIMIZED=FALSE&amp;creator=factset&amp;display_string=Audit"}</definedName>
    <definedName name="_2092__FDSAUDITLINK__" localSheetId="7" hidden="1">{"fdsup://Directions/FactSet Auditing Viewer?action=AUDIT_VALUE&amp;DB=129&amp;ID1=59501710&amp;VALUEID=02001&amp;SDATE=200602&amp;PERIODTYPE=QTR_STD&amp;SCFT=3&amp;window=popup_no_bar&amp;width=385&amp;height=120&amp;START_MAXIMIZED=FALSE&amp;creator=factset&amp;display_string=Audit"}</definedName>
    <definedName name="_2092__FDSAUDITLINK__" hidden="1">{"fdsup://Directions/FactSet Auditing Viewer?action=AUDIT_VALUE&amp;DB=129&amp;ID1=59501710&amp;VALUEID=02001&amp;SDATE=200602&amp;PERIODTYPE=QTR_STD&amp;SCFT=3&amp;window=popup_no_bar&amp;width=385&amp;height=120&amp;START_MAXIMIZED=FALSE&amp;creator=factset&amp;display_string=Audit"}</definedName>
    <definedName name="_2093__FDSAUDITLINK__" localSheetId="7" hidden="1">{"fdsup://Directions/FactSet Auditing Viewer?action=AUDIT_VALUE&amp;DB=129&amp;ID1=50216110&amp;VALUEID=02001&amp;SDATE=200603&amp;PERIODTYPE=QTR_STD&amp;SCFT=3&amp;window=popup_no_bar&amp;width=385&amp;height=120&amp;START_MAXIMIZED=FALSE&amp;creator=factset&amp;display_string=Audit"}</definedName>
    <definedName name="_2093__FDSAUDITLINK__" hidden="1">{"fdsup://Directions/FactSet Auditing Viewer?action=AUDIT_VALUE&amp;DB=129&amp;ID1=50216110&amp;VALUEID=02001&amp;SDATE=200603&amp;PERIODTYPE=QTR_STD&amp;SCFT=3&amp;window=popup_no_bar&amp;width=385&amp;height=120&amp;START_MAXIMIZED=FALSE&amp;creator=factset&amp;display_string=Audit"}</definedName>
    <definedName name="_2094__FDSAUDITLINK__" localSheetId="7" hidden="1">{"fdsup://Directions/FactSet Auditing Viewer?action=AUDIT_VALUE&amp;DB=129&amp;ID1=50216110&amp;VALUEID=02001&amp;SDATE=200603&amp;PERIODTYPE=QTR_STD&amp;SCFT=3&amp;window=popup_no_bar&amp;width=385&amp;height=120&amp;START_MAXIMIZED=FALSE&amp;creator=factset&amp;display_string=Audit"}</definedName>
    <definedName name="_2094__FDSAUDITLINK__" hidden="1">{"fdsup://Directions/FactSet Auditing Viewer?action=AUDIT_VALUE&amp;DB=129&amp;ID1=50216110&amp;VALUEID=02001&amp;SDATE=200603&amp;PERIODTYPE=QTR_STD&amp;SCFT=3&amp;window=popup_no_bar&amp;width=385&amp;height=120&amp;START_MAXIMIZED=FALSE&amp;creator=factset&amp;display_string=Audit"}</definedName>
    <definedName name="_2095__FDSAUDITLINK__" localSheetId="7" hidden="1">{"fdsup://Directions/FactSet Auditing Viewer?action=AUDIT_VALUE&amp;DB=129&amp;ID1=51841510&amp;VALUEID=02001&amp;SDATE=200603&amp;PERIODTYPE=QTR_STD&amp;SCFT=3&amp;window=popup_no_bar&amp;width=385&amp;height=120&amp;START_MAXIMIZED=FALSE&amp;creator=factset&amp;display_string=Audit"}</definedName>
    <definedName name="_2095__FDSAUDITLINK__" hidden="1">{"fdsup://Directions/FactSet Auditing Viewer?action=AUDIT_VALUE&amp;DB=129&amp;ID1=51841510&amp;VALUEID=02001&amp;SDATE=200603&amp;PERIODTYPE=QTR_STD&amp;SCFT=3&amp;window=popup_no_bar&amp;width=385&amp;height=120&amp;START_MAXIMIZED=FALSE&amp;creator=factset&amp;display_string=Audit"}</definedName>
    <definedName name="_2096__FDSAUDITLINK__" localSheetId="7" hidden="1">{"fdsup://Directions/FactSet Auditing Viewer?action=AUDIT_VALUE&amp;DB=129&amp;ID1=51841510&amp;VALUEID=02001&amp;SDATE=200603&amp;PERIODTYPE=QTR_STD&amp;SCFT=3&amp;window=popup_no_bar&amp;width=385&amp;height=120&amp;START_MAXIMIZED=FALSE&amp;creator=factset&amp;display_string=Audit"}</definedName>
    <definedName name="_2096__FDSAUDITLINK__" hidden="1">{"fdsup://Directions/FactSet Auditing Viewer?action=AUDIT_VALUE&amp;DB=129&amp;ID1=51841510&amp;VALUEID=02001&amp;SDATE=200603&amp;PERIODTYPE=QTR_STD&amp;SCFT=3&amp;window=popup_no_bar&amp;width=385&amp;height=120&amp;START_MAXIMIZED=FALSE&amp;creator=factset&amp;display_string=Audit"}</definedName>
    <definedName name="_2097__FDSAUDITLINK__" localSheetId="7" hidden="1">{"fdsup://Directions/FactSet Auditing Viewer?action=AUDIT_VALUE&amp;DB=129&amp;ID1=51280710&amp;VALUEID=02001&amp;SDATE=200701&amp;PERIODTYPE=QTR_STD&amp;SCFT=3&amp;window=popup_no_bar&amp;width=385&amp;height=120&amp;START_MAXIMIZED=FALSE&amp;creator=factset&amp;display_string=Audit"}</definedName>
    <definedName name="_2097__FDSAUDITLINK__" hidden="1">{"fdsup://Directions/FactSet Auditing Viewer?action=AUDIT_VALUE&amp;DB=129&amp;ID1=51280710&amp;VALUEID=02001&amp;SDATE=200701&amp;PERIODTYPE=QTR_STD&amp;SCFT=3&amp;window=popup_no_bar&amp;width=385&amp;height=120&amp;START_MAXIMIZED=FALSE&amp;creator=factset&amp;display_string=Audit"}</definedName>
    <definedName name="_2098__FDSAUDITLINK__" localSheetId="7" hidden="1">{"fdsup://Directions/FactSet Auditing Viewer?action=AUDIT_VALUE&amp;DB=129&amp;ID1=51280710&amp;VALUEID=02001&amp;SDATE=200701&amp;PERIODTYPE=QTR_STD&amp;SCFT=3&amp;window=popup_no_bar&amp;width=385&amp;height=120&amp;START_MAXIMIZED=FALSE&amp;creator=factset&amp;display_string=Audit"}</definedName>
    <definedName name="_2098__FDSAUDITLINK__" hidden="1">{"fdsup://Directions/FactSet Auditing Viewer?action=AUDIT_VALUE&amp;DB=129&amp;ID1=51280710&amp;VALUEID=02001&amp;SDATE=200701&amp;PERIODTYPE=QTR_STD&amp;SCFT=3&amp;window=popup_no_bar&amp;width=385&amp;height=120&amp;START_MAXIMIZED=FALSE&amp;creator=factset&amp;display_string=Audit"}</definedName>
    <definedName name="_2099__FDSAUDITLINK__" localSheetId="7" hidden="1">{"fdsup://Directions/FactSet Auditing Viewer?action=AUDIT_VALUE&amp;DB=129&amp;ID1=53567810&amp;VALUEID=02001&amp;SDATE=200701&amp;PERIODTYPE=QTR_STD&amp;SCFT=3&amp;window=popup_no_bar&amp;width=385&amp;height=120&amp;START_MAXIMIZED=FALSE&amp;creator=factset&amp;display_string=Audit"}</definedName>
    <definedName name="_2099__FDSAUDITLINK__" hidden="1">{"fdsup://Directions/FactSet Auditing Viewer?action=AUDIT_VALUE&amp;DB=129&amp;ID1=53567810&amp;VALUEID=02001&amp;SDATE=200701&amp;PERIODTYPE=QTR_STD&amp;SCFT=3&amp;window=popup_no_bar&amp;width=385&amp;height=120&amp;START_MAXIMIZED=FALSE&amp;creator=factset&amp;display_string=Audit"}</definedName>
    <definedName name="_21__FDSAUDITLINK__" localSheetId="7" hidden="1">{"fdsup://Directions/FactSet Auditing Viewer?action=AUDIT_VALUE&amp;DB=129&amp;ID1=G7945M10&amp;VALUEID=02001&amp;SDATE=201103&amp;PERIODTYPE=QTR_STD&amp;SCFT=3&amp;window=popup_no_bar&amp;width=385&amp;height=120&amp;START_MAXIMIZED=FALSE&amp;creator=factset&amp;display_string=Audit"}</definedName>
    <definedName name="_21__FDSAUDITLINK__" hidden="1">{"fdsup://Directions/FactSet Auditing Viewer?action=AUDIT_VALUE&amp;DB=129&amp;ID1=G7945M10&amp;VALUEID=02001&amp;SDATE=201103&amp;PERIODTYPE=QTR_STD&amp;SCFT=3&amp;window=popup_no_bar&amp;width=385&amp;height=120&amp;START_MAXIMIZED=FALSE&amp;creator=factset&amp;display_string=Audit"}</definedName>
    <definedName name="_210__FDSAUDITLINK__" localSheetId="7" hidden="1">{"fdsup://Directions/FactSet Auditing Viewer?action=AUDIT_VALUE&amp;DB=129&amp;ID1=57772K10&amp;VALUEID=02001&amp;SDATE=201102&amp;PERIODTYPE=QTR_STD&amp;SCFT=3&amp;window=popup_no_bar&amp;width=385&amp;height=120&amp;START_MAXIMIZED=FALSE&amp;creator=factset&amp;display_string=Audit"}</definedName>
    <definedName name="_210__FDSAUDITLINK__" hidden="1">{"fdsup://Directions/FactSet Auditing Viewer?action=AUDIT_VALUE&amp;DB=129&amp;ID1=57772K10&amp;VALUEID=02001&amp;SDATE=201102&amp;PERIODTYPE=QTR_STD&amp;SCFT=3&amp;window=popup_no_bar&amp;width=385&amp;height=120&amp;START_MAXIMIZED=FALSE&amp;creator=factset&amp;display_string=Audit"}</definedName>
    <definedName name="_2100__FDSAUDITLINK__" localSheetId="7" hidden="1">{"fdsup://Directions/FactSet Auditing Viewer?action=AUDIT_VALUE&amp;DB=129&amp;ID1=53567810&amp;VALUEID=02001&amp;SDATE=200701&amp;PERIODTYPE=QTR_STD&amp;SCFT=3&amp;window=popup_no_bar&amp;width=385&amp;height=120&amp;START_MAXIMIZED=FALSE&amp;creator=factset&amp;display_string=Audit"}</definedName>
    <definedName name="_2100__FDSAUDITLINK__" hidden="1">{"fdsup://Directions/FactSet Auditing Viewer?action=AUDIT_VALUE&amp;DB=129&amp;ID1=53567810&amp;VALUEID=02001&amp;SDATE=200701&amp;PERIODTYPE=QTR_STD&amp;SCFT=3&amp;window=popup_no_bar&amp;width=385&amp;height=120&amp;START_MAXIMIZED=FALSE&amp;creator=factset&amp;display_string=Audit"}</definedName>
    <definedName name="_2101__FDSAUDITLINK__" localSheetId="7" hidden="1">{"fdsup://Directions/FactSet Auditing Viewer?action=AUDIT_VALUE&amp;DB=129&amp;ID1=48248010&amp;VALUEID=02001&amp;SDATE=200701&amp;PERIODTYPE=QTR_STD&amp;SCFT=3&amp;window=popup_no_bar&amp;width=385&amp;height=120&amp;START_MAXIMIZED=FALSE&amp;creator=factset&amp;display_string=Audit"}</definedName>
    <definedName name="_2101__FDSAUDITLINK__" hidden="1">{"fdsup://Directions/FactSet Auditing Viewer?action=AUDIT_VALUE&amp;DB=129&amp;ID1=48248010&amp;VALUEID=02001&amp;SDATE=200701&amp;PERIODTYPE=QTR_STD&amp;SCFT=3&amp;window=popup_no_bar&amp;width=385&amp;height=120&amp;START_MAXIMIZED=FALSE&amp;creator=factset&amp;display_string=Audit"}</definedName>
    <definedName name="_2102__FDSAUDITLINK__" localSheetId="7" hidden="1">{"fdsup://Directions/FactSet Auditing Viewer?action=AUDIT_VALUE&amp;DB=129&amp;ID1=48248010&amp;VALUEID=02001&amp;SDATE=200701&amp;PERIODTYPE=QTR_STD&amp;SCFT=3&amp;window=popup_no_bar&amp;width=385&amp;height=120&amp;START_MAXIMIZED=FALSE&amp;creator=factset&amp;display_string=Audit"}</definedName>
    <definedName name="_2102__FDSAUDITLINK__" hidden="1">{"fdsup://Directions/FactSet Auditing Viewer?action=AUDIT_VALUE&amp;DB=129&amp;ID1=48248010&amp;VALUEID=02001&amp;SDATE=200701&amp;PERIODTYPE=QTR_STD&amp;SCFT=3&amp;window=popup_no_bar&amp;width=385&amp;height=120&amp;START_MAXIMIZED=FALSE&amp;creator=factset&amp;display_string=Audit"}</definedName>
    <definedName name="_2103__FDSAUDITLINK__" localSheetId="7" hidden="1">{"fdsup://Directions/FactSet Auditing Viewer?action=AUDIT_VALUE&amp;DB=129&amp;ID1=48836020&amp;VALUEID=02001&amp;SDATE=200602&amp;PERIODTYPE=QTR_STD&amp;SCFT=3&amp;window=popup_no_bar&amp;width=385&amp;height=120&amp;START_MAXIMIZED=FALSE&amp;creator=factset&amp;display_string=Audit"}</definedName>
    <definedName name="_2103__FDSAUDITLINK__" hidden="1">{"fdsup://Directions/FactSet Auditing Viewer?action=AUDIT_VALUE&amp;DB=129&amp;ID1=48836020&amp;VALUEID=02001&amp;SDATE=200602&amp;PERIODTYPE=QTR_STD&amp;SCFT=3&amp;window=popup_no_bar&amp;width=385&amp;height=120&amp;START_MAXIMIZED=FALSE&amp;creator=factset&amp;display_string=Audit"}</definedName>
    <definedName name="_2104__FDSAUDITLINK__" localSheetId="7" hidden="1">{"fdsup://Directions/FactSet Auditing Viewer?action=AUDIT_VALUE&amp;DB=129&amp;ID1=48836020&amp;VALUEID=02001&amp;SDATE=200602&amp;PERIODTYPE=QTR_STD&amp;SCFT=3&amp;window=popup_no_bar&amp;width=385&amp;height=120&amp;START_MAXIMIZED=FALSE&amp;creator=factset&amp;display_string=Audit"}</definedName>
    <definedName name="_2104__FDSAUDITLINK__" hidden="1">{"fdsup://Directions/FactSet Auditing Viewer?action=AUDIT_VALUE&amp;DB=129&amp;ID1=48836020&amp;VALUEID=02001&amp;SDATE=200602&amp;PERIODTYPE=QTR_STD&amp;SCFT=3&amp;window=popup_no_bar&amp;width=385&amp;height=120&amp;START_MAXIMIZED=FALSE&amp;creator=factset&amp;display_string=Audit"}</definedName>
    <definedName name="_2105__FDSAUDITLINK__" localSheetId="7" hidden="1">{"fdsup://Directions/FactSet Auditing Viewer?action=AUDIT_VALUE&amp;DB=129&amp;ID1=48203R10&amp;VALUEID=02001&amp;SDATE=200603&amp;PERIODTYPE=QTR_STD&amp;SCFT=3&amp;window=popup_no_bar&amp;width=385&amp;height=120&amp;START_MAXIMIZED=FALSE&amp;creator=factset&amp;display_string=Audit"}</definedName>
    <definedName name="_2105__FDSAUDITLINK__" hidden="1">{"fdsup://Directions/FactSet Auditing Viewer?action=AUDIT_VALUE&amp;DB=129&amp;ID1=48203R10&amp;VALUEID=02001&amp;SDATE=200603&amp;PERIODTYPE=QTR_STD&amp;SCFT=3&amp;window=popup_no_bar&amp;width=385&amp;height=120&amp;START_MAXIMIZED=FALSE&amp;creator=factset&amp;display_string=Audit"}</definedName>
    <definedName name="_2106__FDSAUDITLINK__" localSheetId="7" hidden="1">{"fdsup://Directions/FactSet Auditing Viewer?action=AUDIT_VALUE&amp;DB=129&amp;ID1=48203R10&amp;VALUEID=02001&amp;SDATE=200603&amp;PERIODTYPE=QTR_STD&amp;SCFT=3&amp;window=popup_no_bar&amp;width=385&amp;height=120&amp;START_MAXIMIZED=FALSE&amp;creator=factset&amp;display_string=Audit"}</definedName>
    <definedName name="_2106__FDSAUDITLINK__" hidden="1">{"fdsup://Directions/FactSet Auditing Viewer?action=AUDIT_VALUE&amp;DB=129&amp;ID1=48203R10&amp;VALUEID=02001&amp;SDATE=200603&amp;PERIODTYPE=QTR_STD&amp;SCFT=3&amp;window=popup_no_bar&amp;width=385&amp;height=120&amp;START_MAXIMIZED=FALSE&amp;creator=factset&amp;display_string=Audit"}</definedName>
    <definedName name="_2107__FDSAUDITLINK__" localSheetId="7" hidden="1">{"fdsup://Directions/FactSet Auditing Viewer?action=AUDIT_VALUE&amp;DB=129&amp;ID1=86681020&amp;VALUEID=02001&amp;SDATE=200701&amp;PERIODTYPE=QTR_STD&amp;SCFT=3&amp;window=popup_no_bar&amp;width=385&amp;height=120&amp;START_MAXIMIZED=FALSE&amp;creator=factset&amp;display_string=Audit"}</definedName>
    <definedName name="_2107__FDSAUDITLINK__" hidden="1">{"fdsup://Directions/FactSet Auditing Viewer?action=AUDIT_VALUE&amp;DB=129&amp;ID1=86681020&amp;VALUEID=02001&amp;SDATE=200701&amp;PERIODTYPE=QTR_STD&amp;SCFT=3&amp;window=popup_no_bar&amp;width=385&amp;height=120&amp;START_MAXIMIZED=FALSE&amp;creator=factset&amp;display_string=Audit"}</definedName>
    <definedName name="_2108__FDSAUDITLINK__" localSheetId="7" hidden="1">{"fdsup://Directions/FactSet Auditing Viewer?action=AUDIT_VALUE&amp;DB=129&amp;ID1=86681020&amp;VALUEID=02001&amp;SDATE=200701&amp;PERIODTYPE=QTR_STD&amp;SCFT=3&amp;window=popup_no_bar&amp;width=385&amp;height=120&amp;START_MAXIMIZED=FALSE&amp;creator=factset&amp;display_string=Audit"}</definedName>
    <definedName name="_2108__FDSAUDITLINK__" hidden="1">{"fdsup://Directions/FactSet Auditing Viewer?action=AUDIT_VALUE&amp;DB=129&amp;ID1=86681020&amp;VALUEID=02001&amp;SDATE=200701&amp;PERIODTYPE=QTR_STD&amp;SCFT=3&amp;window=popup_no_bar&amp;width=385&amp;height=120&amp;START_MAXIMIZED=FALSE&amp;creator=factset&amp;display_string=Audit"}</definedName>
    <definedName name="_2109__FDSAUDITLINK__" localSheetId="7" hidden="1">{"fdsup://Directions/FactSet Auditing Viewer?action=AUDIT_VALUE&amp;DB=129&amp;ID1=46069S10&amp;VALUEID=02001&amp;SDATE=200603&amp;PERIODTYPE=QTR_STD&amp;SCFT=3&amp;window=popup_no_bar&amp;width=385&amp;height=120&amp;START_MAXIMIZED=FALSE&amp;creator=factset&amp;display_string=Audit"}</definedName>
    <definedName name="_2109__FDSAUDITLINK__" hidden="1">{"fdsup://Directions/FactSet Auditing Viewer?action=AUDIT_VALUE&amp;DB=129&amp;ID1=46069S10&amp;VALUEID=02001&amp;SDATE=200603&amp;PERIODTYPE=QTR_STD&amp;SCFT=3&amp;window=popup_no_bar&amp;width=385&amp;height=120&amp;START_MAXIMIZED=FALSE&amp;creator=factset&amp;display_string=Audit"}</definedName>
    <definedName name="_211__FDSAUDITLINK__" localSheetId="7" hidden="1">{"fdsup://Directions/FactSet Auditing Viewer?action=AUDIT_VALUE&amp;DB=129&amp;ID1=59511210&amp;VALUEID=02001&amp;SDATE=201101&amp;PERIODTYPE=QTR_STD&amp;SCFT=3&amp;window=popup_no_bar&amp;width=385&amp;height=120&amp;START_MAXIMIZED=FALSE&amp;creator=factset&amp;display_string=Audit"}</definedName>
    <definedName name="_211__FDSAUDITLINK__" hidden="1">{"fdsup://Directions/FactSet Auditing Viewer?action=AUDIT_VALUE&amp;DB=129&amp;ID1=59511210&amp;VALUEID=02001&amp;SDATE=201101&amp;PERIODTYPE=QTR_STD&amp;SCFT=3&amp;window=popup_no_bar&amp;width=385&amp;height=120&amp;START_MAXIMIZED=FALSE&amp;creator=factset&amp;display_string=Audit"}</definedName>
    <definedName name="_2110__FDSAUDITLINK__" localSheetId="7" hidden="1">{"fdsup://Directions/FactSet Auditing Viewer?action=AUDIT_VALUE&amp;DB=129&amp;ID1=46069S10&amp;VALUEID=02001&amp;SDATE=200603&amp;PERIODTYPE=QTR_STD&amp;SCFT=3&amp;window=popup_no_bar&amp;width=385&amp;height=120&amp;START_MAXIMIZED=FALSE&amp;creator=factset&amp;display_string=Audit"}</definedName>
    <definedName name="_2110__FDSAUDITLINK__" hidden="1">{"fdsup://Directions/FactSet Auditing Viewer?action=AUDIT_VALUE&amp;DB=129&amp;ID1=46069S10&amp;VALUEID=02001&amp;SDATE=200603&amp;PERIODTYPE=QTR_STD&amp;SCFT=3&amp;window=popup_no_bar&amp;width=385&amp;height=120&amp;START_MAXIMIZED=FALSE&amp;creator=factset&amp;display_string=Audit"}</definedName>
    <definedName name="_2111__FDSAUDITLINK__" localSheetId="7" hidden="1">{"fdsup://Directions/FactSet Auditing Viewer?action=AUDIT_VALUE&amp;DB=129&amp;ID1=46025410&amp;VALUEID=02001&amp;SDATE=200701&amp;PERIODTYPE=QTR_STD&amp;SCFT=3&amp;window=popup_no_bar&amp;width=385&amp;height=120&amp;START_MAXIMIZED=FALSE&amp;creator=factset&amp;display_string=Audit"}</definedName>
    <definedName name="_2111__FDSAUDITLINK__" hidden="1">{"fdsup://Directions/FactSet Auditing Viewer?action=AUDIT_VALUE&amp;DB=129&amp;ID1=46025410&amp;VALUEID=02001&amp;SDATE=200701&amp;PERIODTYPE=QTR_STD&amp;SCFT=3&amp;window=popup_no_bar&amp;width=385&amp;height=120&amp;START_MAXIMIZED=FALSE&amp;creator=factset&amp;display_string=Audit"}</definedName>
    <definedName name="_2112__FDSAUDITLINK__" localSheetId="7" hidden="1">{"fdsup://Directions/FactSet Auditing Viewer?action=AUDIT_VALUE&amp;DB=129&amp;ID1=46025410&amp;VALUEID=02001&amp;SDATE=200701&amp;PERIODTYPE=QTR_STD&amp;SCFT=3&amp;window=popup_no_bar&amp;width=385&amp;height=120&amp;START_MAXIMIZED=FALSE&amp;creator=factset&amp;display_string=Audit"}</definedName>
    <definedName name="_2112__FDSAUDITLINK__" hidden="1">{"fdsup://Directions/FactSet Auditing Viewer?action=AUDIT_VALUE&amp;DB=129&amp;ID1=46025410&amp;VALUEID=02001&amp;SDATE=200701&amp;PERIODTYPE=QTR_STD&amp;SCFT=3&amp;window=popup_no_bar&amp;width=385&amp;height=120&amp;START_MAXIMIZED=FALSE&amp;creator=factset&amp;display_string=Audit"}</definedName>
    <definedName name="_2113__FDSAUDITLINK__" localSheetId="7" hidden="1">{"fdsup://Directions/FactSet Auditing Viewer?action=AUDIT_VALUE&amp;DB=129&amp;ID1=45814010&amp;VALUEID=02001&amp;SDATE=200603&amp;PERIODTYPE=QTR_STD&amp;SCFT=3&amp;window=popup_no_bar&amp;width=385&amp;height=120&amp;START_MAXIMIZED=FALSE&amp;creator=factset&amp;display_string=Audit"}</definedName>
    <definedName name="_2113__FDSAUDITLINK__" hidden="1">{"fdsup://Directions/FactSet Auditing Viewer?action=AUDIT_VALUE&amp;DB=129&amp;ID1=45814010&amp;VALUEID=02001&amp;SDATE=200603&amp;PERIODTYPE=QTR_STD&amp;SCFT=3&amp;window=popup_no_bar&amp;width=385&amp;height=120&amp;START_MAXIMIZED=FALSE&amp;creator=factset&amp;display_string=Audit"}</definedName>
    <definedName name="_2114__FDSAUDITLINK__" localSheetId="7" hidden="1">{"fdsup://Directions/FactSet Auditing Viewer?action=AUDIT_VALUE&amp;DB=129&amp;ID1=45814010&amp;VALUEID=02001&amp;SDATE=200603&amp;PERIODTYPE=QTR_STD&amp;SCFT=3&amp;window=popup_no_bar&amp;width=385&amp;height=120&amp;START_MAXIMIZED=FALSE&amp;creator=factset&amp;display_string=Audit"}</definedName>
    <definedName name="_2114__FDSAUDITLINK__" hidden="1">{"fdsup://Directions/FactSet Auditing Viewer?action=AUDIT_VALUE&amp;DB=129&amp;ID1=45814010&amp;VALUEID=02001&amp;SDATE=200603&amp;PERIODTYPE=QTR_STD&amp;SCFT=3&amp;window=popup_no_bar&amp;width=385&amp;height=120&amp;START_MAXIMIZED=FALSE&amp;creator=factset&amp;display_string=Audit"}</definedName>
    <definedName name="_2115__FDSAUDITLINK__" localSheetId="7" hidden="1">{"fdsup://Directions/FactSet Auditing Viewer?action=AUDIT_VALUE&amp;DB=129&amp;ID1=45811810&amp;VALUEID=02001&amp;SDATE=200602&amp;PERIODTYPE=QTR_STD&amp;SCFT=3&amp;window=popup_no_bar&amp;width=385&amp;height=120&amp;START_MAXIMIZED=FALSE&amp;creator=factset&amp;display_string=Audit"}</definedName>
    <definedName name="_2115__FDSAUDITLINK__" hidden="1">{"fdsup://Directions/FactSet Auditing Viewer?action=AUDIT_VALUE&amp;DB=129&amp;ID1=45811810&amp;VALUEID=02001&amp;SDATE=200602&amp;PERIODTYPE=QTR_STD&amp;SCFT=3&amp;window=popup_no_bar&amp;width=385&amp;height=120&amp;START_MAXIMIZED=FALSE&amp;creator=factset&amp;display_string=Audit"}</definedName>
    <definedName name="_2116__FDSAUDITLINK__" localSheetId="7" hidden="1">{"fdsup://Directions/FactSet Auditing Viewer?action=AUDIT_VALUE&amp;DB=129&amp;ID1=45811810&amp;VALUEID=02001&amp;SDATE=200602&amp;PERIODTYPE=QTR_STD&amp;SCFT=3&amp;window=popup_no_bar&amp;width=385&amp;height=120&amp;START_MAXIMIZED=FALSE&amp;creator=factset&amp;display_string=Audit"}</definedName>
    <definedName name="_2116__FDSAUDITLINK__" hidden="1">{"fdsup://Directions/FactSet Auditing Viewer?action=AUDIT_VALUE&amp;DB=129&amp;ID1=45811810&amp;VALUEID=02001&amp;SDATE=200602&amp;PERIODTYPE=QTR_STD&amp;SCFT=3&amp;window=popup_no_bar&amp;width=385&amp;height=120&amp;START_MAXIMIZED=FALSE&amp;creator=factset&amp;display_string=Audit"}</definedName>
    <definedName name="_2117__FDSAUDITLINK__" localSheetId="7" hidden="1">{"fdsup://Directions/FactSet Auditing Viewer?action=AUDIT_VALUE&amp;DB=129&amp;ID1=H2906T10&amp;VALUEID=02001&amp;SDATE=200603&amp;PERIODTYPE=QTR_STD&amp;SCFT=3&amp;window=popup_no_bar&amp;width=385&amp;height=120&amp;START_MAXIMIZED=FALSE&amp;creator=factset&amp;display_string=Audit"}</definedName>
    <definedName name="_2117__FDSAUDITLINK__" hidden="1">{"fdsup://Directions/FactSet Auditing Viewer?action=AUDIT_VALUE&amp;DB=129&amp;ID1=H2906T10&amp;VALUEID=02001&amp;SDATE=200603&amp;PERIODTYPE=QTR_STD&amp;SCFT=3&amp;window=popup_no_bar&amp;width=385&amp;height=120&amp;START_MAXIMIZED=FALSE&amp;creator=factset&amp;display_string=Audit"}</definedName>
    <definedName name="_2118__FDSAUDITLINK__" localSheetId="7" hidden="1">{"fdsup://Directions/FactSet Auditing Viewer?action=AUDIT_VALUE&amp;DB=129&amp;ID1=H2906T10&amp;VALUEID=02001&amp;SDATE=200603&amp;PERIODTYPE=QTR_STD&amp;SCFT=3&amp;window=popup_no_bar&amp;width=385&amp;height=120&amp;START_MAXIMIZED=FALSE&amp;creator=factset&amp;display_string=Audit"}</definedName>
    <definedName name="_2118__FDSAUDITLINK__" hidden="1">{"fdsup://Directions/FactSet Auditing Viewer?action=AUDIT_VALUE&amp;DB=129&amp;ID1=H2906T10&amp;VALUEID=02001&amp;SDATE=200603&amp;PERIODTYPE=QTR_STD&amp;SCFT=3&amp;window=popup_no_bar&amp;width=385&amp;height=120&amp;START_MAXIMIZED=FALSE&amp;creator=factset&amp;display_string=Audit"}</definedName>
    <definedName name="_2119__FDSAUDITLINK__" localSheetId="7" hidden="1">{"fdsup://Directions/FactSet Auditing Viewer?action=AUDIT_VALUE&amp;DB=129&amp;ID1=34637510&amp;VALUEID=02001&amp;SDATE=200603&amp;PERIODTYPE=QTR_STD&amp;SCFT=3&amp;window=popup_no_bar&amp;width=385&amp;height=120&amp;START_MAXIMIZED=FALSE&amp;creator=factset&amp;display_string=Audit"}</definedName>
    <definedName name="_2119__FDSAUDITLINK__" hidden="1">{"fdsup://Directions/FactSet Auditing Viewer?action=AUDIT_VALUE&amp;DB=129&amp;ID1=34637510&amp;VALUEID=02001&amp;SDATE=200603&amp;PERIODTYPE=QTR_STD&amp;SCFT=3&amp;window=popup_no_bar&amp;width=385&amp;height=120&amp;START_MAXIMIZED=FALSE&amp;creator=factset&amp;display_string=Audit"}</definedName>
    <definedName name="_212__FDSAUDITLINK__" localSheetId="7" hidden="1">{"fdsup://Directions/FactSet Auditing Viewer?action=AUDIT_VALUE&amp;DB=129&amp;ID1=59511210&amp;VALUEID=02001&amp;SDATE=201101&amp;PERIODTYPE=QTR_STD&amp;SCFT=3&amp;window=popup_no_bar&amp;width=385&amp;height=120&amp;START_MAXIMIZED=FALSE&amp;creator=factset&amp;display_string=Audit"}</definedName>
    <definedName name="_212__FDSAUDITLINK__" hidden="1">{"fdsup://Directions/FactSet Auditing Viewer?action=AUDIT_VALUE&amp;DB=129&amp;ID1=59511210&amp;VALUEID=02001&amp;SDATE=201101&amp;PERIODTYPE=QTR_STD&amp;SCFT=3&amp;window=popup_no_bar&amp;width=385&amp;height=120&amp;START_MAXIMIZED=FALSE&amp;creator=factset&amp;display_string=Audit"}</definedName>
    <definedName name="_2120__FDSAUDITLINK__" localSheetId="7" hidden="1">{"fdsup://Directions/FactSet Auditing Viewer?action=AUDIT_VALUE&amp;DB=129&amp;ID1=34637510&amp;VALUEID=02001&amp;SDATE=200603&amp;PERIODTYPE=QTR_STD&amp;SCFT=3&amp;window=popup_no_bar&amp;width=385&amp;height=120&amp;START_MAXIMIZED=FALSE&amp;creator=factset&amp;display_string=Audit"}</definedName>
    <definedName name="_2120__FDSAUDITLINK__" hidden="1">{"fdsup://Directions/FactSet Auditing Viewer?action=AUDIT_VALUE&amp;DB=129&amp;ID1=34637510&amp;VALUEID=02001&amp;SDATE=200603&amp;PERIODTYPE=QTR_STD&amp;SCFT=3&amp;window=popup_no_bar&amp;width=385&amp;height=120&amp;START_MAXIMIZED=FALSE&amp;creator=factset&amp;display_string=Audit"}</definedName>
    <definedName name="_2121__FDSAUDITLINK__" localSheetId="7" hidden="1">{"fdsup://Directions/FactSet Auditing Viewer?action=AUDIT_VALUE&amp;DB=129&amp;ID1=29247520&amp;VALUEID=02001&amp;SDATE=200701&amp;PERIODTYPE=QTR_STD&amp;SCFT=3&amp;window=popup_no_bar&amp;width=385&amp;height=120&amp;START_MAXIMIZED=FALSE&amp;creator=factset&amp;display_string=Audit"}</definedName>
    <definedName name="_2121__FDSAUDITLINK__" hidden="1">{"fdsup://Directions/FactSet Auditing Viewer?action=AUDIT_VALUE&amp;DB=129&amp;ID1=29247520&amp;VALUEID=02001&amp;SDATE=200701&amp;PERIODTYPE=QTR_STD&amp;SCFT=3&amp;window=popup_no_bar&amp;width=385&amp;height=120&amp;START_MAXIMIZED=FALSE&amp;creator=factset&amp;display_string=Audit"}</definedName>
    <definedName name="_2122__FDSAUDITLINK__" localSheetId="7" hidden="1">{"fdsup://Directions/FactSet Auditing Viewer?action=AUDIT_VALUE&amp;DB=129&amp;ID1=29247520&amp;VALUEID=02001&amp;SDATE=200701&amp;PERIODTYPE=QTR_STD&amp;SCFT=3&amp;window=popup_no_bar&amp;width=385&amp;height=120&amp;START_MAXIMIZED=FALSE&amp;creator=factset&amp;display_string=Audit"}</definedName>
    <definedName name="_2122__FDSAUDITLINK__" hidden="1">{"fdsup://Directions/FactSet Auditing Viewer?action=AUDIT_VALUE&amp;DB=129&amp;ID1=29247520&amp;VALUEID=02001&amp;SDATE=200701&amp;PERIODTYPE=QTR_STD&amp;SCFT=3&amp;window=popup_no_bar&amp;width=385&amp;height=120&amp;START_MAXIMIZED=FALSE&amp;creator=factset&amp;display_string=Audit"}</definedName>
    <definedName name="_2123__FDSAUDITLINK__" localSheetId="7" hidden="1">{"fdsup://Directions/FactSet Auditing Viewer?action=AUDIT_VALUE&amp;DB=129&amp;ID1=25454310&amp;VALUEID=02001&amp;SDATE=200603&amp;PERIODTYPE=QTR_STD&amp;SCFT=3&amp;window=popup_no_bar&amp;width=385&amp;height=120&amp;START_MAXIMIZED=FALSE&amp;creator=factset&amp;display_string=Audit"}</definedName>
    <definedName name="_2123__FDSAUDITLINK__" hidden="1">{"fdsup://Directions/FactSet Auditing Viewer?action=AUDIT_VALUE&amp;DB=129&amp;ID1=25454310&amp;VALUEID=02001&amp;SDATE=200603&amp;PERIODTYPE=QTR_STD&amp;SCFT=3&amp;window=popup_no_bar&amp;width=385&amp;height=120&amp;START_MAXIMIZED=FALSE&amp;creator=factset&amp;display_string=Audit"}</definedName>
    <definedName name="_2124__FDSAUDITLINK__" localSheetId="7" hidden="1">{"fdsup://Directions/FactSet Auditing Viewer?action=AUDIT_VALUE&amp;DB=129&amp;ID1=25454310&amp;VALUEID=02001&amp;SDATE=200603&amp;PERIODTYPE=QTR_STD&amp;SCFT=3&amp;window=popup_no_bar&amp;width=385&amp;height=120&amp;START_MAXIMIZED=FALSE&amp;creator=factset&amp;display_string=Audit"}</definedName>
    <definedName name="_2124__FDSAUDITLINK__" hidden="1">{"fdsup://Directions/FactSet Auditing Viewer?action=AUDIT_VALUE&amp;DB=129&amp;ID1=25454310&amp;VALUEID=02001&amp;SDATE=200603&amp;PERIODTYPE=QTR_STD&amp;SCFT=3&amp;window=popup_no_bar&amp;width=385&amp;height=120&amp;START_MAXIMIZED=FALSE&amp;creator=factset&amp;display_string=Audit"}</definedName>
    <definedName name="_2125__FDSAUDITLINK__" localSheetId="7" hidden="1">{"fdsup://Directions/FactSet Auditing Viewer?action=AUDIT_VALUE&amp;DB=129&amp;ID1=24702R10&amp;VALUEID=02001&amp;SDATE=200603&amp;PERIODTYPE=QTR_STD&amp;SCFT=3&amp;window=popup_no_bar&amp;width=385&amp;height=120&amp;START_MAXIMIZED=FALSE&amp;creator=factset&amp;display_string=Audit"}</definedName>
    <definedName name="_2125__FDSAUDITLINK__" hidden="1">{"fdsup://Directions/FactSet Auditing Viewer?action=AUDIT_VALUE&amp;DB=129&amp;ID1=24702R10&amp;VALUEID=02001&amp;SDATE=200603&amp;PERIODTYPE=QTR_STD&amp;SCFT=3&amp;window=popup_no_bar&amp;width=385&amp;height=120&amp;START_MAXIMIZED=FALSE&amp;creator=factset&amp;display_string=Audit"}</definedName>
    <definedName name="_2126__FDSAUDITLINK__" localSheetId="7" hidden="1">{"fdsup://Directions/FactSet Auditing Viewer?action=AUDIT_VALUE&amp;DB=129&amp;ID1=24702R10&amp;VALUEID=02001&amp;SDATE=200603&amp;PERIODTYPE=QTR_STD&amp;SCFT=3&amp;window=popup_no_bar&amp;width=385&amp;height=120&amp;START_MAXIMIZED=FALSE&amp;creator=factset&amp;display_string=Audit"}</definedName>
    <definedName name="_2126__FDSAUDITLINK__" hidden="1">{"fdsup://Directions/FactSet Auditing Viewer?action=AUDIT_VALUE&amp;DB=129&amp;ID1=24702R10&amp;VALUEID=02001&amp;SDATE=200603&amp;PERIODTYPE=QTR_STD&amp;SCFT=3&amp;window=popup_no_bar&amp;width=385&amp;height=120&amp;START_MAXIMIZED=FALSE&amp;creator=factset&amp;display_string=Audit"}</definedName>
    <definedName name="_2127__FDSAUDITLINK__" localSheetId="7" hidden="1">{"fdsup://Directions/FactSet Auditing Viewer?action=AUDIT_VALUE&amp;DB=129&amp;ID1=23257210&amp;VALUEID=02001&amp;SDATE=200603&amp;PERIODTYPE=QTR_STD&amp;SCFT=3&amp;window=popup_no_bar&amp;width=385&amp;height=120&amp;START_MAXIMIZED=FALSE&amp;creator=factset&amp;display_string=Audit"}</definedName>
    <definedName name="_2127__FDSAUDITLINK__" hidden="1">{"fdsup://Directions/FactSet Auditing Viewer?action=AUDIT_VALUE&amp;DB=129&amp;ID1=23257210&amp;VALUEID=02001&amp;SDATE=200603&amp;PERIODTYPE=QTR_STD&amp;SCFT=3&amp;window=popup_no_bar&amp;width=385&amp;height=120&amp;START_MAXIMIZED=FALSE&amp;creator=factset&amp;display_string=Audit"}</definedName>
    <definedName name="_2128__FDSAUDITLINK__" localSheetId="7" hidden="1">{"fdsup://Directions/FactSet Auditing Viewer?action=AUDIT_VALUE&amp;DB=129&amp;ID1=23257210&amp;VALUEID=02001&amp;SDATE=200603&amp;PERIODTYPE=QTR_STD&amp;SCFT=3&amp;window=popup_no_bar&amp;width=385&amp;height=120&amp;START_MAXIMIZED=FALSE&amp;creator=factset&amp;display_string=Audit"}</definedName>
    <definedName name="_2128__FDSAUDITLINK__" hidden="1">{"fdsup://Directions/FactSet Auditing Viewer?action=AUDIT_VALUE&amp;DB=129&amp;ID1=23257210&amp;VALUEID=02001&amp;SDATE=200603&amp;PERIODTYPE=QTR_STD&amp;SCFT=3&amp;window=popup_no_bar&amp;width=385&amp;height=120&amp;START_MAXIMIZED=FALSE&amp;creator=factset&amp;display_string=Audit"}</definedName>
    <definedName name="_2129__FDSAUDITLINK__" localSheetId="7" hidden="1">{"fdsup://Directions/FactSet Auditing Viewer?action=AUDIT_VALUE&amp;DB=129&amp;ID1=23280610&amp;VALUEID=02001&amp;SDATE=200603&amp;PERIODTYPE=QTR_STD&amp;SCFT=3&amp;window=popup_no_bar&amp;width=385&amp;height=120&amp;START_MAXIMIZED=FALSE&amp;creator=factset&amp;display_string=Audit"}</definedName>
    <definedName name="_2129__FDSAUDITLINK__" hidden="1">{"fdsup://Directions/FactSet Auditing Viewer?action=AUDIT_VALUE&amp;DB=129&amp;ID1=23280610&amp;VALUEID=02001&amp;SDATE=200603&amp;PERIODTYPE=QTR_STD&amp;SCFT=3&amp;window=popup_no_bar&amp;width=385&amp;height=120&amp;START_MAXIMIZED=FALSE&amp;creator=factset&amp;display_string=Audit"}</definedName>
    <definedName name="_213__FDSAUDITLINK__" localSheetId="7" hidden="1">{"fdsup://Directions/FactSet Auditing Viewer?action=AUDIT_VALUE&amp;DB=129&amp;ID1=59513710&amp;VALUEID=02001&amp;SDATE=201101&amp;PERIODTYPE=QTR_STD&amp;SCFT=3&amp;window=popup_no_bar&amp;width=385&amp;height=120&amp;START_MAXIMIZED=FALSE&amp;creator=factset&amp;display_string=Audit"}</definedName>
    <definedName name="_213__FDSAUDITLINK__" hidden="1">{"fdsup://Directions/FactSet Auditing Viewer?action=AUDIT_VALUE&amp;DB=129&amp;ID1=59513710&amp;VALUEID=02001&amp;SDATE=201101&amp;PERIODTYPE=QTR_STD&amp;SCFT=3&amp;window=popup_no_bar&amp;width=385&amp;height=120&amp;START_MAXIMIZED=FALSE&amp;creator=factset&amp;display_string=Audit"}</definedName>
    <definedName name="_2130__FDSAUDITLINK__" localSheetId="7" hidden="1">{"fdsup://Directions/FactSet Auditing Viewer?action=AUDIT_VALUE&amp;DB=129&amp;ID1=23280610&amp;VALUEID=02001&amp;SDATE=200603&amp;PERIODTYPE=QTR_STD&amp;SCFT=3&amp;window=popup_no_bar&amp;width=385&amp;height=120&amp;START_MAXIMIZED=FALSE&amp;creator=factset&amp;display_string=Audit"}</definedName>
    <definedName name="_2130__FDSAUDITLINK__" hidden="1">{"fdsup://Directions/FactSet Auditing Viewer?action=AUDIT_VALUE&amp;DB=129&amp;ID1=23280610&amp;VALUEID=02001&amp;SDATE=200603&amp;PERIODTYPE=QTR_STD&amp;SCFT=3&amp;window=popup_no_bar&amp;width=385&amp;height=120&amp;START_MAXIMIZED=FALSE&amp;creator=factset&amp;display_string=Audit"}</definedName>
    <definedName name="_2131__FDSAUDITLINK__" localSheetId="7" hidden="1">{"fdsup://Directions/FactSet Auditing Viewer?action=AUDIT_VALUE&amp;DB=129&amp;ID1=17275R10&amp;VALUEID=02001&amp;SDATE=200701&amp;PERIODTYPE=QTR_STD&amp;SCFT=3&amp;window=popup_no_bar&amp;width=385&amp;height=120&amp;START_MAXIMIZED=FALSE&amp;creator=factset&amp;display_string=Audit"}</definedName>
    <definedName name="_2131__FDSAUDITLINK__" hidden="1">{"fdsup://Directions/FactSet Auditing Viewer?action=AUDIT_VALUE&amp;DB=129&amp;ID1=17275R10&amp;VALUEID=02001&amp;SDATE=200701&amp;PERIODTYPE=QTR_STD&amp;SCFT=3&amp;window=popup_no_bar&amp;width=385&amp;height=120&amp;START_MAXIMIZED=FALSE&amp;creator=factset&amp;display_string=Audit"}</definedName>
    <definedName name="_2132__FDSAUDITLINK__" localSheetId="7" hidden="1">{"fdsup://Directions/FactSet Auditing Viewer?action=AUDIT_VALUE&amp;DB=129&amp;ID1=17275R10&amp;VALUEID=02001&amp;SDATE=200701&amp;PERIODTYPE=QTR_STD&amp;SCFT=3&amp;window=popup_no_bar&amp;width=385&amp;height=120&amp;START_MAXIMIZED=FALSE&amp;creator=factset&amp;display_string=Audit"}</definedName>
    <definedName name="_2132__FDSAUDITLINK__" hidden="1">{"fdsup://Directions/FactSet Auditing Viewer?action=AUDIT_VALUE&amp;DB=129&amp;ID1=17275R10&amp;VALUEID=02001&amp;SDATE=200701&amp;PERIODTYPE=QTR_STD&amp;SCFT=3&amp;window=popup_no_bar&amp;width=385&amp;height=120&amp;START_MAXIMIZED=FALSE&amp;creator=factset&amp;display_string=Audit"}</definedName>
    <definedName name="_2133__FDSAUDITLINK__" localSheetId="7" hidden="1">{"fdsup://Directions/FactSet Auditing Viewer?action=AUDIT_VALUE&amp;DB=129&amp;ID1=22544710&amp;VALUEID=02001&amp;SDATE=200701&amp;PERIODTYPE=QTR_STD&amp;SCFT=3&amp;window=popup_no_bar&amp;width=385&amp;height=120&amp;START_MAXIMIZED=FALSE&amp;creator=factset&amp;display_string=Audit"}</definedName>
    <definedName name="_2133__FDSAUDITLINK__" hidden="1">{"fdsup://Directions/FactSet Auditing Viewer?action=AUDIT_VALUE&amp;DB=129&amp;ID1=22544710&amp;VALUEID=02001&amp;SDATE=200701&amp;PERIODTYPE=QTR_STD&amp;SCFT=3&amp;window=popup_no_bar&amp;width=385&amp;height=120&amp;START_MAXIMIZED=FALSE&amp;creator=factset&amp;display_string=Audit"}</definedName>
    <definedName name="_2134__FDSAUDITLINK__" localSheetId="7" hidden="1">{"fdsup://Directions/FactSet Auditing Viewer?action=AUDIT_VALUE&amp;DB=129&amp;ID1=22544710&amp;VALUEID=02001&amp;SDATE=200701&amp;PERIODTYPE=QTR_STD&amp;SCFT=3&amp;window=popup_no_bar&amp;width=385&amp;height=120&amp;START_MAXIMIZED=FALSE&amp;creator=factset&amp;display_string=Audit"}</definedName>
    <definedName name="_2134__FDSAUDITLINK__" hidden="1">{"fdsup://Directions/FactSet Auditing Viewer?action=AUDIT_VALUE&amp;DB=129&amp;ID1=22544710&amp;VALUEID=02001&amp;SDATE=200701&amp;PERIODTYPE=QTR_STD&amp;SCFT=3&amp;window=popup_no_bar&amp;width=385&amp;height=120&amp;START_MAXIMIZED=FALSE&amp;creator=factset&amp;display_string=Audit"}</definedName>
    <definedName name="_2135__FDSAUDITLINK__" localSheetId="7" hidden="1">{"fdsup://Directions/FactSet Auditing Viewer?action=AUDIT_VALUE&amp;DB=129&amp;ID1=12738710&amp;VALUEID=02001&amp;SDATE=200603&amp;PERIODTYPE=QTR_STD&amp;SCFT=3&amp;window=popup_no_bar&amp;width=385&amp;height=120&amp;START_MAXIMIZED=FALSE&amp;creator=factset&amp;display_string=Audit"}</definedName>
    <definedName name="_2135__FDSAUDITLINK__" hidden="1">{"fdsup://Directions/FactSet Auditing Viewer?action=AUDIT_VALUE&amp;DB=129&amp;ID1=12738710&amp;VALUEID=02001&amp;SDATE=200603&amp;PERIODTYPE=QTR_STD&amp;SCFT=3&amp;window=popup_no_bar&amp;width=385&amp;height=120&amp;START_MAXIMIZED=FALSE&amp;creator=factset&amp;display_string=Audit"}</definedName>
    <definedName name="_2136__FDSAUDITLINK__" localSheetId="7" hidden="1">{"fdsup://Directions/FactSet Auditing Viewer?action=AUDIT_VALUE&amp;DB=129&amp;ID1=12738710&amp;VALUEID=02001&amp;SDATE=200603&amp;PERIODTYPE=QTR_STD&amp;SCFT=3&amp;window=popup_no_bar&amp;width=385&amp;height=120&amp;START_MAXIMIZED=FALSE&amp;creator=factset&amp;display_string=Audit"}</definedName>
    <definedName name="_2136__FDSAUDITLINK__" hidden="1">{"fdsup://Directions/FactSet Auditing Viewer?action=AUDIT_VALUE&amp;DB=129&amp;ID1=12738710&amp;VALUEID=02001&amp;SDATE=200603&amp;PERIODTYPE=QTR_STD&amp;SCFT=3&amp;window=popup_no_bar&amp;width=385&amp;height=120&amp;START_MAXIMIZED=FALSE&amp;creator=factset&amp;display_string=Audit"}</definedName>
    <definedName name="_2137__FDSAUDITLINK__" localSheetId="7" hidden="1">{"fdsup://Directions/FactSet Auditing Viewer?action=AUDIT_VALUE&amp;DB=129&amp;ID1=04743P10&amp;VALUEID=02001&amp;SDATE=200603&amp;PERIODTYPE=QTR_STD&amp;SCFT=3&amp;window=popup_no_bar&amp;width=385&amp;height=120&amp;START_MAXIMIZED=FALSE&amp;creator=factset&amp;display_string=Audit"}</definedName>
    <definedName name="_2137__FDSAUDITLINK__" hidden="1">{"fdsup://Directions/FactSet Auditing Viewer?action=AUDIT_VALUE&amp;DB=129&amp;ID1=04743P10&amp;VALUEID=02001&amp;SDATE=200603&amp;PERIODTYPE=QTR_STD&amp;SCFT=3&amp;window=popup_no_bar&amp;width=385&amp;height=120&amp;START_MAXIMIZED=FALSE&amp;creator=factset&amp;display_string=Audit"}</definedName>
    <definedName name="_2138__FDSAUDITLINK__" localSheetId="7" hidden="1">{"fdsup://Directions/FactSet Auditing Viewer?action=AUDIT_VALUE&amp;DB=129&amp;ID1=04743P10&amp;VALUEID=02001&amp;SDATE=200603&amp;PERIODTYPE=QTR_STD&amp;SCFT=3&amp;window=popup_no_bar&amp;width=385&amp;height=120&amp;START_MAXIMIZED=FALSE&amp;creator=factset&amp;display_string=Audit"}</definedName>
    <definedName name="_2138__FDSAUDITLINK__" hidden="1">{"fdsup://Directions/FactSet Auditing Viewer?action=AUDIT_VALUE&amp;DB=129&amp;ID1=04743P10&amp;VALUEID=02001&amp;SDATE=200603&amp;PERIODTYPE=QTR_STD&amp;SCFT=3&amp;window=popup_no_bar&amp;width=385&amp;height=120&amp;START_MAXIMIZED=FALSE&amp;creator=factset&amp;display_string=Audit"}</definedName>
    <definedName name="_2139__FDSAUDITLINK__" localSheetId="7" hidden="1">{"fdsup://Directions/FactSet Auditing Viewer?action=AUDIT_VALUE&amp;DB=129&amp;ID1=03251510&amp;VALUEID=02001&amp;SDATE=200603&amp;PERIODTYPE=QTR_STD&amp;SCFT=3&amp;window=popup_no_bar&amp;width=385&amp;height=120&amp;START_MAXIMIZED=FALSE&amp;creator=factset&amp;display_string=Audit"}</definedName>
    <definedName name="_2139__FDSAUDITLINK__" hidden="1">{"fdsup://Directions/FactSet Auditing Viewer?action=AUDIT_VALUE&amp;DB=129&amp;ID1=03251510&amp;VALUEID=02001&amp;SDATE=200603&amp;PERIODTYPE=QTR_STD&amp;SCFT=3&amp;window=popup_no_bar&amp;width=385&amp;height=120&amp;START_MAXIMIZED=FALSE&amp;creator=factset&amp;display_string=Audit"}</definedName>
    <definedName name="_214__FDSAUDITLINK__" localSheetId="7" hidden="1">{"fdsup://Directions/FactSet Auditing Viewer?action=AUDIT_VALUE&amp;DB=129&amp;ID1=59513710&amp;VALUEID=02001&amp;SDATE=201101&amp;PERIODTYPE=QTR_STD&amp;SCFT=3&amp;window=popup_no_bar&amp;width=385&amp;height=120&amp;START_MAXIMIZED=FALSE&amp;creator=factset&amp;display_string=Audit"}</definedName>
    <definedName name="_214__FDSAUDITLINK__" hidden="1">{"fdsup://Directions/FactSet Auditing Viewer?action=AUDIT_VALUE&amp;DB=129&amp;ID1=59513710&amp;VALUEID=02001&amp;SDATE=201101&amp;PERIODTYPE=QTR_STD&amp;SCFT=3&amp;window=popup_no_bar&amp;width=385&amp;height=120&amp;START_MAXIMIZED=FALSE&amp;creator=factset&amp;display_string=Audit"}</definedName>
    <definedName name="_2140__FDSAUDITLINK__" localSheetId="7" hidden="1">{"fdsup://Directions/FactSet Auditing Viewer?action=AUDIT_VALUE&amp;DB=129&amp;ID1=03251510&amp;VALUEID=02001&amp;SDATE=200603&amp;PERIODTYPE=QTR_STD&amp;SCFT=3&amp;window=popup_no_bar&amp;width=385&amp;height=120&amp;START_MAXIMIZED=FALSE&amp;creator=factset&amp;display_string=Audit"}</definedName>
    <definedName name="_2140__FDSAUDITLINK__" hidden="1">{"fdsup://Directions/FactSet Auditing Viewer?action=AUDIT_VALUE&amp;DB=129&amp;ID1=03251510&amp;VALUEID=02001&amp;SDATE=200603&amp;PERIODTYPE=QTR_STD&amp;SCFT=3&amp;window=popup_no_bar&amp;width=385&amp;height=120&amp;START_MAXIMIZED=FALSE&amp;creator=factset&amp;display_string=Audit"}</definedName>
    <definedName name="_2141__FDSAUDITLINK__" localSheetId="7" hidden="1">{"fdsup://Directions/FactSet Auditing Viewer?action=AUDIT_VALUE&amp;DB=129&amp;ID1=00790310&amp;VALUEID=02001&amp;SDATE=200603&amp;PERIODTYPE=QTR_STD&amp;SCFT=3&amp;window=popup_no_bar&amp;width=385&amp;height=120&amp;START_MAXIMIZED=FALSE&amp;creator=factset&amp;display_string=Audit"}</definedName>
    <definedName name="_2141__FDSAUDITLINK__" hidden="1">{"fdsup://Directions/FactSet Auditing Viewer?action=AUDIT_VALUE&amp;DB=129&amp;ID1=00790310&amp;VALUEID=02001&amp;SDATE=200603&amp;PERIODTYPE=QTR_STD&amp;SCFT=3&amp;window=popup_no_bar&amp;width=385&amp;height=120&amp;START_MAXIMIZED=FALSE&amp;creator=factset&amp;display_string=Audit"}</definedName>
    <definedName name="_2142__FDSAUDITLINK__" localSheetId="7" hidden="1">{"fdsup://Directions/FactSet Auditing Viewer?action=AUDIT_VALUE&amp;DB=129&amp;ID1=00790310&amp;VALUEID=02001&amp;SDATE=200603&amp;PERIODTYPE=QTR_STD&amp;SCFT=3&amp;window=popup_no_bar&amp;width=385&amp;height=120&amp;START_MAXIMIZED=FALSE&amp;creator=factset&amp;display_string=Audit"}</definedName>
    <definedName name="_2142__FDSAUDITLINK__" hidden="1">{"fdsup://Directions/FactSet Auditing Viewer?action=AUDIT_VALUE&amp;DB=129&amp;ID1=00790310&amp;VALUEID=02001&amp;SDATE=200603&amp;PERIODTYPE=QTR_STD&amp;SCFT=3&amp;window=popup_no_bar&amp;width=385&amp;height=120&amp;START_MAXIMIZED=FALSE&amp;creator=factset&amp;display_string=Audit"}</definedName>
    <definedName name="_2143__FDSAUDITLINK__" localSheetId="7" hidden="1">{"fdsup://Directions/FactSet Auditing Viewer?action=AUDIT_VALUE&amp;DB=129&amp;ID1=03822W40&amp;VALUEID=02001&amp;SDATE=200602&amp;PERIODTYPE=QTR_STD&amp;SCFT=3&amp;window=popup_no_bar&amp;width=385&amp;height=120&amp;START_MAXIMIZED=FALSE&amp;creator=factset&amp;display_string=Audit"}</definedName>
    <definedName name="_2143__FDSAUDITLINK__" hidden="1">{"fdsup://Directions/FactSet Auditing Viewer?action=AUDIT_VALUE&amp;DB=129&amp;ID1=03822W40&amp;VALUEID=02001&amp;SDATE=200602&amp;PERIODTYPE=QTR_STD&amp;SCFT=3&amp;window=popup_no_bar&amp;width=385&amp;height=120&amp;START_MAXIMIZED=FALSE&amp;creator=factset&amp;display_string=Audit"}</definedName>
    <definedName name="_2144__FDSAUDITLINK__" localSheetId="7" hidden="1">{"fdsup://Directions/FactSet Auditing Viewer?action=AUDIT_VALUE&amp;DB=129&amp;ID1=03822W40&amp;VALUEID=02001&amp;SDATE=200602&amp;PERIODTYPE=QTR_STD&amp;SCFT=3&amp;window=popup_no_bar&amp;width=385&amp;height=120&amp;START_MAXIMIZED=FALSE&amp;creator=factset&amp;display_string=Audit"}</definedName>
    <definedName name="_2144__FDSAUDITLINK__" hidden="1">{"fdsup://Directions/FactSet Auditing Viewer?action=AUDIT_VALUE&amp;DB=129&amp;ID1=03822W40&amp;VALUEID=02001&amp;SDATE=200602&amp;PERIODTYPE=QTR_STD&amp;SCFT=3&amp;window=popup_no_bar&amp;width=385&amp;height=120&amp;START_MAXIMIZED=FALSE&amp;creator=factset&amp;display_string=Audit"}</definedName>
    <definedName name="_2145__FDSAUDITLINK__" localSheetId="7" hidden="1">{"fdsup://Directions/FactSet Auditing Viewer?action=AUDIT_VALUE&amp;DB=129&amp;ID1=02144110&amp;VALUEID=02001&amp;SDATE=200603&amp;PERIODTYPE=QTR_STD&amp;SCFT=3&amp;window=popup_no_bar&amp;width=385&amp;height=120&amp;START_MAXIMIZED=FALSE&amp;creator=factset&amp;display_string=Audit"}</definedName>
    <definedName name="_2145__FDSAUDITLINK__" hidden="1">{"fdsup://Directions/FactSet Auditing Viewer?action=AUDIT_VALUE&amp;DB=129&amp;ID1=02144110&amp;VALUEID=02001&amp;SDATE=200603&amp;PERIODTYPE=QTR_STD&amp;SCFT=3&amp;window=popup_no_bar&amp;width=385&amp;height=120&amp;START_MAXIMIZED=FALSE&amp;creator=factset&amp;display_string=Audit"}</definedName>
    <definedName name="_2146__FDSAUDITLINK__" localSheetId="7" hidden="1">{"fdsup://Directions/FactSet Auditing Viewer?action=AUDIT_VALUE&amp;DB=129&amp;ID1=02144110&amp;VALUEID=02001&amp;SDATE=200603&amp;PERIODTYPE=QTR_STD&amp;SCFT=3&amp;window=popup_no_bar&amp;width=385&amp;height=120&amp;START_MAXIMIZED=FALSE&amp;creator=factset&amp;display_string=Audit"}</definedName>
    <definedName name="_2146__FDSAUDITLINK__" hidden="1">{"fdsup://Directions/FactSet Auditing Viewer?action=AUDIT_VALUE&amp;DB=129&amp;ID1=02144110&amp;VALUEID=02001&amp;SDATE=200603&amp;PERIODTYPE=QTR_STD&amp;SCFT=3&amp;window=popup_no_bar&amp;width=385&amp;height=120&amp;START_MAXIMIZED=FALSE&amp;creator=factset&amp;display_string=Audit"}</definedName>
    <definedName name="_2147__FDSAUDITLINK__" localSheetId="7" hidden="1">{"fdsup://Directions/FactSet Auditing Viewer?action=AUDIT_VALUE&amp;DB=129&amp;ID1=00752J10&amp;VALUEID=02001&amp;SDATE=200603&amp;PERIODTYPE=QTR_STD&amp;SCFT=3&amp;window=popup_no_bar&amp;width=385&amp;height=120&amp;START_MAXIMIZED=FALSE&amp;creator=factset&amp;display_string=Audit"}</definedName>
    <definedName name="_2147__FDSAUDITLINK__" hidden="1">{"fdsup://Directions/FactSet Auditing Viewer?action=AUDIT_VALUE&amp;DB=129&amp;ID1=00752J10&amp;VALUEID=02001&amp;SDATE=200603&amp;PERIODTYPE=QTR_STD&amp;SCFT=3&amp;window=popup_no_bar&amp;width=385&amp;height=120&amp;START_MAXIMIZED=FALSE&amp;creator=factset&amp;display_string=Audit"}</definedName>
    <definedName name="_2148__FDSAUDITLINK__" localSheetId="7" hidden="1">{"fdsup://Directions/FactSet Auditing Viewer?action=AUDIT_VALUE&amp;DB=129&amp;ID1=00752J10&amp;VALUEID=02001&amp;SDATE=200603&amp;PERIODTYPE=QTR_STD&amp;SCFT=3&amp;window=popup_no_bar&amp;width=385&amp;height=120&amp;START_MAXIMIZED=FALSE&amp;creator=factset&amp;display_string=Audit"}</definedName>
    <definedName name="_2148__FDSAUDITLINK__" hidden="1">{"fdsup://Directions/FactSet Auditing Viewer?action=AUDIT_VALUE&amp;DB=129&amp;ID1=00752J10&amp;VALUEID=02001&amp;SDATE=200603&amp;PERIODTYPE=QTR_STD&amp;SCFT=3&amp;window=popup_no_bar&amp;width=385&amp;height=120&amp;START_MAXIMIZED=FALSE&amp;creator=factset&amp;display_string=Audit"}</definedName>
    <definedName name="_2149__FDSAUDITLINK__" localSheetId="7" hidden="1">{"fdsup://Directions/FactSet Auditing Viewer?action=AUDIT_VALUE&amp;DB=129&amp;ID1=98975F10&amp;VALUEID=02001&amp;SDATE=200602&amp;PERIODTYPE=QTR_STD&amp;SCFT=3&amp;window=popup_no_bar&amp;width=385&amp;height=120&amp;START_MAXIMIZED=FALSE&amp;creator=factset&amp;display_string=Audit"}</definedName>
    <definedName name="_2149__FDSAUDITLINK__" hidden="1">{"fdsup://Directions/FactSet Auditing Viewer?action=AUDIT_VALUE&amp;DB=129&amp;ID1=98975F10&amp;VALUEID=02001&amp;SDATE=200602&amp;PERIODTYPE=QTR_STD&amp;SCFT=3&amp;window=popup_no_bar&amp;width=385&amp;height=120&amp;START_MAXIMIZED=FALSE&amp;creator=factset&amp;display_string=Audit"}</definedName>
    <definedName name="_215__FDSAUDITLINK__" localSheetId="7" hidden="1">{"fdsup://Directions/FactSet Auditing Viewer?action=AUDIT_VALUE&amp;DB=129&amp;ID1=G5876H10&amp;VALUEID=02001&amp;SDATE=201004&amp;PERIODTYPE=QTR_STD&amp;SCFT=3&amp;window=popup_no_bar&amp;width=385&amp;height=120&amp;START_MAXIMIZED=FALSE&amp;creator=factset&amp;display_string=Audit"}</definedName>
    <definedName name="_215__FDSAUDITLINK__" hidden="1">{"fdsup://Directions/FactSet Auditing Viewer?action=AUDIT_VALUE&amp;DB=129&amp;ID1=G5876H10&amp;VALUEID=02001&amp;SDATE=201004&amp;PERIODTYPE=QTR_STD&amp;SCFT=3&amp;window=popup_no_bar&amp;width=385&amp;height=120&amp;START_MAXIMIZED=FALSE&amp;creator=factset&amp;display_string=Audit"}</definedName>
    <definedName name="_2150__FDSAUDITLINK__" localSheetId="7" hidden="1">{"fdsup://Directions/FactSet Auditing Viewer?action=AUDIT_VALUE&amp;DB=129&amp;ID1=98975F10&amp;VALUEID=02001&amp;SDATE=200602&amp;PERIODTYPE=QTR_STD&amp;SCFT=3&amp;window=popup_no_bar&amp;width=385&amp;height=120&amp;START_MAXIMIZED=FALSE&amp;creator=factset&amp;display_string=Audit"}</definedName>
    <definedName name="_2150__FDSAUDITLINK__" hidden="1">{"fdsup://Directions/FactSet Auditing Viewer?action=AUDIT_VALUE&amp;DB=129&amp;ID1=98975F10&amp;VALUEID=02001&amp;SDATE=200602&amp;PERIODTYPE=QTR_STD&amp;SCFT=3&amp;window=popup_no_bar&amp;width=385&amp;height=120&amp;START_MAXIMIZED=FALSE&amp;creator=factset&amp;display_string=Audit"}</definedName>
    <definedName name="_2151__FDSAUDITLINK__" localSheetId="7" hidden="1">{"fdsup://Directions/FactSet Auditing Viewer?action=AUDIT_VALUE&amp;DB=129&amp;ID1=98391910&amp;VALUEID=02001&amp;SDATE=200601&amp;PERIODTYPE=QTR_STD&amp;SCFT=3&amp;window=popup_no_bar&amp;width=385&amp;height=120&amp;START_MAXIMIZED=FALSE&amp;creator=factset&amp;display_string=Audit"}</definedName>
    <definedName name="_2151__FDSAUDITLINK__" hidden="1">{"fdsup://Directions/FactSet Auditing Viewer?action=AUDIT_VALUE&amp;DB=129&amp;ID1=98391910&amp;VALUEID=02001&amp;SDATE=200601&amp;PERIODTYPE=QTR_STD&amp;SCFT=3&amp;window=popup_no_bar&amp;width=385&amp;height=120&amp;START_MAXIMIZED=FALSE&amp;creator=factset&amp;display_string=Audit"}</definedName>
    <definedName name="_2152__FDSAUDITLINK__" localSheetId="7" hidden="1">{"fdsup://Directions/FactSet Auditing Viewer?action=AUDIT_VALUE&amp;DB=129&amp;ID1=98391910&amp;VALUEID=02001&amp;SDATE=200601&amp;PERIODTYPE=QTR_STD&amp;SCFT=3&amp;window=popup_no_bar&amp;width=385&amp;height=120&amp;START_MAXIMIZED=FALSE&amp;creator=factset&amp;display_string=Audit"}</definedName>
    <definedName name="_2152__FDSAUDITLINK__" hidden="1">{"fdsup://Directions/FactSet Auditing Viewer?action=AUDIT_VALUE&amp;DB=129&amp;ID1=98391910&amp;VALUEID=02001&amp;SDATE=200601&amp;PERIODTYPE=QTR_STD&amp;SCFT=3&amp;window=popup_no_bar&amp;width=385&amp;height=120&amp;START_MAXIMIZED=FALSE&amp;creator=factset&amp;display_string=Audit"}</definedName>
    <definedName name="_2153__FDSAUDITLINK__" localSheetId="7" hidden="1">{"fdsup://Directions/FactSet Auditing Viewer?action=AUDIT_VALUE&amp;DB=129&amp;ID1=92829810&amp;VALUEID=02001&amp;SDATE=200602&amp;PERIODTYPE=QTR_STD&amp;SCFT=3&amp;window=popup_no_bar&amp;width=385&amp;height=120&amp;START_MAXIMIZED=FALSE&amp;creator=factset&amp;display_string=Audit"}</definedName>
    <definedName name="_2153__FDSAUDITLINK__" hidden="1">{"fdsup://Directions/FactSet Auditing Viewer?action=AUDIT_VALUE&amp;DB=129&amp;ID1=92829810&amp;VALUEID=02001&amp;SDATE=200602&amp;PERIODTYPE=QTR_STD&amp;SCFT=3&amp;window=popup_no_bar&amp;width=385&amp;height=120&amp;START_MAXIMIZED=FALSE&amp;creator=factset&amp;display_string=Audit"}</definedName>
    <definedName name="_2154__FDSAUDITLINK__" localSheetId="7" hidden="1">{"fdsup://Directions/FactSet Auditing Viewer?action=AUDIT_VALUE&amp;DB=129&amp;ID1=92829810&amp;VALUEID=02001&amp;SDATE=200602&amp;PERIODTYPE=QTR_STD&amp;SCFT=3&amp;window=popup_no_bar&amp;width=385&amp;height=120&amp;START_MAXIMIZED=FALSE&amp;creator=factset&amp;display_string=Audit"}</definedName>
    <definedName name="_2154__FDSAUDITLINK__" hidden="1">{"fdsup://Directions/FactSet Auditing Viewer?action=AUDIT_VALUE&amp;DB=129&amp;ID1=92829810&amp;VALUEID=02001&amp;SDATE=200602&amp;PERIODTYPE=QTR_STD&amp;SCFT=3&amp;window=popup_no_bar&amp;width=385&amp;height=120&amp;START_MAXIMIZED=FALSE&amp;creator=factset&amp;display_string=Audit"}</definedName>
    <definedName name="_2155__FDSAUDITLINK__" localSheetId="7" hidden="1">{"fdsup://Directions/FactSet Auditing Viewer?action=AUDIT_VALUE&amp;DB=129&amp;ID1=88250810&amp;VALUEID=02001&amp;SDATE=200602&amp;PERIODTYPE=QTR_STD&amp;SCFT=3&amp;window=popup_no_bar&amp;width=385&amp;height=120&amp;START_MAXIMIZED=FALSE&amp;creator=factset&amp;display_string=Audit"}</definedName>
    <definedName name="_2155__FDSAUDITLINK__" hidden="1">{"fdsup://Directions/FactSet Auditing Viewer?action=AUDIT_VALUE&amp;DB=129&amp;ID1=88250810&amp;VALUEID=02001&amp;SDATE=200602&amp;PERIODTYPE=QTR_STD&amp;SCFT=3&amp;window=popup_no_bar&amp;width=385&amp;height=120&amp;START_MAXIMIZED=FALSE&amp;creator=factset&amp;display_string=Audit"}</definedName>
    <definedName name="_2156__FDSAUDITLINK__" localSheetId="7" hidden="1">{"fdsup://Directions/FactSet Auditing Viewer?action=AUDIT_VALUE&amp;DB=129&amp;ID1=88250810&amp;VALUEID=02001&amp;SDATE=200602&amp;PERIODTYPE=QTR_STD&amp;SCFT=3&amp;window=popup_no_bar&amp;width=385&amp;height=120&amp;START_MAXIMIZED=FALSE&amp;creator=factset&amp;display_string=Audit"}</definedName>
    <definedName name="_2156__FDSAUDITLINK__" hidden="1">{"fdsup://Directions/FactSet Auditing Viewer?action=AUDIT_VALUE&amp;DB=129&amp;ID1=88250810&amp;VALUEID=02001&amp;SDATE=200602&amp;PERIODTYPE=QTR_STD&amp;SCFT=3&amp;window=popup_no_bar&amp;width=385&amp;height=120&amp;START_MAXIMIZED=FALSE&amp;creator=factset&amp;display_string=Audit"}</definedName>
    <definedName name="_2157__FDSAUDITLINK__" localSheetId="7" hidden="1">{"fdsup://Directions/FactSet Auditing Viewer?action=AUDIT_VALUE&amp;DB=129&amp;ID1=89674K10&amp;VALUEID=02001&amp;SDATE=200602&amp;PERIODTYPE=QTR_STD&amp;SCFT=3&amp;window=popup_no_bar&amp;width=385&amp;height=120&amp;START_MAXIMIZED=FALSE&amp;creator=factset&amp;display_string=Audit"}</definedName>
    <definedName name="_2157__FDSAUDITLINK__" hidden="1">{"fdsup://Directions/FactSet Auditing Viewer?action=AUDIT_VALUE&amp;DB=129&amp;ID1=89674K10&amp;VALUEID=02001&amp;SDATE=200602&amp;PERIODTYPE=QTR_STD&amp;SCFT=3&amp;window=popup_no_bar&amp;width=385&amp;height=120&amp;START_MAXIMIZED=FALSE&amp;creator=factset&amp;display_string=Audit"}</definedName>
    <definedName name="_2158__FDSAUDITLINK__" localSheetId="7" hidden="1">{"fdsup://Directions/FactSet Auditing Viewer?action=AUDIT_VALUE&amp;DB=129&amp;ID1=89674K10&amp;VALUEID=02001&amp;SDATE=200602&amp;PERIODTYPE=QTR_STD&amp;SCFT=3&amp;window=popup_no_bar&amp;width=385&amp;height=120&amp;START_MAXIMIZED=FALSE&amp;creator=factset&amp;display_string=Audit"}</definedName>
    <definedName name="_2158__FDSAUDITLINK__" hidden="1">{"fdsup://Directions/FactSet Auditing Viewer?action=AUDIT_VALUE&amp;DB=129&amp;ID1=89674K10&amp;VALUEID=02001&amp;SDATE=200602&amp;PERIODTYPE=QTR_STD&amp;SCFT=3&amp;window=popup_no_bar&amp;width=385&amp;height=120&amp;START_MAXIMIZED=FALSE&amp;creator=factset&amp;display_string=Audit"}</definedName>
    <definedName name="_2159__FDSAUDITLINK__" localSheetId="7" hidden="1">{"fdsup://Directions/FactSet Auditing Viewer?action=AUDIT_VALUE&amp;DB=129&amp;ID1=83088M10&amp;VALUEID=02001&amp;SDATE=200603&amp;PERIODTYPE=QTR_STD&amp;SCFT=3&amp;window=popup_no_bar&amp;width=385&amp;height=120&amp;START_MAXIMIZED=FALSE&amp;creator=factset&amp;display_string=Audit"}</definedName>
    <definedName name="_2159__FDSAUDITLINK__" hidden="1">{"fdsup://Directions/FactSet Auditing Viewer?action=AUDIT_VALUE&amp;DB=129&amp;ID1=83088M10&amp;VALUEID=02001&amp;SDATE=200603&amp;PERIODTYPE=QTR_STD&amp;SCFT=3&amp;window=popup_no_bar&amp;width=385&amp;height=120&amp;START_MAXIMIZED=FALSE&amp;creator=factset&amp;display_string=Audit"}</definedName>
    <definedName name="_216__FDSAUDITLINK__" localSheetId="7" hidden="1">{"fdsup://Directions/FactSet Auditing Viewer?action=AUDIT_VALUE&amp;DB=129&amp;ID1=G5876H10&amp;VALUEID=02001&amp;SDATE=201004&amp;PERIODTYPE=QTR_STD&amp;SCFT=3&amp;window=popup_no_bar&amp;width=385&amp;height=120&amp;START_MAXIMIZED=FALSE&amp;creator=factset&amp;display_string=Audit"}</definedName>
    <definedName name="_216__FDSAUDITLINK__" hidden="1">{"fdsup://Directions/FactSet Auditing Viewer?action=AUDIT_VALUE&amp;DB=129&amp;ID1=G5876H10&amp;VALUEID=02001&amp;SDATE=201004&amp;PERIODTYPE=QTR_STD&amp;SCFT=3&amp;window=popup_no_bar&amp;width=385&amp;height=120&amp;START_MAXIMIZED=FALSE&amp;creator=factset&amp;display_string=Audit"}</definedName>
    <definedName name="_2160__FDSAUDITLINK__" localSheetId="7" hidden="1">{"fdsup://Directions/FactSet Auditing Viewer?action=AUDIT_VALUE&amp;DB=129&amp;ID1=83088M10&amp;VALUEID=02001&amp;SDATE=200603&amp;PERIODTYPE=QTR_STD&amp;SCFT=3&amp;window=popup_no_bar&amp;width=385&amp;height=120&amp;START_MAXIMIZED=FALSE&amp;creator=factset&amp;display_string=Audit"}</definedName>
    <definedName name="_2160__FDSAUDITLINK__" hidden="1">{"fdsup://Directions/FactSet Auditing Viewer?action=AUDIT_VALUE&amp;DB=129&amp;ID1=83088M10&amp;VALUEID=02001&amp;SDATE=200603&amp;PERIODTYPE=QTR_STD&amp;SCFT=3&amp;window=popup_no_bar&amp;width=385&amp;height=120&amp;START_MAXIMIZED=FALSE&amp;creator=factset&amp;display_string=Audit"}</definedName>
    <definedName name="_2161__FDSAUDITLINK__" localSheetId="7" hidden="1">{"fdsup://Directions/FactSet Auditing Viewer?action=AUDIT_VALUE&amp;DB=129&amp;ID1=78477410&amp;VALUEID=02001&amp;SDATE=200602&amp;PERIODTYPE=QTR_STD&amp;SCFT=3&amp;window=popup_no_bar&amp;width=385&amp;height=120&amp;START_MAXIMIZED=FALSE&amp;creator=factset&amp;display_string=Audit"}</definedName>
    <definedName name="_2161__FDSAUDITLINK__" hidden="1">{"fdsup://Directions/FactSet Auditing Viewer?action=AUDIT_VALUE&amp;DB=129&amp;ID1=78477410&amp;VALUEID=02001&amp;SDATE=200602&amp;PERIODTYPE=QTR_STD&amp;SCFT=3&amp;window=popup_no_bar&amp;width=385&amp;height=120&amp;START_MAXIMIZED=FALSE&amp;creator=factset&amp;display_string=Audit"}</definedName>
    <definedName name="_2162__FDSAUDITLINK__" localSheetId="7" hidden="1">{"fdsup://Directions/FactSet Auditing Viewer?action=AUDIT_VALUE&amp;DB=129&amp;ID1=78477410&amp;VALUEID=02001&amp;SDATE=200602&amp;PERIODTYPE=QTR_STD&amp;SCFT=3&amp;window=popup_no_bar&amp;width=385&amp;height=120&amp;START_MAXIMIZED=FALSE&amp;creator=factset&amp;display_string=Audit"}</definedName>
    <definedName name="_2162__FDSAUDITLINK__" hidden="1">{"fdsup://Directions/FactSet Auditing Viewer?action=AUDIT_VALUE&amp;DB=129&amp;ID1=78477410&amp;VALUEID=02001&amp;SDATE=200602&amp;PERIODTYPE=QTR_STD&amp;SCFT=3&amp;window=popup_no_bar&amp;width=385&amp;height=120&amp;START_MAXIMIZED=FALSE&amp;creator=factset&amp;display_string=Audit"}</definedName>
    <definedName name="_2163__FDSAUDITLINK__" localSheetId="7" hidden="1">{"fdsup://Directions/FactSet Auditing Viewer?action=AUDIT_VALUE&amp;DB=129&amp;ID1=82705710&amp;VALUEID=02001&amp;SDATE=200602&amp;PERIODTYPE=QTR_STD&amp;SCFT=3&amp;window=popup_no_bar&amp;width=385&amp;height=120&amp;START_MAXIMIZED=FALSE&amp;creator=factset&amp;display_string=Audit"}</definedName>
    <definedName name="_2163__FDSAUDITLINK__" hidden="1">{"fdsup://Directions/FactSet Auditing Viewer?action=AUDIT_VALUE&amp;DB=129&amp;ID1=82705710&amp;VALUEID=02001&amp;SDATE=200602&amp;PERIODTYPE=QTR_STD&amp;SCFT=3&amp;window=popup_no_bar&amp;width=385&amp;height=120&amp;START_MAXIMIZED=FALSE&amp;creator=factset&amp;display_string=Audit"}</definedName>
    <definedName name="_2164__FDSAUDITLINK__" localSheetId="7" hidden="1">{"fdsup://Directions/FactSet Auditing Viewer?action=AUDIT_VALUE&amp;DB=129&amp;ID1=82705710&amp;VALUEID=02001&amp;SDATE=200602&amp;PERIODTYPE=QTR_STD&amp;SCFT=3&amp;window=popup_no_bar&amp;width=385&amp;height=120&amp;START_MAXIMIZED=FALSE&amp;creator=factset&amp;display_string=Audit"}</definedName>
    <definedName name="_2164__FDSAUDITLINK__" hidden="1">{"fdsup://Directions/FactSet Auditing Viewer?action=AUDIT_VALUE&amp;DB=129&amp;ID1=82705710&amp;VALUEID=02001&amp;SDATE=200602&amp;PERIODTYPE=QTR_STD&amp;SCFT=3&amp;window=popup_no_bar&amp;width=385&amp;height=120&amp;START_MAXIMIZED=FALSE&amp;creator=factset&amp;display_string=Audit"}</definedName>
    <definedName name="_2165__FDSAUDITLINK__" localSheetId="7" hidden="1">{"fdsup://Directions/FactSet Auditing Viewer?action=AUDIT_VALUE&amp;DB=129&amp;ID1=83547010&amp;VALUEID=02001&amp;SDATE=200602&amp;PERIODTYPE=QTR_STD&amp;SCFT=3&amp;window=popup_no_bar&amp;width=385&amp;height=120&amp;START_MAXIMIZED=FALSE&amp;creator=factset&amp;display_string=Audit"}</definedName>
    <definedName name="_2165__FDSAUDITLINK__" hidden="1">{"fdsup://Directions/FactSet Auditing Viewer?action=AUDIT_VALUE&amp;DB=129&amp;ID1=83547010&amp;VALUEID=02001&amp;SDATE=200602&amp;PERIODTYPE=QTR_STD&amp;SCFT=3&amp;window=popup_no_bar&amp;width=385&amp;height=120&amp;START_MAXIMIZED=FALSE&amp;creator=factset&amp;display_string=Audit"}</definedName>
    <definedName name="_2166__FDSAUDITLINK__" localSheetId="7" hidden="1">{"fdsup://Directions/FactSet Auditing Viewer?action=AUDIT_VALUE&amp;DB=129&amp;ID1=83547010&amp;VALUEID=02001&amp;SDATE=200602&amp;PERIODTYPE=QTR_STD&amp;SCFT=3&amp;window=popup_no_bar&amp;width=385&amp;height=120&amp;START_MAXIMIZED=FALSE&amp;creator=factset&amp;display_string=Audit"}</definedName>
    <definedName name="_2166__FDSAUDITLINK__" hidden="1">{"fdsup://Directions/FactSet Auditing Viewer?action=AUDIT_VALUE&amp;DB=129&amp;ID1=83547010&amp;VALUEID=02001&amp;SDATE=200602&amp;PERIODTYPE=QTR_STD&amp;SCFT=3&amp;window=popup_no_bar&amp;width=385&amp;height=120&amp;START_MAXIMIZED=FALSE&amp;creator=factset&amp;display_string=Audit"}</definedName>
    <definedName name="_2167__FDSAUDITLINK__" localSheetId="7" hidden="1">{"fdsup://Directions/FactSet Auditing Viewer?action=AUDIT_VALUE&amp;DB=129&amp;ID1=87160710&amp;VALUEID=02001&amp;SDATE=200603&amp;PERIODTYPE=QTR_STD&amp;SCFT=3&amp;window=popup_no_bar&amp;width=385&amp;height=120&amp;START_MAXIMIZED=FALSE&amp;creator=factset&amp;display_string=Audit"}</definedName>
    <definedName name="_2167__FDSAUDITLINK__" hidden="1">{"fdsup://Directions/FactSet Auditing Viewer?action=AUDIT_VALUE&amp;DB=129&amp;ID1=87160710&amp;VALUEID=02001&amp;SDATE=200603&amp;PERIODTYPE=QTR_STD&amp;SCFT=3&amp;window=popup_no_bar&amp;width=385&amp;height=120&amp;START_MAXIMIZED=FALSE&amp;creator=factset&amp;display_string=Audit"}</definedName>
    <definedName name="_2168__FDSAUDITLINK__" localSheetId="7" hidden="1">{"fdsup://Directions/FactSet Auditing Viewer?action=AUDIT_VALUE&amp;DB=129&amp;ID1=87160710&amp;VALUEID=02001&amp;SDATE=200603&amp;PERIODTYPE=QTR_STD&amp;SCFT=3&amp;window=popup_no_bar&amp;width=385&amp;height=120&amp;START_MAXIMIZED=FALSE&amp;creator=factset&amp;display_string=Audit"}</definedName>
    <definedName name="_2168__FDSAUDITLINK__" hidden="1">{"fdsup://Directions/FactSet Auditing Viewer?action=AUDIT_VALUE&amp;DB=129&amp;ID1=87160710&amp;VALUEID=02001&amp;SDATE=200603&amp;PERIODTYPE=QTR_STD&amp;SCFT=3&amp;window=popup_no_bar&amp;width=385&amp;height=120&amp;START_MAXIMIZED=FALSE&amp;creator=factset&amp;display_string=Audit"}</definedName>
    <definedName name="_2169__FDSAUDITLINK__" localSheetId="7" hidden="1">{"fdsup://Directions/FactSet Auditing Viewer?action=AUDIT_VALUE&amp;DB=129&amp;ID1=80004C10&amp;VALUEID=02001&amp;SDATE=200602&amp;PERIODTYPE=QTR_STD&amp;SCFT=3&amp;window=popup_no_bar&amp;width=385&amp;height=120&amp;START_MAXIMIZED=FALSE&amp;creator=factset&amp;display_string=Audit"}</definedName>
    <definedName name="_2169__FDSAUDITLINK__" hidden="1">{"fdsup://Directions/FactSet Auditing Viewer?action=AUDIT_VALUE&amp;DB=129&amp;ID1=80004C10&amp;VALUEID=02001&amp;SDATE=200602&amp;PERIODTYPE=QTR_STD&amp;SCFT=3&amp;window=popup_no_bar&amp;width=385&amp;height=120&amp;START_MAXIMIZED=FALSE&amp;creator=factset&amp;display_string=Audit"}</definedName>
    <definedName name="_217__FDSAUDITLINK__" localSheetId="7" hidden="1">{"fdsup://Directions/FactSet Auditing Viewer?action=AUDIT_VALUE&amp;DB=129&amp;ID1=62007630&amp;VALUEID=02001&amp;SDATE=201004&amp;PERIODTYPE=QTR_STD&amp;SCFT=3&amp;window=popup_no_bar&amp;width=385&amp;height=120&amp;START_MAXIMIZED=FALSE&amp;creator=factset&amp;display_string=Audit"}</definedName>
    <definedName name="_217__FDSAUDITLINK__" hidden="1">{"fdsup://Directions/FactSet Auditing Viewer?action=AUDIT_VALUE&amp;DB=129&amp;ID1=62007630&amp;VALUEID=02001&amp;SDATE=201004&amp;PERIODTYPE=QTR_STD&amp;SCFT=3&amp;window=popup_no_bar&amp;width=385&amp;height=120&amp;START_MAXIMIZED=FALSE&amp;creator=factset&amp;display_string=Audit"}</definedName>
    <definedName name="_2170__FDSAUDITLINK__" localSheetId="7" hidden="1">{"fdsup://Directions/FactSet Auditing Viewer?action=AUDIT_VALUE&amp;DB=129&amp;ID1=80004C10&amp;VALUEID=02001&amp;SDATE=200602&amp;PERIODTYPE=QTR_STD&amp;SCFT=3&amp;window=popup_no_bar&amp;width=385&amp;height=120&amp;START_MAXIMIZED=FALSE&amp;creator=factset&amp;display_string=Audit"}</definedName>
    <definedName name="_2170__FDSAUDITLINK__" hidden="1">{"fdsup://Directions/FactSet Auditing Viewer?action=AUDIT_VALUE&amp;DB=129&amp;ID1=80004C10&amp;VALUEID=02001&amp;SDATE=200602&amp;PERIODTYPE=QTR_STD&amp;SCFT=3&amp;window=popup_no_bar&amp;width=385&amp;height=120&amp;START_MAXIMIZED=FALSE&amp;creator=factset&amp;display_string=Audit"}</definedName>
    <definedName name="_2171__FDSAUDITLINK__" localSheetId="7" hidden="1">{"fdsup://Directions/FactSet Auditing Viewer?action=AUDIT_VALUE&amp;DB=129&amp;ID1=81685010&amp;VALUEID=02001&amp;SDATE=200602&amp;PERIODTYPE=QTR_STD&amp;SCFT=3&amp;window=popup_no_bar&amp;width=385&amp;height=120&amp;START_MAXIMIZED=FALSE&amp;creator=factset&amp;display_string=Audit"}</definedName>
    <definedName name="_2171__FDSAUDITLINK__" hidden="1">{"fdsup://Directions/FactSet Auditing Viewer?action=AUDIT_VALUE&amp;DB=129&amp;ID1=81685010&amp;VALUEID=02001&amp;SDATE=200602&amp;PERIODTYPE=QTR_STD&amp;SCFT=3&amp;window=popup_no_bar&amp;width=385&amp;height=120&amp;START_MAXIMIZED=FALSE&amp;creator=factset&amp;display_string=Audit"}</definedName>
    <definedName name="_2172__FDSAUDITLINK__" localSheetId="7" hidden="1">{"fdsup://Directions/FactSet Auditing Viewer?action=AUDIT_VALUE&amp;DB=129&amp;ID1=81685010&amp;VALUEID=02001&amp;SDATE=200602&amp;PERIODTYPE=QTR_STD&amp;SCFT=3&amp;window=popup_no_bar&amp;width=385&amp;height=120&amp;START_MAXIMIZED=FALSE&amp;creator=factset&amp;display_string=Audit"}</definedName>
    <definedName name="_2172__FDSAUDITLINK__" hidden="1">{"fdsup://Directions/FactSet Auditing Viewer?action=AUDIT_VALUE&amp;DB=129&amp;ID1=81685010&amp;VALUEID=02001&amp;SDATE=200602&amp;PERIODTYPE=QTR_STD&amp;SCFT=3&amp;window=popup_no_bar&amp;width=385&amp;height=120&amp;START_MAXIMIZED=FALSE&amp;creator=factset&amp;display_string=Audit"}</definedName>
    <definedName name="_2173__FDSAUDITLINK__" localSheetId="7" hidden="1">{"fdsup://Directions/FactSet Auditing Viewer?action=AUDIT_VALUE&amp;DB=129&amp;ID1=82691910&amp;VALUEID=02001&amp;SDATE=200602&amp;PERIODTYPE=QTR_STD&amp;SCFT=3&amp;window=popup_no_bar&amp;width=385&amp;height=120&amp;START_MAXIMIZED=FALSE&amp;creator=factset&amp;display_string=Audit"}</definedName>
    <definedName name="_2173__FDSAUDITLINK__" hidden="1">{"fdsup://Directions/FactSet Auditing Viewer?action=AUDIT_VALUE&amp;DB=129&amp;ID1=82691910&amp;VALUEID=02001&amp;SDATE=200602&amp;PERIODTYPE=QTR_STD&amp;SCFT=3&amp;window=popup_no_bar&amp;width=385&amp;height=120&amp;START_MAXIMIZED=FALSE&amp;creator=factset&amp;display_string=Audit"}</definedName>
    <definedName name="_2174__FDSAUDITLINK__" localSheetId="7" hidden="1">{"fdsup://Directions/FactSet Auditing Viewer?action=AUDIT_VALUE&amp;DB=129&amp;ID1=82691910&amp;VALUEID=02001&amp;SDATE=200602&amp;PERIODTYPE=QTR_STD&amp;SCFT=3&amp;window=popup_no_bar&amp;width=385&amp;height=120&amp;START_MAXIMIZED=FALSE&amp;creator=factset&amp;display_string=Audit"}</definedName>
    <definedName name="_2174__FDSAUDITLINK__" hidden="1">{"fdsup://Directions/FactSet Auditing Viewer?action=AUDIT_VALUE&amp;DB=129&amp;ID1=82691910&amp;VALUEID=02001&amp;SDATE=200602&amp;PERIODTYPE=QTR_STD&amp;SCFT=3&amp;window=popup_no_bar&amp;width=385&amp;height=120&amp;START_MAXIMIZED=FALSE&amp;creator=factset&amp;display_string=Audit"}</definedName>
    <definedName name="_2175__FDSAUDITLINK__" localSheetId="7" hidden="1">{"fdsup://Directions/FactSet Auditing Viewer?action=AUDIT_VALUE&amp;DB=129&amp;ID1=82705T10&amp;VALUEID=02001&amp;SDATE=200602&amp;PERIODTYPE=QTR_STD&amp;SCFT=3&amp;window=popup_no_bar&amp;width=385&amp;height=120&amp;START_MAXIMIZED=FALSE&amp;creator=factset&amp;display_string=Audit"}</definedName>
    <definedName name="_2175__FDSAUDITLINK__" hidden="1">{"fdsup://Directions/FactSet Auditing Viewer?action=AUDIT_VALUE&amp;DB=129&amp;ID1=82705T10&amp;VALUEID=02001&amp;SDATE=200602&amp;PERIODTYPE=QTR_STD&amp;SCFT=3&amp;window=popup_no_bar&amp;width=385&amp;height=120&amp;START_MAXIMIZED=FALSE&amp;creator=factset&amp;display_string=Audit"}</definedName>
    <definedName name="_2176__FDSAUDITLINK__" localSheetId="7" hidden="1">{"fdsup://Directions/FactSet Auditing Viewer?action=AUDIT_VALUE&amp;DB=129&amp;ID1=82705T10&amp;VALUEID=02001&amp;SDATE=200602&amp;PERIODTYPE=QTR_STD&amp;SCFT=3&amp;window=popup_no_bar&amp;width=385&amp;height=120&amp;START_MAXIMIZED=FALSE&amp;creator=factset&amp;display_string=Audit"}</definedName>
    <definedName name="_2176__FDSAUDITLINK__" hidden="1">{"fdsup://Directions/FactSet Auditing Viewer?action=AUDIT_VALUE&amp;DB=129&amp;ID1=82705T10&amp;VALUEID=02001&amp;SDATE=200602&amp;PERIODTYPE=QTR_STD&amp;SCFT=3&amp;window=popup_no_bar&amp;width=385&amp;height=120&amp;START_MAXIMIZED=FALSE&amp;creator=factset&amp;display_string=Audit"}</definedName>
    <definedName name="_2177__FDSAUDITLINK__" localSheetId="7" hidden="1">{"fdsup://Directions/FactSet Auditing Viewer?action=AUDIT_VALUE&amp;DB=129&amp;ID1=75091710&amp;VALUEID=02001&amp;SDATE=200602&amp;PERIODTYPE=QTR_STD&amp;SCFT=3&amp;window=popup_no_bar&amp;width=385&amp;height=120&amp;START_MAXIMIZED=FALSE&amp;creator=factset&amp;display_string=Audit"}</definedName>
    <definedName name="_2177__FDSAUDITLINK__" hidden="1">{"fdsup://Directions/FactSet Auditing Viewer?action=AUDIT_VALUE&amp;DB=129&amp;ID1=75091710&amp;VALUEID=02001&amp;SDATE=200602&amp;PERIODTYPE=QTR_STD&amp;SCFT=3&amp;window=popup_no_bar&amp;width=385&amp;height=120&amp;START_MAXIMIZED=FALSE&amp;creator=factset&amp;display_string=Audit"}</definedName>
    <definedName name="_2178__FDSAUDITLINK__" localSheetId="7" hidden="1">{"fdsup://Directions/FactSet Auditing Viewer?action=AUDIT_VALUE&amp;DB=129&amp;ID1=75091710&amp;VALUEID=02001&amp;SDATE=200602&amp;PERIODTYPE=QTR_STD&amp;SCFT=3&amp;window=popup_no_bar&amp;width=385&amp;height=120&amp;START_MAXIMIZED=FALSE&amp;creator=factset&amp;display_string=Audit"}</definedName>
    <definedName name="_2178__FDSAUDITLINK__" hidden="1">{"fdsup://Directions/FactSet Auditing Viewer?action=AUDIT_VALUE&amp;DB=129&amp;ID1=75091710&amp;VALUEID=02001&amp;SDATE=200602&amp;PERIODTYPE=QTR_STD&amp;SCFT=3&amp;window=popup_no_bar&amp;width=385&amp;height=120&amp;START_MAXIMIZED=FALSE&amp;creator=factset&amp;display_string=Audit"}</definedName>
    <definedName name="_2179__FDSAUDITLINK__" localSheetId="7" hidden="1">{"fdsup://Directions/FactSet Auditing Viewer?action=AUDIT_VALUE&amp;DB=129&amp;ID1=74994110&amp;VALUEID=02001&amp;SDATE=200601&amp;PERIODTYPE=QTR_STD&amp;SCFT=3&amp;window=popup_no_bar&amp;width=385&amp;height=120&amp;START_MAXIMIZED=FALSE&amp;creator=factset&amp;display_string=Audit"}</definedName>
    <definedName name="_2179__FDSAUDITLINK__" hidden="1">{"fdsup://Directions/FactSet Auditing Viewer?action=AUDIT_VALUE&amp;DB=129&amp;ID1=74994110&amp;VALUEID=02001&amp;SDATE=200601&amp;PERIODTYPE=QTR_STD&amp;SCFT=3&amp;window=popup_no_bar&amp;width=385&amp;height=120&amp;START_MAXIMIZED=FALSE&amp;creator=factset&amp;display_string=Audit"}</definedName>
    <definedName name="_218__FDSAUDITLINK__" localSheetId="7" hidden="1">{"fdsup://Directions/FactSet Auditing Viewer?action=AUDIT_VALUE&amp;DB=129&amp;ID1=62007630&amp;VALUEID=02001&amp;SDATE=201004&amp;PERIODTYPE=QTR_STD&amp;SCFT=3&amp;window=popup_no_bar&amp;width=385&amp;height=120&amp;START_MAXIMIZED=FALSE&amp;creator=factset&amp;display_string=Audit"}</definedName>
    <definedName name="_218__FDSAUDITLINK__" hidden="1">{"fdsup://Directions/FactSet Auditing Viewer?action=AUDIT_VALUE&amp;DB=129&amp;ID1=62007630&amp;VALUEID=02001&amp;SDATE=201004&amp;PERIODTYPE=QTR_STD&amp;SCFT=3&amp;window=popup_no_bar&amp;width=385&amp;height=120&amp;START_MAXIMIZED=FALSE&amp;creator=factset&amp;display_string=Audit"}</definedName>
    <definedName name="_2180__FDSAUDITLINK__" localSheetId="7" hidden="1">{"fdsup://Directions/FactSet Auditing Viewer?action=AUDIT_VALUE&amp;DB=129&amp;ID1=74994110&amp;VALUEID=02001&amp;SDATE=200601&amp;PERIODTYPE=QTR_STD&amp;SCFT=3&amp;window=popup_no_bar&amp;width=385&amp;height=120&amp;START_MAXIMIZED=FALSE&amp;creator=factset&amp;display_string=Audit"}</definedName>
    <definedName name="_2180__FDSAUDITLINK__" hidden="1">{"fdsup://Directions/FactSet Auditing Viewer?action=AUDIT_VALUE&amp;DB=129&amp;ID1=74994110&amp;VALUEID=02001&amp;SDATE=200601&amp;PERIODTYPE=QTR_STD&amp;SCFT=3&amp;window=popup_no_bar&amp;width=385&amp;height=120&amp;START_MAXIMIZED=FALSE&amp;creator=factset&amp;display_string=Audit"}</definedName>
    <definedName name="_2181__FDSAUDITLINK__" localSheetId="7" hidden="1">{"fdsup://Directions/FactSet Auditing Viewer?action=AUDIT_VALUE&amp;DB=129&amp;ID1=74727710&amp;VALUEID=02001&amp;SDATE=200601&amp;PERIODTYPE=QTR_STD&amp;SCFT=3&amp;window=popup_no_bar&amp;width=385&amp;height=120&amp;START_MAXIMIZED=FALSE&amp;creator=factset&amp;display_string=Audit"}</definedName>
    <definedName name="_2181__FDSAUDITLINK__" hidden="1">{"fdsup://Directions/FactSet Auditing Viewer?action=AUDIT_VALUE&amp;DB=129&amp;ID1=74727710&amp;VALUEID=02001&amp;SDATE=200601&amp;PERIODTYPE=QTR_STD&amp;SCFT=3&amp;window=popup_no_bar&amp;width=385&amp;height=120&amp;START_MAXIMIZED=FALSE&amp;creator=factset&amp;display_string=Audit"}</definedName>
    <definedName name="_2182__FDSAUDITLINK__" localSheetId="7" hidden="1">{"fdsup://Directions/FactSet Auditing Viewer?action=AUDIT_VALUE&amp;DB=129&amp;ID1=74727710&amp;VALUEID=02001&amp;SDATE=200601&amp;PERIODTYPE=QTR_STD&amp;SCFT=3&amp;window=popup_no_bar&amp;width=385&amp;height=120&amp;START_MAXIMIZED=FALSE&amp;creator=factset&amp;display_string=Audit"}</definedName>
    <definedName name="_2182__FDSAUDITLINK__" hidden="1">{"fdsup://Directions/FactSet Auditing Viewer?action=AUDIT_VALUE&amp;DB=129&amp;ID1=74727710&amp;VALUEID=02001&amp;SDATE=200601&amp;PERIODTYPE=QTR_STD&amp;SCFT=3&amp;window=popup_no_bar&amp;width=385&amp;height=120&amp;START_MAXIMIZED=FALSE&amp;creator=factset&amp;display_string=Audit"}</definedName>
    <definedName name="_2183__FDSAUDITLINK__" localSheetId="7" hidden="1">{"fdsup://Directions/FactSet Auditing Viewer?action=AUDIT_VALUE&amp;DB=129&amp;ID1=74752510&amp;VALUEID=02001&amp;SDATE=200603&amp;PERIODTYPE=QTR_STD&amp;SCFT=3&amp;window=popup_no_bar&amp;width=385&amp;height=120&amp;START_MAXIMIZED=FALSE&amp;creator=factset&amp;display_string=Audit"}</definedName>
    <definedName name="_2183__FDSAUDITLINK__" hidden="1">{"fdsup://Directions/FactSet Auditing Viewer?action=AUDIT_VALUE&amp;DB=129&amp;ID1=74752510&amp;VALUEID=02001&amp;SDATE=200603&amp;PERIODTYPE=QTR_STD&amp;SCFT=3&amp;window=popup_no_bar&amp;width=385&amp;height=120&amp;START_MAXIMIZED=FALSE&amp;creator=factset&amp;display_string=Audit"}</definedName>
    <definedName name="_2184__FDSAUDITLINK__" localSheetId="7" hidden="1">{"fdsup://Directions/FactSet Auditing Viewer?action=AUDIT_VALUE&amp;DB=129&amp;ID1=74752510&amp;VALUEID=02001&amp;SDATE=200603&amp;PERIODTYPE=QTR_STD&amp;SCFT=3&amp;window=popup_no_bar&amp;width=385&amp;height=120&amp;START_MAXIMIZED=FALSE&amp;creator=factset&amp;display_string=Audit"}</definedName>
    <definedName name="_2184__FDSAUDITLINK__" hidden="1">{"fdsup://Directions/FactSet Auditing Viewer?action=AUDIT_VALUE&amp;DB=129&amp;ID1=74752510&amp;VALUEID=02001&amp;SDATE=200603&amp;PERIODTYPE=QTR_STD&amp;SCFT=3&amp;window=popup_no_bar&amp;width=385&amp;height=120&amp;START_MAXIMIZED=FALSE&amp;creator=factset&amp;display_string=Audit"}</definedName>
    <definedName name="_2185__FDSAUDITLINK__" localSheetId="7" hidden="1">{"fdsup://Directions/FactSet Auditing Viewer?action=AUDIT_VALUE&amp;DB=129&amp;ID1=72581M30&amp;VALUEID=02001&amp;SDATE=200602&amp;PERIODTYPE=QTR_STD&amp;SCFT=3&amp;window=popup_no_bar&amp;width=385&amp;height=120&amp;START_MAXIMIZED=FALSE&amp;creator=factset&amp;display_string=Audit"}</definedName>
    <definedName name="_2185__FDSAUDITLINK__" hidden="1">{"fdsup://Directions/FactSet Auditing Viewer?action=AUDIT_VALUE&amp;DB=129&amp;ID1=72581M30&amp;VALUEID=02001&amp;SDATE=200602&amp;PERIODTYPE=QTR_STD&amp;SCFT=3&amp;window=popup_no_bar&amp;width=385&amp;height=120&amp;START_MAXIMIZED=FALSE&amp;creator=factset&amp;display_string=Audit"}</definedName>
    <definedName name="_2186__FDSAUDITLINK__" localSheetId="7" hidden="1">{"fdsup://Directions/FactSet Auditing Viewer?action=AUDIT_VALUE&amp;DB=129&amp;ID1=72581M30&amp;VALUEID=02001&amp;SDATE=200602&amp;PERIODTYPE=QTR_STD&amp;SCFT=3&amp;window=popup_no_bar&amp;width=385&amp;height=120&amp;START_MAXIMIZED=FALSE&amp;creator=factset&amp;display_string=Audit"}</definedName>
    <definedName name="_2186__FDSAUDITLINK__" hidden="1">{"fdsup://Directions/FactSet Auditing Viewer?action=AUDIT_VALUE&amp;DB=129&amp;ID1=72581M30&amp;VALUEID=02001&amp;SDATE=200602&amp;PERIODTYPE=QTR_STD&amp;SCFT=3&amp;window=popup_no_bar&amp;width=385&amp;height=120&amp;START_MAXIMIZED=FALSE&amp;creator=factset&amp;display_string=Audit"}</definedName>
    <definedName name="_2187__FDSAUDITLINK__" localSheetId="7" hidden="1">{"fdsup://Directions/FactSet Auditing Viewer?action=AUDIT_VALUE&amp;DB=129&amp;ID1=73927610&amp;VALUEID=02001&amp;SDATE=200602&amp;PERIODTYPE=QTR_STD&amp;SCFT=3&amp;window=popup_no_bar&amp;width=385&amp;height=120&amp;START_MAXIMIZED=FALSE&amp;creator=factset&amp;display_string=Audit"}</definedName>
    <definedName name="_2187__FDSAUDITLINK__" hidden="1">{"fdsup://Directions/FactSet Auditing Viewer?action=AUDIT_VALUE&amp;DB=129&amp;ID1=73927610&amp;VALUEID=02001&amp;SDATE=200602&amp;PERIODTYPE=QTR_STD&amp;SCFT=3&amp;window=popup_no_bar&amp;width=385&amp;height=120&amp;START_MAXIMIZED=FALSE&amp;creator=factset&amp;display_string=Audit"}</definedName>
    <definedName name="_2188__FDSAUDITLINK__" localSheetId="7" hidden="1">{"fdsup://Directions/FactSet Auditing Viewer?action=AUDIT_VALUE&amp;DB=129&amp;ID1=73927610&amp;VALUEID=02001&amp;SDATE=200602&amp;PERIODTYPE=QTR_STD&amp;SCFT=3&amp;window=popup_no_bar&amp;width=385&amp;height=120&amp;START_MAXIMIZED=FALSE&amp;creator=factset&amp;display_string=Audit"}</definedName>
    <definedName name="_2188__FDSAUDITLINK__" hidden="1">{"fdsup://Directions/FactSet Auditing Viewer?action=AUDIT_VALUE&amp;DB=129&amp;ID1=73927610&amp;VALUEID=02001&amp;SDATE=200602&amp;PERIODTYPE=QTR_STD&amp;SCFT=3&amp;window=popup_no_bar&amp;width=385&amp;height=120&amp;START_MAXIMIZED=FALSE&amp;creator=factset&amp;display_string=Audit"}</definedName>
    <definedName name="_2189__FDSAUDITLINK__" localSheetId="7" hidden="1">{"fdsup://Directions/FactSet Auditing Viewer?action=AUDIT_VALUE&amp;DB=129&amp;ID1=69344F10&amp;VALUEID=02001&amp;SDATE=200602&amp;PERIODTYPE=QTR_STD&amp;SCFT=3&amp;window=popup_no_bar&amp;width=385&amp;height=120&amp;START_MAXIMIZED=FALSE&amp;creator=factset&amp;display_string=Audit"}</definedName>
    <definedName name="_2189__FDSAUDITLINK__" hidden="1">{"fdsup://Directions/FactSet Auditing Viewer?action=AUDIT_VALUE&amp;DB=129&amp;ID1=69344F10&amp;VALUEID=02001&amp;SDATE=200602&amp;PERIODTYPE=QTR_STD&amp;SCFT=3&amp;window=popup_no_bar&amp;width=385&amp;height=120&amp;START_MAXIMIZED=FALSE&amp;creator=factset&amp;display_string=Audit"}</definedName>
    <definedName name="_219__FDSAUDITLINK__" localSheetId="7" hidden="1">{"fdsup://Directions/FactSet Auditing Viewer?action=AUDIT_VALUE&amp;DB=129&amp;ID1=60456710&amp;VALUEID=02001&amp;SDATE=201102&amp;PERIODTYPE=QTR_STD&amp;SCFT=3&amp;window=popup_no_bar&amp;width=385&amp;height=120&amp;START_MAXIMIZED=FALSE&amp;creator=factset&amp;display_string=Audit"}</definedName>
    <definedName name="_219__FDSAUDITLINK__" hidden="1">{"fdsup://Directions/FactSet Auditing Viewer?action=AUDIT_VALUE&amp;DB=129&amp;ID1=60456710&amp;VALUEID=02001&amp;SDATE=201102&amp;PERIODTYPE=QTR_STD&amp;SCFT=3&amp;window=popup_no_bar&amp;width=385&amp;height=120&amp;START_MAXIMIZED=FALSE&amp;creator=factset&amp;display_string=Audit"}</definedName>
    <definedName name="_2190__FDSAUDITLINK__" localSheetId="7" hidden="1">{"fdsup://Directions/FactSet Auditing Viewer?action=AUDIT_VALUE&amp;DB=129&amp;ID1=69344F10&amp;VALUEID=02001&amp;SDATE=200602&amp;PERIODTYPE=QTR_STD&amp;SCFT=3&amp;window=popup_no_bar&amp;width=385&amp;height=120&amp;START_MAXIMIZED=FALSE&amp;creator=factset&amp;display_string=Audit"}</definedName>
    <definedName name="_2190__FDSAUDITLINK__" hidden="1">{"fdsup://Directions/FactSet Auditing Viewer?action=AUDIT_VALUE&amp;DB=129&amp;ID1=69344F10&amp;VALUEID=02001&amp;SDATE=200602&amp;PERIODTYPE=QTR_STD&amp;SCFT=3&amp;window=popup_no_bar&amp;width=385&amp;height=120&amp;START_MAXIMIZED=FALSE&amp;creator=factset&amp;display_string=Audit"}</definedName>
    <definedName name="_2191__FDSAUDITLINK__" localSheetId="7" hidden="1">{"fdsup://Directions/FactSet Auditing Viewer?action=AUDIT_VALUE&amp;DB=129&amp;ID1=69341710&amp;VALUEID=02001&amp;SDATE=200602&amp;PERIODTYPE=QTR_STD&amp;SCFT=3&amp;window=popup_no_bar&amp;width=385&amp;height=120&amp;START_MAXIMIZED=FALSE&amp;creator=factset&amp;display_string=Audit"}</definedName>
    <definedName name="_2191__FDSAUDITLINK__" hidden="1">{"fdsup://Directions/FactSet Auditing Viewer?action=AUDIT_VALUE&amp;DB=129&amp;ID1=69341710&amp;VALUEID=02001&amp;SDATE=200602&amp;PERIODTYPE=QTR_STD&amp;SCFT=3&amp;window=popup_no_bar&amp;width=385&amp;height=120&amp;START_MAXIMIZED=FALSE&amp;creator=factset&amp;display_string=Audit"}</definedName>
    <definedName name="_2192__FDSAUDITLINK__" localSheetId="7" hidden="1">{"fdsup://Directions/FactSet Auditing Viewer?action=AUDIT_VALUE&amp;DB=129&amp;ID1=69341710&amp;VALUEID=02001&amp;SDATE=200602&amp;PERIODTYPE=QTR_STD&amp;SCFT=3&amp;window=popup_no_bar&amp;width=385&amp;height=120&amp;START_MAXIMIZED=FALSE&amp;creator=factset&amp;display_string=Audit"}</definedName>
    <definedName name="_2192__FDSAUDITLINK__" hidden="1">{"fdsup://Directions/FactSet Auditing Viewer?action=AUDIT_VALUE&amp;DB=129&amp;ID1=69341710&amp;VALUEID=02001&amp;SDATE=200602&amp;PERIODTYPE=QTR_STD&amp;SCFT=3&amp;window=popup_no_bar&amp;width=385&amp;height=120&amp;START_MAXIMIZED=FALSE&amp;creator=factset&amp;display_string=Audit"}</definedName>
    <definedName name="_2193__FDSAUDITLINK__" localSheetId="7" hidden="1">{"fdsup://Directions/FactSet Auditing Viewer?action=AUDIT_VALUE&amp;DB=129&amp;ID1=68218910&amp;VALUEID=02001&amp;SDATE=200602&amp;PERIODTYPE=QTR_STD&amp;SCFT=3&amp;window=popup_no_bar&amp;width=385&amp;height=120&amp;START_MAXIMIZED=FALSE&amp;creator=factset&amp;display_string=Audit"}</definedName>
    <definedName name="_2193__FDSAUDITLINK__" hidden="1">{"fdsup://Directions/FactSet Auditing Viewer?action=AUDIT_VALUE&amp;DB=129&amp;ID1=68218910&amp;VALUEID=02001&amp;SDATE=200602&amp;PERIODTYPE=QTR_STD&amp;SCFT=3&amp;window=popup_no_bar&amp;width=385&amp;height=120&amp;START_MAXIMIZED=FALSE&amp;creator=factset&amp;display_string=Audit"}</definedName>
    <definedName name="_2194__FDSAUDITLINK__" localSheetId="7" hidden="1">{"fdsup://Directions/FactSet Auditing Viewer?action=AUDIT_VALUE&amp;DB=129&amp;ID1=68218910&amp;VALUEID=02001&amp;SDATE=200602&amp;PERIODTYPE=QTR_STD&amp;SCFT=3&amp;window=popup_no_bar&amp;width=385&amp;height=120&amp;START_MAXIMIZED=FALSE&amp;creator=factset&amp;display_string=Audit"}</definedName>
    <definedName name="_2194__FDSAUDITLINK__" hidden="1">{"fdsup://Directions/FactSet Auditing Viewer?action=AUDIT_VALUE&amp;DB=129&amp;ID1=68218910&amp;VALUEID=02001&amp;SDATE=200602&amp;PERIODTYPE=QTR_STD&amp;SCFT=3&amp;window=popup_no_bar&amp;width=385&amp;height=120&amp;START_MAXIMIZED=FALSE&amp;creator=factset&amp;display_string=Audit"}</definedName>
    <definedName name="_2195__FDSAUDITLINK__" localSheetId="7" hidden="1">{"fdsup://Directions/FactSet Auditing Viewer?action=AUDIT_VALUE&amp;DB=129&amp;ID1=67000810&amp;VALUEID=02001&amp;SDATE=200602&amp;PERIODTYPE=QTR_STD&amp;SCFT=3&amp;window=popup_no_bar&amp;width=385&amp;height=120&amp;START_MAXIMIZED=FALSE&amp;creator=factset&amp;display_string=Audit"}</definedName>
    <definedName name="_2195__FDSAUDITLINK__" hidden="1">{"fdsup://Directions/FactSet Auditing Viewer?action=AUDIT_VALUE&amp;DB=129&amp;ID1=67000810&amp;VALUEID=02001&amp;SDATE=200602&amp;PERIODTYPE=QTR_STD&amp;SCFT=3&amp;window=popup_no_bar&amp;width=385&amp;height=120&amp;START_MAXIMIZED=FALSE&amp;creator=factset&amp;display_string=Audit"}</definedName>
    <definedName name="_2196__FDSAUDITLINK__" localSheetId="7" hidden="1">{"fdsup://Directions/FactSet Auditing Viewer?action=AUDIT_VALUE&amp;DB=129&amp;ID1=67000810&amp;VALUEID=02001&amp;SDATE=200602&amp;PERIODTYPE=QTR_STD&amp;SCFT=3&amp;window=popup_no_bar&amp;width=385&amp;height=120&amp;START_MAXIMIZED=FALSE&amp;creator=factset&amp;display_string=Audit"}</definedName>
    <definedName name="_2196__FDSAUDITLINK__" hidden="1">{"fdsup://Directions/FactSet Auditing Viewer?action=AUDIT_VALUE&amp;DB=129&amp;ID1=67000810&amp;VALUEID=02001&amp;SDATE=200602&amp;PERIODTYPE=QTR_STD&amp;SCFT=3&amp;window=popup_no_bar&amp;width=385&amp;height=120&amp;START_MAXIMIZED=FALSE&amp;creator=factset&amp;display_string=Audit"}</definedName>
    <definedName name="_2197__FDSAUDITLINK__" localSheetId="7" hidden="1">{"fdsup://Directions/FactSet Auditing Viewer?action=AUDIT_VALUE&amp;DB=129&amp;ID1=67066G10&amp;VALUEID=02001&amp;SDATE=200602&amp;PERIODTYPE=QTR_STD&amp;SCFT=3&amp;window=popup_no_bar&amp;width=385&amp;height=120&amp;START_MAXIMIZED=FALSE&amp;creator=factset&amp;display_string=Audit"}</definedName>
    <definedName name="_2197__FDSAUDITLINK__" hidden="1">{"fdsup://Directions/FactSet Auditing Viewer?action=AUDIT_VALUE&amp;DB=129&amp;ID1=67066G10&amp;VALUEID=02001&amp;SDATE=200602&amp;PERIODTYPE=QTR_STD&amp;SCFT=3&amp;window=popup_no_bar&amp;width=385&amp;height=120&amp;START_MAXIMIZED=FALSE&amp;creator=factset&amp;display_string=Audit"}</definedName>
    <definedName name="_2198__FDSAUDITLINK__" localSheetId="7" hidden="1">{"fdsup://Directions/FactSet Auditing Viewer?action=AUDIT_VALUE&amp;DB=129&amp;ID1=67066G10&amp;VALUEID=02001&amp;SDATE=200602&amp;PERIODTYPE=QTR_STD&amp;SCFT=3&amp;window=popup_no_bar&amp;width=385&amp;height=120&amp;START_MAXIMIZED=FALSE&amp;creator=factset&amp;display_string=Audit"}</definedName>
    <definedName name="_2198__FDSAUDITLINK__" hidden="1">{"fdsup://Directions/FactSet Auditing Viewer?action=AUDIT_VALUE&amp;DB=129&amp;ID1=67066G10&amp;VALUEID=02001&amp;SDATE=200602&amp;PERIODTYPE=QTR_STD&amp;SCFT=3&amp;window=popup_no_bar&amp;width=385&amp;height=120&amp;START_MAXIMIZED=FALSE&amp;creator=factset&amp;display_string=Audit"}</definedName>
    <definedName name="_2199__FDSAUDITLINK__" localSheetId="7" hidden="1">{"fdsup://Directions/FactSet Auditing Viewer?action=AUDIT_VALUE&amp;DB=129&amp;ID1=64118B10&amp;VALUEID=02001&amp;SDATE=200602&amp;PERIODTYPE=QTR_STD&amp;SCFT=3&amp;window=popup_no_bar&amp;width=385&amp;height=120&amp;START_MAXIMIZED=FALSE&amp;creator=factset&amp;display_string=Audit"}</definedName>
    <definedName name="_2199__FDSAUDITLINK__" hidden="1">{"fdsup://Directions/FactSet Auditing Viewer?action=AUDIT_VALUE&amp;DB=129&amp;ID1=64118B10&amp;VALUEID=02001&amp;SDATE=200602&amp;PERIODTYPE=QTR_STD&amp;SCFT=3&amp;window=popup_no_bar&amp;width=385&amp;height=120&amp;START_MAXIMIZED=FALSE&amp;creator=factset&amp;display_string=Audit"}</definedName>
    <definedName name="_22__FDSAUDITLINK__" localSheetId="7" hidden="1">{"fdsup://Directions/FactSet Auditing Viewer?action=AUDIT_VALUE&amp;DB=129&amp;ID1=G7945M10&amp;VALUEID=02001&amp;SDATE=201103&amp;PERIODTYPE=QTR_STD&amp;SCFT=3&amp;window=popup_no_bar&amp;width=385&amp;height=120&amp;START_MAXIMIZED=FALSE&amp;creator=factset&amp;display_string=Audit"}</definedName>
    <definedName name="_22__FDSAUDITLINK__" hidden="1">{"fdsup://Directions/FactSet Auditing Viewer?action=AUDIT_VALUE&amp;DB=129&amp;ID1=G7945M10&amp;VALUEID=02001&amp;SDATE=201103&amp;PERIODTYPE=QTR_STD&amp;SCFT=3&amp;window=popup_no_bar&amp;width=385&amp;height=120&amp;START_MAXIMIZED=FALSE&amp;creator=factset&amp;display_string=Audit"}</definedName>
    <definedName name="_220__FDSAUDITLINK__" localSheetId="7" hidden="1">{"fdsup://Directions/FactSet Auditing Viewer?action=AUDIT_VALUE&amp;DB=129&amp;ID1=60456710&amp;VALUEID=02001&amp;SDATE=201102&amp;PERIODTYPE=QTR_STD&amp;SCFT=3&amp;window=popup_no_bar&amp;width=385&amp;height=120&amp;START_MAXIMIZED=FALSE&amp;creator=factset&amp;display_string=Audit"}</definedName>
    <definedName name="_220__FDSAUDITLINK__" hidden="1">{"fdsup://Directions/FactSet Auditing Viewer?action=AUDIT_VALUE&amp;DB=129&amp;ID1=60456710&amp;VALUEID=02001&amp;SDATE=201102&amp;PERIODTYPE=QTR_STD&amp;SCFT=3&amp;window=popup_no_bar&amp;width=385&amp;height=120&amp;START_MAXIMIZED=FALSE&amp;creator=factset&amp;display_string=Audit"}</definedName>
    <definedName name="_2200__FDSAUDITLINK__" localSheetId="7" hidden="1">{"fdsup://Directions/FactSet Auditing Viewer?action=AUDIT_VALUE&amp;DB=129&amp;ID1=64118B10&amp;VALUEID=02001&amp;SDATE=200602&amp;PERIODTYPE=QTR_STD&amp;SCFT=3&amp;window=popup_no_bar&amp;width=385&amp;height=120&amp;START_MAXIMIZED=FALSE&amp;creator=factset&amp;display_string=Audit"}</definedName>
    <definedName name="_2200__FDSAUDITLINK__" hidden="1">{"fdsup://Directions/FactSet Auditing Viewer?action=AUDIT_VALUE&amp;DB=129&amp;ID1=64118B10&amp;VALUEID=02001&amp;SDATE=200602&amp;PERIODTYPE=QTR_STD&amp;SCFT=3&amp;window=popup_no_bar&amp;width=385&amp;height=120&amp;START_MAXIMIZED=FALSE&amp;creator=factset&amp;display_string=Audit"}</definedName>
    <definedName name="_2201__FDSAUDITLINK__" localSheetId="7" hidden="1">{"fdsup://Directions/FactSet Auditing Viewer?action=AUDIT_VALUE&amp;DB=129&amp;ID1=59511210&amp;VALUEID=02001&amp;SDATE=200603&amp;PERIODTYPE=QTR_STD&amp;SCFT=3&amp;window=popup_no_bar&amp;width=385&amp;height=120&amp;START_MAXIMIZED=FALSE&amp;creator=factset&amp;display_string=Audit"}</definedName>
    <definedName name="_2201__FDSAUDITLINK__" hidden="1">{"fdsup://Directions/FactSet Auditing Viewer?action=AUDIT_VALUE&amp;DB=129&amp;ID1=59511210&amp;VALUEID=02001&amp;SDATE=200603&amp;PERIODTYPE=QTR_STD&amp;SCFT=3&amp;window=popup_no_bar&amp;width=385&amp;height=120&amp;START_MAXIMIZED=FALSE&amp;creator=factset&amp;display_string=Audit"}</definedName>
    <definedName name="_2202__FDSAUDITLINK__" localSheetId="7" hidden="1">{"fdsup://Directions/FactSet Auditing Viewer?action=AUDIT_VALUE&amp;DB=129&amp;ID1=59511210&amp;VALUEID=02001&amp;SDATE=200603&amp;PERIODTYPE=QTR_STD&amp;SCFT=3&amp;window=popup_no_bar&amp;width=385&amp;height=120&amp;START_MAXIMIZED=FALSE&amp;creator=factset&amp;display_string=Audit"}</definedName>
    <definedName name="_2202__FDSAUDITLINK__" hidden="1">{"fdsup://Directions/FactSet Auditing Viewer?action=AUDIT_VALUE&amp;DB=129&amp;ID1=59511210&amp;VALUEID=02001&amp;SDATE=200603&amp;PERIODTYPE=QTR_STD&amp;SCFT=3&amp;window=popup_no_bar&amp;width=385&amp;height=120&amp;START_MAXIMIZED=FALSE&amp;creator=factset&amp;display_string=Audit"}</definedName>
    <definedName name="_2203__FDSAUDITLINK__" localSheetId="7" hidden="1">{"fdsup://Directions/FactSet Auditing Viewer?action=AUDIT_VALUE&amp;DB=129&amp;ID1=59513710&amp;VALUEID=02001&amp;SDATE=200603&amp;PERIODTYPE=QTR_STD&amp;SCFT=3&amp;window=popup_no_bar&amp;width=385&amp;height=120&amp;START_MAXIMIZED=FALSE&amp;creator=factset&amp;display_string=Audit"}</definedName>
    <definedName name="_2203__FDSAUDITLINK__" hidden="1">{"fdsup://Directions/FactSet Auditing Viewer?action=AUDIT_VALUE&amp;DB=129&amp;ID1=59513710&amp;VALUEID=02001&amp;SDATE=200603&amp;PERIODTYPE=QTR_STD&amp;SCFT=3&amp;window=popup_no_bar&amp;width=385&amp;height=120&amp;START_MAXIMIZED=FALSE&amp;creator=factset&amp;display_string=Audit"}</definedName>
    <definedName name="_2204__FDSAUDITLINK__" localSheetId="7" hidden="1">{"fdsup://Directions/FactSet Auditing Viewer?action=AUDIT_VALUE&amp;DB=129&amp;ID1=59513710&amp;VALUEID=02001&amp;SDATE=200603&amp;PERIODTYPE=QTR_STD&amp;SCFT=3&amp;window=popup_no_bar&amp;width=385&amp;height=120&amp;START_MAXIMIZED=FALSE&amp;creator=factset&amp;display_string=Audit"}</definedName>
    <definedName name="_2204__FDSAUDITLINK__" hidden="1">{"fdsup://Directions/FactSet Auditing Viewer?action=AUDIT_VALUE&amp;DB=129&amp;ID1=59513710&amp;VALUEID=02001&amp;SDATE=200603&amp;PERIODTYPE=QTR_STD&amp;SCFT=3&amp;window=popup_no_bar&amp;width=385&amp;height=120&amp;START_MAXIMIZED=FALSE&amp;creator=factset&amp;display_string=Audit"}</definedName>
    <definedName name="_2205__FDSAUDITLINK__" localSheetId="7" hidden="1">{"fdsup://Directions/FactSet Auditing Viewer?action=AUDIT_VALUE&amp;DB=129&amp;ID1=G5876H10&amp;VALUEID=02001&amp;SDATE=200602&amp;PERIODTYPE=QTR_STD&amp;SCFT=3&amp;window=popup_no_bar&amp;width=385&amp;height=120&amp;START_MAXIMIZED=FALSE&amp;creator=factset&amp;display_string=Audit"}</definedName>
    <definedName name="_2205__FDSAUDITLINK__" hidden="1">{"fdsup://Directions/FactSet Auditing Viewer?action=AUDIT_VALUE&amp;DB=129&amp;ID1=G5876H10&amp;VALUEID=02001&amp;SDATE=200602&amp;PERIODTYPE=QTR_STD&amp;SCFT=3&amp;window=popup_no_bar&amp;width=385&amp;height=120&amp;START_MAXIMIZED=FALSE&amp;creator=factset&amp;display_string=Audit"}</definedName>
    <definedName name="_2206__FDSAUDITLINK__" localSheetId="7" hidden="1">{"fdsup://Directions/FactSet Auditing Viewer?action=AUDIT_VALUE&amp;DB=129&amp;ID1=G5876H10&amp;VALUEID=02001&amp;SDATE=200602&amp;PERIODTYPE=QTR_STD&amp;SCFT=3&amp;window=popup_no_bar&amp;width=385&amp;height=120&amp;START_MAXIMIZED=FALSE&amp;creator=factset&amp;display_string=Audit"}</definedName>
    <definedName name="_2206__FDSAUDITLINK__" hidden="1">{"fdsup://Directions/FactSet Auditing Viewer?action=AUDIT_VALUE&amp;DB=129&amp;ID1=G5876H10&amp;VALUEID=02001&amp;SDATE=200602&amp;PERIODTYPE=QTR_STD&amp;SCFT=3&amp;window=popup_no_bar&amp;width=385&amp;height=120&amp;START_MAXIMIZED=FALSE&amp;creator=factset&amp;display_string=Audit"}</definedName>
    <definedName name="_2207__FDSAUDITLINK__" localSheetId="7" hidden="1">{"fdsup://Directions/FactSet Auditing Viewer?action=AUDIT_VALUE&amp;DB=129&amp;ID1=62007630&amp;VALUEID=02001&amp;SDATE=200602&amp;PERIODTYPE=QTR_STD&amp;SCFT=3&amp;window=popup_no_bar&amp;width=385&amp;height=120&amp;START_MAXIMIZED=FALSE&amp;creator=factset&amp;display_string=Audit"}</definedName>
    <definedName name="_2207__FDSAUDITLINK__" hidden="1">{"fdsup://Directions/FactSet Auditing Viewer?action=AUDIT_VALUE&amp;DB=129&amp;ID1=62007630&amp;VALUEID=02001&amp;SDATE=200602&amp;PERIODTYPE=QTR_STD&amp;SCFT=3&amp;window=popup_no_bar&amp;width=385&amp;height=120&amp;START_MAXIMIZED=FALSE&amp;creator=factset&amp;display_string=Audit"}</definedName>
    <definedName name="_2208__FDSAUDITLINK__" localSheetId="7" hidden="1">{"fdsup://Directions/FactSet Auditing Viewer?action=AUDIT_VALUE&amp;DB=129&amp;ID1=62007630&amp;VALUEID=02001&amp;SDATE=200602&amp;PERIODTYPE=QTR_STD&amp;SCFT=3&amp;window=popup_no_bar&amp;width=385&amp;height=120&amp;START_MAXIMIZED=FALSE&amp;creator=factset&amp;display_string=Audit"}</definedName>
    <definedName name="_2208__FDSAUDITLINK__" hidden="1">{"fdsup://Directions/FactSet Auditing Viewer?action=AUDIT_VALUE&amp;DB=129&amp;ID1=62007630&amp;VALUEID=02001&amp;SDATE=200602&amp;PERIODTYPE=QTR_STD&amp;SCFT=3&amp;window=popup_no_bar&amp;width=385&amp;height=120&amp;START_MAXIMIZED=FALSE&amp;creator=factset&amp;display_string=Audit"}</definedName>
    <definedName name="_2209__FDSAUDITLINK__" localSheetId="7" hidden="1">{"fdsup://Directions/FactSet Auditing Viewer?action=AUDIT_VALUE&amp;DB=129&amp;ID1=59479310&amp;VALUEID=02001&amp;SDATE=200602&amp;PERIODTYPE=QTR_STD&amp;SCFT=3&amp;window=popup_no_bar&amp;width=385&amp;height=120&amp;START_MAXIMIZED=FALSE&amp;creator=factset&amp;display_string=Audit"}</definedName>
    <definedName name="_2209__FDSAUDITLINK__" hidden="1">{"fdsup://Directions/FactSet Auditing Viewer?action=AUDIT_VALUE&amp;DB=129&amp;ID1=59479310&amp;VALUEID=02001&amp;SDATE=200602&amp;PERIODTYPE=QTR_STD&amp;SCFT=3&amp;window=popup_no_bar&amp;width=385&amp;height=120&amp;START_MAXIMIZED=FALSE&amp;creator=factset&amp;display_string=Audit"}</definedName>
    <definedName name="_221__FDSAUDITLINK__" localSheetId="7" hidden="1">{"fdsup://Directions/FactSet Auditing Viewer?action=AUDIT_VALUE&amp;DB=129&amp;ID1=59479310&amp;VALUEID=02001&amp;SDATE=201004&amp;PERIODTYPE=QTR_STD&amp;SCFT=3&amp;window=popup_no_bar&amp;width=385&amp;height=120&amp;START_MAXIMIZED=FALSE&amp;creator=factset&amp;display_string=Audit"}</definedName>
    <definedName name="_221__FDSAUDITLINK__" hidden="1">{"fdsup://Directions/FactSet Auditing Viewer?action=AUDIT_VALUE&amp;DB=129&amp;ID1=59479310&amp;VALUEID=02001&amp;SDATE=201004&amp;PERIODTYPE=QTR_STD&amp;SCFT=3&amp;window=popup_no_bar&amp;width=385&amp;height=120&amp;START_MAXIMIZED=FALSE&amp;creator=factset&amp;display_string=Audit"}</definedName>
    <definedName name="_2210__FDSAUDITLINK__" localSheetId="7" hidden="1">{"fdsup://Directions/FactSet Auditing Viewer?action=AUDIT_VALUE&amp;DB=129&amp;ID1=59479310&amp;VALUEID=02001&amp;SDATE=200602&amp;PERIODTYPE=QTR_STD&amp;SCFT=3&amp;window=popup_no_bar&amp;width=385&amp;height=120&amp;START_MAXIMIZED=FALSE&amp;creator=factset&amp;display_string=Audit"}</definedName>
    <definedName name="_2210__FDSAUDITLINK__" hidden="1">{"fdsup://Directions/FactSet Auditing Viewer?action=AUDIT_VALUE&amp;DB=129&amp;ID1=59479310&amp;VALUEID=02001&amp;SDATE=200602&amp;PERIODTYPE=QTR_STD&amp;SCFT=3&amp;window=popup_no_bar&amp;width=385&amp;height=120&amp;START_MAXIMIZED=FALSE&amp;creator=factset&amp;display_string=Audit"}</definedName>
    <definedName name="_2211__FDSAUDITLINK__" localSheetId="7" hidden="1">{"fdsup://Directions/FactSet Auditing Viewer?action=AUDIT_VALUE&amp;DB=129&amp;ID1=59501710&amp;VALUEID=02001&amp;SDATE=200601&amp;PERIODTYPE=QTR_STD&amp;SCFT=3&amp;window=popup_no_bar&amp;width=385&amp;height=120&amp;START_MAXIMIZED=FALSE&amp;creator=factset&amp;display_string=Audit"}</definedName>
    <definedName name="_2211__FDSAUDITLINK__" hidden="1">{"fdsup://Directions/FactSet Auditing Viewer?action=AUDIT_VALUE&amp;DB=129&amp;ID1=59501710&amp;VALUEID=02001&amp;SDATE=200601&amp;PERIODTYPE=QTR_STD&amp;SCFT=3&amp;window=popup_no_bar&amp;width=385&amp;height=120&amp;START_MAXIMIZED=FALSE&amp;creator=factset&amp;display_string=Audit"}</definedName>
    <definedName name="_2212__FDSAUDITLINK__" localSheetId="7" hidden="1">{"fdsup://Directions/FactSet Auditing Viewer?action=AUDIT_VALUE&amp;DB=129&amp;ID1=59501710&amp;VALUEID=02001&amp;SDATE=200601&amp;PERIODTYPE=QTR_STD&amp;SCFT=3&amp;window=popup_no_bar&amp;width=385&amp;height=120&amp;START_MAXIMIZED=FALSE&amp;creator=factset&amp;display_string=Audit"}</definedName>
    <definedName name="_2212__FDSAUDITLINK__" hidden="1">{"fdsup://Directions/FactSet Auditing Viewer?action=AUDIT_VALUE&amp;DB=129&amp;ID1=59501710&amp;VALUEID=02001&amp;SDATE=200601&amp;PERIODTYPE=QTR_STD&amp;SCFT=3&amp;window=popup_no_bar&amp;width=385&amp;height=120&amp;START_MAXIMIZED=FALSE&amp;creator=factset&amp;display_string=Audit"}</definedName>
    <definedName name="_2213__FDSAUDITLINK__" localSheetId="7" hidden="1">{"fdsup://Directions/FactSet Auditing Viewer?action=AUDIT_VALUE&amp;DB=129&amp;ID1=50216110&amp;VALUEID=02001&amp;SDATE=200602&amp;PERIODTYPE=QTR_STD&amp;SCFT=3&amp;window=popup_no_bar&amp;width=385&amp;height=120&amp;START_MAXIMIZED=FALSE&amp;creator=factset&amp;display_string=Audit"}</definedName>
    <definedName name="_2213__FDSAUDITLINK__" hidden="1">{"fdsup://Directions/FactSet Auditing Viewer?action=AUDIT_VALUE&amp;DB=129&amp;ID1=50216110&amp;VALUEID=02001&amp;SDATE=200602&amp;PERIODTYPE=QTR_STD&amp;SCFT=3&amp;window=popup_no_bar&amp;width=385&amp;height=120&amp;START_MAXIMIZED=FALSE&amp;creator=factset&amp;display_string=Audit"}</definedName>
    <definedName name="_2214__FDSAUDITLINK__" localSheetId="7" hidden="1">{"fdsup://Directions/FactSet Auditing Viewer?action=AUDIT_VALUE&amp;DB=129&amp;ID1=50216110&amp;VALUEID=02001&amp;SDATE=200602&amp;PERIODTYPE=QTR_STD&amp;SCFT=3&amp;window=popup_no_bar&amp;width=385&amp;height=120&amp;START_MAXIMIZED=FALSE&amp;creator=factset&amp;display_string=Audit"}</definedName>
    <definedName name="_2214__FDSAUDITLINK__" hidden="1">{"fdsup://Directions/FactSet Auditing Viewer?action=AUDIT_VALUE&amp;DB=129&amp;ID1=50216110&amp;VALUEID=02001&amp;SDATE=200602&amp;PERIODTYPE=QTR_STD&amp;SCFT=3&amp;window=popup_no_bar&amp;width=385&amp;height=120&amp;START_MAXIMIZED=FALSE&amp;creator=factset&amp;display_string=Audit"}</definedName>
    <definedName name="_2215__FDSAUDITLINK__" localSheetId="7" hidden="1">{"fdsup://Directions/FactSet Auditing Viewer?action=AUDIT_VALUE&amp;DB=129&amp;ID1=51841510&amp;VALUEID=02001&amp;SDATE=200602&amp;PERIODTYPE=QTR_STD&amp;SCFT=3&amp;window=popup_no_bar&amp;width=385&amp;height=120&amp;START_MAXIMIZED=FALSE&amp;creator=factset&amp;display_string=Audit"}</definedName>
    <definedName name="_2215__FDSAUDITLINK__" hidden="1">{"fdsup://Directions/FactSet Auditing Viewer?action=AUDIT_VALUE&amp;DB=129&amp;ID1=51841510&amp;VALUEID=02001&amp;SDATE=200602&amp;PERIODTYPE=QTR_STD&amp;SCFT=3&amp;window=popup_no_bar&amp;width=385&amp;height=120&amp;START_MAXIMIZED=FALSE&amp;creator=factset&amp;display_string=Audit"}</definedName>
    <definedName name="_2216__FDSAUDITLINK__" localSheetId="7" hidden="1">{"fdsup://Directions/FactSet Auditing Viewer?action=AUDIT_VALUE&amp;DB=129&amp;ID1=51841510&amp;VALUEID=02001&amp;SDATE=200602&amp;PERIODTYPE=QTR_STD&amp;SCFT=3&amp;window=popup_no_bar&amp;width=385&amp;height=120&amp;START_MAXIMIZED=FALSE&amp;creator=factset&amp;display_string=Audit"}</definedName>
    <definedName name="_2216__FDSAUDITLINK__" hidden="1">{"fdsup://Directions/FactSet Auditing Viewer?action=AUDIT_VALUE&amp;DB=129&amp;ID1=51841510&amp;VALUEID=02001&amp;SDATE=200602&amp;PERIODTYPE=QTR_STD&amp;SCFT=3&amp;window=popup_no_bar&amp;width=385&amp;height=120&amp;START_MAXIMIZED=FALSE&amp;creator=factset&amp;display_string=Audit"}</definedName>
    <definedName name="_2217__FDSAUDITLINK__" localSheetId="7" hidden="1">{"fdsup://Directions/FactSet Auditing Viewer?action=AUDIT_VALUE&amp;DB=129&amp;ID1=48836020&amp;VALUEID=02001&amp;SDATE=200601&amp;PERIODTYPE=QTR_STD&amp;SCFT=3&amp;window=popup_no_bar&amp;width=385&amp;height=120&amp;START_MAXIMIZED=FALSE&amp;creator=factset&amp;display_string=Audit"}</definedName>
    <definedName name="_2217__FDSAUDITLINK__" hidden="1">{"fdsup://Directions/FactSet Auditing Viewer?action=AUDIT_VALUE&amp;DB=129&amp;ID1=48836020&amp;VALUEID=02001&amp;SDATE=200601&amp;PERIODTYPE=QTR_STD&amp;SCFT=3&amp;window=popup_no_bar&amp;width=385&amp;height=120&amp;START_MAXIMIZED=FALSE&amp;creator=factset&amp;display_string=Audit"}</definedName>
    <definedName name="_2218__FDSAUDITLINK__" localSheetId="7" hidden="1">{"fdsup://Directions/FactSet Auditing Viewer?action=AUDIT_VALUE&amp;DB=129&amp;ID1=48836020&amp;VALUEID=02001&amp;SDATE=200601&amp;PERIODTYPE=QTR_STD&amp;SCFT=3&amp;window=popup_no_bar&amp;width=385&amp;height=120&amp;START_MAXIMIZED=FALSE&amp;creator=factset&amp;display_string=Audit"}</definedName>
    <definedName name="_2218__FDSAUDITLINK__" hidden="1">{"fdsup://Directions/FactSet Auditing Viewer?action=AUDIT_VALUE&amp;DB=129&amp;ID1=48836020&amp;VALUEID=02001&amp;SDATE=200601&amp;PERIODTYPE=QTR_STD&amp;SCFT=3&amp;window=popup_no_bar&amp;width=385&amp;height=120&amp;START_MAXIMIZED=FALSE&amp;creator=factset&amp;display_string=Audit"}</definedName>
    <definedName name="_2219__FDSAUDITLINK__" localSheetId="7" hidden="1">{"fdsup://Directions/FactSet Auditing Viewer?action=AUDIT_VALUE&amp;DB=129&amp;ID1=48203R10&amp;VALUEID=02001&amp;SDATE=200602&amp;PERIODTYPE=QTR_STD&amp;SCFT=3&amp;window=popup_no_bar&amp;width=385&amp;height=120&amp;START_MAXIMIZED=FALSE&amp;creator=factset&amp;display_string=Audit"}</definedName>
    <definedName name="_2219__FDSAUDITLINK__" hidden="1">{"fdsup://Directions/FactSet Auditing Viewer?action=AUDIT_VALUE&amp;DB=129&amp;ID1=48203R10&amp;VALUEID=02001&amp;SDATE=200602&amp;PERIODTYPE=QTR_STD&amp;SCFT=3&amp;window=popup_no_bar&amp;width=385&amp;height=120&amp;START_MAXIMIZED=FALSE&amp;creator=factset&amp;display_string=Audit"}</definedName>
    <definedName name="_222__FDSAUDITLINK__" localSheetId="7" hidden="1">{"fdsup://Directions/FactSet Auditing Viewer?action=AUDIT_VALUE&amp;DB=129&amp;ID1=59479310&amp;VALUEID=02001&amp;SDATE=201004&amp;PERIODTYPE=QTR_STD&amp;SCFT=3&amp;window=popup_no_bar&amp;width=385&amp;height=120&amp;START_MAXIMIZED=FALSE&amp;creator=factset&amp;display_string=Audit"}</definedName>
    <definedName name="_222__FDSAUDITLINK__" hidden="1">{"fdsup://Directions/FactSet Auditing Viewer?action=AUDIT_VALUE&amp;DB=129&amp;ID1=59479310&amp;VALUEID=02001&amp;SDATE=201004&amp;PERIODTYPE=QTR_STD&amp;SCFT=3&amp;window=popup_no_bar&amp;width=385&amp;height=120&amp;START_MAXIMIZED=FALSE&amp;creator=factset&amp;display_string=Audit"}</definedName>
    <definedName name="_2220__FDSAUDITLINK__" localSheetId="7" hidden="1">{"fdsup://Directions/FactSet Auditing Viewer?action=AUDIT_VALUE&amp;DB=129&amp;ID1=48203R10&amp;VALUEID=02001&amp;SDATE=200602&amp;PERIODTYPE=QTR_STD&amp;SCFT=3&amp;window=popup_no_bar&amp;width=385&amp;height=120&amp;START_MAXIMIZED=FALSE&amp;creator=factset&amp;display_string=Audit"}</definedName>
    <definedName name="_2220__FDSAUDITLINK__" hidden="1">{"fdsup://Directions/FactSet Auditing Viewer?action=AUDIT_VALUE&amp;DB=129&amp;ID1=48203R10&amp;VALUEID=02001&amp;SDATE=200602&amp;PERIODTYPE=QTR_STD&amp;SCFT=3&amp;window=popup_no_bar&amp;width=385&amp;height=120&amp;START_MAXIMIZED=FALSE&amp;creator=factset&amp;display_string=Audit"}</definedName>
    <definedName name="_2221__FDSAUDITLINK__" localSheetId="7" hidden="1">{"fdsup://Directions/FactSet Auditing Viewer?action=AUDIT_VALUE&amp;DB=129&amp;ID1=46069S10&amp;VALUEID=02001&amp;SDATE=200602&amp;PERIODTYPE=QTR_STD&amp;SCFT=3&amp;window=popup_no_bar&amp;width=385&amp;height=120&amp;START_MAXIMIZED=FALSE&amp;creator=factset&amp;display_string=Audit"}</definedName>
    <definedName name="_2221__FDSAUDITLINK__" hidden="1">{"fdsup://Directions/FactSet Auditing Viewer?action=AUDIT_VALUE&amp;DB=129&amp;ID1=46069S10&amp;VALUEID=02001&amp;SDATE=200602&amp;PERIODTYPE=QTR_STD&amp;SCFT=3&amp;window=popup_no_bar&amp;width=385&amp;height=120&amp;START_MAXIMIZED=FALSE&amp;creator=factset&amp;display_string=Audit"}</definedName>
    <definedName name="_2222__FDSAUDITLINK__" localSheetId="7" hidden="1">{"fdsup://Directions/FactSet Auditing Viewer?action=AUDIT_VALUE&amp;DB=129&amp;ID1=46069S10&amp;VALUEID=02001&amp;SDATE=200602&amp;PERIODTYPE=QTR_STD&amp;SCFT=3&amp;window=popup_no_bar&amp;width=385&amp;height=120&amp;START_MAXIMIZED=FALSE&amp;creator=factset&amp;display_string=Audit"}</definedName>
    <definedName name="_2222__FDSAUDITLINK__" hidden="1">{"fdsup://Directions/FactSet Auditing Viewer?action=AUDIT_VALUE&amp;DB=129&amp;ID1=46069S10&amp;VALUEID=02001&amp;SDATE=200602&amp;PERIODTYPE=QTR_STD&amp;SCFT=3&amp;window=popup_no_bar&amp;width=385&amp;height=120&amp;START_MAXIMIZED=FALSE&amp;creator=factset&amp;display_string=Audit"}</definedName>
    <definedName name="_2223__FDSAUDITLINK__" localSheetId="7" hidden="1">{"fdsup://Directions/FactSet Auditing Viewer?action=AUDIT_VALUE&amp;DB=129&amp;ID1=45814010&amp;VALUEID=02001&amp;SDATE=200602&amp;PERIODTYPE=QTR_STD&amp;SCFT=3&amp;window=popup_no_bar&amp;width=385&amp;height=120&amp;START_MAXIMIZED=FALSE&amp;creator=factset&amp;display_string=Audit"}</definedName>
    <definedName name="_2223__FDSAUDITLINK__" hidden="1">{"fdsup://Directions/FactSet Auditing Viewer?action=AUDIT_VALUE&amp;DB=129&amp;ID1=45814010&amp;VALUEID=02001&amp;SDATE=200602&amp;PERIODTYPE=QTR_STD&amp;SCFT=3&amp;window=popup_no_bar&amp;width=385&amp;height=120&amp;START_MAXIMIZED=FALSE&amp;creator=factset&amp;display_string=Audit"}</definedName>
    <definedName name="_2224__FDSAUDITLINK__" localSheetId="7" hidden="1">{"fdsup://Directions/FactSet Auditing Viewer?action=AUDIT_VALUE&amp;DB=129&amp;ID1=45814010&amp;VALUEID=02001&amp;SDATE=200602&amp;PERIODTYPE=QTR_STD&amp;SCFT=3&amp;window=popup_no_bar&amp;width=385&amp;height=120&amp;START_MAXIMIZED=FALSE&amp;creator=factset&amp;display_string=Audit"}</definedName>
    <definedName name="_2224__FDSAUDITLINK__" hidden="1">{"fdsup://Directions/FactSet Auditing Viewer?action=AUDIT_VALUE&amp;DB=129&amp;ID1=45814010&amp;VALUEID=02001&amp;SDATE=200602&amp;PERIODTYPE=QTR_STD&amp;SCFT=3&amp;window=popup_no_bar&amp;width=385&amp;height=120&amp;START_MAXIMIZED=FALSE&amp;creator=factset&amp;display_string=Audit"}</definedName>
    <definedName name="_2225__FDSAUDITLINK__" localSheetId="7" hidden="1">{"fdsup://Directions/FactSet Auditing Viewer?action=AUDIT_VALUE&amp;DB=129&amp;ID1=45811810&amp;VALUEID=02001&amp;SDATE=200601&amp;PERIODTYPE=QTR_STD&amp;SCFT=3&amp;window=popup_no_bar&amp;width=385&amp;height=120&amp;START_MAXIMIZED=FALSE&amp;creator=factset&amp;display_string=Audit"}</definedName>
    <definedName name="_2225__FDSAUDITLINK__" hidden="1">{"fdsup://Directions/FactSet Auditing Viewer?action=AUDIT_VALUE&amp;DB=129&amp;ID1=45811810&amp;VALUEID=02001&amp;SDATE=200601&amp;PERIODTYPE=QTR_STD&amp;SCFT=3&amp;window=popup_no_bar&amp;width=385&amp;height=120&amp;START_MAXIMIZED=FALSE&amp;creator=factset&amp;display_string=Audit"}</definedName>
    <definedName name="_2226__FDSAUDITLINK__" localSheetId="7" hidden="1">{"fdsup://Directions/FactSet Auditing Viewer?action=AUDIT_VALUE&amp;DB=129&amp;ID1=45811810&amp;VALUEID=02001&amp;SDATE=200601&amp;PERIODTYPE=QTR_STD&amp;SCFT=3&amp;window=popup_no_bar&amp;width=385&amp;height=120&amp;START_MAXIMIZED=FALSE&amp;creator=factset&amp;display_string=Audit"}</definedName>
    <definedName name="_2226__FDSAUDITLINK__" hidden="1">{"fdsup://Directions/FactSet Auditing Viewer?action=AUDIT_VALUE&amp;DB=129&amp;ID1=45811810&amp;VALUEID=02001&amp;SDATE=200601&amp;PERIODTYPE=QTR_STD&amp;SCFT=3&amp;window=popup_no_bar&amp;width=385&amp;height=120&amp;START_MAXIMIZED=FALSE&amp;creator=factset&amp;display_string=Audit"}</definedName>
    <definedName name="_2227__FDSAUDITLINK__" localSheetId="7" hidden="1">{"fdsup://Directions/FactSet Auditing Viewer?action=AUDIT_VALUE&amp;DB=129&amp;ID1=42823610&amp;VALUEID=02001&amp;SDATE=200603&amp;PERIODTYPE=QTR_STD&amp;SCFT=3&amp;window=popup_no_bar&amp;width=385&amp;height=120&amp;START_MAXIMIZED=FALSE&amp;creator=factset&amp;display_string=Audit"}</definedName>
    <definedName name="_2227__FDSAUDITLINK__" hidden="1">{"fdsup://Directions/FactSet Auditing Viewer?action=AUDIT_VALUE&amp;DB=129&amp;ID1=42823610&amp;VALUEID=02001&amp;SDATE=200603&amp;PERIODTYPE=QTR_STD&amp;SCFT=3&amp;window=popup_no_bar&amp;width=385&amp;height=120&amp;START_MAXIMIZED=FALSE&amp;creator=factset&amp;display_string=Audit"}</definedName>
    <definedName name="_2228__FDSAUDITLINK__" localSheetId="7" hidden="1">{"fdsup://Directions/FactSet Auditing Viewer?action=AUDIT_VALUE&amp;DB=129&amp;ID1=42823610&amp;VALUEID=02001&amp;SDATE=200603&amp;PERIODTYPE=QTR_STD&amp;SCFT=3&amp;window=popup_no_bar&amp;width=385&amp;height=120&amp;START_MAXIMIZED=FALSE&amp;creator=factset&amp;display_string=Audit"}</definedName>
    <definedName name="_2228__FDSAUDITLINK__" hidden="1">{"fdsup://Directions/FactSet Auditing Viewer?action=AUDIT_VALUE&amp;DB=129&amp;ID1=42823610&amp;VALUEID=02001&amp;SDATE=200603&amp;PERIODTYPE=QTR_STD&amp;SCFT=3&amp;window=popup_no_bar&amp;width=385&amp;height=120&amp;START_MAXIMIZED=FALSE&amp;creator=factset&amp;display_string=Audit"}</definedName>
    <definedName name="_2229__FDSAUDITLINK__" localSheetId="7" hidden="1">{"fdsup://Directions/FactSet Auditing Viewer?action=AUDIT_VALUE&amp;DB=129&amp;ID1=H2906T10&amp;VALUEID=02001&amp;SDATE=200602&amp;PERIODTYPE=QTR_STD&amp;SCFT=3&amp;window=popup_no_bar&amp;width=385&amp;height=120&amp;START_MAXIMIZED=FALSE&amp;creator=factset&amp;display_string=Audit"}</definedName>
    <definedName name="_2229__FDSAUDITLINK__" hidden="1">{"fdsup://Directions/FactSet Auditing Viewer?action=AUDIT_VALUE&amp;DB=129&amp;ID1=H2906T10&amp;VALUEID=02001&amp;SDATE=200602&amp;PERIODTYPE=QTR_STD&amp;SCFT=3&amp;window=popup_no_bar&amp;width=385&amp;height=120&amp;START_MAXIMIZED=FALSE&amp;creator=factset&amp;display_string=Audit"}</definedName>
    <definedName name="_223__FDSAUDITLINK__" localSheetId="7" hidden="1">{"fdsup://Directions/FactSet Auditing Viewer?action=AUDIT_VALUE&amp;DB=129&amp;ID1=59501710&amp;VALUEID=02001&amp;SDATE=201003&amp;PERIODTYPE=QTR_STD&amp;SCFT=3&amp;window=popup_no_bar&amp;width=385&amp;height=120&amp;START_MAXIMIZED=FALSE&amp;creator=factset&amp;display_string=Audit"}</definedName>
    <definedName name="_223__FDSAUDITLINK__" hidden="1">{"fdsup://Directions/FactSet Auditing Viewer?action=AUDIT_VALUE&amp;DB=129&amp;ID1=59501710&amp;VALUEID=02001&amp;SDATE=201003&amp;PERIODTYPE=QTR_STD&amp;SCFT=3&amp;window=popup_no_bar&amp;width=385&amp;height=120&amp;START_MAXIMIZED=FALSE&amp;creator=factset&amp;display_string=Audit"}</definedName>
    <definedName name="_2230__FDSAUDITLINK__" localSheetId="7" hidden="1">{"fdsup://Directions/FactSet Auditing Viewer?action=AUDIT_VALUE&amp;DB=129&amp;ID1=H2906T10&amp;VALUEID=02001&amp;SDATE=200602&amp;PERIODTYPE=QTR_STD&amp;SCFT=3&amp;window=popup_no_bar&amp;width=385&amp;height=120&amp;START_MAXIMIZED=FALSE&amp;creator=factset&amp;display_string=Audit"}</definedName>
    <definedName name="_2230__FDSAUDITLINK__" hidden="1">{"fdsup://Directions/FactSet Auditing Viewer?action=AUDIT_VALUE&amp;DB=129&amp;ID1=H2906T10&amp;VALUEID=02001&amp;SDATE=200602&amp;PERIODTYPE=QTR_STD&amp;SCFT=3&amp;window=popup_no_bar&amp;width=385&amp;height=120&amp;START_MAXIMIZED=FALSE&amp;creator=factset&amp;display_string=Audit"}</definedName>
    <definedName name="_2231__FDSAUDITLINK__" localSheetId="7" hidden="1">{"fdsup://Directions/FactSet Auditing Viewer?action=AUDIT_VALUE&amp;DB=129&amp;ID1=34637510&amp;VALUEID=02001&amp;SDATE=200602&amp;PERIODTYPE=QTR_STD&amp;SCFT=3&amp;window=popup_no_bar&amp;width=385&amp;height=120&amp;START_MAXIMIZED=FALSE&amp;creator=factset&amp;display_string=Audit"}</definedName>
    <definedName name="_2231__FDSAUDITLINK__" hidden="1">{"fdsup://Directions/FactSet Auditing Viewer?action=AUDIT_VALUE&amp;DB=129&amp;ID1=34637510&amp;VALUEID=02001&amp;SDATE=200602&amp;PERIODTYPE=QTR_STD&amp;SCFT=3&amp;window=popup_no_bar&amp;width=385&amp;height=120&amp;START_MAXIMIZED=FALSE&amp;creator=factset&amp;display_string=Audit"}</definedName>
    <definedName name="_2232__FDSAUDITLINK__" localSheetId="7" hidden="1">{"fdsup://Directions/FactSet Auditing Viewer?action=AUDIT_VALUE&amp;DB=129&amp;ID1=34637510&amp;VALUEID=02001&amp;SDATE=200602&amp;PERIODTYPE=QTR_STD&amp;SCFT=3&amp;window=popup_no_bar&amp;width=385&amp;height=120&amp;START_MAXIMIZED=FALSE&amp;creator=factset&amp;display_string=Audit"}</definedName>
    <definedName name="_2232__FDSAUDITLINK__" hidden="1">{"fdsup://Directions/FactSet Auditing Viewer?action=AUDIT_VALUE&amp;DB=129&amp;ID1=34637510&amp;VALUEID=02001&amp;SDATE=200602&amp;PERIODTYPE=QTR_STD&amp;SCFT=3&amp;window=popup_no_bar&amp;width=385&amp;height=120&amp;START_MAXIMIZED=FALSE&amp;creator=factset&amp;display_string=Audit"}</definedName>
    <definedName name="_2233__FDSAUDITLINK__" localSheetId="7" hidden="1">{"fdsup://Directions/FactSet Auditing Viewer?action=AUDIT_VALUE&amp;DB=129&amp;ID1=31561610&amp;VALUEID=02001&amp;SDATE=200603&amp;PERIODTYPE=QTR_STD&amp;SCFT=3&amp;window=popup_no_bar&amp;width=385&amp;height=120&amp;START_MAXIMIZED=FALSE&amp;creator=factset&amp;display_string=Audit"}</definedName>
    <definedName name="_2233__FDSAUDITLINK__" hidden="1">{"fdsup://Directions/FactSet Auditing Viewer?action=AUDIT_VALUE&amp;DB=129&amp;ID1=31561610&amp;VALUEID=02001&amp;SDATE=200603&amp;PERIODTYPE=QTR_STD&amp;SCFT=3&amp;window=popup_no_bar&amp;width=385&amp;height=120&amp;START_MAXIMIZED=FALSE&amp;creator=factset&amp;display_string=Audit"}</definedName>
    <definedName name="_2234__FDSAUDITLINK__" localSheetId="7" hidden="1">{"fdsup://Directions/FactSet Auditing Viewer?action=AUDIT_VALUE&amp;DB=129&amp;ID1=31561610&amp;VALUEID=02001&amp;SDATE=200603&amp;PERIODTYPE=QTR_STD&amp;SCFT=3&amp;window=popup_no_bar&amp;width=385&amp;height=120&amp;START_MAXIMIZED=FALSE&amp;creator=factset&amp;display_string=Audit"}</definedName>
    <definedName name="_2234__FDSAUDITLINK__" hidden="1">{"fdsup://Directions/FactSet Auditing Viewer?action=AUDIT_VALUE&amp;DB=129&amp;ID1=31561610&amp;VALUEID=02001&amp;SDATE=200603&amp;PERIODTYPE=QTR_STD&amp;SCFT=3&amp;window=popup_no_bar&amp;width=385&amp;height=120&amp;START_MAXIMIZED=FALSE&amp;creator=factset&amp;display_string=Audit"}</definedName>
    <definedName name="_2235__FDSAUDITLINK__" localSheetId="7" hidden="1">{"fdsup://Directions/FactSet Auditing Viewer?action=AUDIT_VALUE&amp;DB=129&amp;ID1=25454310&amp;VALUEID=02001&amp;SDATE=200602&amp;PERIODTYPE=QTR_STD&amp;SCFT=3&amp;window=popup_no_bar&amp;width=385&amp;height=120&amp;START_MAXIMIZED=FALSE&amp;creator=factset&amp;display_string=Audit"}</definedName>
    <definedName name="_2235__FDSAUDITLINK__" hidden="1">{"fdsup://Directions/FactSet Auditing Viewer?action=AUDIT_VALUE&amp;DB=129&amp;ID1=25454310&amp;VALUEID=02001&amp;SDATE=200602&amp;PERIODTYPE=QTR_STD&amp;SCFT=3&amp;window=popup_no_bar&amp;width=385&amp;height=120&amp;START_MAXIMIZED=FALSE&amp;creator=factset&amp;display_string=Audit"}</definedName>
    <definedName name="_2236__FDSAUDITLINK__" localSheetId="7" hidden="1">{"fdsup://Directions/FactSet Auditing Viewer?action=AUDIT_VALUE&amp;DB=129&amp;ID1=25454310&amp;VALUEID=02001&amp;SDATE=200602&amp;PERIODTYPE=QTR_STD&amp;SCFT=3&amp;window=popup_no_bar&amp;width=385&amp;height=120&amp;START_MAXIMIZED=FALSE&amp;creator=factset&amp;display_string=Audit"}</definedName>
    <definedName name="_2236__FDSAUDITLINK__" hidden="1">{"fdsup://Directions/FactSet Auditing Viewer?action=AUDIT_VALUE&amp;DB=129&amp;ID1=25454310&amp;VALUEID=02001&amp;SDATE=200602&amp;PERIODTYPE=QTR_STD&amp;SCFT=3&amp;window=popup_no_bar&amp;width=385&amp;height=120&amp;START_MAXIMIZED=FALSE&amp;creator=factset&amp;display_string=Audit"}</definedName>
    <definedName name="_2237__FDSAUDITLINK__" localSheetId="7" hidden="1">{"fdsup://Directions/FactSet Auditing Viewer?action=AUDIT_VALUE&amp;DB=129&amp;ID1=24702R10&amp;VALUEID=02001&amp;SDATE=200602&amp;PERIODTYPE=QTR_STD&amp;SCFT=3&amp;window=popup_no_bar&amp;width=385&amp;height=120&amp;START_MAXIMIZED=FALSE&amp;creator=factset&amp;display_string=Audit"}</definedName>
    <definedName name="_2237__FDSAUDITLINK__" hidden="1">{"fdsup://Directions/FactSet Auditing Viewer?action=AUDIT_VALUE&amp;DB=129&amp;ID1=24702R10&amp;VALUEID=02001&amp;SDATE=200602&amp;PERIODTYPE=QTR_STD&amp;SCFT=3&amp;window=popup_no_bar&amp;width=385&amp;height=120&amp;START_MAXIMIZED=FALSE&amp;creator=factset&amp;display_string=Audit"}</definedName>
    <definedName name="_2238__FDSAUDITLINK__" localSheetId="7" hidden="1">{"fdsup://Directions/FactSet Auditing Viewer?action=AUDIT_VALUE&amp;DB=129&amp;ID1=24702R10&amp;VALUEID=02001&amp;SDATE=200602&amp;PERIODTYPE=QTR_STD&amp;SCFT=3&amp;window=popup_no_bar&amp;width=385&amp;height=120&amp;START_MAXIMIZED=FALSE&amp;creator=factset&amp;display_string=Audit"}</definedName>
    <definedName name="_2238__FDSAUDITLINK__" hidden="1">{"fdsup://Directions/FactSet Auditing Viewer?action=AUDIT_VALUE&amp;DB=129&amp;ID1=24702R10&amp;VALUEID=02001&amp;SDATE=200602&amp;PERIODTYPE=QTR_STD&amp;SCFT=3&amp;window=popup_no_bar&amp;width=385&amp;height=120&amp;START_MAXIMIZED=FALSE&amp;creator=factset&amp;display_string=Audit"}</definedName>
    <definedName name="_2239__FDSAUDITLINK__" localSheetId="7" hidden="1">{"fdsup://Directions/FactSet Auditing Viewer?action=AUDIT_VALUE&amp;DB=129&amp;ID1=23257210&amp;VALUEID=02001&amp;SDATE=200602&amp;PERIODTYPE=QTR_STD&amp;SCFT=3&amp;window=popup_no_bar&amp;width=385&amp;height=120&amp;START_MAXIMIZED=FALSE&amp;creator=factset&amp;display_string=Audit"}</definedName>
    <definedName name="_2239__FDSAUDITLINK__" hidden="1">{"fdsup://Directions/FactSet Auditing Viewer?action=AUDIT_VALUE&amp;DB=129&amp;ID1=23257210&amp;VALUEID=02001&amp;SDATE=200602&amp;PERIODTYPE=QTR_STD&amp;SCFT=3&amp;window=popup_no_bar&amp;width=385&amp;height=120&amp;START_MAXIMIZED=FALSE&amp;creator=factset&amp;display_string=Audit"}</definedName>
    <definedName name="_224__FDSAUDITLINK__" localSheetId="7" hidden="1">{"fdsup://Directions/FactSet Auditing Viewer?action=AUDIT_VALUE&amp;DB=129&amp;ID1=59501710&amp;VALUEID=02001&amp;SDATE=201003&amp;PERIODTYPE=QTR_STD&amp;SCFT=3&amp;window=popup_no_bar&amp;width=385&amp;height=120&amp;START_MAXIMIZED=FALSE&amp;creator=factset&amp;display_string=Audit"}</definedName>
    <definedName name="_224__FDSAUDITLINK__" hidden="1">{"fdsup://Directions/FactSet Auditing Viewer?action=AUDIT_VALUE&amp;DB=129&amp;ID1=59501710&amp;VALUEID=02001&amp;SDATE=201003&amp;PERIODTYPE=QTR_STD&amp;SCFT=3&amp;window=popup_no_bar&amp;width=385&amp;height=120&amp;START_MAXIMIZED=FALSE&amp;creator=factset&amp;display_string=Audit"}</definedName>
    <definedName name="_2240__FDSAUDITLINK__" localSheetId="7" hidden="1">{"fdsup://Directions/FactSet Auditing Viewer?action=AUDIT_VALUE&amp;DB=129&amp;ID1=23257210&amp;VALUEID=02001&amp;SDATE=200602&amp;PERIODTYPE=QTR_STD&amp;SCFT=3&amp;window=popup_no_bar&amp;width=385&amp;height=120&amp;START_MAXIMIZED=FALSE&amp;creator=factset&amp;display_string=Audit"}</definedName>
    <definedName name="_2240__FDSAUDITLINK__" hidden="1">{"fdsup://Directions/FactSet Auditing Viewer?action=AUDIT_VALUE&amp;DB=129&amp;ID1=23257210&amp;VALUEID=02001&amp;SDATE=200602&amp;PERIODTYPE=QTR_STD&amp;SCFT=3&amp;window=popup_no_bar&amp;width=385&amp;height=120&amp;START_MAXIMIZED=FALSE&amp;creator=factset&amp;display_string=Audit"}</definedName>
    <definedName name="_2241__FDSAUDITLINK__" localSheetId="7" hidden="1">{"fdsup://Directions/FactSet Auditing Viewer?action=AUDIT_VALUE&amp;DB=129&amp;ID1=23280610&amp;VALUEID=02001&amp;SDATE=200602&amp;PERIODTYPE=QTR_STD&amp;SCFT=3&amp;window=popup_no_bar&amp;width=385&amp;height=120&amp;START_MAXIMIZED=FALSE&amp;creator=factset&amp;display_string=Audit"}</definedName>
    <definedName name="_2241__FDSAUDITLINK__" hidden="1">{"fdsup://Directions/FactSet Auditing Viewer?action=AUDIT_VALUE&amp;DB=129&amp;ID1=23280610&amp;VALUEID=02001&amp;SDATE=200602&amp;PERIODTYPE=QTR_STD&amp;SCFT=3&amp;window=popup_no_bar&amp;width=385&amp;height=120&amp;START_MAXIMIZED=FALSE&amp;creator=factset&amp;display_string=Audit"}</definedName>
    <definedName name="_2242__FDSAUDITLINK__" localSheetId="7" hidden="1">{"fdsup://Directions/FactSet Auditing Viewer?action=AUDIT_VALUE&amp;DB=129&amp;ID1=23280610&amp;VALUEID=02001&amp;SDATE=200602&amp;PERIODTYPE=QTR_STD&amp;SCFT=3&amp;window=popup_no_bar&amp;width=385&amp;height=120&amp;START_MAXIMIZED=FALSE&amp;creator=factset&amp;display_string=Audit"}</definedName>
    <definedName name="_2242__FDSAUDITLINK__" hidden="1">{"fdsup://Directions/FactSet Auditing Viewer?action=AUDIT_VALUE&amp;DB=129&amp;ID1=23280610&amp;VALUEID=02001&amp;SDATE=200602&amp;PERIODTYPE=QTR_STD&amp;SCFT=3&amp;window=popup_no_bar&amp;width=385&amp;height=120&amp;START_MAXIMIZED=FALSE&amp;creator=factset&amp;display_string=Audit"}</definedName>
    <definedName name="_2243__FDSAUDITLINK__" localSheetId="7" hidden="1">{"fdsup://Directions/FactSet Auditing Viewer?action=AUDIT_VALUE&amp;DB=129&amp;ID1=20714230&amp;VALUEID=02001&amp;SDATE=200603&amp;PERIODTYPE=QTR_STD&amp;SCFT=3&amp;window=popup_no_bar&amp;width=385&amp;height=120&amp;START_MAXIMIZED=FALSE&amp;creator=factset&amp;display_string=Audit"}</definedName>
    <definedName name="_2243__FDSAUDITLINK__" hidden="1">{"fdsup://Directions/FactSet Auditing Viewer?action=AUDIT_VALUE&amp;DB=129&amp;ID1=20714230&amp;VALUEID=02001&amp;SDATE=200603&amp;PERIODTYPE=QTR_STD&amp;SCFT=3&amp;window=popup_no_bar&amp;width=385&amp;height=120&amp;START_MAXIMIZED=FALSE&amp;creator=factset&amp;display_string=Audit"}</definedName>
    <definedName name="_2244__FDSAUDITLINK__" localSheetId="7" hidden="1">{"fdsup://Directions/FactSet Auditing Viewer?action=AUDIT_VALUE&amp;DB=129&amp;ID1=20714230&amp;VALUEID=02001&amp;SDATE=200603&amp;PERIODTYPE=QTR_STD&amp;SCFT=3&amp;window=popup_no_bar&amp;width=385&amp;height=120&amp;START_MAXIMIZED=FALSE&amp;creator=factset&amp;display_string=Audit"}</definedName>
    <definedName name="_2244__FDSAUDITLINK__" hidden="1">{"fdsup://Directions/FactSet Auditing Viewer?action=AUDIT_VALUE&amp;DB=129&amp;ID1=20714230&amp;VALUEID=02001&amp;SDATE=200603&amp;PERIODTYPE=QTR_STD&amp;SCFT=3&amp;window=popup_no_bar&amp;width=385&amp;height=120&amp;START_MAXIMIZED=FALSE&amp;creator=factset&amp;display_string=Audit"}</definedName>
    <definedName name="_2245__FDSAUDITLINK__" localSheetId="7" hidden="1">{"fdsup://Directions/FactSet Auditing Viewer?action=AUDIT_VALUE&amp;DB=129&amp;ID1=12738710&amp;VALUEID=02001&amp;SDATE=200602&amp;PERIODTYPE=QTR_STD&amp;SCFT=3&amp;window=popup_no_bar&amp;width=385&amp;height=120&amp;START_MAXIMIZED=FALSE&amp;creator=factset&amp;display_string=Audit"}</definedName>
    <definedName name="_2245__FDSAUDITLINK__" hidden="1">{"fdsup://Directions/FactSet Auditing Viewer?action=AUDIT_VALUE&amp;DB=129&amp;ID1=12738710&amp;VALUEID=02001&amp;SDATE=200602&amp;PERIODTYPE=QTR_STD&amp;SCFT=3&amp;window=popup_no_bar&amp;width=385&amp;height=120&amp;START_MAXIMIZED=FALSE&amp;creator=factset&amp;display_string=Audit"}</definedName>
    <definedName name="_2246__FDSAUDITLINK__" localSheetId="7" hidden="1">{"fdsup://Directions/FactSet Auditing Viewer?action=AUDIT_VALUE&amp;DB=129&amp;ID1=12738710&amp;VALUEID=02001&amp;SDATE=200602&amp;PERIODTYPE=QTR_STD&amp;SCFT=3&amp;window=popup_no_bar&amp;width=385&amp;height=120&amp;START_MAXIMIZED=FALSE&amp;creator=factset&amp;display_string=Audit"}</definedName>
    <definedName name="_2246__FDSAUDITLINK__" hidden="1">{"fdsup://Directions/FactSet Auditing Viewer?action=AUDIT_VALUE&amp;DB=129&amp;ID1=12738710&amp;VALUEID=02001&amp;SDATE=200602&amp;PERIODTYPE=QTR_STD&amp;SCFT=3&amp;window=popup_no_bar&amp;width=385&amp;height=120&amp;START_MAXIMIZED=FALSE&amp;creator=factset&amp;display_string=Audit"}</definedName>
    <definedName name="_2247__FDSAUDITLINK__" localSheetId="7" hidden="1">{"fdsup://Directions/FactSet Auditing Viewer?action=AUDIT_VALUE&amp;DB=129&amp;ID1=11162130&amp;VALUEID=02001&amp;SDATE=200603&amp;PERIODTYPE=QTR_STD&amp;SCFT=3&amp;window=popup_no_bar&amp;width=385&amp;height=120&amp;START_MAXIMIZED=FALSE&amp;creator=factset&amp;display_string=Audit"}</definedName>
    <definedName name="_2247__FDSAUDITLINK__" hidden="1">{"fdsup://Directions/FactSet Auditing Viewer?action=AUDIT_VALUE&amp;DB=129&amp;ID1=11162130&amp;VALUEID=02001&amp;SDATE=200603&amp;PERIODTYPE=QTR_STD&amp;SCFT=3&amp;window=popup_no_bar&amp;width=385&amp;height=120&amp;START_MAXIMIZED=FALSE&amp;creator=factset&amp;display_string=Audit"}</definedName>
    <definedName name="_2248__FDSAUDITLINK__" localSheetId="7" hidden="1">{"fdsup://Directions/FactSet Auditing Viewer?action=AUDIT_VALUE&amp;DB=129&amp;ID1=11162130&amp;VALUEID=02001&amp;SDATE=200603&amp;PERIODTYPE=QTR_STD&amp;SCFT=3&amp;window=popup_no_bar&amp;width=385&amp;height=120&amp;START_MAXIMIZED=FALSE&amp;creator=factset&amp;display_string=Audit"}</definedName>
    <definedName name="_2248__FDSAUDITLINK__" hidden="1">{"fdsup://Directions/FactSet Auditing Viewer?action=AUDIT_VALUE&amp;DB=129&amp;ID1=11162130&amp;VALUEID=02001&amp;SDATE=200603&amp;PERIODTYPE=QTR_STD&amp;SCFT=3&amp;window=popup_no_bar&amp;width=385&amp;height=120&amp;START_MAXIMIZED=FALSE&amp;creator=factset&amp;display_string=Audit"}</definedName>
    <definedName name="_2249__FDSAUDITLINK__" localSheetId="7" hidden="1">{"fdsup://Directions/FactSet Auditing Viewer?action=AUDIT_VALUE&amp;DB=129&amp;ID1=04743P10&amp;VALUEID=02001&amp;SDATE=200602&amp;PERIODTYPE=QTR_STD&amp;SCFT=3&amp;window=popup_no_bar&amp;width=385&amp;height=120&amp;START_MAXIMIZED=FALSE&amp;creator=factset&amp;display_string=Audit"}</definedName>
    <definedName name="_2249__FDSAUDITLINK__" hidden="1">{"fdsup://Directions/FactSet Auditing Viewer?action=AUDIT_VALUE&amp;DB=129&amp;ID1=04743P10&amp;VALUEID=02001&amp;SDATE=200602&amp;PERIODTYPE=QTR_STD&amp;SCFT=3&amp;window=popup_no_bar&amp;width=385&amp;height=120&amp;START_MAXIMIZED=FALSE&amp;creator=factset&amp;display_string=Audit"}</definedName>
    <definedName name="_225__FDSAUDITLINK__" localSheetId="7" hidden="1">{"fdsup://Directions/FactSet Auditing Viewer?action=AUDIT_VALUE&amp;DB=129&amp;ID1=50216110&amp;VALUEID=02001&amp;SDATE=201004&amp;PERIODTYPE=QTR_STD&amp;SCFT=3&amp;window=popup_no_bar&amp;width=385&amp;height=120&amp;START_MAXIMIZED=FALSE&amp;creator=factset&amp;display_string=Audit"}</definedName>
    <definedName name="_225__FDSAUDITLINK__" hidden="1">{"fdsup://Directions/FactSet Auditing Viewer?action=AUDIT_VALUE&amp;DB=129&amp;ID1=50216110&amp;VALUEID=02001&amp;SDATE=201004&amp;PERIODTYPE=QTR_STD&amp;SCFT=3&amp;window=popup_no_bar&amp;width=385&amp;height=120&amp;START_MAXIMIZED=FALSE&amp;creator=factset&amp;display_string=Audit"}</definedName>
    <definedName name="_2250__FDSAUDITLINK__" localSheetId="7" hidden="1">{"fdsup://Directions/FactSet Auditing Viewer?action=AUDIT_VALUE&amp;DB=129&amp;ID1=04743P10&amp;VALUEID=02001&amp;SDATE=200602&amp;PERIODTYPE=QTR_STD&amp;SCFT=3&amp;window=popup_no_bar&amp;width=385&amp;height=120&amp;START_MAXIMIZED=FALSE&amp;creator=factset&amp;display_string=Audit"}</definedName>
    <definedName name="_2250__FDSAUDITLINK__" hidden="1">{"fdsup://Directions/FactSet Auditing Viewer?action=AUDIT_VALUE&amp;DB=129&amp;ID1=04743P10&amp;VALUEID=02001&amp;SDATE=200602&amp;PERIODTYPE=QTR_STD&amp;SCFT=3&amp;window=popup_no_bar&amp;width=385&amp;height=120&amp;START_MAXIMIZED=FALSE&amp;creator=factset&amp;display_string=Audit"}</definedName>
    <definedName name="_2251__FDSAUDITLINK__" localSheetId="7" hidden="1">{"fdsup://Directions/FactSet Auditing Viewer?action=AUDIT_VALUE&amp;DB=129&amp;ID1=03251510&amp;VALUEID=02001&amp;SDATE=200602&amp;PERIODTYPE=QTR_STD&amp;SCFT=3&amp;window=popup_no_bar&amp;width=385&amp;height=120&amp;START_MAXIMIZED=FALSE&amp;creator=factset&amp;display_string=Audit"}</definedName>
    <definedName name="_2251__FDSAUDITLINK__" hidden="1">{"fdsup://Directions/FactSet Auditing Viewer?action=AUDIT_VALUE&amp;DB=129&amp;ID1=03251510&amp;VALUEID=02001&amp;SDATE=200602&amp;PERIODTYPE=QTR_STD&amp;SCFT=3&amp;window=popup_no_bar&amp;width=385&amp;height=120&amp;START_MAXIMIZED=FALSE&amp;creator=factset&amp;display_string=Audit"}</definedName>
    <definedName name="_2252__FDSAUDITLINK__" localSheetId="7" hidden="1">{"fdsup://Directions/FactSet Auditing Viewer?action=AUDIT_VALUE&amp;DB=129&amp;ID1=03251510&amp;VALUEID=02001&amp;SDATE=200602&amp;PERIODTYPE=QTR_STD&amp;SCFT=3&amp;window=popup_no_bar&amp;width=385&amp;height=120&amp;START_MAXIMIZED=FALSE&amp;creator=factset&amp;display_string=Audit"}</definedName>
    <definedName name="_2252__FDSAUDITLINK__" hidden="1">{"fdsup://Directions/FactSet Auditing Viewer?action=AUDIT_VALUE&amp;DB=129&amp;ID1=03251510&amp;VALUEID=02001&amp;SDATE=200602&amp;PERIODTYPE=QTR_STD&amp;SCFT=3&amp;window=popup_no_bar&amp;width=385&amp;height=120&amp;START_MAXIMIZED=FALSE&amp;creator=factset&amp;display_string=Audit"}</definedName>
    <definedName name="_2253__FDSAUDITLINK__" localSheetId="7" hidden="1">{"fdsup://Directions/FactSet Auditing Viewer?action=AUDIT_VALUE&amp;DB=129&amp;ID1=00790310&amp;VALUEID=02001&amp;SDATE=200602&amp;PERIODTYPE=QTR_STD&amp;SCFT=3&amp;window=popup_no_bar&amp;width=385&amp;height=120&amp;START_MAXIMIZED=FALSE&amp;creator=factset&amp;display_string=Audit"}</definedName>
    <definedName name="_2253__FDSAUDITLINK__" hidden="1">{"fdsup://Directions/FactSet Auditing Viewer?action=AUDIT_VALUE&amp;DB=129&amp;ID1=00790310&amp;VALUEID=02001&amp;SDATE=200602&amp;PERIODTYPE=QTR_STD&amp;SCFT=3&amp;window=popup_no_bar&amp;width=385&amp;height=120&amp;START_MAXIMIZED=FALSE&amp;creator=factset&amp;display_string=Audit"}</definedName>
    <definedName name="_2254__FDSAUDITLINK__" localSheetId="7" hidden="1">{"fdsup://Directions/FactSet Auditing Viewer?action=AUDIT_VALUE&amp;DB=129&amp;ID1=00790310&amp;VALUEID=02001&amp;SDATE=200602&amp;PERIODTYPE=QTR_STD&amp;SCFT=3&amp;window=popup_no_bar&amp;width=385&amp;height=120&amp;START_MAXIMIZED=FALSE&amp;creator=factset&amp;display_string=Audit"}</definedName>
    <definedName name="_2254__FDSAUDITLINK__" hidden="1">{"fdsup://Directions/FactSet Auditing Viewer?action=AUDIT_VALUE&amp;DB=129&amp;ID1=00790310&amp;VALUEID=02001&amp;SDATE=200602&amp;PERIODTYPE=QTR_STD&amp;SCFT=3&amp;window=popup_no_bar&amp;width=385&amp;height=120&amp;START_MAXIMIZED=FALSE&amp;creator=factset&amp;display_string=Audit"}</definedName>
    <definedName name="_2255__FDSAUDITLINK__" localSheetId="7" hidden="1">{"fdsup://Directions/FactSet Auditing Viewer?action=AUDIT_VALUE&amp;DB=129&amp;ID1=03822W40&amp;VALUEID=02001&amp;SDATE=200601&amp;PERIODTYPE=QTR_STD&amp;SCFT=3&amp;window=popup_no_bar&amp;width=385&amp;height=120&amp;START_MAXIMIZED=FALSE&amp;creator=factset&amp;display_string=Audit"}</definedName>
    <definedName name="_2255__FDSAUDITLINK__" hidden="1">{"fdsup://Directions/FactSet Auditing Viewer?action=AUDIT_VALUE&amp;DB=129&amp;ID1=03822W40&amp;VALUEID=02001&amp;SDATE=200601&amp;PERIODTYPE=QTR_STD&amp;SCFT=3&amp;window=popup_no_bar&amp;width=385&amp;height=120&amp;START_MAXIMIZED=FALSE&amp;creator=factset&amp;display_string=Audit"}</definedName>
    <definedName name="_2256__FDSAUDITLINK__" localSheetId="7" hidden="1">{"fdsup://Directions/FactSet Auditing Viewer?action=AUDIT_VALUE&amp;DB=129&amp;ID1=03822W40&amp;VALUEID=02001&amp;SDATE=200601&amp;PERIODTYPE=QTR_STD&amp;SCFT=3&amp;window=popup_no_bar&amp;width=385&amp;height=120&amp;START_MAXIMIZED=FALSE&amp;creator=factset&amp;display_string=Audit"}</definedName>
    <definedName name="_2256__FDSAUDITLINK__" hidden="1">{"fdsup://Directions/FactSet Auditing Viewer?action=AUDIT_VALUE&amp;DB=129&amp;ID1=03822W40&amp;VALUEID=02001&amp;SDATE=200601&amp;PERIODTYPE=QTR_STD&amp;SCFT=3&amp;window=popup_no_bar&amp;width=385&amp;height=120&amp;START_MAXIMIZED=FALSE&amp;creator=factset&amp;display_string=Audit"}</definedName>
    <definedName name="_2257__FDSAUDITLINK__" localSheetId="7" hidden="1">{"fdsup://Directions/FactSet Auditing Viewer?action=AUDIT_VALUE&amp;DB=129&amp;ID1=03822210&amp;VALUEID=02001&amp;SDATE=200603&amp;PERIODTYPE=QTR_STD&amp;SCFT=3&amp;window=popup_no_bar&amp;width=385&amp;height=120&amp;START_MAXIMIZED=FALSE&amp;creator=factset&amp;display_string=Audit"}</definedName>
    <definedName name="_2257__FDSAUDITLINK__" hidden="1">{"fdsup://Directions/FactSet Auditing Viewer?action=AUDIT_VALUE&amp;DB=129&amp;ID1=03822210&amp;VALUEID=02001&amp;SDATE=200603&amp;PERIODTYPE=QTR_STD&amp;SCFT=3&amp;window=popup_no_bar&amp;width=385&amp;height=120&amp;START_MAXIMIZED=FALSE&amp;creator=factset&amp;display_string=Audit"}</definedName>
    <definedName name="_2258__FDSAUDITLINK__" localSheetId="7" hidden="1">{"fdsup://Directions/FactSet Auditing Viewer?action=AUDIT_VALUE&amp;DB=129&amp;ID1=03822210&amp;VALUEID=02001&amp;SDATE=200603&amp;PERIODTYPE=QTR_STD&amp;SCFT=3&amp;window=popup_no_bar&amp;width=385&amp;height=120&amp;START_MAXIMIZED=FALSE&amp;creator=factset&amp;display_string=Audit"}</definedName>
    <definedName name="_2258__FDSAUDITLINK__" hidden="1">{"fdsup://Directions/FactSet Auditing Viewer?action=AUDIT_VALUE&amp;DB=129&amp;ID1=03822210&amp;VALUEID=02001&amp;SDATE=200603&amp;PERIODTYPE=QTR_STD&amp;SCFT=3&amp;window=popup_no_bar&amp;width=385&amp;height=120&amp;START_MAXIMIZED=FALSE&amp;creator=factset&amp;display_string=Audit"}</definedName>
    <definedName name="_2259__FDSAUDITLINK__" localSheetId="7" hidden="1">{"fdsup://Directions/FactSet Auditing Viewer?action=AUDIT_VALUE&amp;DB=129&amp;ID1=02144110&amp;VALUEID=02001&amp;SDATE=200602&amp;PERIODTYPE=QTR_STD&amp;SCFT=3&amp;window=popup_no_bar&amp;width=385&amp;height=120&amp;START_MAXIMIZED=FALSE&amp;creator=factset&amp;display_string=Audit"}</definedName>
    <definedName name="_2259__FDSAUDITLINK__" hidden="1">{"fdsup://Directions/FactSet Auditing Viewer?action=AUDIT_VALUE&amp;DB=129&amp;ID1=02144110&amp;VALUEID=02001&amp;SDATE=200602&amp;PERIODTYPE=QTR_STD&amp;SCFT=3&amp;window=popup_no_bar&amp;width=385&amp;height=120&amp;START_MAXIMIZED=FALSE&amp;creator=factset&amp;display_string=Audit"}</definedName>
    <definedName name="_226__FDSAUDITLINK__" localSheetId="7" hidden="1">{"fdsup://Directions/FactSet Auditing Viewer?action=AUDIT_VALUE&amp;DB=129&amp;ID1=50216110&amp;VALUEID=02001&amp;SDATE=201004&amp;PERIODTYPE=QTR_STD&amp;SCFT=3&amp;window=popup_no_bar&amp;width=385&amp;height=120&amp;START_MAXIMIZED=FALSE&amp;creator=factset&amp;display_string=Audit"}</definedName>
    <definedName name="_226__FDSAUDITLINK__" hidden="1">{"fdsup://Directions/FactSet Auditing Viewer?action=AUDIT_VALUE&amp;DB=129&amp;ID1=50216110&amp;VALUEID=02001&amp;SDATE=201004&amp;PERIODTYPE=QTR_STD&amp;SCFT=3&amp;window=popup_no_bar&amp;width=385&amp;height=120&amp;START_MAXIMIZED=FALSE&amp;creator=factset&amp;display_string=Audit"}</definedName>
    <definedName name="_2260__FDSAUDITLINK__" localSheetId="7" hidden="1">{"fdsup://Directions/FactSet Auditing Viewer?action=AUDIT_VALUE&amp;DB=129&amp;ID1=02144110&amp;VALUEID=02001&amp;SDATE=200602&amp;PERIODTYPE=QTR_STD&amp;SCFT=3&amp;window=popup_no_bar&amp;width=385&amp;height=120&amp;START_MAXIMIZED=FALSE&amp;creator=factset&amp;display_string=Audit"}</definedName>
    <definedName name="_2260__FDSAUDITLINK__" hidden="1">{"fdsup://Directions/FactSet Auditing Viewer?action=AUDIT_VALUE&amp;DB=129&amp;ID1=02144110&amp;VALUEID=02001&amp;SDATE=200602&amp;PERIODTYPE=QTR_STD&amp;SCFT=3&amp;window=popup_no_bar&amp;width=385&amp;height=120&amp;START_MAXIMIZED=FALSE&amp;creator=factset&amp;display_string=Audit"}</definedName>
    <definedName name="_2261__FDSAUDITLINK__" localSheetId="7" hidden="1">{"fdsup://Directions/FactSet Auditing Viewer?action=AUDIT_VALUE&amp;DB=129&amp;ID1=03265410&amp;VALUEID=02001&amp;SDATE=200603&amp;PERIODTYPE=QTR_STD&amp;SCFT=3&amp;window=popup_no_bar&amp;width=385&amp;height=120&amp;START_MAXIMIZED=FALSE&amp;creator=factset&amp;display_string=Audit"}</definedName>
    <definedName name="_2261__FDSAUDITLINK__" hidden="1">{"fdsup://Directions/FactSet Auditing Viewer?action=AUDIT_VALUE&amp;DB=129&amp;ID1=03265410&amp;VALUEID=02001&amp;SDATE=200603&amp;PERIODTYPE=QTR_STD&amp;SCFT=3&amp;window=popup_no_bar&amp;width=385&amp;height=120&amp;START_MAXIMIZED=FALSE&amp;creator=factset&amp;display_string=Audit"}</definedName>
    <definedName name="_2262__FDSAUDITLINK__" localSheetId="7" hidden="1">{"fdsup://Directions/FactSet Auditing Viewer?action=AUDIT_VALUE&amp;DB=129&amp;ID1=03265410&amp;VALUEID=02001&amp;SDATE=200603&amp;PERIODTYPE=QTR_STD&amp;SCFT=3&amp;window=popup_no_bar&amp;width=385&amp;height=120&amp;START_MAXIMIZED=FALSE&amp;creator=factset&amp;display_string=Audit"}</definedName>
    <definedName name="_2262__FDSAUDITLINK__" hidden="1">{"fdsup://Directions/FactSet Auditing Viewer?action=AUDIT_VALUE&amp;DB=129&amp;ID1=03265410&amp;VALUEID=02001&amp;SDATE=200603&amp;PERIODTYPE=QTR_STD&amp;SCFT=3&amp;window=popup_no_bar&amp;width=385&amp;height=120&amp;START_MAXIMIZED=FALSE&amp;creator=factset&amp;display_string=Audit"}</definedName>
    <definedName name="_2263__FDSAUDITLINK__" localSheetId="7" hidden="1">{"fdsup://Directions/FactSet Auditing Viewer?action=AUDIT_VALUE&amp;DB=129&amp;ID1=00752J10&amp;VALUEID=02001&amp;SDATE=200602&amp;PERIODTYPE=QTR_STD&amp;SCFT=3&amp;window=popup_no_bar&amp;width=385&amp;height=120&amp;START_MAXIMIZED=FALSE&amp;creator=factset&amp;display_string=Audit"}</definedName>
    <definedName name="_2263__FDSAUDITLINK__" hidden="1">{"fdsup://Directions/FactSet Auditing Viewer?action=AUDIT_VALUE&amp;DB=129&amp;ID1=00752J10&amp;VALUEID=02001&amp;SDATE=200602&amp;PERIODTYPE=QTR_STD&amp;SCFT=3&amp;window=popup_no_bar&amp;width=385&amp;height=120&amp;START_MAXIMIZED=FALSE&amp;creator=factset&amp;display_string=Audit"}</definedName>
    <definedName name="_2264__FDSAUDITLINK__" localSheetId="7" hidden="1">{"fdsup://Directions/FactSet Auditing Viewer?action=AUDIT_VALUE&amp;DB=129&amp;ID1=00752J10&amp;VALUEID=02001&amp;SDATE=200602&amp;PERIODTYPE=QTR_STD&amp;SCFT=3&amp;window=popup_no_bar&amp;width=385&amp;height=120&amp;START_MAXIMIZED=FALSE&amp;creator=factset&amp;display_string=Audit"}</definedName>
    <definedName name="_2264__FDSAUDITLINK__" hidden="1">{"fdsup://Directions/FactSet Auditing Viewer?action=AUDIT_VALUE&amp;DB=129&amp;ID1=00752J10&amp;VALUEID=02001&amp;SDATE=200602&amp;PERIODTYPE=QTR_STD&amp;SCFT=3&amp;window=popup_no_bar&amp;width=385&amp;height=120&amp;START_MAXIMIZED=FALSE&amp;creator=factset&amp;display_string=Audit"}</definedName>
    <definedName name="_2265__FDSAUDITLINK__" localSheetId="7" hidden="1">{"fdsup://Directions/FactSet Auditing Viewer?action=AUDIT_VALUE&amp;DB=129&amp;ID1=98975F10&amp;VALUEID=02001&amp;SDATE=200601&amp;PERIODTYPE=QTR_STD&amp;SCFT=3&amp;window=popup_no_bar&amp;width=385&amp;height=120&amp;START_MAXIMIZED=FALSE&amp;creator=factset&amp;display_string=Audit"}</definedName>
    <definedName name="_2265__FDSAUDITLINK__" hidden="1">{"fdsup://Directions/FactSet Auditing Viewer?action=AUDIT_VALUE&amp;DB=129&amp;ID1=98975F10&amp;VALUEID=02001&amp;SDATE=200601&amp;PERIODTYPE=QTR_STD&amp;SCFT=3&amp;window=popup_no_bar&amp;width=385&amp;height=120&amp;START_MAXIMIZED=FALSE&amp;creator=factset&amp;display_string=Audit"}</definedName>
    <definedName name="_2266__FDSAUDITLINK__" localSheetId="7" hidden="1">{"fdsup://Directions/FactSet Auditing Viewer?action=AUDIT_VALUE&amp;DB=129&amp;ID1=98975F10&amp;VALUEID=02001&amp;SDATE=200601&amp;PERIODTYPE=QTR_STD&amp;SCFT=3&amp;window=popup_no_bar&amp;width=385&amp;height=120&amp;START_MAXIMIZED=FALSE&amp;creator=factset&amp;display_string=Audit"}</definedName>
    <definedName name="_2266__FDSAUDITLINK__" hidden="1">{"fdsup://Directions/FactSet Auditing Viewer?action=AUDIT_VALUE&amp;DB=129&amp;ID1=98975F10&amp;VALUEID=02001&amp;SDATE=200601&amp;PERIODTYPE=QTR_STD&amp;SCFT=3&amp;window=popup_no_bar&amp;width=385&amp;height=120&amp;START_MAXIMIZED=FALSE&amp;creator=factset&amp;display_string=Audit"}</definedName>
    <definedName name="_2267__FDSAUDITLINK__" localSheetId="7" hidden="1">{"fdsup://Directions/FactSet Auditing Viewer?action=AUDIT_VALUE&amp;DB=129&amp;ID1=95810210&amp;VALUEID=02001&amp;SDATE=200603&amp;PERIODTYPE=QTR_STD&amp;SCFT=3&amp;window=popup_no_bar&amp;width=385&amp;height=120&amp;START_MAXIMIZED=FALSE&amp;creator=factset&amp;display_string=Audit"}</definedName>
    <definedName name="_2267__FDSAUDITLINK__" hidden="1">{"fdsup://Directions/FactSet Auditing Viewer?action=AUDIT_VALUE&amp;DB=129&amp;ID1=95810210&amp;VALUEID=02001&amp;SDATE=200603&amp;PERIODTYPE=QTR_STD&amp;SCFT=3&amp;window=popup_no_bar&amp;width=385&amp;height=120&amp;START_MAXIMIZED=FALSE&amp;creator=factset&amp;display_string=Audit"}</definedName>
    <definedName name="_2268__FDSAUDITLINK__" localSheetId="7" hidden="1">{"fdsup://Directions/FactSet Auditing Viewer?action=AUDIT_VALUE&amp;DB=129&amp;ID1=95810210&amp;VALUEID=02001&amp;SDATE=200603&amp;PERIODTYPE=QTR_STD&amp;SCFT=3&amp;window=popup_no_bar&amp;width=385&amp;height=120&amp;START_MAXIMIZED=FALSE&amp;creator=factset&amp;display_string=Audit"}</definedName>
    <definedName name="_2268__FDSAUDITLINK__" hidden="1">{"fdsup://Directions/FactSet Auditing Viewer?action=AUDIT_VALUE&amp;DB=129&amp;ID1=95810210&amp;VALUEID=02001&amp;SDATE=200603&amp;PERIODTYPE=QTR_STD&amp;SCFT=3&amp;window=popup_no_bar&amp;width=385&amp;height=120&amp;START_MAXIMIZED=FALSE&amp;creator=factset&amp;display_string=Audit"}</definedName>
    <definedName name="_2269__FDSAUDITLINK__" localSheetId="7" hidden="1">{"fdsup://Directions/FactSet Auditing Viewer?action=AUDIT_VALUE&amp;DB=129&amp;ID1=92829810&amp;VALUEID=02001&amp;SDATE=200601&amp;PERIODTYPE=QTR_STD&amp;SCFT=3&amp;window=popup_no_bar&amp;width=385&amp;height=120&amp;START_MAXIMIZED=FALSE&amp;creator=factset&amp;display_string=Audit"}</definedName>
    <definedName name="_2269__FDSAUDITLINK__" hidden="1">{"fdsup://Directions/FactSet Auditing Viewer?action=AUDIT_VALUE&amp;DB=129&amp;ID1=92829810&amp;VALUEID=02001&amp;SDATE=200601&amp;PERIODTYPE=QTR_STD&amp;SCFT=3&amp;window=popup_no_bar&amp;width=385&amp;height=120&amp;START_MAXIMIZED=FALSE&amp;creator=factset&amp;display_string=Audit"}</definedName>
    <definedName name="_227__FDSAUDITLINK__" localSheetId="7" hidden="1">{"fdsup://Directions/FactSet Auditing Viewer?action=AUDIT_VALUE&amp;DB=129&amp;ID1=51841510&amp;VALUEID=02001&amp;SDATE=201004&amp;PERIODTYPE=QTR_STD&amp;SCFT=3&amp;window=popup_no_bar&amp;width=385&amp;height=120&amp;START_MAXIMIZED=FALSE&amp;creator=factset&amp;display_string=Audit"}</definedName>
    <definedName name="_227__FDSAUDITLINK__" hidden="1">{"fdsup://Directions/FactSet Auditing Viewer?action=AUDIT_VALUE&amp;DB=129&amp;ID1=51841510&amp;VALUEID=02001&amp;SDATE=201004&amp;PERIODTYPE=QTR_STD&amp;SCFT=3&amp;window=popup_no_bar&amp;width=385&amp;height=120&amp;START_MAXIMIZED=FALSE&amp;creator=factset&amp;display_string=Audit"}</definedName>
    <definedName name="_2270__FDSAUDITLINK__" localSheetId="7" hidden="1">{"fdsup://Directions/FactSet Auditing Viewer?action=AUDIT_VALUE&amp;DB=129&amp;ID1=92829810&amp;VALUEID=02001&amp;SDATE=200601&amp;PERIODTYPE=QTR_STD&amp;SCFT=3&amp;window=popup_no_bar&amp;width=385&amp;height=120&amp;START_MAXIMIZED=FALSE&amp;creator=factset&amp;display_string=Audit"}</definedName>
    <definedName name="_2270__FDSAUDITLINK__" hidden="1">{"fdsup://Directions/FactSet Auditing Viewer?action=AUDIT_VALUE&amp;DB=129&amp;ID1=92829810&amp;VALUEID=02001&amp;SDATE=200601&amp;PERIODTYPE=QTR_STD&amp;SCFT=3&amp;window=popup_no_bar&amp;width=385&amp;height=120&amp;START_MAXIMIZED=FALSE&amp;creator=factset&amp;display_string=Audit"}</definedName>
    <definedName name="_2271__FDSAUDITLINK__" localSheetId="7" hidden="1">{"fdsup://Directions/FactSet Auditing Viewer?action=AUDIT_VALUE&amp;DB=129&amp;ID1=88250810&amp;VALUEID=02001&amp;SDATE=200601&amp;PERIODTYPE=QTR_STD&amp;SCFT=3&amp;window=popup_no_bar&amp;width=385&amp;height=120&amp;START_MAXIMIZED=FALSE&amp;creator=factset&amp;display_string=Audit"}</definedName>
    <definedName name="_2271__FDSAUDITLINK__" hidden="1">{"fdsup://Directions/FactSet Auditing Viewer?action=AUDIT_VALUE&amp;DB=129&amp;ID1=88250810&amp;VALUEID=02001&amp;SDATE=200601&amp;PERIODTYPE=QTR_STD&amp;SCFT=3&amp;window=popup_no_bar&amp;width=385&amp;height=120&amp;START_MAXIMIZED=FALSE&amp;creator=factset&amp;display_string=Audit"}</definedName>
    <definedName name="_2272__FDSAUDITLINK__" localSheetId="7" hidden="1">{"fdsup://Directions/FactSet Auditing Viewer?action=AUDIT_VALUE&amp;DB=129&amp;ID1=88250810&amp;VALUEID=02001&amp;SDATE=200601&amp;PERIODTYPE=QTR_STD&amp;SCFT=3&amp;window=popup_no_bar&amp;width=385&amp;height=120&amp;START_MAXIMIZED=FALSE&amp;creator=factset&amp;display_string=Audit"}</definedName>
    <definedName name="_2272__FDSAUDITLINK__" hidden="1">{"fdsup://Directions/FactSet Auditing Viewer?action=AUDIT_VALUE&amp;DB=129&amp;ID1=88250810&amp;VALUEID=02001&amp;SDATE=200601&amp;PERIODTYPE=QTR_STD&amp;SCFT=3&amp;window=popup_no_bar&amp;width=385&amp;height=120&amp;START_MAXIMIZED=FALSE&amp;creator=factset&amp;display_string=Audit"}</definedName>
    <definedName name="_2273__FDSAUDITLINK__" localSheetId="7" hidden="1">{"fdsup://Directions/FactSet Auditing Viewer?action=AUDIT_VALUE&amp;DB=129&amp;ID1=89674K10&amp;VALUEID=02001&amp;SDATE=200601&amp;PERIODTYPE=QTR_STD&amp;SCFT=3&amp;window=popup_no_bar&amp;width=385&amp;height=120&amp;START_MAXIMIZED=FALSE&amp;creator=factset&amp;display_string=Audit"}</definedName>
    <definedName name="_2273__FDSAUDITLINK__" hidden="1">{"fdsup://Directions/FactSet Auditing Viewer?action=AUDIT_VALUE&amp;DB=129&amp;ID1=89674K10&amp;VALUEID=02001&amp;SDATE=200601&amp;PERIODTYPE=QTR_STD&amp;SCFT=3&amp;window=popup_no_bar&amp;width=385&amp;height=120&amp;START_MAXIMIZED=FALSE&amp;creator=factset&amp;display_string=Audit"}</definedName>
    <definedName name="_2274__FDSAUDITLINK__" localSheetId="7" hidden="1">{"fdsup://Directions/FactSet Auditing Viewer?action=AUDIT_VALUE&amp;DB=129&amp;ID1=89674K10&amp;VALUEID=02001&amp;SDATE=200601&amp;PERIODTYPE=QTR_STD&amp;SCFT=3&amp;window=popup_no_bar&amp;width=385&amp;height=120&amp;START_MAXIMIZED=FALSE&amp;creator=factset&amp;display_string=Audit"}</definedName>
    <definedName name="_2274__FDSAUDITLINK__" hidden="1">{"fdsup://Directions/FactSet Auditing Viewer?action=AUDIT_VALUE&amp;DB=129&amp;ID1=89674K10&amp;VALUEID=02001&amp;SDATE=200601&amp;PERIODTYPE=QTR_STD&amp;SCFT=3&amp;window=popup_no_bar&amp;width=385&amp;height=120&amp;START_MAXIMIZED=FALSE&amp;creator=factset&amp;display_string=Audit"}</definedName>
    <definedName name="_2275__FDSAUDITLINK__" localSheetId="7" hidden="1">{"fdsup://Directions/FactSet Auditing Viewer?action=AUDIT_VALUE&amp;DB=129&amp;ID1=83088M10&amp;VALUEID=02001&amp;SDATE=200602&amp;PERIODTYPE=QTR_STD&amp;SCFT=3&amp;window=popup_no_bar&amp;width=385&amp;height=120&amp;START_MAXIMIZED=FALSE&amp;creator=factset&amp;display_string=Audit"}</definedName>
    <definedName name="_2275__FDSAUDITLINK__" hidden="1">{"fdsup://Directions/FactSet Auditing Viewer?action=AUDIT_VALUE&amp;DB=129&amp;ID1=83088M10&amp;VALUEID=02001&amp;SDATE=200602&amp;PERIODTYPE=QTR_STD&amp;SCFT=3&amp;window=popup_no_bar&amp;width=385&amp;height=120&amp;START_MAXIMIZED=FALSE&amp;creator=factset&amp;display_string=Audit"}</definedName>
    <definedName name="_2276__FDSAUDITLINK__" localSheetId="7" hidden="1">{"fdsup://Directions/FactSet Auditing Viewer?action=AUDIT_VALUE&amp;DB=129&amp;ID1=83088M10&amp;VALUEID=02001&amp;SDATE=200602&amp;PERIODTYPE=QTR_STD&amp;SCFT=3&amp;window=popup_no_bar&amp;width=385&amp;height=120&amp;START_MAXIMIZED=FALSE&amp;creator=factset&amp;display_string=Audit"}</definedName>
    <definedName name="_2276__FDSAUDITLINK__" hidden="1">{"fdsup://Directions/FactSet Auditing Viewer?action=AUDIT_VALUE&amp;DB=129&amp;ID1=83088M10&amp;VALUEID=02001&amp;SDATE=200602&amp;PERIODTYPE=QTR_STD&amp;SCFT=3&amp;window=popup_no_bar&amp;width=385&amp;height=120&amp;START_MAXIMIZED=FALSE&amp;creator=factset&amp;display_string=Audit"}</definedName>
    <definedName name="_2277__FDSAUDITLINK__" localSheetId="7" hidden="1">{"fdsup://Directions/FactSet Auditing Viewer?action=AUDIT_VALUE&amp;DB=129&amp;ID1=G7945M10&amp;VALUEID=02001&amp;SDATE=200603&amp;PERIODTYPE=QTR_STD&amp;SCFT=3&amp;window=popup_no_bar&amp;width=385&amp;height=120&amp;START_MAXIMIZED=FALSE&amp;creator=factset&amp;display_string=Audit"}</definedName>
    <definedName name="_2277__FDSAUDITLINK__" hidden="1">{"fdsup://Directions/FactSet Auditing Viewer?action=AUDIT_VALUE&amp;DB=129&amp;ID1=G7945M10&amp;VALUEID=02001&amp;SDATE=200603&amp;PERIODTYPE=QTR_STD&amp;SCFT=3&amp;window=popup_no_bar&amp;width=385&amp;height=120&amp;START_MAXIMIZED=FALSE&amp;creator=factset&amp;display_string=Audit"}</definedName>
    <definedName name="_2278__FDSAUDITLINK__" localSheetId="7" hidden="1">{"fdsup://Directions/FactSet Auditing Viewer?action=AUDIT_VALUE&amp;DB=129&amp;ID1=G7945M10&amp;VALUEID=02001&amp;SDATE=200603&amp;PERIODTYPE=QTR_STD&amp;SCFT=3&amp;window=popup_no_bar&amp;width=385&amp;height=120&amp;START_MAXIMIZED=FALSE&amp;creator=factset&amp;display_string=Audit"}</definedName>
    <definedName name="_2278__FDSAUDITLINK__" hidden="1">{"fdsup://Directions/FactSet Auditing Viewer?action=AUDIT_VALUE&amp;DB=129&amp;ID1=G7945M10&amp;VALUEID=02001&amp;SDATE=200603&amp;PERIODTYPE=QTR_STD&amp;SCFT=3&amp;window=popup_no_bar&amp;width=385&amp;height=120&amp;START_MAXIMIZED=FALSE&amp;creator=factset&amp;display_string=Audit"}</definedName>
    <definedName name="_2279__FDSAUDITLINK__" localSheetId="7" hidden="1">{"fdsup://Directions/FactSet Auditing Viewer?action=AUDIT_VALUE&amp;DB=129&amp;ID1=78477410&amp;VALUEID=02001&amp;SDATE=200601&amp;PERIODTYPE=QTR_STD&amp;SCFT=3&amp;window=popup_no_bar&amp;width=385&amp;height=120&amp;START_MAXIMIZED=FALSE&amp;creator=factset&amp;display_string=Audit"}</definedName>
    <definedName name="_2279__FDSAUDITLINK__" hidden="1">{"fdsup://Directions/FactSet Auditing Viewer?action=AUDIT_VALUE&amp;DB=129&amp;ID1=78477410&amp;VALUEID=02001&amp;SDATE=200601&amp;PERIODTYPE=QTR_STD&amp;SCFT=3&amp;window=popup_no_bar&amp;width=385&amp;height=120&amp;START_MAXIMIZED=FALSE&amp;creator=factset&amp;display_string=Audit"}</definedName>
    <definedName name="_228__FDSAUDITLINK__" localSheetId="7" hidden="1">{"fdsup://Directions/FactSet Auditing Viewer?action=AUDIT_VALUE&amp;DB=129&amp;ID1=51841510&amp;VALUEID=02001&amp;SDATE=201004&amp;PERIODTYPE=QTR_STD&amp;SCFT=3&amp;window=popup_no_bar&amp;width=385&amp;height=120&amp;START_MAXIMIZED=FALSE&amp;creator=factset&amp;display_string=Audit"}</definedName>
    <definedName name="_228__FDSAUDITLINK__" hidden="1">{"fdsup://Directions/FactSet Auditing Viewer?action=AUDIT_VALUE&amp;DB=129&amp;ID1=51841510&amp;VALUEID=02001&amp;SDATE=201004&amp;PERIODTYPE=QTR_STD&amp;SCFT=3&amp;window=popup_no_bar&amp;width=385&amp;height=120&amp;START_MAXIMIZED=FALSE&amp;creator=factset&amp;display_string=Audit"}</definedName>
    <definedName name="_2280__FDSAUDITLINK__" localSheetId="7" hidden="1">{"fdsup://Directions/FactSet Auditing Viewer?action=AUDIT_VALUE&amp;DB=129&amp;ID1=78477410&amp;VALUEID=02001&amp;SDATE=200601&amp;PERIODTYPE=QTR_STD&amp;SCFT=3&amp;window=popup_no_bar&amp;width=385&amp;height=120&amp;START_MAXIMIZED=FALSE&amp;creator=factset&amp;display_string=Audit"}</definedName>
    <definedName name="_2280__FDSAUDITLINK__" hidden="1">{"fdsup://Directions/FactSet Auditing Viewer?action=AUDIT_VALUE&amp;DB=129&amp;ID1=78477410&amp;VALUEID=02001&amp;SDATE=200601&amp;PERIODTYPE=QTR_STD&amp;SCFT=3&amp;window=popup_no_bar&amp;width=385&amp;height=120&amp;START_MAXIMIZED=FALSE&amp;creator=factset&amp;display_string=Audit"}</definedName>
    <definedName name="_2281__FDSAUDITLINK__" localSheetId="7" hidden="1">{"fdsup://Directions/FactSet Auditing Viewer?action=AUDIT_VALUE&amp;DB=129&amp;ID1=83547010&amp;VALUEID=02001&amp;SDATE=200601&amp;PERIODTYPE=QTR_STD&amp;SCFT=3&amp;window=popup_no_bar&amp;width=385&amp;height=120&amp;START_MAXIMIZED=FALSE&amp;creator=factset&amp;display_string=Audit"}</definedName>
    <definedName name="_2281__FDSAUDITLINK__" hidden="1">{"fdsup://Directions/FactSet Auditing Viewer?action=AUDIT_VALUE&amp;DB=129&amp;ID1=83547010&amp;VALUEID=02001&amp;SDATE=200601&amp;PERIODTYPE=QTR_STD&amp;SCFT=3&amp;window=popup_no_bar&amp;width=385&amp;height=120&amp;START_MAXIMIZED=FALSE&amp;creator=factset&amp;display_string=Audit"}</definedName>
    <definedName name="_2282__FDSAUDITLINK__" localSheetId="7" hidden="1">{"fdsup://Directions/FactSet Auditing Viewer?action=AUDIT_VALUE&amp;DB=129&amp;ID1=83547010&amp;VALUEID=02001&amp;SDATE=200601&amp;PERIODTYPE=QTR_STD&amp;SCFT=3&amp;window=popup_no_bar&amp;width=385&amp;height=120&amp;START_MAXIMIZED=FALSE&amp;creator=factset&amp;display_string=Audit"}</definedName>
    <definedName name="_2282__FDSAUDITLINK__" hidden="1">{"fdsup://Directions/FactSet Auditing Viewer?action=AUDIT_VALUE&amp;DB=129&amp;ID1=83547010&amp;VALUEID=02001&amp;SDATE=200601&amp;PERIODTYPE=QTR_STD&amp;SCFT=3&amp;window=popup_no_bar&amp;width=385&amp;height=120&amp;START_MAXIMIZED=FALSE&amp;creator=factset&amp;display_string=Audit"}</definedName>
    <definedName name="_2283__FDSAUDITLINK__" localSheetId="7" hidden="1">{"fdsup://Directions/FactSet Auditing Viewer?action=AUDIT_VALUE&amp;DB=129&amp;ID1=87160710&amp;VALUEID=02001&amp;SDATE=200602&amp;PERIODTYPE=QTR_STD&amp;SCFT=3&amp;window=popup_no_bar&amp;width=385&amp;height=120&amp;START_MAXIMIZED=FALSE&amp;creator=factset&amp;display_string=Audit"}</definedName>
    <definedName name="_2283__FDSAUDITLINK__" hidden="1">{"fdsup://Directions/FactSet Auditing Viewer?action=AUDIT_VALUE&amp;DB=129&amp;ID1=87160710&amp;VALUEID=02001&amp;SDATE=200602&amp;PERIODTYPE=QTR_STD&amp;SCFT=3&amp;window=popup_no_bar&amp;width=385&amp;height=120&amp;START_MAXIMIZED=FALSE&amp;creator=factset&amp;display_string=Audit"}</definedName>
    <definedName name="_2284__FDSAUDITLINK__" localSheetId="7" hidden="1">{"fdsup://Directions/FactSet Auditing Viewer?action=AUDIT_VALUE&amp;DB=129&amp;ID1=87160710&amp;VALUEID=02001&amp;SDATE=200602&amp;PERIODTYPE=QTR_STD&amp;SCFT=3&amp;window=popup_no_bar&amp;width=385&amp;height=120&amp;START_MAXIMIZED=FALSE&amp;creator=factset&amp;display_string=Audit"}</definedName>
    <definedName name="_2284__FDSAUDITLINK__" hidden="1">{"fdsup://Directions/FactSet Auditing Viewer?action=AUDIT_VALUE&amp;DB=129&amp;ID1=87160710&amp;VALUEID=02001&amp;SDATE=200602&amp;PERIODTYPE=QTR_STD&amp;SCFT=3&amp;window=popup_no_bar&amp;width=385&amp;height=120&amp;START_MAXIMIZED=FALSE&amp;creator=factset&amp;display_string=Audit"}</definedName>
    <definedName name="_2285__FDSAUDITLINK__" localSheetId="7" hidden="1">{"fdsup://Directions/FactSet Auditing Viewer?action=AUDIT_VALUE&amp;DB=129&amp;ID1=80004C10&amp;VALUEID=02001&amp;SDATE=200601&amp;PERIODTYPE=QTR_STD&amp;SCFT=3&amp;window=popup_no_bar&amp;width=385&amp;height=120&amp;START_MAXIMIZED=FALSE&amp;creator=factset&amp;display_string=Audit"}</definedName>
    <definedName name="_2285__FDSAUDITLINK__" hidden="1">{"fdsup://Directions/FactSet Auditing Viewer?action=AUDIT_VALUE&amp;DB=129&amp;ID1=80004C10&amp;VALUEID=02001&amp;SDATE=200601&amp;PERIODTYPE=QTR_STD&amp;SCFT=3&amp;window=popup_no_bar&amp;width=385&amp;height=120&amp;START_MAXIMIZED=FALSE&amp;creator=factset&amp;display_string=Audit"}</definedName>
    <definedName name="_2286__FDSAUDITLINK__" localSheetId="7" hidden="1">{"fdsup://Directions/FactSet Auditing Viewer?action=AUDIT_VALUE&amp;DB=129&amp;ID1=80004C10&amp;VALUEID=02001&amp;SDATE=200601&amp;PERIODTYPE=QTR_STD&amp;SCFT=3&amp;window=popup_no_bar&amp;width=385&amp;height=120&amp;START_MAXIMIZED=FALSE&amp;creator=factset&amp;display_string=Audit"}</definedName>
    <definedName name="_2286__FDSAUDITLINK__" hidden="1">{"fdsup://Directions/FactSet Auditing Viewer?action=AUDIT_VALUE&amp;DB=129&amp;ID1=80004C10&amp;VALUEID=02001&amp;SDATE=200601&amp;PERIODTYPE=QTR_STD&amp;SCFT=3&amp;window=popup_no_bar&amp;width=385&amp;height=120&amp;START_MAXIMIZED=FALSE&amp;creator=factset&amp;display_string=Audit"}</definedName>
    <definedName name="_2287__FDSAUDITLINK__" localSheetId="7" hidden="1">{"fdsup://Directions/FactSet Auditing Viewer?action=AUDIT_VALUE&amp;DB=129&amp;ID1=81685010&amp;VALUEID=02001&amp;SDATE=200601&amp;PERIODTYPE=QTR_STD&amp;SCFT=3&amp;window=popup_no_bar&amp;width=385&amp;height=120&amp;START_MAXIMIZED=FALSE&amp;creator=factset&amp;display_string=Audit"}</definedName>
    <definedName name="_2287__FDSAUDITLINK__" hidden="1">{"fdsup://Directions/FactSet Auditing Viewer?action=AUDIT_VALUE&amp;DB=129&amp;ID1=81685010&amp;VALUEID=02001&amp;SDATE=200601&amp;PERIODTYPE=QTR_STD&amp;SCFT=3&amp;window=popup_no_bar&amp;width=385&amp;height=120&amp;START_MAXIMIZED=FALSE&amp;creator=factset&amp;display_string=Audit"}</definedName>
    <definedName name="_2288__FDSAUDITLINK__" localSheetId="7" hidden="1">{"fdsup://Directions/FactSet Auditing Viewer?action=AUDIT_VALUE&amp;DB=129&amp;ID1=81685010&amp;VALUEID=02001&amp;SDATE=200601&amp;PERIODTYPE=QTR_STD&amp;SCFT=3&amp;window=popup_no_bar&amp;width=385&amp;height=120&amp;START_MAXIMIZED=FALSE&amp;creator=factset&amp;display_string=Audit"}</definedName>
    <definedName name="_2288__FDSAUDITLINK__" hidden="1">{"fdsup://Directions/FactSet Auditing Viewer?action=AUDIT_VALUE&amp;DB=129&amp;ID1=81685010&amp;VALUEID=02001&amp;SDATE=200601&amp;PERIODTYPE=QTR_STD&amp;SCFT=3&amp;window=popup_no_bar&amp;width=385&amp;height=120&amp;START_MAXIMIZED=FALSE&amp;creator=factset&amp;display_string=Audit"}</definedName>
    <definedName name="_2289__FDSAUDITLINK__" localSheetId="7" hidden="1">{"fdsup://Directions/FactSet Auditing Viewer?action=AUDIT_VALUE&amp;DB=129&amp;ID1=82691910&amp;VALUEID=02001&amp;SDATE=200601&amp;PERIODTYPE=QTR_STD&amp;SCFT=3&amp;window=popup_no_bar&amp;width=385&amp;height=120&amp;START_MAXIMIZED=FALSE&amp;creator=factset&amp;display_string=Audit"}</definedName>
    <definedName name="_2289__FDSAUDITLINK__" hidden="1">{"fdsup://Directions/FactSet Auditing Viewer?action=AUDIT_VALUE&amp;DB=129&amp;ID1=82691910&amp;VALUEID=02001&amp;SDATE=200601&amp;PERIODTYPE=QTR_STD&amp;SCFT=3&amp;window=popup_no_bar&amp;width=385&amp;height=120&amp;START_MAXIMIZED=FALSE&amp;creator=factset&amp;display_string=Audit"}</definedName>
    <definedName name="_229__FDSAUDITLINK__" localSheetId="7" hidden="1">{"fdsup://Directions/FactSet Auditing Viewer?action=AUDIT_VALUE&amp;DB=129&amp;ID1=51280710&amp;VALUEID=02001&amp;SDATE=201102&amp;PERIODTYPE=QTR_STD&amp;SCFT=3&amp;window=popup_no_bar&amp;width=385&amp;height=120&amp;START_MAXIMIZED=FALSE&amp;creator=factset&amp;display_string=Audit"}</definedName>
    <definedName name="_229__FDSAUDITLINK__" hidden="1">{"fdsup://Directions/FactSet Auditing Viewer?action=AUDIT_VALUE&amp;DB=129&amp;ID1=51280710&amp;VALUEID=02001&amp;SDATE=201102&amp;PERIODTYPE=QTR_STD&amp;SCFT=3&amp;window=popup_no_bar&amp;width=385&amp;height=120&amp;START_MAXIMIZED=FALSE&amp;creator=factset&amp;display_string=Audit"}</definedName>
    <definedName name="_2290__FDSAUDITLINK__" localSheetId="7" hidden="1">{"fdsup://Directions/FactSet Auditing Viewer?action=AUDIT_VALUE&amp;DB=129&amp;ID1=82691910&amp;VALUEID=02001&amp;SDATE=200601&amp;PERIODTYPE=QTR_STD&amp;SCFT=3&amp;window=popup_no_bar&amp;width=385&amp;height=120&amp;START_MAXIMIZED=FALSE&amp;creator=factset&amp;display_string=Audit"}</definedName>
    <definedName name="_2290__FDSAUDITLINK__" hidden="1">{"fdsup://Directions/FactSet Auditing Viewer?action=AUDIT_VALUE&amp;DB=129&amp;ID1=82691910&amp;VALUEID=02001&amp;SDATE=200601&amp;PERIODTYPE=QTR_STD&amp;SCFT=3&amp;window=popup_no_bar&amp;width=385&amp;height=120&amp;START_MAXIMIZED=FALSE&amp;creator=factset&amp;display_string=Audit"}</definedName>
    <definedName name="_2291__FDSAUDITLINK__" localSheetId="7" hidden="1">{"fdsup://Directions/FactSet Auditing Viewer?action=AUDIT_VALUE&amp;DB=129&amp;ID1=82705T10&amp;VALUEID=02001&amp;SDATE=200601&amp;PERIODTYPE=QTR_STD&amp;SCFT=3&amp;window=popup_no_bar&amp;width=385&amp;height=120&amp;START_MAXIMIZED=FALSE&amp;creator=factset&amp;display_string=Audit"}</definedName>
    <definedName name="_2291__FDSAUDITLINK__" hidden="1">{"fdsup://Directions/FactSet Auditing Viewer?action=AUDIT_VALUE&amp;DB=129&amp;ID1=82705T10&amp;VALUEID=02001&amp;SDATE=200601&amp;PERIODTYPE=QTR_STD&amp;SCFT=3&amp;window=popup_no_bar&amp;width=385&amp;height=120&amp;START_MAXIMIZED=FALSE&amp;creator=factset&amp;display_string=Audit"}</definedName>
    <definedName name="_2292__FDSAUDITLINK__" localSheetId="7" hidden="1">{"fdsup://Directions/FactSet Auditing Viewer?action=AUDIT_VALUE&amp;DB=129&amp;ID1=82705T10&amp;VALUEID=02001&amp;SDATE=200601&amp;PERIODTYPE=QTR_STD&amp;SCFT=3&amp;window=popup_no_bar&amp;width=385&amp;height=120&amp;START_MAXIMIZED=FALSE&amp;creator=factset&amp;display_string=Audit"}</definedName>
    <definedName name="_2292__FDSAUDITLINK__" hidden="1">{"fdsup://Directions/FactSet Auditing Viewer?action=AUDIT_VALUE&amp;DB=129&amp;ID1=82705T10&amp;VALUEID=02001&amp;SDATE=200601&amp;PERIODTYPE=QTR_STD&amp;SCFT=3&amp;window=popup_no_bar&amp;width=385&amp;height=120&amp;START_MAXIMIZED=FALSE&amp;creator=factset&amp;display_string=Audit"}</definedName>
    <definedName name="_2293__FDSAUDITLINK__" localSheetId="7" hidden="1">{"fdsup://Directions/FactSet Auditing Viewer?action=AUDIT_VALUE&amp;DB=129&amp;ID1=75091710&amp;VALUEID=02001&amp;SDATE=200601&amp;PERIODTYPE=QTR_STD&amp;SCFT=3&amp;window=popup_no_bar&amp;width=385&amp;height=120&amp;START_MAXIMIZED=FALSE&amp;creator=factset&amp;display_string=Audit"}</definedName>
    <definedName name="_2293__FDSAUDITLINK__" hidden="1">{"fdsup://Directions/FactSet Auditing Viewer?action=AUDIT_VALUE&amp;DB=129&amp;ID1=75091710&amp;VALUEID=02001&amp;SDATE=200601&amp;PERIODTYPE=QTR_STD&amp;SCFT=3&amp;window=popup_no_bar&amp;width=385&amp;height=120&amp;START_MAXIMIZED=FALSE&amp;creator=factset&amp;display_string=Audit"}</definedName>
    <definedName name="_2294__FDSAUDITLINK__" localSheetId="7" hidden="1">{"fdsup://Directions/FactSet Auditing Viewer?action=AUDIT_VALUE&amp;DB=129&amp;ID1=75091710&amp;VALUEID=02001&amp;SDATE=200601&amp;PERIODTYPE=QTR_STD&amp;SCFT=3&amp;window=popup_no_bar&amp;width=385&amp;height=120&amp;START_MAXIMIZED=FALSE&amp;creator=factset&amp;display_string=Audit"}</definedName>
    <definedName name="_2294__FDSAUDITLINK__" hidden="1">{"fdsup://Directions/FactSet Auditing Viewer?action=AUDIT_VALUE&amp;DB=129&amp;ID1=75091710&amp;VALUEID=02001&amp;SDATE=200601&amp;PERIODTYPE=QTR_STD&amp;SCFT=3&amp;window=popup_no_bar&amp;width=385&amp;height=120&amp;START_MAXIMIZED=FALSE&amp;creator=factset&amp;display_string=Audit"}</definedName>
    <definedName name="_2295__FDSAUDITLINK__" localSheetId="7" hidden="1">{"fdsup://Directions/FactSet Auditing Viewer?action=AUDIT_VALUE&amp;DB=129&amp;ID1=74752510&amp;VALUEID=02001&amp;SDATE=200602&amp;PERIODTYPE=QTR_STD&amp;SCFT=3&amp;window=popup_no_bar&amp;width=385&amp;height=120&amp;START_MAXIMIZED=FALSE&amp;creator=factset&amp;display_string=Audit"}</definedName>
    <definedName name="_2295__FDSAUDITLINK__" hidden="1">{"fdsup://Directions/FactSet Auditing Viewer?action=AUDIT_VALUE&amp;DB=129&amp;ID1=74752510&amp;VALUEID=02001&amp;SDATE=200602&amp;PERIODTYPE=QTR_STD&amp;SCFT=3&amp;window=popup_no_bar&amp;width=385&amp;height=120&amp;START_MAXIMIZED=FALSE&amp;creator=factset&amp;display_string=Audit"}</definedName>
    <definedName name="_2296__FDSAUDITLINK__" localSheetId="7" hidden="1">{"fdsup://Directions/FactSet Auditing Viewer?action=AUDIT_VALUE&amp;DB=129&amp;ID1=74752510&amp;VALUEID=02001&amp;SDATE=200602&amp;PERIODTYPE=QTR_STD&amp;SCFT=3&amp;window=popup_no_bar&amp;width=385&amp;height=120&amp;START_MAXIMIZED=FALSE&amp;creator=factset&amp;display_string=Audit"}</definedName>
    <definedName name="_2296__FDSAUDITLINK__" hidden="1">{"fdsup://Directions/FactSet Auditing Viewer?action=AUDIT_VALUE&amp;DB=129&amp;ID1=74752510&amp;VALUEID=02001&amp;SDATE=200602&amp;PERIODTYPE=QTR_STD&amp;SCFT=3&amp;window=popup_no_bar&amp;width=385&amp;height=120&amp;START_MAXIMIZED=FALSE&amp;creator=factset&amp;display_string=Audit"}</definedName>
    <definedName name="_2297__FDSAUDITLINK__" localSheetId="7" hidden="1">{"fdsup://Directions/FactSet Auditing Viewer?action=AUDIT_VALUE&amp;DB=129&amp;ID1=72581M30&amp;VALUEID=02001&amp;SDATE=200601&amp;PERIODTYPE=QTR_STD&amp;SCFT=3&amp;window=popup_no_bar&amp;width=385&amp;height=120&amp;START_MAXIMIZED=FALSE&amp;creator=factset&amp;display_string=Audit"}</definedName>
    <definedName name="_2297__FDSAUDITLINK__" hidden="1">{"fdsup://Directions/FactSet Auditing Viewer?action=AUDIT_VALUE&amp;DB=129&amp;ID1=72581M30&amp;VALUEID=02001&amp;SDATE=200601&amp;PERIODTYPE=QTR_STD&amp;SCFT=3&amp;window=popup_no_bar&amp;width=385&amp;height=120&amp;START_MAXIMIZED=FALSE&amp;creator=factset&amp;display_string=Audit"}</definedName>
    <definedName name="_2298__FDSAUDITLINK__" localSheetId="7" hidden="1">{"fdsup://Directions/FactSet Auditing Viewer?action=AUDIT_VALUE&amp;DB=129&amp;ID1=72581M30&amp;VALUEID=02001&amp;SDATE=200601&amp;PERIODTYPE=QTR_STD&amp;SCFT=3&amp;window=popup_no_bar&amp;width=385&amp;height=120&amp;START_MAXIMIZED=FALSE&amp;creator=factset&amp;display_string=Audit"}</definedName>
    <definedName name="_2298__FDSAUDITLINK__" hidden="1">{"fdsup://Directions/FactSet Auditing Viewer?action=AUDIT_VALUE&amp;DB=129&amp;ID1=72581M30&amp;VALUEID=02001&amp;SDATE=200601&amp;PERIODTYPE=QTR_STD&amp;SCFT=3&amp;window=popup_no_bar&amp;width=385&amp;height=120&amp;START_MAXIMIZED=FALSE&amp;creator=factset&amp;display_string=Audit"}</definedName>
    <definedName name="_2299__FDSAUDITLINK__" localSheetId="7" hidden="1">{"fdsup://Directions/FactSet Auditing Viewer?action=AUDIT_VALUE&amp;DB=129&amp;ID1=73927610&amp;VALUEID=02001&amp;SDATE=200601&amp;PERIODTYPE=QTR_STD&amp;SCFT=3&amp;window=popup_no_bar&amp;width=385&amp;height=120&amp;START_MAXIMIZED=FALSE&amp;creator=factset&amp;display_string=Audit"}</definedName>
    <definedName name="_2299__FDSAUDITLINK__" hidden="1">{"fdsup://Directions/FactSet Auditing Viewer?action=AUDIT_VALUE&amp;DB=129&amp;ID1=73927610&amp;VALUEID=02001&amp;SDATE=200601&amp;PERIODTYPE=QTR_STD&amp;SCFT=3&amp;window=popup_no_bar&amp;width=385&amp;height=120&amp;START_MAXIMIZED=FALSE&amp;creator=factset&amp;display_string=Audit"}</definedName>
    <definedName name="_23__FDSAUDITLINK__" localSheetId="7" hidden="1">{"fdsup://Directions/FactSet Auditing Viewer?action=AUDIT_VALUE&amp;DB=129&amp;ID1=78477410&amp;VALUEID=02001&amp;SDATE=201101&amp;PERIODTYPE=QTR_STD&amp;SCFT=3&amp;window=popup_no_bar&amp;width=385&amp;height=120&amp;START_MAXIMIZED=FALSE&amp;creator=factset&amp;display_string=Audit"}</definedName>
    <definedName name="_23__FDSAUDITLINK__" hidden="1">{"fdsup://Directions/FactSet Auditing Viewer?action=AUDIT_VALUE&amp;DB=129&amp;ID1=78477410&amp;VALUEID=02001&amp;SDATE=201101&amp;PERIODTYPE=QTR_STD&amp;SCFT=3&amp;window=popup_no_bar&amp;width=385&amp;height=120&amp;START_MAXIMIZED=FALSE&amp;creator=factset&amp;display_string=Audit"}</definedName>
    <definedName name="_230__FDSAUDITLINK__" localSheetId="7" hidden="1">{"fdsup://Directions/FactSet Auditing Viewer?action=AUDIT_VALUE&amp;DB=129&amp;ID1=51280710&amp;VALUEID=02001&amp;SDATE=201102&amp;PERIODTYPE=QTR_STD&amp;SCFT=3&amp;window=popup_no_bar&amp;width=385&amp;height=120&amp;START_MAXIMIZED=FALSE&amp;creator=factset&amp;display_string=Audit"}</definedName>
    <definedName name="_230__FDSAUDITLINK__" hidden="1">{"fdsup://Directions/FactSet Auditing Viewer?action=AUDIT_VALUE&amp;DB=129&amp;ID1=51280710&amp;VALUEID=02001&amp;SDATE=201102&amp;PERIODTYPE=QTR_STD&amp;SCFT=3&amp;window=popup_no_bar&amp;width=385&amp;height=120&amp;START_MAXIMIZED=FALSE&amp;creator=factset&amp;display_string=Audit"}</definedName>
    <definedName name="_2300__FDSAUDITLINK__" localSheetId="7" hidden="1">{"fdsup://Directions/FactSet Auditing Viewer?action=AUDIT_VALUE&amp;DB=129&amp;ID1=73927610&amp;VALUEID=02001&amp;SDATE=200601&amp;PERIODTYPE=QTR_STD&amp;SCFT=3&amp;window=popup_no_bar&amp;width=385&amp;height=120&amp;START_MAXIMIZED=FALSE&amp;creator=factset&amp;display_string=Audit"}</definedName>
    <definedName name="_2300__FDSAUDITLINK__" hidden="1">{"fdsup://Directions/FactSet Auditing Viewer?action=AUDIT_VALUE&amp;DB=129&amp;ID1=73927610&amp;VALUEID=02001&amp;SDATE=200601&amp;PERIODTYPE=QTR_STD&amp;SCFT=3&amp;window=popup_no_bar&amp;width=385&amp;height=120&amp;START_MAXIMIZED=FALSE&amp;creator=factset&amp;display_string=Audit"}</definedName>
    <definedName name="_2301__FDSAUDITLINK__" localSheetId="7" hidden="1">{"fdsup://Directions/FactSet Auditing Viewer?action=AUDIT_VALUE&amp;DB=129&amp;ID1=69344F10&amp;VALUEID=02001&amp;SDATE=200601&amp;PERIODTYPE=QTR_STD&amp;SCFT=3&amp;window=popup_no_bar&amp;width=385&amp;height=120&amp;START_MAXIMIZED=FALSE&amp;creator=factset&amp;display_string=Audit"}</definedName>
    <definedName name="_2301__FDSAUDITLINK__" hidden="1">{"fdsup://Directions/FactSet Auditing Viewer?action=AUDIT_VALUE&amp;DB=129&amp;ID1=69344F10&amp;VALUEID=02001&amp;SDATE=200601&amp;PERIODTYPE=QTR_STD&amp;SCFT=3&amp;window=popup_no_bar&amp;width=385&amp;height=120&amp;START_MAXIMIZED=FALSE&amp;creator=factset&amp;display_string=Audit"}</definedName>
    <definedName name="_2302__FDSAUDITLINK__" localSheetId="7" hidden="1">{"fdsup://Directions/FactSet Auditing Viewer?action=AUDIT_VALUE&amp;DB=129&amp;ID1=69344F10&amp;VALUEID=02001&amp;SDATE=200601&amp;PERIODTYPE=QTR_STD&amp;SCFT=3&amp;window=popup_no_bar&amp;width=385&amp;height=120&amp;START_MAXIMIZED=FALSE&amp;creator=factset&amp;display_string=Audit"}</definedName>
    <definedName name="_2302__FDSAUDITLINK__" hidden="1">{"fdsup://Directions/FactSet Auditing Viewer?action=AUDIT_VALUE&amp;DB=129&amp;ID1=69344F10&amp;VALUEID=02001&amp;SDATE=200601&amp;PERIODTYPE=QTR_STD&amp;SCFT=3&amp;window=popup_no_bar&amp;width=385&amp;height=120&amp;START_MAXIMIZED=FALSE&amp;creator=factset&amp;display_string=Audit"}</definedName>
    <definedName name="_2303__FDSAUDITLINK__" localSheetId="7" hidden="1">{"fdsup://Directions/FactSet Auditing Viewer?action=AUDIT_VALUE&amp;DB=129&amp;ID1=69341710&amp;VALUEID=02001&amp;SDATE=200601&amp;PERIODTYPE=QTR_STD&amp;SCFT=3&amp;window=popup_no_bar&amp;width=385&amp;height=120&amp;START_MAXIMIZED=FALSE&amp;creator=factset&amp;display_string=Audit"}</definedName>
    <definedName name="_2303__FDSAUDITLINK__" hidden="1">{"fdsup://Directions/FactSet Auditing Viewer?action=AUDIT_VALUE&amp;DB=129&amp;ID1=69341710&amp;VALUEID=02001&amp;SDATE=200601&amp;PERIODTYPE=QTR_STD&amp;SCFT=3&amp;window=popup_no_bar&amp;width=385&amp;height=120&amp;START_MAXIMIZED=FALSE&amp;creator=factset&amp;display_string=Audit"}</definedName>
    <definedName name="_2304__FDSAUDITLINK__" localSheetId="7" hidden="1">{"fdsup://Directions/FactSet Auditing Viewer?action=AUDIT_VALUE&amp;DB=129&amp;ID1=69341710&amp;VALUEID=02001&amp;SDATE=200601&amp;PERIODTYPE=QTR_STD&amp;SCFT=3&amp;window=popup_no_bar&amp;width=385&amp;height=120&amp;START_MAXIMIZED=FALSE&amp;creator=factset&amp;display_string=Audit"}</definedName>
    <definedName name="_2304__FDSAUDITLINK__" hidden="1">{"fdsup://Directions/FactSet Auditing Viewer?action=AUDIT_VALUE&amp;DB=129&amp;ID1=69341710&amp;VALUEID=02001&amp;SDATE=200601&amp;PERIODTYPE=QTR_STD&amp;SCFT=3&amp;window=popup_no_bar&amp;width=385&amp;height=120&amp;START_MAXIMIZED=FALSE&amp;creator=factset&amp;display_string=Audit"}</definedName>
    <definedName name="_2305__FDSAUDITLINK__" localSheetId="7" hidden="1">{"fdsup://Directions/FactSet Auditing Viewer?action=AUDIT_VALUE&amp;DB=129&amp;ID1=68218910&amp;VALUEID=02001&amp;SDATE=200601&amp;PERIODTYPE=QTR_STD&amp;SCFT=3&amp;window=popup_no_bar&amp;width=385&amp;height=120&amp;START_MAXIMIZED=FALSE&amp;creator=factset&amp;display_string=Audit"}</definedName>
    <definedName name="_2305__FDSAUDITLINK__" hidden="1">{"fdsup://Directions/FactSet Auditing Viewer?action=AUDIT_VALUE&amp;DB=129&amp;ID1=68218910&amp;VALUEID=02001&amp;SDATE=200601&amp;PERIODTYPE=QTR_STD&amp;SCFT=3&amp;window=popup_no_bar&amp;width=385&amp;height=120&amp;START_MAXIMIZED=FALSE&amp;creator=factset&amp;display_string=Audit"}</definedName>
    <definedName name="_2306__FDSAUDITLINK__" localSheetId="7" hidden="1">{"fdsup://Directions/FactSet Auditing Viewer?action=AUDIT_VALUE&amp;DB=129&amp;ID1=68218910&amp;VALUEID=02001&amp;SDATE=200601&amp;PERIODTYPE=QTR_STD&amp;SCFT=3&amp;window=popup_no_bar&amp;width=385&amp;height=120&amp;START_MAXIMIZED=FALSE&amp;creator=factset&amp;display_string=Audit"}</definedName>
    <definedName name="_2306__FDSAUDITLINK__" hidden="1">{"fdsup://Directions/FactSet Auditing Viewer?action=AUDIT_VALUE&amp;DB=129&amp;ID1=68218910&amp;VALUEID=02001&amp;SDATE=200601&amp;PERIODTYPE=QTR_STD&amp;SCFT=3&amp;window=popup_no_bar&amp;width=385&amp;height=120&amp;START_MAXIMIZED=FALSE&amp;creator=factset&amp;display_string=Audit"}</definedName>
    <definedName name="_2307__FDSAUDITLINK__" localSheetId="7" hidden="1">{"fdsup://Directions/FactSet Auditing Viewer?action=AUDIT_VALUE&amp;DB=129&amp;ID1=67000810&amp;VALUEID=02001&amp;SDATE=200601&amp;PERIODTYPE=QTR_STD&amp;SCFT=3&amp;window=popup_no_bar&amp;width=385&amp;height=120&amp;START_MAXIMIZED=FALSE&amp;creator=factset&amp;display_string=Audit"}</definedName>
    <definedName name="_2307__FDSAUDITLINK__" hidden="1">{"fdsup://Directions/FactSet Auditing Viewer?action=AUDIT_VALUE&amp;DB=129&amp;ID1=67000810&amp;VALUEID=02001&amp;SDATE=200601&amp;PERIODTYPE=QTR_STD&amp;SCFT=3&amp;window=popup_no_bar&amp;width=385&amp;height=120&amp;START_MAXIMIZED=FALSE&amp;creator=factset&amp;display_string=Audit"}</definedName>
    <definedName name="_2308__FDSAUDITLINK__" localSheetId="7" hidden="1">{"fdsup://Directions/FactSet Auditing Viewer?action=AUDIT_VALUE&amp;DB=129&amp;ID1=67000810&amp;VALUEID=02001&amp;SDATE=200601&amp;PERIODTYPE=QTR_STD&amp;SCFT=3&amp;window=popup_no_bar&amp;width=385&amp;height=120&amp;START_MAXIMIZED=FALSE&amp;creator=factset&amp;display_string=Audit"}</definedName>
    <definedName name="_2308__FDSAUDITLINK__" hidden="1">{"fdsup://Directions/FactSet Auditing Viewer?action=AUDIT_VALUE&amp;DB=129&amp;ID1=67000810&amp;VALUEID=02001&amp;SDATE=200601&amp;PERIODTYPE=QTR_STD&amp;SCFT=3&amp;window=popup_no_bar&amp;width=385&amp;height=120&amp;START_MAXIMIZED=FALSE&amp;creator=factset&amp;display_string=Audit"}</definedName>
    <definedName name="_2309__FDSAUDITLINK__" localSheetId="7" hidden="1">{"fdsup://Directions/FactSet Auditing Viewer?action=AUDIT_VALUE&amp;DB=129&amp;ID1=67066G10&amp;VALUEID=02001&amp;SDATE=200601&amp;PERIODTYPE=QTR_STD&amp;SCFT=3&amp;window=popup_no_bar&amp;width=385&amp;height=120&amp;START_MAXIMIZED=FALSE&amp;creator=factset&amp;display_string=Audit"}</definedName>
    <definedName name="_2309__FDSAUDITLINK__" hidden="1">{"fdsup://Directions/FactSet Auditing Viewer?action=AUDIT_VALUE&amp;DB=129&amp;ID1=67066G10&amp;VALUEID=02001&amp;SDATE=200601&amp;PERIODTYPE=QTR_STD&amp;SCFT=3&amp;window=popup_no_bar&amp;width=385&amp;height=120&amp;START_MAXIMIZED=FALSE&amp;creator=factset&amp;display_string=Audit"}</definedName>
    <definedName name="_231__FDSAUDITLINK__" localSheetId="7" hidden="1">{"fdsup://Directions/FactSet Auditing Viewer?action=AUDIT_VALUE&amp;DB=129&amp;ID1=53567810&amp;VALUEID=02001&amp;SDATE=201102&amp;PERIODTYPE=QTR_STD&amp;SCFT=3&amp;window=popup_no_bar&amp;width=385&amp;height=120&amp;START_MAXIMIZED=FALSE&amp;creator=factset&amp;display_string=Audit"}</definedName>
    <definedName name="_231__FDSAUDITLINK__" hidden="1">{"fdsup://Directions/FactSet Auditing Viewer?action=AUDIT_VALUE&amp;DB=129&amp;ID1=53567810&amp;VALUEID=02001&amp;SDATE=201102&amp;PERIODTYPE=QTR_STD&amp;SCFT=3&amp;window=popup_no_bar&amp;width=385&amp;height=120&amp;START_MAXIMIZED=FALSE&amp;creator=factset&amp;display_string=Audit"}</definedName>
    <definedName name="_2310__FDSAUDITLINK__" localSheetId="7" hidden="1">{"fdsup://Directions/FactSet Auditing Viewer?action=AUDIT_VALUE&amp;DB=129&amp;ID1=67066G10&amp;VALUEID=02001&amp;SDATE=200601&amp;PERIODTYPE=QTR_STD&amp;SCFT=3&amp;window=popup_no_bar&amp;width=385&amp;height=120&amp;START_MAXIMIZED=FALSE&amp;creator=factset&amp;display_string=Audit"}</definedName>
    <definedName name="_2310__FDSAUDITLINK__" hidden="1">{"fdsup://Directions/FactSet Auditing Viewer?action=AUDIT_VALUE&amp;DB=129&amp;ID1=67066G10&amp;VALUEID=02001&amp;SDATE=200601&amp;PERIODTYPE=QTR_STD&amp;SCFT=3&amp;window=popup_no_bar&amp;width=385&amp;height=120&amp;START_MAXIMIZED=FALSE&amp;creator=factset&amp;display_string=Audit"}</definedName>
    <definedName name="_2311__FDSAUDITLINK__" localSheetId="7" hidden="1">{"fdsup://Directions/FactSet Auditing Viewer?action=AUDIT_VALUE&amp;DB=129&amp;ID1=63764010&amp;VALUEID=02001&amp;SDATE=200503&amp;PERIODTYPE=QTR_STD&amp;SCFT=3&amp;window=popup_no_bar&amp;width=385&amp;height=120&amp;START_MAXIMIZED=FALSE&amp;creator=factset&amp;display_string=Audit"}</definedName>
    <definedName name="_2311__FDSAUDITLINK__" hidden="1">{"fdsup://Directions/FactSet Auditing Viewer?action=AUDIT_VALUE&amp;DB=129&amp;ID1=63764010&amp;VALUEID=02001&amp;SDATE=200503&amp;PERIODTYPE=QTR_STD&amp;SCFT=3&amp;window=popup_no_bar&amp;width=385&amp;height=120&amp;START_MAXIMIZED=FALSE&amp;creator=factset&amp;display_string=Audit"}</definedName>
    <definedName name="_2312__FDSAUDITLINK__" localSheetId="7" hidden="1">{"fdsup://Directions/FactSet Auditing Viewer?action=AUDIT_VALUE&amp;DB=129&amp;ID1=63764010&amp;VALUEID=02001&amp;SDATE=200503&amp;PERIODTYPE=QTR_STD&amp;SCFT=3&amp;window=popup_no_bar&amp;width=385&amp;height=120&amp;START_MAXIMIZED=FALSE&amp;creator=factset&amp;display_string=Audit"}</definedName>
    <definedName name="_2312__FDSAUDITLINK__" hidden="1">{"fdsup://Directions/FactSet Auditing Viewer?action=AUDIT_VALUE&amp;DB=129&amp;ID1=63764010&amp;VALUEID=02001&amp;SDATE=200503&amp;PERIODTYPE=QTR_STD&amp;SCFT=3&amp;window=popup_no_bar&amp;width=385&amp;height=120&amp;START_MAXIMIZED=FALSE&amp;creator=factset&amp;display_string=Audit"}</definedName>
    <definedName name="_2313__FDSAUDITLINK__" localSheetId="7" hidden="1">{"fdsup://Directions/FactSet Auditing Viewer?action=AUDIT_VALUE&amp;DB=129&amp;ID1=64118B10&amp;VALUEID=02001&amp;SDATE=200601&amp;PERIODTYPE=QTR_STD&amp;SCFT=3&amp;window=popup_no_bar&amp;width=385&amp;height=120&amp;START_MAXIMIZED=FALSE&amp;creator=factset&amp;display_string=Audit"}</definedName>
    <definedName name="_2313__FDSAUDITLINK__" hidden="1">{"fdsup://Directions/FactSet Auditing Viewer?action=AUDIT_VALUE&amp;DB=129&amp;ID1=64118B10&amp;VALUEID=02001&amp;SDATE=200601&amp;PERIODTYPE=QTR_STD&amp;SCFT=3&amp;window=popup_no_bar&amp;width=385&amp;height=120&amp;START_MAXIMIZED=FALSE&amp;creator=factset&amp;display_string=Audit"}</definedName>
    <definedName name="_2314__FDSAUDITLINK__" localSheetId="7" hidden="1">{"fdsup://Directions/FactSet Auditing Viewer?action=AUDIT_VALUE&amp;DB=129&amp;ID1=64118B10&amp;VALUEID=02001&amp;SDATE=200601&amp;PERIODTYPE=QTR_STD&amp;SCFT=3&amp;window=popup_no_bar&amp;width=385&amp;height=120&amp;START_MAXIMIZED=FALSE&amp;creator=factset&amp;display_string=Audit"}</definedName>
    <definedName name="_2314__FDSAUDITLINK__" hidden="1">{"fdsup://Directions/FactSet Auditing Viewer?action=AUDIT_VALUE&amp;DB=129&amp;ID1=64118B10&amp;VALUEID=02001&amp;SDATE=200601&amp;PERIODTYPE=QTR_STD&amp;SCFT=3&amp;window=popup_no_bar&amp;width=385&amp;height=120&amp;START_MAXIMIZED=FALSE&amp;creator=factset&amp;display_string=Audit"}</definedName>
    <definedName name="_2315__FDSAUDITLINK__" localSheetId="7" hidden="1">{"fdsup://Directions/FactSet Auditing Viewer?action=AUDIT_VALUE&amp;DB=129&amp;ID1=57772K10&amp;VALUEID=02001&amp;SDATE=200603&amp;PERIODTYPE=QTR_STD&amp;SCFT=3&amp;window=popup_no_bar&amp;width=385&amp;height=120&amp;START_MAXIMIZED=FALSE&amp;creator=factset&amp;display_string=Audit"}</definedName>
    <definedName name="_2315__FDSAUDITLINK__" hidden="1">{"fdsup://Directions/FactSet Auditing Viewer?action=AUDIT_VALUE&amp;DB=129&amp;ID1=57772K10&amp;VALUEID=02001&amp;SDATE=200603&amp;PERIODTYPE=QTR_STD&amp;SCFT=3&amp;window=popup_no_bar&amp;width=385&amp;height=120&amp;START_MAXIMIZED=FALSE&amp;creator=factset&amp;display_string=Audit"}</definedName>
    <definedName name="_2316__FDSAUDITLINK__" localSheetId="7" hidden="1">{"fdsup://Directions/FactSet Auditing Viewer?action=AUDIT_VALUE&amp;DB=129&amp;ID1=57772K10&amp;VALUEID=02001&amp;SDATE=200603&amp;PERIODTYPE=QTR_STD&amp;SCFT=3&amp;window=popup_no_bar&amp;width=385&amp;height=120&amp;START_MAXIMIZED=FALSE&amp;creator=factset&amp;display_string=Audit"}</definedName>
    <definedName name="_2316__FDSAUDITLINK__" hidden="1">{"fdsup://Directions/FactSet Auditing Viewer?action=AUDIT_VALUE&amp;DB=129&amp;ID1=57772K10&amp;VALUEID=02001&amp;SDATE=200603&amp;PERIODTYPE=QTR_STD&amp;SCFT=3&amp;window=popup_no_bar&amp;width=385&amp;height=120&amp;START_MAXIMIZED=FALSE&amp;creator=factset&amp;display_string=Audit"}</definedName>
    <definedName name="_2317__FDSAUDITLINK__" localSheetId="7" hidden="1">{"fdsup://Directions/FactSet Auditing Viewer?action=AUDIT_VALUE&amp;DB=129&amp;ID1=59511210&amp;VALUEID=02001&amp;SDATE=200602&amp;PERIODTYPE=QTR_STD&amp;SCFT=3&amp;window=popup_no_bar&amp;width=385&amp;height=120&amp;START_MAXIMIZED=FALSE&amp;creator=factset&amp;display_string=Audit"}</definedName>
    <definedName name="_2317__FDSAUDITLINK__" hidden="1">{"fdsup://Directions/FactSet Auditing Viewer?action=AUDIT_VALUE&amp;DB=129&amp;ID1=59511210&amp;VALUEID=02001&amp;SDATE=200602&amp;PERIODTYPE=QTR_STD&amp;SCFT=3&amp;window=popup_no_bar&amp;width=385&amp;height=120&amp;START_MAXIMIZED=FALSE&amp;creator=factset&amp;display_string=Audit"}</definedName>
    <definedName name="_2318__FDSAUDITLINK__" localSheetId="7" hidden="1">{"fdsup://Directions/FactSet Auditing Viewer?action=AUDIT_VALUE&amp;DB=129&amp;ID1=59511210&amp;VALUEID=02001&amp;SDATE=200602&amp;PERIODTYPE=QTR_STD&amp;SCFT=3&amp;window=popup_no_bar&amp;width=385&amp;height=120&amp;START_MAXIMIZED=FALSE&amp;creator=factset&amp;display_string=Audit"}</definedName>
    <definedName name="_2318__FDSAUDITLINK__" hidden="1">{"fdsup://Directions/FactSet Auditing Viewer?action=AUDIT_VALUE&amp;DB=129&amp;ID1=59511210&amp;VALUEID=02001&amp;SDATE=200602&amp;PERIODTYPE=QTR_STD&amp;SCFT=3&amp;window=popup_no_bar&amp;width=385&amp;height=120&amp;START_MAXIMIZED=FALSE&amp;creator=factset&amp;display_string=Audit"}</definedName>
    <definedName name="_2319__FDSAUDITLINK__" localSheetId="7" hidden="1">{"fdsup://Directions/FactSet Auditing Viewer?action=AUDIT_VALUE&amp;DB=129&amp;ID1=59513710&amp;VALUEID=02001&amp;SDATE=200602&amp;PERIODTYPE=QTR_STD&amp;SCFT=3&amp;window=popup_no_bar&amp;width=385&amp;height=120&amp;START_MAXIMIZED=FALSE&amp;creator=factset&amp;display_string=Audit"}</definedName>
    <definedName name="_2319__FDSAUDITLINK__" hidden="1">{"fdsup://Directions/FactSet Auditing Viewer?action=AUDIT_VALUE&amp;DB=129&amp;ID1=59513710&amp;VALUEID=02001&amp;SDATE=200602&amp;PERIODTYPE=QTR_STD&amp;SCFT=3&amp;window=popup_no_bar&amp;width=385&amp;height=120&amp;START_MAXIMIZED=FALSE&amp;creator=factset&amp;display_string=Audit"}</definedName>
    <definedName name="_232__FDSAUDITLINK__" localSheetId="7" hidden="1">{"fdsup://Directions/FactSet Auditing Viewer?action=AUDIT_VALUE&amp;DB=129&amp;ID1=53567810&amp;VALUEID=02001&amp;SDATE=201102&amp;PERIODTYPE=QTR_STD&amp;SCFT=3&amp;window=popup_no_bar&amp;width=385&amp;height=120&amp;START_MAXIMIZED=FALSE&amp;creator=factset&amp;display_string=Audit"}</definedName>
    <definedName name="_232__FDSAUDITLINK__" hidden="1">{"fdsup://Directions/FactSet Auditing Viewer?action=AUDIT_VALUE&amp;DB=129&amp;ID1=53567810&amp;VALUEID=02001&amp;SDATE=201102&amp;PERIODTYPE=QTR_STD&amp;SCFT=3&amp;window=popup_no_bar&amp;width=385&amp;height=120&amp;START_MAXIMIZED=FALSE&amp;creator=factset&amp;display_string=Audit"}</definedName>
    <definedName name="_2320__FDSAUDITLINK__" localSheetId="7" hidden="1">{"fdsup://Directions/FactSet Auditing Viewer?action=AUDIT_VALUE&amp;DB=129&amp;ID1=59513710&amp;VALUEID=02001&amp;SDATE=200602&amp;PERIODTYPE=QTR_STD&amp;SCFT=3&amp;window=popup_no_bar&amp;width=385&amp;height=120&amp;START_MAXIMIZED=FALSE&amp;creator=factset&amp;display_string=Audit"}</definedName>
    <definedName name="_2320__FDSAUDITLINK__" hidden="1">{"fdsup://Directions/FactSet Auditing Viewer?action=AUDIT_VALUE&amp;DB=129&amp;ID1=59513710&amp;VALUEID=02001&amp;SDATE=200602&amp;PERIODTYPE=QTR_STD&amp;SCFT=3&amp;window=popup_no_bar&amp;width=385&amp;height=120&amp;START_MAXIMIZED=FALSE&amp;creator=factset&amp;display_string=Audit"}</definedName>
    <definedName name="_2321__FDSAUDITLINK__" localSheetId="7" hidden="1">{"fdsup://Directions/FactSet Auditing Viewer?action=AUDIT_VALUE&amp;DB=129&amp;ID1=G5876H10&amp;VALUEID=02001&amp;SDATE=200601&amp;PERIODTYPE=QTR_STD&amp;SCFT=3&amp;window=popup_no_bar&amp;width=385&amp;height=120&amp;START_MAXIMIZED=FALSE&amp;creator=factset&amp;display_string=Audit"}</definedName>
    <definedName name="_2321__FDSAUDITLINK__" hidden="1">{"fdsup://Directions/FactSet Auditing Viewer?action=AUDIT_VALUE&amp;DB=129&amp;ID1=G5876H10&amp;VALUEID=02001&amp;SDATE=200601&amp;PERIODTYPE=QTR_STD&amp;SCFT=3&amp;window=popup_no_bar&amp;width=385&amp;height=120&amp;START_MAXIMIZED=FALSE&amp;creator=factset&amp;display_string=Audit"}</definedName>
    <definedName name="_2322__FDSAUDITLINK__" localSheetId="7" hidden="1">{"fdsup://Directions/FactSet Auditing Viewer?action=AUDIT_VALUE&amp;DB=129&amp;ID1=G5876H10&amp;VALUEID=02001&amp;SDATE=200601&amp;PERIODTYPE=QTR_STD&amp;SCFT=3&amp;window=popup_no_bar&amp;width=385&amp;height=120&amp;START_MAXIMIZED=FALSE&amp;creator=factset&amp;display_string=Audit"}</definedName>
    <definedName name="_2322__FDSAUDITLINK__" hidden="1">{"fdsup://Directions/FactSet Auditing Viewer?action=AUDIT_VALUE&amp;DB=129&amp;ID1=G5876H10&amp;VALUEID=02001&amp;SDATE=200601&amp;PERIODTYPE=QTR_STD&amp;SCFT=3&amp;window=popup_no_bar&amp;width=385&amp;height=120&amp;START_MAXIMIZED=FALSE&amp;creator=factset&amp;display_string=Audit"}</definedName>
    <definedName name="_2323__FDSAUDITLINK__" localSheetId="7" hidden="1">{"fdsup://Directions/FactSet Auditing Viewer?action=AUDIT_VALUE&amp;DB=129&amp;ID1=62007630&amp;VALUEID=02001&amp;SDATE=200601&amp;PERIODTYPE=QTR_STD&amp;SCFT=3&amp;window=popup_no_bar&amp;width=385&amp;height=120&amp;START_MAXIMIZED=FALSE&amp;creator=factset&amp;display_string=Audit"}</definedName>
    <definedName name="_2323__FDSAUDITLINK__" hidden="1">{"fdsup://Directions/FactSet Auditing Viewer?action=AUDIT_VALUE&amp;DB=129&amp;ID1=62007630&amp;VALUEID=02001&amp;SDATE=200601&amp;PERIODTYPE=QTR_STD&amp;SCFT=3&amp;window=popup_no_bar&amp;width=385&amp;height=120&amp;START_MAXIMIZED=FALSE&amp;creator=factset&amp;display_string=Audit"}</definedName>
    <definedName name="_2324__FDSAUDITLINK__" localSheetId="7" hidden="1">{"fdsup://Directions/FactSet Auditing Viewer?action=AUDIT_VALUE&amp;DB=129&amp;ID1=62007630&amp;VALUEID=02001&amp;SDATE=200601&amp;PERIODTYPE=QTR_STD&amp;SCFT=3&amp;window=popup_no_bar&amp;width=385&amp;height=120&amp;START_MAXIMIZED=FALSE&amp;creator=factset&amp;display_string=Audit"}</definedName>
    <definedName name="_2324__FDSAUDITLINK__" hidden="1">{"fdsup://Directions/FactSet Auditing Viewer?action=AUDIT_VALUE&amp;DB=129&amp;ID1=62007630&amp;VALUEID=02001&amp;SDATE=200601&amp;PERIODTYPE=QTR_STD&amp;SCFT=3&amp;window=popup_no_bar&amp;width=385&amp;height=120&amp;START_MAXIMIZED=FALSE&amp;creator=factset&amp;display_string=Audit"}</definedName>
    <definedName name="_2325__FDSAUDITLINK__" localSheetId="7" hidden="1">{"fdsup://Directions/FactSet Auditing Viewer?action=AUDIT_VALUE&amp;DB=129&amp;ID1=60456710&amp;VALUEID=02001&amp;SDATE=200603&amp;PERIODTYPE=QTR_STD&amp;SCFT=3&amp;window=popup_no_bar&amp;width=385&amp;height=120&amp;START_MAXIMIZED=FALSE&amp;creator=factset&amp;display_string=Audit"}</definedName>
    <definedName name="_2325__FDSAUDITLINK__" hidden="1">{"fdsup://Directions/FactSet Auditing Viewer?action=AUDIT_VALUE&amp;DB=129&amp;ID1=60456710&amp;VALUEID=02001&amp;SDATE=200603&amp;PERIODTYPE=QTR_STD&amp;SCFT=3&amp;window=popup_no_bar&amp;width=385&amp;height=120&amp;START_MAXIMIZED=FALSE&amp;creator=factset&amp;display_string=Audit"}</definedName>
    <definedName name="_2326__FDSAUDITLINK__" localSheetId="7" hidden="1">{"fdsup://Directions/FactSet Auditing Viewer?action=AUDIT_VALUE&amp;DB=129&amp;ID1=60456710&amp;VALUEID=02001&amp;SDATE=200603&amp;PERIODTYPE=QTR_STD&amp;SCFT=3&amp;window=popup_no_bar&amp;width=385&amp;height=120&amp;START_MAXIMIZED=FALSE&amp;creator=factset&amp;display_string=Audit"}</definedName>
    <definedName name="_2326__FDSAUDITLINK__" hidden="1">{"fdsup://Directions/FactSet Auditing Viewer?action=AUDIT_VALUE&amp;DB=129&amp;ID1=60456710&amp;VALUEID=02001&amp;SDATE=200603&amp;PERIODTYPE=QTR_STD&amp;SCFT=3&amp;window=popup_no_bar&amp;width=385&amp;height=120&amp;START_MAXIMIZED=FALSE&amp;creator=factset&amp;display_string=Audit"}</definedName>
    <definedName name="_2327__FDSAUDITLINK__" localSheetId="7" hidden="1">{"fdsup://Directions/FactSet Auditing Viewer?action=AUDIT_VALUE&amp;DB=129&amp;ID1=59479310&amp;VALUEID=02001&amp;SDATE=200601&amp;PERIODTYPE=QTR_STD&amp;SCFT=3&amp;window=popup_no_bar&amp;width=385&amp;height=120&amp;START_MAXIMIZED=FALSE&amp;creator=factset&amp;display_string=Audit"}</definedName>
    <definedName name="_2327__FDSAUDITLINK__" hidden="1">{"fdsup://Directions/FactSet Auditing Viewer?action=AUDIT_VALUE&amp;DB=129&amp;ID1=59479310&amp;VALUEID=02001&amp;SDATE=200601&amp;PERIODTYPE=QTR_STD&amp;SCFT=3&amp;window=popup_no_bar&amp;width=385&amp;height=120&amp;START_MAXIMIZED=FALSE&amp;creator=factset&amp;display_string=Audit"}</definedName>
    <definedName name="_2328__FDSAUDITLINK__" localSheetId="7" hidden="1">{"fdsup://Directions/FactSet Auditing Viewer?action=AUDIT_VALUE&amp;DB=129&amp;ID1=59479310&amp;VALUEID=02001&amp;SDATE=200601&amp;PERIODTYPE=QTR_STD&amp;SCFT=3&amp;window=popup_no_bar&amp;width=385&amp;height=120&amp;START_MAXIMIZED=FALSE&amp;creator=factset&amp;display_string=Audit"}</definedName>
    <definedName name="_2328__FDSAUDITLINK__" hidden="1">{"fdsup://Directions/FactSet Auditing Viewer?action=AUDIT_VALUE&amp;DB=129&amp;ID1=59479310&amp;VALUEID=02001&amp;SDATE=200601&amp;PERIODTYPE=QTR_STD&amp;SCFT=3&amp;window=popup_no_bar&amp;width=385&amp;height=120&amp;START_MAXIMIZED=FALSE&amp;creator=factset&amp;display_string=Audit"}</definedName>
    <definedName name="_2329__FDSAUDITLINK__" localSheetId="7" hidden="1">{"fdsup://Directions/FactSet Auditing Viewer?action=AUDIT_VALUE&amp;DB=129&amp;ID1=50216110&amp;VALUEID=02001&amp;SDATE=200601&amp;PERIODTYPE=QTR_STD&amp;SCFT=3&amp;window=popup_no_bar&amp;width=385&amp;height=120&amp;START_MAXIMIZED=FALSE&amp;creator=factset&amp;display_string=Audit"}</definedName>
    <definedName name="_2329__FDSAUDITLINK__" hidden="1">{"fdsup://Directions/FactSet Auditing Viewer?action=AUDIT_VALUE&amp;DB=129&amp;ID1=50216110&amp;VALUEID=02001&amp;SDATE=200601&amp;PERIODTYPE=QTR_STD&amp;SCFT=3&amp;window=popup_no_bar&amp;width=385&amp;height=120&amp;START_MAXIMIZED=FALSE&amp;creator=factset&amp;display_string=Audit"}</definedName>
    <definedName name="_233__FDSAUDITLINK__" localSheetId="7" hidden="1">{"fdsup://Directions/FactSet Auditing Viewer?action=AUDIT_VALUE&amp;DB=129&amp;ID1=48248010&amp;VALUEID=02001&amp;SDATE=201102&amp;PERIODTYPE=QTR_STD&amp;SCFT=3&amp;window=popup_no_bar&amp;width=385&amp;height=120&amp;START_MAXIMIZED=FALSE&amp;creator=factset&amp;display_string=Audit"}</definedName>
    <definedName name="_233__FDSAUDITLINK__" hidden="1">{"fdsup://Directions/FactSet Auditing Viewer?action=AUDIT_VALUE&amp;DB=129&amp;ID1=48248010&amp;VALUEID=02001&amp;SDATE=201102&amp;PERIODTYPE=QTR_STD&amp;SCFT=3&amp;window=popup_no_bar&amp;width=385&amp;height=120&amp;START_MAXIMIZED=FALSE&amp;creator=factset&amp;display_string=Audit"}</definedName>
    <definedName name="_2330__FDSAUDITLINK__" localSheetId="7" hidden="1">{"fdsup://Directions/FactSet Auditing Viewer?action=AUDIT_VALUE&amp;DB=129&amp;ID1=50216110&amp;VALUEID=02001&amp;SDATE=200601&amp;PERIODTYPE=QTR_STD&amp;SCFT=3&amp;window=popup_no_bar&amp;width=385&amp;height=120&amp;START_MAXIMIZED=FALSE&amp;creator=factset&amp;display_string=Audit"}</definedName>
    <definedName name="_2330__FDSAUDITLINK__" hidden="1">{"fdsup://Directions/FactSet Auditing Viewer?action=AUDIT_VALUE&amp;DB=129&amp;ID1=50216110&amp;VALUEID=02001&amp;SDATE=200601&amp;PERIODTYPE=QTR_STD&amp;SCFT=3&amp;window=popup_no_bar&amp;width=385&amp;height=120&amp;START_MAXIMIZED=FALSE&amp;creator=factset&amp;display_string=Audit"}</definedName>
    <definedName name="_2331__FDSAUDITLINK__" localSheetId="7" hidden="1">{"fdsup://Directions/FactSet Auditing Viewer?action=AUDIT_VALUE&amp;DB=129&amp;ID1=51841510&amp;VALUEID=02001&amp;SDATE=200601&amp;PERIODTYPE=QTR_STD&amp;SCFT=3&amp;window=popup_no_bar&amp;width=385&amp;height=120&amp;START_MAXIMIZED=FALSE&amp;creator=factset&amp;display_string=Audit"}</definedName>
    <definedName name="_2331__FDSAUDITLINK__" hidden="1">{"fdsup://Directions/FactSet Auditing Viewer?action=AUDIT_VALUE&amp;DB=129&amp;ID1=51841510&amp;VALUEID=02001&amp;SDATE=200601&amp;PERIODTYPE=QTR_STD&amp;SCFT=3&amp;window=popup_no_bar&amp;width=385&amp;height=120&amp;START_MAXIMIZED=FALSE&amp;creator=factset&amp;display_string=Audit"}</definedName>
    <definedName name="_2332__FDSAUDITLINK__" localSheetId="7" hidden="1">{"fdsup://Directions/FactSet Auditing Viewer?action=AUDIT_VALUE&amp;DB=129&amp;ID1=51841510&amp;VALUEID=02001&amp;SDATE=200601&amp;PERIODTYPE=QTR_STD&amp;SCFT=3&amp;window=popup_no_bar&amp;width=385&amp;height=120&amp;START_MAXIMIZED=FALSE&amp;creator=factset&amp;display_string=Audit"}</definedName>
    <definedName name="_2332__FDSAUDITLINK__" hidden="1">{"fdsup://Directions/FactSet Auditing Viewer?action=AUDIT_VALUE&amp;DB=129&amp;ID1=51841510&amp;VALUEID=02001&amp;SDATE=200601&amp;PERIODTYPE=QTR_STD&amp;SCFT=3&amp;window=popup_no_bar&amp;width=385&amp;height=120&amp;START_MAXIMIZED=FALSE&amp;creator=factset&amp;display_string=Audit"}</definedName>
    <definedName name="_2333__FDSAUDITLINK__" localSheetId="7" hidden="1">{"fdsup://Directions/FactSet Auditing Viewer?action=AUDIT_VALUE&amp;DB=129&amp;ID1=51280710&amp;VALUEID=02001&amp;SDATE=200603&amp;PERIODTYPE=QTR_STD&amp;SCFT=3&amp;window=popup_no_bar&amp;width=385&amp;height=120&amp;START_MAXIMIZED=FALSE&amp;creator=factset&amp;display_string=Audit"}</definedName>
    <definedName name="_2333__FDSAUDITLINK__" hidden="1">{"fdsup://Directions/FactSet Auditing Viewer?action=AUDIT_VALUE&amp;DB=129&amp;ID1=51280710&amp;VALUEID=02001&amp;SDATE=200603&amp;PERIODTYPE=QTR_STD&amp;SCFT=3&amp;window=popup_no_bar&amp;width=385&amp;height=120&amp;START_MAXIMIZED=FALSE&amp;creator=factset&amp;display_string=Audit"}</definedName>
    <definedName name="_2334__FDSAUDITLINK__" localSheetId="7" hidden="1">{"fdsup://Directions/FactSet Auditing Viewer?action=AUDIT_VALUE&amp;DB=129&amp;ID1=51280710&amp;VALUEID=02001&amp;SDATE=200603&amp;PERIODTYPE=QTR_STD&amp;SCFT=3&amp;window=popup_no_bar&amp;width=385&amp;height=120&amp;START_MAXIMIZED=FALSE&amp;creator=factset&amp;display_string=Audit"}</definedName>
    <definedName name="_2334__FDSAUDITLINK__" hidden="1">{"fdsup://Directions/FactSet Auditing Viewer?action=AUDIT_VALUE&amp;DB=129&amp;ID1=51280710&amp;VALUEID=02001&amp;SDATE=200603&amp;PERIODTYPE=QTR_STD&amp;SCFT=3&amp;window=popup_no_bar&amp;width=385&amp;height=120&amp;START_MAXIMIZED=FALSE&amp;creator=factset&amp;display_string=Audit"}</definedName>
    <definedName name="_2335__FDSAUDITLINK__" localSheetId="7" hidden="1">{"fdsup://Directions/FactSet Auditing Viewer?action=AUDIT_VALUE&amp;DB=129&amp;ID1=53567810&amp;VALUEID=02001&amp;SDATE=200603&amp;PERIODTYPE=QTR_STD&amp;SCFT=3&amp;window=popup_no_bar&amp;width=385&amp;height=120&amp;START_MAXIMIZED=FALSE&amp;creator=factset&amp;display_string=Audit"}</definedName>
    <definedName name="_2335__FDSAUDITLINK__" hidden="1">{"fdsup://Directions/FactSet Auditing Viewer?action=AUDIT_VALUE&amp;DB=129&amp;ID1=53567810&amp;VALUEID=02001&amp;SDATE=200603&amp;PERIODTYPE=QTR_STD&amp;SCFT=3&amp;window=popup_no_bar&amp;width=385&amp;height=120&amp;START_MAXIMIZED=FALSE&amp;creator=factset&amp;display_string=Audit"}</definedName>
    <definedName name="_2336__FDSAUDITLINK__" localSheetId="7" hidden="1">{"fdsup://Directions/FactSet Auditing Viewer?action=AUDIT_VALUE&amp;DB=129&amp;ID1=53567810&amp;VALUEID=02001&amp;SDATE=200603&amp;PERIODTYPE=QTR_STD&amp;SCFT=3&amp;window=popup_no_bar&amp;width=385&amp;height=120&amp;START_MAXIMIZED=FALSE&amp;creator=factset&amp;display_string=Audit"}</definedName>
    <definedName name="_2336__FDSAUDITLINK__" hidden="1">{"fdsup://Directions/FactSet Auditing Viewer?action=AUDIT_VALUE&amp;DB=129&amp;ID1=53567810&amp;VALUEID=02001&amp;SDATE=200603&amp;PERIODTYPE=QTR_STD&amp;SCFT=3&amp;window=popup_no_bar&amp;width=385&amp;height=120&amp;START_MAXIMIZED=FALSE&amp;creator=factset&amp;display_string=Audit"}</definedName>
    <definedName name="_2337__FDSAUDITLINK__" localSheetId="7" hidden="1">{"fdsup://Directions/FactSet Auditing Viewer?action=AUDIT_VALUE&amp;DB=129&amp;ID1=48248010&amp;VALUEID=02001&amp;SDATE=200603&amp;PERIODTYPE=QTR_STD&amp;SCFT=3&amp;window=popup_no_bar&amp;width=385&amp;height=120&amp;START_MAXIMIZED=FALSE&amp;creator=factset&amp;display_string=Audit"}</definedName>
    <definedName name="_2337__FDSAUDITLINK__" hidden="1">{"fdsup://Directions/FactSet Auditing Viewer?action=AUDIT_VALUE&amp;DB=129&amp;ID1=48248010&amp;VALUEID=02001&amp;SDATE=200603&amp;PERIODTYPE=QTR_STD&amp;SCFT=3&amp;window=popup_no_bar&amp;width=385&amp;height=120&amp;START_MAXIMIZED=FALSE&amp;creator=factset&amp;display_string=Audit"}</definedName>
    <definedName name="_2338__FDSAUDITLINK__" localSheetId="7" hidden="1">{"fdsup://Directions/FactSet Auditing Viewer?action=AUDIT_VALUE&amp;DB=129&amp;ID1=48248010&amp;VALUEID=02001&amp;SDATE=200603&amp;PERIODTYPE=QTR_STD&amp;SCFT=3&amp;window=popup_no_bar&amp;width=385&amp;height=120&amp;START_MAXIMIZED=FALSE&amp;creator=factset&amp;display_string=Audit"}</definedName>
    <definedName name="_2338__FDSAUDITLINK__" hidden="1">{"fdsup://Directions/FactSet Auditing Viewer?action=AUDIT_VALUE&amp;DB=129&amp;ID1=48248010&amp;VALUEID=02001&amp;SDATE=200603&amp;PERIODTYPE=QTR_STD&amp;SCFT=3&amp;window=popup_no_bar&amp;width=385&amp;height=120&amp;START_MAXIMIZED=FALSE&amp;creator=factset&amp;display_string=Audit"}</definedName>
    <definedName name="_2339__FDSAUDITLINK__" localSheetId="7" hidden="1">{"fdsup://Directions/FactSet Auditing Viewer?action=AUDIT_VALUE&amp;DB=129&amp;ID1=48203R10&amp;VALUEID=02001&amp;SDATE=200601&amp;PERIODTYPE=QTR_STD&amp;SCFT=3&amp;window=popup_no_bar&amp;width=385&amp;height=120&amp;START_MAXIMIZED=FALSE&amp;creator=factset&amp;display_string=Audit"}</definedName>
    <definedName name="_2339__FDSAUDITLINK__" hidden="1">{"fdsup://Directions/FactSet Auditing Viewer?action=AUDIT_VALUE&amp;DB=129&amp;ID1=48203R10&amp;VALUEID=02001&amp;SDATE=200601&amp;PERIODTYPE=QTR_STD&amp;SCFT=3&amp;window=popup_no_bar&amp;width=385&amp;height=120&amp;START_MAXIMIZED=FALSE&amp;creator=factset&amp;display_string=Audit"}</definedName>
    <definedName name="_234__FDSAUDITLINK__" localSheetId="7" hidden="1">{"fdsup://Directions/FactSet Auditing Viewer?action=AUDIT_VALUE&amp;DB=129&amp;ID1=48248010&amp;VALUEID=02001&amp;SDATE=201102&amp;PERIODTYPE=QTR_STD&amp;SCFT=3&amp;window=popup_no_bar&amp;width=385&amp;height=120&amp;START_MAXIMIZED=FALSE&amp;creator=factset&amp;display_string=Audit"}</definedName>
    <definedName name="_234__FDSAUDITLINK__" hidden="1">{"fdsup://Directions/FactSet Auditing Viewer?action=AUDIT_VALUE&amp;DB=129&amp;ID1=48248010&amp;VALUEID=02001&amp;SDATE=201102&amp;PERIODTYPE=QTR_STD&amp;SCFT=3&amp;window=popup_no_bar&amp;width=385&amp;height=120&amp;START_MAXIMIZED=FALSE&amp;creator=factset&amp;display_string=Audit"}</definedName>
    <definedName name="_2340__FDSAUDITLINK__" localSheetId="7" hidden="1">{"fdsup://Directions/FactSet Auditing Viewer?action=AUDIT_VALUE&amp;DB=129&amp;ID1=48203R10&amp;VALUEID=02001&amp;SDATE=200601&amp;PERIODTYPE=QTR_STD&amp;SCFT=3&amp;window=popup_no_bar&amp;width=385&amp;height=120&amp;START_MAXIMIZED=FALSE&amp;creator=factset&amp;display_string=Audit"}</definedName>
    <definedName name="_2340__FDSAUDITLINK__" hidden="1">{"fdsup://Directions/FactSet Auditing Viewer?action=AUDIT_VALUE&amp;DB=129&amp;ID1=48203R10&amp;VALUEID=02001&amp;SDATE=200601&amp;PERIODTYPE=QTR_STD&amp;SCFT=3&amp;window=popup_no_bar&amp;width=385&amp;height=120&amp;START_MAXIMIZED=FALSE&amp;creator=factset&amp;display_string=Audit"}</definedName>
    <definedName name="_2341__FDSAUDITLINK__" localSheetId="7" hidden="1">{"fdsup://Directions/FactSet Auditing Viewer?action=AUDIT_VALUE&amp;DB=129&amp;ID1=86681020&amp;VALUEID=02001&amp;SDATE=200603&amp;PERIODTYPE=QTR_STD&amp;SCFT=3&amp;window=popup_no_bar&amp;width=385&amp;height=120&amp;START_MAXIMIZED=FALSE&amp;creator=factset&amp;display_string=Audit"}</definedName>
    <definedName name="_2341__FDSAUDITLINK__" hidden="1">{"fdsup://Directions/FactSet Auditing Viewer?action=AUDIT_VALUE&amp;DB=129&amp;ID1=86681020&amp;VALUEID=02001&amp;SDATE=200603&amp;PERIODTYPE=QTR_STD&amp;SCFT=3&amp;window=popup_no_bar&amp;width=385&amp;height=120&amp;START_MAXIMIZED=FALSE&amp;creator=factset&amp;display_string=Audit"}</definedName>
    <definedName name="_2342__FDSAUDITLINK__" localSheetId="7" hidden="1">{"fdsup://Directions/FactSet Auditing Viewer?action=AUDIT_VALUE&amp;DB=129&amp;ID1=86681020&amp;VALUEID=02001&amp;SDATE=200603&amp;PERIODTYPE=QTR_STD&amp;SCFT=3&amp;window=popup_no_bar&amp;width=385&amp;height=120&amp;START_MAXIMIZED=FALSE&amp;creator=factset&amp;display_string=Audit"}</definedName>
    <definedName name="_2342__FDSAUDITLINK__" hidden="1">{"fdsup://Directions/FactSet Auditing Viewer?action=AUDIT_VALUE&amp;DB=129&amp;ID1=86681020&amp;VALUEID=02001&amp;SDATE=200603&amp;PERIODTYPE=QTR_STD&amp;SCFT=3&amp;window=popup_no_bar&amp;width=385&amp;height=120&amp;START_MAXIMIZED=FALSE&amp;creator=factset&amp;display_string=Audit"}</definedName>
    <definedName name="_2343__FDSAUDITLINK__" localSheetId="7" hidden="1">{"fdsup://Directions/FactSet Auditing Viewer?action=AUDIT_VALUE&amp;DB=129&amp;ID1=46069S10&amp;VALUEID=02001&amp;SDATE=200601&amp;PERIODTYPE=QTR_STD&amp;SCFT=3&amp;window=popup_no_bar&amp;width=385&amp;height=120&amp;START_MAXIMIZED=FALSE&amp;creator=factset&amp;display_string=Audit"}</definedName>
    <definedName name="_2343__FDSAUDITLINK__" hidden="1">{"fdsup://Directions/FactSet Auditing Viewer?action=AUDIT_VALUE&amp;DB=129&amp;ID1=46069S10&amp;VALUEID=02001&amp;SDATE=200601&amp;PERIODTYPE=QTR_STD&amp;SCFT=3&amp;window=popup_no_bar&amp;width=385&amp;height=120&amp;START_MAXIMIZED=FALSE&amp;creator=factset&amp;display_string=Audit"}</definedName>
    <definedName name="_2344__FDSAUDITLINK__" localSheetId="7" hidden="1">{"fdsup://Directions/FactSet Auditing Viewer?action=AUDIT_VALUE&amp;DB=129&amp;ID1=46069S10&amp;VALUEID=02001&amp;SDATE=200601&amp;PERIODTYPE=QTR_STD&amp;SCFT=3&amp;window=popup_no_bar&amp;width=385&amp;height=120&amp;START_MAXIMIZED=FALSE&amp;creator=factset&amp;display_string=Audit"}</definedName>
    <definedName name="_2344__FDSAUDITLINK__" hidden="1">{"fdsup://Directions/FactSet Auditing Viewer?action=AUDIT_VALUE&amp;DB=129&amp;ID1=46069S10&amp;VALUEID=02001&amp;SDATE=200601&amp;PERIODTYPE=QTR_STD&amp;SCFT=3&amp;window=popup_no_bar&amp;width=385&amp;height=120&amp;START_MAXIMIZED=FALSE&amp;creator=factset&amp;display_string=Audit"}</definedName>
    <definedName name="_2345__FDSAUDITLINK__" localSheetId="7" hidden="1">{"fdsup://Directions/FactSet Auditing Viewer?action=AUDIT_VALUE&amp;DB=129&amp;ID1=46025410&amp;VALUEID=02001&amp;SDATE=200603&amp;PERIODTYPE=QTR_STD&amp;SCFT=3&amp;window=popup_no_bar&amp;width=385&amp;height=120&amp;START_MAXIMIZED=FALSE&amp;creator=factset&amp;display_string=Audit"}</definedName>
    <definedName name="_2345__FDSAUDITLINK__" hidden="1">{"fdsup://Directions/FactSet Auditing Viewer?action=AUDIT_VALUE&amp;DB=129&amp;ID1=46025410&amp;VALUEID=02001&amp;SDATE=200603&amp;PERIODTYPE=QTR_STD&amp;SCFT=3&amp;window=popup_no_bar&amp;width=385&amp;height=120&amp;START_MAXIMIZED=FALSE&amp;creator=factset&amp;display_string=Audit"}</definedName>
    <definedName name="_2346__FDSAUDITLINK__" localSheetId="7" hidden="1">{"fdsup://Directions/FactSet Auditing Viewer?action=AUDIT_VALUE&amp;DB=129&amp;ID1=46025410&amp;VALUEID=02001&amp;SDATE=200603&amp;PERIODTYPE=QTR_STD&amp;SCFT=3&amp;window=popup_no_bar&amp;width=385&amp;height=120&amp;START_MAXIMIZED=FALSE&amp;creator=factset&amp;display_string=Audit"}</definedName>
    <definedName name="_2346__FDSAUDITLINK__" hidden="1">{"fdsup://Directions/FactSet Auditing Viewer?action=AUDIT_VALUE&amp;DB=129&amp;ID1=46025410&amp;VALUEID=02001&amp;SDATE=200603&amp;PERIODTYPE=QTR_STD&amp;SCFT=3&amp;window=popup_no_bar&amp;width=385&amp;height=120&amp;START_MAXIMIZED=FALSE&amp;creator=factset&amp;display_string=Audit"}</definedName>
    <definedName name="_2347__FDSAUDITLINK__" localSheetId="7" hidden="1">{"fdsup://Directions/FactSet Auditing Viewer?action=AUDIT_VALUE&amp;DB=129&amp;ID1=45814010&amp;VALUEID=02001&amp;SDATE=200601&amp;PERIODTYPE=QTR_STD&amp;SCFT=3&amp;window=popup_no_bar&amp;width=385&amp;height=120&amp;START_MAXIMIZED=FALSE&amp;creator=factset&amp;display_string=Audit"}</definedName>
    <definedName name="_2347__FDSAUDITLINK__" hidden="1">{"fdsup://Directions/FactSet Auditing Viewer?action=AUDIT_VALUE&amp;DB=129&amp;ID1=45814010&amp;VALUEID=02001&amp;SDATE=200601&amp;PERIODTYPE=QTR_STD&amp;SCFT=3&amp;window=popup_no_bar&amp;width=385&amp;height=120&amp;START_MAXIMIZED=FALSE&amp;creator=factset&amp;display_string=Audit"}</definedName>
    <definedName name="_2348__FDSAUDITLINK__" localSheetId="7" hidden="1">{"fdsup://Directions/FactSet Auditing Viewer?action=AUDIT_VALUE&amp;DB=129&amp;ID1=45814010&amp;VALUEID=02001&amp;SDATE=200601&amp;PERIODTYPE=QTR_STD&amp;SCFT=3&amp;window=popup_no_bar&amp;width=385&amp;height=120&amp;START_MAXIMIZED=FALSE&amp;creator=factset&amp;display_string=Audit"}</definedName>
    <definedName name="_2348__FDSAUDITLINK__" hidden="1">{"fdsup://Directions/FactSet Auditing Viewer?action=AUDIT_VALUE&amp;DB=129&amp;ID1=45814010&amp;VALUEID=02001&amp;SDATE=200601&amp;PERIODTYPE=QTR_STD&amp;SCFT=3&amp;window=popup_no_bar&amp;width=385&amp;height=120&amp;START_MAXIMIZED=FALSE&amp;creator=factset&amp;display_string=Audit"}</definedName>
    <definedName name="_2349__FDSAUDITLINK__" localSheetId="7" hidden="1">{"fdsup://Directions/FactSet Auditing Viewer?action=AUDIT_VALUE&amp;DB=129&amp;ID1=42823610&amp;VALUEID=02001&amp;SDATE=200602&amp;PERIODTYPE=QTR_STD&amp;SCFT=3&amp;window=popup_no_bar&amp;width=385&amp;height=120&amp;START_MAXIMIZED=FALSE&amp;creator=factset&amp;display_string=Audit"}</definedName>
    <definedName name="_2349__FDSAUDITLINK__" hidden="1">{"fdsup://Directions/FactSet Auditing Viewer?action=AUDIT_VALUE&amp;DB=129&amp;ID1=42823610&amp;VALUEID=02001&amp;SDATE=200602&amp;PERIODTYPE=QTR_STD&amp;SCFT=3&amp;window=popup_no_bar&amp;width=385&amp;height=120&amp;START_MAXIMIZED=FALSE&amp;creator=factset&amp;display_string=Audit"}</definedName>
    <definedName name="_235__FDSAUDITLINK__" localSheetId="7" hidden="1">{"fdsup://Directions/FactSet Auditing Viewer?action=AUDIT_VALUE&amp;DB=129&amp;ID1=48836020&amp;VALUEID=02001&amp;SDATE=201003&amp;PERIODTYPE=QTR_STD&amp;SCFT=3&amp;window=popup_no_bar&amp;width=385&amp;height=120&amp;START_MAXIMIZED=FALSE&amp;creator=factset&amp;display_string=Audit"}</definedName>
    <definedName name="_235__FDSAUDITLINK__" hidden="1">{"fdsup://Directions/FactSet Auditing Viewer?action=AUDIT_VALUE&amp;DB=129&amp;ID1=48836020&amp;VALUEID=02001&amp;SDATE=201003&amp;PERIODTYPE=QTR_STD&amp;SCFT=3&amp;window=popup_no_bar&amp;width=385&amp;height=120&amp;START_MAXIMIZED=FALSE&amp;creator=factset&amp;display_string=Audit"}</definedName>
    <definedName name="_2350__FDSAUDITLINK__" localSheetId="7" hidden="1">{"fdsup://Directions/FactSet Auditing Viewer?action=AUDIT_VALUE&amp;DB=129&amp;ID1=42823610&amp;VALUEID=02001&amp;SDATE=200602&amp;PERIODTYPE=QTR_STD&amp;SCFT=3&amp;window=popup_no_bar&amp;width=385&amp;height=120&amp;START_MAXIMIZED=FALSE&amp;creator=factset&amp;display_string=Audit"}</definedName>
    <definedName name="_2350__FDSAUDITLINK__" hidden="1">{"fdsup://Directions/FactSet Auditing Viewer?action=AUDIT_VALUE&amp;DB=129&amp;ID1=42823610&amp;VALUEID=02001&amp;SDATE=200602&amp;PERIODTYPE=QTR_STD&amp;SCFT=3&amp;window=popup_no_bar&amp;width=385&amp;height=120&amp;START_MAXIMIZED=FALSE&amp;creator=factset&amp;display_string=Audit"}</definedName>
    <definedName name="_2351__FDSAUDITLINK__" localSheetId="7" hidden="1">{"fdsup://Directions/FactSet Auditing Viewer?action=AUDIT_VALUE&amp;DB=129&amp;ID1=H2906T10&amp;VALUEID=02001&amp;SDATE=200601&amp;PERIODTYPE=QTR_STD&amp;SCFT=3&amp;window=popup_no_bar&amp;width=385&amp;height=120&amp;START_MAXIMIZED=FALSE&amp;creator=factset&amp;display_string=Audit"}</definedName>
    <definedName name="_2351__FDSAUDITLINK__" hidden="1">{"fdsup://Directions/FactSet Auditing Viewer?action=AUDIT_VALUE&amp;DB=129&amp;ID1=H2906T10&amp;VALUEID=02001&amp;SDATE=200601&amp;PERIODTYPE=QTR_STD&amp;SCFT=3&amp;window=popup_no_bar&amp;width=385&amp;height=120&amp;START_MAXIMIZED=FALSE&amp;creator=factset&amp;display_string=Audit"}</definedName>
    <definedName name="_2352__FDSAUDITLINK__" localSheetId="7" hidden="1">{"fdsup://Directions/FactSet Auditing Viewer?action=AUDIT_VALUE&amp;DB=129&amp;ID1=H2906T10&amp;VALUEID=02001&amp;SDATE=200601&amp;PERIODTYPE=QTR_STD&amp;SCFT=3&amp;window=popup_no_bar&amp;width=385&amp;height=120&amp;START_MAXIMIZED=FALSE&amp;creator=factset&amp;display_string=Audit"}</definedName>
    <definedName name="_2352__FDSAUDITLINK__" hidden="1">{"fdsup://Directions/FactSet Auditing Viewer?action=AUDIT_VALUE&amp;DB=129&amp;ID1=H2906T10&amp;VALUEID=02001&amp;SDATE=200601&amp;PERIODTYPE=QTR_STD&amp;SCFT=3&amp;window=popup_no_bar&amp;width=385&amp;height=120&amp;START_MAXIMIZED=FALSE&amp;creator=factset&amp;display_string=Audit"}</definedName>
    <definedName name="_2353__FDSAUDITLINK__" localSheetId="7" hidden="1">{"fdsup://Directions/FactSet Auditing Viewer?action=AUDIT_VALUE&amp;DB=129&amp;ID1=34637510&amp;VALUEID=02001&amp;SDATE=200601&amp;PERIODTYPE=QTR_STD&amp;SCFT=3&amp;window=popup_no_bar&amp;width=385&amp;height=120&amp;START_MAXIMIZED=FALSE&amp;creator=factset&amp;display_string=Audit"}</definedName>
    <definedName name="_2353__FDSAUDITLINK__" hidden="1">{"fdsup://Directions/FactSet Auditing Viewer?action=AUDIT_VALUE&amp;DB=129&amp;ID1=34637510&amp;VALUEID=02001&amp;SDATE=200601&amp;PERIODTYPE=QTR_STD&amp;SCFT=3&amp;window=popup_no_bar&amp;width=385&amp;height=120&amp;START_MAXIMIZED=FALSE&amp;creator=factset&amp;display_string=Audit"}</definedName>
    <definedName name="_2354__FDSAUDITLINK__" localSheetId="7" hidden="1">{"fdsup://Directions/FactSet Auditing Viewer?action=AUDIT_VALUE&amp;DB=129&amp;ID1=34637510&amp;VALUEID=02001&amp;SDATE=200601&amp;PERIODTYPE=QTR_STD&amp;SCFT=3&amp;window=popup_no_bar&amp;width=385&amp;height=120&amp;START_MAXIMIZED=FALSE&amp;creator=factset&amp;display_string=Audit"}</definedName>
    <definedName name="_2354__FDSAUDITLINK__" hidden="1">{"fdsup://Directions/FactSet Auditing Viewer?action=AUDIT_VALUE&amp;DB=129&amp;ID1=34637510&amp;VALUEID=02001&amp;SDATE=200601&amp;PERIODTYPE=QTR_STD&amp;SCFT=3&amp;window=popup_no_bar&amp;width=385&amp;height=120&amp;START_MAXIMIZED=FALSE&amp;creator=factset&amp;display_string=Audit"}</definedName>
    <definedName name="_2355__FDSAUDITLINK__" localSheetId="7" hidden="1">{"fdsup://Directions/FactSet Auditing Viewer?action=AUDIT_VALUE&amp;DB=129&amp;ID1=31561610&amp;VALUEID=02001&amp;SDATE=200602&amp;PERIODTYPE=QTR_STD&amp;SCFT=3&amp;window=popup_no_bar&amp;width=385&amp;height=120&amp;START_MAXIMIZED=FALSE&amp;creator=factset&amp;display_string=Audit"}</definedName>
    <definedName name="_2355__FDSAUDITLINK__" hidden="1">{"fdsup://Directions/FactSet Auditing Viewer?action=AUDIT_VALUE&amp;DB=129&amp;ID1=31561610&amp;VALUEID=02001&amp;SDATE=200602&amp;PERIODTYPE=QTR_STD&amp;SCFT=3&amp;window=popup_no_bar&amp;width=385&amp;height=120&amp;START_MAXIMIZED=FALSE&amp;creator=factset&amp;display_string=Audit"}</definedName>
    <definedName name="_2356__FDSAUDITLINK__" localSheetId="7" hidden="1">{"fdsup://Directions/FactSet Auditing Viewer?action=AUDIT_VALUE&amp;DB=129&amp;ID1=31561610&amp;VALUEID=02001&amp;SDATE=200602&amp;PERIODTYPE=QTR_STD&amp;SCFT=3&amp;window=popup_no_bar&amp;width=385&amp;height=120&amp;START_MAXIMIZED=FALSE&amp;creator=factset&amp;display_string=Audit"}</definedName>
    <definedName name="_2356__FDSAUDITLINK__" hidden="1">{"fdsup://Directions/FactSet Auditing Viewer?action=AUDIT_VALUE&amp;DB=129&amp;ID1=31561610&amp;VALUEID=02001&amp;SDATE=200602&amp;PERIODTYPE=QTR_STD&amp;SCFT=3&amp;window=popup_no_bar&amp;width=385&amp;height=120&amp;START_MAXIMIZED=FALSE&amp;creator=factset&amp;display_string=Audit"}</definedName>
    <definedName name="_2357__FDSAUDITLINK__" localSheetId="7" hidden="1">{"fdsup://Directions/FactSet Auditing Viewer?action=AUDIT_VALUE&amp;DB=129&amp;ID1=29247520&amp;VALUEID=02001&amp;SDATE=200603&amp;PERIODTYPE=QTR_STD&amp;SCFT=3&amp;window=popup_no_bar&amp;width=385&amp;height=120&amp;START_MAXIMIZED=FALSE&amp;creator=factset&amp;display_string=Audit"}</definedName>
    <definedName name="_2357__FDSAUDITLINK__" hidden="1">{"fdsup://Directions/FactSet Auditing Viewer?action=AUDIT_VALUE&amp;DB=129&amp;ID1=29247520&amp;VALUEID=02001&amp;SDATE=200603&amp;PERIODTYPE=QTR_STD&amp;SCFT=3&amp;window=popup_no_bar&amp;width=385&amp;height=120&amp;START_MAXIMIZED=FALSE&amp;creator=factset&amp;display_string=Audit"}</definedName>
    <definedName name="_2358__FDSAUDITLINK__" localSheetId="7" hidden="1">{"fdsup://Directions/FactSet Auditing Viewer?action=AUDIT_VALUE&amp;DB=129&amp;ID1=29247520&amp;VALUEID=02001&amp;SDATE=200603&amp;PERIODTYPE=QTR_STD&amp;SCFT=3&amp;window=popup_no_bar&amp;width=385&amp;height=120&amp;START_MAXIMIZED=FALSE&amp;creator=factset&amp;display_string=Audit"}</definedName>
    <definedName name="_2358__FDSAUDITLINK__" hidden="1">{"fdsup://Directions/FactSet Auditing Viewer?action=AUDIT_VALUE&amp;DB=129&amp;ID1=29247520&amp;VALUEID=02001&amp;SDATE=200603&amp;PERIODTYPE=QTR_STD&amp;SCFT=3&amp;window=popup_no_bar&amp;width=385&amp;height=120&amp;START_MAXIMIZED=FALSE&amp;creator=factset&amp;display_string=Audit"}</definedName>
    <definedName name="_2359__FDSAUDITLINK__" localSheetId="7" hidden="1">{"fdsup://Directions/FactSet Auditing Viewer?action=AUDIT_VALUE&amp;DB=129&amp;ID1=25454310&amp;VALUEID=02001&amp;SDATE=200601&amp;PERIODTYPE=QTR_STD&amp;SCFT=3&amp;window=popup_no_bar&amp;width=385&amp;height=120&amp;START_MAXIMIZED=FALSE&amp;creator=factset&amp;display_string=Audit"}</definedName>
    <definedName name="_2359__FDSAUDITLINK__" hidden="1">{"fdsup://Directions/FactSet Auditing Viewer?action=AUDIT_VALUE&amp;DB=129&amp;ID1=25454310&amp;VALUEID=02001&amp;SDATE=200601&amp;PERIODTYPE=QTR_STD&amp;SCFT=3&amp;window=popup_no_bar&amp;width=385&amp;height=120&amp;START_MAXIMIZED=FALSE&amp;creator=factset&amp;display_string=Audit"}</definedName>
    <definedName name="_236__FDSAUDITLINK__" localSheetId="7" hidden="1">{"fdsup://Directions/FactSet Auditing Viewer?action=AUDIT_VALUE&amp;DB=129&amp;ID1=48836020&amp;VALUEID=02001&amp;SDATE=201003&amp;PERIODTYPE=QTR_STD&amp;SCFT=3&amp;window=popup_no_bar&amp;width=385&amp;height=120&amp;START_MAXIMIZED=FALSE&amp;creator=factset&amp;display_string=Audit"}</definedName>
    <definedName name="_236__FDSAUDITLINK__" hidden="1">{"fdsup://Directions/FactSet Auditing Viewer?action=AUDIT_VALUE&amp;DB=129&amp;ID1=48836020&amp;VALUEID=02001&amp;SDATE=201003&amp;PERIODTYPE=QTR_STD&amp;SCFT=3&amp;window=popup_no_bar&amp;width=385&amp;height=120&amp;START_MAXIMIZED=FALSE&amp;creator=factset&amp;display_string=Audit"}</definedName>
    <definedName name="_2360__FDSAUDITLINK__" localSheetId="7" hidden="1">{"fdsup://Directions/FactSet Auditing Viewer?action=AUDIT_VALUE&amp;DB=129&amp;ID1=25454310&amp;VALUEID=02001&amp;SDATE=200601&amp;PERIODTYPE=QTR_STD&amp;SCFT=3&amp;window=popup_no_bar&amp;width=385&amp;height=120&amp;START_MAXIMIZED=FALSE&amp;creator=factset&amp;display_string=Audit"}</definedName>
    <definedName name="_2360__FDSAUDITLINK__" hidden="1">{"fdsup://Directions/FactSet Auditing Viewer?action=AUDIT_VALUE&amp;DB=129&amp;ID1=25454310&amp;VALUEID=02001&amp;SDATE=200601&amp;PERIODTYPE=QTR_STD&amp;SCFT=3&amp;window=popup_no_bar&amp;width=385&amp;height=120&amp;START_MAXIMIZED=FALSE&amp;creator=factset&amp;display_string=Audit"}</definedName>
    <definedName name="_2361__FDSAUDITLINK__" localSheetId="7" hidden="1">{"fdsup://Directions/FactSet Auditing Viewer?action=AUDIT_VALUE&amp;DB=129&amp;ID1=24702R10&amp;VALUEID=02001&amp;SDATE=200601&amp;PERIODTYPE=QTR_STD&amp;SCFT=3&amp;window=popup_no_bar&amp;width=385&amp;height=120&amp;START_MAXIMIZED=FALSE&amp;creator=factset&amp;display_string=Audit"}</definedName>
    <definedName name="_2361__FDSAUDITLINK__" hidden="1">{"fdsup://Directions/FactSet Auditing Viewer?action=AUDIT_VALUE&amp;DB=129&amp;ID1=24702R10&amp;VALUEID=02001&amp;SDATE=200601&amp;PERIODTYPE=QTR_STD&amp;SCFT=3&amp;window=popup_no_bar&amp;width=385&amp;height=120&amp;START_MAXIMIZED=FALSE&amp;creator=factset&amp;display_string=Audit"}</definedName>
    <definedName name="_2362__FDSAUDITLINK__" localSheetId="7" hidden="1">{"fdsup://Directions/FactSet Auditing Viewer?action=AUDIT_VALUE&amp;DB=129&amp;ID1=24702R10&amp;VALUEID=02001&amp;SDATE=200601&amp;PERIODTYPE=QTR_STD&amp;SCFT=3&amp;window=popup_no_bar&amp;width=385&amp;height=120&amp;START_MAXIMIZED=FALSE&amp;creator=factset&amp;display_string=Audit"}</definedName>
    <definedName name="_2362__FDSAUDITLINK__" hidden="1">{"fdsup://Directions/FactSet Auditing Viewer?action=AUDIT_VALUE&amp;DB=129&amp;ID1=24702R10&amp;VALUEID=02001&amp;SDATE=200601&amp;PERIODTYPE=QTR_STD&amp;SCFT=3&amp;window=popup_no_bar&amp;width=385&amp;height=120&amp;START_MAXIMIZED=FALSE&amp;creator=factset&amp;display_string=Audit"}</definedName>
    <definedName name="_2363__FDSAUDITLINK__" localSheetId="7" hidden="1">{"fdsup://Directions/FactSet Auditing Viewer?action=AUDIT_VALUE&amp;DB=129&amp;ID1=23257210&amp;VALUEID=02001&amp;SDATE=200601&amp;PERIODTYPE=QTR_STD&amp;SCFT=3&amp;window=popup_no_bar&amp;width=385&amp;height=120&amp;START_MAXIMIZED=FALSE&amp;creator=factset&amp;display_string=Audit"}</definedName>
    <definedName name="_2363__FDSAUDITLINK__" hidden="1">{"fdsup://Directions/FactSet Auditing Viewer?action=AUDIT_VALUE&amp;DB=129&amp;ID1=23257210&amp;VALUEID=02001&amp;SDATE=200601&amp;PERIODTYPE=QTR_STD&amp;SCFT=3&amp;window=popup_no_bar&amp;width=385&amp;height=120&amp;START_MAXIMIZED=FALSE&amp;creator=factset&amp;display_string=Audit"}</definedName>
    <definedName name="_2364__FDSAUDITLINK__" localSheetId="7" hidden="1">{"fdsup://Directions/FactSet Auditing Viewer?action=AUDIT_VALUE&amp;DB=129&amp;ID1=23257210&amp;VALUEID=02001&amp;SDATE=200601&amp;PERIODTYPE=QTR_STD&amp;SCFT=3&amp;window=popup_no_bar&amp;width=385&amp;height=120&amp;START_MAXIMIZED=FALSE&amp;creator=factset&amp;display_string=Audit"}</definedName>
    <definedName name="_2364__FDSAUDITLINK__" hidden="1">{"fdsup://Directions/FactSet Auditing Viewer?action=AUDIT_VALUE&amp;DB=129&amp;ID1=23257210&amp;VALUEID=02001&amp;SDATE=200601&amp;PERIODTYPE=QTR_STD&amp;SCFT=3&amp;window=popup_no_bar&amp;width=385&amp;height=120&amp;START_MAXIMIZED=FALSE&amp;creator=factset&amp;display_string=Audit"}</definedName>
    <definedName name="_2365__FDSAUDITLINK__" localSheetId="7" hidden="1">{"fdsup://Directions/FactSet Auditing Viewer?action=AUDIT_VALUE&amp;DB=129&amp;ID1=23280610&amp;VALUEID=02001&amp;SDATE=200601&amp;PERIODTYPE=QTR_STD&amp;SCFT=3&amp;window=popup_no_bar&amp;width=385&amp;height=120&amp;START_MAXIMIZED=FALSE&amp;creator=factset&amp;display_string=Audit"}</definedName>
    <definedName name="_2365__FDSAUDITLINK__" hidden="1">{"fdsup://Directions/FactSet Auditing Viewer?action=AUDIT_VALUE&amp;DB=129&amp;ID1=23280610&amp;VALUEID=02001&amp;SDATE=200601&amp;PERIODTYPE=QTR_STD&amp;SCFT=3&amp;window=popup_no_bar&amp;width=385&amp;height=120&amp;START_MAXIMIZED=FALSE&amp;creator=factset&amp;display_string=Audit"}</definedName>
    <definedName name="_2366__FDSAUDITLINK__" localSheetId="7" hidden="1">{"fdsup://Directions/FactSet Auditing Viewer?action=AUDIT_VALUE&amp;DB=129&amp;ID1=23280610&amp;VALUEID=02001&amp;SDATE=200601&amp;PERIODTYPE=QTR_STD&amp;SCFT=3&amp;window=popup_no_bar&amp;width=385&amp;height=120&amp;START_MAXIMIZED=FALSE&amp;creator=factset&amp;display_string=Audit"}</definedName>
    <definedName name="_2366__FDSAUDITLINK__" hidden="1">{"fdsup://Directions/FactSet Auditing Viewer?action=AUDIT_VALUE&amp;DB=129&amp;ID1=23280610&amp;VALUEID=02001&amp;SDATE=200601&amp;PERIODTYPE=QTR_STD&amp;SCFT=3&amp;window=popup_no_bar&amp;width=385&amp;height=120&amp;START_MAXIMIZED=FALSE&amp;creator=factset&amp;display_string=Audit"}</definedName>
    <definedName name="_2367__FDSAUDITLINK__" localSheetId="7" hidden="1">{"fdsup://Directions/FactSet Auditing Viewer?action=AUDIT_VALUE&amp;DB=129&amp;ID1=17275R10&amp;VALUEID=02001&amp;SDATE=200603&amp;PERIODTYPE=QTR_STD&amp;SCFT=3&amp;window=popup_no_bar&amp;width=385&amp;height=120&amp;START_MAXIMIZED=FALSE&amp;creator=factset&amp;display_string=Audit"}</definedName>
    <definedName name="_2367__FDSAUDITLINK__" hidden="1">{"fdsup://Directions/FactSet Auditing Viewer?action=AUDIT_VALUE&amp;DB=129&amp;ID1=17275R10&amp;VALUEID=02001&amp;SDATE=200603&amp;PERIODTYPE=QTR_STD&amp;SCFT=3&amp;window=popup_no_bar&amp;width=385&amp;height=120&amp;START_MAXIMIZED=FALSE&amp;creator=factset&amp;display_string=Audit"}</definedName>
    <definedName name="_2368__FDSAUDITLINK__" localSheetId="7" hidden="1">{"fdsup://Directions/FactSet Auditing Viewer?action=AUDIT_VALUE&amp;DB=129&amp;ID1=17275R10&amp;VALUEID=02001&amp;SDATE=200603&amp;PERIODTYPE=QTR_STD&amp;SCFT=3&amp;window=popup_no_bar&amp;width=385&amp;height=120&amp;START_MAXIMIZED=FALSE&amp;creator=factset&amp;display_string=Audit"}</definedName>
    <definedName name="_2368__FDSAUDITLINK__" hidden="1">{"fdsup://Directions/FactSet Auditing Viewer?action=AUDIT_VALUE&amp;DB=129&amp;ID1=17275R10&amp;VALUEID=02001&amp;SDATE=200603&amp;PERIODTYPE=QTR_STD&amp;SCFT=3&amp;window=popup_no_bar&amp;width=385&amp;height=120&amp;START_MAXIMIZED=FALSE&amp;creator=factset&amp;display_string=Audit"}</definedName>
    <definedName name="_2369__FDSAUDITLINK__" localSheetId="7" hidden="1">{"fdsup://Directions/FactSet Auditing Viewer?action=AUDIT_VALUE&amp;DB=129&amp;ID1=22544710&amp;VALUEID=02001&amp;SDATE=200603&amp;PERIODTYPE=QTR_STD&amp;SCFT=3&amp;window=popup_no_bar&amp;width=385&amp;height=120&amp;START_MAXIMIZED=FALSE&amp;creator=factset&amp;display_string=Audit"}</definedName>
    <definedName name="_2369__FDSAUDITLINK__" hidden="1">{"fdsup://Directions/FactSet Auditing Viewer?action=AUDIT_VALUE&amp;DB=129&amp;ID1=22544710&amp;VALUEID=02001&amp;SDATE=200603&amp;PERIODTYPE=QTR_STD&amp;SCFT=3&amp;window=popup_no_bar&amp;width=385&amp;height=120&amp;START_MAXIMIZED=FALSE&amp;creator=factset&amp;display_string=Audit"}</definedName>
    <definedName name="_237__FDSAUDITLINK__" localSheetId="7" hidden="1">{"fdsup://Directions/FactSet Auditing Viewer?action=AUDIT_VALUE&amp;DB=129&amp;ID1=48203R10&amp;VALUEID=02001&amp;SDATE=201004&amp;PERIODTYPE=QTR_STD&amp;SCFT=3&amp;window=popup_no_bar&amp;width=385&amp;height=120&amp;START_MAXIMIZED=FALSE&amp;creator=factset&amp;display_string=Audit"}</definedName>
    <definedName name="_237__FDSAUDITLINK__" hidden="1">{"fdsup://Directions/FactSet Auditing Viewer?action=AUDIT_VALUE&amp;DB=129&amp;ID1=48203R10&amp;VALUEID=02001&amp;SDATE=201004&amp;PERIODTYPE=QTR_STD&amp;SCFT=3&amp;window=popup_no_bar&amp;width=385&amp;height=120&amp;START_MAXIMIZED=FALSE&amp;creator=factset&amp;display_string=Audit"}</definedName>
    <definedName name="_2370__FDSAUDITLINK__" localSheetId="7" hidden="1">{"fdsup://Directions/FactSet Auditing Viewer?action=AUDIT_VALUE&amp;DB=129&amp;ID1=22544710&amp;VALUEID=02001&amp;SDATE=200603&amp;PERIODTYPE=QTR_STD&amp;SCFT=3&amp;window=popup_no_bar&amp;width=385&amp;height=120&amp;START_MAXIMIZED=FALSE&amp;creator=factset&amp;display_string=Audit"}</definedName>
    <definedName name="_2370__FDSAUDITLINK__" hidden="1">{"fdsup://Directions/FactSet Auditing Viewer?action=AUDIT_VALUE&amp;DB=129&amp;ID1=22544710&amp;VALUEID=02001&amp;SDATE=200603&amp;PERIODTYPE=QTR_STD&amp;SCFT=3&amp;window=popup_no_bar&amp;width=385&amp;height=120&amp;START_MAXIMIZED=FALSE&amp;creator=factset&amp;display_string=Audit"}</definedName>
    <definedName name="_2371__FDSAUDITLINK__" localSheetId="7" hidden="1">{"fdsup://Directions/FactSet Auditing Viewer?action=AUDIT_VALUE&amp;DB=129&amp;ID1=20714230&amp;VALUEID=02001&amp;SDATE=200602&amp;PERIODTYPE=QTR_STD&amp;SCFT=3&amp;window=popup_no_bar&amp;width=385&amp;height=120&amp;START_MAXIMIZED=FALSE&amp;creator=factset&amp;display_string=Audit"}</definedName>
    <definedName name="_2371__FDSAUDITLINK__" hidden="1">{"fdsup://Directions/FactSet Auditing Viewer?action=AUDIT_VALUE&amp;DB=129&amp;ID1=20714230&amp;VALUEID=02001&amp;SDATE=200602&amp;PERIODTYPE=QTR_STD&amp;SCFT=3&amp;window=popup_no_bar&amp;width=385&amp;height=120&amp;START_MAXIMIZED=FALSE&amp;creator=factset&amp;display_string=Audit"}</definedName>
    <definedName name="_2372__FDSAUDITLINK__" localSheetId="7" hidden="1">{"fdsup://Directions/FactSet Auditing Viewer?action=AUDIT_VALUE&amp;DB=129&amp;ID1=20714230&amp;VALUEID=02001&amp;SDATE=200602&amp;PERIODTYPE=QTR_STD&amp;SCFT=3&amp;window=popup_no_bar&amp;width=385&amp;height=120&amp;START_MAXIMIZED=FALSE&amp;creator=factset&amp;display_string=Audit"}</definedName>
    <definedName name="_2372__FDSAUDITLINK__" hidden="1">{"fdsup://Directions/FactSet Auditing Viewer?action=AUDIT_VALUE&amp;DB=129&amp;ID1=20714230&amp;VALUEID=02001&amp;SDATE=200602&amp;PERIODTYPE=QTR_STD&amp;SCFT=3&amp;window=popup_no_bar&amp;width=385&amp;height=120&amp;START_MAXIMIZED=FALSE&amp;creator=factset&amp;display_string=Audit"}</definedName>
    <definedName name="_2373__FDSAUDITLINK__" localSheetId="7" hidden="1">{"fdsup://Directions/FactSet Auditing Viewer?action=AUDIT_VALUE&amp;DB=129&amp;ID1=12738710&amp;VALUEID=02001&amp;SDATE=200601&amp;PERIODTYPE=QTR_STD&amp;SCFT=3&amp;window=popup_no_bar&amp;width=385&amp;height=120&amp;START_MAXIMIZED=FALSE&amp;creator=factset&amp;display_string=Audit"}</definedName>
    <definedName name="_2373__FDSAUDITLINK__" hidden="1">{"fdsup://Directions/FactSet Auditing Viewer?action=AUDIT_VALUE&amp;DB=129&amp;ID1=12738710&amp;VALUEID=02001&amp;SDATE=200601&amp;PERIODTYPE=QTR_STD&amp;SCFT=3&amp;window=popup_no_bar&amp;width=385&amp;height=120&amp;START_MAXIMIZED=FALSE&amp;creator=factset&amp;display_string=Audit"}</definedName>
    <definedName name="_2374__FDSAUDITLINK__" localSheetId="7" hidden="1">{"fdsup://Directions/FactSet Auditing Viewer?action=AUDIT_VALUE&amp;DB=129&amp;ID1=12738710&amp;VALUEID=02001&amp;SDATE=200601&amp;PERIODTYPE=QTR_STD&amp;SCFT=3&amp;window=popup_no_bar&amp;width=385&amp;height=120&amp;START_MAXIMIZED=FALSE&amp;creator=factset&amp;display_string=Audit"}</definedName>
    <definedName name="_2374__FDSAUDITLINK__" hidden="1">{"fdsup://Directions/FactSet Auditing Viewer?action=AUDIT_VALUE&amp;DB=129&amp;ID1=12738710&amp;VALUEID=02001&amp;SDATE=200601&amp;PERIODTYPE=QTR_STD&amp;SCFT=3&amp;window=popup_no_bar&amp;width=385&amp;height=120&amp;START_MAXIMIZED=FALSE&amp;creator=factset&amp;display_string=Audit"}</definedName>
    <definedName name="_2375__FDSAUDITLINK__" localSheetId="7" hidden="1">{"fdsup://Directions/FactSet Auditing Viewer?action=AUDIT_VALUE&amp;DB=129&amp;ID1=11162130&amp;VALUEID=02001&amp;SDATE=200602&amp;PERIODTYPE=QTR_STD&amp;SCFT=3&amp;window=popup_no_bar&amp;width=385&amp;height=120&amp;START_MAXIMIZED=FALSE&amp;creator=factset&amp;display_string=Audit"}</definedName>
    <definedName name="_2375__FDSAUDITLINK__" hidden="1">{"fdsup://Directions/FactSet Auditing Viewer?action=AUDIT_VALUE&amp;DB=129&amp;ID1=11162130&amp;VALUEID=02001&amp;SDATE=200602&amp;PERIODTYPE=QTR_STD&amp;SCFT=3&amp;window=popup_no_bar&amp;width=385&amp;height=120&amp;START_MAXIMIZED=FALSE&amp;creator=factset&amp;display_string=Audit"}</definedName>
    <definedName name="_2376__FDSAUDITLINK__" localSheetId="7" hidden="1">{"fdsup://Directions/FactSet Auditing Viewer?action=AUDIT_VALUE&amp;DB=129&amp;ID1=11162130&amp;VALUEID=02001&amp;SDATE=200602&amp;PERIODTYPE=QTR_STD&amp;SCFT=3&amp;window=popup_no_bar&amp;width=385&amp;height=120&amp;START_MAXIMIZED=FALSE&amp;creator=factset&amp;display_string=Audit"}</definedName>
    <definedName name="_2376__FDSAUDITLINK__" hidden="1">{"fdsup://Directions/FactSet Auditing Viewer?action=AUDIT_VALUE&amp;DB=129&amp;ID1=11162130&amp;VALUEID=02001&amp;SDATE=200602&amp;PERIODTYPE=QTR_STD&amp;SCFT=3&amp;window=popup_no_bar&amp;width=385&amp;height=120&amp;START_MAXIMIZED=FALSE&amp;creator=factset&amp;display_string=Audit"}</definedName>
    <definedName name="_2377__FDSAUDITLINK__" localSheetId="7" hidden="1">{"fdsup://Directions/FactSet Auditing Viewer?action=AUDIT_VALUE&amp;DB=129&amp;ID1=04743P10&amp;VALUEID=02001&amp;SDATE=200601&amp;PERIODTYPE=QTR_STD&amp;SCFT=3&amp;window=popup_no_bar&amp;width=385&amp;height=120&amp;START_MAXIMIZED=FALSE&amp;creator=factset&amp;display_string=Audit"}</definedName>
    <definedName name="_2377__FDSAUDITLINK__" hidden="1">{"fdsup://Directions/FactSet Auditing Viewer?action=AUDIT_VALUE&amp;DB=129&amp;ID1=04743P10&amp;VALUEID=02001&amp;SDATE=200601&amp;PERIODTYPE=QTR_STD&amp;SCFT=3&amp;window=popup_no_bar&amp;width=385&amp;height=120&amp;START_MAXIMIZED=FALSE&amp;creator=factset&amp;display_string=Audit"}</definedName>
    <definedName name="_2378__FDSAUDITLINK__" localSheetId="7" hidden="1">{"fdsup://Directions/FactSet Auditing Viewer?action=AUDIT_VALUE&amp;DB=129&amp;ID1=04743P10&amp;VALUEID=02001&amp;SDATE=200601&amp;PERIODTYPE=QTR_STD&amp;SCFT=3&amp;window=popup_no_bar&amp;width=385&amp;height=120&amp;START_MAXIMIZED=FALSE&amp;creator=factset&amp;display_string=Audit"}</definedName>
    <definedName name="_2378__FDSAUDITLINK__" hidden="1">{"fdsup://Directions/FactSet Auditing Viewer?action=AUDIT_VALUE&amp;DB=129&amp;ID1=04743P10&amp;VALUEID=02001&amp;SDATE=200601&amp;PERIODTYPE=QTR_STD&amp;SCFT=3&amp;window=popup_no_bar&amp;width=385&amp;height=120&amp;START_MAXIMIZED=FALSE&amp;creator=factset&amp;display_string=Audit"}</definedName>
    <definedName name="_2379__FDSAUDITLINK__" localSheetId="7" hidden="1">{"fdsup://Directions/FactSet Auditing Viewer?action=AUDIT_VALUE&amp;DB=129&amp;ID1=03251510&amp;VALUEID=02001&amp;SDATE=200601&amp;PERIODTYPE=QTR_STD&amp;SCFT=3&amp;window=popup_no_bar&amp;width=385&amp;height=120&amp;START_MAXIMIZED=FALSE&amp;creator=factset&amp;display_string=Audit"}</definedName>
    <definedName name="_2379__FDSAUDITLINK__" hidden="1">{"fdsup://Directions/FactSet Auditing Viewer?action=AUDIT_VALUE&amp;DB=129&amp;ID1=03251510&amp;VALUEID=02001&amp;SDATE=200601&amp;PERIODTYPE=QTR_STD&amp;SCFT=3&amp;window=popup_no_bar&amp;width=385&amp;height=120&amp;START_MAXIMIZED=FALSE&amp;creator=factset&amp;display_string=Audit"}</definedName>
    <definedName name="_238__FDSAUDITLINK__" localSheetId="7" hidden="1">{"fdsup://Directions/FactSet Auditing Viewer?action=AUDIT_VALUE&amp;DB=129&amp;ID1=48203R10&amp;VALUEID=02001&amp;SDATE=201004&amp;PERIODTYPE=QTR_STD&amp;SCFT=3&amp;window=popup_no_bar&amp;width=385&amp;height=120&amp;START_MAXIMIZED=FALSE&amp;creator=factset&amp;display_string=Audit"}</definedName>
    <definedName name="_238__FDSAUDITLINK__" hidden="1">{"fdsup://Directions/FactSet Auditing Viewer?action=AUDIT_VALUE&amp;DB=129&amp;ID1=48203R10&amp;VALUEID=02001&amp;SDATE=201004&amp;PERIODTYPE=QTR_STD&amp;SCFT=3&amp;window=popup_no_bar&amp;width=385&amp;height=120&amp;START_MAXIMIZED=FALSE&amp;creator=factset&amp;display_string=Audit"}</definedName>
    <definedName name="_2380__FDSAUDITLINK__" localSheetId="7" hidden="1">{"fdsup://Directions/FactSet Auditing Viewer?action=AUDIT_VALUE&amp;DB=129&amp;ID1=03251510&amp;VALUEID=02001&amp;SDATE=200601&amp;PERIODTYPE=QTR_STD&amp;SCFT=3&amp;window=popup_no_bar&amp;width=385&amp;height=120&amp;START_MAXIMIZED=FALSE&amp;creator=factset&amp;display_string=Audit"}</definedName>
    <definedName name="_2380__FDSAUDITLINK__" hidden="1">{"fdsup://Directions/FactSet Auditing Viewer?action=AUDIT_VALUE&amp;DB=129&amp;ID1=03251510&amp;VALUEID=02001&amp;SDATE=200601&amp;PERIODTYPE=QTR_STD&amp;SCFT=3&amp;window=popup_no_bar&amp;width=385&amp;height=120&amp;START_MAXIMIZED=FALSE&amp;creator=factset&amp;display_string=Audit"}</definedName>
    <definedName name="_2381__FDSAUDITLINK__" localSheetId="7" hidden="1">{"fdsup://Directions/FactSet Auditing Viewer?action=AUDIT_VALUE&amp;DB=129&amp;ID1=00790310&amp;VALUEID=02001&amp;SDATE=200601&amp;PERIODTYPE=QTR_STD&amp;SCFT=3&amp;window=popup_no_bar&amp;width=385&amp;height=120&amp;START_MAXIMIZED=FALSE&amp;creator=factset&amp;display_string=Audit"}</definedName>
    <definedName name="_2381__FDSAUDITLINK__" hidden="1">{"fdsup://Directions/FactSet Auditing Viewer?action=AUDIT_VALUE&amp;DB=129&amp;ID1=00790310&amp;VALUEID=02001&amp;SDATE=200601&amp;PERIODTYPE=QTR_STD&amp;SCFT=3&amp;window=popup_no_bar&amp;width=385&amp;height=120&amp;START_MAXIMIZED=FALSE&amp;creator=factset&amp;display_string=Audit"}</definedName>
    <definedName name="_2382__FDSAUDITLINK__" localSheetId="7" hidden="1">{"fdsup://Directions/FactSet Auditing Viewer?action=AUDIT_VALUE&amp;DB=129&amp;ID1=00790310&amp;VALUEID=02001&amp;SDATE=200601&amp;PERIODTYPE=QTR_STD&amp;SCFT=3&amp;window=popup_no_bar&amp;width=385&amp;height=120&amp;START_MAXIMIZED=FALSE&amp;creator=factset&amp;display_string=Audit"}</definedName>
    <definedName name="_2382__FDSAUDITLINK__" hidden="1">{"fdsup://Directions/FactSet Auditing Viewer?action=AUDIT_VALUE&amp;DB=129&amp;ID1=00790310&amp;VALUEID=02001&amp;SDATE=200601&amp;PERIODTYPE=QTR_STD&amp;SCFT=3&amp;window=popup_no_bar&amp;width=385&amp;height=120&amp;START_MAXIMIZED=FALSE&amp;creator=factset&amp;display_string=Audit"}</definedName>
    <definedName name="_2383__FDSAUDITLINK__" localSheetId="7" hidden="1">{"fdsup://Directions/FactSet Auditing Viewer?action=AUDIT_VALUE&amp;DB=129&amp;ID1=03822210&amp;VALUEID=02001&amp;SDATE=200602&amp;PERIODTYPE=QTR_STD&amp;SCFT=3&amp;window=popup_no_bar&amp;width=385&amp;height=120&amp;START_MAXIMIZED=FALSE&amp;creator=factset&amp;display_string=Audit"}</definedName>
    <definedName name="_2383__FDSAUDITLINK__" hidden="1">{"fdsup://Directions/FactSet Auditing Viewer?action=AUDIT_VALUE&amp;DB=129&amp;ID1=03822210&amp;VALUEID=02001&amp;SDATE=200602&amp;PERIODTYPE=QTR_STD&amp;SCFT=3&amp;window=popup_no_bar&amp;width=385&amp;height=120&amp;START_MAXIMIZED=FALSE&amp;creator=factset&amp;display_string=Audit"}</definedName>
    <definedName name="_2384__FDSAUDITLINK__" localSheetId="7" hidden="1">{"fdsup://Directions/FactSet Auditing Viewer?action=AUDIT_VALUE&amp;DB=129&amp;ID1=03822210&amp;VALUEID=02001&amp;SDATE=200602&amp;PERIODTYPE=QTR_STD&amp;SCFT=3&amp;window=popup_no_bar&amp;width=385&amp;height=120&amp;START_MAXIMIZED=FALSE&amp;creator=factset&amp;display_string=Audit"}</definedName>
    <definedName name="_2384__FDSAUDITLINK__" hidden="1">{"fdsup://Directions/FactSet Auditing Viewer?action=AUDIT_VALUE&amp;DB=129&amp;ID1=03822210&amp;VALUEID=02001&amp;SDATE=200602&amp;PERIODTYPE=QTR_STD&amp;SCFT=3&amp;window=popup_no_bar&amp;width=385&amp;height=120&amp;START_MAXIMIZED=FALSE&amp;creator=factset&amp;display_string=Audit"}</definedName>
    <definedName name="_2385__FDSAUDITLINK__" localSheetId="7" hidden="1">{"fdsup://Directions/FactSet Auditing Viewer?action=AUDIT_VALUE&amp;DB=129&amp;ID1=02144110&amp;VALUEID=02001&amp;SDATE=200601&amp;PERIODTYPE=QTR_STD&amp;SCFT=3&amp;window=popup_no_bar&amp;width=385&amp;height=120&amp;START_MAXIMIZED=FALSE&amp;creator=factset&amp;display_string=Audit"}</definedName>
    <definedName name="_2385__FDSAUDITLINK__" hidden="1">{"fdsup://Directions/FactSet Auditing Viewer?action=AUDIT_VALUE&amp;DB=129&amp;ID1=02144110&amp;VALUEID=02001&amp;SDATE=200601&amp;PERIODTYPE=QTR_STD&amp;SCFT=3&amp;window=popup_no_bar&amp;width=385&amp;height=120&amp;START_MAXIMIZED=FALSE&amp;creator=factset&amp;display_string=Audit"}</definedName>
    <definedName name="_2386__FDSAUDITLINK__" localSheetId="7" hidden="1">{"fdsup://Directions/FactSet Auditing Viewer?action=AUDIT_VALUE&amp;DB=129&amp;ID1=02144110&amp;VALUEID=02001&amp;SDATE=200601&amp;PERIODTYPE=QTR_STD&amp;SCFT=3&amp;window=popup_no_bar&amp;width=385&amp;height=120&amp;START_MAXIMIZED=FALSE&amp;creator=factset&amp;display_string=Audit"}</definedName>
    <definedName name="_2386__FDSAUDITLINK__" hidden="1">{"fdsup://Directions/FactSet Auditing Viewer?action=AUDIT_VALUE&amp;DB=129&amp;ID1=02144110&amp;VALUEID=02001&amp;SDATE=200601&amp;PERIODTYPE=QTR_STD&amp;SCFT=3&amp;window=popup_no_bar&amp;width=385&amp;height=120&amp;START_MAXIMIZED=FALSE&amp;creator=factset&amp;display_string=Audit"}</definedName>
    <definedName name="_2387__FDSAUDITLINK__" localSheetId="7" hidden="1">{"fdsup://Directions/FactSet Auditing Viewer?action=AUDIT_VALUE&amp;DB=129&amp;ID1=00752J10&amp;VALUEID=02001&amp;SDATE=200601&amp;PERIODTYPE=QTR_STD&amp;SCFT=3&amp;window=popup_no_bar&amp;width=385&amp;height=120&amp;START_MAXIMIZED=FALSE&amp;creator=factset&amp;display_string=Audit"}</definedName>
    <definedName name="_2387__FDSAUDITLINK__" hidden="1">{"fdsup://Directions/FactSet Auditing Viewer?action=AUDIT_VALUE&amp;DB=129&amp;ID1=00752J10&amp;VALUEID=02001&amp;SDATE=200601&amp;PERIODTYPE=QTR_STD&amp;SCFT=3&amp;window=popup_no_bar&amp;width=385&amp;height=120&amp;START_MAXIMIZED=FALSE&amp;creator=factset&amp;display_string=Audit"}</definedName>
    <definedName name="_2388__FDSAUDITLINK__" localSheetId="7" hidden="1">{"fdsup://Directions/FactSet Auditing Viewer?action=AUDIT_VALUE&amp;DB=129&amp;ID1=00752J10&amp;VALUEID=02001&amp;SDATE=200601&amp;PERIODTYPE=QTR_STD&amp;SCFT=3&amp;window=popup_no_bar&amp;width=385&amp;height=120&amp;START_MAXIMIZED=FALSE&amp;creator=factset&amp;display_string=Audit"}</definedName>
    <definedName name="_2388__FDSAUDITLINK__" hidden="1">{"fdsup://Directions/FactSet Auditing Viewer?action=AUDIT_VALUE&amp;DB=129&amp;ID1=00752J10&amp;VALUEID=02001&amp;SDATE=200601&amp;PERIODTYPE=QTR_STD&amp;SCFT=3&amp;window=popup_no_bar&amp;width=385&amp;height=120&amp;START_MAXIMIZED=FALSE&amp;creator=factset&amp;display_string=Audit"}</definedName>
    <definedName name="_2389__FDSAUDITLINK__" localSheetId="7" hidden="1">{"fdsup://Directions/FactSet Auditing Viewer?action=AUDIT_VALUE&amp;DB=129&amp;ID1=98391910&amp;VALUEID=02001&amp;SDATE=200503&amp;PERIODTYPE=QTR_STD&amp;SCFT=3&amp;window=popup_no_bar&amp;width=385&amp;height=120&amp;START_MAXIMIZED=FALSE&amp;creator=factset&amp;display_string=Audit"}</definedName>
    <definedName name="_2389__FDSAUDITLINK__" hidden="1">{"fdsup://Directions/FactSet Auditing Viewer?action=AUDIT_VALUE&amp;DB=129&amp;ID1=98391910&amp;VALUEID=02001&amp;SDATE=200503&amp;PERIODTYPE=QTR_STD&amp;SCFT=3&amp;window=popup_no_bar&amp;width=385&amp;height=120&amp;START_MAXIMIZED=FALSE&amp;creator=factset&amp;display_string=Audit"}</definedName>
    <definedName name="_239__FDSAUDITLINK__" localSheetId="7" hidden="1">{"fdsup://Directions/FactSet Auditing Viewer?action=AUDIT_VALUE&amp;DB=129&amp;ID1=46069S10&amp;VALUEID=02001&amp;SDATE=201004&amp;PERIODTYPE=QTR_STD&amp;SCFT=3&amp;window=popup_no_bar&amp;width=385&amp;height=120&amp;START_MAXIMIZED=FALSE&amp;creator=factset&amp;display_string=Audit"}</definedName>
    <definedName name="_239__FDSAUDITLINK__" hidden="1">{"fdsup://Directions/FactSet Auditing Viewer?action=AUDIT_VALUE&amp;DB=129&amp;ID1=46069S10&amp;VALUEID=02001&amp;SDATE=201004&amp;PERIODTYPE=QTR_STD&amp;SCFT=3&amp;window=popup_no_bar&amp;width=385&amp;height=120&amp;START_MAXIMIZED=FALSE&amp;creator=factset&amp;display_string=Audit"}</definedName>
    <definedName name="_2390__FDSAUDITLINK__" localSheetId="7" hidden="1">{"fdsup://Directions/FactSet Auditing Viewer?action=AUDIT_VALUE&amp;DB=129&amp;ID1=98391910&amp;VALUEID=02001&amp;SDATE=200503&amp;PERIODTYPE=QTR_STD&amp;SCFT=3&amp;window=popup_no_bar&amp;width=385&amp;height=120&amp;START_MAXIMIZED=FALSE&amp;creator=factset&amp;display_string=Audit"}</definedName>
    <definedName name="_2390__FDSAUDITLINK__" hidden="1">{"fdsup://Directions/FactSet Auditing Viewer?action=AUDIT_VALUE&amp;DB=129&amp;ID1=98391910&amp;VALUEID=02001&amp;SDATE=200503&amp;PERIODTYPE=QTR_STD&amp;SCFT=3&amp;window=popup_no_bar&amp;width=385&amp;height=120&amp;START_MAXIMIZED=FALSE&amp;creator=factset&amp;display_string=Audit"}</definedName>
    <definedName name="_2391__FDSAUDITLINK__" localSheetId="7" hidden="1">{"fdsup://Directions/FactSet Auditing Viewer?action=AUDIT_VALUE&amp;DB=129&amp;ID1=95810210&amp;VALUEID=02001&amp;SDATE=200602&amp;PERIODTYPE=QTR_STD&amp;SCFT=3&amp;window=popup_no_bar&amp;width=385&amp;height=120&amp;START_MAXIMIZED=FALSE&amp;creator=factset&amp;display_string=Audit"}</definedName>
    <definedName name="_2391__FDSAUDITLINK__" hidden="1">{"fdsup://Directions/FactSet Auditing Viewer?action=AUDIT_VALUE&amp;DB=129&amp;ID1=95810210&amp;VALUEID=02001&amp;SDATE=200602&amp;PERIODTYPE=QTR_STD&amp;SCFT=3&amp;window=popup_no_bar&amp;width=385&amp;height=120&amp;START_MAXIMIZED=FALSE&amp;creator=factset&amp;display_string=Audit"}</definedName>
    <definedName name="_2392__FDSAUDITLINK__" localSheetId="7" hidden="1">{"fdsup://Directions/FactSet Auditing Viewer?action=AUDIT_VALUE&amp;DB=129&amp;ID1=95810210&amp;VALUEID=02001&amp;SDATE=200602&amp;PERIODTYPE=QTR_STD&amp;SCFT=3&amp;window=popup_no_bar&amp;width=385&amp;height=120&amp;START_MAXIMIZED=FALSE&amp;creator=factset&amp;display_string=Audit"}</definedName>
    <definedName name="_2392__FDSAUDITLINK__" hidden="1">{"fdsup://Directions/FactSet Auditing Viewer?action=AUDIT_VALUE&amp;DB=129&amp;ID1=95810210&amp;VALUEID=02001&amp;SDATE=200602&amp;PERIODTYPE=QTR_STD&amp;SCFT=3&amp;window=popup_no_bar&amp;width=385&amp;height=120&amp;START_MAXIMIZED=FALSE&amp;creator=factset&amp;display_string=Audit"}</definedName>
    <definedName name="_2393__FDSAUDITLINK__" localSheetId="7" hidden="1">{"fdsup://Directions/FactSet Auditing Viewer?action=AUDIT_VALUE&amp;DB=129&amp;ID1=92849730&amp;VALUEID=02001&amp;SDATE=200601&amp;PERIODTYPE=QTR_STD&amp;SCFT=3&amp;window=popup_no_bar&amp;width=385&amp;height=120&amp;START_MAXIMIZED=FALSE&amp;creator=factset&amp;display_string=Audit"}</definedName>
    <definedName name="_2393__FDSAUDITLINK__" hidden="1">{"fdsup://Directions/FactSet Auditing Viewer?action=AUDIT_VALUE&amp;DB=129&amp;ID1=92849730&amp;VALUEID=02001&amp;SDATE=200601&amp;PERIODTYPE=QTR_STD&amp;SCFT=3&amp;window=popup_no_bar&amp;width=385&amp;height=120&amp;START_MAXIMIZED=FALSE&amp;creator=factset&amp;display_string=Audit"}</definedName>
    <definedName name="_2394__FDSAUDITLINK__" localSheetId="7" hidden="1">{"fdsup://Directions/FactSet Auditing Viewer?action=AUDIT_VALUE&amp;DB=129&amp;ID1=92849730&amp;VALUEID=02001&amp;SDATE=200601&amp;PERIODTYPE=QTR_STD&amp;SCFT=3&amp;window=popup_no_bar&amp;width=385&amp;height=120&amp;START_MAXIMIZED=FALSE&amp;creator=factset&amp;display_string=Audit"}</definedName>
    <definedName name="_2394__FDSAUDITLINK__" hidden="1">{"fdsup://Directions/FactSet Auditing Viewer?action=AUDIT_VALUE&amp;DB=129&amp;ID1=92849730&amp;VALUEID=02001&amp;SDATE=200601&amp;PERIODTYPE=QTR_STD&amp;SCFT=3&amp;window=popup_no_bar&amp;width=385&amp;height=120&amp;START_MAXIMIZED=FALSE&amp;creator=factset&amp;display_string=Audit"}</definedName>
    <definedName name="_2395__FDSAUDITLINK__" localSheetId="7" hidden="1">{"fdsup://Directions/FactSet Auditing Viewer?action=AUDIT_VALUE&amp;DB=129&amp;ID1=83088M10&amp;VALUEID=02001&amp;SDATE=200601&amp;PERIODTYPE=QTR_STD&amp;SCFT=3&amp;window=popup_no_bar&amp;width=385&amp;height=120&amp;START_MAXIMIZED=FALSE&amp;creator=factset&amp;display_string=Audit"}</definedName>
    <definedName name="_2395__FDSAUDITLINK__" hidden="1">{"fdsup://Directions/FactSet Auditing Viewer?action=AUDIT_VALUE&amp;DB=129&amp;ID1=83088M10&amp;VALUEID=02001&amp;SDATE=200601&amp;PERIODTYPE=QTR_STD&amp;SCFT=3&amp;window=popup_no_bar&amp;width=385&amp;height=120&amp;START_MAXIMIZED=FALSE&amp;creator=factset&amp;display_string=Audit"}</definedName>
    <definedName name="_2396__FDSAUDITLINK__" localSheetId="7" hidden="1">{"fdsup://Directions/FactSet Auditing Viewer?action=AUDIT_VALUE&amp;DB=129&amp;ID1=83088M10&amp;VALUEID=02001&amp;SDATE=200601&amp;PERIODTYPE=QTR_STD&amp;SCFT=3&amp;window=popup_no_bar&amp;width=385&amp;height=120&amp;START_MAXIMIZED=FALSE&amp;creator=factset&amp;display_string=Audit"}</definedName>
    <definedName name="_2396__FDSAUDITLINK__" hidden="1">{"fdsup://Directions/FactSet Auditing Viewer?action=AUDIT_VALUE&amp;DB=129&amp;ID1=83088M10&amp;VALUEID=02001&amp;SDATE=200601&amp;PERIODTYPE=QTR_STD&amp;SCFT=3&amp;window=popup_no_bar&amp;width=385&amp;height=120&amp;START_MAXIMIZED=FALSE&amp;creator=factset&amp;display_string=Audit"}</definedName>
    <definedName name="_2397__FDSAUDITLINK__" localSheetId="7" hidden="1">{"fdsup://Directions/FactSet Auditing Viewer?action=AUDIT_VALUE&amp;DB=129&amp;ID1=G7945M10&amp;VALUEID=02001&amp;SDATE=200602&amp;PERIODTYPE=QTR_STD&amp;SCFT=3&amp;window=popup_no_bar&amp;width=385&amp;height=120&amp;START_MAXIMIZED=FALSE&amp;creator=factset&amp;display_string=Audit"}</definedName>
    <definedName name="_2397__FDSAUDITLINK__" hidden="1">{"fdsup://Directions/FactSet Auditing Viewer?action=AUDIT_VALUE&amp;DB=129&amp;ID1=G7945M10&amp;VALUEID=02001&amp;SDATE=200602&amp;PERIODTYPE=QTR_STD&amp;SCFT=3&amp;window=popup_no_bar&amp;width=385&amp;height=120&amp;START_MAXIMIZED=FALSE&amp;creator=factset&amp;display_string=Audit"}</definedName>
    <definedName name="_2398__FDSAUDITLINK__" localSheetId="7" hidden="1">{"fdsup://Directions/FactSet Auditing Viewer?action=AUDIT_VALUE&amp;DB=129&amp;ID1=G7945M10&amp;VALUEID=02001&amp;SDATE=200602&amp;PERIODTYPE=QTR_STD&amp;SCFT=3&amp;window=popup_no_bar&amp;width=385&amp;height=120&amp;START_MAXIMIZED=FALSE&amp;creator=factset&amp;display_string=Audit"}</definedName>
    <definedName name="_2398__FDSAUDITLINK__" hidden="1">{"fdsup://Directions/FactSet Auditing Viewer?action=AUDIT_VALUE&amp;DB=129&amp;ID1=G7945M10&amp;VALUEID=02001&amp;SDATE=200602&amp;PERIODTYPE=QTR_STD&amp;SCFT=3&amp;window=popup_no_bar&amp;width=385&amp;height=120&amp;START_MAXIMIZED=FALSE&amp;creator=factset&amp;display_string=Audit"}</definedName>
    <definedName name="_2399__FDSAUDITLINK__" localSheetId="7" hidden="1">{"fdsup://Directions/FactSet Auditing Viewer?action=AUDIT_VALUE&amp;DB=129&amp;ID1=87160710&amp;VALUEID=02001&amp;SDATE=200601&amp;PERIODTYPE=QTR_STD&amp;SCFT=3&amp;window=popup_no_bar&amp;width=385&amp;height=120&amp;START_MAXIMIZED=FALSE&amp;creator=factset&amp;display_string=Audit"}</definedName>
    <definedName name="_2399__FDSAUDITLINK__" hidden="1">{"fdsup://Directions/FactSet Auditing Viewer?action=AUDIT_VALUE&amp;DB=129&amp;ID1=87160710&amp;VALUEID=02001&amp;SDATE=200601&amp;PERIODTYPE=QTR_STD&amp;SCFT=3&amp;window=popup_no_bar&amp;width=385&amp;height=120&amp;START_MAXIMIZED=FALSE&amp;creator=factset&amp;display_string=Audit"}</definedName>
    <definedName name="_24__FDSAUDITLINK__" localSheetId="7" hidden="1">{"fdsup://Directions/FactSet Auditing Viewer?action=AUDIT_VALUE&amp;DB=129&amp;ID1=78477410&amp;VALUEID=02001&amp;SDATE=201101&amp;PERIODTYPE=QTR_STD&amp;SCFT=3&amp;window=popup_no_bar&amp;width=385&amp;height=120&amp;START_MAXIMIZED=FALSE&amp;creator=factset&amp;display_string=Audit"}</definedName>
    <definedName name="_24__FDSAUDITLINK__" hidden="1">{"fdsup://Directions/FactSet Auditing Viewer?action=AUDIT_VALUE&amp;DB=129&amp;ID1=78477410&amp;VALUEID=02001&amp;SDATE=201101&amp;PERIODTYPE=QTR_STD&amp;SCFT=3&amp;window=popup_no_bar&amp;width=385&amp;height=120&amp;START_MAXIMIZED=FALSE&amp;creator=factset&amp;display_string=Audit"}</definedName>
    <definedName name="_240__FDSAUDITLINK__" localSheetId="7" hidden="1">{"fdsup://Directions/FactSet Auditing Viewer?action=AUDIT_VALUE&amp;DB=129&amp;ID1=46069S10&amp;VALUEID=02001&amp;SDATE=201004&amp;PERIODTYPE=QTR_STD&amp;SCFT=3&amp;window=popup_no_bar&amp;width=385&amp;height=120&amp;START_MAXIMIZED=FALSE&amp;creator=factset&amp;display_string=Audit"}</definedName>
    <definedName name="_240__FDSAUDITLINK__" hidden="1">{"fdsup://Directions/FactSet Auditing Viewer?action=AUDIT_VALUE&amp;DB=129&amp;ID1=46069S10&amp;VALUEID=02001&amp;SDATE=201004&amp;PERIODTYPE=QTR_STD&amp;SCFT=3&amp;window=popup_no_bar&amp;width=385&amp;height=120&amp;START_MAXIMIZED=FALSE&amp;creator=factset&amp;display_string=Audit"}</definedName>
    <definedName name="_2400__FDSAUDITLINK__" localSheetId="7" hidden="1">{"fdsup://Directions/FactSet Auditing Viewer?action=AUDIT_VALUE&amp;DB=129&amp;ID1=87160710&amp;VALUEID=02001&amp;SDATE=200601&amp;PERIODTYPE=QTR_STD&amp;SCFT=3&amp;window=popup_no_bar&amp;width=385&amp;height=120&amp;START_MAXIMIZED=FALSE&amp;creator=factset&amp;display_string=Audit"}</definedName>
    <definedName name="_2400__FDSAUDITLINK__" hidden="1">{"fdsup://Directions/FactSet Auditing Viewer?action=AUDIT_VALUE&amp;DB=129&amp;ID1=87160710&amp;VALUEID=02001&amp;SDATE=200601&amp;PERIODTYPE=QTR_STD&amp;SCFT=3&amp;window=popup_no_bar&amp;width=385&amp;height=120&amp;START_MAXIMIZED=FALSE&amp;creator=factset&amp;display_string=Audit"}</definedName>
    <definedName name="_2401__FDSAUDITLINK__" localSheetId="7" hidden="1">{"fdsup://Directions/FactSet Auditing Viewer?action=AUDIT_VALUE&amp;DB=129&amp;ID1=74994110&amp;VALUEID=02001&amp;SDATE=200503&amp;PERIODTYPE=QTR_STD&amp;SCFT=3&amp;window=popup_no_bar&amp;width=385&amp;height=120&amp;START_MAXIMIZED=FALSE&amp;creator=factset&amp;display_string=Audit"}</definedName>
    <definedName name="_2401__FDSAUDITLINK__" hidden="1">{"fdsup://Directions/FactSet Auditing Viewer?action=AUDIT_VALUE&amp;DB=129&amp;ID1=74994110&amp;VALUEID=02001&amp;SDATE=200503&amp;PERIODTYPE=QTR_STD&amp;SCFT=3&amp;window=popup_no_bar&amp;width=385&amp;height=120&amp;START_MAXIMIZED=FALSE&amp;creator=factset&amp;display_string=Audit"}</definedName>
    <definedName name="_2402__FDSAUDITLINK__" localSheetId="7" hidden="1">{"fdsup://Directions/FactSet Auditing Viewer?action=AUDIT_VALUE&amp;DB=129&amp;ID1=74994110&amp;VALUEID=02001&amp;SDATE=200503&amp;PERIODTYPE=QTR_STD&amp;SCFT=3&amp;window=popup_no_bar&amp;width=385&amp;height=120&amp;START_MAXIMIZED=FALSE&amp;creator=factset&amp;display_string=Audit"}</definedName>
    <definedName name="_2402__FDSAUDITLINK__" hidden="1">{"fdsup://Directions/FactSet Auditing Viewer?action=AUDIT_VALUE&amp;DB=129&amp;ID1=74994110&amp;VALUEID=02001&amp;SDATE=200503&amp;PERIODTYPE=QTR_STD&amp;SCFT=3&amp;window=popup_no_bar&amp;width=385&amp;height=120&amp;START_MAXIMIZED=FALSE&amp;creator=factset&amp;display_string=Audit"}</definedName>
    <definedName name="_2403__FDSAUDITLINK__" localSheetId="7" hidden="1">{"fdsup://Directions/FactSet Auditing Viewer?action=AUDIT_VALUE&amp;DB=129&amp;ID1=74727710&amp;VALUEID=02001&amp;SDATE=200503&amp;PERIODTYPE=QTR_STD&amp;SCFT=3&amp;window=popup_no_bar&amp;width=385&amp;height=120&amp;START_MAXIMIZED=FALSE&amp;creator=factset&amp;display_string=Audit"}</definedName>
    <definedName name="_2403__FDSAUDITLINK__" hidden="1">{"fdsup://Directions/FactSet Auditing Viewer?action=AUDIT_VALUE&amp;DB=129&amp;ID1=74727710&amp;VALUEID=02001&amp;SDATE=200503&amp;PERIODTYPE=QTR_STD&amp;SCFT=3&amp;window=popup_no_bar&amp;width=385&amp;height=120&amp;START_MAXIMIZED=FALSE&amp;creator=factset&amp;display_string=Audit"}</definedName>
    <definedName name="_2404__FDSAUDITLINK__" localSheetId="7" hidden="1">{"fdsup://Directions/FactSet Auditing Viewer?action=AUDIT_VALUE&amp;DB=129&amp;ID1=74727710&amp;VALUEID=02001&amp;SDATE=200503&amp;PERIODTYPE=QTR_STD&amp;SCFT=3&amp;window=popup_no_bar&amp;width=385&amp;height=120&amp;START_MAXIMIZED=FALSE&amp;creator=factset&amp;display_string=Audit"}</definedName>
    <definedName name="_2404__FDSAUDITLINK__" hidden="1">{"fdsup://Directions/FactSet Auditing Viewer?action=AUDIT_VALUE&amp;DB=129&amp;ID1=74727710&amp;VALUEID=02001&amp;SDATE=200503&amp;PERIODTYPE=QTR_STD&amp;SCFT=3&amp;window=popup_no_bar&amp;width=385&amp;height=120&amp;START_MAXIMIZED=FALSE&amp;creator=factset&amp;display_string=Audit"}</definedName>
    <definedName name="_2405__FDSAUDITLINK__" localSheetId="7" hidden="1">{"fdsup://Directions/FactSet Auditing Viewer?action=AUDIT_VALUE&amp;DB=129&amp;ID1=74752510&amp;VALUEID=02001&amp;SDATE=200601&amp;PERIODTYPE=QTR_STD&amp;SCFT=3&amp;window=popup_no_bar&amp;width=385&amp;height=120&amp;START_MAXIMIZED=FALSE&amp;creator=factset&amp;display_string=Audit"}</definedName>
    <definedName name="_2405__FDSAUDITLINK__" hidden="1">{"fdsup://Directions/FactSet Auditing Viewer?action=AUDIT_VALUE&amp;DB=129&amp;ID1=74752510&amp;VALUEID=02001&amp;SDATE=200601&amp;PERIODTYPE=QTR_STD&amp;SCFT=3&amp;window=popup_no_bar&amp;width=385&amp;height=120&amp;START_MAXIMIZED=FALSE&amp;creator=factset&amp;display_string=Audit"}</definedName>
    <definedName name="_2406__FDSAUDITLINK__" localSheetId="7" hidden="1">{"fdsup://Directions/FactSet Auditing Viewer?action=AUDIT_VALUE&amp;DB=129&amp;ID1=74752510&amp;VALUEID=02001&amp;SDATE=200601&amp;PERIODTYPE=QTR_STD&amp;SCFT=3&amp;window=popup_no_bar&amp;width=385&amp;height=120&amp;START_MAXIMIZED=FALSE&amp;creator=factset&amp;display_string=Audit"}</definedName>
    <definedName name="_2406__FDSAUDITLINK__" hidden="1">{"fdsup://Directions/FactSet Auditing Viewer?action=AUDIT_VALUE&amp;DB=129&amp;ID1=74752510&amp;VALUEID=02001&amp;SDATE=200601&amp;PERIODTYPE=QTR_STD&amp;SCFT=3&amp;window=popup_no_bar&amp;width=385&amp;height=120&amp;START_MAXIMIZED=FALSE&amp;creator=factset&amp;display_string=Audit"}</definedName>
    <definedName name="_2407__FDSAUDITLINK__" localSheetId="7" hidden="1">{"fdsup://Directions/FactSet Auditing Viewer?action=AUDIT_VALUE&amp;DB=129&amp;ID1=63764010&amp;VALUEID=02001&amp;SDATE=200502&amp;PERIODTYPE=QTR_STD&amp;SCFT=3&amp;window=popup_no_bar&amp;width=385&amp;height=120&amp;START_MAXIMIZED=FALSE&amp;creator=factset&amp;display_string=Audit"}</definedName>
    <definedName name="_2407__FDSAUDITLINK__" hidden="1">{"fdsup://Directions/FactSet Auditing Viewer?action=AUDIT_VALUE&amp;DB=129&amp;ID1=63764010&amp;VALUEID=02001&amp;SDATE=200502&amp;PERIODTYPE=QTR_STD&amp;SCFT=3&amp;window=popup_no_bar&amp;width=385&amp;height=120&amp;START_MAXIMIZED=FALSE&amp;creator=factset&amp;display_string=Audit"}</definedName>
    <definedName name="_2408__FDSAUDITLINK__" localSheetId="7" hidden="1">{"fdsup://Directions/FactSet Auditing Viewer?action=AUDIT_VALUE&amp;DB=129&amp;ID1=63764010&amp;VALUEID=02001&amp;SDATE=200502&amp;PERIODTYPE=QTR_STD&amp;SCFT=3&amp;window=popup_no_bar&amp;width=385&amp;height=120&amp;START_MAXIMIZED=FALSE&amp;creator=factset&amp;display_string=Audit"}</definedName>
    <definedName name="_2408__FDSAUDITLINK__" hidden="1">{"fdsup://Directions/FactSet Auditing Viewer?action=AUDIT_VALUE&amp;DB=129&amp;ID1=63764010&amp;VALUEID=02001&amp;SDATE=200502&amp;PERIODTYPE=QTR_STD&amp;SCFT=3&amp;window=popup_no_bar&amp;width=385&amp;height=120&amp;START_MAXIMIZED=FALSE&amp;creator=factset&amp;display_string=Audit"}</definedName>
    <definedName name="_2409__FDSAUDITLINK__" localSheetId="7" hidden="1">{"fdsup://Directions/FactSet Auditing Viewer?action=AUDIT_VALUE&amp;DB=129&amp;ID1=57772K10&amp;VALUEID=02001&amp;SDATE=200602&amp;PERIODTYPE=QTR_STD&amp;SCFT=3&amp;window=popup_no_bar&amp;width=385&amp;height=120&amp;START_MAXIMIZED=FALSE&amp;creator=factset&amp;display_string=Audit"}</definedName>
    <definedName name="_2409__FDSAUDITLINK__" hidden="1">{"fdsup://Directions/FactSet Auditing Viewer?action=AUDIT_VALUE&amp;DB=129&amp;ID1=57772K10&amp;VALUEID=02001&amp;SDATE=200602&amp;PERIODTYPE=QTR_STD&amp;SCFT=3&amp;window=popup_no_bar&amp;width=385&amp;height=120&amp;START_MAXIMIZED=FALSE&amp;creator=factset&amp;display_string=Audit"}</definedName>
    <definedName name="_241__FDSAUDITLINK__" localSheetId="7" hidden="1">{"fdsup://Directions/FactSet Auditing Viewer?action=AUDIT_VALUE&amp;DB=129&amp;ID1=46025410&amp;VALUEID=02001&amp;SDATE=201102&amp;PERIODTYPE=QTR_STD&amp;SCFT=3&amp;window=popup_no_bar&amp;width=385&amp;height=120&amp;START_MAXIMIZED=FALSE&amp;creator=factset&amp;display_string=Audit"}</definedName>
    <definedName name="_241__FDSAUDITLINK__" hidden="1">{"fdsup://Directions/FactSet Auditing Viewer?action=AUDIT_VALUE&amp;DB=129&amp;ID1=46025410&amp;VALUEID=02001&amp;SDATE=201102&amp;PERIODTYPE=QTR_STD&amp;SCFT=3&amp;window=popup_no_bar&amp;width=385&amp;height=120&amp;START_MAXIMIZED=FALSE&amp;creator=factset&amp;display_string=Audit"}</definedName>
    <definedName name="_2410__FDSAUDITLINK__" localSheetId="7" hidden="1">{"fdsup://Directions/FactSet Auditing Viewer?action=AUDIT_VALUE&amp;DB=129&amp;ID1=57772K10&amp;VALUEID=02001&amp;SDATE=200602&amp;PERIODTYPE=QTR_STD&amp;SCFT=3&amp;window=popup_no_bar&amp;width=385&amp;height=120&amp;START_MAXIMIZED=FALSE&amp;creator=factset&amp;display_string=Audit"}</definedName>
    <definedName name="_2410__FDSAUDITLINK__" hidden="1">{"fdsup://Directions/FactSet Auditing Viewer?action=AUDIT_VALUE&amp;DB=129&amp;ID1=57772K10&amp;VALUEID=02001&amp;SDATE=200602&amp;PERIODTYPE=QTR_STD&amp;SCFT=3&amp;window=popup_no_bar&amp;width=385&amp;height=120&amp;START_MAXIMIZED=FALSE&amp;creator=factset&amp;display_string=Audit"}</definedName>
    <definedName name="_2411__FDSAUDITLINK__" localSheetId="7" hidden="1">{"fdsup://Directions/FactSet Auditing Viewer?action=AUDIT_VALUE&amp;DB=129&amp;ID1=59511210&amp;VALUEID=02001&amp;SDATE=200601&amp;PERIODTYPE=QTR_STD&amp;SCFT=3&amp;window=popup_no_bar&amp;width=385&amp;height=120&amp;START_MAXIMIZED=FALSE&amp;creator=factset&amp;display_string=Audit"}</definedName>
    <definedName name="_2411__FDSAUDITLINK__" hidden="1">{"fdsup://Directions/FactSet Auditing Viewer?action=AUDIT_VALUE&amp;DB=129&amp;ID1=59511210&amp;VALUEID=02001&amp;SDATE=200601&amp;PERIODTYPE=QTR_STD&amp;SCFT=3&amp;window=popup_no_bar&amp;width=385&amp;height=120&amp;START_MAXIMIZED=FALSE&amp;creator=factset&amp;display_string=Audit"}</definedName>
    <definedName name="_2412__FDSAUDITLINK__" localSheetId="7" hidden="1">{"fdsup://Directions/FactSet Auditing Viewer?action=AUDIT_VALUE&amp;DB=129&amp;ID1=59511210&amp;VALUEID=02001&amp;SDATE=200601&amp;PERIODTYPE=QTR_STD&amp;SCFT=3&amp;window=popup_no_bar&amp;width=385&amp;height=120&amp;START_MAXIMIZED=FALSE&amp;creator=factset&amp;display_string=Audit"}</definedName>
    <definedName name="_2412__FDSAUDITLINK__" hidden="1">{"fdsup://Directions/FactSet Auditing Viewer?action=AUDIT_VALUE&amp;DB=129&amp;ID1=59511210&amp;VALUEID=02001&amp;SDATE=200601&amp;PERIODTYPE=QTR_STD&amp;SCFT=3&amp;window=popup_no_bar&amp;width=385&amp;height=120&amp;START_MAXIMIZED=FALSE&amp;creator=factset&amp;display_string=Audit"}</definedName>
    <definedName name="_2413__FDSAUDITLINK__" localSheetId="7" hidden="1">{"fdsup://Directions/FactSet Auditing Viewer?action=AUDIT_VALUE&amp;DB=129&amp;ID1=59513710&amp;VALUEID=02001&amp;SDATE=200601&amp;PERIODTYPE=QTR_STD&amp;SCFT=3&amp;window=popup_no_bar&amp;width=385&amp;height=120&amp;START_MAXIMIZED=FALSE&amp;creator=factset&amp;display_string=Audit"}</definedName>
    <definedName name="_2413__FDSAUDITLINK__" hidden="1">{"fdsup://Directions/FactSet Auditing Viewer?action=AUDIT_VALUE&amp;DB=129&amp;ID1=59513710&amp;VALUEID=02001&amp;SDATE=200601&amp;PERIODTYPE=QTR_STD&amp;SCFT=3&amp;window=popup_no_bar&amp;width=385&amp;height=120&amp;START_MAXIMIZED=FALSE&amp;creator=factset&amp;display_string=Audit"}</definedName>
    <definedName name="_2414__FDSAUDITLINK__" localSheetId="7" hidden="1">{"fdsup://Directions/FactSet Auditing Viewer?action=AUDIT_VALUE&amp;DB=129&amp;ID1=59513710&amp;VALUEID=02001&amp;SDATE=200601&amp;PERIODTYPE=QTR_STD&amp;SCFT=3&amp;window=popup_no_bar&amp;width=385&amp;height=120&amp;START_MAXIMIZED=FALSE&amp;creator=factset&amp;display_string=Audit"}</definedName>
    <definedName name="_2414__FDSAUDITLINK__" hidden="1">{"fdsup://Directions/FactSet Auditing Viewer?action=AUDIT_VALUE&amp;DB=129&amp;ID1=59513710&amp;VALUEID=02001&amp;SDATE=200601&amp;PERIODTYPE=QTR_STD&amp;SCFT=3&amp;window=popup_no_bar&amp;width=385&amp;height=120&amp;START_MAXIMIZED=FALSE&amp;creator=factset&amp;display_string=Audit"}</definedName>
    <definedName name="_2415__FDSAUDITLINK__" localSheetId="7" hidden="1">{"fdsup://Directions/FactSet Auditing Viewer?action=AUDIT_VALUE&amp;DB=129&amp;ID1=60456710&amp;VALUEID=02001&amp;SDATE=200602&amp;PERIODTYPE=QTR_STD&amp;SCFT=3&amp;window=popup_no_bar&amp;width=385&amp;height=120&amp;START_MAXIMIZED=FALSE&amp;creator=factset&amp;display_string=Audit"}</definedName>
    <definedName name="_2415__FDSAUDITLINK__" hidden="1">{"fdsup://Directions/FactSet Auditing Viewer?action=AUDIT_VALUE&amp;DB=129&amp;ID1=60456710&amp;VALUEID=02001&amp;SDATE=200602&amp;PERIODTYPE=QTR_STD&amp;SCFT=3&amp;window=popup_no_bar&amp;width=385&amp;height=120&amp;START_MAXIMIZED=FALSE&amp;creator=factset&amp;display_string=Audit"}</definedName>
    <definedName name="_2416__FDSAUDITLINK__" localSheetId="7" hidden="1">{"fdsup://Directions/FactSet Auditing Viewer?action=AUDIT_VALUE&amp;DB=129&amp;ID1=60456710&amp;VALUEID=02001&amp;SDATE=200602&amp;PERIODTYPE=QTR_STD&amp;SCFT=3&amp;window=popup_no_bar&amp;width=385&amp;height=120&amp;START_MAXIMIZED=FALSE&amp;creator=factset&amp;display_string=Audit"}</definedName>
    <definedName name="_2416__FDSAUDITLINK__" hidden="1">{"fdsup://Directions/FactSet Auditing Viewer?action=AUDIT_VALUE&amp;DB=129&amp;ID1=60456710&amp;VALUEID=02001&amp;SDATE=200602&amp;PERIODTYPE=QTR_STD&amp;SCFT=3&amp;window=popup_no_bar&amp;width=385&amp;height=120&amp;START_MAXIMIZED=FALSE&amp;creator=factset&amp;display_string=Audit"}</definedName>
    <definedName name="_2417__FDSAUDITLINK__" localSheetId="7" hidden="1">{"fdsup://Directions/FactSet Auditing Viewer?action=AUDIT_VALUE&amp;DB=129&amp;ID1=59501710&amp;VALUEID=02001&amp;SDATE=200503&amp;PERIODTYPE=QTR_STD&amp;SCFT=3&amp;window=popup_no_bar&amp;width=385&amp;height=120&amp;START_MAXIMIZED=FALSE&amp;creator=factset&amp;display_string=Audit"}</definedName>
    <definedName name="_2417__FDSAUDITLINK__" hidden="1">{"fdsup://Directions/FactSet Auditing Viewer?action=AUDIT_VALUE&amp;DB=129&amp;ID1=59501710&amp;VALUEID=02001&amp;SDATE=200503&amp;PERIODTYPE=QTR_STD&amp;SCFT=3&amp;window=popup_no_bar&amp;width=385&amp;height=120&amp;START_MAXIMIZED=FALSE&amp;creator=factset&amp;display_string=Audit"}</definedName>
    <definedName name="_2418__FDSAUDITLINK__" localSheetId="7" hidden="1">{"fdsup://Directions/FactSet Auditing Viewer?action=AUDIT_VALUE&amp;DB=129&amp;ID1=59501710&amp;VALUEID=02001&amp;SDATE=200503&amp;PERIODTYPE=QTR_STD&amp;SCFT=3&amp;window=popup_no_bar&amp;width=385&amp;height=120&amp;START_MAXIMIZED=FALSE&amp;creator=factset&amp;display_string=Audit"}</definedName>
    <definedName name="_2418__FDSAUDITLINK__" hidden="1">{"fdsup://Directions/FactSet Auditing Viewer?action=AUDIT_VALUE&amp;DB=129&amp;ID1=59501710&amp;VALUEID=02001&amp;SDATE=200503&amp;PERIODTYPE=QTR_STD&amp;SCFT=3&amp;window=popup_no_bar&amp;width=385&amp;height=120&amp;START_MAXIMIZED=FALSE&amp;creator=factset&amp;display_string=Audit"}</definedName>
    <definedName name="_2419__FDSAUDITLINK__" localSheetId="7" hidden="1">{"fdsup://Directions/FactSet Auditing Viewer?action=AUDIT_VALUE&amp;DB=129&amp;ID1=51280710&amp;VALUEID=02001&amp;SDATE=200602&amp;PERIODTYPE=QTR_STD&amp;SCFT=3&amp;window=popup_no_bar&amp;width=385&amp;height=120&amp;START_MAXIMIZED=FALSE&amp;creator=factset&amp;display_string=Audit"}</definedName>
    <definedName name="_2419__FDSAUDITLINK__" hidden="1">{"fdsup://Directions/FactSet Auditing Viewer?action=AUDIT_VALUE&amp;DB=129&amp;ID1=51280710&amp;VALUEID=02001&amp;SDATE=200602&amp;PERIODTYPE=QTR_STD&amp;SCFT=3&amp;window=popup_no_bar&amp;width=385&amp;height=120&amp;START_MAXIMIZED=FALSE&amp;creator=factset&amp;display_string=Audit"}</definedName>
    <definedName name="_242__FDSAUDITLINK__" localSheetId="7" hidden="1">{"fdsup://Directions/FactSet Auditing Viewer?action=AUDIT_VALUE&amp;DB=129&amp;ID1=46025410&amp;VALUEID=02001&amp;SDATE=201102&amp;PERIODTYPE=QTR_STD&amp;SCFT=3&amp;window=popup_no_bar&amp;width=385&amp;height=120&amp;START_MAXIMIZED=FALSE&amp;creator=factset&amp;display_string=Audit"}</definedName>
    <definedName name="_242__FDSAUDITLINK__" hidden="1">{"fdsup://Directions/FactSet Auditing Viewer?action=AUDIT_VALUE&amp;DB=129&amp;ID1=46025410&amp;VALUEID=02001&amp;SDATE=201102&amp;PERIODTYPE=QTR_STD&amp;SCFT=3&amp;window=popup_no_bar&amp;width=385&amp;height=120&amp;START_MAXIMIZED=FALSE&amp;creator=factset&amp;display_string=Audit"}</definedName>
    <definedName name="_2420__FDSAUDITLINK__" localSheetId="7" hidden="1">{"fdsup://Directions/FactSet Auditing Viewer?action=AUDIT_VALUE&amp;DB=129&amp;ID1=51280710&amp;VALUEID=02001&amp;SDATE=200602&amp;PERIODTYPE=QTR_STD&amp;SCFT=3&amp;window=popup_no_bar&amp;width=385&amp;height=120&amp;START_MAXIMIZED=FALSE&amp;creator=factset&amp;display_string=Audit"}</definedName>
    <definedName name="_2420__FDSAUDITLINK__" hidden="1">{"fdsup://Directions/FactSet Auditing Viewer?action=AUDIT_VALUE&amp;DB=129&amp;ID1=51280710&amp;VALUEID=02001&amp;SDATE=200602&amp;PERIODTYPE=QTR_STD&amp;SCFT=3&amp;window=popup_no_bar&amp;width=385&amp;height=120&amp;START_MAXIMIZED=FALSE&amp;creator=factset&amp;display_string=Audit"}</definedName>
    <definedName name="_2421__FDSAUDITLINK__" localSheetId="7" hidden="1">{"fdsup://Directions/FactSet Auditing Viewer?action=AUDIT_VALUE&amp;DB=129&amp;ID1=53567810&amp;VALUEID=02001&amp;SDATE=200602&amp;PERIODTYPE=QTR_STD&amp;SCFT=3&amp;window=popup_no_bar&amp;width=385&amp;height=120&amp;START_MAXIMIZED=FALSE&amp;creator=factset&amp;display_string=Audit"}</definedName>
    <definedName name="_2421__FDSAUDITLINK__" hidden="1">{"fdsup://Directions/FactSet Auditing Viewer?action=AUDIT_VALUE&amp;DB=129&amp;ID1=53567810&amp;VALUEID=02001&amp;SDATE=200602&amp;PERIODTYPE=QTR_STD&amp;SCFT=3&amp;window=popup_no_bar&amp;width=385&amp;height=120&amp;START_MAXIMIZED=FALSE&amp;creator=factset&amp;display_string=Audit"}</definedName>
    <definedName name="_2422__FDSAUDITLINK__" localSheetId="7" hidden="1">{"fdsup://Directions/FactSet Auditing Viewer?action=AUDIT_VALUE&amp;DB=129&amp;ID1=53567810&amp;VALUEID=02001&amp;SDATE=200602&amp;PERIODTYPE=QTR_STD&amp;SCFT=3&amp;window=popup_no_bar&amp;width=385&amp;height=120&amp;START_MAXIMIZED=FALSE&amp;creator=factset&amp;display_string=Audit"}</definedName>
    <definedName name="_2422__FDSAUDITLINK__" hidden="1">{"fdsup://Directions/FactSet Auditing Viewer?action=AUDIT_VALUE&amp;DB=129&amp;ID1=53567810&amp;VALUEID=02001&amp;SDATE=200602&amp;PERIODTYPE=QTR_STD&amp;SCFT=3&amp;window=popup_no_bar&amp;width=385&amp;height=120&amp;START_MAXIMIZED=FALSE&amp;creator=factset&amp;display_string=Audit"}</definedName>
    <definedName name="_2423__FDSAUDITLINK__" localSheetId="7" hidden="1">{"fdsup://Directions/FactSet Auditing Viewer?action=AUDIT_VALUE&amp;DB=129&amp;ID1=48248010&amp;VALUEID=02001&amp;SDATE=200602&amp;PERIODTYPE=QTR_STD&amp;SCFT=3&amp;window=popup_no_bar&amp;width=385&amp;height=120&amp;START_MAXIMIZED=FALSE&amp;creator=factset&amp;display_string=Audit"}</definedName>
    <definedName name="_2423__FDSAUDITLINK__" hidden="1">{"fdsup://Directions/FactSet Auditing Viewer?action=AUDIT_VALUE&amp;DB=129&amp;ID1=48248010&amp;VALUEID=02001&amp;SDATE=200602&amp;PERIODTYPE=QTR_STD&amp;SCFT=3&amp;window=popup_no_bar&amp;width=385&amp;height=120&amp;START_MAXIMIZED=FALSE&amp;creator=factset&amp;display_string=Audit"}</definedName>
    <definedName name="_2424__FDSAUDITLINK__" localSheetId="7" hidden="1">{"fdsup://Directions/FactSet Auditing Viewer?action=AUDIT_VALUE&amp;DB=129&amp;ID1=48248010&amp;VALUEID=02001&amp;SDATE=200602&amp;PERIODTYPE=QTR_STD&amp;SCFT=3&amp;window=popup_no_bar&amp;width=385&amp;height=120&amp;START_MAXIMIZED=FALSE&amp;creator=factset&amp;display_string=Audit"}</definedName>
    <definedName name="_2424__FDSAUDITLINK__" hidden="1">{"fdsup://Directions/FactSet Auditing Viewer?action=AUDIT_VALUE&amp;DB=129&amp;ID1=48248010&amp;VALUEID=02001&amp;SDATE=200602&amp;PERIODTYPE=QTR_STD&amp;SCFT=3&amp;window=popup_no_bar&amp;width=385&amp;height=120&amp;START_MAXIMIZED=FALSE&amp;creator=factset&amp;display_string=Audit"}</definedName>
    <definedName name="_2425__FDSAUDITLINK__" localSheetId="7" hidden="1">{"fdsup://Directions/FactSet Auditing Viewer?action=AUDIT_VALUE&amp;DB=129&amp;ID1=48836020&amp;VALUEID=02001&amp;SDATE=200503&amp;PERIODTYPE=QTR_STD&amp;SCFT=3&amp;window=popup_no_bar&amp;width=385&amp;height=120&amp;START_MAXIMIZED=FALSE&amp;creator=factset&amp;display_string=Audit"}</definedName>
    <definedName name="_2425__FDSAUDITLINK__" hidden="1">{"fdsup://Directions/FactSet Auditing Viewer?action=AUDIT_VALUE&amp;DB=129&amp;ID1=48836020&amp;VALUEID=02001&amp;SDATE=200503&amp;PERIODTYPE=QTR_STD&amp;SCFT=3&amp;window=popup_no_bar&amp;width=385&amp;height=120&amp;START_MAXIMIZED=FALSE&amp;creator=factset&amp;display_string=Audit"}</definedName>
    <definedName name="_2426__FDSAUDITLINK__" localSheetId="7" hidden="1">{"fdsup://Directions/FactSet Auditing Viewer?action=AUDIT_VALUE&amp;DB=129&amp;ID1=48836020&amp;VALUEID=02001&amp;SDATE=200503&amp;PERIODTYPE=QTR_STD&amp;SCFT=3&amp;window=popup_no_bar&amp;width=385&amp;height=120&amp;START_MAXIMIZED=FALSE&amp;creator=factset&amp;display_string=Audit"}</definedName>
    <definedName name="_2426__FDSAUDITLINK__" hidden="1">{"fdsup://Directions/FactSet Auditing Viewer?action=AUDIT_VALUE&amp;DB=129&amp;ID1=48836020&amp;VALUEID=02001&amp;SDATE=200503&amp;PERIODTYPE=QTR_STD&amp;SCFT=3&amp;window=popup_no_bar&amp;width=385&amp;height=120&amp;START_MAXIMIZED=FALSE&amp;creator=factset&amp;display_string=Audit"}</definedName>
    <definedName name="_2427__FDSAUDITLINK__" localSheetId="7" hidden="1">{"fdsup://Directions/FactSet Auditing Viewer?action=AUDIT_VALUE&amp;DB=129&amp;ID1=86681020&amp;VALUEID=02001&amp;SDATE=200602&amp;PERIODTYPE=QTR_STD&amp;SCFT=3&amp;window=popup_no_bar&amp;width=385&amp;height=120&amp;START_MAXIMIZED=FALSE&amp;creator=factset&amp;display_string=Audit"}</definedName>
    <definedName name="_2427__FDSAUDITLINK__" hidden="1">{"fdsup://Directions/FactSet Auditing Viewer?action=AUDIT_VALUE&amp;DB=129&amp;ID1=86681020&amp;VALUEID=02001&amp;SDATE=200602&amp;PERIODTYPE=QTR_STD&amp;SCFT=3&amp;window=popup_no_bar&amp;width=385&amp;height=120&amp;START_MAXIMIZED=FALSE&amp;creator=factset&amp;display_string=Audit"}</definedName>
    <definedName name="_2428__FDSAUDITLINK__" localSheetId="7" hidden="1">{"fdsup://Directions/FactSet Auditing Viewer?action=AUDIT_VALUE&amp;DB=129&amp;ID1=86681020&amp;VALUEID=02001&amp;SDATE=200602&amp;PERIODTYPE=QTR_STD&amp;SCFT=3&amp;window=popup_no_bar&amp;width=385&amp;height=120&amp;START_MAXIMIZED=FALSE&amp;creator=factset&amp;display_string=Audit"}</definedName>
    <definedName name="_2428__FDSAUDITLINK__" hidden="1">{"fdsup://Directions/FactSet Auditing Viewer?action=AUDIT_VALUE&amp;DB=129&amp;ID1=86681020&amp;VALUEID=02001&amp;SDATE=200602&amp;PERIODTYPE=QTR_STD&amp;SCFT=3&amp;window=popup_no_bar&amp;width=385&amp;height=120&amp;START_MAXIMIZED=FALSE&amp;creator=factset&amp;display_string=Audit"}</definedName>
    <definedName name="_2429__FDSAUDITLINK__" localSheetId="7" hidden="1">{"fdsup://Directions/FactSet Auditing Viewer?action=AUDIT_VALUE&amp;DB=129&amp;ID1=46025410&amp;VALUEID=02001&amp;SDATE=200602&amp;PERIODTYPE=QTR_STD&amp;SCFT=3&amp;window=popup_no_bar&amp;width=385&amp;height=120&amp;START_MAXIMIZED=FALSE&amp;creator=factset&amp;display_string=Audit"}</definedName>
    <definedName name="_2429__FDSAUDITLINK__" hidden="1">{"fdsup://Directions/FactSet Auditing Viewer?action=AUDIT_VALUE&amp;DB=129&amp;ID1=46025410&amp;VALUEID=02001&amp;SDATE=200602&amp;PERIODTYPE=QTR_STD&amp;SCFT=3&amp;window=popup_no_bar&amp;width=385&amp;height=120&amp;START_MAXIMIZED=FALSE&amp;creator=factset&amp;display_string=Audit"}</definedName>
    <definedName name="_243__FDSAUDITLINK__" localSheetId="7" hidden="1">{"fdsup://Directions/FactSet Auditing Viewer?action=AUDIT_VALUE&amp;DB=129&amp;ID1=45772F10&amp;VALUEID=02001&amp;SDATE=201004&amp;PERIODTYPE=QTR_STD&amp;SCFT=3&amp;window=popup_no_bar&amp;width=385&amp;height=120&amp;START_MAXIMIZED=FALSE&amp;creator=factset&amp;display_string=Audit"}</definedName>
    <definedName name="_243__FDSAUDITLINK__" hidden="1">{"fdsup://Directions/FactSet Auditing Viewer?action=AUDIT_VALUE&amp;DB=129&amp;ID1=45772F10&amp;VALUEID=02001&amp;SDATE=201004&amp;PERIODTYPE=QTR_STD&amp;SCFT=3&amp;window=popup_no_bar&amp;width=385&amp;height=120&amp;START_MAXIMIZED=FALSE&amp;creator=factset&amp;display_string=Audit"}</definedName>
    <definedName name="_2430__FDSAUDITLINK__" localSheetId="7" hidden="1">{"fdsup://Directions/FactSet Auditing Viewer?action=AUDIT_VALUE&amp;DB=129&amp;ID1=46025410&amp;VALUEID=02001&amp;SDATE=200602&amp;PERIODTYPE=QTR_STD&amp;SCFT=3&amp;window=popup_no_bar&amp;width=385&amp;height=120&amp;START_MAXIMIZED=FALSE&amp;creator=factset&amp;display_string=Audit"}</definedName>
    <definedName name="_2430__FDSAUDITLINK__" hidden="1">{"fdsup://Directions/FactSet Auditing Viewer?action=AUDIT_VALUE&amp;DB=129&amp;ID1=46025410&amp;VALUEID=02001&amp;SDATE=200602&amp;PERIODTYPE=QTR_STD&amp;SCFT=3&amp;window=popup_no_bar&amp;width=385&amp;height=120&amp;START_MAXIMIZED=FALSE&amp;creator=factset&amp;display_string=Audit"}</definedName>
    <definedName name="_2431__FDSAUDITLINK__" localSheetId="7" hidden="1">{"fdsup://Directions/FactSet Auditing Viewer?action=AUDIT_VALUE&amp;DB=129&amp;ID1=45811810&amp;VALUEID=02001&amp;SDATE=200503&amp;PERIODTYPE=QTR_STD&amp;SCFT=3&amp;window=popup_no_bar&amp;width=385&amp;height=120&amp;START_MAXIMIZED=FALSE&amp;creator=factset&amp;display_string=Audit"}</definedName>
    <definedName name="_2431__FDSAUDITLINK__" hidden="1">{"fdsup://Directions/FactSet Auditing Viewer?action=AUDIT_VALUE&amp;DB=129&amp;ID1=45811810&amp;VALUEID=02001&amp;SDATE=200503&amp;PERIODTYPE=QTR_STD&amp;SCFT=3&amp;window=popup_no_bar&amp;width=385&amp;height=120&amp;START_MAXIMIZED=FALSE&amp;creator=factset&amp;display_string=Audit"}</definedName>
    <definedName name="_2432__FDSAUDITLINK__" localSheetId="7" hidden="1">{"fdsup://Directions/FactSet Auditing Viewer?action=AUDIT_VALUE&amp;DB=129&amp;ID1=45811810&amp;VALUEID=02001&amp;SDATE=200503&amp;PERIODTYPE=QTR_STD&amp;SCFT=3&amp;window=popup_no_bar&amp;width=385&amp;height=120&amp;START_MAXIMIZED=FALSE&amp;creator=factset&amp;display_string=Audit"}</definedName>
    <definedName name="_2432__FDSAUDITLINK__" hidden="1">{"fdsup://Directions/FactSet Auditing Viewer?action=AUDIT_VALUE&amp;DB=129&amp;ID1=45811810&amp;VALUEID=02001&amp;SDATE=200503&amp;PERIODTYPE=QTR_STD&amp;SCFT=3&amp;window=popup_no_bar&amp;width=385&amp;height=120&amp;START_MAXIMIZED=FALSE&amp;creator=factset&amp;display_string=Audit"}</definedName>
    <definedName name="_2433__FDSAUDITLINK__" localSheetId="7" hidden="1">{"fdsup://Directions/FactSet Auditing Viewer?action=AUDIT_VALUE&amp;DB=129&amp;ID1=42823610&amp;VALUEID=02001&amp;SDATE=200601&amp;PERIODTYPE=QTR_STD&amp;SCFT=3&amp;window=popup_no_bar&amp;width=385&amp;height=120&amp;START_MAXIMIZED=FALSE&amp;creator=factset&amp;display_string=Audit"}</definedName>
    <definedName name="_2433__FDSAUDITLINK__" hidden="1">{"fdsup://Directions/FactSet Auditing Viewer?action=AUDIT_VALUE&amp;DB=129&amp;ID1=42823610&amp;VALUEID=02001&amp;SDATE=200601&amp;PERIODTYPE=QTR_STD&amp;SCFT=3&amp;window=popup_no_bar&amp;width=385&amp;height=120&amp;START_MAXIMIZED=FALSE&amp;creator=factset&amp;display_string=Audit"}</definedName>
    <definedName name="_2434__FDSAUDITLINK__" localSheetId="7" hidden="1">{"fdsup://Directions/FactSet Auditing Viewer?action=AUDIT_VALUE&amp;DB=129&amp;ID1=42823610&amp;VALUEID=02001&amp;SDATE=200601&amp;PERIODTYPE=QTR_STD&amp;SCFT=3&amp;window=popup_no_bar&amp;width=385&amp;height=120&amp;START_MAXIMIZED=FALSE&amp;creator=factset&amp;display_string=Audit"}</definedName>
    <definedName name="_2434__FDSAUDITLINK__" hidden="1">{"fdsup://Directions/FactSet Auditing Viewer?action=AUDIT_VALUE&amp;DB=129&amp;ID1=42823610&amp;VALUEID=02001&amp;SDATE=200601&amp;PERIODTYPE=QTR_STD&amp;SCFT=3&amp;window=popup_no_bar&amp;width=385&amp;height=120&amp;START_MAXIMIZED=FALSE&amp;creator=factset&amp;display_string=Audit"}</definedName>
    <definedName name="_2435__FDSAUDITLINK__" localSheetId="7" hidden="1">{"fdsup://Directions/FactSet Auditing Viewer?action=AUDIT_VALUE&amp;DB=129&amp;ID1=31561610&amp;VALUEID=02001&amp;SDATE=200601&amp;PERIODTYPE=QTR_STD&amp;SCFT=3&amp;window=popup_no_bar&amp;width=385&amp;height=120&amp;START_MAXIMIZED=FALSE&amp;creator=factset&amp;display_string=Audit"}</definedName>
    <definedName name="_2435__FDSAUDITLINK__" hidden="1">{"fdsup://Directions/FactSet Auditing Viewer?action=AUDIT_VALUE&amp;DB=129&amp;ID1=31561610&amp;VALUEID=02001&amp;SDATE=200601&amp;PERIODTYPE=QTR_STD&amp;SCFT=3&amp;window=popup_no_bar&amp;width=385&amp;height=120&amp;START_MAXIMIZED=FALSE&amp;creator=factset&amp;display_string=Audit"}</definedName>
    <definedName name="_2436__FDSAUDITLINK__" localSheetId="7" hidden="1">{"fdsup://Directions/FactSet Auditing Viewer?action=AUDIT_VALUE&amp;DB=129&amp;ID1=31561610&amp;VALUEID=02001&amp;SDATE=200601&amp;PERIODTYPE=QTR_STD&amp;SCFT=3&amp;window=popup_no_bar&amp;width=385&amp;height=120&amp;START_MAXIMIZED=FALSE&amp;creator=factset&amp;display_string=Audit"}</definedName>
    <definedName name="_2436__FDSAUDITLINK__" hidden="1">{"fdsup://Directions/FactSet Auditing Viewer?action=AUDIT_VALUE&amp;DB=129&amp;ID1=31561610&amp;VALUEID=02001&amp;SDATE=200601&amp;PERIODTYPE=QTR_STD&amp;SCFT=3&amp;window=popup_no_bar&amp;width=385&amp;height=120&amp;START_MAXIMIZED=FALSE&amp;creator=factset&amp;display_string=Audit"}</definedName>
    <definedName name="_2437__FDSAUDITLINK__" localSheetId="7" hidden="1">{"fdsup://Directions/FactSet Auditing Viewer?action=AUDIT_VALUE&amp;DB=129&amp;ID1=29247520&amp;VALUEID=02001&amp;SDATE=200602&amp;PERIODTYPE=QTR_STD&amp;SCFT=3&amp;window=popup_no_bar&amp;width=385&amp;height=120&amp;START_MAXIMIZED=FALSE&amp;creator=factset&amp;display_string=Audit"}</definedName>
    <definedName name="_2437__FDSAUDITLINK__" hidden="1">{"fdsup://Directions/FactSet Auditing Viewer?action=AUDIT_VALUE&amp;DB=129&amp;ID1=29247520&amp;VALUEID=02001&amp;SDATE=200602&amp;PERIODTYPE=QTR_STD&amp;SCFT=3&amp;window=popup_no_bar&amp;width=385&amp;height=120&amp;START_MAXIMIZED=FALSE&amp;creator=factset&amp;display_string=Audit"}</definedName>
    <definedName name="_2438__FDSAUDITLINK__" localSheetId="7" hidden="1">{"fdsup://Directions/FactSet Auditing Viewer?action=AUDIT_VALUE&amp;DB=129&amp;ID1=29247520&amp;VALUEID=02001&amp;SDATE=200602&amp;PERIODTYPE=QTR_STD&amp;SCFT=3&amp;window=popup_no_bar&amp;width=385&amp;height=120&amp;START_MAXIMIZED=FALSE&amp;creator=factset&amp;display_string=Audit"}</definedName>
    <definedName name="_2438__FDSAUDITLINK__" hidden="1">{"fdsup://Directions/FactSet Auditing Viewer?action=AUDIT_VALUE&amp;DB=129&amp;ID1=29247520&amp;VALUEID=02001&amp;SDATE=200602&amp;PERIODTYPE=QTR_STD&amp;SCFT=3&amp;window=popup_no_bar&amp;width=385&amp;height=120&amp;START_MAXIMIZED=FALSE&amp;creator=factset&amp;display_string=Audit"}</definedName>
    <definedName name="_2439__FDSAUDITLINK__" localSheetId="7" hidden="1">{"fdsup://Directions/FactSet Auditing Viewer?action=AUDIT_VALUE&amp;DB=129&amp;ID1=17275R10&amp;VALUEID=02001&amp;SDATE=200602&amp;PERIODTYPE=QTR_STD&amp;SCFT=3&amp;window=popup_no_bar&amp;width=385&amp;height=120&amp;START_MAXIMIZED=FALSE&amp;creator=factset&amp;display_string=Audit"}</definedName>
    <definedName name="_2439__FDSAUDITLINK__" hidden="1">{"fdsup://Directions/FactSet Auditing Viewer?action=AUDIT_VALUE&amp;DB=129&amp;ID1=17275R10&amp;VALUEID=02001&amp;SDATE=200602&amp;PERIODTYPE=QTR_STD&amp;SCFT=3&amp;window=popup_no_bar&amp;width=385&amp;height=120&amp;START_MAXIMIZED=FALSE&amp;creator=factset&amp;display_string=Audit"}</definedName>
    <definedName name="_244__FDSAUDITLINK__" localSheetId="7" hidden="1">{"fdsup://Directions/FactSet Auditing Viewer?action=AUDIT_VALUE&amp;DB=129&amp;ID1=45772F10&amp;VALUEID=02001&amp;SDATE=201004&amp;PERIODTYPE=QTR_STD&amp;SCFT=3&amp;window=popup_no_bar&amp;width=385&amp;height=120&amp;START_MAXIMIZED=FALSE&amp;creator=factset&amp;display_string=Audit"}</definedName>
    <definedName name="_244__FDSAUDITLINK__" hidden="1">{"fdsup://Directions/FactSet Auditing Viewer?action=AUDIT_VALUE&amp;DB=129&amp;ID1=45772F10&amp;VALUEID=02001&amp;SDATE=201004&amp;PERIODTYPE=QTR_STD&amp;SCFT=3&amp;window=popup_no_bar&amp;width=385&amp;height=120&amp;START_MAXIMIZED=FALSE&amp;creator=factset&amp;display_string=Audit"}</definedName>
    <definedName name="_2440__FDSAUDITLINK__" localSheetId="7" hidden="1">{"fdsup://Directions/FactSet Auditing Viewer?action=AUDIT_VALUE&amp;DB=129&amp;ID1=17275R10&amp;VALUEID=02001&amp;SDATE=200602&amp;PERIODTYPE=QTR_STD&amp;SCFT=3&amp;window=popup_no_bar&amp;width=385&amp;height=120&amp;START_MAXIMIZED=FALSE&amp;creator=factset&amp;display_string=Audit"}</definedName>
    <definedName name="_2440__FDSAUDITLINK__" hidden="1">{"fdsup://Directions/FactSet Auditing Viewer?action=AUDIT_VALUE&amp;DB=129&amp;ID1=17275R10&amp;VALUEID=02001&amp;SDATE=200602&amp;PERIODTYPE=QTR_STD&amp;SCFT=3&amp;window=popup_no_bar&amp;width=385&amp;height=120&amp;START_MAXIMIZED=FALSE&amp;creator=factset&amp;display_string=Audit"}</definedName>
    <definedName name="_2441__FDSAUDITLINK__" localSheetId="7" hidden="1">{"fdsup://Directions/FactSet Auditing Viewer?action=AUDIT_VALUE&amp;DB=129&amp;ID1=22544710&amp;VALUEID=02001&amp;SDATE=200602&amp;PERIODTYPE=QTR_STD&amp;SCFT=3&amp;window=popup_no_bar&amp;width=385&amp;height=120&amp;START_MAXIMIZED=FALSE&amp;creator=factset&amp;display_string=Audit"}</definedName>
    <definedName name="_2441__FDSAUDITLINK__" hidden="1">{"fdsup://Directions/FactSet Auditing Viewer?action=AUDIT_VALUE&amp;DB=129&amp;ID1=22544710&amp;VALUEID=02001&amp;SDATE=200602&amp;PERIODTYPE=QTR_STD&amp;SCFT=3&amp;window=popup_no_bar&amp;width=385&amp;height=120&amp;START_MAXIMIZED=FALSE&amp;creator=factset&amp;display_string=Audit"}</definedName>
    <definedName name="_2442__FDSAUDITLINK__" localSheetId="7" hidden="1">{"fdsup://Directions/FactSet Auditing Viewer?action=AUDIT_VALUE&amp;DB=129&amp;ID1=22544710&amp;VALUEID=02001&amp;SDATE=200602&amp;PERIODTYPE=QTR_STD&amp;SCFT=3&amp;window=popup_no_bar&amp;width=385&amp;height=120&amp;START_MAXIMIZED=FALSE&amp;creator=factset&amp;display_string=Audit"}</definedName>
    <definedName name="_2442__FDSAUDITLINK__" hidden="1">{"fdsup://Directions/FactSet Auditing Viewer?action=AUDIT_VALUE&amp;DB=129&amp;ID1=22544710&amp;VALUEID=02001&amp;SDATE=200602&amp;PERIODTYPE=QTR_STD&amp;SCFT=3&amp;window=popup_no_bar&amp;width=385&amp;height=120&amp;START_MAXIMIZED=FALSE&amp;creator=factset&amp;display_string=Audit"}</definedName>
    <definedName name="_2443__FDSAUDITLINK__" localSheetId="7" hidden="1">{"fdsup://Directions/FactSet Auditing Viewer?action=AUDIT_VALUE&amp;DB=129&amp;ID1=12738710&amp;VALUEID=02001&amp;SDATE=200504&amp;PERIODTYPE=QTR_STD&amp;SCFT=3&amp;window=popup_no_bar&amp;width=385&amp;height=120&amp;START_MAXIMIZED=FALSE&amp;creator=factset&amp;display_string=Audit"}</definedName>
    <definedName name="_2443__FDSAUDITLINK__" hidden="1">{"fdsup://Directions/FactSet Auditing Viewer?action=AUDIT_VALUE&amp;DB=129&amp;ID1=12738710&amp;VALUEID=02001&amp;SDATE=200504&amp;PERIODTYPE=QTR_STD&amp;SCFT=3&amp;window=popup_no_bar&amp;width=385&amp;height=120&amp;START_MAXIMIZED=FALSE&amp;creator=factset&amp;display_string=Audit"}</definedName>
    <definedName name="_2444__FDSAUDITLINK__" localSheetId="7" hidden="1">{"fdsup://Directions/FactSet Auditing Viewer?action=AUDIT_VALUE&amp;DB=129&amp;ID1=12738710&amp;VALUEID=02001&amp;SDATE=200504&amp;PERIODTYPE=QTR_STD&amp;SCFT=3&amp;window=popup_no_bar&amp;width=385&amp;height=120&amp;START_MAXIMIZED=FALSE&amp;creator=factset&amp;display_string=Audit"}</definedName>
    <definedName name="_2444__FDSAUDITLINK__" hidden="1">{"fdsup://Directions/FactSet Auditing Viewer?action=AUDIT_VALUE&amp;DB=129&amp;ID1=12738710&amp;VALUEID=02001&amp;SDATE=200504&amp;PERIODTYPE=QTR_STD&amp;SCFT=3&amp;window=popup_no_bar&amp;width=385&amp;height=120&amp;START_MAXIMIZED=FALSE&amp;creator=factset&amp;display_string=Audit"}</definedName>
    <definedName name="_2445__FDSAUDITLINK__" localSheetId="7" hidden="1">{"fdsup://Directions/FactSet Auditing Viewer?action=AUDIT_VALUE&amp;DB=129&amp;ID1=11162130&amp;VALUEID=02001&amp;SDATE=200601&amp;PERIODTYPE=QTR_STD&amp;SCFT=3&amp;window=popup_no_bar&amp;width=385&amp;height=120&amp;START_MAXIMIZED=FALSE&amp;creator=factset&amp;display_string=Audit"}</definedName>
    <definedName name="_2445__FDSAUDITLINK__" hidden="1">{"fdsup://Directions/FactSet Auditing Viewer?action=AUDIT_VALUE&amp;DB=129&amp;ID1=11162130&amp;VALUEID=02001&amp;SDATE=200601&amp;PERIODTYPE=QTR_STD&amp;SCFT=3&amp;window=popup_no_bar&amp;width=385&amp;height=120&amp;START_MAXIMIZED=FALSE&amp;creator=factset&amp;display_string=Audit"}</definedName>
    <definedName name="_2446__FDSAUDITLINK__" localSheetId="7" hidden="1">{"fdsup://Directions/FactSet Auditing Viewer?action=AUDIT_VALUE&amp;DB=129&amp;ID1=11162130&amp;VALUEID=02001&amp;SDATE=200601&amp;PERIODTYPE=QTR_STD&amp;SCFT=3&amp;window=popup_no_bar&amp;width=385&amp;height=120&amp;START_MAXIMIZED=FALSE&amp;creator=factset&amp;display_string=Audit"}</definedName>
    <definedName name="_2446__FDSAUDITLINK__" hidden="1">{"fdsup://Directions/FactSet Auditing Viewer?action=AUDIT_VALUE&amp;DB=129&amp;ID1=11162130&amp;VALUEID=02001&amp;SDATE=200601&amp;PERIODTYPE=QTR_STD&amp;SCFT=3&amp;window=popup_no_bar&amp;width=385&amp;height=120&amp;START_MAXIMIZED=FALSE&amp;creator=factset&amp;display_string=Audit"}</definedName>
    <definedName name="_2447__FDSAUDITLINK__" localSheetId="7" hidden="1">{"fdsup://Directions/FactSet Auditing Viewer?action=AUDIT_VALUE&amp;DB=129&amp;ID1=03822W40&amp;VALUEID=02001&amp;SDATE=200503&amp;PERIODTYPE=QTR_STD&amp;SCFT=3&amp;window=popup_no_bar&amp;width=385&amp;height=120&amp;START_MAXIMIZED=FALSE&amp;creator=factset&amp;display_string=Audit"}</definedName>
    <definedName name="_2447__FDSAUDITLINK__" hidden="1">{"fdsup://Directions/FactSet Auditing Viewer?action=AUDIT_VALUE&amp;DB=129&amp;ID1=03822W40&amp;VALUEID=02001&amp;SDATE=200503&amp;PERIODTYPE=QTR_STD&amp;SCFT=3&amp;window=popup_no_bar&amp;width=385&amp;height=120&amp;START_MAXIMIZED=FALSE&amp;creator=factset&amp;display_string=Audit"}</definedName>
    <definedName name="_2448__FDSAUDITLINK__" localSheetId="7" hidden="1">{"fdsup://Directions/FactSet Auditing Viewer?action=AUDIT_VALUE&amp;DB=129&amp;ID1=03822W40&amp;VALUEID=02001&amp;SDATE=200503&amp;PERIODTYPE=QTR_STD&amp;SCFT=3&amp;window=popup_no_bar&amp;width=385&amp;height=120&amp;START_MAXIMIZED=FALSE&amp;creator=factset&amp;display_string=Audit"}</definedName>
    <definedName name="_2448__FDSAUDITLINK__" hidden="1">{"fdsup://Directions/FactSet Auditing Viewer?action=AUDIT_VALUE&amp;DB=129&amp;ID1=03822W40&amp;VALUEID=02001&amp;SDATE=200503&amp;PERIODTYPE=QTR_STD&amp;SCFT=3&amp;window=popup_no_bar&amp;width=385&amp;height=120&amp;START_MAXIMIZED=FALSE&amp;creator=factset&amp;display_string=Audit"}</definedName>
    <definedName name="_2449__FDSAUDITLINK__" localSheetId="7" hidden="1">{"fdsup://Directions/FactSet Auditing Viewer?action=AUDIT_VALUE&amp;DB=129&amp;ID1=03822210&amp;VALUEID=02001&amp;SDATE=200601&amp;PERIODTYPE=QTR_STD&amp;SCFT=3&amp;window=popup_no_bar&amp;width=385&amp;height=120&amp;START_MAXIMIZED=FALSE&amp;creator=factset&amp;display_string=Audit"}</definedName>
    <definedName name="_2449__FDSAUDITLINK__" hidden="1">{"fdsup://Directions/FactSet Auditing Viewer?action=AUDIT_VALUE&amp;DB=129&amp;ID1=03822210&amp;VALUEID=02001&amp;SDATE=200601&amp;PERIODTYPE=QTR_STD&amp;SCFT=3&amp;window=popup_no_bar&amp;width=385&amp;height=120&amp;START_MAXIMIZED=FALSE&amp;creator=factset&amp;display_string=Audit"}</definedName>
    <definedName name="_245__FDSAUDITLINK__" localSheetId="7" hidden="1">{"fdsup://Directions/FactSet Auditing Viewer?action=AUDIT_VALUE&amp;DB=129&amp;ID1=45814010&amp;VALUEID=02001&amp;SDATE=201004&amp;PERIODTYPE=QTR_STD&amp;SCFT=3&amp;window=popup_no_bar&amp;width=385&amp;height=120&amp;START_MAXIMIZED=FALSE&amp;creator=factset&amp;display_string=Audit"}</definedName>
    <definedName name="_245__FDSAUDITLINK__" hidden="1">{"fdsup://Directions/FactSet Auditing Viewer?action=AUDIT_VALUE&amp;DB=129&amp;ID1=45814010&amp;VALUEID=02001&amp;SDATE=201004&amp;PERIODTYPE=QTR_STD&amp;SCFT=3&amp;window=popup_no_bar&amp;width=385&amp;height=120&amp;START_MAXIMIZED=FALSE&amp;creator=factset&amp;display_string=Audit"}</definedName>
    <definedName name="_2450__FDSAUDITLINK__" localSheetId="7" hidden="1">{"fdsup://Directions/FactSet Auditing Viewer?action=AUDIT_VALUE&amp;DB=129&amp;ID1=03822210&amp;VALUEID=02001&amp;SDATE=200601&amp;PERIODTYPE=QTR_STD&amp;SCFT=3&amp;window=popup_no_bar&amp;width=385&amp;height=120&amp;START_MAXIMIZED=FALSE&amp;creator=factset&amp;display_string=Audit"}</definedName>
    <definedName name="_2450__FDSAUDITLINK__" hidden="1">{"fdsup://Directions/FactSet Auditing Viewer?action=AUDIT_VALUE&amp;DB=129&amp;ID1=03822210&amp;VALUEID=02001&amp;SDATE=200601&amp;PERIODTYPE=QTR_STD&amp;SCFT=3&amp;window=popup_no_bar&amp;width=385&amp;height=120&amp;START_MAXIMIZED=FALSE&amp;creator=factset&amp;display_string=Audit"}</definedName>
    <definedName name="_2451__FDSAUDITLINK__" localSheetId="7" hidden="1">{"fdsup://Directions/FactSet Auditing Viewer?action=AUDIT_VALUE&amp;DB=129&amp;ID1=03265410&amp;VALUEID=02001&amp;SDATE=200601&amp;PERIODTYPE=QTR_STD&amp;SCFT=3&amp;window=popup_no_bar&amp;width=385&amp;height=120&amp;START_MAXIMIZED=FALSE&amp;creator=factset&amp;display_string=Audit"}</definedName>
    <definedName name="_2451__FDSAUDITLINK__" hidden="1">{"fdsup://Directions/FactSet Auditing Viewer?action=AUDIT_VALUE&amp;DB=129&amp;ID1=03265410&amp;VALUEID=02001&amp;SDATE=200601&amp;PERIODTYPE=QTR_STD&amp;SCFT=3&amp;window=popup_no_bar&amp;width=385&amp;height=120&amp;START_MAXIMIZED=FALSE&amp;creator=factset&amp;display_string=Audit"}</definedName>
    <definedName name="_2452__FDSAUDITLINK__" localSheetId="7" hidden="1">{"fdsup://Directions/FactSet Auditing Viewer?action=AUDIT_VALUE&amp;DB=129&amp;ID1=03265410&amp;VALUEID=02001&amp;SDATE=200601&amp;PERIODTYPE=QTR_STD&amp;SCFT=3&amp;window=popup_no_bar&amp;width=385&amp;height=120&amp;START_MAXIMIZED=FALSE&amp;creator=factset&amp;display_string=Audit"}</definedName>
    <definedName name="_2452__FDSAUDITLINK__" hidden="1">{"fdsup://Directions/FactSet Auditing Viewer?action=AUDIT_VALUE&amp;DB=129&amp;ID1=03265410&amp;VALUEID=02001&amp;SDATE=200601&amp;PERIODTYPE=QTR_STD&amp;SCFT=3&amp;window=popup_no_bar&amp;width=385&amp;height=120&amp;START_MAXIMIZED=FALSE&amp;creator=factset&amp;display_string=Audit"}</definedName>
    <definedName name="_2453__FDSAUDITLINK__" localSheetId="7" hidden="1">{"fdsup://Directions/FactSet Auditing Viewer?action=AUDIT_VALUE&amp;DB=129&amp;ID1=98975F10&amp;VALUEID=02001&amp;SDATE=200503&amp;PERIODTYPE=QTR_STD&amp;SCFT=3&amp;window=popup_no_bar&amp;width=385&amp;height=120&amp;START_MAXIMIZED=FALSE&amp;creator=factset&amp;display_string=Audit"}</definedName>
    <definedName name="_2453__FDSAUDITLINK__" hidden="1">{"fdsup://Directions/FactSet Auditing Viewer?action=AUDIT_VALUE&amp;DB=129&amp;ID1=98975F10&amp;VALUEID=02001&amp;SDATE=200503&amp;PERIODTYPE=QTR_STD&amp;SCFT=3&amp;window=popup_no_bar&amp;width=385&amp;height=120&amp;START_MAXIMIZED=FALSE&amp;creator=factset&amp;display_string=Audit"}</definedName>
    <definedName name="_2454__FDSAUDITLINK__" localSheetId="7" hidden="1">{"fdsup://Directions/FactSet Auditing Viewer?action=AUDIT_VALUE&amp;DB=129&amp;ID1=98975F10&amp;VALUEID=02001&amp;SDATE=200503&amp;PERIODTYPE=QTR_STD&amp;SCFT=3&amp;window=popup_no_bar&amp;width=385&amp;height=120&amp;START_MAXIMIZED=FALSE&amp;creator=factset&amp;display_string=Audit"}</definedName>
    <definedName name="_2454__FDSAUDITLINK__" hidden="1">{"fdsup://Directions/FactSet Auditing Viewer?action=AUDIT_VALUE&amp;DB=129&amp;ID1=98975F10&amp;VALUEID=02001&amp;SDATE=200503&amp;PERIODTYPE=QTR_STD&amp;SCFT=3&amp;window=popup_no_bar&amp;width=385&amp;height=120&amp;START_MAXIMIZED=FALSE&amp;creator=factset&amp;display_string=Audit"}</definedName>
    <definedName name="_2455__FDSAUDITLINK__" localSheetId="7" hidden="1">{"fdsup://Directions/FactSet Auditing Viewer?action=AUDIT_VALUE&amp;DB=129&amp;ID1=98391910&amp;VALUEID=02001&amp;SDATE=200502&amp;PERIODTYPE=QTR_STD&amp;SCFT=3&amp;window=popup_no_bar&amp;width=385&amp;height=120&amp;START_MAXIMIZED=FALSE&amp;creator=factset&amp;display_string=Audit"}</definedName>
    <definedName name="_2455__FDSAUDITLINK__" hidden="1">{"fdsup://Directions/FactSet Auditing Viewer?action=AUDIT_VALUE&amp;DB=129&amp;ID1=98391910&amp;VALUEID=02001&amp;SDATE=200502&amp;PERIODTYPE=QTR_STD&amp;SCFT=3&amp;window=popup_no_bar&amp;width=385&amp;height=120&amp;START_MAXIMIZED=FALSE&amp;creator=factset&amp;display_string=Audit"}</definedName>
    <definedName name="_2456__FDSAUDITLINK__" localSheetId="7" hidden="1">{"fdsup://Directions/FactSet Auditing Viewer?action=AUDIT_VALUE&amp;DB=129&amp;ID1=98391910&amp;VALUEID=02001&amp;SDATE=200502&amp;PERIODTYPE=QTR_STD&amp;SCFT=3&amp;window=popup_no_bar&amp;width=385&amp;height=120&amp;START_MAXIMIZED=FALSE&amp;creator=factset&amp;display_string=Audit"}</definedName>
    <definedName name="_2456__FDSAUDITLINK__" hidden="1">{"fdsup://Directions/FactSet Auditing Viewer?action=AUDIT_VALUE&amp;DB=129&amp;ID1=98391910&amp;VALUEID=02001&amp;SDATE=200502&amp;PERIODTYPE=QTR_STD&amp;SCFT=3&amp;window=popup_no_bar&amp;width=385&amp;height=120&amp;START_MAXIMIZED=FALSE&amp;creator=factset&amp;display_string=Audit"}</definedName>
    <definedName name="_2457__FDSAUDITLINK__" localSheetId="7" hidden="1">{"fdsup://Directions/FactSet Auditing Viewer?action=AUDIT_VALUE&amp;DB=129&amp;ID1=95810210&amp;VALUEID=02001&amp;SDATE=200601&amp;PERIODTYPE=QTR_STD&amp;SCFT=3&amp;window=popup_no_bar&amp;width=385&amp;height=120&amp;START_MAXIMIZED=FALSE&amp;creator=factset&amp;display_string=Audit"}</definedName>
    <definedName name="_2457__FDSAUDITLINK__" hidden="1">{"fdsup://Directions/FactSet Auditing Viewer?action=AUDIT_VALUE&amp;DB=129&amp;ID1=95810210&amp;VALUEID=02001&amp;SDATE=200601&amp;PERIODTYPE=QTR_STD&amp;SCFT=3&amp;window=popup_no_bar&amp;width=385&amp;height=120&amp;START_MAXIMIZED=FALSE&amp;creator=factset&amp;display_string=Audit"}</definedName>
    <definedName name="_2458__FDSAUDITLINK__" localSheetId="7" hidden="1">{"fdsup://Directions/FactSet Auditing Viewer?action=AUDIT_VALUE&amp;DB=129&amp;ID1=95810210&amp;VALUEID=02001&amp;SDATE=200601&amp;PERIODTYPE=QTR_STD&amp;SCFT=3&amp;window=popup_no_bar&amp;width=385&amp;height=120&amp;START_MAXIMIZED=FALSE&amp;creator=factset&amp;display_string=Audit"}</definedName>
    <definedName name="_2458__FDSAUDITLINK__" hidden="1">{"fdsup://Directions/FactSet Auditing Viewer?action=AUDIT_VALUE&amp;DB=129&amp;ID1=95810210&amp;VALUEID=02001&amp;SDATE=200601&amp;PERIODTYPE=QTR_STD&amp;SCFT=3&amp;window=popup_no_bar&amp;width=385&amp;height=120&amp;START_MAXIMIZED=FALSE&amp;creator=factset&amp;display_string=Audit"}</definedName>
    <definedName name="_2459__FDSAUDITLINK__" localSheetId="7" hidden="1">{"fdsup://Directions/FactSet Auditing Viewer?action=AUDIT_VALUE&amp;DB=129&amp;ID1=88250810&amp;VALUEID=02001&amp;SDATE=200503&amp;PERIODTYPE=QTR_STD&amp;SCFT=3&amp;window=popup_no_bar&amp;width=385&amp;height=120&amp;START_MAXIMIZED=FALSE&amp;creator=factset&amp;display_string=Audit"}</definedName>
    <definedName name="_2459__FDSAUDITLINK__" hidden="1">{"fdsup://Directions/FactSet Auditing Viewer?action=AUDIT_VALUE&amp;DB=129&amp;ID1=88250810&amp;VALUEID=02001&amp;SDATE=200503&amp;PERIODTYPE=QTR_STD&amp;SCFT=3&amp;window=popup_no_bar&amp;width=385&amp;height=120&amp;START_MAXIMIZED=FALSE&amp;creator=factset&amp;display_string=Audit"}</definedName>
    <definedName name="_246__FDSAUDITLINK__" localSheetId="7" hidden="1">{"fdsup://Directions/FactSet Auditing Viewer?action=AUDIT_VALUE&amp;DB=129&amp;ID1=45814010&amp;VALUEID=02001&amp;SDATE=201004&amp;PERIODTYPE=QTR_STD&amp;SCFT=3&amp;window=popup_no_bar&amp;width=385&amp;height=120&amp;START_MAXIMIZED=FALSE&amp;creator=factset&amp;display_string=Audit"}</definedName>
    <definedName name="_246__FDSAUDITLINK__" hidden="1">{"fdsup://Directions/FactSet Auditing Viewer?action=AUDIT_VALUE&amp;DB=129&amp;ID1=45814010&amp;VALUEID=02001&amp;SDATE=201004&amp;PERIODTYPE=QTR_STD&amp;SCFT=3&amp;window=popup_no_bar&amp;width=385&amp;height=120&amp;START_MAXIMIZED=FALSE&amp;creator=factset&amp;display_string=Audit"}</definedName>
    <definedName name="_2460__FDSAUDITLINK__" localSheetId="7" hidden="1">{"fdsup://Directions/FactSet Auditing Viewer?action=AUDIT_VALUE&amp;DB=129&amp;ID1=88250810&amp;VALUEID=02001&amp;SDATE=200503&amp;PERIODTYPE=QTR_STD&amp;SCFT=3&amp;window=popup_no_bar&amp;width=385&amp;height=120&amp;START_MAXIMIZED=FALSE&amp;creator=factset&amp;display_string=Audit"}</definedName>
    <definedName name="_2460__FDSAUDITLINK__" hidden="1">{"fdsup://Directions/FactSet Auditing Viewer?action=AUDIT_VALUE&amp;DB=129&amp;ID1=88250810&amp;VALUEID=02001&amp;SDATE=200503&amp;PERIODTYPE=QTR_STD&amp;SCFT=3&amp;window=popup_no_bar&amp;width=385&amp;height=120&amp;START_MAXIMIZED=FALSE&amp;creator=factset&amp;display_string=Audit"}</definedName>
    <definedName name="_2461__FDSAUDITLINK__" localSheetId="7" hidden="1">{"fdsup://Directions/FactSet Auditing Viewer?action=AUDIT_VALUE&amp;DB=129&amp;ID1=G7945M10&amp;VALUEID=02001&amp;SDATE=200601&amp;PERIODTYPE=QTR_STD&amp;SCFT=3&amp;window=popup_no_bar&amp;width=385&amp;height=120&amp;START_MAXIMIZED=FALSE&amp;creator=factset&amp;display_string=Audit"}</definedName>
    <definedName name="_2461__FDSAUDITLINK__" hidden="1">{"fdsup://Directions/FactSet Auditing Viewer?action=AUDIT_VALUE&amp;DB=129&amp;ID1=G7945M10&amp;VALUEID=02001&amp;SDATE=200601&amp;PERIODTYPE=QTR_STD&amp;SCFT=3&amp;window=popup_no_bar&amp;width=385&amp;height=120&amp;START_MAXIMIZED=FALSE&amp;creator=factset&amp;display_string=Audit"}</definedName>
    <definedName name="_2462__FDSAUDITLINK__" localSheetId="7" hidden="1">{"fdsup://Directions/FactSet Auditing Viewer?action=AUDIT_VALUE&amp;DB=129&amp;ID1=G7945M10&amp;VALUEID=02001&amp;SDATE=200601&amp;PERIODTYPE=QTR_STD&amp;SCFT=3&amp;window=popup_no_bar&amp;width=385&amp;height=120&amp;START_MAXIMIZED=FALSE&amp;creator=factset&amp;display_string=Audit"}</definedName>
    <definedName name="_2462__FDSAUDITLINK__" hidden="1">{"fdsup://Directions/FactSet Auditing Viewer?action=AUDIT_VALUE&amp;DB=129&amp;ID1=G7945M10&amp;VALUEID=02001&amp;SDATE=200601&amp;PERIODTYPE=QTR_STD&amp;SCFT=3&amp;window=popup_no_bar&amp;width=385&amp;height=120&amp;START_MAXIMIZED=FALSE&amp;creator=factset&amp;display_string=Audit"}</definedName>
    <definedName name="_2463__FDSAUDITLINK__" localSheetId="7" hidden="1">{"fdsup://Directions/FactSet Auditing Viewer?action=AUDIT_VALUE&amp;DB=129&amp;ID1=78477410&amp;VALUEID=02001&amp;SDATE=200503&amp;PERIODTYPE=QTR_STD&amp;SCFT=3&amp;window=popup_no_bar&amp;width=385&amp;height=120&amp;START_MAXIMIZED=FALSE&amp;creator=factset&amp;display_string=Audit"}</definedName>
    <definedName name="_2463__FDSAUDITLINK__" hidden="1">{"fdsup://Directions/FactSet Auditing Viewer?action=AUDIT_VALUE&amp;DB=129&amp;ID1=78477410&amp;VALUEID=02001&amp;SDATE=200503&amp;PERIODTYPE=QTR_STD&amp;SCFT=3&amp;window=popup_no_bar&amp;width=385&amp;height=120&amp;START_MAXIMIZED=FALSE&amp;creator=factset&amp;display_string=Audit"}</definedName>
    <definedName name="_2464__FDSAUDITLINK__" localSheetId="7" hidden="1">{"fdsup://Directions/FactSet Auditing Viewer?action=AUDIT_VALUE&amp;DB=129&amp;ID1=78477410&amp;VALUEID=02001&amp;SDATE=200503&amp;PERIODTYPE=QTR_STD&amp;SCFT=3&amp;window=popup_no_bar&amp;width=385&amp;height=120&amp;START_MAXIMIZED=FALSE&amp;creator=factset&amp;display_string=Audit"}</definedName>
    <definedName name="_2464__FDSAUDITLINK__" hidden="1">{"fdsup://Directions/FactSet Auditing Viewer?action=AUDIT_VALUE&amp;DB=129&amp;ID1=78477410&amp;VALUEID=02001&amp;SDATE=200503&amp;PERIODTYPE=QTR_STD&amp;SCFT=3&amp;window=popup_no_bar&amp;width=385&amp;height=120&amp;START_MAXIMIZED=FALSE&amp;creator=factset&amp;display_string=Audit"}</definedName>
    <definedName name="_2465__FDSAUDITLINK__" localSheetId="7" hidden="1">{"fdsup://Directions/FactSet Auditing Viewer?action=AUDIT_VALUE&amp;DB=129&amp;ID1=83547010&amp;VALUEID=02001&amp;SDATE=200503&amp;PERIODTYPE=QTR_STD&amp;SCFT=3&amp;window=popup_no_bar&amp;width=385&amp;height=120&amp;START_MAXIMIZED=FALSE&amp;creator=factset&amp;display_string=Audit"}</definedName>
    <definedName name="_2465__FDSAUDITLINK__" hidden="1">{"fdsup://Directions/FactSet Auditing Viewer?action=AUDIT_VALUE&amp;DB=129&amp;ID1=83547010&amp;VALUEID=02001&amp;SDATE=200503&amp;PERIODTYPE=QTR_STD&amp;SCFT=3&amp;window=popup_no_bar&amp;width=385&amp;height=120&amp;START_MAXIMIZED=FALSE&amp;creator=factset&amp;display_string=Audit"}</definedName>
    <definedName name="_2466__FDSAUDITLINK__" localSheetId="7" hidden="1">{"fdsup://Directions/FactSet Auditing Viewer?action=AUDIT_VALUE&amp;DB=129&amp;ID1=83547010&amp;VALUEID=02001&amp;SDATE=200503&amp;PERIODTYPE=QTR_STD&amp;SCFT=3&amp;window=popup_no_bar&amp;width=385&amp;height=120&amp;START_MAXIMIZED=FALSE&amp;creator=factset&amp;display_string=Audit"}</definedName>
    <definedName name="_2466__FDSAUDITLINK__" hidden="1">{"fdsup://Directions/FactSet Auditing Viewer?action=AUDIT_VALUE&amp;DB=129&amp;ID1=83547010&amp;VALUEID=02001&amp;SDATE=200503&amp;PERIODTYPE=QTR_STD&amp;SCFT=3&amp;window=popup_no_bar&amp;width=385&amp;height=120&amp;START_MAXIMIZED=FALSE&amp;creator=factset&amp;display_string=Audit"}</definedName>
    <definedName name="_2467__FDSAUDITLINK__" localSheetId="7" hidden="1">{"fdsup://Directions/FactSet Auditing Viewer?action=AUDIT_VALUE&amp;DB=129&amp;ID1=80004C10&amp;VALUEID=02001&amp;SDATE=200503&amp;PERIODTYPE=QTR_STD&amp;SCFT=3&amp;window=popup_no_bar&amp;width=385&amp;height=120&amp;START_MAXIMIZED=FALSE&amp;creator=factset&amp;display_string=Audit"}</definedName>
    <definedName name="_2467__FDSAUDITLINK__" hidden="1">{"fdsup://Directions/FactSet Auditing Viewer?action=AUDIT_VALUE&amp;DB=129&amp;ID1=80004C10&amp;VALUEID=02001&amp;SDATE=200503&amp;PERIODTYPE=QTR_STD&amp;SCFT=3&amp;window=popup_no_bar&amp;width=385&amp;height=120&amp;START_MAXIMIZED=FALSE&amp;creator=factset&amp;display_string=Audit"}</definedName>
    <definedName name="_2468__FDSAUDITLINK__" localSheetId="7" hidden="1">{"fdsup://Directions/FactSet Auditing Viewer?action=AUDIT_VALUE&amp;DB=129&amp;ID1=80004C10&amp;VALUEID=02001&amp;SDATE=200503&amp;PERIODTYPE=QTR_STD&amp;SCFT=3&amp;window=popup_no_bar&amp;width=385&amp;height=120&amp;START_MAXIMIZED=FALSE&amp;creator=factset&amp;display_string=Audit"}</definedName>
    <definedName name="_2468__FDSAUDITLINK__" hidden="1">{"fdsup://Directions/FactSet Auditing Viewer?action=AUDIT_VALUE&amp;DB=129&amp;ID1=80004C10&amp;VALUEID=02001&amp;SDATE=200503&amp;PERIODTYPE=QTR_STD&amp;SCFT=3&amp;window=popup_no_bar&amp;width=385&amp;height=120&amp;START_MAXIMIZED=FALSE&amp;creator=factset&amp;display_string=Audit"}</definedName>
    <definedName name="_2469__FDSAUDITLINK__" localSheetId="7" hidden="1">{"fdsup://Directions/FactSet Auditing Viewer?action=AUDIT_VALUE&amp;DB=129&amp;ID1=81685010&amp;VALUEID=02001&amp;SDATE=200503&amp;PERIODTYPE=QTR_STD&amp;SCFT=3&amp;window=popup_no_bar&amp;width=385&amp;height=120&amp;START_MAXIMIZED=FALSE&amp;creator=factset&amp;display_string=Audit"}</definedName>
    <definedName name="_2469__FDSAUDITLINK__" hidden="1">{"fdsup://Directions/FactSet Auditing Viewer?action=AUDIT_VALUE&amp;DB=129&amp;ID1=81685010&amp;VALUEID=02001&amp;SDATE=200503&amp;PERIODTYPE=QTR_STD&amp;SCFT=3&amp;window=popup_no_bar&amp;width=385&amp;height=120&amp;START_MAXIMIZED=FALSE&amp;creator=factset&amp;display_string=Audit"}</definedName>
    <definedName name="_247__FDSAUDITLINK__" localSheetId="7" hidden="1">{"fdsup://Directions/FactSet Auditing Viewer?action=AUDIT_VALUE&amp;DB=129&amp;ID1=45811810&amp;VALUEID=02001&amp;SDATE=201003&amp;PERIODTYPE=QTR_STD&amp;SCFT=3&amp;window=popup_no_bar&amp;width=385&amp;height=120&amp;START_MAXIMIZED=FALSE&amp;creator=factset&amp;display_string=Audit"}</definedName>
    <definedName name="_247__FDSAUDITLINK__" hidden="1">{"fdsup://Directions/FactSet Auditing Viewer?action=AUDIT_VALUE&amp;DB=129&amp;ID1=45811810&amp;VALUEID=02001&amp;SDATE=201003&amp;PERIODTYPE=QTR_STD&amp;SCFT=3&amp;window=popup_no_bar&amp;width=385&amp;height=120&amp;START_MAXIMIZED=FALSE&amp;creator=factset&amp;display_string=Audit"}</definedName>
    <definedName name="_2470__FDSAUDITLINK__" localSheetId="7" hidden="1">{"fdsup://Directions/FactSet Auditing Viewer?action=AUDIT_VALUE&amp;DB=129&amp;ID1=81685010&amp;VALUEID=02001&amp;SDATE=200503&amp;PERIODTYPE=QTR_STD&amp;SCFT=3&amp;window=popup_no_bar&amp;width=385&amp;height=120&amp;START_MAXIMIZED=FALSE&amp;creator=factset&amp;display_string=Audit"}</definedName>
    <definedName name="_2470__FDSAUDITLINK__" hidden="1">{"fdsup://Directions/FactSet Auditing Viewer?action=AUDIT_VALUE&amp;DB=129&amp;ID1=81685010&amp;VALUEID=02001&amp;SDATE=200503&amp;PERIODTYPE=QTR_STD&amp;SCFT=3&amp;window=popup_no_bar&amp;width=385&amp;height=120&amp;START_MAXIMIZED=FALSE&amp;creator=factset&amp;display_string=Audit"}</definedName>
    <definedName name="_2471__FDSAUDITLINK__" localSheetId="7" hidden="1">{"fdsup://Directions/FactSet Auditing Viewer?action=AUDIT_VALUE&amp;DB=129&amp;ID1=82691910&amp;VALUEID=02001&amp;SDATE=200503&amp;PERIODTYPE=QTR_STD&amp;SCFT=3&amp;window=popup_no_bar&amp;width=385&amp;height=120&amp;START_MAXIMIZED=FALSE&amp;creator=factset&amp;display_string=Audit"}</definedName>
    <definedName name="_2471__FDSAUDITLINK__" hidden="1">{"fdsup://Directions/FactSet Auditing Viewer?action=AUDIT_VALUE&amp;DB=129&amp;ID1=82691910&amp;VALUEID=02001&amp;SDATE=200503&amp;PERIODTYPE=QTR_STD&amp;SCFT=3&amp;window=popup_no_bar&amp;width=385&amp;height=120&amp;START_MAXIMIZED=FALSE&amp;creator=factset&amp;display_string=Audit"}</definedName>
    <definedName name="_2472__FDSAUDITLINK__" localSheetId="7" hidden="1">{"fdsup://Directions/FactSet Auditing Viewer?action=AUDIT_VALUE&amp;DB=129&amp;ID1=82691910&amp;VALUEID=02001&amp;SDATE=200503&amp;PERIODTYPE=QTR_STD&amp;SCFT=3&amp;window=popup_no_bar&amp;width=385&amp;height=120&amp;START_MAXIMIZED=FALSE&amp;creator=factset&amp;display_string=Audit"}</definedName>
    <definedName name="_2472__FDSAUDITLINK__" hidden="1">{"fdsup://Directions/FactSet Auditing Viewer?action=AUDIT_VALUE&amp;DB=129&amp;ID1=82691910&amp;VALUEID=02001&amp;SDATE=200503&amp;PERIODTYPE=QTR_STD&amp;SCFT=3&amp;window=popup_no_bar&amp;width=385&amp;height=120&amp;START_MAXIMIZED=FALSE&amp;creator=factset&amp;display_string=Audit"}</definedName>
    <definedName name="_2473__FDSAUDITLINK__" localSheetId="7" hidden="1">{"fdsup://Directions/FactSet Auditing Viewer?action=AUDIT_VALUE&amp;DB=129&amp;ID1=82705T10&amp;VALUEID=02001&amp;SDATE=200503&amp;PERIODTYPE=QTR_STD&amp;SCFT=3&amp;window=popup_no_bar&amp;width=385&amp;height=120&amp;START_MAXIMIZED=FALSE&amp;creator=factset&amp;display_string=Audit"}</definedName>
    <definedName name="_2473__FDSAUDITLINK__" hidden="1">{"fdsup://Directions/FactSet Auditing Viewer?action=AUDIT_VALUE&amp;DB=129&amp;ID1=82705T10&amp;VALUEID=02001&amp;SDATE=200503&amp;PERIODTYPE=QTR_STD&amp;SCFT=3&amp;window=popup_no_bar&amp;width=385&amp;height=120&amp;START_MAXIMIZED=FALSE&amp;creator=factset&amp;display_string=Audit"}</definedName>
    <definedName name="_2474__FDSAUDITLINK__" localSheetId="7" hidden="1">{"fdsup://Directions/FactSet Auditing Viewer?action=AUDIT_VALUE&amp;DB=129&amp;ID1=82705T10&amp;VALUEID=02001&amp;SDATE=200503&amp;PERIODTYPE=QTR_STD&amp;SCFT=3&amp;window=popup_no_bar&amp;width=385&amp;height=120&amp;START_MAXIMIZED=FALSE&amp;creator=factset&amp;display_string=Audit"}</definedName>
    <definedName name="_2474__FDSAUDITLINK__" hidden="1">{"fdsup://Directions/FactSet Auditing Viewer?action=AUDIT_VALUE&amp;DB=129&amp;ID1=82705T10&amp;VALUEID=02001&amp;SDATE=200503&amp;PERIODTYPE=QTR_STD&amp;SCFT=3&amp;window=popup_no_bar&amp;width=385&amp;height=120&amp;START_MAXIMIZED=FALSE&amp;creator=factset&amp;display_string=Audit"}</definedName>
    <definedName name="_2475__FDSAUDITLINK__" localSheetId="7" hidden="1">{"fdsup://Directions/FactSet Auditing Viewer?action=AUDIT_VALUE&amp;DB=129&amp;ID1=75091710&amp;VALUEID=02001&amp;SDATE=200503&amp;PERIODTYPE=QTR_STD&amp;SCFT=3&amp;window=popup_no_bar&amp;width=385&amp;height=120&amp;START_MAXIMIZED=FALSE&amp;creator=factset&amp;display_string=Audit"}</definedName>
    <definedName name="_2475__FDSAUDITLINK__" hidden="1">{"fdsup://Directions/FactSet Auditing Viewer?action=AUDIT_VALUE&amp;DB=129&amp;ID1=75091710&amp;VALUEID=02001&amp;SDATE=200503&amp;PERIODTYPE=QTR_STD&amp;SCFT=3&amp;window=popup_no_bar&amp;width=385&amp;height=120&amp;START_MAXIMIZED=FALSE&amp;creator=factset&amp;display_string=Audit"}</definedName>
    <definedName name="_2476__FDSAUDITLINK__" localSheetId="7" hidden="1">{"fdsup://Directions/FactSet Auditing Viewer?action=AUDIT_VALUE&amp;DB=129&amp;ID1=75091710&amp;VALUEID=02001&amp;SDATE=200503&amp;PERIODTYPE=QTR_STD&amp;SCFT=3&amp;window=popup_no_bar&amp;width=385&amp;height=120&amp;START_MAXIMIZED=FALSE&amp;creator=factset&amp;display_string=Audit"}</definedName>
    <definedName name="_2476__FDSAUDITLINK__" hidden="1">{"fdsup://Directions/FactSet Auditing Viewer?action=AUDIT_VALUE&amp;DB=129&amp;ID1=75091710&amp;VALUEID=02001&amp;SDATE=200503&amp;PERIODTYPE=QTR_STD&amp;SCFT=3&amp;window=popup_no_bar&amp;width=385&amp;height=120&amp;START_MAXIMIZED=FALSE&amp;creator=factset&amp;display_string=Audit"}</definedName>
    <definedName name="_2477__FDSAUDITLINK__" localSheetId="7" hidden="1">{"fdsup://Directions/FactSet Auditing Viewer?action=AUDIT_VALUE&amp;DB=129&amp;ID1=74994110&amp;VALUEID=02001&amp;SDATE=200502&amp;PERIODTYPE=QTR_STD&amp;SCFT=3&amp;window=popup_no_bar&amp;width=385&amp;height=120&amp;START_MAXIMIZED=FALSE&amp;creator=factset&amp;display_string=Audit"}</definedName>
    <definedName name="_2477__FDSAUDITLINK__" hidden="1">{"fdsup://Directions/FactSet Auditing Viewer?action=AUDIT_VALUE&amp;DB=129&amp;ID1=74994110&amp;VALUEID=02001&amp;SDATE=200502&amp;PERIODTYPE=QTR_STD&amp;SCFT=3&amp;window=popup_no_bar&amp;width=385&amp;height=120&amp;START_MAXIMIZED=FALSE&amp;creator=factset&amp;display_string=Audit"}</definedName>
    <definedName name="_2478__FDSAUDITLINK__" localSheetId="7" hidden="1">{"fdsup://Directions/FactSet Auditing Viewer?action=AUDIT_VALUE&amp;DB=129&amp;ID1=74994110&amp;VALUEID=02001&amp;SDATE=200502&amp;PERIODTYPE=QTR_STD&amp;SCFT=3&amp;window=popup_no_bar&amp;width=385&amp;height=120&amp;START_MAXIMIZED=FALSE&amp;creator=factset&amp;display_string=Audit"}</definedName>
    <definedName name="_2478__FDSAUDITLINK__" hidden="1">{"fdsup://Directions/FactSet Auditing Viewer?action=AUDIT_VALUE&amp;DB=129&amp;ID1=74994110&amp;VALUEID=02001&amp;SDATE=200502&amp;PERIODTYPE=QTR_STD&amp;SCFT=3&amp;window=popup_no_bar&amp;width=385&amp;height=120&amp;START_MAXIMIZED=FALSE&amp;creator=factset&amp;display_string=Audit"}</definedName>
    <definedName name="_2479__FDSAUDITLINK__" localSheetId="7" hidden="1">{"fdsup://Directions/FactSet Auditing Viewer?action=AUDIT_VALUE&amp;DB=129&amp;ID1=74727710&amp;VALUEID=02001&amp;SDATE=200502&amp;PERIODTYPE=QTR_STD&amp;SCFT=3&amp;window=popup_no_bar&amp;width=385&amp;height=120&amp;START_MAXIMIZED=FALSE&amp;creator=factset&amp;display_string=Audit"}</definedName>
    <definedName name="_2479__FDSAUDITLINK__" hidden="1">{"fdsup://Directions/FactSet Auditing Viewer?action=AUDIT_VALUE&amp;DB=129&amp;ID1=74727710&amp;VALUEID=02001&amp;SDATE=200502&amp;PERIODTYPE=QTR_STD&amp;SCFT=3&amp;window=popup_no_bar&amp;width=385&amp;height=120&amp;START_MAXIMIZED=FALSE&amp;creator=factset&amp;display_string=Audit"}</definedName>
    <definedName name="_248__FDSAUDITLINK__" localSheetId="7" hidden="1">{"fdsup://Directions/FactSet Auditing Viewer?action=AUDIT_VALUE&amp;DB=129&amp;ID1=45811810&amp;VALUEID=02001&amp;SDATE=201003&amp;PERIODTYPE=QTR_STD&amp;SCFT=3&amp;window=popup_no_bar&amp;width=385&amp;height=120&amp;START_MAXIMIZED=FALSE&amp;creator=factset&amp;display_string=Audit"}</definedName>
    <definedName name="_248__FDSAUDITLINK__" hidden="1">{"fdsup://Directions/FactSet Auditing Viewer?action=AUDIT_VALUE&amp;DB=129&amp;ID1=45811810&amp;VALUEID=02001&amp;SDATE=201003&amp;PERIODTYPE=QTR_STD&amp;SCFT=3&amp;window=popup_no_bar&amp;width=385&amp;height=120&amp;START_MAXIMIZED=FALSE&amp;creator=factset&amp;display_string=Audit"}</definedName>
    <definedName name="_2480__FDSAUDITLINK__" localSheetId="7" hidden="1">{"fdsup://Directions/FactSet Auditing Viewer?action=AUDIT_VALUE&amp;DB=129&amp;ID1=74727710&amp;VALUEID=02001&amp;SDATE=200502&amp;PERIODTYPE=QTR_STD&amp;SCFT=3&amp;window=popup_no_bar&amp;width=385&amp;height=120&amp;START_MAXIMIZED=FALSE&amp;creator=factset&amp;display_string=Audit"}</definedName>
    <definedName name="_2480__FDSAUDITLINK__" hidden="1">{"fdsup://Directions/FactSet Auditing Viewer?action=AUDIT_VALUE&amp;DB=129&amp;ID1=74727710&amp;VALUEID=02001&amp;SDATE=200502&amp;PERIODTYPE=QTR_STD&amp;SCFT=3&amp;window=popup_no_bar&amp;width=385&amp;height=120&amp;START_MAXIMIZED=FALSE&amp;creator=factset&amp;display_string=Audit"}</definedName>
    <definedName name="_2481__FDSAUDITLINK__" localSheetId="7" hidden="1">{"fdsup://Directions/FactSet Auditing Viewer?action=AUDIT_VALUE&amp;DB=129&amp;ID1=72581M30&amp;VALUEID=02001&amp;SDATE=200503&amp;PERIODTYPE=QTR_STD&amp;SCFT=3&amp;window=popup_no_bar&amp;width=385&amp;height=120&amp;START_MAXIMIZED=FALSE&amp;creator=factset&amp;display_string=Audit"}</definedName>
    <definedName name="_2481__FDSAUDITLINK__" hidden="1">{"fdsup://Directions/FactSet Auditing Viewer?action=AUDIT_VALUE&amp;DB=129&amp;ID1=72581M30&amp;VALUEID=02001&amp;SDATE=200503&amp;PERIODTYPE=QTR_STD&amp;SCFT=3&amp;window=popup_no_bar&amp;width=385&amp;height=120&amp;START_MAXIMIZED=FALSE&amp;creator=factset&amp;display_string=Audit"}</definedName>
    <definedName name="_2482__FDSAUDITLINK__" localSheetId="7" hidden="1">{"fdsup://Directions/FactSet Auditing Viewer?action=AUDIT_VALUE&amp;DB=129&amp;ID1=72581M30&amp;VALUEID=02001&amp;SDATE=200503&amp;PERIODTYPE=QTR_STD&amp;SCFT=3&amp;window=popup_no_bar&amp;width=385&amp;height=120&amp;START_MAXIMIZED=FALSE&amp;creator=factset&amp;display_string=Audit"}</definedName>
    <definedName name="_2482__FDSAUDITLINK__" hidden="1">{"fdsup://Directions/FactSet Auditing Viewer?action=AUDIT_VALUE&amp;DB=129&amp;ID1=72581M30&amp;VALUEID=02001&amp;SDATE=200503&amp;PERIODTYPE=QTR_STD&amp;SCFT=3&amp;window=popup_no_bar&amp;width=385&amp;height=120&amp;START_MAXIMIZED=FALSE&amp;creator=factset&amp;display_string=Audit"}</definedName>
    <definedName name="_2483__FDSAUDITLINK__" localSheetId="7" hidden="1">{"fdsup://Directions/FactSet Auditing Viewer?action=AUDIT_VALUE&amp;DB=129&amp;ID1=73927610&amp;VALUEID=02001&amp;SDATE=200503&amp;PERIODTYPE=QTR_STD&amp;SCFT=3&amp;window=popup_no_bar&amp;width=385&amp;height=120&amp;START_MAXIMIZED=FALSE&amp;creator=factset&amp;display_string=Audit"}</definedName>
    <definedName name="_2483__FDSAUDITLINK__" hidden="1">{"fdsup://Directions/FactSet Auditing Viewer?action=AUDIT_VALUE&amp;DB=129&amp;ID1=73927610&amp;VALUEID=02001&amp;SDATE=200503&amp;PERIODTYPE=QTR_STD&amp;SCFT=3&amp;window=popup_no_bar&amp;width=385&amp;height=120&amp;START_MAXIMIZED=FALSE&amp;creator=factset&amp;display_string=Audit"}</definedName>
    <definedName name="_2484__FDSAUDITLINK__" localSheetId="7" hidden="1">{"fdsup://Directions/FactSet Auditing Viewer?action=AUDIT_VALUE&amp;DB=129&amp;ID1=73927610&amp;VALUEID=02001&amp;SDATE=200503&amp;PERIODTYPE=QTR_STD&amp;SCFT=3&amp;window=popup_no_bar&amp;width=385&amp;height=120&amp;START_MAXIMIZED=FALSE&amp;creator=factset&amp;display_string=Audit"}</definedName>
    <definedName name="_2484__FDSAUDITLINK__" hidden="1">{"fdsup://Directions/FactSet Auditing Viewer?action=AUDIT_VALUE&amp;DB=129&amp;ID1=73927610&amp;VALUEID=02001&amp;SDATE=200503&amp;PERIODTYPE=QTR_STD&amp;SCFT=3&amp;window=popup_no_bar&amp;width=385&amp;height=120&amp;START_MAXIMIZED=FALSE&amp;creator=factset&amp;display_string=Audit"}</definedName>
    <definedName name="_2485__FDSAUDITLINK__" localSheetId="7" hidden="1">{"fdsup://Directions/FactSet Auditing Viewer?action=AUDIT_VALUE&amp;DB=129&amp;ID1=69344F10&amp;VALUEID=02001&amp;SDATE=200503&amp;PERIODTYPE=QTR_STD&amp;SCFT=3&amp;window=popup_no_bar&amp;width=385&amp;height=120&amp;START_MAXIMIZED=FALSE&amp;creator=factset&amp;display_string=Audit"}</definedName>
    <definedName name="_2485__FDSAUDITLINK__" hidden="1">{"fdsup://Directions/FactSet Auditing Viewer?action=AUDIT_VALUE&amp;DB=129&amp;ID1=69344F10&amp;VALUEID=02001&amp;SDATE=200503&amp;PERIODTYPE=QTR_STD&amp;SCFT=3&amp;window=popup_no_bar&amp;width=385&amp;height=120&amp;START_MAXIMIZED=FALSE&amp;creator=factset&amp;display_string=Audit"}</definedName>
    <definedName name="_2486__FDSAUDITLINK__" localSheetId="7" hidden="1">{"fdsup://Directions/FactSet Auditing Viewer?action=AUDIT_VALUE&amp;DB=129&amp;ID1=69344F10&amp;VALUEID=02001&amp;SDATE=200503&amp;PERIODTYPE=QTR_STD&amp;SCFT=3&amp;window=popup_no_bar&amp;width=385&amp;height=120&amp;START_MAXIMIZED=FALSE&amp;creator=factset&amp;display_string=Audit"}</definedName>
    <definedName name="_2486__FDSAUDITLINK__" hidden="1">{"fdsup://Directions/FactSet Auditing Viewer?action=AUDIT_VALUE&amp;DB=129&amp;ID1=69344F10&amp;VALUEID=02001&amp;SDATE=200503&amp;PERIODTYPE=QTR_STD&amp;SCFT=3&amp;window=popup_no_bar&amp;width=385&amp;height=120&amp;START_MAXIMIZED=FALSE&amp;creator=factset&amp;display_string=Audit"}</definedName>
    <definedName name="_2487__FDSAUDITLINK__" localSheetId="7" hidden="1">{"fdsup://Directions/FactSet Auditing Viewer?action=AUDIT_VALUE&amp;DB=129&amp;ID1=69341710&amp;VALUEID=02001&amp;SDATE=200503&amp;PERIODTYPE=QTR_STD&amp;SCFT=3&amp;window=popup_no_bar&amp;width=385&amp;height=120&amp;START_MAXIMIZED=FALSE&amp;creator=factset&amp;display_string=Audit"}</definedName>
    <definedName name="_2487__FDSAUDITLINK__" hidden="1">{"fdsup://Directions/FactSet Auditing Viewer?action=AUDIT_VALUE&amp;DB=129&amp;ID1=69341710&amp;VALUEID=02001&amp;SDATE=200503&amp;PERIODTYPE=QTR_STD&amp;SCFT=3&amp;window=popup_no_bar&amp;width=385&amp;height=120&amp;START_MAXIMIZED=FALSE&amp;creator=factset&amp;display_string=Audit"}</definedName>
    <definedName name="_2488__FDSAUDITLINK__" localSheetId="7" hidden="1">{"fdsup://Directions/FactSet Auditing Viewer?action=AUDIT_VALUE&amp;DB=129&amp;ID1=69341710&amp;VALUEID=02001&amp;SDATE=200503&amp;PERIODTYPE=QTR_STD&amp;SCFT=3&amp;window=popup_no_bar&amp;width=385&amp;height=120&amp;START_MAXIMIZED=FALSE&amp;creator=factset&amp;display_string=Audit"}</definedName>
    <definedName name="_2488__FDSAUDITLINK__" hidden="1">{"fdsup://Directions/FactSet Auditing Viewer?action=AUDIT_VALUE&amp;DB=129&amp;ID1=69341710&amp;VALUEID=02001&amp;SDATE=200503&amp;PERIODTYPE=QTR_STD&amp;SCFT=3&amp;window=popup_no_bar&amp;width=385&amp;height=120&amp;START_MAXIMIZED=FALSE&amp;creator=factset&amp;display_string=Audit"}</definedName>
    <definedName name="_2489__FDSAUDITLINK__" localSheetId="7" hidden="1">{"fdsup://Directions/FactSet Auditing Viewer?action=AUDIT_VALUE&amp;DB=129&amp;ID1=68218910&amp;VALUEID=02001&amp;SDATE=200503&amp;PERIODTYPE=QTR_STD&amp;SCFT=3&amp;window=popup_no_bar&amp;width=385&amp;height=120&amp;START_MAXIMIZED=FALSE&amp;creator=factset&amp;display_string=Audit"}</definedName>
    <definedName name="_2489__FDSAUDITLINK__" hidden="1">{"fdsup://Directions/FactSet Auditing Viewer?action=AUDIT_VALUE&amp;DB=129&amp;ID1=68218910&amp;VALUEID=02001&amp;SDATE=200503&amp;PERIODTYPE=QTR_STD&amp;SCFT=3&amp;window=popup_no_bar&amp;width=385&amp;height=120&amp;START_MAXIMIZED=FALSE&amp;creator=factset&amp;display_string=Audit"}</definedName>
    <definedName name="_249__FDSAUDITLINK__" localSheetId="7" hidden="1">{"fdsup://Directions/FactSet Auditing Viewer?action=AUDIT_VALUE&amp;DB=129&amp;ID1=42823610&amp;VALUEID=02001&amp;SDATE=201101&amp;PERIODTYPE=QTR_STD&amp;SCFT=3&amp;window=popup_no_bar&amp;width=385&amp;height=120&amp;START_MAXIMIZED=FALSE&amp;creator=factset&amp;display_string=Audit"}</definedName>
    <definedName name="_249__FDSAUDITLINK__" hidden="1">{"fdsup://Directions/FactSet Auditing Viewer?action=AUDIT_VALUE&amp;DB=129&amp;ID1=42823610&amp;VALUEID=02001&amp;SDATE=201101&amp;PERIODTYPE=QTR_STD&amp;SCFT=3&amp;window=popup_no_bar&amp;width=385&amp;height=120&amp;START_MAXIMIZED=FALSE&amp;creator=factset&amp;display_string=Audit"}</definedName>
    <definedName name="_2490__FDSAUDITLINK__" localSheetId="7" hidden="1">{"fdsup://Directions/FactSet Auditing Viewer?action=AUDIT_VALUE&amp;DB=129&amp;ID1=68218910&amp;VALUEID=02001&amp;SDATE=200503&amp;PERIODTYPE=QTR_STD&amp;SCFT=3&amp;window=popup_no_bar&amp;width=385&amp;height=120&amp;START_MAXIMIZED=FALSE&amp;creator=factset&amp;display_string=Audit"}</definedName>
    <definedName name="_2490__FDSAUDITLINK__" hidden="1">{"fdsup://Directions/FactSet Auditing Viewer?action=AUDIT_VALUE&amp;DB=129&amp;ID1=68218910&amp;VALUEID=02001&amp;SDATE=200503&amp;PERIODTYPE=QTR_STD&amp;SCFT=3&amp;window=popup_no_bar&amp;width=385&amp;height=120&amp;START_MAXIMIZED=FALSE&amp;creator=factset&amp;display_string=Audit"}</definedName>
    <definedName name="_2491__FDSAUDITLINK__" localSheetId="7" hidden="1">{"fdsup://Directions/FactSet Auditing Viewer?action=AUDIT_VALUE&amp;DB=129&amp;ID1=67000810&amp;VALUEID=02001&amp;SDATE=200503&amp;PERIODTYPE=QTR_STD&amp;SCFT=3&amp;window=popup_no_bar&amp;width=385&amp;height=120&amp;START_MAXIMIZED=FALSE&amp;creator=factset&amp;display_string=Audit"}</definedName>
    <definedName name="_2491__FDSAUDITLINK__" hidden="1">{"fdsup://Directions/FactSet Auditing Viewer?action=AUDIT_VALUE&amp;DB=129&amp;ID1=67000810&amp;VALUEID=02001&amp;SDATE=200503&amp;PERIODTYPE=QTR_STD&amp;SCFT=3&amp;window=popup_no_bar&amp;width=385&amp;height=120&amp;START_MAXIMIZED=FALSE&amp;creator=factset&amp;display_string=Audit"}</definedName>
    <definedName name="_2492__FDSAUDITLINK__" localSheetId="7" hidden="1">{"fdsup://Directions/FactSet Auditing Viewer?action=AUDIT_VALUE&amp;DB=129&amp;ID1=67000810&amp;VALUEID=02001&amp;SDATE=200503&amp;PERIODTYPE=QTR_STD&amp;SCFT=3&amp;window=popup_no_bar&amp;width=385&amp;height=120&amp;START_MAXIMIZED=FALSE&amp;creator=factset&amp;display_string=Audit"}</definedName>
    <definedName name="_2492__FDSAUDITLINK__" hidden="1">{"fdsup://Directions/FactSet Auditing Viewer?action=AUDIT_VALUE&amp;DB=129&amp;ID1=67000810&amp;VALUEID=02001&amp;SDATE=200503&amp;PERIODTYPE=QTR_STD&amp;SCFT=3&amp;window=popup_no_bar&amp;width=385&amp;height=120&amp;START_MAXIMIZED=FALSE&amp;creator=factset&amp;display_string=Audit"}</definedName>
    <definedName name="_2493__FDSAUDITLINK__" localSheetId="7" hidden="1">{"fdsup://Directions/FactSet Auditing Viewer?action=AUDIT_VALUE&amp;DB=129&amp;ID1=67066G10&amp;VALUEID=02001&amp;SDATE=200503&amp;PERIODTYPE=QTR_STD&amp;SCFT=3&amp;window=popup_no_bar&amp;width=385&amp;height=120&amp;START_MAXIMIZED=FALSE&amp;creator=factset&amp;display_string=Audit"}</definedName>
    <definedName name="_2493__FDSAUDITLINK__" hidden="1">{"fdsup://Directions/FactSet Auditing Viewer?action=AUDIT_VALUE&amp;DB=129&amp;ID1=67066G10&amp;VALUEID=02001&amp;SDATE=200503&amp;PERIODTYPE=QTR_STD&amp;SCFT=3&amp;window=popup_no_bar&amp;width=385&amp;height=120&amp;START_MAXIMIZED=FALSE&amp;creator=factset&amp;display_string=Audit"}</definedName>
    <definedName name="_2494__FDSAUDITLINK__" localSheetId="7" hidden="1">{"fdsup://Directions/FactSet Auditing Viewer?action=AUDIT_VALUE&amp;DB=129&amp;ID1=67066G10&amp;VALUEID=02001&amp;SDATE=200503&amp;PERIODTYPE=QTR_STD&amp;SCFT=3&amp;window=popup_no_bar&amp;width=385&amp;height=120&amp;START_MAXIMIZED=FALSE&amp;creator=factset&amp;display_string=Audit"}</definedName>
    <definedName name="_2494__FDSAUDITLINK__" hidden="1">{"fdsup://Directions/FactSet Auditing Viewer?action=AUDIT_VALUE&amp;DB=129&amp;ID1=67066G10&amp;VALUEID=02001&amp;SDATE=200503&amp;PERIODTYPE=QTR_STD&amp;SCFT=3&amp;window=popup_no_bar&amp;width=385&amp;height=120&amp;START_MAXIMIZED=FALSE&amp;creator=factset&amp;display_string=Audit"}</definedName>
    <definedName name="_2495__FDSAUDITLINK__" localSheetId="7" hidden="1">{"fdsup://Directions/FactSet Auditing Viewer?action=AUDIT_VALUE&amp;DB=129&amp;ID1=63764010&amp;VALUEID=02001&amp;SDATE=200501&amp;PERIODTYPE=QTR_STD&amp;SCFT=3&amp;window=popup_no_bar&amp;width=385&amp;height=120&amp;START_MAXIMIZED=FALSE&amp;creator=factset&amp;display_string=Audit"}</definedName>
    <definedName name="_2495__FDSAUDITLINK__" hidden="1">{"fdsup://Directions/FactSet Auditing Viewer?action=AUDIT_VALUE&amp;DB=129&amp;ID1=63764010&amp;VALUEID=02001&amp;SDATE=200501&amp;PERIODTYPE=QTR_STD&amp;SCFT=3&amp;window=popup_no_bar&amp;width=385&amp;height=120&amp;START_MAXIMIZED=FALSE&amp;creator=factset&amp;display_string=Audit"}</definedName>
    <definedName name="_2496__FDSAUDITLINK__" localSheetId="7" hidden="1">{"fdsup://Directions/FactSet Auditing Viewer?action=AUDIT_VALUE&amp;DB=129&amp;ID1=63764010&amp;VALUEID=02001&amp;SDATE=200501&amp;PERIODTYPE=QTR_STD&amp;SCFT=3&amp;window=popup_no_bar&amp;width=385&amp;height=120&amp;START_MAXIMIZED=FALSE&amp;creator=factset&amp;display_string=Audit"}</definedName>
    <definedName name="_2496__FDSAUDITLINK__" hidden="1">{"fdsup://Directions/FactSet Auditing Viewer?action=AUDIT_VALUE&amp;DB=129&amp;ID1=63764010&amp;VALUEID=02001&amp;SDATE=200501&amp;PERIODTYPE=QTR_STD&amp;SCFT=3&amp;window=popup_no_bar&amp;width=385&amp;height=120&amp;START_MAXIMIZED=FALSE&amp;creator=factset&amp;display_string=Audit"}</definedName>
    <definedName name="_2497__FDSAUDITLINK__" localSheetId="7" hidden="1">{"fdsup://Directions/FactSet Auditing Viewer?action=AUDIT_VALUE&amp;DB=129&amp;ID1=64118B10&amp;VALUEID=02001&amp;SDATE=200503&amp;PERIODTYPE=QTR_STD&amp;SCFT=3&amp;window=popup_no_bar&amp;width=385&amp;height=120&amp;START_MAXIMIZED=FALSE&amp;creator=factset&amp;display_string=Audit"}</definedName>
    <definedName name="_2497__FDSAUDITLINK__" hidden="1">{"fdsup://Directions/FactSet Auditing Viewer?action=AUDIT_VALUE&amp;DB=129&amp;ID1=64118B10&amp;VALUEID=02001&amp;SDATE=200503&amp;PERIODTYPE=QTR_STD&amp;SCFT=3&amp;window=popup_no_bar&amp;width=385&amp;height=120&amp;START_MAXIMIZED=FALSE&amp;creator=factset&amp;display_string=Audit"}</definedName>
    <definedName name="_2498__FDSAUDITLINK__" localSheetId="7" hidden="1">{"fdsup://Directions/FactSet Auditing Viewer?action=AUDIT_VALUE&amp;DB=129&amp;ID1=64118B10&amp;VALUEID=02001&amp;SDATE=200503&amp;PERIODTYPE=QTR_STD&amp;SCFT=3&amp;window=popup_no_bar&amp;width=385&amp;height=120&amp;START_MAXIMIZED=FALSE&amp;creator=factset&amp;display_string=Audit"}</definedName>
    <definedName name="_2498__FDSAUDITLINK__" hidden="1">{"fdsup://Directions/FactSet Auditing Viewer?action=AUDIT_VALUE&amp;DB=129&amp;ID1=64118B10&amp;VALUEID=02001&amp;SDATE=200503&amp;PERIODTYPE=QTR_STD&amp;SCFT=3&amp;window=popup_no_bar&amp;width=385&amp;height=120&amp;START_MAXIMIZED=FALSE&amp;creator=factset&amp;display_string=Audit"}</definedName>
    <definedName name="_2499__FDSAUDITLINK__" localSheetId="7" hidden="1">{"fdsup://Directions/FactSet Auditing Viewer?action=AUDIT_VALUE&amp;DB=129&amp;ID1=57772K10&amp;VALUEID=02001&amp;SDATE=200601&amp;PERIODTYPE=QTR_STD&amp;SCFT=3&amp;window=popup_no_bar&amp;width=385&amp;height=120&amp;START_MAXIMIZED=FALSE&amp;creator=factset&amp;display_string=Audit"}</definedName>
    <definedName name="_2499__FDSAUDITLINK__" hidden="1">{"fdsup://Directions/FactSet Auditing Viewer?action=AUDIT_VALUE&amp;DB=129&amp;ID1=57772K10&amp;VALUEID=02001&amp;SDATE=200601&amp;PERIODTYPE=QTR_STD&amp;SCFT=3&amp;window=popup_no_bar&amp;width=385&amp;height=120&amp;START_MAXIMIZED=FALSE&amp;creator=factset&amp;display_string=Audit"}</definedName>
    <definedName name="_25__FDSAUDITLINK__" localSheetId="7" hidden="1">{"fdsup://Directions/FactSet Auditing Viewer?action=AUDIT_VALUE&amp;DB=129&amp;ID1=87160710&amp;VALUEID=02001&amp;SDATE=201102&amp;PERIODTYPE=QTR_STD&amp;SCFT=3&amp;window=popup_no_bar&amp;width=385&amp;height=120&amp;START_MAXIMIZED=FALSE&amp;creator=factset&amp;display_string=Audit"}</definedName>
    <definedName name="_25__FDSAUDITLINK__" hidden="1">{"fdsup://Directions/FactSet Auditing Viewer?action=AUDIT_VALUE&amp;DB=129&amp;ID1=87160710&amp;VALUEID=02001&amp;SDATE=201102&amp;PERIODTYPE=QTR_STD&amp;SCFT=3&amp;window=popup_no_bar&amp;width=385&amp;height=120&amp;START_MAXIMIZED=FALSE&amp;creator=factset&amp;display_string=Audit"}</definedName>
    <definedName name="_250__FDSAUDITLINK__" localSheetId="7" hidden="1">{"fdsup://Directions/FactSet Auditing Viewer?action=AUDIT_VALUE&amp;DB=129&amp;ID1=42823610&amp;VALUEID=02001&amp;SDATE=201101&amp;PERIODTYPE=QTR_STD&amp;SCFT=3&amp;window=popup_no_bar&amp;width=385&amp;height=120&amp;START_MAXIMIZED=FALSE&amp;creator=factset&amp;display_string=Audit"}</definedName>
    <definedName name="_250__FDSAUDITLINK__" hidden="1">{"fdsup://Directions/FactSet Auditing Viewer?action=AUDIT_VALUE&amp;DB=129&amp;ID1=42823610&amp;VALUEID=02001&amp;SDATE=201101&amp;PERIODTYPE=QTR_STD&amp;SCFT=3&amp;window=popup_no_bar&amp;width=385&amp;height=120&amp;START_MAXIMIZED=FALSE&amp;creator=factset&amp;display_string=Audit"}</definedName>
    <definedName name="_2500__FDSAUDITLINK__" localSheetId="7" hidden="1">{"fdsup://Directions/FactSet Auditing Viewer?action=AUDIT_VALUE&amp;DB=129&amp;ID1=57772K10&amp;VALUEID=02001&amp;SDATE=200601&amp;PERIODTYPE=QTR_STD&amp;SCFT=3&amp;window=popup_no_bar&amp;width=385&amp;height=120&amp;START_MAXIMIZED=FALSE&amp;creator=factset&amp;display_string=Audit"}</definedName>
    <definedName name="_2500__FDSAUDITLINK__" hidden="1">{"fdsup://Directions/FactSet Auditing Viewer?action=AUDIT_VALUE&amp;DB=129&amp;ID1=57772K10&amp;VALUEID=02001&amp;SDATE=200601&amp;PERIODTYPE=QTR_STD&amp;SCFT=3&amp;window=popup_no_bar&amp;width=385&amp;height=120&amp;START_MAXIMIZED=FALSE&amp;creator=factset&amp;display_string=Audit"}</definedName>
    <definedName name="_2501__FDSAUDITLINK__" localSheetId="7" hidden="1">{"fdsup://Directions/FactSet Auditing Viewer?action=AUDIT_VALUE&amp;DB=129&amp;ID1=G5876H10&amp;VALUEID=02001&amp;SDATE=200503&amp;PERIODTYPE=QTR_STD&amp;SCFT=3&amp;window=popup_no_bar&amp;width=385&amp;height=120&amp;START_MAXIMIZED=FALSE&amp;creator=factset&amp;display_string=Audit"}</definedName>
    <definedName name="_2501__FDSAUDITLINK__" hidden="1">{"fdsup://Directions/FactSet Auditing Viewer?action=AUDIT_VALUE&amp;DB=129&amp;ID1=G5876H10&amp;VALUEID=02001&amp;SDATE=200503&amp;PERIODTYPE=QTR_STD&amp;SCFT=3&amp;window=popup_no_bar&amp;width=385&amp;height=120&amp;START_MAXIMIZED=FALSE&amp;creator=factset&amp;display_string=Audit"}</definedName>
    <definedName name="_2502__FDSAUDITLINK__" localSheetId="7" hidden="1">{"fdsup://Directions/FactSet Auditing Viewer?action=AUDIT_VALUE&amp;DB=129&amp;ID1=G5876H10&amp;VALUEID=02001&amp;SDATE=200503&amp;PERIODTYPE=QTR_STD&amp;SCFT=3&amp;window=popup_no_bar&amp;width=385&amp;height=120&amp;START_MAXIMIZED=FALSE&amp;creator=factset&amp;display_string=Audit"}</definedName>
    <definedName name="_2502__FDSAUDITLINK__" hidden="1">{"fdsup://Directions/FactSet Auditing Viewer?action=AUDIT_VALUE&amp;DB=129&amp;ID1=G5876H10&amp;VALUEID=02001&amp;SDATE=200503&amp;PERIODTYPE=QTR_STD&amp;SCFT=3&amp;window=popup_no_bar&amp;width=385&amp;height=120&amp;START_MAXIMIZED=FALSE&amp;creator=factset&amp;display_string=Audit"}</definedName>
    <definedName name="_2503__FDSAUDITLINK__" localSheetId="7" hidden="1">{"fdsup://Directions/FactSet Auditing Viewer?action=AUDIT_VALUE&amp;DB=129&amp;ID1=62007630&amp;VALUEID=02001&amp;SDATE=200503&amp;PERIODTYPE=QTR_STD&amp;SCFT=3&amp;window=popup_no_bar&amp;width=385&amp;height=120&amp;START_MAXIMIZED=FALSE&amp;creator=factset&amp;display_string=Audit"}</definedName>
    <definedName name="_2503__FDSAUDITLINK__" hidden="1">{"fdsup://Directions/FactSet Auditing Viewer?action=AUDIT_VALUE&amp;DB=129&amp;ID1=62007630&amp;VALUEID=02001&amp;SDATE=200503&amp;PERIODTYPE=QTR_STD&amp;SCFT=3&amp;window=popup_no_bar&amp;width=385&amp;height=120&amp;START_MAXIMIZED=FALSE&amp;creator=factset&amp;display_string=Audit"}</definedName>
    <definedName name="_2504__FDSAUDITLINK__" localSheetId="7" hidden="1">{"fdsup://Directions/FactSet Auditing Viewer?action=AUDIT_VALUE&amp;DB=129&amp;ID1=62007630&amp;VALUEID=02001&amp;SDATE=200503&amp;PERIODTYPE=QTR_STD&amp;SCFT=3&amp;window=popup_no_bar&amp;width=385&amp;height=120&amp;START_MAXIMIZED=FALSE&amp;creator=factset&amp;display_string=Audit"}</definedName>
    <definedName name="_2504__FDSAUDITLINK__" hidden="1">{"fdsup://Directions/FactSet Auditing Viewer?action=AUDIT_VALUE&amp;DB=129&amp;ID1=62007630&amp;VALUEID=02001&amp;SDATE=200503&amp;PERIODTYPE=QTR_STD&amp;SCFT=3&amp;window=popup_no_bar&amp;width=385&amp;height=120&amp;START_MAXIMIZED=FALSE&amp;creator=factset&amp;display_string=Audit"}</definedName>
    <definedName name="_2505__FDSAUDITLINK__" localSheetId="7" hidden="1">{"fdsup://Directions/FactSet Auditing Viewer?action=AUDIT_VALUE&amp;DB=129&amp;ID1=60456710&amp;VALUEID=02001&amp;SDATE=200601&amp;PERIODTYPE=QTR_STD&amp;SCFT=3&amp;window=popup_no_bar&amp;width=385&amp;height=120&amp;START_MAXIMIZED=FALSE&amp;creator=factset&amp;display_string=Audit"}</definedName>
    <definedName name="_2505__FDSAUDITLINK__" hidden="1">{"fdsup://Directions/FactSet Auditing Viewer?action=AUDIT_VALUE&amp;DB=129&amp;ID1=60456710&amp;VALUEID=02001&amp;SDATE=200601&amp;PERIODTYPE=QTR_STD&amp;SCFT=3&amp;window=popup_no_bar&amp;width=385&amp;height=120&amp;START_MAXIMIZED=FALSE&amp;creator=factset&amp;display_string=Audit"}</definedName>
    <definedName name="_2506__FDSAUDITLINK__" localSheetId="7" hidden="1">{"fdsup://Directions/FactSet Auditing Viewer?action=AUDIT_VALUE&amp;DB=129&amp;ID1=60456710&amp;VALUEID=02001&amp;SDATE=200601&amp;PERIODTYPE=QTR_STD&amp;SCFT=3&amp;window=popup_no_bar&amp;width=385&amp;height=120&amp;START_MAXIMIZED=FALSE&amp;creator=factset&amp;display_string=Audit"}</definedName>
    <definedName name="_2506__FDSAUDITLINK__" hidden="1">{"fdsup://Directions/FactSet Auditing Viewer?action=AUDIT_VALUE&amp;DB=129&amp;ID1=60456710&amp;VALUEID=02001&amp;SDATE=200601&amp;PERIODTYPE=QTR_STD&amp;SCFT=3&amp;window=popup_no_bar&amp;width=385&amp;height=120&amp;START_MAXIMIZED=FALSE&amp;creator=factset&amp;display_string=Audit"}</definedName>
    <definedName name="_2507__FDSAUDITLINK__" localSheetId="7" hidden="1">{"fdsup://Directions/FactSet Auditing Viewer?action=AUDIT_VALUE&amp;DB=129&amp;ID1=59501710&amp;VALUEID=02001&amp;SDATE=200502&amp;PERIODTYPE=QTR_STD&amp;SCFT=3&amp;window=popup_no_bar&amp;width=385&amp;height=120&amp;START_MAXIMIZED=FALSE&amp;creator=factset&amp;display_string=Audit"}</definedName>
    <definedName name="_2507__FDSAUDITLINK__" hidden="1">{"fdsup://Directions/FactSet Auditing Viewer?action=AUDIT_VALUE&amp;DB=129&amp;ID1=59501710&amp;VALUEID=02001&amp;SDATE=200502&amp;PERIODTYPE=QTR_STD&amp;SCFT=3&amp;window=popup_no_bar&amp;width=385&amp;height=120&amp;START_MAXIMIZED=FALSE&amp;creator=factset&amp;display_string=Audit"}</definedName>
    <definedName name="_2508__FDSAUDITLINK__" localSheetId="7" hidden="1">{"fdsup://Directions/FactSet Auditing Viewer?action=AUDIT_VALUE&amp;DB=129&amp;ID1=59501710&amp;VALUEID=02001&amp;SDATE=200502&amp;PERIODTYPE=QTR_STD&amp;SCFT=3&amp;window=popup_no_bar&amp;width=385&amp;height=120&amp;START_MAXIMIZED=FALSE&amp;creator=factset&amp;display_string=Audit"}</definedName>
    <definedName name="_2508__FDSAUDITLINK__" hidden="1">{"fdsup://Directions/FactSet Auditing Viewer?action=AUDIT_VALUE&amp;DB=129&amp;ID1=59501710&amp;VALUEID=02001&amp;SDATE=200502&amp;PERIODTYPE=QTR_STD&amp;SCFT=3&amp;window=popup_no_bar&amp;width=385&amp;height=120&amp;START_MAXIMIZED=FALSE&amp;creator=factset&amp;display_string=Audit"}</definedName>
    <definedName name="_2509__FDSAUDITLINK__" localSheetId="7" hidden="1">{"fdsup://Directions/FactSet Auditing Viewer?action=AUDIT_VALUE&amp;DB=129&amp;ID1=50216110&amp;VALUEID=02001&amp;SDATE=200503&amp;PERIODTYPE=QTR_STD&amp;SCFT=3&amp;window=popup_no_bar&amp;width=385&amp;height=120&amp;START_MAXIMIZED=FALSE&amp;creator=factset&amp;display_string=Audit"}</definedName>
    <definedName name="_2509__FDSAUDITLINK__" hidden="1">{"fdsup://Directions/FactSet Auditing Viewer?action=AUDIT_VALUE&amp;DB=129&amp;ID1=50216110&amp;VALUEID=02001&amp;SDATE=200503&amp;PERIODTYPE=QTR_STD&amp;SCFT=3&amp;window=popup_no_bar&amp;width=385&amp;height=120&amp;START_MAXIMIZED=FALSE&amp;creator=factset&amp;display_string=Audit"}</definedName>
    <definedName name="_251__FDSAUDITLINK__" localSheetId="7" hidden="1">{"fdsup://Directions/FactSet Auditing Viewer?action=AUDIT_VALUE&amp;DB=129&amp;ID1=H2906T10&amp;VALUEID=02001&amp;SDATE=201004&amp;PERIODTYPE=QTR_STD&amp;SCFT=3&amp;window=popup_no_bar&amp;width=385&amp;height=120&amp;START_MAXIMIZED=FALSE&amp;creator=factset&amp;display_string=Audit"}</definedName>
    <definedName name="_251__FDSAUDITLINK__" hidden="1">{"fdsup://Directions/FactSet Auditing Viewer?action=AUDIT_VALUE&amp;DB=129&amp;ID1=H2906T10&amp;VALUEID=02001&amp;SDATE=201004&amp;PERIODTYPE=QTR_STD&amp;SCFT=3&amp;window=popup_no_bar&amp;width=385&amp;height=120&amp;START_MAXIMIZED=FALSE&amp;creator=factset&amp;display_string=Audit"}</definedName>
    <definedName name="_2510__FDSAUDITLINK__" localSheetId="7" hidden="1">{"fdsup://Directions/FactSet Auditing Viewer?action=AUDIT_VALUE&amp;DB=129&amp;ID1=50216110&amp;VALUEID=02001&amp;SDATE=200503&amp;PERIODTYPE=QTR_STD&amp;SCFT=3&amp;window=popup_no_bar&amp;width=385&amp;height=120&amp;START_MAXIMIZED=FALSE&amp;creator=factset&amp;display_string=Audit"}</definedName>
    <definedName name="_2510__FDSAUDITLINK__" hidden="1">{"fdsup://Directions/FactSet Auditing Viewer?action=AUDIT_VALUE&amp;DB=129&amp;ID1=50216110&amp;VALUEID=02001&amp;SDATE=200503&amp;PERIODTYPE=QTR_STD&amp;SCFT=3&amp;window=popup_no_bar&amp;width=385&amp;height=120&amp;START_MAXIMIZED=FALSE&amp;creator=factset&amp;display_string=Audit"}</definedName>
    <definedName name="_2511__FDSAUDITLINK__" localSheetId="7" hidden="1">{"fdsup://Directions/FactSet Auditing Viewer?action=AUDIT_VALUE&amp;DB=129&amp;ID1=51841510&amp;VALUEID=02001&amp;SDATE=200503&amp;PERIODTYPE=QTR_STD&amp;SCFT=3&amp;window=popup_no_bar&amp;width=385&amp;height=120&amp;START_MAXIMIZED=FALSE&amp;creator=factset&amp;display_string=Audit"}</definedName>
    <definedName name="_2511__FDSAUDITLINK__" hidden="1">{"fdsup://Directions/FactSet Auditing Viewer?action=AUDIT_VALUE&amp;DB=129&amp;ID1=51841510&amp;VALUEID=02001&amp;SDATE=200503&amp;PERIODTYPE=QTR_STD&amp;SCFT=3&amp;window=popup_no_bar&amp;width=385&amp;height=120&amp;START_MAXIMIZED=FALSE&amp;creator=factset&amp;display_string=Audit"}</definedName>
    <definedName name="_2512__FDSAUDITLINK__" localSheetId="7" hidden="1">{"fdsup://Directions/FactSet Auditing Viewer?action=AUDIT_VALUE&amp;DB=129&amp;ID1=51841510&amp;VALUEID=02001&amp;SDATE=200503&amp;PERIODTYPE=QTR_STD&amp;SCFT=3&amp;window=popup_no_bar&amp;width=385&amp;height=120&amp;START_MAXIMIZED=FALSE&amp;creator=factset&amp;display_string=Audit"}</definedName>
    <definedName name="_2512__FDSAUDITLINK__" hidden="1">{"fdsup://Directions/FactSet Auditing Viewer?action=AUDIT_VALUE&amp;DB=129&amp;ID1=51841510&amp;VALUEID=02001&amp;SDATE=200503&amp;PERIODTYPE=QTR_STD&amp;SCFT=3&amp;window=popup_no_bar&amp;width=385&amp;height=120&amp;START_MAXIMIZED=FALSE&amp;creator=factset&amp;display_string=Audit"}</definedName>
    <definedName name="_2513__FDSAUDITLINK__" localSheetId="7" hidden="1">{"fdsup://Directions/FactSet Auditing Viewer?action=AUDIT_VALUE&amp;DB=129&amp;ID1=51280710&amp;VALUEID=02001&amp;SDATE=200601&amp;PERIODTYPE=QTR_STD&amp;SCFT=3&amp;window=popup_no_bar&amp;width=385&amp;height=120&amp;START_MAXIMIZED=FALSE&amp;creator=factset&amp;display_string=Audit"}</definedName>
    <definedName name="_2513__FDSAUDITLINK__" hidden="1">{"fdsup://Directions/FactSet Auditing Viewer?action=AUDIT_VALUE&amp;DB=129&amp;ID1=51280710&amp;VALUEID=02001&amp;SDATE=200601&amp;PERIODTYPE=QTR_STD&amp;SCFT=3&amp;window=popup_no_bar&amp;width=385&amp;height=120&amp;START_MAXIMIZED=FALSE&amp;creator=factset&amp;display_string=Audit"}</definedName>
    <definedName name="_2514__FDSAUDITLINK__" localSheetId="7" hidden="1">{"fdsup://Directions/FactSet Auditing Viewer?action=AUDIT_VALUE&amp;DB=129&amp;ID1=51280710&amp;VALUEID=02001&amp;SDATE=200601&amp;PERIODTYPE=QTR_STD&amp;SCFT=3&amp;window=popup_no_bar&amp;width=385&amp;height=120&amp;START_MAXIMIZED=FALSE&amp;creator=factset&amp;display_string=Audit"}</definedName>
    <definedName name="_2514__FDSAUDITLINK__" hidden="1">{"fdsup://Directions/FactSet Auditing Viewer?action=AUDIT_VALUE&amp;DB=129&amp;ID1=51280710&amp;VALUEID=02001&amp;SDATE=200601&amp;PERIODTYPE=QTR_STD&amp;SCFT=3&amp;window=popup_no_bar&amp;width=385&amp;height=120&amp;START_MAXIMIZED=FALSE&amp;creator=factset&amp;display_string=Audit"}</definedName>
    <definedName name="_2515__FDSAUDITLINK__" localSheetId="7" hidden="1">{"fdsup://Directions/FactSet Auditing Viewer?action=AUDIT_VALUE&amp;DB=129&amp;ID1=53567810&amp;VALUEID=02001&amp;SDATE=200601&amp;PERIODTYPE=QTR_STD&amp;SCFT=3&amp;window=popup_no_bar&amp;width=385&amp;height=120&amp;START_MAXIMIZED=FALSE&amp;creator=factset&amp;display_string=Audit"}</definedName>
    <definedName name="_2515__FDSAUDITLINK__" hidden="1">{"fdsup://Directions/FactSet Auditing Viewer?action=AUDIT_VALUE&amp;DB=129&amp;ID1=53567810&amp;VALUEID=02001&amp;SDATE=200601&amp;PERIODTYPE=QTR_STD&amp;SCFT=3&amp;window=popup_no_bar&amp;width=385&amp;height=120&amp;START_MAXIMIZED=FALSE&amp;creator=factset&amp;display_string=Audit"}</definedName>
    <definedName name="_2516__FDSAUDITLINK__" localSheetId="7" hidden="1">{"fdsup://Directions/FactSet Auditing Viewer?action=AUDIT_VALUE&amp;DB=129&amp;ID1=53567810&amp;VALUEID=02001&amp;SDATE=200601&amp;PERIODTYPE=QTR_STD&amp;SCFT=3&amp;window=popup_no_bar&amp;width=385&amp;height=120&amp;START_MAXIMIZED=FALSE&amp;creator=factset&amp;display_string=Audit"}</definedName>
    <definedName name="_2516__FDSAUDITLINK__" hidden="1">{"fdsup://Directions/FactSet Auditing Viewer?action=AUDIT_VALUE&amp;DB=129&amp;ID1=53567810&amp;VALUEID=02001&amp;SDATE=200601&amp;PERIODTYPE=QTR_STD&amp;SCFT=3&amp;window=popup_no_bar&amp;width=385&amp;height=120&amp;START_MAXIMIZED=FALSE&amp;creator=factset&amp;display_string=Audit"}</definedName>
    <definedName name="_2517__FDSAUDITLINK__" localSheetId="7" hidden="1">{"fdsup://Directions/FactSet Auditing Viewer?action=AUDIT_VALUE&amp;DB=129&amp;ID1=48248010&amp;VALUEID=02001&amp;SDATE=200601&amp;PERIODTYPE=QTR_STD&amp;SCFT=3&amp;window=popup_no_bar&amp;width=385&amp;height=120&amp;START_MAXIMIZED=FALSE&amp;creator=factset&amp;display_string=Audit"}</definedName>
    <definedName name="_2517__FDSAUDITLINK__" hidden="1">{"fdsup://Directions/FactSet Auditing Viewer?action=AUDIT_VALUE&amp;DB=129&amp;ID1=48248010&amp;VALUEID=02001&amp;SDATE=200601&amp;PERIODTYPE=QTR_STD&amp;SCFT=3&amp;window=popup_no_bar&amp;width=385&amp;height=120&amp;START_MAXIMIZED=FALSE&amp;creator=factset&amp;display_string=Audit"}</definedName>
    <definedName name="_2518__FDSAUDITLINK__" localSheetId="7" hidden="1">{"fdsup://Directions/FactSet Auditing Viewer?action=AUDIT_VALUE&amp;DB=129&amp;ID1=48248010&amp;VALUEID=02001&amp;SDATE=200601&amp;PERIODTYPE=QTR_STD&amp;SCFT=3&amp;window=popup_no_bar&amp;width=385&amp;height=120&amp;START_MAXIMIZED=FALSE&amp;creator=factset&amp;display_string=Audit"}</definedName>
    <definedName name="_2518__FDSAUDITLINK__" hidden="1">{"fdsup://Directions/FactSet Auditing Viewer?action=AUDIT_VALUE&amp;DB=129&amp;ID1=48248010&amp;VALUEID=02001&amp;SDATE=200601&amp;PERIODTYPE=QTR_STD&amp;SCFT=3&amp;window=popup_no_bar&amp;width=385&amp;height=120&amp;START_MAXIMIZED=FALSE&amp;creator=factset&amp;display_string=Audit"}</definedName>
    <definedName name="_2519__FDSAUDITLINK__" localSheetId="7" hidden="1">{"fdsup://Directions/FactSet Auditing Viewer?action=AUDIT_VALUE&amp;DB=129&amp;ID1=48203R10&amp;VALUEID=02001&amp;SDATE=200503&amp;PERIODTYPE=QTR_STD&amp;SCFT=3&amp;window=popup_no_bar&amp;width=385&amp;height=120&amp;START_MAXIMIZED=FALSE&amp;creator=factset&amp;display_string=Audit"}</definedName>
    <definedName name="_2519__FDSAUDITLINK__" hidden="1">{"fdsup://Directions/FactSet Auditing Viewer?action=AUDIT_VALUE&amp;DB=129&amp;ID1=48203R10&amp;VALUEID=02001&amp;SDATE=200503&amp;PERIODTYPE=QTR_STD&amp;SCFT=3&amp;window=popup_no_bar&amp;width=385&amp;height=120&amp;START_MAXIMIZED=FALSE&amp;creator=factset&amp;display_string=Audit"}</definedName>
    <definedName name="_252__FDSAUDITLINK__" localSheetId="7" hidden="1">{"fdsup://Directions/FactSet Auditing Viewer?action=AUDIT_VALUE&amp;DB=129&amp;ID1=H2906T10&amp;VALUEID=02001&amp;SDATE=201004&amp;PERIODTYPE=QTR_STD&amp;SCFT=3&amp;window=popup_no_bar&amp;width=385&amp;height=120&amp;START_MAXIMIZED=FALSE&amp;creator=factset&amp;display_string=Audit"}</definedName>
    <definedName name="_252__FDSAUDITLINK__" hidden="1">{"fdsup://Directions/FactSet Auditing Viewer?action=AUDIT_VALUE&amp;DB=129&amp;ID1=H2906T10&amp;VALUEID=02001&amp;SDATE=201004&amp;PERIODTYPE=QTR_STD&amp;SCFT=3&amp;window=popup_no_bar&amp;width=385&amp;height=120&amp;START_MAXIMIZED=FALSE&amp;creator=factset&amp;display_string=Audit"}</definedName>
    <definedName name="_2520__FDSAUDITLINK__" localSheetId="7" hidden="1">{"fdsup://Directions/FactSet Auditing Viewer?action=AUDIT_VALUE&amp;DB=129&amp;ID1=48203R10&amp;VALUEID=02001&amp;SDATE=200503&amp;PERIODTYPE=QTR_STD&amp;SCFT=3&amp;window=popup_no_bar&amp;width=385&amp;height=120&amp;START_MAXIMIZED=FALSE&amp;creator=factset&amp;display_string=Audit"}</definedName>
    <definedName name="_2520__FDSAUDITLINK__" hidden="1">{"fdsup://Directions/FactSet Auditing Viewer?action=AUDIT_VALUE&amp;DB=129&amp;ID1=48203R10&amp;VALUEID=02001&amp;SDATE=200503&amp;PERIODTYPE=QTR_STD&amp;SCFT=3&amp;window=popup_no_bar&amp;width=385&amp;height=120&amp;START_MAXIMIZED=FALSE&amp;creator=factset&amp;display_string=Audit"}</definedName>
    <definedName name="_2521__FDSAUDITLINK__" localSheetId="7" hidden="1">{"fdsup://Directions/FactSet Auditing Viewer?action=AUDIT_VALUE&amp;DB=129&amp;ID1=86681020&amp;VALUEID=02001&amp;SDATE=200601&amp;PERIODTYPE=QTR_STD&amp;SCFT=3&amp;window=popup_no_bar&amp;width=385&amp;height=120&amp;START_MAXIMIZED=FALSE&amp;creator=factset&amp;display_string=Audit"}</definedName>
    <definedName name="_2521__FDSAUDITLINK__" hidden="1">{"fdsup://Directions/FactSet Auditing Viewer?action=AUDIT_VALUE&amp;DB=129&amp;ID1=86681020&amp;VALUEID=02001&amp;SDATE=200601&amp;PERIODTYPE=QTR_STD&amp;SCFT=3&amp;window=popup_no_bar&amp;width=385&amp;height=120&amp;START_MAXIMIZED=FALSE&amp;creator=factset&amp;display_string=Audit"}</definedName>
    <definedName name="_2522__FDSAUDITLINK__" localSheetId="7" hidden="1">{"fdsup://Directions/FactSet Auditing Viewer?action=AUDIT_VALUE&amp;DB=129&amp;ID1=86681020&amp;VALUEID=02001&amp;SDATE=200601&amp;PERIODTYPE=QTR_STD&amp;SCFT=3&amp;window=popup_no_bar&amp;width=385&amp;height=120&amp;START_MAXIMIZED=FALSE&amp;creator=factset&amp;display_string=Audit"}</definedName>
    <definedName name="_2522__FDSAUDITLINK__" hidden="1">{"fdsup://Directions/FactSet Auditing Viewer?action=AUDIT_VALUE&amp;DB=129&amp;ID1=86681020&amp;VALUEID=02001&amp;SDATE=200601&amp;PERIODTYPE=QTR_STD&amp;SCFT=3&amp;window=popup_no_bar&amp;width=385&amp;height=120&amp;START_MAXIMIZED=FALSE&amp;creator=factset&amp;display_string=Audit"}</definedName>
    <definedName name="_2523__FDSAUDITLINK__" localSheetId="7" hidden="1">{"fdsup://Directions/FactSet Auditing Viewer?action=AUDIT_VALUE&amp;DB=129&amp;ID1=46069S10&amp;VALUEID=02001&amp;SDATE=200503&amp;PERIODTYPE=QTR_STD&amp;SCFT=3&amp;window=popup_no_bar&amp;width=385&amp;height=120&amp;START_MAXIMIZED=FALSE&amp;creator=factset&amp;display_string=Audit"}</definedName>
    <definedName name="_2523__FDSAUDITLINK__" hidden="1">{"fdsup://Directions/FactSet Auditing Viewer?action=AUDIT_VALUE&amp;DB=129&amp;ID1=46069S10&amp;VALUEID=02001&amp;SDATE=200503&amp;PERIODTYPE=QTR_STD&amp;SCFT=3&amp;window=popup_no_bar&amp;width=385&amp;height=120&amp;START_MAXIMIZED=FALSE&amp;creator=factset&amp;display_string=Audit"}</definedName>
    <definedName name="_2524__FDSAUDITLINK__" localSheetId="7" hidden="1">{"fdsup://Directions/FactSet Auditing Viewer?action=AUDIT_VALUE&amp;DB=129&amp;ID1=46069S10&amp;VALUEID=02001&amp;SDATE=200503&amp;PERIODTYPE=QTR_STD&amp;SCFT=3&amp;window=popup_no_bar&amp;width=385&amp;height=120&amp;START_MAXIMIZED=FALSE&amp;creator=factset&amp;display_string=Audit"}</definedName>
    <definedName name="_2524__FDSAUDITLINK__" hidden="1">{"fdsup://Directions/FactSet Auditing Viewer?action=AUDIT_VALUE&amp;DB=129&amp;ID1=46069S10&amp;VALUEID=02001&amp;SDATE=200503&amp;PERIODTYPE=QTR_STD&amp;SCFT=3&amp;window=popup_no_bar&amp;width=385&amp;height=120&amp;START_MAXIMIZED=FALSE&amp;creator=factset&amp;display_string=Audit"}</definedName>
    <definedName name="_2525__FDSAUDITLINK__" localSheetId="7" hidden="1">{"fdsup://Directions/FactSet Auditing Viewer?action=AUDIT_VALUE&amp;DB=129&amp;ID1=46025410&amp;VALUEID=02001&amp;SDATE=200601&amp;PERIODTYPE=QTR_STD&amp;SCFT=3&amp;window=popup_no_bar&amp;width=385&amp;height=120&amp;START_MAXIMIZED=FALSE&amp;creator=factset&amp;display_string=Audit"}</definedName>
    <definedName name="_2525__FDSAUDITLINK__" hidden="1">{"fdsup://Directions/FactSet Auditing Viewer?action=AUDIT_VALUE&amp;DB=129&amp;ID1=46025410&amp;VALUEID=02001&amp;SDATE=200601&amp;PERIODTYPE=QTR_STD&amp;SCFT=3&amp;window=popup_no_bar&amp;width=385&amp;height=120&amp;START_MAXIMIZED=FALSE&amp;creator=factset&amp;display_string=Audit"}</definedName>
    <definedName name="_2526__FDSAUDITLINK__" localSheetId="7" hidden="1">{"fdsup://Directions/FactSet Auditing Viewer?action=AUDIT_VALUE&amp;DB=129&amp;ID1=46025410&amp;VALUEID=02001&amp;SDATE=200601&amp;PERIODTYPE=QTR_STD&amp;SCFT=3&amp;window=popup_no_bar&amp;width=385&amp;height=120&amp;START_MAXIMIZED=FALSE&amp;creator=factset&amp;display_string=Audit"}</definedName>
    <definedName name="_2526__FDSAUDITLINK__" hidden="1">{"fdsup://Directions/FactSet Auditing Viewer?action=AUDIT_VALUE&amp;DB=129&amp;ID1=46025410&amp;VALUEID=02001&amp;SDATE=200601&amp;PERIODTYPE=QTR_STD&amp;SCFT=3&amp;window=popup_no_bar&amp;width=385&amp;height=120&amp;START_MAXIMIZED=FALSE&amp;creator=factset&amp;display_string=Audit"}</definedName>
    <definedName name="_2527__FDSAUDITLINK__" localSheetId="7" hidden="1">{"fdsup://Directions/FactSet Auditing Viewer?action=AUDIT_VALUE&amp;DB=129&amp;ID1=45814010&amp;VALUEID=02001&amp;SDATE=200503&amp;PERIODTYPE=QTR_STD&amp;SCFT=3&amp;window=popup_no_bar&amp;width=385&amp;height=120&amp;START_MAXIMIZED=FALSE&amp;creator=factset&amp;display_string=Audit"}</definedName>
    <definedName name="_2527__FDSAUDITLINK__" hidden="1">{"fdsup://Directions/FactSet Auditing Viewer?action=AUDIT_VALUE&amp;DB=129&amp;ID1=45814010&amp;VALUEID=02001&amp;SDATE=200503&amp;PERIODTYPE=QTR_STD&amp;SCFT=3&amp;window=popup_no_bar&amp;width=385&amp;height=120&amp;START_MAXIMIZED=FALSE&amp;creator=factset&amp;display_string=Audit"}</definedName>
    <definedName name="_2528__FDSAUDITLINK__" localSheetId="7" hidden="1">{"fdsup://Directions/FactSet Auditing Viewer?action=AUDIT_VALUE&amp;DB=129&amp;ID1=45814010&amp;VALUEID=02001&amp;SDATE=200503&amp;PERIODTYPE=QTR_STD&amp;SCFT=3&amp;window=popup_no_bar&amp;width=385&amp;height=120&amp;START_MAXIMIZED=FALSE&amp;creator=factset&amp;display_string=Audit"}</definedName>
    <definedName name="_2528__FDSAUDITLINK__" hidden="1">{"fdsup://Directions/FactSet Auditing Viewer?action=AUDIT_VALUE&amp;DB=129&amp;ID1=45814010&amp;VALUEID=02001&amp;SDATE=200503&amp;PERIODTYPE=QTR_STD&amp;SCFT=3&amp;window=popup_no_bar&amp;width=385&amp;height=120&amp;START_MAXIMIZED=FALSE&amp;creator=factset&amp;display_string=Audit"}</definedName>
    <definedName name="_2529__FDSAUDITLINK__" localSheetId="7" hidden="1">{"fdsup://Directions/FactSet Auditing Viewer?action=AUDIT_VALUE&amp;DB=129&amp;ID1=45811810&amp;VALUEID=02001&amp;SDATE=200502&amp;PERIODTYPE=QTR_STD&amp;SCFT=3&amp;window=popup_no_bar&amp;width=385&amp;height=120&amp;START_MAXIMIZED=FALSE&amp;creator=factset&amp;display_string=Audit"}</definedName>
    <definedName name="_2529__FDSAUDITLINK__" hidden="1">{"fdsup://Directions/FactSet Auditing Viewer?action=AUDIT_VALUE&amp;DB=129&amp;ID1=45811810&amp;VALUEID=02001&amp;SDATE=200502&amp;PERIODTYPE=QTR_STD&amp;SCFT=3&amp;window=popup_no_bar&amp;width=385&amp;height=120&amp;START_MAXIMIZED=FALSE&amp;creator=factset&amp;display_string=Audit"}</definedName>
    <definedName name="_253__FDSAUDITLINK__" localSheetId="7" hidden="1">{"fdsup://Directions/FactSet Auditing Viewer?action=AUDIT_VALUE&amp;DB=129&amp;ID1=34637510&amp;VALUEID=02001&amp;SDATE=201004&amp;PERIODTYPE=QTR_STD&amp;SCFT=3&amp;window=popup_no_bar&amp;width=385&amp;height=120&amp;START_MAXIMIZED=FALSE&amp;creator=factset&amp;display_string=Audit"}</definedName>
    <definedName name="_253__FDSAUDITLINK__" hidden="1">{"fdsup://Directions/FactSet Auditing Viewer?action=AUDIT_VALUE&amp;DB=129&amp;ID1=34637510&amp;VALUEID=02001&amp;SDATE=201004&amp;PERIODTYPE=QTR_STD&amp;SCFT=3&amp;window=popup_no_bar&amp;width=385&amp;height=120&amp;START_MAXIMIZED=FALSE&amp;creator=factset&amp;display_string=Audit"}</definedName>
    <definedName name="_2530__FDSAUDITLINK__" localSheetId="7" hidden="1">{"fdsup://Directions/FactSet Auditing Viewer?action=AUDIT_VALUE&amp;DB=129&amp;ID1=45811810&amp;VALUEID=02001&amp;SDATE=200502&amp;PERIODTYPE=QTR_STD&amp;SCFT=3&amp;window=popup_no_bar&amp;width=385&amp;height=120&amp;START_MAXIMIZED=FALSE&amp;creator=factset&amp;display_string=Audit"}</definedName>
    <definedName name="_2530__FDSAUDITLINK__" hidden="1">{"fdsup://Directions/FactSet Auditing Viewer?action=AUDIT_VALUE&amp;DB=129&amp;ID1=45811810&amp;VALUEID=02001&amp;SDATE=200502&amp;PERIODTYPE=QTR_STD&amp;SCFT=3&amp;window=popup_no_bar&amp;width=385&amp;height=120&amp;START_MAXIMIZED=FALSE&amp;creator=factset&amp;display_string=Audit"}</definedName>
    <definedName name="_2531__FDSAUDITLINK__" localSheetId="7" hidden="1">{"fdsup://Directions/FactSet Auditing Viewer?action=AUDIT_VALUE&amp;DB=129&amp;ID1=34637510&amp;VALUEID=02001&amp;SDATE=200503&amp;PERIODTYPE=QTR_STD&amp;SCFT=3&amp;window=popup_no_bar&amp;width=385&amp;height=120&amp;START_MAXIMIZED=FALSE&amp;creator=factset&amp;display_string=Audit"}</definedName>
    <definedName name="_2531__FDSAUDITLINK__" hidden="1">{"fdsup://Directions/FactSet Auditing Viewer?action=AUDIT_VALUE&amp;DB=129&amp;ID1=34637510&amp;VALUEID=02001&amp;SDATE=200503&amp;PERIODTYPE=QTR_STD&amp;SCFT=3&amp;window=popup_no_bar&amp;width=385&amp;height=120&amp;START_MAXIMIZED=FALSE&amp;creator=factset&amp;display_string=Audit"}</definedName>
    <definedName name="_2532__FDSAUDITLINK__" localSheetId="7" hidden="1">{"fdsup://Directions/FactSet Auditing Viewer?action=AUDIT_VALUE&amp;DB=129&amp;ID1=34637510&amp;VALUEID=02001&amp;SDATE=200503&amp;PERIODTYPE=QTR_STD&amp;SCFT=3&amp;window=popup_no_bar&amp;width=385&amp;height=120&amp;START_MAXIMIZED=FALSE&amp;creator=factset&amp;display_string=Audit"}</definedName>
    <definedName name="_2532__FDSAUDITLINK__" hidden="1">{"fdsup://Directions/FactSet Auditing Viewer?action=AUDIT_VALUE&amp;DB=129&amp;ID1=34637510&amp;VALUEID=02001&amp;SDATE=200503&amp;PERIODTYPE=QTR_STD&amp;SCFT=3&amp;window=popup_no_bar&amp;width=385&amp;height=120&amp;START_MAXIMIZED=FALSE&amp;creator=factset&amp;display_string=Audit"}</definedName>
    <definedName name="_2533__FDSAUDITLINK__" localSheetId="7" hidden="1">{"fdsup://Directions/FactSet Auditing Viewer?action=AUDIT_VALUE&amp;DB=129&amp;ID1=29247520&amp;VALUEID=02001&amp;SDATE=200601&amp;PERIODTYPE=QTR_STD&amp;SCFT=3&amp;window=popup_no_bar&amp;width=385&amp;height=120&amp;START_MAXIMIZED=FALSE&amp;creator=factset&amp;display_string=Audit"}</definedName>
    <definedName name="_2533__FDSAUDITLINK__" hidden="1">{"fdsup://Directions/FactSet Auditing Viewer?action=AUDIT_VALUE&amp;DB=129&amp;ID1=29247520&amp;VALUEID=02001&amp;SDATE=200601&amp;PERIODTYPE=QTR_STD&amp;SCFT=3&amp;window=popup_no_bar&amp;width=385&amp;height=120&amp;START_MAXIMIZED=FALSE&amp;creator=factset&amp;display_string=Audit"}</definedName>
    <definedName name="_2534__FDSAUDITLINK__" localSheetId="7" hidden="1">{"fdsup://Directions/FactSet Auditing Viewer?action=AUDIT_VALUE&amp;DB=129&amp;ID1=29247520&amp;VALUEID=02001&amp;SDATE=200601&amp;PERIODTYPE=QTR_STD&amp;SCFT=3&amp;window=popup_no_bar&amp;width=385&amp;height=120&amp;START_MAXIMIZED=FALSE&amp;creator=factset&amp;display_string=Audit"}</definedName>
    <definedName name="_2534__FDSAUDITLINK__" hidden="1">{"fdsup://Directions/FactSet Auditing Viewer?action=AUDIT_VALUE&amp;DB=129&amp;ID1=29247520&amp;VALUEID=02001&amp;SDATE=200601&amp;PERIODTYPE=QTR_STD&amp;SCFT=3&amp;window=popup_no_bar&amp;width=385&amp;height=120&amp;START_MAXIMIZED=FALSE&amp;creator=factset&amp;display_string=Audit"}</definedName>
    <definedName name="_2535__FDSAUDITLINK__" localSheetId="7" hidden="1">{"fdsup://Directions/FactSet Auditing Viewer?action=AUDIT_VALUE&amp;DB=129&amp;ID1=25454310&amp;VALUEID=02001&amp;SDATE=200503&amp;PERIODTYPE=QTR_STD&amp;SCFT=3&amp;window=popup_no_bar&amp;width=385&amp;height=120&amp;START_MAXIMIZED=FALSE&amp;creator=factset&amp;display_string=Audit"}</definedName>
    <definedName name="_2535__FDSAUDITLINK__" hidden="1">{"fdsup://Directions/FactSet Auditing Viewer?action=AUDIT_VALUE&amp;DB=129&amp;ID1=25454310&amp;VALUEID=02001&amp;SDATE=200503&amp;PERIODTYPE=QTR_STD&amp;SCFT=3&amp;window=popup_no_bar&amp;width=385&amp;height=120&amp;START_MAXIMIZED=FALSE&amp;creator=factset&amp;display_string=Audit"}</definedName>
    <definedName name="_2536__FDSAUDITLINK__" localSheetId="7" hidden="1">{"fdsup://Directions/FactSet Auditing Viewer?action=AUDIT_VALUE&amp;DB=129&amp;ID1=25454310&amp;VALUEID=02001&amp;SDATE=200503&amp;PERIODTYPE=QTR_STD&amp;SCFT=3&amp;window=popup_no_bar&amp;width=385&amp;height=120&amp;START_MAXIMIZED=FALSE&amp;creator=factset&amp;display_string=Audit"}</definedName>
    <definedName name="_2536__FDSAUDITLINK__" hidden="1">{"fdsup://Directions/FactSet Auditing Viewer?action=AUDIT_VALUE&amp;DB=129&amp;ID1=25454310&amp;VALUEID=02001&amp;SDATE=200503&amp;PERIODTYPE=QTR_STD&amp;SCFT=3&amp;window=popup_no_bar&amp;width=385&amp;height=120&amp;START_MAXIMIZED=FALSE&amp;creator=factset&amp;display_string=Audit"}</definedName>
    <definedName name="_2537__FDSAUDITLINK__" localSheetId="7" hidden="1">{"fdsup://Directions/FactSet Auditing Viewer?action=AUDIT_VALUE&amp;DB=129&amp;ID1=23257210&amp;VALUEID=02001&amp;SDATE=200503&amp;PERIODTYPE=QTR_STD&amp;SCFT=3&amp;window=popup_no_bar&amp;width=385&amp;height=120&amp;START_MAXIMIZED=FALSE&amp;creator=factset&amp;display_string=Audit"}</definedName>
    <definedName name="_2537__FDSAUDITLINK__" hidden="1">{"fdsup://Directions/FactSet Auditing Viewer?action=AUDIT_VALUE&amp;DB=129&amp;ID1=23257210&amp;VALUEID=02001&amp;SDATE=200503&amp;PERIODTYPE=QTR_STD&amp;SCFT=3&amp;window=popup_no_bar&amp;width=385&amp;height=120&amp;START_MAXIMIZED=FALSE&amp;creator=factset&amp;display_string=Audit"}</definedName>
    <definedName name="_2538__FDSAUDITLINK__" localSheetId="7" hidden="1">{"fdsup://Directions/FactSet Auditing Viewer?action=AUDIT_VALUE&amp;DB=129&amp;ID1=23257210&amp;VALUEID=02001&amp;SDATE=200503&amp;PERIODTYPE=QTR_STD&amp;SCFT=3&amp;window=popup_no_bar&amp;width=385&amp;height=120&amp;START_MAXIMIZED=FALSE&amp;creator=factset&amp;display_string=Audit"}</definedName>
    <definedName name="_2538__FDSAUDITLINK__" hidden="1">{"fdsup://Directions/FactSet Auditing Viewer?action=AUDIT_VALUE&amp;DB=129&amp;ID1=23257210&amp;VALUEID=02001&amp;SDATE=200503&amp;PERIODTYPE=QTR_STD&amp;SCFT=3&amp;window=popup_no_bar&amp;width=385&amp;height=120&amp;START_MAXIMIZED=FALSE&amp;creator=factset&amp;display_string=Audit"}</definedName>
    <definedName name="_2539__FDSAUDITLINK__" localSheetId="7" hidden="1">{"fdsup://Directions/FactSet Auditing Viewer?action=AUDIT_VALUE&amp;DB=129&amp;ID1=23280610&amp;VALUEID=02001&amp;SDATE=200503&amp;PERIODTYPE=QTR_STD&amp;SCFT=3&amp;window=popup_no_bar&amp;width=385&amp;height=120&amp;START_MAXIMIZED=FALSE&amp;creator=factset&amp;display_string=Audit"}</definedName>
    <definedName name="_2539__FDSAUDITLINK__" hidden="1">{"fdsup://Directions/FactSet Auditing Viewer?action=AUDIT_VALUE&amp;DB=129&amp;ID1=23280610&amp;VALUEID=02001&amp;SDATE=200503&amp;PERIODTYPE=QTR_STD&amp;SCFT=3&amp;window=popup_no_bar&amp;width=385&amp;height=120&amp;START_MAXIMIZED=FALSE&amp;creator=factset&amp;display_string=Audit"}</definedName>
    <definedName name="_254__FDSAUDITLINK__" localSheetId="7" hidden="1">{"fdsup://Directions/FactSet Auditing Viewer?action=AUDIT_VALUE&amp;DB=129&amp;ID1=34637510&amp;VALUEID=02001&amp;SDATE=201004&amp;PERIODTYPE=QTR_STD&amp;SCFT=3&amp;window=popup_no_bar&amp;width=385&amp;height=120&amp;START_MAXIMIZED=FALSE&amp;creator=factset&amp;display_string=Audit"}</definedName>
    <definedName name="_254__FDSAUDITLINK__" hidden="1">{"fdsup://Directions/FactSet Auditing Viewer?action=AUDIT_VALUE&amp;DB=129&amp;ID1=34637510&amp;VALUEID=02001&amp;SDATE=201004&amp;PERIODTYPE=QTR_STD&amp;SCFT=3&amp;window=popup_no_bar&amp;width=385&amp;height=120&amp;START_MAXIMIZED=FALSE&amp;creator=factset&amp;display_string=Audit"}</definedName>
    <definedName name="_2540__FDSAUDITLINK__" localSheetId="7" hidden="1">{"fdsup://Directions/FactSet Auditing Viewer?action=AUDIT_VALUE&amp;DB=129&amp;ID1=23280610&amp;VALUEID=02001&amp;SDATE=200503&amp;PERIODTYPE=QTR_STD&amp;SCFT=3&amp;window=popup_no_bar&amp;width=385&amp;height=120&amp;START_MAXIMIZED=FALSE&amp;creator=factset&amp;display_string=Audit"}</definedName>
    <definedName name="_2540__FDSAUDITLINK__" hidden="1">{"fdsup://Directions/FactSet Auditing Viewer?action=AUDIT_VALUE&amp;DB=129&amp;ID1=23280610&amp;VALUEID=02001&amp;SDATE=200503&amp;PERIODTYPE=QTR_STD&amp;SCFT=3&amp;window=popup_no_bar&amp;width=385&amp;height=120&amp;START_MAXIMIZED=FALSE&amp;creator=factset&amp;display_string=Audit"}</definedName>
    <definedName name="_2541__FDSAUDITLINK__" localSheetId="7" hidden="1">{"fdsup://Directions/FactSet Auditing Viewer?action=AUDIT_VALUE&amp;DB=129&amp;ID1=17275R10&amp;VALUEID=02001&amp;SDATE=200601&amp;PERIODTYPE=QTR_STD&amp;SCFT=3&amp;window=popup_no_bar&amp;width=385&amp;height=120&amp;START_MAXIMIZED=FALSE&amp;creator=factset&amp;display_string=Audit"}</definedName>
    <definedName name="_2541__FDSAUDITLINK__" hidden="1">{"fdsup://Directions/FactSet Auditing Viewer?action=AUDIT_VALUE&amp;DB=129&amp;ID1=17275R10&amp;VALUEID=02001&amp;SDATE=200601&amp;PERIODTYPE=QTR_STD&amp;SCFT=3&amp;window=popup_no_bar&amp;width=385&amp;height=120&amp;START_MAXIMIZED=FALSE&amp;creator=factset&amp;display_string=Audit"}</definedName>
    <definedName name="_2542__FDSAUDITLINK__" localSheetId="7" hidden="1">{"fdsup://Directions/FactSet Auditing Viewer?action=AUDIT_VALUE&amp;DB=129&amp;ID1=17275R10&amp;VALUEID=02001&amp;SDATE=200601&amp;PERIODTYPE=QTR_STD&amp;SCFT=3&amp;window=popup_no_bar&amp;width=385&amp;height=120&amp;START_MAXIMIZED=FALSE&amp;creator=factset&amp;display_string=Audit"}</definedName>
    <definedName name="_2542__FDSAUDITLINK__" hidden="1">{"fdsup://Directions/FactSet Auditing Viewer?action=AUDIT_VALUE&amp;DB=129&amp;ID1=17275R10&amp;VALUEID=02001&amp;SDATE=200601&amp;PERIODTYPE=QTR_STD&amp;SCFT=3&amp;window=popup_no_bar&amp;width=385&amp;height=120&amp;START_MAXIMIZED=FALSE&amp;creator=factset&amp;display_string=Audit"}</definedName>
    <definedName name="_2543__FDSAUDITLINK__" localSheetId="7" hidden="1">{"fdsup://Directions/FactSet Auditing Viewer?action=AUDIT_VALUE&amp;DB=129&amp;ID1=22544710&amp;VALUEID=02001&amp;SDATE=200601&amp;PERIODTYPE=QTR_STD&amp;SCFT=3&amp;window=popup_no_bar&amp;width=385&amp;height=120&amp;START_MAXIMIZED=FALSE&amp;creator=factset&amp;display_string=Audit"}</definedName>
    <definedName name="_2543__FDSAUDITLINK__" hidden="1">{"fdsup://Directions/FactSet Auditing Viewer?action=AUDIT_VALUE&amp;DB=129&amp;ID1=22544710&amp;VALUEID=02001&amp;SDATE=200601&amp;PERIODTYPE=QTR_STD&amp;SCFT=3&amp;window=popup_no_bar&amp;width=385&amp;height=120&amp;START_MAXIMIZED=FALSE&amp;creator=factset&amp;display_string=Audit"}</definedName>
    <definedName name="_2544__FDSAUDITLINK__" localSheetId="7" hidden="1">{"fdsup://Directions/FactSet Auditing Viewer?action=AUDIT_VALUE&amp;DB=129&amp;ID1=22544710&amp;VALUEID=02001&amp;SDATE=200601&amp;PERIODTYPE=QTR_STD&amp;SCFT=3&amp;window=popup_no_bar&amp;width=385&amp;height=120&amp;START_MAXIMIZED=FALSE&amp;creator=factset&amp;display_string=Audit"}</definedName>
    <definedName name="_2544__FDSAUDITLINK__" hidden="1">{"fdsup://Directions/FactSet Auditing Viewer?action=AUDIT_VALUE&amp;DB=129&amp;ID1=22544710&amp;VALUEID=02001&amp;SDATE=200601&amp;PERIODTYPE=QTR_STD&amp;SCFT=3&amp;window=popup_no_bar&amp;width=385&amp;height=120&amp;START_MAXIMIZED=FALSE&amp;creator=factset&amp;display_string=Audit"}</definedName>
    <definedName name="_2545__FDSAUDITLINK__" localSheetId="7" hidden="1">{"fdsup://Directions/FactSet Auditing Viewer?action=AUDIT_VALUE&amp;DB=129&amp;ID1=12738710&amp;VALUEID=02001&amp;SDATE=200503&amp;PERIODTYPE=QTR_STD&amp;SCFT=3&amp;window=popup_no_bar&amp;width=385&amp;height=120&amp;START_MAXIMIZED=FALSE&amp;creator=factset&amp;display_string=Audit"}</definedName>
    <definedName name="_2545__FDSAUDITLINK__" hidden="1">{"fdsup://Directions/FactSet Auditing Viewer?action=AUDIT_VALUE&amp;DB=129&amp;ID1=12738710&amp;VALUEID=02001&amp;SDATE=200503&amp;PERIODTYPE=QTR_STD&amp;SCFT=3&amp;window=popup_no_bar&amp;width=385&amp;height=120&amp;START_MAXIMIZED=FALSE&amp;creator=factset&amp;display_string=Audit"}</definedName>
    <definedName name="_2546__FDSAUDITLINK__" localSheetId="7" hidden="1">{"fdsup://Directions/FactSet Auditing Viewer?action=AUDIT_VALUE&amp;DB=129&amp;ID1=12738710&amp;VALUEID=02001&amp;SDATE=200503&amp;PERIODTYPE=QTR_STD&amp;SCFT=3&amp;window=popup_no_bar&amp;width=385&amp;height=120&amp;START_MAXIMIZED=FALSE&amp;creator=factset&amp;display_string=Audit"}</definedName>
    <definedName name="_2546__FDSAUDITLINK__" hidden="1">{"fdsup://Directions/FactSet Auditing Viewer?action=AUDIT_VALUE&amp;DB=129&amp;ID1=12738710&amp;VALUEID=02001&amp;SDATE=200503&amp;PERIODTYPE=QTR_STD&amp;SCFT=3&amp;window=popup_no_bar&amp;width=385&amp;height=120&amp;START_MAXIMIZED=FALSE&amp;creator=factset&amp;display_string=Audit"}</definedName>
    <definedName name="_2547__FDSAUDITLINK__" localSheetId="7" hidden="1">{"fdsup://Directions/FactSet Auditing Viewer?action=AUDIT_VALUE&amp;DB=129&amp;ID1=04743P10&amp;VALUEID=02001&amp;SDATE=200503&amp;PERIODTYPE=QTR_STD&amp;SCFT=3&amp;window=popup_no_bar&amp;width=385&amp;height=120&amp;START_MAXIMIZED=FALSE&amp;creator=factset&amp;display_string=Audit"}</definedName>
    <definedName name="_2547__FDSAUDITLINK__" hidden="1">{"fdsup://Directions/FactSet Auditing Viewer?action=AUDIT_VALUE&amp;DB=129&amp;ID1=04743P10&amp;VALUEID=02001&amp;SDATE=200503&amp;PERIODTYPE=QTR_STD&amp;SCFT=3&amp;window=popup_no_bar&amp;width=385&amp;height=120&amp;START_MAXIMIZED=FALSE&amp;creator=factset&amp;display_string=Audit"}</definedName>
    <definedName name="_2548__FDSAUDITLINK__" localSheetId="7" hidden="1">{"fdsup://Directions/FactSet Auditing Viewer?action=AUDIT_VALUE&amp;DB=129&amp;ID1=04743P10&amp;VALUEID=02001&amp;SDATE=200503&amp;PERIODTYPE=QTR_STD&amp;SCFT=3&amp;window=popup_no_bar&amp;width=385&amp;height=120&amp;START_MAXIMIZED=FALSE&amp;creator=factset&amp;display_string=Audit"}</definedName>
    <definedName name="_2548__FDSAUDITLINK__" hidden="1">{"fdsup://Directions/FactSet Auditing Viewer?action=AUDIT_VALUE&amp;DB=129&amp;ID1=04743P10&amp;VALUEID=02001&amp;SDATE=200503&amp;PERIODTYPE=QTR_STD&amp;SCFT=3&amp;window=popup_no_bar&amp;width=385&amp;height=120&amp;START_MAXIMIZED=FALSE&amp;creator=factset&amp;display_string=Audit"}</definedName>
    <definedName name="_2549__FDSAUDITLINK__" localSheetId="7" hidden="1">{"fdsup://Directions/FactSet Auditing Viewer?action=AUDIT_VALUE&amp;DB=129&amp;ID1=00790310&amp;VALUEID=02001&amp;SDATE=200503&amp;PERIODTYPE=QTR_STD&amp;SCFT=3&amp;window=popup_no_bar&amp;width=385&amp;height=120&amp;START_MAXIMIZED=FALSE&amp;creator=factset&amp;display_string=Audit"}</definedName>
    <definedName name="_2549__FDSAUDITLINK__" hidden="1">{"fdsup://Directions/FactSet Auditing Viewer?action=AUDIT_VALUE&amp;DB=129&amp;ID1=00790310&amp;VALUEID=02001&amp;SDATE=200503&amp;PERIODTYPE=QTR_STD&amp;SCFT=3&amp;window=popup_no_bar&amp;width=385&amp;height=120&amp;START_MAXIMIZED=FALSE&amp;creator=factset&amp;display_string=Audit"}</definedName>
    <definedName name="_255__FDSAUDITLINK__" localSheetId="7" hidden="1">{"fdsup://Directions/FactSet Auditing Viewer?action=AUDIT_VALUE&amp;DB=129&amp;ID1=31561610&amp;VALUEID=02001&amp;SDATE=201101&amp;PERIODTYPE=QTR_STD&amp;SCFT=3&amp;window=popup_no_bar&amp;width=385&amp;height=120&amp;START_MAXIMIZED=FALSE&amp;creator=factset&amp;display_string=Audit"}</definedName>
    <definedName name="_255__FDSAUDITLINK__" hidden="1">{"fdsup://Directions/FactSet Auditing Viewer?action=AUDIT_VALUE&amp;DB=129&amp;ID1=31561610&amp;VALUEID=02001&amp;SDATE=201101&amp;PERIODTYPE=QTR_STD&amp;SCFT=3&amp;window=popup_no_bar&amp;width=385&amp;height=120&amp;START_MAXIMIZED=FALSE&amp;creator=factset&amp;display_string=Audit"}</definedName>
    <definedName name="_2550__FDSAUDITLINK__" localSheetId="7" hidden="1">{"fdsup://Directions/FactSet Auditing Viewer?action=AUDIT_VALUE&amp;DB=129&amp;ID1=00790310&amp;VALUEID=02001&amp;SDATE=200503&amp;PERIODTYPE=QTR_STD&amp;SCFT=3&amp;window=popup_no_bar&amp;width=385&amp;height=120&amp;START_MAXIMIZED=FALSE&amp;creator=factset&amp;display_string=Audit"}</definedName>
    <definedName name="_2550__FDSAUDITLINK__" hidden="1">{"fdsup://Directions/FactSet Auditing Viewer?action=AUDIT_VALUE&amp;DB=129&amp;ID1=00790310&amp;VALUEID=02001&amp;SDATE=200503&amp;PERIODTYPE=QTR_STD&amp;SCFT=3&amp;window=popup_no_bar&amp;width=385&amp;height=120&amp;START_MAXIMIZED=FALSE&amp;creator=factset&amp;display_string=Audit"}</definedName>
    <definedName name="_2551__FDSAUDITLINK__" localSheetId="7" hidden="1">{"fdsup://Directions/FactSet Auditing Viewer?action=AUDIT_VALUE&amp;DB=129&amp;ID1=03822W40&amp;VALUEID=02001&amp;SDATE=200502&amp;PERIODTYPE=QTR_STD&amp;SCFT=3&amp;window=popup_no_bar&amp;width=385&amp;height=120&amp;START_MAXIMIZED=FALSE&amp;creator=factset&amp;display_string=Audit"}</definedName>
    <definedName name="_2551__FDSAUDITLINK__" hidden="1">{"fdsup://Directions/FactSet Auditing Viewer?action=AUDIT_VALUE&amp;DB=129&amp;ID1=03822W40&amp;VALUEID=02001&amp;SDATE=200502&amp;PERIODTYPE=QTR_STD&amp;SCFT=3&amp;window=popup_no_bar&amp;width=385&amp;height=120&amp;START_MAXIMIZED=FALSE&amp;creator=factset&amp;display_string=Audit"}</definedName>
    <definedName name="_2552__FDSAUDITLINK__" localSheetId="7" hidden="1">{"fdsup://Directions/FactSet Auditing Viewer?action=AUDIT_VALUE&amp;DB=129&amp;ID1=03822W40&amp;VALUEID=02001&amp;SDATE=200502&amp;PERIODTYPE=QTR_STD&amp;SCFT=3&amp;window=popup_no_bar&amp;width=385&amp;height=120&amp;START_MAXIMIZED=FALSE&amp;creator=factset&amp;display_string=Audit"}</definedName>
    <definedName name="_2552__FDSAUDITLINK__" hidden="1">{"fdsup://Directions/FactSet Auditing Viewer?action=AUDIT_VALUE&amp;DB=129&amp;ID1=03822W40&amp;VALUEID=02001&amp;SDATE=200502&amp;PERIODTYPE=QTR_STD&amp;SCFT=3&amp;window=popup_no_bar&amp;width=385&amp;height=120&amp;START_MAXIMIZED=FALSE&amp;creator=factset&amp;display_string=Audit"}</definedName>
    <definedName name="_2553__FDSAUDITLINK__" localSheetId="7" hidden="1">{"fdsup://Directions/FactSet Auditing Viewer?action=AUDIT_VALUE&amp;DB=129&amp;ID1=02144110&amp;VALUEID=02001&amp;SDATE=200503&amp;PERIODTYPE=QTR_STD&amp;SCFT=3&amp;window=popup_no_bar&amp;width=385&amp;height=120&amp;START_MAXIMIZED=FALSE&amp;creator=factset&amp;display_string=Audit"}</definedName>
    <definedName name="_2553__FDSAUDITLINK__" hidden="1">{"fdsup://Directions/FactSet Auditing Viewer?action=AUDIT_VALUE&amp;DB=129&amp;ID1=02144110&amp;VALUEID=02001&amp;SDATE=200503&amp;PERIODTYPE=QTR_STD&amp;SCFT=3&amp;window=popup_no_bar&amp;width=385&amp;height=120&amp;START_MAXIMIZED=FALSE&amp;creator=factset&amp;display_string=Audit"}</definedName>
    <definedName name="_2554__FDSAUDITLINK__" localSheetId="7" hidden="1">{"fdsup://Directions/FactSet Auditing Viewer?action=AUDIT_VALUE&amp;DB=129&amp;ID1=02144110&amp;VALUEID=02001&amp;SDATE=200503&amp;PERIODTYPE=QTR_STD&amp;SCFT=3&amp;window=popup_no_bar&amp;width=385&amp;height=120&amp;START_MAXIMIZED=FALSE&amp;creator=factset&amp;display_string=Audit"}</definedName>
    <definedName name="_2554__FDSAUDITLINK__" hidden="1">{"fdsup://Directions/FactSet Auditing Viewer?action=AUDIT_VALUE&amp;DB=129&amp;ID1=02144110&amp;VALUEID=02001&amp;SDATE=200503&amp;PERIODTYPE=QTR_STD&amp;SCFT=3&amp;window=popup_no_bar&amp;width=385&amp;height=120&amp;START_MAXIMIZED=FALSE&amp;creator=factset&amp;display_string=Audit"}</definedName>
    <definedName name="_2555__FDSAUDITLINK__" localSheetId="7" hidden="1">{"fdsup://Directions/FactSet Auditing Viewer?action=AUDIT_VALUE&amp;DB=129&amp;ID1=00752J10&amp;VALUEID=02001&amp;SDATE=200503&amp;PERIODTYPE=QTR_STD&amp;SCFT=3&amp;window=popup_no_bar&amp;width=385&amp;height=120&amp;START_MAXIMIZED=FALSE&amp;creator=factset&amp;display_string=Audit"}</definedName>
    <definedName name="_2555__FDSAUDITLINK__" hidden="1">{"fdsup://Directions/FactSet Auditing Viewer?action=AUDIT_VALUE&amp;DB=129&amp;ID1=00752J10&amp;VALUEID=02001&amp;SDATE=200503&amp;PERIODTYPE=QTR_STD&amp;SCFT=3&amp;window=popup_no_bar&amp;width=385&amp;height=120&amp;START_MAXIMIZED=FALSE&amp;creator=factset&amp;display_string=Audit"}</definedName>
    <definedName name="_2556__FDSAUDITLINK__" localSheetId="7" hidden="1">{"fdsup://Directions/FactSet Auditing Viewer?action=AUDIT_VALUE&amp;DB=129&amp;ID1=00752J10&amp;VALUEID=02001&amp;SDATE=200503&amp;PERIODTYPE=QTR_STD&amp;SCFT=3&amp;window=popup_no_bar&amp;width=385&amp;height=120&amp;START_MAXIMIZED=FALSE&amp;creator=factset&amp;display_string=Audit"}</definedName>
    <definedName name="_2556__FDSAUDITLINK__" hidden="1">{"fdsup://Directions/FactSet Auditing Viewer?action=AUDIT_VALUE&amp;DB=129&amp;ID1=00752J10&amp;VALUEID=02001&amp;SDATE=200503&amp;PERIODTYPE=QTR_STD&amp;SCFT=3&amp;window=popup_no_bar&amp;width=385&amp;height=120&amp;START_MAXIMIZED=FALSE&amp;creator=factset&amp;display_string=Audit"}</definedName>
    <definedName name="_2557__FDSAUDITLINK__" localSheetId="7" hidden="1">{"fdsup://Directions/FactSet Auditing Viewer?action=AUDIT_VALUE&amp;DB=129&amp;ID1=98975F10&amp;VALUEID=02001&amp;SDATE=200502&amp;PERIODTYPE=QTR_STD&amp;SCFT=3&amp;window=popup_no_bar&amp;width=385&amp;height=120&amp;START_MAXIMIZED=FALSE&amp;creator=factset&amp;display_string=Audit"}</definedName>
    <definedName name="_2557__FDSAUDITLINK__" hidden="1">{"fdsup://Directions/FactSet Auditing Viewer?action=AUDIT_VALUE&amp;DB=129&amp;ID1=98975F10&amp;VALUEID=02001&amp;SDATE=200502&amp;PERIODTYPE=QTR_STD&amp;SCFT=3&amp;window=popup_no_bar&amp;width=385&amp;height=120&amp;START_MAXIMIZED=FALSE&amp;creator=factset&amp;display_string=Audit"}</definedName>
    <definedName name="_2558__FDSAUDITLINK__" localSheetId="7" hidden="1">{"fdsup://Directions/FactSet Auditing Viewer?action=AUDIT_VALUE&amp;DB=129&amp;ID1=98975F10&amp;VALUEID=02001&amp;SDATE=200502&amp;PERIODTYPE=QTR_STD&amp;SCFT=3&amp;window=popup_no_bar&amp;width=385&amp;height=120&amp;START_MAXIMIZED=FALSE&amp;creator=factset&amp;display_string=Audit"}</definedName>
    <definedName name="_2558__FDSAUDITLINK__" hidden="1">{"fdsup://Directions/FactSet Auditing Viewer?action=AUDIT_VALUE&amp;DB=129&amp;ID1=98975F10&amp;VALUEID=02001&amp;SDATE=200502&amp;PERIODTYPE=QTR_STD&amp;SCFT=3&amp;window=popup_no_bar&amp;width=385&amp;height=120&amp;START_MAXIMIZED=FALSE&amp;creator=factset&amp;display_string=Audit"}</definedName>
    <definedName name="_2559__FDSAUDITLINK__" localSheetId="7" hidden="1">{"fdsup://Directions/FactSet Auditing Viewer?action=AUDIT_VALUE&amp;DB=129&amp;ID1=98391910&amp;VALUEID=02001&amp;SDATE=200501&amp;PERIODTYPE=QTR_STD&amp;SCFT=3&amp;window=popup_no_bar&amp;width=385&amp;height=120&amp;START_MAXIMIZED=FALSE&amp;creator=factset&amp;display_string=Audit"}</definedName>
    <definedName name="_2559__FDSAUDITLINK__" hidden="1">{"fdsup://Directions/FactSet Auditing Viewer?action=AUDIT_VALUE&amp;DB=129&amp;ID1=98391910&amp;VALUEID=02001&amp;SDATE=200501&amp;PERIODTYPE=QTR_STD&amp;SCFT=3&amp;window=popup_no_bar&amp;width=385&amp;height=120&amp;START_MAXIMIZED=FALSE&amp;creator=factset&amp;display_string=Audit"}</definedName>
    <definedName name="_256__FDSAUDITLINK__" localSheetId="7" hidden="1">{"fdsup://Directions/FactSet Auditing Viewer?action=AUDIT_VALUE&amp;DB=129&amp;ID1=31561610&amp;VALUEID=02001&amp;SDATE=201101&amp;PERIODTYPE=QTR_STD&amp;SCFT=3&amp;window=popup_no_bar&amp;width=385&amp;height=120&amp;START_MAXIMIZED=FALSE&amp;creator=factset&amp;display_string=Audit"}</definedName>
    <definedName name="_256__FDSAUDITLINK__" hidden="1">{"fdsup://Directions/FactSet Auditing Viewer?action=AUDIT_VALUE&amp;DB=129&amp;ID1=31561610&amp;VALUEID=02001&amp;SDATE=201101&amp;PERIODTYPE=QTR_STD&amp;SCFT=3&amp;window=popup_no_bar&amp;width=385&amp;height=120&amp;START_MAXIMIZED=FALSE&amp;creator=factset&amp;display_string=Audit"}</definedName>
    <definedName name="_2560__FDSAUDITLINK__" localSheetId="7" hidden="1">{"fdsup://Directions/FactSet Auditing Viewer?action=AUDIT_VALUE&amp;DB=129&amp;ID1=98391910&amp;VALUEID=02001&amp;SDATE=200501&amp;PERIODTYPE=QTR_STD&amp;SCFT=3&amp;window=popup_no_bar&amp;width=385&amp;height=120&amp;START_MAXIMIZED=FALSE&amp;creator=factset&amp;display_string=Audit"}</definedName>
    <definedName name="_2560__FDSAUDITLINK__" hidden="1">{"fdsup://Directions/FactSet Auditing Viewer?action=AUDIT_VALUE&amp;DB=129&amp;ID1=98391910&amp;VALUEID=02001&amp;SDATE=200501&amp;PERIODTYPE=QTR_STD&amp;SCFT=3&amp;window=popup_no_bar&amp;width=385&amp;height=120&amp;START_MAXIMIZED=FALSE&amp;creator=factset&amp;display_string=Audit"}</definedName>
    <definedName name="_2561__FDSAUDITLINK__" localSheetId="7" hidden="1">{"fdsup://Directions/FactSet Auditing Viewer?action=AUDIT_VALUE&amp;DB=129&amp;ID1=92849730&amp;VALUEID=02001&amp;SDATE=200503&amp;PERIODTYPE=QTR_STD&amp;SCFT=3&amp;window=popup_no_bar&amp;width=385&amp;height=120&amp;START_MAXIMIZED=FALSE&amp;creator=factset&amp;display_string=Audit"}</definedName>
    <definedName name="_2561__FDSAUDITLINK__" hidden="1">{"fdsup://Directions/FactSet Auditing Viewer?action=AUDIT_VALUE&amp;DB=129&amp;ID1=92849730&amp;VALUEID=02001&amp;SDATE=200503&amp;PERIODTYPE=QTR_STD&amp;SCFT=3&amp;window=popup_no_bar&amp;width=385&amp;height=120&amp;START_MAXIMIZED=FALSE&amp;creator=factset&amp;display_string=Audit"}</definedName>
    <definedName name="_2562__FDSAUDITLINK__" localSheetId="7" hidden="1">{"fdsup://Directions/FactSet Auditing Viewer?action=AUDIT_VALUE&amp;DB=129&amp;ID1=92849730&amp;VALUEID=02001&amp;SDATE=200503&amp;PERIODTYPE=QTR_STD&amp;SCFT=3&amp;window=popup_no_bar&amp;width=385&amp;height=120&amp;START_MAXIMIZED=FALSE&amp;creator=factset&amp;display_string=Audit"}</definedName>
    <definedName name="_2562__FDSAUDITLINK__" hidden="1">{"fdsup://Directions/FactSet Auditing Viewer?action=AUDIT_VALUE&amp;DB=129&amp;ID1=92849730&amp;VALUEID=02001&amp;SDATE=200503&amp;PERIODTYPE=QTR_STD&amp;SCFT=3&amp;window=popup_no_bar&amp;width=385&amp;height=120&amp;START_MAXIMIZED=FALSE&amp;creator=factset&amp;display_string=Audit"}</definedName>
    <definedName name="_2563__FDSAUDITLINK__" localSheetId="7" hidden="1">{"fdsup://Directions/FactSet Auditing Viewer?action=AUDIT_VALUE&amp;DB=129&amp;ID1=88250810&amp;VALUEID=02001&amp;SDATE=200502&amp;PERIODTYPE=QTR_STD&amp;SCFT=3&amp;window=popup_no_bar&amp;width=385&amp;height=120&amp;START_MAXIMIZED=FALSE&amp;creator=factset&amp;display_string=Audit"}</definedName>
    <definedName name="_2563__FDSAUDITLINK__" hidden="1">{"fdsup://Directions/FactSet Auditing Viewer?action=AUDIT_VALUE&amp;DB=129&amp;ID1=88250810&amp;VALUEID=02001&amp;SDATE=200502&amp;PERIODTYPE=QTR_STD&amp;SCFT=3&amp;window=popup_no_bar&amp;width=385&amp;height=120&amp;START_MAXIMIZED=FALSE&amp;creator=factset&amp;display_string=Audit"}</definedName>
    <definedName name="_2564__FDSAUDITLINK__" localSheetId="7" hidden="1">{"fdsup://Directions/FactSet Auditing Viewer?action=AUDIT_VALUE&amp;DB=129&amp;ID1=88250810&amp;VALUEID=02001&amp;SDATE=200502&amp;PERIODTYPE=QTR_STD&amp;SCFT=3&amp;window=popup_no_bar&amp;width=385&amp;height=120&amp;START_MAXIMIZED=FALSE&amp;creator=factset&amp;display_string=Audit"}</definedName>
    <definedName name="_2564__FDSAUDITLINK__" hidden="1">{"fdsup://Directions/FactSet Auditing Viewer?action=AUDIT_VALUE&amp;DB=129&amp;ID1=88250810&amp;VALUEID=02001&amp;SDATE=200502&amp;PERIODTYPE=QTR_STD&amp;SCFT=3&amp;window=popup_no_bar&amp;width=385&amp;height=120&amp;START_MAXIMIZED=FALSE&amp;creator=factset&amp;display_string=Audit"}</definedName>
    <definedName name="_2565__FDSAUDITLINK__" localSheetId="7" hidden="1">{"fdsup://Directions/FactSet Auditing Viewer?action=AUDIT_VALUE&amp;DB=129&amp;ID1=89674K10&amp;VALUEID=02001&amp;SDATE=200502&amp;PERIODTYPE=QTR_STD&amp;SCFT=3&amp;window=popup_no_bar&amp;width=385&amp;height=120&amp;START_MAXIMIZED=FALSE&amp;creator=factset&amp;display_string=Audit"}</definedName>
    <definedName name="_2565__FDSAUDITLINK__" hidden="1">{"fdsup://Directions/FactSet Auditing Viewer?action=AUDIT_VALUE&amp;DB=129&amp;ID1=89674K10&amp;VALUEID=02001&amp;SDATE=200502&amp;PERIODTYPE=QTR_STD&amp;SCFT=3&amp;window=popup_no_bar&amp;width=385&amp;height=120&amp;START_MAXIMIZED=FALSE&amp;creator=factset&amp;display_string=Audit"}</definedName>
    <definedName name="_2566__FDSAUDITLINK__" localSheetId="7" hidden="1">{"fdsup://Directions/FactSet Auditing Viewer?action=AUDIT_VALUE&amp;DB=129&amp;ID1=89674K10&amp;VALUEID=02001&amp;SDATE=200502&amp;PERIODTYPE=QTR_STD&amp;SCFT=3&amp;window=popup_no_bar&amp;width=385&amp;height=120&amp;START_MAXIMIZED=FALSE&amp;creator=factset&amp;display_string=Audit"}</definedName>
    <definedName name="_2566__FDSAUDITLINK__" hidden="1">{"fdsup://Directions/FactSet Auditing Viewer?action=AUDIT_VALUE&amp;DB=129&amp;ID1=89674K10&amp;VALUEID=02001&amp;SDATE=200502&amp;PERIODTYPE=QTR_STD&amp;SCFT=3&amp;window=popup_no_bar&amp;width=385&amp;height=120&amp;START_MAXIMIZED=FALSE&amp;creator=factset&amp;display_string=Audit"}</definedName>
    <definedName name="_2567__FDSAUDITLINK__" localSheetId="7" hidden="1">{"fdsup://Directions/FactSet Auditing Viewer?action=AUDIT_VALUE&amp;DB=129&amp;ID1=83088M10&amp;VALUEID=02001&amp;SDATE=200503&amp;PERIODTYPE=QTR_STD&amp;SCFT=3&amp;window=popup_no_bar&amp;width=385&amp;height=120&amp;START_MAXIMIZED=FALSE&amp;creator=factset&amp;display_string=Audit"}</definedName>
    <definedName name="_2567__FDSAUDITLINK__" hidden="1">{"fdsup://Directions/FactSet Auditing Viewer?action=AUDIT_VALUE&amp;DB=129&amp;ID1=83088M10&amp;VALUEID=02001&amp;SDATE=200503&amp;PERIODTYPE=QTR_STD&amp;SCFT=3&amp;window=popup_no_bar&amp;width=385&amp;height=120&amp;START_MAXIMIZED=FALSE&amp;creator=factset&amp;display_string=Audit"}</definedName>
    <definedName name="_2568__FDSAUDITLINK__" localSheetId="7" hidden="1">{"fdsup://Directions/FactSet Auditing Viewer?action=AUDIT_VALUE&amp;DB=129&amp;ID1=83088M10&amp;VALUEID=02001&amp;SDATE=200503&amp;PERIODTYPE=QTR_STD&amp;SCFT=3&amp;window=popup_no_bar&amp;width=385&amp;height=120&amp;START_MAXIMIZED=FALSE&amp;creator=factset&amp;display_string=Audit"}</definedName>
    <definedName name="_2568__FDSAUDITLINK__" hidden="1">{"fdsup://Directions/FactSet Auditing Viewer?action=AUDIT_VALUE&amp;DB=129&amp;ID1=83088M10&amp;VALUEID=02001&amp;SDATE=200503&amp;PERIODTYPE=QTR_STD&amp;SCFT=3&amp;window=popup_no_bar&amp;width=385&amp;height=120&amp;START_MAXIMIZED=FALSE&amp;creator=factset&amp;display_string=Audit"}</definedName>
    <definedName name="_2569__FDSAUDITLINK__" localSheetId="7" hidden="1">{"fdsup://Directions/FactSet Auditing Viewer?action=AUDIT_VALUE&amp;DB=129&amp;ID1=78477410&amp;VALUEID=02001&amp;SDATE=200502&amp;PERIODTYPE=QTR_STD&amp;SCFT=3&amp;window=popup_no_bar&amp;width=385&amp;height=120&amp;START_MAXIMIZED=FALSE&amp;creator=factset&amp;display_string=Audit"}</definedName>
    <definedName name="_2569__FDSAUDITLINK__" hidden="1">{"fdsup://Directions/FactSet Auditing Viewer?action=AUDIT_VALUE&amp;DB=129&amp;ID1=78477410&amp;VALUEID=02001&amp;SDATE=200502&amp;PERIODTYPE=QTR_STD&amp;SCFT=3&amp;window=popup_no_bar&amp;width=385&amp;height=120&amp;START_MAXIMIZED=FALSE&amp;creator=factset&amp;display_string=Audit"}</definedName>
    <definedName name="_257__FDSAUDITLINK__" localSheetId="7" hidden="1">{"fdsup://Directions/FactSet Auditing Viewer?action=AUDIT_VALUE&amp;DB=129&amp;ID1=29247520&amp;VALUEID=02001&amp;SDATE=201102&amp;PERIODTYPE=QTR_STD&amp;SCFT=3&amp;window=popup_no_bar&amp;width=385&amp;height=120&amp;START_MAXIMIZED=FALSE&amp;creator=factset&amp;display_string=Audit"}</definedName>
    <definedName name="_257__FDSAUDITLINK__" hidden="1">{"fdsup://Directions/FactSet Auditing Viewer?action=AUDIT_VALUE&amp;DB=129&amp;ID1=29247520&amp;VALUEID=02001&amp;SDATE=201102&amp;PERIODTYPE=QTR_STD&amp;SCFT=3&amp;window=popup_no_bar&amp;width=385&amp;height=120&amp;START_MAXIMIZED=FALSE&amp;creator=factset&amp;display_string=Audit"}</definedName>
    <definedName name="_2570__FDSAUDITLINK__" localSheetId="7" hidden="1">{"fdsup://Directions/FactSet Auditing Viewer?action=AUDIT_VALUE&amp;DB=129&amp;ID1=78477410&amp;VALUEID=02001&amp;SDATE=200502&amp;PERIODTYPE=QTR_STD&amp;SCFT=3&amp;window=popup_no_bar&amp;width=385&amp;height=120&amp;START_MAXIMIZED=FALSE&amp;creator=factset&amp;display_string=Audit"}</definedName>
    <definedName name="_2570__FDSAUDITLINK__" hidden="1">{"fdsup://Directions/FactSet Auditing Viewer?action=AUDIT_VALUE&amp;DB=129&amp;ID1=78477410&amp;VALUEID=02001&amp;SDATE=200502&amp;PERIODTYPE=QTR_STD&amp;SCFT=3&amp;window=popup_no_bar&amp;width=385&amp;height=120&amp;START_MAXIMIZED=FALSE&amp;creator=factset&amp;display_string=Audit"}</definedName>
    <definedName name="_2571__FDSAUDITLINK__" localSheetId="7" hidden="1">{"fdsup://Directions/FactSet Auditing Viewer?action=AUDIT_VALUE&amp;DB=129&amp;ID1=83547010&amp;VALUEID=02001&amp;SDATE=200502&amp;PERIODTYPE=QTR_STD&amp;SCFT=3&amp;window=popup_no_bar&amp;width=385&amp;height=120&amp;START_MAXIMIZED=FALSE&amp;creator=factset&amp;display_string=Audit"}</definedName>
    <definedName name="_2571__FDSAUDITLINK__" hidden="1">{"fdsup://Directions/FactSet Auditing Viewer?action=AUDIT_VALUE&amp;DB=129&amp;ID1=83547010&amp;VALUEID=02001&amp;SDATE=200502&amp;PERIODTYPE=QTR_STD&amp;SCFT=3&amp;window=popup_no_bar&amp;width=385&amp;height=120&amp;START_MAXIMIZED=FALSE&amp;creator=factset&amp;display_string=Audit"}</definedName>
    <definedName name="_2572__FDSAUDITLINK__" localSheetId="7" hidden="1">{"fdsup://Directions/FactSet Auditing Viewer?action=AUDIT_VALUE&amp;DB=129&amp;ID1=83547010&amp;VALUEID=02001&amp;SDATE=200502&amp;PERIODTYPE=QTR_STD&amp;SCFT=3&amp;window=popup_no_bar&amp;width=385&amp;height=120&amp;START_MAXIMIZED=FALSE&amp;creator=factset&amp;display_string=Audit"}</definedName>
    <definedName name="_2572__FDSAUDITLINK__" hidden="1">{"fdsup://Directions/FactSet Auditing Viewer?action=AUDIT_VALUE&amp;DB=129&amp;ID1=83547010&amp;VALUEID=02001&amp;SDATE=200502&amp;PERIODTYPE=QTR_STD&amp;SCFT=3&amp;window=popup_no_bar&amp;width=385&amp;height=120&amp;START_MAXIMIZED=FALSE&amp;creator=factset&amp;display_string=Audit"}</definedName>
    <definedName name="_2573__FDSAUDITLINK__" localSheetId="7" hidden="1">{"fdsup://Directions/FactSet Auditing Viewer?action=AUDIT_VALUE&amp;DB=129&amp;ID1=87160710&amp;VALUEID=02001&amp;SDATE=200503&amp;PERIODTYPE=QTR_STD&amp;SCFT=3&amp;window=popup_no_bar&amp;width=385&amp;height=120&amp;START_MAXIMIZED=FALSE&amp;creator=factset&amp;display_string=Audit"}</definedName>
    <definedName name="_2573__FDSAUDITLINK__" hidden="1">{"fdsup://Directions/FactSet Auditing Viewer?action=AUDIT_VALUE&amp;DB=129&amp;ID1=87160710&amp;VALUEID=02001&amp;SDATE=200503&amp;PERIODTYPE=QTR_STD&amp;SCFT=3&amp;window=popup_no_bar&amp;width=385&amp;height=120&amp;START_MAXIMIZED=FALSE&amp;creator=factset&amp;display_string=Audit"}</definedName>
    <definedName name="_2574__FDSAUDITLINK__" localSheetId="7" hidden="1">{"fdsup://Directions/FactSet Auditing Viewer?action=AUDIT_VALUE&amp;DB=129&amp;ID1=87160710&amp;VALUEID=02001&amp;SDATE=200503&amp;PERIODTYPE=QTR_STD&amp;SCFT=3&amp;window=popup_no_bar&amp;width=385&amp;height=120&amp;START_MAXIMIZED=FALSE&amp;creator=factset&amp;display_string=Audit"}</definedName>
    <definedName name="_2574__FDSAUDITLINK__" hidden="1">{"fdsup://Directions/FactSet Auditing Viewer?action=AUDIT_VALUE&amp;DB=129&amp;ID1=87160710&amp;VALUEID=02001&amp;SDATE=200503&amp;PERIODTYPE=QTR_STD&amp;SCFT=3&amp;window=popup_no_bar&amp;width=385&amp;height=120&amp;START_MAXIMIZED=FALSE&amp;creator=factset&amp;display_string=Audit"}</definedName>
    <definedName name="_2575__FDSAUDITLINK__" localSheetId="7" hidden="1">{"fdsup://Directions/FactSet Auditing Viewer?action=AUDIT_VALUE&amp;DB=129&amp;ID1=80004C10&amp;VALUEID=02001&amp;SDATE=200502&amp;PERIODTYPE=QTR_STD&amp;SCFT=3&amp;window=popup_no_bar&amp;width=385&amp;height=120&amp;START_MAXIMIZED=FALSE&amp;creator=factset&amp;display_string=Audit"}</definedName>
    <definedName name="_2575__FDSAUDITLINK__" hidden="1">{"fdsup://Directions/FactSet Auditing Viewer?action=AUDIT_VALUE&amp;DB=129&amp;ID1=80004C10&amp;VALUEID=02001&amp;SDATE=200502&amp;PERIODTYPE=QTR_STD&amp;SCFT=3&amp;window=popup_no_bar&amp;width=385&amp;height=120&amp;START_MAXIMIZED=FALSE&amp;creator=factset&amp;display_string=Audit"}</definedName>
    <definedName name="_2576__FDSAUDITLINK__" localSheetId="7" hidden="1">{"fdsup://Directions/FactSet Auditing Viewer?action=AUDIT_VALUE&amp;DB=129&amp;ID1=80004C10&amp;VALUEID=02001&amp;SDATE=200502&amp;PERIODTYPE=QTR_STD&amp;SCFT=3&amp;window=popup_no_bar&amp;width=385&amp;height=120&amp;START_MAXIMIZED=FALSE&amp;creator=factset&amp;display_string=Audit"}</definedName>
    <definedName name="_2576__FDSAUDITLINK__" hidden="1">{"fdsup://Directions/FactSet Auditing Viewer?action=AUDIT_VALUE&amp;DB=129&amp;ID1=80004C10&amp;VALUEID=02001&amp;SDATE=200502&amp;PERIODTYPE=QTR_STD&amp;SCFT=3&amp;window=popup_no_bar&amp;width=385&amp;height=120&amp;START_MAXIMIZED=FALSE&amp;creator=factset&amp;display_string=Audit"}</definedName>
    <definedName name="_2577__FDSAUDITLINK__" localSheetId="7" hidden="1">{"fdsup://Directions/FactSet Auditing Viewer?action=AUDIT_VALUE&amp;DB=129&amp;ID1=81685010&amp;VALUEID=02001&amp;SDATE=200502&amp;PERIODTYPE=QTR_STD&amp;SCFT=3&amp;window=popup_no_bar&amp;width=385&amp;height=120&amp;START_MAXIMIZED=FALSE&amp;creator=factset&amp;display_string=Audit"}</definedName>
    <definedName name="_2577__FDSAUDITLINK__" hidden="1">{"fdsup://Directions/FactSet Auditing Viewer?action=AUDIT_VALUE&amp;DB=129&amp;ID1=81685010&amp;VALUEID=02001&amp;SDATE=200502&amp;PERIODTYPE=QTR_STD&amp;SCFT=3&amp;window=popup_no_bar&amp;width=385&amp;height=120&amp;START_MAXIMIZED=FALSE&amp;creator=factset&amp;display_string=Audit"}</definedName>
    <definedName name="_2578__FDSAUDITLINK__" localSheetId="7" hidden="1">{"fdsup://Directions/FactSet Auditing Viewer?action=AUDIT_VALUE&amp;DB=129&amp;ID1=81685010&amp;VALUEID=02001&amp;SDATE=200502&amp;PERIODTYPE=QTR_STD&amp;SCFT=3&amp;window=popup_no_bar&amp;width=385&amp;height=120&amp;START_MAXIMIZED=FALSE&amp;creator=factset&amp;display_string=Audit"}</definedName>
    <definedName name="_2578__FDSAUDITLINK__" hidden="1">{"fdsup://Directions/FactSet Auditing Viewer?action=AUDIT_VALUE&amp;DB=129&amp;ID1=81685010&amp;VALUEID=02001&amp;SDATE=200502&amp;PERIODTYPE=QTR_STD&amp;SCFT=3&amp;window=popup_no_bar&amp;width=385&amp;height=120&amp;START_MAXIMIZED=FALSE&amp;creator=factset&amp;display_string=Audit"}</definedName>
    <definedName name="_2579__FDSAUDITLINK__" localSheetId="7" hidden="1">{"fdsup://Directions/FactSet Auditing Viewer?action=AUDIT_VALUE&amp;DB=129&amp;ID1=82691910&amp;VALUEID=02001&amp;SDATE=200502&amp;PERIODTYPE=QTR_STD&amp;SCFT=3&amp;window=popup_no_bar&amp;width=385&amp;height=120&amp;START_MAXIMIZED=FALSE&amp;creator=factset&amp;display_string=Audit"}</definedName>
    <definedName name="_2579__FDSAUDITLINK__" hidden="1">{"fdsup://Directions/FactSet Auditing Viewer?action=AUDIT_VALUE&amp;DB=129&amp;ID1=82691910&amp;VALUEID=02001&amp;SDATE=200502&amp;PERIODTYPE=QTR_STD&amp;SCFT=3&amp;window=popup_no_bar&amp;width=385&amp;height=120&amp;START_MAXIMIZED=FALSE&amp;creator=factset&amp;display_string=Audit"}</definedName>
    <definedName name="_258__FDSAUDITLINK__" localSheetId="7" hidden="1">{"fdsup://Directions/FactSet Auditing Viewer?action=AUDIT_VALUE&amp;DB=129&amp;ID1=29247520&amp;VALUEID=02001&amp;SDATE=201102&amp;PERIODTYPE=QTR_STD&amp;SCFT=3&amp;window=popup_no_bar&amp;width=385&amp;height=120&amp;START_MAXIMIZED=FALSE&amp;creator=factset&amp;display_string=Audit"}</definedName>
    <definedName name="_258__FDSAUDITLINK__" hidden="1">{"fdsup://Directions/FactSet Auditing Viewer?action=AUDIT_VALUE&amp;DB=129&amp;ID1=29247520&amp;VALUEID=02001&amp;SDATE=201102&amp;PERIODTYPE=QTR_STD&amp;SCFT=3&amp;window=popup_no_bar&amp;width=385&amp;height=120&amp;START_MAXIMIZED=FALSE&amp;creator=factset&amp;display_string=Audit"}</definedName>
    <definedName name="_2580__FDSAUDITLINK__" localSheetId="7" hidden="1">{"fdsup://Directions/FactSet Auditing Viewer?action=AUDIT_VALUE&amp;DB=129&amp;ID1=82691910&amp;VALUEID=02001&amp;SDATE=200502&amp;PERIODTYPE=QTR_STD&amp;SCFT=3&amp;window=popup_no_bar&amp;width=385&amp;height=120&amp;START_MAXIMIZED=FALSE&amp;creator=factset&amp;display_string=Audit"}</definedName>
    <definedName name="_2580__FDSAUDITLINK__" hidden="1">{"fdsup://Directions/FactSet Auditing Viewer?action=AUDIT_VALUE&amp;DB=129&amp;ID1=82691910&amp;VALUEID=02001&amp;SDATE=200502&amp;PERIODTYPE=QTR_STD&amp;SCFT=3&amp;window=popup_no_bar&amp;width=385&amp;height=120&amp;START_MAXIMIZED=FALSE&amp;creator=factset&amp;display_string=Audit"}</definedName>
    <definedName name="_2581__FDSAUDITLINK__" localSheetId="7" hidden="1">{"fdsup://Directions/FactSet Auditing Viewer?action=AUDIT_VALUE&amp;DB=129&amp;ID1=82705T10&amp;VALUEID=02001&amp;SDATE=200502&amp;PERIODTYPE=QTR_STD&amp;SCFT=3&amp;window=popup_no_bar&amp;width=385&amp;height=120&amp;START_MAXIMIZED=FALSE&amp;creator=factset&amp;display_string=Audit"}</definedName>
    <definedName name="_2581__FDSAUDITLINK__" hidden="1">{"fdsup://Directions/FactSet Auditing Viewer?action=AUDIT_VALUE&amp;DB=129&amp;ID1=82705T10&amp;VALUEID=02001&amp;SDATE=200502&amp;PERIODTYPE=QTR_STD&amp;SCFT=3&amp;window=popup_no_bar&amp;width=385&amp;height=120&amp;START_MAXIMIZED=FALSE&amp;creator=factset&amp;display_string=Audit"}</definedName>
    <definedName name="_2582__FDSAUDITLINK__" localSheetId="7" hidden="1">{"fdsup://Directions/FactSet Auditing Viewer?action=AUDIT_VALUE&amp;DB=129&amp;ID1=82705T10&amp;VALUEID=02001&amp;SDATE=200502&amp;PERIODTYPE=QTR_STD&amp;SCFT=3&amp;window=popup_no_bar&amp;width=385&amp;height=120&amp;START_MAXIMIZED=FALSE&amp;creator=factset&amp;display_string=Audit"}</definedName>
    <definedName name="_2582__FDSAUDITLINK__" hidden="1">{"fdsup://Directions/FactSet Auditing Viewer?action=AUDIT_VALUE&amp;DB=129&amp;ID1=82705T10&amp;VALUEID=02001&amp;SDATE=200502&amp;PERIODTYPE=QTR_STD&amp;SCFT=3&amp;window=popup_no_bar&amp;width=385&amp;height=120&amp;START_MAXIMIZED=FALSE&amp;creator=factset&amp;display_string=Audit"}</definedName>
    <definedName name="_2583__FDSAUDITLINK__" localSheetId="7" hidden="1">{"fdsup://Directions/FactSet Auditing Viewer?action=AUDIT_VALUE&amp;DB=129&amp;ID1=75091710&amp;VALUEID=02001&amp;SDATE=200502&amp;PERIODTYPE=QTR_STD&amp;SCFT=3&amp;window=popup_no_bar&amp;width=385&amp;height=120&amp;START_MAXIMIZED=FALSE&amp;creator=factset&amp;display_string=Audit"}</definedName>
    <definedName name="_2583__FDSAUDITLINK__" hidden="1">{"fdsup://Directions/FactSet Auditing Viewer?action=AUDIT_VALUE&amp;DB=129&amp;ID1=75091710&amp;VALUEID=02001&amp;SDATE=200502&amp;PERIODTYPE=QTR_STD&amp;SCFT=3&amp;window=popup_no_bar&amp;width=385&amp;height=120&amp;START_MAXIMIZED=FALSE&amp;creator=factset&amp;display_string=Audit"}</definedName>
    <definedName name="_2584__FDSAUDITLINK__" localSheetId="7" hidden="1">{"fdsup://Directions/FactSet Auditing Viewer?action=AUDIT_VALUE&amp;DB=129&amp;ID1=75091710&amp;VALUEID=02001&amp;SDATE=200502&amp;PERIODTYPE=QTR_STD&amp;SCFT=3&amp;window=popup_no_bar&amp;width=385&amp;height=120&amp;START_MAXIMIZED=FALSE&amp;creator=factset&amp;display_string=Audit"}</definedName>
    <definedName name="_2584__FDSAUDITLINK__" hidden="1">{"fdsup://Directions/FactSet Auditing Viewer?action=AUDIT_VALUE&amp;DB=129&amp;ID1=75091710&amp;VALUEID=02001&amp;SDATE=200502&amp;PERIODTYPE=QTR_STD&amp;SCFT=3&amp;window=popup_no_bar&amp;width=385&amp;height=120&amp;START_MAXIMIZED=FALSE&amp;creator=factset&amp;display_string=Audit"}</definedName>
    <definedName name="_2585__FDSAUDITLINK__" localSheetId="7" hidden="1">{"fdsup://Directions/FactSet Auditing Viewer?action=AUDIT_VALUE&amp;DB=129&amp;ID1=74994110&amp;VALUEID=02001&amp;SDATE=200501&amp;PERIODTYPE=QTR_STD&amp;SCFT=3&amp;window=popup_no_bar&amp;width=385&amp;height=120&amp;START_MAXIMIZED=FALSE&amp;creator=factset&amp;display_string=Audit"}</definedName>
    <definedName name="_2585__FDSAUDITLINK__" hidden="1">{"fdsup://Directions/FactSet Auditing Viewer?action=AUDIT_VALUE&amp;DB=129&amp;ID1=74994110&amp;VALUEID=02001&amp;SDATE=200501&amp;PERIODTYPE=QTR_STD&amp;SCFT=3&amp;window=popup_no_bar&amp;width=385&amp;height=120&amp;START_MAXIMIZED=FALSE&amp;creator=factset&amp;display_string=Audit"}</definedName>
    <definedName name="_2586__FDSAUDITLINK__" localSheetId="7" hidden="1">{"fdsup://Directions/FactSet Auditing Viewer?action=AUDIT_VALUE&amp;DB=129&amp;ID1=74994110&amp;VALUEID=02001&amp;SDATE=200501&amp;PERIODTYPE=QTR_STD&amp;SCFT=3&amp;window=popup_no_bar&amp;width=385&amp;height=120&amp;START_MAXIMIZED=FALSE&amp;creator=factset&amp;display_string=Audit"}</definedName>
    <definedName name="_2586__FDSAUDITLINK__" hidden="1">{"fdsup://Directions/FactSet Auditing Viewer?action=AUDIT_VALUE&amp;DB=129&amp;ID1=74994110&amp;VALUEID=02001&amp;SDATE=200501&amp;PERIODTYPE=QTR_STD&amp;SCFT=3&amp;window=popup_no_bar&amp;width=385&amp;height=120&amp;START_MAXIMIZED=FALSE&amp;creator=factset&amp;display_string=Audit"}</definedName>
    <definedName name="_2587__FDSAUDITLINK__" localSheetId="7" hidden="1">{"fdsup://Directions/FactSet Auditing Viewer?action=AUDIT_VALUE&amp;DB=129&amp;ID1=74727710&amp;VALUEID=02001&amp;SDATE=200501&amp;PERIODTYPE=QTR_STD&amp;SCFT=3&amp;window=popup_no_bar&amp;width=385&amp;height=120&amp;START_MAXIMIZED=FALSE&amp;creator=factset&amp;display_string=Audit"}</definedName>
    <definedName name="_2587__FDSAUDITLINK__" hidden="1">{"fdsup://Directions/FactSet Auditing Viewer?action=AUDIT_VALUE&amp;DB=129&amp;ID1=74727710&amp;VALUEID=02001&amp;SDATE=200501&amp;PERIODTYPE=QTR_STD&amp;SCFT=3&amp;window=popup_no_bar&amp;width=385&amp;height=120&amp;START_MAXIMIZED=FALSE&amp;creator=factset&amp;display_string=Audit"}</definedName>
    <definedName name="_2588__FDSAUDITLINK__" localSheetId="7" hidden="1">{"fdsup://Directions/FactSet Auditing Viewer?action=AUDIT_VALUE&amp;DB=129&amp;ID1=74727710&amp;VALUEID=02001&amp;SDATE=200501&amp;PERIODTYPE=QTR_STD&amp;SCFT=3&amp;window=popup_no_bar&amp;width=385&amp;height=120&amp;START_MAXIMIZED=FALSE&amp;creator=factset&amp;display_string=Audit"}</definedName>
    <definedName name="_2588__FDSAUDITLINK__" hidden="1">{"fdsup://Directions/FactSet Auditing Viewer?action=AUDIT_VALUE&amp;DB=129&amp;ID1=74727710&amp;VALUEID=02001&amp;SDATE=200501&amp;PERIODTYPE=QTR_STD&amp;SCFT=3&amp;window=popup_no_bar&amp;width=385&amp;height=120&amp;START_MAXIMIZED=FALSE&amp;creator=factset&amp;display_string=Audit"}</definedName>
    <definedName name="_2589__FDSAUDITLINK__" localSheetId="7" hidden="1">{"fdsup://Directions/FactSet Auditing Viewer?action=AUDIT_VALUE&amp;DB=129&amp;ID1=74752510&amp;VALUEID=02001&amp;SDATE=200503&amp;PERIODTYPE=QTR_STD&amp;SCFT=3&amp;window=popup_no_bar&amp;width=385&amp;height=120&amp;START_MAXIMIZED=FALSE&amp;creator=factset&amp;display_string=Audit"}</definedName>
    <definedName name="_2589__FDSAUDITLINK__" hidden="1">{"fdsup://Directions/FactSet Auditing Viewer?action=AUDIT_VALUE&amp;DB=129&amp;ID1=74752510&amp;VALUEID=02001&amp;SDATE=200503&amp;PERIODTYPE=QTR_STD&amp;SCFT=3&amp;window=popup_no_bar&amp;width=385&amp;height=120&amp;START_MAXIMIZED=FALSE&amp;creator=factset&amp;display_string=Audit"}</definedName>
    <definedName name="_259__FDSAUDITLINK__" localSheetId="7" hidden="1">{"fdsup://Directions/FactSet Auditing Viewer?action=AUDIT_VALUE&amp;DB=129&amp;ID1=25454310&amp;VALUEID=02001&amp;SDATE=201004&amp;PERIODTYPE=QTR_STD&amp;SCFT=3&amp;window=popup_no_bar&amp;width=385&amp;height=120&amp;START_MAXIMIZED=FALSE&amp;creator=factset&amp;display_string=Audit"}</definedName>
    <definedName name="_259__FDSAUDITLINK__" hidden="1">{"fdsup://Directions/FactSet Auditing Viewer?action=AUDIT_VALUE&amp;DB=129&amp;ID1=25454310&amp;VALUEID=02001&amp;SDATE=201004&amp;PERIODTYPE=QTR_STD&amp;SCFT=3&amp;window=popup_no_bar&amp;width=385&amp;height=120&amp;START_MAXIMIZED=FALSE&amp;creator=factset&amp;display_string=Audit"}</definedName>
    <definedName name="_2590__FDSAUDITLINK__" localSheetId="7" hidden="1">{"fdsup://Directions/FactSet Auditing Viewer?action=AUDIT_VALUE&amp;DB=129&amp;ID1=74752510&amp;VALUEID=02001&amp;SDATE=200503&amp;PERIODTYPE=QTR_STD&amp;SCFT=3&amp;window=popup_no_bar&amp;width=385&amp;height=120&amp;START_MAXIMIZED=FALSE&amp;creator=factset&amp;display_string=Audit"}</definedName>
    <definedName name="_2590__FDSAUDITLINK__" hidden="1">{"fdsup://Directions/FactSet Auditing Viewer?action=AUDIT_VALUE&amp;DB=129&amp;ID1=74752510&amp;VALUEID=02001&amp;SDATE=200503&amp;PERIODTYPE=QTR_STD&amp;SCFT=3&amp;window=popup_no_bar&amp;width=385&amp;height=120&amp;START_MAXIMIZED=FALSE&amp;creator=factset&amp;display_string=Audit"}</definedName>
    <definedName name="_2591__FDSAUDITLINK__" localSheetId="7" hidden="1">{"fdsup://Directions/FactSet Auditing Viewer?action=AUDIT_VALUE&amp;DB=129&amp;ID1=72581M30&amp;VALUEID=02001&amp;SDATE=200502&amp;PERIODTYPE=QTR_STD&amp;SCFT=3&amp;window=popup_no_bar&amp;width=385&amp;height=120&amp;START_MAXIMIZED=FALSE&amp;creator=factset&amp;display_string=Audit"}</definedName>
    <definedName name="_2591__FDSAUDITLINK__" hidden="1">{"fdsup://Directions/FactSet Auditing Viewer?action=AUDIT_VALUE&amp;DB=129&amp;ID1=72581M30&amp;VALUEID=02001&amp;SDATE=200502&amp;PERIODTYPE=QTR_STD&amp;SCFT=3&amp;window=popup_no_bar&amp;width=385&amp;height=120&amp;START_MAXIMIZED=FALSE&amp;creator=factset&amp;display_string=Audit"}</definedName>
    <definedName name="_2592__FDSAUDITLINK__" localSheetId="7" hidden="1">{"fdsup://Directions/FactSet Auditing Viewer?action=AUDIT_VALUE&amp;DB=129&amp;ID1=72581M30&amp;VALUEID=02001&amp;SDATE=200502&amp;PERIODTYPE=QTR_STD&amp;SCFT=3&amp;window=popup_no_bar&amp;width=385&amp;height=120&amp;START_MAXIMIZED=FALSE&amp;creator=factset&amp;display_string=Audit"}</definedName>
    <definedName name="_2592__FDSAUDITLINK__" hidden="1">{"fdsup://Directions/FactSet Auditing Viewer?action=AUDIT_VALUE&amp;DB=129&amp;ID1=72581M30&amp;VALUEID=02001&amp;SDATE=200502&amp;PERIODTYPE=QTR_STD&amp;SCFT=3&amp;window=popup_no_bar&amp;width=385&amp;height=120&amp;START_MAXIMIZED=FALSE&amp;creator=factset&amp;display_string=Audit"}</definedName>
    <definedName name="_2593__FDSAUDITLINK__" localSheetId="7" hidden="1">{"fdsup://Directions/FactSet Auditing Viewer?action=AUDIT_VALUE&amp;DB=129&amp;ID1=73927610&amp;VALUEID=02001&amp;SDATE=200502&amp;PERIODTYPE=QTR_STD&amp;SCFT=3&amp;window=popup_no_bar&amp;width=385&amp;height=120&amp;START_MAXIMIZED=FALSE&amp;creator=factset&amp;display_string=Audit"}</definedName>
    <definedName name="_2593__FDSAUDITLINK__" hidden="1">{"fdsup://Directions/FactSet Auditing Viewer?action=AUDIT_VALUE&amp;DB=129&amp;ID1=73927610&amp;VALUEID=02001&amp;SDATE=200502&amp;PERIODTYPE=QTR_STD&amp;SCFT=3&amp;window=popup_no_bar&amp;width=385&amp;height=120&amp;START_MAXIMIZED=FALSE&amp;creator=factset&amp;display_string=Audit"}</definedName>
    <definedName name="_2594__FDSAUDITLINK__" localSheetId="7" hidden="1">{"fdsup://Directions/FactSet Auditing Viewer?action=AUDIT_VALUE&amp;DB=129&amp;ID1=73927610&amp;VALUEID=02001&amp;SDATE=200502&amp;PERIODTYPE=QTR_STD&amp;SCFT=3&amp;window=popup_no_bar&amp;width=385&amp;height=120&amp;START_MAXIMIZED=FALSE&amp;creator=factset&amp;display_string=Audit"}</definedName>
    <definedName name="_2594__FDSAUDITLINK__" hidden="1">{"fdsup://Directions/FactSet Auditing Viewer?action=AUDIT_VALUE&amp;DB=129&amp;ID1=73927610&amp;VALUEID=02001&amp;SDATE=200502&amp;PERIODTYPE=QTR_STD&amp;SCFT=3&amp;window=popup_no_bar&amp;width=385&amp;height=120&amp;START_MAXIMIZED=FALSE&amp;creator=factset&amp;display_string=Audit"}</definedName>
    <definedName name="_2595__FDSAUDITLINK__" localSheetId="7" hidden="1">{"fdsup://Directions/FactSet Auditing Viewer?action=AUDIT_VALUE&amp;DB=129&amp;ID1=69344F10&amp;VALUEID=02001&amp;SDATE=200502&amp;PERIODTYPE=QTR_STD&amp;SCFT=3&amp;window=popup_no_bar&amp;width=385&amp;height=120&amp;START_MAXIMIZED=FALSE&amp;creator=factset&amp;display_string=Audit"}</definedName>
    <definedName name="_2595__FDSAUDITLINK__" hidden="1">{"fdsup://Directions/FactSet Auditing Viewer?action=AUDIT_VALUE&amp;DB=129&amp;ID1=69344F10&amp;VALUEID=02001&amp;SDATE=200502&amp;PERIODTYPE=QTR_STD&amp;SCFT=3&amp;window=popup_no_bar&amp;width=385&amp;height=120&amp;START_MAXIMIZED=FALSE&amp;creator=factset&amp;display_string=Audit"}</definedName>
    <definedName name="_2596__FDSAUDITLINK__" localSheetId="7" hidden="1">{"fdsup://Directions/FactSet Auditing Viewer?action=AUDIT_VALUE&amp;DB=129&amp;ID1=69344F10&amp;VALUEID=02001&amp;SDATE=200502&amp;PERIODTYPE=QTR_STD&amp;SCFT=3&amp;window=popup_no_bar&amp;width=385&amp;height=120&amp;START_MAXIMIZED=FALSE&amp;creator=factset&amp;display_string=Audit"}</definedName>
    <definedName name="_2596__FDSAUDITLINK__" hidden="1">{"fdsup://Directions/FactSet Auditing Viewer?action=AUDIT_VALUE&amp;DB=129&amp;ID1=69344F10&amp;VALUEID=02001&amp;SDATE=200502&amp;PERIODTYPE=QTR_STD&amp;SCFT=3&amp;window=popup_no_bar&amp;width=385&amp;height=120&amp;START_MAXIMIZED=FALSE&amp;creator=factset&amp;display_string=Audit"}</definedName>
    <definedName name="_2597__FDSAUDITLINK__" localSheetId="7" hidden="1">{"fdsup://Directions/FactSet Auditing Viewer?action=AUDIT_VALUE&amp;DB=129&amp;ID1=69341710&amp;VALUEID=02001&amp;SDATE=200502&amp;PERIODTYPE=QTR_STD&amp;SCFT=3&amp;window=popup_no_bar&amp;width=385&amp;height=120&amp;START_MAXIMIZED=FALSE&amp;creator=factset&amp;display_string=Audit"}</definedName>
    <definedName name="_2597__FDSAUDITLINK__" hidden="1">{"fdsup://Directions/FactSet Auditing Viewer?action=AUDIT_VALUE&amp;DB=129&amp;ID1=69341710&amp;VALUEID=02001&amp;SDATE=200502&amp;PERIODTYPE=QTR_STD&amp;SCFT=3&amp;window=popup_no_bar&amp;width=385&amp;height=120&amp;START_MAXIMIZED=FALSE&amp;creator=factset&amp;display_string=Audit"}</definedName>
    <definedName name="_2598__FDSAUDITLINK__" localSheetId="7" hidden="1">{"fdsup://Directions/FactSet Auditing Viewer?action=AUDIT_VALUE&amp;DB=129&amp;ID1=69341710&amp;VALUEID=02001&amp;SDATE=200502&amp;PERIODTYPE=QTR_STD&amp;SCFT=3&amp;window=popup_no_bar&amp;width=385&amp;height=120&amp;START_MAXIMIZED=FALSE&amp;creator=factset&amp;display_string=Audit"}</definedName>
    <definedName name="_2598__FDSAUDITLINK__" hidden="1">{"fdsup://Directions/FactSet Auditing Viewer?action=AUDIT_VALUE&amp;DB=129&amp;ID1=69341710&amp;VALUEID=02001&amp;SDATE=200502&amp;PERIODTYPE=QTR_STD&amp;SCFT=3&amp;window=popup_no_bar&amp;width=385&amp;height=120&amp;START_MAXIMIZED=FALSE&amp;creator=factset&amp;display_string=Audit"}</definedName>
    <definedName name="_2599__FDSAUDITLINK__" localSheetId="7" hidden="1">{"fdsup://Directions/FactSet Auditing Viewer?action=AUDIT_VALUE&amp;DB=129&amp;ID1=68218910&amp;VALUEID=02001&amp;SDATE=200502&amp;PERIODTYPE=QTR_STD&amp;SCFT=3&amp;window=popup_no_bar&amp;width=385&amp;height=120&amp;START_MAXIMIZED=FALSE&amp;creator=factset&amp;display_string=Audit"}</definedName>
    <definedName name="_2599__FDSAUDITLINK__" hidden="1">{"fdsup://Directions/FactSet Auditing Viewer?action=AUDIT_VALUE&amp;DB=129&amp;ID1=68218910&amp;VALUEID=02001&amp;SDATE=200502&amp;PERIODTYPE=QTR_STD&amp;SCFT=3&amp;window=popup_no_bar&amp;width=385&amp;height=120&amp;START_MAXIMIZED=FALSE&amp;creator=factset&amp;display_string=Audit"}</definedName>
    <definedName name="_26__FDSAUDITLINK__" localSheetId="7" hidden="1">{"fdsup://Directions/FactSet Auditing Viewer?action=AUDIT_VALUE&amp;DB=129&amp;ID1=87160710&amp;VALUEID=02001&amp;SDATE=201102&amp;PERIODTYPE=QTR_STD&amp;SCFT=3&amp;window=popup_no_bar&amp;width=385&amp;height=120&amp;START_MAXIMIZED=FALSE&amp;creator=factset&amp;display_string=Audit"}</definedName>
    <definedName name="_26__FDSAUDITLINK__" hidden="1">{"fdsup://Directions/FactSet Auditing Viewer?action=AUDIT_VALUE&amp;DB=129&amp;ID1=87160710&amp;VALUEID=02001&amp;SDATE=201102&amp;PERIODTYPE=QTR_STD&amp;SCFT=3&amp;window=popup_no_bar&amp;width=385&amp;height=120&amp;START_MAXIMIZED=FALSE&amp;creator=factset&amp;display_string=Audit"}</definedName>
    <definedName name="_260__FDSAUDITLINK__" localSheetId="7" hidden="1">{"fdsup://Directions/FactSet Auditing Viewer?action=AUDIT_VALUE&amp;DB=129&amp;ID1=25454310&amp;VALUEID=02001&amp;SDATE=201004&amp;PERIODTYPE=QTR_STD&amp;SCFT=3&amp;window=popup_no_bar&amp;width=385&amp;height=120&amp;START_MAXIMIZED=FALSE&amp;creator=factset&amp;display_string=Audit"}</definedName>
    <definedName name="_260__FDSAUDITLINK__" hidden="1">{"fdsup://Directions/FactSet Auditing Viewer?action=AUDIT_VALUE&amp;DB=129&amp;ID1=25454310&amp;VALUEID=02001&amp;SDATE=201004&amp;PERIODTYPE=QTR_STD&amp;SCFT=3&amp;window=popup_no_bar&amp;width=385&amp;height=120&amp;START_MAXIMIZED=FALSE&amp;creator=factset&amp;display_string=Audit"}</definedName>
    <definedName name="_2600__FDSAUDITLINK__" localSheetId="7" hidden="1">{"fdsup://Directions/FactSet Auditing Viewer?action=AUDIT_VALUE&amp;DB=129&amp;ID1=68218910&amp;VALUEID=02001&amp;SDATE=200502&amp;PERIODTYPE=QTR_STD&amp;SCFT=3&amp;window=popup_no_bar&amp;width=385&amp;height=120&amp;START_MAXIMIZED=FALSE&amp;creator=factset&amp;display_string=Audit"}</definedName>
    <definedName name="_2600__FDSAUDITLINK__" hidden="1">{"fdsup://Directions/FactSet Auditing Viewer?action=AUDIT_VALUE&amp;DB=129&amp;ID1=68218910&amp;VALUEID=02001&amp;SDATE=200502&amp;PERIODTYPE=QTR_STD&amp;SCFT=3&amp;window=popup_no_bar&amp;width=385&amp;height=120&amp;START_MAXIMIZED=FALSE&amp;creator=factset&amp;display_string=Audit"}</definedName>
    <definedName name="_2601__FDSAUDITLINK__" localSheetId="7" hidden="1">{"fdsup://Directions/FactSet Auditing Viewer?action=AUDIT_VALUE&amp;DB=129&amp;ID1=67000810&amp;VALUEID=02001&amp;SDATE=200502&amp;PERIODTYPE=QTR_STD&amp;SCFT=3&amp;window=popup_no_bar&amp;width=385&amp;height=120&amp;START_MAXIMIZED=FALSE&amp;creator=factset&amp;display_string=Audit"}</definedName>
    <definedName name="_2601__FDSAUDITLINK__" hidden="1">{"fdsup://Directions/FactSet Auditing Viewer?action=AUDIT_VALUE&amp;DB=129&amp;ID1=67000810&amp;VALUEID=02001&amp;SDATE=200502&amp;PERIODTYPE=QTR_STD&amp;SCFT=3&amp;window=popup_no_bar&amp;width=385&amp;height=120&amp;START_MAXIMIZED=FALSE&amp;creator=factset&amp;display_string=Audit"}</definedName>
    <definedName name="_2602__FDSAUDITLINK__" localSheetId="7" hidden="1">{"fdsup://Directions/FactSet Auditing Viewer?action=AUDIT_VALUE&amp;DB=129&amp;ID1=67000810&amp;VALUEID=02001&amp;SDATE=200502&amp;PERIODTYPE=QTR_STD&amp;SCFT=3&amp;window=popup_no_bar&amp;width=385&amp;height=120&amp;START_MAXIMIZED=FALSE&amp;creator=factset&amp;display_string=Audit"}</definedName>
    <definedName name="_2602__FDSAUDITLINK__" hidden="1">{"fdsup://Directions/FactSet Auditing Viewer?action=AUDIT_VALUE&amp;DB=129&amp;ID1=67000810&amp;VALUEID=02001&amp;SDATE=200502&amp;PERIODTYPE=QTR_STD&amp;SCFT=3&amp;window=popup_no_bar&amp;width=385&amp;height=120&amp;START_MAXIMIZED=FALSE&amp;creator=factset&amp;display_string=Audit"}</definedName>
    <definedName name="_2603__FDSAUDITLINK__" localSheetId="7" hidden="1">{"fdsup://Directions/FactSet Auditing Viewer?action=AUDIT_VALUE&amp;DB=129&amp;ID1=67066G10&amp;VALUEID=02001&amp;SDATE=200502&amp;PERIODTYPE=QTR_STD&amp;SCFT=3&amp;window=popup_no_bar&amp;width=385&amp;height=120&amp;START_MAXIMIZED=FALSE&amp;creator=factset&amp;display_string=Audit"}</definedName>
    <definedName name="_2603__FDSAUDITLINK__" hidden="1">{"fdsup://Directions/FactSet Auditing Viewer?action=AUDIT_VALUE&amp;DB=129&amp;ID1=67066G10&amp;VALUEID=02001&amp;SDATE=200502&amp;PERIODTYPE=QTR_STD&amp;SCFT=3&amp;window=popup_no_bar&amp;width=385&amp;height=120&amp;START_MAXIMIZED=FALSE&amp;creator=factset&amp;display_string=Audit"}</definedName>
    <definedName name="_2604__FDSAUDITLINK__" localSheetId="7" hidden="1">{"fdsup://Directions/FactSet Auditing Viewer?action=AUDIT_VALUE&amp;DB=129&amp;ID1=67066G10&amp;VALUEID=02001&amp;SDATE=200502&amp;PERIODTYPE=QTR_STD&amp;SCFT=3&amp;window=popup_no_bar&amp;width=385&amp;height=120&amp;START_MAXIMIZED=FALSE&amp;creator=factset&amp;display_string=Audit"}</definedName>
    <definedName name="_2604__FDSAUDITLINK__" hidden="1">{"fdsup://Directions/FactSet Auditing Viewer?action=AUDIT_VALUE&amp;DB=129&amp;ID1=67066G10&amp;VALUEID=02001&amp;SDATE=200502&amp;PERIODTYPE=QTR_STD&amp;SCFT=3&amp;window=popup_no_bar&amp;width=385&amp;height=120&amp;START_MAXIMIZED=FALSE&amp;creator=factset&amp;display_string=Audit"}</definedName>
    <definedName name="_2605__FDSAUDITLINK__" localSheetId="7" hidden="1">{"fdsup://Directions/FactSet Auditing Viewer?action=AUDIT_VALUE&amp;DB=129&amp;ID1=64118B10&amp;VALUEID=02001&amp;SDATE=200502&amp;PERIODTYPE=QTR_STD&amp;SCFT=3&amp;window=popup_no_bar&amp;width=385&amp;height=120&amp;START_MAXIMIZED=FALSE&amp;creator=factset&amp;display_string=Audit"}</definedName>
    <definedName name="_2605__FDSAUDITLINK__" hidden="1">{"fdsup://Directions/FactSet Auditing Viewer?action=AUDIT_VALUE&amp;DB=129&amp;ID1=64118B10&amp;VALUEID=02001&amp;SDATE=200502&amp;PERIODTYPE=QTR_STD&amp;SCFT=3&amp;window=popup_no_bar&amp;width=385&amp;height=120&amp;START_MAXIMIZED=FALSE&amp;creator=factset&amp;display_string=Audit"}</definedName>
    <definedName name="_2606__FDSAUDITLINK__" localSheetId="7" hidden="1">{"fdsup://Directions/FactSet Auditing Viewer?action=AUDIT_VALUE&amp;DB=129&amp;ID1=64118B10&amp;VALUEID=02001&amp;SDATE=200502&amp;PERIODTYPE=QTR_STD&amp;SCFT=3&amp;window=popup_no_bar&amp;width=385&amp;height=120&amp;START_MAXIMIZED=FALSE&amp;creator=factset&amp;display_string=Audit"}</definedName>
    <definedName name="_2606__FDSAUDITLINK__" hidden="1">{"fdsup://Directions/FactSet Auditing Viewer?action=AUDIT_VALUE&amp;DB=129&amp;ID1=64118B10&amp;VALUEID=02001&amp;SDATE=200502&amp;PERIODTYPE=QTR_STD&amp;SCFT=3&amp;window=popup_no_bar&amp;width=385&amp;height=120&amp;START_MAXIMIZED=FALSE&amp;creator=factset&amp;display_string=Audit"}</definedName>
    <definedName name="_2607__FDSAUDITLINK__" localSheetId="7" hidden="1">{"fdsup://Directions/FactSet Auditing Viewer?action=AUDIT_VALUE&amp;DB=129&amp;ID1=59511210&amp;VALUEID=02001&amp;SDATE=200503&amp;PERIODTYPE=QTR_STD&amp;SCFT=3&amp;window=popup_no_bar&amp;width=385&amp;height=120&amp;START_MAXIMIZED=FALSE&amp;creator=factset&amp;display_string=Audit"}</definedName>
    <definedName name="_2607__FDSAUDITLINK__" hidden="1">{"fdsup://Directions/FactSet Auditing Viewer?action=AUDIT_VALUE&amp;DB=129&amp;ID1=59511210&amp;VALUEID=02001&amp;SDATE=200503&amp;PERIODTYPE=QTR_STD&amp;SCFT=3&amp;window=popup_no_bar&amp;width=385&amp;height=120&amp;START_MAXIMIZED=FALSE&amp;creator=factset&amp;display_string=Audit"}</definedName>
    <definedName name="_2608__FDSAUDITLINK__" localSheetId="7" hidden="1">{"fdsup://Directions/FactSet Auditing Viewer?action=AUDIT_VALUE&amp;DB=129&amp;ID1=59511210&amp;VALUEID=02001&amp;SDATE=200503&amp;PERIODTYPE=QTR_STD&amp;SCFT=3&amp;window=popup_no_bar&amp;width=385&amp;height=120&amp;START_MAXIMIZED=FALSE&amp;creator=factset&amp;display_string=Audit"}</definedName>
    <definedName name="_2608__FDSAUDITLINK__" hidden="1">{"fdsup://Directions/FactSet Auditing Viewer?action=AUDIT_VALUE&amp;DB=129&amp;ID1=59511210&amp;VALUEID=02001&amp;SDATE=200503&amp;PERIODTYPE=QTR_STD&amp;SCFT=3&amp;window=popup_no_bar&amp;width=385&amp;height=120&amp;START_MAXIMIZED=FALSE&amp;creator=factset&amp;display_string=Audit"}</definedName>
    <definedName name="_2609__FDSAUDITLINK__" localSheetId="7" hidden="1">{"fdsup://Directions/FactSet Auditing Viewer?action=AUDIT_VALUE&amp;DB=129&amp;ID1=59513710&amp;VALUEID=02001&amp;SDATE=200503&amp;PERIODTYPE=QTR_STD&amp;SCFT=3&amp;window=popup_no_bar&amp;width=385&amp;height=120&amp;START_MAXIMIZED=FALSE&amp;creator=factset&amp;display_string=Audit"}</definedName>
    <definedName name="_2609__FDSAUDITLINK__" hidden="1">{"fdsup://Directions/FactSet Auditing Viewer?action=AUDIT_VALUE&amp;DB=129&amp;ID1=59513710&amp;VALUEID=02001&amp;SDATE=200503&amp;PERIODTYPE=QTR_STD&amp;SCFT=3&amp;window=popup_no_bar&amp;width=385&amp;height=120&amp;START_MAXIMIZED=FALSE&amp;creator=factset&amp;display_string=Audit"}</definedName>
    <definedName name="_261__FDSAUDITLINK__" localSheetId="7" hidden="1">{"fdsup://Directions/FactSet Auditing Viewer?action=AUDIT_VALUE&amp;DB=129&amp;ID1=24702R10&amp;VALUEID=02001&amp;SDATE=201004&amp;PERIODTYPE=QTR_STD&amp;SCFT=3&amp;window=popup_no_bar&amp;width=385&amp;height=120&amp;START_MAXIMIZED=FALSE&amp;creator=factset&amp;display_string=Audit"}</definedName>
    <definedName name="_261__FDSAUDITLINK__" hidden="1">{"fdsup://Directions/FactSet Auditing Viewer?action=AUDIT_VALUE&amp;DB=129&amp;ID1=24702R10&amp;VALUEID=02001&amp;SDATE=201004&amp;PERIODTYPE=QTR_STD&amp;SCFT=3&amp;window=popup_no_bar&amp;width=385&amp;height=120&amp;START_MAXIMIZED=FALSE&amp;creator=factset&amp;display_string=Audit"}</definedName>
    <definedName name="_2610__FDSAUDITLINK__" localSheetId="7" hidden="1">{"fdsup://Directions/FactSet Auditing Viewer?action=AUDIT_VALUE&amp;DB=129&amp;ID1=59513710&amp;VALUEID=02001&amp;SDATE=200503&amp;PERIODTYPE=QTR_STD&amp;SCFT=3&amp;window=popup_no_bar&amp;width=385&amp;height=120&amp;START_MAXIMIZED=FALSE&amp;creator=factset&amp;display_string=Audit"}</definedName>
    <definedName name="_2610__FDSAUDITLINK__" hidden="1">{"fdsup://Directions/FactSet Auditing Viewer?action=AUDIT_VALUE&amp;DB=129&amp;ID1=59513710&amp;VALUEID=02001&amp;SDATE=200503&amp;PERIODTYPE=QTR_STD&amp;SCFT=3&amp;window=popup_no_bar&amp;width=385&amp;height=120&amp;START_MAXIMIZED=FALSE&amp;creator=factset&amp;display_string=Audit"}</definedName>
    <definedName name="_2611__FDSAUDITLINK__" localSheetId="7" hidden="1">{"fdsup://Directions/FactSet Auditing Viewer?action=AUDIT_VALUE&amp;DB=129&amp;ID1=G5876H10&amp;VALUEID=02001&amp;SDATE=200502&amp;PERIODTYPE=QTR_STD&amp;SCFT=3&amp;window=popup_no_bar&amp;width=385&amp;height=120&amp;START_MAXIMIZED=FALSE&amp;creator=factset&amp;display_string=Audit"}</definedName>
    <definedName name="_2611__FDSAUDITLINK__" hidden="1">{"fdsup://Directions/FactSet Auditing Viewer?action=AUDIT_VALUE&amp;DB=129&amp;ID1=G5876H10&amp;VALUEID=02001&amp;SDATE=200502&amp;PERIODTYPE=QTR_STD&amp;SCFT=3&amp;window=popup_no_bar&amp;width=385&amp;height=120&amp;START_MAXIMIZED=FALSE&amp;creator=factset&amp;display_string=Audit"}</definedName>
    <definedName name="_2612__FDSAUDITLINK__" localSheetId="7" hidden="1">{"fdsup://Directions/FactSet Auditing Viewer?action=AUDIT_VALUE&amp;DB=129&amp;ID1=G5876H10&amp;VALUEID=02001&amp;SDATE=200502&amp;PERIODTYPE=QTR_STD&amp;SCFT=3&amp;window=popup_no_bar&amp;width=385&amp;height=120&amp;START_MAXIMIZED=FALSE&amp;creator=factset&amp;display_string=Audit"}</definedName>
    <definedName name="_2612__FDSAUDITLINK__" hidden="1">{"fdsup://Directions/FactSet Auditing Viewer?action=AUDIT_VALUE&amp;DB=129&amp;ID1=G5876H10&amp;VALUEID=02001&amp;SDATE=200502&amp;PERIODTYPE=QTR_STD&amp;SCFT=3&amp;window=popup_no_bar&amp;width=385&amp;height=120&amp;START_MAXIMIZED=FALSE&amp;creator=factset&amp;display_string=Audit"}</definedName>
    <definedName name="_2613__FDSAUDITLINK__" localSheetId="7" hidden="1">{"fdsup://Directions/FactSet Auditing Viewer?action=AUDIT_VALUE&amp;DB=129&amp;ID1=62007630&amp;VALUEID=02001&amp;SDATE=200502&amp;PERIODTYPE=QTR_STD&amp;SCFT=3&amp;window=popup_no_bar&amp;width=385&amp;height=120&amp;START_MAXIMIZED=FALSE&amp;creator=factset&amp;display_string=Audit"}</definedName>
    <definedName name="_2613__FDSAUDITLINK__" hidden="1">{"fdsup://Directions/FactSet Auditing Viewer?action=AUDIT_VALUE&amp;DB=129&amp;ID1=62007630&amp;VALUEID=02001&amp;SDATE=200502&amp;PERIODTYPE=QTR_STD&amp;SCFT=3&amp;window=popup_no_bar&amp;width=385&amp;height=120&amp;START_MAXIMIZED=FALSE&amp;creator=factset&amp;display_string=Audit"}</definedName>
    <definedName name="_2614__FDSAUDITLINK__" localSheetId="7" hidden="1">{"fdsup://Directions/FactSet Auditing Viewer?action=AUDIT_VALUE&amp;DB=129&amp;ID1=62007630&amp;VALUEID=02001&amp;SDATE=200502&amp;PERIODTYPE=QTR_STD&amp;SCFT=3&amp;window=popup_no_bar&amp;width=385&amp;height=120&amp;START_MAXIMIZED=FALSE&amp;creator=factset&amp;display_string=Audit"}</definedName>
    <definedName name="_2614__FDSAUDITLINK__" hidden="1">{"fdsup://Directions/FactSet Auditing Viewer?action=AUDIT_VALUE&amp;DB=129&amp;ID1=62007630&amp;VALUEID=02001&amp;SDATE=200502&amp;PERIODTYPE=QTR_STD&amp;SCFT=3&amp;window=popup_no_bar&amp;width=385&amp;height=120&amp;START_MAXIMIZED=FALSE&amp;creator=factset&amp;display_string=Audit"}</definedName>
    <definedName name="_2615__FDSAUDITLINK__" localSheetId="7" hidden="1">{"fdsup://Directions/FactSet Auditing Viewer?action=AUDIT_VALUE&amp;DB=129&amp;ID1=59479310&amp;VALUEID=02001&amp;SDATE=200502&amp;PERIODTYPE=QTR_STD&amp;SCFT=3&amp;window=popup_no_bar&amp;width=385&amp;height=120&amp;START_MAXIMIZED=FALSE&amp;creator=factset&amp;display_string=Audit"}</definedName>
    <definedName name="_2615__FDSAUDITLINK__" hidden="1">{"fdsup://Directions/FactSet Auditing Viewer?action=AUDIT_VALUE&amp;DB=129&amp;ID1=59479310&amp;VALUEID=02001&amp;SDATE=200502&amp;PERIODTYPE=QTR_STD&amp;SCFT=3&amp;window=popup_no_bar&amp;width=385&amp;height=120&amp;START_MAXIMIZED=FALSE&amp;creator=factset&amp;display_string=Audit"}</definedName>
    <definedName name="_2616__FDSAUDITLINK__" localSheetId="7" hidden="1">{"fdsup://Directions/FactSet Auditing Viewer?action=AUDIT_VALUE&amp;DB=129&amp;ID1=59479310&amp;VALUEID=02001&amp;SDATE=200502&amp;PERIODTYPE=QTR_STD&amp;SCFT=3&amp;window=popup_no_bar&amp;width=385&amp;height=120&amp;START_MAXIMIZED=FALSE&amp;creator=factset&amp;display_string=Audit"}</definedName>
    <definedName name="_2616__FDSAUDITLINK__" hidden="1">{"fdsup://Directions/FactSet Auditing Viewer?action=AUDIT_VALUE&amp;DB=129&amp;ID1=59479310&amp;VALUEID=02001&amp;SDATE=200502&amp;PERIODTYPE=QTR_STD&amp;SCFT=3&amp;window=popup_no_bar&amp;width=385&amp;height=120&amp;START_MAXIMIZED=FALSE&amp;creator=factset&amp;display_string=Audit"}</definedName>
    <definedName name="_2617__FDSAUDITLINK__" localSheetId="7" hidden="1">{"fdsup://Directions/FactSet Auditing Viewer?action=AUDIT_VALUE&amp;DB=129&amp;ID1=59501710&amp;VALUEID=02001&amp;SDATE=200501&amp;PERIODTYPE=QTR_STD&amp;SCFT=3&amp;window=popup_no_bar&amp;width=385&amp;height=120&amp;START_MAXIMIZED=FALSE&amp;creator=factset&amp;display_string=Audit"}</definedName>
    <definedName name="_2617__FDSAUDITLINK__" hidden="1">{"fdsup://Directions/FactSet Auditing Viewer?action=AUDIT_VALUE&amp;DB=129&amp;ID1=59501710&amp;VALUEID=02001&amp;SDATE=200501&amp;PERIODTYPE=QTR_STD&amp;SCFT=3&amp;window=popup_no_bar&amp;width=385&amp;height=120&amp;START_MAXIMIZED=FALSE&amp;creator=factset&amp;display_string=Audit"}</definedName>
    <definedName name="_2618__FDSAUDITLINK__" localSheetId="7" hidden="1">{"fdsup://Directions/FactSet Auditing Viewer?action=AUDIT_VALUE&amp;DB=129&amp;ID1=59501710&amp;VALUEID=02001&amp;SDATE=200501&amp;PERIODTYPE=QTR_STD&amp;SCFT=3&amp;window=popup_no_bar&amp;width=385&amp;height=120&amp;START_MAXIMIZED=FALSE&amp;creator=factset&amp;display_string=Audit"}</definedName>
    <definedName name="_2618__FDSAUDITLINK__" hidden="1">{"fdsup://Directions/FactSet Auditing Viewer?action=AUDIT_VALUE&amp;DB=129&amp;ID1=59501710&amp;VALUEID=02001&amp;SDATE=200501&amp;PERIODTYPE=QTR_STD&amp;SCFT=3&amp;window=popup_no_bar&amp;width=385&amp;height=120&amp;START_MAXIMIZED=FALSE&amp;creator=factset&amp;display_string=Audit"}</definedName>
    <definedName name="_2619__FDSAUDITLINK__" localSheetId="7" hidden="1">{"fdsup://Directions/FactSet Auditing Viewer?action=AUDIT_VALUE&amp;DB=129&amp;ID1=50216110&amp;VALUEID=02001&amp;SDATE=200502&amp;PERIODTYPE=QTR_STD&amp;SCFT=3&amp;window=popup_no_bar&amp;width=385&amp;height=120&amp;START_MAXIMIZED=FALSE&amp;creator=factset&amp;display_string=Audit"}</definedName>
    <definedName name="_2619__FDSAUDITLINK__" hidden="1">{"fdsup://Directions/FactSet Auditing Viewer?action=AUDIT_VALUE&amp;DB=129&amp;ID1=50216110&amp;VALUEID=02001&amp;SDATE=200502&amp;PERIODTYPE=QTR_STD&amp;SCFT=3&amp;window=popup_no_bar&amp;width=385&amp;height=120&amp;START_MAXIMIZED=FALSE&amp;creator=factset&amp;display_string=Audit"}</definedName>
    <definedName name="_262__FDSAUDITLINK__" localSheetId="7" hidden="1">{"fdsup://Directions/FactSet Auditing Viewer?action=AUDIT_VALUE&amp;DB=129&amp;ID1=24702R10&amp;VALUEID=02001&amp;SDATE=201004&amp;PERIODTYPE=QTR_STD&amp;SCFT=3&amp;window=popup_no_bar&amp;width=385&amp;height=120&amp;START_MAXIMIZED=FALSE&amp;creator=factset&amp;display_string=Audit"}</definedName>
    <definedName name="_262__FDSAUDITLINK__" hidden="1">{"fdsup://Directions/FactSet Auditing Viewer?action=AUDIT_VALUE&amp;DB=129&amp;ID1=24702R10&amp;VALUEID=02001&amp;SDATE=201004&amp;PERIODTYPE=QTR_STD&amp;SCFT=3&amp;window=popup_no_bar&amp;width=385&amp;height=120&amp;START_MAXIMIZED=FALSE&amp;creator=factset&amp;display_string=Audit"}</definedName>
    <definedName name="_2620__FDSAUDITLINK__" localSheetId="7" hidden="1">{"fdsup://Directions/FactSet Auditing Viewer?action=AUDIT_VALUE&amp;DB=129&amp;ID1=50216110&amp;VALUEID=02001&amp;SDATE=200502&amp;PERIODTYPE=QTR_STD&amp;SCFT=3&amp;window=popup_no_bar&amp;width=385&amp;height=120&amp;START_MAXIMIZED=FALSE&amp;creator=factset&amp;display_string=Audit"}</definedName>
    <definedName name="_2620__FDSAUDITLINK__" hidden="1">{"fdsup://Directions/FactSet Auditing Viewer?action=AUDIT_VALUE&amp;DB=129&amp;ID1=50216110&amp;VALUEID=02001&amp;SDATE=200502&amp;PERIODTYPE=QTR_STD&amp;SCFT=3&amp;window=popup_no_bar&amp;width=385&amp;height=120&amp;START_MAXIMIZED=FALSE&amp;creator=factset&amp;display_string=Audit"}</definedName>
    <definedName name="_2621__FDSAUDITLINK__" localSheetId="7" hidden="1">{"fdsup://Directions/FactSet Auditing Viewer?action=AUDIT_VALUE&amp;DB=129&amp;ID1=51841510&amp;VALUEID=02001&amp;SDATE=200502&amp;PERIODTYPE=QTR_STD&amp;SCFT=3&amp;window=popup_no_bar&amp;width=385&amp;height=120&amp;START_MAXIMIZED=FALSE&amp;creator=factset&amp;display_string=Audit"}</definedName>
    <definedName name="_2621__FDSAUDITLINK__" hidden="1">{"fdsup://Directions/FactSet Auditing Viewer?action=AUDIT_VALUE&amp;DB=129&amp;ID1=51841510&amp;VALUEID=02001&amp;SDATE=200502&amp;PERIODTYPE=QTR_STD&amp;SCFT=3&amp;window=popup_no_bar&amp;width=385&amp;height=120&amp;START_MAXIMIZED=FALSE&amp;creator=factset&amp;display_string=Audit"}</definedName>
    <definedName name="_2622__FDSAUDITLINK__" localSheetId="7" hidden="1">{"fdsup://Directions/FactSet Auditing Viewer?action=AUDIT_VALUE&amp;DB=129&amp;ID1=51841510&amp;VALUEID=02001&amp;SDATE=200502&amp;PERIODTYPE=QTR_STD&amp;SCFT=3&amp;window=popup_no_bar&amp;width=385&amp;height=120&amp;START_MAXIMIZED=FALSE&amp;creator=factset&amp;display_string=Audit"}</definedName>
    <definedName name="_2622__FDSAUDITLINK__" hidden="1">{"fdsup://Directions/FactSet Auditing Viewer?action=AUDIT_VALUE&amp;DB=129&amp;ID1=51841510&amp;VALUEID=02001&amp;SDATE=200502&amp;PERIODTYPE=QTR_STD&amp;SCFT=3&amp;window=popup_no_bar&amp;width=385&amp;height=120&amp;START_MAXIMIZED=FALSE&amp;creator=factset&amp;display_string=Audit"}</definedName>
    <definedName name="_2623__FDSAUDITLINK__" localSheetId="7" hidden="1">{"fdsup://Directions/FactSet Auditing Viewer?action=AUDIT_VALUE&amp;DB=129&amp;ID1=48203R10&amp;VALUEID=02001&amp;SDATE=200502&amp;PERIODTYPE=QTR_STD&amp;SCFT=3&amp;window=popup_no_bar&amp;width=385&amp;height=120&amp;START_MAXIMIZED=FALSE&amp;creator=factset&amp;display_string=Audit"}</definedName>
    <definedName name="_2623__FDSAUDITLINK__" hidden="1">{"fdsup://Directions/FactSet Auditing Viewer?action=AUDIT_VALUE&amp;DB=129&amp;ID1=48203R10&amp;VALUEID=02001&amp;SDATE=200502&amp;PERIODTYPE=QTR_STD&amp;SCFT=3&amp;window=popup_no_bar&amp;width=385&amp;height=120&amp;START_MAXIMIZED=FALSE&amp;creator=factset&amp;display_string=Audit"}</definedName>
    <definedName name="_2624__FDSAUDITLINK__" localSheetId="7" hidden="1">{"fdsup://Directions/FactSet Auditing Viewer?action=AUDIT_VALUE&amp;DB=129&amp;ID1=48203R10&amp;VALUEID=02001&amp;SDATE=200502&amp;PERIODTYPE=QTR_STD&amp;SCFT=3&amp;window=popup_no_bar&amp;width=385&amp;height=120&amp;START_MAXIMIZED=FALSE&amp;creator=factset&amp;display_string=Audit"}</definedName>
    <definedName name="_2624__FDSAUDITLINK__" hidden="1">{"fdsup://Directions/FactSet Auditing Viewer?action=AUDIT_VALUE&amp;DB=129&amp;ID1=48203R10&amp;VALUEID=02001&amp;SDATE=200502&amp;PERIODTYPE=QTR_STD&amp;SCFT=3&amp;window=popup_no_bar&amp;width=385&amp;height=120&amp;START_MAXIMIZED=FALSE&amp;creator=factset&amp;display_string=Audit"}</definedName>
    <definedName name="_2625__FDSAUDITLINK__" localSheetId="7" hidden="1">{"fdsup://Directions/FactSet Auditing Viewer?action=AUDIT_VALUE&amp;DB=129&amp;ID1=46069S10&amp;VALUEID=02001&amp;SDATE=200502&amp;PERIODTYPE=QTR_STD&amp;SCFT=3&amp;window=popup_no_bar&amp;width=385&amp;height=120&amp;START_MAXIMIZED=FALSE&amp;creator=factset&amp;display_string=Audit"}</definedName>
    <definedName name="_2625__FDSAUDITLINK__" hidden="1">{"fdsup://Directions/FactSet Auditing Viewer?action=AUDIT_VALUE&amp;DB=129&amp;ID1=46069S10&amp;VALUEID=02001&amp;SDATE=200502&amp;PERIODTYPE=QTR_STD&amp;SCFT=3&amp;window=popup_no_bar&amp;width=385&amp;height=120&amp;START_MAXIMIZED=FALSE&amp;creator=factset&amp;display_string=Audit"}</definedName>
    <definedName name="_2626__FDSAUDITLINK__" localSheetId="7" hidden="1">{"fdsup://Directions/FactSet Auditing Viewer?action=AUDIT_VALUE&amp;DB=129&amp;ID1=46069S10&amp;VALUEID=02001&amp;SDATE=200502&amp;PERIODTYPE=QTR_STD&amp;SCFT=3&amp;window=popup_no_bar&amp;width=385&amp;height=120&amp;START_MAXIMIZED=FALSE&amp;creator=factset&amp;display_string=Audit"}</definedName>
    <definedName name="_2626__FDSAUDITLINK__" hidden="1">{"fdsup://Directions/FactSet Auditing Viewer?action=AUDIT_VALUE&amp;DB=129&amp;ID1=46069S10&amp;VALUEID=02001&amp;SDATE=200502&amp;PERIODTYPE=QTR_STD&amp;SCFT=3&amp;window=popup_no_bar&amp;width=385&amp;height=120&amp;START_MAXIMIZED=FALSE&amp;creator=factset&amp;display_string=Audit"}</definedName>
    <definedName name="_2627__FDSAUDITLINK__" localSheetId="7" hidden="1">{"fdsup://Directions/FactSet Auditing Viewer?action=AUDIT_VALUE&amp;DB=129&amp;ID1=46025410&amp;VALUEID=02001&amp;SDATE=200504&amp;PERIODTYPE=QTR_STD&amp;SCFT=3&amp;window=popup_no_bar&amp;width=385&amp;height=120&amp;START_MAXIMIZED=FALSE&amp;creator=factset&amp;display_string=Audit"}</definedName>
    <definedName name="_2627__FDSAUDITLINK__" hidden="1">{"fdsup://Directions/FactSet Auditing Viewer?action=AUDIT_VALUE&amp;DB=129&amp;ID1=46025410&amp;VALUEID=02001&amp;SDATE=200504&amp;PERIODTYPE=QTR_STD&amp;SCFT=3&amp;window=popup_no_bar&amp;width=385&amp;height=120&amp;START_MAXIMIZED=FALSE&amp;creator=factset&amp;display_string=Audit"}</definedName>
    <definedName name="_2628__FDSAUDITLINK__" localSheetId="7" hidden="1">{"fdsup://Directions/FactSet Auditing Viewer?action=AUDIT_VALUE&amp;DB=129&amp;ID1=46025410&amp;VALUEID=02001&amp;SDATE=200504&amp;PERIODTYPE=QTR_STD&amp;SCFT=3&amp;window=popup_no_bar&amp;width=385&amp;height=120&amp;START_MAXIMIZED=FALSE&amp;creator=factset&amp;display_string=Audit"}</definedName>
    <definedName name="_2628__FDSAUDITLINK__" hidden="1">{"fdsup://Directions/FactSet Auditing Viewer?action=AUDIT_VALUE&amp;DB=129&amp;ID1=46025410&amp;VALUEID=02001&amp;SDATE=200504&amp;PERIODTYPE=QTR_STD&amp;SCFT=3&amp;window=popup_no_bar&amp;width=385&amp;height=120&amp;START_MAXIMIZED=FALSE&amp;creator=factset&amp;display_string=Audit"}</definedName>
    <definedName name="_2629__FDSAUDITLINK__" localSheetId="7" hidden="1">{"fdsup://Directions/FactSet Auditing Viewer?action=AUDIT_VALUE&amp;DB=129&amp;ID1=45814010&amp;VALUEID=02001&amp;SDATE=200502&amp;PERIODTYPE=QTR_STD&amp;SCFT=3&amp;window=popup_no_bar&amp;width=385&amp;height=120&amp;START_MAXIMIZED=FALSE&amp;creator=factset&amp;display_string=Audit"}</definedName>
    <definedName name="_2629__FDSAUDITLINK__" hidden="1">{"fdsup://Directions/FactSet Auditing Viewer?action=AUDIT_VALUE&amp;DB=129&amp;ID1=45814010&amp;VALUEID=02001&amp;SDATE=200502&amp;PERIODTYPE=QTR_STD&amp;SCFT=3&amp;window=popup_no_bar&amp;width=385&amp;height=120&amp;START_MAXIMIZED=FALSE&amp;creator=factset&amp;display_string=Audit"}</definedName>
    <definedName name="_263__FDSAUDITLINK__" localSheetId="7" hidden="1">{"fdsup://Directions/FactSet Auditing Viewer?action=AUDIT_VALUE&amp;DB=129&amp;ID1=23257210&amp;VALUEID=02001&amp;SDATE=201004&amp;PERIODTYPE=QTR_STD&amp;SCFT=3&amp;window=popup_no_bar&amp;width=385&amp;height=120&amp;START_MAXIMIZED=FALSE&amp;creator=factset&amp;display_string=Audit"}</definedName>
    <definedName name="_263__FDSAUDITLINK__" hidden="1">{"fdsup://Directions/FactSet Auditing Viewer?action=AUDIT_VALUE&amp;DB=129&amp;ID1=23257210&amp;VALUEID=02001&amp;SDATE=201004&amp;PERIODTYPE=QTR_STD&amp;SCFT=3&amp;window=popup_no_bar&amp;width=385&amp;height=120&amp;START_MAXIMIZED=FALSE&amp;creator=factset&amp;display_string=Audit"}</definedName>
    <definedName name="_2630__FDSAUDITLINK__" localSheetId="7" hidden="1">{"fdsup://Directions/FactSet Auditing Viewer?action=AUDIT_VALUE&amp;DB=129&amp;ID1=45814010&amp;VALUEID=02001&amp;SDATE=200502&amp;PERIODTYPE=QTR_STD&amp;SCFT=3&amp;window=popup_no_bar&amp;width=385&amp;height=120&amp;START_MAXIMIZED=FALSE&amp;creator=factset&amp;display_string=Audit"}</definedName>
    <definedName name="_2630__FDSAUDITLINK__" hidden="1">{"fdsup://Directions/FactSet Auditing Viewer?action=AUDIT_VALUE&amp;DB=129&amp;ID1=45814010&amp;VALUEID=02001&amp;SDATE=200502&amp;PERIODTYPE=QTR_STD&amp;SCFT=3&amp;window=popup_no_bar&amp;width=385&amp;height=120&amp;START_MAXIMIZED=FALSE&amp;creator=factset&amp;display_string=Audit"}</definedName>
    <definedName name="_2631__FDSAUDITLINK__" localSheetId="7" hidden="1">{"fdsup://Directions/FactSet Auditing Viewer?action=AUDIT_VALUE&amp;DB=129&amp;ID1=45811810&amp;VALUEID=02001&amp;SDATE=200501&amp;PERIODTYPE=QTR_STD&amp;SCFT=3&amp;window=popup_no_bar&amp;width=385&amp;height=120&amp;START_MAXIMIZED=FALSE&amp;creator=factset&amp;display_string=Audit"}</definedName>
    <definedName name="_2631__FDSAUDITLINK__" hidden="1">{"fdsup://Directions/FactSet Auditing Viewer?action=AUDIT_VALUE&amp;DB=129&amp;ID1=45811810&amp;VALUEID=02001&amp;SDATE=200501&amp;PERIODTYPE=QTR_STD&amp;SCFT=3&amp;window=popup_no_bar&amp;width=385&amp;height=120&amp;START_MAXIMIZED=FALSE&amp;creator=factset&amp;display_string=Audit"}</definedName>
    <definedName name="_2632__FDSAUDITLINK__" localSheetId="7" hidden="1">{"fdsup://Directions/FactSet Auditing Viewer?action=AUDIT_VALUE&amp;DB=129&amp;ID1=45811810&amp;VALUEID=02001&amp;SDATE=200501&amp;PERIODTYPE=QTR_STD&amp;SCFT=3&amp;window=popup_no_bar&amp;width=385&amp;height=120&amp;START_MAXIMIZED=FALSE&amp;creator=factset&amp;display_string=Audit"}</definedName>
    <definedName name="_2632__FDSAUDITLINK__" hidden="1">{"fdsup://Directions/FactSet Auditing Viewer?action=AUDIT_VALUE&amp;DB=129&amp;ID1=45811810&amp;VALUEID=02001&amp;SDATE=200501&amp;PERIODTYPE=QTR_STD&amp;SCFT=3&amp;window=popup_no_bar&amp;width=385&amp;height=120&amp;START_MAXIMIZED=FALSE&amp;creator=factset&amp;display_string=Audit"}</definedName>
    <definedName name="_2633__FDSAUDITLINK__" localSheetId="7" hidden="1">{"fdsup://Directions/FactSet Auditing Viewer?action=AUDIT_VALUE&amp;DB=129&amp;ID1=42823610&amp;VALUEID=02001&amp;SDATE=200503&amp;PERIODTYPE=QTR_STD&amp;SCFT=3&amp;window=popup_no_bar&amp;width=385&amp;height=120&amp;START_MAXIMIZED=FALSE&amp;creator=factset&amp;display_string=Audit"}</definedName>
    <definedName name="_2633__FDSAUDITLINK__" hidden="1">{"fdsup://Directions/FactSet Auditing Viewer?action=AUDIT_VALUE&amp;DB=129&amp;ID1=42823610&amp;VALUEID=02001&amp;SDATE=200503&amp;PERIODTYPE=QTR_STD&amp;SCFT=3&amp;window=popup_no_bar&amp;width=385&amp;height=120&amp;START_MAXIMIZED=FALSE&amp;creator=factset&amp;display_string=Audit"}</definedName>
    <definedName name="_2634__FDSAUDITLINK__" localSheetId="7" hidden="1">{"fdsup://Directions/FactSet Auditing Viewer?action=AUDIT_VALUE&amp;DB=129&amp;ID1=42823610&amp;VALUEID=02001&amp;SDATE=200503&amp;PERIODTYPE=QTR_STD&amp;SCFT=3&amp;window=popup_no_bar&amp;width=385&amp;height=120&amp;START_MAXIMIZED=FALSE&amp;creator=factset&amp;display_string=Audit"}</definedName>
    <definedName name="_2634__FDSAUDITLINK__" hidden="1">{"fdsup://Directions/FactSet Auditing Viewer?action=AUDIT_VALUE&amp;DB=129&amp;ID1=42823610&amp;VALUEID=02001&amp;SDATE=200503&amp;PERIODTYPE=QTR_STD&amp;SCFT=3&amp;window=popup_no_bar&amp;width=385&amp;height=120&amp;START_MAXIMIZED=FALSE&amp;creator=factset&amp;display_string=Audit"}</definedName>
    <definedName name="_2635__FDSAUDITLINK__" localSheetId="7" hidden="1">{"fdsup://Directions/FactSet Auditing Viewer?action=AUDIT_VALUE&amp;DB=129&amp;ID1=34637510&amp;VALUEID=02001&amp;SDATE=200502&amp;PERIODTYPE=QTR_STD&amp;SCFT=3&amp;window=popup_no_bar&amp;width=385&amp;height=120&amp;START_MAXIMIZED=FALSE&amp;creator=factset&amp;display_string=Audit"}</definedName>
    <definedName name="_2635__FDSAUDITLINK__" hidden="1">{"fdsup://Directions/FactSet Auditing Viewer?action=AUDIT_VALUE&amp;DB=129&amp;ID1=34637510&amp;VALUEID=02001&amp;SDATE=200502&amp;PERIODTYPE=QTR_STD&amp;SCFT=3&amp;window=popup_no_bar&amp;width=385&amp;height=120&amp;START_MAXIMIZED=FALSE&amp;creator=factset&amp;display_string=Audit"}</definedName>
    <definedName name="_2636__FDSAUDITLINK__" localSheetId="7" hidden="1">{"fdsup://Directions/FactSet Auditing Viewer?action=AUDIT_VALUE&amp;DB=129&amp;ID1=34637510&amp;VALUEID=02001&amp;SDATE=200502&amp;PERIODTYPE=QTR_STD&amp;SCFT=3&amp;window=popup_no_bar&amp;width=385&amp;height=120&amp;START_MAXIMIZED=FALSE&amp;creator=factset&amp;display_string=Audit"}</definedName>
    <definedName name="_2636__FDSAUDITLINK__" hidden="1">{"fdsup://Directions/FactSet Auditing Viewer?action=AUDIT_VALUE&amp;DB=129&amp;ID1=34637510&amp;VALUEID=02001&amp;SDATE=200502&amp;PERIODTYPE=QTR_STD&amp;SCFT=3&amp;window=popup_no_bar&amp;width=385&amp;height=120&amp;START_MAXIMIZED=FALSE&amp;creator=factset&amp;display_string=Audit"}</definedName>
    <definedName name="_2637__FDSAUDITLINK__" localSheetId="7" hidden="1">{"fdsup://Directions/FactSet Auditing Viewer?action=AUDIT_VALUE&amp;DB=129&amp;ID1=31561610&amp;VALUEID=02001&amp;SDATE=200503&amp;PERIODTYPE=QTR_STD&amp;SCFT=3&amp;window=popup_no_bar&amp;width=385&amp;height=120&amp;START_MAXIMIZED=FALSE&amp;creator=factset&amp;display_string=Audit"}</definedName>
    <definedName name="_2637__FDSAUDITLINK__" hidden="1">{"fdsup://Directions/FactSet Auditing Viewer?action=AUDIT_VALUE&amp;DB=129&amp;ID1=31561610&amp;VALUEID=02001&amp;SDATE=200503&amp;PERIODTYPE=QTR_STD&amp;SCFT=3&amp;window=popup_no_bar&amp;width=385&amp;height=120&amp;START_MAXIMIZED=FALSE&amp;creator=factset&amp;display_string=Audit"}</definedName>
    <definedName name="_2638__FDSAUDITLINK__" localSheetId="7" hidden="1">{"fdsup://Directions/FactSet Auditing Viewer?action=AUDIT_VALUE&amp;DB=129&amp;ID1=31561610&amp;VALUEID=02001&amp;SDATE=200503&amp;PERIODTYPE=QTR_STD&amp;SCFT=3&amp;window=popup_no_bar&amp;width=385&amp;height=120&amp;START_MAXIMIZED=FALSE&amp;creator=factset&amp;display_string=Audit"}</definedName>
    <definedName name="_2638__FDSAUDITLINK__" hidden="1">{"fdsup://Directions/FactSet Auditing Viewer?action=AUDIT_VALUE&amp;DB=129&amp;ID1=31561610&amp;VALUEID=02001&amp;SDATE=200503&amp;PERIODTYPE=QTR_STD&amp;SCFT=3&amp;window=popup_no_bar&amp;width=385&amp;height=120&amp;START_MAXIMIZED=FALSE&amp;creator=factset&amp;display_string=Audit"}</definedName>
    <definedName name="_2639__FDSAUDITLINK__" localSheetId="7" hidden="1">{"fdsup://Directions/FactSet Auditing Viewer?action=AUDIT_VALUE&amp;DB=129&amp;ID1=25454310&amp;VALUEID=02001&amp;SDATE=200502&amp;PERIODTYPE=QTR_STD&amp;SCFT=3&amp;window=popup_no_bar&amp;width=385&amp;height=120&amp;START_MAXIMIZED=FALSE&amp;creator=factset&amp;display_string=Audit"}</definedName>
    <definedName name="_2639__FDSAUDITLINK__" hidden="1">{"fdsup://Directions/FactSet Auditing Viewer?action=AUDIT_VALUE&amp;DB=129&amp;ID1=25454310&amp;VALUEID=02001&amp;SDATE=200502&amp;PERIODTYPE=QTR_STD&amp;SCFT=3&amp;window=popup_no_bar&amp;width=385&amp;height=120&amp;START_MAXIMIZED=FALSE&amp;creator=factset&amp;display_string=Audit"}</definedName>
    <definedName name="_264__FDSAUDITLINK__" localSheetId="7" hidden="1">{"fdsup://Directions/FactSet Auditing Viewer?action=AUDIT_VALUE&amp;DB=129&amp;ID1=23257210&amp;VALUEID=02001&amp;SDATE=201004&amp;PERIODTYPE=QTR_STD&amp;SCFT=3&amp;window=popup_no_bar&amp;width=385&amp;height=120&amp;START_MAXIMIZED=FALSE&amp;creator=factset&amp;display_string=Audit"}</definedName>
    <definedName name="_264__FDSAUDITLINK__" hidden="1">{"fdsup://Directions/FactSet Auditing Viewer?action=AUDIT_VALUE&amp;DB=129&amp;ID1=23257210&amp;VALUEID=02001&amp;SDATE=201004&amp;PERIODTYPE=QTR_STD&amp;SCFT=3&amp;window=popup_no_bar&amp;width=385&amp;height=120&amp;START_MAXIMIZED=FALSE&amp;creator=factset&amp;display_string=Audit"}</definedName>
    <definedName name="_2640__FDSAUDITLINK__" localSheetId="7" hidden="1">{"fdsup://Directions/FactSet Auditing Viewer?action=AUDIT_VALUE&amp;DB=129&amp;ID1=25454310&amp;VALUEID=02001&amp;SDATE=200502&amp;PERIODTYPE=QTR_STD&amp;SCFT=3&amp;window=popup_no_bar&amp;width=385&amp;height=120&amp;START_MAXIMIZED=FALSE&amp;creator=factset&amp;display_string=Audit"}</definedName>
    <definedName name="_2640__FDSAUDITLINK__" hidden="1">{"fdsup://Directions/FactSet Auditing Viewer?action=AUDIT_VALUE&amp;DB=129&amp;ID1=25454310&amp;VALUEID=02001&amp;SDATE=200502&amp;PERIODTYPE=QTR_STD&amp;SCFT=3&amp;window=popup_no_bar&amp;width=385&amp;height=120&amp;START_MAXIMIZED=FALSE&amp;creator=factset&amp;display_string=Audit"}</definedName>
    <definedName name="_2641__FDSAUDITLINK__" localSheetId="7" hidden="1">{"fdsup://Directions/FactSet Auditing Viewer?action=AUDIT_VALUE&amp;DB=129&amp;ID1=24702R10&amp;VALUEID=02001&amp;SDATE=200502&amp;PERIODTYPE=QTR_STD&amp;SCFT=3&amp;window=popup_no_bar&amp;width=385&amp;height=120&amp;START_MAXIMIZED=FALSE&amp;creator=factset&amp;display_string=Audit"}</definedName>
    <definedName name="_2641__FDSAUDITLINK__" hidden="1">{"fdsup://Directions/FactSet Auditing Viewer?action=AUDIT_VALUE&amp;DB=129&amp;ID1=24702R10&amp;VALUEID=02001&amp;SDATE=200502&amp;PERIODTYPE=QTR_STD&amp;SCFT=3&amp;window=popup_no_bar&amp;width=385&amp;height=120&amp;START_MAXIMIZED=FALSE&amp;creator=factset&amp;display_string=Audit"}</definedName>
    <definedName name="_2642__FDSAUDITLINK__" localSheetId="7" hidden="1">{"fdsup://Directions/FactSet Auditing Viewer?action=AUDIT_VALUE&amp;DB=129&amp;ID1=24702R10&amp;VALUEID=02001&amp;SDATE=200502&amp;PERIODTYPE=QTR_STD&amp;SCFT=3&amp;window=popup_no_bar&amp;width=385&amp;height=120&amp;START_MAXIMIZED=FALSE&amp;creator=factset&amp;display_string=Audit"}</definedName>
    <definedName name="_2642__FDSAUDITLINK__" hidden="1">{"fdsup://Directions/FactSet Auditing Viewer?action=AUDIT_VALUE&amp;DB=129&amp;ID1=24702R10&amp;VALUEID=02001&amp;SDATE=200502&amp;PERIODTYPE=QTR_STD&amp;SCFT=3&amp;window=popup_no_bar&amp;width=385&amp;height=120&amp;START_MAXIMIZED=FALSE&amp;creator=factset&amp;display_string=Audit"}</definedName>
    <definedName name="_2643__FDSAUDITLINK__" localSheetId="7" hidden="1">{"fdsup://Directions/FactSet Auditing Viewer?action=AUDIT_VALUE&amp;DB=129&amp;ID1=23257210&amp;VALUEID=02001&amp;SDATE=200502&amp;PERIODTYPE=QTR_STD&amp;SCFT=3&amp;window=popup_no_bar&amp;width=385&amp;height=120&amp;START_MAXIMIZED=FALSE&amp;creator=factset&amp;display_string=Audit"}</definedName>
    <definedName name="_2643__FDSAUDITLINK__" hidden="1">{"fdsup://Directions/FactSet Auditing Viewer?action=AUDIT_VALUE&amp;DB=129&amp;ID1=23257210&amp;VALUEID=02001&amp;SDATE=200502&amp;PERIODTYPE=QTR_STD&amp;SCFT=3&amp;window=popup_no_bar&amp;width=385&amp;height=120&amp;START_MAXIMIZED=FALSE&amp;creator=factset&amp;display_string=Audit"}</definedName>
    <definedName name="_2644__FDSAUDITLINK__" localSheetId="7" hidden="1">{"fdsup://Directions/FactSet Auditing Viewer?action=AUDIT_VALUE&amp;DB=129&amp;ID1=23257210&amp;VALUEID=02001&amp;SDATE=200502&amp;PERIODTYPE=QTR_STD&amp;SCFT=3&amp;window=popup_no_bar&amp;width=385&amp;height=120&amp;START_MAXIMIZED=FALSE&amp;creator=factset&amp;display_string=Audit"}</definedName>
    <definedName name="_2644__FDSAUDITLINK__" hidden="1">{"fdsup://Directions/FactSet Auditing Viewer?action=AUDIT_VALUE&amp;DB=129&amp;ID1=23257210&amp;VALUEID=02001&amp;SDATE=200502&amp;PERIODTYPE=QTR_STD&amp;SCFT=3&amp;window=popup_no_bar&amp;width=385&amp;height=120&amp;START_MAXIMIZED=FALSE&amp;creator=factset&amp;display_string=Audit"}</definedName>
    <definedName name="_2645__FDSAUDITLINK__" localSheetId="7" hidden="1">{"fdsup://Directions/FactSet Auditing Viewer?action=AUDIT_VALUE&amp;DB=129&amp;ID1=23280610&amp;VALUEID=02001&amp;SDATE=200502&amp;PERIODTYPE=QTR_STD&amp;SCFT=3&amp;window=popup_no_bar&amp;width=385&amp;height=120&amp;START_MAXIMIZED=FALSE&amp;creator=factset&amp;display_string=Audit"}</definedName>
    <definedName name="_2645__FDSAUDITLINK__" hidden="1">{"fdsup://Directions/FactSet Auditing Viewer?action=AUDIT_VALUE&amp;DB=129&amp;ID1=23280610&amp;VALUEID=02001&amp;SDATE=200502&amp;PERIODTYPE=QTR_STD&amp;SCFT=3&amp;window=popup_no_bar&amp;width=385&amp;height=120&amp;START_MAXIMIZED=FALSE&amp;creator=factset&amp;display_string=Audit"}</definedName>
    <definedName name="_2646__FDSAUDITLINK__" localSheetId="7" hidden="1">{"fdsup://Directions/FactSet Auditing Viewer?action=AUDIT_VALUE&amp;DB=129&amp;ID1=23280610&amp;VALUEID=02001&amp;SDATE=200502&amp;PERIODTYPE=QTR_STD&amp;SCFT=3&amp;window=popup_no_bar&amp;width=385&amp;height=120&amp;START_MAXIMIZED=FALSE&amp;creator=factset&amp;display_string=Audit"}</definedName>
    <definedName name="_2646__FDSAUDITLINK__" hidden="1">{"fdsup://Directions/FactSet Auditing Viewer?action=AUDIT_VALUE&amp;DB=129&amp;ID1=23280610&amp;VALUEID=02001&amp;SDATE=200502&amp;PERIODTYPE=QTR_STD&amp;SCFT=3&amp;window=popup_no_bar&amp;width=385&amp;height=120&amp;START_MAXIMIZED=FALSE&amp;creator=factset&amp;display_string=Audit"}</definedName>
    <definedName name="_2647__FDSAUDITLINK__" localSheetId="7" hidden="1">{"fdsup://Directions/FactSet Auditing Viewer?action=AUDIT_VALUE&amp;DB=129&amp;ID1=20714230&amp;VALUEID=02001&amp;SDATE=200503&amp;PERIODTYPE=QTR_STD&amp;SCFT=3&amp;window=popup_no_bar&amp;width=385&amp;height=120&amp;START_MAXIMIZED=FALSE&amp;creator=factset&amp;display_string=Audit"}</definedName>
    <definedName name="_2647__FDSAUDITLINK__" hidden="1">{"fdsup://Directions/FactSet Auditing Viewer?action=AUDIT_VALUE&amp;DB=129&amp;ID1=20714230&amp;VALUEID=02001&amp;SDATE=200503&amp;PERIODTYPE=QTR_STD&amp;SCFT=3&amp;window=popup_no_bar&amp;width=385&amp;height=120&amp;START_MAXIMIZED=FALSE&amp;creator=factset&amp;display_string=Audit"}</definedName>
    <definedName name="_2648__FDSAUDITLINK__" localSheetId="7" hidden="1">{"fdsup://Directions/FactSet Auditing Viewer?action=AUDIT_VALUE&amp;DB=129&amp;ID1=20714230&amp;VALUEID=02001&amp;SDATE=200503&amp;PERIODTYPE=QTR_STD&amp;SCFT=3&amp;window=popup_no_bar&amp;width=385&amp;height=120&amp;START_MAXIMIZED=FALSE&amp;creator=factset&amp;display_string=Audit"}</definedName>
    <definedName name="_2648__FDSAUDITLINK__" hidden="1">{"fdsup://Directions/FactSet Auditing Viewer?action=AUDIT_VALUE&amp;DB=129&amp;ID1=20714230&amp;VALUEID=02001&amp;SDATE=200503&amp;PERIODTYPE=QTR_STD&amp;SCFT=3&amp;window=popup_no_bar&amp;width=385&amp;height=120&amp;START_MAXIMIZED=FALSE&amp;creator=factset&amp;display_string=Audit"}</definedName>
    <definedName name="_2649__FDSAUDITLINK__" localSheetId="7" hidden="1">{"fdsup://Directions/FactSet Auditing Viewer?action=AUDIT_VALUE&amp;DB=129&amp;ID1=12738710&amp;VALUEID=02001&amp;SDATE=200502&amp;PERIODTYPE=QTR_STD&amp;SCFT=3&amp;window=popup_no_bar&amp;width=385&amp;height=120&amp;START_MAXIMIZED=FALSE&amp;creator=factset&amp;display_string=Audit"}</definedName>
    <definedName name="_2649__FDSAUDITLINK__" hidden="1">{"fdsup://Directions/FactSet Auditing Viewer?action=AUDIT_VALUE&amp;DB=129&amp;ID1=12738710&amp;VALUEID=02001&amp;SDATE=200502&amp;PERIODTYPE=QTR_STD&amp;SCFT=3&amp;window=popup_no_bar&amp;width=385&amp;height=120&amp;START_MAXIMIZED=FALSE&amp;creator=factset&amp;display_string=Audit"}</definedName>
    <definedName name="_265__FDSAUDITLINK__" localSheetId="7" hidden="1">{"fdsup://Directions/FactSet Auditing Viewer?action=AUDIT_VALUE&amp;DB=129&amp;ID1=23280610&amp;VALUEID=02001&amp;SDATE=201004&amp;PERIODTYPE=QTR_STD&amp;SCFT=3&amp;window=popup_no_bar&amp;width=385&amp;height=120&amp;START_MAXIMIZED=FALSE&amp;creator=factset&amp;display_string=Audit"}</definedName>
    <definedName name="_265__FDSAUDITLINK__" hidden="1">{"fdsup://Directions/FactSet Auditing Viewer?action=AUDIT_VALUE&amp;DB=129&amp;ID1=23280610&amp;VALUEID=02001&amp;SDATE=201004&amp;PERIODTYPE=QTR_STD&amp;SCFT=3&amp;window=popup_no_bar&amp;width=385&amp;height=120&amp;START_MAXIMIZED=FALSE&amp;creator=factset&amp;display_string=Audit"}</definedName>
    <definedName name="_2650__FDSAUDITLINK__" localSheetId="7" hidden="1">{"fdsup://Directions/FactSet Auditing Viewer?action=AUDIT_VALUE&amp;DB=129&amp;ID1=12738710&amp;VALUEID=02001&amp;SDATE=200502&amp;PERIODTYPE=QTR_STD&amp;SCFT=3&amp;window=popup_no_bar&amp;width=385&amp;height=120&amp;START_MAXIMIZED=FALSE&amp;creator=factset&amp;display_string=Audit"}</definedName>
    <definedName name="_2650__FDSAUDITLINK__" hidden="1">{"fdsup://Directions/FactSet Auditing Viewer?action=AUDIT_VALUE&amp;DB=129&amp;ID1=12738710&amp;VALUEID=02001&amp;SDATE=200502&amp;PERIODTYPE=QTR_STD&amp;SCFT=3&amp;window=popup_no_bar&amp;width=385&amp;height=120&amp;START_MAXIMIZED=FALSE&amp;creator=factset&amp;display_string=Audit"}</definedName>
    <definedName name="_2651__FDSAUDITLINK__" localSheetId="7" hidden="1">{"fdsup://Directions/FactSet Auditing Viewer?action=AUDIT_VALUE&amp;DB=129&amp;ID1=11162130&amp;VALUEID=02001&amp;SDATE=200503&amp;PERIODTYPE=QTR_STD&amp;SCFT=3&amp;window=popup_no_bar&amp;width=385&amp;height=120&amp;START_MAXIMIZED=FALSE&amp;creator=factset&amp;display_string=Audit"}</definedName>
    <definedName name="_2651__FDSAUDITLINK__" hidden="1">{"fdsup://Directions/FactSet Auditing Viewer?action=AUDIT_VALUE&amp;DB=129&amp;ID1=11162130&amp;VALUEID=02001&amp;SDATE=200503&amp;PERIODTYPE=QTR_STD&amp;SCFT=3&amp;window=popup_no_bar&amp;width=385&amp;height=120&amp;START_MAXIMIZED=FALSE&amp;creator=factset&amp;display_string=Audit"}</definedName>
    <definedName name="_2652__FDSAUDITLINK__" localSheetId="7" hidden="1">{"fdsup://Directions/FactSet Auditing Viewer?action=AUDIT_VALUE&amp;DB=129&amp;ID1=11162130&amp;VALUEID=02001&amp;SDATE=200503&amp;PERIODTYPE=QTR_STD&amp;SCFT=3&amp;window=popup_no_bar&amp;width=385&amp;height=120&amp;START_MAXIMIZED=FALSE&amp;creator=factset&amp;display_string=Audit"}</definedName>
    <definedName name="_2652__FDSAUDITLINK__" hidden="1">{"fdsup://Directions/FactSet Auditing Viewer?action=AUDIT_VALUE&amp;DB=129&amp;ID1=11162130&amp;VALUEID=02001&amp;SDATE=200503&amp;PERIODTYPE=QTR_STD&amp;SCFT=3&amp;window=popup_no_bar&amp;width=385&amp;height=120&amp;START_MAXIMIZED=FALSE&amp;creator=factset&amp;display_string=Audit"}</definedName>
    <definedName name="_2653__FDSAUDITLINK__" localSheetId="7" hidden="1">{"fdsup://Directions/FactSet Auditing Viewer?action=AUDIT_VALUE&amp;DB=129&amp;ID1=04743P10&amp;VALUEID=02001&amp;SDATE=200502&amp;PERIODTYPE=QTR_STD&amp;SCFT=3&amp;window=popup_no_bar&amp;width=385&amp;height=120&amp;START_MAXIMIZED=FALSE&amp;creator=factset&amp;display_string=Audit"}</definedName>
    <definedName name="_2653__FDSAUDITLINK__" hidden="1">{"fdsup://Directions/FactSet Auditing Viewer?action=AUDIT_VALUE&amp;DB=129&amp;ID1=04743P10&amp;VALUEID=02001&amp;SDATE=200502&amp;PERIODTYPE=QTR_STD&amp;SCFT=3&amp;window=popup_no_bar&amp;width=385&amp;height=120&amp;START_MAXIMIZED=FALSE&amp;creator=factset&amp;display_string=Audit"}</definedName>
    <definedName name="_2654__FDSAUDITLINK__" localSheetId="7" hidden="1">{"fdsup://Directions/FactSet Auditing Viewer?action=AUDIT_VALUE&amp;DB=129&amp;ID1=04743P10&amp;VALUEID=02001&amp;SDATE=200502&amp;PERIODTYPE=QTR_STD&amp;SCFT=3&amp;window=popup_no_bar&amp;width=385&amp;height=120&amp;START_MAXIMIZED=FALSE&amp;creator=factset&amp;display_string=Audit"}</definedName>
    <definedName name="_2654__FDSAUDITLINK__" hidden="1">{"fdsup://Directions/FactSet Auditing Viewer?action=AUDIT_VALUE&amp;DB=129&amp;ID1=04743P10&amp;VALUEID=02001&amp;SDATE=200502&amp;PERIODTYPE=QTR_STD&amp;SCFT=3&amp;window=popup_no_bar&amp;width=385&amp;height=120&amp;START_MAXIMIZED=FALSE&amp;creator=factset&amp;display_string=Audit"}</definedName>
    <definedName name="_2655__FDSAUDITLINK__" localSheetId="7" hidden="1">{"fdsup://Directions/FactSet Auditing Viewer?action=AUDIT_VALUE&amp;DB=129&amp;ID1=00790310&amp;VALUEID=02001&amp;SDATE=200502&amp;PERIODTYPE=QTR_STD&amp;SCFT=3&amp;window=popup_no_bar&amp;width=385&amp;height=120&amp;START_MAXIMIZED=FALSE&amp;creator=factset&amp;display_string=Audit"}</definedName>
    <definedName name="_2655__FDSAUDITLINK__" hidden="1">{"fdsup://Directions/FactSet Auditing Viewer?action=AUDIT_VALUE&amp;DB=129&amp;ID1=00790310&amp;VALUEID=02001&amp;SDATE=200502&amp;PERIODTYPE=QTR_STD&amp;SCFT=3&amp;window=popup_no_bar&amp;width=385&amp;height=120&amp;START_MAXIMIZED=FALSE&amp;creator=factset&amp;display_string=Audit"}</definedName>
    <definedName name="_2656__FDSAUDITLINK__" localSheetId="7" hidden="1">{"fdsup://Directions/FactSet Auditing Viewer?action=AUDIT_VALUE&amp;DB=129&amp;ID1=00790310&amp;VALUEID=02001&amp;SDATE=200502&amp;PERIODTYPE=QTR_STD&amp;SCFT=3&amp;window=popup_no_bar&amp;width=385&amp;height=120&amp;START_MAXIMIZED=FALSE&amp;creator=factset&amp;display_string=Audit"}</definedName>
    <definedName name="_2656__FDSAUDITLINK__" hidden="1">{"fdsup://Directions/FactSet Auditing Viewer?action=AUDIT_VALUE&amp;DB=129&amp;ID1=00790310&amp;VALUEID=02001&amp;SDATE=200502&amp;PERIODTYPE=QTR_STD&amp;SCFT=3&amp;window=popup_no_bar&amp;width=385&amp;height=120&amp;START_MAXIMIZED=FALSE&amp;creator=factset&amp;display_string=Audit"}</definedName>
    <definedName name="_2657__FDSAUDITLINK__" localSheetId="7" hidden="1">{"fdsup://Directions/FactSet Auditing Viewer?action=AUDIT_VALUE&amp;DB=129&amp;ID1=03822W40&amp;VALUEID=02001&amp;SDATE=200501&amp;PERIODTYPE=QTR_STD&amp;SCFT=3&amp;window=popup_no_bar&amp;width=385&amp;height=120&amp;START_MAXIMIZED=FALSE&amp;creator=factset&amp;display_string=Audit"}</definedName>
    <definedName name="_2657__FDSAUDITLINK__" hidden="1">{"fdsup://Directions/FactSet Auditing Viewer?action=AUDIT_VALUE&amp;DB=129&amp;ID1=03822W40&amp;VALUEID=02001&amp;SDATE=200501&amp;PERIODTYPE=QTR_STD&amp;SCFT=3&amp;window=popup_no_bar&amp;width=385&amp;height=120&amp;START_MAXIMIZED=FALSE&amp;creator=factset&amp;display_string=Audit"}</definedName>
    <definedName name="_2658__FDSAUDITLINK__" localSheetId="7" hidden="1">{"fdsup://Directions/FactSet Auditing Viewer?action=AUDIT_VALUE&amp;DB=129&amp;ID1=03822W40&amp;VALUEID=02001&amp;SDATE=200501&amp;PERIODTYPE=QTR_STD&amp;SCFT=3&amp;window=popup_no_bar&amp;width=385&amp;height=120&amp;START_MAXIMIZED=FALSE&amp;creator=factset&amp;display_string=Audit"}</definedName>
    <definedName name="_2658__FDSAUDITLINK__" hidden="1">{"fdsup://Directions/FactSet Auditing Viewer?action=AUDIT_VALUE&amp;DB=129&amp;ID1=03822W40&amp;VALUEID=02001&amp;SDATE=200501&amp;PERIODTYPE=QTR_STD&amp;SCFT=3&amp;window=popup_no_bar&amp;width=385&amp;height=120&amp;START_MAXIMIZED=FALSE&amp;creator=factset&amp;display_string=Audit"}</definedName>
    <definedName name="_2659__FDSAUDITLINK__" localSheetId="7" hidden="1">{"fdsup://Directions/FactSet Auditing Viewer?action=AUDIT_VALUE&amp;DB=129&amp;ID1=03822210&amp;VALUEID=02001&amp;SDATE=200503&amp;PERIODTYPE=QTR_STD&amp;SCFT=3&amp;window=popup_no_bar&amp;width=385&amp;height=120&amp;START_MAXIMIZED=FALSE&amp;creator=factset&amp;display_string=Audit"}</definedName>
    <definedName name="_2659__FDSAUDITLINK__" hidden="1">{"fdsup://Directions/FactSet Auditing Viewer?action=AUDIT_VALUE&amp;DB=129&amp;ID1=03822210&amp;VALUEID=02001&amp;SDATE=200503&amp;PERIODTYPE=QTR_STD&amp;SCFT=3&amp;window=popup_no_bar&amp;width=385&amp;height=120&amp;START_MAXIMIZED=FALSE&amp;creator=factset&amp;display_string=Audit"}</definedName>
    <definedName name="_266__FDSAUDITLINK__" localSheetId="7" hidden="1">{"fdsup://Directions/FactSet Auditing Viewer?action=AUDIT_VALUE&amp;DB=129&amp;ID1=23280610&amp;VALUEID=02001&amp;SDATE=201004&amp;PERIODTYPE=QTR_STD&amp;SCFT=3&amp;window=popup_no_bar&amp;width=385&amp;height=120&amp;START_MAXIMIZED=FALSE&amp;creator=factset&amp;display_string=Audit"}</definedName>
    <definedName name="_266__FDSAUDITLINK__" hidden="1">{"fdsup://Directions/FactSet Auditing Viewer?action=AUDIT_VALUE&amp;DB=129&amp;ID1=23280610&amp;VALUEID=02001&amp;SDATE=201004&amp;PERIODTYPE=QTR_STD&amp;SCFT=3&amp;window=popup_no_bar&amp;width=385&amp;height=120&amp;START_MAXIMIZED=FALSE&amp;creator=factset&amp;display_string=Audit"}</definedName>
    <definedName name="_2660__FDSAUDITLINK__" localSheetId="7" hidden="1">{"fdsup://Directions/FactSet Auditing Viewer?action=AUDIT_VALUE&amp;DB=129&amp;ID1=03822210&amp;VALUEID=02001&amp;SDATE=200503&amp;PERIODTYPE=QTR_STD&amp;SCFT=3&amp;window=popup_no_bar&amp;width=385&amp;height=120&amp;START_MAXIMIZED=FALSE&amp;creator=factset&amp;display_string=Audit"}</definedName>
    <definedName name="_2660__FDSAUDITLINK__" hidden="1">{"fdsup://Directions/FactSet Auditing Viewer?action=AUDIT_VALUE&amp;DB=129&amp;ID1=03822210&amp;VALUEID=02001&amp;SDATE=200503&amp;PERIODTYPE=QTR_STD&amp;SCFT=3&amp;window=popup_no_bar&amp;width=385&amp;height=120&amp;START_MAXIMIZED=FALSE&amp;creator=factset&amp;display_string=Audit"}</definedName>
    <definedName name="_2661__FDSAUDITLINK__" localSheetId="7" hidden="1">{"fdsup://Directions/FactSet Auditing Viewer?action=AUDIT_VALUE&amp;DB=129&amp;ID1=02144110&amp;VALUEID=02001&amp;SDATE=200502&amp;PERIODTYPE=QTR_STD&amp;SCFT=3&amp;window=popup_no_bar&amp;width=385&amp;height=120&amp;START_MAXIMIZED=FALSE&amp;creator=factset&amp;display_string=Audit"}</definedName>
    <definedName name="_2661__FDSAUDITLINK__" hidden="1">{"fdsup://Directions/FactSet Auditing Viewer?action=AUDIT_VALUE&amp;DB=129&amp;ID1=02144110&amp;VALUEID=02001&amp;SDATE=200502&amp;PERIODTYPE=QTR_STD&amp;SCFT=3&amp;window=popup_no_bar&amp;width=385&amp;height=120&amp;START_MAXIMIZED=FALSE&amp;creator=factset&amp;display_string=Audit"}</definedName>
    <definedName name="_2662__FDSAUDITLINK__" localSheetId="7" hidden="1">{"fdsup://Directions/FactSet Auditing Viewer?action=AUDIT_VALUE&amp;DB=129&amp;ID1=02144110&amp;VALUEID=02001&amp;SDATE=200502&amp;PERIODTYPE=QTR_STD&amp;SCFT=3&amp;window=popup_no_bar&amp;width=385&amp;height=120&amp;START_MAXIMIZED=FALSE&amp;creator=factset&amp;display_string=Audit"}</definedName>
    <definedName name="_2662__FDSAUDITLINK__" hidden="1">{"fdsup://Directions/FactSet Auditing Viewer?action=AUDIT_VALUE&amp;DB=129&amp;ID1=02144110&amp;VALUEID=02001&amp;SDATE=200502&amp;PERIODTYPE=QTR_STD&amp;SCFT=3&amp;window=popup_no_bar&amp;width=385&amp;height=120&amp;START_MAXIMIZED=FALSE&amp;creator=factset&amp;display_string=Audit"}</definedName>
    <definedName name="_2663__FDSAUDITLINK__" localSheetId="7" hidden="1">{"fdsup://Directions/FactSet Auditing Viewer?action=AUDIT_VALUE&amp;DB=129&amp;ID1=03265410&amp;VALUEID=02001&amp;SDATE=200503&amp;PERIODTYPE=QTR_STD&amp;SCFT=3&amp;window=popup_no_bar&amp;width=385&amp;height=120&amp;START_MAXIMIZED=FALSE&amp;creator=factset&amp;display_string=Audit"}</definedName>
    <definedName name="_2663__FDSAUDITLINK__" hidden="1">{"fdsup://Directions/FactSet Auditing Viewer?action=AUDIT_VALUE&amp;DB=129&amp;ID1=03265410&amp;VALUEID=02001&amp;SDATE=200503&amp;PERIODTYPE=QTR_STD&amp;SCFT=3&amp;window=popup_no_bar&amp;width=385&amp;height=120&amp;START_MAXIMIZED=FALSE&amp;creator=factset&amp;display_string=Audit"}</definedName>
    <definedName name="_2664__FDSAUDITLINK__" localSheetId="7" hidden="1">{"fdsup://Directions/FactSet Auditing Viewer?action=AUDIT_VALUE&amp;DB=129&amp;ID1=03265410&amp;VALUEID=02001&amp;SDATE=200503&amp;PERIODTYPE=QTR_STD&amp;SCFT=3&amp;window=popup_no_bar&amp;width=385&amp;height=120&amp;START_MAXIMIZED=FALSE&amp;creator=factset&amp;display_string=Audit"}</definedName>
    <definedName name="_2664__FDSAUDITLINK__" hidden="1">{"fdsup://Directions/FactSet Auditing Viewer?action=AUDIT_VALUE&amp;DB=129&amp;ID1=03265410&amp;VALUEID=02001&amp;SDATE=200503&amp;PERIODTYPE=QTR_STD&amp;SCFT=3&amp;window=popup_no_bar&amp;width=385&amp;height=120&amp;START_MAXIMIZED=FALSE&amp;creator=factset&amp;display_string=Audit"}</definedName>
    <definedName name="_2665__FDSAUDITLINK__" localSheetId="7" hidden="1">{"fdsup://Directions/FactSet Auditing Viewer?action=AUDIT_VALUE&amp;DB=129&amp;ID1=00752J10&amp;VALUEID=02001&amp;SDATE=200502&amp;PERIODTYPE=QTR_STD&amp;SCFT=3&amp;window=popup_no_bar&amp;width=385&amp;height=120&amp;START_MAXIMIZED=FALSE&amp;creator=factset&amp;display_string=Audit"}</definedName>
    <definedName name="_2665__FDSAUDITLINK__" hidden="1">{"fdsup://Directions/FactSet Auditing Viewer?action=AUDIT_VALUE&amp;DB=129&amp;ID1=00752J10&amp;VALUEID=02001&amp;SDATE=200502&amp;PERIODTYPE=QTR_STD&amp;SCFT=3&amp;window=popup_no_bar&amp;width=385&amp;height=120&amp;START_MAXIMIZED=FALSE&amp;creator=factset&amp;display_string=Audit"}</definedName>
    <definedName name="_2666__FDSAUDITLINK__" localSheetId="7" hidden="1">{"fdsup://Directions/FactSet Auditing Viewer?action=AUDIT_VALUE&amp;DB=129&amp;ID1=00752J10&amp;VALUEID=02001&amp;SDATE=200502&amp;PERIODTYPE=QTR_STD&amp;SCFT=3&amp;window=popup_no_bar&amp;width=385&amp;height=120&amp;START_MAXIMIZED=FALSE&amp;creator=factset&amp;display_string=Audit"}</definedName>
    <definedName name="_2666__FDSAUDITLINK__" hidden="1">{"fdsup://Directions/FactSet Auditing Viewer?action=AUDIT_VALUE&amp;DB=129&amp;ID1=00752J10&amp;VALUEID=02001&amp;SDATE=200502&amp;PERIODTYPE=QTR_STD&amp;SCFT=3&amp;window=popup_no_bar&amp;width=385&amp;height=120&amp;START_MAXIMIZED=FALSE&amp;creator=factset&amp;display_string=Audit"}</definedName>
    <definedName name="_2667__FDSAUDITLINK__" localSheetId="7" hidden="1">{"fdsup://Directions/FactSet Auditing Viewer?action=AUDIT_VALUE&amp;DB=129&amp;ID1=98975F10&amp;VALUEID=02001&amp;SDATE=200501&amp;PERIODTYPE=QTR_STD&amp;SCFT=3&amp;window=popup_no_bar&amp;width=385&amp;height=120&amp;START_MAXIMIZED=FALSE&amp;creator=factset&amp;display_string=Audit"}</definedName>
    <definedName name="_2667__FDSAUDITLINK__" hidden="1">{"fdsup://Directions/FactSet Auditing Viewer?action=AUDIT_VALUE&amp;DB=129&amp;ID1=98975F10&amp;VALUEID=02001&amp;SDATE=200501&amp;PERIODTYPE=QTR_STD&amp;SCFT=3&amp;window=popup_no_bar&amp;width=385&amp;height=120&amp;START_MAXIMIZED=FALSE&amp;creator=factset&amp;display_string=Audit"}</definedName>
    <definedName name="_2668__FDSAUDITLINK__" localSheetId="7" hidden="1">{"fdsup://Directions/FactSet Auditing Viewer?action=AUDIT_VALUE&amp;DB=129&amp;ID1=98975F10&amp;VALUEID=02001&amp;SDATE=200501&amp;PERIODTYPE=QTR_STD&amp;SCFT=3&amp;window=popup_no_bar&amp;width=385&amp;height=120&amp;START_MAXIMIZED=FALSE&amp;creator=factset&amp;display_string=Audit"}</definedName>
    <definedName name="_2668__FDSAUDITLINK__" hidden="1">{"fdsup://Directions/FactSet Auditing Viewer?action=AUDIT_VALUE&amp;DB=129&amp;ID1=98975F10&amp;VALUEID=02001&amp;SDATE=200501&amp;PERIODTYPE=QTR_STD&amp;SCFT=3&amp;window=popup_no_bar&amp;width=385&amp;height=120&amp;START_MAXIMIZED=FALSE&amp;creator=factset&amp;display_string=Audit"}</definedName>
    <definedName name="_2669__FDSAUDITLINK__" localSheetId="7" hidden="1">{"fdsup://Directions/FactSet Auditing Viewer?action=AUDIT_VALUE&amp;DB=129&amp;ID1=95810210&amp;VALUEID=02001&amp;SDATE=200503&amp;PERIODTYPE=QTR_STD&amp;SCFT=3&amp;window=popup_no_bar&amp;width=385&amp;height=120&amp;START_MAXIMIZED=FALSE&amp;creator=factset&amp;display_string=Audit"}</definedName>
    <definedName name="_2669__FDSAUDITLINK__" hidden="1">{"fdsup://Directions/FactSet Auditing Viewer?action=AUDIT_VALUE&amp;DB=129&amp;ID1=95810210&amp;VALUEID=02001&amp;SDATE=200503&amp;PERIODTYPE=QTR_STD&amp;SCFT=3&amp;window=popup_no_bar&amp;width=385&amp;height=120&amp;START_MAXIMIZED=FALSE&amp;creator=factset&amp;display_string=Audit"}</definedName>
    <definedName name="_267__FDSAUDITLINK__" localSheetId="7" hidden="1">{"fdsup://Directions/FactSet Auditing Viewer?action=AUDIT_VALUE&amp;DB=129&amp;ID1=17275R10&amp;VALUEID=02001&amp;SDATE=201102&amp;PERIODTYPE=QTR_STD&amp;SCFT=3&amp;window=popup_no_bar&amp;width=385&amp;height=120&amp;START_MAXIMIZED=FALSE&amp;creator=factset&amp;display_string=Audit"}</definedName>
    <definedName name="_267__FDSAUDITLINK__" hidden="1">{"fdsup://Directions/FactSet Auditing Viewer?action=AUDIT_VALUE&amp;DB=129&amp;ID1=17275R10&amp;VALUEID=02001&amp;SDATE=201102&amp;PERIODTYPE=QTR_STD&amp;SCFT=3&amp;window=popup_no_bar&amp;width=385&amp;height=120&amp;START_MAXIMIZED=FALSE&amp;creator=factset&amp;display_string=Audit"}</definedName>
    <definedName name="_2670__FDSAUDITLINK__" localSheetId="7" hidden="1">{"fdsup://Directions/FactSet Auditing Viewer?action=AUDIT_VALUE&amp;DB=129&amp;ID1=95810210&amp;VALUEID=02001&amp;SDATE=200503&amp;PERIODTYPE=QTR_STD&amp;SCFT=3&amp;window=popup_no_bar&amp;width=385&amp;height=120&amp;START_MAXIMIZED=FALSE&amp;creator=factset&amp;display_string=Audit"}</definedName>
    <definedName name="_2670__FDSAUDITLINK__" hidden="1">{"fdsup://Directions/FactSet Auditing Viewer?action=AUDIT_VALUE&amp;DB=129&amp;ID1=95810210&amp;VALUEID=02001&amp;SDATE=200503&amp;PERIODTYPE=QTR_STD&amp;SCFT=3&amp;window=popup_no_bar&amp;width=385&amp;height=120&amp;START_MAXIMIZED=FALSE&amp;creator=factset&amp;display_string=Audit"}</definedName>
    <definedName name="_2671__FDSAUDITLINK__" localSheetId="7" hidden="1">{"fdsup://Directions/FactSet Auditing Viewer?action=AUDIT_VALUE&amp;DB=129&amp;ID1=88250810&amp;VALUEID=02001&amp;SDATE=200501&amp;PERIODTYPE=QTR_STD&amp;SCFT=3&amp;window=popup_no_bar&amp;width=385&amp;height=120&amp;START_MAXIMIZED=FALSE&amp;creator=factset&amp;display_string=Audit"}</definedName>
    <definedName name="_2671__FDSAUDITLINK__" hidden="1">{"fdsup://Directions/FactSet Auditing Viewer?action=AUDIT_VALUE&amp;DB=129&amp;ID1=88250810&amp;VALUEID=02001&amp;SDATE=200501&amp;PERIODTYPE=QTR_STD&amp;SCFT=3&amp;window=popup_no_bar&amp;width=385&amp;height=120&amp;START_MAXIMIZED=FALSE&amp;creator=factset&amp;display_string=Audit"}</definedName>
    <definedName name="_2672__FDSAUDITLINK__" localSheetId="7" hidden="1">{"fdsup://Directions/FactSet Auditing Viewer?action=AUDIT_VALUE&amp;DB=129&amp;ID1=88250810&amp;VALUEID=02001&amp;SDATE=200501&amp;PERIODTYPE=QTR_STD&amp;SCFT=3&amp;window=popup_no_bar&amp;width=385&amp;height=120&amp;START_MAXIMIZED=FALSE&amp;creator=factset&amp;display_string=Audit"}</definedName>
    <definedName name="_2672__FDSAUDITLINK__" hidden="1">{"fdsup://Directions/FactSet Auditing Viewer?action=AUDIT_VALUE&amp;DB=129&amp;ID1=88250810&amp;VALUEID=02001&amp;SDATE=200501&amp;PERIODTYPE=QTR_STD&amp;SCFT=3&amp;window=popup_no_bar&amp;width=385&amp;height=120&amp;START_MAXIMIZED=FALSE&amp;creator=factset&amp;display_string=Audit"}</definedName>
    <definedName name="_2673__FDSAUDITLINK__" localSheetId="7" hidden="1">{"fdsup://Directions/FactSet Auditing Viewer?action=AUDIT_VALUE&amp;DB=129&amp;ID1=89674K10&amp;VALUEID=02001&amp;SDATE=200501&amp;PERIODTYPE=QTR_STD&amp;SCFT=3&amp;window=popup_no_bar&amp;width=385&amp;height=120&amp;START_MAXIMIZED=FALSE&amp;creator=factset&amp;display_string=Audit"}</definedName>
    <definedName name="_2673__FDSAUDITLINK__" hidden="1">{"fdsup://Directions/FactSet Auditing Viewer?action=AUDIT_VALUE&amp;DB=129&amp;ID1=89674K10&amp;VALUEID=02001&amp;SDATE=200501&amp;PERIODTYPE=QTR_STD&amp;SCFT=3&amp;window=popup_no_bar&amp;width=385&amp;height=120&amp;START_MAXIMIZED=FALSE&amp;creator=factset&amp;display_string=Audit"}</definedName>
    <definedName name="_2674__FDSAUDITLINK__" localSheetId="7" hidden="1">{"fdsup://Directions/FactSet Auditing Viewer?action=AUDIT_VALUE&amp;DB=129&amp;ID1=89674K10&amp;VALUEID=02001&amp;SDATE=200501&amp;PERIODTYPE=QTR_STD&amp;SCFT=3&amp;window=popup_no_bar&amp;width=385&amp;height=120&amp;START_MAXIMIZED=FALSE&amp;creator=factset&amp;display_string=Audit"}</definedName>
    <definedName name="_2674__FDSAUDITLINK__" hidden="1">{"fdsup://Directions/FactSet Auditing Viewer?action=AUDIT_VALUE&amp;DB=129&amp;ID1=89674K10&amp;VALUEID=02001&amp;SDATE=200501&amp;PERIODTYPE=QTR_STD&amp;SCFT=3&amp;window=popup_no_bar&amp;width=385&amp;height=120&amp;START_MAXIMIZED=FALSE&amp;creator=factset&amp;display_string=Audit"}</definedName>
    <definedName name="_2675__FDSAUDITLINK__" localSheetId="7" hidden="1">{"fdsup://Directions/FactSet Auditing Viewer?action=AUDIT_VALUE&amp;DB=129&amp;ID1=83088M10&amp;VALUEID=02001&amp;SDATE=200502&amp;PERIODTYPE=QTR_STD&amp;SCFT=3&amp;window=popup_no_bar&amp;width=385&amp;height=120&amp;START_MAXIMIZED=FALSE&amp;creator=factset&amp;display_string=Audit"}</definedName>
    <definedName name="_2675__FDSAUDITLINK__" hidden="1">{"fdsup://Directions/FactSet Auditing Viewer?action=AUDIT_VALUE&amp;DB=129&amp;ID1=83088M10&amp;VALUEID=02001&amp;SDATE=200502&amp;PERIODTYPE=QTR_STD&amp;SCFT=3&amp;window=popup_no_bar&amp;width=385&amp;height=120&amp;START_MAXIMIZED=FALSE&amp;creator=factset&amp;display_string=Audit"}</definedName>
    <definedName name="_2676__FDSAUDITLINK__" localSheetId="7" hidden="1">{"fdsup://Directions/FactSet Auditing Viewer?action=AUDIT_VALUE&amp;DB=129&amp;ID1=83088M10&amp;VALUEID=02001&amp;SDATE=200502&amp;PERIODTYPE=QTR_STD&amp;SCFT=3&amp;window=popup_no_bar&amp;width=385&amp;height=120&amp;START_MAXIMIZED=FALSE&amp;creator=factset&amp;display_string=Audit"}</definedName>
    <definedName name="_2676__FDSAUDITLINK__" hidden="1">{"fdsup://Directions/FactSet Auditing Viewer?action=AUDIT_VALUE&amp;DB=129&amp;ID1=83088M10&amp;VALUEID=02001&amp;SDATE=200502&amp;PERIODTYPE=QTR_STD&amp;SCFT=3&amp;window=popup_no_bar&amp;width=385&amp;height=120&amp;START_MAXIMIZED=FALSE&amp;creator=factset&amp;display_string=Audit"}</definedName>
    <definedName name="_2677__FDSAUDITLINK__" localSheetId="7" hidden="1">{"fdsup://Directions/FactSet Auditing Viewer?action=AUDIT_VALUE&amp;DB=129&amp;ID1=G7945M10&amp;VALUEID=02001&amp;SDATE=200503&amp;PERIODTYPE=QTR_STD&amp;SCFT=3&amp;window=popup_no_bar&amp;width=385&amp;height=120&amp;START_MAXIMIZED=FALSE&amp;creator=factset&amp;display_string=Audit"}</definedName>
    <definedName name="_2677__FDSAUDITLINK__" hidden="1">{"fdsup://Directions/FactSet Auditing Viewer?action=AUDIT_VALUE&amp;DB=129&amp;ID1=G7945M10&amp;VALUEID=02001&amp;SDATE=200503&amp;PERIODTYPE=QTR_STD&amp;SCFT=3&amp;window=popup_no_bar&amp;width=385&amp;height=120&amp;START_MAXIMIZED=FALSE&amp;creator=factset&amp;display_string=Audit"}</definedName>
    <definedName name="_2678__FDSAUDITLINK__" localSheetId="7" hidden="1">{"fdsup://Directions/FactSet Auditing Viewer?action=AUDIT_VALUE&amp;DB=129&amp;ID1=G7945M10&amp;VALUEID=02001&amp;SDATE=200503&amp;PERIODTYPE=QTR_STD&amp;SCFT=3&amp;window=popup_no_bar&amp;width=385&amp;height=120&amp;START_MAXIMIZED=FALSE&amp;creator=factset&amp;display_string=Audit"}</definedName>
    <definedName name="_2678__FDSAUDITLINK__" hidden="1">{"fdsup://Directions/FactSet Auditing Viewer?action=AUDIT_VALUE&amp;DB=129&amp;ID1=G7945M10&amp;VALUEID=02001&amp;SDATE=200503&amp;PERIODTYPE=QTR_STD&amp;SCFT=3&amp;window=popup_no_bar&amp;width=385&amp;height=120&amp;START_MAXIMIZED=FALSE&amp;creator=factset&amp;display_string=Audit"}</definedName>
    <definedName name="_2679__FDSAUDITLINK__" localSheetId="7" hidden="1">{"fdsup://Directions/FactSet Auditing Viewer?action=AUDIT_VALUE&amp;DB=129&amp;ID1=78477410&amp;VALUEID=02001&amp;SDATE=200501&amp;PERIODTYPE=QTR_STD&amp;SCFT=3&amp;window=popup_no_bar&amp;width=385&amp;height=120&amp;START_MAXIMIZED=FALSE&amp;creator=factset&amp;display_string=Audit"}</definedName>
    <definedName name="_2679__FDSAUDITLINK__" hidden="1">{"fdsup://Directions/FactSet Auditing Viewer?action=AUDIT_VALUE&amp;DB=129&amp;ID1=78477410&amp;VALUEID=02001&amp;SDATE=200501&amp;PERIODTYPE=QTR_STD&amp;SCFT=3&amp;window=popup_no_bar&amp;width=385&amp;height=120&amp;START_MAXIMIZED=FALSE&amp;creator=factset&amp;display_string=Audit"}</definedName>
    <definedName name="_268__FDSAUDITLINK__" localSheetId="7" hidden="1">{"fdsup://Directions/FactSet Auditing Viewer?action=AUDIT_VALUE&amp;DB=129&amp;ID1=17275R10&amp;VALUEID=02001&amp;SDATE=201102&amp;PERIODTYPE=QTR_STD&amp;SCFT=3&amp;window=popup_no_bar&amp;width=385&amp;height=120&amp;START_MAXIMIZED=FALSE&amp;creator=factset&amp;display_string=Audit"}</definedName>
    <definedName name="_268__FDSAUDITLINK__" hidden="1">{"fdsup://Directions/FactSet Auditing Viewer?action=AUDIT_VALUE&amp;DB=129&amp;ID1=17275R10&amp;VALUEID=02001&amp;SDATE=201102&amp;PERIODTYPE=QTR_STD&amp;SCFT=3&amp;window=popup_no_bar&amp;width=385&amp;height=120&amp;START_MAXIMIZED=FALSE&amp;creator=factset&amp;display_string=Audit"}</definedName>
    <definedName name="_2680__FDSAUDITLINK__" localSheetId="7" hidden="1">{"fdsup://Directions/FactSet Auditing Viewer?action=AUDIT_VALUE&amp;DB=129&amp;ID1=78477410&amp;VALUEID=02001&amp;SDATE=200501&amp;PERIODTYPE=QTR_STD&amp;SCFT=3&amp;window=popup_no_bar&amp;width=385&amp;height=120&amp;START_MAXIMIZED=FALSE&amp;creator=factset&amp;display_string=Audit"}</definedName>
    <definedName name="_2680__FDSAUDITLINK__" hidden="1">{"fdsup://Directions/FactSet Auditing Viewer?action=AUDIT_VALUE&amp;DB=129&amp;ID1=78477410&amp;VALUEID=02001&amp;SDATE=200501&amp;PERIODTYPE=QTR_STD&amp;SCFT=3&amp;window=popup_no_bar&amp;width=385&amp;height=120&amp;START_MAXIMIZED=FALSE&amp;creator=factset&amp;display_string=Audit"}</definedName>
    <definedName name="_2681__FDSAUDITLINK__" localSheetId="7" hidden="1">{"fdsup://Directions/FactSet Auditing Viewer?action=AUDIT_VALUE&amp;DB=129&amp;ID1=83547010&amp;VALUEID=02001&amp;SDATE=200501&amp;PERIODTYPE=QTR_STD&amp;SCFT=3&amp;window=popup_no_bar&amp;width=385&amp;height=120&amp;START_MAXIMIZED=FALSE&amp;creator=factset&amp;display_string=Audit"}</definedName>
    <definedName name="_2681__FDSAUDITLINK__" hidden="1">{"fdsup://Directions/FactSet Auditing Viewer?action=AUDIT_VALUE&amp;DB=129&amp;ID1=83547010&amp;VALUEID=02001&amp;SDATE=200501&amp;PERIODTYPE=QTR_STD&amp;SCFT=3&amp;window=popup_no_bar&amp;width=385&amp;height=120&amp;START_MAXIMIZED=FALSE&amp;creator=factset&amp;display_string=Audit"}</definedName>
    <definedName name="_2682__FDSAUDITLINK__" localSheetId="7" hidden="1">{"fdsup://Directions/FactSet Auditing Viewer?action=AUDIT_VALUE&amp;DB=129&amp;ID1=83547010&amp;VALUEID=02001&amp;SDATE=200501&amp;PERIODTYPE=QTR_STD&amp;SCFT=3&amp;window=popup_no_bar&amp;width=385&amp;height=120&amp;START_MAXIMIZED=FALSE&amp;creator=factset&amp;display_string=Audit"}</definedName>
    <definedName name="_2682__FDSAUDITLINK__" hidden="1">{"fdsup://Directions/FactSet Auditing Viewer?action=AUDIT_VALUE&amp;DB=129&amp;ID1=83547010&amp;VALUEID=02001&amp;SDATE=200501&amp;PERIODTYPE=QTR_STD&amp;SCFT=3&amp;window=popup_no_bar&amp;width=385&amp;height=120&amp;START_MAXIMIZED=FALSE&amp;creator=factset&amp;display_string=Audit"}</definedName>
    <definedName name="_2683__FDSAUDITLINK__" localSheetId="7" hidden="1">{"fdsup://Directions/FactSet Auditing Viewer?action=AUDIT_VALUE&amp;DB=129&amp;ID1=87160710&amp;VALUEID=02001&amp;SDATE=200502&amp;PERIODTYPE=QTR_STD&amp;SCFT=3&amp;window=popup_no_bar&amp;width=385&amp;height=120&amp;START_MAXIMIZED=FALSE&amp;creator=factset&amp;display_string=Audit"}</definedName>
    <definedName name="_2683__FDSAUDITLINK__" hidden="1">{"fdsup://Directions/FactSet Auditing Viewer?action=AUDIT_VALUE&amp;DB=129&amp;ID1=87160710&amp;VALUEID=02001&amp;SDATE=200502&amp;PERIODTYPE=QTR_STD&amp;SCFT=3&amp;window=popup_no_bar&amp;width=385&amp;height=120&amp;START_MAXIMIZED=FALSE&amp;creator=factset&amp;display_string=Audit"}</definedName>
    <definedName name="_2684__FDSAUDITLINK__" localSheetId="7" hidden="1">{"fdsup://Directions/FactSet Auditing Viewer?action=AUDIT_VALUE&amp;DB=129&amp;ID1=87160710&amp;VALUEID=02001&amp;SDATE=200502&amp;PERIODTYPE=QTR_STD&amp;SCFT=3&amp;window=popup_no_bar&amp;width=385&amp;height=120&amp;START_MAXIMIZED=FALSE&amp;creator=factset&amp;display_string=Audit"}</definedName>
    <definedName name="_2684__FDSAUDITLINK__" hidden="1">{"fdsup://Directions/FactSet Auditing Viewer?action=AUDIT_VALUE&amp;DB=129&amp;ID1=87160710&amp;VALUEID=02001&amp;SDATE=200502&amp;PERIODTYPE=QTR_STD&amp;SCFT=3&amp;window=popup_no_bar&amp;width=385&amp;height=120&amp;START_MAXIMIZED=FALSE&amp;creator=factset&amp;display_string=Audit"}</definedName>
    <definedName name="_2685__FDSAUDITLINK__" localSheetId="7" hidden="1">{"fdsup://Directions/FactSet Auditing Viewer?action=AUDIT_VALUE&amp;DB=129&amp;ID1=80004C10&amp;VALUEID=02001&amp;SDATE=200501&amp;PERIODTYPE=QTR_STD&amp;SCFT=3&amp;window=popup_no_bar&amp;width=385&amp;height=120&amp;START_MAXIMIZED=FALSE&amp;creator=factset&amp;display_string=Audit"}</definedName>
    <definedName name="_2685__FDSAUDITLINK__" hidden="1">{"fdsup://Directions/FactSet Auditing Viewer?action=AUDIT_VALUE&amp;DB=129&amp;ID1=80004C10&amp;VALUEID=02001&amp;SDATE=200501&amp;PERIODTYPE=QTR_STD&amp;SCFT=3&amp;window=popup_no_bar&amp;width=385&amp;height=120&amp;START_MAXIMIZED=FALSE&amp;creator=factset&amp;display_string=Audit"}</definedName>
    <definedName name="_2686__FDSAUDITLINK__" localSheetId="7" hidden="1">{"fdsup://Directions/FactSet Auditing Viewer?action=AUDIT_VALUE&amp;DB=129&amp;ID1=80004C10&amp;VALUEID=02001&amp;SDATE=200501&amp;PERIODTYPE=QTR_STD&amp;SCFT=3&amp;window=popup_no_bar&amp;width=385&amp;height=120&amp;START_MAXIMIZED=FALSE&amp;creator=factset&amp;display_string=Audit"}</definedName>
    <definedName name="_2686__FDSAUDITLINK__" hidden="1">{"fdsup://Directions/FactSet Auditing Viewer?action=AUDIT_VALUE&amp;DB=129&amp;ID1=80004C10&amp;VALUEID=02001&amp;SDATE=200501&amp;PERIODTYPE=QTR_STD&amp;SCFT=3&amp;window=popup_no_bar&amp;width=385&amp;height=120&amp;START_MAXIMIZED=FALSE&amp;creator=factset&amp;display_string=Audit"}</definedName>
    <definedName name="_2687__FDSAUDITLINK__" localSheetId="7" hidden="1">{"fdsup://Directions/FactSet Auditing Viewer?action=AUDIT_VALUE&amp;DB=129&amp;ID1=81685010&amp;VALUEID=02001&amp;SDATE=200501&amp;PERIODTYPE=QTR_STD&amp;SCFT=3&amp;window=popup_no_bar&amp;width=385&amp;height=120&amp;START_MAXIMIZED=FALSE&amp;creator=factset&amp;display_string=Audit"}</definedName>
    <definedName name="_2687__FDSAUDITLINK__" hidden="1">{"fdsup://Directions/FactSet Auditing Viewer?action=AUDIT_VALUE&amp;DB=129&amp;ID1=81685010&amp;VALUEID=02001&amp;SDATE=200501&amp;PERIODTYPE=QTR_STD&amp;SCFT=3&amp;window=popup_no_bar&amp;width=385&amp;height=120&amp;START_MAXIMIZED=FALSE&amp;creator=factset&amp;display_string=Audit"}</definedName>
    <definedName name="_2688__FDSAUDITLINK__" localSheetId="7" hidden="1">{"fdsup://Directions/FactSet Auditing Viewer?action=AUDIT_VALUE&amp;DB=129&amp;ID1=81685010&amp;VALUEID=02001&amp;SDATE=200501&amp;PERIODTYPE=QTR_STD&amp;SCFT=3&amp;window=popup_no_bar&amp;width=385&amp;height=120&amp;START_MAXIMIZED=FALSE&amp;creator=factset&amp;display_string=Audit"}</definedName>
    <definedName name="_2688__FDSAUDITLINK__" hidden="1">{"fdsup://Directions/FactSet Auditing Viewer?action=AUDIT_VALUE&amp;DB=129&amp;ID1=81685010&amp;VALUEID=02001&amp;SDATE=200501&amp;PERIODTYPE=QTR_STD&amp;SCFT=3&amp;window=popup_no_bar&amp;width=385&amp;height=120&amp;START_MAXIMIZED=FALSE&amp;creator=factset&amp;display_string=Audit"}</definedName>
    <definedName name="_2689__FDSAUDITLINK__" localSheetId="7" hidden="1">{"fdsup://Directions/FactSet Auditing Viewer?action=AUDIT_VALUE&amp;DB=129&amp;ID1=82691910&amp;VALUEID=02001&amp;SDATE=200501&amp;PERIODTYPE=QTR_STD&amp;SCFT=3&amp;window=popup_no_bar&amp;width=385&amp;height=120&amp;START_MAXIMIZED=FALSE&amp;creator=factset&amp;display_string=Audit"}</definedName>
    <definedName name="_2689__FDSAUDITLINK__" hidden="1">{"fdsup://Directions/FactSet Auditing Viewer?action=AUDIT_VALUE&amp;DB=129&amp;ID1=82691910&amp;VALUEID=02001&amp;SDATE=200501&amp;PERIODTYPE=QTR_STD&amp;SCFT=3&amp;window=popup_no_bar&amp;width=385&amp;height=120&amp;START_MAXIMIZED=FALSE&amp;creator=factset&amp;display_string=Audit"}</definedName>
    <definedName name="_269__FDSAUDITLINK__" localSheetId="7" hidden="1">{"fdsup://Directions/FactSet Auditing Viewer?action=AUDIT_VALUE&amp;DB=129&amp;ID1=22544710&amp;VALUEID=02001&amp;SDATE=201102&amp;PERIODTYPE=QTR_STD&amp;SCFT=3&amp;window=popup_no_bar&amp;width=385&amp;height=120&amp;START_MAXIMIZED=FALSE&amp;creator=factset&amp;display_string=Audit"}</definedName>
    <definedName name="_269__FDSAUDITLINK__" hidden="1">{"fdsup://Directions/FactSet Auditing Viewer?action=AUDIT_VALUE&amp;DB=129&amp;ID1=22544710&amp;VALUEID=02001&amp;SDATE=201102&amp;PERIODTYPE=QTR_STD&amp;SCFT=3&amp;window=popup_no_bar&amp;width=385&amp;height=120&amp;START_MAXIMIZED=FALSE&amp;creator=factset&amp;display_string=Audit"}</definedName>
    <definedName name="_2690__FDSAUDITLINK__" localSheetId="7" hidden="1">{"fdsup://Directions/FactSet Auditing Viewer?action=AUDIT_VALUE&amp;DB=129&amp;ID1=82691910&amp;VALUEID=02001&amp;SDATE=200501&amp;PERIODTYPE=QTR_STD&amp;SCFT=3&amp;window=popup_no_bar&amp;width=385&amp;height=120&amp;START_MAXIMIZED=FALSE&amp;creator=factset&amp;display_string=Audit"}</definedName>
    <definedName name="_2690__FDSAUDITLINK__" hidden="1">{"fdsup://Directions/FactSet Auditing Viewer?action=AUDIT_VALUE&amp;DB=129&amp;ID1=82691910&amp;VALUEID=02001&amp;SDATE=200501&amp;PERIODTYPE=QTR_STD&amp;SCFT=3&amp;window=popup_no_bar&amp;width=385&amp;height=120&amp;START_MAXIMIZED=FALSE&amp;creator=factset&amp;display_string=Audit"}</definedName>
    <definedName name="_2691__FDSAUDITLINK__" localSheetId="7" hidden="1">{"fdsup://Directions/FactSet Auditing Viewer?action=AUDIT_VALUE&amp;DB=129&amp;ID1=82705T10&amp;VALUEID=02001&amp;SDATE=200501&amp;PERIODTYPE=QTR_STD&amp;SCFT=3&amp;window=popup_no_bar&amp;width=385&amp;height=120&amp;START_MAXIMIZED=FALSE&amp;creator=factset&amp;display_string=Audit"}</definedName>
    <definedName name="_2691__FDSAUDITLINK__" hidden="1">{"fdsup://Directions/FactSet Auditing Viewer?action=AUDIT_VALUE&amp;DB=129&amp;ID1=82705T10&amp;VALUEID=02001&amp;SDATE=200501&amp;PERIODTYPE=QTR_STD&amp;SCFT=3&amp;window=popup_no_bar&amp;width=385&amp;height=120&amp;START_MAXIMIZED=FALSE&amp;creator=factset&amp;display_string=Audit"}</definedName>
    <definedName name="_2692__FDSAUDITLINK__" localSheetId="7" hidden="1">{"fdsup://Directions/FactSet Auditing Viewer?action=AUDIT_VALUE&amp;DB=129&amp;ID1=82705T10&amp;VALUEID=02001&amp;SDATE=200501&amp;PERIODTYPE=QTR_STD&amp;SCFT=3&amp;window=popup_no_bar&amp;width=385&amp;height=120&amp;START_MAXIMIZED=FALSE&amp;creator=factset&amp;display_string=Audit"}</definedName>
    <definedName name="_2692__FDSAUDITLINK__" hidden="1">{"fdsup://Directions/FactSet Auditing Viewer?action=AUDIT_VALUE&amp;DB=129&amp;ID1=82705T10&amp;VALUEID=02001&amp;SDATE=200501&amp;PERIODTYPE=QTR_STD&amp;SCFT=3&amp;window=popup_no_bar&amp;width=385&amp;height=120&amp;START_MAXIMIZED=FALSE&amp;creator=factset&amp;display_string=Audit"}</definedName>
    <definedName name="_2693__FDSAUDITLINK__" localSheetId="7" hidden="1">{"fdsup://Directions/FactSet Auditing Viewer?action=AUDIT_VALUE&amp;DB=129&amp;ID1=75091710&amp;VALUEID=02001&amp;SDATE=200501&amp;PERIODTYPE=QTR_STD&amp;SCFT=3&amp;window=popup_no_bar&amp;width=385&amp;height=120&amp;START_MAXIMIZED=FALSE&amp;creator=factset&amp;display_string=Audit"}</definedName>
    <definedName name="_2693__FDSAUDITLINK__" hidden="1">{"fdsup://Directions/FactSet Auditing Viewer?action=AUDIT_VALUE&amp;DB=129&amp;ID1=75091710&amp;VALUEID=02001&amp;SDATE=200501&amp;PERIODTYPE=QTR_STD&amp;SCFT=3&amp;window=popup_no_bar&amp;width=385&amp;height=120&amp;START_MAXIMIZED=FALSE&amp;creator=factset&amp;display_string=Audit"}</definedName>
    <definedName name="_2694__FDSAUDITLINK__" localSheetId="7" hidden="1">{"fdsup://Directions/FactSet Auditing Viewer?action=AUDIT_VALUE&amp;DB=129&amp;ID1=75091710&amp;VALUEID=02001&amp;SDATE=200501&amp;PERIODTYPE=QTR_STD&amp;SCFT=3&amp;window=popup_no_bar&amp;width=385&amp;height=120&amp;START_MAXIMIZED=FALSE&amp;creator=factset&amp;display_string=Audit"}</definedName>
    <definedName name="_2694__FDSAUDITLINK__" hidden="1">{"fdsup://Directions/FactSet Auditing Viewer?action=AUDIT_VALUE&amp;DB=129&amp;ID1=75091710&amp;VALUEID=02001&amp;SDATE=200501&amp;PERIODTYPE=QTR_STD&amp;SCFT=3&amp;window=popup_no_bar&amp;width=385&amp;height=120&amp;START_MAXIMIZED=FALSE&amp;creator=factset&amp;display_string=Audit"}</definedName>
    <definedName name="_2695__FDSAUDITLINK__" localSheetId="7" hidden="1">{"fdsup://Directions/FactSet Auditing Viewer?action=AUDIT_VALUE&amp;DB=129&amp;ID1=74752510&amp;VALUEID=02001&amp;SDATE=200502&amp;PERIODTYPE=QTR_STD&amp;SCFT=3&amp;window=popup_no_bar&amp;width=385&amp;height=120&amp;START_MAXIMIZED=FALSE&amp;creator=factset&amp;display_string=Audit"}</definedName>
    <definedName name="_2695__FDSAUDITLINK__" hidden="1">{"fdsup://Directions/FactSet Auditing Viewer?action=AUDIT_VALUE&amp;DB=129&amp;ID1=74752510&amp;VALUEID=02001&amp;SDATE=200502&amp;PERIODTYPE=QTR_STD&amp;SCFT=3&amp;window=popup_no_bar&amp;width=385&amp;height=120&amp;START_MAXIMIZED=FALSE&amp;creator=factset&amp;display_string=Audit"}</definedName>
    <definedName name="_2696__FDSAUDITLINK__" localSheetId="7" hidden="1">{"fdsup://Directions/FactSet Auditing Viewer?action=AUDIT_VALUE&amp;DB=129&amp;ID1=74752510&amp;VALUEID=02001&amp;SDATE=200502&amp;PERIODTYPE=QTR_STD&amp;SCFT=3&amp;window=popup_no_bar&amp;width=385&amp;height=120&amp;START_MAXIMIZED=FALSE&amp;creator=factset&amp;display_string=Audit"}</definedName>
    <definedName name="_2696__FDSAUDITLINK__" hidden="1">{"fdsup://Directions/FactSet Auditing Viewer?action=AUDIT_VALUE&amp;DB=129&amp;ID1=74752510&amp;VALUEID=02001&amp;SDATE=200502&amp;PERIODTYPE=QTR_STD&amp;SCFT=3&amp;window=popup_no_bar&amp;width=385&amp;height=120&amp;START_MAXIMIZED=FALSE&amp;creator=factset&amp;display_string=Audit"}</definedName>
    <definedName name="_2697__FDSAUDITLINK__" localSheetId="7" hidden="1">{"fdsup://Directions/FactSet Auditing Viewer?action=AUDIT_VALUE&amp;DB=129&amp;ID1=72581M30&amp;VALUEID=02001&amp;SDATE=200501&amp;PERIODTYPE=QTR_STD&amp;SCFT=3&amp;window=popup_no_bar&amp;width=385&amp;height=120&amp;START_MAXIMIZED=FALSE&amp;creator=factset&amp;display_string=Audit"}</definedName>
    <definedName name="_2697__FDSAUDITLINK__" hidden="1">{"fdsup://Directions/FactSet Auditing Viewer?action=AUDIT_VALUE&amp;DB=129&amp;ID1=72581M30&amp;VALUEID=02001&amp;SDATE=200501&amp;PERIODTYPE=QTR_STD&amp;SCFT=3&amp;window=popup_no_bar&amp;width=385&amp;height=120&amp;START_MAXIMIZED=FALSE&amp;creator=factset&amp;display_string=Audit"}</definedName>
    <definedName name="_2698__FDSAUDITLINK__" localSheetId="7" hidden="1">{"fdsup://Directions/FactSet Auditing Viewer?action=AUDIT_VALUE&amp;DB=129&amp;ID1=72581M30&amp;VALUEID=02001&amp;SDATE=200501&amp;PERIODTYPE=QTR_STD&amp;SCFT=3&amp;window=popup_no_bar&amp;width=385&amp;height=120&amp;START_MAXIMIZED=FALSE&amp;creator=factset&amp;display_string=Audit"}</definedName>
    <definedName name="_2698__FDSAUDITLINK__" hidden="1">{"fdsup://Directions/FactSet Auditing Viewer?action=AUDIT_VALUE&amp;DB=129&amp;ID1=72581M30&amp;VALUEID=02001&amp;SDATE=200501&amp;PERIODTYPE=QTR_STD&amp;SCFT=3&amp;window=popup_no_bar&amp;width=385&amp;height=120&amp;START_MAXIMIZED=FALSE&amp;creator=factset&amp;display_string=Audit"}</definedName>
    <definedName name="_2699__FDSAUDITLINK__" localSheetId="7" hidden="1">{"fdsup://Directions/FactSet Auditing Viewer?action=AUDIT_VALUE&amp;DB=129&amp;ID1=73927610&amp;VALUEID=02001&amp;SDATE=200501&amp;PERIODTYPE=QTR_STD&amp;SCFT=3&amp;window=popup_no_bar&amp;width=385&amp;height=120&amp;START_MAXIMIZED=FALSE&amp;creator=factset&amp;display_string=Audit"}</definedName>
    <definedName name="_2699__FDSAUDITLINK__" hidden="1">{"fdsup://Directions/FactSet Auditing Viewer?action=AUDIT_VALUE&amp;DB=129&amp;ID1=73927610&amp;VALUEID=02001&amp;SDATE=200501&amp;PERIODTYPE=QTR_STD&amp;SCFT=3&amp;window=popup_no_bar&amp;width=385&amp;height=120&amp;START_MAXIMIZED=FALSE&amp;creator=factset&amp;display_string=Audit"}</definedName>
    <definedName name="_27__FDSAUDITLINK__" localSheetId="7" hidden="1">{"fdsup://Directions/FactSet Auditing Viewer?action=AUDIT_VALUE&amp;DB=129&amp;ID1=80004C10&amp;VALUEID=02001&amp;SDATE=201101&amp;PERIODTYPE=QTR_STD&amp;SCFT=3&amp;window=popup_no_bar&amp;width=385&amp;height=120&amp;START_MAXIMIZED=FALSE&amp;creator=factset&amp;display_string=Audit"}</definedName>
    <definedName name="_27__FDSAUDITLINK__" hidden="1">{"fdsup://Directions/FactSet Auditing Viewer?action=AUDIT_VALUE&amp;DB=129&amp;ID1=80004C10&amp;VALUEID=02001&amp;SDATE=201101&amp;PERIODTYPE=QTR_STD&amp;SCFT=3&amp;window=popup_no_bar&amp;width=385&amp;height=120&amp;START_MAXIMIZED=FALSE&amp;creator=factset&amp;display_string=Audit"}</definedName>
    <definedName name="_270__FDSAUDITLINK__" localSheetId="7" hidden="1">{"fdsup://Directions/FactSet Auditing Viewer?action=AUDIT_VALUE&amp;DB=129&amp;ID1=22544710&amp;VALUEID=02001&amp;SDATE=201102&amp;PERIODTYPE=QTR_STD&amp;SCFT=3&amp;window=popup_no_bar&amp;width=385&amp;height=120&amp;START_MAXIMIZED=FALSE&amp;creator=factset&amp;display_string=Audit"}</definedName>
    <definedName name="_270__FDSAUDITLINK__" hidden="1">{"fdsup://Directions/FactSet Auditing Viewer?action=AUDIT_VALUE&amp;DB=129&amp;ID1=22544710&amp;VALUEID=02001&amp;SDATE=201102&amp;PERIODTYPE=QTR_STD&amp;SCFT=3&amp;window=popup_no_bar&amp;width=385&amp;height=120&amp;START_MAXIMIZED=FALSE&amp;creator=factset&amp;display_string=Audit"}</definedName>
    <definedName name="_2700__FDSAUDITLINK__" localSheetId="7" hidden="1">{"fdsup://Directions/FactSet Auditing Viewer?action=AUDIT_VALUE&amp;DB=129&amp;ID1=73927610&amp;VALUEID=02001&amp;SDATE=200501&amp;PERIODTYPE=QTR_STD&amp;SCFT=3&amp;window=popup_no_bar&amp;width=385&amp;height=120&amp;START_MAXIMIZED=FALSE&amp;creator=factset&amp;display_string=Audit"}</definedName>
    <definedName name="_2700__FDSAUDITLINK__" hidden="1">{"fdsup://Directions/FactSet Auditing Viewer?action=AUDIT_VALUE&amp;DB=129&amp;ID1=73927610&amp;VALUEID=02001&amp;SDATE=200501&amp;PERIODTYPE=QTR_STD&amp;SCFT=3&amp;window=popup_no_bar&amp;width=385&amp;height=120&amp;START_MAXIMIZED=FALSE&amp;creator=factset&amp;display_string=Audit"}</definedName>
    <definedName name="_2701__FDSAUDITLINK__" localSheetId="7" hidden="1">{"fdsup://Directions/FactSet Auditing Viewer?action=AUDIT_VALUE&amp;DB=129&amp;ID1=69344F10&amp;VALUEID=02001&amp;SDATE=200501&amp;PERIODTYPE=QTR_STD&amp;SCFT=3&amp;window=popup_no_bar&amp;width=385&amp;height=120&amp;START_MAXIMIZED=FALSE&amp;creator=factset&amp;display_string=Audit"}</definedName>
    <definedName name="_2701__FDSAUDITLINK__" hidden="1">{"fdsup://Directions/FactSet Auditing Viewer?action=AUDIT_VALUE&amp;DB=129&amp;ID1=69344F10&amp;VALUEID=02001&amp;SDATE=200501&amp;PERIODTYPE=QTR_STD&amp;SCFT=3&amp;window=popup_no_bar&amp;width=385&amp;height=120&amp;START_MAXIMIZED=FALSE&amp;creator=factset&amp;display_string=Audit"}</definedName>
    <definedName name="_2702__FDSAUDITLINK__" localSheetId="7" hidden="1">{"fdsup://Directions/FactSet Auditing Viewer?action=AUDIT_VALUE&amp;DB=129&amp;ID1=69344F10&amp;VALUEID=02001&amp;SDATE=200501&amp;PERIODTYPE=QTR_STD&amp;SCFT=3&amp;window=popup_no_bar&amp;width=385&amp;height=120&amp;START_MAXIMIZED=FALSE&amp;creator=factset&amp;display_string=Audit"}</definedName>
    <definedName name="_2702__FDSAUDITLINK__" hidden="1">{"fdsup://Directions/FactSet Auditing Viewer?action=AUDIT_VALUE&amp;DB=129&amp;ID1=69344F10&amp;VALUEID=02001&amp;SDATE=200501&amp;PERIODTYPE=QTR_STD&amp;SCFT=3&amp;window=popup_no_bar&amp;width=385&amp;height=120&amp;START_MAXIMIZED=FALSE&amp;creator=factset&amp;display_string=Audit"}</definedName>
    <definedName name="_2703__FDSAUDITLINK__" localSheetId="7" hidden="1">{"fdsup://Directions/FactSet Auditing Viewer?action=AUDIT_VALUE&amp;DB=129&amp;ID1=69341710&amp;VALUEID=02001&amp;SDATE=200501&amp;PERIODTYPE=QTR_STD&amp;SCFT=3&amp;window=popup_no_bar&amp;width=385&amp;height=120&amp;START_MAXIMIZED=FALSE&amp;creator=factset&amp;display_string=Audit"}</definedName>
    <definedName name="_2703__FDSAUDITLINK__" hidden="1">{"fdsup://Directions/FactSet Auditing Viewer?action=AUDIT_VALUE&amp;DB=129&amp;ID1=69341710&amp;VALUEID=02001&amp;SDATE=200501&amp;PERIODTYPE=QTR_STD&amp;SCFT=3&amp;window=popup_no_bar&amp;width=385&amp;height=120&amp;START_MAXIMIZED=FALSE&amp;creator=factset&amp;display_string=Audit"}</definedName>
    <definedName name="_2704__FDSAUDITLINK__" localSheetId="7" hidden="1">{"fdsup://Directions/FactSet Auditing Viewer?action=AUDIT_VALUE&amp;DB=129&amp;ID1=69341710&amp;VALUEID=02001&amp;SDATE=200501&amp;PERIODTYPE=QTR_STD&amp;SCFT=3&amp;window=popup_no_bar&amp;width=385&amp;height=120&amp;START_MAXIMIZED=FALSE&amp;creator=factset&amp;display_string=Audit"}</definedName>
    <definedName name="_2704__FDSAUDITLINK__" hidden="1">{"fdsup://Directions/FactSet Auditing Viewer?action=AUDIT_VALUE&amp;DB=129&amp;ID1=69341710&amp;VALUEID=02001&amp;SDATE=200501&amp;PERIODTYPE=QTR_STD&amp;SCFT=3&amp;window=popup_no_bar&amp;width=385&amp;height=120&amp;START_MAXIMIZED=FALSE&amp;creator=factset&amp;display_string=Audit"}</definedName>
    <definedName name="_2705__FDSAUDITLINK__" localSheetId="7" hidden="1">{"fdsup://Directions/FactSet Auditing Viewer?action=AUDIT_VALUE&amp;DB=129&amp;ID1=67000810&amp;VALUEID=02001&amp;SDATE=200501&amp;PERIODTYPE=QTR_STD&amp;SCFT=3&amp;window=popup_no_bar&amp;width=385&amp;height=120&amp;START_MAXIMIZED=FALSE&amp;creator=factset&amp;display_string=Audit"}</definedName>
    <definedName name="_2705__FDSAUDITLINK__" hidden="1">{"fdsup://Directions/FactSet Auditing Viewer?action=AUDIT_VALUE&amp;DB=129&amp;ID1=67000810&amp;VALUEID=02001&amp;SDATE=200501&amp;PERIODTYPE=QTR_STD&amp;SCFT=3&amp;window=popup_no_bar&amp;width=385&amp;height=120&amp;START_MAXIMIZED=FALSE&amp;creator=factset&amp;display_string=Audit"}</definedName>
    <definedName name="_2706__FDSAUDITLINK__" localSheetId="7" hidden="1">{"fdsup://Directions/FactSet Auditing Viewer?action=AUDIT_VALUE&amp;DB=129&amp;ID1=67000810&amp;VALUEID=02001&amp;SDATE=200501&amp;PERIODTYPE=QTR_STD&amp;SCFT=3&amp;window=popup_no_bar&amp;width=385&amp;height=120&amp;START_MAXIMIZED=FALSE&amp;creator=factset&amp;display_string=Audit"}</definedName>
    <definedName name="_2706__FDSAUDITLINK__" hidden="1">{"fdsup://Directions/FactSet Auditing Viewer?action=AUDIT_VALUE&amp;DB=129&amp;ID1=67000810&amp;VALUEID=02001&amp;SDATE=200501&amp;PERIODTYPE=QTR_STD&amp;SCFT=3&amp;window=popup_no_bar&amp;width=385&amp;height=120&amp;START_MAXIMIZED=FALSE&amp;creator=factset&amp;display_string=Audit"}</definedName>
    <definedName name="_2707__FDSAUDITLINK__" localSheetId="7" hidden="1">{"fdsup://Directions/FactSet Auditing Viewer?action=AUDIT_VALUE&amp;DB=129&amp;ID1=67066G10&amp;VALUEID=02001&amp;SDATE=200501&amp;PERIODTYPE=QTR_STD&amp;SCFT=3&amp;window=popup_no_bar&amp;width=385&amp;height=120&amp;START_MAXIMIZED=FALSE&amp;creator=factset&amp;display_string=Audit"}</definedName>
    <definedName name="_2707__FDSAUDITLINK__" hidden="1">{"fdsup://Directions/FactSet Auditing Viewer?action=AUDIT_VALUE&amp;DB=129&amp;ID1=67066G10&amp;VALUEID=02001&amp;SDATE=200501&amp;PERIODTYPE=QTR_STD&amp;SCFT=3&amp;window=popup_no_bar&amp;width=385&amp;height=120&amp;START_MAXIMIZED=FALSE&amp;creator=factset&amp;display_string=Audit"}</definedName>
    <definedName name="_2708__FDSAUDITLINK__" localSheetId="7" hidden="1">{"fdsup://Directions/FactSet Auditing Viewer?action=AUDIT_VALUE&amp;DB=129&amp;ID1=67066G10&amp;VALUEID=02001&amp;SDATE=200501&amp;PERIODTYPE=QTR_STD&amp;SCFT=3&amp;window=popup_no_bar&amp;width=385&amp;height=120&amp;START_MAXIMIZED=FALSE&amp;creator=factset&amp;display_string=Audit"}</definedName>
    <definedName name="_2708__FDSAUDITLINK__" hidden="1">{"fdsup://Directions/FactSet Auditing Viewer?action=AUDIT_VALUE&amp;DB=129&amp;ID1=67066G10&amp;VALUEID=02001&amp;SDATE=200501&amp;PERIODTYPE=QTR_STD&amp;SCFT=3&amp;window=popup_no_bar&amp;width=385&amp;height=120&amp;START_MAXIMIZED=FALSE&amp;creator=factset&amp;display_string=Audit"}</definedName>
    <definedName name="_2709__FDSAUDITLINK__" localSheetId="7" hidden="1">{"fdsup://Directions/FactSet Auditing Viewer?action=AUDIT_VALUE&amp;DB=129&amp;ID1=63764010&amp;VALUEID=02001&amp;SDATE=200403&amp;PERIODTYPE=QTR_STD&amp;SCFT=3&amp;window=popup_no_bar&amp;width=385&amp;height=120&amp;START_MAXIMIZED=FALSE&amp;creator=factset&amp;display_string=Audit"}</definedName>
    <definedName name="_2709__FDSAUDITLINK__" hidden="1">{"fdsup://Directions/FactSet Auditing Viewer?action=AUDIT_VALUE&amp;DB=129&amp;ID1=63764010&amp;VALUEID=02001&amp;SDATE=200403&amp;PERIODTYPE=QTR_STD&amp;SCFT=3&amp;window=popup_no_bar&amp;width=385&amp;height=120&amp;START_MAXIMIZED=FALSE&amp;creator=factset&amp;display_string=Audit"}</definedName>
    <definedName name="_271__FDSAUDITLINK__" localSheetId="7" hidden="1">{"fdsup://Directions/FactSet Auditing Viewer?action=AUDIT_VALUE&amp;DB=129&amp;ID1=20714230&amp;VALUEID=02001&amp;SDATE=201101&amp;PERIODTYPE=QTR_STD&amp;SCFT=3&amp;window=popup_no_bar&amp;width=385&amp;height=120&amp;START_MAXIMIZED=FALSE&amp;creator=factset&amp;display_string=Audit"}</definedName>
    <definedName name="_271__FDSAUDITLINK__" hidden="1">{"fdsup://Directions/FactSet Auditing Viewer?action=AUDIT_VALUE&amp;DB=129&amp;ID1=20714230&amp;VALUEID=02001&amp;SDATE=201101&amp;PERIODTYPE=QTR_STD&amp;SCFT=3&amp;window=popup_no_bar&amp;width=385&amp;height=120&amp;START_MAXIMIZED=FALSE&amp;creator=factset&amp;display_string=Audit"}</definedName>
    <definedName name="_2710__FDSAUDITLINK__" localSheetId="7" hidden="1">{"fdsup://Directions/FactSet Auditing Viewer?action=AUDIT_VALUE&amp;DB=129&amp;ID1=63764010&amp;VALUEID=02001&amp;SDATE=200403&amp;PERIODTYPE=QTR_STD&amp;SCFT=3&amp;window=popup_no_bar&amp;width=385&amp;height=120&amp;START_MAXIMIZED=FALSE&amp;creator=factset&amp;display_string=Audit"}</definedName>
    <definedName name="_2710__FDSAUDITLINK__" hidden="1">{"fdsup://Directions/FactSet Auditing Viewer?action=AUDIT_VALUE&amp;DB=129&amp;ID1=63764010&amp;VALUEID=02001&amp;SDATE=200403&amp;PERIODTYPE=QTR_STD&amp;SCFT=3&amp;window=popup_no_bar&amp;width=385&amp;height=120&amp;START_MAXIMIZED=FALSE&amp;creator=factset&amp;display_string=Audit"}</definedName>
    <definedName name="_2711__FDSAUDITLINK__" localSheetId="7" hidden="1">{"fdsup://Directions/FactSet Auditing Viewer?action=AUDIT_VALUE&amp;DB=129&amp;ID1=64118B10&amp;VALUEID=02001&amp;SDATE=200501&amp;PERIODTYPE=QTR_STD&amp;SCFT=3&amp;window=popup_no_bar&amp;width=385&amp;height=120&amp;START_MAXIMIZED=FALSE&amp;creator=factset&amp;display_string=Audit"}</definedName>
    <definedName name="_2711__FDSAUDITLINK__" hidden="1">{"fdsup://Directions/FactSet Auditing Viewer?action=AUDIT_VALUE&amp;DB=129&amp;ID1=64118B10&amp;VALUEID=02001&amp;SDATE=200501&amp;PERIODTYPE=QTR_STD&amp;SCFT=3&amp;window=popup_no_bar&amp;width=385&amp;height=120&amp;START_MAXIMIZED=FALSE&amp;creator=factset&amp;display_string=Audit"}</definedName>
    <definedName name="_2712__FDSAUDITLINK__" localSheetId="7" hidden="1">{"fdsup://Directions/FactSet Auditing Viewer?action=AUDIT_VALUE&amp;DB=129&amp;ID1=64118B10&amp;VALUEID=02001&amp;SDATE=200501&amp;PERIODTYPE=QTR_STD&amp;SCFT=3&amp;window=popup_no_bar&amp;width=385&amp;height=120&amp;START_MAXIMIZED=FALSE&amp;creator=factset&amp;display_string=Audit"}</definedName>
    <definedName name="_2712__FDSAUDITLINK__" hidden="1">{"fdsup://Directions/FactSet Auditing Viewer?action=AUDIT_VALUE&amp;DB=129&amp;ID1=64118B10&amp;VALUEID=02001&amp;SDATE=200501&amp;PERIODTYPE=QTR_STD&amp;SCFT=3&amp;window=popup_no_bar&amp;width=385&amp;height=120&amp;START_MAXIMIZED=FALSE&amp;creator=factset&amp;display_string=Audit"}</definedName>
    <definedName name="_2713__FDSAUDITLINK__" localSheetId="7" hidden="1">{"fdsup://Directions/FactSet Auditing Viewer?action=AUDIT_VALUE&amp;DB=129&amp;ID1=57772K10&amp;VALUEID=02001&amp;SDATE=200503&amp;PERIODTYPE=QTR_STD&amp;SCFT=3&amp;window=popup_no_bar&amp;width=385&amp;height=120&amp;START_MAXIMIZED=FALSE&amp;creator=factset&amp;display_string=Audit"}</definedName>
    <definedName name="_2713__FDSAUDITLINK__" hidden="1">{"fdsup://Directions/FactSet Auditing Viewer?action=AUDIT_VALUE&amp;DB=129&amp;ID1=57772K10&amp;VALUEID=02001&amp;SDATE=200503&amp;PERIODTYPE=QTR_STD&amp;SCFT=3&amp;window=popup_no_bar&amp;width=385&amp;height=120&amp;START_MAXIMIZED=FALSE&amp;creator=factset&amp;display_string=Audit"}</definedName>
    <definedName name="_2714__FDSAUDITLINK__" localSheetId="7" hidden="1">{"fdsup://Directions/FactSet Auditing Viewer?action=AUDIT_VALUE&amp;DB=129&amp;ID1=57772K10&amp;VALUEID=02001&amp;SDATE=200503&amp;PERIODTYPE=QTR_STD&amp;SCFT=3&amp;window=popup_no_bar&amp;width=385&amp;height=120&amp;START_MAXIMIZED=FALSE&amp;creator=factset&amp;display_string=Audit"}</definedName>
    <definedName name="_2714__FDSAUDITLINK__" hidden="1">{"fdsup://Directions/FactSet Auditing Viewer?action=AUDIT_VALUE&amp;DB=129&amp;ID1=57772K10&amp;VALUEID=02001&amp;SDATE=200503&amp;PERIODTYPE=QTR_STD&amp;SCFT=3&amp;window=popup_no_bar&amp;width=385&amp;height=120&amp;START_MAXIMIZED=FALSE&amp;creator=factset&amp;display_string=Audit"}</definedName>
    <definedName name="_2715__FDSAUDITLINK__" localSheetId="7" hidden="1">{"fdsup://Directions/FactSet Auditing Viewer?action=AUDIT_VALUE&amp;DB=129&amp;ID1=59511210&amp;VALUEID=02001&amp;SDATE=200502&amp;PERIODTYPE=QTR_STD&amp;SCFT=3&amp;window=popup_no_bar&amp;width=385&amp;height=120&amp;START_MAXIMIZED=FALSE&amp;creator=factset&amp;display_string=Audit"}</definedName>
    <definedName name="_2715__FDSAUDITLINK__" hidden="1">{"fdsup://Directions/FactSet Auditing Viewer?action=AUDIT_VALUE&amp;DB=129&amp;ID1=59511210&amp;VALUEID=02001&amp;SDATE=200502&amp;PERIODTYPE=QTR_STD&amp;SCFT=3&amp;window=popup_no_bar&amp;width=385&amp;height=120&amp;START_MAXIMIZED=FALSE&amp;creator=factset&amp;display_string=Audit"}</definedName>
    <definedName name="_2716__FDSAUDITLINK__" localSheetId="7" hidden="1">{"fdsup://Directions/FactSet Auditing Viewer?action=AUDIT_VALUE&amp;DB=129&amp;ID1=59511210&amp;VALUEID=02001&amp;SDATE=200502&amp;PERIODTYPE=QTR_STD&amp;SCFT=3&amp;window=popup_no_bar&amp;width=385&amp;height=120&amp;START_MAXIMIZED=FALSE&amp;creator=factset&amp;display_string=Audit"}</definedName>
    <definedName name="_2716__FDSAUDITLINK__" hidden="1">{"fdsup://Directions/FactSet Auditing Viewer?action=AUDIT_VALUE&amp;DB=129&amp;ID1=59511210&amp;VALUEID=02001&amp;SDATE=200502&amp;PERIODTYPE=QTR_STD&amp;SCFT=3&amp;window=popup_no_bar&amp;width=385&amp;height=120&amp;START_MAXIMIZED=FALSE&amp;creator=factset&amp;display_string=Audit"}</definedName>
    <definedName name="_2717__FDSAUDITLINK__" localSheetId="7" hidden="1">{"fdsup://Directions/FactSet Auditing Viewer?action=AUDIT_VALUE&amp;DB=129&amp;ID1=59513710&amp;VALUEID=02001&amp;SDATE=200502&amp;PERIODTYPE=QTR_STD&amp;SCFT=3&amp;window=popup_no_bar&amp;width=385&amp;height=120&amp;START_MAXIMIZED=FALSE&amp;creator=factset&amp;display_string=Audit"}</definedName>
    <definedName name="_2717__FDSAUDITLINK__" hidden="1">{"fdsup://Directions/FactSet Auditing Viewer?action=AUDIT_VALUE&amp;DB=129&amp;ID1=59513710&amp;VALUEID=02001&amp;SDATE=200502&amp;PERIODTYPE=QTR_STD&amp;SCFT=3&amp;window=popup_no_bar&amp;width=385&amp;height=120&amp;START_MAXIMIZED=FALSE&amp;creator=factset&amp;display_string=Audit"}</definedName>
    <definedName name="_2718__FDSAUDITLINK__" localSheetId="7" hidden="1">{"fdsup://Directions/FactSet Auditing Viewer?action=AUDIT_VALUE&amp;DB=129&amp;ID1=59513710&amp;VALUEID=02001&amp;SDATE=200502&amp;PERIODTYPE=QTR_STD&amp;SCFT=3&amp;window=popup_no_bar&amp;width=385&amp;height=120&amp;START_MAXIMIZED=FALSE&amp;creator=factset&amp;display_string=Audit"}</definedName>
    <definedName name="_2718__FDSAUDITLINK__" hidden="1">{"fdsup://Directions/FactSet Auditing Viewer?action=AUDIT_VALUE&amp;DB=129&amp;ID1=59513710&amp;VALUEID=02001&amp;SDATE=200502&amp;PERIODTYPE=QTR_STD&amp;SCFT=3&amp;window=popup_no_bar&amp;width=385&amp;height=120&amp;START_MAXIMIZED=FALSE&amp;creator=factset&amp;display_string=Audit"}</definedName>
    <definedName name="_2719__FDSAUDITLINK__" localSheetId="7" hidden="1">{"fdsup://Directions/FactSet Auditing Viewer?action=AUDIT_VALUE&amp;DB=129&amp;ID1=G5876H10&amp;VALUEID=02001&amp;SDATE=200501&amp;PERIODTYPE=QTR_STD&amp;SCFT=3&amp;window=popup_no_bar&amp;width=385&amp;height=120&amp;START_MAXIMIZED=FALSE&amp;creator=factset&amp;display_string=Audit"}</definedName>
    <definedName name="_2719__FDSAUDITLINK__" hidden="1">{"fdsup://Directions/FactSet Auditing Viewer?action=AUDIT_VALUE&amp;DB=129&amp;ID1=G5876H10&amp;VALUEID=02001&amp;SDATE=200501&amp;PERIODTYPE=QTR_STD&amp;SCFT=3&amp;window=popup_no_bar&amp;width=385&amp;height=120&amp;START_MAXIMIZED=FALSE&amp;creator=factset&amp;display_string=Audit"}</definedName>
    <definedName name="_272__FDSAUDITLINK__" localSheetId="7" hidden="1">{"fdsup://Directions/FactSet Auditing Viewer?action=AUDIT_VALUE&amp;DB=129&amp;ID1=20714230&amp;VALUEID=02001&amp;SDATE=201101&amp;PERIODTYPE=QTR_STD&amp;SCFT=3&amp;window=popup_no_bar&amp;width=385&amp;height=120&amp;START_MAXIMIZED=FALSE&amp;creator=factset&amp;display_string=Audit"}</definedName>
    <definedName name="_272__FDSAUDITLINK__" hidden="1">{"fdsup://Directions/FactSet Auditing Viewer?action=AUDIT_VALUE&amp;DB=129&amp;ID1=20714230&amp;VALUEID=02001&amp;SDATE=201101&amp;PERIODTYPE=QTR_STD&amp;SCFT=3&amp;window=popup_no_bar&amp;width=385&amp;height=120&amp;START_MAXIMIZED=FALSE&amp;creator=factset&amp;display_string=Audit"}</definedName>
    <definedName name="_2720__FDSAUDITLINK__" localSheetId="7" hidden="1">{"fdsup://Directions/FactSet Auditing Viewer?action=AUDIT_VALUE&amp;DB=129&amp;ID1=G5876H10&amp;VALUEID=02001&amp;SDATE=200501&amp;PERIODTYPE=QTR_STD&amp;SCFT=3&amp;window=popup_no_bar&amp;width=385&amp;height=120&amp;START_MAXIMIZED=FALSE&amp;creator=factset&amp;display_string=Audit"}</definedName>
    <definedName name="_2720__FDSAUDITLINK__" hidden="1">{"fdsup://Directions/FactSet Auditing Viewer?action=AUDIT_VALUE&amp;DB=129&amp;ID1=G5876H10&amp;VALUEID=02001&amp;SDATE=200501&amp;PERIODTYPE=QTR_STD&amp;SCFT=3&amp;window=popup_no_bar&amp;width=385&amp;height=120&amp;START_MAXIMIZED=FALSE&amp;creator=factset&amp;display_string=Audit"}</definedName>
    <definedName name="_2721__FDSAUDITLINK__" localSheetId="7" hidden="1">{"fdsup://Directions/FactSet Auditing Viewer?action=AUDIT_VALUE&amp;DB=129&amp;ID1=60456710&amp;VALUEID=02001&amp;SDATE=200503&amp;PERIODTYPE=QTR_STD&amp;SCFT=3&amp;window=popup_no_bar&amp;width=385&amp;height=120&amp;START_MAXIMIZED=FALSE&amp;creator=factset&amp;display_string=Audit"}</definedName>
    <definedName name="_2721__FDSAUDITLINK__" hidden="1">{"fdsup://Directions/FactSet Auditing Viewer?action=AUDIT_VALUE&amp;DB=129&amp;ID1=60456710&amp;VALUEID=02001&amp;SDATE=200503&amp;PERIODTYPE=QTR_STD&amp;SCFT=3&amp;window=popup_no_bar&amp;width=385&amp;height=120&amp;START_MAXIMIZED=FALSE&amp;creator=factset&amp;display_string=Audit"}</definedName>
    <definedName name="_2722__FDSAUDITLINK__" localSheetId="7" hidden="1">{"fdsup://Directions/FactSet Auditing Viewer?action=AUDIT_VALUE&amp;DB=129&amp;ID1=60456710&amp;VALUEID=02001&amp;SDATE=200503&amp;PERIODTYPE=QTR_STD&amp;SCFT=3&amp;window=popup_no_bar&amp;width=385&amp;height=120&amp;START_MAXIMIZED=FALSE&amp;creator=factset&amp;display_string=Audit"}</definedName>
    <definedName name="_2722__FDSAUDITLINK__" hidden="1">{"fdsup://Directions/FactSet Auditing Viewer?action=AUDIT_VALUE&amp;DB=129&amp;ID1=60456710&amp;VALUEID=02001&amp;SDATE=200503&amp;PERIODTYPE=QTR_STD&amp;SCFT=3&amp;window=popup_no_bar&amp;width=385&amp;height=120&amp;START_MAXIMIZED=FALSE&amp;creator=factset&amp;display_string=Audit"}</definedName>
    <definedName name="_2723__FDSAUDITLINK__" localSheetId="7" hidden="1">{"fdsup://Directions/FactSet Auditing Viewer?action=AUDIT_VALUE&amp;DB=129&amp;ID1=59479310&amp;VALUEID=02001&amp;SDATE=200501&amp;PERIODTYPE=QTR_STD&amp;SCFT=3&amp;window=popup_no_bar&amp;width=385&amp;height=120&amp;START_MAXIMIZED=FALSE&amp;creator=factset&amp;display_string=Audit"}</definedName>
    <definedName name="_2723__FDSAUDITLINK__" hidden="1">{"fdsup://Directions/FactSet Auditing Viewer?action=AUDIT_VALUE&amp;DB=129&amp;ID1=59479310&amp;VALUEID=02001&amp;SDATE=200501&amp;PERIODTYPE=QTR_STD&amp;SCFT=3&amp;window=popup_no_bar&amp;width=385&amp;height=120&amp;START_MAXIMIZED=FALSE&amp;creator=factset&amp;display_string=Audit"}</definedName>
    <definedName name="_2724__FDSAUDITLINK__" localSheetId="7" hidden="1">{"fdsup://Directions/FactSet Auditing Viewer?action=AUDIT_VALUE&amp;DB=129&amp;ID1=59479310&amp;VALUEID=02001&amp;SDATE=200501&amp;PERIODTYPE=QTR_STD&amp;SCFT=3&amp;window=popup_no_bar&amp;width=385&amp;height=120&amp;START_MAXIMIZED=FALSE&amp;creator=factset&amp;display_string=Audit"}</definedName>
    <definedName name="_2724__FDSAUDITLINK__" hidden="1">{"fdsup://Directions/FactSet Auditing Viewer?action=AUDIT_VALUE&amp;DB=129&amp;ID1=59479310&amp;VALUEID=02001&amp;SDATE=200501&amp;PERIODTYPE=QTR_STD&amp;SCFT=3&amp;window=popup_no_bar&amp;width=385&amp;height=120&amp;START_MAXIMIZED=FALSE&amp;creator=factset&amp;display_string=Audit"}</definedName>
    <definedName name="_2725__FDSAUDITLINK__" localSheetId="7" hidden="1">{"fdsup://Directions/FactSet Auditing Viewer?action=AUDIT_VALUE&amp;DB=129&amp;ID1=50216110&amp;VALUEID=02001&amp;SDATE=200501&amp;PERIODTYPE=QTR_STD&amp;SCFT=3&amp;window=popup_no_bar&amp;width=385&amp;height=120&amp;START_MAXIMIZED=FALSE&amp;creator=factset&amp;display_string=Audit"}</definedName>
    <definedName name="_2725__FDSAUDITLINK__" hidden="1">{"fdsup://Directions/FactSet Auditing Viewer?action=AUDIT_VALUE&amp;DB=129&amp;ID1=50216110&amp;VALUEID=02001&amp;SDATE=200501&amp;PERIODTYPE=QTR_STD&amp;SCFT=3&amp;window=popup_no_bar&amp;width=385&amp;height=120&amp;START_MAXIMIZED=FALSE&amp;creator=factset&amp;display_string=Audit"}</definedName>
    <definedName name="_2726__FDSAUDITLINK__" localSheetId="7" hidden="1">{"fdsup://Directions/FactSet Auditing Viewer?action=AUDIT_VALUE&amp;DB=129&amp;ID1=50216110&amp;VALUEID=02001&amp;SDATE=200501&amp;PERIODTYPE=QTR_STD&amp;SCFT=3&amp;window=popup_no_bar&amp;width=385&amp;height=120&amp;START_MAXIMIZED=FALSE&amp;creator=factset&amp;display_string=Audit"}</definedName>
    <definedName name="_2726__FDSAUDITLINK__" hidden="1">{"fdsup://Directions/FactSet Auditing Viewer?action=AUDIT_VALUE&amp;DB=129&amp;ID1=50216110&amp;VALUEID=02001&amp;SDATE=200501&amp;PERIODTYPE=QTR_STD&amp;SCFT=3&amp;window=popup_no_bar&amp;width=385&amp;height=120&amp;START_MAXIMIZED=FALSE&amp;creator=factset&amp;display_string=Audit"}</definedName>
    <definedName name="_2727__FDSAUDITLINK__" localSheetId="7" hidden="1">{"fdsup://Directions/FactSet Auditing Viewer?action=AUDIT_VALUE&amp;DB=129&amp;ID1=53567810&amp;VALUEID=02001&amp;SDATE=200503&amp;PERIODTYPE=QTR_STD&amp;SCFT=3&amp;window=popup_no_bar&amp;width=385&amp;height=120&amp;START_MAXIMIZED=FALSE&amp;creator=factset&amp;display_string=Audit"}</definedName>
    <definedName name="_2727__FDSAUDITLINK__" hidden="1">{"fdsup://Directions/FactSet Auditing Viewer?action=AUDIT_VALUE&amp;DB=129&amp;ID1=53567810&amp;VALUEID=02001&amp;SDATE=200503&amp;PERIODTYPE=QTR_STD&amp;SCFT=3&amp;window=popup_no_bar&amp;width=385&amp;height=120&amp;START_MAXIMIZED=FALSE&amp;creator=factset&amp;display_string=Audit"}</definedName>
    <definedName name="_2728__FDSAUDITLINK__" localSheetId="7" hidden="1">{"fdsup://Directions/FactSet Auditing Viewer?action=AUDIT_VALUE&amp;DB=129&amp;ID1=53567810&amp;VALUEID=02001&amp;SDATE=200503&amp;PERIODTYPE=QTR_STD&amp;SCFT=3&amp;window=popup_no_bar&amp;width=385&amp;height=120&amp;START_MAXIMIZED=FALSE&amp;creator=factset&amp;display_string=Audit"}</definedName>
    <definedName name="_2728__FDSAUDITLINK__" hidden="1">{"fdsup://Directions/FactSet Auditing Viewer?action=AUDIT_VALUE&amp;DB=129&amp;ID1=53567810&amp;VALUEID=02001&amp;SDATE=200503&amp;PERIODTYPE=QTR_STD&amp;SCFT=3&amp;window=popup_no_bar&amp;width=385&amp;height=120&amp;START_MAXIMIZED=FALSE&amp;creator=factset&amp;display_string=Audit"}</definedName>
    <definedName name="_2729__FDSAUDITLINK__" localSheetId="7" hidden="1">{"fdsup://Directions/FactSet Auditing Viewer?action=AUDIT_VALUE&amp;DB=129&amp;ID1=48248010&amp;VALUEID=02001&amp;SDATE=200503&amp;PERIODTYPE=QTR_STD&amp;SCFT=3&amp;window=popup_no_bar&amp;width=385&amp;height=120&amp;START_MAXIMIZED=FALSE&amp;creator=factset&amp;display_string=Audit"}</definedName>
    <definedName name="_2729__FDSAUDITLINK__" hidden="1">{"fdsup://Directions/FactSet Auditing Viewer?action=AUDIT_VALUE&amp;DB=129&amp;ID1=48248010&amp;VALUEID=02001&amp;SDATE=200503&amp;PERIODTYPE=QTR_STD&amp;SCFT=3&amp;window=popup_no_bar&amp;width=385&amp;height=120&amp;START_MAXIMIZED=FALSE&amp;creator=factset&amp;display_string=Audit"}</definedName>
    <definedName name="_273__FDSAUDITLINK__" localSheetId="7" hidden="1">{"fdsup://Directions/FactSet Auditing Viewer?action=AUDIT_VALUE&amp;DB=129&amp;ID1=12738710&amp;VALUEID=02001&amp;SDATE=201004&amp;PERIODTYPE=QTR_STD&amp;SCFT=3&amp;window=popup_no_bar&amp;width=385&amp;height=120&amp;START_MAXIMIZED=FALSE&amp;creator=factset&amp;display_string=Audit"}</definedName>
    <definedName name="_273__FDSAUDITLINK__" hidden="1">{"fdsup://Directions/FactSet Auditing Viewer?action=AUDIT_VALUE&amp;DB=129&amp;ID1=12738710&amp;VALUEID=02001&amp;SDATE=201004&amp;PERIODTYPE=QTR_STD&amp;SCFT=3&amp;window=popup_no_bar&amp;width=385&amp;height=120&amp;START_MAXIMIZED=FALSE&amp;creator=factset&amp;display_string=Audit"}</definedName>
    <definedName name="_2730__FDSAUDITLINK__" localSheetId="7" hidden="1">{"fdsup://Directions/FactSet Auditing Viewer?action=AUDIT_VALUE&amp;DB=129&amp;ID1=48248010&amp;VALUEID=02001&amp;SDATE=200503&amp;PERIODTYPE=QTR_STD&amp;SCFT=3&amp;window=popup_no_bar&amp;width=385&amp;height=120&amp;START_MAXIMIZED=FALSE&amp;creator=factset&amp;display_string=Audit"}</definedName>
    <definedName name="_2730__FDSAUDITLINK__" hidden="1">{"fdsup://Directions/FactSet Auditing Viewer?action=AUDIT_VALUE&amp;DB=129&amp;ID1=48248010&amp;VALUEID=02001&amp;SDATE=200503&amp;PERIODTYPE=QTR_STD&amp;SCFT=3&amp;window=popup_no_bar&amp;width=385&amp;height=120&amp;START_MAXIMIZED=FALSE&amp;creator=factset&amp;display_string=Audit"}</definedName>
    <definedName name="_2731__FDSAUDITLINK__" localSheetId="7" hidden="1">{"fdsup://Directions/FactSet Auditing Viewer?action=AUDIT_VALUE&amp;DB=129&amp;ID1=48203R10&amp;VALUEID=02001&amp;SDATE=200501&amp;PERIODTYPE=QTR_STD&amp;SCFT=3&amp;window=popup_no_bar&amp;width=385&amp;height=120&amp;START_MAXIMIZED=FALSE&amp;creator=factset&amp;display_string=Audit"}</definedName>
    <definedName name="_2731__FDSAUDITLINK__" hidden="1">{"fdsup://Directions/FactSet Auditing Viewer?action=AUDIT_VALUE&amp;DB=129&amp;ID1=48203R10&amp;VALUEID=02001&amp;SDATE=200501&amp;PERIODTYPE=QTR_STD&amp;SCFT=3&amp;window=popup_no_bar&amp;width=385&amp;height=120&amp;START_MAXIMIZED=FALSE&amp;creator=factset&amp;display_string=Audit"}</definedName>
    <definedName name="_2732__FDSAUDITLINK__" localSheetId="7" hidden="1">{"fdsup://Directions/FactSet Auditing Viewer?action=AUDIT_VALUE&amp;DB=129&amp;ID1=48203R10&amp;VALUEID=02001&amp;SDATE=200501&amp;PERIODTYPE=QTR_STD&amp;SCFT=3&amp;window=popup_no_bar&amp;width=385&amp;height=120&amp;START_MAXIMIZED=FALSE&amp;creator=factset&amp;display_string=Audit"}</definedName>
    <definedName name="_2732__FDSAUDITLINK__" hidden="1">{"fdsup://Directions/FactSet Auditing Viewer?action=AUDIT_VALUE&amp;DB=129&amp;ID1=48203R10&amp;VALUEID=02001&amp;SDATE=200501&amp;PERIODTYPE=QTR_STD&amp;SCFT=3&amp;window=popup_no_bar&amp;width=385&amp;height=120&amp;START_MAXIMIZED=FALSE&amp;creator=factset&amp;display_string=Audit"}</definedName>
    <definedName name="_2733__FDSAUDITLINK__" localSheetId="7" hidden="1">{"fdsup://Directions/FactSet Auditing Viewer?action=AUDIT_VALUE&amp;DB=129&amp;ID1=86681020&amp;VALUEID=02001&amp;SDATE=200503&amp;PERIODTYPE=QTR_STD&amp;SCFT=3&amp;window=popup_no_bar&amp;width=385&amp;height=120&amp;START_MAXIMIZED=FALSE&amp;creator=factset&amp;display_string=Audit"}</definedName>
    <definedName name="_2733__FDSAUDITLINK__" hidden="1">{"fdsup://Directions/FactSet Auditing Viewer?action=AUDIT_VALUE&amp;DB=129&amp;ID1=86681020&amp;VALUEID=02001&amp;SDATE=200503&amp;PERIODTYPE=QTR_STD&amp;SCFT=3&amp;window=popup_no_bar&amp;width=385&amp;height=120&amp;START_MAXIMIZED=FALSE&amp;creator=factset&amp;display_string=Audit"}</definedName>
    <definedName name="_2734__FDSAUDITLINK__" localSheetId="7" hidden="1">{"fdsup://Directions/FactSet Auditing Viewer?action=AUDIT_VALUE&amp;DB=129&amp;ID1=86681020&amp;VALUEID=02001&amp;SDATE=200503&amp;PERIODTYPE=QTR_STD&amp;SCFT=3&amp;window=popup_no_bar&amp;width=385&amp;height=120&amp;START_MAXIMIZED=FALSE&amp;creator=factset&amp;display_string=Audit"}</definedName>
    <definedName name="_2734__FDSAUDITLINK__" hidden="1">{"fdsup://Directions/FactSet Auditing Viewer?action=AUDIT_VALUE&amp;DB=129&amp;ID1=86681020&amp;VALUEID=02001&amp;SDATE=200503&amp;PERIODTYPE=QTR_STD&amp;SCFT=3&amp;window=popup_no_bar&amp;width=385&amp;height=120&amp;START_MAXIMIZED=FALSE&amp;creator=factset&amp;display_string=Audit"}</definedName>
    <definedName name="_2735__FDSAUDITLINK__" localSheetId="7" hidden="1">{"fdsup://Directions/FactSet Auditing Viewer?action=AUDIT_VALUE&amp;DB=129&amp;ID1=46069S10&amp;VALUEID=02001&amp;SDATE=200501&amp;PERIODTYPE=QTR_STD&amp;SCFT=3&amp;window=popup_no_bar&amp;width=385&amp;height=120&amp;START_MAXIMIZED=FALSE&amp;creator=factset&amp;display_string=Audit"}</definedName>
    <definedName name="_2735__FDSAUDITLINK__" hidden="1">{"fdsup://Directions/FactSet Auditing Viewer?action=AUDIT_VALUE&amp;DB=129&amp;ID1=46069S10&amp;VALUEID=02001&amp;SDATE=200501&amp;PERIODTYPE=QTR_STD&amp;SCFT=3&amp;window=popup_no_bar&amp;width=385&amp;height=120&amp;START_MAXIMIZED=FALSE&amp;creator=factset&amp;display_string=Audit"}</definedName>
    <definedName name="_2736__FDSAUDITLINK__" localSheetId="7" hidden="1">{"fdsup://Directions/FactSet Auditing Viewer?action=AUDIT_VALUE&amp;DB=129&amp;ID1=46069S10&amp;VALUEID=02001&amp;SDATE=200501&amp;PERIODTYPE=QTR_STD&amp;SCFT=3&amp;window=popup_no_bar&amp;width=385&amp;height=120&amp;START_MAXIMIZED=FALSE&amp;creator=factset&amp;display_string=Audit"}</definedName>
    <definedName name="_2736__FDSAUDITLINK__" hidden="1">{"fdsup://Directions/FactSet Auditing Viewer?action=AUDIT_VALUE&amp;DB=129&amp;ID1=46069S10&amp;VALUEID=02001&amp;SDATE=200501&amp;PERIODTYPE=QTR_STD&amp;SCFT=3&amp;window=popup_no_bar&amp;width=385&amp;height=120&amp;START_MAXIMIZED=FALSE&amp;creator=factset&amp;display_string=Audit"}</definedName>
    <definedName name="_2737__FDSAUDITLINK__" localSheetId="7" hidden="1">{"fdsup://Directions/FactSet Auditing Viewer?action=AUDIT_VALUE&amp;DB=129&amp;ID1=46025410&amp;VALUEID=02001&amp;SDATE=200503&amp;PERIODTYPE=QTR_STD&amp;SCFT=3&amp;window=popup_no_bar&amp;width=385&amp;height=120&amp;START_MAXIMIZED=FALSE&amp;creator=factset&amp;display_string=Audit"}</definedName>
    <definedName name="_2737__FDSAUDITLINK__" hidden="1">{"fdsup://Directions/FactSet Auditing Viewer?action=AUDIT_VALUE&amp;DB=129&amp;ID1=46025410&amp;VALUEID=02001&amp;SDATE=200503&amp;PERIODTYPE=QTR_STD&amp;SCFT=3&amp;window=popup_no_bar&amp;width=385&amp;height=120&amp;START_MAXIMIZED=FALSE&amp;creator=factset&amp;display_string=Audit"}</definedName>
    <definedName name="_2738__FDSAUDITLINK__" localSheetId="7" hidden="1">{"fdsup://Directions/FactSet Auditing Viewer?action=AUDIT_VALUE&amp;DB=129&amp;ID1=46025410&amp;VALUEID=02001&amp;SDATE=200503&amp;PERIODTYPE=QTR_STD&amp;SCFT=3&amp;window=popup_no_bar&amp;width=385&amp;height=120&amp;START_MAXIMIZED=FALSE&amp;creator=factset&amp;display_string=Audit"}</definedName>
    <definedName name="_2738__FDSAUDITLINK__" hidden="1">{"fdsup://Directions/FactSet Auditing Viewer?action=AUDIT_VALUE&amp;DB=129&amp;ID1=46025410&amp;VALUEID=02001&amp;SDATE=200503&amp;PERIODTYPE=QTR_STD&amp;SCFT=3&amp;window=popup_no_bar&amp;width=385&amp;height=120&amp;START_MAXIMIZED=FALSE&amp;creator=factset&amp;display_string=Audit"}</definedName>
    <definedName name="_2739__FDSAUDITLINK__" localSheetId="7" hidden="1">{"fdsup://Directions/FactSet Auditing Viewer?action=AUDIT_VALUE&amp;DB=129&amp;ID1=45814010&amp;VALUEID=02001&amp;SDATE=200501&amp;PERIODTYPE=QTR_STD&amp;SCFT=3&amp;window=popup_no_bar&amp;width=385&amp;height=120&amp;START_MAXIMIZED=FALSE&amp;creator=factset&amp;display_string=Audit"}</definedName>
    <definedName name="_2739__FDSAUDITLINK__" hidden="1">{"fdsup://Directions/FactSet Auditing Viewer?action=AUDIT_VALUE&amp;DB=129&amp;ID1=45814010&amp;VALUEID=02001&amp;SDATE=200501&amp;PERIODTYPE=QTR_STD&amp;SCFT=3&amp;window=popup_no_bar&amp;width=385&amp;height=120&amp;START_MAXIMIZED=FALSE&amp;creator=factset&amp;display_string=Audit"}</definedName>
    <definedName name="_274__FDSAUDITLINK__" localSheetId="7" hidden="1">{"fdsup://Directions/FactSet Auditing Viewer?action=AUDIT_VALUE&amp;DB=129&amp;ID1=12738710&amp;VALUEID=02001&amp;SDATE=201004&amp;PERIODTYPE=QTR_STD&amp;SCFT=3&amp;window=popup_no_bar&amp;width=385&amp;height=120&amp;START_MAXIMIZED=FALSE&amp;creator=factset&amp;display_string=Audit"}</definedName>
    <definedName name="_274__FDSAUDITLINK__" hidden="1">{"fdsup://Directions/FactSet Auditing Viewer?action=AUDIT_VALUE&amp;DB=129&amp;ID1=12738710&amp;VALUEID=02001&amp;SDATE=201004&amp;PERIODTYPE=QTR_STD&amp;SCFT=3&amp;window=popup_no_bar&amp;width=385&amp;height=120&amp;START_MAXIMIZED=FALSE&amp;creator=factset&amp;display_string=Audit"}</definedName>
    <definedName name="_2740__FDSAUDITLINK__" localSheetId="7" hidden="1">{"fdsup://Directions/FactSet Auditing Viewer?action=AUDIT_VALUE&amp;DB=129&amp;ID1=45814010&amp;VALUEID=02001&amp;SDATE=200501&amp;PERIODTYPE=QTR_STD&amp;SCFT=3&amp;window=popup_no_bar&amp;width=385&amp;height=120&amp;START_MAXIMIZED=FALSE&amp;creator=factset&amp;display_string=Audit"}</definedName>
    <definedName name="_2740__FDSAUDITLINK__" hidden="1">{"fdsup://Directions/FactSet Auditing Viewer?action=AUDIT_VALUE&amp;DB=129&amp;ID1=45814010&amp;VALUEID=02001&amp;SDATE=200501&amp;PERIODTYPE=QTR_STD&amp;SCFT=3&amp;window=popup_no_bar&amp;width=385&amp;height=120&amp;START_MAXIMIZED=FALSE&amp;creator=factset&amp;display_string=Audit"}</definedName>
    <definedName name="_2741__FDSAUDITLINK__" localSheetId="7" hidden="1">{"fdsup://Directions/FactSet Auditing Viewer?action=AUDIT_VALUE&amp;DB=129&amp;ID1=42823610&amp;VALUEID=02001&amp;SDATE=200502&amp;PERIODTYPE=QTR_STD&amp;SCFT=3&amp;window=popup_no_bar&amp;width=385&amp;height=120&amp;START_MAXIMIZED=FALSE&amp;creator=factset&amp;display_string=Audit"}</definedName>
    <definedName name="_2741__FDSAUDITLINK__" hidden="1">{"fdsup://Directions/FactSet Auditing Viewer?action=AUDIT_VALUE&amp;DB=129&amp;ID1=42823610&amp;VALUEID=02001&amp;SDATE=200502&amp;PERIODTYPE=QTR_STD&amp;SCFT=3&amp;window=popup_no_bar&amp;width=385&amp;height=120&amp;START_MAXIMIZED=FALSE&amp;creator=factset&amp;display_string=Audit"}</definedName>
    <definedName name="_2742__FDSAUDITLINK__" localSheetId="7" hidden="1">{"fdsup://Directions/FactSet Auditing Viewer?action=AUDIT_VALUE&amp;DB=129&amp;ID1=42823610&amp;VALUEID=02001&amp;SDATE=200502&amp;PERIODTYPE=QTR_STD&amp;SCFT=3&amp;window=popup_no_bar&amp;width=385&amp;height=120&amp;START_MAXIMIZED=FALSE&amp;creator=factset&amp;display_string=Audit"}</definedName>
    <definedName name="_2742__FDSAUDITLINK__" hidden="1">{"fdsup://Directions/FactSet Auditing Viewer?action=AUDIT_VALUE&amp;DB=129&amp;ID1=42823610&amp;VALUEID=02001&amp;SDATE=200502&amp;PERIODTYPE=QTR_STD&amp;SCFT=3&amp;window=popup_no_bar&amp;width=385&amp;height=120&amp;START_MAXIMIZED=FALSE&amp;creator=factset&amp;display_string=Audit"}</definedName>
    <definedName name="_2743__FDSAUDITLINK__" localSheetId="7" hidden="1">{"fdsup://Directions/FactSet Auditing Viewer?action=AUDIT_VALUE&amp;DB=129&amp;ID1=34637510&amp;VALUEID=02001&amp;SDATE=200501&amp;PERIODTYPE=QTR_STD&amp;SCFT=3&amp;window=popup_no_bar&amp;width=385&amp;height=120&amp;START_MAXIMIZED=FALSE&amp;creator=factset&amp;display_string=Audit"}</definedName>
    <definedName name="_2743__FDSAUDITLINK__" hidden="1">{"fdsup://Directions/FactSet Auditing Viewer?action=AUDIT_VALUE&amp;DB=129&amp;ID1=34637510&amp;VALUEID=02001&amp;SDATE=200501&amp;PERIODTYPE=QTR_STD&amp;SCFT=3&amp;window=popup_no_bar&amp;width=385&amp;height=120&amp;START_MAXIMIZED=FALSE&amp;creator=factset&amp;display_string=Audit"}</definedName>
    <definedName name="_2744__FDSAUDITLINK__" localSheetId="7" hidden="1">{"fdsup://Directions/FactSet Auditing Viewer?action=AUDIT_VALUE&amp;DB=129&amp;ID1=34637510&amp;VALUEID=02001&amp;SDATE=200501&amp;PERIODTYPE=QTR_STD&amp;SCFT=3&amp;window=popup_no_bar&amp;width=385&amp;height=120&amp;START_MAXIMIZED=FALSE&amp;creator=factset&amp;display_string=Audit"}</definedName>
    <definedName name="_2744__FDSAUDITLINK__" hidden="1">{"fdsup://Directions/FactSet Auditing Viewer?action=AUDIT_VALUE&amp;DB=129&amp;ID1=34637510&amp;VALUEID=02001&amp;SDATE=200501&amp;PERIODTYPE=QTR_STD&amp;SCFT=3&amp;window=popup_no_bar&amp;width=385&amp;height=120&amp;START_MAXIMIZED=FALSE&amp;creator=factset&amp;display_string=Audit"}</definedName>
    <definedName name="_2745__FDSAUDITLINK__" localSheetId="7" hidden="1">{"fdsup://Directions/FactSet Auditing Viewer?action=AUDIT_VALUE&amp;DB=129&amp;ID1=31561610&amp;VALUEID=02001&amp;SDATE=200502&amp;PERIODTYPE=QTR_STD&amp;SCFT=3&amp;window=popup_no_bar&amp;width=385&amp;height=120&amp;START_MAXIMIZED=FALSE&amp;creator=factset&amp;display_string=Audit"}</definedName>
    <definedName name="_2745__FDSAUDITLINK__" hidden="1">{"fdsup://Directions/FactSet Auditing Viewer?action=AUDIT_VALUE&amp;DB=129&amp;ID1=31561610&amp;VALUEID=02001&amp;SDATE=200502&amp;PERIODTYPE=QTR_STD&amp;SCFT=3&amp;window=popup_no_bar&amp;width=385&amp;height=120&amp;START_MAXIMIZED=FALSE&amp;creator=factset&amp;display_string=Audit"}</definedName>
    <definedName name="_2746__FDSAUDITLINK__" localSheetId="7" hidden="1">{"fdsup://Directions/FactSet Auditing Viewer?action=AUDIT_VALUE&amp;DB=129&amp;ID1=31561610&amp;VALUEID=02001&amp;SDATE=200502&amp;PERIODTYPE=QTR_STD&amp;SCFT=3&amp;window=popup_no_bar&amp;width=385&amp;height=120&amp;START_MAXIMIZED=FALSE&amp;creator=factset&amp;display_string=Audit"}</definedName>
    <definedName name="_2746__FDSAUDITLINK__" hidden="1">{"fdsup://Directions/FactSet Auditing Viewer?action=AUDIT_VALUE&amp;DB=129&amp;ID1=31561610&amp;VALUEID=02001&amp;SDATE=200502&amp;PERIODTYPE=QTR_STD&amp;SCFT=3&amp;window=popup_no_bar&amp;width=385&amp;height=120&amp;START_MAXIMIZED=FALSE&amp;creator=factset&amp;display_string=Audit"}</definedName>
    <definedName name="_2747__FDSAUDITLINK__" localSheetId="7" hidden="1">{"fdsup://Directions/FactSet Auditing Viewer?action=AUDIT_VALUE&amp;DB=129&amp;ID1=29247520&amp;VALUEID=02001&amp;SDATE=200503&amp;PERIODTYPE=QTR_STD&amp;SCFT=3&amp;window=popup_no_bar&amp;width=385&amp;height=120&amp;START_MAXIMIZED=FALSE&amp;creator=factset&amp;display_string=Audit"}</definedName>
    <definedName name="_2747__FDSAUDITLINK__" hidden="1">{"fdsup://Directions/FactSet Auditing Viewer?action=AUDIT_VALUE&amp;DB=129&amp;ID1=29247520&amp;VALUEID=02001&amp;SDATE=200503&amp;PERIODTYPE=QTR_STD&amp;SCFT=3&amp;window=popup_no_bar&amp;width=385&amp;height=120&amp;START_MAXIMIZED=FALSE&amp;creator=factset&amp;display_string=Audit"}</definedName>
    <definedName name="_2748__FDSAUDITLINK__" localSheetId="7" hidden="1">{"fdsup://Directions/FactSet Auditing Viewer?action=AUDIT_VALUE&amp;DB=129&amp;ID1=29247520&amp;VALUEID=02001&amp;SDATE=200503&amp;PERIODTYPE=QTR_STD&amp;SCFT=3&amp;window=popup_no_bar&amp;width=385&amp;height=120&amp;START_MAXIMIZED=FALSE&amp;creator=factset&amp;display_string=Audit"}</definedName>
    <definedName name="_2748__FDSAUDITLINK__" hidden="1">{"fdsup://Directions/FactSet Auditing Viewer?action=AUDIT_VALUE&amp;DB=129&amp;ID1=29247520&amp;VALUEID=02001&amp;SDATE=200503&amp;PERIODTYPE=QTR_STD&amp;SCFT=3&amp;window=popup_no_bar&amp;width=385&amp;height=120&amp;START_MAXIMIZED=FALSE&amp;creator=factset&amp;display_string=Audit"}</definedName>
    <definedName name="_2749__FDSAUDITLINK__" localSheetId="7" hidden="1">{"fdsup://Directions/FactSet Auditing Viewer?action=AUDIT_VALUE&amp;DB=129&amp;ID1=25454310&amp;VALUEID=02001&amp;SDATE=200501&amp;PERIODTYPE=QTR_STD&amp;SCFT=3&amp;window=popup_no_bar&amp;width=385&amp;height=120&amp;START_MAXIMIZED=FALSE&amp;creator=factset&amp;display_string=Audit"}</definedName>
    <definedName name="_2749__FDSAUDITLINK__" hidden="1">{"fdsup://Directions/FactSet Auditing Viewer?action=AUDIT_VALUE&amp;DB=129&amp;ID1=25454310&amp;VALUEID=02001&amp;SDATE=200501&amp;PERIODTYPE=QTR_STD&amp;SCFT=3&amp;window=popup_no_bar&amp;width=385&amp;height=120&amp;START_MAXIMIZED=FALSE&amp;creator=factset&amp;display_string=Audit"}</definedName>
    <definedName name="_275__FDSAUDITLINK__" localSheetId="7" hidden="1">{"fdsup://Directions/FactSet Auditing Viewer?action=AUDIT_VALUE&amp;DB=129&amp;ID1=14964U10&amp;VALUEID=02001&amp;SDATE=201004&amp;PERIODTYPE=QTR_STD&amp;SCFT=3&amp;window=popup_no_bar&amp;width=385&amp;height=120&amp;START_MAXIMIZED=FALSE&amp;creator=factset&amp;display_string=Audit"}</definedName>
    <definedName name="_275__FDSAUDITLINK__" hidden="1">{"fdsup://Directions/FactSet Auditing Viewer?action=AUDIT_VALUE&amp;DB=129&amp;ID1=14964U10&amp;VALUEID=02001&amp;SDATE=201004&amp;PERIODTYPE=QTR_STD&amp;SCFT=3&amp;window=popup_no_bar&amp;width=385&amp;height=120&amp;START_MAXIMIZED=FALSE&amp;creator=factset&amp;display_string=Audit"}</definedName>
    <definedName name="_2750__FDSAUDITLINK__" localSheetId="7" hidden="1">{"fdsup://Directions/FactSet Auditing Viewer?action=AUDIT_VALUE&amp;DB=129&amp;ID1=25454310&amp;VALUEID=02001&amp;SDATE=200501&amp;PERIODTYPE=QTR_STD&amp;SCFT=3&amp;window=popup_no_bar&amp;width=385&amp;height=120&amp;START_MAXIMIZED=FALSE&amp;creator=factset&amp;display_string=Audit"}</definedName>
    <definedName name="_2750__FDSAUDITLINK__" hidden="1">{"fdsup://Directions/FactSet Auditing Viewer?action=AUDIT_VALUE&amp;DB=129&amp;ID1=25454310&amp;VALUEID=02001&amp;SDATE=200501&amp;PERIODTYPE=QTR_STD&amp;SCFT=3&amp;window=popup_no_bar&amp;width=385&amp;height=120&amp;START_MAXIMIZED=FALSE&amp;creator=factset&amp;display_string=Audit"}</definedName>
    <definedName name="_2751__FDSAUDITLINK__" localSheetId="7" hidden="1">{"fdsup://Directions/FactSet Auditing Viewer?action=AUDIT_VALUE&amp;DB=129&amp;ID1=24702R10&amp;VALUEID=02001&amp;SDATE=200501&amp;PERIODTYPE=QTR_STD&amp;SCFT=3&amp;window=popup_no_bar&amp;width=385&amp;height=120&amp;START_MAXIMIZED=FALSE&amp;creator=factset&amp;display_string=Audit"}</definedName>
    <definedName name="_2751__FDSAUDITLINK__" hidden="1">{"fdsup://Directions/FactSet Auditing Viewer?action=AUDIT_VALUE&amp;DB=129&amp;ID1=24702R10&amp;VALUEID=02001&amp;SDATE=200501&amp;PERIODTYPE=QTR_STD&amp;SCFT=3&amp;window=popup_no_bar&amp;width=385&amp;height=120&amp;START_MAXIMIZED=FALSE&amp;creator=factset&amp;display_string=Audit"}</definedName>
    <definedName name="_2752__FDSAUDITLINK__" localSheetId="7" hidden="1">{"fdsup://Directions/FactSet Auditing Viewer?action=AUDIT_VALUE&amp;DB=129&amp;ID1=24702R10&amp;VALUEID=02001&amp;SDATE=200501&amp;PERIODTYPE=QTR_STD&amp;SCFT=3&amp;window=popup_no_bar&amp;width=385&amp;height=120&amp;START_MAXIMIZED=FALSE&amp;creator=factset&amp;display_string=Audit"}</definedName>
    <definedName name="_2752__FDSAUDITLINK__" hidden="1">{"fdsup://Directions/FactSet Auditing Viewer?action=AUDIT_VALUE&amp;DB=129&amp;ID1=24702R10&amp;VALUEID=02001&amp;SDATE=200501&amp;PERIODTYPE=QTR_STD&amp;SCFT=3&amp;window=popup_no_bar&amp;width=385&amp;height=120&amp;START_MAXIMIZED=FALSE&amp;creator=factset&amp;display_string=Audit"}</definedName>
    <definedName name="_2753__FDSAUDITLINK__" localSheetId="7" hidden="1">{"fdsup://Directions/FactSet Auditing Viewer?action=AUDIT_VALUE&amp;DB=129&amp;ID1=23257210&amp;VALUEID=02001&amp;SDATE=200501&amp;PERIODTYPE=QTR_STD&amp;SCFT=3&amp;window=popup_no_bar&amp;width=385&amp;height=120&amp;START_MAXIMIZED=FALSE&amp;creator=factset&amp;display_string=Audit"}</definedName>
    <definedName name="_2753__FDSAUDITLINK__" hidden="1">{"fdsup://Directions/FactSet Auditing Viewer?action=AUDIT_VALUE&amp;DB=129&amp;ID1=23257210&amp;VALUEID=02001&amp;SDATE=200501&amp;PERIODTYPE=QTR_STD&amp;SCFT=3&amp;window=popup_no_bar&amp;width=385&amp;height=120&amp;START_MAXIMIZED=FALSE&amp;creator=factset&amp;display_string=Audit"}</definedName>
    <definedName name="_2754__FDSAUDITLINK__" localSheetId="7" hidden="1">{"fdsup://Directions/FactSet Auditing Viewer?action=AUDIT_VALUE&amp;DB=129&amp;ID1=23257210&amp;VALUEID=02001&amp;SDATE=200501&amp;PERIODTYPE=QTR_STD&amp;SCFT=3&amp;window=popup_no_bar&amp;width=385&amp;height=120&amp;START_MAXIMIZED=FALSE&amp;creator=factset&amp;display_string=Audit"}</definedName>
    <definedName name="_2754__FDSAUDITLINK__" hidden="1">{"fdsup://Directions/FactSet Auditing Viewer?action=AUDIT_VALUE&amp;DB=129&amp;ID1=23257210&amp;VALUEID=02001&amp;SDATE=200501&amp;PERIODTYPE=QTR_STD&amp;SCFT=3&amp;window=popup_no_bar&amp;width=385&amp;height=120&amp;START_MAXIMIZED=FALSE&amp;creator=factset&amp;display_string=Audit"}</definedName>
    <definedName name="_2755__FDSAUDITLINK__" localSheetId="7" hidden="1">{"fdsup://Directions/FactSet Auditing Viewer?action=AUDIT_VALUE&amp;DB=129&amp;ID1=23280610&amp;VALUEID=02001&amp;SDATE=200501&amp;PERIODTYPE=QTR_STD&amp;SCFT=3&amp;window=popup_no_bar&amp;width=385&amp;height=120&amp;START_MAXIMIZED=FALSE&amp;creator=factset&amp;display_string=Audit"}</definedName>
    <definedName name="_2755__FDSAUDITLINK__" hidden="1">{"fdsup://Directions/FactSet Auditing Viewer?action=AUDIT_VALUE&amp;DB=129&amp;ID1=23280610&amp;VALUEID=02001&amp;SDATE=200501&amp;PERIODTYPE=QTR_STD&amp;SCFT=3&amp;window=popup_no_bar&amp;width=385&amp;height=120&amp;START_MAXIMIZED=FALSE&amp;creator=factset&amp;display_string=Audit"}</definedName>
    <definedName name="_2756__FDSAUDITLINK__" localSheetId="7" hidden="1">{"fdsup://Directions/FactSet Auditing Viewer?action=AUDIT_VALUE&amp;DB=129&amp;ID1=23280610&amp;VALUEID=02001&amp;SDATE=200501&amp;PERIODTYPE=QTR_STD&amp;SCFT=3&amp;window=popup_no_bar&amp;width=385&amp;height=120&amp;START_MAXIMIZED=FALSE&amp;creator=factset&amp;display_string=Audit"}</definedName>
    <definedName name="_2756__FDSAUDITLINK__" hidden="1">{"fdsup://Directions/FactSet Auditing Viewer?action=AUDIT_VALUE&amp;DB=129&amp;ID1=23280610&amp;VALUEID=02001&amp;SDATE=200501&amp;PERIODTYPE=QTR_STD&amp;SCFT=3&amp;window=popup_no_bar&amp;width=385&amp;height=120&amp;START_MAXIMIZED=FALSE&amp;creator=factset&amp;display_string=Audit"}</definedName>
    <definedName name="_2757__FDSAUDITLINK__" localSheetId="7" hidden="1">{"fdsup://Directions/FactSet Auditing Viewer?action=AUDIT_VALUE&amp;DB=129&amp;ID1=17275R10&amp;VALUEID=02001&amp;SDATE=200503&amp;PERIODTYPE=QTR_STD&amp;SCFT=3&amp;window=popup_no_bar&amp;width=385&amp;height=120&amp;START_MAXIMIZED=FALSE&amp;creator=factset&amp;display_string=Audit"}</definedName>
    <definedName name="_2757__FDSAUDITLINK__" hidden="1">{"fdsup://Directions/FactSet Auditing Viewer?action=AUDIT_VALUE&amp;DB=129&amp;ID1=17275R10&amp;VALUEID=02001&amp;SDATE=200503&amp;PERIODTYPE=QTR_STD&amp;SCFT=3&amp;window=popup_no_bar&amp;width=385&amp;height=120&amp;START_MAXIMIZED=FALSE&amp;creator=factset&amp;display_string=Audit"}</definedName>
    <definedName name="_2758__FDSAUDITLINK__" localSheetId="7" hidden="1">{"fdsup://Directions/FactSet Auditing Viewer?action=AUDIT_VALUE&amp;DB=129&amp;ID1=17275R10&amp;VALUEID=02001&amp;SDATE=200503&amp;PERIODTYPE=QTR_STD&amp;SCFT=3&amp;window=popup_no_bar&amp;width=385&amp;height=120&amp;START_MAXIMIZED=FALSE&amp;creator=factset&amp;display_string=Audit"}</definedName>
    <definedName name="_2758__FDSAUDITLINK__" hidden="1">{"fdsup://Directions/FactSet Auditing Viewer?action=AUDIT_VALUE&amp;DB=129&amp;ID1=17275R10&amp;VALUEID=02001&amp;SDATE=200503&amp;PERIODTYPE=QTR_STD&amp;SCFT=3&amp;window=popup_no_bar&amp;width=385&amp;height=120&amp;START_MAXIMIZED=FALSE&amp;creator=factset&amp;display_string=Audit"}</definedName>
    <definedName name="_2759__FDSAUDITLINK__" localSheetId="7" hidden="1">{"fdsup://Directions/FactSet Auditing Viewer?action=AUDIT_VALUE&amp;DB=129&amp;ID1=20714230&amp;VALUEID=02001&amp;SDATE=200502&amp;PERIODTYPE=QTR_STD&amp;SCFT=3&amp;window=popup_no_bar&amp;width=385&amp;height=120&amp;START_MAXIMIZED=FALSE&amp;creator=factset&amp;display_string=Audit"}</definedName>
    <definedName name="_2759__FDSAUDITLINK__" hidden="1">{"fdsup://Directions/FactSet Auditing Viewer?action=AUDIT_VALUE&amp;DB=129&amp;ID1=20714230&amp;VALUEID=02001&amp;SDATE=200502&amp;PERIODTYPE=QTR_STD&amp;SCFT=3&amp;window=popup_no_bar&amp;width=385&amp;height=120&amp;START_MAXIMIZED=FALSE&amp;creator=factset&amp;display_string=Audit"}</definedName>
    <definedName name="_276__FDSAUDITLINK__" localSheetId="7" hidden="1">{"fdsup://Directions/FactSet Auditing Viewer?action=AUDIT_VALUE&amp;DB=129&amp;ID1=14964U10&amp;VALUEID=02001&amp;SDATE=201004&amp;PERIODTYPE=QTR_STD&amp;SCFT=3&amp;window=popup_no_bar&amp;width=385&amp;height=120&amp;START_MAXIMIZED=FALSE&amp;creator=factset&amp;display_string=Audit"}</definedName>
    <definedName name="_276__FDSAUDITLINK__" hidden="1">{"fdsup://Directions/FactSet Auditing Viewer?action=AUDIT_VALUE&amp;DB=129&amp;ID1=14964U10&amp;VALUEID=02001&amp;SDATE=201004&amp;PERIODTYPE=QTR_STD&amp;SCFT=3&amp;window=popup_no_bar&amp;width=385&amp;height=120&amp;START_MAXIMIZED=FALSE&amp;creator=factset&amp;display_string=Audit"}</definedName>
    <definedName name="_2760__FDSAUDITLINK__" localSheetId="7" hidden="1">{"fdsup://Directions/FactSet Auditing Viewer?action=AUDIT_VALUE&amp;DB=129&amp;ID1=20714230&amp;VALUEID=02001&amp;SDATE=200502&amp;PERIODTYPE=QTR_STD&amp;SCFT=3&amp;window=popup_no_bar&amp;width=385&amp;height=120&amp;START_MAXIMIZED=FALSE&amp;creator=factset&amp;display_string=Audit"}</definedName>
    <definedName name="_2760__FDSAUDITLINK__" hidden="1">{"fdsup://Directions/FactSet Auditing Viewer?action=AUDIT_VALUE&amp;DB=129&amp;ID1=20714230&amp;VALUEID=02001&amp;SDATE=200502&amp;PERIODTYPE=QTR_STD&amp;SCFT=3&amp;window=popup_no_bar&amp;width=385&amp;height=120&amp;START_MAXIMIZED=FALSE&amp;creator=factset&amp;display_string=Audit"}</definedName>
    <definedName name="_2761__FDSAUDITLINK__" localSheetId="7" hidden="1">{"fdsup://Directions/FactSet Auditing Viewer?action=AUDIT_VALUE&amp;DB=129&amp;ID1=12738710&amp;VALUEID=02001&amp;SDATE=200501&amp;PERIODTYPE=QTR_STD&amp;SCFT=3&amp;window=popup_no_bar&amp;width=385&amp;height=120&amp;START_MAXIMIZED=FALSE&amp;creator=factset&amp;display_string=Audit"}</definedName>
    <definedName name="_2761__FDSAUDITLINK__" hidden="1">{"fdsup://Directions/FactSet Auditing Viewer?action=AUDIT_VALUE&amp;DB=129&amp;ID1=12738710&amp;VALUEID=02001&amp;SDATE=200501&amp;PERIODTYPE=QTR_STD&amp;SCFT=3&amp;window=popup_no_bar&amp;width=385&amp;height=120&amp;START_MAXIMIZED=FALSE&amp;creator=factset&amp;display_string=Audit"}</definedName>
    <definedName name="_2762__FDSAUDITLINK__" localSheetId="7" hidden="1">{"fdsup://Directions/FactSet Auditing Viewer?action=AUDIT_VALUE&amp;DB=129&amp;ID1=12738710&amp;VALUEID=02001&amp;SDATE=200501&amp;PERIODTYPE=QTR_STD&amp;SCFT=3&amp;window=popup_no_bar&amp;width=385&amp;height=120&amp;START_MAXIMIZED=FALSE&amp;creator=factset&amp;display_string=Audit"}</definedName>
    <definedName name="_2762__FDSAUDITLINK__" hidden="1">{"fdsup://Directions/FactSet Auditing Viewer?action=AUDIT_VALUE&amp;DB=129&amp;ID1=12738710&amp;VALUEID=02001&amp;SDATE=200501&amp;PERIODTYPE=QTR_STD&amp;SCFT=3&amp;window=popup_no_bar&amp;width=385&amp;height=120&amp;START_MAXIMIZED=FALSE&amp;creator=factset&amp;display_string=Audit"}</definedName>
    <definedName name="_2763__FDSAUDITLINK__" localSheetId="7" hidden="1">{"fdsup://Directions/FactSet Auditing Viewer?action=AUDIT_VALUE&amp;DB=129&amp;ID1=11162130&amp;VALUEID=02001&amp;SDATE=200502&amp;PERIODTYPE=QTR_STD&amp;SCFT=3&amp;window=popup_no_bar&amp;width=385&amp;height=120&amp;START_MAXIMIZED=FALSE&amp;creator=factset&amp;display_string=Audit"}</definedName>
    <definedName name="_2763__FDSAUDITLINK__" hidden="1">{"fdsup://Directions/FactSet Auditing Viewer?action=AUDIT_VALUE&amp;DB=129&amp;ID1=11162130&amp;VALUEID=02001&amp;SDATE=200502&amp;PERIODTYPE=QTR_STD&amp;SCFT=3&amp;window=popup_no_bar&amp;width=385&amp;height=120&amp;START_MAXIMIZED=FALSE&amp;creator=factset&amp;display_string=Audit"}</definedName>
    <definedName name="_2764__FDSAUDITLINK__" localSheetId="7" hidden="1">{"fdsup://Directions/FactSet Auditing Viewer?action=AUDIT_VALUE&amp;DB=129&amp;ID1=11162130&amp;VALUEID=02001&amp;SDATE=200502&amp;PERIODTYPE=QTR_STD&amp;SCFT=3&amp;window=popup_no_bar&amp;width=385&amp;height=120&amp;START_MAXIMIZED=FALSE&amp;creator=factset&amp;display_string=Audit"}</definedName>
    <definedName name="_2764__FDSAUDITLINK__" hidden="1">{"fdsup://Directions/FactSet Auditing Viewer?action=AUDIT_VALUE&amp;DB=129&amp;ID1=11162130&amp;VALUEID=02001&amp;SDATE=200502&amp;PERIODTYPE=QTR_STD&amp;SCFT=3&amp;window=popup_no_bar&amp;width=385&amp;height=120&amp;START_MAXIMIZED=FALSE&amp;creator=factset&amp;display_string=Audit"}</definedName>
    <definedName name="_2765__FDSAUDITLINK__" localSheetId="7" hidden="1">{"fdsup://Directions/FactSet Auditing Viewer?action=AUDIT_VALUE&amp;DB=129&amp;ID1=04743P10&amp;VALUEID=02001&amp;SDATE=200501&amp;PERIODTYPE=QTR_STD&amp;SCFT=3&amp;window=popup_no_bar&amp;width=385&amp;height=120&amp;START_MAXIMIZED=FALSE&amp;creator=factset&amp;display_string=Audit"}</definedName>
    <definedName name="_2765__FDSAUDITLINK__" hidden="1">{"fdsup://Directions/FactSet Auditing Viewer?action=AUDIT_VALUE&amp;DB=129&amp;ID1=04743P10&amp;VALUEID=02001&amp;SDATE=200501&amp;PERIODTYPE=QTR_STD&amp;SCFT=3&amp;window=popup_no_bar&amp;width=385&amp;height=120&amp;START_MAXIMIZED=FALSE&amp;creator=factset&amp;display_string=Audit"}</definedName>
    <definedName name="_2766__FDSAUDITLINK__" localSheetId="7" hidden="1">{"fdsup://Directions/FactSet Auditing Viewer?action=AUDIT_VALUE&amp;DB=129&amp;ID1=04743P10&amp;VALUEID=02001&amp;SDATE=200501&amp;PERIODTYPE=QTR_STD&amp;SCFT=3&amp;window=popup_no_bar&amp;width=385&amp;height=120&amp;START_MAXIMIZED=FALSE&amp;creator=factset&amp;display_string=Audit"}</definedName>
    <definedName name="_2766__FDSAUDITLINK__" hidden="1">{"fdsup://Directions/FactSet Auditing Viewer?action=AUDIT_VALUE&amp;DB=129&amp;ID1=04743P10&amp;VALUEID=02001&amp;SDATE=200501&amp;PERIODTYPE=QTR_STD&amp;SCFT=3&amp;window=popup_no_bar&amp;width=385&amp;height=120&amp;START_MAXIMIZED=FALSE&amp;creator=factset&amp;display_string=Audit"}</definedName>
    <definedName name="_2767__FDSAUDITLINK__" localSheetId="7" hidden="1">{"fdsup://Directions/FactSet Auditing Viewer?action=AUDIT_VALUE&amp;DB=129&amp;ID1=03822210&amp;VALUEID=02001&amp;SDATE=200502&amp;PERIODTYPE=QTR_STD&amp;SCFT=3&amp;window=popup_no_bar&amp;width=385&amp;height=120&amp;START_MAXIMIZED=FALSE&amp;creator=factset&amp;display_string=Audit"}</definedName>
    <definedName name="_2767__FDSAUDITLINK__" hidden="1">{"fdsup://Directions/FactSet Auditing Viewer?action=AUDIT_VALUE&amp;DB=129&amp;ID1=03822210&amp;VALUEID=02001&amp;SDATE=200502&amp;PERIODTYPE=QTR_STD&amp;SCFT=3&amp;window=popup_no_bar&amp;width=385&amp;height=120&amp;START_MAXIMIZED=FALSE&amp;creator=factset&amp;display_string=Audit"}</definedName>
    <definedName name="_2768__FDSAUDITLINK__" localSheetId="7" hidden="1">{"fdsup://Directions/FactSet Auditing Viewer?action=AUDIT_VALUE&amp;DB=129&amp;ID1=03822210&amp;VALUEID=02001&amp;SDATE=200502&amp;PERIODTYPE=QTR_STD&amp;SCFT=3&amp;window=popup_no_bar&amp;width=385&amp;height=120&amp;START_MAXIMIZED=FALSE&amp;creator=factset&amp;display_string=Audit"}</definedName>
    <definedName name="_2768__FDSAUDITLINK__" hidden="1">{"fdsup://Directions/FactSet Auditing Viewer?action=AUDIT_VALUE&amp;DB=129&amp;ID1=03822210&amp;VALUEID=02001&amp;SDATE=200502&amp;PERIODTYPE=QTR_STD&amp;SCFT=3&amp;window=popup_no_bar&amp;width=385&amp;height=120&amp;START_MAXIMIZED=FALSE&amp;creator=factset&amp;display_string=Audit"}</definedName>
    <definedName name="_2769__FDSAUDITLINK__" localSheetId="7" hidden="1">{"fdsup://Directions/FactSet Auditing Viewer?action=AUDIT_VALUE&amp;DB=129&amp;ID1=02144110&amp;VALUEID=02001&amp;SDATE=200501&amp;PERIODTYPE=QTR_STD&amp;SCFT=3&amp;window=popup_no_bar&amp;width=385&amp;height=120&amp;START_MAXIMIZED=FALSE&amp;creator=factset&amp;display_string=Audit"}</definedName>
    <definedName name="_2769__FDSAUDITLINK__" hidden="1">{"fdsup://Directions/FactSet Auditing Viewer?action=AUDIT_VALUE&amp;DB=129&amp;ID1=02144110&amp;VALUEID=02001&amp;SDATE=200501&amp;PERIODTYPE=QTR_STD&amp;SCFT=3&amp;window=popup_no_bar&amp;width=385&amp;height=120&amp;START_MAXIMIZED=FALSE&amp;creator=factset&amp;display_string=Audit"}</definedName>
    <definedName name="_277__FDSAUDITLINK__" localSheetId="7" hidden="1">{"fdsup://Directions/FactSet Auditing Viewer?action=AUDIT_VALUE&amp;DB=129&amp;ID1=11162130&amp;VALUEID=02001&amp;SDATE=201101&amp;PERIODTYPE=QTR_STD&amp;SCFT=3&amp;window=popup_no_bar&amp;width=385&amp;height=120&amp;START_MAXIMIZED=FALSE&amp;creator=factset&amp;display_string=Audit"}</definedName>
    <definedName name="_277__FDSAUDITLINK__" hidden="1">{"fdsup://Directions/FactSet Auditing Viewer?action=AUDIT_VALUE&amp;DB=129&amp;ID1=11162130&amp;VALUEID=02001&amp;SDATE=201101&amp;PERIODTYPE=QTR_STD&amp;SCFT=3&amp;window=popup_no_bar&amp;width=385&amp;height=120&amp;START_MAXIMIZED=FALSE&amp;creator=factset&amp;display_string=Audit"}</definedName>
    <definedName name="_2770__FDSAUDITLINK__" localSheetId="7" hidden="1">{"fdsup://Directions/FactSet Auditing Viewer?action=AUDIT_VALUE&amp;DB=129&amp;ID1=02144110&amp;VALUEID=02001&amp;SDATE=200501&amp;PERIODTYPE=QTR_STD&amp;SCFT=3&amp;window=popup_no_bar&amp;width=385&amp;height=120&amp;START_MAXIMIZED=FALSE&amp;creator=factset&amp;display_string=Audit"}</definedName>
    <definedName name="_2770__FDSAUDITLINK__" hidden="1">{"fdsup://Directions/FactSet Auditing Viewer?action=AUDIT_VALUE&amp;DB=129&amp;ID1=02144110&amp;VALUEID=02001&amp;SDATE=200501&amp;PERIODTYPE=QTR_STD&amp;SCFT=3&amp;window=popup_no_bar&amp;width=385&amp;height=120&amp;START_MAXIMIZED=FALSE&amp;creator=factset&amp;display_string=Audit"}</definedName>
    <definedName name="_2771__FDSAUDITLINK__" localSheetId="7" hidden="1">{"fdsup://Directions/FactSet Auditing Viewer?action=AUDIT_VALUE&amp;DB=129&amp;ID1=03265410&amp;VALUEID=02001&amp;SDATE=200502&amp;PERIODTYPE=QTR_STD&amp;SCFT=3&amp;window=popup_no_bar&amp;width=385&amp;height=120&amp;START_MAXIMIZED=FALSE&amp;creator=factset&amp;display_string=Audit"}</definedName>
    <definedName name="_2771__FDSAUDITLINK__" hidden="1">{"fdsup://Directions/FactSet Auditing Viewer?action=AUDIT_VALUE&amp;DB=129&amp;ID1=03265410&amp;VALUEID=02001&amp;SDATE=200502&amp;PERIODTYPE=QTR_STD&amp;SCFT=3&amp;window=popup_no_bar&amp;width=385&amp;height=120&amp;START_MAXIMIZED=FALSE&amp;creator=factset&amp;display_string=Audit"}</definedName>
    <definedName name="_2772__FDSAUDITLINK__" localSheetId="7" hidden="1">{"fdsup://Directions/FactSet Auditing Viewer?action=AUDIT_VALUE&amp;DB=129&amp;ID1=03265410&amp;VALUEID=02001&amp;SDATE=200502&amp;PERIODTYPE=QTR_STD&amp;SCFT=3&amp;window=popup_no_bar&amp;width=385&amp;height=120&amp;START_MAXIMIZED=FALSE&amp;creator=factset&amp;display_string=Audit"}</definedName>
    <definedName name="_2772__FDSAUDITLINK__" hidden="1">{"fdsup://Directions/FactSet Auditing Viewer?action=AUDIT_VALUE&amp;DB=129&amp;ID1=03265410&amp;VALUEID=02001&amp;SDATE=200502&amp;PERIODTYPE=QTR_STD&amp;SCFT=3&amp;window=popup_no_bar&amp;width=385&amp;height=120&amp;START_MAXIMIZED=FALSE&amp;creator=factset&amp;display_string=Audit"}</definedName>
    <definedName name="_2773__FDSAUDITLINK__" localSheetId="7" hidden="1">{"fdsup://Directions/FactSet Auditing Viewer?action=AUDIT_VALUE&amp;DB=129&amp;ID1=95810210&amp;VALUEID=02001&amp;SDATE=200502&amp;PERIODTYPE=QTR_STD&amp;SCFT=3&amp;window=popup_no_bar&amp;width=385&amp;height=120&amp;START_MAXIMIZED=FALSE&amp;creator=factset&amp;display_string=Audit"}</definedName>
    <definedName name="_2773__FDSAUDITLINK__" hidden="1">{"fdsup://Directions/FactSet Auditing Viewer?action=AUDIT_VALUE&amp;DB=129&amp;ID1=95810210&amp;VALUEID=02001&amp;SDATE=200502&amp;PERIODTYPE=QTR_STD&amp;SCFT=3&amp;window=popup_no_bar&amp;width=385&amp;height=120&amp;START_MAXIMIZED=FALSE&amp;creator=factset&amp;display_string=Audit"}</definedName>
    <definedName name="_2774__FDSAUDITLINK__" localSheetId="7" hidden="1">{"fdsup://Directions/FactSet Auditing Viewer?action=AUDIT_VALUE&amp;DB=129&amp;ID1=95810210&amp;VALUEID=02001&amp;SDATE=200502&amp;PERIODTYPE=QTR_STD&amp;SCFT=3&amp;window=popup_no_bar&amp;width=385&amp;height=120&amp;START_MAXIMIZED=FALSE&amp;creator=factset&amp;display_string=Audit"}</definedName>
    <definedName name="_2774__FDSAUDITLINK__" hidden="1">{"fdsup://Directions/FactSet Auditing Viewer?action=AUDIT_VALUE&amp;DB=129&amp;ID1=95810210&amp;VALUEID=02001&amp;SDATE=200502&amp;PERIODTYPE=QTR_STD&amp;SCFT=3&amp;window=popup_no_bar&amp;width=385&amp;height=120&amp;START_MAXIMIZED=FALSE&amp;creator=factset&amp;display_string=Audit"}</definedName>
    <definedName name="_2775__FDSAUDITLINK__" localSheetId="7" hidden="1">{"fdsup://Directions/FactSet Auditing Viewer?action=AUDIT_VALUE&amp;DB=129&amp;ID1=92849730&amp;VALUEID=02001&amp;SDATE=200501&amp;PERIODTYPE=QTR_STD&amp;SCFT=3&amp;window=popup_no_bar&amp;width=385&amp;height=120&amp;START_MAXIMIZED=FALSE&amp;creator=factset&amp;display_string=Audit"}</definedName>
    <definedName name="_2775__FDSAUDITLINK__" hidden="1">{"fdsup://Directions/FactSet Auditing Viewer?action=AUDIT_VALUE&amp;DB=129&amp;ID1=92849730&amp;VALUEID=02001&amp;SDATE=200501&amp;PERIODTYPE=QTR_STD&amp;SCFT=3&amp;window=popup_no_bar&amp;width=385&amp;height=120&amp;START_MAXIMIZED=FALSE&amp;creator=factset&amp;display_string=Audit"}</definedName>
    <definedName name="_2776__FDSAUDITLINK__" localSheetId="7" hidden="1">{"fdsup://Directions/FactSet Auditing Viewer?action=AUDIT_VALUE&amp;DB=129&amp;ID1=92849730&amp;VALUEID=02001&amp;SDATE=200501&amp;PERIODTYPE=QTR_STD&amp;SCFT=3&amp;window=popup_no_bar&amp;width=385&amp;height=120&amp;START_MAXIMIZED=FALSE&amp;creator=factset&amp;display_string=Audit"}</definedName>
    <definedName name="_2776__FDSAUDITLINK__" hidden="1">{"fdsup://Directions/FactSet Auditing Viewer?action=AUDIT_VALUE&amp;DB=129&amp;ID1=92849730&amp;VALUEID=02001&amp;SDATE=200501&amp;PERIODTYPE=QTR_STD&amp;SCFT=3&amp;window=popup_no_bar&amp;width=385&amp;height=120&amp;START_MAXIMIZED=FALSE&amp;creator=factset&amp;display_string=Audit"}</definedName>
    <definedName name="_2777__FDSAUDITLINK__" localSheetId="7" hidden="1">{"fdsup://Directions/FactSet Auditing Viewer?action=AUDIT_VALUE&amp;DB=129&amp;ID1=83088M10&amp;VALUEID=02001&amp;SDATE=200501&amp;PERIODTYPE=QTR_STD&amp;SCFT=3&amp;window=popup_no_bar&amp;width=385&amp;height=120&amp;START_MAXIMIZED=FALSE&amp;creator=factset&amp;display_string=Audit"}</definedName>
    <definedName name="_2777__FDSAUDITLINK__" hidden="1">{"fdsup://Directions/FactSet Auditing Viewer?action=AUDIT_VALUE&amp;DB=129&amp;ID1=83088M10&amp;VALUEID=02001&amp;SDATE=200501&amp;PERIODTYPE=QTR_STD&amp;SCFT=3&amp;window=popup_no_bar&amp;width=385&amp;height=120&amp;START_MAXIMIZED=FALSE&amp;creator=factset&amp;display_string=Audit"}</definedName>
    <definedName name="_2778__FDSAUDITLINK__" localSheetId="7" hidden="1">{"fdsup://Directions/FactSet Auditing Viewer?action=AUDIT_VALUE&amp;DB=129&amp;ID1=83088M10&amp;VALUEID=02001&amp;SDATE=200501&amp;PERIODTYPE=QTR_STD&amp;SCFT=3&amp;window=popup_no_bar&amp;width=385&amp;height=120&amp;START_MAXIMIZED=FALSE&amp;creator=factset&amp;display_string=Audit"}</definedName>
    <definedName name="_2778__FDSAUDITLINK__" hidden="1">{"fdsup://Directions/FactSet Auditing Viewer?action=AUDIT_VALUE&amp;DB=129&amp;ID1=83088M10&amp;VALUEID=02001&amp;SDATE=200501&amp;PERIODTYPE=QTR_STD&amp;SCFT=3&amp;window=popup_no_bar&amp;width=385&amp;height=120&amp;START_MAXIMIZED=FALSE&amp;creator=factset&amp;display_string=Audit"}</definedName>
    <definedName name="_2779__FDSAUDITLINK__" localSheetId="7" hidden="1">{"fdsup://Directions/FactSet Auditing Viewer?action=AUDIT_VALUE&amp;DB=129&amp;ID1=G7945M10&amp;VALUEID=02001&amp;SDATE=200502&amp;PERIODTYPE=QTR_STD&amp;SCFT=3&amp;window=popup_no_bar&amp;width=385&amp;height=120&amp;START_MAXIMIZED=FALSE&amp;creator=factset&amp;display_string=Audit"}</definedName>
    <definedName name="_2779__FDSAUDITLINK__" hidden="1">{"fdsup://Directions/FactSet Auditing Viewer?action=AUDIT_VALUE&amp;DB=129&amp;ID1=G7945M10&amp;VALUEID=02001&amp;SDATE=200502&amp;PERIODTYPE=QTR_STD&amp;SCFT=3&amp;window=popup_no_bar&amp;width=385&amp;height=120&amp;START_MAXIMIZED=FALSE&amp;creator=factset&amp;display_string=Audit"}</definedName>
    <definedName name="_278__FDSAUDITLINK__" localSheetId="7" hidden="1">{"fdsup://Directions/FactSet Auditing Viewer?action=AUDIT_VALUE&amp;DB=129&amp;ID1=11162130&amp;VALUEID=02001&amp;SDATE=201101&amp;PERIODTYPE=QTR_STD&amp;SCFT=3&amp;window=popup_no_bar&amp;width=385&amp;height=120&amp;START_MAXIMIZED=FALSE&amp;creator=factset&amp;display_string=Audit"}</definedName>
    <definedName name="_278__FDSAUDITLINK__" hidden="1">{"fdsup://Directions/FactSet Auditing Viewer?action=AUDIT_VALUE&amp;DB=129&amp;ID1=11162130&amp;VALUEID=02001&amp;SDATE=201101&amp;PERIODTYPE=QTR_STD&amp;SCFT=3&amp;window=popup_no_bar&amp;width=385&amp;height=120&amp;START_MAXIMIZED=FALSE&amp;creator=factset&amp;display_string=Audit"}</definedName>
    <definedName name="_2780__FDSAUDITLINK__" localSheetId="7" hidden="1">{"fdsup://Directions/FactSet Auditing Viewer?action=AUDIT_VALUE&amp;DB=129&amp;ID1=G7945M10&amp;VALUEID=02001&amp;SDATE=200502&amp;PERIODTYPE=QTR_STD&amp;SCFT=3&amp;window=popup_no_bar&amp;width=385&amp;height=120&amp;START_MAXIMIZED=FALSE&amp;creator=factset&amp;display_string=Audit"}</definedName>
    <definedName name="_2780__FDSAUDITLINK__" hidden="1">{"fdsup://Directions/FactSet Auditing Viewer?action=AUDIT_VALUE&amp;DB=129&amp;ID1=G7945M10&amp;VALUEID=02001&amp;SDATE=200502&amp;PERIODTYPE=QTR_STD&amp;SCFT=3&amp;window=popup_no_bar&amp;width=385&amp;height=120&amp;START_MAXIMIZED=FALSE&amp;creator=factset&amp;display_string=Audit"}</definedName>
    <definedName name="_2781__FDSAUDITLINK__" localSheetId="7" hidden="1">{"fdsup://Directions/FactSet Auditing Viewer?action=AUDIT_VALUE&amp;DB=129&amp;ID1=87160710&amp;VALUEID=02001&amp;SDATE=200501&amp;PERIODTYPE=QTR_STD&amp;SCFT=3&amp;window=popup_no_bar&amp;width=385&amp;height=120&amp;START_MAXIMIZED=FALSE&amp;creator=factset&amp;display_string=Audit"}</definedName>
    <definedName name="_2781__FDSAUDITLINK__" hidden="1">{"fdsup://Directions/FactSet Auditing Viewer?action=AUDIT_VALUE&amp;DB=129&amp;ID1=87160710&amp;VALUEID=02001&amp;SDATE=200501&amp;PERIODTYPE=QTR_STD&amp;SCFT=3&amp;window=popup_no_bar&amp;width=385&amp;height=120&amp;START_MAXIMIZED=FALSE&amp;creator=factset&amp;display_string=Audit"}</definedName>
    <definedName name="_2782__FDSAUDITLINK__" localSheetId="7" hidden="1">{"fdsup://Directions/FactSet Auditing Viewer?action=AUDIT_VALUE&amp;DB=129&amp;ID1=87160710&amp;VALUEID=02001&amp;SDATE=200501&amp;PERIODTYPE=QTR_STD&amp;SCFT=3&amp;window=popup_no_bar&amp;width=385&amp;height=120&amp;START_MAXIMIZED=FALSE&amp;creator=factset&amp;display_string=Audit"}</definedName>
    <definedName name="_2782__FDSAUDITLINK__" hidden="1">{"fdsup://Directions/FactSet Auditing Viewer?action=AUDIT_VALUE&amp;DB=129&amp;ID1=87160710&amp;VALUEID=02001&amp;SDATE=200501&amp;PERIODTYPE=QTR_STD&amp;SCFT=3&amp;window=popup_no_bar&amp;width=385&amp;height=120&amp;START_MAXIMIZED=FALSE&amp;creator=factset&amp;display_string=Audit"}</definedName>
    <definedName name="_2783__FDSAUDITLINK__" localSheetId="7" hidden="1">{"fdsup://Directions/FactSet Auditing Viewer?action=AUDIT_VALUE&amp;DB=129&amp;ID1=74994110&amp;VALUEID=02001&amp;SDATE=200403&amp;PERIODTYPE=QTR_STD&amp;SCFT=3&amp;window=popup_no_bar&amp;width=385&amp;height=120&amp;START_MAXIMIZED=FALSE&amp;creator=factset&amp;display_string=Audit"}</definedName>
    <definedName name="_2783__FDSAUDITLINK__" hidden="1">{"fdsup://Directions/FactSet Auditing Viewer?action=AUDIT_VALUE&amp;DB=129&amp;ID1=74994110&amp;VALUEID=02001&amp;SDATE=200403&amp;PERIODTYPE=QTR_STD&amp;SCFT=3&amp;window=popup_no_bar&amp;width=385&amp;height=120&amp;START_MAXIMIZED=FALSE&amp;creator=factset&amp;display_string=Audit"}</definedName>
    <definedName name="_2784__FDSAUDITLINK__" localSheetId="7" hidden="1">{"fdsup://Directions/FactSet Auditing Viewer?action=AUDIT_VALUE&amp;DB=129&amp;ID1=74994110&amp;VALUEID=02001&amp;SDATE=200403&amp;PERIODTYPE=QTR_STD&amp;SCFT=3&amp;window=popup_no_bar&amp;width=385&amp;height=120&amp;START_MAXIMIZED=FALSE&amp;creator=factset&amp;display_string=Audit"}</definedName>
    <definedName name="_2784__FDSAUDITLINK__" hidden="1">{"fdsup://Directions/FactSet Auditing Viewer?action=AUDIT_VALUE&amp;DB=129&amp;ID1=74994110&amp;VALUEID=02001&amp;SDATE=200403&amp;PERIODTYPE=QTR_STD&amp;SCFT=3&amp;window=popup_no_bar&amp;width=385&amp;height=120&amp;START_MAXIMIZED=FALSE&amp;creator=factset&amp;display_string=Audit"}</definedName>
    <definedName name="_2785__FDSAUDITLINK__" localSheetId="7" hidden="1">{"fdsup://Directions/FactSet Auditing Viewer?action=AUDIT_VALUE&amp;DB=129&amp;ID1=74727710&amp;VALUEID=02001&amp;SDATE=200403&amp;PERIODTYPE=QTR_STD&amp;SCFT=3&amp;window=popup_no_bar&amp;width=385&amp;height=120&amp;START_MAXIMIZED=FALSE&amp;creator=factset&amp;display_string=Audit"}</definedName>
    <definedName name="_2785__FDSAUDITLINK__" hidden="1">{"fdsup://Directions/FactSet Auditing Viewer?action=AUDIT_VALUE&amp;DB=129&amp;ID1=74727710&amp;VALUEID=02001&amp;SDATE=200403&amp;PERIODTYPE=QTR_STD&amp;SCFT=3&amp;window=popup_no_bar&amp;width=385&amp;height=120&amp;START_MAXIMIZED=FALSE&amp;creator=factset&amp;display_string=Audit"}</definedName>
    <definedName name="_2786__FDSAUDITLINK__" localSheetId="7" hidden="1">{"fdsup://Directions/FactSet Auditing Viewer?action=AUDIT_VALUE&amp;DB=129&amp;ID1=74727710&amp;VALUEID=02001&amp;SDATE=200403&amp;PERIODTYPE=QTR_STD&amp;SCFT=3&amp;window=popup_no_bar&amp;width=385&amp;height=120&amp;START_MAXIMIZED=FALSE&amp;creator=factset&amp;display_string=Audit"}</definedName>
    <definedName name="_2786__FDSAUDITLINK__" hidden="1">{"fdsup://Directions/FactSet Auditing Viewer?action=AUDIT_VALUE&amp;DB=129&amp;ID1=74727710&amp;VALUEID=02001&amp;SDATE=200403&amp;PERIODTYPE=QTR_STD&amp;SCFT=3&amp;window=popup_no_bar&amp;width=385&amp;height=120&amp;START_MAXIMIZED=FALSE&amp;creator=factset&amp;display_string=Audit"}</definedName>
    <definedName name="_2787__FDSAUDITLINK__" localSheetId="7" hidden="1">{"fdsup://Directions/FactSet Auditing Viewer?action=AUDIT_VALUE&amp;DB=129&amp;ID1=74752510&amp;VALUEID=02001&amp;SDATE=200501&amp;PERIODTYPE=QTR_STD&amp;SCFT=3&amp;window=popup_no_bar&amp;width=385&amp;height=120&amp;START_MAXIMIZED=FALSE&amp;creator=factset&amp;display_string=Audit"}</definedName>
    <definedName name="_2787__FDSAUDITLINK__" hidden="1">{"fdsup://Directions/FactSet Auditing Viewer?action=AUDIT_VALUE&amp;DB=129&amp;ID1=74752510&amp;VALUEID=02001&amp;SDATE=200501&amp;PERIODTYPE=QTR_STD&amp;SCFT=3&amp;window=popup_no_bar&amp;width=385&amp;height=120&amp;START_MAXIMIZED=FALSE&amp;creator=factset&amp;display_string=Audit"}</definedName>
    <definedName name="_2788__FDSAUDITLINK__" localSheetId="7" hidden="1">{"fdsup://Directions/FactSet Auditing Viewer?action=AUDIT_VALUE&amp;DB=129&amp;ID1=74752510&amp;VALUEID=02001&amp;SDATE=200501&amp;PERIODTYPE=QTR_STD&amp;SCFT=3&amp;window=popup_no_bar&amp;width=385&amp;height=120&amp;START_MAXIMIZED=FALSE&amp;creator=factset&amp;display_string=Audit"}</definedName>
    <definedName name="_2788__FDSAUDITLINK__" hidden="1">{"fdsup://Directions/FactSet Auditing Viewer?action=AUDIT_VALUE&amp;DB=129&amp;ID1=74752510&amp;VALUEID=02001&amp;SDATE=200501&amp;PERIODTYPE=QTR_STD&amp;SCFT=3&amp;window=popup_no_bar&amp;width=385&amp;height=120&amp;START_MAXIMIZED=FALSE&amp;creator=factset&amp;display_string=Audit"}</definedName>
    <definedName name="_2789__FDSAUDITLINK__" localSheetId="7" hidden="1">{"fdsup://Directions/FactSet Auditing Viewer?action=AUDIT_VALUE&amp;DB=129&amp;ID1=63764010&amp;VALUEID=02001&amp;SDATE=200402&amp;PERIODTYPE=QTR_STD&amp;SCFT=3&amp;window=popup_no_bar&amp;width=385&amp;height=120&amp;START_MAXIMIZED=FALSE&amp;creator=factset&amp;display_string=Audit"}</definedName>
    <definedName name="_2789__FDSAUDITLINK__" hidden="1">{"fdsup://Directions/FactSet Auditing Viewer?action=AUDIT_VALUE&amp;DB=129&amp;ID1=63764010&amp;VALUEID=02001&amp;SDATE=200402&amp;PERIODTYPE=QTR_STD&amp;SCFT=3&amp;window=popup_no_bar&amp;width=385&amp;height=120&amp;START_MAXIMIZED=FALSE&amp;creator=factset&amp;display_string=Audit"}</definedName>
    <definedName name="_279__FDSAUDITLINK__" localSheetId="7" hidden="1">{"fdsup://Directions/FactSet Auditing Viewer?action=AUDIT_VALUE&amp;DB=129&amp;ID1=Y0486S10&amp;VALUEID=02001&amp;SDATE=201101&amp;PERIODTYPE=QTR_STD&amp;SCFT=3&amp;window=popup_no_bar&amp;width=385&amp;height=120&amp;START_MAXIMIZED=FALSE&amp;creator=factset&amp;display_string=Audit"}</definedName>
    <definedName name="_279__FDSAUDITLINK__" hidden="1">{"fdsup://Directions/FactSet Auditing Viewer?action=AUDIT_VALUE&amp;DB=129&amp;ID1=Y0486S10&amp;VALUEID=02001&amp;SDATE=201101&amp;PERIODTYPE=QTR_STD&amp;SCFT=3&amp;window=popup_no_bar&amp;width=385&amp;height=120&amp;START_MAXIMIZED=FALSE&amp;creator=factset&amp;display_string=Audit"}</definedName>
    <definedName name="_2790__FDSAUDITLINK__" localSheetId="7" hidden="1">{"fdsup://Directions/FactSet Auditing Viewer?action=AUDIT_VALUE&amp;DB=129&amp;ID1=63764010&amp;VALUEID=02001&amp;SDATE=200402&amp;PERIODTYPE=QTR_STD&amp;SCFT=3&amp;window=popup_no_bar&amp;width=385&amp;height=120&amp;START_MAXIMIZED=FALSE&amp;creator=factset&amp;display_string=Audit"}</definedName>
    <definedName name="_2790__FDSAUDITLINK__" hidden="1">{"fdsup://Directions/FactSet Auditing Viewer?action=AUDIT_VALUE&amp;DB=129&amp;ID1=63764010&amp;VALUEID=02001&amp;SDATE=200402&amp;PERIODTYPE=QTR_STD&amp;SCFT=3&amp;window=popup_no_bar&amp;width=385&amp;height=120&amp;START_MAXIMIZED=FALSE&amp;creator=factset&amp;display_string=Audit"}</definedName>
    <definedName name="_2791__FDSAUDITLINK__" localSheetId="7" hidden="1">{"fdsup://Directions/FactSet Auditing Viewer?action=AUDIT_VALUE&amp;DB=129&amp;ID1=57772K10&amp;VALUEID=02001&amp;SDATE=200502&amp;PERIODTYPE=QTR_STD&amp;SCFT=3&amp;window=popup_no_bar&amp;width=385&amp;height=120&amp;START_MAXIMIZED=FALSE&amp;creator=factset&amp;display_string=Audit"}</definedName>
    <definedName name="_2791__FDSAUDITLINK__" hidden="1">{"fdsup://Directions/FactSet Auditing Viewer?action=AUDIT_VALUE&amp;DB=129&amp;ID1=57772K10&amp;VALUEID=02001&amp;SDATE=200502&amp;PERIODTYPE=QTR_STD&amp;SCFT=3&amp;window=popup_no_bar&amp;width=385&amp;height=120&amp;START_MAXIMIZED=FALSE&amp;creator=factset&amp;display_string=Audit"}</definedName>
    <definedName name="_2792__FDSAUDITLINK__" localSheetId="7" hidden="1">{"fdsup://Directions/FactSet Auditing Viewer?action=AUDIT_VALUE&amp;DB=129&amp;ID1=57772K10&amp;VALUEID=02001&amp;SDATE=200502&amp;PERIODTYPE=QTR_STD&amp;SCFT=3&amp;window=popup_no_bar&amp;width=385&amp;height=120&amp;START_MAXIMIZED=FALSE&amp;creator=factset&amp;display_string=Audit"}</definedName>
    <definedName name="_2792__FDSAUDITLINK__" hidden="1">{"fdsup://Directions/FactSet Auditing Viewer?action=AUDIT_VALUE&amp;DB=129&amp;ID1=57772K10&amp;VALUEID=02001&amp;SDATE=200502&amp;PERIODTYPE=QTR_STD&amp;SCFT=3&amp;window=popup_no_bar&amp;width=385&amp;height=120&amp;START_MAXIMIZED=FALSE&amp;creator=factset&amp;display_string=Audit"}</definedName>
    <definedName name="_2793__FDSAUDITLINK__" localSheetId="7" hidden="1">{"fdsup://Directions/FactSet Auditing Viewer?action=AUDIT_VALUE&amp;DB=129&amp;ID1=59511210&amp;VALUEID=02001&amp;SDATE=200501&amp;PERIODTYPE=QTR_STD&amp;SCFT=3&amp;window=popup_no_bar&amp;width=385&amp;height=120&amp;START_MAXIMIZED=FALSE&amp;creator=factset&amp;display_string=Audit"}</definedName>
    <definedName name="_2793__FDSAUDITLINK__" hidden="1">{"fdsup://Directions/FactSet Auditing Viewer?action=AUDIT_VALUE&amp;DB=129&amp;ID1=59511210&amp;VALUEID=02001&amp;SDATE=200501&amp;PERIODTYPE=QTR_STD&amp;SCFT=3&amp;window=popup_no_bar&amp;width=385&amp;height=120&amp;START_MAXIMIZED=FALSE&amp;creator=factset&amp;display_string=Audit"}</definedName>
    <definedName name="_2794__FDSAUDITLINK__" localSheetId="7" hidden="1">{"fdsup://Directions/FactSet Auditing Viewer?action=AUDIT_VALUE&amp;DB=129&amp;ID1=59511210&amp;VALUEID=02001&amp;SDATE=200501&amp;PERIODTYPE=QTR_STD&amp;SCFT=3&amp;window=popup_no_bar&amp;width=385&amp;height=120&amp;START_MAXIMIZED=FALSE&amp;creator=factset&amp;display_string=Audit"}</definedName>
    <definedName name="_2794__FDSAUDITLINK__" hidden="1">{"fdsup://Directions/FactSet Auditing Viewer?action=AUDIT_VALUE&amp;DB=129&amp;ID1=59511210&amp;VALUEID=02001&amp;SDATE=200501&amp;PERIODTYPE=QTR_STD&amp;SCFT=3&amp;window=popup_no_bar&amp;width=385&amp;height=120&amp;START_MAXIMIZED=FALSE&amp;creator=factset&amp;display_string=Audit"}</definedName>
    <definedName name="_2795__FDSAUDITLINK__" localSheetId="7" hidden="1">{"fdsup://Directions/FactSet Auditing Viewer?action=AUDIT_VALUE&amp;DB=129&amp;ID1=59513710&amp;VALUEID=02001&amp;SDATE=200501&amp;PERIODTYPE=QTR_STD&amp;SCFT=3&amp;window=popup_no_bar&amp;width=385&amp;height=120&amp;START_MAXIMIZED=FALSE&amp;creator=factset&amp;display_string=Audit"}</definedName>
    <definedName name="_2795__FDSAUDITLINK__" hidden="1">{"fdsup://Directions/FactSet Auditing Viewer?action=AUDIT_VALUE&amp;DB=129&amp;ID1=59513710&amp;VALUEID=02001&amp;SDATE=200501&amp;PERIODTYPE=QTR_STD&amp;SCFT=3&amp;window=popup_no_bar&amp;width=385&amp;height=120&amp;START_MAXIMIZED=FALSE&amp;creator=factset&amp;display_string=Audit"}</definedName>
    <definedName name="_2796__FDSAUDITLINK__" localSheetId="7" hidden="1">{"fdsup://Directions/FactSet Auditing Viewer?action=AUDIT_VALUE&amp;DB=129&amp;ID1=59513710&amp;VALUEID=02001&amp;SDATE=200501&amp;PERIODTYPE=QTR_STD&amp;SCFT=3&amp;window=popup_no_bar&amp;width=385&amp;height=120&amp;START_MAXIMIZED=FALSE&amp;creator=factset&amp;display_string=Audit"}</definedName>
    <definedName name="_2796__FDSAUDITLINK__" hidden="1">{"fdsup://Directions/FactSet Auditing Viewer?action=AUDIT_VALUE&amp;DB=129&amp;ID1=59513710&amp;VALUEID=02001&amp;SDATE=200501&amp;PERIODTYPE=QTR_STD&amp;SCFT=3&amp;window=popup_no_bar&amp;width=385&amp;height=120&amp;START_MAXIMIZED=FALSE&amp;creator=factset&amp;display_string=Audit"}</definedName>
    <definedName name="_2797__FDSAUDITLINK__" localSheetId="7" hidden="1">{"fdsup://Directions/FactSet Auditing Viewer?action=AUDIT_VALUE&amp;DB=129&amp;ID1=60456710&amp;VALUEID=02001&amp;SDATE=200502&amp;PERIODTYPE=QTR_STD&amp;SCFT=3&amp;window=popup_no_bar&amp;width=385&amp;height=120&amp;START_MAXIMIZED=FALSE&amp;creator=factset&amp;display_string=Audit"}</definedName>
    <definedName name="_2797__FDSAUDITLINK__" hidden="1">{"fdsup://Directions/FactSet Auditing Viewer?action=AUDIT_VALUE&amp;DB=129&amp;ID1=60456710&amp;VALUEID=02001&amp;SDATE=200502&amp;PERIODTYPE=QTR_STD&amp;SCFT=3&amp;window=popup_no_bar&amp;width=385&amp;height=120&amp;START_MAXIMIZED=FALSE&amp;creator=factset&amp;display_string=Audit"}</definedName>
    <definedName name="_2798__FDSAUDITLINK__" localSheetId="7" hidden="1">{"fdsup://Directions/FactSet Auditing Viewer?action=AUDIT_VALUE&amp;DB=129&amp;ID1=60456710&amp;VALUEID=02001&amp;SDATE=200502&amp;PERIODTYPE=QTR_STD&amp;SCFT=3&amp;window=popup_no_bar&amp;width=385&amp;height=120&amp;START_MAXIMIZED=FALSE&amp;creator=factset&amp;display_string=Audit"}</definedName>
    <definedName name="_2798__FDSAUDITLINK__" hidden="1">{"fdsup://Directions/FactSet Auditing Viewer?action=AUDIT_VALUE&amp;DB=129&amp;ID1=60456710&amp;VALUEID=02001&amp;SDATE=200502&amp;PERIODTYPE=QTR_STD&amp;SCFT=3&amp;window=popup_no_bar&amp;width=385&amp;height=120&amp;START_MAXIMIZED=FALSE&amp;creator=factset&amp;display_string=Audit"}</definedName>
    <definedName name="_2799__FDSAUDITLINK__" localSheetId="7" hidden="1">{"fdsup://Directions/FactSet Auditing Viewer?action=AUDIT_VALUE&amp;DB=129&amp;ID1=59501710&amp;VALUEID=02001&amp;SDATE=200403&amp;PERIODTYPE=QTR_STD&amp;SCFT=3&amp;window=popup_no_bar&amp;width=385&amp;height=120&amp;START_MAXIMIZED=FALSE&amp;creator=factset&amp;display_string=Audit"}</definedName>
    <definedName name="_2799__FDSAUDITLINK__" hidden="1">{"fdsup://Directions/FactSet Auditing Viewer?action=AUDIT_VALUE&amp;DB=129&amp;ID1=59501710&amp;VALUEID=02001&amp;SDATE=200403&amp;PERIODTYPE=QTR_STD&amp;SCFT=3&amp;window=popup_no_bar&amp;width=385&amp;height=120&amp;START_MAXIMIZED=FALSE&amp;creator=factset&amp;display_string=Audit"}</definedName>
    <definedName name="_28__FDSAUDITLINK__" localSheetId="7" hidden="1">{"fdsup://Directions/FactSet Auditing Viewer?action=AUDIT_VALUE&amp;DB=129&amp;ID1=80004C10&amp;VALUEID=02001&amp;SDATE=201101&amp;PERIODTYPE=QTR_STD&amp;SCFT=3&amp;window=popup_no_bar&amp;width=385&amp;height=120&amp;START_MAXIMIZED=FALSE&amp;creator=factset&amp;display_string=Audit"}</definedName>
    <definedName name="_28__FDSAUDITLINK__" hidden="1">{"fdsup://Directions/FactSet Auditing Viewer?action=AUDIT_VALUE&amp;DB=129&amp;ID1=80004C10&amp;VALUEID=02001&amp;SDATE=201101&amp;PERIODTYPE=QTR_STD&amp;SCFT=3&amp;window=popup_no_bar&amp;width=385&amp;height=120&amp;START_MAXIMIZED=FALSE&amp;creator=factset&amp;display_string=Audit"}</definedName>
    <definedName name="_280__FDSAUDITLINK__" localSheetId="7" hidden="1">{"fdsup://Directions/FactSet Auditing Viewer?action=AUDIT_VALUE&amp;DB=129&amp;ID1=Y0486S10&amp;VALUEID=02001&amp;SDATE=201101&amp;PERIODTYPE=QTR_STD&amp;SCFT=3&amp;window=popup_no_bar&amp;width=385&amp;height=120&amp;START_MAXIMIZED=FALSE&amp;creator=factset&amp;display_string=Audit"}</definedName>
    <definedName name="_280__FDSAUDITLINK__" hidden="1">{"fdsup://Directions/FactSet Auditing Viewer?action=AUDIT_VALUE&amp;DB=129&amp;ID1=Y0486S10&amp;VALUEID=02001&amp;SDATE=201101&amp;PERIODTYPE=QTR_STD&amp;SCFT=3&amp;window=popup_no_bar&amp;width=385&amp;height=120&amp;START_MAXIMIZED=FALSE&amp;creator=factset&amp;display_string=Audit"}</definedName>
    <definedName name="_2800__FDSAUDITLINK__" localSheetId="7" hidden="1">{"fdsup://Directions/FactSet Auditing Viewer?action=AUDIT_VALUE&amp;DB=129&amp;ID1=59501710&amp;VALUEID=02001&amp;SDATE=200403&amp;PERIODTYPE=QTR_STD&amp;SCFT=3&amp;window=popup_no_bar&amp;width=385&amp;height=120&amp;START_MAXIMIZED=FALSE&amp;creator=factset&amp;display_string=Audit"}</definedName>
    <definedName name="_2800__FDSAUDITLINK__" hidden="1">{"fdsup://Directions/FactSet Auditing Viewer?action=AUDIT_VALUE&amp;DB=129&amp;ID1=59501710&amp;VALUEID=02001&amp;SDATE=200403&amp;PERIODTYPE=QTR_STD&amp;SCFT=3&amp;window=popup_no_bar&amp;width=385&amp;height=120&amp;START_MAXIMIZED=FALSE&amp;creator=factset&amp;display_string=Audit"}</definedName>
    <definedName name="_2801__FDSAUDITLINK__" localSheetId="7" hidden="1">{"fdsup://Directions/FactSet Auditing Viewer?action=AUDIT_VALUE&amp;DB=129&amp;ID1=51280710&amp;VALUEID=02001&amp;SDATE=200502&amp;PERIODTYPE=QTR_STD&amp;SCFT=3&amp;window=popup_no_bar&amp;width=385&amp;height=120&amp;START_MAXIMIZED=FALSE&amp;creator=factset&amp;display_string=Audit"}</definedName>
    <definedName name="_2801__FDSAUDITLINK__" hidden="1">{"fdsup://Directions/FactSet Auditing Viewer?action=AUDIT_VALUE&amp;DB=129&amp;ID1=51280710&amp;VALUEID=02001&amp;SDATE=200502&amp;PERIODTYPE=QTR_STD&amp;SCFT=3&amp;window=popup_no_bar&amp;width=385&amp;height=120&amp;START_MAXIMIZED=FALSE&amp;creator=factset&amp;display_string=Audit"}</definedName>
    <definedName name="_2802__FDSAUDITLINK__" localSheetId="7" hidden="1">{"fdsup://Directions/FactSet Auditing Viewer?action=AUDIT_VALUE&amp;DB=129&amp;ID1=51280710&amp;VALUEID=02001&amp;SDATE=200502&amp;PERIODTYPE=QTR_STD&amp;SCFT=3&amp;window=popup_no_bar&amp;width=385&amp;height=120&amp;START_MAXIMIZED=FALSE&amp;creator=factset&amp;display_string=Audit"}</definedName>
    <definedName name="_2802__FDSAUDITLINK__" hidden="1">{"fdsup://Directions/FactSet Auditing Viewer?action=AUDIT_VALUE&amp;DB=129&amp;ID1=51280710&amp;VALUEID=02001&amp;SDATE=200502&amp;PERIODTYPE=QTR_STD&amp;SCFT=3&amp;window=popup_no_bar&amp;width=385&amp;height=120&amp;START_MAXIMIZED=FALSE&amp;creator=factset&amp;display_string=Audit"}</definedName>
    <definedName name="_2803__FDSAUDITLINK__" localSheetId="7" hidden="1">{"fdsup://Directions/FactSet Auditing Viewer?action=AUDIT_VALUE&amp;DB=129&amp;ID1=53567810&amp;VALUEID=02001&amp;SDATE=200502&amp;PERIODTYPE=QTR_STD&amp;SCFT=3&amp;window=popup_no_bar&amp;width=385&amp;height=120&amp;START_MAXIMIZED=FALSE&amp;creator=factset&amp;display_string=Audit"}</definedName>
    <definedName name="_2803__FDSAUDITLINK__" hidden="1">{"fdsup://Directions/FactSet Auditing Viewer?action=AUDIT_VALUE&amp;DB=129&amp;ID1=53567810&amp;VALUEID=02001&amp;SDATE=200502&amp;PERIODTYPE=QTR_STD&amp;SCFT=3&amp;window=popup_no_bar&amp;width=385&amp;height=120&amp;START_MAXIMIZED=FALSE&amp;creator=factset&amp;display_string=Audit"}</definedName>
    <definedName name="_2804__FDSAUDITLINK__" localSheetId="7" hidden="1">{"fdsup://Directions/FactSet Auditing Viewer?action=AUDIT_VALUE&amp;DB=129&amp;ID1=53567810&amp;VALUEID=02001&amp;SDATE=200502&amp;PERIODTYPE=QTR_STD&amp;SCFT=3&amp;window=popup_no_bar&amp;width=385&amp;height=120&amp;START_MAXIMIZED=FALSE&amp;creator=factset&amp;display_string=Audit"}</definedName>
    <definedName name="_2804__FDSAUDITLINK__" hidden="1">{"fdsup://Directions/FactSet Auditing Viewer?action=AUDIT_VALUE&amp;DB=129&amp;ID1=53567810&amp;VALUEID=02001&amp;SDATE=200502&amp;PERIODTYPE=QTR_STD&amp;SCFT=3&amp;window=popup_no_bar&amp;width=385&amp;height=120&amp;START_MAXIMIZED=FALSE&amp;creator=factset&amp;display_string=Audit"}</definedName>
    <definedName name="_2805__FDSAUDITLINK__" localSheetId="7" hidden="1">{"fdsup://Directions/FactSet Auditing Viewer?action=AUDIT_VALUE&amp;DB=129&amp;ID1=48248010&amp;VALUEID=02001&amp;SDATE=200502&amp;PERIODTYPE=QTR_STD&amp;SCFT=3&amp;window=popup_no_bar&amp;width=385&amp;height=120&amp;START_MAXIMIZED=FALSE&amp;creator=factset&amp;display_string=Audit"}</definedName>
    <definedName name="_2805__FDSAUDITLINK__" hidden="1">{"fdsup://Directions/FactSet Auditing Viewer?action=AUDIT_VALUE&amp;DB=129&amp;ID1=48248010&amp;VALUEID=02001&amp;SDATE=200502&amp;PERIODTYPE=QTR_STD&amp;SCFT=3&amp;window=popup_no_bar&amp;width=385&amp;height=120&amp;START_MAXIMIZED=FALSE&amp;creator=factset&amp;display_string=Audit"}</definedName>
    <definedName name="_2806__FDSAUDITLINK__" localSheetId="7" hidden="1">{"fdsup://Directions/FactSet Auditing Viewer?action=AUDIT_VALUE&amp;DB=129&amp;ID1=48248010&amp;VALUEID=02001&amp;SDATE=200502&amp;PERIODTYPE=QTR_STD&amp;SCFT=3&amp;window=popup_no_bar&amp;width=385&amp;height=120&amp;START_MAXIMIZED=FALSE&amp;creator=factset&amp;display_string=Audit"}</definedName>
    <definedName name="_2806__FDSAUDITLINK__" hidden="1">{"fdsup://Directions/FactSet Auditing Viewer?action=AUDIT_VALUE&amp;DB=129&amp;ID1=48248010&amp;VALUEID=02001&amp;SDATE=200502&amp;PERIODTYPE=QTR_STD&amp;SCFT=3&amp;window=popup_no_bar&amp;width=385&amp;height=120&amp;START_MAXIMIZED=FALSE&amp;creator=factset&amp;display_string=Audit"}</definedName>
    <definedName name="_2807__FDSAUDITLINK__" localSheetId="7" hidden="1">{"fdsup://Directions/FactSet Auditing Viewer?action=AUDIT_VALUE&amp;DB=129&amp;ID1=86681020&amp;VALUEID=02001&amp;SDATE=200502&amp;PERIODTYPE=QTR_STD&amp;SCFT=3&amp;window=popup_no_bar&amp;width=385&amp;height=120&amp;START_MAXIMIZED=FALSE&amp;creator=factset&amp;display_string=Audit"}</definedName>
    <definedName name="_2807__FDSAUDITLINK__" hidden="1">{"fdsup://Directions/FactSet Auditing Viewer?action=AUDIT_VALUE&amp;DB=129&amp;ID1=86681020&amp;VALUEID=02001&amp;SDATE=200502&amp;PERIODTYPE=QTR_STD&amp;SCFT=3&amp;window=popup_no_bar&amp;width=385&amp;height=120&amp;START_MAXIMIZED=FALSE&amp;creator=factset&amp;display_string=Audit"}</definedName>
    <definedName name="_2808__FDSAUDITLINK__" localSheetId="7" hidden="1">{"fdsup://Directions/FactSet Auditing Viewer?action=AUDIT_VALUE&amp;DB=129&amp;ID1=86681020&amp;VALUEID=02001&amp;SDATE=200502&amp;PERIODTYPE=QTR_STD&amp;SCFT=3&amp;window=popup_no_bar&amp;width=385&amp;height=120&amp;START_MAXIMIZED=FALSE&amp;creator=factset&amp;display_string=Audit"}</definedName>
    <definedName name="_2808__FDSAUDITLINK__" hidden="1">{"fdsup://Directions/FactSet Auditing Viewer?action=AUDIT_VALUE&amp;DB=129&amp;ID1=86681020&amp;VALUEID=02001&amp;SDATE=200502&amp;PERIODTYPE=QTR_STD&amp;SCFT=3&amp;window=popup_no_bar&amp;width=385&amp;height=120&amp;START_MAXIMIZED=FALSE&amp;creator=factset&amp;display_string=Audit"}</definedName>
    <definedName name="_2809__FDSAUDITLINK__" localSheetId="7" hidden="1">{"fdsup://Directions/FactSet Auditing Viewer?action=AUDIT_VALUE&amp;DB=129&amp;ID1=46025410&amp;VALUEID=02001&amp;SDATE=200502&amp;PERIODTYPE=QTR_STD&amp;SCFT=3&amp;window=popup_no_bar&amp;width=385&amp;height=120&amp;START_MAXIMIZED=FALSE&amp;creator=factset&amp;display_string=Audit"}</definedName>
    <definedName name="_2809__FDSAUDITLINK__" hidden="1">{"fdsup://Directions/FactSet Auditing Viewer?action=AUDIT_VALUE&amp;DB=129&amp;ID1=46025410&amp;VALUEID=02001&amp;SDATE=200502&amp;PERIODTYPE=QTR_STD&amp;SCFT=3&amp;window=popup_no_bar&amp;width=385&amp;height=120&amp;START_MAXIMIZED=FALSE&amp;creator=factset&amp;display_string=Audit"}</definedName>
    <definedName name="_281__FDSAUDITLINK__" localSheetId="7" hidden="1">{"fdsup://Directions/FactSet Auditing Viewer?action=AUDIT_VALUE&amp;DB=129&amp;ID1=04743P10&amp;VALUEID=02001&amp;SDATE=201004&amp;PERIODTYPE=QTR_STD&amp;SCFT=3&amp;window=popup_no_bar&amp;width=385&amp;height=120&amp;START_MAXIMIZED=FALSE&amp;creator=factset&amp;display_string=Audit"}</definedName>
    <definedName name="_281__FDSAUDITLINK__" hidden="1">{"fdsup://Directions/FactSet Auditing Viewer?action=AUDIT_VALUE&amp;DB=129&amp;ID1=04743P10&amp;VALUEID=02001&amp;SDATE=201004&amp;PERIODTYPE=QTR_STD&amp;SCFT=3&amp;window=popup_no_bar&amp;width=385&amp;height=120&amp;START_MAXIMIZED=FALSE&amp;creator=factset&amp;display_string=Audit"}</definedName>
    <definedName name="_2810__FDSAUDITLINK__" localSheetId="7" hidden="1">{"fdsup://Directions/FactSet Auditing Viewer?action=AUDIT_VALUE&amp;DB=129&amp;ID1=46025410&amp;VALUEID=02001&amp;SDATE=200502&amp;PERIODTYPE=QTR_STD&amp;SCFT=3&amp;window=popup_no_bar&amp;width=385&amp;height=120&amp;START_MAXIMIZED=FALSE&amp;creator=factset&amp;display_string=Audit"}</definedName>
    <definedName name="_2810__FDSAUDITLINK__" hidden="1">{"fdsup://Directions/FactSet Auditing Viewer?action=AUDIT_VALUE&amp;DB=129&amp;ID1=46025410&amp;VALUEID=02001&amp;SDATE=200502&amp;PERIODTYPE=QTR_STD&amp;SCFT=3&amp;window=popup_no_bar&amp;width=385&amp;height=120&amp;START_MAXIMIZED=FALSE&amp;creator=factset&amp;display_string=Audit"}</definedName>
    <definedName name="_2811__FDSAUDITLINK__" localSheetId="7" hidden="1">{"fdsup://Directions/FactSet Auditing Viewer?action=AUDIT_VALUE&amp;DB=129&amp;ID1=45811810&amp;VALUEID=02001&amp;SDATE=200403&amp;PERIODTYPE=QTR_STD&amp;SCFT=3&amp;window=popup_no_bar&amp;width=385&amp;height=120&amp;START_MAXIMIZED=FALSE&amp;creator=factset&amp;display_string=Audit"}</definedName>
    <definedName name="_2811__FDSAUDITLINK__" hidden="1">{"fdsup://Directions/FactSet Auditing Viewer?action=AUDIT_VALUE&amp;DB=129&amp;ID1=45811810&amp;VALUEID=02001&amp;SDATE=200403&amp;PERIODTYPE=QTR_STD&amp;SCFT=3&amp;window=popup_no_bar&amp;width=385&amp;height=120&amp;START_MAXIMIZED=FALSE&amp;creator=factset&amp;display_string=Audit"}</definedName>
    <definedName name="_2812__FDSAUDITLINK__" localSheetId="7" hidden="1">{"fdsup://Directions/FactSet Auditing Viewer?action=AUDIT_VALUE&amp;DB=129&amp;ID1=45811810&amp;VALUEID=02001&amp;SDATE=200403&amp;PERIODTYPE=QTR_STD&amp;SCFT=3&amp;window=popup_no_bar&amp;width=385&amp;height=120&amp;START_MAXIMIZED=FALSE&amp;creator=factset&amp;display_string=Audit"}</definedName>
    <definedName name="_2812__FDSAUDITLINK__" hidden="1">{"fdsup://Directions/FactSet Auditing Viewer?action=AUDIT_VALUE&amp;DB=129&amp;ID1=45811810&amp;VALUEID=02001&amp;SDATE=200403&amp;PERIODTYPE=QTR_STD&amp;SCFT=3&amp;window=popup_no_bar&amp;width=385&amp;height=120&amp;START_MAXIMIZED=FALSE&amp;creator=factset&amp;display_string=Audit"}</definedName>
    <definedName name="_2813__FDSAUDITLINK__" localSheetId="7" hidden="1">{"fdsup://Directions/FactSet Auditing Viewer?action=AUDIT_VALUE&amp;DB=129&amp;ID1=42823610&amp;VALUEID=02001&amp;SDATE=200501&amp;PERIODTYPE=QTR_STD&amp;SCFT=3&amp;window=popup_no_bar&amp;width=385&amp;height=120&amp;START_MAXIMIZED=FALSE&amp;creator=factset&amp;display_string=Audit"}</definedName>
    <definedName name="_2813__FDSAUDITLINK__" hidden="1">{"fdsup://Directions/FactSet Auditing Viewer?action=AUDIT_VALUE&amp;DB=129&amp;ID1=42823610&amp;VALUEID=02001&amp;SDATE=200501&amp;PERIODTYPE=QTR_STD&amp;SCFT=3&amp;window=popup_no_bar&amp;width=385&amp;height=120&amp;START_MAXIMIZED=FALSE&amp;creator=factset&amp;display_string=Audit"}</definedName>
    <definedName name="_2814__FDSAUDITLINK__" localSheetId="7" hidden="1">{"fdsup://Directions/FactSet Auditing Viewer?action=AUDIT_VALUE&amp;DB=129&amp;ID1=42823610&amp;VALUEID=02001&amp;SDATE=200501&amp;PERIODTYPE=QTR_STD&amp;SCFT=3&amp;window=popup_no_bar&amp;width=385&amp;height=120&amp;START_MAXIMIZED=FALSE&amp;creator=factset&amp;display_string=Audit"}</definedName>
    <definedName name="_2814__FDSAUDITLINK__" hidden="1">{"fdsup://Directions/FactSet Auditing Viewer?action=AUDIT_VALUE&amp;DB=129&amp;ID1=42823610&amp;VALUEID=02001&amp;SDATE=200501&amp;PERIODTYPE=QTR_STD&amp;SCFT=3&amp;window=popup_no_bar&amp;width=385&amp;height=120&amp;START_MAXIMIZED=FALSE&amp;creator=factset&amp;display_string=Audit"}</definedName>
    <definedName name="_2815__FDSAUDITLINK__" localSheetId="7" hidden="1">{"fdsup://Directions/FactSet Auditing Viewer?action=AUDIT_VALUE&amp;DB=129&amp;ID1=31561610&amp;VALUEID=02001&amp;SDATE=200501&amp;PERIODTYPE=QTR_STD&amp;SCFT=3&amp;window=popup_no_bar&amp;width=385&amp;height=120&amp;START_MAXIMIZED=FALSE&amp;creator=factset&amp;display_string=Audit"}</definedName>
    <definedName name="_2815__FDSAUDITLINK__" hidden="1">{"fdsup://Directions/FactSet Auditing Viewer?action=AUDIT_VALUE&amp;DB=129&amp;ID1=31561610&amp;VALUEID=02001&amp;SDATE=200501&amp;PERIODTYPE=QTR_STD&amp;SCFT=3&amp;window=popup_no_bar&amp;width=385&amp;height=120&amp;START_MAXIMIZED=FALSE&amp;creator=factset&amp;display_string=Audit"}</definedName>
    <definedName name="_2816__FDSAUDITLINK__" localSheetId="7" hidden="1">{"fdsup://Directions/FactSet Auditing Viewer?action=AUDIT_VALUE&amp;DB=129&amp;ID1=31561610&amp;VALUEID=02001&amp;SDATE=200501&amp;PERIODTYPE=QTR_STD&amp;SCFT=3&amp;window=popup_no_bar&amp;width=385&amp;height=120&amp;START_MAXIMIZED=FALSE&amp;creator=factset&amp;display_string=Audit"}</definedName>
    <definedName name="_2816__FDSAUDITLINK__" hidden="1">{"fdsup://Directions/FactSet Auditing Viewer?action=AUDIT_VALUE&amp;DB=129&amp;ID1=31561610&amp;VALUEID=02001&amp;SDATE=200501&amp;PERIODTYPE=QTR_STD&amp;SCFT=3&amp;window=popup_no_bar&amp;width=385&amp;height=120&amp;START_MAXIMIZED=FALSE&amp;creator=factset&amp;display_string=Audit"}</definedName>
    <definedName name="_2817__FDSAUDITLINK__" localSheetId="7" hidden="1">{"fdsup://Directions/FactSet Auditing Viewer?action=AUDIT_VALUE&amp;DB=129&amp;ID1=29247520&amp;VALUEID=02001&amp;SDATE=200502&amp;PERIODTYPE=QTR_STD&amp;SCFT=3&amp;window=popup_no_bar&amp;width=385&amp;height=120&amp;START_MAXIMIZED=FALSE&amp;creator=factset&amp;display_string=Audit"}</definedName>
    <definedName name="_2817__FDSAUDITLINK__" hidden="1">{"fdsup://Directions/FactSet Auditing Viewer?action=AUDIT_VALUE&amp;DB=129&amp;ID1=29247520&amp;VALUEID=02001&amp;SDATE=200502&amp;PERIODTYPE=QTR_STD&amp;SCFT=3&amp;window=popup_no_bar&amp;width=385&amp;height=120&amp;START_MAXIMIZED=FALSE&amp;creator=factset&amp;display_string=Audit"}</definedName>
    <definedName name="_2818__FDSAUDITLINK__" localSheetId="7" hidden="1">{"fdsup://Directions/FactSet Auditing Viewer?action=AUDIT_VALUE&amp;DB=129&amp;ID1=29247520&amp;VALUEID=02001&amp;SDATE=200502&amp;PERIODTYPE=QTR_STD&amp;SCFT=3&amp;window=popup_no_bar&amp;width=385&amp;height=120&amp;START_MAXIMIZED=FALSE&amp;creator=factset&amp;display_string=Audit"}</definedName>
    <definedName name="_2818__FDSAUDITLINK__" hidden="1">{"fdsup://Directions/FactSet Auditing Viewer?action=AUDIT_VALUE&amp;DB=129&amp;ID1=29247520&amp;VALUEID=02001&amp;SDATE=200502&amp;PERIODTYPE=QTR_STD&amp;SCFT=3&amp;window=popup_no_bar&amp;width=385&amp;height=120&amp;START_MAXIMIZED=FALSE&amp;creator=factset&amp;display_string=Audit"}</definedName>
    <definedName name="_2819__FDSAUDITLINK__" localSheetId="7" hidden="1">{"fdsup://Directions/FactSet Auditing Viewer?action=AUDIT_VALUE&amp;DB=129&amp;ID1=17275R10&amp;VALUEID=02001&amp;SDATE=200502&amp;PERIODTYPE=QTR_STD&amp;SCFT=3&amp;window=popup_no_bar&amp;width=385&amp;height=120&amp;START_MAXIMIZED=FALSE&amp;creator=factset&amp;display_string=Audit"}</definedName>
    <definedName name="_2819__FDSAUDITLINK__" hidden="1">{"fdsup://Directions/FactSet Auditing Viewer?action=AUDIT_VALUE&amp;DB=129&amp;ID1=17275R10&amp;VALUEID=02001&amp;SDATE=200502&amp;PERIODTYPE=QTR_STD&amp;SCFT=3&amp;window=popup_no_bar&amp;width=385&amp;height=120&amp;START_MAXIMIZED=FALSE&amp;creator=factset&amp;display_string=Audit"}</definedName>
    <definedName name="_282__FDSAUDITLINK__" localSheetId="7" hidden="1">{"fdsup://Directions/FactSet Auditing Viewer?action=AUDIT_VALUE&amp;DB=129&amp;ID1=04743P10&amp;VALUEID=02001&amp;SDATE=201004&amp;PERIODTYPE=QTR_STD&amp;SCFT=3&amp;window=popup_no_bar&amp;width=385&amp;height=120&amp;START_MAXIMIZED=FALSE&amp;creator=factset&amp;display_string=Audit"}</definedName>
    <definedName name="_282__FDSAUDITLINK__" hidden="1">{"fdsup://Directions/FactSet Auditing Viewer?action=AUDIT_VALUE&amp;DB=129&amp;ID1=04743P10&amp;VALUEID=02001&amp;SDATE=201004&amp;PERIODTYPE=QTR_STD&amp;SCFT=3&amp;window=popup_no_bar&amp;width=385&amp;height=120&amp;START_MAXIMIZED=FALSE&amp;creator=factset&amp;display_string=Audit"}</definedName>
    <definedName name="_2820__FDSAUDITLINK__" localSheetId="7" hidden="1">{"fdsup://Directions/FactSet Auditing Viewer?action=AUDIT_VALUE&amp;DB=129&amp;ID1=17275R10&amp;VALUEID=02001&amp;SDATE=200502&amp;PERIODTYPE=QTR_STD&amp;SCFT=3&amp;window=popup_no_bar&amp;width=385&amp;height=120&amp;START_MAXIMIZED=FALSE&amp;creator=factset&amp;display_string=Audit"}</definedName>
    <definedName name="_2820__FDSAUDITLINK__" hidden="1">{"fdsup://Directions/FactSet Auditing Viewer?action=AUDIT_VALUE&amp;DB=129&amp;ID1=17275R10&amp;VALUEID=02001&amp;SDATE=200502&amp;PERIODTYPE=QTR_STD&amp;SCFT=3&amp;window=popup_no_bar&amp;width=385&amp;height=120&amp;START_MAXIMIZED=FALSE&amp;creator=factset&amp;display_string=Audit"}</definedName>
    <definedName name="_2821__FDSAUDITLINK__" localSheetId="7" hidden="1">{"fdsup://Directions/FactSet Auditing Viewer?action=AUDIT_VALUE&amp;DB=129&amp;ID1=22544710&amp;VALUEID=02001&amp;SDATE=200502&amp;PERIODTYPE=QTR_STD&amp;SCFT=3&amp;window=popup_no_bar&amp;width=385&amp;height=120&amp;START_MAXIMIZED=FALSE&amp;creator=factset&amp;display_string=Audit"}</definedName>
    <definedName name="_2821__FDSAUDITLINK__" hidden="1">{"fdsup://Directions/FactSet Auditing Viewer?action=AUDIT_VALUE&amp;DB=129&amp;ID1=22544710&amp;VALUEID=02001&amp;SDATE=200502&amp;PERIODTYPE=QTR_STD&amp;SCFT=3&amp;window=popup_no_bar&amp;width=385&amp;height=120&amp;START_MAXIMIZED=FALSE&amp;creator=factset&amp;display_string=Audit"}</definedName>
    <definedName name="_2822__FDSAUDITLINK__" localSheetId="7" hidden="1">{"fdsup://Directions/FactSet Auditing Viewer?action=AUDIT_VALUE&amp;DB=129&amp;ID1=22544710&amp;VALUEID=02001&amp;SDATE=200502&amp;PERIODTYPE=QTR_STD&amp;SCFT=3&amp;window=popup_no_bar&amp;width=385&amp;height=120&amp;START_MAXIMIZED=FALSE&amp;creator=factset&amp;display_string=Audit"}</definedName>
    <definedName name="_2822__FDSAUDITLINK__" hidden="1">{"fdsup://Directions/FactSet Auditing Viewer?action=AUDIT_VALUE&amp;DB=129&amp;ID1=22544710&amp;VALUEID=02001&amp;SDATE=200502&amp;PERIODTYPE=QTR_STD&amp;SCFT=3&amp;window=popup_no_bar&amp;width=385&amp;height=120&amp;START_MAXIMIZED=FALSE&amp;creator=factset&amp;display_string=Audit"}</definedName>
    <definedName name="_2823__FDSAUDITLINK__" localSheetId="7" hidden="1">{"fdsup://Directions/FactSet Auditing Viewer?action=AUDIT_VALUE&amp;DB=129&amp;ID1=20714230&amp;VALUEID=02001&amp;SDATE=200501&amp;PERIODTYPE=QTR_STD&amp;SCFT=3&amp;window=popup_no_bar&amp;width=385&amp;height=120&amp;START_MAXIMIZED=FALSE&amp;creator=factset&amp;display_string=Audit"}</definedName>
    <definedName name="_2823__FDSAUDITLINK__" hidden="1">{"fdsup://Directions/FactSet Auditing Viewer?action=AUDIT_VALUE&amp;DB=129&amp;ID1=20714230&amp;VALUEID=02001&amp;SDATE=200501&amp;PERIODTYPE=QTR_STD&amp;SCFT=3&amp;window=popup_no_bar&amp;width=385&amp;height=120&amp;START_MAXIMIZED=FALSE&amp;creator=factset&amp;display_string=Audit"}</definedName>
    <definedName name="_2824__FDSAUDITLINK__" localSheetId="7" hidden="1">{"fdsup://Directions/FactSet Auditing Viewer?action=AUDIT_VALUE&amp;DB=129&amp;ID1=20714230&amp;VALUEID=02001&amp;SDATE=200501&amp;PERIODTYPE=QTR_STD&amp;SCFT=3&amp;window=popup_no_bar&amp;width=385&amp;height=120&amp;START_MAXIMIZED=FALSE&amp;creator=factset&amp;display_string=Audit"}</definedName>
    <definedName name="_2824__FDSAUDITLINK__" hidden="1">{"fdsup://Directions/FactSet Auditing Viewer?action=AUDIT_VALUE&amp;DB=129&amp;ID1=20714230&amp;VALUEID=02001&amp;SDATE=200501&amp;PERIODTYPE=QTR_STD&amp;SCFT=3&amp;window=popup_no_bar&amp;width=385&amp;height=120&amp;START_MAXIMIZED=FALSE&amp;creator=factset&amp;display_string=Audit"}</definedName>
    <definedName name="_2825__FDSAUDITLINK__" localSheetId="7" hidden="1">{"fdsup://Directions/FactSet Auditing Viewer?action=AUDIT_VALUE&amp;DB=129&amp;ID1=03822W40&amp;VALUEID=02001&amp;SDATE=200403&amp;PERIODTYPE=QTR_STD&amp;SCFT=3&amp;window=popup_no_bar&amp;width=385&amp;height=120&amp;START_MAXIMIZED=FALSE&amp;creator=factset&amp;display_string=Audit"}</definedName>
    <definedName name="_2825__FDSAUDITLINK__" hidden="1">{"fdsup://Directions/FactSet Auditing Viewer?action=AUDIT_VALUE&amp;DB=129&amp;ID1=03822W40&amp;VALUEID=02001&amp;SDATE=200403&amp;PERIODTYPE=QTR_STD&amp;SCFT=3&amp;window=popup_no_bar&amp;width=385&amp;height=120&amp;START_MAXIMIZED=FALSE&amp;creator=factset&amp;display_string=Audit"}</definedName>
    <definedName name="_2826__FDSAUDITLINK__" localSheetId="7" hidden="1">{"fdsup://Directions/FactSet Auditing Viewer?action=AUDIT_VALUE&amp;DB=129&amp;ID1=03822W40&amp;VALUEID=02001&amp;SDATE=200403&amp;PERIODTYPE=QTR_STD&amp;SCFT=3&amp;window=popup_no_bar&amp;width=385&amp;height=120&amp;START_MAXIMIZED=FALSE&amp;creator=factset&amp;display_string=Audit"}</definedName>
    <definedName name="_2826__FDSAUDITLINK__" hidden="1">{"fdsup://Directions/FactSet Auditing Viewer?action=AUDIT_VALUE&amp;DB=129&amp;ID1=03822W40&amp;VALUEID=02001&amp;SDATE=200403&amp;PERIODTYPE=QTR_STD&amp;SCFT=3&amp;window=popup_no_bar&amp;width=385&amp;height=120&amp;START_MAXIMIZED=FALSE&amp;creator=factset&amp;display_string=Audit"}</definedName>
    <definedName name="_2827__FDSAUDITLINK__" localSheetId="7" hidden="1">{"fdsup://Directions/FactSet Auditing Viewer?action=AUDIT_VALUE&amp;DB=129&amp;ID1=03822210&amp;VALUEID=02001&amp;SDATE=200501&amp;PERIODTYPE=QTR_STD&amp;SCFT=3&amp;window=popup_no_bar&amp;width=385&amp;height=120&amp;START_MAXIMIZED=FALSE&amp;creator=factset&amp;display_string=Audit"}</definedName>
    <definedName name="_2827__FDSAUDITLINK__" hidden="1">{"fdsup://Directions/FactSet Auditing Viewer?action=AUDIT_VALUE&amp;DB=129&amp;ID1=03822210&amp;VALUEID=02001&amp;SDATE=200501&amp;PERIODTYPE=QTR_STD&amp;SCFT=3&amp;window=popup_no_bar&amp;width=385&amp;height=120&amp;START_MAXIMIZED=FALSE&amp;creator=factset&amp;display_string=Audit"}</definedName>
    <definedName name="_2828__FDSAUDITLINK__" localSheetId="7" hidden="1">{"fdsup://Directions/FactSet Auditing Viewer?action=AUDIT_VALUE&amp;DB=129&amp;ID1=03822210&amp;VALUEID=02001&amp;SDATE=200501&amp;PERIODTYPE=QTR_STD&amp;SCFT=3&amp;window=popup_no_bar&amp;width=385&amp;height=120&amp;START_MAXIMIZED=FALSE&amp;creator=factset&amp;display_string=Audit"}</definedName>
    <definedName name="_2828__FDSAUDITLINK__" hidden="1">{"fdsup://Directions/FactSet Auditing Viewer?action=AUDIT_VALUE&amp;DB=129&amp;ID1=03822210&amp;VALUEID=02001&amp;SDATE=200501&amp;PERIODTYPE=QTR_STD&amp;SCFT=3&amp;window=popup_no_bar&amp;width=385&amp;height=120&amp;START_MAXIMIZED=FALSE&amp;creator=factset&amp;display_string=Audit"}</definedName>
    <definedName name="_2829__FDSAUDITLINK__" localSheetId="7" hidden="1">{"fdsup://Directions/FactSet Auditing Viewer?action=AUDIT_VALUE&amp;DB=129&amp;ID1=03265410&amp;VALUEID=02001&amp;SDATE=200501&amp;PERIODTYPE=QTR_STD&amp;SCFT=3&amp;window=popup_no_bar&amp;width=385&amp;height=120&amp;START_MAXIMIZED=FALSE&amp;creator=factset&amp;display_string=Audit"}</definedName>
    <definedName name="_2829__FDSAUDITLINK__" hidden="1">{"fdsup://Directions/FactSet Auditing Viewer?action=AUDIT_VALUE&amp;DB=129&amp;ID1=03265410&amp;VALUEID=02001&amp;SDATE=200501&amp;PERIODTYPE=QTR_STD&amp;SCFT=3&amp;window=popup_no_bar&amp;width=385&amp;height=120&amp;START_MAXIMIZED=FALSE&amp;creator=factset&amp;display_string=Audit"}</definedName>
    <definedName name="_283__FDSAUDITLINK__" localSheetId="7" hidden="1">{"fdsup://Directions/FactSet Auditing Viewer?action=AUDIT_VALUE&amp;DB=129&amp;ID1=03251510&amp;VALUEID=02001&amp;SDATE=201004&amp;PERIODTYPE=QTR_STD&amp;SCFT=3&amp;window=popup_no_bar&amp;width=385&amp;height=120&amp;START_MAXIMIZED=FALSE&amp;creator=factset&amp;display_string=Audit"}</definedName>
    <definedName name="_283__FDSAUDITLINK__" hidden="1">{"fdsup://Directions/FactSet Auditing Viewer?action=AUDIT_VALUE&amp;DB=129&amp;ID1=03251510&amp;VALUEID=02001&amp;SDATE=201004&amp;PERIODTYPE=QTR_STD&amp;SCFT=3&amp;window=popup_no_bar&amp;width=385&amp;height=120&amp;START_MAXIMIZED=FALSE&amp;creator=factset&amp;display_string=Audit"}</definedName>
    <definedName name="_2830__FDSAUDITLINK__" localSheetId="7" hidden="1">{"fdsup://Directions/FactSet Auditing Viewer?action=AUDIT_VALUE&amp;DB=129&amp;ID1=03265410&amp;VALUEID=02001&amp;SDATE=200501&amp;PERIODTYPE=QTR_STD&amp;SCFT=3&amp;window=popup_no_bar&amp;width=385&amp;height=120&amp;START_MAXIMIZED=FALSE&amp;creator=factset&amp;display_string=Audit"}</definedName>
    <definedName name="_2830__FDSAUDITLINK__" hidden="1">{"fdsup://Directions/FactSet Auditing Viewer?action=AUDIT_VALUE&amp;DB=129&amp;ID1=03265410&amp;VALUEID=02001&amp;SDATE=200501&amp;PERIODTYPE=QTR_STD&amp;SCFT=3&amp;window=popup_no_bar&amp;width=385&amp;height=120&amp;START_MAXIMIZED=FALSE&amp;creator=factset&amp;display_string=Audit"}</definedName>
    <definedName name="_2831__FDSAUDITLINK__" localSheetId="7" hidden="1">{"fdsup://Directions/FactSet Auditing Viewer?action=AUDIT_VALUE&amp;DB=129&amp;ID1=98975F10&amp;VALUEID=02001&amp;SDATE=200403&amp;PERIODTYPE=QTR_STD&amp;SCFT=3&amp;window=popup_no_bar&amp;width=385&amp;height=120&amp;START_MAXIMIZED=FALSE&amp;creator=factset&amp;display_string=Audit"}</definedName>
    <definedName name="_2831__FDSAUDITLINK__" hidden="1">{"fdsup://Directions/FactSet Auditing Viewer?action=AUDIT_VALUE&amp;DB=129&amp;ID1=98975F10&amp;VALUEID=02001&amp;SDATE=200403&amp;PERIODTYPE=QTR_STD&amp;SCFT=3&amp;window=popup_no_bar&amp;width=385&amp;height=120&amp;START_MAXIMIZED=FALSE&amp;creator=factset&amp;display_string=Audit"}</definedName>
    <definedName name="_2832__FDSAUDITLINK__" localSheetId="7" hidden="1">{"fdsup://Directions/FactSet Auditing Viewer?action=AUDIT_VALUE&amp;DB=129&amp;ID1=98975F10&amp;VALUEID=02001&amp;SDATE=200403&amp;PERIODTYPE=QTR_STD&amp;SCFT=3&amp;window=popup_no_bar&amp;width=385&amp;height=120&amp;START_MAXIMIZED=FALSE&amp;creator=factset&amp;display_string=Audit"}</definedName>
    <definedName name="_2832__FDSAUDITLINK__" hidden="1">{"fdsup://Directions/FactSet Auditing Viewer?action=AUDIT_VALUE&amp;DB=129&amp;ID1=98975F10&amp;VALUEID=02001&amp;SDATE=200403&amp;PERIODTYPE=QTR_STD&amp;SCFT=3&amp;window=popup_no_bar&amp;width=385&amp;height=120&amp;START_MAXIMIZED=FALSE&amp;creator=factset&amp;display_string=Audit"}</definedName>
    <definedName name="_2833__FDSAUDITLINK__" localSheetId="7" hidden="1">{"fdsup://Directions/FactSet Auditing Viewer?action=AUDIT_VALUE&amp;DB=129&amp;ID1=98391910&amp;VALUEID=02001&amp;SDATE=200402&amp;PERIODTYPE=QTR_STD&amp;SCFT=3&amp;window=popup_no_bar&amp;width=385&amp;height=120&amp;START_MAXIMIZED=FALSE&amp;creator=factset&amp;display_string=Audit"}</definedName>
    <definedName name="_2833__FDSAUDITLINK__" hidden="1">{"fdsup://Directions/FactSet Auditing Viewer?action=AUDIT_VALUE&amp;DB=129&amp;ID1=98391910&amp;VALUEID=02001&amp;SDATE=200402&amp;PERIODTYPE=QTR_STD&amp;SCFT=3&amp;window=popup_no_bar&amp;width=385&amp;height=120&amp;START_MAXIMIZED=FALSE&amp;creator=factset&amp;display_string=Audit"}</definedName>
    <definedName name="_2834__FDSAUDITLINK__" localSheetId="7" hidden="1">{"fdsup://Directions/FactSet Auditing Viewer?action=AUDIT_VALUE&amp;DB=129&amp;ID1=98391910&amp;VALUEID=02001&amp;SDATE=200402&amp;PERIODTYPE=QTR_STD&amp;SCFT=3&amp;window=popup_no_bar&amp;width=385&amp;height=120&amp;START_MAXIMIZED=FALSE&amp;creator=factset&amp;display_string=Audit"}</definedName>
    <definedName name="_2834__FDSAUDITLINK__" hidden="1">{"fdsup://Directions/FactSet Auditing Viewer?action=AUDIT_VALUE&amp;DB=129&amp;ID1=98391910&amp;VALUEID=02001&amp;SDATE=200402&amp;PERIODTYPE=QTR_STD&amp;SCFT=3&amp;window=popup_no_bar&amp;width=385&amp;height=120&amp;START_MAXIMIZED=FALSE&amp;creator=factset&amp;display_string=Audit"}</definedName>
    <definedName name="_2835__FDSAUDITLINK__" localSheetId="7" hidden="1">{"fdsup://Directions/FactSet Auditing Viewer?action=AUDIT_VALUE&amp;DB=129&amp;ID1=95810210&amp;VALUEID=02001&amp;SDATE=200501&amp;PERIODTYPE=QTR_STD&amp;SCFT=3&amp;window=popup_no_bar&amp;width=385&amp;height=120&amp;START_MAXIMIZED=FALSE&amp;creator=factset&amp;display_string=Audit"}</definedName>
    <definedName name="_2835__FDSAUDITLINK__" hidden="1">{"fdsup://Directions/FactSet Auditing Viewer?action=AUDIT_VALUE&amp;DB=129&amp;ID1=95810210&amp;VALUEID=02001&amp;SDATE=200501&amp;PERIODTYPE=QTR_STD&amp;SCFT=3&amp;window=popup_no_bar&amp;width=385&amp;height=120&amp;START_MAXIMIZED=FALSE&amp;creator=factset&amp;display_string=Audit"}</definedName>
    <definedName name="_2836__FDSAUDITLINK__" localSheetId="7" hidden="1">{"fdsup://Directions/FactSet Auditing Viewer?action=AUDIT_VALUE&amp;DB=129&amp;ID1=95810210&amp;VALUEID=02001&amp;SDATE=200501&amp;PERIODTYPE=QTR_STD&amp;SCFT=3&amp;window=popup_no_bar&amp;width=385&amp;height=120&amp;START_MAXIMIZED=FALSE&amp;creator=factset&amp;display_string=Audit"}</definedName>
    <definedName name="_2836__FDSAUDITLINK__" hidden="1">{"fdsup://Directions/FactSet Auditing Viewer?action=AUDIT_VALUE&amp;DB=129&amp;ID1=95810210&amp;VALUEID=02001&amp;SDATE=200501&amp;PERIODTYPE=QTR_STD&amp;SCFT=3&amp;window=popup_no_bar&amp;width=385&amp;height=120&amp;START_MAXIMIZED=FALSE&amp;creator=factset&amp;display_string=Audit"}</definedName>
    <definedName name="_2837__FDSAUDITLINK__" localSheetId="7" hidden="1">{"fdsup://Directions/FactSet Auditing Viewer?action=AUDIT_VALUE&amp;DB=129&amp;ID1=88250810&amp;VALUEID=02001&amp;SDATE=200403&amp;PERIODTYPE=QTR_STD&amp;SCFT=3&amp;window=popup_no_bar&amp;width=385&amp;height=120&amp;START_MAXIMIZED=FALSE&amp;creator=factset&amp;display_string=Audit"}</definedName>
    <definedName name="_2837__FDSAUDITLINK__" hidden="1">{"fdsup://Directions/FactSet Auditing Viewer?action=AUDIT_VALUE&amp;DB=129&amp;ID1=88250810&amp;VALUEID=02001&amp;SDATE=200403&amp;PERIODTYPE=QTR_STD&amp;SCFT=3&amp;window=popup_no_bar&amp;width=385&amp;height=120&amp;START_MAXIMIZED=FALSE&amp;creator=factset&amp;display_string=Audit"}</definedName>
    <definedName name="_2838__FDSAUDITLINK__" localSheetId="7" hidden="1">{"fdsup://Directions/FactSet Auditing Viewer?action=AUDIT_VALUE&amp;DB=129&amp;ID1=88250810&amp;VALUEID=02001&amp;SDATE=200403&amp;PERIODTYPE=QTR_STD&amp;SCFT=3&amp;window=popup_no_bar&amp;width=385&amp;height=120&amp;START_MAXIMIZED=FALSE&amp;creator=factset&amp;display_string=Audit"}</definedName>
    <definedName name="_2838__FDSAUDITLINK__" hidden="1">{"fdsup://Directions/FactSet Auditing Viewer?action=AUDIT_VALUE&amp;DB=129&amp;ID1=88250810&amp;VALUEID=02001&amp;SDATE=200403&amp;PERIODTYPE=QTR_STD&amp;SCFT=3&amp;window=popup_no_bar&amp;width=385&amp;height=120&amp;START_MAXIMIZED=FALSE&amp;creator=factset&amp;display_string=Audit"}</definedName>
    <definedName name="_2839__FDSAUDITLINK__" localSheetId="7" hidden="1">{"fdsup://Directions/FactSet Auditing Viewer?action=AUDIT_VALUE&amp;DB=129&amp;ID1=89674K10&amp;VALUEID=02001&amp;SDATE=200403&amp;PERIODTYPE=QTR_STD&amp;SCFT=3&amp;window=popup_no_bar&amp;width=385&amp;height=120&amp;START_MAXIMIZED=FALSE&amp;creator=factset&amp;display_string=Audit"}</definedName>
    <definedName name="_2839__FDSAUDITLINK__" hidden="1">{"fdsup://Directions/FactSet Auditing Viewer?action=AUDIT_VALUE&amp;DB=129&amp;ID1=89674K10&amp;VALUEID=02001&amp;SDATE=200403&amp;PERIODTYPE=QTR_STD&amp;SCFT=3&amp;window=popup_no_bar&amp;width=385&amp;height=120&amp;START_MAXIMIZED=FALSE&amp;creator=factset&amp;display_string=Audit"}</definedName>
    <definedName name="_284__FDSAUDITLINK__" localSheetId="7" hidden="1">{"fdsup://Directions/FactSet Auditing Viewer?action=AUDIT_VALUE&amp;DB=129&amp;ID1=03251510&amp;VALUEID=02001&amp;SDATE=201004&amp;PERIODTYPE=QTR_STD&amp;SCFT=3&amp;window=popup_no_bar&amp;width=385&amp;height=120&amp;START_MAXIMIZED=FALSE&amp;creator=factset&amp;display_string=Audit"}</definedName>
    <definedName name="_284__FDSAUDITLINK__" hidden="1">{"fdsup://Directions/FactSet Auditing Viewer?action=AUDIT_VALUE&amp;DB=129&amp;ID1=03251510&amp;VALUEID=02001&amp;SDATE=201004&amp;PERIODTYPE=QTR_STD&amp;SCFT=3&amp;window=popup_no_bar&amp;width=385&amp;height=120&amp;START_MAXIMIZED=FALSE&amp;creator=factset&amp;display_string=Audit"}</definedName>
    <definedName name="_2840__FDSAUDITLINK__" localSheetId="7" hidden="1">{"fdsup://Directions/FactSet Auditing Viewer?action=AUDIT_VALUE&amp;DB=129&amp;ID1=89674K10&amp;VALUEID=02001&amp;SDATE=200403&amp;PERIODTYPE=QTR_STD&amp;SCFT=3&amp;window=popup_no_bar&amp;width=385&amp;height=120&amp;START_MAXIMIZED=FALSE&amp;creator=factset&amp;display_string=Audit"}</definedName>
    <definedName name="_2840__FDSAUDITLINK__" hidden="1">{"fdsup://Directions/FactSet Auditing Viewer?action=AUDIT_VALUE&amp;DB=129&amp;ID1=89674K10&amp;VALUEID=02001&amp;SDATE=200403&amp;PERIODTYPE=QTR_STD&amp;SCFT=3&amp;window=popup_no_bar&amp;width=385&amp;height=120&amp;START_MAXIMIZED=FALSE&amp;creator=factset&amp;display_string=Audit"}</definedName>
    <definedName name="_2841__FDSAUDITLINK__" localSheetId="7" hidden="1">{"fdsup://Directions/FactSet Auditing Viewer?action=AUDIT_VALUE&amp;DB=129&amp;ID1=G7945M10&amp;VALUEID=02001&amp;SDATE=200501&amp;PERIODTYPE=QTR_STD&amp;SCFT=3&amp;window=popup_no_bar&amp;width=385&amp;height=120&amp;START_MAXIMIZED=FALSE&amp;creator=factset&amp;display_string=Audit"}</definedName>
    <definedName name="_2841__FDSAUDITLINK__" hidden="1">{"fdsup://Directions/FactSet Auditing Viewer?action=AUDIT_VALUE&amp;DB=129&amp;ID1=G7945M10&amp;VALUEID=02001&amp;SDATE=200501&amp;PERIODTYPE=QTR_STD&amp;SCFT=3&amp;window=popup_no_bar&amp;width=385&amp;height=120&amp;START_MAXIMIZED=FALSE&amp;creator=factset&amp;display_string=Audit"}</definedName>
    <definedName name="_2842__FDSAUDITLINK__" localSheetId="7" hidden="1">{"fdsup://Directions/FactSet Auditing Viewer?action=AUDIT_VALUE&amp;DB=129&amp;ID1=G7945M10&amp;VALUEID=02001&amp;SDATE=200501&amp;PERIODTYPE=QTR_STD&amp;SCFT=3&amp;window=popup_no_bar&amp;width=385&amp;height=120&amp;START_MAXIMIZED=FALSE&amp;creator=factset&amp;display_string=Audit"}</definedName>
    <definedName name="_2842__FDSAUDITLINK__" hidden="1">{"fdsup://Directions/FactSet Auditing Viewer?action=AUDIT_VALUE&amp;DB=129&amp;ID1=G7945M10&amp;VALUEID=02001&amp;SDATE=200501&amp;PERIODTYPE=QTR_STD&amp;SCFT=3&amp;window=popup_no_bar&amp;width=385&amp;height=120&amp;START_MAXIMIZED=FALSE&amp;creator=factset&amp;display_string=Audit"}</definedName>
    <definedName name="_2843__FDSAUDITLINK__" localSheetId="7" hidden="1">{"fdsup://Directions/FactSet Auditing Viewer?action=AUDIT_VALUE&amp;DB=129&amp;ID1=78477410&amp;VALUEID=02001&amp;SDATE=200403&amp;PERIODTYPE=QTR_STD&amp;SCFT=3&amp;window=popup_no_bar&amp;width=385&amp;height=120&amp;START_MAXIMIZED=FALSE&amp;creator=factset&amp;display_string=Audit"}</definedName>
    <definedName name="_2843__FDSAUDITLINK__" hidden="1">{"fdsup://Directions/FactSet Auditing Viewer?action=AUDIT_VALUE&amp;DB=129&amp;ID1=78477410&amp;VALUEID=02001&amp;SDATE=200403&amp;PERIODTYPE=QTR_STD&amp;SCFT=3&amp;window=popup_no_bar&amp;width=385&amp;height=120&amp;START_MAXIMIZED=FALSE&amp;creator=factset&amp;display_string=Audit"}</definedName>
    <definedName name="_2844__FDSAUDITLINK__" localSheetId="7" hidden="1">{"fdsup://Directions/FactSet Auditing Viewer?action=AUDIT_VALUE&amp;DB=129&amp;ID1=78477410&amp;VALUEID=02001&amp;SDATE=200403&amp;PERIODTYPE=QTR_STD&amp;SCFT=3&amp;window=popup_no_bar&amp;width=385&amp;height=120&amp;START_MAXIMIZED=FALSE&amp;creator=factset&amp;display_string=Audit"}</definedName>
    <definedName name="_2844__FDSAUDITLINK__" hidden="1">{"fdsup://Directions/FactSet Auditing Viewer?action=AUDIT_VALUE&amp;DB=129&amp;ID1=78477410&amp;VALUEID=02001&amp;SDATE=200403&amp;PERIODTYPE=QTR_STD&amp;SCFT=3&amp;window=popup_no_bar&amp;width=385&amp;height=120&amp;START_MAXIMIZED=FALSE&amp;creator=factset&amp;display_string=Audit"}</definedName>
    <definedName name="_2845__FDSAUDITLINK__" localSheetId="7" hidden="1">{"fdsup://Directions/FactSet Auditing Viewer?action=AUDIT_VALUE&amp;DB=129&amp;ID1=83547010&amp;VALUEID=02001&amp;SDATE=200403&amp;PERIODTYPE=QTR_STD&amp;SCFT=3&amp;window=popup_no_bar&amp;width=385&amp;height=120&amp;START_MAXIMIZED=FALSE&amp;creator=factset&amp;display_string=Audit"}</definedName>
    <definedName name="_2845__FDSAUDITLINK__" hidden="1">{"fdsup://Directions/FactSet Auditing Viewer?action=AUDIT_VALUE&amp;DB=129&amp;ID1=83547010&amp;VALUEID=02001&amp;SDATE=200403&amp;PERIODTYPE=QTR_STD&amp;SCFT=3&amp;window=popup_no_bar&amp;width=385&amp;height=120&amp;START_MAXIMIZED=FALSE&amp;creator=factset&amp;display_string=Audit"}</definedName>
    <definedName name="_2846__FDSAUDITLINK__" localSheetId="7" hidden="1">{"fdsup://Directions/FactSet Auditing Viewer?action=AUDIT_VALUE&amp;DB=129&amp;ID1=83547010&amp;VALUEID=02001&amp;SDATE=200403&amp;PERIODTYPE=QTR_STD&amp;SCFT=3&amp;window=popup_no_bar&amp;width=385&amp;height=120&amp;START_MAXIMIZED=FALSE&amp;creator=factset&amp;display_string=Audit"}</definedName>
    <definedName name="_2846__FDSAUDITLINK__" hidden="1">{"fdsup://Directions/FactSet Auditing Viewer?action=AUDIT_VALUE&amp;DB=129&amp;ID1=83547010&amp;VALUEID=02001&amp;SDATE=200403&amp;PERIODTYPE=QTR_STD&amp;SCFT=3&amp;window=popup_no_bar&amp;width=385&amp;height=120&amp;START_MAXIMIZED=FALSE&amp;creator=factset&amp;display_string=Audit"}</definedName>
    <definedName name="_2847__FDSAUDITLINK__" localSheetId="7" hidden="1">{"fdsup://Directions/FactSet Auditing Viewer?action=AUDIT_VALUE&amp;DB=129&amp;ID1=80004C10&amp;VALUEID=02001&amp;SDATE=200403&amp;PERIODTYPE=QTR_STD&amp;SCFT=3&amp;window=popup_no_bar&amp;width=385&amp;height=120&amp;START_MAXIMIZED=FALSE&amp;creator=factset&amp;display_string=Audit"}</definedName>
    <definedName name="_2847__FDSAUDITLINK__" hidden="1">{"fdsup://Directions/FactSet Auditing Viewer?action=AUDIT_VALUE&amp;DB=129&amp;ID1=80004C10&amp;VALUEID=02001&amp;SDATE=200403&amp;PERIODTYPE=QTR_STD&amp;SCFT=3&amp;window=popup_no_bar&amp;width=385&amp;height=120&amp;START_MAXIMIZED=FALSE&amp;creator=factset&amp;display_string=Audit"}</definedName>
    <definedName name="_2848__FDSAUDITLINK__" localSheetId="7" hidden="1">{"fdsup://Directions/FactSet Auditing Viewer?action=AUDIT_VALUE&amp;DB=129&amp;ID1=80004C10&amp;VALUEID=02001&amp;SDATE=200403&amp;PERIODTYPE=QTR_STD&amp;SCFT=3&amp;window=popup_no_bar&amp;width=385&amp;height=120&amp;START_MAXIMIZED=FALSE&amp;creator=factset&amp;display_string=Audit"}</definedName>
    <definedName name="_2848__FDSAUDITLINK__" hidden="1">{"fdsup://Directions/FactSet Auditing Viewer?action=AUDIT_VALUE&amp;DB=129&amp;ID1=80004C10&amp;VALUEID=02001&amp;SDATE=200403&amp;PERIODTYPE=QTR_STD&amp;SCFT=3&amp;window=popup_no_bar&amp;width=385&amp;height=120&amp;START_MAXIMIZED=FALSE&amp;creator=factset&amp;display_string=Audit"}</definedName>
    <definedName name="_2849__FDSAUDITLINK__" localSheetId="7" hidden="1">{"fdsup://Directions/FactSet Auditing Viewer?action=AUDIT_VALUE&amp;DB=129&amp;ID1=81685010&amp;VALUEID=02001&amp;SDATE=200403&amp;PERIODTYPE=QTR_STD&amp;SCFT=3&amp;window=popup_no_bar&amp;width=385&amp;height=120&amp;START_MAXIMIZED=FALSE&amp;creator=factset&amp;display_string=Audit"}</definedName>
    <definedName name="_2849__FDSAUDITLINK__" hidden="1">{"fdsup://Directions/FactSet Auditing Viewer?action=AUDIT_VALUE&amp;DB=129&amp;ID1=81685010&amp;VALUEID=02001&amp;SDATE=200403&amp;PERIODTYPE=QTR_STD&amp;SCFT=3&amp;window=popup_no_bar&amp;width=385&amp;height=120&amp;START_MAXIMIZED=FALSE&amp;creator=factset&amp;display_string=Audit"}</definedName>
    <definedName name="_285__FDSAUDITLINK__" localSheetId="7" hidden="1">{"fdsup://Directions/FactSet Auditing Viewer?action=AUDIT_VALUE&amp;DB=129&amp;ID1=00790310&amp;VALUEID=02001&amp;SDATE=201004&amp;PERIODTYPE=QTR_STD&amp;SCFT=3&amp;window=popup_no_bar&amp;width=385&amp;height=120&amp;START_MAXIMIZED=FALSE&amp;creator=factset&amp;display_string=Audit"}</definedName>
    <definedName name="_285__FDSAUDITLINK__" hidden="1">{"fdsup://Directions/FactSet Auditing Viewer?action=AUDIT_VALUE&amp;DB=129&amp;ID1=00790310&amp;VALUEID=02001&amp;SDATE=201004&amp;PERIODTYPE=QTR_STD&amp;SCFT=3&amp;window=popup_no_bar&amp;width=385&amp;height=120&amp;START_MAXIMIZED=FALSE&amp;creator=factset&amp;display_string=Audit"}</definedName>
    <definedName name="_2850__FDSAUDITLINK__" localSheetId="7" hidden="1">{"fdsup://Directions/FactSet Auditing Viewer?action=AUDIT_VALUE&amp;DB=129&amp;ID1=81685010&amp;VALUEID=02001&amp;SDATE=200403&amp;PERIODTYPE=QTR_STD&amp;SCFT=3&amp;window=popup_no_bar&amp;width=385&amp;height=120&amp;START_MAXIMIZED=FALSE&amp;creator=factset&amp;display_string=Audit"}</definedName>
    <definedName name="_2850__FDSAUDITLINK__" hidden="1">{"fdsup://Directions/FactSet Auditing Viewer?action=AUDIT_VALUE&amp;DB=129&amp;ID1=81685010&amp;VALUEID=02001&amp;SDATE=200403&amp;PERIODTYPE=QTR_STD&amp;SCFT=3&amp;window=popup_no_bar&amp;width=385&amp;height=120&amp;START_MAXIMIZED=FALSE&amp;creator=factset&amp;display_string=Audit"}</definedName>
    <definedName name="_2851__FDSAUDITLINK__" localSheetId="7" hidden="1">{"fdsup://Directions/FactSet Auditing Viewer?action=AUDIT_VALUE&amp;DB=129&amp;ID1=82691910&amp;VALUEID=02001&amp;SDATE=200403&amp;PERIODTYPE=QTR_STD&amp;SCFT=3&amp;window=popup_no_bar&amp;width=385&amp;height=120&amp;START_MAXIMIZED=FALSE&amp;creator=factset&amp;display_string=Audit"}</definedName>
    <definedName name="_2851__FDSAUDITLINK__" hidden="1">{"fdsup://Directions/FactSet Auditing Viewer?action=AUDIT_VALUE&amp;DB=129&amp;ID1=82691910&amp;VALUEID=02001&amp;SDATE=200403&amp;PERIODTYPE=QTR_STD&amp;SCFT=3&amp;window=popup_no_bar&amp;width=385&amp;height=120&amp;START_MAXIMIZED=FALSE&amp;creator=factset&amp;display_string=Audit"}</definedName>
    <definedName name="_2852__FDSAUDITLINK__" localSheetId="7" hidden="1">{"fdsup://Directions/FactSet Auditing Viewer?action=AUDIT_VALUE&amp;DB=129&amp;ID1=82691910&amp;VALUEID=02001&amp;SDATE=200403&amp;PERIODTYPE=QTR_STD&amp;SCFT=3&amp;window=popup_no_bar&amp;width=385&amp;height=120&amp;START_MAXIMIZED=FALSE&amp;creator=factset&amp;display_string=Audit"}</definedName>
    <definedName name="_2852__FDSAUDITLINK__" hidden="1">{"fdsup://Directions/FactSet Auditing Viewer?action=AUDIT_VALUE&amp;DB=129&amp;ID1=82691910&amp;VALUEID=02001&amp;SDATE=200403&amp;PERIODTYPE=QTR_STD&amp;SCFT=3&amp;window=popup_no_bar&amp;width=385&amp;height=120&amp;START_MAXIMIZED=FALSE&amp;creator=factset&amp;display_string=Audit"}</definedName>
    <definedName name="_2853__FDSAUDITLINK__" localSheetId="7" hidden="1">{"fdsup://Directions/FactSet Auditing Viewer?action=AUDIT_VALUE&amp;DB=129&amp;ID1=82705T10&amp;VALUEID=02001&amp;SDATE=200403&amp;PERIODTYPE=QTR_STD&amp;SCFT=3&amp;window=popup_no_bar&amp;width=385&amp;height=120&amp;START_MAXIMIZED=FALSE&amp;creator=factset&amp;display_string=Audit"}</definedName>
    <definedName name="_2853__FDSAUDITLINK__" hidden="1">{"fdsup://Directions/FactSet Auditing Viewer?action=AUDIT_VALUE&amp;DB=129&amp;ID1=82705T10&amp;VALUEID=02001&amp;SDATE=200403&amp;PERIODTYPE=QTR_STD&amp;SCFT=3&amp;window=popup_no_bar&amp;width=385&amp;height=120&amp;START_MAXIMIZED=FALSE&amp;creator=factset&amp;display_string=Audit"}</definedName>
    <definedName name="_2854__FDSAUDITLINK__" localSheetId="7" hidden="1">{"fdsup://Directions/FactSet Auditing Viewer?action=AUDIT_VALUE&amp;DB=129&amp;ID1=82705T10&amp;VALUEID=02001&amp;SDATE=200403&amp;PERIODTYPE=QTR_STD&amp;SCFT=3&amp;window=popup_no_bar&amp;width=385&amp;height=120&amp;START_MAXIMIZED=FALSE&amp;creator=factset&amp;display_string=Audit"}</definedName>
    <definedName name="_2854__FDSAUDITLINK__" hidden="1">{"fdsup://Directions/FactSet Auditing Viewer?action=AUDIT_VALUE&amp;DB=129&amp;ID1=82705T10&amp;VALUEID=02001&amp;SDATE=200403&amp;PERIODTYPE=QTR_STD&amp;SCFT=3&amp;window=popup_no_bar&amp;width=385&amp;height=120&amp;START_MAXIMIZED=FALSE&amp;creator=factset&amp;display_string=Audit"}</definedName>
    <definedName name="_2855__FDSAUDITLINK__" localSheetId="7" hidden="1">{"fdsup://Directions/FactSet Auditing Viewer?action=AUDIT_VALUE&amp;DB=129&amp;ID1=75091710&amp;VALUEID=02001&amp;SDATE=200403&amp;PERIODTYPE=QTR_STD&amp;SCFT=3&amp;window=popup_no_bar&amp;width=385&amp;height=120&amp;START_MAXIMIZED=FALSE&amp;creator=factset&amp;display_string=Audit"}</definedName>
    <definedName name="_2855__FDSAUDITLINK__" hidden="1">{"fdsup://Directions/FactSet Auditing Viewer?action=AUDIT_VALUE&amp;DB=129&amp;ID1=75091710&amp;VALUEID=02001&amp;SDATE=200403&amp;PERIODTYPE=QTR_STD&amp;SCFT=3&amp;window=popup_no_bar&amp;width=385&amp;height=120&amp;START_MAXIMIZED=FALSE&amp;creator=factset&amp;display_string=Audit"}</definedName>
    <definedName name="_2856__FDSAUDITLINK__" localSheetId="7" hidden="1">{"fdsup://Directions/FactSet Auditing Viewer?action=AUDIT_VALUE&amp;DB=129&amp;ID1=75091710&amp;VALUEID=02001&amp;SDATE=200403&amp;PERIODTYPE=QTR_STD&amp;SCFT=3&amp;window=popup_no_bar&amp;width=385&amp;height=120&amp;START_MAXIMIZED=FALSE&amp;creator=factset&amp;display_string=Audit"}</definedName>
    <definedName name="_2856__FDSAUDITLINK__" hidden="1">{"fdsup://Directions/FactSet Auditing Viewer?action=AUDIT_VALUE&amp;DB=129&amp;ID1=75091710&amp;VALUEID=02001&amp;SDATE=200403&amp;PERIODTYPE=QTR_STD&amp;SCFT=3&amp;window=popup_no_bar&amp;width=385&amp;height=120&amp;START_MAXIMIZED=FALSE&amp;creator=factset&amp;display_string=Audit"}</definedName>
    <definedName name="_2857__FDSAUDITLINK__" localSheetId="7" hidden="1">{"fdsup://Directions/FactSet Auditing Viewer?action=AUDIT_VALUE&amp;DB=129&amp;ID1=74994110&amp;VALUEID=02001&amp;SDATE=200402&amp;PERIODTYPE=QTR_STD&amp;SCFT=3&amp;window=popup_no_bar&amp;width=385&amp;height=120&amp;START_MAXIMIZED=FALSE&amp;creator=factset&amp;display_string=Audit"}</definedName>
    <definedName name="_2857__FDSAUDITLINK__" hidden="1">{"fdsup://Directions/FactSet Auditing Viewer?action=AUDIT_VALUE&amp;DB=129&amp;ID1=74994110&amp;VALUEID=02001&amp;SDATE=200402&amp;PERIODTYPE=QTR_STD&amp;SCFT=3&amp;window=popup_no_bar&amp;width=385&amp;height=120&amp;START_MAXIMIZED=FALSE&amp;creator=factset&amp;display_string=Audit"}</definedName>
    <definedName name="_2858__FDSAUDITLINK__" localSheetId="7" hidden="1">{"fdsup://Directions/FactSet Auditing Viewer?action=AUDIT_VALUE&amp;DB=129&amp;ID1=74994110&amp;VALUEID=02001&amp;SDATE=200402&amp;PERIODTYPE=QTR_STD&amp;SCFT=3&amp;window=popup_no_bar&amp;width=385&amp;height=120&amp;START_MAXIMIZED=FALSE&amp;creator=factset&amp;display_string=Audit"}</definedName>
    <definedName name="_2858__FDSAUDITLINK__" hidden="1">{"fdsup://Directions/FactSet Auditing Viewer?action=AUDIT_VALUE&amp;DB=129&amp;ID1=74994110&amp;VALUEID=02001&amp;SDATE=200402&amp;PERIODTYPE=QTR_STD&amp;SCFT=3&amp;window=popup_no_bar&amp;width=385&amp;height=120&amp;START_MAXIMIZED=FALSE&amp;creator=factset&amp;display_string=Audit"}</definedName>
    <definedName name="_2859__FDSAUDITLINK__" localSheetId="7" hidden="1">{"fdsup://Directions/FactSet Auditing Viewer?action=AUDIT_VALUE&amp;DB=129&amp;ID1=74727710&amp;VALUEID=02001&amp;SDATE=200402&amp;PERIODTYPE=QTR_STD&amp;SCFT=3&amp;window=popup_no_bar&amp;width=385&amp;height=120&amp;START_MAXIMIZED=FALSE&amp;creator=factset&amp;display_string=Audit"}</definedName>
    <definedName name="_2859__FDSAUDITLINK__" hidden="1">{"fdsup://Directions/FactSet Auditing Viewer?action=AUDIT_VALUE&amp;DB=129&amp;ID1=74727710&amp;VALUEID=02001&amp;SDATE=200402&amp;PERIODTYPE=QTR_STD&amp;SCFT=3&amp;window=popup_no_bar&amp;width=385&amp;height=120&amp;START_MAXIMIZED=FALSE&amp;creator=factset&amp;display_string=Audit"}</definedName>
    <definedName name="_286__FDSAUDITLINK__" localSheetId="7" hidden="1">{"fdsup://Directions/FactSet Auditing Viewer?action=AUDIT_VALUE&amp;DB=129&amp;ID1=00790310&amp;VALUEID=02001&amp;SDATE=201004&amp;PERIODTYPE=QTR_STD&amp;SCFT=3&amp;window=popup_no_bar&amp;width=385&amp;height=120&amp;START_MAXIMIZED=FALSE&amp;creator=factset&amp;display_string=Audit"}</definedName>
    <definedName name="_286__FDSAUDITLINK__" hidden="1">{"fdsup://Directions/FactSet Auditing Viewer?action=AUDIT_VALUE&amp;DB=129&amp;ID1=00790310&amp;VALUEID=02001&amp;SDATE=201004&amp;PERIODTYPE=QTR_STD&amp;SCFT=3&amp;window=popup_no_bar&amp;width=385&amp;height=120&amp;START_MAXIMIZED=FALSE&amp;creator=factset&amp;display_string=Audit"}</definedName>
    <definedName name="_2860__FDSAUDITLINK__" localSheetId="7" hidden="1">{"fdsup://Directions/FactSet Auditing Viewer?action=AUDIT_VALUE&amp;DB=129&amp;ID1=74727710&amp;VALUEID=02001&amp;SDATE=200402&amp;PERIODTYPE=QTR_STD&amp;SCFT=3&amp;window=popup_no_bar&amp;width=385&amp;height=120&amp;START_MAXIMIZED=FALSE&amp;creator=factset&amp;display_string=Audit"}</definedName>
    <definedName name="_2860__FDSAUDITLINK__" hidden="1">{"fdsup://Directions/FactSet Auditing Viewer?action=AUDIT_VALUE&amp;DB=129&amp;ID1=74727710&amp;VALUEID=02001&amp;SDATE=200402&amp;PERIODTYPE=QTR_STD&amp;SCFT=3&amp;window=popup_no_bar&amp;width=385&amp;height=120&amp;START_MAXIMIZED=FALSE&amp;creator=factset&amp;display_string=Audit"}</definedName>
    <definedName name="_2861__FDSAUDITLINK__" localSheetId="7" hidden="1">{"fdsup://Directions/FactSet Auditing Viewer?action=AUDIT_VALUE&amp;DB=129&amp;ID1=72581M30&amp;VALUEID=02001&amp;SDATE=200403&amp;PERIODTYPE=QTR_STD&amp;SCFT=3&amp;window=popup_no_bar&amp;width=385&amp;height=120&amp;START_MAXIMIZED=FALSE&amp;creator=factset&amp;display_string=Audit"}</definedName>
    <definedName name="_2861__FDSAUDITLINK__" hidden="1">{"fdsup://Directions/FactSet Auditing Viewer?action=AUDIT_VALUE&amp;DB=129&amp;ID1=72581M30&amp;VALUEID=02001&amp;SDATE=200403&amp;PERIODTYPE=QTR_STD&amp;SCFT=3&amp;window=popup_no_bar&amp;width=385&amp;height=120&amp;START_MAXIMIZED=FALSE&amp;creator=factset&amp;display_string=Audit"}</definedName>
    <definedName name="_2862__FDSAUDITLINK__" localSheetId="7" hidden="1">{"fdsup://Directions/FactSet Auditing Viewer?action=AUDIT_VALUE&amp;DB=129&amp;ID1=72581M30&amp;VALUEID=02001&amp;SDATE=200403&amp;PERIODTYPE=QTR_STD&amp;SCFT=3&amp;window=popup_no_bar&amp;width=385&amp;height=120&amp;START_MAXIMIZED=FALSE&amp;creator=factset&amp;display_string=Audit"}</definedName>
    <definedName name="_2862__FDSAUDITLINK__" hidden="1">{"fdsup://Directions/FactSet Auditing Viewer?action=AUDIT_VALUE&amp;DB=129&amp;ID1=72581M30&amp;VALUEID=02001&amp;SDATE=200403&amp;PERIODTYPE=QTR_STD&amp;SCFT=3&amp;window=popup_no_bar&amp;width=385&amp;height=120&amp;START_MAXIMIZED=FALSE&amp;creator=factset&amp;display_string=Audit"}</definedName>
    <definedName name="_2863__FDSAUDITLINK__" localSheetId="7" hidden="1">{"fdsup://Directions/FactSet Auditing Viewer?action=AUDIT_VALUE&amp;DB=129&amp;ID1=73927610&amp;VALUEID=02001&amp;SDATE=200403&amp;PERIODTYPE=QTR_STD&amp;SCFT=3&amp;window=popup_no_bar&amp;width=385&amp;height=120&amp;START_MAXIMIZED=FALSE&amp;creator=factset&amp;display_string=Audit"}</definedName>
    <definedName name="_2863__FDSAUDITLINK__" hidden="1">{"fdsup://Directions/FactSet Auditing Viewer?action=AUDIT_VALUE&amp;DB=129&amp;ID1=73927610&amp;VALUEID=02001&amp;SDATE=200403&amp;PERIODTYPE=QTR_STD&amp;SCFT=3&amp;window=popup_no_bar&amp;width=385&amp;height=120&amp;START_MAXIMIZED=FALSE&amp;creator=factset&amp;display_string=Audit"}</definedName>
    <definedName name="_2864__FDSAUDITLINK__" localSheetId="7" hidden="1">{"fdsup://Directions/FactSet Auditing Viewer?action=AUDIT_VALUE&amp;DB=129&amp;ID1=73927610&amp;VALUEID=02001&amp;SDATE=200403&amp;PERIODTYPE=QTR_STD&amp;SCFT=3&amp;window=popup_no_bar&amp;width=385&amp;height=120&amp;START_MAXIMIZED=FALSE&amp;creator=factset&amp;display_string=Audit"}</definedName>
    <definedName name="_2864__FDSAUDITLINK__" hidden="1">{"fdsup://Directions/FactSet Auditing Viewer?action=AUDIT_VALUE&amp;DB=129&amp;ID1=73927610&amp;VALUEID=02001&amp;SDATE=200403&amp;PERIODTYPE=QTR_STD&amp;SCFT=3&amp;window=popup_no_bar&amp;width=385&amp;height=120&amp;START_MAXIMIZED=FALSE&amp;creator=factset&amp;display_string=Audit"}</definedName>
    <definedName name="_2865__FDSAUDITLINK__" localSheetId="7" hidden="1">{"fdsup://Directions/FactSet Auditing Viewer?action=AUDIT_VALUE&amp;DB=129&amp;ID1=69344F10&amp;VALUEID=02001&amp;SDATE=200403&amp;PERIODTYPE=QTR_STD&amp;SCFT=3&amp;window=popup_no_bar&amp;width=385&amp;height=120&amp;START_MAXIMIZED=FALSE&amp;creator=factset&amp;display_string=Audit"}</definedName>
    <definedName name="_2865__FDSAUDITLINK__" hidden="1">{"fdsup://Directions/FactSet Auditing Viewer?action=AUDIT_VALUE&amp;DB=129&amp;ID1=69344F10&amp;VALUEID=02001&amp;SDATE=200403&amp;PERIODTYPE=QTR_STD&amp;SCFT=3&amp;window=popup_no_bar&amp;width=385&amp;height=120&amp;START_MAXIMIZED=FALSE&amp;creator=factset&amp;display_string=Audit"}</definedName>
    <definedName name="_2866__FDSAUDITLINK__" localSheetId="7" hidden="1">{"fdsup://Directions/FactSet Auditing Viewer?action=AUDIT_VALUE&amp;DB=129&amp;ID1=69344F10&amp;VALUEID=02001&amp;SDATE=200403&amp;PERIODTYPE=QTR_STD&amp;SCFT=3&amp;window=popup_no_bar&amp;width=385&amp;height=120&amp;START_MAXIMIZED=FALSE&amp;creator=factset&amp;display_string=Audit"}</definedName>
    <definedName name="_2866__FDSAUDITLINK__" hidden="1">{"fdsup://Directions/FactSet Auditing Viewer?action=AUDIT_VALUE&amp;DB=129&amp;ID1=69344F10&amp;VALUEID=02001&amp;SDATE=200403&amp;PERIODTYPE=QTR_STD&amp;SCFT=3&amp;window=popup_no_bar&amp;width=385&amp;height=120&amp;START_MAXIMIZED=FALSE&amp;creator=factset&amp;display_string=Audit"}</definedName>
    <definedName name="_2867__FDSAUDITLINK__" localSheetId="7" hidden="1">{"fdsup://Directions/FactSet Auditing Viewer?action=AUDIT_VALUE&amp;DB=129&amp;ID1=69341710&amp;VALUEID=02001&amp;SDATE=200403&amp;PERIODTYPE=QTR_STD&amp;SCFT=3&amp;window=popup_no_bar&amp;width=385&amp;height=120&amp;START_MAXIMIZED=FALSE&amp;creator=factset&amp;display_string=Audit"}</definedName>
    <definedName name="_2867__FDSAUDITLINK__" hidden="1">{"fdsup://Directions/FactSet Auditing Viewer?action=AUDIT_VALUE&amp;DB=129&amp;ID1=69341710&amp;VALUEID=02001&amp;SDATE=200403&amp;PERIODTYPE=QTR_STD&amp;SCFT=3&amp;window=popup_no_bar&amp;width=385&amp;height=120&amp;START_MAXIMIZED=FALSE&amp;creator=factset&amp;display_string=Audit"}</definedName>
    <definedName name="_2868__FDSAUDITLINK__" localSheetId="7" hidden="1">{"fdsup://Directions/FactSet Auditing Viewer?action=AUDIT_VALUE&amp;DB=129&amp;ID1=69341710&amp;VALUEID=02001&amp;SDATE=200403&amp;PERIODTYPE=QTR_STD&amp;SCFT=3&amp;window=popup_no_bar&amp;width=385&amp;height=120&amp;START_MAXIMIZED=FALSE&amp;creator=factset&amp;display_string=Audit"}</definedName>
    <definedName name="_2868__FDSAUDITLINK__" hidden="1">{"fdsup://Directions/FactSet Auditing Viewer?action=AUDIT_VALUE&amp;DB=129&amp;ID1=69341710&amp;VALUEID=02001&amp;SDATE=200403&amp;PERIODTYPE=QTR_STD&amp;SCFT=3&amp;window=popup_no_bar&amp;width=385&amp;height=120&amp;START_MAXIMIZED=FALSE&amp;creator=factset&amp;display_string=Audit"}</definedName>
    <definedName name="_2869__FDSAUDITLINK__" localSheetId="7" hidden="1">{"fdsup://Directions/FactSet Auditing Viewer?action=AUDIT_VALUE&amp;DB=129&amp;ID1=68218910&amp;VALUEID=02001&amp;SDATE=200403&amp;PERIODTYPE=QTR_STD&amp;SCFT=3&amp;window=popup_no_bar&amp;width=385&amp;height=120&amp;START_MAXIMIZED=FALSE&amp;creator=factset&amp;display_string=Audit"}</definedName>
    <definedName name="_2869__FDSAUDITLINK__" hidden="1">{"fdsup://Directions/FactSet Auditing Viewer?action=AUDIT_VALUE&amp;DB=129&amp;ID1=68218910&amp;VALUEID=02001&amp;SDATE=200403&amp;PERIODTYPE=QTR_STD&amp;SCFT=3&amp;window=popup_no_bar&amp;width=385&amp;height=120&amp;START_MAXIMIZED=FALSE&amp;creator=factset&amp;display_string=Audit"}</definedName>
    <definedName name="_287__FDSAUDITLINK__" localSheetId="7" hidden="1">{"fdsup://Directions/FactSet Auditing Viewer?action=AUDIT_VALUE&amp;DB=129&amp;ID1=03822W40&amp;VALUEID=02001&amp;SDATE=201003&amp;PERIODTYPE=QTR_STD&amp;SCFT=3&amp;window=popup_no_bar&amp;width=385&amp;height=120&amp;START_MAXIMIZED=FALSE&amp;creator=factset&amp;display_string=Audit"}</definedName>
    <definedName name="_287__FDSAUDITLINK__" hidden="1">{"fdsup://Directions/FactSet Auditing Viewer?action=AUDIT_VALUE&amp;DB=129&amp;ID1=03822W40&amp;VALUEID=02001&amp;SDATE=201003&amp;PERIODTYPE=QTR_STD&amp;SCFT=3&amp;window=popup_no_bar&amp;width=385&amp;height=120&amp;START_MAXIMIZED=FALSE&amp;creator=factset&amp;display_string=Audit"}</definedName>
    <definedName name="_2870__FDSAUDITLINK__" localSheetId="7" hidden="1">{"fdsup://Directions/FactSet Auditing Viewer?action=AUDIT_VALUE&amp;DB=129&amp;ID1=68218910&amp;VALUEID=02001&amp;SDATE=200403&amp;PERIODTYPE=QTR_STD&amp;SCFT=3&amp;window=popup_no_bar&amp;width=385&amp;height=120&amp;START_MAXIMIZED=FALSE&amp;creator=factset&amp;display_string=Audit"}</definedName>
    <definedName name="_2870__FDSAUDITLINK__" hidden="1">{"fdsup://Directions/FactSet Auditing Viewer?action=AUDIT_VALUE&amp;DB=129&amp;ID1=68218910&amp;VALUEID=02001&amp;SDATE=200403&amp;PERIODTYPE=QTR_STD&amp;SCFT=3&amp;window=popup_no_bar&amp;width=385&amp;height=120&amp;START_MAXIMIZED=FALSE&amp;creator=factset&amp;display_string=Audit"}</definedName>
    <definedName name="_2871__FDSAUDITLINK__" localSheetId="7" hidden="1">{"fdsup://Directions/FactSet Auditing Viewer?action=AUDIT_VALUE&amp;DB=129&amp;ID1=67000810&amp;VALUEID=02001&amp;SDATE=200403&amp;PERIODTYPE=QTR_STD&amp;SCFT=3&amp;window=popup_no_bar&amp;width=385&amp;height=120&amp;START_MAXIMIZED=FALSE&amp;creator=factset&amp;display_string=Audit"}</definedName>
    <definedName name="_2871__FDSAUDITLINK__" hidden="1">{"fdsup://Directions/FactSet Auditing Viewer?action=AUDIT_VALUE&amp;DB=129&amp;ID1=67000810&amp;VALUEID=02001&amp;SDATE=200403&amp;PERIODTYPE=QTR_STD&amp;SCFT=3&amp;window=popup_no_bar&amp;width=385&amp;height=120&amp;START_MAXIMIZED=FALSE&amp;creator=factset&amp;display_string=Audit"}</definedName>
    <definedName name="_2872__FDSAUDITLINK__" localSheetId="7" hidden="1">{"fdsup://Directions/FactSet Auditing Viewer?action=AUDIT_VALUE&amp;DB=129&amp;ID1=67000810&amp;VALUEID=02001&amp;SDATE=200403&amp;PERIODTYPE=QTR_STD&amp;SCFT=3&amp;window=popup_no_bar&amp;width=385&amp;height=120&amp;START_MAXIMIZED=FALSE&amp;creator=factset&amp;display_string=Audit"}</definedName>
    <definedName name="_2872__FDSAUDITLINK__" hidden="1">{"fdsup://Directions/FactSet Auditing Viewer?action=AUDIT_VALUE&amp;DB=129&amp;ID1=67000810&amp;VALUEID=02001&amp;SDATE=200403&amp;PERIODTYPE=QTR_STD&amp;SCFT=3&amp;window=popup_no_bar&amp;width=385&amp;height=120&amp;START_MAXIMIZED=FALSE&amp;creator=factset&amp;display_string=Audit"}</definedName>
    <definedName name="_2873__FDSAUDITLINK__" localSheetId="7" hidden="1">{"fdsup://Directions/FactSet Auditing Viewer?action=AUDIT_VALUE&amp;DB=129&amp;ID1=67066G10&amp;VALUEID=02001&amp;SDATE=200403&amp;PERIODTYPE=QTR_STD&amp;SCFT=3&amp;window=popup_no_bar&amp;width=385&amp;height=120&amp;START_MAXIMIZED=FALSE&amp;creator=factset&amp;display_string=Audit"}</definedName>
    <definedName name="_2873__FDSAUDITLINK__" hidden="1">{"fdsup://Directions/FactSet Auditing Viewer?action=AUDIT_VALUE&amp;DB=129&amp;ID1=67066G10&amp;VALUEID=02001&amp;SDATE=200403&amp;PERIODTYPE=QTR_STD&amp;SCFT=3&amp;window=popup_no_bar&amp;width=385&amp;height=120&amp;START_MAXIMIZED=FALSE&amp;creator=factset&amp;display_string=Audit"}</definedName>
    <definedName name="_2874__FDSAUDITLINK__" localSheetId="7" hidden="1">{"fdsup://Directions/FactSet Auditing Viewer?action=AUDIT_VALUE&amp;DB=129&amp;ID1=67066G10&amp;VALUEID=02001&amp;SDATE=200403&amp;PERIODTYPE=QTR_STD&amp;SCFT=3&amp;window=popup_no_bar&amp;width=385&amp;height=120&amp;START_MAXIMIZED=FALSE&amp;creator=factset&amp;display_string=Audit"}</definedName>
    <definedName name="_2874__FDSAUDITLINK__" hidden="1">{"fdsup://Directions/FactSet Auditing Viewer?action=AUDIT_VALUE&amp;DB=129&amp;ID1=67066G10&amp;VALUEID=02001&amp;SDATE=200403&amp;PERIODTYPE=QTR_STD&amp;SCFT=3&amp;window=popup_no_bar&amp;width=385&amp;height=120&amp;START_MAXIMIZED=FALSE&amp;creator=factset&amp;display_string=Audit"}</definedName>
    <definedName name="_2875__FDSAUDITLINK__" localSheetId="7" hidden="1">{"fdsup://Directions/FactSet Auditing Viewer?action=AUDIT_VALUE&amp;DB=129&amp;ID1=63764010&amp;VALUEID=02001&amp;SDATE=200401&amp;PERIODTYPE=QTR_STD&amp;SCFT=3&amp;window=popup_no_bar&amp;width=385&amp;height=120&amp;START_MAXIMIZED=FALSE&amp;creator=factset&amp;display_string=Audit"}</definedName>
    <definedName name="_2875__FDSAUDITLINK__" hidden="1">{"fdsup://Directions/FactSet Auditing Viewer?action=AUDIT_VALUE&amp;DB=129&amp;ID1=63764010&amp;VALUEID=02001&amp;SDATE=200401&amp;PERIODTYPE=QTR_STD&amp;SCFT=3&amp;window=popup_no_bar&amp;width=385&amp;height=120&amp;START_MAXIMIZED=FALSE&amp;creator=factset&amp;display_string=Audit"}</definedName>
    <definedName name="_2876__FDSAUDITLINK__" localSheetId="7" hidden="1">{"fdsup://Directions/FactSet Auditing Viewer?action=AUDIT_VALUE&amp;DB=129&amp;ID1=63764010&amp;VALUEID=02001&amp;SDATE=200401&amp;PERIODTYPE=QTR_STD&amp;SCFT=3&amp;window=popup_no_bar&amp;width=385&amp;height=120&amp;START_MAXIMIZED=FALSE&amp;creator=factset&amp;display_string=Audit"}</definedName>
    <definedName name="_2876__FDSAUDITLINK__" hidden="1">{"fdsup://Directions/FactSet Auditing Viewer?action=AUDIT_VALUE&amp;DB=129&amp;ID1=63764010&amp;VALUEID=02001&amp;SDATE=200401&amp;PERIODTYPE=QTR_STD&amp;SCFT=3&amp;window=popup_no_bar&amp;width=385&amp;height=120&amp;START_MAXIMIZED=FALSE&amp;creator=factset&amp;display_string=Audit"}</definedName>
    <definedName name="_2877__FDSAUDITLINK__" localSheetId="7" hidden="1">{"fdsup://Directions/FactSet Auditing Viewer?action=AUDIT_VALUE&amp;DB=129&amp;ID1=64118B10&amp;VALUEID=02001&amp;SDATE=200403&amp;PERIODTYPE=QTR_STD&amp;SCFT=3&amp;window=popup_no_bar&amp;width=385&amp;height=120&amp;START_MAXIMIZED=FALSE&amp;creator=factset&amp;display_string=Audit"}</definedName>
    <definedName name="_2877__FDSAUDITLINK__" hidden="1">{"fdsup://Directions/FactSet Auditing Viewer?action=AUDIT_VALUE&amp;DB=129&amp;ID1=64118B10&amp;VALUEID=02001&amp;SDATE=200403&amp;PERIODTYPE=QTR_STD&amp;SCFT=3&amp;window=popup_no_bar&amp;width=385&amp;height=120&amp;START_MAXIMIZED=FALSE&amp;creator=factset&amp;display_string=Audit"}</definedName>
    <definedName name="_2878__FDSAUDITLINK__" localSheetId="7" hidden="1">{"fdsup://Directions/FactSet Auditing Viewer?action=AUDIT_VALUE&amp;DB=129&amp;ID1=64118B10&amp;VALUEID=02001&amp;SDATE=200403&amp;PERIODTYPE=QTR_STD&amp;SCFT=3&amp;window=popup_no_bar&amp;width=385&amp;height=120&amp;START_MAXIMIZED=FALSE&amp;creator=factset&amp;display_string=Audit"}</definedName>
    <definedName name="_2878__FDSAUDITLINK__" hidden="1">{"fdsup://Directions/FactSet Auditing Viewer?action=AUDIT_VALUE&amp;DB=129&amp;ID1=64118B10&amp;VALUEID=02001&amp;SDATE=200403&amp;PERIODTYPE=QTR_STD&amp;SCFT=3&amp;window=popup_no_bar&amp;width=385&amp;height=120&amp;START_MAXIMIZED=FALSE&amp;creator=factset&amp;display_string=Audit"}</definedName>
    <definedName name="_2879__FDSAUDITLINK__" localSheetId="7" hidden="1">{"fdsup://Directions/FactSet Auditing Viewer?action=AUDIT_VALUE&amp;DB=129&amp;ID1=57772K10&amp;VALUEID=02001&amp;SDATE=200501&amp;PERIODTYPE=QTR_STD&amp;SCFT=3&amp;window=popup_no_bar&amp;width=385&amp;height=120&amp;START_MAXIMIZED=FALSE&amp;creator=factset&amp;display_string=Audit"}</definedName>
    <definedName name="_2879__FDSAUDITLINK__" hidden="1">{"fdsup://Directions/FactSet Auditing Viewer?action=AUDIT_VALUE&amp;DB=129&amp;ID1=57772K10&amp;VALUEID=02001&amp;SDATE=200501&amp;PERIODTYPE=QTR_STD&amp;SCFT=3&amp;window=popup_no_bar&amp;width=385&amp;height=120&amp;START_MAXIMIZED=FALSE&amp;creator=factset&amp;display_string=Audit"}</definedName>
    <definedName name="_288__FDSAUDITLINK__" localSheetId="7" hidden="1">{"fdsup://Directions/FactSet Auditing Viewer?action=AUDIT_VALUE&amp;DB=129&amp;ID1=03822W40&amp;VALUEID=02001&amp;SDATE=201003&amp;PERIODTYPE=QTR_STD&amp;SCFT=3&amp;window=popup_no_bar&amp;width=385&amp;height=120&amp;START_MAXIMIZED=FALSE&amp;creator=factset&amp;display_string=Audit"}</definedName>
    <definedName name="_288__FDSAUDITLINK__" hidden="1">{"fdsup://Directions/FactSet Auditing Viewer?action=AUDIT_VALUE&amp;DB=129&amp;ID1=03822W40&amp;VALUEID=02001&amp;SDATE=201003&amp;PERIODTYPE=QTR_STD&amp;SCFT=3&amp;window=popup_no_bar&amp;width=385&amp;height=120&amp;START_MAXIMIZED=FALSE&amp;creator=factset&amp;display_string=Audit"}</definedName>
    <definedName name="_2880__FDSAUDITLINK__" localSheetId="7" hidden="1">{"fdsup://Directions/FactSet Auditing Viewer?action=AUDIT_VALUE&amp;DB=129&amp;ID1=57772K10&amp;VALUEID=02001&amp;SDATE=200501&amp;PERIODTYPE=QTR_STD&amp;SCFT=3&amp;window=popup_no_bar&amp;width=385&amp;height=120&amp;START_MAXIMIZED=FALSE&amp;creator=factset&amp;display_string=Audit"}</definedName>
    <definedName name="_2880__FDSAUDITLINK__" hidden="1">{"fdsup://Directions/FactSet Auditing Viewer?action=AUDIT_VALUE&amp;DB=129&amp;ID1=57772K10&amp;VALUEID=02001&amp;SDATE=200501&amp;PERIODTYPE=QTR_STD&amp;SCFT=3&amp;window=popup_no_bar&amp;width=385&amp;height=120&amp;START_MAXIMIZED=FALSE&amp;creator=factset&amp;display_string=Audit"}</definedName>
    <definedName name="_2881__FDSAUDITLINK__" localSheetId="7" hidden="1">{"fdsup://Directions/FactSet Auditing Viewer?action=AUDIT_VALUE&amp;DB=129&amp;ID1=G5876H10&amp;VALUEID=02001&amp;SDATE=200403&amp;PERIODTYPE=QTR_STD&amp;SCFT=3&amp;window=popup_no_bar&amp;width=385&amp;height=120&amp;START_MAXIMIZED=FALSE&amp;creator=factset&amp;display_string=Audit"}</definedName>
    <definedName name="_2881__FDSAUDITLINK__" hidden="1">{"fdsup://Directions/FactSet Auditing Viewer?action=AUDIT_VALUE&amp;DB=129&amp;ID1=G5876H10&amp;VALUEID=02001&amp;SDATE=200403&amp;PERIODTYPE=QTR_STD&amp;SCFT=3&amp;window=popup_no_bar&amp;width=385&amp;height=120&amp;START_MAXIMIZED=FALSE&amp;creator=factset&amp;display_string=Audit"}</definedName>
    <definedName name="_2882__FDSAUDITLINK__" localSheetId="7" hidden="1">{"fdsup://Directions/FactSet Auditing Viewer?action=AUDIT_VALUE&amp;DB=129&amp;ID1=G5876H10&amp;VALUEID=02001&amp;SDATE=200403&amp;PERIODTYPE=QTR_STD&amp;SCFT=3&amp;window=popup_no_bar&amp;width=385&amp;height=120&amp;START_MAXIMIZED=FALSE&amp;creator=factset&amp;display_string=Audit"}</definedName>
    <definedName name="_2882__FDSAUDITLINK__" hidden="1">{"fdsup://Directions/FactSet Auditing Viewer?action=AUDIT_VALUE&amp;DB=129&amp;ID1=G5876H10&amp;VALUEID=02001&amp;SDATE=200403&amp;PERIODTYPE=QTR_STD&amp;SCFT=3&amp;window=popup_no_bar&amp;width=385&amp;height=120&amp;START_MAXIMIZED=FALSE&amp;creator=factset&amp;display_string=Audit"}</definedName>
    <definedName name="_2883__FDSAUDITLINK__" localSheetId="7" hidden="1">{"fdsup://Directions/FactSet Auditing Viewer?action=AUDIT_VALUE&amp;DB=129&amp;ID1=62007630&amp;VALUEID=02001&amp;SDATE=200403&amp;PERIODTYPE=QTR_STD&amp;SCFT=3&amp;window=popup_no_bar&amp;width=385&amp;height=120&amp;START_MAXIMIZED=FALSE&amp;creator=factset&amp;display_string=Audit"}</definedName>
    <definedName name="_2883__FDSAUDITLINK__" hidden="1">{"fdsup://Directions/FactSet Auditing Viewer?action=AUDIT_VALUE&amp;DB=129&amp;ID1=62007630&amp;VALUEID=02001&amp;SDATE=200403&amp;PERIODTYPE=QTR_STD&amp;SCFT=3&amp;window=popup_no_bar&amp;width=385&amp;height=120&amp;START_MAXIMIZED=FALSE&amp;creator=factset&amp;display_string=Audit"}</definedName>
    <definedName name="_2884__FDSAUDITLINK__" localSheetId="7" hidden="1">{"fdsup://Directions/FactSet Auditing Viewer?action=AUDIT_VALUE&amp;DB=129&amp;ID1=62007630&amp;VALUEID=02001&amp;SDATE=200403&amp;PERIODTYPE=QTR_STD&amp;SCFT=3&amp;window=popup_no_bar&amp;width=385&amp;height=120&amp;START_MAXIMIZED=FALSE&amp;creator=factset&amp;display_string=Audit"}</definedName>
    <definedName name="_2884__FDSAUDITLINK__" hidden="1">{"fdsup://Directions/FactSet Auditing Viewer?action=AUDIT_VALUE&amp;DB=129&amp;ID1=62007630&amp;VALUEID=02001&amp;SDATE=200403&amp;PERIODTYPE=QTR_STD&amp;SCFT=3&amp;window=popup_no_bar&amp;width=385&amp;height=120&amp;START_MAXIMIZED=FALSE&amp;creator=factset&amp;display_string=Audit"}</definedName>
    <definedName name="_2885__FDSAUDITLINK__" localSheetId="7" hidden="1">{"fdsup://Directions/FactSet Auditing Viewer?action=AUDIT_VALUE&amp;DB=129&amp;ID1=60456710&amp;VALUEID=02001&amp;SDATE=200501&amp;PERIODTYPE=QTR_STD&amp;SCFT=3&amp;window=popup_no_bar&amp;width=385&amp;height=120&amp;START_MAXIMIZED=FALSE&amp;creator=factset&amp;display_string=Audit"}</definedName>
    <definedName name="_2885__FDSAUDITLINK__" hidden="1">{"fdsup://Directions/FactSet Auditing Viewer?action=AUDIT_VALUE&amp;DB=129&amp;ID1=60456710&amp;VALUEID=02001&amp;SDATE=200501&amp;PERIODTYPE=QTR_STD&amp;SCFT=3&amp;window=popup_no_bar&amp;width=385&amp;height=120&amp;START_MAXIMIZED=FALSE&amp;creator=factset&amp;display_string=Audit"}</definedName>
    <definedName name="_2886__FDSAUDITLINK__" localSheetId="7" hidden="1">{"fdsup://Directions/FactSet Auditing Viewer?action=AUDIT_VALUE&amp;DB=129&amp;ID1=60456710&amp;VALUEID=02001&amp;SDATE=200501&amp;PERIODTYPE=QTR_STD&amp;SCFT=3&amp;window=popup_no_bar&amp;width=385&amp;height=120&amp;START_MAXIMIZED=FALSE&amp;creator=factset&amp;display_string=Audit"}</definedName>
    <definedName name="_2886__FDSAUDITLINK__" hidden="1">{"fdsup://Directions/FactSet Auditing Viewer?action=AUDIT_VALUE&amp;DB=129&amp;ID1=60456710&amp;VALUEID=02001&amp;SDATE=200501&amp;PERIODTYPE=QTR_STD&amp;SCFT=3&amp;window=popup_no_bar&amp;width=385&amp;height=120&amp;START_MAXIMIZED=FALSE&amp;creator=factset&amp;display_string=Audit"}</definedName>
    <definedName name="_2887__FDSAUDITLINK__" localSheetId="7" hidden="1">{"fdsup://Directions/FactSet Auditing Viewer?action=AUDIT_VALUE&amp;DB=129&amp;ID1=59479310&amp;VALUEID=02001&amp;SDATE=200403&amp;PERIODTYPE=QTR_STD&amp;SCFT=3&amp;window=popup_no_bar&amp;width=385&amp;height=120&amp;START_MAXIMIZED=FALSE&amp;creator=factset&amp;display_string=Audit"}</definedName>
    <definedName name="_2887__FDSAUDITLINK__" hidden="1">{"fdsup://Directions/FactSet Auditing Viewer?action=AUDIT_VALUE&amp;DB=129&amp;ID1=59479310&amp;VALUEID=02001&amp;SDATE=200403&amp;PERIODTYPE=QTR_STD&amp;SCFT=3&amp;window=popup_no_bar&amp;width=385&amp;height=120&amp;START_MAXIMIZED=FALSE&amp;creator=factset&amp;display_string=Audit"}</definedName>
    <definedName name="_2888__FDSAUDITLINK__" localSheetId="7" hidden="1">{"fdsup://Directions/FactSet Auditing Viewer?action=AUDIT_VALUE&amp;DB=129&amp;ID1=59479310&amp;VALUEID=02001&amp;SDATE=200403&amp;PERIODTYPE=QTR_STD&amp;SCFT=3&amp;window=popup_no_bar&amp;width=385&amp;height=120&amp;START_MAXIMIZED=FALSE&amp;creator=factset&amp;display_string=Audit"}</definedName>
    <definedName name="_2888__FDSAUDITLINK__" hidden="1">{"fdsup://Directions/FactSet Auditing Viewer?action=AUDIT_VALUE&amp;DB=129&amp;ID1=59479310&amp;VALUEID=02001&amp;SDATE=200403&amp;PERIODTYPE=QTR_STD&amp;SCFT=3&amp;window=popup_no_bar&amp;width=385&amp;height=120&amp;START_MAXIMIZED=FALSE&amp;creator=factset&amp;display_string=Audit"}</definedName>
    <definedName name="_2889__FDSAUDITLINK__" localSheetId="7" hidden="1">{"fdsup://Directions/FactSet Auditing Viewer?action=AUDIT_VALUE&amp;DB=129&amp;ID1=59501710&amp;VALUEID=02001&amp;SDATE=200402&amp;PERIODTYPE=QTR_STD&amp;SCFT=3&amp;window=popup_no_bar&amp;width=385&amp;height=120&amp;START_MAXIMIZED=FALSE&amp;creator=factset&amp;display_string=Audit"}</definedName>
    <definedName name="_2889__FDSAUDITLINK__" hidden="1">{"fdsup://Directions/FactSet Auditing Viewer?action=AUDIT_VALUE&amp;DB=129&amp;ID1=59501710&amp;VALUEID=02001&amp;SDATE=200402&amp;PERIODTYPE=QTR_STD&amp;SCFT=3&amp;window=popup_no_bar&amp;width=385&amp;height=120&amp;START_MAXIMIZED=FALSE&amp;creator=factset&amp;display_string=Audit"}</definedName>
    <definedName name="_289__FDSAUDITLINK__" localSheetId="7" hidden="1">{"fdsup://Directions/FactSet Auditing Viewer?action=AUDIT_VALUE&amp;DB=129&amp;ID1=03822210&amp;VALUEID=02001&amp;SDATE=201101&amp;PERIODTYPE=QTR_STD&amp;SCFT=3&amp;window=popup_no_bar&amp;width=385&amp;height=120&amp;START_MAXIMIZED=FALSE&amp;creator=factset&amp;display_string=Audit"}</definedName>
    <definedName name="_289__FDSAUDITLINK__" hidden="1">{"fdsup://Directions/FactSet Auditing Viewer?action=AUDIT_VALUE&amp;DB=129&amp;ID1=03822210&amp;VALUEID=02001&amp;SDATE=201101&amp;PERIODTYPE=QTR_STD&amp;SCFT=3&amp;window=popup_no_bar&amp;width=385&amp;height=120&amp;START_MAXIMIZED=FALSE&amp;creator=factset&amp;display_string=Audit"}</definedName>
    <definedName name="_2890__FDSAUDITLINK__" localSheetId="7" hidden="1">{"fdsup://Directions/FactSet Auditing Viewer?action=AUDIT_VALUE&amp;DB=129&amp;ID1=59501710&amp;VALUEID=02001&amp;SDATE=200402&amp;PERIODTYPE=QTR_STD&amp;SCFT=3&amp;window=popup_no_bar&amp;width=385&amp;height=120&amp;START_MAXIMIZED=FALSE&amp;creator=factset&amp;display_string=Audit"}</definedName>
    <definedName name="_2890__FDSAUDITLINK__" hidden="1">{"fdsup://Directions/FactSet Auditing Viewer?action=AUDIT_VALUE&amp;DB=129&amp;ID1=59501710&amp;VALUEID=02001&amp;SDATE=200402&amp;PERIODTYPE=QTR_STD&amp;SCFT=3&amp;window=popup_no_bar&amp;width=385&amp;height=120&amp;START_MAXIMIZED=FALSE&amp;creator=factset&amp;display_string=Audit"}</definedName>
    <definedName name="_2891__FDSAUDITLINK__" localSheetId="7" hidden="1">{"fdsup://Directions/FactSet Auditing Viewer?action=AUDIT_VALUE&amp;DB=129&amp;ID1=50216110&amp;VALUEID=02001&amp;SDATE=200403&amp;PERIODTYPE=QTR_STD&amp;SCFT=3&amp;window=popup_no_bar&amp;width=385&amp;height=120&amp;START_MAXIMIZED=FALSE&amp;creator=factset&amp;display_string=Audit"}</definedName>
    <definedName name="_2891__FDSAUDITLINK__" hidden="1">{"fdsup://Directions/FactSet Auditing Viewer?action=AUDIT_VALUE&amp;DB=129&amp;ID1=50216110&amp;VALUEID=02001&amp;SDATE=200403&amp;PERIODTYPE=QTR_STD&amp;SCFT=3&amp;window=popup_no_bar&amp;width=385&amp;height=120&amp;START_MAXIMIZED=FALSE&amp;creator=factset&amp;display_string=Audit"}</definedName>
    <definedName name="_2892__FDSAUDITLINK__" localSheetId="7" hidden="1">{"fdsup://Directions/FactSet Auditing Viewer?action=AUDIT_VALUE&amp;DB=129&amp;ID1=50216110&amp;VALUEID=02001&amp;SDATE=200403&amp;PERIODTYPE=QTR_STD&amp;SCFT=3&amp;window=popup_no_bar&amp;width=385&amp;height=120&amp;START_MAXIMIZED=FALSE&amp;creator=factset&amp;display_string=Audit"}</definedName>
    <definedName name="_2892__FDSAUDITLINK__" hidden="1">{"fdsup://Directions/FactSet Auditing Viewer?action=AUDIT_VALUE&amp;DB=129&amp;ID1=50216110&amp;VALUEID=02001&amp;SDATE=200403&amp;PERIODTYPE=QTR_STD&amp;SCFT=3&amp;window=popup_no_bar&amp;width=385&amp;height=120&amp;START_MAXIMIZED=FALSE&amp;creator=factset&amp;display_string=Audit"}</definedName>
    <definedName name="_2893__FDSAUDITLINK__" localSheetId="7" hidden="1">{"fdsup://Directions/FactSet Auditing Viewer?action=AUDIT_VALUE&amp;DB=129&amp;ID1=51841510&amp;VALUEID=02001&amp;SDATE=200403&amp;PERIODTYPE=QTR_STD&amp;SCFT=3&amp;window=popup_no_bar&amp;width=385&amp;height=120&amp;START_MAXIMIZED=FALSE&amp;creator=factset&amp;display_string=Audit"}</definedName>
    <definedName name="_2893__FDSAUDITLINK__" hidden="1">{"fdsup://Directions/FactSet Auditing Viewer?action=AUDIT_VALUE&amp;DB=129&amp;ID1=51841510&amp;VALUEID=02001&amp;SDATE=200403&amp;PERIODTYPE=QTR_STD&amp;SCFT=3&amp;window=popup_no_bar&amp;width=385&amp;height=120&amp;START_MAXIMIZED=FALSE&amp;creator=factset&amp;display_string=Audit"}</definedName>
    <definedName name="_2894__FDSAUDITLINK__" localSheetId="7" hidden="1">{"fdsup://Directions/FactSet Auditing Viewer?action=AUDIT_VALUE&amp;DB=129&amp;ID1=51841510&amp;VALUEID=02001&amp;SDATE=200403&amp;PERIODTYPE=QTR_STD&amp;SCFT=3&amp;window=popup_no_bar&amp;width=385&amp;height=120&amp;START_MAXIMIZED=FALSE&amp;creator=factset&amp;display_string=Audit"}</definedName>
    <definedName name="_2894__FDSAUDITLINK__" hidden="1">{"fdsup://Directions/FactSet Auditing Viewer?action=AUDIT_VALUE&amp;DB=129&amp;ID1=51841510&amp;VALUEID=02001&amp;SDATE=200403&amp;PERIODTYPE=QTR_STD&amp;SCFT=3&amp;window=popup_no_bar&amp;width=385&amp;height=120&amp;START_MAXIMIZED=FALSE&amp;creator=factset&amp;display_string=Audit"}</definedName>
    <definedName name="_2895__FDSAUDITLINK__" localSheetId="7" hidden="1">{"fdsup://Directions/FactSet Auditing Viewer?action=AUDIT_VALUE&amp;DB=129&amp;ID1=51280710&amp;VALUEID=02001&amp;SDATE=200501&amp;PERIODTYPE=QTR_STD&amp;SCFT=3&amp;window=popup_no_bar&amp;width=385&amp;height=120&amp;START_MAXIMIZED=FALSE&amp;creator=factset&amp;display_string=Audit"}</definedName>
    <definedName name="_2895__FDSAUDITLINK__" hidden="1">{"fdsup://Directions/FactSet Auditing Viewer?action=AUDIT_VALUE&amp;DB=129&amp;ID1=51280710&amp;VALUEID=02001&amp;SDATE=200501&amp;PERIODTYPE=QTR_STD&amp;SCFT=3&amp;window=popup_no_bar&amp;width=385&amp;height=120&amp;START_MAXIMIZED=FALSE&amp;creator=factset&amp;display_string=Audit"}</definedName>
    <definedName name="_2896__FDSAUDITLINK__" localSheetId="7" hidden="1">{"fdsup://Directions/FactSet Auditing Viewer?action=AUDIT_VALUE&amp;DB=129&amp;ID1=51280710&amp;VALUEID=02001&amp;SDATE=200501&amp;PERIODTYPE=QTR_STD&amp;SCFT=3&amp;window=popup_no_bar&amp;width=385&amp;height=120&amp;START_MAXIMIZED=FALSE&amp;creator=factset&amp;display_string=Audit"}</definedName>
    <definedName name="_2896__FDSAUDITLINK__" hidden="1">{"fdsup://Directions/FactSet Auditing Viewer?action=AUDIT_VALUE&amp;DB=129&amp;ID1=51280710&amp;VALUEID=02001&amp;SDATE=200501&amp;PERIODTYPE=QTR_STD&amp;SCFT=3&amp;window=popup_no_bar&amp;width=385&amp;height=120&amp;START_MAXIMIZED=FALSE&amp;creator=factset&amp;display_string=Audit"}</definedName>
    <definedName name="_2897__FDSAUDITLINK__" localSheetId="7" hidden="1">{"fdsup://Directions/FactSet Auditing Viewer?action=AUDIT_VALUE&amp;DB=129&amp;ID1=53567810&amp;VALUEID=02001&amp;SDATE=200501&amp;PERIODTYPE=QTR_STD&amp;SCFT=3&amp;window=popup_no_bar&amp;width=385&amp;height=120&amp;START_MAXIMIZED=FALSE&amp;creator=factset&amp;display_string=Audit"}</definedName>
    <definedName name="_2897__FDSAUDITLINK__" hidden="1">{"fdsup://Directions/FactSet Auditing Viewer?action=AUDIT_VALUE&amp;DB=129&amp;ID1=53567810&amp;VALUEID=02001&amp;SDATE=200501&amp;PERIODTYPE=QTR_STD&amp;SCFT=3&amp;window=popup_no_bar&amp;width=385&amp;height=120&amp;START_MAXIMIZED=FALSE&amp;creator=factset&amp;display_string=Audit"}</definedName>
    <definedName name="_2898__FDSAUDITLINK__" localSheetId="7" hidden="1">{"fdsup://Directions/FactSet Auditing Viewer?action=AUDIT_VALUE&amp;DB=129&amp;ID1=53567810&amp;VALUEID=02001&amp;SDATE=200501&amp;PERIODTYPE=QTR_STD&amp;SCFT=3&amp;window=popup_no_bar&amp;width=385&amp;height=120&amp;START_MAXIMIZED=FALSE&amp;creator=factset&amp;display_string=Audit"}</definedName>
    <definedName name="_2898__FDSAUDITLINK__" hidden="1">{"fdsup://Directions/FactSet Auditing Viewer?action=AUDIT_VALUE&amp;DB=129&amp;ID1=53567810&amp;VALUEID=02001&amp;SDATE=200501&amp;PERIODTYPE=QTR_STD&amp;SCFT=3&amp;window=popup_no_bar&amp;width=385&amp;height=120&amp;START_MAXIMIZED=FALSE&amp;creator=factset&amp;display_string=Audit"}</definedName>
    <definedName name="_2899__FDSAUDITLINK__" localSheetId="7" hidden="1">{"fdsup://Directions/FactSet Auditing Viewer?action=AUDIT_VALUE&amp;DB=129&amp;ID1=48248010&amp;VALUEID=02001&amp;SDATE=200501&amp;PERIODTYPE=QTR_STD&amp;SCFT=3&amp;window=popup_no_bar&amp;width=385&amp;height=120&amp;START_MAXIMIZED=FALSE&amp;creator=factset&amp;display_string=Audit"}</definedName>
    <definedName name="_2899__FDSAUDITLINK__" hidden="1">{"fdsup://Directions/FactSet Auditing Viewer?action=AUDIT_VALUE&amp;DB=129&amp;ID1=48248010&amp;VALUEID=02001&amp;SDATE=200501&amp;PERIODTYPE=QTR_STD&amp;SCFT=3&amp;window=popup_no_bar&amp;width=385&amp;height=120&amp;START_MAXIMIZED=FALSE&amp;creator=factset&amp;display_string=Audit"}</definedName>
    <definedName name="_29__FDSAUDITLINK__" localSheetId="7" hidden="1">{"fdsup://Directions/FactSet Auditing Viewer?action=AUDIT_VALUE&amp;DB=129&amp;ID1=81685010&amp;VALUEID=02001&amp;SDATE=201101&amp;PERIODTYPE=QTR_STD&amp;SCFT=3&amp;window=popup_no_bar&amp;width=385&amp;height=120&amp;START_MAXIMIZED=FALSE&amp;creator=factset&amp;display_string=Audit"}</definedName>
    <definedName name="_29__FDSAUDITLINK__" hidden="1">{"fdsup://Directions/FactSet Auditing Viewer?action=AUDIT_VALUE&amp;DB=129&amp;ID1=81685010&amp;VALUEID=02001&amp;SDATE=201101&amp;PERIODTYPE=QTR_STD&amp;SCFT=3&amp;window=popup_no_bar&amp;width=385&amp;height=120&amp;START_MAXIMIZED=FALSE&amp;creator=factset&amp;display_string=Audit"}</definedName>
    <definedName name="_290__FDSAUDITLINK__" localSheetId="7" hidden="1">{"fdsup://Directions/FactSet Auditing Viewer?action=AUDIT_VALUE&amp;DB=129&amp;ID1=03822210&amp;VALUEID=02001&amp;SDATE=201101&amp;PERIODTYPE=QTR_STD&amp;SCFT=3&amp;window=popup_no_bar&amp;width=385&amp;height=120&amp;START_MAXIMIZED=FALSE&amp;creator=factset&amp;display_string=Audit"}</definedName>
    <definedName name="_290__FDSAUDITLINK__" hidden="1">{"fdsup://Directions/FactSet Auditing Viewer?action=AUDIT_VALUE&amp;DB=129&amp;ID1=03822210&amp;VALUEID=02001&amp;SDATE=201101&amp;PERIODTYPE=QTR_STD&amp;SCFT=3&amp;window=popup_no_bar&amp;width=385&amp;height=120&amp;START_MAXIMIZED=FALSE&amp;creator=factset&amp;display_string=Audit"}</definedName>
    <definedName name="_2900__FDSAUDITLINK__" localSheetId="7" hidden="1">{"fdsup://Directions/FactSet Auditing Viewer?action=AUDIT_VALUE&amp;DB=129&amp;ID1=48248010&amp;VALUEID=02001&amp;SDATE=200501&amp;PERIODTYPE=QTR_STD&amp;SCFT=3&amp;window=popup_no_bar&amp;width=385&amp;height=120&amp;START_MAXIMIZED=FALSE&amp;creator=factset&amp;display_string=Audit"}</definedName>
    <definedName name="_2900__FDSAUDITLINK__" hidden="1">{"fdsup://Directions/FactSet Auditing Viewer?action=AUDIT_VALUE&amp;DB=129&amp;ID1=48248010&amp;VALUEID=02001&amp;SDATE=200501&amp;PERIODTYPE=QTR_STD&amp;SCFT=3&amp;window=popup_no_bar&amp;width=385&amp;height=120&amp;START_MAXIMIZED=FALSE&amp;creator=factset&amp;display_string=Audit"}</definedName>
    <definedName name="_2901__FDSAUDITLINK__" localSheetId="7" hidden="1">{"fdsup://Directions/FactSet Auditing Viewer?action=AUDIT_VALUE&amp;DB=129&amp;ID1=48203R10&amp;VALUEID=02001&amp;SDATE=200403&amp;PERIODTYPE=QTR_STD&amp;SCFT=3&amp;window=popup_no_bar&amp;width=385&amp;height=120&amp;START_MAXIMIZED=FALSE&amp;creator=factset&amp;display_string=Audit"}</definedName>
    <definedName name="_2901__FDSAUDITLINK__" hidden="1">{"fdsup://Directions/FactSet Auditing Viewer?action=AUDIT_VALUE&amp;DB=129&amp;ID1=48203R10&amp;VALUEID=02001&amp;SDATE=200403&amp;PERIODTYPE=QTR_STD&amp;SCFT=3&amp;window=popup_no_bar&amp;width=385&amp;height=120&amp;START_MAXIMIZED=FALSE&amp;creator=factset&amp;display_string=Audit"}</definedName>
    <definedName name="_2902__FDSAUDITLINK__" localSheetId="7" hidden="1">{"fdsup://Directions/FactSet Auditing Viewer?action=AUDIT_VALUE&amp;DB=129&amp;ID1=48203R10&amp;VALUEID=02001&amp;SDATE=200403&amp;PERIODTYPE=QTR_STD&amp;SCFT=3&amp;window=popup_no_bar&amp;width=385&amp;height=120&amp;START_MAXIMIZED=FALSE&amp;creator=factset&amp;display_string=Audit"}</definedName>
    <definedName name="_2902__FDSAUDITLINK__" hidden="1">{"fdsup://Directions/FactSet Auditing Viewer?action=AUDIT_VALUE&amp;DB=129&amp;ID1=48203R10&amp;VALUEID=02001&amp;SDATE=200403&amp;PERIODTYPE=QTR_STD&amp;SCFT=3&amp;window=popup_no_bar&amp;width=385&amp;height=120&amp;START_MAXIMIZED=FALSE&amp;creator=factset&amp;display_string=Audit"}</definedName>
    <definedName name="_2903__FDSAUDITLINK__" localSheetId="7" hidden="1">{"fdsup://Directions/FactSet Auditing Viewer?action=AUDIT_VALUE&amp;DB=129&amp;ID1=86681020&amp;VALUEID=02001&amp;SDATE=200501&amp;PERIODTYPE=QTR_STD&amp;SCFT=3&amp;window=popup_no_bar&amp;width=385&amp;height=120&amp;START_MAXIMIZED=FALSE&amp;creator=factset&amp;display_string=Audit"}</definedName>
    <definedName name="_2903__FDSAUDITLINK__" hidden="1">{"fdsup://Directions/FactSet Auditing Viewer?action=AUDIT_VALUE&amp;DB=129&amp;ID1=86681020&amp;VALUEID=02001&amp;SDATE=200501&amp;PERIODTYPE=QTR_STD&amp;SCFT=3&amp;window=popup_no_bar&amp;width=385&amp;height=120&amp;START_MAXIMIZED=FALSE&amp;creator=factset&amp;display_string=Audit"}</definedName>
    <definedName name="_2904__FDSAUDITLINK__" localSheetId="7" hidden="1">{"fdsup://Directions/FactSet Auditing Viewer?action=AUDIT_VALUE&amp;DB=129&amp;ID1=86681020&amp;VALUEID=02001&amp;SDATE=200501&amp;PERIODTYPE=QTR_STD&amp;SCFT=3&amp;window=popup_no_bar&amp;width=385&amp;height=120&amp;START_MAXIMIZED=FALSE&amp;creator=factset&amp;display_string=Audit"}</definedName>
    <definedName name="_2904__FDSAUDITLINK__" hidden="1">{"fdsup://Directions/FactSet Auditing Viewer?action=AUDIT_VALUE&amp;DB=129&amp;ID1=86681020&amp;VALUEID=02001&amp;SDATE=200501&amp;PERIODTYPE=QTR_STD&amp;SCFT=3&amp;window=popup_no_bar&amp;width=385&amp;height=120&amp;START_MAXIMIZED=FALSE&amp;creator=factset&amp;display_string=Audit"}</definedName>
    <definedName name="_2905__FDSAUDITLINK__" localSheetId="7" hidden="1">{"fdsup://Directions/FactSet Auditing Viewer?action=AUDIT_VALUE&amp;DB=129&amp;ID1=46069S10&amp;VALUEID=02001&amp;SDATE=200403&amp;PERIODTYPE=QTR_STD&amp;SCFT=3&amp;window=popup_no_bar&amp;width=385&amp;height=120&amp;START_MAXIMIZED=FALSE&amp;creator=factset&amp;display_string=Audit"}</definedName>
    <definedName name="_2905__FDSAUDITLINK__" hidden="1">{"fdsup://Directions/FactSet Auditing Viewer?action=AUDIT_VALUE&amp;DB=129&amp;ID1=46069S10&amp;VALUEID=02001&amp;SDATE=200403&amp;PERIODTYPE=QTR_STD&amp;SCFT=3&amp;window=popup_no_bar&amp;width=385&amp;height=120&amp;START_MAXIMIZED=FALSE&amp;creator=factset&amp;display_string=Audit"}</definedName>
    <definedName name="_2906__FDSAUDITLINK__" localSheetId="7" hidden="1">{"fdsup://Directions/FactSet Auditing Viewer?action=AUDIT_VALUE&amp;DB=129&amp;ID1=46069S10&amp;VALUEID=02001&amp;SDATE=200403&amp;PERIODTYPE=QTR_STD&amp;SCFT=3&amp;window=popup_no_bar&amp;width=385&amp;height=120&amp;START_MAXIMIZED=FALSE&amp;creator=factset&amp;display_string=Audit"}</definedName>
    <definedName name="_2906__FDSAUDITLINK__" hidden="1">{"fdsup://Directions/FactSet Auditing Viewer?action=AUDIT_VALUE&amp;DB=129&amp;ID1=46069S10&amp;VALUEID=02001&amp;SDATE=200403&amp;PERIODTYPE=QTR_STD&amp;SCFT=3&amp;window=popup_no_bar&amp;width=385&amp;height=120&amp;START_MAXIMIZED=FALSE&amp;creator=factset&amp;display_string=Audit"}</definedName>
    <definedName name="_2907__FDSAUDITLINK__" localSheetId="7" hidden="1">{"fdsup://Directions/FactSet Auditing Viewer?action=AUDIT_VALUE&amp;DB=129&amp;ID1=46025410&amp;VALUEID=02001&amp;SDATE=200501&amp;PERIODTYPE=QTR_STD&amp;SCFT=3&amp;window=popup_no_bar&amp;width=385&amp;height=120&amp;START_MAXIMIZED=FALSE&amp;creator=factset&amp;display_string=Audit"}</definedName>
    <definedName name="_2907__FDSAUDITLINK__" hidden="1">{"fdsup://Directions/FactSet Auditing Viewer?action=AUDIT_VALUE&amp;DB=129&amp;ID1=46025410&amp;VALUEID=02001&amp;SDATE=200501&amp;PERIODTYPE=QTR_STD&amp;SCFT=3&amp;window=popup_no_bar&amp;width=385&amp;height=120&amp;START_MAXIMIZED=FALSE&amp;creator=factset&amp;display_string=Audit"}</definedName>
    <definedName name="_2908__FDSAUDITLINK__" localSheetId="7" hidden="1">{"fdsup://Directions/FactSet Auditing Viewer?action=AUDIT_VALUE&amp;DB=129&amp;ID1=46025410&amp;VALUEID=02001&amp;SDATE=200501&amp;PERIODTYPE=QTR_STD&amp;SCFT=3&amp;window=popup_no_bar&amp;width=385&amp;height=120&amp;START_MAXIMIZED=FALSE&amp;creator=factset&amp;display_string=Audit"}</definedName>
    <definedName name="_2908__FDSAUDITLINK__" hidden="1">{"fdsup://Directions/FactSet Auditing Viewer?action=AUDIT_VALUE&amp;DB=129&amp;ID1=46025410&amp;VALUEID=02001&amp;SDATE=200501&amp;PERIODTYPE=QTR_STD&amp;SCFT=3&amp;window=popup_no_bar&amp;width=385&amp;height=120&amp;START_MAXIMIZED=FALSE&amp;creator=factset&amp;display_string=Audit"}</definedName>
    <definedName name="_2909__FDSAUDITLINK__" localSheetId="7" hidden="1">{"fdsup://Directions/FactSet Auditing Viewer?action=AUDIT_VALUE&amp;DB=129&amp;ID1=45814010&amp;VALUEID=02001&amp;SDATE=200403&amp;PERIODTYPE=QTR_STD&amp;SCFT=3&amp;window=popup_no_bar&amp;width=385&amp;height=120&amp;START_MAXIMIZED=FALSE&amp;creator=factset&amp;display_string=Audit"}</definedName>
    <definedName name="_2909__FDSAUDITLINK__" hidden="1">{"fdsup://Directions/FactSet Auditing Viewer?action=AUDIT_VALUE&amp;DB=129&amp;ID1=45814010&amp;VALUEID=02001&amp;SDATE=200403&amp;PERIODTYPE=QTR_STD&amp;SCFT=3&amp;window=popup_no_bar&amp;width=385&amp;height=120&amp;START_MAXIMIZED=FALSE&amp;creator=factset&amp;display_string=Audit"}</definedName>
    <definedName name="_291__FDSAUDITLINK__" localSheetId="7" hidden="1">{"fdsup://Directions/FactSet Auditing Viewer?action=AUDIT_VALUE&amp;DB=129&amp;ID1=02144110&amp;VALUEID=02001&amp;SDATE=201004&amp;PERIODTYPE=QTR_STD&amp;SCFT=3&amp;window=popup_no_bar&amp;width=385&amp;height=120&amp;START_MAXIMIZED=FALSE&amp;creator=factset&amp;display_string=Audit"}</definedName>
    <definedName name="_291__FDSAUDITLINK__" hidden="1">{"fdsup://Directions/FactSet Auditing Viewer?action=AUDIT_VALUE&amp;DB=129&amp;ID1=02144110&amp;VALUEID=02001&amp;SDATE=201004&amp;PERIODTYPE=QTR_STD&amp;SCFT=3&amp;window=popup_no_bar&amp;width=385&amp;height=120&amp;START_MAXIMIZED=FALSE&amp;creator=factset&amp;display_string=Audit"}</definedName>
    <definedName name="_2910__FDSAUDITLINK__" localSheetId="7" hidden="1">{"fdsup://Directions/FactSet Auditing Viewer?action=AUDIT_VALUE&amp;DB=129&amp;ID1=45814010&amp;VALUEID=02001&amp;SDATE=200403&amp;PERIODTYPE=QTR_STD&amp;SCFT=3&amp;window=popup_no_bar&amp;width=385&amp;height=120&amp;START_MAXIMIZED=FALSE&amp;creator=factset&amp;display_string=Audit"}</definedName>
    <definedName name="_2910__FDSAUDITLINK__" hidden="1">{"fdsup://Directions/FactSet Auditing Viewer?action=AUDIT_VALUE&amp;DB=129&amp;ID1=45814010&amp;VALUEID=02001&amp;SDATE=200403&amp;PERIODTYPE=QTR_STD&amp;SCFT=3&amp;window=popup_no_bar&amp;width=385&amp;height=120&amp;START_MAXIMIZED=FALSE&amp;creator=factset&amp;display_string=Audit"}</definedName>
    <definedName name="_2911__FDSAUDITLINK__" localSheetId="7" hidden="1">{"fdsup://Directions/FactSet Auditing Viewer?action=AUDIT_VALUE&amp;DB=129&amp;ID1=45811810&amp;VALUEID=02001&amp;SDATE=200402&amp;PERIODTYPE=QTR_STD&amp;SCFT=3&amp;window=popup_no_bar&amp;width=385&amp;height=120&amp;START_MAXIMIZED=FALSE&amp;creator=factset&amp;display_string=Audit"}</definedName>
    <definedName name="_2911__FDSAUDITLINK__" hidden="1">{"fdsup://Directions/FactSet Auditing Viewer?action=AUDIT_VALUE&amp;DB=129&amp;ID1=45811810&amp;VALUEID=02001&amp;SDATE=200402&amp;PERIODTYPE=QTR_STD&amp;SCFT=3&amp;window=popup_no_bar&amp;width=385&amp;height=120&amp;START_MAXIMIZED=FALSE&amp;creator=factset&amp;display_string=Audit"}</definedName>
    <definedName name="_2912__FDSAUDITLINK__" localSheetId="7" hidden="1">{"fdsup://Directions/FactSet Auditing Viewer?action=AUDIT_VALUE&amp;DB=129&amp;ID1=45811810&amp;VALUEID=02001&amp;SDATE=200402&amp;PERIODTYPE=QTR_STD&amp;SCFT=3&amp;window=popup_no_bar&amp;width=385&amp;height=120&amp;START_MAXIMIZED=FALSE&amp;creator=factset&amp;display_string=Audit"}</definedName>
    <definedName name="_2912__FDSAUDITLINK__" hidden="1">{"fdsup://Directions/FactSet Auditing Viewer?action=AUDIT_VALUE&amp;DB=129&amp;ID1=45811810&amp;VALUEID=02001&amp;SDATE=200402&amp;PERIODTYPE=QTR_STD&amp;SCFT=3&amp;window=popup_no_bar&amp;width=385&amp;height=120&amp;START_MAXIMIZED=FALSE&amp;creator=factset&amp;display_string=Audit"}</definedName>
    <definedName name="_2913__FDSAUDITLINK__" localSheetId="7" hidden="1">{"fdsup://Directions/FactSet Auditing Viewer?action=AUDIT_VALUE&amp;DB=129&amp;ID1=34637510&amp;VALUEID=02001&amp;SDATE=200403&amp;PERIODTYPE=QTR_STD&amp;SCFT=3&amp;window=popup_no_bar&amp;width=385&amp;height=120&amp;START_MAXIMIZED=FALSE&amp;creator=factset&amp;display_string=Audit"}</definedName>
    <definedName name="_2913__FDSAUDITLINK__" hidden="1">{"fdsup://Directions/FactSet Auditing Viewer?action=AUDIT_VALUE&amp;DB=129&amp;ID1=34637510&amp;VALUEID=02001&amp;SDATE=200403&amp;PERIODTYPE=QTR_STD&amp;SCFT=3&amp;window=popup_no_bar&amp;width=385&amp;height=120&amp;START_MAXIMIZED=FALSE&amp;creator=factset&amp;display_string=Audit"}</definedName>
    <definedName name="_2914__FDSAUDITLINK__" localSheetId="7" hidden="1">{"fdsup://Directions/FactSet Auditing Viewer?action=AUDIT_VALUE&amp;DB=129&amp;ID1=34637510&amp;VALUEID=02001&amp;SDATE=200403&amp;PERIODTYPE=QTR_STD&amp;SCFT=3&amp;window=popup_no_bar&amp;width=385&amp;height=120&amp;START_MAXIMIZED=FALSE&amp;creator=factset&amp;display_string=Audit"}</definedName>
    <definedName name="_2914__FDSAUDITLINK__" hidden="1">{"fdsup://Directions/FactSet Auditing Viewer?action=AUDIT_VALUE&amp;DB=129&amp;ID1=34637510&amp;VALUEID=02001&amp;SDATE=200403&amp;PERIODTYPE=QTR_STD&amp;SCFT=3&amp;window=popup_no_bar&amp;width=385&amp;height=120&amp;START_MAXIMIZED=FALSE&amp;creator=factset&amp;display_string=Audit"}</definedName>
    <definedName name="_2915__FDSAUDITLINK__" localSheetId="7" hidden="1">{"fdsup://Directions/FactSet Auditing Viewer?action=AUDIT_VALUE&amp;DB=129&amp;ID1=29247520&amp;VALUEID=02001&amp;SDATE=200501&amp;PERIODTYPE=QTR_STD&amp;SCFT=3&amp;window=popup_no_bar&amp;width=385&amp;height=120&amp;START_MAXIMIZED=FALSE&amp;creator=factset&amp;display_string=Audit"}</definedName>
    <definedName name="_2915__FDSAUDITLINK__" hidden="1">{"fdsup://Directions/FactSet Auditing Viewer?action=AUDIT_VALUE&amp;DB=129&amp;ID1=29247520&amp;VALUEID=02001&amp;SDATE=200501&amp;PERIODTYPE=QTR_STD&amp;SCFT=3&amp;window=popup_no_bar&amp;width=385&amp;height=120&amp;START_MAXIMIZED=FALSE&amp;creator=factset&amp;display_string=Audit"}</definedName>
    <definedName name="_2916__FDSAUDITLINK__" localSheetId="7" hidden="1">{"fdsup://Directions/FactSet Auditing Viewer?action=AUDIT_VALUE&amp;DB=129&amp;ID1=29247520&amp;VALUEID=02001&amp;SDATE=200501&amp;PERIODTYPE=QTR_STD&amp;SCFT=3&amp;window=popup_no_bar&amp;width=385&amp;height=120&amp;START_MAXIMIZED=FALSE&amp;creator=factset&amp;display_string=Audit"}</definedName>
    <definedName name="_2916__FDSAUDITLINK__" hidden="1">{"fdsup://Directions/FactSet Auditing Viewer?action=AUDIT_VALUE&amp;DB=129&amp;ID1=29247520&amp;VALUEID=02001&amp;SDATE=200501&amp;PERIODTYPE=QTR_STD&amp;SCFT=3&amp;window=popup_no_bar&amp;width=385&amp;height=120&amp;START_MAXIMIZED=FALSE&amp;creator=factset&amp;display_string=Audit"}</definedName>
    <definedName name="_2917__FDSAUDITLINK__" localSheetId="7" hidden="1">{"fdsup://Directions/FactSet Auditing Viewer?action=AUDIT_VALUE&amp;DB=129&amp;ID1=25454310&amp;VALUEID=02001&amp;SDATE=200403&amp;PERIODTYPE=QTR_STD&amp;SCFT=3&amp;window=popup_no_bar&amp;width=385&amp;height=120&amp;START_MAXIMIZED=FALSE&amp;creator=factset&amp;display_string=Audit"}</definedName>
    <definedName name="_2917__FDSAUDITLINK__" hidden="1">{"fdsup://Directions/FactSet Auditing Viewer?action=AUDIT_VALUE&amp;DB=129&amp;ID1=25454310&amp;VALUEID=02001&amp;SDATE=200403&amp;PERIODTYPE=QTR_STD&amp;SCFT=3&amp;window=popup_no_bar&amp;width=385&amp;height=120&amp;START_MAXIMIZED=FALSE&amp;creator=factset&amp;display_string=Audit"}</definedName>
    <definedName name="_2918__FDSAUDITLINK__" localSheetId="7" hidden="1">{"fdsup://Directions/FactSet Auditing Viewer?action=AUDIT_VALUE&amp;DB=129&amp;ID1=25454310&amp;VALUEID=02001&amp;SDATE=200403&amp;PERIODTYPE=QTR_STD&amp;SCFT=3&amp;window=popup_no_bar&amp;width=385&amp;height=120&amp;START_MAXIMIZED=FALSE&amp;creator=factset&amp;display_string=Audit"}</definedName>
    <definedName name="_2918__FDSAUDITLINK__" hidden="1">{"fdsup://Directions/FactSet Auditing Viewer?action=AUDIT_VALUE&amp;DB=129&amp;ID1=25454310&amp;VALUEID=02001&amp;SDATE=200403&amp;PERIODTYPE=QTR_STD&amp;SCFT=3&amp;window=popup_no_bar&amp;width=385&amp;height=120&amp;START_MAXIMIZED=FALSE&amp;creator=factset&amp;display_string=Audit"}</definedName>
    <definedName name="_2919__FDSAUDITLINK__" localSheetId="7" hidden="1">{"fdsup://Directions/FactSet Auditing Viewer?action=AUDIT_VALUE&amp;DB=129&amp;ID1=23257210&amp;VALUEID=02001&amp;SDATE=200403&amp;PERIODTYPE=QTR_STD&amp;SCFT=3&amp;window=popup_no_bar&amp;width=385&amp;height=120&amp;START_MAXIMIZED=FALSE&amp;creator=factset&amp;display_string=Audit"}</definedName>
    <definedName name="_2919__FDSAUDITLINK__" hidden="1">{"fdsup://Directions/FactSet Auditing Viewer?action=AUDIT_VALUE&amp;DB=129&amp;ID1=23257210&amp;VALUEID=02001&amp;SDATE=200403&amp;PERIODTYPE=QTR_STD&amp;SCFT=3&amp;window=popup_no_bar&amp;width=385&amp;height=120&amp;START_MAXIMIZED=FALSE&amp;creator=factset&amp;display_string=Audit"}</definedName>
    <definedName name="_292__FDSAUDITLINK__" localSheetId="7" hidden="1">{"fdsup://Directions/FactSet Auditing Viewer?action=AUDIT_VALUE&amp;DB=129&amp;ID1=02144110&amp;VALUEID=02001&amp;SDATE=201004&amp;PERIODTYPE=QTR_STD&amp;SCFT=3&amp;window=popup_no_bar&amp;width=385&amp;height=120&amp;START_MAXIMIZED=FALSE&amp;creator=factset&amp;display_string=Audit"}</definedName>
    <definedName name="_292__FDSAUDITLINK__" hidden="1">{"fdsup://Directions/FactSet Auditing Viewer?action=AUDIT_VALUE&amp;DB=129&amp;ID1=02144110&amp;VALUEID=02001&amp;SDATE=201004&amp;PERIODTYPE=QTR_STD&amp;SCFT=3&amp;window=popup_no_bar&amp;width=385&amp;height=120&amp;START_MAXIMIZED=FALSE&amp;creator=factset&amp;display_string=Audit"}</definedName>
    <definedName name="_2920__FDSAUDITLINK__" localSheetId="7" hidden="1">{"fdsup://Directions/FactSet Auditing Viewer?action=AUDIT_VALUE&amp;DB=129&amp;ID1=23257210&amp;VALUEID=02001&amp;SDATE=200403&amp;PERIODTYPE=QTR_STD&amp;SCFT=3&amp;window=popup_no_bar&amp;width=385&amp;height=120&amp;START_MAXIMIZED=FALSE&amp;creator=factset&amp;display_string=Audit"}</definedName>
    <definedName name="_2920__FDSAUDITLINK__" hidden="1">{"fdsup://Directions/FactSet Auditing Viewer?action=AUDIT_VALUE&amp;DB=129&amp;ID1=23257210&amp;VALUEID=02001&amp;SDATE=200403&amp;PERIODTYPE=QTR_STD&amp;SCFT=3&amp;window=popup_no_bar&amp;width=385&amp;height=120&amp;START_MAXIMIZED=FALSE&amp;creator=factset&amp;display_string=Audit"}</definedName>
    <definedName name="_2921__FDSAUDITLINK__" localSheetId="7" hidden="1">{"fdsup://Directions/FactSet Auditing Viewer?action=AUDIT_VALUE&amp;DB=129&amp;ID1=23280610&amp;VALUEID=02001&amp;SDATE=200403&amp;PERIODTYPE=QTR_STD&amp;SCFT=3&amp;window=popup_no_bar&amp;width=385&amp;height=120&amp;START_MAXIMIZED=FALSE&amp;creator=factset&amp;display_string=Audit"}</definedName>
    <definedName name="_2921__FDSAUDITLINK__" hidden="1">{"fdsup://Directions/FactSet Auditing Viewer?action=AUDIT_VALUE&amp;DB=129&amp;ID1=23280610&amp;VALUEID=02001&amp;SDATE=200403&amp;PERIODTYPE=QTR_STD&amp;SCFT=3&amp;window=popup_no_bar&amp;width=385&amp;height=120&amp;START_MAXIMIZED=FALSE&amp;creator=factset&amp;display_string=Audit"}</definedName>
    <definedName name="_2922__FDSAUDITLINK__" localSheetId="7" hidden="1">{"fdsup://Directions/FactSet Auditing Viewer?action=AUDIT_VALUE&amp;DB=129&amp;ID1=23280610&amp;VALUEID=02001&amp;SDATE=200403&amp;PERIODTYPE=QTR_STD&amp;SCFT=3&amp;window=popup_no_bar&amp;width=385&amp;height=120&amp;START_MAXIMIZED=FALSE&amp;creator=factset&amp;display_string=Audit"}</definedName>
    <definedName name="_2922__FDSAUDITLINK__" hidden="1">{"fdsup://Directions/FactSet Auditing Viewer?action=AUDIT_VALUE&amp;DB=129&amp;ID1=23280610&amp;VALUEID=02001&amp;SDATE=200403&amp;PERIODTYPE=QTR_STD&amp;SCFT=3&amp;window=popup_no_bar&amp;width=385&amp;height=120&amp;START_MAXIMIZED=FALSE&amp;creator=factset&amp;display_string=Audit"}</definedName>
    <definedName name="_2923__FDSAUDITLINK__" localSheetId="7" hidden="1">{"fdsup://Directions/FactSet Auditing Viewer?action=AUDIT_VALUE&amp;DB=129&amp;ID1=17275R10&amp;VALUEID=02001&amp;SDATE=200501&amp;PERIODTYPE=QTR_STD&amp;SCFT=3&amp;window=popup_no_bar&amp;width=385&amp;height=120&amp;START_MAXIMIZED=FALSE&amp;creator=factset&amp;display_string=Audit"}</definedName>
    <definedName name="_2923__FDSAUDITLINK__" hidden="1">{"fdsup://Directions/FactSet Auditing Viewer?action=AUDIT_VALUE&amp;DB=129&amp;ID1=17275R10&amp;VALUEID=02001&amp;SDATE=200501&amp;PERIODTYPE=QTR_STD&amp;SCFT=3&amp;window=popup_no_bar&amp;width=385&amp;height=120&amp;START_MAXIMIZED=FALSE&amp;creator=factset&amp;display_string=Audit"}</definedName>
    <definedName name="_2924__FDSAUDITLINK__" localSheetId="7" hidden="1">{"fdsup://Directions/FactSet Auditing Viewer?action=AUDIT_VALUE&amp;DB=129&amp;ID1=17275R10&amp;VALUEID=02001&amp;SDATE=200501&amp;PERIODTYPE=QTR_STD&amp;SCFT=3&amp;window=popup_no_bar&amp;width=385&amp;height=120&amp;START_MAXIMIZED=FALSE&amp;creator=factset&amp;display_string=Audit"}</definedName>
    <definedName name="_2924__FDSAUDITLINK__" hidden="1">{"fdsup://Directions/FactSet Auditing Viewer?action=AUDIT_VALUE&amp;DB=129&amp;ID1=17275R10&amp;VALUEID=02001&amp;SDATE=200501&amp;PERIODTYPE=QTR_STD&amp;SCFT=3&amp;window=popup_no_bar&amp;width=385&amp;height=120&amp;START_MAXIMIZED=FALSE&amp;creator=factset&amp;display_string=Audit"}</definedName>
    <definedName name="_2925__FDSAUDITLINK__" localSheetId="7" hidden="1">{"fdsup://Directions/FactSet Auditing Viewer?action=AUDIT_VALUE&amp;DB=129&amp;ID1=22544710&amp;VALUEID=02001&amp;SDATE=200501&amp;PERIODTYPE=QTR_STD&amp;SCFT=3&amp;window=popup_no_bar&amp;width=385&amp;height=120&amp;START_MAXIMIZED=FALSE&amp;creator=factset&amp;display_string=Audit"}</definedName>
    <definedName name="_2925__FDSAUDITLINK__" hidden="1">{"fdsup://Directions/FactSet Auditing Viewer?action=AUDIT_VALUE&amp;DB=129&amp;ID1=22544710&amp;VALUEID=02001&amp;SDATE=200501&amp;PERIODTYPE=QTR_STD&amp;SCFT=3&amp;window=popup_no_bar&amp;width=385&amp;height=120&amp;START_MAXIMIZED=FALSE&amp;creator=factset&amp;display_string=Audit"}</definedName>
    <definedName name="_2926__FDSAUDITLINK__" localSheetId="7" hidden="1">{"fdsup://Directions/FactSet Auditing Viewer?action=AUDIT_VALUE&amp;DB=129&amp;ID1=22544710&amp;VALUEID=02001&amp;SDATE=200501&amp;PERIODTYPE=QTR_STD&amp;SCFT=3&amp;window=popup_no_bar&amp;width=385&amp;height=120&amp;START_MAXIMIZED=FALSE&amp;creator=factset&amp;display_string=Audit"}</definedName>
    <definedName name="_2926__FDSAUDITLINK__" hidden="1">{"fdsup://Directions/FactSet Auditing Viewer?action=AUDIT_VALUE&amp;DB=129&amp;ID1=22544710&amp;VALUEID=02001&amp;SDATE=200501&amp;PERIODTYPE=QTR_STD&amp;SCFT=3&amp;window=popup_no_bar&amp;width=385&amp;height=120&amp;START_MAXIMIZED=FALSE&amp;creator=factset&amp;display_string=Audit"}</definedName>
    <definedName name="_2927__FDSAUDITLINK__" localSheetId="7" hidden="1">{"fdsup://Directions/FactSet Auditing Viewer?action=AUDIT_VALUE&amp;DB=129&amp;ID1=12738710&amp;VALUEID=02001&amp;SDATE=200403&amp;PERIODTYPE=QTR_STD&amp;SCFT=3&amp;window=popup_no_bar&amp;width=385&amp;height=120&amp;START_MAXIMIZED=FALSE&amp;creator=factset&amp;display_string=Audit"}</definedName>
    <definedName name="_2927__FDSAUDITLINK__" hidden="1">{"fdsup://Directions/FactSet Auditing Viewer?action=AUDIT_VALUE&amp;DB=129&amp;ID1=12738710&amp;VALUEID=02001&amp;SDATE=200403&amp;PERIODTYPE=QTR_STD&amp;SCFT=3&amp;window=popup_no_bar&amp;width=385&amp;height=120&amp;START_MAXIMIZED=FALSE&amp;creator=factset&amp;display_string=Audit"}</definedName>
    <definedName name="_2928__FDSAUDITLINK__" localSheetId="7" hidden="1">{"fdsup://Directions/FactSet Auditing Viewer?action=AUDIT_VALUE&amp;DB=129&amp;ID1=12738710&amp;VALUEID=02001&amp;SDATE=200403&amp;PERIODTYPE=QTR_STD&amp;SCFT=3&amp;window=popup_no_bar&amp;width=385&amp;height=120&amp;START_MAXIMIZED=FALSE&amp;creator=factset&amp;display_string=Audit"}</definedName>
    <definedName name="_2928__FDSAUDITLINK__" hidden="1">{"fdsup://Directions/FactSet Auditing Viewer?action=AUDIT_VALUE&amp;DB=129&amp;ID1=12738710&amp;VALUEID=02001&amp;SDATE=200403&amp;PERIODTYPE=QTR_STD&amp;SCFT=3&amp;window=popup_no_bar&amp;width=385&amp;height=120&amp;START_MAXIMIZED=FALSE&amp;creator=factset&amp;display_string=Audit"}</definedName>
    <definedName name="_2929__FDSAUDITLINK__" localSheetId="7" hidden="1">{"fdsup://Directions/FactSet Auditing Viewer?action=AUDIT_VALUE&amp;DB=129&amp;ID1=04743P10&amp;VALUEID=02001&amp;SDATE=200403&amp;PERIODTYPE=QTR_STD&amp;SCFT=3&amp;window=popup_no_bar&amp;width=385&amp;height=120&amp;START_MAXIMIZED=FALSE&amp;creator=factset&amp;display_string=Audit"}</definedName>
    <definedName name="_2929__FDSAUDITLINK__" hidden="1">{"fdsup://Directions/FactSet Auditing Viewer?action=AUDIT_VALUE&amp;DB=129&amp;ID1=04743P10&amp;VALUEID=02001&amp;SDATE=200403&amp;PERIODTYPE=QTR_STD&amp;SCFT=3&amp;window=popup_no_bar&amp;width=385&amp;height=120&amp;START_MAXIMIZED=FALSE&amp;creator=factset&amp;display_string=Audit"}</definedName>
    <definedName name="_293__FDSAUDITLINK__" localSheetId="7" hidden="1">{"fdsup://Directions/FactSet Auditing Viewer?action=AUDIT_VALUE&amp;DB=129&amp;ID1=03265410&amp;VALUEID=02001&amp;SDATE=201101&amp;PERIODTYPE=QTR_STD&amp;SCFT=3&amp;window=popup_no_bar&amp;width=385&amp;height=120&amp;START_MAXIMIZED=FALSE&amp;creator=factset&amp;display_string=Audit"}</definedName>
    <definedName name="_293__FDSAUDITLINK__" hidden="1">{"fdsup://Directions/FactSet Auditing Viewer?action=AUDIT_VALUE&amp;DB=129&amp;ID1=03265410&amp;VALUEID=02001&amp;SDATE=201101&amp;PERIODTYPE=QTR_STD&amp;SCFT=3&amp;window=popup_no_bar&amp;width=385&amp;height=120&amp;START_MAXIMIZED=FALSE&amp;creator=factset&amp;display_string=Audit"}</definedName>
    <definedName name="_2930__FDSAUDITLINK__" localSheetId="7" hidden="1">{"fdsup://Directions/FactSet Auditing Viewer?action=AUDIT_VALUE&amp;DB=129&amp;ID1=04743P10&amp;VALUEID=02001&amp;SDATE=200403&amp;PERIODTYPE=QTR_STD&amp;SCFT=3&amp;window=popup_no_bar&amp;width=385&amp;height=120&amp;START_MAXIMIZED=FALSE&amp;creator=factset&amp;display_string=Audit"}</definedName>
    <definedName name="_2930__FDSAUDITLINK__" hidden="1">{"fdsup://Directions/FactSet Auditing Viewer?action=AUDIT_VALUE&amp;DB=129&amp;ID1=04743P10&amp;VALUEID=02001&amp;SDATE=200403&amp;PERIODTYPE=QTR_STD&amp;SCFT=3&amp;window=popup_no_bar&amp;width=385&amp;height=120&amp;START_MAXIMIZED=FALSE&amp;creator=factset&amp;display_string=Audit"}</definedName>
    <definedName name="_2931__FDSAUDITLINK__" localSheetId="7" hidden="1">{"fdsup://Directions/FactSet Auditing Viewer?action=AUDIT_VALUE&amp;DB=129&amp;ID1=00790310&amp;VALUEID=02001&amp;SDATE=200403&amp;PERIODTYPE=QTR_STD&amp;SCFT=3&amp;window=popup_no_bar&amp;width=385&amp;height=120&amp;START_MAXIMIZED=FALSE&amp;creator=factset&amp;display_string=Audit"}</definedName>
    <definedName name="_2931__FDSAUDITLINK__" hidden="1">{"fdsup://Directions/FactSet Auditing Viewer?action=AUDIT_VALUE&amp;DB=129&amp;ID1=00790310&amp;VALUEID=02001&amp;SDATE=200403&amp;PERIODTYPE=QTR_STD&amp;SCFT=3&amp;window=popup_no_bar&amp;width=385&amp;height=120&amp;START_MAXIMIZED=FALSE&amp;creator=factset&amp;display_string=Audit"}</definedName>
    <definedName name="_2932__FDSAUDITLINK__" localSheetId="7" hidden="1">{"fdsup://Directions/FactSet Auditing Viewer?action=AUDIT_VALUE&amp;DB=129&amp;ID1=00790310&amp;VALUEID=02001&amp;SDATE=200403&amp;PERIODTYPE=QTR_STD&amp;SCFT=3&amp;window=popup_no_bar&amp;width=385&amp;height=120&amp;START_MAXIMIZED=FALSE&amp;creator=factset&amp;display_string=Audit"}</definedName>
    <definedName name="_2932__FDSAUDITLINK__" hidden="1">{"fdsup://Directions/FactSet Auditing Viewer?action=AUDIT_VALUE&amp;DB=129&amp;ID1=00790310&amp;VALUEID=02001&amp;SDATE=200403&amp;PERIODTYPE=QTR_STD&amp;SCFT=3&amp;window=popup_no_bar&amp;width=385&amp;height=120&amp;START_MAXIMIZED=FALSE&amp;creator=factset&amp;display_string=Audit"}</definedName>
    <definedName name="_2933__FDSAUDITLINK__" localSheetId="7" hidden="1">{"fdsup://Directions/FactSet Auditing Viewer?action=AUDIT_VALUE&amp;DB=129&amp;ID1=03822W40&amp;VALUEID=02001&amp;SDATE=200402&amp;PERIODTYPE=QTR_STD&amp;SCFT=3&amp;window=popup_no_bar&amp;width=385&amp;height=120&amp;START_MAXIMIZED=FALSE&amp;creator=factset&amp;display_string=Audit"}</definedName>
    <definedName name="_2933__FDSAUDITLINK__" hidden="1">{"fdsup://Directions/FactSet Auditing Viewer?action=AUDIT_VALUE&amp;DB=129&amp;ID1=03822W40&amp;VALUEID=02001&amp;SDATE=200402&amp;PERIODTYPE=QTR_STD&amp;SCFT=3&amp;window=popup_no_bar&amp;width=385&amp;height=120&amp;START_MAXIMIZED=FALSE&amp;creator=factset&amp;display_string=Audit"}</definedName>
    <definedName name="_2934__FDSAUDITLINK__" localSheetId="7" hidden="1">{"fdsup://Directions/FactSet Auditing Viewer?action=AUDIT_VALUE&amp;DB=129&amp;ID1=03822W40&amp;VALUEID=02001&amp;SDATE=200402&amp;PERIODTYPE=QTR_STD&amp;SCFT=3&amp;window=popup_no_bar&amp;width=385&amp;height=120&amp;START_MAXIMIZED=FALSE&amp;creator=factset&amp;display_string=Audit"}</definedName>
    <definedName name="_2934__FDSAUDITLINK__" hidden="1">{"fdsup://Directions/FactSet Auditing Viewer?action=AUDIT_VALUE&amp;DB=129&amp;ID1=03822W40&amp;VALUEID=02001&amp;SDATE=200402&amp;PERIODTYPE=QTR_STD&amp;SCFT=3&amp;window=popup_no_bar&amp;width=385&amp;height=120&amp;START_MAXIMIZED=FALSE&amp;creator=factset&amp;display_string=Audit"}</definedName>
    <definedName name="_2935__FDSAUDITLINK__" localSheetId="7" hidden="1">{"fdsup://Directions/FactSet Auditing Viewer?action=AUDIT_VALUE&amp;DB=129&amp;ID1=02144110&amp;VALUEID=02001&amp;SDATE=200403&amp;PERIODTYPE=QTR_STD&amp;SCFT=3&amp;window=popup_no_bar&amp;width=385&amp;height=120&amp;START_MAXIMIZED=FALSE&amp;creator=factset&amp;display_string=Audit"}</definedName>
    <definedName name="_2935__FDSAUDITLINK__" hidden="1">{"fdsup://Directions/FactSet Auditing Viewer?action=AUDIT_VALUE&amp;DB=129&amp;ID1=02144110&amp;VALUEID=02001&amp;SDATE=200403&amp;PERIODTYPE=QTR_STD&amp;SCFT=3&amp;window=popup_no_bar&amp;width=385&amp;height=120&amp;START_MAXIMIZED=FALSE&amp;creator=factset&amp;display_string=Audit"}</definedName>
    <definedName name="_2936__FDSAUDITLINK__" localSheetId="7" hidden="1">{"fdsup://Directions/FactSet Auditing Viewer?action=AUDIT_VALUE&amp;DB=129&amp;ID1=02144110&amp;VALUEID=02001&amp;SDATE=200403&amp;PERIODTYPE=QTR_STD&amp;SCFT=3&amp;window=popup_no_bar&amp;width=385&amp;height=120&amp;START_MAXIMIZED=FALSE&amp;creator=factset&amp;display_string=Audit"}</definedName>
    <definedName name="_2936__FDSAUDITLINK__" hidden="1">{"fdsup://Directions/FactSet Auditing Viewer?action=AUDIT_VALUE&amp;DB=129&amp;ID1=02144110&amp;VALUEID=02001&amp;SDATE=200403&amp;PERIODTYPE=QTR_STD&amp;SCFT=3&amp;window=popup_no_bar&amp;width=385&amp;height=120&amp;START_MAXIMIZED=FALSE&amp;creator=factset&amp;display_string=Audit"}</definedName>
    <definedName name="_2937__FDSAUDITLINK__" localSheetId="7" hidden="1">{"fdsup://Directions/FactSet Auditing Viewer?action=AUDIT_VALUE&amp;DB=129&amp;ID1=98975F10&amp;VALUEID=02001&amp;SDATE=200402&amp;PERIODTYPE=QTR_STD&amp;SCFT=3&amp;window=popup_no_bar&amp;width=385&amp;height=120&amp;START_MAXIMIZED=FALSE&amp;creator=factset&amp;display_string=Audit"}</definedName>
    <definedName name="_2937__FDSAUDITLINK__" hidden="1">{"fdsup://Directions/FactSet Auditing Viewer?action=AUDIT_VALUE&amp;DB=129&amp;ID1=98975F10&amp;VALUEID=02001&amp;SDATE=200402&amp;PERIODTYPE=QTR_STD&amp;SCFT=3&amp;window=popup_no_bar&amp;width=385&amp;height=120&amp;START_MAXIMIZED=FALSE&amp;creator=factset&amp;display_string=Audit"}</definedName>
    <definedName name="_2938__FDSAUDITLINK__" localSheetId="7" hidden="1">{"fdsup://Directions/FactSet Auditing Viewer?action=AUDIT_VALUE&amp;DB=129&amp;ID1=98975F10&amp;VALUEID=02001&amp;SDATE=200402&amp;PERIODTYPE=QTR_STD&amp;SCFT=3&amp;window=popup_no_bar&amp;width=385&amp;height=120&amp;START_MAXIMIZED=FALSE&amp;creator=factset&amp;display_string=Audit"}</definedName>
    <definedName name="_2938__FDSAUDITLINK__" hidden="1">{"fdsup://Directions/FactSet Auditing Viewer?action=AUDIT_VALUE&amp;DB=129&amp;ID1=98975F10&amp;VALUEID=02001&amp;SDATE=200402&amp;PERIODTYPE=QTR_STD&amp;SCFT=3&amp;window=popup_no_bar&amp;width=385&amp;height=120&amp;START_MAXIMIZED=FALSE&amp;creator=factset&amp;display_string=Audit"}</definedName>
    <definedName name="_2939__FDSAUDITLINK__" localSheetId="7" hidden="1">{"fdsup://Directions/FactSet Auditing Viewer?action=AUDIT_VALUE&amp;DB=129&amp;ID1=98391910&amp;VALUEID=02001&amp;SDATE=200401&amp;PERIODTYPE=QTR_STD&amp;SCFT=3&amp;window=popup_no_bar&amp;width=385&amp;height=120&amp;START_MAXIMIZED=FALSE&amp;creator=factset&amp;display_string=Audit"}</definedName>
    <definedName name="_2939__FDSAUDITLINK__" hidden="1">{"fdsup://Directions/FactSet Auditing Viewer?action=AUDIT_VALUE&amp;DB=129&amp;ID1=98391910&amp;VALUEID=02001&amp;SDATE=200401&amp;PERIODTYPE=QTR_STD&amp;SCFT=3&amp;window=popup_no_bar&amp;width=385&amp;height=120&amp;START_MAXIMIZED=FALSE&amp;creator=factset&amp;display_string=Audit"}</definedName>
    <definedName name="_294__FDSAUDITLINK__" localSheetId="7" hidden="1">{"fdsup://Directions/FactSet Auditing Viewer?action=AUDIT_VALUE&amp;DB=129&amp;ID1=03265410&amp;VALUEID=02001&amp;SDATE=201101&amp;PERIODTYPE=QTR_STD&amp;SCFT=3&amp;window=popup_no_bar&amp;width=385&amp;height=120&amp;START_MAXIMIZED=FALSE&amp;creator=factset&amp;display_string=Audit"}</definedName>
    <definedName name="_294__FDSAUDITLINK__" hidden="1">{"fdsup://Directions/FactSet Auditing Viewer?action=AUDIT_VALUE&amp;DB=129&amp;ID1=03265410&amp;VALUEID=02001&amp;SDATE=201101&amp;PERIODTYPE=QTR_STD&amp;SCFT=3&amp;window=popup_no_bar&amp;width=385&amp;height=120&amp;START_MAXIMIZED=FALSE&amp;creator=factset&amp;display_string=Audit"}</definedName>
    <definedName name="_2940__FDSAUDITLINK__" localSheetId="7" hidden="1">{"fdsup://Directions/FactSet Auditing Viewer?action=AUDIT_VALUE&amp;DB=129&amp;ID1=98391910&amp;VALUEID=02001&amp;SDATE=200401&amp;PERIODTYPE=QTR_STD&amp;SCFT=3&amp;window=popup_no_bar&amp;width=385&amp;height=120&amp;START_MAXIMIZED=FALSE&amp;creator=factset&amp;display_string=Audit"}</definedName>
    <definedName name="_2940__FDSAUDITLINK__" hidden="1">{"fdsup://Directions/FactSet Auditing Viewer?action=AUDIT_VALUE&amp;DB=129&amp;ID1=98391910&amp;VALUEID=02001&amp;SDATE=200401&amp;PERIODTYPE=QTR_STD&amp;SCFT=3&amp;window=popup_no_bar&amp;width=385&amp;height=120&amp;START_MAXIMIZED=FALSE&amp;creator=factset&amp;display_string=Audit"}</definedName>
    <definedName name="_2941__FDSAUDITLINK__" localSheetId="7" hidden="1">{"fdsup://Directions/FactSet Auditing Viewer?action=AUDIT_VALUE&amp;DB=129&amp;ID1=92849730&amp;VALUEID=02001&amp;SDATE=200403&amp;PERIODTYPE=QTR_STD&amp;SCFT=3&amp;window=popup_no_bar&amp;width=385&amp;height=120&amp;START_MAXIMIZED=FALSE&amp;creator=factset&amp;display_string=Audit"}</definedName>
    <definedName name="_2941__FDSAUDITLINK__" hidden="1">{"fdsup://Directions/FactSet Auditing Viewer?action=AUDIT_VALUE&amp;DB=129&amp;ID1=92849730&amp;VALUEID=02001&amp;SDATE=200403&amp;PERIODTYPE=QTR_STD&amp;SCFT=3&amp;window=popup_no_bar&amp;width=385&amp;height=120&amp;START_MAXIMIZED=FALSE&amp;creator=factset&amp;display_string=Audit"}</definedName>
    <definedName name="_2942__FDSAUDITLINK__" localSheetId="7" hidden="1">{"fdsup://Directions/FactSet Auditing Viewer?action=AUDIT_VALUE&amp;DB=129&amp;ID1=92849730&amp;VALUEID=02001&amp;SDATE=200403&amp;PERIODTYPE=QTR_STD&amp;SCFT=3&amp;window=popup_no_bar&amp;width=385&amp;height=120&amp;START_MAXIMIZED=FALSE&amp;creator=factset&amp;display_string=Audit"}</definedName>
    <definedName name="_2942__FDSAUDITLINK__" hidden="1">{"fdsup://Directions/FactSet Auditing Viewer?action=AUDIT_VALUE&amp;DB=129&amp;ID1=92849730&amp;VALUEID=02001&amp;SDATE=200403&amp;PERIODTYPE=QTR_STD&amp;SCFT=3&amp;window=popup_no_bar&amp;width=385&amp;height=120&amp;START_MAXIMIZED=FALSE&amp;creator=factset&amp;display_string=Audit"}</definedName>
    <definedName name="_2943__FDSAUDITLINK__" localSheetId="7" hidden="1">{"fdsup://Directions/FactSet Auditing Viewer?action=AUDIT_VALUE&amp;DB=129&amp;ID1=88250810&amp;VALUEID=02001&amp;SDATE=200402&amp;PERIODTYPE=QTR_STD&amp;SCFT=3&amp;window=popup_no_bar&amp;width=385&amp;height=120&amp;START_MAXIMIZED=FALSE&amp;creator=factset&amp;display_string=Audit"}</definedName>
    <definedName name="_2943__FDSAUDITLINK__" hidden="1">{"fdsup://Directions/FactSet Auditing Viewer?action=AUDIT_VALUE&amp;DB=129&amp;ID1=88250810&amp;VALUEID=02001&amp;SDATE=200402&amp;PERIODTYPE=QTR_STD&amp;SCFT=3&amp;window=popup_no_bar&amp;width=385&amp;height=120&amp;START_MAXIMIZED=FALSE&amp;creator=factset&amp;display_string=Audit"}</definedName>
    <definedName name="_2944__FDSAUDITLINK__" localSheetId="7" hidden="1">{"fdsup://Directions/FactSet Auditing Viewer?action=AUDIT_VALUE&amp;DB=129&amp;ID1=88250810&amp;VALUEID=02001&amp;SDATE=200402&amp;PERIODTYPE=QTR_STD&amp;SCFT=3&amp;window=popup_no_bar&amp;width=385&amp;height=120&amp;START_MAXIMIZED=FALSE&amp;creator=factset&amp;display_string=Audit"}</definedName>
    <definedName name="_2944__FDSAUDITLINK__" hidden="1">{"fdsup://Directions/FactSet Auditing Viewer?action=AUDIT_VALUE&amp;DB=129&amp;ID1=88250810&amp;VALUEID=02001&amp;SDATE=200402&amp;PERIODTYPE=QTR_STD&amp;SCFT=3&amp;window=popup_no_bar&amp;width=385&amp;height=120&amp;START_MAXIMIZED=FALSE&amp;creator=factset&amp;display_string=Audit"}</definedName>
    <definedName name="_2945__FDSAUDITLINK__" localSheetId="7" hidden="1">{"fdsup://Directions/FactSet Auditing Viewer?action=AUDIT_VALUE&amp;DB=129&amp;ID1=89674K10&amp;VALUEID=02001&amp;SDATE=200402&amp;PERIODTYPE=QTR_STD&amp;SCFT=3&amp;window=popup_no_bar&amp;width=385&amp;height=120&amp;START_MAXIMIZED=FALSE&amp;creator=factset&amp;display_string=Audit"}</definedName>
    <definedName name="_2945__FDSAUDITLINK__" hidden="1">{"fdsup://Directions/FactSet Auditing Viewer?action=AUDIT_VALUE&amp;DB=129&amp;ID1=89674K10&amp;VALUEID=02001&amp;SDATE=200402&amp;PERIODTYPE=QTR_STD&amp;SCFT=3&amp;window=popup_no_bar&amp;width=385&amp;height=120&amp;START_MAXIMIZED=FALSE&amp;creator=factset&amp;display_string=Audit"}</definedName>
    <definedName name="_2946__FDSAUDITLINK__" localSheetId="7" hidden="1">{"fdsup://Directions/FactSet Auditing Viewer?action=AUDIT_VALUE&amp;DB=129&amp;ID1=89674K10&amp;VALUEID=02001&amp;SDATE=200402&amp;PERIODTYPE=QTR_STD&amp;SCFT=3&amp;window=popup_no_bar&amp;width=385&amp;height=120&amp;START_MAXIMIZED=FALSE&amp;creator=factset&amp;display_string=Audit"}</definedName>
    <definedName name="_2946__FDSAUDITLINK__" hidden="1">{"fdsup://Directions/FactSet Auditing Viewer?action=AUDIT_VALUE&amp;DB=129&amp;ID1=89674K10&amp;VALUEID=02001&amp;SDATE=200402&amp;PERIODTYPE=QTR_STD&amp;SCFT=3&amp;window=popup_no_bar&amp;width=385&amp;height=120&amp;START_MAXIMIZED=FALSE&amp;creator=factset&amp;display_string=Audit"}</definedName>
    <definedName name="_2947__FDSAUDITLINK__" localSheetId="7" hidden="1">{"fdsup://Directions/FactSet Auditing Viewer?action=AUDIT_VALUE&amp;DB=129&amp;ID1=83088M10&amp;VALUEID=02001&amp;SDATE=200403&amp;PERIODTYPE=QTR_STD&amp;SCFT=3&amp;window=popup_no_bar&amp;width=385&amp;height=120&amp;START_MAXIMIZED=FALSE&amp;creator=factset&amp;display_string=Audit"}</definedName>
    <definedName name="_2947__FDSAUDITLINK__" hidden="1">{"fdsup://Directions/FactSet Auditing Viewer?action=AUDIT_VALUE&amp;DB=129&amp;ID1=83088M10&amp;VALUEID=02001&amp;SDATE=200403&amp;PERIODTYPE=QTR_STD&amp;SCFT=3&amp;window=popup_no_bar&amp;width=385&amp;height=120&amp;START_MAXIMIZED=FALSE&amp;creator=factset&amp;display_string=Audit"}</definedName>
    <definedName name="_2948__FDSAUDITLINK__" localSheetId="7" hidden="1">{"fdsup://Directions/FactSet Auditing Viewer?action=AUDIT_VALUE&amp;DB=129&amp;ID1=83088M10&amp;VALUEID=02001&amp;SDATE=200403&amp;PERIODTYPE=QTR_STD&amp;SCFT=3&amp;window=popup_no_bar&amp;width=385&amp;height=120&amp;START_MAXIMIZED=FALSE&amp;creator=factset&amp;display_string=Audit"}</definedName>
    <definedName name="_2948__FDSAUDITLINK__" hidden="1">{"fdsup://Directions/FactSet Auditing Viewer?action=AUDIT_VALUE&amp;DB=129&amp;ID1=83088M10&amp;VALUEID=02001&amp;SDATE=200403&amp;PERIODTYPE=QTR_STD&amp;SCFT=3&amp;window=popup_no_bar&amp;width=385&amp;height=120&amp;START_MAXIMIZED=FALSE&amp;creator=factset&amp;display_string=Audit"}</definedName>
    <definedName name="_2949__FDSAUDITLINK__" localSheetId="7" hidden="1">{"fdsup://Directions/FactSet Auditing Viewer?action=AUDIT_VALUE&amp;DB=129&amp;ID1=78477410&amp;VALUEID=02001&amp;SDATE=200402&amp;PERIODTYPE=QTR_STD&amp;SCFT=3&amp;window=popup_no_bar&amp;width=385&amp;height=120&amp;START_MAXIMIZED=FALSE&amp;creator=factset&amp;display_string=Audit"}</definedName>
    <definedName name="_2949__FDSAUDITLINK__" hidden="1">{"fdsup://Directions/FactSet Auditing Viewer?action=AUDIT_VALUE&amp;DB=129&amp;ID1=78477410&amp;VALUEID=02001&amp;SDATE=200402&amp;PERIODTYPE=QTR_STD&amp;SCFT=3&amp;window=popup_no_bar&amp;width=385&amp;height=120&amp;START_MAXIMIZED=FALSE&amp;creator=factset&amp;display_string=Audit"}</definedName>
    <definedName name="_295__FDSAUDITLINK__" localSheetId="7" hidden="1">{"fdsup://Directions/FactSet Auditing Viewer?action=AUDIT_VALUE&amp;DB=129&amp;ID1=00752J10&amp;VALUEID=02001&amp;SDATE=201004&amp;PERIODTYPE=QTR_STD&amp;SCFT=3&amp;window=popup_no_bar&amp;width=385&amp;height=120&amp;START_MAXIMIZED=FALSE&amp;creator=factset&amp;display_string=Audit"}</definedName>
    <definedName name="_295__FDSAUDITLINK__" hidden="1">{"fdsup://Directions/FactSet Auditing Viewer?action=AUDIT_VALUE&amp;DB=129&amp;ID1=00752J10&amp;VALUEID=02001&amp;SDATE=201004&amp;PERIODTYPE=QTR_STD&amp;SCFT=3&amp;window=popup_no_bar&amp;width=385&amp;height=120&amp;START_MAXIMIZED=FALSE&amp;creator=factset&amp;display_string=Audit"}</definedName>
    <definedName name="_2950__FDSAUDITLINK__" localSheetId="7" hidden="1">{"fdsup://Directions/FactSet Auditing Viewer?action=AUDIT_VALUE&amp;DB=129&amp;ID1=78477410&amp;VALUEID=02001&amp;SDATE=200402&amp;PERIODTYPE=QTR_STD&amp;SCFT=3&amp;window=popup_no_bar&amp;width=385&amp;height=120&amp;START_MAXIMIZED=FALSE&amp;creator=factset&amp;display_string=Audit"}</definedName>
    <definedName name="_2950__FDSAUDITLINK__" hidden="1">{"fdsup://Directions/FactSet Auditing Viewer?action=AUDIT_VALUE&amp;DB=129&amp;ID1=78477410&amp;VALUEID=02001&amp;SDATE=200402&amp;PERIODTYPE=QTR_STD&amp;SCFT=3&amp;window=popup_no_bar&amp;width=385&amp;height=120&amp;START_MAXIMIZED=FALSE&amp;creator=factset&amp;display_string=Audit"}</definedName>
    <definedName name="_2951__FDSAUDITLINK__" localSheetId="7" hidden="1">{"fdsup://Directions/FactSet Auditing Viewer?action=AUDIT_VALUE&amp;DB=129&amp;ID1=83547010&amp;VALUEID=02001&amp;SDATE=200402&amp;PERIODTYPE=QTR_STD&amp;SCFT=3&amp;window=popup_no_bar&amp;width=385&amp;height=120&amp;START_MAXIMIZED=FALSE&amp;creator=factset&amp;display_string=Audit"}</definedName>
    <definedName name="_2951__FDSAUDITLINK__" hidden="1">{"fdsup://Directions/FactSet Auditing Viewer?action=AUDIT_VALUE&amp;DB=129&amp;ID1=83547010&amp;VALUEID=02001&amp;SDATE=200402&amp;PERIODTYPE=QTR_STD&amp;SCFT=3&amp;window=popup_no_bar&amp;width=385&amp;height=120&amp;START_MAXIMIZED=FALSE&amp;creator=factset&amp;display_string=Audit"}</definedName>
    <definedName name="_2952__FDSAUDITLINK__" localSheetId="7" hidden="1">{"fdsup://Directions/FactSet Auditing Viewer?action=AUDIT_VALUE&amp;DB=129&amp;ID1=83547010&amp;VALUEID=02001&amp;SDATE=200402&amp;PERIODTYPE=QTR_STD&amp;SCFT=3&amp;window=popup_no_bar&amp;width=385&amp;height=120&amp;START_MAXIMIZED=FALSE&amp;creator=factset&amp;display_string=Audit"}</definedName>
    <definedName name="_2952__FDSAUDITLINK__" hidden="1">{"fdsup://Directions/FactSet Auditing Viewer?action=AUDIT_VALUE&amp;DB=129&amp;ID1=83547010&amp;VALUEID=02001&amp;SDATE=200402&amp;PERIODTYPE=QTR_STD&amp;SCFT=3&amp;window=popup_no_bar&amp;width=385&amp;height=120&amp;START_MAXIMIZED=FALSE&amp;creator=factset&amp;display_string=Audit"}</definedName>
    <definedName name="_2953__FDSAUDITLINK__" localSheetId="7" hidden="1">{"fdsup://Directions/FactSet Auditing Viewer?action=AUDIT_VALUE&amp;DB=129&amp;ID1=87160710&amp;VALUEID=02001&amp;SDATE=200403&amp;PERIODTYPE=QTR_STD&amp;SCFT=3&amp;window=popup_no_bar&amp;width=385&amp;height=120&amp;START_MAXIMIZED=FALSE&amp;creator=factset&amp;display_string=Audit"}</definedName>
    <definedName name="_2953__FDSAUDITLINK__" hidden="1">{"fdsup://Directions/FactSet Auditing Viewer?action=AUDIT_VALUE&amp;DB=129&amp;ID1=87160710&amp;VALUEID=02001&amp;SDATE=200403&amp;PERIODTYPE=QTR_STD&amp;SCFT=3&amp;window=popup_no_bar&amp;width=385&amp;height=120&amp;START_MAXIMIZED=FALSE&amp;creator=factset&amp;display_string=Audit"}</definedName>
    <definedName name="_2954__FDSAUDITLINK__" localSheetId="7" hidden="1">{"fdsup://Directions/FactSet Auditing Viewer?action=AUDIT_VALUE&amp;DB=129&amp;ID1=87160710&amp;VALUEID=02001&amp;SDATE=200403&amp;PERIODTYPE=QTR_STD&amp;SCFT=3&amp;window=popup_no_bar&amp;width=385&amp;height=120&amp;START_MAXIMIZED=FALSE&amp;creator=factset&amp;display_string=Audit"}</definedName>
    <definedName name="_2954__FDSAUDITLINK__" hidden="1">{"fdsup://Directions/FactSet Auditing Viewer?action=AUDIT_VALUE&amp;DB=129&amp;ID1=87160710&amp;VALUEID=02001&amp;SDATE=200403&amp;PERIODTYPE=QTR_STD&amp;SCFT=3&amp;window=popup_no_bar&amp;width=385&amp;height=120&amp;START_MAXIMIZED=FALSE&amp;creator=factset&amp;display_string=Audit"}</definedName>
    <definedName name="_2955__FDSAUDITLINK__" localSheetId="7" hidden="1">{"fdsup://Directions/FactSet Auditing Viewer?action=AUDIT_VALUE&amp;DB=129&amp;ID1=80004C10&amp;VALUEID=02001&amp;SDATE=200402&amp;PERIODTYPE=QTR_STD&amp;SCFT=3&amp;window=popup_no_bar&amp;width=385&amp;height=120&amp;START_MAXIMIZED=FALSE&amp;creator=factset&amp;display_string=Audit"}</definedName>
    <definedName name="_2955__FDSAUDITLINK__" hidden="1">{"fdsup://Directions/FactSet Auditing Viewer?action=AUDIT_VALUE&amp;DB=129&amp;ID1=80004C10&amp;VALUEID=02001&amp;SDATE=200402&amp;PERIODTYPE=QTR_STD&amp;SCFT=3&amp;window=popup_no_bar&amp;width=385&amp;height=120&amp;START_MAXIMIZED=FALSE&amp;creator=factset&amp;display_string=Audit"}</definedName>
    <definedName name="_2956__FDSAUDITLINK__" localSheetId="7" hidden="1">{"fdsup://Directions/FactSet Auditing Viewer?action=AUDIT_VALUE&amp;DB=129&amp;ID1=80004C10&amp;VALUEID=02001&amp;SDATE=200402&amp;PERIODTYPE=QTR_STD&amp;SCFT=3&amp;window=popup_no_bar&amp;width=385&amp;height=120&amp;START_MAXIMIZED=FALSE&amp;creator=factset&amp;display_string=Audit"}</definedName>
    <definedName name="_2956__FDSAUDITLINK__" hidden="1">{"fdsup://Directions/FactSet Auditing Viewer?action=AUDIT_VALUE&amp;DB=129&amp;ID1=80004C10&amp;VALUEID=02001&amp;SDATE=200402&amp;PERIODTYPE=QTR_STD&amp;SCFT=3&amp;window=popup_no_bar&amp;width=385&amp;height=120&amp;START_MAXIMIZED=FALSE&amp;creator=factset&amp;display_string=Audit"}</definedName>
    <definedName name="_2957__FDSAUDITLINK__" localSheetId="7" hidden="1">{"fdsup://Directions/FactSet Auditing Viewer?action=AUDIT_VALUE&amp;DB=129&amp;ID1=81685010&amp;VALUEID=02001&amp;SDATE=200402&amp;PERIODTYPE=QTR_STD&amp;SCFT=3&amp;window=popup_no_bar&amp;width=385&amp;height=120&amp;START_MAXIMIZED=FALSE&amp;creator=factset&amp;display_string=Audit"}</definedName>
    <definedName name="_2957__FDSAUDITLINK__" hidden="1">{"fdsup://Directions/FactSet Auditing Viewer?action=AUDIT_VALUE&amp;DB=129&amp;ID1=81685010&amp;VALUEID=02001&amp;SDATE=200402&amp;PERIODTYPE=QTR_STD&amp;SCFT=3&amp;window=popup_no_bar&amp;width=385&amp;height=120&amp;START_MAXIMIZED=FALSE&amp;creator=factset&amp;display_string=Audit"}</definedName>
    <definedName name="_2958__FDSAUDITLINK__" localSheetId="7" hidden="1">{"fdsup://Directions/FactSet Auditing Viewer?action=AUDIT_VALUE&amp;DB=129&amp;ID1=81685010&amp;VALUEID=02001&amp;SDATE=200402&amp;PERIODTYPE=QTR_STD&amp;SCFT=3&amp;window=popup_no_bar&amp;width=385&amp;height=120&amp;START_MAXIMIZED=FALSE&amp;creator=factset&amp;display_string=Audit"}</definedName>
    <definedName name="_2958__FDSAUDITLINK__" hidden="1">{"fdsup://Directions/FactSet Auditing Viewer?action=AUDIT_VALUE&amp;DB=129&amp;ID1=81685010&amp;VALUEID=02001&amp;SDATE=200402&amp;PERIODTYPE=QTR_STD&amp;SCFT=3&amp;window=popup_no_bar&amp;width=385&amp;height=120&amp;START_MAXIMIZED=FALSE&amp;creator=factset&amp;display_string=Audit"}</definedName>
    <definedName name="_2959__FDSAUDITLINK__" localSheetId="7" hidden="1">{"fdsup://Directions/FactSet Auditing Viewer?action=AUDIT_VALUE&amp;DB=129&amp;ID1=82691910&amp;VALUEID=02001&amp;SDATE=200402&amp;PERIODTYPE=QTR_STD&amp;SCFT=3&amp;window=popup_no_bar&amp;width=385&amp;height=120&amp;START_MAXIMIZED=FALSE&amp;creator=factset&amp;display_string=Audit"}</definedName>
    <definedName name="_2959__FDSAUDITLINK__" hidden="1">{"fdsup://Directions/FactSet Auditing Viewer?action=AUDIT_VALUE&amp;DB=129&amp;ID1=82691910&amp;VALUEID=02001&amp;SDATE=200402&amp;PERIODTYPE=QTR_STD&amp;SCFT=3&amp;window=popup_no_bar&amp;width=385&amp;height=120&amp;START_MAXIMIZED=FALSE&amp;creator=factset&amp;display_string=Audit"}</definedName>
    <definedName name="_296__FDSAUDITLINK__" localSheetId="7" hidden="1">{"fdsup://Directions/FactSet Auditing Viewer?action=AUDIT_VALUE&amp;DB=129&amp;ID1=00752J10&amp;VALUEID=02001&amp;SDATE=201004&amp;PERIODTYPE=QTR_STD&amp;SCFT=3&amp;window=popup_no_bar&amp;width=385&amp;height=120&amp;START_MAXIMIZED=FALSE&amp;creator=factset&amp;display_string=Audit"}</definedName>
    <definedName name="_296__FDSAUDITLINK__" hidden="1">{"fdsup://Directions/FactSet Auditing Viewer?action=AUDIT_VALUE&amp;DB=129&amp;ID1=00752J10&amp;VALUEID=02001&amp;SDATE=201004&amp;PERIODTYPE=QTR_STD&amp;SCFT=3&amp;window=popup_no_bar&amp;width=385&amp;height=120&amp;START_MAXIMIZED=FALSE&amp;creator=factset&amp;display_string=Audit"}</definedName>
    <definedName name="_2960__FDSAUDITLINK__" localSheetId="7" hidden="1">{"fdsup://Directions/FactSet Auditing Viewer?action=AUDIT_VALUE&amp;DB=129&amp;ID1=82691910&amp;VALUEID=02001&amp;SDATE=200402&amp;PERIODTYPE=QTR_STD&amp;SCFT=3&amp;window=popup_no_bar&amp;width=385&amp;height=120&amp;START_MAXIMIZED=FALSE&amp;creator=factset&amp;display_string=Audit"}</definedName>
    <definedName name="_2960__FDSAUDITLINK__" hidden="1">{"fdsup://Directions/FactSet Auditing Viewer?action=AUDIT_VALUE&amp;DB=129&amp;ID1=82691910&amp;VALUEID=02001&amp;SDATE=200402&amp;PERIODTYPE=QTR_STD&amp;SCFT=3&amp;window=popup_no_bar&amp;width=385&amp;height=120&amp;START_MAXIMIZED=FALSE&amp;creator=factset&amp;display_string=Audit"}</definedName>
    <definedName name="_2961__FDSAUDITLINK__" localSheetId="7" hidden="1">{"fdsup://Directions/FactSet Auditing Viewer?action=AUDIT_VALUE&amp;DB=129&amp;ID1=82705T10&amp;VALUEID=02001&amp;SDATE=200402&amp;PERIODTYPE=QTR_STD&amp;SCFT=3&amp;window=popup_no_bar&amp;width=385&amp;height=120&amp;START_MAXIMIZED=FALSE&amp;creator=factset&amp;display_string=Audit"}</definedName>
    <definedName name="_2961__FDSAUDITLINK__" hidden="1">{"fdsup://Directions/FactSet Auditing Viewer?action=AUDIT_VALUE&amp;DB=129&amp;ID1=82705T10&amp;VALUEID=02001&amp;SDATE=200402&amp;PERIODTYPE=QTR_STD&amp;SCFT=3&amp;window=popup_no_bar&amp;width=385&amp;height=120&amp;START_MAXIMIZED=FALSE&amp;creator=factset&amp;display_string=Audit"}</definedName>
    <definedName name="_2962__FDSAUDITLINK__" localSheetId="7" hidden="1">{"fdsup://Directions/FactSet Auditing Viewer?action=AUDIT_VALUE&amp;DB=129&amp;ID1=82705T10&amp;VALUEID=02001&amp;SDATE=200402&amp;PERIODTYPE=QTR_STD&amp;SCFT=3&amp;window=popup_no_bar&amp;width=385&amp;height=120&amp;START_MAXIMIZED=FALSE&amp;creator=factset&amp;display_string=Audit"}</definedName>
    <definedName name="_2962__FDSAUDITLINK__" hidden="1">{"fdsup://Directions/FactSet Auditing Viewer?action=AUDIT_VALUE&amp;DB=129&amp;ID1=82705T10&amp;VALUEID=02001&amp;SDATE=200402&amp;PERIODTYPE=QTR_STD&amp;SCFT=3&amp;window=popup_no_bar&amp;width=385&amp;height=120&amp;START_MAXIMIZED=FALSE&amp;creator=factset&amp;display_string=Audit"}</definedName>
    <definedName name="_2963__FDSAUDITLINK__" localSheetId="7" hidden="1">{"fdsup://Directions/FactSet Auditing Viewer?action=AUDIT_VALUE&amp;DB=129&amp;ID1=75091710&amp;VALUEID=02001&amp;SDATE=200402&amp;PERIODTYPE=QTR_STD&amp;SCFT=3&amp;window=popup_no_bar&amp;width=385&amp;height=120&amp;START_MAXIMIZED=FALSE&amp;creator=factset&amp;display_string=Audit"}</definedName>
    <definedName name="_2963__FDSAUDITLINK__" hidden="1">{"fdsup://Directions/FactSet Auditing Viewer?action=AUDIT_VALUE&amp;DB=129&amp;ID1=75091710&amp;VALUEID=02001&amp;SDATE=200402&amp;PERIODTYPE=QTR_STD&amp;SCFT=3&amp;window=popup_no_bar&amp;width=385&amp;height=120&amp;START_MAXIMIZED=FALSE&amp;creator=factset&amp;display_string=Audit"}</definedName>
    <definedName name="_2964__FDSAUDITLINK__" localSheetId="7" hidden="1">{"fdsup://Directions/FactSet Auditing Viewer?action=AUDIT_VALUE&amp;DB=129&amp;ID1=75091710&amp;VALUEID=02001&amp;SDATE=200402&amp;PERIODTYPE=QTR_STD&amp;SCFT=3&amp;window=popup_no_bar&amp;width=385&amp;height=120&amp;START_MAXIMIZED=FALSE&amp;creator=factset&amp;display_string=Audit"}</definedName>
    <definedName name="_2964__FDSAUDITLINK__" hidden="1">{"fdsup://Directions/FactSet Auditing Viewer?action=AUDIT_VALUE&amp;DB=129&amp;ID1=75091710&amp;VALUEID=02001&amp;SDATE=200402&amp;PERIODTYPE=QTR_STD&amp;SCFT=3&amp;window=popup_no_bar&amp;width=385&amp;height=120&amp;START_MAXIMIZED=FALSE&amp;creator=factset&amp;display_string=Audit"}</definedName>
    <definedName name="_2965__FDSAUDITLINK__" localSheetId="7" hidden="1">{"fdsup://Directions/FactSet Auditing Viewer?action=AUDIT_VALUE&amp;DB=129&amp;ID1=74994110&amp;VALUEID=02001&amp;SDATE=200401&amp;PERIODTYPE=QTR_STD&amp;SCFT=3&amp;window=popup_no_bar&amp;width=385&amp;height=120&amp;START_MAXIMIZED=FALSE&amp;creator=factset&amp;display_string=Audit"}</definedName>
    <definedName name="_2965__FDSAUDITLINK__" hidden="1">{"fdsup://Directions/FactSet Auditing Viewer?action=AUDIT_VALUE&amp;DB=129&amp;ID1=74994110&amp;VALUEID=02001&amp;SDATE=200401&amp;PERIODTYPE=QTR_STD&amp;SCFT=3&amp;window=popup_no_bar&amp;width=385&amp;height=120&amp;START_MAXIMIZED=FALSE&amp;creator=factset&amp;display_string=Audit"}</definedName>
    <definedName name="_2966__FDSAUDITLINK__" localSheetId="7" hidden="1">{"fdsup://Directions/FactSet Auditing Viewer?action=AUDIT_VALUE&amp;DB=129&amp;ID1=74994110&amp;VALUEID=02001&amp;SDATE=200401&amp;PERIODTYPE=QTR_STD&amp;SCFT=3&amp;window=popup_no_bar&amp;width=385&amp;height=120&amp;START_MAXIMIZED=FALSE&amp;creator=factset&amp;display_string=Audit"}</definedName>
    <definedName name="_2966__FDSAUDITLINK__" hidden="1">{"fdsup://Directions/FactSet Auditing Viewer?action=AUDIT_VALUE&amp;DB=129&amp;ID1=74994110&amp;VALUEID=02001&amp;SDATE=200401&amp;PERIODTYPE=QTR_STD&amp;SCFT=3&amp;window=popup_no_bar&amp;width=385&amp;height=120&amp;START_MAXIMIZED=FALSE&amp;creator=factset&amp;display_string=Audit"}</definedName>
    <definedName name="_2967__FDSAUDITLINK__" localSheetId="7" hidden="1">{"fdsup://Directions/FactSet Auditing Viewer?action=AUDIT_VALUE&amp;DB=129&amp;ID1=74727710&amp;VALUEID=02001&amp;SDATE=200401&amp;PERIODTYPE=QTR_STD&amp;SCFT=3&amp;window=popup_no_bar&amp;width=385&amp;height=120&amp;START_MAXIMIZED=FALSE&amp;creator=factset&amp;display_string=Audit"}</definedName>
    <definedName name="_2967__FDSAUDITLINK__" hidden="1">{"fdsup://Directions/FactSet Auditing Viewer?action=AUDIT_VALUE&amp;DB=129&amp;ID1=74727710&amp;VALUEID=02001&amp;SDATE=200401&amp;PERIODTYPE=QTR_STD&amp;SCFT=3&amp;window=popup_no_bar&amp;width=385&amp;height=120&amp;START_MAXIMIZED=FALSE&amp;creator=factset&amp;display_string=Audit"}</definedName>
    <definedName name="_2968__FDSAUDITLINK__" localSheetId="7" hidden="1">{"fdsup://Directions/FactSet Auditing Viewer?action=AUDIT_VALUE&amp;DB=129&amp;ID1=74727710&amp;VALUEID=02001&amp;SDATE=200401&amp;PERIODTYPE=QTR_STD&amp;SCFT=3&amp;window=popup_no_bar&amp;width=385&amp;height=120&amp;START_MAXIMIZED=FALSE&amp;creator=factset&amp;display_string=Audit"}</definedName>
    <definedName name="_2968__FDSAUDITLINK__" hidden="1">{"fdsup://Directions/FactSet Auditing Viewer?action=AUDIT_VALUE&amp;DB=129&amp;ID1=74727710&amp;VALUEID=02001&amp;SDATE=200401&amp;PERIODTYPE=QTR_STD&amp;SCFT=3&amp;window=popup_no_bar&amp;width=385&amp;height=120&amp;START_MAXIMIZED=FALSE&amp;creator=factset&amp;display_string=Audit"}</definedName>
    <definedName name="_2969__FDSAUDITLINK__" localSheetId="7" hidden="1">{"fdsup://Directions/FactSet Auditing Viewer?action=AUDIT_VALUE&amp;DB=129&amp;ID1=74752510&amp;VALUEID=02001&amp;SDATE=200403&amp;PERIODTYPE=QTR_STD&amp;SCFT=3&amp;window=popup_no_bar&amp;width=385&amp;height=120&amp;START_MAXIMIZED=FALSE&amp;creator=factset&amp;display_string=Audit"}</definedName>
    <definedName name="_2969__FDSAUDITLINK__" hidden="1">{"fdsup://Directions/FactSet Auditing Viewer?action=AUDIT_VALUE&amp;DB=129&amp;ID1=74752510&amp;VALUEID=02001&amp;SDATE=200403&amp;PERIODTYPE=QTR_STD&amp;SCFT=3&amp;window=popup_no_bar&amp;width=385&amp;height=120&amp;START_MAXIMIZED=FALSE&amp;creator=factset&amp;display_string=Audit"}</definedName>
    <definedName name="_297__FDSAUDITLINK__" localSheetId="7" hidden="1">{"fdsup://Directions/FactSet Auditing Viewer?action=AUDIT_VALUE&amp;DB=129&amp;ID1=98975F10&amp;VALUEID=02001&amp;SDATE=201003&amp;PERIODTYPE=QTR_STD&amp;SCFT=3&amp;window=popup_no_bar&amp;width=385&amp;height=120&amp;START_MAXIMIZED=FALSE&amp;creator=factset&amp;display_string=Audit"}</definedName>
    <definedName name="_297__FDSAUDITLINK__" hidden="1">{"fdsup://Directions/FactSet Auditing Viewer?action=AUDIT_VALUE&amp;DB=129&amp;ID1=98975F10&amp;VALUEID=02001&amp;SDATE=201003&amp;PERIODTYPE=QTR_STD&amp;SCFT=3&amp;window=popup_no_bar&amp;width=385&amp;height=120&amp;START_MAXIMIZED=FALSE&amp;creator=factset&amp;display_string=Audit"}</definedName>
    <definedName name="_2970__FDSAUDITLINK__" localSheetId="7" hidden="1">{"fdsup://Directions/FactSet Auditing Viewer?action=AUDIT_VALUE&amp;DB=129&amp;ID1=74752510&amp;VALUEID=02001&amp;SDATE=200403&amp;PERIODTYPE=QTR_STD&amp;SCFT=3&amp;window=popup_no_bar&amp;width=385&amp;height=120&amp;START_MAXIMIZED=FALSE&amp;creator=factset&amp;display_string=Audit"}</definedName>
    <definedName name="_2970__FDSAUDITLINK__" hidden="1">{"fdsup://Directions/FactSet Auditing Viewer?action=AUDIT_VALUE&amp;DB=129&amp;ID1=74752510&amp;VALUEID=02001&amp;SDATE=200403&amp;PERIODTYPE=QTR_STD&amp;SCFT=3&amp;window=popup_no_bar&amp;width=385&amp;height=120&amp;START_MAXIMIZED=FALSE&amp;creator=factset&amp;display_string=Audit"}</definedName>
    <definedName name="_2971__FDSAUDITLINK__" localSheetId="7" hidden="1">{"fdsup://Directions/FactSet Auditing Viewer?action=AUDIT_VALUE&amp;DB=129&amp;ID1=72581M30&amp;VALUEID=02001&amp;SDATE=200402&amp;PERIODTYPE=QTR_STD&amp;SCFT=3&amp;window=popup_no_bar&amp;width=385&amp;height=120&amp;START_MAXIMIZED=FALSE&amp;creator=factset&amp;display_string=Audit"}</definedName>
    <definedName name="_2971__FDSAUDITLINK__" hidden="1">{"fdsup://Directions/FactSet Auditing Viewer?action=AUDIT_VALUE&amp;DB=129&amp;ID1=72581M30&amp;VALUEID=02001&amp;SDATE=200402&amp;PERIODTYPE=QTR_STD&amp;SCFT=3&amp;window=popup_no_bar&amp;width=385&amp;height=120&amp;START_MAXIMIZED=FALSE&amp;creator=factset&amp;display_string=Audit"}</definedName>
    <definedName name="_2972__FDSAUDITLINK__" localSheetId="7" hidden="1">{"fdsup://Directions/FactSet Auditing Viewer?action=AUDIT_VALUE&amp;DB=129&amp;ID1=72581M30&amp;VALUEID=02001&amp;SDATE=200402&amp;PERIODTYPE=QTR_STD&amp;SCFT=3&amp;window=popup_no_bar&amp;width=385&amp;height=120&amp;START_MAXIMIZED=FALSE&amp;creator=factset&amp;display_string=Audit"}</definedName>
    <definedName name="_2972__FDSAUDITLINK__" hidden="1">{"fdsup://Directions/FactSet Auditing Viewer?action=AUDIT_VALUE&amp;DB=129&amp;ID1=72581M30&amp;VALUEID=02001&amp;SDATE=200402&amp;PERIODTYPE=QTR_STD&amp;SCFT=3&amp;window=popup_no_bar&amp;width=385&amp;height=120&amp;START_MAXIMIZED=FALSE&amp;creator=factset&amp;display_string=Audit"}</definedName>
    <definedName name="_2973__FDSAUDITLINK__" localSheetId="7" hidden="1">{"fdsup://Directions/FactSet Auditing Viewer?action=AUDIT_VALUE&amp;DB=129&amp;ID1=73927610&amp;VALUEID=02001&amp;SDATE=200402&amp;PERIODTYPE=QTR_STD&amp;SCFT=3&amp;window=popup_no_bar&amp;width=385&amp;height=120&amp;START_MAXIMIZED=FALSE&amp;creator=factset&amp;display_string=Audit"}</definedName>
    <definedName name="_2973__FDSAUDITLINK__" hidden="1">{"fdsup://Directions/FactSet Auditing Viewer?action=AUDIT_VALUE&amp;DB=129&amp;ID1=73927610&amp;VALUEID=02001&amp;SDATE=200402&amp;PERIODTYPE=QTR_STD&amp;SCFT=3&amp;window=popup_no_bar&amp;width=385&amp;height=120&amp;START_MAXIMIZED=FALSE&amp;creator=factset&amp;display_string=Audit"}</definedName>
    <definedName name="_2974__FDSAUDITLINK__" localSheetId="7" hidden="1">{"fdsup://Directions/FactSet Auditing Viewer?action=AUDIT_VALUE&amp;DB=129&amp;ID1=73927610&amp;VALUEID=02001&amp;SDATE=200402&amp;PERIODTYPE=QTR_STD&amp;SCFT=3&amp;window=popup_no_bar&amp;width=385&amp;height=120&amp;START_MAXIMIZED=FALSE&amp;creator=factset&amp;display_string=Audit"}</definedName>
    <definedName name="_2974__FDSAUDITLINK__" hidden="1">{"fdsup://Directions/FactSet Auditing Viewer?action=AUDIT_VALUE&amp;DB=129&amp;ID1=73927610&amp;VALUEID=02001&amp;SDATE=200402&amp;PERIODTYPE=QTR_STD&amp;SCFT=3&amp;window=popup_no_bar&amp;width=385&amp;height=120&amp;START_MAXIMIZED=FALSE&amp;creator=factset&amp;display_string=Audit"}</definedName>
    <definedName name="_2975__FDSAUDITLINK__" localSheetId="7" hidden="1">{"fdsup://Directions/FactSet Auditing Viewer?action=AUDIT_VALUE&amp;DB=129&amp;ID1=69344F10&amp;VALUEID=02001&amp;SDATE=200402&amp;PERIODTYPE=QTR_STD&amp;SCFT=3&amp;window=popup_no_bar&amp;width=385&amp;height=120&amp;START_MAXIMIZED=FALSE&amp;creator=factset&amp;display_string=Audit"}</definedName>
    <definedName name="_2975__FDSAUDITLINK__" hidden="1">{"fdsup://Directions/FactSet Auditing Viewer?action=AUDIT_VALUE&amp;DB=129&amp;ID1=69344F10&amp;VALUEID=02001&amp;SDATE=200402&amp;PERIODTYPE=QTR_STD&amp;SCFT=3&amp;window=popup_no_bar&amp;width=385&amp;height=120&amp;START_MAXIMIZED=FALSE&amp;creator=factset&amp;display_string=Audit"}</definedName>
    <definedName name="_2976__FDSAUDITLINK__" localSheetId="7" hidden="1">{"fdsup://Directions/FactSet Auditing Viewer?action=AUDIT_VALUE&amp;DB=129&amp;ID1=69344F10&amp;VALUEID=02001&amp;SDATE=200402&amp;PERIODTYPE=QTR_STD&amp;SCFT=3&amp;window=popup_no_bar&amp;width=385&amp;height=120&amp;START_MAXIMIZED=FALSE&amp;creator=factset&amp;display_string=Audit"}</definedName>
    <definedName name="_2976__FDSAUDITLINK__" hidden="1">{"fdsup://Directions/FactSet Auditing Viewer?action=AUDIT_VALUE&amp;DB=129&amp;ID1=69344F10&amp;VALUEID=02001&amp;SDATE=200402&amp;PERIODTYPE=QTR_STD&amp;SCFT=3&amp;window=popup_no_bar&amp;width=385&amp;height=120&amp;START_MAXIMIZED=FALSE&amp;creator=factset&amp;display_string=Audit"}</definedName>
    <definedName name="_2977__FDSAUDITLINK__" localSheetId="7" hidden="1">{"fdsup://Directions/FactSet Auditing Viewer?action=AUDIT_VALUE&amp;DB=129&amp;ID1=69341710&amp;VALUEID=02001&amp;SDATE=200402&amp;PERIODTYPE=QTR_STD&amp;SCFT=3&amp;window=popup_no_bar&amp;width=385&amp;height=120&amp;START_MAXIMIZED=FALSE&amp;creator=factset&amp;display_string=Audit"}</definedName>
    <definedName name="_2977__FDSAUDITLINK__" hidden="1">{"fdsup://Directions/FactSet Auditing Viewer?action=AUDIT_VALUE&amp;DB=129&amp;ID1=69341710&amp;VALUEID=02001&amp;SDATE=200402&amp;PERIODTYPE=QTR_STD&amp;SCFT=3&amp;window=popup_no_bar&amp;width=385&amp;height=120&amp;START_MAXIMIZED=FALSE&amp;creator=factset&amp;display_string=Audit"}</definedName>
    <definedName name="_2978__FDSAUDITLINK__" localSheetId="7" hidden="1">{"fdsup://Directions/FactSet Auditing Viewer?action=AUDIT_VALUE&amp;DB=129&amp;ID1=69341710&amp;VALUEID=02001&amp;SDATE=200402&amp;PERIODTYPE=QTR_STD&amp;SCFT=3&amp;window=popup_no_bar&amp;width=385&amp;height=120&amp;START_MAXIMIZED=FALSE&amp;creator=factset&amp;display_string=Audit"}</definedName>
    <definedName name="_2978__FDSAUDITLINK__" hidden="1">{"fdsup://Directions/FactSet Auditing Viewer?action=AUDIT_VALUE&amp;DB=129&amp;ID1=69341710&amp;VALUEID=02001&amp;SDATE=200402&amp;PERIODTYPE=QTR_STD&amp;SCFT=3&amp;window=popup_no_bar&amp;width=385&amp;height=120&amp;START_MAXIMIZED=FALSE&amp;creator=factset&amp;display_string=Audit"}</definedName>
    <definedName name="_2979__FDSAUDITLINK__" localSheetId="7" hidden="1">{"fdsup://Directions/FactSet Auditing Viewer?action=AUDIT_VALUE&amp;DB=129&amp;ID1=68218910&amp;VALUEID=02001&amp;SDATE=200402&amp;PERIODTYPE=QTR_STD&amp;SCFT=3&amp;window=popup_no_bar&amp;width=385&amp;height=120&amp;START_MAXIMIZED=FALSE&amp;creator=factset&amp;display_string=Audit"}</definedName>
    <definedName name="_2979__FDSAUDITLINK__" hidden="1">{"fdsup://Directions/FactSet Auditing Viewer?action=AUDIT_VALUE&amp;DB=129&amp;ID1=68218910&amp;VALUEID=02001&amp;SDATE=200402&amp;PERIODTYPE=QTR_STD&amp;SCFT=3&amp;window=popup_no_bar&amp;width=385&amp;height=120&amp;START_MAXIMIZED=FALSE&amp;creator=factset&amp;display_string=Audit"}</definedName>
    <definedName name="_298__FDSAUDITLINK__" localSheetId="7" hidden="1">{"fdsup://Directions/FactSet Auditing Viewer?action=AUDIT_VALUE&amp;DB=129&amp;ID1=98975F10&amp;VALUEID=02001&amp;SDATE=201003&amp;PERIODTYPE=QTR_STD&amp;SCFT=3&amp;window=popup_no_bar&amp;width=385&amp;height=120&amp;START_MAXIMIZED=FALSE&amp;creator=factset&amp;display_string=Audit"}</definedName>
    <definedName name="_298__FDSAUDITLINK__" hidden="1">{"fdsup://Directions/FactSet Auditing Viewer?action=AUDIT_VALUE&amp;DB=129&amp;ID1=98975F10&amp;VALUEID=02001&amp;SDATE=201003&amp;PERIODTYPE=QTR_STD&amp;SCFT=3&amp;window=popup_no_bar&amp;width=385&amp;height=120&amp;START_MAXIMIZED=FALSE&amp;creator=factset&amp;display_string=Audit"}</definedName>
    <definedName name="_2980__FDSAUDITLINK__" localSheetId="7" hidden="1">{"fdsup://Directions/FactSet Auditing Viewer?action=AUDIT_VALUE&amp;DB=129&amp;ID1=68218910&amp;VALUEID=02001&amp;SDATE=200402&amp;PERIODTYPE=QTR_STD&amp;SCFT=3&amp;window=popup_no_bar&amp;width=385&amp;height=120&amp;START_MAXIMIZED=FALSE&amp;creator=factset&amp;display_string=Audit"}</definedName>
    <definedName name="_2980__FDSAUDITLINK__" hidden="1">{"fdsup://Directions/FactSet Auditing Viewer?action=AUDIT_VALUE&amp;DB=129&amp;ID1=68218910&amp;VALUEID=02001&amp;SDATE=200402&amp;PERIODTYPE=QTR_STD&amp;SCFT=3&amp;window=popup_no_bar&amp;width=385&amp;height=120&amp;START_MAXIMIZED=FALSE&amp;creator=factset&amp;display_string=Audit"}</definedName>
    <definedName name="_2981__FDSAUDITLINK__" localSheetId="7" hidden="1">{"fdsup://Directions/FactSet Auditing Viewer?action=AUDIT_VALUE&amp;DB=129&amp;ID1=67000810&amp;VALUEID=02001&amp;SDATE=200402&amp;PERIODTYPE=QTR_STD&amp;SCFT=3&amp;window=popup_no_bar&amp;width=385&amp;height=120&amp;START_MAXIMIZED=FALSE&amp;creator=factset&amp;display_string=Audit"}</definedName>
    <definedName name="_2981__FDSAUDITLINK__" hidden="1">{"fdsup://Directions/FactSet Auditing Viewer?action=AUDIT_VALUE&amp;DB=129&amp;ID1=67000810&amp;VALUEID=02001&amp;SDATE=200402&amp;PERIODTYPE=QTR_STD&amp;SCFT=3&amp;window=popup_no_bar&amp;width=385&amp;height=120&amp;START_MAXIMIZED=FALSE&amp;creator=factset&amp;display_string=Audit"}</definedName>
    <definedName name="_2982__FDSAUDITLINK__" localSheetId="7" hidden="1">{"fdsup://Directions/FactSet Auditing Viewer?action=AUDIT_VALUE&amp;DB=129&amp;ID1=67000810&amp;VALUEID=02001&amp;SDATE=200402&amp;PERIODTYPE=QTR_STD&amp;SCFT=3&amp;window=popup_no_bar&amp;width=385&amp;height=120&amp;START_MAXIMIZED=FALSE&amp;creator=factset&amp;display_string=Audit"}</definedName>
    <definedName name="_2982__FDSAUDITLINK__" hidden="1">{"fdsup://Directions/FactSet Auditing Viewer?action=AUDIT_VALUE&amp;DB=129&amp;ID1=67000810&amp;VALUEID=02001&amp;SDATE=200402&amp;PERIODTYPE=QTR_STD&amp;SCFT=3&amp;window=popup_no_bar&amp;width=385&amp;height=120&amp;START_MAXIMIZED=FALSE&amp;creator=factset&amp;display_string=Audit"}</definedName>
    <definedName name="_2983__FDSAUDITLINK__" localSheetId="7" hidden="1">{"fdsup://Directions/FactSet Auditing Viewer?action=AUDIT_VALUE&amp;DB=129&amp;ID1=67066G10&amp;VALUEID=02001&amp;SDATE=200402&amp;PERIODTYPE=QTR_STD&amp;SCFT=3&amp;window=popup_no_bar&amp;width=385&amp;height=120&amp;START_MAXIMIZED=FALSE&amp;creator=factset&amp;display_string=Audit"}</definedName>
    <definedName name="_2983__FDSAUDITLINK__" hidden="1">{"fdsup://Directions/FactSet Auditing Viewer?action=AUDIT_VALUE&amp;DB=129&amp;ID1=67066G10&amp;VALUEID=02001&amp;SDATE=200402&amp;PERIODTYPE=QTR_STD&amp;SCFT=3&amp;window=popup_no_bar&amp;width=385&amp;height=120&amp;START_MAXIMIZED=FALSE&amp;creator=factset&amp;display_string=Audit"}</definedName>
    <definedName name="_2984__FDSAUDITLINK__" localSheetId="7" hidden="1">{"fdsup://Directions/FactSet Auditing Viewer?action=AUDIT_VALUE&amp;DB=129&amp;ID1=67066G10&amp;VALUEID=02001&amp;SDATE=200402&amp;PERIODTYPE=QTR_STD&amp;SCFT=3&amp;window=popup_no_bar&amp;width=385&amp;height=120&amp;START_MAXIMIZED=FALSE&amp;creator=factset&amp;display_string=Audit"}</definedName>
    <definedName name="_2984__FDSAUDITLINK__" hidden="1">{"fdsup://Directions/FactSet Auditing Viewer?action=AUDIT_VALUE&amp;DB=129&amp;ID1=67066G10&amp;VALUEID=02001&amp;SDATE=200402&amp;PERIODTYPE=QTR_STD&amp;SCFT=3&amp;window=popup_no_bar&amp;width=385&amp;height=120&amp;START_MAXIMIZED=FALSE&amp;creator=factset&amp;display_string=Audit"}</definedName>
    <definedName name="_2985__FDSAUDITLINK__" localSheetId="7" hidden="1">{"fdsup://Directions/FactSet Auditing Viewer?action=AUDIT_VALUE&amp;DB=129&amp;ID1=64118B10&amp;VALUEID=02001&amp;SDATE=200402&amp;PERIODTYPE=QTR_STD&amp;SCFT=3&amp;window=popup_no_bar&amp;width=385&amp;height=120&amp;START_MAXIMIZED=FALSE&amp;creator=factset&amp;display_string=Audit"}</definedName>
    <definedName name="_2985__FDSAUDITLINK__" hidden="1">{"fdsup://Directions/FactSet Auditing Viewer?action=AUDIT_VALUE&amp;DB=129&amp;ID1=64118B10&amp;VALUEID=02001&amp;SDATE=200402&amp;PERIODTYPE=QTR_STD&amp;SCFT=3&amp;window=popup_no_bar&amp;width=385&amp;height=120&amp;START_MAXIMIZED=FALSE&amp;creator=factset&amp;display_string=Audit"}</definedName>
    <definedName name="_2986__FDSAUDITLINK__" localSheetId="7" hidden="1">{"fdsup://Directions/FactSet Auditing Viewer?action=AUDIT_VALUE&amp;DB=129&amp;ID1=64118B10&amp;VALUEID=02001&amp;SDATE=200402&amp;PERIODTYPE=QTR_STD&amp;SCFT=3&amp;window=popup_no_bar&amp;width=385&amp;height=120&amp;START_MAXIMIZED=FALSE&amp;creator=factset&amp;display_string=Audit"}</definedName>
    <definedName name="_2986__FDSAUDITLINK__" hidden="1">{"fdsup://Directions/FactSet Auditing Viewer?action=AUDIT_VALUE&amp;DB=129&amp;ID1=64118B10&amp;VALUEID=02001&amp;SDATE=200402&amp;PERIODTYPE=QTR_STD&amp;SCFT=3&amp;window=popup_no_bar&amp;width=385&amp;height=120&amp;START_MAXIMIZED=FALSE&amp;creator=factset&amp;display_string=Audit"}</definedName>
    <definedName name="_2987__FDSAUDITLINK__" localSheetId="7" hidden="1">{"fdsup://Directions/FactSet Auditing Viewer?action=AUDIT_VALUE&amp;DB=129&amp;ID1=59511210&amp;VALUEID=02001&amp;SDATE=200403&amp;PERIODTYPE=QTR_STD&amp;SCFT=3&amp;window=popup_no_bar&amp;width=385&amp;height=120&amp;START_MAXIMIZED=FALSE&amp;creator=factset&amp;display_string=Audit"}</definedName>
    <definedName name="_2987__FDSAUDITLINK__" hidden="1">{"fdsup://Directions/FactSet Auditing Viewer?action=AUDIT_VALUE&amp;DB=129&amp;ID1=59511210&amp;VALUEID=02001&amp;SDATE=200403&amp;PERIODTYPE=QTR_STD&amp;SCFT=3&amp;window=popup_no_bar&amp;width=385&amp;height=120&amp;START_MAXIMIZED=FALSE&amp;creator=factset&amp;display_string=Audit"}</definedName>
    <definedName name="_2988__FDSAUDITLINK__" localSheetId="7" hidden="1">{"fdsup://Directions/FactSet Auditing Viewer?action=AUDIT_VALUE&amp;DB=129&amp;ID1=59511210&amp;VALUEID=02001&amp;SDATE=200403&amp;PERIODTYPE=QTR_STD&amp;SCFT=3&amp;window=popup_no_bar&amp;width=385&amp;height=120&amp;START_MAXIMIZED=FALSE&amp;creator=factset&amp;display_string=Audit"}</definedName>
    <definedName name="_2988__FDSAUDITLINK__" hidden="1">{"fdsup://Directions/FactSet Auditing Viewer?action=AUDIT_VALUE&amp;DB=129&amp;ID1=59511210&amp;VALUEID=02001&amp;SDATE=200403&amp;PERIODTYPE=QTR_STD&amp;SCFT=3&amp;window=popup_no_bar&amp;width=385&amp;height=120&amp;START_MAXIMIZED=FALSE&amp;creator=factset&amp;display_string=Audit"}</definedName>
    <definedName name="_2989__FDSAUDITLINK__" localSheetId="7" hidden="1">{"fdsup://Directions/FactSet Auditing Viewer?action=AUDIT_VALUE&amp;DB=129&amp;ID1=59513710&amp;VALUEID=02001&amp;SDATE=200403&amp;PERIODTYPE=QTR_STD&amp;SCFT=3&amp;window=popup_no_bar&amp;width=385&amp;height=120&amp;START_MAXIMIZED=FALSE&amp;creator=factset&amp;display_string=Audit"}</definedName>
    <definedName name="_2989__FDSAUDITLINK__" hidden="1">{"fdsup://Directions/FactSet Auditing Viewer?action=AUDIT_VALUE&amp;DB=129&amp;ID1=59513710&amp;VALUEID=02001&amp;SDATE=200403&amp;PERIODTYPE=QTR_STD&amp;SCFT=3&amp;window=popup_no_bar&amp;width=385&amp;height=120&amp;START_MAXIMIZED=FALSE&amp;creator=factset&amp;display_string=Audit"}</definedName>
    <definedName name="_299__FDSAUDITLINK__" localSheetId="7" hidden="1">{"fdsup://Directions/FactSet Auditing Viewer?action=AUDIT_VALUE&amp;DB=129&amp;ID1=98391910&amp;VALUEID=02001&amp;SDATE=201002&amp;PERIODTYPE=QTR_STD&amp;SCFT=3&amp;window=popup_no_bar&amp;width=385&amp;height=120&amp;START_MAXIMIZED=FALSE&amp;creator=factset&amp;display_string=Audit"}</definedName>
    <definedName name="_299__FDSAUDITLINK__" hidden="1">{"fdsup://Directions/FactSet Auditing Viewer?action=AUDIT_VALUE&amp;DB=129&amp;ID1=98391910&amp;VALUEID=02001&amp;SDATE=201002&amp;PERIODTYPE=QTR_STD&amp;SCFT=3&amp;window=popup_no_bar&amp;width=385&amp;height=120&amp;START_MAXIMIZED=FALSE&amp;creator=factset&amp;display_string=Audit"}</definedName>
    <definedName name="_2990__FDSAUDITLINK__" localSheetId="7" hidden="1">{"fdsup://Directions/FactSet Auditing Viewer?action=AUDIT_VALUE&amp;DB=129&amp;ID1=59513710&amp;VALUEID=02001&amp;SDATE=200403&amp;PERIODTYPE=QTR_STD&amp;SCFT=3&amp;window=popup_no_bar&amp;width=385&amp;height=120&amp;START_MAXIMIZED=FALSE&amp;creator=factset&amp;display_string=Audit"}</definedName>
    <definedName name="_2990__FDSAUDITLINK__" hidden="1">{"fdsup://Directions/FactSet Auditing Viewer?action=AUDIT_VALUE&amp;DB=129&amp;ID1=59513710&amp;VALUEID=02001&amp;SDATE=200403&amp;PERIODTYPE=QTR_STD&amp;SCFT=3&amp;window=popup_no_bar&amp;width=385&amp;height=120&amp;START_MAXIMIZED=FALSE&amp;creator=factset&amp;display_string=Audit"}</definedName>
    <definedName name="_2991__FDSAUDITLINK__" localSheetId="7" hidden="1">{"fdsup://Directions/FactSet Auditing Viewer?action=AUDIT_VALUE&amp;DB=129&amp;ID1=G5876H10&amp;VALUEID=02001&amp;SDATE=200402&amp;PERIODTYPE=QTR_STD&amp;SCFT=3&amp;window=popup_no_bar&amp;width=385&amp;height=120&amp;START_MAXIMIZED=FALSE&amp;creator=factset&amp;display_string=Audit"}</definedName>
    <definedName name="_2991__FDSAUDITLINK__" hidden="1">{"fdsup://Directions/FactSet Auditing Viewer?action=AUDIT_VALUE&amp;DB=129&amp;ID1=G5876H10&amp;VALUEID=02001&amp;SDATE=200402&amp;PERIODTYPE=QTR_STD&amp;SCFT=3&amp;window=popup_no_bar&amp;width=385&amp;height=120&amp;START_MAXIMIZED=FALSE&amp;creator=factset&amp;display_string=Audit"}</definedName>
    <definedName name="_2992__FDSAUDITLINK__" localSheetId="7" hidden="1">{"fdsup://Directions/FactSet Auditing Viewer?action=AUDIT_VALUE&amp;DB=129&amp;ID1=G5876H10&amp;VALUEID=02001&amp;SDATE=200402&amp;PERIODTYPE=QTR_STD&amp;SCFT=3&amp;window=popup_no_bar&amp;width=385&amp;height=120&amp;START_MAXIMIZED=FALSE&amp;creator=factset&amp;display_string=Audit"}</definedName>
    <definedName name="_2992__FDSAUDITLINK__" hidden="1">{"fdsup://Directions/FactSet Auditing Viewer?action=AUDIT_VALUE&amp;DB=129&amp;ID1=G5876H10&amp;VALUEID=02001&amp;SDATE=200402&amp;PERIODTYPE=QTR_STD&amp;SCFT=3&amp;window=popup_no_bar&amp;width=385&amp;height=120&amp;START_MAXIMIZED=FALSE&amp;creator=factset&amp;display_string=Audit"}</definedName>
    <definedName name="_2993__FDSAUDITLINK__" localSheetId="7" hidden="1">{"fdsup://Directions/FactSet Auditing Viewer?action=AUDIT_VALUE&amp;DB=129&amp;ID1=62007630&amp;VALUEID=02001&amp;SDATE=200402&amp;PERIODTYPE=QTR_STD&amp;SCFT=3&amp;window=popup_no_bar&amp;width=385&amp;height=120&amp;START_MAXIMIZED=FALSE&amp;creator=factset&amp;display_string=Audit"}</definedName>
    <definedName name="_2993__FDSAUDITLINK__" hidden="1">{"fdsup://Directions/FactSet Auditing Viewer?action=AUDIT_VALUE&amp;DB=129&amp;ID1=62007630&amp;VALUEID=02001&amp;SDATE=200402&amp;PERIODTYPE=QTR_STD&amp;SCFT=3&amp;window=popup_no_bar&amp;width=385&amp;height=120&amp;START_MAXIMIZED=FALSE&amp;creator=factset&amp;display_string=Audit"}</definedName>
    <definedName name="_2994__FDSAUDITLINK__" localSheetId="7" hidden="1">{"fdsup://Directions/FactSet Auditing Viewer?action=AUDIT_VALUE&amp;DB=129&amp;ID1=62007630&amp;VALUEID=02001&amp;SDATE=200402&amp;PERIODTYPE=QTR_STD&amp;SCFT=3&amp;window=popup_no_bar&amp;width=385&amp;height=120&amp;START_MAXIMIZED=FALSE&amp;creator=factset&amp;display_string=Audit"}</definedName>
    <definedName name="_2994__FDSAUDITLINK__" hidden="1">{"fdsup://Directions/FactSet Auditing Viewer?action=AUDIT_VALUE&amp;DB=129&amp;ID1=62007630&amp;VALUEID=02001&amp;SDATE=200402&amp;PERIODTYPE=QTR_STD&amp;SCFT=3&amp;window=popup_no_bar&amp;width=385&amp;height=120&amp;START_MAXIMIZED=FALSE&amp;creator=factset&amp;display_string=Audit"}</definedName>
    <definedName name="_2995__FDSAUDITLINK__" localSheetId="7" hidden="1">{"fdsup://Directions/FactSet Auditing Viewer?action=AUDIT_VALUE&amp;DB=129&amp;ID1=59479310&amp;VALUEID=02001&amp;SDATE=200402&amp;PERIODTYPE=QTR_STD&amp;SCFT=3&amp;window=popup_no_bar&amp;width=385&amp;height=120&amp;START_MAXIMIZED=FALSE&amp;creator=factset&amp;display_string=Audit"}</definedName>
    <definedName name="_2995__FDSAUDITLINK__" hidden="1">{"fdsup://Directions/FactSet Auditing Viewer?action=AUDIT_VALUE&amp;DB=129&amp;ID1=59479310&amp;VALUEID=02001&amp;SDATE=200402&amp;PERIODTYPE=QTR_STD&amp;SCFT=3&amp;window=popup_no_bar&amp;width=385&amp;height=120&amp;START_MAXIMIZED=FALSE&amp;creator=factset&amp;display_string=Audit"}</definedName>
    <definedName name="_2996__FDSAUDITLINK__" localSheetId="7" hidden="1">{"fdsup://Directions/FactSet Auditing Viewer?action=AUDIT_VALUE&amp;DB=129&amp;ID1=59479310&amp;VALUEID=02001&amp;SDATE=200402&amp;PERIODTYPE=QTR_STD&amp;SCFT=3&amp;window=popup_no_bar&amp;width=385&amp;height=120&amp;START_MAXIMIZED=FALSE&amp;creator=factset&amp;display_string=Audit"}</definedName>
    <definedName name="_2996__FDSAUDITLINK__" hidden="1">{"fdsup://Directions/FactSet Auditing Viewer?action=AUDIT_VALUE&amp;DB=129&amp;ID1=59479310&amp;VALUEID=02001&amp;SDATE=200402&amp;PERIODTYPE=QTR_STD&amp;SCFT=3&amp;window=popup_no_bar&amp;width=385&amp;height=120&amp;START_MAXIMIZED=FALSE&amp;creator=factset&amp;display_string=Audit"}</definedName>
    <definedName name="_2997__FDSAUDITLINK__" localSheetId="7" hidden="1">{"fdsup://Directions/FactSet Auditing Viewer?action=AUDIT_VALUE&amp;DB=129&amp;ID1=59501710&amp;VALUEID=02001&amp;SDATE=200401&amp;PERIODTYPE=QTR_STD&amp;SCFT=3&amp;window=popup_no_bar&amp;width=385&amp;height=120&amp;START_MAXIMIZED=FALSE&amp;creator=factset&amp;display_string=Audit"}</definedName>
    <definedName name="_2997__FDSAUDITLINK__" hidden="1">{"fdsup://Directions/FactSet Auditing Viewer?action=AUDIT_VALUE&amp;DB=129&amp;ID1=59501710&amp;VALUEID=02001&amp;SDATE=200401&amp;PERIODTYPE=QTR_STD&amp;SCFT=3&amp;window=popup_no_bar&amp;width=385&amp;height=120&amp;START_MAXIMIZED=FALSE&amp;creator=factset&amp;display_string=Audit"}</definedName>
    <definedName name="_2998__FDSAUDITLINK__" localSheetId="7" hidden="1">{"fdsup://Directions/FactSet Auditing Viewer?action=AUDIT_VALUE&amp;DB=129&amp;ID1=59501710&amp;VALUEID=02001&amp;SDATE=200401&amp;PERIODTYPE=QTR_STD&amp;SCFT=3&amp;window=popup_no_bar&amp;width=385&amp;height=120&amp;START_MAXIMIZED=FALSE&amp;creator=factset&amp;display_string=Audit"}</definedName>
    <definedName name="_2998__FDSAUDITLINK__" hidden="1">{"fdsup://Directions/FactSet Auditing Viewer?action=AUDIT_VALUE&amp;DB=129&amp;ID1=59501710&amp;VALUEID=02001&amp;SDATE=200401&amp;PERIODTYPE=QTR_STD&amp;SCFT=3&amp;window=popup_no_bar&amp;width=385&amp;height=120&amp;START_MAXIMIZED=FALSE&amp;creator=factset&amp;display_string=Audit"}</definedName>
    <definedName name="_2999__FDSAUDITLINK__" localSheetId="7" hidden="1">{"fdsup://Directions/FactSet Auditing Viewer?action=AUDIT_VALUE&amp;DB=129&amp;ID1=50216110&amp;VALUEID=02001&amp;SDATE=200402&amp;PERIODTYPE=QTR_STD&amp;SCFT=3&amp;window=popup_no_bar&amp;width=385&amp;height=120&amp;START_MAXIMIZED=FALSE&amp;creator=factset&amp;display_string=Audit"}</definedName>
    <definedName name="_2999__FDSAUDITLINK__" hidden="1">{"fdsup://Directions/FactSet Auditing Viewer?action=AUDIT_VALUE&amp;DB=129&amp;ID1=50216110&amp;VALUEID=02001&amp;SDATE=200402&amp;PERIODTYPE=QTR_STD&amp;SCFT=3&amp;window=popup_no_bar&amp;width=385&amp;height=120&amp;START_MAXIMIZED=FALSE&amp;creator=factset&amp;display_string=Audit"}</definedName>
    <definedName name="_3__FDSAUDITLINK__" localSheetId="7" hidden="1">{"fdsup://Directions/FactSet Auditing Viewer?action=AUDIT_VALUE&amp;DB=129&amp;ID1=67066G10&amp;VALUEID=02001&amp;SDATE=201102&amp;PERIODTYPE=QTR_STD&amp;SCFT=3&amp;window=popup_no_bar&amp;width=385&amp;height=120&amp;START_MAXIMIZED=FALSE&amp;creator=factset&amp;display_string=Audit"}</definedName>
    <definedName name="_3__FDSAUDITLINK__" hidden="1">{"fdsup://Directions/FactSet Auditing Viewer?action=AUDIT_VALUE&amp;DB=129&amp;ID1=67066G10&amp;VALUEID=02001&amp;SDATE=201102&amp;PERIODTYPE=QTR_STD&amp;SCFT=3&amp;window=popup_no_bar&amp;width=385&amp;height=120&amp;START_MAXIMIZED=FALSE&amp;creator=factset&amp;display_string=Audit"}</definedName>
    <definedName name="_30__FDSAUDITLINK__" localSheetId="7" hidden="1">{"fdsup://Directions/FactSet Auditing Viewer?action=AUDIT_VALUE&amp;DB=129&amp;ID1=81685010&amp;VALUEID=02001&amp;SDATE=201101&amp;PERIODTYPE=QTR_STD&amp;SCFT=3&amp;window=popup_no_bar&amp;width=385&amp;height=120&amp;START_MAXIMIZED=FALSE&amp;creator=factset&amp;display_string=Audit"}</definedName>
    <definedName name="_30__FDSAUDITLINK__" hidden="1">{"fdsup://Directions/FactSet Auditing Viewer?action=AUDIT_VALUE&amp;DB=129&amp;ID1=81685010&amp;VALUEID=02001&amp;SDATE=201101&amp;PERIODTYPE=QTR_STD&amp;SCFT=3&amp;window=popup_no_bar&amp;width=385&amp;height=120&amp;START_MAXIMIZED=FALSE&amp;creator=factset&amp;display_string=Audit"}</definedName>
    <definedName name="_300__FDSAUDITLINK__" localSheetId="7" hidden="1">{"fdsup://Directions/FactSet Auditing Viewer?action=AUDIT_VALUE&amp;DB=129&amp;ID1=98391910&amp;VALUEID=02001&amp;SDATE=201002&amp;PERIODTYPE=QTR_STD&amp;SCFT=3&amp;window=popup_no_bar&amp;width=385&amp;height=120&amp;START_MAXIMIZED=FALSE&amp;creator=factset&amp;display_string=Audit"}</definedName>
    <definedName name="_300__FDSAUDITLINK__" hidden="1">{"fdsup://Directions/FactSet Auditing Viewer?action=AUDIT_VALUE&amp;DB=129&amp;ID1=98391910&amp;VALUEID=02001&amp;SDATE=201002&amp;PERIODTYPE=QTR_STD&amp;SCFT=3&amp;window=popup_no_bar&amp;width=385&amp;height=120&amp;START_MAXIMIZED=FALSE&amp;creator=factset&amp;display_string=Audit"}</definedName>
    <definedName name="_3000__FDSAUDITLINK__" localSheetId="7" hidden="1">{"fdsup://Directions/FactSet Auditing Viewer?action=AUDIT_VALUE&amp;DB=129&amp;ID1=50216110&amp;VALUEID=02001&amp;SDATE=200402&amp;PERIODTYPE=QTR_STD&amp;SCFT=3&amp;window=popup_no_bar&amp;width=385&amp;height=120&amp;START_MAXIMIZED=FALSE&amp;creator=factset&amp;display_string=Audit"}</definedName>
    <definedName name="_3000__FDSAUDITLINK__" hidden="1">{"fdsup://Directions/FactSet Auditing Viewer?action=AUDIT_VALUE&amp;DB=129&amp;ID1=50216110&amp;VALUEID=02001&amp;SDATE=200402&amp;PERIODTYPE=QTR_STD&amp;SCFT=3&amp;window=popup_no_bar&amp;width=385&amp;height=120&amp;START_MAXIMIZED=FALSE&amp;creator=factset&amp;display_string=Audit"}</definedName>
    <definedName name="_3001__FDSAUDITLINK__" localSheetId="7" hidden="1">{"fdsup://Directions/FactSet Auditing Viewer?action=AUDIT_VALUE&amp;DB=129&amp;ID1=51841510&amp;VALUEID=02001&amp;SDATE=200402&amp;PERIODTYPE=QTR_STD&amp;SCFT=3&amp;window=popup_no_bar&amp;width=385&amp;height=120&amp;START_MAXIMIZED=FALSE&amp;creator=factset&amp;display_string=Audit"}</definedName>
    <definedName name="_3001__FDSAUDITLINK__" hidden="1">{"fdsup://Directions/FactSet Auditing Viewer?action=AUDIT_VALUE&amp;DB=129&amp;ID1=51841510&amp;VALUEID=02001&amp;SDATE=200402&amp;PERIODTYPE=QTR_STD&amp;SCFT=3&amp;window=popup_no_bar&amp;width=385&amp;height=120&amp;START_MAXIMIZED=FALSE&amp;creator=factset&amp;display_string=Audit"}</definedName>
    <definedName name="_3002__FDSAUDITLINK__" localSheetId="7" hidden="1">{"fdsup://Directions/FactSet Auditing Viewer?action=AUDIT_VALUE&amp;DB=129&amp;ID1=51841510&amp;VALUEID=02001&amp;SDATE=200402&amp;PERIODTYPE=QTR_STD&amp;SCFT=3&amp;window=popup_no_bar&amp;width=385&amp;height=120&amp;START_MAXIMIZED=FALSE&amp;creator=factset&amp;display_string=Audit"}</definedName>
    <definedName name="_3002__FDSAUDITLINK__" hidden="1">{"fdsup://Directions/FactSet Auditing Viewer?action=AUDIT_VALUE&amp;DB=129&amp;ID1=51841510&amp;VALUEID=02001&amp;SDATE=200402&amp;PERIODTYPE=QTR_STD&amp;SCFT=3&amp;window=popup_no_bar&amp;width=385&amp;height=120&amp;START_MAXIMIZED=FALSE&amp;creator=factset&amp;display_string=Audit"}</definedName>
    <definedName name="_3003__FDSAUDITLINK__" localSheetId="7" hidden="1">{"fdsup://Directions/FactSet Auditing Viewer?action=AUDIT_VALUE&amp;DB=129&amp;ID1=48203R10&amp;VALUEID=02001&amp;SDATE=200402&amp;PERIODTYPE=QTR_STD&amp;SCFT=3&amp;window=popup_no_bar&amp;width=385&amp;height=120&amp;START_MAXIMIZED=FALSE&amp;creator=factset&amp;display_string=Audit"}</definedName>
    <definedName name="_3003__FDSAUDITLINK__" hidden="1">{"fdsup://Directions/FactSet Auditing Viewer?action=AUDIT_VALUE&amp;DB=129&amp;ID1=48203R10&amp;VALUEID=02001&amp;SDATE=200402&amp;PERIODTYPE=QTR_STD&amp;SCFT=3&amp;window=popup_no_bar&amp;width=385&amp;height=120&amp;START_MAXIMIZED=FALSE&amp;creator=factset&amp;display_string=Audit"}</definedName>
    <definedName name="_3004__FDSAUDITLINK__" localSheetId="7" hidden="1">{"fdsup://Directions/FactSet Auditing Viewer?action=AUDIT_VALUE&amp;DB=129&amp;ID1=48203R10&amp;VALUEID=02001&amp;SDATE=200402&amp;PERIODTYPE=QTR_STD&amp;SCFT=3&amp;window=popup_no_bar&amp;width=385&amp;height=120&amp;START_MAXIMIZED=FALSE&amp;creator=factset&amp;display_string=Audit"}</definedName>
    <definedName name="_3004__FDSAUDITLINK__" hidden="1">{"fdsup://Directions/FactSet Auditing Viewer?action=AUDIT_VALUE&amp;DB=129&amp;ID1=48203R10&amp;VALUEID=02001&amp;SDATE=200402&amp;PERIODTYPE=QTR_STD&amp;SCFT=3&amp;window=popup_no_bar&amp;width=385&amp;height=120&amp;START_MAXIMIZED=FALSE&amp;creator=factset&amp;display_string=Audit"}</definedName>
    <definedName name="_3005__FDSAUDITLINK__" localSheetId="7" hidden="1">{"fdsup://Directions/FactSet Auditing Viewer?action=AUDIT_VALUE&amp;DB=129&amp;ID1=46069S10&amp;VALUEID=02001&amp;SDATE=200402&amp;PERIODTYPE=QTR_STD&amp;SCFT=3&amp;window=popup_no_bar&amp;width=385&amp;height=120&amp;START_MAXIMIZED=FALSE&amp;creator=factset&amp;display_string=Audit"}</definedName>
    <definedName name="_3005__FDSAUDITLINK__" hidden="1">{"fdsup://Directions/FactSet Auditing Viewer?action=AUDIT_VALUE&amp;DB=129&amp;ID1=46069S10&amp;VALUEID=02001&amp;SDATE=200402&amp;PERIODTYPE=QTR_STD&amp;SCFT=3&amp;window=popup_no_bar&amp;width=385&amp;height=120&amp;START_MAXIMIZED=FALSE&amp;creator=factset&amp;display_string=Audit"}</definedName>
    <definedName name="_3006__FDSAUDITLINK__" localSheetId="7" hidden="1">{"fdsup://Directions/FactSet Auditing Viewer?action=AUDIT_VALUE&amp;DB=129&amp;ID1=46069S10&amp;VALUEID=02001&amp;SDATE=200402&amp;PERIODTYPE=QTR_STD&amp;SCFT=3&amp;window=popup_no_bar&amp;width=385&amp;height=120&amp;START_MAXIMIZED=FALSE&amp;creator=factset&amp;display_string=Audit"}</definedName>
    <definedName name="_3006__FDSAUDITLINK__" hidden="1">{"fdsup://Directions/FactSet Auditing Viewer?action=AUDIT_VALUE&amp;DB=129&amp;ID1=46069S10&amp;VALUEID=02001&amp;SDATE=200402&amp;PERIODTYPE=QTR_STD&amp;SCFT=3&amp;window=popup_no_bar&amp;width=385&amp;height=120&amp;START_MAXIMIZED=FALSE&amp;creator=factset&amp;display_string=Audit"}</definedName>
    <definedName name="_3007__FDSAUDITLINK__" localSheetId="7" hidden="1">{"fdsup://Directions/FactSet Auditing Viewer?action=AUDIT_VALUE&amp;DB=129&amp;ID1=46025410&amp;VALUEID=02001&amp;SDATE=200404&amp;PERIODTYPE=QTR_STD&amp;SCFT=3&amp;window=popup_no_bar&amp;width=385&amp;height=120&amp;START_MAXIMIZED=FALSE&amp;creator=factset&amp;display_string=Audit"}</definedName>
    <definedName name="_3007__FDSAUDITLINK__" hidden="1">{"fdsup://Directions/FactSet Auditing Viewer?action=AUDIT_VALUE&amp;DB=129&amp;ID1=46025410&amp;VALUEID=02001&amp;SDATE=200404&amp;PERIODTYPE=QTR_STD&amp;SCFT=3&amp;window=popup_no_bar&amp;width=385&amp;height=120&amp;START_MAXIMIZED=FALSE&amp;creator=factset&amp;display_string=Audit"}</definedName>
    <definedName name="_3008__FDSAUDITLINK__" localSheetId="7" hidden="1">{"fdsup://Directions/FactSet Auditing Viewer?action=AUDIT_VALUE&amp;DB=129&amp;ID1=46025410&amp;VALUEID=02001&amp;SDATE=200404&amp;PERIODTYPE=QTR_STD&amp;SCFT=3&amp;window=popup_no_bar&amp;width=385&amp;height=120&amp;START_MAXIMIZED=FALSE&amp;creator=factset&amp;display_string=Audit"}</definedName>
    <definedName name="_3008__FDSAUDITLINK__" hidden="1">{"fdsup://Directions/FactSet Auditing Viewer?action=AUDIT_VALUE&amp;DB=129&amp;ID1=46025410&amp;VALUEID=02001&amp;SDATE=200404&amp;PERIODTYPE=QTR_STD&amp;SCFT=3&amp;window=popup_no_bar&amp;width=385&amp;height=120&amp;START_MAXIMIZED=FALSE&amp;creator=factset&amp;display_string=Audit"}</definedName>
    <definedName name="_3009__FDSAUDITLINK__" localSheetId="7" hidden="1">{"fdsup://Directions/FactSet Auditing Viewer?action=AUDIT_VALUE&amp;DB=129&amp;ID1=45814010&amp;VALUEID=02001&amp;SDATE=200402&amp;PERIODTYPE=QTR_STD&amp;SCFT=3&amp;window=popup_no_bar&amp;width=385&amp;height=120&amp;START_MAXIMIZED=FALSE&amp;creator=factset&amp;display_string=Audit"}</definedName>
    <definedName name="_3009__FDSAUDITLINK__" hidden="1">{"fdsup://Directions/FactSet Auditing Viewer?action=AUDIT_VALUE&amp;DB=129&amp;ID1=45814010&amp;VALUEID=02001&amp;SDATE=200402&amp;PERIODTYPE=QTR_STD&amp;SCFT=3&amp;window=popup_no_bar&amp;width=385&amp;height=120&amp;START_MAXIMIZED=FALSE&amp;creator=factset&amp;display_string=Audit"}</definedName>
    <definedName name="_301__FDSAUDITLINK__" localSheetId="7" hidden="1">{"fdsup://Directions/FactSet Auditing Viewer?action=AUDIT_VALUE&amp;DB=129&amp;ID1=95810210&amp;VALUEID=02001&amp;SDATE=201101&amp;PERIODTYPE=QTR_STD&amp;SCFT=3&amp;window=popup_no_bar&amp;width=385&amp;height=120&amp;START_MAXIMIZED=FALSE&amp;creator=factset&amp;display_string=Audit"}</definedName>
    <definedName name="_301__FDSAUDITLINK__" hidden="1">{"fdsup://Directions/FactSet Auditing Viewer?action=AUDIT_VALUE&amp;DB=129&amp;ID1=95810210&amp;VALUEID=02001&amp;SDATE=201101&amp;PERIODTYPE=QTR_STD&amp;SCFT=3&amp;window=popup_no_bar&amp;width=385&amp;height=120&amp;START_MAXIMIZED=FALSE&amp;creator=factset&amp;display_string=Audit"}</definedName>
    <definedName name="_3010__FDSAUDITLINK__" localSheetId="7" hidden="1">{"fdsup://Directions/FactSet Auditing Viewer?action=AUDIT_VALUE&amp;DB=129&amp;ID1=45814010&amp;VALUEID=02001&amp;SDATE=200402&amp;PERIODTYPE=QTR_STD&amp;SCFT=3&amp;window=popup_no_bar&amp;width=385&amp;height=120&amp;START_MAXIMIZED=FALSE&amp;creator=factset&amp;display_string=Audit"}</definedName>
    <definedName name="_3010__FDSAUDITLINK__" hidden="1">{"fdsup://Directions/FactSet Auditing Viewer?action=AUDIT_VALUE&amp;DB=129&amp;ID1=45814010&amp;VALUEID=02001&amp;SDATE=200402&amp;PERIODTYPE=QTR_STD&amp;SCFT=3&amp;window=popup_no_bar&amp;width=385&amp;height=120&amp;START_MAXIMIZED=FALSE&amp;creator=factset&amp;display_string=Audit"}</definedName>
    <definedName name="_3011__FDSAUDITLINK__" localSheetId="7" hidden="1">{"fdsup://Directions/FactSet Auditing Viewer?action=AUDIT_VALUE&amp;DB=129&amp;ID1=45811810&amp;VALUEID=02001&amp;SDATE=200401&amp;PERIODTYPE=QTR_STD&amp;SCFT=3&amp;window=popup_no_bar&amp;width=385&amp;height=120&amp;START_MAXIMIZED=FALSE&amp;creator=factset&amp;display_string=Audit"}</definedName>
    <definedName name="_3011__FDSAUDITLINK__" hidden="1">{"fdsup://Directions/FactSet Auditing Viewer?action=AUDIT_VALUE&amp;DB=129&amp;ID1=45811810&amp;VALUEID=02001&amp;SDATE=200401&amp;PERIODTYPE=QTR_STD&amp;SCFT=3&amp;window=popup_no_bar&amp;width=385&amp;height=120&amp;START_MAXIMIZED=FALSE&amp;creator=factset&amp;display_string=Audit"}</definedName>
    <definedName name="_3012__FDSAUDITLINK__" localSheetId="7" hidden="1">{"fdsup://Directions/FactSet Auditing Viewer?action=AUDIT_VALUE&amp;DB=129&amp;ID1=45811810&amp;VALUEID=02001&amp;SDATE=200401&amp;PERIODTYPE=QTR_STD&amp;SCFT=3&amp;window=popup_no_bar&amp;width=385&amp;height=120&amp;START_MAXIMIZED=FALSE&amp;creator=factset&amp;display_string=Audit"}</definedName>
    <definedName name="_3012__FDSAUDITLINK__" hidden="1">{"fdsup://Directions/FactSet Auditing Viewer?action=AUDIT_VALUE&amp;DB=129&amp;ID1=45811810&amp;VALUEID=02001&amp;SDATE=200401&amp;PERIODTYPE=QTR_STD&amp;SCFT=3&amp;window=popup_no_bar&amp;width=385&amp;height=120&amp;START_MAXIMIZED=FALSE&amp;creator=factset&amp;display_string=Audit"}</definedName>
    <definedName name="_3013__FDSAUDITLINK__" localSheetId="7" hidden="1">{"fdsup://Directions/FactSet Auditing Viewer?action=AUDIT_VALUE&amp;DB=129&amp;ID1=42823610&amp;VALUEID=02001&amp;SDATE=200403&amp;PERIODTYPE=QTR_STD&amp;SCFT=3&amp;window=popup_no_bar&amp;width=385&amp;height=120&amp;START_MAXIMIZED=FALSE&amp;creator=factset&amp;display_string=Audit"}</definedName>
    <definedName name="_3013__FDSAUDITLINK__" hidden="1">{"fdsup://Directions/FactSet Auditing Viewer?action=AUDIT_VALUE&amp;DB=129&amp;ID1=42823610&amp;VALUEID=02001&amp;SDATE=200403&amp;PERIODTYPE=QTR_STD&amp;SCFT=3&amp;window=popup_no_bar&amp;width=385&amp;height=120&amp;START_MAXIMIZED=FALSE&amp;creator=factset&amp;display_string=Audit"}</definedName>
    <definedName name="_3014__FDSAUDITLINK__" localSheetId="7" hidden="1">{"fdsup://Directions/FactSet Auditing Viewer?action=AUDIT_VALUE&amp;DB=129&amp;ID1=42823610&amp;VALUEID=02001&amp;SDATE=200403&amp;PERIODTYPE=QTR_STD&amp;SCFT=3&amp;window=popup_no_bar&amp;width=385&amp;height=120&amp;START_MAXIMIZED=FALSE&amp;creator=factset&amp;display_string=Audit"}</definedName>
    <definedName name="_3014__FDSAUDITLINK__" hidden="1">{"fdsup://Directions/FactSet Auditing Viewer?action=AUDIT_VALUE&amp;DB=129&amp;ID1=42823610&amp;VALUEID=02001&amp;SDATE=200403&amp;PERIODTYPE=QTR_STD&amp;SCFT=3&amp;window=popup_no_bar&amp;width=385&amp;height=120&amp;START_MAXIMIZED=FALSE&amp;creator=factset&amp;display_string=Audit"}</definedName>
    <definedName name="_3015__FDSAUDITLINK__" localSheetId="7" hidden="1">{"fdsup://Directions/FactSet Auditing Viewer?action=AUDIT_VALUE&amp;DB=129&amp;ID1=34637510&amp;VALUEID=02001&amp;SDATE=200402&amp;PERIODTYPE=QTR_STD&amp;SCFT=3&amp;window=popup_no_bar&amp;width=385&amp;height=120&amp;START_MAXIMIZED=FALSE&amp;creator=factset&amp;display_string=Audit"}</definedName>
    <definedName name="_3015__FDSAUDITLINK__" hidden="1">{"fdsup://Directions/FactSet Auditing Viewer?action=AUDIT_VALUE&amp;DB=129&amp;ID1=34637510&amp;VALUEID=02001&amp;SDATE=200402&amp;PERIODTYPE=QTR_STD&amp;SCFT=3&amp;window=popup_no_bar&amp;width=385&amp;height=120&amp;START_MAXIMIZED=FALSE&amp;creator=factset&amp;display_string=Audit"}</definedName>
    <definedName name="_3016__FDSAUDITLINK__" localSheetId="7" hidden="1">{"fdsup://Directions/FactSet Auditing Viewer?action=AUDIT_VALUE&amp;DB=129&amp;ID1=34637510&amp;VALUEID=02001&amp;SDATE=200402&amp;PERIODTYPE=QTR_STD&amp;SCFT=3&amp;window=popup_no_bar&amp;width=385&amp;height=120&amp;START_MAXIMIZED=FALSE&amp;creator=factset&amp;display_string=Audit"}</definedName>
    <definedName name="_3016__FDSAUDITLINK__" hidden="1">{"fdsup://Directions/FactSet Auditing Viewer?action=AUDIT_VALUE&amp;DB=129&amp;ID1=34637510&amp;VALUEID=02001&amp;SDATE=200402&amp;PERIODTYPE=QTR_STD&amp;SCFT=3&amp;window=popup_no_bar&amp;width=385&amp;height=120&amp;START_MAXIMIZED=FALSE&amp;creator=factset&amp;display_string=Audit"}</definedName>
    <definedName name="_3017__FDSAUDITLINK__" localSheetId="7" hidden="1">{"fdsup://Directions/FactSet Auditing Viewer?action=AUDIT_VALUE&amp;DB=129&amp;ID1=31561610&amp;VALUEID=02001&amp;SDATE=200403&amp;PERIODTYPE=QTR_STD&amp;SCFT=3&amp;window=popup_no_bar&amp;width=385&amp;height=120&amp;START_MAXIMIZED=FALSE&amp;creator=factset&amp;display_string=Audit"}</definedName>
    <definedName name="_3017__FDSAUDITLINK__" hidden="1">{"fdsup://Directions/FactSet Auditing Viewer?action=AUDIT_VALUE&amp;DB=129&amp;ID1=31561610&amp;VALUEID=02001&amp;SDATE=200403&amp;PERIODTYPE=QTR_STD&amp;SCFT=3&amp;window=popup_no_bar&amp;width=385&amp;height=120&amp;START_MAXIMIZED=FALSE&amp;creator=factset&amp;display_string=Audit"}</definedName>
    <definedName name="_3018__FDSAUDITLINK__" localSheetId="7" hidden="1">{"fdsup://Directions/FactSet Auditing Viewer?action=AUDIT_VALUE&amp;DB=129&amp;ID1=31561610&amp;VALUEID=02001&amp;SDATE=200403&amp;PERIODTYPE=QTR_STD&amp;SCFT=3&amp;window=popup_no_bar&amp;width=385&amp;height=120&amp;START_MAXIMIZED=FALSE&amp;creator=factset&amp;display_string=Audit"}</definedName>
    <definedName name="_3018__FDSAUDITLINK__" hidden="1">{"fdsup://Directions/FactSet Auditing Viewer?action=AUDIT_VALUE&amp;DB=129&amp;ID1=31561610&amp;VALUEID=02001&amp;SDATE=200403&amp;PERIODTYPE=QTR_STD&amp;SCFT=3&amp;window=popup_no_bar&amp;width=385&amp;height=120&amp;START_MAXIMIZED=FALSE&amp;creator=factset&amp;display_string=Audit"}</definedName>
    <definedName name="_3019__FDSAUDITLINK__" localSheetId="7" hidden="1">{"fdsup://Directions/FactSet Auditing Viewer?action=AUDIT_VALUE&amp;DB=129&amp;ID1=25454310&amp;VALUEID=02001&amp;SDATE=200402&amp;PERIODTYPE=QTR_STD&amp;SCFT=3&amp;window=popup_no_bar&amp;width=385&amp;height=120&amp;START_MAXIMIZED=FALSE&amp;creator=factset&amp;display_string=Audit"}</definedName>
    <definedName name="_3019__FDSAUDITLINK__" hidden="1">{"fdsup://Directions/FactSet Auditing Viewer?action=AUDIT_VALUE&amp;DB=129&amp;ID1=25454310&amp;VALUEID=02001&amp;SDATE=200402&amp;PERIODTYPE=QTR_STD&amp;SCFT=3&amp;window=popup_no_bar&amp;width=385&amp;height=120&amp;START_MAXIMIZED=FALSE&amp;creator=factset&amp;display_string=Audit"}</definedName>
    <definedName name="_302__FDSAUDITLINK__" localSheetId="7" hidden="1">{"fdsup://Directions/FactSet Auditing Viewer?action=AUDIT_VALUE&amp;DB=129&amp;ID1=95810210&amp;VALUEID=02001&amp;SDATE=201101&amp;PERIODTYPE=QTR_STD&amp;SCFT=3&amp;window=popup_no_bar&amp;width=385&amp;height=120&amp;START_MAXIMIZED=FALSE&amp;creator=factset&amp;display_string=Audit"}</definedName>
    <definedName name="_302__FDSAUDITLINK__" hidden="1">{"fdsup://Directions/FactSet Auditing Viewer?action=AUDIT_VALUE&amp;DB=129&amp;ID1=95810210&amp;VALUEID=02001&amp;SDATE=201101&amp;PERIODTYPE=QTR_STD&amp;SCFT=3&amp;window=popup_no_bar&amp;width=385&amp;height=120&amp;START_MAXIMIZED=FALSE&amp;creator=factset&amp;display_string=Audit"}</definedName>
    <definedName name="_3020__FDSAUDITLINK__" localSheetId="7" hidden="1">{"fdsup://Directions/FactSet Auditing Viewer?action=AUDIT_VALUE&amp;DB=129&amp;ID1=25454310&amp;VALUEID=02001&amp;SDATE=200402&amp;PERIODTYPE=QTR_STD&amp;SCFT=3&amp;window=popup_no_bar&amp;width=385&amp;height=120&amp;START_MAXIMIZED=FALSE&amp;creator=factset&amp;display_string=Audit"}</definedName>
    <definedName name="_3020__FDSAUDITLINK__" hidden="1">{"fdsup://Directions/FactSet Auditing Viewer?action=AUDIT_VALUE&amp;DB=129&amp;ID1=25454310&amp;VALUEID=02001&amp;SDATE=200402&amp;PERIODTYPE=QTR_STD&amp;SCFT=3&amp;window=popup_no_bar&amp;width=385&amp;height=120&amp;START_MAXIMIZED=FALSE&amp;creator=factset&amp;display_string=Audit"}</definedName>
    <definedName name="_3021__FDSAUDITLINK__" localSheetId="7" hidden="1">{"fdsup://Directions/FactSet Auditing Viewer?action=AUDIT_VALUE&amp;DB=129&amp;ID1=24702R10&amp;VALUEID=02001&amp;SDATE=200402&amp;PERIODTYPE=QTR_STD&amp;SCFT=3&amp;window=popup_no_bar&amp;width=385&amp;height=120&amp;START_MAXIMIZED=FALSE&amp;creator=factset&amp;display_string=Audit"}</definedName>
    <definedName name="_3021__FDSAUDITLINK__" hidden="1">{"fdsup://Directions/FactSet Auditing Viewer?action=AUDIT_VALUE&amp;DB=129&amp;ID1=24702R10&amp;VALUEID=02001&amp;SDATE=200402&amp;PERIODTYPE=QTR_STD&amp;SCFT=3&amp;window=popup_no_bar&amp;width=385&amp;height=120&amp;START_MAXIMIZED=FALSE&amp;creator=factset&amp;display_string=Audit"}</definedName>
    <definedName name="_3022__FDSAUDITLINK__" localSheetId="7" hidden="1">{"fdsup://Directions/FactSet Auditing Viewer?action=AUDIT_VALUE&amp;DB=129&amp;ID1=24702R10&amp;VALUEID=02001&amp;SDATE=200402&amp;PERIODTYPE=QTR_STD&amp;SCFT=3&amp;window=popup_no_bar&amp;width=385&amp;height=120&amp;START_MAXIMIZED=FALSE&amp;creator=factset&amp;display_string=Audit"}</definedName>
    <definedName name="_3022__FDSAUDITLINK__" hidden="1">{"fdsup://Directions/FactSet Auditing Viewer?action=AUDIT_VALUE&amp;DB=129&amp;ID1=24702R10&amp;VALUEID=02001&amp;SDATE=200402&amp;PERIODTYPE=QTR_STD&amp;SCFT=3&amp;window=popup_no_bar&amp;width=385&amp;height=120&amp;START_MAXIMIZED=FALSE&amp;creator=factset&amp;display_string=Audit"}</definedName>
    <definedName name="_3023__FDSAUDITLINK__" localSheetId="7" hidden="1">{"fdsup://Directions/FactSet Auditing Viewer?action=AUDIT_VALUE&amp;DB=129&amp;ID1=23257210&amp;VALUEID=02001&amp;SDATE=200402&amp;PERIODTYPE=QTR_STD&amp;SCFT=3&amp;window=popup_no_bar&amp;width=385&amp;height=120&amp;START_MAXIMIZED=FALSE&amp;creator=factset&amp;display_string=Audit"}</definedName>
    <definedName name="_3023__FDSAUDITLINK__" hidden="1">{"fdsup://Directions/FactSet Auditing Viewer?action=AUDIT_VALUE&amp;DB=129&amp;ID1=23257210&amp;VALUEID=02001&amp;SDATE=200402&amp;PERIODTYPE=QTR_STD&amp;SCFT=3&amp;window=popup_no_bar&amp;width=385&amp;height=120&amp;START_MAXIMIZED=FALSE&amp;creator=factset&amp;display_string=Audit"}</definedName>
    <definedName name="_3024__FDSAUDITLINK__" localSheetId="7" hidden="1">{"fdsup://Directions/FactSet Auditing Viewer?action=AUDIT_VALUE&amp;DB=129&amp;ID1=23257210&amp;VALUEID=02001&amp;SDATE=200402&amp;PERIODTYPE=QTR_STD&amp;SCFT=3&amp;window=popup_no_bar&amp;width=385&amp;height=120&amp;START_MAXIMIZED=FALSE&amp;creator=factset&amp;display_string=Audit"}</definedName>
    <definedName name="_3024__FDSAUDITLINK__" hidden="1">{"fdsup://Directions/FactSet Auditing Viewer?action=AUDIT_VALUE&amp;DB=129&amp;ID1=23257210&amp;VALUEID=02001&amp;SDATE=200402&amp;PERIODTYPE=QTR_STD&amp;SCFT=3&amp;window=popup_no_bar&amp;width=385&amp;height=120&amp;START_MAXIMIZED=FALSE&amp;creator=factset&amp;display_string=Audit"}</definedName>
    <definedName name="_3025__FDSAUDITLINK__" localSheetId="7" hidden="1">{"fdsup://Directions/FactSet Auditing Viewer?action=AUDIT_VALUE&amp;DB=129&amp;ID1=23280610&amp;VALUEID=02001&amp;SDATE=200402&amp;PERIODTYPE=QTR_STD&amp;SCFT=3&amp;window=popup_no_bar&amp;width=385&amp;height=120&amp;START_MAXIMIZED=FALSE&amp;creator=factset&amp;display_string=Audit"}</definedName>
    <definedName name="_3025__FDSAUDITLINK__" hidden="1">{"fdsup://Directions/FactSet Auditing Viewer?action=AUDIT_VALUE&amp;DB=129&amp;ID1=23280610&amp;VALUEID=02001&amp;SDATE=200402&amp;PERIODTYPE=QTR_STD&amp;SCFT=3&amp;window=popup_no_bar&amp;width=385&amp;height=120&amp;START_MAXIMIZED=FALSE&amp;creator=factset&amp;display_string=Audit"}</definedName>
    <definedName name="_3026__FDSAUDITLINK__" localSheetId="7" hidden="1">{"fdsup://Directions/FactSet Auditing Viewer?action=AUDIT_VALUE&amp;DB=129&amp;ID1=23280610&amp;VALUEID=02001&amp;SDATE=200402&amp;PERIODTYPE=QTR_STD&amp;SCFT=3&amp;window=popup_no_bar&amp;width=385&amp;height=120&amp;START_MAXIMIZED=FALSE&amp;creator=factset&amp;display_string=Audit"}</definedName>
    <definedName name="_3026__FDSAUDITLINK__" hidden="1">{"fdsup://Directions/FactSet Auditing Viewer?action=AUDIT_VALUE&amp;DB=129&amp;ID1=23280610&amp;VALUEID=02001&amp;SDATE=200402&amp;PERIODTYPE=QTR_STD&amp;SCFT=3&amp;window=popup_no_bar&amp;width=385&amp;height=120&amp;START_MAXIMIZED=FALSE&amp;creator=factset&amp;display_string=Audit"}</definedName>
    <definedName name="_3027__FDSAUDITLINK__" localSheetId="7" hidden="1">{"fdsup://Directions/FactSet Auditing Viewer?action=AUDIT_VALUE&amp;DB=129&amp;ID1=20714230&amp;VALUEID=02001&amp;SDATE=200403&amp;PERIODTYPE=QTR_STD&amp;SCFT=3&amp;window=popup_no_bar&amp;width=385&amp;height=120&amp;START_MAXIMIZED=FALSE&amp;creator=factset&amp;display_string=Audit"}</definedName>
    <definedName name="_3027__FDSAUDITLINK__" hidden="1">{"fdsup://Directions/FactSet Auditing Viewer?action=AUDIT_VALUE&amp;DB=129&amp;ID1=20714230&amp;VALUEID=02001&amp;SDATE=200403&amp;PERIODTYPE=QTR_STD&amp;SCFT=3&amp;window=popup_no_bar&amp;width=385&amp;height=120&amp;START_MAXIMIZED=FALSE&amp;creator=factset&amp;display_string=Audit"}</definedName>
    <definedName name="_3028__FDSAUDITLINK__" localSheetId="7" hidden="1">{"fdsup://Directions/FactSet Auditing Viewer?action=AUDIT_VALUE&amp;DB=129&amp;ID1=20714230&amp;VALUEID=02001&amp;SDATE=200403&amp;PERIODTYPE=QTR_STD&amp;SCFT=3&amp;window=popup_no_bar&amp;width=385&amp;height=120&amp;START_MAXIMIZED=FALSE&amp;creator=factset&amp;display_string=Audit"}</definedName>
    <definedName name="_3028__FDSAUDITLINK__" hidden="1">{"fdsup://Directions/FactSet Auditing Viewer?action=AUDIT_VALUE&amp;DB=129&amp;ID1=20714230&amp;VALUEID=02001&amp;SDATE=200403&amp;PERIODTYPE=QTR_STD&amp;SCFT=3&amp;window=popup_no_bar&amp;width=385&amp;height=120&amp;START_MAXIMIZED=FALSE&amp;creator=factset&amp;display_string=Audit"}</definedName>
    <definedName name="_3029__FDSAUDITLINK__" localSheetId="7" hidden="1">{"fdsup://Directions/FactSet Auditing Viewer?action=AUDIT_VALUE&amp;DB=129&amp;ID1=12738710&amp;VALUEID=02001&amp;SDATE=200402&amp;PERIODTYPE=QTR_STD&amp;SCFT=3&amp;window=popup_no_bar&amp;width=385&amp;height=120&amp;START_MAXIMIZED=FALSE&amp;creator=factset&amp;display_string=Audit"}</definedName>
    <definedName name="_3029__FDSAUDITLINK__" hidden="1">{"fdsup://Directions/FactSet Auditing Viewer?action=AUDIT_VALUE&amp;DB=129&amp;ID1=12738710&amp;VALUEID=02001&amp;SDATE=200402&amp;PERIODTYPE=QTR_STD&amp;SCFT=3&amp;window=popup_no_bar&amp;width=385&amp;height=120&amp;START_MAXIMIZED=FALSE&amp;creator=factset&amp;display_string=Audit"}</definedName>
    <definedName name="_303__FDSAUDITLINK__" localSheetId="7" hidden="1">{"fdsup://Directions/FactSet Auditing Viewer?action=AUDIT_VALUE&amp;DB=129&amp;ID1=92849730&amp;VALUEID=02001&amp;SDATE=201004&amp;PERIODTYPE=QTR_STD&amp;SCFT=3&amp;window=popup_no_bar&amp;width=385&amp;height=120&amp;START_MAXIMIZED=FALSE&amp;creator=factset&amp;display_string=Audit"}</definedName>
    <definedName name="_303__FDSAUDITLINK__" hidden="1">{"fdsup://Directions/FactSet Auditing Viewer?action=AUDIT_VALUE&amp;DB=129&amp;ID1=92849730&amp;VALUEID=02001&amp;SDATE=201004&amp;PERIODTYPE=QTR_STD&amp;SCFT=3&amp;window=popup_no_bar&amp;width=385&amp;height=120&amp;START_MAXIMIZED=FALSE&amp;creator=factset&amp;display_string=Audit"}</definedName>
    <definedName name="_3030__FDSAUDITLINK__" localSheetId="7" hidden="1">{"fdsup://Directions/FactSet Auditing Viewer?action=AUDIT_VALUE&amp;DB=129&amp;ID1=12738710&amp;VALUEID=02001&amp;SDATE=200402&amp;PERIODTYPE=QTR_STD&amp;SCFT=3&amp;window=popup_no_bar&amp;width=385&amp;height=120&amp;START_MAXIMIZED=FALSE&amp;creator=factset&amp;display_string=Audit"}</definedName>
    <definedName name="_3030__FDSAUDITLINK__" hidden="1">{"fdsup://Directions/FactSet Auditing Viewer?action=AUDIT_VALUE&amp;DB=129&amp;ID1=12738710&amp;VALUEID=02001&amp;SDATE=200402&amp;PERIODTYPE=QTR_STD&amp;SCFT=3&amp;window=popup_no_bar&amp;width=385&amp;height=120&amp;START_MAXIMIZED=FALSE&amp;creator=factset&amp;display_string=Audit"}</definedName>
    <definedName name="_3031__FDSAUDITLINK__" localSheetId="7" hidden="1">{"fdsup://Directions/FactSet Auditing Viewer?action=AUDIT_VALUE&amp;DB=129&amp;ID1=11162130&amp;VALUEID=02001&amp;SDATE=200403&amp;PERIODTYPE=QTR_STD&amp;SCFT=3&amp;window=popup_no_bar&amp;width=385&amp;height=120&amp;START_MAXIMIZED=FALSE&amp;creator=factset&amp;display_string=Audit"}</definedName>
    <definedName name="_3031__FDSAUDITLINK__" hidden="1">{"fdsup://Directions/FactSet Auditing Viewer?action=AUDIT_VALUE&amp;DB=129&amp;ID1=11162130&amp;VALUEID=02001&amp;SDATE=200403&amp;PERIODTYPE=QTR_STD&amp;SCFT=3&amp;window=popup_no_bar&amp;width=385&amp;height=120&amp;START_MAXIMIZED=FALSE&amp;creator=factset&amp;display_string=Audit"}</definedName>
    <definedName name="_3032__FDSAUDITLINK__" localSheetId="7" hidden="1">{"fdsup://Directions/FactSet Auditing Viewer?action=AUDIT_VALUE&amp;DB=129&amp;ID1=11162130&amp;VALUEID=02001&amp;SDATE=200403&amp;PERIODTYPE=QTR_STD&amp;SCFT=3&amp;window=popup_no_bar&amp;width=385&amp;height=120&amp;START_MAXIMIZED=FALSE&amp;creator=factset&amp;display_string=Audit"}</definedName>
    <definedName name="_3032__FDSAUDITLINK__" hidden="1">{"fdsup://Directions/FactSet Auditing Viewer?action=AUDIT_VALUE&amp;DB=129&amp;ID1=11162130&amp;VALUEID=02001&amp;SDATE=200403&amp;PERIODTYPE=QTR_STD&amp;SCFT=3&amp;window=popup_no_bar&amp;width=385&amp;height=120&amp;START_MAXIMIZED=FALSE&amp;creator=factset&amp;display_string=Audit"}</definedName>
    <definedName name="_3033__FDSAUDITLINK__" localSheetId="7" hidden="1">{"fdsup://Directions/FactSet Auditing Viewer?action=AUDIT_VALUE&amp;DB=129&amp;ID1=04743P10&amp;VALUEID=02001&amp;SDATE=200402&amp;PERIODTYPE=QTR_STD&amp;SCFT=3&amp;window=popup_no_bar&amp;width=385&amp;height=120&amp;START_MAXIMIZED=FALSE&amp;creator=factset&amp;display_string=Audit"}</definedName>
    <definedName name="_3033__FDSAUDITLINK__" hidden="1">{"fdsup://Directions/FactSet Auditing Viewer?action=AUDIT_VALUE&amp;DB=129&amp;ID1=04743P10&amp;VALUEID=02001&amp;SDATE=200402&amp;PERIODTYPE=QTR_STD&amp;SCFT=3&amp;window=popup_no_bar&amp;width=385&amp;height=120&amp;START_MAXIMIZED=FALSE&amp;creator=factset&amp;display_string=Audit"}</definedName>
    <definedName name="_3034__FDSAUDITLINK__" localSheetId="7" hidden="1">{"fdsup://Directions/FactSet Auditing Viewer?action=AUDIT_VALUE&amp;DB=129&amp;ID1=04743P10&amp;VALUEID=02001&amp;SDATE=200402&amp;PERIODTYPE=QTR_STD&amp;SCFT=3&amp;window=popup_no_bar&amp;width=385&amp;height=120&amp;START_MAXIMIZED=FALSE&amp;creator=factset&amp;display_string=Audit"}</definedName>
    <definedName name="_3034__FDSAUDITLINK__" hidden="1">{"fdsup://Directions/FactSet Auditing Viewer?action=AUDIT_VALUE&amp;DB=129&amp;ID1=04743P10&amp;VALUEID=02001&amp;SDATE=200402&amp;PERIODTYPE=QTR_STD&amp;SCFT=3&amp;window=popup_no_bar&amp;width=385&amp;height=120&amp;START_MAXIMIZED=FALSE&amp;creator=factset&amp;display_string=Audit"}</definedName>
    <definedName name="_3035__FDSAUDITLINK__" localSheetId="7" hidden="1">{"fdsup://Directions/FactSet Auditing Viewer?action=AUDIT_VALUE&amp;DB=129&amp;ID1=00790310&amp;VALUEID=02001&amp;SDATE=200402&amp;PERIODTYPE=QTR_STD&amp;SCFT=3&amp;window=popup_no_bar&amp;width=385&amp;height=120&amp;START_MAXIMIZED=FALSE&amp;creator=factset&amp;display_string=Audit"}</definedName>
    <definedName name="_3035__FDSAUDITLINK__" hidden="1">{"fdsup://Directions/FactSet Auditing Viewer?action=AUDIT_VALUE&amp;DB=129&amp;ID1=00790310&amp;VALUEID=02001&amp;SDATE=200402&amp;PERIODTYPE=QTR_STD&amp;SCFT=3&amp;window=popup_no_bar&amp;width=385&amp;height=120&amp;START_MAXIMIZED=FALSE&amp;creator=factset&amp;display_string=Audit"}</definedName>
    <definedName name="_3036__FDSAUDITLINK__" localSheetId="7" hidden="1">{"fdsup://Directions/FactSet Auditing Viewer?action=AUDIT_VALUE&amp;DB=129&amp;ID1=00790310&amp;VALUEID=02001&amp;SDATE=200402&amp;PERIODTYPE=QTR_STD&amp;SCFT=3&amp;window=popup_no_bar&amp;width=385&amp;height=120&amp;START_MAXIMIZED=FALSE&amp;creator=factset&amp;display_string=Audit"}</definedName>
    <definedName name="_3036__FDSAUDITLINK__" hidden="1">{"fdsup://Directions/FactSet Auditing Viewer?action=AUDIT_VALUE&amp;DB=129&amp;ID1=00790310&amp;VALUEID=02001&amp;SDATE=200402&amp;PERIODTYPE=QTR_STD&amp;SCFT=3&amp;window=popup_no_bar&amp;width=385&amp;height=120&amp;START_MAXIMIZED=FALSE&amp;creator=factset&amp;display_string=Audit"}</definedName>
    <definedName name="_3037__FDSAUDITLINK__" localSheetId="7" hidden="1">{"fdsup://Directions/FactSet Auditing Viewer?action=AUDIT_VALUE&amp;DB=129&amp;ID1=03822W40&amp;VALUEID=02001&amp;SDATE=200401&amp;PERIODTYPE=QTR_STD&amp;SCFT=3&amp;window=popup_no_bar&amp;width=385&amp;height=120&amp;START_MAXIMIZED=FALSE&amp;creator=factset&amp;display_string=Audit"}</definedName>
    <definedName name="_3037__FDSAUDITLINK__" hidden="1">{"fdsup://Directions/FactSet Auditing Viewer?action=AUDIT_VALUE&amp;DB=129&amp;ID1=03822W40&amp;VALUEID=02001&amp;SDATE=200401&amp;PERIODTYPE=QTR_STD&amp;SCFT=3&amp;window=popup_no_bar&amp;width=385&amp;height=120&amp;START_MAXIMIZED=FALSE&amp;creator=factset&amp;display_string=Audit"}</definedName>
    <definedName name="_3038__FDSAUDITLINK__" localSheetId="7" hidden="1">{"fdsup://Directions/FactSet Auditing Viewer?action=AUDIT_VALUE&amp;DB=129&amp;ID1=03822W40&amp;VALUEID=02001&amp;SDATE=200401&amp;PERIODTYPE=QTR_STD&amp;SCFT=3&amp;window=popup_no_bar&amp;width=385&amp;height=120&amp;START_MAXIMIZED=FALSE&amp;creator=factset&amp;display_string=Audit"}</definedName>
    <definedName name="_3038__FDSAUDITLINK__" hidden="1">{"fdsup://Directions/FactSet Auditing Viewer?action=AUDIT_VALUE&amp;DB=129&amp;ID1=03822W40&amp;VALUEID=02001&amp;SDATE=200401&amp;PERIODTYPE=QTR_STD&amp;SCFT=3&amp;window=popup_no_bar&amp;width=385&amp;height=120&amp;START_MAXIMIZED=FALSE&amp;creator=factset&amp;display_string=Audit"}</definedName>
    <definedName name="_3039__FDSAUDITLINK__" localSheetId="7" hidden="1">{"fdsup://Directions/FactSet Auditing Viewer?action=AUDIT_VALUE&amp;DB=129&amp;ID1=03822210&amp;VALUEID=02001&amp;SDATE=200403&amp;PERIODTYPE=QTR_STD&amp;SCFT=3&amp;window=popup_no_bar&amp;width=385&amp;height=120&amp;START_MAXIMIZED=FALSE&amp;creator=factset&amp;display_string=Audit"}</definedName>
    <definedName name="_3039__FDSAUDITLINK__" hidden="1">{"fdsup://Directions/FactSet Auditing Viewer?action=AUDIT_VALUE&amp;DB=129&amp;ID1=03822210&amp;VALUEID=02001&amp;SDATE=200403&amp;PERIODTYPE=QTR_STD&amp;SCFT=3&amp;window=popup_no_bar&amp;width=385&amp;height=120&amp;START_MAXIMIZED=FALSE&amp;creator=factset&amp;display_string=Audit"}</definedName>
    <definedName name="_304__FDSAUDITLINK__" localSheetId="7" hidden="1">{"fdsup://Directions/FactSet Auditing Viewer?action=AUDIT_VALUE&amp;DB=129&amp;ID1=92849730&amp;VALUEID=02001&amp;SDATE=201004&amp;PERIODTYPE=QTR_STD&amp;SCFT=3&amp;window=popup_no_bar&amp;width=385&amp;height=120&amp;START_MAXIMIZED=FALSE&amp;creator=factset&amp;display_string=Audit"}</definedName>
    <definedName name="_304__FDSAUDITLINK__" hidden="1">{"fdsup://Directions/FactSet Auditing Viewer?action=AUDIT_VALUE&amp;DB=129&amp;ID1=92849730&amp;VALUEID=02001&amp;SDATE=201004&amp;PERIODTYPE=QTR_STD&amp;SCFT=3&amp;window=popup_no_bar&amp;width=385&amp;height=120&amp;START_MAXIMIZED=FALSE&amp;creator=factset&amp;display_string=Audit"}</definedName>
    <definedName name="_3040__FDSAUDITLINK__" localSheetId="7" hidden="1">{"fdsup://Directions/FactSet Auditing Viewer?action=AUDIT_VALUE&amp;DB=129&amp;ID1=03822210&amp;VALUEID=02001&amp;SDATE=200403&amp;PERIODTYPE=QTR_STD&amp;SCFT=3&amp;window=popup_no_bar&amp;width=385&amp;height=120&amp;START_MAXIMIZED=FALSE&amp;creator=factset&amp;display_string=Audit"}</definedName>
    <definedName name="_3040__FDSAUDITLINK__" hidden="1">{"fdsup://Directions/FactSet Auditing Viewer?action=AUDIT_VALUE&amp;DB=129&amp;ID1=03822210&amp;VALUEID=02001&amp;SDATE=200403&amp;PERIODTYPE=QTR_STD&amp;SCFT=3&amp;window=popup_no_bar&amp;width=385&amp;height=120&amp;START_MAXIMIZED=FALSE&amp;creator=factset&amp;display_string=Audit"}</definedName>
    <definedName name="_3041__FDSAUDITLINK__" localSheetId="7" hidden="1">{"fdsup://Directions/FactSet Auditing Viewer?action=AUDIT_VALUE&amp;DB=129&amp;ID1=02144110&amp;VALUEID=02001&amp;SDATE=200402&amp;PERIODTYPE=QTR_STD&amp;SCFT=3&amp;window=popup_no_bar&amp;width=385&amp;height=120&amp;START_MAXIMIZED=FALSE&amp;creator=factset&amp;display_string=Audit"}</definedName>
    <definedName name="_3041__FDSAUDITLINK__" hidden="1">{"fdsup://Directions/FactSet Auditing Viewer?action=AUDIT_VALUE&amp;DB=129&amp;ID1=02144110&amp;VALUEID=02001&amp;SDATE=200402&amp;PERIODTYPE=QTR_STD&amp;SCFT=3&amp;window=popup_no_bar&amp;width=385&amp;height=120&amp;START_MAXIMIZED=FALSE&amp;creator=factset&amp;display_string=Audit"}</definedName>
    <definedName name="_3042__FDSAUDITLINK__" localSheetId="7" hidden="1">{"fdsup://Directions/FactSet Auditing Viewer?action=AUDIT_VALUE&amp;DB=129&amp;ID1=02144110&amp;VALUEID=02001&amp;SDATE=200402&amp;PERIODTYPE=QTR_STD&amp;SCFT=3&amp;window=popup_no_bar&amp;width=385&amp;height=120&amp;START_MAXIMIZED=FALSE&amp;creator=factset&amp;display_string=Audit"}</definedName>
    <definedName name="_3042__FDSAUDITLINK__" hidden="1">{"fdsup://Directions/FactSet Auditing Viewer?action=AUDIT_VALUE&amp;DB=129&amp;ID1=02144110&amp;VALUEID=02001&amp;SDATE=200402&amp;PERIODTYPE=QTR_STD&amp;SCFT=3&amp;window=popup_no_bar&amp;width=385&amp;height=120&amp;START_MAXIMIZED=FALSE&amp;creator=factset&amp;display_string=Audit"}</definedName>
    <definedName name="_3043__FDSAUDITLINK__" localSheetId="7" hidden="1">{"fdsup://Directions/FactSet Auditing Viewer?action=AUDIT_VALUE&amp;DB=129&amp;ID1=03265410&amp;VALUEID=02001&amp;SDATE=200403&amp;PERIODTYPE=QTR_STD&amp;SCFT=3&amp;window=popup_no_bar&amp;width=385&amp;height=120&amp;START_MAXIMIZED=FALSE&amp;creator=factset&amp;display_string=Audit"}</definedName>
    <definedName name="_3043__FDSAUDITLINK__" hidden="1">{"fdsup://Directions/FactSet Auditing Viewer?action=AUDIT_VALUE&amp;DB=129&amp;ID1=03265410&amp;VALUEID=02001&amp;SDATE=200403&amp;PERIODTYPE=QTR_STD&amp;SCFT=3&amp;window=popup_no_bar&amp;width=385&amp;height=120&amp;START_MAXIMIZED=FALSE&amp;creator=factset&amp;display_string=Audit"}</definedName>
    <definedName name="_3044__FDSAUDITLINK__" localSheetId="7" hidden="1">{"fdsup://Directions/FactSet Auditing Viewer?action=AUDIT_VALUE&amp;DB=129&amp;ID1=03265410&amp;VALUEID=02001&amp;SDATE=200403&amp;PERIODTYPE=QTR_STD&amp;SCFT=3&amp;window=popup_no_bar&amp;width=385&amp;height=120&amp;START_MAXIMIZED=FALSE&amp;creator=factset&amp;display_string=Audit"}</definedName>
    <definedName name="_3044__FDSAUDITLINK__" hidden="1">{"fdsup://Directions/FactSet Auditing Viewer?action=AUDIT_VALUE&amp;DB=129&amp;ID1=03265410&amp;VALUEID=02001&amp;SDATE=200403&amp;PERIODTYPE=QTR_STD&amp;SCFT=3&amp;window=popup_no_bar&amp;width=385&amp;height=120&amp;START_MAXIMIZED=FALSE&amp;creator=factset&amp;display_string=Audit"}</definedName>
    <definedName name="_3045__FDSAUDITLINK__" localSheetId="7" hidden="1">{"fdsup://Directions/FactSet Auditing Viewer?action=AUDIT_VALUE&amp;DB=129&amp;ID1=98975F10&amp;VALUEID=02001&amp;SDATE=200401&amp;PERIODTYPE=QTR_STD&amp;SCFT=3&amp;window=popup_no_bar&amp;width=385&amp;height=120&amp;START_MAXIMIZED=FALSE&amp;creator=factset&amp;display_string=Audit"}</definedName>
    <definedName name="_3045__FDSAUDITLINK__" hidden="1">{"fdsup://Directions/FactSet Auditing Viewer?action=AUDIT_VALUE&amp;DB=129&amp;ID1=98975F10&amp;VALUEID=02001&amp;SDATE=200401&amp;PERIODTYPE=QTR_STD&amp;SCFT=3&amp;window=popup_no_bar&amp;width=385&amp;height=120&amp;START_MAXIMIZED=FALSE&amp;creator=factset&amp;display_string=Audit"}</definedName>
    <definedName name="_3046__FDSAUDITLINK__" localSheetId="7" hidden="1">{"fdsup://Directions/FactSet Auditing Viewer?action=AUDIT_VALUE&amp;DB=129&amp;ID1=98975F10&amp;VALUEID=02001&amp;SDATE=200401&amp;PERIODTYPE=QTR_STD&amp;SCFT=3&amp;window=popup_no_bar&amp;width=385&amp;height=120&amp;START_MAXIMIZED=FALSE&amp;creator=factset&amp;display_string=Audit"}</definedName>
    <definedName name="_3046__FDSAUDITLINK__" hidden="1">{"fdsup://Directions/FactSet Auditing Viewer?action=AUDIT_VALUE&amp;DB=129&amp;ID1=98975F10&amp;VALUEID=02001&amp;SDATE=200401&amp;PERIODTYPE=QTR_STD&amp;SCFT=3&amp;window=popup_no_bar&amp;width=385&amp;height=120&amp;START_MAXIMIZED=FALSE&amp;creator=factset&amp;display_string=Audit"}</definedName>
    <definedName name="_3047__FDSAUDITLINK__" localSheetId="7" hidden="1">{"fdsup://Directions/FactSet Auditing Viewer?action=AUDIT_VALUE&amp;DB=129&amp;ID1=95810210&amp;VALUEID=02001&amp;SDATE=200403&amp;PERIODTYPE=QTR_STD&amp;SCFT=3&amp;window=popup_no_bar&amp;width=385&amp;height=120&amp;START_MAXIMIZED=FALSE&amp;creator=factset&amp;display_string=Audit"}</definedName>
    <definedName name="_3047__FDSAUDITLINK__" hidden="1">{"fdsup://Directions/FactSet Auditing Viewer?action=AUDIT_VALUE&amp;DB=129&amp;ID1=95810210&amp;VALUEID=02001&amp;SDATE=200403&amp;PERIODTYPE=QTR_STD&amp;SCFT=3&amp;window=popup_no_bar&amp;width=385&amp;height=120&amp;START_MAXIMIZED=FALSE&amp;creator=factset&amp;display_string=Audit"}</definedName>
    <definedName name="_3048__FDSAUDITLINK__" localSheetId="7" hidden="1">{"fdsup://Directions/FactSet Auditing Viewer?action=AUDIT_VALUE&amp;DB=129&amp;ID1=95810210&amp;VALUEID=02001&amp;SDATE=200403&amp;PERIODTYPE=QTR_STD&amp;SCFT=3&amp;window=popup_no_bar&amp;width=385&amp;height=120&amp;START_MAXIMIZED=FALSE&amp;creator=factset&amp;display_string=Audit"}</definedName>
    <definedName name="_3048__FDSAUDITLINK__" hidden="1">{"fdsup://Directions/FactSet Auditing Viewer?action=AUDIT_VALUE&amp;DB=129&amp;ID1=95810210&amp;VALUEID=02001&amp;SDATE=200403&amp;PERIODTYPE=QTR_STD&amp;SCFT=3&amp;window=popup_no_bar&amp;width=385&amp;height=120&amp;START_MAXIMIZED=FALSE&amp;creator=factset&amp;display_string=Audit"}</definedName>
    <definedName name="_3049__FDSAUDITLINK__" localSheetId="7" hidden="1">{"fdsup://Directions/FactSet Auditing Viewer?action=AUDIT_VALUE&amp;DB=129&amp;ID1=92849730&amp;VALUEID=02001&amp;SDATE=200402&amp;PERIODTYPE=QTR_STD&amp;SCFT=3&amp;window=popup_no_bar&amp;width=385&amp;height=120&amp;START_MAXIMIZED=FALSE&amp;creator=factset&amp;display_string=Audit"}</definedName>
    <definedName name="_3049__FDSAUDITLINK__" hidden="1">{"fdsup://Directions/FactSet Auditing Viewer?action=AUDIT_VALUE&amp;DB=129&amp;ID1=92849730&amp;VALUEID=02001&amp;SDATE=200402&amp;PERIODTYPE=QTR_STD&amp;SCFT=3&amp;window=popup_no_bar&amp;width=385&amp;height=120&amp;START_MAXIMIZED=FALSE&amp;creator=factset&amp;display_string=Audit"}</definedName>
    <definedName name="_305__FDSAUDITLINK__" localSheetId="7" hidden="1">{"fdsup://Directions/FactSet Auditing Viewer?action=AUDIT_VALUE&amp;DB=129&amp;ID1=92829810&amp;VALUEID=02001&amp;SDATE=201003&amp;PERIODTYPE=QTR_STD&amp;SCFT=3&amp;window=popup_no_bar&amp;width=385&amp;height=120&amp;START_MAXIMIZED=FALSE&amp;creator=factset&amp;display_string=Audit"}</definedName>
    <definedName name="_305__FDSAUDITLINK__" hidden="1">{"fdsup://Directions/FactSet Auditing Viewer?action=AUDIT_VALUE&amp;DB=129&amp;ID1=92829810&amp;VALUEID=02001&amp;SDATE=201003&amp;PERIODTYPE=QTR_STD&amp;SCFT=3&amp;window=popup_no_bar&amp;width=385&amp;height=120&amp;START_MAXIMIZED=FALSE&amp;creator=factset&amp;display_string=Audit"}</definedName>
    <definedName name="_3050__FDSAUDITLINK__" localSheetId="7" hidden="1">{"fdsup://Directions/FactSet Auditing Viewer?action=AUDIT_VALUE&amp;DB=129&amp;ID1=92849730&amp;VALUEID=02001&amp;SDATE=200402&amp;PERIODTYPE=QTR_STD&amp;SCFT=3&amp;window=popup_no_bar&amp;width=385&amp;height=120&amp;START_MAXIMIZED=FALSE&amp;creator=factset&amp;display_string=Audit"}</definedName>
    <definedName name="_3050__FDSAUDITLINK__" hidden="1">{"fdsup://Directions/FactSet Auditing Viewer?action=AUDIT_VALUE&amp;DB=129&amp;ID1=92849730&amp;VALUEID=02001&amp;SDATE=200402&amp;PERIODTYPE=QTR_STD&amp;SCFT=3&amp;window=popup_no_bar&amp;width=385&amp;height=120&amp;START_MAXIMIZED=FALSE&amp;creator=factset&amp;display_string=Audit"}</definedName>
    <definedName name="_3051__FDSAUDITLINK__" localSheetId="7" hidden="1">{"fdsup://Directions/FactSet Auditing Viewer?action=AUDIT_VALUE&amp;DB=129&amp;ID1=88250810&amp;VALUEID=02001&amp;SDATE=200401&amp;PERIODTYPE=QTR_STD&amp;SCFT=3&amp;window=popup_no_bar&amp;width=385&amp;height=120&amp;START_MAXIMIZED=FALSE&amp;creator=factset&amp;display_string=Audit"}</definedName>
    <definedName name="_3051__FDSAUDITLINK__" hidden="1">{"fdsup://Directions/FactSet Auditing Viewer?action=AUDIT_VALUE&amp;DB=129&amp;ID1=88250810&amp;VALUEID=02001&amp;SDATE=200401&amp;PERIODTYPE=QTR_STD&amp;SCFT=3&amp;window=popup_no_bar&amp;width=385&amp;height=120&amp;START_MAXIMIZED=FALSE&amp;creator=factset&amp;display_string=Audit"}</definedName>
    <definedName name="_3052__FDSAUDITLINK__" localSheetId="7" hidden="1">{"fdsup://Directions/FactSet Auditing Viewer?action=AUDIT_VALUE&amp;DB=129&amp;ID1=88250810&amp;VALUEID=02001&amp;SDATE=200401&amp;PERIODTYPE=QTR_STD&amp;SCFT=3&amp;window=popup_no_bar&amp;width=385&amp;height=120&amp;START_MAXIMIZED=FALSE&amp;creator=factset&amp;display_string=Audit"}</definedName>
    <definedName name="_3052__FDSAUDITLINK__" hidden="1">{"fdsup://Directions/FactSet Auditing Viewer?action=AUDIT_VALUE&amp;DB=129&amp;ID1=88250810&amp;VALUEID=02001&amp;SDATE=200401&amp;PERIODTYPE=QTR_STD&amp;SCFT=3&amp;window=popup_no_bar&amp;width=385&amp;height=120&amp;START_MAXIMIZED=FALSE&amp;creator=factset&amp;display_string=Audit"}</definedName>
    <definedName name="_3053__FDSAUDITLINK__" localSheetId="7" hidden="1">{"fdsup://Directions/FactSet Auditing Viewer?action=AUDIT_VALUE&amp;DB=129&amp;ID1=89674K10&amp;VALUEID=02001&amp;SDATE=200401&amp;PERIODTYPE=QTR_STD&amp;SCFT=3&amp;window=popup_no_bar&amp;width=385&amp;height=120&amp;START_MAXIMIZED=FALSE&amp;creator=factset&amp;display_string=Audit"}</definedName>
    <definedName name="_3053__FDSAUDITLINK__" hidden="1">{"fdsup://Directions/FactSet Auditing Viewer?action=AUDIT_VALUE&amp;DB=129&amp;ID1=89674K10&amp;VALUEID=02001&amp;SDATE=200401&amp;PERIODTYPE=QTR_STD&amp;SCFT=3&amp;window=popup_no_bar&amp;width=385&amp;height=120&amp;START_MAXIMIZED=FALSE&amp;creator=factset&amp;display_string=Audit"}</definedName>
    <definedName name="_3054__FDSAUDITLINK__" localSheetId="7" hidden="1">{"fdsup://Directions/FactSet Auditing Viewer?action=AUDIT_VALUE&amp;DB=129&amp;ID1=89674K10&amp;VALUEID=02001&amp;SDATE=200401&amp;PERIODTYPE=QTR_STD&amp;SCFT=3&amp;window=popup_no_bar&amp;width=385&amp;height=120&amp;START_MAXIMIZED=FALSE&amp;creator=factset&amp;display_string=Audit"}</definedName>
    <definedName name="_3054__FDSAUDITLINK__" hidden="1">{"fdsup://Directions/FactSet Auditing Viewer?action=AUDIT_VALUE&amp;DB=129&amp;ID1=89674K10&amp;VALUEID=02001&amp;SDATE=200401&amp;PERIODTYPE=QTR_STD&amp;SCFT=3&amp;window=popup_no_bar&amp;width=385&amp;height=120&amp;START_MAXIMIZED=FALSE&amp;creator=factset&amp;display_string=Audit"}</definedName>
    <definedName name="_3055__FDSAUDITLINK__" localSheetId="7" hidden="1">{"fdsup://Directions/FactSet Auditing Viewer?action=AUDIT_VALUE&amp;DB=129&amp;ID1=83088M10&amp;VALUEID=02001&amp;SDATE=200402&amp;PERIODTYPE=QTR_STD&amp;SCFT=3&amp;window=popup_no_bar&amp;width=385&amp;height=120&amp;START_MAXIMIZED=FALSE&amp;creator=factset&amp;display_string=Audit"}</definedName>
    <definedName name="_3055__FDSAUDITLINK__" hidden="1">{"fdsup://Directions/FactSet Auditing Viewer?action=AUDIT_VALUE&amp;DB=129&amp;ID1=83088M10&amp;VALUEID=02001&amp;SDATE=200402&amp;PERIODTYPE=QTR_STD&amp;SCFT=3&amp;window=popup_no_bar&amp;width=385&amp;height=120&amp;START_MAXIMIZED=FALSE&amp;creator=factset&amp;display_string=Audit"}</definedName>
    <definedName name="_3056__FDSAUDITLINK__" localSheetId="7" hidden="1">{"fdsup://Directions/FactSet Auditing Viewer?action=AUDIT_VALUE&amp;DB=129&amp;ID1=83088M10&amp;VALUEID=02001&amp;SDATE=200402&amp;PERIODTYPE=QTR_STD&amp;SCFT=3&amp;window=popup_no_bar&amp;width=385&amp;height=120&amp;START_MAXIMIZED=FALSE&amp;creator=factset&amp;display_string=Audit"}</definedName>
    <definedName name="_3056__FDSAUDITLINK__" hidden="1">{"fdsup://Directions/FactSet Auditing Viewer?action=AUDIT_VALUE&amp;DB=129&amp;ID1=83088M10&amp;VALUEID=02001&amp;SDATE=200402&amp;PERIODTYPE=QTR_STD&amp;SCFT=3&amp;window=popup_no_bar&amp;width=385&amp;height=120&amp;START_MAXIMIZED=FALSE&amp;creator=factset&amp;display_string=Audit"}</definedName>
    <definedName name="_3057__FDSAUDITLINK__" localSheetId="7" hidden="1">{"fdsup://Directions/FactSet Auditing Viewer?action=AUDIT_VALUE&amp;DB=129&amp;ID1=G7945M10&amp;VALUEID=02001&amp;SDATE=200403&amp;PERIODTYPE=QTR_STD&amp;SCFT=3&amp;window=popup_no_bar&amp;width=385&amp;height=120&amp;START_MAXIMIZED=FALSE&amp;creator=factset&amp;display_string=Audit"}</definedName>
    <definedName name="_3057__FDSAUDITLINK__" hidden="1">{"fdsup://Directions/FactSet Auditing Viewer?action=AUDIT_VALUE&amp;DB=129&amp;ID1=G7945M10&amp;VALUEID=02001&amp;SDATE=200403&amp;PERIODTYPE=QTR_STD&amp;SCFT=3&amp;window=popup_no_bar&amp;width=385&amp;height=120&amp;START_MAXIMIZED=FALSE&amp;creator=factset&amp;display_string=Audit"}</definedName>
    <definedName name="_3058__FDSAUDITLINK__" localSheetId="7" hidden="1">{"fdsup://Directions/FactSet Auditing Viewer?action=AUDIT_VALUE&amp;DB=129&amp;ID1=G7945M10&amp;VALUEID=02001&amp;SDATE=200403&amp;PERIODTYPE=QTR_STD&amp;SCFT=3&amp;window=popup_no_bar&amp;width=385&amp;height=120&amp;START_MAXIMIZED=FALSE&amp;creator=factset&amp;display_string=Audit"}</definedName>
    <definedName name="_3058__FDSAUDITLINK__" hidden="1">{"fdsup://Directions/FactSet Auditing Viewer?action=AUDIT_VALUE&amp;DB=129&amp;ID1=G7945M10&amp;VALUEID=02001&amp;SDATE=200403&amp;PERIODTYPE=QTR_STD&amp;SCFT=3&amp;window=popup_no_bar&amp;width=385&amp;height=120&amp;START_MAXIMIZED=FALSE&amp;creator=factset&amp;display_string=Audit"}</definedName>
    <definedName name="_3059__FDSAUDITLINK__" localSheetId="7" hidden="1">{"fdsup://Directions/FactSet Auditing Viewer?action=AUDIT_VALUE&amp;DB=129&amp;ID1=78477410&amp;VALUEID=02001&amp;SDATE=200401&amp;PERIODTYPE=QTR_STD&amp;SCFT=3&amp;window=popup_no_bar&amp;width=385&amp;height=120&amp;START_MAXIMIZED=FALSE&amp;creator=factset&amp;display_string=Audit"}</definedName>
    <definedName name="_3059__FDSAUDITLINK__" hidden="1">{"fdsup://Directions/FactSet Auditing Viewer?action=AUDIT_VALUE&amp;DB=129&amp;ID1=78477410&amp;VALUEID=02001&amp;SDATE=200401&amp;PERIODTYPE=QTR_STD&amp;SCFT=3&amp;window=popup_no_bar&amp;width=385&amp;height=120&amp;START_MAXIMIZED=FALSE&amp;creator=factset&amp;display_string=Audit"}</definedName>
    <definedName name="_306__FDSAUDITLINK__" localSheetId="7" hidden="1">{"fdsup://Directions/FactSet Auditing Viewer?action=AUDIT_VALUE&amp;DB=129&amp;ID1=92829810&amp;VALUEID=02001&amp;SDATE=201003&amp;PERIODTYPE=QTR_STD&amp;SCFT=3&amp;window=popup_no_bar&amp;width=385&amp;height=120&amp;START_MAXIMIZED=FALSE&amp;creator=factset&amp;display_string=Audit"}</definedName>
    <definedName name="_306__FDSAUDITLINK__" hidden="1">{"fdsup://Directions/FactSet Auditing Viewer?action=AUDIT_VALUE&amp;DB=129&amp;ID1=92829810&amp;VALUEID=02001&amp;SDATE=201003&amp;PERIODTYPE=QTR_STD&amp;SCFT=3&amp;window=popup_no_bar&amp;width=385&amp;height=120&amp;START_MAXIMIZED=FALSE&amp;creator=factset&amp;display_string=Audit"}</definedName>
    <definedName name="_3060__FDSAUDITLINK__" localSheetId="7" hidden="1">{"fdsup://Directions/FactSet Auditing Viewer?action=AUDIT_VALUE&amp;DB=129&amp;ID1=78477410&amp;VALUEID=02001&amp;SDATE=200401&amp;PERIODTYPE=QTR_STD&amp;SCFT=3&amp;window=popup_no_bar&amp;width=385&amp;height=120&amp;START_MAXIMIZED=FALSE&amp;creator=factset&amp;display_string=Audit"}</definedName>
    <definedName name="_3060__FDSAUDITLINK__" hidden="1">{"fdsup://Directions/FactSet Auditing Viewer?action=AUDIT_VALUE&amp;DB=129&amp;ID1=78477410&amp;VALUEID=02001&amp;SDATE=200401&amp;PERIODTYPE=QTR_STD&amp;SCFT=3&amp;window=popup_no_bar&amp;width=385&amp;height=120&amp;START_MAXIMIZED=FALSE&amp;creator=factset&amp;display_string=Audit"}</definedName>
    <definedName name="_3061__FDSAUDITLINK__" localSheetId="7" hidden="1">{"fdsup://Directions/FactSet Auditing Viewer?action=AUDIT_VALUE&amp;DB=129&amp;ID1=83547010&amp;VALUEID=02001&amp;SDATE=200401&amp;PERIODTYPE=QTR_STD&amp;SCFT=3&amp;window=popup_no_bar&amp;width=385&amp;height=120&amp;START_MAXIMIZED=FALSE&amp;creator=factset&amp;display_string=Audit"}</definedName>
    <definedName name="_3061__FDSAUDITLINK__" hidden="1">{"fdsup://Directions/FactSet Auditing Viewer?action=AUDIT_VALUE&amp;DB=129&amp;ID1=83547010&amp;VALUEID=02001&amp;SDATE=200401&amp;PERIODTYPE=QTR_STD&amp;SCFT=3&amp;window=popup_no_bar&amp;width=385&amp;height=120&amp;START_MAXIMIZED=FALSE&amp;creator=factset&amp;display_string=Audit"}</definedName>
    <definedName name="_3062__FDSAUDITLINK__" localSheetId="7" hidden="1">{"fdsup://Directions/FactSet Auditing Viewer?action=AUDIT_VALUE&amp;DB=129&amp;ID1=83547010&amp;VALUEID=02001&amp;SDATE=200401&amp;PERIODTYPE=QTR_STD&amp;SCFT=3&amp;window=popup_no_bar&amp;width=385&amp;height=120&amp;START_MAXIMIZED=FALSE&amp;creator=factset&amp;display_string=Audit"}</definedName>
    <definedName name="_3062__FDSAUDITLINK__" hidden="1">{"fdsup://Directions/FactSet Auditing Viewer?action=AUDIT_VALUE&amp;DB=129&amp;ID1=83547010&amp;VALUEID=02001&amp;SDATE=200401&amp;PERIODTYPE=QTR_STD&amp;SCFT=3&amp;window=popup_no_bar&amp;width=385&amp;height=120&amp;START_MAXIMIZED=FALSE&amp;creator=factset&amp;display_string=Audit"}</definedName>
    <definedName name="_3063__FDSAUDITLINK__" localSheetId="7" hidden="1">{"fdsup://Directions/FactSet Auditing Viewer?action=AUDIT_VALUE&amp;DB=129&amp;ID1=87160710&amp;VALUEID=02001&amp;SDATE=200402&amp;PERIODTYPE=QTR_STD&amp;SCFT=3&amp;window=popup_no_bar&amp;width=385&amp;height=120&amp;START_MAXIMIZED=FALSE&amp;creator=factset&amp;display_string=Audit"}</definedName>
    <definedName name="_3063__FDSAUDITLINK__" hidden="1">{"fdsup://Directions/FactSet Auditing Viewer?action=AUDIT_VALUE&amp;DB=129&amp;ID1=87160710&amp;VALUEID=02001&amp;SDATE=200402&amp;PERIODTYPE=QTR_STD&amp;SCFT=3&amp;window=popup_no_bar&amp;width=385&amp;height=120&amp;START_MAXIMIZED=FALSE&amp;creator=factset&amp;display_string=Audit"}</definedName>
    <definedName name="_3064__FDSAUDITLINK__" localSheetId="7" hidden="1">{"fdsup://Directions/FactSet Auditing Viewer?action=AUDIT_VALUE&amp;DB=129&amp;ID1=87160710&amp;VALUEID=02001&amp;SDATE=200402&amp;PERIODTYPE=QTR_STD&amp;SCFT=3&amp;window=popup_no_bar&amp;width=385&amp;height=120&amp;START_MAXIMIZED=FALSE&amp;creator=factset&amp;display_string=Audit"}</definedName>
    <definedName name="_3064__FDSAUDITLINK__" hidden="1">{"fdsup://Directions/FactSet Auditing Viewer?action=AUDIT_VALUE&amp;DB=129&amp;ID1=87160710&amp;VALUEID=02001&amp;SDATE=200402&amp;PERIODTYPE=QTR_STD&amp;SCFT=3&amp;window=popup_no_bar&amp;width=385&amp;height=120&amp;START_MAXIMIZED=FALSE&amp;creator=factset&amp;display_string=Audit"}</definedName>
    <definedName name="_3065__FDSAUDITLINK__" localSheetId="7" hidden="1">{"fdsup://Directions/FactSet Auditing Viewer?action=AUDIT_VALUE&amp;DB=129&amp;ID1=80004C10&amp;VALUEID=02001&amp;SDATE=200401&amp;PERIODTYPE=QTR_STD&amp;SCFT=3&amp;window=popup_no_bar&amp;width=385&amp;height=120&amp;START_MAXIMIZED=FALSE&amp;creator=factset&amp;display_string=Audit"}</definedName>
    <definedName name="_3065__FDSAUDITLINK__" hidden="1">{"fdsup://Directions/FactSet Auditing Viewer?action=AUDIT_VALUE&amp;DB=129&amp;ID1=80004C10&amp;VALUEID=02001&amp;SDATE=200401&amp;PERIODTYPE=QTR_STD&amp;SCFT=3&amp;window=popup_no_bar&amp;width=385&amp;height=120&amp;START_MAXIMIZED=FALSE&amp;creator=factset&amp;display_string=Audit"}</definedName>
    <definedName name="_3066__FDSAUDITLINK__" localSheetId="7" hidden="1">{"fdsup://Directions/FactSet Auditing Viewer?action=AUDIT_VALUE&amp;DB=129&amp;ID1=80004C10&amp;VALUEID=02001&amp;SDATE=200401&amp;PERIODTYPE=QTR_STD&amp;SCFT=3&amp;window=popup_no_bar&amp;width=385&amp;height=120&amp;START_MAXIMIZED=FALSE&amp;creator=factset&amp;display_string=Audit"}</definedName>
    <definedName name="_3066__FDSAUDITLINK__" hidden="1">{"fdsup://Directions/FactSet Auditing Viewer?action=AUDIT_VALUE&amp;DB=129&amp;ID1=80004C10&amp;VALUEID=02001&amp;SDATE=200401&amp;PERIODTYPE=QTR_STD&amp;SCFT=3&amp;window=popup_no_bar&amp;width=385&amp;height=120&amp;START_MAXIMIZED=FALSE&amp;creator=factset&amp;display_string=Audit"}</definedName>
    <definedName name="_3067__FDSAUDITLINK__" localSheetId="7" hidden="1">{"fdsup://Directions/FactSet Auditing Viewer?action=AUDIT_VALUE&amp;DB=129&amp;ID1=81685010&amp;VALUEID=02001&amp;SDATE=200401&amp;PERIODTYPE=QTR_STD&amp;SCFT=3&amp;window=popup_no_bar&amp;width=385&amp;height=120&amp;START_MAXIMIZED=FALSE&amp;creator=factset&amp;display_string=Audit"}</definedName>
    <definedName name="_3067__FDSAUDITLINK__" hidden="1">{"fdsup://Directions/FactSet Auditing Viewer?action=AUDIT_VALUE&amp;DB=129&amp;ID1=81685010&amp;VALUEID=02001&amp;SDATE=200401&amp;PERIODTYPE=QTR_STD&amp;SCFT=3&amp;window=popup_no_bar&amp;width=385&amp;height=120&amp;START_MAXIMIZED=FALSE&amp;creator=factset&amp;display_string=Audit"}</definedName>
    <definedName name="_3068__FDSAUDITLINK__" localSheetId="7" hidden="1">{"fdsup://Directions/FactSet Auditing Viewer?action=AUDIT_VALUE&amp;DB=129&amp;ID1=81685010&amp;VALUEID=02001&amp;SDATE=200401&amp;PERIODTYPE=QTR_STD&amp;SCFT=3&amp;window=popup_no_bar&amp;width=385&amp;height=120&amp;START_MAXIMIZED=FALSE&amp;creator=factset&amp;display_string=Audit"}</definedName>
    <definedName name="_3068__FDSAUDITLINK__" hidden="1">{"fdsup://Directions/FactSet Auditing Viewer?action=AUDIT_VALUE&amp;DB=129&amp;ID1=81685010&amp;VALUEID=02001&amp;SDATE=200401&amp;PERIODTYPE=QTR_STD&amp;SCFT=3&amp;window=popup_no_bar&amp;width=385&amp;height=120&amp;START_MAXIMIZED=FALSE&amp;creator=factset&amp;display_string=Audit"}</definedName>
    <definedName name="_3069__FDSAUDITLINK__" localSheetId="7" hidden="1">{"fdsup://Directions/FactSet Auditing Viewer?action=AUDIT_VALUE&amp;DB=129&amp;ID1=82691910&amp;VALUEID=02001&amp;SDATE=200401&amp;PERIODTYPE=QTR_STD&amp;SCFT=3&amp;window=popup_no_bar&amp;width=385&amp;height=120&amp;START_MAXIMIZED=FALSE&amp;creator=factset&amp;display_string=Audit"}</definedName>
    <definedName name="_3069__FDSAUDITLINK__" hidden="1">{"fdsup://Directions/FactSet Auditing Viewer?action=AUDIT_VALUE&amp;DB=129&amp;ID1=82691910&amp;VALUEID=02001&amp;SDATE=200401&amp;PERIODTYPE=QTR_STD&amp;SCFT=3&amp;window=popup_no_bar&amp;width=385&amp;height=120&amp;START_MAXIMIZED=FALSE&amp;creator=factset&amp;display_string=Audit"}</definedName>
    <definedName name="_307__FDSAUDITLINK__" localSheetId="7" hidden="1">{"fdsup://Directions/FactSet Auditing Viewer?action=AUDIT_VALUE&amp;DB=129&amp;ID1=88250810&amp;VALUEID=02001&amp;SDATE=201003&amp;PERIODTYPE=QTR_STD&amp;SCFT=3&amp;window=popup_no_bar&amp;width=385&amp;height=120&amp;START_MAXIMIZED=FALSE&amp;creator=factset&amp;display_string=Audit"}</definedName>
    <definedName name="_307__FDSAUDITLINK__" hidden="1">{"fdsup://Directions/FactSet Auditing Viewer?action=AUDIT_VALUE&amp;DB=129&amp;ID1=88250810&amp;VALUEID=02001&amp;SDATE=201003&amp;PERIODTYPE=QTR_STD&amp;SCFT=3&amp;window=popup_no_bar&amp;width=385&amp;height=120&amp;START_MAXIMIZED=FALSE&amp;creator=factset&amp;display_string=Audit"}</definedName>
    <definedName name="_3070__FDSAUDITLINK__" localSheetId="7" hidden="1">{"fdsup://Directions/FactSet Auditing Viewer?action=AUDIT_VALUE&amp;DB=129&amp;ID1=82691910&amp;VALUEID=02001&amp;SDATE=200401&amp;PERIODTYPE=QTR_STD&amp;SCFT=3&amp;window=popup_no_bar&amp;width=385&amp;height=120&amp;START_MAXIMIZED=FALSE&amp;creator=factset&amp;display_string=Audit"}</definedName>
    <definedName name="_3070__FDSAUDITLINK__" hidden="1">{"fdsup://Directions/FactSet Auditing Viewer?action=AUDIT_VALUE&amp;DB=129&amp;ID1=82691910&amp;VALUEID=02001&amp;SDATE=200401&amp;PERIODTYPE=QTR_STD&amp;SCFT=3&amp;window=popup_no_bar&amp;width=385&amp;height=120&amp;START_MAXIMIZED=FALSE&amp;creator=factset&amp;display_string=Audit"}</definedName>
    <definedName name="_3071__FDSAUDITLINK__" localSheetId="7" hidden="1">{"fdsup://Directions/FactSet Auditing Viewer?action=AUDIT_VALUE&amp;DB=129&amp;ID1=82705T10&amp;VALUEID=02001&amp;SDATE=200401&amp;PERIODTYPE=QTR_STD&amp;SCFT=3&amp;window=popup_no_bar&amp;width=385&amp;height=120&amp;START_MAXIMIZED=FALSE&amp;creator=factset&amp;display_string=Audit"}</definedName>
    <definedName name="_3071__FDSAUDITLINK__" hidden="1">{"fdsup://Directions/FactSet Auditing Viewer?action=AUDIT_VALUE&amp;DB=129&amp;ID1=82705T10&amp;VALUEID=02001&amp;SDATE=200401&amp;PERIODTYPE=QTR_STD&amp;SCFT=3&amp;window=popup_no_bar&amp;width=385&amp;height=120&amp;START_MAXIMIZED=FALSE&amp;creator=factset&amp;display_string=Audit"}</definedName>
    <definedName name="_3072__FDSAUDITLINK__" localSheetId="7" hidden="1">{"fdsup://Directions/FactSet Auditing Viewer?action=AUDIT_VALUE&amp;DB=129&amp;ID1=82705T10&amp;VALUEID=02001&amp;SDATE=200401&amp;PERIODTYPE=QTR_STD&amp;SCFT=3&amp;window=popup_no_bar&amp;width=385&amp;height=120&amp;START_MAXIMIZED=FALSE&amp;creator=factset&amp;display_string=Audit"}</definedName>
    <definedName name="_3072__FDSAUDITLINK__" hidden="1">{"fdsup://Directions/FactSet Auditing Viewer?action=AUDIT_VALUE&amp;DB=129&amp;ID1=82705T10&amp;VALUEID=02001&amp;SDATE=200401&amp;PERIODTYPE=QTR_STD&amp;SCFT=3&amp;window=popup_no_bar&amp;width=385&amp;height=120&amp;START_MAXIMIZED=FALSE&amp;creator=factset&amp;display_string=Audit"}</definedName>
    <definedName name="_3073__FDSAUDITLINK__" localSheetId="7" hidden="1">{"fdsup://Directions/FactSet Auditing Viewer?action=AUDIT_VALUE&amp;DB=129&amp;ID1=75091710&amp;VALUEID=02001&amp;SDATE=200401&amp;PERIODTYPE=QTR_STD&amp;SCFT=3&amp;window=popup_no_bar&amp;width=385&amp;height=120&amp;START_MAXIMIZED=FALSE&amp;creator=factset&amp;display_string=Audit"}</definedName>
    <definedName name="_3073__FDSAUDITLINK__" hidden="1">{"fdsup://Directions/FactSet Auditing Viewer?action=AUDIT_VALUE&amp;DB=129&amp;ID1=75091710&amp;VALUEID=02001&amp;SDATE=200401&amp;PERIODTYPE=QTR_STD&amp;SCFT=3&amp;window=popup_no_bar&amp;width=385&amp;height=120&amp;START_MAXIMIZED=FALSE&amp;creator=factset&amp;display_string=Audit"}</definedName>
    <definedName name="_3074__FDSAUDITLINK__" localSheetId="7" hidden="1">{"fdsup://Directions/FactSet Auditing Viewer?action=AUDIT_VALUE&amp;DB=129&amp;ID1=75091710&amp;VALUEID=02001&amp;SDATE=200401&amp;PERIODTYPE=QTR_STD&amp;SCFT=3&amp;window=popup_no_bar&amp;width=385&amp;height=120&amp;START_MAXIMIZED=FALSE&amp;creator=factset&amp;display_string=Audit"}</definedName>
    <definedName name="_3074__FDSAUDITLINK__" hidden="1">{"fdsup://Directions/FactSet Auditing Viewer?action=AUDIT_VALUE&amp;DB=129&amp;ID1=75091710&amp;VALUEID=02001&amp;SDATE=200401&amp;PERIODTYPE=QTR_STD&amp;SCFT=3&amp;window=popup_no_bar&amp;width=385&amp;height=120&amp;START_MAXIMIZED=FALSE&amp;creator=factset&amp;display_string=Audit"}</definedName>
    <definedName name="_3075__FDSAUDITLINK__" localSheetId="7" hidden="1">{"fdsup://Directions/FactSet Auditing Viewer?action=AUDIT_VALUE&amp;DB=129&amp;ID1=74752510&amp;VALUEID=02001&amp;SDATE=200402&amp;PERIODTYPE=QTR_STD&amp;SCFT=3&amp;window=popup_no_bar&amp;width=385&amp;height=120&amp;START_MAXIMIZED=FALSE&amp;creator=factset&amp;display_string=Audit"}</definedName>
    <definedName name="_3075__FDSAUDITLINK__" hidden="1">{"fdsup://Directions/FactSet Auditing Viewer?action=AUDIT_VALUE&amp;DB=129&amp;ID1=74752510&amp;VALUEID=02001&amp;SDATE=200402&amp;PERIODTYPE=QTR_STD&amp;SCFT=3&amp;window=popup_no_bar&amp;width=385&amp;height=120&amp;START_MAXIMIZED=FALSE&amp;creator=factset&amp;display_string=Audit"}</definedName>
    <definedName name="_3076__FDSAUDITLINK__" localSheetId="7" hidden="1">{"fdsup://Directions/FactSet Auditing Viewer?action=AUDIT_VALUE&amp;DB=129&amp;ID1=74752510&amp;VALUEID=02001&amp;SDATE=200402&amp;PERIODTYPE=QTR_STD&amp;SCFT=3&amp;window=popup_no_bar&amp;width=385&amp;height=120&amp;START_MAXIMIZED=FALSE&amp;creator=factset&amp;display_string=Audit"}</definedName>
    <definedName name="_3076__FDSAUDITLINK__" hidden="1">{"fdsup://Directions/FactSet Auditing Viewer?action=AUDIT_VALUE&amp;DB=129&amp;ID1=74752510&amp;VALUEID=02001&amp;SDATE=200402&amp;PERIODTYPE=QTR_STD&amp;SCFT=3&amp;window=popup_no_bar&amp;width=385&amp;height=120&amp;START_MAXIMIZED=FALSE&amp;creator=factset&amp;display_string=Audit"}</definedName>
    <definedName name="_3077__FDSAUDITLINK__" localSheetId="7" hidden="1">{"fdsup://Directions/FactSet Auditing Viewer?action=AUDIT_VALUE&amp;DB=129&amp;ID1=72581M30&amp;VALUEID=02001&amp;SDATE=200401&amp;PERIODTYPE=QTR_STD&amp;SCFT=3&amp;window=popup_no_bar&amp;width=385&amp;height=120&amp;START_MAXIMIZED=FALSE&amp;creator=factset&amp;display_string=Audit"}</definedName>
    <definedName name="_3077__FDSAUDITLINK__" hidden="1">{"fdsup://Directions/FactSet Auditing Viewer?action=AUDIT_VALUE&amp;DB=129&amp;ID1=72581M30&amp;VALUEID=02001&amp;SDATE=200401&amp;PERIODTYPE=QTR_STD&amp;SCFT=3&amp;window=popup_no_bar&amp;width=385&amp;height=120&amp;START_MAXIMIZED=FALSE&amp;creator=factset&amp;display_string=Audit"}</definedName>
    <definedName name="_3078__FDSAUDITLINK__" localSheetId="7" hidden="1">{"fdsup://Directions/FactSet Auditing Viewer?action=AUDIT_VALUE&amp;DB=129&amp;ID1=72581M30&amp;VALUEID=02001&amp;SDATE=200401&amp;PERIODTYPE=QTR_STD&amp;SCFT=3&amp;window=popup_no_bar&amp;width=385&amp;height=120&amp;START_MAXIMIZED=FALSE&amp;creator=factset&amp;display_string=Audit"}</definedName>
    <definedName name="_3078__FDSAUDITLINK__" hidden="1">{"fdsup://Directions/FactSet Auditing Viewer?action=AUDIT_VALUE&amp;DB=129&amp;ID1=72581M30&amp;VALUEID=02001&amp;SDATE=200401&amp;PERIODTYPE=QTR_STD&amp;SCFT=3&amp;window=popup_no_bar&amp;width=385&amp;height=120&amp;START_MAXIMIZED=FALSE&amp;creator=factset&amp;display_string=Audit"}</definedName>
    <definedName name="_3079__FDSAUDITLINK__" localSheetId="7" hidden="1">{"fdsup://Directions/FactSet Auditing Viewer?action=AUDIT_VALUE&amp;DB=129&amp;ID1=73927610&amp;VALUEID=02001&amp;SDATE=200401&amp;PERIODTYPE=QTR_STD&amp;SCFT=3&amp;window=popup_no_bar&amp;width=385&amp;height=120&amp;START_MAXIMIZED=FALSE&amp;creator=factset&amp;display_string=Audit"}</definedName>
    <definedName name="_3079__FDSAUDITLINK__" hidden="1">{"fdsup://Directions/FactSet Auditing Viewer?action=AUDIT_VALUE&amp;DB=129&amp;ID1=73927610&amp;VALUEID=02001&amp;SDATE=200401&amp;PERIODTYPE=QTR_STD&amp;SCFT=3&amp;window=popup_no_bar&amp;width=385&amp;height=120&amp;START_MAXIMIZED=FALSE&amp;creator=factset&amp;display_string=Audit"}</definedName>
    <definedName name="_308__FDSAUDITLINK__" localSheetId="7" hidden="1">{"fdsup://Directions/FactSet Auditing Viewer?action=AUDIT_VALUE&amp;DB=129&amp;ID1=88250810&amp;VALUEID=02001&amp;SDATE=201003&amp;PERIODTYPE=QTR_STD&amp;SCFT=3&amp;window=popup_no_bar&amp;width=385&amp;height=120&amp;START_MAXIMIZED=FALSE&amp;creator=factset&amp;display_string=Audit"}</definedName>
    <definedName name="_308__FDSAUDITLINK__" hidden="1">{"fdsup://Directions/FactSet Auditing Viewer?action=AUDIT_VALUE&amp;DB=129&amp;ID1=88250810&amp;VALUEID=02001&amp;SDATE=201003&amp;PERIODTYPE=QTR_STD&amp;SCFT=3&amp;window=popup_no_bar&amp;width=385&amp;height=120&amp;START_MAXIMIZED=FALSE&amp;creator=factset&amp;display_string=Audit"}</definedName>
    <definedName name="_3080__FDSAUDITLINK__" localSheetId="7" hidden="1">{"fdsup://Directions/FactSet Auditing Viewer?action=AUDIT_VALUE&amp;DB=129&amp;ID1=73927610&amp;VALUEID=02001&amp;SDATE=200401&amp;PERIODTYPE=QTR_STD&amp;SCFT=3&amp;window=popup_no_bar&amp;width=385&amp;height=120&amp;START_MAXIMIZED=FALSE&amp;creator=factset&amp;display_string=Audit"}</definedName>
    <definedName name="_3080__FDSAUDITLINK__" hidden="1">{"fdsup://Directions/FactSet Auditing Viewer?action=AUDIT_VALUE&amp;DB=129&amp;ID1=73927610&amp;VALUEID=02001&amp;SDATE=200401&amp;PERIODTYPE=QTR_STD&amp;SCFT=3&amp;window=popup_no_bar&amp;width=385&amp;height=120&amp;START_MAXIMIZED=FALSE&amp;creator=factset&amp;display_string=Audit"}</definedName>
    <definedName name="_3081__FDSAUDITLINK__" localSheetId="7" hidden="1">{"fdsup://Directions/FactSet Auditing Viewer?action=AUDIT_VALUE&amp;DB=129&amp;ID1=69344F10&amp;VALUEID=02001&amp;SDATE=200401&amp;PERIODTYPE=QTR_STD&amp;SCFT=3&amp;window=popup_no_bar&amp;width=385&amp;height=120&amp;START_MAXIMIZED=FALSE&amp;creator=factset&amp;display_string=Audit"}</definedName>
    <definedName name="_3081__FDSAUDITLINK__" hidden="1">{"fdsup://Directions/FactSet Auditing Viewer?action=AUDIT_VALUE&amp;DB=129&amp;ID1=69344F10&amp;VALUEID=02001&amp;SDATE=200401&amp;PERIODTYPE=QTR_STD&amp;SCFT=3&amp;window=popup_no_bar&amp;width=385&amp;height=120&amp;START_MAXIMIZED=FALSE&amp;creator=factset&amp;display_string=Audit"}</definedName>
    <definedName name="_3082__FDSAUDITLINK__" localSheetId="7" hidden="1">{"fdsup://Directions/FactSet Auditing Viewer?action=AUDIT_VALUE&amp;DB=129&amp;ID1=69344F10&amp;VALUEID=02001&amp;SDATE=200401&amp;PERIODTYPE=QTR_STD&amp;SCFT=3&amp;window=popup_no_bar&amp;width=385&amp;height=120&amp;START_MAXIMIZED=FALSE&amp;creator=factset&amp;display_string=Audit"}</definedName>
    <definedName name="_3082__FDSAUDITLINK__" hidden="1">{"fdsup://Directions/FactSet Auditing Viewer?action=AUDIT_VALUE&amp;DB=129&amp;ID1=69344F10&amp;VALUEID=02001&amp;SDATE=200401&amp;PERIODTYPE=QTR_STD&amp;SCFT=3&amp;window=popup_no_bar&amp;width=385&amp;height=120&amp;START_MAXIMIZED=FALSE&amp;creator=factset&amp;display_string=Audit"}</definedName>
    <definedName name="_3083__FDSAUDITLINK__" localSheetId="7" hidden="1">{"fdsup://Directions/FactSet Auditing Viewer?action=AUDIT_VALUE&amp;DB=129&amp;ID1=69341710&amp;VALUEID=02001&amp;SDATE=200401&amp;PERIODTYPE=QTR_STD&amp;SCFT=3&amp;window=popup_no_bar&amp;width=385&amp;height=120&amp;START_MAXIMIZED=FALSE&amp;creator=factset&amp;display_string=Audit"}</definedName>
    <definedName name="_3083__FDSAUDITLINK__" hidden="1">{"fdsup://Directions/FactSet Auditing Viewer?action=AUDIT_VALUE&amp;DB=129&amp;ID1=69341710&amp;VALUEID=02001&amp;SDATE=200401&amp;PERIODTYPE=QTR_STD&amp;SCFT=3&amp;window=popup_no_bar&amp;width=385&amp;height=120&amp;START_MAXIMIZED=FALSE&amp;creator=factset&amp;display_string=Audit"}</definedName>
    <definedName name="_3084__FDSAUDITLINK__" localSheetId="7" hidden="1">{"fdsup://Directions/FactSet Auditing Viewer?action=AUDIT_VALUE&amp;DB=129&amp;ID1=69341710&amp;VALUEID=02001&amp;SDATE=200401&amp;PERIODTYPE=QTR_STD&amp;SCFT=3&amp;window=popup_no_bar&amp;width=385&amp;height=120&amp;START_MAXIMIZED=FALSE&amp;creator=factset&amp;display_string=Audit"}</definedName>
    <definedName name="_3084__FDSAUDITLINK__" hidden="1">{"fdsup://Directions/FactSet Auditing Viewer?action=AUDIT_VALUE&amp;DB=129&amp;ID1=69341710&amp;VALUEID=02001&amp;SDATE=200401&amp;PERIODTYPE=QTR_STD&amp;SCFT=3&amp;window=popup_no_bar&amp;width=385&amp;height=120&amp;START_MAXIMIZED=FALSE&amp;creator=factset&amp;display_string=Audit"}</definedName>
    <definedName name="_3085__FDSAUDITLINK__" localSheetId="7" hidden="1">{"fdsup://Directions/FactSet Auditing Viewer?action=AUDIT_VALUE&amp;DB=129&amp;ID1=68218910&amp;VALUEID=02001&amp;SDATE=200401&amp;PERIODTYPE=QTR_STD&amp;SCFT=3&amp;window=popup_no_bar&amp;width=385&amp;height=120&amp;START_MAXIMIZED=FALSE&amp;creator=factset&amp;display_string=Audit"}</definedName>
    <definedName name="_3085__FDSAUDITLINK__" hidden="1">{"fdsup://Directions/FactSet Auditing Viewer?action=AUDIT_VALUE&amp;DB=129&amp;ID1=68218910&amp;VALUEID=02001&amp;SDATE=200401&amp;PERIODTYPE=QTR_STD&amp;SCFT=3&amp;window=popup_no_bar&amp;width=385&amp;height=120&amp;START_MAXIMIZED=FALSE&amp;creator=factset&amp;display_string=Audit"}</definedName>
    <definedName name="_3086__FDSAUDITLINK__" localSheetId="7" hidden="1">{"fdsup://Directions/FactSet Auditing Viewer?action=AUDIT_VALUE&amp;DB=129&amp;ID1=68218910&amp;VALUEID=02001&amp;SDATE=200401&amp;PERIODTYPE=QTR_STD&amp;SCFT=3&amp;window=popup_no_bar&amp;width=385&amp;height=120&amp;START_MAXIMIZED=FALSE&amp;creator=factset&amp;display_string=Audit"}</definedName>
    <definedName name="_3086__FDSAUDITLINK__" hidden="1">{"fdsup://Directions/FactSet Auditing Viewer?action=AUDIT_VALUE&amp;DB=129&amp;ID1=68218910&amp;VALUEID=02001&amp;SDATE=200401&amp;PERIODTYPE=QTR_STD&amp;SCFT=3&amp;window=popup_no_bar&amp;width=385&amp;height=120&amp;START_MAXIMIZED=FALSE&amp;creator=factset&amp;display_string=Audit"}</definedName>
    <definedName name="_3087__FDSAUDITLINK__" localSheetId="7" hidden="1">{"fdsup://Directions/FactSet Auditing Viewer?action=AUDIT_VALUE&amp;DB=129&amp;ID1=67000810&amp;VALUEID=02001&amp;SDATE=200401&amp;PERIODTYPE=QTR_STD&amp;SCFT=3&amp;window=popup_no_bar&amp;width=385&amp;height=120&amp;START_MAXIMIZED=FALSE&amp;creator=factset&amp;display_string=Audit"}</definedName>
    <definedName name="_3087__FDSAUDITLINK__" hidden="1">{"fdsup://Directions/FactSet Auditing Viewer?action=AUDIT_VALUE&amp;DB=129&amp;ID1=67000810&amp;VALUEID=02001&amp;SDATE=200401&amp;PERIODTYPE=QTR_STD&amp;SCFT=3&amp;window=popup_no_bar&amp;width=385&amp;height=120&amp;START_MAXIMIZED=FALSE&amp;creator=factset&amp;display_string=Audit"}</definedName>
    <definedName name="_3088__FDSAUDITLINK__" localSheetId="7" hidden="1">{"fdsup://Directions/FactSet Auditing Viewer?action=AUDIT_VALUE&amp;DB=129&amp;ID1=67000810&amp;VALUEID=02001&amp;SDATE=200401&amp;PERIODTYPE=QTR_STD&amp;SCFT=3&amp;window=popup_no_bar&amp;width=385&amp;height=120&amp;START_MAXIMIZED=FALSE&amp;creator=factset&amp;display_string=Audit"}</definedName>
    <definedName name="_3088__FDSAUDITLINK__" hidden="1">{"fdsup://Directions/FactSet Auditing Viewer?action=AUDIT_VALUE&amp;DB=129&amp;ID1=67000810&amp;VALUEID=02001&amp;SDATE=200401&amp;PERIODTYPE=QTR_STD&amp;SCFT=3&amp;window=popup_no_bar&amp;width=385&amp;height=120&amp;START_MAXIMIZED=FALSE&amp;creator=factset&amp;display_string=Audit"}</definedName>
    <definedName name="_3089__FDSAUDITLINK__" localSheetId="7" hidden="1">{"fdsup://Directions/FactSet Auditing Viewer?action=AUDIT_VALUE&amp;DB=129&amp;ID1=67066G10&amp;VALUEID=02001&amp;SDATE=200401&amp;PERIODTYPE=QTR_STD&amp;SCFT=3&amp;window=popup_no_bar&amp;width=385&amp;height=120&amp;START_MAXIMIZED=FALSE&amp;creator=factset&amp;display_string=Audit"}</definedName>
    <definedName name="_3089__FDSAUDITLINK__" hidden="1">{"fdsup://Directions/FactSet Auditing Viewer?action=AUDIT_VALUE&amp;DB=129&amp;ID1=67066G10&amp;VALUEID=02001&amp;SDATE=200401&amp;PERIODTYPE=QTR_STD&amp;SCFT=3&amp;window=popup_no_bar&amp;width=385&amp;height=120&amp;START_MAXIMIZED=FALSE&amp;creator=factset&amp;display_string=Audit"}</definedName>
    <definedName name="_309__FDSAUDITLINK__" localSheetId="7" hidden="1">{"fdsup://Directions/FactSet Auditing Viewer?action=AUDIT_VALUE&amp;DB=129&amp;ID1=89674K10&amp;VALUEID=02001&amp;SDATE=201003&amp;PERIODTYPE=QTR_STD&amp;SCFT=3&amp;window=popup_no_bar&amp;width=385&amp;height=120&amp;START_MAXIMIZED=FALSE&amp;creator=factset&amp;display_string=Audit"}</definedName>
    <definedName name="_309__FDSAUDITLINK__" hidden="1">{"fdsup://Directions/FactSet Auditing Viewer?action=AUDIT_VALUE&amp;DB=129&amp;ID1=89674K10&amp;VALUEID=02001&amp;SDATE=201003&amp;PERIODTYPE=QTR_STD&amp;SCFT=3&amp;window=popup_no_bar&amp;width=385&amp;height=120&amp;START_MAXIMIZED=FALSE&amp;creator=factset&amp;display_string=Audit"}</definedName>
    <definedName name="_3090__FDSAUDITLINK__" localSheetId="7" hidden="1">{"fdsup://Directions/FactSet Auditing Viewer?action=AUDIT_VALUE&amp;DB=129&amp;ID1=67066G10&amp;VALUEID=02001&amp;SDATE=200401&amp;PERIODTYPE=QTR_STD&amp;SCFT=3&amp;window=popup_no_bar&amp;width=385&amp;height=120&amp;START_MAXIMIZED=FALSE&amp;creator=factset&amp;display_string=Audit"}</definedName>
    <definedName name="_3090__FDSAUDITLINK__" hidden="1">{"fdsup://Directions/FactSet Auditing Viewer?action=AUDIT_VALUE&amp;DB=129&amp;ID1=67066G10&amp;VALUEID=02001&amp;SDATE=200401&amp;PERIODTYPE=QTR_STD&amp;SCFT=3&amp;window=popup_no_bar&amp;width=385&amp;height=120&amp;START_MAXIMIZED=FALSE&amp;creator=factset&amp;display_string=Audit"}</definedName>
    <definedName name="_3091__FDSAUDITLINK__" localSheetId="7" hidden="1">{"fdsup://Directions/FactSet Auditing Viewer?action=AUDIT_VALUE&amp;DB=129&amp;ID1=63764010&amp;VALUEID=02001&amp;SDATE=200303&amp;PERIODTYPE=QTR_STD&amp;SCFT=3&amp;window=popup_no_bar&amp;width=385&amp;height=120&amp;START_MAXIMIZED=FALSE&amp;creator=factset&amp;display_string=Audit"}</definedName>
    <definedName name="_3091__FDSAUDITLINK__" hidden="1">{"fdsup://Directions/FactSet Auditing Viewer?action=AUDIT_VALUE&amp;DB=129&amp;ID1=63764010&amp;VALUEID=02001&amp;SDATE=200303&amp;PERIODTYPE=QTR_STD&amp;SCFT=3&amp;window=popup_no_bar&amp;width=385&amp;height=120&amp;START_MAXIMIZED=FALSE&amp;creator=factset&amp;display_string=Audit"}</definedName>
    <definedName name="_3092__FDSAUDITLINK__" localSheetId="7" hidden="1">{"fdsup://Directions/FactSet Auditing Viewer?action=AUDIT_VALUE&amp;DB=129&amp;ID1=63764010&amp;VALUEID=02001&amp;SDATE=200303&amp;PERIODTYPE=QTR_STD&amp;SCFT=3&amp;window=popup_no_bar&amp;width=385&amp;height=120&amp;START_MAXIMIZED=FALSE&amp;creator=factset&amp;display_string=Audit"}</definedName>
    <definedName name="_3092__FDSAUDITLINK__" hidden="1">{"fdsup://Directions/FactSet Auditing Viewer?action=AUDIT_VALUE&amp;DB=129&amp;ID1=63764010&amp;VALUEID=02001&amp;SDATE=200303&amp;PERIODTYPE=QTR_STD&amp;SCFT=3&amp;window=popup_no_bar&amp;width=385&amp;height=120&amp;START_MAXIMIZED=FALSE&amp;creator=factset&amp;display_string=Audit"}</definedName>
    <definedName name="_3093__FDSAUDITLINK__" localSheetId="7" hidden="1">{"fdsup://Directions/FactSet Auditing Viewer?action=AUDIT_VALUE&amp;DB=129&amp;ID1=57772K10&amp;VALUEID=02001&amp;SDATE=200403&amp;PERIODTYPE=QTR_STD&amp;SCFT=3&amp;window=popup_no_bar&amp;width=385&amp;height=120&amp;START_MAXIMIZED=FALSE&amp;creator=factset&amp;display_string=Audit"}</definedName>
    <definedName name="_3093__FDSAUDITLINK__" hidden="1">{"fdsup://Directions/FactSet Auditing Viewer?action=AUDIT_VALUE&amp;DB=129&amp;ID1=57772K10&amp;VALUEID=02001&amp;SDATE=200403&amp;PERIODTYPE=QTR_STD&amp;SCFT=3&amp;window=popup_no_bar&amp;width=385&amp;height=120&amp;START_MAXIMIZED=FALSE&amp;creator=factset&amp;display_string=Audit"}</definedName>
    <definedName name="_3094__FDSAUDITLINK__" localSheetId="7" hidden="1">{"fdsup://Directions/FactSet Auditing Viewer?action=AUDIT_VALUE&amp;DB=129&amp;ID1=57772K10&amp;VALUEID=02001&amp;SDATE=200403&amp;PERIODTYPE=QTR_STD&amp;SCFT=3&amp;window=popup_no_bar&amp;width=385&amp;height=120&amp;START_MAXIMIZED=FALSE&amp;creator=factset&amp;display_string=Audit"}</definedName>
    <definedName name="_3094__FDSAUDITLINK__" hidden="1">{"fdsup://Directions/FactSet Auditing Viewer?action=AUDIT_VALUE&amp;DB=129&amp;ID1=57772K10&amp;VALUEID=02001&amp;SDATE=200403&amp;PERIODTYPE=QTR_STD&amp;SCFT=3&amp;window=popup_no_bar&amp;width=385&amp;height=120&amp;START_MAXIMIZED=FALSE&amp;creator=factset&amp;display_string=Audit"}</definedName>
    <definedName name="_3095__FDSAUDITLINK__" localSheetId="7" hidden="1">{"fdsup://Directions/FactSet Auditing Viewer?action=AUDIT_VALUE&amp;DB=129&amp;ID1=59511210&amp;VALUEID=02001&amp;SDATE=200402&amp;PERIODTYPE=QTR_STD&amp;SCFT=3&amp;window=popup_no_bar&amp;width=385&amp;height=120&amp;START_MAXIMIZED=FALSE&amp;creator=factset&amp;display_string=Audit"}</definedName>
    <definedName name="_3095__FDSAUDITLINK__" hidden="1">{"fdsup://Directions/FactSet Auditing Viewer?action=AUDIT_VALUE&amp;DB=129&amp;ID1=59511210&amp;VALUEID=02001&amp;SDATE=200402&amp;PERIODTYPE=QTR_STD&amp;SCFT=3&amp;window=popup_no_bar&amp;width=385&amp;height=120&amp;START_MAXIMIZED=FALSE&amp;creator=factset&amp;display_string=Audit"}</definedName>
    <definedName name="_3096__FDSAUDITLINK__" localSheetId="7" hidden="1">{"fdsup://Directions/FactSet Auditing Viewer?action=AUDIT_VALUE&amp;DB=129&amp;ID1=59511210&amp;VALUEID=02001&amp;SDATE=200402&amp;PERIODTYPE=QTR_STD&amp;SCFT=3&amp;window=popup_no_bar&amp;width=385&amp;height=120&amp;START_MAXIMIZED=FALSE&amp;creator=factset&amp;display_string=Audit"}</definedName>
    <definedName name="_3096__FDSAUDITLINK__" hidden="1">{"fdsup://Directions/FactSet Auditing Viewer?action=AUDIT_VALUE&amp;DB=129&amp;ID1=59511210&amp;VALUEID=02001&amp;SDATE=200402&amp;PERIODTYPE=QTR_STD&amp;SCFT=3&amp;window=popup_no_bar&amp;width=385&amp;height=120&amp;START_MAXIMIZED=FALSE&amp;creator=factset&amp;display_string=Audit"}</definedName>
    <definedName name="_3097__FDSAUDITLINK__" localSheetId="7" hidden="1">{"fdsup://Directions/FactSet Auditing Viewer?action=AUDIT_VALUE&amp;DB=129&amp;ID1=59513710&amp;VALUEID=02001&amp;SDATE=200402&amp;PERIODTYPE=QTR_STD&amp;SCFT=3&amp;window=popup_no_bar&amp;width=385&amp;height=120&amp;START_MAXIMIZED=FALSE&amp;creator=factset&amp;display_string=Audit"}</definedName>
    <definedName name="_3097__FDSAUDITLINK__" hidden="1">{"fdsup://Directions/FactSet Auditing Viewer?action=AUDIT_VALUE&amp;DB=129&amp;ID1=59513710&amp;VALUEID=02001&amp;SDATE=200402&amp;PERIODTYPE=QTR_STD&amp;SCFT=3&amp;window=popup_no_bar&amp;width=385&amp;height=120&amp;START_MAXIMIZED=FALSE&amp;creator=factset&amp;display_string=Audit"}</definedName>
    <definedName name="_3098__FDSAUDITLINK__" localSheetId="7" hidden="1">{"fdsup://Directions/FactSet Auditing Viewer?action=AUDIT_VALUE&amp;DB=129&amp;ID1=59513710&amp;VALUEID=02001&amp;SDATE=200402&amp;PERIODTYPE=QTR_STD&amp;SCFT=3&amp;window=popup_no_bar&amp;width=385&amp;height=120&amp;START_MAXIMIZED=FALSE&amp;creator=factset&amp;display_string=Audit"}</definedName>
    <definedName name="_3098__FDSAUDITLINK__" hidden="1">{"fdsup://Directions/FactSet Auditing Viewer?action=AUDIT_VALUE&amp;DB=129&amp;ID1=59513710&amp;VALUEID=02001&amp;SDATE=200402&amp;PERIODTYPE=QTR_STD&amp;SCFT=3&amp;window=popup_no_bar&amp;width=385&amp;height=120&amp;START_MAXIMIZED=FALSE&amp;creator=factset&amp;display_string=Audit"}</definedName>
    <definedName name="_3099__FDSAUDITLINK__" localSheetId="7" hidden="1">{"fdsup://Directions/FactSet Auditing Viewer?action=AUDIT_VALUE&amp;DB=129&amp;ID1=G5876H10&amp;VALUEID=02001&amp;SDATE=200401&amp;PERIODTYPE=QTR_STD&amp;SCFT=3&amp;window=popup_no_bar&amp;width=385&amp;height=120&amp;START_MAXIMIZED=FALSE&amp;creator=factset&amp;display_string=Audit"}</definedName>
    <definedName name="_3099__FDSAUDITLINK__" hidden="1">{"fdsup://Directions/FactSet Auditing Viewer?action=AUDIT_VALUE&amp;DB=129&amp;ID1=G5876H10&amp;VALUEID=02001&amp;SDATE=200401&amp;PERIODTYPE=QTR_STD&amp;SCFT=3&amp;window=popup_no_bar&amp;width=385&amp;height=120&amp;START_MAXIMIZED=FALSE&amp;creator=factset&amp;display_string=Audit"}</definedName>
    <definedName name="_31__FDSAUDITLINK__" localSheetId="7" hidden="1">{"fdsup://Directions/FactSet Auditing Viewer?action=AUDIT_VALUE&amp;DB=129&amp;ID1=82691910&amp;VALUEID=02001&amp;SDATE=201101&amp;PERIODTYPE=QTR_STD&amp;SCFT=3&amp;window=popup_no_bar&amp;width=385&amp;height=120&amp;START_MAXIMIZED=FALSE&amp;creator=factset&amp;display_string=Audit"}</definedName>
    <definedName name="_31__FDSAUDITLINK__" hidden="1">{"fdsup://Directions/FactSet Auditing Viewer?action=AUDIT_VALUE&amp;DB=129&amp;ID1=82691910&amp;VALUEID=02001&amp;SDATE=201101&amp;PERIODTYPE=QTR_STD&amp;SCFT=3&amp;window=popup_no_bar&amp;width=385&amp;height=120&amp;START_MAXIMIZED=FALSE&amp;creator=factset&amp;display_string=Audit"}</definedName>
    <definedName name="_310__FDSAUDITLINK__" localSheetId="7" hidden="1">{"fdsup://Directions/FactSet Auditing Viewer?action=AUDIT_VALUE&amp;DB=129&amp;ID1=89674K10&amp;VALUEID=02001&amp;SDATE=201003&amp;PERIODTYPE=QTR_STD&amp;SCFT=3&amp;window=popup_no_bar&amp;width=385&amp;height=120&amp;START_MAXIMIZED=FALSE&amp;creator=factset&amp;display_string=Audit"}</definedName>
    <definedName name="_310__FDSAUDITLINK__" hidden="1">{"fdsup://Directions/FactSet Auditing Viewer?action=AUDIT_VALUE&amp;DB=129&amp;ID1=89674K10&amp;VALUEID=02001&amp;SDATE=201003&amp;PERIODTYPE=QTR_STD&amp;SCFT=3&amp;window=popup_no_bar&amp;width=385&amp;height=120&amp;START_MAXIMIZED=FALSE&amp;creator=factset&amp;display_string=Audit"}</definedName>
    <definedName name="_3100__FDSAUDITLINK__" localSheetId="7" hidden="1">{"fdsup://Directions/FactSet Auditing Viewer?action=AUDIT_VALUE&amp;DB=129&amp;ID1=G5876H10&amp;VALUEID=02001&amp;SDATE=200401&amp;PERIODTYPE=QTR_STD&amp;SCFT=3&amp;window=popup_no_bar&amp;width=385&amp;height=120&amp;START_MAXIMIZED=FALSE&amp;creator=factset&amp;display_string=Audit"}</definedName>
    <definedName name="_3100__FDSAUDITLINK__" hidden="1">{"fdsup://Directions/FactSet Auditing Viewer?action=AUDIT_VALUE&amp;DB=129&amp;ID1=G5876H10&amp;VALUEID=02001&amp;SDATE=200401&amp;PERIODTYPE=QTR_STD&amp;SCFT=3&amp;window=popup_no_bar&amp;width=385&amp;height=120&amp;START_MAXIMIZED=FALSE&amp;creator=factset&amp;display_string=Audit"}</definedName>
    <definedName name="_3101__FDSAUDITLINK__" localSheetId="7" hidden="1">{"fdsup://Directions/FactSet Auditing Viewer?action=AUDIT_VALUE&amp;DB=129&amp;ID1=62007630&amp;VALUEID=02001&amp;SDATE=200401&amp;PERIODTYPE=QTR_STD&amp;SCFT=3&amp;window=popup_no_bar&amp;width=385&amp;height=120&amp;START_MAXIMIZED=FALSE&amp;creator=factset&amp;display_string=Audit"}</definedName>
    <definedName name="_3101__FDSAUDITLINK__" hidden="1">{"fdsup://Directions/FactSet Auditing Viewer?action=AUDIT_VALUE&amp;DB=129&amp;ID1=62007630&amp;VALUEID=02001&amp;SDATE=200401&amp;PERIODTYPE=QTR_STD&amp;SCFT=3&amp;window=popup_no_bar&amp;width=385&amp;height=120&amp;START_MAXIMIZED=FALSE&amp;creator=factset&amp;display_string=Audit"}</definedName>
    <definedName name="_3102__FDSAUDITLINK__" localSheetId="7" hidden="1">{"fdsup://Directions/FactSet Auditing Viewer?action=AUDIT_VALUE&amp;DB=129&amp;ID1=62007630&amp;VALUEID=02001&amp;SDATE=200401&amp;PERIODTYPE=QTR_STD&amp;SCFT=3&amp;window=popup_no_bar&amp;width=385&amp;height=120&amp;START_MAXIMIZED=FALSE&amp;creator=factset&amp;display_string=Audit"}</definedName>
    <definedName name="_3102__FDSAUDITLINK__" hidden="1">{"fdsup://Directions/FactSet Auditing Viewer?action=AUDIT_VALUE&amp;DB=129&amp;ID1=62007630&amp;VALUEID=02001&amp;SDATE=200401&amp;PERIODTYPE=QTR_STD&amp;SCFT=3&amp;window=popup_no_bar&amp;width=385&amp;height=120&amp;START_MAXIMIZED=FALSE&amp;creator=factset&amp;display_string=Audit"}</definedName>
    <definedName name="_3103__FDSAUDITLINK__" localSheetId="7" hidden="1">{"fdsup://Directions/FactSet Auditing Viewer?action=AUDIT_VALUE&amp;DB=129&amp;ID1=60456710&amp;VALUEID=02001&amp;SDATE=200403&amp;PERIODTYPE=QTR_STD&amp;SCFT=3&amp;window=popup_no_bar&amp;width=385&amp;height=120&amp;START_MAXIMIZED=FALSE&amp;creator=factset&amp;display_string=Audit"}</definedName>
    <definedName name="_3103__FDSAUDITLINK__" hidden="1">{"fdsup://Directions/FactSet Auditing Viewer?action=AUDIT_VALUE&amp;DB=129&amp;ID1=60456710&amp;VALUEID=02001&amp;SDATE=200403&amp;PERIODTYPE=QTR_STD&amp;SCFT=3&amp;window=popup_no_bar&amp;width=385&amp;height=120&amp;START_MAXIMIZED=FALSE&amp;creator=factset&amp;display_string=Audit"}</definedName>
    <definedName name="_3104__FDSAUDITLINK__" localSheetId="7" hidden="1">{"fdsup://Directions/FactSet Auditing Viewer?action=AUDIT_VALUE&amp;DB=129&amp;ID1=60456710&amp;VALUEID=02001&amp;SDATE=200403&amp;PERIODTYPE=QTR_STD&amp;SCFT=3&amp;window=popup_no_bar&amp;width=385&amp;height=120&amp;START_MAXIMIZED=FALSE&amp;creator=factset&amp;display_string=Audit"}</definedName>
    <definedName name="_3104__FDSAUDITLINK__" hidden="1">{"fdsup://Directions/FactSet Auditing Viewer?action=AUDIT_VALUE&amp;DB=129&amp;ID1=60456710&amp;VALUEID=02001&amp;SDATE=200403&amp;PERIODTYPE=QTR_STD&amp;SCFT=3&amp;window=popup_no_bar&amp;width=385&amp;height=120&amp;START_MAXIMIZED=FALSE&amp;creator=factset&amp;display_string=Audit"}</definedName>
    <definedName name="_3105__FDSAUDITLINK__" localSheetId="7" hidden="1">{"fdsup://Directions/FactSet Auditing Viewer?action=AUDIT_VALUE&amp;DB=129&amp;ID1=59479310&amp;VALUEID=02001&amp;SDATE=200401&amp;PERIODTYPE=QTR_STD&amp;SCFT=3&amp;window=popup_no_bar&amp;width=385&amp;height=120&amp;START_MAXIMIZED=FALSE&amp;creator=factset&amp;display_string=Audit"}</definedName>
    <definedName name="_3105__FDSAUDITLINK__" hidden="1">{"fdsup://Directions/FactSet Auditing Viewer?action=AUDIT_VALUE&amp;DB=129&amp;ID1=59479310&amp;VALUEID=02001&amp;SDATE=200401&amp;PERIODTYPE=QTR_STD&amp;SCFT=3&amp;window=popup_no_bar&amp;width=385&amp;height=120&amp;START_MAXIMIZED=FALSE&amp;creator=factset&amp;display_string=Audit"}</definedName>
    <definedName name="_3106__FDSAUDITLINK__" localSheetId="7" hidden="1">{"fdsup://Directions/FactSet Auditing Viewer?action=AUDIT_VALUE&amp;DB=129&amp;ID1=59479310&amp;VALUEID=02001&amp;SDATE=200401&amp;PERIODTYPE=QTR_STD&amp;SCFT=3&amp;window=popup_no_bar&amp;width=385&amp;height=120&amp;START_MAXIMIZED=FALSE&amp;creator=factset&amp;display_string=Audit"}</definedName>
    <definedName name="_3106__FDSAUDITLINK__" hidden="1">{"fdsup://Directions/FactSet Auditing Viewer?action=AUDIT_VALUE&amp;DB=129&amp;ID1=59479310&amp;VALUEID=02001&amp;SDATE=200401&amp;PERIODTYPE=QTR_STD&amp;SCFT=3&amp;window=popup_no_bar&amp;width=385&amp;height=120&amp;START_MAXIMIZED=FALSE&amp;creator=factset&amp;display_string=Audit"}</definedName>
    <definedName name="_3107__FDSAUDITLINK__" localSheetId="7" hidden="1">{"fdsup://Directions/FactSet Auditing Viewer?action=AUDIT_VALUE&amp;DB=129&amp;ID1=50216110&amp;VALUEID=02001&amp;SDATE=200401&amp;PERIODTYPE=QTR_STD&amp;SCFT=3&amp;window=popup_no_bar&amp;width=385&amp;height=120&amp;START_MAXIMIZED=FALSE&amp;creator=factset&amp;display_string=Audit"}</definedName>
    <definedName name="_3107__FDSAUDITLINK__" hidden="1">{"fdsup://Directions/FactSet Auditing Viewer?action=AUDIT_VALUE&amp;DB=129&amp;ID1=50216110&amp;VALUEID=02001&amp;SDATE=200401&amp;PERIODTYPE=QTR_STD&amp;SCFT=3&amp;window=popup_no_bar&amp;width=385&amp;height=120&amp;START_MAXIMIZED=FALSE&amp;creator=factset&amp;display_string=Audit"}</definedName>
    <definedName name="_3108__FDSAUDITLINK__" localSheetId="7" hidden="1">{"fdsup://Directions/FactSet Auditing Viewer?action=AUDIT_VALUE&amp;DB=129&amp;ID1=50216110&amp;VALUEID=02001&amp;SDATE=200401&amp;PERIODTYPE=QTR_STD&amp;SCFT=3&amp;window=popup_no_bar&amp;width=385&amp;height=120&amp;START_MAXIMIZED=FALSE&amp;creator=factset&amp;display_string=Audit"}</definedName>
    <definedName name="_3108__FDSAUDITLINK__" hidden="1">{"fdsup://Directions/FactSet Auditing Viewer?action=AUDIT_VALUE&amp;DB=129&amp;ID1=50216110&amp;VALUEID=02001&amp;SDATE=200401&amp;PERIODTYPE=QTR_STD&amp;SCFT=3&amp;window=popup_no_bar&amp;width=385&amp;height=120&amp;START_MAXIMIZED=FALSE&amp;creator=factset&amp;display_string=Audit"}</definedName>
    <definedName name="_3109__FDSAUDITLINK__" localSheetId="7" hidden="1">{"fdsup://Directions/FactSet Auditing Viewer?action=AUDIT_VALUE&amp;DB=129&amp;ID1=51841510&amp;VALUEID=02001&amp;SDATE=200401&amp;PERIODTYPE=QTR_STD&amp;SCFT=3&amp;window=popup_no_bar&amp;width=385&amp;height=120&amp;START_MAXIMIZED=FALSE&amp;creator=factset&amp;display_string=Audit"}</definedName>
    <definedName name="_3109__FDSAUDITLINK__" hidden="1">{"fdsup://Directions/FactSet Auditing Viewer?action=AUDIT_VALUE&amp;DB=129&amp;ID1=51841510&amp;VALUEID=02001&amp;SDATE=200401&amp;PERIODTYPE=QTR_STD&amp;SCFT=3&amp;window=popup_no_bar&amp;width=385&amp;height=120&amp;START_MAXIMIZED=FALSE&amp;creator=factset&amp;display_string=Audit"}</definedName>
    <definedName name="_311__FDSAUDITLINK__" localSheetId="7" hidden="1">{"fdsup://Directions/FactSet Auditing Viewer?action=AUDIT_VALUE&amp;DB=129&amp;ID1=83088M10&amp;VALUEID=02001&amp;SDATE=201004&amp;PERIODTYPE=QTR_STD&amp;SCFT=3&amp;window=popup_no_bar&amp;width=385&amp;height=120&amp;START_MAXIMIZED=FALSE&amp;creator=factset&amp;display_string=Audit"}</definedName>
    <definedName name="_311__FDSAUDITLINK__" hidden="1">{"fdsup://Directions/FactSet Auditing Viewer?action=AUDIT_VALUE&amp;DB=129&amp;ID1=83088M10&amp;VALUEID=02001&amp;SDATE=201004&amp;PERIODTYPE=QTR_STD&amp;SCFT=3&amp;window=popup_no_bar&amp;width=385&amp;height=120&amp;START_MAXIMIZED=FALSE&amp;creator=factset&amp;display_string=Audit"}</definedName>
    <definedName name="_3110__FDSAUDITLINK__" localSheetId="7" hidden="1">{"fdsup://Directions/FactSet Auditing Viewer?action=AUDIT_VALUE&amp;DB=129&amp;ID1=51841510&amp;VALUEID=02001&amp;SDATE=200401&amp;PERIODTYPE=QTR_STD&amp;SCFT=3&amp;window=popup_no_bar&amp;width=385&amp;height=120&amp;START_MAXIMIZED=FALSE&amp;creator=factset&amp;display_string=Audit"}</definedName>
    <definedName name="_3110__FDSAUDITLINK__" hidden="1">{"fdsup://Directions/FactSet Auditing Viewer?action=AUDIT_VALUE&amp;DB=129&amp;ID1=51841510&amp;VALUEID=02001&amp;SDATE=200401&amp;PERIODTYPE=QTR_STD&amp;SCFT=3&amp;window=popup_no_bar&amp;width=385&amp;height=120&amp;START_MAXIMIZED=FALSE&amp;creator=factset&amp;display_string=Audit"}</definedName>
    <definedName name="_3111__FDSAUDITLINK__" localSheetId="7" hidden="1">{"fdsup://Directions/FactSet Auditing Viewer?action=AUDIT_VALUE&amp;DB=129&amp;ID1=51280710&amp;VALUEID=02001&amp;SDATE=200403&amp;PERIODTYPE=QTR_STD&amp;SCFT=3&amp;window=popup_no_bar&amp;width=385&amp;height=120&amp;START_MAXIMIZED=FALSE&amp;creator=factset&amp;display_string=Audit"}</definedName>
    <definedName name="_3111__FDSAUDITLINK__" hidden="1">{"fdsup://Directions/FactSet Auditing Viewer?action=AUDIT_VALUE&amp;DB=129&amp;ID1=51280710&amp;VALUEID=02001&amp;SDATE=200403&amp;PERIODTYPE=QTR_STD&amp;SCFT=3&amp;window=popup_no_bar&amp;width=385&amp;height=120&amp;START_MAXIMIZED=FALSE&amp;creator=factset&amp;display_string=Audit"}</definedName>
    <definedName name="_3112__FDSAUDITLINK__" localSheetId="7" hidden="1">{"fdsup://Directions/FactSet Auditing Viewer?action=AUDIT_VALUE&amp;DB=129&amp;ID1=51280710&amp;VALUEID=02001&amp;SDATE=200403&amp;PERIODTYPE=QTR_STD&amp;SCFT=3&amp;window=popup_no_bar&amp;width=385&amp;height=120&amp;START_MAXIMIZED=FALSE&amp;creator=factset&amp;display_string=Audit"}</definedName>
    <definedName name="_3112__FDSAUDITLINK__" hidden="1">{"fdsup://Directions/FactSet Auditing Viewer?action=AUDIT_VALUE&amp;DB=129&amp;ID1=51280710&amp;VALUEID=02001&amp;SDATE=200403&amp;PERIODTYPE=QTR_STD&amp;SCFT=3&amp;window=popup_no_bar&amp;width=385&amp;height=120&amp;START_MAXIMIZED=FALSE&amp;creator=factset&amp;display_string=Audit"}</definedName>
    <definedName name="_3113__FDSAUDITLINK__" localSheetId="7" hidden="1">{"fdsup://Directions/FactSet Auditing Viewer?action=AUDIT_VALUE&amp;DB=129&amp;ID1=53567810&amp;VALUEID=02001&amp;SDATE=200403&amp;PERIODTYPE=QTR_STD&amp;SCFT=3&amp;window=popup_no_bar&amp;width=385&amp;height=120&amp;START_MAXIMIZED=FALSE&amp;creator=factset&amp;display_string=Audit"}</definedName>
    <definedName name="_3113__FDSAUDITLINK__" hidden="1">{"fdsup://Directions/FactSet Auditing Viewer?action=AUDIT_VALUE&amp;DB=129&amp;ID1=53567810&amp;VALUEID=02001&amp;SDATE=200403&amp;PERIODTYPE=QTR_STD&amp;SCFT=3&amp;window=popup_no_bar&amp;width=385&amp;height=120&amp;START_MAXIMIZED=FALSE&amp;creator=factset&amp;display_string=Audit"}</definedName>
    <definedName name="_3114__FDSAUDITLINK__" localSheetId="7" hidden="1">{"fdsup://Directions/FactSet Auditing Viewer?action=AUDIT_VALUE&amp;DB=129&amp;ID1=53567810&amp;VALUEID=02001&amp;SDATE=200403&amp;PERIODTYPE=QTR_STD&amp;SCFT=3&amp;window=popup_no_bar&amp;width=385&amp;height=120&amp;START_MAXIMIZED=FALSE&amp;creator=factset&amp;display_string=Audit"}</definedName>
    <definedName name="_3114__FDSAUDITLINK__" hidden="1">{"fdsup://Directions/FactSet Auditing Viewer?action=AUDIT_VALUE&amp;DB=129&amp;ID1=53567810&amp;VALUEID=02001&amp;SDATE=200403&amp;PERIODTYPE=QTR_STD&amp;SCFT=3&amp;window=popup_no_bar&amp;width=385&amp;height=120&amp;START_MAXIMIZED=FALSE&amp;creator=factset&amp;display_string=Audit"}</definedName>
    <definedName name="_3115__FDSAUDITLINK__" localSheetId="7" hidden="1">{"fdsup://Directions/FactSet Auditing Viewer?action=AUDIT_VALUE&amp;DB=129&amp;ID1=48248010&amp;VALUEID=02001&amp;SDATE=200403&amp;PERIODTYPE=QTR_STD&amp;SCFT=3&amp;window=popup_no_bar&amp;width=385&amp;height=120&amp;START_MAXIMIZED=FALSE&amp;creator=factset&amp;display_string=Audit"}</definedName>
    <definedName name="_3115__FDSAUDITLINK__" hidden="1">{"fdsup://Directions/FactSet Auditing Viewer?action=AUDIT_VALUE&amp;DB=129&amp;ID1=48248010&amp;VALUEID=02001&amp;SDATE=200403&amp;PERIODTYPE=QTR_STD&amp;SCFT=3&amp;window=popup_no_bar&amp;width=385&amp;height=120&amp;START_MAXIMIZED=FALSE&amp;creator=factset&amp;display_string=Audit"}</definedName>
    <definedName name="_3116__FDSAUDITLINK__" localSheetId="7" hidden="1">{"fdsup://Directions/FactSet Auditing Viewer?action=AUDIT_VALUE&amp;DB=129&amp;ID1=48248010&amp;VALUEID=02001&amp;SDATE=200403&amp;PERIODTYPE=QTR_STD&amp;SCFT=3&amp;window=popup_no_bar&amp;width=385&amp;height=120&amp;START_MAXIMIZED=FALSE&amp;creator=factset&amp;display_string=Audit"}</definedName>
    <definedName name="_3116__FDSAUDITLINK__" hidden="1">{"fdsup://Directions/FactSet Auditing Viewer?action=AUDIT_VALUE&amp;DB=129&amp;ID1=48248010&amp;VALUEID=02001&amp;SDATE=200403&amp;PERIODTYPE=QTR_STD&amp;SCFT=3&amp;window=popup_no_bar&amp;width=385&amp;height=120&amp;START_MAXIMIZED=FALSE&amp;creator=factset&amp;display_string=Audit"}</definedName>
    <definedName name="_3117__FDSAUDITLINK__" localSheetId="7" hidden="1">{"fdsup://Directions/FactSet Auditing Viewer?action=AUDIT_VALUE&amp;DB=129&amp;ID1=48203R10&amp;VALUEID=02001&amp;SDATE=200401&amp;PERIODTYPE=QTR_STD&amp;SCFT=3&amp;window=popup_no_bar&amp;width=385&amp;height=120&amp;START_MAXIMIZED=FALSE&amp;creator=factset&amp;display_string=Audit"}</definedName>
    <definedName name="_3117__FDSAUDITLINK__" hidden="1">{"fdsup://Directions/FactSet Auditing Viewer?action=AUDIT_VALUE&amp;DB=129&amp;ID1=48203R10&amp;VALUEID=02001&amp;SDATE=200401&amp;PERIODTYPE=QTR_STD&amp;SCFT=3&amp;window=popup_no_bar&amp;width=385&amp;height=120&amp;START_MAXIMIZED=FALSE&amp;creator=factset&amp;display_string=Audit"}</definedName>
    <definedName name="_3118__FDSAUDITLINK__" localSheetId="7" hidden="1">{"fdsup://Directions/FactSet Auditing Viewer?action=AUDIT_VALUE&amp;DB=129&amp;ID1=48203R10&amp;VALUEID=02001&amp;SDATE=200401&amp;PERIODTYPE=QTR_STD&amp;SCFT=3&amp;window=popup_no_bar&amp;width=385&amp;height=120&amp;START_MAXIMIZED=FALSE&amp;creator=factset&amp;display_string=Audit"}</definedName>
    <definedName name="_3118__FDSAUDITLINK__" hidden="1">{"fdsup://Directions/FactSet Auditing Viewer?action=AUDIT_VALUE&amp;DB=129&amp;ID1=48203R10&amp;VALUEID=02001&amp;SDATE=200401&amp;PERIODTYPE=QTR_STD&amp;SCFT=3&amp;window=popup_no_bar&amp;width=385&amp;height=120&amp;START_MAXIMIZED=FALSE&amp;creator=factset&amp;display_string=Audit"}</definedName>
    <definedName name="_3119__FDSAUDITLINK__" localSheetId="7" hidden="1">{"fdsup://Directions/FactSet Auditing Viewer?action=AUDIT_VALUE&amp;DB=129&amp;ID1=86681020&amp;VALUEID=02001&amp;SDATE=200403&amp;PERIODTYPE=QTR_STD&amp;SCFT=3&amp;window=popup_no_bar&amp;width=385&amp;height=120&amp;START_MAXIMIZED=FALSE&amp;creator=factset&amp;display_string=Audit"}</definedName>
    <definedName name="_3119__FDSAUDITLINK__" hidden="1">{"fdsup://Directions/FactSet Auditing Viewer?action=AUDIT_VALUE&amp;DB=129&amp;ID1=86681020&amp;VALUEID=02001&amp;SDATE=200403&amp;PERIODTYPE=QTR_STD&amp;SCFT=3&amp;window=popup_no_bar&amp;width=385&amp;height=120&amp;START_MAXIMIZED=FALSE&amp;creator=factset&amp;display_string=Audit"}</definedName>
    <definedName name="_312__FDSAUDITLINK__" localSheetId="7" hidden="1">{"fdsup://Directions/FactSet Auditing Viewer?action=AUDIT_VALUE&amp;DB=129&amp;ID1=83088M10&amp;VALUEID=02001&amp;SDATE=201004&amp;PERIODTYPE=QTR_STD&amp;SCFT=3&amp;window=popup_no_bar&amp;width=385&amp;height=120&amp;START_MAXIMIZED=FALSE&amp;creator=factset&amp;display_string=Audit"}</definedName>
    <definedName name="_312__FDSAUDITLINK__" hidden="1">{"fdsup://Directions/FactSet Auditing Viewer?action=AUDIT_VALUE&amp;DB=129&amp;ID1=83088M10&amp;VALUEID=02001&amp;SDATE=201004&amp;PERIODTYPE=QTR_STD&amp;SCFT=3&amp;window=popup_no_bar&amp;width=385&amp;height=120&amp;START_MAXIMIZED=FALSE&amp;creator=factset&amp;display_string=Audit"}</definedName>
    <definedName name="_3120__FDSAUDITLINK__" localSheetId="7" hidden="1">{"fdsup://Directions/FactSet Auditing Viewer?action=AUDIT_VALUE&amp;DB=129&amp;ID1=86681020&amp;VALUEID=02001&amp;SDATE=200403&amp;PERIODTYPE=QTR_STD&amp;SCFT=3&amp;window=popup_no_bar&amp;width=385&amp;height=120&amp;START_MAXIMIZED=FALSE&amp;creator=factset&amp;display_string=Audit"}</definedName>
    <definedName name="_3120__FDSAUDITLINK__" hidden="1">{"fdsup://Directions/FactSet Auditing Viewer?action=AUDIT_VALUE&amp;DB=129&amp;ID1=86681020&amp;VALUEID=02001&amp;SDATE=200403&amp;PERIODTYPE=QTR_STD&amp;SCFT=3&amp;window=popup_no_bar&amp;width=385&amp;height=120&amp;START_MAXIMIZED=FALSE&amp;creator=factset&amp;display_string=Audit"}</definedName>
    <definedName name="_3121__FDSAUDITLINK__" localSheetId="7" hidden="1">{"fdsup://Directions/FactSet Auditing Viewer?action=AUDIT_VALUE&amp;DB=129&amp;ID1=46069S10&amp;VALUEID=02001&amp;SDATE=200401&amp;PERIODTYPE=QTR_STD&amp;SCFT=3&amp;window=popup_no_bar&amp;width=385&amp;height=120&amp;START_MAXIMIZED=FALSE&amp;creator=factset&amp;display_string=Audit"}</definedName>
    <definedName name="_3121__FDSAUDITLINK__" hidden="1">{"fdsup://Directions/FactSet Auditing Viewer?action=AUDIT_VALUE&amp;DB=129&amp;ID1=46069S10&amp;VALUEID=02001&amp;SDATE=200401&amp;PERIODTYPE=QTR_STD&amp;SCFT=3&amp;window=popup_no_bar&amp;width=385&amp;height=120&amp;START_MAXIMIZED=FALSE&amp;creator=factset&amp;display_string=Audit"}</definedName>
    <definedName name="_3122__FDSAUDITLINK__" localSheetId="7" hidden="1">{"fdsup://Directions/FactSet Auditing Viewer?action=AUDIT_VALUE&amp;DB=129&amp;ID1=46069S10&amp;VALUEID=02001&amp;SDATE=200401&amp;PERIODTYPE=QTR_STD&amp;SCFT=3&amp;window=popup_no_bar&amp;width=385&amp;height=120&amp;START_MAXIMIZED=FALSE&amp;creator=factset&amp;display_string=Audit"}</definedName>
    <definedName name="_3122__FDSAUDITLINK__" hidden="1">{"fdsup://Directions/FactSet Auditing Viewer?action=AUDIT_VALUE&amp;DB=129&amp;ID1=46069S10&amp;VALUEID=02001&amp;SDATE=200401&amp;PERIODTYPE=QTR_STD&amp;SCFT=3&amp;window=popup_no_bar&amp;width=385&amp;height=120&amp;START_MAXIMIZED=FALSE&amp;creator=factset&amp;display_string=Audit"}</definedName>
    <definedName name="_3123__FDSAUDITLINK__" localSheetId="7" hidden="1">{"fdsup://Directions/FactSet Auditing Viewer?action=AUDIT_VALUE&amp;DB=129&amp;ID1=45814010&amp;VALUEID=02001&amp;SDATE=200401&amp;PERIODTYPE=QTR_STD&amp;SCFT=3&amp;window=popup_no_bar&amp;width=385&amp;height=120&amp;START_MAXIMIZED=FALSE&amp;creator=factset&amp;display_string=Audit"}</definedName>
    <definedName name="_3123__FDSAUDITLINK__" hidden="1">{"fdsup://Directions/FactSet Auditing Viewer?action=AUDIT_VALUE&amp;DB=129&amp;ID1=45814010&amp;VALUEID=02001&amp;SDATE=200401&amp;PERIODTYPE=QTR_STD&amp;SCFT=3&amp;window=popup_no_bar&amp;width=385&amp;height=120&amp;START_MAXIMIZED=FALSE&amp;creator=factset&amp;display_string=Audit"}</definedName>
    <definedName name="_3124__FDSAUDITLINK__" localSheetId="7" hidden="1">{"fdsup://Directions/FactSet Auditing Viewer?action=AUDIT_VALUE&amp;DB=129&amp;ID1=45814010&amp;VALUEID=02001&amp;SDATE=200401&amp;PERIODTYPE=QTR_STD&amp;SCFT=3&amp;window=popup_no_bar&amp;width=385&amp;height=120&amp;START_MAXIMIZED=FALSE&amp;creator=factset&amp;display_string=Audit"}</definedName>
    <definedName name="_3124__FDSAUDITLINK__" hidden="1">{"fdsup://Directions/FactSet Auditing Viewer?action=AUDIT_VALUE&amp;DB=129&amp;ID1=45814010&amp;VALUEID=02001&amp;SDATE=200401&amp;PERIODTYPE=QTR_STD&amp;SCFT=3&amp;window=popup_no_bar&amp;width=385&amp;height=120&amp;START_MAXIMIZED=FALSE&amp;creator=factset&amp;display_string=Audit"}</definedName>
    <definedName name="_3125__FDSAUDITLINK__" localSheetId="7" hidden="1">{"fdsup://Directions/FactSet Auditing Viewer?action=AUDIT_VALUE&amp;DB=129&amp;ID1=42823610&amp;VALUEID=02001&amp;SDATE=200402&amp;PERIODTYPE=QTR_STD&amp;SCFT=3&amp;window=popup_no_bar&amp;width=385&amp;height=120&amp;START_MAXIMIZED=FALSE&amp;creator=factset&amp;display_string=Audit"}</definedName>
    <definedName name="_3125__FDSAUDITLINK__" hidden="1">{"fdsup://Directions/FactSet Auditing Viewer?action=AUDIT_VALUE&amp;DB=129&amp;ID1=42823610&amp;VALUEID=02001&amp;SDATE=200402&amp;PERIODTYPE=QTR_STD&amp;SCFT=3&amp;window=popup_no_bar&amp;width=385&amp;height=120&amp;START_MAXIMIZED=FALSE&amp;creator=factset&amp;display_string=Audit"}</definedName>
    <definedName name="_3126__FDSAUDITLINK__" localSheetId="7" hidden="1">{"fdsup://Directions/FactSet Auditing Viewer?action=AUDIT_VALUE&amp;DB=129&amp;ID1=42823610&amp;VALUEID=02001&amp;SDATE=200402&amp;PERIODTYPE=QTR_STD&amp;SCFT=3&amp;window=popup_no_bar&amp;width=385&amp;height=120&amp;START_MAXIMIZED=FALSE&amp;creator=factset&amp;display_string=Audit"}</definedName>
    <definedName name="_3126__FDSAUDITLINK__" hidden="1">{"fdsup://Directions/FactSet Auditing Viewer?action=AUDIT_VALUE&amp;DB=129&amp;ID1=42823610&amp;VALUEID=02001&amp;SDATE=200402&amp;PERIODTYPE=QTR_STD&amp;SCFT=3&amp;window=popup_no_bar&amp;width=385&amp;height=120&amp;START_MAXIMIZED=FALSE&amp;creator=factset&amp;display_string=Audit"}</definedName>
    <definedName name="_3127__FDSAUDITLINK__" localSheetId="7" hidden="1">{"fdsup://Directions/FactSet Auditing Viewer?action=AUDIT_VALUE&amp;DB=129&amp;ID1=34637510&amp;VALUEID=02001&amp;SDATE=200401&amp;PERIODTYPE=QTR_STD&amp;SCFT=3&amp;window=popup_no_bar&amp;width=385&amp;height=120&amp;START_MAXIMIZED=FALSE&amp;creator=factset&amp;display_string=Audit"}</definedName>
    <definedName name="_3127__FDSAUDITLINK__" hidden="1">{"fdsup://Directions/FactSet Auditing Viewer?action=AUDIT_VALUE&amp;DB=129&amp;ID1=34637510&amp;VALUEID=02001&amp;SDATE=200401&amp;PERIODTYPE=QTR_STD&amp;SCFT=3&amp;window=popup_no_bar&amp;width=385&amp;height=120&amp;START_MAXIMIZED=FALSE&amp;creator=factset&amp;display_string=Audit"}</definedName>
    <definedName name="_3128__FDSAUDITLINK__" localSheetId="7" hidden="1">{"fdsup://Directions/FactSet Auditing Viewer?action=AUDIT_VALUE&amp;DB=129&amp;ID1=34637510&amp;VALUEID=02001&amp;SDATE=200401&amp;PERIODTYPE=QTR_STD&amp;SCFT=3&amp;window=popup_no_bar&amp;width=385&amp;height=120&amp;START_MAXIMIZED=FALSE&amp;creator=factset&amp;display_string=Audit"}</definedName>
    <definedName name="_3128__FDSAUDITLINK__" hidden="1">{"fdsup://Directions/FactSet Auditing Viewer?action=AUDIT_VALUE&amp;DB=129&amp;ID1=34637510&amp;VALUEID=02001&amp;SDATE=200401&amp;PERIODTYPE=QTR_STD&amp;SCFT=3&amp;window=popup_no_bar&amp;width=385&amp;height=120&amp;START_MAXIMIZED=FALSE&amp;creator=factset&amp;display_string=Audit"}</definedName>
    <definedName name="_3129__FDSAUDITLINK__" localSheetId="7" hidden="1">{"fdsup://Directions/FactSet Auditing Viewer?action=AUDIT_VALUE&amp;DB=129&amp;ID1=31561610&amp;VALUEID=02001&amp;SDATE=200402&amp;PERIODTYPE=QTR_STD&amp;SCFT=3&amp;window=popup_no_bar&amp;width=385&amp;height=120&amp;START_MAXIMIZED=FALSE&amp;creator=factset&amp;display_string=Audit"}</definedName>
    <definedName name="_3129__FDSAUDITLINK__" hidden="1">{"fdsup://Directions/FactSet Auditing Viewer?action=AUDIT_VALUE&amp;DB=129&amp;ID1=31561610&amp;VALUEID=02001&amp;SDATE=200402&amp;PERIODTYPE=QTR_STD&amp;SCFT=3&amp;window=popup_no_bar&amp;width=385&amp;height=120&amp;START_MAXIMIZED=FALSE&amp;creator=factset&amp;display_string=Audit"}</definedName>
    <definedName name="_313__FDSAUDITLINK__" localSheetId="7" hidden="1">{"fdsup://Directions/FactSet Auditing Viewer?action=AUDIT_VALUE&amp;DB=129&amp;ID1=G7945M10&amp;VALUEID=02001&amp;SDATE=201101&amp;PERIODTYPE=QTR_STD&amp;SCFT=3&amp;window=popup_no_bar&amp;width=385&amp;height=120&amp;START_MAXIMIZED=FALSE&amp;creator=factset&amp;display_string=Audit"}</definedName>
    <definedName name="_313__FDSAUDITLINK__" hidden="1">{"fdsup://Directions/FactSet Auditing Viewer?action=AUDIT_VALUE&amp;DB=129&amp;ID1=G7945M10&amp;VALUEID=02001&amp;SDATE=201101&amp;PERIODTYPE=QTR_STD&amp;SCFT=3&amp;window=popup_no_bar&amp;width=385&amp;height=120&amp;START_MAXIMIZED=FALSE&amp;creator=factset&amp;display_string=Audit"}</definedName>
    <definedName name="_3130__FDSAUDITLINK__" localSheetId="7" hidden="1">{"fdsup://Directions/FactSet Auditing Viewer?action=AUDIT_VALUE&amp;DB=129&amp;ID1=31561610&amp;VALUEID=02001&amp;SDATE=200402&amp;PERIODTYPE=QTR_STD&amp;SCFT=3&amp;window=popup_no_bar&amp;width=385&amp;height=120&amp;START_MAXIMIZED=FALSE&amp;creator=factset&amp;display_string=Audit"}</definedName>
    <definedName name="_3130__FDSAUDITLINK__" hidden="1">{"fdsup://Directions/FactSet Auditing Viewer?action=AUDIT_VALUE&amp;DB=129&amp;ID1=31561610&amp;VALUEID=02001&amp;SDATE=200402&amp;PERIODTYPE=QTR_STD&amp;SCFT=3&amp;window=popup_no_bar&amp;width=385&amp;height=120&amp;START_MAXIMIZED=FALSE&amp;creator=factset&amp;display_string=Audit"}</definedName>
    <definedName name="_3131__FDSAUDITLINK__" localSheetId="7" hidden="1">{"fdsup://Directions/FactSet Auditing Viewer?action=AUDIT_VALUE&amp;DB=129&amp;ID1=29247520&amp;VALUEID=02001&amp;SDATE=200403&amp;PERIODTYPE=QTR_STD&amp;SCFT=3&amp;window=popup_no_bar&amp;width=385&amp;height=120&amp;START_MAXIMIZED=FALSE&amp;creator=factset&amp;display_string=Audit"}</definedName>
    <definedName name="_3131__FDSAUDITLINK__" hidden="1">{"fdsup://Directions/FactSet Auditing Viewer?action=AUDIT_VALUE&amp;DB=129&amp;ID1=29247520&amp;VALUEID=02001&amp;SDATE=200403&amp;PERIODTYPE=QTR_STD&amp;SCFT=3&amp;window=popup_no_bar&amp;width=385&amp;height=120&amp;START_MAXIMIZED=FALSE&amp;creator=factset&amp;display_string=Audit"}</definedName>
    <definedName name="_3132__FDSAUDITLINK__" localSheetId="7" hidden="1">{"fdsup://Directions/FactSet Auditing Viewer?action=AUDIT_VALUE&amp;DB=129&amp;ID1=29247520&amp;VALUEID=02001&amp;SDATE=200403&amp;PERIODTYPE=QTR_STD&amp;SCFT=3&amp;window=popup_no_bar&amp;width=385&amp;height=120&amp;START_MAXIMIZED=FALSE&amp;creator=factset&amp;display_string=Audit"}</definedName>
    <definedName name="_3132__FDSAUDITLINK__" hidden="1">{"fdsup://Directions/FactSet Auditing Viewer?action=AUDIT_VALUE&amp;DB=129&amp;ID1=29247520&amp;VALUEID=02001&amp;SDATE=200403&amp;PERIODTYPE=QTR_STD&amp;SCFT=3&amp;window=popup_no_bar&amp;width=385&amp;height=120&amp;START_MAXIMIZED=FALSE&amp;creator=factset&amp;display_string=Audit"}</definedName>
    <definedName name="_3133__FDSAUDITLINK__" localSheetId="7" hidden="1">{"fdsup://Directions/FactSet Auditing Viewer?action=AUDIT_VALUE&amp;DB=129&amp;ID1=25454310&amp;VALUEID=02001&amp;SDATE=200401&amp;PERIODTYPE=QTR_STD&amp;SCFT=3&amp;window=popup_no_bar&amp;width=385&amp;height=120&amp;START_MAXIMIZED=FALSE&amp;creator=factset&amp;display_string=Audit"}</definedName>
    <definedName name="_3133__FDSAUDITLINK__" hidden="1">{"fdsup://Directions/FactSet Auditing Viewer?action=AUDIT_VALUE&amp;DB=129&amp;ID1=25454310&amp;VALUEID=02001&amp;SDATE=200401&amp;PERIODTYPE=QTR_STD&amp;SCFT=3&amp;window=popup_no_bar&amp;width=385&amp;height=120&amp;START_MAXIMIZED=FALSE&amp;creator=factset&amp;display_string=Audit"}</definedName>
    <definedName name="_3134__FDSAUDITLINK__" localSheetId="7" hidden="1">{"fdsup://Directions/FactSet Auditing Viewer?action=AUDIT_VALUE&amp;DB=129&amp;ID1=25454310&amp;VALUEID=02001&amp;SDATE=200401&amp;PERIODTYPE=QTR_STD&amp;SCFT=3&amp;window=popup_no_bar&amp;width=385&amp;height=120&amp;START_MAXIMIZED=FALSE&amp;creator=factset&amp;display_string=Audit"}</definedName>
    <definedName name="_3134__FDSAUDITLINK__" hidden="1">{"fdsup://Directions/FactSet Auditing Viewer?action=AUDIT_VALUE&amp;DB=129&amp;ID1=25454310&amp;VALUEID=02001&amp;SDATE=200401&amp;PERIODTYPE=QTR_STD&amp;SCFT=3&amp;window=popup_no_bar&amp;width=385&amp;height=120&amp;START_MAXIMIZED=FALSE&amp;creator=factset&amp;display_string=Audit"}</definedName>
    <definedName name="_3135__FDSAUDITLINK__" localSheetId="7" hidden="1">{"fdsup://Directions/FactSet Auditing Viewer?action=AUDIT_VALUE&amp;DB=129&amp;ID1=24702R10&amp;VALUEID=02001&amp;SDATE=200401&amp;PERIODTYPE=QTR_STD&amp;SCFT=3&amp;window=popup_no_bar&amp;width=385&amp;height=120&amp;START_MAXIMIZED=FALSE&amp;creator=factset&amp;display_string=Audit"}</definedName>
    <definedName name="_3135__FDSAUDITLINK__" hidden="1">{"fdsup://Directions/FactSet Auditing Viewer?action=AUDIT_VALUE&amp;DB=129&amp;ID1=24702R10&amp;VALUEID=02001&amp;SDATE=200401&amp;PERIODTYPE=QTR_STD&amp;SCFT=3&amp;window=popup_no_bar&amp;width=385&amp;height=120&amp;START_MAXIMIZED=FALSE&amp;creator=factset&amp;display_string=Audit"}</definedName>
    <definedName name="_3136__FDSAUDITLINK__" localSheetId="7" hidden="1">{"fdsup://Directions/FactSet Auditing Viewer?action=AUDIT_VALUE&amp;DB=129&amp;ID1=24702R10&amp;VALUEID=02001&amp;SDATE=200401&amp;PERIODTYPE=QTR_STD&amp;SCFT=3&amp;window=popup_no_bar&amp;width=385&amp;height=120&amp;START_MAXIMIZED=FALSE&amp;creator=factset&amp;display_string=Audit"}</definedName>
    <definedName name="_3136__FDSAUDITLINK__" hidden="1">{"fdsup://Directions/FactSet Auditing Viewer?action=AUDIT_VALUE&amp;DB=129&amp;ID1=24702R10&amp;VALUEID=02001&amp;SDATE=200401&amp;PERIODTYPE=QTR_STD&amp;SCFT=3&amp;window=popup_no_bar&amp;width=385&amp;height=120&amp;START_MAXIMIZED=FALSE&amp;creator=factset&amp;display_string=Audit"}</definedName>
    <definedName name="_3137__FDSAUDITLINK__" localSheetId="7" hidden="1">{"fdsup://Directions/FactSet Auditing Viewer?action=AUDIT_VALUE&amp;DB=129&amp;ID1=23280610&amp;VALUEID=02001&amp;SDATE=200401&amp;PERIODTYPE=QTR_STD&amp;SCFT=3&amp;window=popup_no_bar&amp;width=385&amp;height=120&amp;START_MAXIMIZED=FALSE&amp;creator=factset&amp;display_string=Audit"}</definedName>
    <definedName name="_3137__FDSAUDITLINK__" hidden="1">{"fdsup://Directions/FactSet Auditing Viewer?action=AUDIT_VALUE&amp;DB=129&amp;ID1=23280610&amp;VALUEID=02001&amp;SDATE=200401&amp;PERIODTYPE=QTR_STD&amp;SCFT=3&amp;window=popup_no_bar&amp;width=385&amp;height=120&amp;START_MAXIMIZED=FALSE&amp;creator=factset&amp;display_string=Audit"}</definedName>
    <definedName name="_3138__FDSAUDITLINK__" localSheetId="7" hidden="1">{"fdsup://Directions/FactSet Auditing Viewer?action=AUDIT_VALUE&amp;DB=129&amp;ID1=23280610&amp;VALUEID=02001&amp;SDATE=200401&amp;PERIODTYPE=QTR_STD&amp;SCFT=3&amp;window=popup_no_bar&amp;width=385&amp;height=120&amp;START_MAXIMIZED=FALSE&amp;creator=factset&amp;display_string=Audit"}</definedName>
    <definedName name="_3138__FDSAUDITLINK__" hidden="1">{"fdsup://Directions/FactSet Auditing Viewer?action=AUDIT_VALUE&amp;DB=129&amp;ID1=23280610&amp;VALUEID=02001&amp;SDATE=200401&amp;PERIODTYPE=QTR_STD&amp;SCFT=3&amp;window=popup_no_bar&amp;width=385&amp;height=120&amp;START_MAXIMIZED=FALSE&amp;creator=factset&amp;display_string=Audit"}</definedName>
    <definedName name="_3139__FDSAUDITLINK__" localSheetId="7" hidden="1">{"fdsup://Directions/FactSet Auditing Viewer?action=AUDIT_VALUE&amp;DB=129&amp;ID1=17275R10&amp;VALUEID=02001&amp;SDATE=200403&amp;PERIODTYPE=QTR_STD&amp;SCFT=3&amp;window=popup_no_bar&amp;width=385&amp;height=120&amp;START_MAXIMIZED=FALSE&amp;creator=factset&amp;display_string=Audit"}</definedName>
    <definedName name="_3139__FDSAUDITLINK__" hidden="1">{"fdsup://Directions/FactSet Auditing Viewer?action=AUDIT_VALUE&amp;DB=129&amp;ID1=17275R10&amp;VALUEID=02001&amp;SDATE=200403&amp;PERIODTYPE=QTR_STD&amp;SCFT=3&amp;window=popup_no_bar&amp;width=385&amp;height=120&amp;START_MAXIMIZED=FALSE&amp;creator=factset&amp;display_string=Audit"}</definedName>
    <definedName name="_314__FDSAUDITLINK__" localSheetId="7" hidden="1">{"fdsup://Directions/FactSet Auditing Viewer?action=AUDIT_VALUE&amp;DB=129&amp;ID1=G7945M10&amp;VALUEID=02001&amp;SDATE=201101&amp;PERIODTYPE=QTR_STD&amp;SCFT=3&amp;window=popup_no_bar&amp;width=385&amp;height=120&amp;START_MAXIMIZED=FALSE&amp;creator=factset&amp;display_string=Audit"}</definedName>
    <definedName name="_314__FDSAUDITLINK__" hidden="1">{"fdsup://Directions/FactSet Auditing Viewer?action=AUDIT_VALUE&amp;DB=129&amp;ID1=G7945M10&amp;VALUEID=02001&amp;SDATE=201101&amp;PERIODTYPE=QTR_STD&amp;SCFT=3&amp;window=popup_no_bar&amp;width=385&amp;height=120&amp;START_MAXIMIZED=FALSE&amp;creator=factset&amp;display_string=Audit"}</definedName>
    <definedName name="_3140__FDSAUDITLINK__" localSheetId="7" hidden="1">{"fdsup://Directions/FactSet Auditing Viewer?action=AUDIT_VALUE&amp;DB=129&amp;ID1=17275R10&amp;VALUEID=02001&amp;SDATE=200403&amp;PERIODTYPE=QTR_STD&amp;SCFT=3&amp;window=popup_no_bar&amp;width=385&amp;height=120&amp;START_MAXIMIZED=FALSE&amp;creator=factset&amp;display_string=Audit"}</definedName>
    <definedName name="_3140__FDSAUDITLINK__" hidden="1">{"fdsup://Directions/FactSet Auditing Viewer?action=AUDIT_VALUE&amp;DB=129&amp;ID1=17275R10&amp;VALUEID=02001&amp;SDATE=200403&amp;PERIODTYPE=QTR_STD&amp;SCFT=3&amp;window=popup_no_bar&amp;width=385&amp;height=120&amp;START_MAXIMIZED=FALSE&amp;creator=factset&amp;display_string=Audit"}</definedName>
    <definedName name="_3141__FDSAUDITLINK__" localSheetId="7" hidden="1">{"fdsup://Directions/FactSet Auditing Viewer?action=AUDIT_VALUE&amp;DB=129&amp;ID1=22544710&amp;VALUEID=02001&amp;SDATE=200403&amp;PERIODTYPE=QTR_STD&amp;SCFT=3&amp;window=popup_no_bar&amp;width=385&amp;height=120&amp;START_MAXIMIZED=FALSE&amp;creator=factset&amp;display_string=Audit"}</definedName>
    <definedName name="_3141__FDSAUDITLINK__" hidden="1">{"fdsup://Directions/FactSet Auditing Viewer?action=AUDIT_VALUE&amp;DB=129&amp;ID1=22544710&amp;VALUEID=02001&amp;SDATE=200403&amp;PERIODTYPE=QTR_STD&amp;SCFT=3&amp;window=popup_no_bar&amp;width=385&amp;height=120&amp;START_MAXIMIZED=FALSE&amp;creator=factset&amp;display_string=Audit"}</definedName>
    <definedName name="_3142__FDSAUDITLINK__" localSheetId="7" hidden="1">{"fdsup://Directions/FactSet Auditing Viewer?action=AUDIT_VALUE&amp;DB=129&amp;ID1=22544710&amp;VALUEID=02001&amp;SDATE=200403&amp;PERIODTYPE=QTR_STD&amp;SCFT=3&amp;window=popup_no_bar&amp;width=385&amp;height=120&amp;START_MAXIMIZED=FALSE&amp;creator=factset&amp;display_string=Audit"}</definedName>
    <definedName name="_3142__FDSAUDITLINK__" hidden="1">{"fdsup://Directions/FactSet Auditing Viewer?action=AUDIT_VALUE&amp;DB=129&amp;ID1=22544710&amp;VALUEID=02001&amp;SDATE=200403&amp;PERIODTYPE=QTR_STD&amp;SCFT=3&amp;window=popup_no_bar&amp;width=385&amp;height=120&amp;START_MAXIMIZED=FALSE&amp;creator=factset&amp;display_string=Audit"}</definedName>
    <definedName name="_3143__FDSAUDITLINK__" localSheetId="7" hidden="1">{"fdsup://Directions/FactSet Auditing Viewer?action=AUDIT_VALUE&amp;DB=129&amp;ID1=20714230&amp;VALUEID=02001&amp;SDATE=200402&amp;PERIODTYPE=QTR_STD&amp;SCFT=3&amp;window=popup_no_bar&amp;width=385&amp;height=120&amp;START_MAXIMIZED=FALSE&amp;creator=factset&amp;display_string=Audit"}</definedName>
    <definedName name="_3143__FDSAUDITLINK__" hidden="1">{"fdsup://Directions/FactSet Auditing Viewer?action=AUDIT_VALUE&amp;DB=129&amp;ID1=20714230&amp;VALUEID=02001&amp;SDATE=200402&amp;PERIODTYPE=QTR_STD&amp;SCFT=3&amp;window=popup_no_bar&amp;width=385&amp;height=120&amp;START_MAXIMIZED=FALSE&amp;creator=factset&amp;display_string=Audit"}</definedName>
    <definedName name="_3144__FDSAUDITLINK__" localSheetId="7" hidden="1">{"fdsup://Directions/FactSet Auditing Viewer?action=AUDIT_VALUE&amp;DB=129&amp;ID1=20714230&amp;VALUEID=02001&amp;SDATE=200402&amp;PERIODTYPE=QTR_STD&amp;SCFT=3&amp;window=popup_no_bar&amp;width=385&amp;height=120&amp;START_MAXIMIZED=FALSE&amp;creator=factset&amp;display_string=Audit"}</definedName>
    <definedName name="_3144__FDSAUDITLINK__" hidden="1">{"fdsup://Directions/FactSet Auditing Viewer?action=AUDIT_VALUE&amp;DB=129&amp;ID1=20714230&amp;VALUEID=02001&amp;SDATE=200402&amp;PERIODTYPE=QTR_STD&amp;SCFT=3&amp;window=popup_no_bar&amp;width=385&amp;height=120&amp;START_MAXIMIZED=FALSE&amp;creator=factset&amp;display_string=Audit"}</definedName>
    <definedName name="_3145__FDSAUDITLINK__" localSheetId="7" hidden="1">{"fdsup://Directions/FactSet Auditing Viewer?action=AUDIT_VALUE&amp;DB=129&amp;ID1=12738710&amp;VALUEID=02001&amp;SDATE=200401&amp;PERIODTYPE=QTR_STD&amp;SCFT=3&amp;window=popup_no_bar&amp;width=385&amp;height=120&amp;START_MAXIMIZED=FALSE&amp;creator=factset&amp;display_string=Audit"}</definedName>
    <definedName name="_3145__FDSAUDITLINK__" hidden="1">{"fdsup://Directions/FactSet Auditing Viewer?action=AUDIT_VALUE&amp;DB=129&amp;ID1=12738710&amp;VALUEID=02001&amp;SDATE=200401&amp;PERIODTYPE=QTR_STD&amp;SCFT=3&amp;window=popup_no_bar&amp;width=385&amp;height=120&amp;START_MAXIMIZED=FALSE&amp;creator=factset&amp;display_string=Audit"}</definedName>
    <definedName name="_3146__FDSAUDITLINK__" localSheetId="7" hidden="1">{"fdsup://Directions/FactSet Auditing Viewer?action=AUDIT_VALUE&amp;DB=129&amp;ID1=12738710&amp;VALUEID=02001&amp;SDATE=200401&amp;PERIODTYPE=QTR_STD&amp;SCFT=3&amp;window=popup_no_bar&amp;width=385&amp;height=120&amp;START_MAXIMIZED=FALSE&amp;creator=factset&amp;display_string=Audit"}</definedName>
    <definedName name="_3146__FDSAUDITLINK__" hidden="1">{"fdsup://Directions/FactSet Auditing Viewer?action=AUDIT_VALUE&amp;DB=129&amp;ID1=12738710&amp;VALUEID=02001&amp;SDATE=200401&amp;PERIODTYPE=QTR_STD&amp;SCFT=3&amp;window=popup_no_bar&amp;width=385&amp;height=120&amp;START_MAXIMIZED=FALSE&amp;creator=factset&amp;display_string=Audit"}</definedName>
    <definedName name="_3147__FDSAUDITLINK__" localSheetId="7" hidden="1">{"fdsup://Directions/FactSet Auditing Viewer?action=AUDIT_VALUE&amp;DB=129&amp;ID1=11162130&amp;VALUEID=02001&amp;SDATE=200402&amp;PERIODTYPE=QTR_STD&amp;SCFT=3&amp;window=popup_no_bar&amp;width=385&amp;height=120&amp;START_MAXIMIZED=FALSE&amp;creator=factset&amp;display_string=Audit"}</definedName>
    <definedName name="_3147__FDSAUDITLINK__" hidden="1">{"fdsup://Directions/FactSet Auditing Viewer?action=AUDIT_VALUE&amp;DB=129&amp;ID1=11162130&amp;VALUEID=02001&amp;SDATE=200402&amp;PERIODTYPE=QTR_STD&amp;SCFT=3&amp;window=popup_no_bar&amp;width=385&amp;height=120&amp;START_MAXIMIZED=FALSE&amp;creator=factset&amp;display_string=Audit"}</definedName>
    <definedName name="_3148__FDSAUDITLINK__" localSheetId="7" hidden="1">{"fdsup://Directions/FactSet Auditing Viewer?action=AUDIT_VALUE&amp;DB=129&amp;ID1=11162130&amp;VALUEID=02001&amp;SDATE=200402&amp;PERIODTYPE=QTR_STD&amp;SCFT=3&amp;window=popup_no_bar&amp;width=385&amp;height=120&amp;START_MAXIMIZED=FALSE&amp;creator=factset&amp;display_string=Audit"}</definedName>
    <definedName name="_3148__FDSAUDITLINK__" hidden="1">{"fdsup://Directions/FactSet Auditing Viewer?action=AUDIT_VALUE&amp;DB=129&amp;ID1=11162130&amp;VALUEID=02001&amp;SDATE=200402&amp;PERIODTYPE=QTR_STD&amp;SCFT=3&amp;window=popup_no_bar&amp;width=385&amp;height=120&amp;START_MAXIMIZED=FALSE&amp;creator=factset&amp;display_string=Audit"}</definedName>
    <definedName name="_3149__FDSAUDITLINK__" localSheetId="7" hidden="1">{"fdsup://Directions/FactSet Auditing Viewer?action=AUDIT_VALUE&amp;DB=129&amp;ID1=04743P10&amp;VALUEID=02001&amp;SDATE=200401&amp;PERIODTYPE=QTR_STD&amp;SCFT=3&amp;window=popup_no_bar&amp;width=385&amp;height=120&amp;START_MAXIMIZED=FALSE&amp;creator=factset&amp;display_string=Audit"}</definedName>
    <definedName name="_3149__FDSAUDITLINK__" hidden="1">{"fdsup://Directions/FactSet Auditing Viewer?action=AUDIT_VALUE&amp;DB=129&amp;ID1=04743P10&amp;VALUEID=02001&amp;SDATE=200401&amp;PERIODTYPE=QTR_STD&amp;SCFT=3&amp;window=popup_no_bar&amp;width=385&amp;height=120&amp;START_MAXIMIZED=FALSE&amp;creator=factset&amp;display_string=Audit"}</definedName>
    <definedName name="_315__FDSAUDITLINK__" localSheetId="7" hidden="1">{"fdsup://Directions/FactSet Auditing Viewer?action=AUDIT_VALUE&amp;DB=129&amp;ID1=78477410&amp;VALUEID=02001&amp;SDATE=201003&amp;PERIODTYPE=QTR_STD&amp;SCFT=3&amp;window=popup_no_bar&amp;width=385&amp;height=120&amp;START_MAXIMIZED=FALSE&amp;creator=factset&amp;display_string=Audit"}</definedName>
    <definedName name="_315__FDSAUDITLINK__" hidden="1">{"fdsup://Directions/FactSet Auditing Viewer?action=AUDIT_VALUE&amp;DB=129&amp;ID1=78477410&amp;VALUEID=02001&amp;SDATE=201003&amp;PERIODTYPE=QTR_STD&amp;SCFT=3&amp;window=popup_no_bar&amp;width=385&amp;height=120&amp;START_MAXIMIZED=FALSE&amp;creator=factset&amp;display_string=Audit"}</definedName>
    <definedName name="_3150__FDSAUDITLINK__" localSheetId="7" hidden="1">{"fdsup://Directions/FactSet Auditing Viewer?action=AUDIT_VALUE&amp;DB=129&amp;ID1=04743P10&amp;VALUEID=02001&amp;SDATE=200401&amp;PERIODTYPE=QTR_STD&amp;SCFT=3&amp;window=popup_no_bar&amp;width=385&amp;height=120&amp;START_MAXIMIZED=FALSE&amp;creator=factset&amp;display_string=Audit"}</definedName>
    <definedName name="_3150__FDSAUDITLINK__" hidden="1">{"fdsup://Directions/FactSet Auditing Viewer?action=AUDIT_VALUE&amp;DB=129&amp;ID1=04743P10&amp;VALUEID=02001&amp;SDATE=200401&amp;PERIODTYPE=QTR_STD&amp;SCFT=3&amp;window=popup_no_bar&amp;width=385&amp;height=120&amp;START_MAXIMIZED=FALSE&amp;creator=factset&amp;display_string=Audit"}</definedName>
    <definedName name="_3151__FDSAUDITLINK__" localSheetId="7" hidden="1">{"fdsup://Directions/FactSet Auditing Viewer?action=AUDIT_VALUE&amp;DB=129&amp;ID1=00790310&amp;VALUEID=02001&amp;SDATE=200401&amp;PERIODTYPE=QTR_STD&amp;SCFT=3&amp;window=popup_no_bar&amp;width=385&amp;height=120&amp;START_MAXIMIZED=FALSE&amp;creator=factset&amp;display_string=Audit"}</definedName>
    <definedName name="_3151__FDSAUDITLINK__" hidden="1">{"fdsup://Directions/FactSet Auditing Viewer?action=AUDIT_VALUE&amp;DB=129&amp;ID1=00790310&amp;VALUEID=02001&amp;SDATE=200401&amp;PERIODTYPE=QTR_STD&amp;SCFT=3&amp;window=popup_no_bar&amp;width=385&amp;height=120&amp;START_MAXIMIZED=FALSE&amp;creator=factset&amp;display_string=Audit"}</definedName>
    <definedName name="_3152__FDSAUDITLINK__" localSheetId="7" hidden="1">{"fdsup://Directions/FactSet Auditing Viewer?action=AUDIT_VALUE&amp;DB=129&amp;ID1=00790310&amp;VALUEID=02001&amp;SDATE=200401&amp;PERIODTYPE=QTR_STD&amp;SCFT=3&amp;window=popup_no_bar&amp;width=385&amp;height=120&amp;START_MAXIMIZED=FALSE&amp;creator=factset&amp;display_string=Audit"}</definedName>
    <definedName name="_3152__FDSAUDITLINK__" hidden="1">{"fdsup://Directions/FactSet Auditing Viewer?action=AUDIT_VALUE&amp;DB=129&amp;ID1=00790310&amp;VALUEID=02001&amp;SDATE=200401&amp;PERIODTYPE=QTR_STD&amp;SCFT=3&amp;window=popup_no_bar&amp;width=385&amp;height=120&amp;START_MAXIMIZED=FALSE&amp;creator=factset&amp;display_string=Audit"}</definedName>
    <definedName name="_3153__FDSAUDITLINK__" localSheetId="7" hidden="1">{"fdsup://Directions/FactSet Auditing Viewer?action=AUDIT_VALUE&amp;DB=129&amp;ID1=03822210&amp;VALUEID=02001&amp;SDATE=200402&amp;PERIODTYPE=QTR_STD&amp;SCFT=3&amp;window=popup_no_bar&amp;width=385&amp;height=120&amp;START_MAXIMIZED=FALSE&amp;creator=factset&amp;display_string=Audit"}</definedName>
    <definedName name="_3153__FDSAUDITLINK__" hidden="1">{"fdsup://Directions/FactSet Auditing Viewer?action=AUDIT_VALUE&amp;DB=129&amp;ID1=03822210&amp;VALUEID=02001&amp;SDATE=200402&amp;PERIODTYPE=QTR_STD&amp;SCFT=3&amp;window=popup_no_bar&amp;width=385&amp;height=120&amp;START_MAXIMIZED=FALSE&amp;creator=factset&amp;display_string=Audit"}</definedName>
    <definedName name="_3154__FDSAUDITLINK__" localSheetId="7" hidden="1">{"fdsup://Directions/FactSet Auditing Viewer?action=AUDIT_VALUE&amp;DB=129&amp;ID1=03822210&amp;VALUEID=02001&amp;SDATE=200402&amp;PERIODTYPE=QTR_STD&amp;SCFT=3&amp;window=popup_no_bar&amp;width=385&amp;height=120&amp;START_MAXIMIZED=FALSE&amp;creator=factset&amp;display_string=Audit"}</definedName>
    <definedName name="_3154__FDSAUDITLINK__" hidden="1">{"fdsup://Directions/FactSet Auditing Viewer?action=AUDIT_VALUE&amp;DB=129&amp;ID1=03822210&amp;VALUEID=02001&amp;SDATE=200402&amp;PERIODTYPE=QTR_STD&amp;SCFT=3&amp;window=popup_no_bar&amp;width=385&amp;height=120&amp;START_MAXIMIZED=FALSE&amp;creator=factset&amp;display_string=Audit"}</definedName>
    <definedName name="_3155__FDSAUDITLINK__" localSheetId="7" hidden="1">{"fdsup://Directions/FactSet Auditing Viewer?action=AUDIT_VALUE&amp;DB=129&amp;ID1=02144110&amp;VALUEID=02001&amp;SDATE=200401&amp;PERIODTYPE=QTR_STD&amp;SCFT=3&amp;window=popup_no_bar&amp;width=385&amp;height=120&amp;START_MAXIMIZED=FALSE&amp;creator=factset&amp;display_string=Audit"}</definedName>
    <definedName name="_3155__FDSAUDITLINK__" hidden="1">{"fdsup://Directions/FactSet Auditing Viewer?action=AUDIT_VALUE&amp;DB=129&amp;ID1=02144110&amp;VALUEID=02001&amp;SDATE=200401&amp;PERIODTYPE=QTR_STD&amp;SCFT=3&amp;window=popup_no_bar&amp;width=385&amp;height=120&amp;START_MAXIMIZED=FALSE&amp;creator=factset&amp;display_string=Audit"}</definedName>
    <definedName name="_3156__FDSAUDITLINK__" localSheetId="7" hidden="1">{"fdsup://Directions/FactSet Auditing Viewer?action=AUDIT_VALUE&amp;DB=129&amp;ID1=02144110&amp;VALUEID=02001&amp;SDATE=200401&amp;PERIODTYPE=QTR_STD&amp;SCFT=3&amp;window=popup_no_bar&amp;width=385&amp;height=120&amp;START_MAXIMIZED=FALSE&amp;creator=factset&amp;display_string=Audit"}</definedName>
    <definedName name="_3156__FDSAUDITLINK__" hidden="1">{"fdsup://Directions/FactSet Auditing Viewer?action=AUDIT_VALUE&amp;DB=129&amp;ID1=02144110&amp;VALUEID=02001&amp;SDATE=200401&amp;PERIODTYPE=QTR_STD&amp;SCFT=3&amp;window=popup_no_bar&amp;width=385&amp;height=120&amp;START_MAXIMIZED=FALSE&amp;creator=factset&amp;display_string=Audit"}</definedName>
    <definedName name="_3157__FDSAUDITLINK__" localSheetId="7" hidden="1">{"fdsup://Directions/FactSet Auditing Viewer?action=AUDIT_VALUE&amp;DB=129&amp;ID1=03265410&amp;VALUEID=02001&amp;SDATE=200402&amp;PERIODTYPE=QTR_STD&amp;SCFT=3&amp;window=popup_no_bar&amp;width=385&amp;height=120&amp;START_MAXIMIZED=FALSE&amp;creator=factset&amp;display_string=Audit"}</definedName>
    <definedName name="_3157__FDSAUDITLINK__" hidden="1">{"fdsup://Directions/FactSet Auditing Viewer?action=AUDIT_VALUE&amp;DB=129&amp;ID1=03265410&amp;VALUEID=02001&amp;SDATE=200402&amp;PERIODTYPE=QTR_STD&amp;SCFT=3&amp;window=popup_no_bar&amp;width=385&amp;height=120&amp;START_MAXIMIZED=FALSE&amp;creator=factset&amp;display_string=Audit"}</definedName>
    <definedName name="_3158__FDSAUDITLINK__" localSheetId="7" hidden="1">{"fdsup://Directions/FactSet Auditing Viewer?action=AUDIT_VALUE&amp;DB=129&amp;ID1=03265410&amp;VALUEID=02001&amp;SDATE=200402&amp;PERIODTYPE=QTR_STD&amp;SCFT=3&amp;window=popup_no_bar&amp;width=385&amp;height=120&amp;START_MAXIMIZED=FALSE&amp;creator=factset&amp;display_string=Audit"}</definedName>
    <definedName name="_3158__FDSAUDITLINK__" hidden="1">{"fdsup://Directions/FactSet Auditing Viewer?action=AUDIT_VALUE&amp;DB=129&amp;ID1=03265410&amp;VALUEID=02001&amp;SDATE=200402&amp;PERIODTYPE=QTR_STD&amp;SCFT=3&amp;window=popup_no_bar&amp;width=385&amp;height=120&amp;START_MAXIMIZED=FALSE&amp;creator=factset&amp;display_string=Audit"}</definedName>
    <definedName name="_3159__FDSAUDITLINK__" localSheetId="7" hidden="1">{"fdsup://Directions/FactSet Auditing Viewer?action=AUDIT_VALUE&amp;DB=129&amp;ID1=80004C10&amp;VALUEID=02001&amp;SDATE=200402&amp;PERIODTYPE=QTR_STD&amp;SCFT=3&amp;window=popup_no_bar&amp;width=385&amp;height=120&amp;START_MAXIMIZED=FALSE&amp;creator=factset&amp;display_string=Audit"}</definedName>
    <definedName name="_3159__FDSAUDITLINK__" hidden="1">{"fdsup://Directions/FactSet Auditing Viewer?action=AUDIT_VALUE&amp;DB=129&amp;ID1=80004C10&amp;VALUEID=02001&amp;SDATE=200402&amp;PERIODTYPE=QTR_STD&amp;SCFT=3&amp;window=popup_no_bar&amp;width=385&amp;height=120&amp;START_MAXIMIZED=FALSE&amp;creator=factset&amp;display_string=Audit"}</definedName>
    <definedName name="_316__FDSAUDITLINK__" localSheetId="7" hidden="1">{"fdsup://Directions/FactSet Auditing Viewer?action=AUDIT_VALUE&amp;DB=129&amp;ID1=78477410&amp;VALUEID=02001&amp;SDATE=201003&amp;PERIODTYPE=QTR_STD&amp;SCFT=3&amp;window=popup_no_bar&amp;width=385&amp;height=120&amp;START_MAXIMIZED=FALSE&amp;creator=factset&amp;display_string=Audit"}</definedName>
    <definedName name="_316__FDSAUDITLINK__" hidden="1">{"fdsup://Directions/FactSet Auditing Viewer?action=AUDIT_VALUE&amp;DB=129&amp;ID1=78477410&amp;VALUEID=02001&amp;SDATE=201003&amp;PERIODTYPE=QTR_STD&amp;SCFT=3&amp;window=popup_no_bar&amp;width=385&amp;height=120&amp;START_MAXIMIZED=FALSE&amp;creator=factset&amp;display_string=Audit"}</definedName>
    <definedName name="_3160__FDSAUDITLINK__" localSheetId="7" hidden="1">{"fdsup://Directions/FactSet Auditing Viewer?action=AUDIT_VALUE&amp;DB=129&amp;ID1=80004C10&amp;VALUEID=02001&amp;SDATE=200402&amp;PERIODTYPE=QTR_STD&amp;SCFT=3&amp;window=popup_no_bar&amp;width=385&amp;height=120&amp;START_MAXIMIZED=FALSE&amp;creator=factset&amp;display_string=Audit"}</definedName>
    <definedName name="_3160__FDSAUDITLINK__" hidden="1">{"fdsup://Directions/FactSet Auditing Viewer?action=AUDIT_VALUE&amp;DB=129&amp;ID1=80004C10&amp;VALUEID=02001&amp;SDATE=200402&amp;PERIODTYPE=QTR_STD&amp;SCFT=3&amp;window=popup_no_bar&amp;width=385&amp;height=120&amp;START_MAXIMIZED=FALSE&amp;creator=factset&amp;display_string=Audit"}</definedName>
    <definedName name="_3161__FDSAUDITLINK__" localSheetId="7" hidden="1">{"fdsup://Directions/FactSet Auditing Viewer?action=AUDIT_VALUE&amp;DB=129&amp;ID1=80004C10&amp;VALUEID=02001&amp;SDATE=200401&amp;PERIODTYPE=QTR_STD&amp;SCFT=3&amp;window=popup_no_bar&amp;width=385&amp;height=120&amp;START_MAXIMIZED=FALSE&amp;creator=factset&amp;display_string=Audit"}</definedName>
    <definedName name="_3161__FDSAUDITLINK__" hidden="1">{"fdsup://Directions/FactSet Auditing Viewer?action=AUDIT_VALUE&amp;DB=129&amp;ID1=80004C10&amp;VALUEID=02001&amp;SDATE=200401&amp;PERIODTYPE=QTR_STD&amp;SCFT=3&amp;window=popup_no_bar&amp;width=385&amp;height=120&amp;START_MAXIMIZED=FALSE&amp;creator=factset&amp;display_string=Audit"}</definedName>
    <definedName name="_3162__FDSAUDITLINK__" localSheetId="7" hidden="1">{"fdsup://Directions/FactSet Auditing Viewer?action=AUDIT_VALUE&amp;DB=129&amp;ID1=80004C10&amp;VALUEID=02001&amp;SDATE=200401&amp;PERIODTYPE=QTR_STD&amp;SCFT=3&amp;window=popup_no_bar&amp;width=385&amp;height=120&amp;START_MAXIMIZED=FALSE&amp;creator=factset&amp;display_string=Audit"}</definedName>
    <definedName name="_3162__FDSAUDITLINK__" hidden="1">{"fdsup://Directions/FactSet Auditing Viewer?action=AUDIT_VALUE&amp;DB=129&amp;ID1=80004C10&amp;VALUEID=02001&amp;SDATE=200401&amp;PERIODTYPE=QTR_STD&amp;SCFT=3&amp;window=popup_no_bar&amp;width=385&amp;height=120&amp;START_MAXIMIZED=FALSE&amp;creator=factset&amp;display_string=Audit"}</definedName>
    <definedName name="_3163__FDSAUDITLINK__" localSheetId="7" hidden="1">{"fdsup://Directions/FactSet Auditing Viewer?action=AUDIT_VALUE&amp;DB=129&amp;ID1=81685010&amp;VALUEID=02001&amp;SDATE=200801&amp;PERIODTYPE=QTR_STD&amp;SCFT=3&amp;window=popup_no_bar&amp;width=385&amp;height=120&amp;START_MAXIMIZED=FALSE&amp;creator=factset&amp;display_string=Audit"}</definedName>
    <definedName name="_3163__FDSAUDITLINK__" hidden="1">{"fdsup://Directions/FactSet Auditing Viewer?action=AUDIT_VALUE&amp;DB=129&amp;ID1=81685010&amp;VALUEID=02001&amp;SDATE=200801&amp;PERIODTYPE=QTR_STD&amp;SCFT=3&amp;window=popup_no_bar&amp;width=385&amp;height=120&amp;START_MAXIMIZED=FALSE&amp;creator=factset&amp;display_string=Audit"}</definedName>
    <definedName name="_3164__FDSAUDITLINK__" localSheetId="7" hidden="1">{"fdsup://Directions/FactSet Auditing Viewer?action=AUDIT_VALUE&amp;DB=129&amp;ID1=81685010&amp;VALUEID=02001&amp;SDATE=200801&amp;PERIODTYPE=QTR_STD&amp;SCFT=3&amp;window=popup_no_bar&amp;width=385&amp;height=120&amp;START_MAXIMIZED=FALSE&amp;creator=factset&amp;display_string=Audit"}</definedName>
    <definedName name="_3164__FDSAUDITLINK__" hidden="1">{"fdsup://Directions/FactSet Auditing Viewer?action=AUDIT_VALUE&amp;DB=129&amp;ID1=81685010&amp;VALUEID=02001&amp;SDATE=200801&amp;PERIODTYPE=QTR_STD&amp;SCFT=3&amp;window=popup_no_bar&amp;width=385&amp;height=120&amp;START_MAXIMIZED=FALSE&amp;creator=factset&amp;display_string=Audit"}</definedName>
    <definedName name="_3165__FDSAUDITLINK__" localSheetId="7" hidden="1">{"fdsup://Directions/FactSet Auditing Viewer?action=AUDIT_VALUE&amp;DB=129&amp;ID1=81685010&amp;VALUEID=02001&amp;SDATE=200703&amp;PERIODTYPE=QTR_STD&amp;SCFT=3&amp;window=popup_no_bar&amp;width=385&amp;height=120&amp;START_MAXIMIZED=FALSE&amp;creator=factset&amp;display_string=Audit"}</definedName>
    <definedName name="_3165__FDSAUDITLINK__" hidden="1">{"fdsup://Directions/FactSet Auditing Viewer?action=AUDIT_VALUE&amp;DB=129&amp;ID1=81685010&amp;VALUEID=02001&amp;SDATE=200703&amp;PERIODTYPE=QTR_STD&amp;SCFT=3&amp;window=popup_no_bar&amp;width=385&amp;height=120&amp;START_MAXIMIZED=FALSE&amp;creator=factset&amp;display_string=Audit"}</definedName>
    <definedName name="_3166__FDSAUDITLINK__" localSheetId="7" hidden="1">{"fdsup://Directions/FactSet Auditing Viewer?action=AUDIT_VALUE&amp;DB=129&amp;ID1=81685010&amp;VALUEID=02001&amp;SDATE=200703&amp;PERIODTYPE=QTR_STD&amp;SCFT=3&amp;window=popup_no_bar&amp;width=385&amp;height=120&amp;START_MAXIMIZED=FALSE&amp;creator=factset&amp;display_string=Audit"}</definedName>
    <definedName name="_3166__FDSAUDITLINK__" hidden="1">{"fdsup://Directions/FactSet Auditing Viewer?action=AUDIT_VALUE&amp;DB=129&amp;ID1=81685010&amp;VALUEID=02001&amp;SDATE=200703&amp;PERIODTYPE=QTR_STD&amp;SCFT=3&amp;window=popup_no_bar&amp;width=385&amp;height=120&amp;START_MAXIMIZED=FALSE&amp;creator=factset&amp;display_string=Audit"}</definedName>
    <definedName name="_3167__FDSAUDITLINK__" localSheetId="7" hidden="1">{"fdsup://Directions/FactSet Auditing Viewer?action=AUDIT_VALUE&amp;DB=129&amp;ID1=81685010&amp;VALUEID=02001&amp;SDATE=200702&amp;PERIODTYPE=QTR_STD&amp;SCFT=3&amp;window=popup_no_bar&amp;width=385&amp;height=120&amp;START_MAXIMIZED=FALSE&amp;creator=factset&amp;display_string=Audit"}</definedName>
    <definedName name="_3167__FDSAUDITLINK__" hidden="1">{"fdsup://Directions/FactSet Auditing Viewer?action=AUDIT_VALUE&amp;DB=129&amp;ID1=81685010&amp;VALUEID=02001&amp;SDATE=200702&amp;PERIODTYPE=QTR_STD&amp;SCFT=3&amp;window=popup_no_bar&amp;width=385&amp;height=120&amp;START_MAXIMIZED=FALSE&amp;creator=factset&amp;display_string=Audit"}</definedName>
    <definedName name="_3168__FDSAUDITLINK__" localSheetId="7" hidden="1">{"fdsup://Directions/FactSet Auditing Viewer?action=AUDIT_VALUE&amp;DB=129&amp;ID1=81685010&amp;VALUEID=02001&amp;SDATE=200702&amp;PERIODTYPE=QTR_STD&amp;SCFT=3&amp;window=popup_no_bar&amp;width=385&amp;height=120&amp;START_MAXIMIZED=FALSE&amp;creator=factset&amp;display_string=Audit"}</definedName>
    <definedName name="_3168__FDSAUDITLINK__" hidden="1">{"fdsup://Directions/FactSet Auditing Viewer?action=AUDIT_VALUE&amp;DB=129&amp;ID1=81685010&amp;VALUEID=02001&amp;SDATE=200702&amp;PERIODTYPE=QTR_STD&amp;SCFT=3&amp;window=popup_no_bar&amp;width=385&amp;height=120&amp;START_MAXIMIZED=FALSE&amp;creator=factset&amp;display_string=Audit"}</definedName>
    <definedName name="_3169__FDSAUDITLINK__" localSheetId="7" hidden="1">{"fdsup://Directions/FactSet Auditing Viewer?action=AUDIT_VALUE&amp;DB=129&amp;ID1=81685010&amp;VALUEID=02001&amp;SDATE=200701&amp;PERIODTYPE=QTR_STD&amp;SCFT=3&amp;window=popup_no_bar&amp;width=385&amp;height=120&amp;START_MAXIMIZED=FALSE&amp;creator=factset&amp;display_string=Audit"}</definedName>
    <definedName name="_3169__FDSAUDITLINK__" hidden="1">{"fdsup://Directions/FactSet Auditing Viewer?action=AUDIT_VALUE&amp;DB=129&amp;ID1=81685010&amp;VALUEID=02001&amp;SDATE=200701&amp;PERIODTYPE=QTR_STD&amp;SCFT=3&amp;window=popup_no_bar&amp;width=385&amp;height=120&amp;START_MAXIMIZED=FALSE&amp;creator=factset&amp;display_string=Audit"}</definedName>
    <definedName name="_317__FDSAUDITLINK__" localSheetId="7" hidden="1">{"fdsup://Directions/FactSet Auditing Viewer?action=AUDIT_VALUE&amp;DB=129&amp;ID1=87160710&amp;VALUEID=02001&amp;SDATE=201004&amp;PERIODTYPE=QTR_STD&amp;SCFT=3&amp;window=popup_no_bar&amp;width=385&amp;height=120&amp;START_MAXIMIZED=FALSE&amp;creator=factset&amp;display_string=Audit"}</definedName>
    <definedName name="_317__FDSAUDITLINK__" hidden="1">{"fdsup://Directions/FactSet Auditing Viewer?action=AUDIT_VALUE&amp;DB=129&amp;ID1=87160710&amp;VALUEID=02001&amp;SDATE=201004&amp;PERIODTYPE=QTR_STD&amp;SCFT=3&amp;window=popup_no_bar&amp;width=385&amp;height=120&amp;START_MAXIMIZED=FALSE&amp;creator=factset&amp;display_string=Audit"}</definedName>
    <definedName name="_3170__FDSAUDITLINK__" localSheetId="7" hidden="1">{"fdsup://Directions/FactSet Auditing Viewer?action=AUDIT_VALUE&amp;DB=129&amp;ID1=81685010&amp;VALUEID=02001&amp;SDATE=200701&amp;PERIODTYPE=QTR_STD&amp;SCFT=3&amp;window=popup_no_bar&amp;width=385&amp;height=120&amp;START_MAXIMIZED=FALSE&amp;creator=factset&amp;display_string=Audit"}</definedName>
    <definedName name="_3170__FDSAUDITLINK__" hidden="1">{"fdsup://Directions/FactSet Auditing Viewer?action=AUDIT_VALUE&amp;DB=129&amp;ID1=81685010&amp;VALUEID=02001&amp;SDATE=200701&amp;PERIODTYPE=QTR_STD&amp;SCFT=3&amp;window=popup_no_bar&amp;width=385&amp;height=120&amp;START_MAXIMIZED=FALSE&amp;creator=factset&amp;display_string=Audit"}</definedName>
    <definedName name="_3171__FDSAUDITLINK__" localSheetId="7" hidden="1">{"fdsup://Directions/FactSet Auditing Viewer?action=AUDIT_VALUE&amp;DB=129&amp;ID1=81685010&amp;VALUEID=02001&amp;SDATE=200603&amp;PERIODTYPE=QTR_STD&amp;SCFT=3&amp;window=popup_no_bar&amp;width=385&amp;height=120&amp;START_MAXIMIZED=FALSE&amp;creator=factset&amp;display_string=Audit"}</definedName>
    <definedName name="_3171__FDSAUDITLINK__" hidden="1">{"fdsup://Directions/FactSet Auditing Viewer?action=AUDIT_VALUE&amp;DB=129&amp;ID1=81685010&amp;VALUEID=02001&amp;SDATE=200603&amp;PERIODTYPE=QTR_STD&amp;SCFT=3&amp;window=popup_no_bar&amp;width=385&amp;height=120&amp;START_MAXIMIZED=FALSE&amp;creator=factset&amp;display_string=Audit"}</definedName>
    <definedName name="_3172__FDSAUDITLINK__" localSheetId="7" hidden="1">{"fdsup://Directions/FactSet Auditing Viewer?action=AUDIT_VALUE&amp;DB=129&amp;ID1=81685010&amp;VALUEID=02001&amp;SDATE=200603&amp;PERIODTYPE=QTR_STD&amp;SCFT=3&amp;window=popup_no_bar&amp;width=385&amp;height=120&amp;START_MAXIMIZED=FALSE&amp;creator=factset&amp;display_string=Audit"}</definedName>
    <definedName name="_3172__FDSAUDITLINK__" hidden="1">{"fdsup://Directions/FactSet Auditing Viewer?action=AUDIT_VALUE&amp;DB=129&amp;ID1=81685010&amp;VALUEID=02001&amp;SDATE=200603&amp;PERIODTYPE=QTR_STD&amp;SCFT=3&amp;window=popup_no_bar&amp;width=385&amp;height=120&amp;START_MAXIMIZED=FALSE&amp;creator=factset&amp;display_string=Audit"}</definedName>
    <definedName name="_3173__FDSAUDITLINK__" localSheetId="7" hidden="1">{"fdsup://Directions/FactSet Auditing Viewer?action=AUDIT_VALUE&amp;DB=129&amp;ID1=81685010&amp;VALUEID=02001&amp;SDATE=200602&amp;PERIODTYPE=QTR_STD&amp;SCFT=3&amp;window=popup_no_bar&amp;width=385&amp;height=120&amp;START_MAXIMIZED=FALSE&amp;creator=factset&amp;display_string=Audit"}</definedName>
    <definedName name="_3173__FDSAUDITLINK__" hidden="1">{"fdsup://Directions/FactSet Auditing Viewer?action=AUDIT_VALUE&amp;DB=129&amp;ID1=81685010&amp;VALUEID=02001&amp;SDATE=200602&amp;PERIODTYPE=QTR_STD&amp;SCFT=3&amp;window=popup_no_bar&amp;width=385&amp;height=120&amp;START_MAXIMIZED=FALSE&amp;creator=factset&amp;display_string=Audit"}</definedName>
    <definedName name="_3174__FDSAUDITLINK__" localSheetId="7" hidden="1">{"fdsup://Directions/FactSet Auditing Viewer?action=AUDIT_VALUE&amp;DB=129&amp;ID1=81685010&amp;VALUEID=02001&amp;SDATE=200602&amp;PERIODTYPE=QTR_STD&amp;SCFT=3&amp;window=popup_no_bar&amp;width=385&amp;height=120&amp;START_MAXIMIZED=FALSE&amp;creator=factset&amp;display_string=Audit"}</definedName>
    <definedName name="_3174__FDSAUDITLINK__" hidden="1">{"fdsup://Directions/FactSet Auditing Viewer?action=AUDIT_VALUE&amp;DB=129&amp;ID1=81685010&amp;VALUEID=02001&amp;SDATE=200602&amp;PERIODTYPE=QTR_STD&amp;SCFT=3&amp;window=popup_no_bar&amp;width=385&amp;height=120&amp;START_MAXIMIZED=FALSE&amp;creator=factset&amp;display_string=Audit"}</definedName>
    <definedName name="_3175__FDSAUDITLINK__" localSheetId="7" hidden="1">{"fdsup://Directions/FactSet Auditing Viewer?action=AUDIT_VALUE&amp;DB=129&amp;ID1=81685010&amp;VALUEID=02001&amp;SDATE=200601&amp;PERIODTYPE=QTR_STD&amp;SCFT=3&amp;window=popup_no_bar&amp;width=385&amp;height=120&amp;START_MAXIMIZED=FALSE&amp;creator=factset&amp;display_string=Audit"}</definedName>
    <definedName name="_3175__FDSAUDITLINK__" hidden="1">{"fdsup://Directions/FactSet Auditing Viewer?action=AUDIT_VALUE&amp;DB=129&amp;ID1=81685010&amp;VALUEID=02001&amp;SDATE=200601&amp;PERIODTYPE=QTR_STD&amp;SCFT=3&amp;window=popup_no_bar&amp;width=385&amp;height=120&amp;START_MAXIMIZED=FALSE&amp;creator=factset&amp;display_string=Audit"}</definedName>
    <definedName name="_3176__FDSAUDITLINK__" localSheetId="7" hidden="1">{"fdsup://Directions/FactSet Auditing Viewer?action=AUDIT_VALUE&amp;DB=129&amp;ID1=81685010&amp;VALUEID=02001&amp;SDATE=200601&amp;PERIODTYPE=QTR_STD&amp;SCFT=3&amp;window=popup_no_bar&amp;width=385&amp;height=120&amp;START_MAXIMIZED=FALSE&amp;creator=factset&amp;display_string=Audit"}</definedName>
    <definedName name="_3176__FDSAUDITLINK__" hidden="1">{"fdsup://Directions/FactSet Auditing Viewer?action=AUDIT_VALUE&amp;DB=129&amp;ID1=81685010&amp;VALUEID=02001&amp;SDATE=200601&amp;PERIODTYPE=QTR_STD&amp;SCFT=3&amp;window=popup_no_bar&amp;width=385&amp;height=120&amp;START_MAXIMIZED=FALSE&amp;creator=factset&amp;display_string=Audit"}</definedName>
    <definedName name="_3177__FDSAUDITLINK__" localSheetId="7" hidden="1">{"fdsup://Directions/FactSet Auditing Viewer?action=AUDIT_VALUE&amp;DB=129&amp;ID1=81685010&amp;VALUEID=02001&amp;SDATE=200503&amp;PERIODTYPE=QTR_STD&amp;SCFT=3&amp;window=popup_no_bar&amp;width=385&amp;height=120&amp;START_MAXIMIZED=FALSE&amp;creator=factset&amp;display_string=Audit"}</definedName>
    <definedName name="_3177__FDSAUDITLINK__" hidden="1">{"fdsup://Directions/FactSet Auditing Viewer?action=AUDIT_VALUE&amp;DB=129&amp;ID1=81685010&amp;VALUEID=02001&amp;SDATE=200503&amp;PERIODTYPE=QTR_STD&amp;SCFT=3&amp;window=popup_no_bar&amp;width=385&amp;height=120&amp;START_MAXIMIZED=FALSE&amp;creator=factset&amp;display_string=Audit"}</definedName>
    <definedName name="_3178__FDSAUDITLINK__" localSheetId="7" hidden="1">{"fdsup://Directions/FactSet Auditing Viewer?action=AUDIT_VALUE&amp;DB=129&amp;ID1=81685010&amp;VALUEID=02001&amp;SDATE=200503&amp;PERIODTYPE=QTR_STD&amp;SCFT=3&amp;window=popup_no_bar&amp;width=385&amp;height=120&amp;START_MAXIMIZED=FALSE&amp;creator=factset&amp;display_string=Audit"}</definedName>
    <definedName name="_3178__FDSAUDITLINK__" hidden="1">{"fdsup://Directions/FactSet Auditing Viewer?action=AUDIT_VALUE&amp;DB=129&amp;ID1=81685010&amp;VALUEID=02001&amp;SDATE=200503&amp;PERIODTYPE=QTR_STD&amp;SCFT=3&amp;window=popup_no_bar&amp;width=385&amp;height=120&amp;START_MAXIMIZED=FALSE&amp;creator=factset&amp;display_string=Audit"}</definedName>
    <definedName name="_3179__FDSAUDITLINK__" localSheetId="7" hidden="1">{"fdsup://Directions/FactSet Auditing Viewer?action=AUDIT_VALUE&amp;DB=129&amp;ID1=81685010&amp;VALUEID=02001&amp;SDATE=200502&amp;PERIODTYPE=QTR_STD&amp;SCFT=3&amp;window=popup_no_bar&amp;width=385&amp;height=120&amp;START_MAXIMIZED=FALSE&amp;creator=factset&amp;display_string=Audit"}</definedName>
    <definedName name="_3179__FDSAUDITLINK__" hidden="1">{"fdsup://Directions/FactSet Auditing Viewer?action=AUDIT_VALUE&amp;DB=129&amp;ID1=81685010&amp;VALUEID=02001&amp;SDATE=200502&amp;PERIODTYPE=QTR_STD&amp;SCFT=3&amp;window=popup_no_bar&amp;width=385&amp;height=120&amp;START_MAXIMIZED=FALSE&amp;creator=factset&amp;display_string=Audit"}</definedName>
    <definedName name="_318__FDSAUDITLINK__" localSheetId="7" hidden="1">{"fdsup://Directions/FactSet Auditing Viewer?action=AUDIT_VALUE&amp;DB=129&amp;ID1=87160710&amp;VALUEID=02001&amp;SDATE=201004&amp;PERIODTYPE=QTR_STD&amp;SCFT=3&amp;window=popup_no_bar&amp;width=385&amp;height=120&amp;START_MAXIMIZED=FALSE&amp;creator=factset&amp;display_string=Audit"}</definedName>
    <definedName name="_318__FDSAUDITLINK__" hidden="1">{"fdsup://Directions/FactSet Auditing Viewer?action=AUDIT_VALUE&amp;DB=129&amp;ID1=87160710&amp;VALUEID=02001&amp;SDATE=201004&amp;PERIODTYPE=QTR_STD&amp;SCFT=3&amp;window=popup_no_bar&amp;width=385&amp;height=120&amp;START_MAXIMIZED=FALSE&amp;creator=factset&amp;display_string=Audit"}</definedName>
    <definedName name="_3180__FDSAUDITLINK__" localSheetId="7" hidden="1">{"fdsup://Directions/FactSet Auditing Viewer?action=AUDIT_VALUE&amp;DB=129&amp;ID1=81685010&amp;VALUEID=02001&amp;SDATE=200502&amp;PERIODTYPE=QTR_STD&amp;SCFT=3&amp;window=popup_no_bar&amp;width=385&amp;height=120&amp;START_MAXIMIZED=FALSE&amp;creator=factset&amp;display_string=Audit"}</definedName>
    <definedName name="_3180__FDSAUDITLINK__" hidden="1">{"fdsup://Directions/FactSet Auditing Viewer?action=AUDIT_VALUE&amp;DB=129&amp;ID1=81685010&amp;VALUEID=02001&amp;SDATE=200502&amp;PERIODTYPE=QTR_STD&amp;SCFT=3&amp;window=popup_no_bar&amp;width=385&amp;height=120&amp;START_MAXIMIZED=FALSE&amp;creator=factset&amp;display_string=Audit"}</definedName>
    <definedName name="_3181__FDSAUDITLINK__" localSheetId="7" hidden="1">{"fdsup://Directions/FactSet Auditing Viewer?action=AUDIT_VALUE&amp;DB=129&amp;ID1=81685010&amp;VALUEID=02001&amp;SDATE=200501&amp;PERIODTYPE=QTR_STD&amp;SCFT=3&amp;window=popup_no_bar&amp;width=385&amp;height=120&amp;START_MAXIMIZED=FALSE&amp;creator=factset&amp;display_string=Audit"}</definedName>
    <definedName name="_3181__FDSAUDITLINK__" hidden="1">{"fdsup://Directions/FactSet Auditing Viewer?action=AUDIT_VALUE&amp;DB=129&amp;ID1=81685010&amp;VALUEID=02001&amp;SDATE=200501&amp;PERIODTYPE=QTR_STD&amp;SCFT=3&amp;window=popup_no_bar&amp;width=385&amp;height=120&amp;START_MAXIMIZED=FALSE&amp;creator=factset&amp;display_string=Audit"}</definedName>
    <definedName name="_3182__FDSAUDITLINK__" localSheetId="7" hidden="1">{"fdsup://Directions/FactSet Auditing Viewer?action=AUDIT_VALUE&amp;DB=129&amp;ID1=81685010&amp;VALUEID=02001&amp;SDATE=200501&amp;PERIODTYPE=QTR_STD&amp;SCFT=3&amp;window=popup_no_bar&amp;width=385&amp;height=120&amp;START_MAXIMIZED=FALSE&amp;creator=factset&amp;display_string=Audit"}</definedName>
    <definedName name="_3182__FDSAUDITLINK__" hidden="1">{"fdsup://Directions/FactSet Auditing Viewer?action=AUDIT_VALUE&amp;DB=129&amp;ID1=81685010&amp;VALUEID=02001&amp;SDATE=200501&amp;PERIODTYPE=QTR_STD&amp;SCFT=3&amp;window=popup_no_bar&amp;width=385&amp;height=120&amp;START_MAXIMIZED=FALSE&amp;creator=factset&amp;display_string=Audit"}</definedName>
    <definedName name="_3183__FDSAUDITLINK__" localSheetId="7" hidden="1">{"fdsup://Directions/FactSet Auditing Viewer?action=AUDIT_VALUE&amp;DB=129&amp;ID1=81685010&amp;VALUEID=02001&amp;SDATE=200403&amp;PERIODTYPE=QTR_STD&amp;SCFT=3&amp;window=popup_no_bar&amp;width=385&amp;height=120&amp;START_MAXIMIZED=FALSE&amp;creator=factset&amp;display_string=Audit"}</definedName>
    <definedName name="_3183__FDSAUDITLINK__" hidden="1">{"fdsup://Directions/FactSet Auditing Viewer?action=AUDIT_VALUE&amp;DB=129&amp;ID1=81685010&amp;VALUEID=02001&amp;SDATE=200403&amp;PERIODTYPE=QTR_STD&amp;SCFT=3&amp;window=popup_no_bar&amp;width=385&amp;height=120&amp;START_MAXIMIZED=FALSE&amp;creator=factset&amp;display_string=Audit"}</definedName>
    <definedName name="_3184__FDSAUDITLINK__" localSheetId="7" hidden="1">{"fdsup://Directions/FactSet Auditing Viewer?action=AUDIT_VALUE&amp;DB=129&amp;ID1=81685010&amp;VALUEID=02001&amp;SDATE=200403&amp;PERIODTYPE=QTR_STD&amp;SCFT=3&amp;window=popup_no_bar&amp;width=385&amp;height=120&amp;START_MAXIMIZED=FALSE&amp;creator=factset&amp;display_string=Audit"}</definedName>
    <definedName name="_3184__FDSAUDITLINK__" hidden="1">{"fdsup://Directions/FactSet Auditing Viewer?action=AUDIT_VALUE&amp;DB=129&amp;ID1=81685010&amp;VALUEID=02001&amp;SDATE=200403&amp;PERIODTYPE=QTR_STD&amp;SCFT=3&amp;window=popup_no_bar&amp;width=385&amp;height=120&amp;START_MAXIMIZED=FALSE&amp;creator=factset&amp;display_string=Audit"}</definedName>
    <definedName name="_3185__FDSAUDITLINK__" localSheetId="7" hidden="1">{"fdsup://Directions/FactSet Auditing Viewer?action=AUDIT_VALUE&amp;DB=129&amp;ID1=81685010&amp;VALUEID=02001&amp;SDATE=200402&amp;PERIODTYPE=QTR_STD&amp;SCFT=3&amp;window=popup_no_bar&amp;width=385&amp;height=120&amp;START_MAXIMIZED=FALSE&amp;creator=factset&amp;display_string=Audit"}</definedName>
    <definedName name="_3185__FDSAUDITLINK__" hidden="1">{"fdsup://Directions/FactSet Auditing Viewer?action=AUDIT_VALUE&amp;DB=129&amp;ID1=81685010&amp;VALUEID=02001&amp;SDATE=200402&amp;PERIODTYPE=QTR_STD&amp;SCFT=3&amp;window=popup_no_bar&amp;width=385&amp;height=120&amp;START_MAXIMIZED=FALSE&amp;creator=factset&amp;display_string=Audit"}</definedName>
    <definedName name="_3186__FDSAUDITLINK__" localSheetId="7" hidden="1">{"fdsup://Directions/FactSet Auditing Viewer?action=AUDIT_VALUE&amp;DB=129&amp;ID1=81685010&amp;VALUEID=02001&amp;SDATE=200402&amp;PERIODTYPE=QTR_STD&amp;SCFT=3&amp;window=popup_no_bar&amp;width=385&amp;height=120&amp;START_MAXIMIZED=FALSE&amp;creator=factset&amp;display_string=Audit"}</definedName>
    <definedName name="_3186__FDSAUDITLINK__" hidden="1">{"fdsup://Directions/FactSet Auditing Viewer?action=AUDIT_VALUE&amp;DB=129&amp;ID1=81685010&amp;VALUEID=02001&amp;SDATE=200402&amp;PERIODTYPE=QTR_STD&amp;SCFT=3&amp;window=popup_no_bar&amp;width=385&amp;height=120&amp;START_MAXIMIZED=FALSE&amp;creator=factset&amp;display_string=Audit"}</definedName>
    <definedName name="_3187__FDSAUDITLINK__" localSheetId="7" hidden="1">{"fdsup://Directions/FactSet Auditing Viewer?action=AUDIT_VALUE&amp;DB=129&amp;ID1=81685010&amp;VALUEID=02001&amp;SDATE=200401&amp;PERIODTYPE=QTR_STD&amp;SCFT=3&amp;window=popup_no_bar&amp;width=385&amp;height=120&amp;START_MAXIMIZED=FALSE&amp;creator=factset&amp;display_string=Audit"}</definedName>
    <definedName name="_3187__FDSAUDITLINK__" hidden="1">{"fdsup://Directions/FactSet Auditing Viewer?action=AUDIT_VALUE&amp;DB=129&amp;ID1=81685010&amp;VALUEID=02001&amp;SDATE=200401&amp;PERIODTYPE=QTR_STD&amp;SCFT=3&amp;window=popup_no_bar&amp;width=385&amp;height=120&amp;START_MAXIMIZED=FALSE&amp;creator=factset&amp;display_string=Audit"}</definedName>
    <definedName name="_3188__FDSAUDITLINK__" localSheetId="7" hidden="1">{"fdsup://Directions/FactSet Auditing Viewer?action=AUDIT_VALUE&amp;DB=129&amp;ID1=81685010&amp;VALUEID=02001&amp;SDATE=200401&amp;PERIODTYPE=QTR_STD&amp;SCFT=3&amp;window=popup_no_bar&amp;width=385&amp;height=120&amp;START_MAXIMIZED=FALSE&amp;creator=factset&amp;display_string=Audit"}</definedName>
    <definedName name="_3188__FDSAUDITLINK__" hidden="1">{"fdsup://Directions/FactSet Auditing Viewer?action=AUDIT_VALUE&amp;DB=129&amp;ID1=81685010&amp;VALUEID=02001&amp;SDATE=200401&amp;PERIODTYPE=QTR_STD&amp;SCFT=3&amp;window=popup_no_bar&amp;width=385&amp;height=120&amp;START_MAXIMIZED=FALSE&amp;creator=factset&amp;display_string=Audit"}</definedName>
    <definedName name="_3189__FDSAUDITLINK__" localSheetId="7" hidden="1">{"fdsup://Directions/FactSet Auditing Viewer?action=AUDIT_VALUE&amp;DB=129&amp;ID1=82691910&amp;VALUEID=02001&amp;SDATE=200801&amp;PERIODTYPE=QTR_STD&amp;SCFT=3&amp;window=popup_no_bar&amp;width=385&amp;height=120&amp;START_MAXIMIZED=FALSE&amp;creator=factset&amp;display_string=Audit"}</definedName>
    <definedName name="_3189__FDSAUDITLINK__" hidden="1">{"fdsup://Directions/FactSet Auditing Viewer?action=AUDIT_VALUE&amp;DB=129&amp;ID1=82691910&amp;VALUEID=02001&amp;SDATE=200801&amp;PERIODTYPE=QTR_STD&amp;SCFT=3&amp;window=popup_no_bar&amp;width=385&amp;height=120&amp;START_MAXIMIZED=FALSE&amp;creator=factset&amp;display_string=Audit"}</definedName>
    <definedName name="_319__FDSAUDITLINK__" localSheetId="7" hidden="1">{"fdsup://Directions/FactSet Auditing Viewer?action=AUDIT_VALUE&amp;DB=129&amp;ID1=80004C10&amp;VALUEID=02001&amp;SDATE=201003&amp;PERIODTYPE=QTR_STD&amp;SCFT=3&amp;window=popup_no_bar&amp;width=385&amp;height=120&amp;START_MAXIMIZED=FALSE&amp;creator=factset&amp;display_string=Audit"}</definedName>
    <definedName name="_319__FDSAUDITLINK__" hidden="1">{"fdsup://Directions/FactSet Auditing Viewer?action=AUDIT_VALUE&amp;DB=129&amp;ID1=80004C10&amp;VALUEID=02001&amp;SDATE=201003&amp;PERIODTYPE=QTR_STD&amp;SCFT=3&amp;window=popup_no_bar&amp;width=385&amp;height=120&amp;START_MAXIMIZED=FALSE&amp;creator=factset&amp;display_string=Audit"}</definedName>
    <definedName name="_3190__FDSAUDITLINK__" localSheetId="7" hidden="1">{"fdsup://Directions/FactSet Auditing Viewer?action=AUDIT_VALUE&amp;DB=129&amp;ID1=82691910&amp;VALUEID=02001&amp;SDATE=200801&amp;PERIODTYPE=QTR_STD&amp;SCFT=3&amp;window=popup_no_bar&amp;width=385&amp;height=120&amp;START_MAXIMIZED=FALSE&amp;creator=factset&amp;display_string=Audit"}</definedName>
    <definedName name="_3190__FDSAUDITLINK__" hidden="1">{"fdsup://Directions/FactSet Auditing Viewer?action=AUDIT_VALUE&amp;DB=129&amp;ID1=82691910&amp;VALUEID=02001&amp;SDATE=200801&amp;PERIODTYPE=QTR_STD&amp;SCFT=3&amp;window=popup_no_bar&amp;width=385&amp;height=120&amp;START_MAXIMIZED=FALSE&amp;creator=factset&amp;display_string=Audit"}</definedName>
    <definedName name="_3191__FDSAUDITLINK__" localSheetId="7" hidden="1">{"fdsup://Directions/FactSet Auditing Viewer?action=AUDIT_VALUE&amp;DB=129&amp;ID1=82691910&amp;VALUEID=02001&amp;SDATE=200703&amp;PERIODTYPE=QTR_STD&amp;SCFT=3&amp;window=popup_no_bar&amp;width=385&amp;height=120&amp;START_MAXIMIZED=FALSE&amp;creator=factset&amp;display_string=Audit"}</definedName>
    <definedName name="_3191__FDSAUDITLINK__" hidden="1">{"fdsup://Directions/FactSet Auditing Viewer?action=AUDIT_VALUE&amp;DB=129&amp;ID1=82691910&amp;VALUEID=02001&amp;SDATE=200703&amp;PERIODTYPE=QTR_STD&amp;SCFT=3&amp;window=popup_no_bar&amp;width=385&amp;height=120&amp;START_MAXIMIZED=FALSE&amp;creator=factset&amp;display_string=Audit"}</definedName>
    <definedName name="_3192__FDSAUDITLINK__" localSheetId="7" hidden="1">{"fdsup://Directions/FactSet Auditing Viewer?action=AUDIT_VALUE&amp;DB=129&amp;ID1=82691910&amp;VALUEID=02001&amp;SDATE=200703&amp;PERIODTYPE=QTR_STD&amp;SCFT=3&amp;window=popup_no_bar&amp;width=385&amp;height=120&amp;START_MAXIMIZED=FALSE&amp;creator=factset&amp;display_string=Audit"}</definedName>
    <definedName name="_3192__FDSAUDITLINK__" hidden="1">{"fdsup://Directions/FactSet Auditing Viewer?action=AUDIT_VALUE&amp;DB=129&amp;ID1=82691910&amp;VALUEID=02001&amp;SDATE=200703&amp;PERIODTYPE=QTR_STD&amp;SCFT=3&amp;window=popup_no_bar&amp;width=385&amp;height=120&amp;START_MAXIMIZED=FALSE&amp;creator=factset&amp;display_string=Audit"}</definedName>
    <definedName name="_3193__FDSAUDITLINK__" localSheetId="7" hidden="1">{"fdsup://Directions/FactSet Auditing Viewer?action=AUDIT_VALUE&amp;DB=129&amp;ID1=82691910&amp;VALUEID=02001&amp;SDATE=200702&amp;PERIODTYPE=QTR_STD&amp;SCFT=3&amp;window=popup_no_bar&amp;width=385&amp;height=120&amp;START_MAXIMIZED=FALSE&amp;creator=factset&amp;display_string=Audit"}</definedName>
    <definedName name="_3193__FDSAUDITLINK__" hidden="1">{"fdsup://Directions/FactSet Auditing Viewer?action=AUDIT_VALUE&amp;DB=129&amp;ID1=82691910&amp;VALUEID=02001&amp;SDATE=200702&amp;PERIODTYPE=QTR_STD&amp;SCFT=3&amp;window=popup_no_bar&amp;width=385&amp;height=120&amp;START_MAXIMIZED=FALSE&amp;creator=factset&amp;display_string=Audit"}</definedName>
    <definedName name="_3194__FDSAUDITLINK__" localSheetId="7" hidden="1">{"fdsup://Directions/FactSet Auditing Viewer?action=AUDIT_VALUE&amp;DB=129&amp;ID1=82691910&amp;VALUEID=02001&amp;SDATE=200702&amp;PERIODTYPE=QTR_STD&amp;SCFT=3&amp;window=popup_no_bar&amp;width=385&amp;height=120&amp;START_MAXIMIZED=FALSE&amp;creator=factset&amp;display_string=Audit"}</definedName>
    <definedName name="_3194__FDSAUDITLINK__" hidden="1">{"fdsup://Directions/FactSet Auditing Viewer?action=AUDIT_VALUE&amp;DB=129&amp;ID1=82691910&amp;VALUEID=02001&amp;SDATE=200702&amp;PERIODTYPE=QTR_STD&amp;SCFT=3&amp;window=popup_no_bar&amp;width=385&amp;height=120&amp;START_MAXIMIZED=FALSE&amp;creator=factset&amp;display_string=Audit"}</definedName>
    <definedName name="_3195__FDSAUDITLINK__" localSheetId="7" hidden="1">{"fdsup://Directions/FactSet Auditing Viewer?action=AUDIT_VALUE&amp;DB=129&amp;ID1=82691910&amp;VALUEID=02001&amp;SDATE=200701&amp;PERIODTYPE=QTR_STD&amp;SCFT=3&amp;window=popup_no_bar&amp;width=385&amp;height=120&amp;START_MAXIMIZED=FALSE&amp;creator=factset&amp;display_string=Audit"}</definedName>
    <definedName name="_3195__FDSAUDITLINK__" hidden="1">{"fdsup://Directions/FactSet Auditing Viewer?action=AUDIT_VALUE&amp;DB=129&amp;ID1=82691910&amp;VALUEID=02001&amp;SDATE=200701&amp;PERIODTYPE=QTR_STD&amp;SCFT=3&amp;window=popup_no_bar&amp;width=385&amp;height=120&amp;START_MAXIMIZED=FALSE&amp;creator=factset&amp;display_string=Audit"}</definedName>
    <definedName name="_3196__FDSAUDITLINK__" localSheetId="7" hidden="1">{"fdsup://Directions/FactSet Auditing Viewer?action=AUDIT_VALUE&amp;DB=129&amp;ID1=82691910&amp;VALUEID=02001&amp;SDATE=200701&amp;PERIODTYPE=QTR_STD&amp;SCFT=3&amp;window=popup_no_bar&amp;width=385&amp;height=120&amp;START_MAXIMIZED=FALSE&amp;creator=factset&amp;display_string=Audit"}</definedName>
    <definedName name="_3196__FDSAUDITLINK__" hidden="1">{"fdsup://Directions/FactSet Auditing Viewer?action=AUDIT_VALUE&amp;DB=129&amp;ID1=82691910&amp;VALUEID=02001&amp;SDATE=200701&amp;PERIODTYPE=QTR_STD&amp;SCFT=3&amp;window=popup_no_bar&amp;width=385&amp;height=120&amp;START_MAXIMIZED=FALSE&amp;creator=factset&amp;display_string=Audit"}</definedName>
    <definedName name="_3197__FDSAUDITLINK__" localSheetId="7" hidden="1">{"fdsup://Directions/FactSet Auditing Viewer?action=AUDIT_VALUE&amp;DB=129&amp;ID1=82691910&amp;VALUEID=02001&amp;SDATE=200603&amp;PERIODTYPE=QTR_STD&amp;SCFT=3&amp;window=popup_no_bar&amp;width=385&amp;height=120&amp;START_MAXIMIZED=FALSE&amp;creator=factset&amp;display_string=Audit"}</definedName>
    <definedName name="_3197__FDSAUDITLINK__" hidden="1">{"fdsup://Directions/FactSet Auditing Viewer?action=AUDIT_VALUE&amp;DB=129&amp;ID1=82691910&amp;VALUEID=02001&amp;SDATE=200603&amp;PERIODTYPE=QTR_STD&amp;SCFT=3&amp;window=popup_no_bar&amp;width=385&amp;height=120&amp;START_MAXIMIZED=FALSE&amp;creator=factset&amp;display_string=Audit"}</definedName>
    <definedName name="_3198__FDSAUDITLINK__" localSheetId="7" hidden="1">{"fdsup://Directions/FactSet Auditing Viewer?action=AUDIT_VALUE&amp;DB=129&amp;ID1=82691910&amp;VALUEID=02001&amp;SDATE=200603&amp;PERIODTYPE=QTR_STD&amp;SCFT=3&amp;window=popup_no_bar&amp;width=385&amp;height=120&amp;START_MAXIMIZED=FALSE&amp;creator=factset&amp;display_string=Audit"}</definedName>
    <definedName name="_3198__FDSAUDITLINK__" hidden="1">{"fdsup://Directions/FactSet Auditing Viewer?action=AUDIT_VALUE&amp;DB=129&amp;ID1=82691910&amp;VALUEID=02001&amp;SDATE=200603&amp;PERIODTYPE=QTR_STD&amp;SCFT=3&amp;window=popup_no_bar&amp;width=385&amp;height=120&amp;START_MAXIMIZED=FALSE&amp;creator=factset&amp;display_string=Audit"}</definedName>
    <definedName name="_3199__FDSAUDITLINK__" localSheetId="7" hidden="1">{"fdsup://Directions/FactSet Auditing Viewer?action=AUDIT_VALUE&amp;DB=129&amp;ID1=82691910&amp;VALUEID=02001&amp;SDATE=200602&amp;PERIODTYPE=QTR_STD&amp;SCFT=3&amp;window=popup_no_bar&amp;width=385&amp;height=120&amp;START_MAXIMIZED=FALSE&amp;creator=factset&amp;display_string=Audit"}</definedName>
    <definedName name="_3199__FDSAUDITLINK__" hidden="1">{"fdsup://Directions/FactSet Auditing Viewer?action=AUDIT_VALUE&amp;DB=129&amp;ID1=82691910&amp;VALUEID=02001&amp;SDATE=200602&amp;PERIODTYPE=QTR_STD&amp;SCFT=3&amp;window=popup_no_bar&amp;width=385&amp;height=120&amp;START_MAXIMIZED=FALSE&amp;creator=factset&amp;display_string=Audit"}</definedName>
    <definedName name="_32__FDSAUDITLINK__" localSheetId="7" hidden="1">{"fdsup://Directions/FactSet Auditing Viewer?action=AUDIT_VALUE&amp;DB=129&amp;ID1=82691910&amp;VALUEID=02001&amp;SDATE=201101&amp;PERIODTYPE=QTR_STD&amp;SCFT=3&amp;window=popup_no_bar&amp;width=385&amp;height=120&amp;START_MAXIMIZED=FALSE&amp;creator=factset&amp;display_string=Audit"}</definedName>
    <definedName name="_32__FDSAUDITLINK__" hidden="1">{"fdsup://Directions/FactSet Auditing Viewer?action=AUDIT_VALUE&amp;DB=129&amp;ID1=82691910&amp;VALUEID=02001&amp;SDATE=201101&amp;PERIODTYPE=QTR_STD&amp;SCFT=3&amp;window=popup_no_bar&amp;width=385&amp;height=120&amp;START_MAXIMIZED=FALSE&amp;creator=factset&amp;display_string=Audit"}</definedName>
    <definedName name="_320__FDSAUDITLINK__" localSheetId="7" hidden="1">{"fdsup://Directions/FactSet Auditing Viewer?action=AUDIT_VALUE&amp;DB=129&amp;ID1=80004C10&amp;VALUEID=02001&amp;SDATE=201003&amp;PERIODTYPE=QTR_STD&amp;SCFT=3&amp;window=popup_no_bar&amp;width=385&amp;height=120&amp;START_MAXIMIZED=FALSE&amp;creator=factset&amp;display_string=Audit"}</definedName>
    <definedName name="_320__FDSAUDITLINK__" hidden="1">{"fdsup://Directions/FactSet Auditing Viewer?action=AUDIT_VALUE&amp;DB=129&amp;ID1=80004C10&amp;VALUEID=02001&amp;SDATE=201003&amp;PERIODTYPE=QTR_STD&amp;SCFT=3&amp;window=popup_no_bar&amp;width=385&amp;height=120&amp;START_MAXIMIZED=FALSE&amp;creator=factset&amp;display_string=Audit"}</definedName>
    <definedName name="_3200__FDSAUDITLINK__" localSheetId="7" hidden="1">{"fdsup://Directions/FactSet Auditing Viewer?action=AUDIT_VALUE&amp;DB=129&amp;ID1=82691910&amp;VALUEID=02001&amp;SDATE=200602&amp;PERIODTYPE=QTR_STD&amp;SCFT=3&amp;window=popup_no_bar&amp;width=385&amp;height=120&amp;START_MAXIMIZED=FALSE&amp;creator=factset&amp;display_string=Audit"}</definedName>
    <definedName name="_3200__FDSAUDITLINK__" hidden="1">{"fdsup://Directions/FactSet Auditing Viewer?action=AUDIT_VALUE&amp;DB=129&amp;ID1=82691910&amp;VALUEID=02001&amp;SDATE=200602&amp;PERIODTYPE=QTR_STD&amp;SCFT=3&amp;window=popup_no_bar&amp;width=385&amp;height=120&amp;START_MAXIMIZED=FALSE&amp;creator=factset&amp;display_string=Audit"}</definedName>
    <definedName name="_3201__FDSAUDITLINK__" localSheetId="7" hidden="1">{"fdsup://Directions/FactSet Auditing Viewer?action=AUDIT_VALUE&amp;DB=129&amp;ID1=82691910&amp;VALUEID=02001&amp;SDATE=200601&amp;PERIODTYPE=QTR_STD&amp;SCFT=3&amp;window=popup_no_bar&amp;width=385&amp;height=120&amp;START_MAXIMIZED=FALSE&amp;creator=factset&amp;display_string=Audit"}</definedName>
    <definedName name="_3201__FDSAUDITLINK__" hidden="1">{"fdsup://Directions/FactSet Auditing Viewer?action=AUDIT_VALUE&amp;DB=129&amp;ID1=82691910&amp;VALUEID=02001&amp;SDATE=200601&amp;PERIODTYPE=QTR_STD&amp;SCFT=3&amp;window=popup_no_bar&amp;width=385&amp;height=120&amp;START_MAXIMIZED=FALSE&amp;creator=factset&amp;display_string=Audit"}</definedName>
    <definedName name="_3202__FDSAUDITLINK__" localSheetId="7" hidden="1">{"fdsup://Directions/FactSet Auditing Viewer?action=AUDIT_VALUE&amp;DB=129&amp;ID1=82691910&amp;VALUEID=02001&amp;SDATE=200601&amp;PERIODTYPE=QTR_STD&amp;SCFT=3&amp;window=popup_no_bar&amp;width=385&amp;height=120&amp;START_MAXIMIZED=FALSE&amp;creator=factset&amp;display_string=Audit"}</definedName>
    <definedName name="_3202__FDSAUDITLINK__" hidden="1">{"fdsup://Directions/FactSet Auditing Viewer?action=AUDIT_VALUE&amp;DB=129&amp;ID1=82691910&amp;VALUEID=02001&amp;SDATE=200601&amp;PERIODTYPE=QTR_STD&amp;SCFT=3&amp;window=popup_no_bar&amp;width=385&amp;height=120&amp;START_MAXIMIZED=FALSE&amp;creator=factset&amp;display_string=Audit"}</definedName>
    <definedName name="_3203__FDSAUDITLINK__" localSheetId="7" hidden="1">{"fdsup://Directions/FactSet Auditing Viewer?action=AUDIT_VALUE&amp;DB=129&amp;ID1=82691910&amp;VALUEID=02001&amp;SDATE=200503&amp;PERIODTYPE=QTR_STD&amp;SCFT=3&amp;window=popup_no_bar&amp;width=385&amp;height=120&amp;START_MAXIMIZED=FALSE&amp;creator=factset&amp;display_string=Audit"}</definedName>
    <definedName name="_3203__FDSAUDITLINK__" hidden="1">{"fdsup://Directions/FactSet Auditing Viewer?action=AUDIT_VALUE&amp;DB=129&amp;ID1=82691910&amp;VALUEID=02001&amp;SDATE=200503&amp;PERIODTYPE=QTR_STD&amp;SCFT=3&amp;window=popup_no_bar&amp;width=385&amp;height=120&amp;START_MAXIMIZED=FALSE&amp;creator=factset&amp;display_string=Audit"}</definedName>
    <definedName name="_3204__FDSAUDITLINK__" localSheetId="7" hidden="1">{"fdsup://Directions/FactSet Auditing Viewer?action=AUDIT_VALUE&amp;DB=129&amp;ID1=82691910&amp;VALUEID=02001&amp;SDATE=200503&amp;PERIODTYPE=QTR_STD&amp;SCFT=3&amp;window=popup_no_bar&amp;width=385&amp;height=120&amp;START_MAXIMIZED=FALSE&amp;creator=factset&amp;display_string=Audit"}</definedName>
    <definedName name="_3204__FDSAUDITLINK__" hidden="1">{"fdsup://Directions/FactSet Auditing Viewer?action=AUDIT_VALUE&amp;DB=129&amp;ID1=82691910&amp;VALUEID=02001&amp;SDATE=200503&amp;PERIODTYPE=QTR_STD&amp;SCFT=3&amp;window=popup_no_bar&amp;width=385&amp;height=120&amp;START_MAXIMIZED=FALSE&amp;creator=factset&amp;display_string=Audit"}</definedName>
    <definedName name="_3205__FDSAUDITLINK__" localSheetId="7" hidden="1">{"fdsup://Directions/FactSet Auditing Viewer?action=AUDIT_VALUE&amp;DB=129&amp;ID1=82691910&amp;VALUEID=02001&amp;SDATE=200502&amp;PERIODTYPE=QTR_STD&amp;SCFT=3&amp;window=popup_no_bar&amp;width=385&amp;height=120&amp;START_MAXIMIZED=FALSE&amp;creator=factset&amp;display_string=Audit"}</definedName>
    <definedName name="_3205__FDSAUDITLINK__" hidden="1">{"fdsup://Directions/FactSet Auditing Viewer?action=AUDIT_VALUE&amp;DB=129&amp;ID1=82691910&amp;VALUEID=02001&amp;SDATE=200502&amp;PERIODTYPE=QTR_STD&amp;SCFT=3&amp;window=popup_no_bar&amp;width=385&amp;height=120&amp;START_MAXIMIZED=FALSE&amp;creator=factset&amp;display_string=Audit"}</definedName>
    <definedName name="_3206__FDSAUDITLINK__" localSheetId="7" hidden="1">{"fdsup://Directions/FactSet Auditing Viewer?action=AUDIT_VALUE&amp;DB=129&amp;ID1=82691910&amp;VALUEID=02001&amp;SDATE=200502&amp;PERIODTYPE=QTR_STD&amp;SCFT=3&amp;window=popup_no_bar&amp;width=385&amp;height=120&amp;START_MAXIMIZED=FALSE&amp;creator=factset&amp;display_string=Audit"}</definedName>
    <definedName name="_3206__FDSAUDITLINK__" hidden="1">{"fdsup://Directions/FactSet Auditing Viewer?action=AUDIT_VALUE&amp;DB=129&amp;ID1=82691910&amp;VALUEID=02001&amp;SDATE=200502&amp;PERIODTYPE=QTR_STD&amp;SCFT=3&amp;window=popup_no_bar&amp;width=385&amp;height=120&amp;START_MAXIMIZED=FALSE&amp;creator=factset&amp;display_string=Audit"}</definedName>
    <definedName name="_3207__FDSAUDITLINK__" localSheetId="7" hidden="1">{"fdsup://Directions/FactSet Auditing Viewer?action=AUDIT_VALUE&amp;DB=129&amp;ID1=82691910&amp;VALUEID=02001&amp;SDATE=200501&amp;PERIODTYPE=QTR_STD&amp;SCFT=3&amp;window=popup_no_bar&amp;width=385&amp;height=120&amp;START_MAXIMIZED=FALSE&amp;creator=factset&amp;display_string=Audit"}</definedName>
    <definedName name="_3207__FDSAUDITLINK__" hidden="1">{"fdsup://Directions/FactSet Auditing Viewer?action=AUDIT_VALUE&amp;DB=129&amp;ID1=82691910&amp;VALUEID=02001&amp;SDATE=200501&amp;PERIODTYPE=QTR_STD&amp;SCFT=3&amp;window=popup_no_bar&amp;width=385&amp;height=120&amp;START_MAXIMIZED=FALSE&amp;creator=factset&amp;display_string=Audit"}</definedName>
    <definedName name="_3208__FDSAUDITLINK__" localSheetId="7" hidden="1">{"fdsup://Directions/FactSet Auditing Viewer?action=AUDIT_VALUE&amp;DB=129&amp;ID1=82691910&amp;VALUEID=02001&amp;SDATE=200501&amp;PERIODTYPE=QTR_STD&amp;SCFT=3&amp;window=popup_no_bar&amp;width=385&amp;height=120&amp;START_MAXIMIZED=FALSE&amp;creator=factset&amp;display_string=Audit"}</definedName>
    <definedName name="_3208__FDSAUDITLINK__" hidden="1">{"fdsup://Directions/FactSet Auditing Viewer?action=AUDIT_VALUE&amp;DB=129&amp;ID1=82691910&amp;VALUEID=02001&amp;SDATE=200501&amp;PERIODTYPE=QTR_STD&amp;SCFT=3&amp;window=popup_no_bar&amp;width=385&amp;height=120&amp;START_MAXIMIZED=FALSE&amp;creator=factset&amp;display_string=Audit"}</definedName>
    <definedName name="_3209__FDSAUDITLINK__" localSheetId="7" hidden="1">{"fdsup://Directions/FactSet Auditing Viewer?action=AUDIT_VALUE&amp;DB=129&amp;ID1=82691910&amp;VALUEID=02001&amp;SDATE=200403&amp;PERIODTYPE=QTR_STD&amp;SCFT=3&amp;window=popup_no_bar&amp;width=385&amp;height=120&amp;START_MAXIMIZED=FALSE&amp;creator=factset&amp;display_string=Audit"}</definedName>
    <definedName name="_3209__FDSAUDITLINK__" hidden="1">{"fdsup://Directions/FactSet Auditing Viewer?action=AUDIT_VALUE&amp;DB=129&amp;ID1=82691910&amp;VALUEID=02001&amp;SDATE=200403&amp;PERIODTYPE=QTR_STD&amp;SCFT=3&amp;window=popup_no_bar&amp;width=385&amp;height=120&amp;START_MAXIMIZED=FALSE&amp;creator=factset&amp;display_string=Audit"}</definedName>
    <definedName name="_321__FDSAUDITLINK__" localSheetId="7" hidden="1">{"fdsup://Directions/FactSet Auditing Viewer?action=AUDIT_VALUE&amp;DB=129&amp;ID1=81685010&amp;VALUEID=02001&amp;SDATE=201003&amp;PERIODTYPE=QTR_STD&amp;SCFT=3&amp;window=popup_no_bar&amp;width=385&amp;height=120&amp;START_MAXIMIZED=FALSE&amp;creator=factset&amp;display_string=Audit"}</definedName>
    <definedName name="_321__FDSAUDITLINK__" hidden="1">{"fdsup://Directions/FactSet Auditing Viewer?action=AUDIT_VALUE&amp;DB=129&amp;ID1=81685010&amp;VALUEID=02001&amp;SDATE=201003&amp;PERIODTYPE=QTR_STD&amp;SCFT=3&amp;window=popup_no_bar&amp;width=385&amp;height=120&amp;START_MAXIMIZED=FALSE&amp;creator=factset&amp;display_string=Audit"}</definedName>
    <definedName name="_3210__FDSAUDITLINK__" localSheetId="7" hidden="1">{"fdsup://Directions/FactSet Auditing Viewer?action=AUDIT_VALUE&amp;DB=129&amp;ID1=82691910&amp;VALUEID=02001&amp;SDATE=200403&amp;PERIODTYPE=QTR_STD&amp;SCFT=3&amp;window=popup_no_bar&amp;width=385&amp;height=120&amp;START_MAXIMIZED=FALSE&amp;creator=factset&amp;display_string=Audit"}</definedName>
    <definedName name="_3210__FDSAUDITLINK__" hidden="1">{"fdsup://Directions/FactSet Auditing Viewer?action=AUDIT_VALUE&amp;DB=129&amp;ID1=82691910&amp;VALUEID=02001&amp;SDATE=200403&amp;PERIODTYPE=QTR_STD&amp;SCFT=3&amp;window=popup_no_bar&amp;width=385&amp;height=120&amp;START_MAXIMIZED=FALSE&amp;creator=factset&amp;display_string=Audit"}</definedName>
    <definedName name="_3211__FDSAUDITLINK__" localSheetId="7" hidden="1">{"fdsup://Directions/FactSet Auditing Viewer?action=AUDIT_VALUE&amp;DB=129&amp;ID1=82691910&amp;VALUEID=02001&amp;SDATE=200402&amp;PERIODTYPE=QTR_STD&amp;SCFT=3&amp;window=popup_no_bar&amp;width=385&amp;height=120&amp;START_MAXIMIZED=FALSE&amp;creator=factset&amp;display_string=Audit"}</definedName>
    <definedName name="_3211__FDSAUDITLINK__" hidden="1">{"fdsup://Directions/FactSet Auditing Viewer?action=AUDIT_VALUE&amp;DB=129&amp;ID1=82691910&amp;VALUEID=02001&amp;SDATE=200402&amp;PERIODTYPE=QTR_STD&amp;SCFT=3&amp;window=popup_no_bar&amp;width=385&amp;height=120&amp;START_MAXIMIZED=FALSE&amp;creator=factset&amp;display_string=Audit"}</definedName>
    <definedName name="_3212__FDSAUDITLINK__" localSheetId="7" hidden="1">{"fdsup://Directions/FactSet Auditing Viewer?action=AUDIT_VALUE&amp;DB=129&amp;ID1=82691910&amp;VALUEID=02001&amp;SDATE=200402&amp;PERIODTYPE=QTR_STD&amp;SCFT=3&amp;window=popup_no_bar&amp;width=385&amp;height=120&amp;START_MAXIMIZED=FALSE&amp;creator=factset&amp;display_string=Audit"}</definedName>
    <definedName name="_3212__FDSAUDITLINK__" hidden="1">{"fdsup://Directions/FactSet Auditing Viewer?action=AUDIT_VALUE&amp;DB=129&amp;ID1=82691910&amp;VALUEID=02001&amp;SDATE=200402&amp;PERIODTYPE=QTR_STD&amp;SCFT=3&amp;window=popup_no_bar&amp;width=385&amp;height=120&amp;START_MAXIMIZED=FALSE&amp;creator=factset&amp;display_string=Audit"}</definedName>
    <definedName name="_3213__FDSAUDITLINK__" localSheetId="7" hidden="1">{"fdsup://Directions/FactSet Auditing Viewer?action=AUDIT_VALUE&amp;DB=129&amp;ID1=82691910&amp;VALUEID=02001&amp;SDATE=200401&amp;PERIODTYPE=QTR_STD&amp;SCFT=3&amp;window=popup_no_bar&amp;width=385&amp;height=120&amp;START_MAXIMIZED=FALSE&amp;creator=factset&amp;display_string=Audit"}</definedName>
    <definedName name="_3213__FDSAUDITLINK__" hidden="1">{"fdsup://Directions/FactSet Auditing Viewer?action=AUDIT_VALUE&amp;DB=129&amp;ID1=82691910&amp;VALUEID=02001&amp;SDATE=200401&amp;PERIODTYPE=QTR_STD&amp;SCFT=3&amp;window=popup_no_bar&amp;width=385&amp;height=120&amp;START_MAXIMIZED=FALSE&amp;creator=factset&amp;display_string=Audit"}</definedName>
    <definedName name="_3214__FDSAUDITLINK__" localSheetId="7" hidden="1">{"fdsup://Directions/FactSet Auditing Viewer?action=AUDIT_VALUE&amp;DB=129&amp;ID1=82691910&amp;VALUEID=02001&amp;SDATE=200401&amp;PERIODTYPE=QTR_STD&amp;SCFT=3&amp;window=popup_no_bar&amp;width=385&amp;height=120&amp;START_MAXIMIZED=FALSE&amp;creator=factset&amp;display_string=Audit"}</definedName>
    <definedName name="_3214__FDSAUDITLINK__" hidden="1">{"fdsup://Directions/FactSet Auditing Viewer?action=AUDIT_VALUE&amp;DB=129&amp;ID1=82691910&amp;VALUEID=02001&amp;SDATE=200401&amp;PERIODTYPE=QTR_STD&amp;SCFT=3&amp;window=popup_no_bar&amp;width=385&amp;height=120&amp;START_MAXIMIZED=FALSE&amp;creator=factset&amp;display_string=Audit"}</definedName>
    <definedName name="_3215__FDSAUDITLINK__" localSheetId="7" hidden="1">{"fdsup://Directions/FactSet Auditing Viewer?action=AUDIT_VALUE&amp;DB=129&amp;ID1=82705T10&amp;VALUEID=02001&amp;SDATE=200801&amp;PERIODTYPE=QTR_STD&amp;SCFT=3&amp;window=popup_no_bar&amp;width=385&amp;height=120&amp;START_MAXIMIZED=FALSE&amp;creator=factset&amp;display_string=Audit"}</definedName>
    <definedName name="_3215__FDSAUDITLINK__" hidden="1">{"fdsup://Directions/FactSet Auditing Viewer?action=AUDIT_VALUE&amp;DB=129&amp;ID1=82705T10&amp;VALUEID=02001&amp;SDATE=200801&amp;PERIODTYPE=QTR_STD&amp;SCFT=3&amp;window=popup_no_bar&amp;width=385&amp;height=120&amp;START_MAXIMIZED=FALSE&amp;creator=factset&amp;display_string=Audit"}</definedName>
    <definedName name="_3216__FDSAUDITLINK__" localSheetId="7" hidden="1">{"fdsup://Directions/FactSet Auditing Viewer?action=AUDIT_VALUE&amp;DB=129&amp;ID1=82705T10&amp;VALUEID=02001&amp;SDATE=200801&amp;PERIODTYPE=QTR_STD&amp;SCFT=3&amp;window=popup_no_bar&amp;width=385&amp;height=120&amp;START_MAXIMIZED=FALSE&amp;creator=factset&amp;display_string=Audit"}</definedName>
    <definedName name="_3216__FDSAUDITLINK__" hidden="1">{"fdsup://Directions/FactSet Auditing Viewer?action=AUDIT_VALUE&amp;DB=129&amp;ID1=82705T10&amp;VALUEID=02001&amp;SDATE=200801&amp;PERIODTYPE=QTR_STD&amp;SCFT=3&amp;window=popup_no_bar&amp;width=385&amp;height=120&amp;START_MAXIMIZED=FALSE&amp;creator=factset&amp;display_string=Audit"}</definedName>
    <definedName name="_3217__FDSAUDITLINK__" localSheetId="7" hidden="1">{"fdsup://Directions/FactSet Auditing Viewer?action=AUDIT_VALUE&amp;DB=129&amp;ID1=82705T10&amp;VALUEID=02001&amp;SDATE=200703&amp;PERIODTYPE=QTR_STD&amp;SCFT=3&amp;window=popup_no_bar&amp;width=385&amp;height=120&amp;START_MAXIMIZED=FALSE&amp;creator=factset&amp;display_string=Audit"}</definedName>
    <definedName name="_3217__FDSAUDITLINK__" hidden="1">{"fdsup://Directions/FactSet Auditing Viewer?action=AUDIT_VALUE&amp;DB=129&amp;ID1=82705T10&amp;VALUEID=02001&amp;SDATE=200703&amp;PERIODTYPE=QTR_STD&amp;SCFT=3&amp;window=popup_no_bar&amp;width=385&amp;height=120&amp;START_MAXIMIZED=FALSE&amp;creator=factset&amp;display_string=Audit"}</definedName>
    <definedName name="_3218__FDSAUDITLINK__" localSheetId="7" hidden="1">{"fdsup://Directions/FactSet Auditing Viewer?action=AUDIT_VALUE&amp;DB=129&amp;ID1=82705T10&amp;VALUEID=02001&amp;SDATE=200703&amp;PERIODTYPE=QTR_STD&amp;SCFT=3&amp;window=popup_no_bar&amp;width=385&amp;height=120&amp;START_MAXIMIZED=FALSE&amp;creator=factset&amp;display_string=Audit"}</definedName>
    <definedName name="_3218__FDSAUDITLINK__" hidden="1">{"fdsup://Directions/FactSet Auditing Viewer?action=AUDIT_VALUE&amp;DB=129&amp;ID1=82705T10&amp;VALUEID=02001&amp;SDATE=200703&amp;PERIODTYPE=QTR_STD&amp;SCFT=3&amp;window=popup_no_bar&amp;width=385&amp;height=120&amp;START_MAXIMIZED=FALSE&amp;creator=factset&amp;display_string=Audit"}</definedName>
    <definedName name="_3219__FDSAUDITLINK__" localSheetId="7" hidden="1">{"fdsup://Directions/FactSet Auditing Viewer?action=AUDIT_VALUE&amp;DB=129&amp;ID1=82705T10&amp;VALUEID=02001&amp;SDATE=200702&amp;PERIODTYPE=QTR_STD&amp;SCFT=3&amp;window=popup_no_bar&amp;width=385&amp;height=120&amp;START_MAXIMIZED=FALSE&amp;creator=factset&amp;display_string=Audit"}</definedName>
    <definedName name="_3219__FDSAUDITLINK__" hidden="1">{"fdsup://Directions/FactSet Auditing Viewer?action=AUDIT_VALUE&amp;DB=129&amp;ID1=82705T10&amp;VALUEID=02001&amp;SDATE=200702&amp;PERIODTYPE=QTR_STD&amp;SCFT=3&amp;window=popup_no_bar&amp;width=385&amp;height=120&amp;START_MAXIMIZED=FALSE&amp;creator=factset&amp;display_string=Audit"}</definedName>
    <definedName name="_322__FDSAUDITLINK__" localSheetId="7" hidden="1">{"fdsup://Directions/FactSet Auditing Viewer?action=AUDIT_VALUE&amp;DB=129&amp;ID1=81685010&amp;VALUEID=02001&amp;SDATE=201003&amp;PERIODTYPE=QTR_STD&amp;SCFT=3&amp;window=popup_no_bar&amp;width=385&amp;height=120&amp;START_MAXIMIZED=FALSE&amp;creator=factset&amp;display_string=Audit"}</definedName>
    <definedName name="_322__FDSAUDITLINK__" hidden="1">{"fdsup://Directions/FactSet Auditing Viewer?action=AUDIT_VALUE&amp;DB=129&amp;ID1=81685010&amp;VALUEID=02001&amp;SDATE=201003&amp;PERIODTYPE=QTR_STD&amp;SCFT=3&amp;window=popup_no_bar&amp;width=385&amp;height=120&amp;START_MAXIMIZED=FALSE&amp;creator=factset&amp;display_string=Audit"}</definedName>
    <definedName name="_3220__FDSAUDITLINK__" localSheetId="7" hidden="1">{"fdsup://Directions/FactSet Auditing Viewer?action=AUDIT_VALUE&amp;DB=129&amp;ID1=82705T10&amp;VALUEID=02001&amp;SDATE=200702&amp;PERIODTYPE=QTR_STD&amp;SCFT=3&amp;window=popup_no_bar&amp;width=385&amp;height=120&amp;START_MAXIMIZED=FALSE&amp;creator=factset&amp;display_string=Audit"}</definedName>
    <definedName name="_3220__FDSAUDITLINK__" hidden="1">{"fdsup://Directions/FactSet Auditing Viewer?action=AUDIT_VALUE&amp;DB=129&amp;ID1=82705T10&amp;VALUEID=02001&amp;SDATE=200702&amp;PERIODTYPE=QTR_STD&amp;SCFT=3&amp;window=popup_no_bar&amp;width=385&amp;height=120&amp;START_MAXIMIZED=FALSE&amp;creator=factset&amp;display_string=Audit"}</definedName>
    <definedName name="_3221__FDSAUDITLINK__" localSheetId="7" hidden="1">{"fdsup://Directions/FactSet Auditing Viewer?action=AUDIT_VALUE&amp;DB=129&amp;ID1=82705T10&amp;VALUEID=02001&amp;SDATE=200701&amp;PERIODTYPE=QTR_STD&amp;SCFT=3&amp;window=popup_no_bar&amp;width=385&amp;height=120&amp;START_MAXIMIZED=FALSE&amp;creator=factset&amp;display_string=Audit"}</definedName>
    <definedName name="_3221__FDSAUDITLINK__" hidden="1">{"fdsup://Directions/FactSet Auditing Viewer?action=AUDIT_VALUE&amp;DB=129&amp;ID1=82705T10&amp;VALUEID=02001&amp;SDATE=200701&amp;PERIODTYPE=QTR_STD&amp;SCFT=3&amp;window=popup_no_bar&amp;width=385&amp;height=120&amp;START_MAXIMIZED=FALSE&amp;creator=factset&amp;display_string=Audit"}</definedName>
    <definedName name="_3222__FDSAUDITLINK__" localSheetId="7" hidden="1">{"fdsup://Directions/FactSet Auditing Viewer?action=AUDIT_VALUE&amp;DB=129&amp;ID1=82705T10&amp;VALUEID=02001&amp;SDATE=200701&amp;PERIODTYPE=QTR_STD&amp;SCFT=3&amp;window=popup_no_bar&amp;width=385&amp;height=120&amp;START_MAXIMIZED=FALSE&amp;creator=factset&amp;display_string=Audit"}</definedName>
    <definedName name="_3222__FDSAUDITLINK__" hidden="1">{"fdsup://Directions/FactSet Auditing Viewer?action=AUDIT_VALUE&amp;DB=129&amp;ID1=82705T10&amp;VALUEID=02001&amp;SDATE=200701&amp;PERIODTYPE=QTR_STD&amp;SCFT=3&amp;window=popup_no_bar&amp;width=385&amp;height=120&amp;START_MAXIMIZED=FALSE&amp;creator=factset&amp;display_string=Audit"}</definedName>
    <definedName name="_3223__FDSAUDITLINK__" localSheetId="7" hidden="1">{"fdsup://Directions/FactSet Auditing Viewer?action=AUDIT_VALUE&amp;DB=129&amp;ID1=82705T10&amp;VALUEID=02001&amp;SDATE=200603&amp;PERIODTYPE=QTR_STD&amp;SCFT=3&amp;window=popup_no_bar&amp;width=385&amp;height=120&amp;START_MAXIMIZED=FALSE&amp;creator=factset&amp;display_string=Audit"}</definedName>
    <definedName name="_3223__FDSAUDITLINK__" hidden="1">{"fdsup://Directions/FactSet Auditing Viewer?action=AUDIT_VALUE&amp;DB=129&amp;ID1=82705T10&amp;VALUEID=02001&amp;SDATE=200603&amp;PERIODTYPE=QTR_STD&amp;SCFT=3&amp;window=popup_no_bar&amp;width=385&amp;height=120&amp;START_MAXIMIZED=FALSE&amp;creator=factset&amp;display_string=Audit"}</definedName>
    <definedName name="_3224__FDSAUDITLINK__" localSheetId="7" hidden="1">{"fdsup://Directions/FactSet Auditing Viewer?action=AUDIT_VALUE&amp;DB=129&amp;ID1=82705T10&amp;VALUEID=02001&amp;SDATE=200603&amp;PERIODTYPE=QTR_STD&amp;SCFT=3&amp;window=popup_no_bar&amp;width=385&amp;height=120&amp;START_MAXIMIZED=FALSE&amp;creator=factset&amp;display_string=Audit"}</definedName>
    <definedName name="_3224__FDSAUDITLINK__" hidden="1">{"fdsup://Directions/FactSet Auditing Viewer?action=AUDIT_VALUE&amp;DB=129&amp;ID1=82705T10&amp;VALUEID=02001&amp;SDATE=200603&amp;PERIODTYPE=QTR_STD&amp;SCFT=3&amp;window=popup_no_bar&amp;width=385&amp;height=120&amp;START_MAXIMIZED=FALSE&amp;creator=factset&amp;display_string=Audit"}</definedName>
    <definedName name="_3225__FDSAUDITLINK__" localSheetId="7" hidden="1">{"fdsup://Directions/FactSet Auditing Viewer?action=AUDIT_VALUE&amp;DB=129&amp;ID1=82705T10&amp;VALUEID=02001&amp;SDATE=200602&amp;PERIODTYPE=QTR_STD&amp;SCFT=3&amp;window=popup_no_bar&amp;width=385&amp;height=120&amp;START_MAXIMIZED=FALSE&amp;creator=factset&amp;display_string=Audit"}</definedName>
    <definedName name="_3225__FDSAUDITLINK__" hidden="1">{"fdsup://Directions/FactSet Auditing Viewer?action=AUDIT_VALUE&amp;DB=129&amp;ID1=82705T10&amp;VALUEID=02001&amp;SDATE=200602&amp;PERIODTYPE=QTR_STD&amp;SCFT=3&amp;window=popup_no_bar&amp;width=385&amp;height=120&amp;START_MAXIMIZED=FALSE&amp;creator=factset&amp;display_string=Audit"}</definedName>
    <definedName name="_3226__FDSAUDITLINK__" localSheetId="7" hidden="1">{"fdsup://Directions/FactSet Auditing Viewer?action=AUDIT_VALUE&amp;DB=129&amp;ID1=82705T10&amp;VALUEID=02001&amp;SDATE=200602&amp;PERIODTYPE=QTR_STD&amp;SCFT=3&amp;window=popup_no_bar&amp;width=385&amp;height=120&amp;START_MAXIMIZED=FALSE&amp;creator=factset&amp;display_string=Audit"}</definedName>
    <definedName name="_3226__FDSAUDITLINK__" hidden="1">{"fdsup://Directions/FactSet Auditing Viewer?action=AUDIT_VALUE&amp;DB=129&amp;ID1=82705T10&amp;VALUEID=02001&amp;SDATE=200602&amp;PERIODTYPE=QTR_STD&amp;SCFT=3&amp;window=popup_no_bar&amp;width=385&amp;height=120&amp;START_MAXIMIZED=FALSE&amp;creator=factset&amp;display_string=Audit"}</definedName>
    <definedName name="_3227__FDSAUDITLINK__" localSheetId="7" hidden="1">{"fdsup://Directions/FactSet Auditing Viewer?action=AUDIT_VALUE&amp;DB=129&amp;ID1=82705T10&amp;VALUEID=02001&amp;SDATE=200601&amp;PERIODTYPE=QTR_STD&amp;SCFT=3&amp;window=popup_no_bar&amp;width=385&amp;height=120&amp;START_MAXIMIZED=FALSE&amp;creator=factset&amp;display_string=Audit"}</definedName>
    <definedName name="_3227__FDSAUDITLINK__" hidden="1">{"fdsup://Directions/FactSet Auditing Viewer?action=AUDIT_VALUE&amp;DB=129&amp;ID1=82705T10&amp;VALUEID=02001&amp;SDATE=200601&amp;PERIODTYPE=QTR_STD&amp;SCFT=3&amp;window=popup_no_bar&amp;width=385&amp;height=120&amp;START_MAXIMIZED=FALSE&amp;creator=factset&amp;display_string=Audit"}</definedName>
    <definedName name="_3228__FDSAUDITLINK__" localSheetId="7" hidden="1">{"fdsup://Directions/FactSet Auditing Viewer?action=AUDIT_VALUE&amp;DB=129&amp;ID1=82705T10&amp;VALUEID=02001&amp;SDATE=200601&amp;PERIODTYPE=QTR_STD&amp;SCFT=3&amp;window=popup_no_bar&amp;width=385&amp;height=120&amp;START_MAXIMIZED=FALSE&amp;creator=factset&amp;display_string=Audit"}</definedName>
    <definedName name="_3228__FDSAUDITLINK__" hidden="1">{"fdsup://Directions/FactSet Auditing Viewer?action=AUDIT_VALUE&amp;DB=129&amp;ID1=82705T10&amp;VALUEID=02001&amp;SDATE=200601&amp;PERIODTYPE=QTR_STD&amp;SCFT=3&amp;window=popup_no_bar&amp;width=385&amp;height=120&amp;START_MAXIMIZED=FALSE&amp;creator=factset&amp;display_string=Audit"}</definedName>
    <definedName name="_3229__FDSAUDITLINK__" localSheetId="7" hidden="1">{"fdsup://Directions/FactSet Auditing Viewer?action=AUDIT_VALUE&amp;DB=129&amp;ID1=82705T10&amp;VALUEID=02001&amp;SDATE=200503&amp;PERIODTYPE=QTR_STD&amp;SCFT=3&amp;window=popup_no_bar&amp;width=385&amp;height=120&amp;START_MAXIMIZED=FALSE&amp;creator=factset&amp;display_string=Audit"}</definedName>
    <definedName name="_3229__FDSAUDITLINK__" hidden="1">{"fdsup://Directions/FactSet Auditing Viewer?action=AUDIT_VALUE&amp;DB=129&amp;ID1=82705T10&amp;VALUEID=02001&amp;SDATE=200503&amp;PERIODTYPE=QTR_STD&amp;SCFT=3&amp;window=popup_no_bar&amp;width=385&amp;height=120&amp;START_MAXIMIZED=FALSE&amp;creator=factset&amp;display_string=Audit"}</definedName>
    <definedName name="_323__FDSAUDITLINK__" localSheetId="7" hidden="1">{"fdsup://Directions/FactSet Auditing Viewer?action=AUDIT_VALUE&amp;DB=129&amp;ID1=82691910&amp;VALUEID=02001&amp;SDATE=201003&amp;PERIODTYPE=QTR_STD&amp;SCFT=3&amp;window=popup_no_bar&amp;width=385&amp;height=120&amp;START_MAXIMIZED=FALSE&amp;creator=factset&amp;display_string=Audit"}</definedName>
    <definedName name="_323__FDSAUDITLINK__" hidden="1">{"fdsup://Directions/FactSet Auditing Viewer?action=AUDIT_VALUE&amp;DB=129&amp;ID1=82691910&amp;VALUEID=02001&amp;SDATE=201003&amp;PERIODTYPE=QTR_STD&amp;SCFT=3&amp;window=popup_no_bar&amp;width=385&amp;height=120&amp;START_MAXIMIZED=FALSE&amp;creator=factset&amp;display_string=Audit"}</definedName>
    <definedName name="_3230__FDSAUDITLINK__" localSheetId="7" hidden="1">{"fdsup://Directions/FactSet Auditing Viewer?action=AUDIT_VALUE&amp;DB=129&amp;ID1=82705T10&amp;VALUEID=02001&amp;SDATE=200503&amp;PERIODTYPE=QTR_STD&amp;SCFT=3&amp;window=popup_no_bar&amp;width=385&amp;height=120&amp;START_MAXIMIZED=FALSE&amp;creator=factset&amp;display_string=Audit"}</definedName>
    <definedName name="_3230__FDSAUDITLINK__" hidden="1">{"fdsup://Directions/FactSet Auditing Viewer?action=AUDIT_VALUE&amp;DB=129&amp;ID1=82705T10&amp;VALUEID=02001&amp;SDATE=200503&amp;PERIODTYPE=QTR_STD&amp;SCFT=3&amp;window=popup_no_bar&amp;width=385&amp;height=120&amp;START_MAXIMIZED=FALSE&amp;creator=factset&amp;display_string=Audit"}</definedName>
    <definedName name="_3231__FDSAUDITLINK__" localSheetId="7" hidden="1">{"fdsup://Directions/FactSet Auditing Viewer?action=AUDIT_VALUE&amp;DB=129&amp;ID1=82705T10&amp;VALUEID=02001&amp;SDATE=200502&amp;PERIODTYPE=QTR_STD&amp;SCFT=3&amp;window=popup_no_bar&amp;width=385&amp;height=120&amp;START_MAXIMIZED=FALSE&amp;creator=factset&amp;display_string=Audit"}</definedName>
    <definedName name="_3231__FDSAUDITLINK__" hidden="1">{"fdsup://Directions/FactSet Auditing Viewer?action=AUDIT_VALUE&amp;DB=129&amp;ID1=82705T10&amp;VALUEID=02001&amp;SDATE=200502&amp;PERIODTYPE=QTR_STD&amp;SCFT=3&amp;window=popup_no_bar&amp;width=385&amp;height=120&amp;START_MAXIMIZED=FALSE&amp;creator=factset&amp;display_string=Audit"}</definedName>
    <definedName name="_3232__FDSAUDITLINK__" localSheetId="7" hidden="1">{"fdsup://Directions/FactSet Auditing Viewer?action=AUDIT_VALUE&amp;DB=129&amp;ID1=82705T10&amp;VALUEID=02001&amp;SDATE=200502&amp;PERIODTYPE=QTR_STD&amp;SCFT=3&amp;window=popup_no_bar&amp;width=385&amp;height=120&amp;START_MAXIMIZED=FALSE&amp;creator=factset&amp;display_string=Audit"}</definedName>
    <definedName name="_3232__FDSAUDITLINK__" hidden="1">{"fdsup://Directions/FactSet Auditing Viewer?action=AUDIT_VALUE&amp;DB=129&amp;ID1=82705T10&amp;VALUEID=02001&amp;SDATE=200502&amp;PERIODTYPE=QTR_STD&amp;SCFT=3&amp;window=popup_no_bar&amp;width=385&amp;height=120&amp;START_MAXIMIZED=FALSE&amp;creator=factset&amp;display_string=Audit"}</definedName>
    <definedName name="_3233__FDSAUDITLINK__" localSheetId="7" hidden="1">{"fdsup://Directions/FactSet Auditing Viewer?action=AUDIT_VALUE&amp;DB=129&amp;ID1=82705T10&amp;VALUEID=02001&amp;SDATE=200501&amp;PERIODTYPE=QTR_STD&amp;SCFT=3&amp;window=popup_no_bar&amp;width=385&amp;height=120&amp;START_MAXIMIZED=FALSE&amp;creator=factset&amp;display_string=Audit"}</definedName>
    <definedName name="_3233__FDSAUDITLINK__" hidden="1">{"fdsup://Directions/FactSet Auditing Viewer?action=AUDIT_VALUE&amp;DB=129&amp;ID1=82705T10&amp;VALUEID=02001&amp;SDATE=200501&amp;PERIODTYPE=QTR_STD&amp;SCFT=3&amp;window=popup_no_bar&amp;width=385&amp;height=120&amp;START_MAXIMIZED=FALSE&amp;creator=factset&amp;display_string=Audit"}</definedName>
    <definedName name="_3234__FDSAUDITLINK__" localSheetId="7" hidden="1">{"fdsup://Directions/FactSet Auditing Viewer?action=AUDIT_VALUE&amp;DB=129&amp;ID1=82705T10&amp;VALUEID=02001&amp;SDATE=200501&amp;PERIODTYPE=QTR_STD&amp;SCFT=3&amp;window=popup_no_bar&amp;width=385&amp;height=120&amp;START_MAXIMIZED=FALSE&amp;creator=factset&amp;display_string=Audit"}</definedName>
    <definedName name="_3234__FDSAUDITLINK__" hidden="1">{"fdsup://Directions/FactSet Auditing Viewer?action=AUDIT_VALUE&amp;DB=129&amp;ID1=82705T10&amp;VALUEID=02001&amp;SDATE=200501&amp;PERIODTYPE=QTR_STD&amp;SCFT=3&amp;window=popup_no_bar&amp;width=385&amp;height=120&amp;START_MAXIMIZED=FALSE&amp;creator=factset&amp;display_string=Audit"}</definedName>
    <definedName name="_3235__FDSAUDITLINK__" localSheetId="7" hidden="1">{"fdsup://Directions/FactSet Auditing Viewer?action=AUDIT_VALUE&amp;DB=129&amp;ID1=82705T10&amp;VALUEID=02001&amp;SDATE=200403&amp;PERIODTYPE=QTR_STD&amp;SCFT=3&amp;window=popup_no_bar&amp;width=385&amp;height=120&amp;START_MAXIMIZED=FALSE&amp;creator=factset&amp;display_string=Audit"}</definedName>
    <definedName name="_3235__FDSAUDITLINK__" hidden="1">{"fdsup://Directions/FactSet Auditing Viewer?action=AUDIT_VALUE&amp;DB=129&amp;ID1=82705T10&amp;VALUEID=02001&amp;SDATE=200403&amp;PERIODTYPE=QTR_STD&amp;SCFT=3&amp;window=popup_no_bar&amp;width=385&amp;height=120&amp;START_MAXIMIZED=FALSE&amp;creator=factset&amp;display_string=Audit"}</definedName>
    <definedName name="_3236__FDSAUDITLINK__" localSheetId="7" hidden="1">{"fdsup://Directions/FactSet Auditing Viewer?action=AUDIT_VALUE&amp;DB=129&amp;ID1=82705T10&amp;VALUEID=02001&amp;SDATE=200403&amp;PERIODTYPE=QTR_STD&amp;SCFT=3&amp;window=popup_no_bar&amp;width=385&amp;height=120&amp;START_MAXIMIZED=FALSE&amp;creator=factset&amp;display_string=Audit"}</definedName>
    <definedName name="_3236__FDSAUDITLINK__" hidden="1">{"fdsup://Directions/FactSet Auditing Viewer?action=AUDIT_VALUE&amp;DB=129&amp;ID1=82705T10&amp;VALUEID=02001&amp;SDATE=200403&amp;PERIODTYPE=QTR_STD&amp;SCFT=3&amp;window=popup_no_bar&amp;width=385&amp;height=120&amp;START_MAXIMIZED=FALSE&amp;creator=factset&amp;display_string=Audit"}</definedName>
    <definedName name="_3237__FDSAUDITLINK__" localSheetId="7" hidden="1">{"fdsup://Directions/FactSet Auditing Viewer?action=AUDIT_VALUE&amp;DB=129&amp;ID1=82705T10&amp;VALUEID=02001&amp;SDATE=200402&amp;PERIODTYPE=QTR_STD&amp;SCFT=3&amp;window=popup_no_bar&amp;width=385&amp;height=120&amp;START_MAXIMIZED=FALSE&amp;creator=factset&amp;display_string=Audit"}</definedName>
    <definedName name="_3237__FDSAUDITLINK__" hidden="1">{"fdsup://Directions/FactSet Auditing Viewer?action=AUDIT_VALUE&amp;DB=129&amp;ID1=82705T10&amp;VALUEID=02001&amp;SDATE=200402&amp;PERIODTYPE=QTR_STD&amp;SCFT=3&amp;window=popup_no_bar&amp;width=385&amp;height=120&amp;START_MAXIMIZED=FALSE&amp;creator=factset&amp;display_string=Audit"}</definedName>
    <definedName name="_3238__FDSAUDITLINK__" localSheetId="7" hidden="1">{"fdsup://Directions/FactSet Auditing Viewer?action=AUDIT_VALUE&amp;DB=129&amp;ID1=82705T10&amp;VALUEID=02001&amp;SDATE=200402&amp;PERIODTYPE=QTR_STD&amp;SCFT=3&amp;window=popup_no_bar&amp;width=385&amp;height=120&amp;START_MAXIMIZED=FALSE&amp;creator=factset&amp;display_string=Audit"}</definedName>
    <definedName name="_3238__FDSAUDITLINK__" hidden="1">{"fdsup://Directions/FactSet Auditing Viewer?action=AUDIT_VALUE&amp;DB=129&amp;ID1=82705T10&amp;VALUEID=02001&amp;SDATE=200402&amp;PERIODTYPE=QTR_STD&amp;SCFT=3&amp;window=popup_no_bar&amp;width=385&amp;height=120&amp;START_MAXIMIZED=FALSE&amp;creator=factset&amp;display_string=Audit"}</definedName>
    <definedName name="_3239__FDSAUDITLINK__" localSheetId="7" hidden="1">{"fdsup://Directions/FactSet Auditing Viewer?action=AUDIT_VALUE&amp;DB=129&amp;ID1=82705T10&amp;VALUEID=02001&amp;SDATE=200401&amp;PERIODTYPE=QTR_STD&amp;SCFT=3&amp;window=popup_no_bar&amp;width=385&amp;height=120&amp;START_MAXIMIZED=FALSE&amp;creator=factset&amp;display_string=Audit"}</definedName>
    <definedName name="_3239__FDSAUDITLINK__" hidden="1">{"fdsup://Directions/FactSet Auditing Viewer?action=AUDIT_VALUE&amp;DB=129&amp;ID1=82705T10&amp;VALUEID=02001&amp;SDATE=200401&amp;PERIODTYPE=QTR_STD&amp;SCFT=3&amp;window=popup_no_bar&amp;width=385&amp;height=120&amp;START_MAXIMIZED=FALSE&amp;creator=factset&amp;display_string=Audit"}</definedName>
    <definedName name="_324__FDSAUDITLINK__" localSheetId="7" hidden="1">{"fdsup://Directions/FactSet Auditing Viewer?action=AUDIT_VALUE&amp;DB=129&amp;ID1=82691910&amp;VALUEID=02001&amp;SDATE=201003&amp;PERIODTYPE=QTR_STD&amp;SCFT=3&amp;window=popup_no_bar&amp;width=385&amp;height=120&amp;START_MAXIMIZED=FALSE&amp;creator=factset&amp;display_string=Audit"}</definedName>
    <definedName name="_324__FDSAUDITLINK__" hidden="1">{"fdsup://Directions/FactSet Auditing Viewer?action=AUDIT_VALUE&amp;DB=129&amp;ID1=82691910&amp;VALUEID=02001&amp;SDATE=201003&amp;PERIODTYPE=QTR_STD&amp;SCFT=3&amp;window=popup_no_bar&amp;width=385&amp;height=120&amp;START_MAXIMIZED=FALSE&amp;creator=factset&amp;display_string=Audit"}</definedName>
    <definedName name="_3240__FDSAUDITLINK__" localSheetId="7" hidden="1">{"fdsup://Directions/FactSet Auditing Viewer?action=AUDIT_VALUE&amp;DB=129&amp;ID1=82705T10&amp;VALUEID=02001&amp;SDATE=200401&amp;PERIODTYPE=QTR_STD&amp;SCFT=3&amp;window=popup_no_bar&amp;width=385&amp;height=120&amp;START_MAXIMIZED=FALSE&amp;creator=factset&amp;display_string=Audit"}</definedName>
    <definedName name="_3240__FDSAUDITLINK__" hidden="1">{"fdsup://Directions/FactSet Auditing Viewer?action=AUDIT_VALUE&amp;DB=129&amp;ID1=82705T10&amp;VALUEID=02001&amp;SDATE=200401&amp;PERIODTYPE=QTR_STD&amp;SCFT=3&amp;window=popup_no_bar&amp;width=385&amp;height=120&amp;START_MAXIMIZED=FALSE&amp;creator=factset&amp;display_string=Audit"}</definedName>
    <definedName name="_3241__FDSAUDITLINK__" localSheetId="7" hidden="1">{"fdsup://Directions/FactSet Auditing Viewer?action=AUDIT_VALUE&amp;DB=129&amp;ID1=75091710&amp;VALUEID=02001&amp;SDATE=200801&amp;PERIODTYPE=QTR_STD&amp;SCFT=3&amp;window=popup_no_bar&amp;width=385&amp;height=120&amp;START_MAXIMIZED=FALSE&amp;creator=factset&amp;display_string=Audit"}</definedName>
    <definedName name="_3241__FDSAUDITLINK__" hidden="1">{"fdsup://Directions/FactSet Auditing Viewer?action=AUDIT_VALUE&amp;DB=129&amp;ID1=75091710&amp;VALUEID=02001&amp;SDATE=200801&amp;PERIODTYPE=QTR_STD&amp;SCFT=3&amp;window=popup_no_bar&amp;width=385&amp;height=120&amp;START_MAXIMIZED=FALSE&amp;creator=factset&amp;display_string=Audit"}</definedName>
    <definedName name="_3242__FDSAUDITLINK__" localSheetId="7" hidden="1">{"fdsup://Directions/FactSet Auditing Viewer?action=AUDIT_VALUE&amp;DB=129&amp;ID1=75091710&amp;VALUEID=02001&amp;SDATE=200801&amp;PERIODTYPE=QTR_STD&amp;SCFT=3&amp;window=popup_no_bar&amp;width=385&amp;height=120&amp;START_MAXIMIZED=FALSE&amp;creator=factset&amp;display_string=Audit"}</definedName>
    <definedName name="_3242__FDSAUDITLINK__" hidden="1">{"fdsup://Directions/FactSet Auditing Viewer?action=AUDIT_VALUE&amp;DB=129&amp;ID1=75091710&amp;VALUEID=02001&amp;SDATE=200801&amp;PERIODTYPE=QTR_STD&amp;SCFT=3&amp;window=popup_no_bar&amp;width=385&amp;height=120&amp;START_MAXIMIZED=FALSE&amp;creator=factset&amp;display_string=Audit"}</definedName>
    <definedName name="_3243__FDSAUDITLINK__" localSheetId="7" hidden="1">{"fdsup://Directions/FactSet Auditing Viewer?action=AUDIT_VALUE&amp;DB=129&amp;ID1=75091710&amp;VALUEID=02001&amp;SDATE=200703&amp;PERIODTYPE=QTR_STD&amp;SCFT=3&amp;window=popup_no_bar&amp;width=385&amp;height=120&amp;START_MAXIMIZED=FALSE&amp;creator=factset&amp;display_string=Audit"}</definedName>
    <definedName name="_3243__FDSAUDITLINK__" hidden="1">{"fdsup://Directions/FactSet Auditing Viewer?action=AUDIT_VALUE&amp;DB=129&amp;ID1=75091710&amp;VALUEID=02001&amp;SDATE=200703&amp;PERIODTYPE=QTR_STD&amp;SCFT=3&amp;window=popup_no_bar&amp;width=385&amp;height=120&amp;START_MAXIMIZED=FALSE&amp;creator=factset&amp;display_string=Audit"}</definedName>
    <definedName name="_3244__FDSAUDITLINK__" localSheetId="7" hidden="1">{"fdsup://Directions/FactSet Auditing Viewer?action=AUDIT_VALUE&amp;DB=129&amp;ID1=75091710&amp;VALUEID=02001&amp;SDATE=200703&amp;PERIODTYPE=QTR_STD&amp;SCFT=3&amp;window=popup_no_bar&amp;width=385&amp;height=120&amp;START_MAXIMIZED=FALSE&amp;creator=factset&amp;display_string=Audit"}</definedName>
    <definedName name="_3244__FDSAUDITLINK__" hidden="1">{"fdsup://Directions/FactSet Auditing Viewer?action=AUDIT_VALUE&amp;DB=129&amp;ID1=75091710&amp;VALUEID=02001&amp;SDATE=200703&amp;PERIODTYPE=QTR_STD&amp;SCFT=3&amp;window=popup_no_bar&amp;width=385&amp;height=120&amp;START_MAXIMIZED=FALSE&amp;creator=factset&amp;display_string=Audit"}</definedName>
    <definedName name="_3245__FDSAUDITLINK__" localSheetId="7" hidden="1">{"fdsup://Directions/FactSet Auditing Viewer?action=AUDIT_VALUE&amp;DB=129&amp;ID1=75091710&amp;VALUEID=02001&amp;SDATE=200702&amp;PERIODTYPE=QTR_STD&amp;SCFT=3&amp;window=popup_no_bar&amp;width=385&amp;height=120&amp;START_MAXIMIZED=FALSE&amp;creator=factset&amp;display_string=Audit"}</definedName>
    <definedName name="_3245__FDSAUDITLINK__" hidden="1">{"fdsup://Directions/FactSet Auditing Viewer?action=AUDIT_VALUE&amp;DB=129&amp;ID1=75091710&amp;VALUEID=02001&amp;SDATE=200702&amp;PERIODTYPE=QTR_STD&amp;SCFT=3&amp;window=popup_no_bar&amp;width=385&amp;height=120&amp;START_MAXIMIZED=FALSE&amp;creator=factset&amp;display_string=Audit"}</definedName>
    <definedName name="_3246__FDSAUDITLINK__" localSheetId="7" hidden="1">{"fdsup://Directions/FactSet Auditing Viewer?action=AUDIT_VALUE&amp;DB=129&amp;ID1=75091710&amp;VALUEID=02001&amp;SDATE=200702&amp;PERIODTYPE=QTR_STD&amp;SCFT=3&amp;window=popup_no_bar&amp;width=385&amp;height=120&amp;START_MAXIMIZED=FALSE&amp;creator=factset&amp;display_string=Audit"}</definedName>
    <definedName name="_3246__FDSAUDITLINK__" hidden="1">{"fdsup://Directions/FactSet Auditing Viewer?action=AUDIT_VALUE&amp;DB=129&amp;ID1=75091710&amp;VALUEID=02001&amp;SDATE=200702&amp;PERIODTYPE=QTR_STD&amp;SCFT=3&amp;window=popup_no_bar&amp;width=385&amp;height=120&amp;START_MAXIMIZED=FALSE&amp;creator=factset&amp;display_string=Audit"}</definedName>
    <definedName name="_3247__FDSAUDITLINK__" localSheetId="7" hidden="1">{"fdsup://Directions/FactSet Auditing Viewer?action=AUDIT_VALUE&amp;DB=129&amp;ID1=75091710&amp;VALUEID=02001&amp;SDATE=200701&amp;PERIODTYPE=QTR_STD&amp;SCFT=3&amp;window=popup_no_bar&amp;width=385&amp;height=120&amp;START_MAXIMIZED=FALSE&amp;creator=factset&amp;display_string=Audit"}</definedName>
    <definedName name="_3247__FDSAUDITLINK__" hidden="1">{"fdsup://Directions/FactSet Auditing Viewer?action=AUDIT_VALUE&amp;DB=129&amp;ID1=75091710&amp;VALUEID=02001&amp;SDATE=200701&amp;PERIODTYPE=QTR_STD&amp;SCFT=3&amp;window=popup_no_bar&amp;width=385&amp;height=120&amp;START_MAXIMIZED=FALSE&amp;creator=factset&amp;display_string=Audit"}</definedName>
    <definedName name="_3248__FDSAUDITLINK__" localSheetId="7" hidden="1">{"fdsup://Directions/FactSet Auditing Viewer?action=AUDIT_VALUE&amp;DB=129&amp;ID1=75091710&amp;VALUEID=02001&amp;SDATE=200701&amp;PERIODTYPE=QTR_STD&amp;SCFT=3&amp;window=popup_no_bar&amp;width=385&amp;height=120&amp;START_MAXIMIZED=FALSE&amp;creator=factset&amp;display_string=Audit"}</definedName>
    <definedName name="_3248__FDSAUDITLINK__" hidden="1">{"fdsup://Directions/FactSet Auditing Viewer?action=AUDIT_VALUE&amp;DB=129&amp;ID1=75091710&amp;VALUEID=02001&amp;SDATE=200701&amp;PERIODTYPE=QTR_STD&amp;SCFT=3&amp;window=popup_no_bar&amp;width=385&amp;height=120&amp;START_MAXIMIZED=FALSE&amp;creator=factset&amp;display_string=Audit"}</definedName>
    <definedName name="_3249__FDSAUDITLINK__" localSheetId="7" hidden="1">{"fdsup://Directions/FactSet Auditing Viewer?action=AUDIT_VALUE&amp;DB=129&amp;ID1=75091710&amp;VALUEID=02001&amp;SDATE=200603&amp;PERIODTYPE=QTR_STD&amp;SCFT=3&amp;window=popup_no_bar&amp;width=385&amp;height=120&amp;START_MAXIMIZED=FALSE&amp;creator=factset&amp;display_string=Audit"}</definedName>
    <definedName name="_3249__FDSAUDITLINK__" hidden="1">{"fdsup://Directions/FactSet Auditing Viewer?action=AUDIT_VALUE&amp;DB=129&amp;ID1=75091710&amp;VALUEID=02001&amp;SDATE=200603&amp;PERIODTYPE=QTR_STD&amp;SCFT=3&amp;window=popup_no_bar&amp;width=385&amp;height=120&amp;START_MAXIMIZED=FALSE&amp;creator=factset&amp;display_string=Audit"}</definedName>
    <definedName name="_325__FDSAUDITLINK__" localSheetId="7" hidden="1">{"fdsup://Directions/FactSet Auditing Viewer?action=AUDIT_VALUE&amp;DB=129&amp;ID1=82705T10&amp;VALUEID=02001&amp;SDATE=201003&amp;PERIODTYPE=QTR_STD&amp;SCFT=3&amp;window=popup_no_bar&amp;width=385&amp;height=120&amp;START_MAXIMIZED=FALSE&amp;creator=factset&amp;display_string=Audit"}</definedName>
    <definedName name="_325__FDSAUDITLINK__" hidden="1">{"fdsup://Directions/FactSet Auditing Viewer?action=AUDIT_VALUE&amp;DB=129&amp;ID1=82705T10&amp;VALUEID=02001&amp;SDATE=201003&amp;PERIODTYPE=QTR_STD&amp;SCFT=3&amp;window=popup_no_bar&amp;width=385&amp;height=120&amp;START_MAXIMIZED=FALSE&amp;creator=factset&amp;display_string=Audit"}</definedName>
    <definedName name="_3250__FDSAUDITLINK__" localSheetId="7" hidden="1">{"fdsup://Directions/FactSet Auditing Viewer?action=AUDIT_VALUE&amp;DB=129&amp;ID1=75091710&amp;VALUEID=02001&amp;SDATE=200603&amp;PERIODTYPE=QTR_STD&amp;SCFT=3&amp;window=popup_no_bar&amp;width=385&amp;height=120&amp;START_MAXIMIZED=FALSE&amp;creator=factset&amp;display_string=Audit"}</definedName>
    <definedName name="_3250__FDSAUDITLINK__" hidden="1">{"fdsup://Directions/FactSet Auditing Viewer?action=AUDIT_VALUE&amp;DB=129&amp;ID1=75091710&amp;VALUEID=02001&amp;SDATE=200603&amp;PERIODTYPE=QTR_STD&amp;SCFT=3&amp;window=popup_no_bar&amp;width=385&amp;height=120&amp;START_MAXIMIZED=FALSE&amp;creator=factset&amp;display_string=Audit"}</definedName>
    <definedName name="_3251__FDSAUDITLINK__" localSheetId="7" hidden="1">{"fdsup://Directions/FactSet Auditing Viewer?action=AUDIT_VALUE&amp;DB=129&amp;ID1=75091710&amp;VALUEID=02001&amp;SDATE=200602&amp;PERIODTYPE=QTR_STD&amp;SCFT=3&amp;window=popup_no_bar&amp;width=385&amp;height=120&amp;START_MAXIMIZED=FALSE&amp;creator=factset&amp;display_string=Audit"}</definedName>
    <definedName name="_3251__FDSAUDITLINK__" hidden="1">{"fdsup://Directions/FactSet Auditing Viewer?action=AUDIT_VALUE&amp;DB=129&amp;ID1=75091710&amp;VALUEID=02001&amp;SDATE=200602&amp;PERIODTYPE=QTR_STD&amp;SCFT=3&amp;window=popup_no_bar&amp;width=385&amp;height=120&amp;START_MAXIMIZED=FALSE&amp;creator=factset&amp;display_string=Audit"}</definedName>
    <definedName name="_3252__FDSAUDITLINK__" localSheetId="7" hidden="1">{"fdsup://Directions/FactSet Auditing Viewer?action=AUDIT_VALUE&amp;DB=129&amp;ID1=75091710&amp;VALUEID=02001&amp;SDATE=200602&amp;PERIODTYPE=QTR_STD&amp;SCFT=3&amp;window=popup_no_bar&amp;width=385&amp;height=120&amp;START_MAXIMIZED=FALSE&amp;creator=factset&amp;display_string=Audit"}</definedName>
    <definedName name="_3252__FDSAUDITLINK__" hidden="1">{"fdsup://Directions/FactSet Auditing Viewer?action=AUDIT_VALUE&amp;DB=129&amp;ID1=75091710&amp;VALUEID=02001&amp;SDATE=200602&amp;PERIODTYPE=QTR_STD&amp;SCFT=3&amp;window=popup_no_bar&amp;width=385&amp;height=120&amp;START_MAXIMIZED=FALSE&amp;creator=factset&amp;display_string=Audit"}</definedName>
    <definedName name="_3253__FDSAUDITLINK__" localSheetId="7" hidden="1">{"fdsup://Directions/FactSet Auditing Viewer?action=AUDIT_VALUE&amp;DB=129&amp;ID1=75091710&amp;VALUEID=02001&amp;SDATE=200601&amp;PERIODTYPE=QTR_STD&amp;SCFT=3&amp;window=popup_no_bar&amp;width=385&amp;height=120&amp;START_MAXIMIZED=FALSE&amp;creator=factset&amp;display_string=Audit"}</definedName>
    <definedName name="_3253__FDSAUDITLINK__" hidden="1">{"fdsup://Directions/FactSet Auditing Viewer?action=AUDIT_VALUE&amp;DB=129&amp;ID1=75091710&amp;VALUEID=02001&amp;SDATE=200601&amp;PERIODTYPE=QTR_STD&amp;SCFT=3&amp;window=popup_no_bar&amp;width=385&amp;height=120&amp;START_MAXIMIZED=FALSE&amp;creator=factset&amp;display_string=Audit"}</definedName>
    <definedName name="_3254__FDSAUDITLINK__" localSheetId="7" hidden="1">{"fdsup://Directions/FactSet Auditing Viewer?action=AUDIT_VALUE&amp;DB=129&amp;ID1=75091710&amp;VALUEID=02001&amp;SDATE=200601&amp;PERIODTYPE=QTR_STD&amp;SCFT=3&amp;window=popup_no_bar&amp;width=385&amp;height=120&amp;START_MAXIMIZED=FALSE&amp;creator=factset&amp;display_string=Audit"}</definedName>
    <definedName name="_3254__FDSAUDITLINK__" hidden="1">{"fdsup://Directions/FactSet Auditing Viewer?action=AUDIT_VALUE&amp;DB=129&amp;ID1=75091710&amp;VALUEID=02001&amp;SDATE=200601&amp;PERIODTYPE=QTR_STD&amp;SCFT=3&amp;window=popup_no_bar&amp;width=385&amp;height=120&amp;START_MAXIMIZED=FALSE&amp;creator=factset&amp;display_string=Audit"}</definedName>
    <definedName name="_3255__FDSAUDITLINK__" localSheetId="7" hidden="1">{"fdsup://Directions/FactSet Auditing Viewer?action=AUDIT_VALUE&amp;DB=129&amp;ID1=75091710&amp;VALUEID=02001&amp;SDATE=200503&amp;PERIODTYPE=QTR_STD&amp;SCFT=3&amp;window=popup_no_bar&amp;width=385&amp;height=120&amp;START_MAXIMIZED=FALSE&amp;creator=factset&amp;display_string=Audit"}</definedName>
    <definedName name="_3255__FDSAUDITLINK__" hidden="1">{"fdsup://Directions/FactSet Auditing Viewer?action=AUDIT_VALUE&amp;DB=129&amp;ID1=75091710&amp;VALUEID=02001&amp;SDATE=200503&amp;PERIODTYPE=QTR_STD&amp;SCFT=3&amp;window=popup_no_bar&amp;width=385&amp;height=120&amp;START_MAXIMIZED=FALSE&amp;creator=factset&amp;display_string=Audit"}</definedName>
    <definedName name="_3256__FDSAUDITLINK__" localSheetId="7" hidden="1">{"fdsup://Directions/FactSet Auditing Viewer?action=AUDIT_VALUE&amp;DB=129&amp;ID1=75091710&amp;VALUEID=02001&amp;SDATE=200503&amp;PERIODTYPE=QTR_STD&amp;SCFT=3&amp;window=popup_no_bar&amp;width=385&amp;height=120&amp;START_MAXIMIZED=FALSE&amp;creator=factset&amp;display_string=Audit"}</definedName>
    <definedName name="_3256__FDSAUDITLINK__" hidden="1">{"fdsup://Directions/FactSet Auditing Viewer?action=AUDIT_VALUE&amp;DB=129&amp;ID1=75091710&amp;VALUEID=02001&amp;SDATE=200503&amp;PERIODTYPE=QTR_STD&amp;SCFT=3&amp;window=popup_no_bar&amp;width=385&amp;height=120&amp;START_MAXIMIZED=FALSE&amp;creator=factset&amp;display_string=Audit"}</definedName>
    <definedName name="_3257__FDSAUDITLINK__" localSheetId="7" hidden="1">{"fdsup://Directions/FactSet Auditing Viewer?action=AUDIT_VALUE&amp;DB=129&amp;ID1=75091710&amp;VALUEID=02001&amp;SDATE=200502&amp;PERIODTYPE=QTR_STD&amp;SCFT=3&amp;window=popup_no_bar&amp;width=385&amp;height=120&amp;START_MAXIMIZED=FALSE&amp;creator=factset&amp;display_string=Audit"}</definedName>
    <definedName name="_3257__FDSAUDITLINK__" hidden="1">{"fdsup://Directions/FactSet Auditing Viewer?action=AUDIT_VALUE&amp;DB=129&amp;ID1=75091710&amp;VALUEID=02001&amp;SDATE=200502&amp;PERIODTYPE=QTR_STD&amp;SCFT=3&amp;window=popup_no_bar&amp;width=385&amp;height=120&amp;START_MAXIMIZED=FALSE&amp;creator=factset&amp;display_string=Audit"}</definedName>
    <definedName name="_3258__FDSAUDITLINK__" localSheetId="7" hidden="1">{"fdsup://Directions/FactSet Auditing Viewer?action=AUDIT_VALUE&amp;DB=129&amp;ID1=75091710&amp;VALUEID=02001&amp;SDATE=200502&amp;PERIODTYPE=QTR_STD&amp;SCFT=3&amp;window=popup_no_bar&amp;width=385&amp;height=120&amp;START_MAXIMIZED=FALSE&amp;creator=factset&amp;display_string=Audit"}</definedName>
    <definedName name="_3258__FDSAUDITLINK__" hidden="1">{"fdsup://Directions/FactSet Auditing Viewer?action=AUDIT_VALUE&amp;DB=129&amp;ID1=75091710&amp;VALUEID=02001&amp;SDATE=200502&amp;PERIODTYPE=QTR_STD&amp;SCFT=3&amp;window=popup_no_bar&amp;width=385&amp;height=120&amp;START_MAXIMIZED=FALSE&amp;creator=factset&amp;display_string=Audit"}</definedName>
    <definedName name="_3259__FDSAUDITLINK__" localSheetId="7" hidden="1">{"fdsup://Directions/FactSet Auditing Viewer?action=AUDIT_VALUE&amp;DB=129&amp;ID1=75091710&amp;VALUEID=02001&amp;SDATE=200501&amp;PERIODTYPE=QTR_STD&amp;SCFT=3&amp;window=popup_no_bar&amp;width=385&amp;height=120&amp;START_MAXIMIZED=FALSE&amp;creator=factset&amp;display_string=Audit"}</definedName>
    <definedName name="_3259__FDSAUDITLINK__" hidden="1">{"fdsup://Directions/FactSet Auditing Viewer?action=AUDIT_VALUE&amp;DB=129&amp;ID1=75091710&amp;VALUEID=02001&amp;SDATE=200501&amp;PERIODTYPE=QTR_STD&amp;SCFT=3&amp;window=popup_no_bar&amp;width=385&amp;height=120&amp;START_MAXIMIZED=FALSE&amp;creator=factset&amp;display_string=Audit"}</definedName>
    <definedName name="_326__FDSAUDITLINK__" localSheetId="7" hidden="1">{"fdsup://Directions/FactSet Auditing Viewer?action=AUDIT_VALUE&amp;DB=129&amp;ID1=82705T10&amp;VALUEID=02001&amp;SDATE=201003&amp;PERIODTYPE=QTR_STD&amp;SCFT=3&amp;window=popup_no_bar&amp;width=385&amp;height=120&amp;START_MAXIMIZED=FALSE&amp;creator=factset&amp;display_string=Audit"}</definedName>
    <definedName name="_326__FDSAUDITLINK__" hidden="1">{"fdsup://Directions/FactSet Auditing Viewer?action=AUDIT_VALUE&amp;DB=129&amp;ID1=82705T10&amp;VALUEID=02001&amp;SDATE=201003&amp;PERIODTYPE=QTR_STD&amp;SCFT=3&amp;window=popup_no_bar&amp;width=385&amp;height=120&amp;START_MAXIMIZED=FALSE&amp;creator=factset&amp;display_string=Audit"}</definedName>
    <definedName name="_3260__FDSAUDITLINK__" localSheetId="7" hidden="1">{"fdsup://Directions/FactSet Auditing Viewer?action=AUDIT_VALUE&amp;DB=129&amp;ID1=75091710&amp;VALUEID=02001&amp;SDATE=200501&amp;PERIODTYPE=QTR_STD&amp;SCFT=3&amp;window=popup_no_bar&amp;width=385&amp;height=120&amp;START_MAXIMIZED=FALSE&amp;creator=factset&amp;display_string=Audit"}</definedName>
    <definedName name="_3260__FDSAUDITLINK__" hidden="1">{"fdsup://Directions/FactSet Auditing Viewer?action=AUDIT_VALUE&amp;DB=129&amp;ID1=75091710&amp;VALUEID=02001&amp;SDATE=200501&amp;PERIODTYPE=QTR_STD&amp;SCFT=3&amp;window=popup_no_bar&amp;width=385&amp;height=120&amp;START_MAXIMIZED=FALSE&amp;creator=factset&amp;display_string=Audit"}</definedName>
    <definedName name="_3261__FDSAUDITLINK__" localSheetId="7" hidden="1">{"fdsup://Directions/FactSet Auditing Viewer?action=AUDIT_VALUE&amp;DB=129&amp;ID1=75091710&amp;VALUEID=02001&amp;SDATE=200403&amp;PERIODTYPE=QTR_STD&amp;SCFT=3&amp;window=popup_no_bar&amp;width=385&amp;height=120&amp;START_MAXIMIZED=FALSE&amp;creator=factset&amp;display_string=Audit"}</definedName>
    <definedName name="_3261__FDSAUDITLINK__" hidden="1">{"fdsup://Directions/FactSet Auditing Viewer?action=AUDIT_VALUE&amp;DB=129&amp;ID1=75091710&amp;VALUEID=02001&amp;SDATE=200403&amp;PERIODTYPE=QTR_STD&amp;SCFT=3&amp;window=popup_no_bar&amp;width=385&amp;height=120&amp;START_MAXIMIZED=FALSE&amp;creator=factset&amp;display_string=Audit"}</definedName>
    <definedName name="_3262__FDSAUDITLINK__" localSheetId="7" hidden="1">{"fdsup://Directions/FactSet Auditing Viewer?action=AUDIT_VALUE&amp;DB=129&amp;ID1=75091710&amp;VALUEID=02001&amp;SDATE=200403&amp;PERIODTYPE=QTR_STD&amp;SCFT=3&amp;window=popup_no_bar&amp;width=385&amp;height=120&amp;START_MAXIMIZED=FALSE&amp;creator=factset&amp;display_string=Audit"}</definedName>
    <definedName name="_3262__FDSAUDITLINK__" hidden="1">{"fdsup://Directions/FactSet Auditing Viewer?action=AUDIT_VALUE&amp;DB=129&amp;ID1=75091710&amp;VALUEID=02001&amp;SDATE=200403&amp;PERIODTYPE=QTR_STD&amp;SCFT=3&amp;window=popup_no_bar&amp;width=385&amp;height=120&amp;START_MAXIMIZED=FALSE&amp;creator=factset&amp;display_string=Audit"}</definedName>
    <definedName name="_3263__FDSAUDITLINK__" localSheetId="7" hidden="1">{"fdsup://Directions/FactSet Auditing Viewer?action=AUDIT_VALUE&amp;DB=129&amp;ID1=75091710&amp;VALUEID=02001&amp;SDATE=200402&amp;PERIODTYPE=QTR_STD&amp;SCFT=3&amp;window=popup_no_bar&amp;width=385&amp;height=120&amp;START_MAXIMIZED=FALSE&amp;creator=factset&amp;display_string=Audit"}</definedName>
    <definedName name="_3263__FDSAUDITLINK__" hidden="1">{"fdsup://Directions/FactSet Auditing Viewer?action=AUDIT_VALUE&amp;DB=129&amp;ID1=75091710&amp;VALUEID=02001&amp;SDATE=200402&amp;PERIODTYPE=QTR_STD&amp;SCFT=3&amp;window=popup_no_bar&amp;width=385&amp;height=120&amp;START_MAXIMIZED=FALSE&amp;creator=factset&amp;display_string=Audit"}</definedName>
    <definedName name="_3264__FDSAUDITLINK__" localSheetId="7" hidden="1">{"fdsup://Directions/FactSet Auditing Viewer?action=AUDIT_VALUE&amp;DB=129&amp;ID1=75091710&amp;VALUEID=02001&amp;SDATE=200402&amp;PERIODTYPE=QTR_STD&amp;SCFT=3&amp;window=popup_no_bar&amp;width=385&amp;height=120&amp;START_MAXIMIZED=FALSE&amp;creator=factset&amp;display_string=Audit"}</definedName>
    <definedName name="_3264__FDSAUDITLINK__" hidden="1">{"fdsup://Directions/FactSet Auditing Viewer?action=AUDIT_VALUE&amp;DB=129&amp;ID1=75091710&amp;VALUEID=02001&amp;SDATE=200402&amp;PERIODTYPE=QTR_STD&amp;SCFT=3&amp;window=popup_no_bar&amp;width=385&amp;height=120&amp;START_MAXIMIZED=FALSE&amp;creator=factset&amp;display_string=Audit"}</definedName>
    <definedName name="_3265__FDSAUDITLINK__" localSheetId="7" hidden="1">{"fdsup://Directions/FactSet Auditing Viewer?action=AUDIT_VALUE&amp;DB=129&amp;ID1=75091710&amp;VALUEID=02001&amp;SDATE=200401&amp;PERIODTYPE=QTR_STD&amp;SCFT=3&amp;window=popup_no_bar&amp;width=385&amp;height=120&amp;START_MAXIMIZED=FALSE&amp;creator=factset&amp;display_string=Audit"}</definedName>
    <definedName name="_3265__FDSAUDITLINK__" hidden="1">{"fdsup://Directions/FactSet Auditing Viewer?action=AUDIT_VALUE&amp;DB=129&amp;ID1=75091710&amp;VALUEID=02001&amp;SDATE=200401&amp;PERIODTYPE=QTR_STD&amp;SCFT=3&amp;window=popup_no_bar&amp;width=385&amp;height=120&amp;START_MAXIMIZED=FALSE&amp;creator=factset&amp;display_string=Audit"}</definedName>
    <definedName name="_3266__FDSAUDITLINK__" localSheetId="7" hidden="1">{"fdsup://Directions/FactSet Auditing Viewer?action=AUDIT_VALUE&amp;DB=129&amp;ID1=75091710&amp;VALUEID=02001&amp;SDATE=200401&amp;PERIODTYPE=QTR_STD&amp;SCFT=3&amp;window=popup_no_bar&amp;width=385&amp;height=120&amp;START_MAXIMIZED=FALSE&amp;creator=factset&amp;display_string=Audit"}</definedName>
    <definedName name="_3266__FDSAUDITLINK__" hidden="1">{"fdsup://Directions/FactSet Auditing Viewer?action=AUDIT_VALUE&amp;DB=129&amp;ID1=75091710&amp;VALUEID=02001&amp;SDATE=200401&amp;PERIODTYPE=QTR_STD&amp;SCFT=3&amp;window=popup_no_bar&amp;width=385&amp;height=120&amp;START_MAXIMIZED=FALSE&amp;creator=factset&amp;display_string=Audit"}</definedName>
    <definedName name="_3267__FDSAUDITLINK__" localSheetId="7" hidden="1">{"fdsup://Directions/FactSet Auditing Viewer?action=AUDIT_VALUE&amp;DB=129&amp;ID1=74994110&amp;VALUEID=02001&amp;SDATE=200703&amp;PERIODTYPE=QTR_STD&amp;SCFT=3&amp;window=popup_no_bar&amp;width=385&amp;height=120&amp;START_MAXIMIZED=FALSE&amp;creator=factset&amp;display_string=Audit"}</definedName>
    <definedName name="_3267__FDSAUDITLINK__" hidden="1">{"fdsup://Directions/FactSet Auditing Viewer?action=AUDIT_VALUE&amp;DB=129&amp;ID1=74994110&amp;VALUEID=02001&amp;SDATE=200703&amp;PERIODTYPE=QTR_STD&amp;SCFT=3&amp;window=popup_no_bar&amp;width=385&amp;height=120&amp;START_MAXIMIZED=FALSE&amp;creator=factset&amp;display_string=Audit"}</definedName>
    <definedName name="_3268__FDSAUDITLINK__" localSheetId="7" hidden="1">{"fdsup://Directions/FactSet Auditing Viewer?action=AUDIT_VALUE&amp;DB=129&amp;ID1=74994110&amp;VALUEID=02001&amp;SDATE=200703&amp;PERIODTYPE=QTR_STD&amp;SCFT=3&amp;window=popup_no_bar&amp;width=385&amp;height=120&amp;START_MAXIMIZED=FALSE&amp;creator=factset&amp;display_string=Audit"}</definedName>
    <definedName name="_3268__FDSAUDITLINK__" hidden="1">{"fdsup://Directions/FactSet Auditing Viewer?action=AUDIT_VALUE&amp;DB=129&amp;ID1=74994110&amp;VALUEID=02001&amp;SDATE=200703&amp;PERIODTYPE=QTR_STD&amp;SCFT=3&amp;window=popup_no_bar&amp;width=385&amp;height=120&amp;START_MAXIMIZED=FALSE&amp;creator=factset&amp;display_string=Audit"}</definedName>
    <definedName name="_3269__FDSAUDITLINK__" localSheetId="7" hidden="1">{"fdsup://Directions/FactSet Auditing Viewer?action=AUDIT_VALUE&amp;DB=129&amp;ID1=74994110&amp;VALUEID=02001&amp;SDATE=200702&amp;PERIODTYPE=QTR_STD&amp;SCFT=3&amp;window=popup_no_bar&amp;width=385&amp;height=120&amp;START_MAXIMIZED=FALSE&amp;creator=factset&amp;display_string=Audit"}</definedName>
    <definedName name="_3269__FDSAUDITLINK__" hidden="1">{"fdsup://Directions/FactSet Auditing Viewer?action=AUDIT_VALUE&amp;DB=129&amp;ID1=74994110&amp;VALUEID=02001&amp;SDATE=200702&amp;PERIODTYPE=QTR_STD&amp;SCFT=3&amp;window=popup_no_bar&amp;width=385&amp;height=120&amp;START_MAXIMIZED=FALSE&amp;creator=factset&amp;display_string=Audit"}</definedName>
    <definedName name="_327__FDSAUDITLINK__" localSheetId="7" hidden="1">{"fdsup://Directions/FactSet Auditing Viewer?action=AUDIT_VALUE&amp;DB=129&amp;ID1=75091710&amp;VALUEID=02001&amp;SDATE=201003&amp;PERIODTYPE=QTR_STD&amp;SCFT=3&amp;window=popup_no_bar&amp;width=385&amp;height=120&amp;START_MAXIMIZED=FALSE&amp;creator=factset&amp;display_string=Audit"}</definedName>
    <definedName name="_327__FDSAUDITLINK__" hidden="1">{"fdsup://Directions/FactSet Auditing Viewer?action=AUDIT_VALUE&amp;DB=129&amp;ID1=75091710&amp;VALUEID=02001&amp;SDATE=201003&amp;PERIODTYPE=QTR_STD&amp;SCFT=3&amp;window=popup_no_bar&amp;width=385&amp;height=120&amp;START_MAXIMIZED=FALSE&amp;creator=factset&amp;display_string=Audit"}</definedName>
    <definedName name="_3270__FDSAUDITLINK__" localSheetId="7" hidden="1">{"fdsup://Directions/FactSet Auditing Viewer?action=AUDIT_VALUE&amp;DB=129&amp;ID1=74994110&amp;VALUEID=02001&amp;SDATE=200702&amp;PERIODTYPE=QTR_STD&amp;SCFT=3&amp;window=popup_no_bar&amp;width=385&amp;height=120&amp;START_MAXIMIZED=FALSE&amp;creator=factset&amp;display_string=Audit"}</definedName>
    <definedName name="_3270__FDSAUDITLINK__" hidden="1">{"fdsup://Directions/FactSet Auditing Viewer?action=AUDIT_VALUE&amp;DB=129&amp;ID1=74994110&amp;VALUEID=02001&amp;SDATE=200702&amp;PERIODTYPE=QTR_STD&amp;SCFT=3&amp;window=popup_no_bar&amp;width=385&amp;height=120&amp;START_MAXIMIZED=FALSE&amp;creator=factset&amp;display_string=Audit"}</definedName>
    <definedName name="_3271__FDSAUDITLINK__" localSheetId="7" hidden="1">{"fdsup://Directions/FactSet Auditing Viewer?action=AUDIT_VALUE&amp;DB=129&amp;ID1=74994110&amp;VALUEID=02001&amp;SDATE=200701&amp;PERIODTYPE=QTR_STD&amp;SCFT=3&amp;window=popup_no_bar&amp;width=385&amp;height=120&amp;START_MAXIMIZED=FALSE&amp;creator=factset&amp;display_string=Audit"}</definedName>
    <definedName name="_3271__FDSAUDITLINK__" hidden="1">{"fdsup://Directions/FactSet Auditing Viewer?action=AUDIT_VALUE&amp;DB=129&amp;ID1=74994110&amp;VALUEID=02001&amp;SDATE=200701&amp;PERIODTYPE=QTR_STD&amp;SCFT=3&amp;window=popup_no_bar&amp;width=385&amp;height=120&amp;START_MAXIMIZED=FALSE&amp;creator=factset&amp;display_string=Audit"}</definedName>
    <definedName name="_3272__FDSAUDITLINK__" localSheetId="7" hidden="1">{"fdsup://Directions/FactSet Auditing Viewer?action=AUDIT_VALUE&amp;DB=129&amp;ID1=74994110&amp;VALUEID=02001&amp;SDATE=200701&amp;PERIODTYPE=QTR_STD&amp;SCFT=3&amp;window=popup_no_bar&amp;width=385&amp;height=120&amp;START_MAXIMIZED=FALSE&amp;creator=factset&amp;display_string=Audit"}</definedName>
    <definedName name="_3272__FDSAUDITLINK__" hidden="1">{"fdsup://Directions/FactSet Auditing Viewer?action=AUDIT_VALUE&amp;DB=129&amp;ID1=74994110&amp;VALUEID=02001&amp;SDATE=200701&amp;PERIODTYPE=QTR_STD&amp;SCFT=3&amp;window=popup_no_bar&amp;width=385&amp;height=120&amp;START_MAXIMIZED=FALSE&amp;creator=factset&amp;display_string=Audit"}</definedName>
    <definedName name="_3273__FDSAUDITLINK__" localSheetId="7" hidden="1">{"fdsup://Directions/FactSet Auditing Viewer?action=AUDIT_VALUE&amp;DB=129&amp;ID1=74994110&amp;VALUEID=02001&amp;SDATE=200603&amp;PERIODTYPE=QTR_STD&amp;SCFT=3&amp;window=popup_no_bar&amp;width=385&amp;height=120&amp;START_MAXIMIZED=FALSE&amp;creator=factset&amp;display_string=Audit"}</definedName>
    <definedName name="_3273__FDSAUDITLINK__" hidden="1">{"fdsup://Directions/FactSet Auditing Viewer?action=AUDIT_VALUE&amp;DB=129&amp;ID1=74994110&amp;VALUEID=02001&amp;SDATE=200603&amp;PERIODTYPE=QTR_STD&amp;SCFT=3&amp;window=popup_no_bar&amp;width=385&amp;height=120&amp;START_MAXIMIZED=FALSE&amp;creator=factset&amp;display_string=Audit"}</definedName>
    <definedName name="_3274__FDSAUDITLINK__" localSheetId="7" hidden="1">{"fdsup://Directions/FactSet Auditing Viewer?action=AUDIT_VALUE&amp;DB=129&amp;ID1=74994110&amp;VALUEID=02001&amp;SDATE=200603&amp;PERIODTYPE=QTR_STD&amp;SCFT=3&amp;window=popup_no_bar&amp;width=385&amp;height=120&amp;START_MAXIMIZED=FALSE&amp;creator=factset&amp;display_string=Audit"}</definedName>
    <definedName name="_3274__FDSAUDITLINK__" hidden="1">{"fdsup://Directions/FactSet Auditing Viewer?action=AUDIT_VALUE&amp;DB=129&amp;ID1=74994110&amp;VALUEID=02001&amp;SDATE=200603&amp;PERIODTYPE=QTR_STD&amp;SCFT=3&amp;window=popup_no_bar&amp;width=385&amp;height=120&amp;START_MAXIMIZED=FALSE&amp;creator=factset&amp;display_string=Audit"}</definedName>
    <definedName name="_3275__FDSAUDITLINK__" localSheetId="7" hidden="1">{"fdsup://Directions/FactSet Auditing Viewer?action=AUDIT_VALUE&amp;DB=129&amp;ID1=74994110&amp;VALUEID=02001&amp;SDATE=200602&amp;PERIODTYPE=QTR_STD&amp;SCFT=3&amp;window=popup_no_bar&amp;width=385&amp;height=120&amp;START_MAXIMIZED=FALSE&amp;creator=factset&amp;display_string=Audit"}</definedName>
    <definedName name="_3275__FDSAUDITLINK__" hidden="1">{"fdsup://Directions/FactSet Auditing Viewer?action=AUDIT_VALUE&amp;DB=129&amp;ID1=74994110&amp;VALUEID=02001&amp;SDATE=200602&amp;PERIODTYPE=QTR_STD&amp;SCFT=3&amp;window=popup_no_bar&amp;width=385&amp;height=120&amp;START_MAXIMIZED=FALSE&amp;creator=factset&amp;display_string=Audit"}</definedName>
    <definedName name="_3276__FDSAUDITLINK__" localSheetId="7" hidden="1">{"fdsup://Directions/FactSet Auditing Viewer?action=AUDIT_VALUE&amp;DB=129&amp;ID1=74994110&amp;VALUEID=02001&amp;SDATE=200602&amp;PERIODTYPE=QTR_STD&amp;SCFT=3&amp;window=popup_no_bar&amp;width=385&amp;height=120&amp;START_MAXIMIZED=FALSE&amp;creator=factset&amp;display_string=Audit"}</definedName>
    <definedName name="_3276__FDSAUDITLINK__" hidden="1">{"fdsup://Directions/FactSet Auditing Viewer?action=AUDIT_VALUE&amp;DB=129&amp;ID1=74994110&amp;VALUEID=02001&amp;SDATE=200602&amp;PERIODTYPE=QTR_STD&amp;SCFT=3&amp;window=popup_no_bar&amp;width=385&amp;height=120&amp;START_MAXIMIZED=FALSE&amp;creator=factset&amp;display_string=Audit"}</definedName>
    <definedName name="_3277__FDSAUDITLINK__" localSheetId="7" hidden="1">{"fdsup://Directions/FactSet Auditing Viewer?action=AUDIT_VALUE&amp;DB=129&amp;ID1=74994110&amp;VALUEID=02001&amp;SDATE=200601&amp;PERIODTYPE=QTR_STD&amp;SCFT=3&amp;window=popup_no_bar&amp;width=385&amp;height=120&amp;START_MAXIMIZED=FALSE&amp;creator=factset&amp;display_string=Audit"}</definedName>
    <definedName name="_3277__FDSAUDITLINK__" hidden="1">{"fdsup://Directions/FactSet Auditing Viewer?action=AUDIT_VALUE&amp;DB=129&amp;ID1=74994110&amp;VALUEID=02001&amp;SDATE=200601&amp;PERIODTYPE=QTR_STD&amp;SCFT=3&amp;window=popup_no_bar&amp;width=385&amp;height=120&amp;START_MAXIMIZED=FALSE&amp;creator=factset&amp;display_string=Audit"}</definedName>
    <definedName name="_3278__FDSAUDITLINK__" localSheetId="7" hidden="1">{"fdsup://Directions/FactSet Auditing Viewer?action=AUDIT_VALUE&amp;DB=129&amp;ID1=74994110&amp;VALUEID=02001&amp;SDATE=200601&amp;PERIODTYPE=QTR_STD&amp;SCFT=3&amp;window=popup_no_bar&amp;width=385&amp;height=120&amp;START_MAXIMIZED=FALSE&amp;creator=factset&amp;display_string=Audit"}</definedName>
    <definedName name="_3278__FDSAUDITLINK__" hidden="1">{"fdsup://Directions/FactSet Auditing Viewer?action=AUDIT_VALUE&amp;DB=129&amp;ID1=74994110&amp;VALUEID=02001&amp;SDATE=200601&amp;PERIODTYPE=QTR_STD&amp;SCFT=3&amp;window=popup_no_bar&amp;width=385&amp;height=120&amp;START_MAXIMIZED=FALSE&amp;creator=factset&amp;display_string=Audit"}</definedName>
    <definedName name="_3279__FDSAUDITLINK__" localSheetId="7" hidden="1">{"fdsup://Directions/FactSet Auditing Viewer?action=AUDIT_VALUE&amp;DB=129&amp;ID1=74994110&amp;VALUEID=02001&amp;SDATE=200503&amp;PERIODTYPE=QTR_STD&amp;SCFT=3&amp;window=popup_no_bar&amp;width=385&amp;height=120&amp;START_MAXIMIZED=FALSE&amp;creator=factset&amp;display_string=Audit"}</definedName>
    <definedName name="_3279__FDSAUDITLINK__" hidden="1">{"fdsup://Directions/FactSet Auditing Viewer?action=AUDIT_VALUE&amp;DB=129&amp;ID1=74994110&amp;VALUEID=02001&amp;SDATE=200503&amp;PERIODTYPE=QTR_STD&amp;SCFT=3&amp;window=popup_no_bar&amp;width=385&amp;height=120&amp;START_MAXIMIZED=FALSE&amp;creator=factset&amp;display_string=Audit"}</definedName>
    <definedName name="_328__FDSAUDITLINK__" localSheetId="7" hidden="1">{"fdsup://Directions/FactSet Auditing Viewer?action=AUDIT_VALUE&amp;DB=129&amp;ID1=75091710&amp;VALUEID=02001&amp;SDATE=201003&amp;PERIODTYPE=QTR_STD&amp;SCFT=3&amp;window=popup_no_bar&amp;width=385&amp;height=120&amp;START_MAXIMIZED=FALSE&amp;creator=factset&amp;display_string=Audit"}</definedName>
    <definedName name="_328__FDSAUDITLINK__" hidden="1">{"fdsup://Directions/FactSet Auditing Viewer?action=AUDIT_VALUE&amp;DB=129&amp;ID1=75091710&amp;VALUEID=02001&amp;SDATE=201003&amp;PERIODTYPE=QTR_STD&amp;SCFT=3&amp;window=popup_no_bar&amp;width=385&amp;height=120&amp;START_MAXIMIZED=FALSE&amp;creator=factset&amp;display_string=Audit"}</definedName>
    <definedName name="_3280__FDSAUDITLINK__" localSheetId="7" hidden="1">{"fdsup://Directions/FactSet Auditing Viewer?action=AUDIT_VALUE&amp;DB=129&amp;ID1=74994110&amp;VALUEID=02001&amp;SDATE=200503&amp;PERIODTYPE=QTR_STD&amp;SCFT=3&amp;window=popup_no_bar&amp;width=385&amp;height=120&amp;START_MAXIMIZED=FALSE&amp;creator=factset&amp;display_string=Audit"}</definedName>
    <definedName name="_3280__FDSAUDITLINK__" hidden="1">{"fdsup://Directions/FactSet Auditing Viewer?action=AUDIT_VALUE&amp;DB=129&amp;ID1=74994110&amp;VALUEID=02001&amp;SDATE=200503&amp;PERIODTYPE=QTR_STD&amp;SCFT=3&amp;window=popup_no_bar&amp;width=385&amp;height=120&amp;START_MAXIMIZED=FALSE&amp;creator=factset&amp;display_string=Audit"}</definedName>
    <definedName name="_3281__FDSAUDITLINK__" localSheetId="7" hidden="1">{"fdsup://Directions/FactSet Auditing Viewer?action=AUDIT_VALUE&amp;DB=129&amp;ID1=74994110&amp;VALUEID=02001&amp;SDATE=200502&amp;PERIODTYPE=QTR_STD&amp;SCFT=3&amp;window=popup_no_bar&amp;width=385&amp;height=120&amp;START_MAXIMIZED=FALSE&amp;creator=factset&amp;display_string=Audit"}</definedName>
    <definedName name="_3281__FDSAUDITLINK__" hidden="1">{"fdsup://Directions/FactSet Auditing Viewer?action=AUDIT_VALUE&amp;DB=129&amp;ID1=74994110&amp;VALUEID=02001&amp;SDATE=200502&amp;PERIODTYPE=QTR_STD&amp;SCFT=3&amp;window=popup_no_bar&amp;width=385&amp;height=120&amp;START_MAXIMIZED=FALSE&amp;creator=factset&amp;display_string=Audit"}</definedName>
    <definedName name="_3282__FDSAUDITLINK__" localSheetId="7" hidden="1">{"fdsup://Directions/FactSet Auditing Viewer?action=AUDIT_VALUE&amp;DB=129&amp;ID1=74994110&amp;VALUEID=02001&amp;SDATE=200502&amp;PERIODTYPE=QTR_STD&amp;SCFT=3&amp;window=popup_no_bar&amp;width=385&amp;height=120&amp;START_MAXIMIZED=FALSE&amp;creator=factset&amp;display_string=Audit"}</definedName>
    <definedName name="_3282__FDSAUDITLINK__" hidden="1">{"fdsup://Directions/FactSet Auditing Viewer?action=AUDIT_VALUE&amp;DB=129&amp;ID1=74994110&amp;VALUEID=02001&amp;SDATE=200502&amp;PERIODTYPE=QTR_STD&amp;SCFT=3&amp;window=popup_no_bar&amp;width=385&amp;height=120&amp;START_MAXIMIZED=FALSE&amp;creator=factset&amp;display_string=Audit"}</definedName>
    <definedName name="_3283__FDSAUDITLINK__" localSheetId="7" hidden="1">{"fdsup://Directions/FactSet Auditing Viewer?action=AUDIT_VALUE&amp;DB=129&amp;ID1=74994110&amp;VALUEID=02001&amp;SDATE=200501&amp;PERIODTYPE=QTR_STD&amp;SCFT=3&amp;window=popup_no_bar&amp;width=385&amp;height=120&amp;START_MAXIMIZED=FALSE&amp;creator=factset&amp;display_string=Audit"}</definedName>
    <definedName name="_3283__FDSAUDITLINK__" hidden="1">{"fdsup://Directions/FactSet Auditing Viewer?action=AUDIT_VALUE&amp;DB=129&amp;ID1=74994110&amp;VALUEID=02001&amp;SDATE=200501&amp;PERIODTYPE=QTR_STD&amp;SCFT=3&amp;window=popup_no_bar&amp;width=385&amp;height=120&amp;START_MAXIMIZED=FALSE&amp;creator=factset&amp;display_string=Audit"}</definedName>
    <definedName name="_3284__FDSAUDITLINK__" localSheetId="7" hidden="1">{"fdsup://Directions/FactSet Auditing Viewer?action=AUDIT_VALUE&amp;DB=129&amp;ID1=74994110&amp;VALUEID=02001&amp;SDATE=200501&amp;PERIODTYPE=QTR_STD&amp;SCFT=3&amp;window=popup_no_bar&amp;width=385&amp;height=120&amp;START_MAXIMIZED=FALSE&amp;creator=factset&amp;display_string=Audit"}</definedName>
    <definedName name="_3284__FDSAUDITLINK__" hidden="1">{"fdsup://Directions/FactSet Auditing Viewer?action=AUDIT_VALUE&amp;DB=129&amp;ID1=74994110&amp;VALUEID=02001&amp;SDATE=200501&amp;PERIODTYPE=QTR_STD&amp;SCFT=3&amp;window=popup_no_bar&amp;width=385&amp;height=120&amp;START_MAXIMIZED=FALSE&amp;creator=factset&amp;display_string=Audit"}</definedName>
    <definedName name="_3285__FDSAUDITLINK__" localSheetId="7" hidden="1">{"fdsup://Directions/FactSet Auditing Viewer?action=AUDIT_VALUE&amp;DB=129&amp;ID1=74994110&amp;VALUEID=02001&amp;SDATE=200403&amp;PERIODTYPE=QTR_STD&amp;SCFT=3&amp;window=popup_no_bar&amp;width=385&amp;height=120&amp;START_MAXIMIZED=FALSE&amp;creator=factset&amp;display_string=Audit"}</definedName>
    <definedName name="_3285__FDSAUDITLINK__" hidden="1">{"fdsup://Directions/FactSet Auditing Viewer?action=AUDIT_VALUE&amp;DB=129&amp;ID1=74994110&amp;VALUEID=02001&amp;SDATE=200403&amp;PERIODTYPE=QTR_STD&amp;SCFT=3&amp;window=popup_no_bar&amp;width=385&amp;height=120&amp;START_MAXIMIZED=FALSE&amp;creator=factset&amp;display_string=Audit"}</definedName>
    <definedName name="_3286__FDSAUDITLINK__" localSheetId="7" hidden="1">{"fdsup://Directions/FactSet Auditing Viewer?action=AUDIT_VALUE&amp;DB=129&amp;ID1=74994110&amp;VALUEID=02001&amp;SDATE=200403&amp;PERIODTYPE=QTR_STD&amp;SCFT=3&amp;window=popup_no_bar&amp;width=385&amp;height=120&amp;START_MAXIMIZED=FALSE&amp;creator=factset&amp;display_string=Audit"}</definedName>
    <definedName name="_3286__FDSAUDITLINK__" hidden="1">{"fdsup://Directions/FactSet Auditing Viewer?action=AUDIT_VALUE&amp;DB=129&amp;ID1=74994110&amp;VALUEID=02001&amp;SDATE=200403&amp;PERIODTYPE=QTR_STD&amp;SCFT=3&amp;window=popup_no_bar&amp;width=385&amp;height=120&amp;START_MAXIMIZED=FALSE&amp;creator=factset&amp;display_string=Audit"}</definedName>
    <definedName name="_3287__FDSAUDITLINK__" localSheetId="7" hidden="1">{"fdsup://Directions/FactSet Auditing Viewer?action=AUDIT_VALUE&amp;DB=129&amp;ID1=74994110&amp;VALUEID=02001&amp;SDATE=200402&amp;PERIODTYPE=QTR_STD&amp;SCFT=3&amp;window=popup_no_bar&amp;width=385&amp;height=120&amp;START_MAXIMIZED=FALSE&amp;creator=factset&amp;display_string=Audit"}</definedName>
    <definedName name="_3287__FDSAUDITLINK__" hidden="1">{"fdsup://Directions/FactSet Auditing Viewer?action=AUDIT_VALUE&amp;DB=129&amp;ID1=74994110&amp;VALUEID=02001&amp;SDATE=200402&amp;PERIODTYPE=QTR_STD&amp;SCFT=3&amp;window=popup_no_bar&amp;width=385&amp;height=120&amp;START_MAXIMIZED=FALSE&amp;creator=factset&amp;display_string=Audit"}</definedName>
    <definedName name="_3288__FDSAUDITLINK__" localSheetId="7" hidden="1">{"fdsup://Directions/FactSet Auditing Viewer?action=AUDIT_VALUE&amp;DB=129&amp;ID1=74994110&amp;VALUEID=02001&amp;SDATE=200402&amp;PERIODTYPE=QTR_STD&amp;SCFT=3&amp;window=popup_no_bar&amp;width=385&amp;height=120&amp;START_MAXIMIZED=FALSE&amp;creator=factset&amp;display_string=Audit"}</definedName>
    <definedName name="_3288__FDSAUDITLINK__" hidden="1">{"fdsup://Directions/FactSet Auditing Viewer?action=AUDIT_VALUE&amp;DB=129&amp;ID1=74994110&amp;VALUEID=02001&amp;SDATE=200402&amp;PERIODTYPE=QTR_STD&amp;SCFT=3&amp;window=popup_no_bar&amp;width=385&amp;height=120&amp;START_MAXIMIZED=FALSE&amp;creator=factset&amp;display_string=Audit"}</definedName>
    <definedName name="_3289__FDSAUDITLINK__" localSheetId="7" hidden="1">{"fdsup://Directions/FactSet Auditing Viewer?action=AUDIT_VALUE&amp;DB=129&amp;ID1=74994110&amp;VALUEID=02001&amp;SDATE=200401&amp;PERIODTYPE=QTR_STD&amp;SCFT=3&amp;window=popup_no_bar&amp;width=385&amp;height=120&amp;START_MAXIMIZED=FALSE&amp;creator=factset&amp;display_string=Audit"}</definedName>
    <definedName name="_3289__FDSAUDITLINK__" hidden="1">{"fdsup://Directions/FactSet Auditing Viewer?action=AUDIT_VALUE&amp;DB=129&amp;ID1=74994110&amp;VALUEID=02001&amp;SDATE=200401&amp;PERIODTYPE=QTR_STD&amp;SCFT=3&amp;window=popup_no_bar&amp;width=385&amp;height=120&amp;START_MAXIMIZED=FALSE&amp;creator=factset&amp;display_string=Audit"}</definedName>
    <definedName name="_329__FDSAUDITLINK__" localSheetId="7" hidden="1">{"fdsup://Directions/FactSet Auditing Viewer?action=AUDIT_VALUE&amp;DB=129&amp;ID1=74994110&amp;VALUEID=02001&amp;SDATE=201002&amp;PERIODTYPE=QTR_STD&amp;SCFT=3&amp;window=popup_no_bar&amp;width=385&amp;height=120&amp;START_MAXIMIZED=FALSE&amp;creator=factset&amp;display_string=Audit"}</definedName>
    <definedName name="_329__FDSAUDITLINK__" hidden="1">{"fdsup://Directions/FactSet Auditing Viewer?action=AUDIT_VALUE&amp;DB=129&amp;ID1=74994110&amp;VALUEID=02001&amp;SDATE=201002&amp;PERIODTYPE=QTR_STD&amp;SCFT=3&amp;window=popup_no_bar&amp;width=385&amp;height=120&amp;START_MAXIMIZED=FALSE&amp;creator=factset&amp;display_string=Audit"}</definedName>
    <definedName name="_3290__FDSAUDITLINK__" localSheetId="7" hidden="1">{"fdsup://Directions/FactSet Auditing Viewer?action=AUDIT_VALUE&amp;DB=129&amp;ID1=74994110&amp;VALUEID=02001&amp;SDATE=200401&amp;PERIODTYPE=QTR_STD&amp;SCFT=3&amp;window=popup_no_bar&amp;width=385&amp;height=120&amp;START_MAXIMIZED=FALSE&amp;creator=factset&amp;display_string=Audit"}</definedName>
    <definedName name="_3290__FDSAUDITLINK__" hidden="1">{"fdsup://Directions/FactSet Auditing Viewer?action=AUDIT_VALUE&amp;DB=129&amp;ID1=74994110&amp;VALUEID=02001&amp;SDATE=200401&amp;PERIODTYPE=QTR_STD&amp;SCFT=3&amp;window=popup_no_bar&amp;width=385&amp;height=120&amp;START_MAXIMIZED=FALSE&amp;creator=factset&amp;display_string=Audit"}</definedName>
    <definedName name="_3291__FDSAUDITLINK__" localSheetId="7" hidden="1">{"fdsup://Directions/FactSet Auditing Viewer?action=AUDIT_VALUE&amp;DB=129&amp;ID1=74727710&amp;VALUEID=02001&amp;SDATE=200704&amp;PERIODTYPE=QTR_STD&amp;SCFT=3&amp;window=popup_no_bar&amp;width=385&amp;height=120&amp;START_MAXIMIZED=FALSE&amp;creator=factset&amp;display_string=Audit"}</definedName>
    <definedName name="_3291__FDSAUDITLINK__" hidden="1">{"fdsup://Directions/FactSet Auditing Viewer?action=AUDIT_VALUE&amp;DB=129&amp;ID1=74727710&amp;VALUEID=02001&amp;SDATE=200704&amp;PERIODTYPE=QTR_STD&amp;SCFT=3&amp;window=popup_no_bar&amp;width=385&amp;height=120&amp;START_MAXIMIZED=FALSE&amp;creator=factset&amp;display_string=Audit"}</definedName>
    <definedName name="_3292__FDSAUDITLINK__" localSheetId="7" hidden="1">{"fdsup://Directions/FactSet Auditing Viewer?action=AUDIT_VALUE&amp;DB=129&amp;ID1=74727710&amp;VALUEID=02001&amp;SDATE=200704&amp;PERIODTYPE=QTR_STD&amp;SCFT=3&amp;window=popup_no_bar&amp;width=385&amp;height=120&amp;START_MAXIMIZED=FALSE&amp;creator=factset&amp;display_string=Audit"}</definedName>
    <definedName name="_3292__FDSAUDITLINK__" hidden="1">{"fdsup://Directions/FactSet Auditing Viewer?action=AUDIT_VALUE&amp;DB=129&amp;ID1=74727710&amp;VALUEID=02001&amp;SDATE=200704&amp;PERIODTYPE=QTR_STD&amp;SCFT=3&amp;window=popup_no_bar&amp;width=385&amp;height=120&amp;START_MAXIMIZED=FALSE&amp;creator=factset&amp;display_string=Audit"}</definedName>
    <definedName name="_3293__FDSAUDITLINK__" localSheetId="7" hidden="1">{"fdsup://Directions/FactSet Auditing Viewer?action=AUDIT_VALUE&amp;DB=129&amp;ID1=74727710&amp;VALUEID=02001&amp;SDATE=200703&amp;PERIODTYPE=QTR_STD&amp;SCFT=3&amp;window=popup_no_bar&amp;width=385&amp;height=120&amp;START_MAXIMIZED=FALSE&amp;creator=factset&amp;display_string=Audit"}</definedName>
    <definedName name="_3293__FDSAUDITLINK__" hidden="1">{"fdsup://Directions/FactSet Auditing Viewer?action=AUDIT_VALUE&amp;DB=129&amp;ID1=74727710&amp;VALUEID=02001&amp;SDATE=200703&amp;PERIODTYPE=QTR_STD&amp;SCFT=3&amp;window=popup_no_bar&amp;width=385&amp;height=120&amp;START_MAXIMIZED=FALSE&amp;creator=factset&amp;display_string=Audit"}</definedName>
    <definedName name="_3294__FDSAUDITLINK__" localSheetId="7" hidden="1">{"fdsup://Directions/FactSet Auditing Viewer?action=AUDIT_VALUE&amp;DB=129&amp;ID1=74727710&amp;VALUEID=02001&amp;SDATE=200703&amp;PERIODTYPE=QTR_STD&amp;SCFT=3&amp;window=popup_no_bar&amp;width=385&amp;height=120&amp;START_MAXIMIZED=FALSE&amp;creator=factset&amp;display_string=Audit"}</definedName>
    <definedName name="_3294__FDSAUDITLINK__" hidden="1">{"fdsup://Directions/FactSet Auditing Viewer?action=AUDIT_VALUE&amp;DB=129&amp;ID1=74727710&amp;VALUEID=02001&amp;SDATE=200703&amp;PERIODTYPE=QTR_STD&amp;SCFT=3&amp;window=popup_no_bar&amp;width=385&amp;height=120&amp;START_MAXIMIZED=FALSE&amp;creator=factset&amp;display_string=Audit"}</definedName>
    <definedName name="_3295__FDSAUDITLINK__" localSheetId="7" hidden="1">{"fdsup://Directions/FactSet Auditing Viewer?action=AUDIT_VALUE&amp;DB=129&amp;ID1=74727710&amp;VALUEID=02001&amp;SDATE=200702&amp;PERIODTYPE=QTR_STD&amp;SCFT=3&amp;window=popup_no_bar&amp;width=385&amp;height=120&amp;START_MAXIMIZED=FALSE&amp;creator=factset&amp;display_string=Audit"}</definedName>
    <definedName name="_3295__FDSAUDITLINK__" hidden="1">{"fdsup://Directions/FactSet Auditing Viewer?action=AUDIT_VALUE&amp;DB=129&amp;ID1=74727710&amp;VALUEID=02001&amp;SDATE=200702&amp;PERIODTYPE=QTR_STD&amp;SCFT=3&amp;window=popup_no_bar&amp;width=385&amp;height=120&amp;START_MAXIMIZED=FALSE&amp;creator=factset&amp;display_string=Audit"}</definedName>
    <definedName name="_3296__FDSAUDITLINK__" localSheetId="7" hidden="1">{"fdsup://Directions/FactSet Auditing Viewer?action=AUDIT_VALUE&amp;DB=129&amp;ID1=74727710&amp;VALUEID=02001&amp;SDATE=200702&amp;PERIODTYPE=QTR_STD&amp;SCFT=3&amp;window=popup_no_bar&amp;width=385&amp;height=120&amp;START_MAXIMIZED=FALSE&amp;creator=factset&amp;display_string=Audit"}</definedName>
    <definedName name="_3296__FDSAUDITLINK__" hidden="1">{"fdsup://Directions/FactSet Auditing Viewer?action=AUDIT_VALUE&amp;DB=129&amp;ID1=74727710&amp;VALUEID=02001&amp;SDATE=200702&amp;PERIODTYPE=QTR_STD&amp;SCFT=3&amp;window=popup_no_bar&amp;width=385&amp;height=120&amp;START_MAXIMIZED=FALSE&amp;creator=factset&amp;display_string=Audit"}</definedName>
    <definedName name="_3297__FDSAUDITLINK__" localSheetId="7" hidden="1">{"fdsup://Directions/FactSet Auditing Viewer?action=AUDIT_VALUE&amp;DB=129&amp;ID1=74727710&amp;VALUEID=02001&amp;SDATE=200701&amp;PERIODTYPE=QTR_STD&amp;SCFT=3&amp;window=popup_no_bar&amp;width=385&amp;height=120&amp;START_MAXIMIZED=FALSE&amp;creator=factset&amp;display_string=Audit"}</definedName>
    <definedName name="_3297__FDSAUDITLINK__" hidden="1">{"fdsup://Directions/FactSet Auditing Viewer?action=AUDIT_VALUE&amp;DB=129&amp;ID1=74727710&amp;VALUEID=02001&amp;SDATE=200701&amp;PERIODTYPE=QTR_STD&amp;SCFT=3&amp;window=popup_no_bar&amp;width=385&amp;height=120&amp;START_MAXIMIZED=FALSE&amp;creator=factset&amp;display_string=Audit"}</definedName>
    <definedName name="_3298__FDSAUDITLINK__" localSheetId="7" hidden="1">{"fdsup://Directions/FactSet Auditing Viewer?action=AUDIT_VALUE&amp;DB=129&amp;ID1=74727710&amp;VALUEID=02001&amp;SDATE=200701&amp;PERIODTYPE=QTR_STD&amp;SCFT=3&amp;window=popup_no_bar&amp;width=385&amp;height=120&amp;START_MAXIMIZED=FALSE&amp;creator=factset&amp;display_string=Audit"}</definedName>
    <definedName name="_3298__FDSAUDITLINK__" hidden="1">{"fdsup://Directions/FactSet Auditing Viewer?action=AUDIT_VALUE&amp;DB=129&amp;ID1=74727710&amp;VALUEID=02001&amp;SDATE=200701&amp;PERIODTYPE=QTR_STD&amp;SCFT=3&amp;window=popup_no_bar&amp;width=385&amp;height=120&amp;START_MAXIMIZED=FALSE&amp;creator=factset&amp;display_string=Audit"}</definedName>
    <definedName name="_3299__FDSAUDITLINK__" localSheetId="7" hidden="1">{"fdsup://Directions/FactSet Auditing Viewer?action=AUDIT_VALUE&amp;DB=129&amp;ID1=74727710&amp;VALUEID=02001&amp;SDATE=200603&amp;PERIODTYPE=QTR_STD&amp;SCFT=3&amp;window=popup_no_bar&amp;width=385&amp;height=120&amp;START_MAXIMIZED=FALSE&amp;creator=factset&amp;display_string=Audit"}</definedName>
    <definedName name="_3299__FDSAUDITLINK__" hidden="1">{"fdsup://Directions/FactSet Auditing Viewer?action=AUDIT_VALUE&amp;DB=129&amp;ID1=74727710&amp;VALUEID=02001&amp;SDATE=200603&amp;PERIODTYPE=QTR_STD&amp;SCFT=3&amp;window=popup_no_bar&amp;width=385&amp;height=120&amp;START_MAXIMIZED=FALSE&amp;creator=factset&amp;display_string=Audit"}</definedName>
    <definedName name="_33__FDSAUDITLINK__" localSheetId="7" hidden="1">{"fdsup://Directions/FactSet Auditing Viewer?action=AUDIT_VALUE&amp;DB=129&amp;ID1=82705T10&amp;VALUEID=02001&amp;SDATE=201101&amp;PERIODTYPE=QTR_STD&amp;SCFT=3&amp;window=popup_no_bar&amp;width=385&amp;height=120&amp;START_MAXIMIZED=FALSE&amp;creator=factset&amp;display_string=Audit"}</definedName>
    <definedName name="_33__FDSAUDITLINK__" hidden="1">{"fdsup://Directions/FactSet Auditing Viewer?action=AUDIT_VALUE&amp;DB=129&amp;ID1=82705T10&amp;VALUEID=02001&amp;SDATE=201101&amp;PERIODTYPE=QTR_STD&amp;SCFT=3&amp;window=popup_no_bar&amp;width=385&amp;height=120&amp;START_MAXIMIZED=FALSE&amp;creator=factset&amp;display_string=Audit"}</definedName>
    <definedName name="_330__FDSAUDITLINK__" localSheetId="7" hidden="1">{"fdsup://Directions/FactSet Auditing Viewer?action=AUDIT_VALUE&amp;DB=129&amp;ID1=74994110&amp;VALUEID=02001&amp;SDATE=201002&amp;PERIODTYPE=QTR_STD&amp;SCFT=3&amp;window=popup_no_bar&amp;width=385&amp;height=120&amp;START_MAXIMIZED=FALSE&amp;creator=factset&amp;display_string=Audit"}</definedName>
    <definedName name="_330__FDSAUDITLINK__" hidden="1">{"fdsup://Directions/FactSet Auditing Viewer?action=AUDIT_VALUE&amp;DB=129&amp;ID1=74994110&amp;VALUEID=02001&amp;SDATE=201002&amp;PERIODTYPE=QTR_STD&amp;SCFT=3&amp;window=popup_no_bar&amp;width=385&amp;height=120&amp;START_MAXIMIZED=FALSE&amp;creator=factset&amp;display_string=Audit"}</definedName>
    <definedName name="_3300__FDSAUDITLINK__" localSheetId="7" hidden="1">{"fdsup://Directions/FactSet Auditing Viewer?action=AUDIT_VALUE&amp;DB=129&amp;ID1=74727710&amp;VALUEID=02001&amp;SDATE=200603&amp;PERIODTYPE=QTR_STD&amp;SCFT=3&amp;window=popup_no_bar&amp;width=385&amp;height=120&amp;START_MAXIMIZED=FALSE&amp;creator=factset&amp;display_string=Audit"}</definedName>
    <definedName name="_3300__FDSAUDITLINK__" hidden="1">{"fdsup://Directions/FactSet Auditing Viewer?action=AUDIT_VALUE&amp;DB=129&amp;ID1=74727710&amp;VALUEID=02001&amp;SDATE=200603&amp;PERIODTYPE=QTR_STD&amp;SCFT=3&amp;window=popup_no_bar&amp;width=385&amp;height=120&amp;START_MAXIMIZED=FALSE&amp;creator=factset&amp;display_string=Audit"}</definedName>
    <definedName name="_3301__FDSAUDITLINK__" localSheetId="7" hidden="1">{"fdsup://Directions/FactSet Auditing Viewer?action=AUDIT_VALUE&amp;DB=129&amp;ID1=74727710&amp;VALUEID=02001&amp;SDATE=200602&amp;PERIODTYPE=QTR_STD&amp;SCFT=3&amp;window=popup_no_bar&amp;width=385&amp;height=120&amp;START_MAXIMIZED=FALSE&amp;creator=factset&amp;display_string=Audit"}</definedName>
    <definedName name="_3301__FDSAUDITLINK__" hidden="1">{"fdsup://Directions/FactSet Auditing Viewer?action=AUDIT_VALUE&amp;DB=129&amp;ID1=74727710&amp;VALUEID=02001&amp;SDATE=200602&amp;PERIODTYPE=QTR_STD&amp;SCFT=3&amp;window=popup_no_bar&amp;width=385&amp;height=120&amp;START_MAXIMIZED=FALSE&amp;creator=factset&amp;display_string=Audit"}</definedName>
    <definedName name="_3302__FDSAUDITLINK__" localSheetId="7" hidden="1">{"fdsup://Directions/FactSet Auditing Viewer?action=AUDIT_VALUE&amp;DB=129&amp;ID1=74727710&amp;VALUEID=02001&amp;SDATE=200602&amp;PERIODTYPE=QTR_STD&amp;SCFT=3&amp;window=popup_no_bar&amp;width=385&amp;height=120&amp;START_MAXIMIZED=FALSE&amp;creator=factset&amp;display_string=Audit"}</definedName>
    <definedName name="_3302__FDSAUDITLINK__" hidden="1">{"fdsup://Directions/FactSet Auditing Viewer?action=AUDIT_VALUE&amp;DB=129&amp;ID1=74727710&amp;VALUEID=02001&amp;SDATE=200602&amp;PERIODTYPE=QTR_STD&amp;SCFT=3&amp;window=popup_no_bar&amp;width=385&amp;height=120&amp;START_MAXIMIZED=FALSE&amp;creator=factset&amp;display_string=Audit"}</definedName>
    <definedName name="_3303__FDSAUDITLINK__" localSheetId="7" hidden="1">{"fdsup://Directions/FactSet Auditing Viewer?action=AUDIT_VALUE&amp;DB=129&amp;ID1=74727710&amp;VALUEID=02001&amp;SDATE=200601&amp;PERIODTYPE=QTR_STD&amp;SCFT=3&amp;window=popup_no_bar&amp;width=385&amp;height=120&amp;START_MAXIMIZED=FALSE&amp;creator=factset&amp;display_string=Audit"}</definedName>
    <definedName name="_3303__FDSAUDITLINK__" hidden="1">{"fdsup://Directions/FactSet Auditing Viewer?action=AUDIT_VALUE&amp;DB=129&amp;ID1=74727710&amp;VALUEID=02001&amp;SDATE=200601&amp;PERIODTYPE=QTR_STD&amp;SCFT=3&amp;window=popup_no_bar&amp;width=385&amp;height=120&amp;START_MAXIMIZED=FALSE&amp;creator=factset&amp;display_string=Audit"}</definedName>
    <definedName name="_3304__FDSAUDITLINK__" localSheetId="7" hidden="1">{"fdsup://Directions/FactSet Auditing Viewer?action=AUDIT_VALUE&amp;DB=129&amp;ID1=74727710&amp;VALUEID=02001&amp;SDATE=200601&amp;PERIODTYPE=QTR_STD&amp;SCFT=3&amp;window=popup_no_bar&amp;width=385&amp;height=120&amp;START_MAXIMIZED=FALSE&amp;creator=factset&amp;display_string=Audit"}</definedName>
    <definedName name="_3304__FDSAUDITLINK__" hidden="1">{"fdsup://Directions/FactSet Auditing Viewer?action=AUDIT_VALUE&amp;DB=129&amp;ID1=74727710&amp;VALUEID=02001&amp;SDATE=200601&amp;PERIODTYPE=QTR_STD&amp;SCFT=3&amp;window=popup_no_bar&amp;width=385&amp;height=120&amp;START_MAXIMIZED=FALSE&amp;creator=factset&amp;display_string=Audit"}</definedName>
    <definedName name="_3305__FDSAUDITLINK__" localSheetId="7" hidden="1">{"fdsup://Directions/FactSet Auditing Viewer?action=AUDIT_VALUE&amp;DB=129&amp;ID1=74727710&amp;VALUEID=02001&amp;SDATE=200503&amp;PERIODTYPE=QTR_STD&amp;SCFT=3&amp;window=popup_no_bar&amp;width=385&amp;height=120&amp;START_MAXIMIZED=FALSE&amp;creator=factset&amp;display_string=Audit"}</definedName>
    <definedName name="_3305__FDSAUDITLINK__" hidden="1">{"fdsup://Directions/FactSet Auditing Viewer?action=AUDIT_VALUE&amp;DB=129&amp;ID1=74727710&amp;VALUEID=02001&amp;SDATE=200503&amp;PERIODTYPE=QTR_STD&amp;SCFT=3&amp;window=popup_no_bar&amp;width=385&amp;height=120&amp;START_MAXIMIZED=FALSE&amp;creator=factset&amp;display_string=Audit"}</definedName>
    <definedName name="_3306__FDSAUDITLINK__" localSheetId="7" hidden="1">{"fdsup://Directions/FactSet Auditing Viewer?action=AUDIT_VALUE&amp;DB=129&amp;ID1=74727710&amp;VALUEID=02001&amp;SDATE=200503&amp;PERIODTYPE=QTR_STD&amp;SCFT=3&amp;window=popup_no_bar&amp;width=385&amp;height=120&amp;START_MAXIMIZED=FALSE&amp;creator=factset&amp;display_string=Audit"}</definedName>
    <definedName name="_3306__FDSAUDITLINK__" hidden="1">{"fdsup://Directions/FactSet Auditing Viewer?action=AUDIT_VALUE&amp;DB=129&amp;ID1=74727710&amp;VALUEID=02001&amp;SDATE=200503&amp;PERIODTYPE=QTR_STD&amp;SCFT=3&amp;window=popup_no_bar&amp;width=385&amp;height=120&amp;START_MAXIMIZED=FALSE&amp;creator=factset&amp;display_string=Audit"}</definedName>
    <definedName name="_3307__FDSAUDITLINK__" localSheetId="7" hidden="1">{"fdsup://Directions/FactSet Auditing Viewer?action=AUDIT_VALUE&amp;DB=129&amp;ID1=74727710&amp;VALUEID=02001&amp;SDATE=200502&amp;PERIODTYPE=QTR_STD&amp;SCFT=3&amp;window=popup_no_bar&amp;width=385&amp;height=120&amp;START_MAXIMIZED=FALSE&amp;creator=factset&amp;display_string=Audit"}</definedName>
    <definedName name="_3307__FDSAUDITLINK__" hidden="1">{"fdsup://Directions/FactSet Auditing Viewer?action=AUDIT_VALUE&amp;DB=129&amp;ID1=74727710&amp;VALUEID=02001&amp;SDATE=200502&amp;PERIODTYPE=QTR_STD&amp;SCFT=3&amp;window=popup_no_bar&amp;width=385&amp;height=120&amp;START_MAXIMIZED=FALSE&amp;creator=factset&amp;display_string=Audit"}</definedName>
    <definedName name="_3308__FDSAUDITLINK__" localSheetId="7" hidden="1">{"fdsup://Directions/FactSet Auditing Viewer?action=AUDIT_VALUE&amp;DB=129&amp;ID1=74727710&amp;VALUEID=02001&amp;SDATE=200502&amp;PERIODTYPE=QTR_STD&amp;SCFT=3&amp;window=popup_no_bar&amp;width=385&amp;height=120&amp;START_MAXIMIZED=FALSE&amp;creator=factset&amp;display_string=Audit"}</definedName>
    <definedName name="_3308__FDSAUDITLINK__" hidden="1">{"fdsup://Directions/FactSet Auditing Viewer?action=AUDIT_VALUE&amp;DB=129&amp;ID1=74727710&amp;VALUEID=02001&amp;SDATE=200502&amp;PERIODTYPE=QTR_STD&amp;SCFT=3&amp;window=popup_no_bar&amp;width=385&amp;height=120&amp;START_MAXIMIZED=FALSE&amp;creator=factset&amp;display_string=Audit"}</definedName>
    <definedName name="_3309__FDSAUDITLINK__" localSheetId="7" hidden="1">{"fdsup://Directions/FactSet Auditing Viewer?action=AUDIT_VALUE&amp;DB=129&amp;ID1=74727710&amp;VALUEID=02001&amp;SDATE=200501&amp;PERIODTYPE=QTR_STD&amp;SCFT=3&amp;window=popup_no_bar&amp;width=385&amp;height=120&amp;START_MAXIMIZED=FALSE&amp;creator=factset&amp;display_string=Audit"}</definedName>
    <definedName name="_3309__FDSAUDITLINK__" hidden="1">{"fdsup://Directions/FactSet Auditing Viewer?action=AUDIT_VALUE&amp;DB=129&amp;ID1=74727710&amp;VALUEID=02001&amp;SDATE=200501&amp;PERIODTYPE=QTR_STD&amp;SCFT=3&amp;window=popup_no_bar&amp;width=385&amp;height=120&amp;START_MAXIMIZED=FALSE&amp;creator=factset&amp;display_string=Audit"}</definedName>
    <definedName name="_331__FDSAUDITLINK__" localSheetId="7" hidden="1">{"fdsup://Directions/FactSet Auditing Viewer?action=AUDIT_VALUE&amp;DB=129&amp;ID1=74727710&amp;VALUEID=02001&amp;SDATE=201002&amp;PERIODTYPE=QTR_STD&amp;SCFT=3&amp;window=popup_no_bar&amp;width=385&amp;height=120&amp;START_MAXIMIZED=FALSE&amp;creator=factset&amp;display_string=Audit"}</definedName>
    <definedName name="_331__FDSAUDITLINK__" hidden="1">{"fdsup://Directions/FactSet Auditing Viewer?action=AUDIT_VALUE&amp;DB=129&amp;ID1=74727710&amp;VALUEID=02001&amp;SDATE=201002&amp;PERIODTYPE=QTR_STD&amp;SCFT=3&amp;window=popup_no_bar&amp;width=385&amp;height=120&amp;START_MAXIMIZED=FALSE&amp;creator=factset&amp;display_string=Audit"}</definedName>
    <definedName name="_3310__FDSAUDITLINK__" localSheetId="7" hidden="1">{"fdsup://Directions/FactSet Auditing Viewer?action=AUDIT_VALUE&amp;DB=129&amp;ID1=74727710&amp;VALUEID=02001&amp;SDATE=200501&amp;PERIODTYPE=QTR_STD&amp;SCFT=3&amp;window=popup_no_bar&amp;width=385&amp;height=120&amp;START_MAXIMIZED=FALSE&amp;creator=factset&amp;display_string=Audit"}</definedName>
    <definedName name="_3310__FDSAUDITLINK__" hidden="1">{"fdsup://Directions/FactSet Auditing Viewer?action=AUDIT_VALUE&amp;DB=129&amp;ID1=74727710&amp;VALUEID=02001&amp;SDATE=200501&amp;PERIODTYPE=QTR_STD&amp;SCFT=3&amp;window=popup_no_bar&amp;width=385&amp;height=120&amp;START_MAXIMIZED=FALSE&amp;creator=factset&amp;display_string=Audit"}</definedName>
    <definedName name="_3311__FDSAUDITLINK__" localSheetId="7" hidden="1">{"fdsup://Directions/FactSet Auditing Viewer?action=AUDIT_VALUE&amp;DB=129&amp;ID1=74727710&amp;VALUEID=02001&amp;SDATE=200403&amp;PERIODTYPE=QTR_STD&amp;SCFT=3&amp;window=popup_no_bar&amp;width=385&amp;height=120&amp;START_MAXIMIZED=FALSE&amp;creator=factset&amp;display_string=Audit"}</definedName>
    <definedName name="_3311__FDSAUDITLINK__" hidden="1">{"fdsup://Directions/FactSet Auditing Viewer?action=AUDIT_VALUE&amp;DB=129&amp;ID1=74727710&amp;VALUEID=02001&amp;SDATE=200403&amp;PERIODTYPE=QTR_STD&amp;SCFT=3&amp;window=popup_no_bar&amp;width=385&amp;height=120&amp;START_MAXIMIZED=FALSE&amp;creator=factset&amp;display_string=Audit"}</definedName>
    <definedName name="_3312__FDSAUDITLINK__" localSheetId="7" hidden="1">{"fdsup://Directions/FactSet Auditing Viewer?action=AUDIT_VALUE&amp;DB=129&amp;ID1=74727710&amp;VALUEID=02001&amp;SDATE=200403&amp;PERIODTYPE=QTR_STD&amp;SCFT=3&amp;window=popup_no_bar&amp;width=385&amp;height=120&amp;START_MAXIMIZED=FALSE&amp;creator=factset&amp;display_string=Audit"}</definedName>
    <definedName name="_3312__FDSAUDITLINK__" hidden="1">{"fdsup://Directions/FactSet Auditing Viewer?action=AUDIT_VALUE&amp;DB=129&amp;ID1=74727710&amp;VALUEID=02001&amp;SDATE=200403&amp;PERIODTYPE=QTR_STD&amp;SCFT=3&amp;window=popup_no_bar&amp;width=385&amp;height=120&amp;START_MAXIMIZED=FALSE&amp;creator=factset&amp;display_string=Audit"}</definedName>
    <definedName name="_3313__FDSAUDITLINK__" localSheetId="7" hidden="1">{"fdsup://Directions/FactSet Auditing Viewer?action=AUDIT_VALUE&amp;DB=129&amp;ID1=74727710&amp;VALUEID=02001&amp;SDATE=200402&amp;PERIODTYPE=QTR_STD&amp;SCFT=3&amp;window=popup_no_bar&amp;width=385&amp;height=120&amp;START_MAXIMIZED=FALSE&amp;creator=factset&amp;display_string=Audit"}</definedName>
    <definedName name="_3313__FDSAUDITLINK__" hidden="1">{"fdsup://Directions/FactSet Auditing Viewer?action=AUDIT_VALUE&amp;DB=129&amp;ID1=74727710&amp;VALUEID=02001&amp;SDATE=200402&amp;PERIODTYPE=QTR_STD&amp;SCFT=3&amp;window=popup_no_bar&amp;width=385&amp;height=120&amp;START_MAXIMIZED=FALSE&amp;creator=factset&amp;display_string=Audit"}</definedName>
    <definedName name="_3314__FDSAUDITLINK__" localSheetId="7" hidden="1">{"fdsup://Directions/FactSet Auditing Viewer?action=AUDIT_VALUE&amp;DB=129&amp;ID1=74727710&amp;VALUEID=02001&amp;SDATE=200402&amp;PERIODTYPE=QTR_STD&amp;SCFT=3&amp;window=popup_no_bar&amp;width=385&amp;height=120&amp;START_MAXIMIZED=FALSE&amp;creator=factset&amp;display_string=Audit"}</definedName>
    <definedName name="_3314__FDSAUDITLINK__" hidden="1">{"fdsup://Directions/FactSet Auditing Viewer?action=AUDIT_VALUE&amp;DB=129&amp;ID1=74727710&amp;VALUEID=02001&amp;SDATE=200402&amp;PERIODTYPE=QTR_STD&amp;SCFT=3&amp;window=popup_no_bar&amp;width=385&amp;height=120&amp;START_MAXIMIZED=FALSE&amp;creator=factset&amp;display_string=Audit"}</definedName>
    <definedName name="_3315__FDSAUDITLINK__" localSheetId="7" hidden="1">{"fdsup://Directions/FactSet Auditing Viewer?action=AUDIT_VALUE&amp;DB=129&amp;ID1=74727710&amp;VALUEID=02001&amp;SDATE=200401&amp;PERIODTYPE=QTR_STD&amp;SCFT=3&amp;window=popup_no_bar&amp;width=385&amp;height=120&amp;START_MAXIMIZED=FALSE&amp;creator=factset&amp;display_string=Audit"}</definedName>
    <definedName name="_3315__FDSAUDITLINK__" hidden="1">{"fdsup://Directions/FactSet Auditing Viewer?action=AUDIT_VALUE&amp;DB=129&amp;ID1=74727710&amp;VALUEID=02001&amp;SDATE=200401&amp;PERIODTYPE=QTR_STD&amp;SCFT=3&amp;window=popup_no_bar&amp;width=385&amp;height=120&amp;START_MAXIMIZED=FALSE&amp;creator=factset&amp;display_string=Audit"}</definedName>
    <definedName name="_3316__FDSAUDITLINK__" localSheetId="7" hidden="1">{"fdsup://Directions/FactSet Auditing Viewer?action=AUDIT_VALUE&amp;DB=129&amp;ID1=74727710&amp;VALUEID=02001&amp;SDATE=200401&amp;PERIODTYPE=QTR_STD&amp;SCFT=3&amp;window=popup_no_bar&amp;width=385&amp;height=120&amp;START_MAXIMIZED=FALSE&amp;creator=factset&amp;display_string=Audit"}</definedName>
    <definedName name="_3316__FDSAUDITLINK__" hidden="1">{"fdsup://Directions/FactSet Auditing Viewer?action=AUDIT_VALUE&amp;DB=129&amp;ID1=74727710&amp;VALUEID=02001&amp;SDATE=200401&amp;PERIODTYPE=QTR_STD&amp;SCFT=3&amp;window=popup_no_bar&amp;width=385&amp;height=120&amp;START_MAXIMIZED=FALSE&amp;creator=factset&amp;display_string=Audit"}</definedName>
    <definedName name="_3317__FDSAUDITLINK__" localSheetId="7" hidden="1">{"fdsup://Directions/FactSet Auditing Viewer?action=AUDIT_VALUE&amp;DB=129&amp;ID1=74752510&amp;VALUEID=02001&amp;SDATE=200802&amp;PERIODTYPE=QTR_STD&amp;SCFT=3&amp;window=popup_no_bar&amp;width=385&amp;height=120&amp;START_MAXIMIZED=FALSE&amp;creator=factset&amp;display_string=Audit"}</definedName>
    <definedName name="_3317__FDSAUDITLINK__" hidden="1">{"fdsup://Directions/FactSet Auditing Viewer?action=AUDIT_VALUE&amp;DB=129&amp;ID1=74752510&amp;VALUEID=02001&amp;SDATE=200802&amp;PERIODTYPE=QTR_STD&amp;SCFT=3&amp;window=popup_no_bar&amp;width=385&amp;height=120&amp;START_MAXIMIZED=FALSE&amp;creator=factset&amp;display_string=Audit"}</definedName>
    <definedName name="_3318__FDSAUDITLINK__" localSheetId="7" hidden="1">{"fdsup://Directions/FactSet Auditing Viewer?action=AUDIT_VALUE&amp;DB=129&amp;ID1=74752510&amp;VALUEID=02001&amp;SDATE=200802&amp;PERIODTYPE=QTR_STD&amp;SCFT=3&amp;window=popup_no_bar&amp;width=385&amp;height=120&amp;START_MAXIMIZED=FALSE&amp;creator=factset&amp;display_string=Audit"}</definedName>
    <definedName name="_3318__FDSAUDITLINK__" hidden="1">{"fdsup://Directions/FactSet Auditing Viewer?action=AUDIT_VALUE&amp;DB=129&amp;ID1=74752510&amp;VALUEID=02001&amp;SDATE=200802&amp;PERIODTYPE=QTR_STD&amp;SCFT=3&amp;window=popup_no_bar&amp;width=385&amp;height=120&amp;START_MAXIMIZED=FALSE&amp;creator=factset&amp;display_string=Audit"}</definedName>
    <definedName name="_3319__FDSAUDITLINK__" localSheetId="7" hidden="1">{"fdsup://Directions/FactSet Auditing Viewer?action=AUDIT_VALUE&amp;DB=129&amp;ID1=74752510&amp;VALUEID=02001&amp;SDATE=200801&amp;PERIODTYPE=QTR_STD&amp;SCFT=3&amp;window=popup_no_bar&amp;width=385&amp;height=120&amp;START_MAXIMIZED=FALSE&amp;creator=factset&amp;display_string=Audit"}</definedName>
    <definedName name="_3319__FDSAUDITLINK__" hidden="1">{"fdsup://Directions/FactSet Auditing Viewer?action=AUDIT_VALUE&amp;DB=129&amp;ID1=74752510&amp;VALUEID=02001&amp;SDATE=200801&amp;PERIODTYPE=QTR_STD&amp;SCFT=3&amp;window=popup_no_bar&amp;width=385&amp;height=120&amp;START_MAXIMIZED=FALSE&amp;creator=factset&amp;display_string=Audit"}</definedName>
    <definedName name="_332__FDSAUDITLINK__" localSheetId="7" hidden="1">{"fdsup://Directions/FactSet Auditing Viewer?action=AUDIT_VALUE&amp;DB=129&amp;ID1=74727710&amp;VALUEID=02001&amp;SDATE=201002&amp;PERIODTYPE=QTR_STD&amp;SCFT=3&amp;window=popup_no_bar&amp;width=385&amp;height=120&amp;START_MAXIMIZED=FALSE&amp;creator=factset&amp;display_string=Audit"}</definedName>
    <definedName name="_332__FDSAUDITLINK__" hidden="1">{"fdsup://Directions/FactSet Auditing Viewer?action=AUDIT_VALUE&amp;DB=129&amp;ID1=74727710&amp;VALUEID=02001&amp;SDATE=201002&amp;PERIODTYPE=QTR_STD&amp;SCFT=3&amp;window=popup_no_bar&amp;width=385&amp;height=120&amp;START_MAXIMIZED=FALSE&amp;creator=factset&amp;display_string=Audit"}</definedName>
    <definedName name="_3320__FDSAUDITLINK__" localSheetId="7" hidden="1">{"fdsup://Directions/FactSet Auditing Viewer?action=AUDIT_VALUE&amp;DB=129&amp;ID1=74752510&amp;VALUEID=02001&amp;SDATE=200801&amp;PERIODTYPE=QTR_STD&amp;SCFT=3&amp;window=popup_no_bar&amp;width=385&amp;height=120&amp;START_MAXIMIZED=FALSE&amp;creator=factset&amp;display_string=Audit"}</definedName>
    <definedName name="_3320__FDSAUDITLINK__" hidden="1">{"fdsup://Directions/FactSet Auditing Viewer?action=AUDIT_VALUE&amp;DB=129&amp;ID1=74752510&amp;VALUEID=02001&amp;SDATE=200801&amp;PERIODTYPE=QTR_STD&amp;SCFT=3&amp;window=popup_no_bar&amp;width=385&amp;height=120&amp;START_MAXIMIZED=FALSE&amp;creator=factset&amp;display_string=Audit"}</definedName>
    <definedName name="_3321__FDSAUDITLINK__" localSheetId="7" hidden="1">{"fdsup://Directions/FactSet Auditing Viewer?action=AUDIT_VALUE&amp;DB=129&amp;ID1=74752510&amp;VALUEID=02001&amp;SDATE=200703&amp;PERIODTYPE=QTR_STD&amp;SCFT=3&amp;window=popup_no_bar&amp;width=385&amp;height=120&amp;START_MAXIMIZED=FALSE&amp;creator=factset&amp;display_string=Audit"}</definedName>
    <definedName name="_3321__FDSAUDITLINK__" hidden="1">{"fdsup://Directions/FactSet Auditing Viewer?action=AUDIT_VALUE&amp;DB=129&amp;ID1=74752510&amp;VALUEID=02001&amp;SDATE=200703&amp;PERIODTYPE=QTR_STD&amp;SCFT=3&amp;window=popup_no_bar&amp;width=385&amp;height=120&amp;START_MAXIMIZED=FALSE&amp;creator=factset&amp;display_string=Audit"}</definedName>
    <definedName name="_3322__FDSAUDITLINK__" localSheetId="7" hidden="1">{"fdsup://Directions/FactSet Auditing Viewer?action=AUDIT_VALUE&amp;DB=129&amp;ID1=74752510&amp;VALUEID=02001&amp;SDATE=200703&amp;PERIODTYPE=QTR_STD&amp;SCFT=3&amp;window=popup_no_bar&amp;width=385&amp;height=120&amp;START_MAXIMIZED=FALSE&amp;creator=factset&amp;display_string=Audit"}</definedName>
    <definedName name="_3322__FDSAUDITLINK__" hidden="1">{"fdsup://Directions/FactSet Auditing Viewer?action=AUDIT_VALUE&amp;DB=129&amp;ID1=74752510&amp;VALUEID=02001&amp;SDATE=200703&amp;PERIODTYPE=QTR_STD&amp;SCFT=3&amp;window=popup_no_bar&amp;width=385&amp;height=120&amp;START_MAXIMIZED=FALSE&amp;creator=factset&amp;display_string=Audit"}</definedName>
    <definedName name="_3323__FDSAUDITLINK__" localSheetId="7" hidden="1">{"fdsup://Directions/FactSet Auditing Viewer?action=AUDIT_VALUE&amp;DB=129&amp;ID1=74752510&amp;VALUEID=02001&amp;SDATE=200702&amp;PERIODTYPE=QTR_STD&amp;SCFT=3&amp;window=popup_no_bar&amp;width=385&amp;height=120&amp;START_MAXIMIZED=FALSE&amp;creator=factset&amp;display_string=Audit"}</definedName>
    <definedName name="_3323__FDSAUDITLINK__" hidden="1">{"fdsup://Directions/FactSet Auditing Viewer?action=AUDIT_VALUE&amp;DB=129&amp;ID1=74752510&amp;VALUEID=02001&amp;SDATE=200702&amp;PERIODTYPE=QTR_STD&amp;SCFT=3&amp;window=popup_no_bar&amp;width=385&amp;height=120&amp;START_MAXIMIZED=FALSE&amp;creator=factset&amp;display_string=Audit"}</definedName>
    <definedName name="_3324__FDSAUDITLINK__" localSheetId="7" hidden="1">{"fdsup://Directions/FactSet Auditing Viewer?action=AUDIT_VALUE&amp;DB=129&amp;ID1=74752510&amp;VALUEID=02001&amp;SDATE=200702&amp;PERIODTYPE=QTR_STD&amp;SCFT=3&amp;window=popup_no_bar&amp;width=385&amp;height=120&amp;START_MAXIMIZED=FALSE&amp;creator=factset&amp;display_string=Audit"}</definedName>
    <definedName name="_3324__FDSAUDITLINK__" hidden="1">{"fdsup://Directions/FactSet Auditing Viewer?action=AUDIT_VALUE&amp;DB=129&amp;ID1=74752510&amp;VALUEID=02001&amp;SDATE=200702&amp;PERIODTYPE=QTR_STD&amp;SCFT=3&amp;window=popup_no_bar&amp;width=385&amp;height=120&amp;START_MAXIMIZED=FALSE&amp;creator=factset&amp;display_string=Audit"}</definedName>
    <definedName name="_3325__FDSAUDITLINK__" localSheetId="7" hidden="1">{"fdsup://Directions/FactSet Auditing Viewer?action=AUDIT_VALUE&amp;DB=129&amp;ID1=74752510&amp;VALUEID=02001&amp;SDATE=200701&amp;PERIODTYPE=QTR_STD&amp;SCFT=3&amp;window=popup_no_bar&amp;width=385&amp;height=120&amp;START_MAXIMIZED=FALSE&amp;creator=factset&amp;display_string=Audit"}</definedName>
    <definedName name="_3325__FDSAUDITLINK__" hidden="1">{"fdsup://Directions/FactSet Auditing Viewer?action=AUDIT_VALUE&amp;DB=129&amp;ID1=74752510&amp;VALUEID=02001&amp;SDATE=200701&amp;PERIODTYPE=QTR_STD&amp;SCFT=3&amp;window=popup_no_bar&amp;width=385&amp;height=120&amp;START_MAXIMIZED=FALSE&amp;creator=factset&amp;display_string=Audit"}</definedName>
    <definedName name="_3326__FDSAUDITLINK__" localSheetId="7" hidden="1">{"fdsup://Directions/FactSet Auditing Viewer?action=AUDIT_VALUE&amp;DB=129&amp;ID1=74752510&amp;VALUEID=02001&amp;SDATE=200701&amp;PERIODTYPE=QTR_STD&amp;SCFT=3&amp;window=popup_no_bar&amp;width=385&amp;height=120&amp;START_MAXIMIZED=FALSE&amp;creator=factset&amp;display_string=Audit"}</definedName>
    <definedName name="_3326__FDSAUDITLINK__" hidden="1">{"fdsup://Directions/FactSet Auditing Viewer?action=AUDIT_VALUE&amp;DB=129&amp;ID1=74752510&amp;VALUEID=02001&amp;SDATE=200701&amp;PERIODTYPE=QTR_STD&amp;SCFT=3&amp;window=popup_no_bar&amp;width=385&amp;height=120&amp;START_MAXIMIZED=FALSE&amp;creator=factset&amp;display_string=Audit"}</definedName>
    <definedName name="_3327__FDSAUDITLINK__" localSheetId="7" hidden="1">{"fdsup://Directions/FactSet Auditing Viewer?action=AUDIT_VALUE&amp;DB=129&amp;ID1=74752510&amp;VALUEID=02001&amp;SDATE=200603&amp;PERIODTYPE=QTR_STD&amp;SCFT=3&amp;window=popup_no_bar&amp;width=385&amp;height=120&amp;START_MAXIMIZED=FALSE&amp;creator=factset&amp;display_string=Audit"}</definedName>
    <definedName name="_3327__FDSAUDITLINK__" hidden="1">{"fdsup://Directions/FactSet Auditing Viewer?action=AUDIT_VALUE&amp;DB=129&amp;ID1=74752510&amp;VALUEID=02001&amp;SDATE=200603&amp;PERIODTYPE=QTR_STD&amp;SCFT=3&amp;window=popup_no_bar&amp;width=385&amp;height=120&amp;START_MAXIMIZED=FALSE&amp;creator=factset&amp;display_string=Audit"}</definedName>
    <definedName name="_3328__FDSAUDITLINK__" localSheetId="7" hidden="1">{"fdsup://Directions/FactSet Auditing Viewer?action=AUDIT_VALUE&amp;DB=129&amp;ID1=74752510&amp;VALUEID=02001&amp;SDATE=200603&amp;PERIODTYPE=QTR_STD&amp;SCFT=3&amp;window=popup_no_bar&amp;width=385&amp;height=120&amp;START_MAXIMIZED=FALSE&amp;creator=factset&amp;display_string=Audit"}</definedName>
    <definedName name="_3328__FDSAUDITLINK__" hidden="1">{"fdsup://Directions/FactSet Auditing Viewer?action=AUDIT_VALUE&amp;DB=129&amp;ID1=74752510&amp;VALUEID=02001&amp;SDATE=200603&amp;PERIODTYPE=QTR_STD&amp;SCFT=3&amp;window=popup_no_bar&amp;width=385&amp;height=120&amp;START_MAXIMIZED=FALSE&amp;creator=factset&amp;display_string=Audit"}</definedName>
    <definedName name="_3329__FDSAUDITLINK__" localSheetId="7" hidden="1">{"fdsup://Directions/FactSet Auditing Viewer?action=AUDIT_VALUE&amp;DB=129&amp;ID1=74752510&amp;VALUEID=02001&amp;SDATE=200602&amp;PERIODTYPE=QTR_STD&amp;SCFT=3&amp;window=popup_no_bar&amp;width=385&amp;height=120&amp;START_MAXIMIZED=FALSE&amp;creator=factset&amp;display_string=Audit"}</definedName>
    <definedName name="_3329__FDSAUDITLINK__" hidden="1">{"fdsup://Directions/FactSet Auditing Viewer?action=AUDIT_VALUE&amp;DB=129&amp;ID1=74752510&amp;VALUEID=02001&amp;SDATE=200602&amp;PERIODTYPE=QTR_STD&amp;SCFT=3&amp;window=popup_no_bar&amp;width=385&amp;height=120&amp;START_MAXIMIZED=FALSE&amp;creator=factset&amp;display_string=Audit"}</definedName>
    <definedName name="_333__FDSAUDITLINK__" localSheetId="7" hidden="1">{"fdsup://Directions/FactSet Auditing Viewer?action=AUDIT_VALUE&amp;DB=129&amp;ID1=74752510&amp;VALUEID=02001&amp;SDATE=201004&amp;PERIODTYPE=QTR_STD&amp;SCFT=3&amp;window=popup_no_bar&amp;width=385&amp;height=120&amp;START_MAXIMIZED=FALSE&amp;creator=factset&amp;display_string=Audit"}</definedName>
    <definedName name="_333__FDSAUDITLINK__" hidden="1">{"fdsup://Directions/FactSet Auditing Viewer?action=AUDIT_VALUE&amp;DB=129&amp;ID1=74752510&amp;VALUEID=02001&amp;SDATE=201004&amp;PERIODTYPE=QTR_STD&amp;SCFT=3&amp;window=popup_no_bar&amp;width=385&amp;height=120&amp;START_MAXIMIZED=FALSE&amp;creator=factset&amp;display_string=Audit"}</definedName>
    <definedName name="_3330__FDSAUDITLINK__" localSheetId="7" hidden="1">{"fdsup://Directions/FactSet Auditing Viewer?action=AUDIT_VALUE&amp;DB=129&amp;ID1=74752510&amp;VALUEID=02001&amp;SDATE=200602&amp;PERIODTYPE=QTR_STD&amp;SCFT=3&amp;window=popup_no_bar&amp;width=385&amp;height=120&amp;START_MAXIMIZED=FALSE&amp;creator=factset&amp;display_string=Audit"}</definedName>
    <definedName name="_3330__FDSAUDITLINK__" hidden="1">{"fdsup://Directions/FactSet Auditing Viewer?action=AUDIT_VALUE&amp;DB=129&amp;ID1=74752510&amp;VALUEID=02001&amp;SDATE=200602&amp;PERIODTYPE=QTR_STD&amp;SCFT=3&amp;window=popup_no_bar&amp;width=385&amp;height=120&amp;START_MAXIMIZED=FALSE&amp;creator=factset&amp;display_string=Audit"}</definedName>
    <definedName name="_3331__FDSAUDITLINK__" localSheetId="7" hidden="1">{"fdsup://Directions/FactSet Auditing Viewer?action=AUDIT_VALUE&amp;DB=129&amp;ID1=74752510&amp;VALUEID=02001&amp;SDATE=200601&amp;PERIODTYPE=QTR_STD&amp;SCFT=3&amp;window=popup_no_bar&amp;width=385&amp;height=120&amp;START_MAXIMIZED=FALSE&amp;creator=factset&amp;display_string=Audit"}</definedName>
    <definedName name="_3331__FDSAUDITLINK__" hidden="1">{"fdsup://Directions/FactSet Auditing Viewer?action=AUDIT_VALUE&amp;DB=129&amp;ID1=74752510&amp;VALUEID=02001&amp;SDATE=200601&amp;PERIODTYPE=QTR_STD&amp;SCFT=3&amp;window=popup_no_bar&amp;width=385&amp;height=120&amp;START_MAXIMIZED=FALSE&amp;creator=factset&amp;display_string=Audit"}</definedName>
    <definedName name="_3332__FDSAUDITLINK__" localSheetId="7" hidden="1">{"fdsup://Directions/FactSet Auditing Viewer?action=AUDIT_VALUE&amp;DB=129&amp;ID1=74752510&amp;VALUEID=02001&amp;SDATE=200601&amp;PERIODTYPE=QTR_STD&amp;SCFT=3&amp;window=popup_no_bar&amp;width=385&amp;height=120&amp;START_MAXIMIZED=FALSE&amp;creator=factset&amp;display_string=Audit"}</definedName>
    <definedName name="_3332__FDSAUDITLINK__" hidden="1">{"fdsup://Directions/FactSet Auditing Viewer?action=AUDIT_VALUE&amp;DB=129&amp;ID1=74752510&amp;VALUEID=02001&amp;SDATE=200601&amp;PERIODTYPE=QTR_STD&amp;SCFT=3&amp;window=popup_no_bar&amp;width=385&amp;height=120&amp;START_MAXIMIZED=FALSE&amp;creator=factset&amp;display_string=Audit"}</definedName>
    <definedName name="_3333__FDSAUDITLINK__" localSheetId="7" hidden="1">{"fdsup://Directions/FactSet Auditing Viewer?action=AUDIT_VALUE&amp;DB=129&amp;ID1=74752510&amp;VALUEID=02001&amp;SDATE=200503&amp;PERIODTYPE=QTR_STD&amp;SCFT=3&amp;window=popup_no_bar&amp;width=385&amp;height=120&amp;START_MAXIMIZED=FALSE&amp;creator=factset&amp;display_string=Audit"}</definedName>
    <definedName name="_3333__FDSAUDITLINK__" hidden="1">{"fdsup://Directions/FactSet Auditing Viewer?action=AUDIT_VALUE&amp;DB=129&amp;ID1=74752510&amp;VALUEID=02001&amp;SDATE=200503&amp;PERIODTYPE=QTR_STD&amp;SCFT=3&amp;window=popup_no_bar&amp;width=385&amp;height=120&amp;START_MAXIMIZED=FALSE&amp;creator=factset&amp;display_string=Audit"}</definedName>
    <definedName name="_3334__FDSAUDITLINK__" localSheetId="7" hidden="1">{"fdsup://Directions/FactSet Auditing Viewer?action=AUDIT_VALUE&amp;DB=129&amp;ID1=74752510&amp;VALUEID=02001&amp;SDATE=200503&amp;PERIODTYPE=QTR_STD&amp;SCFT=3&amp;window=popup_no_bar&amp;width=385&amp;height=120&amp;START_MAXIMIZED=FALSE&amp;creator=factset&amp;display_string=Audit"}</definedName>
    <definedName name="_3334__FDSAUDITLINK__" hidden="1">{"fdsup://Directions/FactSet Auditing Viewer?action=AUDIT_VALUE&amp;DB=129&amp;ID1=74752510&amp;VALUEID=02001&amp;SDATE=200503&amp;PERIODTYPE=QTR_STD&amp;SCFT=3&amp;window=popup_no_bar&amp;width=385&amp;height=120&amp;START_MAXIMIZED=FALSE&amp;creator=factset&amp;display_string=Audit"}</definedName>
    <definedName name="_3335__FDSAUDITLINK__" localSheetId="7" hidden="1">{"fdsup://Directions/FactSet Auditing Viewer?action=AUDIT_VALUE&amp;DB=129&amp;ID1=74752510&amp;VALUEID=02001&amp;SDATE=200502&amp;PERIODTYPE=QTR_STD&amp;SCFT=3&amp;window=popup_no_bar&amp;width=385&amp;height=120&amp;START_MAXIMIZED=FALSE&amp;creator=factset&amp;display_string=Audit"}</definedName>
    <definedName name="_3335__FDSAUDITLINK__" hidden="1">{"fdsup://Directions/FactSet Auditing Viewer?action=AUDIT_VALUE&amp;DB=129&amp;ID1=74752510&amp;VALUEID=02001&amp;SDATE=200502&amp;PERIODTYPE=QTR_STD&amp;SCFT=3&amp;window=popup_no_bar&amp;width=385&amp;height=120&amp;START_MAXIMIZED=FALSE&amp;creator=factset&amp;display_string=Audit"}</definedName>
    <definedName name="_3336__FDSAUDITLINK__" localSheetId="7" hidden="1">{"fdsup://Directions/FactSet Auditing Viewer?action=AUDIT_VALUE&amp;DB=129&amp;ID1=74752510&amp;VALUEID=02001&amp;SDATE=200502&amp;PERIODTYPE=QTR_STD&amp;SCFT=3&amp;window=popup_no_bar&amp;width=385&amp;height=120&amp;START_MAXIMIZED=FALSE&amp;creator=factset&amp;display_string=Audit"}</definedName>
    <definedName name="_3336__FDSAUDITLINK__" hidden="1">{"fdsup://Directions/FactSet Auditing Viewer?action=AUDIT_VALUE&amp;DB=129&amp;ID1=74752510&amp;VALUEID=02001&amp;SDATE=200502&amp;PERIODTYPE=QTR_STD&amp;SCFT=3&amp;window=popup_no_bar&amp;width=385&amp;height=120&amp;START_MAXIMIZED=FALSE&amp;creator=factset&amp;display_string=Audit"}</definedName>
    <definedName name="_3337__FDSAUDITLINK__" localSheetId="7" hidden="1">{"fdsup://Directions/FactSet Auditing Viewer?action=AUDIT_VALUE&amp;DB=129&amp;ID1=74752510&amp;VALUEID=02001&amp;SDATE=200501&amp;PERIODTYPE=QTR_STD&amp;SCFT=3&amp;window=popup_no_bar&amp;width=385&amp;height=120&amp;START_MAXIMIZED=FALSE&amp;creator=factset&amp;display_string=Audit"}</definedName>
    <definedName name="_3337__FDSAUDITLINK__" hidden="1">{"fdsup://Directions/FactSet Auditing Viewer?action=AUDIT_VALUE&amp;DB=129&amp;ID1=74752510&amp;VALUEID=02001&amp;SDATE=200501&amp;PERIODTYPE=QTR_STD&amp;SCFT=3&amp;window=popup_no_bar&amp;width=385&amp;height=120&amp;START_MAXIMIZED=FALSE&amp;creator=factset&amp;display_string=Audit"}</definedName>
    <definedName name="_3338__FDSAUDITLINK__" localSheetId="7" hidden="1">{"fdsup://Directions/FactSet Auditing Viewer?action=AUDIT_VALUE&amp;DB=129&amp;ID1=74752510&amp;VALUEID=02001&amp;SDATE=200501&amp;PERIODTYPE=QTR_STD&amp;SCFT=3&amp;window=popup_no_bar&amp;width=385&amp;height=120&amp;START_MAXIMIZED=FALSE&amp;creator=factset&amp;display_string=Audit"}</definedName>
    <definedName name="_3338__FDSAUDITLINK__" hidden="1">{"fdsup://Directions/FactSet Auditing Viewer?action=AUDIT_VALUE&amp;DB=129&amp;ID1=74752510&amp;VALUEID=02001&amp;SDATE=200501&amp;PERIODTYPE=QTR_STD&amp;SCFT=3&amp;window=popup_no_bar&amp;width=385&amp;height=120&amp;START_MAXIMIZED=FALSE&amp;creator=factset&amp;display_string=Audit"}</definedName>
    <definedName name="_3339__FDSAUDITLINK__" localSheetId="7" hidden="1">{"fdsup://Directions/FactSet Auditing Viewer?action=AUDIT_VALUE&amp;DB=129&amp;ID1=74752510&amp;VALUEID=02001&amp;SDATE=200403&amp;PERIODTYPE=QTR_STD&amp;SCFT=3&amp;window=popup_no_bar&amp;width=385&amp;height=120&amp;START_MAXIMIZED=FALSE&amp;creator=factset&amp;display_string=Audit"}</definedName>
    <definedName name="_3339__FDSAUDITLINK__" hidden="1">{"fdsup://Directions/FactSet Auditing Viewer?action=AUDIT_VALUE&amp;DB=129&amp;ID1=74752510&amp;VALUEID=02001&amp;SDATE=200403&amp;PERIODTYPE=QTR_STD&amp;SCFT=3&amp;window=popup_no_bar&amp;width=385&amp;height=120&amp;START_MAXIMIZED=FALSE&amp;creator=factset&amp;display_string=Audit"}</definedName>
    <definedName name="_334__FDSAUDITLINK__" localSheetId="7" hidden="1">{"fdsup://Directions/FactSet Auditing Viewer?action=AUDIT_VALUE&amp;DB=129&amp;ID1=74752510&amp;VALUEID=02001&amp;SDATE=201004&amp;PERIODTYPE=QTR_STD&amp;SCFT=3&amp;window=popup_no_bar&amp;width=385&amp;height=120&amp;START_MAXIMIZED=FALSE&amp;creator=factset&amp;display_string=Audit"}</definedName>
    <definedName name="_334__FDSAUDITLINK__" hidden="1">{"fdsup://Directions/FactSet Auditing Viewer?action=AUDIT_VALUE&amp;DB=129&amp;ID1=74752510&amp;VALUEID=02001&amp;SDATE=201004&amp;PERIODTYPE=QTR_STD&amp;SCFT=3&amp;window=popup_no_bar&amp;width=385&amp;height=120&amp;START_MAXIMIZED=FALSE&amp;creator=factset&amp;display_string=Audit"}</definedName>
    <definedName name="_3340__FDSAUDITLINK__" localSheetId="7" hidden="1">{"fdsup://Directions/FactSet Auditing Viewer?action=AUDIT_VALUE&amp;DB=129&amp;ID1=74752510&amp;VALUEID=02001&amp;SDATE=200403&amp;PERIODTYPE=QTR_STD&amp;SCFT=3&amp;window=popup_no_bar&amp;width=385&amp;height=120&amp;START_MAXIMIZED=FALSE&amp;creator=factset&amp;display_string=Audit"}</definedName>
    <definedName name="_3340__FDSAUDITLINK__" hidden="1">{"fdsup://Directions/FactSet Auditing Viewer?action=AUDIT_VALUE&amp;DB=129&amp;ID1=74752510&amp;VALUEID=02001&amp;SDATE=200403&amp;PERIODTYPE=QTR_STD&amp;SCFT=3&amp;window=popup_no_bar&amp;width=385&amp;height=120&amp;START_MAXIMIZED=FALSE&amp;creator=factset&amp;display_string=Audit"}</definedName>
    <definedName name="_3341__FDSAUDITLINK__" localSheetId="7" hidden="1">{"fdsup://Directions/FactSet Auditing Viewer?action=AUDIT_VALUE&amp;DB=129&amp;ID1=74752510&amp;VALUEID=02001&amp;SDATE=200402&amp;PERIODTYPE=QTR_STD&amp;SCFT=3&amp;window=popup_no_bar&amp;width=385&amp;height=120&amp;START_MAXIMIZED=FALSE&amp;creator=factset&amp;display_string=Audit"}</definedName>
    <definedName name="_3341__FDSAUDITLINK__" hidden="1">{"fdsup://Directions/FactSet Auditing Viewer?action=AUDIT_VALUE&amp;DB=129&amp;ID1=74752510&amp;VALUEID=02001&amp;SDATE=200402&amp;PERIODTYPE=QTR_STD&amp;SCFT=3&amp;window=popup_no_bar&amp;width=385&amp;height=120&amp;START_MAXIMIZED=FALSE&amp;creator=factset&amp;display_string=Audit"}</definedName>
    <definedName name="_3342__FDSAUDITLINK__" localSheetId="7" hidden="1">{"fdsup://Directions/FactSet Auditing Viewer?action=AUDIT_VALUE&amp;DB=129&amp;ID1=74752510&amp;VALUEID=02001&amp;SDATE=200402&amp;PERIODTYPE=QTR_STD&amp;SCFT=3&amp;window=popup_no_bar&amp;width=385&amp;height=120&amp;START_MAXIMIZED=FALSE&amp;creator=factset&amp;display_string=Audit"}</definedName>
    <definedName name="_3342__FDSAUDITLINK__" hidden="1">{"fdsup://Directions/FactSet Auditing Viewer?action=AUDIT_VALUE&amp;DB=129&amp;ID1=74752510&amp;VALUEID=02001&amp;SDATE=200402&amp;PERIODTYPE=QTR_STD&amp;SCFT=3&amp;window=popup_no_bar&amp;width=385&amp;height=120&amp;START_MAXIMIZED=FALSE&amp;creator=factset&amp;display_string=Audit"}</definedName>
    <definedName name="_3343__FDSAUDITLINK__" localSheetId="7" hidden="1">{"fdsup://Directions/FactSet Auditing Viewer?action=AUDIT_VALUE&amp;DB=129&amp;ID1=72581M30&amp;VALUEID=02001&amp;SDATE=200801&amp;PERIODTYPE=QTR_STD&amp;SCFT=3&amp;window=popup_no_bar&amp;width=385&amp;height=120&amp;START_MAXIMIZED=FALSE&amp;creator=factset&amp;display_string=Audit"}</definedName>
    <definedName name="_3343__FDSAUDITLINK__" hidden="1">{"fdsup://Directions/FactSet Auditing Viewer?action=AUDIT_VALUE&amp;DB=129&amp;ID1=72581M30&amp;VALUEID=02001&amp;SDATE=200801&amp;PERIODTYPE=QTR_STD&amp;SCFT=3&amp;window=popup_no_bar&amp;width=385&amp;height=120&amp;START_MAXIMIZED=FALSE&amp;creator=factset&amp;display_string=Audit"}</definedName>
    <definedName name="_3344__FDSAUDITLINK__" localSheetId="7" hidden="1">{"fdsup://Directions/FactSet Auditing Viewer?action=AUDIT_VALUE&amp;DB=129&amp;ID1=72581M30&amp;VALUEID=02001&amp;SDATE=200801&amp;PERIODTYPE=QTR_STD&amp;SCFT=3&amp;window=popup_no_bar&amp;width=385&amp;height=120&amp;START_MAXIMIZED=FALSE&amp;creator=factset&amp;display_string=Audit"}</definedName>
    <definedName name="_3344__FDSAUDITLINK__" hidden="1">{"fdsup://Directions/FactSet Auditing Viewer?action=AUDIT_VALUE&amp;DB=129&amp;ID1=72581M30&amp;VALUEID=02001&amp;SDATE=200801&amp;PERIODTYPE=QTR_STD&amp;SCFT=3&amp;window=popup_no_bar&amp;width=385&amp;height=120&amp;START_MAXIMIZED=FALSE&amp;creator=factset&amp;display_string=Audit"}</definedName>
    <definedName name="_3345__FDSAUDITLINK__" localSheetId="7" hidden="1">{"fdsup://Directions/FactSet Auditing Viewer?action=AUDIT_VALUE&amp;DB=129&amp;ID1=72581M30&amp;VALUEID=02001&amp;SDATE=200703&amp;PERIODTYPE=QTR_STD&amp;SCFT=3&amp;window=popup_no_bar&amp;width=385&amp;height=120&amp;START_MAXIMIZED=FALSE&amp;creator=factset&amp;display_string=Audit"}</definedName>
    <definedName name="_3345__FDSAUDITLINK__" hidden="1">{"fdsup://Directions/FactSet Auditing Viewer?action=AUDIT_VALUE&amp;DB=129&amp;ID1=72581M30&amp;VALUEID=02001&amp;SDATE=200703&amp;PERIODTYPE=QTR_STD&amp;SCFT=3&amp;window=popup_no_bar&amp;width=385&amp;height=120&amp;START_MAXIMIZED=FALSE&amp;creator=factset&amp;display_string=Audit"}</definedName>
    <definedName name="_3346__FDSAUDITLINK__" localSheetId="7" hidden="1">{"fdsup://Directions/FactSet Auditing Viewer?action=AUDIT_VALUE&amp;DB=129&amp;ID1=72581M30&amp;VALUEID=02001&amp;SDATE=200703&amp;PERIODTYPE=QTR_STD&amp;SCFT=3&amp;window=popup_no_bar&amp;width=385&amp;height=120&amp;START_MAXIMIZED=FALSE&amp;creator=factset&amp;display_string=Audit"}</definedName>
    <definedName name="_3346__FDSAUDITLINK__" hidden="1">{"fdsup://Directions/FactSet Auditing Viewer?action=AUDIT_VALUE&amp;DB=129&amp;ID1=72581M30&amp;VALUEID=02001&amp;SDATE=200703&amp;PERIODTYPE=QTR_STD&amp;SCFT=3&amp;window=popup_no_bar&amp;width=385&amp;height=120&amp;START_MAXIMIZED=FALSE&amp;creator=factset&amp;display_string=Audit"}</definedName>
    <definedName name="_3347__FDSAUDITLINK__" localSheetId="7" hidden="1">{"fdsup://Directions/FactSet Auditing Viewer?action=AUDIT_VALUE&amp;DB=129&amp;ID1=72581M30&amp;VALUEID=02001&amp;SDATE=200702&amp;PERIODTYPE=QTR_STD&amp;SCFT=3&amp;window=popup_no_bar&amp;width=385&amp;height=120&amp;START_MAXIMIZED=FALSE&amp;creator=factset&amp;display_string=Audit"}</definedName>
    <definedName name="_3347__FDSAUDITLINK__" hidden="1">{"fdsup://Directions/FactSet Auditing Viewer?action=AUDIT_VALUE&amp;DB=129&amp;ID1=72581M30&amp;VALUEID=02001&amp;SDATE=200702&amp;PERIODTYPE=QTR_STD&amp;SCFT=3&amp;window=popup_no_bar&amp;width=385&amp;height=120&amp;START_MAXIMIZED=FALSE&amp;creator=factset&amp;display_string=Audit"}</definedName>
    <definedName name="_3348__FDSAUDITLINK__" localSheetId="7" hidden="1">{"fdsup://Directions/FactSet Auditing Viewer?action=AUDIT_VALUE&amp;DB=129&amp;ID1=72581M30&amp;VALUEID=02001&amp;SDATE=200702&amp;PERIODTYPE=QTR_STD&amp;SCFT=3&amp;window=popup_no_bar&amp;width=385&amp;height=120&amp;START_MAXIMIZED=FALSE&amp;creator=factset&amp;display_string=Audit"}</definedName>
    <definedName name="_3348__FDSAUDITLINK__" hidden="1">{"fdsup://Directions/FactSet Auditing Viewer?action=AUDIT_VALUE&amp;DB=129&amp;ID1=72581M30&amp;VALUEID=02001&amp;SDATE=200702&amp;PERIODTYPE=QTR_STD&amp;SCFT=3&amp;window=popup_no_bar&amp;width=385&amp;height=120&amp;START_MAXIMIZED=FALSE&amp;creator=factset&amp;display_string=Audit"}</definedName>
    <definedName name="_3349__FDSAUDITLINK__" localSheetId="7" hidden="1">{"fdsup://Directions/FactSet Auditing Viewer?action=AUDIT_VALUE&amp;DB=129&amp;ID1=72581M30&amp;VALUEID=02001&amp;SDATE=200701&amp;PERIODTYPE=QTR_STD&amp;SCFT=3&amp;window=popup_no_bar&amp;width=385&amp;height=120&amp;START_MAXIMIZED=FALSE&amp;creator=factset&amp;display_string=Audit"}</definedName>
    <definedName name="_3349__FDSAUDITLINK__" hidden="1">{"fdsup://Directions/FactSet Auditing Viewer?action=AUDIT_VALUE&amp;DB=129&amp;ID1=72581M30&amp;VALUEID=02001&amp;SDATE=200701&amp;PERIODTYPE=QTR_STD&amp;SCFT=3&amp;window=popup_no_bar&amp;width=385&amp;height=120&amp;START_MAXIMIZED=FALSE&amp;creator=factset&amp;display_string=Audit"}</definedName>
    <definedName name="_335__FDSAUDITLINK__" localSheetId="7" hidden="1">{"fdsup://Directions/FactSet Auditing Viewer?action=AUDIT_VALUE&amp;DB=129&amp;ID1=72581M30&amp;VALUEID=02001&amp;SDATE=201003&amp;PERIODTYPE=QTR_STD&amp;SCFT=3&amp;window=popup_no_bar&amp;width=385&amp;height=120&amp;START_MAXIMIZED=FALSE&amp;creator=factset&amp;display_string=Audit"}</definedName>
    <definedName name="_335__FDSAUDITLINK__" hidden="1">{"fdsup://Directions/FactSet Auditing Viewer?action=AUDIT_VALUE&amp;DB=129&amp;ID1=72581M30&amp;VALUEID=02001&amp;SDATE=201003&amp;PERIODTYPE=QTR_STD&amp;SCFT=3&amp;window=popup_no_bar&amp;width=385&amp;height=120&amp;START_MAXIMIZED=FALSE&amp;creator=factset&amp;display_string=Audit"}</definedName>
    <definedName name="_3350__FDSAUDITLINK__" localSheetId="7" hidden="1">{"fdsup://Directions/FactSet Auditing Viewer?action=AUDIT_VALUE&amp;DB=129&amp;ID1=72581M30&amp;VALUEID=02001&amp;SDATE=200701&amp;PERIODTYPE=QTR_STD&amp;SCFT=3&amp;window=popup_no_bar&amp;width=385&amp;height=120&amp;START_MAXIMIZED=FALSE&amp;creator=factset&amp;display_string=Audit"}</definedName>
    <definedName name="_3350__FDSAUDITLINK__" hidden="1">{"fdsup://Directions/FactSet Auditing Viewer?action=AUDIT_VALUE&amp;DB=129&amp;ID1=72581M30&amp;VALUEID=02001&amp;SDATE=200701&amp;PERIODTYPE=QTR_STD&amp;SCFT=3&amp;window=popup_no_bar&amp;width=385&amp;height=120&amp;START_MAXIMIZED=FALSE&amp;creator=factset&amp;display_string=Audit"}</definedName>
    <definedName name="_3351__FDSAUDITLINK__" localSheetId="7" hidden="1">{"fdsup://Directions/FactSet Auditing Viewer?action=AUDIT_VALUE&amp;DB=129&amp;ID1=72581M30&amp;VALUEID=02001&amp;SDATE=200603&amp;PERIODTYPE=QTR_STD&amp;SCFT=3&amp;window=popup_no_bar&amp;width=385&amp;height=120&amp;START_MAXIMIZED=FALSE&amp;creator=factset&amp;display_string=Audit"}</definedName>
    <definedName name="_3351__FDSAUDITLINK__" hidden="1">{"fdsup://Directions/FactSet Auditing Viewer?action=AUDIT_VALUE&amp;DB=129&amp;ID1=72581M30&amp;VALUEID=02001&amp;SDATE=200603&amp;PERIODTYPE=QTR_STD&amp;SCFT=3&amp;window=popup_no_bar&amp;width=385&amp;height=120&amp;START_MAXIMIZED=FALSE&amp;creator=factset&amp;display_string=Audit"}</definedName>
    <definedName name="_3352__FDSAUDITLINK__" localSheetId="7" hidden="1">{"fdsup://Directions/FactSet Auditing Viewer?action=AUDIT_VALUE&amp;DB=129&amp;ID1=72581M30&amp;VALUEID=02001&amp;SDATE=200603&amp;PERIODTYPE=QTR_STD&amp;SCFT=3&amp;window=popup_no_bar&amp;width=385&amp;height=120&amp;START_MAXIMIZED=FALSE&amp;creator=factset&amp;display_string=Audit"}</definedName>
    <definedName name="_3352__FDSAUDITLINK__" hidden="1">{"fdsup://Directions/FactSet Auditing Viewer?action=AUDIT_VALUE&amp;DB=129&amp;ID1=72581M30&amp;VALUEID=02001&amp;SDATE=200603&amp;PERIODTYPE=QTR_STD&amp;SCFT=3&amp;window=popup_no_bar&amp;width=385&amp;height=120&amp;START_MAXIMIZED=FALSE&amp;creator=factset&amp;display_string=Audit"}</definedName>
    <definedName name="_3353__FDSAUDITLINK__" localSheetId="7" hidden="1">{"fdsup://Directions/FactSet Auditing Viewer?action=AUDIT_VALUE&amp;DB=129&amp;ID1=72581M30&amp;VALUEID=02001&amp;SDATE=200602&amp;PERIODTYPE=QTR_STD&amp;SCFT=3&amp;window=popup_no_bar&amp;width=385&amp;height=120&amp;START_MAXIMIZED=FALSE&amp;creator=factset&amp;display_string=Audit"}</definedName>
    <definedName name="_3353__FDSAUDITLINK__" hidden="1">{"fdsup://Directions/FactSet Auditing Viewer?action=AUDIT_VALUE&amp;DB=129&amp;ID1=72581M30&amp;VALUEID=02001&amp;SDATE=200602&amp;PERIODTYPE=QTR_STD&amp;SCFT=3&amp;window=popup_no_bar&amp;width=385&amp;height=120&amp;START_MAXIMIZED=FALSE&amp;creator=factset&amp;display_string=Audit"}</definedName>
    <definedName name="_3354__FDSAUDITLINK__" localSheetId="7" hidden="1">{"fdsup://Directions/FactSet Auditing Viewer?action=AUDIT_VALUE&amp;DB=129&amp;ID1=72581M30&amp;VALUEID=02001&amp;SDATE=200602&amp;PERIODTYPE=QTR_STD&amp;SCFT=3&amp;window=popup_no_bar&amp;width=385&amp;height=120&amp;START_MAXIMIZED=FALSE&amp;creator=factset&amp;display_string=Audit"}</definedName>
    <definedName name="_3354__FDSAUDITLINK__" hidden="1">{"fdsup://Directions/FactSet Auditing Viewer?action=AUDIT_VALUE&amp;DB=129&amp;ID1=72581M30&amp;VALUEID=02001&amp;SDATE=200602&amp;PERIODTYPE=QTR_STD&amp;SCFT=3&amp;window=popup_no_bar&amp;width=385&amp;height=120&amp;START_MAXIMIZED=FALSE&amp;creator=factset&amp;display_string=Audit"}</definedName>
    <definedName name="_3355__FDSAUDITLINK__" localSheetId="7" hidden="1">{"fdsup://Directions/FactSet Auditing Viewer?action=AUDIT_VALUE&amp;DB=129&amp;ID1=72581M30&amp;VALUEID=02001&amp;SDATE=200601&amp;PERIODTYPE=QTR_STD&amp;SCFT=3&amp;window=popup_no_bar&amp;width=385&amp;height=120&amp;START_MAXIMIZED=FALSE&amp;creator=factset&amp;display_string=Audit"}</definedName>
    <definedName name="_3355__FDSAUDITLINK__" hidden="1">{"fdsup://Directions/FactSet Auditing Viewer?action=AUDIT_VALUE&amp;DB=129&amp;ID1=72581M30&amp;VALUEID=02001&amp;SDATE=200601&amp;PERIODTYPE=QTR_STD&amp;SCFT=3&amp;window=popup_no_bar&amp;width=385&amp;height=120&amp;START_MAXIMIZED=FALSE&amp;creator=factset&amp;display_string=Audit"}</definedName>
    <definedName name="_3356__FDSAUDITLINK__" localSheetId="7" hidden="1">{"fdsup://Directions/FactSet Auditing Viewer?action=AUDIT_VALUE&amp;DB=129&amp;ID1=72581M30&amp;VALUEID=02001&amp;SDATE=200601&amp;PERIODTYPE=QTR_STD&amp;SCFT=3&amp;window=popup_no_bar&amp;width=385&amp;height=120&amp;START_MAXIMIZED=FALSE&amp;creator=factset&amp;display_string=Audit"}</definedName>
    <definedName name="_3356__FDSAUDITLINK__" hidden="1">{"fdsup://Directions/FactSet Auditing Viewer?action=AUDIT_VALUE&amp;DB=129&amp;ID1=72581M30&amp;VALUEID=02001&amp;SDATE=200601&amp;PERIODTYPE=QTR_STD&amp;SCFT=3&amp;window=popup_no_bar&amp;width=385&amp;height=120&amp;START_MAXIMIZED=FALSE&amp;creator=factset&amp;display_string=Audit"}</definedName>
    <definedName name="_3357__FDSAUDITLINK__" localSheetId="7" hidden="1">{"fdsup://Directions/FactSet Auditing Viewer?action=AUDIT_VALUE&amp;DB=129&amp;ID1=72581M30&amp;VALUEID=02001&amp;SDATE=200503&amp;PERIODTYPE=QTR_STD&amp;SCFT=3&amp;window=popup_no_bar&amp;width=385&amp;height=120&amp;START_MAXIMIZED=FALSE&amp;creator=factset&amp;display_string=Audit"}</definedName>
    <definedName name="_3357__FDSAUDITLINK__" hidden="1">{"fdsup://Directions/FactSet Auditing Viewer?action=AUDIT_VALUE&amp;DB=129&amp;ID1=72581M30&amp;VALUEID=02001&amp;SDATE=200503&amp;PERIODTYPE=QTR_STD&amp;SCFT=3&amp;window=popup_no_bar&amp;width=385&amp;height=120&amp;START_MAXIMIZED=FALSE&amp;creator=factset&amp;display_string=Audit"}</definedName>
    <definedName name="_3358__FDSAUDITLINK__" localSheetId="7" hidden="1">{"fdsup://Directions/FactSet Auditing Viewer?action=AUDIT_VALUE&amp;DB=129&amp;ID1=72581M30&amp;VALUEID=02001&amp;SDATE=200503&amp;PERIODTYPE=QTR_STD&amp;SCFT=3&amp;window=popup_no_bar&amp;width=385&amp;height=120&amp;START_MAXIMIZED=FALSE&amp;creator=factset&amp;display_string=Audit"}</definedName>
    <definedName name="_3358__FDSAUDITLINK__" hidden="1">{"fdsup://Directions/FactSet Auditing Viewer?action=AUDIT_VALUE&amp;DB=129&amp;ID1=72581M30&amp;VALUEID=02001&amp;SDATE=200503&amp;PERIODTYPE=QTR_STD&amp;SCFT=3&amp;window=popup_no_bar&amp;width=385&amp;height=120&amp;START_MAXIMIZED=FALSE&amp;creator=factset&amp;display_string=Audit"}</definedName>
    <definedName name="_3359__FDSAUDITLINK__" localSheetId="7" hidden="1">{"fdsup://Directions/FactSet Auditing Viewer?action=AUDIT_VALUE&amp;DB=129&amp;ID1=72581M30&amp;VALUEID=02001&amp;SDATE=200502&amp;PERIODTYPE=QTR_STD&amp;SCFT=3&amp;window=popup_no_bar&amp;width=385&amp;height=120&amp;START_MAXIMIZED=FALSE&amp;creator=factset&amp;display_string=Audit"}</definedName>
    <definedName name="_3359__FDSAUDITLINK__" hidden="1">{"fdsup://Directions/FactSet Auditing Viewer?action=AUDIT_VALUE&amp;DB=129&amp;ID1=72581M30&amp;VALUEID=02001&amp;SDATE=200502&amp;PERIODTYPE=QTR_STD&amp;SCFT=3&amp;window=popup_no_bar&amp;width=385&amp;height=120&amp;START_MAXIMIZED=FALSE&amp;creator=factset&amp;display_string=Audit"}</definedName>
    <definedName name="_336__FDSAUDITLINK__" localSheetId="7" hidden="1">{"fdsup://Directions/FactSet Auditing Viewer?action=AUDIT_VALUE&amp;DB=129&amp;ID1=72581M30&amp;VALUEID=02001&amp;SDATE=201003&amp;PERIODTYPE=QTR_STD&amp;SCFT=3&amp;window=popup_no_bar&amp;width=385&amp;height=120&amp;START_MAXIMIZED=FALSE&amp;creator=factset&amp;display_string=Audit"}</definedName>
    <definedName name="_336__FDSAUDITLINK__" hidden="1">{"fdsup://Directions/FactSet Auditing Viewer?action=AUDIT_VALUE&amp;DB=129&amp;ID1=72581M30&amp;VALUEID=02001&amp;SDATE=201003&amp;PERIODTYPE=QTR_STD&amp;SCFT=3&amp;window=popup_no_bar&amp;width=385&amp;height=120&amp;START_MAXIMIZED=FALSE&amp;creator=factset&amp;display_string=Audit"}</definedName>
    <definedName name="_3360__FDSAUDITLINK__" localSheetId="7" hidden="1">{"fdsup://Directions/FactSet Auditing Viewer?action=AUDIT_VALUE&amp;DB=129&amp;ID1=72581M30&amp;VALUEID=02001&amp;SDATE=200502&amp;PERIODTYPE=QTR_STD&amp;SCFT=3&amp;window=popup_no_bar&amp;width=385&amp;height=120&amp;START_MAXIMIZED=FALSE&amp;creator=factset&amp;display_string=Audit"}</definedName>
    <definedName name="_3360__FDSAUDITLINK__" hidden="1">{"fdsup://Directions/FactSet Auditing Viewer?action=AUDIT_VALUE&amp;DB=129&amp;ID1=72581M30&amp;VALUEID=02001&amp;SDATE=200502&amp;PERIODTYPE=QTR_STD&amp;SCFT=3&amp;window=popup_no_bar&amp;width=385&amp;height=120&amp;START_MAXIMIZED=FALSE&amp;creator=factset&amp;display_string=Audit"}</definedName>
    <definedName name="_3361__FDSAUDITLINK__" localSheetId="7" hidden="1">{"fdsup://Directions/FactSet Auditing Viewer?action=AUDIT_VALUE&amp;DB=129&amp;ID1=72581M30&amp;VALUEID=02001&amp;SDATE=200501&amp;PERIODTYPE=QTR_STD&amp;SCFT=3&amp;window=popup_no_bar&amp;width=385&amp;height=120&amp;START_MAXIMIZED=FALSE&amp;creator=factset&amp;display_string=Audit"}</definedName>
    <definedName name="_3361__FDSAUDITLINK__" hidden="1">{"fdsup://Directions/FactSet Auditing Viewer?action=AUDIT_VALUE&amp;DB=129&amp;ID1=72581M30&amp;VALUEID=02001&amp;SDATE=200501&amp;PERIODTYPE=QTR_STD&amp;SCFT=3&amp;window=popup_no_bar&amp;width=385&amp;height=120&amp;START_MAXIMIZED=FALSE&amp;creator=factset&amp;display_string=Audit"}</definedName>
    <definedName name="_3362__FDSAUDITLINK__" localSheetId="7" hidden="1">{"fdsup://Directions/FactSet Auditing Viewer?action=AUDIT_VALUE&amp;DB=129&amp;ID1=72581M30&amp;VALUEID=02001&amp;SDATE=200501&amp;PERIODTYPE=QTR_STD&amp;SCFT=3&amp;window=popup_no_bar&amp;width=385&amp;height=120&amp;START_MAXIMIZED=FALSE&amp;creator=factset&amp;display_string=Audit"}</definedName>
    <definedName name="_3362__FDSAUDITLINK__" hidden="1">{"fdsup://Directions/FactSet Auditing Viewer?action=AUDIT_VALUE&amp;DB=129&amp;ID1=72581M30&amp;VALUEID=02001&amp;SDATE=200501&amp;PERIODTYPE=QTR_STD&amp;SCFT=3&amp;window=popup_no_bar&amp;width=385&amp;height=120&amp;START_MAXIMIZED=FALSE&amp;creator=factset&amp;display_string=Audit"}</definedName>
    <definedName name="_3363__FDSAUDITLINK__" localSheetId="7" hidden="1">{"fdsup://Directions/FactSet Auditing Viewer?action=AUDIT_VALUE&amp;DB=129&amp;ID1=72581M30&amp;VALUEID=02001&amp;SDATE=200403&amp;PERIODTYPE=QTR_STD&amp;SCFT=3&amp;window=popup_no_bar&amp;width=385&amp;height=120&amp;START_MAXIMIZED=FALSE&amp;creator=factset&amp;display_string=Audit"}</definedName>
    <definedName name="_3363__FDSAUDITLINK__" hidden="1">{"fdsup://Directions/FactSet Auditing Viewer?action=AUDIT_VALUE&amp;DB=129&amp;ID1=72581M30&amp;VALUEID=02001&amp;SDATE=200403&amp;PERIODTYPE=QTR_STD&amp;SCFT=3&amp;window=popup_no_bar&amp;width=385&amp;height=120&amp;START_MAXIMIZED=FALSE&amp;creator=factset&amp;display_string=Audit"}</definedName>
    <definedName name="_3364__FDSAUDITLINK__" localSheetId="7" hidden="1">{"fdsup://Directions/FactSet Auditing Viewer?action=AUDIT_VALUE&amp;DB=129&amp;ID1=72581M30&amp;VALUEID=02001&amp;SDATE=200403&amp;PERIODTYPE=QTR_STD&amp;SCFT=3&amp;window=popup_no_bar&amp;width=385&amp;height=120&amp;START_MAXIMIZED=FALSE&amp;creator=factset&amp;display_string=Audit"}</definedName>
    <definedName name="_3364__FDSAUDITLINK__" hidden="1">{"fdsup://Directions/FactSet Auditing Viewer?action=AUDIT_VALUE&amp;DB=129&amp;ID1=72581M30&amp;VALUEID=02001&amp;SDATE=200403&amp;PERIODTYPE=QTR_STD&amp;SCFT=3&amp;window=popup_no_bar&amp;width=385&amp;height=120&amp;START_MAXIMIZED=FALSE&amp;creator=factset&amp;display_string=Audit"}</definedName>
    <definedName name="_3365__FDSAUDITLINK__" localSheetId="7" hidden="1">{"fdsup://Directions/FactSet Auditing Viewer?action=AUDIT_VALUE&amp;DB=129&amp;ID1=72581M30&amp;VALUEID=02001&amp;SDATE=200402&amp;PERIODTYPE=QTR_STD&amp;SCFT=3&amp;window=popup_no_bar&amp;width=385&amp;height=120&amp;START_MAXIMIZED=FALSE&amp;creator=factset&amp;display_string=Audit"}</definedName>
    <definedName name="_3365__FDSAUDITLINK__" hidden="1">{"fdsup://Directions/FactSet Auditing Viewer?action=AUDIT_VALUE&amp;DB=129&amp;ID1=72581M30&amp;VALUEID=02001&amp;SDATE=200402&amp;PERIODTYPE=QTR_STD&amp;SCFT=3&amp;window=popup_no_bar&amp;width=385&amp;height=120&amp;START_MAXIMIZED=FALSE&amp;creator=factset&amp;display_string=Audit"}</definedName>
    <definedName name="_3366__FDSAUDITLINK__" localSheetId="7" hidden="1">{"fdsup://Directions/FactSet Auditing Viewer?action=AUDIT_VALUE&amp;DB=129&amp;ID1=72581M30&amp;VALUEID=02001&amp;SDATE=200402&amp;PERIODTYPE=QTR_STD&amp;SCFT=3&amp;window=popup_no_bar&amp;width=385&amp;height=120&amp;START_MAXIMIZED=FALSE&amp;creator=factset&amp;display_string=Audit"}</definedName>
    <definedName name="_3366__FDSAUDITLINK__" hidden="1">{"fdsup://Directions/FactSet Auditing Viewer?action=AUDIT_VALUE&amp;DB=129&amp;ID1=72581M30&amp;VALUEID=02001&amp;SDATE=200402&amp;PERIODTYPE=QTR_STD&amp;SCFT=3&amp;window=popup_no_bar&amp;width=385&amp;height=120&amp;START_MAXIMIZED=FALSE&amp;creator=factset&amp;display_string=Audit"}</definedName>
    <definedName name="_3367__FDSAUDITLINK__" localSheetId="7" hidden="1">{"fdsup://Directions/FactSet Auditing Viewer?action=AUDIT_VALUE&amp;DB=129&amp;ID1=72581M30&amp;VALUEID=02001&amp;SDATE=200401&amp;PERIODTYPE=QTR_STD&amp;SCFT=3&amp;window=popup_no_bar&amp;width=385&amp;height=120&amp;START_MAXIMIZED=FALSE&amp;creator=factset&amp;display_string=Audit"}</definedName>
    <definedName name="_3367__FDSAUDITLINK__" hidden="1">{"fdsup://Directions/FactSet Auditing Viewer?action=AUDIT_VALUE&amp;DB=129&amp;ID1=72581M30&amp;VALUEID=02001&amp;SDATE=200401&amp;PERIODTYPE=QTR_STD&amp;SCFT=3&amp;window=popup_no_bar&amp;width=385&amp;height=120&amp;START_MAXIMIZED=FALSE&amp;creator=factset&amp;display_string=Audit"}</definedName>
    <definedName name="_3368__FDSAUDITLINK__" localSheetId="7" hidden="1">{"fdsup://Directions/FactSet Auditing Viewer?action=AUDIT_VALUE&amp;DB=129&amp;ID1=72581M30&amp;VALUEID=02001&amp;SDATE=200401&amp;PERIODTYPE=QTR_STD&amp;SCFT=3&amp;window=popup_no_bar&amp;width=385&amp;height=120&amp;START_MAXIMIZED=FALSE&amp;creator=factset&amp;display_string=Audit"}</definedName>
    <definedName name="_3368__FDSAUDITLINK__" hidden="1">{"fdsup://Directions/FactSet Auditing Viewer?action=AUDIT_VALUE&amp;DB=129&amp;ID1=72581M30&amp;VALUEID=02001&amp;SDATE=200401&amp;PERIODTYPE=QTR_STD&amp;SCFT=3&amp;window=popup_no_bar&amp;width=385&amp;height=120&amp;START_MAXIMIZED=FALSE&amp;creator=factset&amp;display_string=Audit"}</definedName>
    <definedName name="_3369__FDSAUDITLINK__" localSheetId="7" hidden="1">{"fdsup://Directions/FactSet Auditing Viewer?action=AUDIT_VALUE&amp;DB=129&amp;ID1=73927610&amp;VALUEID=02001&amp;SDATE=200801&amp;PERIODTYPE=QTR_STD&amp;SCFT=3&amp;window=popup_no_bar&amp;width=385&amp;height=120&amp;START_MAXIMIZED=FALSE&amp;creator=factset&amp;display_string=Audit"}</definedName>
    <definedName name="_3369__FDSAUDITLINK__" hidden="1">{"fdsup://Directions/FactSet Auditing Viewer?action=AUDIT_VALUE&amp;DB=129&amp;ID1=73927610&amp;VALUEID=02001&amp;SDATE=200801&amp;PERIODTYPE=QTR_STD&amp;SCFT=3&amp;window=popup_no_bar&amp;width=385&amp;height=120&amp;START_MAXIMIZED=FALSE&amp;creator=factset&amp;display_string=Audit"}</definedName>
    <definedName name="_337__FDSAUDITLINK__" localSheetId="7" hidden="1">{"fdsup://Directions/FactSet Auditing Viewer?action=AUDIT_VALUE&amp;DB=129&amp;ID1=73927610&amp;VALUEID=02001&amp;SDATE=201003&amp;PERIODTYPE=QTR_STD&amp;SCFT=3&amp;window=popup_no_bar&amp;width=385&amp;height=120&amp;START_MAXIMIZED=FALSE&amp;creator=factset&amp;display_string=Audit"}</definedName>
    <definedName name="_337__FDSAUDITLINK__" hidden="1">{"fdsup://Directions/FactSet Auditing Viewer?action=AUDIT_VALUE&amp;DB=129&amp;ID1=73927610&amp;VALUEID=02001&amp;SDATE=201003&amp;PERIODTYPE=QTR_STD&amp;SCFT=3&amp;window=popup_no_bar&amp;width=385&amp;height=120&amp;START_MAXIMIZED=FALSE&amp;creator=factset&amp;display_string=Audit"}</definedName>
    <definedName name="_3370__FDSAUDITLINK__" localSheetId="7" hidden="1">{"fdsup://Directions/FactSet Auditing Viewer?action=AUDIT_VALUE&amp;DB=129&amp;ID1=73927610&amp;VALUEID=02001&amp;SDATE=200801&amp;PERIODTYPE=QTR_STD&amp;SCFT=3&amp;window=popup_no_bar&amp;width=385&amp;height=120&amp;START_MAXIMIZED=FALSE&amp;creator=factset&amp;display_string=Audit"}</definedName>
    <definedName name="_3370__FDSAUDITLINK__" hidden="1">{"fdsup://Directions/FactSet Auditing Viewer?action=AUDIT_VALUE&amp;DB=129&amp;ID1=73927610&amp;VALUEID=02001&amp;SDATE=200801&amp;PERIODTYPE=QTR_STD&amp;SCFT=3&amp;window=popup_no_bar&amp;width=385&amp;height=120&amp;START_MAXIMIZED=FALSE&amp;creator=factset&amp;display_string=Audit"}</definedName>
    <definedName name="_3371__FDSAUDITLINK__" localSheetId="7" hidden="1">{"fdsup://Directions/FactSet Auditing Viewer?action=AUDIT_VALUE&amp;DB=129&amp;ID1=73927610&amp;VALUEID=02001&amp;SDATE=200703&amp;PERIODTYPE=QTR_STD&amp;SCFT=3&amp;window=popup_no_bar&amp;width=385&amp;height=120&amp;START_MAXIMIZED=FALSE&amp;creator=factset&amp;display_string=Audit"}</definedName>
    <definedName name="_3371__FDSAUDITLINK__" hidden="1">{"fdsup://Directions/FactSet Auditing Viewer?action=AUDIT_VALUE&amp;DB=129&amp;ID1=73927610&amp;VALUEID=02001&amp;SDATE=200703&amp;PERIODTYPE=QTR_STD&amp;SCFT=3&amp;window=popup_no_bar&amp;width=385&amp;height=120&amp;START_MAXIMIZED=FALSE&amp;creator=factset&amp;display_string=Audit"}</definedName>
    <definedName name="_3372__FDSAUDITLINK__" localSheetId="7" hidden="1">{"fdsup://Directions/FactSet Auditing Viewer?action=AUDIT_VALUE&amp;DB=129&amp;ID1=73927610&amp;VALUEID=02001&amp;SDATE=200703&amp;PERIODTYPE=QTR_STD&amp;SCFT=3&amp;window=popup_no_bar&amp;width=385&amp;height=120&amp;START_MAXIMIZED=FALSE&amp;creator=factset&amp;display_string=Audit"}</definedName>
    <definedName name="_3372__FDSAUDITLINK__" hidden="1">{"fdsup://Directions/FactSet Auditing Viewer?action=AUDIT_VALUE&amp;DB=129&amp;ID1=73927610&amp;VALUEID=02001&amp;SDATE=200703&amp;PERIODTYPE=QTR_STD&amp;SCFT=3&amp;window=popup_no_bar&amp;width=385&amp;height=120&amp;START_MAXIMIZED=FALSE&amp;creator=factset&amp;display_string=Audit"}</definedName>
    <definedName name="_3373__FDSAUDITLINK__" localSheetId="7" hidden="1">{"fdsup://Directions/FactSet Auditing Viewer?action=AUDIT_VALUE&amp;DB=129&amp;ID1=73927610&amp;VALUEID=02001&amp;SDATE=200702&amp;PERIODTYPE=QTR_STD&amp;SCFT=3&amp;window=popup_no_bar&amp;width=385&amp;height=120&amp;START_MAXIMIZED=FALSE&amp;creator=factset&amp;display_string=Audit"}</definedName>
    <definedName name="_3373__FDSAUDITLINK__" hidden="1">{"fdsup://Directions/FactSet Auditing Viewer?action=AUDIT_VALUE&amp;DB=129&amp;ID1=73927610&amp;VALUEID=02001&amp;SDATE=200702&amp;PERIODTYPE=QTR_STD&amp;SCFT=3&amp;window=popup_no_bar&amp;width=385&amp;height=120&amp;START_MAXIMIZED=FALSE&amp;creator=factset&amp;display_string=Audit"}</definedName>
    <definedName name="_3374__FDSAUDITLINK__" localSheetId="7" hidden="1">{"fdsup://Directions/FactSet Auditing Viewer?action=AUDIT_VALUE&amp;DB=129&amp;ID1=73927610&amp;VALUEID=02001&amp;SDATE=200702&amp;PERIODTYPE=QTR_STD&amp;SCFT=3&amp;window=popup_no_bar&amp;width=385&amp;height=120&amp;START_MAXIMIZED=FALSE&amp;creator=factset&amp;display_string=Audit"}</definedName>
    <definedName name="_3374__FDSAUDITLINK__" hidden="1">{"fdsup://Directions/FactSet Auditing Viewer?action=AUDIT_VALUE&amp;DB=129&amp;ID1=73927610&amp;VALUEID=02001&amp;SDATE=200702&amp;PERIODTYPE=QTR_STD&amp;SCFT=3&amp;window=popup_no_bar&amp;width=385&amp;height=120&amp;START_MAXIMIZED=FALSE&amp;creator=factset&amp;display_string=Audit"}</definedName>
    <definedName name="_3375__FDSAUDITLINK__" localSheetId="7" hidden="1">{"fdsup://Directions/FactSet Auditing Viewer?action=AUDIT_VALUE&amp;DB=129&amp;ID1=73927610&amp;VALUEID=02001&amp;SDATE=200701&amp;PERIODTYPE=QTR_STD&amp;SCFT=3&amp;window=popup_no_bar&amp;width=385&amp;height=120&amp;START_MAXIMIZED=FALSE&amp;creator=factset&amp;display_string=Audit"}</definedName>
    <definedName name="_3375__FDSAUDITLINK__" hidden="1">{"fdsup://Directions/FactSet Auditing Viewer?action=AUDIT_VALUE&amp;DB=129&amp;ID1=73927610&amp;VALUEID=02001&amp;SDATE=200701&amp;PERIODTYPE=QTR_STD&amp;SCFT=3&amp;window=popup_no_bar&amp;width=385&amp;height=120&amp;START_MAXIMIZED=FALSE&amp;creator=factset&amp;display_string=Audit"}</definedName>
    <definedName name="_3376__FDSAUDITLINK__" localSheetId="7" hidden="1">{"fdsup://Directions/FactSet Auditing Viewer?action=AUDIT_VALUE&amp;DB=129&amp;ID1=73927610&amp;VALUEID=02001&amp;SDATE=200701&amp;PERIODTYPE=QTR_STD&amp;SCFT=3&amp;window=popup_no_bar&amp;width=385&amp;height=120&amp;START_MAXIMIZED=FALSE&amp;creator=factset&amp;display_string=Audit"}</definedName>
    <definedName name="_3376__FDSAUDITLINK__" hidden="1">{"fdsup://Directions/FactSet Auditing Viewer?action=AUDIT_VALUE&amp;DB=129&amp;ID1=73927610&amp;VALUEID=02001&amp;SDATE=200701&amp;PERIODTYPE=QTR_STD&amp;SCFT=3&amp;window=popup_no_bar&amp;width=385&amp;height=120&amp;START_MAXIMIZED=FALSE&amp;creator=factset&amp;display_string=Audit"}</definedName>
    <definedName name="_3377__FDSAUDITLINK__" localSheetId="7" hidden="1">{"fdsup://Directions/FactSet Auditing Viewer?action=AUDIT_VALUE&amp;DB=129&amp;ID1=73927610&amp;VALUEID=02001&amp;SDATE=200603&amp;PERIODTYPE=QTR_STD&amp;SCFT=3&amp;window=popup_no_bar&amp;width=385&amp;height=120&amp;START_MAXIMIZED=FALSE&amp;creator=factset&amp;display_string=Audit"}</definedName>
    <definedName name="_3377__FDSAUDITLINK__" hidden="1">{"fdsup://Directions/FactSet Auditing Viewer?action=AUDIT_VALUE&amp;DB=129&amp;ID1=73927610&amp;VALUEID=02001&amp;SDATE=200603&amp;PERIODTYPE=QTR_STD&amp;SCFT=3&amp;window=popup_no_bar&amp;width=385&amp;height=120&amp;START_MAXIMIZED=FALSE&amp;creator=factset&amp;display_string=Audit"}</definedName>
    <definedName name="_3378__FDSAUDITLINK__" localSheetId="7" hidden="1">{"fdsup://Directions/FactSet Auditing Viewer?action=AUDIT_VALUE&amp;DB=129&amp;ID1=73927610&amp;VALUEID=02001&amp;SDATE=200603&amp;PERIODTYPE=QTR_STD&amp;SCFT=3&amp;window=popup_no_bar&amp;width=385&amp;height=120&amp;START_MAXIMIZED=FALSE&amp;creator=factset&amp;display_string=Audit"}</definedName>
    <definedName name="_3378__FDSAUDITLINK__" hidden="1">{"fdsup://Directions/FactSet Auditing Viewer?action=AUDIT_VALUE&amp;DB=129&amp;ID1=73927610&amp;VALUEID=02001&amp;SDATE=200603&amp;PERIODTYPE=QTR_STD&amp;SCFT=3&amp;window=popup_no_bar&amp;width=385&amp;height=120&amp;START_MAXIMIZED=FALSE&amp;creator=factset&amp;display_string=Audit"}</definedName>
    <definedName name="_3379__FDSAUDITLINK__" localSheetId="7" hidden="1">{"fdsup://Directions/FactSet Auditing Viewer?action=AUDIT_VALUE&amp;DB=129&amp;ID1=73927610&amp;VALUEID=02001&amp;SDATE=200602&amp;PERIODTYPE=QTR_STD&amp;SCFT=3&amp;window=popup_no_bar&amp;width=385&amp;height=120&amp;START_MAXIMIZED=FALSE&amp;creator=factset&amp;display_string=Audit"}</definedName>
    <definedName name="_3379__FDSAUDITLINK__" hidden="1">{"fdsup://Directions/FactSet Auditing Viewer?action=AUDIT_VALUE&amp;DB=129&amp;ID1=73927610&amp;VALUEID=02001&amp;SDATE=200602&amp;PERIODTYPE=QTR_STD&amp;SCFT=3&amp;window=popup_no_bar&amp;width=385&amp;height=120&amp;START_MAXIMIZED=FALSE&amp;creator=factset&amp;display_string=Audit"}</definedName>
    <definedName name="_338__FDSAUDITLINK__" localSheetId="7" hidden="1">{"fdsup://Directions/FactSet Auditing Viewer?action=AUDIT_VALUE&amp;DB=129&amp;ID1=73927610&amp;VALUEID=02001&amp;SDATE=201003&amp;PERIODTYPE=QTR_STD&amp;SCFT=3&amp;window=popup_no_bar&amp;width=385&amp;height=120&amp;START_MAXIMIZED=FALSE&amp;creator=factset&amp;display_string=Audit"}</definedName>
    <definedName name="_338__FDSAUDITLINK__" hidden="1">{"fdsup://Directions/FactSet Auditing Viewer?action=AUDIT_VALUE&amp;DB=129&amp;ID1=73927610&amp;VALUEID=02001&amp;SDATE=201003&amp;PERIODTYPE=QTR_STD&amp;SCFT=3&amp;window=popup_no_bar&amp;width=385&amp;height=120&amp;START_MAXIMIZED=FALSE&amp;creator=factset&amp;display_string=Audit"}</definedName>
    <definedName name="_3380__FDSAUDITLINK__" localSheetId="7" hidden="1">{"fdsup://Directions/FactSet Auditing Viewer?action=AUDIT_VALUE&amp;DB=129&amp;ID1=73927610&amp;VALUEID=02001&amp;SDATE=200602&amp;PERIODTYPE=QTR_STD&amp;SCFT=3&amp;window=popup_no_bar&amp;width=385&amp;height=120&amp;START_MAXIMIZED=FALSE&amp;creator=factset&amp;display_string=Audit"}</definedName>
    <definedName name="_3380__FDSAUDITLINK__" hidden="1">{"fdsup://Directions/FactSet Auditing Viewer?action=AUDIT_VALUE&amp;DB=129&amp;ID1=73927610&amp;VALUEID=02001&amp;SDATE=200602&amp;PERIODTYPE=QTR_STD&amp;SCFT=3&amp;window=popup_no_bar&amp;width=385&amp;height=120&amp;START_MAXIMIZED=FALSE&amp;creator=factset&amp;display_string=Audit"}</definedName>
    <definedName name="_3381__FDSAUDITLINK__" localSheetId="7" hidden="1">{"fdsup://Directions/FactSet Auditing Viewer?action=AUDIT_VALUE&amp;DB=129&amp;ID1=73927610&amp;VALUEID=02001&amp;SDATE=200601&amp;PERIODTYPE=QTR_STD&amp;SCFT=3&amp;window=popup_no_bar&amp;width=385&amp;height=120&amp;START_MAXIMIZED=FALSE&amp;creator=factset&amp;display_string=Audit"}</definedName>
    <definedName name="_3381__FDSAUDITLINK__" hidden="1">{"fdsup://Directions/FactSet Auditing Viewer?action=AUDIT_VALUE&amp;DB=129&amp;ID1=73927610&amp;VALUEID=02001&amp;SDATE=200601&amp;PERIODTYPE=QTR_STD&amp;SCFT=3&amp;window=popup_no_bar&amp;width=385&amp;height=120&amp;START_MAXIMIZED=FALSE&amp;creator=factset&amp;display_string=Audit"}</definedName>
    <definedName name="_3382__FDSAUDITLINK__" localSheetId="7" hidden="1">{"fdsup://Directions/FactSet Auditing Viewer?action=AUDIT_VALUE&amp;DB=129&amp;ID1=73927610&amp;VALUEID=02001&amp;SDATE=200601&amp;PERIODTYPE=QTR_STD&amp;SCFT=3&amp;window=popup_no_bar&amp;width=385&amp;height=120&amp;START_MAXIMIZED=FALSE&amp;creator=factset&amp;display_string=Audit"}</definedName>
    <definedName name="_3382__FDSAUDITLINK__" hidden="1">{"fdsup://Directions/FactSet Auditing Viewer?action=AUDIT_VALUE&amp;DB=129&amp;ID1=73927610&amp;VALUEID=02001&amp;SDATE=200601&amp;PERIODTYPE=QTR_STD&amp;SCFT=3&amp;window=popup_no_bar&amp;width=385&amp;height=120&amp;START_MAXIMIZED=FALSE&amp;creator=factset&amp;display_string=Audit"}</definedName>
    <definedName name="_3383__FDSAUDITLINK__" localSheetId="7" hidden="1">{"fdsup://Directions/FactSet Auditing Viewer?action=AUDIT_VALUE&amp;DB=129&amp;ID1=73927610&amp;VALUEID=02001&amp;SDATE=200503&amp;PERIODTYPE=QTR_STD&amp;SCFT=3&amp;window=popup_no_bar&amp;width=385&amp;height=120&amp;START_MAXIMIZED=FALSE&amp;creator=factset&amp;display_string=Audit"}</definedName>
    <definedName name="_3383__FDSAUDITLINK__" hidden="1">{"fdsup://Directions/FactSet Auditing Viewer?action=AUDIT_VALUE&amp;DB=129&amp;ID1=73927610&amp;VALUEID=02001&amp;SDATE=200503&amp;PERIODTYPE=QTR_STD&amp;SCFT=3&amp;window=popup_no_bar&amp;width=385&amp;height=120&amp;START_MAXIMIZED=FALSE&amp;creator=factset&amp;display_string=Audit"}</definedName>
    <definedName name="_3384__FDSAUDITLINK__" localSheetId="7" hidden="1">{"fdsup://Directions/FactSet Auditing Viewer?action=AUDIT_VALUE&amp;DB=129&amp;ID1=73927610&amp;VALUEID=02001&amp;SDATE=200503&amp;PERIODTYPE=QTR_STD&amp;SCFT=3&amp;window=popup_no_bar&amp;width=385&amp;height=120&amp;START_MAXIMIZED=FALSE&amp;creator=factset&amp;display_string=Audit"}</definedName>
    <definedName name="_3384__FDSAUDITLINK__" hidden="1">{"fdsup://Directions/FactSet Auditing Viewer?action=AUDIT_VALUE&amp;DB=129&amp;ID1=73927610&amp;VALUEID=02001&amp;SDATE=200503&amp;PERIODTYPE=QTR_STD&amp;SCFT=3&amp;window=popup_no_bar&amp;width=385&amp;height=120&amp;START_MAXIMIZED=FALSE&amp;creator=factset&amp;display_string=Audit"}</definedName>
    <definedName name="_3385__FDSAUDITLINK__" localSheetId="7" hidden="1">{"fdsup://Directions/FactSet Auditing Viewer?action=AUDIT_VALUE&amp;DB=129&amp;ID1=73927610&amp;VALUEID=02001&amp;SDATE=200502&amp;PERIODTYPE=QTR_STD&amp;SCFT=3&amp;window=popup_no_bar&amp;width=385&amp;height=120&amp;START_MAXIMIZED=FALSE&amp;creator=factset&amp;display_string=Audit"}</definedName>
    <definedName name="_3385__FDSAUDITLINK__" hidden="1">{"fdsup://Directions/FactSet Auditing Viewer?action=AUDIT_VALUE&amp;DB=129&amp;ID1=73927610&amp;VALUEID=02001&amp;SDATE=200502&amp;PERIODTYPE=QTR_STD&amp;SCFT=3&amp;window=popup_no_bar&amp;width=385&amp;height=120&amp;START_MAXIMIZED=FALSE&amp;creator=factset&amp;display_string=Audit"}</definedName>
    <definedName name="_3386__FDSAUDITLINK__" localSheetId="7" hidden="1">{"fdsup://Directions/FactSet Auditing Viewer?action=AUDIT_VALUE&amp;DB=129&amp;ID1=73927610&amp;VALUEID=02001&amp;SDATE=200502&amp;PERIODTYPE=QTR_STD&amp;SCFT=3&amp;window=popup_no_bar&amp;width=385&amp;height=120&amp;START_MAXIMIZED=FALSE&amp;creator=factset&amp;display_string=Audit"}</definedName>
    <definedName name="_3386__FDSAUDITLINK__" hidden="1">{"fdsup://Directions/FactSet Auditing Viewer?action=AUDIT_VALUE&amp;DB=129&amp;ID1=73927610&amp;VALUEID=02001&amp;SDATE=200502&amp;PERIODTYPE=QTR_STD&amp;SCFT=3&amp;window=popup_no_bar&amp;width=385&amp;height=120&amp;START_MAXIMIZED=FALSE&amp;creator=factset&amp;display_string=Audit"}</definedName>
    <definedName name="_3387__FDSAUDITLINK__" localSheetId="7" hidden="1">{"fdsup://Directions/FactSet Auditing Viewer?action=AUDIT_VALUE&amp;DB=129&amp;ID1=73927610&amp;VALUEID=02001&amp;SDATE=200501&amp;PERIODTYPE=QTR_STD&amp;SCFT=3&amp;window=popup_no_bar&amp;width=385&amp;height=120&amp;START_MAXIMIZED=FALSE&amp;creator=factset&amp;display_string=Audit"}</definedName>
    <definedName name="_3387__FDSAUDITLINK__" hidden="1">{"fdsup://Directions/FactSet Auditing Viewer?action=AUDIT_VALUE&amp;DB=129&amp;ID1=73927610&amp;VALUEID=02001&amp;SDATE=200501&amp;PERIODTYPE=QTR_STD&amp;SCFT=3&amp;window=popup_no_bar&amp;width=385&amp;height=120&amp;START_MAXIMIZED=FALSE&amp;creator=factset&amp;display_string=Audit"}</definedName>
    <definedName name="_3388__FDSAUDITLINK__" localSheetId="7" hidden="1">{"fdsup://Directions/FactSet Auditing Viewer?action=AUDIT_VALUE&amp;DB=129&amp;ID1=73927610&amp;VALUEID=02001&amp;SDATE=200501&amp;PERIODTYPE=QTR_STD&amp;SCFT=3&amp;window=popup_no_bar&amp;width=385&amp;height=120&amp;START_MAXIMIZED=FALSE&amp;creator=factset&amp;display_string=Audit"}</definedName>
    <definedName name="_3388__FDSAUDITLINK__" hidden="1">{"fdsup://Directions/FactSet Auditing Viewer?action=AUDIT_VALUE&amp;DB=129&amp;ID1=73927610&amp;VALUEID=02001&amp;SDATE=200501&amp;PERIODTYPE=QTR_STD&amp;SCFT=3&amp;window=popup_no_bar&amp;width=385&amp;height=120&amp;START_MAXIMIZED=FALSE&amp;creator=factset&amp;display_string=Audit"}</definedName>
    <definedName name="_3389__FDSAUDITLINK__" localSheetId="7" hidden="1">{"fdsup://Directions/FactSet Auditing Viewer?action=AUDIT_VALUE&amp;DB=129&amp;ID1=73927610&amp;VALUEID=02001&amp;SDATE=200403&amp;PERIODTYPE=QTR_STD&amp;SCFT=3&amp;window=popup_no_bar&amp;width=385&amp;height=120&amp;START_MAXIMIZED=FALSE&amp;creator=factset&amp;display_string=Audit"}</definedName>
    <definedName name="_3389__FDSAUDITLINK__" hidden="1">{"fdsup://Directions/FactSet Auditing Viewer?action=AUDIT_VALUE&amp;DB=129&amp;ID1=73927610&amp;VALUEID=02001&amp;SDATE=200403&amp;PERIODTYPE=QTR_STD&amp;SCFT=3&amp;window=popup_no_bar&amp;width=385&amp;height=120&amp;START_MAXIMIZED=FALSE&amp;creator=factset&amp;display_string=Audit"}</definedName>
    <definedName name="_339__FDSAUDITLINK__" localSheetId="7" hidden="1">{"fdsup://Directions/FactSet Auditing Viewer?action=AUDIT_VALUE&amp;DB=129&amp;ID1=69344F10&amp;VALUEID=02001&amp;SDATE=201003&amp;PERIODTYPE=QTR_STD&amp;SCFT=3&amp;window=popup_no_bar&amp;width=385&amp;height=120&amp;START_MAXIMIZED=FALSE&amp;creator=factset&amp;display_string=Audit"}</definedName>
    <definedName name="_339__FDSAUDITLINK__" hidden="1">{"fdsup://Directions/FactSet Auditing Viewer?action=AUDIT_VALUE&amp;DB=129&amp;ID1=69344F10&amp;VALUEID=02001&amp;SDATE=201003&amp;PERIODTYPE=QTR_STD&amp;SCFT=3&amp;window=popup_no_bar&amp;width=385&amp;height=120&amp;START_MAXIMIZED=FALSE&amp;creator=factset&amp;display_string=Audit"}</definedName>
    <definedName name="_3390__FDSAUDITLINK__" localSheetId="7" hidden="1">{"fdsup://Directions/FactSet Auditing Viewer?action=AUDIT_VALUE&amp;DB=129&amp;ID1=73927610&amp;VALUEID=02001&amp;SDATE=200403&amp;PERIODTYPE=QTR_STD&amp;SCFT=3&amp;window=popup_no_bar&amp;width=385&amp;height=120&amp;START_MAXIMIZED=FALSE&amp;creator=factset&amp;display_string=Audit"}</definedName>
    <definedName name="_3390__FDSAUDITLINK__" hidden="1">{"fdsup://Directions/FactSet Auditing Viewer?action=AUDIT_VALUE&amp;DB=129&amp;ID1=73927610&amp;VALUEID=02001&amp;SDATE=200403&amp;PERIODTYPE=QTR_STD&amp;SCFT=3&amp;window=popup_no_bar&amp;width=385&amp;height=120&amp;START_MAXIMIZED=FALSE&amp;creator=factset&amp;display_string=Audit"}</definedName>
    <definedName name="_3391__FDSAUDITLINK__" localSheetId="7" hidden="1">{"fdsup://Directions/FactSet Auditing Viewer?action=AUDIT_VALUE&amp;DB=129&amp;ID1=73927610&amp;VALUEID=02001&amp;SDATE=200402&amp;PERIODTYPE=QTR_STD&amp;SCFT=3&amp;window=popup_no_bar&amp;width=385&amp;height=120&amp;START_MAXIMIZED=FALSE&amp;creator=factset&amp;display_string=Audit"}</definedName>
    <definedName name="_3391__FDSAUDITLINK__" hidden="1">{"fdsup://Directions/FactSet Auditing Viewer?action=AUDIT_VALUE&amp;DB=129&amp;ID1=73927610&amp;VALUEID=02001&amp;SDATE=200402&amp;PERIODTYPE=QTR_STD&amp;SCFT=3&amp;window=popup_no_bar&amp;width=385&amp;height=120&amp;START_MAXIMIZED=FALSE&amp;creator=factset&amp;display_string=Audit"}</definedName>
    <definedName name="_3392__FDSAUDITLINK__" localSheetId="7" hidden="1">{"fdsup://Directions/FactSet Auditing Viewer?action=AUDIT_VALUE&amp;DB=129&amp;ID1=73927610&amp;VALUEID=02001&amp;SDATE=200402&amp;PERIODTYPE=QTR_STD&amp;SCFT=3&amp;window=popup_no_bar&amp;width=385&amp;height=120&amp;START_MAXIMIZED=FALSE&amp;creator=factset&amp;display_string=Audit"}</definedName>
    <definedName name="_3392__FDSAUDITLINK__" hidden="1">{"fdsup://Directions/FactSet Auditing Viewer?action=AUDIT_VALUE&amp;DB=129&amp;ID1=73927610&amp;VALUEID=02001&amp;SDATE=200402&amp;PERIODTYPE=QTR_STD&amp;SCFT=3&amp;window=popup_no_bar&amp;width=385&amp;height=120&amp;START_MAXIMIZED=FALSE&amp;creator=factset&amp;display_string=Audit"}</definedName>
    <definedName name="_3393__FDSAUDITLINK__" localSheetId="7" hidden="1">{"fdsup://Directions/FactSet Auditing Viewer?action=AUDIT_VALUE&amp;DB=129&amp;ID1=73927610&amp;VALUEID=02001&amp;SDATE=200401&amp;PERIODTYPE=QTR_STD&amp;SCFT=3&amp;window=popup_no_bar&amp;width=385&amp;height=120&amp;START_MAXIMIZED=FALSE&amp;creator=factset&amp;display_string=Audit"}</definedName>
    <definedName name="_3393__FDSAUDITLINK__" hidden="1">{"fdsup://Directions/FactSet Auditing Viewer?action=AUDIT_VALUE&amp;DB=129&amp;ID1=73927610&amp;VALUEID=02001&amp;SDATE=200401&amp;PERIODTYPE=QTR_STD&amp;SCFT=3&amp;window=popup_no_bar&amp;width=385&amp;height=120&amp;START_MAXIMIZED=FALSE&amp;creator=factset&amp;display_string=Audit"}</definedName>
    <definedName name="_3394__FDSAUDITLINK__" localSheetId="7" hidden="1">{"fdsup://Directions/FactSet Auditing Viewer?action=AUDIT_VALUE&amp;DB=129&amp;ID1=73927610&amp;VALUEID=02001&amp;SDATE=200401&amp;PERIODTYPE=QTR_STD&amp;SCFT=3&amp;window=popup_no_bar&amp;width=385&amp;height=120&amp;START_MAXIMIZED=FALSE&amp;creator=factset&amp;display_string=Audit"}</definedName>
    <definedName name="_3394__FDSAUDITLINK__" hidden="1">{"fdsup://Directions/FactSet Auditing Viewer?action=AUDIT_VALUE&amp;DB=129&amp;ID1=73927610&amp;VALUEID=02001&amp;SDATE=200401&amp;PERIODTYPE=QTR_STD&amp;SCFT=3&amp;window=popup_no_bar&amp;width=385&amp;height=120&amp;START_MAXIMIZED=FALSE&amp;creator=factset&amp;display_string=Audit"}</definedName>
    <definedName name="_3395__FDSAUDITLINK__" localSheetId="7" hidden="1">{"fdsup://Directions/FactSet Auditing Viewer?action=AUDIT_VALUE&amp;DB=129&amp;ID1=69344F10&amp;VALUEID=02001&amp;SDATE=200801&amp;PERIODTYPE=QTR_STD&amp;SCFT=3&amp;window=popup_no_bar&amp;width=385&amp;height=120&amp;START_MAXIMIZED=FALSE&amp;creator=factset&amp;display_string=Audit"}</definedName>
    <definedName name="_3395__FDSAUDITLINK__" hidden="1">{"fdsup://Directions/FactSet Auditing Viewer?action=AUDIT_VALUE&amp;DB=129&amp;ID1=69344F10&amp;VALUEID=02001&amp;SDATE=200801&amp;PERIODTYPE=QTR_STD&amp;SCFT=3&amp;window=popup_no_bar&amp;width=385&amp;height=120&amp;START_MAXIMIZED=FALSE&amp;creator=factset&amp;display_string=Audit"}</definedName>
    <definedName name="_3396__FDSAUDITLINK__" localSheetId="7" hidden="1">{"fdsup://Directions/FactSet Auditing Viewer?action=AUDIT_VALUE&amp;DB=129&amp;ID1=69344F10&amp;VALUEID=02001&amp;SDATE=200801&amp;PERIODTYPE=QTR_STD&amp;SCFT=3&amp;window=popup_no_bar&amp;width=385&amp;height=120&amp;START_MAXIMIZED=FALSE&amp;creator=factset&amp;display_string=Audit"}</definedName>
    <definedName name="_3396__FDSAUDITLINK__" hidden="1">{"fdsup://Directions/FactSet Auditing Viewer?action=AUDIT_VALUE&amp;DB=129&amp;ID1=69344F10&amp;VALUEID=02001&amp;SDATE=200801&amp;PERIODTYPE=QTR_STD&amp;SCFT=3&amp;window=popup_no_bar&amp;width=385&amp;height=120&amp;START_MAXIMIZED=FALSE&amp;creator=factset&amp;display_string=Audit"}</definedName>
    <definedName name="_3397__FDSAUDITLINK__" localSheetId="7" hidden="1">{"fdsup://Directions/FactSet Auditing Viewer?action=AUDIT_VALUE&amp;DB=129&amp;ID1=69344F10&amp;VALUEID=02001&amp;SDATE=200703&amp;PERIODTYPE=QTR_STD&amp;SCFT=3&amp;window=popup_no_bar&amp;width=385&amp;height=120&amp;START_MAXIMIZED=FALSE&amp;creator=factset&amp;display_string=Audit"}</definedName>
    <definedName name="_3397__FDSAUDITLINK__" hidden="1">{"fdsup://Directions/FactSet Auditing Viewer?action=AUDIT_VALUE&amp;DB=129&amp;ID1=69344F10&amp;VALUEID=02001&amp;SDATE=200703&amp;PERIODTYPE=QTR_STD&amp;SCFT=3&amp;window=popup_no_bar&amp;width=385&amp;height=120&amp;START_MAXIMIZED=FALSE&amp;creator=factset&amp;display_string=Audit"}</definedName>
    <definedName name="_3398__FDSAUDITLINK__" localSheetId="7" hidden="1">{"fdsup://Directions/FactSet Auditing Viewer?action=AUDIT_VALUE&amp;DB=129&amp;ID1=69344F10&amp;VALUEID=02001&amp;SDATE=200703&amp;PERIODTYPE=QTR_STD&amp;SCFT=3&amp;window=popup_no_bar&amp;width=385&amp;height=120&amp;START_MAXIMIZED=FALSE&amp;creator=factset&amp;display_string=Audit"}</definedName>
    <definedName name="_3398__FDSAUDITLINK__" hidden="1">{"fdsup://Directions/FactSet Auditing Viewer?action=AUDIT_VALUE&amp;DB=129&amp;ID1=69344F10&amp;VALUEID=02001&amp;SDATE=200703&amp;PERIODTYPE=QTR_STD&amp;SCFT=3&amp;window=popup_no_bar&amp;width=385&amp;height=120&amp;START_MAXIMIZED=FALSE&amp;creator=factset&amp;display_string=Audit"}</definedName>
    <definedName name="_3399__FDSAUDITLINK__" localSheetId="7" hidden="1">{"fdsup://Directions/FactSet Auditing Viewer?action=AUDIT_VALUE&amp;DB=129&amp;ID1=69344F10&amp;VALUEID=02001&amp;SDATE=200702&amp;PERIODTYPE=QTR_STD&amp;SCFT=3&amp;window=popup_no_bar&amp;width=385&amp;height=120&amp;START_MAXIMIZED=FALSE&amp;creator=factset&amp;display_string=Audit"}</definedName>
    <definedName name="_3399__FDSAUDITLINK__" hidden="1">{"fdsup://Directions/FactSet Auditing Viewer?action=AUDIT_VALUE&amp;DB=129&amp;ID1=69344F10&amp;VALUEID=02001&amp;SDATE=200702&amp;PERIODTYPE=QTR_STD&amp;SCFT=3&amp;window=popup_no_bar&amp;width=385&amp;height=120&amp;START_MAXIMIZED=FALSE&amp;creator=factset&amp;display_string=Audit"}</definedName>
    <definedName name="_34__FDSAUDITLINK__" localSheetId="7" hidden="1">{"fdsup://Directions/FactSet Auditing Viewer?action=AUDIT_VALUE&amp;DB=129&amp;ID1=82705T10&amp;VALUEID=02001&amp;SDATE=201101&amp;PERIODTYPE=QTR_STD&amp;SCFT=3&amp;window=popup_no_bar&amp;width=385&amp;height=120&amp;START_MAXIMIZED=FALSE&amp;creator=factset&amp;display_string=Audit"}</definedName>
    <definedName name="_34__FDSAUDITLINK__" hidden="1">{"fdsup://Directions/FactSet Auditing Viewer?action=AUDIT_VALUE&amp;DB=129&amp;ID1=82705T10&amp;VALUEID=02001&amp;SDATE=201101&amp;PERIODTYPE=QTR_STD&amp;SCFT=3&amp;window=popup_no_bar&amp;width=385&amp;height=120&amp;START_MAXIMIZED=FALSE&amp;creator=factset&amp;display_string=Audit"}</definedName>
    <definedName name="_340__FDSAUDITLINK__" localSheetId="7" hidden="1">{"fdsup://Directions/FactSet Auditing Viewer?action=AUDIT_VALUE&amp;DB=129&amp;ID1=69344F10&amp;VALUEID=02001&amp;SDATE=201003&amp;PERIODTYPE=QTR_STD&amp;SCFT=3&amp;window=popup_no_bar&amp;width=385&amp;height=120&amp;START_MAXIMIZED=FALSE&amp;creator=factset&amp;display_string=Audit"}</definedName>
    <definedName name="_340__FDSAUDITLINK__" hidden="1">{"fdsup://Directions/FactSet Auditing Viewer?action=AUDIT_VALUE&amp;DB=129&amp;ID1=69344F10&amp;VALUEID=02001&amp;SDATE=201003&amp;PERIODTYPE=QTR_STD&amp;SCFT=3&amp;window=popup_no_bar&amp;width=385&amp;height=120&amp;START_MAXIMIZED=FALSE&amp;creator=factset&amp;display_string=Audit"}</definedName>
    <definedName name="_3400__FDSAUDITLINK__" localSheetId="7" hidden="1">{"fdsup://Directions/FactSet Auditing Viewer?action=AUDIT_VALUE&amp;DB=129&amp;ID1=69344F10&amp;VALUEID=02001&amp;SDATE=200702&amp;PERIODTYPE=QTR_STD&amp;SCFT=3&amp;window=popup_no_bar&amp;width=385&amp;height=120&amp;START_MAXIMIZED=FALSE&amp;creator=factset&amp;display_string=Audit"}</definedName>
    <definedName name="_3400__FDSAUDITLINK__" hidden="1">{"fdsup://Directions/FactSet Auditing Viewer?action=AUDIT_VALUE&amp;DB=129&amp;ID1=69344F10&amp;VALUEID=02001&amp;SDATE=200702&amp;PERIODTYPE=QTR_STD&amp;SCFT=3&amp;window=popup_no_bar&amp;width=385&amp;height=120&amp;START_MAXIMIZED=FALSE&amp;creator=factset&amp;display_string=Audit"}</definedName>
    <definedName name="_3401__FDSAUDITLINK__" localSheetId="7" hidden="1">{"fdsup://Directions/FactSet Auditing Viewer?action=AUDIT_VALUE&amp;DB=129&amp;ID1=69344F10&amp;VALUEID=02001&amp;SDATE=200701&amp;PERIODTYPE=QTR_STD&amp;SCFT=3&amp;window=popup_no_bar&amp;width=385&amp;height=120&amp;START_MAXIMIZED=FALSE&amp;creator=factset&amp;display_string=Audit"}</definedName>
    <definedName name="_3401__FDSAUDITLINK__" hidden="1">{"fdsup://Directions/FactSet Auditing Viewer?action=AUDIT_VALUE&amp;DB=129&amp;ID1=69344F10&amp;VALUEID=02001&amp;SDATE=200701&amp;PERIODTYPE=QTR_STD&amp;SCFT=3&amp;window=popup_no_bar&amp;width=385&amp;height=120&amp;START_MAXIMIZED=FALSE&amp;creator=factset&amp;display_string=Audit"}</definedName>
    <definedName name="_3402__FDSAUDITLINK__" localSheetId="7" hidden="1">{"fdsup://Directions/FactSet Auditing Viewer?action=AUDIT_VALUE&amp;DB=129&amp;ID1=69344F10&amp;VALUEID=02001&amp;SDATE=200701&amp;PERIODTYPE=QTR_STD&amp;SCFT=3&amp;window=popup_no_bar&amp;width=385&amp;height=120&amp;START_MAXIMIZED=FALSE&amp;creator=factset&amp;display_string=Audit"}</definedName>
    <definedName name="_3402__FDSAUDITLINK__" hidden="1">{"fdsup://Directions/FactSet Auditing Viewer?action=AUDIT_VALUE&amp;DB=129&amp;ID1=69344F10&amp;VALUEID=02001&amp;SDATE=200701&amp;PERIODTYPE=QTR_STD&amp;SCFT=3&amp;window=popup_no_bar&amp;width=385&amp;height=120&amp;START_MAXIMIZED=FALSE&amp;creator=factset&amp;display_string=Audit"}</definedName>
    <definedName name="_3403__FDSAUDITLINK__" localSheetId="7" hidden="1">{"fdsup://Directions/FactSet Auditing Viewer?action=AUDIT_VALUE&amp;DB=129&amp;ID1=69344F10&amp;VALUEID=02001&amp;SDATE=200603&amp;PERIODTYPE=QTR_STD&amp;SCFT=3&amp;window=popup_no_bar&amp;width=385&amp;height=120&amp;START_MAXIMIZED=FALSE&amp;creator=factset&amp;display_string=Audit"}</definedName>
    <definedName name="_3403__FDSAUDITLINK__" hidden="1">{"fdsup://Directions/FactSet Auditing Viewer?action=AUDIT_VALUE&amp;DB=129&amp;ID1=69344F10&amp;VALUEID=02001&amp;SDATE=200603&amp;PERIODTYPE=QTR_STD&amp;SCFT=3&amp;window=popup_no_bar&amp;width=385&amp;height=120&amp;START_MAXIMIZED=FALSE&amp;creator=factset&amp;display_string=Audit"}</definedName>
    <definedName name="_3404__FDSAUDITLINK__" localSheetId="7" hidden="1">{"fdsup://Directions/FactSet Auditing Viewer?action=AUDIT_VALUE&amp;DB=129&amp;ID1=69344F10&amp;VALUEID=02001&amp;SDATE=200603&amp;PERIODTYPE=QTR_STD&amp;SCFT=3&amp;window=popup_no_bar&amp;width=385&amp;height=120&amp;START_MAXIMIZED=FALSE&amp;creator=factset&amp;display_string=Audit"}</definedName>
    <definedName name="_3404__FDSAUDITLINK__" hidden="1">{"fdsup://Directions/FactSet Auditing Viewer?action=AUDIT_VALUE&amp;DB=129&amp;ID1=69344F10&amp;VALUEID=02001&amp;SDATE=200603&amp;PERIODTYPE=QTR_STD&amp;SCFT=3&amp;window=popup_no_bar&amp;width=385&amp;height=120&amp;START_MAXIMIZED=FALSE&amp;creator=factset&amp;display_string=Audit"}</definedName>
    <definedName name="_3405__FDSAUDITLINK__" localSheetId="7" hidden="1">{"fdsup://Directions/FactSet Auditing Viewer?action=AUDIT_VALUE&amp;DB=129&amp;ID1=69344F10&amp;VALUEID=02001&amp;SDATE=200602&amp;PERIODTYPE=QTR_STD&amp;SCFT=3&amp;window=popup_no_bar&amp;width=385&amp;height=120&amp;START_MAXIMIZED=FALSE&amp;creator=factset&amp;display_string=Audit"}</definedName>
    <definedName name="_3405__FDSAUDITLINK__" hidden="1">{"fdsup://Directions/FactSet Auditing Viewer?action=AUDIT_VALUE&amp;DB=129&amp;ID1=69344F10&amp;VALUEID=02001&amp;SDATE=200602&amp;PERIODTYPE=QTR_STD&amp;SCFT=3&amp;window=popup_no_bar&amp;width=385&amp;height=120&amp;START_MAXIMIZED=FALSE&amp;creator=factset&amp;display_string=Audit"}</definedName>
    <definedName name="_3406__FDSAUDITLINK__" localSheetId="7" hidden="1">{"fdsup://Directions/FactSet Auditing Viewer?action=AUDIT_VALUE&amp;DB=129&amp;ID1=69344F10&amp;VALUEID=02001&amp;SDATE=200602&amp;PERIODTYPE=QTR_STD&amp;SCFT=3&amp;window=popup_no_bar&amp;width=385&amp;height=120&amp;START_MAXIMIZED=FALSE&amp;creator=factset&amp;display_string=Audit"}</definedName>
    <definedName name="_3406__FDSAUDITLINK__" hidden="1">{"fdsup://Directions/FactSet Auditing Viewer?action=AUDIT_VALUE&amp;DB=129&amp;ID1=69344F10&amp;VALUEID=02001&amp;SDATE=200602&amp;PERIODTYPE=QTR_STD&amp;SCFT=3&amp;window=popup_no_bar&amp;width=385&amp;height=120&amp;START_MAXIMIZED=FALSE&amp;creator=factset&amp;display_string=Audit"}</definedName>
    <definedName name="_3407__FDSAUDITLINK__" localSheetId="7" hidden="1">{"fdsup://Directions/FactSet Auditing Viewer?action=AUDIT_VALUE&amp;DB=129&amp;ID1=69344F10&amp;VALUEID=02001&amp;SDATE=200601&amp;PERIODTYPE=QTR_STD&amp;SCFT=3&amp;window=popup_no_bar&amp;width=385&amp;height=120&amp;START_MAXIMIZED=FALSE&amp;creator=factset&amp;display_string=Audit"}</definedName>
    <definedName name="_3407__FDSAUDITLINK__" hidden="1">{"fdsup://Directions/FactSet Auditing Viewer?action=AUDIT_VALUE&amp;DB=129&amp;ID1=69344F10&amp;VALUEID=02001&amp;SDATE=200601&amp;PERIODTYPE=QTR_STD&amp;SCFT=3&amp;window=popup_no_bar&amp;width=385&amp;height=120&amp;START_MAXIMIZED=FALSE&amp;creator=factset&amp;display_string=Audit"}</definedName>
    <definedName name="_3408__FDSAUDITLINK__" localSheetId="7" hidden="1">{"fdsup://Directions/FactSet Auditing Viewer?action=AUDIT_VALUE&amp;DB=129&amp;ID1=69344F10&amp;VALUEID=02001&amp;SDATE=200601&amp;PERIODTYPE=QTR_STD&amp;SCFT=3&amp;window=popup_no_bar&amp;width=385&amp;height=120&amp;START_MAXIMIZED=FALSE&amp;creator=factset&amp;display_string=Audit"}</definedName>
    <definedName name="_3408__FDSAUDITLINK__" hidden="1">{"fdsup://Directions/FactSet Auditing Viewer?action=AUDIT_VALUE&amp;DB=129&amp;ID1=69344F10&amp;VALUEID=02001&amp;SDATE=200601&amp;PERIODTYPE=QTR_STD&amp;SCFT=3&amp;window=popup_no_bar&amp;width=385&amp;height=120&amp;START_MAXIMIZED=FALSE&amp;creator=factset&amp;display_string=Audit"}</definedName>
    <definedName name="_3409__FDSAUDITLINK__" localSheetId="7" hidden="1">{"fdsup://Directions/FactSet Auditing Viewer?action=AUDIT_VALUE&amp;DB=129&amp;ID1=69344F10&amp;VALUEID=02001&amp;SDATE=200503&amp;PERIODTYPE=QTR_STD&amp;SCFT=3&amp;window=popup_no_bar&amp;width=385&amp;height=120&amp;START_MAXIMIZED=FALSE&amp;creator=factset&amp;display_string=Audit"}</definedName>
    <definedName name="_3409__FDSAUDITLINK__" hidden="1">{"fdsup://Directions/FactSet Auditing Viewer?action=AUDIT_VALUE&amp;DB=129&amp;ID1=69344F10&amp;VALUEID=02001&amp;SDATE=200503&amp;PERIODTYPE=QTR_STD&amp;SCFT=3&amp;window=popup_no_bar&amp;width=385&amp;height=120&amp;START_MAXIMIZED=FALSE&amp;creator=factset&amp;display_string=Audit"}</definedName>
    <definedName name="_341__FDSAUDITLINK__" localSheetId="7" hidden="1">{"fdsup://Directions/FactSet Auditing Viewer?action=AUDIT_VALUE&amp;DB=129&amp;ID1=69341710&amp;VALUEID=02001&amp;SDATE=201003&amp;PERIODTYPE=QTR_STD&amp;SCFT=3&amp;window=popup_no_bar&amp;width=385&amp;height=120&amp;START_MAXIMIZED=FALSE&amp;creator=factset&amp;display_string=Audit"}</definedName>
    <definedName name="_341__FDSAUDITLINK__" hidden="1">{"fdsup://Directions/FactSet Auditing Viewer?action=AUDIT_VALUE&amp;DB=129&amp;ID1=69341710&amp;VALUEID=02001&amp;SDATE=201003&amp;PERIODTYPE=QTR_STD&amp;SCFT=3&amp;window=popup_no_bar&amp;width=385&amp;height=120&amp;START_MAXIMIZED=FALSE&amp;creator=factset&amp;display_string=Audit"}</definedName>
    <definedName name="_3410__FDSAUDITLINK__" localSheetId="7" hidden="1">{"fdsup://Directions/FactSet Auditing Viewer?action=AUDIT_VALUE&amp;DB=129&amp;ID1=69344F10&amp;VALUEID=02001&amp;SDATE=200503&amp;PERIODTYPE=QTR_STD&amp;SCFT=3&amp;window=popup_no_bar&amp;width=385&amp;height=120&amp;START_MAXIMIZED=FALSE&amp;creator=factset&amp;display_string=Audit"}</definedName>
    <definedName name="_3410__FDSAUDITLINK__" hidden="1">{"fdsup://Directions/FactSet Auditing Viewer?action=AUDIT_VALUE&amp;DB=129&amp;ID1=69344F10&amp;VALUEID=02001&amp;SDATE=200503&amp;PERIODTYPE=QTR_STD&amp;SCFT=3&amp;window=popup_no_bar&amp;width=385&amp;height=120&amp;START_MAXIMIZED=FALSE&amp;creator=factset&amp;display_string=Audit"}</definedName>
    <definedName name="_3411__FDSAUDITLINK__" localSheetId="7" hidden="1">{"fdsup://Directions/FactSet Auditing Viewer?action=AUDIT_VALUE&amp;DB=129&amp;ID1=69344F10&amp;VALUEID=02001&amp;SDATE=200502&amp;PERIODTYPE=QTR_STD&amp;SCFT=3&amp;window=popup_no_bar&amp;width=385&amp;height=120&amp;START_MAXIMIZED=FALSE&amp;creator=factset&amp;display_string=Audit"}</definedName>
    <definedName name="_3411__FDSAUDITLINK__" hidden="1">{"fdsup://Directions/FactSet Auditing Viewer?action=AUDIT_VALUE&amp;DB=129&amp;ID1=69344F10&amp;VALUEID=02001&amp;SDATE=200502&amp;PERIODTYPE=QTR_STD&amp;SCFT=3&amp;window=popup_no_bar&amp;width=385&amp;height=120&amp;START_MAXIMIZED=FALSE&amp;creator=factset&amp;display_string=Audit"}</definedName>
    <definedName name="_3412__FDSAUDITLINK__" localSheetId="7" hidden="1">{"fdsup://Directions/FactSet Auditing Viewer?action=AUDIT_VALUE&amp;DB=129&amp;ID1=69344F10&amp;VALUEID=02001&amp;SDATE=200502&amp;PERIODTYPE=QTR_STD&amp;SCFT=3&amp;window=popup_no_bar&amp;width=385&amp;height=120&amp;START_MAXIMIZED=FALSE&amp;creator=factset&amp;display_string=Audit"}</definedName>
    <definedName name="_3412__FDSAUDITLINK__" hidden="1">{"fdsup://Directions/FactSet Auditing Viewer?action=AUDIT_VALUE&amp;DB=129&amp;ID1=69344F10&amp;VALUEID=02001&amp;SDATE=200502&amp;PERIODTYPE=QTR_STD&amp;SCFT=3&amp;window=popup_no_bar&amp;width=385&amp;height=120&amp;START_MAXIMIZED=FALSE&amp;creator=factset&amp;display_string=Audit"}</definedName>
    <definedName name="_3413__FDSAUDITLINK__" localSheetId="7" hidden="1">{"fdsup://Directions/FactSet Auditing Viewer?action=AUDIT_VALUE&amp;DB=129&amp;ID1=69344F10&amp;VALUEID=02001&amp;SDATE=200501&amp;PERIODTYPE=QTR_STD&amp;SCFT=3&amp;window=popup_no_bar&amp;width=385&amp;height=120&amp;START_MAXIMIZED=FALSE&amp;creator=factset&amp;display_string=Audit"}</definedName>
    <definedName name="_3413__FDSAUDITLINK__" hidden="1">{"fdsup://Directions/FactSet Auditing Viewer?action=AUDIT_VALUE&amp;DB=129&amp;ID1=69344F10&amp;VALUEID=02001&amp;SDATE=200501&amp;PERIODTYPE=QTR_STD&amp;SCFT=3&amp;window=popup_no_bar&amp;width=385&amp;height=120&amp;START_MAXIMIZED=FALSE&amp;creator=factset&amp;display_string=Audit"}</definedName>
    <definedName name="_3414__FDSAUDITLINK__" localSheetId="7" hidden="1">{"fdsup://Directions/FactSet Auditing Viewer?action=AUDIT_VALUE&amp;DB=129&amp;ID1=69344F10&amp;VALUEID=02001&amp;SDATE=200501&amp;PERIODTYPE=QTR_STD&amp;SCFT=3&amp;window=popup_no_bar&amp;width=385&amp;height=120&amp;START_MAXIMIZED=FALSE&amp;creator=factset&amp;display_string=Audit"}</definedName>
    <definedName name="_3414__FDSAUDITLINK__" hidden="1">{"fdsup://Directions/FactSet Auditing Viewer?action=AUDIT_VALUE&amp;DB=129&amp;ID1=69344F10&amp;VALUEID=02001&amp;SDATE=200501&amp;PERIODTYPE=QTR_STD&amp;SCFT=3&amp;window=popup_no_bar&amp;width=385&amp;height=120&amp;START_MAXIMIZED=FALSE&amp;creator=factset&amp;display_string=Audit"}</definedName>
    <definedName name="_3415__FDSAUDITLINK__" localSheetId="7" hidden="1">{"fdsup://Directions/FactSet Auditing Viewer?action=AUDIT_VALUE&amp;DB=129&amp;ID1=69344F10&amp;VALUEID=02001&amp;SDATE=200403&amp;PERIODTYPE=QTR_STD&amp;SCFT=3&amp;window=popup_no_bar&amp;width=385&amp;height=120&amp;START_MAXIMIZED=FALSE&amp;creator=factset&amp;display_string=Audit"}</definedName>
    <definedName name="_3415__FDSAUDITLINK__" hidden="1">{"fdsup://Directions/FactSet Auditing Viewer?action=AUDIT_VALUE&amp;DB=129&amp;ID1=69344F10&amp;VALUEID=02001&amp;SDATE=200403&amp;PERIODTYPE=QTR_STD&amp;SCFT=3&amp;window=popup_no_bar&amp;width=385&amp;height=120&amp;START_MAXIMIZED=FALSE&amp;creator=factset&amp;display_string=Audit"}</definedName>
    <definedName name="_3416__FDSAUDITLINK__" localSheetId="7" hidden="1">{"fdsup://Directions/FactSet Auditing Viewer?action=AUDIT_VALUE&amp;DB=129&amp;ID1=69344F10&amp;VALUEID=02001&amp;SDATE=200403&amp;PERIODTYPE=QTR_STD&amp;SCFT=3&amp;window=popup_no_bar&amp;width=385&amp;height=120&amp;START_MAXIMIZED=FALSE&amp;creator=factset&amp;display_string=Audit"}</definedName>
    <definedName name="_3416__FDSAUDITLINK__" hidden="1">{"fdsup://Directions/FactSet Auditing Viewer?action=AUDIT_VALUE&amp;DB=129&amp;ID1=69344F10&amp;VALUEID=02001&amp;SDATE=200403&amp;PERIODTYPE=QTR_STD&amp;SCFT=3&amp;window=popup_no_bar&amp;width=385&amp;height=120&amp;START_MAXIMIZED=FALSE&amp;creator=factset&amp;display_string=Audit"}</definedName>
    <definedName name="_3417__FDSAUDITLINK__" localSheetId="7" hidden="1">{"fdsup://Directions/FactSet Auditing Viewer?action=AUDIT_VALUE&amp;DB=129&amp;ID1=69344F10&amp;VALUEID=02001&amp;SDATE=200402&amp;PERIODTYPE=QTR_STD&amp;SCFT=3&amp;window=popup_no_bar&amp;width=385&amp;height=120&amp;START_MAXIMIZED=FALSE&amp;creator=factset&amp;display_string=Audit"}</definedName>
    <definedName name="_3417__FDSAUDITLINK__" hidden="1">{"fdsup://Directions/FactSet Auditing Viewer?action=AUDIT_VALUE&amp;DB=129&amp;ID1=69344F10&amp;VALUEID=02001&amp;SDATE=200402&amp;PERIODTYPE=QTR_STD&amp;SCFT=3&amp;window=popup_no_bar&amp;width=385&amp;height=120&amp;START_MAXIMIZED=FALSE&amp;creator=factset&amp;display_string=Audit"}</definedName>
    <definedName name="_3418__FDSAUDITLINK__" localSheetId="7" hidden="1">{"fdsup://Directions/FactSet Auditing Viewer?action=AUDIT_VALUE&amp;DB=129&amp;ID1=69344F10&amp;VALUEID=02001&amp;SDATE=200402&amp;PERIODTYPE=QTR_STD&amp;SCFT=3&amp;window=popup_no_bar&amp;width=385&amp;height=120&amp;START_MAXIMIZED=FALSE&amp;creator=factset&amp;display_string=Audit"}</definedName>
    <definedName name="_3418__FDSAUDITLINK__" hidden="1">{"fdsup://Directions/FactSet Auditing Viewer?action=AUDIT_VALUE&amp;DB=129&amp;ID1=69344F10&amp;VALUEID=02001&amp;SDATE=200402&amp;PERIODTYPE=QTR_STD&amp;SCFT=3&amp;window=popup_no_bar&amp;width=385&amp;height=120&amp;START_MAXIMIZED=FALSE&amp;creator=factset&amp;display_string=Audit"}</definedName>
    <definedName name="_3419__FDSAUDITLINK__" localSheetId="7" hidden="1">{"fdsup://Directions/FactSet Auditing Viewer?action=AUDIT_VALUE&amp;DB=129&amp;ID1=69344F10&amp;VALUEID=02001&amp;SDATE=200401&amp;PERIODTYPE=QTR_STD&amp;SCFT=3&amp;window=popup_no_bar&amp;width=385&amp;height=120&amp;START_MAXIMIZED=FALSE&amp;creator=factset&amp;display_string=Audit"}</definedName>
    <definedName name="_3419__FDSAUDITLINK__" hidden="1">{"fdsup://Directions/FactSet Auditing Viewer?action=AUDIT_VALUE&amp;DB=129&amp;ID1=69344F10&amp;VALUEID=02001&amp;SDATE=200401&amp;PERIODTYPE=QTR_STD&amp;SCFT=3&amp;window=popup_no_bar&amp;width=385&amp;height=120&amp;START_MAXIMIZED=FALSE&amp;creator=factset&amp;display_string=Audit"}</definedName>
    <definedName name="_342__FDSAUDITLINK__" localSheetId="7" hidden="1">{"fdsup://Directions/FactSet Auditing Viewer?action=AUDIT_VALUE&amp;DB=129&amp;ID1=69341710&amp;VALUEID=02001&amp;SDATE=201003&amp;PERIODTYPE=QTR_STD&amp;SCFT=3&amp;window=popup_no_bar&amp;width=385&amp;height=120&amp;START_MAXIMIZED=FALSE&amp;creator=factset&amp;display_string=Audit"}</definedName>
    <definedName name="_342__FDSAUDITLINK__" hidden="1">{"fdsup://Directions/FactSet Auditing Viewer?action=AUDIT_VALUE&amp;DB=129&amp;ID1=69341710&amp;VALUEID=02001&amp;SDATE=201003&amp;PERIODTYPE=QTR_STD&amp;SCFT=3&amp;window=popup_no_bar&amp;width=385&amp;height=120&amp;START_MAXIMIZED=FALSE&amp;creator=factset&amp;display_string=Audit"}</definedName>
    <definedName name="_3420__FDSAUDITLINK__" localSheetId="7" hidden="1">{"fdsup://Directions/FactSet Auditing Viewer?action=AUDIT_VALUE&amp;DB=129&amp;ID1=69344F10&amp;VALUEID=02001&amp;SDATE=200401&amp;PERIODTYPE=QTR_STD&amp;SCFT=3&amp;window=popup_no_bar&amp;width=385&amp;height=120&amp;START_MAXIMIZED=FALSE&amp;creator=factset&amp;display_string=Audit"}</definedName>
    <definedName name="_3420__FDSAUDITLINK__" hidden="1">{"fdsup://Directions/FactSet Auditing Viewer?action=AUDIT_VALUE&amp;DB=129&amp;ID1=69344F10&amp;VALUEID=02001&amp;SDATE=200401&amp;PERIODTYPE=QTR_STD&amp;SCFT=3&amp;window=popup_no_bar&amp;width=385&amp;height=120&amp;START_MAXIMIZED=FALSE&amp;creator=factset&amp;display_string=Audit"}</definedName>
    <definedName name="_3421__FDSAUDITLINK__" localSheetId="7" hidden="1">{"fdsup://Directions/FactSet Auditing Viewer?action=AUDIT_VALUE&amp;DB=129&amp;ID1=69341710&amp;VALUEID=02001&amp;SDATE=200801&amp;PERIODTYPE=QTR_STD&amp;SCFT=3&amp;window=popup_no_bar&amp;width=385&amp;height=120&amp;START_MAXIMIZED=FALSE&amp;creator=factset&amp;display_string=Audit"}</definedName>
    <definedName name="_3421__FDSAUDITLINK__" hidden="1">{"fdsup://Directions/FactSet Auditing Viewer?action=AUDIT_VALUE&amp;DB=129&amp;ID1=69341710&amp;VALUEID=02001&amp;SDATE=200801&amp;PERIODTYPE=QTR_STD&amp;SCFT=3&amp;window=popup_no_bar&amp;width=385&amp;height=120&amp;START_MAXIMIZED=FALSE&amp;creator=factset&amp;display_string=Audit"}</definedName>
    <definedName name="_3422__FDSAUDITLINK__" localSheetId="7" hidden="1">{"fdsup://Directions/FactSet Auditing Viewer?action=AUDIT_VALUE&amp;DB=129&amp;ID1=69341710&amp;VALUEID=02001&amp;SDATE=200801&amp;PERIODTYPE=QTR_STD&amp;SCFT=3&amp;window=popup_no_bar&amp;width=385&amp;height=120&amp;START_MAXIMIZED=FALSE&amp;creator=factset&amp;display_string=Audit"}</definedName>
    <definedName name="_3422__FDSAUDITLINK__" hidden="1">{"fdsup://Directions/FactSet Auditing Viewer?action=AUDIT_VALUE&amp;DB=129&amp;ID1=69341710&amp;VALUEID=02001&amp;SDATE=200801&amp;PERIODTYPE=QTR_STD&amp;SCFT=3&amp;window=popup_no_bar&amp;width=385&amp;height=120&amp;START_MAXIMIZED=FALSE&amp;creator=factset&amp;display_string=Audit"}</definedName>
    <definedName name="_3423__FDSAUDITLINK__" localSheetId="7" hidden="1">{"fdsup://Directions/FactSet Auditing Viewer?action=AUDIT_VALUE&amp;DB=129&amp;ID1=69341710&amp;VALUEID=02001&amp;SDATE=200703&amp;PERIODTYPE=QTR_STD&amp;SCFT=3&amp;window=popup_no_bar&amp;width=385&amp;height=120&amp;START_MAXIMIZED=FALSE&amp;creator=factset&amp;display_string=Audit"}</definedName>
    <definedName name="_3423__FDSAUDITLINK__" hidden="1">{"fdsup://Directions/FactSet Auditing Viewer?action=AUDIT_VALUE&amp;DB=129&amp;ID1=69341710&amp;VALUEID=02001&amp;SDATE=200703&amp;PERIODTYPE=QTR_STD&amp;SCFT=3&amp;window=popup_no_bar&amp;width=385&amp;height=120&amp;START_MAXIMIZED=FALSE&amp;creator=factset&amp;display_string=Audit"}</definedName>
    <definedName name="_3424__FDSAUDITLINK__" localSheetId="7" hidden="1">{"fdsup://Directions/FactSet Auditing Viewer?action=AUDIT_VALUE&amp;DB=129&amp;ID1=69341710&amp;VALUEID=02001&amp;SDATE=200703&amp;PERIODTYPE=QTR_STD&amp;SCFT=3&amp;window=popup_no_bar&amp;width=385&amp;height=120&amp;START_MAXIMIZED=FALSE&amp;creator=factset&amp;display_string=Audit"}</definedName>
    <definedName name="_3424__FDSAUDITLINK__" hidden="1">{"fdsup://Directions/FactSet Auditing Viewer?action=AUDIT_VALUE&amp;DB=129&amp;ID1=69341710&amp;VALUEID=02001&amp;SDATE=200703&amp;PERIODTYPE=QTR_STD&amp;SCFT=3&amp;window=popup_no_bar&amp;width=385&amp;height=120&amp;START_MAXIMIZED=FALSE&amp;creator=factset&amp;display_string=Audit"}</definedName>
    <definedName name="_3425__FDSAUDITLINK__" localSheetId="7" hidden="1">{"fdsup://Directions/FactSet Auditing Viewer?action=AUDIT_VALUE&amp;DB=129&amp;ID1=69341710&amp;VALUEID=02001&amp;SDATE=200702&amp;PERIODTYPE=QTR_STD&amp;SCFT=3&amp;window=popup_no_bar&amp;width=385&amp;height=120&amp;START_MAXIMIZED=FALSE&amp;creator=factset&amp;display_string=Audit"}</definedName>
    <definedName name="_3425__FDSAUDITLINK__" hidden="1">{"fdsup://Directions/FactSet Auditing Viewer?action=AUDIT_VALUE&amp;DB=129&amp;ID1=69341710&amp;VALUEID=02001&amp;SDATE=200702&amp;PERIODTYPE=QTR_STD&amp;SCFT=3&amp;window=popup_no_bar&amp;width=385&amp;height=120&amp;START_MAXIMIZED=FALSE&amp;creator=factset&amp;display_string=Audit"}</definedName>
    <definedName name="_3426__FDSAUDITLINK__" localSheetId="7" hidden="1">{"fdsup://Directions/FactSet Auditing Viewer?action=AUDIT_VALUE&amp;DB=129&amp;ID1=69341710&amp;VALUEID=02001&amp;SDATE=200702&amp;PERIODTYPE=QTR_STD&amp;SCFT=3&amp;window=popup_no_bar&amp;width=385&amp;height=120&amp;START_MAXIMIZED=FALSE&amp;creator=factset&amp;display_string=Audit"}</definedName>
    <definedName name="_3426__FDSAUDITLINK__" hidden="1">{"fdsup://Directions/FactSet Auditing Viewer?action=AUDIT_VALUE&amp;DB=129&amp;ID1=69341710&amp;VALUEID=02001&amp;SDATE=200702&amp;PERIODTYPE=QTR_STD&amp;SCFT=3&amp;window=popup_no_bar&amp;width=385&amp;height=120&amp;START_MAXIMIZED=FALSE&amp;creator=factset&amp;display_string=Audit"}</definedName>
    <definedName name="_3427__FDSAUDITLINK__" localSheetId="7" hidden="1">{"fdsup://Directions/FactSet Auditing Viewer?action=AUDIT_VALUE&amp;DB=129&amp;ID1=69341710&amp;VALUEID=02001&amp;SDATE=200701&amp;PERIODTYPE=QTR_STD&amp;SCFT=3&amp;window=popup_no_bar&amp;width=385&amp;height=120&amp;START_MAXIMIZED=FALSE&amp;creator=factset&amp;display_string=Audit"}</definedName>
    <definedName name="_3427__FDSAUDITLINK__" hidden="1">{"fdsup://Directions/FactSet Auditing Viewer?action=AUDIT_VALUE&amp;DB=129&amp;ID1=69341710&amp;VALUEID=02001&amp;SDATE=200701&amp;PERIODTYPE=QTR_STD&amp;SCFT=3&amp;window=popup_no_bar&amp;width=385&amp;height=120&amp;START_MAXIMIZED=FALSE&amp;creator=factset&amp;display_string=Audit"}</definedName>
    <definedName name="_3428__FDSAUDITLINK__" localSheetId="7" hidden="1">{"fdsup://Directions/FactSet Auditing Viewer?action=AUDIT_VALUE&amp;DB=129&amp;ID1=69341710&amp;VALUEID=02001&amp;SDATE=200701&amp;PERIODTYPE=QTR_STD&amp;SCFT=3&amp;window=popup_no_bar&amp;width=385&amp;height=120&amp;START_MAXIMIZED=FALSE&amp;creator=factset&amp;display_string=Audit"}</definedName>
    <definedName name="_3428__FDSAUDITLINK__" hidden="1">{"fdsup://Directions/FactSet Auditing Viewer?action=AUDIT_VALUE&amp;DB=129&amp;ID1=69341710&amp;VALUEID=02001&amp;SDATE=200701&amp;PERIODTYPE=QTR_STD&amp;SCFT=3&amp;window=popup_no_bar&amp;width=385&amp;height=120&amp;START_MAXIMIZED=FALSE&amp;creator=factset&amp;display_string=Audit"}</definedName>
    <definedName name="_3429__FDSAUDITLINK__" localSheetId="7" hidden="1">{"fdsup://Directions/FactSet Auditing Viewer?action=AUDIT_VALUE&amp;DB=129&amp;ID1=69341710&amp;VALUEID=02001&amp;SDATE=200603&amp;PERIODTYPE=QTR_STD&amp;SCFT=3&amp;window=popup_no_bar&amp;width=385&amp;height=120&amp;START_MAXIMIZED=FALSE&amp;creator=factset&amp;display_string=Audit"}</definedName>
    <definedName name="_3429__FDSAUDITLINK__" hidden="1">{"fdsup://Directions/FactSet Auditing Viewer?action=AUDIT_VALUE&amp;DB=129&amp;ID1=69341710&amp;VALUEID=02001&amp;SDATE=200603&amp;PERIODTYPE=QTR_STD&amp;SCFT=3&amp;window=popup_no_bar&amp;width=385&amp;height=120&amp;START_MAXIMIZED=FALSE&amp;creator=factset&amp;display_string=Audit"}</definedName>
    <definedName name="_343__FDSAUDITLINK__" localSheetId="7" hidden="1">{"fdsup://Directions/FactSet Auditing Viewer?action=AUDIT_VALUE&amp;DB=129&amp;ID1=68218910&amp;VALUEID=02001&amp;SDATE=201003&amp;PERIODTYPE=QTR_STD&amp;SCFT=3&amp;window=popup_no_bar&amp;width=385&amp;height=120&amp;START_MAXIMIZED=FALSE&amp;creator=factset&amp;display_string=Audit"}</definedName>
    <definedName name="_343__FDSAUDITLINK__" hidden="1">{"fdsup://Directions/FactSet Auditing Viewer?action=AUDIT_VALUE&amp;DB=129&amp;ID1=68218910&amp;VALUEID=02001&amp;SDATE=201003&amp;PERIODTYPE=QTR_STD&amp;SCFT=3&amp;window=popup_no_bar&amp;width=385&amp;height=120&amp;START_MAXIMIZED=FALSE&amp;creator=factset&amp;display_string=Audit"}</definedName>
    <definedName name="_3430__FDSAUDITLINK__" localSheetId="7" hidden="1">{"fdsup://Directions/FactSet Auditing Viewer?action=AUDIT_VALUE&amp;DB=129&amp;ID1=69341710&amp;VALUEID=02001&amp;SDATE=200603&amp;PERIODTYPE=QTR_STD&amp;SCFT=3&amp;window=popup_no_bar&amp;width=385&amp;height=120&amp;START_MAXIMIZED=FALSE&amp;creator=factset&amp;display_string=Audit"}</definedName>
    <definedName name="_3430__FDSAUDITLINK__" hidden="1">{"fdsup://Directions/FactSet Auditing Viewer?action=AUDIT_VALUE&amp;DB=129&amp;ID1=69341710&amp;VALUEID=02001&amp;SDATE=200603&amp;PERIODTYPE=QTR_STD&amp;SCFT=3&amp;window=popup_no_bar&amp;width=385&amp;height=120&amp;START_MAXIMIZED=FALSE&amp;creator=factset&amp;display_string=Audit"}</definedName>
    <definedName name="_3431__FDSAUDITLINK__" localSheetId="7" hidden="1">{"fdsup://Directions/FactSet Auditing Viewer?action=AUDIT_VALUE&amp;DB=129&amp;ID1=69341710&amp;VALUEID=02001&amp;SDATE=200602&amp;PERIODTYPE=QTR_STD&amp;SCFT=3&amp;window=popup_no_bar&amp;width=385&amp;height=120&amp;START_MAXIMIZED=FALSE&amp;creator=factset&amp;display_string=Audit"}</definedName>
    <definedName name="_3431__FDSAUDITLINK__" hidden="1">{"fdsup://Directions/FactSet Auditing Viewer?action=AUDIT_VALUE&amp;DB=129&amp;ID1=69341710&amp;VALUEID=02001&amp;SDATE=200602&amp;PERIODTYPE=QTR_STD&amp;SCFT=3&amp;window=popup_no_bar&amp;width=385&amp;height=120&amp;START_MAXIMIZED=FALSE&amp;creator=factset&amp;display_string=Audit"}</definedName>
    <definedName name="_3432__FDSAUDITLINK__" localSheetId="7" hidden="1">{"fdsup://Directions/FactSet Auditing Viewer?action=AUDIT_VALUE&amp;DB=129&amp;ID1=69341710&amp;VALUEID=02001&amp;SDATE=200602&amp;PERIODTYPE=QTR_STD&amp;SCFT=3&amp;window=popup_no_bar&amp;width=385&amp;height=120&amp;START_MAXIMIZED=FALSE&amp;creator=factset&amp;display_string=Audit"}</definedName>
    <definedName name="_3432__FDSAUDITLINK__" hidden="1">{"fdsup://Directions/FactSet Auditing Viewer?action=AUDIT_VALUE&amp;DB=129&amp;ID1=69341710&amp;VALUEID=02001&amp;SDATE=200602&amp;PERIODTYPE=QTR_STD&amp;SCFT=3&amp;window=popup_no_bar&amp;width=385&amp;height=120&amp;START_MAXIMIZED=FALSE&amp;creator=factset&amp;display_string=Audit"}</definedName>
    <definedName name="_3433__FDSAUDITLINK__" localSheetId="7" hidden="1">{"fdsup://Directions/FactSet Auditing Viewer?action=AUDIT_VALUE&amp;DB=129&amp;ID1=69341710&amp;VALUEID=02001&amp;SDATE=200601&amp;PERIODTYPE=QTR_STD&amp;SCFT=3&amp;window=popup_no_bar&amp;width=385&amp;height=120&amp;START_MAXIMIZED=FALSE&amp;creator=factset&amp;display_string=Audit"}</definedName>
    <definedName name="_3433__FDSAUDITLINK__" hidden="1">{"fdsup://Directions/FactSet Auditing Viewer?action=AUDIT_VALUE&amp;DB=129&amp;ID1=69341710&amp;VALUEID=02001&amp;SDATE=200601&amp;PERIODTYPE=QTR_STD&amp;SCFT=3&amp;window=popup_no_bar&amp;width=385&amp;height=120&amp;START_MAXIMIZED=FALSE&amp;creator=factset&amp;display_string=Audit"}</definedName>
    <definedName name="_3434__FDSAUDITLINK__" localSheetId="7" hidden="1">{"fdsup://Directions/FactSet Auditing Viewer?action=AUDIT_VALUE&amp;DB=129&amp;ID1=69341710&amp;VALUEID=02001&amp;SDATE=200601&amp;PERIODTYPE=QTR_STD&amp;SCFT=3&amp;window=popup_no_bar&amp;width=385&amp;height=120&amp;START_MAXIMIZED=FALSE&amp;creator=factset&amp;display_string=Audit"}</definedName>
    <definedName name="_3434__FDSAUDITLINK__" hidden="1">{"fdsup://Directions/FactSet Auditing Viewer?action=AUDIT_VALUE&amp;DB=129&amp;ID1=69341710&amp;VALUEID=02001&amp;SDATE=200601&amp;PERIODTYPE=QTR_STD&amp;SCFT=3&amp;window=popup_no_bar&amp;width=385&amp;height=120&amp;START_MAXIMIZED=FALSE&amp;creator=factset&amp;display_string=Audit"}</definedName>
    <definedName name="_3435__FDSAUDITLINK__" localSheetId="7" hidden="1">{"fdsup://Directions/FactSet Auditing Viewer?action=AUDIT_VALUE&amp;DB=129&amp;ID1=69341710&amp;VALUEID=02001&amp;SDATE=200503&amp;PERIODTYPE=QTR_STD&amp;SCFT=3&amp;window=popup_no_bar&amp;width=385&amp;height=120&amp;START_MAXIMIZED=FALSE&amp;creator=factset&amp;display_string=Audit"}</definedName>
    <definedName name="_3435__FDSAUDITLINK__" hidden="1">{"fdsup://Directions/FactSet Auditing Viewer?action=AUDIT_VALUE&amp;DB=129&amp;ID1=69341710&amp;VALUEID=02001&amp;SDATE=200503&amp;PERIODTYPE=QTR_STD&amp;SCFT=3&amp;window=popup_no_bar&amp;width=385&amp;height=120&amp;START_MAXIMIZED=FALSE&amp;creator=factset&amp;display_string=Audit"}</definedName>
    <definedName name="_3436__FDSAUDITLINK__" localSheetId="7" hidden="1">{"fdsup://Directions/FactSet Auditing Viewer?action=AUDIT_VALUE&amp;DB=129&amp;ID1=69341710&amp;VALUEID=02001&amp;SDATE=200503&amp;PERIODTYPE=QTR_STD&amp;SCFT=3&amp;window=popup_no_bar&amp;width=385&amp;height=120&amp;START_MAXIMIZED=FALSE&amp;creator=factset&amp;display_string=Audit"}</definedName>
    <definedName name="_3436__FDSAUDITLINK__" hidden="1">{"fdsup://Directions/FactSet Auditing Viewer?action=AUDIT_VALUE&amp;DB=129&amp;ID1=69341710&amp;VALUEID=02001&amp;SDATE=200503&amp;PERIODTYPE=QTR_STD&amp;SCFT=3&amp;window=popup_no_bar&amp;width=385&amp;height=120&amp;START_MAXIMIZED=FALSE&amp;creator=factset&amp;display_string=Audit"}</definedName>
    <definedName name="_3437__FDSAUDITLINK__" localSheetId="7" hidden="1">{"fdsup://Directions/FactSet Auditing Viewer?action=AUDIT_VALUE&amp;DB=129&amp;ID1=69341710&amp;VALUEID=02001&amp;SDATE=200502&amp;PERIODTYPE=QTR_STD&amp;SCFT=3&amp;window=popup_no_bar&amp;width=385&amp;height=120&amp;START_MAXIMIZED=FALSE&amp;creator=factset&amp;display_string=Audit"}</definedName>
    <definedName name="_3437__FDSAUDITLINK__" hidden="1">{"fdsup://Directions/FactSet Auditing Viewer?action=AUDIT_VALUE&amp;DB=129&amp;ID1=69341710&amp;VALUEID=02001&amp;SDATE=200502&amp;PERIODTYPE=QTR_STD&amp;SCFT=3&amp;window=popup_no_bar&amp;width=385&amp;height=120&amp;START_MAXIMIZED=FALSE&amp;creator=factset&amp;display_string=Audit"}</definedName>
    <definedName name="_3438__FDSAUDITLINK__" localSheetId="7" hidden="1">{"fdsup://Directions/FactSet Auditing Viewer?action=AUDIT_VALUE&amp;DB=129&amp;ID1=69341710&amp;VALUEID=02001&amp;SDATE=200502&amp;PERIODTYPE=QTR_STD&amp;SCFT=3&amp;window=popup_no_bar&amp;width=385&amp;height=120&amp;START_MAXIMIZED=FALSE&amp;creator=factset&amp;display_string=Audit"}</definedName>
    <definedName name="_3438__FDSAUDITLINK__" hidden="1">{"fdsup://Directions/FactSet Auditing Viewer?action=AUDIT_VALUE&amp;DB=129&amp;ID1=69341710&amp;VALUEID=02001&amp;SDATE=200502&amp;PERIODTYPE=QTR_STD&amp;SCFT=3&amp;window=popup_no_bar&amp;width=385&amp;height=120&amp;START_MAXIMIZED=FALSE&amp;creator=factset&amp;display_string=Audit"}</definedName>
    <definedName name="_3439__FDSAUDITLINK__" localSheetId="7" hidden="1">{"fdsup://Directions/FactSet Auditing Viewer?action=AUDIT_VALUE&amp;DB=129&amp;ID1=69341710&amp;VALUEID=02001&amp;SDATE=200501&amp;PERIODTYPE=QTR_STD&amp;SCFT=3&amp;window=popup_no_bar&amp;width=385&amp;height=120&amp;START_MAXIMIZED=FALSE&amp;creator=factset&amp;display_string=Audit"}</definedName>
    <definedName name="_3439__FDSAUDITLINK__" hidden="1">{"fdsup://Directions/FactSet Auditing Viewer?action=AUDIT_VALUE&amp;DB=129&amp;ID1=69341710&amp;VALUEID=02001&amp;SDATE=200501&amp;PERIODTYPE=QTR_STD&amp;SCFT=3&amp;window=popup_no_bar&amp;width=385&amp;height=120&amp;START_MAXIMIZED=FALSE&amp;creator=factset&amp;display_string=Audit"}</definedName>
    <definedName name="_344__FDSAUDITLINK__" localSheetId="7" hidden="1">{"fdsup://Directions/FactSet Auditing Viewer?action=AUDIT_VALUE&amp;DB=129&amp;ID1=68218910&amp;VALUEID=02001&amp;SDATE=201003&amp;PERIODTYPE=QTR_STD&amp;SCFT=3&amp;window=popup_no_bar&amp;width=385&amp;height=120&amp;START_MAXIMIZED=FALSE&amp;creator=factset&amp;display_string=Audit"}</definedName>
    <definedName name="_344__FDSAUDITLINK__" hidden="1">{"fdsup://Directions/FactSet Auditing Viewer?action=AUDIT_VALUE&amp;DB=129&amp;ID1=68218910&amp;VALUEID=02001&amp;SDATE=201003&amp;PERIODTYPE=QTR_STD&amp;SCFT=3&amp;window=popup_no_bar&amp;width=385&amp;height=120&amp;START_MAXIMIZED=FALSE&amp;creator=factset&amp;display_string=Audit"}</definedName>
    <definedName name="_3440__FDSAUDITLINK__" localSheetId="7" hidden="1">{"fdsup://Directions/FactSet Auditing Viewer?action=AUDIT_VALUE&amp;DB=129&amp;ID1=69341710&amp;VALUEID=02001&amp;SDATE=200501&amp;PERIODTYPE=QTR_STD&amp;SCFT=3&amp;window=popup_no_bar&amp;width=385&amp;height=120&amp;START_MAXIMIZED=FALSE&amp;creator=factset&amp;display_string=Audit"}</definedName>
    <definedName name="_3440__FDSAUDITLINK__" hidden="1">{"fdsup://Directions/FactSet Auditing Viewer?action=AUDIT_VALUE&amp;DB=129&amp;ID1=69341710&amp;VALUEID=02001&amp;SDATE=200501&amp;PERIODTYPE=QTR_STD&amp;SCFT=3&amp;window=popup_no_bar&amp;width=385&amp;height=120&amp;START_MAXIMIZED=FALSE&amp;creator=factset&amp;display_string=Audit"}</definedName>
    <definedName name="_3441__FDSAUDITLINK__" localSheetId="7" hidden="1">{"fdsup://Directions/FactSet Auditing Viewer?action=AUDIT_VALUE&amp;DB=129&amp;ID1=69341710&amp;VALUEID=02001&amp;SDATE=200403&amp;PERIODTYPE=QTR_STD&amp;SCFT=3&amp;window=popup_no_bar&amp;width=385&amp;height=120&amp;START_MAXIMIZED=FALSE&amp;creator=factset&amp;display_string=Audit"}</definedName>
    <definedName name="_3441__FDSAUDITLINK__" hidden="1">{"fdsup://Directions/FactSet Auditing Viewer?action=AUDIT_VALUE&amp;DB=129&amp;ID1=69341710&amp;VALUEID=02001&amp;SDATE=200403&amp;PERIODTYPE=QTR_STD&amp;SCFT=3&amp;window=popup_no_bar&amp;width=385&amp;height=120&amp;START_MAXIMIZED=FALSE&amp;creator=factset&amp;display_string=Audit"}</definedName>
    <definedName name="_3442__FDSAUDITLINK__" localSheetId="7" hidden="1">{"fdsup://Directions/FactSet Auditing Viewer?action=AUDIT_VALUE&amp;DB=129&amp;ID1=69341710&amp;VALUEID=02001&amp;SDATE=200403&amp;PERIODTYPE=QTR_STD&amp;SCFT=3&amp;window=popup_no_bar&amp;width=385&amp;height=120&amp;START_MAXIMIZED=FALSE&amp;creator=factset&amp;display_string=Audit"}</definedName>
    <definedName name="_3442__FDSAUDITLINK__" hidden="1">{"fdsup://Directions/FactSet Auditing Viewer?action=AUDIT_VALUE&amp;DB=129&amp;ID1=69341710&amp;VALUEID=02001&amp;SDATE=200403&amp;PERIODTYPE=QTR_STD&amp;SCFT=3&amp;window=popup_no_bar&amp;width=385&amp;height=120&amp;START_MAXIMIZED=FALSE&amp;creator=factset&amp;display_string=Audit"}</definedName>
    <definedName name="_3443__FDSAUDITLINK__" localSheetId="7" hidden="1">{"fdsup://Directions/FactSet Auditing Viewer?action=AUDIT_VALUE&amp;DB=129&amp;ID1=69341710&amp;VALUEID=02001&amp;SDATE=200402&amp;PERIODTYPE=QTR_STD&amp;SCFT=3&amp;window=popup_no_bar&amp;width=385&amp;height=120&amp;START_MAXIMIZED=FALSE&amp;creator=factset&amp;display_string=Audit"}</definedName>
    <definedName name="_3443__FDSAUDITLINK__" hidden="1">{"fdsup://Directions/FactSet Auditing Viewer?action=AUDIT_VALUE&amp;DB=129&amp;ID1=69341710&amp;VALUEID=02001&amp;SDATE=200402&amp;PERIODTYPE=QTR_STD&amp;SCFT=3&amp;window=popup_no_bar&amp;width=385&amp;height=120&amp;START_MAXIMIZED=FALSE&amp;creator=factset&amp;display_string=Audit"}</definedName>
    <definedName name="_3444__FDSAUDITLINK__" localSheetId="7" hidden="1">{"fdsup://Directions/FactSet Auditing Viewer?action=AUDIT_VALUE&amp;DB=129&amp;ID1=69341710&amp;VALUEID=02001&amp;SDATE=200402&amp;PERIODTYPE=QTR_STD&amp;SCFT=3&amp;window=popup_no_bar&amp;width=385&amp;height=120&amp;START_MAXIMIZED=FALSE&amp;creator=factset&amp;display_string=Audit"}</definedName>
    <definedName name="_3444__FDSAUDITLINK__" hidden="1">{"fdsup://Directions/FactSet Auditing Viewer?action=AUDIT_VALUE&amp;DB=129&amp;ID1=69341710&amp;VALUEID=02001&amp;SDATE=200402&amp;PERIODTYPE=QTR_STD&amp;SCFT=3&amp;window=popup_no_bar&amp;width=385&amp;height=120&amp;START_MAXIMIZED=FALSE&amp;creator=factset&amp;display_string=Audit"}</definedName>
    <definedName name="_3445__FDSAUDITLINK__" localSheetId="7" hidden="1">{"fdsup://Directions/FactSet Auditing Viewer?action=AUDIT_VALUE&amp;DB=129&amp;ID1=69341710&amp;VALUEID=02001&amp;SDATE=200401&amp;PERIODTYPE=QTR_STD&amp;SCFT=3&amp;window=popup_no_bar&amp;width=385&amp;height=120&amp;START_MAXIMIZED=FALSE&amp;creator=factset&amp;display_string=Audit"}</definedName>
    <definedName name="_3445__FDSAUDITLINK__" hidden="1">{"fdsup://Directions/FactSet Auditing Viewer?action=AUDIT_VALUE&amp;DB=129&amp;ID1=69341710&amp;VALUEID=02001&amp;SDATE=200401&amp;PERIODTYPE=QTR_STD&amp;SCFT=3&amp;window=popup_no_bar&amp;width=385&amp;height=120&amp;START_MAXIMIZED=FALSE&amp;creator=factset&amp;display_string=Audit"}</definedName>
    <definedName name="_3446__FDSAUDITLINK__" localSheetId="7" hidden="1">{"fdsup://Directions/FactSet Auditing Viewer?action=AUDIT_VALUE&amp;DB=129&amp;ID1=69341710&amp;VALUEID=02001&amp;SDATE=200401&amp;PERIODTYPE=QTR_STD&amp;SCFT=3&amp;window=popup_no_bar&amp;width=385&amp;height=120&amp;START_MAXIMIZED=FALSE&amp;creator=factset&amp;display_string=Audit"}</definedName>
    <definedName name="_3446__FDSAUDITLINK__" hidden="1">{"fdsup://Directions/FactSet Auditing Viewer?action=AUDIT_VALUE&amp;DB=129&amp;ID1=69341710&amp;VALUEID=02001&amp;SDATE=200401&amp;PERIODTYPE=QTR_STD&amp;SCFT=3&amp;window=popup_no_bar&amp;width=385&amp;height=120&amp;START_MAXIMIZED=FALSE&amp;creator=factset&amp;display_string=Audit"}</definedName>
    <definedName name="_3447__FDSAUDITLINK__" localSheetId="7" hidden="1">{"fdsup://Directions/FactSet Auditing Viewer?action=AUDIT_VALUE&amp;DB=129&amp;ID1=68218910&amp;VALUEID=02001&amp;SDATE=200801&amp;PERIODTYPE=QTR_STD&amp;SCFT=3&amp;window=popup_no_bar&amp;width=385&amp;height=120&amp;START_MAXIMIZED=FALSE&amp;creator=factset&amp;display_string=Audit"}</definedName>
    <definedName name="_3447__FDSAUDITLINK__" hidden="1">{"fdsup://Directions/FactSet Auditing Viewer?action=AUDIT_VALUE&amp;DB=129&amp;ID1=68218910&amp;VALUEID=02001&amp;SDATE=200801&amp;PERIODTYPE=QTR_STD&amp;SCFT=3&amp;window=popup_no_bar&amp;width=385&amp;height=120&amp;START_MAXIMIZED=FALSE&amp;creator=factset&amp;display_string=Audit"}</definedName>
    <definedName name="_3448__FDSAUDITLINK__" localSheetId="7" hidden="1">{"fdsup://Directions/FactSet Auditing Viewer?action=AUDIT_VALUE&amp;DB=129&amp;ID1=68218910&amp;VALUEID=02001&amp;SDATE=200801&amp;PERIODTYPE=QTR_STD&amp;SCFT=3&amp;window=popup_no_bar&amp;width=385&amp;height=120&amp;START_MAXIMIZED=FALSE&amp;creator=factset&amp;display_string=Audit"}</definedName>
    <definedName name="_3448__FDSAUDITLINK__" hidden="1">{"fdsup://Directions/FactSet Auditing Viewer?action=AUDIT_VALUE&amp;DB=129&amp;ID1=68218910&amp;VALUEID=02001&amp;SDATE=200801&amp;PERIODTYPE=QTR_STD&amp;SCFT=3&amp;window=popup_no_bar&amp;width=385&amp;height=120&amp;START_MAXIMIZED=FALSE&amp;creator=factset&amp;display_string=Audit"}</definedName>
    <definedName name="_3449__FDSAUDITLINK__" localSheetId="7" hidden="1">{"fdsup://Directions/FactSet Auditing Viewer?action=AUDIT_VALUE&amp;DB=129&amp;ID1=68218910&amp;VALUEID=02001&amp;SDATE=200703&amp;PERIODTYPE=QTR_STD&amp;SCFT=3&amp;window=popup_no_bar&amp;width=385&amp;height=120&amp;START_MAXIMIZED=FALSE&amp;creator=factset&amp;display_string=Audit"}</definedName>
    <definedName name="_3449__FDSAUDITLINK__" hidden="1">{"fdsup://Directions/FactSet Auditing Viewer?action=AUDIT_VALUE&amp;DB=129&amp;ID1=68218910&amp;VALUEID=02001&amp;SDATE=200703&amp;PERIODTYPE=QTR_STD&amp;SCFT=3&amp;window=popup_no_bar&amp;width=385&amp;height=120&amp;START_MAXIMIZED=FALSE&amp;creator=factset&amp;display_string=Audit"}</definedName>
    <definedName name="_345__FDSAUDITLINK__" localSheetId="7" hidden="1">{"fdsup://Directions/FactSet Auditing Viewer?action=AUDIT_VALUE&amp;DB=129&amp;ID1=B505PN&amp;VALUEID=02001&amp;SDATE=201003&amp;PERIODTYPE=QTR_STD&amp;SCFT=3&amp;window=popup_no_bar&amp;width=385&amp;height=120&amp;START_MAXIMIZED=FALSE&amp;creator=factset&amp;display_string=Audit"}</definedName>
    <definedName name="_345__FDSAUDITLINK__" hidden="1">{"fdsup://Directions/FactSet Auditing Viewer?action=AUDIT_VALUE&amp;DB=129&amp;ID1=B505PN&amp;VALUEID=02001&amp;SDATE=201003&amp;PERIODTYPE=QTR_STD&amp;SCFT=3&amp;window=popup_no_bar&amp;width=385&amp;height=120&amp;START_MAXIMIZED=FALSE&amp;creator=factset&amp;display_string=Audit"}</definedName>
    <definedName name="_3450__FDSAUDITLINK__" localSheetId="7" hidden="1">{"fdsup://Directions/FactSet Auditing Viewer?action=AUDIT_VALUE&amp;DB=129&amp;ID1=68218910&amp;VALUEID=02001&amp;SDATE=200703&amp;PERIODTYPE=QTR_STD&amp;SCFT=3&amp;window=popup_no_bar&amp;width=385&amp;height=120&amp;START_MAXIMIZED=FALSE&amp;creator=factset&amp;display_string=Audit"}</definedName>
    <definedName name="_3450__FDSAUDITLINK__" hidden="1">{"fdsup://Directions/FactSet Auditing Viewer?action=AUDIT_VALUE&amp;DB=129&amp;ID1=68218910&amp;VALUEID=02001&amp;SDATE=200703&amp;PERIODTYPE=QTR_STD&amp;SCFT=3&amp;window=popup_no_bar&amp;width=385&amp;height=120&amp;START_MAXIMIZED=FALSE&amp;creator=factset&amp;display_string=Audit"}</definedName>
    <definedName name="_3451__FDSAUDITLINK__" localSheetId="7" hidden="1">{"fdsup://Directions/FactSet Auditing Viewer?action=AUDIT_VALUE&amp;DB=129&amp;ID1=68218910&amp;VALUEID=02001&amp;SDATE=200702&amp;PERIODTYPE=QTR_STD&amp;SCFT=3&amp;window=popup_no_bar&amp;width=385&amp;height=120&amp;START_MAXIMIZED=FALSE&amp;creator=factset&amp;display_string=Audit"}</definedName>
    <definedName name="_3451__FDSAUDITLINK__" hidden="1">{"fdsup://Directions/FactSet Auditing Viewer?action=AUDIT_VALUE&amp;DB=129&amp;ID1=68218910&amp;VALUEID=02001&amp;SDATE=200702&amp;PERIODTYPE=QTR_STD&amp;SCFT=3&amp;window=popup_no_bar&amp;width=385&amp;height=120&amp;START_MAXIMIZED=FALSE&amp;creator=factset&amp;display_string=Audit"}</definedName>
    <definedName name="_3452__FDSAUDITLINK__" localSheetId="7" hidden="1">{"fdsup://Directions/FactSet Auditing Viewer?action=AUDIT_VALUE&amp;DB=129&amp;ID1=68218910&amp;VALUEID=02001&amp;SDATE=200702&amp;PERIODTYPE=QTR_STD&amp;SCFT=3&amp;window=popup_no_bar&amp;width=385&amp;height=120&amp;START_MAXIMIZED=FALSE&amp;creator=factset&amp;display_string=Audit"}</definedName>
    <definedName name="_3452__FDSAUDITLINK__" hidden="1">{"fdsup://Directions/FactSet Auditing Viewer?action=AUDIT_VALUE&amp;DB=129&amp;ID1=68218910&amp;VALUEID=02001&amp;SDATE=200702&amp;PERIODTYPE=QTR_STD&amp;SCFT=3&amp;window=popup_no_bar&amp;width=385&amp;height=120&amp;START_MAXIMIZED=FALSE&amp;creator=factset&amp;display_string=Audit"}</definedName>
    <definedName name="_3453__FDSAUDITLINK__" localSheetId="7" hidden="1">{"fdsup://Directions/FactSet Auditing Viewer?action=AUDIT_VALUE&amp;DB=129&amp;ID1=68218910&amp;VALUEID=02001&amp;SDATE=200701&amp;PERIODTYPE=QTR_STD&amp;SCFT=3&amp;window=popup_no_bar&amp;width=385&amp;height=120&amp;START_MAXIMIZED=FALSE&amp;creator=factset&amp;display_string=Audit"}</definedName>
    <definedName name="_3453__FDSAUDITLINK__" hidden="1">{"fdsup://Directions/FactSet Auditing Viewer?action=AUDIT_VALUE&amp;DB=129&amp;ID1=68218910&amp;VALUEID=02001&amp;SDATE=200701&amp;PERIODTYPE=QTR_STD&amp;SCFT=3&amp;window=popup_no_bar&amp;width=385&amp;height=120&amp;START_MAXIMIZED=FALSE&amp;creator=factset&amp;display_string=Audit"}</definedName>
    <definedName name="_3454__FDSAUDITLINK__" localSheetId="7" hidden="1">{"fdsup://Directions/FactSet Auditing Viewer?action=AUDIT_VALUE&amp;DB=129&amp;ID1=68218910&amp;VALUEID=02001&amp;SDATE=200701&amp;PERIODTYPE=QTR_STD&amp;SCFT=3&amp;window=popup_no_bar&amp;width=385&amp;height=120&amp;START_MAXIMIZED=FALSE&amp;creator=factset&amp;display_string=Audit"}</definedName>
    <definedName name="_3454__FDSAUDITLINK__" hidden="1">{"fdsup://Directions/FactSet Auditing Viewer?action=AUDIT_VALUE&amp;DB=129&amp;ID1=68218910&amp;VALUEID=02001&amp;SDATE=200701&amp;PERIODTYPE=QTR_STD&amp;SCFT=3&amp;window=popup_no_bar&amp;width=385&amp;height=120&amp;START_MAXIMIZED=FALSE&amp;creator=factset&amp;display_string=Audit"}</definedName>
    <definedName name="_3455__FDSAUDITLINK__" localSheetId="7" hidden="1">{"fdsup://Directions/FactSet Auditing Viewer?action=AUDIT_VALUE&amp;DB=129&amp;ID1=68218910&amp;VALUEID=02001&amp;SDATE=200603&amp;PERIODTYPE=QTR_STD&amp;SCFT=3&amp;window=popup_no_bar&amp;width=385&amp;height=120&amp;START_MAXIMIZED=FALSE&amp;creator=factset&amp;display_string=Audit"}</definedName>
    <definedName name="_3455__FDSAUDITLINK__" hidden="1">{"fdsup://Directions/FactSet Auditing Viewer?action=AUDIT_VALUE&amp;DB=129&amp;ID1=68218910&amp;VALUEID=02001&amp;SDATE=200603&amp;PERIODTYPE=QTR_STD&amp;SCFT=3&amp;window=popup_no_bar&amp;width=385&amp;height=120&amp;START_MAXIMIZED=FALSE&amp;creator=factset&amp;display_string=Audit"}</definedName>
    <definedName name="_3456__FDSAUDITLINK__" localSheetId="7" hidden="1">{"fdsup://Directions/FactSet Auditing Viewer?action=AUDIT_VALUE&amp;DB=129&amp;ID1=68218910&amp;VALUEID=02001&amp;SDATE=200603&amp;PERIODTYPE=QTR_STD&amp;SCFT=3&amp;window=popup_no_bar&amp;width=385&amp;height=120&amp;START_MAXIMIZED=FALSE&amp;creator=factset&amp;display_string=Audit"}</definedName>
    <definedName name="_3456__FDSAUDITLINK__" hidden="1">{"fdsup://Directions/FactSet Auditing Viewer?action=AUDIT_VALUE&amp;DB=129&amp;ID1=68218910&amp;VALUEID=02001&amp;SDATE=200603&amp;PERIODTYPE=QTR_STD&amp;SCFT=3&amp;window=popup_no_bar&amp;width=385&amp;height=120&amp;START_MAXIMIZED=FALSE&amp;creator=factset&amp;display_string=Audit"}</definedName>
    <definedName name="_3457__FDSAUDITLINK__" localSheetId="7" hidden="1">{"fdsup://Directions/FactSet Auditing Viewer?action=AUDIT_VALUE&amp;DB=129&amp;ID1=68218910&amp;VALUEID=02001&amp;SDATE=200602&amp;PERIODTYPE=QTR_STD&amp;SCFT=3&amp;window=popup_no_bar&amp;width=385&amp;height=120&amp;START_MAXIMIZED=FALSE&amp;creator=factset&amp;display_string=Audit"}</definedName>
    <definedName name="_3457__FDSAUDITLINK__" hidden="1">{"fdsup://Directions/FactSet Auditing Viewer?action=AUDIT_VALUE&amp;DB=129&amp;ID1=68218910&amp;VALUEID=02001&amp;SDATE=200602&amp;PERIODTYPE=QTR_STD&amp;SCFT=3&amp;window=popup_no_bar&amp;width=385&amp;height=120&amp;START_MAXIMIZED=FALSE&amp;creator=factset&amp;display_string=Audit"}</definedName>
    <definedName name="_3458__FDSAUDITLINK__" localSheetId="7" hidden="1">{"fdsup://Directions/FactSet Auditing Viewer?action=AUDIT_VALUE&amp;DB=129&amp;ID1=68218910&amp;VALUEID=02001&amp;SDATE=200602&amp;PERIODTYPE=QTR_STD&amp;SCFT=3&amp;window=popup_no_bar&amp;width=385&amp;height=120&amp;START_MAXIMIZED=FALSE&amp;creator=factset&amp;display_string=Audit"}</definedName>
    <definedName name="_3458__FDSAUDITLINK__" hidden="1">{"fdsup://Directions/FactSet Auditing Viewer?action=AUDIT_VALUE&amp;DB=129&amp;ID1=68218910&amp;VALUEID=02001&amp;SDATE=200602&amp;PERIODTYPE=QTR_STD&amp;SCFT=3&amp;window=popup_no_bar&amp;width=385&amp;height=120&amp;START_MAXIMIZED=FALSE&amp;creator=factset&amp;display_string=Audit"}</definedName>
    <definedName name="_3459__FDSAUDITLINK__" localSheetId="7" hidden="1">{"fdsup://Directions/FactSet Auditing Viewer?action=AUDIT_VALUE&amp;DB=129&amp;ID1=68218910&amp;VALUEID=02001&amp;SDATE=200601&amp;PERIODTYPE=QTR_STD&amp;SCFT=3&amp;window=popup_no_bar&amp;width=385&amp;height=120&amp;START_MAXIMIZED=FALSE&amp;creator=factset&amp;display_string=Audit"}</definedName>
    <definedName name="_3459__FDSAUDITLINK__" hidden="1">{"fdsup://Directions/FactSet Auditing Viewer?action=AUDIT_VALUE&amp;DB=129&amp;ID1=68218910&amp;VALUEID=02001&amp;SDATE=200601&amp;PERIODTYPE=QTR_STD&amp;SCFT=3&amp;window=popup_no_bar&amp;width=385&amp;height=120&amp;START_MAXIMIZED=FALSE&amp;creator=factset&amp;display_string=Audit"}</definedName>
    <definedName name="_346__FDSAUDITLINK__" localSheetId="7" hidden="1">{"fdsup://Directions/FactSet Auditing Viewer?action=AUDIT_VALUE&amp;DB=129&amp;ID1=B505PN&amp;VALUEID=02001&amp;SDATE=201003&amp;PERIODTYPE=QTR_STD&amp;SCFT=3&amp;window=popup_no_bar&amp;width=385&amp;height=120&amp;START_MAXIMIZED=FALSE&amp;creator=factset&amp;display_string=Audit"}</definedName>
    <definedName name="_346__FDSAUDITLINK__" hidden="1">{"fdsup://Directions/FactSet Auditing Viewer?action=AUDIT_VALUE&amp;DB=129&amp;ID1=B505PN&amp;VALUEID=02001&amp;SDATE=201003&amp;PERIODTYPE=QTR_STD&amp;SCFT=3&amp;window=popup_no_bar&amp;width=385&amp;height=120&amp;START_MAXIMIZED=FALSE&amp;creator=factset&amp;display_string=Audit"}</definedName>
    <definedName name="_3460__FDSAUDITLINK__" localSheetId="7" hidden="1">{"fdsup://Directions/FactSet Auditing Viewer?action=AUDIT_VALUE&amp;DB=129&amp;ID1=68218910&amp;VALUEID=02001&amp;SDATE=200601&amp;PERIODTYPE=QTR_STD&amp;SCFT=3&amp;window=popup_no_bar&amp;width=385&amp;height=120&amp;START_MAXIMIZED=FALSE&amp;creator=factset&amp;display_string=Audit"}</definedName>
    <definedName name="_3460__FDSAUDITLINK__" hidden="1">{"fdsup://Directions/FactSet Auditing Viewer?action=AUDIT_VALUE&amp;DB=129&amp;ID1=68218910&amp;VALUEID=02001&amp;SDATE=200601&amp;PERIODTYPE=QTR_STD&amp;SCFT=3&amp;window=popup_no_bar&amp;width=385&amp;height=120&amp;START_MAXIMIZED=FALSE&amp;creator=factset&amp;display_string=Audit"}</definedName>
    <definedName name="_3461__FDSAUDITLINK__" localSheetId="7" hidden="1">{"fdsup://Directions/FactSet Auditing Viewer?action=AUDIT_VALUE&amp;DB=129&amp;ID1=68218910&amp;VALUEID=02001&amp;SDATE=200503&amp;PERIODTYPE=QTR_STD&amp;SCFT=3&amp;window=popup_no_bar&amp;width=385&amp;height=120&amp;START_MAXIMIZED=FALSE&amp;creator=factset&amp;display_string=Audit"}</definedName>
    <definedName name="_3461__FDSAUDITLINK__" hidden="1">{"fdsup://Directions/FactSet Auditing Viewer?action=AUDIT_VALUE&amp;DB=129&amp;ID1=68218910&amp;VALUEID=02001&amp;SDATE=200503&amp;PERIODTYPE=QTR_STD&amp;SCFT=3&amp;window=popup_no_bar&amp;width=385&amp;height=120&amp;START_MAXIMIZED=FALSE&amp;creator=factset&amp;display_string=Audit"}</definedName>
    <definedName name="_3462__FDSAUDITLINK__" localSheetId="7" hidden="1">{"fdsup://Directions/FactSet Auditing Viewer?action=AUDIT_VALUE&amp;DB=129&amp;ID1=68218910&amp;VALUEID=02001&amp;SDATE=200503&amp;PERIODTYPE=QTR_STD&amp;SCFT=3&amp;window=popup_no_bar&amp;width=385&amp;height=120&amp;START_MAXIMIZED=FALSE&amp;creator=factset&amp;display_string=Audit"}</definedName>
    <definedName name="_3462__FDSAUDITLINK__" hidden="1">{"fdsup://Directions/FactSet Auditing Viewer?action=AUDIT_VALUE&amp;DB=129&amp;ID1=68218910&amp;VALUEID=02001&amp;SDATE=200503&amp;PERIODTYPE=QTR_STD&amp;SCFT=3&amp;window=popup_no_bar&amp;width=385&amp;height=120&amp;START_MAXIMIZED=FALSE&amp;creator=factset&amp;display_string=Audit"}</definedName>
    <definedName name="_3463__FDSAUDITLINK__" localSheetId="7" hidden="1">{"fdsup://Directions/FactSet Auditing Viewer?action=AUDIT_VALUE&amp;DB=129&amp;ID1=68218910&amp;VALUEID=02001&amp;SDATE=200502&amp;PERIODTYPE=QTR_STD&amp;SCFT=3&amp;window=popup_no_bar&amp;width=385&amp;height=120&amp;START_MAXIMIZED=FALSE&amp;creator=factset&amp;display_string=Audit"}</definedName>
    <definedName name="_3463__FDSAUDITLINK__" hidden="1">{"fdsup://Directions/FactSet Auditing Viewer?action=AUDIT_VALUE&amp;DB=129&amp;ID1=68218910&amp;VALUEID=02001&amp;SDATE=200502&amp;PERIODTYPE=QTR_STD&amp;SCFT=3&amp;window=popup_no_bar&amp;width=385&amp;height=120&amp;START_MAXIMIZED=FALSE&amp;creator=factset&amp;display_string=Audit"}</definedName>
    <definedName name="_3464__FDSAUDITLINK__" localSheetId="7" hidden="1">{"fdsup://Directions/FactSet Auditing Viewer?action=AUDIT_VALUE&amp;DB=129&amp;ID1=68218910&amp;VALUEID=02001&amp;SDATE=200502&amp;PERIODTYPE=QTR_STD&amp;SCFT=3&amp;window=popup_no_bar&amp;width=385&amp;height=120&amp;START_MAXIMIZED=FALSE&amp;creator=factset&amp;display_string=Audit"}</definedName>
    <definedName name="_3464__FDSAUDITLINK__" hidden="1">{"fdsup://Directions/FactSet Auditing Viewer?action=AUDIT_VALUE&amp;DB=129&amp;ID1=68218910&amp;VALUEID=02001&amp;SDATE=200502&amp;PERIODTYPE=QTR_STD&amp;SCFT=3&amp;window=popup_no_bar&amp;width=385&amp;height=120&amp;START_MAXIMIZED=FALSE&amp;creator=factset&amp;display_string=Audit"}</definedName>
    <definedName name="_3465__FDSAUDITLINK__" localSheetId="7" hidden="1">{"fdsup://Directions/FactSet Auditing Viewer?action=AUDIT_VALUE&amp;DB=129&amp;ID1=68218910&amp;VALUEID=02001&amp;SDATE=200403&amp;PERIODTYPE=QTR_STD&amp;SCFT=3&amp;window=popup_no_bar&amp;width=385&amp;height=120&amp;START_MAXIMIZED=FALSE&amp;creator=factset&amp;display_string=Audit"}</definedName>
    <definedName name="_3465__FDSAUDITLINK__" hidden="1">{"fdsup://Directions/FactSet Auditing Viewer?action=AUDIT_VALUE&amp;DB=129&amp;ID1=68218910&amp;VALUEID=02001&amp;SDATE=200403&amp;PERIODTYPE=QTR_STD&amp;SCFT=3&amp;window=popup_no_bar&amp;width=385&amp;height=120&amp;START_MAXIMIZED=FALSE&amp;creator=factset&amp;display_string=Audit"}</definedName>
    <definedName name="_3466__FDSAUDITLINK__" localSheetId="7" hidden="1">{"fdsup://Directions/FactSet Auditing Viewer?action=AUDIT_VALUE&amp;DB=129&amp;ID1=68218910&amp;VALUEID=02001&amp;SDATE=200403&amp;PERIODTYPE=QTR_STD&amp;SCFT=3&amp;window=popup_no_bar&amp;width=385&amp;height=120&amp;START_MAXIMIZED=FALSE&amp;creator=factset&amp;display_string=Audit"}</definedName>
    <definedName name="_3466__FDSAUDITLINK__" hidden="1">{"fdsup://Directions/FactSet Auditing Viewer?action=AUDIT_VALUE&amp;DB=129&amp;ID1=68218910&amp;VALUEID=02001&amp;SDATE=200403&amp;PERIODTYPE=QTR_STD&amp;SCFT=3&amp;window=popup_no_bar&amp;width=385&amp;height=120&amp;START_MAXIMIZED=FALSE&amp;creator=factset&amp;display_string=Audit"}</definedName>
    <definedName name="_3467__FDSAUDITLINK__" localSheetId="7" hidden="1">{"fdsup://Directions/FactSet Auditing Viewer?action=AUDIT_VALUE&amp;DB=129&amp;ID1=68218910&amp;VALUEID=02001&amp;SDATE=200402&amp;PERIODTYPE=QTR_STD&amp;SCFT=3&amp;window=popup_no_bar&amp;width=385&amp;height=120&amp;START_MAXIMIZED=FALSE&amp;creator=factset&amp;display_string=Audit"}</definedName>
    <definedName name="_3467__FDSAUDITLINK__" hidden="1">{"fdsup://Directions/FactSet Auditing Viewer?action=AUDIT_VALUE&amp;DB=129&amp;ID1=68218910&amp;VALUEID=02001&amp;SDATE=200402&amp;PERIODTYPE=QTR_STD&amp;SCFT=3&amp;window=popup_no_bar&amp;width=385&amp;height=120&amp;START_MAXIMIZED=FALSE&amp;creator=factset&amp;display_string=Audit"}</definedName>
    <definedName name="_3468__FDSAUDITLINK__" localSheetId="7" hidden="1">{"fdsup://Directions/FactSet Auditing Viewer?action=AUDIT_VALUE&amp;DB=129&amp;ID1=68218910&amp;VALUEID=02001&amp;SDATE=200402&amp;PERIODTYPE=QTR_STD&amp;SCFT=3&amp;window=popup_no_bar&amp;width=385&amp;height=120&amp;START_MAXIMIZED=FALSE&amp;creator=factset&amp;display_string=Audit"}</definedName>
    <definedName name="_3468__FDSAUDITLINK__" hidden="1">{"fdsup://Directions/FactSet Auditing Viewer?action=AUDIT_VALUE&amp;DB=129&amp;ID1=68218910&amp;VALUEID=02001&amp;SDATE=200402&amp;PERIODTYPE=QTR_STD&amp;SCFT=3&amp;window=popup_no_bar&amp;width=385&amp;height=120&amp;START_MAXIMIZED=FALSE&amp;creator=factset&amp;display_string=Audit"}</definedName>
    <definedName name="_3469__FDSAUDITLINK__" localSheetId="7" hidden="1">{"fdsup://Directions/FactSet Auditing Viewer?action=AUDIT_VALUE&amp;DB=129&amp;ID1=68218910&amp;VALUEID=02001&amp;SDATE=200401&amp;PERIODTYPE=QTR_STD&amp;SCFT=3&amp;window=popup_no_bar&amp;width=385&amp;height=120&amp;START_MAXIMIZED=FALSE&amp;creator=factset&amp;display_string=Audit"}</definedName>
    <definedName name="_3469__FDSAUDITLINK__" hidden="1">{"fdsup://Directions/FactSet Auditing Viewer?action=AUDIT_VALUE&amp;DB=129&amp;ID1=68218910&amp;VALUEID=02001&amp;SDATE=200401&amp;PERIODTYPE=QTR_STD&amp;SCFT=3&amp;window=popup_no_bar&amp;width=385&amp;height=120&amp;START_MAXIMIZED=FALSE&amp;creator=factset&amp;display_string=Audit"}</definedName>
    <definedName name="_347__FDSAUDITLINK__" localSheetId="7" hidden="1">{"fdsup://Directions/FactSet Auditing Viewer?action=AUDIT_VALUE&amp;DB=129&amp;ID1=67000810&amp;VALUEID=02001&amp;SDATE=201003&amp;PERIODTYPE=QTR_STD&amp;SCFT=3&amp;window=popup_no_bar&amp;width=385&amp;height=120&amp;START_MAXIMIZED=FALSE&amp;creator=factset&amp;display_string=Audit"}</definedName>
    <definedName name="_347__FDSAUDITLINK__" hidden="1">{"fdsup://Directions/FactSet Auditing Viewer?action=AUDIT_VALUE&amp;DB=129&amp;ID1=67000810&amp;VALUEID=02001&amp;SDATE=201003&amp;PERIODTYPE=QTR_STD&amp;SCFT=3&amp;window=popup_no_bar&amp;width=385&amp;height=120&amp;START_MAXIMIZED=FALSE&amp;creator=factset&amp;display_string=Audit"}</definedName>
    <definedName name="_3470__FDSAUDITLINK__" localSheetId="7" hidden="1">{"fdsup://Directions/FactSet Auditing Viewer?action=AUDIT_VALUE&amp;DB=129&amp;ID1=68218910&amp;VALUEID=02001&amp;SDATE=200401&amp;PERIODTYPE=QTR_STD&amp;SCFT=3&amp;window=popup_no_bar&amp;width=385&amp;height=120&amp;START_MAXIMIZED=FALSE&amp;creator=factset&amp;display_string=Audit"}</definedName>
    <definedName name="_3470__FDSAUDITLINK__" hidden="1">{"fdsup://Directions/FactSet Auditing Viewer?action=AUDIT_VALUE&amp;DB=129&amp;ID1=68218910&amp;VALUEID=02001&amp;SDATE=200401&amp;PERIODTYPE=QTR_STD&amp;SCFT=3&amp;window=popup_no_bar&amp;width=385&amp;height=120&amp;START_MAXIMIZED=FALSE&amp;creator=factset&amp;display_string=Audit"}</definedName>
    <definedName name="_3471__FDSAUDITLINK__" localSheetId="7" hidden="1">{"fdsup://Directions/FactSet Auditing Viewer?action=AUDIT_VALUE&amp;DB=129&amp;ID1=B505PN&amp;VALUEID=02001&amp;SDATE=200801&amp;PERIODTYPE=QTR_STD&amp;SCFT=3&amp;window=popup_no_bar&amp;width=385&amp;height=120&amp;START_MAXIMIZED=FALSE&amp;creator=factset&amp;display_string=Audit"}</definedName>
    <definedName name="_3471__FDSAUDITLINK__" hidden="1">{"fdsup://Directions/FactSet Auditing Viewer?action=AUDIT_VALUE&amp;DB=129&amp;ID1=B505PN&amp;VALUEID=02001&amp;SDATE=200801&amp;PERIODTYPE=QTR_STD&amp;SCFT=3&amp;window=popup_no_bar&amp;width=385&amp;height=120&amp;START_MAXIMIZED=FALSE&amp;creator=factset&amp;display_string=Audit"}</definedName>
    <definedName name="_3472__FDSAUDITLINK__" localSheetId="7" hidden="1">{"fdsup://Directions/FactSet Auditing Viewer?action=AUDIT_VALUE&amp;DB=129&amp;ID1=B505PN&amp;VALUEID=02001&amp;SDATE=200801&amp;PERIODTYPE=QTR_STD&amp;SCFT=3&amp;window=popup_no_bar&amp;width=385&amp;height=120&amp;START_MAXIMIZED=FALSE&amp;creator=factset&amp;display_string=Audit"}</definedName>
    <definedName name="_3472__FDSAUDITLINK__" hidden="1">{"fdsup://Directions/FactSet Auditing Viewer?action=AUDIT_VALUE&amp;DB=129&amp;ID1=B505PN&amp;VALUEID=02001&amp;SDATE=200801&amp;PERIODTYPE=QTR_STD&amp;SCFT=3&amp;window=popup_no_bar&amp;width=385&amp;height=120&amp;START_MAXIMIZED=FALSE&amp;creator=factset&amp;display_string=Audit"}</definedName>
    <definedName name="_3473__FDSAUDITLINK__" localSheetId="7" hidden="1">{"fdsup://Directions/FactSet Auditing Viewer?action=AUDIT_VALUE&amp;DB=129&amp;ID1=67000810&amp;VALUEID=02001&amp;SDATE=200801&amp;PERIODTYPE=QTR_STD&amp;SCFT=3&amp;window=popup_no_bar&amp;width=385&amp;height=120&amp;START_MAXIMIZED=FALSE&amp;creator=factset&amp;display_string=Audit"}</definedName>
    <definedName name="_3473__FDSAUDITLINK__" hidden="1">{"fdsup://Directions/FactSet Auditing Viewer?action=AUDIT_VALUE&amp;DB=129&amp;ID1=67000810&amp;VALUEID=02001&amp;SDATE=200801&amp;PERIODTYPE=QTR_STD&amp;SCFT=3&amp;window=popup_no_bar&amp;width=385&amp;height=120&amp;START_MAXIMIZED=FALSE&amp;creator=factset&amp;display_string=Audit"}</definedName>
    <definedName name="_3474__FDSAUDITLINK__" localSheetId="7" hidden="1">{"fdsup://Directions/FactSet Auditing Viewer?action=AUDIT_VALUE&amp;DB=129&amp;ID1=67000810&amp;VALUEID=02001&amp;SDATE=200801&amp;PERIODTYPE=QTR_STD&amp;SCFT=3&amp;window=popup_no_bar&amp;width=385&amp;height=120&amp;START_MAXIMIZED=FALSE&amp;creator=factset&amp;display_string=Audit"}</definedName>
    <definedName name="_3474__FDSAUDITLINK__" hidden="1">{"fdsup://Directions/FactSet Auditing Viewer?action=AUDIT_VALUE&amp;DB=129&amp;ID1=67000810&amp;VALUEID=02001&amp;SDATE=200801&amp;PERIODTYPE=QTR_STD&amp;SCFT=3&amp;window=popup_no_bar&amp;width=385&amp;height=120&amp;START_MAXIMIZED=FALSE&amp;creator=factset&amp;display_string=Audit"}</definedName>
    <definedName name="_3475__FDSAUDITLINK__" localSheetId="7" hidden="1">{"fdsup://Directions/FactSet Auditing Viewer?action=AUDIT_VALUE&amp;DB=129&amp;ID1=67000810&amp;VALUEID=02001&amp;SDATE=200703&amp;PERIODTYPE=QTR_STD&amp;SCFT=3&amp;window=popup_no_bar&amp;width=385&amp;height=120&amp;START_MAXIMIZED=FALSE&amp;creator=factset&amp;display_string=Audit"}</definedName>
    <definedName name="_3475__FDSAUDITLINK__" hidden="1">{"fdsup://Directions/FactSet Auditing Viewer?action=AUDIT_VALUE&amp;DB=129&amp;ID1=67000810&amp;VALUEID=02001&amp;SDATE=200703&amp;PERIODTYPE=QTR_STD&amp;SCFT=3&amp;window=popup_no_bar&amp;width=385&amp;height=120&amp;START_MAXIMIZED=FALSE&amp;creator=factset&amp;display_string=Audit"}</definedName>
    <definedName name="_3476__FDSAUDITLINK__" localSheetId="7" hidden="1">{"fdsup://Directions/FactSet Auditing Viewer?action=AUDIT_VALUE&amp;DB=129&amp;ID1=67000810&amp;VALUEID=02001&amp;SDATE=200703&amp;PERIODTYPE=QTR_STD&amp;SCFT=3&amp;window=popup_no_bar&amp;width=385&amp;height=120&amp;START_MAXIMIZED=FALSE&amp;creator=factset&amp;display_string=Audit"}</definedName>
    <definedName name="_3476__FDSAUDITLINK__" hidden="1">{"fdsup://Directions/FactSet Auditing Viewer?action=AUDIT_VALUE&amp;DB=129&amp;ID1=67000810&amp;VALUEID=02001&amp;SDATE=200703&amp;PERIODTYPE=QTR_STD&amp;SCFT=3&amp;window=popup_no_bar&amp;width=385&amp;height=120&amp;START_MAXIMIZED=FALSE&amp;creator=factset&amp;display_string=Audit"}</definedName>
    <definedName name="_3477__FDSAUDITLINK__" localSheetId="7" hidden="1">{"fdsup://Directions/FactSet Auditing Viewer?action=AUDIT_VALUE&amp;DB=129&amp;ID1=67000810&amp;VALUEID=02001&amp;SDATE=200702&amp;PERIODTYPE=QTR_STD&amp;SCFT=3&amp;window=popup_no_bar&amp;width=385&amp;height=120&amp;START_MAXIMIZED=FALSE&amp;creator=factset&amp;display_string=Audit"}</definedName>
    <definedName name="_3477__FDSAUDITLINK__" hidden="1">{"fdsup://Directions/FactSet Auditing Viewer?action=AUDIT_VALUE&amp;DB=129&amp;ID1=67000810&amp;VALUEID=02001&amp;SDATE=200702&amp;PERIODTYPE=QTR_STD&amp;SCFT=3&amp;window=popup_no_bar&amp;width=385&amp;height=120&amp;START_MAXIMIZED=FALSE&amp;creator=factset&amp;display_string=Audit"}</definedName>
    <definedName name="_3478__FDSAUDITLINK__" localSheetId="7" hidden="1">{"fdsup://Directions/FactSet Auditing Viewer?action=AUDIT_VALUE&amp;DB=129&amp;ID1=67000810&amp;VALUEID=02001&amp;SDATE=200702&amp;PERIODTYPE=QTR_STD&amp;SCFT=3&amp;window=popup_no_bar&amp;width=385&amp;height=120&amp;START_MAXIMIZED=FALSE&amp;creator=factset&amp;display_string=Audit"}</definedName>
    <definedName name="_3478__FDSAUDITLINK__" hidden="1">{"fdsup://Directions/FactSet Auditing Viewer?action=AUDIT_VALUE&amp;DB=129&amp;ID1=67000810&amp;VALUEID=02001&amp;SDATE=200702&amp;PERIODTYPE=QTR_STD&amp;SCFT=3&amp;window=popup_no_bar&amp;width=385&amp;height=120&amp;START_MAXIMIZED=FALSE&amp;creator=factset&amp;display_string=Audit"}</definedName>
    <definedName name="_3479__FDSAUDITLINK__" localSheetId="7" hidden="1">{"fdsup://Directions/FactSet Auditing Viewer?action=AUDIT_VALUE&amp;DB=129&amp;ID1=67000810&amp;VALUEID=02001&amp;SDATE=200701&amp;PERIODTYPE=QTR_STD&amp;SCFT=3&amp;window=popup_no_bar&amp;width=385&amp;height=120&amp;START_MAXIMIZED=FALSE&amp;creator=factset&amp;display_string=Audit"}</definedName>
    <definedName name="_3479__FDSAUDITLINK__" hidden="1">{"fdsup://Directions/FactSet Auditing Viewer?action=AUDIT_VALUE&amp;DB=129&amp;ID1=67000810&amp;VALUEID=02001&amp;SDATE=200701&amp;PERIODTYPE=QTR_STD&amp;SCFT=3&amp;window=popup_no_bar&amp;width=385&amp;height=120&amp;START_MAXIMIZED=FALSE&amp;creator=factset&amp;display_string=Audit"}</definedName>
    <definedName name="_348__FDSAUDITLINK__" localSheetId="7" hidden="1">{"fdsup://Directions/FactSet Auditing Viewer?action=AUDIT_VALUE&amp;DB=129&amp;ID1=67000810&amp;VALUEID=02001&amp;SDATE=201003&amp;PERIODTYPE=QTR_STD&amp;SCFT=3&amp;window=popup_no_bar&amp;width=385&amp;height=120&amp;START_MAXIMIZED=FALSE&amp;creator=factset&amp;display_string=Audit"}</definedName>
    <definedName name="_348__FDSAUDITLINK__" hidden="1">{"fdsup://Directions/FactSet Auditing Viewer?action=AUDIT_VALUE&amp;DB=129&amp;ID1=67000810&amp;VALUEID=02001&amp;SDATE=201003&amp;PERIODTYPE=QTR_STD&amp;SCFT=3&amp;window=popup_no_bar&amp;width=385&amp;height=120&amp;START_MAXIMIZED=FALSE&amp;creator=factset&amp;display_string=Audit"}</definedName>
    <definedName name="_3480__FDSAUDITLINK__" localSheetId="7" hidden="1">{"fdsup://Directions/FactSet Auditing Viewer?action=AUDIT_VALUE&amp;DB=129&amp;ID1=67000810&amp;VALUEID=02001&amp;SDATE=200701&amp;PERIODTYPE=QTR_STD&amp;SCFT=3&amp;window=popup_no_bar&amp;width=385&amp;height=120&amp;START_MAXIMIZED=FALSE&amp;creator=factset&amp;display_string=Audit"}</definedName>
    <definedName name="_3480__FDSAUDITLINK__" hidden="1">{"fdsup://Directions/FactSet Auditing Viewer?action=AUDIT_VALUE&amp;DB=129&amp;ID1=67000810&amp;VALUEID=02001&amp;SDATE=200701&amp;PERIODTYPE=QTR_STD&amp;SCFT=3&amp;window=popup_no_bar&amp;width=385&amp;height=120&amp;START_MAXIMIZED=FALSE&amp;creator=factset&amp;display_string=Audit"}</definedName>
    <definedName name="_3481__FDSAUDITLINK__" localSheetId="7" hidden="1">{"fdsup://Directions/FactSet Auditing Viewer?action=AUDIT_VALUE&amp;DB=129&amp;ID1=67000810&amp;VALUEID=02001&amp;SDATE=200603&amp;PERIODTYPE=QTR_STD&amp;SCFT=3&amp;window=popup_no_bar&amp;width=385&amp;height=120&amp;START_MAXIMIZED=FALSE&amp;creator=factset&amp;display_string=Audit"}</definedName>
    <definedName name="_3481__FDSAUDITLINK__" hidden="1">{"fdsup://Directions/FactSet Auditing Viewer?action=AUDIT_VALUE&amp;DB=129&amp;ID1=67000810&amp;VALUEID=02001&amp;SDATE=200603&amp;PERIODTYPE=QTR_STD&amp;SCFT=3&amp;window=popup_no_bar&amp;width=385&amp;height=120&amp;START_MAXIMIZED=FALSE&amp;creator=factset&amp;display_string=Audit"}</definedName>
    <definedName name="_3482__FDSAUDITLINK__" localSheetId="7" hidden="1">{"fdsup://Directions/FactSet Auditing Viewer?action=AUDIT_VALUE&amp;DB=129&amp;ID1=67000810&amp;VALUEID=02001&amp;SDATE=200603&amp;PERIODTYPE=QTR_STD&amp;SCFT=3&amp;window=popup_no_bar&amp;width=385&amp;height=120&amp;START_MAXIMIZED=FALSE&amp;creator=factset&amp;display_string=Audit"}</definedName>
    <definedName name="_3482__FDSAUDITLINK__" hidden="1">{"fdsup://Directions/FactSet Auditing Viewer?action=AUDIT_VALUE&amp;DB=129&amp;ID1=67000810&amp;VALUEID=02001&amp;SDATE=200603&amp;PERIODTYPE=QTR_STD&amp;SCFT=3&amp;window=popup_no_bar&amp;width=385&amp;height=120&amp;START_MAXIMIZED=FALSE&amp;creator=factset&amp;display_string=Audit"}</definedName>
    <definedName name="_3483__FDSAUDITLINK__" localSheetId="7" hidden="1">{"fdsup://Directions/FactSet Auditing Viewer?action=AUDIT_VALUE&amp;DB=129&amp;ID1=67000810&amp;VALUEID=02001&amp;SDATE=200602&amp;PERIODTYPE=QTR_STD&amp;SCFT=3&amp;window=popup_no_bar&amp;width=385&amp;height=120&amp;START_MAXIMIZED=FALSE&amp;creator=factset&amp;display_string=Audit"}</definedName>
    <definedName name="_3483__FDSAUDITLINK__" hidden="1">{"fdsup://Directions/FactSet Auditing Viewer?action=AUDIT_VALUE&amp;DB=129&amp;ID1=67000810&amp;VALUEID=02001&amp;SDATE=200602&amp;PERIODTYPE=QTR_STD&amp;SCFT=3&amp;window=popup_no_bar&amp;width=385&amp;height=120&amp;START_MAXIMIZED=FALSE&amp;creator=factset&amp;display_string=Audit"}</definedName>
    <definedName name="_3484__FDSAUDITLINK__" localSheetId="7" hidden="1">{"fdsup://Directions/FactSet Auditing Viewer?action=AUDIT_VALUE&amp;DB=129&amp;ID1=67000810&amp;VALUEID=02001&amp;SDATE=200602&amp;PERIODTYPE=QTR_STD&amp;SCFT=3&amp;window=popup_no_bar&amp;width=385&amp;height=120&amp;START_MAXIMIZED=FALSE&amp;creator=factset&amp;display_string=Audit"}</definedName>
    <definedName name="_3484__FDSAUDITLINK__" hidden="1">{"fdsup://Directions/FactSet Auditing Viewer?action=AUDIT_VALUE&amp;DB=129&amp;ID1=67000810&amp;VALUEID=02001&amp;SDATE=200602&amp;PERIODTYPE=QTR_STD&amp;SCFT=3&amp;window=popup_no_bar&amp;width=385&amp;height=120&amp;START_MAXIMIZED=FALSE&amp;creator=factset&amp;display_string=Audit"}</definedName>
    <definedName name="_3485__FDSAUDITLINK__" localSheetId="7" hidden="1">{"fdsup://Directions/FactSet Auditing Viewer?action=AUDIT_VALUE&amp;DB=129&amp;ID1=67000810&amp;VALUEID=02001&amp;SDATE=200601&amp;PERIODTYPE=QTR_STD&amp;SCFT=3&amp;window=popup_no_bar&amp;width=385&amp;height=120&amp;START_MAXIMIZED=FALSE&amp;creator=factset&amp;display_string=Audit"}</definedName>
    <definedName name="_3485__FDSAUDITLINK__" hidden="1">{"fdsup://Directions/FactSet Auditing Viewer?action=AUDIT_VALUE&amp;DB=129&amp;ID1=67000810&amp;VALUEID=02001&amp;SDATE=200601&amp;PERIODTYPE=QTR_STD&amp;SCFT=3&amp;window=popup_no_bar&amp;width=385&amp;height=120&amp;START_MAXIMIZED=FALSE&amp;creator=factset&amp;display_string=Audit"}</definedName>
    <definedName name="_3486__FDSAUDITLINK__" localSheetId="7" hidden="1">{"fdsup://Directions/FactSet Auditing Viewer?action=AUDIT_VALUE&amp;DB=129&amp;ID1=67000810&amp;VALUEID=02001&amp;SDATE=200601&amp;PERIODTYPE=QTR_STD&amp;SCFT=3&amp;window=popup_no_bar&amp;width=385&amp;height=120&amp;START_MAXIMIZED=FALSE&amp;creator=factset&amp;display_string=Audit"}</definedName>
    <definedName name="_3486__FDSAUDITLINK__" hidden="1">{"fdsup://Directions/FactSet Auditing Viewer?action=AUDIT_VALUE&amp;DB=129&amp;ID1=67000810&amp;VALUEID=02001&amp;SDATE=200601&amp;PERIODTYPE=QTR_STD&amp;SCFT=3&amp;window=popup_no_bar&amp;width=385&amp;height=120&amp;START_MAXIMIZED=FALSE&amp;creator=factset&amp;display_string=Audit"}</definedName>
    <definedName name="_3487__FDSAUDITLINK__" localSheetId="7" hidden="1">{"fdsup://Directions/FactSet Auditing Viewer?action=AUDIT_VALUE&amp;DB=129&amp;ID1=67000810&amp;VALUEID=02001&amp;SDATE=200503&amp;PERIODTYPE=QTR_STD&amp;SCFT=3&amp;window=popup_no_bar&amp;width=385&amp;height=120&amp;START_MAXIMIZED=FALSE&amp;creator=factset&amp;display_string=Audit"}</definedName>
    <definedName name="_3487__FDSAUDITLINK__" hidden="1">{"fdsup://Directions/FactSet Auditing Viewer?action=AUDIT_VALUE&amp;DB=129&amp;ID1=67000810&amp;VALUEID=02001&amp;SDATE=200503&amp;PERIODTYPE=QTR_STD&amp;SCFT=3&amp;window=popup_no_bar&amp;width=385&amp;height=120&amp;START_MAXIMIZED=FALSE&amp;creator=factset&amp;display_string=Audit"}</definedName>
    <definedName name="_3488__FDSAUDITLINK__" localSheetId="7" hidden="1">{"fdsup://Directions/FactSet Auditing Viewer?action=AUDIT_VALUE&amp;DB=129&amp;ID1=67000810&amp;VALUEID=02001&amp;SDATE=200503&amp;PERIODTYPE=QTR_STD&amp;SCFT=3&amp;window=popup_no_bar&amp;width=385&amp;height=120&amp;START_MAXIMIZED=FALSE&amp;creator=factset&amp;display_string=Audit"}</definedName>
    <definedName name="_3488__FDSAUDITLINK__" hidden="1">{"fdsup://Directions/FactSet Auditing Viewer?action=AUDIT_VALUE&amp;DB=129&amp;ID1=67000810&amp;VALUEID=02001&amp;SDATE=200503&amp;PERIODTYPE=QTR_STD&amp;SCFT=3&amp;window=popup_no_bar&amp;width=385&amp;height=120&amp;START_MAXIMIZED=FALSE&amp;creator=factset&amp;display_string=Audit"}</definedName>
    <definedName name="_3489__FDSAUDITLINK__" localSheetId="7" hidden="1">{"fdsup://Directions/FactSet Auditing Viewer?action=AUDIT_VALUE&amp;DB=129&amp;ID1=67000810&amp;VALUEID=02001&amp;SDATE=200502&amp;PERIODTYPE=QTR_STD&amp;SCFT=3&amp;window=popup_no_bar&amp;width=385&amp;height=120&amp;START_MAXIMIZED=FALSE&amp;creator=factset&amp;display_string=Audit"}</definedName>
    <definedName name="_3489__FDSAUDITLINK__" hidden="1">{"fdsup://Directions/FactSet Auditing Viewer?action=AUDIT_VALUE&amp;DB=129&amp;ID1=67000810&amp;VALUEID=02001&amp;SDATE=200502&amp;PERIODTYPE=QTR_STD&amp;SCFT=3&amp;window=popup_no_bar&amp;width=385&amp;height=120&amp;START_MAXIMIZED=FALSE&amp;creator=factset&amp;display_string=Audit"}</definedName>
    <definedName name="_349__FDSAUDITLINK__" localSheetId="7" hidden="1">{"fdsup://Directions/FactSet Auditing Viewer?action=AUDIT_VALUE&amp;DB=129&amp;ID1=67066G10&amp;VALUEID=02001&amp;SDATE=201003&amp;PERIODTYPE=QTR_STD&amp;SCFT=3&amp;window=popup_no_bar&amp;width=385&amp;height=120&amp;START_MAXIMIZED=FALSE&amp;creator=factset&amp;display_string=Audit"}</definedName>
    <definedName name="_349__FDSAUDITLINK__" hidden="1">{"fdsup://Directions/FactSet Auditing Viewer?action=AUDIT_VALUE&amp;DB=129&amp;ID1=67066G10&amp;VALUEID=02001&amp;SDATE=201003&amp;PERIODTYPE=QTR_STD&amp;SCFT=3&amp;window=popup_no_bar&amp;width=385&amp;height=120&amp;START_MAXIMIZED=FALSE&amp;creator=factset&amp;display_string=Audit"}</definedName>
    <definedName name="_3490__FDSAUDITLINK__" localSheetId="7" hidden="1">{"fdsup://Directions/FactSet Auditing Viewer?action=AUDIT_VALUE&amp;DB=129&amp;ID1=67000810&amp;VALUEID=02001&amp;SDATE=200502&amp;PERIODTYPE=QTR_STD&amp;SCFT=3&amp;window=popup_no_bar&amp;width=385&amp;height=120&amp;START_MAXIMIZED=FALSE&amp;creator=factset&amp;display_string=Audit"}</definedName>
    <definedName name="_3490__FDSAUDITLINK__" hidden="1">{"fdsup://Directions/FactSet Auditing Viewer?action=AUDIT_VALUE&amp;DB=129&amp;ID1=67000810&amp;VALUEID=02001&amp;SDATE=200502&amp;PERIODTYPE=QTR_STD&amp;SCFT=3&amp;window=popup_no_bar&amp;width=385&amp;height=120&amp;START_MAXIMIZED=FALSE&amp;creator=factset&amp;display_string=Audit"}</definedName>
    <definedName name="_3491__FDSAUDITLINK__" localSheetId="7" hidden="1">{"fdsup://Directions/FactSet Auditing Viewer?action=AUDIT_VALUE&amp;DB=129&amp;ID1=67000810&amp;VALUEID=02001&amp;SDATE=200501&amp;PERIODTYPE=QTR_STD&amp;SCFT=3&amp;window=popup_no_bar&amp;width=385&amp;height=120&amp;START_MAXIMIZED=FALSE&amp;creator=factset&amp;display_string=Audit"}</definedName>
    <definedName name="_3491__FDSAUDITLINK__" hidden="1">{"fdsup://Directions/FactSet Auditing Viewer?action=AUDIT_VALUE&amp;DB=129&amp;ID1=67000810&amp;VALUEID=02001&amp;SDATE=200501&amp;PERIODTYPE=QTR_STD&amp;SCFT=3&amp;window=popup_no_bar&amp;width=385&amp;height=120&amp;START_MAXIMIZED=FALSE&amp;creator=factset&amp;display_string=Audit"}</definedName>
    <definedName name="_3492__FDSAUDITLINK__" localSheetId="7" hidden="1">{"fdsup://Directions/FactSet Auditing Viewer?action=AUDIT_VALUE&amp;DB=129&amp;ID1=67000810&amp;VALUEID=02001&amp;SDATE=200501&amp;PERIODTYPE=QTR_STD&amp;SCFT=3&amp;window=popup_no_bar&amp;width=385&amp;height=120&amp;START_MAXIMIZED=FALSE&amp;creator=factset&amp;display_string=Audit"}</definedName>
    <definedName name="_3492__FDSAUDITLINK__" hidden="1">{"fdsup://Directions/FactSet Auditing Viewer?action=AUDIT_VALUE&amp;DB=129&amp;ID1=67000810&amp;VALUEID=02001&amp;SDATE=200501&amp;PERIODTYPE=QTR_STD&amp;SCFT=3&amp;window=popup_no_bar&amp;width=385&amp;height=120&amp;START_MAXIMIZED=FALSE&amp;creator=factset&amp;display_string=Audit"}</definedName>
    <definedName name="_3493__FDSAUDITLINK__" localSheetId="7" hidden="1">{"fdsup://Directions/FactSet Auditing Viewer?action=AUDIT_VALUE&amp;DB=129&amp;ID1=67000810&amp;VALUEID=02001&amp;SDATE=200403&amp;PERIODTYPE=QTR_STD&amp;SCFT=3&amp;window=popup_no_bar&amp;width=385&amp;height=120&amp;START_MAXIMIZED=FALSE&amp;creator=factset&amp;display_string=Audit"}</definedName>
    <definedName name="_3493__FDSAUDITLINK__" hidden="1">{"fdsup://Directions/FactSet Auditing Viewer?action=AUDIT_VALUE&amp;DB=129&amp;ID1=67000810&amp;VALUEID=02001&amp;SDATE=200403&amp;PERIODTYPE=QTR_STD&amp;SCFT=3&amp;window=popup_no_bar&amp;width=385&amp;height=120&amp;START_MAXIMIZED=FALSE&amp;creator=factset&amp;display_string=Audit"}</definedName>
    <definedName name="_3494__FDSAUDITLINK__" localSheetId="7" hidden="1">{"fdsup://Directions/FactSet Auditing Viewer?action=AUDIT_VALUE&amp;DB=129&amp;ID1=67000810&amp;VALUEID=02001&amp;SDATE=200403&amp;PERIODTYPE=QTR_STD&amp;SCFT=3&amp;window=popup_no_bar&amp;width=385&amp;height=120&amp;START_MAXIMIZED=FALSE&amp;creator=factset&amp;display_string=Audit"}</definedName>
    <definedName name="_3494__FDSAUDITLINK__" hidden="1">{"fdsup://Directions/FactSet Auditing Viewer?action=AUDIT_VALUE&amp;DB=129&amp;ID1=67000810&amp;VALUEID=02001&amp;SDATE=200403&amp;PERIODTYPE=QTR_STD&amp;SCFT=3&amp;window=popup_no_bar&amp;width=385&amp;height=120&amp;START_MAXIMIZED=FALSE&amp;creator=factset&amp;display_string=Audit"}</definedName>
    <definedName name="_3495__FDSAUDITLINK__" localSheetId="7" hidden="1">{"fdsup://Directions/FactSet Auditing Viewer?action=AUDIT_VALUE&amp;DB=129&amp;ID1=67000810&amp;VALUEID=02001&amp;SDATE=200402&amp;PERIODTYPE=QTR_STD&amp;SCFT=3&amp;window=popup_no_bar&amp;width=385&amp;height=120&amp;START_MAXIMIZED=FALSE&amp;creator=factset&amp;display_string=Audit"}</definedName>
    <definedName name="_3495__FDSAUDITLINK__" hidden="1">{"fdsup://Directions/FactSet Auditing Viewer?action=AUDIT_VALUE&amp;DB=129&amp;ID1=67000810&amp;VALUEID=02001&amp;SDATE=200402&amp;PERIODTYPE=QTR_STD&amp;SCFT=3&amp;window=popup_no_bar&amp;width=385&amp;height=120&amp;START_MAXIMIZED=FALSE&amp;creator=factset&amp;display_string=Audit"}</definedName>
    <definedName name="_3496__FDSAUDITLINK__" localSheetId="7" hidden="1">{"fdsup://Directions/FactSet Auditing Viewer?action=AUDIT_VALUE&amp;DB=129&amp;ID1=67000810&amp;VALUEID=02001&amp;SDATE=200402&amp;PERIODTYPE=QTR_STD&amp;SCFT=3&amp;window=popup_no_bar&amp;width=385&amp;height=120&amp;START_MAXIMIZED=FALSE&amp;creator=factset&amp;display_string=Audit"}</definedName>
    <definedName name="_3496__FDSAUDITLINK__" hidden="1">{"fdsup://Directions/FactSet Auditing Viewer?action=AUDIT_VALUE&amp;DB=129&amp;ID1=67000810&amp;VALUEID=02001&amp;SDATE=200402&amp;PERIODTYPE=QTR_STD&amp;SCFT=3&amp;window=popup_no_bar&amp;width=385&amp;height=120&amp;START_MAXIMIZED=FALSE&amp;creator=factset&amp;display_string=Audit"}</definedName>
    <definedName name="_3497__FDSAUDITLINK__" localSheetId="7" hidden="1">{"fdsup://Directions/FactSet Auditing Viewer?action=AUDIT_VALUE&amp;DB=129&amp;ID1=67000810&amp;VALUEID=02001&amp;SDATE=200401&amp;PERIODTYPE=QTR_STD&amp;SCFT=3&amp;window=popup_no_bar&amp;width=385&amp;height=120&amp;START_MAXIMIZED=FALSE&amp;creator=factset&amp;display_string=Audit"}</definedName>
    <definedName name="_3497__FDSAUDITLINK__" hidden="1">{"fdsup://Directions/FactSet Auditing Viewer?action=AUDIT_VALUE&amp;DB=129&amp;ID1=67000810&amp;VALUEID=02001&amp;SDATE=200401&amp;PERIODTYPE=QTR_STD&amp;SCFT=3&amp;window=popup_no_bar&amp;width=385&amp;height=120&amp;START_MAXIMIZED=FALSE&amp;creator=factset&amp;display_string=Audit"}</definedName>
    <definedName name="_3498__FDSAUDITLINK__" localSheetId="7" hidden="1">{"fdsup://Directions/FactSet Auditing Viewer?action=AUDIT_VALUE&amp;DB=129&amp;ID1=67000810&amp;VALUEID=02001&amp;SDATE=200401&amp;PERIODTYPE=QTR_STD&amp;SCFT=3&amp;window=popup_no_bar&amp;width=385&amp;height=120&amp;START_MAXIMIZED=FALSE&amp;creator=factset&amp;display_string=Audit"}</definedName>
    <definedName name="_3498__FDSAUDITLINK__" hidden="1">{"fdsup://Directions/FactSet Auditing Viewer?action=AUDIT_VALUE&amp;DB=129&amp;ID1=67000810&amp;VALUEID=02001&amp;SDATE=200401&amp;PERIODTYPE=QTR_STD&amp;SCFT=3&amp;window=popup_no_bar&amp;width=385&amp;height=120&amp;START_MAXIMIZED=FALSE&amp;creator=factset&amp;display_string=Audit"}</definedName>
    <definedName name="_3499__FDSAUDITLINK__" localSheetId="7" hidden="1">{"fdsup://Directions/FactSet Auditing Viewer?action=AUDIT_VALUE&amp;DB=129&amp;ID1=67066G10&amp;VALUEID=02001&amp;SDATE=200801&amp;PERIODTYPE=QTR_STD&amp;SCFT=3&amp;window=popup_no_bar&amp;width=385&amp;height=120&amp;START_MAXIMIZED=FALSE&amp;creator=factset&amp;display_string=Audit"}</definedName>
    <definedName name="_3499__FDSAUDITLINK__" hidden="1">{"fdsup://Directions/FactSet Auditing Viewer?action=AUDIT_VALUE&amp;DB=129&amp;ID1=67066G10&amp;VALUEID=02001&amp;SDATE=200801&amp;PERIODTYPE=QTR_STD&amp;SCFT=3&amp;window=popup_no_bar&amp;width=385&amp;height=120&amp;START_MAXIMIZED=FALSE&amp;creator=factset&amp;display_string=Audit"}</definedName>
    <definedName name="_35__FDSAUDITLINK__" localSheetId="7" hidden="1">{"fdsup://Directions/FactSet Auditing Viewer?action=AUDIT_VALUE&amp;DB=129&amp;ID1=75091710&amp;VALUEID=02001&amp;SDATE=201101&amp;PERIODTYPE=QTR_STD&amp;SCFT=3&amp;window=popup_no_bar&amp;width=385&amp;height=120&amp;START_MAXIMIZED=FALSE&amp;creator=factset&amp;display_string=Audit"}</definedName>
    <definedName name="_35__FDSAUDITLINK__" hidden="1">{"fdsup://Directions/FactSet Auditing Viewer?action=AUDIT_VALUE&amp;DB=129&amp;ID1=75091710&amp;VALUEID=02001&amp;SDATE=201101&amp;PERIODTYPE=QTR_STD&amp;SCFT=3&amp;window=popup_no_bar&amp;width=385&amp;height=120&amp;START_MAXIMIZED=FALSE&amp;creator=factset&amp;display_string=Audit"}</definedName>
    <definedName name="_350__FDSAUDITLINK__" localSheetId="7" hidden="1">{"fdsup://Directions/FactSet Auditing Viewer?action=AUDIT_VALUE&amp;DB=129&amp;ID1=67066G10&amp;VALUEID=02001&amp;SDATE=201003&amp;PERIODTYPE=QTR_STD&amp;SCFT=3&amp;window=popup_no_bar&amp;width=385&amp;height=120&amp;START_MAXIMIZED=FALSE&amp;creator=factset&amp;display_string=Audit"}</definedName>
    <definedName name="_350__FDSAUDITLINK__" hidden="1">{"fdsup://Directions/FactSet Auditing Viewer?action=AUDIT_VALUE&amp;DB=129&amp;ID1=67066G10&amp;VALUEID=02001&amp;SDATE=201003&amp;PERIODTYPE=QTR_STD&amp;SCFT=3&amp;window=popup_no_bar&amp;width=385&amp;height=120&amp;START_MAXIMIZED=FALSE&amp;creator=factset&amp;display_string=Audit"}</definedName>
    <definedName name="_3500__FDSAUDITLINK__" localSheetId="7" hidden="1">{"fdsup://Directions/FactSet Auditing Viewer?action=AUDIT_VALUE&amp;DB=129&amp;ID1=67066G10&amp;VALUEID=02001&amp;SDATE=200801&amp;PERIODTYPE=QTR_STD&amp;SCFT=3&amp;window=popup_no_bar&amp;width=385&amp;height=120&amp;START_MAXIMIZED=FALSE&amp;creator=factset&amp;display_string=Audit"}</definedName>
    <definedName name="_3500__FDSAUDITLINK__" hidden="1">{"fdsup://Directions/FactSet Auditing Viewer?action=AUDIT_VALUE&amp;DB=129&amp;ID1=67066G10&amp;VALUEID=02001&amp;SDATE=200801&amp;PERIODTYPE=QTR_STD&amp;SCFT=3&amp;window=popup_no_bar&amp;width=385&amp;height=120&amp;START_MAXIMIZED=FALSE&amp;creator=factset&amp;display_string=Audit"}</definedName>
    <definedName name="_3501__FDSAUDITLINK__" localSheetId="7" hidden="1">{"fdsup://Directions/FactSet Auditing Viewer?action=AUDIT_VALUE&amp;DB=129&amp;ID1=67066G10&amp;VALUEID=02001&amp;SDATE=200703&amp;PERIODTYPE=QTR_STD&amp;SCFT=3&amp;window=popup_no_bar&amp;width=385&amp;height=120&amp;START_MAXIMIZED=FALSE&amp;creator=factset&amp;display_string=Audit"}</definedName>
    <definedName name="_3501__FDSAUDITLINK__" hidden="1">{"fdsup://Directions/FactSet Auditing Viewer?action=AUDIT_VALUE&amp;DB=129&amp;ID1=67066G10&amp;VALUEID=02001&amp;SDATE=200703&amp;PERIODTYPE=QTR_STD&amp;SCFT=3&amp;window=popup_no_bar&amp;width=385&amp;height=120&amp;START_MAXIMIZED=FALSE&amp;creator=factset&amp;display_string=Audit"}</definedName>
    <definedName name="_3502__FDSAUDITLINK__" localSheetId="7" hidden="1">{"fdsup://Directions/FactSet Auditing Viewer?action=AUDIT_VALUE&amp;DB=129&amp;ID1=67066G10&amp;VALUEID=02001&amp;SDATE=200703&amp;PERIODTYPE=QTR_STD&amp;SCFT=3&amp;window=popup_no_bar&amp;width=385&amp;height=120&amp;START_MAXIMIZED=FALSE&amp;creator=factset&amp;display_string=Audit"}</definedName>
    <definedName name="_3502__FDSAUDITLINK__" hidden="1">{"fdsup://Directions/FactSet Auditing Viewer?action=AUDIT_VALUE&amp;DB=129&amp;ID1=67066G10&amp;VALUEID=02001&amp;SDATE=200703&amp;PERIODTYPE=QTR_STD&amp;SCFT=3&amp;window=popup_no_bar&amp;width=385&amp;height=120&amp;START_MAXIMIZED=FALSE&amp;creator=factset&amp;display_string=Audit"}</definedName>
    <definedName name="_3503__FDSAUDITLINK__" localSheetId="7" hidden="1">{"fdsup://Directions/FactSet Auditing Viewer?action=AUDIT_VALUE&amp;DB=129&amp;ID1=67066G10&amp;VALUEID=02001&amp;SDATE=200702&amp;PERIODTYPE=QTR_STD&amp;SCFT=3&amp;window=popup_no_bar&amp;width=385&amp;height=120&amp;START_MAXIMIZED=FALSE&amp;creator=factset&amp;display_string=Audit"}</definedName>
    <definedName name="_3503__FDSAUDITLINK__" hidden="1">{"fdsup://Directions/FactSet Auditing Viewer?action=AUDIT_VALUE&amp;DB=129&amp;ID1=67066G10&amp;VALUEID=02001&amp;SDATE=200702&amp;PERIODTYPE=QTR_STD&amp;SCFT=3&amp;window=popup_no_bar&amp;width=385&amp;height=120&amp;START_MAXIMIZED=FALSE&amp;creator=factset&amp;display_string=Audit"}</definedName>
    <definedName name="_3504__FDSAUDITLINK__" localSheetId="7" hidden="1">{"fdsup://Directions/FactSet Auditing Viewer?action=AUDIT_VALUE&amp;DB=129&amp;ID1=67066G10&amp;VALUEID=02001&amp;SDATE=200702&amp;PERIODTYPE=QTR_STD&amp;SCFT=3&amp;window=popup_no_bar&amp;width=385&amp;height=120&amp;START_MAXIMIZED=FALSE&amp;creator=factset&amp;display_string=Audit"}</definedName>
    <definedName name="_3504__FDSAUDITLINK__" hidden="1">{"fdsup://Directions/FactSet Auditing Viewer?action=AUDIT_VALUE&amp;DB=129&amp;ID1=67066G10&amp;VALUEID=02001&amp;SDATE=200702&amp;PERIODTYPE=QTR_STD&amp;SCFT=3&amp;window=popup_no_bar&amp;width=385&amp;height=120&amp;START_MAXIMIZED=FALSE&amp;creator=factset&amp;display_string=Audit"}</definedName>
    <definedName name="_3505__FDSAUDITLINK__" localSheetId="7" hidden="1">{"fdsup://Directions/FactSet Auditing Viewer?action=AUDIT_VALUE&amp;DB=129&amp;ID1=67066G10&amp;VALUEID=02001&amp;SDATE=200701&amp;PERIODTYPE=QTR_STD&amp;SCFT=3&amp;window=popup_no_bar&amp;width=385&amp;height=120&amp;START_MAXIMIZED=FALSE&amp;creator=factset&amp;display_string=Audit"}</definedName>
    <definedName name="_3505__FDSAUDITLINK__" hidden="1">{"fdsup://Directions/FactSet Auditing Viewer?action=AUDIT_VALUE&amp;DB=129&amp;ID1=67066G10&amp;VALUEID=02001&amp;SDATE=200701&amp;PERIODTYPE=QTR_STD&amp;SCFT=3&amp;window=popup_no_bar&amp;width=385&amp;height=120&amp;START_MAXIMIZED=FALSE&amp;creator=factset&amp;display_string=Audit"}</definedName>
    <definedName name="_3506__FDSAUDITLINK__" localSheetId="7" hidden="1">{"fdsup://Directions/FactSet Auditing Viewer?action=AUDIT_VALUE&amp;DB=129&amp;ID1=67066G10&amp;VALUEID=02001&amp;SDATE=200701&amp;PERIODTYPE=QTR_STD&amp;SCFT=3&amp;window=popup_no_bar&amp;width=385&amp;height=120&amp;START_MAXIMIZED=FALSE&amp;creator=factset&amp;display_string=Audit"}</definedName>
    <definedName name="_3506__FDSAUDITLINK__" hidden="1">{"fdsup://Directions/FactSet Auditing Viewer?action=AUDIT_VALUE&amp;DB=129&amp;ID1=67066G10&amp;VALUEID=02001&amp;SDATE=200701&amp;PERIODTYPE=QTR_STD&amp;SCFT=3&amp;window=popup_no_bar&amp;width=385&amp;height=120&amp;START_MAXIMIZED=FALSE&amp;creator=factset&amp;display_string=Audit"}</definedName>
    <definedName name="_3507__FDSAUDITLINK__" localSheetId="7" hidden="1">{"fdsup://Directions/FactSet Auditing Viewer?action=AUDIT_VALUE&amp;DB=129&amp;ID1=67066G10&amp;VALUEID=02001&amp;SDATE=200603&amp;PERIODTYPE=QTR_STD&amp;SCFT=3&amp;window=popup_no_bar&amp;width=385&amp;height=120&amp;START_MAXIMIZED=FALSE&amp;creator=factset&amp;display_string=Audit"}</definedName>
    <definedName name="_3507__FDSAUDITLINK__" hidden="1">{"fdsup://Directions/FactSet Auditing Viewer?action=AUDIT_VALUE&amp;DB=129&amp;ID1=67066G10&amp;VALUEID=02001&amp;SDATE=200603&amp;PERIODTYPE=QTR_STD&amp;SCFT=3&amp;window=popup_no_bar&amp;width=385&amp;height=120&amp;START_MAXIMIZED=FALSE&amp;creator=factset&amp;display_string=Audit"}</definedName>
    <definedName name="_3508__FDSAUDITLINK__" localSheetId="7" hidden="1">{"fdsup://Directions/FactSet Auditing Viewer?action=AUDIT_VALUE&amp;DB=129&amp;ID1=67066G10&amp;VALUEID=02001&amp;SDATE=200603&amp;PERIODTYPE=QTR_STD&amp;SCFT=3&amp;window=popup_no_bar&amp;width=385&amp;height=120&amp;START_MAXIMIZED=FALSE&amp;creator=factset&amp;display_string=Audit"}</definedName>
    <definedName name="_3508__FDSAUDITLINK__" hidden="1">{"fdsup://Directions/FactSet Auditing Viewer?action=AUDIT_VALUE&amp;DB=129&amp;ID1=67066G10&amp;VALUEID=02001&amp;SDATE=200603&amp;PERIODTYPE=QTR_STD&amp;SCFT=3&amp;window=popup_no_bar&amp;width=385&amp;height=120&amp;START_MAXIMIZED=FALSE&amp;creator=factset&amp;display_string=Audit"}</definedName>
    <definedName name="_3509__FDSAUDITLINK__" localSheetId="7" hidden="1">{"fdsup://Directions/FactSet Auditing Viewer?action=AUDIT_VALUE&amp;DB=129&amp;ID1=67066G10&amp;VALUEID=02001&amp;SDATE=200602&amp;PERIODTYPE=QTR_STD&amp;SCFT=3&amp;window=popup_no_bar&amp;width=385&amp;height=120&amp;START_MAXIMIZED=FALSE&amp;creator=factset&amp;display_string=Audit"}</definedName>
    <definedName name="_3509__FDSAUDITLINK__" hidden="1">{"fdsup://Directions/FactSet Auditing Viewer?action=AUDIT_VALUE&amp;DB=129&amp;ID1=67066G10&amp;VALUEID=02001&amp;SDATE=200602&amp;PERIODTYPE=QTR_STD&amp;SCFT=3&amp;window=popup_no_bar&amp;width=385&amp;height=120&amp;START_MAXIMIZED=FALSE&amp;creator=factset&amp;display_string=Audit"}</definedName>
    <definedName name="_351__FDSAUDITLINK__" localSheetId="7" hidden="1">{"fdsup://Directions/FactSet Auditing Viewer?action=AUDIT_VALUE&amp;DB=129&amp;ID1=63764010&amp;VALUEID=02001&amp;SDATE=201001&amp;PERIODTYPE=QTR_STD&amp;SCFT=3&amp;window=popup_no_bar&amp;width=385&amp;height=120&amp;START_MAXIMIZED=FALSE&amp;creator=factset&amp;display_string=Audit"}</definedName>
    <definedName name="_351__FDSAUDITLINK__" hidden="1">{"fdsup://Directions/FactSet Auditing Viewer?action=AUDIT_VALUE&amp;DB=129&amp;ID1=63764010&amp;VALUEID=02001&amp;SDATE=201001&amp;PERIODTYPE=QTR_STD&amp;SCFT=3&amp;window=popup_no_bar&amp;width=385&amp;height=120&amp;START_MAXIMIZED=FALSE&amp;creator=factset&amp;display_string=Audit"}</definedName>
    <definedName name="_3510__FDSAUDITLINK__" localSheetId="7" hidden="1">{"fdsup://Directions/FactSet Auditing Viewer?action=AUDIT_VALUE&amp;DB=129&amp;ID1=67066G10&amp;VALUEID=02001&amp;SDATE=200602&amp;PERIODTYPE=QTR_STD&amp;SCFT=3&amp;window=popup_no_bar&amp;width=385&amp;height=120&amp;START_MAXIMIZED=FALSE&amp;creator=factset&amp;display_string=Audit"}</definedName>
    <definedName name="_3510__FDSAUDITLINK__" hidden="1">{"fdsup://Directions/FactSet Auditing Viewer?action=AUDIT_VALUE&amp;DB=129&amp;ID1=67066G10&amp;VALUEID=02001&amp;SDATE=200602&amp;PERIODTYPE=QTR_STD&amp;SCFT=3&amp;window=popup_no_bar&amp;width=385&amp;height=120&amp;START_MAXIMIZED=FALSE&amp;creator=factset&amp;display_string=Audit"}</definedName>
    <definedName name="_3511__FDSAUDITLINK__" localSheetId="7" hidden="1">{"fdsup://Directions/FactSet Auditing Viewer?action=AUDIT_VALUE&amp;DB=129&amp;ID1=67066G10&amp;VALUEID=02001&amp;SDATE=200601&amp;PERIODTYPE=QTR_STD&amp;SCFT=3&amp;window=popup_no_bar&amp;width=385&amp;height=120&amp;START_MAXIMIZED=FALSE&amp;creator=factset&amp;display_string=Audit"}</definedName>
    <definedName name="_3511__FDSAUDITLINK__" hidden="1">{"fdsup://Directions/FactSet Auditing Viewer?action=AUDIT_VALUE&amp;DB=129&amp;ID1=67066G10&amp;VALUEID=02001&amp;SDATE=200601&amp;PERIODTYPE=QTR_STD&amp;SCFT=3&amp;window=popup_no_bar&amp;width=385&amp;height=120&amp;START_MAXIMIZED=FALSE&amp;creator=factset&amp;display_string=Audit"}</definedName>
    <definedName name="_3512__FDSAUDITLINK__" localSheetId="7" hidden="1">{"fdsup://Directions/FactSet Auditing Viewer?action=AUDIT_VALUE&amp;DB=129&amp;ID1=67066G10&amp;VALUEID=02001&amp;SDATE=200601&amp;PERIODTYPE=QTR_STD&amp;SCFT=3&amp;window=popup_no_bar&amp;width=385&amp;height=120&amp;START_MAXIMIZED=FALSE&amp;creator=factset&amp;display_string=Audit"}</definedName>
    <definedName name="_3512__FDSAUDITLINK__" hidden="1">{"fdsup://Directions/FactSet Auditing Viewer?action=AUDIT_VALUE&amp;DB=129&amp;ID1=67066G10&amp;VALUEID=02001&amp;SDATE=200601&amp;PERIODTYPE=QTR_STD&amp;SCFT=3&amp;window=popup_no_bar&amp;width=385&amp;height=120&amp;START_MAXIMIZED=FALSE&amp;creator=factset&amp;display_string=Audit"}</definedName>
    <definedName name="_3513__FDSAUDITLINK__" localSheetId="7" hidden="1">{"fdsup://Directions/FactSet Auditing Viewer?action=AUDIT_VALUE&amp;DB=129&amp;ID1=67066G10&amp;VALUEID=02001&amp;SDATE=200503&amp;PERIODTYPE=QTR_STD&amp;SCFT=3&amp;window=popup_no_bar&amp;width=385&amp;height=120&amp;START_MAXIMIZED=FALSE&amp;creator=factset&amp;display_string=Audit"}</definedName>
    <definedName name="_3513__FDSAUDITLINK__" hidden="1">{"fdsup://Directions/FactSet Auditing Viewer?action=AUDIT_VALUE&amp;DB=129&amp;ID1=67066G10&amp;VALUEID=02001&amp;SDATE=200503&amp;PERIODTYPE=QTR_STD&amp;SCFT=3&amp;window=popup_no_bar&amp;width=385&amp;height=120&amp;START_MAXIMIZED=FALSE&amp;creator=factset&amp;display_string=Audit"}</definedName>
    <definedName name="_3514__FDSAUDITLINK__" localSheetId="7" hidden="1">{"fdsup://Directions/FactSet Auditing Viewer?action=AUDIT_VALUE&amp;DB=129&amp;ID1=67066G10&amp;VALUEID=02001&amp;SDATE=200503&amp;PERIODTYPE=QTR_STD&amp;SCFT=3&amp;window=popup_no_bar&amp;width=385&amp;height=120&amp;START_MAXIMIZED=FALSE&amp;creator=factset&amp;display_string=Audit"}</definedName>
    <definedName name="_3514__FDSAUDITLINK__" hidden="1">{"fdsup://Directions/FactSet Auditing Viewer?action=AUDIT_VALUE&amp;DB=129&amp;ID1=67066G10&amp;VALUEID=02001&amp;SDATE=200503&amp;PERIODTYPE=QTR_STD&amp;SCFT=3&amp;window=popup_no_bar&amp;width=385&amp;height=120&amp;START_MAXIMIZED=FALSE&amp;creator=factset&amp;display_string=Audit"}</definedName>
    <definedName name="_3515__FDSAUDITLINK__" localSheetId="7" hidden="1">{"fdsup://Directions/FactSet Auditing Viewer?action=AUDIT_VALUE&amp;DB=129&amp;ID1=67066G10&amp;VALUEID=02001&amp;SDATE=200502&amp;PERIODTYPE=QTR_STD&amp;SCFT=3&amp;window=popup_no_bar&amp;width=385&amp;height=120&amp;START_MAXIMIZED=FALSE&amp;creator=factset&amp;display_string=Audit"}</definedName>
    <definedName name="_3515__FDSAUDITLINK__" hidden="1">{"fdsup://Directions/FactSet Auditing Viewer?action=AUDIT_VALUE&amp;DB=129&amp;ID1=67066G10&amp;VALUEID=02001&amp;SDATE=200502&amp;PERIODTYPE=QTR_STD&amp;SCFT=3&amp;window=popup_no_bar&amp;width=385&amp;height=120&amp;START_MAXIMIZED=FALSE&amp;creator=factset&amp;display_string=Audit"}</definedName>
    <definedName name="_3516__FDSAUDITLINK__" localSheetId="7" hidden="1">{"fdsup://Directions/FactSet Auditing Viewer?action=AUDIT_VALUE&amp;DB=129&amp;ID1=67066G10&amp;VALUEID=02001&amp;SDATE=200502&amp;PERIODTYPE=QTR_STD&amp;SCFT=3&amp;window=popup_no_bar&amp;width=385&amp;height=120&amp;START_MAXIMIZED=FALSE&amp;creator=factset&amp;display_string=Audit"}</definedName>
    <definedName name="_3516__FDSAUDITLINK__" hidden="1">{"fdsup://Directions/FactSet Auditing Viewer?action=AUDIT_VALUE&amp;DB=129&amp;ID1=67066G10&amp;VALUEID=02001&amp;SDATE=200502&amp;PERIODTYPE=QTR_STD&amp;SCFT=3&amp;window=popup_no_bar&amp;width=385&amp;height=120&amp;START_MAXIMIZED=FALSE&amp;creator=factset&amp;display_string=Audit"}</definedName>
    <definedName name="_3517__FDSAUDITLINK__" localSheetId="7" hidden="1">{"fdsup://Directions/FactSet Auditing Viewer?action=AUDIT_VALUE&amp;DB=129&amp;ID1=67066G10&amp;VALUEID=02001&amp;SDATE=200501&amp;PERIODTYPE=QTR_STD&amp;SCFT=3&amp;window=popup_no_bar&amp;width=385&amp;height=120&amp;START_MAXIMIZED=FALSE&amp;creator=factset&amp;display_string=Audit"}</definedName>
    <definedName name="_3517__FDSAUDITLINK__" hidden="1">{"fdsup://Directions/FactSet Auditing Viewer?action=AUDIT_VALUE&amp;DB=129&amp;ID1=67066G10&amp;VALUEID=02001&amp;SDATE=200501&amp;PERIODTYPE=QTR_STD&amp;SCFT=3&amp;window=popup_no_bar&amp;width=385&amp;height=120&amp;START_MAXIMIZED=FALSE&amp;creator=factset&amp;display_string=Audit"}</definedName>
    <definedName name="_3518__FDSAUDITLINK__" localSheetId="7" hidden="1">{"fdsup://Directions/FactSet Auditing Viewer?action=AUDIT_VALUE&amp;DB=129&amp;ID1=67066G10&amp;VALUEID=02001&amp;SDATE=200501&amp;PERIODTYPE=QTR_STD&amp;SCFT=3&amp;window=popup_no_bar&amp;width=385&amp;height=120&amp;START_MAXIMIZED=FALSE&amp;creator=factset&amp;display_string=Audit"}</definedName>
    <definedName name="_3518__FDSAUDITLINK__" hidden="1">{"fdsup://Directions/FactSet Auditing Viewer?action=AUDIT_VALUE&amp;DB=129&amp;ID1=67066G10&amp;VALUEID=02001&amp;SDATE=200501&amp;PERIODTYPE=QTR_STD&amp;SCFT=3&amp;window=popup_no_bar&amp;width=385&amp;height=120&amp;START_MAXIMIZED=FALSE&amp;creator=factset&amp;display_string=Audit"}</definedName>
    <definedName name="_3519__FDSAUDITLINK__" localSheetId="7" hidden="1">{"fdsup://Directions/FactSet Auditing Viewer?action=AUDIT_VALUE&amp;DB=129&amp;ID1=67066G10&amp;VALUEID=02001&amp;SDATE=200403&amp;PERIODTYPE=QTR_STD&amp;SCFT=3&amp;window=popup_no_bar&amp;width=385&amp;height=120&amp;START_MAXIMIZED=FALSE&amp;creator=factset&amp;display_string=Audit"}</definedName>
    <definedName name="_3519__FDSAUDITLINK__" hidden="1">{"fdsup://Directions/FactSet Auditing Viewer?action=AUDIT_VALUE&amp;DB=129&amp;ID1=67066G10&amp;VALUEID=02001&amp;SDATE=200403&amp;PERIODTYPE=QTR_STD&amp;SCFT=3&amp;window=popup_no_bar&amp;width=385&amp;height=120&amp;START_MAXIMIZED=FALSE&amp;creator=factset&amp;display_string=Audit"}</definedName>
    <definedName name="_352__FDSAUDITLINK__" localSheetId="7" hidden="1">{"fdsup://Directions/FactSet Auditing Viewer?action=AUDIT_VALUE&amp;DB=129&amp;ID1=63764010&amp;VALUEID=02001&amp;SDATE=201001&amp;PERIODTYPE=QTR_STD&amp;SCFT=3&amp;window=popup_no_bar&amp;width=385&amp;height=120&amp;START_MAXIMIZED=FALSE&amp;creator=factset&amp;display_string=Audit"}</definedName>
    <definedName name="_352__FDSAUDITLINK__" hidden="1">{"fdsup://Directions/FactSet Auditing Viewer?action=AUDIT_VALUE&amp;DB=129&amp;ID1=63764010&amp;VALUEID=02001&amp;SDATE=201001&amp;PERIODTYPE=QTR_STD&amp;SCFT=3&amp;window=popup_no_bar&amp;width=385&amp;height=120&amp;START_MAXIMIZED=FALSE&amp;creator=factset&amp;display_string=Audit"}</definedName>
    <definedName name="_3520__FDSAUDITLINK__" localSheetId="7" hidden="1">{"fdsup://Directions/FactSet Auditing Viewer?action=AUDIT_VALUE&amp;DB=129&amp;ID1=67066G10&amp;VALUEID=02001&amp;SDATE=200403&amp;PERIODTYPE=QTR_STD&amp;SCFT=3&amp;window=popup_no_bar&amp;width=385&amp;height=120&amp;START_MAXIMIZED=FALSE&amp;creator=factset&amp;display_string=Audit"}</definedName>
    <definedName name="_3520__FDSAUDITLINK__" hidden="1">{"fdsup://Directions/FactSet Auditing Viewer?action=AUDIT_VALUE&amp;DB=129&amp;ID1=67066G10&amp;VALUEID=02001&amp;SDATE=200403&amp;PERIODTYPE=QTR_STD&amp;SCFT=3&amp;window=popup_no_bar&amp;width=385&amp;height=120&amp;START_MAXIMIZED=FALSE&amp;creator=factset&amp;display_string=Audit"}</definedName>
    <definedName name="_3521__FDSAUDITLINK__" localSheetId="7" hidden="1">{"fdsup://Directions/FactSet Auditing Viewer?action=AUDIT_VALUE&amp;DB=129&amp;ID1=67066G10&amp;VALUEID=02001&amp;SDATE=200402&amp;PERIODTYPE=QTR_STD&amp;SCFT=3&amp;window=popup_no_bar&amp;width=385&amp;height=120&amp;START_MAXIMIZED=FALSE&amp;creator=factset&amp;display_string=Audit"}</definedName>
    <definedName name="_3521__FDSAUDITLINK__" hidden="1">{"fdsup://Directions/FactSet Auditing Viewer?action=AUDIT_VALUE&amp;DB=129&amp;ID1=67066G10&amp;VALUEID=02001&amp;SDATE=200402&amp;PERIODTYPE=QTR_STD&amp;SCFT=3&amp;window=popup_no_bar&amp;width=385&amp;height=120&amp;START_MAXIMIZED=FALSE&amp;creator=factset&amp;display_string=Audit"}</definedName>
    <definedName name="_3522__FDSAUDITLINK__" localSheetId="7" hidden="1">{"fdsup://Directions/FactSet Auditing Viewer?action=AUDIT_VALUE&amp;DB=129&amp;ID1=67066G10&amp;VALUEID=02001&amp;SDATE=200402&amp;PERIODTYPE=QTR_STD&amp;SCFT=3&amp;window=popup_no_bar&amp;width=385&amp;height=120&amp;START_MAXIMIZED=FALSE&amp;creator=factset&amp;display_string=Audit"}</definedName>
    <definedName name="_3522__FDSAUDITLINK__" hidden="1">{"fdsup://Directions/FactSet Auditing Viewer?action=AUDIT_VALUE&amp;DB=129&amp;ID1=67066G10&amp;VALUEID=02001&amp;SDATE=200402&amp;PERIODTYPE=QTR_STD&amp;SCFT=3&amp;window=popup_no_bar&amp;width=385&amp;height=120&amp;START_MAXIMIZED=FALSE&amp;creator=factset&amp;display_string=Audit"}</definedName>
    <definedName name="_3523__FDSAUDITLINK__" localSheetId="7" hidden="1">{"fdsup://Directions/FactSet Auditing Viewer?action=AUDIT_VALUE&amp;DB=129&amp;ID1=67066G10&amp;VALUEID=02001&amp;SDATE=200401&amp;PERIODTYPE=QTR_STD&amp;SCFT=3&amp;window=popup_no_bar&amp;width=385&amp;height=120&amp;START_MAXIMIZED=FALSE&amp;creator=factset&amp;display_string=Audit"}</definedName>
    <definedName name="_3523__FDSAUDITLINK__" hidden="1">{"fdsup://Directions/FactSet Auditing Viewer?action=AUDIT_VALUE&amp;DB=129&amp;ID1=67066G10&amp;VALUEID=02001&amp;SDATE=200401&amp;PERIODTYPE=QTR_STD&amp;SCFT=3&amp;window=popup_no_bar&amp;width=385&amp;height=120&amp;START_MAXIMIZED=FALSE&amp;creator=factset&amp;display_string=Audit"}</definedName>
    <definedName name="_3524__FDSAUDITLINK__" localSheetId="7" hidden="1">{"fdsup://Directions/FactSet Auditing Viewer?action=AUDIT_VALUE&amp;DB=129&amp;ID1=67066G10&amp;VALUEID=02001&amp;SDATE=200401&amp;PERIODTYPE=QTR_STD&amp;SCFT=3&amp;window=popup_no_bar&amp;width=385&amp;height=120&amp;START_MAXIMIZED=FALSE&amp;creator=factset&amp;display_string=Audit"}</definedName>
    <definedName name="_3524__FDSAUDITLINK__" hidden="1">{"fdsup://Directions/FactSet Auditing Viewer?action=AUDIT_VALUE&amp;DB=129&amp;ID1=67066G10&amp;VALUEID=02001&amp;SDATE=200401&amp;PERIODTYPE=QTR_STD&amp;SCFT=3&amp;window=popup_no_bar&amp;width=385&amp;height=120&amp;START_MAXIMIZED=FALSE&amp;creator=factset&amp;display_string=Audit"}</definedName>
    <definedName name="_3525__FDSAUDITLINK__" localSheetId="7" hidden="1">{"fdsup://Directions/FactSet Auditing Viewer?action=AUDIT_VALUE&amp;DB=129&amp;ID1=63764010&amp;VALUEID=02001&amp;SDATE=200703&amp;PERIODTYPE=QTR_STD&amp;SCFT=3&amp;window=popup_no_bar&amp;width=385&amp;height=120&amp;START_MAXIMIZED=FALSE&amp;creator=factset&amp;display_string=Audit"}</definedName>
    <definedName name="_3525__FDSAUDITLINK__" hidden="1">{"fdsup://Directions/FactSet Auditing Viewer?action=AUDIT_VALUE&amp;DB=129&amp;ID1=63764010&amp;VALUEID=02001&amp;SDATE=200703&amp;PERIODTYPE=QTR_STD&amp;SCFT=3&amp;window=popup_no_bar&amp;width=385&amp;height=120&amp;START_MAXIMIZED=FALSE&amp;creator=factset&amp;display_string=Audit"}</definedName>
    <definedName name="_3526__FDSAUDITLINK__" localSheetId="7" hidden="1">{"fdsup://Directions/FactSet Auditing Viewer?action=AUDIT_VALUE&amp;DB=129&amp;ID1=63764010&amp;VALUEID=02001&amp;SDATE=200703&amp;PERIODTYPE=QTR_STD&amp;SCFT=3&amp;window=popup_no_bar&amp;width=385&amp;height=120&amp;START_MAXIMIZED=FALSE&amp;creator=factset&amp;display_string=Audit"}</definedName>
    <definedName name="_3526__FDSAUDITLINK__" hidden="1">{"fdsup://Directions/FactSet Auditing Viewer?action=AUDIT_VALUE&amp;DB=129&amp;ID1=63764010&amp;VALUEID=02001&amp;SDATE=200703&amp;PERIODTYPE=QTR_STD&amp;SCFT=3&amp;window=popup_no_bar&amp;width=385&amp;height=120&amp;START_MAXIMIZED=FALSE&amp;creator=factset&amp;display_string=Audit"}</definedName>
    <definedName name="_3527__FDSAUDITLINK__" localSheetId="7" hidden="1">{"fdsup://Directions/FactSet Auditing Viewer?action=AUDIT_VALUE&amp;DB=129&amp;ID1=63764010&amp;VALUEID=02001&amp;SDATE=200702&amp;PERIODTYPE=QTR_STD&amp;SCFT=3&amp;window=popup_no_bar&amp;width=385&amp;height=120&amp;START_MAXIMIZED=FALSE&amp;creator=factset&amp;display_string=Audit"}</definedName>
    <definedName name="_3527__FDSAUDITLINK__" hidden="1">{"fdsup://Directions/FactSet Auditing Viewer?action=AUDIT_VALUE&amp;DB=129&amp;ID1=63764010&amp;VALUEID=02001&amp;SDATE=200702&amp;PERIODTYPE=QTR_STD&amp;SCFT=3&amp;window=popup_no_bar&amp;width=385&amp;height=120&amp;START_MAXIMIZED=FALSE&amp;creator=factset&amp;display_string=Audit"}</definedName>
    <definedName name="_3528__FDSAUDITLINK__" localSheetId="7" hidden="1">{"fdsup://Directions/FactSet Auditing Viewer?action=AUDIT_VALUE&amp;DB=129&amp;ID1=63764010&amp;VALUEID=02001&amp;SDATE=200702&amp;PERIODTYPE=QTR_STD&amp;SCFT=3&amp;window=popup_no_bar&amp;width=385&amp;height=120&amp;START_MAXIMIZED=FALSE&amp;creator=factset&amp;display_string=Audit"}</definedName>
    <definedName name="_3528__FDSAUDITLINK__" hidden="1">{"fdsup://Directions/FactSet Auditing Viewer?action=AUDIT_VALUE&amp;DB=129&amp;ID1=63764010&amp;VALUEID=02001&amp;SDATE=200702&amp;PERIODTYPE=QTR_STD&amp;SCFT=3&amp;window=popup_no_bar&amp;width=385&amp;height=120&amp;START_MAXIMIZED=FALSE&amp;creator=factset&amp;display_string=Audit"}</definedName>
    <definedName name="_3529__FDSAUDITLINK__" localSheetId="7" hidden="1">{"fdsup://Directions/FactSet Auditing Viewer?action=AUDIT_VALUE&amp;DB=129&amp;ID1=63764010&amp;VALUEID=02001&amp;SDATE=200701&amp;PERIODTYPE=QTR_STD&amp;SCFT=3&amp;window=popup_no_bar&amp;width=385&amp;height=120&amp;START_MAXIMIZED=FALSE&amp;creator=factset&amp;display_string=Audit"}</definedName>
    <definedName name="_3529__FDSAUDITLINK__" hidden="1">{"fdsup://Directions/FactSet Auditing Viewer?action=AUDIT_VALUE&amp;DB=129&amp;ID1=63764010&amp;VALUEID=02001&amp;SDATE=200701&amp;PERIODTYPE=QTR_STD&amp;SCFT=3&amp;window=popup_no_bar&amp;width=385&amp;height=120&amp;START_MAXIMIZED=FALSE&amp;creator=factset&amp;display_string=Audit"}</definedName>
    <definedName name="_353__FDSAUDITLINK__" localSheetId="7" hidden="1">{"fdsup://Directions/FactSet Auditing Viewer?action=AUDIT_VALUE&amp;DB=129&amp;ID1=64118B10&amp;VALUEID=02001&amp;SDATE=201003&amp;PERIODTYPE=QTR_STD&amp;SCFT=3&amp;window=popup_no_bar&amp;width=385&amp;height=120&amp;START_MAXIMIZED=FALSE&amp;creator=factset&amp;display_string=Audit"}</definedName>
    <definedName name="_353__FDSAUDITLINK__" hidden="1">{"fdsup://Directions/FactSet Auditing Viewer?action=AUDIT_VALUE&amp;DB=129&amp;ID1=64118B10&amp;VALUEID=02001&amp;SDATE=201003&amp;PERIODTYPE=QTR_STD&amp;SCFT=3&amp;window=popup_no_bar&amp;width=385&amp;height=120&amp;START_MAXIMIZED=FALSE&amp;creator=factset&amp;display_string=Audit"}</definedName>
    <definedName name="_3530__FDSAUDITLINK__" localSheetId="7" hidden="1">{"fdsup://Directions/FactSet Auditing Viewer?action=AUDIT_VALUE&amp;DB=129&amp;ID1=63764010&amp;VALUEID=02001&amp;SDATE=200701&amp;PERIODTYPE=QTR_STD&amp;SCFT=3&amp;window=popup_no_bar&amp;width=385&amp;height=120&amp;START_MAXIMIZED=FALSE&amp;creator=factset&amp;display_string=Audit"}</definedName>
    <definedName name="_3530__FDSAUDITLINK__" hidden="1">{"fdsup://Directions/FactSet Auditing Viewer?action=AUDIT_VALUE&amp;DB=129&amp;ID1=63764010&amp;VALUEID=02001&amp;SDATE=200701&amp;PERIODTYPE=QTR_STD&amp;SCFT=3&amp;window=popup_no_bar&amp;width=385&amp;height=120&amp;START_MAXIMIZED=FALSE&amp;creator=factset&amp;display_string=Audit"}</definedName>
    <definedName name="_3531__FDSAUDITLINK__" localSheetId="7" hidden="1">{"fdsup://Directions/FactSet Auditing Viewer?action=AUDIT_VALUE&amp;DB=129&amp;ID1=63764010&amp;VALUEID=02001&amp;SDATE=200603&amp;PERIODTYPE=QTR_STD&amp;SCFT=3&amp;window=popup_no_bar&amp;width=385&amp;height=120&amp;START_MAXIMIZED=FALSE&amp;creator=factset&amp;display_string=Audit"}</definedName>
    <definedName name="_3531__FDSAUDITLINK__" hidden="1">{"fdsup://Directions/FactSet Auditing Viewer?action=AUDIT_VALUE&amp;DB=129&amp;ID1=63764010&amp;VALUEID=02001&amp;SDATE=200603&amp;PERIODTYPE=QTR_STD&amp;SCFT=3&amp;window=popup_no_bar&amp;width=385&amp;height=120&amp;START_MAXIMIZED=FALSE&amp;creator=factset&amp;display_string=Audit"}</definedName>
    <definedName name="_3532__FDSAUDITLINK__" localSheetId="7" hidden="1">{"fdsup://Directions/FactSet Auditing Viewer?action=AUDIT_VALUE&amp;DB=129&amp;ID1=63764010&amp;VALUEID=02001&amp;SDATE=200603&amp;PERIODTYPE=QTR_STD&amp;SCFT=3&amp;window=popup_no_bar&amp;width=385&amp;height=120&amp;START_MAXIMIZED=FALSE&amp;creator=factset&amp;display_string=Audit"}</definedName>
    <definedName name="_3532__FDSAUDITLINK__" hidden="1">{"fdsup://Directions/FactSet Auditing Viewer?action=AUDIT_VALUE&amp;DB=129&amp;ID1=63764010&amp;VALUEID=02001&amp;SDATE=200603&amp;PERIODTYPE=QTR_STD&amp;SCFT=3&amp;window=popup_no_bar&amp;width=385&amp;height=120&amp;START_MAXIMIZED=FALSE&amp;creator=factset&amp;display_string=Audit"}</definedName>
    <definedName name="_3533__FDSAUDITLINK__" localSheetId="7" hidden="1">{"fdsup://Directions/FactSet Auditing Viewer?action=AUDIT_VALUE&amp;DB=129&amp;ID1=63764010&amp;VALUEID=02001&amp;SDATE=200602&amp;PERIODTYPE=QTR_STD&amp;SCFT=3&amp;window=popup_no_bar&amp;width=385&amp;height=120&amp;START_MAXIMIZED=FALSE&amp;creator=factset&amp;display_string=Audit"}</definedName>
    <definedName name="_3533__FDSAUDITLINK__" hidden="1">{"fdsup://Directions/FactSet Auditing Viewer?action=AUDIT_VALUE&amp;DB=129&amp;ID1=63764010&amp;VALUEID=02001&amp;SDATE=200602&amp;PERIODTYPE=QTR_STD&amp;SCFT=3&amp;window=popup_no_bar&amp;width=385&amp;height=120&amp;START_MAXIMIZED=FALSE&amp;creator=factset&amp;display_string=Audit"}</definedName>
    <definedName name="_3534__FDSAUDITLINK__" localSheetId="7" hidden="1">{"fdsup://Directions/FactSet Auditing Viewer?action=AUDIT_VALUE&amp;DB=129&amp;ID1=63764010&amp;VALUEID=02001&amp;SDATE=200602&amp;PERIODTYPE=QTR_STD&amp;SCFT=3&amp;window=popup_no_bar&amp;width=385&amp;height=120&amp;START_MAXIMIZED=FALSE&amp;creator=factset&amp;display_string=Audit"}</definedName>
    <definedName name="_3534__FDSAUDITLINK__" hidden="1">{"fdsup://Directions/FactSet Auditing Viewer?action=AUDIT_VALUE&amp;DB=129&amp;ID1=63764010&amp;VALUEID=02001&amp;SDATE=200602&amp;PERIODTYPE=QTR_STD&amp;SCFT=3&amp;window=popup_no_bar&amp;width=385&amp;height=120&amp;START_MAXIMIZED=FALSE&amp;creator=factset&amp;display_string=Audit"}</definedName>
    <definedName name="_3535__FDSAUDITLINK__" localSheetId="7" hidden="1">{"fdsup://Directions/FactSet Auditing Viewer?action=AUDIT_VALUE&amp;DB=129&amp;ID1=63764010&amp;VALUEID=02001&amp;SDATE=200601&amp;PERIODTYPE=QTR_STD&amp;SCFT=3&amp;window=popup_no_bar&amp;width=385&amp;height=120&amp;START_MAXIMIZED=FALSE&amp;creator=factset&amp;display_string=Audit"}</definedName>
    <definedName name="_3535__FDSAUDITLINK__" hidden="1">{"fdsup://Directions/FactSet Auditing Viewer?action=AUDIT_VALUE&amp;DB=129&amp;ID1=63764010&amp;VALUEID=02001&amp;SDATE=200601&amp;PERIODTYPE=QTR_STD&amp;SCFT=3&amp;window=popup_no_bar&amp;width=385&amp;height=120&amp;START_MAXIMIZED=FALSE&amp;creator=factset&amp;display_string=Audit"}</definedName>
    <definedName name="_3536__FDSAUDITLINK__" localSheetId="7" hidden="1">{"fdsup://Directions/FactSet Auditing Viewer?action=AUDIT_VALUE&amp;DB=129&amp;ID1=63764010&amp;VALUEID=02001&amp;SDATE=200601&amp;PERIODTYPE=QTR_STD&amp;SCFT=3&amp;window=popup_no_bar&amp;width=385&amp;height=120&amp;START_MAXIMIZED=FALSE&amp;creator=factset&amp;display_string=Audit"}</definedName>
    <definedName name="_3536__FDSAUDITLINK__" hidden="1">{"fdsup://Directions/FactSet Auditing Viewer?action=AUDIT_VALUE&amp;DB=129&amp;ID1=63764010&amp;VALUEID=02001&amp;SDATE=200601&amp;PERIODTYPE=QTR_STD&amp;SCFT=3&amp;window=popup_no_bar&amp;width=385&amp;height=120&amp;START_MAXIMIZED=FALSE&amp;creator=factset&amp;display_string=Audit"}</definedName>
    <definedName name="_3537__FDSAUDITLINK__" localSheetId="7" hidden="1">{"fdsup://Directions/FactSet Auditing Viewer?action=AUDIT_VALUE&amp;DB=129&amp;ID1=63764010&amp;VALUEID=02001&amp;SDATE=200503&amp;PERIODTYPE=QTR_STD&amp;SCFT=3&amp;window=popup_no_bar&amp;width=385&amp;height=120&amp;START_MAXIMIZED=FALSE&amp;creator=factset&amp;display_string=Audit"}</definedName>
    <definedName name="_3537__FDSAUDITLINK__" hidden="1">{"fdsup://Directions/FactSet Auditing Viewer?action=AUDIT_VALUE&amp;DB=129&amp;ID1=63764010&amp;VALUEID=02001&amp;SDATE=200503&amp;PERIODTYPE=QTR_STD&amp;SCFT=3&amp;window=popup_no_bar&amp;width=385&amp;height=120&amp;START_MAXIMIZED=FALSE&amp;creator=factset&amp;display_string=Audit"}</definedName>
    <definedName name="_3538__FDSAUDITLINK__" localSheetId="7" hidden="1">{"fdsup://Directions/FactSet Auditing Viewer?action=AUDIT_VALUE&amp;DB=129&amp;ID1=63764010&amp;VALUEID=02001&amp;SDATE=200503&amp;PERIODTYPE=QTR_STD&amp;SCFT=3&amp;window=popup_no_bar&amp;width=385&amp;height=120&amp;START_MAXIMIZED=FALSE&amp;creator=factset&amp;display_string=Audit"}</definedName>
    <definedName name="_3538__FDSAUDITLINK__" hidden="1">{"fdsup://Directions/FactSet Auditing Viewer?action=AUDIT_VALUE&amp;DB=129&amp;ID1=63764010&amp;VALUEID=02001&amp;SDATE=200503&amp;PERIODTYPE=QTR_STD&amp;SCFT=3&amp;window=popup_no_bar&amp;width=385&amp;height=120&amp;START_MAXIMIZED=FALSE&amp;creator=factset&amp;display_string=Audit"}</definedName>
    <definedName name="_3539__FDSAUDITLINK__" localSheetId="7" hidden="1">{"fdsup://Directions/FactSet Auditing Viewer?action=AUDIT_VALUE&amp;DB=129&amp;ID1=63764010&amp;VALUEID=02001&amp;SDATE=200502&amp;PERIODTYPE=QTR_STD&amp;SCFT=3&amp;window=popup_no_bar&amp;width=385&amp;height=120&amp;START_MAXIMIZED=FALSE&amp;creator=factset&amp;display_string=Audit"}</definedName>
    <definedName name="_3539__FDSAUDITLINK__" hidden="1">{"fdsup://Directions/FactSet Auditing Viewer?action=AUDIT_VALUE&amp;DB=129&amp;ID1=63764010&amp;VALUEID=02001&amp;SDATE=200502&amp;PERIODTYPE=QTR_STD&amp;SCFT=3&amp;window=popup_no_bar&amp;width=385&amp;height=120&amp;START_MAXIMIZED=FALSE&amp;creator=factset&amp;display_string=Audit"}</definedName>
    <definedName name="_354__FDSAUDITLINK__" localSheetId="7" hidden="1">{"fdsup://Directions/FactSet Auditing Viewer?action=AUDIT_VALUE&amp;DB=129&amp;ID1=64118B10&amp;VALUEID=02001&amp;SDATE=201003&amp;PERIODTYPE=QTR_STD&amp;SCFT=3&amp;window=popup_no_bar&amp;width=385&amp;height=120&amp;START_MAXIMIZED=FALSE&amp;creator=factset&amp;display_string=Audit"}</definedName>
    <definedName name="_354__FDSAUDITLINK__" hidden="1">{"fdsup://Directions/FactSet Auditing Viewer?action=AUDIT_VALUE&amp;DB=129&amp;ID1=64118B10&amp;VALUEID=02001&amp;SDATE=201003&amp;PERIODTYPE=QTR_STD&amp;SCFT=3&amp;window=popup_no_bar&amp;width=385&amp;height=120&amp;START_MAXIMIZED=FALSE&amp;creator=factset&amp;display_string=Audit"}</definedName>
    <definedName name="_3540__FDSAUDITLINK__" localSheetId="7" hidden="1">{"fdsup://Directions/FactSet Auditing Viewer?action=AUDIT_VALUE&amp;DB=129&amp;ID1=63764010&amp;VALUEID=02001&amp;SDATE=200502&amp;PERIODTYPE=QTR_STD&amp;SCFT=3&amp;window=popup_no_bar&amp;width=385&amp;height=120&amp;START_MAXIMIZED=FALSE&amp;creator=factset&amp;display_string=Audit"}</definedName>
    <definedName name="_3540__FDSAUDITLINK__" hidden="1">{"fdsup://Directions/FactSet Auditing Viewer?action=AUDIT_VALUE&amp;DB=129&amp;ID1=63764010&amp;VALUEID=02001&amp;SDATE=200502&amp;PERIODTYPE=QTR_STD&amp;SCFT=3&amp;window=popup_no_bar&amp;width=385&amp;height=120&amp;START_MAXIMIZED=FALSE&amp;creator=factset&amp;display_string=Audit"}</definedName>
    <definedName name="_3541__FDSAUDITLINK__" localSheetId="7" hidden="1">{"fdsup://Directions/FactSet Auditing Viewer?action=AUDIT_VALUE&amp;DB=129&amp;ID1=63764010&amp;VALUEID=02001&amp;SDATE=200501&amp;PERIODTYPE=QTR_STD&amp;SCFT=3&amp;window=popup_no_bar&amp;width=385&amp;height=120&amp;START_MAXIMIZED=FALSE&amp;creator=factset&amp;display_string=Audit"}</definedName>
    <definedName name="_3541__FDSAUDITLINK__" hidden="1">{"fdsup://Directions/FactSet Auditing Viewer?action=AUDIT_VALUE&amp;DB=129&amp;ID1=63764010&amp;VALUEID=02001&amp;SDATE=200501&amp;PERIODTYPE=QTR_STD&amp;SCFT=3&amp;window=popup_no_bar&amp;width=385&amp;height=120&amp;START_MAXIMIZED=FALSE&amp;creator=factset&amp;display_string=Audit"}</definedName>
    <definedName name="_3542__FDSAUDITLINK__" localSheetId="7" hidden="1">{"fdsup://Directions/FactSet Auditing Viewer?action=AUDIT_VALUE&amp;DB=129&amp;ID1=63764010&amp;VALUEID=02001&amp;SDATE=200501&amp;PERIODTYPE=QTR_STD&amp;SCFT=3&amp;window=popup_no_bar&amp;width=385&amp;height=120&amp;START_MAXIMIZED=FALSE&amp;creator=factset&amp;display_string=Audit"}</definedName>
    <definedName name="_3542__FDSAUDITLINK__" hidden="1">{"fdsup://Directions/FactSet Auditing Viewer?action=AUDIT_VALUE&amp;DB=129&amp;ID1=63764010&amp;VALUEID=02001&amp;SDATE=200501&amp;PERIODTYPE=QTR_STD&amp;SCFT=3&amp;window=popup_no_bar&amp;width=385&amp;height=120&amp;START_MAXIMIZED=FALSE&amp;creator=factset&amp;display_string=Audit"}</definedName>
    <definedName name="_3543__FDSAUDITLINK__" localSheetId="7" hidden="1">{"fdsup://Directions/FactSet Auditing Viewer?action=AUDIT_VALUE&amp;DB=129&amp;ID1=63764010&amp;VALUEID=02001&amp;SDATE=200403&amp;PERIODTYPE=QTR_STD&amp;SCFT=3&amp;window=popup_no_bar&amp;width=385&amp;height=120&amp;START_MAXIMIZED=FALSE&amp;creator=factset&amp;display_string=Audit"}</definedName>
    <definedName name="_3543__FDSAUDITLINK__" hidden="1">{"fdsup://Directions/FactSet Auditing Viewer?action=AUDIT_VALUE&amp;DB=129&amp;ID1=63764010&amp;VALUEID=02001&amp;SDATE=200403&amp;PERIODTYPE=QTR_STD&amp;SCFT=3&amp;window=popup_no_bar&amp;width=385&amp;height=120&amp;START_MAXIMIZED=FALSE&amp;creator=factset&amp;display_string=Audit"}</definedName>
    <definedName name="_3544__FDSAUDITLINK__" localSheetId="7" hidden="1">{"fdsup://Directions/FactSet Auditing Viewer?action=AUDIT_VALUE&amp;DB=129&amp;ID1=63764010&amp;VALUEID=02001&amp;SDATE=200403&amp;PERIODTYPE=QTR_STD&amp;SCFT=3&amp;window=popup_no_bar&amp;width=385&amp;height=120&amp;START_MAXIMIZED=FALSE&amp;creator=factset&amp;display_string=Audit"}</definedName>
    <definedName name="_3544__FDSAUDITLINK__" hidden="1">{"fdsup://Directions/FactSet Auditing Viewer?action=AUDIT_VALUE&amp;DB=129&amp;ID1=63764010&amp;VALUEID=02001&amp;SDATE=200403&amp;PERIODTYPE=QTR_STD&amp;SCFT=3&amp;window=popup_no_bar&amp;width=385&amp;height=120&amp;START_MAXIMIZED=FALSE&amp;creator=factset&amp;display_string=Audit"}</definedName>
    <definedName name="_3545__FDSAUDITLINK__" localSheetId="7" hidden="1">{"fdsup://Directions/FactSet Auditing Viewer?action=AUDIT_VALUE&amp;DB=129&amp;ID1=63764010&amp;VALUEID=02001&amp;SDATE=200402&amp;PERIODTYPE=QTR_STD&amp;SCFT=3&amp;window=popup_no_bar&amp;width=385&amp;height=120&amp;START_MAXIMIZED=FALSE&amp;creator=factset&amp;display_string=Audit"}</definedName>
    <definedName name="_3545__FDSAUDITLINK__" hidden="1">{"fdsup://Directions/FactSet Auditing Viewer?action=AUDIT_VALUE&amp;DB=129&amp;ID1=63764010&amp;VALUEID=02001&amp;SDATE=200402&amp;PERIODTYPE=QTR_STD&amp;SCFT=3&amp;window=popup_no_bar&amp;width=385&amp;height=120&amp;START_MAXIMIZED=FALSE&amp;creator=factset&amp;display_string=Audit"}</definedName>
    <definedName name="_3546__FDSAUDITLINK__" localSheetId="7" hidden="1">{"fdsup://Directions/FactSet Auditing Viewer?action=AUDIT_VALUE&amp;DB=129&amp;ID1=63764010&amp;VALUEID=02001&amp;SDATE=200402&amp;PERIODTYPE=QTR_STD&amp;SCFT=3&amp;window=popup_no_bar&amp;width=385&amp;height=120&amp;START_MAXIMIZED=FALSE&amp;creator=factset&amp;display_string=Audit"}</definedName>
    <definedName name="_3546__FDSAUDITLINK__" hidden="1">{"fdsup://Directions/FactSet Auditing Viewer?action=AUDIT_VALUE&amp;DB=129&amp;ID1=63764010&amp;VALUEID=02001&amp;SDATE=200402&amp;PERIODTYPE=QTR_STD&amp;SCFT=3&amp;window=popup_no_bar&amp;width=385&amp;height=120&amp;START_MAXIMIZED=FALSE&amp;creator=factset&amp;display_string=Audit"}</definedName>
    <definedName name="_3547__FDSAUDITLINK__" localSheetId="7" hidden="1">{"fdsup://Directions/FactSet Auditing Viewer?action=AUDIT_VALUE&amp;DB=129&amp;ID1=63764010&amp;VALUEID=02001&amp;SDATE=200401&amp;PERIODTYPE=QTR_STD&amp;SCFT=3&amp;window=popup_no_bar&amp;width=385&amp;height=120&amp;START_MAXIMIZED=FALSE&amp;creator=factset&amp;display_string=Audit"}</definedName>
    <definedName name="_3547__FDSAUDITLINK__" hidden="1">{"fdsup://Directions/FactSet Auditing Viewer?action=AUDIT_VALUE&amp;DB=129&amp;ID1=63764010&amp;VALUEID=02001&amp;SDATE=200401&amp;PERIODTYPE=QTR_STD&amp;SCFT=3&amp;window=popup_no_bar&amp;width=385&amp;height=120&amp;START_MAXIMIZED=FALSE&amp;creator=factset&amp;display_string=Audit"}</definedName>
    <definedName name="_3548__FDSAUDITLINK__" localSheetId="7" hidden="1">{"fdsup://Directions/FactSet Auditing Viewer?action=AUDIT_VALUE&amp;DB=129&amp;ID1=63764010&amp;VALUEID=02001&amp;SDATE=200401&amp;PERIODTYPE=QTR_STD&amp;SCFT=3&amp;window=popup_no_bar&amp;width=385&amp;height=120&amp;START_MAXIMIZED=FALSE&amp;creator=factset&amp;display_string=Audit"}</definedName>
    <definedName name="_3548__FDSAUDITLINK__" hidden="1">{"fdsup://Directions/FactSet Auditing Viewer?action=AUDIT_VALUE&amp;DB=129&amp;ID1=63764010&amp;VALUEID=02001&amp;SDATE=200401&amp;PERIODTYPE=QTR_STD&amp;SCFT=3&amp;window=popup_no_bar&amp;width=385&amp;height=120&amp;START_MAXIMIZED=FALSE&amp;creator=factset&amp;display_string=Audit"}</definedName>
    <definedName name="_3549__FDSAUDITLINK__" localSheetId="7" hidden="1">{"fdsup://Directions/FactSet Auditing Viewer?action=AUDIT_VALUE&amp;DB=129&amp;ID1=63764010&amp;VALUEID=02001&amp;SDATE=200303&amp;PERIODTYPE=QTR_STD&amp;SCFT=3&amp;window=popup_no_bar&amp;width=385&amp;height=120&amp;START_MAXIMIZED=FALSE&amp;creator=factset&amp;display_string=Audit"}</definedName>
    <definedName name="_3549__FDSAUDITLINK__" hidden="1">{"fdsup://Directions/FactSet Auditing Viewer?action=AUDIT_VALUE&amp;DB=129&amp;ID1=63764010&amp;VALUEID=02001&amp;SDATE=200303&amp;PERIODTYPE=QTR_STD&amp;SCFT=3&amp;window=popup_no_bar&amp;width=385&amp;height=120&amp;START_MAXIMIZED=FALSE&amp;creator=factset&amp;display_string=Audit"}</definedName>
    <definedName name="_355__FDSAUDITLINK__" localSheetId="7" hidden="1">{"fdsup://Directions/FactSet Auditing Viewer?action=AUDIT_VALUE&amp;DB=129&amp;ID1=57772K10&amp;VALUEID=02001&amp;SDATE=201101&amp;PERIODTYPE=QTR_STD&amp;SCFT=3&amp;window=popup_no_bar&amp;width=385&amp;height=120&amp;START_MAXIMIZED=FALSE&amp;creator=factset&amp;display_string=Audit"}</definedName>
    <definedName name="_355__FDSAUDITLINK__" hidden="1">{"fdsup://Directions/FactSet Auditing Viewer?action=AUDIT_VALUE&amp;DB=129&amp;ID1=57772K10&amp;VALUEID=02001&amp;SDATE=201101&amp;PERIODTYPE=QTR_STD&amp;SCFT=3&amp;window=popup_no_bar&amp;width=385&amp;height=120&amp;START_MAXIMIZED=FALSE&amp;creator=factset&amp;display_string=Audit"}</definedName>
    <definedName name="_3550__FDSAUDITLINK__" localSheetId="7" hidden="1">{"fdsup://Directions/FactSet Auditing Viewer?action=AUDIT_VALUE&amp;DB=129&amp;ID1=63764010&amp;VALUEID=02001&amp;SDATE=200303&amp;PERIODTYPE=QTR_STD&amp;SCFT=3&amp;window=popup_no_bar&amp;width=385&amp;height=120&amp;START_MAXIMIZED=FALSE&amp;creator=factset&amp;display_string=Audit"}</definedName>
    <definedName name="_3550__FDSAUDITLINK__" hidden="1">{"fdsup://Directions/FactSet Auditing Viewer?action=AUDIT_VALUE&amp;DB=129&amp;ID1=63764010&amp;VALUEID=02001&amp;SDATE=200303&amp;PERIODTYPE=QTR_STD&amp;SCFT=3&amp;window=popup_no_bar&amp;width=385&amp;height=120&amp;START_MAXIMIZED=FALSE&amp;creator=factset&amp;display_string=Audit"}</definedName>
    <definedName name="_3551__FDSAUDITLINK__" localSheetId="7" hidden="1">{"fdsup://Directions/FactSet Auditing Viewer?action=AUDIT_VALUE&amp;DB=129&amp;ID1=64118B10&amp;VALUEID=02001&amp;SDATE=200801&amp;PERIODTYPE=QTR_STD&amp;SCFT=3&amp;window=popup_no_bar&amp;width=385&amp;height=120&amp;START_MAXIMIZED=FALSE&amp;creator=factset&amp;display_string=Audit"}</definedName>
    <definedName name="_3551__FDSAUDITLINK__" hidden="1">{"fdsup://Directions/FactSet Auditing Viewer?action=AUDIT_VALUE&amp;DB=129&amp;ID1=64118B10&amp;VALUEID=02001&amp;SDATE=200801&amp;PERIODTYPE=QTR_STD&amp;SCFT=3&amp;window=popup_no_bar&amp;width=385&amp;height=120&amp;START_MAXIMIZED=FALSE&amp;creator=factset&amp;display_string=Audit"}</definedName>
    <definedName name="_3552__FDSAUDITLINK__" localSheetId="7" hidden="1">{"fdsup://Directions/FactSet Auditing Viewer?action=AUDIT_VALUE&amp;DB=129&amp;ID1=64118B10&amp;VALUEID=02001&amp;SDATE=200801&amp;PERIODTYPE=QTR_STD&amp;SCFT=3&amp;window=popup_no_bar&amp;width=385&amp;height=120&amp;START_MAXIMIZED=FALSE&amp;creator=factset&amp;display_string=Audit"}</definedName>
    <definedName name="_3552__FDSAUDITLINK__" hidden="1">{"fdsup://Directions/FactSet Auditing Viewer?action=AUDIT_VALUE&amp;DB=129&amp;ID1=64118B10&amp;VALUEID=02001&amp;SDATE=200801&amp;PERIODTYPE=QTR_STD&amp;SCFT=3&amp;window=popup_no_bar&amp;width=385&amp;height=120&amp;START_MAXIMIZED=FALSE&amp;creator=factset&amp;display_string=Audit"}</definedName>
    <definedName name="_3553__FDSAUDITLINK__" localSheetId="7" hidden="1">{"fdsup://Directions/FactSet Auditing Viewer?action=AUDIT_VALUE&amp;DB=129&amp;ID1=64118B10&amp;VALUEID=02001&amp;SDATE=200703&amp;PERIODTYPE=QTR_STD&amp;SCFT=3&amp;window=popup_no_bar&amp;width=385&amp;height=120&amp;START_MAXIMIZED=FALSE&amp;creator=factset&amp;display_string=Audit"}</definedName>
    <definedName name="_3553__FDSAUDITLINK__" hidden="1">{"fdsup://Directions/FactSet Auditing Viewer?action=AUDIT_VALUE&amp;DB=129&amp;ID1=64118B10&amp;VALUEID=02001&amp;SDATE=200703&amp;PERIODTYPE=QTR_STD&amp;SCFT=3&amp;window=popup_no_bar&amp;width=385&amp;height=120&amp;START_MAXIMIZED=FALSE&amp;creator=factset&amp;display_string=Audit"}</definedName>
    <definedName name="_3554__FDSAUDITLINK__" localSheetId="7" hidden="1">{"fdsup://Directions/FactSet Auditing Viewer?action=AUDIT_VALUE&amp;DB=129&amp;ID1=64118B10&amp;VALUEID=02001&amp;SDATE=200703&amp;PERIODTYPE=QTR_STD&amp;SCFT=3&amp;window=popup_no_bar&amp;width=385&amp;height=120&amp;START_MAXIMIZED=FALSE&amp;creator=factset&amp;display_string=Audit"}</definedName>
    <definedName name="_3554__FDSAUDITLINK__" hidden="1">{"fdsup://Directions/FactSet Auditing Viewer?action=AUDIT_VALUE&amp;DB=129&amp;ID1=64118B10&amp;VALUEID=02001&amp;SDATE=200703&amp;PERIODTYPE=QTR_STD&amp;SCFT=3&amp;window=popup_no_bar&amp;width=385&amp;height=120&amp;START_MAXIMIZED=FALSE&amp;creator=factset&amp;display_string=Audit"}</definedName>
    <definedName name="_3555__FDSAUDITLINK__" localSheetId="7" hidden="1">{"fdsup://Directions/FactSet Auditing Viewer?action=AUDIT_VALUE&amp;DB=129&amp;ID1=64118B10&amp;VALUEID=02001&amp;SDATE=200702&amp;PERIODTYPE=QTR_STD&amp;SCFT=3&amp;window=popup_no_bar&amp;width=385&amp;height=120&amp;START_MAXIMIZED=FALSE&amp;creator=factset&amp;display_string=Audit"}</definedName>
    <definedName name="_3555__FDSAUDITLINK__" hidden="1">{"fdsup://Directions/FactSet Auditing Viewer?action=AUDIT_VALUE&amp;DB=129&amp;ID1=64118B10&amp;VALUEID=02001&amp;SDATE=200702&amp;PERIODTYPE=QTR_STD&amp;SCFT=3&amp;window=popup_no_bar&amp;width=385&amp;height=120&amp;START_MAXIMIZED=FALSE&amp;creator=factset&amp;display_string=Audit"}</definedName>
    <definedName name="_3556__FDSAUDITLINK__" localSheetId="7" hidden="1">{"fdsup://Directions/FactSet Auditing Viewer?action=AUDIT_VALUE&amp;DB=129&amp;ID1=64118B10&amp;VALUEID=02001&amp;SDATE=200702&amp;PERIODTYPE=QTR_STD&amp;SCFT=3&amp;window=popup_no_bar&amp;width=385&amp;height=120&amp;START_MAXIMIZED=FALSE&amp;creator=factset&amp;display_string=Audit"}</definedName>
    <definedName name="_3556__FDSAUDITLINK__" hidden="1">{"fdsup://Directions/FactSet Auditing Viewer?action=AUDIT_VALUE&amp;DB=129&amp;ID1=64118B10&amp;VALUEID=02001&amp;SDATE=200702&amp;PERIODTYPE=QTR_STD&amp;SCFT=3&amp;window=popup_no_bar&amp;width=385&amp;height=120&amp;START_MAXIMIZED=FALSE&amp;creator=factset&amp;display_string=Audit"}</definedName>
    <definedName name="_3557__FDSAUDITLINK__" localSheetId="7" hidden="1">{"fdsup://Directions/FactSet Auditing Viewer?action=AUDIT_VALUE&amp;DB=129&amp;ID1=64118B10&amp;VALUEID=02001&amp;SDATE=200701&amp;PERIODTYPE=QTR_STD&amp;SCFT=3&amp;window=popup_no_bar&amp;width=385&amp;height=120&amp;START_MAXIMIZED=FALSE&amp;creator=factset&amp;display_string=Audit"}</definedName>
    <definedName name="_3557__FDSAUDITLINK__" hidden="1">{"fdsup://Directions/FactSet Auditing Viewer?action=AUDIT_VALUE&amp;DB=129&amp;ID1=64118B10&amp;VALUEID=02001&amp;SDATE=200701&amp;PERIODTYPE=QTR_STD&amp;SCFT=3&amp;window=popup_no_bar&amp;width=385&amp;height=120&amp;START_MAXIMIZED=FALSE&amp;creator=factset&amp;display_string=Audit"}</definedName>
    <definedName name="_3558__FDSAUDITLINK__" localSheetId="7" hidden="1">{"fdsup://Directions/FactSet Auditing Viewer?action=AUDIT_VALUE&amp;DB=129&amp;ID1=64118B10&amp;VALUEID=02001&amp;SDATE=200701&amp;PERIODTYPE=QTR_STD&amp;SCFT=3&amp;window=popup_no_bar&amp;width=385&amp;height=120&amp;START_MAXIMIZED=FALSE&amp;creator=factset&amp;display_string=Audit"}</definedName>
    <definedName name="_3558__FDSAUDITLINK__" hidden="1">{"fdsup://Directions/FactSet Auditing Viewer?action=AUDIT_VALUE&amp;DB=129&amp;ID1=64118B10&amp;VALUEID=02001&amp;SDATE=200701&amp;PERIODTYPE=QTR_STD&amp;SCFT=3&amp;window=popup_no_bar&amp;width=385&amp;height=120&amp;START_MAXIMIZED=FALSE&amp;creator=factset&amp;display_string=Audit"}</definedName>
    <definedName name="_3559__FDSAUDITLINK__" localSheetId="7" hidden="1">{"fdsup://Directions/FactSet Auditing Viewer?action=AUDIT_VALUE&amp;DB=129&amp;ID1=64118B10&amp;VALUEID=02001&amp;SDATE=200603&amp;PERIODTYPE=QTR_STD&amp;SCFT=3&amp;window=popup_no_bar&amp;width=385&amp;height=120&amp;START_MAXIMIZED=FALSE&amp;creator=factset&amp;display_string=Audit"}</definedName>
    <definedName name="_3559__FDSAUDITLINK__" hidden="1">{"fdsup://Directions/FactSet Auditing Viewer?action=AUDIT_VALUE&amp;DB=129&amp;ID1=64118B10&amp;VALUEID=02001&amp;SDATE=200603&amp;PERIODTYPE=QTR_STD&amp;SCFT=3&amp;window=popup_no_bar&amp;width=385&amp;height=120&amp;START_MAXIMIZED=FALSE&amp;creator=factset&amp;display_string=Audit"}</definedName>
    <definedName name="_356__FDSAUDITLINK__" localSheetId="7" hidden="1">{"fdsup://Directions/FactSet Auditing Viewer?action=AUDIT_VALUE&amp;DB=129&amp;ID1=57772K10&amp;VALUEID=02001&amp;SDATE=201101&amp;PERIODTYPE=QTR_STD&amp;SCFT=3&amp;window=popup_no_bar&amp;width=385&amp;height=120&amp;START_MAXIMIZED=FALSE&amp;creator=factset&amp;display_string=Audit"}</definedName>
    <definedName name="_356__FDSAUDITLINK__" hidden="1">{"fdsup://Directions/FactSet Auditing Viewer?action=AUDIT_VALUE&amp;DB=129&amp;ID1=57772K10&amp;VALUEID=02001&amp;SDATE=201101&amp;PERIODTYPE=QTR_STD&amp;SCFT=3&amp;window=popup_no_bar&amp;width=385&amp;height=120&amp;START_MAXIMIZED=FALSE&amp;creator=factset&amp;display_string=Audit"}</definedName>
    <definedName name="_3560__FDSAUDITLINK__" localSheetId="7" hidden="1">{"fdsup://Directions/FactSet Auditing Viewer?action=AUDIT_VALUE&amp;DB=129&amp;ID1=64118B10&amp;VALUEID=02001&amp;SDATE=200603&amp;PERIODTYPE=QTR_STD&amp;SCFT=3&amp;window=popup_no_bar&amp;width=385&amp;height=120&amp;START_MAXIMIZED=FALSE&amp;creator=factset&amp;display_string=Audit"}</definedName>
    <definedName name="_3560__FDSAUDITLINK__" hidden="1">{"fdsup://Directions/FactSet Auditing Viewer?action=AUDIT_VALUE&amp;DB=129&amp;ID1=64118B10&amp;VALUEID=02001&amp;SDATE=200603&amp;PERIODTYPE=QTR_STD&amp;SCFT=3&amp;window=popup_no_bar&amp;width=385&amp;height=120&amp;START_MAXIMIZED=FALSE&amp;creator=factset&amp;display_string=Audit"}</definedName>
    <definedName name="_3561__FDSAUDITLINK__" localSheetId="7" hidden="1">{"fdsup://Directions/FactSet Auditing Viewer?action=AUDIT_VALUE&amp;DB=129&amp;ID1=64118B10&amp;VALUEID=02001&amp;SDATE=200602&amp;PERIODTYPE=QTR_STD&amp;SCFT=3&amp;window=popup_no_bar&amp;width=385&amp;height=120&amp;START_MAXIMIZED=FALSE&amp;creator=factset&amp;display_string=Audit"}</definedName>
    <definedName name="_3561__FDSAUDITLINK__" hidden="1">{"fdsup://Directions/FactSet Auditing Viewer?action=AUDIT_VALUE&amp;DB=129&amp;ID1=64118B10&amp;VALUEID=02001&amp;SDATE=200602&amp;PERIODTYPE=QTR_STD&amp;SCFT=3&amp;window=popup_no_bar&amp;width=385&amp;height=120&amp;START_MAXIMIZED=FALSE&amp;creator=factset&amp;display_string=Audit"}</definedName>
    <definedName name="_3562__FDSAUDITLINK__" localSheetId="7" hidden="1">{"fdsup://Directions/FactSet Auditing Viewer?action=AUDIT_VALUE&amp;DB=129&amp;ID1=64118B10&amp;VALUEID=02001&amp;SDATE=200602&amp;PERIODTYPE=QTR_STD&amp;SCFT=3&amp;window=popup_no_bar&amp;width=385&amp;height=120&amp;START_MAXIMIZED=FALSE&amp;creator=factset&amp;display_string=Audit"}</definedName>
    <definedName name="_3562__FDSAUDITLINK__" hidden="1">{"fdsup://Directions/FactSet Auditing Viewer?action=AUDIT_VALUE&amp;DB=129&amp;ID1=64118B10&amp;VALUEID=02001&amp;SDATE=200602&amp;PERIODTYPE=QTR_STD&amp;SCFT=3&amp;window=popup_no_bar&amp;width=385&amp;height=120&amp;START_MAXIMIZED=FALSE&amp;creator=factset&amp;display_string=Audit"}</definedName>
    <definedName name="_3563__FDSAUDITLINK__" localSheetId="7" hidden="1">{"fdsup://Directions/FactSet Auditing Viewer?action=AUDIT_VALUE&amp;DB=129&amp;ID1=64118B10&amp;VALUEID=02001&amp;SDATE=200601&amp;PERIODTYPE=QTR_STD&amp;SCFT=3&amp;window=popup_no_bar&amp;width=385&amp;height=120&amp;START_MAXIMIZED=FALSE&amp;creator=factset&amp;display_string=Audit"}</definedName>
    <definedName name="_3563__FDSAUDITLINK__" hidden="1">{"fdsup://Directions/FactSet Auditing Viewer?action=AUDIT_VALUE&amp;DB=129&amp;ID1=64118B10&amp;VALUEID=02001&amp;SDATE=200601&amp;PERIODTYPE=QTR_STD&amp;SCFT=3&amp;window=popup_no_bar&amp;width=385&amp;height=120&amp;START_MAXIMIZED=FALSE&amp;creator=factset&amp;display_string=Audit"}</definedName>
    <definedName name="_3564__FDSAUDITLINK__" localSheetId="7" hidden="1">{"fdsup://Directions/FactSet Auditing Viewer?action=AUDIT_VALUE&amp;DB=129&amp;ID1=64118B10&amp;VALUEID=02001&amp;SDATE=200601&amp;PERIODTYPE=QTR_STD&amp;SCFT=3&amp;window=popup_no_bar&amp;width=385&amp;height=120&amp;START_MAXIMIZED=FALSE&amp;creator=factset&amp;display_string=Audit"}</definedName>
    <definedName name="_3564__FDSAUDITLINK__" hidden="1">{"fdsup://Directions/FactSet Auditing Viewer?action=AUDIT_VALUE&amp;DB=129&amp;ID1=64118B10&amp;VALUEID=02001&amp;SDATE=200601&amp;PERIODTYPE=QTR_STD&amp;SCFT=3&amp;window=popup_no_bar&amp;width=385&amp;height=120&amp;START_MAXIMIZED=FALSE&amp;creator=factset&amp;display_string=Audit"}</definedName>
    <definedName name="_3565__FDSAUDITLINK__" localSheetId="7" hidden="1">{"fdsup://Directions/FactSet Auditing Viewer?action=AUDIT_VALUE&amp;DB=129&amp;ID1=64118B10&amp;VALUEID=02001&amp;SDATE=200503&amp;PERIODTYPE=QTR_STD&amp;SCFT=3&amp;window=popup_no_bar&amp;width=385&amp;height=120&amp;START_MAXIMIZED=FALSE&amp;creator=factset&amp;display_string=Audit"}</definedName>
    <definedName name="_3565__FDSAUDITLINK__" hidden="1">{"fdsup://Directions/FactSet Auditing Viewer?action=AUDIT_VALUE&amp;DB=129&amp;ID1=64118B10&amp;VALUEID=02001&amp;SDATE=200503&amp;PERIODTYPE=QTR_STD&amp;SCFT=3&amp;window=popup_no_bar&amp;width=385&amp;height=120&amp;START_MAXIMIZED=FALSE&amp;creator=factset&amp;display_string=Audit"}</definedName>
    <definedName name="_3566__FDSAUDITLINK__" localSheetId="7" hidden="1">{"fdsup://Directions/FactSet Auditing Viewer?action=AUDIT_VALUE&amp;DB=129&amp;ID1=64118B10&amp;VALUEID=02001&amp;SDATE=200503&amp;PERIODTYPE=QTR_STD&amp;SCFT=3&amp;window=popup_no_bar&amp;width=385&amp;height=120&amp;START_MAXIMIZED=FALSE&amp;creator=factset&amp;display_string=Audit"}</definedName>
    <definedName name="_3566__FDSAUDITLINK__" hidden="1">{"fdsup://Directions/FactSet Auditing Viewer?action=AUDIT_VALUE&amp;DB=129&amp;ID1=64118B10&amp;VALUEID=02001&amp;SDATE=200503&amp;PERIODTYPE=QTR_STD&amp;SCFT=3&amp;window=popup_no_bar&amp;width=385&amp;height=120&amp;START_MAXIMIZED=FALSE&amp;creator=factset&amp;display_string=Audit"}</definedName>
    <definedName name="_3567__FDSAUDITLINK__" localSheetId="7" hidden="1">{"fdsup://Directions/FactSet Auditing Viewer?action=AUDIT_VALUE&amp;DB=129&amp;ID1=64118B10&amp;VALUEID=02001&amp;SDATE=200502&amp;PERIODTYPE=QTR_STD&amp;SCFT=3&amp;window=popup_no_bar&amp;width=385&amp;height=120&amp;START_MAXIMIZED=FALSE&amp;creator=factset&amp;display_string=Audit"}</definedName>
    <definedName name="_3567__FDSAUDITLINK__" hidden="1">{"fdsup://Directions/FactSet Auditing Viewer?action=AUDIT_VALUE&amp;DB=129&amp;ID1=64118B10&amp;VALUEID=02001&amp;SDATE=200502&amp;PERIODTYPE=QTR_STD&amp;SCFT=3&amp;window=popup_no_bar&amp;width=385&amp;height=120&amp;START_MAXIMIZED=FALSE&amp;creator=factset&amp;display_string=Audit"}</definedName>
    <definedName name="_3568__FDSAUDITLINK__" localSheetId="7" hidden="1">{"fdsup://Directions/FactSet Auditing Viewer?action=AUDIT_VALUE&amp;DB=129&amp;ID1=64118B10&amp;VALUEID=02001&amp;SDATE=200502&amp;PERIODTYPE=QTR_STD&amp;SCFT=3&amp;window=popup_no_bar&amp;width=385&amp;height=120&amp;START_MAXIMIZED=FALSE&amp;creator=factset&amp;display_string=Audit"}</definedName>
    <definedName name="_3568__FDSAUDITLINK__" hidden="1">{"fdsup://Directions/FactSet Auditing Viewer?action=AUDIT_VALUE&amp;DB=129&amp;ID1=64118B10&amp;VALUEID=02001&amp;SDATE=200502&amp;PERIODTYPE=QTR_STD&amp;SCFT=3&amp;window=popup_no_bar&amp;width=385&amp;height=120&amp;START_MAXIMIZED=FALSE&amp;creator=factset&amp;display_string=Audit"}</definedName>
    <definedName name="_3569__FDSAUDITLINK__" localSheetId="7" hidden="1">{"fdsup://Directions/FactSet Auditing Viewer?action=AUDIT_VALUE&amp;DB=129&amp;ID1=64118B10&amp;VALUEID=02001&amp;SDATE=200501&amp;PERIODTYPE=QTR_STD&amp;SCFT=3&amp;window=popup_no_bar&amp;width=385&amp;height=120&amp;START_MAXIMIZED=FALSE&amp;creator=factset&amp;display_string=Audit"}</definedName>
    <definedName name="_3569__FDSAUDITLINK__" hidden="1">{"fdsup://Directions/FactSet Auditing Viewer?action=AUDIT_VALUE&amp;DB=129&amp;ID1=64118B10&amp;VALUEID=02001&amp;SDATE=200501&amp;PERIODTYPE=QTR_STD&amp;SCFT=3&amp;window=popup_no_bar&amp;width=385&amp;height=120&amp;START_MAXIMIZED=FALSE&amp;creator=factset&amp;display_string=Audit"}</definedName>
    <definedName name="_357__FDSAUDITLINK__" localSheetId="7" hidden="1">{"fdsup://Directions/FactSet Auditing Viewer?action=AUDIT_VALUE&amp;DB=129&amp;ID1=59511210&amp;VALUEID=02001&amp;SDATE=201004&amp;PERIODTYPE=QTR_STD&amp;SCFT=3&amp;window=popup_no_bar&amp;width=385&amp;height=120&amp;START_MAXIMIZED=FALSE&amp;creator=factset&amp;display_string=Audit"}</definedName>
    <definedName name="_357__FDSAUDITLINK__" hidden="1">{"fdsup://Directions/FactSet Auditing Viewer?action=AUDIT_VALUE&amp;DB=129&amp;ID1=59511210&amp;VALUEID=02001&amp;SDATE=201004&amp;PERIODTYPE=QTR_STD&amp;SCFT=3&amp;window=popup_no_bar&amp;width=385&amp;height=120&amp;START_MAXIMIZED=FALSE&amp;creator=factset&amp;display_string=Audit"}</definedName>
    <definedName name="_3570__FDSAUDITLINK__" localSheetId="7" hidden="1">{"fdsup://Directions/FactSet Auditing Viewer?action=AUDIT_VALUE&amp;DB=129&amp;ID1=64118B10&amp;VALUEID=02001&amp;SDATE=200501&amp;PERIODTYPE=QTR_STD&amp;SCFT=3&amp;window=popup_no_bar&amp;width=385&amp;height=120&amp;START_MAXIMIZED=FALSE&amp;creator=factset&amp;display_string=Audit"}</definedName>
    <definedName name="_3570__FDSAUDITLINK__" hidden="1">{"fdsup://Directions/FactSet Auditing Viewer?action=AUDIT_VALUE&amp;DB=129&amp;ID1=64118B10&amp;VALUEID=02001&amp;SDATE=200501&amp;PERIODTYPE=QTR_STD&amp;SCFT=3&amp;window=popup_no_bar&amp;width=385&amp;height=120&amp;START_MAXIMIZED=FALSE&amp;creator=factset&amp;display_string=Audit"}</definedName>
    <definedName name="_3571__FDSAUDITLINK__" localSheetId="7" hidden="1">{"fdsup://Directions/FactSet Auditing Viewer?action=AUDIT_VALUE&amp;DB=129&amp;ID1=64118B10&amp;VALUEID=02001&amp;SDATE=200403&amp;PERIODTYPE=QTR_STD&amp;SCFT=3&amp;window=popup_no_bar&amp;width=385&amp;height=120&amp;START_MAXIMIZED=FALSE&amp;creator=factset&amp;display_string=Audit"}</definedName>
    <definedName name="_3571__FDSAUDITLINK__" hidden="1">{"fdsup://Directions/FactSet Auditing Viewer?action=AUDIT_VALUE&amp;DB=129&amp;ID1=64118B10&amp;VALUEID=02001&amp;SDATE=200403&amp;PERIODTYPE=QTR_STD&amp;SCFT=3&amp;window=popup_no_bar&amp;width=385&amp;height=120&amp;START_MAXIMIZED=FALSE&amp;creator=factset&amp;display_string=Audit"}</definedName>
    <definedName name="_3572__FDSAUDITLINK__" localSheetId="7" hidden="1">{"fdsup://Directions/FactSet Auditing Viewer?action=AUDIT_VALUE&amp;DB=129&amp;ID1=64118B10&amp;VALUEID=02001&amp;SDATE=200403&amp;PERIODTYPE=QTR_STD&amp;SCFT=3&amp;window=popup_no_bar&amp;width=385&amp;height=120&amp;START_MAXIMIZED=FALSE&amp;creator=factset&amp;display_string=Audit"}</definedName>
    <definedName name="_3572__FDSAUDITLINK__" hidden="1">{"fdsup://Directions/FactSet Auditing Viewer?action=AUDIT_VALUE&amp;DB=129&amp;ID1=64118B10&amp;VALUEID=02001&amp;SDATE=200403&amp;PERIODTYPE=QTR_STD&amp;SCFT=3&amp;window=popup_no_bar&amp;width=385&amp;height=120&amp;START_MAXIMIZED=FALSE&amp;creator=factset&amp;display_string=Audit"}</definedName>
    <definedName name="_3573__FDSAUDITLINK__" localSheetId="7" hidden="1">{"fdsup://Directions/FactSet Auditing Viewer?action=AUDIT_VALUE&amp;DB=129&amp;ID1=64118B10&amp;VALUEID=02001&amp;SDATE=200402&amp;PERIODTYPE=QTR_STD&amp;SCFT=3&amp;window=popup_no_bar&amp;width=385&amp;height=120&amp;START_MAXIMIZED=FALSE&amp;creator=factset&amp;display_string=Audit"}</definedName>
    <definedName name="_3573__FDSAUDITLINK__" hidden="1">{"fdsup://Directions/FactSet Auditing Viewer?action=AUDIT_VALUE&amp;DB=129&amp;ID1=64118B10&amp;VALUEID=02001&amp;SDATE=200402&amp;PERIODTYPE=QTR_STD&amp;SCFT=3&amp;window=popup_no_bar&amp;width=385&amp;height=120&amp;START_MAXIMIZED=FALSE&amp;creator=factset&amp;display_string=Audit"}</definedName>
    <definedName name="_3574__FDSAUDITLINK__" localSheetId="7" hidden="1">{"fdsup://Directions/FactSet Auditing Viewer?action=AUDIT_VALUE&amp;DB=129&amp;ID1=64118B10&amp;VALUEID=02001&amp;SDATE=200402&amp;PERIODTYPE=QTR_STD&amp;SCFT=3&amp;window=popup_no_bar&amp;width=385&amp;height=120&amp;START_MAXIMIZED=FALSE&amp;creator=factset&amp;display_string=Audit"}</definedName>
    <definedName name="_3574__FDSAUDITLINK__" hidden="1">{"fdsup://Directions/FactSet Auditing Viewer?action=AUDIT_VALUE&amp;DB=129&amp;ID1=64118B10&amp;VALUEID=02001&amp;SDATE=200402&amp;PERIODTYPE=QTR_STD&amp;SCFT=3&amp;window=popup_no_bar&amp;width=385&amp;height=120&amp;START_MAXIMIZED=FALSE&amp;creator=factset&amp;display_string=Audit"}</definedName>
    <definedName name="_3575__FDSAUDITLINK__" localSheetId="7" hidden="1">{"fdsup://Directions/FactSet Auditing Viewer?action=AUDIT_VALUE&amp;DB=129&amp;ID1=57772K10&amp;VALUEID=02001&amp;SDATE=200803&amp;PERIODTYPE=QTR_STD&amp;SCFT=3&amp;window=popup_no_bar&amp;width=385&amp;height=120&amp;START_MAXIMIZED=FALSE&amp;creator=factset&amp;display_string=Audit"}</definedName>
    <definedName name="_3575__FDSAUDITLINK__" hidden="1">{"fdsup://Directions/FactSet Auditing Viewer?action=AUDIT_VALUE&amp;DB=129&amp;ID1=57772K10&amp;VALUEID=02001&amp;SDATE=200803&amp;PERIODTYPE=QTR_STD&amp;SCFT=3&amp;window=popup_no_bar&amp;width=385&amp;height=120&amp;START_MAXIMIZED=FALSE&amp;creator=factset&amp;display_string=Audit"}</definedName>
    <definedName name="_3576__FDSAUDITLINK__" localSheetId="7" hidden="1">{"fdsup://Directions/FactSet Auditing Viewer?action=AUDIT_VALUE&amp;DB=129&amp;ID1=57772K10&amp;VALUEID=02001&amp;SDATE=200803&amp;PERIODTYPE=QTR_STD&amp;SCFT=3&amp;window=popup_no_bar&amp;width=385&amp;height=120&amp;START_MAXIMIZED=FALSE&amp;creator=factset&amp;display_string=Audit"}</definedName>
    <definedName name="_3576__FDSAUDITLINK__" hidden="1">{"fdsup://Directions/FactSet Auditing Viewer?action=AUDIT_VALUE&amp;DB=129&amp;ID1=57772K10&amp;VALUEID=02001&amp;SDATE=200803&amp;PERIODTYPE=QTR_STD&amp;SCFT=3&amp;window=popup_no_bar&amp;width=385&amp;height=120&amp;START_MAXIMIZED=FALSE&amp;creator=factset&amp;display_string=Audit"}</definedName>
    <definedName name="_3577__FDSAUDITLINK__" localSheetId="7" hidden="1">{"fdsup://Directions/FactSet Auditing Viewer?action=AUDIT_VALUE&amp;DB=129&amp;ID1=57772K10&amp;VALUEID=02001&amp;SDATE=200802&amp;PERIODTYPE=QTR_STD&amp;SCFT=3&amp;window=popup_no_bar&amp;width=385&amp;height=120&amp;START_MAXIMIZED=FALSE&amp;creator=factset&amp;display_string=Audit"}</definedName>
    <definedName name="_3577__FDSAUDITLINK__" hidden="1">{"fdsup://Directions/FactSet Auditing Viewer?action=AUDIT_VALUE&amp;DB=129&amp;ID1=57772K10&amp;VALUEID=02001&amp;SDATE=200802&amp;PERIODTYPE=QTR_STD&amp;SCFT=3&amp;window=popup_no_bar&amp;width=385&amp;height=120&amp;START_MAXIMIZED=FALSE&amp;creator=factset&amp;display_string=Audit"}</definedName>
    <definedName name="_3578__FDSAUDITLINK__" localSheetId="7" hidden="1">{"fdsup://Directions/FactSet Auditing Viewer?action=AUDIT_VALUE&amp;DB=129&amp;ID1=57772K10&amp;VALUEID=02001&amp;SDATE=200802&amp;PERIODTYPE=QTR_STD&amp;SCFT=3&amp;window=popup_no_bar&amp;width=385&amp;height=120&amp;START_MAXIMIZED=FALSE&amp;creator=factset&amp;display_string=Audit"}</definedName>
    <definedName name="_3578__FDSAUDITLINK__" hidden="1">{"fdsup://Directions/FactSet Auditing Viewer?action=AUDIT_VALUE&amp;DB=129&amp;ID1=57772K10&amp;VALUEID=02001&amp;SDATE=200802&amp;PERIODTYPE=QTR_STD&amp;SCFT=3&amp;window=popup_no_bar&amp;width=385&amp;height=120&amp;START_MAXIMIZED=FALSE&amp;creator=factset&amp;display_string=Audit"}</definedName>
    <definedName name="_3579__FDSAUDITLINK__" localSheetId="7" hidden="1">{"fdsup://Directions/FactSet Auditing Viewer?action=AUDIT_VALUE&amp;DB=129&amp;ID1=57772K10&amp;VALUEID=02001&amp;SDATE=200801&amp;PERIODTYPE=QTR_STD&amp;SCFT=3&amp;window=popup_no_bar&amp;width=385&amp;height=120&amp;START_MAXIMIZED=FALSE&amp;creator=factset&amp;display_string=Audit"}</definedName>
    <definedName name="_3579__FDSAUDITLINK__" hidden="1">{"fdsup://Directions/FactSet Auditing Viewer?action=AUDIT_VALUE&amp;DB=129&amp;ID1=57772K10&amp;VALUEID=02001&amp;SDATE=200801&amp;PERIODTYPE=QTR_STD&amp;SCFT=3&amp;window=popup_no_bar&amp;width=385&amp;height=120&amp;START_MAXIMIZED=FALSE&amp;creator=factset&amp;display_string=Audit"}</definedName>
    <definedName name="_358__FDSAUDITLINK__" localSheetId="7" hidden="1">{"fdsup://Directions/FactSet Auditing Viewer?action=AUDIT_VALUE&amp;DB=129&amp;ID1=59511210&amp;VALUEID=02001&amp;SDATE=201004&amp;PERIODTYPE=QTR_STD&amp;SCFT=3&amp;window=popup_no_bar&amp;width=385&amp;height=120&amp;START_MAXIMIZED=FALSE&amp;creator=factset&amp;display_string=Audit"}</definedName>
    <definedName name="_358__FDSAUDITLINK__" hidden="1">{"fdsup://Directions/FactSet Auditing Viewer?action=AUDIT_VALUE&amp;DB=129&amp;ID1=59511210&amp;VALUEID=02001&amp;SDATE=201004&amp;PERIODTYPE=QTR_STD&amp;SCFT=3&amp;window=popup_no_bar&amp;width=385&amp;height=120&amp;START_MAXIMIZED=FALSE&amp;creator=factset&amp;display_string=Audit"}</definedName>
    <definedName name="_3580__FDSAUDITLINK__" localSheetId="7" hidden="1">{"fdsup://Directions/FactSet Auditing Viewer?action=AUDIT_VALUE&amp;DB=129&amp;ID1=57772K10&amp;VALUEID=02001&amp;SDATE=200801&amp;PERIODTYPE=QTR_STD&amp;SCFT=3&amp;window=popup_no_bar&amp;width=385&amp;height=120&amp;START_MAXIMIZED=FALSE&amp;creator=factset&amp;display_string=Audit"}</definedName>
    <definedName name="_3580__FDSAUDITLINK__" hidden="1">{"fdsup://Directions/FactSet Auditing Viewer?action=AUDIT_VALUE&amp;DB=129&amp;ID1=57772K10&amp;VALUEID=02001&amp;SDATE=200801&amp;PERIODTYPE=QTR_STD&amp;SCFT=3&amp;window=popup_no_bar&amp;width=385&amp;height=120&amp;START_MAXIMIZED=FALSE&amp;creator=factset&amp;display_string=Audit"}</definedName>
    <definedName name="_3581__FDSAUDITLINK__" localSheetId="7" hidden="1">{"fdsup://Directions/FactSet Auditing Viewer?action=AUDIT_VALUE&amp;DB=129&amp;ID1=57772K10&amp;VALUEID=02001&amp;SDATE=200703&amp;PERIODTYPE=QTR_STD&amp;SCFT=3&amp;window=popup_no_bar&amp;width=385&amp;height=120&amp;START_MAXIMIZED=FALSE&amp;creator=factset&amp;display_string=Audit"}</definedName>
    <definedName name="_3581__FDSAUDITLINK__" hidden="1">{"fdsup://Directions/FactSet Auditing Viewer?action=AUDIT_VALUE&amp;DB=129&amp;ID1=57772K10&amp;VALUEID=02001&amp;SDATE=200703&amp;PERIODTYPE=QTR_STD&amp;SCFT=3&amp;window=popup_no_bar&amp;width=385&amp;height=120&amp;START_MAXIMIZED=FALSE&amp;creator=factset&amp;display_string=Audit"}</definedName>
    <definedName name="_3582__FDSAUDITLINK__" localSheetId="7" hidden="1">{"fdsup://Directions/FactSet Auditing Viewer?action=AUDIT_VALUE&amp;DB=129&amp;ID1=57772K10&amp;VALUEID=02001&amp;SDATE=200703&amp;PERIODTYPE=QTR_STD&amp;SCFT=3&amp;window=popup_no_bar&amp;width=385&amp;height=120&amp;START_MAXIMIZED=FALSE&amp;creator=factset&amp;display_string=Audit"}</definedName>
    <definedName name="_3582__FDSAUDITLINK__" hidden="1">{"fdsup://Directions/FactSet Auditing Viewer?action=AUDIT_VALUE&amp;DB=129&amp;ID1=57772K10&amp;VALUEID=02001&amp;SDATE=200703&amp;PERIODTYPE=QTR_STD&amp;SCFT=3&amp;window=popup_no_bar&amp;width=385&amp;height=120&amp;START_MAXIMIZED=FALSE&amp;creator=factset&amp;display_string=Audit"}</definedName>
    <definedName name="_3583__FDSAUDITLINK__" localSheetId="7" hidden="1">{"fdsup://Directions/FactSet Auditing Viewer?action=AUDIT_VALUE&amp;DB=129&amp;ID1=57772K10&amp;VALUEID=02001&amp;SDATE=200702&amp;PERIODTYPE=QTR_STD&amp;SCFT=3&amp;window=popup_no_bar&amp;width=385&amp;height=120&amp;START_MAXIMIZED=FALSE&amp;creator=factset&amp;display_string=Audit"}</definedName>
    <definedName name="_3583__FDSAUDITLINK__" hidden="1">{"fdsup://Directions/FactSet Auditing Viewer?action=AUDIT_VALUE&amp;DB=129&amp;ID1=57772K10&amp;VALUEID=02001&amp;SDATE=200702&amp;PERIODTYPE=QTR_STD&amp;SCFT=3&amp;window=popup_no_bar&amp;width=385&amp;height=120&amp;START_MAXIMIZED=FALSE&amp;creator=factset&amp;display_string=Audit"}</definedName>
    <definedName name="_3584__FDSAUDITLINK__" localSheetId="7" hidden="1">{"fdsup://Directions/FactSet Auditing Viewer?action=AUDIT_VALUE&amp;DB=129&amp;ID1=57772K10&amp;VALUEID=02001&amp;SDATE=200702&amp;PERIODTYPE=QTR_STD&amp;SCFT=3&amp;window=popup_no_bar&amp;width=385&amp;height=120&amp;START_MAXIMIZED=FALSE&amp;creator=factset&amp;display_string=Audit"}</definedName>
    <definedName name="_3584__FDSAUDITLINK__" hidden="1">{"fdsup://Directions/FactSet Auditing Viewer?action=AUDIT_VALUE&amp;DB=129&amp;ID1=57772K10&amp;VALUEID=02001&amp;SDATE=200702&amp;PERIODTYPE=QTR_STD&amp;SCFT=3&amp;window=popup_no_bar&amp;width=385&amp;height=120&amp;START_MAXIMIZED=FALSE&amp;creator=factset&amp;display_string=Audit"}</definedName>
    <definedName name="_3585__FDSAUDITLINK__" localSheetId="7" hidden="1">{"fdsup://Directions/FactSet Auditing Viewer?action=AUDIT_VALUE&amp;DB=129&amp;ID1=57772K10&amp;VALUEID=02001&amp;SDATE=200701&amp;PERIODTYPE=QTR_STD&amp;SCFT=3&amp;window=popup_no_bar&amp;width=385&amp;height=120&amp;START_MAXIMIZED=FALSE&amp;creator=factset&amp;display_string=Audit"}</definedName>
    <definedName name="_3585__FDSAUDITLINK__" hidden="1">{"fdsup://Directions/FactSet Auditing Viewer?action=AUDIT_VALUE&amp;DB=129&amp;ID1=57772K10&amp;VALUEID=02001&amp;SDATE=200701&amp;PERIODTYPE=QTR_STD&amp;SCFT=3&amp;window=popup_no_bar&amp;width=385&amp;height=120&amp;START_MAXIMIZED=FALSE&amp;creator=factset&amp;display_string=Audit"}</definedName>
    <definedName name="_3586__FDSAUDITLINK__" localSheetId="7" hidden="1">{"fdsup://Directions/FactSet Auditing Viewer?action=AUDIT_VALUE&amp;DB=129&amp;ID1=57772K10&amp;VALUEID=02001&amp;SDATE=200701&amp;PERIODTYPE=QTR_STD&amp;SCFT=3&amp;window=popup_no_bar&amp;width=385&amp;height=120&amp;START_MAXIMIZED=FALSE&amp;creator=factset&amp;display_string=Audit"}</definedName>
    <definedName name="_3586__FDSAUDITLINK__" hidden="1">{"fdsup://Directions/FactSet Auditing Viewer?action=AUDIT_VALUE&amp;DB=129&amp;ID1=57772K10&amp;VALUEID=02001&amp;SDATE=200701&amp;PERIODTYPE=QTR_STD&amp;SCFT=3&amp;window=popup_no_bar&amp;width=385&amp;height=120&amp;START_MAXIMIZED=FALSE&amp;creator=factset&amp;display_string=Audit"}</definedName>
    <definedName name="_3587__FDSAUDITLINK__" localSheetId="7" hidden="1">{"fdsup://Directions/FactSet Auditing Viewer?action=AUDIT_VALUE&amp;DB=129&amp;ID1=57772K10&amp;VALUEID=02001&amp;SDATE=200603&amp;PERIODTYPE=QTR_STD&amp;SCFT=3&amp;window=popup_no_bar&amp;width=385&amp;height=120&amp;START_MAXIMIZED=FALSE&amp;creator=factset&amp;display_string=Audit"}</definedName>
    <definedName name="_3587__FDSAUDITLINK__" hidden="1">{"fdsup://Directions/FactSet Auditing Viewer?action=AUDIT_VALUE&amp;DB=129&amp;ID1=57772K10&amp;VALUEID=02001&amp;SDATE=200603&amp;PERIODTYPE=QTR_STD&amp;SCFT=3&amp;window=popup_no_bar&amp;width=385&amp;height=120&amp;START_MAXIMIZED=FALSE&amp;creator=factset&amp;display_string=Audit"}</definedName>
    <definedName name="_3588__FDSAUDITLINK__" localSheetId="7" hidden="1">{"fdsup://Directions/FactSet Auditing Viewer?action=AUDIT_VALUE&amp;DB=129&amp;ID1=57772K10&amp;VALUEID=02001&amp;SDATE=200603&amp;PERIODTYPE=QTR_STD&amp;SCFT=3&amp;window=popup_no_bar&amp;width=385&amp;height=120&amp;START_MAXIMIZED=FALSE&amp;creator=factset&amp;display_string=Audit"}</definedName>
    <definedName name="_3588__FDSAUDITLINK__" hidden="1">{"fdsup://Directions/FactSet Auditing Viewer?action=AUDIT_VALUE&amp;DB=129&amp;ID1=57772K10&amp;VALUEID=02001&amp;SDATE=200603&amp;PERIODTYPE=QTR_STD&amp;SCFT=3&amp;window=popup_no_bar&amp;width=385&amp;height=120&amp;START_MAXIMIZED=FALSE&amp;creator=factset&amp;display_string=Audit"}</definedName>
    <definedName name="_3589__FDSAUDITLINK__" localSheetId="7" hidden="1">{"fdsup://Directions/FactSet Auditing Viewer?action=AUDIT_VALUE&amp;DB=129&amp;ID1=57772K10&amp;VALUEID=02001&amp;SDATE=200602&amp;PERIODTYPE=QTR_STD&amp;SCFT=3&amp;window=popup_no_bar&amp;width=385&amp;height=120&amp;START_MAXIMIZED=FALSE&amp;creator=factset&amp;display_string=Audit"}</definedName>
    <definedName name="_3589__FDSAUDITLINK__" hidden="1">{"fdsup://Directions/FactSet Auditing Viewer?action=AUDIT_VALUE&amp;DB=129&amp;ID1=57772K10&amp;VALUEID=02001&amp;SDATE=200602&amp;PERIODTYPE=QTR_STD&amp;SCFT=3&amp;window=popup_no_bar&amp;width=385&amp;height=120&amp;START_MAXIMIZED=FALSE&amp;creator=factset&amp;display_string=Audit"}</definedName>
    <definedName name="_359__FDSAUDITLINK__" localSheetId="7" hidden="1">{"fdsup://Directions/FactSet Auditing Viewer?action=AUDIT_VALUE&amp;DB=129&amp;ID1=59513710&amp;VALUEID=02001&amp;SDATE=201004&amp;PERIODTYPE=QTR_STD&amp;SCFT=3&amp;window=popup_no_bar&amp;width=385&amp;height=120&amp;START_MAXIMIZED=FALSE&amp;creator=factset&amp;display_string=Audit"}</definedName>
    <definedName name="_359__FDSAUDITLINK__" hidden="1">{"fdsup://Directions/FactSet Auditing Viewer?action=AUDIT_VALUE&amp;DB=129&amp;ID1=59513710&amp;VALUEID=02001&amp;SDATE=201004&amp;PERIODTYPE=QTR_STD&amp;SCFT=3&amp;window=popup_no_bar&amp;width=385&amp;height=120&amp;START_MAXIMIZED=FALSE&amp;creator=factset&amp;display_string=Audit"}</definedName>
    <definedName name="_3590__FDSAUDITLINK__" localSheetId="7" hidden="1">{"fdsup://Directions/FactSet Auditing Viewer?action=AUDIT_VALUE&amp;DB=129&amp;ID1=57772K10&amp;VALUEID=02001&amp;SDATE=200602&amp;PERIODTYPE=QTR_STD&amp;SCFT=3&amp;window=popup_no_bar&amp;width=385&amp;height=120&amp;START_MAXIMIZED=FALSE&amp;creator=factset&amp;display_string=Audit"}</definedName>
    <definedName name="_3590__FDSAUDITLINK__" hidden="1">{"fdsup://Directions/FactSet Auditing Viewer?action=AUDIT_VALUE&amp;DB=129&amp;ID1=57772K10&amp;VALUEID=02001&amp;SDATE=200602&amp;PERIODTYPE=QTR_STD&amp;SCFT=3&amp;window=popup_no_bar&amp;width=385&amp;height=120&amp;START_MAXIMIZED=FALSE&amp;creator=factset&amp;display_string=Audit"}</definedName>
    <definedName name="_3591__FDSAUDITLINK__" localSheetId="7" hidden="1">{"fdsup://Directions/FactSet Auditing Viewer?action=AUDIT_VALUE&amp;DB=129&amp;ID1=57772K10&amp;VALUEID=02001&amp;SDATE=200601&amp;PERIODTYPE=QTR_STD&amp;SCFT=3&amp;window=popup_no_bar&amp;width=385&amp;height=120&amp;START_MAXIMIZED=FALSE&amp;creator=factset&amp;display_string=Audit"}</definedName>
    <definedName name="_3591__FDSAUDITLINK__" hidden="1">{"fdsup://Directions/FactSet Auditing Viewer?action=AUDIT_VALUE&amp;DB=129&amp;ID1=57772K10&amp;VALUEID=02001&amp;SDATE=200601&amp;PERIODTYPE=QTR_STD&amp;SCFT=3&amp;window=popup_no_bar&amp;width=385&amp;height=120&amp;START_MAXIMIZED=FALSE&amp;creator=factset&amp;display_string=Audit"}</definedName>
    <definedName name="_3592__FDSAUDITLINK__" localSheetId="7" hidden="1">{"fdsup://Directions/FactSet Auditing Viewer?action=AUDIT_VALUE&amp;DB=129&amp;ID1=57772K10&amp;VALUEID=02001&amp;SDATE=200601&amp;PERIODTYPE=QTR_STD&amp;SCFT=3&amp;window=popup_no_bar&amp;width=385&amp;height=120&amp;START_MAXIMIZED=FALSE&amp;creator=factset&amp;display_string=Audit"}</definedName>
    <definedName name="_3592__FDSAUDITLINK__" hidden="1">{"fdsup://Directions/FactSet Auditing Viewer?action=AUDIT_VALUE&amp;DB=129&amp;ID1=57772K10&amp;VALUEID=02001&amp;SDATE=200601&amp;PERIODTYPE=QTR_STD&amp;SCFT=3&amp;window=popup_no_bar&amp;width=385&amp;height=120&amp;START_MAXIMIZED=FALSE&amp;creator=factset&amp;display_string=Audit"}</definedName>
    <definedName name="_3593__FDSAUDITLINK__" localSheetId="7" hidden="1">{"fdsup://Directions/FactSet Auditing Viewer?action=AUDIT_VALUE&amp;DB=129&amp;ID1=57772K10&amp;VALUEID=02001&amp;SDATE=200503&amp;PERIODTYPE=QTR_STD&amp;SCFT=3&amp;window=popup_no_bar&amp;width=385&amp;height=120&amp;START_MAXIMIZED=FALSE&amp;creator=factset&amp;display_string=Audit"}</definedName>
    <definedName name="_3593__FDSAUDITLINK__" hidden="1">{"fdsup://Directions/FactSet Auditing Viewer?action=AUDIT_VALUE&amp;DB=129&amp;ID1=57772K10&amp;VALUEID=02001&amp;SDATE=200503&amp;PERIODTYPE=QTR_STD&amp;SCFT=3&amp;window=popup_no_bar&amp;width=385&amp;height=120&amp;START_MAXIMIZED=FALSE&amp;creator=factset&amp;display_string=Audit"}</definedName>
    <definedName name="_3594__FDSAUDITLINK__" localSheetId="7" hidden="1">{"fdsup://Directions/FactSet Auditing Viewer?action=AUDIT_VALUE&amp;DB=129&amp;ID1=57772K10&amp;VALUEID=02001&amp;SDATE=200503&amp;PERIODTYPE=QTR_STD&amp;SCFT=3&amp;window=popup_no_bar&amp;width=385&amp;height=120&amp;START_MAXIMIZED=FALSE&amp;creator=factset&amp;display_string=Audit"}</definedName>
    <definedName name="_3594__FDSAUDITLINK__" hidden="1">{"fdsup://Directions/FactSet Auditing Viewer?action=AUDIT_VALUE&amp;DB=129&amp;ID1=57772K10&amp;VALUEID=02001&amp;SDATE=200503&amp;PERIODTYPE=QTR_STD&amp;SCFT=3&amp;window=popup_no_bar&amp;width=385&amp;height=120&amp;START_MAXIMIZED=FALSE&amp;creator=factset&amp;display_string=Audit"}</definedName>
    <definedName name="_3595__FDSAUDITLINK__" localSheetId="7" hidden="1">{"fdsup://Directions/FactSet Auditing Viewer?action=AUDIT_VALUE&amp;DB=129&amp;ID1=57772K10&amp;VALUEID=02001&amp;SDATE=200502&amp;PERIODTYPE=QTR_STD&amp;SCFT=3&amp;window=popup_no_bar&amp;width=385&amp;height=120&amp;START_MAXIMIZED=FALSE&amp;creator=factset&amp;display_string=Audit"}</definedName>
    <definedName name="_3595__FDSAUDITLINK__" hidden="1">{"fdsup://Directions/FactSet Auditing Viewer?action=AUDIT_VALUE&amp;DB=129&amp;ID1=57772K10&amp;VALUEID=02001&amp;SDATE=200502&amp;PERIODTYPE=QTR_STD&amp;SCFT=3&amp;window=popup_no_bar&amp;width=385&amp;height=120&amp;START_MAXIMIZED=FALSE&amp;creator=factset&amp;display_string=Audit"}</definedName>
    <definedName name="_3596__FDSAUDITLINK__" localSheetId="7" hidden="1">{"fdsup://Directions/FactSet Auditing Viewer?action=AUDIT_VALUE&amp;DB=129&amp;ID1=57772K10&amp;VALUEID=02001&amp;SDATE=200502&amp;PERIODTYPE=QTR_STD&amp;SCFT=3&amp;window=popup_no_bar&amp;width=385&amp;height=120&amp;START_MAXIMIZED=FALSE&amp;creator=factset&amp;display_string=Audit"}</definedName>
    <definedName name="_3596__FDSAUDITLINK__" hidden="1">{"fdsup://Directions/FactSet Auditing Viewer?action=AUDIT_VALUE&amp;DB=129&amp;ID1=57772K10&amp;VALUEID=02001&amp;SDATE=200502&amp;PERIODTYPE=QTR_STD&amp;SCFT=3&amp;window=popup_no_bar&amp;width=385&amp;height=120&amp;START_MAXIMIZED=FALSE&amp;creator=factset&amp;display_string=Audit"}</definedName>
    <definedName name="_3597__FDSAUDITLINK__" localSheetId="7" hidden="1">{"fdsup://Directions/FactSet Auditing Viewer?action=AUDIT_VALUE&amp;DB=129&amp;ID1=57772K10&amp;VALUEID=02001&amp;SDATE=200501&amp;PERIODTYPE=QTR_STD&amp;SCFT=3&amp;window=popup_no_bar&amp;width=385&amp;height=120&amp;START_MAXIMIZED=FALSE&amp;creator=factset&amp;display_string=Audit"}</definedName>
    <definedName name="_3597__FDSAUDITLINK__" hidden="1">{"fdsup://Directions/FactSet Auditing Viewer?action=AUDIT_VALUE&amp;DB=129&amp;ID1=57772K10&amp;VALUEID=02001&amp;SDATE=200501&amp;PERIODTYPE=QTR_STD&amp;SCFT=3&amp;window=popup_no_bar&amp;width=385&amp;height=120&amp;START_MAXIMIZED=FALSE&amp;creator=factset&amp;display_string=Audit"}</definedName>
    <definedName name="_3598__FDSAUDITLINK__" localSheetId="7" hidden="1">{"fdsup://Directions/FactSet Auditing Viewer?action=AUDIT_VALUE&amp;DB=129&amp;ID1=57772K10&amp;VALUEID=02001&amp;SDATE=200501&amp;PERIODTYPE=QTR_STD&amp;SCFT=3&amp;window=popup_no_bar&amp;width=385&amp;height=120&amp;START_MAXIMIZED=FALSE&amp;creator=factset&amp;display_string=Audit"}</definedName>
    <definedName name="_3598__FDSAUDITLINK__" hidden="1">{"fdsup://Directions/FactSet Auditing Viewer?action=AUDIT_VALUE&amp;DB=129&amp;ID1=57772K10&amp;VALUEID=02001&amp;SDATE=200501&amp;PERIODTYPE=QTR_STD&amp;SCFT=3&amp;window=popup_no_bar&amp;width=385&amp;height=120&amp;START_MAXIMIZED=FALSE&amp;creator=factset&amp;display_string=Audit"}</definedName>
    <definedName name="_3599__FDSAUDITLINK__" localSheetId="7" hidden="1">{"fdsup://Directions/FactSet Auditing Viewer?action=AUDIT_VALUE&amp;DB=129&amp;ID1=57772K10&amp;VALUEID=02001&amp;SDATE=200403&amp;PERIODTYPE=QTR_STD&amp;SCFT=3&amp;window=popup_no_bar&amp;width=385&amp;height=120&amp;START_MAXIMIZED=FALSE&amp;creator=factset&amp;display_string=Audit"}</definedName>
    <definedName name="_3599__FDSAUDITLINK__" hidden="1">{"fdsup://Directions/FactSet Auditing Viewer?action=AUDIT_VALUE&amp;DB=129&amp;ID1=57772K10&amp;VALUEID=02001&amp;SDATE=200403&amp;PERIODTYPE=QTR_STD&amp;SCFT=3&amp;window=popup_no_bar&amp;width=385&amp;height=120&amp;START_MAXIMIZED=FALSE&amp;creator=factset&amp;display_string=Audit"}</definedName>
    <definedName name="_36__FDSAUDITLINK__" localSheetId="7" hidden="1">{"fdsup://Directions/FactSet Auditing Viewer?action=AUDIT_VALUE&amp;DB=129&amp;ID1=75091710&amp;VALUEID=02001&amp;SDATE=201101&amp;PERIODTYPE=QTR_STD&amp;SCFT=3&amp;window=popup_no_bar&amp;width=385&amp;height=120&amp;START_MAXIMIZED=FALSE&amp;creator=factset&amp;display_string=Audit"}</definedName>
    <definedName name="_36__FDSAUDITLINK__" hidden="1">{"fdsup://Directions/FactSet Auditing Viewer?action=AUDIT_VALUE&amp;DB=129&amp;ID1=75091710&amp;VALUEID=02001&amp;SDATE=201101&amp;PERIODTYPE=QTR_STD&amp;SCFT=3&amp;window=popup_no_bar&amp;width=385&amp;height=120&amp;START_MAXIMIZED=FALSE&amp;creator=factset&amp;display_string=Audit"}</definedName>
    <definedName name="_360__FDSAUDITLINK__" localSheetId="7" hidden="1">{"fdsup://Directions/FactSet Auditing Viewer?action=AUDIT_VALUE&amp;DB=129&amp;ID1=59513710&amp;VALUEID=02001&amp;SDATE=201004&amp;PERIODTYPE=QTR_STD&amp;SCFT=3&amp;window=popup_no_bar&amp;width=385&amp;height=120&amp;START_MAXIMIZED=FALSE&amp;creator=factset&amp;display_string=Audit"}</definedName>
    <definedName name="_360__FDSAUDITLINK__" hidden="1">{"fdsup://Directions/FactSet Auditing Viewer?action=AUDIT_VALUE&amp;DB=129&amp;ID1=59513710&amp;VALUEID=02001&amp;SDATE=201004&amp;PERIODTYPE=QTR_STD&amp;SCFT=3&amp;window=popup_no_bar&amp;width=385&amp;height=120&amp;START_MAXIMIZED=FALSE&amp;creator=factset&amp;display_string=Audit"}</definedName>
    <definedName name="_3600__FDSAUDITLINK__" localSheetId="7" hidden="1">{"fdsup://Directions/FactSet Auditing Viewer?action=AUDIT_VALUE&amp;DB=129&amp;ID1=57772K10&amp;VALUEID=02001&amp;SDATE=200403&amp;PERIODTYPE=QTR_STD&amp;SCFT=3&amp;window=popup_no_bar&amp;width=385&amp;height=120&amp;START_MAXIMIZED=FALSE&amp;creator=factset&amp;display_string=Audit"}</definedName>
    <definedName name="_3600__FDSAUDITLINK__" hidden="1">{"fdsup://Directions/FactSet Auditing Viewer?action=AUDIT_VALUE&amp;DB=129&amp;ID1=57772K10&amp;VALUEID=02001&amp;SDATE=200403&amp;PERIODTYPE=QTR_STD&amp;SCFT=3&amp;window=popup_no_bar&amp;width=385&amp;height=120&amp;START_MAXIMIZED=FALSE&amp;creator=factset&amp;display_string=Audit"}</definedName>
    <definedName name="_3601__FDSAUDITLINK__" localSheetId="7" hidden="1">{"fdsup://Directions/FactSet Auditing Viewer?action=AUDIT_VALUE&amp;DB=129&amp;ID1=59511210&amp;VALUEID=02001&amp;SDATE=200802&amp;PERIODTYPE=QTR_STD&amp;SCFT=3&amp;window=popup_no_bar&amp;width=385&amp;height=120&amp;START_MAXIMIZED=FALSE&amp;creator=factset&amp;display_string=Audit"}</definedName>
    <definedName name="_3601__FDSAUDITLINK__" hidden="1">{"fdsup://Directions/FactSet Auditing Viewer?action=AUDIT_VALUE&amp;DB=129&amp;ID1=59511210&amp;VALUEID=02001&amp;SDATE=200802&amp;PERIODTYPE=QTR_STD&amp;SCFT=3&amp;window=popup_no_bar&amp;width=385&amp;height=120&amp;START_MAXIMIZED=FALSE&amp;creator=factset&amp;display_string=Audit"}</definedName>
    <definedName name="_3602__FDSAUDITLINK__" localSheetId="7" hidden="1">{"fdsup://Directions/FactSet Auditing Viewer?action=AUDIT_VALUE&amp;DB=129&amp;ID1=59511210&amp;VALUEID=02001&amp;SDATE=200802&amp;PERIODTYPE=QTR_STD&amp;SCFT=3&amp;window=popup_no_bar&amp;width=385&amp;height=120&amp;START_MAXIMIZED=FALSE&amp;creator=factset&amp;display_string=Audit"}</definedName>
    <definedName name="_3602__FDSAUDITLINK__" hidden="1">{"fdsup://Directions/FactSet Auditing Viewer?action=AUDIT_VALUE&amp;DB=129&amp;ID1=59511210&amp;VALUEID=02001&amp;SDATE=200802&amp;PERIODTYPE=QTR_STD&amp;SCFT=3&amp;window=popup_no_bar&amp;width=385&amp;height=120&amp;START_MAXIMIZED=FALSE&amp;creator=factset&amp;display_string=Audit"}</definedName>
    <definedName name="_3603__FDSAUDITLINK__" localSheetId="7" hidden="1">{"fdsup://Directions/FactSet Auditing Viewer?action=AUDIT_VALUE&amp;DB=129&amp;ID1=59511210&amp;VALUEID=02001&amp;SDATE=200801&amp;PERIODTYPE=QTR_STD&amp;SCFT=3&amp;window=popup_no_bar&amp;width=385&amp;height=120&amp;START_MAXIMIZED=FALSE&amp;creator=factset&amp;display_string=Audit"}</definedName>
    <definedName name="_3603__FDSAUDITLINK__" hidden="1">{"fdsup://Directions/FactSet Auditing Viewer?action=AUDIT_VALUE&amp;DB=129&amp;ID1=59511210&amp;VALUEID=02001&amp;SDATE=200801&amp;PERIODTYPE=QTR_STD&amp;SCFT=3&amp;window=popup_no_bar&amp;width=385&amp;height=120&amp;START_MAXIMIZED=FALSE&amp;creator=factset&amp;display_string=Audit"}</definedName>
    <definedName name="_3604__FDSAUDITLINK__" localSheetId="7" hidden="1">{"fdsup://Directions/FactSet Auditing Viewer?action=AUDIT_VALUE&amp;DB=129&amp;ID1=59511210&amp;VALUEID=02001&amp;SDATE=200801&amp;PERIODTYPE=QTR_STD&amp;SCFT=3&amp;window=popup_no_bar&amp;width=385&amp;height=120&amp;START_MAXIMIZED=FALSE&amp;creator=factset&amp;display_string=Audit"}</definedName>
    <definedName name="_3604__FDSAUDITLINK__" hidden="1">{"fdsup://Directions/FactSet Auditing Viewer?action=AUDIT_VALUE&amp;DB=129&amp;ID1=59511210&amp;VALUEID=02001&amp;SDATE=200801&amp;PERIODTYPE=QTR_STD&amp;SCFT=3&amp;window=popup_no_bar&amp;width=385&amp;height=120&amp;START_MAXIMIZED=FALSE&amp;creator=factset&amp;display_string=Audit"}</definedName>
    <definedName name="_3605__FDSAUDITLINK__" localSheetId="7" hidden="1">{"fdsup://Directions/FactSet Auditing Viewer?action=AUDIT_VALUE&amp;DB=129&amp;ID1=59511210&amp;VALUEID=02001&amp;SDATE=200703&amp;PERIODTYPE=QTR_STD&amp;SCFT=3&amp;window=popup_no_bar&amp;width=385&amp;height=120&amp;START_MAXIMIZED=FALSE&amp;creator=factset&amp;display_string=Audit"}</definedName>
    <definedName name="_3605__FDSAUDITLINK__" hidden="1">{"fdsup://Directions/FactSet Auditing Viewer?action=AUDIT_VALUE&amp;DB=129&amp;ID1=59511210&amp;VALUEID=02001&amp;SDATE=200703&amp;PERIODTYPE=QTR_STD&amp;SCFT=3&amp;window=popup_no_bar&amp;width=385&amp;height=120&amp;START_MAXIMIZED=FALSE&amp;creator=factset&amp;display_string=Audit"}</definedName>
    <definedName name="_3606__FDSAUDITLINK__" localSheetId="7" hidden="1">{"fdsup://Directions/FactSet Auditing Viewer?action=AUDIT_VALUE&amp;DB=129&amp;ID1=59511210&amp;VALUEID=02001&amp;SDATE=200703&amp;PERIODTYPE=QTR_STD&amp;SCFT=3&amp;window=popup_no_bar&amp;width=385&amp;height=120&amp;START_MAXIMIZED=FALSE&amp;creator=factset&amp;display_string=Audit"}</definedName>
    <definedName name="_3606__FDSAUDITLINK__" hidden="1">{"fdsup://Directions/FactSet Auditing Viewer?action=AUDIT_VALUE&amp;DB=129&amp;ID1=59511210&amp;VALUEID=02001&amp;SDATE=200703&amp;PERIODTYPE=QTR_STD&amp;SCFT=3&amp;window=popup_no_bar&amp;width=385&amp;height=120&amp;START_MAXIMIZED=FALSE&amp;creator=factset&amp;display_string=Audit"}</definedName>
    <definedName name="_3607__FDSAUDITLINK__" localSheetId="7" hidden="1">{"fdsup://Directions/FactSet Auditing Viewer?action=AUDIT_VALUE&amp;DB=129&amp;ID1=59511210&amp;VALUEID=02001&amp;SDATE=200702&amp;PERIODTYPE=QTR_STD&amp;SCFT=3&amp;window=popup_no_bar&amp;width=385&amp;height=120&amp;START_MAXIMIZED=FALSE&amp;creator=factset&amp;display_string=Audit"}</definedName>
    <definedName name="_3607__FDSAUDITLINK__" hidden="1">{"fdsup://Directions/FactSet Auditing Viewer?action=AUDIT_VALUE&amp;DB=129&amp;ID1=59511210&amp;VALUEID=02001&amp;SDATE=200702&amp;PERIODTYPE=QTR_STD&amp;SCFT=3&amp;window=popup_no_bar&amp;width=385&amp;height=120&amp;START_MAXIMIZED=FALSE&amp;creator=factset&amp;display_string=Audit"}</definedName>
    <definedName name="_3608__FDSAUDITLINK__" localSheetId="7" hidden="1">{"fdsup://Directions/FactSet Auditing Viewer?action=AUDIT_VALUE&amp;DB=129&amp;ID1=59511210&amp;VALUEID=02001&amp;SDATE=200702&amp;PERIODTYPE=QTR_STD&amp;SCFT=3&amp;window=popup_no_bar&amp;width=385&amp;height=120&amp;START_MAXIMIZED=FALSE&amp;creator=factset&amp;display_string=Audit"}</definedName>
    <definedName name="_3608__FDSAUDITLINK__" hidden="1">{"fdsup://Directions/FactSet Auditing Viewer?action=AUDIT_VALUE&amp;DB=129&amp;ID1=59511210&amp;VALUEID=02001&amp;SDATE=200702&amp;PERIODTYPE=QTR_STD&amp;SCFT=3&amp;window=popup_no_bar&amp;width=385&amp;height=120&amp;START_MAXIMIZED=FALSE&amp;creator=factset&amp;display_string=Audit"}</definedName>
    <definedName name="_3609__FDSAUDITLINK__" localSheetId="7" hidden="1">{"fdsup://Directions/FactSet Auditing Viewer?action=AUDIT_VALUE&amp;DB=129&amp;ID1=59511210&amp;VALUEID=02001&amp;SDATE=200701&amp;PERIODTYPE=QTR_STD&amp;SCFT=3&amp;window=popup_no_bar&amp;width=385&amp;height=120&amp;START_MAXIMIZED=FALSE&amp;creator=factset&amp;display_string=Audit"}</definedName>
    <definedName name="_3609__FDSAUDITLINK__" hidden="1">{"fdsup://Directions/FactSet Auditing Viewer?action=AUDIT_VALUE&amp;DB=129&amp;ID1=59511210&amp;VALUEID=02001&amp;SDATE=200701&amp;PERIODTYPE=QTR_STD&amp;SCFT=3&amp;window=popup_no_bar&amp;width=385&amp;height=120&amp;START_MAXIMIZED=FALSE&amp;creator=factset&amp;display_string=Audit"}</definedName>
    <definedName name="_361__FDSAUDITLINK__" localSheetId="7" hidden="1">{"fdsup://Directions/FactSet Auditing Viewer?action=AUDIT_VALUE&amp;DB=129&amp;ID1=G5876H10&amp;VALUEID=02001&amp;SDATE=201003&amp;PERIODTYPE=QTR_STD&amp;SCFT=3&amp;window=popup_no_bar&amp;width=385&amp;height=120&amp;START_MAXIMIZED=FALSE&amp;creator=factset&amp;display_string=Audit"}</definedName>
    <definedName name="_361__FDSAUDITLINK__" hidden="1">{"fdsup://Directions/FactSet Auditing Viewer?action=AUDIT_VALUE&amp;DB=129&amp;ID1=G5876H10&amp;VALUEID=02001&amp;SDATE=201003&amp;PERIODTYPE=QTR_STD&amp;SCFT=3&amp;window=popup_no_bar&amp;width=385&amp;height=120&amp;START_MAXIMIZED=FALSE&amp;creator=factset&amp;display_string=Audit"}</definedName>
    <definedName name="_3610__FDSAUDITLINK__" localSheetId="7" hidden="1">{"fdsup://Directions/FactSet Auditing Viewer?action=AUDIT_VALUE&amp;DB=129&amp;ID1=59511210&amp;VALUEID=02001&amp;SDATE=200701&amp;PERIODTYPE=QTR_STD&amp;SCFT=3&amp;window=popup_no_bar&amp;width=385&amp;height=120&amp;START_MAXIMIZED=FALSE&amp;creator=factset&amp;display_string=Audit"}</definedName>
    <definedName name="_3610__FDSAUDITLINK__" hidden="1">{"fdsup://Directions/FactSet Auditing Viewer?action=AUDIT_VALUE&amp;DB=129&amp;ID1=59511210&amp;VALUEID=02001&amp;SDATE=200701&amp;PERIODTYPE=QTR_STD&amp;SCFT=3&amp;window=popup_no_bar&amp;width=385&amp;height=120&amp;START_MAXIMIZED=FALSE&amp;creator=factset&amp;display_string=Audit"}</definedName>
    <definedName name="_3611__FDSAUDITLINK__" localSheetId="7" hidden="1">{"fdsup://Directions/FactSet Auditing Viewer?action=AUDIT_VALUE&amp;DB=129&amp;ID1=59511210&amp;VALUEID=02001&amp;SDATE=200603&amp;PERIODTYPE=QTR_STD&amp;SCFT=3&amp;window=popup_no_bar&amp;width=385&amp;height=120&amp;START_MAXIMIZED=FALSE&amp;creator=factset&amp;display_string=Audit"}</definedName>
    <definedName name="_3611__FDSAUDITLINK__" hidden="1">{"fdsup://Directions/FactSet Auditing Viewer?action=AUDIT_VALUE&amp;DB=129&amp;ID1=59511210&amp;VALUEID=02001&amp;SDATE=200603&amp;PERIODTYPE=QTR_STD&amp;SCFT=3&amp;window=popup_no_bar&amp;width=385&amp;height=120&amp;START_MAXIMIZED=FALSE&amp;creator=factset&amp;display_string=Audit"}</definedName>
    <definedName name="_3612__FDSAUDITLINK__" localSheetId="7" hidden="1">{"fdsup://Directions/FactSet Auditing Viewer?action=AUDIT_VALUE&amp;DB=129&amp;ID1=59511210&amp;VALUEID=02001&amp;SDATE=200603&amp;PERIODTYPE=QTR_STD&amp;SCFT=3&amp;window=popup_no_bar&amp;width=385&amp;height=120&amp;START_MAXIMIZED=FALSE&amp;creator=factset&amp;display_string=Audit"}</definedName>
    <definedName name="_3612__FDSAUDITLINK__" hidden="1">{"fdsup://Directions/FactSet Auditing Viewer?action=AUDIT_VALUE&amp;DB=129&amp;ID1=59511210&amp;VALUEID=02001&amp;SDATE=200603&amp;PERIODTYPE=QTR_STD&amp;SCFT=3&amp;window=popup_no_bar&amp;width=385&amp;height=120&amp;START_MAXIMIZED=FALSE&amp;creator=factset&amp;display_string=Audit"}</definedName>
    <definedName name="_3613__FDSAUDITLINK__" localSheetId="7" hidden="1">{"fdsup://Directions/FactSet Auditing Viewer?action=AUDIT_VALUE&amp;DB=129&amp;ID1=59511210&amp;VALUEID=02001&amp;SDATE=200602&amp;PERIODTYPE=QTR_STD&amp;SCFT=3&amp;window=popup_no_bar&amp;width=385&amp;height=120&amp;START_MAXIMIZED=FALSE&amp;creator=factset&amp;display_string=Audit"}</definedName>
    <definedName name="_3613__FDSAUDITLINK__" hidden="1">{"fdsup://Directions/FactSet Auditing Viewer?action=AUDIT_VALUE&amp;DB=129&amp;ID1=59511210&amp;VALUEID=02001&amp;SDATE=200602&amp;PERIODTYPE=QTR_STD&amp;SCFT=3&amp;window=popup_no_bar&amp;width=385&amp;height=120&amp;START_MAXIMIZED=FALSE&amp;creator=factset&amp;display_string=Audit"}</definedName>
    <definedName name="_3614__FDSAUDITLINK__" localSheetId="7" hidden="1">{"fdsup://Directions/FactSet Auditing Viewer?action=AUDIT_VALUE&amp;DB=129&amp;ID1=59511210&amp;VALUEID=02001&amp;SDATE=200602&amp;PERIODTYPE=QTR_STD&amp;SCFT=3&amp;window=popup_no_bar&amp;width=385&amp;height=120&amp;START_MAXIMIZED=FALSE&amp;creator=factset&amp;display_string=Audit"}</definedName>
    <definedName name="_3614__FDSAUDITLINK__" hidden="1">{"fdsup://Directions/FactSet Auditing Viewer?action=AUDIT_VALUE&amp;DB=129&amp;ID1=59511210&amp;VALUEID=02001&amp;SDATE=200602&amp;PERIODTYPE=QTR_STD&amp;SCFT=3&amp;window=popup_no_bar&amp;width=385&amp;height=120&amp;START_MAXIMIZED=FALSE&amp;creator=factset&amp;display_string=Audit"}</definedName>
    <definedName name="_3615__FDSAUDITLINK__" localSheetId="7" hidden="1">{"fdsup://Directions/FactSet Auditing Viewer?action=AUDIT_VALUE&amp;DB=129&amp;ID1=59511210&amp;VALUEID=02001&amp;SDATE=200601&amp;PERIODTYPE=QTR_STD&amp;SCFT=3&amp;window=popup_no_bar&amp;width=385&amp;height=120&amp;START_MAXIMIZED=FALSE&amp;creator=factset&amp;display_string=Audit"}</definedName>
    <definedName name="_3615__FDSAUDITLINK__" hidden="1">{"fdsup://Directions/FactSet Auditing Viewer?action=AUDIT_VALUE&amp;DB=129&amp;ID1=59511210&amp;VALUEID=02001&amp;SDATE=200601&amp;PERIODTYPE=QTR_STD&amp;SCFT=3&amp;window=popup_no_bar&amp;width=385&amp;height=120&amp;START_MAXIMIZED=FALSE&amp;creator=factset&amp;display_string=Audit"}</definedName>
    <definedName name="_3616__FDSAUDITLINK__" localSheetId="7" hidden="1">{"fdsup://Directions/FactSet Auditing Viewer?action=AUDIT_VALUE&amp;DB=129&amp;ID1=59511210&amp;VALUEID=02001&amp;SDATE=200601&amp;PERIODTYPE=QTR_STD&amp;SCFT=3&amp;window=popup_no_bar&amp;width=385&amp;height=120&amp;START_MAXIMIZED=FALSE&amp;creator=factset&amp;display_string=Audit"}</definedName>
    <definedName name="_3616__FDSAUDITLINK__" hidden="1">{"fdsup://Directions/FactSet Auditing Viewer?action=AUDIT_VALUE&amp;DB=129&amp;ID1=59511210&amp;VALUEID=02001&amp;SDATE=200601&amp;PERIODTYPE=QTR_STD&amp;SCFT=3&amp;window=popup_no_bar&amp;width=385&amp;height=120&amp;START_MAXIMIZED=FALSE&amp;creator=factset&amp;display_string=Audit"}</definedName>
    <definedName name="_3617__FDSAUDITLINK__" localSheetId="7" hidden="1">{"fdsup://Directions/FactSet Auditing Viewer?action=AUDIT_VALUE&amp;DB=129&amp;ID1=59511210&amp;VALUEID=02001&amp;SDATE=200503&amp;PERIODTYPE=QTR_STD&amp;SCFT=3&amp;window=popup_no_bar&amp;width=385&amp;height=120&amp;START_MAXIMIZED=FALSE&amp;creator=factset&amp;display_string=Audit"}</definedName>
    <definedName name="_3617__FDSAUDITLINK__" hidden="1">{"fdsup://Directions/FactSet Auditing Viewer?action=AUDIT_VALUE&amp;DB=129&amp;ID1=59511210&amp;VALUEID=02001&amp;SDATE=200503&amp;PERIODTYPE=QTR_STD&amp;SCFT=3&amp;window=popup_no_bar&amp;width=385&amp;height=120&amp;START_MAXIMIZED=FALSE&amp;creator=factset&amp;display_string=Audit"}</definedName>
    <definedName name="_3618__FDSAUDITLINK__" localSheetId="7" hidden="1">{"fdsup://Directions/FactSet Auditing Viewer?action=AUDIT_VALUE&amp;DB=129&amp;ID1=59511210&amp;VALUEID=02001&amp;SDATE=200503&amp;PERIODTYPE=QTR_STD&amp;SCFT=3&amp;window=popup_no_bar&amp;width=385&amp;height=120&amp;START_MAXIMIZED=FALSE&amp;creator=factset&amp;display_string=Audit"}</definedName>
    <definedName name="_3618__FDSAUDITLINK__" hidden="1">{"fdsup://Directions/FactSet Auditing Viewer?action=AUDIT_VALUE&amp;DB=129&amp;ID1=59511210&amp;VALUEID=02001&amp;SDATE=200503&amp;PERIODTYPE=QTR_STD&amp;SCFT=3&amp;window=popup_no_bar&amp;width=385&amp;height=120&amp;START_MAXIMIZED=FALSE&amp;creator=factset&amp;display_string=Audit"}</definedName>
    <definedName name="_3619__FDSAUDITLINK__" localSheetId="7" hidden="1">{"fdsup://Directions/FactSet Auditing Viewer?action=AUDIT_VALUE&amp;DB=129&amp;ID1=59511210&amp;VALUEID=02001&amp;SDATE=200502&amp;PERIODTYPE=QTR_STD&amp;SCFT=3&amp;window=popup_no_bar&amp;width=385&amp;height=120&amp;START_MAXIMIZED=FALSE&amp;creator=factset&amp;display_string=Audit"}</definedName>
    <definedName name="_3619__FDSAUDITLINK__" hidden="1">{"fdsup://Directions/FactSet Auditing Viewer?action=AUDIT_VALUE&amp;DB=129&amp;ID1=59511210&amp;VALUEID=02001&amp;SDATE=200502&amp;PERIODTYPE=QTR_STD&amp;SCFT=3&amp;window=popup_no_bar&amp;width=385&amp;height=120&amp;START_MAXIMIZED=FALSE&amp;creator=factset&amp;display_string=Audit"}</definedName>
    <definedName name="_362__FDSAUDITLINK__" localSheetId="7" hidden="1">{"fdsup://Directions/FactSet Auditing Viewer?action=AUDIT_VALUE&amp;DB=129&amp;ID1=G5876H10&amp;VALUEID=02001&amp;SDATE=201003&amp;PERIODTYPE=QTR_STD&amp;SCFT=3&amp;window=popup_no_bar&amp;width=385&amp;height=120&amp;START_MAXIMIZED=FALSE&amp;creator=factset&amp;display_string=Audit"}</definedName>
    <definedName name="_362__FDSAUDITLINK__" hidden="1">{"fdsup://Directions/FactSet Auditing Viewer?action=AUDIT_VALUE&amp;DB=129&amp;ID1=G5876H10&amp;VALUEID=02001&amp;SDATE=201003&amp;PERIODTYPE=QTR_STD&amp;SCFT=3&amp;window=popup_no_bar&amp;width=385&amp;height=120&amp;START_MAXIMIZED=FALSE&amp;creator=factset&amp;display_string=Audit"}</definedName>
    <definedName name="_3620__FDSAUDITLINK__" localSheetId="7" hidden="1">{"fdsup://Directions/FactSet Auditing Viewer?action=AUDIT_VALUE&amp;DB=129&amp;ID1=59511210&amp;VALUEID=02001&amp;SDATE=200502&amp;PERIODTYPE=QTR_STD&amp;SCFT=3&amp;window=popup_no_bar&amp;width=385&amp;height=120&amp;START_MAXIMIZED=FALSE&amp;creator=factset&amp;display_string=Audit"}</definedName>
    <definedName name="_3620__FDSAUDITLINK__" hidden="1">{"fdsup://Directions/FactSet Auditing Viewer?action=AUDIT_VALUE&amp;DB=129&amp;ID1=59511210&amp;VALUEID=02001&amp;SDATE=200502&amp;PERIODTYPE=QTR_STD&amp;SCFT=3&amp;window=popup_no_bar&amp;width=385&amp;height=120&amp;START_MAXIMIZED=FALSE&amp;creator=factset&amp;display_string=Audit"}</definedName>
    <definedName name="_3621__FDSAUDITLINK__" localSheetId="7" hidden="1">{"fdsup://Directions/FactSet Auditing Viewer?action=AUDIT_VALUE&amp;DB=129&amp;ID1=59511210&amp;VALUEID=02001&amp;SDATE=200501&amp;PERIODTYPE=QTR_STD&amp;SCFT=3&amp;window=popup_no_bar&amp;width=385&amp;height=120&amp;START_MAXIMIZED=FALSE&amp;creator=factset&amp;display_string=Audit"}</definedName>
    <definedName name="_3621__FDSAUDITLINK__" hidden="1">{"fdsup://Directions/FactSet Auditing Viewer?action=AUDIT_VALUE&amp;DB=129&amp;ID1=59511210&amp;VALUEID=02001&amp;SDATE=200501&amp;PERIODTYPE=QTR_STD&amp;SCFT=3&amp;window=popup_no_bar&amp;width=385&amp;height=120&amp;START_MAXIMIZED=FALSE&amp;creator=factset&amp;display_string=Audit"}</definedName>
    <definedName name="_3622__FDSAUDITLINK__" localSheetId="7" hidden="1">{"fdsup://Directions/FactSet Auditing Viewer?action=AUDIT_VALUE&amp;DB=129&amp;ID1=59511210&amp;VALUEID=02001&amp;SDATE=200501&amp;PERIODTYPE=QTR_STD&amp;SCFT=3&amp;window=popup_no_bar&amp;width=385&amp;height=120&amp;START_MAXIMIZED=FALSE&amp;creator=factset&amp;display_string=Audit"}</definedName>
    <definedName name="_3622__FDSAUDITLINK__" hidden="1">{"fdsup://Directions/FactSet Auditing Viewer?action=AUDIT_VALUE&amp;DB=129&amp;ID1=59511210&amp;VALUEID=02001&amp;SDATE=200501&amp;PERIODTYPE=QTR_STD&amp;SCFT=3&amp;window=popup_no_bar&amp;width=385&amp;height=120&amp;START_MAXIMIZED=FALSE&amp;creator=factset&amp;display_string=Audit"}</definedName>
    <definedName name="_3623__FDSAUDITLINK__" localSheetId="7" hidden="1">{"fdsup://Directions/FactSet Auditing Viewer?action=AUDIT_VALUE&amp;DB=129&amp;ID1=59511210&amp;VALUEID=02001&amp;SDATE=200403&amp;PERIODTYPE=QTR_STD&amp;SCFT=3&amp;window=popup_no_bar&amp;width=385&amp;height=120&amp;START_MAXIMIZED=FALSE&amp;creator=factset&amp;display_string=Audit"}</definedName>
    <definedName name="_3623__FDSAUDITLINK__" hidden="1">{"fdsup://Directions/FactSet Auditing Viewer?action=AUDIT_VALUE&amp;DB=129&amp;ID1=59511210&amp;VALUEID=02001&amp;SDATE=200403&amp;PERIODTYPE=QTR_STD&amp;SCFT=3&amp;window=popup_no_bar&amp;width=385&amp;height=120&amp;START_MAXIMIZED=FALSE&amp;creator=factset&amp;display_string=Audit"}</definedName>
    <definedName name="_3624__FDSAUDITLINK__" localSheetId="7" hidden="1">{"fdsup://Directions/FactSet Auditing Viewer?action=AUDIT_VALUE&amp;DB=129&amp;ID1=59511210&amp;VALUEID=02001&amp;SDATE=200403&amp;PERIODTYPE=QTR_STD&amp;SCFT=3&amp;window=popup_no_bar&amp;width=385&amp;height=120&amp;START_MAXIMIZED=FALSE&amp;creator=factset&amp;display_string=Audit"}</definedName>
    <definedName name="_3624__FDSAUDITLINK__" hidden="1">{"fdsup://Directions/FactSet Auditing Viewer?action=AUDIT_VALUE&amp;DB=129&amp;ID1=59511210&amp;VALUEID=02001&amp;SDATE=200403&amp;PERIODTYPE=QTR_STD&amp;SCFT=3&amp;window=popup_no_bar&amp;width=385&amp;height=120&amp;START_MAXIMIZED=FALSE&amp;creator=factset&amp;display_string=Audit"}</definedName>
    <definedName name="_3625__FDSAUDITLINK__" localSheetId="7" hidden="1">{"fdsup://Directions/FactSet Auditing Viewer?action=AUDIT_VALUE&amp;DB=129&amp;ID1=59511210&amp;VALUEID=02001&amp;SDATE=200402&amp;PERIODTYPE=QTR_STD&amp;SCFT=3&amp;window=popup_no_bar&amp;width=385&amp;height=120&amp;START_MAXIMIZED=FALSE&amp;creator=factset&amp;display_string=Audit"}</definedName>
    <definedName name="_3625__FDSAUDITLINK__" hidden="1">{"fdsup://Directions/FactSet Auditing Viewer?action=AUDIT_VALUE&amp;DB=129&amp;ID1=59511210&amp;VALUEID=02001&amp;SDATE=200402&amp;PERIODTYPE=QTR_STD&amp;SCFT=3&amp;window=popup_no_bar&amp;width=385&amp;height=120&amp;START_MAXIMIZED=FALSE&amp;creator=factset&amp;display_string=Audit"}</definedName>
    <definedName name="_3626__FDSAUDITLINK__" localSheetId="7" hidden="1">{"fdsup://Directions/FactSet Auditing Viewer?action=AUDIT_VALUE&amp;DB=129&amp;ID1=59511210&amp;VALUEID=02001&amp;SDATE=200402&amp;PERIODTYPE=QTR_STD&amp;SCFT=3&amp;window=popup_no_bar&amp;width=385&amp;height=120&amp;START_MAXIMIZED=FALSE&amp;creator=factset&amp;display_string=Audit"}</definedName>
    <definedName name="_3626__FDSAUDITLINK__" hidden="1">{"fdsup://Directions/FactSet Auditing Viewer?action=AUDIT_VALUE&amp;DB=129&amp;ID1=59511210&amp;VALUEID=02001&amp;SDATE=200402&amp;PERIODTYPE=QTR_STD&amp;SCFT=3&amp;window=popup_no_bar&amp;width=385&amp;height=120&amp;START_MAXIMIZED=FALSE&amp;creator=factset&amp;display_string=Audit"}</definedName>
    <definedName name="_3627__FDSAUDITLINK__" localSheetId="7" hidden="1">{"fdsup://Directions/FactSet Auditing Viewer?action=AUDIT_VALUE&amp;DB=129&amp;ID1=59513710&amp;VALUEID=02001&amp;SDATE=200802&amp;PERIODTYPE=QTR_STD&amp;SCFT=3&amp;window=popup_no_bar&amp;width=385&amp;height=120&amp;START_MAXIMIZED=FALSE&amp;creator=factset&amp;display_string=Audit"}</definedName>
    <definedName name="_3627__FDSAUDITLINK__" hidden="1">{"fdsup://Directions/FactSet Auditing Viewer?action=AUDIT_VALUE&amp;DB=129&amp;ID1=59513710&amp;VALUEID=02001&amp;SDATE=200802&amp;PERIODTYPE=QTR_STD&amp;SCFT=3&amp;window=popup_no_bar&amp;width=385&amp;height=120&amp;START_MAXIMIZED=FALSE&amp;creator=factset&amp;display_string=Audit"}</definedName>
    <definedName name="_3628__FDSAUDITLINK__" localSheetId="7" hidden="1">{"fdsup://Directions/FactSet Auditing Viewer?action=AUDIT_VALUE&amp;DB=129&amp;ID1=59513710&amp;VALUEID=02001&amp;SDATE=200802&amp;PERIODTYPE=QTR_STD&amp;SCFT=3&amp;window=popup_no_bar&amp;width=385&amp;height=120&amp;START_MAXIMIZED=FALSE&amp;creator=factset&amp;display_string=Audit"}</definedName>
    <definedName name="_3628__FDSAUDITLINK__" hidden="1">{"fdsup://Directions/FactSet Auditing Viewer?action=AUDIT_VALUE&amp;DB=129&amp;ID1=59513710&amp;VALUEID=02001&amp;SDATE=200802&amp;PERIODTYPE=QTR_STD&amp;SCFT=3&amp;window=popup_no_bar&amp;width=385&amp;height=120&amp;START_MAXIMIZED=FALSE&amp;creator=factset&amp;display_string=Audit"}</definedName>
    <definedName name="_3629__FDSAUDITLINK__" localSheetId="7" hidden="1">{"fdsup://Directions/FactSet Auditing Viewer?action=AUDIT_VALUE&amp;DB=129&amp;ID1=59513710&amp;VALUEID=02001&amp;SDATE=200801&amp;PERIODTYPE=QTR_STD&amp;SCFT=3&amp;window=popup_no_bar&amp;width=385&amp;height=120&amp;START_MAXIMIZED=FALSE&amp;creator=factset&amp;display_string=Audit"}</definedName>
    <definedName name="_3629__FDSAUDITLINK__" hidden="1">{"fdsup://Directions/FactSet Auditing Viewer?action=AUDIT_VALUE&amp;DB=129&amp;ID1=59513710&amp;VALUEID=02001&amp;SDATE=200801&amp;PERIODTYPE=QTR_STD&amp;SCFT=3&amp;window=popup_no_bar&amp;width=385&amp;height=120&amp;START_MAXIMIZED=FALSE&amp;creator=factset&amp;display_string=Audit"}</definedName>
    <definedName name="_363__FDSAUDITLINK__" localSheetId="7" hidden="1">{"fdsup://Directions/FactSet Auditing Viewer?action=AUDIT_VALUE&amp;DB=129&amp;ID1=62007630&amp;VALUEID=02001&amp;SDATE=201003&amp;PERIODTYPE=QTR_STD&amp;SCFT=3&amp;window=popup_no_bar&amp;width=385&amp;height=120&amp;START_MAXIMIZED=FALSE&amp;creator=factset&amp;display_string=Audit"}</definedName>
    <definedName name="_363__FDSAUDITLINK__" hidden="1">{"fdsup://Directions/FactSet Auditing Viewer?action=AUDIT_VALUE&amp;DB=129&amp;ID1=62007630&amp;VALUEID=02001&amp;SDATE=201003&amp;PERIODTYPE=QTR_STD&amp;SCFT=3&amp;window=popup_no_bar&amp;width=385&amp;height=120&amp;START_MAXIMIZED=FALSE&amp;creator=factset&amp;display_string=Audit"}</definedName>
    <definedName name="_3630__FDSAUDITLINK__" localSheetId="7" hidden="1">{"fdsup://Directions/FactSet Auditing Viewer?action=AUDIT_VALUE&amp;DB=129&amp;ID1=59513710&amp;VALUEID=02001&amp;SDATE=200801&amp;PERIODTYPE=QTR_STD&amp;SCFT=3&amp;window=popup_no_bar&amp;width=385&amp;height=120&amp;START_MAXIMIZED=FALSE&amp;creator=factset&amp;display_string=Audit"}</definedName>
    <definedName name="_3630__FDSAUDITLINK__" hidden="1">{"fdsup://Directions/FactSet Auditing Viewer?action=AUDIT_VALUE&amp;DB=129&amp;ID1=59513710&amp;VALUEID=02001&amp;SDATE=200801&amp;PERIODTYPE=QTR_STD&amp;SCFT=3&amp;window=popup_no_bar&amp;width=385&amp;height=120&amp;START_MAXIMIZED=FALSE&amp;creator=factset&amp;display_string=Audit"}</definedName>
    <definedName name="_3631__FDSAUDITLINK__" localSheetId="7" hidden="1">{"fdsup://Directions/FactSet Auditing Viewer?action=AUDIT_VALUE&amp;DB=129&amp;ID1=59513710&amp;VALUEID=02001&amp;SDATE=200703&amp;PERIODTYPE=QTR_STD&amp;SCFT=3&amp;window=popup_no_bar&amp;width=385&amp;height=120&amp;START_MAXIMIZED=FALSE&amp;creator=factset&amp;display_string=Audit"}</definedName>
    <definedName name="_3631__FDSAUDITLINK__" hidden="1">{"fdsup://Directions/FactSet Auditing Viewer?action=AUDIT_VALUE&amp;DB=129&amp;ID1=59513710&amp;VALUEID=02001&amp;SDATE=200703&amp;PERIODTYPE=QTR_STD&amp;SCFT=3&amp;window=popup_no_bar&amp;width=385&amp;height=120&amp;START_MAXIMIZED=FALSE&amp;creator=factset&amp;display_string=Audit"}</definedName>
    <definedName name="_3632__FDSAUDITLINK__" localSheetId="7" hidden="1">{"fdsup://Directions/FactSet Auditing Viewer?action=AUDIT_VALUE&amp;DB=129&amp;ID1=59513710&amp;VALUEID=02001&amp;SDATE=200703&amp;PERIODTYPE=QTR_STD&amp;SCFT=3&amp;window=popup_no_bar&amp;width=385&amp;height=120&amp;START_MAXIMIZED=FALSE&amp;creator=factset&amp;display_string=Audit"}</definedName>
    <definedName name="_3632__FDSAUDITLINK__" hidden="1">{"fdsup://Directions/FactSet Auditing Viewer?action=AUDIT_VALUE&amp;DB=129&amp;ID1=59513710&amp;VALUEID=02001&amp;SDATE=200703&amp;PERIODTYPE=QTR_STD&amp;SCFT=3&amp;window=popup_no_bar&amp;width=385&amp;height=120&amp;START_MAXIMIZED=FALSE&amp;creator=factset&amp;display_string=Audit"}</definedName>
    <definedName name="_3633__FDSAUDITLINK__" localSheetId="7" hidden="1">{"fdsup://Directions/FactSet Auditing Viewer?action=AUDIT_VALUE&amp;DB=129&amp;ID1=59513710&amp;VALUEID=02001&amp;SDATE=200702&amp;PERIODTYPE=QTR_STD&amp;SCFT=3&amp;window=popup_no_bar&amp;width=385&amp;height=120&amp;START_MAXIMIZED=FALSE&amp;creator=factset&amp;display_string=Audit"}</definedName>
    <definedName name="_3633__FDSAUDITLINK__" hidden="1">{"fdsup://Directions/FactSet Auditing Viewer?action=AUDIT_VALUE&amp;DB=129&amp;ID1=59513710&amp;VALUEID=02001&amp;SDATE=200702&amp;PERIODTYPE=QTR_STD&amp;SCFT=3&amp;window=popup_no_bar&amp;width=385&amp;height=120&amp;START_MAXIMIZED=FALSE&amp;creator=factset&amp;display_string=Audit"}</definedName>
    <definedName name="_3634__FDSAUDITLINK__" localSheetId="7" hidden="1">{"fdsup://Directions/FactSet Auditing Viewer?action=AUDIT_VALUE&amp;DB=129&amp;ID1=59513710&amp;VALUEID=02001&amp;SDATE=200702&amp;PERIODTYPE=QTR_STD&amp;SCFT=3&amp;window=popup_no_bar&amp;width=385&amp;height=120&amp;START_MAXIMIZED=FALSE&amp;creator=factset&amp;display_string=Audit"}</definedName>
    <definedName name="_3634__FDSAUDITLINK__" hidden="1">{"fdsup://Directions/FactSet Auditing Viewer?action=AUDIT_VALUE&amp;DB=129&amp;ID1=59513710&amp;VALUEID=02001&amp;SDATE=200702&amp;PERIODTYPE=QTR_STD&amp;SCFT=3&amp;window=popup_no_bar&amp;width=385&amp;height=120&amp;START_MAXIMIZED=FALSE&amp;creator=factset&amp;display_string=Audit"}</definedName>
    <definedName name="_3635__FDSAUDITLINK__" localSheetId="7" hidden="1">{"fdsup://Directions/FactSet Auditing Viewer?action=AUDIT_VALUE&amp;DB=129&amp;ID1=59513710&amp;VALUEID=02001&amp;SDATE=200701&amp;PERIODTYPE=QTR_STD&amp;SCFT=3&amp;window=popup_no_bar&amp;width=385&amp;height=120&amp;START_MAXIMIZED=FALSE&amp;creator=factset&amp;display_string=Audit"}</definedName>
    <definedName name="_3635__FDSAUDITLINK__" hidden="1">{"fdsup://Directions/FactSet Auditing Viewer?action=AUDIT_VALUE&amp;DB=129&amp;ID1=59513710&amp;VALUEID=02001&amp;SDATE=200701&amp;PERIODTYPE=QTR_STD&amp;SCFT=3&amp;window=popup_no_bar&amp;width=385&amp;height=120&amp;START_MAXIMIZED=FALSE&amp;creator=factset&amp;display_string=Audit"}</definedName>
    <definedName name="_3636__FDSAUDITLINK__" localSheetId="7" hidden="1">{"fdsup://Directions/FactSet Auditing Viewer?action=AUDIT_VALUE&amp;DB=129&amp;ID1=59513710&amp;VALUEID=02001&amp;SDATE=200701&amp;PERIODTYPE=QTR_STD&amp;SCFT=3&amp;window=popup_no_bar&amp;width=385&amp;height=120&amp;START_MAXIMIZED=FALSE&amp;creator=factset&amp;display_string=Audit"}</definedName>
    <definedName name="_3636__FDSAUDITLINK__" hidden="1">{"fdsup://Directions/FactSet Auditing Viewer?action=AUDIT_VALUE&amp;DB=129&amp;ID1=59513710&amp;VALUEID=02001&amp;SDATE=200701&amp;PERIODTYPE=QTR_STD&amp;SCFT=3&amp;window=popup_no_bar&amp;width=385&amp;height=120&amp;START_MAXIMIZED=FALSE&amp;creator=factset&amp;display_string=Audit"}</definedName>
    <definedName name="_3637__FDSAUDITLINK__" localSheetId="7" hidden="1">{"fdsup://Directions/FactSet Auditing Viewer?action=AUDIT_VALUE&amp;DB=129&amp;ID1=59513710&amp;VALUEID=02001&amp;SDATE=200603&amp;PERIODTYPE=QTR_STD&amp;SCFT=3&amp;window=popup_no_bar&amp;width=385&amp;height=120&amp;START_MAXIMIZED=FALSE&amp;creator=factset&amp;display_string=Audit"}</definedName>
    <definedName name="_3637__FDSAUDITLINK__" hidden="1">{"fdsup://Directions/FactSet Auditing Viewer?action=AUDIT_VALUE&amp;DB=129&amp;ID1=59513710&amp;VALUEID=02001&amp;SDATE=200603&amp;PERIODTYPE=QTR_STD&amp;SCFT=3&amp;window=popup_no_bar&amp;width=385&amp;height=120&amp;START_MAXIMIZED=FALSE&amp;creator=factset&amp;display_string=Audit"}</definedName>
    <definedName name="_3638__FDSAUDITLINK__" localSheetId="7" hidden="1">{"fdsup://Directions/FactSet Auditing Viewer?action=AUDIT_VALUE&amp;DB=129&amp;ID1=59513710&amp;VALUEID=02001&amp;SDATE=200603&amp;PERIODTYPE=QTR_STD&amp;SCFT=3&amp;window=popup_no_bar&amp;width=385&amp;height=120&amp;START_MAXIMIZED=FALSE&amp;creator=factset&amp;display_string=Audit"}</definedName>
    <definedName name="_3638__FDSAUDITLINK__" hidden="1">{"fdsup://Directions/FactSet Auditing Viewer?action=AUDIT_VALUE&amp;DB=129&amp;ID1=59513710&amp;VALUEID=02001&amp;SDATE=200603&amp;PERIODTYPE=QTR_STD&amp;SCFT=3&amp;window=popup_no_bar&amp;width=385&amp;height=120&amp;START_MAXIMIZED=FALSE&amp;creator=factset&amp;display_string=Audit"}</definedName>
    <definedName name="_3639__FDSAUDITLINK__" localSheetId="7" hidden="1">{"fdsup://Directions/FactSet Auditing Viewer?action=AUDIT_VALUE&amp;DB=129&amp;ID1=59513710&amp;VALUEID=02001&amp;SDATE=200602&amp;PERIODTYPE=QTR_STD&amp;SCFT=3&amp;window=popup_no_bar&amp;width=385&amp;height=120&amp;START_MAXIMIZED=FALSE&amp;creator=factset&amp;display_string=Audit"}</definedName>
    <definedName name="_3639__FDSAUDITLINK__" hidden="1">{"fdsup://Directions/FactSet Auditing Viewer?action=AUDIT_VALUE&amp;DB=129&amp;ID1=59513710&amp;VALUEID=02001&amp;SDATE=200602&amp;PERIODTYPE=QTR_STD&amp;SCFT=3&amp;window=popup_no_bar&amp;width=385&amp;height=120&amp;START_MAXIMIZED=FALSE&amp;creator=factset&amp;display_string=Audit"}</definedName>
    <definedName name="_364__FDSAUDITLINK__" localSheetId="7" hidden="1">{"fdsup://Directions/FactSet Auditing Viewer?action=AUDIT_VALUE&amp;DB=129&amp;ID1=62007630&amp;VALUEID=02001&amp;SDATE=201003&amp;PERIODTYPE=QTR_STD&amp;SCFT=3&amp;window=popup_no_bar&amp;width=385&amp;height=120&amp;START_MAXIMIZED=FALSE&amp;creator=factset&amp;display_string=Audit"}</definedName>
    <definedName name="_364__FDSAUDITLINK__" hidden="1">{"fdsup://Directions/FactSet Auditing Viewer?action=AUDIT_VALUE&amp;DB=129&amp;ID1=62007630&amp;VALUEID=02001&amp;SDATE=201003&amp;PERIODTYPE=QTR_STD&amp;SCFT=3&amp;window=popup_no_bar&amp;width=385&amp;height=120&amp;START_MAXIMIZED=FALSE&amp;creator=factset&amp;display_string=Audit"}</definedName>
    <definedName name="_3640__FDSAUDITLINK__" localSheetId="7" hidden="1">{"fdsup://Directions/FactSet Auditing Viewer?action=AUDIT_VALUE&amp;DB=129&amp;ID1=59513710&amp;VALUEID=02001&amp;SDATE=200602&amp;PERIODTYPE=QTR_STD&amp;SCFT=3&amp;window=popup_no_bar&amp;width=385&amp;height=120&amp;START_MAXIMIZED=FALSE&amp;creator=factset&amp;display_string=Audit"}</definedName>
    <definedName name="_3640__FDSAUDITLINK__" hidden="1">{"fdsup://Directions/FactSet Auditing Viewer?action=AUDIT_VALUE&amp;DB=129&amp;ID1=59513710&amp;VALUEID=02001&amp;SDATE=200602&amp;PERIODTYPE=QTR_STD&amp;SCFT=3&amp;window=popup_no_bar&amp;width=385&amp;height=120&amp;START_MAXIMIZED=FALSE&amp;creator=factset&amp;display_string=Audit"}</definedName>
    <definedName name="_3641__FDSAUDITLINK__" localSheetId="7" hidden="1">{"fdsup://Directions/FactSet Auditing Viewer?action=AUDIT_VALUE&amp;DB=129&amp;ID1=59513710&amp;VALUEID=02001&amp;SDATE=200601&amp;PERIODTYPE=QTR_STD&amp;SCFT=3&amp;window=popup_no_bar&amp;width=385&amp;height=120&amp;START_MAXIMIZED=FALSE&amp;creator=factset&amp;display_string=Audit"}</definedName>
    <definedName name="_3641__FDSAUDITLINK__" hidden="1">{"fdsup://Directions/FactSet Auditing Viewer?action=AUDIT_VALUE&amp;DB=129&amp;ID1=59513710&amp;VALUEID=02001&amp;SDATE=200601&amp;PERIODTYPE=QTR_STD&amp;SCFT=3&amp;window=popup_no_bar&amp;width=385&amp;height=120&amp;START_MAXIMIZED=FALSE&amp;creator=factset&amp;display_string=Audit"}</definedName>
    <definedName name="_3642__FDSAUDITLINK__" localSheetId="7" hidden="1">{"fdsup://Directions/FactSet Auditing Viewer?action=AUDIT_VALUE&amp;DB=129&amp;ID1=59513710&amp;VALUEID=02001&amp;SDATE=200601&amp;PERIODTYPE=QTR_STD&amp;SCFT=3&amp;window=popup_no_bar&amp;width=385&amp;height=120&amp;START_MAXIMIZED=FALSE&amp;creator=factset&amp;display_string=Audit"}</definedName>
    <definedName name="_3642__FDSAUDITLINK__" hidden="1">{"fdsup://Directions/FactSet Auditing Viewer?action=AUDIT_VALUE&amp;DB=129&amp;ID1=59513710&amp;VALUEID=02001&amp;SDATE=200601&amp;PERIODTYPE=QTR_STD&amp;SCFT=3&amp;window=popup_no_bar&amp;width=385&amp;height=120&amp;START_MAXIMIZED=FALSE&amp;creator=factset&amp;display_string=Audit"}</definedName>
    <definedName name="_3643__FDSAUDITLINK__" localSheetId="7" hidden="1">{"fdsup://Directions/FactSet Auditing Viewer?action=AUDIT_VALUE&amp;DB=129&amp;ID1=59513710&amp;VALUEID=02001&amp;SDATE=200503&amp;PERIODTYPE=QTR_STD&amp;SCFT=3&amp;window=popup_no_bar&amp;width=385&amp;height=120&amp;START_MAXIMIZED=FALSE&amp;creator=factset&amp;display_string=Audit"}</definedName>
    <definedName name="_3643__FDSAUDITLINK__" hidden="1">{"fdsup://Directions/FactSet Auditing Viewer?action=AUDIT_VALUE&amp;DB=129&amp;ID1=59513710&amp;VALUEID=02001&amp;SDATE=200503&amp;PERIODTYPE=QTR_STD&amp;SCFT=3&amp;window=popup_no_bar&amp;width=385&amp;height=120&amp;START_MAXIMIZED=FALSE&amp;creator=factset&amp;display_string=Audit"}</definedName>
    <definedName name="_3644__FDSAUDITLINK__" localSheetId="7" hidden="1">{"fdsup://Directions/FactSet Auditing Viewer?action=AUDIT_VALUE&amp;DB=129&amp;ID1=59513710&amp;VALUEID=02001&amp;SDATE=200503&amp;PERIODTYPE=QTR_STD&amp;SCFT=3&amp;window=popup_no_bar&amp;width=385&amp;height=120&amp;START_MAXIMIZED=FALSE&amp;creator=factset&amp;display_string=Audit"}</definedName>
    <definedName name="_3644__FDSAUDITLINK__" hidden="1">{"fdsup://Directions/FactSet Auditing Viewer?action=AUDIT_VALUE&amp;DB=129&amp;ID1=59513710&amp;VALUEID=02001&amp;SDATE=200503&amp;PERIODTYPE=QTR_STD&amp;SCFT=3&amp;window=popup_no_bar&amp;width=385&amp;height=120&amp;START_MAXIMIZED=FALSE&amp;creator=factset&amp;display_string=Audit"}</definedName>
    <definedName name="_3645__FDSAUDITLINK__" localSheetId="7" hidden="1">{"fdsup://Directions/FactSet Auditing Viewer?action=AUDIT_VALUE&amp;DB=129&amp;ID1=59513710&amp;VALUEID=02001&amp;SDATE=200502&amp;PERIODTYPE=QTR_STD&amp;SCFT=3&amp;window=popup_no_bar&amp;width=385&amp;height=120&amp;START_MAXIMIZED=FALSE&amp;creator=factset&amp;display_string=Audit"}</definedName>
    <definedName name="_3645__FDSAUDITLINK__" hidden="1">{"fdsup://Directions/FactSet Auditing Viewer?action=AUDIT_VALUE&amp;DB=129&amp;ID1=59513710&amp;VALUEID=02001&amp;SDATE=200502&amp;PERIODTYPE=QTR_STD&amp;SCFT=3&amp;window=popup_no_bar&amp;width=385&amp;height=120&amp;START_MAXIMIZED=FALSE&amp;creator=factset&amp;display_string=Audit"}</definedName>
    <definedName name="_3646__FDSAUDITLINK__" localSheetId="7" hidden="1">{"fdsup://Directions/FactSet Auditing Viewer?action=AUDIT_VALUE&amp;DB=129&amp;ID1=59513710&amp;VALUEID=02001&amp;SDATE=200502&amp;PERIODTYPE=QTR_STD&amp;SCFT=3&amp;window=popup_no_bar&amp;width=385&amp;height=120&amp;START_MAXIMIZED=FALSE&amp;creator=factset&amp;display_string=Audit"}</definedName>
    <definedName name="_3646__FDSAUDITLINK__" hidden="1">{"fdsup://Directions/FactSet Auditing Viewer?action=AUDIT_VALUE&amp;DB=129&amp;ID1=59513710&amp;VALUEID=02001&amp;SDATE=200502&amp;PERIODTYPE=QTR_STD&amp;SCFT=3&amp;window=popup_no_bar&amp;width=385&amp;height=120&amp;START_MAXIMIZED=FALSE&amp;creator=factset&amp;display_string=Audit"}</definedName>
    <definedName name="_3647__FDSAUDITLINK__" localSheetId="7" hidden="1">{"fdsup://Directions/FactSet Auditing Viewer?action=AUDIT_VALUE&amp;DB=129&amp;ID1=59513710&amp;VALUEID=02001&amp;SDATE=200501&amp;PERIODTYPE=QTR_STD&amp;SCFT=3&amp;window=popup_no_bar&amp;width=385&amp;height=120&amp;START_MAXIMIZED=FALSE&amp;creator=factset&amp;display_string=Audit"}</definedName>
    <definedName name="_3647__FDSAUDITLINK__" hidden="1">{"fdsup://Directions/FactSet Auditing Viewer?action=AUDIT_VALUE&amp;DB=129&amp;ID1=59513710&amp;VALUEID=02001&amp;SDATE=200501&amp;PERIODTYPE=QTR_STD&amp;SCFT=3&amp;window=popup_no_bar&amp;width=385&amp;height=120&amp;START_MAXIMIZED=FALSE&amp;creator=factset&amp;display_string=Audit"}</definedName>
    <definedName name="_3648__FDSAUDITLINK__" localSheetId="7" hidden="1">{"fdsup://Directions/FactSet Auditing Viewer?action=AUDIT_VALUE&amp;DB=129&amp;ID1=59513710&amp;VALUEID=02001&amp;SDATE=200501&amp;PERIODTYPE=QTR_STD&amp;SCFT=3&amp;window=popup_no_bar&amp;width=385&amp;height=120&amp;START_MAXIMIZED=FALSE&amp;creator=factset&amp;display_string=Audit"}</definedName>
    <definedName name="_3648__FDSAUDITLINK__" hidden="1">{"fdsup://Directions/FactSet Auditing Viewer?action=AUDIT_VALUE&amp;DB=129&amp;ID1=59513710&amp;VALUEID=02001&amp;SDATE=200501&amp;PERIODTYPE=QTR_STD&amp;SCFT=3&amp;window=popup_no_bar&amp;width=385&amp;height=120&amp;START_MAXIMIZED=FALSE&amp;creator=factset&amp;display_string=Audit"}</definedName>
    <definedName name="_3649__FDSAUDITLINK__" localSheetId="7" hidden="1">{"fdsup://Directions/FactSet Auditing Viewer?action=AUDIT_VALUE&amp;DB=129&amp;ID1=59513710&amp;VALUEID=02001&amp;SDATE=200403&amp;PERIODTYPE=QTR_STD&amp;SCFT=3&amp;window=popup_no_bar&amp;width=385&amp;height=120&amp;START_MAXIMIZED=FALSE&amp;creator=factset&amp;display_string=Audit"}</definedName>
    <definedName name="_3649__FDSAUDITLINK__" hidden="1">{"fdsup://Directions/FactSet Auditing Viewer?action=AUDIT_VALUE&amp;DB=129&amp;ID1=59513710&amp;VALUEID=02001&amp;SDATE=200403&amp;PERIODTYPE=QTR_STD&amp;SCFT=3&amp;window=popup_no_bar&amp;width=385&amp;height=120&amp;START_MAXIMIZED=FALSE&amp;creator=factset&amp;display_string=Audit"}</definedName>
    <definedName name="_365__FDSAUDITLINK__" localSheetId="7" hidden="1">{"fdsup://Directions/FactSet Auditing Viewer?action=AUDIT_VALUE&amp;DB=129&amp;ID1=60456710&amp;VALUEID=02001&amp;SDATE=201101&amp;PERIODTYPE=QTR_STD&amp;SCFT=3&amp;window=popup_no_bar&amp;width=385&amp;height=120&amp;START_MAXIMIZED=FALSE&amp;creator=factset&amp;display_string=Audit"}</definedName>
    <definedName name="_365__FDSAUDITLINK__" hidden="1">{"fdsup://Directions/FactSet Auditing Viewer?action=AUDIT_VALUE&amp;DB=129&amp;ID1=60456710&amp;VALUEID=02001&amp;SDATE=201101&amp;PERIODTYPE=QTR_STD&amp;SCFT=3&amp;window=popup_no_bar&amp;width=385&amp;height=120&amp;START_MAXIMIZED=FALSE&amp;creator=factset&amp;display_string=Audit"}</definedName>
    <definedName name="_3650__FDSAUDITLINK__" localSheetId="7" hidden="1">{"fdsup://Directions/FactSet Auditing Viewer?action=AUDIT_VALUE&amp;DB=129&amp;ID1=59513710&amp;VALUEID=02001&amp;SDATE=200403&amp;PERIODTYPE=QTR_STD&amp;SCFT=3&amp;window=popup_no_bar&amp;width=385&amp;height=120&amp;START_MAXIMIZED=FALSE&amp;creator=factset&amp;display_string=Audit"}</definedName>
    <definedName name="_3650__FDSAUDITLINK__" hidden="1">{"fdsup://Directions/FactSet Auditing Viewer?action=AUDIT_VALUE&amp;DB=129&amp;ID1=59513710&amp;VALUEID=02001&amp;SDATE=200403&amp;PERIODTYPE=QTR_STD&amp;SCFT=3&amp;window=popup_no_bar&amp;width=385&amp;height=120&amp;START_MAXIMIZED=FALSE&amp;creator=factset&amp;display_string=Audit"}</definedName>
    <definedName name="_3651__FDSAUDITLINK__" localSheetId="7" hidden="1">{"fdsup://Directions/FactSet Auditing Viewer?action=AUDIT_VALUE&amp;DB=129&amp;ID1=59513710&amp;VALUEID=02001&amp;SDATE=200402&amp;PERIODTYPE=QTR_STD&amp;SCFT=3&amp;window=popup_no_bar&amp;width=385&amp;height=120&amp;START_MAXIMIZED=FALSE&amp;creator=factset&amp;display_string=Audit"}</definedName>
    <definedName name="_3651__FDSAUDITLINK__" hidden="1">{"fdsup://Directions/FactSet Auditing Viewer?action=AUDIT_VALUE&amp;DB=129&amp;ID1=59513710&amp;VALUEID=02001&amp;SDATE=200402&amp;PERIODTYPE=QTR_STD&amp;SCFT=3&amp;window=popup_no_bar&amp;width=385&amp;height=120&amp;START_MAXIMIZED=FALSE&amp;creator=factset&amp;display_string=Audit"}</definedName>
    <definedName name="_3652__FDSAUDITLINK__" localSheetId="7" hidden="1">{"fdsup://Directions/FactSet Auditing Viewer?action=AUDIT_VALUE&amp;DB=129&amp;ID1=59513710&amp;VALUEID=02001&amp;SDATE=200402&amp;PERIODTYPE=QTR_STD&amp;SCFT=3&amp;window=popup_no_bar&amp;width=385&amp;height=120&amp;START_MAXIMIZED=FALSE&amp;creator=factset&amp;display_string=Audit"}</definedName>
    <definedName name="_3652__FDSAUDITLINK__" hidden="1">{"fdsup://Directions/FactSet Auditing Viewer?action=AUDIT_VALUE&amp;DB=129&amp;ID1=59513710&amp;VALUEID=02001&amp;SDATE=200402&amp;PERIODTYPE=QTR_STD&amp;SCFT=3&amp;window=popup_no_bar&amp;width=385&amp;height=120&amp;START_MAXIMIZED=FALSE&amp;creator=factset&amp;display_string=Audit"}</definedName>
    <definedName name="_3653__FDSAUDITLINK__" localSheetId="7" hidden="1">{"fdsup://Directions/FactSet Auditing Viewer?action=AUDIT_VALUE&amp;DB=129&amp;ID1=G5876H10&amp;VALUEID=02001&amp;SDATE=200801&amp;PERIODTYPE=QTR_STD&amp;SCFT=3&amp;window=popup_no_bar&amp;width=385&amp;height=120&amp;START_MAXIMIZED=FALSE&amp;creator=factset&amp;display_string=Audit"}</definedName>
    <definedName name="_3653__FDSAUDITLINK__" hidden="1">{"fdsup://Directions/FactSet Auditing Viewer?action=AUDIT_VALUE&amp;DB=129&amp;ID1=G5876H10&amp;VALUEID=02001&amp;SDATE=200801&amp;PERIODTYPE=QTR_STD&amp;SCFT=3&amp;window=popup_no_bar&amp;width=385&amp;height=120&amp;START_MAXIMIZED=FALSE&amp;creator=factset&amp;display_string=Audit"}</definedName>
    <definedName name="_3654__FDSAUDITLINK__" localSheetId="7" hidden="1">{"fdsup://Directions/FactSet Auditing Viewer?action=AUDIT_VALUE&amp;DB=129&amp;ID1=G5876H10&amp;VALUEID=02001&amp;SDATE=200801&amp;PERIODTYPE=QTR_STD&amp;SCFT=3&amp;window=popup_no_bar&amp;width=385&amp;height=120&amp;START_MAXIMIZED=FALSE&amp;creator=factset&amp;display_string=Audit"}</definedName>
    <definedName name="_3654__FDSAUDITLINK__" hidden="1">{"fdsup://Directions/FactSet Auditing Viewer?action=AUDIT_VALUE&amp;DB=129&amp;ID1=G5876H10&amp;VALUEID=02001&amp;SDATE=200801&amp;PERIODTYPE=QTR_STD&amp;SCFT=3&amp;window=popup_no_bar&amp;width=385&amp;height=120&amp;START_MAXIMIZED=FALSE&amp;creator=factset&amp;display_string=Audit"}</definedName>
    <definedName name="_3655__FDSAUDITLINK__" localSheetId="7" hidden="1">{"fdsup://Directions/FactSet Auditing Viewer?action=AUDIT_VALUE&amp;DB=129&amp;ID1=G5876H10&amp;VALUEID=02001&amp;SDATE=200703&amp;PERIODTYPE=QTR_STD&amp;SCFT=3&amp;window=popup_no_bar&amp;width=385&amp;height=120&amp;START_MAXIMIZED=FALSE&amp;creator=factset&amp;display_string=Audit"}</definedName>
    <definedName name="_3655__FDSAUDITLINK__" hidden="1">{"fdsup://Directions/FactSet Auditing Viewer?action=AUDIT_VALUE&amp;DB=129&amp;ID1=G5876H10&amp;VALUEID=02001&amp;SDATE=200703&amp;PERIODTYPE=QTR_STD&amp;SCFT=3&amp;window=popup_no_bar&amp;width=385&amp;height=120&amp;START_MAXIMIZED=FALSE&amp;creator=factset&amp;display_string=Audit"}</definedName>
    <definedName name="_3656__FDSAUDITLINK__" localSheetId="7" hidden="1">{"fdsup://Directions/FactSet Auditing Viewer?action=AUDIT_VALUE&amp;DB=129&amp;ID1=G5876H10&amp;VALUEID=02001&amp;SDATE=200703&amp;PERIODTYPE=QTR_STD&amp;SCFT=3&amp;window=popup_no_bar&amp;width=385&amp;height=120&amp;START_MAXIMIZED=FALSE&amp;creator=factset&amp;display_string=Audit"}</definedName>
    <definedName name="_3656__FDSAUDITLINK__" hidden="1">{"fdsup://Directions/FactSet Auditing Viewer?action=AUDIT_VALUE&amp;DB=129&amp;ID1=G5876H10&amp;VALUEID=02001&amp;SDATE=200703&amp;PERIODTYPE=QTR_STD&amp;SCFT=3&amp;window=popup_no_bar&amp;width=385&amp;height=120&amp;START_MAXIMIZED=FALSE&amp;creator=factset&amp;display_string=Audit"}</definedName>
    <definedName name="_3657__FDSAUDITLINK__" localSheetId="7" hidden="1">{"fdsup://Directions/FactSet Auditing Viewer?action=AUDIT_VALUE&amp;DB=129&amp;ID1=G5876H10&amp;VALUEID=02001&amp;SDATE=200702&amp;PERIODTYPE=QTR_STD&amp;SCFT=3&amp;window=popup_no_bar&amp;width=385&amp;height=120&amp;START_MAXIMIZED=FALSE&amp;creator=factset&amp;display_string=Audit"}</definedName>
    <definedName name="_3657__FDSAUDITLINK__" hidden="1">{"fdsup://Directions/FactSet Auditing Viewer?action=AUDIT_VALUE&amp;DB=129&amp;ID1=G5876H10&amp;VALUEID=02001&amp;SDATE=200702&amp;PERIODTYPE=QTR_STD&amp;SCFT=3&amp;window=popup_no_bar&amp;width=385&amp;height=120&amp;START_MAXIMIZED=FALSE&amp;creator=factset&amp;display_string=Audit"}</definedName>
    <definedName name="_3658__FDSAUDITLINK__" localSheetId="7" hidden="1">{"fdsup://Directions/FactSet Auditing Viewer?action=AUDIT_VALUE&amp;DB=129&amp;ID1=G5876H10&amp;VALUEID=02001&amp;SDATE=200702&amp;PERIODTYPE=QTR_STD&amp;SCFT=3&amp;window=popup_no_bar&amp;width=385&amp;height=120&amp;START_MAXIMIZED=FALSE&amp;creator=factset&amp;display_string=Audit"}</definedName>
    <definedName name="_3658__FDSAUDITLINK__" hidden="1">{"fdsup://Directions/FactSet Auditing Viewer?action=AUDIT_VALUE&amp;DB=129&amp;ID1=G5876H10&amp;VALUEID=02001&amp;SDATE=200702&amp;PERIODTYPE=QTR_STD&amp;SCFT=3&amp;window=popup_no_bar&amp;width=385&amp;height=120&amp;START_MAXIMIZED=FALSE&amp;creator=factset&amp;display_string=Audit"}</definedName>
    <definedName name="_3659__FDSAUDITLINK__" localSheetId="7" hidden="1">{"fdsup://Directions/FactSet Auditing Viewer?action=AUDIT_VALUE&amp;DB=129&amp;ID1=G5876H10&amp;VALUEID=02001&amp;SDATE=200701&amp;PERIODTYPE=QTR_STD&amp;SCFT=3&amp;window=popup_no_bar&amp;width=385&amp;height=120&amp;START_MAXIMIZED=FALSE&amp;creator=factset&amp;display_string=Audit"}</definedName>
    <definedName name="_3659__FDSAUDITLINK__" hidden="1">{"fdsup://Directions/FactSet Auditing Viewer?action=AUDIT_VALUE&amp;DB=129&amp;ID1=G5876H10&amp;VALUEID=02001&amp;SDATE=200701&amp;PERIODTYPE=QTR_STD&amp;SCFT=3&amp;window=popup_no_bar&amp;width=385&amp;height=120&amp;START_MAXIMIZED=FALSE&amp;creator=factset&amp;display_string=Audit"}</definedName>
    <definedName name="_366__FDSAUDITLINK__" localSheetId="7" hidden="1">{"fdsup://Directions/FactSet Auditing Viewer?action=AUDIT_VALUE&amp;DB=129&amp;ID1=60456710&amp;VALUEID=02001&amp;SDATE=201101&amp;PERIODTYPE=QTR_STD&amp;SCFT=3&amp;window=popup_no_bar&amp;width=385&amp;height=120&amp;START_MAXIMIZED=FALSE&amp;creator=factset&amp;display_string=Audit"}</definedName>
    <definedName name="_366__FDSAUDITLINK__" hidden="1">{"fdsup://Directions/FactSet Auditing Viewer?action=AUDIT_VALUE&amp;DB=129&amp;ID1=60456710&amp;VALUEID=02001&amp;SDATE=201101&amp;PERIODTYPE=QTR_STD&amp;SCFT=3&amp;window=popup_no_bar&amp;width=385&amp;height=120&amp;START_MAXIMIZED=FALSE&amp;creator=factset&amp;display_string=Audit"}</definedName>
    <definedName name="_3660__FDSAUDITLINK__" localSheetId="7" hidden="1">{"fdsup://Directions/FactSet Auditing Viewer?action=AUDIT_VALUE&amp;DB=129&amp;ID1=G5876H10&amp;VALUEID=02001&amp;SDATE=200701&amp;PERIODTYPE=QTR_STD&amp;SCFT=3&amp;window=popup_no_bar&amp;width=385&amp;height=120&amp;START_MAXIMIZED=FALSE&amp;creator=factset&amp;display_string=Audit"}</definedName>
    <definedName name="_3660__FDSAUDITLINK__" hidden="1">{"fdsup://Directions/FactSet Auditing Viewer?action=AUDIT_VALUE&amp;DB=129&amp;ID1=G5876H10&amp;VALUEID=02001&amp;SDATE=200701&amp;PERIODTYPE=QTR_STD&amp;SCFT=3&amp;window=popup_no_bar&amp;width=385&amp;height=120&amp;START_MAXIMIZED=FALSE&amp;creator=factset&amp;display_string=Audit"}</definedName>
    <definedName name="_3661__FDSAUDITLINK__" localSheetId="7" hidden="1">{"fdsup://Directions/FactSet Auditing Viewer?action=AUDIT_VALUE&amp;DB=129&amp;ID1=G5876H10&amp;VALUEID=02001&amp;SDATE=200603&amp;PERIODTYPE=QTR_STD&amp;SCFT=3&amp;window=popup_no_bar&amp;width=385&amp;height=120&amp;START_MAXIMIZED=FALSE&amp;creator=factset&amp;display_string=Audit"}</definedName>
    <definedName name="_3661__FDSAUDITLINK__" hidden="1">{"fdsup://Directions/FactSet Auditing Viewer?action=AUDIT_VALUE&amp;DB=129&amp;ID1=G5876H10&amp;VALUEID=02001&amp;SDATE=200603&amp;PERIODTYPE=QTR_STD&amp;SCFT=3&amp;window=popup_no_bar&amp;width=385&amp;height=120&amp;START_MAXIMIZED=FALSE&amp;creator=factset&amp;display_string=Audit"}</definedName>
    <definedName name="_3662__FDSAUDITLINK__" localSheetId="7" hidden="1">{"fdsup://Directions/FactSet Auditing Viewer?action=AUDIT_VALUE&amp;DB=129&amp;ID1=G5876H10&amp;VALUEID=02001&amp;SDATE=200603&amp;PERIODTYPE=QTR_STD&amp;SCFT=3&amp;window=popup_no_bar&amp;width=385&amp;height=120&amp;START_MAXIMIZED=FALSE&amp;creator=factset&amp;display_string=Audit"}</definedName>
    <definedName name="_3662__FDSAUDITLINK__" hidden="1">{"fdsup://Directions/FactSet Auditing Viewer?action=AUDIT_VALUE&amp;DB=129&amp;ID1=G5876H10&amp;VALUEID=02001&amp;SDATE=200603&amp;PERIODTYPE=QTR_STD&amp;SCFT=3&amp;window=popup_no_bar&amp;width=385&amp;height=120&amp;START_MAXIMIZED=FALSE&amp;creator=factset&amp;display_string=Audit"}</definedName>
    <definedName name="_3663__FDSAUDITLINK__" localSheetId="7" hidden="1">{"fdsup://Directions/FactSet Auditing Viewer?action=AUDIT_VALUE&amp;DB=129&amp;ID1=G5876H10&amp;VALUEID=02001&amp;SDATE=200602&amp;PERIODTYPE=QTR_STD&amp;SCFT=3&amp;window=popup_no_bar&amp;width=385&amp;height=120&amp;START_MAXIMIZED=FALSE&amp;creator=factset&amp;display_string=Audit"}</definedName>
    <definedName name="_3663__FDSAUDITLINK__" hidden="1">{"fdsup://Directions/FactSet Auditing Viewer?action=AUDIT_VALUE&amp;DB=129&amp;ID1=G5876H10&amp;VALUEID=02001&amp;SDATE=200602&amp;PERIODTYPE=QTR_STD&amp;SCFT=3&amp;window=popup_no_bar&amp;width=385&amp;height=120&amp;START_MAXIMIZED=FALSE&amp;creator=factset&amp;display_string=Audit"}</definedName>
    <definedName name="_3664__FDSAUDITLINK__" localSheetId="7" hidden="1">{"fdsup://Directions/FactSet Auditing Viewer?action=AUDIT_VALUE&amp;DB=129&amp;ID1=G5876H10&amp;VALUEID=02001&amp;SDATE=200602&amp;PERIODTYPE=QTR_STD&amp;SCFT=3&amp;window=popup_no_bar&amp;width=385&amp;height=120&amp;START_MAXIMIZED=FALSE&amp;creator=factset&amp;display_string=Audit"}</definedName>
    <definedName name="_3664__FDSAUDITLINK__" hidden="1">{"fdsup://Directions/FactSet Auditing Viewer?action=AUDIT_VALUE&amp;DB=129&amp;ID1=G5876H10&amp;VALUEID=02001&amp;SDATE=200602&amp;PERIODTYPE=QTR_STD&amp;SCFT=3&amp;window=popup_no_bar&amp;width=385&amp;height=120&amp;START_MAXIMIZED=FALSE&amp;creator=factset&amp;display_string=Audit"}</definedName>
    <definedName name="_3665__FDSAUDITLINK__" localSheetId="7" hidden="1">{"fdsup://Directions/FactSet Auditing Viewer?action=AUDIT_VALUE&amp;DB=129&amp;ID1=G5876H10&amp;VALUEID=02001&amp;SDATE=200601&amp;PERIODTYPE=QTR_STD&amp;SCFT=3&amp;window=popup_no_bar&amp;width=385&amp;height=120&amp;START_MAXIMIZED=FALSE&amp;creator=factset&amp;display_string=Audit"}</definedName>
    <definedName name="_3665__FDSAUDITLINK__" hidden="1">{"fdsup://Directions/FactSet Auditing Viewer?action=AUDIT_VALUE&amp;DB=129&amp;ID1=G5876H10&amp;VALUEID=02001&amp;SDATE=200601&amp;PERIODTYPE=QTR_STD&amp;SCFT=3&amp;window=popup_no_bar&amp;width=385&amp;height=120&amp;START_MAXIMIZED=FALSE&amp;creator=factset&amp;display_string=Audit"}</definedName>
    <definedName name="_3666__FDSAUDITLINK__" localSheetId="7" hidden="1">{"fdsup://Directions/FactSet Auditing Viewer?action=AUDIT_VALUE&amp;DB=129&amp;ID1=G5876H10&amp;VALUEID=02001&amp;SDATE=200601&amp;PERIODTYPE=QTR_STD&amp;SCFT=3&amp;window=popup_no_bar&amp;width=385&amp;height=120&amp;START_MAXIMIZED=FALSE&amp;creator=factset&amp;display_string=Audit"}</definedName>
    <definedName name="_3666__FDSAUDITLINK__" hidden="1">{"fdsup://Directions/FactSet Auditing Viewer?action=AUDIT_VALUE&amp;DB=129&amp;ID1=G5876H10&amp;VALUEID=02001&amp;SDATE=200601&amp;PERIODTYPE=QTR_STD&amp;SCFT=3&amp;window=popup_no_bar&amp;width=385&amp;height=120&amp;START_MAXIMIZED=FALSE&amp;creator=factset&amp;display_string=Audit"}</definedName>
    <definedName name="_3667__FDSAUDITLINK__" localSheetId="7" hidden="1">{"fdsup://Directions/FactSet Auditing Viewer?action=AUDIT_VALUE&amp;DB=129&amp;ID1=G5876H10&amp;VALUEID=02001&amp;SDATE=200503&amp;PERIODTYPE=QTR_STD&amp;SCFT=3&amp;window=popup_no_bar&amp;width=385&amp;height=120&amp;START_MAXIMIZED=FALSE&amp;creator=factset&amp;display_string=Audit"}</definedName>
    <definedName name="_3667__FDSAUDITLINK__" hidden="1">{"fdsup://Directions/FactSet Auditing Viewer?action=AUDIT_VALUE&amp;DB=129&amp;ID1=G5876H10&amp;VALUEID=02001&amp;SDATE=200503&amp;PERIODTYPE=QTR_STD&amp;SCFT=3&amp;window=popup_no_bar&amp;width=385&amp;height=120&amp;START_MAXIMIZED=FALSE&amp;creator=factset&amp;display_string=Audit"}</definedName>
    <definedName name="_3668__FDSAUDITLINK__" localSheetId="7" hidden="1">{"fdsup://Directions/FactSet Auditing Viewer?action=AUDIT_VALUE&amp;DB=129&amp;ID1=G5876H10&amp;VALUEID=02001&amp;SDATE=200503&amp;PERIODTYPE=QTR_STD&amp;SCFT=3&amp;window=popup_no_bar&amp;width=385&amp;height=120&amp;START_MAXIMIZED=FALSE&amp;creator=factset&amp;display_string=Audit"}</definedName>
    <definedName name="_3668__FDSAUDITLINK__" hidden="1">{"fdsup://Directions/FactSet Auditing Viewer?action=AUDIT_VALUE&amp;DB=129&amp;ID1=G5876H10&amp;VALUEID=02001&amp;SDATE=200503&amp;PERIODTYPE=QTR_STD&amp;SCFT=3&amp;window=popup_no_bar&amp;width=385&amp;height=120&amp;START_MAXIMIZED=FALSE&amp;creator=factset&amp;display_string=Audit"}</definedName>
    <definedName name="_3669__FDSAUDITLINK__" localSheetId="7" hidden="1">{"fdsup://Directions/FactSet Auditing Viewer?action=AUDIT_VALUE&amp;DB=129&amp;ID1=G5876H10&amp;VALUEID=02001&amp;SDATE=200502&amp;PERIODTYPE=QTR_STD&amp;SCFT=3&amp;window=popup_no_bar&amp;width=385&amp;height=120&amp;START_MAXIMIZED=FALSE&amp;creator=factset&amp;display_string=Audit"}</definedName>
    <definedName name="_3669__FDSAUDITLINK__" hidden="1">{"fdsup://Directions/FactSet Auditing Viewer?action=AUDIT_VALUE&amp;DB=129&amp;ID1=G5876H10&amp;VALUEID=02001&amp;SDATE=200502&amp;PERIODTYPE=QTR_STD&amp;SCFT=3&amp;window=popup_no_bar&amp;width=385&amp;height=120&amp;START_MAXIMIZED=FALSE&amp;creator=factset&amp;display_string=Audit"}</definedName>
    <definedName name="_367__FDSAUDITLINK__" localSheetId="7" hidden="1">{"fdsup://Directions/FactSet Auditing Viewer?action=AUDIT_VALUE&amp;DB=129&amp;ID1=59479310&amp;VALUEID=02001&amp;SDATE=201003&amp;PERIODTYPE=QTR_STD&amp;SCFT=3&amp;window=popup_no_bar&amp;width=385&amp;height=120&amp;START_MAXIMIZED=FALSE&amp;creator=factset&amp;display_string=Audit"}</definedName>
    <definedName name="_367__FDSAUDITLINK__" hidden="1">{"fdsup://Directions/FactSet Auditing Viewer?action=AUDIT_VALUE&amp;DB=129&amp;ID1=59479310&amp;VALUEID=02001&amp;SDATE=201003&amp;PERIODTYPE=QTR_STD&amp;SCFT=3&amp;window=popup_no_bar&amp;width=385&amp;height=120&amp;START_MAXIMIZED=FALSE&amp;creator=factset&amp;display_string=Audit"}</definedName>
    <definedName name="_3670__FDSAUDITLINK__" localSheetId="7" hidden="1">{"fdsup://Directions/FactSet Auditing Viewer?action=AUDIT_VALUE&amp;DB=129&amp;ID1=G5876H10&amp;VALUEID=02001&amp;SDATE=200502&amp;PERIODTYPE=QTR_STD&amp;SCFT=3&amp;window=popup_no_bar&amp;width=385&amp;height=120&amp;START_MAXIMIZED=FALSE&amp;creator=factset&amp;display_string=Audit"}</definedName>
    <definedName name="_3670__FDSAUDITLINK__" hidden="1">{"fdsup://Directions/FactSet Auditing Viewer?action=AUDIT_VALUE&amp;DB=129&amp;ID1=G5876H10&amp;VALUEID=02001&amp;SDATE=200502&amp;PERIODTYPE=QTR_STD&amp;SCFT=3&amp;window=popup_no_bar&amp;width=385&amp;height=120&amp;START_MAXIMIZED=FALSE&amp;creator=factset&amp;display_string=Audit"}</definedName>
    <definedName name="_3671__FDSAUDITLINK__" localSheetId="7" hidden="1">{"fdsup://Directions/FactSet Auditing Viewer?action=AUDIT_VALUE&amp;DB=129&amp;ID1=G5876H10&amp;VALUEID=02001&amp;SDATE=200501&amp;PERIODTYPE=QTR_STD&amp;SCFT=3&amp;window=popup_no_bar&amp;width=385&amp;height=120&amp;START_MAXIMIZED=FALSE&amp;creator=factset&amp;display_string=Audit"}</definedName>
    <definedName name="_3671__FDSAUDITLINK__" hidden="1">{"fdsup://Directions/FactSet Auditing Viewer?action=AUDIT_VALUE&amp;DB=129&amp;ID1=G5876H10&amp;VALUEID=02001&amp;SDATE=200501&amp;PERIODTYPE=QTR_STD&amp;SCFT=3&amp;window=popup_no_bar&amp;width=385&amp;height=120&amp;START_MAXIMIZED=FALSE&amp;creator=factset&amp;display_string=Audit"}</definedName>
    <definedName name="_3672__FDSAUDITLINK__" localSheetId="7" hidden="1">{"fdsup://Directions/FactSet Auditing Viewer?action=AUDIT_VALUE&amp;DB=129&amp;ID1=G5876H10&amp;VALUEID=02001&amp;SDATE=200501&amp;PERIODTYPE=QTR_STD&amp;SCFT=3&amp;window=popup_no_bar&amp;width=385&amp;height=120&amp;START_MAXIMIZED=FALSE&amp;creator=factset&amp;display_string=Audit"}</definedName>
    <definedName name="_3672__FDSAUDITLINK__" hidden="1">{"fdsup://Directions/FactSet Auditing Viewer?action=AUDIT_VALUE&amp;DB=129&amp;ID1=G5876H10&amp;VALUEID=02001&amp;SDATE=200501&amp;PERIODTYPE=QTR_STD&amp;SCFT=3&amp;window=popup_no_bar&amp;width=385&amp;height=120&amp;START_MAXIMIZED=FALSE&amp;creator=factset&amp;display_string=Audit"}</definedName>
    <definedName name="_3673__FDSAUDITLINK__" localSheetId="7" hidden="1">{"fdsup://Directions/FactSet Auditing Viewer?action=AUDIT_VALUE&amp;DB=129&amp;ID1=G5876H10&amp;VALUEID=02001&amp;SDATE=200403&amp;PERIODTYPE=QTR_STD&amp;SCFT=3&amp;window=popup_no_bar&amp;width=385&amp;height=120&amp;START_MAXIMIZED=FALSE&amp;creator=factset&amp;display_string=Audit"}</definedName>
    <definedName name="_3673__FDSAUDITLINK__" hidden="1">{"fdsup://Directions/FactSet Auditing Viewer?action=AUDIT_VALUE&amp;DB=129&amp;ID1=G5876H10&amp;VALUEID=02001&amp;SDATE=200403&amp;PERIODTYPE=QTR_STD&amp;SCFT=3&amp;window=popup_no_bar&amp;width=385&amp;height=120&amp;START_MAXIMIZED=FALSE&amp;creator=factset&amp;display_string=Audit"}</definedName>
    <definedName name="_3674__FDSAUDITLINK__" localSheetId="7" hidden="1">{"fdsup://Directions/FactSet Auditing Viewer?action=AUDIT_VALUE&amp;DB=129&amp;ID1=G5876H10&amp;VALUEID=02001&amp;SDATE=200403&amp;PERIODTYPE=QTR_STD&amp;SCFT=3&amp;window=popup_no_bar&amp;width=385&amp;height=120&amp;START_MAXIMIZED=FALSE&amp;creator=factset&amp;display_string=Audit"}</definedName>
    <definedName name="_3674__FDSAUDITLINK__" hidden="1">{"fdsup://Directions/FactSet Auditing Viewer?action=AUDIT_VALUE&amp;DB=129&amp;ID1=G5876H10&amp;VALUEID=02001&amp;SDATE=200403&amp;PERIODTYPE=QTR_STD&amp;SCFT=3&amp;window=popup_no_bar&amp;width=385&amp;height=120&amp;START_MAXIMIZED=FALSE&amp;creator=factset&amp;display_string=Audit"}</definedName>
    <definedName name="_3675__FDSAUDITLINK__" localSheetId="7" hidden="1">{"fdsup://Directions/FactSet Auditing Viewer?action=AUDIT_VALUE&amp;DB=129&amp;ID1=G5876H10&amp;VALUEID=02001&amp;SDATE=200402&amp;PERIODTYPE=QTR_STD&amp;SCFT=3&amp;window=popup_no_bar&amp;width=385&amp;height=120&amp;START_MAXIMIZED=FALSE&amp;creator=factset&amp;display_string=Audit"}</definedName>
    <definedName name="_3675__FDSAUDITLINK__" hidden="1">{"fdsup://Directions/FactSet Auditing Viewer?action=AUDIT_VALUE&amp;DB=129&amp;ID1=G5876H10&amp;VALUEID=02001&amp;SDATE=200402&amp;PERIODTYPE=QTR_STD&amp;SCFT=3&amp;window=popup_no_bar&amp;width=385&amp;height=120&amp;START_MAXIMIZED=FALSE&amp;creator=factset&amp;display_string=Audit"}</definedName>
    <definedName name="_3676__FDSAUDITLINK__" localSheetId="7" hidden="1">{"fdsup://Directions/FactSet Auditing Viewer?action=AUDIT_VALUE&amp;DB=129&amp;ID1=G5876H10&amp;VALUEID=02001&amp;SDATE=200402&amp;PERIODTYPE=QTR_STD&amp;SCFT=3&amp;window=popup_no_bar&amp;width=385&amp;height=120&amp;START_MAXIMIZED=FALSE&amp;creator=factset&amp;display_string=Audit"}</definedName>
    <definedName name="_3676__FDSAUDITLINK__" hidden="1">{"fdsup://Directions/FactSet Auditing Viewer?action=AUDIT_VALUE&amp;DB=129&amp;ID1=G5876H10&amp;VALUEID=02001&amp;SDATE=200402&amp;PERIODTYPE=QTR_STD&amp;SCFT=3&amp;window=popup_no_bar&amp;width=385&amp;height=120&amp;START_MAXIMIZED=FALSE&amp;creator=factset&amp;display_string=Audit"}</definedName>
    <definedName name="_3677__FDSAUDITLINK__" localSheetId="7" hidden="1">{"fdsup://Directions/FactSet Auditing Viewer?action=AUDIT_VALUE&amp;DB=129&amp;ID1=G5876H10&amp;VALUEID=02001&amp;SDATE=200401&amp;PERIODTYPE=QTR_STD&amp;SCFT=3&amp;window=popup_no_bar&amp;width=385&amp;height=120&amp;START_MAXIMIZED=FALSE&amp;creator=factset&amp;display_string=Audit"}</definedName>
    <definedName name="_3677__FDSAUDITLINK__" hidden="1">{"fdsup://Directions/FactSet Auditing Viewer?action=AUDIT_VALUE&amp;DB=129&amp;ID1=G5876H10&amp;VALUEID=02001&amp;SDATE=200401&amp;PERIODTYPE=QTR_STD&amp;SCFT=3&amp;window=popup_no_bar&amp;width=385&amp;height=120&amp;START_MAXIMIZED=FALSE&amp;creator=factset&amp;display_string=Audit"}</definedName>
    <definedName name="_3678__FDSAUDITLINK__" localSheetId="7" hidden="1">{"fdsup://Directions/FactSet Auditing Viewer?action=AUDIT_VALUE&amp;DB=129&amp;ID1=G5876H10&amp;VALUEID=02001&amp;SDATE=200401&amp;PERIODTYPE=QTR_STD&amp;SCFT=3&amp;window=popup_no_bar&amp;width=385&amp;height=120&amp;START_MAXIMIZED=FALSE&amp;creator=factset&amp;display_string=Audit"}</definedName>
    <definedName name="_3678__FDSAUDITLINK__" hidden="1">{"fdsup://Directions/FactSet Auditing Viewer?action=AUDIT_VALUE&amp;DB=129&amp;ID1=G5876H10&amp;VALUEID=02001&amp;SDATE=200401&amp;PERIODTYPE=QTR_STD&amp;SCFT=3&amp;window=popup_no_bar&amp;width=385&amp;height=120&amp;START_MAXIMIZED=FALSE&amp;creator=factset&amp;display_string=Audit"}</definedName>
    <definedName name="_3679__FDSAUDITLINK__" localSheetId="7" hidden="1">{"fdsup://Directions/FactSet Auditing Viewer?action=AUDIT_VALUE&amp;DB=129&amp;ID1=62007630&amp;VALUEID=02001&amp;SDATE=200801&amp;PERIODTYPE=QTR_STD&amp;SCFT=3&amp;window=popup_no_bar&amp;width=385&amp;height=120&amp;START_MAXIMIZED=FALSE&amp;creator=factset&amp;display_string=Audit"}</definedName>
    <definedName name="_3679__FDSAUDITLINK__" hidden="1">{"fdsup://Directions/FactSet Auditing Viewer?action=AUDIT_VALUE&amp;DB=129&amp;ID1=62007630&amp;VALUEID=02001&amp;SDATE=200801&amp;PERIODTYPE=QTR_STD&amp;SCFT=3&amp;window=popup_no_bar&amp;width=385&amp;height=120&amp;START_MAXIMIZED=FALSE&amp;creator=factset&amp;display_string=Audit"}</definedName>
    <definedName name="_368__FDSAUDITLINK__" localSheetId="7" hidden="1">{"fdsup://Directions/FactSet Auditing Viewer?action=AUDIT_VALUE&amp;DB=129&amp;ID1=59479310&amp;VALUEID=02001&amp;SDATE=201003&amp;PERIODTYPE=QTR_STD&amp;SCFT=3&amp;window=popup_no_bar&amp;width=385&amp;height=120&amp;START_MAXIMIZED=FALSE&amp;creator=factset&amp;display_string=Audit"}</definedName>
    <definedName name="_368__FDSAUDITLINK__" hidden="1">{"fdsup://Directions/FactSet Auditing Viewer?action=AUDIT_VALUE&amp;DB=129&amp;ID1=59479310&amp;VALUEID=02001&amp;SDATE=201003&amp;PERIODTYPE=QTR_STD&amp;SCFT=3&amp;window=popup_no_bar&amp;width=385&amp;height=120&amp;START_MAXIMIZED=FALSE&amp;creator=factset&amp;display_string=Audit"}</definedName>
    <definedName name="_3680__FDSAUDITLINK__" localSheetId="7" hidden="1">{"fdsup://Directions/FactSet Auditing Viewer?action=AUDIT_VALUE&amp;DB=129&amp;ID1=62007630&amp;VALUEID=02001&amp;SDATE=200801&amp;PERIODTYPE=QTR_STD&amp;SCFT=3&amp;window=popup_no_bar&amp;width=385&amp;height=120&amp;START_MAXIMIZED=FALSE&amp;creator=factset&amp;display_string=Audit"}</definedName>
    <definedName name="_3680__FDSAUDITLINK__" hidden="1">{"fdsup://Directions/FactSet Auditing Viewer?action=AUDIT_VALUE&amp;DB=129&amp;ID1=62007630&amp;VALUEID=02001&amp;SDATE=200801&amp;PERIODTYPE=QTR_STD&amp;SCFT=3&amp;window=popup_no_bar&amp;width=385&amp;height=120&amp;START_MAXIMIZED=FALSE&amp;creator=factset&amp;display_string=Audit"}</definedName>
    <definedName name="_3681__FDSAUDITLINK__" localSheetId="7" hidden="1">{"fdsup://Directions/FactSet Auditing Viewer?action=AUDIT_VALUE&amp;DB=129&amp;ID1=62007630&amp;VALUEID=02001&amp;SDATE=200703&amp;PERIODTYPE=QTR_STD&amp;SCFT=3&amp;window=popup_no_bar&amp;width=385&amp;height=120&amp;START_MAXIMIZED=FALSE&amp;creator=factset&amp;display_string=Audit"}</definedName>
    <definedName name="_3681__FDSAUDITLINK__" hidden="1">{"fdsup://Directions/FactSet Auditing Viewer?action=AUDIT_VALUE&amp;DB=129&amp;ID1=62007630&amp;VALUEID=02001&amp;SDATE=200703&amp;PERIODTYPE=QTR_STD&amp;SCFT=3&amp;window=popup_no_bar&amp;width=385&amp;height=120&amp;START_MAXIMIZED=FALSE&amp;creator=factset&amp;display_string=Audit"}</definedName>
    <definedName name="_3682__FDSAUDITLINK__" localSheetId="7" hidden="1">{"fdsup://Directions/FactSet Auditing Viewer?action=AUDIT_VALUE&amp;DB=129&amp;ID1=62007630&amp;VALUEID=02001&amp;SDATE=200703&amp;PERIODTYPE=QTR_STD&amp;SCFT=3&amp;window=popup_no_bar&amp;width=385&amp;height=120&amp;START_MAXIMIZED=FALSE&amp;creator=factset&amp;display_string=Audit"}</definedName>
    <definedName name="_3682__FDSAUDITLINK__" hidden="1">{"fdsup://Directions/FactSet Auditing Viewer?action=AUDIT_VALUE&amp;DB=129&amp;ID1=62007630&amp;VALUEID=02001&amp;SDATE=200703&amp;PERIODTYPE=QTR_STD&amp;SCFT=3&amp;window=popup_no_bar&amp;width=385&amp;height=120&amp;START_MAXIMIZED=FALSE&amp;creator=factset&amp;display_string=Audit"}</definedName>
    <definedName name="_3683__FDSAUDITLINK__" localSheetId="7" hidden="1">{"fdsup://Directions/FactSet Auditing Viewer?action=AUDIT_VALUE&amp;DB=129&amp;ID1=62007630&amp;VALUEID=02001&amp;SDATE=200702&amp;PERIODTYPE=QTR_STD&amp;SCFT=3&amp;window=popup_no_bar&amp;width=385&amp;height=120&amp;START_MAXIMIZED=FALSE&amp;creator=factset&amp;display_string=Audit"}</definedName>
    <definedName name="_3683__FDSAUDITLINK__" hidden="1">{"fdsup://Directions/FactSet Auditing Viewer?action=AUDIT_VALUE&amp;DB=129&amp;ID1=62007630&amp;VALUEID=02001&amp;SDATE=200702&amp;PERIODTYPE=QTR_STD&amp;SCFT=3&amp;window=popup_no_bar&amp;width=385&amp;height=120&amp;START_MAXIMIZED=FALSE&amp;creator=factset&amp;display_string=Audit"}</definedName>
    <definedName name="_3684__FDSAUDITLINK__" localSheetId="7" hidden="1">{"fdsup://Directions/FactSet Auditing Viewer?action=AUDIT_VALUE&amp;DB=129&amp;ID1=62007630&amp;VALUEID=02001&amp;SDATE=200702&amp;PERIODTYPE=QTR_STD&amp;SCFT=3&amp;window=popup_no_bar&amp;width=385&amp;height=120&amp;START_MAXIMIZED=FALSE&amp;creator=factset&amp;display_string=Audit"}</definedName>
    <definedName name="_3684__FDSAUDITLINK__" hidden="1">{"fdsup://Directions/FactSet Auditing Viewer?action=AUDIT_VALUE&amp;DB=129&amp;ID1=62007630&amp;VALUEID=02001&amp;SDATE=200702&amp;PERIODTYPE=QTR_STD&amp;SCFT=3&amp;window=popup_no_bar&amp;width=385&amp;height=120&amp;START_MAXIMIZED=FALSE&amp;creator=factset&amp;display_string=Audit"}</definedName>
    <definedName name="_3685__FDSAUDITLINK__" localSheetId="7" hidden="1">{"fdsup://Directions/FactSet Auditing Viewer?action=AUDIT_VALUE&amp;DB=129&amp;ID1=62007630&amp;VALUEID=02001&amp;SDATE=200701&amp;PERIODTYPE=QTR_STD&amp;SCFT=3&amp;window=popup_no_bar&amp;width=385&amp;height=120&amp;START_MAXIMIZED=FALSE&amp;creator=factset&amp;display_string=Audit"}</definedName>
    <definedName name="_3685__FDSAUDITLINK__" hidden="1">{"fdsup://Directions/FactSet Auditing Viewer?action=AUDIT_VALUE&amp;DB=129&amp;ID1=62007630&amp;VALUEID=02001&amp;SDATE=200701&amp;PERIODTYPE=QTR_STD&amp;SCFT=3&amp;window=popup_no_bar&amp;width=385&amp;height=120&amp;START_MAXIMIZED=FALSE&amp;creator=factset&amp;display_string=Audit"}</definedName>
    <definedName name="_3686__FDSAUDITLINK__" localSheetId="7" hidden="1">{"fdsup://Directions/FactSet Auditing Viewer?action=AUDIT_VALUE&amp;DB=129&amp;ID1=62007630&amp;VALUEID=02001&amp;SDATE=200701&amp;PERIODTYPE=QTR_STD&amp;SCFT=3&amp;window=popup_no_bar&amp;width=385&amp;height=120&amp;START_MAXIMIZED=FALSE&amp;creator=factset&amp;display_string=Audit"}</definedName>
    <definedName name="_3686__FDSAUDITLINK__" hidden="1">{"fdsup://Directions/FactSet Auditing Viewer?action=AUDIT_VALUE&amp;DB=129&amp;ID1=62007630&amp;VALUEID=02001&amp;SDATE=200701&amp;PERIODTYPE=QTR_STD&amp;SCFT=3&amp;window=popup_no_bar&amp;width=385&amp;height=120&amp;START_MAXIMIZED=FALSE&amp;creator=factset&amp;display_string=Audit"}</definedName>
    <definedName name="_3687__FDSAUDITLINK__" localSheetId="7" hidden="1">{"fdsup://Directions/FactSet Auditing Viewer?action=AUDIT_VALUE&amp;DB=129&amp;ID1=62007630&amp;VALUEID=02001&amp;SDATE=200603&amp;PERIODTYPE=QTR_STD&amp;SCFT=3&amp;window=popup_no_bar&amp;width=385&amp;height=120&amp;START_MAXIMIZED=FALSE&amp;creator=factset&amp;display_string=Audit"}</definedName>
    <definedName name="_3687__FDSAUDITLINK__" hidden="1">{"fdsup://Directions/FactSet Auditing Viewer?action=AUDIT_VALUE&amp;DB=129&amp;ID1=62007630&amp;VALUEID=02001&amp;SDATE=200603&amp;PERIODTYPE=QTR_STD&amp;SCFT=3&amp;window=popup_no_bar&amp;width=385&amp;height=120&amp;START_MAXIMIZED=FALSE&amp;creator=factset&amp;display_string=Audit"}</definedName>
    <definedName name="_3688__FDSAUDITLINK__" localSheetId="7" hidden="1">{"fdsup://Directions/FactSet Auditing Viewer?action=AUDIT_VALUE&amp;DB=129&amp;ID1=62007630&amp;VALUEID=02001&amp;SDATE=200603&amp;PERIODTYPE=QTR_STD&amp;SCFT=3&amp;window=popup_no_bar&amp;width=385&amp;height=120&amp;START_MAXIMIZED=FALSE&amp;creator=factset&amp;display_string=Audit"}</definedName>
    <definedName name="_3688__FDSAUDITLINK__" hidden="1">{"fdsup://Directions/FactSet Auditing Viewer?action=AUDIT_VALUE&amp;DB=129&amp;ID1=62007630&amp;VALUEID=02001&amp;SDATE=200603&amp;PERIODTYPE=QTR_STD&amp;SCFT=3&amp;window=popup_no_bar&amp;width=385&amp;height=120&amp;START_MAXIMIZED=FALSE&amp;creator=factset&amp;display_string=Audit"}</definedName>
    <definedName name="_3689__FDSAUDITLINK__" localSheetId="7" hidden="1">{"fdsup://Directions/FactSet Auditing Viewer?action=AUDIT_VALUE&amp;DB=129&amp;ID1=62007630&amp;VALUEID=02001&amp;SDATE=200602&amp;PERIODTYPE=QTR_STD&amp;SCFT=3&amp;window=popup_no_bar&amp;width=385&amp;height=120&amp;START_MAXIMIZED=FALSE&amp;creator=factset&amp;display_string=Audit"}</definedName>
    <definedName name="_3689__FDSAUDITLINK__" hidden="1">{"fdsup://Directions/FactSet Auditing Viewer?action=AUDIT_VALUE&amp;DB=129&amp;ID1=62007630&amp;VALUEID=02001&amp;SDATE=200602&amp;PERIODTYPE=QTR_STD&amp;SCFT=3&amp;window=popup_no_bar&amp;width=385&amp;height=120&amp;START_MAXIMIZED=FALSE&amp;creator=factset&amp;display_string=Audit"}</definedName>
    <definedName name="_369__FDSAUDITLINK__" localSheetId="7" hidden="1">{"fdsup://Directions/FactSet Auditing Viewer?action=AUDIT_VALUE&amp;DB=129&amp;ID1=59501710&amp;VALUEID=02001&amp;SDATE=201002&amp;PERIODTYPE=QTR_STD&amp;SCFT=3&amp;window=popup_no_bar&amp;width=385&amp;height=120&amp;START_MAXIMIZED=FALSE&amp;creator=factset&amp;display_string=Audit"}</definedName>
    <definedName name="_369__FDSAUDITLINK__" hidden="1">{"fdsup://Directions/FactSet Auditing Viewer?action=AUDIT_VALUE&amp;DB=129&amp;ID1=59501710&amp;VALUEID=02001&amp;SDATE=201002&amp;PERIODTYPE=QTR_STD&amp;SCFT=3&amp;window=popup_no_bar&amp;width=385&amp;height=120&amp;START_MAXIMIZED=FALSE&amp;creator=factset&amp;display_string=Audit"}</definedName>
    <definedName name="_3690__FDSAUDITLINK__" localSheetId="7" hidden="1">{"fdsup://Directions/FactSet Auditing Viewer?action=AUDIT_VALUE&amp;DB=129&amp;ID1=62007630&amp;VALUEID=02001&amp;SDATE=200602&amp;PERIODTYPE=QTR_STD&amp;SCFT=3&amp;window=popup_no_bar&amp;width=385&amp;height=120&amp;START_MAXIMIZED=FALSE&amp;creator=factset&amp;display_string=Audit"}</definedName>
    <definedName name="_3690__FDSAUDITLINK__" hidden="1">{"fdsup://Directions/FactSet Auditing Viewer?action=AUDIT_VALUE&amp;DB=129&amp;ID1=62007630&amp;VALUEID=02001&amp;SDATE=200602&amp;PERIODTYPE=QTR_STD&amp;SCFT=3&amp;window=popup_no_bar&amp;width=385&amp;height=120&amp;START_MAXIMIZED=FALSE&amp;creator=factset&amp;display_string=Audit"}</definedName>
    <definedName name="_3691__FDSAUDITLINK__" localSheetId="7" hidden="1">{"fdsup://Directions/FactSet Auditing Viewer?action=AUDIT_VALUE&amp;DB=129&amp;ID1=62007630&amp;VALUEID=02001&amp;SDATE=200601&amp;PERIODTYPE=QTR_STD&amp;SCFT=3&amp;window=popup_no_bar&amp;width=385&amp;height=120&amp;START_MAXIMIZED=FALSE&amp;creator=factset&amp;display_string=Audit"}</definedName>
    <definedName name="_3691__FDSAUDITLINK__" hidden="1">{"fdsup://Directions/FactSet Auditing Viewer?action=AUDIT_VALUE&amp;DB=129&amp;ID1=62007630&amp;VALUEID=02001&amp;SDATE=200601&amp;PERIODTYPE=QTR_STD&amp;SCFT=3&amp;window=popup_no_bar&amp;width=385&amp;height=120&amp;START_MAXIMIZED=FALSE&amp;creator=factset&amp;display_string=Audit"}</definedName>
    <definedName name="_3692__FDSAUDITLINK__" localSheetId="7" hidden="1">{"fdsup://Directions/FactSet Auditing Viewer?action=AUDIT_VALUE&amp;DB=129&amp;ID1=62007630&amp;VALUEID=02001&amp;SDATE=200601&amp;PERIODTYPE=QTR_STD&amp;SCFT=3&amp;window=popup_no_bar&amp;width=385&amp;height=120&amp;START_MAXIMIZED=FALSE&amp;creator=factset&amp;display_string=Audit"}</definedName>
    <definedName name="_3692__FDSAUDITLINK__" hidden="1">{"fdsup://Directions/FactSet Auditing Viewer?action=AUDIT_VALUE&amp;DB=129&amp;ID1=62007630&amp;VALUEID=02001&amp;SDATE=200601&amp;PERIODTYPE=QTR_STD&amp;SCFT=3&amp;window=popup_no_bar&amp;width=385&amp;height=120&amp;START_MAXIMIZED=FALSE&amp;creator=factset&amp;display_string=Audit"}</definedName>
    <definedName name="_3693__FDSAUDITLINK__" localSheetId="7" hidden="1">{"fdsup://Directions/FactSet Auditing Viewer?action=AUDIT_VALUE&amp;DB=129&amp;ID1=62007630&amp;VALUEID=02001&amp;SDATE=200503&amp;PERIODTYPE=QTR_STD&amp;SCFT=3&amp;window=popup_no_bar&amp;width=385&amp;height=120&amp;START_MAXIMIZED=FALSE&amp;creator=factset&amp;display_string=Audit"}</definedName>
    <definedName name="_3693__FDSAUDITLINK__" hidden="1">{"fdsup://Directions/FactSet Auditing Viewer?action=AUDIT_VALUE&amp;DB=129&amp;ID1=62007630&amp;VALUEID=02001&amp;SDATE=200503&amp;PERIODTYPE=QTR_STD&amp;SCFT=3&amp;window=popup_no_bar&amp;width=385&amp;height=120&amp;START_MAXIMIZED=FALSE&amp;creator=factset&amp;display_string=Audit"}</definedName>
    <definedName name="_3694__FDSAUDITLINK__" localSheetId="7" hidden="1">{"fdsup://Directions/FactSet Auditing Viewer?action=AUDIT_VALUE&amp;DB=129&amp;ID1=62007630&amp;VALUEID=02001&amp;SDATE=200503&amp;PERIODTYPE=QTR_STD&amp;SCFT=3&amp;window=popup_no_bar&amp;width=385&amp;height=120&amp;START_MAXIMIZED=FALSE&amp;creator=factset&amp;display_string=Audit"}</definedName>
    <definedName name="_3694__FDSAUDITLINK__" hidden="1">{"fdsup://Directions/FactSet Auditing Viewer?action=AUDIT_VALUE&amp;DB=129&amp;ID1=62007630&amp;VALUEID=02001&amp;SDATE=200503&amp;PERIODTYPE=QTR_STD&amp;SCFT=3&amp;window=popup_no_bar&amp;width=385&amp;height=120&amp;START_MAXIMIZED=FALSE&amp;creator=factset&amp;display_string=Audit"}</definedName>
    <definedName name="_3695__FDSAUDITLINK__" localSheetId="7" hidden="1">{"fdsup://Directions/FactSet Auditing Viewer?action=AUDIT_VALUE&amp;DB=129&amp;ID1=62007630&amp;VALUEID=02001&amp;SDATE=200502&amp;PERIODTYPE=QTR_STD&amp;SCFT=3&amp;window=popup_no_bar&amp;width=385&amp;height=120&amp;START_MAXIMIZED=FALSE&amp;creator=factset&amp;display_string=Audit"}</definedName>
    <definedName name="_3695__FDSAUDITLINK__" hidden="1">{"fdsup://Directions/FactSet Auditing Viewer?action=AUDIT_VALUE&amp;DB=129&amp;ID1=62007630&amp;VALUEID=02001&amp;SDATE=200502&amp;PERIODTYPE=QTR_STD&amp;SCFT=3&amp;window=popup_no_bar&amp;width=385&amp;height=120&amp;START_MAXIMIZED=FALSE&amp;creator=factset&amp;display_string=Audit"}</definedName>
    <definedName name="_3696__FDSAUDITLINK__" localSheetId="7" hidden="1">{"fdsup://Directions/FactSet Auditing Viewer?action=AUDIT_VALUE&amp;DB=129&amp;ID1=62007630&amp;VALUEID=02001&amp;SDATE=200502&amp;PERIODTYPE=QTR_STD&amp;SCFT=3&amp;window=popup_no_bar&amp;width=385&amp;height=120&amp;START_MAXIMIZED=FALSE&amp;creator=factset&amp;display_string=Audit"}</definedName>
    <definedName name="_3696__FDSAUDITLINK__" hidden="1">{"fdsup://Directions/FactSet Auditing Viewer?action=AUDIT_VALUE&amp;DB=129&amp;ID1=62007630&amp;VALUEID=02001&amp;SDATE=200502&amp;PERIODTYPE=QTR_STD&amp;SCFT=3&amp;window=popup_no_bar&amp;width=385&amp;height=120&amp;START_MAXIMIZED=FALSE&amp;creator=factset&amp;display_string=Audit"}</definedName>
    <definedName name="_3697__FDSAUDITLINK__" localSheetId="7" hidden="1">{"fdsup://Directions/FactSet Auditing Viewer?action=AUDIT_VALUE&amp;DB=129&amp;ID1=62007630&amp;VALUEID=02001&amp;SDATE=200403&amp;PERIODTYPE=QTR_STD&amp;SCFT=3&amp;window=popup_no_bar&amp;width=385&amp;height=120&amp;START_MAXIMIZED=FALSE&amp;creator=factset&amp;display_string=Audit"}</definedName>
    <definedName name="_3697__FDSAUDITLINK__" hidden="1">{"fdsup://Directions/FactSet Auditing Viewer?action=AUDIT_VALUE&amp;DB=129&amp;ID1=62007630&amp;VALUEID=02001&amp;SDATE=200403&amp;PERIODTYPE=QTR_STD&amp;SCFT=3&amp;window=popup_no_bar&amp;width=385&amp;height=120&amp;START_MAXIMIZED=FALSE&amp;creator=factset&amp;display_string=Audit"}</definedName>
    <definedName name="_3698__FDSAUDITLINK__" localSheetId="7" hidden="1">{"fdsup://Directions/FactSet Auditing Viewer?action=AUDIT_VALUE&amp;DB=129&amp;ID1=62007630&amp;VALUEID=02001&amp;SDATE=200403&amp;PERIODTYPE=QTR_STD&amp;SCFT=3&amp;window=popup_no_bar&amp;width=385&amp;height=120&amp;START_MAXIMIZED=FALSE&amp;creator=factset&amp;display_string=Audit"}</definedName>
    <definedName name="_3698__FDSAUDITLINK__" hidden="1">{"fdsup://Directions/FactSet Auditing Viewer?action=AUDIT_VALUE&amp;DB=129&amp;ID1=62007630&amp;VALUEID=02001&amp;SDATE=200403&amp;PERIODTYPE=QTR_STD&amp;SCFT=3&amp;window=popup_no_bar&amp;width=385&amp;height=120&amp;START_MAXIMIZED=FALSE&amp;creator=factset&amp;display_string=Audit"}</definedName>
    <definedName name="_3699__FDSAUDITLINK__" localSheetId="7" hidden="1">{"fdsup://Directions/FactSet Auditing Viewer?action=AUDIT_VALUE&amp;DB=129&amp;ID1=62007630&amp;VALUEID=02001&amp;SDATE=200402&amp;PERIODTYPE=QTR_STD&amp;SCFT=3&amp;window=popup_no_bar&amp;width=385&amp;height=120&amp;START_MAXIMIZED=FALSE&amp;creator=factset&amp;display_string=Audit"}</definedName>
    <definedName name="_3699__FDSAUDITLINK__" hidden="1">{"fdsup://Directions/FactSet Auditing Viewer?action=AUDIT_VALUE&amp;DB=129&amp;ID1=62007630&amp;VALUEID=02001&amp;SDATE=200402&amp;PERIODTYPE=QTR_STD&amp;SCFT=3&amp;window=popup_no_bar&amp;width=385&amp;height=120&amp;START_MAXIMIZED=FALSE&amp;creator=factset&amp;display_string=Audit"}</definedName>
    <definedName name="_37__FDSAUDITLINK__" localSheetId="7" hidden="1">{"fdsup://Directions/FactSet Auditing Viewer?action=AUDIT_VALUE&amp;DB=129&amp;ID1=74994110&amp;VALUEID=02001&amp;SDATE=201004&amp;PERIODTYPE=QTR_STD&amp;SCFT=3&amp;window=popup_no_bar&amp;width=385&amp;height=120&amp;START_MAXIMIZED=FALSE&amp;creator=factset&amp;display_string=Audit"}</definedName>
    <definedName name="_37__FDSAUDITLINK__" hidden="1">{"fdsup://Directions/FactSet Auditing Viewer?action=AUDIT_VALUE&amp;DB=129&amp;ID1=74994110&amp;VALUEID=02001&amp;SDATE=201004&amp;PERIODTYPE=QTR_STD&amp;SCFT=3&amp;window=popup_no_bar&amp;width=385&amp;height=120&amp;START_MAXIMIZED=FALSE&amp;creator=factset&amp;display_string=Audit"}</definedName>
    <definedName name="_370__FDSAUDITLINK__" localSheetId="7" hidden="1">{"fdsup://Directions/FactSet Auditing Viewer?action=AUDIT_VALUE&amp;DB=129&amp;ID1=59501710&amp;VALUEID=02001&amp;SDATE=201002&amp;PERIODTYPE=QTR_STD&amp;SCFT=3&amp;window=popup_no_bar&amp;width=385&amp;height=120&amp;START_MAXIMIZED=FALSE&amp;creator=factset&amp;display_string=Audit"}</definedName>
    <definedName name="_370__FDSAUDITLINK__" hidden="1">{"fdsup://Directions/FactSet Auditing Viewer?action=AUDIT_VALUE&amp;DB=129&amp;ID1=59501710&amp;VALUEID=02001&amp;SDATE=201002&amp;PERIODTYPE=QTR_STD&amp;SCFT=3&amp;window=popup_no_bar&amp;width=385&amp;height=120&amp;START_MAXIMIZED=FALSE&amp;creator=factset&amp;display_string=Audit"}</definedName>
    <definedName name="_3700__FDSAUDITLINK__" localSheetId="7" hidden="1">{"fdsup://Directions/FactSet Auditing Viewer?action=AUDIT_VALUE&amp;DB=129&amp;ID1=62007630&amp;VALUEID=02001&amp;SDATE=200402&amp;PERIODTYPE=QTR_STD&amp;SCFT=3&amp;window=popup_no_bar&amp;width=385&amp;height=120&amp;START_MAXIMIZED=FALSE&amp;creator=factset&amp;display_string=Audit"}</definedName>
    <definedName name="_3700__FDSAUDITLINK__" hidden="1">{"fdsup://Directions/FactSet Auditing Viewer?action=AUDIT_VALUE&amp;DB=129&amp;ID1=62007630&amp;VALUEID=02001&amp;SDATE=200402&amp;PERIODTYPE=QTR_STD&amp;SCFT=3&amp;window=popup_no_bar&amp;width=385&amp;height=120&amp;START_MAXIMIZED=FALSE&amp;creator=factset&amp;display_string=Audit"}</definedName>
    <definedName name="_3701__FDSAUDITLINK__" localSheetId="7" hidden="1">{"fdsup://Directions/FactSet Auditing Viewer?action=AUDIT_VALUE&amp;DB=129&amp;ID1=62007630&amp;VALUEID=02001&amp;SDATE=200401&amp;PERIODTYPE=QTR_STD&amp;SCFT=3&amp;window=popup_no_bar&amp;width=385&amp;height=120&amp;START_MAXIMIZED=FALSE&amp;creator=factset&amp;display_string=Audit"}</definedName>
    <definedName name="_3701__FDSAUDITLINK__" hidden="1">{"fdsup://Directions/FactSet Auditing Viewer?action=AUDIT_VALUE&amp;DB=129&amp;ID1=62007630&amp;VALUEID=02001&amp;SDATE=200401&amp;PERIODTYPE=QTR_STD&amp;SCFT=3&amp;window=popup_no_bar&amp;width=385&amp;height=120&amp;START_MAXIMIZED=FALSE&amp;creator=factset&amp;display_string=Audit"}</definedName>
    <definedName name="_3702__FDSAUDITLINK__" localSheetId="7" hidden="1">{"fdsup://Directions/FactSet Auditing Viewer?action=AUDIT_VALUE&amp;DB=129&amp;ID1=62007630&amp;VALUEID=02001&amp;SDATE=200401&amp;PERIODTYPE=QTR_STD&amp;SCFT=3&amp;window=popup_no_bar&amp;width=385&amp;height=120&amp;START_MAXIMIZED=FALSE&amp;creator=factset&amp;display_string=Audit"}</definedName>
    <definedName name="_3702__FDSAUDITLINK__" hidden="1">{"fdsup://Directions/FactSet Auditing Viewer?action=AUDIT_VALUE&amp;DB=129&amp;ID1=62007630&amp;VALUEID=02001&amp;SDATE=200401&amp;PERIODTYPE=QTR_STD&amp;SCFT=3&amp;window=popup_no_bar&amp;width=385&amp;height=120&amp;START_MAXIMIZED=FALSE&amp;creator=factset&amp;display_string=Audit"}</definedName>
    <definedName name="_3703__FDSAUDITLINK__" localSheetId="7" hidden="1">{"fdsup://Directions/FactSet Auditing Viewer?action=AUDIT_VALUE&amp;DB=129&amp;ID1=60456710&amp;VALUEID=02001&amp;SDATE=200803&amp;PERIODTYPE=QTR_STD&amp;SCFT=3&amp;window=popup_no_bar&amp;width=385&amp;height=120&amp;START_MAXIMIZED=FALSE&amp;creator=factset&amp;display_string=Audit"}</definedName>
    <definedName name="_3703__FDSAUDITLINK__" hidden="1">{"fdsup://Directions/FactSet Auditing Viewer?action=AUDIT_VALUE&amp;DB=129&amp;ID1=60456710&amp;VALUEID=02001&amp;SDATE=200803&amp;PERIODTYPE=QTR_STD&amp;SCFT=3&amp;window=popup_no_bar&amp;width=385&amp;height=120&amp;START_MAXIMIZED=FALSE&amp;creator=factset&amp;display_string=Audit"}</definedName>
    <definedName name="_3704__FDSAUDITLINK__" localSheetId="7" hidden="1">{"fdsup://Directions/FactSet Auditing Viewer?action=AUDIT_VALUE&amp;DB=129&amp;ID1=60456710&amp;VALUEID=02001&amp;SDATE=200803&amp;PERIODTYPE=QTR_STD&amp;SCFT=3&amp;window=popup_no_bar&amp;width=385&amp;height=120&amp;START_MAXIMIZED=FALSE&amp;creator=factset&amp;display_string=Audit"}</definedName>
    <definedName name="_3704__FDSAUDITLINK__" hidden="1">{"fdsup://Directions/FactSet Auditing Viewer?action=AUDIT_VALUE&amp;DB=129&amp;ID1=60456710&amp;VALUEID=02001&amp;SDATE=200803&amp;PERIODTYPE=QTR_STD&amp;SCFT=3&amp;window=popup_no_bar&amp;width=385&amp;height=120&amp;START_MAXIMIZED=FALSE&amp;creator=factset&amp;display_string=Audit"}</definedName>
    <definedName name="_3705__FDSAUDITLINK__" localSheetId="7" hidden="1">{"fdsup://Directions/FactSet Auditing Viewer?action=AUDIT_VALUE&amp;DB=129&amp;ID1=60456710&amp;VALUEID=02001&amp;SDATE=200802&amp;PERIODTYPE=QTR_STD&amp;SCFT=3&amp;window=popup_no_bar&amp;width=385&amp;height=120&amp;START_MAXIMIZED=FALSE&amp;creator=factset&amp;display_string=Audit"}</definedName>
    <definedName name="_3705__FDSAUDITLINK__" hidden="1">{"fdsup://Directions/FactSet Auditing Viewer?action=AUDIT_VALUE&amp;DB=129&amp;ID1=60456710&amp;VALUEID=02001&amp;SDATE=200802&amp;PERIODTYPE=QTR_STD&amp;SCFT=3&amp;window=popup_no_bar&amp;width=385&amp;height=120&amp;START_MAXIMIZED=FALSE&amp;creator=factset&amp;display_string=Audit"}</definedName>
    <definedName name="_3706__FDSAUDITLINK__" localSheetId="7" hidden="1">{"fdsup://Directions/FactSet Auditing Viewer?action=AUDIT_VALUE&amp;DB=129&amp;ID1=60456710&amp;VALUEID=02001&amp;SDATE=200802&amp;PERIODTYPE=QTR_STD&amp;SCFT=3&amp;window=popup_no_bar&amp;width=385&amp;height=120&amp;START_MAXIMIZED=FALSE&amp;creator=factset&amp;display_string=Audit"}</definedName>
    <definedName name="_3706__FDSAUDITLINK__" hidden="1">{"fdsup://Directions/FactSet Auditing Viewer?action=AUDIT_VALUE&amp;DB=129&amp;ID1=60456710&amp;VALUEID=02001&amp;SDATE=200802&amp;PERIODTYPE=QTR_STD&amp;SCFT=3&amp;window=popup_no_bar&amp;width=385&amp;height=120&amp;START_MAXIMIZED=FALSE&amp;creator=factset&amp;display_string=Audit"}</definedName>
    <definedName name="_3707__FDSAUDITLINK__" localSheetId="7" hidden="1">{"fdsup://Directions/FactSet Auditing Viewer?action=AUDIT_VALUE&amp;DB=129&amp;ID1=60456710&amp;VALUEID=02001&amp;SDATE=200801&amp;PERIODTYPE=QTR_STD&amp;SCFT=3&amp;window=popup_no_bar&amp;width=385&amp;height=120&amp;START_MAXIMIZED=FALSE&amp;creator=factset&amp;display_string=Audit"}</definedName>
    <definedName name="_3707__FDSAUDITLINK__" hidden="1">{"fdsup://Directions/FactSet Auditing Viewer?action=AUDIT_VALUE&amp;DB=129&amp;ID1=60456710&amp;VALUEID=02001&amp;SDATE=200801&amp;PERIODTYPE=QTR_STD&amp;SCFT=3&amp;window=popup_no_bar&amp;width=385&amp;height=120&amp;START_MAXIMIZED=FALSE&amp;creator=factset&amp;display_string=Audit"}</definedName>
    <definedName name="_3708__FDSAUDITLINK__" localSheetId="7" hidden="1">{"fdsup://Directions/FactSet Auditing Viewer?action=AUDIT_VALUE&amp;DB=129&amp;ID1=60456710&amp;VALUEID=02001&amp;SDATE=200801&amp;PERIODTYPE=QTR_STD&amp;SCFT=3&amp;window=popup_no_bar&amp;width=385&amp;height=120&amp;START_MAXIMIZED=FALSE&amp;creator=factset&amp;display_string=Audit"}</definedName>
    <definedName name="_3708__FDSAUDITLINK__" hidden="1">{"fdsup://Directions/FactSet Auditing Viewer?action=AUDIT_VALUE&amp;DB=129&amp;ID1=60456710&amp;VALUEID=02001&amp;SDATE=200801&amp;PERIODTYPE=QTR_STD&amp;SCFT=3&amp;window=popup_no_bar&amp;width=385&amp;height=120&amp;START_MAXIMIZED=FALSE&amp;creator=factset&amp;display_string=Audit"}</definedName>
    <definedName name="_3709__FDSAUDITLINK__" localSheetId="7" hidden="1">{"fdsup://Directions/FactSet Auditing Viewer?action=AUDIT_VALUE&amp;DB=129&amp;ID1=60456710&amp;VALUEID=02001&amp;SDATE=200703&amp;PERIODTYPE=QTR_STD&amp;SCFT=3&amp;window=popup_no_bar&amp;width=385&amp;height=120&amp;START_MAXIMIZED=FALSE&amp;creator=factset&amp;display_string=Audit"}</definedName>
    <definedName name="_3709__FDSAUDITLINK__" hidden="1">{"fdsup://Directions/FactSet Auditing Viewer?action=AUDIT_VALUE&amp;DB=129&amp;ID1=60456710&amp;VALUEID=02001&amp;SDATE=200703&amp;PERIODTYPE=QTR_STD&amp;SCFT=3&amp;window=popup_no_bar&amp;width=385&amp;height=120&amp;START_MAXIMIZED=FALSE&amp;creator=factset&amp;display_string=Audit"}</definedName>
    <definedName name="_371__FDSAUDITLINK__" localSheetId="7" hidden="1">{"fdsup://Directions/FactSet Auditing Viewer?action=AUDIT_VALUE&amp;DB=129&amp;ID1=50216110&amp;VALUEID=02001&amp;SDATE=201003&amp;PERIODTYPE=QTR_STD&amp;SCFT=3&amp;window=popup_no_bar&amp;width=385&amp;height=120&amp;START_MAXIMIZED=FALSE&amp;creator=factset&amp;display_string=Audit"}</definedName>
    <definedName name="_371__FDSAUDITLINK__" hidden="1">{"fdsup://Directions/FactSet Auditing Viewer?action=AUDIT_VALUE&amp;DB=129&amp;ID1=50216110&amp;VALUEID=02001&amp;SDATE=201003&amp;PERIODTYPE=QTR_STD&amp;SCFT=3&amp;window=popup_no_bar&amp;width=385&amp;height=120&amp;START_MAXIMIZED=FALSE&amp;creator=factset&amp;display_string=Audit"}</definedName>
    <definedName name="_3710__FDSAUDITLINK__" localSheetId="7" hidden="1">{"fdsup://Directions/FactSet Auditing Viewer?action=AUDIT_VALUE&amp;DB=129&amp;ID1=60456710&amp;VALUEID=02001&amp;SDATE=200703&amp;PERIODTYPE=QTR_STD&amp;SCFT=3&amp;window=popup_no_bar&amp;width=385&amp;height=120&amp;START_MAXIMIZED=FALSE&amp;creator=factset&amp;display_string=Audit"}</definedName>
    <definedName name="_3710__FDSAUDITLINK__" hidden="1">{"fdsup://Directions/FactSet Auditing Viewer?action=AUDIT_VALUE&amp;DB=129&amp;ID1=60456710&amp;VALUEID=02001&amp;SDATE=200703&amp;PERIODTYPE=QTR_STD&amp;SCFT=3&amp;window=popup_no_bar&amp;width=385&amp;height=120&amp;START_MAXIMIZED=FALSE&amp;creator=factset&amp;display_string=Audit"}</definedName>
    <definedName name="_3711__FDSAUDITLINK__" localSheetId="7" hidden="1">{"fdsup://Directions/FactSet Auditing Viewer?action=AUDIT_VALUE&amp;DB=129&amp;ID1=60456710&amp;VALUEID=02001&amp;SDATE=200702&amp;PERIODTYPE=QTR_STD&amp;SCFT=3&amp;window=popup_no_bar&amp;width=385&amp;height=120&amp;START_MAXIMIZED=FALSE&amp;creator=factset&amp;display_string=Audit"}</definedName>
    <definedName name="_3711__FDSAUDITLINK__" hidden="1">{"fdsup://Directions/FactSet Auditing Viewer?action=AUDIT_VALUE&amp;DB=129&amp;ID1=60456710&amp;VALUEID=02001&amp;SDATE=200702&amp;PERIODTYPE=QTR_STD&amp;SCFT=3&amp;window=popup_no_bar&amp;width=385&amp;height=120&amp;START_MAXIMIZED=FALSE&amp;creator=factset&amp;display_string=Audit"}</definedName>
    <definedName name="_3712__FDSAUDITLINK__" localSheetId="7" hidden="1">{"fdsup://Directions/FactSet Auditing Viewer?action=AUDIT_VALUE&amp;DB=129&amp;ID1=60456710&amp;VALUEID=02001&amp;SDATE=200702&amp;PERIODTYPE=QTR_STD&amp;SCFT=3&amp;window=popup_no_bar&amp;width=385&amp;height=120&amp;START_MAXIMIZED=FALSE&amp;creator=factset&amp;display_string=Audit"}</definedName>
    <definedName name="_3712__FDSAUDITLINK__" hidden="1">{"fdsup://Directions/FactSet Auditing Viewer?action=AUDIT_VALUE&amp;DB=129&amp;ID1=60456710&amp;VALUEID=02001&amp;SDATE=200702&amp;PERIODTYPE=QTR_STD&amp;SCFT=3&amp;window=popup_no_bar&amp;width=385&amp;height=120&amp;START_MAXIMIZED=FALSE&amp;creator=factset&amp;display_string=Audit"}</definedName>
    <definedName name="_3713__FDSAUDITLINK__" localSheetId="7" hidden="1">{"fdsup://Directions/FactSet Auditing Viewer?action=AUDIT_VALUE&amp;DB=129&amp;ID1=60456710&amp;VALUEID=02001&amp;SDATE=200701&amp;PERIODTYPE=QTR_STD&amp;SCFT=3&amp;window=popup_no_bar&amp;width=385&amp;height=120&amp;START_MAXIMIZED=FALSE&amp;creator=factset&amp;display_string=Audit"}</definedName>
    <definedName name="_3713__FDSAUDITLINK__" hidden="1">{"fdsup://Directions/FactSet Auditing Viewer?action=AUDIT_VALUE&amp;DB=129&amp;ID1=60456710&amp;VALUEID=02001&amp;SDATE=200701&amp;PERIODTYPE=QTR_STD&amp;SCFT=3&amp;window=popup_no_bar&amp;width=385&amp;height=120&amp;START_MAXIMIZED=FALSE&amp;creator=factset&amp;display_string=Audit"}</definedName>
    <definedName name="_3714__FDSAUDITLINK__" localSheetId="7" hidden="1">{"fdsup://Directions/FactSet Auditing Viewer?action=AUDIT_VALUE&amp;DB=129&amp;ID1=60456710&amp;VALUEID=02001&amp;SDATE=200701&amp;PERIODTYPE=QTR_STD&amp;SCFT=3&amp;window=popup_no_bar&amp;width=385&amp;height=120&amp;START_MAXIMIZED=FALSE&amp;creator=factset&amp;display_string=Audit"}</definedName>
    <definedName name="_3714__FDSAUDITLINK__" hidden="1">{"fdsup://Directions/FactSet Auditing Viewer?action=AUDIT_VALUE&amp;DB=129&amp;ID1=60456710&amp;VALUEID=02001&amp;SDATE=200701&amp;PERIODTYPE=QTR_STD&amp;SCFT=3&amp;window=popup_no_bar&amp;width=385&amp;height=120&amp;START_MAXIMIZED=FALSE&amp;creator=factset&amp;display_string=Audit"}</definedName>
    <definedName name="_3715__FDSAUDITLINK__" localSheetId="7" hidden="1">{"fdsup://Directions/FactSet Auditing Viewer?action=AUDIT_VALUE&amp;DB=129&amp;ID1=60456710&amp;VALUEID=02001&amp;SDATE=200603&amp;PERIODTYPE=QTR_STD&amp;SCFT=3&amp;window=popup_no_bar&amp;width=385&amp;height=120&amp;START_MAXIMIZED=FALSE&amp;creator=factset&amp;display_string=Audit"}</definedName>
    <definedName name="_3715__FDSAUDITLINK__" hidden="1">{"fdsup://Directions/FactSet Auditing Viewer?action=AUDIT_VALUE&amp;DB=129&amp;ID1=60456710&amp;VALUEID=02001&amp;SDATE=200603&amp;PERIODTYPE=QTR_STD&amp;SCFT=3&amp;window=popup_no_bar&amp;width=385&amp;height=120&amp;START_MAXIMIZED=FALSE&amp;creator=factset&amp;display_string=Audit"}</definedName>
    <definedName name="_3716__FDSAUDITLINK__" localSheetId="7" hidden="1">{"fdsup://Directions/FactSet Auditing Viewer?action=AUDIT_VALUE&amp;DB=129&amp;ID1=60456710&amp;VALUEID=02001&amp;SDATE=200603&amp;PERIODTYPE=QTR_STD&amp;SCFT=3&amp;window=popup_no_bar&amp;width=385&amp;height=120&amp;START_MAXIMIZED=FALSE&amp;creator=factset&amp;display_string=Audit"}</definedName>
    <definedName name="_3716__FDSAUDITLINK__" hidden="1">{"fdsup://Directions/FactSet Auditing Viewer?action=AUDIT_VALUE&amp;DB=129&amp;ID1=60456710&amp;VALUEID=02001&amp;SDATE=200603&amp;PERIODTYPE=QTR_STD&amp;SCFT=3&amp;window=popup_no_bar&amp;width=385&amp;height=120&amp;START_MAXIMIZED=FALSE&amp;creator=factset&amp;display_string=Audit"}</definedName>
    <definedName name="_3717__FDSAUDITLINK__" localSheetId="7" hidden="1">{"fdsup://Directions/FactSet Auditing Viewer?action=AUDIT_VALUE&amp;DB=129&amp;ID1=60456710&amp;VALUEID=02001&amp;SDATE=200602&amp;PERIODTYPE=QTR_STD&amp;SCFT=3&amp;window=popup_no_bar&amp;width=385&amp;height=120&amp;START_MAXIMIZED=FALSE&amp;creator=factset&amp;display_string=Audit"}</definedName>
    <definedName name="_3717__FDSAUDITLINK__" hidden="1">{"fdsup://Directions/FactSet Auditing Viewer?action=AUDIT_VALUE&amp;DB=129&amp;ID1=60456710&amp;VALUEID=02001&amp;SDATE=200602&amp;PERIODTYPE=QTR_STD&amp;SCFT=3&amp;window=popup_no_bar&amp;width=385&amp;height=120&amp;START_MAXIMIZED=FALSE&amp;creator=factset&amp;display_string=Audit"}</definedName>
    <definedName name="_3718__FDSAUDITLINK__" localSheetId="7" hidden="1">{"fdsup://Directions/FactSet Auditing Viewer?action=AUDIT_VALUE&amp;DB=129&amp;ID1=60456710&amp;VALUEID=02001&amp;SDATE=200602&amp;PERIODTYPE=QTR_STD&amp;SCFT=3&amp;window=popup_no_bar&amp;width=385&amp;height=120&amp;START_MAXIMIZED=FALSE&amp;creator=factset&amp;display_string=Audit"}</definedName>
    <definedName name="_3718__FDSAUDITLINK__" hidden="1">{"fdsup://Directions/FactSet Auditing Viewer?action=AUDIT_VALUE&amp;DB=129&amp;ID1=60456710&amp;VALUEID=02001&amp;SDATE=200602&amp;PERIODTYPE=QTR_STD&amp;SCFT=3&amp;window=popup_no_bar&amp;width=385&amp;height=120&amp;START_MAXIMIZED=FALSE&amp;creator=factset&amp;display_string=Audit"}</definedName>
    <definedName name="_3719__FDSAUDITLINK__" localSheetId="7" hidden="1">{"fdsup://Directions/FactSet Auditing Viewer?action=AUDIT_VALUE&amp;DB=129&amp;ID1=60456710&amp;VALUEID=02001&amp;SDATE=200601&amp;PERIODTYPE=QTR_STD&amp;SCFT=3&amp;window=popup_no_bar&amp;width=385&amp;height=120&amp;START_MAXIMIZED=FALSE&amp;creator=factset&amp;display_string=Audit"}</definedName>
    <definedName name="_3719__FDSAUDITLINK__" hidden="1">{"fdsup://Directions/FactSet Auditing Viewer?action=AUDIT_VALUE&amp;DB=129&amp;ID1=60456710&amp;VALUEID=02001&amp;SDATE=200601&amp;PERIODTYPE=QTR_STD&amp;SCFT=3&amp;window=popup_no_bar&amp;width=385&amp;height=120&amp;START_MAXIMIZED=FALSE&amp;creator=factset&amp;display_string=Audit"}</definedName>
    <definedName name="_372__FDSAUDITLINK__" localSheetId="7" hidden="1">{"fdsup://Directions/FactSet Auditing Viewer?action=AUDIT_VALUE&amp;DB=129&amp;ID1=50216110&amp;VALUEID=02001&amp;SDATE=201003&amp;PERIODTYPE=QTR_STD&amp;SCFT=3&amp;window=popup_no_bar&amp;width=385&amp;height=120&amp;START_MAXIMIZED=FALSE&amp;creator=factset&amp;display_string=Audit"}</definedName>
    <definedName name="_372__FDSAUDITLINK__" hidden="1">{"fdsup://Directions/FactSet Auditing Viewer?action=AUDIT_VALUE&amp;DB=129&amp;ID1=50216110&amp;VALUEID=02001&amp;SDATE=201003&amp;PERIODTYPE=QTR_STD&amp;SCFT=3&amp;window=popup_no_bar&amp;width=385&amp;height=120&amp;START_MAXIMIZED=FALSE&amp;creator=factset&amp;display_string=Audit"}</definedName>
    <definedName name="_3720__FDSAUDITLINK__" localSheetId="7" hidden="1">{"fdsup://Directions/FactSet Auditing Viewer?action=AUDIT_VALUE&amp;DB=129&amp;ID1=60456710&amp;VALUEID=02001&amp;SDATE=200601&amp;PERIODTYPE=QTR_STD&amp;SCFT=3&amp;window=popup_no_bar&amp;width=385&amp;height=120&amp;START_MAXIMIZED=FALSE&amp;creator=factset&amp;display_string=Audit"}</definedName>
    <definedName name="_3720__FDSAUDITLINK__" hidden="1">{"fdsup://Directions/FactSet Auditing Viewer?action=AUDIT_VALUE&amp;DB=129&amp;ID1=60456710&amp;VALUEID=02001&amp;SDATE=200601&amp;PERIODTYPE=QTR_STD&amp;SCFT=3&amp;window=popup_no_bar&amp;width=385&amp;height=120&amp;START_MAXIMIZED=FALSE&amp;creator=factset&amp;display_string=Audit"}</definedName>
    <definedName name="_3721__FDSAUDITLINK__" localSheetId="7" hidden="1">{"fdsup://Directions/FactSet Auditing Viewer?action=AUDIT_VALUE&amp;DB=129&amp;ID1=60456710&amp;VALUEID=02001&amp;SDATE=200503&amp;PERIODTYPE=QTR_STD&amp;SCFT=3&amp;window=popup_no_bar&amp;width=385&amp;height=120&amp;START_MAXIMIZED=FALSE&amp;creator=factset&amp;display_string=Audit"}</definedName>
    <definedName name="_3721__FDSAUDITLINK__" hidden="1">{"fdsup://Directions/FactSet Auditing Viewer?action=AUDIT_VALUE&amp;DB=129&amp;ID1=60456710&amp;VALUEID=02001&amp;SDATE=200503&amp;PERIODTYPE=QTR_STD&amp;SCFT=3&amp;window=popup_no_bar&amp;width=385&amp;height=120&amp;START_MAXIMIZED=FALSE&amp;creator=factset&amp;display_string=Audit"}</definedName>
    <definedName name="_3722__FDSAUDITLINK__" localSheetId="7" hidden="1">{"fdsup://Directions/FactSet Auditing Viewer?action=AUDIT_VALUE&amp;DB=129&amp;ID1=60456710&amp;VALUEID=02001&amp;SDATE=200503&amp;PERIODTYPE=QTR_STD&amp;SCFT=3&amp;window=popup_no_bar&amp;width=385&amp;height=120&amp;START_MAXIMIZED=FALSE&amp;creator=factset&amp;display_string=Audit"}</definedName>
    <definedName name="_3722__FDSAUDITLINK__" hidden="1">{"fdsup://Directions/FactSet Auditing Viewer?action=AUDIT_VALUE&amp;DB=129&amp;ID1=60456710&amp;VALUEID=02001&amp;SDATE=200503&amp;PERIODTYPE=QTR_STD&amp;SCFT=3&amp;window=popup_no_bar&amp;width=385&amp;height=120&amp;START_MAXIMIZED=FALSE&amp;creator=factset&amp;display_string=Audit"}</definedName>
    <definedName name="_3723__FDSAUDITLINK__" localSheetId="7" hidden="1">{"fdsup://Directions/FactSet Auditing Viewer?action=AUDIT_VALUE&amp;DB=129&amp;ID1=60456710&amp;VALUEID=02001&amp;SDATE=200502&amp;PERIODTYPE=QTR_STD&amp;SCFT=3&amp;window=popup_no_bar&amp;width=385&amp;height=120&amp;START_MAXIMIZED=FALSE&amp;creator=factset&amp;display_string=Audit"}</definedName>
    <definedName name="_3723__FDSAUDITLINK__" hidden="1">{"fdsup://Directions/FactSet Auditing Viewer?action=AUDIT_VALUE&amp;DB=129&amp;ID1=60456710&amp;VALUEID=02001&amp;SDATE=200502&amp;PERIODTYPE=QTR_STD&amp;SCFT=3&amp;window=popup_no_bar&amp;width=385&amp;height=120&amp;START_MAXIMIZED=FALSE&amp;creator=factset&amp;display_string=Audit"}</definedName>
    <definedName name="_3724__FDSAUDITLINK__" localSheetId="7" hidden="1">{"fdsup://Directions/FactSet Auditing Viewer?action=AUDIT_VALUE&amp;DB=129&amp;ID1=60456710&amp;VALUEID=02001&amp;SDATE=200502&amp;PERIODTYPE=QTR_STD&amp;SCFT=3&amp;window=popup_no_bar&amp;width=385&amp;height=120&amp;START_MAXIMIZED=FALSE&amp;creator=factset&amp;display_string=Audit"}</definedName>
    <definedName name="_3724__FDSAUDITLINK__" hidden="1">{"fdsup://Directions/FactSet Auditing Viewer?action=AUDIT_VALUE&amp;DB=129&amp;ID1=60456710&amp;VALUEID=02001&amp;SDATE=200502&amp;PERIODTYPE=QTR_STD&amp;SCFT=3&amp;window=popup_no_bar&amp;width=385&amp;height=120&amp;START_MAXIMIZED=FALSE&amp;creator=factset&amp;display_string=Audit"}</definedName>
    <definedName name="_3725__FDSAUDITLINK__" localSheetId="7" hidden="1">{"fdsup://Directions/FactSet Auditing Viewer?action=AUDIT_VALUE&amp;DB=129&amp;ID1=60456710&amp;VALUEID=02001&amp;SDATE=200501&amp;PERIODTYPE=QTR_STD&amp;SCFT=3&amp;window=popup_no_bar&amp;width=385&amp;height=120&amp;START_MAXIMIZED=FALSE&amp;creator=factset&amp;display_string=Audit"}</definedName>
    <definedName name="_3725__FDSAUDITLINK__" hidden="1">{"fdsup://Directions/FactSet Auditing Viewer?action=AUDIT_VALUE&amp;DB=129&amp;ID1=60456710&amp;VALUEID=02001&amp;SDATE=200501&amp;PERIODTYPE=QTR_STD&amp;SCFT=3&amp;window=popup_no_bar&amp;width=385&amp;height=120&amp;START_MAXIMIZED=FALSE&amp;creator=factset&amp;display_string=Audit"}</definedName>
    <definedName name="_3726__FDSAUDITLINK__" localSheetId="7" hidden="1">{"fdsup://Directions/FactSet Auditing Viewer?action=AUDIT_VALUE&amp;DB=129&amp;ID1=60456710&amp;VALUEID=02001&amp;SDATE=200501&amp;PERIODTYPE=QTR_STD&amp;SCFT=3&amp;window=popup_no_bar&amp;width=385&amp;height=120&amp;START_MAXIMIZED=FALSE&amp;creator=factset&amp;display_string=Audit"}</definedName>
    <definedName name="_3726__FDSAUDITLINK__" hidden="1">{"fdsup://Directions/FactSet Auditing Viewer?action=AUDIT_VALUE&amp;DB=129&amp;ID1=60456710&amp;VALUEID=02001&amp;SDATE=200501&amp;PERIODTYPE=QTR_STD&amp;SCFT=3&amp;window=popup_no_bar&amp;width=385&amp;height=120&amp;START_MAXIMIZED=FALSE&amp;creator=factset&amp;display_string=Audit"}</definedName>
    <definedName name="_3727__FDSAUDITLINK__" localSheetId="7" hidden="1">{"fdsup://Directions/FactSet Auditing Viewer?action=AUDIT_VALUE&amp;DB=129&amp;ID1=60456710&amp;VALUEID=02001&amp;SDATE=200403&amp;PERIODTYPE=QTR_STD&amp;SCFT=3&amp;window=popup_no_bar&amp;width=385&amp;height=120&amp;START_MAXIMIZED=FALSE&amp;creator=factset&amp;display_string=Audit"}</definedName>
    <definedName name="_3727__FDSAUDITLINK__" hidden="1">{"fdsup://Directions/FactSet Auditing Viewer?action=AUDIT_VALUE&amp;DB=129&amp;ID1=60456710&amp;VALUEID=02001&amp;SDATE=200403&amp;PERIODTYPE=QTR_STD&amp;SCFT=3&amp;window=popup_no_bar&amp;width=385&amp;height=120&amp;START_MAXIMIZED=FALSE&amp;creator=factset&amp;display_string=Audit"}</definedName>
    <definedName name="_3728__FDSAUDITLINK__" localSheetId="7" hidden="1">{"fdsup://Directions/FactSet Auditing Viewer?action=AUDIT_VALUE&amp;DB=129&amp;ID1=60456710&amp;VALUEID=02001&amp;SDATE=200403&amp;PERIODTYPE=QTR_STD&amp;SCFT=3&amp;window=popup_no_bar&amp;width=385&amp;height=120&amp;START_MAXIMIZED=FALSE&amp;creator=factset&amp;display_string=Audit"}</definedName>
    <definedName name="_3728__FDSAUDITLINK__" hidden="1">{"fdsup://Directions/FactSet Auditing Viewer?action=AUDIT_VALUE&amp;DB=129&amp;ID1=60456710&amp;VALUEID=02001&amp;SDATE=200403&amp;PERIODTYPE=QTR_STD&amp;SCFT=3&amp;window=popup_no_bar&amp;width=385&amp;height=120&amp;START_MAXIMIZED=FALSE&amp;creator=factset&amp;display_string=Audit"}</definedName>
    <definedName name="_3729__FDSAUDITLINK__" localSheetId="7" hidden="1">{"fdsup://Directions/FactSet Auditing Viewer?action=AUDIT_VALUE&amp;DB=129&amp;ID1=59479310&amp;VALUEID=02001&amp;SDATE=200801&amp;PERIODTYPE=QTR_STD&amp;SCFT=3&amp;window=popup_no_bar&amp;width=385&amp;height=120&amp;START_MAXIMIZED=FALSE&amp;creator=factset&amp;display_string=Audit"}</definedName>
    <definedName name="_3729__FDSAUDITLINK__" hidden="1">{"fdsup://Directions/FactSet Auditing Viewer?action=AUDIT_VALUE&amp;DB=129&amp;ID1=59479310&amp;VALUEID=02001&amp;SDATE=200801&amp;PERIODTYPE=QTR_STD&amp;SCFT=3&amp;window=popup_no_bar&amp;width=385&amp;height=120&amp;START_MAXIMIZED=FALSE&amp;creator=factset&amp;display_string=Audit"}</definedName>
    <definedName name="_373__FDSAUDITLINK__" localSheetId="7" hidden="1">{"fdsup://Directions/FactSet Auditing Viewer?action=AUDIT_VALUE&amp;DB=129&amp;ID1=51841510&amp;VALUEID=02001&amp;SDATE=201003&amp;PERIODTYPE=QTR_STD&amp;SCFT=3&amp;window=popup_no_bar&amp;width=385&amp;height=120&amp;START_MAXIMIZED=FALSE&amp;creator=factset&amp;display_string=Audit"}</definedName>
    <definedName name="_373__FDSAUDITLINK__" hidden="1">{"fdsup://Directions/FactSet Auditing Viewer?action=AUDIT_VALUE&amp;DB=129&amp;ID1=51841510&amp;VALUEID=02001&amp;SDATE=201003&amp;PERIODTYPE=QTR_STD&amp;SCFT=3&amp;window=popup_no_bar&amp;width=385&amp;height=120&amp;START_MAXIMIZED=FALSE&amp;creator=factset&amp;display_string=Audit"}</definedName>
    <definedName name="_3730__FDSAUDITLINK__" localSheetId="7" hidden="1">{"fdsup://Directions/FactSet Auditing Viewer?action=AUDIT_VALUE&amp;DB=129&amp;ID1=59479310&amp;VALUEID=02001&amp;SDATE=200801&amp;PERIODTYPE=QTR_STD&amp;SCFT=3&amp;window=popup_no_bar&amp;width=385&amp;height=120&amp;START_MAXIMIZED=FALSE&amp;creator=factset&amp;display_string=Audit"}</definedName>
    <definedName name="_3730__FDSAUDITLINK__" hidden="1">{"fdsup://Directions/FactSet Auditing Viewer?action=AUDIT_VALUE&amp;DB=129&amp;ID1=59479310&amp;VALUEID=02001&amp;SDATE=200801&amp;PERIODTYPE=QTR_STD&amp;SCFT=3&amp;window=popup_no_bar&amp;width=385&amp;height=120&amp;START_MAXIMIZED=FALSE&amp;creator=factset&amp;display_string=Audit"}</definedName>
    <definedName name="_3731__FDSAUDITLINK__" localSheetId="7" hidden="1">{"fdsup://Directions/FactSet Auditing Viewer?action=AUDIT_VALUE&amp;DB=129&amp;ID1=59479310&amp;VALUEID=02001&amp;SDATE=200703&amp;PERIODTYPE=QTR_STD&amp;SCFT=3&amp;window=popup_no_bar&amp;width=385&amp;height=120&amp;START_MAXIMIZED=FALSE&amp;creator=factset&amp;display_string=Audit"}</definedName>
    <definedName name="_3731__FDSAUDITLINK__" hidden="1">{"fdsup://Directions/FactSet Auditing Viewer?action=AUDIT_VALUE&amp;DB=129&amp;ID1=59479310&amp;VALUEID=02001&amp;SDATE=200703&amp;PERIODTYPE=QTR_STD&amp;SCFT=3&amp;window=popup_no_bar&amp;width=385&amp;height=120&amp;START_MAXIMIZED=FALSE&amp;creator=factset&amp;display_string=Audit"}</definedName>
    <definedName name="_3732__FDSAUDITLINK__" localSheetId="7" hidden="1">{"fdsup://Directions/FactSet Auditing Viewer?action=AUDIT_VALUE&amp;DB=129&amp;ID1=59479310&amp;VALUEID=02001&amp;SDATE=200703&amp;PERIODTYPE=QTR_STD&amp;SCFT=3&amp;window=popup_no_bar&amp;width=385&amp;height=120&amp;START_MAXIMIZED=FALSE&amp;creator=factset&amp;display_string=Audit"}</definedName>
    <definedName name="_3732__FDSAUDITLINK__" hidden="1">{"fdsup://Directions/FactSet Auditing Viewer?action=AUDIT_VALUE&amp;DB=129&amp;ID1=59479310&amp;VALUEID=02001&amp;SDATE=200703&amp;PERIODTYPE=QTR_STD&amp;SCFT=3&amp;window=popup_no_bar&amp;width=385&amp;height=120&amp;START_MAXIMIZED=FALSE&amp;creator=factset&amp;display_string=Audit"}</definedName>
    <definedName name="_3733__FDSAUDITLINK__" localSheetId="7" hidden="1">{"fdsup://Directions/FactSet Auditing Viewer?action=AUDIT_VALUE&amp;DB=129&amp;ID1=59479310&amp;VALUEID=02001&amp;SDATE=200702&amp;PERIODTYPE=QTR_STD&amp;SCFT=3&amp;window=popup_no_bar&amp;width=385&amp;height=120&amp;START_MAXIMIZED=FALSE&amp;creator=factset&amp;display_string=Audit"}</definedName>
    <definedName name="_3733__FDSAUDITLINK__" hidden="1">{"fdsup://Directions/FactSet Auditing Viewer?action=AUDIT_VALUE&amp;DB=129&amp;ID1=59479310&amp;VALUEID=02001&amp;SDATE=200702&amp;PERIODTYPE=QTR_STD&amp;SCFT=3&amp;window=popup_no_bar&amp;width=385&amp;height=120&amp;START_MAXIMIZED=FALSE&amp;creator=factset&amp;display_string=Audit"}</definedName>
    <definedName name="_3734__FDSAUDITLINK__" localSheetId="7" hidden="1">{"fdsup://Directions/FactSet Auditing Viewer?action=AUDIT_VALUE&amp;DB=129&amp;ID1=59479310&amp;VALUEID=02001&amp;SDATE=200702&amp;PERIODTYPE=QTR_STD&amp;SCFT=3&amp;window=popup_no_bar&amp;width=385&amp;height=120&amp;START_MAXIMIZED=FALSE&amp;creator=factset&amp;display_string=Audit"}</definedName>
    <definedName name="_3734__FDSAUDITLINK__" hidden="1">{"fdsup://Directions/FactSet Auditing Viewer?action=AUDIT_VALUE&amp;DB=129&amp;ID1=59479310&amp;VALUEID=02001&amp;SDATE=200702&amp;PERIODTYPE=QTR_STD&amp;SCFT=3&amp;window=popup_no_bar&amp;width=385&amp;height=120&amp;START_MAXIMIZED=FALSE&amp;creator=factset&amp;display_string=Audit"}</definedName>
    <definedName name="_3735__FDSAUDITLINK__" localSheetId="7" hidden="1">{"fdsup://Directions/FactSet Auditing Viewer?action=AUDIT_VALUE&amp;DB=129&amp;ID1=59479310&amp;VALUEID=02001&amp;SDATE=200701&amp;PERIODTYPE=QTR_STD&amp;SCFT=3&amp;window=popup_no_bar&amp;width=385&amp;height=120&amp;START_MAXIMIZED=FALSE&amp;creator=factset&amp;display_string=Audit"}</definedName>
    <definedName name="_3735__FDSAUDITLINK__" hidden="1">{"fdsup://Directions/FactSet Auditing Viewer?action=AUDIT_VALUE&amp;DB=129&amp;ID1=59479310&amp;VALUEID=02001&amp;SDATE=200701&amp;PERIODTYPE=QTR_STD&amp;SCFT=3&amp;window=popup_no_bar&amp;width=385&amp;height=120&amp;START_MAXIMIZED=FALSE&amp;creator=factset&amp;display_string=Audit"}</definedName>
    <definedName name="_3736__FDSAUDITLINK__" localSheetId="7" hidden="1">{"fdsup://Directions/FactSet Auditing Viewer?action=AUDIT_VALUE&amp;DB=129&amp;ID1=59479310&amp;VALUEID=02001&amp;SDATE=200701&amp;PERIODTYPE=QTR_STD&amp;SCFT=3&amp;window=popup_no_bar&amp;width=385&amp;height=120&amp;START_MAXIMIZED=FALSE&amp;creator=factset&amp;display_string=Audit"}</definedName>
    <definedName name="_3736__FDSAUDITLINK__" hidden="1">{"fdsup://Directions/FactSet Auditing Viewer?action=AUDIT_VALUE&amp;DB=129&amp;ID1=59479310&amp;VALUEID=02001&amp;SDATE=200701&amp;PERIODTYPE=QTR_STD&amp;SCFT=3&amp;window=popup_no_bar&amp;width=385&amp;height=120&amp;START_MAXIMIZED=FALSE&amp;creator=factset&amp;display_string=Audit"}</definedName>
    <definedName name="_3737__FDSAUDITLINK__" localSheetId="7" hidden="1">{"fdsup://Directions/FactSet Auditing Viewer?action=AUDIT_VALUE&amp;DB=129&amp;ID1=59479310&amp;VALUEID=02001&amp;SDATE=200603&amp;PERIODTYPE=QTR_STD&amp;SCFT=3&amp;window=popup_no_bar&amp;width=385&amp;height=120&amp;START_MAXIMIZED=FALSE&amp;creator=factset&amp;display_string=Audit"}</definedName>
    <definedName name="_3737__FDSAUDITLINK__" hidden="1">{"fdsup://Directions/FactSet Auditing Viewer?action=AUDIT_VALUE&amp;DB=129&amp;ID1=59479310&amp;VALUEID=02001&amp;SDATE=200603&amp;PERIODTYPE=QTR_STD&amp;SCFT=3&amp;window=popup_no_bar&amp;width=385&amp;height=120&amp;START_MAXIMIZED=FALSE&amp;creator=factset&amp;display_string=Audit"}</definedName>
    <definedName name="_3738__FDSAUDITLINK__" localSheetId="7" hidden="1">{"fdsup://Directions/FactSet Auditing Viewer?action=AUDIT_VALUE&amp;DB=129&amp;ID1=59479310&amp;VALUEID=02001&amp;SDATE=200603&amp;PERIODTYPE=QTR_STD&amp;SCFT=3&amp;window=popup_no_bar&amp;width=385&amp;height=120&amp;START_MAXIMIZED=FALSE&amp;creator=factset&amp;display_string=Audit"}</definedName>
    <definedName name="_3738__FDSAUDITLINK__" hidden="1">{"fdsup://Directions/FactSet Auditing Viewer?action=AUDIT_VALUE&amp;DB=129&amp;ID1=59479310&amp;VALUEID=02001&amp;SDATE=200603&amp;PERIODTYPE=QTR_STD&amp;SCFT=3&amp;window=popup_no_bar&amp;width=385&amp;height=120&amp;START_MAXIMIZED=FALSE&amp;creator=factset&amp;display_string=Audit"}</definedName>
    <definedName name="_3739__FDSAUDITLINK__" localSheetId="7" hidden="1">{"fdsup://Directions/FactSet Auditing Viewer?action=AUDIT_VALUE&amp;DB=129&amp;ID1=59479310&amp;VALUEID=02001&amp;SDATE=200602&amp;PERIODTYPE=QTR_STD&amp;SCFT=3&amp;window=popup_no_bar&amp;width=385&amp;height=120&amp;START_MAXIMIZED=FALSE&amp;creator=factset&amp;display_string=Audit"}</definedName>
    <definedName name="_3739__FDSAUDITLINK__" hidden="1">{"fdsup://Directions/FactSet Auditing Viewer?action=AUDIT_VALUE&amp;DB=129&amp;ID1=59479310&amp;VALUEID=02001&amp;SDATE=200602&amp;PERIODTYPE=QTR_STD&amp;SCFT=3&amp;window=popup_no_bar&amp;width=385&amp;height=120&amp;START_MAXIMIZED=FALSE&amp;creator=factset&amp;display_string=Audit"}</definedName>
    <definedName name="_374__FDSAUDITLINK__" localSheetId="7" hidden="1">{"fdsup://Directions/FactSet Auditing Viewer?action=AUDIT_VALUE&amp;DB=129&amp;ID1=51841510&amp;VALUEID=02001&amp;SDATE=201003&amp;PERIODTYPE=QTR_STD&amp;SCFT=3&amp;window=popup_no_bar&amp;width=385&amp;height=120&amp;START_MAXIMIZED=FALSE&amp;creator=factset&amp;display_string=Audit"}</definedName>
    <definedName name="_374__FDSAUDITLINK__" hidden="1">{"fdsup://Directions/FactSet Auditing Viewer?action=AUDIT_VALUE&amp;DB=129&amp;ID1=51841510&amp;VALUEID=02001&amp;SDATE=201003&amp;PERIODTYPE=QTR_STD&amp;SCFT=3&amp;window=popup_no_bar&amp;width=385&amp;height=120&amp;START_MAXIMIZED=FALSE&amp;creator=factset&amp;display_string=Audit"}</definedName>
    <definedName name="_3740__FDSAUDITLINK__" localSheetId="7" hidden="1">{"fdsup://Directions/FactSet Auditing Viewer?action=AUDIT_VALUE&amp;DB=129&amp;ID1=59479310&amp;VALUEID=02001&amp;SDATE=200602&amp;PERIODTYPE=QTR_STD&amp;SCFT=3&amp;window=popup_no_bar&amp;width=385&amp;height=120&amp;START_MAXIMIZED=FALSE&amp;creator=factset&amp;display_string=Audit"}</definedName>
    <definedName name="_3740__FDSAUDITLINK__" hidden="1">{"fdsup://Directions/FactSet Auditing Viewer?action=AUDIT_VALUE&amp;DB=129&amp;ID1=59479310&amp;VALUEID=02001&amp;SDATE=200602&amp;PERIODTYPE=QTR_STD&amp;SCFT=3&amp;window=popup_no_bar&amp;width=385&amp;height=120&amp;START_MAXIMIZED=FALSE&amp;creator=factset&amp;display_string=Audit"}</definedName>
    <definedName name="_3741__FDSAUDITLINK__" localSheetId="7" hidden="1">{"fdsup://Directions/FactSet Auditing Viewer?action=AUDIT_VALUE&amp;DB=129&amp;ID1=59479310&amp;VALUEID=02001&amp;SDATE=200601&amp;PERIODTYPE=QTR_STD&amp;SCFT=3&amp;window=popup_no_bar&amp;width=385&amp;height=120&amp;START_MAXIMIZED=FALSE&amp;creator=factset&amp;display_string=Audit"}</definedName>
    <definedName name="_3741__FDSAUDITLINK__" hidden="1">{"fdsup://Directions/FactSet Auditing Viewer?action=AUDIT_VALUE&amp;DB=129&amp;ID1=59479310&amp;VALUEID=02001&amp;SDATE=200601&amp;PERIODTYPE=QTR_STD&amp;SCFT=3&amp;window=popup_no_bar&amp;width=385&amp;height=120&amp;START_MAXIMIZED=FALSE&amp;creator=factset&amp;display_string=Audit"}</definedName>
    <definedName name="_3742__FDSAUDITLINK__" localSheetId="7" hidden="1">{"fdsup://Directions/FactSet Auditing Viewer?action=AUDIT_VALUE&amp;DB=129&amp;ID1=59479310&amp;VALUEID=02001&amp;SDATE=200601&amp;PERIODTYPE=QTR_STD&amp;SCFT=3&amp;window=popup_no_bar&amp;width=385&amp;height=120&amp;START_MAXIMIZED=FALSE&amp;creator=factset&amp;display_string=Audit"}</definedName>
    <definedName name="_3742__FDSAUDITLINK__" hidden="1">{"fdsup://Directions/FactSet Auditing Viewer?action=AUDIT_VALUE&amp;DB=129&amp;ID1=59479310&amp;VALUEID=02001&amp;SDATE=200601&amp;PERIODTYPE=QTR_STD&amp;SCFT=3&amp;window=popup_no_bar&amp;width=385&amp;height=120&amp;START_MAXIMIZED=FALSE&amp;creator=factset&amp;display_string=Audit"}</definedName>
    <definedName name="_3743__FDSAUDITLINK__" localSheetId="7" hidden="1">{"fdsup://Directions/FactSet Auditing Viewer?action=AUDIT_VALUE&amp;DB=129&amp;ID1=59479310&amp;VALUEID=02001&amp;SDATE=200502&amp;PERIODTYPE=QTR_STD&amp;SCFT=3&amp;window=popup_no_bar&amp;width=385&amp;height=120&amp;START_MAXIMIZED=FALSE&amp;creator=factset&amp;display_string=Audit"}</definedName>
    <definedName name="_3743__FDSAUDITLINK__" hidden="1">{"fdsup://Directions/FactSet Auditing Viewer?action=AUDIT_VALUE&amp;DB=129&amp;ID1=59479310&amp;VALUEID=02001&amp;SDATE=200502&amp;PERIODTYPE=QTR_STD&amp;SCFT=3&amp;window=popup_no_bar&amp;width=385&amp;height=120&amp;START_MAXIMIZED=FALSE&amp;creator=factset&amp;display_string=Audit"}</definedName>
    <definedName name="_3744__FDSAUDITLINK__" localSheetId="7" hidden="1">{"fdsup://Directions/FactSet Auditing Viewer?action=AUDIT_VALUE&amp;DB=129&amp;ID1=59479310&amp;VALUEID=02001&amp;SDATE=200502&amp;PERIODTYPE=QTR_STD&amp;SCFT=3&amp;window=popup_no_bar&amp;width=385&amp;height=120&amp;START_MAXIMIZED=FALSE&amp;creator=factset&amp;display_string=Audit"}</definedName>
    <definedName name="_3744__FDSAUDITLINK__" hidden="1">{"fdsup://Directions/FactSet Auditing Viewer?action=AUDIT_VALUE&amp;DB=129&amp;ID1=59479310&amp;VALUEID=02001&amp;SDATE=200502&amp;PERIODTYPE=QTR_STD&amp;SCFT=3&amp;window=popup_no_bar&amp;width=385&amp;height=120&amp;START_MAXIMIZED=FALSE&amp;creator=factset&amp;display_string=Audit"}</definedName>
    <definedName name="_3745__FDSAUDITLINK__" localSheetId="7" hidden="1">{"fdsup://Directions/FactSet Auditing Viewer?action=AUDIT_VALUE&amp;DB=129&amp;ID1=59479310&amp;VALUEID=02001&amp;SDATE=200501&amp;PERIODTYPE=QTR_STD&amp;SCFT=3&amp;window=popup_no_bar&amp;width=385&amp;height=120&amp;START_MAXIMIZED=FALSE&amp;creator=factset&amp;display_string=Audit"}</definedName>
    <definedName name="_3745__FDSAUDITLINK__" hidden="1">{"fdsup://Directions/FactSet Auditing Viewer?action=AUDIT_VALUE&amp;DB=129&amp;ID1=59479310&amp;VALUEID=02001&amp;SDATE=200501&amp;PERIODTYPE=QTR_STD&amp;SCFT=3&amp;window=popup_no_bar&amp;width=385&amp;height=120&amp;START_MAXIMIZED=FALSE&amp;creator=factset&amp;display_string=Audit"}</definedName>
    <definedName name="_3746__FDSAUDITLINK__" localSheetId="7" hidden="1">{"fdsup://Directions/FactSet Auditing Viewer?action=AUDIT_VALUE&amp;DB=129&amp;ID1=59479310&amp;VALUEID=02001&amp;SDATE=200501&amp;PERIODTYPE=QTR_STD&amp;SCFT=3&amp;window=popup_no_bar&amp;width=385&amp;height=120&amp;START_MAXIMIZED=FALSE&amp;creator=factset&amp;display_string=Audit"}</definedName>
    <definedName name="_3746__FDSAUDITLINK__" hidden="1">{"fdsup://Directions/FactSet Auditing Viewer?action=AUDIT_VALUE&amp;DB=129&amp;ID1=59479310&amp;VALUEID=02001&amp;SDATE=200501&amp;PERIODTYPE=QTR_STD&amp;SCFT=3&amp;window=popup_no_bar&amp;width=385&amp;height=120&amp;START_MAXIMIZED=FALSE&amp;creator=factset&amp;display_string=Audit"}</definedName>
    <definedName name="_3747__FDSAUDITLINK__" localSheetId="7" hidden="1">{"fdsup://Directions/FactSet Auditing Viewer?action=AUDIT_VALUE&amp;DB=129&amp;ID1=59479310&amp;VALUEID=02001&amp;SDATE=200403&amp;PERIODTYPE=QTR_STD&amp;SCFT=3&amp;window=popup_no_bar&amp;width=385&amp;height=120&amp;START_MAXIMIZED=FALSE&amp;creator=factset&amp;display_string=Audit"}</definedName>
    <definedName name="_3747__FDSAUDITLINK__" hidden="1">{"fdsup://Directions/FactSet Auditing Viewer?action=AUDIT_VALUE&amp;DB=129&amp;ID1=59479310&amp;VALUEID=02001&amp;SDATE=200403&amp;PERIODTYPE=QTR_STD&amp;SCFT=3&amp;window=popup_no_bar&amp;width=385&amp;height=120&amp;START_MAXIMIZED=FALSE&amp;creator=factset&amp;display_string=Audit"}</definedName>
    <definedName name="_3748__FDSAUDITLINK__" localSheetId="7" hidden="1">{"fdsup://Directions/FactSet Auditing Viewer?action=AUDIT_VALUE&amp;DB=129&amp;ID1=59479310&amp;VALUEID=02001&amp;SDATE=200403&amp;PERIODTYPE=QTR_STD&amp;SCFT=3&amp;window=popup_no_bar&amp;width=385&amp;height=120&amp;START_MAXIMIZED=FALSE&amp;creator=factset&amp;display_string=Audit"}</definedName>
    <definedName name="_3748__FDSAUDITLINK__" hidden="1">{"fdsup://Directions/FactSet Auditing Viewer?action=AUDIT_VALUE&amp;DB=129&amp;ID1=59479310&amp;VALUEID=02001&amp;SDATE=200403&amp;PERIODTYPE=QTR_STD&amp;SCFT=3&amp;window=popup_no_bar&amp;width=385&amp;height=120&amp;START_MAXIMIZED=FALSE&amp;creator=factset&amp;display_string=Audit"}</definedName>
    <definedName name="_3749__FDSAUDITLINK__" localSheetId="7" hidden="1">{"fdsup://Directions/FactSet Auditing Viewer?action=AUDIT_VALUE&amp;DB=129&amp;ID1=59479310&amp;VALUEID=02001&amp;SDATE=200402&amp;PERIODTYPE=QTR_STD&amp;SCFT=3&amp;window=popup_no_bar&amp;width=385&amp;height=120&amp;START_MAXIMIZED=FALSE&amp;creator=factset&amp;display_string=Audit"}</definedName>
    <definedName name="_3749__FDSAUDITLINK__" hidden="1">{"fdsup://Directions/FactSet Auditing Viewer?action=AUDIT_VALUE&amp;DB=129&amp;ID1=59479310&amp;VALUEID=02001&amp;SDATE=200402&amp;PERIODTYPE=QTR_STD&amp;SCFT=3&amp;window=popup_no_bar&amp;width=385&amp;height=120&amp;START_MAXIMIZED=FALSE&amp;creator=factset&amp;display_string=Audit"}</definedName>
    <definedName name="_375__FDSAUDITLINK__" localSheetId="7" hidden="1">{"fdsup://Directions/FactSet Auditing Viewer?action=AUDIT_VALUE&amp;DB=129&amp;ID1=51280710&amp;VALUEID=02001&amp;SDATE=201101&amp;PERIODTYPE=QTR_STD&amp;SCFT=3&amp;window=popup_no_bar&amp;width=385&amp;height=120&amp;START_MAXIMIZED=FALSE&amp;creator=factset&amp;display_string=Audit"}</definedName>
    <definedName name="_375__FDSAUDITLINK__" hidden="1">{"fdsup://Directions/FactSet Auditing Viewer?action=AUDIT_VALUE&amp;DB=129&amp;ID1=51280710&amp;VALUEID=02001&amp;SDATE=201101&amp;PERIODTYPE=QTR_STD&amp;SCFT=3&amp;window=popup_no_bar&amp;width=385&amp;height=120&amp;START_MAXIMIZED=FALSE&amp;creator=factset&amp;display_string=Audit"}</definedName>
    <definedName name="_3750__FDSAUDITLINK__" localSheetId="7" hidden="1">{"fdsup://Directions/FactSet Auditing Viewer?action=AUDIT_VALUE&amp;DB=129&amp;ID1=59479310&amp;VALUEID=02001&amp;SDATE=200402&amp;PERIODTYPE=QTR_STD&amp;SCFT=3&amp;window=popup_no_bar&amp;width=385&amp;height=120&amp;START_MAXIMIZED=FALSE&amp;creator=factset&amp;display_string=Audit"}</definedName>
    <definedName name="_3750__FDSAUDITLINK__" hidden="1">{"fdsup://Directions/FactSet Auditing Viewer?action=AUDIT_VALUE&amp;DB=129&amp;ID1=59479310&amp;VALUEID=02001&amp;SDATE=200402&amp;PERIODTYPE=QTR_STD&amp;SCFT=3&amp;window=popup_no_bar&amp;width=385&amp;height=120&amp;START_MAXIMIZED=FALSE&amp;creator=factset&amp;display_string=Audit"}</definedName>
    <definedName name="_3751__FDSAUDITLINK__" localSheetId="7" hidden="1">{"fdsup://Directions/FactSet Auditing Viewer?action=AUDIT_VALUE&amp;DB=129&amp;ID1=59479310&amp;VALUEID=02001&amp;SDATE=200401&amp;PERIODTYPE=QTR_STD&amp;SCFT=3&amp;window=popup_no_bar&amp;width=385&amp;height=120&amp;START_MAXIMIZED=FALSE&amp;creator=factset&amp;display_string=Audit"}</definedName>
    <definedName name="_3751__FDSAUDITLINK__" hidden="1">{"fdsup://Directions/FactSet Auditing Viewer?action=AUDIT_VALUE&amp;DB=129&amp;ID1=59479310&amp;VALUEID=02001&amp;SDATE=200401&amp;PERIODTYPE=QTR_STD&amp;SCFT=3&amp;window=popup_no_bar&amp;width=385&amp;height=120&amp;START_MAXIMIZED=FALSE&amp;creator=factset&amp;display_string=Audit"}</definedName>
    <definedName name="_3752__FDSAUDITLINK__" localSheetId="7" hidden="1">{"fdsup://Directions/FactSet Auditing Viewer?action=AUDIT_VALUE&amp;DB=129&amp;ID1=59479310&amp;VALUEID=02001&amp;SDATE=200401&amp;PERIODTYPE=QTR_STD&amp;SCFT=3&amp;window=popup_no_bar&amp;width=385&amp;height=120&amp;START_MAXIMIZED=FALSE&amp;creator=factset&amp;display_string=Audit"}</definedName>
    <definedName name="_3752__FDSAUDITLINK__" hidden="1">{"fdsup://Directions/FactSet Auditing Viewer?action=AUDIT_VALUE&amp;DB=129&amp;ID1=59479310&amp;VALUEID=02001&amp;SDATE=200401&amp;PERIODTYPE=QTR_STD&amp;SCFT=3&amp;window=popup_no_bar&amp;width=385&amp;height=120&amp;START_MAXIMIZED=FALSE&amp;creator=factset&amp;display_string=Audit"}</definedName>
    <definedName name="_3753__FDSAUDITLINK__" localSheetId="7" hidden="1">{"fdsup://Directions/FactSet Auditing Viewer?action=AUDIT_VALUE&amp;DB=129&amp;ID1=59501710&amp;VALUEID=02001&amp;SDATE=200704&amp;PERIODTYPE=QTR_STD&amp;SCFT=3&amp;window=popup_no_bar&amp;width=385&amp;height=120&amp;START_MAXIMIZED=FALSE&amp;creator=factset&amp;display_string=Audit"}</definedName>
    <definedName name="_3753__FDSAUDITLINK__" hidden="1">{"fdsup://Directions/FactSet Auditing Viewer?action=AUDIT_VALUE&amp;DB=129&amp;ID1=59501710&amp;VALUEID=02001&amp;SDATE=200704&amp;PERIODTYPE=QTR_STD&amp;SCFT=3&amp;window=popup_no_bar&amp;width=385&amp;height=120&amp;START_MAXIMIZED=FALSE&amp;creator=factset&amp;display_string=Audit"}</definedName>
    <definedName name="_3754__FDSAUDITLINK__" localSheetId="7" hidden="1">{"fdsup://Directions/FactSet Auditing Viewer?action=AUDIT_VALUE&amp;DB=129&amp;ID1=59501710&amp;VALUEID=02001&amp;SDATE=200704&amp;PERIODTYPE=QTR_STD&amp;SCFT=3&amp;window=popup_no_bar&amp;width=385&amp;height=120&amp;START_MAXIMIZED=FALSE&amp;creator=factset&amp;display_string=Audit"}</definedName>
    <definedName name="_3754__FDSAUDITLINK__" hidden="1">{"fdsup://Directions/FactSet Auditing Viewer?action=AUDIT_VALUE&amp;DB=129&amp;ID1=59501710&amp;VALUEID=02001&amp;SDATE=200704&amp;PERIODTYPE=QTR_STD&amp;SCFT=3&amp;window=popup_no_bar&amp;width=385&amp;height=120&amp;START_MAXIMIZED=FALSE&amp;creator=factset&amp;display_string=Audit"}</definedName>
    <definedName name="_3755__FDSAUDITLINK__" localSheetId="7" hidden="1">{"fdsup://Directions/FactSet Auditing Viewer?action=AUDIT_VALUE&amp;DB=129&amp;ID1=59501710&amp;VALUEID=02001&amp;SDATE=200703&amp;PERIODTYPE=QTR_STD&amp;SCFT=3&amp;window=popup_no_bar&amp;width=385&amp;height=120&amp;START_MAXIMIZED=FALSE&amp;creator=factset&amp;display_string=Audit"}</definedName>
    <definedName name="_3755__FDSAUDITLINK__" hidden="1">{"fdsup://Directions/FactSet Auditing Viewer?action=AUDIT_VALUE&amp;DB=129&amp;ID1=59501710&amp;VALUEID=02001&amp;SDATE=200703&amp;PERIODTYPE=QTR_STD&amp;SCFT=3&amp;window=popup_no_bar&amp;width=385&amp;height=120&amp;START_MAXIMIZED=FALSE&amp;creator=factset&amp;display_string=Audit"}</definedName>
    <definedName name="_3756__FDSAUDITLINK__" localSheetId="7" hidden="1">{"fdsup://Directions/FactSet Auditing Viewer?action=AUDIT_VALUE&amp;DB=129&amp;ID1=59501710&amp;VALUEID=02001&amp;SDATE=200703&amp;PERIODTYPE=QTR_STD&amp;SCFT=3&amp;window=popup_no_bar&amp;width=385&amp;height=120&amp;START_MAXIMIZED=FALSE&amp;creator=factset&amp;display_string=Audit"}</definedName>
    <definedName name="_3756__FDSAUDITLINK__" hidden="1">{"fdsup://Directions/FactSet Auditing Viewer?action=AUDIT_VALUE&amp;DB=129&amp;ID1=59501710&amp;VALUEID=02001&amp;SDATE=200703&amp;PERIODTYPE=QTR_STD&amp;SCFT=3&amp;window=popup_no_bar&amp;width=385&amp;height=120&amp;START_MAXIMIZED=FALSE&amp;creator=factset&amp;display_string=Audit"}</definedName>
    <definedName name="_3757__FDSAUDITLINK__" localSheetId="7" hidden="1">{"fdsup://Directions/FactSet Auditing Viewer?action=AUDIT_VALUE&amp;DB=129&amp;ID1=59501710&amp;VALUEID=02001&amp;SDATE=200702&amp;PERIODTYPE=QTR_STD&amp;SCFT=3&amp;window=popup_no_bar&amp;width=385&amp;height=120&amp;START_MAXIMIZED=FALSE&amp;creator=factset&amp;display_string=Audit"}</definedName>
    <definedName name="_3757__FDSAUDITLINK__" hidden="1">{"fdsup://Directions/FactSet Auditing Viewer?action=AUDIT_VALUE&amp;DB=129&amp;ID1=59501710&amp;VALUEID=02001&amp;SDATE=200702&amp;PERIODTYPE=QTR_STD&amp;SCFT=3&amp;window=popup_no_bar&amp;width=385&amp;height=120&amp;START_MAXIMIZED=FALSE&amp;creator=factset&amp;display_string=Audit"}</definedName>
    <definedName name="_3758__FDSAUDITLINK__" localSheetId="7" hidden="1">{"fdsup://Directions/FactSet Auditing Viewer?action=AUDIT_VALUE&amp;DB=129&amp;ID1=59501710&amp;VALUEID=02001&amp;SDATE=200702&amp;PERIODTYPE=QTR_STD&amp;SCFT=3&amp;window=popup_no_bar&amp;width=385&amp;height=120&amp;START_MAXIMIZED=FALSE&amp;creator=factset&amp;display_string=Audit"}</definedName>
    <definedName name="_3758__FDSAUDITLINK__" hidden="1">{"fdsup://Directions/FactSet Auditing Viewer?action=AUDIT_VALUE&amp;DB=129&amp;ID1=59501710&amp;VALUEID=02001&amp;SDATE=200702&amp;PERIODTYPE=QTR_STD&amp;SCFT=3&amp;window=popup_no_bar&amp;width=385&amp;height=120&amp;START_MAXIMIZED=FALSE&amp;creator=factset&amp;display_string=Audit"}</definedName>
    <definedName name="_3759__FDSAUDITLINK__" localSheetId="7" hidden="1">{"fdsup://Directions/FactSet Auditing Viewer?action=AUDIT_VALUE&amp;DB=129&amp;ID1=59501710&amp;VALUEID=02001&amp;SDATE=200701&amp;PERIODTYPE=QTR_STD&amp;SCFT=3&amp;window=popup_no_bar&amp;width=385&amp;height=120&amp;START_MAXIMIZED=FALSE&amp;creator=factset&amp;display_string=Audit"}</definedName>
    <definedName name="_3759__FDSAUDITLINK__" hidden="1">{"fdsup://Directions/FactSet Auditing Viewer?action=AUDIT_VALUE&amp;DB=129&amp;ID1=59501710&amp;VALUEID=02001&amp;SDATE=200701&amp;PERIODTYPE=QTR_STD&amp;SCFT=3&amp;window=popup_no_bar&amp;width=385&amp;height=120&amp;START_MAXIMIZED=FALSE&amp;creator=factset&amp;display_string=Audit"}</definedName>
    <definedName name="_376__FDSAUDITLINK__" localSheetId="7" hidden="1">{"fdsup://Directions/FactSet Auditing Viewer?action=AUDIT_VALUE&amp;DB=129&amp;ID1=51280710&amp;VALUEID=02001&amp;SDATE=201101&amp;PERIODTYPE=QTR_STD&amp;SCFT=3&amp;window=popup_no_bar&amp;width=385&amp;height=120&amp;START_MAXIMIZED=FALSE&amp;creator=factset&amp;display_string=Audit"}</definedName>
    <definedName name="_376__FDSAUDITLINK__" hidden="1">{"fdsup://Directions/FactSet Auditing Viewer?action=AUDIT_VALUE&amp;DB=129&amp;ID1=51280710&amp;VALUEID=02001&amp;SDATE=201101&amp;PERIODTYPE=QTR_STD&amp;SCFT=3&amp;window=popup_no_bar&amp;width=385&amp;height=120&amp;START_MAXIMIZED=FALSE&amp;creator=factset&amp;display_string=Audit"}</definedName>
    <definedName name="_3760__FDSAUDITLINK__" localSheetId="7" hidden="1">{"fdsup://Directions/FactSet Auditing Viewer?action=AUDIT_VALUE&amp;DB=129&amp;ID1=59501710&amp;VALUEID=02001&amp;SDATE=200701&amp;PERIODTYPE=QTR_STD&amp;SCFT=3&amp;window=popup_no_bar&amp;width=385&amp;height=120&amp;START_MAXIMIZED=FALSE&amp;creator=factset&amp;display_string=Audit"}</definedName>
    <definedName name="_3760__FDSAUDITLINK__" hidden="1">{"fdsup://Directions/FactSet Auditing Viewer?action=AUDIT_VALUE&amp;DB=129&amp;ID1=59501710&amp;VALUEID=02001&amp;SDATE=200701&amp;PERIODTYPE=QTR_STD&amp;SCFT=3&amp;window=popup_no_bar&amp;width=385&amp;height=120&amp;START_MAXIMIZED=FALSE&amp;creator=factset&amp;display_string=Audit"}</definedName>
    <definedName name="_3761__FDSAUDITLINK__" localSheetId="7" hidden="1">{"fdsup://Directions/FactSet Auditing Viewer?action=AUDIT_VALUE&amp;DB=129&amp;ID1=59501710&amp;VALUEID=02001&amp;SDATE=200603&amp;PERIODTYPE=QTR_STD&amp;SCFT=3&amp;window=popup_no_bar&amp;width=385&amp;height=120&amp;START_MAXIMIZED=FALSE&amp;creator=factset&amp;display_string=Audit"}</definedName>
    <definedName name="_3761__FDSAUDITLINK__" hidden="1">{"fdsup://Directions/FactSet Auditing Viewer?action=AUDIT_VALUE&amp;DB=129&amp;ID1=59501710&amp;VALUEID=02001&amp;SDATE=200603&amp;PERIODTYPE=QTR_STD&amp;SCFT=3&amp;window=popup_no_bar&amp;width=385&amp;height=120&amp;START_MAXIMIZED=FALSE&amp;creator=factset&amp;display_string=Audit"}</definedName>
    <definedName name="_3762__FDSAUDITLINK__" localSheetId="7" hidden="1">{"fdsup://Directions/FactSet Auditing Viewer?action=AUDIT_VALUE&amp;DB=129&amp;ID1=59501710&amp;VALUEID=02001&amp;SDATE=200603&amp;PERIODTYPE=QTR_STD&amp;SCFT=3&amp;window=popup_no_bar&amp;width=385&amp;height=120&amp;START_MAXIMIZED=FALSE&amp;creator=factset&amp;display_string=Audit"}</definedName>
    <definedName name="_3762__FDSAUDITLINK__" hidden="1">{"fdsup://Directions/FactSet Auditing Viewer?action=AUDIT_VALUE&amp;DB=129&amp;ID1=59501710&amp;VALUEID=02001&amp;SDATE=200603&amp;PERIODTYPE=QTR_STD&amp;SCFT=3&amp;window=popup_no_bar&amp;width=385&amp;height=120&amp;START_MAXIMIZED=FALSE&amp;creator=factset&amp;display_string=Audit"}</definedName>
    <definedName name="_3763__FDSAUDITLINK__" localSheetId="7" hidden="1">{"fdsup://Directions/FactSet Auditing Viewer?action=AUDIT_VALUE&amp;DB=129&amp;ID1=59501710&amp;VALUEID=02001&amp;SDATE=200602&amp;PERIODTYPE=QTR_STD&amp;SCFT=3&amp;window=popup_no_bar&amp;width=385&amp;height=120&amp;START_MAXIMIZED=FALSE&amp;creator=factset&amp;display_string=Audit"}</definedName>
    <definedName name="_3763__FDSAUDITLINK__" hidden="1">{"fdsup://Directions/FactSet Auditing Viewer?action=AUDIT_VALUE&amp;DB=129&amp;ID1=59501710&amp;VALUEID=02001&amp;SDATE=200602&amp;PERIODTYPE=QTR_STD&amp;SCFT=3&amp;window=popup_no_bar&amp;width=385&amp;height=120&amp;START_MAXIMIZED=FALSE&amp;creator=factset&amp;display_string=Audit"}</definedName>
    <definedName name="_3764__FDSAUDITLINK__" localSheetId="7" hidden="1">{"fdsup://Directions/FactSet Auditing Viewer?action=AUDIT_VALUE&amp;DB=129&amp;ID1=59501710&amp;VALUEID=02001&amp;SDATE=200602&amp;PERIODTYPE=QTR_STD&amp;SCFT=3&amp;window=popup_no_bar&amp;width=385&amp;height=120&amp;START_MAXIMIZED=FALSE&amp;creator=factset&amp;display_string=Audit"}</definedName>
    <definedName name="_3764__FDSAUDITLINK__" hidden="1">{"fdsup://Directions/FactSet Auditing Viewer?action=AUDIT_VALUE&amp;DB=129&amp;ID1=59501710&amp;VALUEID=02001&amp;SDATE=200602&amp;PERIODTYPE=QTR_STD&amp;SCFT=3&amp;window=popup_no_bar&amp;width=385&amp;height=120&amp;START_MAXIMIZED=FALSE&amp;creator=factset&amp;display_string=Audit"}</definedName>
    <definedName name="_3765__FDSAUDITLINK__" localSheetId="7" hidden="1">{"fdsup://Directions/FactSet Auditing Viewer?action=AUDIT_VALUE&amp;DB=129&amp;ID1=59501710&amp;VALUEID=02001&amp;SDATE=200601&amp;PERIODTYPE=QTR_STD&amp;SCFT=3&amp;window=popup_no_bar&amp;width=385&amp;height=120&amp;START_MAXIMIZED=FALSE&amp;creator=factset&amp;display_string=Audit"}</definedName>
    <definedName name="_3765__FDSAUDITLINK__" hidden="1">{"fdsup://Directions/FactSet Auditing Viewer?action=AUDIT_VALUE&amp;DB=129&amp;ID1=59501710&amp;VALUEID=02001&amp;SDATE=200601&amp;PERIODTYPE=QTR_STD&amp;SCFT=3&amp;window=popup_no_bar&amp;width=385&amp;height=120&amp;START_MAXIMIZED=FALSE&amp;creator=factset&amp;display_string=Audit"}</definedName>
    <definedName name="_3766__FDSAUDITLINK__" localSheetId="7" hidden="1">{"fdsup://Directions/FactSet Auditing Viewer?action=AUDIT_VALUE&amp;DB=129&amp;ID1=59501710&amp;VALUEID=02001&amp;SDATE=200601&amp;PERIODTYPE=QTR_STD&amp;SCFT=3&amp;window=popup_no_bar&amp;width=385&amp;height=120&amp;START_MAXIMIZED=FALSE&amp;creator=factset&amp;display_string=Audit"}</definedName>
    <definedName name="_3766__FDSAUDITLINK__" hidden="1">{"fdsup://Directions/FactSet Auditing Viewer?action=AUDIT_VALUE&amp;DB=129&amp;ID1=59501710&amp;VALUEID=02001&amp;SDATE=200601&amp;PERIODTYPE=QTR_STD&amp;SCFT=3&amp;window=popup_no_bar&amp;width=385&amp;height=120&amp;START_MAXIMIZED=FALSE&amp;creator=factset&amp;display_string=Audit"}</definedName>
    <definedName name="_3767__FDSAUDITLINK__" localSheetId="7" hidden="1">{"fdsup://Directions/FactSet Auditing Viewer?action=AUDIT_VALUE&amp;DB=129&amp;ID1=59501710&amp;VALUEID=02001&amp;SDATE=200503&amp;PERIODTYPE=QTR_STD&amp;SCFT=3&amp;window=popup_no_bar&amp;width=385&amp;height=120&amp;START_MAXIMIZED=FALSE&amp;creator=factset&amp;display_string=Audit"}</definedName>
    <definedName name="_3767__FDSAUDITLINK__" hidden="1">{"fdsup://Directions/FactSet Auditing Viewer?action=AUDIT_VALUE&amp;DB=129&amp;ID1=59501710&amp;VALUEID=02001&amp;SDATE=200503&amp;PERIODTYPE=QTR_STD&amp;SCFT=3&amp;window=popup_no_bar&amp;width=385&amp;height=120&amp;START_MAXIMIZED=FALSE&amp;creator=factset&amp;display_string=Audit"}</definedName>
    <definedName name="_3768__FDSAUDITLINK__" localSheetId="7" hidden="1">{"fdsup://Directions/FactSet Auditing Viewer?action=AUDIT_VALUE&amp;DB=129&amp;ID1=59501710&amp;VALUEID=02001&amp;SDATE=200503&amp;PERIODTYPE=QTR_STD&amp;SCFT=3&amp;window=popup_no_bar&amp;width=385&amp;height=120&amp;START_MAXIMIZED=FALSE&amp;creator=factset&amp;display_string=Audit"}</definedName>
    <definedName name="_3768__FDSAUDITLINK__" hidden="1">{"fdsup://Directions/FactSet Auditing Viewer?action=AUDIT_VALUE&amp;DB=129&amp;ID1=59501710&amp;VALUEID=02001&amp;SDATE=200503&amp;PERIODTYPE=QTR_STD&amp;SCFT=3&amp;window=popup_no_bar&amp;width=385&amp;height=120&amp;START_MAXIMIZED=FALSE&amp;creator=factset&amp;display_string=Audit"}</definedName>
    <definedName name="_3769__FDSAUDITLINK__" localSheetId="7" hidden="1">{"fdsup://Directions/FactSet Auditing Viewer?action=AUDIT_VALUE&amp;DB=129&amp;ID1=59501710&amp;VALUEID=02001&amp;SDATE=200502&amp;PERIODTYPE=QTR_STD&amp;SCFT=3&amp;window=popup_no_bar&amp;width=385&amp;height=120&amp;START_MAXIMIZED=FALSE&amp;creator=factset&amp;display_string=Audit"}</definedName>
    <definedName name="_3769__FDSAUDITLINK__" hidden="1">{"fdsup://Directions/FactSet Auditing Viewer?action=AUDIT_VALUE&amp;DB=129&amp;ID1=59501710&amp;VALUEID=02001&amp;SDATE=200502&amp;PERIODTYPE=QTR_STD&amp;SCFT=3&amp;window=popup_no_bar&amp;width=385&amp;height=120&amp;START_MAXIMIZED=FALSE&amp;creator=factset&amp;display_string=Audit"}</definedName>
    <definedName name="_377__FDSAUDITLINK__" localSheetId="7" hidden="1">{"fdsup://Directions/FactSet Auditing Viewer?action=AUDIT_VALUE&amp;DB=129&amp;ID1=53567810&amp;VALUEID=02001&amp;SDATE=201101&amp;PERIODTYPE=QTR_STD&amp;SCFT=3&amp;window=popup_no_bar&amp;width=385&amp;height=120&amp;START_MAXIMIZED=FALSE&amp;creator=factset&amp;display_string=Audit"}</definedName>
    <definedName name="_377__FDSAUDITLINK__" hidden="1">{"fdsup://Directions/FactSet Auditing Viewer?action=AUDIT_VALUE&amp;DB=129&amp;ID1=53567810&amp;VALUEID=02001&amp;SDATE=201101&amp;PERIODTYPE=QTR_STD&amp;SCFT=3&amp;window=popup_no_bar&amp;width=385&amp;height=120&amp;START_MAXIMIZED=FALSE&amp;creator=factset&amp;display_string=Audit"}</definedName>
    <definedName name="_3770__FDSAUDITLINK__" localSheetId="7" hidden="1">{"fdsup://Directions/FactSet Auditing Viewer?action=AUDIT_VALUE&amp;DB=129&amp;ID1=59501710&amp;VALUEID=02001&amp;SDATE=200502&amp;PERIODTYPE=QTR_STD&amp;SCFT=3&amp;window=popup_no_bar&amp;width=385&amp;height=120&amp;START_MAXIMIZED=FALSE&amp;creator=factset&amp;display_string=Audit"}</definedName>
    <definedName name="_3770__FDSAUDITLINK__" hidden="1">{"fdsup://Directions/FactSet Auditing Viewer?action=AUDIT_VALUE&amp;DB=129&amp;ID1=59501710&amp;VALUEID=02001&amp;SDATE=200502&amp;PERIODTYPE=QTR_STD&amp;SCFT=3&amp;window=popup_no_bar&amp;width=385&amp;height=120&amp;START_MAXIMIZED=FALSE&amp;creator=factset&amp;display_string=Audit"}</definedName>
    <definedName name="_3771__FDSAUDITLINK__" localSheetId="7" hidden="1">{"fdsup://Directions/FactSet Auditing Viewer?action=AUDIT_VALUE&amp;DB=129&amp;ID1=59501710&amp;VALUEID=02001&amp;SDATE=200501&amp;PERIODTYPE=QTR_STD&amp;SCFT=3&amp;window=popup_no_bar&amp;width=385&amp;height=120&amp;START_MAXIMIZED=FALSE&amp;creator=factset&amp;display_string=Audit"}</definedName>
    <definedName name="_3771__FDSAUDITLINK__" hidden="1">{"fdsup://Directions/FactSet Auditing Viewer?action=AUDIT_VALUE&amp;DB=129&amp;ID1=59501710&amp;VALUEID=02001&amp;SDATE=200501&amp;PERIODTYPE=QTR_STD&amp;SCFT=3&amp;window=popup_no_bar&amp;width=385&amp;height=120&amp;START_MAXIMIZED=FALSE&amp;creator=factset&amp;display_string=Audit"}</definedName>
    <definedName name="_3772__FDSAUDITLINK__" localSheetId="7" hidden="1">{"fdsup://Directions/FactSet Auditing Viewer?action=AUDIT_VALUE&amp;DB=129&amp;ID1=59501710&amp;VALUEID=02001&amp;SDATE=200501&amp;PERIODTYPE=QTR_STD&amp;SCFT=3&amp;window=popup_no_bar&amp;width=385&amp;height=120&amp;START_MAXIMIZED=FALSE&amp;creator=factset&amp;display_string=Audit"}</definedName>
    <definedName name="_3772__FDSAUDITLINK__" hidden="1">{"fdsup://Directions/FactSet Auditing Viewer?action=AUDIT_VALUE&amp;DB=129&amp;ID1=59501710&amp;VALUEID=02001&amp;SDATE=200501&amp;PERIODTYPE=QTR_STD&amp;SCFT=3&amp;window=popup_no_bar&amp;width=385&amp;height=120&amp;START_MAXIMIZED=FALSE&amp;creator=factset&amp;display_string=Audit"}</definedName>
    <definedName name="_3773__FDSAUDITLINK__" localSheetId="7" hidden="1">{"fdsup://Directions/FactSet Auditing Viewer?action=AUDIT_VALUE&amp;DB=129&amp;ID1=59501710&amp;VALUEID=02001&amp;SDATE=200403&amp;PERIODTYPE=QTR_STD&amp;SCFT=3&amp;window=popup_no_bar&amp;width=385&amp;height=120&amp;START_MAXIMIZED=FALSE&amp;creator=factset&amp;display_string=Audit"}</definedName>
    <definedName name="_3773__FDSAUDITLINK__" hidden="1">{"fdsup://Directions/FactSet Auditing Viewer?action=AUDIT_VALUE&amp;DB=129&amp;ID1=59501710&amp;VALUEID=02001&amp;SDATE=200403&amp;PERIODTYPE=QTR_STD&amp;SCFT=3&amp;window=popup_no_bar&amp;width=385&amp;height=120&amp;START_MAXIMIZED=FALSE&amp;creator=factset&amp;display_string=Audit"}</definedName>
    <definedName name="_3774__FDSAUDITLINK__" localSheetId="7" hidden="1">{"fdsup://Directions/FactSet Auditing Viewer?action=AUDIT_VALUE&amp;DB=129&amp;ID1=59501710&amp;VALUEID=02001&amp;SDATE=200403&amp;PERIODTYPE=QTR_STD&amp;SCFT=3&amp;window=popup_no_bar&amp;width=385&amp;height=120&amp;START_MAXIMIZED=FALSE&amp;creator=factset&amp;display_string=Audit"}</definedName>
    <definedName name="_3774__FDSAUDITLINK__" hidden="1">{"fdsup://Directions/FactSet Auditing Viewer?action=AUDIT_VALUE&amp;DB=129&amp;ID1=59501710&amp;VALUEID=02001&amp;SDATE=200403&amp;PERIODTYPE=QTR_STD&amp;SCFT=3&amp;window=popup_no_bar&amp;width=385&amp;height=120&amp;START_MAXIMIZED=FALSE&amp;creator=factset&amp;display_string=Audit"}</definedName>
    <definedName name="_3775__FDSAUDITLINK__" localSheetId="7" hidden="1">{"fdsup://Directions/FactSet Auditing Viewer?action=AUDIT_VALUE&amp;DB=129&amp;ID1=59501710&amp;VALUEID=02001&amp;SDATE=200402&amp;PERIODTYPE=QTR_STD&amp;SCFT=3&amp;window=popup_no_bar&amp;width=385&amp;height=120&amp;START_MAXIMIZED=FALSE&amp;creator=factset&amp;display_string=Audit"}</definedName>
    <definedName name="_3775__FDSAUDITLINK__" hidden="1">{"fdsup://Directions/FactSet Auditing Viewer?action=AUDIT_VALUE&amp;DB=129&amp;ID1=59501710&amp;VALUEID=02001&amp;SDATE=200402&amp;PERIODTYPE=QTR_STD&amp;SCFT=3&amp;window=popup_no_bar&amp;width=385&amp;height=120&amp;START_MAXIMIZED=FALSE&amp;creator=factset&amp;display_string=Audit"}</definedName>
    <definedName name="_3776__FDSAUDITLINK__" localSheetId="7" hidden="1">{"fdsup://Directions/FactSet Auditing Viewer?action=AUDIT_VALUE&amp;DB=129&amp;ID1=59501710&amp;VALUEID=02001&amp;SDATE=200402&amp;PERIODTYPE=QTR_STD&amp;SCFT=3&amp;window=popup_no_bar&amp;width=385&amp;height=120&amp;START_MAXIMIZED=FALSE&amp;creator=factset&amp;display_string=Audit"}</definedName>
    <definedName name="_3776__FDSAUDITLINK__" hidden="1">{"fdsup://Directions/FactSet Auditing Viewer?action=AUDIT_VALUE&amp;DB=129&amp;ID1=59501710&amp;VALUEID=02001&amp;SDATE=200402&amp;PERIODTYPE=QTR_STD&amp;SCFT=3&amp;window=popup_no_bar&amp;width=385&amp;height=120&amp;START_MAXIMIZED=FALSE&amp;creator=factset&amp;display_string=Audit"}</definedName>
    <definedName name="_3777__FDSAUDITLINK__" localSheetId="7" hidden="1">{"fdsup://Directions/FactSet Auditing Viewer?action=AUDIT_VALUE&amp;DB=129&amp;ID1=59501710&amp;VALUEID=02001&amp;SDATE=200401&amp;PERIODTYPE=QTR_STD&amp;SCFT=3&amp;window=popup_no_bar&amp;width=385&amp;height=120&amp;START_MAXIMIZED=FALSE&amp;creator=factset&amp;display_string=Audit"}</definedName>
    <definedName name="_3777__FDSAUDITLINK__" hidden="1">{"fdsup://Directions/FactSet Auditing Viewer?action=AUDIT_VALUE&amp;DB=129&amp;ID1=59501710&amp;VALUEID=02001&amp;SDATE=200401&amp;PERIODTYPE=QTR_STD&amp;SCFT=3&amp;window=popup_no_bar&amp;width=385&amp;height=120&amp;START_MAXIMIZED=FALSE&amp;creator=factset&amp;display_string=Audit"}</definedName>
    <definedName name="_3778__FDSAUDITLINK__" localSheetId="7" hidden="1">{"fdsup://Directions/FactSet Auditing Viewer?action=AUDIT_VALUE&amp;DB=129&amp;ID1=59501710&amp;VALUEID=02001&amp;SDATE=200401&amp;PERIODTYPE=QTR_STD&amp;SCFT=3&amp;window=popup_no_bar&amp;width=385&amp;height=120&amp;START_MAXIMIZED=FALSE&amp;creator=factset&amp;display_string=Audit"}</definedName>
    <definedName name="_3778__FDSAUDITLINK__" hidden="1">{"fdsup://Directions/FactSet Auditing Viewer?action=AUDIT_VALUE&amp;DB=129&amp;ID1=59501710&amp;VALUEID=02001&amp;SDATE=200401&amp;PERIODTYPE=QTR_STD&amp;SCFT=3&amp;window=popup_no_bar&amp;width=385&amp;height=120&amp;START_MAXIMIZED=FALSE&amp;creator=factset&amp;display_string=Audit"}</definedName>
    <definedName name="_3779__FDSAUDITLINK__" localSheetId="7" hidden="1">{"fdsup://Directions/FactSet Auditing Viewer?action=AUDIT_VALUE&amp;DB=129&amp;ID1=50216110&amp;VALUEID=02001&amp;SDATE=200801&amp;PERIODTYPE=QTR_STD&amp;SCFT=3&amp;window=popup_no_bar&amp;width=385&amp;height=120&amp;START_MAXIMIZED=FALSE&amp;creator=factset&amp;display_string=Audit"}</definedName>
    <definedName name="_3779__FDSAUDITLINK__" hidden="1">{"fdsup://Directions/FactSet Auditing Viewer?action=AUDIT_VALUE&amp;DB=129&amp;ID1=50216110&amp;VALUEID=02001&amp;SDATE=200801&amp;PERIODTYPE=QTR_STD&amp;SCFT=3&amp;window=popup_no_bar&amp;width=385&amp;height=120&amp;START_MAXIMIZED=FALSE&amp;creator=factset&amp;display_string=Audit"}</definedName>
    <definedName name="_378__FDSAUDITLINK__" localSheetId="7" hidden="1">{"fdsup://Directions/FactSet Auditing Viewer?action=AUDIT_VALUE&amp;DB=129&amp;ID1=53567810&amp;VALUEID=02001&amp;SDATE=201101&amp;PERIODTYPE=QTR_STD&amp;SCFT=3&amp;window=popup_no_bar&amp;width=385&amp;height=120&amp;START_MAXIMIZED=FALSE&amp;creator=factset&amp;display_string=Audit"}</definedName>
    <definedName name="_378__FDSAUDITLINK__" hidden="1">{"fdsup://Directions/FactSet Auditing Viewer?action=AUDIT_VALUE&amp;DB=129&amp;ID1=53567810&amp;VALUEID=02001&amp;SDATE=201101&amp;PERIODTYPE=QTR_STD&amp;SCFT=3&amp;window=popup_no_bar&amp;width=385&amp;height=120&amp;START_MAXIMIZED=FALSE&amp;creator=factset&amp;display_string=Audit"}</definedName>
    <definedName name="_3780__FDSAUDITLINK__" localSheetId="7" hidden="1">{"fdsup://Directions/FactSet Auditing Viewer?action=AUDIT_VALUE&amp;DB=129&amp;ID1=50216110&amp;VALUEID=02001&amp;SDATE=200801&amp;PERIODTYPE=QTR_STD&amp;SCFT=3&amp;window=popup_no_bar&amp;width=385&amp;height=120&amp;START_MAXIMIZED=FALSE&amp;creator=factset&amp;display_string=Audit"}</definedName>
    <definedName name="_3780__FDSAUDITLINK__" hidden="1">{"fdsup://Directions/FactSet Auditing Viewer?action=AUDIT_VALUE&amp;DB=129&amp;ID1=50216110&amp;VALUEID=02001&amp;SDATE=200801&amp;PERIODTYPE=QTR_STD&amp;SCFT=3&amp;window=popup_no_bar&amp;width=385&amp;height=120&amp;START_MAXIMIZED=FALSE&amp;creator=factset&amp;display_string=Audit"}</definedName>
    <definedName name="_3781__FDSAUDITLINK__" localSheetId="7" hidden="1">{"fdsup://Directions/FactSet Auditing Viewer?action=AUDIT_VALUE&amp;DB=129&amp;ID1=50216110&amp;VALUEID=02001&amp;SDATE=200703&amp;PERIODTYPE=QTR_STD&amp;SCFT=3&amp;window=popup_no_bar&amp;width=385&amp;height=120&amp;START_MAXIMIZED=FALSE&amp;creator=factset&amp;display_string=Audit"}</definedName>
    <definedName name="_3781__FDSAUDITLINK__" hidden="1">{"fdsup://Directions/FactSet Auditing Viewer?action=AUDIT_VALUE&amp;DB=129&amp;ID1=50216110&amp;VALUEID=02001&amp;SDATE=200703&amp;PERIODTYPE=QTR_STD&amp;SCFT=3&amp;window=popup_no_bar&amp;width=385&amp;height=120&amp;START_MAXIMIZED=FALSE&amp;creator=factset&amp;display_string=Audit"}</definedName>
    <definedName name="_3782__FDSAUDITLINK__" localSheetId="7" hidden="1">{"fdsup://Directions/FactSet Auditing Viewer?action=AUDIT_VALUE&amp;DB=129&amp;ID1=50216110&amp;VALUEID=02001&amp;SDATE=200703&amp;PERIODTYPE=QTR_STD&amp;SCFT=3&amp;window=popup_no_bar&amp;width=385&amp;height=120&amp;START_MAXIMIZED=FALSE&amp;creator=factset&amp;display_string=Audit"}</definedName>
    <definedName name="_3782__FDSAUDITLINK__" hidden="1">{"fdsup://Directions/FactSet Auditing Viewer?action=AUDIT_VALUE&amp;DB=129&amp;ID1=50216110&amp;VALUEID=02001&amp;SDATE=200703&amp;PERIODTYPE=QTR_STD&amp;SCFT=3&amp;window=popup_no_bar&amp;width=385&amp;height=120&amp;START_MAXIMIZED=FALSE&amp;creator=factset&amp;display_string=Audit"}</definedName>
    <definedName name="_3783__FDSAUDITLINK__" localSheetId="7" hidden="1">{"fdsup://Directions/FactSet Auditing Viewer?action=AUDIT_VALUE&amp;DB=129&amp;ID1=50216110&amp;VALUEID=02001&amp;SDATE=200702&amp;PERIODTYPE=QTR_STD&amp;SCFT=3&amp;window=popup_no_bar&amp;width=385&amp;height=120&amp;START_MAXIMIZED=FALSE&amp;creator=factset&amp;display_string=Audit"}</definedName>
    <definedName name="_3783__FDSAUDITLINK__" hidden="1">{"fdsup://Directions/FactSet Auditing Viewer?action=AUDIT_VALUE&amp;DB=129&amp;ID1=50216110&amp;VALUEID=02001&amp;SDATE=200702&amp;PERIODTYPE=QTR_STD&amp;SCFT=3&amp;window=popup_no_bar&amp;width=385&amp;height=120&amp;START_MAXIMIZED=FALSE&amp;creator=factset&amp;display_string=Audit"}</definedName>
    <definedName name="_3784__FDSAUDITLINK__" localSheetId="7" hidden="1">{"fdsup://Directions/FactSet Auditing Viewer?action=AUDIT_VALUE&amp;DB=129&amp;ID1=50216110&amp;VALUEID=02001&amp;SDATE=200702&amp;PERIODTYPE=QTR_STD&amp;SCFT=3&amp;window=popup_no_bar&amp;width=385&amp;height=120&amp;START_MAXIMIZED=FALSE&amp;creator=factset&amp;display_string=Audit"}</definedName>
    <definedName name="_3784__FDSAUDITLINK__" hidden="1">{"fdsup://Directions/FactSet Auditing Viewer?action=AUDIT_VALUE&amp;DB=129&amp;ID1=50216110&amp;VALUEID=02001&amp;SDATE=200702&amp;PERIODTYPE=QTR_STD&amp;SCFT=3&amp;window=popup_no_bar&amp;width=385&amp;height=120&amp;START_MAXIMIZED=FALSE&amp;creator=factset&amp;display_string=Audit"}</definedName>
    <definedName name="_3785__FDSAUDITLINK__" localSheetId="7" hidden="1">{"fdsup://Directions/FactSet Auditing Viewer?action=AUDIT_VALUE&amp;DB=129&amp;ID1=50216110&amp;VALUEID=02001&amp;SDATE=200701&amp;PERIODTYPE=QTR_STD&amp;SCFT=3&amp;window=popup_no_bar&amp;width=385&amp;height=120&amp;START_MAXIMIZED=FALSE&amp;creator=factset&amp;display_string=Audit"}</definedName>
    <definedName name="_3785__FDSAUDITLINK__" hidden="1">{"fdsup://Directions/FactSet Auditing Viewer?action=AUDIT_VALUE&amp;DB=129&amp;ID1=50216110&amp;VALUEID=02001&amp;SDATE=200701&amp;PERIODTYPE=QTR_STD&amp;SCFT=3&amp;window=popup_no_bar&amp;width=385&amp;height=120&amp;START_MAXIMIZED=FALSE&amp;creator=factset&amp;display_string=Audit"}</definedName>
    <definedName name="_3786__FDSAUDITLINK__" localSheetId="7" hidden="1">{"fdsup://Directions/FactSet Auditing Viewer?action=AUDIT_VALUE&amp;DB=129&amp;ID1=50216110&amp;VALUEID=02001&amp;SDATE=200701&amp;PERIODTYPE=QTR_STD&amp;SCFT=3&amp;window=popup_no_bar&amp;width=385&amp;height=120&amp;START_MAXIMIZED=FALSE&amp;creator=factset&amp;display_string=Audit"}</definedName>
    <definedName name="_3786__FDSAUDITLINK__" hidden="1">{"fdsup://Directions/FactSet Auditing Viewer?action=AUDIT_VALUE&amp;DB=129&amp;ID1=50216110&amp;VALUEID=02001&amp;SDATE=200701&amp;PERIODTYPE=QTR_STD&amp;SCFT=3&amp;window=popup_no_bar&amp;width=385&amp;height=120&amp;START_MAXIMIZED=FALSE&amp;creator=factset&amp;display_string=Audit"}</definedName>
    <definedName name="_3787__FDSAUDITLINK__" localSheetId="7" hidden="1">{"fdsup://Directions/FactSet Auditing Viewer?action=AUDIT_VALUE&amp;DB=129&amp;ID1=50216110&amp;VALUEID=02001&amp;SDATE=200603&amp;PERIODTYPE=QTR_STD&amp;SCFT=3&amp;window=popup_no_bar&amp;width=385&amp;height=120&amp;START_MAXIMIZED=FALSE&amp;creator=factset&amp;display_string=Audit"}</definedName>
    <definedName name="_3787__FDSAUDITLINK__" hidden="1">{"fdsup://Directions/FactSet Auditing Viewer?action=AUDIT_VALUE&amp;DB=129&amp;ID1=50216110&amp;VALUEID=02001&amp;SDATE=200603&amp;PERIODTYPE=QTR_STD&amp;SCFT=3&amp;window=popup_no_bar&amp;width=385&amp;height=120&amp;START_MAXIMIZED=FALSE&amp;creator=factset&amp;display_string=Audit"}</definedName>
    <definedName name="_3788__FDSAUDITLINK__" localSheetId="7" hidden="1">{"fdsup://Directions/FactSet Auditing Viewer?action=AUDIT_VALUE&amp;DB=129&amp;ID1=50216110&amp;VALUEID=02001&amp;SDATE=200603&amp;PERIODTYPE=QTR_STD&amp;SCFT=3&amp;window=popup_no_bar&amp;width=385&amp;height=120&amp;START_MAXIMIZED=FALSE&amp;creator=factset&amp;display_string=Audit"}</definedName>
    <definedName name="_3788__FDSAUDITLINK__" hidden="1">{"fdsup://Directions/FactSet Auditing Viewer?action=AUDIT_VALUE&amp;DB=129&amp;ID1=50216110&amp;VALUEID=02001&amp;SDATE=200603&amp;PERIODTYPE=QTR_STD&amp;SCFT=3&amp;window=popup_no_bar&amp;width=385&amp;height=120&amp;START_MAXIMIZED=FALSE&amp;creator=factset&amp;display_string=Audit"}</definedName>
    <definedName name="_3789__FDSAUDITLINK__" localSheetId="7" hidden="1">{"fdsup://Directions/FactSet Auditing Viewer?action=AUDIT_VALUE&amp;DB=129&amp;ID1=50216110&amp;VALUEID=02001&amp;SDATE=200602&amp;PERIODTYPE=QTR_STD&amp;SCFT=3&amp;window=popup_no_bar&amp;width=385&amp;height=120&amp;START_MAXIMIZED=FALSE&amp;creator=factset&amp;display_string=Audit"}</definedName>
    <definedName name="_3789__FDSAUDITLINK__" hidden="1">{"fdsup://Directions/FactSet Auditing Viewer?action=AUDIT_VALUE&amp;DB=129&amp;ID1=50216110&amp;VALUEID=02001&amp;SDATE=200602&amp;PERIODTYPE=QTR_STD&amp;SCFT=3&amp;window=popup_no_bar&amp;width=385&amp;height=120&amp;START_MAXIMIZED=FALSE&amp;creator=factset&amp;display_string=Audit"}</definedName>
    <definedName name="_379__FDSAUDITLINK__" localSheetId="7" hidden="1">{"fdsup://Directions/FactSet Auditing Viewer?action=AUDIT_VALUE&amp;DB=129&amp;ID1=48248010&amp;VALUEID=02001&amp;SDATE=201101&amp;PERIODTYPE=QTR_STD&amp;SCFT=3&amp;window=popup_no_bar&amp;width=385&amp;height=120&amp;START_MAXIMIZED=FALSE&amp;creator=factset&amp;display_string=Audit"}</definedName>
    <definedName name="_379__FDSAUDITLINK__" hidden="1">{"fdsup://Directions/FactSet Auditing Viewer?action=AUDIT_VALUE&amp;DB=129&amp;ID1=48248010&amp;VALUEID=02001&amp;SDATE=201101&amp;PERIODTYPE=QTR_STD&amp;SCFT=3&amp;window=popup_no_bar&amp;width=385&amp;height=120&amp;START_MAXIMIZED=FALSE&amp;creator=factset&amp;display_string=Audit"}</definedName>
    <definedName name="_3790__FDSAUDITLINK__" localSheetId="7" hidden="1">{"fdsup://Directions/FactSet Auditing Viewer?action=AUDIT_VALUE&amp;DB=129&amp;ID1=50216110&amp;VALUEID=02001&amp;SDATE=200602&amp;PERIODTYPE=QTR_STD&amp;SCFT=3&amp;window=popup_no_bar&amp;width=385&amp;height=120&amp;START_MAXIMIZED=FALSE&amp;creator=factset&amp;display_string=Audit"}</definedName>
    <definedName name="_3790__FDSAUDITLINK__" hidden="1">{"fdsup://Directions/FactSet Auditing Viewer?action=AUDIT_VALUE&amp;DB=129&amp;ID1=50216110&amp;VALUEID=02001&amp;SDATE=200602&amp;PERIODTYPE=QTR_STD&amp;SCFT=3&amp;window=popup_no_bar&amp;width=385&amp;height=120&amp;START_MAXIMIZED=FALSE&amp;creator=factset&amp;display_string=Audit"}</definedName>
    <definedName name="_3791__FDSAUDITLINK__" localSheetId="7" hidden="1">{"fdsup://Directions/FactSet Auditing Viewer?action=AUDIT_VALUE&amp;DB=129&amp;ID1=50216110&amp;VALUEID=02001&amp;SDATE=200601&amp;PERIODTYPE=QTR_STD&amp;SCFT=3&amp;window=popup_no_bar&amp;width=385&amp;height=120&amp;START_MAXIMIZED=FALSE&amp;creator=factset&amp;display_string=Audit"}</definedName>
    <definedName name="_3791__FDSAUDITLINK__" hidden="1">{"fdsup://Directions/FactSet Auditing Viewer?action=AUDIT_VALUE&amp;DB=129&amp;ID1=50216110&amp;VALUEID=02001&amp;SDATE=200601&amp;PERIODTYPE=QTR_STD&amp;SCFT=3&amp;window=popup_no_bar&amp;width=385&amp;height=120&amp;START_MAXIMIZED=FALSE&amp;creator=factset&amp;display_string=Audit"}</definedName>
    <definedName name="_3792__FDSAUDITLINK__" localSheetId="7" hidden="1">{"fdsup://Directions/FactSet Auditing Viewer?action=AUDIT_VALUE&amp;DB=129&amp;ID1=50216110&amp;VALUEID=02001&amp;SDATE=200601&amp;PERIODTYPE=QTR_STD&amp;SCFT=3&amp;window=popup_no_bar&amp;width=385&amp;height=120&amp;START_MAXIMIZED=FALSE&amp;creator=factset&amp;display_string=Audit"}</definedName>
    <definedName name="_3792__FDSAUDITLINK__" hidden="1">{"fdsup://Directions/FactSet Auditing Viewer?action=AUDIT_VALUE&amp;DB=129&amp;ID1=50216110&amp;VALUEID=02001&amp;SDATE=200601&amp;PERIODTYPE=QTR_STD&amp;SCFT=3&amp;window=popup_no_bar&amp;width=385&amp;height=120&amp;START_MAXIMIZED=FALSE&amp;creator=factset&amp;display_string=Audit"}</definedName>
    <definedName name="_3793__FDSAUDITLINK__" localSheetId="7" hidden="1">{"fdsup://Directions/FactSet Auditing Viewer?action=AUDIT_VALUE&amp;DB=129&amp;ID1=50216110&amp;VALUEID=02001&amp;SDATE=200503&amp;PERIODTYPE=QTR_STD&amp;SCFT=3&amp;window=popup_no_bar&amp;width=385&amp;height=120&amp;START_MAXIMIZED=FALSE&amp;creator=factset&amp;display_string=Audit"}</definedName>
    <definedName name="_3793__FDSAUDITLINK__" hidden="1">{"fdsup://Directions/FactSet Auditing Viewer?action=AUDIT_VALUE&amp;DB=129&amp;ID1=50216110&amp;VALUEID=02001&amp;SDATE=200503&amp;PERIODTYPE=QTR_STD&amp;SCFT=3&amp;window=popup_no_bar&amp;width=385&amp;height=120&amp;START_MAXIMIZED=FALSE&amp;creator=factset&amp;display_string=Audit"}</definedName>
    <definedName name="_3794__FDSAUDITLINK__" localSheetId="7" hidden="1">{"fdsup://Directions/FactSet Auditing Viewer?action=AUDIT_VALUE&amp;DB=129&amp;ID1=50216110&amp;VALUEID=02001&amp;SDATE=200503&amp;PERIODTYPE=QTR_STD&amp;SCFT=3&amp;window=popup_no_bar&amp;width=385&amp;height=120&amp;START_MAXIMIZED=FALSE&amp;creator=factset&amp;display_string=Audit"}</definedName>
    <definedName name="_3794__FDSAUDITLINK__" hidden="1">{"fdsup://Directions/FactSet Auditing Viewer?action=AUDIT_VALUE&amp;DB=129&amp;ID1=50216110&amp;VALUEID=02001&amp;SDATE=200503&amp;PERIODTYPE=QTR_STD&amp;SCFT=3&amp;window=popup_no_bar&amp;width=385&amp;height=120&amp;START_MAXIMIZED=FALSE&amp;creator=factset&amp;display_string=Audit"}</definedName>
    <definedName name="_3795__FDSAUDITLINK__" localSheetId="7" hidden="1">{"fdsup://Directions/FactSet Auditing Viewer?action=AUDIT_VALUE&amp;DB=129&amp;ID1=50216110&amp;VALUEID=02001&amp;SDATE=200502&amp;PERIODTYPE=QTR_STD&amp;SCFT=3&amp;window=popup_no_bar&amp;width=385&amp;height=120&amp;START_MAXIMIZED=FALSE&amp;creator=factset&amp;display_string=Audit"}</definedName>
    <definedName name="_3795__FDSAUDITLINK__" hidden="1">{"fdsup://Directions/FactSet Auditing Viewer?action=AUDIT_VALUE&amp;DB=129&amp;ID1=50216110&amp;VALUEID=02001&amp;SDATE=200502&amp;PERIODTYPE=QTR_STD&amp;SCFT=3&amp;window=popup_no_bar&amp;width=385&amp;height=120&amp;START_MAXIMIZED=FALSE&amp;creator=factset&amp;display_string=Audit"}</definedName>
    <definedName name="_3796__FDSAUDITLINK__" localSheetId="7" hidden="1">{"fdsup://Directions/FactSet Auditing Viewer?action=AUDIT_VALUE&amp;DB=129&amp;ID1=50216110&amp;VALUEID=02001&amp;SDATE=200502&amp;PERIODTYPE=QTR_STD&amp;SCFT=3&amp;window=popup_no_bar&amp;width=385&amp;height=120&amp;START_MAXIMIZED=FALSE&amp;creator=factset&amp;display_string=Audit"}</definedName>
    <definedName name="_3796__FDSAUDITLINK__" hidden="1">{"fdsup://Directions/FactSet Auditing Viewer?action=AUDIT_VALUE&amp;DB=129&amp;ID1=50216110&amp;VALUEID=02001&amp;SDATE=200502&amp;PERIODTYPE=QTR_STD&amp;SCFT=3&amp;window=popup_no_bar&amp;width=385&amp;height=120&amp;START_MAXIMIZED=FALSE&amp;creator=factset&amp;display_string=Audit"}</definedName>
    <definedName name="_3797__FDSAUDITLINK__" localSheetId="7" hidden="1">{"fdsup://Directions/FactSet Auditing Viewer?action=AUDIT_VALUE&amp;DB=129&amp;ID1=50216110&amp;VALUEID=02001&amp;SDATE=200501&amp;PERIODTYPE=QTR_STD&amp;SCFT=3&amp;window=popup_no_bar&amp;width=385&amp;height=120&amp;START_MAXIMIZED=FALSE&amp;creator=factset&amp;display_string=Audit"}</definedName>
    <definedName name="_3797__FDSAUDITLINK__" hidden="1">{"fdsup://Directions/FactSet Auditing Viewer?action=AUDIT_VALUE&amp;DB=129&amp;ID1=50216110&amp;VALUEID=02001&amp;SDATE=200501&amp;PERIODTYPE=QTR_STD&amp;SCFT=3&amp;window=popup_no_bar&amp;width=385&amp;height=120&amp;START_MAXIMIZED=FALSE&amp;creator=factset&amp;display_string=Audit"}</definedName>
    <definedName name="_3798__FDSAUDITLINK__" localSheetId="7" hidden="1">{"fdsup://Directions/FactSet Auditing Viewer?action=AUDIT_VALUE&amp;DB=129&amp;ID1=50216110&amp;VALUEID=02001&amp;SDATE=200501&amp;PERIODTYPE=QTR_STD&amp;SCFT=3&amp;window=popup_no_bar&amp;width=385&amp;height=120&amp;START_MAXIMIZED=FALSE&amp;creator=factset&amp;display_string=Audit"}</definedName>
    <definedName name="_3798__FDSAUDITLINK__" hidden="1">{"fdsup://Directions/FactSet Auditing Viewer?action=AUDIT_VALUE&amp;DB=129&amp;ID1=50216110&amp;VALUEID=02001&amp;SDATE=200501&amp;PERIODTYPE=QTR_STD&amp;SCFT=3&amp;window=popup_no_bar&amp;width=385&amp;height=120&amp;START_MAXIMIZED=FALSE&amp;creator=factset&amp;display_string=Audit"}</definedName>
    <definedName name="_3799__FDSAUDITLINK__" localSheetId="7" hidden="1">{"fdsup://Directions/FactSet Auditing Viewer?action=AUDIT_VALUE&amp;DB=129&amp;ID1=50216110&amp;VALUEID=02001&amp;SDATE=200403&amp;PERIODTYPE=QTR_STD&amp;SCFT=3&amp;window=popup_no_bar&amp;width=385&amp;height=120&amp;START_MAXIMIZED=FALSE&amp;creator=factset&amp;display_string=Audit"}</definedName>
    <definedName name="_3799__FDSAUDITLINK__" hidden="1">{"fdsup://Directions/FactSet Auditing Viewer?action=AUDIT_VALUE&amp;DB=129&amp;ID1=50216110&amp;VALUEID=02001&amp;SDATE=200403&amp;PERIODTYPE=QTR_STD&amp;SCFT=3&amp;window=popup_no_bar&amp;width=385&amp;height=120&amp;START_MAXIMIZED=FALSE&amp;creator=factset&amp;display_string=Audit"}</definedName>
    <definedName name="_38__FDSAUDITLINK__" localSheetId="7" hidden="1">{"fdsup://Directions/FactSet Auditing Viewer?action=AUDIT_VALUE&amp;DB=129&amp;ID1=74994110&amp;VALUEID=02001&amp;SDATE=201004&amp;PERIODTYPE=QTR_STD&amp;SCFT=3&amp;window=popup_no_bar&amp;width=385&amp;height=120&amp;START_MAXIMIZED=FALSE&amp;creator=factset&amp;display_string=Audit"}</definedName>
    <definedName name="_38__FDSAUDITLINK__" hidden="1">{"fdsup://Directions/FactSet Auditing Viewer?action=AUDIT_VALUE&amp;DB=129&amp;ID1=74994110&amp;VALUEID=02001&amp;SDATE=201004&amp;PERIODTYPE=QTR_STD&amp;SCFT=3&amp;window=popup_no_bar&amp;width=385&amp;height=120&amp;START_MAXIMIZED=FALSE&amp;creator=factset&amp;display_string=Audit"}</definedName>
    <definedName name="_380__FDSAUDITLINK__" localSheetId="7" hidden="1">{"fdsup://Directions/FactSet Auditing Viewer?action=AUDIT_VALUE&amp;DB=129&amp;ID1=48248010&amp;VALUEID=02001&amp;SDATE=201101&amp;PERIODTYPE=QTR_STD&amp;SCFT=3&amp;window=popup_no_bar&amp;width=385&amp;height=120&amp;START_MAXIMIZED=FALSE&amp;creator=factset&amp;display_string=Audit"}</definedName>
    <definedName name="_380__FDSAUDITLINK__" hidden="1">{"fdsup://Directions/FactSet Auditing Viewer?action=AUDIT_VALUE&amp;DB=129&amp;ID1=48248010&amp;VALUEID=02001&amp;SDATE=201101&amp;PERIODTYPE=QTR_STD&amp;SCFT=3&amp;window=popup_no_bar&amp;width=385&amp;height=120&amp;START_MAXIMIZED=FALSE&amp;creator=factset&amp;display_string=Audit"}</definedName>
    <definedName name="_3800__FDSAUDITLINK__" localSheetId="7" hidden="1">{"fdsup://Directions/FactSet Auditing Viewer?action=AUDIT_VALUE&amp;DB=129&amp;ID1=50216110&amp;VALUEID=02001&amp;SDATE=200403&amp;PERIODTYPE=QTR_STD&amp;SCFT=3&amp;window=popup_no_bar&amp;width=385&amp;height=120&amp;START_MAXIMIZED=FALSE&amp;creator=factset&amp;display_string=Audit"}</definedName>
    <definedName name="_3800__FDSAUDITLINK__" hidden="1">{"fdsup://Directions/FactSet Auditing Viewer?action=AUDIT_VALUE&amp;DB=129&amp;ID1=50216110&amp;VALUEID=02001&amp;SDATE=200403&amp;PERIODTYPE=QTR_STD&amp;SCFT=3&amp;window=popup_no_bar&amp;width=385&amp;height=120&amp;START_MAXIMIZED=FALSE&amp;creator=factset&amp;display_string=Audit"}</definedName>
    <definedName name="_3801__FDSAUDITLINK__" localSheetId="7" hidden="1">{"fdsup://Directions/FactSet Auditing Viewer?action=AUDIT_VALUE&amp;DB=129&amp;ID1=50216110&amp;VALUEID=02001&amp;SDATE=200402&amp;PERIODTYPE=QTR_STD&amp;SCFT=3&amp;window=popup_no_bar&amp;width=385&amp;height=120&amp;START_MAXIMIZED=FALSE&amp;creator=factset&amp;display_string=Audit"}</definedName>
    <definedName name="_3801__FDSAUDITLINK__" hidden="1">{"fdsup://Directions/FactSet Auditing Viewer?action=AUDIT_VALUE&amp;DB=129&amp;ID1=50216110&amp;VALUEID=02001&amp;SDATE=200402&amp;PERIODTYPE=QTR_STD&amp;SCFT=3&amp;window=popup_no_bar&amp;width=385&amp;height=120&amp;START_MAXIMIZED=FALSE&amp;creator=factset&amp;display_string=Audit"}</definedName>
    <definedName name="_3802__FDSAUDITLINK__" localSheetId="7" hidden="1">{"fdsup://Directions/FactSet Auditing Viewer?action=AUDIT_VALUE&amp;DB=129&amp;ID1=50216110&amp;VALUEID=02001&amp;SDATE=200402&amp;PERIODTYPE=QTR_STD&amp;SCFT=3&amp;window=popup_no_bar&amp;width=385&amp;height=120&amp;START_MAXIMIZED=FALSE&amp;creator=factset&amp;display_string=Audit"}</definedName>
    <definedName name="_3802__FDSAUDITLINK__" hidden="1">{"fdsup://Directions/FactSet Auditing Viewer?action=AUDIT_VALUE&amp;DB=129&amp;ID1=50216110&amp;VALUEID=02001&amp;SDATE=200402&amp;PERIODTYPE=QTR_STD&amp;SCFT=3&amp;window=popup_no_bar&amp;width=385&amp;height=120&amp;START_MAXIMIZED=FALSE&amp;creator=factset&amp;display_string=Audit"}</definedName>
    <definedName name="_3803__FDSAUDITLINK__" localSheetId="7" hidden="1">{"fdsup://Directions/FactSet Auditing Viewer?action=AUDIT_VALUE&amp;DB=129&amp;ID1=50216110&amp;VALUEID=02001&amp;SDATE=200401&amp;PERIODTYPE=QTR_STD&amp;SCFT=3&amp;window=popup_no_bar&amp;width=385&amp;height=120&amp;START_MAXIMIZED=FALSE&amp;creator=factset&amp;display_string=Audit"}</definedName>
    <definedName name="_3803__FDSAUDITLINK__" hidden="1">{"fdsup://Directions/FactSet Auditing Viewer?action=AUDIT_VALUE&amp;DB=129&amp;ID1=50216110&amp;VALUEID=02001&amp;SDATE=200401&amp;PERIODTYPE=QTR_STD&amp;SCFT=3&amp;window=popup_no_bar&amp;width=385&amp;height=120&amp;START_MAXIMIZED=FALSE&amp;creator=factset&amp;display_string=Audit"}</definedName>
    <definedName name="_3804__FDSAUDITLINK__" localSheetId="7" hidden="1">{"fdsup://Directions/FactSet Auditing Viewer?action=AUDIT_VALUE&amp;DB=129&amp;ID1=50216110&amp;VALUEID=02001&amp;SDATE=200401&amp;PERIODTYPE=QTR_STD&amp;SCFT=3&amp;window=popup_no_bar&amp;width=385&amp;height=120&amp;START_MAXIMIZED=FALSE&amp;creator=factset&amp;display_string=Audit"}</definedName>
    <definedName name="_3804__FDSAUDITLINK__" hidden="1">{"fdsup://Directions/FactSet Auditing Viewer?action=AUDIT_VALUE&amp;DB=129&amp;ID1=50216110&amp;VALUEID=02001&amp;SDATE=200401&amp;PERIODTYPE=QTR_STD&amp;SCFT=3&amp;window=popup_no_bar&amp;width=385&amp;height=120&amp;START_MAXIMIZED=FALSE&amp;creator=factset&amp;display_string=Audit"}</definedName>
    <definedName name="_3805__FDSAUDITLINK__" localSheetId="7" hidden="1">{"fdsup://Directions/FactSet Auditing Viewer?action=AUDIT_VALUE&amp;DB=129&amp;ID1=51841510&amp;VALUEID=02001&amp;SDATE=200801&amp;PERIODTYPE=QTR_STD&amp;SCFT=3&amp;window=popup_no_bar&amp;width=385&amp;height=120&amp;START_MAXIMIZED=FALSE&amp;creator=factset&amp;display_string=Audit"}</definedName>
    <definedName name="_3805__FDSAUDITLINK__" hidden="1">{"fdsup://Directions/FactSet Auditing Viewer?action=AUDIT_VALUE&amp;DB=129&amp;ID1=51841510&amp;VALUEID=02001&amp;SDATE=200801&amp;PERIODTYPE=QTR_STD&amp;SCFT=3&amp;window=popup_no_bar&amp;width=385&amp;height=120&amp;START_MAXIMIZED=FALSE&amp;creator=factset&amp;display_string=Audit"}</definedName>
    <definedName name="_3806__FDSAUDITLINK__" localSheetId="7" hidden="1">{"fdsup://Directions/FactSet Auditing Viewer?action=AUDIT_VALUE&amp;DB=129&amp;ID1=51841510&amp;VALUEID=02001&amp;SDATE=200801&amp;PERIODTYPE=QTR_STD&amp;SCFT=3&amp;window=popup_no_bar&amp;width=385&amp;height=120&amp;START_MAXIMIZED=FALSE&amp;creator=factset&amp;display_string=Audit"}</definedName>
    <definedName name="_3806__FDSAUDITLINK__" hidden="1">{"fdsup://Directions/FactSet Auditing Viewer?action=AUDIT_VALUE&amp;DB=129&amp;ID1=51841510&amp;VALUEID=02001&amp;SDATE=200801&amp;PERIODTYPE=QTR_STD&amp;SCFT=3&amp;window=popup_no_bar&amp;width=385&amp;height=120&amp;START_MAXIMIZED=FALSE&amp;creator=factset&amp;display_string=Audit"}</definedName>
    <definedName name="_3807__FDSAUDITLINK__" localSheetId="7" hidden="1">{"fdsup://Directions/FactSet Auditing Viewer?action=AUDIT_VALUE&amp;DB=129&amp;ID1=51841510&amp;VALUEID=02001&amp;SDATE=200703&amp;PERIODTYPE=QTR_STD&amp;SCFT=3&amp;window=popup_no_bar&amp;width=385&amp;height=120&amp;START_MAXIMIZED=FALSE&amp;creator=factset&amp;display_string=Audit"}</definedName>
    <definedName name="_3807__FDSAUDITLINK__" hidden="1">{"fdsup://Directions/FactSet Auditing Viewer?action=AUDIT_VALUE&amp;DB=129&amp;ID1=51841510&amp;VALUEID=02001&amp;SDATE=200703&amp;PERIODTYPE=QTR_STD&amp;SCFT=3&amp;window=popup_no_bar&amp;width=385&amp;height=120&amp;START_MAXIMIZED=FALSE&amp;creator=factset&amp;display_string=Audit"}</definedName>
    <definedName name="_3808__FDSAUDITLINK__" localSheetId="7" hidden="1">{"fdsup://Directions/FactSet Auditing Viewer?action=AUDIT_VALUE&amp;DB=129&amp;ID1=51841510&amp;VALUEID=02001&amp;SDATE=200703&amp;PERIODTYPE=QTR_STD&amp;SCFT=3&amp;window=popup_no_bar&amp;width=385&amp;height=120&amp;START_MAXIMIZED=FALSE&amp;creator=factset&amp;display_string=Audit"}</definedName>
    <definedName name="_3808__FDSAUDITLINK__" hidden="1">{"fdsup://Directions/FactSet Auditing Viewer?action=AUDIT_VALUE&amp;DB=129&amp;ID1=51841510&amp;VALUEID=02001&amp;SDATE=200703&amp;PERIODTYPE=QTR_STD&amp;SCFT=3&amp;window=popup_no_bar&amp;width=385&amp;height=120&amp;START_MAXIMIZED=FALSE&amp;creator=factset&amp;display_string=Audit"}</definedName>
    <definedName name="_3809__FDSAUDITLINK__" localSheetId="7" hidden="1">{"fdsup://Directions/FactSet Auditing Viewer?action=AUDIT_VALUE&amp;DB=129&amp;ID1=51841510&amp;VALUEID=02001&amp;SDATE=200702&amp;PERIODTYPE=QTR_STD&amp;SCFT=3&amp;window=popup_no_bar&amp;width=385&amp;height=120&amp;START_MAXIMIZED=FALSE&amp;creator=factset&amp;display_string=Audit"}</definedName>
    <definedName name="_3809__FDSAUDITLINK__" hidden="1">{"fdsup://Directions/FactSet Auditing Viewer?action=AUDIT_VALUE&amp;DB=129&amp;ID1=51841510&amp;VALUEID=02001&amp;SDATE=200702&amp;PERIODTYPE=QTR_STD&amp;SCFT=3&amp;window=popup_no_bar&amp;width=385&amp;height=120&amp;START_MAXIMIZED=FALSE&amp;creator=factset&amp;display_string=Audit"}</definedName>
    <definedName name="_381__FDSAUDITLINK__" localSheetId="7" hidden="1">{"fdsup://Directions/FactSet Auditing Viewer?action=AUDIT_VALUE&amp;DB=129&amp;ID1=48836020&amp;VALUEID=02001&amp;SDATE=201002&amp;PERIODTYPE=QTR_STD&amp;SCFT=3&amp;window=popup_no_bar&amp;width=385&amp;height=120&amp;START_MAXIMIZED=FALSE&amp;creator=factset&amp;display_string=Audit"}</definedName>
    <definedName name="_381__FDSAUDITLINK__" hidden="1">{"fdsup://Directions/FactSet Auditing Viewer?action=AUDIT_VALUE&amp;DB=129&amp;ID1=48836020&amp;VALUEID=02001&amp;SDATE=201002&amp;PERIODTYPE=QTR_STD&amp;SCFT=3&amp;window=popup_no_bar&amp;width=385&amp;height=120&amp;START_MAXIMIZED=FALSE&amp;creator=factset&amp;display_string=Audit"}</definedName>
    <definedName name="_3810__FDSAUDITLINK__" localSheetId="7" hidden="1">{"fdsup://Directions/FactSet Auditing Viewer?action=AUDIT_VALUE&amp;DB=129&amp;ID1=51841510&amp;VALUEID=02001&amp;SDATE=200702&amp;PERIODTYPE=QTR_STD&amp;SCFT=3&amp;window=popup_no_bar&amp;width=385&amp;height=120&amp;START_MAXIMIZED=FALSE&amp;creator=factset&amp;display_string=Audit"}</definedName>
    <definedName name="_3810__FDSAUDITLINK__" hidden="1">{"fdsup://Directions/FactSet Auditing Viewer?action=AUDIT_VALUE&amp;DB=129&amp;ID1=51841510&amp;VALUEID=02001&amp;SDATE=200702&amp;PERIODTYPE=QTR_STD&amp;SCFT=3&amp;window=popup_no_bar&amp;width=385&amp;height=120&amp;START_MAXIMIZED=FALSE&amp;creator=factset&amp;display_string=Audit"}</definedName>
    <definedName name="_3811__FDSAUDITLINK__" localSheetId="7" hidden="1">{"fdsup://Directions/FactSet Auditing Viewer?action=AUDIT_VALUE&amp;DB=129&amp;ID1=51841510&amp;VALUEID=02001&amp;SDATE=200701&amp;PERIODTYPE=QTR_STD&amp;SCFT=3&amp;window=popup_no_bar&amp;width=385&amp;height=120&amp;START_MAXIMIZED=FALSE&amp;creator=factset&amp;display_string=Audit"}</definedName>
    <definedName name="_3811__FDSAUDITLINK__" hidden="1">{"fdsup://Directions/FactSet Auditing Viewer?action=AUDIT_VALUE&amp;DB=129&amp;ID1=51841510&amp;VALUEID=02001&amp;SDATE=200701&amp;PERIODTYPE=QTR_STD&amp;SCFT=3&amp;window=popup_no_bar&amp;width=385&amp;height=120&amp;START_MAXIMIZED=FALSE&amp;creator=factset&amp;display_string=Audit"}</definedName>
    <definedName name="_3812__FDSAUDITLINK__" localSheetId="7" hidden="1">{"fdsup://Directions/FactSet Auditing Viewer?action=AUDIT_VALUE&amp;DB=129&amp;ID1=51841510&amp;VALUEID=02001&amp;SDATE=200701&amp;PERIODTYPE=QTR_STD&amp;SCFT=3&amp;window=popup_no_bar&amp;width=385&amp;height=120&amp;START_MAXIMIZED=FALSE&amp;creator=factset&amp;display_string=Audit"}</definedName>
    <definedName name="_3812__FDSAUDITLINK__" hidden="1">{"fdsup://Directions/FactSet Auditing Viewer?action=AUDIT_VALUE&amp;DB=129&amp;ID1=51841510&amp;VALUEID=02001&amp;SDATE=200701&amp;PERIODTYPE=QTR_STD&amp;SCFT=3&amp;window=popup_no_bar&amp;width=385&amp;height=120&amp;START_MAXIMIZED=FALSE&amp;creator=factset&amp;display_string=Audit"}</definedName>
    <definedName name="_3813__FDSAUDITLINK__" localSheetId="7" hidden="1">{"fdsup://Directions/FactSet Auditing Viewer?action=AUDIT_VALUE&amp;DB=129&amp;ID1=51841510&amp;VALUEID=02001&amp;SDATE=200603&amp;PERIODTYPE=QTR_STD&amp;SCFT=3&amp;window=popup_no_bar&amp;width=385&amp;height=120&amp;START_MAXIMIZED=FALSE&amp;creator=factset&amp;display_string=Audit"}</definedName>
    <definedName name="_3813__FDSAUDITLINK__" hidden="1">{"fdsup://Directions/FactSet Auditing Viewer?action=AUDIT_VALUE&amp;DB=129&amp;ID1=51841510&amp;VALUEID=02001&amp;SDATE=200603&amp;PERIODTYPE=QTR_STD&amp;SCFT=3&amp;window=popup_no_bar&amp;width=385&amp;height=120&amp;START_MAXIMIZED=FALSE&amp;creator=factset&amp;display_string=Audit"}</definedName>
    <definedName name="_3814__FDSAUDITLINK__" localSheetId="7" hidden="1">{"fdsup://Directions/FactSet Auditing Viewer?action=AUDIT_VALUE&amp;DB=129&amp;ID1=51841510&amp;VALUEID=02001&amp;SDATE=200603&amp;PERIODTYPE=QTR_STD&amp;SCFT=3&amp;window=popup_no_bar&amp;width=385&amp;height=120&amp;START_MAXIMIZED=FALSE&amp;creator=factset&amp;display_string=Audit"}</definedName>
    <definedName name="_3814__FDSAUDITLINK__" hidden="1">{"fdsup://Directions/FactSet Auditing Viewer?action=AUDIT_VALUE&amp;DB=129&amp;ID1=51841510&amp;VALUEID=02001&amp;SDATE=200603&amp;PERIODTYPE=QTR_STD&amp;SCFT=3&amp;window=popup_no_bar&amp;width=385&amp;height=120&amp;START_MAXIMIZED=FALSE&amp;creator=factset&amp;display_string=Audit"}</definedName>
    <definedName name="_3815__FDSAUDITLINK__" localSheetId="7" hidden="1">{"fdsup://Directions/FactSet Auditing Viewer?action=AUDIT_VALUE&amp;DB=129&amp;ID1=51841510&amp;VALUEID=02001&amp;SDATE=200602&amp;PERIODTYPE=QTR_STD&amp;SCFT=3&amp;window=popup_no_bar&amp;width=385&amp;height=120&amp;START_MAXIMIZED=FALSE&amp;creator=factset&amp;display_string=Audit"}</definedName>
    <definedName name="_3815__FDSAUDITLINK__" hidden="1">{"fdsup://Directions/FactSet Auditing Viewer?action=AUDIT_VALUE&amp;DB=129&amp;ID1=51841510&amp;VALUEID=02001&amp;SDATE=200602&amp;PERIODTYPE=QTR_STD&amp;SCFT=3&amp;window=popup_no_bar&amp;width=385&amp;height=120&amp;START_MAXIMIZED=FALSE&amp;creator=factset&amp;display_string=Audit"}</definedName>
    <definedName name="_3816__FDSAUDITLINK__" localSheetId="7" hidden="1">{"fdsup://Directions/FactSet Auditing Viewer?action=AUDIT_VALUE&amp;DB=129&amp;ID1=51841510&amp;VALUEID=02001&amp;SDATE=200602&amp;PERIODTYPE=QTR_STD&amp;SCFT=3&amp;window=popup_no_bar&amp;width=385&amp;height=120&amp;START_MAXIMIZED=FALSE&amp;creator=factset&amp;display_string=Audit"}</definedName>
    <definedName name="_3816__FDSAUDITLINK__" hidden="1">{"fdsup://Directions/FactSet Auditing Viewer?action=AUDIT_VALUE&amp;DB=129&amp;ID1=51841510&amp;VALUEID=02001&amp;SDATE=200602&amp;PERIODTYPE=QTR_STD&amp;SCFT=3&amp;window=popup_no_bar&amp;width=385&amp;height=120&amp;START_MAXIMIZED=FALSE&amp;creator=factset&amp;display_string=Audit"}</definedName>
    <definedName name="_3817__FDSAUDITLINK__" localSheetId="7" hidden="1">{"fdsup://Directions/FactSet Auditing Viewer?action=AUDIT_VALUE&amp;DB=129&amp;ID1=51841510&amp;VALUEID=02001&amp;SDATE=200601&amp;PERIODTYPE=QTR_STD&amp;SCFT=3&amp;window=popup_no_bar&amp;width=385&amp;height=120&amp;START_MAXIMIZED=FALSE&amp;creator=factset&amp;display_string=Audit"}</definedName>
    <definedName name="_3817__FDSAUDITLINK__" hidden="1">{"fdsup://Directions/FactSet Auditing Viewer?action=AUDIT_VALUE&amp;DB=129&amp;ID1=51841510&amp;VALUEID=02001&amp;SDATE=200601&amp;PERIODTYPE=QTR_STD&amp;SCFT=3&amp;window=popup_no_bar&amp;width=385&amp;height=120&amp;START_MAXIMIZED=FALSE&amp;creator=factset&amp;display_string=Audit"}</definedName>
    <definedName name="_3818__FDSAUDITLINK__" localSheetId="7" hidden="1">{"fdsup://Directions/FactSet Auditing Viewer?action=AUDIT_VALUE&amp;DB=129&amp;ID1=51841510&amp;VALUEID=02001&amp;SDATE=200601&amp;PERIODTYPE=QTR_STD&amp;SCFT=3&amp;window=popup_no_bar&amp;width=385&amp;height=120&amp;START_MAXIMIZED=FALSE&amp;creator=factset&amp;display_string=Audit"}</definedName>
    <definedName name="_3818__FDSAUDITLINK__" hidden="1">{"fdsup://Directions/FactSet Auditing Viewer?action=AUDIT_VALUE&amp;DB=129&amp;ID1=51841510&amp;VALUEID=02001&amp;SDATE=200601&amp;PERIODTYPE=QTR_STD&amp;SCFT=3&amp;window=popup_no_bar&amp;width=385&amp;height=120&amp;START_MAXIMIZED=FALSE&amp;creator=factset&amp;display_string=Audit"}</definedName>
    <definedName name="_3819__FDSAUDITLINK__" localSheetId="7" hidden="1">{"fdsup://Directions/FactSet Auditing Viewer?action=AUDIT_VALUE&amp;DB=129&amp;ID1=51841510&amp;VALUEID=02001&amp;SDATE=200503&amp;PERIODTYPE=QTR_STD&amp;SCFT=3&amp;window=popup_no_bar&amp;width=385&amp;height=120&amp;START_MAXIMIZED=FALSE&amp;creator=factset&amp;display_string=Audit"}</definedName>
    <definedName name="_3819__FDSAUDITLINK__" hidden="1">{"fdsup://Directions/FactSet Auditing Viewer?action=AUDIT_VALUE&amp;DB=129&amp;ID1=51841510&amp;VALUEID=02001&amp;SDATE=200503&amp;PERIODTYPE=QTR_STD&amp;SCFT=3&amp;window=popup_no_bar&amp;width=385&amp;height=120&amp;START_MAXIMIZED=FALSE&amp;creator=factset&amp;display_string=Audit"}</definedName>
    <definedName name="_382__FDSAUDITLINK__" localSheetId="7" hidden="1">{"fdsup://Directions/FactSet Auditing Viewer?action=AUDIT_VALUE&amp;DB=129&amp;ID1=48836020&amp;VALUEID=02001&amp;SDATE=201002&amp;PERIODTYPE=QTR_STD&amp;SCFT=3&amp;window=popup_no_bar&amp;width=385&amp;height=120&amp;START_MAXIMIZED=FALSE&amp;creator=factset&amp;display_string=Audit"}</definedName>
    <definedName name="_382__FDSAUDITLINK__" hidden="1">{"fdsup://Directions/FactSet Auditing Viewer?action=AUDIT_VALUE&amp;DB=129&amp;ID1=48836020&amp;VALUEID=02001&amp;SDATE=201002&amp;PERIODTYPE=QTR_STD&amp;SCFT=3&amp;window=popup_no_bar&amp;width=385&amp;height=120&amp;START_MAXIMIZED=FALSE&amp;creator=factset&amp;display_string=Audit"}</definedName>
    <definedName name="_3820__FDSAUDITLINK__" localSheetId="7" hidden="1">{"fdsup://Directions/FactSet Auditing Viewer?action=AUDIT_VALUE&amp;DB=129&amp;ID1=51841510&amp;VALUEID=02001&amp;SDATE=200503&amp;PERIODTYPE=QTR_STD&amp;SCFT=3&amp;window=popup_no_bar&amp;width=385&amp;height=120&amp;START_MAXIMIZED=FALSE&amp;creator=factset&amp;display_string=Audit"}</definedName>
    <definedName name="_3820__FDSAUDITLINK__" hidden="1">{"fdsup://Directions/FactSet Auditing Viewer?action=AUDIT_VALUE&amp;DB=129&amp;ID1=51841510&amp;VALUEID=02001&amp;SDATE=200503&amp;PERIODTYPE=QTR_STD&amp;SCFT=3&amp;window=popup_no_bar&amp;width=385&amp;height=120&amp;START_MAXIMIZED=FALSE&amp;creator=factset&amp;display_string=Audit"}</definedName>
    <definedName name="_3821__FDSAUDITLINK__" localSheetId="7" hidden="1">{"fdsup://Directions/FactSet Auditing Viewer?action=AUDIT_VALUE&amp;DB=129&amp;ID1=51841510&amp;VALUEID=02001&amp;SDATE=200502&amp;PERIODTYPE=QTR_STD&amp;SCFT=3&amp;window=popup_no_bar&amp;width=385&amp;height=120&amp;START_MAXIMIZED=FALSE&amp;creator=factset&amp;display_string=Audit"}</definedName>
    <definedName name="_3821__FDSAUDITLINK__" hidden="1">{"fdsup://Directions/FactSet Auditing Viewer?action=AUDIT_VALUE&amp;DB=129&amp;ID1=51841510&amp;VALUEID=02001&amp;SDATE=200502&amp;PERIODTYPE=QTR_STD&amp;SCFT=3&amp;window=popup_no_bar&amp;width=385&amp;height=120&amp;START_MAXIMIZED=FALSE&amp;creator=factset&amp;display_string=Audit"}</definedName>
    <definedName name="_3822__FDSAUDITLINK__" localSheetId="7" hidden="1">{"fdsup://Directions/FactSet Auditing Viewer?action=AUDIT_VALUE&amp;DB=129&amp;ID1=51841510&amp;VALUEID=02001&amp;SDATE=200502&amp;PERIODTYPE=QTR_STD&amp;SCFT=3&amp;window=popup_no_bar&amp;width=385&amp;height=120&amp;START_MAXIMIZED=FALSE&amp;creator=factset&amp;display_string=Audit"}</definedName>
    <definedName name="_3822__FDSAUDITLINK__" hidden="1">{"fdsup://Directions/FactSet Auditing Viewer?action=AUDIT_VALUE&amp;DB=129&amp;ID1=51841510&amp;VALUEID=02001&amp;SDATE=200502&amp;PERIODTYPE=QTR_STD&amp;SCFT=3&amp;window=popup_no_bar&amp;width=385&amp;height=120&amp;START_MAXIMIZED=FALSE&amp;creator=factset&amp;display_string=Audit"}</definedName>
    <definedName name="_3823__FDSAUDITLINK__" localSheetId="7" hidden="1">{"fdsup://Directions/FactSet Auditing Viewer?action=AUDIT_VALUE&amp;DB=129&amp;ID1=51841510&amp;VALUEID=02001&amp;SDATE=200403&amp;PERIODTYPE=QTR_STD&amp;SCFT=3&amp;window=popup_no_bar&amp;width=385&amp;height=120&amp;START_MAXIMIZED=FALSE&amp;creator=factset&amp;display_string=Audit"}</definedName>
    <definedName name="_3823__FDSAUDITLINK__" hidden="1">{"fdsup://Directions/FactSet Auditing Viewer?action=AUDIT_VALUE&amp;DB=129&amp;ID1=51841510&amp;VALUEID=02001&amp;SDATE=200403&amp;PERIODTYPE=QTR_STD&amp;SCFT=3&amp;window=popup_no_bar&amp;width=385&amp;height=120&amp;START_MAXIMIZED=FALSE&amp;creator=factset&amp;display_string=Audit"}</definedName>
    <definedName name="_3824__FDSAUDITLINK__" localSheetId="7" hidden="1">{"fdsup://Directions/FactSet Auditing Viewer?action=AUDIT_VALUE&amp;DB=129&amp;ID1=51841510&amp;VALUEID=02001&amp;SDATE=200403&amp;PERIODTYPE=QTR_STD&amp;SCFT=3&amp;window=popup_no_bar&amp;width=385&amp;height=120&amp;START_MAXIMIZED=FALSE&amp;creator=factset&amp;display_string=Audit"}</definedName>
    <definedName name="_3824__FDSAUDITLINK__" hidden="1">{"fdsup://Directions/FactSet Auditing Viewer?action=AUDIT_VALUE&amp;DB=129&amp;ID1=51841510&amp;VALUEID=02001&amp;SDATE=200403&amp;PERIODTYPE=QTR_STD&amp;SCFT=3&amp;window=popup_no_bar&amp;width=385&amp;height=120&amp;START_MAXIMIZED=FALSE&amp;creator=factset&amp;display_string=Audit"}</definedName>
    <definedName name="_3825__FDSAUDITLINK__" localSheetId="7" hidden="1">{"fdsup://Directions/FactSet Auditing Viewer?action=AUDIT_VALUE&amp;DB=129&amp;ID1=51841510&amp;VALUEID=02001&amp;SDATE=200402&amp;PERIODTYPE=QTR_STD&amp;SCFT=3&amp;window=popup_no_bar&amp;width=385&amp;height=120&amp;START_MAXIMIZED=FALSE&amp;creator=factset&amp;display_string=Audit"}</definedName>
    <definedName name="_3825__FDSAUDITLINK__" hidden="1">{"fdsup://Directions/FactSet Auditing Viewer?action=AUDIT_VALUE&amp;DB=129&amp;ID1=51841510&amp;VALUEID=02001&amp;SDATE=200402&amp;PERIODTYPE=QTR_STD&amp;SCFT=3&amp;window=popup_no_bar&amp;width=385&amp;height=120&amp;START_MAXIMIZED=FALSE&amp;creator=factset&amp;display_string=Audit"}</definedName>
    <definedName name="_3826__FDSAUDITLINK__" localSheetId="7" hidden="1">{"fdsup://Directions/FactSet Auditing Viewer?action=AUDIT_VALUE&amp;DB=129&amp;ID1=51841510&amp;VALUEID=02001&amp;SDATE=200402&amp;PERIODTYPE=QTR_STD&amp;SCFT=3&amp;window=popup_no_bar&amp;width=385&amp;height=120&amp;START_MAXIMIZED=FALSE&amp;creator=factset&amp;display_string=Audit"}</definedName>
    <definedName name="_3826__FDSAUDITLINK__" hidden="1">{"fdsup://Directions/FactSet Auditing Viewer?action=AUDIT_VALUE&amp;DB=129&amp;ID1=51841510&amp;VALUEID=02001&amp;SDATE=200402&amp;PERIODTYPE=QTR_STD&amp;SCFT=3&amp;window=popup_no_bar&amp;width=385&amp;height=120&amp;START_MAXIMIZED=FALSE&amp;creator=factset&amp;display_string=Audit"}</definedName>
    <definedName name="_3827__FDSAUDITLINK__" localSheetId="7" hidden="1">{"fdsup://Directions/FactSet Auditing Viewer?action=AUDIT_VALUE&amp;DB=129&amp;ID1=51841510&amp;VALUEID=02001&amp;SDATE=200401&amp;PERIODTYPE=QTR_STD&amp;SCFT=3&amp;window=popup_no_bar&amp;width=385&amp;height=120&amp;START_MAXIMIZED=FALSE&amp;creator=factset&amp;display_string=Audit"}</definedName>
    <definedName name="_3827__FDSAUDITLINK__" hidden="1">{"fdsup://Directions/FactSet Auditing Viewer?action=AUDIT_VALUE&amp;DB=129&amp;ID1=51841510&amp;VALUEID=02001&amp;SDATE=200401&amp;PERIODTYPE=QTR_STD&amp;SCFT=3&amp;window=popup_no_bar&amp;width=385&amp;height=120&amp;START_MAXIMIZED=FALSE&amp;creator=factset&amp;display_string=Audit"}</definedName>
    <definedName name="_3828__FDSAUDITLINK__" localSheetId="7" hidden="1">{"fdsup://Directions/FactSet Auditing Viewer?action=AUDIT_VALUE&amp;DB=129&amp;ID1=51841510&amp;VALUEID=02001&amp;SDATE=200401&amp;PERIODTYPE=QTR_STD&amp;SCFT=3&amp;window=popup_no_bar&amp;width=385&amp;height=120&amp;START_MAXIMIZED=FALSE&amp;creator=factset&amp;display_string=Audit"}</definedName>
    <definedName name="_3828__FDSAUDITLINK__" hidden="1">{"fdsup://Directions/FactSet Auditing Viewer?action=AUDIT_VALUE&amp;DB=129&amp;ID1=51841510&amp;VALUEID=02001&amp;SDATE=200401&amp;PERIODTYPE=QTR_STD&amp;SCFT=3&amp;window=popup_no_bar&amp;width=385&amp;height=120&amp;START_MAXIMIZED=FALSE&amp;creator=factset&amp;display_string=Audit"}</definedName>
    <definedName name="_3829__FDSAUDITLINK__" localSheetId="7" hidden="1">{"fdsup://Directions/FactSet Auditing Viewer?action=AUDIT_VALUE&amp;DB=129&amp;ID1=51280710&amp;VALUEID=02001&amp;SDATE=200803&amp;PERIODTYPE=QTR_STD&amp;SCFT=3&amp;window=popup_no_bar&amp;width=385&amp;height=120&amp;START_MAXIMIZED=FALSE&amp;creator=factset&amp;display_string=Audit"}</definedName>
    <definedName name="_3829__FDSAUDITLINK__" hidden="1">{"fdsup://Directions/FactSet Auditing Viewer?action=AUDIT_VALUE&amp;DB=129&amp;ID1=51280710&amp;VALUEID=02001&amp;SDATE=200803&amp;PERIODTYPE=QTR_STD&amp;SCFT=3&amp;window=popup_no_bar&amp;width=385&amp;height=120&amp;START_MAXIMIZED=FALSE&amp;creator=factset&amp;display_string=Audit"}</definedName>
    <definedName name="_383__FDSAUDITLINK__" localSheetId="7" hidden="1">{"fdsup://Directions/FactSet Auditing Viewer?action=AUDIT_VALUE&amp;DB=129&amp;ID1=48203R10&amp;VALUEID=02001&amp;SDATE=201003&amp;PERIODTYPE=QTR_STD&amp;SCFT=3&amp;window=popup_no_bar&amp;width=385&amp;height=120&amp;START_MAXIMIZED=FALSE&amp;creator=factset&amp;display_string=Audit"}</definedName>
    <definedName name="_383__FDSAUDITLINK__" hidden="1">{"fdsup://Directions/FactSet Auditing Viewer?action=AUDIT_VALUE&amp;DB=129&amp;ID1=48203R10&amp;VALUEID=02001&amp;SDATE=201003&amp;PERIODTYPE=QTR_STD&amp;SCFT=3&amp;window=popup_no_bar&amp;width=385&amp;height=120&amp;START_MAXIMIZED=FALSE&amp;creator=factset&amp;display_string=Audit"}</definedName>
    <definedName name="_3830__FDSAUDITLINK__" localSheetId="7" hidden="1">{"fdsup://Directions/FactSet Auditing Viewer?action=AUDIT_VALUE&amp;DB=129&amp;ID1=51280710&amp;VALUEID=02001&amp;SDATE=200803&amp;PERIODTYPE=QTR_STD&amp;SCFT=3&amp;window=popup_no_bar&amp;width=385&amp;height=120&amp;START_MAXIMIZED=FALSE&amp;creator=factset&amp;display_string=Audit"}</definedName>
    <definedName name="_3830__FDSAUDITLINK__" hidden="1">{"fdsup://Directions/FactSet Auditing Viewer?action=AUDIT_VALUE&amp;DB=129&amp;ID1=51280710&amp;VALUEID=02001&amp;SDATE=200803&amp;PERIODTYPE=QTR_STD&amp;SCFT=3&amp;window=popup_no_bar&amp;width=385&amp;height=120&amp;START_MAXIMIZED=FALSE&amp;creator=factset&amp;display_string=Audit"}</definedName>
    <definedName name="_3831__FDSAUDITLINK__" localSheetId="7" hidden="1">{"fdsup://Directions/FactSet Auditing Viewer?action=AUDIT_VALUE&amp;DB=129&amp;ID1=51280710&amp;VALUEID=02001&amp;SDATE=200802&amp;PERIODTYPE=QTR_STD&amp;SCFT=3&amp;window=popup_no_bar&amp;width=385&amp;height=120&amp;START_MAXIMIZED=FALSE&amp;creator=factset&amp;display_string=Audit"}</definedName>
    <definedName name="_3831__FDSAUDITLINK__" hidden="1">{"fdsup://Directions/FactSet Auditing Viewer?action=AUDIT_VALUE&amp;DB=129&amp;ID1=51280710&amp;VALUEID=02001&amp;SDATE=200802&amp;PERIODTYPE=QTR_STD&amp;SCFT=3&amp;window=popup_no_bar&amp;width=385&amp;height=120&amp;START_MAXIMIZED=FALSE&amp;creator=factset&amp;display_string=Audit"}</definedName>
    <definedName name="_3832__FDSAUDITLINK__" localSheetId="7" hidden="1">{"fdsup://Directions/FactSet Auditing Viewer?action=AUDIT_VALUE&amp;DB=129&amp;ID1=51280710&amp;VALUEID=02001&amp;SDATE=200802&amp;PERIODTYPE=QTR_STD&amp;SCFT=3&amp;window=popup_no_bar&amp;width=385&amp;height=120&amp;START_MAXIMIZED=FALSE&amp;creator=factset&amp;display_string=Audit"}</definedName>
    <definedName name="_3832__FDSAUDITLINK__" hidden="1">{"fdsup://Directions/FactSet Auditing Viewer?action=AUDIT_VALUE&amp;DB=129&amp;ID1=51280710&amp;VALUEID=02001&amp;SDATE=200802&amp;PERIODTYPE=QTR_STD&amp;SCFT=3&amp;window=popup_no_bar&amp;width=385&amp;height=120&amp;START_MAXIMIZED=FALSE&amp;creator=factset&amp;display_string=Audit"}</definedName>
    <definedName name="_3833__FDSAUDITLINK__" localSheetId="7" hidden="1">{"fdsup://Directions/FactSet Auditing Viewer?action=AUDIT_VALUE&amp;DB=129&amp;ID1=51280710&amp;VALUEID=02001&amp;SDATE=200801&amp;PERIODTYPE=QTR_STD&amp;SCFT=3&amp;window=popup_no_bar&amp;width=385&amp;height=120&amp;START_MAXIMIZED=FALSE&amp;creator=factset&amp;display_string=Audit"}</definedName>
    <definedName name="_3833__FDSAUDITLINK__" hidden="1">{"fdsup://Directions/FactSet Auditing Viewer?action=AUDIT_VALUE&amp;DB=129&amp;ID1=51280710&amp;VALUEID=02001&amp;SDATE=200801&amp;PERIODTYPE=QTR_STD&amp;SCFT=3&amp;window=popup_no_bar&amp;width=385&amp;height=120&amp;START_MAXIMIZED=FALSE&amp;creator=factset&amp;display_string=Audit"}</definedName>
    <definedName name="_3834__FDSAUDITLINK__" localSheetId="7" hidden="1">{"fdsup://Directions/FactSet Auditing Viewer?action=AUDIT_VALUE&amp;DB=129&amp;ID1=51280710&amp;VALUEID=02001&amp;SDATE=200801&amp;PERIODTYPE=QTR_STD&amp;SCFT=3&amp;window=popup_no_bar&amp;width=385&amp;height=120&amp;START_MAXIMIZED=FALSE&amp;creator=factset&amp;display_string=Audit"}</definedName>
    <definedName name="_3834__FDSAUDITLINK__" hidden="1">{"fdsup://Directions/FactSet Auditing Viewer?action=AUDIT_VALUE&amp;DB=129&amp;ID1=51280710&amp;VALUEID=02001&amp;SDATE=200801&amp;PERIODTYPE=QTR_STD&amp;SCFT=3&amp;window=popup_no_bar&amp;width=385&amp;height=120&amp;START_MAXIMIZED=FALSE&amp;creator=factset&amp;display_string=Audit"}</definedName>
    <definedName name="_3835__FDSAUDITLINK__" localSheetId="7" hidden="1">{"fdsup://Directions/FactSet Auditing Viewer?action=AUDIT_VALUE&amp;DB=129&amp;ID1=51280710&amp;VALUEID=02001&amp;SDATE=200703&amp;PERIODTYPE=QTR_STD&amp;SCFT=3&amp;window=popup_no_bar&amp;width=385&amp;height=120&amp;START_MAXIMIZED=FALSE&amp;creator=factset&amp;display_string=Audit"}</definedName>
    <definedName name="_3835__FDSAUDITLINK__" hidden="1">{"fdsup://Directions/FactSet Auditing Viewer?action=AUDIT_VALUE&amp;DB=129&amp;ID1=51280710&amp;VALUEID=02001&amp;SDATE=200703&amp;PERIODTYPE=QTR_STD&amp;SCFT=3&amp;window=popup_no_bar&amp;width=385&amp;height=120&amp;START_MAXIMIZED=FALSE&amp;creator=factset&amp;display_string=Audit"}</definedName>
    <definedName name="_3836__FDSAUDITLINK__" localSheetId="7" hidden="1">{"fdsup://Directions/FactSet Auditing Viewer?action=AUDIT_VALUE&amp;DB=129&amp;ID1=51280710&amp;VALUEID=02001&amp;SDATE=200703&amp;PERIODTYPE=QTR_STD&amp;SCFT=3&amp;window=popup_no_bar&amp;width=385&amp;height=120&amp;START_MAXIMIZED=FALSE&amp;creator=factset&amp;display_string=Audit"}</definedName>
    <definedName name="_3836__FDSAUDITLINK__" hidden="1">{"fdsup://Directions/FactSet Auditing Viewer?action=AUDIT_VALUE&amp;DB=129&amp;ID1=51280710&amp;VALUEID=02001&amp;SDATE=200703&amp;PERIODTYPE=QTR_STD&amp;SCFT=3&amp;window=popup_no_bar&amp;width=385&amp;height=120&amp;START_MAXIMIZED=FALSE&amp;creator=factset&amp;display_string=Audit"}</definedName>
    <definedName name="_3837__FDSAUDITLINK__" localSheetId="7" hidden="1">{"fdsup://Directions/FactSet Auditing Viewer?action=AUDIT_VALUE&amp;DB=129&amp;ID1=51280710&amp;VALUEID=02001&amp;SDATE=200702&amp;PERIODTYPE=QTR_STD&amp;SCFT=3&amp;window=popup_no_bar&amp;width=385&amp;height=120&amp;START_MAXIMIZED=FALSE&amp;creator=factset&amp;display_string=Audit"}</definedName>
    <definedName name="_3837__FDSAUDITLINK__" hidden="1">{"fdsup://Directions/FactSet Auditing Viewer?action=AUDIT_VALUE&amp;DB=129&amp;ID1=51280710&amp;VALUEID=02001&amp;SDATE=200702&amp;PERIODTYPE=QTR_STD&amp;SCFT=3&amp;window=popup_no_bar&amp;width=385&amp;height=120&amp;START_MAXIMIZED=FALSE&amp;creator=factset&amp;display_string=Audit"}</definedName>
    <definedName name="_3838__FDSAUDITLINK__" localSheetId="7" hidden="1">{"fdsup://Directions/FactSet Auditing Viewer?action=AUDIT_VALUE&amp;DB=129&amp;ID1=51280710&amp;VALUEID=02001&amp;SDATE=200702&amp;PERIODTYPE=QTR_STD&amp;SCFT=3&amp;window=popup_no_bar&amp;width=385&amp;height=120&amp;START_MAXIMIZED=FALSE&amp;creator=factset&amp;display_string=Audit"}</definedName>
    <definedName name="_3838__FDSAUDITLINK__" hidden="1">{"fdsup://Directions/FactSet Auditing Viewer?action=AUDIT_VALUE&amp;DB=129&amp;ID1=51280710&amp;VALUEID=02001&amp;SDATE=200702&amp;PERIODTYPE=QTR_STD&amp;SCFT=3&amp;window=popup_no_bar&amp;width=385&amp;height=120&amp;START_MAXIMIZED=FALSE&amp;creator=factset&amp;display_string=Audit"}</definedName>
    <definedName name="_3839__FDSAUDITLINK__" localSheetId="7" hidden="1">{"fdsup://Directions/FactSet Auditing Viewer?action=AUDIT_VALUE&amp;DB=129&amp;ID1=51280710&amp;VALUEID=02001&amp;SDATE=200701&amp;PERIODTYPE=QTR_STD&amp;SCFT=3&amp;window=popup_no_bar&amp;width=385&amp;height=120&amp;START_MAXIMIZED=FALSE&amp;creator=factset&amp;display_string=Audit"}</definedName>
    <definedName name="_3839__FDSAUDITLINK__" hidden="1">{"fdsup://Directions/FactSet Auditing Viewer?action=AUDIT_VALUE&amp;DB=129&amp;ID1=51280710&amp;VALUEID=02001&amp;SDATE=200701&amp;PERIODTYPE=QTR_STD&amp;SCFT=3&amp;window=popup_no_bar&amp;width=385&amp;height=120&amp;START_MAXIMIZED=FALSE&amp;creator=factset&amp;display_string=Audit"}</definedName>
    <definedName name="_384__FDSAUDITLINK__" localSheetId="7" hidden="1">{"fdsup://Directions/FactSet Auditing Viewer?action=AUDIT_VALUE&amp;DB=129&amp;ID1=48203R10&amp;VALUEID=02001&amp;SDATE=201003&amp;PERIODTYPE=QTR_STD&amp;SCFT=3&amp;window=popup_no_bar&amp;width=385&amp;height=120&amp;START_MAXIMIZED=FALSE&amp;creator=factset&amp;display_string=Audit"}</definedName>
    <definedName name="_384__FDSAUDITLINK__" hidden="1">{"fdsup://Directions/FactSet Auditing Viewer?action=AUDIT_VALUE&amp;DB=129&amp;ID1=48203R10&amp;VALUEID=02001&amp;SDATE=201003&amp;PERIODTYPE=QTR_STD&amp;SCFT=3&amp;window=popup_no_bar&amp;width=385&amp;height=120&amp;START_MAXIMIZED=FALSE&amp;creator=factset&amp;display_string=Audit"}</definedName>
    <definedName name="_3840__FDSAUDITLINK__" localSheetId="7" hidden="1">{"fdsup://Directions/FactSet Auditing Viewer?action=AUDIT_VALUE&amp;DB=129&amp;ID1=51280710&amp;VALUEID=02001&amp;SDATE=200701&amp;PERIODTYPE=QTR_STD&amp;SCFT=3&amp;window=popup_no_bar&amp;width=385&amp;height=120&amp;START_MAXIMIZED=FALSE&amp;creator=factset&amp;display_string=Audit"}</definedName>
    <definedName name="_3840__FDSAUDITLINK__" hidden="1">{"fdsup://Directions/FactSet Auditing Viewer?action=AUDIT_VALUE&amp;DB=129&amp;ID1=51280710&amp;VALUEID=02001&amp;SDATE=200701&amp;PERIODTYPE=QTR_STD&amp;SCFT=3&amp;window=popup_no_bar&amp;width=385&amp;height=120&amp;START_MAXIMIZED=FALSE&amp;creator=factset&amp;display_string=Audit"}</definedName>
    <definedName name="_3841__FDSAUDITLINK__" localSheetId="7" hidden="1">{"fdsup://Directions/FactSet Auditing Viewer?action=AUDIT_VALUE&amp;DB=129&amp;ID1=51280710&amp;VALUEID=02001&amp;SDATE=200603&amp;PERIODTYPE=QTR_STD&amp;SCFT=3&amp;window=popup_no_bar&amp;width=385&amp;height=120&amp;START_MAXIMIZED=FALSE&amp;creator=factset&amp;display_string=Audit"}</definedName>
    <definedName name="_3841__FDSAUDITLINK__" hidden="1">{"fdsup://Directions/FactSet Auditing Viewer?action=AUDIT_VALUE&amp;DB=129&amp;ID1=51280710&amp;VALUEID=02001&amp;SDATE=200603&amp;PERIODTYPE=QTR_STD&amp;SCFT=3&amp;window=popup_no_bar&amp;width=385&amp;height=120&amp;START_MAXIMIZED=FALSE&amp;creator=factset&amp;display_string=Audit"}</definedName>
    <definedName name="_3842__FDSAUDITLINK__" localSheetId="7" hidden="1">{"fdsup://Directions/FactSet Auditing Viewer?action=AUDIT_VALUE&amp;DB=129&amp;ID1=51280710&amp;VALUEID=02001&amp;SDATE=200603&amp;PERIODTYPE=QTR_STD&amp;SCFT=3&amp;window=popup_no_bar&amp;width=385&amp;height=120&amp;START_MAXIMIZED=FALSE&amp;creator=factset&amp;display_string=Audit"}</definedName>
    <definedName name="_3842__FDSAUDITLINK__" hidden="1">{"fdsup://Directions/FactSet Auditing Viewer?action=AUDIT_VALUE&amp;DB=129&amp;ID1=51280710&amp;VALUEID=02001&amp;SDATE=200603&amp;PERIODTYPE=QTR_STD&amp;SCFT=3&amp;window=popup_no_bar&amp;width=385&amp;height=120&amp;START_MAXIMIZED=FALSE&amp;creator=factset&amp;display_string=Audit"}</definedName>
    <definedName name="_3843__FDSAUDITLINK__" localSheetId="7" hidden="1">{"fdsup://Directions/FactSet Auditing Viewer?action=AUDIT_VALUE&amp;DB=129&amp;ID1=51280710&amp;VALUEID=02001&amp;SDATE=200602&amp;PERIODTYPE=QTR_STD&amp;SCFT=3&amp;window=popup_no_bar&amp;width=385&amp;height=120&amp;START_MAXIMIZED=FALSE&amp;creator=factset&amp;display_string=Audit"}</definedName>
    <definedName name="_3843__FDSAUDITLINK__" hidden="1">{"fdsup://Directions/FactSet Auditing Viewer?action=AUDIT_VALUE&amp;DB=129&amp;ID1=51280710&amp;VALUEID=02001&amp;SDATE=200602&amp;PERIODTYPE=QTR_STD&amp;SCFT=3&amp;window=popup_no_bar&amp;width=385&amp;height=120&amp;START_MAXIMIZED=FALSE&amp;creator=factset&amp;display_string=Audit"}</definedName>
    <definedName name="_3844__FDSAUDITLINK__" localSheetId="7" hidden="1">{"fdsup://Directions/FactSet Auditing Viewer?action=AUDIT_VALUE&amp;DB=129&amp;ID1=51280710&amp;VALUEID=02001&amp;SDATE=200602&amp;PERIODTYPE=QTR_STD&amp;SCFT=3&amp;window=popup_no_bar&amp;width=385&amp;height=120&amp;START_MAXIMIZED=FALSE&amp;creator=factset&amp;display_string=Audit"}</definedName>
    <definedName name="_3844__FDSAUDITLINK__" hidden="1">{"fdsup://Directions/FactSet Auditing Viewer?action=AUDIT_VALUE&amp;DB=129&amp;ID1=51280710&amp;VALUEID=02001&amp;SDATE=200602&amp;PERIODTYPE=QTR_STD&amp;SCFT=3&amp;window=popup_no_bar&amp;width=385&amp;height=120&amp;START_MAXIMIZED=FALSE&amp;creator=factset&amp;display_string=Audit"}</definedName>
    <definedName name="_3845__FDSAUDITLINK__" localSheetId="7" hidden="1">{"fdsup://Directions/FactSet Auditing Viewer?action=AUDIT_VALUE&amp;DB=129&amp;ID1=51280710&amp;VALUEID=02001&amp;SDATE=200601&amp;PERIODTYPE=QTR_STD&amp;SCFT=3&amp;window=popup_no_bar&amp;width=385&amp;height=120&amp;START_MAXIMIZED=FALSE&amp;creator=factset&amp;display_string=Audit"}</definedName>
    <definedName name="_3845__FDSAUDITLINK__" hidden="1">{"fdsup://Directions/FactSet Auditing Viewer?action=AUDIT_VALUE&amp;DB=129&amp;ID1=51280710&amp;VALUEID=02001&amp;SDATE=200601&amp;PERIODTYPE=QTR_STD&amp;SCFT=3&amp;window=popup_no_bar&amp;width=385&amp;height=120&amp;START_MAXIMIZED=FALSE&amp;creator=factset&amp;display_string=Audit"}</definedName>
    <definedName name="_3846__FDSAUDITLINK__" localSheetId="7" hidden="1">{"fdsup://Directions/FactSet Auditing Viewer?action=AUDIT_VALUE&amp;DB=129&amp;ID1=51280710&amp;VALUEID=02001&amp;SDATE=200601&amp;PERIODTYPE=QTR_STD&amp;SCFT=3&amp;window=popup_no_bar&amp;width=385&amp;height=120&amp;START_MAXIMIZED=FALSE&amp;creator=factset&amp;display_string=Audit"}</definedName>
    <definedName name="_3846__FDSAUDITLINK__" hidden="1">{"fdsup://Directions/FactSet Auditing Viewer?action=AUDIT_VALUE&amp;DB=129&amp;ID1=51280710&amp;VALUEID=02001&amp;SDATE=200601&amp;PERIODTYPE=QTR_STD&amp;SCFT=3&amp;window=popup_no_bar&amp;width=385&amp;height=120&amp;START_MAXIMIZED=FALSE&amp;creator=factset&amp;display_string=Audit"}</definedName>
    <definedName name="_3847__FDSAUDITLINK__" localSheetId="7" hidden="1">{"fdsup://Directions/FactSet Auditing Viewer?action=AUDIT_VALUE&amp;DB=129&amp;ID1=51280710&amp;VALUEID=02001&amp;SDATE=200502&amp;PERIODTYPE=QTR_STD&amp;SCFT=3&amp;window=popup_no_bar&amp;width=385&amp;height=120&amp;START_MAXIMIZED=FALSE&amp;creator=factset&amp;display_string=Audit"}</definedName>
    <definedName name="_3847__FDSAUDITLINK__" hidden="1">{"fdsup://Directions/FactSet Auditing Viewer?action=AUDIT_VALUE&amp;DB=129&amp;ID1=51280710&amp;VALUEID=02001&amp;SDATE=200502&amp;PERIODTYPE=QTR_STD&amp;SCFT=3&amp;window=popup_no_bar&amp;width=385&amp;height=120&amp;START_MAXIMIZED=FALSE&amp;creator=factset&amp;display_string=Audit"}</definedName>
    <definedName name="_3848__FDSAUDITLINK__" localSheetId="7" hidden="1">{"fdsup://Directions/FactSet Auditing Viewer?action=AUDIT_VALUE&amp;DB=129&amp;ID1=51280710&amp;VALUEID=02001&amp;SDATE=200502&amp;PERIODTYPE=QTR_STD&amp;SCFT=3&amp;window=popup_no_bar&amp;width=385&amp;height=120&amp;START_MAXIMIZED=FALSE&amp;creator=factset&amp;display_string=Audit"}</definedName>
    <definedName name="_3848__FDSAUDITLINK__" hidden="1">{"fdsup://Directions/FactSet Auditing Viewer?action=AUDIT_VALUE&amp;DB=129&amp;ID1=51280710&amp;VALUEID=02001&amp;SDATE=200502&amp;PERIODTYPE=QTR_STD&amp;SCFT=3&amp;window=popup_no_bar&amp;width=385&amp;height=120&amp;START_MAXIMIZED=FALSE&amp;creator=factset&amp;display_string=Audit"}</definedName>
    <definedName name="_3849__FDSAUDITLINK__" localSheetId="7" hidden="1">{"fdsup://Directions/FactSet Auditing Viewer?action=AUDIT_VALUE&amp;DB=129&amp;ID1=51280710&amp;VALUEID=02001&amp;SDATE=200501&amp;PERIODTYPE=QTR_STD&amp;SCFT=3&amp;window=popup_no_bar&amp;width=385&amp;height=120&amp;START_MAXIMIZED=FALSE&amp;creator=factset&amp;display_string=Audit"}</definedName>
    <definedName name="_3849__FDSAUDITLINK__" hidden="1">{"fdsup://Directions/FactSet Auditing Viewer?action=AUDIT_VALUE&amp;DB=129&amp;ID1=51280710&amp;VALUEID=02001&amp;SDATE=200501&amp;PERIODTYPE=QTR_STD&amp;SCFT=3&amp;window=popup_no_bar&amp;width=385&amp;height=120&amp;START_MAXIMIZED=FALSE&amp;creator=factset&amp;display_string=Audit"}</definedName>
    <definedName name="_385__FDSAUDITLINK__" localSheetId="7" hidden="1">{"fdsup://Directions/FactSet Auditing Viewer?action=AUDIT_VALUE&amp;DB=129&amp;ID1=46069S10&amp;VALUEID=02001&amp;SDATE=201003&amp;PERIODTYPE=QTR_STD&amp;SCFT=3&amp;window=popup_no_bar&amp;width=385&amp;height=120&amp;START_MAXIMIZED=FALSE&amp;creator=factset&amp;display_string=Audit"}</definedName>
    <definedName name="_385__FDSAUDITLINK__" hidden="1">{"fdsup://Directions/FactSet Auditing Viewer?action=AUDIT_VALUE&amp;DB=129&amp;ID1=46069S10&amp;VALUEID=02001&amp;SDATE=201003&amp;PERIODTYPE=QTR_STD&amp;SCFT=3&amp;window=popup_no_bar&amp;width=385&amp;height=120&amp;START_MAXIMIZED=FALSE&amp;creator=factset&amp;display_string=Audit"}</definedName>
    <definedName name="_3850__FDSAUDITLINK__" localSheetId="7" hidden="1">{"fdsup://Directions/FactSet Auditing Viewer?action=AUDIT_VALUE&amp;DB=129&amp;ID1=51280710&amp;VALUEID=02001&amp;SDATE=200501&amp;PERIODTYPE=QTR_STD&amp;SCFT=3&amp;window=popup_no_bar&amp;width=385&amp;height=120&amp;START_MAXIMIZED=FALSE&amp;creator=factset&amp;display_string=Audit"}</definedName>
    <definedName name="_3850__FDSAUDITLINK__" hidden="1">{"fdsup://Directions/FactSet Auditing Viewer?action=AUDIT_VALUE&amp;DB=129&amp;ID1=51280710&amp;VALUEID=02001&amp;SDATE=200501&amp;PERIODTYPE=QTR_STD&amp;SCFT=3&amp;window=popup_no_bar&amp;width=385&amp;height=120&amp;START_MAXIMIZED=FALSE&amp;creator=factset&amp;display_string=Audit"}</definedName>
    <definedName name="_3851__FDSAUDITLINK__" localSheetId="7" hidden="1">{"fdsup://Directions/FactSet Auditing Viewer?action=AUDIT_VALUE&amp;DB=129&amp;ID1=51280710&amp;VALUEID=02001&amp;SDATE=200403&amp;PERIODTYPE=QTR_STD&amp;SCFT=3&amp;window=popup_no_bar&amp;width=385&amp;height=120&amp;START_MAXIMIZED=FALSE&amp;creator=factset&amp;display_string=Audit"}</definedName>
    <definedName name="_3851__FDSAUDITLINK__" hidden="1">{"fdsup://Directions/FactSet Auditing Viewer?action=AUDIT_VALUE&amp;DB=129&amp;ID1=51280710&amp;VALUEID=02001&amp;SDATE=200403&amp;PERIODTYPE=QTR_STD&amp;SCFT=3&amp;window=popup_no_bar&amp;width=385&amp;height=120&amp;START_MAXIMIZED=FALSE&amp;creator=factset&amp;display_string=Audit"}</definedName>
    <definedName name="_3852__FDSAUDITLINK__" localSheetId="7" hidden="1">{"fdsup://Directions/FactSet Auditing Viewer?action=AUDIT_VALUE&amp;DB=129&amp;ID1=51280710&amp;VALUEID=02001&amp;SDATE=200403&amp;PERIODTYPE=QTR_STD&amp;SCFT=3&amp;window=popup_no_bar&amp;width=385&amp;height=120&amp;START_MAXIMIZED=FALSE&amp;creator=factset&amp;display_string=Audit"}</definedName>
    <definedName name="_3852__FDSAUDITLINK__" hidden="1">{"fdsup://Directions/FactSet Auditing Viewer?action=AUDIT_VALUE&amp;DB=129&amp;ID1=51280710&amp;VALUEID=02001&amp;SDATE=200403&amp;PERIODTYPE=QTR_STD&amp;SCFT=3&amp;window=popup_no_bar&amp;width=385&amp;height=120&amp;START_MAXIMIZED=FALSE&amp;creator=factset&amp;display_string=Audit"}</definedName>
    <definedName name="_3853__FDSAUDITLINK__" localSheetId="7" hidden="1">{"fdsup://Directions/FactSet Auditing Viewer?action=AUDIT_VALUE&amp;DB=129&amp;ID1=53567810&amp;VALUEID=02001&amp;SDATE=200803&amp;PERIODTYPE=QTR_STD&amp;SCFT=3&amp;window=popup_no_bar&amp;width=385&amp;height=120&amp;START_MAXIMIZED=FALSE&amp;creator=factset&amp;display_string=Audit"}</definedName>
    <definedName name="_3853__FDSAUDITLINK__" hidden="1">{"fdsup://Directions/FactSet Auditing Viewer?action=AUDIT_VALUE&amp;DB=129&amp;ID1=53567810&amp;VALUEID=02001&amp;SDATE=200803&amp;PERIODTYPE=QTR_STD&amp;SCFT=3&amp;window=popup_no_bar&amp;width=385&amp;height=120&amp;START_MAXIMIZED=FALSE&amp;creator=factset&amp;display_string=Audit"}</definedName>
    <definedName name="_3854__FDSAUDITLINK__" localSheetId="7" hidden="1">{"fdsup://Directions/FactSet Auditing Viewer?action=AUDIT_VALUE&amp;DB=129&amp;ID1=53567810&amp;VALUEID=02001&amp;SDATE=200803&amp;PERIODTYPE=QTR_STD&amp;SCFT=3&amp;window=popup_no_bar&amp;width=385&amp;height=120&amp;START_MAXIMIZED=FALSE&amp;creator=factset&amp;display_string=Audit"}</definedName>
    <definedName name="_3854__FDSAUDITLINK__" hidden="1">{"fdsup://Directions/FactSet Auditing Viewer?action=AUDIT_VALUE&amp;DB=129&amp;ID1=53567810&amp;VALUEID=02001&amp;SDATE=200803&amp;PERIODTYPE=QTR_STD&amp;SCFT=3&amp;window=popup_no_bar&amp;width=385&amp;height=120&amp;START_MAXIMIZED=FALSE&amp;creator=factset&amp;display_string=Audit"}</definedName>
    <definedName name="_3855__FDSAUDITLINK__" localSheetId="7" hidden="1">{"fdsup://Directions/FactSet Auditing Viewer?action=AUDIT_VALUE&amp;DB=129&amp;ID1=53567810&amp;VALUEID=02001&amp;SDATE=200802&amp;PERIODTYPE=QTR_STD&amp;SCFT=3&amp;window=popup_no_bar&amp;width=385&amp;height=120&amp;START_MAXIMIZED=FALSE&amp;creator=factset&amp;display_string=Audit"}</definedName>
    <definedName name="_3855__FDSAUDITLINK__" hidden="1">{"fdsup://Directions/FactSet Auditing Viewer?action=AUDIT_VALUE&amp;DB=129&amp;ID1=53567810&amp;VALUEID=02001&amp;SDATE=200802&amp;PERIODTYPE=QTR_STD&amp;SCFT=3&amp;window=popup_no_bar&amp;width=385&amp;height=120&amp;START_MAXIMIZED=FALSE&amp;creator=factset&amp;display_string=Audit"}</definedName>
    <definedName name="_3856__FDSAUDITLINK__" localSheetId="7" hidden="1">{"fdsup://Directions/FactSet Auditing Viewer?action=AUDIT_VALUE&amp;DB=129&amp;ID1=53567810&amp;VALUEID=02001&amp;SDATE=200802&amp;PERIODTYPE=QTR_STD&amp;SCFT=3&amp;window=popup_no_bar&amp;width=385&amp;height=120&amp;START_MAXIMIZED=FALSE&amp;creator=factset&amp;display_string=Audit"}</definedName>
    <definedName name="_3856__FDSAUDITLINK__" hidden="1">{"fdsup://Directions/FactSet Auditing Viewer?action=AUDIT_VALUE&amp;DB=129&amp;ID1=53567810&amp;VALUEID=02001&amp;SDATE=200802&amp;PERIODTYPE=QTR_STD&amp;SCFT=3&amp;window=popup_no_bar&amp;width=385&amp;height=120&amp;START_MAXIMIZED=FALSE&amp;creator=factset&amp;display_string=Audit"}</definedName>
    <definedName name="_3857__FDSAUDITLINK__" localSheetId="7" hidden="1">{"fdsup://Directions/FactSet Auditing Viewer?action=AUDIT_VALUE&amp;DB=129&amp;ID1=53567810&amp;VALUEID=02001&amp;SDATE=200801&amp;PERIODTYPE=QTR_STD&amp;SCFT=3&amp;window=popup_no_bar&amp;width=385&amp;height=120&amp;START_MAXIMIZED=FALSE&amp;creator=factset&amp;display_string=Audit"}</definedName>
    <definedName name="_3857__FDSAUDITLINK__" hidden="1">{"fdsup://Directions/FactSet Auditing Viewer?action=AUDIT_VALUE&amp;DB=129&amp;ID1=53567810&amp;VALUEID=02001&amp;SDATE=200801&amp;PERIODTYPE=QTR_STD&amp;SCFT=3&amp;window=popup_no_bar&amp;width=385&amp;height=120&amp;START_MAXIMIZED=FALSE&amp;creator=factset&amp;display_string=Audit"}</definedName>
    <definedName name="_3858__FDSAUDITLINK__" localSheetId="7" hidden="1">{"fdsup://Directions/FactSet Auditing Viewer?action=AUDIT_VALUE&amp;DB=129&amp;ID1=53567810&amp;VALUEID=02001&amp;SDATE=200801&amp;PERIODTYPE=QTR_STD&amp;SCFT=3&amp;window=popup_no_bar&amp;width=385&amp;height=120&amp;START_MAXIMIZED=FALSE&amp;creator=factset&amp;display_string=Audit"}</definedName>
    <definedName name="_3858__FDSAUDITLINK__" hidden="1">{"fdsup://Directions/FactSet Auditing Viewer?action=AUDIT_VALUE&amp;DB=129&amp;ID1=53567810&amp;VALUEID=02001&amp;SDATE=200801&amp;PERIODTYPE=QTR_STD&amp;SCFT=3&amp;window=popup_no_bar&amp;width=385&amp;height=120&amp;START_MAXIMIZED=FALSE&amp;creator=factset&amp;display_string=Audit"}</definedName>
    <definedName name="_3859__FDSAUDITLINK__" localSheetId="7" hidden="1">{"fdsup://Directions/FactSet Auditing Viewer?action=AUDIT_VALUE&amp;DB=129&amp;ID1=53567810&amp;VALUEID=02001&amp;SDATE=200703&amp;PERIODTYPE=QTR_STD&amp;SCFT=3&amp;window=popup_no_bar&amp;width=385&amp;height=120&amp;START_MAXIMIZED=FALSE&amp;creator=factset&amp;display_string=Audit"}</definedName>
    <definedName name="_3859__FDSAUDITLINK__" hidden="1">{"fdsup://Directions/FactSet Auditing Viewer?action=AUDIT_VALUE&amp;DB=129&amp;ID1=53567810&amp;VALUEID=02001&amp;SDATE=200703&amp;PERIODTYPE=QTR_STD&amp;SCFT=3&amp;window=popup_no_bar&amp;width=385&amp;height=120&amp;START_MAXIMIZED=FALSE&amp;creator=factset&amp;display_string=Audit"}</definedName>
    <definedName name="_386__FDSAUDITLINK__" localSheetId="7" hidden="1">{"fdsup://Directions/FactSet Auditing Viewer?action=AUDIT_VALUE&amp;DB=129&amp;ID1=46069S10&amp;VALUEID=02001&amp;SDATE=201003&amp;PERIODTYPE=QTR_STD&amp;SCFT=3&amp;window=popup_no_bar&amp;width=385&amp;height=120&amp;START_MAXIMIZED=FALSE&amp;creator=factset&amp;display_string=Audit"}</definedName>
    <definedName name="_386__FDSAUDITLINK__" hidden="1">{"fdsup://Directions/FactSet Auditing Viewer?action=AUDIT_VALUE&amp;DB=129&amp;ID1=46069S10&amp;VALUEID=02001&amp;SDATE=201003&amp;PERIODTYPE=QTR_STD&amp;SCFT=3&amp;window=popup_no_bar&amp;width=385&amp;height=120&amp;START_MAXIMIZED=FALSE&amp;creator=factset&amp;display_string=Audit"}</definedName>
    <definedName name="_3860__FDSAUDITLINK__" localSheetId="7" hidden="1">{"fdsup://Directions/FactSet Auditing Viewer?action=AUDIT_VALUE&amp;DB=129&amp;ID1=53567810&amp;VALUEID=02001&amp;SDATE=200703&amp;PERIODTYPE=QTR_STD&amp;SCFT=3&amp;window=popup_no_bar&amp;width=385&amp;height=120&amp;START_MAXIMIZED=FALSE&amp;creator=factset&amp;display_string=Audit"}</definedName>
    <definedName name="_3860__FDSAUDITLINK__" hidden="1">{"fdsup://Directions/FactSet Auditing Viewer?action=AUDIT_VALUE&amp;DB=129&amp;ID1=53567810&amp;VALUEID=02001&amp;SDATE=200703&amp;PERIODTYPE=QTR_STD&amp;SCFT=3&amp;window=popup_no_bar&amp;width=385&amp;height=120&amp;START_MAXIMIZED=FALSE&amp;creator=factset&amp;display_string=Audit"}</definedName>
    <definedName name="_3861__FDSAUDITLINK__" localSheetId="7" hidden="1">{"fdsup://Directions/FactSet Auditing Viewer?action=AUDIT_VALUE&amp;DB=129&amp;ID1=53567810&amp;VALUEID=02001&amp;SDATE=200702&amp;PERIODTYPE=QTR_STD&amp;SCFT=3&amp;window=popup_no_bar&amp;width=385&amp;height=120&amp;START_MAXIMIZED=FALSE&amp;creator=factset&amp;display_string=Audit"}</definedName>
    <definedName name="_3861__FDSAUDITLINK__" hidden="1">{"fdsup://Directions/FactSet Auditing Viewer?action=AUDIT_VALUE&amp;DB=129&amp;ID1=53567810&amp;VALUEID=02001&amp;SDATE=200702&amp;PERIODTYPE=QTR_STD&amp;SCFT=3&amp;window=popup_no_bar&amp;width=385&amp;height=120&amp;START_MAXIMIZED=FALSE&amp;creator=factset&amp;display_string=Audit"}</definedName>
    <definedName name="_3862__FDSAUDITLINK__" localSheetId="7" hidden="1">{"fdsup://Directions/FactSet Auditing Viewer?action=AUDIT_VALUE&amp;DB=129&amp;ID1=53567810&amp;VALUEID=02001&amp;SDATE=200702&amp;PERIODTYPE=QTR_STD&amp;SCFT=3&amp;window=popup_no_bar&amp;width=385&amp;height=120&amp;START_MAXIMIZED=FALSE&amp;creator=factset&amp;display_string=Audit"}</definedName>
    <definedName name="_3862__FDSAUDITLINK__" hidden="1">{"fdsup://Directions/FactSet Auditing Viewer?action=AUDIT_VALUE&amp;DB=129&amp;ID1=53567810&amp;VALUEID=02001&amp;SDATE=200702&amp;PERIODTYPE=QTR_STD&amp;SCFT=3&amp;window=popup_no_bar&amp;width=385&amp;height=120&amp;START_MAXIMIZED=FALSE&amp;creator=factset&amp;display_string=Audit"}</definedName>
    <definedName name="_3863__FDSAUDITLINK__" localSheetId="7" hidden="1">{"fdsup://Directions/FactSet Auditing Viewer?action=AUDIT_VALUE&amp;DB=129&amp;ID1=53567810&amp;VALUEID=02001&amp;SDATE=200701&amp;PERIODTYPE=QTR_STD&amp;SCFT=3&amp;window=popup_no_bar&amp;width=385&amp;height=120&amp;START_MAXIMIZED=FALSE&amp;creator=factset&amp;display_string=Audit"}</definedName>
    <definedName name="_3863__FDSAUDITLINK__" hidden="1">{"fdsup://Directions/FactSet Auditing Viewer?action=AUDIT_VALUE&amp;DB=129&amp;ID1=53567810&amp;VALUEID=02001&amp;SDATE=200701&amp;PERIODTYPE=QTR_STD&amp;SCFT=3&amp;window=popup_no_bar&amp;width=385&amp;height=120&amp;START_MAXIMIZED=FALSE&amp;creator=factset&amp;display_string=Audit"}</definedName>
    <definedName name="_3864__FDSAUDITLINK__" localSheetId="7" hidden="1">{"fdsup://Directions/FactSet Auditing Viewer?action=AUDIT_VALUE&amp;DB=129&amp;ID1=53567810&amp;VALUEID=02001&amp;SDATE=200701&amp;PERIODTYPE=QTR_STD&amp;SCFT=3&amp;window=popup_no_bar&amp;width=385&amp;height=120&amp;START_MAXIMIZED=FALSE&amp;creator=factset&amp;display_string=Audit"}</definedName>
    <definedName name="_3864__FDSAUDITLINK__" hidden="1">{"fdsup://Directions/FactSet Auditing Viewer?action=AUDIT_VALUE&amp;DB=129&amp;ID1=53567810&amp;VALUEID=02001&amp;SDATE=200701&amp;PERIODTYPE=QTR_STD&amp;SCFT=3&amp;window=popup_no_bar&amp;width=385&amp;height=120&amp;START_MAXIMIZED=FALSE&amp;creator=factset&amp;display_string=Audit"}</definedName>
    <definedName name="_3865__FDSAUDITLINK__" localSheetId="7" hidden="1">{"fdsup://Directions/FactSet Auditing Viewer?action=AUDIT_VALUE&amp;DB=129&amp;ID1=53567810&amp;VALUEID=02001&amp;SDATE=200603&amp;PERIODTYPE=QTR_STD&amp;SCFT=3&amp;window=popup_no_bar&amp;width=385&amp;height=120&amp;START_MAXIMIZED=FALSE&amp;creator=factset&amp;display_string=Audit"}</definedName>
    <definedName name="_3865__FDSAUDITLINK__" hidden="1">{"fdsup://Directions/FactSet Auditing Viewer?action=AUDIT_VALUE&amp;DB=129&amp;ID1=53567810&amp;VALUEID=02001&amp;SDATE=200603&amp;PERIODTYPE=QTR_STD&amp;SCFT=3&amp;window=popup_no_bar&amp;width=385&amp;height=120&amp;START_MAXIMIZED=FALSE&amp;creator=factset&amp;display_string=Audit"}</definedName>
    <definedName name="_3866__FDSAUDITLINK__" localSheetId="7" hidden="1">{"fdsup://Directions/FactSet Auditing Viewer?action=AUDIT_VALUE&amp;DB=129&amp;ID1=53567810&amp;VALUEID=02001&amp;SDATE=200603&amp;PERIODTYPE=QTR_STD&amp;SCFT=3&amp;window=popup_no_bar&amp;width=385&amp;height=120&amp;START_MAXIMIZED=FALSE&amp;creator=factset&amp;display_string=Audit"}</definedName>
    <definedName name="_3866__FDSAUDITLINK__" hidden="1">{"fdsup://Directions/FactSet Auditing Viewer?action=AUDIT_VALUE&amp;DB=129&amp;ID1=53567810&amp;VALUEID=02001&amp;SDATE=200603&amp;PERIODTYPE=QTR_STD&amp;SCFT=3&amp;window=popup_no_bar&amp;width=385&amp;height=120&amp;START_MAXIMIZED=FALSE&amp;creator=factset&amp;display_string=Audit"}</definedName>
    <definedName name="_3867__FDSAUDITLINK__" localSheetId="7" hidden="1">{"fdsup://Directions/FactSet Auditing Viewer?action=AUDIT_VALUE&amp;DB=129&amp;ID1=53567810&amp;VALUEID=02001&amp;SDATE=200602&amp;PERIODTYPE=QTR_STD&amp;SCFT=3&amp;window=popup_no_bar&amp;width=385&amp;height=120&amp;START_MAXIMIZED=FALSE&amp;creator=factset&amp;display_string=Audit"}</definedName>
    <definedName name="_3867__FDSAUDITLINK__" hidden="1">{"fdsup://Directions/FactSet Auditing Viewer?action=AUDIT_VALUE&amp;DB=129&amp;ID1=53567810&amp;VALUEID=02001&amp;SDATE=200602&amp;PERIODTYPE=QTR_STD&amp;SCFT=3&amp;window=popup_no_bar&amp;width=385&amp;height=120&amp;START_MAXIMIZED=FALSE&amp;creator=factset&amp;display_string=Audit"}</definedName>
    <definedName name="_3868__FDSAUDITLINK__" localSheetId="7" hidden="1">{"fdsup://Directions/FactSet Auditing Viewer?action=AUDIT_VALUE&amp;DB=129&amp;ID1=53567810&amp;VALUEID=02001&amp;SDATE=200602&amp;PERIODTYPE=QTR_STD&amp;SCFT=3&amp;window=popup_no_bar&amp;width=385&amp;height=120&amp;START_MAXIMIZED=FALSE&amp;creator=factset&amp;display_string=Audit"}</definedName>
    <definedName name="_3868__FDSAUDITLINK__" hidden="1">{"fdsup://Directions/FactSet Auditing Viewer?action=AUDIT_VALUE&amp;DB=129&amp;ID1=53567810&amp;VALUEID=02001&amp;SDATE=200602&amp;PERIODTYPE=QTR_STD&amp;SCFT=3&amp;window=popup_no_bar&amp;width=385&amp;height=120&amp;START_MAXIMIZED=FALSE&amp;creator=factset&amp;display_string=Audit"}</definedName>
    <definedName name="_3869__FDSAUDITLINK__" localSheetId="7" hidden="1">{"fdsup://Directions/FactSet Auditing Viewer?action=AUDIT_VALUE&amp;DB=129&amp;ID1=53567810&amp;VALUEID=02001&amp;SDATE=200601&amp;PERIODTYPE=QTR_STD&amp;SCFT=3&amp;window=popup_no_bar&amp;width=385&amp;height=120&amp;START_MAXIMIZED=FALSE&amp;creator=factset&amp;display_string=Audit"}</definedName>
    <definedName name="_3869__FDSAUDITLINK__" hidden="1">{"fdsup://Directions/FactSet Auditing Viewer?action=AUDIT_VALUE&amp;DB=129&amp;ID1=53567810&amp;VALUEID=02001&amp;SDATE=200601&amp;PERIODTYPE=QTR_STD&amp;SCFT=3&amp;window=popup_no_bar&amp;width=385&amp;height=120&amp;START_MAXIMIZED=FALSE&amp;creator=factset&amp;display_string=Audit"}</definedName>
    <definedName name="_387__FDSAUDITLINK__" localSheetId="7" hidden="1">{"fdsup://Directions/FactSet Auditing Viewer?action=AUDIT_VALUE&amp;DB=129&amp;ID1=46025410&amp;VALUEID=02001&amp;SDATE=201101&amp;PERIODTYPE=QTR_STD&amp;SCFT=3&amp;window=popup_no_bar&amp;width=385&amp;height=120&amp;START_MAXIMIZED=FALSE&amp;creator=factset&amp;display_string=Audit"}</definedName>
    <definedName name="_387__FDSAUDITLINK__" hidden="1">{"fdsup://Directions/FactSet Auditing Viewer?action=AUDIT_VALUE&amp;DB=129&amp;ID1=46025410&amp;VALUEID=02001&amp;SDATE=201101&amp;PERIODTYPE=QTR_STD&amp;SCFT=3&amp;window=popup_no_bar&amp;width=385&amp;height=120&amp;START_MAXIMIZED=FALSE&amp;creator=factset&amp;display_string=Audit"}</definedName>
    <definedName name="_3870__FDSAUDITLINK__" localSheetId="7" hidden="1">{"fdsup://Directions/FactSet Auditing Viewer?action=AUDIT_VALUE&amp;DB=129&amp;ID1=53567810&amp;VALUEID=02001&amp;SDATE=200601&amp;PERIODTYPE=QTR_STD&amp;SCFT=3&amp;window=popup_no_bar&amp;width=385&amp;height=120&amp;START_MAXIMIZED=FALSE&amp;creator=factset&amp;display_string=Audit"}</definedName>
    <definedName name="_3870__FDSAUDITLINK__" hidden="1">{"fdsup://Directions/FactSet Auditing Viewer?action=AUDIT_VALUE&amp;DB=129&amp;ID1=53567810&amp;VALUEID=02001&amp;SDATE=200601&amp;PERIODTYPE=QTR_STD&amp;SCFT=3&amp;window=popup_no_bar&amp;width=385&amp;height=120&amp;START_MAXIMIZED=FALSE&amp;creator=factset&amp;display_string=Audit"}</definedName>
    <definedName name="_3871__FDSAUDITLINK__" localSheetId="7" hidden="1">{"fdsup://Directions/FactSet Auditing Viewer?action=AUDIT_VALUE&amp;DB=129&amp;ID1=53567810&amp;VALUEID=02001&amp;SDATE=200503&amp;PERIODTYPE=QTR_STD&amp;SCFT=3&amp;window=popup_no_bar&amp;width=385&amp;height=120&amp;START_MAXIMIZED=FALSE&amp;creator=factset&amp;display_string=Audit"}</definedName>
    <definedName name="_3871__FDSAUDITLINK__" hidden="1">{"fdsup://Directions/FactSet Auditing Viewer?action=AUDIT_VALUE&amp;DB=129&amp;ID1=53567810&amp;VALUEID=02001&amp;SDATE=200503&amp;PERIODTYPE=QTR_STD&amp;SCFT=3&amp;window=popup_no_bar&amp;width=385&amp;height=120&amp;START_MAXIMIZED=FALSE&amp;creator=factset&amp;display_string=Audit"}</definedName>
    <definedName name="_3872__FDSAUDITLINK__" localSheetId="7" hidden="1">{"fdsup://Directions/FactSet Auditing Viewer?action=AUDIT_VALUE&amp;DB=129&amp;ID1=53567810&amp;VALUEID=02001&amp;SDATE=200503&amp;PERIODTYPE=QTR_STD&amp;SCFT=3&amp;window=popup_no_bar&amp;width=385&amp;height=120&amp;START_MAXIMIZED=FALSE&amp;creator=factset&amp;display_string=Audit"}</definedName>
    <definedName name="_3872__FDSAUDITLINK__" hidden="1">{"fdsup://Directions/FactSet Auditing Viewer?action=AUDIT_VALUE&amp;DB=129&amp;ID1=53567810&amp;VALUEID=02001&amp;SDATE=200503&amp;PERIODTYPE=QTR_STD&amp;SCFT=3&amp;window=popup_no_bar&amp;width=385&amp;height=120&amp;START_MAXIMIZED=FALSE&amp;creator=factset&amp;display_string=Audit"}</definedName>
    <definedName name="_3873__FDSAUDITLINK__" localSheetId="7" hidden="1">{"fdsup://Directions/FactSet Auditing Viewer?action=AUDIT_VALUE&amp;DB=129&amp;ID1=53567810&amp;VALUEID=02001&amp;SDATE=200502&amp;PERIODTYPE=QTR_STD&amp;SCFT=3&amp;window=popup_no_bar&amp;width=385&amp;height=120&amp;START_MAXIMIZED=FALSE&amp;creator=factset&amp;display_string=Audit"}</definedName>
    <definedName name="_3873__FDSAUDITLINK__" hidden="1">{"fdsup://Directions/FactSet Auditing Viewer?action=AUDIT_VALUE&amp;DB=129&amp;ID1=53567810&amp;VALUEID=02001&amp;SDATE=200502&amp;PERIODTYPE=QTR_STD&amp;SCFT=3&amp;window=popup_no_bar&amp;width=385&amp;height=120&amp;START_MAXIMIZED=FALSE&amp;creator=factset&amp;display_string=Audit"}</definedName>
    <definedName name="_3874__FDSAUDITLINK__" localSheetId="7" hidden="1">{"fdsup://Directions/FactSet Auditing Viewer?action=AUDIT_VALUE&amp;DB=129&amp;ID1=53567810&amp;VALUEID=02001&amp;SDATE=200502&amp;PERIODTYPE=QTR_STD&amp;SCFT=3&amp;window=popup_no_bar&amp;width=385&amp;height=120&amp;START_MAXIMIZED=FALSE&amp;creator=factset&amp;display_string=Audit"}</definedName>
    <definedName name="_3874__FDSAUDITLINK__" hidden="1">{"fdsup://Directions/FactSet Auditing Viewer?action=AUDIT_VALUE&amp;DB=129&amp;ID1=53567810&amp;VALUEID=02001&amp;SDATE=200502&amp;PERIODTYPE=QTR_STD&amp;SCFT=3&amp;window=popup_no_bar&amp;width=385&amp;height=120&amp;START_MAXIMIZED=FALSE&amp;creator=factset&amp;display_string=Audit"}</definedName>
    <definedName name="_3875__FDSAUDITLINK__" localSheetId="7" hidden="1">{"fdsup://Directions/FactSet Auditing Viewer?action=AUDIT_VALUE&amp;DB=129&amp;ID1=53567810&amp;VALUEID=02001&amp;SDATE=200501&amp;PERIODTYPE=QTR_STD&amp;SCFT=3&amp;window=popup_no_bar&amp;width=385&amp;height=120&amp;START_MAXIMIZED=FALSE&amp;creator=factset&amp;display_string=Audit"}</definedName>
    <definedName name="_3875__FDSAUDITLINK__" hidden="1">{"fdsup://Directions/FactSet Auditing Viewer?action=AUDIT_VALUE&amp;DB=129&amp;ID1=53567810&amp;VALUEID=02001&amp;SDATE=200501&amp;PERIODTYPE=QTR_STD&amp;SCFT=3&amp;window=popup_no_bar&amp;width=385&amp;height=120&amp;START_MAXIMIZED=FALSE&amp;creator=factset&amp;display_string=Audit"}</definedName>
    <definedName name="_3876__FDSAUDITLINK__" localSheetId="7" hidden="1">{"fdsup://Directions/FactSet Auditing Viewer?action=AUDIT_VALUE&amp;DB=129&amp;ID1=53567810&amp;VALUEID=02001&amp;SDATE=200501&amp;PERIODTYPE=QTR_STD&amp;SCFT=3&amp;window=popup_no_bar&amp;width=385&amp;height=120&amp;START_MAXIMIZED=FALSE&amp;creator=factset&amp;display_string=Audit"}</definedName>
    <definedName name="_3876__FDSAUDITLINK__" hidden="1">{"fdsup://Directions/FactSet Auditing Viewer?action=AUDIT_VALUE&amp;DB=129&amp;ID1=53567810&amp;VALUEID=02001&amp;SDATE=200501&amp;PERIODTYPE=QTR_STD&amp;SCFT=3&amp;window=popup_no_bar&amp;width=385&amp;height=120&amp;START_MAXIMIZED=FALSE&amp;creator=factset&amp;display_string=Audit"}</definedName>
    <definedName name="_3877__FDSAUDITLINK__" localSheetId="7" hidden="1">{"fdsup://Directions/FactSet Auditing Viewer?action=AUDIT_VALUE&amp;DB=129&amp;ID1=53567810&amp;VALUEID=02001&amp;SDATE=200403&amp;PERIODTYPE=QTR_STD&amp;SCFT=3&amp;window=popup_no_bar&amp;width=385&amp;height=120&amp;START_MAXIMIZED=FALSE&amp;creator=factset&amp;display_string=Audit"}</definedName>
    <definedName name="_3877__FDSAUDITLINK__" hidden="1">{"fdsup://Directions/FactSet Auditing Viewer?action=AUDIT_VALUE&amp;DB=129&amp;ID1=53567810&amp;VALUEID=02001&amp;SDATE=200403&amp;PERIODTYPE=QTR_STD&amp;SCFT=3&amp;window=popup_no_bar&amp;width=385&amp;height=120&amp;START_MAXIMIZED=FALSE&amp;creator=factset&amp;display_string=Audit"}</definedName>
    <definedName name="_3878__FDSAUDITLINK__" localSheetId="7" hidden="1">{"fdsup://Directions/FactSet Auditing Viewer?action=AUDIT_VALUE&amp;DB=129&amp;ID1=53567810&amp;VALUEID=02001&amp;SDATE=200403&amp;PERIODTYPE=QTR_STD&amp;SCFT=3&amp;window=popup_no_bar&amp;width=385&amp;height=120&amp;START_MAXIMIZED=FALSE&amp;creator=factset&amp;display_string=Audit"}</definedName>
    <definedName name="_3878__FDSAUDITLINK__" hidden="1">{"fdsup://Directions/FactSet Auditing Viewer?action=AUDIT_VALUE&amp;DB=129&amp;ID1=53567810&amp;VALUEID=02001&amp;SDATE=200403&amp;PERIODTYPE=QTR_STD&amp;SCFT=3&amp;window=popup_no_bar&amp;width=385&amp;height=120&amp;START_MAXIMIZED=FALSE&amp;creator=factset&amp;display_string=Audit"}</definedName>
    <definedName name="_3879__FDSAUDITLINK__" localSheetId="7" hidden="1">{"fdsup://Directions/FactSet Auditing Viewer?action=AUDIT_VALUE&amp;DB=129&amp;ID1=48248010&amp;VALUEID=02001&amp;SDATE=200803&amp;PERIODTYPE=QTR_STD&amp;SCFT=3&amp;window=popup_no_bar&amp;width=385&amp;height=120&amp;START_MAXIMIZED=FALSE&amp;creator=factset&amp;display_string=Audit"}</definedName>
    <definedName name="_3879__FDSAUDITLINK__" hidden="1">{"fdsup://Directions/FactSet Auditing Viewer?action=AUDIT_VALUE&amp;DB=129&amp;ID1=48248010&amp;VALUEID=02001&amp;SDATE=200803&amp;PERIODTYPE=QTR_STD&amp;SCFT=3&amp;window=popup_no_bar&amp;width=385&amp;height=120&amp;START_MAXIMIZED=FALSE&amp;creator=factset&amp;display_string=Audit"}</definedName>
    <definedName name="_388__FDSAUDITLINK__" localSheetId="7" hidden="1">{"fdsup://Directions/FactSet Auditing Viewer?action=AUDIT_VALUE&amp;DB=129&amp;ID1=46025410&amp;VALUEID=02001&amp;SDATE=201101&amp;PERIODTYPE=QTR_STD&amp;SCFT=3&amp;window=popup_no_bar&amp;width=385&amp;height=120&amp;START_MAXIMIZED=FALSE&amp;creator=factset&amp;display_string=Audit"}</definedName>
    <definedName name="_388__FDSAUDITLINK__" hidden="1">{"fdsup://Directions/FactSet Auditing Viewer?action=AUDIT_VALUE&amp;DB=129&amp;ID1=46025410&amp;VALUEID=02001&amp;SDATE=201101&amp;PERIODTYPE=QTR_STD&amp;SCFT=3&amp;window=popup_no_bar&amp;width=385&amp;height=120&amp;START_MAXIMIZED=FALSE&amp;creator=factset&amp;display_string=Audit"}</definedName>
    <definedName name="_3880__FDSAUDITLINK__" localSheetId="7" hidden="1">{"fdsup://Directions/FactSet Auditing Viewer?action=AUDIT_VALUE&amp;DB=129&amp;ID1=48248010&amp;VALUEID=02001&amp;SDATE=200803&amp;PERIODTYPE=QTR_STD&amp;SCFT=3&amp;window=popup_no_bar&amp;width=385&amp;height=120&amp;START_MAXIMIZED=FALSE&amp;creator=factset&amp;display_string=Audit"}</definedName>
    <definedName name="_3880__FDSAUDITLINK__" hidden="1">{"fdsup://Directions/FactSet Auditing Viewer?action=AUDIT_VALUE&amp;DB=129&amp;ID1=48248010&amp;VALUEID=02001&amp;SDATE=200803&amp;PERIODTYPE=QTR_STD&amp;SCFT=3&amp;window=popup_no_bar&amp;width=385&amp;height=120&amp;START_MAXIMIZED=FALSE&amp;creator=factset&amp;display_string=Audit"}</definedName>
    <definedName name="_3881__FDSAUDITLINK__" localSheetId="7" hidden="1">{"fdsup://Directions/FactSet Auditing Viewer?action=AUDIT_VALUE&amp;DB=129&amp;ID1=48248010&amp;VALUEID=02001&amp;SDATE=200802&amp;PERIODTYPE=QTR_STD&amp;SCFT=3&amp;window=popup_no_bar&amp;width=385&amp;height=120&amp;START_MAXIMIZED=FALSE&amp;creator=factset&amp;display_string=Audit"}</definedName>
    <definedName name="_3881__FDSAUDITLINK__" hidden="1">{"fdsup://Directions/FactSet Auditing Viewer?action=AUDIT_VALUE&amp;DB=129&amp;ID1=48248010&amp;VALUEID=02001&amp;SDATE=200802&amp;PERIODTYPE=QTR_STD&amp;SCFT=3&amp;window=popup_no_bar&amp;width=385&amp;height=120&amp;START_MAXIMIZED=FALSE&amp;creator=factset&amp;display_string=Audit"}</definedName>
    <definedName name="_3882__FDSAUDITLINK__" localSheetId="7" hidden="1">{"fdsup://Directions/FactSet Auditing Viewer?action=AUDIT_VALUE&amp;DB=129&amp;ID1=48248010&amp;VALUEID=02001&amp;SDATE=200802&amp;PERIODTYPE=QTR_STD&amp;SCFT=3&amp;window=popup_no_bar&amp;width=385&amp;height=120&amp;START_MAXIMIZED=FALSE&amp;creator=factset&amp;display_string=Audit"}</definedName>
    <definedName name="_3882__FDSAUDITLINK__" hidden="1">{"fdsup://Directions/FactSet Auditing Viewer?action=AUDIT_VALUE&amp;DB=129&amp;ID1=48248010&amp;VALUEID=02001&amp;SDATE=200802&amp;PERIODTYPE=QTR_STD&amp;SCFT=3&amp;window=popup_no_bar&amp;width=385&amp;height=120&amp;START_MAXIMIZED=FALSE&amp;creator=factset&amp;display_string=Audit"}</definedName>
    <definedName name="_3883__FDSAUDITLINK__" localSheetId="7" hidden="1">{"fdsup://Directions/FactSet Auditing Viewer?action=AUDIT_VALUE&amp;DB=129&amp;ID1=48248010&amp;VALUEID=02001&amp;SDATE=200801&amp;PERIODTYPE=QTR_STD&amp;SCFT=3&amp;window=popup_no_bar&amp;width=385&amp;height=120&amp;START_MAXIMIZED=FALSE&amp;creator=factset&amp;display_string=Audit"}</definedName>
    <definedName name="_3883__FDSAUDITLINK__" hidden="1">{"fdsup://Directions/FactSet Auditing Viewer?action=AUDIT_VALUE&amp;DB=129&amp;ID1=48248010&amp;VALUEID=02001&amp;SDATE=200801&amp;PERIODTYPE=QTR_STD&amp;SCFT=3&amp;window=popup_no_bar&amp;width=385&amp;height=120&amp;START_MAXIMIZED=FALSE&amp;creator=factset&amp;display_string=Audit"}</definedName>
    <definedName name="_3884__FDSAUDITLINK__" localSheetId="7" hidden="1">{"fdsup://Directions/FactSet Auditing Viewer?action=AUDIT_VALUE&amp;DB=129&amp;ID1=48248010&amp;VALUEID=02001&amp;SDATE=200801&amp;PERIODTYPE=QTR_STD&amp;SCFT=3&amp;window=popup_no_bar&amp;width=385&amp;height=120&amp;START_MAXIMIZED=FALSE&amp;creator=factset&amp;display_string=Audit"}</definedName>
    <definedName name="_3884__FDSAUDITLINK__" hidden="1">{"fdsup://Directions/FactSet Auditing Viewer?action=AUDIT_VALUE&amp;DB=129&amp;ID1=48248010&amp;VALUEID=02001&amp;SDATE=200801&amp;PERIODTYPE=QTR_STD&amp;SCFT=3&amp;window=popup_no_bar&amp;width=385&amp;height=120&amp;START_MAXIMIZED=FALSE&amp;creator=factset&amp;display_string=Audit"}</definedName>
    <definedName name="_3885__FDSAUDITLINK__" localSheetId="7" hidden="1">{"fdsup://Directions/FactSet Auditing Viewer?action=AUDIT_VALUE&amp;DB=129&amp;ID1=48248010&amp;VALUEID=02001&amp;SDATE=200703&amp;PERIODTYPE=QTR_STD&amp;SCFT=3&amp;window=popup_no_bar&amp;width=385&amp;height=120&amp;START_MAXIMIZED=FALSE&amp;creator=factset&amp;display_string=Audit"}</definedName>
    <definedName name="_3885__FDSAUDITLINK__" hidden="1">{"fdsup://Directions/FactSet Auditing Viewer?action=AUDIT_VALUE&amp;DB=129&amp;ID1=48248010&amp;VALUEID=02001&amp;SDATE=200703&amp;PERIODTYPE=QTR_STD&amp;SCFT=3&amp;window=popup_no_bar&amp;width=385&amp;height=120&amp;START_MAXIMIZED=FALSE&amp;creator=factset&amp;display_string=Audit"}</definedName>
    <definedName name="_3886__FDSAUDITLINK__" localSheetId="7" hidden="1">{"fdsup://Directions/FactSet Auditing Viewer?action=AUDIT_VALUE&amp;DB=129&amp;ID1=48248010&amp;VALUEID=02001&amp;SDATE=200703&amp;PERIODTYPE=QTR_STD&amp;SCFT=3&amp;window=popup_no_bar&amp;width=385&amp;height=120&amp;START_MAXIMIZED=FALSE&amp;creator=factset&amp;display_string=Audit"}</definedName>
    <definedName name="_3886__FDSAUDITLINK__" hidden="1">{"fdsup://Directions/FactSet Auditing Viewer?action=AUDIT_VALUE&amp;DB=129&amp;ID1=48248010&amp;VALUEID=02001&amp;SDATE=200703&amp;PERIODTYPE=QTR_STD&amp;SCFT=3&amp;window=popup_no_bar&amp;width=385&amp;height=120&amp;START_MAXIMIZED=FALSE&amp;creator=factset&amp;display_string=Audit"}</definedName>
    <definedName name="_3887__FDSAUDITLINK__" localSheetId="7" hidden="1">{"fdsup://Directions/FactSet Auditing Viewer?action=AUDIT_VALUE&amp;DB=129&amp;ID1=48248010&amp;VALUEID=02001&amp;SDATE=200702&amp;PERIODTYPE=QTR_STD&amp;SCFT=3&amp;window=popup_no_bar&amp;width=385&amp;height=120&amp;START_MAXIMIZED=FALSE&amp;creator=factset&amp;display_string=Audit"}</definedName>
    <definedName name="_3887__FDSAUDITLINK__" hidden="1">{"fdsup://Directions/FactSet Auditing Viewer?action=AUDIT_VALUE&amp;DB=129&amp;ID1=48248010&amp;VALUEID=02001&amp;SDATE=200702&amp;PERIODTYPE=QTR_STD&amp;SCFT=3&amp;window=popup_no_bar&amp;width=385&amp;height=120&amp;START_MAXIMIZED=FALSE&amp;creator=factset&amp;display_string=Audit"}</definedName>
    <definedName name="_3888__FDSAUDITLINK__" localSheetId="7" hidden="1">{"fdsup://Directions/FactSet Auditing Viewer?action=AUDIT_VALUE&amp;DB=129&amp;ID1=48248010&amp;VALUEID=02001&amp;SDATE=200702&amp;PERIODTYPE=QTR_STD&amp;SCFT=3&amp;window=popup_no_bar&amp;width=385&amp;height=120&amp;START_MAXIMIZED=FALSE&amp;creator=factset&amp;display_string=Audit"}</definedName>
    <definedName name="_3888__FDSAUDITLINK__" hidden="1">{"fdsup://Directions/FactSet Auditing Viewer?action=AUDIT_VALUE&amp;DB=129&amp;ID1=48248010&amp;VALUEID=02001&amp;SDATE=200702&amp;PERIODTYPE=QTR_STD&amp;SCFT=3&amp;window=popup_no_bar&amp;width=385&amp;height=120&amp;START_MAXIMIZED=FALSE&amp;creator=factset&amp;display_string=Audit"}</definedName>
    <definedName name="_3889__FDSAUDITLINK__" localSheetId="7" hidden="1">{"fdsup://Directions/FactSet Auditing Viewer?action=AUDIT_VALUE&amp;DB=129&amp;ID1=48248010&amp;VALUEID=02001&amp;SDATE=200701&amp;PERIODTYPE=QTR_STD&amp;SCFT=3&amp;window=popup_no_bar&amp;width=385&amp;height=120&amp;START_MAXIMIZED=FALSE&amp;creator=factset&amp;display_string=Audit"}</definedName>
    <definedName name="_3889__FDSAUDITLINK__" hidden="1">{"fdsup://Directions/FactSet Auditing Viewer?action=AUDIT_VALUE&amp;DB=129&amp;ID1=48248010&amp;VALUEID=02001&amp;SDATE=200701&amp;PERIODTYPE=QTR_STD&amp;SCFT=3&amp;window=popup_no_bar&amp;width=385&amp;height=120&amp;START_MAXIMIZED=FALSE&amp;creator=factset&amp;display_string=Audit"}</definedName>
    <definedName name="_389__FDSAUDITLINK__" localSheetId="7" hidden="1">{"fdsup://Directions/FactSet Auditing Viewer?action=AUDIT_VALUE&amp;DB=129&amp;ID1=45772F10&amp;VALUEID=02001&amp;SDATE=201003&amp;PERIODTYPE=QTR_STD&amp;SCFT=3&amp;window=popup_no_bar&amp;width=385&amp;height=120&amp;START_MAXIMIZED=FALSE&amp;creator=factset&amp;display_string=Audit"}</definedName>
    <definedName name="_389__FDSAUDITLINK__" hidden="1">{"fdsup://Directions/FactSet Auditing Viewer?action=AUDIT_VALUE&amp;DB=129&amp;ID1=45772F10&amp;VALUEID=02001&amp;SDATE=201003&amp;PERIODTYPE=QTR_STD&amp;SCFT=3&amp;window=popup_no_bar&amp;width=385&amp;height=120&amp;START_MAXIMIZED=FALSE&amp;creator=factset&amp;display_string=Audit"}</definedName>
    <definedName name="_3890__FDSAUDITLINK__" localSheetId="7" hidden="1">{"fdsup://Directions/FactSet Auditing Viewer?action=AUDIT_VALUE&amp;DB=129&amp;ID1=48248010&amp;VALUEID=02001&amp;SDATE=200701&amp;PERIODTYPE=QTR_STD&amp;SCFT=3&amp;window=popup_no_bar&amp;width=385&amp;height=120&amp;START_MAXIMIZED=FALSE&amp;creator=factset&amp;display_string=Audit"}</definedName>
    <definedName name="_3890__FDSAUDITLINK__" hidden="1">{"fdsup://Directions/FactSet Auditing Viewer?action=AUDIT_VALUE&amp;DB=129&amp;ID1=48248010&amp;VALUEID=02001&amp;SDATE=200701&amp;PERIODTYPE=QTR_STD&amp;SCFT=3&amp;window=popup_no_bar&amp;width=385&amp;height=120&amp;START_MAXIMIZED=FALSE&amp;creator=factset&amp;display_string=Audit"}</definedName>
    <definedName name="_3891__FDSAUDITLINK__" localSheetId="7" hidden="1">{"fdsup://Directions/FactSet Auditing Viewer?action=AUDIT_VALUE&amp;DB=129&amp;ID1=48248010&amp;VALUEID=02001&amp;SDATE=200603&amp;PERIODTYPE=QTR_STD&amp;SCFT=3&amp;window=popup_no_bar&amp;width=385&amp;height=120&amp;START_MAXIMIZED=FALSE&amp;creator=factset&amp;display_string=Audit"}</definedName>
    <definedName name="_3891__FDSAUDITLINK__" hidden="1">{"fdsup://Directions/FactSet Auditing Viewer?action=AUDIT_VALUE&amp;DB=129&amp;ID1=48248010&amp;VALUEID=02001&amp;SDATE=200603&amp;PERIODTYPE=QTR_STD&amp;SCFT=3&amp;window=popup_no_bar&amp;width=385&amp;height=120&amp;START_MAXIMIZED=FALSE&amp;creator=factset&amp;display_string=Audit"}</definedName>
    <definedName name="_3892__FDSAUDITLINK__" localSheetId="7" hidden="1">{"fdsup://Directions/FactSet Auditing Viewer?action=AUDIT_VALUE&amp;DB=129&amp;ID1=48248010&amp;VALUEID=02001&amp;SDATE=200603&amp;PERIODTYPE=QTR_STD&amp;SCFT=3&amp;window=popup_no_bar&amp;width=385&amp;height=120&amp;START_MAXIMIZED=FALSE&amp;creator=factset&amp;display_string=Audit"}</definedName>
    <definedName name="_3892__FDSAUDITLINK__" hidden="1">{"fdsup://Directions/FactSet Auditing Viewer?action=AUDIT_VALUE&amp;DB=129&amp;ID1=48248010&amp;VALUEID=02001&amp;SDATE=200603&amp;PERIODTYPE=QTR_STD&amp;SCFT=3&amp;window=popup_no_bar&amp;width=385&amp;height=120&amp;START_MAXIMIZED=FALSE&amp;creator=factset&amp;display_string=Audit"}</definedName>
    <definedName name="_3893__FDSAUDITLINK__" localSheetId="7" hidden="1">{"fdsup://Directions/FactSet Auditing Viewer?action=AUDIT_VALUE&amp;DB=129&amp;ID1=48248010&amp;VALUEID=02001&amp;SDATE=200602&amp;PERIODTYPE=QTR_STD&amp;SCFT=3&amp;window=popup_no_bar&amp;width=385&amp;height=120&amp;START_MAXIMIZED=FALSE&amp;creator=factset&amp;display_string=Audit"}</definedName>
    <definedName name="_3893__FDSAUDITLINK__" hidden="1">{"fdsup://Directions/FactSet Auditing Viewer?action=AUDIT_VALUE&amp;DB=129&amp;ID1=48248010&amp;VALUEID=02001&amp;SDATE=200602&amp;PERIODTYPE=QTR_STD&amp;SCFT=3&amp;window=popup_no_bar&amp;width=385&amp;height=120&amp;START_MAXIMIZED=FALSE&amp;creator=factset&amp;display_string=Audit"}</definedName>
    <definedName name="_3894__FDSAUDITLINK__" localSheetId="7" hidden="1">{"fdsup://Directions/FactSet Auditing Viewer?action=AUDIT_VALUE&amp;DB=129&amp;ID1=48248010&amp;VALUEID=02001&amp;SDATE=200602&amp;PERIODTYPE=QTR_STD&amp;SCFT=3&amp;window=popup_no_bar&amp;width=385&amp;height=120&amp;START_MAXIMIZED=FALSE&amp;creator=factset&amp;display_string=Audit"}</definedName>
    <definedName name="_3894__FDSAUDITLINK__" hidden="1">{"fdsup://Directions/FactSet Auditing Viewer?action=AUDIT_VALUE&amp;DB=129&amp;ID1=48248010&amp;VALUEID=02001&amp;SDATE=200602&amp;PERIODTYPE=QTR_STD&amp;SCFT=3&amp;window=popup_no_bar&amp;width=385&amp;height=120&amp;START_MAXIMIZED=FALSE&amp;creator=factset&amp;display_string=Audit"}</definedName>
    <definedName name="_3895__FDSAUDITLINK__" localSheetId="7" hidden="1">{"fdsup://Directions/FactSet Auditing Viewer?action=AUDIT_VALUE&amp;DB=129&amp;ID1=48248010&amp;VALUEID=02001&amp;SDATE=200601&amp;PERIODTYPE=QTR_STD&amp;SCFT=3&amp;window=popup_no_bar&amp;width=385&amp;height=120&amp;START_MAXIMIZED=FALSE&amp;creator=factset&amp;display_string=Audit"}</definedName>
    <definedName name="_3895__FDSAUDITLINK__" hidden="1">{"fdsup://Directions/FactSet Auditing Viewer?action=AUDIT_VALUE&amp;DB=129&amp;ID1=48248010&amp;VALUEID=02001&amp;SDATE=200601&amp;PERIODTYPE=QTR_STD&amp;SCFT=3&amp;window=popup_no_bar&amp;width=385&amp;height=120&amp;START_MAXIMIZED=FALSE&amp;creator=factset&amp;display_string=Audit"}</definedName>
    <definedName name="_3896__FDSAUDITLINK__" localSheetId="7" hidden="1">{"fdsup://Directions/FactSet Auditing Viewer?action=AUDIT_VALUE&amp;DB=129&amp;ID1=48248010&amp;VALUEID=02001&amp;SDATE=200601&amp;PERIODTYPE=QTR_STD&amp;SCFT=3&amp;window=popup_no_bar&amp;width=385&amp;height=120&amp;START_MAXIMIZED=FALSE&amp;creator=factset&amp;display_string=Audit"}</definedName>
    <definedName name="_3896__FDSAUDITLINK__" hidden="1">{"fdsup://Directions/FactSet Auditing Viewer?action=AUDIT_VALUE&amp;DB=129&amp;ID1=48248010&amp;VALUEID=02001&amp;SDATE=200601&amp;PERIODTYPE=QTR_STD&amp;SCFT=3&amp;window=popup_no_bar&amp;width=385&amp;height=120&amp;START_MAXIMIZED=FALSE&amp;creator=factset&amp;display_string=Audit"}</definedName>
    <definedName name="_3897__FDSAUDITLINK__" localSheetId="7" hidden="1">{"fdsup://Directions/FactSet Auditing Viewer?action=AUDIT_VALUE&amp;DB=129&amp;ID1=48248010&amp;VALUEID=02001&amp;SDATE=200503&amp;PERIODTYPE=QTR_STD&amp;SCFT=3&amp;window=popup_no_bar&amp;width=385&amp;height=120&amp;START_MAXIMIZED=FALSE&amp;creator=factset&amp;display_string=Audit"}</definedName>
    <definedName name="_3897__FDSAUDITLINK__" hidden="1">{"fdsup://Directions/FactSet Auditing Viewer?action=AUDIT_VALUE&amp;DB=129&amp;ID1=48248010&amp;VALUEID=02001&amp;SDATE=200503&amp;PERIODTYPE=QTR_STD&amp;SCFT=3&amp;window=popup_no_bar&amp;width=385&amp;height=120&amp;START_MAXIMIZED=FALSE&amp;creator=factset&amp;display_string=Audit"}</definedName>
    <definedName name="_3898__FDSAUDITLINK__" localSheetId="7" hidden="1">{"fdsup://Directions/FactSet Auditing Viewer?action=AUDIT_VALUE&amp;DB=129&amp;ID1=48248010&amp;VALUEID=02001&amp;SDATE=200503&amp;PERIODTYPE=QTR_STD&amp;SCFT=3&amp;window=popup_no_bar&amp;width=385&amp;height=120&amp;START_MAXIMIZED=FALSE&amp;creator=factset&amp;display_string=Audit"}</definedName>
    <definedName name="_3898__FDSAUDITLINK__" hidden="1">{"fdsup://Directions/FactSet Auditing Viewer?action=AUDIT_VALUE&amp;DB=129&amp;ID1=48248010&amp;VALUEID=02001&amp;SDATE=200503&amp;PERIODTYPE=QTR_STD&amp;SCFT=3&amp;window=popup_no_bar&amp;width=385&amp;height=120&amp;START_MAXIMIZED=FALSE&amp;creator=factset&amp;display_string=Audit"}</definedName>
    <definedName name="_3899__FDSAUDITLINK__" localSheetId="7" hidden="1">{"fdsup://Directions/FactSet Auditing Viewer?action=AUDIT_VALUE&amp;DB=129&amp;ID1=48248010&amp;VALUEID=02001&amp;SDATE=200502&amp;PERIODTYPE=QTR_STD&amp;SCFT=3&amp;window=popup_no_bar&amp;width=385&amp;height=120&amp;START_MAXIMIZED=FALSE&amp;creator=factset&amp;display_string=Audit"}</definedName>
    <definedName name="_3899__FDSAUDITLINK__" hidden="1">{"fdsup://Directions/FactSet Auditing Viewer?action=AUDIT_VALUE&amp;DB=129&amp;ID1=48248010&amp;VALUEID=02001&amp;SDATE=200502&amp;PERIODTYPE=QTR_STD&amp;SCFT=3&amp;window=popup_no_bar&amp;width=385&amp;height=120&amp;START_MAXIMIZED=FALSE&amp;creator=factset&amp;display_string=Audit"}</definedName>
    <definedName name="_39__FDSAUDITLINK__" localSheetId="7" hidden="1">{"fdsup://Directions/FactSet Auditing Viewer?action=AUDIT_VALUE&amp;DB=129&amp;ID1=74727710&amp;VALUEID=02001&amp;SDATE=201004&amp;PERIODTYPE=QTR_STD&amp;SCFT=3&amp;window=popup_no_bar&amp;width=385&amp;height=120&amp;START_MAXIMIZED=FALSE&amp;creator=factset&amp;display_string=Audit"}</definedName>
    <definedName name="_39__FDSAUDITLINK__" hidden="1">{"fdsup://Directions/FactSet Auditing Viewer?action=AUDIT_VALUE&amp;DB=129&amp;ID1=74727710&amp;VALUEID=02001&amp;SDATE=201004&amp;PERIODTYPE=QTR_STD&amp;SCFT=3&amp;window=popup_no_bar&amp;width=385&amp;height=120&amp;START_MAXIMIZED=FALSE&amp;creator=factset&amp;display_string=Audit"}</definedName>
    <definedName name="_390__FDSAUDITLINK__" localSheetId="7" hidden="1">{"fdsup://Directions/FactSet Auditing Viewer?action=AUDIT_VALUE&amp;DB=129&amp;ID1=45772F10&amp;VALUEID=02001&amp;SDATE=201003&amp;PERIODTYPE=QTR_STD&amp;SCFT=3&amp;window=popup_no_bar&amp;width=385&amp;height=120&amp;START_MAXIMIZED=FALSE&amp;creator=factset&amp;display_string=Audit"}</definedName>
    <definedName name="_390__FDSAUDITLINK__" hidden="1">{"fdsup://Directions/FactSet Auditing Viewer?action=AUDIT_VALUE&amp;DB=129&amp;ID1=45772F10&amp;VALUEID=02001&amp;SDATE=201003&amp;PERIODTYPE=QTR_STD&amp;SCFT=3&amp;window=popup_no_bar&amp;width=385&amp;height=120&amp;START_MAXIMIZED=FALSE&amp;creator=factset&amp;display_string=Audit"}</definedName>
    <definedName name="_3900__FDSAUDITLINK__" localSheetId="7" hidden="1">{"fdsup://Directions/FactSet Auditing Viewer?action=AUDIT_VALUE&amp;DB=129&amp;ID1=48248010&amp;VALUEID=02001&amp;SDATE=200502&amp;PERIODTYPE=QTR_STD&amp;SCFT=3&amp;window=popup_no_bar&amp;width=385&amp;height=120&amp;START_MAXIMIZED=FALSE&amp;creator=factset&amp;display_string=Audit"}</definedName>
    <definedName name="_3900__FDSAUDITLINK__" hidden="1">{"fdsup://Directions/FactSet Auditing Viewer?action=AUDIT_VALUE&amp;DB=129&amp;ID1=48248010&amp;VALUEID=02001&amp;SDATE=200502&amp;PERIODTYPE=QTR_STD&amp;SCFT=3&amp;window=popup_no_bar&amp;width=385&amp;height=120&amp;START_MAXIMIZED=FALSE&amp;creator=factset&amp;display_string=Audit"}</definedName>
    <definedName name="_3901__FDSAUDITLINK__" localSheetId="7" hidden="1">{"fdsup://Directions/FactSet Auditing Viewer?action=AUDIT_VALUE&amp;DB=129&amp;ID1=48248010&amp;VALUEID=02001&amp;SDATE=200501&amp;PERIODTYPE=QTR_STD&amp;SCFT=3&amp;window=popup_no_bar&amp;width=385&amp;height=120&amp;START_MAXIMIZED=FALSE&amp;creator=factset&amp;display_string=Audit"}</definedName>
    <definedName name="_3901__FDSAUDITLINK__" hidden="1">{"fdsup://Directions/FactSet Auditing Viewer?action=AUDIT_VALUE&amp;DB=129&amp;ID1=48248010&amp;VALUEID=02001&amp;SDATE=200501&amp;PERIODTYPE=QTR_STD&amp;SCFT=3&amp;window=popup_no_bar&amp;width=385&amp;height=120&amp;START_MAXIMIZED=FALSE&amp;creator=factset&amp;display_string=Audit"}</definedName>
    <definedName name="_3902__FDSAUDITLINK__" localSheetId="7" hidden="1">{"fdsup://Directions/FactSet Auditing Viewer?action=AUDIT_VALUE&amp;DB=129&amp;ID1=48248010&amp;VALUEID=02001&amp;SDATE=200501&amp;PERIODTYPE=QTR_STD&amp;SCFT=3&amp;window=popup_no_bar&amp;width=385&amp;height=120&amp;START_MAXIMIZED=FALSE&amp;creator=factset&amp;display_string=Audit"}</definedName>
    <definedName name="_3902__FDSAUDITLINK__" hidden="1">{"fdsup://Directions/FactSet Auditing Viewer?action=AUDIT_VALUE&amp;DB=129&amp;ID1=48248010&amp;VALUEID=02001&amp;SDATE=200501&amp;PERIODTYPE=QTR_STD&amp;SCFT=3&amp;window=popup_no_bar&amp;width=385&amp;height=120&amp;START_MAXIMIZED=FALSE&amp;creator=factset&amp;display_string=Audit"}</definedName>
    <definedName name="_3903__FDSAUDITLINK__" localSheetId="7" hidden="1">{"fdsup://Directions/FactSet Auditing Viewer?action=AUDIT_VALUE&amp;DB=129&amp;ID1=48248010&amp;VALUEID=02001&amp;SDATE=200403&amp;PERIODTYPE=QTR_STD&amp;SCFT=3&amp;window=popup_no_bar&amp;width=385&amp;height=120&amp;START_MAXIMIZED=FALSE&amp;creator=factset&amp;display_string=Audit"}</definedName>
    <definedName name="_3903__FDSAUDITLINK__" hidden="1">{"fdsup://Directions/FactSet Auditing Viewer?action=AUDIT_VALUE&amp;DB=129&amp;ID1=48248010&amp;VALUEID=02001&amp;SDATE=200403&amp;PERIODTYPE=QTR_STD&amp;SCFT=3&amp;window=popup_no_bar&amp;width=385&amp;height=120&amp;START_MAXIMIZED=FALSE&amp;creator=factset&amp;display_string=Audit"}</definedName>
    <definedName name="_3904__FDSAUDITLINK__" localSheetId="7" hidden="1">{"fdsup://Directions/FactSet Auditing Viewer?action=AUDIT_VALUE&amp;DB=129&amp;ID1=48248010&amp;VALUEID=02001&amp;SDATE=200403&amp;PERIODTYPE=QTR_STD&amp;SCFT=3&amp;window=popup_no_bar&amp;width=385&amp;height=120&amp;START_MAXIMIZED=FALSE&amp;creator=factset&amp;display_string=Audit"}</definedName>
    <definedName name="_3904__FDSAUDITLINK__" hidden="1">{"fdsup://Directions/FactSet Auditing Viewer?action=AUDIT_VALUE&amp;DB=129&amp;ID1=48248010&amp;VALUEID=02001&amp;SDATE=200403&amp;PERIODTYPE=QTR_STD&amp;SCFT=3&amp;window=popup_no_bar&amp;width=385&amp;height=120&amp;START_MAXIMIZED=FALSE&amp;creator=factset&amp;display_string=Audit"}</definedName>
    <definedName name="_3905__FDSAUDITLINK__" localSheetId="7" hidden="1">{"fdsup://Directions/FactSet Auditing Viewer?action=AUDIT_VALUE&amp;DB=129&amp;ID1=48836020&amp;VALUEID=02001&amp;SDATE=200703&amp;PERIODTYPE=QTR_STD&amp;SCFT=3&amp;window=popup_no_bar&amp;width=385&amp;height=120&amp;START_MAXIMIZED=FALSE&amp;creator=factset&amp;display_string=Audit"}</definedName>
    <definedName name="_3905__FDSAUDITLINK__" hidden="1">{"fdsup://Directions/FactSet Auditing Viewer?action=AUDIT_VALUE&amp;DB=129&amp;ID1=48836020&amp;VALUEID=02001&amp;SDATE=200703&amp;PERIODTYPE=QTR_STD&amp;SCFT=3&amp;window=popup_no_bar&amp;width=385&amp;height=120&amp;START_MAXIMIZED=FALSE&amp;creator=factset&amp;display_string=Audit"}</definedName>
    <definedName name="_3906__FDSAUDITLINK__" localSheetId="7" hidden="1">{"fdsup://Directions/FactSet Auditing Viewer?action=AUDIT_VALUE&amp;DB=129&amp;ID1=48836020&amp;VALUEID=02001&amp;SDATE=200703&amp;PERIODTYPE=QTR_STD&amp;SCFT=3&amp;window=popup_no_bar&amp;width=385&amp;height=120&amp;START_MAXIMIZED=FALSE&amp;creator=factset&amp;display_string=Audit"}</definedName>
    <definedName name="_3906__FDSAUDITLINK__" hidden="1">{"fdsup://Directions/FactSet Auditing Viewer?action=AUDIT_VALUE&amp;DB=129&amp;ID1=48836020&amp;VALUEID=02001&amp;SDATE=200703&amp;PERIODTYPE=QTR_STD&amp;SCFT=3&amp;window=popup_no_bar&amp;width=385&amp;height=120&amp;START_MAXIMIZED=FALSE&amp;creator=factset&amp;display_string=Audit"}</definedName>
    <definedName name="_3907__FDSAUDITLINK__" localSheetId="7" hidden="1">{"fdsup://Directions/FactSet Auditing Viewer?action=AUDIT_VALUE&amp;DB=129&amp;ID1=48836020&amp;VALUEID=02001&amp;SDATE=200702&amp;PERIODTYPE=QTR_STD&amp;SCFT=3&amp;window=popup_no_bar&amp;width=385&amp;height=120&amp;START_MAXIMIZED=FALSE&amp;creator=factset&amp;display_string=Audit"}</definedName>
    <definedName name="_3907__FDSAUDITLINK__" hidden="1">{"fdsup://Directions/FactSet Auditing Viewer?action=AUDIT_VALUE&amp;DB=129&amp;ID1=48836020&amp;VALUEID=02001&amp;SDATE=200702&amp;PERIODTYPE=QTR_STD&amp;SCFT=3&amp;window=popup_no_bar&amp;width=385&amp;height=120&amp;START_MAXIMIZED=FALSE&amp;creator=factset&amp;display_string=Audit"}</definedName>
    <definedName name="_3908__FDSAUDITLINK__" localSheetId="7" hidden="1">{"fdsup://Directions/FactSet Auditing Viewer?action=AUDIT_VALUE&amp;DB=129&amp;ID1=48836020&amp;VALUEID=02001&amp;SDATE=200702&amp;PERIODTYPE=QTR_STD&amp;SCFT=3&amp;window=popup_no_bar&amp;width=385&amp;height=120&amp;START_MAXIMIZED=FALSE&amp;creator=factset&amp;display_string=Audit"}</definedName>
    <definedName name="_3908__FDSAUDITLINK__" hidden="1">{"fdsup://Directions/FactSet Auditing Viewer?action=AUDIT_VALUE&amp;DB=129&amp;ID1=48836020&amp;VALUEID=02001&amp;SDATE=200702&amp;PERIODTYPE=QTR_STD&amp;SCFT=3&amp;window=popup_no_bar&amp;width=385&amp;height=120&amp;START_MAXIMIZED=FALSE&amp;creator=factset&amp;display_string=Audit"}</definedName>
    <definedName name="_3909__FDSAUDITLINK__" localSheetId="7" hidden="1">{"fdsup://Directions/FactSet Auditing Viewer?action=AUDIT_VALUE&amp;DB=129&amp;ID1=48836020&amp;VALUEID=02001&amp;SDATE=200701&amp;PERIODTYPE=QTR_STD&amp;SCFT=3&amp;window=popup_no_bar&amp;width=385&amp;height=120&amp;START_MAXIMIZED=FALSE&amp;creator=factset&amp;display_string=Audit"}</definedName>
    <definedName name="_3909__FDSAUDITLINK__" hidden="1">{"fdsup://Directions/FactSet Auditing Viewer?action=AUDIT_VALUE&amp;DB=129&amp;ID1=48836020&amp;VALUEID=02001&amp;SDATE=200701&amp;PERIODTYPE=QTR_STD&amp;SCFT=3&amp;window=popup_no_bar&amp;width=385&amp;height=120&amp;START_MAXIMIZED=FALSE&amp;creator=factset&amp;display_string=Audit"}</definedName>
    <definedName name="_391__FDSAUDITLINK__" localSheetId="7" hidden="1">{"fdsup://Directions/FactSet Auditing Viewer?action=AUDIT_VALUE&amp;DB=129&amp;ID1=45814010&amp;VALUEID=02001&amp;SDATE=201003&amp;PERIODTYPE=QTR_STD&amp;SCFT=3&amp;window=popup_no_bar&amp;width=385&amp;height=120&amp;START_MAXIMIZED=FALSE&amp;creator=factset&amp;display_string=Audit"}</definedName>
    <definedName name="_391__FDSAUDITLINK__" hidden="1">{"fdsup://Directions/FactSet Auditing Viewer?action=AUDIT_VALUE&amp;DB=129&amp;ID1=45814010&amp;VALUEID=02001&amp;SDATE=201003&amp;PERIODTYPE=QTR_STD&amp;SCFT=3&amp;window=popup_no_bar&amp;width=385&amp;height=120&amp;START_MAXIMIZED=FALSE&amp;creator=factset&amp;display_string=Audit"}</definedName>
    <definedName name="_3910__FDSAUDITLINK__" localSheetId="7" hidden="1">{"fdsup://Directions/FactSet Auditing Viewer?action=AUDIT_VALUE&amp;DB=129&amp;ID1=48836020&amp;VALUEID=02001&amp;SDATE=200701&amp;PERIODTYPE=QTR_STD&amp;SCFT=3&amp;window=popup_no_bar&amp;width=385&amp;height=120&amp;START_MAXIMIZED=FALSE&amp;creator=factset&amp;display_string=Audit"}</definedName>
    <definedName name="_3910__FDSAUDITLINK__" hidden="1">{"fdsup://Directions/FactSet Auditing Viewer?action=AUDIT_VALUE&amp;DB=129&amp;ID1=48836020&amp;VALUEID=02001&amp;SDATE=200701&amp;PERIODTYPE=QTR_STD&amp;SCFT=3&amp;window=popup_no_bar&amp;width=385&amp;height=120&amp;START_MAXIMIZED=FALSE&amp;creator=factset&amp;display_string=Audit"}</definedName>
    <definedName name="_3911__FDSAUDITLINK__" localSheetId="7" hidden="1">{"fdsup://Directions/FactSet Auditing Viewer?action=AUDIT_VALUE&amp;DB=129&amp;ID1=48836020&amp;VALUEID=02001&amp;SDATE=200603&amp;PERIODTYPE=QTR_STD&amp;SCFT=3&amp;window=popup_no_bar&amp;width=385&amp;height=120&amp;START_MAXIMIZED=FALSE&amp;creator=factset&amp;display_string=Audit"}</definedName>
    <definedName name="_3911__FDSAUDITLINK__" hidden="1">{"fdsup://Directions/FactSet Auditing Viewer?action=AUDIT_VALUE&amp;DB=129&amp;ID1=48836020&amp;VALUEID=02001&amp;SDATE=200603&amp;PERIODTYPE=QTR_STD&amp;SCFT=3&amp;window=popup_no_bar&amp;width=385&amp;height=120&amp;START_MAXIMIZED=FALSE&amp;creator=factset&amp;display_string=Audit"}</definedName>
    <definedName name="_3912__FDSAUDITLINK__" localSheetId="7" hidden="1">{"fdsup://Directions/FactSet Auditing Viewer?action=AUDIT_VALUE&amp;DB=129&amp;ID1=48836020&amp;VALUEID=02001&amp;SDATE=200603&amp;PERIODTYPE=QTR_STD&amp;SCFT=3&amp;window=popup_no_bar&amp;width=385&amp;height=120&amp;START_MAXIMIZED=FALSE&amp;creator=factset&amp;display_string=Audit"}</definedName>
    <definedName name="_3912__FDSAUDITLINK__" hidden="1">{"fdsup://Directions/FactSet Auditing Viewer?action=AUDIT_VALUE&amp;DB=129&amp;ID1=48836020&amp;VALUEID=02001&amp;SDATE=200603&amp;PERIODTYPE=QTR_STD&amp;SCFT=3&amp;window=popup_no_bar&amp;width=385&amp;height=120&amp;START_MAXIMIZED=FALSE&amp;creator=factset&amp;display_string=Audit"}</definedName>
    <definedName name="_3913__FDSAUDITLINK__" localSheetId="7" hidden="1">{"fdsup://Directions/FactSet Auditing Viewer?action=AUDIT_VALUE&amp;DB=129&amp;ID1=48836020&amp;VALUEID=02001&amp;SDATE=200602&amp;PERIODTYPE=QTR_STD&amp;SCFT=3&amp;window=popup_no_bar&amp;width=385&amp;height=120&amp;START_MAXIMIZED=FALSE&amp;creator=factset&amp;display_string=Audit"}</definedName>
    <definedName name="_3913__FDSAUDITLINK__" hidden="1">{"fdsup://Directions/FactSet Auditing Viewer?action=AUDIT_VALUE&amp;DB=129&amp;ID1=48836020&amp;VALUEID=02001&amp;SDATE=200602&amp;PERIODTYPE=QTR_STD&amp;SCFT=3&amp;window=popup_no_bar&amp;width=385&amp;height=120&amp;START_MAXIMIZED=FALSE&amp;creator=factset&amp;display_string=Audit"}</definedName>
    <definedName name="_3914__FDSAUDITLINK__" localSheetId="7" hidden="1">{"fdsup://Directions/FactSet Auditing Viewer?action=AUDIT_VALUE&amp;DB=129&amp;ID1=48836020&amp;VALUEID=02001&amp;SDATE=200602&amp;PERIODTYPE=QTR_STD&amp;SCFT=3&amp;window=popup_no_bar&amp;width=385&amp;height=120&amp;START_MAXIMIZED=FALSE&amp;creator=factset&amp;display_string=Audit"}</definedName>
    <definedName name="_3914__FDSAUDITLINK__" hidden="1">{"fdsup://Directions/FactSet Auditing Viewer?action=AUDIT_VALUE&amp;DB=129&amp;ID1=48836020&amp;VALUEID=02001&amp;SDATE=200602&amp;PERIODTYPE=QTR_STD&amp;SCFT=3&amp;window=popup_no_bar&amp;width=385&amp;height=120&amp;START_MAXIMIZED=FALSE&amp;creator=factset&amp;display_string=Audit"}</definedName>
    <definedName name="_3915__FDSAUDITLINK__" localSheetId="7" hidden="1">{"fdsup://Directions/FactSet Auditing Viewer?action=AUDIT_VALUE&amp;DB=129&amp;ID1=48836020&amp;VALUEID=02001&amp;SDATE=200601&amp;PERIODTYPE=QTR_STD&amp;SCFT=3&amp;window=popup_no_bar&amp;width=385&amp;height=120&amp;START_MAXIMIZED=FALSE&amp;creator=factset&amp;display_string=Audit"}</definedName>
    <definedName name="_3915__FDSAUDITLINK__" hidden="1">{"fdsup://Directions/FactSet Auditing Viewer?action=AUDIT_VALUE&amp;DB=129&amp;ID1=48836020&amp;VALUEID=02001&amp;SDATE=200601&amp;PERIODTYPE=QTR_STD&amp;SCFT=3&amp;window=popup_no_bar&amp;width=385&amp;height=120&amp;START_MAXIMIZED=FALSE&amp;creator=factset&amp;display_string=Audit"}</definedName>
    <definedName name="_3916__FDSAUDITLINK__" localSheetId="7" hidden="1">{"fdsup://Directions/FactSet Auditing Viewer?action=AUDIT_VALUE&amp;DB=129&amp;ID1=48836020&amp;VALUEID=02001&amp;SDATE=200601&amp;PERIODTYPE=QTR_STD&amp;SCFT=3&amp;window=popup_no_bar&amp;width=385&amp;height=120&amp;START_MAXIMIZED=FALSE&amp;creator=factset&amp;display_string=Audit"}</definedName>
    <definedName name="_3916__FDSAUDITLINK__" hidden="1">{"fdsup://Directions/FactSet Auditing Viewer?action=AUDIT_VALUE&amp;DB=129&amp;ID1=48836020&amp;VALUEID=02001&amp;SDATE=200601&amp;PERIODTYPE=QTR_STD&amp;SCFT=3&amp;window=popup_no_bar&amp;width=385&amp;height=120&amp;START_MAXIMIZED=FALSE&amp;creator=factset&amp;display_string=Audit"}</definedName>
    <definedName name="_3917__FDSAUDITLINK__" localSheetId="7" hidden="1">{"fdsup://Directions/FactSet Auditing Viewer?action=AUDIT_VALUE&amp;DB=129&amp;ID1=48836020&amp;VALUEID=02001&amp;SDATE=200503&amp;PERIODTYPE=QTR_STD&amp;SCFT=3&amp;window=popup_no_bar&amp;width=385&amp;height=120&amp;START_MAXIMIZED=FALSE&amp;creator=factset&amp;display_string=Audit"}</definedName>
    <definedName name="_3917__FDSAUDITLINK__" hidden="1">{"fdsup://Directions/FactSet Auditing Viewer?action=AUDIT_VALUE&amp;DB=129&amp;ID1=48836020&amp;VALUEID=02001&amp;SDATE=200503&amp;PERIODTYPE=QTR_STD&amp;SCFT=3&amp;window=popup_no_bar&amp;width=385&amp;height=120&amp;START_MAXIMIZED=FALSE&amp;creator=factset&amp;display_string=Audit"}</definedName>
    <definedName name="_3918__FDSAUDITLINK__" localSheetId="7" hidden="1">{"fdsup://Directions/FactSet Auditing Viewer?action=AUDIT_VALUE&amp;DB=129&amp;ID1=48836020&amp;VALUEID=02001&amp;SDATE=200503&amp;PERIODTYPE=QTR_STD&amp;SCFT=3&amp;window=popup_no_bar&amp;width=385&amp;height=120&amp;START_MAXIMIZED=FALSE&amp;creator=factset&amp;display_string=Audit"}</definedName>
    <definedName name="_3918__FDSAUDITLINK__" hidden="1">{"fdsup://Directions/FactSet Auditing Viewer?action=AUDIT_VALUE&amp;DB=129&amp;ID1=48836020&amp;VALUEID=02001&amp;SDATE=200503&amp;PERIODTYPE=QTR_STD&amp;SCFT=3&amp;window=popup_no_bar&amp;width=385&amp;height=120&amp;START_MAXIMIZED=FALSE&amp;creator=factset&amp;display_string=Audit"}</definedName>
    <definedName name="_3919__FDSAUDITLINK__" localSheetId="7" hidden="1">{"fdsup://Directions/FactSet Auditing Viewer?action=AUDIT_VALUE&amp;DB=129&amp;ID1=48203R10&amp;VALUEID=02001&amp;SDATE=200801&amp;PERIODTYPE=QTR_STD&amp;SCFT=3&amp;window=popup_no_bar&amp;width=385&amp;height=120&amp;START_MAXIMIZED=FALSE&amp;creator=factset&amp;display_string=Audit"}</definedName>
    <definedName name="_3919__FDSAUDITLINK__" hidden="1">{"fdsup://Directions/FactSet Auditing Viewer?action=AUDIT_VALUE&amp;DB=129&amp;ID1=48203R10&amp;VALUEID=02001&amp;SDATE=200801&amp;PERIODTYPE=QTR_STD&amp;SCFT=3&amp;window=popup_no_bar&amp;width=385&amp;height=120&amp;START_MAXIMIZED=FALSE&amp;creator=factset&amp;display_string=Audit"}</definedName>
    <definedName name="_392__FDSAUDITLINK__" localSheetId="7" hidden="1">{"fdsup://Directions/FactSet Auditing Viewer?action=AUDIT_VALUE&amp;DB=129&amp;ID1=45814010&amp;VALUEID=02001&amp;SDATE=201003&amp;PERIODTYPE=QTR_STD&amp;SCFT=3&amp;window=popup_no_bar&amp;width=385&amp;height=120&amp;START_MAXIMIZED=FALSE&amp;creator=factset&amp;display_string=Audit"}</definedName>
    <definedName name="_392__FDSAUDITLINK__" hidden="1">{"fdsup://Directions/FactSet Auditing Viewer?action=AUDIT_VALUE&amp;DB=129&amp;ID1=45814010&amp;VALUEID=02001&amp;SDATE=201003&amp;PERIODTYPE=QTR_STD&amp;SCFT=3&amp;window=popup_no_bar&amp;width=385&amp;height=120&amp;START_MAXIMIZED=FALSE&amp;creator=factset&amp;display_string=Audit"}</definedName>
    <definedName name="_3920__FDSAUDITLINK__" localSheetId="7" hidden="1">{"fdsup://Directions/FactSet Auditing Viewer?action=AUDIT_VALUE&amp;DB=129&amp;ID1=48203R10&amp;VALUEID=02001&amp;SDATE=200801&amp;PERIODTYPE=QTR_STD&amp;SCFT=3&amp;window=popup_no_bar&amp;width=385&amp;height=120&amp;START_MAXIMIZED=FALSE&amp;creator=factset&amp;display_string=Audit"}</definedName>
    <definedName name="_3920__FDSAUDITLINK__" hidden="1">{"fdsup://Directions/FactSet Auditing Viewer?action=AUDIT_VALUE&amp;DB=129&amp;ID1=48203R10&amp;VALUEID=02001&amp;SDATE=200801&amp;PERIODTYPE=QTR_STD&amp;SCFT=3&amp;window=popup_no_bar&amp;width=385&amp;height=120&amp;START_MAXIMIZED=FALSE&amp;creator=factset&amp;display_string=Audit"}</definedName>
    <definedName name="_3921__FDSAUDITLINK__" localSheetId="7" hidden="1">{"fdsup://Directions/FactSet Auditing Viewer?action=AUDIT_VALUE&amp;DB=129&amp;ID1=48203R10&amp;VALUEID=02001&amp;SDATE=200703&amp;PERIODTYPE=QTR_STD&amp;SCFT=3&amp;window=popup_no_bar&amp;width=385&amp;height=120&amp;START_MAXIMIZED=FALSE&amp;creator=factset&amp;display_string=Audit"}</definedName>
    <definedName name="_3921__FDSAUDITLINK__" hidden="1">{"fdsup://Directions/FactSet Auditing Viewer?action=AUDIT_VALUE&amp;DB=129&amp;ID1=48203R10&amp;VALUEID=02001&amp;SDATE=200703&amp;PERIODTYPE=QTR_STD&amp;SCFT=3&amp;window=popup_no_bar&amp;width=385&amp;height=120&amp;START_MAXIMIZED=FALSE&amp;creator=factset&amp;display_string=Audit"}</definedName>
    <definedName name="_3922__FDSAUDITLINK__" localSheetId="7" hidden="1">{"fdsup://Directions/FactSet Auditing Viewer?action=AUDIT_VALUE&amp;DB=129&amp;ID1=48203R10&amp;VALUEID=02001&amp;SDATE=200703&amp;PERIODTYPE=QTR_STD&amp;SCFT=3&amp;window=popup_no_bar&amp;width=385&amp;height=120&amp;START_MAXIMIZED=FALSE&amp;creator=factset&amp;display_string=Audit"}</definedName>
    <definedName name="_3922__FDSAUDITLINK__" hidden="1">{"fdsup://Directions/FactSet Auditing Viewer?action=AUDIT_VALUE&amp;DB=129&amp;ID1=48203R10&amp;VALUEID=02001&amp;SDATE=200703&amp;PERIODTYPE=QTR_STD&amp;SCFT=3&amp;window=popup_no_bar&amp;width=385&amp;height=120&amp;START_MAXIMIZED=FALSE&amp;creator=factset&amp;display_string=Audit"}</definedName>
    <definedName name="_3923__FDSAUDITLINK__" localSheetId="7" hidden="1">{"fdsup://Directions/FactSet Auditing Viewer?action=AUDIT_VALUE&amp;DB=129&amp;ID1=48203R10&amp;VALUEID=02001&amp;SDATE=200702&amp;PERIODTYPE=QTR_STD&amp;SCFT=3&amp;window=popup_no_bar&amp;width=385&amp;height=120&amp;START_MAXIMIZED=FALSE&amp;creator=factset&amp;display_string=Audit"}</definedName>
    <definedName name="_3923__FDSAUDITLINK__" hidden="1">{"fdsup://Directions/FactSet Auditing Viewer?action=AUDIT_VALUE&amp;DB=129&amp;ID1=48203R10&amp;VALUEID=02001&amp;SDATE=200702&amp;PERIODTYPE=QTR_STD&amp;SCFT=3&amp;window=popup_no_bar&amp;width=385&amp;height=120&amp;START_MAXIMIZED=FALSE&amp;creator=factset&amp;display_string=Audit"}</definedName>
    <definedName name="_3924__FDSAUDITLINK__" localSheetId="7" hidden="1">{"fdsup://Directions/FactSet Auditing Viewer?action=AUDIT_VALUE&amp;DB=129&amp;ID1=48203R10&amp;VALUEID=02001&amp;SDATE=200702&amp;PERIODTYPE=QTR_STD&amp;SCFT=3&amp;window=popup_no_bar&amp;width=385&amp;height=120&amp;START_MAXIMIZED=FALSE&amp;creator=factset&amp;display_string=Audit"}</definedName>
    <definedName name="_3924__FDSAUDITLINK__" hidden="1">{"fdsup://Directions/FactSet Auditing Viewer?action=AUDIT_VALUE&amp;DB=129&amp;ID1=48203R10&amp;VALUEID=02001&amp;SDATE=200702&amp;PERIODTYPE=QTR_STD&amp;SCFT=3&amp;window=popup_no_bar&amp;width=385&amp;height=120&amp;START_MAXIMIZED=FALSE&amp;creator=factset&amp;display_string=Audit"}</definedName>
    <definedName name="_3925__FDSAUDITLINK__" localSheetId="7" hidden="1">{"fdsup://Directions/FactSet Auditing Viewer?action=AUDIT_VALUE&amp;DB=129&amp;ID1=48203R10&amp;VALUEID=02001&amp;SDATE=200701&amp;PERIODTYPE=QTR_STD&amp;SCFT=3&amp;window=popup_no_bar&amp;width=385&amp;height=120&amp;START_MAXIMIZED=FALSE&amp;creator=factset&amp;display_string=Audit"}</definedName>
    <definedName name="_3925__FDSAUDITLINK__" hidden="1">{"fdsup://Directions/FactSet Auditing Viewer?action=AUDIT_VALUE&amp;DB=129&amp;ID1=48203R10&amp;VALUEID=02001&amp;SDATE=200701&amp;PERIODTYPE=QTR_STD&amp;SCFT=3&amp;window=popup_no_bar&amp;width=385&amp;height=120&amp;START_MAXIMIZED=FALSE&amp;creator=factset&amp;display_string=Audit"}</definedName>
    <definedName name="_3926__FDSAUDITLINK__" localSheetId="7" hidden="1">{"fdsup://Directions/FactSet Auditing Viewer?action=AUDIT_VALUE&amp;DB=129&amp;ID1=48203R10&amp;VALUEID=02001&amp;SDATE=200701&amp;PERIODTYPE=QTR_STD&amp;SCFT=3&amp;window=popup_no_bar&amp;width=385&amp;height=120&amp;START_MAXIMIZED=FALSE&amp;creator=factset&amp;display_string=Audit"}</definedName>
    <definedName name="_3926__FDSAUDITLINK__" hidden="1">{"fdsup://Directions/FactSet Auditing Viewer?action=AUDIT_VALUE&amp;DB=129&amp;ID1=48203R10&amp;VALUEID=02001&amp;SDATE=200701&amp;PERIODTYPE=QTR_STD&amp;SCFT=3&amp;window=popup_no_bar&amp;width=385&amp;height=120&amp;START_MAXIMIZED=FALSE&amp;creator=factset&amp;display_string=Audit"}</definedName>
    <definedName name="_3927__FDSAUDITLINK__" localSheetId="7" hidden="1">{"fdsup://Directions/FactSet Auditing Viewer?action=AUDIT_VALUE&amp;DB=129&amp;ID1=48203R10&amp;VALUEID=02001&amp;SDATE=200603&amp;PERIODTYPE=QTR_STD&amp;SCFT=3&amp;window=popup_no_bar&amp;width=385&amp;height=120&amp;START_MAXIMIZED=FALSE&amp;creator=factset&amp;display_string=Audit"}</definedName>
    <definedName name="_3927__FDSAUDITLINK__" hidden="1">{"fdsup://Directions/FactSet Auditing Viewer?action=AUDIT_VALUE&amp;DB=129&amp;ID1=48203R10&amp;VALUEID=02001&amp;SDATE=200603&amp;PERIODTYPE=QTR_STD&amp;SCFT=3&amp;window=popup_no_bar&amp;width=385&amp;height=120&amp;START_MAXIMIZED=FALSE&amp;creator=factset&amp;display_string=Audit"}</definedName>
    <definedName name="_3928__FDSAUDITLINK__" localSheetId="7" hidden="1">{"fdsup://Directions/FactSet Auditing Viewer?action=AUDIT_VALUE&amp;DB=129&amp;ID1=48203R10&amp;VALUEID=02001&amp;SDATE=200603&amp;PERIODTYPE=QTR_STD&amp;SCFT=3&amp;window=popup_no_bar&amp;width=385&amp;height=120&amp;START_MAXIMIZED=FALSE&amp;creator=factset&amp;display_string=Audit"}</definedName>
    <definedName name="_3928__FDSAUDITLINK__" hidden="1">{"fdsup://Directions/FactSet Auditing Viewer?action=AUDIT_VALUE&amp;DB=129&amp;ID1=48203R10&amp;VALUEID=02001&amp;SDATE=200603&amp;PERIODTYPE=QTR_STD&amp;SCFT=3&amp;window=popup_no_bar&amp;width=385&amp;height=120&amp;START_MAXIMIZED=FALSE&amp;creator=factset&amp;display_string=Audit"}</definedName>
    <definedName name="_3929__FDSAUDITLINK__" localSheetId="7" hidden="1">{"fdsup://Directions/FactSet Auditing Viewer?action=AUDIT_VALUE&amp;DB=129&amp;ID1=48203R10&amp;VALUEID=02001&amp;SDATE=200602&amp;PERIODTYPE=QTR_STD&amp;SCFT=3&amp;window=popup_no_bar&amp;width=385&amp;height=120&amp;START_MAXIMIZED=FALSE&amp;creator=factset&amp;display_string=Audit"}</definedName>
    <definedName name="_3929__FDSAUDITLINK__" hidden="1">{"fdsup://Directions/FactSet Auditing Viewer?action=AUDIT_VALUE&amp;DB=129&amp;ID1=48203R10&amp;VALUEID=02001&amp;SDATE=200602&amp;PERIODTYPE=QTR_STD&amp;SCFT=3&amp;window=popup_no_bar&amp;width=385&amp;height=120&amp;START_MAXIMIZED=FALSE&amp;creator=factset&amp;display_string=Audit"}</definedName>
    <definedName name="_393__FDSAUDITLINK__" localSheetId="7" hidden="1">{"fdsup://Directions/FactSet Auditing Viewer?action=AUDIT_VALUE&amp;DB=129&amp;ID1=45811810&amp;VALUEID=02001&amp;SDATE=201002&amp;PERIODTYPE=QTR_STD&amp;SCFT=3&amp;window=popup_no_bar&amp;width=385&amp;height=120&amp;START_MAXIMIZED=FALSE&amp;creator=factset&amp;display_string=Audit"}</definedName>
    <definedName name="_393__FDSAUDITLINK__" hidden="1">{"fdsup://Directions/FactSet Auditing Viewer?action=AUDIT_VALUE&amp;DB=129&amp;ID1=45811810&amp;VALUEID=02001&amp;SDATE=201002&amp;PERIODTYPE=QTR_STD&amp;SCFT=3&amp;window=popup_no_bar&amp;width=385&amp;height=120&amp;START_MAXIMIZED=FALSE&amp;creator=factset&amp;display_string=Audit"}</definedName>
    <definedName name="_3930__FDSAUDITLINK__" localSheetId="7" hidden="1">{"fdsup://Directions/FactSet Auditing Viewer?action=AUDIT_VALUE&amp;DB=129&amp;ID1=48203R10&amp;VALUEID=02001&amp;SDATE=200602&amp;PERIODTYPE=QTR_STD&amp;SCFT=3&amp;window=popup_no_bar&amp;width=385&amp;height=120&amp;START_MAXIMIZED=FALSE&amp;creator=factset&amp;display_string=Audit"}</definedName>
    <definedName name="_3930__FDSAUDITLINK__" hidden="1">{"fdsup://Directions/FactSet Auditing Viewer?action=AUDIT_VALUE&amp;DB=129&amp;ID1=48203R10&amp;VALUEID=02001&amp;SDATE=200602&amp;PERIODTYPE=QTR_STD&amp;SCFT=3&amp;window=popup_no_bar&amp;width=385&amp;height=120&amp;START_MAXIMIZED=FALSE&amp;creator=factset&amp;display_string=Audit"}</definedName>
    <definedName name="_3931__FDSAUDITLINK__" localSheetId="7" hidden="1">{"fdsup://Directions/FactSet Auditing Viewer?action=AUDIT_VALUE&amp;DB=129&amp;ID1=48203R10&amp;VALUEID=02001&amp;SDATE=200601&amp;PERIODTYPE=QTR_STD&amp;SCFT=3&amp;window=popup_no_bar&amp;width=385&amp;height=120&amp;START_MAXIMIZED=FALSE&amp;creator=factset&amp;display_string=Audit"}</definedName>
    <definedName name="_3931__FDSAUDITLINK__" hidden="1">{"fdsup://Directions/FactSet Auditing Viewer?action=AUDIT_VALUE&amp;DB=129&amp;ID1=48203R10&amp;VALUEID=02001&amp;SDATE=200601&amp;PERIODTYPE=QTR_STD&amp;SCFT=3&amp;window=popup_no_bar&amp;width=385&amp;height=120&amp;START_MAXIMIZED=FALSE&amp;creator=factset&amp;display_string=Audit"}</definedName>
    <definedName name="_3932__FDSAUDITLINK__" localSheetId="7" hidden="1">{"fdsup://Directions/FactSet Auditing Viewer?action=AUDIT_VALUE&amp;DB=129&amp;ID1=48203R10&amp;VALUEID=02001&amp;SDATE=200601&amp;PERIODTYPE=QTR_STD&amp;SCFT=3&amp;window=popup_no_bar&amp;width=385&amp;height=120&amp;START_MAXIMIZED=FALSE&amp;creator=factset&amp;display_string=Audit"}</definedName>
    <definedName name="_3932__FDSAUDITLINK__" hidden="1">{"fdsup://Directions/FactSet Auditing Viewer?action=AUDIT_VALUE&amp;DB=129&amp;ID1=48203R10&amp;VALUEID=02001&amp;SDATE=200601&amp;PERIODTYPE=QTR_STD&amp;SCFT=3&amp;window=popup_no_bar&amp;width=385&amp;height=120&amp;START_MAXIMIZED=FALSE&amp;creator=factset&amp;display_string=Audit"}</definedName>
    <definedName name="_3933__FDSAUDITLINK__" localSheetId="7" hidden="1">{"fdsup://Directions/FactSet Auditing Viewer?action=AUDIT_VALUE&amp;DB=129&amp;ID1=48203R10&amp;VALUEID=02001&amp;SDATE=200503&amp;PERIODTYPE=QTR_STD&amp;SCFT=3&amp;window=popup_no_bar&amp;width=385&amp;height=120&amp;START_MAXIMIZED=FALSE&amp;creator=factset&amp;display_string=Audit"}</definedName>
    <definedName name="_3933__FDSAUDITLINK__" hidden="1">{"fdsup://Directions/FactSet Auditing Viewer?action=AUDIT_VALUE&amp;DB=129&amp;ID1=48203R10&amp;VALUEID=02001&amp;SDATE=200503&amp;PERIODTYPE=QTR_STD&amp;SCFT=3&amp;window=popup_no_bar&amp;width=385&amp;height=120&amp;START_MAXIMIZED=FALSE&amp;creator=factset&amp;display_string=Audit"}</definedName>
    <definedName name="_3934__FDSAUDITLINK__" localSheetId="7" hidden="1">{"fdsup://Directions/FactSet Auditing Viewer?action=AUDIT_VALUE&amp;DB=129&amp;ID1=48203R10&amp;VALUEID=02001&amp;SDATE=200503&amp;PERIODTYPE=QTR_STD&amp;SCFT=3&amp;window=popup_no_bar&amp;width=385&amp;height=120&amp;START_MAXIMIZED=FALSE&amp;creator=factset&amp;display_string=Audit"}</definedName>
    <definedName name="_3934__FDSAUDITLINK__" hidden="1">{"fdsup://Directions/FactSet Auditing Viewer?action=AUDIT_VALUE&amp;DB=129&amp;ID1=48203R10&amp;VALUEID=02001&amp;SDATE=200503&amp;PERIODTYPE=QTR_STD&amp;SCFT=3&amp;window=popup_no_bar&amp;width=385&amp;height=120&amp;START_MAXIMIZED=FALSE&amp;creator=factset&amp;display_string=Audit"}</definedName>
    <definedName name="_3935__FDSAUDITLINK__" localSheetId="7" hidden="1">{"fdsup://Directions/FactSet Auditing Viewer?action=AUDIT_VALUE&amp;DB=129&amp;ID1=48203R10&amp;VALUEID=02001&amp;SDATE=200502&amp;PERIODTYPE=QTR_STD&amp;SCFT=3&amp;window=popup_no_bar&amp;width=385&amp;height=120&amp;START_MAXIMIZED=FALSE&amp;creator=factset&amp;display_string=Audit"}</definedName>
    <definedName name="_3935__FDSAUDITLINK__" hidden="1">{"fdsup://Directions/FactSet Auditing Viewer?action=AUDIT_VALUE&amp;DB=129&amp;ID1=48203R10&amp;VALUEID=02001&amp;SDATE=200502&amp;PERIODTYPE=QTR_STD&amp;SCFT=3&amp;window=popup_no_bar&amp;width=385&amp;height=120&amp;START_MAXIMIZED=FALSE&amp;creator=factset&amp;display_string=Audit"}</definedName>
    <definedName name="_3936__FDSAUDITLINK__" localSheetId="7" hidden="1">{"fdsup://Directions/FactSet Auditing Viewer?action=AUDIT_VALUE&amp;DB=129&amp;ID1=48203R10&amp;VALUEID=02001&amp;SDATE=200502&amp;PERIODTYPE=QTR_STD&amp;SCFT=3&amp;window=popup_no_bar&amp;width=385&amp;height=120&amp;START_MAXIMIZED=FALSE&amp;creator=factset&amp;display_string=Audit"}</definedName>
    <definedName name="_3936__FDSAUDITLINK__" hidden="1">{"fdsup://Directions/FactSet Auditing Viewer?action=AUDIT_VALUE&amp;DB=129&amp;ID1=48203R10&amp;VALUEID=02001&amp;SDATE=200502&amp;PERIODTYPE=QTR_STD&amp;SCFT=3&amp;window=popup_no_bar&amp;width=385&amp;height=120&amp;START_MAXIMIZED=FALSE&amp;creator=factset&amp;display_string=Audit"}</definedName>
    <definedName name="_3937__FDSAUDITLINK__" localSheetId="7" hidden="1">{"fdsup://Directions/FactSet Auditing Viewer?action=AUDIT_VALUE&amp;DB=129&amp;ID1=48203R10&amp;VALUEID=02001&amp;SDATE=200501&amp;PERIODTYPE=QTR_STD&amp;SCFT=3&amp;window=popup_no_bar&amp;width=385&amp;height=120&amp;START_MAXIMIZED=FALSE&amp;creator=factset&amp;display_string=Audit"}</definedName>
    <definedName name="_3937__FDSAUDITLINK__" hidden="1">{"fdsup://Directions/FactSet Auditing Viewer?action=AUDIT_VALUE&amp;DB=129&amp;ID1=48203R10&amp;VALUEID=02001&amp;SDATE=200501&amp;PERIODTYPE=QTR_STD&amp;SCFT=3&amp;window=popup_no_bar&amp;width=385&amp;height=120&amp;START_MAXIMIZED=FALSE&amp;creator=factset&amp;display_string=Audit"}</definedName>
    <definedName name="_3938__FDSAUDITLINK__" localSheetId="7" hidden="1">{"fdsup://Directions/FactSet Auditing Viewer?action=AUDIT_VALUE&amp;DB=129&amp;ID1=48203R10&amp;VALUEID=02001&amp;SDATE=200501&amp;PERIODTYPE=QTR_STD&amp;SCFT=3&amp;window=popup_no_bar&amp;width=385&amp;height=120&amp;START_MAXIMIZED=FALSE&amp;creator=factset&amp;display_string=Audit"}</definedName>
    <definedName name="_3938__FDSAUDITLINK__" hidden="1">{"fdsup://Directions/FactSet Auditing Viewer?action=AUDIT_VALUE&amp;DB=129&amp;ID1=48203R10&amp;VALUEID=02001&amp;SDATE=200501&amp;PERIODTYPE=QTR_STD&amp;SCFT=3&amp;window=popup_no_bar&amp;width=385&amp;height=120&amp;START_MAXIMIZED=FALSE&amp;creator=factset&amp;display_string=Audit"}</definedName>
    <definedName name="_3939__FDSAUDITLINK__" localSheetId="7" hidden="1">{"fdsup://Directions/FactSet Auditing Viewer?action=AUDIT_VALUE&amp;DB=129&amp;ID1=48203R10&amp;VALUEID=02001&amp;SDATE=200403&amp;PERIODTYPE=QTR_STD&amp;SCFT=3&amp;window=popup_no_bar&amp;width=385&amp;height=120&amp;START_MAXIMIZED=FALSE&amp;creator=factset&amp;display_string=Audit"}</definedName>
    <definedName name="_3939__FDSAUDITLINK__" hidden="1">{"fdsup://Directions/FactSet Auditing Viewer?action=AUDIT_VALUE&amp;DB=129&amp;ID1=48203R10&amp;VALUEID=02001&amp;SDATE=200403&amp;PERIODTYPE=QTR_STD&amp;SCFT=3&amp;window=popup_no_bar&amp;width=385&amp;height=120&amp;START_MAXIMIZED=FALSE&amp;creator=factset&amp;display_string=Audit"}</definedName>
    <definedName name="_394__FDSAUDITLINK__" localSheetId="7" hidden="1">{"fdsup://Directions/FactSet Auditing Viewer?action=AUDIT_VALUE&amp;DB=129&amp;ID1=45811810&amp;VALUEID=02001&amp;SDATE=201002&amp;PERIODTYPE=QTR_STD&amp;SCFT=3&amp;window=popup_no_bar&amp;width=385&amp;height=120&amp;START_MAXIMIZED=FALSE&amp;creator=factset&amp;display_string=Audit"}</definedName>
    <definedName name="_394__FDSAUDITLINK__" hidden="1">{"fdsup://Directions/FactSet Auditing Viewer?action=AUDIT_VALUE&amp;DB=129&amp;ID1=45811810&amp;VALUEID=02001&amp;SDATE=201002&amp;PERIODTYPE=QTR_STD&amp;SCFT=3&amp;window=popup_no_bar&amp;width=385&amp;height=120&amp;START_MAXIMIZED=FALSE&amp;creator=factset&amp;display_string=Audit"}</definedName>
    <definedName name="_3940__FDSAUDITLINK__" localSheetId="7" hidden="1">{"fdsup://Directions/FactSet Auditing Viewer?action=AUDIT_VALUE&amp;DB=129&amp;ID1=48203R10&amp;VALUEID=02001&amp;SDATE=200403&amp;PERIODTYPE=QTR_STD&amp;SCFT=3&amp;window=popup_no_bar&amp;width=385&amp;height=120&amp;START_MAXIMIZED=FALSE&amp;creator=factset&amp;display_string=Audit"}</definedName>
    <definedName name="_3940__FDSAUDITLINK__" hidden="1">{"fdsup://Directions/FactSet Auditing Viewer?action=AUDIT_VALUE&amp;DB=129&amp;ID1=48203R10&amp;VALUEID=02001&amp;SDATE=200403&amp;PERIODTYPE=QTR_STD&amp;SCFT=3&amp;window=popup_no_bar&amp;width=385&amp;height=120&amp;START_MAXIMIZED=FALSE&amp;creator=factset&amp;display_string=Audit"}</definedName>
    <definedName name="_3941__FDSAUDITLINK__" localSheetId="7" hidden="1">{"fdsup://Directions/FactSet Auditing Viewer?action=AUDIT_VALUE&amp;DB=129&amp;ID1=48203R10&amp;VALUEID=02001&amp;SDATE=200402&amp;PERIODTYPE=QTR_STD&amp;SCFT=3&amp;window=popup_no_bar&amp;width=385&amp;height=120&amp;START_MAXIMIZED=FALSE&amp;creator=factset&amp;display_string=Audit"}</definedName>
    <definedName name="_3941__FDSAUDITLINK__" hidden="1">{"fdsup://Directions/FactSet Auditing Viewer?action=AUDIT_VALUE&amp;DB=129&amp;ID1=48203R10&amp;VALUEID=02001&amp;SDATE=200402&amp;PERIODTYPE=QTR_STD&amp;SCFT=3&amp;window=popup_no_bar&amp;width=385&amp;height=120&amp;START_MAXIMIZED=FALSE&amp;creator=factset&amp;display_string=Audit"}</definedName>
    <definedName name="_3942__FDSAUDITLINK__" localSheetId="7" hidden="1">{"fdsup://Directions/FactSet Auditing Viewer?action=AUDIT_VALUE&amp;DB=129&amp;ID1=48203R10&amp;VALUEID=02001&amp;SDATE=200402&amp;PERIODTYPE=QTR_STD&amp;SCFT=3&amp;window=popup_no_bar&amp;width=385&amp;height=120&amp;START_MAXIMIZED=FALSE&amp;creator=factset&amp;display_string=Audit"}</definedName>
    <definedName name="_3942__FDSAUDITLINK__" hidden="1">{"fdsup://Directions/FactSet Auditing Viewer?action=AUDIT_VALUE&amp;DB=129&amp;ID1=48203R10&amp;VALUEID=02001&amp;SDATE=200402&amp;PERIODTYPE=QTR_STD&amp;SCFT=3&amp;window=popup_no_bar&amp;width=385&amp;height=120&amp;START_MAXIMIZED=FALSE&amp;creator=factset&amp;display_string=Audit"}</definedName>
    <definedName name="_3943__FDSAUDITLINK__" localSheetId="7" hidden="1">{"fdsup://Directions/FactSet Auditing Viewer?action=AUDIT_VALUE&amp;DB=129&amp;ID1=48203R10&amp;VALUEID=02001&amp;SDATE=200401&amp;PERIODTYPE=QTR_STD&amp;SCFT=3&amp;window=popup_no_bar&amp;width=385&amp;height=120&amp;START_MAXIMIZED=FALSE&amp;creator=factset&amp;display_string=Audit"}</definedName>
    <definedName name="_3943__FDSAUDITLINK__" hidden="1">{"fdsup://Directions/FactSet Auditing Viewer?action=AUDIT_VALUE&amp;DB=129&amp;ID1=48203R10&amp;VALUEID=02001&amp;SDATE=200401&amp;PERIODTYPE=QTR_STD&amp;SCFT=3&amp;window=popup_no_bar&amp;width=385&amp;height=120&amp;START_MAXIMIZED=FALSE&amp;creator=factset&amp;display_string=Audit"}</definedName>
    <definedName name="_3944__FDSAUDITLINK__" localSheetId="7" hidden="1">{"fdsup://Directions/FactSet Auditing Viewer?action=AUDIT_VALUE&amp;DB=129&amp;ID1=48203R10&amp;VALUEID=02001&amp;SDATE=200401&amp;PERIODTYPE=QTR_STD&amp;SCFT=3&amp;window=popup_no_bar&amp;width=385&amp;height=120&amp;START_MAXIMIZED=FALSE&amp;creator=factset&amp;display_string=Audit"}</definedName>
    <definedName name="_3944__FDSAUDITLINK__" hidden="1">{"fdsup://Directions/FactSet Auditing Viewer?action=AUDIT_VALUE&amp;DB=129&amp;ID1=48203R10&amp;VALUEID=02001&amp;SDATE=200401&amp;PERIODTYPE=QTR_STD&amp;SCFT=3&amp;window=popup_no_bar&amp;width=385&amp;height=120&amp;START_MAXIMIZED=FALSE&amp;creator=factset&amp;display_string=Audit"}</definedName>
    <definedName name="_3945__FDSAUDITLINK__" localSheetId="7" hidden="1">{"fdsup://Directions/FactSet Auditing Viewer?action=AUDIT_VALUE&amp;DB=129&amp;ID1=86681020&amp;VALUEID=02001&amp;SDATE=200803&amp;PERIODTYPE=QTR_STD&amp;SCFT=3&amp;window=popup_no_bar&amp;width=385&amp;height=120&amp;START_MAXIMIZED=FALSE&amp;creator=factset&amp;display_string=Audit"}</definedName>
    <definedName name="_3945__FDSAUDITLINK__" hidden="1">{"fdsup://Directions/FactSet Auditing Viewer?action=AUDIT_VALUE&amp;DB=129&amp;ID1=86681020&amp;VALUEID=02001&amp;SDATE=200803&amp;PERIODTYPE=QTR_STD&amp;SCFT=3&amp;window=popup_no_bar&amp;width=385&amp;height=120&amp;START_MAXIMIZED=FALSE&amp;creator=factset&amp;display_string=Audit"}</definedName>
    <definedName name="_3946__FDSAUDITLINK__" localSheetId="7" hidden="1">{"fdsup://Directions/FactSet Auditing Viewer?action=AUDIT_VALUE&amp;DB=129&amp;ID1=86681020&amp;VALUEID=02001&amp;SDATE=200803&amp;PERIODTYPE=QTR_STD&amp;SCFT=3&amp;window=popup_no_bar&amp;width=385&amp;height=120&amp;START_MAXIMIZED=FALSE&amp;creator=factset&amp;display_string=Audit"}</definedName>
    <definedName name="_3946__FDSAUDITLINK__" hidden="1">{"fdsup://Directions/FactSet Auditing Viewer?action=AUDIT_VALUE&amp;DB=129&amp;ID1=86681020&amp;VALUEID=02001&amp;SDATE=200803&amp;PERIODTYPE=QTR_STD&amp;SCFT=3&amp;window=popup_no_bar&amp;width=385&amp;height=120&amp;START_MAXIMIZED=FALSE&amp;creator=factset&amp;display_string=Audit"}</definedName>
    <definedName name="_3947__FDSAUDITLINK__" localSheetId="7" hidden="1">{"fdsup://Directions/FactSet Auditing Viewer?action=AUDIT_VALUE&amp;DB=129&amp;ID1=86681020&amp;VALUEID=02001&amp;SDATE=200802&amp;PERIODTYPE=QTR_STD&amp;SCFT=3&amp;window=popup_no_bar&amp;width=385&amp;height=120&amp;START_MAXIMIZED=FALSE&amp;creator=factset&amp;display_string=Audit"}</definedName>
    <definedName name="_3947__FDSAUDITLINK__" hidden="1">{"fdsup://Directions/FactSet Auditing Viewer?action=AUDIT_VALUE&amp;DB=129&amp;ID1=86681020&amp;VALUEID=02001&amp;SDATE=200802&amp;PERIODTYPE=QTR_STD&amp;SCFT=3&amp;window=popup_no_bar&amp;width=385&amp;height=120&amp;START_MAXIMIZED=FALSE&amp;creator=factset&amp;display_string=Audit"}</definedName>
    <definedName name="_3948__FDSAUDITLINK__" localSheetId="7" hidden="1">{"fdsup://Directions/FactSet Auditing Viewer?action=AUDIT_VALUE&amp;DB=129&amp;ID1=86681020&amp;VALUEID=02001&amp;SDATE=200802&amp;PERIODTYPE=QTR_STD&amp;SCFT=3&amp;window=popup_no_bar&amp;width=385&amp;height=120&amp;START_MAXIMIZED=FALSE&amp;creator=factset&amp;display_string=Audit"}</definedName>
    <definedName name="_3948__FDSAUDITLINK__" hidden="1">{"fdsup://Directions/FactSet Auditing Viewer?action=AUDIT_VALUE&amp;DB=129&amp;ID1=86681020&amp;VALUEID=02001&amp;SDATE=200802&amp;PERIODTYPE=QTR_STD&amp;SCFT=3&amp;window=popup_no_bar&amp;width=385&amp;height=120&amp;START_MAXIMIZED=FALSE&amp;creator=factset&amp;display_string=Audit"}</definedName>
    <definedName name="_3949__FDSAUDITLINK__" localSheetId="7" hidden="1">{"fdsup://Directions/FactSet Auditing Viewer?action=AUDIT_VALUE&amp;DB=129&amp;ID1=86681020&amp;VALUEID=02001&amp;SDATE=200801&amp;PERIODTYPE=QTR_STD&amp;SCFT=3&amp;window=popup_no_bar&amp;width=385&amp;height=120&amp;START_MAXIMIZED=FALSE&amp;creator=factset&amp;display_string=Audit"}</definedName>
    <definedName name="_3949__FDSAUDITLINK__" hidden="1">{"fdsup://Directions/FactSet Auditing Viewer?action=AUDIT_VALUE&amp;DB=129&amp;ID1=86681020&amp;VALUEID=02001&amp;SDATE=200801&amp;PERIODTYPE=QTR_STD&amp;SCFT=3&amp;window=popup_no_bar&amp;width=385&amp;height=120&amp;START_MAXIMIZED=FALSE&amp;creator=factset&amp;display_string=Audit"}</definedName>
    <definedName name="_395__FDSAUDITLINK__" localSheetId="7" hidden="1">{"fdsup://Directions/FactSet Auditing Viewer?action=AUDIT_VALUE&amp;DB=129&amp;ID1=42823610&amp;VALUEID=02001&amp;SDATE=201004&amp;PERIODTYPE=QTR_STD&amp;SCFT=3&amp;window=popup_no_bar&amp;width=385&amp;height=120&amp;START_MAXIMIZED=FALSE&amp;creator=factset&amp;display_string=Audit"}</definedName>
    <definedName name="_395__FDSAUDITLINK__" hidden="1">{"fdsup://Directions/FactSet Auditing Viewer?action=AUDIT_VALUE&amp;DB=129&amp;ID1=42823610&amp;VALUEID=02001&amp;SDATE=201004&amp;PERIODTYPE=QTR_STD&amp;SCFT=3&amp;window=popup_no_bar&amp;width=385&amp;height=120&amp;START_MAXIMIZED=FALSE&amp;creator=factset&amp;display_string=Audit"}</definedName>
    <definedName name="_3950__FDSAUDITLINK__" localSheetId="7" hidden="1">{"fdsup://Directions/FactSet Auditing Viewer?action=AUDIT_VALUE&amp;DB=129&amp;ID1=86681020&amp;VALUEID=02001&amp;SDATE=200801&amp;PERIODTYPE=QTR_STD&amp;SCFT=3&amp;window=popup_no_bar&amp;width=385&amp;height=120&amp;START_MAXIMIZED=FALSE&amp;creator=factset&amp;display_string=Audit"}</definedName>
    <definedName name="_3950__FDSAUDITLINK__" hidden="1">{"fdsup://Directions/FactSet Auditing Viewer?action=AUDIT_VALUE&amp;DB=129&amp;ID1=86681020&amp;VALUEID=02001&amp;SDATE=200801&amp;PERIODTYPE=QTR_STD&amp;SCFT=3&amp;window=popup_no_bar&amp;width=385&amp;height=120&amp;START_MAXIMIZED=FALSE&amp;creator=factset&amp;display_string=Audit"}</definedName>
    <definedName name="_3951__FDSAUDITLINK__" localSheetId="7" hidden="1">{"fdsup://Directions/FactSet Auditing Viewer?action=AUDIT_VALUE&amp;DB=129&amp;ID1=86681020&amp;VALUEID=02001&amp;SDATE=200703&amp;PERIODTYPE=QTR_STD&amp;SCFT=3&amp;window=popup_no_bar&amp;width=385&amp;height=120&amp;START_MAXIMIZED=FALSE&amp;creator=factset&amp;display_string=Audit"}</definedName>
    <definedName name="_3951__FDSAUDITLINK__" hidden="1">{"fdsup://Directions/FactSet Auditing Viewer?action=AUDIT_VALUE&amp;DB=129&amp;ID1=86681020&amp;VALUEID=02001&amp;SDATE=200703&amp;PERIODTYPE=QTR_STD&amp;SCFT=3&amp;window=popup_no_bar&amp;width=385&amp;height=120&amp;START_MAXIMIZED=FALSE&amp;creator=factset&amp;display_string=Audit"}</definedName>
    <definedName name="_3952__FDSAUDITLINK__" localSheetId="7" hidden="1">{"fdsup://Directions/FactSet Auditing Viewer?action=AUDIT_VALUE&amp;DB=129&amp;ID1=86681020&amp;VALUEID=02001&amp;SDATE=200703&amp;PERIODTYPE=QTR_STD&amp;SCFT=3&amp;window=popup_no_bar&amp;width=385&amp;height=120&amp;START_MAXIMIZED=FALSE&amp;creator=factset&amp;display_string=Audit"}</definedName>
    <definedName name="_3952__FDSAUDITLINK__" hidden="1">{"fdsup://Directions/FactSet Auditing Viewer?action=AUDIT_VALUE&amp;DB=129&amp;ID1=86681020&amp;VALUEID=02001&amp;SDATE=200703&amp;PERIODTYPE=QTR_STD&amp;SCFT=3&amp;window=popup_no_bar&amp;width=385&amp;height=120&amp;START_MAXIMIZED=FALSE&amp;creator=factset&amp;display_string=Audit"}</definedName>
    <definedName name="_3953__FDSAUDITLINK__" localSheetId="7" hidden="1">{"fdsup://Directions/FactSet Auditing Viewer?action=AUDIT_VALUE&amp;DB=129&amp;ID1=86681020&amp;VALUEID=02001&amp;SDATE=200702&amp;PERIODTYPE=QTR_STD&amp;SCFT=3&amp;window=popup_no_bar&amp;width=385&amp;height=120&amp;START_MAXIMIZED=FALSE&amp;creator=factset&amp;display_string=Audit"}</definedName>
    <definedName name="_3953__FDSAUDITLINK__" hidden="1">{"fdsup://Directions/FactSet Auditing Viewer?action=AUDIT_VALUE&amp;DB=129&amp;ID1=86681020&amp;VALUEID=02001&amp;SDATE=200702&amp;PERIODTYPE=QTR_STD&amp;SCFT=3&amp;window=popup_no_bar&amp;width=385&amp;height=120&amp;START_MAXIMIZED=FALSE&amp;creator=factset&amp;display_string=Audit"}</definedName>
    <definedName name="_3954__FDSAUDITLINK__" localSheetId="7" hidden="1">{"fdsup://Directions/FactSet Auditing Viewer?action=AUDIT_VALUE&amp;DB=129&amp;ID1=86681020&amp;VALUEID=02001&amp;SDATE=200702&amp;PERIODTYPE=QTR_STD&amp;SCFT=3&amp;window=popup_no_bar&amp;width=385&amp;height=120&amp;START_MAXIMIZED=FALSE&amp;creator=factset&amp;display_string=Audit"}</definedName>
    <definedName name="_3954__FDSAUDITLINK__" hidden="1">{"fdsup://Directions/FactSet Auditing Viewer?action=AUDIT_VALUE&amp;DB=129&amp;ID1=86681020&amp;VALUEID=02001&amp;SDATE=200702&amp;PERIODTYPE=QTR_STD&amp;SCFT=3&amp;window=popup_no_bar&amp;width=385&amp;height=120&amp;START_MAXIMIZED=FALSE&amp;creator=factset&amp;display_string=Audit"}</definedName>
    <definedName name="_3955__FDSAUDITLINK__" localSheetId="7" hidden="1">{"fdsup://Directions/FactSet Auditing Viewer?action=AUDIT_VALUE&amp;DB=129&amp;ID1=86681020&amp;VALUEID=02001&amp;SDATE=200701&amp;PERIODTYPE=QTR_STD&amp;SCFT=3&amp;window=popup_no_bar&amp;width=385&amp;height=120&amp;START_MAXIMIZED=FALSE&amp;creator=factset&amp;display_string=Audit"}</definedName>
    <definedName name="_3955__FDSAUDITLINK__" hidden="1">{"fdsup://Directions/FactSet Auditing Viewer?action=AUDIT_VALUE&amp;DB=129&amp;ID1=86681020&amp;VALUEID=02001&amp;SDATE=200701&amp;PERIODTYPE=QTR_STD&amp;SCFT=3&amp;window=popup_no_bar&amp;width=385&amp;height=120&amp;START_MAXIMIZED=FALSE&amp;creator=factset&amp;display_string=Audit"}</definedName>
    <definedName name="_3956__FDSAUDITLINK__" localSheetId="7" hidden="1">{"fdsup://Directions/FactSet Auditing Viewer?action=AUDIT_VALUE&amp;DB=129&amp;ID1=86681020&amp;VALUEID=02001&amp;SDATE=200701&amp;PERIODTYPE=QTR_STD&amp;SCFT=3&amp;window=popup_no_bar&amp;width=385&amp;height=120&amp;START_MAXIMIZED=FALSE&amp;creator=factset&amp;display_string=Audit"}</definedName>
    <definedName name="_3956__FDSAUDITLINK__" hidden="1">{"fdsup://Directions/FactSet Auditing Viewer?action=AUDIT_VALUE&amp;DB=129&amp;ID1=86681020&amp;VALUEID=02001&amp;SDATE=200701&amp;PERIODTYPE=QTR_STD&amp;SCFT=3&amp;window=popup_no_bar&amp;width=385&amp;height=120&amp;START_MAXIMIZED=FALSE&amp;creator=factset&amp;display_string=Audit"}</definedName>
    <definedName name="_3957__FDSAUDITLINK__" localSheetId="7" hidden="1">{"fdsup://Directions/FactSet Auditing Viewer?action=AUDIT_VALUE&amp;DB=129&amp;ID1=86681020&amp;VALUEID=02001&amp;SDATE=200603&amp;PERIODTYPE=QTR_STD&amp;SCFT=3&amp;window=popup_no_bar&amp;width=385&amp;height=120&amp;START_MAXIMIZED=FALSE&amp;creator=factset&amp;display_string=Audit"}</definedName>
    <definedName name="_3957__FDSAUDITLINK__" hidden="1">{"fdsup://Directions/FactSet Auditing Viewer?action=AUDIT_VALUE&amp;DB=129&amp;ID1=86681020&amp;VALUEID=02001&amp;SDATE=200603&amp;PERIODTYPE=QTR_STD&amp;SCFT=3&amp;window=popup_no_bar&amp;width=385&amp;height=120&amp;START_MAXIMIZED=FALSE&amp;creator=factset&amp;display_string=Audit"}</definedName>
    <definedName name="_3958__FDSAUDITLINK__" localSheetId="7" hidden="1">{"fdsup://Directions/FactSet Auditing Viewer?action=AUDIT_VALUE&amp;DB=129&amp;ID1=86681020&amp;VALUEID=02001&amp;SDATE=200603&amp;PERIODTYPE=QTR_STD&amp;SCFT=3&amp;window=popup_no_bar&amp;width=385&amp;height=120&amp;START_MAXIMIZED=FALSE&amp;creator=factset&amp;display_string=Audit"}</definedName>
    <definedName name="_3958__FDSAUDITLINK__" hidden="1">{"fdsup://Directions/FactSet Auditing Viewer?action=AUDIT_VALUE&amp;DB=129&amp;ID1=86681020&amp;VALUEID=02001&amp;SDATE=200603&amp;PERIODTYPE=QTR_STD&amp;SCFT=3&amp;window=popup_no_bar&amp;width=385&amp;height=120&amp;START_MAXIMIZED=FALSE&amp;creator=factset&amp;display_string=Audit"}</definedName>
    <definedName name="_3959__FDSAUDITLINK__" localSheetId="7" hidden="1">{"fdsup://Directions/FactSet Auditing Viewer?action=AUDIT_VALUE&amp;DB=129&amp;ID1=86681020&amp;VALUEID=02001&amp;SDATE=200602&amp;PERIODTYPE=QTR_STD&amp;SCFT=3&amp;window=popup_no_bar&amp;width=385&amp;height=120&amp;START_MAXIMIZED=FALSE&amp;creator=factset&amp;display_string=Audit"}</definedName>
    <definedName name="_3959__FDSAUDITLINK__" hidden="1">{"fdsup://Directions/FactSet Auditing Viewer?action=AUDIT_VALUE&amp;DB=129&amp;ID1=86681020&amp;VALUEID=02001&amp;SDATE=200602&amp;PERIODTYPE=QTR_STD&amp;SCFT=3&amp;window=popup_no_bar&amp;width=385&amp;height=120&amp;START_MAXIMIZED=FALSE&amp;creator=factset&amp;display_string=Audit"}</definedName>
    <definedName name="_396__FDSAUDITLINK__" localSheetId="7" hidden="1">{"fdsup://Directions/FactSet Auditing Viewer?action=AUDIT_VALUE&amp;DB=129&amp;ID1=42823610&amp;VALUEID=02001&amp;SDATE=201004&amp;PERIODTYPE=QTR_STD&amp;SCFT=3&amp;window=popup_no_bar&amp;width=385&amp;height=120&amp;START_MAXIMIZED=FALSE&amp;creator=factset&amp;display_string=Audit"}</definedName>
    <definedName name="_396__FDSAUDITLINK__" hidden="1">{"fdsup://Directions/FactSet Auditing Viewer?action=AUDIT_VALUE&amp;DB=129&amp;ID1=42823610&amp;VALUEID=02001&amp;SDATE=201004&amp;PERIODTYPE=QTR_STD&amp;SCFT=3&amp;window=popup_no_bar&amp;width=385&amp;height=120&amp;START_MAXIMIZED=FALSE&amp;creator=factset&amp;display_string=Audit"}</definedName>
    <definedName name="_3960__FDSAUDITLINK__" localSheetId="7" hidden="1">{"fdsup://Directions/FactSet Auditing Viewer?action=AUDIT_VALUE&amp;DB=129&amp;ID1=86681020&amp;VALUEID=02001&amp;SDATE=200602&amp;PERIODTYPE=QTR_STD&amp;SCFT=3&amp;window=popup_no_bar&amp;width=385&amp;height=120&amp;START_MAXIMIZED=FALSE&amp;creator=factset&amp;display_string=Audit"}</definedName>
    <definedName name="_3960__FDSAUDITLINK__" hidden="1">{"fdsup://Directions/FactSet Auditing Viewer?action=AUDIT_VALUE&amp;DB=129&amp;ID1=86681020&amp;VALUEID=02001&amp;SDATE=200602&amp;PERIODTYPE=QTR_STD&amp;SCFT=3&amp;window=popup_no_bar&amp;width=385&amp;height=120&amp;START_MAXIMIZED=FALSE&amp;creator=factset&amp;display_string=Audit"}</definedName>
    <definedName name="_3961__FDSAUDITLINK__" localSheetId="7" hidden="1">{"fdsup://Directions/FactSet Auditing Viewer?action=AUDIT_VALUE&amp;DB=129&amp;ID1=86681020&amp;VALUEID=02001&amp;SDATE=200601&amp;PERIODTYPE=QTR_STD&amp;SCFT=3&amp;window=popup_no_bar&amp;width=385&amp;height=120&amp;START_MAXIMIZED=FALSE&amp;creator=factset&amp;display_string=Audit"}</definedName>
    <definedName name="_3961__FDSAUDITLINK__" hidden="1">{"fdsup://Directions/FactSet Auditing Viewer?action=AUDIT_VALUE&amp;DB=129&amp;ID1=86681020&amp;VALUEID=02001&amp;SDATE=200601&amp;PERIODTYPE=QTR_STD&amp;SCFT=3&amp;window=popup_no_bar&amp;width=385&amp;height=120&amp;START_MAXIMIZED=FALSE&amp;creator=factset&amp;display_string=Audit"}</definedName>
    <definedName name="_3962__FDSAUDITLINK__" localSheetId="7" hidden="1">{"fdsup://Directions/FactSet Auditing Viewer?action=AUDIT_VALUE&amp;DB=129&amp;ID1=86681020&amp;VALUEID=02001&amp;SDATE=200601&amp;PERIODTYPE=QTR_STD&amp;SCFT=3&amp;window=popup_no_bar&amp;width=385&amp;height=120&amp;START_MAXIMIZED=FALSE&amp;creator=factset&amp;display_string=Audit"}</definedName>
    <definedName name="_3962__FDSAUDITLINK__" hidden="1">{"fdsup://Directions/FactSet Auditing Viewer?action=AUDIT_VALUE&amp;DB=129&amp;ID1=86681020&amp;VALUEID=02001&amp;SDATE=200601&amp;PERIODTYPE=QTR_STD&amp;SCFT=3&amp;window=popup_no_bar&amp;width=385&amp;height=120&amp;START_MAXIMIZED=FALSE&amp;creator=factset&amp;display_string=Audit"}</definedName>
    <definedName name="_3963__FDSAUDITLINK__" localSheetId="7" hidden="1">{"fdsup://Directions/FactSet Auditing Viewer?action=AUDIT_VALUE&amp;DB=129&amp;ID1=86681020&amp;VALUEID=02001&amp;SDATE=200503&amp;PERIODTYPE=QTR_STD&amp;SCFT=3&amp;window=popup_no_bar&amp;width=385&amp;height=120&amp;START_MAXIMIZED=FALSE&amp;creator=factset&amp;display_string=Audit"}</definedName>
    <definedName name="_3963__FDSAUDITLINK__" hidden="1">{"fdsup://Directions/FactSet Auditing Viewer?action=AUDIT_VALUE&amp;DB=129&amp;ID1=86681020&amp;VALUEID=02001&amp;SDATE=200503&amp;PERIODTYPE=QTR_STD&amp;SCFT=3&amp;window=popup_no_bar&amp;width=385&amp;height=120&amp;START_MAXIMIZED=FALSE&amp;creator=factset&amp;display_string=Audit"}</definedName>
    <definedName name="_3964__FDSAUDITLINK__" localSheetId="7" hidden="1">{"fdsup://Directions/FactSet Auditing Viewer?action=AUDIT_VALUE&amp;DB=129&amp;ID1=86681020&amp;VALUEID=02001&amp;SDATE=200503&amp;PERIODTYPE=QTR_STD&amp;SCFT=3&amp;window=popup_no_bar&amp;width=385&amp;height=120&amp;START_MAXIMIZED=FALSE&amp;creator=factset&amp;display_string=Audit"}</definedName>
    <definedName name="_3964__FDSAUDITLINK__" hidden="1">{"fdsup://Directions/FactSet Auditing Viewer?action=AUDIT_VALUE&amp;DB=129&amp;ID1=86681020&amp;VALUEID=02001&amp;SDATE=200503&amp;PERIODTYPE=QTR_STD&amp;SCFT=3&amp;window=popup_no_bar&amp;width=385&amp;height=120&amp;START_MAXIMIZED=FALSE&amp;creator=factset&amp;display_string=Audit"}</definedName>
    <definedName name="_3965__FDSAUDITLINK__" localSheetId="7" hidden="1">{"fdsup://Directions/FactSet Auditing Viewer?action=AUDIT_VALUE&amp;DB=129&amp;ID1=86681020&amp;VALUEID=02001&amp;SDATE=200502&amp;PERIODTYPE=QTR_STD&amp;SCFT=3&amp;window=popup_no_bar&amp;width=385&amp;height=120&amp;START_MAXIMIZED=FALSE&amp;creator=factset&amp;display_string=Audit"}</definedName>
    <definedName name="_3965__FDSAUDITLINK__" hidden="1">{"fdsup://Directions/FactSet Auditing Viewer?action=AUDIT_VALUE&amp;DB=129&amp;ID1=86681020&amp;VALUEID=02001&amp;SDATE=200502&amp;PERIODTYPE=QTR_STD&amp;SCFT=3&amp;window=popup_no_bar&amp;width=385&amp;height=120&amp;START_MAXIMIZED=FALSE&amp;creator=factset&amp;display_string=Audit"}</definedName>
    <definedName name="_3966__FDSAUDITLINK__" localSheetId="7" hidden="1">{"fdsup://Directions/FactSet Auditing Viewer?action=AUDIT_VALUE&amp;DB=129&amp;ID1=86681020&amp;VALUEID=02001&amp;SDATE=200502&amp;PERIODTYPE=QTR_STD&amp;SCFT=3&amp;window=popup_no_bar&amp;width=385&amp;height=120&amp;START_MAXIMIZED=FALSE&amp;creator=factset&amp;display_string=Audit"}</definedName>
    <definedName name="_3966__FDSAUDITLINK__" hidden="1">{"fdsup://Directions/FactSet Auditing Viewer?action=AUDIT_VALUE&amp;DB=129&amp;ID1=86681020&amp;VALUEID=02001&amp;SDATE=200502&amp;PERIODTYPE=QTR_STD&amp;SCFT=3&amp;window=popup_no_bar&amp;width=385&amp;height=120&amp;START_MAXIMIZED=FALSE&amp;creator=factset&amp;display_string=Audit"}</definedName>
    <definedName name="_3967__FDSAUDITLINK__" localSheetId="7" hidden="1">{"fdsup://Directions/FactSet Auditing Viewer?action=AUDIT_VALUE&amp;DB=129&amp;ID1=86681020&amp;VALUEID=02001&amp;SDATE=200501&amp;PERIODTYPE=QTR_STD&amp;SCFT=3&amp;window=popup_no_bar&amp;width=385&amp;height=120&amp;START_MAXIMIZED=FALSE&amp;creator=factset&amp;display_string=Audit"}</definedName>
    <definedName name="_3967__FDSAUDITLINK__" hidden="1">{"fdsup://Directions/FactSet Auditing Viewer?action=AUDIT_VALUE&amp;DB=129&amp;ID1=86681020&amp;VALUEID=02001&amp;SDATE=200501&amp;PERIODTYPE=QTR_STD&amp;SCFT=3&amp;window=popup_no_bar&amp;width=385&amp;height=120&amp;START_MAXIMIZED=FALSE&amp;creator=factset&amp;display_string=Audit"}</definedName>
    <definedName name="_3968__FDSAUDITLINK__" localSheetId="7" hidden="1">{"fdsup://Directions/FactSet Auditing Viewer?action=AUDIT_VALUE&amp;DB=129&amp;ID1=86681020&amp;VALUEID=02001&amp;SDATE=200501&amp;PERIODTYPE=QTR_STD&amp;SCFT=3&amp;window=popup_no_bar&amp;width=385&amp;height=120&amp;START_MAXIMIZED=FALSE&amp;creator=factset&amp;display_string=Audit"}</definedName>
    <definedName name="_3968__FDSAUDITLINK__" hidden="1">{"fdsup://Directions/FactSet Auditing Viewer?action=AUDIT_VALUE&amp;DB=129&amp;ID1=86681020&amp;VALUEID=02001&amp;SDATE=200501&amp;PERIODTYPE=QTR_STD&amp;SCFT=3&amp;window=popup_no_bar&amp;width=385&amp;height=120&amp;START_MAXIMIZED=FALSE&amp;creator=factset&amp;display_string=Audit"}</definedName>
    <definedName name="_3969__FDSAUDITLINK__" localSheetId="7" hidden="1">{"fdsup://Directions/FactSet Auditing Viewer?action=AUDIT_VALUE&amp;DB=129&amp;ID1=86681020&amp;VALUEID=02001&amp;SDATE=200403&amp;PERIODTYPE=QTR_STD&amp;SCFT=3&amp;window=popup_no_bar&amp;width=385&amp;height=120&amp;START_MAXIMIZED=FALSE&amp;creator=factset&amp;display_string=Audit"}</definedName>
    <definedName name="_3969__FDSAUDITLINK__" hidden="1">{"fdsup://Directions/FactSet Auditing Viewer?action=AUDIT_VALUE&amp;DB=129&amp;ID1=86681020&amp;VALUEID=02001&amp;SDATE=200403&amp;PERIODTYPE=QTR_STD&amp;SCFT=3&amp;window=popup_no_bar&amp;width=385&amp;height=120&amp;START_MAXIMIZED=FALSE&amp;creator=factset&amp;display_string=Audit"}</definedName>
    <definedName name="_397__FDSAUDITLINK__" localSheetId="7" hidden="1">{"fdsup://Directions/FactSet Auditing Viewer?action=AUDIT_VALUE&amp;DB=129&amp;ID1=H2906T10&amp;VALUEID=02001&amp;SDATE=201003&amp;PERIODTYPE=QTR_STD&amp;SCFT=3&amp;window=popup_no_bar&amp;width=385&amp;height=120&amp;START_MAXIMIZED=FALSE&amp;creator=factset&amp;display_string=Audit"}</definedName>
    <definedName name="_397__FDSAUDITLINK__" hidden="1">{"fdsup://Directions/FactSet Auditing Viewer?action=AUDIT_VALUE&amp;DB=129&amp;ID1=H2906T10&amp;VALUEID=02001&amp;SDATE=201003&amp;PERIODTYPE=QTR_STD&amp;SCFT=3&amp;window=popup_no_bar&amp;width=385&amp;height=120&amp;START_MAXIMIZED=FALSE&amp;creator=factset&amp;display_string=Audit"}</definedName>
    <definedName name="_3970__FDSAUDITLINK__" localSheetId="7" hidden="1">{"fdsup://Directions/FactSet Auditing Viewer?action=AUDIT_VALUE&amp;DB=129&amp;ID1=86681020&amp;VALUEID=02001&amp;SDATE=200403&amp;PERIODTYPE=QTR_STD&amp;SCFT=3&amp;window=popup_no_bar&amp;width=385&amp;height=120&amp;START_MAXIMIZED=FALSE&amp;creator=factset&amp;display_string=Audit"}</definedName>
    <definedName name="_3970__FDSAUDITLINK__" hidden="1">{"fdsup://Directions/FactSet Auditing Viewer?action=AUDIT_VALUE&amp;DB=129&amp;ID1=86681020&amp;VALUEID=02001&amp;SDATE=200403&amp;PERIODTYPE=QTR_STD&amp;SCFT=3&amp;window=popup_no_bar&amp;width=385&amp;height=120&amp;START_MAXIMIZED=FALSE&amp;creator=factset&amp;display_string=Audit"}</definedName>
    <definedName name="_3971__FDSAUDITLINK__" localSheetId="7" hidden="1">{"fdsup://Directions/FactSet Auditing Viewer?action=AUDIT_VALUE&amp;DB=129&amp;ID1=46069S10&amp;VALUEID=02001&amp;SDATE=200801&amp;PERIODTYPE=QTR_STD&amp;SCFT=3&amp;window=popup_no_bar&amp;width=385&amp;height=120&amp;START_MAXIMIZED=FALSE&amp;creator=factset&amp;display_string=Audit"}</definedName>
    <definedName name="_3971__FDSAUDITLINK__" hidden="1">{"fdsup://Directions/FactSet Auditing Viewer?action=AUDIT_VALUE&amp;DB=129&amp;ID1=46069S10&amp;VALUEID=02001&amp;SDATE=200801&amp;PERIODTYPE=QTR_STD&amp;SCFT=3&amp;window=popup_no_bar&amp;width=385&amp;height=120&amp;START_MAXIMIZED=FALSE&amp;creator=factset&amp;display_string=Audit"}</definedName>
    <definedName name="_3972__FDSAUDITLINK__" localSheetId="7" hidden="1">{"fdsup://Directions/FactSet Auditing Viewer?action=AUDIT_VALUE&amp;DB=129&amp;ID1=46069S10&amp;VALUEID=02001&amp;SDATE=200801&amp;PERIODTYPE=QTR_STD&amp;SCFT=3&amp;window=popup_no_bar&amp;width=385&amp;height=120&amp;START_MAXIMIZED=FALSE&amp;creator=factset&amp;display_string=Audit"}</definedName>
    <definedName name="_3972__FDSAUDITLINK__" hidden="1">{"fdsup://Directions/FactSet Auditing Viewer?action=AUDIT_VALUE&amp;DB=129&amp;ID1=46069S10&amp;VALUEID=02001&amp;SDATE=200801&amp;PERIODTYPE=QTR_STD&amp;SCFT=3&amp;window=popup_no_bar&amp;width=385&amp;height=120&amp;START_MAXIMIZED=FALSE&amp;creator=factset&amp;display_string=Audit"}</definedName>
    <definedName name="_3973__FDSAUDITLINK__" localSheetId="7" hidden="1">{"fdsup://Directions/FactSet Auditing Viewer?action=AUDIT_VALUE&amp;DB=129&amp;ID1=46069S10&amp;VALUEID=02001&amp;SDATE=200703&amp;PERIODTYPE=QTR_STD&amp;SCFT=3&amp;window=popup_no_bar&amp;width=385&amp;height=120&amp;START_MAXIMIZED=FALSE&amp;creator=factset&amp;display_string=Audit"}</definedName>
    <definedName name="_3973__FDSAUDITLINK__" hidden="1">{"fdsup://Directions/FactSet Auditing Viewer?action=AUDIT_VALUE&amp;DB=129&amp;ID1=46069S10&amp;VALUEID=02001&amp;SDATE=200703&amp;PERIODTYPE=QTR_STD&amp;SCFT=3&amp;window=popup_no_bar&amp;width=385&amp;height=120&amp;START_MAXIMIZED=FALSE&amp;creator=factset&amp;display_string=Audit"}</definedName>
    <definedName name="_3974__FDSAUDITLINK__" localSheetId="7" hidden="1">{"fdsup://Directions/FactSet Auditing Viewer?action=AUDIT_VALUE&amp;DB=129&amp;ID1=46069S10&amp;VALUEID=02001&amp;SDATE=200703&amp;PERIODTYPE=QTR_STD&amp;SCFT=3&amp;window=popup_no_bar&amp;width=385&amp;height=120&amp;START_MAXIMIZED=FALSE&amp;creator=factset&amp;display_string=Audit"}</definedName>
    <definedName name="_3974__FDSAUDITLINK__" hidden="1">{"fdsup://Directions/FactSet Auditing Viewer?action=AUDIT_VALUE&amp;DB=129&amp;ID1=46069S10&amp;VALUEID=02001&amp;SDATE=200703&amp;PERIODTYPE=QTR_STD&amp;SCFT=3&amp;window=popup_no_bar&amp;width=385&amp;height=120&amp;START_MAXIMIZED=FALSE&amp;creator=factset&amp;display_string=Audit"}</definedName>
    <definedName name="_3975__FDSAUDITLINK__" localSheetId="7" hidden="1">{"fdsup://Directions/FactSet Auditing Viewer?action=AUDIT_VALUE&amp;DB=129&amp;ID1=46069S10&amp;VALUEID=02001&amp;SDATE=200702&amp;PERIODTYPE=QTR_STD&amp;SCFT=3&amp;window=popup_no_bar&amp;width=385&amp;height=120&amp;START_MAXIMIZED=FALSE&amp;creator=factset&amp;display_string=Audit"}</definedName>
    <definedName name="_3975__FDSAUDITLINK__" hidden="1">{"fdsup://Directions/FactSet Auditing Viewer?action=AUDIT_VALUE&amp;DB=129&amp;ID1=46069S10&amp;VALUEID=02001&amp;SDATE=200702&amp;PERIODTYPE=QTR_STD&amp;SCFT=3&amp;window=popup_no_bar&amp;width=385&amp;height=120&amp;START_MAXIMIZED=FALSE&amp;creator=factset&amp;display_string=Audit"}</definedName>
    <definedName name="_3976__FDSAUDITLINK__" localSheetId="7" hidden="1">{"fdsup://Directions/FactSet Auditing Viewer?action=AUDIT_VALUE&amp;DB=129&amp;ID1=46069S10&amp;VALUEID=02001&amp;SDATE=200702&amp;PERIODTYPE=QTR_STD&amp;SCFT=3&amp;window=popup_no_bar&amp;width=385&amp;height=120&amp;START_MAXIMIZED=FALSE&amp;creator=factset&amp;display_string=Audit"}</definedName>
    <definedName name="_3976__FDSAUDITLINK__" hidden="1">{"fdsup://Directions/FactSet Auditing Viewer?action=AUDIT_VALUE&amp;DB=129&amp;ID1=46069S10&amp;VALUEID=02001&amp;SDATE=200702&amp;PERIODTYPE=QTR_STD&amp;SCFT=3&amp;window=popup_no_bar&amp;width=385&amp;height=120&amp;START_MAXIMIZED=FALSE&amp;creator=factset&amp;display_string=Audit"}</definedName>
    <definedName name="_3977__FDSAUDITLINK__" localSheetId="7" hidden="1">{"fdsup://Directions/FactSet Auditing Viewer?action=AUDIT_VALUE&amp;DB=129&amp;ID1=46069S10&amp;VALUEID=02001&amp;SDATE=200701&amp;PERIODTYPE=QTR_STD&amp;SCFT=3&amp;window=popup_no_bar&amp;width=385&amp;height=120&amp;START_MAXIMIZED=FALSE&amp;creator=factset&amp;display_string=Audit"}</definedName>
    <definedName name="_3977__FDSAUDITLINK__" hidden="1">{"fdsup://Directions/FactSet Auditing Viewer?action=AUDIT_VALUE&amp;DB=129&amp;ID1=46069S10&amp;VALUEID=02001&amp;SDATE=200701&amp;PERIODTYPE=QTR_STD&amp;SCFT=3&amp;window=popup_no_bar&amp;width=385&amp;height=120&amp;START_MAXIMIZED=FALSE&amp;creator=factset&amp;display_string=Audit"}</definedName>
    <definedName name="_3978__FDSAUDITLINK__" localSheetId="7" hidden="1">{"fdsup://Directions/FactSet Auditing Viewer?action=AUDIT_VALUE&amp;DB=129&amp;ID1=46069S10&amp;VALUEID=02001&amp;SDATE=200701&amp;PERIODTYPE=QTR_STD&amp;SCFT=3&amp;window=popup_no_bar&amp;width=385&amp;height=120&amp;START_MAXIMIZED=FALSE&amp;creator=factset&amp;display_string=Audit"}</definedName>
    <definedName name="_3978__FDSAUDITLINK__" hidden="1">{"fdsup://Directions/FactSet Auditing Viewer?action=AUDIT_VALUE&amp;DB=129&amp;ID1=46069S10&amp;VALUEID=02001&amp;SDATE=200701&amp;PERIODTYPE=QTR_STD&amp;SCFT=3&amp;window=popup_no_bar&amp;width=385&amp;height=120&amp;START_MAXIMIZED=FALSE&amp;creator=factset&amp;display_string=Audit"}</definedName>
    <definedName name="_3979__FDSAUDITLINK__" localSheetId="7" hidden="1">{"fdsup://Directions/FactSet Auditing Viewer?action=AUDIT_VALUE&amp;DB=129&amp;ID1=46069S10&amp;VALUEID=02001&amp;SDATE=200603&amp;PERIODTYPE=QTR_STD&amp;SCFT=3&amp;window=popup_no_bar&amp;width=385&amp;height=120&amp;START_MAXIMIZED=FALSE&amp;creator=factset&amp;display_string=Audit"}</definedName>
    <definedName name="_3979__FDSAUDITLINK__" hidden="1">{"fdsup://Directions/FactSet Auditing Viewer?action=AUDIT_VALUE&amp;DB=129&amp;ID1=46069S10&amp;VALUEID=02001&amp;SDATE=200603&amp;PERIODTYPE=QTR_STD&amp;SCFT=3&amp;window=popup_no_bar&amp;width=385&amp;height=120&amp;START_MAXIMIZED=FALSE&amp;creator=factset&amp;display_string=Audit"}</definedName>
    <definedName name="_398__FDSAUDITLINK__" localSheetId="7" hidden="1">{"fdsup://Directions/FactSet Auditing Viewer?action=AUDIT_VALUE&amp;DB=129&amp;ID1=H2906T10&amp;VALUEID=02001&amp;SDATE=201003&amp;PERIODTYPE=QTR_STD&amp;SCFT=3&amp;window=popup_no_bar&amp;width=385&amp;height=120&amp;START_MAXIMIZED=FALSE&amp;creator=factset&amp;display_string=Audit"}</definedName>
    <definedName name="_398__FDSAUDITLINK__" hidden="1">{"fdsup://Directions/FactSet Auditing Viewer?action=AUDIT_VALUE&amp;DB=129&amp;ID1=H2906T10&amp;VALUEID=02001&amp;SDATE=201003&amp;PERIODTYPE=QTR_STD&amp;SCFT=3&amp;window=popup_no_bar&amp;width=385&amp;height=120&amp;START_MAXIMIZED=FALSE&amp;creator=factset&amp;display_string=Audit"}</definedName>
    <definedName name="_3980__FDSAUDITLINK__" localSheetId="7" hidden="1">{"fdsup://Directions/FactSet Auditing Viewer?action=AUDIT_VALUE&amp;DB=129&amp;ID1=46069S10&amp;VALUEID=02001&amp;SDATE=200603&amp;PERIODTYPE=QTR_STD&amp;SCFT=3&amp;window=popup_no_bar&amp;width=385&amp;height=120&amp;START_MAXIMIZED=FALSE&amp;creator=factset&amp;display_string=Audit"}</definedName>
    <definedName name="_3980__FDSAUDITLINK__" hidden="1">{"fdsup://Directions/FactSet Auditing Viewer?action=AUDIT_VALUE&amp;DB=129&amp;ID1=46069S10&amp;VALUEID=02001&amp;SDATE=200603&amp;PERIODTYPE=QTR_STD&amp;SCFT=3&amp;window=popup_no_bar&amp;width=385&amp;height=120&amp;START_MAXIMIZED=FALSE&amp;creator=factset&amp;display_string=Audit"}</definedName>
    <definedName name="_3981__FDSAUDITLINK__" localSheetId="7" hidden="1">{"fdsup://Directions/FactSet Auditing Viewer?action=AUDIT_VALUE&amp;DB=129&amp;ID1=46069S10&amp;VALUEID=02001&amp;SDATE=200602&amp;PERIODTYPE=QTR_STD&amp;SCFT=3&amp;window=popup_no_bar&amp;width=385&amp;height=120&amp;START_MAXIMIZED=FALSE&amp;creator=factset&amp;display_string=Audit"}</definedName>
    <definedName name="_3981__FDSAUDITLINK__" hidden="1">{"fdsup://Directions/FactSet Auditing Viewer?action=AUDIT_VALUE&amp;DB=129&amp;ID1=46069S10&amp;VALUEID=02001&amp;SDATE=200602&amp;PERIODTYPE=QTR_STD&amp;SCFT=3&amp;window=popup_no_bar&amp;width=385&amp;height=120&amp;START_MAXIMIZED=FALSE&amp;creator=factset&amp;display_string=Audit"}</definedName>
    <definedName name="_3982__FDSAUDITLINK__" localSheetId="7" hidden="1">{"fdsup://Directions/FactSet Auditing Viewer?action=AUDIT_VALUE&amp;DB=129&amp;ID1=46069S10&amp;VALUEID=02001&amp;SDATE=200602&amp;PERIODTYPE=QTR_STD&amp;SCFT=3&amp;window=popup_no_bar&amp;width=385&amp;height=120&amp;START_MAXIMIZED=FALSE&amp;creator=factset&amp;display_string=Audit"}</definedName>
    <definedName name="_3982__FDSAUDITLINK__" hidden="1">{"fdsup://Directions/FactSet Auditing Viewer?action=AUDIT_VALUE&amp;DB=129&amp;ID1=46069S10&amp;VALUEID=02001&amp;SDATE=200602&amp;PERIODTYPE=QTR_STD&amp;SCFT=3&amp;window=popup_no_bar&amp;width=385&amp;height=120&amp;START_MAXIMIZED=FALSE&amp;creator=factset&amp;display_string=Audit"}</definedName>
    <definedName name="_3983__FDSAUDITLINK__" localSheetId="7" hidden="1">{"fdsup://Directions/FactSet Auditing Viewer?action=AUDIT_VALUE&amp;DB=129&amp;ID1=46069S10&amp;VALUEID=02001&amp;SDATE=200601&amp;PERIODTYPE=QTR_STD&amp;SCFT=3&amp;window=popup_no_bar&amp;width=385&amp;height=120&amp;START_MAXIMIZED=FALSE&amp;creator=factset&amp;display_string=Audit"}</definedName>
    <definedName name="_3983__FDSAUDITLINK__" hidden="1">{"fdsup://Directions/FactSet Auditing Viewer?action=AUDIT_VALUE&amp;DB=129&amp;ID1=46069S10&amp;VALUEID=02001&amp;SDATE=200601&amp;PERIODTYPE=QTR_STD&amp;SCFT=3&amp;window=popup_no_bar&amp;width=385&amp;height=120&amp;START_MAXIMIZED=FALSE&amp;creator=factset&amp;display_string=Audit"}</definedName>
    <definedName name="_3984__FDSAUDITLINK__" localSheetId="7" hidden="1">{"fdsup://Directions/FactSet Auditing Viewer?action=AUDIT_VALUE&amp;DB=129&amp;ID1=46069S10&amp;VALUEID=02001&amp;SDATE=200601&amp;PERIODTYPE=QTR_STD&amp;SCFT=3&amp;window=popup_no_bar&amp;width=385&amp;height=120&amp;START_MAXIMIZED=FALSE&amp;creator=factset&amp;display_string=Audit"}</definedName>
    <definedName name="_3984__FDSAUDITLINK__" hidden="1">{"fdsup://Directions/FactSet Auditing Viewer?action=AUDIT_VALUE&amp;DB=129&amp;ID1=46069S10&amp;VALUEID=02001&amp;SDATE=200601&amp;PERIODTYPE=QTR_STD&amp;SCFT=3&amp;window=popup_no_bar&amp;width=385&amp;height=120&amp;START_MAXIMIZED=FALSE&amp;creator=factset&amp;display_string=Audit"}</definedName>
    <definedName name="_3985__FDSAUDITLINK__" localSheetId="7" hidden="1">{"fdsup://Directions/FactSet Auditing Viewer?action=AUDIT_VALUE&amp;DB=129&amp;ID1=46069S10&amp;VALUEID=02001&amp;SDATE=200503&amp;PERIODTYPE=QTR_STD&amp;SCFT=3&amp;window=popup_no_bar&amp;width=385&amp;height=120&amp;START_MAXIMIZED=FALSE&amp;creator=factset&amp;display_string=Audit"}</definedName>
    <definedName name="_3985__FDSAUDITLINK__" hidden="1">{"fdsup://Directions/FactSet Auditing Viewer?action=AUDIT_VALUE&amp;DB=129&amp;ID1=46069S10&amp;VALUEID=02001&amp;SDATE=200503&amp;PERIODTYPE=QTR_STD&amp;SCFT=3&amp;window=popup_no_bar&amp;width=385&amp;height=120&amp;START_MAXIMIZED=FALSE&amp;creator=factset&amp;display_string=Audit"}</definedName>
    <definedName name="_3986__FDSAUDITLINK__" localSheetId="7" hidden="1">{"fdsup://Directions/FactSet Auditing Viewer?action=AUDIT_VALUE&amp;DB=129&amp;ID1=46069S10&amp;VALUEID=02001&amp;SDATE=200503&amp;PERIODTYPE=QTR_STD&amp;SCFT=3&amp;window=popup_no_bar&amp;width=385&amp;height=120&amp;START_MAXIMIZED=FALSE&amp;creator=factset&amp;display_string=Audit"}</definedName>
    <definedName name="_3986__FDSAUDITLINK__" hidden="1">{"fdsup://Directions/FactSet Auditing Viewer?action=AUDIT_VALUE&amp;DB=129&amp;ID1=46069S10&amp;VALUEID=02001&amp;SDATE=200503&amp;PERIODTYPE=QTR_STD&amp;SCFT=3&amp;window=popup_no_bar&amp;width=385&amp;height=120&amp;START_MAXIMIZED=FALSE&amp;creator=factset&amp;display_string=Audit"}</definedName>
    <definedName name="_3987__FDSAUDITLINK__" localSheetId="7" hidden="1">{"fdsup://Directions/FactSet Auditing Viewer?action=AUDIT_VALUE&amp;DB=129&amp;ID1=46069S10&amp;VALUEID=02001&amp;SDATE=200502&amp;PERIODTYPE=QTR_STD&amp;SCFT=3&amp;window=popup_no_bar&amp;width=385&amp;height=120&amp;START_MAXIMIZED=FALSE&amp;creator=factset&amp;display_string=Audit"}</definedName>
    <definedName name="_3987__FDSAUDITLINK__" hidden="1">{"fdsup://Directions/FactSet Auditing Viewer?action=AUDIT_VALUE&amp;DB=129&amp;ID1=46069S10&amp;VALUEID=02001&amp;SDATE=200502&amp;PERIODTYPE=QTR_STD&amp;SCFT=3&amp;window=popup_no_bar&amp;width=385&amp;height=120&amp;START_MAXIMIZED=FALSE&amp;creator=factset&amp;display_string=Audit"}</definedName>
    <definedName name="_3988__FDSAUDITLINK__" localSheetId="7" hidden="1">{"fdsup://Directions/FactSet Auditing Viewer?action=AUDIT_VALUE&amp;DB=129&amp;ID1=46069S10&amp;VALUEID=02001&amp;SDATE=200502&amp;PERIODTYPE=QTR_STD&amp;SCFT=3&amp;window=popup_no_bar&amp;width=385&amp;height=120&amp;START_MAXIMIZED=FALSE&amp;creator=factset&amp;display_string=Audit"}</definedName>
    <definedName name="_3988__FDSAUDITLINK__" hidden="1">{"fdsup://Directions/FactSet Auditing Viewer?action=AUDIT_VALUE&amp;DB=129&amp;ID1=46069S10&amp;VALUEID=02001&amp;SDATE=200502&amp;PERIODTYPE=QTR_STD&amp;SCFT=3&amp;window=popup_no_bar&amp;width=385&amp;height=120&amp;START_MAXIMIZED=FALSE&amp;creator=factset&amp;display_string=Audit"}</definedName>
    <definedName name="_3989__FDSAUDITLINK__" localSheetId="7" hidden="1">{"fdsup://Directions/FactSet Auditing Viewer?action=AUDIT_VALUE&amp;DB=129&amp;ID1=46069S10&amp;VALUEID=02001&amp;SDATE=200501&amp;PERIODTYPE=QTR_STD&amp;SCFT=3&amp;window=popup_no_bar&amp;width=385&amp;height=120&amp;START_MAXIMIZED=FALSE&amp;creator=factset&amp;display_string=Audit"}</definedName>
    <definedName name="_3989__FDSAUDITLINK__" hidden="1">{"fdsup://Directions/FactSet Auditing Viewer?action=AUDIT_VALUE&amp;DB=129&amp;ID1=46069S10&amp;VALUEID=02001&amp;SDATE=200501&amp;PERIODTYPE=QTR_STD&amp;SCFT=3&amp;window=popup_no_bar&amp;width=385&amp;height=120&amp;START_MAXIMIZED=FALSE&amp;creator=factset&amp;display_string=Audit"}</definedName>
    <definedName name="_399__FDSAUDITLINK__" localSheetId="7" hidden="1">{"fdsup://Directions/FactSet Auditing Viewer?action=AUDIT_VALUE&amp;DB=129&amp;ID1=34637510&amp;VALUEID=02001&amp;SDATE=201003&amp;PERIODTYPE=QTR_STD&amp;SCFT=3&amp;window=popup_no_bar&amp;width=385&amp;height=120&amp;START_MAXIMIZED=FALSE&amp;creator=factset&amp;display_string=Audit"}</definedName>
    <definedName name="_399__FDSAUDITLINK__" hidden="1">{"fdsup://Directions/FactSet Auditing Viewer?action=AUDIT_VALUE&amp;DB=129&amp;ID1=34637510&amp;VALUEID=02001&amp;SDATE=201003&amp;PERIODTYPE=QTR_STD&amp;SCFT=3&amp;window=popup_no_bar&amp;width=385&amp;height=120&amp;START_MAXIMIZED=FALSE&amp;creator=factset&amp;display_string=Audit"}</definedName>
    <definedName name="_3990__FDSAUDITLINK__" localSheetId="7" hidden="1">{"fdsup://Directions/FactSet Auditing Viewer?action=AUDIT_VALUE&amp;DB=129&amp;ID1=46069S10&amp;VALUEID=02001&amp;SDATE=200501&amp;PERIODTYPE=QTR_STD&amp;SCFT=3&amp;window=popup_no_bar&amp;width=385&amp;height=120&amp;START_MAXIMIZED=FALSE&amp;creator=factset&amp;display_string=Audit"}</definedName>
    <definedName name="_3990__FDSAUDITLINK__" hidden="1">{"fdsup://Directions/FactSet Auditing Viewer?action=AUDIT_VALUE&amp;DB=129&amp;ID1=46069S10&amp;VALUEID=02001&amp;SDATE=200501&amp;PERIODTYPE=QTR_STD&amp;SCFT=3&amp;window=popup_no_bar&amp;width=385&amp;height=120&amp;START_MAXIMIZED=FALSE&amp;creator=factset&amp;display_string=Audit"}</definedName>
    <definedName name="_3991__FDSAUDITLINK__" localSheetId="7" hidden="1">{"fdsup://Directions/FactSet Auditing Viewer?action=AUDIT_VALUE&amp;DB=129&amp;ID1=46069S10&amp;VALUEID=02001&amp;SDATE=200403&amp;PERIODTYPE=QTR_STD&amp;SCFT=3&amp;window=popup_no_bar&amp;width=385&amp;height=120&amp;START_MAXIMIZED=FALSE&amp;creator=factset&amp;display_string=Audit"}</definedName>
    <definedName name="_3991__FDSAUDITLINK__" hidden="1">{"fdsup://Directions/FactSet Auditing Viewer?action=AUDIT_VALUE&amp;DB=129&amp;ID1=46069S10&amp;VALUEID=02001&amp;SDATE=200403&amp;PERIODTYPE=QTR_STD&amp;SCFT=3&amp;window=popup_no_bar&amp;width=385&amp;height=120&amp;START_MAXIMIZED=FALSE&amp;creator=factset&amp;display_string=Audit"}</definedName>
    <definedName name="_3992__FDSAUDITLINK__" localSheetId="7" hidden="1">{"fdsup://Directions/FactSet Auditing Viewer?action=AUDIT_VALUE&amp;DB=129&amp;ID1=46069S10&amp;VALUEID=02001&amp;SDATE=200403&amp;PERIODTYPE=QTR_STD&amp;SCFT=3&amp;window=popup_no_bar&amp;width=385&amp;height=120&amp;START_MAXIMIZED=FALSE&amp;creator=factset&amp;display_string=Audit"}</definedName>
    <definedName name="_3992__FDSAUDITLINK__" hidden="1">{"fdsup://Directions/FactSet Auditing Viewer?action=AUDIT_VALUE&amp;DB=129&amp;ID1=46069S10&amp;VALUEID=02001&amp;SDATE=200403&amp;PERIODTYPE=QTR_STD&amp;SCFT=3&amp;window=popup_no_bar&amp;width=385&amp;height=120&amp;START_MAXIMIZED=FALSE&amp;creator=factset&amp;display_string=Audit"}</definedName>
    <definedName name="_3993__FDSAUDITLINK__" localSheetId="7" hidden="1">{"fdsup://Directions/FactSet Auditing Viewer?action=AUDIT_VALUE&amp;DB=129&amp;ID1=46069S10&amp;VALUEID=02001&amp;SDATE=200402&amp;PERIODTYPE=QTR_STD&amp;SCFT=3&amp;window=popup_no_bar&amp;width=385&amp;height=120&amp;START_MAXIMIZED=FALSE&amp;creator=factset&amp;display_string=Audit"}</definedName>
    <definedName name="_3993__FDSAUDITLINK__" hidden="1">{"fdsup://Directions/FactSet Auditing Viewer?action=AUDIT_VALUE&amp;DB=129&amp;ID1=46069S10&amp;VALUEID=02001&amp;SDATE=200402&amp;PERIODTYPE=QTR_STD&amp;SCFT=3&amp;window=popup_no_bar&amp;width=385&amp;height=120&amp;START_MAXIMIZED=FALSE&amp;creator=factset&amp;display_string=Audit"}</definedName>
    <definedName name="_3994__FDSAUDITLINK__" localSheetId="7" hidden="1">{"fdsup://Directions/FactSet Auditing Viewer?action=AUDIT_VALUE&amp;DB=129&amp;ID1=46069S10&amp;VALUEID=02001&amp;SDATE=200402&amp;PERIODTYPE=QTR_STD&amp;SCFT=3&amp;window=popup_no_bar&amp;width=385&amp;height=120&amp;START_MAXIMIZED=FALSE&amp;creator=factset&amp;display_string=Audit"}</definedName>
    <definedName name="_3994__FDSAUDITLINK__" hidden="1">{"fdsup://Directions/FactSet Auditing Viewer?action=AUDIT_VALUE&amp;DB=129&amp;ID1=46069S10&amp;VALUEID=02001&amp;SDATE=200402&amp;PERIODTYPE=QTR_STD&amp;SCFT=3&amp;window=popup_no_bar&amp;width=385&amp;height=120&amp;START_MAXIMIZED=FALSE&amp;creator=factset&amp;display_string=Audit"}</definedName>
    <definedName name="_3995__FDSAUDITLINK__" localSheetId="7" hidden="1">{"fdsup://Directions/FactSet Auditing Viewer?action=AUDIT_VALUE&amp;DB=129&amp;ID1=46069S10&amp;VALUEID=02001&amp;SDATE=200401&amp;PERIODTYPE=QTR_STD&amp;SCFT=3&amp;window=popup_no_bar&amp;width=385&amp;height=120&amp;START_MAXIMIZED=FALSE&amp;creator=factset&amp;display_string=Audit"}</definedName>
    <definedName name="_3995__FDSAUDITLINK__" hidden="1">{"fdsup://Directions/FactSet Auditing Viewer?action=AUDIT_VALUE&amp;DB=129&amp;ID1=46069S10&amp;VALUEID=02001&amp;SDATE=200401&amp;PERIODTYPE=QTR_STD&amp;SCFT=3&amp;window=popup_no_bar&amp;width=385&amp;height=120&amp;START_MAXIMIZED=FALSE&amp;creator=factset&amp;display_string=Audit"}</definedName>
    <definedName name="_3996__FDSAUDITLINK__" localSheetId="7" hidden="1">{"fdsup://Directions/FactSet Auditing Viewer?action=AUDIT_VALUE&amp;DB=129&amp;ID1=46069S10&amp;VALUEID=02001&amp;SDATE=200401&amp;PERIODTYPE=QTR_STD&amp;SCFT=3&amp;window=popup_no_bar&amp;width=385&amp;height=120&amp;START_MAXIMIZED=FALSE&amp;creator=factset&amp;display_string=Audit"}</definedName>
    <definedName name="_3996__FDSAUDITLINK__" hidden="1">{"fdsup://Directions/FactSet Auditing Viewer?action=AUDIT_VALUE&amp;DB=129&amp;ID1=46069S10&amp;VALUEID=02001&amp;SDATE=200401&amp;PERIODTYPE=QTR_STD&amp;SCFT=3&amp;window=popup_no_bar&amp;width=385&amp;height=120&amp;START_MAXIMIZED=FALSE&amp;creator=factset&amp;display_string=Audit"}</definedName>
    <definedName name="_3997__FDSAUDITLINK__" localSheetId="7" hidden="1">{"fdsup://Directions/FactSet Auditing Viewer?action=AUDIT_VALUE&amp;DB=129&amp;ID1=46025410&amp;VALUEID=02001&amp;SDATE=200803&amp;PERIODTYPE=QTR_STD&amp;SCFT=3&amp;window=popup_no_bar&amp;width=385&amp;height=120&amp;START_MAXIMIZED=FALSE&amp;creator=factset&amp;display_string=Audit"}</definedName>
    <definedName name="_3997__FDSAUDITLINK__" hidden="1">{"fdsup://Directions/FactSet Auditing Viewer?action=AUDIT_VALUE&amp;DB=129&amp;ID1=46025410&amp;VALUEID=02001&amp;SDATE=200803&amp;PERIODTYPE=QTR_STD&amp;SCFT=3&amp;window=popup_no_bar&amp;width=385&amp;height=120&amp;START_MAXIMIZED=FALSE&amp;creator=factset&amp;display_string=Audit"}</definedName>
    <definedName name="_3998__FDSAUDITLINK__" localSheetId="7" hidden="1">{"fdsup://Directions/FactSet Auditing Viewer?action=AUDIT_VALUE&amp;DB=129&amp;ID1=46025410&amp;VALUEID=02001&amp;SDATE=200803&amp;PERIODTYPE=QTR_STD&amp;SCFT=3&amp;window=popup_no_bar&amp;width=385&amp;height=120&amp;START_MAXIMIZED=FALSE&amp;creator=factset&amp;display_string=Audit"}</definedName>
    <definedName name="_3998__FDSAUDITLINK__" hidden="1">{"fdsup://Directions/FactSet Auditing Viewer?action=AUDIT_VALUE&amp;DB=129&amp;ID1=46025410&amp;VALUEID=02001&amp;SDATE=200803&amp;PERIODTYPE=QTR_STD&amp;SCFT=3&amp;window=popup_no_bar&amp;width=385&amp;height=120&amp;START_MAXIMIZED=FALSE&amp;creator=factset&amp;display_string=Audit"}</definedName>
    <definedName name="_3999__FDSAUDITLINK__" localSheetId="7" hidden="1">{"fdsup://Directions/FactSet Auditing Viewer?action=AUDIT_VALUE&amp;DB=129&amp;ID1=46025410&amp;VALUEID=02001&amp;SDATE=200802&amp;PERIODTYPE=QTR_STD&amp;SCFT=3&amp;window=popup_no_bar&amp;width=385&amp;height=120&amp;START_MAXIMIZED=FALSE&amp;creator=factset&amp;display_string=Audit"}</definedName>
    <definedName name="_3999__FDSAUDITLINK__" hidden="1">{"fdsup://Directions/FactSet Auditing Viewer?action=AUDIT_VALUE&amp;DB=129&amp;ID1=46025410&amp;VALUEID=02001&amp;SDATE=200802&amp;PERIODTYPE=QTR_STD&amp;SCFT=3&amp;window=popup_no_bar&amp;width=385&amp;height=120&amp;START_MAXIMIZED=FALSE&amp;creator=factset&amp;display_string=Audit"}</definedName>
    <definedName name="_4__FDSAUDITLINK__" localSheetId="7" hidden="1">{"fdsup://Directions/FactSet Auditing Viewer?action=AUDIT_VALUE&amp;DB=129&amp;ID1=67066G10&amp;VALUEID=05194&amp;SDATE=201102&amp;PERIODTYPE=QTR_STD&amp;SCFT=3&amp;window=popup_no_bar&amp;width=385&amp;height=120&amp;START_MAXIMIZED=FALSE&amp;creator=factset&amp;display_string=Audit"}</definedName>
    <definedName name="_4__FDSAUDITLINK__" hidden="1">{"fdsup://Directions/FactSet Auditing Viewer?action=AUDIT_VALUE&amp;DB=129&amp;ID1=67066G10&amp;VALUEID=05194&amp;SDATE=201102&amp;PERIODTYPE=QTR_STD&amp;SCFT=3&amp;window=popup_no_bar&amp;width=385&amp;height=120&amp;START_MAXIMIZED=FALSE&amp;creator=factset&amp;display_string=Audit"}</definedName>
    <definedName name="_40__FDSAUDITLINK__" localSheetId="7" hidden="1">{"fdsup://Directions/FactSet Auditing Viewer?action=AUDIT_VALUE&amp;DB=129&amp;ID1=74727710&amp;VALUEID=02001&amp;SDATE=201004&amp;PERIODTYPE=QTR_STD&amp;SCFT=3&amp;window=popup_no_bar&amp;width=385&amp;height=120&amp;START_MAXIMIZED=FALSE&amp;creator=factset&amp;display_string=Audit"}</definedName>
    <definedName name="_40__FDSAUDITLINK__" hidden="1">{"fdsup://Directions/FactSet Auditing Viewer?action=AUDIT_VALUE&amp;DB=129&amp;ID1=74727710&amp;VALUEID=02001&amp;SDATE=201004&amp;PERIODTYPE=QTR_STD&amp;SCFT=3&amp;window=popup_no_bar&amp;width=385&amp;height=120&amp;START_MAXIMIZED=FALSE&amp;creator=factset&amp;display_string=Audit"}</definedName>
    <definedName name="_400__FDSAUDITLINK__" localSheetId="7" hidden="1">{"fdsup://Directions/FactSet Auditing Viewer?action=AUDIT_VALUE&amp;DB=129&amp;ID1=34637510&amp;VALUEID=02001&amp;SDATE=201003&amp;PERIODTYPE=QTR_STD&amp;SCFT=3&amp;window=popup_no_bar&amp;width=385&amp;height=120&amp;START_MAXIMIZED=FALSE&amp;creator=factset&amp;display_string=Audit"}</definedName>
    <definedName name="_400__FDSAUDITLINK__" hidden="1">{"fdsup://Directions/FactSet Auditing Viewer?action=AUDIT_VALUE&amp;DB=129&amp;ID1=34637510&amp;VALUEID=02001&amp;SDATE=201003&amp;PERIODTYPE=QTR_STD&amp;SCFT=3&amp;window=popup_no_bar&amp;width=385&amp;height=120&amp;START_MAXIMIZED=FALSE&amp;creator=factset&amp;display_string=Audit"}</definedName>
    <definedName name="_4000__FDSAUDITLINK__" localSheetId="7" hidden="1">{"fdsup://Directions/FactSet Auditing Viewer?action=AUDIT_VALUE&amp;DB=129&amp;ID1=46025410&amp;VALUEID=02001&amp;SDATE=200802&amp;PERIODTYPE=QTR_STD&amp;SCFT=3&amp;window=popup_no_bar&amp;width=385&amp;height=120&amp;START_MAXIMIZED=FALSE&amp;creator=factset&amp;display_string=Audit"}</definedName>
    <definedName name="_4000__FDSAUDITLINK__" hidden="1">{"fdsup://Directions/FactSet Auditing Viewer?action=AUDIT_VALUE&amp;DB=129&amp;ID1=46025410&amp;VALUEID=02001&amp;SDATE=200802&amp;PERIODTYPE=QTR_STD&amp;SCFT=3&amp;window=popup_no_bar&amp;width=385&amp;height=120&amp;START_MAXIMIZED=FALSE&amp;creator=factset&amp;display_string=Audit"}</definedName>
    <definedName name="_4001__FDSAUDITLINK__" localSheetId="7" hidden="1">{"fdsup://Directions/FactSet Auditing Viewer?action=AUDIT_VALUE&amp;DB=129&amp;ID1=46025410&amp;VALUEID=02001&amp;SDATE=200801&amp;PERIODTYPE=QTR_STD&amp;SCFT=3&amp;window=popup_no_bar&amp;width=385&amp;height=120&amp;START_MAXIMIZED=FALSE&amp;creator=factset&amp;display_string=Audit"}</definedName>
    <definedName name="_4001__FDSAUDITLINK__" hidden="1">{"fdsup://Directions/FactSet Auditing Viewer?action=AUDIT_VALUE&amp;DB=129&amp;ID1=46025410&amp;VALUEID=02001&amp;SDATE=200801&amp;PERIODTYPE=QTR_STD&amp;SCFT=3&amp;window=popup_no_bar&amp;width=385&amp;height=120&amp;START_MAXIMIZED=FALSE&amp;creator=factset&amp;display_string=Audit"}</definedName>
    <definedName name="_4002__FDSAUDITLINK__" localSheetId="7" hidden="1">{"fdsup://Directions/FactSet Auditing Viewer?action=AUDIT_VALUE&amp;DB=129&amp;ID1=46025410&amp;VALUEID=02001&amp;SDATE=200801&amp;PERIODTYPE=QTR_STD&amp;SCFT=3&amp;window=popup_no_bar&amp;width=385&amp;height=120&amp;START_MAXIMIZED=FALSE&amp;creator=factset&amp;display_string=Audit"}</definedName>
    <definedName name="_4002__FDSAUDITLINK__" hidden="1">{"fdsup://Directions/FactSet Auditing Viewer?action=AUDIT_VALUE&amp;DB=129&amp;ID1=46025410&amp;VALUEID=02001&amp;SDATE=200801&amp;PERIODTYPE=QTR_STD&amp;SCFT=3&amp;window=popup_no_bar&amp;width=385&amp;height=120&amp;START_MAXIMIZED=FALSE&amp;creator=factset&amp;display_string=Audit"}</definedName>
    <definedName name="_4003__FDSAUDITLINK__" localSheetId="7" hidden="1">{"fdsup://Directions/FactSet Auditing Viewer?action=AUDIT_VALUE&amp;DB=129&amp;ID1=46025410&amp;VALUEID=02001&amp;SDATE=200703&amp;PERIODTYPE=QTR_STD&amp;SCFT=3&amp;window=popup_no_bar&amp;width=385&amp;height=120&amp;START_MAXIMIZED=FALSE&amp;creator=factset&amp;display_string=Audit"}</definedName>
    <definedName name="_4003__FDSAUDITLINK__" hidden="1">{"fdsup://Directions/FactSet Auditing Viewer?action=AUDIT_VALUE&amp;DB=129&amp;ID1=46025410&amp;VALUEID=02001&amp;SDATE=200703&amp;PERIODTYPE=QTR_STD&amp;SCFT=3&amp;window=popup_no_bar&amp;width=385&amp;height=120&amp;START_MAXIMIZED=FALSE&amp;creator=factset&amp;display_string=Audit"}</definedName>
    <definedName name="_4004__FDSAUDITLINK__" localSheetId="7" hidden="1">{"fdsup://Directions/FactSet Auditing Viewer?action=AUDIT_VALUE&amp;DB=129&amp;ID1=46025410&amp;VALUEID=02001&amp;SDATE=200703&amp;PERIODTYPE=QTR_STD&amp;SCFT=3&amp;window=popup_no_bar&amp;width=385&amp;height=120&amp;START_MAXIMIZED=FALSE&amp;creator=factset&amp;display_string=Audit"}</definedName>
    <definedName name="_4004__FDSAUDITLINK__" hidden="1">{"fdsup://Directions/FactSet Auditing Viewer?action=AUDIT_VALUE&amp;DB=129&amp;ID1=46025410&amp;VALUEID=02001&amp;SDATE=200703&amp;PERIODTYPE=QTR_STD&amp;SCFT=3&amp;window=popup_no_bar&amp;width=385&amp;height=120&amp;START_MAXIMIZED=FALSE&amp;creator=factset&amp;display_string=Audit"}</definedName>
    <definedName name="_4005__FDSAUDITLINK__" localSheetId="7" hidden="1">{"fdsup://Directions/FactSet Auditing Viewer?action=AUDIT_VALUE&amp;DB=129&amp;ID1=46025410&amp;VALUEID=02001&amp;SDATE=200702&amp;PERIODTYPE=QTR_STD&amp;SCFT=3&amp;window=popup_no_bar&amp;width=385&amp;height=120&amp;START_MAXIMIZED=FALSE&amp;creator=factset&amp;display_string=Audit"}</definedName>
    <definedName name="_4005__FDSAUDITLINK__" hidden="1">{"fdsup://Directions/FactSet Auditing Viewer?action=AUDIT_VALUE&amp;DB=129&amp;ID1=46025410&amp;VALUEID=02001&amp;SDATE=200702&amp;PERIODTYPE=QTR_STD&amp;SCFT=3&amp;window=popup_no_bar&amp;width=385&amp;height=120&amp;START_MAXIMIZED=FALSE&amp;creator=factset&amp;display_string=Audit"}</definedName>
    <definedName name="_4006__FDSAUDITLINK__" localSheetId="7" hidden="1">{"fdsup://Directions/FactSet Auditing Viewer?action=AUDIT_VALUE&amp;DB=129&amp;ID1=46025410&amp;VALUEID=02001&amp;SDATE=200702&amp;PERIODTYPE=QTR_STD&amp;SCFT=3&amp;window=popup_no_bar&amp;width=385&amp;height=120&amp;START_MAXIMIZED=FALSE&amp;creator=factset&amp;display_string=Audit"}</definedName>
    <definedName name="_4006__FDSAUDITLINK__" hidden="1">{"fdsup://Directions/FactSet Auditing Viewer?action=AUDIT_VALUE&amp;DB=129&amp;ID1=46025410&amp;VALUEID=02001&amp;SDATE=200702&amp;PERIODTYPE=QTR_STD&amp;SCFT=3&amp;window=popup_no_bar&amp;width=385&amp;height=120&amp;START_MAXIMIZED=FALSE&amp;creator=factset&amp;display_string=Audit"}</definedName>
    <definedName name="_4007__FDSAUDITLINK__" localSheetId="7" hidden="1">{"fdsup://Directions/FactSet Auditing Viewer?action=AUDIT_VALUE&amp;DB=129&amp;ID1=46025410&amp;VALUEID=02001&amp;SDATE=200701&amp;PERIODTYPE=QTR_STD&amp;SCFT=3&amp;window=popup_no_bar&amp;width=385&amp;height=120&amp;START_MAXIMIZED=FALSE&amp;creator=factset&amp;display_string=Audit"}</definedName>
    <definedName name="_4007__FDSAUDITLINK__" hidden="1">{"fdsup://Directions/FactSet Auditing Viewer?action=AUDIT_VALUE&amp;DB=129&amp;ID1=46025410&amp;VALUEID=02001&amp;SDATE=200701&amp;PERIODTYPE=QTR_STD&amp;SCFT=3&amp;window=popup_no_bar&amp;width=385&amp;height=120&amp;START_MAXIMIZED=FALSE&amp;creator=factset&amp;display_string=Audit"}</definedName>
    <definedName name="_4008__FDSAUDITLINK__" localSheetId="7" hidden="1">{"fdsup://Directions/FactSet Auditing Viewer?action=AUDIT_VALUE&amp;DB=129&amp;ID1=46025410&amp;VALUEID=02001&amp;SDATE=200701&amp;PERIODTYPE=QTR_STD&amp;SCFT=3&amp;window=popup_no_bar&amp;width=385&amp;height=120&amp;START_MAXIMIZED=FALSE&amp;creator=factset&amp;display_string=Audit"}</definedName>
    <definedName name="_4008__FDSAUDITLINK__" hidden="1">{"fdsup://Directions/FactSet Auditing Viewer?action=AUDIT_VALUE&amp;DB=129&amp;ID1=46025410&amp;VALUEID=02001&amp;SDATE=200701&amp;PERIODTYPE=QTR_STD&amp;SCFT=3&amp;window=popup_no_bar&amp;width=385&amp;height=120&amp;START_MAXIMIZED=FALSE&amp;creator=factset&amp;display_string=Audit"}</definedName>
    <definedName name="_4009__FDSAUDITLINK__" localSheetId="7" hidden="1">{"fdsup://Directions/FactSet Auditing Viewer?action=AUDIT_VALUE&amp;DB=129&amp;ID1=46025410&amp;VALUEID=02001&amp;SDATE=200603&amp;PERIODTYPE=QTR_STD&amp;SCFT=3&amp;window=popup_no_bar&amp;width=385&amp;height=120&amp;START_MAXIMIZED=FALSE&amp;creator=factset&amp;display_string=Audit"}</definedName>
    <definedName name="_4009__FDSAUDITLINK__" hidden="1">{"fdsup://Directions/FactSet Auditing Viewer?action=AUDIT_VALUE&amp;DB=129&amp;ID1=46025410&amp;VALUEID=02001&amp;SDATE=200603&amp;PERIODTYPE=QTR_STD&amp;SCFT=3&amp;window=popup_no_bar&amp;width=385&amp;height=120&amp;START_MAXIMIZED=FALSE&amp;creator=factset&amp;display_string=Audit"}</definedName>
    <definedName name="_401__FDSAUDITLINK__" localSheetId="7" hidden="1">{"fdsup://Directions/FactSet Auditing Viewer?action=AUDIT_VALUE&amp;DB=129&amp;ID1=31561610&amp;VALUEID=02001&amp;SDATE=201004&amp;PERIODTYPE=QTR_STD&amp;SCFT=3&amp;window=popup_no_bar&amp;width=385&amp;height=120&amp;START_MAXIMIZED=FALSE&amp;creator=factset&amp;display_string=Audit"}</definedName>
    <definedName name="_401__FDSAUDITLINK__" hidden="1">{"fdsup://Directions/FactSet Auditing Viewer?action=AUDIT_VALUE&amp;DB=129&amp;ID1=31561610&amp;VALUEID=02001&amp;SDATE=201004&amp;PERIODTYPE=QTR_STD&amp;SCFT=3&amp;window=popup_no_bar&amp;width=385&amp;height=120&amp;START_MAXIMIZED=FALSE&amp;creator=factset&amp;display_string=Audit"}</definedName>
    <definedName name="_4010__FDSAUDITLINK__" localSheetId="7" hidden="1">{"fdsup://Directions/FactSet Auditing Viewer?action=AUDIT_VALUE&amp;DB=129&amp;ID1=46025410&amp;VALUEID=02001&amp;SDATE=200603&amp;PERIODTYPE=QTR_STD&amp;SCFT=3&amp;window=popup_no_bar&amp;width=385&amp;height=120&amp;START_MAXIMIZED=FALSE&amp;creator=factset&amp;display_string=Audit"}</definedName>
    <definedName name="_4010__FDSAUDITLINK__" hidden="1">{"fdsup://Directions/FactSet Auditing Viewer?action=AUDIT_VALUE&amp;DB=129&amp;ID1=46025410&amp;VALUEID=02001&amp;SDATE=200603&amp;PERIODTYPE=QTR_STD&amp;SCFT=3&amp;window=popup_no_bar&amp;width=385&amp;height=120&amp;START_MAXIMIZED=FALSE&amp;creator=factset&amp;display_string=Audit"}</definedName>
    <definedName name="_4011__FDSAUDITLINK__" localSheetId="7" hidden="1">{"fdsup://Directions/FactSet Auditing Viewer?action=AUDIT_VALUE&amp;DB=129&amp;ID1=46025410&amp;VALUEID=02001&amp;SDATE=200602&amp;PERIODTYPE=QTR_STD&amp;SCFT=3&amp;window=popup_no_bar&amp;width=385&amp;height=120&amp;START_MAXIMIZED=FALSE&amp;creator=factset&amp;display_string=Audit"}</definedName>
    <definedName name="_4011__FDSAUDITLINK__" hidden="1">{"fdsup://Directions/FactSet Auditing Viewer?action=AUDIT_VALUE&amp;DB=129&amp;ID1=46025410&amp;VALUEID=02001&amp;SDATE=200602&amp;PERIODTYPE=QTR_STD&amp;SCFT=3&amp;window=popup_no_bar&amp;width=385&amp;height=120&amp;START_MAXIMIZED=FALSE&amp;creator=factset&amp;display_string=Audit"}</definedName>
    <definedName name="_4012__FDSAUDITLINK__" localSheetId="7" hidden="1">{"fdsup://Directions/FactSet Auditing Viewer?action=AUDIT_VALUE&amp;DB=129&amp;ID1=46025410&amp;VALUEID=02001&amp;SDATE=200602&amp;PERIODTYPE=QTR_STD&amp;SCFT=3&amp;window=popup_no_bar&amp;width=385&amp;height=120&amp;START_MAXIMIZED=FALSE&amp;creator=factset&amp;display_string=Audit"}</definedName>
    <definedName name="_4012__FDSAUDITLINK__" hidden="1">{"fdsup://Directions/FactSet Auditing Viewer?action=AUDIT_VALUE&amp;DB=129&amp;ID1=46025410&amp;VALUEID=02001&amp;SDATE=200602&amp;PERIODTYPE=QTR_STD&amp;SCFT=3&amp;window=popup_no_bar&amp;width=385&amp;height=120&amp;START_MAXIMIZED=FALSE&amp;creator=factset&amp;display_string=Audit"}</definedName>
    <definedName name="_4013__FDSAUDITLINK__" localSheetId="7" hidden="1">{"fdsup://Directions/FactSet Auditing Viewer?action=AUDIT_VALUE&amp;DB=129&amp;ID1=46025410&amp;VALUEID=02001&amp;SDATE=200601&amp;PERIODTYPE=QTR_STD&amp;SCFT=3&amp;window=popup_no_bar&amp;width=385&amp;height=120&amp;START_MAXIMIZED=FALSE&amp;creator=factset&amp;display_string=Audit"}</definedName>
    <definedName name="_4013__FDSAUDITLINK__" hidden="1">{"fdsup://Directions/FactSet Auditing Viewer?action=AUDIT_VALUE&amp;DB=129&amp;ID1=46025410&amp;VALUEID=02001&amp;SDATE=200601&amp;PERIODTYPE=QTR_STD&amp;SCFT=3&amp;window=popup_no_bar&amp;width=385&amp;height=120&amp;START_MAXIMIZED=FALSE&amp;creator=factset&amp;display_string=Audit"}</definedName>
    <definedName name="_4014__FDSAUDITLINK__" localSheetId="7" hidden="1">{"fdsup://Directions/FactSet Auditing Viewer?action=AUDIT_VALUE&amp;DB=129&amp;ID1=46025410&amp;VALUEID=02001&amp;SDATE=200601&amp;PERIODTYPE=QTR_STD&amp;SCFT=3&amp;window=popup_no_bar&amp;width=385&amp;height=120&amp;START_MAXIMIZED=FALSE&amp;creator=factset&amp;display_string=Audit"}</definedName>
    <definedName name="_4014__FDSAUDITLINK__" hidden="1">{"fdsup://Directions/FactSet Auditing Viewer?action=AUDIT_VALUE&amp;DB=129&amp;ID1=46025410&amp;VALUEID=02001&amp;SDATE=200601&amp;PERIODTYPE=QTR_STD&amp;SCFT=3&amp;window=popup_no_bar&amp;width=385&amp;height=120&amp;START_MAXIMIZED=FALSE&amp;creator=factset&amp;display_string=Audit"}</definedName>
    <definedName name="_4015__FDSAUDITLINK__" localSheetId="7" hidden="1">{"fdsup://Directions/FactSet Auditing Viewer?action=AUDIT_VALUE&amp;DB=129&amp;ID1=46025410&amp;VALUEID=02001&amp;SDATE=200504&amp;PERIODTYPE=QTR_STD&amp;SCFT=3&amp;window=popup_no_bar&amp;width=385&amp;height=120&amp;START_MAXIMIZED=FALSE&amp;creator=factset&amp;display_string=Audit"}</definedName>
    <definedName name="_4015__FDSAUDITLINK__" hidden="1">{"fdsup://Directions/FactSet Auditing Viewer?action=AUDIT_VALUE&amp;DB=129&amp;ID1=46025410&amp;VALUEID=02001&amp;SDATE=200504&amp;PERIODTYPE=QTR_STD&amp;SCFT=3&amp;window=popup_no_bar&amp;width=385&amp;height=120&amp;START_MAXIMIZED=FALSE&amp;creator=factset&amp;display_string=Audit"}</definedName>
    <definedName name="_4016__FDSAUDITLINK__" localSheetId="7" hidden="1">{"fdsup://Directions/FactSet Auditing Viewer?action=AUDIT_VALUE&amp;DB=129&amp;ID1=46025410&amp;VALUEID=02001&amp;SDATE=200504&amp;PERIODTYPE=QTR_STD&amp;SCFT=3&amp;window=popup_no_bar&amp;width=385&amp;height=120&amp;START_MAXIMIZED=FALSE&amp;creator=factset&amp;display_string=Audit"}</definedName>
    <definedName name="_4016__FDSAUDITLINK__" hidden="1">{"fdsup://Directions/FactSet Auditing Viewer?action=AUDIT_VALUE&amp;DB=129&amp;ID1=46025410&amp;VALUEID=02001&amp;SDATE=200504&amp;PERIODTYPE=QTR_STD&amp;SCFT=3&amp;window=popup_no_bar&amp;width=385&amp;height=120&amp;START_MAXIMIZED=FALSE&amp;creator=factset&amp;display_string=Audit"}</definedName>
    <definedName name="_4017__FDSAUDITLINK__" localSheetId="7" hidden="1">{"fdsup://Directions/FactSet Auditing Viewer?action=AUDIT_VALUE&amp;DB=129&amp;ID1=46025410&amp;VALUEID=02001&amp;SDATE=200503&amp;PERIODTYPE=QTR_STD&amp;SCFT=3&amp;window=popup_no_bar&amp;width=385&amp;height=120&amp;START_MAXIMIZED=FALSE&amp;creator=factset&amp;display_string=Audit"}</definedName>
    <definedName name="_4017__FDSAUDITLINK__" hidden="1">{"fdsup://Directions/FactSet Auditing Viewer?action=AUDIT_VALUE&amp;DB=129&amp;ID1=46025410&amp;VALUEID=02001&amp;SDATE=200503&amp;PERIODTYPE=QTR_STD&amp;SCFT=3&amp;window=popup_no_bar&amp;width=385&amp;height=120&amp;START_MAXIMIZED=FALSE&amp;creator=factset&amp;display_string=Audit"}</definedName>
    <definedName name="_4018__FDSAUDITLINK__" localSheetId="7" hidden="1">{"fdsup://Directions/FactSet Auditing Viewer?action=AUDIT_VALUE&amp;DB=129&amp;ID1=46025410&amp;VALUEID=02001&amp;SDATE=200503&amp;PERIODTYPE=QTR_STD&amp;SCFT=3&amp;window=popup_no_bar&amp;width=385&amp;height=120&amp;START_MAXIMIZED=FALSE&amp;creator=factset&amp;display_string=Audit"}</definedName>
    <definedName name="_4018__FDSAUDITLINK__" hidden="1">{"fdsup://Directions/FactSet Auditing Viewer?action=AUDIT_VALUE&amp;DB=129&amp;ID1=46025410&amp;VALUEID=02001&amp;SDATE=200503&amp;PERIODTYPE=QTR_STD&amp;SCFT=3&amp;window=popup_no_bar&amp;width=385&amp;height=120&amp;START_MAXIMIZED=FALSE&amp;creator=factset&amp;display_string=Audit"}</definedName>
    <definedName name="_4019__FDSAUDITLINK__" localSheetId="7" hidden="1">{"fdsup://Directions/FactSet Auditing Viewer?action=AUDIT_VALUE&amp;DB=129&amp;ID1=46025410&amp;VALUEID=02001&amp;SDATE=200502&amp;PERIODTYPE=QTR_STD&amp;SCFT=3&amp;window=popup_no_bar&amp;width=385&amp;height=120&amp;START_MAXIMIZED=FALSE&amp;creator=factset&amp;display_string=Audit"}</definedName>
    <definedName name="_4019__FDSAUDITLINK__" hidden="1">{"fdsup://Directions/FactSet Auditing Viewer?action=AUDIT_VALUE&amp;DB=129&amp;ID1=46025410&amp;VALUEID=02001&amp;SDATE=200502&amp;PERIODTYPE=QTR_STD&amp;SCFT=3&amp;window=popup_no_bar&amp;width=385&amp;height=120&amp;START_MAXIMIZED=FALSE&amp;creator=factset&amp;display_string=Audit"}</definedName>
    <definedName name="_402__FDSAUDITLINK__" localSheetId="7" hidden="1">{"fdsup://Directions/FactSet Auditing Viewer?action=AUDIT_VALUE&amp;DB=129&amp;ID1=31561610&amp;VALUEID=02001&amp;SDATE=201004&amp;PERIODTYPE=QTR_STD&amp;SCFT=3&amp;window=popup_no_bar&amp;width=385&amp;height=120&amp;START_MAXIMIZED=FALSE&amp;creator=factset&amp;display_string=Audit"}</definedName>
    <definedName name="_402__FDSAUDITLINK__" hidden="1">{"fdsup://Directions/FactSet Auditing Viewer?action=AUDIT_VALUE&amp;DB=129&amp;ID1=31561610&amp;VALUEID=02001&amp;SDATE=201004&amp;PERIODTYPE=QTR_STD&amp;SCFT=3&amp;window=popup_no_bar&amp;width=385&amp;height=120&amp;START_MAXIMIZED=FALSE&amp;creator=factset&amp;display_string=Audit"}</definedName>
    <definedName name="_4020__FDSAUDITLINK__" localSheetId="7" hidden="1">{"fdsup://Directions/FactSet Auditing Viewer?action=AUDIT_VALUE&amp;DB=129&amp;ID1=46025410&amp;VALUEID=02001&amp;SDATE=200502&amp;PERIODTYPE=QTR_STD&amp;SCFT=3&amp;window=popup_no_bar&amp;width=385&amp;height=120&amp;START_MAXIMIZED=FALSE&amp;creator=factset&amp;display_string=Audit"}</definedName>
    <definedName name="_4020__FDSAUDITLINK__" hidden="1">{"fdsup://Directions/FactSet Auditing Viewer?action=AUDIT_VALUE&amp;DB=129&amp;ID1=46025410&amp;VALUEID=02001&amp;SDATE=200502&amp;PERIODTYPE=QTR_STD&amp;SCFT=3&amp;window=popup_no_bar&amp;width=385&amp;height=120&amp;START_MAXIMIZED=FALSE&amp;creator=factset&amp;display_string=Audit"}</definedName>
    <definedName name="_4021__FDSAUDITLINK__" localSheetId="7" hidden="1">{"fdsup://Directions/FactSet Auditing Viewer?action=AUDIT_VALUE&amp;DB=129&amp;ID1=46025410&amp;VALUEID=02001&amp;SDATE=200501&amp;PERIODTYPE=QTR_STD&amp;SCFT=3&amp;window=popup_no_bar&amp;width=385&amp;height=120&amp;START_MAXIMIZED=FALSE&amp;creator=factset&amp;display_string=Audit"}</definedName>
    <definedName name="_4021__FDSAUDITLINK__" hidden="1">{"fdsup://Directions/FactSet Auditing Viewer?action=AUDIT_VALUE&amp;DB=129&amp;ID1=46025410&amp;VALUEID=02001&amp;SDATE=200501&amp;PERIODTYPE=QTR_STD&amp;SCFT=3&amp;window=popup_no_bar&amp;width=385&amp;height=120&amp;START_MAXIMIZED=FALSE&amp;creator=factset&amp;display_string=Audit"}</definedName>
    <definedName name="_4022__FDSAUDITLINK__" localSheetId="7" hidden="1">{"fdsup://Directions/FactSet Auditing Viewer?action=AUDIT_VALUE&amp;DB=129&amp;ID1=46025410&amp;VALUEID=02001&amp;SDATE=200501&amp;PERIODTYPE=QTR_STD&amp;SCFT=3&amp;window=popup_no_bar&amp;width=385&amp;height=120&amp;START_MAXIMIZED=FALSE&amp;creator=factset&amp;display_string=Audit"}</definedName>
    <definedName name="_4022__FDSAUDITLINK__" hidden="1">{"fdsup://Directions/FactSet Auditing Viewer?action=AUDIT_VALUE&amp;DB=129&amp;ID1=46025410&amp;VALUEID=02001&amp;SDATE=200501&amp;PERIODTYPE=QTR_STD&amp;SCFT=3&amp;window=popup_no_bar&amp;width=385&amp;height=120&amp;START_MAXIMIZED=FALSE&amp;creator=factset&amp;display_string=Audit"}</definedName>
    <definedName name="_4023__FDSAUDITLINK__" localSheetId="7" hidden="1">{"fdsup://Directions/FactSet Auditing Viewer?action=AUDIT_VALUE&amp;DB=129&amp;ID1=46025410&amp;VALUEID=02001&amp;SDATE=200404&amp;PERIODTYPE=QTR_STD&amp;SCFT=3&amp;window=popup_no_bar&amp;width=385&amp;height=120&amp;START_MAXIMIZED=FALSE&amp;creator=factset&amp;display_string=Audit"}</definedName>
    <definedName name="_4023__FDSAUDITLINK__" hidden="1">{"fdsup://Directions/FactSet Auditing Viewer?action=AUDIT_VALUE&amp;DB=129&amp;ID1=46025410&amp;VALUEID=02001&amp;SDATE=200404&amp;PERIODTYPE=QTR_STD&amp;SCFT=3&amp;window=popup_no_bar&amp;width=385&amp;height=120&amp;START_MAXIMIZED=FALSE&amp;creator=factset&amp;display_string=Audit"}</definedName>
    <definedName name="_4024__FDSAUDITLINK__" localSheetId="7" hidden="1">{"fdsup://Directions/FactSet Auditing Viewer?action=AUDIT_VALUE&amp;DB=129&amp;ID1=46025410&amp;VALUEID=02001&amp;SDATE=200404&amp;PERIODTYPE=QTR_STD&amp;SCFT=3&amp;window=popup_no_bar&amp;width=385&amp;height=120&amp;START_MAXIMIZED=FALSE&amp;creator=factset&amp;display_string=Audit"}</definedName>
    <definedName name="_4024__FDSAUDITLINK__" hidden="1">{"fdsup://Directions/FactSet Auditing Viewer?action=AUDIT_VALUE&amp;DB=129&amp;ID1=46025410&amp;VALUEID=02001&amp;SDATE=200404&amp;PERIODTYPE=QTR_STD&amp;SCFT=3&amp;window=popup_no_bar&amp;width=385&amp;height=120&amp;START_MAXIMIZED=FALSE&amp;creator=factset&amp;display_string=Audit"}</definedName>
    <definedName name="_4025__FDSAUDITLINK__" localSheetId="7" hidden="1">{"fdsup://Directions/FactSet Auditing Viewer?action=AUDIT_VALUE&amp;DB=129&amp;ID1=45814010&amp;VALUEID=02001&amp;SDATE=200801&amp;PERIODTYPE=QTR_STD&amp;SCFT=3&amp;window=popup_no_bar&amp;width=385&amp;height=120&amp;START_MAXIMIZED=FALSE&amp;creator=factset&amp;display_string=Audit"}</definedName>
    <definedName name="_4025__FDSAUDITLINK__" hidden="1">{"fdsup://Directions/FactSet Auditing Viewer?action=AUDIT_VALUE&amp;DB=129&amp;ID1=45814010&amp;VALUEID=02001&amp;SDATE=200801&amp;PERIODTYPE=QTR_STD&amp;SCFT=3&amp;window=popup_no_bar&amp;width=385&amp;height=120&amp;START_MAXIMIZED=FALSE&amp;creator=factset&amp;display_string=Audit"}</definedName>
    <definedName name="_4026__FDSAUDITLINK__" localSheetId="7" hidden="1">{"fdsup://Directions/FactSet Auditing Viewer?action=AUDIT_VALUE&amp;DB=129&amp;ID1=45814010&amp;VALUEID=02001&amp;SDATE=200801&amp;PERIODTYPE=QTR_STD&amp;SCFT=3&amp;window=popup_no_bar&amp;width=385&amp;height=120&amp;START_MAXIMIZED=FALSE&amp;creator=factset&amp;display_string=Audit"}</definedName>
    <definedName name="_4026__FDSAUDITLINK__" hidden="1">{"fdsup://Directions/FactSet Auditing Viewer?action=AUDIT_VALUE&amp;DB=129&amp;ID1=45814010&amp;VALUEID=02001&amp;SDATE=200801&amp;PERIODTYPE=QTR_STD&amp;SCFT=3&amp;window=popup_no_bar&amp;width=385&amp;height=120&amp;START_MAXIMIZED=FALSE&amp;creator=factset&amp;display_string=Audit"}</definedName>
    <definedName name="_4027__FDSAUDITLINK__" localSheetId="7" hidden="1">{"fdsup://Directions/FactSet Auditing Viewer?action=AUDIT_VALUE&amp;DB=129&amp;ID1=45814010&amp;VALUEID=02001&amp;SDATE=200703&amp;PERIODTYPE=QTR_STD&amp;SCFT=3&amp;window=popup_no_bar&amp;width=385&amp;height=120&amp;START_MAXIMIZED=FALSE&amp;creator=factset&amp;display_string=Audit"}</definedName>
    <definedName name="_4027__FDSAUDITLINK__" hidden="1">{"fdsup://Directions/FactSet Auditing Viewer?action=AUDIT_VALUE&amp;DB=129&amp;ID1=45814010&amp;VALUEID=02001&amp;SDATE=200703&amp;PERIODTYPE=QTR_STD&amp;SCFT=3&amp;window=popup_no_bar&amp;width=385&amp;height=120&amp;START_MAXIMIZED=FALSE&amp;creator=factset&amp;display_string=Audit"}</definedName>
    <definedName name="_4028__FDSAUDITLINK__" localSheetId="7" hidden="1">{"fdsup://Directions/FactSet Auditing Viewer?action=AUDIT_VALUE&amp;DB=129&amp;ID1=45814010&amp;VALUEID=02001&amp;SDATE=200703&amp;PERIODTYPE=QTR_STD&amp;SCFT=3&amp;window=popup_no_bar&amp;width=385&amp;height=120&amp;START_MAXIMIZED=FALSE&amp;creator=factset&amp;display_string=Audit"}</definedName>
    <definedName name="_4028__FDSAUDITLINK__" hidden="1">{"fdsup://Directions/FactSet Auditing Viewer?action=AUDIT_VALUE&amp;DB=129&amp;ID1=45814010&amp;VALUEID=02001&amp;SDATE=200703&amp;PERIODTYPE=QTR_STD&amp;SCFT=3&amp;window=popup_no_bar&amp;width=385&amp;height=120&amp;START_MAXIMIZED=FALSE&amp;creator=factset&amp;display_string=Audit"}</definedName>
    <definedName name="_4029__FDSAUDITLINK__" localSheetId="7" hidden="1">{"fdsup://Directions/FactSet Auditing Viewer?action=AUDIT_VALUE&amp;DB=129&amp;ID1=45814010&amp;VALUEID=02001&amp;SDATE=200702&amp;PERIODTYPE=QTR_STD&amp;SCFT=3&amp;window=popup_no_bar&amp;width=385&amp;height=120&amp;START_MAXIMIZED=FALSE&amp;creator=factset&amp;display_string=Audit"}</definedName>
    <definedName name="_4029__FDSAUDITLINK__" hidden="1">{"fdsup://Directions/FactSet Auditing Viewer?action=AUDIT_VALUE&amp;DB=129&amp;ID1=45814010&amp;VALUEID=02001&amp;SDATE=200702&amp;PERIODTYPE=QTR_STD&amp;SCFT=3&amp;window=popup_no_bar&amp;width=385&amp;height=120&amp;START_MAXIMIZED=FALSE&amp;creator=factset&amp;display_string=Audit"}</definedName>
    <definedName name="_403__FDSAUDITLINK__" localSheetId="7" hidden="1">{"fdsup://Directions/FactSet Auditing Viewer?action=AUDIT_VALUE&amp;DB=129&amp;ID1=29247520&amp;VALUEID=02001&amp;SDATE=201101&amp;PERIODTYPE=QTR_STD&amp;SCFT=3&amp;window=popup_no_bar&amp;width=385&amp;height=120&amp;START_MAXIMIZED=FALSE&amp;creator=factset&amp;display_string=Audit"}</definedName>
    <definedName name="_403__FDSAUDITLINK__" hidden="1">{"fdsup://Directions/FactSet Auditing Viewer?action=AUDIT_VALUE&amp;DB=129&amp;ID1=29247520&amp;VALUEID=02001&amp;SDATE=201101&amp;PERIODTYPE=QTR_STD&amp;SCFT=3&amp;window=popup_no_bar&amp;width=385&amp;height=120&amp;START_MAXIMIZED=FALSE&amp;creator=factset&amp;display_string=Audit"}</definedName>
    <definedName name="_4030__FDSAUDITLINK__" localSheetId="7" hidden="1">{"fdsup://Directions/FactSet Auditing Viewer?action=AUDIT_VALUE&amp;DB=129&amp;ID1=45814010&amp;VALUEID=02001&amp;SDATE=200702&amp;PERIODTYPE=QTR_STD&amp;SCFT=3&amp;window=popup_no_bar&amp;width=385&amp;height=120&amp;START_MAXIMIZED=FALSE&amp;creator=factset&amp;display_string=Audit"}</definedName>
    <definedName name="_4030__FDSAUDITLINK__" hidden="1">{"fdsup://Directions/FactSet Auditing Viewer?action=AUDIT_VALUE&amp;DB=129&amp;ID1=45814010&amp;VALUEID=02001&amp;SDATE=200702&amp;PERIODTYPE=QTR_STD&amp;SCFT=3&amp;window=popup_no_bar&amp;width=385&amp;height=120&amp;START_MAXIMIZED=FALSE&amp;creator=factset&amp;display_string=Audit"}</definedName>
    <definedName name="_4031__FDSAUDITLINK__" localSheetId="7" hidden="1">{"fdsup://Directions/FactSet Auditing Viewer?action=AUDIT_VALUE&amp;DB=129&amp;ID1=45814010&amp;VALUEID=02001&amp;SDATE=200701&amp;PERIODTYPE=QTR_STD&amp;SCFT=3&amp;window=popup_no_bar&amp;width=385&amp;height=120&amp;START_MAXIMIZED=FALSE&amp;creator=factset&amp;display_string=Audit"}</definedName>
    <definedName name="_4031__FDSAUDITLINK__" hidden="1">{"fdsup://Directions/FactSet Auditing Viewer?action=AUDIT_VALUE&amp;DB=129&amp;ID1=45814010&amp;VALUEID=02001&amp;SDATE=200701&amp;PERIODTYPE=QTR_STD&amp;SCFT=3&amp;window=popup_no_bar&amp;width=385&amp;height=120&amp;START_MAXIMIZED=FALSE&amp;creator=factset&amp;display_string=Audit"}</definedName>
    <definedName name="_4032__FDSAUDITLINK__" localSheetId="7" hidden="1">{"fdsup://Directions/FactSet Auditing Viewer?action=AUDIT_VALUE&amp;DB=129&amp;ID1=45814010&amp;VALUEID=02001&amp;SDATE=200701&amp;PERIODTYPE=QTR_STD&amp;SCFT=3&amp;window=popup_no_bar&amp;width=385&amp;height=120&amp;START_MAXIMIZED=FALSE&amp;creator=factset&amp;display_string=Audit"}</definedName>
    <definedName name="_4032__FDSAUDITLINK__" hidden="1">{"fdsup://Directions/FactSet Auditing Viewer?action=AUDIT_VALUE&amp;DB=129&amp;ID1=45814010&amp;VALUEID=02001&amp;SDATE=200701&amp;PERIODTYPE=QTR_STD&amp;SCFT=3&amp;window=popup_no_bar&amp;width=385&amp;height=120&amp;START_MAXIMIZED=FALSE&amp;creator=factset&amp;display_string=Audit"}</definedName>
    <definedName name="_4033__FDSAUDITLINK__" localSheetId="7" hidden="1">{"fdsup://Directions/FactSet Auditing Viewer?action=AUDIT_VALUE&amp;DB=129&amp;ID1=45814010&amp;VALUEID=02001&amp;SDATE=200603&amp;PERIODTYPE=QTR_STD&amp;SCFT=3&amp;window=popup_no_bar&amp;width=385&amp;height=120&amp;START_MAXIMIZED=FALSE&amp;creator=factset&amp;display_string=Audit"}</definedName>
    <definedName name="_4033__FDSAUDITLINK__" hidden="1">{"fdsup://Directions/FactSet Auditing Viewer?action=AUDIT_VALUE&amp;DB=129&amp;ID1=45814010&amp;VALUEID=02001&amp;SDATE=200603&amp;PERIODTYPE=QTR_STD&amp;SCFT=3&amp;window=popup_no_bar&amp;width=385&amp;height=120&amp;START_MAXIMIZED=FALSE&amp;creator=factset&amp;display_string=Audit"}</definedName>
    <definedName name="_4034__FDSAUDITLINK__" localSheetId="7" hidden="1">{"fdsup://Directions/FactSet Auditing Viewer?action=AUDIT_VALUE&amp;DB=129&amp;ID1=45814010&amp;VALUEID=02001&amp;SDATE=200603&amp;PERIODTYPE=QTR_STD&amp;SCFT=3&amp;window=popup_no_bar&amp;width=385&amp;height=120&amp;START_MAXIMIZED=FALSE&amp;creator=factset&amp;display_string=Audit"}</definedName>
    <definedName name="_4034__FDSAUDITLINK__" hidden="1">{"fdsup://Directions/FactSet Auditing Viewer?action=AUDIT_VALUE&amp;DB=129&amp;ID1=45814010&amp;VALUEID=02001&amp;SDATE=200603&amp;PERIODTYPE=QTR_STD&amp;SCFT=3&amp;window=popup_no_bar&amp;width=385&amp;height=120&amp;START_MAXIMIZED=FALSE&amp;creator=factset&amp;display_string=Audit"}</definedName>
    <definedName name="_4035__FDSAUDITLINK__" localSheetId="7" hidden="1">{"fdsup://Directions/FactSet Auditing Viewer?action=AUDIT_VALUE&amp;DB=129&amp;ID1=45814010&amp;VALUEID=02001&amp;SDATE=200602&amp;PERIODTYPE=QTR_STD&amp;SCFT=3&amp;window=popup_no_bar&amp;width=385&amp;height=120&amp;START_MAXIMIZED=FALSE&amp;creator=factset&amp;display_string=Audit"}</definedName>
    <definedName name="_4035__FDSAUDITLINK__" hidden="1">{"fdsup://Directions/FactSet Auditing Viewer?action=AUDIT_VALUE&amp;DB=129&amp;ID1=45814010&amp;VALUEID=02001&amp;SDATE=200602&amp;PERIODTYPE=QTR_STD&amp;SCFT=3&amp;window=popup_no_bar&amp;width=385&amp;height=120&amp;START_MAXIMIZED=FALSE&amp;creator=factset&amp;display_string=Audit"}</definedName>
    <definedName name="_4036__FDSAUDITLINK__" localSheetId="7" hidden="1">{"fdsup://Directions/FactSet Auditing Viewer?action=AUDIT_VALUE&amp;DB=129&amp;ID1=45814010&amp;VALUEID=02001&amp;SDATE=200602&amp;PERIODTYPE=QTR_STD&amp;SCFT=3&amp;window=popup_no_bar&amp;width=385&amp;height=120&amp;START_MAXIMIZED=FALSE&amp;creator=factset&amp;display_string=Audit"}</definedName>
    <definedName name="_4036__FDSAUDITLINK__" hidden="1">{"fdsup://Directions/FactSet Auditing Viewer?action=AUDIT_VALUE&amp;DB=129&amp;ID1=45814010&amp;VALUEID=02001&amp;SDATE=200602&amp;PERIODTYPE=QTR_STD&amp;SCFT=3&amp;window=popup_no_bar&amp;width=385&amp;height=120&amp;START_MAXIMIZED=FALSE&amp;creator=factset&amp;display_string=Audit"}</definedName>
    <definedName name="_4037__FDSAUDITLINK__" localSheetId="7" hidden="1">{"fdsup://Directions/FactSet Auditing Viewer?action=AUDIT_VALUE&amp;DB=129&amp;ID1=45814010&amp;VALUEID=02001&amp;SDATE=200601&amp;PERIODTYPE=QTR_STD&amp;SCFT=3&amp;window=popup_no_bar&amp;width=385&amp;height=120&amp;START_MAXIMIZED=FALSE&amp;creator=factset&amp;display_string=Audit"}</definedName>
    <definedName name="_4037__FDSAUDITLINK__" hidden="1">{"fdsup://Directions/FactSet Auditing Viewer?action=AUDIT_VALUE&amp;DB=129&amp;ID1=45814010&amp;VALUEID=02001&amp;SDATE=200601&amp;PERIODTYPE=QTR_STD&amp;SCFT=3&amp;window=popup_no_bar&amp;width=385&amp;height=120&amp;START_MAXIMIZED=FALSE&amp;creator=factset&amp;display_string=Audit"}</definedName>
    <definedName name="_4038__FDSAUDITLINK__" localSheetId="7" hidden="1">{"fdsup://Directions/FactSet Auditing Viewer?action=AUDIT_VALUE&amp;DB=129&amp;ID1=45814010&amp;VALUEID=02001&amp;SDATE=200601&amp;PERIODTYPE=QTR_STD&amp;SCFT=3&amp;window=popup_no_bar&amp;width=385&amp;height=120&amp;START_MAXIMIZED=FALSE&amp;creator=factset&amp;display_string=Audit"}</definedName>
    <definedName name="_4038__FDSAUDITLINK__" hidden="1">{"fdsup://Directions/FactSet Auditing Viewer?action=AUDIT_VALUE&amp;DB=129&amp;ID1=45814010&amp;VALUEID=02001&amp;SDATE=200601&amp;PERIODTYPE=QTR_STD&amp;SCFT=3&amp;window=popup_no_bar&amp;width=385&amp;height=120&amp;START_MAXIMIZED=FALSE&amp;creator=factset&amp;display_string=Audit"}</definedName>
    <definedName name="_4039__FDSAUDITLINK__" localSheetId="7" hidden="1">{"fdsup://Directions/FactSet Auditing Viewer?action=AUDIT_VALUE&amp;DB=129&amp;ID1=45814010&amp;VALUEID=02001&amp;SDATE=200503&amp;PERIODTYPE=QTR_STD&amp;SCFT=3&amp;window=popup_no_bar&amp;width=385&amp;height=120&amp;START_MAXIMIZED=FALSE&amp;creator=factset&amp;display_string=Audit"}</definedName>
    <definedName name="_4039__FDSAUDITLINK__" hidden="1">{"fdsup://Directions/FactSet Auditing Viewer?action=AUDIT_VALUE&amp;DB=129&amp;ID1=45814010&amp;VALUEID=02001&amp;SDATE=200503&amp;PERIODTYPE=QTR_STD&amp;SCFT=3&amp;window=popup_no_bar&amp;width=385&amp;height=120&amp;START_MAXIMIZED=FALSE&amp;creator=factset&amp;display_string=Audit"}</definedName>
    <definedName name="_404__FDSAUDITLINK__" localSheetId="7" hidden="1">{"fdsup://Directions/FactSet Auditing Viewer?action=AUDIT_VALUE&amp;DB=129&amp;ID1=29247520&amp;VALUEID=02001&amp;SDATE=201101&amp;PERIODTYPE=QTR_STD&amp;SCFT=3&amp;window=popup_no_bar&amp;width=385&amp;height=120&amp;START_MAXIMIZED=FALSE&amp;creator=factset&amp;display_string=Audit"}</definedName>
    <definedName name="_404__FDSAUDITLINK__" hidden="1">{"fdsup://Directions/FactSet Auditing Viewer?action=AUDIT_VALUE&amp;DB=129&amp;ID1=29247520&amp;VALUEID=02001&amp;SDATE=201101&amp;PERIODTYPE=QTR_STD&amp;SCFT=3&amp;window=popup_no_bar&amp;width=385&amp;height=120&amp;START_MAXIMIZED=FALSE&amp;creator=factset&amp;display_string=Audit"}</definedName>
    <definedName name="_4040__FDSAUDITLINK__" localSheetId="7" hidden="1">{"fdsup://Directions/FactSet Auditing Viewer?action=AUDIT_VALUE&amp;DB=129&amp;ID1=45814010&amp;VALUEID=02001&amp;SDATE=200503&amp;PERIODTYPE=QTR_STD&amp;SCFT=3&amp;window=popup_no_bar&amp;width=385&amp;height=120&amp;START_MAXIMIZED=FALSE&amp;creator=factset&amp;display_string=Audit"}</definedName>
    <definedName name="_4040__FDSAUDITLINK__" hidden="1">{"fdsup://Directions/FactSet Auditing Viewer?action=AUDIT_VALUE&amp;DB=129&amp;ID1=45814010&amp;VALUEID=02001&amp;SDATE=200503&amp;PERIODTYPE=QTR_STD&amp;SCFT=3&amp;window=popup_no_bar&amp;width=385&amp;height=120&amp;START_MAXIMIZED=FALSE&amp;creator=factset&amp;display_string=Audit"}</definedName>
    <definedName name="_4041__FDSAUDITLINK__" localSheetId="7" hidden="1">{"fdsup://Directions/FactSet Auditing Viewer?action=AUDIT_VALUE&amp;DB=129&amp;ID1=45814010&amp;VALUEID=02001&amp;SDATE=200502&amp;PERIODTYPE=QTR_STD&amp;SCFT=3&amp;window=popup_no_bar&amp;width=385&amp;height=120&amp;START_MAXIMIZED=FALSE&amp;creator=factset&amp;display_string=Audit"}</definedName>
    <definedName name="_4041__FDSAUDITLINK__" hidden="1">{"fdsup://Directions/FactSet Auditing Viewer?action=AUDIT_VALUE&amp;DB=129&amp;ID1=45814010&amp;VALUEID=02001&amp;SDATE=200502&amp;PERIODTYPE=QTR_STD&amp;SCFT=3&amp;window=popup_no_bar&amp;width=385&amp;height=120&amp;START_MAXIMIZED=FALSE&amp;creator=factset&amp;display_string=Audit"}</definedName>
    <definedName name="_4042__FDSAUDITLINK__" localSheetId="7" hidden="1">{"fdsup://Directions/FactSet Auditing Viewer?action=AUDIT_VALUE&amp;DB=129&amp;ID1=45814010&amp;VALUEID=02001&amp;SDATE=200502&amp;PERIODTYPE=QTR_STD&amp;SCFT=3&amp;window=popup_no_bar&amp;width=385&amp;height=120&amp;START_MAXIMIZED=FALSE&amp;creator=factset&amp;display_string=Audit"}</definedName>
    <definedName name="_4042__FDSAUDITLINK__" hidden="1">{"fdsup://Directions/FactSet Auditing Viewer?action=AUDIT_VALUE&amp;DB=129&amp;ID1=45814010&amp;VALUEID=02001&amp;SDATE=200502&amp;PERIODTYPE=QTR_STD&amp;SCFT=3&amp;window=popup_no_bar&amp;width=385&amp;height=120&amp;START_MAXIMIZED=FALSE&amp;creator=factset&amp;display_string=Audit"}</definedName>
    <definedName name="_4043__FDSAUDITLINK__" localSheetId="7" hidden="1">{"fdsup://Directions/FactSet Auditing Viewer?action=AUDIT_VALUE&amp;DB=129&amp;ID1=45814010&amp;VALUEID=02001&amp;SDATE=200501&amp;PERIODTYPE=QTR_STD&amp;SCFT=3&amp;window=popup_no_bar&amp;width=385&amp;height=120&amp;START_MAXIMIZED=FALSE&amp;creator=factset&amp;display_string=Audit"}</definedName>
    <definedName name="_4043__FDSAUDITLINK__" hidden="1">{"fdsup://Directions/FactSet Auditing Viewer?action=AUDIT_VALUE&amp;DB=129&amp;ID1=45814010&amp;VALUEID=02001&amp;SDATE=200501&amp;PERIODTYPE=QTR_STD&amp;SCFT=3&amp;window=popup_no_bar&amp;width=385&amp;height=120&amp;START_MAXIMIZED=FALSE&amp;creator=factset&amp;display_string=Audit"}</definedName>
    <definedName name="_4044__FDSAUDITLINK__" localSheetId="7" hidden="1">{"fdsup://Directions/FactSet Auditing Viewer?action=AUDIT_VALUE&amp;DB=129&amp;ID1=45814010&amp;VALUEID=02001&amp;SDATE=200501&amp;PERIODTYPE=QTR_STD&amp;SCFT=3&amp;window=popup_no_bar&amp;width=385&amp;height=120&amp;START_MAXIMIZED=FALSE&amp;creator=factset&amp;display_string=Audit"}</definedName>
    <definedName name="_4044__FDSAUDITLINK__" hidden="1">{"fdsup://Directions/FactSet Auditing Viewer?action=AUDIT_VALUE&amp;DB=129&amp;ID1=45814010&amp;VALUEID=02001&amp;SDATE=200501&amp;PERIODTYPE=QTR_STD&amp;SCFT=3&amp;window=popup_no_bar&amp;width=385&amp;height=120&amp;START_MAXIMIZED=FALSE&amp;creator=factset&amp;display_string=Audit"}</definedName>
    <definedName name="_4045__FDSAUDITLINK__" localSheetId="7" hidden="1">{"fdsup://Directions/FactSet Auditing Viewer?action=AUDIT_VALUE&amp;DB=129&amp;ID1=45814010&amp;VALUEID=02001&amp;SDATE=200403&amp;PERIODTYPE=QTR_STD&amp;SCFT=3&amp;window=popup_no_bar&amp;width=385&amp;height=120&amp;START_MAXIMIZED=FALSE&amp;creator=factset&amp;display_string=Audit"}</definedName>
    <definedName name="_4045__FDSAUDITLINK__" hidden="1">{"fdsup://Directions/FactSet Auditing Viewer?action=AUDIT_VALUE&amp;DB=129&amp;ID1=45814010&amp;VALUEID=02001&amp;SDATE=200403&amp;PERIODTYPE=QTR_STD&amp;SCFT=3&amp;window=popup_no_bar&amp;width=385&amp;height=120&amp;START_MAXIMIZED=FALSE&amp;creator=factset&amp;display_string=Audit"}</definedName>
    <definedName name="_4046__FDSAUDITLINK__" localSheetId="7" hidden="1">{"fdsup://Directions/FactSet Auditing Viewer?action=AUDIT_VALUE&amp;DB=129&amp;ID1=45814010&amp;VALUEID=02001&amp;SDATE=200403&amp;PERIODTYPE=QTR_STD&amp;SCFT=3&amp;window=popup_no_bar&amp;width=385&amp;height=120&amp;START_MAXIMIZED=FALSE&amp;creator=factset&amp;display_string=Audit"}</definedName>
    <definedName name="_4046__FDSAUDITLINK__" hidden="1">{"fdsup://Directions/FactSet Auditing Viewer?action=AUDIT_VALUE&amp;DB=129&amp;ID1=45814010&amp;VALUEID=02001&amp;SDATE=200403&amp;PERIODTYPE=QTR_STD&amp;SCFT=3&amp;window=popup_no_bar&amp;width=385&amp;height=120&amp;START_MAXIMIZED=FALSE&amp;creator=factset&amp;display_string=Audit"}</definedName>
    <definedName name="_4047__FDSAUDITLINK__" localSheetId="7" hidden="1">{"fdsup://Directions/FactSet Auditing Viewer?action=AUDIT_VALUE&amp;DB=129&amp;ID1=45814010&amp;VALUEID=02001&amp;SDATE=200402&amp;PERIODTYPE=QTR_STD&amp;SCFT=3&amp;window=popup_no_bar&amp;width=385&amp;height=120&amp;START_MAXIMIZED=FALSE&amp;creator=factset&amp;display_string=Audit"}</definedName>
    <definedName name="_4047__FDSAUDITLINK__" hidden="1">{"fdsup://Directions/FactSet Auditing Viewer?action=AUDIT_VALUE&amp;DB=129&amp;ID1=45814010&amp;VALUEID=02001&amp;SDATE=200402&amp;PERIODTYPE=QTR_STD&amp;SCFT=3&amp;window=popup_no_bar&amp;width=385&amp;height=120&amp;START_MAXIMIZED=FALSE&amp;creator=factset&amp;display_string=Audit"}</definedName>
    <definedName name="_4048__FDSAUDITLINK__" localSheetId="7" hidden="1">{"fdsup://Directions/FactSet Auditing Viewer?action=AUDIT_VALUE&amp;DB=129&amp;ID1=45814010&amp;VALUEID=02001&amp;SDATE=200402&amp;PERIODTYPE=QTR_STD&amp;SCFT=3&amp;window=popup_no_bar&amp;width=385&amp;height=120&amp;START_MAXIMIZED=FALSE&amp;creator=factset&amp;display_string=Audit"}</definedName>
    <definedName name="_4048__FDSAUDITLINK__" hidden="1">{"fdsup://Directions/FactSet Auditing Viewer?action=AUDIT_VALUE&amp;DB=129&amp;ID1=45814010&amp;VALUEID=02001&amp;SDATE=200402&amp;PERIODTYPE=QTR_STD&amp;SCFT=3&amp;window=popup_no_bar&amp;width=385&amp;height=120&amp;START_MAXIMIZED=FALSE&amp;creator=factset&amp;display_string=Audit"}</definedName>
    <definedName name="_4049__FDSAUDITLINK__" localSheetId="7" hidden="1">{"fdsup://Directions/FactSet Auditing Viewer?action=AUDIT_VALUE&amp;DB=129&amp;ID1=45814010&amp;VALUEID=02001&amp;SDATE=200401&amp;PERIODTYPE=QTR_STD&amp;SCFT=3&amp;window=popup_no_bar&amp;width=385&amp;height=120&amp;START_MAXIMIZED=FALSE&amp;creator=factset&amp;display_string=Audit"}</definedName>
    <definedName name="_4049__FDSAUDITLINK__" hidden="1">{"fdsup://Directions/FactSet Auditing Viewer?action=AUDIT_VALUE&amp;DB=129&amp;ID1=45814010&amp;VALUEID=02001&amp;SDATE=200401&amp;PERIODTYPE=QTR_STD&amp;SCFT=3&amp;window=popup_no_bar&amp;width=385&amp;height=120&amp;START_MAXIMIZED=FALSE&amp;creator=factset&amp;display_string=Audit"}</definedName>
    <definedName name="_405__FDSAUDITLINK__" localSheetId="7" hidden="1">{"fdsup://Directions/FactSet Auditing Viewer?action=AUDIT_VALUE&amp;DB=129&amp;ID1=25454310&amp;VALUEID=02001&amp;SDATE=201003&amp;PERIODTYPE=QTR_STD&amp;SCFT=3&amp;window=popup_no_bar&amp;width=385&amp;height=120&amp;START_MAXIMIZED=FALSE&amp;creator=factset&amp;display_string=Audit"}</definedName>
    <definedName name="_405__FDSAUDITLINK__" hidden="1">{"fdsup://Directions/FactSet Auditing Viewer?action=AUDIT_VALUE&amp;DB=129&amp;ID1=25454310&amp;VALUEID=02001&amp;SDATE=201003&amp;PERIODTYPE=QTR_STD&amp;SCFT=3&amp;window=popup_no_bar&amp;width=385&amp;height=120&amp;START_MAXIMIZED=FALSE&amp;creator=factset&amp;display_string=Audit"}</definedName>
    <definedName name="_4050__FDSAUDITLINK__" localSheetId="7" hidden="1">{"fdsup://Directions/FactSet Auditing Viewer?action=AUDIT_VALUE&amp;DB=129&amp;ID1=45814010&amp;VALUEID=02001&amp;SDATE=200401&amp;PERIODTYPE=QTR_STD&amp;SCFT=3&amp;window=popup_no_bar&amp;width=385&amp;height=120&amp;START_MAXIMIZED=FALSE&amp;creator=factset&amp;display_string=Audit"}</definedName>
    <definedName name="_4050__FDSAUDITLINK__" hidden="1">{"fdsup://Directions/FactSet Auditing Viewer?action=AUDIT_VALUE&amp;DB=129&amp;ID1=45814010&amp;VALUEID=02001&amp;SDATE=200401&amp;PERIODTYPE=QTR_STD&amp;SCFT=3&amp;window=popup_no_bar&amp;width=385&amp;height=120&amp;START_MAXIMIZED=FALSE&amp;creator=factset&amp;display_string=Audit"}</definedName>
    <definedName name="_4051__FDSAUDITLINK__" localSheetId="7" hidden="1">{"fdsup://Directions/FactSet Auditing Viewer?action=AUDIT_VALUE&amp;DB=129&amp;ID1=45811810&amp;VALUEID=02001&amp;SDATE=200703&amp;PERIODTYPE=QTR_STD&amp;SCFT=3&amp;window=popup_no_bar&amp;width=385&amp;height=120&amp;START_MAXIMIZED=FALSE&amp;creator=factset&amp;display_string=Audit"}</definedName>
    <definedName name="_4051__FDSAUDITLINK__" hidden="1">{"fdsup://Directions/FactSet Auditing Viewer?action=AUDIT_VALUE&amp;DB=129&amp;ID1=45811810&amp;VALUEID=02001&amp;SDATE=200703&amp;PERIODTYPE=QTR_STD&amp;SCFT=3&amp;window=popup_no_bar&amp;width=385&amp;height=120&amp;START_MAXIMIZED=FALSE&amp;creator=factset&amp;display_string=Audit"}</definedName>
    <definedName name="_4052__FDSAUDITLINK__" localSheetId="7" hidden="1">{"fdsup://Directions/FactSet Auditing Viewer?action=AUDIT_VALUE&amp;DB=129&amp;ID1=45811810&amp;VALUEID=02001&amp;SDATE=200703&amp;PERIODTYPE=QTR_STD&amp;SCFT=3&amp;window=popup_no_bar&amp;width=385&amp;height=120&amp;START_MAXIMIZED=FALSE&amp;creator=factset&amp;display_string=Audit"}</definedName>
    <definedName name="_4052__FDSAUDITLINK__" hidden="1">{"fdsup://Directions/FactSet Auditing Viewer?action=AUDIT_VALUE&amp;DB=129&amp;ID1=45811810&amp;VALUEID=02001&amp;SDATE=200703&amp;PERIODTYPE=QTR_STD&amp;SCFT=3&amp;window=popup_no_bar&amp;width=385&amp;height=120&amp;START_MAXIMIZED=FALSE&amp;creator=factset&amp;display_string=Audit"}</definedName>
    <definedName name="_4053__FDSAUDITLINK__" localSheetId="7" hidden="1">{"fdsup://Directions/FactSet Auditing Viewer?action=AUDIT_VALUE&amp;DB=129&amp;ID1=45811810&amp;VALUEID=02001&amp;SDATE=200702&amp;PERIODTYPE=QTR_STD&amp;SCFT=3&amp;window=popup_no_bar&amp;width=385&amp;height=120&amp;START_MAXIMIZED=FALSE&amp;creator=factset&amp;display_string=Audit"}</definedName>
    <definedName name="_4053__FDSAUDITLINK__" hidden="1">{"fdsup://Directions/FactSet Auditing Viewer?action=AUDIT_VALUE&amp;DB=129&amp;ID1=45811810&amp;VALUEID=02001&amp;SDATE=200702&amp;PERIODTYPE=QTR_STD&amp;SCFT=3&amp;window=popup_no_bar&amp;width=385&amp;height=120&amp;START_MAXIMIZED=FALSE&amp;creator=factset&amp;display_string=Audit"}</definedName>
    <definedName name="_4054__FDSAUDITLINK__" localSheetId="7" hidden="1">{"fdsup://Directions/FactSet Auditing Viewer?action=AUDIT_VALUE&amp;DB=129&amp;ID1=45811810&amp;VALUEID=02001&amp;SDATE=200702&amp;PERIODTYPE=QTR_STD&amp;SCFT=3&amp;window=popup_no_bar&amp;width=385&amp;height=120&amp;START_MAXIMIZED=FALSE&amp;creator=factset&amp;display_string=Audit"}</definedName>
    <definedName name="_4054__FDSAUDITLINK__" hidden="1">{"fdsup://Directions/FactSet Auditing Viewer?action=AUDIT_VALUE&amp;DB=129&amp;ID1=45811810&amp;VALUEID=02001&amp;SDATE=200702&amp;PERIODTYPE=QTR_STD&amp;SCFT=3&amp;window=popup_no_bar&amp;width=385&amp;height=120&amp;START_MAXIMIZED=FALSE&amp;creator=factset&amp;display_string=Audit"}</definedName>
    <definedName name="_4055__FDSAUDITLINK__" localSheetId="7" hidden="1">{"fdsup://Directions/FactSet Auditing Viewer?action=AUDIT_VALUE&amp;DB=129&amp;ID1=45811810&amp;VALUEID=02001&amp;SDATE=200701&amp;PERIODTYPE=QTR_STD&amp;SCFT=3&amp;window=popup_no_bar&amp;width=385&amp;height=120&amp;START_MAXIMIZED=FALSE&amp;creator=factset&amp;display_string=Audit"}</definedName>
    <definedName name="_4055__FDSAUDITLINK__" hidden="1">{"fdsup://Directions/FactSet Auditing Viewer?action=AUDIT_VALUE&amp;DB=129&amp;ID1=45811810&amp;VALUEID=02001&amp;SDATE=200701&amp;PERIODTYPE=QTR_STD&amp;SCFT=3&amp;window=popup_no_bar&amp;width=385&amp;height=120&amp;START_MAXIMIZED=FALSE&amp;creator=factset&amp;display_string=Audit"}</definedName>
    <definedName name="_4056__FDSAUDITLINK__" localSheetId="7" hidden="1">{"fdsup://Directions/FactSet Auditing Viewer?action=AUDIT_VALUE&amp;DB=129&amp;ID1=45811810&amp;VALUEID=02001&amp;SDATE=200701&amp;PERIODTYPE=QTR_STD&amp;SCFT=3&amp;window=popup_no_bar&amp;width=385&amp;height=120&amp;START_MAXIMIZED=FALSE&amp;creator=factset&amp;display_string=Audit"}</definedName>
    <definedName name="_4056__FDSAUDITLINK__" hidden="1">{"fdsup://Directions/FactSet Auditing Viewer?action=AUDIT_VALUE&amp;DB=129&amp;ID1=45811810&amp;VALUEID=02001&amp;SDATE=200701&amp;PERIODTYPE=QTR_STD&amp;SCFT=3&amp;window=popup_no_bar&amp;width=385&amp;height=120&amp;START_MAXIMIZED=FALSE&amp;creator=factset&amp;display_string=Audit"}</definedName>
    <definedName name="_4057__FDSAUDITLINK__" localSheetId="7" hidden="1">{"fdsup://Directions/FactSet Auditing Viewer?action=AUDIT_VALUE&amp;DB=129&amp;ID1=45811810&amp;VALUEID=02001&amp;SDATE=200603&amp;PERIODTYPE=QTR_STD&amp;SCFT=3&amp;window=popup_no_bar&amp;width=385&amp;height=120&amp;START_MAXIMIZED=FALSE&amp;creator=factset&amp;display_string=Audit"}</definedName>
    <definedName name="_4057__FDSAUDITLINK__" hidden="1">{"fdsup://Directions/FactSet Auditing Viewer?action=AUDIT_VALUE&amp;DB=129&amp;ID1=45811810&amp;VALUEID=02001&amp;SDATE=200603&amp;PERIODTYPE=QTR_STD&amp;SCFT=3&amp;window=popup_no_bar&amp;width=385&amp;height=120&amp;START_MAXIMIZED=FALSE&amp;creator=factset&amp;display_string=Audit"}</definedName>
    <definedName name="_4058__FDSAUDITLINK__" localSheetId="7" hidden="1">{"fdsup://Directions/FactSet Auditing Viewer?action=AUDIT_VALUE&amp;DB=129&amp;ID1=45811810&amp;VALUEID=02001&amp;SDATE=200603&amp;PERIODTYPE=QTR_STD&amp;SCFT=3&amp;window=popup_no_bar&amp;width=385&amp;height=120&amp;START_MAXIMIZED=FALSE&amp;creator=factset&amp;display_string=Audit"}</definedName>
    <definedName name="_4058__FDSAUDITLINK__" hidden="1">{"fdsup://Directions/FactSet Auditing Viewer?action=AUDIT_VALUE&amp;DB=129&amp;ID1=45811810&amp;VALUEID=02001&amp;SDATE=200603&amp;PERIODTYPE=QTR_STD&amp;SCFT=3&amp;window=popup_no_bar&amp;width=385&amp;height=120&amp;START_MAXIMIZED=FALSE&amp;creator=factset&amp;display_string=Audit"}</definedName>
    <definedName name="_4059__FDSAUDITLINK__" localSheetId="7" hidden="1">{"fdsup://Directions/FactSet Auditing Viewer?action=AUDIT_VALUE&amp;DB=129&amp;ID1=45811810&amp;VALUEID=02001&amp;SDATE=200602&amp;PERIODTYPE=QTR_STD&amp;SCFT=3&amp;window=popup_no_bar&amp;width=385&amp;height=120&amp;START_MAXIMIZED=FALSE&amp;creator=factset&amp;display_string=Audit"}</definedName>
    <definedName name="_4059__FDSAUDITLINK__" hidden="1">{"fdsup://Directions/FactSet Auditing Viewer?action=AUDIT_VALUE&amp;DB=129&amp;ID1=45811810&amp;VALUEID=02001&amp;SDATE=200602&amp;PERIODTYPE=QTR_STD&amp;SCFT=3&amp;window=popup_no_bar&amp;width=385&amp;height=120&amp;START_MAXIMIZED=FALSE&amp;creator=factset&amp;display_string=Audit"}</definedName>
    <definedName name="_406__FDSAUDITLINK__" localSheetId="7" hidden="1">{"fdsup://Directions/FactSet Auditing Viewer?action=AUDIT_VALUE&amp;DB=129&amp;ID1=25454310&amp;VALUEID=02001&amp;SDATE=201003&amp;PERIODTYPE=QTR_STD&amp;SCFT=3&amp;window=popup_no_bar&amp;width=385&amp;height=120&amp;START_MAXIMIZED=FALSE&amp;creator=factset&amp;display_string=Audit"}</definedName>
    <definedName name="_406__FDSAUDITLINK__" hidden="1">{"fdsup://Directions/FactSet Auditing Viewer?action=AUDIT_VALUE&amp;DB=129&amp;ID1=25454310&amp;VALUEID=02001&amp;SDATE=201003&amp;PERIODTYPE=QTR_STD&amp;SCFT=3&amp;window=popup_no_bar&amp;width=385&amp;height=120&amp;START_MAXIMIZED=FALSE&amp;creator=factset&amp;display_string=Audit"}</definedName>
    <definedName name="_4060__FDSAUDITLINK__" localSheetId="7" hidden="1">{"fdsup://Directions/FactSet Auditing Viewer?action=AUDIT_VALUE&amp;DB=129&amp;ID1=45811810&amp;VALUEID=02001&amp;SDATE=200602&amp;PERIODTYPE=QTR_STD&amp;SCFT=3&amp;window=popup_no_bar&amp;width=385&amp;height=120&amp;START_MAXIMIZED=FALSE&amp;creator=factset&amp;display_string=Audit"}</definedName>
    <definedName name="_4060__FDSAUDITLINK__" hidden="1">{"fdsup://Directions/FactSet Auditing Viewer?action=AUDIT_VALUE&amp;DB=129&amp;ID1=45811810&amp;VALUEID=02001&amp;SDATE=200602&amp;PERIODTYPE=QTR_STD&amp;SCFT=3&amp;window=popup_no_bar&amp;width=385&amp;height=120&amp;START_MAXIMIZED=FALSE&amp;creator=factset&amp;display_string=Audit"}</definedName>
    <definedName name="_4061__FDSAUDITLINK__" localSheetId="7" hidden="1">{"fdsup://Directions/FactSet Auditing Viewer?action=AUDIT_VALUE&amp;DB=129&amp;ID1=45811810&amp;VALUEID=02001&amp;SDATE=200601&amp;PERIODTYPE=QTR_STD&amp;SCFT=3&amp;window=popup_no_bar&amp;width=385&amp;height=120&amp;START_MAXIMIZED=FALSE&amp;creator=factset&amp;display_string=Audit"}</definedName>
    <definedName name="_4061__FDSAUDITLINK__" hidden="1">{"fdsup://Directions/FactSet Auditing Viewer?action=AUDIT_VALUE&amp;DB=129&amp;ID1=45811810&amp;VALUEID=02001&amp;SDATE=200601&amp;PERIODTYPE=QTR_STD&amp;SCFT=3&amp;window=popup_no_bar&amp;width=385&amp;height=120&amp;START_MAXIMIZED=FALSE&amp;creator=factset&amp;display_string=Audit"}</definedName>
    <definedName name="_4062__FDSAUDITLINK__" localSheetId="7" hidden="1">{"fdsup://Directions/FactSet Auditing Viewer?action=AUDIT_VALUE&amp;DB=129&amp;ID1=45811810&amp;VALUEID=02001&amp;SDATE=200601&amp;PERIODTYPE=QTR_STD&amp;SCFT=3&amp;window=popup_no_bar&amp;width=385&amp;height=120&amp;START_MAXIMIZED=FALSE&amp;creator=factset&amp;display_string=Audit"}</definedName>
    <definedName name="_4062__FDSAUDITLINK__" hidden="1">{"fdsup://Directions/FactSet Auditing Viewer?action=AUDIT_VALUE&amp;DB=129&amp;ID1=45811810&amp;VALUEID=02001&amp;SDATE=200601&amp;PERIODTYPE=QTR_STD&amp;SCFT=3&amp;window=popup_no_bar&amp;width=385&amp;height=120&amp;START_MAXIMIZED=FALSE&amp;creator=factset&amp;display_string=Audit"}</definedName>
    <definedName name="_4063__FDSAUDITLINK__" localSheetId="7" hidden="1">{"fdsup://Directions/FactSet Auditing Viewer?action=AUDIT_VALUE&amp;DB=129&amp;ID1=45811810&amp;VALUEID=02001&amp;SDATE=200503&amp;PERIODTYPE=QTR_STD&amp;SCFT=3&amp;window=popup_no_bar&amp;width=385&amp;height=120&amp;START_MAXIMIZED=FALSE&amp;creator=factset&amp;display_string=Audit"}</definedName>
    <definedName name="_4063__FDSAUDITLINK__" hidden="1">{"fdsup://Directions/FactSet Auditing Viewer?action=AUDIT_VALUE&amp;DB=129&amp;ID1=45811810&amp;VALUEID=02001&amp;SDATE=200503&amp;PERIODTYPE=QTR_STD&amp;SCFT=3&amp;window=popup_no_bar&amp;width=385&amp;height=120&amp;START_MAXIMIZED=FALSE&amp;creator=factset&amp;display_string=Audit"}</definedName>
    <definedName name="_4064__FDSAUDITLINK__" localSheetId="7" hidden="1">{"fdsup://Directions/FactSet Auditing Viewer?action=AUDIT_VALUE&amp;DB=129&amp;ID1=45811810&amp;VALUEID=02001&amp;SDATE=200503&amp;PERIODTYPE=QTR_STD&amp;SCFT=3&amp;window=popup_no_bar&amp;width=385&amp;height=120&amp;START_MAXIMIZED=FALSE&amp;creator=factset&amp;display_string=Audit"}</definedName>
    <definedName name="_4064__FDSAUDITLINK__" hidden="1">{"fdsup://Directions/FactSet Auditing Viewer?action=AUDIT_VALUE&amp;DB=129&amp;ID1=45811810&amp;VALUEID=02001&amp;SDATE=200503&amp;PERIODTYPE=QTR_STD&amp;SCFT=3&amp;window=popup_no_bar&amp;width=385&amp;height=120&amp;START_MAXIMIZED=FALSE&amp;creator=factset&amp;display_string=Audit"}</definedName>
    <definedName name="_4065__FDSAUDITLINK__" localSheetId="7" hidden="1">{"fdsup://Directions/FactSet Auditing Viewer?action=AUDIT_VALUE&amp;DB=129&amp;ID1=45811810&amp;VALUEID=02001&amp;SDATE=200502&amp;PERIODTYPE=QTR_STD&amp;SCFT=3&amp;window=popup_no_bar&amp;width=385&amp;height=120&amp;START_MAXIMIZED=FALSE&amp;creator=factset&amp;display_string=Audit"}</definedName>
    <definedName name="_4065__FDSAUDITLINK__" hidden="1">{"fdsup://Directions/FactSet Auditing Viewer?action=AUDIT_VALUE&amp;DB=129&amp;ID1=45811810&amp;VALUEID=02001&amp;SDATE=200502&amp;PERIODTYPE=QTR_STD&amp;SCFT=3&amp;window=popup_no_bar&amp;width=385&amp;height=120&amp;START_MAXIMIZED=FALSE&amp;creator=factset&amp;display_string=Audit"}</definedName>
    <definedName name="_4066__FDSAUDITLINK__" localSheetId="7" hidden="1">{"fdsup://Directions/FactSet Auditing Viewer?action=AUDIT_VALUE&amp;DB=129&amp;ID1=45811810&amp;VALUEID=02001&amp;SDATE=200502&amp;PERIODTYPE=QTR_STD&amp;SCFT=3&amp;window=popup_no_bar&amp;width=385&amp;height=120&amp;START_MAXIMIZED=FALSE&amp;creator=factset&amp;display_string=Audit"}</definedName>
    <definedName name="_4066__FDSAUDITLINK__" hidden="1">{"fdsup://Directions/FactSet Auditing Viewer?action=AUDIT_VALUE&amp;DB=129&amp;ID1=45811810&amp;VALUEID=02001&amp;SDATE=200502&amp;PERIODTYPE=QTR_STD&amp;SCFT=3&amp;window=popup_no_bar&amp;width=385&amp;height=120&amp;START_MAXIMIZED=FALSE&amp;creator=factset&amp;display_string=Audit"}</definedName>
    <definedName name="_4067__FDSAUDITLINK__" localSheetId="7" hidden="1">{"fdsup://Directions/FactSet Auditing Viewer?action=AUDIT_VALUE&amp;DB=129&amp;ID1=45811810&amp;VALUEID=02001&amp;SDATE=200501&amp;PERIODTYPE=QTR_STD&amp;SCFT=3&amp;window=popup_no_bar&amp;width=385&amp;height=120&amp;START_MAXIMIZED=FALSE&amp;creator=factset&amp;display_string=Audit"}</definedName>
    <definedName name="_4067__FDSAUDITLINK__" hidden="1">{"fdsup://Directions/FactSet Auditing Viewer?action=AUDIT_VALUE&amp;DB=129&amp;ID1=45811810&amp;VALUEID=02001&amp;SDATE=200501&amp;PERIODTYPE=QTR_STD&amp;SCFT=3&amp;window=popup_no_bar&amp;width=385&amp;height=120&amp;START_MAXIMIZED=FALSE&amp;creator=factset&amp;display_string=Audit"}</definedName>
    <definedName name="_4068__FDSAUDITLINK__" localSheetId="7" hidden="1">{"fdsup://Directions/FactSet Auditing Viewer?action=AUDIT_VALUE&amp;DB=129&amp;ID1=45811810&amp;VALUEID=02001&amp;SDATE=200501&amp;PERIODTYPE=QTR_STD&amp;SCFT=3&amp;window=popup_no_bar&amp;width=385&amp;height=120&amp;START_MAXIMIZED=FALSE&amp;creator=factset&amp;display_string=Audit"}</definedName>
    <definedName name="_4068__FDSAUDITLINK__" hidden="1">{"fdsup://Directions/FactSet Auditing Viewer?action=AUDIT_VALUE&amp;DB=129&amp;ID1=45811810&amp;VALUEID=02001&amp;SDATE=200501&amp;PERIODTYPE=QTR_STD&amp;SCFT=3&amp;window=popup_no_bar&amp;width=385&amp;height=120&amp;START_MAXIMIZED=FALSE&amp;creator=factset&amp;display_string=Audit"}</definedName>
    <definedName name="_4069__FDSAUDITLINK__" localSheetId="7" hidden="1">{"fdsup://Directions/FactSet Auditing Viewer?action=AUDIT_VALUE&amp;DB=129&amp;ID1=45811810&amp;VALUEID=02001&amp;SDATE=200403&amp;PERIODTYPE=QTR_STD&amp;SCFT=3&amp;window=popup_no_bar&amp;width=385&amp;height=120&amp;START_MAXIMIZED=FALSE&amp;creator=factset&amp;display_string=Audit"}</definedName>
    <definedName name="_4069__FDSAUDITLINK__" hidden="1">{"fdsup://Directions/FactSet Auditing Viewer?action=AUDIT_VALUE&amp;DB=129&amp;ID1=45811810&amp;VALUEID=02001&amp;SDATE=200403&amp;PERIODTYPE=QTR_STD&amp;SCFT=3&amp;window=popup_no_bar&amp;width=385&amp;height=120&amp;START_MAXIMIZED=FALSE&amp;creator=factset&amp;display_string=Audit"}</definedName>
    <definedName name="_407__FDSAUDITLINK__" localSheetId="7" hidden="1">{"fdsup://Directions/FactSet Auditing Viewer?action=AUDIT_VALUE&amp;DB=129&amp;ID1=24702R10&amp;VALUEID=02001&amp;SDATE=201003&amp;PERIODTYPE=QTR_STD&amp;SCFT=3&amp;window=popup_no_bar&amp;width=385&amp;height=120&amp;START_MAXIMIZED=FALSE&amp;creator=factset&amp;display_string=Audit"}</definedName>
    <definedName name="_407__FDSAUDITLINK__" hidden="1">{"fdsup://Directions/FactSet Auditing Viewer?action=AUDIT_VALUE&amp;DB=129&amp;ID1=24702R10&amp;VALUEID=02001&amp;SDATE=201003&amp;PERIODTYPE=QTR_STD&amp;SCFT=3&amp;window=popup_no_bar&amp;width=385&amp;height=120&amp;START_MAXIMIZED=FALSE&amp;creator=factset&amp;display_string=Audit"}</definedName>
    <definedName name="_4070__FDSAUDITLINK__" localSheetId="7" hidden="1">{"fdsup://Directions/FactSet Auditing Viewer?action=AUDIT_VALUE&amp;DB=129&amp;ID1=45811810&amp;VALUEID=02001&amp;SDATE=200403&amp;PERIODTYPE=QTR_STD&amp;SCFT=3&amp;window=popup_no_bar&amp;width=385&amp;height=120&amp;START_MAXIMIZED=FALSE&amp;creator=factset&amp;display_string=Audit"}</definedName>
    <definedName name="_4070__FDSAUDITLINK__" hidden="1">{"fdsup://Directions/FactSet Auditing Viewer?action=AUDIT_VALUE&amp;DB=129&amp;ID1=45811810&amp;VALUEID=02001&amp;SDATE=200403&amp;PERIODTYPE=QTR_STD&amp;SCFT=3&amp;window=popup_no_bar&amp;width=385&amp;height=120&amp;START_MAXIMIZED=FALSE&amp;creator=factset&amp;display_string=Audit"}</definedName>
    <definedName name="_4071__FDSAUDITLINK__" localSheetId="7" hidden="1">{"fdsup://Directions/FactSet Auditing Viewer?action=AUDIT_VALUE&amp;DB=129&amp;ID1=45811810&amp;VALUEID=02001&amp;SDATE=200402&amp;PERIODTYPE=QTR_STD&amp;SCFT=3&amp;window=popup_no_bar&amp;width=385&amp;height=120&amp;START_MAXIMIZED=FALSE&amp;creator=factset&amp;display_string=Audit"}</definedName>
    <definedName name="_4071__FDSAUDITLINK__" hidden="1">{"fdsup://Directions/FactSet Auditing Viewer?action=AUDIT_VALUE&amp;DB=129&amp;ID1=45811810&amp;VALUEID=02001&amp;SDATE=200402&amp;PERIODTYPE=QTR_STD&amp;SCFT=3&amp;window=popup_no_bar&amp;width=385&amp;height=120&amp;START_MAXIMIZED=FALSE&amp;creator=factset&amp;display_string=Audit"}</definedName>
    <definedName name="_4072__FDSAUDITLINK__" localSheetId="7" hidden="1">{"fdsup://Directions/FactSet Auditing Viewer?action=AUDIT_VALUE&amp;DB=129&amp;ID1=45811810&amp;VALUEID=02001&amp;SDATE=200402&amp;PERIODTYPE=QTR_STD&amp;SCFT=3&amp;window=popup_no_bar&amp;width=385&amp;height=120&amp;START_MAXIMIZED=FALSE&amp;creator=factset&amp;display_string=Audit"}</definedName>
    <definedName name="_4072__FDSAUDITLINK__" hidden="1">{"fdsup://Directions/FactSet Auditing Viewer?action=AUDIT_VALUE&amp;DB=129&amp;ID1=45811810&amp;VALUEID=02001&amp;SDATE=200402&amp;PERIODTYPE=QTR_STD&amp;SCFT=3&amp;window=popup_no_bar&amp;width=385&amp;height=120&amp;START_MAXIMIZED=FALSE&amp;creator=factset&amp;display_string=Audit"}</definedName>
    <definedName name="_4073__FDSAUDITLINK__" localSheetId="7" hidden="1">{"fdsup://Directions/FactSet Auditing Viewer?action=AUDIT_VALUE&amp;DB=129&amp;ID1=45811810&amp;VALUEID=02001&amp;SDATE=200401&amp;PERIODTYPE=QTR_STD&amp;SCFT=3&amp;window=popup_no_bar&amp;width=385&amp;height=120&amp;START_MAXIMIZED=FALSE&amp;creator=factset&amp;display_string=Audit"}</definedName>
    <definedName name="_4073__FDSAUDITLINK__" hidden="1">{"fdsup://Directions/FactSet Auditing Viewer?action=AUDIT_VALUE&amp;DB=129&amp;ID1=45811810&amp;VALUEID=02001&amp;SDATE=200401&amp;PERIODTYPE=QTR_STD&amp;SCFT=3&amp;window=popup_no_bar&amp;width=385&amp;height=120&amp;START_MAXIMIZED=FALSE&amp;creator=factset&amp;display_string=Audit"}</definedName>
    <definedName name="_4074__FDSAUDITLINK__" localSheetId="7" hidden="1">{"fdsup://Directions/FactSet Auditing Viewer?action=AUDIT_VALUE&amp;DB=129&amp;ID1=45811810&amp;VALUEID=02001&amp;SDATE=200401&amp;PERIODTYPE=QTR_STD&amp;SCFT=3&amp;window=popup_no_bar&amp;width=385&amp;height=120&amp;START_MAXIMIZED=FALSE&amp;creator=factset&amp;display_string=Audit"}</definedName>
    <definedName name="_4074__FDSAUDITLINK__" hidden="1">{"fdsup://Directions/FactSet Auditing Viewer?action=AUDIT_VALUE&amp;DB=129&amp;ID1=45811810&amp;VALUEID=02001&amp;SDATE=200401&amp;PERIODTYPE=QTR_STD&amp;SCFT=3&amp;window=popup_no_bar&amp;width=385&amp;height=120&amp;START_MAXIMIZED=FALSE&amp;creator=factset&amp;display_string=Audit"}</definedName>
    <definedName name="_4075__FDSAUDITLINK__" localSheetId="7" hidden="1">{"fdsup://Directions/FactSet Auditing Viewer?action=AUDIT_VALUE&amp;DB=129&amp;ID1=42823610&amp;VALUEID=02001&amp;SDATE=200802&amp;PERIODTYPE=QTR_STD&amp;SCFT=3&amp;window=popup_no_bar&amp;width=385&amp;height=120&amp;START_MAXIMIZED=FALSE&amp;creator=factset&amp;display_string=Audit"}</definedName>
    <definedName name="_4075__FDSAUDITLINK__" hidden="1">{"fdsup://Directions/FactSet Auditing Viewer?action=AUDIT_VALUE&amp;DB=129&amp;ID1=42823610&amp;VALUEID=02001&amp;SDATE=200802&amp;PERIODTYPE=QTR_STD&amp;SCFT=3&amp;window=popup_no_bar&amp;width=385&amp;height=120&amp;START_MAXIMIZED=FALSE&amp;creator=factset&amp;display_string=Audit"}</definedName>
    <definedName name="_4076__FDSAUDITLINK__" localSheetId="7" hidden="1">{"fdsup://Directions/FactSet Auditing Viewer?action=AUDIT_VALUE&amp;DB=129&amp;ID1=42823610&amp;VALUEID=02001&amp;SDATE=200802&amp;PERIODTYPE=QTR_STD&amp;SCFT=3&amp;window=popup_no_bar&amp;width=385&amp;height=120&amp;START_MAXIMIZED=FALSE&amp;creator=factset&amp;display_string=Audit"}</definedName>
    <definedName name="_4076__FDSAUDITLINK__" hidden="1">{"fdsup://Directions/FactSet Auditing Viewer?action=AUDIT_VALUE&amp;DB=129&amp;ID1=42823610&amp;VALUEID=02001&amp;SDATE=200802&amp;PERIODTYPE=QTR_STD&amp;SCFT=3&amp;window=popup_no_bar&amp;width=385&amp;height=120&amp;START_MAXIMIZED=FALSE&amp;creator=factset&amp;display_string=Audit"}</definedName>
    <definedName name="_4077__FDSAUDITLINK__" localSheetId="7" hidden="1">{"fdsup://Directions/FactSet Auditing Viewer?action=AUDIT_VALUE&amp;DB=129&amp;ID1=42823610&amp;VALUEID=02001&amp;SDATE=200801&amp;PERIODTYPE=QTR_STD&amp;SCFT=3&amp;window=popup_no_bar&amp;width=385&amp;height=120&amp;START_MAXIMIZED=FALSE&amp;creator=factset&amp;display_string=Audit"}</definedName>
    <definedName name="_4077__FDSAUDITLINK__" hidden="1">{"fdsup://Directions/FactSet Auditing Viewer?action=AUDIT_VALUE&amp;DB=129&amp;ID1=42823610&amp;VALUEID=02001&amp;SDATE=200801&amp;PERIODTYPE=QTR_STD&amp;SCFT=3&amp;window=popup_no_bar&amp;width=385&amp;height=120&amp;START_MAXIMIZED=FALSE&amp;creator=factset&amp;display_string=Audit"}</definedName>
    <definedName name="_4078__FDSAUDITLINK__" localSheetId="7" hidden="1">{"fdsup://Directions/FactSet Auditing Viewer?action=AUDIT_VALUE&amp;DB=129&amp;ID1=42823610&amp;VALUEID=02001&amp;SDATE=200801&amp;PERIODTYPE=QTR_STD&amp;SCFT=3&amp;window=popup_no_bar&amp;width=385&amp;height=120&amp;START_MAXIMIZED=FALSE&amp;creator=factset&amp;display_string=Audit"}</definedName>
    <definedName name="_4078__FDSAUDITLINK__" hidden="1">{"fdsup://Directions/FactSet Auditing Viewer?action=AUDIT_VALUE&amp;DB=129&amp;ID1=42823610&amp;VALUEID=02001&amp;SDATE=200801&amp;PERIODTYPE=QTR_STD&amp;SCFT=3&amp;window=popup_no_bar&amp;width=385&amp;height=120&amp;START_MAXIMIZED=FALSE&amp;creator=factset&amp;display_string=Audit"}</definedName>
    <definedName name="_4079__FDSAUDITLINK__" localSheetId="7" hidden="1">{"fdsup://Directions/FactSet Auditing Viewer?action=AUDIT_VALUE&amp;DB=129&amp;ID1=42823610&amp;VALUEID=02001&amp;SDATE=200703&amp;PERIODTYPE=QTR_STD&amp;SCFT=3&amp;window=popup_no_bar&amp;width=385&amp;height=120&amp;START_MAXIMIZED=FALSE&amp;creator=factset&amp;display_string=Audit"}</definedName>
    <definedName name="_4079__FDSAUDITLINK__" hidden="1">{"fdsup://Directions/FactSet Auditing Viewer?action=AUDIT_VALUE&amp;DB=129&amp;ID1=42823610&amp;VALUEID=02001&amp;SDATE=200703&amp;PERIODTYPE=QTR_STD&amp;SCFT=3&amp;window=popup_no_bar&amp;width=385&amp;height=120&amp;START_MAXIMIZED=FALSE&amp;creator=factset&amp;display_string=Audit"}</definedName>
    <definedName name="_408__FDSAUDITLINK__" localSheetId="7" hidden="1">{"fdsup://Directions/FactSet Auditing Viewer?action=AUDIT_VALUE&amp;DB=129&amp;ID1=24702R10&amp;VALUEID=02001&amp;SDATE=201003&amp;PERIODTYPE=QTR_STD&amp;SCFT=3&amp;window=popup_no_bar&amp;width=385&amp;height=120&amp;START_MAXIMIZED=FALSE&amp;creator=factset&amp;display_string=Audit"}</definedName>
    <definedName name="_408__FDSAUDITLINK__" hidden="1">{"fdsup://Directions/FactSet Auditing Viewer?action=AUDIT_VALUE&amp;DB=129&amp;ID1=24702R10&amp;VALUEID=02001&amp;SDATE=201003&amp;PERIODTYPE=QTR_STD&amp;SCFT=3&amp;window=popup_no_bar&amp;width=385&amp;height=120&amp;START_MAXIMIZED=FALSE&amp;creator=factset&amp;display_string=Audit"}</definedName>
    <definedName name="_4080__FDSAUDITLINK__" localSheetId="7" hidden="1">{"fdsup://Directions/FactSet Auditing Viewer?action=AUDIT_VALUE&amp;DB=129&amp;ID1=42823610&amp;VALUEID=02001&amp;SDATE=200703&amp;PERIODTYPE=QTR_STD&amp;SCFT=3&amp;window=popup_no_bar&amp;width=385&amp;height=120&amp;START_MAXIMIZED=FALSE&amp;creator=factset&amp;display_string=Audit"}</definedName>
    <definedName name="_4080__FDSAUDITLINK__" hidden="1">{"fdsup://Directions/FactSet Auditing Viewer?action=AUDIT_VALUE&amp;DB=129&amp;ID1=42823610&amp;VALUEID=02001&amp;SDATE=200703&amp;PERIODTYPE=QTR_STD&amp;SCFT=3&amp;window=popup_no_bar&amp;width=385&amp;height=120&amp;START_MAXIMIZED=FALSE&amp;creator=factset&amp;display_string=Audit"}</definedName>
    <definedName name="_4081__FDSAUDITLINK__" localSheetId="7" hidden="1">{"fdsup://Directions/FactSet Auditing Viewer?action=AUDIT_VALUE&amp;DB=129&amp;ID1=42823610&amp;VALUEID=02001&amp;SDATE=200702&amp;PERIODTYPE=QTR_STD&amp;SCFT=3&amp;window=popup_no_bar&amp;width=385&amp;height=120&amp;START_MAXIMIZED=FALSE&amp;creator=factset&amp;display_string=Audit"}</definedName>
    <definedName name="_4081__FDSAUDITLINK__" hidden="1">{"fdsup://Directions/FactSet Auditing Viewer?action=AUDIT_VALUE&amp;DB=129&amp;ID1=42823610&amp;VALUEID=02001&amp;SDATE=200702&amp;PERIODTYPE=QTR_STD&amp;SCFT=3&amp;window=popup_no_bar&amp;width=385&amp;height=120&amp;START_MAXIMIZED=FALSE&amp;creator=factset&amp;display_string=Audit"}</definedName>
    <definedName name="_4082__FDSAUDITLINK__" localSheetId="7" hidden="1">{"fdsup://Directions/FactSet Auditing Viewer?action=AUDIT_VALUE&amp;DB=129&amp;ID1=42823610&amp;VALUEID=02001&amp;SDATE=200702&amp;PERIODTYPE=QTR_STD&amp;SCFT=3&amp;window=popup_no_bar&amp;width=385&amp;height=120&amp;START_MAXIMIZED=FALSE&amp;creator=factset&amp;display_string=Audit"}</definedName>
    <definedName name="_4082__FDSAUDITLINK__" hidden="1">{"fdsup://Directions/FactSet Auditing Viewer?action=AUDIT_VALUE&amp;DB=129&amp;ID1=42823610&amp;VALUEID=02001&amp;SDATE=200702&amp;PERIODTYPE=QTR_STD&amp;SCFT=3&amp;window=popup_no_bar&amp;width=385&amp;height=120&amp;START_MAXIMIZED=FALSE&amp;creator=factset&amp;display_string=Audit"}</definedName>
    <definedName name="_4083__FDSAUDITLINK__" localSheetId="7" hidden="1">{"fdsup://Directions/FactSet Auditing Viewer?action=AUDIT_VALUE&amp;DB=129&amp;ID1=42823610&amp;VALUEID=02001&amp;SDATE=200701&amp;PERIODTYPE=QTR_STD&amp;SCFT=3&amp;window=popup_no_bar&amp;width=385&amp;height=120&amp;START_MAXIMIZED=FALSE&amp;creator=factset&amp;display_string=Audit"}</definedName>
    <definedName name="_4083__FDSAUDITLINK__" hidden="1">{"fdsup://Directions/FactSet Auditing Viewer?action=AUDIT_VALUE&amp;DB=129&amp;ID1=42823610&amp;VALUEID=02001&amp;SDATE=200701&amp;PERIODTYPE=QTR_STD&amp;SCFT=3&amp;window=popup_no_bar&amp;width=385&amp;height=120&amp;START_MAXIMIZED=FALSE&amp;creator=factset&amp;display_string=Audit"}</definedName>
    <definedName name="_4084__FDSAUDITLINK__" localSheetId="7" hidden="1">{"fdsup://Directions/FactSet Auditing Viewer?action=AUDIT_VALUE&amp;DB=129&amp;ID1=42823610&amp;VALUEID=02001&amp;SDATE=200701&amp;PERIODTYPE=QTR_STD&amp;SCFT=3&amp;window=popup_no_bar&amp;width=385&amp;height=120&amp;START_MAXIMIZED=FALSE&amp;creator=factset&amp;display_string=Audit"}</definedName>
    <definedName name="_4084__FDSAUDITLINK__" hidden="1">{"fdsup://Directions/FactSet Auditing Viewer?action=AUDIT_VALUE&amp;DB=129&amp;ID1=42823610&amp;VALUEID=02001&amp;SDATE=200701&amp;PERIODTYPE=QTR_STD&amp;SCFT=3&amp;window=popup_no_bar&amp;width=385&amp;height=120&amp;START_MAXIMIZED=FALSE&amp;creator=factset&amp;display_string=Audit"}</definedName>
    <definedName name="_4085__FDSAUDITLINK__" localSheetId="7" hidden="1">{"fdsup://Directions/FactSet Auditing Viewer?action=AUDIT_VALUE&amp;DB=129&amp;ID1=42823610&amp;VALUEID=02001&amp;SDATE=200603&amp;PERIODTYPE=QTR_STD&amp;SCFT=3&amp;window=popup_no_bar&amp;width=385&amp;height=120&amp;START_MAXIMIZED=FALSE&amp;creator=factset&amp;display_string=Audit"}</definedName>
    <definedName name="_4085__FDSAUDITLINK__" hidden="1">{"fdsup://Directions/FactSet Auditing Viewer?action=AUDIT_VALUE&amp;DB=129&amp;ID1=42823610&amp;VALUEID=02001&amp;SDATE=200603&amp;PERIODTYPE=QTR_STD&amp;SCFT=3&amp;window=popup_no_bar&amp;width=385&amp;height=120&amp;START_MAXIMIZED=FALSE&amp;creator=factset&amp;display_string=Audit"}</definedName>
    <definedName name="_4086__FDSAUDITLINK__" localSheetId="7" hidden="1">{"fdsup://Directions/FactSet Auditing Viewer?action=AUDIT_VALUE&amp;DB=129&amp;ID1=42823610&amp;VALUEID=02001&amp;SDATE=200603&amp;PERIODTYPE=QTR_STD&amp;SCFT=3&amp;window=popup_no_bar&amp;width=385&amp;height=120&amp;START_MAXIMIZED=FALSE&amp;creator=factset&amp;display_string=Audit"}</definedName>
    <definedName name="_4086__FDSAUDITLINK__" hidden="1">{"fdsup://Directions/FactSet Auditing Viewer?action=AUDIT_VALUE&amp;DB=129&amp;ID1=42823610&amp;VALUEID=02001&amp;SDATE=200603&amp;PERIODTYPE=QTR_STD&amp;SCFT=3&amp;window=popup_no_bar&amp;width=385&amp;height=120&amp;START_MAXIMIZED=FALSE&amp;creator=factset&amp;display_string=Audit"}</definedName>
    <definedName name="_4087__FDSAUDITLINK__" localSheetId="7" hidden="1">{"fdsup://Directions/FactSet Auditing Viewer?action=AUDIT_VALUE&amp;DB=129&amp;ID1=42823610&amp;VALUEID=02001&amp;SDATE=200602&amp;PERIODTYPE=QTR_STD&amp;SCFT=3&amp;window=popup_no_bar&amp;width=385&amp;height=120&amp;START_MAXIMIZED=FALSE&amp;creator=factset&amp;display_string=Audit"}</definedName>
    <definedName name="_4087__FDSAUDITLINK__" hidden="1">{"fdsup://Directions/FactSet Auditing Viewer?action=AUDIT_VALUE&amp;DB=129&amp;ID1=42823610&amp;VALUEID=02001&amp;SDATE=200602&amp;PERIODTYPE=QTR_STD&amp;SCFT=3&amp;window=popup_no_bar&amp;width=385&amp;height=120&amp;START_MAXIMIZED=FALSE&amp;creator=factset&amp;display_string=Audit"}</definedName>
    <definedName name="_4088__FDSAUDITLINK__" localSheetId="7" hidden="1">{"fdsup://Directions/FactSet Auditing Viewer?action=AUDIT_VALUE&amp;DB=129&amp;ID1=42823610&amp;VALUEID=02001&amp;SDATE=200602&amp;PERIODTYPE=QTR_STD&amp;SCFT=3&amp;window=popup_no_bar&amp;width=385&amp;height=120&amp;START_MAXIMIZED=FALSE&amp;creator=factset&amp;display_string=Audit"}</definedName>
    <definedName name="_4088__FDSAUDITLINK__" hidden="1">{"fdsup://Directions/FactSet Auditing Viewer?action=AUDIT_VALUE&amp;DB=129&amp;ID1=42823610&amp;VALUEID=02001&amp;SDATE=200602&amp;PERIODTYPE=QTR_STD&amp;SCFT=3&amp;window=popup_no_bar&amp;width=385&amp;height=120&amp;START_MAXIMIZED=FALSE&amp;creator=factset&amp;display_string=Audit"}</definedName>
    <definedName name="_4089__FDSAUDITLINK__" localSheetId="7" hidden="1">{"fdsup://Directions/FactSet Auditing Viewer?action=AUDIT_VALUE&amp;DB=129&amp;ID1=42823610&amp;VALUEID=02001&amp;SDATE=200601&amp;PERIODTYPE=QTR_STD&amp;SCFT=3&amp;window=popup_no_bar&amp;width=385&amp;height=120&amp;START_MAXIMIZED=FALSE&amp;creator=factset&amp;display_string=Audit"}</definedName>
    <definedName name="_4089__FDSAUDITLINK__" hidden="1">{"fdsup://Directions/FactSet Auditing Viewer?action=AUDIT_VALUE&amp;DB=129&amp;ID1=42823610&amp;VALUEID=02001&amp;SDATE=200601&amp;PERIODTYPE=QTR_STD&amp;SCFT=3&amp;window=popup_no_bar&amp;width=385&amp;height=120&amp;START_MAXIMIZED=FALSE&amp;creator=factset&amp;display_string=Audit"}</definedName>
    <definedName name="_409__FDSAUDITLINK__" localSheetId="7" hidden="1">{"fdsup://Directions/FactSet Auditing Viewer?action=AUDIT_VALUE&amp;DB=129&amp;ID1=23257210&amp;VALUEID=02001&amp;SDATE=201003&amp;PERIODTYPE=QTR_STD&amp;SCFT=3&amp;window=popup_no_bar&amp;width=385&amp;height=120&amp;START_MAXIMIZED=FALSE&amp;creator=factset&amp;display_string=Audit"}</definedName>
    <definedName name="_409__FDSAUDITLINK__" hidden="1">{"fdsup://Directions/FactSet Auditing Viewer?action=AUDIT_VALUE&amp;DB=129&amp;ID1=23257210&amp;VALUEID=02001&amp;SDATE=201003&amp;PERIODTYPE=QTR_STD&amp;SCFT=3&amp;window=popup_no_bar&amp;width=385&amp;height=120&amp;START_MAXIMIZED=FALSE&amp;creator=factset&amp;display_string=Audit"}</definedName>
    <definedName name="_4090__FDSAUDITLINK__" localSheetId="7" hidden="1">{"fdsup://Directions/FactSet Auditing Viewer?action=AUDIT_VALUE&amp;DB=129&amp;ID1=42823610&amp;VALUEID=02001&amp;SDATE=200601&amp;PERIODTYPE=QTR_STD&amp;SCFT=3&amp;window=popup_no_bar&amp;width=385&amp;height=120&amp;START_MAXIMIZED=FALSE&amp;creator=factset&amp;display_string=Audit"}</definedName>
    <definedName name="_4090__FDSAUDITLINK__" hidden="1">{"fdsup://Directions/FactSet Auditing Viewer?action=AUDIT_VALUE&amp;DB=129&amp;ID1=42823610&amp;VALUEID=02001&amp;SDATE=200601&amp;PERIODTYPE=QTR_STD&amp;SCFT=3&amp;window=popup_no_bar&amp;width=385&amp;height=120&amp;START_MAXIMIZED=FALSE&amp;creator=factset&amp;display_string=Audit"}</definedName>
    <definedName name="_4091__FDSAUDITLINK__" localSheetId="7" hidden="1">{"fdsup://Directions/FactSet Auditing Viewer?action=AUDIT_VALUE&amp;DB=129&amp;ID1=42823610&amp;VALUEID=02001&amp;SDATE=200503&amp;PERIODTYPE=QTR_STD&amp;SCFT=3&amp;window=popup_no_bar&amp;width=385&amp;height=120&amp;START_MAXIMIZED=FALSE&amp;creator=factset&amp;display_string=Audit"}</definedName>
    <definedName name="_4091__FDSAUDITLINK__" hidden="1">{"fdsup://Directions/FactSet Auditing Viewer?action=AUDIT_VALUE&amp;DB=129&amp;ID1=42823610&amp;VALUEID=02001&amp;SDATE=200503&amp;PERIODTYPE=QTR_STD&amp;SCFT=3&amp;window=popup_no_bar&amp;width=385&amp;height=120&amp;START_MAXIMIZED=FALSE&amp;creator=factset&amp;display_string=Audit"}</definedName>
    <definedName name="_4092__FDSAUDITLINK__" localSheetId="7" hidden="1">{"fdsup://Directions/FactSet Auditing Viewer?action=AUDIT_VALUE&amp;DB=129&amp;ID1=42823610&amp;VALUEID=02001&amp;SDATE=200503&amp;PERIODTYPE=QTR_STD&amp;SCFT=3&amp;window=popup_no_bar&amp;width=385&amp;height=120&amp;START_MAXIMIZED=FALSE&amp;creator=factset&amp;display_string=Audit"}</definedName>
    <definedName name="_4092__FDSAUDITLINK__" hidden="1">{"fdsup://Directions/FactSet Auditing Viewer?action=AUDIT_VALUE&amp;DB=129&amp;ID1=42823610&amp;VALUEID=02001&amp;SDATE=200503&amp;PERIODTYPE=QTR_STD&amp;SCFT=3&amp;window=popup_no_bar&amp;width=385&amp;height=120&amp;START_MAXIMIZED=FALSE&amp;creator=factset&amp;display_string=Audit"}</definedName>
    <definedName name="_4093__FDSAUDITLINK__" localSheetId="7" hidden="1">{"fdsup://Directions/FactSet Auditing Viewer?action=AUDIT_VALUE&amp;DB=129&amp;ID1=42823610&amp;VALUEID=02001&amp;SDATE=200502&amp;PERIODTYPE=QTR_STD&amp;SCFT=3&amp;window=popup_no_bar&amp;width=385&amp;height=120&amp;START_MAXIMIZED=FALSE&amp;creator=factset&amp;display_string=Audit"}</definedName>
    <definedName name="_4093__FDSAUDITLINK__" hidden="1">{"fdsup://Directions/FactSet Auditing Viewer?action=AUDIT_VALUE&amp;DB=129&amp;ID1=42823610&amp;VALUEID=02001&amp;SDATE=200502&amp;PERIODTYPE=QTR_STD&amp;SCFT=3&amp;window=popup_no_bar&amp;width=385&amp;height=120&amp;START_MAXIMIZED=FALSE&amp;creator=factset&amp;display_string=Audit"}</definedName>
    <definedName name="_4094__FDSAUDITLINK__" localSheetId="7" hidden="1">{"fdsup://Directions/FactSet Auditing Viewer?action=AUDIT_VALUE&amp;DB=129&amp;ID1=42823610&amp;VALUEID=02001&amp;SDATE=200502&amp;PERIODTYPE=QTR_STD&amp;SCFT=3&amp;window=popup_no_bar&amp;width=385&amp;height=120&amp;START_MAXIMIZED=FALSE&amp;creator=factset&amp;display_string=Audit"}</definedName>
    <definedName name="_4094__FDSAUDITLINK__" hidden="1">{"fdsup://Directions/FactSet Auditing Viewer?action=AUDIT_VALUE&amp;DB=129&amp;ID1=42823610&amp;VALUEID=02001&amp;SDATE=200502&amp;PERIODTYPE=QTR_STD&amp;SCFT=3&amp;window=popup_no_bar&amp;width=385&amp;height=120&amp;START_MAXIMIZED=FALSE&amp;creator=factset&amp;display_string=Audit"}</definedName>
    <definedName name="_4095__FDSAUDITLINK__" localSheetId="7" hidden="1">{"fdsup://Directions/FactSet Auditing Viewer?action=AUDIT_VALUE&amp;DB=129&amp;ID1=42823610&amp;VALUEID=02001&amp;SDATE=200501&amp;PERIODTYPE=QTR_STD&amp;SCFT=3&amp;window=popup_no_bar&amp;width=385&amp;height=120&amp;START_MAXIMIZED=FALSE&amp;creator=factset&amp;display_string=Audit"}</definedName>
    <definedName name="_4095__FDSAUDITLINK__" hidden="1">{"fdsup://Directions/FactSet Auditing Viewer?action=AUDIT_VALUE&amp;DB=129&amp;ID1=42823610&amp;VALUEID=02001&amp;SDATE=200501&amp;PERIODTYPE=QTR_STD&amp;SCFT=3&amp;window=popup_no_bar&amp;width=385&amp;height=120&amp;START_MAXIMIZED=FALSE&amp;creator=factset&amp;display_string=Audit"}</definedName>
    <definedName name="_4096__FDSAUDITLINK__" localSheetId="7" hidden="1">{"fdsup://Directions/FactSet Auditing Viewer?action=AUDIT_VALUE&amp;DB=129&amp;ID1=42823610&amp;VALUEID=02001&amp;SDATE=200501&amp;PERIODTYPE=QTR_STD&amp;SCFT=3&amp;window=popup_no_bar&amp;width=385&amp;height=120&amp;START_MAXIMIZED=FALSE&amp;creator=factset&amp;display_string=Audit"}</definedName>
    <definedName name="_4096__FDSAUDITLINK__" hidden="1">{"fdsup://Directions/FactSet Auditing Viewer?action=AUDIT_VALUE&amp;DB=129&amp;ID1=42823610&amp;VALUEID=02001&amp;SDATE=200501&amp;PERIODTYPE=QTR_STD&amp;SCFT=3&amp;window=popup_no_bar&amp;width=385&amp;height=120&amp;START_MAXIMIZED=FALSE&amp;creator=factset&amp;display_string=Audit"}</definedName>
    <definedName name="_4097__FDSAUDITLINK__" localSheetId="7" hidden="1">{"fdsup://Directions/FactSet Auditing Viewer?action=AUDIT_VALUE&amp;DB=129&amp;ID1=42823610&amp;VALUEID=02001&amp;SDATE=200403&amp;PERIODTYPE=QTR_STD&amp;SCFT=3&amp;window=popup_no_bar&amp;width=385&amp;height=120&amp;START_MAXIMIZED=FALSE&amp;creator=factset&amp;display_string=Audit"}</definedName>
    <definedName name="_4097__FDSAUDITLINK__" hidden="1">{"fdsup://Directions/FactSet Auditing Viewer?action=AUDIT_VALUE&amp;DB=129&amp;ID1=42823610&amp;VALUEID=02001&amp;SDATE=200403&amp;PERIODTYPE=QTR_STD&amp;SCFT=3&amp;window=popup_no_bar&amp;width=385&amp;height=120&amp;START_MAXIMIZED=FALSE&amp;creator=factset&amp;display_string=Audit"}</definedName>
    <definedName name="_4098__FDSAUDITLINK__" localSheetId="7" hidden="1">{"fdsup://Directions/FactSet Auditing Viewer?action=AUDIT_VALUE&amp;DB=129&amp;ID1=42823610&amp;VALUEID=02001&amp;SDATE=200403&amp;PERIODTYPE=QTR_STD&amp;SCFT=3&amp;window=popup_no_bar&amp;width=385&amp;height=120&amp;START_MAXIMIZED=FALSE&amp;creator=factset&amp;display_string=Audit"}</definedName>
    <definedName name="_4098__FDSAUDITLINK__" hidden="1">{"fdsup://Directions/FactSet Auditing Viewer?action=AUDIT_VALUE&amp;DB=129&amp;ID1=42823610&amp;VALUEID=02001&amp;SDATE=200403&amp;PERIODTYPE=QTR_STD&amp;SCFT=3&amp;window=popup_no_bar&amp;width=385&amp;height=120&amp;START_MAXIMIZED=FALSE&amp;creator=factset&amp;display_string=Audit"}</definedName>
    <definedName name="_4099__FDSAUDITLINK__" localSheetId="7" hidden="1">{"fdsup://Directions/FactSet Auditing Viewer?action=AUDIT_VALUE&amp;DB=129&amp;ID1=42823610&amp;VALUEID=02001&amp;SDATE=200402&amp;PERIODTYPE=QTR_STD&amp;SCFT=3&amp;window=popup_no_bar&amp;width=385&amp;height=120&amp;START_MAXIMIZED=FALSE&amp;creator=factset&amp;display_string=Audit"}</definedName>
    <definedName name="_4099__FDSAUDITLINK__" hidden="1">{"fdsup://Directions/FactSet Auditing Viewer?action=AUDIT_VALUE&amp;DB=129&amp;ID1=42823610&amp;VALUEID=02001&amp;SDATE=200402&amp;PERIODTYPE=QTR_STD&amp;SCFT=3&amp;window=popup_no_bar&amp;width=385&amp;height=120&amp;START_MAXIMIZED=FALSE&amp;creator=factset&amp;display_string=Audit"}</definedName>
    <definedName name="_41__FDSAUDITLINK__" localSheetId="7" hidden="1">{"fdsup://Directions/FactSet Auditing Viewer?action=AUDIT_VALUE&amp;DB=129&amp;ID1=74752510&amp;VALUEID=02001&amp;SDATE=201102&amp;PERIODTYPE=QTR_STD&amp;SCFT=3&amp;window=popup_no_bar&amp;width=385&amp;height=120&amp;START_MAXIMIZED=FALSE&amp;creator=factset&amp;display_string=Audit"}</definedName>
    <definedName name="_41__FDSAUDITLINK__" hidden="1">{"fdsup://Directions/FactSet Auditing Viewer?action=AUDIT_VALUE&amp;DB=129&amp;ID1=74752510&amp;VALUEID=02001&amp;SDATE=201102&amp;PERIODTYPE=QTR_STD&amp;SCFT=3&amp;window=popup_no_bar&amp;width=385&amp;height=120&amp;START_MAXIMIZED=FALSE&amp;creator=factset&amp;display_string=Audit"}</definedName>
    <definedName name="_410__FDSAUDITLINK__" localSheetId="7" hidden="1">{"fdsup://Directions/FactSet Auditing Viewer?action=AUDIT_VALUE&amp;DB=129&amp;ID1=23257210&amp;VALUEID=02001&amp;SDATE=201003&amp;PERIODTYPE=QTR_STD&amp;SCFT=3&amp;window=popup_no_bar&amp;width=385&amp;height=120&amp;START_MAXIMIZED=FALSE&amp;creator=factset&amp;display_string=Audit"}</definedName>
    <definedName name="_410__FDSAUDITLINK__" hidden="1">{"fdsup://Directions/FactSet Auditing Viewer?action=AUDIT_VALUE&amp;DB=129&amp;ID1=23257210&amp;VALUEID=02001&amp;SDATE=201003&amp;PERIODTYPE=QTR_STD&amp;SCFT=3&amp;window=popup_no_bar&amp;width=385&amp;height=120&amp;START_MAXIMIZED=FALSE&amp;creator=factset&amp;display_string=Audit"}</definedName>
    <definedName name="_4100__FDSAUDITLINK__" localSheetId="7" hidden="1">{"fdsup://Directions/FactSet Auditing Viewer?action=AUDIT_VALUE&amp;DB=129&amp;ID1=42823610&amp;VALUEID=02001&amp;SDATE=200402&amp;PERIODTYPE=QTR_STD&amp;SCFT=3&amp;window=popup_no_bar&amp;width=385&amp;height=120&amp;START_MAXIMIZED=FALSE&amp;creator=factset&amp;display_string=Audit"}</definedName>
    <definedName name="_4100__FDSAUDITLINK__" hidden="1">{"fdsup://Directions/FactSet Auditing Viewer?action=AUDIT_VALUE&amp;DB=129&amp;ID1=42823610&amp;VALUEID=02001&amp;SDATE=200402&amp;PERIODTYPE=QTR_STD&amp;SCFT=3&amp;window=popup_no_bar&amp;width=385&amp;height=120&amp;START_MAXIMIZED=FALSE&amp;creator=factset&amp;display_string=Audit"}</definedName>
    <definedName name="_4101__FDSAUDITLINK__" localSheetId="7" hidden="1">{"fdsup://Directions/FactSet Auditing Viewer?action=AUDIT_VALUE&amp;DB=129&amp;ID1=H2906T10&amp;VALUEID=02001&amp;SDATE=200801&amp;PERIODTYPE=QTR_STD&amp;SCFT=3&amp;window=popup_no_bar&amp;width=385&amp;height=120&amp;START_MAXIMIZED=FALSE&amp;creator=factset&amp;display_string=Audit"}</definedName>
    <definedName name="_4101__FDSAUDITLINK__" hidden="1">{"fdsup://Directions/FactSet Auditing Viewer?action=AUDIT_VALUE&amp;DB=129&amp;ID1=H2906T10&amp;VALUEID=02001&amp;SDATE=200801&amp;PERIODTYPE=QTR_STD&amp;SCFT=3&amp;window=popup_no_bar&amp;width=385&amp;height=120&amp;START_MAXIMIZED=FALSE&amp;creator=factset&amp;display_string=Audit"}</definedName>
    <definedName name="_4102__FDSAUDITLINK__" localSheetId="7" hidden="1">{"fdsup://Directions/FactSet Auditing Viewer?action=AUDIT_VALUE&amp;DB=129&amp;ID1=H2906T10&amp;VALUEID=02001&amp;SDATE=200801&amp;PERIODTYPE=QTR_STD&amp;SCFT=3&amp;window=popup_no_bar&amp;width=385&amp;height=120&amp;START_MAXIMIZED=FALSE&amp;creator=factset&amp;display_string=Audit"}</definedName>
    <definedName name="_4102__FDSAUDITLINK__" hidden="1">{"fdsup://Directions/FactSet Auditing Viewer?action=AUDIT_VALUE&amp;DB=129&amp;ID1=H2906T10&amp;VALUEID=02001&amp;SDATE=200801&amp;PERIODTYPE=QTR_STD&amp;SCFT=3&amp;window=popup_no_bar&amp;width=385&amp;height=120&amp;START_MAXIMIZED=FALSE&amp;creator=factset&amp;display_string=Audit"}</definedName>
    <definedName name="_4103__FDSAUDITLINK__" localSheetId="7" hidden="1">{"fdsup://Directions/FactSet Auditing Viewer?action=AUDIT_VALUE&amp;DB=129&amp;ID1=H2906T10&amp;VALUEID=02001&amp;SDATE=200703&amp;PERIODTYPE=QTR_STD&amp;SCFT=3&amp;window=popup_no_bar&amp;width=385&amp;height=120&amp;START_MAXIMIZED=FALSE&amp;creator=factset&amp;display_string=Audit"}</definedName>
    <definedName name="_4103__FDSAUDITLINK__" hidden="1">{"fdsup://Directions/FactSet Auditing Viewer?action=AUDIT_VALUE&amp;DB=129&amp;ID1=H2906T10&amp;VALUEID=02001&amp;SDATE=200703&amp;PERIODTYPE=QTR_STD&amp;SCFT=3&amp;window=popup_no_bar&amp;width=385&amp;height=120&amp;START_MAXIMIZED=FALSE&amp;creator=factset&amp;display_string=Audit"}</definedName>
    <definedName name="_4104__FDSAUDITLINK__" localSheetId="7" hidden="1">{"fdsup://Directions/FactSet Auditing Viewer?action=AUDIT_VALUE&amp;DB=129&amp;ID1=H2906T10&amp;VALUEID=02001&amp;SDATE=200703&amp;PERIODTYPE=QTR_STD&amp;SCFT=3&amp;window=popup_no_bar&amp;width=385&amp;height=120&amp;START_MAXIMIZED=FALSE&amp;creator=factset&amp;display_string=Audit"}</definedName>
    <definedName name="_4104__FDSAUDITLINK__" hidden="1">{"fdsup://Directions/FactSet Auditing Viewer?action=AUDIT_VALUE&amp;DB=129&amp;ID1=H2906T10&amp;VALUEID=02001&amp;SDATE=200703&amp;PERIODTYPE=QTR_STD&amp;SCFT=3&amp;window=popup_no_bar&amp;width=385&amp;height=120&amp;START_MAXIMIZED=FALSE&amp;creator=factset&amp;display_string=Audit"}</definedName>
    <definedName name="_4105__FDSAUDITLINK__" localSheetId="7" hidden="1">{"fdsup://Directions/FactSet Auditing Viewer?action=AUDIT_VALUE&amp;DB=129&amp;ID1=H2906T10&amp;VALUEID=02001&amp;SDATE=200702&amp;PERIODTYPE=QTR_STD&amp;SCFT=3&amp;window=popup_no_bar&amp;width=385&amp;height=120&amp;START_MAXIMIZED=FALSE&amp;creator=factset&amp;display_string=Audit"}</definedName>
    <definedName name="_4105__FDSAUDITLINK__" hidden="1">{"fdsup://Directions/FactSet Auditing Viewer?action=AUDIT_VALUE&amp;DB=129&amp;ID1=H2906T10&amp;VALUEID=02001&amp;SDATE=200702&amp;PERIODTYPE=QTR_STD&amp;SCFT=3&amp;window=popup_no_bar&amp;width=385&amp;height=120&amp;START_MAXIMIZED=FALSE&amp;creator=factset&amp;display_string=Audit"}</definedName>
    <definedName name="_4106__FDSAUDITLINK__" localSheetId="7" hidden="1">{"fdsup://Directions/FactSet Auditing Viewer?action=AUDIT_VALUE&amp;DB=129&amp;ID1=H2906T10&amp;VALUEID=02001&amp;SDATE=200702&amp;PERIODTYPE=QTR_STD&amp;SCFT=3&amp;window=popup_no_bar&amp;width=385&amp;height=120&amp;START_MAXIMIZED=FALSE&amp;creator=factset&amp;display_string=Audit"}</definedName>
    <definedName name="_4106__FDSAUDITLINK__" hidden="1">{"fdsup://Directions/FactSet Auditing Viewer?action=AUDIT_VALUE&amp;DB=129&amp;ID1=H2906T10&amp;VALUEID=02001&amp;SDATE=200702&amp;PERIODTYPE=QTR_STD&amp;SCFT=3&amp;window=popup_no_bar&amp;width=385&amp;height=120&amp;START_MAXIMIZED=FALSE&amp;creator=factset&amp;display_string=Audit"}</definedName>
    <definedName name="_4107__FDSAUDITLINK__" localSheetId="7" hidden="1">{"fdsup://Directions/FactSet Auditing Viewer?action=AUDIT_VALUE&amp;DB=129&amp;ID1=H2906T10&amp;VALUEID=02001&amp;SDATE=200701&amp;PERIODTYPE=QTR_STD&amp;SCFT=3&amp;window=popup_no_bar&amp;width=385&amp;height=120&amp;START_MAXIMIZED=FALSE&amp;creator=factset&amp;display_string=Audit"}</definedName>
    <definedName name="_4107__FDSAUDITLINK__" hidden="1">{"fdsup://Directions/FactSet Auditing Viewer?action=AUDIT_VALUE&amp;DB=129&amp;ID1=H2906T10&amp;VALUEID=02001&amp;SDATE=200701&amp;PERIODTYPE=QTR_STD&amp;SCFT=3&amp;window=popup_no_bar&amp;width=385&amp;height=120&amp;START_MAXIMIZED=FALSE&amp;creator=factset&amp;display_string=Audit"}</definedName>
    <definedName name="_4108__FDSAUDITLINK__" localSheetId="7" hidden="1">{"fdsup://Directions/FactSet Auditing Viewer?action=AUDIT_VALUE&amp;DB=129&amp;ID1=H2906T10&amp;VALUEID=02001&amp;SDATE=200701&amp;PERIODTYPE=QTR_STD&amp;SCFT=3&amp;window=popup_no_bar&amp;width=385&amp;height=120&amp;START_MAXIMIZED=FALSE&amp;creator=factset&amp;display_string=Audit"}</definedName>
    <definedName name="_4108__FDSAUDITLINK__" hidden="1">{"fdsup://Directions/FactSet Auditing Viewer?action=AUDIT_VALUE&amp;DB=129&amp;ID1=H2906T10&amp;VALUEID=02001&amp;SDATE=200701&amp;PERIODTYPE=QTR_STD&amp;SCFT=3&amp;window=popup_no_bar&amp;width=385&amp;height=120&amp;START_MAXIMIZED=FALSE&amp;creator=factset&amp;display_string=Audit"}</definedName>
    <definedName name="_4109__FDSAUDITLINK__" localSheetId="7" hidden="1">{"fdsup://Directions/FactSet Auditing Viewer?action=AUDIT_VALUE&amp;DB=129&amp;ID1=H2906T10&amp;VALUEID=02001&amp;SDATE=200603&amp;PERIODTYPE=QTR_STD&amp;SCFT=3&amp;window=popup_no_bar&amp;width=385&amp;height=120&amp;START_MAXIMIZED=FALSE&amp;creator=factset&amp;display_string=Audit"}</definedName>
    <definedName name="_4109__FDSAUDITLINK__" hidden="1">{"fdsup://Directions/FactSet Auditing Viewer?action=AUDIT_VALUE&amp;DB=129&amp;ID1=H2906T10&amp;VALUEID=02001&amp;SDATE=200603&amp;PERIODTYPE=QTR_STD&amp;SCFT=3&amp;window=popup_no_bar&amp;width=385&amp;height=120&amp;START_MAXIMIZED=FALSE&amp;creator=factset&amp;display_string=Audit"}</definedName>
    <definedName name="_411__FDSAUDITLINK__" localSheetId="7" hidden="1">{"fdsup://Directions/FactSet Auditing Viewer?action=AUDIT_VALUE&amp;DB=129&amp;ID1=23280610&amp;VALUEID=02001&amp;SDATE=201003&amp;PERIODTYPE=QTR_STD&amp;SCFT=3&amp;window=popup_no_bar&amp;width=385&amp;height=120&amp;START_MAXIMIZED=FALSE&amp;creator=factset&amp;display_string=Audit"}</definedName>
    <definedName name="_411__FDSAUDITLINK__" hidden="1">{"fdsup://Directions/FactSet Auditing Viewer?action=AUDIT_VALUE&amp;DB=129&amp;ID1=23280610&amp;VALUEID=02001&amp;SDATE=201003&amp;PERIODTYPE=QTR_STD&amp;SCFT=3&amp;window=popup_no_bar&amp;width=385&amp;height=120&amp;START_MAXIMIZED=FALSE&amp;creator=factset&amp;display_string=Audit"}</definedName>
    <definedName name="_4110__FDSAUDITLINK__" localSheetId="7" hidden="1">{"fdsup://Directions/FactSet Auditing Viewer?action=AUDIT_VALUE&amp;DB=129&amp;ID1=H2906T10&amp;VALUEID=02001&amp;SDATE=200603&amp;PERIODTYPE=QTR_STD&amp;SCFT=3&amp;window=popup_no_bar&amp;width=385&amp;height=120&amp;START_MAXIMIZED=FALSE&amp;creator=factset&amp;display_string=Audit"}</definedName>
    <definedName name="_4110__FDSAUDITLINK__" hidden="1">{"fdsup://Directions/FactSet Auditing Viewer?action=AUDIT_VALUE&amp;DB=129&amp;ID1=H2906T10&amp;VALUEID=02001&amp;SDATE=200603&amp;PERIODTYPE=QTR_STD&amp;SCFT=3&amp;window=popup_no_bar&amp;width=385&amp;height=120&amp;START_MAXIMIZED=FALSE&amp;creator=factset&amp;display_string=Audit"}</definedName>
    <definedName name="_4111__FDSAUDITLINK__" localSheetId="7" hidden="1">{"fdsup://Directions/FactSet Auditing Viewer?action=AUDIT_VALUE&amp;DB=129&amp;ID1=H2906T10&amp;VALUEID=02001&amp;SDATE=200602&amp;PERIODTYPE=QTR_STD&amp;SCFT=3&amp;window=popup_no_bar&amp;width=385&amp;height=120&amp;START_MAXIMIZED=FALSE&amp;creator=factset&amp;display_string=Audit"}</definedName>
    <definedName name="_4111__FDSAUDITLINK__" hidden="1">{"fdsup://Directions/FactSet Auditing Viewer?action=AUDIT_VALUE&amp;DB=129&amp;ID1=H2906T10&amp;VALUEID=02001&amp;SDATE=200602&amp;PERIODTYPE=QTR_STD&amp;SCFT=3&amp;window=popup_no_bar&amp;width=385&amp;height=120&amp;START_MAXIMIZED=FALSE&amp;creator=factset&amp;display_string=Audit"}</definedName>
    <definedName name="_4112__FDSAUDITLINK__" localSheetId="7" hidden="1">{"fdsup://Directions/FactSet Auditing Viewer?action=AUDIT_VALUE&amp;DB=129&amp;ID1=H2906T10&amp;VALUEID=02001&amp;SDATE=200602&amp;PERIODTYPE=QTR_STD&amp;SCFT=3&amp;window=popup_no_bar&amp;width=385&amp;height=120&amp;START_MAXIMIZED=FALSE&amp;creator=factset&amp;display_string=Audit"}</definedName>
    <definedName name="_4112__FDSAUDITLINK__" hidden="1">{"fdsup://Directions/FactSet Auditing Viewer?action=AUDIT_VALUE&amp;DB=129&amp;ID1=H2906T10&amp;VALUEID=02001&amp;SDATE=200602&amp;PERIODTYPE=QTR_STD&amp;SCFT=3&amp;window=popup_no_bar&amp;width=385&amp;height=120&amp;START_MAXIMIZED=FALSE&amp;creator=factset&amp;display_string=Audit"}</definedName>
    <definedName name="_4113__FDSAUDITLINK__" localSheetId="7" hidden="1">{"fdsup://Directions/FactSet Auditing Viewer?action=AUDIT_VALUE&amp;DB=129&amp;ID1=H2906T10&amp;VALUEID=02001&amp;SDATE=200601&amp;PERIODTYPE=QTR_STD&amp;SCFT=3&amp;window=popup_no_bar&amp;width=385&amp;height=120&amp;START_MAXIMIZED=FALSE&amp;creator=factset&amp;display_string=Audit"}</definedName>
    <definedName name="_4113__FDSAUDITLINK__" hidden="1">{"fdsup://Directions/FactSet Auditing Viewer?action=AUDIT_VALUE&amp;DB=129&amp;ID1=H2906T10&amp;VALUEID=02001&amp;SDATE=200601&amp;PERIODTYPE=QTR_STD&amp;SCFT=3&amp;window=popup_no_bar&amp;width=385&amp;height=120&amp;START_MAXIMIZED=FALSE&amp;creator=factset&amp;display_string=Audit"}</definedName>
    <definedName name="_4114__FDSAUDITLINK__" localSheetId="7" hidden="1">{"fdsup://Directions/FactSet Auditing Viewer?action=AUDIT_VALUE&amp;DB=129&amp;ID1=H2906T10&amp;VALUEID=02001&amp;SDATE=200601&amp;PERIODTYPE=QTR_STD&amp;SCFT=3&amp;window=popup_no_bar&amp;width=385&amp;height=120&amp;START_MAXIMIZED=FALSE&amp;creator=factset&amp;display_string=Audit"}</definedName>
    <definedName name="_4114__FDSAUDITLINK__" hidden="1">{"fdsup://Directions/FactSet Auditing Viewer?action=AUDIT_VALUE&amp;DB=129&amp;ID1=H2906T10&amp;VALUEID=02001&amp;SDATE=200601&amp;PERIODTYPE=QTR_STD&amp;SCFT=3&amp;window=popup_no_bar&amp;width=385&amp;height=120&amp;START_MAXIMIZED=FALSE&amp;creator=factset&amp;display_string=Audit"}</definedName>
    <definedName name="_4115__FDSAUDITLINK__" localSheetId="7" hidden="1">{"fdsup://Directions/FactSet Auditing Viewer?action=AUDIT_VALUE&amp;DB=129&amp;ID1=34637510&amp;VALUEID=02001&amp;SDATE=200801&amp;PERIODTYPE=QTR_STD&amp;SCFT=3&amp;window=popup_no_bar&amp;width=385&amp;height=120&amp;START_MAXIMIZED=FALSE&amp;creator=factset&amp;display_string=Audit"}</definedName>
    <definedName name="_4115__FDSAUDITLINK__" hidden="1">{"fdsup://Directions/FactSet Auditing Viewer?action=AUDIT_VALUE&amp;DB=129&amp;ID1=34637510&amp;VALUEID=02001&amp;SDATE=200801&amp;PERIODTYPE=QTR_STD&amp;SCFT=3&amp;window=popup_no_bar&amp;width=385&amp;height=120&amp;START_MAXIMIZED=FALSE&amp;creator=factset&amp;display_string=Audit"}</definedName>
    <definedName name="_4116__FDSAUDITLINK__" localSheetId="7" hidden="1">{"fdsup://Directions/FactSet Auditing Viewer?action=AUDIT_VALUE&amp;DB=129&amp;ID1=34637510&amp;VALUEID=02001&amp;SDATE=200801&amp;PERIODTYPE=QTR_STD&amp;SCFT=3&amp;window=popup_no_bar&amp;width=385&amp;height=120&amp;START_MAXIMIZED=FALSE&amp;creator=factset&amp;display_string=Audit"}</definedName>
    <definedName name="_4116__FDSAUDITLINK__" hidden="1">{"fdsup://Directions/FactSet Auditing Viewer?action=AUDIT_VALUE&amp;DB=129&amp;ID1=34637510&amp;VALUEID=02001&amp;SDATE=200801&amp;PERIODTYPE=QTR_STD&amp;SCFT=3&amp;window=popup_no_bar&amp;width=385&amp;height=120&amp;START_MAXIMIZED=FALSE&amp;creator=factset&amp;display_string=Audit"}</definedName>
    <definedName name="_4117__FDSAUDITLINK__" localSheetId="7" hidden="1">{"fdsup://Directions/FactSet Auditing Viewer?action=AUDIT_VALUE&amp;DB=129&amp;ID1=34637510&amp;VALUEID=02001&amp;SDATE=200703&amp;PERIODTYPE=QTR_STD&amp;SCFT=3&amp;window=popup_no_bar&amp;width=385&amp;height=120&amp;START_MAXIMIZED=FALSE&amp;creator=factset&amp;display_string=Audit"}</definedName>
    <definedName name="_4117__FDSAUDITLINK__" hidden="1">{"fdsup://Directions/FactSet Auditing Viewer?action=AUDIT_VALUE&amp;DB=129&amp;ID1=34637510&amp;VALUEID=02001&amp;SDATE=200703&amp;PERIODTYPE=QTR_STD&amp;SCFT=3&amp;window=popup_no_bar&amp;width=385&amp;height=120&amp;START_MAXIMIZED=FALSE&amp;creator=factset&amp;display_string=Audit"}</definedName>
    <definedName name="_4118__FDSAUDITLINK__" localSheetId="7" hidden="1">{"fdsup://Directions/FactSet Auditing Viewer?action=AUDIT_VALUE&amp;DB=129&amp;ID1=34637510&amp;VALUEID=02001&amp;SDATE=200703&amp;PERIODTYPE=QTR_STD&amp;SCFT=3&amp;window=popup_no_bar&amp;width=385&amp;height=120&amp;START_MAXIMIZED=FALSE&amp;creator=factset&amp;display_string=Audit"}</definedName>
    <definedName name="_4118__FDSAUDITLINK__" hidden="1">{"fdsup://Directions/FactSet Auditing Viewer?action=AUDIT_VALUE&amp;DB=129&amp;ID1=34637510&amp;VALUEID=02001&amp;SDATE=200703&amp;PERIODTYPE=QTR_STD&amp;SCFT=3&amp;window=popup_no_bar&amp;width=385&amp;height=120&amp;START_MAXIMIZED=FALSE&amp;creator=factset&amp;display_string=Audit"}</definedName>
    <definedName name="_4119__FDSAUDITLINK__" localSheetId="7" hidden="1">{"fdsup://Directions/FactSet Auditing Viewer?action=AUDIT_VALUE&amp;DB=129&amp;ID1=34637510&amp;VALUEID=02001&amp;SDATE=200701&amp;PERIODTYPE=QTR_STD&amp;SCFT=3&amp;window=popup_no_bar&amp;width=385&amp;height=120&amp;START_MAXIMIZED=FALSE&amp;creator=factset&amp;display_string=Audit"}</definedName>
    <definedName name="_4119__FDSAUDITLINK__" hidden="1">{"fdsup://Directions/FactSet Auditing Viewer?action=AUDIT_VALUE&amp;DB=129&amp;ID1=34637510&amp;VALUEID=02001&amp;SDATE=200701&amp;PERIODTYPE=QTR_STD&amp;SCFT=3&amp;window=popup_no_bar&amp;width=385&amp;height=120&amp;START_MAXIMIZED=FALSE&amp;creator=factset&amp;display_string=Audit"}</definedName>
    <definedName name="_412__FDSAUDITLINK__" localSheetId="7" hidden="1">{"fdsup://Directions/FactSet Auditing Viewer?action=AUDIT_VALUE&amp;DB=129&amp;ID1=23280610&amp;VALUEID=02001&amp;SDATE=201003&amp;PERIODTYPE=QTR_STD&amp;SCFT=3&amp;window=popup_no_bar&amp;width=385&amp;height=120&amp;START_MAXIMIZED=FALSE&amp;creator=factset&amp;display_string=Audit"}</definedName>
    <definedName name="_412__FDSAUDITLINK__" hidden="1">{"fdsup://Directions/FactSet Auditing Viewer?action=AUDIT_VALUE&amp;DB=129&amp;ID1=23280610&amp;VALUEID=02001&amp;SDATE=201003&amp;PERIODTYPE=QTR_STD&amp;SCFT=3&amp;window=popup_no_bar&amp;width=385&amp;height=120&amp;START_MAXIMIZED=FALSE&amp;creator=factset&amp;display_string=Audit"}</definedName>
    <definedName name="_4120__FDSAUDITLINK__" localSheetId="7" hidden="1">{"fdsup://Directions/FactSet Auditing Viewer?action=AUDIT_VALUE&amp;DB=129&amp;ID1=34637510&amp;VALUEID=02001&amp;SDATE=200701&amp;PERIODTYPE=QTR_STD&amp;SCFT=3&amp;window=popup_no_bar&amp;width=385&amp;height=120&amp;START_MAXIMIZED=FALSE&amp;creator=factset&amp;display_string=Audit"}</definedName>
    <definedName name="_4120__FDSAUDITLINK__" hidden="1">{"fdsup://Directions/FactSet Auditing Viewer?action=AUDIT_VALUE&amp;DB=129&amp;ID1=34637510&amp;VALUEID=02001&amp;SDATE=200701&amp;PERIODTYPE=QTR_STD&amp;SCFT=3&amp;window=popup_no_bar&amp;width=385&amp;height=120&amp;START_MAXIMIZED=FALSE&amp;creator=factset&amp;display_string=Audit"}</definedName>
    <definedName name="_4121__FDSAUDITLINK__" localSheetId="7" hidden="1">{"fdsup://Directions/FactSet Auditing Viewer?action=AUDIT_VALUE&amp;DB=129&amp;ID1=34637510&amp;VALUEID=02001&amp;SDATE=200603&amp;PERIODTYPE=QTR_STD&amp;SCFT=3&amp;window=popup_no_bar&amp;width=385&amp;height=120&amp;START_MAXIMIZED=FALSE&amp;creator=factset&amp;display_string=Audit"}</definedName>
    <definedName name="_4121__FDSAUDITLINK__" hidden="1">{"fdsup://Directions/FactSet Auditing Viewer?action=AUDIT_VALUE&amp;DB=129&amp;ID1=34637510&amp;VALUEID=02001&amp;SDATE=200603&amp;PERIODTYPE=QTR_STD&amp;SCFT=3&amp;window=popup_no_bar&amp;width=385&amp;height=120&amp;START_MAXIMIZED=FALSE&amp;creator=factset&amp;display_string=Audit"}</definedName>
    <definedName name="_4122__FDSAUDITLINK__" localSheetId="7" hidden="1">{"fdsup://Directions/FactSet Auditing Viewer?action=AUDIT_VALUE&amp;DB=129&amp;ID1=34637510&amp;VALUEID=02001&amp;SDATE=200603&amp;PERIODTYPE=QTR_STD&amp;SCFT=3&amp;window=popup_no_bar&amp;width=385&amp;height=120&amp;START_MAXIMIZED=FALSE&amp;creator=factset&amp;display_string=Audit"}</definedName>
    <definedName name="_4122__FDSAUDITLINK__" hidden="1">{"fdsup://Directions/FactSet Auditing Viewer?action=AUDIT_VALUE&amp;DB=129&amp;ID1=34637510&amp;VALUEID=02001&amp;SDATE=200603&amp;PERIODTYPE=QTR_STD&amp;SCFT=3&amp;window=popup_no_bar&amp;width=385&amp;height=120&amp;START_MAXIMIZED=FALSE&amp;creator=factset&amp;display_string=Audit"}</definedName>
    <definedName name="_4123__FDSAUDITLINK__" localSheetId="7" hidden="1">{"fdsup://Directions/FactSet Auditing Viewer?action=AUDIT_VALUE&amp;DB=129&amp;ID1=34637510&amp;VALUEID=02001&amp;SDATE=200602&amp;PERIODTYPE=QTR_STD&amp;SCFT=3&amp;window=popup_no_bar&amp;width=385&amp;height=120&amp;START_MAXIMIZED=FALSE&amp;creator=factset&amp;display_string=Audit"}</definedName>
    <definedName name="_4123__FDSAUDITLINK__" hidden="1">{"fdsup://Directions/FactSet Auditing Viewer?action=AUDIT_VALUE&amp;DB=129&amp;ID1=34637510&amp;VALUEID=02001&amp;SDATE=200602&amp;PERIODTYPE=QTR_STD&amp;SCFT=3&amp;window=popup_no_bar&amp;width=385&amp;height=120&amp;START_MAXIMIZED=FALSE&amp;creator=factset&amp;display_string=Audit"}</definedName>
    <definedName name="_4124__FDSAUDITLINK__" localSheetId="7" hidden="1">{"fdsup://Directions/FactSet Auditing Viewer?action=AUDIT_VALUE&amp;DB=129&amp;ID1=34637510&amp;VALUEID=02001&amp;SDATE=200602&amp;PERIODTYPE=QTR_STD&amp;SCFT=3&amp;window=popup_no_bar&amp;width=385&amp;height=120&amp;START_MAXIMIZED=FALSE&amp;creator=factset&amp;display_string=Audit"}</definedName>
    <definedName name="_4124__FDSAUDITLINK__" hidden="1">{"fdsup://Directions/FactSet Auditing Viewer?action=AUDIT_VALUE&amp;DB=129&amp;ID1=34637510&amp;VALUEID=02001&amp;SDATE=200602&amp;PERIODTYPE=QTR_STD&amp;SCFT=3&amp;window=popup_no_bar&amp;width=385&amp;height=120&amp;START_MAXIMIZED=FALSE&amp;creator=factset&amp;display_string=Audit"}</definedName>
    <definedName name="_4125__FDSAUDITLINK__" localSheetId="7" hidden="1">{"fdsup://Directions/FactSet Auditing Viewer?action=AUDIT_VALUE&amp;DB=129&amp;ID1=34637510&amp;VALUEID=02001&amp;SDATE=200601&amp;PERIODTYPE=QTR_STD&amp;SCFT=3&amp;window=popup_no_bar&amp;width=385&amp;height=120&amp;START_MAXIMIZED=FALSE&amp;creator=factset&amp;display_string=Audit"}</definedName>
    <definedName name="_4125__FDSAUDITLINK__" hidden="1">{"fdsup://Directions/FactSet Auditing Viewer?action=AUDIT_VALUE&amp;DB=129&amp;ID1=34637510&amp;VALUEID=02001&amp;SDATE=200601&amp;PERIODTYPE=QTR_STD&amp;SCFT=3&amp;window=popup_no_bar&amp;width=385&amp;height=120&amp;START_MAXIMIZED=FALSE&amp;creator=factset&amp;display_string=Audit"}</definedName>
    <definedName name="_4126__FDSAUDITLINK__" localSheetId="7" hidden="1">{"fdsup://Directions/FactSet Auditing Viewer?action=AUDIT_VALUE&amp;DB=129&amp;ID1=34637510&amp;VALUEID=02001&amp;SDATE=200601&amp;PERIODTYPE=QTR_STD&amp;SCFT=3&amp;window=popup_no_bar&amp;width=385&amp;height=120&amp;START_MAXIMIZED=FALSE&amp;creator=factset&amp;display_string=Audit"}</definedName>
    <definedName name="_4126__FDSAUDITLINK__" hidden="1">{"fdsup://Directions/FactSet Auditing Viewer?action=AUDIT_VALUE&amp;DB=129&amp;ID1=34637510&amp;VALUEID=02001&amp;SDATE=200601&amp;PERIODTYPE=QTR_STD&amp;SCFT=3&amp;window=popup_no_bar&amp;width=385&amp;height=120&amp;START_MAXIMIZED=FALSE&amp;creator=factset&amp;display_string=Audit"}</definedName>
    <definedName name="_4127__FDSAUDITLINK__" localSheetId="7" hidden="1">{"fdsup://Directions/FactSet Auditing Viewer?action=AUDIT_VALUE&amp;DB=129&amp;ID1=34637510&amp;VALUEID=02001&amp;SDATE=200503&amp;PERIODTYPE=QTR_STD&amp;SCFT=3&amp;window=popup_no_bar&amp;width=385&amp;height=120&amp;START_MAXIMIZED=FALSE&amp;creator=factset&amp;display_string=Audit"}</definedName>
    <definedName name="_4127__FDSAUDITLINK__" hidden="1">{"fdsup://Directions/FactSet Auditing Viewer?action=AUDIT_VALUE&amp;DB=129&amp;ID1=34637510&amp;VALUEID=02001&amp;SDATE=200503&amp;PERIODTYPE=QTR_STD&amp;SCFT=3&amp;window=popup_no_bar&amp;width=385&amp;height=120&amp;START_MAXIMIZED=FALSE&amp;creator=factset&amp;display_string=Audit"}</definedName>
    <definedName name="_4128__FDSAUDITLINK__" localSheetId="7" hidden="1">{"fdsup://Directions/FactSet Auditing Viewer?action=AUDIT_VALUE&amp;DB=129&amp;ID1=34637510&amp;VALUEID=02001&amp;SDATE=200503&amp;PERIODTYPE=QTR_STD&amp;SCFT=3&amp;window=popup_no_bar&amp;width=385&amp;height=120&amp;START_MAXIMIZED=FALSE&amp;creator=factset&amp;display_string=Audit"}</definedName>
    <definedName name="_4128__FDSAUDITLINK__" hidden="1">{"fdsup://Directions/FactSet Auditing Viewer?action=AUDIT_VALUE&amp;DB=129&amp;ID1=34637510&amp;VALUEID=02001&amp;SDATE=200503&amp;PERIODTYPE=QTR_STD&amp;SCFT=3&amp;window=popup_no_bar&amp;width=385&amp;height=120&amp;START_MAXIMIZED=FALSE&amp;creator=factset&amp;display_string=Audit"}</definedName>
    <definedName name="_4129__FDSAUDITLINK__" localSheetId="7" hidden="1">{"fdsup://Directions/FactSet Auditing Viewer?action=AUDIT_VALUE&amp;DB=129&amp;ID1=34637510&amp;VALUEID=02001&amp;SDATE=200502&amp;PERIODTYPE=QTR_STD&amp;SCFT=3&amp;window=popup_no_bar&amp;width=385&amp;height=120&amp;START_MAXIMIZED=FALSE&amp;creator=factset&amp;display_string=Audit"}</definedName>
    <definedName name="_4129__FDSAUDITLINK__" hidden="1">{"fdsup://Directions/FactSet Auditing Viewer?action=AUDIT_VALUE&amp;DB=129&amp;ID1=34637510&amp;VALUEID=02001&amp;SDATE=200502&amp;PERIODTYPE=QTR_STD&amp;SCFT=3&amp;window=popup_no_bar&amp;width=385&amp;height=120&amp;START_MAXIMIZED=FALSE&amp;creator=factset&amp;display_string=Audit"}</definedName>
    <definedName name="_413__FDSAUDITLINK__" localSheetId="7" hidden="1">{"fdsup://Directions/FactSet Auditing Viewer?action=AUDIT_VALUE&amp;DB=129&amp;ID1=17275R10&amp;VALUEID=02001&amp;SDATE=201101&amp;PERIODTYPE=QTR_STD&amp;SCFT=3&amp;window=popup_no_bar&amp;width=385&amp;height=120&amp;START_MAXIMIZED=FALSE&amp;creator=factset&amp;display_string=Audit"}</definedName>
    <definedName name="_413__FDSAUDITLINK__" hidden="1">{"fdsup://Directions/FactSet Auditing Viewer?action=AUDIT_VALUE&amp;DB=129&amp;ID1=17275R10&amp;VALUEID=02001&amp;SDATE=201101&amp;PERIODTYPE=QTR_STD&amp;SCFT=3&amp;window=popup_no_bar&amp;width=385&amp;height=120&amp;START_MAXIMIZED=FALSE&amp;creator=factset&amp;display_string=Audit"}</definedName>
    <definedName name="_4130__FDSAUDITLINK__" localSheetId="7" hidden="1">{"fdsup://Directions/FactSet Auditing Viewer?action=AUDIT_VALUE&amp;DB=129&amp;ID1=34637510&amp;VALUEID=02001&amp;SDATE=200502&amp;PERIODTYPE=QTR_STD&amp;SCFT=3&amp;window=popup_no_bar&amp;width=385&amp;height=120&amp;START_MAXIMIZED=FALSE&amp;creator=factset&amp;display_string=Audit"}</definedName>
    <definedName name="_4130__FDSAUDITLINK__" hidden="1">{"fdsup://Directions/FactSet Auditing Viewer?action=AUDIT_VALUE&amp;DB=129&amp;ID1=34637510&amp;VALUEID=02001&amp;SDATE=200502&amp;PERIODTYPE=QTR_STD&amp;SCFT=3&amp;window=popup_no_bar&amp;width=385&amp;height=120&amp;START_MAXIMIZED=FALSE&amp;creator=factset&amp;display_string=Audit"}</definedName>
    <definedName name="_4131__FDSAUDITLINK__" localSheetId="7" hidden="1">{"fdsup://Directions/FactSet Auditing Viewer?action=AUDIT_VALUE&amp;DB=129&amp;ID1=34637510&amp;VALUEID=02001&amp;SDATE=200501&amp;PERIODTYPE=QTR_STD&amp;SCFT=3&amp;window=popup_no_bar&amp;width=385&amp;height=120&amp;START_MAXIMIZED=FALSE&amp;creator=factset&amp;display_string=Audit"}</definedName>
    <definedName name="_4131__FDSAUDITLINK__" hidden="1">{"fdsup://Directions/FactSet Auditing Viewer?action=AUDIT_VALUE&amp;DB=129&amp;ID1=34637510&amp;VALUEID=02001&amp;SDATE=200501&amp;PERIODTYPE=QTR_STD&amp;SCFT=3&amp;window=popup_no_bar&amp;width=385&amp;height=120&amp;START_MAXIMIZED=FALSE&amp;creator=factset&amp;display_string=Audit"}</definedName>
    <definedName name="_4132__FDSAUDITLINK__" localSheetId="7" hidden="1">{"fdsup://Directions/FactSet Auditing Viewer?action=AUDIT_VALUE&amp;DB=129&amp;ID1=34637510&amp;VALUEID=02001&amp;SDATE=200501&amp;PERIODTYPE=QTR_STD&amp;SCFT=3&amp;window=popup_no_bar&amp;width=385&amp;height=120&amp;START_MAXIMIZED=FALSE&amp;creator=factset&amp;display_string=Audit"}</definedName>
    <definedName name="_4132__FDSAUDITLINK__" hidden="1">{"fdsup://Directions/FactSet Auditing Viewer?action=AUDIT_VALUE&amp;DB=129&amp;ID1=34637510&amp;VALUEID=02001&amp;SDATE=200501&amp;PERIODTYPE=QTR_STD&amp;SCFT=3&amp;window=popup_no_bar&amp;width=385&amp;height=120&amp;START_MAXIMIZED=FALSE&amp;creator=factset&amp;display_string=Audit"}</definedName>
    <definedName name="_4133__FDSAUDITLINK__" localSheetId="7" hidden="1">{"fdsup://Directions/FactSet Auditing Viewer?action=AUDIT_VALUE&amp;DB=129&amp;ID1=34637510&amp;VALUEID=02001&amp;SDATE=200403&amp;PERIODTYPE=QTR_STD&amp;SCFT=3&amp;window=popup_no_bar&amp;width=385&amp;height=120&amp;START_MAXIMIZED=FALSE&amp;creator=factset&amp;display_string=Audit"}</definedName>
    <definedName name="_4133__FDSAUDITLINK__" hidden="1">{"fdsup://Directions/FactSet Auditing Viewer?action=AUDIT_VALUE&amp;DB=129&amp;ID1=34637510&amp;VALUEID=02001&amp;SDATE=200403&amp;PERIODTYPE=QTR_STD&amp;SCFT=3&amp;window=popup_no_bar&amp;width=385&amp;height=120&amp;START_MAXIMIZED=FALSE&amp;creator=factset&amp;display_string=Audit"}</definedName>
    <definedName name="_4134__FDSAUDITLINK__" localSheetId="7" hidden="1">{"fdsup://Directions/FactSet Auditing Viewer?action=AUDIT_VALUE&amp;DB=129&amp;ID1=34637510&amp;VALUEID=02001&amp;SDATE=200403&amp;PERIODTYPE=QTR_STD&amp;SCFT=3&amp;window=popup_no_bar&amp;width=385&amp;height=120&amp;START_MAXIMIZED=FALSE&amp;creator=factset&amp;display_string=Audit"}</definedName>
    <definedName name="_4134__FDSAUDITLINK__" hidden="1">{"fdsup://Directions/FactSet Auditing Viewer?action=AUDIT_VALUE&amp;DB=129&amp;ID1=34637510&amp;VALUEID=02001&amp;SDATE=200403&amp;PERIODTYPE=QTR_STD&amp;SCFT=3&amp;window=popup_no_bar&amp;width=385&amp;height=120&amp;START_MAXIMIZED=FALSE&amp;creator=factset&amp;display_string=Audit"}</definedName>
    <definedName name="_4135__FDSAUDITLINK__" localSheetId="7" hidden="1">{"fdsup://Directions/FactSet Auditing Viewer?action=AUDIT_VALUE&amp;DB=129&amp;ID1=34637510&amp;VALUEID=02001&amp;SDATE=200402&amp;PERIODTYPE=QTR_STD&amp;SCFT=3&amp;window=popup_no_bar&amp;width=385&amp;height=120&amp;START_MAXIMIZED=FALSE&amp;creator=factset&amp;display_string=Audit"}</definedName>
    <definedName name="_4135__FDSAUDITLINK__" hidden="1">{"fdsup://Directions/FactSet Auditing Viewer?action=AUDIT_VALUE&amp;DB=129&amp;ID1=34637510&amp;VALUEID=02001&amp;SDATE=200402&amp;PERIODTYPE=QTR_STD&amp;SCFT=3&amp;window=popup_no_bar&amp;width=385&amp;height=120&amp;START_MAXIMIZED=FALSE&amp;creator=factset&amp;display_string=Audit"}</definedName>
    <definedName name="_4136__FDSAUDITLINK__" localSheetId="7" hidden="1">{"fdsup://Directions/FactSet Auditing Viewer?action=AUDIT_VALUE&amp;DB=129&amp;ID1=34637510&amp;VALUEID=02001&amp;SDATE=200402&amp;PERIODTYPE=QTR_STD&amp;SCFT=3&amp;window=popup_no_bar&amp;width=385&amp;height=120&amp;START_MAXIMIZED=FALSE&amp;creator=factset&amp;display_string=Audit"}</definedName>
    <definedName name="_4136__FDSAUDITLINK__" hidden="1">{"fdsup://Directions/FactSet Auditing Viewer?action=AUDIT_VALUE&amp;DB=129&amp;ID1=34637510&amp;VALUEID=02001&amp;SDATE=200402&amp;PERIODTYPE=QTR_STD&amp;SCFT=3&amp;window=popup_no_bar&amp;width=385&amp;height=120&amp;START_MAXIMIZED=FALSE&amp;creator=factset&amp;display_string=Audit"}</definedName>
    <definedName name="_4137__FDSAUDITLINK__" localSheetId="7" hidden="1">{"fdsup://Directions/FactSet Auditing Viewer?action=AUDIT_VALUE&amp;DB=129&amp;ID1=34637510&amp;VALUEID=02001&amp;SDATE=200401&amp;PERIODTYPE=QTR_STD&amp;SCFT=3&amp;window=popup_no_bar&amp;width=385&amp;height=120&amp;START_MAXIMIZED=FALSE&amp;creator=factset&amp;display_string=Audit"}</definedName>
    <definedName name="_4137__FDSAUDITLINK__" hidden="1">{"fdsup://Directions/FactSet Auditing Viewer?action=AUDIT_VALUE&amp;DB=129&amp;ID1=34637510&amp;VALUEID=02001&amp;SDATE=200401&amp;PERIODTYPE=QTR_STD&amp;SCFT=3&amp;window=popup_no_bar&amp;width=385&amp;height=120&amp;START_MAXIMIZED=FALSE&amp;creator=factset&amp;display_string=Audit"}</definedName>
    <definedName name="_4138__FDSAUDITLINK__" localSheetId="7" hidden="1">{"fdsup://Directions/FactSet Auditing Viewer?action=AUDIT_VALUE&amp;DB=129&amp;ID1=34637510&amp;VALUEID=02001&amp;SDATE=200401&amp;PERIODTYPE=QTR_STD&amp;SCFT=3&amp;window=popup_no_bar&amp;width=385&amp;height=120&amp;START_MAXIMIZED=FALSE&amp;creator=factset&amp;display_string=Audit"}</definedName>
    <definedName name="_4138__FDSAUDITLINK__" hidden="1">{"fdsup://Directions/FactSet Auditing Viewer?action=AUDIT_VALUE&amp;DB=129&amp;ID1=34637510&amp;VALUEID=02001&amp;SDATE=200401&amp;PERIODTYPE=QTR_STD&amp;SCFT=3&amp;window=popup_no_bar&amp;width=385&amp;height=120&amp;START_MAXIMIZED=FALSE&amp;creator=factset&amp;display_string=Audit"}</definedName>
    <definedName name="_4139__FDSAUDITLINK__" localSheetId="7" hidden="1">{"fdsup://Directions/FactSet Auditing Viewer?action=AUDIT_VALUE&amp;DB=129&amp;ID1=31561610&amp;VALUEID=02001&amp;SDATE=200802&amp;PERIODTYPE=QTR_STD&amp;SCFT=3&amp;window=popup_no_bar&amp;width=385&amp;height=120&amp;START_MAXIMIZED=FALSE&amp;creator=factset&amp;display_string=Audit"}</definedName>
    <definedName name="_4139__FDSAUDITLINK__" hidden="1">{"fdsup://Directions/FactSet Auditing Viewer?action=AUDIT_VALUE&amp;DB=129&amp;ID1=31561610&amp;VALUEID=02001&amp;SDATE=200802&amp;PERIODTYPE=QTR_STD&amp;SCFT=3&amp;window=popup_no_bar&amp;width=385&amp;height=120&amp;START_MAXIMIZED=FALSE&amp;creator=factset&amp;display_string=Audit"}</definedName>
    <definedName name="_414__FDSAUDITLINK__" localSheetId="7" hidden="1">{"fdsup://Directions/FactSet Auditing Viewer?action=AUDIT_VALUE&amp;DB=129&amp;ID1=17275R10&amp;VALUEID=02001&amp;SDATE=201101&amp;PERIODTYPE=QTR_STD&amp;SCFT=3&amp;window=popup_no_bar&amp;width=385&amp;height=120&amp;START_MAXIMIZED=FALSE&amp;creator=factset&amp;display_string=Audit"}</definedName>
    <definedName name="_414__FDSAUDITLINK__" hidden="1">{"fdsup://Directions/FactSet Auditing Viewer?action=AUDIT_VALUE&amp;DB=129&amp;ID1=17275R10&amp;VALUEID=02001&amp;SDATE=201101&amp;PERIODTYPE=QTR_STD&amp;SCFT=3&amp;window=popup_no_bar&amp;width=385&amp;height=120&amp;START_MAXIMIZED=FALSE&amp;creator=factset&amp;display_string=Audit"}</definedName>
    <definedName name="_4140__FDSAUDITLINK__" localSheetId="7" hidden="1">{"fdsup://Directions/FactSet Auditing Viewer?action=AUDIT_VALUE&amp;DB=129&amp;ID1=31561610&amp;VALUEID=02001&amp;SDATE=200802&amp;PERIODTYPE=QTR_STD&amp;SCFT=3&amp;window=popup_no_bar&amp;width=385&amp;height=120&amp;START_MAXIMIZED=FALSE&amp;creator=factset&amp;display_string=Audit"}</definedName>
    <definedName name="_4140__FDSAUDITLINK__" hidden="1">{"fdsup://Directions/FactSet Auditing Viewer?action=AUDIT_VALUE&amp;DB=129&amp;ID1=31561610&amp;VALUEID=02001&amp;SDATE=200802&amp;PERIODTYPE=QTR_STD&amp;SCFT=3&amp;window=popup_no_bar&amp;width=385&amp;height=120&amp;START_MAXIMIZED=FALSE&amp;creator=factset&amp;display_string=Audit"}</definedName>
    <definedName name="_4141__FDSAUDITLINK__" localSheetId="7" hidden="1">{"fdsup://Directions/FactSet Auditing Viewer?action=AUDIT_VALUE&amp;DB=129&amp;ID1=31561610&amp;VALUEID=02001&amp;SDATE=200801&amp;PERIODTYPE=QTR_STD&amp;SCFT=3&amp;window=popup_no_bar&amp;width=385&amp;height=120&amp;START_MAXIMIZED=FALSE&amp;creator=factset&amp;display_string=Audit"}</definedName>
    <definedName name="_4141__FDSAUDITLINK__" hidden="1">{"fdsup://Directions/FactSet Auditing Viewer?action=AUDIT_VALUE&amp;DB=129&amp;ID1=31561610&amp;VALUEID=02001&amp;SDATE=200801&amp;PERIODTYPE=QTR_STD&amp;SCFT=3&amp;window=popup_no_bar&amp;width=385&amp;height=120&amp;START_MAXIMIZED=FALSE&amp;creator=factset&amp;display_string=Audit"}</definedName>
    <definedName name="_4142__FDSAUDITLINK__" localSheetId="7" hidden="1">{"fdsup://Directions/FactSet Auditing Viewer?action=AUDIT_VALUE&amp;DB=129&amp;ID1=31561610&amp;VALUEID=02001&amp;SDATE=200801&amp;PERIODTYPE=QTR_STD&amp;SCFT=3&amp;window=popup_no_bar&amp;width=385&amp;height=120&amp;START_MAXIMIZED=FALSE&amp;creator=factset&amp;display_string=Audit"}</definedName>
    <definedName name="_4142__FDSAUDITLINK__" hidden="1">{"fdsup://Directions/FactSet Auditing Viewer?action=AUDIT_VALUE&amp;DB=129&amp;ID1=31561610&amp;VALUEID=02001&amp;SDATE=200801&amp;PERIODTYPE=QTR_STD&amp;SCFT=3&amp;window=popup_no_bar&amp;width=385&amp;height=120&amp;START_MAXIMIZED=FALSE&amp;creator=factset&amp;display_string=Audit"}</definedName>
    <definedName name="_4143__FDSAUDITLINK__" localSheetId="7" hidden="1">{"fdsup://Directions/FactSet Auditing Viewer?action=AUDIT_VALUE&amp;DB=129&amp;ID1=31561610&amp;VALUEID=02001&amp;SDATE=200703&amp;PERIODTYPE=QTR_STD&amp;SCFT=3&amp;window=popup_no_bar&amp;width=385&amp;height=120&amp;START_MAXIMIZED=FALSE&amp;creator=factset&amp;display_string=Audit"}</definedName>
    <definedName name="_4143__FDSAUDITLINK__" hidden="1">{"fdsup://Directions/FactSet Auditing Viewer?action=AUDIT_VALUE&amp;DB=129&amp;ID1=31561610&amp;VALUEID=02001&amp;SDATE=200703&amp;PERIODTYPE=QTR_STD&amp;SCFT=3&amp;window=popup_no_bar&amp;width=385&amp;height=120&amp;START_MAXIMIZED=FALSE&amp;creator=factset&amp;display_string=Audit"}</definedName>
    <definedName name="_4144__FDSAUDITLINK__" localSheetId="7" hidden="1">{"fdsup://Directions/FactSet Auditing Viewer?action=AUDIT_VALUE&amp;DB=129&amp;ID1=31561610&amp;VALUEID=02001&amp;SDATE=200703&amp;PERIODTYPE=QTR_STD&amp;SCFT=3&amp;window=popup_no_bar&amp;width=385&amp;height=120&amp;START_MAXIMIZED=FALSE&amp;creator=factset&amp;display_string=Audit"}</definedName>
    <definedName name="_4144__FDSAUDITLINK__" hidden="1">{"fdsup://Directions/FactSet Auditing Viewer?action=AUDIT_VALUE&amp;DB=129&amp;ID1=31561610&amp;VALUEID=02001&amp;SDATE=200703&amp;PERIODTYPE=QTR_STD&amp;SCFT=3&amp;window=popup_no_bar&amp;width=385&amp;height=120&amp;START_MAXIMIZED=FALSE&amp;creator=factset&amp;display_string=Audit"}</definedName>
    <definedName name="_4145__FDSAUDITLINK__" localSheetId="7" hidden="1">{"fdsup://Directions/FactSet Auditing Viewer?action=AUDIT_VALUE&amp;DB=129&amp;ID1=31561610&amp;VALUEID=02001&amp;SDATE=200702&amp;PERIODTYPE=QTR_STD&amp;SCFT=3&amp;window=popup_no_bar&amp;width=385&amp;height=120&amp;START_MAXIMIZED=FALSE&amp;creator=factset&amp;display_string=Audit"}</definedName>
    <definedName name="_4145__FDSAUDITLINK__" hidden="1">{"fdsup://Directions/FactSet Auditing Viewer?action=AUDIT_VALUE&amp;DB=129&amp;ID1=31561610&amp;VALUEID=02001&amp;SDATE=200702&amp;PERIODTYPE=QTR_STD&amp;SCFT=3&amp;window=popup_no_bar&amp;width=385&amp;height=120&amp;START_MAXIMIZED=FALSE&amp;creator=factset&amp;display_string=Audit"}</definedName>
    <definedName name="_4146__FDSAUDITLINK__" localSheetId="7" hidden="1">{"fdsup://Directions/FactSet Auditing Viewer?action=AUDIT_VALUE&amp;DB=129&amp;ID1=31561610&amp;VALUEID=02001&amp;SDATE=200702&amp;PERIODTYPE=QTR_STD&amp;SCFT=3&amp;window=popup_no_bar&amp;width=385&amp;height=120&amp;START_MAXIMIZED=FALSE&amp;creator=factset&amp;display_string=Audit"}</definedName>
    <definedName name="_4146__FDSAUDITLINK__" hidden="1">{"fdsup://Directions/FactSet Auditing Viewer?action=AUDIT_VALUE&amp;DB=129&amp;ID1=31561610&amp;VALUEID=02001&amp;SDATE=200702&amp;PERIODTYPE=QTR_STD&amp;SCFT=3&amp;window=popup_no_bar&amp;width=385&amp;height=120&amp;START_MAXIMIZED=FALSE&amp;creator=factset&amp;display_string=Audit"}</definedName>
    <definedName name="_4147__FDSAUDITLINK__" localSheetId="7" hidden="1">{"fdsup://Directions/FactSet Auditing Viewer?action=AUDIT_VALUE&amp;DB=129&amp;ID1=31561610&amp;VALUEID=02001&amp;SDATE=200701&amp;PERIODTYPE=QTR_STD&amp;SCFT=3&amp;window=popup_no_bar&amp;width=385&amp;height=120&amp;START_MAXIMIZED=FALSE&amp;creator=factset&amp;display_string=Audit"}</definedName>
    <definedName name="_4147__FDSAUDITLINK__" hidden="1">{"fdsup://Directions/FactSet Auditing Viewer?action=AUDIT_VALUE&amp;DB=129&amp;ID1=31561610&amp;VALUEID=02001&amp;SDATE=200701&amp;PERIODTYPE=QTR_STD&amp;SCFT=3&amp;window=popup_no_bar&amp;width=385&amp;height=120&amp;START_MAXIMIZED=FALSE&amp;creator=factset&amp;display_string=Audit"}</definedName>
    <definedName name="_4148__FDSAUDITLINK__" localSheetId="7" hidden="1">{"fdsup://Directions/FactSet Auditing Viewer?action=AUDIT_VALUE&amp;DB=129&amp;ID1=31561610&amp;VALUEID=02001&amp;SDATE=200701&amp;PERIODTYPE=QTR_STD&amp;SCFT=3&amp;window=popup_no_bar&amp;width=385&amp;height=120&amp;START_MAXIMIZED=FALSE&amp;creator=factset&amp;display_string=Audit"}</definedName>
    <definedName name="_4148__FDSAUDITLINK__" hidden="1">{"fdsup://Directions/FactSet Auditing Viewer?action=AUDIT_VALUE&amp;DB=129&amp;ID1=31561610&amp;VALUEID=02001&amp;SDATE=200701&amp;PERIODTYPE=QTR_STD&amp;SCFT=3&amp;window=popup_no_bar&amp;width=385&amp;height=120&amp;START_MAXIMIZED=FALSE&amp;creator=factset&amp;display_string=Audit"}</definedName>
    <definedName name="_4149__FDSAUDITLINK__" localSheetId="7" hidden="1">{"fdsup://Directions/FactSet Auditing Viewer?action=AUDIT_VALUE&amp;DB=129&amp;ID1=31561610&amp;VALUEID=02001&amp;SDATE=200603&amp;PERIODTYPE=QTR_STD&amp;SCFT=3&amp;window=popup_no_bar&amp;width=385&amp;height=120&amp;START_MAXIMIZED=FALSE&amp;creator=factset&amp;display_string=Audit"}</definedName>
    <definedName name="_4149__FDSAUDITLINK__" hidden="1">{"fdsup://Directions/FactSet Auditing Viewer?action=AUDIT_VALUE&amp;DB=129&amp;ID1=31561610&amp;VALUEID=02001&amp;SDATE=200603&amp;PERIODTYPE=QTR_STD&amp;SCFT=3&amp;window=popup_no_bar&amp;width=385&amp;height=120&amp;START_MAXIMIZED=FALSE&amp;creator=factset&amp;display_string=Audit"}</definedName>
    <definedName name="_415__FDSAUDITLINK__" localSheetId="7" hidden="1">{"fdsup://Directions/FactSet Auditing Viewer?action=AUDIT_VALUE&amp;DB=129&amp;ID1=22544710&amp;VALUEID=02001&amp;SDATE=201101&amp;PERIODTYPE=QTR_STD&amp;SCFT=3&amp;window=popup_no_bar&amp;width=385&amp;height=120&amp;START_MAXIMIZED=FALSE&amp;creator=factset&amp;display_string=Audit"}</definedName>
    <definedName name="_415__FDSAUDITLINK__" hidden="1">{"fdsup://Directions/FactSet Auditing Viewer?action=AUDIT_VALUE&amp;DB=129&amp;ID1=22544710&amp;VALUEID=02001&amp;SDATE=201101&amp;PERIODTYPE=QTR_STD&amp;SCFT=3&amp;window=popup_no_bar&amp;width=385&amp;height=120&amp;START_MAXIMIZED=FALSE&amp;creator=factset&amp;display_string=Audit"}</definedName>
    <definedName name="_4150__FDSAUDITLINK__" localSheetId="7" hidden="1">{"fdsup://Directions/FactSet Auditing Viewer?action=AUDIT_VALUE&amp;DB=129&amp;ID1=31561610&amp;VALUEID=02001&amp;SDATE=200603&amp;PERIODTYPE=QTR_STD&amp;SCFT=3&amp;window=popup_no_bar&amp;width=385&amp;height=120&amp;START_MAXIMIZED=FALSE&amp;creator=factset&amp;display_string=Audit"}</definedName>
    <definedName name="_4150__FDSAUDITLINK__" hidden="1">{"fdsup://Directions/FactSet Auditing Viewer?action=AUDIT_VALUE&amp;DB=129&amp;ID1=31561610&amp;VALUEID=02001&amp;SDATE=200603&amp;PERIODTYPE=QTR_STD&amp;SCFT=3&amp;window=popup_no_bar&amp;width=385&amp;height=120&amp;START_MAXIMIZED=FALSE&amp;creator=factset&amp;display_string=Audit"}</definedName>
    <definedName name="_4151__FDSAUDITLINK__" localSheetId="7" hidden="1">{"fdsup://Directions/FactSet Auditing Viewer?action=AUDIT_VALUE&amp;DB=129&amp;ID1=31561610&amp;VALUEID=02001&amp;SDATE=200602&amp;PERIODTYPE=QTR_STD&amp;SCFT=3&amp;window=popup_no_bar&amp;width=385&amp;height=120&amp;START_MAXIMIZED=FALSE&amp;creator=factset&amp;display_string=Audit"}</definedName>
    <definedName name="_4151__FDSAUDITLINK__" hidden="1">{"fdsup://Directions/FactSet Auditing Viewer?action=AUDIT_VALUE&amp;DB=129&amp;ID1=31561610&amp;VALUEID=02001&amp;SDATE=200602&amp;PERIODTYPE=QTR_STD&amp;SCFT=3&amp;window=popup_no_bar&amp;width=385&amp;height=120&amp;START_MAXIMIZED=FALSE&amp;creator=factset&amp;display_string=Audit"}</definedName>
    <definedName name="_4152__FDSAUDITLINK__" localSheetId="7" hidden="1">{"fdsup://Directions/FactSet Auditing Viewer?action=AUDIT_VALUE&amp;DB=129&amp;ID1=31561610&amp;VALUEID=02001&amp;SDATE=200602&amp;PERIODTYPE=QTR_STD&amp;SCFT=3&amp;window=popup_no_bar&amp;width=385&amp;height=120&amp;START_MAXIMIZED=FALSE&amp;creator=factset&amp;display_string=Audit"}</definedName>
    <definedName name="_4152__FDSAUDITLINK__" hidden="1">{"fdsup://Directions/FactSet Auditing Viewer?action=AUDIT_VALUE&amp;DB=129&amp;ID1=31561610&amp;VALUEID=02001&amp;SDATE=200602&amp;PERIODTYPE=QTR_STD&amp;SCFT=3&amp;window=popup_no_bar&amp;width=385&amp;height=120&amp;START_MAXIMIZED=FALSE&amp;creator=factset&amp;display_string=Audit"}</definedName>
    <definedName name="_4153__FDSAUDITLINK__" localSheetId="7" hidden="1">{"fdsup://Directions/FactSet Auditing Viewer?action=AUDIT_VALUE&amp;DB=129&amp;ID1=31561610&amp;VALUEID=02001&amp;SDATE=200601&amp;PERIODTYPE=QTR_STD&amp;SCFT=3&amp;window=popup_no_bar&amp;width=385&amp;height=120&amp;START_MAXIMIZED=FALSE&amp;creator=factset&amp;display_string=Audit"}</definedName>
    <definedName name="_4153__FDSAUDITLINK__" hidden="1">{"fdsup://Directions/FactSet Auditing Viewer?action=AUDIT_VALUE&amp;DB=129&amp;ID1=31561610&amp;VALUEID=02001&amp;SDATE=200601&amp;PERIODTYPE=QTR_STD&amp;SCFT=3&amp;window=popup_no_bar&amp;width=385&amp;height=120&amp;START_MAXIMIZED=FALSE&amp;creator=factset&amp;display_string=Audit"}</definedName>
    <definedName name="_4154__FDSAUDITLINK__" localSheetId="7" hidden="1">{"fdsup://Directions/FactSet Auditing Viewer?action=AUDIT_VALUE&amp;DB=129&amp;ID1=31561610&amp;VALUEID=02001&amp;SDATE=200601&amp;PERIODTYPE=QTR_STD&amp;SCFT=3&amp;window=popup_no_bar&amp;width=385&amp;height=120&amp;START_MAXIMIZED=FALSE&amp;creator=factset&amp;display_string=Audit"}</definedName>
    <definedName name="_4154__FDSAUDITLINK__" hidden="1">{"fdsup://Directions/FactSet Auditing Viewer?action=AUDIT_VALUE&amp;DB=129&amp;ID1=31561610&amp;VALUEID=02001&amp;SDATE=200601&amp;PERIODTYPE=QTR_STD&amp;SCFT=3&amp;window=popup_no_bar&amp;width=385&amp;height=120&amp;START_MAXIMIZED=FALSE&amp;creator=factset&amp;display_string=Audit"}</definedName>
    <definedName name="_4155__FDSAUDITLINK__" localSheetId="7" hidden="1">{"fdsup://Directions/FactSet Auditing Viewer?action=AUDIT_VALUE&amp;DB=129&amp;ID1=31561610&amp;VALUEID=02001&amp;SDATE=200503&amp;PERIODTYPE=QTR_STD&amp;SCFT=3&amp;window=popup_no_bar&amp;width=385&amp;height=120&amp;START_MAXIMIZED=FALSE&amp;creator=factset&amp;display_string=Audit"}</definedName>
    <definedName name="_4155__FDSAUDITLINK__" hidden="1">{"fdsup://Directions/FactSet Auditing Viewer?action=AUDIT_VALUE&amp;DB=129&amp;ID1=31561610&amp;VALUEID=02001&amp;SDATE=200503&amp;PERIODTYPE=QTR_STD&amp;SCFT=3&amp;window=popup_no_bar&amp;width=385&amp;height=120&amp;START_MAXIMIZED=FALSE&amp;creator=factset&amp;display_string=Audit"}</definedName>
    <definedName name="_4156__FDSAUDITLINK__" localSheetId="7" hidden="1">{"fdsup://Directions/FactSet Auditing Viewer?action=AUDIT_VALUE&amp;DB=129&amp;ID1=31561610&amp;VALUEID=02001&amp;SDATE=200503&amp;PERIODTYPE=QTR_STD&amp;SCFT=3&amp;window=popup_no_bar&amp;width=385&amp;height=120&amp;START_MAXIMIZED=FALSE&amp;creator=factset&amp;display_string=Audit"}</definedName>
    <definedName name="_4156__FDSAUDITLINK__" hidden="1">{"fdsup://Directions/FactSet Auditing Viewer?action=AUDIT_VALUE&amp;DB=129&amp;ID1=31561610&amp;VALUEID=02001&amp;SDATE=200503&amp;PERIODTYPE=QTR_STD&amp;SCFT=3&amp;window=popup_no_bar&amp;width=385&amp;height=120&amp;START_MAXIMIZED=FALSE&amp;creator=factset&amp;display_string=Audit"}</definedName>
    <definedName name="_4157__FDSAUDITLINK__" localSheetId="7" hidden="1">{"fdsup://Directions/FactSet Auditing Viewer?action=AUDIT_VALUE&amp;DB=129&amp;ID1=31561610&amp;VALUEID=02001&amp;SDATE=200502&amp;PERIODTYPE=QTR_STD&amp;SCFT=3&amp;window=popup_no_bar&amp;width=385&amp;height=120&amp;START_MAXIMIZED=FALSE&amp;creator=factset&amp;display_string=Audit"}</definedName>
    <definedName name="_4157__FDSAUDITLINK__" hidden="1">{"fdsup://Directions/FactSet Auditing Viewer?action=AUDIT_VALUE&amp;DB=129&amp;ID1=31561610&amp;VALUEID=02001&amp;SDATE=200502&amp;PERIODTYPE=QTR_STD&amp;SCFT=3&amp;window=popup_no_bar&amp;width=385&amp;height=120&amp;START_MAXIMIZED=FALSE&amp;creator=factset&amp;display_string=Audit"}</definedName>
    <definedName name="_4158__FDSAUDITLINK__" localSheetId="7" hidden="1">{"fdsup://Directions/FactSet Auditing Viewer?action=AUDIT_VALUE&amp;DB=129&amp;ID1=31561610&amp;VALUEID=02001&amp;SDATE=200502&amp;PERIODTYPE=QTR_STD&amp;SCFT=3&amp;window=popup_no_bar&amp;width=385&amp;height=120&amp;START_MAXIMIZED=FALSE&amp;creator=factset&amp;display_string=Audit"}</definedName>
    <definedName name="_4158__FDSAUDITLINK__" hidden="1">{"fdsup://Directions/FactSet Auditing Viewer?action=AUDIT_VALUE&amp;DB=129&amp;ID1=31561610&amp;VALUEID=02001&amp;SDATE=200502&amp;PERIODTYPE=QTR_STD&amp;SCFT=3&amp;window=popup_no_bar&amp;width=385&amp;height=120&amp;START_MAXIMIZED=FALSE&amp;creator=factset&amp;display_string=Audit"}</definedName>
    <definedName name="_4159__FDSAUDITLINK__" localSheetId="7" hidden="1">{"fdsup://Directions/FactSet Auditing Viewer?action=AUDIT_VALUE&amp;DB=129&amp;ID1=31561610&amp;VALUEID=02001&amp;SDATE=200501&amp;PERIODTYPE=QTR_STD&amp;SCFT=3&amp;window=popup_no_bar&amp;width=385&amp;height=120&amp;START_MAXIMIZED=FALSE&amp;creator=factset&amp;display_string=Audit"}</definedName>
    <definedName name="_4159__FDSAUDITLINK__" hidden="1">{"fdsup://Directions/FactSet Auditing Viewer?action=AUDIT_VALUE&amp;DB=129&amp;ID1=31561610&amp;VALUEID=02001&amp;SDATE=200501&amp;PERIODTYPE=QTR_STD&amp;SCFT=3&amp;window=popup_no_bar&amp;width=385&amp;height=120&amp;START_MAXIMIZED=FALSE&amp;creator=factset&amp;display_string=Audit"}</definedName>
    <definedName name="_416__FDSAUDITLINK__" localSheetId="7" hidden="1">{"fdsup://Directions/FactSet Auditing Viewer?action=AUDIT_VALUE&amp;DB=129&amp;ID1=22544710&amp;VALUEID=02001&amp;SDATE=201101&amp;PERIODTYPE=QTR_STD&amp;SCFT=3&amp;window=popup_no_bar&amp;width=385&amp;height=120&amp;START_MAXIMIZED=FALSE&amp;creator=factset&amp;display_string=Audit"}</definedName>
    <definedName name="_416__FDSAUDITLINK__" hidden="1">{"fdsup://Directions/FactSet Auditing Viewer?action=AUDIT_VALUE&amp;DB=129&amp;ID1=22544710&amp;VALUEID=02001&amp;SDATE=201101&amp;PERIODTYPE=QTR_STD&amp;SCFT=3&amp;window=popup_no_bar&amp;width=385&amp;height=120&amp;START_MAXIMIZED=FALSE&amp;creator=factset&amp;display_string=Audit"}</definedName>
    <definedName name="_4160__FDSAUDITLINK__" localSheetId="7" hidden="1">{"fdsup://Directions/FactSet Auditing Viewer?action=AUDIT_VALUE&amp;DB=129&amp;ID1=31561610&amp;VALUEID=02001&amp;SDATE=200501&amp;PERIODTYPE=QTR_STD&amp;SCFT=3&amp;window=popup_no_bar&amp;width=385&amp;height=120&amp;START_MAXIMIZED=FALSE&amp;creator=factset&amp;display_string=Audit"}</definedName>
    <definedName name="_4160__FDSAUDITLINK__" hidden="1">{"fdsup://Directions/FactSet Auditing Viewer?action=AUDIT_VALUE&amp;DB=129&amp;ID1=31561610&amp;VALUEID=02001&amp;SDATE=200501&amp;PERIODTYPE=QTR_STD&amp;SCFT=3&amp;window=popup_no_bar&amp;width=385&amp;height=120&amp;START_MAXIMIZED=FALSE&amp;creator=factset&amp;display_string=Audit"}</definedName>
    <definedName name="_4161__FDSAUDITLINK__" localSheetId="7" hidden="1">{"fdsup://Directions/FactSet Auditing Viewer?action=AUDIT_VALUE&amp;DB=129&amp;ID1=31561610&amp;VALUEID=02001&amp;SDATE=200403&amp;PERIODTYPE=QTR_STD&amp;SCFT=3&amp;window=popup_no_bar&amp;width=385&amp;height=120&amp;START_MAXIMIZED=FALSE&amp;creator=factset&amp;display_string=Audit"}</definedName>
    <definedName name="_4161__FDSAUDITLINK__" hidden="1">{"fdsup://Directions/FactSet Auditing Viewer?action=AUDIT_VALUE&amp;DB=129&amp;ID1=31561610&amp;VALUEID=02001&amp;SDATE=200403&amp;PERIODTYPE=QTR_STD&amp;SCFT=3&amp;window=popup_no_bar&amp;width=385&amp;height=120&amp;START_MAXIMIZED=FALSE&amp;creator=factset&amp;display_string=Audit"}</definedName>
    <definedName name="_4162__FDSAUDITLINK__" localSheetId="7" hidden="1">{"fdsup://Directions/FactSet Auditing Viewer?action=AUDIT_VALUE&amp;DB=129&amp;ID1=31561610&amp;VALUEID=02001&amp;SDATE=200403&amp;PERIODTYPE=QTR_STD&amp;SCFT=3&amp;window=popup_no_bar&amp;width=385&amp;height=120&amp;START_MAXIMIZED=FALSE&amp;creator=factset&amp;display_string=Audit"}</definedName>
    <definedName name="_4162__FDSAUDITLINK__" hidden="1">{"fdsup://Directions/FactSet Auditing Viewer?action=AUDIT_VALUE&amp;DB=129&amp;ID1=31561610&amp;VALUEID=02001&amp;SDATE=200403&amp;PERIODTYPE=QTR_STD&amp;SCFT=3&amp;window=popup_no_bar&amp;width=385&amp;height=120&amp;START_MAXIMIZED=FALSE&amp;creator=factset&amp;display_string=Audit"}</definedName>
    <definedName name="_4163__FDSAUDITLINK__" localSheetId="7" hidden="1">{"fdsup://Directions/FactSet Auditing Viewer?action=AUDIT_VALUE&amp;DB=129&amp;ID1=31561610&amp;VALUEID=02001&amp;SDATE=200402&amp;PERIODTYPE=QTR_STD&amp;SCFT=3&amp;window=popup_no_bar&amp;width=385&amp;height=120&amp;START_MAXIMIZED=FALSE&amp;creator=factset&amp;display_string=Audit"}</definedName>
    <definedName name="_4163__FDSAUDITLINK__" hidden="1">{"fdsup://Directions/FactSet Auditing Viewer?action=AUDIT_VALUE&amp;DB=129&amp;ID1=31561610&amp;VALUEID=02001&amp;SDATE=200402&amp;PERIODTYPE=QTR_STD&amp;SCFT=3&amp;window=popup_no_bar&amp;width=385&amp;height=120&amp;START_MAXIMIZED=FALSE&amp;creator=factset&amp;display_string=Audit"}</definedName>
    <definedName name="_4164__FDSAUDITLINK__" localSheetId="7" hidden="1">{"fdsup://Directions/FactSet Auditing Viewer?action=AUDIT_VALUE&amp;DB=129&amp;ID1=31561610&amp;VALUEID=02001&amp;SDATE=200402&amp;PERIODTYPE=QTR_STD&amp;SCFT=3&amp;window=popup_no_bar&amp;width=385&amp;height=120&amp;START_MAXIMIZED=FALSE&amp;creator=factset&amp;display_string=Audit"}</definedName>
    <definedName name="_4164__FDSAUDITLINK__" hidden="1">{"fdsup://Directions/FactSet Auditing Viewer?action=AUDIT_VALUE&amp;DB=129&amp;ID1=31561610&amp;VALUEID=02001&amp;SDATE=200402&amp;PERIODTYPE=QTR_STD&amp;SCFT=3&amp;window=popup_no_bar&amp;width=385&amp;height=120&amp;START_MAXIMIZED=FALSE&amp;creator=factset&amp;display_string=Audit"}</definedName>
    <definedName name="_4165__FDSAUDITLINK__" localSheetId="7" hidden="1">{"fdsup://Directions/FactSet Auditing Viewer?action=AUDIT_VALUE&amp;DB=129&amp;ID1=29247520&amp;VALUEID=02001&amp;SDATE=200803&amp;PERIODTYPE=QTR_STD&amp;SCFT=3&amp;window=popup_no_bar&amp;width=385&amp;height=120&amp;START_MAXIMIZED=FALSE&amp;creator=factset&amp;display_string=Audit"}</definedName>
    <definedName name="_4165__FDSAUDITLINK__" hidden="1">{"fdsup://Directions/FactSet Auditing Viewer?action=AUDIT_VALUE&amp;DB=129&amp;ID1=29247520&amp;VALUEID=02001&amp;SDATE=200803&amp;PERIODTYPE=QTR_STD&amp;SCFT=3&amp;window=popup_no_bar&amp;width=385&amp;height=120&amp;START_MAXIMIZED=FALSE&amp;creator=factset&amp;display_string=Audit"}</definedName>
    <definedName name="_4166__FDSAUDITLINK__" localSheetId="7" hidden="1">{"fdsup://Directions/FactSet Auditing Viewer?action=AUDIT_VALUE&amp;DB=129&amp;ID1=29247520&amp;VALUEID=02001&amp;SDATE=200803&amp;PERIODTYPE=QTR_STD&amp;SCFT=3&amp;window=popup_no_bar&amp;width=385&amp;height=120&amp;START_MAXIMIZED=FALSE&amp;creator=factset&amp;display_string=Audit"}</definedName>
    <definedName name="_4166__FDSAUDITLINK__" hidden="1">{"fdsup://Directions/FactSet Auditing Viewer?action=AUDIT_VALUE&amp;DB=129&amp;ID1=29247520&amp;VALUEID=02001&amp;SDATE=200803&amp;PERIODTYPE=QTR_STD&amp;SCFT=3&amp;window=popup_no_bar&amp;width=385&amp;height=120&amp;START_MAXIMIZED=FALSE&amp;creator=factset&amp;display_string=Audit"}</definedName>
    <definedName name="_4167__FDSAUDITLINK__" localSheetId="7" hidden="1">{"fdsup://Directions/FactSet Auditing Viewer?action=AUDIT_VALUE&amp;DB=129&amp;ID1=29247520&amp;VALUEID=02001&amp;SDATE=200802&amp;PERIODTYPE=QTR_STD&amp;SCFT=3&amp;window=popup_no_bar&amp;width=385&amp;height=120&amp;START_MAXIMIZED=FALSE&amp;creator=factset&amp;display_string=Audit"}</definedName>
    <definedName name="_4167__FDSAUDITLINK__" hidden="1">{"fdsup://Directions/FactSet Auditing Viewer?action=AUDIT_VALUE&amp;DB=129&amp;ID1=29247520&amp;VALUEID=02001&amp;SDATE=200802&amp;PERIODTYPE=QTR_STD&amp;SCFT=3&amp;window=popup_no_bar&amp;width=385&amp;height=120&amp;START_MAXIMIZED=FALSE&amp;creator=factset&amp;display_string=Audit"}</definedName>
    <definedName name="_4168__FDSAUDITLINK__" localSheetId="7" hidden="1">{"fdsup://Directions/FactSet Auditing Viewer?action=AUDIT_VALUE&amp;DB=129&amp;ID1=29247520&amp;VALUEID=02001&amp;SDATE=200802&amp;PERIODTYPE=QTR_STD&amp;SCFT=3&amp;window=popup_no_bar&amp;width=385&amp;height=120&amp;START_MAXIMIZED=FALSE&amp;creator=factset&amp;display_string=Audit"}</definedName>
    <definedName name="_4168__FDSAUDITLINK__" hidden="1">{"fdsup://Directions/FactSet Auditing Viewer?action=AUDIT_VALUE&amp;DB=129&amp;ID1=29247520&amp;VALUEID=02001&amp;SDATE=200802&amp;PERIODTYPE=QTR_STD&amp;SCFT=3&amp;window=popup_no_bar&amp;width=385&amp;height=120&amp;START_MAXIMIZED=FALSE&amp;creator=factset&amp;display_string=Audit"}</definedName>
    <definedName name="_4169__FDSAUDITLINK__" localSheetId="7" hidden="1">{"fdsup://Directions/FactSet Auditing Viewer?action=AUDIT_VALUE&amp;DB=129&amp;ID1=29247520&amp;VALUEID=02001&amp;SDATE=200801&amp;PERIODTYPE=QTR_STD&amp;SCFT=3&amp;window=popup_no_bar&amp;width=385&amp;height=120&amp;START_MAXIMIZED=FALSE&amp;creator=factset&amp;display_string=Audit"}</definedName>
    <definedName name="_4169__FDSAUDITLINK__" hidden="1">{"fdsup://Directions/FactSet Auditing Viewer?action=AUDIT_VALUE&amp;DB=129&amp;ID1=29247520&amp;VALUEID=02001&amp;SDATE=200801&amp;PERIODTYPE=QTR_STD&amp;SCFT=3&amp;window=popup_no_bar&amp;width=385&amp;height=120&amp;START_MAXIMIZED=FALSE&amp;creator=factset&amp;display_string=Audit"}</definedName>
    <definedName name="_417__FDSAUDITLINK__" localSheetId="7" hidden="1">{"fdsup://Directions/FactSet Auditing Viewer?action=AUDIT_VALUE&amp;DB=129&amp;ID1=20714230&amp;VALUEID=02001&amp;SDATE=201004&amp;PERIODTYPE=QTR_STD&amp;SCFT=3&amp;window=popup_no_bar&amp;width=385&amp;height=120&amp;START_MAXIMIZED=FALSE&amp;creator=factset&amp;display_string=Audit"}</definedName>
    <definedName name="_417__FDSAUDITLINK__" hidden="1">{"fdsup://Directions/FactSet Auditing Viewer?action=AUDIT_VALUE&amp;DB=129&amp;ID1=20714230&amp;VALUEID=02001&amp;SDATE=201004&amp;PERIODTYPE=QTR_STD&amp;SCFT=3&amp;window=popup_no_bar&amp;width=385&amp;height=120&amp;START_MAXIMIZED=FALSE&amp;creator=factset&amp;display_string=Audit"}</definedName>
    <definedName name="_4170__FDSAUDITLINK__" localSheetId="7" hidden="1">{"fdsup://Directions/FactSet Auditing Viewer?action=AUDIT_VALUE&amp;DB=129&amp;ID1=29247520&amp;VALUEID=02001&amp;SDATE=200801&amp;PERIODTYPE=QTR_STD&amp;SCFT=3&amp;window=popup_no_bar&amp;width=385&amp;height=120&amp;START_MAXIMIZED=FALSE&amp;creator=factset&amp;display_string=Audit"}</definedName>
    <definedName name="_4170__FDSAUDITLINK__" hidden="1">{"fdsup://Directions/FactSet Auditing Viewer?action=AUDIT_VALUE&amp;DB=129&amp;ID1=29247520&amp;VALUEID=02001&amp;SDATE=200801&amp;PERIODTYPE=QTR_STD&amp;SCFT=3&amp;window=popup_no_bar&amp;width=385&amp;height=120&amp;START_MAXIMIZED=FALSE&amp;creator=factset&amp;display_string=Audit"}</definedName>
    <definedName name="_4171__FDSAUDITLINK__" localSheetId="7" hidden="1">{"fdsup://Directions/FactSet Auditing Viewer?action=AUDIT_VALUE&amp;DB=129&amp;ID1=29247520&amp;VALUEID=02001&amp;SDATE=200703&amp;PERIODTYPE=QTR_STD&amp;SCFT=3&amp;window=popup_no_bar&amp;width=385&amp;height=120&amp;START_MAXIMIZED=FALSE&amp;creator=factset&amp;display_string=Audit"}</definedName>
    <definedName name="_4171__FDSAUDITLINK__" hidden="1">{"fdsup://Directions/FactSet Auditing Viewer?action=AUDIT_VALUE&amp;DB=129&amp;ID1=29247520&amp;VALUEID=02001&amp;SDATE=200703&amp;PERIODTYPE=QTR_STD&amp;SCFT=3&amp;window=popup_no_bar&amp;width=385&amp;height=120&amp;START_MAXIMIZED=FALSE&amp;creator=factset&amp;display_string=Audit"}</definedName>
    <definedName name="_4172__FDSAUDITLINK__" localSheetId="7" hidden="1">{"fdsup://Directions/FactSet Auditing Viewer?action=AUDIT_VALUE&amp;DB=129&amp;ID1=29247520&amp;VALUEID=02001&amp;SDATE=200703&amp;PERIODTYPE=QTR_STD&amp;SCFT=3&amp;window=popup_no_bar&amp;width=385&amp;height=120&amp;START_MAXIMIZED=FALSE&amp;creator=factset&amp;display_string=Audit"}</definedName>
    <definedName name="_4172__FDSAUDITLINK__" hidden="1">{"fdsup://Directions/FactSet Auditing Viewer?action=AUDIT_VALUE&amp;DB=129&amp;ID1=29247520&amp;VALUEID=02001&amp;SDATE=200703&amp;PERIODTYPE=QTR_STD&amp;SCFT=3&amp;window=popup_no_bar&amp;width=385&amp;height=120&amp;START_MAXIMIZED=FALSE&amp;creator=factset&amp;display_string=Audit"}</definedName>
    <definedName name="_4173__FDSAUDITLINK__" localSheetId="7" hidden="1">{"fdsup://Directions/FactSet Auditing Viewer?action=AUDIT_VALUE&amp;DB=129&amp;ID1=29247520&amp;VALUEID=02001&amp;SDATE=200702&amp;PERIODTYPE=QTR_STD&amp;SCFT=3&amp;window=popup_no_bar&amp;width=385&amp;height=120&amp;START_MAXIMIZED=FALSE&amp;creator=factset&amp;display_string=Audit"}</definedName>
    <definedName name="_4173__FDSAUDITLINK__" hidden="1">{"fdsup://Directions/FactSet Auditing Viewer?action=AUDIT_VALUE&amp;DB=129&amp;ID1=29247520&amp;VALUEID=02001&amp;SDATE=200702&amp;PERIODTYPE=QTR_STD&amp;SCFT=3&amp;window=popup_no_bar&amp;width=385&amp;height=120&amp;START_MAXIMIZED=FALSE&amp;creator=factset&amp;display_string=Audit"}</definedName>
    <definedName name="_4174__FDSAUDITLINK__" localSheetId="7" hidden="1">{"fdsup://Directions/FactSet Auditing Viewer?action=AUDIT_VALUE&amp;DB=129&amp;ID1=29247520&amp;VALUEID=02001&amp;SDATE=200702&amp;PERIODTYPE=QTR_STD&amp;SCFT=3&amp;window=popup_no_bar&amp;width=385&amp;height=120&amp;START_MAXIMIZED=FALSE&amp;creator=factset&amp;display_string=Audit"}</definedName>
    <definedName name="_4174__FDSAUDITLINK__" hidden="1">{"fdsup://Directions/FactSet Auditing Viewer?action=AUDIT_VALUE&amp;DB=129&amp;ID1=29247520&amp;VALUEID=02001&amp;SDATE=200702&amp;PERIODTYPE=QTR_STD&amp;SCFT=3&amp;window=popup_no_bar&amp;width=385&amp;height=120&amp;START_MAXIMIZED=FALSE&amp;creator=factset&amp;display_string=Audit"}</definedName>
    <definedName name="_4175__FDSAUDITLINK__" localSheetId="7" hidden="1">{"fdsup://Directions/FactSet Auditing Viewer?action=AUDIT_VALUE&amp;DB=129&amp;ID1=29247520&amp;VALUEID=02001&amp;SDATE=200701&amp;PERIODTYPE=QTR_STD&amp;SCFT=3&amp;window=popup_no_bar&amp;width=385&amp;height=120&amp;START_MAXIMIZED=FALSE&amp;creator=factset&amp;display_string=Audit"}</definedName>
    <definedName name="_4175__FDSAUDITLINK__" hidden="1">{"fdsup://Directions/FactSet Auditing Viewer?action=AUDIT_VALUE&amp;DB=129&amp;ID1=29247520&amp;VALUEID=02001&amp;SDATE=200701&amp;PERIODTYPE=QTR_STD&amp;SCFT=3&amp;window=popup_no_bar&amp;width=385&amp;height=120&amp;START_MAXIMIZED=FALSE&amp;creator=factset&amp;display_string=Audit"}</definedName>
    <definedName name="_4176__FDSAUDITLINK__" localSheetId="7" hidden="1">{"fdsup://Directions/FactSet Auditing Viewer?action=AUDIT_VALUE&amp;DB=129&amp;ID1=29247520&amp;VALUEID=02001&amp;SDATE=200701&amp;PERIODTYPE=QTR_STD&amp;SCFT=3&amp;window=popup_no_bar&amp;width=385&amp;height=120&amp;START_MAXIMIZED=FALSE&amp;creator=factset&amp;display_string=Audit"}</definedName>
    <definedName name="_4176__FDSAUDITLINK__" hidden="1">{"fdsup://Directions/FactSet Auditing Viewer?action=AUDIT_VALUE&amp;DB=129&amp;ID1=29247520&amp;VALUEID=02001&amp;SDATE=200701&amp;PERIODTYPE=QTR_STD&amp;SCFT=3&amp;window=popup_no_bar&amp;width=385&amp;height=120&amp;START_MAXIMIZED=FALSE&amp;creator=factset&amp;display_string=Audit"}</definedName>
    <definedName name="_4177__FDSAUDITLINK__" localSheetId="7" hidden="1">{"fdsup://Directions/FactSet Auditing Viewer?action=AUDIT_VALUE&amp;DB=129&amp;ID1=29247520&amp;VALUEID=02001&amp;SDATE=200603&amp;PERIODTYPE=QTR_STD&amp;SCFT=3&amp;window=popup_no_bar&amp;width=385&amp;height=120&amp;START_MAXIMIZED=FALSE&amp;creator=factset&amp;display_string=Audit"}</definedName>
    <definedName name="_4177__FDSAUDITLINK__" hidden="1">{"fdsup://Directions/FactSet Auditing Viewer?action=AUDIT_VALUE&amp;DB=129&amp;ID1=29247520&amp;VALUEID=02001&amp;SDATE=200603&amp;PERIODTYPE=QTR_STD&amp;SCFT=3&amp;window=popup_no_bar&amp;width=385&amp;height=120&amp;START_MAXIMIZED=FALSE&amp;creator=factset&amp;display_string=Audit"}</definedName>
    <definedName name="_4178__FDSAUDITLINK__" localSheetId="7" hidden="1">{"fdsup://Directions/FactSet Auditing Viewer?action=AUDIT_VALUE&amp;DB=129&amp;ID1=29247520&amp;VALUEID=02001&amp;SDATE=200603&amp;PERIODTYPE=QTR_STD&amp;SCFT=3&amp;window=popup_no_bar&amp;width=385&amp;height=120&amp;START_MAXIMIZED=FALSE&amp;creator=factset&amp;display_string=Audit"}</definedName>
    <definedName name="_4178__FDSAUDITLINK__" hidden="1">{"fdsup://Directions/FactSet Auditing Viewer?action=AUDIT_VALUE&amp;DB=129&amp;ID1=29247520&amp;VALUEID=02001&amp;SDATE=200603&amp;PERIODTYPE=QTR_STD&amp;SCFT=3&amp;window=popup_no_bar&amp;width=385&amp;height=120&amp;START_MAXIMIZED=FALSE&amp;creator=factset&amp;display_string=Audit"}</definedName>
    <definedName name="_4179__FDSAUDITLINK__" localSheetId="7" hidden="1">{"fdsup://Directions/FactSet Auditing Viewer?action=AUDIT_VALUE&amp;DB=129&amp;ID1=29247520&amp;VALUEID=02001&amp;SDATE=200602&amp;PERIODTYPE=QTR_STD&amp;SCFT=3&amp;window=popup_no_bar&amp;width=385&amp;height=120&amp;START_MAXIMIZED=FALSE&amp;creator=factset&amp;display_string=Audit"}</definedName>
    <definedName name="_4179__FDSAUDITLINK__" hidden="1">{"fdsup://Directions/FactSet Auditing Viewer?action=AUDIT_VALUE&amp;DB=129&amp;ID1=29247520&amp;VALUEID=02001&amp;SDATE=200602&amp;PERIODTYPE=QTR_STD&amp;SCFT=3&amp;window=popup_no_bar&amp;width=385&amp;height=120&amp;START_MAXIMIZED=FALSE&amp;creator=factset&amp;display_string=Audit"}</definedName>
    <definedName name="_418__FDSAUDITLINK__" localSheetId="7" hidden="1">{"fdsup://Directions/FactSet Auditing Viewer?action=AUDIT_VALUE&amp;DB=129&amp;ID1=20714230&amp;VALUEID=02001&amp;SDATE=201004&amp;PERIODTYPE=QTR_STD&amp;SCFT=3&amp;window=popup_no_bar&amp;width=385&amp;height=120&amp;START_MAXIMIZED=FALSE&amp;creator=factset&amp;display_string=Audit"}</definedName>
    <definedName name="_418__FDSAUDITLINK__" hidden="1">{"fdsup://Directions/FactSet Auditing Viewer?action=AUDIT_VALUE&amp;DB=129&amp;ID1=20714230&amp;VALUEID=02001&amp;SDATE=201004&amp;PERIODTYPE=QTR_STD&amp;SCFT=3&amp;window=popup_no_bar&amp;width=385&amp;height=120&amp;START_MAXIMIZED=FALSE&amp;creator=factset&amp;display_string=Audit"}</definedName>
    <definedName name="_4180__FDSAUDITLINK__" localSheetId="7" hidden="1">{"fdsup://Directions/FactSet Auditing Viewer?action=AUDIT_VALUE&amp;DB=129&amp;ID1=29247520&amp;VALUEID=02001&amp;SDATE=200602&amp;PERIODTYPE=QTR_STD&amp;SCFT=3&amp;window=popup_no_bar&amp;width=385&amp;height=120&amp;START_MAXIMIZED=FALSE&amp;creator=factset&amp;display_string=Audit"}</definedName>
    <definedName name="_4180__FDSAUDITLINK__" hidden="1">{"fdsup://Directions/FactSet Auditing Viewer?action=AUDIT_VALUE&amp;DB=129&amp;ID1=29247520&amp;VALUEID=02001&amp;SDATE=200602&amp;PERIODTYPE=QTR_STD&amp;SCFT=3&amp;window=popup_no_bar&amp;width=385&amp;height=120&amp;START_MAXIMIZED=FALSE&amp;creator=factset&amp;display_string=Audit"}</definedName>
    <definedName name="_4181__FDSAUDITLINK__" localSheetId="7" hidden="1">{"fdsup://Directions/FactSet Auditing Viewer?action=AUDIT_VALUE&amp;DB=129&amp;ID1=29247520&amp;VALUEID=02001&amp;SDATE=200601&amp;PERIODTYPE=QTR_STD&amp;SCFT=3&amp;window=popup_no_bar&amp;width=385&amp;height=120&amp;START_MAXIMIZED=FALSE&amp;creator=factset&amp;display_string=Audit"}</definedName>
    <definedName name="_4181__FDSAUDITLINK__" hidden="1">{"fdsup://Directions/FactSet Auditing Viewer?action=AUDIT_VALUE&amp;DB=129&amp;ID1=29247520&amp;VALUEID=02001&amp;SDATE=200601&amp;PERIODTYPE=QTR_STD&amp;SCFT=3&amp;window=popup_no_bar&amp;width=385&amp;height=120&amp;START_MAXIMIZED=FALSE&amp;creator=factset&amp;display_string=Audit"}</definedName>
    <definedName name="_4182__FDSAUDITLINK__" localSheetId="7" hidden="1">{"fdsup://Directions/FactSet Auditing Viewer?action=AUDIT_VALUE&amp;DB=129&amp;ID1=29247520&amp;VALUEID=02001&amp;SDATE=200601&amp;PERIODTYPE=QTR_STD&amp;SCFT=3&amp;window=popup_no_bar&amp;width=385&amp;height=120&amp;START_MAXIMIZED=FALSE&amp;creator=factset&amp;display_string=Audit"}</definedName>
    <definedName name="_4182__FDSAUDITLINK__" hidden="1">{"fdsup://Directions/FactSet Auditing Viewer?action=AUDIT_VALUE&amp;DB=129&amp;ID1=29247520&amp;VALUEID=02001&amp;SDATE=200601&amp;PERIODTYPE=QTR_STD&amp;SCFT=3&amp;window=popup_no_bar&amp;width=385&amp;height=120&amp;START_MAXIMIZED=FALSE&amp;creator=factset&amp;display_string=Audit"}</definedName>
    <definedName name="_4183__FDSAUDITLINK__" localSheetId="7" hidden="1">{"fdsup://Directions/FactSet Auditing Viewer?action=AUDIT_VALUE&amp;DB=129&amp;ID1=29247520&amp;VALUEID=02001&amp;SDATE=200503&amp;PERIODTYPE=QTR_STD&amp;SCFT=3&amp;window=popup_no_bar&amp;width=385&amp;height=120&amp;START_MAXIMIZED=FALSE&amp;creator=factset&amp;display_string=Audit"}</definedName>
    <definedName name="_4183__FDSAUDITLINK__" hidden="1">{"fdsup://Directions/FactSet Auditing Viewer?action=AUDIT_VALUE&amp;DB=129&amp;ID1=29247520&amp;VALUEID=02001&amp;SDATE=200503&amp;PERIODTYPE=QTR_STD&amp;SCFT=3&amp;window=popup_no_bar&amp;width=385&amp;height=120&amp;START_MAXIMIZED=FALSE&amp;creator=factset&amp;display_string=Audit"}</definedName>
    <definedName name="_4184__FDSAUDITLINK__" localSheetId="7" hidden="1">{"fdsup://Directions/FactSet Auditing Viewer?action=AUDIT_VALUE&amp;DB=129&amp;ID1=29247520&amp;VALUEID=02001&amp;SDATE=200503&amp;PERIODTYPE=QTR_STD&amp;SCFT=3&amp;window=popup_no_bar&amp;width=385&amp;height=120&amp;START_MAXIMIZED=FALSE&amp;creator=factset&amp;display_string=Audit"}</definedName>
    <definedName name="_4184__FDSAUDITLINK__" hidden="1">{"fdsup://Directions/FactSet Auditing Viewer?action=AUDIT_VALUE&amp;DB=129&amp;ID1=29247520&amp;VALUEID=02001&amp;SDATE=200503&amp;PERIODTYPE=QTR_STD&amp;SCFT=3&amp;window=popup_no_bar&amp;width=385&amp;height=120&amp;START_MAXIMIZED=FALSE&amp;creator=factset&amp;display_string=Audit"}</definedName>
    <definedName name="_4185__FDSAUDITLINK__" localSheetId="7" hidden="1">{"fdsup://Directions/FactSet Auditing Viewer?action=AUDIT_VALUE&amp;DB=129&amp;ID1=29247520&amp;VALUEID=02001&amp;SDATE=200502&amp;PERIODTYPE=QTR_STD&amp;SCFT=3&amp;window=popup_no_bar&amp;width=385&amp;height=120&amp;START_MAXIMIZED=FALSE&amp;creator=factset&amp;display_string=Audit"}</definedName>
    <definedName name="_4185__FDSAUDITLINK__" hidden="1">{"fdsup://Directions/FactSet Auditing Viewer?action=AUDIT_VALUE&amp;DB=129&amp;ID1=29247520&amp;VALUEID=02001&amp;SDATE=200502&amp;PERIODTYPE=QTR_STD&amp;SCFT=3&amp;window=popup_no_bar&amp;width=385&amp;height=120&amp;START_MAXIMIZED=FALSE&amp;creator=factset&amp;display_string=Audit"}</definedName>
    <definedName name="_4186__FDSAUDITLINK__" localSheetId="7" hidden="1">{"fdsup://Directions/FactSet Auditing Viewer?action=AUDIT_VALUE&amp;DB=129&amp;ID1=29247520&amp;VALUEID=02001&amp;SDATE=200502&amp;PERIODTYPE=QTR_STD&amp;SCFT=3&amp;window=popup_no_bar&amp;width=385&amp;height=120&amp;START_MAXIMIZED=FALSE&amp;creator=factset&amp;display_string=Audit"}</definedName>
    <definedName name="_4186__FDSAUDITLINK__" hidden="1">{"fdsup://Directions/FactSet Auditing Viewer?action=AUDIT_VALUE&amp;DB=129&amp;ID1=29247520&amp;VALUEID=02001&amp;SDATE=200502&amp;PERIODTYPE=QTR_STD&amp;SCFT=3&amp;window=popup_no_bar&amp;width=385&amp;height=120&amp;START_MAXIMIZED=FALSE&amp;creator=factset&amp;display_string=Audit"}</definedName>
    <definedName name="_4187__FDSAUDITLINK__" localSheetId="7" hidden="1">{"fdsup://Directions/FactSet Auditing Viewer?action=AUDIT_VALUE&amp;DB=129&amp;ID1=29247520&amp;VALUEID=02001&amp;SDATE=200501&amp;PERIODTYPE=QTR_STD&amp;SCFT=3&amp;window=popup_no_bar&amp;width=385&amp;height=120&amp;START_MAXIMIZED=FALSE&amp;creator=factset&amp;display_string=Audit"}</definedName>
    <definedName name="_4187__FDSAUDITLINK__" hidden="1">{"fdsup://Directions/FactSet Auditing Viewer?action=AUDIT_VALUE&amp;DB=129&amp;ID1=29247520&amp;VALUEID=02001&amp;SDATE=200501&amp;PERIODTYPE=QTR_STD&amp;SCFT=3&amp;window=popup_no_bar&amp;width=385&amp;height=120&amp;START_MAXIMIZED=FALSE&amp;creator=factset&amp;display_string=Audit"}</definedName>
    <definedName name="_4188__FDSAUDITLINK__" localSheetId="7" hidden="1">{"fdsup://Directions/FactSet Auditing Viewer?action=AUDIT_VALUE&amp;DB=129&amp;ID1=29247520&amp;VALUEID=02001&amp;SDATE=200501&amp;PERIODTYPE=QTR_STD&amp;SCFT=3&amp;window=popup_no_bar&amp;width=385&amp;height=120&amp;START_MAXIMIZED=FALSE&amp;creator=factset&amp;display_string=Audit"}</definedName>
    <definedName name="_4188__FDSAUDITLINK__" hidden="1">{"fdsup://Directions/FactSet Auditing Viewer?action=AUDIT_VALUE&amp;DB=129&amp;ID1=29247520&amp;VALUEID=02001&amp;SDATE=200501&amp;PERIODTYPE=QTR_STD&amp;SCFT=3&amp;window=popup_no_bar&amp;width=385&amp;height=120&amp;START_MAXIMIZED=FALSE&amp;creator=factset&amp;display_string=Audit"}</definedName>
    <definedName name="_4189__FDSAUDITLINK__" localSheetId="7" hidden="1">{"fdsup://Directions/FactSet Auditing Viewer?action=AUDIT_VALUE&amp;DB=129&amp;ID1=29247520&amp;VALUEID=02001&amp;SDATE=200403&amp;PERIODTYPE=QTR_STD&amp;SCFT=3&amp;window=popup_no_bar&amp;width=385&amp;height=120&amp;START_MAXIMIZED=FALSE&amp;creator=factset&amp;display_string=Audit"}</definedName>
    <definedName name="_4189__FDSAUDITLINK__" hidden="1">{"fdsup://Directions/FactSet Auditing Viewer?action=AUDIT_VALUE&amp;DB=129&amp;ID1=29247520&amp;VALUEID=02001&amp;SDATE=200403&amp;PERIODTYPE=QTR_STD&amp;SCFT=3&amp;window=popup_no_bar&amp;width=385&amp;height=120&amp;START_MAXIMIZED=FALSE&amp;creator=factset&amp;display_string=Audit"}</definedName>
    <definedName name="_419__FDSAUDITLINK__" localSheetId="7" hidden="1">{"fdsup://Directions/FactSet Auditing Viewer?action=AUDIT_VALUE&amp;DB=129&amp;ID1=12738710&amp;VALUEID=02001&amp;SDATE=201003&amp;PERIODTYPE=QTR_STD&amp;SCFT=3&amp;window=popup_no_bar&amp;width=385&amp;height=120&amp;START_MAXIMIZED=FALSE&amp;creator=factset&amp;display_string=Audit"}</definedName>
    <definedName name="_419__FDSAUDITLINK__" hidden="1">{"fdsup://Directions/FactSet Auditing Viewer?action=AUDIT_VALUE&amp;DB=129&amp;ID1=12738710&amp;VALUEID=02001&amp;SDATE=201003&amp;PERIODTYPE=QTR_STD&amp;SCFT=3&amp;window=popup_no_bar&amp;width=385&amp;height=120&amp;START_MAXIMIZED=FALSE&amp;creator=factset&amp;display_string=Audit"}</definedName>
    <definedName name="_4190__FDSAUDITLINK__" localSheetId="7" hidden="1">{"fdsup://Directions/FactSet Auditing Viewer?action=AUDIT_VALUE&amp;DB=129&amp;ID1=29247520&amp;VALUEID=02001&amp;SDATE=200403&amp;PERIODTYPE=QTR_STD&amp;SCFT=3&amp;window=popup_no_bar&amp;width=385&amp;height=120&amp;START_MAXIMIZED=FALSE&amp;creator=factset&amp;display_string=Audit"}</definedName>
    <definedName name="_4190__FDSAUDITLINK__" hidden="1">{"fdsup://Directions/FactSet Auditing Viewer?action=AUDIT_VALUE&amp;DB=129&amp;ID1=29247520&amp;VALUEID=02001&amp;SDATE=200403&amp;PERIODTYPE=QTR_STD&amp;SCFT=3&amp;window=popup_no_bar&amp;width=385&amp;height=120&amp;START_MAXIMIZED=FALSE&amp;creator=factset&amp;display_string=Audit"}</definedName>
    <definedName name="_4191__FDSAUDITLINK__" localSheetId="7" hidden="1">{"fdsup://Directions/FactSet Auditing Viewer?action=AUDIT_VALUE&amp;DB=129&amp;ID1=25454310&amp;VALUEID=02001&amp;SDATE=200801&amp;PERIODTYPE=QTR_STD&amp;SCFT=3&amp;window=popup_no_bar&amp;width=385&amp;height=120&amp;START_MAXIMIZED=FALSE&amp;creator=factset&amp;display_string=Audit"}</definedName>
    <definedName name="_4191__FDSAUDITLINK__" hidden="1">{"fdsup://Directions/FactSet Auditing Viewer?action=AUDIT_VALUE&amp;DB=129&amp;ID1=25454310&amp;VALUEID=02001&amp;SDATE=200801&amp;PERIODTYPE=QTR_STD&amp;SCFT=3&amp;window=popup_no_bar&amp;width=385&amp;height=120&amp;START_MAXIMIZED=FALSE&amp;creator=factset&amp;display_string=Audit"}</definedName>
    <definedName name="_4192__FDSAUDITLINK__" localSheetId="7" hidden="1">{"fdsup://Directions/FactSet Auditing Viewer?action=AUDIT_VALUE&amp;DB=129&amp;ID1=25454310&amp;VALUEID=02001&amp;SDATE=200801&amp;PERIODTYPE=QTR_STD&amp;SCFT=3&amp;window=popup_no_bar&amp;width=385&amp;height=120&amp;START_MAXIMIZED=FALSE&amp;creator=factset&amp;display_string=Audit"}</definedName>
    <definedName name="_4192__FDSAUDITLINK__" hidden="1">{"fdsup://Directions/FactSet Auditing Viewer?action=AUDIT_VALUE&amp;DB=129&amp;ID1=25454310&amp;VALUEID=02001&amp;SDATE=200801&amp;PERIODTYPE=QTR_STD&amp;SCFT=3&amp;window=popup_no_bar&amp;width=385&amp;height=120&amp;START_MAXIMIZED=FALSE&amp;creator=factset&amp;display_string=Audit"}</definedName>
    <definedName name="_4193__FDSAUDITLINK__" localSheetId="7" hidden="1">{"fdsup://Directions/FactSet Auditing Viewer?action=AUDIT_VALUE&amp;DB=129&amp;ID1=25454310&amp;VALUEID=02001&amp;SDATE=200703&amp;PERIODTYPE=QTR_STD&amp;SCFT=3&amp;window=popup_no_bar&amp;width=385&amp;height=120&amp;START_MAXIMIZED=FALSE&amp;creator=factset&amp;display_string=Audit"}</definedName>
    <definedName name="_4193__FDSAUDITLINK__" hidden="1">{"fdsup://Directions/FactSet Auditing Viewer?action=AUDIT_VALUE&amp;DB=129&amp;ID1=25454310&amp;VALUEID=02001&amp;SDATE=200703&amp;PERIODTYPE=QTR_STD&amp;SCFT=3&amp;window=popup_no_bar&amp;width=385&amp;height=120&amp;START_MAXIMIZED=FALSE&amp;creator=factset&amp;display_string=Audit"}</definedName>
    <definedName name="_4194__FDSAUDITLINK__" localSheetId="7" hidden="1">{"fdsup://Directions/FactSet Auditing Viewer?action=AUDIT_VALUE&amp;DB=129&amp;ID1=25454310&amp;VALUEID=02001&amp;SDATE=200703&amp;PERIODTYPE=QTR_STD&amp;SCFT=3&amp;window=popup_no_bar&amp;width=385&amp;height=120&amp;START_MAXIMIZED=FALSE&amp;creator=factset&amp;display_string=Audit"}</definedName>
    <definedName name="_4194__FDSAUDITLINK__" hidden="1">{"fdsup://Directions/FactSet Auditing Viewer?action=AUDIT_VALUE&amp;DB=129&amp;ID1=25454310&amp;VALUEID=02001&amp;SDATE=200703&amp;PERIODTYPE=QTR_STD&amp;SCFT=3&amp;window=popup_no_bar&amp;width=385&amp;height=120&amp;START_MAXIMIZED=FALSE&amp;creator=factset&amp;display_string=Audit"}</definedName>
    <definedName name="_4195__FDSAUDITLINK__" localSheetId="7" hidden="1">{"fdsup://Directions/FactSet Auditing Viewer?action=AUDIT_VALUE&amp;DB=129&amp;ID1=25454310&amp;VALUEID=02001&amp;SDATE=200701&amp;PERIODTYPE=QTR_STD&amp;SCFT=3&amp;window=popup_no_bar&amp;width=385&amp;height=120&amp;START_MAXIMIZED=FALSE&amp;creator=factset&amp;display_string=Audit"}</definedName>
    <definedName name="_4195__FDSAUDITLINK__" hidden="1">{"fdsup://Directions/FactSet Auditing Viewer?action=AUDIT_VALUE&amp;DB=129&amp;ID1=25454310&amp;VALUEID=02001&amp;SDATE=200701&amp;PERIODTYPE=QTR_STD&amp;SCFT=3&amp;window=popup_no_bar&amp;width=385&amp;height=120&amp;START_MAXIMIZED=FALSE&amp;creator=factset&amp;display_string=Audit"}</definedName>
    <definedName name="_4196__FDSAUDITLINK__" localSheetId="7" hidden="1">{"fdsup://Directions/FactSet Auditing Viewer?action=AUDIT_VALUE&amp;DB=129&amp;ID1=25454310&amp;VALUEID=02001&amp;SDATE=200701&amp;PERIODTYPE=QTR_STD&amp;SCFT=3&amp;window=popup_no_bar&amp;width=385&amp;height=120&amp;START_MAXIMIZED=FALSE&amp;creator=factset&amp;display_string=Audit"}</definedName>
    <definedName name="_4196__FDSAUDITLINK__" hidden="1">{"fdsup://Directions/FactSet Auditing Viewer?action=AUDIT_VALUE&amp;DB=129&amp;ID1=25454310&amp;VALUEID=02001&amp;SDATE=200701&amp;PERIODTYPE=QTR_STD&amp;SCFT=3&amp;window=popup_no_bar&amp;width=385&amp;height=120&amp;START_MAXIMIZED=FALSE&amp;creator=factset&amp;display_string=Audit"}</definedName>
    <definedName name="_4197__FDSAUDITLINK__" localSheetId="7" hidden="1">{"fdsup://Directions/FactSet Auditing Viewer?action=AUDIT_VALUE&amp;DB=129&amp;ID1=25454310&amp;VALUEID=02001&amp;SDATE=200603&amp;PERIODTYPE=QTR_STD&amp;SCFT=3&amp;window=popup_no_bar&amp;width=385&amp;height=120&amp;START_MAXIMIZED=FALSE&amp;creator=factset&amp;display_string=Audit"}</definedName>
    <definedName name="_4197__FDSAUDITLINK__" hidden="1">{"fdsup://Directions/FactSet Auditing Viewer?action=AUDIT_VALUE&amp;DB=129&amp;ID1=25454310&amp;VALUEID=02001&amp;SDATE=200603&amp;PERIODTYPE=QTR_STD&amp;SCFT=3&amp;window=popup_no_bar&amp;width=385&amp;height=120&amp;START_MAXIMIZED=FALSE&amp;creator=factset&amp;display_string=Audit"}</definedName>
    <definedName name="_4198__FDSAUDITLINK__" localSheetId="7" hidden="1">{"fdsup://Directions/FactSet Auditing Viewer?action=AUDIT_VALUE&amp;DB=129&amp;ID1=25454310&amp;VALUEID=02001&amp;SDATE=200603&amp;PERIODTYPE=QTR_STD&amp;SCFT=3&amp;window=popup_no_bar&amp;width=385&amp;height=120&amp;START_MAXIMIZED=FALSE&amp;creator=factset&amp;display_string=Audit"}</definedName>
    <definedName name="_4198__FDSAUDITLINK__" hidden="1">{"fdsup://Directions/FactSet Auditing Viewer?action=AUDIT_VALUE&amp;DB=129&amp;ID1=25454310&amp;VALUEID=02001&amp;SDATE=200603&amp;PERIODTYPE=QTR_STD&amp;SCFT=3&amp;window=popup_no_bar&amp;width=385&amp;height=120&amp;START_MAXIMIZED=FALSE&amp;creator=factset&amp;display_string=Audit"}</definedName>
    <definedName name="_4199__FDSAUDITLINK__" localSheetId="7" hidden="1">{"fdsup://Directions/FactSet Auditing Viewer?action=AUDIT_VALUE&amp;DB=129&amp;ID1=25454310&amp;VALUEID=02001&amp;SDATE=200602&amp;PERIODTYPE=QTR_STD&amp;SCFT=3&amp;window=popup_no_bar&amp;width=385&amp;height=120&amp;START_MAXIMIZED=FALSE&amp;creator=factset&amp;display_string=Audit"}</definedName>
    <definedName name="_4199__FDSAUDITLINK__" hidden="1">{"fdsup://Directions/FactSet Auditing Viewer?action=AUDIT_VALUE&amp;DB=129&amp;ID1=25454310&amp;VALUEID=02001&amp;SDATE=200602&amp;PERIODTYPE=QTR_STD&amp;SCFT=3&amp;window=popup_no_bar&amp;width=385&amp;height=120&amp;START_MAXIMIZED=FALSE&amp;creator=factset&amp;display_string=Audit"}</definedName>
    <definedName name="_42__FDSAUDITLINK__" localSheetId="7" hidden="1">{"fdsup://Directions/FactSet Auditing Viewer?action=AUDIT_VALUE&amp;DB=129&amp;ID1=74752510&amp;VALUEID=02001&amp;SDATE=201102&amp;PERIODTYPE=QTR_STD&amp;SCFT=3&amp;window=popup_no_bar&amp;width=385&amp;height=120&amp;START_MAXIMIZED=FALSE&amp;creator=factset&amp;display_string=Audit"}</definedName>
    <definedName name="_42__FDSAUDITLINK__" hidden="1">{"fdsup://Directions/FactSet Auditing Viewer?action=AUDIT_VALUE&amp;DB=129&amp;ID1=74752510&amp;VALUEID=02001&amp;SDATE=201102&amp;PERIODTYPE=QTR_STD&amp;SCFT=3&amp;window=popup_no_bar&amp;width=385&amp;height=120&amp;START_MAXIMIZED=FALSE&amp;creator=factset&amp;display_string=Audit"}</definedName>
    <definedName name="_420__FDSAUDITLINK__" localSheetId="7" hidden="1">{"fdsup://Directions/FactSet Auditing Viewer?action=AUDIT_VALUE&amp;DB=129&amp;ID1=12738710&amp;VALUEID=02001&amp;SDATE=201003&amp;PERIODTYPE=QTR_STD&amp;SCFT=3&amp;window=popup_no_bar&amp;width=385&amp;height=120&amp;START_MAXIMIZED=FALSE&amp;creator=factset&amp;display_string=Audit"}</definedName>
    <definedName name="_420__FDSAUDITLINK__" hidden="1">{"fdsup://Directions/FactSet Auditing Viewer?action=AUDIT_VALUE&amp;DB=129&amp;ID1=12738710&amp;VALUEID=02001&amp;SDATE=201003&amp;PERIODTYPE=QTR_STD&amp;SCFT=3&amp;window=popup_no_bar&amp;width=385&amp;height=120&amp;START_MAXIMIZED=FALSE&amp;creator=factset&amp;display_string=Audit"}</definedName>
    <definedName name="_4200__FDSAUDITLINK__" localSheetId="7" hidden="1">{"fdsup://Directions/FactSet Auditing Viewer?action=AUDIT_VALUE&amp;DB=129&amp;ID1=25454310&amp;VALUEID=02001&amp;SDATE=200602&amp;PERIODTYPE=QTR_STD&amp;SCFT=3&amp;window=popup_no_bar&amp;width=385&amp;height=120&amp;START_MAXIMIZED=FALSE&amp;creator=factset&amp;display_string=Audit"}</definedName>
    <definedName name="_4200__FDSAUDITLINK__" hidden="1">{"fdsup://Directions/FactSet Auditing Viewer?action=AUDIT_VALUE&amp;DB=129&amp;ID1=25454310&amp;VALUEID=02001&amp;SDATE=200602&amp;PERIODTYPE=QTR_STD&amp;SCFT=3&amp;window=popup_no_bar&amp;width=385&amp;height=120&amp;START_MAXIMIZED=FALSE&amp;creator=factset&amp;display_string=Audit"}</definedName>
    <definedName name="_4201__FDSAUDITLINK__" localSheetId="7" hidden="1">{"fdsup://Directions/FactSet Auditing Viewer?action=AUDIT_VALUE&amp;DB=129&amp;ID1=25454310&amp;VALUEID=02001&amp;SDATE=200601&amp;PERIODTYPE=QTR_STD&amp;SCFT=3&amp;window=popup_no_bar&amp;width=385&amp;height=120&amp;START_MAXIMIZED=FALSE&amp;creator=factset&amp;display_string=Audit"}</definedName>
    <definedName name="_4201__FDSAUDITLINK__" hidden="1">{"fdsup://Directions/FactSet Auditing Viewer?action=AUDIT_VALUE&amp;DB=129&amp;ID1=25454310&amp;VALUEID=02001&amp;SDATE=200601&amp;PERIODTYPE=QTR_STD&amp;SCFT=3&amp;window=popup_no_bar&amp;width=385&amp;height=120&amp;START_MAXIMIZED=FALSE&amp;creator=factset&amp;display_string=Audit"}</definedName>
    <definedName name="_4202__FDSAUDITLINK__" localSheetId="7" hidden="1">{"fdsup://Directions/FactSet Auditing Viewer?action=AUDIT_VALUE&amp;DB=129&amp;ID1=25454310&amp;VALUEID=02001&amp;SDATE=200601&amp;PERIODTYPE=QTR_STD&amp;SCFT=3&amp;window=popup_no_bar&amp;width=385&amp;height=120&amp;START_MAXIMIZED=FALSE&amp;creator=factset&amp;display_string=Audit"}</definedName>
    <definedName name="_4202__FDSAUDITLINK__" hidden="1">{"fdsup://Directions/FactSet Auditing Viewer?action=AUDIT_VALUE&amp;DB=129&amp;ID1=25454310&amp;VALUEID=02001&amp;SDATE=200601&amp;PERIODTYPE=QTR_STD&amp;SCFT=3&amp;window=popup_no_bar&amp;width=385&amp;height=120&amp;START_MAXIMIZED=FALSE&amp;creator=factset&amp;display_string=Audit"}</definedName>
    <definedName name="_4203__FDSAUDITLINK__" localSheetId="7" hidden="1">{"fdsup://Directions/FactSet Auditing Viewer?action=AUDIT_VALUE&amp;DB=129&amp;ID1=25454310&amp;VALUEID=02001&amp;SDATE=200503&amp;PERIODTYPE=QTR_STD&amp;SCFT=3&amp;window=popup_no_bar&amp;width=385&amp;height=120&amp;START_MAXIMIZED=FALSE&amp;creator=factset&amp;display_string=Audit"}</definedName>
    <definedName name="_4203__FDSAUDITLINK__" hidden="1">{"fdsup://Directions/FactSet Auditing Viewer?action=AUDIT_VALUE&amp;DB=129&amp;ID1=25454310&amp;VALUEID=02001&amp;SDATE=200503&amp;PERIODTYPE=QTR_STD&amp;SCFT=3&amp;window=popup_no_bar&amp;width=385&amp;height=120&amp;START_MAXIMIZED=FALSE&amp;creator=factset&amp;display_string=Audit"}</definedName>
    <definedName name="_4204__FDSAUDITLINK__" localSheetId="7" hidden="1">{"fdsup://Directions/FactSet Auditing Viewer?action=AUDIT_VALUE&amp;DB=129&amp;ID1=25454310&amp;VALUEID=02001&amp;SDATE=200503&amp;PERIODTYPE=QTR_STD&amp;SCFT=3&amp;window=popup_no_bar&amp;width=385&amp;height=120&amp;START_MAXIMIZED=FALSE&amp;creator=factset&amp;display_string=Audit"}</definedName>
    <definedName name="_4204__FDSAUDITLINK__" hidden="1">{"fdsup://Directions/FactSet Auditing Viewer?action=AUDIT_VALUE&amp;DB=129&amp;ID1=25454310&amp;VALUEID=02001&amp;SDATE=200503&amp;PERIODTYPE=QTR_STD&amp;SCFT=3&amp;window=popup_no_bar&amp;width=385&amp;height=120&amp;START_MAXIMIZED=FALSE&amp;creator=factset&amp;display_string=Audit"}</definedName>
    <definedName name="_4205__FDSAUDITLINK__" localSheetId="7" hidden="1">{"fdsup://Directions/FactSet Auditing Viewer?action=AUDIT_VALUE&amp;DB=129&amp;ID1=25454310&amp;VALUEID=02001&amp;SDATE=200502&amp;PERIODTYPE=QTR_STD&amp;SCFT=3&amp;window=popup_no_bar&amp;width=385&amp;height=120&amp;START_MAXIMIZED=FALSE&amp;creator=factset&amp;display_string=Audit"}</definedName>
    <definedName name="_4205__FDSAUDITLINK__" hidden="1">{"fdsup://Directions/FactSet Auditing Viewer?action=AUDIT_VALUE&amp;DB=129&amp;ID1=25454310&amp;VALUEID=02001&amp;SDATE=200502&amp;PERIODTYPE=QTR_STD&amp;SCFT=3&amp;window=popup_no_bar&amp;width=385&amp;height=120&amp;START_MAXIMIZED=FALSE&amp;creator=factset&amp;display_string=Audit"}</definedName>
    <definedName name="_4206__FDSAUDITLINK__" localSheetId="7" hidden="1">{"fdsup://Directions/FactSet Auditing Viewer?action=AUDIT_VALUE&amp;DB=129&amp;ID1=25454310&amp;VALUEID=02001&amp;SDATE=200502&amp;PERIODTYPE=QTR_STD&amp;SCFT=3&amp;window=popup_no_bar&amp;width=385&amp;height=120&amp;START_MAXIMIZED=FALSE&amp;creator=factset&amp;display_string=Audit"}</definedName>
    <definedName name="_4206__FDSAUDITLINK__" hidden="1">{"fdsup://Directions/FactSet Auditing Viewer?action=AUDIT_VALUE&amp;DB=129&amp;ID1=25454310&amp;VALUEID=02001&amp;SDATE=200502&amp;PERIODTYPE=QTR_STD&amp;SCFT=3&amp;window=popup_no_bar&amp;width=385&amp;height=120&amp;START_MAXIMIZED=FALSE&amp;creator=factset&amp;display_string=Audit"}</definedName>
    <definedName name="_4207__FDSAUDITLINK__" localSheetId="7" hidden="1">{"fdsup://Directions/FactSet Auditing Viewer?action=AUDIT_VALUE&amp;DB=129&amp;ID1=25454310&amp;VALUEID=02001&amp;SDATE=200501&amp;PERIODTYPE=QTR_STD&amp;SCFT=3&amp;window=popup_no_bar&amp;width=385&amp;height=120&amp;START_MAXIMIZED=FALSE&amp;creator=factset&amp;display_string=Audit"}</definedName>
    <definedName name="_4207__FDSAUDITLINK__" hidden="1">{"fdsup://Directions/FactSet Auditing Viewer?action=AUDIT_VALUE&amp;DB=129&amp;ID1=25454310&amp;VALUEID=02001&amp;SDATE=200501&amp;PERIODTYPE=QTR_STD&amp;SCFT=3&amp;window=popup_no_bar&amp;width=385&amp;height=120&amp;START_MAXIMIZED=FALSE&amp;creator=factset&amp;display_string=Audit"}</definedName>
    <definedName name="_4208__FDSAUDITLINK__" localSheetId="7" hidden="1">{"fdsup://Directions/FactSet Auditing Viewer?action=AUDIT_VALUE&amp;DB=129&amp;ID1=25454310&amp;VALUEID=02001&amp;SDATE=200501&amp;PERIODTYPE=QTR_STD&amp;SCFT=3&amp;window=popup_no_bar&amp;width=385&amp;height=120&amp;START_MAXIMIZED=FALSE&amp;creator=factset&amp;display_string=Audit"}</definedName>
    <definedName name="_4208__FDSAUDITLINK__" hidden="1">{"fdsup://Directions/FactSet Auditing Viewer?action=AUDIT_VALUE&amp;DB=129&amp;ID1=25454310&amp;VALUEID=02001&amp;SDATE=200501&amp;PERIODTYPE=QTR_STD&amp;SCFT=3&amp;window=popup_no_bar&amp;width=385&amp;height=120&amp;START_MAXIMIZED=FALSE&amp;creator=factset&amp;display_string=Audit"}</definedName>
    <definedName name="_4209__FDSAUDITLINK__" localSheetId="7" hidden="1">{"fdsup://Directions/FactSet Auditing Viewer?action=AUDIT_VALUE&amp;DB=129&amp;ID1=25454310&amp;VALUEID=02001&amp;SDATE=200403&amp;PERIODTYPE=QTR_STD&amp;SCFT=3&amp;window=popup_no_bar&amp;width=385&amp;height=120&amp;START_MAXIMIZED=FALSE&amp;creator=factset&amp;display_string=Audit"}</definedName>
    <definedName name="_4209__FDSAUDITLINK__" hidden="1">{"fdsup://Directions/FactSet Auditing Viewer?action=AUDIT_VALUE&amp;DB=129&amp;ID1=25454310&amp;VALUEID=02001&amp;SDATE=200403&amp;PERIODTYPE=QTR_STD&amp;SCFT=3&amp;window=popup_no_bar&amp;width=385&amp;height=120&amp;START_MAXIMIZED=FALSE&amp;creator=factset&amp;display_string=Audit"}</definedName>
    <definedName name="_421__FDSAUDITLINK__" localSheetId="7" hidden="1">{"fdsup://Directions/FactSet Auditing Viewer?action=AUDIT_VALUE&amp;DB=129&amp;ID1=14964U10&amp;VALUEID=02001&amp;SDATE=201003&amp;PERIODTYPE=QTR_STD&amp;SCFT=3&amp;window=popup_no_bar&amp;width=385&amp;height=120&amp;START_MAXIMIZED=FALSE&amp;creator=factset&amp;display_string=Audit"}</definedName>
    <definedName name="_421__FDSAUDITLINK__" hidden="1">{"fdsup://Directions/FactSet Auditing Viewer?action=AUDIT_VALUE&amp;DB=129&amp;ID1=14964U10&amp;VALUEID=02001&amp;SDATE=201003&amp;PERIODTYPE=QTR_STD&amp;SCFT=3&amp;window=popup_no_bar&amp;width=385&amp;height=120&amp;START_MAXIMIZED=FALSE&amp;creator=factset&amp;display_string=Audit"}</definedName>
    <definedName name="_4210__FDSAUDITLINK__" localSheetId="7" hidden="1">{"fdsup://Directions/FactSet Auditing Viewer?action=AUDIT_VALUE&amp;DB=129&amp;ID1=25454310&amp;VALUEID=02001&amp;SDATE=200403&amp;PERIODTYPE=QTR_STD&amp;SCFT=3&amp;window=popup_no_bar&amp;width=385&amp;height=120&amp;START_MAXIMIZED=FALSE&amp;creator=factset&amp;display_string=Audit"}</definedName>
    <definedName name="_4210__FDSAUDITLINK__" hidden="1">{"fdsup://Directions/FactSet Auditing Viewer?action=AUDIT_VALUE&amp;DB=129&amp;ID1=25454310&amp;VALUEID=02001&amp;SDATE=200403&amp;PERIODTYPE=QTR_STD&amp;SCFT=3&amp;window=popup_no_bar&amp;width=385&amp;height=120&amp;START_MAXIMIZED=FALSE&amp;creator=factset&amp;display_string=Audit"}</definedName>
    <definedName name="_4211__FDSAUDITLINK__" localSheetId="7" hidden="1">{"fdsup://Directions/FactSet Auditing Viewer?action=AUDIT_VALUE&amp;DB=129&amp;ID1=25454310&amp;VALUEID=02001&amp;SDATE=200402&amp;PERIODTYPE=QTR_STD&amp;SCFT=3&amp;window=popup_no_bar&amp;width=385&amp;height=120&amp;START_MAXIMIZED=FALSE&amp;creator=factset&amp;display_string=Audit"}</definedName>
    <definedName name="_4211__FDSAUDITLINK__" hidden="1">{"fdsup://Directions/FactSet Auditing Viewer?action=AUDIT_VALUE&amp;DB=129&amp;ID1=25454310&amp;VALUEID=02001&amp;SDATE=200402&amp;PERIODTYPE=QTR_STD&amp;SCFT=3&amp;window=popup_no_bar&amp;width=385&amp;height=120&amp;START_MAXIMIZED=FALSE&amp;creator=factset&amp;display_string=Audit"}</definedName>
    <definedName name="_4212__FDSAUDITLINK__" localSheetId="7" hidden="1">{"fdsup://Directions/FactSet Auditing Viewer?action=AUDIT_VALUE&amp;DB=129&amp;ID1=25454310&amp;VALUEID=02001&amp;SDATE=200402&amp;PERIODTYPE=QTR_STD&amp;SCFT=3&amp;window=popup_no_bar&amp;width=385&amp;height=120&amp;START_MAXIMIZED=FALSE&amp;creator=factset&amp;display_string=Audit"}</definedName>
    <definedName name="_4212__FDSAUDITLINK__" hidden="1">{"fdsup://Directions/FactSet Auditing Viewer?action=AUDIT_VALUE&amp;DB=129&amp;ID1=25454310&amp;VALUEID=02001&amp;SDATE=200402&amp;PERIODTYPE=QTR_STD&amp;SCFT=3&amp;window=popup_no_bar&amp;width=385&amp;height=120&amp;START_MAXIMIZED=FALSE&amp;creator=factset&amp;display_string=Audit"}</definedName>
    <definedName name="_4213__FDSAUDITLINK__" localSheetId="7" hidden="1">{"fdsup://Directions/FactSet Auditing Viewer?action=AUDIT_VALUE&amp;DB=129&amp;ID1=25454310&amp;VALUEID=02001&amp;SDATE=200401&amp;PERIODTYPE=QTR_STD&amp;SCFT=3&amp;window=popup_no_bar&amp;width=385&amp;height=120&amp;START_MAXIMIZED=FALSE&amp;creator=factset&amp;display_string=Audit"}</definedName>
    <definedName name="_4213__FDSAUDITLINK__" hidden="1">{"fdsup://Directions/FactSet Auditing Viewer?action=AUDIT_VALUE&amp;DB=129&amp;ID1=25454310&amp;VALUEID=02001&amp;SDATE=200401&amp;PERIODTYPE=QTR_STD&amp;SCFT=3&amp;window=popup_no_bar&amp;width=385&amp;height=120&amp;START_MAXIMIZED=FALSE&amp;creator=factset&amp;display_string=Audit"}</definedName>
    <definedName name="_4214__FDSAUDITLINK__" localSheetId="7" hidden="1">{"fdsup://Directions/FactSet Auditing Viewer?action=AUDIT_VALUE&amp;DB=129&amp;ID1=25454310&amp;VALUEID=02001&amp;SDATE=200401&amp;PERIODTYPE=QTR_STD&amp;SCFT=3&amp;window=popup_no_bar&amp;width=385&amp;height=120&amp;START_MAXIMIZED=FALSE&amp;creator=factset&amp;display_string=Audit"}</definedName>
    <definedName name="_4214__FDSAUDITLINK__" hidden="1">{"fdsup://Directions/FactSet Auditing Viewer?action=AUDIT_VALUE&amp;DB=129&amp;ID1=25454310&amp;VALUEID=02001&amp;SDATE=200401&amp;PERIODTYPE=QTR_STD&amp;SCFT=3&amp;window=popup_no_bar&amp;width=385&amp;height=120&amp;START_MAXIMIZED=FALSE&amp;creator=factset&amp;display_string=Audit"}</definedName>
    <definedName name="_4215__FDSAUDITLINK__" localSheetId="7" hidden="1">{"fdsup://Directions/FactSet Auditing Viewer?action=AUDIT_VALUE&amp;DB=129&amp;ID1=24702R10&amp;VALUEID=02001&amp;SDATE=200801&amp;PERIODTYPE=QTR_STD&amp;SCFT=3&amp;window=popup_no_bar&amp;width=385&amp;height=120&amp;START_MAXIMIZED=FALSE&amp;creator=factset&amp;display_string=Audit"}</definedName>
    <definedName name="_4215__FDSAUDITLINK__" hidden="1">{"fdsup://Directions/FactSet Auditing Viewer?action=AUDIT_VALUE&amp;DB=129&amp;ID1=24702R10&amp;VALUEID=02001&amp;SDATE=200801&amp;PERIODTYPE=QTR_STD&amp;SCFT=3&amp;window=popup_no_bar&amp;width=385&amp;height=120&amp;START_MAXIMIZED=FALSE&amp;creator=factset&amp;display_string=Audit"}</definedName>
    <definedName name="_4216__FDSAUDITLINK__" localSheetId="7" hidden="1">{"fdsup://Directions/FactSet Auditing Viewer?action=AUDIT_VALUE&amp;DB=129&amp;ID1=24702R10&amp;VALUEID=02001&amp;SDATE=200801&amp;PERIODTYPE=QTR_STD&amp;SCFT=3&amp;window=popup_no_bar&amp;width=385&amp;height=120&amp;START_MAXIMIZED=FALSE&amp;creator=factset&amp;display_string=Audit"}</definedName>
    <definedName name="_4216__FDSAUDITLINK__" hidden="1">{"fdsup://Directions/FactSet Auditing Viewer?action=AUDIT_VALUE&amp;DB=129&amp;ID1=24702R10&amp;VALUEID=02001&amp;SDATE=200801&amp;PERIODTYPE=QTR_STD&amp;SCFT=3&amp;window=popup_no_bar&amp;width=385&amp;height=120&amp;START_MAXIMIZED=FALSE&amp;creator=factset&amp;display_string=Audit"}</definedName>
    <definedName name="_4217__FDSAUDITLINK__" localSheetId="7" hidden="1">{"fdsup://Directions/FactSet Auditing Viewer?action=AUDIT_VALUE&amp;DB=129&amp;ID1=24702R10&amp;VALUEID=02001&amp;SDATE=200703&amp;PERIODTYPE=QTR_STD&amp;SCFT=3&amp;window=popup_no_bar&amp;width=385&amp;height=120&amp;START_MAXIMIZED=FALSE&amp;creator=factset&amp;display_string=Audit"}</definedName>
    <definedName name="_4217__FDSAUDITLINK__" hidden="1">{"fdsup://Directions/FactSet Auditing Viewer?action=AUDIT_VALUE&amp;DB=129&amp;ID1=24702R10&amp;VALUEID=02001&amp;SDATE=200703&amp;PERIODTYPE=QTR_STD&amp;SCFT=3&amp;window=popup_no_bar&amp;width=385&amp;height=120&amp;START_MAXIMIZED=FALSE&amp;creator=factset&amp;display_string=Audit"}</definedName>
    <definedName name="_4218__FDSAUDITLINK__" localSheetId="7" hidden="1">{"fdsup://Directions/FactSet Auditing Viewer?action=AUDIT_VALUE&amp;DB=129&amp;ID1=24702R10&amp;VALUEID=02001&amp;SDATE=200703&amp;PERIODTYPE=QTR_STD&amp;SCFT=3&amp;window=popup_no_bar&amp;width=385&amp;height=120&amp;START_MAXIMIZED=FALSE&amp;creator=factset&amp;display_string=Audit"}</definedName>
    <definedName name="_4218__FDSAUDITLINK__" hidden="1">{"fdsup://Directions/FactSet Auditing Viewer?action=AUDIT_VALUE&amp;DB=129&amp;ID1=24702R10&amp;VALUEID=02001&amp;SDATE=200703&amp;PERIODTYPE=QTR_STD&amp;SCFT=3&amp;window=popup_no_bar&amp;width=385&amp;height=120&amp;START_MAXIMIZED=FALSE&amp;creator=factset&amp;display_string=Audit"}</definedName>
    <definedName name="_4219__FDSAUDITLINK__" localSheetId="7" hidden="1">{"fdsup://Directions/FactSet Auditing Viewer?action=AUDIT_VALUE&amp;DB=129&amp;ID1=24702R10&amp;VALUEID=02001&amp;SDATE=200702&amp;PERIODTYPE=QTR_STD&amp;SCFT=3&amp;window=popup_no_bar&amp;width=385&amp;height=120&amp;START_MAXIMIZED=FALSE&amp;creator=factset&amp;display_string=Audit"}</definedName>
    <definedName name="_4219__FDSAUDITLINK__" hidden="1">{"fdsup://Directions/FactSet Auditing Viewer?action=AUDIT_VALUE&amp;DB=129&amp;ID1=24702R10&amp;VALUEID=02001&amp;SDATE=200702&amp;PERIODTYPE=QTR_STD&amp;SCFT=3&amp;window=popup_no_bar&amp;width=385&amp;height=120&amp;START_MAXIMIZED=FALSE&amp;creator=factset&amp;display_string=Audit"}</definedName>
    <definedName name="_422__FDSAUDITLINK__" localSheetId="7" hidden="1">{"fdsup://Directions/FactSet Auditing Viewer?action=AUDIT_VALUE&amp;DB=129&amp;ID1=14964U10&amp;VALUEID=02001&amp;SDATE=201003&amp;PERIODTYPE=QTR_STD&amp;SCFT=3&amp;window=popup_no_bar&amp;width=385&amp;height=120&amp;START_MAXIMIZED=FALSE&amp;creator=factset&amp;display_string=Audit"}</definedName>
    <definedName name="_422__FDSAUDITLINK__" hidden="1">{"fdsup://Directions/FactSet Auditing Viewer?action=AUDIT_VALUE&amp;DB=129&amp;ID1=14964U10&amp;VALUEID=02001&amp;SDATE=201003&amp;PERIODTYPE=QTR_STD&amp;SCFT=3&amp;window=popup_no_bar&amp;width=385&amp;height=120&amp;START_MAXIMIZED=FALSE&amp;creator=factset&amp;display_string=Audit"}</definedName>
    <definedName name="_4220__FDSAUDITLINK__" localSheetId="7" hidden="1">{"fdsup://Directions/FactSet Auditing Viewer?action=AUDIT_VALUE&amp;DB=129&amp;ID1=24702R10&amp;VALUEID=02001&amp;SDATE=200702&amp;PERIODTYPE=QTR_STD&amp;SCFT=3&amp;window=popup_no_bar&amp;width=385&amp;height=120&amp;START_MAXIMIZED=FALSE&amp;creator=factset&amp;display_string=Audit"}</definedName>
    <definedName name="_4220__FDSAUDITLINK__" hidden="1">{"fdsup://Directions/FactSet Auditing Viewer?action=AUDIT_VALUE&amp;DB=129&amp;ID1=24702R10&amp;VALUEID=02001&amp;SDATE=200702&amp;PERIODTYPE=QTR_STD&amp;SCFT=3&amp;window=popup_no_bar&amp;width=385&amp;height=120&amp;START_MAXIMIZED=FALSE&amp;creator=factset&amp;display_string=Audit"}</definedName>
    <definedName name="_4221__FDSAUDITLINK__" localSheetId="7" hidden="1">{"fdsup://Directions/FactSet Auditing Viewer?action=AUDIT_VALUE&amp;DB=129&amp;ID1=24702R10&amp;VALUEID=02001&amp;SDATE=200701&amp;PERIODTYPE=QTR_STD&amp;SCFT=3&amp;window=popup_no_bar&amp;width=385&amp;height=120&amp;START_MAXIMIZED=FALSE&amp;creator=factset&amp;display_string=Audit"}</definedName>
    <definedName name="_4221__FDSAUDITLINK__" hidden="1">{"fdsup://Directions/FactSet Auditing Viewer?action=AUDIT_VALUE&amp;DB=129&amp;ID1=24702R10&amp;VALUEID=02001&amp;SDATE=200701&amp;PERIODTYPE=QTR_STD&amp;SCFT=3&amp;window=popup_no_bar&amp;width=385&amp;height=120&amp;START_MAXIMIZED=FALSE&amp;creator=factset&amp;display_string=Audit"}</definedName>
    <definedName name="_4222__FDSAUDITLINK__" localSheetId="7" hidden="1">{"fdsup://Directions/FactSet Auditing Viewer?action=AUDIT_VALUE&amp;DB=129&amp;ID1=24702R10&amp;VALUEID=02001&amp;SDATE=200701&amp;PERIODTYPE=QTR_STD&amp;SCFT=3&amp;window=popup_no_bar&amp;width=385&amp;height=120&amp;START_MAXIMIZED=FALSE&amp;creator=factset&amp;display_string=Audit"}</definedName>
    <definedName name="_4222__FDSAUDITLINK__" hidden="1">{"fdsup://Directions/FactSet Auditing Viewer?action=AUDIT_VALUE&amp;DB=129&amp;ID1=24702R10&amp;VALUEID=02001&amp;SDATE=200701&amp;PERIODTYPE=QTR_STD&amp;SCFT=3&amp;window=popup_no_bar&amp;width=385&amp;height=120&amp;START_MAXIMIZED=FALSE&amp;creator=factset&amp;display_string=Audit"}</definedName>
    <definedName name="_4223__FDSAUDITLINK__" localSheetId="7" hidden="1">{"fdsup://Directions/FactSet Auditing Viewer?action=AUDIT_VALUE&amp;DB=129&amp;ID1=24702R10&amp;VALUEID=02001&amp;SDATE=200603&amp;PERIODTYPE=QTR_STD&amp;SCFT=3&amp;window=popup_no_bar&amp;width=385&amp;height=120&amp;START_MAXIMIZED=FALSE&amp;creator=factset&amp;display_string=Audit"}</definedName>
    <definedName name="_4223__FDSAUDITLINK__" hidden="1">{"fdsup://Directions/FactSet Auditing Viewer?action=AUDIT_VALUE&amp;DB=129&amp;ID1=24702R10&amp;VALUEID=02001&amp;SDATE=200603&amp;PERIODTYPE=QTR_STD&amp;SCFT=3&amp;window=popup_no_bar&amp;width=385&amp;height=120&amp;START_MAXIMIZED=FALSE&amp;creator=factset&amp;display_string=Audit"}</definedName>
    <definedName name="_4224__FDSAUDITLINK__" localSheetId="7" hidden="1">{"fdsup://Directions/FactSet Auditing Viewer?action=AUDIT_VALUE&amp;DB=129&amp;ID1=24702R10&amp;VALUEID=02001&amp;SDATE=200603&amp;PERIODTYPE=QTR_STD&amp;SCFT=3&amp;window=popup_no_bar&amp;width=385&amp;height=120&amp;START_MAXIMIZED=FALSE&amp;creator=factset&amp;display_string=Audit"}</definedName>
    <definedName name="_4224__FDSAUDITLINK__" hidden="1">{"fdsup://Directions/FactSet Auditing Viewer?action=AUDIT_VALUE&amp;DB=129&amp;ID1=24702R10&amp;VALUEID=02001&amp;SDATE=200603&amp;PERIODTYPE=QTR_STD&amp;SCFT=3&amp;window=popup_no_bar&amp;width=385&amp;height=120&amp;START_MAXIMIZED=FALSE&amp;creator=factset&amp;display_string=Audit"}</definedName>
    <definedName name="_4225__FDSAUDITLINK__" localSheetId="7" hidden="1">{"fdsup://Directions/FactSet Auditing Viewer?action=AUDIT_VALUE&amp;DB=129&amp;ID1=24702R10&amp;VALUEID=02001&amp;SDATE=200602&amp;PERIODTYPE=QTR_STD&amp;SCFT=3&amp;window=popup_no_bar&amp;width=385&amp;height=120&amp;START_MAXIMIZED=FALSE&amp;creator=factset&amp;display_string=Audit"}</definedName>
    <definedName name="_4225__FDSAUDITLINK__" hidden="1">{"fdsup://Directions/FactSet Auditing Viewer?action=AUDIT_VALUE&amp;DB=129&amp;ID1=24702R10&amp;VALUEID=02001&amp;SDATE=200602&amp;PERIODTYPE=QTR_STD&amp;SCFT=3&amp;window=popup_no_bar&amp;width=385&amp;height=120&amp;START_MAXIMIZED=FALSE&amp;creator=factset&amp;display_string=Audit"}</definedName>
    <definedName name="_4226__FDSAUDITLINK__" localSheetId="7" hidden="1">{"fdsup://Directions/FactSet Auditing Viewer?action=AUDIT_VALUE&amp;DB=129&amp;ID1=24702R10&amp;VALUEID=02001&amp;SDATE=200602&amp;PERIODTYPE=QTR_STD&amp;SCFT=3&amp;window=popup_no_bar&amp;width=385&amp;height=120&amp;START_MAXIMIZED=FALSE&amp;creator=factset&amp;display_string=Audit"}</definedName>
    <definedName name="_4226__FDSAUDITLINK__" hidden="1">{"fdsup://Directions/FactSet Auditing Viewer?action=AUDIT_VALUE&amp;DB=129&amp;ID1=24702R10&amp;VALUEID=02001&amp;SDATE=200602&amp;PERIODTYPE=QTR_STD&amp;SCFT=3&amp;window=popup_no_bar&amp;width=385&amp;height=120&amp;START_MAXIMIZED=FALSE&amp;creator=factset&amp;display_string=Audit"}</definedName>
    <definedName name="_4227__FDSAUDITLINK__" localSheetId="7" hidden="1">{"fdsup://Directions/FactSet Auditing Viewer?action=AUDIT_VALUE&amp;DB=129&amp;ID1=24702R10&amp;VALUEID=02001&amp;SDATE=200601&amp;PERIODTYPE=QTR_STD&amp;SCFT=3&amp;window=popup_no_bar&amp;width=385&amp;height=120&amp;START_MAXIMIZED=FALSE&amp;creator=factset&amp;display_string=Audit"}</definedName>
    <definedName name="_4227__FDSAUDITLINK__" hidden="1">{"fdsup://Directions/FactSet Auditing Viewer?action=AUDIT_VALUE&amp;DB=129&amp;ID1=24702R10&amp;VALUEID=02001&amp;SDATE=200601&amp;PERIODTYPE=QTR_STD&amp;SCFT=3&amp;window=popup_no_bar&amp;width=385&amp;height=120&amp;START_MAXIMIZED=FALSE&amp;creator=factset&amp;display_string=Audit"}</definedName>
    <definedName name="_4228__FDSAUDITLINK__" localSheetId="7" hidden="1">{"fdsup://Directions/FactSet Auditing Viewer?action=AUDIT_VALUE&amp;DB=129&amp;ID1=24702R10&amp;VALUEID=02001&amp;SDATE=200601&amp;PERIODTYPE=QTR_STD&amp;SCFT=3&amp;window=popup_no_bar&amp;width=385&amp;height=120&amp;START_MAXIMIZED=FALSE&amp;creator=factset&amp;display_string=Audit"}</definedName>
    <definedName name="_4228__FDSAUDITLINK__" hidden="1">{"fdsup://Directions/FactSet Auditing Viewer?action=AUDIT_VALUE&amp;DB=129&amp;ID1=24702R10&amp;VALUEID=02001&amp;SDATE=200601&amp;PERIODTYPE=QTR_STD&amp;SCFT=3&amp;window=popup_no_bar&amp;width=385&amp;height=120&amp;START_MAXIMIZED=FALSE&amp;creator=factset&amp;display_string=Audit"}</definedName>
    <definedName name="_4229__FDSAUDITLINK__" localSheetId="7" hidden="1">{"fdsup://Directions/FactSet Auditing Viewer?action=AUDIT_VALUE&amp;DB=129&amp;ID1=24702R10&amp;VALUEID=02001&amp;SDATE=200502&amp;PERIODTYPE=QTR_STD&amp;SCFT=3&amp;window=popup_no_bar&amp;width=385&amp;height=120&amp;START_MAXIMIZED=FALSE&amp;creator=factset&amp;display_string=Audit"}</definedName>
    <definedName name="_4229__FDSAUDITLINK__" hidden="1">{"fdsup://Directions/FactSet Auditing Viewer?action=AUDIT_VALUE&amp;DB=129&amp;ID1=24702R10&amp;VALUEID=02001&amp;SDATE=200502&amp;PERIODTYPE=QTR_STD&amp;SCFT=3&amp;window=popup_no_bar&amp;width=385&amp;height=120&amp;START_MAXIMIZED=FALSE&amp;creator=factset&amp;display_string=Audit"}</definedName>
    <definedName name="_423__FDSAUDITLINK__" localSheetId="7" hidden="1">{"fdsup://Directions/FactSet Auditing Viewer?action=AUDIT_VALUE&amp;DB=129&amp;ID1=11162130&amp;VALUEID=02001&amp;SDATE=201004&amp;PERIODTYPE=QTR_STD&amp;SCFT=3&amp;window=popup_no_bar&amp;width=385&amp;height=120&amp;START_MAXIMIZED=FALSE&amp;creator=factset&amp;display_string=Audit"}</definedName>
    <definedName name="_423__FDSAUDITLINK__" hidden="1">{"fdsup://Directions/FactSet Auditing Viewer?action=AUDIT_VALUE&amp;DB=129&amp;ID1=11162130&amp;VALUEID=02001&amp;SDATE=201004&amp;PERIODTYPE=QTR_STD&amp;SCFT=3&amp;window=popup_no_bar&amp;width=385&amp;height=120&amp;START_MAXIMIZED=FALSE&amp;creator=factset&amp;display_string=Audit"}</definedName>
    <definedName name="_4230__FDSAUDITLINK__" localSheetId="7" hidden="1">{"fdsup://Directions/FactSet Auditing Viewer?action=AUDIT_VALUE&amp;DB=129&amp;ID1=24702R10&amp;VALUEID=02001&amp;SDATE=200502&amp;PERIODTYPE=QTR_STD&amp;SCFT=3&amp;window=popup_no_bar&amp;width=385&amp;height=120&amp;START_MAXIMIZED=FALSE&amp;creator=factset&amp;display_string=Audit"}</definedName>
    <definedName name="_4230__FDSAUDITLINK__" hidden="1">{"fdsup://Directions/FactSet Auditing Viewer?action=AUDIT_VALUE&amp;DB=129&amp;ID1=24702R10&amp;VALUEID=02001&amp;SDATE=200502&amp;PERIODTYPE=QTR_STD&amp;SCFT=3&amp;window=popup_no_bar&amp;width=385&amp;height=120&amp;START_MAXIMIZED=FALSE&amp;creator=factset&amp;display_string=Audit"}</definedName>
    <definedName name="_4231__FDSAUDITLINK__" localSheetId="7" hidden="1">{"fdsup://Directions/FactSet Auditing Viewer?action=AUDIT_VALUE&amp;DB=129&amp;ID1=24702R10&amp;VALUEID=02001&amp;SDATE=200501&amp;PERIODTYPE=QTR_STD&amp;SCFT=3&amp;window=popup_no_bar&amp;width=385&amp;height=120&amp;START_MAXIMIZED=FALSE&amp;creator=factset&amp;display_string=Audit"}</definedName>
    <definedName name="_4231__FDSAUDITLINK__" hidden="1">{"fdsup://Directions/FactSet Auditing Viewer?action=AUDIT_VALUE&amp;DB=129&amp;ID1=24702R10&amp;VALUEID=02001&amp;SDATE=200501&amp;PERIODTYPE=QTR_STD&amp;SCFT=3&amp;window=popup_no_bar&amp;width=385&amp;height=120&amp;START_MAXIMIZED=FALSE&amp;creator=factset&amp;display_string=Audit"}</definedName>
    <definedName name="_4232__FDSAUDITLINK__" localSheetId="7" hidden="1">{"fdsup://Directions/FactSet Auditing Viewer?action=AUDIT_VALUE&amp;DB=129&amp;ID1=24702R10&amp;VALUEID=02001&amp;SDATE=200501&amp;PERIODTYPE=QTR_STD&amp;SCFT=3&amp;window=popup_no_bar&amp;width=385&amp;height=120&amp;START_MAXIMIZED=FALSE&amp;creator=factset&amp;display_string=Audit"}</definedName>
    <definedName name="_4232__FDSAUDITLINK__" hidden="1">{"fdsup://Directions/FactSet Auditing Viewer?action=AUDIT_VALUE&amp;DB=129&amp;ID1=24702R10&amp;VALUEID=02001&amp;SDATE=200501&amp;PERIODTYPE=QTR_STD&amp;SCFT=3&amp;window=popup_no_bar&amp;width=385&amp;height=120&amp;START_MAXIMIZED=FALSE&amp;creator=factset&amp;display_string=Audit"}</definedName>
    <definedName name="_4233__FDSAUDITLINK__" localSheetId="7" hidden="1">{"fdsup://Directions/FactSet Auditing Viewer?action=AUDIT_VALUE&amp;DB=129&amp;ID1=24702R10&amp;VALUEID=02001&amp;SDATE=200402&amp;PERIODTYPE=QTR_STD&amp;SCFT=3&amp;window=popup_no_bar&amp;width=385&amp;height=120&amp;START_MAXIMIZED=FALSE&amp;creator=factset&amp;display_string=Audit"}</definedName>
    <definedName name="_4233__FDSAUDITLINK__" hidden="1">{"fdsup://Directions/FactSet Auditing Viewer?action=AUDIT_VALUE&amp;DB=129&amp;ID1=24702R10&amp;VALUEID=02001&amp;SDATE=200402&amp;PERIODTYPE=QTR_STD&amp;SCFT=3&amp;window=popup_no_bar&amp;width=385&amp;height=120&amp;START_MAXIMIZED=FALSE&amp;creator=factset&amp;display_string=Audit"}</definedName>
    <definedName name="_4234__FDSAUDITLINK__" localSheetId="7" hidden="1">{"fdsup://Directions/FactSet Auditing Viewer?action=AUDIT_VALUE&amp;DB=129&amp;ID1=24702R10&amp;VALUEID=02001&amp;SDATE=200402&amp;PERIODTYPE=QTR_STD&amp;SCFT=3&amp;window=popup_no_bar&amp;width=385&amp;height=120&amp;START_MAXIMIZED=FALSE&amp;creator=factset&amp;display_string=Audit"}</definedName>
    <definedName name="_4234__FDSAUDITLINK__" hidden="1">{"fdsup://Directions/FactSet Auditing Viewer?action=AUDIT_VALUE&amp;DB=129&amp;ID1=24702R10&amp;VALUEID=02001&amp;SDATE=200402&amp;PERIODTYPE=QTR_STD&amp;SCFT=3&amp;window=popup_no_bar&amp;width=385&amp;height=120&amp;START_MAXIMIZED=FALSE&amp;creator=factset&amp;display_string=Audit"}</definedName>
    <definedName name="_4235__FDSAUDITLINK__" localSheetId="7" hidden="1">{"fdsup://Directions/FactSet Auditing Viewer?action=AUDIT_VALUE&amp;DB=129&amp;ID1=24702R10&amp;VALUEID=02001&amp;SDATE=200401&amp;PERIODTYPE=QTR_STD&amp;SCFT=3&amp;window=popup_no_bar&amp;width=385&amp;height=120&amp;START_MAXIMIZED=FALSE&amp;creator=factset&amp;display_string=Audit"}</definedName>
    <definedName name="_4235__FDSAUDITLINK__" hidden="1">{"fdsup://Directions/FactSet Auditing Viewer?action=AUDIT_VALUE&amp;DB=129&amp;ID1=24702R10&amp;VALUEID=02001&amp;SDATE=200401&amp;PERIODTYPE=QTR_STD&amp;SCFT=3&amp;window=popup_no_bar&amp;width=385&amp;height=120&amp;START_MAXIMIZED=FALSE&amp;creator=factset&amp;display_string=Audit"}</definedName>
    <definedName name="_4236__FDSAUDITLINK__" localSheetId="7" hidden="1">{"fdsup://Directions/FactSet Auditing Viewer?action=AUDIT_VALUE&amp;DB=129&amp;ID1=24702R10&amp;VALUEID=02001&amp;SDATE=200401&amp;PERIODTYPE=QTR_STD&amp;SCFT=3&amp;window=popup_no_bar&amp;width=385&amp;height=120&amp;START_MAXIMIZED=FALSE&amp;creator=factset&amp;display_string=Audit"}</definedName>
    <definedName name="_4236__FDSAUDITLINK__" hidden="1">{"fdsup://Directions/FactSet Auditing Viewer?action=AUDIT_VALUE&amp;DB=129&amp;ID1=24702R10&amp;VALUEID=02001&amp;SDATE=200401&amp;PERIODTYPE=QTR_STD&amp;SCFT=3&amp;window=popup_no_bar&amp;width=385&amp;height=120&amp;START_MAXIMIZED=FALSE&amp;creator=factset&amp;display_string=Audit"}</definedName>
    <definedName name="_4237__FDSAUDITLINK__" localSheetId="7" hidden="1">{"fdsup://Directions/FactSet Auditing Viewer?action=AUDIT_VALUE&amp;DB=129&amp;ID1=23257210&amp;VALUEID=02001&amp;SDATE=200801&amp;PERIODTYPE=QTR_STD&amp;SCFT=3&amp;window=popup_no_bar&amp;width=385&amp;height=120&amp;START_MAXIMIZED=FALSE&amp;creator=factset&amp;display_string=Audit"}</definedName>
    <definedName name="_4237__FDSAUDITLINK__" hidden="1">{"fdsup://Directions/FactSet Auditing Viewer?action=AUDIT_VALUE&amp;DB=129&amp;ID1=23257210&amp;VALUEID=02001&amp;SDATE=200801&amp;PERIODTYPE=QTR_STD&amp;SCFT=3&amp;window=popup_no_bar&amp;width=385&amp;height=120&amp;START_MAXIMIZED=FALSE&amp;creator=factset&amp;display_string=Audit"}</definedName>
    <definedName name="_4238__FDSAUDITLINK__" localSheetId="7" hidden="1">{"fdsup://Directions/FactSet Auditing Viewer?action=AUDIT_VALUE&amp;DB=129&amp;ID1=23257210&amp;VALUEID=02001&amp;SDATE=200801&amp;PERIODTYPE=QTR_STD&amp;SCFT=3&amp;window=popup_no_bar&amp;width=385&amp;height=120&amp;START_MAXIMIZED=FALSE&amp;creator=factset&amp;display_string=Audit"}</definedName>
    <definedName name="_4238__FDSAUDITLINK__" hidden="1">{"fdsup://Directions/FactSet Auditing Viewer?action=AUDIT_VALUE&amp;DB=129&amp;ID1=23257210&amp;VALUEID=02001&amp;SDATE=200801&amp;PERIODTYPE=QTR_STD&amp;SCFT=3&amp;window=popup_no_bar&amp;width=385&amp;height=120&amp;START_MAXIMIZED=FALSE&amp;creator=factset&amp;display_string=Audit"}</definedName>
    <definedName name="_4239__FDSAUDITLINK__" localSheetId="7" hidden="1">{"fdsup://Directions/FactSet Auditing Viewer?action=AUDIT_VALUE&amp;DB=129&amp;ID1=23257210&amp;VALUEID=02001&amp;SDATE=200703&amp;PERIODTYPE=QTR_STD&amp;SCFT=3&amp;window=popup_no_bar&amp;width=385&amp;height=120&amp;START_MAXIMIZED=FALSE&amp;creator=factset&amp;display_string=Audit"}</definedName>
    <definedName name="_4239__FDSAUDITLINK__" hidden="1">{"fdsup://Directions/FactSet Auditing Viewer?action=AUDIT_VALUE&amp;DB=129&amp;ID1=23257210&amp;VALUEID=02001&amp;SDATE=200703&amp;PERIODTYPE=QTR_STD&amp;SCFT=3&amp;window=popup_no_bar&amp;width=385&amp;height=120&amp;START_MAXIMIZED=FALSE&amp;creator=factset&amp;display_string=Audit"}</definedName>
    <definedName name="_424__FDSAUDITLINK__" localSheetId="7" hidden="1">{"fdsup://Directions/FactSet Auditing Viewer?action=AUDIT_VALUE&amp;DB=129&amp;ID1=11162130&amp;VALUEID=02001&amp;SDATE=201004&amp;PERIODTYPE=QTR_STD&amp;SCFT=3&amp;window=popup_no_bar&amp;width=385&amp;height=120&amp;START_MAXIMIZED=FALSE&amp;creator=factset&amp;display_string=Audit"}</definedName>
    <definedName name="_424__FDSAUDITLINK__" hidden="1">{"fdsup://Directions/FactSet Auditing Viewer?action=AUDIT_VALUE&amp;DB=129&amp;ID1=11162130&amp;VALUEID=02001&amp;SDATE=201004&amp;PERIODTYPE=QTR_STD&amp;SCFT=3&amp;window=popup_no_bar&amp;width=385&amp;height=120&amp;START_MAXIMIZED=FALSE&amp;creator=factset&amp;display_string=Audit"}</definedName>
    <definedName name="_4240__FDSAUDITLINK__" localSheetId="7" hidden="1">{"fdsup://Directions/FactSet Auditing Viewer?action=AUDIT_VALUE&amp;DB=129&amp;ID1=23257210&amp;VALUEID=02001&amp;SDATE=200703&amp;PERIODTYPE=QTR_STD&amp;SCFT=3&amp;window=popup_no_bar&amp;width=385&amp;height=120&amp;START_MAXIMIZED=FALSE&amp;creator=factset&amp;display_string=Audit"}</definedName>
    <definedName name="_4240__FDSAUDITLINK__" hidden="1">{"fdsup://Directions/FactSet Auditing Viewer?action=AUDIT_VALUE&amp;DB=129&amp;ID1=23257210&amp;VALUEID=02001&amp;SDATE=200703&amp;PERIODTYPE=QTR_STD&amp;SCFT=3&amp;window=popup_no_bar&amp;width=385&amp;height=120&amp;START_MAXIMIZED=FALSE&amp;creator=factset&amp;display_string=Audit"}</definedName>
    <definedName name="_4241__FDSAUDITLINK__" localSheetId="7" hidden="1">{"fdsup://Directions/FactSet Auditing Viewer?action=AUDIT_VALUE&amp;DB=129&amp;ID1=23257210&amp;VALUEID=02001&amp;SDATE=200702&amp;PERIODTYPE=QTR_STD&amp;SCFT=3&amp;window=popup_no_bar&amp;width=385&amp;height=120&amp;START_MAXIMIZED=FALSE&amp;creator=factset&amp;display_string=Audit"}</definedName>
    <definedName name="_4241__FDSAUDITLINK__" hidden="1">{"fdsup://Directions/FactSet Auditing Viewer?action=AUDIT_VALUE&amp;DB=129&amp;ID1=23257210&amp;VALUEID=02001&amp;SDATE=200702&amp;PERIODTYPE=QTR_STD&amp;SCFT=3&amp;window=popup_no_bar&amp;width=385&amp;height=120&amp;START_MAXIMIZED=FALSE&amp;creator=factset&amp;display_string=Audit"}</definedName>
    <definedName name="_4242__FDSAUDITLINK__" localSheetId="7" hidden="1">{"fdsup://Directions/FactSet Auditing Viewer?action=AUDIT_VALUE&amp;DB=129&amp;ID1=23257210&amp;VALUEID=02001&amp;SDATE=200702&amp;PERIODTYPE=QTR_STD&amp;SCFT=3&amp;window=popup_no_bar&amp;width=385&amp;height=120&amp;START_MAXIMIZED=FALSE&amp;creator=factset&amp;display_string=Audit"}</definedName>
    <definedName name="_4242__FDSAUDITLINK__" hidden="1">{"fdsup://Directions/FactSet Auditing Viewer?action=AUDIT_VALUE&amp;DB=129&amp;ID1=23257210&amp;VALUEID=02001&amp;SDATE=200702&amp;PERIODTYPE=QTR_STD&amp;SCFT=3&amp;window=popup_no_bar&amp;width=385&amp;height=120&amp;START_MAXIMIZED=FALSE&amp;creator=factset&amp;display_string=Audit"}</definedName>
    <definedName name="_4243__FDSAUDITLINK__" localSheetId="7" hidden="1">{"fdsup://Directions/FactSet Auditing Viewer?action=AUDIT_VALUE&amp;DB=129&amp;ID1=23257210&amp;VALUEID=02001&amp;SDATE=200701&amp;PERIODTYPE=QTR_STD&amp;SCFT=3&amp;window=popup_no_bar&amp;width=385&amp;height=120&amp;START_MAXIMIZED=FALSE&amp;creator=factset&amp;display_string=Audit"}</definedName>
    <definedName name="_4243__FDSAUDITLINK__" hidden="1">{"fdsup://Directions/FactSet Auditing Viewer?action=AUDIT_VALUE&amp;DB=129&amp;ID1=23257210&amp;VALUEID=02001&amp;SDATE=200701&amp;PERIODTYPE=QTR_STD&amp;SCFT=3&amp;window=popup_no_bar&amp;width=385&amp;height=120&amp;START_MAXIMIZED=FALSE&amp;creator=factset&amp;display_string=Audit"}</definedName>
    <definedName name="_4244__FDSAUDITLINK__" localSheetId="7" hidden="1">{"fdsup://Directions/FactSet Auditing Viewer?action=AUDIT_VALUE&amp;DB=129&amp;ID1=23257210&amp;VALUEID=02001&amp;SDATE=200701&amp;PERIODTYPE=QTR_STD&amp;SCFT=3&amp;window=popup_no_bar&amp;width=385&amp;height=120&amp;START_MAXIMIZED=FALSE&amp;creator=factset&amp;display_string=Audit"}</definedName>
    <definedName name="_4244__FDSAUDITLINK__" hidden="1">{"fdsup://Directions/FactSet Auditing Viewer?action=AUDIT_VALUE&amp;DB=129&amp;ID1=23257210&amp;VALUEID=02001&amp;SDATE=200701&amp;PERIODTYPE=QTR_STD&amp;SCFT=3&amp;window=popup_no_bar&amp;width=385&amp;height=120&amp;START_MAXIMIZED=FALSE&amp;creator=factset&amp;display_string=Audit"}</definedName>
    <definedName name="_4245__FDSAUDITLINK__" localSheetId="7" hidden="1">{"fdsup://Directions/FactSet Auditing Viewer?action=AUDIT_VALUE&amp;DB=129&amp;ID1=23257210&amp;VALUEID=02001&amp;SDATE=200603&amp;PERIODTYPE=QTR_STD&amp;SCFT=3&amp;window=popup_no_bar&amp;width=385&amp;height=120&amp;START_MAXIMIZED=FALSE&amp;creator=factset&amp;display_string=Audit"}</definedName>
    <definedName name="_4245__FDSAUDITLINK__" hidden="1">{"fdsup://Directions/FactSet Auditing Viewer?action=AUDIT_VALUE&amp;DB=129&amp;ID1=23257210&amp;VALUEID=02001&amp;SDATE=200603&amp;PERIODTYPE=QTR_STD&amp;SCFT=3&amp;window=popup_no_bar&amp;width=385&amp;height=120&amp;START_MAXIMIZED=FALSE&amp;creator=factset&amp;display_string=Audit"}</definedName>
    <definedName name="_4246__FDSAUDITLINK__" localSheetId="7" hidden="1">{"fdsup://Directions/FactSet Auditing Viewer?action=AUDIT_VALUE&amp;DB=129&amp;ID1=23257210&amp;VALUEID=02001&amp;SDATE=200603&amp;PERIODTYPE=QTR_STD&amp;SCFT=3&amp;window=popup_no_bar&amp;width=385&amp;height=120&amp;START_MAXIMIZED=FALSE&amp;creator=factset&amp;display_string=Audit"}</definedName>
    <definedName name="_4246__FDSAUDITLINK__" hidden="1">{"fdsup://Directions/FactSet Auditing Viewer?action=AUDIT_VALUE&amp;DB=129&amp;ID1=23257210&amp;VALUEID=02001&amp;SDATE=200603&amp;PERIODTYPE=QTR_STD&amp;SCFT=3&amp;window=popup_no_bar&amp;width=385&amp;height=120&amp;START_MAXIMIZED=FALSE&amp;creator=factset&amp;display_string=Audit"}</definedName>
    <definedName name="_4247__FDSAUDITLINK__" localSheetId="7" hidden="1">{"fdsup://Directions/FactSet Auditing Viewer?action=AUDIT_VALUE&amp;DB=129&amp;ID1=23257210&amp;VALUEID=02001&amp;SDATE=200602&amp;PERIODTYPE=QTR_STD&amp;SCFT=3&amp;window=popup_no_bar&amp;width=385&amp;height=120&amp;START_MAXIMIZED=FALSE&amp;creator=factset&amp;display_string=Audit"}</definedName>
    <definedName name="_4247__FDSAUDITLINK__" hidden="1">{"fdsup://Directions/FactSet Auditing Viewer?action=AUDIT_VALUE&amp;DB=129&amp;ID1=23257210&amp;VALUEID=02001&amp;SDATE=200602&amp;PERIODTYPE=QTR_STD&amp;SCFT=3&amp;window=popup_no_bar&amp;width=385&amp;height=120&amp;START_MAXIMIZED=FALSE&amp;creator=factset&amp;display_string=Audit"}</definedName>
    <definedName name="_4248__FDSAUDITLINK__" localSheetId="7" hidden="1">{"fdsup://Directions/FactSet Auditing Viewer?action=AUDIT_VALUE&amp;DB=129&amp;ID1=23257210&amp;VALUEID=02001&amp;SDATE=200602&amp;PERIODTYPE=QTR_STD&amp;SCFT=3&amp;window=popup_no_bar&amp;width=385&amp;height=120&amp;START_MAXIMIZED=FALSE&amp;creator=factset&amp;display_string=Audit"}</definedName>
    <definedName name="_4248__FDSAUDITLINK__" hidden="1">{"fdsup://Directions/FactSet Auditing Viewer?action=AUDIT_VALUE&amp;DB=129&amp;ID1=23257210&amp;VALUEID=02001&amp;SDATE=200602&amp;PERIODTYPE=QTR_STD&amp;SCFT=3&amp;window=popup_no_bar&amp;width=385&amp;height=120&amp;START_MAXIMIZED=FALSE&amp;creator=factset&amp;display_string=Audit"}</definedName>
    <definedName name="_4249__FDSAUDITLINK__" localSheetId="7" hidden="1">{"fdsup://Directions/FactSet Auditing Viewer?action=AUDIT_VALUE&amp;DB=129&amp;ID1=23257210&amp;VALUEID=02001&amp;SDATE=200601&amp;PERIODTYPE=QTR_STD&amp;SCFT=3&amp;window=popup_no_bar&amp;width=385&amp;height=120&amp;START_MAXIMIZED=FALSE&amp;creator=factset&amp;display_string=Audit"}</definedName>
    <definedName name="_4249__FDSAUDITLINK__" hidden="1">{"fdsup://Directions/FactSet Auditing Viewer?action=AUDIT_VALUE&amp;DB=129&amp;ID1=23257210&amp;VALUEID=02001&amp;SDATE=200601&amp;PERIODTYPE=QTR_STD&amp;SCFT=3&amp;window=popup_no_bar&amp;width=385&amp;height=120&amp;START_MAXIMIZED=FALSE&amp;creator=factset&amp;display_string=Audit"}</definedName>
    <definedName name="_425__FDSAUDITLINK__" localSheetId="7" hidden="1">{"fdsup://Directions/FactSet Auditing Viewer?action=AUDIT_VALUE&amp;DB=129&amp;ID1=Y0486S10&amp;VALUEID=02001&amp;SDATE=201004&amp;PERIODTYPE=QTR_STD&amp;SCFT=3&amp;window=popup_no_bar&amp;width=385&amp;height=120&amp;START_MAXIMIZED=FALSE&amp;creator=factset&amp;display_string=Audit"}</definedName>
    <definedName name="_425__FDSAUDITLINK__" hidden="1">{"fdsup://Directions/FactSet Auditing Viewer?action=AUDIT_VALUE&amp;DB=129&amp;ID1=Y0486S10&amp;VALUEID=02001&amp;SDATE=201004&amp;PERIODTYPE=QTR_STD&amp;SCFT=3&amp;window=popup_no_bar&amp;width=385&amp;height=120&amp;START_MAXIMIZED=FALSE&amp;creator=factset&amp;display_string=Audit"}</definedName>
    <definedName name="_4250__FDSAUDITLINK__" localSheetId="7" hidden="1">{"fdsup://Directions/FactSet Auditing Viewer?action=AUDIT_VALUE&amp;DB=129&amp;ID1=23257210&amp;VALUEID=02001&amp;SDATE=200601&amp;PERIODTYPE=QTR_STD&amp;SCFT=3&amp;window=popup_no_bar&amp;width=385&amp;height=120&amp;START_MAXIMIZED=FALSE&amp;creator=factset&amp;display_string=Audit"}</definedName>
    <definedName name="_4250__FDSAUDITLINK__" hidden="1">{"fdsup://Directions/FactSet Auditing Viewer?action=AUDIT_VALUE&amp;DB=129&amp;ID1=23257210&amp;VALUEID=02001&amp;SDATE=200601&amp;PERIODTYPE=QTR_STD&amp;SCFT=3&amp;window=popup_no_bar&amp;width=385&amp;height=120&amp;START_MAXIMIZED=FALSE&amp;creator=factset&amp;display_string=Audit"}</definedName>
    <definedName name="_4251__FDSAUDITLINK__" localSheetId="7" hidden="1">{"fdsup://Directions/FactSet Auditing Viewer?action=AUDIT_VALUE&amp;DB=129&amp;ID1=23257210&amp;VALUEID=02001&amp;SDATE=200503&amp;PERIODTYPE=QTR_STD&amp;SCFT=3&amp;window=popup_no_bar&amp;width=385&amp;height=120&amp;START_MAXIMIZED=FALSE&amp;creator=factset&amp;display_string=Audit"}</definedName>
    <definedName name="_4251__FDSAUDITLINK__" hidden="1">{"fdsup://Directions/FactSet Auditing Viewer?action=AUDIT_VALUE&amp;DB=129&amp;ID1=23257210&amp;VALUEID=02001&amp;SDATE=200503&amp;PERIODTYPE=QTR_STD&amp;SCFT=3&amp;window=popup_no_bar&amp;width=385&amp;height=120&amp;START_MAXIMIZED=FALSE&amp;creator=factset&amp;display_string=Audit"}</definedName>
    <definedName name="_4252__FDSAUDITLINK__" localSheetId="7" hidden="1">{"fdsup://Directions/FactSet Auditing Viewer?action=AUDIT_VALUE&amp;DB=129&amp;ID1=23257210&amp;VALUEID=02001&amp;SDATE=200503&amp;PERIODTYPE=QTR_STD&amp;SCFT=3&amp;window=popup_no_bar&amp;width=385&amp;height=120&amp;START_MAXIMIZED=FALSE&amp;creator=factset&amp;display_string=Audit"}</definedName>
    <definedName name="_4252__FDSAUDITLINK__" hidden="1">{"fdsup://Directions/FactSet Auditing Viewer?action=AUDIT_VALUE&amp;DB=129&amp;ID1=23257210&amp;VALUEID=02001&amp;SDATE=200503&amp;PERIODTYPE=QTR_STD&amp;SCFT=3&amp;window=popup_no_bar&amp;width=385&amp;height=120&amp;START_MAXIMIZED=FALSE&amp;creator=factset&amp;display_string=Audit"}</definedName>
    <definedName name="_4253__FDSAUDITLINK__" localSheetId="7" hidden="1">{"fdsup://Directions/FactSet Auditing Viewer?action=AUDIT_VALUE&amp;DB=129&amp;ID1=23257210&amp;VALUEID=02001&amp;SDATE=200502&amp;PERIODTYPE=QTR_STD&amp;SCFT=3&amp;window=popup_no_bar&amp;width=385&amp;height=120&amp;START_MAXIMIZED=FALSE&amp;creator=factset&amp;display_string=Audit"}</definedName>
    <definedName name="_4253__FDSAUDITLINK__" hidden="1">{"fdsup://Directions/FactSet Auditing Viewer?action=AUDIT_VALUE&amp;DB=129&amp;ID1=23257210&amp;VALUEID=02001&amp;SDATE=200502&amp;PERIODTYPE=QTR_STD&amp;SCFT=3&amp;window=popup_no_bar&amp;width=385&amp;height=120&amp;START_MAXIMIZED=FALSE&amp;creator=factset&amp;display_string=Audit"}</definedName>
    <definedName name="_4254__FDSAUDITLINK__" localSheetId="7" hidden="1">{"fdsup://Directions/FactSet Auditing Viewer?action=AUDIT_VALUE&amp;DB=129&amp;ID1=23257210&amp;VALUEID=02001&amp;SDATE=200502&amp;PERIODTYPE=QTR_STD&amp;SCFT=3&amp;window=popup_no_bar&amp;width=385&amp;height=120&amp;START_MAXIMIZED=FALSE&amp;creator=factset&amp;display_string=Audit"}</definedName>
    <definedName name="_4254__FDSAUDITLINK__" hidden="1">{"fdsup://Directions/FactSet Auditing Viewer?action=AUDIT_VALUE&amp;DB=129&amp;ID1=23257210&amp;VALUEID=02001&amp;SDATE=200502&amp;PERIODTYPE=QTR_STD&amp;SCFT=3&amp;window=popup_no_bar&amp;width=385&amp;height=120&amp;START_MAXIMIZED=FALSE&amp;creator=factset&amp;display_string=Audit"}</definedName>
    <definedName name="_4255__FDSAUDITLINK__" localSheetId="7" hidden="1">{"fdsup://Directions/FactSet Auditing Viewer?action=AUDIT_VALUE&amp;DB=129&amp;ID1=23257210&amp;VALUEID=02001&amp;SDATE=200501&amp;PERIODTYPE=QTR_STD&amp;SCFT=3&amp;window=popup_no_bar&amp;width=385&amp;height=120&amp;START_MAXIMIZED=FALSE&amp;creator=factset&amp;display_string=Audit"}</definedName>
    <definedName name="_4255__FDSAUDITLINK__" hidden="1">{"fdsup://Directions/FactSet Auditing Viewer?action=AUDIT_VALUE&amp;DB=129&amp;ID1=23257210&amp;VALUEID=02001&amp;SDATE=200501&amp;PERIODTYPE=QTR_STD&amp;SCFT=3&amp;window=popup_no_bar&amp;width=385&amp;height=120&amp;START_MAXIMIZED=FALSE&amp;creator=factset&amp;display_string=Audit"}</definedName>
    <definedName name="_4256__FDSAUDITLINK__" localSheetId="7" hidden="1">{"fdsup://Directions/FactSet Auditing Viewer?action=AUDIT_VALUE&amp;DB=129&amp;ID1=23257210&amp;VALUEID=02001&amp;SDATE=200501&amp;PERIODTYPE=QTR_STD&amp;SCFT=3&amp;window=popup_no_bar&amp;width=385&amp;height=120&amp;START_MAXIMIZED=FALSE&amp;creator=factset&amp;display_string=Audit"}</definedName>
    <definedName name="_4256__FDSAUDITLINK__" hidden="1">{"fdsup://Directions/FactSet Auditing Viewer?action=AUDIT_VALUE&amp;DB=129&amp;ID1=23257210&amp;VALUEID=02001&amp;SDATE=200501&amp;PERIODTYPE=QTR_STD&amp;SCFT=3&amp;window=popup_no_bar&amp;width=385&amp;height=120&amp;START_MAXIMIZED=FALSE&amp;creator=factset&amp;display_string=Audit"}</definedName>
    <definedName name="_4257__FDSAUDITLINK__" localSheetId="7" hidden="1">{"fdsup://Directions/FactSet Auditing Viewer?action=AUDIT_VALUE&amp;DB=129&amp;ID1=23257210&amp;VALUEID=02001&amp;SDATE=200403&amp;PERIODTYPE=QTR_STD&amp;SCFT=3&amp;window=popup_no_bar&amp;width=385&amp;height=120&amp;START_MAXIMIZED=FALSE&amp;creator=factset&amp;display_string=Audit"}</definedName>
    <definedName name="_4257__FDSAUDITLINK__" hidden="1">{"fdsup://Directions/FactSet Auditing Viewer?action=AUDIT_VALUE&amp;DB=129&amp;ID1=23257210&amp;VALUEID=02001&amp;SDATE=200403&amp;PERIODTYPE=QTR_STD&amp;SCFT=3&amp;window=popup_no_bar&amp;width=385&amp;height=120&amp;START_MAXIMIZED=FALSE&amp;creator=factset&amp;display_string=Audit"}</definedName>
    <definedName name="_4258__FDSAUDITLINK__" localSheetId="7" hidden="1">{"fdsup://Directions/FactSet Auditing Viewer?action=AUDIT_VALUE&amp;DB=129&amp;ID1=23257210&amp;VALUEID=02001&amp;SDATE=200403&amp;PERIODTYPE=QTR_STD&amp;SCFT=3&amp;window=popup_no_bar&amp;width=385&amp;height=120&amp;START_MAXIMIZED=FALSE&amp;creator=factset&amp;display_string=Audit"}</definedName>
    <definedName name="_4258__FDSAUDITLINK__" hidden="1">{"fdsup://Directions/FactSet Auditing Viewer?action=AUDIT_VALUE&amp;DB=129&amp;ID1=23257210&amp;VALUEID=02001&amp;SDATE=200403&amp;PERIODTYPE=QTR_STD&amp;SCFT=3&amp;window=popup_no_bar&amp;width=385&amp;height=120&amp;START_MAXIMIZED=FALSE&amp;creator=factset&amp;display_string=Audit"}</definedName>
    <definedName name="_4259__FDSAUDITLINK__" localSheetId="7" hidden="1">{"fdsup://Directions/FactSet Auditing Viewer?action=AUDIT_VALUE&amp;DB=129&amp;ID1=23257210&amp;VALUEID=02001&amp;SDATE=200402&amp;PERIODTYPE=QTR_STD&amp;SCFT=3&amp;window=popup_no_bar&amp;width=385&amp;height=120&amp;START_MAXIMIZED=FALSE&amp;creator=factset&amp;display_string=Audit"}</definedName>
    <definedName name="_4259__FDSAUDITLINK__" hidden="1">{"fdsup://Directions/FactSet Auditing Viewer?action=AUDIT_VALUE&amp;DB=129&amp;ID1=23257210&amp;VALUEID=02001&amp;SDATE=200402&amp;PERIODTYPE=QTR_STD&amp;SCFT=3&amp;window=popup_no_bar&amp;width=385&amp;height=120&amp;START_MAXIMIZED=FALSE&amp;creator=factset&amp;display_string=Audit"}</definedName>
    <definedName name="_426__FDSAUDITLINK__" localSheetId="7" hidden="1">{"fdsup://Directions/FactSet Auditing Viewer?action=AUDIT_VALUE&amp;DB=129&amp;ID1=Y0486S10&amp;VALUEID=02001&amp;SDATE=201004&amp;PERIODTYPE=QTR_STD&amp;SCFT=3&amp;window=popup_no_bar&amp;width=385&amp;height=120&amp;START_MAXIMIZED=FALSE&amp;creator=factset&amp;display_string=Audit"}</definedName>
    <definedName name="_426__FDSAUDITLINK__" hidden="1">{"fdsup://Directions/FactSet Auditing Viewer?action=AUDIT_VALUE&amp;DB=129&amp;ID1=Y0486S10&amp;VALUEID=02001&amp;SDATE=201004&amp;PERIODTYPE=QTR_STD&amp;SCFT=3&amp;window=popup_no_bar&amp;width=385&amp;height=120&amp;START_MAXIMIZED=FALSE&amp;creator=factset&amp;display_string=Audit"}</definedName>
    <definedName name="_4260__FDSAUDITLINK__" localSheetId="7" hidden="1">{"fdsup://Directions/FactSet Auditing Viewer?action=AUDIT_VALUE&amp;DB=129&amp;ID1=23257210&amp;VALUEID=02001&amp;SDATE=200402&amp;PERIODTYPE=QTR_STD&amp;SCFT=3&amp;window=popup_no_bar&amp;width=385&amp;height=120&amp;START_MAXIMIZED=FALSE&amp;creator=factset&amp;display_string=Audit"}</definedName>
    <definedName name="_4260__FDSAUDITLINK__" hidden="1">{"fdsup://Directions/FactSet Auditing Viewer?action=AUDIT_VALUE&amp;DB=129&amp;ID1=23257210&amp;VALUEID=02001&amp;SDATE=200402&amp;PERIODTYPE=QTR_STD&amp;SCFT=3&amp;window=popup_no_bar&amp;width=385&amp;height=120&amp;START_MAXIMIZED=FALSE&amp;creator=factset&amp;display_string=Audit"}</definedName>
    <definedName name="_4261__FDSAUDITLINK__" localSheetId="7" hidden="1">{"fdsup://Directions/FactSet Auditing Viewer?action=AUDIT_VALUE&amp;DB=129&amp;ID1=23280610&amp;VALUEID=02001&amp;SDATE=200801&amp;PERIODTYPE=QTR_STD&amp;SCFT=3&amp;window=popup_no_bar&amp;width=385&amp;height=120&amp;START_MAXIMIZED=FALSE&amp;creator=factset&amp;display_string=Audit"}</definedName>
    <definedName name="_4261__FDSAUDITLINK__" hidden="1">{"fdsup://Directions/FactSet Auditing Viewer?action=AUDIT_VALUE&amp;DB=129&amp;ID1=23280610&amp;VALUEID=02001&amp;SDATE=200801&amp;PERIODTYPE=QTR_STD&amp;SCFT=3&amp;window=popup_no_bar&amp;width=385&amp;height=120&amp;START_MAXIMIZED=FALSE&amp;creator=factset&amp;display_string=Audit"}</definedName>
    <definedName name="_4262__FDSAUDITLINK__" localSheetId="7" hidden="1">{"fdsup://Directions/FactSet Auditing Viewer?action=AUDIT_VALUE&amp;DB=129&amp;ID1=23280610&amp;VALUEID=02001&amp;SDATE=200801&amp;PERIODTYPE=QTR_STD&amp;SCFT=3&amp;window=popup_no_bar&amp;width=385&amp;height=120&amp;START_MAXIMIZED=FALSE&amp;creator=factset&amp;display_string=Audit"}</definedName>
    <definedName name="_4262__FDSAUDITLINK__" hidden="1">{"fdsup://Directions/FactSet Auditing Viewer?action=AUDIT_VALUE&amp;DB=129&amp;ID1=23280610&amp;VALUEID=02001&amp;SDATE=200801&amp;PERIODTYPE=QTR_STD&amp;SCFT=3&amp;window=popup_no_bar&amp;width=385&amp;height=120&amp;START_MAXIMIZED=FALSE&amp;creator=factset&amp;display_string=Audit"}</definedName>
    <definedName name="_4263__FDSAUDITLINK__" localSheetId="7" hidden="1">{"fdsup://Directions/FactSet Auditing Viewer?action=AUDIT_VALUE&amp;DB=129&amp;ID1=23280610&amp;VALUEID=02001&amp;SDATE=200703&amp;PERIODTYPE=QTR_STD&amp;SCFT=3&amp;window=popup_no_bar&amp;width=385&amp;height=120&amp;START_MAXIMIZED=FALSE&amp;creator=factset&amp;display_string=Audit"}</definedName>
    <definedName name="_4263__FDSAUDITLINK__" hidden="1">{"fdsup://Directions/FactSet Auditing Viewer?action=AUDIT_VALUE&amp;DB=129&amp;ID1=23280610&amp;VALUEID=02001&amp;SDATE=200703&amp;PERIODTYPE=QTR_STD&amp;SCFT=3&amp;window=popup_no_bar&amp;width=385&amp;height=120&amp;START_MAXIMIZED=FALSE&amp;creator=factset&amp;display_string=Audit"}</definedName>
    <definedName name="_4264__FDSAUDITLINK__" localSheetId="7" hidden="1">{"fdsup://Directions/FactSet Auditing Viewer?action=AUDIT_VALUE&amp;DB=129&amp;ID1=23280610&amp;VALUEID=02001&amp;SDATE=200703&amp;PERIODTYPE=QTR_STD&amp;SCFT=3&amp;window=popup_no_bar&amp;width=385&amp;height=120&amp;START_MAXIMIZED=FALSE&amp;creator=factset&amp;display_string=Audit"}</definedName>
    <definedName name="_4264__FDSAUDITLINK__" hidden="1">{"fdsup://Directions/FactSet Auditing Viewer?action=AUDIT_VALUE&amp;DB=129&amp;ID1=23280610&amp;VALUEID=02001&amp;SDATE=200703&amp;PERIODTYPE=QTR_STD&amp;SCFT=3&amp;window=popup_no_bar&amp;width=385&amp;height=120&amp;START_MAXIMIZED=FALSE&amp;creator=factset&amp;display_string=Audit"}</definedName>
    <definedName name="_4265__FDSAUDITLINK__" localSheetId="7" hidden="1">{"fdsup://Directions/FactSet Auditing Viewer?action=AUDIT_VALUE&amp;DB=129&amp;ID1=23280610&amp;VALUEID=02001&amp;SDATE=200702&amp;PERIODTYPE=QTR_STD&amp;SCFT=3&amp;window=popup_no_bar&amp;width=385&amp;height=120&amp;START_MAXIMIZED=FALSE&amp;creator=factset&amp;display_string=Audit"}</definedName>
    <definedName name="_4265__FDSAUDITLINK__" hidden="1">{"fdsup://Directions/FactSet Auditing Viewer?action=AUDIT_VALUE&amp;DB=129&amp;ID1=23280610&amp;VALUEID=02001&amp;SDATE=200702&amp;PERIODTYPE=QTR_STD&amp;SCFT=3&amp;window=popup_no_bar&amp;width=385&amp;height=120&amp;START_MAXIMIZED=FALSE&amp;creator=factset&amp;display_string=Audit"}</definedName>
    <definedName name="_4266__FDSAUDITLINK__" localSheetId="7" hidden="1">{"fdsup://Directions/FactSet Auditing Viewer?action=AUDIT_VALUE&amp;DB=129&amp;ID1=23280610&amp;VALUEID=02001&amp;SDATE=200702&amp;PERIODTYPE=QTR_STD&amp;SCFT=3&amp;window=popup_no_bar&amp;width=385&amp;height=120&amp;START_MAXIMIZED=FALSE&amp;creator=factset&amp;display_string=Audit"}</definedName>
    <definedName name="_4266__FDSAUDITLINK__" hidden="1">{"fdsup://Directions/FactSet Auditing Viewer?action=AUDIT_VALUE&amp;DB=129&amp;ID1=23280610&amp;VALUEID=02001&amp;SDATE=200702&amp;PERIODTYPE=QTR_STD&amp;SCFT=3&amp;window=popup_no_bar&amp;width=385&amp;height=120&amp;START_MAXIMIZED=FALSE&amp;creator=factset&amp;display_string=Audit"}</definedName>
    <definedName name="_4267__FDSAUDITLINK__" localSheetId="7" hidden="1">{"fdsup://Directions/FactSet Auditing Viewer?action=AUDIT_VALUE&amp;DB=129&amp;ID1=23280610&amp;VALUEID=02001&amp;SDATE=200701&amp;PERIODTYPE=QTR_STD&amp;SCFT=3&amp;window=popup_no_bar&amp;width=385&amp;height=120&amp;START_MAXIMIZED=FALSE&amp;creator=factset&amp;display_string=Audit"}</definedName>
    <definedName name="_4267__FDSAUDITLINK__" hidden="1">{"fdsup://Directions/FactSet Auditing Viewer?action=AUDIT_VALUE&amp;DB=129&amp;ID1=23280610&amp;VALUEID=02001&amp;SDATE=200701&amp;PERIODTYPE=QTR_STD&amp;SCFT=3&amp;window=popup_no_bar&amp;width=385&amp;height=120&amp;START_MAXIMIZED=FALSE&amp;creator=factset&amp;display_string=Audit"}</definedName>
    <definedName name="_4268__FDSAUDITLINK__" localSheetId="7" hidden="1">{"fdsup://Directions/FactSet Auditing Viewer?action=AUDIT_VALUE&amp;DB=129&amp;ID1=23280610&amp;VALUEID=02001&amp;SDATE=200701&amp;PERIODTYPE=QTR_STD&amp;SCFT=3&amp;window=popup_no_bar&amp;width=385&amp;height=120&amp;START_MAXIMIZED=FALSE&amp;creator=factset&amp;display_string=Audit"}</definedName>
    <definedName name="_4268__FDSAUDITLINK__" hidden="1">{"fdsup://Directions/FactSet Auditing Viewer?action=AUDIT_VALUE&amp;DB=129&amp;ID1=23280610&amp;VALUEID=02001&amp;SDATE=200701&amp;PERIODTYPE=QTR_STD&amp;SCFT=3&amp;window=popup_no_bar&amp;width=385&amp;height=120&amp;START_MAXIMIZED=FALSE&amp;creator=factset&amp;display_string=Audit"}</definedName>
    <definedName name="_4269__FDSAUDITLINK__" localSheetId="7" hidden="1">{"fdsup://Directions/FactSet Auditing Viewer?action=AUDIT_VALUE&amp;DB=129&amp;ID1=23280610&amp;VALUEID=02001&amp;SDATE=200603&amp;PERIODTYPE=QTR_STD&amp;SCFT=3&amp;window=popup_no_bar&amp;width=385&amp;height=120&amp;START_MAXIMIZED=FALSE&amp;creator=factset&amp;display_string=Audit"}</definedName>
    <definedName name="_4269__FDSAUDITLINK__" hidden="1">{"fdsup://Directions/FactSet Auditing Viewer?action=AUDIT_VALUE&amp;DB=129&amp;ID1=23280610&amp;VALUEID=02001&amp;SDATE=200603&amp;PERIODTYPE=QTR_STD&amp;SCFT=3&amp;window=popup_no_bar&amp;width=385&amp;height=120&amp;START_MAXIMIZED=FALSE&amp;creator=factset&amp;display_string=Audit"}</definedName>
    <definedName name="_427__FDSAUDITLINK__" localSheetId="7" hidden="1">{"fdsup://Directions/FactSet Auditing Viewer?action=AUDIT_VALUE&amp;DB=129&amp;ID1=04743P10&amp;VALUEID=02001&amp;SDATE=201003&amp;PERIODTYPE=QTR_STD&amp;SCFT=3&amp;window=popup_no_bar&amp;width=385&amp;height=120&amp;START_MAXIMIZED=FALSE&amp;creator=factset&amp;display_string=Audit"}</definedName>
    <definedName name="_427__FDSAUDITLINK__" hidden="1">{"fdsup://Directions/FactSet Auditing Viewer?action=AUDIT_VALUE&amp;DB=129&amp;ID1=04743P10&amp;VALUEID=02001&amp;SDATE=201003&amp;PERIODTYPE=QTR_STD&amp;SCFT=3&amp;window=popup_no_bar&amp;width=385&amp;height=120&amp;START_MAXIMIZED=FALSE&amp;creator=factset&amp;display_string=Audit"}</definedName>
    <definedName name="_4270__FDSAUDITLINK__" localSheetId="7" hidden="1">{"fdsup://Directions/FactSet Auditing Viewer?action=AUDIT_VALUE&amp;DB=129&amp;ID1=23280610&amp;VALUEID=02001&amp;SDATE=200603&amp;PERIODTYPE=QTR_STD&amp;SCFT=3&amp;window=popup_no_bar&amp;width=385&amp;height=120&amp;START_MAXIMIZED=FALSE&amp;creator=factset&amp;display_string=Audit"}</definedName>
    <definedName name="_4270__FDSAUDITLINK__" hidden="1">{"fdsup://Directions/FactSet Auditing Viewer?action=AUDIT_VALUE&amp;DB=129&amp;ID1=23280610&amp;VALUEID=02001&amp;SDATE=200603&amp;PERIODTYPE=QTR_STD&amp;SCFT=3&amp;window=popup_no_bar&amp;width=385&amp;height=120&amp;START_MAXIMIZED=FALSE&amp;creator=factset&amp;display_string=Audit"}</definedName>
    <definedName name="_4271__FDSAUDITLINK__" localSheetId="7" hidden="1">{"fdsup://Directions/FactSet Auditing Viewer?action=AUDIT_VALUE&amp;DB=129&amp;ID1=23280610&amp;VALUEID=02001&amp;SDATE=200602&amp;PERIODTYPE=QTR_STD&amp;SCFT=3&amp;window=popup_no_bar&amp;width=385&amp;height=120&amp;START_MAXIMIZED=FALSE&amp;creator=factset&amp;display_string=Audit"}</definedName>
    <definedName name="_4271__FDSAUDITLINK__" hidden="1">{"fdsup://Directions/FactSet Auditing Viewer?action=AUDIT_VALUE&amp;DB=129&amp;ID1=23280610&amp;VALUEID=02001&amp;SDATE=200602&amp;PERIODTYPE=QTR_STD&amp;SCFT=3&amp;window=popup_no_bar&amp;width=385&amp;height=120&amp;START_MAXIMIZED=FALSE&amp;creator=factset&amp;display_string=Audit"}</definedName>
    <definedName name="_4272__FDSAUDITLINK__" localSheetId="7" hidden="1">{"fdsup://Directions/FactSet Auditing Viewer?action=AUDIT_VALUE&amp;DB=129&amp;ID1=23280610&amp;VALUEID=02001&amp;SDATE=200602&amp;PERIODTYPE=QTR_STD&amp;SCFT=3&amp;window=popup_no_bar&amp;width=385&amp;height=120&amp;START_MAXIMIZED=FALSE&amp;creator=factset&amp;display_string=Audit"}</definedName>
    <definedName name="_4272__FDSAUDITLINK__" hidden="1">{"fdsup://Directions/FactSet Auditing Viewer?action=AUDIT_VALUE&amp;DB=129&amp;ID1=23280610&amp;VALUEID=02001&amp;SDATE=200602&amp;PERIODTYPE=QTR_STD&amp;SCFT=3&amp;window=popup_no_bar&amp;width=385&amp;height=120&amp;START_MAXIMIZED=FALSE&amp;creator=factset&amp;display_string=Audit"}</definedName>
    <definedName name="_4273__FDSAUDITLINK__" localSheetId="7" hidden="1">{"fdsup://Directions/FactSet Auditing Viewer?action=AUDIT_VALUE&amp;DB=129&amp;ID1=23280610&amp;VALUEID=02001&amp;SDATE=200601&amp;PERIODTYPE=QTR_STD&amp;SCFT=3&amp;window=popup_no_bar&amp;width=385&amp;height=120&amp;START_MAXIMIZED=FALSE&amp;creator=factset&amp;display_string=Audit"}</definedName>
    <definedName name="_4273__FDSAUDITLINK__" hidden="1">{"fdsup://Directions/FactSet Auditing Viewer?action=AUDIT_VALUE&amp;DB=129&amp;ID1=23280610&amp;VALUEID=02001&amp;SDATE=200601&amp;PERIODTYPE=QTR_STD&amp;SCFT=3&amp;window=popup_no_bar&amp;width=385&amp;height=120&amp;START_MAXIMIZED=FALSE&amp;creator=factset&amp;display_string=Audit"}</definedName>
    <definedName name="_4274__FDSAUDITLINK__" localSheetId="7" hidden="1">{"fdsup://Directions/FactSet Auditing Viewer?action=AUDIT_VALUE&amp;DB=129&amp;ID1=23280610&amp;VALUEID=02001&amp;SDATE=200601&amp;PERIODTYPE=QTR_STD&amp;SCFT=3&amp;window=popup_no_bar&amp;width=385&amp;height=120&amp;START_MAXIMIZED=FALSE&amp;creator=factset&amp;display_string=Audit"}</definedName>
    <definedName name="_4274__FDSAUDITLINK__" hidden="1">{"fdsup://Directions/FactSet Auditing Viewer?action=AUDIT_VALUE&amp;DB=129&amp;ID1=23280610&amp;VALUEID=02001&amp;SDATE=200601&amp;PERIODTYPE=QTR_STD&amp;SCFT=3&amp;window=popup_no_bar&amp;width=385&amp;height=120&amp;START_MAXIMIZED=FALSE&amp;creator=factset&amp;display_string=Audit"}</definedName>
    <definedName name="_4275__FDSAUDITLINK__" localSheetId="7" hidden="1">{"fdsup://Directions/FactSet Auditing Viewer?action=AUDIT_VALUE&amp;DB=129&amp;ID1=23280610&amp;VALUEID=02001&amp;SDATE=200503&amp;PERIODTYPE=QTR_STD&amp;SCFT=3&amp;window=popup_no_bar&amp;width=385&amp;height=120&amp;START_MAXIMIZED=FALSE&amp;creator=factset&amp;display_string=Audit"}</definedName>
    <definedName name="_4275__FDSAUDITLINK__" hidden="1">{"fdsup://Directions/FactSet Auditing Viewer?action=AUDIT_VALUE&amp;DB=129&amp;ID1=23280610&amp;VALUEID=02001&amp;SDATE=200503&amp;PERIODTYPE=QTR_STD&amp;SCFT=3&amp;window=popup_no_bar&amp;width=385&amp;height=120&amp;START_MAXIMIZED=FALSE&amp;creator=factset&amp;display_string=Audit"}</definedName>
    <definedName name="_4276__FDSAUDITLINK__" localSheetId="7" hidden="1">{"fdsup://Directions/FactSet Auditing Viewer?action=AUDIT_VALUE&amp;DB=129&amp;ID1=23280610&amp;VALUEID=02001&amp;SDATE=200503&amp;PERIODTYPE=QTR_STD&amp;SCFT=3&amp;window=popup_no_bar&amp;width=385&amp;height=120&amp;START_MAXIMIZED=FALSE&amp;creator=factset&amp;display_string=Audit"}</definedName>
    <definedName name="_4276__FDSAUDITLINK__" hidden="1">{"fdsup://Directions/FactSet Auditing Viewer?action=AUDIT_VALUE&amp;DB=129&amp;ID1=23280610&amp;VALUEID=02001&amp;SDATE=200503&amp;PERIODTYPE=QTR_STD&amp;SCFT=3&amp;window=popup_no_bar&amp;width=385&amp;height=120&amp;START_MAXIMIZED=FALSE&amp;creator=factset&amp;display_string=Audit"}</definedName>
    <definedName name="_4277__FDSAUDITLINK__" localSheetId="7" hidden="1">{"fdsup://Directions/FactSet Auditing Viewer?action=AUDIT_VALUE&amp;DB=129&amp;ID1=23280610&amp;VALUEID=02001&amp;SDATE=200502&amp;PERIODTYPE=QTR_STD&amp;SCFT=3&amp;window=popup_no_bar&amp;width=385&amp;height=120&amp;START_MAXIMIZED=FALSE&amp;creator=factset&amp;display_string=Audit"}</definedName>
    <definedName name="_4277__FDSAUDITLINK__" hidden="1">{"fdsup://Directions/FactSet Auditing Viewer?action=AUDIT_VALUE&amp;DB=129&amp;ID1=23280610&amp;VALUEID=02001&amp;SDATE=200502&amp;PERIODTYPE=QTR_STD&amp;SCFT=3&amp;window=popup_no_bar&amp;width=385&amp;height=120&amp;START_MAXIMIZED=FALSE&amp;creator=factset&amp;display_string=Audit"}</definedName>
    <definedName name="_4278__FDSAUDITLINK__" localSheetId="7" hidden="1">{"fdsup://Directions/FactSet Auditing Viewer?action=AUDIT_VALUE&amp;DB=129&amp;ID1=23280610&amp;VALUEID=02001&amp;SDATE=200502&amp;PERIODTYPE=QTR_STD&amp;SCFT=3&amp;window=popup_no_bar&amp;width=385&amp;height=120&amp;START_MAXIMIZED=FALSE&amp;creator=factset&amp;display_string=Audit"}</definedName>
    <definedName name="_4278__FDSAUDITLINK__" hidden="1">{"fdsup://Directions/FactSet Auditing Viewer?action=AUDIT_VALUE&amp;DB=129&amp;ID1=23280610&amp;VALUEID=02001&amp;SDATE=200502&amp;PERIODTYPE=QTR_STD&amp;SCFT=3&amp;window=popup_no_bar&amp;width=385&amp;height=120&amp;START_MAXIMIZED=FALSE&amp;creator=factset&amp;display_string=Audit"}</definedName>
    <definedName name="_4279__FDSAUDITLINK__" localSheetId="7" hidden="1">{"fdsup://Directions/FactSet Auditing Viewer?action=AUDIT_VALUE&amp;DB=129&amp;ID1=23280610&amp;VALUEID=02001&amp;SDATE=200501&amp;PERIODTYPE=QTR_STD&amp;SCFT=3&amp;window=popup_no_bar&amp;width=385&amp;height=120&amp;START_MAXIMIZED=FALSE&amp;creator=factset&amp;display_string=Audit"}</definedName>
    <definedName name="_4279__FDSAUDITLINK__" hidden="1">{"fdsup://Directions/FactSet Auditing Viewer?action=AUDIT_VALUE&amp;DB=129&amp;ID1=23280610&amp;VALUEID=02001&amp;SDATE=200501&amp;PERIODTYPE=QTR_STD&amp;SCFT=3&amp;window=popup_no_bar&amp;width=385&amp;height=120&amp;START_MAXIMIZED=FALSE&amp;creator=factset&amp;display_string=Audit"}</definedName>
    <definedName name="_428__FDSAUDITLINK__" localSheetId="7" hidden="1">{"fdsup://Directions/FactSet Auditing Viewer?action=AUDIT_VALUE&amp;DB=129&amp;ID1=04743P10&amp;VALUEID=02001&amp;SDATE=201003&amp;PERIODTYPE=QTR_STD&amp;SCFT=3&amp;window=popup_no_bar&amp;width=385&amp;height=120&amp;START_MAXIMIZED=FALSE&amp;creator=factset&amp;display_string=Audit"}</definedName>
    <definedName name="_428__FDSAUDITLINK__" hidden="1">{"fdsup://Directions/FactSet Auditing Viewer?action=AUDIT_VALUE&amp;DB=129&amp;ID1=04743P10&amp;VALUEID=02001&amp;SDATE=201003&amp;PERIODTYPE=QTR_STD&amp;SCFT=3&amp;window=popup_no_bar&amp;width=385&amp;height=120&amp;START_MAXIMIZED=FALSE&amp;creator=factset&amp;display_string=Audit"}</definedName>
    <definedName name="_4280__FDSAUDITLINK__" localSheetId="7" hidden="1">{"fdsup://Directions/FactSet Auditing Viewer?action=AUDIT_VALUE&amp;DB=129&amp;ID1=23280610&amp;VALUEID=02001&amp;SDATE=200501&amp;PERIODTYPE=QTR_STD&amp;SCFT=3&amp;window=popup_no_bar&amp;width=385&amp;height=120&amp;START_MAXIMIZED=FALSE&amp;creator=factset&amp;display_string=Audit"}</definedName>
    <definedName name="_4280__FDSAUDITLINK__" hidden="1">{"fdsup://Directions/FactSet Auditing Viewer?action=AUDIT_VALUE&amp;DB=129&amp;ID1=23280610&amp;VALUEID=02001&amp;SDATE=200501&amp;PERIODTYPE=QTR_STD&amp;SCFT=3&amp;window=popup_no_bar&amp;width=385&amp;height=120&amp;START_MAXIMIZED=FALSE&amp;creator=factset&amp;display_string=Audit"}</definedName>
    <definedName name="_4281__FDSAUDITLINK__" localSheetId="7" hidden="1">{"fdsup://Directions/FactSet Auditing Viewer?action=AUDIT_VALUE&amp;DB=129&amp;ID1=23280610&amp;VALUEID=02001&amp;SDATE=200403&amp;PERIODTYPE=QTR_STD&amp;SCFT=3&amp;window=popup_no_bar&amp;width=385&amp;height=120&amp;START_MAXIMIZED=FALSE&amp;creator=factset&amp;display_string=Audit"}</definedName>
    <definedName name="_4281__FDSAUDITLINK__" hidden="1">{"fdsup://Directions/FactSet Auditing Viewer?action=AUDIT_VALUE&amp;DB=129&amp;ID1=23280610&amp;VALUEID=02001&amp;SDATE=200403&amp;PERIODTYPE=QTR_STD&amp;SCFT=3&amp;window=popup_no_bar&amp;width=385&amp;height=120&amp;START_MAXIMIZED=FALSE&amp;creator=factset&amp;display_string=Audit"}</definedName>
    <definedName name="_4282__FDSAUDITLINK__" localSheetId="7" hidden="1">{"fdsup://Directions/FactSet Auditing Viewer?action=AUDIT_VALUE&amp;DB=129&amp;ID1=23280610&amp;VALUEID=02001&amp;SDATE=200403&amp;PERIODTYPE=QTR_STD&amp;SCFT=3&amp;window=popup_no_bar&amp;width=385&amp;height=120&amp;START_MAXIMIZED=FALSE&amp;creator=factset&amp;display_string=Audit"}</definedName>
    <definedName name="_4282__FDSAUDITLINK__" hidden="1">{"fdsup://Directions/FactSet Auditing Viewer?action=AUDIT_VALUE&amp;DB=129&amp;ID1=23280610&amp;VALUEID=02001&amp;SDATE=200403&amp;PERIODTYPE=QTR_STD&amp;SCFT=3&amp;window=popup_no_bar&amp;width=385&amp;height=120&amp;START_MAXIMIZED=FALSE&amp;creator=factset&amp;display_string=Audit"}</definedName>
    <definedName name="_4283__FDSAUDITLINK__" localSheetId="7" hidden="1">{"fdsup://Directions/FactSet Auditing Viewer?action=AUDIT_VALUE&amp;DB=129&amp;ID1=23280610&amp;VALUEID=02001&amp;SDATE=200402&amp;PERIODTYPE=QTR_STD&amp;SCFT=3&amp;window=popup_no_bar&amp;width=385&amp;height=120&amp;START_MAXIMIZED=FALSE&amp;creator=factset&amp;display_string=Audit"}</definedName>
    <definedName name="_4283__FDSAUDITLINK__" hidden="1">{"fdsup://Directions/FactSet Auditing Viewer?action=AUDIT_VALUE&amp;DB=129&amp;ID1=23280610&amp;VALUEID=02001&amp;SDATE=200402&amp;PERIODTYPE=QTR_STD&amp;SCFT=3&amp;window=popup_no_bar&amp;width=385&amp;height=120&amp;START_MAXIMIZED=FALSE&amp;creator=factset&amp;display_string=Audit"}</definedName>
    <definedName name="_4284__FDSAUDITLINK__" localSheetId="7" hidden="1">{"fdsup://Directions/FactSet Auditing Viewer?action=AUDIT_VALUE&amp;DB=129&amp;ID1=23280610&amp;VALUEID=02001&amp;SDATE=200402&amp;PERIODTYPE=QTR_STD&amp;SCFT=3&amp;window=popup_no_bar&amp;width=385&amp;height=120&amp;START_MAXIMIZED=FALSE&amp;creator=factset&amp;display_string=Audit"}</definedName>
    <definedName name="_4284__FDSAUDITLINK__" hidden="1">{"fdsup://Directions/FactSet Auditing Viewer?action=AUDIT_VALUE&amp;DB=129&amp;ID1=23280610&amp;VALUEID=02001&amp;SDATE=200402&amp;PERIODTYPE=QTR_STD&amp;SCFT=3&amp;window=popup_no_bar&amp;width=385&amp;height=120&amp;START_MAXIMIZED=FALSE&amp;creator=factset&amp;display_string=Audit"}</definedName>
    <definedName name="_4285__FDSAUDITLINK__" localSheetId="7" hidden="1">{"fdsup://Directions/FactSet Auditing Viewer?action=AUDIT_VALUE&amp;DB=129&amp;ID1=23280610&amp;VALUEID=02001&amp;SDATE=200401&amp;PERIODTYPE=QTR_STD&amp;SCFT=3&amp;window=popup_no_bar&amp;width=385&amp;height=120&amp;START_MAXIMIZED=FALSE&amp;creator=factset&amp;display_string=Audit"}</definedName>
    <definedName name="_4285__FDSAUDITLINK__" hidden="1">{"fdsup://Directions/FactSet Auditing Viewer?action=AUDIT_VALUE&amp;DB=129&amp;ID1=23280610&amp;VALUEID=02001&amp;SDATE=200401&amp;PERIODTYPE=QTR_STD&amp;SCFT=3&amp;window=popup_no_bar&amp;width=385&amp;height=120&amp;START_MAXIMIZED=FALSE&amp;creator=factset&amp;display_string=Audit"}</definedName>
    <definedName name="_4286__FDSAUDITLINK__" localSheetId="7" hidden="1">{"fdsup://Directions/FactSet Auditing Viewer?action=AUDIT_VALUE&amp;DB=129&amp;ID1=23280610&amp;VALUEID=02001&amp;SDATE=200401&amp;PERIODTYPE=QTR_STD&amp;SCFT=3&amp;window=popup_no_bar&amp;width=385&amp;height=120&amp;START_MAXIMIZED=FALSE&amp;creator=factset&amp;display_string=Audit"}</definedName>
    <definedName name="_4286__FDSAUDITLINK__" hidden="1">{"fdsup://Directions/FactSet Auditing Viewer?action=AUDIT_VALUE&amp;DB=129&amp;ID1=23280610&amp;VALUEID=02001&amp;SDATE=200401&amp;PERIODTYPE=QTR_STD&amp;SCFT=3&amp;window=popup_no_bar&amp;width=385&amp;height=120&amp;START_MAXIMIZED=FALSE&amp;creator=factset&amp;display_string=Audit"}</definedName>
    <definedName name="_4287__FDSAUDITLINK__" localSheetId="7" hidden="1">{"fdsup://Directions/FactSet Auditing Viewer?action=AUDIT_VALUE&amp;DB=129&amp;ID1=17275R10&amp;VALUEID=02001&amp;SDATE=200803&amp;PERIODTYPE=QTR_STD&amp;SCFT=3&amp;window=popup_no_bar&amp;width=385&amp;height=120&amp;START_MAXIMIZED=FALSE&amp;creator=factset&amp;display_string=Audit"}</definedName>
    <definedName name="_4287__FDSAUDITLINK__" hidden="1">{"fdsup://Directions/FactSet Auditing Viewer?action=AUDIT_VALUE&amp;DB=129&amp;ID1=17275R10&amp;VALUEID=02001&amp;SDATE=200803&amp;PERIODTYPE=QTR_STD&amp;SCFT=3&amp;window=popup_no_bar&amp;width=385&amp;height=120&amp;START_MAXIMIZED=FALSE&amp;creator=factset&amp;display_string=Audit"}</definedName>
    <definedName name="_4288__FDSAUDITLINK__" localSheetId="7" hidden="1">{"fdsup://Directions/FactSet Auditing Viewer?action=AUDIT_VALUE&amp;DB=129&amp;ID1=17275R10&amp;VALUEID=02001&amp;SDATE=200803&amp;PERIODTYPE=QTR_STD&amp;SCFT=3&amp;window=popup_no_bar&amp;width=385&amp;height=120&amp;START_MAXIMIZED=FALSE&amp;creator=factset&amp;display_string=Audit"}</definedName>
    <definedName name="_4288__FDSAUDITLINK__" hidden="1">{"fdsup://Directions/FactSet Auditing Viewer?action=AUDIT_VALUE&amp;DB=129&amp;ID1=17275R10&amp;VALUEID=02001&amp;SDATE=200803&amp;PERIODTYPE=QTR_STD&amp;SCFT=3&amp;window=popup_no_bar&amp;width=385&amp;height=120&amp;START_MAXIMIZED=FALSE&amp;creator=factset&amp;display_string=Audit"}</definedName>
    <definedName name="_4289__FDSAUDITLINK__" localSheetId="7" hidden="1">{"fdsup://Directions/FactSet Auditing Viewer?action=AUDIT_VALUE&amp;DB=129&amp;ID1=17275R10&amp;VALUEID=02001&amp;SDATE=200802&amp;PERIODTYPE=QTR_STD&amp;SCFT=3&amp;window=popup_no_bar&amp;width=385&amp;height=120&amp;START_MAXIMIZED=FALSE&amp;creator=factset&amp;display_string=Audit"}</definedName>
    <definedName name="_4289__FDSAUDITLINK__" hidden="1">{"fdsup://Directions/FactSet Auditing Viewer?action=AUDIT_VALUE&amp;DB=129&amp;ID1=17275R10&amp;VALUEID=02001&amp;SDATE=200802&amp;PERIODTYPE=QTR_STD&amp;SCFT=3&amp;window=popup_no_bar&amp;width=385&amp;height=120&amp;START_MAXIMIZED=FALSE&amp;creator=factset&amp;display_string=Audit"}</definedName>
    <definedName name="_429__FDSAUDITLINK__" localSheetId="7" hidden="1">{"fdsup://Directions/FactSet Auditing Viewer?action=AUDIT_VALUE&amp;DB=129&amp;ID1=03251510&amp;VALUEID=02001&amp;SDATE=201003&amp;PERIODTYPE=QTR_STD&amp;SCFT=3&amp;window=popup_no_bar&amp;width=385&amp;height=120&amp;START_MAXIMIZED=FALSE&amp;creator=factset&amp;display_string=Audit"}</definedName>
    <definedName name="_429__FDSAUDITLINK__" hidden="1">{"fdsup://Directions/FactSet Auditing Viewer?action=AUDIT_VALUE&amp;DB=129&amp;ID1=03251510&amp;VALUEID=02001&amp;SDATE=201003&amp;PERIODTYPE=QTR_STD&amp;SCFT=3&amp;window=popup_no_bar&amp;width=385&amp;height=120&amp;START_MAXIMIZED=FALSE&amp;creator=factset&amp;display_string=Audit"}</definedName>
    <definedName name="_4290__FDSAUDITLINK__" localSheetId="7" hidden="1">{"fdsup://Directions/FactSet Auditing Viewer?action=AUDIT_VALUE&amp;DB=129&amp;ID1=17275R10&amp;VALUEID=02001&amp;SDATE=200802&amp;PERIODTYPE=QTR_STD&amp;SCFT=3&amp;window=popup_no_bar&amp;width=385&amp;height=120&amp;START_MAXIMIZED=FALSE&amp;creator=factset&amp;display_string=Audit"}</definedName>
    <definedName name="_4290__FDSAUDITLINK__" hidden="1">{"fdsup://Directions/FactSet Auditing Viewer?action=AUDIT_VALUE&amp;DB=129&amp;ID1=17275R10&amp;VALUEID=02001&amp;SDATE=200802&amp;PERIODTYPE=QTR_STD&amp;SCFT=3&amp;window=popup_no_bar&amp;width=385&amp;height=120&amp;START_MAXIMIZED=FALSE&amp;creator=factset&amp;display_string=Audit"}</definedName>
    <definedName name="_4291__FDSAUDITLINK__" localSheetId="7" hidden="1">{"fdsup://Directions/FactSet Auditing Viewer?action=AUDIT_VALUE&amp;DB=129&amp;ID1=17275R10&amp;VALUEID=02001&amp;SDATE=200801&amp;PERIODTYPE=QTR_STD&amp;SCFT=3&amp;window=popup_no_bar&amp;width=385&amp;height=120&amp;START_MAXIMIZED=FALSE&amp;creator=factset&amp;display_string=Audit"}</definedName>
    <definedName name="_4291__FDSAUDITLINK__" hidden="1">{"fdsup://Directions/FactSet Auditing Viewer?action=AUDIT_VALUE&amp;DB=129&amp;ID1=17275R10&amp;VALUEID=02001&amp;SDATE=200801&amp;PERIODTYPE=QTR_STD&amp;SCFT=3&amp;window=popup_no_bar&amp;width=385&amp;height=120&amp;START_MAXIMIZED=FALSE&amp;creator=factset&amp;display_string=Audit"}</definedName>
    <definedName name="_4292__FDSAUDITLINK__" localSheetId="7" hidden="1">{"fdsup://Directions/FactSet Auditing Viewer?action=AUDIT_VALUE&amp;DB=129&amp;ID1=17275R10&amp;VALUEID=02001&amp;SDATE=200801&amp;PERIODTYPE=QTR_STD&amp;SCFT=3&amp;window=popup_no_bar&amp;width=385&amp;height=120&amp;START_MAXIMIZED=FALSE&amp;creator=factset&amp;display_string=Audit"}</definedName>
    <definedName name="_4292__FDSAUDITLINK__" hidden="1">{"fdsup://Directions/FactSet Auditing Viewer?action=AUDIT_VALUE&amp;DB=129&amp;ID1=17275R10&amp;VALUEID=02001&amp;SDATE=200801&amp;PERIODTYPE=QTR_STD&amp;SCFT=3&amp;window=popup_no_bar&amp;width=385&amp;height=120&amp;START_MAXIMIZED=FALSE&amp;creator=factset&amp;display_string=Audit"}</definedName>
    <definedName name="_4293__FDSAUDITLINK__" localSheetId="7" hidden="1">{"fdsup://Directions/FactSet Auditing Viewer?action=AUDIT_VALUE&amp;DB=129&amp;ID1=17275R10&amp;VALUEID=02001&amp;SDATE=200703&amp;PERIODTYPE=QTR_STD&amp;SCFT=3&amp;window=popup_no_bar&amp;width=385&amp;height=120&amp;START_MAXIMIZED=FALSE&amp;creator=factset&amp;display_string=Audit"}</definedName>
    <definedName name="_4293__FDSAUDITLINK__" hidden="1">{"fdsup://Directions/FactSet Auditing Viewer?action=AUDIT_VALUE&amp;DB=129&amp;ID1=17275R10&amp;VALUEID=02001&amp;SDATE=200703&amp;PERIODTYPE=QTR_STD&amp;SCFT=3&amp;window=popup_no_bar&amp;width=385&amp;height=120&amp;START_MAXIMIZED=FALSE&amp;creator=factset&amp;display_string=Audit"}</definedName>
    <definedName name="_4294__FDSAUDITLINK__" localSheetId="7" hidden="1">{"fdsup://Directions/FactSet Auditing Viewer?action=AUDIT_VALUE&amp;DB=129&amp;ID1=17275R10&amp;VALUEID=02001&amp;SDATE=200703&amp;PERIODTYPE=QTR_STD&amp;SCFT=3&amp;window=popup_no_bar&amp;width=385&amp;height=120&amp;START_MAXIMIZED=FALSE&amp;creator=factset&amp;display_string=Audit"}</definedName>
    <definedName name="_4294__FDSAUDITLINK__" hidden="1">{"fdsup://Directions/FactSet Auditing Viewer?action=AUDIT_VALUE&amp;DB=129&amp;ID1=17275R10&amp;VALUEID=02001&amp;SDATE=200703&amp;PERIODTYPE=QTR_STD&amp;SCFT=3&amp;window=popup_no_bar&amp;width=385&amp;height=120&amp;START_MAXIMIZED=FALSE&amp;creator=factset&amp;display_string=Audit"}</definedName>
    <definedName name="_4295__FDSAUDITLINK__" localSheetId="7" hidden="1">{"fdsup://Directions/FactSet Auditing Viewer?action=AUDIT_VALUE&amp;DB=129&amp;ID1=17275R10&amp;VALUEID=02001&amp;SDATE=200702&amp;PERIODTYPE=QTR_STD&amp;SCFT=3&amp;window=popup_no_bar&amp;width=385&amp;height=120&amp;START_MAXIMIZED=FALSE&amp;creator=factset&amp;display_string=Audit"}</definedName>
    <definedName name="_4295__FDSAUDITLINK__" hidden="1">{"fdsup://Directions/FactSet Auditing Viewer?action=AUDIT_VALUE&amp;DB=129&amp;ID1=17275R10&amp;VALUEID=02001&amp;SDATE=200702&amp;PERIODTYPE=QTR_STD&amp;SCFT=3&amp;window=popup_no_bar&amp;width=385&amp;height=120&amp;START_MAXIMIZED=FALSE&amp;creator=factset&amp;display_string=Audit"}</definedName>
    <definedName name="_4296__FDSAUDITLINK__" localSheetId="7" hidden="1">{"fdsup://Directions/FactSet Auditing Viewer?action=AUDIT_VALUE&amp;DB=129&amp;ID1=17275R10&amp;VALUEID=02001&amp;SDATE=200702&amp;PERIODTYPE=QTR_STD&amp;SCFT=3&amp;window=popup_no_bar&amp;width=385&amp;height=120&amp;START_MAXIMIZED=FALSE&amp;creator=factset&amp;display_string=Audit"}</definedName>
    <definedName name="_4296__FDSAUDITLINK__" hidden="1">{"fdsup://Directions/FactSet Auditing Viewer?action=AUDIT_VALUE&amp;DB=129&amp;ID1=17275R10&amp;VALUEID=02001&amp;SDATE=200702&amp;PERIODTYPE=QTR_STD&amp;SCFT=3&amp;window=popup_no_bar&amp;width=385&amp;height=120&amp;START_MAXIMIZED=FALSE&amp;creator=factset&amp;display_string=Audit"}</definedName>
    <definedName name="_4297__FDSAUDITLINK__" localSheetId="7" hidden="1">{"fdsup://Directions/FactSet Auditing Viewer?action=AUDIT_VALUE&amp;DB=129&amp;ID1=17275R10&amp;VALUEID=02001&amp;SDATE=200701&amp;PERIODTYPE=QTR_STD&amp;SCFT=3&amp;window=popup_no_bar&amp;width=385&amp;height=120&amp;START_MAXIMIZED=FALSE&amp;creator=factset&amp;display_string=Audit"}</definedName>
    <definedName name="_4297__FDSAUDITLINK__" hidden="1">{"fdsup://Directions/FactSet Auditing Viewer?action=AUDIT_VALUE&amp;DB=129&amp;ID1=17275R10&amp;VALUEID=02001&amp;SDATE=200701&amp;PERIODTYPE=QTR_STD&amp;SCFT=3&amp;window=popup_no_bar&amp;width=385&amp;height=120&amp;START_MAXIMIZED=FALSE&amp;creator=factset&amp;display_string=Audit"}</definedName>
    <definedName name="_4298__FDSAUDITLINK__" localSheetId="7" hidden="1">{"fdsup://Directions/FactSet Auditing Viewer?action=AUDIT_VALUE&amp;DB=129&amp;ID1=17275R10&amp;VALUEID=02001&amp;SDATE=200701&amp;PERIODTYPE=QTR_STD&amp;SCFT=3&amp;window=popup_no_bar&amp;width=385&amp;height=120&amp;START_MAXIMIZED=FALSE&amp;creator=factset&amp;display_string=Audit"}</definedName>
    <definedName name="_4298__FDSAUDITLINK__" hidden="1">{"fdsup://Directions/FactSet Auditing Viewer?action=AUDIT_VALUE&amp;DB=129&amp;ID1=17275R10&amp;VALUEID=02001&amp;SDATE=200701&amp;PERIODTYPE=QTR_STD&amp;SCFT=3&amp;window=popup_no_bar&amp;width=385&amp;height=120&amp;START_MAXIMIZED=FALSE&amp;creator=factset&amp;display_string=Audit"}</definedName>
    <definedName name="_4299__FDSAUDITLINK__" localSheetId="7" hidden="1">{"fdsup://Directions/FactSet Auditing Viewer?action=AUDIT_VALUE&amp;DB=129&amp;ID1=17275R10&amp;VALUEID=02001&amp;SDATE=200603&amp;PERIODTYPE=QTR_STD&amp;SCFT=3&amp;window=popup_no_bar&amp;width=385&amp;height=120&amp;START_MAXIMIZED=FALSE&amp;creator=factset&amp;display_string=Audit"}</definedName>
    <definedName name="_4299__FDSAUDITLINK__" hidden="1">{"fdsup://Directions/FactSet Auditing Viewer?action=AUDIT_VALUE&amp;DB=129&amp;ID1=17275R10&amp;VALUEID=02001&amp;SDATE=200603&amp;PERIODTYPE=QTR_STD&amp;SCFT=3&amp;window=popup_no_bar&amp;width=385&amp;height=120&amp;START_MAXIMIZED=FALSE&amp;creator=factset&amp;display_string=Audit"}</definedName>
    <definedName name="_43__FDSAUDITLINK__" localSheetId="7" hidden="1">{"fdsup://Directions/FactSet Auditing Viewer?action=AUDIT_VALUE&amp;DB=129&amp;ID1=72581M30&amp;VALUEID=02001&amp;SDATE=201101&amp;PERIODTYPE=QTR_STD&amp;SCFT=3&amp;window=popup_no_bar&amp;width=385&amp;height=120&amp;START_MAXIMIZED=FALSE&amp;creator=factset&amp;display_string=Audit"}</definedName>
    <definedName name="_43__FDSAUDITLINK__" hidden="1">{"fdsup://Directions/FactSet Auditing Viewer?action=AUDIT_VALUE&amp;DB=129&amp;ID1=72581M30&amp;VALUEID=02001&amp;SDATE=201101&amp;PERIODTYPE=QTR_STD&amp;SCFT=3&amp;window=popup_no_bar&amp;width=385&amp;height=120&amp;START_MAXIMIZED=FALSE&amp;creator=factset&amp;display_string=Audit"}</definedName>
    <definedName name="_430__FDSAUDITLINK__" localSheetId="7" hidden="1">{"fdsup://Directions/FactSet Auditing Viewer?action=AUDIT_VALUE&amp;DB=129&amp;ID1=03251510&amp;VALUEID=02001&amp;SDATE=201003&amp;PERIODTYPE=QTR_STD&amp;SCFT=3&amp;window=popup_no_bar&amp;width=385&amp;height=120&amp;START_MAXIMIZED=FALSE&amp;creator=factset&amp;display_string=Audit"}</definedName>
    <definedName name="_430__FDSAUDITLINK__" hidden="1">{"fdsup://Directions/FactSet Auditing Viewer?action=AUDIT_VALUE&amp;DB=129&amp;ID1=03251510&amp;VALUEID=02001&amp;SDATE=201003&amp;PERIODTYPE=QTR_STD&amp;SCFT=3&amp;window=popup_no_bar&amp;width=385&amp;height=120&amp;START_MAXIMIZED=FALSE&amp;creator=factset&amp;display_string=Audit"}</definedName>
    <definedName name="_4300__FDSAUDITLINK__" localSheetId="7" hidden="1">{"fdsup://Directions/FactSet Auditing Viewer?action=AUDIT_VALUE&amp;DB=129&amp;ID1=17275R10&amp;VALUEID=02001&amp;SDATE=200603&amp;PERIODTYPE=QTR_STD&amp;SCFT=3&amp;window=popup_no_bar&amp;width=385&amp;height=120&amp;START_MAXIMIZED=FALSE&amp;creator=factset&amp;display_string=Audit"}</definedName>
    <definedName name="_4300__FDSAUDITLINK__" hidden="1">{"fdsup://Directions/FactSet Auditing Viewer?action=AUDIT_VALUE&amp;DB=129&amp;ID1=17275R10&amp;VALUEID=02001&amp;SDATE=200603&amp;PERIODTYPE=QTR_STD&amp;SCFT=3&amp;window=popup_no_bar&amp;width=385&amp;height=120&amp;START_MAXIMIZED=FALSE&amp;creator=factset&amp;display_string=Audit"}</definedName>
    <definedName name="_4301__FDSAUDITLINK__" localSheetId="7" hidden="1">{"fdsup://Directions/FactSet Auditing Viewer?action=AUDIT_VALUE&amp;DB=129&amp;ID1=17275R10&amp;VALUEID=02001&amp;SDATE=200602&amp;PERIODTYPE=QTR_STD&amp;SCFT=3&amp;window=popup_no_bar&amp;width=385&amp;height=120&amp;START_MAXIMIZED=FALSE&amp;creator=factset&amp;display_string=Audit"}</definedName>
    <definedName name="_4301__FDSAUDITLINK__" hidden="1">{"fdsup://Directions/FactSet Auditing Viewer?action=AUDIT_VALUE&amp;DB=129&amp;ID1=17275R10&amp;VALUEID=02001&amp;SDATE=200602&amp;PERIODTYPE=QTR_STD&amp;SCFT=3&amp;window=popup_no_bar&amp;width=385&amp;height=120&amp;START_MAXIMIZED=FALSE&amp;creator=factset&amp;display_string=Audit"}</definedName>
    <definedName name="_4302__FDSAUDITLINK__" localSheetId="7" hidden="1">{"fdsup://Directions/FactSet Auditing Viewer?action=AUDIT_VALUE&amp;DB=129&amp;ID1=17275R10&amp;VALUEID=02001&amp;SDATE=200602&amp;PERIODTYPE=QTR_STD&amp;SCFT=3&amp;window=popup_no_bar&amp;width=385&amp;height=120&amp;START_MAXIMIZED=FALSE&amp;creator=factset&amp;display_string=Audit"}</definedName>
    <definedName name="_4302__FDSAUDITLINK__" hidden="1">{"fdsup://Directions/FactSet Auditing Viewer?action=AUDIT_VALUE&amp;DB=129&amp;ID1=17275R10&amp;VALUEID=02001&amp;SDATE=200602&amp;PERIODTYPE=QTR_STD&amp;SCFT=3&amp;window=popup_no_bar&amp;width=385&amp;height=120&amp;START_MAXIMIZED=FALSE&amp;creator=factset&amp;display_string=Audit"}</definedName>
    <definedName name="_4303__FDSAUDITLINK__" localSheetId="7" hidden="1">{"fdsup://Directions/FactSet Auditing Viewer?action=AUDIT_VALUE&amp;DB=129&amp;ID1=17275R10&amp;VALUEID=02001&amp;SDATE=200601&amp;PERIODTYPE=QTR_STD&amp;SCFT=3&amp;window=popup_no_bar&amp;width=385&amp;height=120&amp;START_MAXIMIZED=FALSE&amp;creator=factset&amp;display_string=Audit"}</definedName>
    <definedName name="_4303__FDSAUDITLINK__" hidden="1">{"fdsup://Directions/FactSet Auditing Viewer?action=AUDIT_VALUE&amp;DB=129&amp;ID1=17275R10&amp;VALUEID=02001&amp;SDATE=200601&amp;PERIODTYPE=QTR_STD&amp;SCFT=3&amp;window=popup_no_bar&amp;width=385&amp;height=120&amp;START_MAXIMIZED=FALSE&amp;creator=factset&amp;display_string=Audit"}</definedName>
    <definedName name="_4304__FDSAUDITLINK__" localSheetId="7" hidden="1">{"fdsup://Directions/FactSet Auditing Viewer?action=AUDIT_VALUE&amp;DB=129&amp;ID1=17275R10&amp;VALUEID=02001&amp;SDATE=200601&amp;PERIODTYPE=QTR_STD&amp;SCFT=3&amp;window=popup_no_bar&amp;width=385&amp;height=120&amp;START_MAXIMIZED=FALSE&amp;creator=factset&amp;display_string=Audit"}</definedName>
    <definedName name="_4304__FDSAUDITLINK__" hidden="1">{"fdsup://Directions/FactSet Auditing Viewer?action=AUDIT_VALUE&amp;DB=129&amp;ID1=17275R10&amp;VALUEID=02001&amp;SDATE=200601&amp;PERIODTYPE=QTR_STD&amp;SCFT=3&amp;window=popup_no_bar&amp;width=385&amp;height=120&amp;START_MAXIMIZED=FALSE&amp;creator=factset&amp;display_string=Audit"}</definedName>
    <definedName name="_4305__FDSAUDITLINK__" localSheetId="7" hidden="1">{"fdsup://Directions/FactSet Auditing Viewer?action=AUDIT_VALUE&amp;DB=129&amp;ID1=17275R10&amp;VALUEID=02001&amp;SDATE=200503&amp;PERIODTYPE=QTR_STD&amp;SCFT=3&amp;window=popup_no_bar&amp;width=385&amp;height=120&amp;START_MAXIMIZED=FALSE&amp;creator=factset&amp;display_string=Audit"}</definedName>
    <definedName name="_4305__FDSAUDITLINK__" hidden="1">{"fdsup://Directions/FactSet Auditing Viewer?action=AUDIT_VALUE&amp;DB=129&amp;ID1=17275R10&amp;VALUEID=02001&amp;SDATE=200503&amp;PERIODTYPE=QTR_STD&amp;SCFT=3&amp;window=popup_no_bar&amp;width=385&amp;height=120&amp;START_MAXIMIZED=FALSE&amp;creator=factset&amp;display_string=Audit"}</definedName>
    <definedName name="_4306__FDSAUDITLINK__" localSheetId="7" hidden="1">{"fdsup://Directions/FactSet Auditing Viewer?action=AUDIT_VALUE&amp;DB=129&amp;ID1=17275R10&amp;VALUEID=02001&amp;SDATE=200503&amp;PERIODTYPE=QTR_STD&amp;SCFT=3&amp;window=popup_no_bar&amp;width=385&amp;height=120&amp;START_MAXIMIZED=FALSE&amp;creator=factset&amp;display_string=Audit"}</definedName>
    <definedName name="_4306__FDSAUDITLINK__" hidden="1">{"fdsup://Directions/FactSet Auditing Viewer?action=AUDIT_VALUE&amp;DB=129&amp;ID1=17275R10&amp;VALUEID=02001&amp;SDATE=200503&amp;PERIODTYPE=QTR_STD&amp;SCFT=3&amp;window=popup_no_bar&amp;width=385&amp;height=120&amp;START_MAXIMIZED=FALSE&amp;creator=factset&amp;display_string=Audit"}</definedName>
    <definedName name="_4307__FDSAUDITLINK__" localSheetId="7" hidden="1">{"fdsup://Directions/FactSet Auditing Viewer?action=AUDIT_VALUE&amp;DB=129&amp;ID1=17275R10&amp;VALUEID=02001&amp;SDATE=200502&amp;PERIODTYPE=QTR_STD&amp;SCFT=3&amp;window=popup_no_bar&amp;width=385&amp;height=120&amp;START_MAXIMIZED=FALSE&amp;creator=factset&amp;display_string=Audit"}</definedName>
    <definedName name="_4307__FDSAUDITLINK__" hidden="1">{"fdsup://Directions/FactSet Auditing Viewer?action=AUDIT_VALUE&amp;DB=129&amp;ID1=17275R10&amp;VALUEID=02001&amp;SDATE=200502&amp;PERIODTYPE=QTR_STD&amp;SCFT=3&amp;window=popup_no_bar&amp;width=385&amp;height=120&amp;START_MAXIMIZED=FALSE&amp;creator=factset&amp;display_string=Audit"}</definedName>
    <definedName name="_4308__FDSAUDITLINK__" localSheetId="7" hidden="1">{"fdsup://Directions/FactSet Auditing Viewer?action=AUDIT_VALUE&amp;DB=129&amp;ID1=17275R10&amp;VALUEID=02001&amp;SDATE=200502&amp;PERIODTYPE=QTR_STD&amp;SCFT=3&amp;window=popup_no_bar&amp;width=385&amp;height=120&amp;START_MAXIMIZED=FALSE&amp;creator=factset&amp;display_string=Audit"}</definedName>
    <definedName name="_4308__FDSAUDITLINK__" hidden="1">{"fdsup://Directions/FactSet Auditing Viewer?action=AUDIT_VALUE&amp;DB=129&amp;ID1=17275R10&amp;VALUEID=02001&amp;SDATE=200502&amp;PERIODTYPE=QTR_STD&amp;SCFT=3&amp;window=popup_no_bar&amp;width=385&amp;height=120&amp;START_MAXIMIZED=FALSE&amp;creator=factset&amp;display_string=Audit"}</definedName>
    <definedName name="_4309__FDSAUDITLINK__" localSheetId="7" hidden="1">{"fdsup://Directions/FactSet Auditing Viewer?action=AUDIT_VALUE&amp;DB=129&amp;ID1=17275R10&amp;VALUEID=02001&amp;SDATE=200501&amp;PERIODTYPE=QTR_STD&amp;SCFT=3&amp;window=popup_no_bar&amp;width=385&amp;height=120&amp;START_MAXIMIZED=FALSE&amp;creator=factset&amp;display_string=Audit"}</definedName>
    <definedName name="_4309__FDSAUDITLINK__" hidden="1">{"fdsup://Directions/FactSet Auditing Viewer?action=AUDIT_VALUE&amp;DB=129&amp;ID1=17275R10&amp;VALUEID=02001&amp;SDATE=200501&amp;PERIODTYPE=QTR_STD&amp;SCFT=3&amp;window=popup_no_bar&amp;width=385&amp;height=120&amp;START_MAXIMIZED=FALSE&amp;creator=factset&amp;display_string=Audit"}</definedName>
    <definedName name="_431__FDSAUDITLINK__" localSheetId="7" hidden="1">{"fdsup://Directions/FactSet Auditing Viewer?action=AUDIT_VALUE&amp;DB=129&amp;ID1=00790310&amp;VALUEID=02001&amp;SDATE=201003&amp;PERIODTYPE=QTR_STD&amp;SCFT=3&amp;window=popup_no_bar&amp;width=385&amp;height=120&amp;START_MAXIMIZED=FALSE&amp;creator=factset&amp;display_string=Audit"}</definedName>
    <definedName name="_431__FDSAUDITLINK__" hidden="1">{"fdsup://Directions/FactSet Auditing Viewer?action=AUDIT_VALUE&amp;DB=129&amp;ID1=00790310&amp;VALUEID=02001&amp;SDATE=201003&amp;PERIODTYPE=QTR_STD&amp;SCFT=3&amp;window=popup_no_bar&amp;width=385&amp;height=120&amp;START_MAXIMIZED=FALSE&amp;creator=factset&amp;display_string=Audit"}</definedName>
    <definedName name="_4310__FDSAUDITLINK__" localSheetId="7" hidden="1">{"fdsup://Directions/FactSet Auditing Viewer?action=AUDIT_VALUE&amp;DB=129&amp;ID1=17275R10&amp;VALUEID=02001&amp;SDATE=200501&amp;PERIODTYPE=QTR_STD&amp;SCFT=3&amp;window=popup_no_bar&amp;width=385&amp;height=120&amp;START_MAXIMIZED=FALSE&amp;creator=factset&amp;display_string=Audit"}</definedName>
    <definedName name="_4310__FDSAUDITLINK__" hidden="1">{"fdsup://Directions/FactSet Auditing Viewer?action=AUDIT_VALUE&amp;DB=129&amp;ID1=17275R10&amp;VALUEID=02001&amp;SDATE=200501&amp;PERIODTYPE=QTR_STD&amp;SCFT=3&amp;window=popup_no_bar&amp;width=385&amp;height=120&amp;START_MAXIMIZED=FALSE&amp;creator=factset&amp;display_string=Audit"}</definedName>
    <definedName name="_4311__FDSAUDITLINK__" localSheetId="7" hidden="1">{"fdsup://Directions/FactSet Auditing Viewer?action=AUDIT_VALUE&amp;DB=129&amp;ID1=17275R10&amp;VALUEID=02001&amp;SDATE=200403&amp;PERIODTYPE=QTR_STD&amp;SCFT=3&amp;window=popup_no_bar&amp;width=385&amp;height=120&amp;START_MAXIMIZED=FALSE&amp;creator=factset&amp;display_string=Audit"}</definedName>
    <definedName name="_4311__FDSAUDITLINK__" hidden="1">{"fdsup://Directions/FactSet Auditing Viewer?action=AUDIT_VALUE&amp;DB=129&amp;ID1=17275R10&amp;VALUEID=02001&amp;SDATE=200403&amp;PERIODTYPE=QTR_STD&amp;SCFT=3&amp;window=popup_no_bar&amp;width=385&amp;height=120&amp;START_MAXIMIZED=FALSE&amp;creator=factset&amp;display_string=Audit"}</definedName>
    <definedName name="_4312__FDSAUDITLINK__" localSheetId="7" hidden="1">{"fdsup://Directions/FactSet Auditing Viewer?action=AUDIT_VALUE&amp;DB=129&amp;ID1=17275R10&amp;VALUEID=02001&amp;SDATE=200403&amp;PERIODTYPE=QTR_STD&amp;SCFT=3&amp;window=popup_no_bar&amp;width=385&amp;height=120&amp;START_MAXIMIZED=FALSE&amp;creator=factset&amp;display_string=Audit"}</definedName>
    <definedName name="_4312__FDSAUDITLINK__" hidden="1">{"fdsup://Directions/FactSet Auditing Viewer?action=AUDIT_VALUE&amp;DB=129&amp;ID1=17275R10&amp;VALUEID=02001&amp;SDATE=200403&amp;PERIODTYPE=QTR_STD&amp;SCFT=3&amp;window=popup_no_bar&amp;width=385&amp;height=120&amp;START_MAXIMIZED=FALSE&amp;creator=factset&amp;display_string=Audit"}</definedName>
    <definedName name="_4313__FDSAUDITLINK__" localSheetId="7" hidden="1">{"fdsup://Directions/FactSet Auditing Viewer?action=AUDIT_VALUE&amp;DB=129&amp;ID1=22544710&amp;VALUEID=02001&amp;SDATE=200803&amp;PERIODTYPE=QTR_STD&amp;SCFT=3&amp;window=popup_no_bar&amp;width=385&amp;height=120&amp;START_MAXIMIZED=FALSE&amp;creator=factset&amp;display_string=Audit"}</definedName>
    <definedName name="_4313__FDSAUDITLINK__" hidden="1">{"fdsup://Directions/FactSet Auditing Viewer?action=AUDIT_VALUE&amp;DB=129&amp;ID1=22544710&amp;VALUEID=02001&amp;SDATE=200803&amp;PERIODTYPE=QTR_STD&amp;SCFT=3&amp;window=popup_no_bar&amp;width=385&amp;height=120&amp;START_MAXIMIZED=FALSE&amp;creator=factset&amp;display_string=Audit"}</definedName>
    <definedName name="_4314__FDSAUDITLINK__" localSheetId="7" hidden="1">{"fdsup://Directions/FactSet Auditing Viewer?action=AUDIT_VALUE&amp;DB=129&amp;ID1=22544710&amp;VALUEID=02001&amp;SDATE=200803&amp;PERIODTYPE=QTR_STD&amp;SCFT=3&amp;window=popup_no_bar&amp;width=385&amp;height=120&amp;START_MAXIMIZED=FALSE&amp;creator=factset&amp;display_string=Audit"}</definedName>
    <definedName name="_4314__FDSAUDITLINK__" hidden="1">{"fdsup://Directions/FactSet Auditing Viewer?action=AUDIT_VALUE&amp;DB=129&amp;ID1=22544710&amp;VALUEID=02001&amp;SDATE=200803&amp;PERIODTYPE=QTR_STD&amp;SCFT=3&amp;window=popup_no_bar&amp;width=385&amp;height=120&amp;START_MAXIMIZED=FALSE&amp;creator=factset&amp;display_string=Audit"}</definedName>
    <definedName name="_4315__FDSAUDITLINK__" localSheetId="7" hidden="1">{"fdsup://Directions/FactSet Auditing Viewer?action=AUDIT_VALUE&amp;DB=129&amp;ID1=22544710&amp;VALUEID=02001&amp;SDATE=200802&amp;PERIODTYPE=QTR_STD&amp;SCFT=3&amp;window=popup_no_bar&amp;width=385&amp;height=120&amp;START_MAXIMIZED=FALSE&amp;creator=factset&amp;display_string=Audit"}</definedName>
    <definedName name="_4315__FDSAUDITLINK__" hidden="1">{"fdsup://Directions/FactSet Auditing Viewer?action=AUDIT_VALUE&amp;DB=129&amp;ID1=22544710&amp;VALUEID=02001&amp;SDATE=200802&amp;PERIODTYPE=QTR_STD&amp;SCFT=3&amp;window=popup_no_bar&amp;width=385&amp;height=120&amp;START_MAXIMIZED=FALSE&amp;creator=factset&amp;display_string=Audit"}</definedName>
    <definedName name="_4316__FDSAUDITLINK__" localSheetId="7" hidden="1">{"fdsup://Directions/FactSet Auditing Viewer?action=AUDIT_VALUE&amp;DB=129&amp;ID1=22544710&amp;VALUEID=02001&amp;SDATE=200802&amp;PERIODTYPE=QTR_STD&amp;SCFT=3&amp;window=popup_no_bar&amp;width=385&amp;height=120&amp;START_MAXIMIZED=FALSE&amp;creator=factset&amp;display_string=Audit"}</definedName>
    <definedName name="_4316__FDSAUDITLINK__" hidden="1">{"fdsup://Directions/FactSet Auditing Viewer?action=AUDIT_VALUE&amp;DB=129&amp;ID1=22544710&amp;VALUEID=02001&amp;SDATE=200802&amp;PERIODTYPE=QTR_STD&amp;SCFT=3&amp;window=popup_no_bar&amp;width=385&amp;height=120&amp;START_MAXIMIZED=FALSE&amp;creator=factset&amp;display_string=Audit"}</definedName>
    <definedName name="_4317__FDSAUDITLINK__" localSheetId="7" hidden="1">{"fdsup://Directions/FactSet Auditing Viewer?action=AUDIT_VALUE&amp;DB=129&amp;ID1=22544710&amp;VALUEID=02001&amp;SDATE=200801&amp;PERIODTYPE=QTR_STD&amp;SCFT=3&amp;window=popup_no_bar&amp;width=385&amp;height=120&amp;START_MAXIMIZED=FALSE&amp;creator=factset&amp;display_string=Audit"}</definedName>
    <definedName name="_4317__FDSAUDITLINK__" hidden="1">{"fdsup://Directions/FactSet Auditing Viewer?action=AUDIT_VALUE&amp;DB=129&amp;ID1=22544710&amp;VALUEID=02001&amp;SDATE=200801&amp;PERIODTYPE=QTR_STD&amp;SCFT=3&amp;window=popup_no_bar&amp;width=385&amp;height=120&amp;START_MAXIMIZED=FALSE&amp;creator=factset&amp;display_string=Audit"}</definedName>
    <definedName name="_4318__FDSAUDITLINK__" localSheetId="7" hidden="1">{"fdsup://Directions/FactSet Auditing Viewer?action=AUDIT_VALUE&amp;DB=129&amp;ID1=22544710&amp;VALUEID=02001&amp;SDATE=200801&amp;PERIODTYPE=QTR_STD&amp;SCFT=3&amp;window=popup_no_bar&amp;width=385&amp;height=120&amp;START_MAXIMIZED=FALSE&amp;creator=factset&amp;display_string=Audit"}</definedName>
    <definedName name="_4318__FDSAUDITLINK__" hidden="1">{"fdsup://Directions/FactSet Auditing Viewer?action=AUDIT_VALUE&amp;DB=129&amp;ID1=22544710&amp;VALUEID=02001&amp;SDATE=200801&amp;PERIODTYPE=QTR_STD&amp;SCFT=3&amp;window=popup_no_bar&amp;width=385&amp;height=120&amp;START_MAXIMIZED=FALSE&amp;creator=factset&amp;display_string=Audit"}</definedName>
    <definedName name="_4319__FDSAUDITLINK__" localSheetId="7" hidden="1">{"fdsup://Directions/FactSet Auditing Viewer?action=AUDIT_VALUE&amp;DB=129&amp;ID1=22544710&amp;VALUEID=02001&amp;SDATE=200703&amp;PERIODTYPE=QTR_STD&amp;SCFT=3&amp;window=popup_no_bar&amp;width=385&amp;height=120&amp;START_MAXIMIZED=FALSE&amp;creator=factset&amp;display_string=Audit"}</definedName>
    <definedName name="_4319__FDSAUDITLINK__" hidden="1">{"fdsup://Directions/FactSet Auditing Viewer?action=AUDIT_VALUE&amp;DB=129&amp;ID1=22544710&amp;VALUEID=02001&amp;SDATE=200703&amp;PERIODTYPE=QTR_STD&amp;SCFT=3&amp;window=popup_no_bar&amp;width=385&amp;height=120&amp;START_MAXIMIZED=FALSE&amp;creator=factset&amp;display_string=Audit"}</definedName>
    <definedName name="_432__FDSAUDITLINK__" localSheetId="7" hidden="1">{"fdsup://Directions/FactSet Auditing Viewer?action=AUDIT_VALUE&amp;DB=129&amp;ID1=00790310&amp;VALUEID=02001&amp;SDATE=201003&amp;PERIODTYPE=QTR_STD&amp;SCFT=3&amp;window=popup_no_bar&amp;width=385&amp;height=120&amp;START_MAXIMIZED=FALSE&amp;creator=factset&amp;display_string=Audit"}</definedName>
    <definedName name="_432__FDSAUDITLINK__" hidden="1">{"fdsup://Directions/FactSet Auditing Viewer?action=AUDIT_VALUE&amp;DB=129&amp;ID1=00790310&amp;VALUEID=02001&amp;SDATE=201003&amp;PERIODTYPE=QTR_STD&amp;SCFT=3&amp;window=popup_no_bar&amp;width=385&amp;height=120&amp;START_MAXIMIZED=FALSE&amp;creator=factset&amp;display_string=Audit"}</definedName>
    <definedName name="_4320__FDSAUDITLINK__" localSheetId="7" hidden="1">{"fdsup://Directions/FactSet Auditing Viewer?action=AUDIT_VALUE&amp;DB=129&amp;ID1=22544710&amp;VALUEID=02001&amp;SDATE=200703&amp;PERIODTYPE=QTR_STD&amp;SCFT=3&amp;window=popup_no_bar&amp;width=385&amp;height=120&amp;START_MAXIMIZED=FALSE&amp;creator=factset&amp;display_string=Audit"}</definedName>
    <definedName name="_4320__FDSAUDITLINK__" hidden="1">{"fdsup://Directions/FactSet Auditing Viewer?action=AUDIT_VALUE&amp;DB=129&amp;ID1=22544710&amp;VALUEID=02001&amp;SDATE=200703&amp;PERIODTYPE=QTR_STD&amp;SCFT=3&amp;window=popup_no_bar&amp;width=385&amp;height=120&amp;START_MAXIMIZED=FALSE&amp;creator=factset&amp;display_string=Audit"}</definedName>
    <definedName name="_4321__FDSAUDITLINK__" localSheetId="7" hidden="1">{"fdsup://Directions/FactSet Auditing Viewer?action=AUDIT_VALUE&amp;DB=129&amp;ID1=22544710&amp;VALUEID=02001&amp;SDATE=200702&amp;PERIODTYPE=QTR_STD&amp;SCFT=3&amp;window=popup_no_bar&amp;width=385&amp;height=120&amp;START_MAXIMIZED=FALSE&amp;creator=factset&amp;display_string=Audit"}</definedName>
    <definedName name="_4321__FDSAUDITLINK__" hidden="1">{"fdsup://Directions/FactSet Auditing Viewer?action=AUDIT_VALUE&amp;DB=129&amp;ID1=22544710&amp;VALUEID=02001&amp;SDATE=200702&amp;PERIODTYPE=QTR_STD&amp;SCFT=3&amp;window=popup_no_bar&amp;width=385&amp;height=120&amp;START_MAXIMIZED=FALSE&amp;creator=factset&amp;display_string=Audit"}</definedName>
    <definedName name="_4322__FDSAUDITLINK__" localSheetId="7" hidden="1">{"fdsup://Directions/FactSet Auditing Viewer?action=AUDIT_VALUE&amp;DB=129&amp;ID1=22544710&amp;VALUEID=02001&amp;SDATE=200702&amp;PERIODTYPE=QTR_STD&amp;SCFT=3&amp;window=popup_no_bar&amp;width=385&amp;height=120&amp;START_MAXIMIZED=FALSE&amp;creator=factset&amp;display_string=Audit"}</definedName>
    <definedName name="_4322__FDSAUDITLINK__" hidden="1">{"fdsup://Directions/FactSet Auditing Viewer?action=AUDIT_VALUE&amp;DB=129&amp;ID1=22544710&amp;VALUEID=02001&amp;SDATE=200702&amp;PERIODTYPE=QTR_STD&amp;SCFT=3&amp;window=popup_no_bar&amp;width=385&amp;height=120&amp;START_MAXIMIZED=FALSE&amp;creator=factset&amp;display_string=Audit"}</definedName>
    <definedName name="_4323__FDSAUDITLINK__" localSheetId="7" hidden="1">{"fdsup://Directions/FactSet Auditing Viewer?action=AUDIT_VALUE&amp;DB=129&amp;ID1=22544710&amp;VALUEID=02001&amp;SDATE=200701&amp;PERIODTYPE=QTR_STD&amp;SCFT=3&amp;window=popup_no_bar&amp;width=385&amp;height=120&amp;START_MAXIMIZED=FALSE&amp;creator=factset&amp;display_string=Audit"}</definedName>
    <definedName name="_4323__FDSAUDITLINK__" hidden="1">{"fdsup://Directions/FactSet Auditing Viewer?action=AUDIT_VALUE&amp;DB=129&amp;ID1=22544710&amp;VALUEID=02001&amp;SDATE=200701&amp;PERIODTYPE=QTR_STD&amp;SCFT=3&amp;window=popup_no_bar&amp;width=385&amp;height=120&amp;START_MAXIMIZED=FALSE&amp;creator=factset&amp;display_string=Audit"}</definedName>
    <definedName name="_4324__FDSAUDITLINK__" localSheetId="7" hidden="1">{"fdsup://Directions/FactSet Auditing Viewer?action=AUDIT_VALUE&amp;DB=129&amp;ID1=22544710&amp;VALUEID=02001&amp;SDATE=200701&amp;PERIODTYPE=QTR_STD&amp;SCFT=3&amp;window=popup_no_bar&amp;width=385&amp;height=120&amp;START_MAXIMIZED=FALSE&amp;creator=factset&amp;display_string=Audit"}</definedName>
    <definedName name="_4324__FDSAUDITLINK__" hidden="1">{"fdsup://Directions/FactSet Auditing Viewer?action=AUDIT_VALUE&amp;DB=129&amp;ID1=22544710&amp;VALUEID=02001&amp;SDATE=200701&amp;PERIODTYPE=QTR_STD&amp;SCFT=3&amp;window=popup_no_bar&amp;width=385&amp;height=120&amp;START_MAXIMIZED=FALSE&amp;creator=factset&amp;display_string=Audit"}</definedName>
    <definedName name="_4325__FDSAUDITLINK__" localSheetId="7" hidden="1">{"fdsup://Directions/FactSet Auditing Viewer?action=AUDIT_VALUE&amp;DB=129&amp;ID1=22544710&amp;VALUEID=02001&amp;SDATE=200603&amp;PERIODTYPE=QTR_STD&amp;SCFT=3&amp;window=popup_no_bar&amp;width=385&amp;height=120&amp;START_MAXIMIZED=FALSE&amp;creator=factset&amp;display_string=Audit"}</definedName>
    <definedName name="_4325__FDSAUDITLINK__" hidden="1">{"fdsup://Directions/FactSet Auditing Viewer?action=AUDIT_VALUE&amp;DB=129&amp;ID1=22544710&amp;VALUEID=02001&amp;SDATE=200603&amp;PERIODTYPE=QTR_STD&amp;SCFT=3&amp;window=popup_no_bar&amp;width=385&amp;height=120&amp;START_MAXIMIZED=FALSE&amp;creator=factset&amp;display_string=Audit"}</definedName>
    <definedName name="_4326__FDSAUDITLINK__" localSheetId="7" hidden="1">{"fdsup://Directions/FactSet Auditing Viewer?action=AUDIT_VALUE&amp;DB=129&amp;ID1=22544710&amp;VALUEID=02001&amp;SDATE=200603&amp;PERIODTYPE=QTR_STD&amp;SCFT=3&amp;window=popup_no_bar&amp;width=385&amp;height=120&amp;START_MAXIMIZED=FALSE&amp;creator=factset&amp;display_string=Audit"}</definedName>
    <definedName name="_4326__FDSAUDITLINK__" hidden="1">{"fdsup://Directions/FactSet Auditing Viewer?action=AUDIT_VALUE&amp;DB=129&amp;ID1=22544710&amp;VALUEID=02001&amp;SDATE=200603&amp;PERIODTYPE=QTR_STD&amp;SCFT=3&amp;window=popup_no_bar&amp;width=385&amp;height=120&amp;START_MAXIMIZED=FALSE&amp;creator=factset&amp;display_string=Audit"}</definedName>
    <definedName name="_4327__FDSAUDITLINK__" localSheetId="7" hidden="1">{"fdsup://Directions/FactSet Auditing Viewer?action=AUDIT_VALUE&amp;DB=129&amp;ID1=22544710&amp;VALUEID=02001&amp;SDATE=200602&amp;PERIODTYPE=QTR_STD&amp;SCFT=3&amp;window=popup_no_bar&amp;width=385&amp;height=120&amp;START_MAXIMIZED=FALSE&amp;creator=factset&amp;display_string=Audit"}</definedName>
    <definedName name="_4327__FDSAUDITLINK__" hidden="1">{"fdsup://Directions/FactSet Auditing Viewer?action=AUDIT_VALUE&amp;DB=129&amp;ID1=22544710&amp;VALUEID=02001&amp;SDATE=200602&amp;PERIODTYPE=QTR_STD&amp;SCFT=3&amp;window=popup_no_bar&amp;width=385&amp;height=120&amp;START_MAXIMIZED=FALSE&amp;creator=factset&amp;display_string=Audit"}</definedName>
    <definedName name="_4328__FDSAUDITLINK__" localSheetId="7" hidden="1">{"fdsup://Directions/FactSet Auditing Viewer?action=AUDIT_VALUE&amp;DB=129&amp;ID1=22544710&amp;VALUEID=02001&amp;SDATE=200602&amp;PERIODTYPE=QTR_STD&amp;SCFT=3&amp;window=popup_no_bar&amp;width=385&amp;height=120&amp;START_MAXIMIZED=FALSE&amp;creator=factset&amp;display_string=Audit"}</definedName>
    <definedName name="_4328__FDSAUDITLINK__" hidden="1">{"fdsup://Directions/FactSet Auditing Viewer?action=AUDIT_VALUE&amp;DB=129&amp;ID1=22544710&amp;VALUEID=02001&amp;SDATE=200602&amp;PERIODTYPE=QTR_STD&amp;SCFT=3&amp;window=popup_no_bar&amp;width=385&amp;height=120&amp;START_MAXIMIZED=FALSE&amp;creator=factset&amp;display_string=Audit"}</definedName>
    <definedName name="_4329__FDSAUDITLINK__" localSheetId="7" hidden="1">{"fdsup://Directions/FactSet Auditing Viewer?action=AUDIT_VALUE&amp;DB=129&amp;ID1=22544710&amp;VALUEID=02001&amp;SDATE=200601&amp;PERIODTYPE=QTR_STD&amp;SCFT=3&amp;window=popup_no_bar&amp;width=385&amp;height=120&amp;START_MAXIMIZED=FALSE&amp;creator=factset&amp;display_string=Audit"}</definedName>
    <definedName name="_4329__FDSAUDITLINK__" hidden="1">{"fdsup://Directions/FactSet Auditing Viewer?action=AUDIT_VALUE&amp;DB=129&amp;ID1=22544710&amp;VALUEID=02001&amp;SDATE=200601&amp;PERIODTYPE=QTR_STD&amp;SCFT=3&amp;window=popup_no_bar&amp;width=385&amp;height=120&amp;START_MAXIMIZED=FALSE&amp;creator=factset&amp;display_string=Audit"}</definedName>
    <definedName name="_433__FDSAUDITLINK__" localSheetId="7" hidden="1">{"fdsup://Directions/FactSet Auditing Viewer?action=AUDIT_VALUE&amp;DB=129&amp;ID1=03822W40&amp;VALUEID=02001&amp;SDATE=201002&amp;PERIODTYPE=QTR_STD&amp;SCFT=3&amp;window=popup_no_bar&amp;width=385&amp;height=120&amp;START_MAXIMIZED=FALSE&amp;creator=factset&amp;display_string=Audit"}</definedName>
    <definedName name="_433__FDSAUDITLINK__" hidden="1">{"fdsup://Directions/FactSet Auditing Viewer?action=AUDIT_VALUE&amp;DB=129&amp;ID1=03822W40&amp;VALUEID=02001&amp;SDATE=201002&amp;PERIODTYPE=QTR_STD&amp;SCFT=3&amp;window=popup_no_bar&amp;width=385&amp;height=120&amp;START_MAXIMIZED=FALSE&amp;creator=factset&amp;display_string=Audit"}</definedName>
    <definedName name="_4330__FDSAUDITLINK__" localSheetId="7" hidden="1">{"fdsup://Directions/FactSet Auditing Viewer?action=AUDIT_VALUE&amp;DB=129&amp;ID1=22544710&amp;VALUEID=02001&amp;SDATE=200601&amp;PERIODTYPE=QTR_STD&amp;SCFT=3&amp;window=popup_no_bar&amp;width=385&amp;height=120&amp;START_MAXIMIZED=FALSE&amp;creator=factset&amp;display_string=Audit"}</definedName>
    <definedName name="_4330__FDSAUDITLINK__" hidden="1">{"fdsup://Directions/FactSet Auditing Viewer?action=AUDIT_VALUE&amp;DB=129&amp;ID1=22544710&amp;VALUEID=02001&amp;SDATE=200601&amp;PERIODTYPE=QTR_STD&amp;SCFT=3&amp;window=popup_no_bar&amp;width=385&amp;height=120&amp;START_MAXIMIZED=FALSE&amp;creator=factset&amp;display_string=Audit"}</definedName>
    <definedName name="_4331__FDSAUDITLINK__" localSheetId="7" hidden="1">{"fdsup://Directions/FactSet Auditing Viewer?action=AUDIT_VALUE&amp;DB=129&amp;ID1=22544710&amp;VALUEID=02001&amp;SDATE=200502&amp;PERIODTYPE=QTR_STD&amp;SCFT=3&amp;window=popup_no_bar&amp;width=385&amp;height=120&amp;START_MAXIMIZED=FALSE&amp;creator=factset&amp;display_string=Audit"}</definedName>
    <definedName name="_4331__FDSAUDITLINK__" hidden="1">{"fdsup://Directions/FactSet Auditing Viewer?action=AUDIT_VALUE&amp;DB=129&amp;ID1=22544710&amp;VALUEID=02001&amp;SDATE=200502&amp;PERIODTYPE=QTR_STD&amp;SCFT=3&amp;window=popup_no_bar&amp;width=385&amp;height=120&amp;START_MAXIMIZED=FALSE&amp;creator=factset&amp;display_string=Audit"}</definedName>
    <definedName name="_4332__FDSAUDITLINK__" localSheetId="7" hidden="1">{"fdsup://Directions/FactSet Auditing Viewer?action=AUDIT_VALUE&amp;DB=129&amp;ID1=22544710&amp;VALUEID=02001&amp;SDATE=200502&amp;PERIODTYPE=QTR_STD&amp;SCFT=3&amp;window=popup_no_bar&amp;width=385&amp;height=120&amp;START_MAXIMIZED=FALSE&amp;creator=factset&amp;display_string=Audit"}</definedName>
    <definedName name="_4332__FDSAUDITLINK__" hidden="1">{"fdsup://Directions/FactSet Auditing Viewer?action=AUDIT_VALUE&amp;DB=129&amp;ID1=22544710&amp;VALUEID=02001&amp;SDATE=200502&amp;PERIODTYPE=QTR_STD&amp;SCFT=3&amp;window=popup_no_bar&amp;width=385&amp;height=120&amp;START_MAXIMIZED=FALSE&amp;creator=factset&amp;display_string=Audit"}</definedName>
    <definedName name="_4333__FDSAUDITLINK__" localSheetId="7" hidden="1">{"fdsup://Directions/FactSet Auditing Viewer?action=AUDIT_VALUE&amp;DB=129&amp;ID1=22544710&amp;VALUEID=02001&amp;SDATE=200501&amp;PERIODTYPE=QTR_STD&amp;SCFT=3&amp;window=popup_no_bar&amp;width=385&amp;height=120&amp;START_MAXIMIZED=FALSE&amp;creator=factset&amp;display_string=Audit"}</definedName>
    <definedName name="_4333__FDSAUDITLINK__" hidden="1">{"fdsup://Directions/FactSet Auditing Viewer?action=AUDIT_VALUE&amp;DB=129&amp;ID1=22544710&amp;VALUEID=02001&amp;SDATE=200501&amp;PERIODTYPE=QTR_STD&amp;SCFT=3&amp;window=popup_no_bar&amp;width=385&amp;height=120&amp;START_MAXIMIZED=FALSE&amp;creator=factset&amp;display_string=Audit"}</definedName>
    <definedName name="_4334__FDSAUDITLINK__" localSheetId="7" hidden="1">{"fdsup://Directions/FactSet Auditing Viewer?action=AUDIT_VALUE&amp;DB=129&amp;ID1=22544710&amp;VALUEID=02001&amp;SDATE=200501&amp;PERIODTYPE=QTR_STD&amp;SCFT=3&amp;window=popup_no_bar&amp;width=385&amp;height=120&amp;START_MAXIMIZED=FALSE&amp;creator=factset&amp;display_string=Audit"}</definedName>
    <definedName name="_4334__FDSAUDITLINK__" hidden="1">{"fdsup://Directions/FactSet Auditing Viewer?action=AUDIT_VALUE&amp;DB=129&amp;ID1=22544710&amp;VALUEID=02001&amp;SDATE=200501&amp;PERIODTYPE=QTR_STD&amp;SCFT=3&amp;window=popup_no_bar&amp;width=385&amp;height=120&amp;START_MAXIMIZED=FALSE&amp;creator=factset&amp;display_string=Audit"}</definedName>
    <definedName name="_4335__FDSAUDITLINK__" localSheetId="7" hidden="1">{"fdsup://Directions/FactSet Auditing Viewer?action=AUDIT_VALUE&amp;DB=129&amp;ID1=22544710&amp;VALUEID=02001&amp;SDATE=200403&amp;PERIODTYPE=QTR_STD&amp;SCFT=3&amp;window=popup_no_bar&amp;width=385&amp;height=120&amp;START_MAXIMIZED=FALSE&amp;creator=factset&amp;display_string=Audit"}</definedName>
    <definedName name="_4335__FDSAUDITLINK__" hidden="1">{"fdsup://Directions/FactSet Auditing Viewer?action=AUDIT_VALUE&amp;DB=129&amp;ID1=22544710&amp;VALUEID=02001&amp;SDATE=200403&amp;PERIODTYPE=QTR_STD&amp;SCFT=3&amp;window=popup_no_bar&amp;width=385&amp;height=120&amp;START_MAXIMIZED=FALSE&amp;creator=factset&amp;display_string=Audit"}</definedName>
    <definedName name="_4336__FDSAUDITLINK__" localSheetId="7" hidden="1">{"fdsup://Directions/FactSet Auditing Viewer?action=AUDIT_VALUE&amp;DB=129&amp;ID1=22544710&amp;VALUEID=02001&amp;SDATE=200403&amp;PERIODTYPE=QTR_STD&amp;SCFT=3&amp;window=popup_no_bar&amp;width=385&amp;height=120&amp;START_MAXIMIZED=FALSE&amp;creator=factset&amp;display_string=Audit"}</definedName>
    <definedName name="_4336__FDSAUDITLINK__" hidden="1">{"fdsup://Directions/FactSet Auditing Viewer?action=AUDIT_VALUE&amp;DB=129&amp;ID1=22544710&amp;VALUEID=02001&amp;SDATE=200403&amp;PERIODTYPE=QTR_STD&amp;SCFT=3&amp;window=popup_no_bar&amp;width=385&amp;height=120&amp;START_MAXIMIZED=FALSE&amp;creator=factset&amp;display_string=Audit"}</definedName>
    <definedName name="_4337__FDSAUDITLINK__" localSheetId="7" hidden="1">{"fdsup://Directions/FactSet Auditing Viewer?action=AUDIT_VALUE&amp;DB=129&amp;ID1=20714230&amp;VALUEID=02001&amp;SDATE=200802&amp;PERIODTYPE=QTR_STD&amp;SCFT=3&amp;window=popup_no_bar&amp;width=385&amp;height=120&amp;START_MAXIMIZED=FALSE&amp;creator=factset&amp;display_string=Audit"}</definedName>
    <definedName name="_4337__FDSAUDITLINK__" hidden="1">{"fdsup://Directions/FactSet Auditing Viewer?action=AUDIT_VALUE&amp;DB=129&amp;ID1=20714230&amp;VALUEID=02001&amp;SDATE=200802&amp;PERIODTYPE=QTR_STD&amp;SCFT=3&amp;window=popup_no_bar&amp;width=385&amp;height=120&amp;START_MAXIMIZED=FALSE&amp;creator=factset&amp;display_string=Audit"}</definedName>
    <definedName name="_4338__FDSAUDITLINK__" localSheetId="7" hidden="1">{"fdsup://Directions/FactSet Auditing Viewer?action=AUDIT_VALUE&amp;DB=129&amp;ID1=20714230&amp;VALUEID=02001&amp;SDATE=200802&amp;PERIODTYPE=QTR_STD&amp;SCFT=3&amp;window=popup_no_bar&amp;width=385&amp;height=120&amp;START_MAXIMIZED=FALSE&amp;creator=factset&amp;display_string=Audit"}</definedName>
    <definedName name="_4338__FDSAUDITLINK__" hidden="1">{"fdsup://Directions/FactSet Auditing Viewer?action=AUDIT_VALUE&amp;DB=129&amp;ID1=20714230&amp;VALUEID=02001&amp;SDATE=200802&amp;PERIODTYPE=QTR_STD&amp;SCFT=3&amp;window=popup_no_bar&amp;width=385&amp;height=120&amp;START_MAXIMIZED=FALSE&amp;creator=factset&amp;display_string=Audit"}</definedName>
    <definedName name="_4339__FDSAUDITLINK__" localSheetId="7" hidden="1">{"fdsup://Directions/FactSet Auditing Viewer?action=AUDIT_VALUE&amp;DB=129&amp;ID1=20714230&amp;VALUEID=02001&amp;SDATE=200801&amp;PERIODTYPE=QTR_STD&amp;SCFT=3&amp;window=popup_no_bar&amp;width=385&amp;height=120&amp;START_MAXIMIZED=FALSE&amp;creator=factset&amp;display_string=Audit"}</definedName>
    <definedName name="_4339__FDSAUDITLINK__" hidden="1">{"fdsup://Directions/FactSet Auditing Viewer?action=AUDIT_VALUE&amp;DB=129&amp;ID1=20714230&amp;VALUEID=02001&amp;SDATE=200801&amp;PERIODTYPE=QTR_STD&amp;SCFT=3&amp;window=popup_no_bar&amp;width=385&amp;height=120&amp;START_MAXIMIZED=FALSE&amp;creator=factset&amp;display_string=Audit"}</definedName>
    <definedName name="_434__FDSAUDITLINK__" localSheetId="7" hidden="1">{"fdsup://Directions/FactSet Auditing Viewer?action=AUDIT_VALUE&amp;DB=129&amp;ID1=03822W40&amp;VALUEID=02001&amp;SDATE=201002&amp;PERIODTYPE=QTR_STD&amp;SCFT=3&amp;window=popup_no_bar&amp;width=385&amp;height=120&amp;START_MAXIMIZED=FALSE&amp;creator=factset&amp;display_string=Audit"}</definedName>
    <definedName name="_434__FDSAUDITLINK__" hidden="1">{"fdsup://Directions/FactSet Auditing Viewer?action=AUDIT_VALUE&amp;DB=129&amp;ID1=03822W40&amp;VALUEID=02001&amp;SDATE=201002&amp;PERIODTYPE=QTR_STD&amp;SCFT=3&amp;window=popup_no_bar&amp;width=385&amp;height=120&amp;START_MAXIMIZED=FALSE&amp;creator=factset&amp;display_string=Audit"}</definedName>
    <definedName name="_4340__FDSAUDITLINK__" localSheetId="7" hidden="1">{"fdsup://Directions/FactSet Auditing Viewer?action=AUDIT_VALUE&amp;DB=129&amp;ID1=20714230&amp;VALUEID=02001&amp;SDATE=200801&amp;PERIODTYPE=QTR_STD&amp;SCFT=3&amp;window=popup_no_bar&amp;width=385&amp;height=120&amp;START_MAXIMIZED=FALSE&amp;creator=factset&amp;display_string=Audit"}</definedName>
    <definedName name="_4340__FDSAUDITLINK__" hidden="1">{"fdsup://Directions/FactSet Auditing Viewer?action=AUDIT_VALUE&amp;DB=129&amp;ID1=20714230&amp;VALUEID=02001&amp;SDATE=200801&amp;PERIODTYPE=QTR_STD&amp;SCFT=3&amp;window=popup_no_bar&amp;width=385&amp;height=120&amp;START_MAXIMIZED=FALSE&amp;creator=factset&amp;display_string=Audit"}</definedName>
    <definedName name="_4341__FDSAUDITLINK__" localSheetId="7" hidden="1">{"fdsup://Directions/FactSet Auditing Viewer?action=AUDIT_VALUE&amp;DB=129&amp;ID1=20714230&amp;VALUEID=02001&amp;SDATE=200703&amp;PERIODTYPE=QTR_STD&amp;SCFT=3&amp;window=popup_no_bar&amp;width=385&amp;height=120&amp;START_MAXIMIZED=FALSE&amp;creator=factset&amp;display_string=Audit"}</definedName>
    <definedName name="_4341__FDSAUDITLINK__" hidden="1">{"fdsup://Directions/FactSet Auditing Viewer?action=AUDIT_VALUE&amp;DB=129&amp;ID1=20714230&amp;VALUEID=02001&amp;SDATE=200703&amp;PERIODTYPE=QTR_STD&amp;SCFT=3&amp;window=popup_no_bar&amp;width=385&amp;height=120&amp;START_MAXIMIZED=FALSE&amp;creator=factset&amp;display_string=Audit"}</definedName>
    <definedName name="_4342__FDSAUDITLINK__" localSheetId="7" hidden="1">{"fdsup://Directions/FactSet Auditing Viewer?action=AUDIT_VALUE&amp;DB=129&amp;ID1=20714230&amp;VALUEID=02001&amp;SDATE=200703&amp;PERIODTYPE=QTR_STD&amp;SCFT=3&amp;window=popup_no_bar&amp;width=385&amp;height=120&amp;START_MAXIMIZED=FALSE&amp;creator=factset&amp;display_string=Audit"}</definedName>
    <definedName name="_4342__FDSAUDITLINK__" hidden="1">{"fdsup://Directions/FactSet Auditing Viewer?action=AUDIT_VALUE&amp;DB=129&amp;ID1=20714230&amp;VALUEID=02001&amp;SDATE=200703&amp;PERIODTYPE=QTR_STD&amp;SCFT=3&amp;window=popup_no_bar&amp;width=385&amp;height=120&amp;START_MAXIMIZED=FALSE&amp;creator=factset&amp;display_string=Audit"}</definedName>
    <definedName name="_4343__FDSAUDITLINK__" localSheetId="7" hidden="1">{"fdsup://Directions/FactSet Auditing Viewer?action=AUDIT_VALUE&amp;DB=129&amp;ID1=20714230&amp;VALUEID=02001&amp;SDATE=200702&amp;PERIODTYPE=QTR_STD&amp;SCFT=3&amp;window=popup_no_bar&amp;width=385&amp;height=120&amp;START_MAXIMIZED=FALSE&amp;creator=factset&amp;display_string=Audit"}</definedName>
    <definedName name="_4343__FDSAUDITLINK__" hidden="1">{"fdsup://Directions/FactSet Auditing Viewer?action=AUDIT_VALUE&amp;DB=129&amp;ID1=20714230&amp;VALUEID=02001&amp;SDATE=200702&amp;PERIODTYPE=QTR_STD&amp;SCFT=3&amp;window=popup_no_bar&amp;width=385&amp;height=120&amp;START_MAXIMIZED=FALSE&amp;creator=factset&amp;display_string=Audit"}</definedName>
    <definedName name="_4344__FDSAUDITLINK__" localSheetId="7" hidden="1">{"fdsup://Directions/FactSet Auditing Viewer?action=AUDIT_VALUE&amp;DB=129&amp;ID1=20714230&amp;VALUEID=02001&amp;SDATE=200702&amp;PERIODTYPE=QTR_STD&amp;SCFT=3&amp;window=popup_no_bar&amp;width=385&amp;height=120&amp;START_MAXIMIZED=FALSE&amp;creator=factset&amp;display_string=Audit"}</definedName>
    <definedName name="_4344__FDSAUDITLINK__" hidden="1">{"fdsup://Directions/FactSet Auditing Viewer?action=AUDIT_VALUE&amp;DB=129&amp;ID1=20714230&amp;VALUEID=02001&amp;SDATE=200702&amp;PERIODTYPE=QTR_STD&amp;SCFT=3&amp;window=popup_no_bar&amp;width=385&amp;height=120&amp;START_MAXIMIZED=FALSE&amp;creator=factset&amp;display_string=Audit"}</definedName>
    <definedName name="_4345__FDSAUDITLINK__" localSheetId="7" hidden="1">{"fdsup://Directions/FactSet Auditing Viewer?action=AUDIT_VALUE&amp;DB=129&amp;ID1=20714230&amp;VALUEID=02001&amp;SDATE=200701&amp;PERIODTYPE=QTR_STD&amp;SCFT=3&amp;window=popup_no_bar&amp;width=385&amp;height=120&amp;START_MAXIMIZED=FALSE&amp;creator=factset&amp;display_string=Audit"}</definedName>
    <definedName name="_4345__FDSAUDITLINK__" hidden="1">{"fdsup://Directions/FactSet Auditing Viewer?action=AUDIT_VALUE&amp;DB=129&amp;ID1=20714230&amp;VALUEID=02001&amp;SDATE=200701&amp;PERIODTYPE=QTR_STD&amp;SCFT=3&amp;window=popup_no_bar&amp;width=385&amp;height=120&amp;START_MAXIMIZED=FALSE&amp;creator=factset&amp;display_string=Audit"}</definedName>
    <definedName name="_4346__FDSAUDITLINK__" localSheetId="7" hidden="1">{"fdsup://Directions/FactSet Auditing Viewer?action=AUDIT_VALUE&amp;DB=129&amp;ID1=20714230&amp;VALUEID=02001&amp;SDATE=200701&amp;PERIODTYPE=QTR_STD&amp;SCFT=3&amp;window=popup_no_bar&amp;width=385&amp;height=120&amp;START_MAXIMIZED=FALSE&amp;creator=factset&amp;display_string=Audit"}</definedName>
    <definedName name="_4346__FDSAUDITLINK__" hidden="1">{"fdsup://Directions/FactSet Auditing Viewer?action=AUDIT_VALUE&amp;DB=129&amp;ID1=20714230&amp;VALUEID=02001&amp;SDATE=200701&amp;PERIODTYPE=QTR_STD&amp;SCFT=3&amp;window=popup_no_bar&amp;width=385&amp;height=120&amp;START_MAXIMIZED=FALSE&amp;creator=factset&amp;display_string=Audit"}</definedName>
    <definedName name="_4347__FDSAUDITLINK__" localSheetId="7" hidden="1">{"fdsup://Directions/FactSet Auditing Viewer?action=AUDIT_VALUE&amp;DB=129&amp;ID1=20714230&amp;VALUEID=02001&amp;SDATE=200603&amp;PERIODTYPE=QTR_STD&amp;SCFT=3&amp;window=popup_no_bar&amp;width=385&amp;height=120&amp;START_MAXIMIZED=FALSE&amp;creator=factset&amp;display_string=Audit"}</definedName>
    <definedName name="_4347__FDSAUDITLINK__" hidden="1">{"fdsup://Directions/FactSet Auditing Viewer?action=AUDIT_VALUE&amp;DB=129&amp;ID1=20714230&amp;VALUEID=02001&amp;SDATE=200603&amp;PERIODTYPE=QTR_STD&amp;SCFT=3&amp;window=popup_no_bar&amp;width=385&amp;height=120&amp;START_MAXIMIZED=FALSE&amp;creator=factset&amp;display_string=Audit"}</definedName>
    <definedName name="_4348__FDSAUDITLINK__" localSheetId="7" hidden="1">{"fdsup://Directions/FactSet Auditing Viewer?action=AUDIT_VALUE&amp;DB=129&amp;ID1=20714230&amp;VALUEID=02001&amp;SDATE=200603&amp;PERIODTYPE=QTR_STD&amp;SCFT=3&amp;window=popup_no_bar&amp;width=385&amp;height=120&amp;START_MAXIMIZED=FALSE&amp;creator=factset&amp;display_string=Audit"}</definedName>
    <definedName name="_4348__FDSAUDITLINK__" hidden="1">{"fdsup://Directions/FactSet Auditing Viewer?action=AUDIT_VALUE&amp;DB=129&amp;ID1=20714230&amp;VALUEID=02001&amp;SDATE=200603&amp;PERIODTYPE=QTR_STD&amp;SCFT=3&amp;window=popup_no_bar&amp;width=385&amp;height=120&amp;START_MAXIMIZED=FALSE&amp;creator=factset&amp;display_string=Audit"}</definedName>
    <definedName name="_4349__FDSAUDITLINK__" localSheetId="7" hidden="1">{"fdsup://Directions/FactSet Auditing Viewer?action=AUDIT_VALUE&amp;DB=129&amp;ID1=20714230&amp;VALUEID=02001&amp;SDATE=200602&amp;PERIODTYPE=QTR_STD&amp;SCFT=3&amp;window=popup_no_bar&amp;width=385&amp;height=120&amp;START_MAXIMIZED=FALSE&amp;creator=factset&amp;display_string=Audit"}</definedName>
    <definedName name="_4349__FDSAUDITLINK__" hidden="1">{"fdsup://Directions/FactSet Auditing Viewer?action=AUDIT_VALUE&amp;DB=129&amp;ID1=20714230&amp;VALUEID=02001&amp;SDATE=200602&amp;PERIODTYPE=QTR_STD&amp;SCFT=3&amp;window=popup_no_bar&amp;width=385&amp;height=120&amp;START_MAXIMIZED=FALSE&amp;creator=factset&amp;display_string=Audit"}</definedName>
    <definedName name="_435__FDSAUDITLINK__" localSheetId="7" hidden="1">{"fdsup://Directions/FactSet Auditing Viewer?action=AUDIT_VALUE&amp;DB=129&amp;ID1=03822210&amp;VALUEID=02001&amp;SDATE=201004&amp;PERIODTYPE=QTR_STD&amp;SCFT=3&amp;window=popup_no_bar&amp;width=385&amp;height=120&amp;START_MAXIMIZED=FALSE&amp;creator=factset&amp;display_string=Audit"}</definedName>
    <definedName name="_435__FDSAUDITLINK__" hidden="1">{"fdsup://Directions/FactSet Auditing Viewer?action=AUDIT_VALUE&amp;DB=129&amp;ID1=03822210&amp;VALUEID=02001&amp;SDATE=201004&amp;PERIODTYPE=QTR_STD&amp;SCFT=3&amp;window=popup_no_bar&amp;width=385&amp;height=120&amp;START_MAXIMIZED=FALSE&amp;creator=factset&amp;display_string=Audit"}</definedName>
    <definedName name="_4350__FDSAUDITLINK__" localSheetId="7" hidden="1">{"fdsup://Directions/FactSet Auditing Viewer?action=AUDIT_VALUE&amp;DB=129&amp;ID1=20714230&amp;VALUEID=02001&amp;SDATE=200602&amp;PERIODTYPE=QTR_STD&amp;SCFT=3&amp;window=popup_no_bar&amp;width=385&amp;height=120&amp;START_MAXIMIZED=FALSE&amp;creator=factset&amp;display_string=Audit"}</definedName>
    <definedName name="_4350__FDSAUDITLINK__" hidden="1">{"fdsup://Directions/FactSet Auditing Viewer?action=AUDIT_VALUE&amp;DB=129&amp;ID1=20714230&amp;VALUEID=02001&amp;SDATE=200602&amp;PERIODTYPE=QTR_STD&amp;SCFT=3&amp;window=popup_no_bar&amp;width=385&amp;height=120&amp;START_MAXIMIZED=FALSE&amp;creator=factset&amp;display_string=Audit"}</definedName>
    <definedName name="_4351__FDSAUDITLINK__" localSheetId="7" hidden="1">{"fdsup://Directions/FactSet Auditing Viewer?action=AUDIT_VALUE&amp;DB=129&amp;ID1=20714230&amp;VALUEID=02001&amp;SDATE=200503&amp;PERIODTYPE=QTR_STD&amp;SCFT=3&amp;window=popup_no_bar&amp;width=385&amp;height=120&amp;START_MAXIMIZED=FALSE&amp;creator=factset&amp;display_string=Audit"}</definedName>
    <definedName name="_4351__FDSAUDITLINK__" hidden="1">{"fdsup://Directions/FactSet Auditing Viewer?action=AUDIT_VALUE&amp;DB=129&amp;ID1=20714230&amp;VALUEID=02001&amp;SDATE=200503&amp;PERIODTYPE=QTR_STD&amp;SCFT=3&amp;window=popup_no_bar&amp;width=385&amp;height=120&amp;START_MAXIMIZED=FALSE&amp;creator=factset&amp;display_string=Audit"}</definedName>
    <definedName name="_4352__FDSAUDITLINK__" localSheetId="7" hidden="1">{"fdsup://Directions/FactSet Auditing Viewer?action=AUDIT_VALUE&amp;DB=129&amp;ID1=20714230&amp;VALUEID=02001&amp;SDATE=200503&amp;PERIODTYPE=QTR_STD&amp;SCFT=3&amp;window=popup_no_bar&amp;width=385&amp;height=120&amp;START_MAXIMIZED=FALSE&amp;creator=factset&amp;display_string=Audit"}</definedName>
    <definedName name="_4352__FDSAUDITLINK__" hidden="1">{"fdsup://Directions/FactSet Auditing Viewer?action=AUDIT_VALUE&amp;DB=129&amp;ID1=20714230&amp;VALUEID=02001&amp;SDATE=200503&amp;PERIODTYPE=QTR_STD&amp;SCFT=3&amp;window=popup_no_bar&amp;width=385&amp;height=120&amp;START_MAXIMIZED=FALSE&amp;creator=factset&amp;display_string=Audit"}</definedName>
    <definedName name="_4353__FDSAUDITLINK__" localSheetId="7" hidden="1">{"fdsup://Directions/FactSet Auditing Viewer?action=AUDIT_VALUE&amp;DB=129&amp;ID1=20714230&amp;VALUEID=02001&amp;SDATE=200502&amp;PERIODTYPE=QTR_STD&amp;SCFT=3&amp;window=popup_no_bar&amp;width=385&amp;height=120&amp;START_MAXIMIZED=FALSE&amp;creator=factset&amp;display_string=Audit"}</definedName>
    <definedName name="_4353__FDSAUDITLINK__" hidden="1">{"fdsup://Directions/FactSet Auditing Viewer?action=AUDIT_VALUE&amp;DB=129&amp;ID1=20714230&amp;VALUEID=02001&amp;SDATE=200502&amp;PERIODTYPE=QTR_STD&amp;SCFT=3&amp;window=popup_no_bar&amp;width=385&amp;height=120&amp;START_MAXIMIZED=FALSE&amp;creator=factset&amp;display_string=Audit"}</definedName>
    <definedName name="_4354__FDSAUDITLINK__" localSheetId="7" hidden="1">{"fdsup://Directions/FactSet Auditing Viewer?action=AUDIT_VALUE&amp;DB=129&amp;ID1=20714230&amp;VALUEID=02001&amp;SDATE=200502&amp;PERIODTYPE=QTR_STD&amp;SCFT=3&amp;window=popup_no_bar&amp;width=385&amp;height=120&amp;START_MAXIMIZED=FALSE&amp;creator=factset&amp;display_string=Audit"}</definedName>
    <definedName name="_4354__FDSAUDITLINK__" hidden="1">{"fdsup://Directions/FactSet Auditing Viewer?action=AUDIT_VALUE&amp;DB=129&amp;ID1=20714230&amp;VALUEID=02001&amp;SDATE=200502&amp;PERIODTYPE=QTR_STD&amp;SCFT=3&amp;window=popup_no_bar&amp;width=385&amp;height=120&amp;START_MAXIMIZED=FALSE&amp;creator=factset&amp;display_string=Audit"}</definedName>
    <definedName name="_4355__FDSAUDITLINK__" localSheetId="7" hidden="1">{"fdsup://Directions/FactSet Auditing Viewer?action=AUDIT_VALUE&amp;DB=129&amp;ID1=20714230&amp;VALUEID=02001&amp;SDATE=200501&amp;PERIODTYPE=QTR_STD&amp;SCFT=3&amp;window=popup_no_bar&amp;width=385&amp;height=120&amp;START_MAXIMIZED=FALSE&amp;creator=factset&amp;display_string=Audit"}</definedName>
    <definedName name="_4355__FDSAUDITLINK__" hidden="1">{"fdsup://Directions/FactSet Auditing Viewer?action=AUDIT_VALUE&amp;DB=129&amp;ID1=20714230&amp;VALUEID=02001&amp;SDATE=200501&amp;PERIODTYPE=QTR_STD&amp;SCFT=3&amp;window=popup_no_bar&amp;width=385&amp;height=120&amp;START_MAXIMIZED=FALSE&amp;creator=factset&amp;display_string=Audit"}</definedName>
    <definedName name="_4356__FDSAUDITLINK__" localSheetId="7" hidden="1">{"fdsup://Directions/FactSet Auditing Viewer?action=AUDIT_VALUE&amp;DB=129&amp;ID1=20714230&amp;VALUEID=02001&amp;SDATE=200501&amp;PERIODTYPE=QTR_STD&amp;SCFT=3&amp;window=popup_no_bar&amp;width=385&amp;height=120&amp;START_MAXIMIZED=FALSE&amp;creator=factset&amp;display_string=Audit"}</definedName>
    <definedName name="_4356__FDSAUDITLINK__" hidden="1">{"fdsup://Directions/FactSet Auditing Viewer?action=AUDIT_VALUE&amp;DB=129&amp;ID1=20714230&amp;VALUEID=02001&amp;SDATE=200501&amp;PERIODTYPE=QTR_STD&amp;SCFT=3&amp;window=popup_no_bar&amp;width=385&amp;height=120&amp;START_MAXIMIZED=FALSE&amp;creator=factset&amp;display_string=Audit"}</definedName>
    <definedName name="_4357__FDSAUDITLINK__" localSheetId="7" hidden="1">{"fdsup://Directions/FactSet Auditing Viewer?action=AUDIT_VALUE&amp;DB=129&amp;ID1=20714230&amp;VALUEID=02001&amp;SDATE=200403&amp;PERIODTYPE=QTR_STD&amp;SCFT=3&amp;window=popup_no_bar&amp;width=385&amp;height=120&amp;START_MAXIMIZED=FALSE&amp;creator=factset&amp;display_string=Audit"}</definedName>
    <definedName name="_4357__FDSAUDITLINK__" hidden="1">{"fdsup://Directions/FactSet Auditing Viewer?action=AUDIT_VALUE&amp;DB=129&amp;ID1=20714230&amp;VALUEID=02001&amp;SDATE=200403&amp;PERIODTYPE=QTR_STD&amp;SCFT=3&amp;window=popup_no_bar&amp;width=385&amp;height=120&amp;START_MAXIMIZED=FALSE&amp;creator=factset&amp;display_string=Audit"}</definedName>
    <definedName name="_4358__FDSAUDITLINK__" localSheetId="7" hidden="1">{"fdsup://Directions/FactSet Auditing Viewer?action=AUDIT_VALUE&amp;DB=129&amp;ID1=20714230&amp;VALUEID=02001&amp;SDATE=200403&amp;PERIODTYPE=QTR_STD&amp;SCFT=3&amp;window=popup_no_bar&amp;width=385&amp;height=120&amp;START_MAXIMIZED=FALSE&amp;creator=factset&amp;display_string=Audit"}</definedName>
    <definedName name="_4358__FDSAUDITLINK__" hidden="1">{"fdsup://Directions/FactSet Auditing Viewer?action=AUDIT_VALUE&amp;DB=129&amp;ID1=20714230&amp;VALUEID=02001&amp;SDATE=200403&amp;PERIODTYPE=QTR_STD&amp;SCFT=3&amp;window=popup_no_bar&amp;width=385&amp;height=120&amp;START_MAXIMIZED=FALSE&amp;creator=factset&amp;display_string=Audit"}</definedName>
    <definedName name="_4359__FDSAUDITLINK__" localSheetId="7" hidden="1">{"fdsup://Directions/FactSet Auditing Viewer?action=AUDIT_VALUE&amp;DB=129&amp;ID1=20714230&amp;VALUEID=02001&amp;SDATE=200402&amp;PERIODTYPE=QTR_STD&amp;SCFT=3&amp;window=popup_no_bar&amp;width=385&amp;height=120&amp;START_MAXIMIZED=FALSE&amp;creator=factset&amp;display_string=Audit"}</definedName>
    <definedName name="_4359__FDSAUDITLINK__" hidden="1">{"fdsup://Directions/FactSet Auditing Viewer?action=AUDIT_VALUE&amp;DB=129&amp;ID1=20714230&amp;VALUEID=02001&amp;SDATE=200402&amp;PERIODTYPE=QTR_STD&amp;SCFT=3&amp;window=popup_no_bar&amp;width=385&amp;height=120&amp;START_MAXIMIZED=FALSE&amp;creator=factset&amp;display_string=Audit"}</definedName>
    <definedName name="_436__FDSAUDITLINK__" localSheetId="7" hidden="1">{"fdsup://Directions/FactSet Auditing Viewer?action=AUDIT_VALUE&amp;DB=129&amp;ID1=03822210&amp;VALUEID=02001&amp;SDATE=201004&amp;PERIODTYPE=QTR_STD&amp;SCFT=3&amp;window=popup_no_bar&amp;width=385&amp;height=120&amp;START_MAXIMIZED=FALSE&amp;creator=factset&amp;display_string=Audit"}</definedName>
    <definedName name="_436__FDSAUDITLINK__" hidden="1">{"fdsup://Directions/FactSet Auditing Viewer?action=AUDIT_VALUE&amp;DB=129&amp;ID1=03822210&amp;VALUEID=02001&amp;SDATE=201004&amp;PERIODTYPE=QTR_STD&amp;SCFT=3&amp;window=popup_no_bar&amp;width=385&amp;height=120&amp;START_MAXIMIZED=FALSE&amp;creator=factset&amp;display_string=Audit"}</definedName>
    <definedName name="_4360__FDSAUDITLINK__" localSheetId="7" hidden="1">{"fdsup://Directions/FactSet Auditing Viewer?action=AUDIT_VALUE&amp;DB=129&amp;ID1=20714230&amp;VALUEID=02001&amp;SDATE=200402&amp;PERIODTYPE=QTR_STD&amp;SCFT=3&amp;window=popup_no_bar&amp;width=385&amp;height=120&amp;START_MAXIMIZED=FALSE&amp;creator=factset&amp;display_string=Audit"}</definedName>
    <definedName name="_4360__FDSAUDITLINK__" hidden="1">{"fdsup://Directions/FactSet Auditing Viewer?action=AUDIT_VALUE&amp;DB=129&amp;ID1=20714230&amp;VALUEID=02001&amp;SDATE=200402&amp;PERIODTYPE=QTR_STD&amp;SCFT=3&amp;window=popup_no_bar&amp;width=385&amp;height=120&amp;START_MAXIMIZED=FALSE&amp;creator=factset&amp;display_string=Audit"}</definedName>
    <definedName name="_4361__FDSAUDITLINK__" localSheetId="7" hidden="1">{"fdsup://Directions/FactSet Auditing Viewer?action=AUDIT_VALUE&amp;DB=129&amp;ID1=12738710&amp;VALUEID=02001&amp;SDATE=200801&amp;PERIODTYPE=QTR_STD&amp;SCFT=3&amp;window=popup_no_bar&amp;width=385&amp;height=120&amp;START_MAXIMIZED=FALSE&amp;creator=factset&amp;display_string=Audit"}</definedName>
    <definedName name="_4361__FDSAUDITLINK__" hidden="1">{"fdsup://Directions/FactSet Auditing Viewer?action=AUDIT_VALUE&amp;DB=129&amp;ID1=12738710&amp;VALUEID=02001&amp;SDATE=200801&amp;PERIODTYPE=QTR_STD&amp;SCFT=3&amp;window=popup_no_bar&amp;width=385&amp;height=120&amp;START_MAXIMIZED=FALSE&amp;creator=factset&amp;display_string=Audit"}</definedName>
    <definedName name="_4362__FDSAUDITLINK__" localSheetId="7" hidden="1">{"fdsup://Directions/FactSet Auditing Viewer?action=AUDIT_VALUE&amp;DB=129&amp;ID1=12738710&amp;VALUEID=02001&amp;SDATE=200801&amp;PERIODTYPE=QTR_STD&amp;SCFT=3&amp;window=popup_no_bar&amp;width=385&amp;height=120&amp;START_MAXIMIZED=FALSE&amp;creator=factset&amp;display_string=Audit"}</definedName>
    <definedName name="_4362__FDSAUDITLINK__" hidden="1">{"fdsup://Directions/FactSet Auditing Viewer?action=AUDIT_VALUE&amp;DB=129&amp;ID1=12738710&amp;VALUEID=02001&amp;SDATE=200801&amp;PERIODTYPE=QTR_STD&amp;SCFT=3&amp;window=popup_no_bar&amp;width=385&amp;height=120&amp;START_MAXIMIZED=FALSE&amp;creator=factset&amp;display_string=Audit"}</definedName>
    <definedName name="_4363__FDSAUDITLINK__" localSheetId="7" hidden="1">{"fdsup://Directions/FactSet Auditing Viewer?action=AUDIT_VALUE&amp;DB=129&amp;ID1=12738710&amp;VALUEID=02001&amp;SDATE=200703&amp;PERIODTYPE=QTR_STD&amp;SCFT=3&amp;window=popup_no_bar&amp;width=385&amp;height=120&amp;START_MAXIMIZED=FALSE&amp;creator=factset&amp;display_string=Audit"}</definedName>
    <definedName name="_4363__FDSAUDITLINK__" hidden="1">{"fdsup://Directions/FactSet Auditing Viewer?action=AUDIT_VALUE&amp;DB=129&amp;ID1=12738710&amp;VALUEID=02001&amp;SDATE=200703&amp;PERIODTYPE=QTR_STD&amp;SCFT=3&amp;window=popup_no_bar&amp;width=385&amp;height=120&amp;START_MAXIMIZED=FALSE&amp;creator=factset&amp;display_string=Audit"}</definedName>
    <definedName name="_4364__FDSAUDITLINK__" localSheetId="7" hidden="1">{"fdsup://Directions/FactSet Auditing Viewer?action=AUDIT_VALUE&amp;DB=129&amp;ID1=12738710&amp;VALUEID=02001&amp;SDATE=200703&amp;PERIODTYPE=QTR_STD&amp;SCFT=3&amp;window=popup_no_bar&amp;width=385&amp;height=120&amp;START_MAXIMIZED=FALSE&amp;creator=factset&amp;display_string=Audit"}</definedName>
    <definedName name="_4364__FDSAUDITLINK__" hidden="1">{"fdsup://Directions/FactSet Auditing Viewer?action=AUDIT_VALUE&amp;DB=129&amp;ID1=12738710&amp;VALUEID=02001&amp;SDATE=200703&amp;PERIODTYPE=QTR_STD&amp;SCFT=3&amp;window=popup_no_bar&amp;width=385&amp;height=120&amp;START_MAXIMIZED=FALSE&amp;creator=factset&amp;display_string=Audit"}</definedName>
    <definedName name="_4365__FDSAUDITLINK__" localSheetId="7" hidden="1">{"fdsup://Directions/FactSet Auditing Viewer?action=AUDIT_VALUE&amp;DB=129&amp;ID1=12738710&amp;VALUEID=02001&amp;SDATE=200702&amp;PERIODTYPE=QTR_STD&amp;SCFT=3&amp;window=popup_no_bar&amp;width=385&amp;height=120&amp;START_MAXIMIZED=FALSE&amp;creator=factset&amp;display_string=Audit"}</definedName>
    <definedName name="_4365__FDSAUDITLINK__" hidden="1">{"fdsup://Directions/FactSet Auditing Viewer?action=AUDIT_VALUE&amp;DB=129&amp;ID1=12738710&amp;VALUEID=02001&amp;SDATE=200702&amp;PERIODTYPE=QTR_STD&amp;SCFT=3&amp;window=popup_no_bar&amp;width=385&amp;height=120&amp;START_MAXIMIZED=FALSE&amp;creator=factset&amp;display_string=Audit"}</definedName>
    <definedName name="_4366__FDSAUDITLINK__" localSheetId="7" hidden="1">{"fdsup://Directions/FactSet Auditing Viewer?action=AUDIT_VALUE&amp;DB=129&amp;ID1=12738710&amp;VALUEID=02001&amp;SDATE=200702&amp;PERIODTYPE=QTR_STD&amp;SCFT=3&amp;window=popup_no_bar&amp;width=385&amp;height=120&amp;START_MAXIMIZED=FALSE&amp;creator=factset&amp;display_string=Audit"}</definedName>
    <definedName name="_4366__FDSAUDITLINK__" hidden="1">{"fdsup://Directions/FactSet Auditing Viewer?action=AUDIT_VALUE&amp;DB=129&amp;ID1=12738710&amp;VALUEID=02001&amp;SDATE=200702&amp;PERIODTYPE=QTR_STD&amp;SCFT=3&amp;window=popup_no_bar&amp;width=385&amp;height=120&amp;START_MAXIMIZED=FALSE&amp;creator=factset&amp;display_string=Audit"}</definedName>
    <definedName name="_4367__FDSAUDITLINK__" localSheetId="7" hidden="1">{"fdsup://Directions/FactSet Auditing Viewer?action=AUDIT_VALUE&amp;DB=129&amp;ID1=12738710&amp;VALUEID=02001&amp;SDATE=200701&amp;PERIODTYPE=QTR_STD&amp;SCFT=3&amp;window=popup_no_bar&amp;width=385&amp;height=120&amp;START_MAXIMIZED=FALSE&amp;creator=factset&amp;display_string=Audit"}</definedName>
    <definedName name="_4367__FDSAUDITLINK__" hidden="1">{"fdsup://Directions/FactSet Auditing Viewer?action=AUDIT_VALUE&amp;DB=129&amp;ID1=12738710&amp;VALUEID=02001&amp;SDATE=200701&amp;PERIODTYPE=QTR_STD&amp;SCFT=3&amp;window=popup_no_bar&amp;width=385&amp;height=120&amp;START_MAXIMIZED=FALSE&amp;creator=factset&amp;display_string=Audit"}</definedName>
    <definedName name="_4368__FDSAUDITLINK__" localSheetId="7" hidden="1">{"fdsup://Directions/FactSet Auditing Viewer?action=AUDIT_VALUE&amp;DB=129&amp;ID1=12738710&amp;VALUEID=02001&amp;SDATE=200701&amp;PERIODTYPE=QTR_STD&amp;SCFT=3&amp;window=popup_no_bar&amp;width=385&amp;height=120&amp;START_MAXIMIZED=FALSE&amp;creator=factset&amp;display_string=Audit"}</definedName>
    <definedName name="_4368__FDSAUDITLINK__" hidden="1">{"fdsup://Directions/FactSet Auditing Viewer?action=AUDIT_VALUE&amp;DB=129&amp;ID1=12738710&amp;VALUEID=02001&amp;SDATE=200701&amp;PERIODTYPE=QTR_STD&amp;SCFT=3&amp;window=popup_no_bar&amp;width=385&amp;height=120&amp;START_MAXIMIZED=FALSE&amp;creator=factset&amp;display_string=Audit"}</definedName>
    <definedName name="_4369__FDSAUDITLINK__" localSheetId="7" hidden="1">{"fdsup://Directions/FactSet Auditing Viewer?action=AUDIT_VALUE&amp;DB=129&amp;ID1=12738710&amp;VALUEID=02001&amp;SDATE=200603&amp;PERIODTYPE=QTR_STD&amp;SCFT=3&amp;window=popup_no_bar&amp;width=385&amp;height=120&amp;START_MAXIMIZED=FALSE&amp;creator=factset&amp;display_string=Audit"}</definedName>
    <definedName name="_4369__FDSAUDITLINK__" hidden="1">{"fdsup://Directions/FactSet Auditing Viewer?action=AUDIT_VALUE&amp;DB=129&amp;ID1=12738710&amp;VALUEID=02001&amp;SDATE=200603&amp;PERIODTYPE=QTR_STD&amp;SCFT=3&amp;window=popup_no_bar&amp;width=385&amp;height=120&amp;START_MAXIMIZED=FALSE&amp;creator=factset&amp;display_string=Audit"}</definedName>
    <definedName name="_437__FDSAUDITLINK__" localSheetId="7" hidden="1">{"fdsup://Directions/FactSet Auditing Viewer?action=AUDIT_VALUE&amp;DB=129&amp;ID1=02144110&amp;VALUEID=02001&amp;SDATE=201003&amp;PERIODTYPE=QTR_STD&amp;SCFT=3&amp;window=popup_no_bar&amp;width=385&amp;height=120&amp;START_MAXIMIZED=FALSE&amp;creator=factset&amp;display_string=Audit"}</definedName>
    <definedName name="_437__FDSAUDITLINK__" hidden="1">{"fdsup://Directions/FactSet Auditing Viewer?action=AUDIT_VALUE&amp;DB=129&amp;ID1=02144110&amp;VALUEID=02001&amp;SDATE=201003&amp;PERIODTYPE=QTR_STD&amp;SCFT=3&amp;window=popup_no_bar&amp;width=385&amp;height=120&amp;START_MAXIMIZED=FALSE&amp;creator=factset&amp;display_string=Audit"}</definedName>
    <definedName name="_4370__FDSAUDITLINK__" localSheetId="7" hidden="1">{"fdsup://Directions/FactSet Auditing Viewer?action=AUDIT_VALUE&amp;DB=129&amp;ID1=12738710&amp;VALUEID=02001&amp;SDATE=200603&amp;PERIODTYPE=QTR_STD&amp;SCFT=3&amp;window=popup_no_bar&amp;width=385&amp;height=120&amp;START_MAXIMIZED=FALSE&amp;creator=factset&amp;display_string=Audit"}</definedName>
    <definedName name="_4370__FDSAUDITLINK__" hidden="1">{"fdsup://Directions/FactSet Auditing Viewer?action=AUDIT_VALUE&amp;DB=129&amp;ID1=12738710&amp;VALUEID=02001&amp;SDATE=200603&amp;PERIODTYPE=QTR_STD&amp;SCFT=3&amp;window=popup_no_bar&amp;width=385&amp;height=120&amp;START_MAXIMIZED=FALSE&amp;creator=factset&amp;display_string=Audit"}</definedName>
    <definedName name="_4371__FDSAUDITLINK__" localSheetId="7" hidden="1">{"fdsup://Directions/FactSet Auditing Viewer?action=AUDIT_VALUE&amp;DB=129&amp;ID1=12738710&amp;VALUEID=02001&amp;SDATE=200602&amp;PERIODTYPE=QTR_STD&amp;SCFT=3&amp;window=popup_no_bar&amp;width=385&amp;height=120&amp;START_MAXIMIZED=FALSE&amp;creator=factset&amp;display_string=Audit"}</definedName>
    <definedName name="_4371__FDSAUDITLINK__" hidden="1">{"fdsup://Directions/FactSet Auditing Viewer?action=AUDIT_VALUE&amp;DB=129&amp;ID1=12738710&amp;VALUEID=02001&amp;SDATE=200602&amp;PERIODTYPE=QTR_STD&amp;SCFT=3&amp;window=popup_no_bar&amp;width=385&amp;height=120&amp;START_MAXIMIZED=FALSE&amp;creator=factset&amp;display_string=Audit"}</definedName>
    <definedName name="_4372__FDSAUDITLINK__" localSheetId="7" hidden="1">{"fdsup://Directions/FactSet Auditing Viewer?action=AUDIT_VALUE&amp;DB=129&amp;ID1=12738710&amp;VALUEID=02001&amp;SDATE=200602&amp;PERIODTYPE=QTR_STD&amp;SCFT=3&amp;window=popup_no_bar&amp;width=385&amp;height=120&amp;START_MAXIMIZED=FALSE&amp;creator=factset&amp;display_string=Audit"}</definedName>
    <definedName name="_4372__FDSAUDITLINK__" hidden="1">{"fdsup://Directions/FactSet Auditing Viewer?action=AUDIT_VALUE&amp;DB=129&amp;ID1=12738710&amp;VALUEID=02001&amp;SDATE=200602&amp;PERIODTYPE=QTR_STD&amp;SCFT=3&amp;window=popup_no_bar&amp;width=385&amp;height=120&amp;START_MAXIMIZED=FALSE&amp;creator=factset&amp;display_string=Audit"}</definedName>
    <definedName name="_4373__FDSAUDITLINK__" localSheetId="7" hidden="1">{"fdsup://Directions/FactSet Auditing Viewer?action=AUDIT_VALUE&amp;DB=129&amp;ID1=12738710&amp;VALUEID=02001&amp;SDATE=200601&amp;PERIODTYPE=QTR_STD&amp;SCFT=3&amp;window=popup_no_bar&amp;width=385&amp;height=120&amp;START_MAXIMIZED=FALSE&amp;creator=factset&amp;display_string=Audit"}</definedName>
    <definedName name="_4373__FDSAUDITLINK__" hidden="1">{"fdsup://Directions/FactSet Auditing Viewer?action=AUDIT_VALUE&amp;DB=129&amp;ID1=12738710&amp;VALUEID=02001&amp;SDATE=200601&amp;PERIODTYPE=QTR_STD&amp;SCFT=3&amp;window=popup_no_bar&amp;width=385&amp;height=120&amp;START_MAXIMIZED=FALSE&amp;creator=factset&amp;display_string=Audit"}</definedName>
    <definedName name="_4374__FDSAUDITLINK__" localSheetId="7" hidden="1">{"fdsup://Directions/FactSet Auditing Viewer?action=AUDIT_VALUE&amp;DB=129&amp;ID1=12738710&amp;VALUEID=02001&amp;SDATE=200601&amp;PERIODTYPE=QTR_STD&amp;SCFT=3&amp;window=popup_no_bar&amp;width=385&amp;height=120&amp;START_MAXIMIZED=FALSE&amp;creator=factset&amp;display_string=Audit"}</definedName>
    <definedName name="_4374__FDSAUDITLINK__" hidden="1">{"fdsup://Directions/FactSet Auditing Viewer?action=AUDIT_VALUE&amp;DB=129&amp;ID1=12738710&amp;VALUEID=02001&amp;SDATE=200601&amp;PERIODTYPE=QTR_STD&amp;SCFT=3&amp;window=popup_no_bar&amp;width=385&amp;height=120&amp;START_MAXIMIZED=FALSE&amp;creator=factset&amp;display_string=Audit"}</definedName>
    <definedName name="_4375__FDSAUDITLINK__" localSheetId="7" hidden="1">{"fdsup://Directions/FactSet Auditing Viewer?action=AUDIT_VALUE&amp;DB=129&amp;ID1=12738710&amp;VALUEID=02001&amp;SDATE=200504&amp;PERIODTYPE=QTR_STD&amp;SCFT=3&amp;window=popup_no_bar&amp;width=385&amp;height=120&amp;START_MAXIMIZED=FALSE&amp;creator=factset&amp;display_string=Audit"}</definedName>
    <definedName name="_4375__FDSAUDITLINK__" hidden="1">{"fdsup://Directions/FactSet Auditing Viewer?action=AUDIT_VALUE&amp;DB=129&amp;ID1=12738710&amp;VALUEID=02001&amp;SDATE=200504&amp;PERIODTYPE=QTR_STD&amp;SCFT=3&amp;window=popup_no_bar&amp;width=385&amp;height=120&amp;START_MAXIMIZED=FALSE&amp;creator=factset&amp;display_string=Audit"}</definedName>
    <definedName name="_4376__FDSAUDITLINK__" localSheetId="7" hidden="1">{"fdsup://Directions/FactSet Auditing Viewer?action=AUDIT_VALUE&amp;DB=129&amp;ID1=12738710&amp;VALUEID=02001&amp;SDATE=200504&amp;PERIODTYPE=QTR_STD&amp;SCFT=3&amp;window=popup_no_bar&amp;width=385&amp;height=120&amp;START_MAXIMIZED=FALSE&amp;creator=factset&amp;display_string=Audit"}</definedName>
    <definedName name="_4376__FDSAUDITLINK__" hidden="1">{"fdsup://Directions/FactSet Auditing Viewer?action=AUDIT_VALUE&amp;DB=129&amp;ID1=12738710&amp;VALUEID=02001&amp;SDATE=200504&amp;PERIODTYPE=QTR_STD&amp;SCFT=3&amp;window=popup_no_bar&amp;width=385&amp;height=120&amp;START_MAXIMIZED=FALSE&amp;creator=factset&amp;display_string=Audit"}</definedName>
    <definedName name="_4377__FDSAUDITLINK__" localSheetId="7" hidden="1">{"fdsup://Directions/FactSet Auditing Viewer?action=AUDIT_VALUE&amp;DB=129&amp;ID1=12738710&amp;VALUEID=02001&amp;SDATE=200503&amp;PERIODTYPE=QTR_STD&amp;SCFT=3&amp;window=popup_no_bar&amp;width=385&amp;height=120&amp;START_MAXIMIZED=FALSE&amp;creator=factset&amp;display_string=Audit"}</definedName>
    <definedName name="_4377__FDSAUDITLINK__" hidden="1">{"fdsup://Directions/FactSet Auditing Viewer?action=AUDIT_VALUE&amp;DB=129&amp;ID1=12738710&amp;VALUEID=02001&amp;SDATE=200503&amp;PERIODTYPE=QTR_STD&amp;SCFT=3&amp;window=popup_no_bar&amp;width=385&amp;height=120&amp;START_MAXIMIZED=FALSE&amp;creator=factset&amp;display_string=Audit"}</definedName>
    <definedName name="_4378__FDSAUDITLINK__" localSheetId="7" hidden="1">{"fdsup://Directions/FactSet Auditing Viewer?action=AUDIT_VALUE&amp;DB=129&amp;ID1=12738710&amp;VALUEID=02001&amp;SDATE=200503&amp;PERIODTYPE=QTR_STD&amp;SCFT=3&amp;window=popup_no_bar&amp;width=385&amp;height=120&amp;START_MAXIMIZED=FALSE&amp;creator=factset&amp;display_string=Audit"}</definedName>
    <definedName name="_4378__FDSAUDITLINK__" hidden="1">{"fdsup://Directions/FactSet Auditing Viewer?action=AUDIT_VALUE&amp;DB=129&amp;ID1=12738710&amp;VALUEID=02001&amp;SDATE=200503&amp;PERIODTYPE=QTR_STD&amp;SCFT=3&amp;window=popup_no_bar&amp;width=385&amp;height=120&amp;START_MAXIMIZED=FALSE&amp;creator=factset&amp;display_string=Audit"}</definedName>
    <definedName name="_4379__FDSAUDITLINK__" localSheetId="7" hidden="1">{"fdsup://Directions/FactSet Auditing Viewer?action=AUDIT_VALUE&amp;DB=129&amp;ID1=12738710&amp;VALUEID=02001&amp;SDATE=200502&amp;PERIODTYPE=QTR_STD&amp;SCFT=3&amp;window=popup_no_bar&amp;width=385&amp;height=120&amp;START_MAXIMIZED=FALSE&amp;creator=factset&amp;display_string=Audit"}</definedName>
    <definedName name="_4379__FDSAUDITLINK__" hidden="1">{"fdsup://Directions/FactSet Auditing Viewer?action=AUDIT_VALUE&amp;DB=129&amp;ID1=12738710&amp;VALUEID=02001&amp;SDATE=200502&amp;PERIODTYPE=QTR_STD&amp;SCFT=3&amp;window=popup_no_bar&amp;width=385&amp;height=120&amp;START_MAXIMIZED=FALSE&amp;creator=factset&amp;display_string=Audit"}</definedName>
    <definedName name="_438__FDSAUDITLINK__" localSheetId="7" hidden="1">{"fdsup://Directions/FactSet Auditing Viewer?action=AUDIT_VALUE&amp;DB=129&amp;ID1=02144110&amp;VALUEID=02001&amp;SDATE=201003&amp;PERIODTYPE=QTR_STD&amp;SCFT=3&amp;window=popup_no_bar&amp;width=385&amp;height=120&amp;START_MAXIMIZED=FALSE&amp;creator=factset&amp;display_string=Audit"}</definedName>
    <definedName name="_438__FDSAUDITLINK__" hidden="1">{"fdsup://Directions/FactSet Auditing Viewer?action=AUDIT_VALUE&amp;DB=129&amp;ID1=02144110&amp;VALUEID=02001&amp;SDATE=201003&amp;PERIODTYPE=QTR_STD&amp;SCFT=3&amp;window=popup_no_bar&amp;width=385&amp;height=120&amp;START_MAXIMIZED=FALSE&amp;creator=factset&amp;display_string=Audit"}</definedName>
    <definedName name="_4380__FDSAUDITLINK__" localSheetId="7" hidden="1">{"fdsup://Directions/FactSet Auditing Viewer?action=AUDIT_VALUE&amp;DB=129&amp;ID1=12738710&amp;VALUEID=02001&amp;SDATE=200502&amp;PERIODTYPE=QTR_STD&amp;SCFT=3&amp;window=popup_no_bar&amp;width=385&amp;height=120&amp;START_MAXIMIZED=FALSE&amp;creator=factset&amp;display_string=Audit"}</definedName>
    <definedName name="_4380__FDSAUDITLINK__" hidden="1">{"fdsup://Directions/FactSet Auditing Viewer?action=AUDIT_VALUE&amp;DB=129&amp;ID1=12738710&amp;VALUEID=02001&amp;SDATE=200502&amp;PERIODTYPE=QTR_STD&amp;SCFT=3&amp;window=popup_no_bar&amp;width=385&amp;height=120&amp;START_MAXIMIZED=FALSE&amp;creator=factset&amp;display_string=Audit"}</definedName>
    <definedName name="_4381__FDSAUDITLINK__" localSheetId="7" hidden="1">{"fdsup://Directions/FactSet Auditing Viewer?action=AUDIT_VALUE&amp;DB=129&amp;ID1=12738710&amp;VALUEID=02001&amp;SDATE=200501&amp;PERIODTYPE=QTR_STD&amp;SCFT=3&amp;window=popup_no_bar&amp;width=385&amp;height=120&amp;START_MAXIMIZED=FALSE&amp;creator=factset&amp;display_string=Audit"}</definedName>
    <definedName name="_4381__FDSAUDITLINK__" hidden="1">{"fdsup://Directions/FactSet Auditing Viewer?action=AUDIT_VALUE&amp;DB=129&amp;ID1=12738710&amp;VALUEID=02001&amp;SDATE=200501&amp;PERIODTYPE=QTR_STD&amp;SCFT=3&amp;window=popup_no_bar&amp;width=385&amp;height=120&amp;START_MAXIMIZED=FALSE&amp;creator=factset&amp;display_string=Audit"}</definedName>
    <definedName name="_4382__FDSAUDITLINK__" localSheetId="7" hidden="1">{"fdsup://Directions/FactSet Auditing Viewer?action=AUDIT_VALUE&amp;DB=129&amp;ID1=12738710&amp;VALUEID=02001&amp;SDATE=200501&amp;PERIODTYPE=QTR_STD&amp;SCFT=3&amp;window=popup_no_bar&amp;width=385&amp;height=120&amp;START_MAXIMIZED=FALSE&amp;creator=factset&amp;display_string=Audit"}</definedName>
    <definedName name="_4382__FDSAUDITLINK__" hidden="1">{"fdsup://Directions/FactSet Auditing Viewer?action=AUDIT_VALUE&amp;DB=129&amp;ID1=12738710&amp;VALUEID=02001&amp;SDATE=200501&amp;PERIODTYPE=QTR_STD&amp;SCFT=3&amp;window=popup_no_bar&amp;width=385&amp;height=120&amp;START_MAXIMIZED=FALSE&amp;creator=factset&amp;display_string=Audit"}</definedName>
    <definedName name="_4383__FDSAUDITLINK__" localSheetId="7" hidden="1">{"fdsup://Directions/FactSet Auditing Viewer?action=AUDIT_VALUE&amp;DB=129&amp;ID1=12738710&amp;VALUEID=02001&amp;SDATE=200403&amp;PERIODTYPE=QTR_STD&amp;SCFT=3&amp;window=popup_no_bar&amp;width=385&amp;height=120&amp;START_MAXIMIZED=FALSE&amp;creator=factset&amp;display_string=Audit"}</definedName>
    <definedName name="_4383__FDSAUDITLINK__" hidden="1">{"fdsup://Directions/FactSet Auditing Viewer?action=AUDIT_VALUE&amp;DB=129&amp;ID1=12738710&amp;VALUEID=02001&amp;SDATE=200403&amp;PERIODTYPE=QTR_STD&amp;SCFT=3&amp;window=popup_no_bar&amp;width=385&amp;height=120&amp;START_MAXIMIZED=FALSE&amp;creator=factset&amp;display_string=Audit"}</definedName>
    <definedName name="_4384__FDSAUDITLINK__" localSheetId="7" hidden="1">{"fdsup://Directions/FactSet Auditing Viewer?action=AUDIT_VALUE&amp;DB=129&amp;ID1=12738710&amp;VALUEID=02001&amp;SDATE=200403&amp;PERIODTYPE=QTR_STD&amp;SCFT=3&amp;window=popup_no_bar&amp;width=385&amp;height=120&amp;START_MAXIMIZED=FALSE&amp;creator=factset&amp;display_string=Audit"}</definedName>
    <definedName name="_4384__FDSAUDITLINK__" hidden="1">{"fdsup://Directions/FactSet Auditing Viewer?action=AUDIT_VALUE&amp;DB=129&amp;ID1=12738710&amp;VALUEID=02001&amp;SDATE=200403&amp;PERIODTYPE=QTR_STD&amp;SCFT=3&amp;window=popup_no_bar&amp;width=385&amp;height=120&amp;START_MAXIMIZED=FALSE&amp;creator=factset&amp;display_string=Audit"}</definedName>
    <definedName name="_4385__FDSAUDITLINK__" localSheetId="7" hidden="1">{"fdsup://Directions/FactSet Auditing Viewer?action=AUDIT_VALUE&amp;DB=129&amp;ID1=12738710&amp;VALUEID=02001&amp;SDATE=200402&amp;PERIODTYPE=QTR_STD&amp;SCFT=3&amp;window=popup_no_bar&amp;width=385&amp;height=120&amp;START_MAXIMIZED=FALSE&amp;creator=factset&amp;display_string=Audit"}</definedName>
    <definedName name="_4385__FDSAUDITLINK__" hidden="1">{"fdsup://Directions/FactSet Auditing Viewer?action=AUDIT_VALUE&amp;DB=129&amp;ID1=12738710&amp;VALUEID=02001&amp;SDATE=200402&amp;PERIODTYPE=QTR_STD&amp;SCFT=3&amp;window=popup_no_bar&amp;width=385&amp;height=120&amp;START_MAXIMIZED=FALSE&amp;creator=factset&amp;display_string=Audit"}</definedName>
    <definedName name="_4386__FDSAUDITLINK__" localSheetId="7" hidden="1">{"fdsup://Directions/FactSet Auditing Viewer?action=AUDIT_VALUE&amp;DB=129&amp;ID1=12738710&amp;VALUEID=02001&amp;SDATE=200402&amp;PERIODTYPE=QTR_STD&amp;SCFT=3&amp;window=popup_no_bar&amp;width=385&amp;height=120&amp;START_MAXIMIZED=FALSE&amp;creator=factset&amp;display_string=Audit"}</definedName>
    <definedName name="_4386__FDSAUDITLINK__" hidden="1">{"fdsup://Directions/FactSet Auditing Viewer?action=AUDIT_VALUE&amp;DB=129&amp;ID1=12738710&amp;VALUEID=02001&amp;SDATE=200402&amp;PERIODTYPE=QTR_STD&amp;SCFT=3&amp;window=popup_no_bar&amp;width=385&amp;height=120&amp;START_MAXIMIZED=FALSE&amp;creator=factset&amp;display_string=Audit"}</definedName>
    <definedName name="_4387__FDSAUDITLINK__" localSheetId="7" hidden="1">{"fdsup://Directions/FactSet Auditing Viewer?action=AUDIT_VALUE&amp;DB=129&amp;ID1=12738710&amp;VALUEID=02001&amp;SDATE=200401&amp;PERIODTYPE=QTR_STD&amp;SCFT=3&amp;window=popup_no_bar&amp;width=385&amp;height=120&amp;START_MAXIMIZED=FALSE&amp;creator=factset&amp;display_string=Audit"}</definedName>
    <definedName name="_4387__FDSAUDITLINK__" hidden="1">{"fdsup://Directions/FactSet Auditing Viewer?action=AUDIT_VALUE&amp;DB=129&amp;ID1=12738710&amp;VALUEID=02001&amp;SDATE=200401&amp;PERIODTYPE=QTR_STD&amp;SCFT=3&amp;window=popup_no_bar&amp;width=385&amp;height=120&amp;START_MAXIMIZED=FALSE&amp;creator=factset&amp;display_string=Audit"}</definedName>
    <definedName name="_4388__FDSAUDITLINK__" localSheetId="7" hidden="1">{"fdsup://Directions/FactSet Auditing Viewer?action=AUDIT_VALUE&amp;DB=129&amp;ID1=12738710&amp;VALUEID=02001&amp;SDATE=200401&amp;PERIODTYPE=QTR_STD&amp;SCFT=3&amp;window=popup_no_bar&amp;width=385&amp;height=120&amp;START_MAXIMIZED=FALSE&amp;creator=factset&amp;display_string=Audit"}</definedName>
    <definedName name="_4388__FDSAUDITLINK__" hidden="1">{"fdsup://Directions/FactSet Auditing Viewer?action=AUDIT_VALUE&amp;DB=129&amp;ID1=12738710&amp;VALUEID=02001&amp;SDATE=200401&amp;PERIODTYPE=QTR_STD&amp;SCFT=3&amp;window=popup_no_bar&amp;width=385&amp;height=120&amp;START_MAXIMIZED=FALSE&amp;creator=factset&amp;display_string=Audit"}</definedName>
    <definedName name="_4389__FDSAUDITLINK__" localSheetId="7" hidden="1">{"fdsup://Directions/FactSet Auditing Viewer?action=AUDIT_VALUE&amp;DB=129&amp;ID1=14964U10&amp;VALUEID=02001&amp;SDATE=200801&amp;PERIODTYPE=QTR_STD&amp;SCFT=3&amp;window=popup_no_bar&amp;width=385&amp;height=120&amp;START_MAXIMIZED=FALSE&amp;creator=factset&amp;display_string=Audit"}</definedName>
    <definedName name="_4389__FDSAUDITLINK__" hidden="1">{"fdsup://Directions/FactSet Auditing Viewer?action=AUDIT_VALUE&amp;DB=129&amp;ID1=14964U10&amp;VALUEID=02001&amp;SDATE=200801&amp;PERIODTYPE=QTR_STD&amp;SCFT=3&amp;window=popup_no_bar&amp;width=385&amp;height=120&amp;START_MAXIMIZED=FALSE&amp;creator=factset&amp;display_string=Audit"}</definedName>
    <definedName name="_439__FDSAUDITLINK__" localSheetId="7" hidden="1">{"fdsup://Directions/FactSet Auditing Viewer?action=AUDIT_VALUE&amp;DB=129&amp;ID1=03265410&amp;VALUEID=02001&amp;SDATE=201004&amp;PERIODTYPE=QTR_STD&amp;SCFT=3&amp;window=popup_no_bar&amp;width=385&amp;height=120&amp;START_MAXIMIZED=FALSE&amp;creator=factset&amp;display_string=Audit"}</definedName>
    <definedName name="_439__FDSAUDITLINK__" hidden="1">{"fdsup://Directions/FactSet Auditing Viewer?action=AUDIT_VALUE&amp;DB=129&amp;ID1=03265410&amp;VALUEID=02001&amp;SDATE=201004&amp;PERIODTYPE=QTR_STD&amp;SCFT=3&amp;window=popup_no_bar&amp;width=385&amp;height=120&amp;START_MAXIMIZED=FALSE&amp;creator=factset&amp;display_string=Audit"}</definedName>
    <definedName name="_4390__FDSAUDITLINK__" localSheetId="7" hidden="1">{"fdsup://Directions/FactSet Auditing Viewer?action=AUDIT_VALUE&amp;DB=129&amp;ID1=14964U10&amp;VALUEID=02001&amp;SDATE=200801&amp;PERIODTYPE=QTR_STD&amp;SCFT=3&amp;window=popup_no_bar&amp;width=385&amp;height=120&amp;START_MAXIMIZED=FALSE&amp;creator=factset&amp;display_string=Audit"}</definedName>
    <definedName name="_4390__FDSAUDITLINK__" hidden="1">{"fdsup://Directions/FactSet Auditing Viewer?action=AUDIT_VALUE&amp;DB=129&amp;ID1=14964U10&amp;VALUEID=02001&amp;SDATE=200801&amp;PERIODTYPE=QTR_STD&amp;SCFT=3&amp;window=popup_no_bar&amp;width=385&amp;height=120&amp;START_MAXIMIZED=FALSE&amp;creator=factset&amp;display_string=Audit"}</definedName>
    <definedName name="_4391__FDSAUDITLINK__" localSheetId="7" hidden="1">{"fdsup://Directions/FactSet Auditing Viewer?action=AUDIT_VALUE&amp;DB=129&amp;ID1=14964U10&amp;VALUEID=02001&amp;SDATE=200703&amp;PERIODTYPE=QTR_STD&amp;SCFT=3&amp;window=popup_no_bar&amp;width=385&amp;height=120&amp;START_MAXIMIZED=FALSE&amp;creator=factset&amp;display_string=Audit"}</definedName>
    <definedName name="_4391__FDSAUDITLINK__" hidden="1">{"fdsup://Directions/FactSet Auditing Viewer?action=AUDIT_VALUE&amp;DB=129&amp;ID1=14964U10&amp;VALUEID=02001&amp;SDATE=200703&amp;PERIODTYPE=QTR_STD&amp;SCFT=3&amp;window=popup_no_bar&amp;width=385&amp;height=120&amp;START_MAXIMIZED=FALSE&amp;creator=factset&amp;display_string=Audit"}</definedName>
    <definedName name="_4392__FDSAUDITLINK__" localSheetId="7" hidden="1">{"fdsup://Directions/FactSet Auditing Viewer?action=AUDIT_VALUE&amp;DB=129&amp;ID1=14964U10&amp;VALUEID=02001&amp;SDATE=200703&amp;PERIODTYPE=QTR_STD&amp;SCFT=3&amp;window=popup_no_bar&amp;width=385&amp;height=120&amp;START_MAXIMIZED=FALSE&amp;creator=factset&amp;display_string=Audit"}</definedName>
    <definedName name="_4392__FDSAUDITLINK__" hidden="1">{"fdsup://Directions/FactSet Auditing Viewer?action=AUDIT_VALUE&amp;DB=129&amp;ID1=14964U10&amp;VALUEID=02001&amp;SDATE=200703&amp;PERIODTYPE=QTR_STD&amp;SCFT=3&amp;window=popup_no_bar&amp;width=385&amp;height=120&amp;START_MAXIMIZED=FALSE&amp;creator=factset&amp;display_string=Audit"}</definedName>
    <definedName name="_4393__FDSAUDITLINK__" localSheetId="7" hidden="1">{"fdsup://Directions/FactSet Auditing Viewer?action=AUDIT_VALUE&amp;DB=129&amp;ID1=14964U10&amp;VALUEID=02001&amp;SDATE=200702&amp;PERIODTYPE=QTR_STD&amp;SCFT=3&amp;window=popup_no_bar&amp;width=385&amp;height=120&amp;START_MAXIMIZED=FALSE&amp;creator=factset&amp;display_string=Audit"}</definedName>
    <definedName name="_4393__FDSAUDITLINK__" hidden="1">{"fdsup://Directions/FactSet Auditing Viewer?action=AUDIT_VALUE&amp;DB=129&amp;ID1=14964U10&amp;VALUEID=02001&amp;SDATE=200702&amp;PERIODTYPE=QTR_STD&amp;SCFT=3&amp;window=popup_no_bar&amp;width=385&amp;height=120&amp;START_MAXIMIZED=FALSE&amp;creator=factset&amp;display_string=Audit"}</definedName>
    <definedName name="_4394__FDSAUDITLINK__" localSheetId="7" hidden="1">{"fdsup://Directions/FactSet Auditing Viewer?action=AUDIT_VALUE&amp;DB=129&amp;ID1=14964U10&amp;VALUEID=02001&amp;SDATE=200702&amp;PERIODTYPE=QTR_STD&amp;SCFT=3&amp;window=popup_no_bar&amp;width=385&amp;height=120&amp;START_MAXIMIZED=FALSE&amp;creator=factset&amp;display_string=Audit"}</definedName>
    <definedName name="_4394__FDSAUDITLINK__" hidden="1">{"fdsup://Directions/FactSet Auditing Viewer?action=AUDIT_VALUE&amp;DB=129&amp;ID1=14964U10&amp;VALUEID=02001&amp;SDATE=200702&amp;PERIODTYPE=QTR_STD&amp;SCFT=3&amp;window=popup_no_bar&amp;width=385&amp;height=120&amp;START_MAXIMIZED=FALSE&amp;creator=factset&amp;display_string=Audit"}</definedName>
    <definedName name="_4395__FDSAUDITLINK__" localSheetId="7" hidden="1">{"fdsup://Directions/FactSet Auditing Viewer?action=AUDIT_VALUE&amp;DB=129&amp;ID1=11162130&amp;VALUEID=02001&amp;SDATE=200802&amp;PERIODTYPE=QTR_STD&amp;SCFT=3&amp;window=popup_no_bar&amp;width=385&amp;height=120&amp;START_MAXIMIZED=FALSE&amp;creator=factset&amp;display_string=Audit"}</definedName>
    <definedName name="_4395__FDSAUDITLINK__" hidden="1">{"fdsup://Directions/FactSet Auditing Viewer?action=AUDIT_VALUE&amp;DB=129&amp;ID1=11162130&amp;VALUEID=02001&amp;SDATE=200802&amp;PERIODTYPE=QTR_STD&amp;SCFT=3&amp;window=popup_no_bar&amp;width=385&amp;height=120&amp;START_MAXIMIZED=FALSE&amp;creator=factset&amp;display_string=Audit"}</definedName>
    <definedName name="_4396__FDSAUDITLINK__" localSheetId="7" hidden="1">{"fdsup://Directions/FactSet Auditing Viewer?action=AUDIT_VALUE&amp;DB=129&amp;ID1=11162130&amp;VALUEID=02001&amp;SDATE=200802&amp;PERIODTYPE=QTR_STD&amp;SCFT=3&amp;window=popup_no_bar&amp;width=385&amp;height=120&amp;START_MAXIMIZED=FALSE&amp;creator=factset&amp;display_string=Audit"}</definedName>
    <definedName name="_4396__FDSAUDITLINK__" hidden="1">{"fdsup://Directions/FactSet Auditing Viewer?action=AUDIT_VALUE&amp;DB=129&amp;ID1=11162130&amp;VALUEID=02001&amp;SDATE=200802&amp;PERIODTYPE=QTR_STD&amp;SCFT=3&amp;window=popup_no_bar&amp;width=385&amp;height=120&amp;START_MAXIMIZED=FALSE&amp;creator=factset&amp;display_string=Audit"}</definedName>
    <definedName name="_4397__FDSAUDITLINK__" localSheetId="7" hidden="1">{"fdsup://Directions/FactSet Auditing Viewer?action=AUDIT_VALUE&amp;DB=129&amp;ID1=11162130&amp;VALUEID=02001&amp;SDATE=200801&amp;PERIODTYPE=QTR_STD&amp;SCFT=3&amp;window=popup_no_bar&amp;width=385&amp;height=120&amp;START_MAXIMIZED=FALSE&amp;creator=factset&amp;display_string=Audit"}</definedName>
    <definedName name="_4397__FDSAUDITLINK__" hidden="1">{"fdsup://Directions/FactSet Auditing Viewer?action=AUDIT_VALUE&amp;DB=129&amp;ID1=11162130&amp;VALUEID=02001&amp;SDATE=200801&amp;PERIODTYPE=QTR_STD&amp;SCFT=3&amp;window=popup_no_bar&amp;width=385&amp;height=120&amp;START_MAXIMIZED=FALSE&amp;creator=factset&amp;display_string=Audit"}</definedName>
    <definedName name="_4398__FDSAUDITLINK__" localSheetId="7" hidden="1">{"fdsup://Directions/FactSet Auditing Viewer?action=AUDIT_VALUE&amp;DB=129&amp;ID1=11162130&amp;VALUEID=02001&amp;SDATE=200801&amp;PERIODTYPE=QTR_STD&amp;SCFT=3&amp;window=popup_no_bar&amp;width=385&amp;height=120&amp;START_MAXIMIZED=FALSE&amp;creator=factset&amp;display_string=Audit"}</definedName>
    <definedName name="_4398__FDSAUDITLINK__" hidden="1">{"fdsup://Directions/FactSet Auditing Viewer?action=AUDIT_VALUE&amp;DB=129&amp;ID1=11162130&amp;VALUEID=02001&amp;SDATE=200801&amp;PERIODTYPE=QTR_STD&amp;SCFT=3&amp;window=popup_no_bar&amp;width=385&amp;height=120&amp;START_MAXIMIZED=FALSE&amp;creator=factset&amp;display_string=Audit"}</definedName>
    <definedName name="_4399__FDSAUDITLINK__" localSheetId="7" hidden="1">{"fdsup://Directions/FactSet Auditing Viewer?action=AUDIT_VALUE&amp;DB=129&amp;ID1=11162130&amp;VALUEID=02001&amp;SDATE=200703&amp;PERIODTYPE=QTR_STD&amp;SCFT=3&amp;window=popup_no_bar&amp;width=385&amp;height=120&amp;START_MAXIMIZED=FALSE&amp;creator=factset&amp;display_string=Audit"}</definedName>
    <definedName name="_4399__FDSAUDITLINK__" hidden="1">{"fdsup://Directions/FactSet Auditing Viewer?action=AUDIT_VALUE&amp;DB=129&amp;ID1=11162130&amp;VALUEID=02001&amp;SDATE=200703&amp;PERIODTYPE=QTR_STD&amp;SCFT=3&amp;window=popup_no_bar&amp;width=385&amp;height=120&amp;START_MAXIMIZED=FALSE&amp;creator=factset&amp;display_string=Audit"}</definedName>
    <definedName name="_44__FDSAUDITLINK__" localSheetId="7" hidden="1">{"fdsup://Directions/FactSet Auditing Viewer?action=AUDIT_VALUE&amp;DB=129&amp;ID1=72581M30&amp;VALUEID=02001&amp;SDATE=201101&amp;PERIODTYPE=QTR_STD&amp;SCFT=3&amp;window=popup_no_bar&amp;width=385&amp;height=120&amp;START_MAXIMIZED=FALSE&amp;creator=factset&amp;display_string=Audit"}</definedName>
    <definedName name="_44__FDSAUDITLINK__" hidden="1">{"fdsup://Directions/FactSet Auditing Viewer?action=AUDIT_VALUE&amp;DB=129&amp;ID1=72581M30&amp;VALUEID=02001&amp;SDATE=201101&amp;PERIODTYPE=QTR_STD&amp;SCFT=3&amp;window=popup_no_bar&amp;width=385&amp;height=120&amp;START_MAXIMIZED=FALSE&amp;creator=factset&amp;display_string=Audit"}</definedName>
    <definedName name="_440__FDSAUDITLINK__" localSheetId="7" hidden="1">{"fdsup://Directions/FactSet Auditing Viewer?action=AUDIT_VALUE&amp;DB=129&amp;ID1=03265410&amp;VALUEID=02001&amp;SDATE=201004&amp;PERIODTYPE=QTR_STD&amp;SCFT=3&amp;window=popup_no_bar&amp;width=385&amp;height=120&amp;START_MAXIMIZED=FALSE&amp;creator=factset&amp;display_string=Audit"}</definedName>
    <definedName name="_440__FDSAUDITLINK__" hidden="1">{"fdsup://Directions/FactSet Auditing Viewer?action=AUDIT_VALUE&amp;DB=129&amp;ID1=03265410&amp;VALUEID=02001&amp;SDATE=201004&amp;PERIODTYPE=QTR_STD&amp;SCFT=3&amp;window=popup_no_bar&amp;width=385&amp;height=120&amp;START_MAXIMIZED=FALSE&amp;creator=factset&amp;display_string=Audit"}</definedName>
    <definedName name="_4400__FDSAUDITLINK__" localSheetId="7" hidden="1">{"fdsup://Directions/FactSet Auditing Viewer?action=AUDIT_VALUE&amp;DB=129&amp;ID1=11162130&amp;VALUEID=02001&amp;SDATE=200703&amp;PERIODTYPE=QTR_STD&amp;SCFT=3&amp;window=popup_no_bar&amp;width=385&amp;height=120&amp;START_MAXIMIZED=FALSE&amp;creator=factset&amp;display_string=Audit"}</definedName>
    <definedName name="_4400__FDSAUDITLINK__" hidden="1">{"fdsup://Directions/FactSet Auditing Viewer?action=AUDIT_VALUE&amp;DB=129&amp;ID1=11162130&amp;VALUEID=02001&amp;SDATE=200703&amp;PERIODTYPE=QTR_STD&amp;SCFT=3&amp;window=popup_no_bar&amp;width=385&amp;height=120&amp;START_MAXIMIZED=FALSE&amp;creator=factset&amp;display_string=Audit"}</definedName>
    <definedName name="_4401__FDSAUDITLINK__" localSheetId="7" hidden="1">{"fdsup://Directions/FactSet Auditing Viewer?action=AUDIT_VALUE&amp;DB=129&amp;ID1=11162130&amp;VALUEID=02001&amp;SDATE=200702&amp;PERIODTYPE=QTR_STD&amp;SCFT=3&amp;window=popup_no_bar&amp;width=385&amp;height=120&amp;START_MAXIMIZED=FALSE&amp;creator=factset&amp;display_string=Audit"}</definedName>
    <definedName name="_4401__FDSAUDITLINK__" hidden="1">{"fdsup://Directions/FactSet Auditing Viewer?action=AUDIT_VALUE&amp;DB=129&amp;ID1=11162130&amp;VALUEID=02001&amp;SDATE=200702&amp;PERIODTYPE=QTR_STD&amp;SCFT=3&amp;window=popup_no_bar&amp;width=385&amp;height=120&amp;START_MAXIMIZED=FALSE&amp;creator=factset&amp;display_string=Audit"}</definedName>
    <definedName name="_4402__FDSAUDITLINK__" localSheetId="7" hidden="1">{"fdsup://Directions/FactSet Auditing Viewer?action=AUDIT_VALUE&amp;DB=129&amp;ID1=11162130&amp;VALUEID=02001&amp;SDATE=200702&amp;PERIODTYPE=QTR_STD&amp;SCFT=3&amp;window=popup_no_bar&amp;width=385&amp;height=120&amp;START_MAXIMIZED=FALSE&amp;creator=factset&amp;display_string=Audit"}</definedName>
    <definedName name="_4402__FDSAUDITLINK__" hidden="1">{"fdsup://Directions/FactSet Auditing Viewer?action=AUDIT_VALUE&amp;DB=129&amp;ID1=11162130&amp;VALUEID=02001&amp;SDATE=200702&amp;PERIODTYPE=QTR_STD&amp;SCFT=3&amp;window=popup_no_bar&amp;width=385&amp;height=120&amp;START_MAXIMIZED=FALSE&amp;creator=factset&amp;display_string=Audit"}</definedName>
    <definedName name="_4403__FDSAUDITLINK__" localSheetId="7" hidden="1">{"fdsup://Directions/FactSet Auditing Viewer?action=AUDIT_VALUE&amp;DB=129&amp;ID1=11162130&amp;VALUEID=02001&amp;SDATE=200701&amp;PERIODTYPE=QTR_STD&amp;SCFT=3&amp;window=popup_no_bar&amp;width=385&amp;height=120&amp;START_MAXIMIZED=FALSE&amp;creator=factset&amp;display_string=Audit"}</definedName>
    <definedName name="_4403__FDSAUDITLINK__" hidden="1">{"fdsup://Directions/FactSet Auditing Viewer?action=AUDIT_VALUE&amp;DB=129&amp;ID1=11162130&amp;VALUEID=02001&amp;SDATE=200701&amp;PERIODTYPE=QTR_STD&amp;SCFT=3&amp;window=popup_no_bar&amp;width=385&amp;height=120&amp;START_MAXIMIZED=FALSE&amp;creator=factset&amp;display_string=Audit"}</definedName>
    <definedName name="_4404__FDSAUDITLINK__" localSheetId="7" hidden="1">{"fdsup://Directions/FactSet Auditing Viewer?action=AUDIT_VALUE&amp;DB=129&amp;ID1=11162130&amp;VALUEID=02001&amp;SDATE=200701&amp;PERIODTYPE=QTR_STD&amp;SCFT=3&amp;window=popup_no_bar&amp;width=385&amp;height=120&amp;START_MAXIMIZED=FALSE&amp;creator=factset&amp;display_string=Audit"}</definedName>
    <definedName name="_4404__FDSAUDITLINK__" hidden="1">{"fdsup://Directions/FactSet Auditing Viewer?action=AUDIT_VALUE&amp;DB=129&amp;ID1=11162130&amp;VALUEID=02001&amp;SDATE=200701&amp;PERIODTYPE=QTR_STD&amp;SCFT=3&amp;window=popup_no_bar&amp;width=385&amp;height=120&amp;START_MAXIMIZED=FALSE&amp;creator=factset&amp;display_string=Audit"}</definedName>
    <definedName name="_4405__FDSAUDITLINK__" localSheetId="7" hidden="1">{"fdsup://Directions/FactSet Auditing Viewer?action=AUDIT_VALUE&amp;DB=129&amp;ID1=11162130&amp;VALUEID=02001&amp;SDATE=200603&amp;PERIODTYPE=QTR_STD&amp;SCFT=3&amp;window=popup_no_bar&amp;width=385&amp;height=120&amp;START_MAXIMIZED=FALSE&amp;creator=factset&amp;display_string=Audit"}</definedName>
    <definedName name="_4405__FDSAUDITLINK__" hidden="1">{"fdsup://Directions/FactSet Auditing Viewer?action=AUDIT_VALUE&amp;DB=129&amp;ID1=11162130&amp;VALUEID=02001&amp;SDATE=200603&amp;PERIODTYPE=QTR_STD&amp;SCFT=3&amp;window=popup_no_bar&amp;width=385&amp;height=120&amp;START_MAXIMIZED=FALSE&amp;creator=factset&amp;display_string=Audit"}</definedName>
    <definedName name="_4406__FDSAUDITLINK__" localSheetId="7" hidden="1">{"fdsup://Directions/FactSet Auditing Viewer?action=AUDIT_VALUE&amp;DB=129&amp;ID1=11162130&amp;VALUEID=02001&amp;SDATE=200603&amp;PERIODTYPE=QTR_STD&amp;SCFT=3&amp;window=popup_no_bar&amp;width=385&amp;height=120&amp;START_MAXIMIZED=FALSE&amp;creator=factset&amp;display_string=Audit"}</definedName>
    <definedName name="_4406__FDSAUDITLINK__" hidden="1">{"fdsup://Directions/FactSet Auditing Viewer?action=AUDIT_VALUE&amp;DB=129&amp;ID1=11162130&amp;VALUEID=02001&amp;SDATE=200603&amp;PERIODTYPE=QTR_STD&amp;SCFT=3&amp;window=popup_no_bar&amp;width=385&amp;height=120&amp;START_MAXIMIZED=FALSE&amp;creator=factset&amp;display_string=Audit"}</definedName>
    <definedName name="_4407__FDSAUDITLINK__" localSheetId="7" hidden="1">{"fdsup://Directions/FactSet Auditing Viewer?action=AUDIT_VALUE&amp;DB=129&amp;ID1=11162130&amp;VALUEID=02001&amp;SDATE=200602&amp;PERIODTYPE=QTR_STD&amp;SCFT=3&amp;window=popup_no_bar&amp;width=385&amp;height=120&amp;START_MAXIMIZED=FALSE&amp;creator=factset&amp;display_string=Audit"}</definedName>
    <definedName name="_4407__FDSAUDITLINK__" hidden="1">{"fdsup://Directions/FactSet Auditing Viewer?action=AUDIT_VALUE&amp;DB=129&amp;ID1=11162130&amp;VALUEID=02001&amp;SDATE=200602&amp;PERIODTYPE=QTR_STD&amp;SCFT=3&amp;window=popup_no_bar&amp;width=385&amp;height=120&amp;START_MAXIMIZED=FALSE&amp;creator=factset&amp;display_string=Audit"}</definedName>
    <definedName name="_4408__FDSAUDITLINK__" localSheetId="7" hidden="1">{"fdsup://Directions/FactSet Auditing Viewer?action=AUDIT_VALUE&amp;DB=129&amp;ID1=11162130&amp;VALUEID=02001&amp;SDATE=200602&amp;PERIODTYPE=QTR_STD&amp;SCFT=3&amp;window=popup_no_bar&amp;width=385&amp;height=120&amp;START_MAXIMIZED=FALSE&amp;creator=factset&amp;display_string=Audit"}</definedName>
    <definedName name="_4408__FDSAUDITLINK__" hidden="1">{"fdsup://Directions/FactSet Auditing Viewer?action=AUDIT_VALUE&amp;DB=129&amp;ID1=11162130&amp;VALUEID=02001&amp;SDATE=200602&amp;PERIODTYPE=QTR_STD&amp;SCFT=3&amp;window=popup_no_bar&amp;width=385&amp;height=120&amp;START_MAXIMIZED=FALSE&amp;creator=factset&amp;display_string=Audit"}</definedName>
    <definedName name="_4409__FDSAUDITLINK__" localSheetId="7" hidden="1">{"fdsup://Directions/FactSet Auditing Viewer?action=AUDIT_VALUE&amp;DB=129&amp;ID1=11162130&amp;VALUEID=02001&amp;SDATE=200601&amp;PERIODTYPE=QTR_STD&amp;SCFT=3&amp;window=popup_no_bar&amp;width=385&amp;height=120&amp;START_MAXIMIZED=FALSE&amp;creator=factset&amp;display_string=Audit"}</definedName>
    <definedName name="_4409__FDSAUDITLINK__" hidden="1">{"fdsup://Directions/FactSet Auditing Viewer?action=AUDIT_VALUE&amp;DB=129&amp;ID1=11162130&amp;VALUEID=02001&amp;SDATE=200601&amp;PERIODTYPE=QTR_STD&amp;SCFT=3&amp;window=popup_no_bar&amp;width=385&amp;height=120&amp;START_MAXIMIZED=FALSE&amp;creator=factset&amp;display_string=Audit"}</definedName>
    <definedName name="_441__FDSAUDITLINK__" localSheetId="7" hidden="1">{"fdsup://Directions/FactSet Auditing Viewer?action=AUDIT_VALUE&amp;DB=129&amp;ID1=00752J10&amp;VALUEID=02001&amp;SDATE=201003&amp;PERIODTYPE=QTR_STD&amp;SCFT=3&amp;window=popup_no_bar&amp;width=385&amp;height=120&amp;START_MAXIMIZED=FALSE&amp;creator=factset&amp;display_string=Audit"}</definedName>
    <definedName name="_441__FDSAUDITLINK__" hidden="1">{"fdsup://Directions/FactSet Auditing Viewer?action=AUDIT_VALUE&amp;DB=129&amp;ID1=00752J10&amp;VALUEID=02001&amp;SDATE=201003&amp;PERIODTYPE=QTR_STD&amp;SCFT=3&amp;window=popup_no_bar&amp;width=385&amp;height=120&amp;START_MAXIMIZED=FALSE&amp;creator=factset&amp;display_string=Audit"}</definedName>
    <definedName name="_4410__FDSAUDITLINK__" localSheetId="7" hidden="1">{"fdsup://Directions/FactSet Auditing Viewer?action=AUDIT_VALUE&amp;DB=129&amp;ID1=11162130&amp;VALUEID=02001&amp;SDATE=200601&amp;PERIODTYPE=QTR_STD&amp;SCFT=3&amp;window=popup_no_bar&amp;width=385&amp;height=120&amp;START_MAXIMIZED=FALSE&amp;creator=factset&amp;display_string=Audit"}</definedName>
    <definedName name="_4410__FDSAUDITLINK__" hidden="1">{"fdsup://Directions/FactSet Auditing Viewer?action=AUDIT_VALUE&amp;DB=129&amp;ID1=11162130&amp;VALUEID=02001&amp;SDATE=200601&amp;PERIODTYPE=QTR_STD&amp;SCFT=3&amp;window=popup_no_bar&amp;width=385&amp;height=120&amp;START_MAXIMIZED=FALSE&amp;creator=factset&amp;display_string=Audit"}</definedName>
    <definedName name="_4411__FDSAUDITLINK__" localSheetId="7" hidden="1">{"fdsup://Directions/FactSet Auditing Viewer?action=AUDIT_VALUE&amp;DB=129&amp;ID1=11162130&amp;VALUEID=02001&amp;SDATE=200503&amp;PERIODTYPE=QTR_STD&amp;SCFT=3&amp;window=popup_no_bar&amp;width=385&amp;height=120&amp;START_MAXIMIZED=FALSE&amp;creator=factset&amp;display_string=Audit"}</definedName>
    <definedName name="_4411__FDSAUDITLINK__" hidden="1">{"fdsup://Directions/FactSet Auditing Viewer?action=AUDIT_VALUE&amp;DB=129&amp;ID1=11162130&amp;VALUEID=02001&amp;SDATE=200503&amp;PERIODTYPE=QTR_STD&amp;SCFT=3&amp;window=popup_no_bar&amp;width=385&amp;height=120&amp;START_MAXIMIZED=FALSE&amp;creator=factset&amp;display_string=Audit"}</definedName>
    <definedName name="_4412__FDSAUDITLINK__" localSheetId="7" hidden="1">{"fdsup://Directions/FactSet Auditing Viewer?action=AUDIT_VALUE&amp;DB=129&amp;ID1=11162130&amp;VALUEID=02001&amp;SDATE=200503&amp;PERIODTYPE=QTR_STD&amp;SCFT=3&amp;window=popup_no_bar&amp;width=385&amp;height=120&amp;START_MAXIMIZED=FALSE&amp;creator=factset&amp;display_string=Audit"}</definedName>
    <definedName name="_4412__FDSAUDITLINK__" hidden="1">{"fdsup://Directions/FactSet Auditing Viewer?action=AUDIT_VALUE&amp;DB=129&amp;ID1=11162130&amp;VALUEID=02001&amp;SDATE=200503&amp;PERIODTYPE=QTR_STD&amp;SCFT=3&amp;window=popup_no_bar&amp;width=385&amp;height=120&amp;START_MAXIMIZED=FALSE&amp;creator=factset&amp;display_string=Audit"}</definedName>
    <definedName name="_4413__FDSAUDITLINK__" localSheetId="7" hidden="1">{"fdsup://Directions/FactSet Auditing Viewer?action=AUDIT_VALUE&amp;DB=129&amp;ID1=11162130&amp;VALUEID=02001&amp;SDATE=200502&amp;PERIODTYPE=QTR_STD&amp;SCFT=3&amp;window=popup_no_bar&amp;width=385&amp;height=120&amp;START_MAXIMIZED=FALSE&amp;creator=factset&amp;display_string=Audit"}</definedName>
    <definedName name="_4413__FDSAUDITLINK__" hidden="1">{"fdsup://Directions/FactSet Auditing Viewer?action=AUDIT_VALUE&amp;DB=129&amp;ID1=11162130&amp;VALUEID=02001&amp;SDATE=200502&amp;PERIODTYPE=QTR_STD&amp;SCFT=3&amp;window=popup_no_bar&amp;width=385&amp;height=120&amp;START_MAXIMIZED=FALSE&amp;creator=factset&amp;display_string=Audit"}</definedName>
    <definedName name="_4414__FDSAUDITLINK__" localSheetId="7" hidden="1">{"fdsup://Directions/FactSet Auditing Viewer?action=AUDIT_VALUE&amp;DB=129&amp;ID1=11162130&amp;VALUEID=02001&amp;SDATE=200502&amp;PERIODTYPE=QTR_STD&amp;SCFT=3&amp;window=popup_no_bar&amp;width=385&amp;height=120&amp;START_MAXIMIZED=FALSE&amp;creator=factset&amp;display_string=Audit"}</definedName>
    <definedName name="_4414__FDSAUDITLINK__" hidden="1">{"fdsup://Directions/FactSet Auditing Viewer?action=AUDIT_VALUE&amp;DB=129&amp;ID1=11162130&amp;VALUEID=02001&amp;SDATE=200502&amp;PERIODTYPE=QTR_STD&amp;SCFT=3&amp;window=popup_no_bar&amp;width=385&amp;height=120&amp;START_MAXIMIZED=FALSE&amp;creator=factset&amp;display_string=Audit"}</definedName>
    <definedName name="_4415__FDSAUDITLINK__" localSheetId="7" hidden="1">{"fdsup://Directions/FactSet Auditing Viewer?action=AUDIT_VALUE&amp;DB=129&amp;ID1=11162130&amp;VALUEID=02001&amp;SDATE=200403&amp;PERIODTYPE=QTR_STD&amp;SCFT=3&amp;window=popup_no_bar&amp;width=385&amp;height=120&amp;START_MAXIMIZED=FALSE&amp;creator=factset&amp;display_string=Audit"}</definedName>
    <definedName name="_4415__FDSAUDITLINK__" hidden="1">{"fdsup://Directions/FactSet Auditing Viewer?action=AUDIT_VALUE&amp;DB=129&amp;ID1=11162130&amp;VALUEID=02001&amp;SDATE=200403&amp;PERIODTYPE=QTR_STD&amp;SCFT=3&amp;window=popup_no_bar&amp;width=385&amp;height=120&amp;START_MAXIMIZED=FALSE&amp;creator=factset&amp;display_string=Audit"}</definedName>
    <definedName name="_4416__FDSAUDITLINK__" localSheetId="7" hidden="1">{"fdsup://Directions/FactSet Auditing Viewer?action=AUDIT_VALUE&amp;DB=129&amp;ID1=11162130&amp;VALUEID=02001&amp;SDATE=200403&amp;PERIODTYPE=QTR_STD&amp;SCFT=3&amp;window=popup_no_bar&amp;width=385&amp;height=120&amp;START_MAXIMIZED=FALSE&amp;creator=factset&amp;display_string=Audit"}</definedName>
    <definedName name="_4416__FDSAUDITLINK__" hidden="1">{"fdsup://Directions/FactSet Auditing Viewer?action=AUDIT_VALUE&amp;DB=129&amp;ID1=11162130&amp;VALUEID=02001&amp;SDATE=200403&amp;PERIODTYPE=QTR_STD&amp;SCFT=3&amp;window=popup_no_bar&amp;width=385&amp;height=120&amp;START_MAXIMIZED=FALSE&amp;creator=factset&amp;display_string=Audit"}</definedName>
    <definedName name="_4417__FDSAUDITLINK__" localSheetId="7" hidden="1">{"fdsup://Directions/FactSet Auditing Viewer?action=AUDIT_VALUE&amp;DB=129&amp;ID1=11162130&amp;VALUEID=02001&amp;SDATE=200402&amp;PERIODTYPE=QTR_STD&amp;SCFT=3&amp;window=popup_no_bar&amp;width=385&amp;height=120&amp;START_MAXIMIZED=FALSE&amp;creator=factset&amp;display_string=Audit"}</definedName>
    <definedName name="_4417__FDSAUDITLINK__" hidden="1">{"fdsup://Directions/FactSet Auditing Viewer?action=AUDIT_VALUE&amp;DB=129&amp;ID1=11162130&amp;VALUEID=02001&amp;SDATE=200402&amp;PERIODTYPE=QTR_STD&amp;SCFT=3&amp;window=popup_no_bar&amp;width=385&amp;height=120&amp;START_MAXIMIZED=FALSE&amp;creator=factset&amp;display_string=Audit"}</definedName>
    <definedName name="_4418__FDSAUDITLINK__" localSheetId="7" hidden="1">{"fdsup://Directions/FactSet Auditing Viewer?action=AUDIT_VALUE&amp;DB=129&amp;ID1=11162130&amp;VALUEID=02001&amp;SDATE=200402&amp;PERIODTYPE=QTR_STD&amp;SCFT=3&amp;window=popup_no_bar&amp;width=385&amp;height=120&amp;START_MAXIMIZED=FALSE&amp;creator=factset&amp;display_string=Audit"}</definedName>
    <definedName name="_4418__FDSAUDITLINK__" hidden="1">{"fdsup://Directions/FactSet Auditing Viewer?action=AUDIT_VALUE&amp;DB=129&amp;ID1=11162130&amp;VALUEID=02001&amp;SDATE=200402&amp;PERIODTYPE=QTR_STD&amp;SCFT=3&amp;window=popup_no_bar&amp;width=385&amp;height=120&amp;START_MAXIMIZED=FALSE&amp;creator=factset&amp;display_string=Audit"}</definedName>
    <definedName name="_4419__FDSAUDITLINK__" localSheetId="7" hidden="1">{"fdsup://Directions/FactSet Auditing Viewer?action=AUDIT_VALUE&amp;DB=129&amp;ID1=04743P10&amp;VALUEID=02001&amp;SDATE=200801&amp;PERIODTYPE=QTR_STD&amp;SCFT=3&amp;window=popup_no_bar&amp;width=385&amp;height=120&amp;START_MAXIMIZED=FALSE&amp;creator=factset&amp;display_string=Audit"}</definedName>
    <definedName name="_4419__FDSAUDITLINK__" hidden="1">{"fdsup://Directions/FactSet Auditing Viewer?action=AUDIT_VALUE&amp;DB=129&amp;ID1=04743P10&amp;VALUEID=02001&amp;SDATE=200801&amp;PERIODTYPE=QTR_STD&amp;SCFT=3&amp;window=popup_no_bar&amp;width=385&amp;height=120&amp;START_MAXIMIZED=FALSE&amp;creator=factset&amp;display_string=Audit"}</definedName>
    <definedName name="_442__FDSAUDITLINK__" localSheetId="7" hidden="1">{"fdsup://Directions/FactSet Auditing Viewer?action=AUDIT_VALUE&amp;DB=129&amp;ID1=00752J10&amp;VALUEID=02001&amp;SDATE=201003&amp;PERIODTYPE=QTR_STD&amp;SCFT=3&amp;window=popup_no_bar&amp;width=385&amp;height=120&amp;START_MAXIMIZED=FALSE&amp;creator=factset&amp;display_string=Audit"}</definedName>
    <definedName name="_442__FDSAUDITLINK__" hidden="1">{"fdsup://Directions/FactSet Auditing Viewer?action=AUDIT_VALUE&amp;DB=129&amp;ID1=00752J10&amp;VALUEID=02001&amp;SDATE=201003&amp;PERIODTYPE=QTR_STD&amp;SCFT=3&amp;window=popup_no_bar&amp;width=385&amp;height=120&amp;START_MAXIMIZED=FALSE&amp;creator=factset&amp;display_string=Audit"}</definedName>
    <definedName name="_4420__FDSAUDITLINK__" localSheetId="7" hidden="1">{"fdsup://Directions/FactSet Auditing Viewer?action=AUDIT_VALUE&amp;DB=129&amp;ID1=04743P10&amp;VALUEID=02001&amp;SDATE=200801&amp;PERIODTYPE=QTR_STD&amp;SCFT=3&amp;window=popup_no_bar&amp;width=385&amp;height=120&amp;START_MAXIMIZED=FALSE&amp;creator=factset&amp;display_string=Audit"}</definedName>
    <definedName name="_4420__FDSAUDITLINK__" hidden="1">{"fdsup://Directions/FactSet Auditing Viewer?action=AUDIT_VALUE&amp;DB=129&amp;ID1=04743P10&amp;VALUEID=02001&amp;SDATE=200801&amp;PERIODTYPE=QTR_STD&amp;SCFT=3&amp;window=popup_no_bar&amp;width=385&amp;height=120&amp;START_MAXIMIZED=FALSE&amp;creator=factset&amp;display_string=Audit"}</definedName>
    <definedName name="_4421__FDSAUDITLINK__" localSheetId="7" hidden="1">{"fdsup://Directions/FactSet Auditing Viewer?action=AUDIT_VALUE&amp;DB=129&amp;ID1=04743P10&amp;VALUEID=02001&amp;SDATE=200703&amp;PERIODTYPE=QTR_STD&amp;SCFT=3&amp;window=popup_no_bar&amp;width=385&amp;height=120&amp;START_MAXIMIZED=FALSE&amp;creator=factset&amp;display_string=Audit"}</definedName>
    <definedName name="_4421__FDSAUDITLINK__" hidden="1">{"fdsup://Directions/FactSet Auditing Viewer?action=AUDIT_VALUE&amp;DB=129&amp;ID1=04743P10&amp;VALUEID=02001&amp;SDATE=200703&amp;PERIODTYPE=QTR_STD&amp;SCFT=3&amp;window=popup_no_bar&amp;width=385&amp;height=120&amp;START_MAXIMIZED=FALSE&amp;creator=factset&amp;display_string=Audit"}</definedName>
    <definedName name="_4422__FDSAUDITLINK__" localSheetId="7" hidden="1">{"fdsup://Directions/FactSet Auditing Viewer?action=AUDIT_VALUE&amp;DB=129&amp;ID1=04743P10&amp;VALUEID=02001&amp;SDATE=200703&amp;PERIODTYPE=QTR_STD&amp;SCFT=3&amp;window=popup_no_bar&amp;width=385&amp;height=120&amp;START_MAXIMIZED=FALSE&amp;creator=factset&amp;display_string=Audit"}</definedName>
    <definedName name="_4422__FDSAUDITLINK__" hidden="1">{"fdsup://Directions/FactSet Auditing Viewer?action=AUDIT_VALUE&amp;DB=129&amp;ID1=04743P10&amp;VALUEID=02001&amp;SDATE=200703&amp;PERIODTYPE=QTR_STD&amp;SCFT=3&amp;window=popup_no_bar&amp;width=385&amp;height=120&amp;START_MAXIMIZED=FALSE&amp;creator=factset&amp;display_string=Audit"}</definedName>
    <definedName name="_4423__FDSAUDITLINK__" localSheetId="7" hidden="1">{"fdsup://Directions/FactSet Auditing Viewer?action=AUDIT_VALUE&amp;DB=129&amp;ID1=04743P10&amp;VALUEID=02001&amp;SDATE=200702&amp;PERIODTYPE=QTR_STD&amp;SCFT=3&amp;window=popup_no_bar&amp;width=385&amp;height=120&amp;START_MAXIMIZED=FALSE&amp;creator=factset&amp;display_string=Audit"}</definedName>
    <definedName name="_4423__FDSAUDITLINK__" hidden="1">{"fdsup://Directions/FactSet Auditing Viewer?action=AUDIT_VALUE&amp;DB=129&amp;ID1=04743P10&amp;VALUEID=02001&amp;SDATE=200702&amp;PERIODTYPE=QTR_STD&amp;SCFT=3&amp;window=popup_no_bar&amp;width=385&amp;height=120&amp;START_MAXIMIZED=FALSE&amp;creator=factset&amp;display_string=Audit"}</definedName>
    <definedName name="_4424__FDSAUDITLINK__" localSheetId="7" hidden="1">{"fdsup://Directions/FactSet Auditing Viewer?action=AUDIT_VALUE&amp;DB=129&amp;ID1=04743P10&amp;VALUEID=02001&amp;SDATE=200702&amp;PERIODTYPE=QTR_STD&amp;SCFT=3&amp;window=popup_no_bar&amp;width=385&amp;height=120&amp;START_MAXIMIZED=FALSE&amp;creator=factset&amp;display_string=Audit"}</definedName>
    <definedName name="_4424__FDSAUDITLINK__" hidden="1">{"fdsup://Directions/FactSet Auditing Viewer?action=AUDIT_VALUE&amp;DB=129&amp;ID1=04743P10&amp;VALUEID=02001&amp;SDATE=200702&amp;PERIODTYPE=QTR_STD&amp;SCFT=3&amp;window=popup_no_bar&amp;width=385&amp;height=120&amp;START_MAXIMIZED=FALSE&amp;creator=factset&amp;display_string=Audit"}</definedName>
    <definedName name="_4425__FDSAUDITLINK__" localSheetId="7" hidden="1">{"fdsup://Directions/FactSet Auditing Viewer?action=AUDIT_VALUE&amp;DB=129&amp;ID1=04743P10&amp;VALUEID=02001&amp;SDATE=200701&amp;PERIODTYPE=QTR_STD&amp;SCFT=3&amp;window=popup_no_bar&amp;width=385&amp;height=120&amp;START_MAXIMIZED=FALSE&amp;creator=factset&amp;display_string=Audit"}</definedName>
    <definedName name="_4425__FDSAUDITLINK__" hidden="1">{"fdsup://Directions/FactSet Auditing Viewer?action=AUDIT_VALUE&amp;DB=129&amp;ID1=04743P10&amp;VALUEID=02001&amp;SDATE=200701&amp;PERIODTYPE=QTR_STD&amp;SCFT=3&amp;window=popup_no_bar&amp;width=385&amp;height=120&amp;START_MAXIMIZED=FALSE&amp;creator=factset&amp;display_string=Audit"}</definedName>
    <definedName name="_4426__FDSAUDITLINK__" localSheetId="7" hidden="1">{"fdsup://Directions/FactSet Auditing Viewer?action=AUDIT_VALUE&amp;DB=129&amp;ID1=04743P10&amp;VALUEID=02001&amp;SDATE=200701&amp;PERIODTYPE=QTR_STD&amp;SCFT=3&amp;window=popup_no_bar&amp;width=385&amp;height=120&amp;START_MAXIMIZED=FALSE&amp;creator=factset&amp;display_string=Audit"}</definedName>
    <definedName name="_4426__FDSAUDITLINK__" hidden="1">{"fdsup://Directions/FactSet Auditing Viewer?action=AUDIT_VALUE&amp;DB=129&amp;ID1=04743P10&amp;VALUEID=02001&amp;SDATE=200701&amp;PERIODTYPE=QTR_STD&amp;SCFT=3&amp;window=popup_no_bar&amp;width=385&amp;height=120&amp;START_MAXIMIZED=FALSE&amp;creator=factset&amp;display_string=Audit"}</definedName>
    <definedName name="_4427__FDSAUDITLINK__" localSheetId="7" hidden="1">{"fdsup://Directions/FactSet Auditing Viewer?action=AUDIT_VALUE&amp;DB=129&amp;ID1=04743P10&amp;VALUEID=02001&amp;SDATE=200603&amp;PERIODTYPE=QTR_STD&amp;SCFT=3&amp;window=popup_no_bar&amp;width=385&amp;height=120&amp;START_MAXIMIZED=FALSE&amp;creator=factset&amp;display_string=Audit"}</definedName>
    <definedName name="_4427__FDSAUDITLINK__" hidden="1">{"fdsup://Directions/FactSet Auditing Viewer?action=AUDIT_VALUE&amp;DB=129&amp;ID1=04743P10&amp;VALUEID=02001&amp;SDATE=200603&amp;PERIODTYPE=QTR_STD&amp;SCFT=3&amp;window=popup_no_bar&amp;width=385&amp;height=120&amp;START_MAXIMIZED=FALSE&amp;creator=factset&amp;display_string=Audit"}</definedName>
    <definedName name="_4428__FDSAUDITLINK__" localSheetId="7" hidden="1">{"fdsup://Directions/FactSet Auditing Viewer?action=AUDIT_VALUE&amp;DB=129&amp;ID1=04743P10&amp;VALUEID=02001&amp;SDATE=200603&amp;PERIODTYPE=QTR_STD&amp;SCFT=3&amp;window=popup_no_bar&amp;width=385&amp;height=120&amp;START_MAXIMIZED=FALSE&amp;creator=factset&amp;display_string=Audit"}</definedName>
    <definedName name="_4428__FDSAUDITLINK__" hidden="1">{"fdsup://Directions/FactSet Auditing Viewer?action=AUDIT_VALUE&amp;DB=129&amp;ID1=04743P10&amp;VALUEID=02001&amp;SDATE=200603&amp;PERIODTYPE=QTR_STD&amp;SCFT=3&amp;window=popup_no_bar&amp;width=385&amp;height=120&amp;START_MAXIMIZED=FALSE&amp;creator=factset&amp;display_string=Audit"}</definedName>
    <definedName name="_4429__FDSAUDITLINK__" localSheetId="7" hidden="1">{"fdsup://Directions/FactSet Auditing Viewer?action=AUDIT_VALUE&amp;DB=129&amp;ID1=04743P10&amp;VALUEID=02001&amp;SDATE=200602&amp;PERIODTYPE=QTR_STD&amp;SCFT=3&amp;window=popup_no_bar&amp;width=385&amp;height=120&amp;START_MAXIMIZED=FALSE&amp;creator=factset&amp;display_string=Audit"}</definedName>
    <definedName name="_4429__FDSAUDITLINK__" hidden="1">{"fdsup://Directions/FactSet Auditing Viewer?action=AUDIT_VALUE&amp;DB=129&amp;ID1=04743P10&amp;VALUEID=02001&amp;SDATE=200602&amp;PERIODTYPE=QTR_STD&amp;SCFT=3&amp;window=popup_no_bar&amp;width=385&amp;height=120&amp;START_MAXIMIZED=FALSE&amp;creator=factset&amp;display_string=Audit"}</definedName>
    <definedName name="_443__FDSAUDITLINK__" localSheetId="7" hidden="1">{"fdsup://Directions/FactSet Auditing Viewer?action=AUDIT_VALUE&amp;DB=129&amp;ID1=98975F10&amp;VALUEID=02001&amp;SDATE=201002&amp;PERIODTYPE=QTR_STD&amp;SCFT=3&amp;window=popup_no_bar&amp;width=385&amp;height=120&amp;START_MAXIMIZED=FALSE&amp;creator=factset&amp;display_string=Audit"}</definedName>
    <definedName name="_443__FDSAUDITLINK__" hidden="1">{"fdsup://Directions/FactSet Auditing Viewer?action=AUDIT_VALUE&amp;DB=129&amp;ID1=98975F10&amp;VALUEID=02001&amp;SDATE=201002&amp;PERIODTYPE=QTR_STD&amp;SCFT=3&amp;window=popup_no_bar&amp;width=385&amp;height=120&amp;START_MAXIMIZED=FALSE&amp;creator=factset&amp;display_string=Audit"}</definedName>
    <definedName name="_4430__FDSAUDITLINK__" localSheetId="7" hidden="1">{"fdsup://Directions/FactSet Auditing Viewer?action=AUDIT_VALUE&amp;DB=129&amp;ID1=04743P10&amp;VALUEID=02001&amp;SDATE=200602&amp;PERIODTYPE=QTR_STD&amp;SCFT=3&amp;window=popup_no_bar&amp;width=385&amp;height=120&amp;START_MAXIMIZED=FALSE&amp;creator=factset&amp;display_string=Audit"}</definedName>
    <definedName name="_4430__FDSAUDITLINK__" hidden="1">{"fdsup://Directions/FactSet Auditing Viewer?action=AUDIT_VALUE&amp;DB=129&amp;ID1=04743P10&amp;VALUEID=02001&amp;SDATE=200602&amp;PERIODTYPE=QTR_STD&amp;SCFT=3&amp;window=popup_no_bar&amp;width=385&amp;height=120&amp;START_MAXIMIZED=FALSE&amp;creator=factset&amp;display_string=Audit"}</definedName>
    <definedName name="_4431__FDSAUDITLINK__" localSheetId="7" hidden="1">{"fdsup://Directions/FactSet Auditing Viewer?action=AUDIT_VALUE&amp;DB=129&amp;ID1=04743P10&amp;VALUEID=02001&amp;SDATE=200601&amp;PERIODTYPE=QTR_STD&amp;SCFT=3&amp;window=popup_no_bar&amp;width=385&amp;height=120&amp;START_MAXIMIZED=FALSE&amp;creator=factset&amp;display_string=Audit"}</definedName>
    <definedName name="_4431__FDSAUDITLINK__" hidden="1">{"fdsup://Directions/FactSet Auditing Viewer?action=AUDIT_VALUE&amp;DB=129&amp;ID1=04743P10&amp;VALUEID=02001&amp;SDATE=200601&amp;PERIODTYPE=QTR_STD&amp;SCFT=3&amp;window=popup_no_bar&amp;width=385&amp;height=120&amp;START_MAXIMIZED=FALSE&amp;creator=factset&amp;display_string=Audit"}</definedName>
    <definedName name="_4432__FDSAUDITLINK__" localSheetId="7" hidden="1">{"fdsup://Directions/FactSet Auditing Viewer?action=AUDIT_VALUE&amp;DB=129&amp;ID1=04743P10&amp;VALUEID=02001&amp;SDATE=200601&amp;PERIODTYPE=QTR_STD&amp;SCFT=3&amp;window=popup_no_bar&amp;width=385&amp;height=120&amp;START_MAXIMIZED=FALSE&amp;creator=factset&amp;display_string=Audit"}</definedName>
    <definedName name="_4432__FDSAUDITLINK__" hidden="1">{"fdsup://Directions/FactSet Auditing Viewer?action=AUDIT_VALUE&amp;DB=129&amp;ID1=04743P10&amp;VALUEID=02001&amp;SDATE=200601&amp;PERIODTYPE=QTR_STD&amp;SCFT=3&amp;window=popup_no_bar&amp;width=385&amp;height=120&amp;START_MAXIMIZED=FALSE&amp;creator=factset&amp;display_string=Audit"}</definedName>
    <definedName name="_4433__FDSAUDITLINK__" localSheetId="7" hidden="1">{"fdsup://Directions/FactSet Auditing Viewer?action=AUDIT_VALUE&amp;DB=129&amp;ID1=04743P10&amp;VALUEID=02001&amp;SDATE=200503&amp;PERIODTYPE=QTR_STD&amp;SCFT=3&amp;window=popup_no_bar&amp;width=385&amp;height=120&amp;START_MAXIMIZED=FALSE&amp;creator=factset&amp;display_string=Audit"}</definedName>
    <definedName name="_4433__FDSAUDITLINK__" hidden="1">{"fdsup://Directions/FactSet Auditing Viewer?action=AUDIT_VALUE&amp;DB=129&amp;ID1=04743P10&amp;VALUEID=02001&amp;SDATE=200503&amp;PERIODTYPE=QTR_STD&amp;SCFT=3&amp;window=popup_no_bar&amp;width=385&amp;height=120&amp;START_MAXIMIZED=FALSE&amp;creator=factset&amp;display_string=Audit"}</definedName>
    <definedName name="_4434__FDSAUDITLINK__" localSheetId="7" hidden="1">{"fdsup://Directions/FactSet Auditing Viewer?action=AUDIT_VALUE&amp;DB=129&amp;ID1=04743P10&amp;VALUEID=02001&amp;SDATE=200503&amp;PERIODTYPE=QTR_STD&amp;SCFT=3&amp;window=popup_no_bar&amp;width=385&amp;height=120&amp;START_MAXIMIZED=FALSE&amp;creator=factset&amp;display_string=Audit"}</definedName>
    <definedName name="_4434__FDSAUDITLINK__" hidden="1">{"fdsup://Directions/FactSet Auditing Viewer?action=AUDIT_VALUE&amp;DB=129&amp;ID1=04743P10&amp;VALUEID=02001&amp;SDATE=200503&amp;PERIODTYPE=QTR_STD&amp;SCFT=3&amp;window=popup_no_bar&amp;width=385&amp;height=120&amp;START_MAXIMIZED=FALSE&amp;creator=factset&amp;display_string=Audit"}</definedName>
    <definedName name="_4435__FDSAUDITLINK__" localSheetId="7" hidden="1">{"fdsup://Directions/FactSet Auditing Viewer?action=AUDIT_VALUE&amp;DB=129&amp;ID1=04743P10&amp;VALUEID=02001&amp;SDATE=200502&amp;PERIODTYPE=QTR_STD&amp;SCFT=3&amp;window=popup_no_bar&amp;width=385&amp;height=120&amp;START_MAXIMIZED=FALSE&amp;creator=factset&amp;display_string=Audit"}</definedName>
    <definedName name="_4435__FDSAUDITLINK__" hidden="1">{"fdsup://Directions/FactSet Auditing Viewer?action=AUDIT_VALUE&amp;DB=129&amp;ID1=04743P10&amp;VALUEID=02001&amp;SDATE=200502&amp;PERIODTYPE=QTR_STD&amp;SCFT=3&amp;window=popup_no_bar&amp;width=385&amp;height=120&amp;START_MAXIMIZED=FALSE&amp;creator=factset&amp;display_string=Audit"}</definedName>
    <definedName name="_4436__FDSAUDITLINK__" localSheetId="7" hidden="1">{"fdsup://Directions/FactSet Auditing Viewer?action=AUDIT_VALUE&amp;DB=129&amp;ID1=04743P10&amp;VALUEID=02001&amp;SDATE=200502&amp;PERIODTYPE=QTR_STD&amp;SCFT=3&amp;window=popup_no_bar&amp;width=385&amp;height=120&amp;START_MAXIMIZED=FALSE&amp;creator=factset&amp;display_string=Audit"}</definedName>
    <definedName name="_4436__FDSAUDITLINK__" hidden="1">{"fdsup://Directions/FactSet Auditing Viewer?action=AUDIT_VALUE&amp;DB=129&amp;ID1=04743P10&amp;VALUEID=02001&amp;SDATE=200502&amp;PERIODTYPE=QTR_STD&amp;SCFT=3&amp;window=popup_no_bar&amp;width=385&amp;height=120&amp;START_MAXIMIZED=FALSE&amp;creator=factset&amp;display_string=Audit"}</definedName>
    <definedName name="_4437__FDSAUDITLINK__" localSheetId="7" hidden="1">{"fdsup://Directions/FactSet Auditing Viewer?action=AUDIT_VALUE&amp;DB=129&amp;ID1=04743P10&amp;VALUEID=02001&amp;SDATE=200501&amp;PERIODTYPE=QTR_STD&amp;SCFT=3&amp;window=popup_no_bar&amp;width=385&amp;height=120&amp;START_MAXIMIZED=FALSE&amp;creator=factset&amp;display_string=Audit"}</definedName>
    <definedName name="_4437__FDSAUDITLINK__" hidden="1">{"fdsup://Directions/FactSet Auditing Viewer?action=AUDIT_VALUE&amp;DB=129&amp;ID1=04743P10&amp;VALUEID=02001&amp;SDATE=200501&amp;PERIODTYPE=QTR_STD&amp;SCFT=3&amp;window=popup_no_bar&amp;width=385&amp;height=120&amp;START_MAXIMIZED=FALSE&amp;creator=factset&amp;display_string=Audit"}</definedName>
    <definedName name="_4438__FDSAUDITLINK__" localSheetId="7" hidden="1">{"fdsup://Directions/FactSet Auditing Viewer?action=AUDIT_VALUE&amp;DB=129&amp;ID1=04743P10&amp;VALUEID=02001&amp;SDATE=200501&amp;PERIODTYPE=QTR_STD&amp;SCFT=3&amp;window=popup_no_bar&amp;width=385&amp;height=120&amp;START_MAXIMIZED=FALSE&amp;creator=factset&amp;display_string=Audit"}</definedName>
    <definedName name="_4438__FDSAUDITLINK__" hidden="1">{"fdsup://Directions/FactSet Auditing Viewer?action=AUDIT_VALUE&amp;DB=129&amp;ID1=04743P10&amp;VALUEID=02001&amp;SDATE=200501&amp;PERIODTYPE=QTR_STD&amp;SCFT=3&amp;window=popup_no_bar&amp;width=385&amp;height=120&amp;START_MAXIMIZED=FALSE&amp;creator=factset&amp;display_string=Audit"}</definedName>
    <definedName name="_4439__FDSAUDITLINK__" localSheetId="7" hidden="1">{"fdsup://Directions/FactSet Auditing Viewer?action=AUDIT_VALUE&amp;DB=129&amp;ID1=04743P10&amp;VALUEID=02001&amp;SDATE=200403&amp;PERIODTYPE=QTR_STD&amp;SCFT=3&amp;window=popup_no_bar&amp;width=385&amp;height=120&amp;START_MAXIMIZED=FALSE&amp;creator=factset&amp;display_string=Audit"}</definedName>
    <definedName name="_4439__FDSAUDITLINK__" hidden="1">{"fdsup://Directions/FactSet Auditing Viewer?action=AUDIT_VALUE&amp;DB=129&amp;ID1=04743P10&amp;VALUEID=02001&amp;SDATE=200403&amp;PERIODTYPE=QTR_STD&amp;SCFT=3&amp;window=popup_no_bar&amp;width=385&amp;height=120&amp;START_MAXIMIZED=FALSE&amp;creator=factset&amp;display_string=Audit"}</definedName>
    <definedName name="_444__FDSAUDITLINK__" localSheetId="7" hidden="1">{"fdsup://Directions/FactSet Auditing Viewer?action=AUDIT_VALUE&amp;DB=129&amp;ID1=98975F10&amp;VALUEID=02001&amp;SDATE=201002&amp;PERIODTYPE=QTR_STD&amp;SCFT=3&amp;window=popup_no_bar&amp;width=385&amp;height=120&amp;START_MAXIMIZED=FALSE&amp;creator=factset&amp;display_string=Audit"}</definedName>
    <definedName name="_444__FDSAUDITLINK__" hidden="1">{"fdsup://Directions/FactSet Auditing Viewer?action=AUDIT_VALUE&amp;DB=129&amp;ID1=98975F10&amp;VALUEID=02001&amp;SDATE=201002&amp;PERIODTYPE=QTR_STD&amp;SCFT=3&amp;window=popup_no_bar&amp;width=385&amp;height=120&amp;START_MAXIMIZED=FALSE&amp;creator=factset&amp;display_string=Audit"}</definedName>
    <definedName name="_4440__FDSAUDITLINK__" localSheetId="7" hidden="1">{"fdsup://Directions/FactSet Auditing Viewer?action=AUDIT_VALUE&amp;DB=129&amp;ID1=04743P10&amp;VALUEID=02001&amp;SDATE=200403&amp;PERIODTYPE=QTR_STD&amp;SCFT=3&amp;window=popup_no_bar&amp;width=385&amp;height=120&amp;START_MAXIMIZED=FALSE&amp;creator=factset&amp;display_string=Audit"}</definedName>
    <definedName name="_4440__FDSAUDITLINK__" hidden="1">{"fdsup://Directions/FactSet Auditing Viewer?action=AUDIT_VALUE&amp;DB=129&amp;ID1=04743P10&amp;VALUEID=02001&amp;SDATE=200403&amp;PERIODTYPE=QTR_STD&amp;SCFT=3&amp;window=popup_no_bar&amp;width=385&amp;height=120&amp;START_MAXIMIZED=FALSE&amp;creator=factset&amp;display_string=Audit"}</definedName>
    <definedName name="_4441__FDSAUDITLINK__" localSheetId="7" hidden="1">{"fdsup://Directions/FactSet Auditing Viewer?action=AUDIT_VALUE&amp;DB=129&amp;ID1=04743P10&amp;VALUEID=02001&amp;SDATE=200402&amp;PERIODTYPE=QTR_STD&amp;SCFT=3&amp;window=popup_no_bar&amp;width=385&amp;height=120&amp;START_MAXIMIZED=FALSE&amp;creator=factset&amp;display_string=Audit"}</definedName>
    <definedName name="_4441__FDSAUDITLINK__" hidden="1">{"fdsup://Directions/FactSet Auditing Viewer?action=AUDIT_VALUE&amp;DB=129&amp;ID1=04743P10&amp;VALUEID=02001&amp;SDATE=200402&amp;PERIODTYPE=QTR_STD&amp;SCFT=3&amp;window=popup_no_bar&amp;width=385&amp;height=120&amp;START_MAXIMIZED=FALSE&amp;creator=factset&amp;display_string=Audit"}</definedName>
    <definedName name="_4442__FDSAUDITLINK__" localSheetId="7" hidden="1">{"fdsup://Directions/FactSet Auditing Viewer?action=AUDIT_VALUE&amp;DB=129&amp;ID1=04743P10&amp;VALUEID=02001&amp;SDATE=200402&amp;PERIODTYPE=QTR_STD&amp;SCFT=3&amp;window=popup_no_bar&amp;width=385&amp;height=120&amp;START_MAXIMIZED=FALSE&amp;creator=factset&amp;display_string=Audit"}</definedName>
    <definedName name="_4442__FDSAUDITLINK__" hidden="1">{"fdsup://Directions/FactSet Auditing Viewer?action=AUDIT_VALUE&amp;DB=129&amp;ID1=04743P10&amp;VALUEID=02001&amp;SDATE=200402&amp;PERIODTYPE=QTR_STD&amp;SCFT=3&amp;window=popup_no_bar&amp;width=385&amp;height=120&amp;START_MAXIMIZED=FALSE&amp;creator=factset&amp;display_string=Audit"}</definedName>
    <definedName name="_4443__FDSAUDITLINK__" localSheetId="7" hidden="1">{"fdsup://Directions/FactSet Auditing Viewer?action=AUDIT_VALUE&amp;DB=129&amp;ID1=04743P10&amp;VALUEID=02001&amp;SDATE=200401&amp;PERIODTYPE=QTR_STD&amp;SCFT=3&amp;window=popup_no_bar&amp;width=385&amp;height=120&amp;START_MAXIMIZED=FALSE&amp;creator=factset&amp;display_string=Audit"}</definedName>
    <definedName name="_4443__FDSAUDITLINK__" hidden="1">{"fdsup://Directions/FactSet Auditing Viewer?action=AUDIT_VALUE&amp;DB=129&amp;ID1=04743P10&amp;VALUEID=02001&amp;SDATE=200401&amp;PERIODTYPE=QTR_STD&amp;SCFT=3&amp;window=popup_no_bar&amp;width=385&amp;height=120&amp;START_MAXIMIZED=FALSE&amp;creator=factset&amp;display_string=Audit"}</definedName>
    <definedName name="_4444__FDSAUDITLINK__" localSheetId="7" hidden="1">{"fdsup://Directions/FactSet Auditing Viewer?action=AUDIT_VALUE&amp;DB=129&amp;ID1=04743P10&amp;VALUEID=02001&amp;SDATE=200401&amp;PERIODTYPE=QTR_STD&amp;SCFT=3&amp;window=popup_no_bar&amp;width=385&amp;height=120&amp;START_MAXIMIZED=FALSE&amp;creator=factset&amp;display_string=Audit"}</definedName>
    <definedName name="_4444__FDSAUDITLINK__" hidden="1">{"fdsup://Directions/FactSet Auditing Viewer?action=AUDIT_VALUE&amp;DB=129&amp;ID1=04743P10&amp;VALUEID=02001&amp;SDATE=200401&amp;PERIODTYPE=QTR_STD&amp;SCFT=3&amp;window=popup_no_bar&amp;width=385&amp;height=120&amp;START_MAXIMIZED=FALSE&amp;creator=factset&amp;display_string=Audit"}</definedName>
    <definedName name="_4445__FDSAUDITLINK__" localSheetId="7" hidden="1">{"fdsup://Directions/FactSet Auditing Viewer?action=AUDIT_VALUE&amp;DB=129&amp;ID1=03251510&amp;VALUEID=02001&amp;SDATE=200801&amp;PERIODTYPE=QTR_STD&amp;SCFT=3&amp;window=popup_no_bar&amp;width=385&amp;height=120&amp;START_MAXIMIZED=FALSE&amp;creator=factset&amp;display_string=Audit"}</definedName>
    <definedName name="_4445__FDSAUDITLINK__" hidden="1">{"fdsup://Directions/FactSet Auditing Viewer?action=AUDIT_VALUE&amp;DB=129&amp;ID1=03251510&amp;VALUEID=02001&amp;SDATE=200801&amp;PERIODTYPE=QTR_STD&amp;SCFT=3&amp;window=popup_no_bar&amp;width=385&amp;height=120&amp;START_MAXIMIZED=FALSE&amp;creator=factset&amp;display_string=Audit"}</definedName>
    <definedName name="_4446__FDSAUDITLINK__" localSheetId="7" hidden="1">{"fdsup://Directions/FactSet Auditing Viewer?action=AUDIT_VALUE&amp;DB=129&amp;ID1=03251510&amp;VALUEID=02001&amp;SDATE=200801&amp;PERIODTYPE=QTR_STD&amp;SCFT=3&amp;window=popup_no_bar&amp;width=385&amp;height=120&amp;START_MAXIMIZED=FALSE&amp;creator=factset&amp;display_string=Audit"}</definedName>
    <definedName name="_4446__FDSAUDITLINK__" hidden="1">{"fdsup://Directions/FactSet Auditing Viewer?action=AUDIT_VALUE&amp;DB=129&amp;ID1=03251510&amp;VALUEID=02001&amp;SDATE=200801&amp;PERIODTYPE=QTR_STD&amp;SCFT=3&amp;window=popup_no_bar&amp;width=385&amp;height=120&amp;START_MAXIMIZED=FALSE&amp;creator=factset&amp;display_string=Audit"}</definedName>
    <definedName name="_4447__FDSAUDITLINK__" localSheetId="7" hidden="1">{"fdsup://Directions/FactSet Auditing Viewer?action=AUDIT_VALUE&amp;DB=129&amp;ID1=03251510&amp;VALUEID=02001&amp;SDATE=200703&amp;PERIODTYPE=QTR_STD&amp;SCFT=3&amp;window=popup_no_bar&amp;width=385&amp;height=120&amp;START_MAXIMIZED=FALSE&amp;creator=factset&amp;display_string=Audit"}</definedName>
    <definedName name="_4447__FDSAUDITLINK__" hidden="1">{"fdsup://Directions/FactSet Auditing Viewer?action=AUDIT_VALUE&amp;DB=129&amp;ID1=03251510&amp;VALUEID=02001&amp;SDATE=200703&amp;PERIODTYPE=QTR_STD&amp;SCFT=3&amp;window=popup_no_bar&amp;width=385&amp;height=120&amp;START_MAXIMIZED=FALSE&amp;creator=factset&amp;display_string=Audit"}</definedName>
    <definedName name="_4448__FDSAUDITLINK__" localSheetId="7" hidden="1">{"fdsup://Directions/FactSet Auditing Viewer?action=AUDIT_VALUE&amp;DB=129&amp;ID1=03251510&amp;VALUEID=02001&amp;SDATE=200703&amp;PERIODTYPE=QTR_STD&amp;SCFT=3&amp;window=popup_no_bar&amp;width=385&amp;height=120&amp;START_MAXIMIZED=FALSE&amp;creator=factset&amp;display_string=Audit"}</definedName>
    <definedName name="_4448__FDSAUDITLINK__" hidden="1">{"fdsup://Directions/FactSet Auditing Viewer?action=AUDIT_VALUE&amp;DB=129&amp;ID1=03251510&amp;VALUEID=02001&amp;SDATE=200703&amp;PERIODTYPE=QTR_STD&amp;SCFT=3&amp;window=popup_no_bar&amp;width=385&amp;height=120&amp;START_MAXIMIZED=FALSE&amp;creator=factset&amp;display_string=Audit"}</definedName>
    <definedName name="_4449__FDSAUDITLINK__" localSheetId="7" hidden="1">{"fdsup://Directions/FactSet Auditing Viewer?action=AUDIT_VALUE&amp;DB=129&amp;ID1=03251510&amp;VALUEID=02001&amp;SDATE=200702&amp;PERIODTYPE=QTR_STD&amp;SCFT=3&amp;window=popup_no_bar&amp;width=385&amp;height=120&amp;START_MAXIMIZED=FALSE&amp;creator=factset&amp;display_string=Audit"}</definedName>
    <definedName name="_4449__FDSAUDITLINK__" hidden="1">{"fdsup://Directions/FactSet Auditing Viewer?action=AUDIT_VALUE&amp;DB=129&amp;ID1=03251510&amp;VALUEID=02001&amp;SDATE=200702&amp;PERIODTYPE=QTR_STD&amp;SCFT=3&amp;window=popup_no_bar&amp;width=385&amp;height=120&amp;START_MAXIMIZED=FALSE&amp;creator=factset&amp;display_string=Audit"}</definedName>
    <definedName name="_445__FDSAUDITLINK__" localSheetId="7" hidden="1">{"fdsup://Directions/FactSet Auditing Viewer?action=AUDIT_VALUE&amp;DB=129&amp;ID1=98391910&amp;VALUEID=02001&amp;SDATE=201001&amp;PERIODTYPE=QTR_STD&amp;SCFT=3&amp;window=popup_no_bar&amp;width=385&amp;height=120&amp;START_MAXIMIZED=FALSE&amp;creator=factset&amp;display_string=Audit"}</definedName>
    <definedName name="_445__FDSAUDITLINK__" hidden="1">{"fdsup://Directions/FactSet Auditing Viewer?action=AUDIT_VALUE&amp;DB=129&amp;ID1=98391910&amp;VALUEID=02001&amp;SDATE=201001&amp;PERIODTYPE=QTR_STD&amp;SCFT=3&amp;window=popup_no_bar&amp;width=385&amp;height=120&amp;START_MAXIMIZED=FALSE&amp;creator=factset&amp;display_string=Audit"}</definedName>
    <definedName name="_4450__FDSAUDITLINK__" localSheetId="7" hidden="1">{"fdsup://Directions/FactSet Auditing Viewer?action=AUDIT_VALUE&amp;DB=129&amp;ID1=03251510&amp;VALUEID=02001&amp;SDATE=200702&amp;PERIODTYPE=QTR_STD&amp;SCFT=3&amp;window=popup_no_bar&amp;width=385&amp;height=120&amp;START_MAXIMIZED=FALSE&amp;creator=factset&amp;display_string=Audit"}</definedName>
    <definedName name="_4450__FDSAUDITLINK__" hidden="1">{"fdsup://Directions/FactSet Auditing Viewer?action=AUDIT_VALUE&amp;DB=129&amp;ID1=03251510&amp;VALUEID=02001&amp;SDATE=200702&amp;PERIODTYPE=QTR_STD&amp;SCFT=3&amp;window=popup_no_bar&amp;width=385&amp;height=120&amp;START_MAXIMIZED=FALSE&amp;creator=factset&amp;display_string=Audit"}</definedName>
    <definedName name="_4451__FDSAUDITLINK__" localSheetId="7" hidden="1">{"fdsup://Directions/FactSet Auditing Viewer?action=AUDIT_VALUE&amp;DB=129&amp;ID1=03251510&amp;VALUEID=02001&amp;SDATE=200701&amp;PERIODTYPE=QTR_STD&amp;SCFT=3&amp;window=popup_no_bar&amp;width=385&amp;height=120&amp;START_MAXIMIZED=FALSE&amp;creator=factset&amp;display_string=Audit"}</definedName>
    <definedName name="_4451__FDSAUDITLINK__" hidden="1">{"fdsup://Directions/FactSet Auditing Viewer?action=AUDIT_VALUE&amp;DB=129&amp;ID1=03251510&amp;VALUEID=02001&amp;SDATE=200701&amp;PERIODTYPE=QTR_STD&amp;SCFT=3&amp;window=popup_no_bar&amp;width=385&amp;height=120&amp;START_MAXIMIZED=FALSE&amp;creator=factset&amp;display_string=Audit"}</definedName>
    <definedName name="_4452__FDSAUDITLINK__" localSheetId="7" hidden="1">{"fdsup://Directions/FactSet Auditing Viewer?action=AUDIT_VALUE&amp;DB=129&amp;ID1=03251510&amp;VALUEID=02001&amp;SDATE=200701&amp;PERIODTYPE=QTR_STD&amp;SCFT=3&amp;window=popup_no_bar&amp;width=385&amp;height=120&amp;START_MAXIMIZED=FALSE&amp;creator=factset&amp;display_string=Audit"}</definedName>
    <definedName name="_4452__FDSAUDITLINK__" hidden="1">{"fdsup://Directions/FactSet Auditing Viewer?action=AUDIT_VALUE&amp;DB=129&amp;ID1=03251510&amp;VALUEID=02001&amp;SDATE=200701&amp;PERIODTYPE=QTR_STD&amp;SCFT=3&amp;window=popup_no_bar&amp;width=385&amp;height=120&amp;START_MAXIMIZED=FALSE&amp;creator=factset&amp;display_string=Audit"}</definedName>
    <definedName name="_4453__FDSAUDITLINK__" localSheetId="7" hidden="1">{"fdsup://Directions/FactSet Auditing Viewer?action=AUDIT_VALUE&amp;DB=129&amp;ID1=03251510&amp;VALUEID=02001&amp;SDATE=200603&amp;PERIODTYPE=QTR_STD&amp;SCFT=3&amp;window=popup_no_bar&amp;width=385&amp;height=120&amp;START_MAXIMIZED=FALSE&amp;creator=factset&amp;display_string=Audit"}</definedName>
    <definedName name="_4453__FDSAUDITLINK__" hidden="1">{"fdsup://Directions/FactSet Auditing Viewer?action=AUDIT_VALUE&amp;DB=129&amp;ID1=03251510&amp;VALUEID=02001&amp;SDATE=200603&amp;PERIODTYPE=QTR_STD&amp;SCFT=3&amp;window=popup_no_bar&amp;width=385&amp;height=120&amp;START_MAXIMIZED=FALSE&amp;creator=factset&amp;display_string=Audit"}</definedName>
    <definedName name="_4454__FDSAUDITLINK__" localSheetId="7" hidden="1">{"fdsup://Directions/FactSet Auditing Viewer?action=AUDIT_VALUE&amp;DB=129&amp;ID1=03251510&amp;VALUEID=02001&amp;SDATE=200603&amp;PERIODTYPE=QTR_STD&amp;SCFT=3&amp;window=popup_no_bar&amp;width=385&amp;height=120&amp;START_MAXIMIZED=FALSE&amp;creator=factset&amp;display_string=Audit"}</definedName>
    <definedName name="_4454__FDSAUDITLINK__" hidden="1">{"fdsup://Directions/FactSet Auditing Viewer?action=AUDIT_VALUE&amp;DB=129&amp;ID1=03251510&amp;VALUEID=02001&amp;SDATE=200603&amp;PERIODTYPE=QTR_STD&amp;SCFT=3&amp;window=popup_no_bar&amp;width=385&amp;height=120&amp;START_MAXIMIZED=FALSE&amp;creator=factset&amp;display_string=Audit"}</definedName>
    <definedName name="_4455__FDSAUDITLINK__" localSheetId="7" hidden="1">{"fdsup://Directions/FactSet Auditing Viewer?action=AUDIT_VALUE&amp;DB=129&amp;ID1=03251510&amp;VALUEID=02001&amp;SDATE=200602&amp;PERIODTYPE=QTR_STD&amp;SCFT=3&amp;window=popup_no_bar&amp;width=385&amp;height=120&amp;START_MAXIMIZED=FALSE&amp;creator=factset&amp;display_string=Audit"}</definedName>
    <definedName name="_4455__FDSAUDITLINK__" hidden="1">{"fdsup://Directions/FactSet Auditing Viewer?action=AUDIT_VALUE&amp;DB=129&amp;ID1=03251510&amp;VALUEID=02001&amp;SDATE=200602&amp;PERIODTYPE=QTR_STD&amp;SCFT=3&amp;window=popup_no_bar&amp;width=385&amp;height=120&amp;START_MAXIMIZED=FALSE&amp;creator=factset&amp;display_string=Audit"}</definedName>
    <definedName name="_4456__FDSAUDITLINK__" localSheetId="7" hidden="1">{"fdsup://Directions/FactSet Auditing Viewer?action=AUDIT_VALUE&amp;DB=129&amp;ID1=03251510&amp;VALUEID=02001&amp;SDATE=200602&amp;PERIODTYPE=QTR_STD&amp;SCFT=3&amp;window=popup_no_bar&amp;width=385&amp;height=120&amp;START_MAXIMIZED=FALSE&amp;creator=factset&amp;display_string=Audit"}</definedName>
    <definedName name="_4456__FDSAUDITLINK__" hidden="1">{"fdsup://Directions/FactSet Auditing Viewer?action=AUDIT_VALUE&amp;DB=129&amp;ID1=03251510&amp;VALUEID=02001&amp;SDATE=200602&amp;PERIODTYPE=QTR_STD&amp;SCFT=3&amp;window=popup_no_bar&amp;width=385&amp;height=120&amp;START_MAXIMIZED=FALSE&amp;creator=factset&amp;display_string=Audit"}</definedName>
    <definedName name="_4457__FDSAUDITLINK__" localSheetId="7" hidden="1">{"fdsup://Directions/FactSet Auditing Viewer?action=AUDIT_VALUE&amp;DB=129&amp;ID1=03251510&amp;VALUEID=02001&amp;SDATE=200601&amp;PERIODTYPE=QTR_STD&amp;SCFT=3&amp;window=popup_no_bar&amp;width=385&amp;height=120&amp;START_MAXIMIZED=FALSE&amp;creator=factset&amp;display_string=Audit"}</definedName>
    <definedName name="_4457__FDSAUDITLINK__" hidden="1">{"fdsup://Directions/FactSet Auditing Viewer?action=AUDIT_VALUE&amp;DB=129&amp;ID1=03251510&amp;VALUEID=02001&amp;SDATE=200601&amp;PERIODTYPE=QTR_STD&amp;SCFT=3&amp;window=popup_no_bar&amp;width=385&amp;height=120&amp;START_MAXIMIZED=FALSE&amp;creator=factset&amp;display_string=Audit"}</definedName>
    <definedName name="_4458__FDSAUDITLINK__" localSheetId="7" hidden="1">{"fdsup://Directions/FactSet Auditing Viewer?action=AUDIT_VALUE&amp;DB=129&amp;ID1=03251510&amp;VALUEID=02001&amp;SDATE=200601&amp;PERIODTYPE=QTR_STD&amp;SCFT=3&amp;window=popup_no_bar&amp;width=385&amp;height=120&amp;START_MAXIMIZED=FALSE&amp;creator=factset&amp;display_string=Audit"}</definedName>
    <definedName name="_4458__FDSAUDITLINK__" hidden="1">{"fdsup://Directions/FactSet Auditing Viewer?action=AUDIT_VALUE&amp;DB=129&amp;ID1=03251510&amp;VALUEID=02001&amp;SDATE=200601&amp;PERIODTYPE=QTR_STD&amp;SCFT=3&amp;window=popup_no_bar&amp;width=385&amp;height=120&amp;START_MAXIMIZED=FALSE&amp;creator=factset&amp;display_string=Audit"}</definedName>
    <definedName name="_4459__FDSAUDITLINK__" localSheetId="7" hidden="1">{"fdsup://Directions/FactSet Auditing Viewer?action=AUDIT_VALUE&amp;DB=129&amp;ID1=00790310&amp;VALUEID=02001&amp;SDATE=200801&amp;PERIODTYPE=QTR_STD&amp;SCFT=3&amp;window=popup_no_bar&amp;width=385&amp;height=120&amp;START_MAXIMIZED=FALSE&amp;creator=factset&amp;display_string=Audit"}</definedName>
    <definedName name="_4459__FDSAUDITLINK__" hidden="1">{"fdsup://Directions/FactSet Auditing Viewer?action=AUDIT_VALUE&amp;DB=129&amp;ID1=00790310&amp;VALUEID=02001&amp;SDATE=200801&amp;PERIODTYPE=QTR_STD&amp;SCFT=3&amp;window=popup_no_bar&amp;width=385&amp;height=120&amp;START_MAXIMIZED=FALSE&amp;creator=factset&amp;display_string=Audit"}</definedName>
    <definedName name="_446__FDSAUDITLINK__" localSheetId="7" hidden="1">{"fdsup://Directions/FactSet Auditing Viewer?action=AUDIT_VALUE&amp;DB=129&amp;ID1=98391910&amp;VALUEID=02001&amp;SDATE=201001&amp;PERIODTYPE=QTR_STD&amp;SCFT=3&amp;window=popup_no_bar&amp;width=385&amp;height=120&amp;START_MAXIMIZED=FALSE&amp;creator=factset&amp;display_string=Audit"}</definedName>
    <definedName name="_446__FDSAUDITLINK__" hidden="1">{"fdsup://Directions/FactSet Auditing Viewer?action=AUDIT_VALUE&amp;DB=129&amp;ID1=98391910&amp;VALUEID=02001&amp;SDATE=201001&amp;PERIODTYPE=QTR_STD&amp;SCFT=3&amp;window=popup_no_bar&amp;width=385&amp;height=120&amp;START_MAXIMIZED=FALSE&amp;creator=factset&amp;display_string=Audit"}</definedName>
    <definedName name="_4460__FDSAUDITLINK__" localSheetId="7" hidden="1">{"fdsup://Directions/FactSet Auditing Viewer?action=AUDIT_VALUE&amp;DB=129&amp;ID1=00790310&amp;VALUEID=02001&amp;SDATE=200801&amp;PERIODTYPE=QTR_STD&amp;SCFT=3&amp;window=popup_no_bar&amp;width=385&amp;height=120&amp;START_MAXIMIZED=FALSE&amp;creator=factset&amp;display_string=Audit"}</definedName>
    <definedName name="_4460__FDSAUDITLINK__" hidden="1">{"fdsup://Directions/FactSet Auditing Viewer?action=AUDIT_VALUE&amp;DB=129&amp;ID1=00790310&amp;VALUEID=02001&amp;SDATE=200801&amp;PERIODTYPE=QTR_STD&amp;SCFT=3&amp;window=popup_no_bar&amp;width=385&amp;height=120&amp;START_MAXIMIZED=FALSE&amp;creator=factset&amp;display_string=Audit"}</definedName>
    <definedName name="_4461__FDSAUDITLINK__" localSheetId="7" hidden="1">{"fdsup://Directions/FactSet Auditing Viewer?action=AUDIT_VALUE&amp;DB=129&amp;ID1=00790310&amp;VALUEID=02001&amp;SDATE=200703&amp;PERIODTYPE=QTR_STD&amp;SCFT=3&amp;window=popup_no_bar&amp;width=385&amp;height=120&amp;START_MAXIMIZED=FALSE&amp;creator=factset&amp;display_string=Audit"}</definedName>
    <definedName name="_4461__FDSAUDITLINK__" hidden="1">{"fdsup://Directions/FactSet Auditing Viewer?action=AUDIT_VALUE&amp;DB=129&amp;ID1=00790310&amp;VALUEID=02001&amp;SDATE=200703&amp;PERIODTYPE=QTR_STD&amp;SCFT=3&amp;window=popup_no_bar&amp;width=385&amp;height=120&amp;START_MAXIMIZED=FALSE&amp;creator=factset&amp;display_string=Audit"}</definedName>
    <definedName name="_4462__FDSAUDITLINK__" localSheetId="7" hidden="1">{"fdsup://Directions/FactSet Auditing Viewer?action=AUDIT_VALUE&amp;DB=129&amp;ID1=00790310&amp;VALUEID=02001&amp;SDATE=200703&amp;PERIODTYPE=QTR_STD&amp;SCFT=3&amp;window=popup_no_bar&amp;width=385&amp;height=120&amp;START_MAXIMIZED=FALSE&amp;creator=factset&amp;display_string=Audit"}</definedName>
    <definedName name="_4462__FDSAUDITLINK__" hidden="1">{"fdsup://Directions/FactSet Auditing Viewer?action=AUDIT_VALUE&amp;DB=129&amp;ID1=00790310&amp;VALUEID=02001&amp;SDATE=200703&amp;PERIODTYPE=QTR_STD&amp;SCFT=3&amp;window=popup_no_bar&amp;width=385&amp;height=120&amp;START_MAXIMIZED=FALSE&amp;creator=factset&amp;display_string=Audit"}</definedName>
    <definedName name="_4463__FDSAUDITLINK__" localSheetId="7" hidden="1">{"fdsup://Directions/FactSet Auditing Viewer?action=AUDIT_VALUE&amp;DB=129&amp;ID1=00790310&amp;VALUEID=02001&amp;SDATE=200702&amp;PERIODTYPE=QTR_STD&amp;SCFT=3&amp;window=popup_no_bar&amp;width=385&amp;height=120&amp;START_MAXIMIZED=FALSE&amp;creator=factset&amp;display_string=Audit"}</definedName>
    <definedName name="_4463__FDSAUDITLINK__" hidden="1">{"fdsup://Directions/FactSet Auditing Viewer?action=AUDIT_VALUE&amp;DB=129&amp;ID1=00790310&amp;VALUEID=02001&amp;SDATE=200702&amp;PERIODTYPE=QTR_STD&amp;SCFT=3&amp;window=popup_no_bar&amp;width=385&amp;height=120&amp;START_MAXIMIZED=FALSE&amp;creator=factset&amp;display_string=Audit"}</definedName>
    <definedName name="_4464__FDSAUDITLINK__" localSheetId="7" hidden="1">{"fdsup://Directions/FactSet Auditing Viewer?action=AUDIT_VALUE&amp;DB=129&amp;ID1=00790310&amp;VALUEID=02001&amp;SDATE=200702&amp;PERIODTYPE=QTR_STD&amp;SCFT=3&amp;window=popup_no_bar&amp;width=385&amp;height=120&amp;START_MAXIMIZED=FALSE&amp;creator=factset&amp;display_string=Audit"}</definedName>
    <definedName name="_4464__FDSAUDITLINK__" hidden="1">{"fdsup://Directions/FactSet Auditing Viewer?action=AUDIT_VALUE&amp;DB=129&amp;ID1=00790310&amp;VALUEID=02001&amp;SDATE=200702&amp;PERIODTYPE=QTR_STD&amp;SCFT=3&amp;window=popup_no_bar&amp;width=385&amp;height=120&amp;START_MAXIMIZED=FALSE&amp;creator=factset&amp;display_string=Audit"}</definedName>
    <definedName name="_4465__FDSAUDITLINK__" localSheetId="7" hidden="1">{"fdsup://Directions/FactSet Auditing Viewer?action=AUDIT_VALUE&amp;DB=129&amp;ID1=00790310&amp;VALUEID=02001&amp;SDATE=200701&amp;PERIODTYPE=QTR_STD&amp;SCFT=3&amp;window=popup_no_bar&amp;width=385&amp;height=120&amp;START_MAXIMIZED=FALSE&amp;creator=factset&amp;display_string=Audit"}</definedName>
    <definedName name="_4465__FDSAUDITLINK__" hidden="1">{"fdsup://Directions/FactSet Auditing Viewer?action=AUDIT_VALUE&amp;DB=129&amp;ID1=00790310&amp;VALUEID=02001&amp;SDATE=200701&amp;PERIODTYPE=QTR_STD&amp;SCFT=3&amp;window=popup_no_bar&amp;width=385&amp;height=120&amp;START_MAXIMIZED=FALSE&amp;creator=factset&amp;display_string=Audit"}</definedName>
    <definedName name="_4466__FDSAUDITLINK__" localSheetId="7" hidden="1">{"fdsup://Directions/FactSet Auditing Viewer?action=AUDIT_VALUE&amp;DB=129&amp;ID1=00790310&amp;VALUEID=02001&amp;SDATE=200701&amp;PERIODTYPE=QTR_STD&amp;SCFT=3&amp;window=popup_no_bar&amp;width=385&amp;height=120&amp;START_MAXIMIZED=FALSE&amp;creator=factset&amp;display_string=Audit"}</definedName>
    <definedName name="_4466__FDSAUDITLINK__" hidden="1">{"fdsup://Directions/FactSet Auditing Viewer?action=AUDIT_VALUE&amp;DB=129&amp;ID1=00790310&amp;VALUEID=02001&amp;SDATE=200701&amp;PERIODTYPE=QTR_STD&amp;SCFT=3&amp;window=popup_no_bar&amp;width=385&amp;height=120&amp;START_MAXIMIZED=FALSE&amp;creator=factset&amp;display_string=Audit"}</definedName>
    <definedName name="_4467__FDSAUDITLINK__" localSheetId="7" hidden="1">{"fdsup://Directions/FactSet Auditing Viewer?action=AUDIT_VALUE&amp;DB=129&amp;ID1=00790310&amp;VALUEID=02001&amp;SDATE=200603&amp;PERIODTYPE=QTR_STD&amp;SCFT=3&amp;window=popup_no_bar&amp;width=385&amp;height=120&amp;START_MAXIMIZED=FALSE&amp;creator=factset&amp;display_string=Audit"}</definedName>
    <definedName name="_4467__FDSAUDITLINK__" hidden="1">{"fdsup://Directions/FactSet Auditing Viewer?action=AUDIT_VALUE&amp;DB=129&amp;ID1=00790310&amp;VALUEID=02001&amp;SDATE=200603&amp;PERIODTYPE=QTR_STD&amp;SCFT=3&amp;window=popup_no_bar&amp;width=385&amp;height=120&amp;START_MAXIMIZED=FALSE&amp;creator=factset&amp;display_string=Audit"}</definedName>
    <definedName name="_4468__FDSAUDITLINK__" localSheetId="7" hidden="1">{"fdsup://Directions/FactSet Auditing Viewer?action=AUDIT_VALUE&amp;DB=129&amp;ID1=00790310&amp;VALUEID=02001&amp;SDATE=200603&amp;PERIODTYPE=QTR_STD&amp;SCFT=3&amp;window=popup_no_bar&amp;width=385&amp;height=120&amp;START_MAXIMIZED=FALSE&amp;creator=factset&amp;display_string=Audit"}</definedName>
    <definedName name="_4468__FDSAUDITLINK__" hidden="1">{"fdsup://Directions/FactSet Auditing Viewer?action=AUDIT_VALUE&amp;DB=129&amp;ID1=00790310&amp;VALUEID=02001&amp;SDATE=200603&amp;PERIODTYPE=QTR_STD&amp;SCFT=3&amp;window=popup_no_bar&amp;width=385&amp;height=120&amp;START_MAXIMIZED=FALSE&amp;creator=factset&amp;display_string=Audit"}</definedName>
    <definedName name="_4469__FDSAUDITLINK__" localSheetId="7" hidden="1">{"fdsup://Directions/FactSet Auditing Viewer?action=AUDIT_VALUE&amp;DB=129&amp;ID1=00790310&amp;VALUEID=02001&amp;SDATE=200602&amp;PERIODTYPE=QTR_STD&amp;SCFT=3&amp;window=popup_no_bar&amp;width=385&amp;height=120&amp;START_MAXIMIZED=FALSE&amp;creator=factset&amp;display_string=Audit"}</definedName>
    <definedName name="_4469__FDSAUDITLINK__" hidden="1">{"fdsup://Directions/FactSet Auditing Viewer?action=AUDIT_VALUE&amp;DB=129&amp;ID1=00790310&amp;VALUEID=02001&amp;SDATE=200602&amp;PERIODTYPE=QTR_STD&amp;SCFT=3&amp;window=popup_no_bar&amp;width=385&amp;height=120&amp;START_MAXIMIZED=FALSE&amp;creator=factset&amp;display_string=Audit"}</definedName>
    <definedName name="_447__FDSAUDITLINK__" localSheetId="7" hidden="1">{"fdsup://Directions/FactSet Auditing Viewer?action=AUDIT_VALUE&amp;DB=129&amp;ID1=95810210&amp;VALUEID=02001&amp;SDATE=201004&amp;PERIODTYPE=QTR_STD&amp;SCFT=3&amp;window=popup_no_bar&amp;width=385&amp;height=120&amp;START_MAXIMIZED=FALSE&amp;creator=factset&amp;display_string=Audit"}</definedName>
    <definedName name="_447__FDSAUDITLINK__" hidden="1">{"fdsup://Directions/FactSet Auditing Viewer?action=AUDIT_VALUE&amp;DB=129&amp;ID1=95810210&amp;VALUEID=02001&amp;SDATE=201004&amp;PERIODTYPE=QTR_STD&amp;SCFT=3&amp;window=popup_no_bar&amp;width=385&amp;height=120&amp;START_MAXIMIZED=FALSE&amp;creator=factset&amp;display_string=Audit"}</definedName>
    <definedName name="_4470__FDSAUDITLINK__" localSheetId="7" hidden="1">{"fdsup://Directions/FactSet Auditing Viewer?action=AUDIT_VALUE&amp;DB=129&amp;ID1=00790310&amp;VALUEID=02001&amp;SDATE=200602&amp;PERIODTYPE=QTR_STD&amp;SCFT=3&amp;window=popup_no_bar&amp;width=385&amp;height=120&amp;START_MAXIMIZED=FALSE&amp;creator=factset&amp;display_string=Audit"}</definedName>
    <definedName name="_4470__FDSAUDITLINK__" hidden="1">{"fdsup://Directions/FactSet Auditing Viewer?action=AUDIT_VALUE&amp;DB=129&amp;ID1=00790310&amp;VALUEID=02001&amp;SDATE=200602&amp;PERIODTYPE=QTR_STD&amp;SCFT=3&amp;window=popup_no_bar&amp;width=385&amp;height=120&amp;START_MAXIMIZED=FALSE&amp;creator=factset&amp;display_string=Audit"}</definedName>
    <definedName name="_4471__FDSAUDITLINK__" localSheetId="7" hidden="1">{"fdsup://Directions/FactSet Auditing Viewer?action=AUDIT_VALUE&amp;DB=129&amp;ID1=00790310&amp;VALUEID=02001&amp;SDATE=200601&amp;PERIODTYPE=QTR_STD&amp;SCFT=3&amp;window=popup_no_bar&amp;width=385&amp;height=120&amp;START_MAXIMIZED=FALSE&amp;creator=factset&amp;display_string=Audit"}</definedName>
    <definedName name="_4471__FDSAUDITLINK__" hidden="1">{"fdsup://Directions/FactSet Auditing Viewer?action=AUDIT_VALUE&amp;DB=129&amp;ID1=00790310&amp;VALUEID=02001&amp;SDATE=200601&amp;PERIODTYPE=QTR_STD&amp;SCFT=3&amp;window=popup_no_bar&amp;width=385&amp;height=120&amp;START_MAXIMIZED=FALSE&amp;creator=factset&amp;display_string=Audit"}</definedName>
    <definedName name="_4472__FDSAUDITLINK__" localSheetId="7" hidden="1">{"fdsup://Directions/FactSet Auditing Viewer?action=AUDIT_VALUE&amp;DB=129&amp;ID1=00790310&amp;VALUEID=02001&amp;SDATE=200601&amp;PERIODTYPE=QTR_STD&amp;SCFT=3&amp;window=popup_no_bar&amp;width=385&amp;height=120&amp;START_MAXIMIZED=FALSE&amp;creator=factset&amp;display_string=Audit"}</definedName>
    <definedName name="_4472__FDSAUDITLINK__" hidden="1">{"fdsup://Directions/FactSet Auditing Viewer?action=AUDIT_VALUE&amp;DB=129&amp;ID1=00790310&amp;VALUEID=02001&amp;SDATE=200601&amp;PERIODTYPE=QTR_STD&amp;SCFT=3&amp;window=popup_no_bar&amp;width=385&amp;height=120&amp;START_MAXIMIZED=FALSE&amp;creator=factset&amp;display_string=Audit"}</definedName>
    <definedName name="_4473__FDSAUDITLINK__" localSheetId="7" hidden="1">{"fdsup://Directions/FactSet Auditing Viewer?action=AUDIT_VALUE&amp;DB=129&amp;ID1=00790310&amp;VALUEID=02001&amp;SDATE=200503&amp;PERIODTYPE=QTR_STD&amp;SCFT=3&amp;window=popup_no_bar&amp;width=385&amp;height=120&amp;START_MAXIMIZED=FALSE&amp;creator=factset&amp;display_string=Audit"}</definedName>
    <definedName name="_4473__FDSAUDITLINK__" hidden="1">{"fdsup://Directions/FactSet Auditing Viewer?action=AUDIT_VALUE&amp;DB=129&amp;ID1=00790310&amp;VALUEID=02001&amp;SDATE=200503&amp;PERIODTYPE=QTR_STD&amp;SCFT=3&amp;window=popup_no_bar&amp;width=385&amp;height=120&amp;START_MAXIMIZED=FALSE&amp;creator=factset&amp;display_string=Audit"}</definedName>
    <definedName name="_4474__FDSAUDITLINK__" localSheetId="7" hidden="1">{"fdsup://Directions/FactSet Auditing Viewer?action=AUDIT_VALUE&amp;DB=129&amp;ID1=00790310&amp;VALUEID=02001&amp;SDATE=200503&amp;PERIODTYPE=QTR_STD&amp;SCFT=3&amp;window=popup_no_bar&amp;width=385&amp;height=120&amp;START_MAXIMIZED=FALSE&amp;creator=factset&amp;display_string=Audit"}</definedName>
    <definedName name="_4474__FDSAUDITLINK__" hidden="1">{"fdsup://Directions/FactSet Auditing Viewer?action=AUDIT_VALUE&amp;DB=129&amp;ID1=00790310&amp;VALUEID=02001&amp;SDATE=200503&amp;PERIODTYPE=QTR_STD&amp;SCFT=3&amp;window=popup_no_bar&amp;width=385&amp;height=120&amp;START_MAXIMIZED=FALSE&amp;creator=factset&amp;display_string=Audit"}</definedName>
    <definedName name="_4475__FDSAUDITLINK__" localSheetId="7" hidden="1">{"fdsup://Directions/FactSet Auditing Viewer?action=AUDIT_VALUE&amp;DB=129&amp;ID1=00790310&amp;VALUEID=02001&amp;SDATE=200502&amp;PERIODTYPE=QTR_STD&amp;SCFT=3&amp;window=popup_no_bar&amp;width=385&amp;height=120&amp;START_MAXIMIZED=FALSE&amp;creator=factset&amp;display_string=Audit"}</definedName>
    <definedName name="_4475__FDSAUDITLINK__" hidden="1">{"fdsup://Directions/FactSet Auditing Viewer?action=AUDIT_VALUE&amp;DB=129&amp;ID1=00790310&amp;VALUEID=02001&amp;SDATE=200502&amp;PERIODTYPE=QTR_STD&amp;SCFT=3&amp;window=popup_no_bar&amp;width=385&amp;height=120&amp;START_MAXIMIZED=FALSE&amp;creator=factset&amp;display_string=Audit"}</definedName>
    <definedName name="_4476__FDSAUDITLINK__" localSheetId="7" hidden="1">{"fdsup://Directions/FactSet Auditing Viewer?action=AUDIT_VALUE&amp;DB=129&amp;ID1=00790310&amp;VALUEID=02001&amp;SDATE=200502&amp;PERIODTYPE=QTR_STD&amp;SCFT=3&amp;window=popup_no_bar&amp;width=385&amp;height=120&amp;START_MAXIMIZED=FALSE&amp;creator=factset&amp;display_string=Audit"}</definedName>
    <definedName name="_4476__FDSAUDITLINK__" hidden="1">{"fdsup://Directions/FactSet Auditing Viewer?action=AUDIT_VALUE&amp;DB=129&amp;ID1=00790310&amp;VALUEID=02001&amp;SDATE=200502&amp;PERIODTYPE=QTR_STD&amp;SCFT=3&amp;window=popup_no_bar&amp;width=385&amp;height=120&amp;START_MAXIMIZED=FALSE&amp;creator=factset&amp;display_string=Audit"}</definedName>
    <definedName name="_4477__FDSAUDITLINK__" localSheetId="7" hidden="1">{"fdsup://Directions/FactSet Auditing Viewer?action=AUDIT_VALUE&amp;DB=129&amp;ID1=00790310&amp;VALUEID=02001&amp;SDATE=200403&amp;PERIODTYPE=QTR_STD&amp;SCFT=3&amp;window=popup_no_bar&amp;width=385&amp;height=120&amp;START_MAXIMIZED=FALSE&amp;creator=factset&amp;display_string=Audit"}</definedName>
    <definedName name="_4477__FDSAUDITLINK__" hidden="1">{"fdsup://Directions/FactSet Auditing Viewer?action=AUDIT_VALUE&amp;DB=129&amp;ID1=00790310&amp;VALUEID=02001&amp;SDATE=200403&amp;PERIODTYPE=QTR_STD&amp;SCFT=3&amp;window=popup_no_bar&amp;width=385&amp;height=120&amp;START_MAXIMIZED=FALSE&amp;creator=factset&amp;display_string=Audit"}</definedName>
    <definedName name="_4478__FDSAUDITLINK__" localSheetId="7" hidden="1">{"fdsup://Directions/FactSet Auditing Viewer?action=AUDIT_VALUE&amp;DB=129&amp;ID1=00790310&amp;VALUEID=02001&amp;SDATE=200403&amp;PERIODTYPE=QTR_STD&amp;SCFT=3&amp;window=popup_no_bar&amp;width=385&amp;height=120&amp;START_MAXIMIZED=FALSE&amp;creator=factset&amp;display_string=Audit"}</definedName>
    <definedName name="_4478__FDSAUDITLINK__" hidden="1">{"fdsup://Directions/FactSet Auditing Viewer?action=AUDIT_VALUE&amp;DB=129&amp;ID1=00790310&amp;VALUEID=02001&amp;SDATE=200403&amp;PERIODTYPE=QTR_STD&amp;SCFT=3&amp;window=popup_no_bar&amp;width=385&amp;height=120&amp;START_MAXIMIZED=FALSE&amp;creator=factset&amp;display_string=Audit"}</definedName>
    <definedName name="_4479__FDSAUDITLINK__" localSheetId="7" hidden="1">{"fdsup://Directions/FactSet Auditing Viewer?action=AUDIT_VALUE&amp;DB=129&amp;ID1=00790310&amp;VALUEID=02001&amp;SDATE=200402&amp;PERIODTYPE=QTR_STD&amp;SCFT=3&amp;window=popup_no_bar&amp;width=385&amp;height=120&amp;START_MAXIMIZED=FALSE&amp;creator=factset&amp;display_string=Audit"}</definedName>
    <definedName name="_4479__FDSAUDITLINK__" hidden="1">{"fdsup://Directions/FactSet Auditing Viewer?action=AUDIT_VALUE&amp;DB=129&amp;ID1=00790310&amp;VALUEID=02001&amp;SDATE=200402&amp;PERIODTYPE=QTR_STD&amp;SCFT=3&amp;window=popup_no_bar&amp;width=385&amp;height=120&amp;START_MAXIMIZED=FALSE&amp;creator=factset&amp;display_string=Audit"}</definedName>
    <definedName name="_448__FDSAUDITLINK__" localSheetId="7" hidden="1">{"fdsup://Directions/FactSet Auditing Viewer?action=AUDIT_VALUE&amp;DB=129&amp;ID1=95810210&amp;VALUEID=02001&amp;SDATE=201004&amp;PERIODTYPE=QTR_STD&amp;SCFT=3&amp;window=popup_no_bar&amp;width=385&amp;height=120&amp;START_MAXIMIZED=FALSE&amp;creator=factset&amp;display_string=Audit"}</definedName>
    <definedName name="_448__FDSAUDITLINK__" hidden="1">{"fdsup://Directions/FactSet Auditing Viewer?action=AUDIT_VALUE&amp;DB=129&amp;ID1=95810210&amp;VALUEID=02001&amp;SDATE=201004&amp;PERIODTYPE=QTR_STD&amp;SCFT=3&amp;window=popup_no_bar&amp;width=385&amp;height=120&amp;START_MAXIMIZED=FALSE&amp;creator=factset&amp;display_string=Audit"}</definedName>
    <definedName name="_4480__FDSAUDITLINK__" localSheetId="7" hidden="1">{"fdsup://Directions/FactSet Auditing Viewer?action=AUDIT_VALUE&amp;DB=129&amp;ID1=00790310&amp;VALUEID=02001&amp;SDATE=200402&amp;PERIODTYPE=QTR_STD&amp;SCFT=3&amp;window=popup_no_bar&amp;width=385&amp;height=120&amp;START_MAXIMIZED=FALSE&amp;creator=factset&amp;display_string=Audit"}</definedName>
    <definedName name="_4480__FDSAUDITLINK__" hidden="1">{"fdsup://Directions/FactSet Auditing Viewer?action=AUDIT_VALUE&amp;DB=129&amp;ID1=00790310&amp;VALUEID=02001&amp;SDATE=200402&amp;PERIODTYPE=QTR_STD&amp;SCFT=3&amp;window=popup_no_bar&amp;width=385&amp;height=120&amp;START_MAXIMIZED=FALSE&amp;creator=factset&amp;display_string=Audit"}</definedName>
    <definedName name="_4481__FDSAUDITLINK__" localSheetId="7" hidden="1">{"fdsup://Directions/FactSet Auditing Viewer?action=AUDIT_VALUE&amp;DB=129&amp;ID1=00790310&amp;VALUEID=02001&amp;SDATE=200401&amp;PERIODTYPE=QTR_STD&amp;SCFT=3&amp;window=popup_no_bar&amp;width=385&amp;height=120&amp;START_MAXIMIZED=FALSE&amp;creator=factset&amp;display_string=Audit"}</definedName>
    <definedName name="_4481__FDSAUDITLINK__" hidden="1">{"fdsup://Directions/FactSet Auditing Viewer?action=AUDIT_VALUE&amp;DB=129&amp;ID1=00790310&amp;VALUEID=02001&amp;SDATE=200401&amp;PERIODTYPE=QTR_STD&amp;SCFT=3&amp;window=popup_no_bar&amp;width=385&amp;height=120&amp;START_MAXIMIZED=FALSE&amp;creator=factset&amp;display_string=Audit"}</definedName>
    <definedName name="_4482__FDSAUDITLINK__" localSheetId="7" hidden="1">{"fdsup://Directions/FactSet Auditing Viewer?action=AUDIT_VALUE&amp;DB=129&amp;ID1=00790310&amp;VALUEID=02001&amp;SDATE=200401&amp;PERIODTYPE=QTR_STD&amp;SCFT=3&amp;window=popup_no_bar&amp;width=385&amp;height=120&amp;START_MAXIMIZED=FALSE&amp;creator=factset&amp;display_string=Audit"}</definedName>
    <definedName name="_4482__FDSAUDITLINK__" hidden="1">{"fdsup://Directions/FactSet Auditing Viewer?action=AUDIT_VALUE&amp;DB=129&amp;ID1=00790310&amp;VALUEID=02001&amp;SDATE=200401&amp;PERIODTYPE=QTR_STD&amp;SCFT=3&amp;window=popup_no_bar&amp;width=385&amp;height=120&amp;START_MAXIMIZED=FALSE&amp;creator=factset&amp;display_string=Audit"}</definedName>
    <definedName name="_4483__FDSAUDITLINK__" localSheetId="7" hidden="1">{"fdsup://Directions/FactSet Auditing Viewer?action=AUDIT_VALUE&amp;DB=129&amp;ID1=03822W40&amp;VALUEID=02001&amp;SDATE=200703&amp;PERIODTYPE=QTR_STD&amp;SCFT=3&amp;window=popup_no_bar&amp;width=385&amp;height=120&amp;START_MAXIMIZED=FALSE&amp;creator=factset&amp;display_string=Audit"}</definedName>
    <definedName name="_4483__FDSAUDITLINK__" hidden="1">{"fdsup://Directions/FactSet Auditing Viewer?action=AUDIT_VALUE&amp;DB=129&amp;ID1=03822W40&amp;VALUEID=02001&amp;SDATE=200703&amp;PERIODTYPE=QTR_STD&amp;SCFT=3&amp;window=popup_no_bar&amp;width=385&amp;height=120&amp;START_MAXIMIZED=FALSE&amp;creator=factset&amp;display_string=Audit"}</definedName>
    <definedName name="_4484__FDSAUDITLINK__" localSheetId="7" hidden="1">{"fdsup://Directions/FactSet Auditing Viewer?action=AUDIT_VALUE&amp;DB=129&amp;ID1=03822W40&amp;VALUEID=02001&amp;SDATE=200703&amp;PERIODTYPE=QTR_STD&amp;SCFT=3&amp;window=popup_no_bar&amp;width=385&amp;height=120&amp;START_MAXIMIZED=FALSE&amp;creator=factset&amp;display_string=Audit"}</definedName>
    <definedName name="_4484__FDSAUDITLINK__" hidden="1">{"fdsup://Directions/FactSet Auditing Viewer?action=AUDIT_VALUE&amp;DB=129&amp;ID1=03822W40&amp;VALUEID=02001&amp;SDATE=200703&amp;PERIODTYPE=QTR_STD&amp;SCFT=3&amp;window=popup_no_bar&amp;width=385&amp;height=120&amp;START_MAXIMIZED=FALSE&amp;creator=factset&amp;display_string=Audit"}</definedName>
    <definedName name="_4485__FDSAUDITLINK__" localSheetId="7" hidden="1">{"fdsup://Directions/FactSet Auditing Viewer?action=AUDIT_VALUE&amp;DB=129&amp;ID1=03822W40&amp;VALUEID=02001&amp;SDATE=200702&amp;PERIODTYPE=QTR_STD&amp;SCFT=3&amp;window=popup_no_bar&amp;width=385&amp;height=120&amp;START_MAXIMIZED=FALSE&amp;creator=factset&amp;display_string=Audit"}</definedName>
    <definedName name="_4485__FDSAUDITLINK__" hidden="1">{"fdsup://Directions/FactSet Auditing Viewer?action=AUDIT_VALUE&amp;DB=129&amp;ID1=03822W40&amp;VALUEID=02001&amp;SDATE=200702&amp;PERIODTYPE=QTR_STD&amp;SCFT=3&amp;window=popup_no_bar&amp;width=385&amp;height=120&amp;START_MAXIMIZED=FALSE&amp;creator=factset&amp;display_string=Audit"}</definedName>
    <definedName name="_4486__FDSAUDITLINK__" localSheetId="7" hidden="1">{"fdsup://Directions/FactSet Auditing Viewer?action=AUDIT_VALUE&amp;DB=129&amp;ID1=03822W40&amp;VALUEID=02001&amp;SDATE=200702&amp;PERIODTYPE=QTR_STD&amp;SCFT=3&amp;window=popup_no_bar&amp;width=385&amp;height=120&amp;START_MAXIMIZED=FALSE&amp;creator=factset&amp;display_string=Audit"}</definedName>
    <definedName name="_4486__FDSAUDITLINK__" hidden="1">{"fdsup://Directions/FactSet Auditing Viewer?action=AUDIT_VALUE&amp;DB=129&amp;ID1=03822W40&amp;VALUEID=02001&amp;SDATE=200702&amp;PERIODTYPE=QTR_STD&amp;SCFT=3&amp;window=popup_no_bar&amp;width=385&amp;height=120&amp;START_MAXIMIZED=FALSE&amp;creator=factset&amp;display_string=Audit"}</definedName>
    <definedName name="_4487__FDSAUDITLINK__" localSheetId="7" hidden="1">{"fdsup://Directions/FactSet Auditing Viewer?action=AUDIT_VALUE&amp;DB=129&amp;ID1=03822W40&amp;VALUEID=02001&amp;SDATE=200701&amp;PERIODTYPE=QTR_STD&amp;SCFT=3&amp;window=popup_no_bar&amp;width=385&amp;height=120&amp;START_MAXIMIZED=FALSE&amp;creator=factset&amp;display_string=Audit"}</definedName>
    <definedName name="_4487__FDSAUDITLINK__" hidden="1">{"fdsup://Directions/FactSet Auditing Viewer?action=AUDIT_VALUE&amp;DB=129&amp;ID1=03822W40&amp;VALUEID=02001&amp;SDATE=200701&amp;PERIODTYPE=QTR_STD&amp;SCFT=3&amp;window=popup_no_bar&amp;width=385&amp;height=120&amp;START_MAXIMIZED=FALSE&amp;creator=factset&amp;display_string=Audit"}</definedName>
    <definedName name="_4488__FDSAUDITLINK__" localSheetId="7" hidden="1">{"fdsup://Directions/FactSet Auditing Viewer?action=AUDIT_VALUE&amp;DB=129&amp;ID1=03822W40&amp;VALUEID=02001&amp;SDATE=200701&amp;PERIODTYPE=QTR_STD&amp;SCFT=3&amp;window=popup_no_bar&amp;width=385&amp;height=120&amp;START_MAXIMIZED=FALSE&amp;creator=factset&amp;display_string=Audit"}</definedName>
    <definedName name="_4488__FDSAUDITLINK__" hidden="1">{"fdsup://Directions/FactSet Auditing Viewer?action=AUDIT_VALUE&amp;DB=129&amp;ID1=03822W40&amp;VALUEID=02001&amp;SDATE=200701&amp;PERIODTYPE=QTR_STD&amp;SCFT=3&amp;window=popup_no_bar&amp;width=385&amp;height=120&amp;START_MAXIMIZED=FALSE&amp;creator=factset&amp;display_string=Audit"}</definedName>
    <definedName name="_4489__FDSAUDITLINK__" localSheetId="7" hidden="1">{"fdsup://Directions/FactSet Auditing Viewer?action=AUDIT_VALUE&amp;DB=129&amp;ID1=03822W40&amp;VALUEID=02001&amp;SDATE=200603&amp;PERIODTYPE=QTR_STD&amp;SCFT=3&amp;window=popup_no_bar&amp;width=385&amp;height=120&amp;START_MAXIMIZED=FALSE&amp;creator=factset&amp;display_string=Audit"}</definedName>
    <definedName name="_4489__FDSAUDITLINK__" hidden="1">{"fdsup://Directions/FactSet Auditing Viewer?action=AUDIT_VALUE&amp;DB=129&amp;ID1=03822W40&amp;VALUEID=02001&amp;SDATE=200603&amp;PERIODTYPE=QTR_STD&amp;SCFT=3&amp;window=popup_no_bar&amp;width=385&amp;height=120&amp;START_MAXIMIZED=FALSE&amp;creator=factset&amp;display_string=Audit"}</definedName>
    <definedName name="_449__FDSAUDITLINK__" localSheetId="7" hidden="1">{"fdsup://Directions/FactSet Auditing Viewer?action=AUDIT_VALUE&amp;DB=129&amp;ID1=92849730&amp;VALUEID=02001&amp;SDATE=201003&amp;PERIODTYPE=QTR_STD&amp;SCFT=3&amp;window=popup_no_bar&amp;width=385&amp;height=120&amp;START_MAXIMIZED=FALSE&amp;creator=factset&amp;display_string=Audit"}</definedName>
    <definedName name="_449__FDSAUDITLINK__" hidden="1">{"fdsup://Directions/FactSet Auditing Viewer?action=AUDIT_VALUE&amp;DB=129&amp;ID1=92849730&amp;VALUEID=02001&amp;SDATE=201003&amp;PERIODTYPE=QTR_STD&amp;SCFT=3&amp;window=popup_no_bar&amp;width=385&amp;height=120&amp;START_MAXIMIZED=FALSE&amp;creator=factset&amp;display_string=Audit"}</definedName>
    <definedName name="_4490__FDSAUDITLINK__" localSheetId="7" hidden="1">{"fdsup://Directions/FactSet Auditing Viewer?action=AUDIT_VALUE&amp;DB=129&amp;ID1=03822W40&amp;VALUEID=02001&amp;SDATE=200603&amp;PERIODTYPE=QTR_STD&amp;SCFT=3&amp;window=popup_no_bar&amp;width=385&amp;height=120&amp;START_MAXIMIZED=FALSE&amp;creator=factset&amp;display_string=Audit"}</definedName>
    <definedName name="_4490__FDSAUDITLINK__" hidden="1">{"fdsup://Directions/FactSet Auditing Viewer?action=AUDIT_VALUE&amp;DB=129&amp;ID1=03822W40&amp;VALUEID=02001&amp;SDATE=200603&amp;PERIODTYPE=QTR_STD&amp;SCFT=3&amp;window=popup_no_bar&amp;width=385&amp;height=120&amp;START_MAXIMIZED=FALSE&amp;creator=factset&amp;display_string=Audit"}</definedName>
    <definedName name="_4491__FDSAUDITLINK__" localSheetId="7" hidden="1">{"fdsup://Directions/FactSet Auditing Viewer?action=AUDIT_VALUE&amp;DB=129&amp;ID1=03822W40&amp;VALUEID=02001&amp;SDATE=200602&amp;PERIODTYPE=QTR_STD&amp;SCFT=3&amp;window=popup_no_bar&amp;width=385&amp;height=120&amp;START_MAXIMIZED=FALSE&amp;creator=factset&amp;display_string=Audit"}</definedName>
    <definedName name="_4491__FDSAUDITLINK__" hidden="1">{"fdsup://Directions/FactSet Auditing Viewer?action=AUDIT_VALUE&amp;DB=129&amp;ID1=03822W40&amp;VALUEID=02001&amp;SDATE=200602&amp;PERIODTYPE=QTR_STD&amp;SCFT=3&amp;window=popup_no_bar&amp;width=385&amp;height=120&amp;START_MAXIMIZED=FALSE&amp;creator=factset&amp;display_string=Audit"}</definedName>
    <definedName name="_4492__FDSAUDITLINK__" localSheetId="7" hidden="1">{"fdsup://Directions/FactSet Auditing Viewer?action=AUDIT_VALUE&amp;DB=129&amp;ID1=03822W40&amp;VALUEID=02001&amp;SDATE=200602&amp;PERIODTYPE=QTR_STD&amp;SCFT=3&amp;window=popup_no_bar&amp;width=385&amp;height=120&amp;START_MAXIMIZED=FALSE&amp;creator=factset&amp;display_string=Audit"}</definedName>
    <definedName name="_4492__FDSAUDITLINK__" hidden="1">{"fdsup://Directions/FactSet Auditing Viewer?action=AUDIT_VALUE&amp;DB=129&amp;ID1=03822W40&amp;VALUEID=02001&amp;SDATE=200602&amp;PERIODTYPE=QTR_STD&amp;SCFT=3&amp;window=popup_no_bar&amp;width=385&amp;height=120&amp;START_MAXIMIZED=FALSE&amp;creator=factset&amp;display_string=Audit"}</definedName>
    <definedName name="_4493__FDSAUDITLINK__" localSheetId="7" hidden="1">{"fdsup://Directions/FactSet Auditing Viewer?action=AUDIT_VALUE&amp;DB=129&amp;ID1=03822W40&amp;VALUEID=02001&amp;SDATE=200601&amp;PERIODTYPE=QTR_STD&amp;SCFT=3&amp;window=popup_no_bar&amp;width=385&amp;height=120&amp;START_MAXIMIZED=FALSE&amp;creator=factset&amp;display_string=Audit"}</definedName>
    <definedName name="_4493__FDSAUDITLINK__" hidden="1">{"fdsup://Directions/FactSet Auditing Viewer?action=AUDIT_VALUE&amp;DB=129&amp;ID1=03822W40&amp;VALUEID=02001&amp;SDATE=200601&amp;PERIODTYPE=QTR_STD&amp;SCFT=3&amp;window=popup_no_bar&amp;width=385&amp;height=120&amp;START_MAXIMIZED=FALSE&amp;creator=factset&amp;display_string=Audit"}</definedName>
    <definedName name="_4494__FDSAUDITLINK__" localSheetId="7" hidden="1">{"fdsup://Directions/FactSet Auditing Viewer?action=AUDIT_VALUE&amp;DB=129&amp;ID1=03822W40&amp;VALUEID=02001&amp;SDATE=200601&amp;PERIODTYPE=QTR_STD&amp;SCFT=3&amp;window=popup_no_bar&amp;width=385&amp;height=120&amp;START_MAXIMIZED=FALSE&amp;creator=factset&amp;display_string=Audit"}</definedName>
    <definedName name="_4494__FDSAUDITLINK__" hidden="1">{"fdsup://Directions/FactSet Auditing Viewer?action=AUDIT_VALUE&amp;DB=129&amp;ID1=03822W40&amp;VALUEID=02001&amp;SDATE=200601&amp;PERIODTYPE=QTR_STD&amp;SCFT=3&amp;window=popup_no_bar&amp;width=385&amp;height=120&amp;START_MAXIMIZED=FALSE&amp;creator=factset&amp;display_string=Audit"}</definedName>
    <definedName name="_4495__FDSAUDITLINK__" localSheetId="7" hidden="1">{"fdsup://Directions/FactSet Auditing Viewer?action=AUDIT_VALUE&amp;DB=129&amp;ID1=03822W40&amp;VALUEID=02001&amp;SDATE=200503&amp;PERIODTYPE=QTR_STD&amp;SCFT=3&amp;window=popup_no_bar&amp;width=385&amp;height=120&amp;START_MAXIMIZED=FALSE&amp;creator=factset&amp;display_string=Audit"}</definedName>
    <definedName name="_4495__FDSAUDITLINK__" hidden="1">{"fdsup://Directions/FactSet Auditing Viewer?action=AUDIT_VALUE&amp;DB=129&amp;ID1=03822W40&amp;VALUEID=02001&amp;SDATE=200503&amp;PERIODTYPE=QTR_STD&amp;SCFT=3&amp;window=popup_no_bar&amp;width=385&amp;height=120&amp;START_MAXIMIZED=FALSE&amp;creator=factset&amp;display_string=Audit"}</definedName>
    <definedName name="_4496__FDSAUDITLINK__" localSheetId="7" hidden="1">{"fdsup://Directions/FactSet Auditing Viewer?action=AUDIT_VALUE&amp;DB=129&amp;ID1=03822W40&amp;VALUEID=02001&amp;SDATE=200503&amp;PERIODTYPE=QTR_STD&amp;SCFT=3&amp;window=popup_no_bar&amp;width=385&amp;height=120&amp;START_MAXIMIZED=FALSE&amp;creator=factset&amp;display_string=Audit"}</definedName>
    <definedName name="_4496__FDSAUDITLINK__" hidden="1">{"fdsup://Directions/FactSet Auditing Viewer?action=AUDIT_VALUE&amp;DB=129&amp;ID1=03822W40&amp;VALUEID=02001&amp;SDATE=200503&amp;PERIODTYPE=QTR_STD&amp;SCFT=3&amp;window=popup_no_bar&amp;width=385&amp;height=120&amp;START_MAXIMIZED=FALSE&amp;creator=factset&amp;display_string=Audit"}</definedName>
    <definedName name="_4497__FDSAUDITLINK__" localSheetId="7" hidden="1">{"fdsup://Directions/FactSet Auditing Viewer?action=AUDIT_VALUE&amp;DB=129&amp;ID1=03822W40&amp;VALUEID=02001&amp;SDATE=200502&amp;PERIODTYPE=QTR_STD&amp;SCFT=3&amp;window=popup_no_bar&amp;width=385&amp;height=120&amp;START_MAXIMIZED=FALSE&amp;creator=factset&amp;display_string=Audit"}</definedName>
    <definedName name="_4497__FDSAUDITLINK__" hidden="1">{"fdsup://Directions/FactSet Auditing Viewer?action=AUDIT_VALUE&amp;DB=129&amp;ID1=03822W40&amp;VALUEID=02001&amp;SDATE=200502&amp;PERIODTYPE=QTR_STD&amp;SCFT=3&amp;window=popup_no_bar&amp;width=385&amp;height=120&amp;START_MAXIMIZED=FALSE&amp;creator=factset&amp;display_string=Audit"}</definedName>
    <definedName name="_4498__FDSAUDITLINK__" localSheetId="7" hidden="1">{"fdsup://Directions/FactSet Auditing Viewer?action=AUDIT_VALUE&amp;DB=129&amp;ID1=03822W40&amp;VALUEID=02001&amp;SDATE=200502&amp;PERIODTYPE=QTR_STD&amp;SCFT=3&amp;window=popup_no_bar&amp;width=385&amp;height=120&amp;START_MAXIMIZED=FALSE&amp;creator=factset&amp;display_string=Audit"}</definedName>
    <definedName name="_4498__FDSAUDITLINK__" hidden="1">{"fdsup://Directions/FactSet Auditing Viewer?action=AUDIT_VALUE&amp;DB=129&amp;ID1=03822W40&amp;VALUEID=02001&amp;SDATE=200502&amp;PERIODTYPE=QTR_STD&amp;SCFT=3&amp;window=popup_no_bar&amp;width=385&amp;height=120&amp;START_MAXIMIZED=FALSE&amp;creator=factset&amp;display_string=Audit"}</definedName>
    <definedName name="_4499__FDSAUDITLINK__" localSheetId="7" hidden="1">{"fdsup://Directions/FactSet Auditing Viewer?action=AUDIT_VALUE&amp;DB=129&amp;ID1=03822W40&amp;VALUEID=02001&amp;SDATE=200501&amp;PERIODTYPE=QTR_STD&amp;SCFT=3&amp;window=popup_no_bar&amp;width=385&amp;height=120&amp;START_MAXIMIZED=FALSE&amp;creator=factset&amp;display_string=Audit"}</definedName>
    <definedName name="_4499__FDSAUDITLINK__" hidden="1">{"fdsup://Directions/FactSet Auditing Viewer?action=AUDIT_VALUE&amp;DB=129&amp;ID1=03822W40&amp;VALUEID=02001&amp;SDATE=200501&amp;PERIODTYPE=QTR_STD&amp;SCFT=3&amp;window=popup_no_bar&amp;width=385&amp;height=120&amp;START_MAXIMIZED=FALSE&amp;creator=factset&amp;display_string=Audit"}</definedName>
    <definedName name="_45__FDSAUDITLINK__" localSheetId="7" hidden="1">{"fdsup://Directions/FactSet Auditing Viewer?action=AUDIT_VALUE&amp;DB=129&amp;ID1=73927610&amp;VALUEID=02001&amp;SDATE=201101&amp;PERIODTYPE=QTR_STD&amp;SCFT=3&amp;window=popup_no_bar&amp;width=385&amp;height=120&amp;START_MAXIMIZED=FALSE&amp;creator=factset&amp;display_string=Audit"}</definedName>
    <definedName name="_45__FDSAUDITLINK__" hidden="1">{"fdsup://Directions/FactSet Auditing Viewer?action=AUDIT_VALUE&amp;DB=129&amp;ID1=73927610&amp;VALUEID=02001&amp;SDATE=201101&amp;PERIODTYPE=QTR_STD&amp;SCFT=3&amp;window=popup_no_bar&amp;width=385&amp;height=120&amp;START_MAXIMIZED=FALSE&amp;creator=factset&amp;display_string=Audit"}</definedName>
    <definedName name="_450__FDSAUDITLINK__" localSheetId="7" hidden="1">{"fdsup://Directions/FactSet Auditing Viewer?action=AUDIT_VALUE&amp;DB=129&amp;ID1=92849730&amp;VALUEID=02001&amp;SDATE=201003&amp;PERIODTYPE=QTR_STD&amp;SCFT=3&amp;window=popup_no_bar&amp;width=385&amp;height=120&amp;START_MAXIMIZED=FALSE&amp;creator=factset&amp;display_string=Audit"}</definedName>
    <definedName name="_450__FDSAUDITLINK__" hidden="1">{"fdsup://Directions/FactSet Auditing Viewer?action=AUDIT_VALUE&amp;DB=129&amp;ID1=92849730&amp;VALUEID=02001&amp;SDATE=201003&amp;PERIODTYPE=QTR_STD&amp;SCFT=3&amp;window=popup_no_bar&amp;width=385&amp;height=120&amp;START_MAXIMIZED=FALSE&amp;creator=factset&amp;display_string=Audit"}</definedName>
    <definedName name="_4500__FDSAUDITLINK__" localSheetId="7" hidden="1">{"fdsup://Directions/FactSet Auditing Viewer?action=AUDIT_VALUE&amp;DB=129&amp;ID1=03822W40&amp;VALUEID=02001&amp;SDATE=200501&amp;PERIODTYPE=QTR_STD&amp;SCFT=3&amp;window=popup_no_bar&amp;width=385&amp;height=120&amp;START_MAXIMIZED=FALSE&amp;creator=factset&amp;display_string=Audit"}</definedName>
    <definedName name="_4500__FDSAUDITLINK__" hidden="1">{"fdsup://Directions/FactSet Auditing Viewer?action=AUDIT_VALUE&amp;DB=129&amp;ID1=03822W40&amp;VALUEID=02001&amp;SDATE=200501&amp;PERIODTYPE=QTR_STD&amp;SCFT=3&amp;window=popup_no_bar&amp;width=385&amp;height=120&amp;START_MAXIMIZED=FALSE&amp;creator=factset&amp;display_string=Audit"}</definedName>
    <definedName name="_4501__FDSAUDITLINK__" localSheetId="7" hidden="1">{"fdsup://Directions/FactSet Auditing Viewer?action=AUDIT_VALUE&amp;DB=129&amp;ID1=03822W40&amp;VALUEID=02001&amp;SDATE=200403&amp;PERIODTYPE=QTR_STD&amp;SCFT=3&amp;window=popup_no_bar&amp;width=385&amp;height=120&amp;START_MAXIMIZED=FALSE&amp;creator=factset&amp;display_string=Audit"}</definedName>
    <definedName name="_4501__FDSAUDITLINK__" hidden="1">{"fdsup://Directions/FactSet Auditing Viewer?action=AUDIT_VALUE&amp;DB=129&amp;ID1=03822W40&amp;VALUEID=02001&amp;SDATE=200403&amp;PERIODTYPE=QTR_STD&amp;SCFT=3&amp;window=popup_no_bar&amp;width=385&amp;height=120&amp;START_MAXIMIZED=FALSE&amp;creator=factset&amp;display_string=Audit"}</definedName>
    <definedName name="_4502__FDSAUDITLINK__" localSheetId="7" hidden="1">{"fdsup://Directions/FactSet Auditing Viewer?action=AUDIT_VALUE&amp;DB=129&amp;ID1=03822W40&amp;VALUEID=02001&amp;SDATE=200403&amp;PERIODTYPE=QTR_STD&amp;SCFT=3&amp;window=popup_no_bar&amp;width=385&amp;height=120&amp;START_MAXIMIZED=FALSE&amp;creator=factset&amp;display_string=Audit"}</definedName>
    <definedName name="_4502__FDSAUDITLINK__" hidden="1">{"fdsup://Directions/FactSet Auditing Viewer?action=AUDIT_VALUE&amp;DB=129&amp;ID1=03822W40&amp;VALUEID=02001&amp;SDATE=200403&amp;PERIODTYPE=QTR_STD&amp;SCFT=3&amp;window=popup_no_bar&amp;width=385&amp;height=120&amp;START_MAXIMIZED=FALSE&amp;creator=factset&amp;display_string=Audit"}</definedName>
    <definedName name="_4503__FDSAUDITLINK__" localSheetId="7" hidden="1">{"fdsup://Directions/FactSet Auditing Viewer?action=AUDIT_VALUE&amp;DB=129&amp;ID1=03822W40&amp;VALUEID=02001&amp;SDATE=200402&amp;PERIODTYPE=QTR_STD&amp;SCFT=3&amp;window=popup_no_bar&amp;width=385&amp;height=120&amp;START_MAXIMIZED=FALSE&amp;creator=factset&amp;display_string=Audit"}</definedName>
    <definedName name="_4503__FDSAUDITLINK__" hidden="1">{"fdsup://Directions/FactSet Auditing Viewer?action=AUDIT_VALUE&amp;DB=129&amp;ID1=03822W40&amp;VALUEID=02001&amp;SDATE=200402&amp;PERIODTYPE=QTR_STD&amp;SCFT=3&amp;window=popup_no_bar&amp;width=385&amp;height=120&amp;START_MAXIMIZED=FALSE&amp;creator=factset&amp;display_string=Audit"}</definedName>
    <definedName name="_4504__FDSAUDITLINK__" localSheetId="7" hidden="1">{"fdsup://Directions/FactSet Auditing Viewer?action=AUDIT_VALUE&amp;DB=129&amp;ID1=03822W40&amp;VALUEID=02001&amp;SDATE=200402&amp;PERIODTYPE=QTR_STD&amp;SCFT=3&amp;window=popup_no_bar&amp;width=385&amp;height=120&amp;START_MAXIMIZED=FALSE&amp;creator=factset&amp;display_string=Audit"}</definedName>
    <definedName name="_4504__FDSAUDITLINK__" hidden="1">{"fdsup://Directions/FactSet Auditing Viewer?action=AUDIT_VALUE&amp;DB=129&amp;ID1=03822W40&amp;VALUEID=02001&amp;SDATE=200402&amp;PERIODTYPE=QTR_STD&amp;SCFT=3&amp;window=popup_no_bar&amp;width=385&amp;height=120&amp;START_MAXIMIZED=FALSE&amp;creator=factset&amp;display_string=Audit"}</definedName>
    <definedName name="_4505__FDSAUDITLINK__" localSheetId="7" hidden="1">{"fdsup://Directions/FactSet Auditing Viewer?action=AUDIT_VALUE&amp;DB=129&amp;ID1=03822W40&amp;VALUEID=02001&amp;SDATE=200401&amp;PERIODTYPE=QTR_STD&amp;SCFT=3&amp;window=popup_no_bar&amp;width=385&amp;height=120&amp;START_MAXIMIZED=FALSE&amp;creator=factset&amp;display_string=Audit"}</definedName>
    <definedName name="_4505__FDSAUDITLINK__" hidden="1">{"fdsup://Directions/FactSet Auditing Viewer?action=AUDIT_VALUE&amp;DB=129&amp;ID1=03822W40&amp;VALUEID=02001&amp;SDATE=200401&amp;PERIODTYPE=QTR_STD&amp;SCFT=3&amp;window=popup_no_bar&amp;width=385&amp;height=120&amp;START_MAXIMIZED=FALSE&amp;creator=factset&amp;display_string=Audit"}</definedName>
    <definedName name="_4506__FDSAUDITLINK__" localSheetId="7" hidden="1">{"fdsup://Directions/FactSet Auditing Viewer?action=AUDIT_VALUE&amp;DB=129&amp;ID1=03822W40&amp;VALUEID=02001&amp;SDATE=200401&amp;PERIODTYPE=QTR_STD&amp;SCFT=3&amp;window=popup_no_bar&amp;width=385&amp;height=120&amp;START_MAXIMIZED=FALSE&amp;creator=factset&amp;display_string=Audit"}</definedName>
    <definedName name="_4506__FDSAUDITLINK__" hidden="1">{"fdsup://Directions/FactSet Auditing Viewer?action=AUDIT_VALUE&amp;DB=129&amp;ID1=03822W40&amp;VALUEID=02001&amp;SDATE=200401&amp;PERIODTYPE=QTR_STD&amp;SCFT=3&amp;window=popup_no_bar&amp;width=385&amp;height=120&amp;START_MAXIMIZED=FALSE&amp;creator=factset&amp;display_string=Audit"}</definedName>
    <definedName name="_4507__FDSAUDITLINK__" localSheetId="7" hidden="1">{"fdsup://Directions/FactSet Auditing Viewer?action=AUDIT_VALUE&amp;DB=129&amp;ID1=03822210&amp;VALUEID=02001&amp;SDATE=200802&amp;PERIODTYPE=QTR_STD&amp;SCFT=3&amp;window=popup_no_bar&amp;width=385&amp;height=120&amp;START_MAXIMIZED=FALSE&amp;creator=factset&amp;display_string=Audit"}</definedName>
    <definedName name="_4507__FDSAUDITLINK__" hidden="1">{"fdsup://Directions/FactSet Auditing Viewer?action=AUDIT_VALUE&amp;DB=129&amp;ID1=03822210&amp;VALUEID=02001&amp;SDATE=200802&amp;PERIODTYPE=QTR_STD&amp;SCFT=3&amp;window=popup_no_bar&amp;width=385&amp;height=120&amp;START_MAXIMIZED=FALSE&amp;creator=factset&amp;display_string=Audit"}</definedName>
    <definedName name="_4508__FDSAUDITLINK__" localSheetId="7" hidden="1">{"fdsup://Directions/FactSet Auditing Viewer?action=AUDIT_VALUE&amp;DB=129&amp;ID1=03822210&amp;VALUEID=02001&amp;SDATE=200802&amp;PERIODTYPE=QTR_STD&amp;SCFT=3&amp;window=popup_no_bar&amp;width=385&amp;height=120&amp;START_MAXIMIZED=FALSE&amp;creator=factset&amp;display_string=Audit"}</definedName>
    <definedName name="_4508__FDSAUDITLINK__" hidden="1">{"fdsup://Directions/FactSet Auditing Viewer?action=AUDIT_VALUE&amp;DB=129&amp;ID1=03822210&amp;VALUEID=02001&amp;SDATE=200802&amp;PERIODTYPE=QTR_STD&amp;SCFT=3&amp;window=popup_no_bar&amp;width=385&amp;height=120&amp;START_MAXIMIZED=FALSE&amp;creator=factset&amp;display_string=Audit"}</definedName>
    <definedName name="_4509__FDSAUDITLINK__" localSheetId="7" hidden="1">{"fdsup://Directions/FactSet Auditing Viewer?action=AUDIT_VALUE&amp;DB=129&amp;ID1=03822210&amp;VALUEID=02001&amp;SDATE=200801&amp;PERIODTYPE=QTR_STD&amp;SCFT=3&amp;window=popup_no_bar&amp;width=385&amp;height=120&amp;START_MAXIMIZED=FALSE&amp;creator=factset&amp;display_string=Audit"}</definedName>
    <definedName name="_4509__FDSAUDITLINK__" hidden="1">{"fdsup://Directions/FactSet Auditing Viewer?action=AUDIT_VALUE&amp;DB=129&amp;ID1=03822210&amp;VALUEID=02001&amp;SDATE=200801&amp;PERIODTYPE=QTR_STD&amp;SCFT=3&amp;window=popup_no_bar&amp;width=385&amp;height=120&amp;START_MAXIMIZED=FALSE&amp;creator=factset&amp;display_string=Audit"}</definedName>
    <definedName name="_451__FDSAUDITLINK__" localSheetId="7" hidden="1">{"fdsup://Directions/FactSet Auditing Viewer?action=AUDIT_VALUE&amp;DB=129&amp;ID1=92829810&amp;VALUEID=02001&amp;SDATE=201002&amp;PERIODTYPE=QTR_STD&amp;SCFT=3&amp;window=popup_no_bar&amp;width=385&amp;height=120&amp;START_MAXIMIZED=FALSE&amp;creator=factset&amp;display_string=Audit"}</definedName>
    <definedName name="_451__FDSAUDITLINK__" hidden="1">{"fdsup://Directions/FactSet Auditing Viewer?action=AUDIT_VALUE&amp;DB=129&amp;ID1=92829810&amp;VALUEID=02001&amp;SDATE=201002&amp;PERIODTYPE=QTR_STD&amp;SCFT=3&amp;window=popup_no_bar&amp;width=385&amp;height=120&amp;START_MAXIMIZED=FALSE&amp;creator=factset&amp;display_string=Audit"}</definedName>
    <definedName name="_4510__FDSAUDITLINK__" localSheetId="7" hidden="1">{"fdsup://Directions/FactSet Auditing Viewer?action=AUDIT_VALUE&amp;DB=129&amp;ID1=03822210&amp;VALUEID=02001&amp;SDATE=200801&amp;PERIODTYPE=QTR_STD&amp;SCFT=3&amp;window=popup_no_bar&amp;width=385&amp;height=120&amp;START_MAXIMIZED=FALSE&amp;creator=factset&amp;display_string=Audit"}</definedName>
    <definedName name="_4510__FDSAUDITLINK__" hidden="1">{"fdsup://Directions/FactSet Auditing Viewer?action=AUDIT_VALUE&amp;DB=129&amp;ID1=03822210&amp;VALUEID=02001&amp;SDATE=200801&amp;PERIODTYPE=QTR_STD&amp;SCFT=3&amp;window=popup_no_bar&amp;width=385&amp;height=120&amp;START_MAXIMIZED=FALSE&amp;creator=factset&amp;display_string=Audit"}</definedName>
    <definedName name="_4511__FDSAUDITLINK__" localSheetId="7" hidden="1">{"fdsup://Directions/FactSet Auditing Viewer?action=AUDIT_VALUE&amp;DB=129&amp;ID1=03822210&amp;VALUEID=02001&amp;SDATE=200703&amp;PERIODTYPE=QTR_STD&amp;SCFT=3&amp;window=popup_no_bar&amp;width=385&amp;height=120&amp;START_MAXIMIZED=FALSE&amp;creator=factset&amp;display_string=Audit"}</definedName>
    <definedName name="_4511__FDSAUDITLINK__" hidden="1">{"fdsup://Directions/FactSet Auditing Viewer?action=AUDIT_VALUE&amp;DB=129&amp;ID1=03822210&amp;VALUEID=02001&amp;SDATE=200703&amp;PERIODTYPE=QTR_STD&amp;SCFT=3&amp;window=popup_no_bar&amp;width=385&amp;height=120&amp;START_MAXIMIZED=FALSE&amp;creator=factset&amp;display_string=Audit"}</definedName>
    <definedName name="_4512__FDSAUDITLINK__" localSheetId="7" hidden="1">{"fdsup://Directions/FactSet Auditing Viewer?action=AUDIT_VALUE&amp;DB=129&amp;ID1=03822210&amp;VALUEID=02001&amp;SDATE=200703&amp;PERIODTYPE=QTR_STD&amp;SCFT=3&amp;window=popup_no_bar&amp;width=385&amp;height=120&amp;START_MAXIMIZED=FALSE&amp;creator=factset&amp;display_string=Audit"}</definedName>
    <definedName name="_4512__FDSAUDITLINK__" hidden="1">{"fdsup://Directions/FactSet Auditing Viewer?action=AUDIT_VALUE&amp;DB=129&amp;ID1=03822210&amp;VALUEID=02001&amp;SDATE=200703&amp;PERIODTYPE=QTR_STD&amp;SCFT=3&amp;window=popup_no_bar&amp;width=385&amp;height=120&amp;START_MAXIMIZED=FALSE&amp;creator=factset&amp;display_string=Audit"}</definedName>
    <definedName name="_4513__FDSAUDITLINK__" localSheetId="7" hidden="1">{"fdsup://Directions/FactSet Auditing Viewer?action=AUDIT_VALUE&amp;DB=129&amp;ID1=03822210&amp;VALUEID=02001&amp;SDATE=200702&amp;PERIODTYPE=QTR_STD&amp;SCFT=3&amp;window=popup_no_bar&amp;width=385&amp;height=120&amp;START_MAXIMIZED=FALSE&amp;creator=factset&amp;display_string=Audit"}</definedName>
    <definedName name="_4513__FDSAUDITLINK__" hidden="1">{"fdsup://Directions/FactSet Auditing Viewer?action=AUDIT_VALUE&amp;DB=129&amp;ID1=03822210&amp;VALUEID=02001&amp;SDATE=200702&amp;PERIODTYPE=QTR_STD&amp;SCFT=3&amp;window=popup_no_bar&amp;width=385&amp;height=120&amp;START_MAXIMIZED=FALSE&amp;creator=factset&amp;display_string=Audit"}</definedName>
    <definedName name="_4514__FDSAUDITLINK__" localSheetId="7" hidden="1">{"fdsup://Directions/FactSet Auditing Viewer?action=AUDIT_VALUE&amp;DB=129&amp;ID1=03822210&amp;VALUEID=02001&amp;SDATE=200702&amp;PERIODTYPE=QTR_STD&amp;SCFT=3&amp;window=popup_no_bar&amp;width=385&amp;height=120&amp;START_MAXIMIZED=FALSE&amp;creator=factset&amp;display_string=Audit"}</definedName>
    <definedName name="_4514__FDSAUDITLINK__" hidden="1">{"fdsup://Directions/FactSet Auditing Viewer?action=AUDIT_VALUE&amp;DB=129&amp;ID1=03822210&amp;VALUEID=02001&amp;SDATE=200702&amp;PERIODTYPE=QTR_STD&amp;SCFT=3&amp;window=popup_no_bar&amp;width=385&amp;height=120&amp;START_MAXIMIZED=FALSE&amp;creator=factset&amp;display_string=Audit"}</definedName>
    <definedName name="_4515__FDSAUDITLINK__" localSheetId="7" hidden="1">{"fdsup://Directions/FactSet Auditing Viewer?action=AUDIT_VALUE&amp;DB=129&amp;ID1=03822210&amp;VALUEID=02001&amp;SDATE=200701&amp;PERIODTYPE=QTR_STD&amp;SCFT=3&amp;window=popup_no_bar&amp;width=385&amp;height=120&amp;START_MAXIMIZED=FALSE&amp;creator=factset&amp;display_string=Audit"}</definedName>
    <definedName name="_4515__FDSAUDITLINK__" hidden="1">{"fdsup://Directions/FactSet Auditing Viewer?action=AUDIT_VALUE&amp;DB=129&amp;ID1=03822210&amp;VALUEID=02001&amp;SDATE=200701&amp;PERIODTYPE=QTR_STD&amp;SCFT=3&amp;window=popup_no_bar&amp;width=385&amp;height=120&amp;START_MAXIMIZED=FALSE&amp;creator=factset&amp;display_string=Audit"}</definedName>
    <definedName name="_4516__FDSAUDITLINK__" localSheetId="7" hidden="1">{"fdsup://Directions/FactSet Auditing Viewer?action=AUDIT_VALUE&amp;DB=129&amp;ID1=03822210&amp;VALUEID=02001&amp;SDATE=200701&amp;PERIODTYPE=QTR_STD&amp;SCFT=3&amp;window=popup_no_bar&amp;width=385&amp;height=120&amp;START_MAXIMIZED=FALSE&amp;creator=factset&amp;display_string=Audit"}</definedName>
    <definedName name="_4516__FDSAUDITLINK__" hidden="1">{"fdsup://Directions/FactSet Auditing Viewer?action=AUDIT_VALUE&amp;DB=129&amp;ID1=03822210&amp;VALUEID=02001&amp;SDATE=200701&amp;PERIODTYPE=QTR_STD&amp;SCFT=3&amp;window=popup_no_bar&amp;width=385&amp;height=120&amp;START_MAXIMIZED=FALSE&amp;creator=factset&amp;display_string=Audit"}</definedName>
    <definedName name="_4517__FDSAUDITLINK__" localSheetId="7" hidden="1">{"fdsup://Directions/FactSet Auditing Viewer?action=AUDIT_VALUE&amp;DB=129&amp;ID1=03822210&amp;VALUEID=02001&amp;SDATE=200603&amp;PERIODTYPE=QTR_STD&amp;SCFT=3&amp;window=popup_no_bar&amp;width=385&amp;height=120&amp;START_MAXIMIZED=FALSE&amp;creator=factset&amp;display_string=Audit"}</definedName>
    <definedName name="_4517__FDSAUDITLINK__" hidden="1">{"fdsup://Directions/FactSet Auditing Viewer?action=AUDIT_VALUE&amp;DB=129&amp;ID1=03822210&amp;VALUEID=02001&amp;SDATE=200603&amp;PERIODTYPE=QTR_STD&amp;SCFT=3&amp;window=popup_no_bar&amp;width=385&amp;height=120&amp;START_MAXIMIZED=FALSE&amp;creator=factset&amp;display_string=Audit"}</definedName>
    <definedName name="_4518__FDSAUDITLINK__" localSheetId="7" hidden="1">{"fdsup://Directions/FactSet Auditing Viewer?action=AUDIT_VALUE&amp;DB=129&amp;ID1=03822210&amp;VALUEID=02001&amp;SDATE=200603&amp;PERIODTYPE=QTR_STD&amp;SCFT=3&amp;window=popup_no_bar&amp;width=385&amp;height=120&amp;START_MAXIMIZED=FALSE&amp;creator=factset&amp;display_string=Audit"}</definedName>
    <definedName name="_4518__FDSAUDITLINK__" hidden="1">{"fdsup://Directions/FactSet Auditing Viewer?action=AUDIT_VALUE&amp;DB=129&amp;ID1=03822210&amp;VALUEID=02001&amp;SDATE=200603&amp;PERIODTYPE=QTR_STD&amp;SCFT=3&amp;window=popup_no_bar&amp;width=385&amp;height=120&amp;START_MAXIMIZED=FALSE&amp;creator=factset&amp;display_string=Audit"}</definedName>
    <definedName name="_4519__FDSAUDITLINK__" localSheetId="7" hidden="1">{"fdsup://Directions/FactSet Auditing Viewer?action=AUDIT_VALUE&amp;DB=129&amp;ID1=03822210&amp;VALUEID=02001&amp;SDATE=200602&amp;PERIODTYPE=QTR_STD&amp;SCFT=3&amp;window=popup_no_bar&amp;width=385&amp;height=120&amp;START_MAXIMIZED=FALSE&amp;creator=factset&amp;display_string=Audit"}</definedName>
    <definedName name="_4519__FDSAUDITLINK__" hidden="1">{"fdsup://Directions/FactSet Auditing Viewer?action=AUDIT_VALUE&amp;DB=129&amp;ID1=03822210&amp;VALUEID=02001&amp;SDATE=200602&amp;PERIODTYPE=QTR_STD&amp;SCFT=3&amp;window=popup_no_bar&amp;width=385&amp;height=120&amp;START_MAXIMIZED=FALSE&amp;creator=factset&amp;display_string=Audit"}</definedName>
    <definedName name="_452__FDSAUDITLINK__" localSheetId="7" hidden="1">{"fdsup://Directions/FactSet Auditing Viewer?action=AUDIT_VALUE&amp;DB=129&amp;ID1=92829810&amp;VALUEID=02001&amp;SDATE=201002&amp;PERIODTYPE=QTR_STD&amp;SCFT=3&amp;window=popup_no_bar&amp;width=385&amp;height=120&amp;START_MAXIMIZED=FALSE&amp;creator=factset&amp;display_string=Audit"}</definedName>
    <definedName name="_452__FDSAUDITLINK__" hidden="1">{"fdsup://Directions/FactSet Auditing Viewer?action=AUDIT_VALUE&amp;DB=129&amp;ID1=92829810&amp;VALUEID=02001&amp;SDATE=201002&amp;PERIODTYPE=QTR_STD&amp;SCFT=3&amp;window=popup_no_bar&amp;width=385&amp;height=120&amp;START_MAXIMIZED=FALSE&amp;creator=factset&amp;display_string=Audit"}</definedName>
    <definedName name="_4520__FDSAUDITLINK__" localSheetId="7" hidden="1">{"fdsup://Directions/FactSet Auditing Viewer?action=AUDIT_VALUE&amp;DB=129&amp;ID1=03822210&amp;VALUEID=02001&amp;SDATE=200602&amp;PERIODTYPE=QTR_STD&amp;SCFT=3&amp;window=popup_no_bar&amp;width=385&amp;height=120&amp;START_MAXIMIZED=FALSE&amp;creator=factset&amp;display_string=Audit"}</definedName>
    <definedName name="_4520__FDSAUDITLINK__" hidden="1">{"fdsup://Directions/FactSet Auditing Viewer?action=AUDIT_VALUE&amp;DB=129&amp;ID1=03822210&amp;VALUEID=02001&amp;SDATE=200602&amp;PERIODTYPE=QTR_STD&amp;SCFT=3&amp;window=popup_no_bar&amp;width=385&amp;height=120&amp;START_MAXIMIZED=FALSE&amp;creator=factset&amp;display_string=Audit"}</definedName>
    <definedName name="_4521__FDSAUDITLINK__" localSheetId="7" hidden="1">{"fdsup://Directions/FactSet Auditing Viewer?action=AUDIT_VALUE&amp;DB=129&amp;ID1=03822210&amp;VALUEID=02001&amp;SDATE=200601&amp;PERIODTYPE=QTR_STD&amp;SCFT=3&amp;window=popup_no_bar&amp;width=385&amp;height=120&amp;START_MAXIMIZED=FALSE&amp;creator=factset&amp;display_string=Audit"}</definedName>
    <definedName name="_4521__FDSAUDITLINK__" hidden="1">{"fdsup://Directions/FactSet Auditing Viewer?action=AUDIT_VALUE&amp;DB=129&amp;ID1=03822210&amp;VALUEID=02001&amp;SDATE=200601&amp;PERIODTYPE=QTR_STD&amp;SCFT=3&amp;window=popup_no_bar&amp;width=385&amp;height=120&amp;START_MAXIMIZED=FALSE&amp;creator=factset&amp;display_string=Audit"}</definedName>
    <definedName name="_4522__FDSAUDITLINK__" localSheetId="7" hidden="1">{"fdsup://Directions/FactSet Auditing Viewer?action=AUDIT_VALUE&amp;DB=129&amp;ID1=03822210&amp;VALUEID=02001&amp;SDATE=200601&amp;PERIODTYPE=QTR_STD&amp;SCFT=3&amp;window=popup_no_bar&amp;width=385&amp;height=120&amp;START_MAXIMIZED=FALSE&amp;creator=factset&amp;display_string=Audit"}</definedName>
    <definedName name="_4522__FDSAUDITLINK__" hidden="1">{"fdsup://Directions/FactSet Auditing Viewer?action=AUDIT_VALUE&amp;DB=129&amp;ID1=03822210&amp;VALUEID=02001&amp;SDATE=200601&amp;PERIODTYPE=QTR_STD&amp;SCFT=3&amp;window=popup_no_bar&amp;width=385&amp;height=120&amp;START_MAXIMIZED=FALSE&amp;creator=factset&amp;display_string=Audit"}</definedName>
    <definedName name="_4523__FDSAUDITLINK__" localSheetId="7" hidden="1">{"fdsup://Directions/FactSet Auditing Viewer?action=AUDIT_VALUE&amp;DB=129&amp;ID1=03822210&amp;VALUEID=02001&amp;SDATE=200503&amp;PERIODTYPE=QTR_STD&amp;SCFT=3&amp;window=popup_no_bar&amp;width=385&amp;height=120&amp;START_MAXIMIZED=FALSE&amp;creator=factset&amp;display_string=Audit"}</definedName>
    <definedName name="_4523__FDSAUDITLINK__" hidden="1">{"fdsup://Directions/FactSet Auditing Viewer?action=AUDIT_VALUE&amp;DB=129&amp;ID1=03822210&amp;VALUEID=02001&amp;SDATE=200503&amp;PERIODTYPE=QTR_STD&amp;SCFT=3&amp;window=popup_no_bar&amp;width=385&amp;height=120&amp;START_MAXIMIZED=FALSE&amp;creator=factset&amp;display_string=Audit"}</definedName>
    <definedName name="_4524__FDSAUDITLINK__" localSheetId="7" hidden="1">{"fdsup://Directions/FactSet Auditing Viewer?action=AUDIT_VALUE&amp;DB=129&amp;ID1=03822210&amp;VALUEID=02001&amp;SDATE=200503&amp;PERIODTYPE=QTR_STD&amp;SCFT=3&amp;window=popup_no_bar&amp;width=385&amp;height=120&amp;START_MAXIMIZED=FALSE&amp;creator=factset&amp;display_string=Audit"}</definedName>
    <definedName name="_4524__FDSAUDITLINK__" hidden="1">{"fdsup://Directions/FactSet Auditing Viewer?action=AUDIT_VALUE&amp;DB=129&amp;ID1=03822210&amp;VALUEID=02001&amp;SDATE=200503&amp;PERIODTYPE=QTR_STD&amp;SCFT=3&amp;window=popup_no_bar&amp;width=385&amp;height=120&amp;START_MAXIMIZED=FALSE&amp;creator=factset&amp;display_string=Audit"}</definedName>
    <definedName name="_4525__FDSAUDITLINK__" localSheetId="7" hidden="1">{"fdsup://Directions/FactSet Auditing Viewer?action=AUDIT_VALUE&amp;DB=129&amp;ID1=03822210&amp;VALUEID=02001&amp;SDATE=200502&amp;PERIODTYPE=QTR_STD&amp;SCFT=3&amp;window=popup_no_bar&amp;width=385&amp;height=120&amp;START_MAXIMIZED=FALSE&amp;creator=factset&amp;display_string=Audit"}</definedName>
    <definedName name="_4525__FDSAUDITLINK__" hidden="1">{"fdsup://Directions/FactSet Auditing Viewer?action=AUDIT_VALUE&amp;DB=129&amp;ID1=03822210&amp;VALUEID=02001&amp;SDATE=200502&amp;PERIODTYPE=QTR_STD&amp;SCFT=3&amp;window=popup_no_bar&amp;width=385&amp;height=120&amp;START_MAXIMIZED=FALSE&amp;creator=factset&amp;display_string=Audit"}</definedName>
    <definedName name="_4526__FDSAUDITLINK__" localSheetId="7" hidden="1">{"fdsup://Directions/FactSet Auditing Viewer?action=AUDIT_VALUE&amp;DB=129&amp;ID1=03822210&amp;VALUEID=02001&amp;SDATE=200502&amp;PERIODTYPE=QTR_STD&amp;SCFT=3&amp;window=popup_no_bar&amp;width=385&amp;height=120&amp;START_MAXIMIZED=FALSE&amp;creator=factset&amp;display_string=Audit"}</definedName>
    <definedName name="_4526__FDSAUDITLINK__" hidden="1">{"fdsup://Directions/FactSet Auditing Viewer?action=AUDIT_VALUE&amp;DB=129&amp;ID1=03822210&amp;VALUEID=02001&amp;SDATE=200502&amp;PERIODTYPE=QTR_STD&amp;SCFT=3&amp;window=popup_no_bar&amp;width=385&amp;height=120&amp;START_MAXIMIZED=FALSE&amp;creator=factset&amp;display_string=Audit"}</definedName>
    <definedName name="_4527__FDSAUDITLINK__" localSheetId="7" hidden="1">{"fdsup://Directions/FactSet Auditing Viewer?action=AUDIT_VALUE&amp;DB=129&amp;ID1=03822210&amp;VALUEID=02001&amp;SDATE=200501&amp;PERIODTYPE=QTR_STD&amp;SCFT=3&amp;window=popup_no_bar&amp;width=385&amp;height=120&amp;START_MAXIMIZED=FALSE&amp;creator=factset&amp;display_string=Audit"}</definedName>
    <definedName name="_4527__FDSAUDITLINK__" hidden="1">{"fdsup://Directions/FactSet Auditing Viewer?action=AUDIT_VALUE&amp;DB=129&amp;ID1=03822210&amp;VALUEID=02001&amp;SDATE=200501&amp;PERIODTYPE=QTR_STD&amp;SCFT=3&amp;window=popup_no_bar&amp;width=385&amp;height=120&amp;START_MAXIMIZED=FALSE&amp;creator=factset&amp;display_string=Audit"}</definedName>
    <definedName name="_4528__FDSAUDITLINK__" localSheetId="7" hidden="1">{"fdsup://Directions/FactSet Auditing Viewer?action=AUDIT_VALUE&amp;DB=129&amp;ID1=03822210&amp;VALUEID=02001&amp;SDATE=200501&amp;PERIODTYPE=QTR_STD&amp;SCFT=3&amp;window=popup_no_bar&amp;width=385&amp;height=120&amp;START_MAXIMIZED=FALSE&amp;creator=factset&amp;display_string=Audit"}</definedName>
    <definedName name="_4528__FDSAUDITLINK__" hidden="1">{"fdsup://Directions/FactSet Auditing Viewer?action=AUDIT_VALUE&amp;DB=129&amp;ID1=03822210&amp;VALUEID=02001&amp;SDATE=200501&amp;PERIODTYPE=QTR_STD&amp;SCFT=3&amp;window=popup_no_bar&amp;width=385&amp;height=120&amp;START_MAXIMIZED=FALSE&amp;creator=factset&amp;display_string=Audit"}</definedName>
    <definedName name="_4529__FDSAUDITLINK__" localSheetId="7" hidden="1">{"fdsup://Directions/FactSet Auditing Viewer?action=AUDIT_VALUE&amp;DB=129&amp;ID1=03822210&amp;VALUEID=02001&amp;SDATE=200403&amp;PERIODTYPE=QTR_STD&amp;SCFT=3&amp;window=popup_no_bar&amp;width=385&amp;height=120&amp;START_MAXIMIZED=FALSE&amp;creator=factset&amp;display_string=Audit"}</definedName>
    <definedName name="_4529__FDSAUDITLINK__" hidden="1">{"fdsup://Directions/FactSet Auditing Viewer?action=AUDIT_VALUE&amp;DB=129&amp;ID1=03822210&amp;VALUEID=02001&amp;SDATE=200403&amp;PERIODTYPE=QTR_STD&amp;SCFT=3&amp;window=popup_no_bar&amp;width=385&amp;height=120&amp;START_MAXIMIZED=FALSE&amp;creator=factset&amp;display_string=Audit"}</definedName>
    <definedName name="_453__FDSAUDITLINK__" localSheetId="7" hidden="1">{"fdsup://Directions/FactSet Auditing Viewer?action=AUDIT_VALUE&amp;DB=129&amp;ID1=88250810&amp;VALUEID=02001&amp;SDATE=201002&amp;PERIODTYPE=QTR_STD&amp;SCFT=3&amp;window=popup_no_bar&amp;width=385&amp;height=120&amp;START_MAXIMIZED=FALSE&amp;creator=factset&amp;display_string=Audit"}</definedName>
    <definedName name="_453__FDSAUDITLINK__" hidden="1">{"fdsup://Directions/FactSet Auditing Viewer?action=AUDIT_VALUE&amp;DB=129&amp;ID1=88250810&amp;VALUEID=02001&amp;SDATE=201002&amp;PERIODTYPE=QTR_STD&amp;SCFT=3&amp;window=popup_no_bar&amp;width=385&amp;height=120&amp;START_MAXIMIZED=FALSE&amp;creator=factset&amp;display_string=Audit"}</definedName>
    <definedName name="_4530__FDSAUDITLINK__" localSheetId="7" hidden="1">{"fdsup://Directions/FactSet Auditing Viewer?action=AUDIT_VALUE&amp;DB=129&amp;ID1=03822210&amp;VALUEID=02001&amp;SDATE=200403&amp;PERIODTYPE=QTR_STD&amp;SCFT=3&amp;window=popup_no_bar&amp;width=385&amp;height=120&amp;START_MAXIMIZED=FALSE&amp;creator=factset&amp;display_string=Audit"}</definedName>
    <definedName name="_4530__FDSAUDITLINK__" hidden="1">{"fdsup://Directions/FactSet Auditing Viewer?action=AUDIT_VALUE&amp;DB=129&amp;ID1=03822210&amp;VALUEID=02001&amp;SDATE=200403&amp;PERIODTYPE=QTR_STD&amp;SCFT=3&amp;window=popup_no_bar&amp;width=385&amp;height=120&amp;START_MAXIMIZED=FALSE&amp;creator=factset&amp;display_string=Audit"}</definedName>
    <definedName name="_4531__FDSAUDITLINK__" localSheetId="7" hidden="1">{"fdsup://Directions/FactSet Auditing Viewer?action=AUDIT_VALUE&amp;DB=129&amp;ID1=03822210&amp;VALUEID=02001&amp;SDATE=200402&amp;PERIODTYPE=QTR_STD&amp;SCFT=3&amp;window=popup_no_bar&amp;width=385&amp;height=120&amp;START_MAXIMIZED=FALSE&amp;creator=factset&amp;display_string=Audit"}</definedName>
    <definedName name="_4531__FDSAUDITLINK__" hidden="1">{"fdsup://Directions/FactSet Auditing Viewer?action=AUDIT_VALUE&amp;DB=129&amp;ID1=03822210&amp;VALUEID=02001&amp;SDATE=200402&amp;PERIODTYPE=QTR_STD&amp;SCFT=3&amp;window=popup_no_bar&amp;width=385&amp;height=120&amp;START_MAXIMIZED=FALSE&amp;creator=factset&amp;display_string=Audit"}</definedName>
    <definedName name="_4532__FDSAUDITLINK__" localSheetId="7" hidden="1">{"fdsup://Directions/FactSet Auditing Viewer?action=AUDIT_VALUE&amp;DB=129&amp;ID1=03822210&amp;VALUEID=02001&amp;SDATE=200402&amp;PERIODTYPE=QTR_STD&amp;SCFT=3&amp;window=popup_no_bar&amp;width=385&amp;height=120&amp;START_MAXIMIZED=FALSE&amp;creator=factset&amp;display_string=Audit"}</definedName>
    <definedName name="_4532__FDSAUDITLINK__" hidden="1">{"fdsup://Directions/FactSet Auditing Viewer?action=AUDIT_VALUE&amp;DB=129&amp;ID1=03822210&amp;VALUEID=02001&amp;SDATE=200402&amp;PERIODTYPE=QTR_STD&amp;SCFT=3&amp;window=popup_no_bar&amp;width=385&amp;height=120&amp;START_MAXIMIZED=FALSE&amp;creator=factset&amp;display_string=Audit"}</definedName>
    <definedName name="_4533__FDSAUDITLINK__" localSheetId="7" hidden="1">{"fdsup://Directions/FactSet Auditing Viewer?action=AUDIT_VALUE&amp;DB=129&amp;ID1=02144110&amp;VALUEID=02001&amp;SDATE=200801&amp;PERIODTYPE=QTR_STD&amp;SCFT=3&amp;window=popup_no_bar&amp;width=385&amp;height=120&amp;START_MAXIMIZED=FALSE&amp;creator=factset&amp;display_string=Audit"}</definedName>
    <definedName name="_4533__FDSAUDITLINK__" hidden="1">{"fdsup://Directions/FactSet Auditing Viewer?action=AUDIT_VALUE&amp;DB=129&amp;ID1=02144110&amp;VALUEID=02001&amp;SDATE=200801&amp;PERIODTYPE=QTR_STD&amp;SCFT=3&amp;window=popup_no_bar&amp;width=385&amp;height=120&amp;START_MAXIMIZED=FALSE&amp;creator=factset&amp;display_string=Audit"}</definedName>
    <definedName name="_4534__FDSAUDITLINK__" localSheetId="7" hidden="1">{"fdsup://Directions/FactSet Auditing Viewer?action=AUDIT_VALUE&amp;DB=129&amp;ID1=02144110&amp;VALUEID=02001&amp;SDATE=200801&amp;PERIODTYPE=QTR_STD&amp;SCFT=3&amp;window=popup_no_bar&amp;width=385&amp;height=120&amp;START_MAXIMIZED=FALSE&amp;creator=factset&amp;display_string=Audit"}</definedName>
    <definedName name="_4534__FDSAUDITLINK__" hidden="1">{"fdsup://Directions/FactSet Auditing Viewer?action=AUDIT_VALUE&amp;DB=129&amp;ID1=02144110&amp;VALUEID=02001&amp;SDATE=200801&amp;PERIODTYPE=QTR_STD&amp;SCFT=3&amp;window=popup_no_bar&amp;width=385&amp;height=120&amp;START_MAXIMIZED=FALSE&amp;creator=factset&amp;display_string=Audit"}</definedName>
    <definedName name="_4535__FDSAUDITLINK__" localSheetId="7" hidden="1">{"fdsup://Directions/FactSet Auditing Viewer?action=AUDIT_VALUE&amp;DB=129&amp;ID1=02144110&amp;VALUEID=02001&amp;SDATE=200703&amp;PERIODTYPE=QTR_STD&amp;SCFT=3&amp;window=popup_no_bar&amp;width=385&amp;height=120&amp;START_MAXIMIZED=FALSE&amp;creator=factset&amp;display_string=Audit"}</definedName>
    <definedName name="_4535__FDSAUDITLINK__" hidden="1">{"fdsup://Directions/FactSet Auditing Viewer?action=AUDIT_VALUE&amp;DB=129&amp;ID1=02144110&amp;VALUEID=02001&amp;SDATE=200703&amp;PERIODTYPE=QTR_STD&amp;SCFT=3&amp;window=popup_no_bar&amp;width=385&amp;height=120&amp;START_MAXIMIZED=FALSE&amp;creator=factset&amp;display_string=Audit"}</definedName>
    <definedName name="_4536__FDSAUDITLINK__" localSheetId="7" hidden="1">{"fdsup://Directions/FactSet Auditing Viewer?action=AUDIT_VALUE&amp;DB=129&amp;ID1=02144110&amp;VALUEID=02001&amp;SDATE=200703&amp;PERIODTYPE=QTR_STD&amp;SCFT=3&amp;window=popup_no_bar&amp;width=385&amp;height=120&amp;START_MAXIMIZED=FALSE&amp;creator=factset&amp;display_string=Audit"}</definedName>
    <definedName name="_4536__FDSAUDITLINK__" hidden="1">{"fdsup://Directions/FactSet Auditing Viewer?action=AUDIT_VALUE&amp;DB=129&amp;ID1=02144110&amp;VALUEID=02001&amp;SDATE=200703&amp;PERIODTYPE=QTR_STD&amp;SCFT=3&amp;window=popup_no_bar&amp;width=385&amp;height=120&amp;START_MAXIMIZED=FALSE&amp;creator=factset&amp;display_string=Audit"}</definedName>
    <definedName name="_4537__FDSAUDITLINK__" localSheetId="7" hidden="1">{"fdsup://Directions/FactSet Auditing Viewer?action=AUDIT_VALUE&amp;DB=129&amp;ID1=02144110&amp;VALUEID=02001&amp;SDATE=200702&amp;PERIODTYPE=QTR_STD&amp;SCFT=3&amp;window=popup_no_bar&amp;width=385&amp;height=120&amp;START_MAXIMIZED=FALSE&amp;creator=factset&amp;display_string=Audit"}</definedName>
    <definedName name="_4537__FDSAUDITLINK__" hidden="1">{"fdsup://Directions/FactSet Auditing Viewer?action=AUDIT_VALUE&amp;DB=129&amp;ID1=02144110&amp;VALUEID=02001&amp;SDATE=200702&amp;PERIODTYPE=QTR_STD&amp;SCFT=3&amp;window=popup_no_bar&amp;width=385&amp;height=120&amp;START_MAXIMIZED=FALSE&amp;creator=factset&amp;display_string=Audit"}</definedName>
    <definedName name="_4538__FDSAUDITLINK__" localSheetId="7" hidden="1">{"fdsup://Directions/FactSet Auditing Viewer?action=AUDIT_VALUE&amp;DB=129&amp;ID1=02144110&amp;VALUEID=02001&amp;SDATE=200702&amp;PERIODTYPE=QTR_STD&amp;SCFT=3&amp;window=popup_no_bar&amp;width=385&amp;height=120&amp;START_MAXIMIZED=FALSE&amp;creator=factset&amp;display_string=Audit"}</definedName>
    <definedName name="_4538__FDSAUDITLINK__" hidden="1">{"fdsup://Directions/FactSet Auditing Viewer?action=AUDIT_VALUE&amp;DB=129&amp;ID1=02144110&amp;VALUEID=02001&amp;SDATE=200702&amp;PERIODTYPE=QTR_STD&amp;SCFT=3&amp;window=popup_no_bar&amp;width=385&amp;height=120&amp;START_MAXIMIZED=FALSE&amp;creator=factset&amp;display_string=Audit"}</definedName>
    <definedName name="_4539__FDSAUDITLINK__" localSheetId="7" hidden="1">{"fdsup://Directions/FactSet Auditing Viewer?action=AUDIT_VALUE&amp;DB=129&amp;ID1=02144110&amp;VALUEID=02001&amp;SDATE=200701&amp;PERIODTYPE=QTR_STD&amp;SCFT=3&amp;window=popup_no_bar&amp;width=385&amp;height=120&amp;START_MAXIMIZED=FALSE&amp;creator=factset&amp;display_string=Audit"}</definedName>
    <definedName name="_4539__FDSAUDITLINK__" hidden="1">{"fdsup://Directions/FactSet Auditing Viewer?action=AUDIT_VALUE&amp;DB=129&amp;ID1=02144110&amp;VALUEID=02001&amp;SDATE=200701&amp;PERIODTYPE=QTR_STD&amp;SCFT=3&amp;window=popup_no_bar&amp;width=385&amp;height=120&amp;START_MAXIMIZED=FALSE&amp;creator=factset&amp;display_string=Audit"}</definedName>
    <definedName name="_454__FDSAUDITLINK__" localSheetId="7" hidden="1">{"fdsup://Directions/FactSet Auditing Viewer?action=AUDIT_VALUE&amp;DB=129&amp;ID1=88250810&amp;VALUEID=02001&amp;SDATE=201002&amp;PERIODTYPE=QTR_STD&amp;SCFT=3&amp;window=popup_no_bar&amp;width=385&amp;height=120&amp;START_MAXIMIZED=FALSE&amp;creator=factset&amp;display_string=Audit"}</definedName>
    <definedName name="_454__FDSAUDITLINK__" hidden="1">{"fdsup://Directions/FactSet Auditing Viewer?action=AUDIT_VALUE&amp;DB=129&amp;ID1=88250810&amp;VALUEID=02001&amp;SDATE=201002&amp;PERIODTYPE=QTR_STD&amp;SCFT=3&amp;window=popup_no_bar&amp;width=385&amp;height=120&amp;START_MAXIMIZED=FALSE&amp;creator=factset&amp;display_string=Audit"}</definedName>
    <definedName name="_4540__FDSAUDITLINK__" localSheetId="7" hidden="1">{"fdsup://Directions/FactSet Auditing Viewer?action=AUDIT_VALUE&amp;DB=129&amp;ID1=02144110&amp;VALUEID=02001&amp;SDATE=200701&amp;PERIODTYPE=QTR_STD&amp;SCFT=3&amp;window=popup_no_bar&amp;width=385&amp;height=120&amp;START_MAXIMIZED=FALSE&amp;creator=factset&amp;display_string=Audit"}</definedName>
    <definedName name="_4540__FDSAUDITLINK__" hidden="1">{"fdsup://Directions/FactSet Auditing Viewer?action=AUDIT_VALUE&amp;DB=129&amp;ID1=02144110&amp;VALUEID=02001&amp;SDATE=200701&amp;PERIODTYPE=QTR_STD&amp;SCFT=3&amp;window=popup_no_bar&amp;width=385&amp;height=120&amp;START_MAXIMIZED=FALSE&amp;creator=factset&amp;display_string=Audit"}</definedName>
    <definedName name="_4541__FDSAUDITLINK__" localSheetId="7" hidden="1">{"fdsup://Directions/FactSet Auditing Viewer?action=AUDIT_VALUE&amp;DB=129&amp;ID1=02144110&amp;VALUEID=02001&amp;SDATE=200603&amp;PERIODTYPE=QTR_STD&amp;SCFT=3&amp;window=popup_no_bar&amp;width=385&amp;height=120&amp;START_MAXIMIZED=FALSE&amp;creator=factset&amp;display_string=Audit"}</definedName>
    <definedName name="_4541__FDSAUDITLINK__" hidden="1">{"fdsup://Directions/FactSet Auditing Viewer?action=AUDIT_VALUE&amp;DB=129&amp;ID1=02144110&amp;VALUEID=02001&amp;SDATE=200603&amp;PERIODTYPE=QTR_STD&amp;SCFT=3&amp;window=popup_no_bar&amp;width=385&amp;height=120&amp;START_MAXIMIZED=FALSE&amp;creator=factset&amp;display_string=Audit"}</definedName>
    <definedName name="_4542__FDSAUDITLINK__" localSheetId="7" hidden="1">{"fdsup://Directions/FactSet Auditing Viewer?action=AUDIT_VALUE&amp;DB=129&amp;ID1=02144110&amp;VALUEID=02001&amp;SDATE=200603&amp;PERIODTYPE=QTR_STD&amp;SCFT=3&amp;window=popup_no_bar&amp;width=385&amp;height=120&amp;START_MAXIMIZED=FALSE&amp;creator=factset&amp;display_string=Audit"}</definedName>
    <definedName name="_4542__FDSAUDITLINK__" hidden="1">{"fdsup://Directions/FactSet Auditing Viewer?action=AUDIT_VALUE&amp;DB=129&amp;ID1=02144110&amp;VALUEID=02001&amp;SDATE=200603&amp;PERIODTYPE=QTR_STD&amp;SCFT=3&amp;window=popup_no_bar&amp;width=385&amp;height=120&amp;START_MAXIMIZED=FALSE&amp;creator=factset&amp;display_string=Audit"}</definedName>
    <definedName name="_4543__FDSAUDITLINK__" localSheetId="7" hidden="1">{"fdsup://Directions/FactSet Auditing Viewer?action=AUDIT_VALUE&amp;DB=129&amp;ID1=02144110&amp;VALUEID=02001&amp;SDATE=200602&amp;PERIODTYPE=QTR_STD&amp;SCFT=3&amp;window=popup_no_bar&amp;width=385&amp;height=120&amp;START_MAXIMIZED=FALSE&amp;creator=factset&amp;display_string=Audit"}</definedName>
    <definedName name="_4543__FDSAUDITLINK__" hidden="1">{"fdsup://Directions/FactSet Auditing Viewer?action=AUDIT_VALUE&amp;DB=129&amp;ID1=02144110&amp;VALUEID=02001&amp;SDATE=200602&amp;PERIODTYPE=QTR_STD&amp;SCFT=3&amp;window=popup_no_bar&amp;width=385&amp;height=120&amp;START_MAXIMIZED=FALSE&amp;creator=factset&amp;display_string=Audit"}</definedName>
    <definedName name="_4544__FDSAUDITLINK__" localSheetId="7" hidden="1">{"fdsup://Directions/FactSet Auditing Viewer?action=AUDIT_VALUE&amp;DB=129&amp;ID1=02144110&amp;VALUEID=02001&amp;SDATE=200602&amp;PERIODTYPE=QTR_STD&amp;SCFT=3&amp;window=popup_no_bar&amp;width=385&amp;height=120&amp;START_MAXIMIZED=FALSE&amp;creator=factset&amp;display_string=Audit"}</definedName>
    <definedName name="_4544__FDSAUDITLINK__" hidden="1">{"fdsup://Directions/FactSet Auditing Viewer?action=AUDIT_VALUE&amp;DB=129&amp;ID1=02144110&amp;VALUEID=02001&amp;SDATE=200602&amp;PERIODTYPE=QTR_STD&amp;SCFT=3&amp;window=popup_no_bar&amp;width=385&amp;height=120&amp;START_MAXIMIZED=FALSE&amp;creator=factset&amp;display_string=Audit"}</definedName>
    <definedName name="_4545__FDSAUDITLINK__" localSheetId="7" hidden="1">{"fdsup://Directions/FactSet Auditing Viewer?action=AUDIT_VALUE&amp;DB=129&amp;ID1=02144110&amp;VALUEID=02001&amp;SDATE=200601&amp;PERIODTYPE=QTR_STD&amp;SCFT=3&amp;window=popup_no_bar&amp;width=385&amp;height=120&amp;START_MAXIMIZED=FALSE&amp;creator=factset&amp;display_string=Audit"}</definedName>
    <definedName name="_4545__FDSAUDITLINK__" hidden="1">{"fdsup://Directions/FactSet Auditing Viewer?action=AUDIT_VALUE&amp;DB=129&amp;ID1=02144110&amp;VALUEID=02001&amp;SDATE=200601&amp;PERIODTYPE=QTR_STD&amp;SCFT=3&amp;window=popup_no_bar&amp;width=385&amp;height=120&amp;START_MAXIMIZED=FALSE&amp;creator=factset&amp;display_string=Audit"}</definedName>
    <definedName name="_4546__FDSAUDITLINK__" localSheetId="7" hidden="1">{"fdsup://Directions/FactSet Auditing Viewer?action=AUDIT_VALUE&amp;DB=129&amp;ID1=02144110&amp;VALUEID=02001&amp;SDATE=200601&amp;PERIODTYPE=QTR_STD&amp;SCFT=3&amp;window=popup_no_bar&amp;width=385&amp;height=120&amp;START_MAXIMIZED=FALSE&amp;creator=factset&amp;display_string=Audit"}</definedName>
    <definedName name="_4546__FDSAUDITLINK__" hidden="1">{"fdsup://Directions/FactSet Auditing Viewer?action=AUDIT_VALUE&amp;DB=129&amp;ID1=02144110&amp;VALUEID=02001&amp;SDATE=200601&amp;PERIODTYPE=QTR_STD&amp;SCFT=3&amp;window=popup_no_bar&amp;width=385&amp;height=120&amp;START_MAXIMIZED=FALSE&amp;creator=factset&amp;display_string=Audit"}</definedName>
    <definedName name="_4547__FDSAUDITLINK__" localSheetId="7" hidden="1">{"fdsup://Directions/FactSet Auditing Viewer?action=AUDIT_VALUE&amp;DB=129&amp;ID1=02144110&amp;VALUEID=02001&amp;SDATE=200503&amp;PERIODTYPE=QTR_STD&amp;SCFT=3&amp;window=popup_no_bar&amp;width=385&amp;height=120&amp;START_MAXIMIZED=FALSE&amp;creator=factset&amp;display_string=Audit"}</definedName>
    <definedName name="_4547__FDSAUDITLINK__" hidden="1">{"fdsup://Directions/FactSet Auditing Viewer?action=AUDIT_VALUE&amp;DB=129&amp;ID1=02144110&amp;VALUEID=02001&amp;SDATE=200503&amp;PERIODTYPE=QTR_STD&amp;SCFT=3&amp;window=popup_no_bar&amp;width=385&amp;height=120&amp;START_MAXIMIZED=FALSE&amp;creator=factset&amp;display_string=Audit"}</definedName>
    <definedName name="_4548__FDSAUDITLINK__" localSheetId="7" hidden="1">{"fdsup://Directions/FactSet Auditing Viewer?action=AUDIT_VALUE&amp;DB=129&amp;ID1=02144110&amp;VALUEID=02001&amp;SDATE=200503&amp;PERIODTYPE=QTR_STD&amp;SCFT=3&amp;window=popup_no_bar&amp;width=385&amp;height=120&amp;START_MAXIMIZED=FALSE&amp;creator=factset&amp;display_string=Audit"}</definedName>
    <definedName name="_4548__FDSAUDITLINK__" hidden="1">{"fdsup://Directions/FactSet Auditing Viewer?action=AUDIT_VALUE&amp;DB=129&amp;ID1=02144110&amp;VALUEID=02001&amp;SDATE=200503&amp;PERIODTYPE=QTR_STD&amp;SCFT=3&amp;window=popup_no_bar&amp;width=385&amp;height=120&amp;START_MAXIMIZED=FALSE&amp;creator=factset&amp;display_string=Audit"}</definedName>
    <definedName name="_4549__FDSAUDITLINK__" localSheetId="7" hidden="1">{"fdsup://Directions/FactSet Auditing Viewer?action=AUDIT_VALUE&amp;DB=129&amp;ID1=02144110&amp;VALUEID=02001&amp;SDATE=200502&amp;PERIODTYPE=QTR_STD&amp;SCFT=3&amp;window=popup_no_bar&amp;width=385&amp;height=120&amp;START_MAXIMIZED=FALSE&amp;creator=factset&amp;display_string=Audit"}</definedName>
    <definedName name="_4549__FDSAUDITLINK__" hidden="1">{"fdsup://Directions/FactSet Auditing Viewer?action=AUDIT_VALUE&amp;DB=129&amp;ID1=02144110&amp;VALUEID=02001&amp;SDATE=200502&amp;PERIODTYPE=QTR_STD&amp;SCFT=3&amp;window=popup_no_bar&amp;width=385&amp;height=120&amp;START_MAXIMIZED=FALSE&amp;creator=factset&amp;display_string=Audit"}</definedName>
    <definedName name="_455__FDSAUDITLINK__" localSheetId="7" hidden="1">{"fdsup://Directions/FactSet Auditing Viewer?action=AUDIT_VALUE&amp;DB=129&amp;ID1=89674K10&amp;VALUEID=02001&amp;SDATE=201002&amp;PERIODTYPE=QTR_STD&amp;SCFT=3&amp;window=popup_no_bar&amp;width=385&amp;height=120&amp;START_MAXIMIZED=FALSE&amp;creator=factset&amp;display_string=Audit"}</definedName>
    <definedName name="_455__FDSAUDITLINK__" hidden="1">{"fdsup://Directions/FactSet Auditing Viewer?action=AUDIT_VALUE&amp;DB=129&amp;ID1=89674K10&amp;VALUEID=02001&amp;SDATE=201002&amp;PERIODTYPE=QTR_STD&amp;SCFT=3&amp;window=popup_no_bar&amp;width=385&amp;height=120&amp;START_MAXIMIZED=FALSE&amp;creator=factset&amp;display_string=Audit"}</definedName>
    <definedName name="_4550__FDSAUDITLINK__" localSheetId="7" hidden="1">{"fdsup://Directions/FactSet Auditing Viewer?action=AUDIT_VALUE&amp;DB=129&amp;ID1=02144110&amp;VALUEID=02001&amp;SDATE=200502&amp;PERIODTYPE=QTR_STD&amp;SCFT=3&amp;window=popup_no_bar&amp;width=385&amp;height=120&amp;START_MAXIMIZED=FALSE&amp;creator=factset&amp;display_string=Audit"}</definedName>
    <definedName name="_4550__FDSAUDITLINK__" hidden="1">{"fdsup://Directions/FactSet Auditing Viewer?action=AUDIT_VALUE&amp;DB=129&amp;ID1=02144110&amp;VALUEID=02001&amp;SDATE=200502&amp;PERIODTYPE=QTR_STD&amp;SCFT=3&amp;window=popup_no_bar&amp;width=385&amp;height=120&amp;START_MAXIMIZED=FALSE&amp;creator=factset&amp;display_string=Audit"}</definedName>
    <definedName name="_4551__FDSAUDITLINK__" localSheetId="7" hidden="1">{"fdsup://Directions/FactSet Auditing Viewer?action=AUDIT_VALUE&amp;DB=129&amp;ID1=02144110&amp;VALUEID=02001&amp;SDATE=200501&amp;PERIODTYPE=QTR_STD&amp;SCFT=3&amp;window=popup_no_bar&amp;width=385&amp;height=120&amp;START_MAXIMIZED=FALSE&amp;creator=factset&amp;display_string=Audit"}</definedName>
    <definedName name="_4551__FDSAUDITLINK__" hidden="1">{"fdsup://Directions/FactSet Auditing Viewer?action=AUDIT_VALUE&amp;DB=129&amp;ID1=02144110&amp;VALUEID=02001&amp;SDATE=200501&amp;PERIODTYPE=QTR_STD&amp;SCFT=3&amp;window=popup_no_bar&amp;width=385&amp;height=120&amp;START_MAXIMIZED=FALSE&amp;creator=factset&amp;display_string=Audit"}</definedName>
    <definedName name="_4552__FDSAUDITLINK__" localSheetId="7" hidden="1">{"fdsup://Directions/FactSet Auditing Viewer?action=AUDIT_VALUE&amp;DB=129&amp;ID1=02144110&amp;VALUEID=02001&amp;SDATE=200501&amp;PERIODTYPE=QTR_STD&amp;SCFT=3&amp;window=popup_no_bar&amp;width=385&amp;height=120&amp;START_MAXIMIZED=FALSE&amp;creator=factset&amp;display_string=Audit"}</definedName>
    <definedName name="_4552__FDSAUDITLINK__" hidden="1">{"fdsup://Directions/FactSet Auditing Viewer?action=AUDIT_VALUE&amp;DB=129&amp;ID1=02144110&amp;VALUEID=02001&amp;SDATE=200501&amp;PERIODTYPE=QTR_STD&amp;SCFT=3&amp;window=popup_no_bar&amp;width=385&amp;height=120&amp;START_MAXIMIZED=FALSE&amp;creator=factset&amp;display_string=Audit"}</definedName>
    <definedName name="_4553__FDSAUDITLINK__" localSheetId="7" hidden="1">{"fdsup://Directions/FactSet Auditing Viewer?action=AUDIT_VALUE&amp;DB=129&amp;ID1=02144110&amp;VALUEID=02001&amp;SDATE=200403&amp;PERIODTYPE=QTR_STD&amp;SCFT=3&amp;window=popup_no_bar&amp;width=385&amp;height=120&amp;START_MAXIMIZED=FALSE&amp;creator=factset&amp;display_string=Audit"}</definedName>
    <definedName name="_4553__FDSAUDITLINK__" hidden="1">{"fdsup://Directions/FactSet Auditing Viewer?action=AUDIT_VALUE&amp;DB=129&amp;ID1=02144110&amp;VALUEID=02001&amp;SDATE=200403&amp;PERIODTYPE=QTR_STD&amp;SCFT=3&amp;window=popup_no_bar&amp;width=385&amp;height=120&amp;START_MAXIMIZED=FALSE&amp;creator=factset&amp;display_string=Audit"}</definedName>
    <definedName name="_4554__FDSAUDITLINK__" localSheetId="7" hidden="1">{"fdsup://Directions/FactSet Auditing Viewer?action=AUDIT_VALUE&amp;DB=129&amp;ID1=02144110&amp;VALUEID=02001&amp;SDATE=200403&amp;PERIODTYPE=QTR_STD&amp;SCFT=3&amp;window=popup_no_bar&amp;width=385&amp;height=120&amp;START_MAXIMIZED=FALSE&amp;creator=factset&amp;display_string=Audit"}</definedName>
    <definedName name="_4554__FDSAUDITLINK__" hidden="1">{"fdsup://Directions/FactSet Auditing Viewer?action=AUDIT_VALUE&amp;DB=129&amp;ID1=02144110&amp;VALUEID=02001&amp;SDATE=200403&amp;PERIODTYPE=QTR_STD&amp;SCFT=3&amp;window=popup_no_bar&amp;width=385&amp;height=120&amp;START_MAXIMIZED=FALSE&amp;creator=factset&amp;display_string=Audit"}</definedName>
    <definedName name="_4555__FDSAUDITLINK__" localSheetId="7" hidden="1">{"fdsup://Directions/FactSet Auditing Viewer?action=AUDIT_VALUE&amp;DB=129&amp;ID1=02144110&amp;VALUEID=02001&amp;SDATE=200402&amp;PERIODTYPE=QTR_STD&amp;SCFT=3&amp;window=popup_no_bar&amp;width=385&amp;height=120&amp;START_MAXIMIZED=FALSE&amp;creator=factset&amp;display_string=Audit"}</definedName>
    <definedName name="_4555__FDSAUDITLINK__" hidden="1">{"fdsup://Directions/FactSet Auditing Viewer?action=AUDIT_VALUE&amp;DB=129&amp;ID1=02144110&amp;VALUEID=02001&amp;SDATE=200402&amp;PERIODTYPE=QTR_STD&amp;SCFT=3&amp;window=popup_no_bar&amp;width=385&amp;height=120&amp;START_MAXIMIZED=FALSE&amp;creator=factset&amp;display_string=Audit"}</definedName>
    <definedName name="_4556__FDSAUDITLINK__" localSheetId="7" hidden="1">{"fdsup://Directions/FactSet Auditing Viewer?action=AUDIT_VALUE&amp;DB=129&amp;ID1=02144110&amp;VALUEID=02001&amp;SDATE=200402&amp;PERIODTYPE=QTR_STD&amp;SCFT=3&amp;window=popup_no_bar&amp;width=385&amp;height=120&amp;START_MAXIMIZED=FALSE&amp;creator=factset&amp;display_string=Audit"}</definedName>
    <definedName name="_4556__FDSAUDITLINK__" hidden="1">{"fdsup://Directions/FactSet Auditing Viewer?action=AUDIT_VALUE&amp;DB=129&amp;ID1=02144110&amp;VALUEID=02001&amp;SDATE=200402&amp;PERIODTYPE=QTR_STD&amp;SCFT=3&amp;window=popup_no_bar&amp;width=385&amp;height=120&amp;START_MAXIMIZED=FALSE&amp;creator=factset&amp;display_string=Audit"}</definedName>
    <definedName name="_4557__FDSAUDITLINK__" localSheetId="7" hidden="1">{"fdsup://Directions/FactSet Auditing Viewer?action=AUDIT_VALUE&amp;DB=129&amp;ID1=02144110&amp;VALUEID=02001&amp;SDATE=200401&amp;PERIODTYPE=QTR_STD&amp;SCFT=3&amp;window=popup_no_bar&amp;width=385&amp;height=120&amp;START_MAXIMIZED=FALSE&amp;creator=factset&amp;display_string=Audit"}</definedName>
    <definedName name="_4557__FDSAUDITLINK__" hidden="1">{"fdsup://Directions/FactSet Auditing Viewer?action=AUDIT_VALUE&amp;DB=129&amp;ID1=02144110&amp;VALUEID=02001&amp;SDATE=200401&amp;PERIODTYPE=QTR_STD&amp;SCFT=3&amp;window=popup_no_bar&amp;width=385&amp;height=120&amp;START_MAXIMIZED=FALSE&amp;creator=factset&amp;display_string=Audit"}</definedName>
    <definedName name="_4558__FDSAUDITLINK__" localSheetId="7" hidden="1">{"fdsup://Directions/FactSet Auditing Viewer?action=AUDIT_VALUE&amp;DB=129&amp;ID1=02144110&amp;VALUEID=02001&amp;SDATE=200401&amp;PERIODTYPE=QTR_STD&amp;SCFT=3&amp;window=popup_no_bar&amp;width=385&amp;height=120&amp;START_MAXIMIZED=FALSE&amp;creator=factset&amp;display_string=Audit"}</definedName>
    <definedName name="_4558__FDSAUDITLINK__" hidden="1">{"fdsup://Directions/FactSet Auditing Viewer?action=AUDIT_VALUE&amp;DB=129&amp;ID1=02144110&amp;VALUEID=02001&amp;SDATE=200401&amp;PERIODTYPE=QTR_STD&amp;SCFT=3&amp;window=popup_no_bar&amp;width=385&amp;height=120&amp;START_MAXIMIZED=FALSE&amp;creator=factset&amp;display_string=Audit"}</definedName>
    <definedName name="_4559__FDSAUDITLINK__" localSheetId="7" hidden="1">{"fdsup://Directions/FactSet Auditing Viewer?action=AUDIT_VALUE&amp;DB=129&amp;ID1=03265410&amp;VALUEID=02001&amp;SDATE=200802&amp;PERIODTYPE=QTR_STD&amp;SCFT=3&amp;window=popup_no_bar&amp;width=385&amp;height=120&amp;START_MAXIMIZED=FALSE&amp;creator=factset&amp;display_string=Audit"}</definedName>
    <definedName name="_4559__FDSAUDITLINK__" hidden="1">{"fdsup://Directions/FactSet Auditing Viewer?action=AUDIT_VALUE&amp;DB=129&amp;ID1=03265410&amp;VALUEID=02001&amp;SDATE=200802&amp;PERIODTYPE=QTR_STD&amp;SCFT=3&amp;window=popup_no_bar&amp;width=385&amp;height=120&amp;START_MAXIMIZED=FALSE&amp;creator=factset&amp;display_string=Audit"}</definedName>
    <definedName name="_456__FDSAUDITLINK__" localSheetId="7" hidden="1">{"fdsup://Directions/FactSet Auditing Viewer?action=AUDIT_VALUE&amp;DB=129&amp;ID1=89674K10&amp;VALUEID=02001&amp;SDATE=201002&amp;PERIODTYPE=QTR_STD&amp;SCFT=3&amp;window=popup_no_bar&amp;width=385&amp;height=120&amp;START_MAXIMIZED=FALSE&amp;creator=factset&amp;display_string=Audit"}</definedName>
    <definedName name="_456__FDSAUDITLINK__" hidden="1">{"fdsup://Directions/FactSet Auditing Viewer?action=AUDIT_VALUE&amp;DB=129&amp;ID1=89674K10&amp;VALUEID=02001&amp;SDATE=201002&amp;PERIODTYPE=QTR_STD&amp;SCFT=3&amp;window=popup_no_bar&amp;width=385&amp;height=120&amp;START_MAXIMIZED=FALSE&amp;creator=factset&amp;display_string=Audit"}</definedName>
    <definedName name="_4560__FDSAUDITLINK__" localSheetId="7" hidden="1">{"fdsup://Directions/FactSet Auditing Viewer?action=AUDIT_VALUE&amp;DB=129&amp;ID1=03265410&amp;VALUEID=02001&amp;SDATE=200802&amp;PERIODTYPE=QTR_STD&amp;SCFT=3&amp;window=popup_no_bar&amp;width=385&amp;height=120&amp;START_MAXIMIZED=FALSE&amp;creator=factset&amp;display_string=Audit"}</definedName>
    <definedName name="_4560__FDSAUDITLINK__" hidden="1">{"fdsup://Directions/FactSet Auditing Viewer?action=AUDIT_VALUE&amp;DB=129&amp;ID1=03265410&amp;VALUEID=02001&amp;SDATE=200802&amp;PERIODTYPE=QTR_STD&amp;SCFT=3&amp;window=popup_no_bar&amp;width=385&amp;height=120&amp;START_MAXIMIZED=FALSE&amp;creator=factset&amp;display_string=Audit"}</definedName>
    <definedName name="_4561__FDSAUDITLINK__" localSheetId="7" hidden="1">{"fdsup://Directions/FactSet Auditing Viewer?action=AUDIT_VALUE&amp;DB=129&amp;ID1=03265410&amp;VALUEID=02001&amp;SDATE=200801&amp;PERIODTYPE=QTR_STD&amp;SCFT=3&amp;window=popup_no_bar&amp;width=385&amp;height=120&amp;START_MAXIMIZED=FALSE&amp;creator=factset&amp;display_string=Audit"}</definedName>
    <definedName name="_4561__FDSAUDITLINK__" hidden="1">{"fdsup://Directions/FactSet Auditing Viewer?action=AUDIT_VALUE&amp;DB=129&amp;ID1=03265410&amp;VALUEID=02001&amp;SDATE=200801&amp;PERIODTYPE=QTR_STD&amp;SCFT=3&amp;window=popup_no_bar&amp;width=385&amp;height=120&amp;START_MAXIMIZED=FALSE&amp;creator=factset&amp;display_string=Audit"}</definedName>
    <definedName name="_4562__FDSAUDITLINK__" localSheetId="7" hidden="1">{"fdsup://Directions/FactSet Auditing Viewer?action=AUDIT_VALUE&amp;DB=129&amp;ID1=03265410&amp;VALUEID=02001&amp;SDATE=200801&amp;PERIODTYPE=QTR_STD&amp;SCFT=3&amp;window=popup_no_bar&amp;width=385&amp;height=120&amp;START_MAXIMIZED=FALSE&amp;creator=factset&amp;display_string=Audit"}</definedName>
    <definedName name="_4562__FDSAUDITLINK__" hidden="1">{"fdsup://Directions/FactSet Auditing Viewer?action=AUDIT_VALUE&amp;DB=129&amp;ID1=03265410&amp;VALUEID=02001&amp;SDATE=200801&amp;PERIODTYPE=QTR_STD&amp;SCFT=3&amp;window=popup_no_bar&amp;width=385&amp;height=120&amp;START_MAXIMIZED=FALSE&amp;creator=factset&amp;display_string=Audit"}</definedName>
    <definedName name="_4563__FDSAUDITLINK__" localSheetId="7" hidden="1">{"fdsup://Directions/FactSet Auditing Viewer?action=AUDIT_VALUE&amp;DB=129&amp;ID1=03265410&amp;VALUEID=02001&amp;SDATE=200703&amp;PERIODTYPE=QTR_STD&amp;SCFT=3&amp;window=popup_no_bar&amp;width=385&amp;height=120&amp;START_MAXIMIZED=FALSE&amp;creator=factset&amp;display_string=Audit"}</definedName>
    <definedName name="_4563__FDSAUDITLINK__" hidden="1">{"fdsup://Directions/FactSet Auditing Viewer?action=AUDIT_VALUE&amp;DB=129&amp;ID1=03265410&amp;VALUEID=02001&amp;SDATE=200703&amp;PERIODTYPE=QTR_STD&amp;SCFT=3&amp;window=popup_no_bar&amp;width=385&amp;height=120&amp;START_MAXIMIZED=FALSE&amp;creator=factset&amp;display_string=Audit"}</definedName>
    <definedName name="_4564__FDSAUDITLINK__" localSheetId="7" hidden="1">{"fdsup://Directions/FactSet Auditing Viewer?action=AUDIT_VALUE&amp;DB=129&amp;ID1=03265410&amp;VALUEID=02001&amp;SDATE=200703&amp;PERIODTYPE=QTR_STD&amp;SCFT=3&amp;window=popup_no_bar&amp;width=385&amp;height=120&amp;START_MAXIMIZED=FALSE&amp;creator=factset&amp;display_string=Audit"}</definedName>
    <definedName name="_4564__FDSAUDITLINK__" hidden="1">{"fdsup://Directions/FactSet Auditing Viewer?action=AUDIT_VALUE&amp;DB=129&amp;ID1=03265410&amp;VALUEID=02001&amp;SDATE=200703&amp;PERIODTYPE=QTR_STD&amp;SCFT=3&amp;window=popup_no_bar&amp;width=385&amp;height=120&amp;START_MAXIMIZED=FALSE&amp;creator=factset&amp;display_string=Audit"}</definedName>
    <definedName name="_4565__FDSAUDITLINK__" localSheetId="7" hidden="1">{"fdsup://Directions/FactSet Auditing Viewer?action=AUDIT_VALUE&amp;DB=129&amp;ID1=03265410&amp;VALUEID=02001&amp;SDATE=200702&amp;PERIODTYPE=QTR_STD&amp;SCFT=3&amp;window=popup_no_bar&amp;width=385&amp;height=120&amp;START_MAXIMIZED=FALSE&amp;creator=factset&amp;display_string=Audit"}</definedName>
    <definedName name="_4565__FDSAUDITLINK__" hidden="1">{"fdsup://Directions/FactSet Auditing Viewer?action=AUDIT_VALUE&amp;DB=129&amp;ID1=03265410&amp;VALUEID=02001&amp;SDATE=200702&amp;PERIODTYPE=QTR_STD&amp;SCFT=3&amp;window=popup_no_bar&amp;width=385&amp;height=120&amp;START_MAXIMIZED=FALSE&amp;creator=factset&amp;display_string=Audit"}</definedName>
    <definedName name="_4566__FDSAUDITLINK__" localSheetId="7" hidden="1">{"fdsup://Directions/FactSet Auditing Viewer?action=AUDIT_VALUE&amp;DB=129&amp;ID1=03265410&amp;VALUEID=02001&amp;SDATE=200702&amp;PERIODTYPE=QTR_STD&amp;SCFT=3&amp;window=popup_no_bar&amp;width=385&amp;height=120&amp;START_MAXIMIZED=FALSE&amp;creator=factset&amp;display_string=Audit"}</definedName>
    <definedName name="_4566__FDSAUDITLINK__" hidden="1">{"fdsup://Directions/FactSet Auditing Viewer?action=AUDIT_VALUE&amp;DB=129&amp;ID1=03265410&amp;VALUEID=02001&amp;SDATE=200702&amp;PERIODTYPE=QTR_STD&amp;SCFT=3&amp;window=popup_no_bar&amp;width=385&amp;height=120&amp;START_MAXIMIZED=FALSE&amp;creator=factset&amp;display_string=Audit"}</definedName>
    <definedName name="_4567__FDSAUDITLINK__" localSheetId="7" hidden="1">{"fdsup://Directions/FactSet Auditing Viewer?action=AUDIT_VALUE&amp;DB=129&amp;ID1=03265410&amp;VALUEID=02001&amp;SDATE=200701&amp;PERIODTYPE=QTR_STD&amp;SCFT=3&amp;window=popup_no_bar&amp;width=385&amp;height=120&amp;START_MAXIMIZED=FALSE&amp;creator=factset&amp;display_string=Audit"}</definedName>
    <definedName name="_4567__FDSAUDITLINK__" hidden="1">{"fdsup://Directions/FactSet Auditing Viewer?action=AUDIT_VALUE&amp;DB=129&amp;ID1=03265410&amp;VALUEID=02001&amp;SDATE=200701&amp;PERIODTYPE=QTR_STD&amp;SCFT=3&amp;window=popup_no_bar&amp;width=385&amp;height=120&amp;START_MAXIMIZED=FALSE&amp;creator=factset&amp;display_string=Audit"}</definedName>
    <definedName name="_4568__FDSAUDITLINK__" localSheetId="7" hidden="1">{"fdsup://Directions/FactSet Auditing Viewer?action=AUDIT_VALUE&amp;DB=129&amp;ID1=03265410&amp;VALUEID=02001&amp;SDATE=200701&amp;PERIODTYPE=QTR_STD&amp;SCFT=3&amp;window=popup_no_bar&amp;width=385&amp;height=120&amp;START_MAXIMIZED=FALSE&amp;creator=factset&amp;display_string=Audit"}</definedName>
    <definedName name="_4568__FDSAUDITLINK__" hidden="1">{"fdsup://Directions/FactSet Auditing Viewer?action=AUDIT_VALUE&amp;DB=129&amp;ID1=03265410&amp;VALUEID=02001&amp;SDATE=200701&amp;PERIODTYPE=QTR_STD&amp;SCFT=3&amp;window=popup_no_bar&amp;width=385&amp;height=120&amp;START_MAXIMIZED=FALSE&amp;creator=factset&amp;display_string=Audit"}</definedName>
    <definedName name="_4569__FDSAUDITLINK__" localSheetId="7" hidden="1">{"fdsup://Directions/FactSet Auditing Viewer?action=AUDIT_VALUE&amp;DB=129&amp;ID1=03265410&amp;VALUEID=02001&amp;SDATE=200603&amp;PERIODTYPE=QTR_STD&amp;SCFT=3&amp;window=popup_no_bar&amp;width=385&amp;height=120&amp;START_MAXIMIZED=FALSE&amp;creator=factset&amp;display_string=Audit"}</definedName>
    <definedName name="_4569__FDSAUDITLINK__" hidden="1">{"fdsup://Directions/FactSet Auditing Viewer?action=AUDIT_VALUE&amp;DB=129&amp;ID1=03265410&amp;VALUEID=02001&amp;SDATE=200603&amp;PERIODTYPE=QTR_STD&amp;SCFT=3&amp;window=popup_no_bar&amp;width=385&amp;height=120&amp;START_MAXIMIZED=FALSE&amp;creator=factset&amp;display_string=Audit"}</definedName>
    <definedName name="_457__FDSAUDITLINK__" localSheetId="7" hidden="1">{"fdsup://Directions/FactSet Auditing Viewer?action=AUDIT_VALUE&amp;DB=129&amp;ID1=83088M10&amp;VALUEID=02001&amp;SDATE=201003&amp;PERIODTYPE=QTR_STD&amp;SCFT=3&amp;window=popup_no_bar&amp;width=385&amp;height=120&amp;START_MAXIMIZED=FALSE&amp;creator=factset&amp;display_string=Audit"}</definedName>
    <definedName name="_457__FDSAUDITLINK__" hidden="1">{"fdsup://Directions/FactSet Auditing Viewer?action=AUDIT_VALUE&amp;DB=129&amp;ID1=83088M10&amp;VALUEID=02001&amp;SDATE=201003&amp;PERIODTYPE=QTR_STD&amp;SCFT=3&amp;window=popup_no_bar&amp;width=385&amp;height=120&amp;START_MAXIMIZED=FALSE&amp;creator=factset&amp;display_string=Audit"}</definedName>
    <definedName name="_4570__FDSAUDITLINK__" localSheetId="7" hidden="1">{"fdsup://Directions/FactSet Auditing Viewer?action=AUDIT_VALUE&amp;DB=129&amp;ID1=03265410&amp;VALUEID=02001&amp;SDATE=200603&amp;PERIODTYPE=QTR_STD&amp;SCFT=3&amp;window=popup_no_bar&amp;width=385&amp;height=120&amp;START_MAXIMIZED=FALSE&amp;creator=factset&amp;display_string=Audit"}</definedName>
    <definedName name="_4570__FDSAUDITLINK__" hidden="1">{"fdsup://Directions/FactSet Auditing Viewer?action=AUDIT_VALUE&amp;DB=129&amp;ID1=03265410&amp;VALUEID=02001&amp;SDATE=200603&amp;PERIODTYPE=QTR_STD&amp;SCFT=3&amp;window=popup_no_bar&amp;width=385&amp;height=120&amp;START_MAXIMIZED=FALSE&amp;creator=factset&amp;display_string=Audit"}</definedName>
    <definedName name="_4571__FDSAUDITLINK__" localSheetId="7" hidden="1">{"fdsup://Directions/FactSet Auditing Viewer?action=AUDIT_VALUE&amp;DB=129&amp;ID1=03265410&amp;VALUEID=02001&amp;SDATE=200601&amp;PERIODTYPE=QTR_STD&amp;SCFT=3&amp;window=popup_no_bar&amp;width=385&amp;height=120&amp;START_MAXIMIZED=FALSE&amp;creator=factset&amp;display_string=Audit"}</definedName>
    <definedName name="_4571__FDSAUDITLINK__" hidden="1">{"fdsup://Directions/FactSet Auditing Viewer?action=AUDIT_VALUE&amp;DB=129&amp;ID1=03265410&amp;VALUEID=02001&amp;SDATE=200601&amp;PERIODTYPE=QTR_STD&amp;SCFT=3&amp;window=popup_no_bar&amp;width=385&amp;height=120&amp;START_MAXIMIZED=FALSE&amp;creator=factset&amp;display_string=Audit"}</definedName>
    <definedName name="_4572__FDSAUDITLINK__" localSheetId="7" hidden="1">{"fdsup://Directions/FactSet Auditing Viewer?action=AUDIT_VALUE&amp;DB=129&amp;ID1=03265410&amp;VALUEID=02001&amp;SDATE=200601&amp;PERIODTYPE=QTR_STD&amp;SCFT=3&amp;window=popup_no_bar&amp;width=385&amp;height=120&amp;START_MAXIMIZED=FALSE&amp;creator=factset&amp;display_string=Audit"}</definedName>
    <definedName name="_4572__FDSAUDITLINK__" hidden="1">{"fdsup://Directions/FactSet Auditing Viewer?action=AUDIT_VALUE&amp;DB=129&amp;ID1=03265410&amp;VALUEID=02001&amp;SDATE=200601&amp;PERIODTYPE=QTR_STD&amp;SCFT=3&amp;window=popup_no_bar&amp;width=385&amp;height=120&amp;START_MAXIMIZED=FALSE&amp;creator=factset&amp;display_string=Audit"}</definedName>
    <definedName name="_4573__FDSAUDITLINK__" localSheetId="7" hidden="1">{"fdsup://Directions/FactSet Auditing Viewer?action=AUDIT_VALUE&amp;DB=129&amp;ID1=03265410&amp;VALUEID=02001&amp;SDATE=200503&amp;PERIODTYPE=QTR_STD&amp;SCFT=3&amp;window=popup_no_bar&amp;width=385&amp;height=120&amp;START_MAXIMIZED=FALSE&amp;creator=factset&amp;display_string=Audit"}</definedName>
    <definedName name="_4573__FDSAUDITLINK__" hidden="1">{"fdsup://Directions/FactSet Auditing Viewer?action=AUDIT_VALUE&amp;DB=129&amp;ID1=03265410&amp;VALUEID=02001&amp;SDATE=200503&amp;PERIODTYPE=QTR_STD&amp;SCFT=3&amp;window=popup_no_bar&amp;width=385&amp;height=120&amp;START_MAXIMIZED=FALSE&amp;creator=factset&amp;display_string=Audit"}</definedName>
    <definedName name="_4574__FDSAUDITLINK__" localSheetId="7" hidden="1">{"fdsup://Directions/FactSet Auditing Viewer?action=AUDIT_VALUE&amp;DB=129&amp;ID1=03265410&amp;VALUEID=02001&amp;SDATE=200503&amp;PERIODTYPE=QTR_STD&amp;SCFT=3&amp;window=popup_no_bar&amp;width=385&amp;height=120&amp;START_MAXIMIZED=FALSE&amp;creator=factset&amp;display_string=Audit"}</definedName>
    <definedName name="_4574__FDSAUDITLINK__" hidden="1">{"fdsup://Directions/FactSet Auditing Viewer?action=AUDIT_VALUE&amp;DB=129&amp;ID1=03265410&amp;VALUEID=02001&amp;SDATE=200503&amp;PERIODTYPE=QTR_STD&amp;SCFT=3&amp;window=popup_no_bar&amp;width=385&amp;height=120&amp;START_MAXIMIZED=FALSE&amp;creator=factset&amp;display_string=Audit"}</definedName>
    <definedName name="_4575__FDSAUDITLINK__" localSheetId="7" hidden="1">{"fdsup://Directions/FactSet Auditing Viewer?action=AUDIT_VALUE&amp;DB=129&amp;ID1=03265410&amp;VALUEID=02001&amp;SDATE=200502&amp;PERIODTYPE=QTR_STD&amp;SCFT=3&amp;window=popup_no_bar&amp;width=385&amp;height=120&amp;START_MAXIMIZED=FALSE&amp;creator=factset&amp;display_string=Audit"}</definedName>
    <definedName name="_4575__FDSAUDITLINK__" hidden="1">{"fdsup://Directions/FactSet Auditing Viewer?action=AUDIT_VALUE&amp;DB=129&amp;ID1=03265410&amp;VALUEID=02001&amp;SDATE=200502&amp;PERIODTYPE=QTR_STD&amp;SCFT=3&amp;window=popup_no_bar&amp;width=385&amp;height=120&amp;START_MAXIMIZED=FALSE&amp;creator=factset&amp;display_string=Audit"}</definedName>
    <definedName name="_4576__FDSAUDITLINK__" localSheetId="7" hidden="1">{"fdsup://Directions/FactSet Auditing Viewer?action=AUDIT_VALUE&amp;DB=129&amp;ID1=03265410&amp;VALUEID=02001&amp;SDATE=200502&amp;PERIODTYPE=QTR_STD&amp;SCFT=3&amp;window=popup_no_bar&amp;width=385&amp;height=120&amp;START_MAXIMIZED=FALSE&amp;creator=factset&amp;display_string=Audit"}</definedName>
    <definedName name="_4576__FDSAUDITLINK__" hidden="1">{"fdsup://Directions/FactSet Auditing Viewer?action=AUDIT_VALUE&amp;DB=129&amp;ID1=03265410&amp;VALUEID=02001&amp;SDATE=200502&amp;PERIODTYPE=QTR_STD&amp;SCFT=3&amp;window=popup_no_bar&amp;width=385&amp;height=120&amp;START_MAXIMIZED=FALSE&amp;creator=factset&amp;display_string=Audit"}</definedName>
    <definedName name="_4577__FDSAUDITLINK__" localSheetId="7" hidden="1">{"fdsup://Directions/FactSet Auditing Viewer?action=AUDIT_VALUE&amp;DB=129&amp;ID1=03265410&amp;VALUEID=02001&amp;SDATE=200501&amp;PERIODTYPE=QTR_STD&amp;SCFT=3&amp;window=popup_no_bar&amp;width=385&amp;height=120&amp;START_MAXIMIZED=FALSE&amp;creator=factset&amp;display_string=Audit"}</definedName>
    <definedName name="_4577__FDSAUDITLINK__" hidden="1">{"fdsup://Directions/FactSet Auditing Viewer?action=AUDIT_VALUE&amp;DB=129&amp;ID1=03265410&amp;VALUEID=02001&amp;SDATE=200501&amp;PERIODTYPE=QTR_STD&amp;SCFT=3&amp;window=popup_no_bar&amp;width=385&amp;height=120&amp;START_MAXIMIZED=FALSE&amp;creator=factset&amp;display_string=Audit"}</definedName>
    <definedName name="_4578__FDSAUDITLINK__" localSheetId="7" hidden="1">{"fdsup://Directions/FactSet Auditing Viewer?action=AUDIT_VALUE&amp;DB=129&amp;ID1=03265410&amp;VALUEID=02001&amp;SDATE=200501&amp;PERIODTYPE=QTR_STD&amp;SCFT=3&amp;window=popup_no_bar&amp;width=385&amp;height=120&amp;START_MAXIMIZED=FALSE&amp;creator=factset&amp;display_string=Audit"}</definedName>
    <definedName name="_4578__FDSAUDITLINK__" hidden="1">{"fdsup://Directions/FactSet Auditing Viewer?action=AUDIT_VALUE&amp;DB=129&amp;ID1=03265410&amp;VALUEID=02001&amp;SDATE=200501&amp;PERIODTYPE=QTR_STD&amp;SCFT=3&amp;window=popup_no_bar&amp;width=385&amp;height=120&amp;START_MAXIMIZED=FALSE&amp;creator=factset&amp;display_string=Audit"}</definedName>
    <definedName name="_4579__FDSAUDITLINK__" localSheetId="7" hidden="1">{"fdsup://Directions/FactSet Auditing Viewer?action=AUDIT_VALUE&amp;DB=129&amp;ID1=03265410&amp;VALUEID=02001&amp;SDATE=200403&amp;PERIODTYPE=QTR_STD&amp;SCFT=3&amp;window=popup_no_bar&amp;width=385&amp;height=120&amp;START_MAXIMIZED=FALSE&amp;creator=factset&amp;display_string=Audit"}</definedName>
    <definedName name="_4579__FDSAUDITLINK__" hidden="1">{"fdsup://Directions/FactSet Auditing Viewer?action=AUDIT_VALUE&amp;DB=129&amp;ID1=03265410&amp;VALUEID=02001&amp;SDATE=200403&amp;PERIODTYPE=QTR_STD&amp;SCFT=3&amp;window=popup_no_bar&amp;width=385&amp;height=120&amp;START_MAXIMIZED=FALSE&amp;creator=factset&amp;display_string=Audit"}</definedName>
    <definedName name="_458__FDSAUDITLINK__" localSheetId="7" hidden="1">{"fdsup://Directions/FactSet Auditing Viewer?action=AUDIT_VALUE&amp;DB=129&amp;ID1=83088M10&amp;VALUEID=02001&amp;SDATE=201003&amp;PERIODTYPE=QTR_STD&amp;SCFT=3&amp;window=popup_no_bar&amp;width=385&amp;height=120&amp;START_MAXIMIZED=FALSE&amp;creator=factset&amp;display_string=Audit"}</definedName>
    <definedName name="_458__FDSAUDITLINK__" hidden="1">{"fdsup://Directions/FactSet Auditing Viewer?action=AUDIT_VALUE&amp;DB=129&amp;ID1=83088M10&amp;VALUEID=02001&amp;SDATE=201003&amp;PERIODTYPE=QTR_STD&amp;SCFT=3&amp;window=popup_no_bar&amp;width=385&amp;height=120&amp;START_MAXIMIZED=FALSE&amp;creator=factset&amp;display_string=Audit"}</definedName>
    <definedName name="_4580__FDSAUDITLINK__" localSheetId="7" hidden="1">{"fdsup://Directions/FactSet Auditing Viewer?action=AUDIT_VALUE&amp;DB=129&amp;ID1=03265410&amp;VALUEID=02001&amp;SDATE=200403&amp;PERIODTYPE=QTR_STD&amp;SCFT=3&amp;window=popup_no_bar&amp;width=385&amp;height=120&amp;START_MAXIMIZED=FALSE&amp;creator=factset&amp;display_string=Audit"}</definedName>
    <definedName name="_4580__FDSAUDITLINK__" hidden="1">{"fdsup://Directions/FactSet Auditing Viewer?action=AUDIT_VALUE&amp;DB=129&amp;ID1=03265410&amp;VALUEID=02001&amp;SDATE=200403&amp;PERIODTYPE=QTR_STD&amp;SCFT=3&amp;window=popup_no_bar&amp;width=385&amp;height=120&amp;START_MAXIMIZED=FALSE&amp;creator=factset&amp;display_string=Audit"}</definedName>
    <definedName name="_4581__FDSAUDITLINK__" localSheetId="7" hidden="1">{"fdsup://Directions/FactSet Auditing Viewer?action=AUDIT_VALUE&amp;DB=129&amp;ID1=03265410&amp;VALUEID=02001&amp;SDATE=200402&amp;PERIODTYPE=QTR_STD&amp;SCFT=3&amp;window=popup_no_bar&amp;width=385&amp;height=120&amp;START_MAXIMIZED=FALSE&amp;creator=factset&amp;display_string=Audit"}</definedName>
    <definedName name="_4581__FDSAUDITLINK__" hidden="1">{"fdsup://Directions/FactSet Auditing Viewer?action=AUDIT_VALUE&amp;DB=129&amp;ID1=03265410&amp;VALUEID=02001&amp;SDATE=200402&amp;PERIODTYPE=QTR_STD&amp;SCFT=3&amp;window=popup_no_bar&amp;width=385&amp;height=120&amp;START_MAXIMIZED=FALSE&amp;creator=factset&amp;display_string=Audit"}</definedName>
    <definedName name="_4582__FDSAUDITLINK__" localSheetId="7" hidden="1">{"fdsup://Directions/FactSet Auditing Viewer?action=AUDIT_VALUE&amp;DB=129&amp;ID1=03265410&amp;VALUEID=02001&amp;SDATE=200402&amp;PERIODTYPE=QTR_STD&amp;SCFT=3&amp;window=popup_no_bar&amp;width=385&amp;height=120&amp;START_MAXIMIZED=FALSE&amp;creator=factset&amp;display_string=Audit"}</definedName>
    <definedName name="_4582__FDSAUDITLINK__" hidden="1">{"fdsup://Directions/FactSet Auditing Viewer?action=AUDIT_VALUE&amp;DB=129&amp;ID1=03265410&amp;VALUEID=02001&amp;SDATE=200402&amp;PERIODTYPE=QTR_STD&amp;SCFT=3&amp;window=popup_no_bar&amp;width=385&amp;height=120&amp;START_MAXIMIZED=FALSE&amp;creator=factset&amp;display_string=Audit"}</definedName>
    <definedName name="_4583__FDSAUDITLINK__" localSheetId="7" hidden="1">{"fdsup://Directions/FactSet Auditing Viewer?action=AUDIT_VALUE&amp;DB=129&amp;ID1=00752J10&amp;VALUEID=02001&amp;SDATE=200801&amp;PERIODTYPE=QTR_STD&amp;SCFT=3&amp;window=popup_no_bar&amp;width=385&amp;height=120&amp;START_MAXIMIZED=FALSE&amp;creator=factset&amp;display_string=Audit"}</definedName>
    <definedName name="_4583__FDSAUDITLINK__" hidden="1">{"fdsup://Directions/FactSet Auditing Viewer?action=AUDIT_VALUE&amp;DB=129&amp;ID1=00752J10&amp;VALUEID=02001&amp;SDATE=200801&amp;PERIODTYPE=QTR_STD&amp;SCFT=3&amp;window=popup_no_bar&amp;width=385&amp;height=120&amp;START_MAXIMIZED=FALSE&amp;creator=factset&amp;display_string=Audit"}</definedName>
    <definedName name="_4584__FDSAUDITLINK__" localSheetId="7" hidden="1">{"fdsup://Directions/FactSet Auditing Viewer?action=AUDIT_VALUE&amp;DB=129&amp;ID1=00752J10&amp;VALUEID=02001&amp;SDATE=200801&amp;PERIODTYPE=QTR_STD&amp;SCFT=3&amp;window=popup_no_bar&amp;width=385&amp;height=120&amp;START_MAXIMIZED=FALSE&amp;creator=factset&amp;display_string=Audit"}</definedName>
    <definedName name="_4584__FDSAUDITLINK__" hidden="1">{"fdsup://Directions/FactSet Auditing Viewer?action=AUDIT_VALUE&amp;DB=129&amp;ID1=00752J10&amp;VALUEID=02001&amp;SDATE=200801&amp;PERIODTYPE=QTR_STD&amp;SCFT=3&amp;window=popup_no_bar&amp;width=385&amp;height=120&amp;START_MAXIMIZED=FALSE&amp;creator=factset&amp;display_string=Audit"}</definedName>
    <definedName name="_4585__FDSAUDITLINK__" localSheetId="7" hidden="1">{"fdsup://Directions/FactSet Auditing Viewer?action=AUDIT_VALUE&amp;DB=129&amp;ID1=00752J10&amp;VALUEID=02001&amp;SDATE=200703&amp;PERIODTYPE=QTR_STD&amp;SCFT=3&amp;window=popup_no_bar&amp;width=385&amp;height=120&amp;START_MAXIMIZED=FALSE&amp;creator=factset&amp;display_string=Audit"}</definedName>
    <definedName name="_4585__FDSAUDITLINK__" hidden="1">{"fdsup://Directions/FactSet Auditing Viewer?action=AUDIT_VALUE&amp;DB=129&amp;ID1=00752J10&amp;VALUEID=02001&amp;SDATE=200703&amp;PERIODTYPE=QTR_STD&amp;SCFT=3&amp;window=popup_no_bar&amp;width=385&amp;height=120&amp;START_MAXIMIZED=FALSE&amp;creator=factset&amp;display_string=Audit"}</definedName>
    <definedName name="_4586__FDSAUDITLINK__" localSheetId="7" hidden="1">{"fdsup://Directions/FactSet Auditing Viewer?action=AUDIT_VALUE&amp;DB=129&amp;ID1=00752J10&amp;VALUEID=02001&amp;SDATE=200703&amp;PERIODTYPE=QTR_STD&amp;SCFT=3&amp;window=popup_no_bar&amp;width=385&amp;height=120&amp;START_MAXIMIZED=FALSE&amp;creator=factset&amp;display_string=Audit"}</definedName>
    <definedName name="_4586__FDSAUDITLINK__" hidden="1">{"fdsup://Directions/FactSet Auditing Viewer?action=AUDIT_VALUE&amp;DB=129&amp;ID1=00752J10&amp;VALUEID=02001&amp;SDATE=200703&amp;PERIODTYPE=QTR_STD&amp;SCFT=3&amp;window=popup_no_bar&amp;width=385&amp;height=120&amp;START_MAXIMIZED=FALSE&amp;creator=factset&amp;display_string=Audit"}</definedName>
    <definedName name="_4587__FDSAUDITLINK__" localSheetId="7" hidden="1">{"fdsup://Directions/FactSet Auditing Viewer?action=AUDIT_VALUE&amp;DB=129&amp;ID1=00752J10&amp;VALUEID=02001&amp;SDATE=200702&amp;PERIODTYPE=QTR_STD&amp;SCFT=3&amp;window=popup_no_bar&amp;width=385&amp;height=120&amp;START_MAXIMIZED=FALSE&amp;creator=factset&amp;display_string=Audit"}</definedName>
    <definedName name="_4587__FDSAUDITLINK__" hidden="1">{"fdsup://Directions/FactSet Auditing Viewer?action=AUDIT_VALUE&amp;DB=129&amp;ID1=00752J10&amp;VALUEID=02001&amp;SDATE=200702&amp;PERIODTYPE=QTR_STD&amp;SCFT=3&amp;window=popup_no_bar&amp;width=385&amp;height=120&amp;START_MAXIMIZED=FALSE&amp;creator=factset&amp;display_string=Audit"}</definedName>
    <definedName name="_4588__FDSAUDITLINK__" localSheetId="7" hidden="1">{"fdsup://Directions/FactSet Auditing Viewer?action=AUDIT_VALUE&amp;DB=129&amp;ID1=00752J10&amp;VALUEID=02001&amp;SDATE=200702&amp;PERIODTYPE=QTR_STD&amp;SCFT=3&amp;window=popup_no_bar&amp;width=385&amp;height=120&amp;START_MAXIMIZED=FALSE&amp;creator=factset&amp;display_string=Audit"}</definedName>
    <definedName name="_4588__FDSAUDITLINK__" hidden="1">{"fdsup://Directions/FactSet Auditing Viewer?action=AUDIT_VALUE&amp;DB=129&amp;ID1=00752J10&amp;VALUEID=02001&amp;SDATE=200702&amp;PERIODTYPE=QTR_STD&amp;SCFT=3&amp;window=popup_no_bar&amp;width=385&amp;height=120&amp;START_MAXIMIZED=FALSE&amp;creator=factset&amp;display_string=Audit"}</definedName>
    <definedName name="_4589__FDSAUDITLINK__" localSheetId="7" hidden="1">{"fdsup://Directions/FactSet Auditing Viewer?action=AUDIT_VALUE&amp;DB=129&amp;ID1=00752J10&amp;VALUEID=02001&amp;SDATE=200701&amp;PERIODTYPE=QTR_STD&amp;SCFT=3&amp;window=popup_no_bar&amp;width=385&amp;height=120&amp;START_MAXIMIZED=FALSE&amp;creator=factset&amp;display_string=Audit"}</definedName>
    <definedName name="_4589__FDSAUDITLINK__" hidden="1">{"fdsup://Directions/FactSet Auditing Viewer?action=AUDIT_VALUE&amp;DB=129&amp;ID1=00752J10&amp;VALUEID=02001&amp;SDATE=200701&amp;PERIODTYPE=QTR_STD&amp;SCFT=3&amp;window=popup_no_bar&amp;width=385&amp;height=120&amp;START_MAXIMIZED=FALSE&amp;creator=factset&amp;display_string=Audit"}</definedName>
    <definedName name="_459__FDSAUDITLINK__" localSheetId="7" hidden="1">{"fdsup://Directions/FactSet Auditing Viewer?action=AUDIT_VALUE&amp;DB=129&amp;ID1=G7945M10&amp;VALUEID=02001&amp;SDATE=201004&amp;PERIODTYPE=QTR_STD&amp;SCFT=3&amp;window=popup_no_bar&amp;width=385&amp;height=120&amp;START_MAXIMIZED=FALSE&amp;creator=factset&amp;display_string=Audit"}</definedName>
    <definedName name="_459__FDSAUDITLINK__" hidden="1">{"fdsup://Directions/FactSet Auditing Viewer?action=AUDIT_VALUE&amp;DB=129&amp;ID1=G7945M10&amp;VALUEID=02001&amp;SDATE=201004&amp;PERIODTYPE=QTR_STD&amp;SCFT=3&amp;window=popup_no_bar&amp;width=385&amp;height=120&amp;START_MAXIMIZED=FALSE&amp;creator=factset&amp;display_string=Audit"}</definedName>
    <definedName name="_4590__FDSAUDITLINK__" localSheetId="7" hidden="1">{"fdsup://Directions/FactSet Auditing Viewer?action=AUDIT_VALUE&amp;DB=129&amp;ID1=00752J10&amp;VALUEID=02001&amp;SDATE=200701&amp;PERIODTYPE=QTR_STD&amp;SCFT=3&amp;window=popup_no_bar&amp;width=385&amp;height=120&amp;START_MAXIMIZED=FALSE&amp;creator=factset&amp;display_string=Audit"}</definedName>
    <definedName name="_4590__FDSAUDITLINK__" hidden="1">{"fdsup://Directions/FactSet Auditing Viewer?action=AUDIT_VALUE&amp;DB=129&amp;ID1=00752J10&amp;VALUEID=02001&amp;SDATE=200701&amp;PERIODTYPE=QTR_STD&amp;SCFT=3&amp;window=popup_no_bar&amp;width=385&amp;height=120&amp;START_MAXIMIZED=FALSE&amp;creator=factset&amp;display_string=Audit"}</definedName>
    <definedName name="_4591__FDSAUDITLINK__" localSheetId="7" hidden="1">{"fdsup://Directions/FactSet Auditing Viewer?action=AUDIT_VALUE&amp;DB=129&amp;ID1=00752J10&amp;VALUEID=02001&amp;SDATE=200603&amp;PERIODTYPE=QTR_STD&amp;SCFT=3&amp;window=popup_no_bar&amp;width=385&amp;height=120&amp;START_MAXIMIZED=FALSE&amp;creator=factset&amp;display_string=Audit"}</definedName>
    <definedName name="_4591__FDSAUDITLINK__" hidden="1">{"fdsup://Directions/FactSet Auditing Viewer?action=AUDIT_VALUE&amp;DB=129&amp;ID1=00752J10&amp;VALUEID=02001&amp;SDATE=200603&amp;PERIODTYPE=QTR_STD&amp;SCFT=3&amp;window=popup_no_bar&amp;width=385&amp;height=120&amp;START_MAXIMIZED=FALSE&amp;creator=factset&amp;display_string=Audit"}</definedName>
    <definedName name="_4592__FDSAUDITLINK__" localSheetId="7" hidden="1">{"fdsup://Directions/FactSet Auditing Viewer?action=AUDIT_VALUE&amp;DB=129&amp;ID1=00752J10&amp;VALUEID=02001&amp;SDATE=200603&amp;PERIODTYPE=QTR_STD&amp;SCFT=3&amp;window=popup_no_bar&amp;width=385&amp;height=120&amp;START_MAXIMIZED=FALSE&amp;creator=factset&amp;display_string=Audit"}</definedName>
    <definedName name="_4592__FDSAUDITLINK__" hidden="1">{"fdsup://Directions/FactSet Auditing Viewer?action=AUDIT_VALUE&amp;DB=129&amp;ID1=00752J10&amp;VALUEID=02001&amp;SDATE=200603&amp;PERIODTYPE=QTR_STD&amp;SCFT=3&amp;window=popup_no_bar&amp;width=385&amp;height=120&amp;START_MAXIMIZED=FALSE&amp;creator=factset&amp;display_string=Audit"}</definedName>
    <definedName name="_4593__FDSAUDITLINK__" localSheetId="7" hidden="1">{"fdsup://Directions/FactSet Auditing Viewer?action=AUDIT_VALUE&amp;DB=129&amp;ID1=00752J10&amp;VALUEID=02001&amp;SDATE=200602&amp;PERIODTYPE=QTR_STD&amp;SCFT=3&amp;window=popup_no_bar&amp;width=385&amp;height=120&amp;START_MAXIMIZED=FALSE&amp;creator=factset&amp;display_string=Audit"}</definedName>
    <definedName name="_4593__FDSAUDITLINK__" hidden="1">{"fdsup://Directions/FactSet Auditing Viewer?action=AUDIT_VALUE&amp;DB=129&amp;ID1=00752J10&amp;VALUEID=02001&amp;SDATE=200602&amp;PERIODTYPE=QTR_STD&amp;SCFT=3&amp;window=popup_no_bar&amp;width=385&amp;height=120&amp;START_MAXIMIZED=FALSE&amp;creator=factset&amp;display_string=Audit"}</definedName>
    <definedName name="_4594__FDSAUDITLINK__" localSheetId="7" hidden="1">{"fdsup://Directions/FactSet Auditing Viewer?action=AUDIT_VALUE&amp;DB=129&amp;ID1=00752J10&amp;VALUEID=02001&amp;SDATE=200602&amp;PERIODTYPE=QTR_STD&amp;SCFT=3&amp;window=popup_no_bar&amp;width=385&amp;height=120&amp;START_MAXIMIZED=FALSE&amp;creator=factset&amp;display_string=Audit"}</definedName>
    <definedName name="_4594__FDSAUDITLINK__" hidden="1">{"fdsup://Directions/FactSet Auditing Viewer?action=AUDIT_VALUE&amp;DB=129&amp;ID1=00752J10&amp;VALUEID=02001&amp;SDATE=200602&amp;PERIODTYPE=QTR_STD&amp;SCFT=3&amp;window=popup_no_bar&amp;width=385&amp;height=120&amp;START_MAXIMIZED=FALSE&amp;creator=factset&amp;display_string=Audit"}</definedName>
    <definedName name="_4595__FDSAUDITLINK__" localSheetId="7" hidden="1">{"fdsup://Directions/FactSet Auditing Viewer?action=AUDIT_VALUE&amp;DB=129&amp;ID1=00752J10&amp;VALUEID=02001&amp;SDATE=200601&amp;PERIODTYPE=QTR_STD&amp;SCFT=3&amp;window=popup_no_bar&amp;width=385&amp;height=120&amp;START_MAXIMIZED=FALSE&amp;creator=factset&amp;display_string=Audit"}</definedName>
    <definedName name="_4595__FDSAUDITLINK__" hidden="1">{"fdsup://Directions/FactSet Auditing Viewer?action=AUDIT_VALUE&amp;DB=129&amp;ID1=00752J10&amp;VALUEID=02001&amp;SDATE=200601&amp;PERIODTYPE=QTR_STD&amp;SCFT=3&amp;window=popup_no_bar&amp;width=385&amp;height=120&amp;START_MAXIMIZED=FALSE&amp;creator=factset&amp;display_string=Audit"}</definedName>
    <definedName name="_4596__FDSAUDITLINK__" localSheetId="7" hidden="1">{"fdsup://Directions/FactSet Auditing Viewer?action=AUDIT_VALUE&amp;DB=129&amp;ID1=00752J10&amp;VALUEID=02001&amp;SDATE=200601&amp;PERIODTYPE=QTR_STD&amp;SCFT=3&amp;window=popup_no_bar&amp;width=385&amp;height=120&amp;START_MAXIMIZED=FALSE&amp;creator=factset&amp;display_string=Audit"}</definedName>
    <definedName name="_4596__FDSAUDITLINK__" hidden="1">{"fdsup://Directions/FactSet Auditing Viewer?action=AUDIT_VALUE&amp;DB=129&amp;ID1=00752J10&amp;VALUEID=02001&amp;SDATE=200601&amp;PERIODTYPE=QTR_STD&amp;SCFT=3&amp;window=popup_no_bar&amp;width=385&amp;height=120&amp;START_MAXIMIZED=FALSE&amp;creator=factset&amp;display_string=Audit"}</definedName>
    <definedName name="_4597__FDSAUDITLINK__" localSheetId="7" hidden="1">{"fdsup://Directions/FactSet Auditing Viewer?action=AUDIT_VALUE&amp;DB=129&amp;ID1=00752J10&amp;VALUEID=02001&amp;SDATE=200503&amp;PERIODTYPE=QTR_STD&amp;SCFT=3&amp;window=popup_no_bar&amp;width=385&amp;height=120&amp;START_MAXIMIZED=FALSE&amp;creator=factset&amp;display_string=Audit"}</definedName>
    <definedName name="_4597__FDSAUDITLINK__" hidden="1">{"fdsup://Directions/FactSet Auditing Viewer?action=AUDIT_VALUE&amp;DB=129&amp;ID1=00752J10&amp;VALUEID=02001&amp;SDATE=200503&amp;PERIODTYPE=QTR_STD&amp;SCFT=3&amp;window=popup_no_bar&amp;width=385&amp;height=120&amp;START_MAXIMIZED=FALSE&amp;creator=factset&amp;display_string=Audit"}</definedName>
    <definedName name="_4598__FDSAUDITLINK__" localSheetId="7" hidden="1">{"fdsup://Directions/FactSet Auditing Viewer?action=AUDIT_VALUE&amp;DB=129&amp;ID1=00752J10&amp;VALUEID=02001&amp;SDATE=200503&amp;PERIODTYPE=QTR_STD&amp;SCFT=3&amp;window=popup_no_bar&amp;width=385&amp;height=120&amp;START_MAXIMIZED=FALSE&amp;creator=factset&amp;display_string=Audit"}</definedName>
    <definedName name="_4598__FDSAUDITLINK__" hidden="1">{"fdsup://Directions/FactSet Auditing Viewer?action=AUDIT_VALUE&amp;DB=129&amp;ID1=00752J10&amp;VALUEID=02001&amp;SDATE=200503&amp;PERIODTYPE=QTR_STD&amp;SCFT=3&amp;window=popup_no_bar&amp;width=385&amp;height=120&amp;START_MAXIMIZED=FALSE&amp;creator=factset&amp;display_string=Audit"}</definedName>
    <definedName name="_4599__FDSAUDITLINK__" localSheetId="7" hidden="1">{"fdsup://Directions/FactSet Auditing Viewer?action=AUDIT_VALUE&amp;DB=129&amp;ID1=00752J10&amp;VALUEID=02001&amp;SDATE=200502&amp;PERIODTYPE=QTR_STD&amp;SCFT=3&amp;window=popup_no_bar&amp;width=385&amp;height=120&amp;START_MAXIMIZED=FALSE&amp;creator=factset&amp;display_string=Audit"}</definedName>
    <definedName name="_4599__FDSAUDITLINK__" hidden="1">{"fdsup://Directions/FactSet Auditing Viewer?action=AUDIT_VALUE&amp;DB=129&amp;ID1=00752J10&amp;VALUEID=02001&amp;SDATE=200502&amp;PERIODTYPE=QTR_STD&amp;SCFT=3&amp;window=popup_no_bar&amp;width=385&amp;height=120&amp;START_MAXIMIZED=FALSE&amp;creator=factset&amp;display_string=Audit"}</definedName>
    <definedName name="_46__FDSAUDITLINK__" localSheetId="7" hidden="1">{"fdsup://Directions/FactSet Auditing Viewer?action=AUDIT_VALUE&amp;DB=129&amp;ID1=73927610&amp;VALUEID=02001&amp;SDATE=201101&amp;PERIODTYPE=QTR_STD&amp;SCFT=3&amp;window=popup_no_bar&amp;width=385&amp;height=120&amp;START_MAXIMIZED=FALSE&amp;creator=factset&amp;display_string=Audit"}</definedName>
    <definedName name="_46__FDSAUDITLINK__" hidden="1">{"fdsup://Directions/FactSet Auditing Viewer?action=AUDIT_VALUE&amp;DB=129&amp;ID1=73927610&amp;VALUEID=02001&amp;SDATE=201101&amp;PERIODTYPE=QTR_STD&amp;SCFT=3&amp;window=popup_no_bar&amp;width=385&amp;height=120&amp;START_MAXIMIZED=FALSE&amp;creator=factset&amp;display_string=Audit"}</definedName>
    <definedName name="_460__FDSAUDITLINK__" localSheetId="7" hidden="1">{"fdsup://Directions/FactSet Auditing Viewer?action=AUDIT_VALUE&amp;DB=129&amp;ID1=G7945M10&amp;VALUEID=02001&amp;SDATE=201004&amp;PERIODTYPE=QTR_STD&amp;SCFT=3&amp;window=popup_no_bar&amp;width=385&amp;height=120&amp;START_MAXIMIZED=FALSE&amp;creator=factset&amp;display_string=Audit"}</definedName>
    <definedName name="_460__FDSAUDITLINK__" hidden="1">{"fdsup://Directions/FactSet Auditing Viewer?action=AUDIT_VALUE&amp;DB=129&amp;ID1=G7945M10&amp;VALUEID=02001&amp;SDATE=201004&amp;PERIODTYPE=QTR_STD&amp;SCFT=3&amp;window=popup_no_bar&amp;width=385&amp;height=120&amp;START_MAXIMIZED=FALSE&amp;creator=factset&amp;display_string=Audit"}</definedName>
    <definedName name="_4600__FDSAUDITLINK__" localSheetId="7" hidden="1">{"fdsup://Directions/FactSet Auditing Viewer?action=AUDIT_VALUE&amp;DB=129&amp;ID1=00752J10&amp;VALUEID=02001&amp;SDATE=200502&amp;PERIODTYPE=QTR_STD&amp;SCFT=3&amp;window=popup_no_bar&amp;width=385&amp;height=120&amp;START_MAXIMIZED=FALSE&amp;creator=factset&amp;display_string=Audit"}</definedName>
    <definedName name="_4600__FDSAUDITLINK__" hidden="1">{"fdsup://Directions/FactSet Auditing Viewer?action=AUDIT_VALUE&amp;DB=129&amp;ID1=00752J10&amp;VALUEID=02001&amp;SDATE=200502&amp;PERIODTYPE=QTR_STD&amp;SCFT=3&amp;window=popup_no_bar&amp;width=385&amp;height=120&amp;START_MAXIMIZED=FALSE&amp;creator=factset&amp;display_string=Audit"}</definedName>
    <definedName name="_4601__FDSAUDITLINK__" localSheetId="7" hidden="1">{"fdsup://Directions/FactSet Auditing Viewer?action=AUDIT_VALUE&amp;DB=129&amp;ID1=03265410&amp;VALUEID=02001&amp;SDATE=201102&amp;PERIODTYPE=QTR_STD&amp;SCFT=3&amp;window=popup_no_bar&amp;width=385&amp;height=120&amp;START_MAXIMIZED=FALSE&amp;creator=factset&amp;display_string=Audit"}</definedName>
    <definedName name="_4601__FDSAUDITLINK__" hidden="1">{"fdsup://Directions/FactSet Auditing Viewer?action=AUDIT_VALUE&amp;DB=129&amp;ID1=03265410&amp;VALUEID=02001&amp;SDATE=201102&amp;PERIODTYPE=QTR_STD&amp;SCFT=3&amp;window=popup_no_bar&amp;width=385&amp;height=120&amp;START_MAXIMIZED=FALSE&amp;creator=factset&amp;display_string=Audit"}</definedName>
    <definedName name="_4602__FDSAUDITLINK__" localSheetId="7" hidden="1">{"fdsup://Directions/FactSet Auditing Viewer?action=AUDIT_VALUE&amp;DB=129&amp;ID1=03265410&amp;VALUEID=05194&amp;SDATE=201102&amp;PERIODTYPE=QTR_STD&amp;SCFT=3&amp;window=popup_no_bar&amp;width=385&amp;height=120&amp;START_MAXIMIZED=FALSE&amp;creator=factset&amp;display_string=Audit"}</definedName>
    <definedName name="_4602__FDSAUDITLINK__" hidden="1">{"fdsup://Directions/FactSet Auditing Viewer?action=AUDIT_VALUE&amp;DB=129&amp;ID1=03265410&amp;VALUEID=05194&amp;SDATE=201102&amp;PERIODTYPE=QTR_STD&amp;SCFT=3&amp;window=popup_no_bar&amp;width=385&amp;height=120&amp;START_MAXIMIZED=FALSE&amp;creator=factset&amp;display_string=Audit"}</definedName>
    <definedName name="_4603__FDSAUDITLINK__" localSheetId="7" hidden="1">{"fdsup://Directions/FactSet Auditing Viewer?action=AUDIT_VALUE&amp;DB=129&amp;ID1=74752510&amp;VALUEID=02001&amp;SDATE=201102&amp;PERIODTYPE=QTR_STD&amp;SCFT=3&amp;window=popup_no_bar&amp;width=385&amp;height=120&amp;START_MAXIMIZED=FALSE&amp;creator=factset&amp;display_string=Audit"}</definedName>
    <definedName name="_4603__FDSAUDITLINK__" hidden="1">{"fdsup://Directions/FactSet Auditing Viewer?action=AUDIT_VALUE&amp;DB=129&amp;ID1=74752510&amp;VALUEID=02001&amp;SDATE=201102&amp;PERIODTYPE=QTR_STD&amp;SCFT=3&amp;window=popup_no_bar&amp;width=385&amp;height=120&amp;START_MAXIMIZED=FALSE&amp;creator=factset&amp;display_string=Audit"}</definedName>
    <definedName name="_4604__FDSAUDITLINK__" localSheetId="7" hidden="1">{"fdsup://Directions/FactSet Auditing Viewer?action=AUDIT_VALUE&amp;DB=129&amp;ID1=67066G10&amp;VALUEID=02001&amp;SDATE=201101&amp;PERIODTYPE=QTR_STD&amp;SCFT=3&amp;window=popup_no_bar&amp;width=385&amp;height=120&amp;START_MAXIMIZED=FALSE&amp;creator=factset&amp;display_string=Audit"}</definedName>
    <definedName name="_4604__FDSAUDITLINK__" hidden="1">{"fdsup://Directions/FactSet Auditing Viewer?action=AUDIT_VALUE&amp;DB=129&amp;ID1=67066G10&amp;VALUEID=02001&amp;SDATE=201101&amp;PERIODTYPE=QTR_STD&amp;SCFT=3&amp;window=popup_no_bar&amp;width=385&amp;height=120&amp;START_MAXIMIZED=FALSE&amp;creator=factset&amp;display_string=Audit"}</definedName>
    <definedName name="_4605__FDSAUDITLINK__" localSheetId="7" hidden="1">{"fdsup://Directions/FactSet Auditing Viewer?action=AUDIT_VALUE&amp;DB=129&amp;ID1=74752510&amp;VALUEID=05194&amp;SDATE=201102&amp;PERIODTYPE=QTR_STD&amp;SCFT=3&amp;window=popup_no_bar&amp;width=385&amp;height=120&amp;START_MAXIMIZED=FALSE&amp;creator=factset&amp;display_string=Audit"}</definedName>
    <definedName name="_4605__FDSAUDITLINK__" hidden="1">{"fdsup://Directions/FactSet Auditing Viewer?action=AUDIT_VALUE&amp;DB=129&amp;ID1=74752510&amp;VALUEID=05194&amp;SDATE=201102&amp;PERIODTYPE=QTR_STD&amp;SCFT=3&amp;window=popup_no_bar&amp;width=385&amp;height=120&amp;START_MAXIMIZED=FALSE&amp;creator=factset&amp;display_string=Audit"}</definedName>
    <definedName name="_4606__FDSAUDITLINK__" localSheetId="7" hidden="1">{"fdsup://Directions/FactSet Auditing Viewer?action=AUDIT_VALUE&amp;DB=129&amp;ID1=67066G10&amp;VALUEID=05194&amp;SDATE=201101&amp;PERIODTYPE=QTR_STD&amp;SCFT=3&amp;window=popup_no_bar&amp;width=385&amp;height=120&amp;START_MAXIMIZED=FALSE&amp;creator=factset&amp;display_string=Audit"}</definedName>
    <definedName name="_4606__FDSAUDITLINK__" hidden="1">{"fdsup://Directions/FactSet Auditing Viewer?action=AUDIT_VALUE&amp;DB=129&amp;ID1=67066G10&amp;VALUEID=05194&amp;SDATE=201101&amp;PERIODTYPE=QTR_STD&amp;SCFT=3&amp;window=popup_no_bar&amp;width=385&amp;height=120&amp;START_MAXIMIZED=FALSE&amp;creator=factset&amp;display_string=Audit"}</definedName>
    <definedName name="_4607__FDSAUDITLINK__" localSheetId="7" hidden="1">{"fdsup://Directions/FactSet Auditing Viewer?action=AUDIT_VALUE&amp;DB=129&amp;ID1=637248&amp;VALUEID=02001&amp;SDATE=201101&amp;PERIODTYPE=QTR_STD&amp;SCFT=3&amp;window=popup_no_bar&amp;width=385&amp;height=120&amp;START_MAXIMIZED=FALSE&amp;creator=factset&amp;display_string=Audit"}</definedName>
    <definedName name="_4607__FDSAUDITLINK__" hidden="1">{"fdsup://Directions/FactSet Auditing Viewer?action=AUDIT_VALUE&amp;DB=129&amp;ID1=637248&amp;VALUEID=02001&amp;SDATE=201101&amp;PERIODTYPE=QTR_STD&amp;SCFT=3&amp;window=popup_no_bar&amp;width=385&amp;height=120&amp;START_MAXIMIZED=FALSE&amp;creator=factset&amp;display_string=Audit"}</definedName>
    <definedName name="_4608__FDSAUDITLINK__" localSheetId="7" hidden="1">{"fdsup://Directions/FactSet Auditing Viewer?action=AUDIT_VALUE&amp;DB=129&amp;ID1=45814010&amp;VALUEID=02001&amp;SDATE=201101&amp;PERIODTYPE=QTR_STD&amp;SCFT=3&amp;window=popup_no_bar&amp;width=385&amp;height=120&amp;START_MAXIMIZED=FALSE&amp;creator=factset&amp;display_string=Audit"}</definedName>
    <definedName name="_4608__FDSAUDITLINK__" hidden="1">{"fdsup://Directions/FactSet Auditing Viewer?action=AUDIT_VALUE&amp;DB=129&amp;ID1=45814010&amp;VALUEID=02001&amp;SDATE=201101&amp;PERIODTYPE=QTR_STD&amp;SCFT=3&amp;window=popup_no_bar&amp;width=385&amp;height=120&amp;START_MAXIMIZED=FALSE&amp;creator=factset&amp;display_string=Audit"}</definedName>
    <definedName name="_4609__FDSAUDITLINK__" localSheetId="7" hidden="1">{"fdsup://Directions/FactSet Auditing Viewer?action=AUDIT_VALUE&amp;DB=129&amp;ID1=45814010&amp;VALUEID=05194&amp;SDATE=201101&amp;PERIODTYPE=QTR_STD&amp;SCFT=3&amp;window=popup_no_bar&amp;width=385&amp;height=120&amp;START_MAXIMIZED=FALSE&amp;creator=factset&amp;display_string=Audit"}</definedName>
    <definedName name="_4609__FDSAUDITLINK__" hidden="1">{"fdsup://Directions/FactSet Auditing Viewer?action=AUDIT_VALUE&amp;DB=129&amp;ID1=45814010&amp;VALUEID=05194&amp;SDATE=201101&amp;PERIODTYPE=QTR_STD&amp;SCFT=3&amp;window=popup_no_bar&amp;width=385&amp;height=120&amp;START_MAXIMIZED=FALSE&amp;creator=factset&amp;display_string=Audit"}</definedName>
    <definedName name="_461__FDSAUDITLINK__" localSheetId="7" hidden="1">{"fdsup://Directions/FactSet Auditing Viewer?action=AUDIT_VALUE&amp;DB=129&amp;ID1=78477410&amp;VALUEID=02001&amp;SDATE=201002&amp;PERIODTYPE=QTR_STD&amp;SCFT=3&amp;window=popup_no_bar&amp;width=385&amp;height=120&amp;START_MAXIMIZED=FALSE&amp;creator=factset&amp;display_string=Audit"}</definedName>
    <definedName name="_461__FDSAUDITLINK__" hidden="1">{"fdsup://Directions/FactSet Auditing Viewer?action=AUDIT_VALUE&amp;DB=129&amp;ID1=78477410&amp;VALUEID=02001&amp;SDATE=201002&amp;PERIODTYPE=QTR_STD&amp;SCFT=3&amp;window=popup_no_bar&amp;width=385&amp;height=120&amp;START_MAXIMIZED=FALSE&amp;creator=factset&amp;display_string=Audit"}</definedName>
    <definedName name="_462__FDSAUDITLINK__" localSheetId="7" hidden="1">{"fdsup://Directions/FactSet Auditing Viewer?action=AUDIT_VALUE&amp;DB=129&amp;ID1=78477410&amp;VALUEID=02001&amp;SDATE=201002&amp;PERIODTYPE=QTR_STD&amp;SCFT=3&amp;window=popup_no_bar&amp;width=385&amp;height=120&amp;START_MAXIMIZED=FALSE&amp;creator=factset&amp;display_string=Audit"}</definedName>
    <definedName name="_462__FDSAUDITLINK__" hidden="1">{"fdsup://Directions/FactSet Auditing Viewer?action=AUDIT_VALUE&amp;DB=129&amp;ID1=78477410&amp;VALUEID=02001&amp;SDATE=201002&amp;PERIODTYPE=QTR_STD&amp;SCFT=3&amp;window=popup_no_bar&amp;width=385&amp;height=120&amp;START_MAXIMIZED=FALSE&amp;creator=factset&amp;display_string=Audit"}</definedName>
    <definedName name="_463__FDSAUDITLINK__" localSheetId="7" hidden="1">{"fdsup://Directions/FactSet Auditing Viewer?action=AUDIT_VALUE&amp;DB=129&amp;ID1=87160710&amp;VALUEID=02001&amp;SDATE=201003&amp;PERIODTYPE=QTR_STD&amp;SCFT=3&amp;window=popup_no_bar&amp;width=385&amp;height=120&amp;START_MAXIMIZED=FALSE&amp;creator=factset&amp;display_string=Audit"}</definedName>
    <definedName name="_463__FDSAUDITLINK__" hidden="1">{"fdsup://Directions/FactSet Auditing Viewer?action=AUDIT_VALUE&amp;DB=129&amp;ID1=87160710&amp;VALUEID=02001&amp;SDATE=201003&amp;PERIODTYPE=QTR_STD&amp;SCFT=3&amp;window=popup_no_bar&amp;width=385&amp;height=120&amp;START_MAXIMIZED=FALSE&amp;creator=factset&amp;display_string=Audit"}</definedName>
    <definedName name="_464__FDSAUDITLINK__" localSheetId="7" hidden="1">{"fdsup://Directions/FactSet Auditing Viewer?action=AUDIT_VALUE&amp;DB=129&amp;ID1=87160710&amp;VALUEID=02001&amp;SDATE=201003&amp;PERIODTYPE=QTR_STD&amp;SCFT=3&amp;window=popup_no_bar&amp;width=385&amp;height=120&amp;START_MAXIMIZED=FALSE&amp;creator=factset&amp;display_string=Audit"}</definedName>
    <definedName name="_464__FDSAUDITLINK__" hidden="1">{"fdsup://Directions/FactSet Auditing Viewer?action=AUDIT_VALUE&amp;DB=129&amp;ID1=87160710&amp;VALUEID=02001&amp;SDATE=201003&amp;PERIODTYPE=QTR_STD&amp;SCFT=3&amp;window=popup_no_bar&amp;width=385&amp;height=120&amp;START_MAXIMIZED=FALSE&amp;creator=factset&amp;display_string=Audit"}</definedName>
    <definedName name="_465__FDSAUDITLINK__" localSheetId="7" hidden="1">{"fdsup://Directions/FactSet Auditing Viewer?action=AUDIT_VALUE&amp;DB=129&amp;ID1=80004C10&amp;VALUEID=02001&amp;SDATE=201002&amp;PERIODTYPE=QTR_STD&amp;SCFT=3&amp;window=popup_no_bar&amp;width=385&amp;height=120&amp;START_MAXIMIZED=FALSE&amp;creator=factset&amp;display_string=Audit"}</definedName>
    <definedName name="_465__FDSAUDITLINK__" hidden="1">{"fdsup://Directions/FactSet Auditing Viewer?action=AUDIT_VALUE&amp;DB=129&amp;ID1=80004C10&amp;VALUEID=02001&amp;SDATE=201002&amp;PERIODTYPE=QTR_STD&amp;SCFT=3&amp;window=popup_no_bar&amp;width=385&amp;height=120&amp;START_MAXIMIZED=FALSE&amp;creator=factset&amp;display_string=Audit"}</definedName>
    <definedName name="_466__FDSAUDITLINK__" localSheetId="7" hidden="1">{"fdsup://Directions/FactSet Auditing Viewer?action=AUDIT_VALUE&amp;DB=129&amp;ID1=80004C10&amp;VALUEID=02001&amp;SDATE=201002&amp;PERIODTYPE=QTR_STD&amp;SCFT=3&amp;window=popup_no_bar&amp;width=385&amp;height=120&amp;START_MAXIMIZED=FALSE&amp;creator=factset&amp;display_string=Audit"}</definedName>
    <definedName name="_466__FDSAUDITLINK__" hidden="1">{"fdsup://Directions/FactSet Auditing Viewer?action=AUDIT_VALUE&amp;DB=129&amp;ID1=80004C10&amp;VALUEID=02001&amp;SDATE=201002&amp;PERIODTYPE=QTR_STD&amp;SCFT=3&amp;window=popup_no_bar&amp;width=385&amp;height=120&amp;START_MAXIMIZED=FALSE&amp;creator=factset&amp;display_string=Audit"}</definedName>
    <definedName name="_467__FDSAUDITLINK__" localSheetId="7" hidden="1">{"fdsup://Directions/FactSet Auditing Viewer?action=AUDIT_VALUE&amp;DB=129&amp;ID1=81685010&amp;VALUEID=02001&amp;SDATE=201002&amp;PERIODTYPE=QTR_STD&amp;SCFT=3&amp;window=popup_no_bar&amp;width=385&amp;height=120&amp;START_MAXIMIZED=FALSE&amp;creator=factset&amp;display_string=Audit"}</definedName>
    <definedName name="_467__FDSAUDITLINK__" hidden="1">{"fdsup://Directions/FactSet Auditing Viewer?action=AUDIT_VALUE&amp;DB=129&amp;ID1=81685010&amp;VALUEID=02001&amp;SDATE=201002&amp;PERIODTYPE=QTR_STD&amp;SCFT=3&amp;window=popup_no_bar&amp;width=385&amp;height=120&amp;START_MAXIMIZED=FALSE&amp;creator=factset&amp;display_string=Audit"}</definedName>
    <definedName name="_468__FDSAUDITLINK__" localSheetId="7" hidden="1">{"fdsup://Directions/FactSet Auditing Viewer?action=AUDIT_VALUE&amp;DB=129&amp;ID1=81685010&amp;VALUEID=02001&amp;SDATE=201002&amp;PERIODTYPE=QTR_STD&amp;SCFT=3&amp;window=popup_no_bar&amp;width=385&amp;height=120&amp;START_MAXIMIZED=FALSE&amp;creator=factset&amp;display_string=Audit"}</definedName>
    <definedName name="_468__FDSAUDITLINK__" hidden="1">{"fdsup://Directions/FactSet Auditing Viewer?action=AUDIT_VALUE&amp;DB=129&amp;ID1=81685010&amp;VALUEID=02001&amp;SDATE=201002&amp;PERIODTYPE=QTR_STD&amp;SCFT=3&amp;window=popup_no_bar&amp;width=385&amp;height=120&amp;START_MAXIMIZED=FALSE&amp;creator=factset&amp;display_string=Audit"}</definedName>
    <definedName name="_469__FDSAUDITLINK__" localSheetId="7" hidden="1">{"fdsup://Directions/FactSet Auditing Viewer?action=AUDIT_VALUE&amp;DB=129&amp;ID1=82691910&amp;VALUEID=02001&amp;SDATE=201002&amp;PERIODTYPE=QTR_STD&amp;SCFT=3&amp;window=popup_no_bar&amp;width=385&amp;height=120&amp;START_MAXIMIZED=FALSE&amp;creator=factset&amp;display_string=Audit"}</definedName>
    <definedName name="_469__FDSAUDITLINK__" hidden="1">{"fdsup://Directions/FactSet Auditing Viewer?action=AUDIT_VALUE&amp;DB=129&amp;ID1=82691910&amp;VALUEID=02001&amp;SDATE=201002&amp;PERIODTYPE=QTR_STD&amp;SCFT=3&amp;window=popup_no_bar&amp;width=385&amp;height=120&amp;START_MAXIMIZED=FALSE&amp;creator=factset&amp;display_string=Audit"}</definedName>
    <definedName name="_47__FDSAUDITLINK__" localSheetId="7" hidden="1">{"fdsup://Directions/FactSet Auditing Viewer?action=AUDIT_VALUE&amp;DB=129&amp;ID1=69344F10&amp;VALUEID=02001&amp;SDATE=201101&amp;PERIODTYPE=QTR_STD&amp;SCFT=3&amp;window=popup_no_bar&amp;width=385&amp;height=120&amp;START_MAXIMIZED=FALSE&amp;creator=factset&amp;display_string=Audit"}</definedName>
    <definedName name="_47__FDSAUDITLINK__" hidden="1">{"fdsup://Directions/FactSet Auditing Viewer?action=AUDIT_VALUE&amp;DB=129&amp;ID1=69344F10&amp;VALUEID=02001&amp;SDATE=201101&amp;PERIODTYPE=QTR_STD&amp;SCFT=3&amp;window=popup_no_bar&amp;width=385&amp;height=120&amp;START_MAXIMIZED=FALSE&amp;creator=factset&amp;display_string=Audit"}</definedName>
    <definedName name="_470__FDSAUDITLINK__" localSheetId="7" hidden="1">{"fdsup://Directions/FactSet Auditing Viewer?action=AUDIT_VALUE&amp;DB=129&amp;ID1=82691910&amp;VALUEID=02001&amp;SDATE=201002&amp;PERIODTYPE=QTR_STD&amp;SCFT=3&amp;window=popup_no_bar&amp;width=385&amp;height=120&amp;START_MAXIMIZED=FALSE&amp;creator=factset&amp;display_string=Audit"}</definedName>
    <definedName name="_470__FDSAUDITLINK__" hidden="1">{"fdsup://Directions/FactSet Auditing Viewer?action=AUDIT_VALUE&amp;DB=129&amp;ID1=82691910&amp;VALUEID=02001&amp;SDATE=201002&amp;PERIODTYPE=QTR_STD&amp;SCFT=3&amp;window=popup_no_bar&amp;width=385&amp;height=120&amp;START_MAXIMIZED=FALSE&amp;creator=factset&amp;display_string=Audit"}</definedName>
    <definedName name="_471__FDSAUDITLINK__" localSheetId="7" hidden="1">{"fdsup://Directions/FactSet Auditing Viewer?action=AUDIT_VALUE&amp;DB=129&amp;ID1=82705T10&amp;VALUEID=02001&amp;SDATE=201002&amp;PERIODTYPE=QTR_STD&amp;SCFT=3&amp;window=popup_no_bar&amp;width=385&amp;height=120&amp;START_MAXIMIZED=FALSE&amp;creator=factset&amp;display_string=Audit"}</definedName>
    <definedName name="_471__FDSAUDITLINK__" hidden="1">{"fdsup://Directions/FactSet Auditing Viewer?action=AUDIT_VALUE&amp;DB=129&amp;ID1=82705T10&amp;VALUEID=02001&amp;SDATE=201002&amp;PERIODTYPE=QTR_STD&amp;SCFT=3&amp;window=popup_no_bar&amp;width=385&amp;height=120&amp;START_MAXIMIZED=FALSE&amp;creator=factset&amp;display_string=Audit"}</definedName>
    <definedName name="_472__FDSAUDITLINK__" localSheetId="7" hidden="1">{"fdsup://Directions/FactSet Auditing Viewer?action=AUDIT_VALUE&amp;DB=129&amp;ID1=82705T10&amp;VALUEID=02001&amp;SDATE=201002&amp;PERIODTYPE=QTR_STD&amp;SCFT=3&amp;window=popup_no_bar&amp;width=385&amp;height=120&amp;START_MAXIMIZED=FALSE&amp;creator=factset&amp;display_string=Audit"}</definedName>
    <definedName name="_472__FDSAUDITLINK__" hidden="1">{"fdsup://Directions/FactSet Auditing Viewer?action=AUDIT_VALUE&amp;DB=129&amp;ID1=82705T10&amp;VALUEID=02001&amp;SDATE=201002&amp;PERIODTYPE=QTR_STD&amp;SCFT=3&amp;window=popup_no_bar&amp;width=385&amp;height=120&amp;START_MAXIMIZED=FALSE&amp;creator=factset&amp;display_string=Audit"}</definedName>
    <definedName name="_473__FDSAUDITLINK__" localSheetId="7" hidden="1">{"fdsup://Directions/FactSet Auditing Viewer?action=AUDIT_VALUE&amp;DB=129&amp;ID1=75091710&amp;VALUEID=02001&amp;SDATE=201002&amp;PERIODTYPE=QTR_STD&amp;SCFT=3&amp;window=popup_no_bar&amp;width=385&amp;height=120&amp;START_MAXIMIZED=FALSE&amp;creator=factset&amp;display_string=Audit"}</definedName>
    <definedName name="_473__FDSAUDITLINK__" hidden="1">{"fdsup://Directions/FactSet Auditing Viewer?action=AUDIT_VALUE&amp;DB=129&amp;ID1=75091710&amp;VALUEID=02001&amp;SDATE=201002&amp;PERIODTYPE=QTR_STD&amp;SCFT=3&amp;window=popup_no_bar&amp;width=385&amp;height=120&amp;START_MAXIMIZED=FALSE&amp;creator=factset&amp;display_string=Audit"}</definedName>
    <definedName name="_474__FDSAUDITLINK__" localSheetId="7" hidden="1">{"fdsup://Directions/FactSet Auditing Viewer?action=AUDIT_VALUE&amp;DB=129&amp;ID1=75091710&amp;VALUEID=02001&amp;SDATE=201002&amp;PERIODTYPE=QTR_STD&amp;SCFT=3&amp;window=popup_no_bar&amp;width=385&amp;height=120&amp;START_MAXIMIZED=FALSE&amp;creator=factset&amp;display_string=Audit"}</definedName>
    <definedName name="_474__FDSAUDITLINK__" hidden="1">{"fdsup://Directions/FactSet Auditing Viewer?action=AUDIT_VALUE&amp;DB=129&amp;ID1=75091710&amp;VALUEID=02001&amp;SDATE=201002&amp;PERIODTYPE=QTR_STD&amp;SCFT=3&amp;window=popup_no_bar&amp;width=385&amp;height=120&amp;START_MAXIMIZED=FALSE&amp;creator=factset&amp;display_string=Audit"}</definedName>
    <definedName name="_475__FDSAUDITLINK__" localSheetId="7" hidden="1">{"fdsup://Directions/FactSet Auditing Viewer?action=AUDIT_VALUE&amp;DB=129&amp;ID1=74994110&amp;VALUEID=02001&amp;SDATE=201001&amp;PERIODTYPE=QTR_STD&amp;SCFT=3&amp;window=popup_no_bar&amp;width=385&amp;height=120&amp;START_MAXIMIZED=FALSE&amp;creator=factset&amp;display_string=Audit"}</definedName>
    <definedName name="_475__FDSAUDITLINK__" hidden="1">{"fdsup://Directions/FactSet Auditing Viewer?action=AUDIT_VALUE&amp;DB=129&amp;ID1=74994110&amp;VALUEID=02001&amp;SDATE=201001&amp;PERIODTYPE=QTR_STD&amp;SCFT=3&amp;window=popup_no_bar&amp;width=385&amp;height=120&amp;START_MAXIMIZED=FALSE&amp;creator=factset&amp;display_string=Audit"}</definedName>
    <definedName name="_476__FDSAUDITLINK__" localSheetId="7" hidden="1">{"fdsup://Directions/FactSet Auditing Viewer?action=AUDIT_VALUE&amp;DB=129&amp;ID1=74994110&amp;VALUEID=02001&amp;SDATE=201001&amp;PERIODTYPE=QTR_STD&amp;SCFT=3&amp;window=popup_no_bar&amp;width=385&amp;height=120&amp;START_MAXIMIZED=FALSE&amp;creator=factset&amp;display_string=Audit"}</definedName>
    <definedName name="_476__FDSAUDITLINK__" hidden="1">{"fdsup://Directions/FactSet Auditing Viewer?action=AUDIT_VALUE&amp;DB=129&amp;ID1=74994110&amp;VALUEID=02001&amp;SDATE=201001&amp;PERIODTYPE=QTR_STD&amp;SCFT=3&amp;window=popup_no_bar&amp;width=385&amp;height=120&amp;START_MAXIMIZED=FALSE&amp;creator=factset&amp;display_string=Audit"}</definedName>
    <definedName name="_477__FDSAUDITLINK__" localSheetId="7" hidden="1">{"fdsup://Directions/FactSet Auditing Viewer?action=AUDIT_VALUE&amp;DB=129&amp;ID1=74727710&amp;VALUEID=02001&amp;SDATE=201001&amp;PERIODTYPE=QTR_STD&amp;SCFT=3&amp;window=popup_no_bar&amp;width=385&amp;height=120&amp;START_MAXIMIZED=FALSE&amp;creator=factset&amp;display_string=Audit"}</definedName>
    <definedName name="_477__FDSAUDITLINK__" hidden="1">{"fdsup://Directions/FactSet Auditing Viewer?action=AUDIT_VALUE&amp;DB=129&amp;ID1=74727710&amp;VALUEID=02001&amp;SDATE=201001&amp;PERIODTYPE=QTR_STD&amp;SCFT=3&amp;window=popup_no_bar&amp;width=385&amp;height=120&amp;START_MAXIMIZED=FALSE&amp;creator=factset&amp;display_string=Audit"}</definedName>
    <definedName name="_478__FDSAUDITLINK__" localSheetId="7" hidden="1">{"fdsup://Directions/FactSet Auditing Viewer?action=AUDIT_VALUE&amp;DB=129&amp;ID1=74727710&amp;VALUEID=02001&amp;SDATE=201001&amp;PERIODTYPE=QTR_STD&amp;SCFT=3&amp;window=popup_no_bar&amp;width=385&amp;height=120&amp;START_MAXIMIZED=FALSE&amp;creator=factset&amp;display_string=Audit"}</definedName>
    <definedName name="_478__FDSAUDITLINK__" hidden="1">{"fdsup://Directions/FactSet Auditing Viewer?action=AUDIT_VALUE&amp;DB=129&amp;ID1=74727710&amp;VALUEID=02001&amp;SDATE=201001&amp;PERIODTYPE=QTR_STD&amp;SCFT=3&amp;window=popup_no_bar&amp;width=385&amp;height=120&amp;START_MAXIMIZED=FALSE&amp;creator=factset&amp;display_string=Audit"}</definedName>
    <definedName name="_479__FDSAUDITLINK__" localSheetId="7" hidden="1">{"fdsup://Directions/FactSet Auditing Viewer?action=AUDIT_VALUE&amp;DB=129&amp;ID1=74752510&amp;VALUEID=02001&amp;SDATE=201003&amp;PERIODTYPE=QTR_STD&amp;SCFT=3&amp;window=popup_no_bar&amp;width=385&amp;height=120&amp;START_MAXIMIZED=FALSE&amp;creator=factset&amp;display_string=Audit"}</definedName>
    <definedName name="_479__FDSAUDITLINK__" hidden="1">{"fdsup://Directions/FactSet Auditing Viewer?action=AUDIT_VALUE&amp;DB=129&amp;ID1=74752510&amp;VALUEID=02001&amp;SDATE=201003&amp;PERIODTYPE=QTR_STD&amp;SCFT=3&amp;window=popup_no_bar&amp;width=385&amp;height=120&amp;START_MAXIMIZED=FALSE&amp;creator=factset&amp;display_string=Audit"}</definedName>
    <definedName name="_48__FDSAUDITLINK__" localSheetId="7" hidden="1">{"fdsup://Directions/FactSet Auditing Viewer?action=AUDIT_VALUE&amp;DB=129&amp;ID1=69344F10&amp;VALUEID=02001&amp;SDATE=201101&amp;PERIODTYPE=QTR_STD&amp;SCFT=3&amp;window=popup_no_bar&amp;width=385&amp;height=120&amp;START_MAXIMIZED=FALSE&amp;creator=factset&amp;display_string=Audit"}</definedName>
    <definedName name="_48__FDSAUDITLINK__" hidden="1">{"fdsup://Directions/FactSet Auditing Viewer?action=AUDIT_VALUE&amp;DB=129&amp;ID1=69344F10&amp;VALUEID=02001&amp;SDATE=201101&amp;PERIODTYPE=QTR_STD&amp;SCFT=3&amp;window=popup_no_bar&amp;width=385&amp;height=120&amp;START_MAXIMIZED=FALSE&amp;creator=factset&amp;display_string=Audit"}</definedName>
    <definedName name="_480__FDSAUDITLINK__" localSheetId="7" hidden="1">{"fdsup://Directions/FactSet Auditing Viewer?action=AUDIT_VALUE&amp;DB=129&amp;ID1=74752510&amp;VALUEID=02001&amp;SDATE=201003&amp;PERIODTYPE=QTR_STD&amp;SCFT=3&amp;window=popup_no_bar&amp;width=385&amp;height=120&amp;START_MAXIMIZED=FALSE&amp;creator=factset&amp;display_string=Audit"}</definedName>
    <definedName name="_480__FDSAUDITLINK__" hidden="1">{"fdsup://Directions/FactSet Auditing Viewer?action=AUDIT_VALUE&amp;DB=129&amp;ID1=74752510&amp;VALUEID=02001&amp;SDATE=201003&amp;PERIODTYPE=QTR_STD&amp;SCFT=3&amp;window=popup_no_bar&amp;width=385&amp;height=120&amp;START_MAXIMIZED=FALSE&amp;creator=factset&amp;display_string=Audit"}</definedName>
    <definedName name="_481__FDSAUDITLINK__" localSheetId="7" hidden="1">{"fdsup://Directions/FactSet Auditing Viewer?action=AUDIT_VALUE&amp;DB=129&amp;ID1=72581M30&amp;VALUEID=02001&amp;SDATE=201002&amp;PERIODTYPE=QTR_STD&amp;SCFT=3&amp;window=popup_no_bar&amp;width=385&amp;height=120&amp;START_MAXIMIZED=FALSE&amp;creator=factset&amp;display_string=Audit"}</definedName>
    <definedName name="_481__FDSAUDITLINK__" hidden="1">{"fdsup://Directions/FactSet Auditing Viewer?action=AUDIT_VALUE&amp;DB=129&amp;ID1=72581M30&amp;VALUEID=02001&amp;SDATE=201002&amp;PERIODTYPE=QTR_STD&amp;SCFT=3&amp;window=popup_no_bar&amp;width=385&amp;height=120&amp;START_MAXIMIZED=FALSE&amp;creator=factset&amp;display_string=Audit"}</definedName>
    <definedName name="_482__FDSAUDITLINK__" localSheetId="7" hidden="1">{"fdsup://Directions/FactSet Auditing Viewer?action=AUDIT_VALUE&amp;DB=129&amp;ID1=72581M30&amp;VALUEID=02001&amp;SDATE=201002&amp;PERIODTYPE=QTR_STD&amp;SCFT=3&amp;window=popup_no_bar&amp;width=385&amp;height=120&amp;START_MAXIMIZED=FALSE&amp;creator=factset&amp;display_string=Audit"}</definedName>
    <definedName name="_482__FDSAUDITLINK__" hidden="1">{"fdsup://Directions/FactSet Auditing Viewer?action=AUDIT_VALUE&amp;DB=129&amp;ID1=72581M30&amp;VALUEID=02001&amp;SDATE=201002&amp;PERIODTYPE=QTR_STD&amp;SCFT=3&amp;window=popup_no_bar&amp;width=385&amp;height=120&amp;START_MAXIMIZED=FALSE&amp;creator=factset&amp;display_string=Audit"}</definedName>
    <definedName name="_483__FDSAUDITLINK__" localSheetId="7" hidden="1">{"fdsup://Directions/FactSet Auditing Viewer?action=AUDIT_VALUE&amp;DB=129&amp;ID1=73927610&amp;VALUEID=02001&amp;SDATE=201002&amp;PERIODTYPE=QTR_STD&amp;SCFT=3&amp;window=popup_no_bar&amp;width=385&amp;height=120&amp;START_MAXIMIZED=FALSE&amp;creator=factset&amp;display_string=Audit"}</definedName>
    <definedName name="_483__FDSAUDITLINK__" hidden="1">{"fdsup://Directions/FactSet Auditing Viewer?action=AUDIT_VALUE&amp;DB=129&amp;ID1=73927610&amp;VALUEID=02001&amp;SDATE=201002&amp;PERIODTYPE=QTR_STD&amp;SCFT=3&amp;window=popup_no_bar&amp;width=385&amp;height=120&amp;START_MAXIMIZED=FALSE&amp;creator=factset&amp;display_string=Audit"}</definedName>
    <definedName name="_484__FDSAUDITLINK__" localSheetId="7" hidden="1">{"fdsup://Directions/FactSet Auditing Viewer?action=AUDIT_VALUE&amp;DB=129&amp;ID1=73927610&amp;VALUEID=02001&amp;SDATE=201002&amp;PERIODTYPE=QTR_STD&amp;SCFT=3&amp;window=popup_no_bar&amp;width=385&amp;height=120&amp;START_MAXIMIZED=FALSE&amp;creator=factset&amp;display_string=Audit"}</definedName>
    <definedName name="_484__FDSAUDITLINK__" hidden="1">{"fdsup://Directions/FactSet Auditing Viewer?action=AUDIT_VALUE&amp;DB=129&amp;ID1=73927610&amp;VALUEID=02001&amp;SDATE=201002&amp;PERIODTYPE=QTR_STD&amp;SCFT=3&amp;window=popup_no_bar&amp;width=385&amp;height=120&amp;START_MAXIMIZED=FALSE&amp;creator=factset&amp;display_string=Audit"}</definedName>
    <definedName name="_485__FDSAUDITLINK__" localSheetId="7" hidden="1">{"fdsup://Directions/FactSet Auditing Viewer?action=AUDIT_VALUE&amp;DB=129&amp;ID1=69344F10&amp;VALUEID=02001&amp;SDATE=201002&amp;PERIODTYPE=QTR_STD&amp;SCFT=3&amp;window=popup_no_bar&amp;width=385&amp;height=120&amp;START_MAXIMIZED=FALSE&amp;creator=factset&amp;display_string=Audit"}</definedName>
    <definedName name="_485__FDSAUDITLINK__" hidden="1">{"fdsup://Directions/FactSet Auditing Viewer?action=AUDIT_VALUE&amp;DB=129&amp;ID1=69344F10&amp;VALUEID=02001&amp;SDATE=201002&amp;PERIODTYPE=QTR_STD&amp;SCFT=3&amp;window=popup_no_bar&amp;width=385&amp;height=120&amp;START_MAXIMIZED=FALSE&amp;creator=factset&amp;display_string=Audit"}</definedName>
    <definedName name="_486__FDSAUDITLINK__" localSheetId="7" hidden="1">{"fdsup://Directions/FactSet Auditing Viewer?action=AUDIT_VALUE&amp;DB=129&amp;ID1=69344F10&amp;VALUEID=02001&amp;SDATE=201002&amp;PERIODTYPE=QTR_STD&amp;SCFT=3&amp;window=popup_no_bar&amp;width=385&amp;height=120&amp;START_MAXIMIZED=FALSE&amp;creator=factset&amp;display_string=Audit"}</definedName>
    <definedName name="_486__FDSAUDITLINK__" hidden="1">{"fdsup://Directions/FactSet Auditing Viewer?action=AUDIT_VALUE&amp;DB=129&amp;ID1=69344F10&amp;VALUEID=02001&amp;SDATE=201002&amp;PERIODTYPE=QTR_STD&amp;SCFT=3&amp;window=popup_no_bar&amp;width=385&amp;height=120&amp;START_MAXIMIZED=FALSE&amp;creator=factset&amp;display_string=Audit"}</definedName>
    <definedName name="_487__FDSAUDITLINK__" localSheetId="7" hidden="1">{"fdsup://Directions/FactSet Auditing Viewer?action=AUDIT_VALUE&amp;DB=129&amp;ID1=69341710&amp;VALUEID=02001&amp;SDATE=201002&amp;PERIODTYPE=QTR_STD&amp;SCFT=3&amp;window=popup_no_bar&amp;width=385&amp;height=120&amp;START_MAXIMIZED=FALSE&amp;creator=factset&amp;display_string=Audit"}</definedName>
    <definedName name="_487__FDSAUDITLINK__" hidden="1">{"fdsup://Directions/FactSet Auditing Viewer?action=AUDIT_VALUE&amp;DB=129&amp;ID1=69341710&amp;VALUEID=02001&amp;SDATE=201002&amp;PERIODTYPE=QTR_STD&amp;SCFT=3&amp;window=popup_no_bar&amp;width=385&amp;height=120&amp;START_MAXIMIZED=FALSE&amp;creator=factset&amp;display_string=Audit"}</definedName>
    <definedName name="_488__FDSAUDITLINK__" localSheetId="7" hidden="1">{"fdsup://Directions/FactSet Auditing Viewer?action=AUDIT_VALUE&amp;DB=129&amp;ID1=69341710&amp;VALUEID=02001&amp;SDATE=201002&amp;PERIODTYPE=QTR_STD&amp;SCFT=3&amp;window=popup_no_bar&amp;width=385&amp;height=120&amp;START_MAXIMIZED=FALSE&amp;creator=factset&amp;display_string=Audit"}</definedName>
    <definedName name="_488__FDSAUDITLINK__" hidden="1">{"fdsup://Directions/FactSet Auditing Viewer?action=AUDIT_VALUE&amp;DB=129&amp;ID1=69341710&amp;VALUEID=02001&amp;SDATE=201002&amp;PERIODTYPE=QTR_STD&amp;SCFT=3&amp;window=popup_no_bar&amp;width=385&amp;height=120&amp;START_MAXIMIZED=FALSE&amp;creator=factset&amp;display_string=Audit"}</definedName>
    <definedName name="_489__FDSAUDITLINK__" localSheetId="7" hidden="1">{"fdsup://Directions/FactSet Auditing Viewer?action=AUDIT_VALUE&amp;DB=129&amp;ID1=68218910&amp;VALUEID=02001&amp;SDATE=201002&amp;PERIODTYPE=QTR_STD&amp;SCFT=3&amp;window=popup_no_bar&amp;width=385&amp;height=120&amp;START_MAXIMIZED=FALSE&amp;creator=factset&amp;display_string=Audit"}</definedName>
    <definedName name="_489__FDSAUDITLINK__" hidden="1">{"fdsup://Directions/FactSet Auditing Viewer?action=AUDIT_VALUE&amp;DB=129&amp;ID1=68218910&amp;VALUEID=02001&amp;SDATE=201002&amp;PERIODTYPE=QTR_STD&amp;SCFT=3&amp;window=popup_no_bar&amp;width=385&amp;height=120&amp;START_MAXIMIZED=FALSE&amp;creator=factset&amp;display_string=Audit"}</definedName>
    <definedName name="_49__FDSAUDITLINK__" localSheetId="7" hidden="1">{"fdsup://Directions/FactSet Auditing Viewer?action=AUDIT_VALUE&amp;DB=129&amp;ID1=69341710&amp;VALUEID=02001&amp;SDATE=201101&amp;PERIODTYPE=QTR_STD&amp;SCFT=3&amp;window=popup_no_bar&amp;width=385&amp;height=120&amp;START_MAXIMIZED=FALSE&amp;creator=factset&amp;display_string=Audit"}</definedName>
    <definedName name="_49__FDSAUDITLINK__" hidden="1">{"fdsup://Directions/FactSet Auditing Viewer?action=AUDIT_VALUE&amp;DB=129&amp;ID1=69341710&amp;VALUEID=02001&amp;SDATE=201101&amp;PERIODTYPE=QTR_STD&amp;SCFT=3&amp;window=popup_no_bar&amp;width=385&amp;height=120&amp;START_MAXIMIZED=FALSE&amp;creator=factset&amp;display_string=Audit"}</definedName>
    <definedName name="_490__FDSAUDITLINK__" localSheetId="7" hidden="1">{"fdsup://Directions/FactSet Auditing Viewer?action=AUDIT_VALUE&amp;DB=129&amp;ID1=68218910&amp;VALUEID=02001&amp;SDATE=201002&amp;PERIODTYPE=QTR_STD&amp;SCFT=3&amp;window=popup_no_bar&amp;width=385&amp;height=120&amp;START_MAXIMIZED=FALSE&amp;creator=factset&amp;display_string=Audit"}</definedName>
    <definedName name="_490__FDSAUDITLINK__" hidden="1">{"fdsup://Directions/FactSet Auditing Viewer?action=AUDIT_VALUE&amp;DB=129&amp;ID1=68218910&amp;VALUEID=02001&amp;SDATE=201002&amp;PERIODTYPE=QTR_STD&amp;SCFT=3&amp;window=popup_no_bar&amp;width=385&amp;height=120&amp;START_MAXIMIZED=FALSE&amp;creator=factset&amp;display_string=Audit"}</definedName>
    <definedName name="_491__FDSAUDITLINK__" localSheetId="7" hidden="1">{"fdsup://Directions/FactSet Auditing Viewer?action=AUDIT_VALUE&amp;DB=129&amp;ID1=B505PN&amp;VALUEID=02001&amp;SDATE=201002&amp;PERIODTYPE=QTR_STD&amp;SCFT=3&amp;window=popup_no_bar&amp;width=385&amp;height=120&amp;START_MAXIMIZED=FALSE&amp;creator=factset&amp;display_string=Audit"}</definedName>
    <definedName name="_491__FDSAUDITLINK__" hidden="1">{"fdsup://Directions/FactSet Auditing Viewer?action=AUDIT_VALUE&amp;DB=129&amp;ID1=B505PN&amp;VALUEID=02001&amp;SDATE=201002&amp;PERIODTYPE=QTR_STD&amp;SCFT=3&amp;window=popup_no_bar&amp;width=385&amp;height=120&amp;START_MAXIMIZED=FALSE&amp;creator=factset&amp;display_string=Audit"}</definedName>
    <definedName name="_492__FDSAUDITLINK__" localSheetId="7" hidden="1">{"fdsup://Directions/FactSet Auditing Viewer?action=AUDIT_VALUE&amp;DB=129&amp;ID1=B505PN&amp;VALUEID=02001&amp;SDATE=201002&amp;PERIODTYPE=QTR_STD&amp;SCFT=3&amp;window=popup_no_bar&amp;width=385&amp;height=120&amp;START_MAXIMIZED=FALSE&amp;creator=factset&amp;display_string=Audit"}</definedName>
    <definedName name="_492__FDSAUDITLINK__" hidden="1">{"fdsup://Directions/FactSet Auditing Viewer?action=AUDIT_VALUE&amp;DB=129&amp;ID1=B505PN&amp;VALUEID=02001&amp;SDATE=201002&amp;PERIODTYPE=QTR_STD&amp;SCFT=3&amp;window=popup_no_bar&amp;width=385&amp;height=120&amp;START_MAXIMIZED=FALSE&amp;creator=factset&amp;display_string=Audit"}</definedName>
    <definedName name="_493__FDSAUDITLINK__" localSheetId="7" hidden="1">{"fdsup://Directions/FactSet Auditing Viewer?action=AUDIT_VALUE&amp;DB=129&amp;ID1=67000810&amp;VALUEID=02001&amp;SDATE=201002&amp;PERIODTYPE=QTR_STD&amp;SCFT=3&amp;window=popup_no_bar&amp;width=385&amp;height=120&amp;START_MAXIMIZED=FALSE&amp;creator=factset&amp;display_string=Audit"}</definedName>
    <definedName name="_493__FDSAUDITLINK__" hidden="1">{"fdsup://Directions/FactSet Auditing Viewer?action=AUDIT_VALUE&amp;DB=129&amp;ID1=67000810&amp;VALUEID=02001&amp;SDATE=201002&amp;PERIODTYPE=QTR_STD&amp;SCFT=3&amp;window=popup_no_bar&amp;width=385&amp;height=120&amp;START_MAXIMIZED=FALSE&amp;creator=factset&amp;display_string=Audit"}</definedName>
    <definedName name="_494__FDSAUDITLINK__" localSheetId="7" hidden="1">{"fdsup://Directions/FactSet Auditing Viewer?action=AUDIT_VALUE&amp;DB=129&amp;ID1=67000810&amp;VALUEID=02001&amp;SDATE=201002&amp;PERIODTYPE=QTR_STD&amp;SCFT=3&amp;window=popup_no_bar&amp;width=385&amp;height=120&amp;START_MAXIMIZED=FALSE&amp;creator=factset&amp;display_string=Audit"}</definedName>
    <definedName name="_494__FDSAUDITLINK__" hidden="1">{"fdsup://Directions/FactSet Auditing Viewer?action=AUDIT_VALUE&amp;DB=129&amp;ID1=67000810&amp;VALUEID=02001&amp;SDATE=201002&amp;PERIODTYPE=QTR_STD&amp;SCFT=3&amp;window=popup_no_bar&amp;width=385&amp;height=120&amp;START_MAXIMIZED=FALSE&amp;creator=factset&amp;display_string=Audit"}</definedName>
    <definedName name="_495__FDSAUDITLINK__" localSheetId="7" hidden="1">{"fdsup://Directions/FactSet Auditing Viewer?action=AUDIT_VALUE&amp;DB=129&amp;ID1=67066G10&amp;VALUEID=02001&amp;SDATE=201002&amp;PERIODTYPE=QTR_STD&amp;SCFT=3&amp;window=popup_no_bar&amp;width=385&amp;height=120&amp;START_MAXIMIZED=FALSE&amp;creator=factset&amp;display_string=Audit"}</definedName>
    <definedName name="_495__FDSAUDITLINK__" hidden="1">{"fdsup://Directions/FactSet Auditing Viewer?action=AUDIT_VALUE&amp;DB=129&amp;ID1=67066G10&amp;VALUEID=02001&amp;SDATE=201002&amp;PERIODTYPE=QTR_STD&amp;SCFT=3&amp;window=popup_no_bar&amp;width=385&amp;height=120&amp;START_MAXIMIZED=FALSE&amp;creator=factset&amp;display_string=Audit"}</definedName>
    <definedName name="_496__FDSAUDITLINK__" localSheetId="7" hidden="1">{"fdsup://Directions/FactSet Auditing Viewer?action=AUDIT_VALUE&amp;DB=129&amp;ID1=67066G10&amp;VALUEID=02001&amp;SDATE=201002&amp;PERIODTYPE=QTR_STD&amp;SCFT=3&amp;window=popup_no_bar&amp;width=385&amp;height=120&amp;START_MAXIMIZED=FALSE&amp;creator=factset&amp;display_string=Audit"}</definedName>
    <definedName name="_496__FDSAUDITLINK__" hidden="1">{"fdsup://Directions/FactSet Auditing Viewer?action=AUDIT_VALUE&amp;DB=129&amp;ID1=67066G10&amp;VALUEID=02001&amp;SDATE=201002&amp;PERIODTYPE=QTR_STD&amp;SCFT=3&amp;window=popup_no_bar&amp;width=385&amp;height=120&amp;START_MAXIMIZED=FALSE&amp;creator=factset&amp;display_string=Audit"}</definedName>
    <definedName name="_497__FDSAUDITLINK__" localSheetId="7" hidden="1">{"fdsup://Directions/FactSet Auditing Viewer?action=AUDIT_VALUE&amp;DB=129&amp;ID1=64118B10&amp;VALUEID=02001&amp;SDATE=201002&amp;PERIODTYPE=QTR_STD&amp;SCFT=3&amp;window=popup_no_bar&amp;width=385&amp;height=120&amp;START_MAXIMIZED=FALSE&amp;creator=factset&amp;display_string=Audit"}</definedName>
    <definedName name="_497__FDSAUDITLINK__" hidden="1">{"fdsup://Directions/FactSet Auditing Viewer?action=AUDIT_VALUE&amp;DB=129&amp;ID1=64118B10&amp;VALUEID=02001&amp;SDATE=201002&amp;PERIODTYPE=QTR_STD&amp;SCFT=3&amp;window=popup_no_bar&amp;width=385&amp;height=120&amp;START_MAXIMIZED=FALSE&amp;creator=factset&amp;display_string=Audit"}</definedName>
    <definedName name="_498__FDSAUDITLINK__" localSheetId="7" hidden="1">{"fdsup://Directions/FactSet Auditing Viewer?action=AUDIT_VALUE&amp;DB=129&amp;ID1=64118B10&amp;VALUEID=02001&amp;SDATE=201002&amp;PERIODTYPE=QTR_STD&amp;SCFT=3&amp;window=popup_no_bar&amp;width=385&amp;height=120&amp;START_MAXIMIZED=FALSE&amp;creator=factset&amp;display_string=Audit"}</definedName>
    <definedName name="_498__FDSAUDITLINK__" hidden="1">{"fdsup://Directions/FactSet Auditing Viewer?action=AUDIT_VALUE&amp;DB=129&amp;ID1=64118B10&amp;VALUEID=02001&amp;SDATE=201002&amp;PERIODTYPE=QTR_STD&amp;SCFT=3&amp;window=popup_no_bar&amp;width=385&amp;height=120&amp;START_MAXIMIZED=FALSE&amp;creator=factset&amp;display_string=Audit"}</definedName>
    <definedName name="_499__FDSAUDITLINK__" localSheetId="7" hidden="1">{"fdsup://Directions/FactSet Auditing Viewer?action=AUDIT_VALUE&amp;DB=129&amp;ID1=57772K10&amp;VALUEID=02001&amp;SDATE=201004&amp;PERIODTYPE=QTR_STD&amp;SCFT=3&amp;window=popup_no_bar&amp;width=385&amp;height=120&amp;START_MAXIMIZED=FALSE&amp;creator=factset&amp;display_string=Audit"}</definedName>
    <definedName name="_499__FDSAUDITLINK__" hidden="1">{"fdsup://Directions/FactSet Auditing Viewer?action=AUDIT_VALUE&amp;DB=129&amp;ID1=57772K10&amp;VALUEID=02001&amp;SDATE=201004&amp;PERIODTYPE=QTR_STD&amp;SCFT=3&amp;window=popup_no_bar&amp;width=385&amp;height=120&amp;START_MAXIMIZED=FALSE&amp;creator=factset&amp;display_string=Audit"}</definedName>
    <definedName name="_5__FDSAUDITLINK__" localSheetId="7" hidden="1">{"fdsup://Directions/FactSet Auditing Viewer?action=AUDIT_VALUE&amp;DB=129&amp;ID1=637248&amp;VALUEID=02001&amp;SDATE=201102&amp;PERIODTYPE=QTR_STD&amp;SCFT=3&amp;window=popup_no_bar&amp;width=385&amp;height=120&amp;START_MAXIMIZED=FALSE&amp;creator=factset&amp;display_string=Audit"}</definedName>
    <definedName name="_5__FDSAUDITLINK__" hidden="1">{"fdsup://Directions/FactSet Auditing Viewer?action=AUDIT_VALUE&amp;DB=129&amp;ID1=637248&amp;VALUEID=02001&amp;SDATE=201102&amp;PERIODTYPE=QTR_STD&amp;SCFT=3&amp;window=popup_no_bar&amp;width=385&amp;height=120&amp;START_MAXIMIZED=FALSE&amp;creator=factset&amp;display_string=Audit"}</definedName>
    <definedName name="_50__FDSAUDITLINK__" localSheetId="7" hidden="1">{"fdsup://Directions/FactSet Auditing Viewer?action=AUDIT_VALUE&amp;DB=129&amp;ID1=69341710&amp;VALUEID=02001&amp;SDATE=201101&amp;PERIODTYPE=QTR_STD&amp;SCFT=3&amp;window=popup_no_bar&amp;width=385&amp;height=120&amp;START_MAXIMIZED=FALSE&amp;creator=factset&amp;display_string=Audit"}</definedName>
    <definedName name="_50__FDSAUDITLINK__" hidden="1">{"fdsup://Directions/FactSet Auditing Viewer?action=AUDIT_VALUE&amp;DB=129&amp;ID1=69341710&amp;VALUEID=02001&amp;SDATE=201101&amp;PERIODTYPE=QTR_STD&amp;SCFT=3&amp;window=popup_no_bar&amp;width=385&amp;height=120&amp;START_MAXIMIZED=FALSE&amp;creator=factset&amp;display_string=Audit"}</definedName>
    <definedName name="_500__FDSAUDITLINK__" localSheetId="7" hidden="1">{"fdsup://Directions/FactSet Auditing Viewer?action=AUDIT_VALUE&amp;DB=129&amp;ID1=57772K10&amp;VALUEID=02001&amp;SDATE=201004&amp;PERIODTYPE=QTR_STD&amp;SCFT=3&amp;window=popup_no_bar&amp;width=385&amp;height=120&amp;START_MAXIMIZED=FALSE&amp;creator=factset&amp;display_string=Audit"}</definedName>
    <definedName name="_500__FDSAUDITLINK__" hidden="1">{"fdsup://Directions/FactSet Auditing Viewer?action=AUDIT_VALUE&amp;DB=129&amp;ID1=57772K10&amp;VALUEID=02001&amp;SDATE=201004&amp;PERIODTYPE=QTR_STD&amp;SCFT=3&amp;window=popup_no_bar&amp;width=385&amp;height=120&amp;START_MAXIMIZED=FALSE&amp;creator=factset&amp;display_string=Audit"}</definedName>
    <definedName name="_501__FDSAUDITLINK__" localSheetId="7" hidden="1">{"fdsup://Directions/FactSet Auditing Viewer?action=AUDIT_VALUE&amp;DB=129&amp;ID1=59511210&amp;VALUEID=02001&amp;SDATE=201003&amp;PERIODTYPE=QTR_STD&amp;SCFT=3&amp;window=popup_no_bar&amp;width=385&amp;height=120&amp;START_MAXIMIZED=FALSE&amp;creator=factset&amp;display_string=Audit"}</definedName>
    <definedName name="_501__FDSAUDITLINK__" hidden="1">{"fdsup://Directions/FactSet Auditing Viewer?action=AUDIT_VALUE&amp;DB=129&amp;ID1=59511210&amp;VALUEID=02001&amp;SDATE=201003&amp;PERIODTYPE=QTR_STD&amp;SCFT=3&amp;window=popup_no_bar&amp;width=385&amp;height=120&amp;START_MAXIMIZED=FALSE&amp;creator=factset&amp;display_string=Audit"}</definedName>
    <definedName name="_502__FDSAUDITLINK__" localSheetId="7" hidden="1">{"fdsup://Directions/FactSet Auditing Viewer?action=AUDIT_VALUE&amp;DB=129&amp;ID1=59511210&amp;VALUEID=02001&amp;SDATE=201003&amp;PERIODTYPE=QTR_STD&amp;SCFT=3&amp;window=popup_no_bar&amp;width=385&amp;height=120&amp;START_MAXIMIZED=FALSE&amp;creator=factset&amp;display_string=Audit"}</definedName>
    <definedName name="_502__FDSAUDITLINK__" hidden="1">{"fdsup://Directions/FactSet Auditing Viewer?action=AUDIT_VALUE&amp;DB=129&amp;ID1=59511210&amp;VALUEID=02001&amp;SDATE=201003&amp;PERIODTYPE=QTR_STD&amp;SCFT=3&amp;window=popup_no_bar&amp;width=385&amp;height=120&amp;START_MAXIMIZED=FALSE&amp;creator=factset&amp;display_string=Audit"}</definedName>
    <definedName name="_503__FDSAUDITLINK__" localSheetId="7" hidden="1">{"fdsup://Directions/FactSet Auditing Viewer?action=AUDIT_VALUE&amp;DB=129&amp;ID1=59513710&amp;VALUEID=02001&amp;SDATE=201003&amp;PERIODTYPE=QTR_STD&amp;SCFT=3&amp;window=popup_no_bar&amp;width=385&amp;height=120&amp;START_MAXIMIZED=FALSE&amp;creator=factset&amp;display_string=Audit"}</definedName>
    <definedName name="_503__FDSAUDITLINK__" hidden="1">{"fdsup://Directions/FactSet Auditing Viewer?action=AUDIT_VALUE&amp;DB=129&amp;ID1=59513710&amp;VALUEID=02001&amp;SDATE=201003&amp;PERIODTYPE=QTR_STD&amp;SCFT=3&amp;window=popup_no_bar&amp;width=385&amp;height=120&amp;START_MAXIMIZED=FALSE&amp;creator=factset&amp;display_string=Audit"}</definedName>
    <definedName name="_504__FDSAUDITLINK__" localSheetId="7" hidden="1">{"fdsup://Directions/FactSet Auditing Viewer?action=AUDIT_VALUE&amp;DB=129&amp;ID1=59513710&amp;VALUEID=02001&amp;SDATE=201003&amp;PERIODTYPE=QTR_STD&amp;SCFT=3&amp;window=popup_no_bar&amp;width=385&amp;height=120&amp;START_MAXIMIZED=FALSE&amp;creator=factset&amp;display_string=Audit"}</definedName>
    <definedName name="_504__FDSAUDITLINK__" hidden="1">{"fdsup://Directions/FactSet Auditing Viewer?action=AUDIT_VALUE&amp;DB=129&amp;ID1=59513710&amp;VALUEID=02001&amp;SDATE=201003&amp;PERIODTYPE=QTR_STD&amp;SCFT=3&amp;window=popup_no_bar&amp;width=385&amp;height=120&amp;START_MAXIMIZED=FALSE&amp;creator=factset&amp;display_string=Audit"}</definedName>
    <definedName name="_505__FDSAUDITLINK__" localSheetId="7" hidden="1">{"fdsup://Directions/FactSet Auditing Viewer?action=AUDIT_VALUE&amp;DB=129&amp;ID1=G5876H10&amp;VALUEID=02001&amp;SDATE=201002&amp;PERIODTYPE=QTR_STD&amp;SCFT=3&amp;window=popup_no_bar&amp;width=385&amp;height=120&amp;START_MAXIMIZED=FALSE&amp;creator=factset&amp;display_string=Audit"}</definedName>
    <definedName name="_505__FDSAUDITLINK__" hidden="1">{"fdsup://Directions/FactSet Auditing Viewer?action=AUDIT_VALUE&amp;DB=129&amp;ID1=G5876H10&amp;VALUEID=02001&amp;SDATE=201002&amp;PERIODTYPE=QTR_STD&amp;SCFT=3&amp;window=popup_no_bar&amp;width=385&amp;height=120&amp;START_MAXIMIZED=FALSE&amp;creator=factset&amp;display_string=Audit"}</definedName>
    <definedName name="_506__FDSAUDITLINK__" localSheetId="7" hidden="1">{"fdsup://Directions/FactSet Auditing Viewer?action=AUDIT_VALUE&amp;DB=129&amp;ID1=G5876H10&amp;VALUEID=02001&amp;SDATE=201002&amp;PERIODTYPE=QTR_STD&amp;SCFT=3&amp;window=popup_no_bar&amp;width=385&amp;height=120&amp;START_MAXIMIZED=FALSE&amp;creator=factset&amp;display_string=Audit"}</definedName>
    <definedName name="_506__FDSAUDITLINK__" hidden="1">{"fdsup://Directions/FactSet Auditing Viewer?action=AUDIT_VALUE&amp;DB=129&amp;ID1=G5876H10&amp;VALUEID=02001&amp;SDATE=201002&amp;PERIODTYPE=QTR_STD&amp;SCFT=3&amp;window=popup_no_bar&amp;width=385&amp;height=120&amp;START_MAXIMIZED=FALSE&amp;creator=factset&amp;display_string=Audit"}</definedName>
    <definedName name="_507__FDSAUDITLINK__" localSheetId="7" hidden="1">{"fdsup://Directions/FactSet Auditing Viewer?action=AUDIT_VALUE&amp;DB=129&amp;ID1=62007630&amp;VALUEID=02001&amp;SDATE=201002&amp;PERIODTYPE=QTR_STD&amp;SCFT=3&amp;window=popup_no_bar&amp;width=385&amp;height=120&amp;START_MAXIMIZED=FALSE&amp;creator=factset&amp;display_string=Audit"}</definedName>
    <definedName name="_507__FDSAUDITLINK__" hidden="1">{"fdsup://Directions/FactSet Auditing Viewer?action=AUDIT_VALUE&amp;DB=129&amp;ID1=62007630&amp;VALUEID=02001&amp;SDATE=201002&amp;PERIODTYPE=QTR_STD&amp;SCFT=3&amp;window=popup_no_bar&amp;width=385&amp;height=120&amp;START_MAXIMIZED=FALSE&amp;creator=factset&amp;display_string=Audit"}</definedName>
    <definedName name="_508__FDSAUDITLINK__" localSheetId="7" hidden="1">{"fdsup://Directions/FactSet Auditing Viewer?action=AUDIT_VALUE&amp;DB=129&amp;ID1=62007630&amp;VALUEID=02001&amp;SDATE=201002&amp;PERIODTYPE=QTR_STD&amp;SCFT=3&amp;window=popup_no_bar&amp;width=385&amp;height=120&amp;START_MAXIMIZED=FALSE&amp;creator=factset&amp;display_string=Audit"}</definedName>
    <definedName name="_508__FDSAUDITLINK__" hidden="1">{"fdsup://Directions/FactSet Auditing Viewer?action=AUDIT_VALUE&amp;DB=129&amp;ID1=62007630&amp;VALUEID=02001&amp;SDATE=201002&amp;PERIODTYPE=QTR_STD&amp;SCFT=3&amp;window=popup_no_bar&amp;width=385&amp;height=120&amp;START_MAXIMIZED=FALSE&amp;creator=factset&amp;display_string=Audit"}</definedName>
    <definedName name="_509__FDSAUDITLINK__" localSheetId="7" hidden="1">{"fdsup://Directions/FactSet Auditing Viewer?action=AUDIT_VALUE&amp;DB=129&amp;ID1=60456710&amp;VALUEID=02001&amp;SDATE=201004&amp;PERIODTYPE=QTR_STD&amp;SCFT=3&amp;window=popup_no_bar&amp;width=385&amp;height=120&amp;START_MAXIMIZED=FALSE&amp;creator=factset&amp;display_string=Audit"}</definedName>
    <definedName name="_509__FDSAUDITLINK__" hidden="1">{"fdsup://Directions/FactSet Auditing Viewer?action=AUDIT_VALUE&amp;DB=129&amp;ID1=60456710&amp;VALUEID=02001&amp;SDATE=201004&amp;PERIODTYPE=QTR_STD&amp;SCFT=3&amp;window=popup_no_bar&amp;width=385&amp;height=120&amp;START_MAXIMIZED=FALSE&amp;creator=factset&amp;display_string=Audit"}</definedName>
    <definedName name="_51__FDSAUDITLINK__" localSheetId="7" hidden="1">{"fdsup://Directions/FactSet Auditing Viewer?action=AUDIT_VALUE&amp;DB=129&amp;ID1=68218910&amp;VALUEID=02001&amp;SDATE=201101&amp;PERIODTYPE=QTR_STD&amp;SCFT=3&amp;window=popup_no_bar&amp;width=385&amp;height=120&amp;START_MAXIMIZED=FALSE&amp;creator=factset&amp;display_string=Audit"}</definedName>
    <definedName name="_51__FDSAUDITLINK__" hidden="1">{"fdsup://Directions/FactSet Auditing Viewer?action=AUDIT_VALUE&amp;DB=129&amp;ID1=68218910&amp;VALUEID=02001&amp;SDATE=201101&amp;PERIODTYPE=QTR_STD&amp;SCFT=3&amp;window=popup_no_bar&amp;width=385&amp;height=120&amp;START_MAXIMIZED=FALSE&amp;creator=factset&amp;display_string=Audit"}</definedName>
    <definedName name="_510__FDSAUDITLINK__" localSheetId="7" hidden="1">{"fdsup://Directions/FactSet Auditing Viewer?action=AUDIT_VALUE&amp;DB=129&amp;ID1=60456710&amp;VALUEID=02001&amp;SDATE=201004&amp;PERIODTYPE=QTR_STD&amp;SCFT=3&amp;window=popup_no_bar&amp;width=385&amp;height=120&amp;START_MAXIMIZED=FALSE&amp;creator=factset&amp;display_string=Audit"}</definedName>
    <definedName name="_510__FDSAUDITLINK__" hidden="1">{"fdsup://Directions/FactSet Auditing Viewer?action=AUDIT_VALUE&amp;DB=129&amp;ID1=60456710&amp;VALUEID=02001&amp;SDATE=201004&amp;PERIODTYPE=QTR_STD&amp;SCFT=3&amp;window=popup_no_bar&amp;width=385&amp;height=120&amp;START_MAXIMIZED=FALSE&amp;creator=factset&amp;display_string=Audit"}</definedName>
    <definedName name="_511__FDSAUDITLINK__" localSheetId="7" hidden="1">{"fdsup://Directions/FactSet Auditing Viewer?action=AUDIT_VALUE&amp;DB=129&amp;ID1=59479310&amp;VALUEID=02001&amp;SDATE=201002&amp;PERIODTYPE=QTR_STD&amp;SCFT=3&amp;window=popup_no_bar&amp;width=385&amp;height=120&amp;START_MAXIMIZED=FALSE&amp;creator=factset&amp;display_string=Audit"}</definedName>
    <definedName name="_511__FDSAUDITLINK__" hidden="1">{"fdsup://Directions/FactSet Auditing Viewer?action=AUDIT_VALUE&amp;DB=129&amp;ID1=59479310&amp;VALUEID=02001&amp;SDATE=201002&amp;PERIODTYPE=QTR_STD&amp;SCFT=3&amp;window=popup_no_bar&amp;width=385&amp;height=120&amp;START_MAXIMIZED=FALSE&amp;creator=factset&amp;display_string=Audit"}</definedName>
    <definedName name="_512__FDSAUDITLINK__" localSheetId="7" hidden="1">{"fdsup://Directions/FactSet Auditing Viewer?action=AUDIT_VALUE&amp;DB=129&amp;ID1=59479310&amp;VALUEID=02001&amp;SDATE=201002&amp;PERIODTYPE=QTR_STD&amp;SCFT=3&amp;window=popup_no_bar&amp;width=385&amp;height=120&amp;START_MAXIMIZED=FALSE&amp;creator=factset&amp;display_string=Audit"}</definedName>
    <definedName name="_512__FDSAUDITLINK__" hidden="1">{"fdsup://Directions/FactSet Auditing Viewer?action=AUDIT_VALUE&amp;DB=129&amp;ID1=59479310&amp;VALUEID=02001&amp;SDATE=201002&amp;PERIODTYPE=QTR_STD&amp;SCFT=3&amp;window=popup_no_bar&amp;width=385&amp;height=120&amp;START_MAXIMIZED=FALSE&amp;creator=factset&amp;display_string=Audit"}</definedName>
    <definedName name="_513__FDSAUDITLINK__" localSheetId="7" hidden="1">{"fdsup://Directions/FactSet Auditing Viewer?action=AUDIT_VALUE&amp;DB=129&amp;ID1=59501710&amp;VALUEID=02001&amp;SDATE=201001&amp;PERIODTYPE=QTR_STD&amp;SCFT=3&amp;window=popup_no_bar&amp;width=385&amp;height=120&amp;START_MAXIMIZED=FALSE&amp;creator=factset&amp;display_string=Audit"}</definedName>
    <definedName name="_513__FDSAUDITLINK__" hidden="1">{"fdsup://Directions/FactSet Auditing Viewer?action=AUDIT_VALUE&amp;DB=129&amp;ID1=59501710&amp;VALUEID=02001&amp;SDATE=201001&amp;PERIODTYPE=QTR_STD&amp;SCFT=3&amp;window=popup_no_bar&amp;width=385&amp;height=120&amp;START_MAXIMIZED=FALSE&amp;creator=factset&amp;display_string=Audit"}</definedName>
    <definedName name="_514__FDSAUDITLINK__" localSheetId="7" hidden="1">{"fdsup://Directions/FactSet Auditing Viewer?action=AUDIT_VALUE&amp;DB=129&amp;ID1=59501710&amp;VALUEID=02001&amp;SDATE=201001&amp;PERIODTYPE=QTR_STD&amp;SCFT=3&amp;window=popup_no_bar&amp;width=385&amp;height=120&amp;START_MAXIMIZED=FALSE&amp;creator=factset&amp;display_string=Audit"}</definedName>
    <definedName name="_514__FDSAUDITLINK__" hidden="1">{"fdsup://Directions/FactSet Auditing Viewer?action=AUDIT_VALUE&amp;DB=129&amp;ID1=59501710&amp;VALUEID=02001&amp;SDATE=201001&amp;PERIODTYPE=QTR_STD&amp;SCFT=3&amp;window=popup_no_bar&amp;width=385&amp;height=120&amp;START_MAXIMIZED=FALSE&amp;creator=factset&amp;display_string=Audit"}</definedName>
    <definedName name="_515__FDSAUDITLINK__" localSheetId="7" hidden="1">{"fdsup://Directions/FactSet Auditing Viewer?action=AUDIT_VALUE&amp;DB=129&amp;ID1=50216110&amp;VALUEID=02001&amp;SDATE=201002&amp;PERIODTYPE=QTR_STD&amp;SCFT=3&amp;window=popup_no_bar&amp;width=385&amp;height=120&amp;START_MAXIMIZED=FALSE&amp;creator=factset&amp;display_string=Audit"}</definedName>
    <definedName name="_515__FDSAUDITLINK__" hidden="1">{"fdsup://Directions/FactSet Auditing Viewer?action=AUDIT_VALUE&amp;DB=129&amp;ID1=50216110&amp;VALUEID=02001&amp;SDATE=201002&amp;PERIODTYPE=QTR_STD&amp;SCFT=3&amp;window=popup_no_bar&amp;width=385&amp;height=120&amp;START_MAXIMIZED=FALSE&amp;creator=factset&amp;display_string=Audit"}</definedName>
    <definedName name="_516__FDSAUDITLINK__" localSheetId="7" hidden="1">{"fdsup://Directions/FactSet Auditing Viewer?action=AUDIT_VALUE&amp;DB=129&amp;ID1=50216110&amp;VALUEID=02001&amp;SDATE=201002&amp;PERIODTYPE=QTR_STD&amp;SCFT=3&amp;window=popup_no_bar&amp;width=385&amp;height=120&amp;START_MAXIMIZED=FALSE&amp;creator=factset&amp;display_string=Audit"}</definedName>
    <definedName name="_516__FDSAUDITLINK__" hidden="1">{"fdsup://Directions/FactSet Auditing Viewer?action=AUDIT_VALUE&amp;DB=129&amp;ID1=50216110&amp;VALUEID=02001&amp;SDATE=201002&amp;PERIODTYPE=QTR_STD&amp;SCFT=3&amp;window=popup_no_bar&amp;width=385&amp;height=120&amp;START_MAXIMIZED=FALSE&amp;creator=factset&amp;display_string=Audit"}</definedName>
    <definedName name="_517__FDSAUDITLINK__" localSheetId="7" hidden="1">{"fdsup://Directions/FactSet Auditing Viewer?action=AUDIT_VALUE&amp;DB=129&amp;ID1=51841510&amp;VALUEID=02001&amp;SDATE=201002&amp;PERIODTYPE=QTR_STD&amp;SCFT=3&amp;window=popup_no_bar&amp;width=385&amp;height=120&amp;START_MAXIMIZED=FALSE&amp;creator=factset&amp;display_string=Audit"}</definedName>
    <definedName name="_517__FDSAUDITLINK__" hidden="1">{"fdsup://Directions/FactSet Auditing Viewer?action=AUDIT_VALUE&amp;DB=129&amp;ID1=51841510&amp;VALUEID=02001&amp;SDATE=201002&amp;PERIODTYPE=QTR_STD&amp;SCFT=3&amp;window=popup_no_bar&amp;width=385&amp;height=120&amp;START_MAXIMIZED=FALSE&amp;creator=factset&amp;display_string=Audit"}</definedName>
    <definedName name="_518__FDSAUDITLINK__" localSheetId="7" hidden="1">{"fdsup://Directions/FactSet Auditing Viewer?action=AUDIT_VALUE&amp;DB=129&amp;ID1=51841510&amp;VALUEID=02001&amp;SDATE=201002&amp;PERIODTYPE=QTR_STD&amp;SCFT=3&amp;window=popup_no_bar&amp;width=385&amp;height=120&amp;START_MAXIMIZED=FALSE&amp;creator=factset&amp;display_string=Audit"}</definedName>
    <definedName name="_518__FDSAUDITLINK__" hidden="1">{"fdsup://Directions/FactSet Auditing Viewer?action=AUDIT_VALUE&amp;DB=129&amp;ID1=51841510&amp;VALUEID=02001&amp;SDATE=201002&amp;PERIODTYPE=QTR_STD&amp;SCFT=3&amp;window=popup_no_bar&amp;width=385&amp;height=120&amp;START_MAXIMIZED=FALSE&amp;creator=factset&amp;display_string=Audit"}</definedName>
    <definedName name="_519__FDSAUDITLINK__" localSheetId="7" hidden="1">{"fdsup://Directions/FactSet Auditing Viewer?action=AUDIT_VALUE&amp;DB=129&amp;ID1=51280710&amp;VALUEID=02001&amp;SDATE=201004&amp;PERIODTYPE=QTR_STD&amp;SCFT=3&amp;window=popup_no_bar&amp;width=385&amp;height=120&amp;START_MAXIMIZED=FALSE&amp;creator=factset&amp;display_string=Audit"}</definedName>
    <definedName name="_519__FDSAUDITLINK__" hidden="1">{"fdsup://Directions/FactSet Auditing Viewer?action=AUDIT_VALUE&amp;DB=129&amp;ID1=51280710&amp;VALUEID=02001&amp;SDATE=201004&amp;PERIODTYPE=QTR_STD&amp;SCFT=3&amp;window=popup_no_bar&amp;width=385&amp;height=120&amp;START_MAXIMIZED=FALSE&amp;creator=factset&amp;display_string=Audit"}</definedName>
    <definedName name="_52__FDSAUDITLINK__" localSheetId="7" hidden="1">{"fdsup://Directions/FactSet Auditing Viewer?action=AUDIT_VALUE&amp;DB=129&amp;ID1=68218910&amp;VALUEID=02001&amp;SDATE=201101&amp;PERIODTYPE=QTR_STD&amp;SCFT=3&amp;window=popup_no_bar&amp;width=385&amp;height=120&amp;START_MAXIMIZED=FALSE&amp;creator=factset&amp;display_string=Audit"}</definedName>
    <definedName name="_52__FDSAUDITLINK__" hidden="1">{"fdsup://Directions/FactSet Auditing Viewer?action=AUDIT_VALUE&amp;DB=129&amp;ID1=68218910&amp;VALUEID=02001&amp;SDATE=201101&amp;PERIODTYPE=QTR_STD&amp;SCFT=3&amp;window=popup_no_bar&amp;width=385&amp;height=120&amp;START_MAXIMIZED=FALSE&amp;creator=factset&amp;display_string=Audit"}</definedName>
    <definedName name="_520__FDSAUDITLINK__" localSheetId="7" hidden="1">{"fdsup://Directions/FactSet Auditing Viewer?action=AUDIT_VALUE&amp;DB=129&amp;ID1=51280710&amp;VALUEID=02001&amp;SDATE=201004&amp;PERIODTYPE=QTR_STD&amp;SCFT=3&amp;window=popup_no_bar&amp;width=385&amp;height=120&amp;START_MAXIMIZED=FALSE&amp;creator=factset&amp;display_string=Audit"}</definedName>
    <definedName name="_520__FDSAUDITLINK__" hidden="1">{"fdsup://Directions/FactSet Auditing Viewer?action=AUDIT_VALUE&amp;DB=129&amp;ID1=51280710&amp;VALUEID=02001&amp;SDATE=201004&amp;PERIODTYPE=QTR_STD&amp;SCFT=3&amp;window=popup_no_bar&amp;width=385&amp;height=120&amp;START_MAXIMIZED=FALSE&amp;creator=factset&amp;display_string=Audit"}</definedName>
    <definedName name="_521__FDSAUDITLINK__" localSheetId="7" hidden="1">{"fdsup://Directions/FactSet Auditing Viewer?action=AUDIT_VALUE&amp;DB=129&amp;ID1=53567810&amp;VALUEID=02001&amp;SDATE=201004&amp;PERIODTYPE=QTR_STD&amp;SCFT=3&amp;window=popup_no_bar&amp;width=385&amp;height=120&amp;START_MAXIMIZED=FALSE&amp;creator=factset&amp;display_string=Audit"}</definedName>
    <definedName name="_521__FDSAUDITLINK__" hidden="1">{"fdsup://Directions/FactSet Auditing Viewer?action=AUDIT_VALUE&amp;DB=129&amp;ID1=53567810&amp;VALUEID=02001&amp;SDATE=201004&amp;PERIODTYPE=QTR_STD&amp;SCFT=3&amp;window=popup_no_bar&amp;width=385&amp;height=120&amp;START_MAXIMIZED=FALSE&amp;creator=factset&amp;display_string=Audit"}</definedName>
    <definedName name="_522__FDSAUDITLINK__" localSheetId="7" hidden="1">{"fdsup://Directions/FactSet Auditing Viewer?action=AUDIT_VALUE&amp;DB=129&amp;ID1=53567810&amp;VALUEID=02001&amp;SDATE=201004&amp;PERIODTYPE=QTR_STD&amp;SCFT=3&amp;window=popup_no_bar&amp;width=385&amp;height=120&amp;START_MAXIMIZED=FALSE&amp;creator=factset&amp;display_string=Audit"}</definedName>
    <definedName name="_522__FDSAUDITLINK__" hidden="1">{"fdsup://Directions/FactSet Auditing Viewer?action=AUDIT_VALUE&amp;DB=129&amp;ID1=53567810&amp;VALUEID=02001&amp;SDATE=201004&amp;PERIODTYPE=QTR_STD&amp;SCFT=3&amp;window=popup_no_bar&amp;width=385&amp;height=120&amp;START_MAXIMIZED=FALSE&amp;creator=factset&amp;display_string=Audit"}</definedName>
    <definedName name="_523__FDSAUDITLINK__" localSheetId="7" hidden="1">{"fdsup://Directions/FactSet Auditing Viewer?action=AUDIT_VALUE&amp;DB=129&amp;ID1=48248010&amp;VALUEID=02001&amp;SDATE=201004&amp;PERIODTYPE=QTR_STD&amp;SCFT=3&amp;window=popup_no_bar&amp;width=385&amp;height=120&amp;START_MAXIMIZED=FALSE&amp;creator=factset&amp;display_string=Audit"}</definedName>
    <definedName name="_523__FDSAUDITLINK__" hidden="1">{"fdsup://Directions/FactSet Auditing Viewer?action=AUDIT_VALUE&amp;DB=129&amp;ID1=48248010&amp;VALUEID=02001&amp;SDATE=201004&amp;PERIODTYPE=QTR_STD&amp;SCFT=3&amp;window=popup_no_bar&amp;width=385&amp;height=120&amp;START_MAXIMIZED=FALSE&amp;creator=factset&amp;display_string=Audit"}</definedName>
    <definedName name="_524__FDSAUDITLINK__" localSheetId="7" hidden="1">{"fdsup://Directions/FactSet Auditing Viewer?action=AUDIT_VALUE&amp;DB=129&amp;ID1=48248010&amp;VALUEID=02001&amp;SDATE=201004&amp;PERIODTYPE=QTR_STD&amp;SCFT=3&amp;window=popup_no_bar&amp;width=385&amp;height=120&amp;START_MAXIMIZED=FALSE&amp;creator=factset&amp;display_string=Audit"}</definedName>
    <definedName name="_524__FDSAUDITLINK__" hidden="1">{"fdsup://Directions/FactSet Auditing Viewer?action=AUDIT_VALUE&amp;DB=129&amp;ID1=48248010&amp;VALUEID=02001&amp;SDATE=201004&amp;PERIODTYPE=QTR_STD&amp;SCFT=3&amp;window=popup_no_bar&amp;width=385&amp;height=120&amp;START_MAXIMIZED=FALSE&amp;creator=factset&amp;display_string=Audit"}</definedName>
    <definedName name="_525__FDSAUDITLINK__" localSheetId="7" hidden="1">{"fdsup://Directions/FactSet Auditing Viewer?action=AUDIT_VALUE&amp;DB=129&amp;ID1=48836020&amp;VALUEID=02001&amp;SDATE=201001&amp;PERIODTYPE=QTR_STD&amp;SCFT=3&amp;window=popup_no_bar&amp;width=385&amp;height=120&amp;START_MAXIMIZED=FALSE&amp;creator=factset&amp;display_string=Audit"}</definedName>
    <definedName name="_525__FDSAUDITLINK__" hidden="1">{"fdsup://Directions/FactSet Auditing Viewer?action=AUDIT_VALUE&amp;DB=129&amp;ID1=48836020&amp;VALUEID=02001&amp;SDATE=201001&amp;PERIODTYPE=QTR_STD&amp;SCFT=3&amp;window=popup_no_bar&amp;width=385&amp;height=120&amp;START_MAXIMIZED=FALSE&amp;creator=factset&amp;display_string=Audit"}</definedName>
    <definedName name="_526__FDSAUDITLINK__" localSheetId="7" hidden="1">{"fdsup://Directions/FactSet Auditing Viewer?action=AUDIT_VALUE&amp;DB=129&amp;ID1=48836020&amp;VALUEID=02001&amp;SDATE=201001&amp;PERIODTYPE=QTR_STD&amp;SCFT=3&amp;window=popup_no_bar&amp;width=385&amp;height=120&amp;START_MAXIMIZED=FALSE&amp;creator=factset&amp;display_string=Audit"}</definedName>
    <definedName name="_526__FDSAUDITLINK__" hidden="1">{"fdsup://Directions/FactSet Auditing Viewer?action=AUDIT_VALUE&amp;DB=129&amp;ID1=48836020&amp;VALUEID=02001&amp;SDATE=201001&amp;PERIODTYPE=QTR_STD&amp;SCFT=3&amp;window=popup_no_bar&amp;width=385&amp;height=120&amp;START_MAXIMIZED=FALSE&amp;creator=factset&amp;display_string=Audit"}</definedName>
    <definedName name="_527__FDSAUDITLINK__" localSheetId="7" hidden="1">{"fdsup://Directions/FactSet Auditing Viewer?action=AUDIT_VALUE&amp;DB=129&amp;ID1=48203R10&amp;VALUEID=02001&amp;SDATE=201002&amp;PERIODTYPE=QTR_STD&amp;SCFT=3&amp;window=popup_no_bar&amp;width=385&amp;height=120&amp;START_MAXIMIZED=FALSE&amp;creator=factset&amp;display_string=Audit"}</definedName>
    <definedName name="_527__FDSAUDITLINK__" hidden="1">{"fdsup://Directions/FactSet Auditing Viewer?action=AUDIT_VALUE&amp;DB=129&amp;ID1=48203R10&amp;VALUEID=02001&amp;SDATE=201002&amp;PERIODTYPE=QTR_STD&amp;SCFT=3&amp;window=popup_no_bar&amp;width=385&amp;height=120&amp;START_MAXIMIZED=FALSE&amp;creator=factset&amp;display_string=Audit"}</definedName>
    <definedName name="_528__FDSAUDITLINK__" localSheetId="7" hidden="1">{"fdsup://Directions/FactSet Auditing Viewer?action=AUDIT_VALUE&amp;DB=129&amp;ID1=48203R10&amp;VALUEID=02001&amp;SDATE=201002&amp;PERIODTYPE=QTR_STD&amp;SCFT=3&amp;window=popup_no_bar&amp;width=385&amp;height=120&amp;START_MAXIMIZED=FALSE&amp;creator=factset&amp;display_string=Audit"}</definedName>
    <definedName name="_528__FDSAUDITLINK__" hidden="1">{"fdsup://Directions/FactSet Auditing Viewer?action=AUDIT_VALUE&amp;DB=129&amp;ID1=48203R10&amp;VALUEID=02001&amp;SDATE=201002&amp;PERIODTYPE=QTR_STD&amp;SCFT=3&amp;window=popup_no_bar&amp;width=385&amp;height=120&amp;START_MAXIMIZED=FALSE&amp;creator=factset&amp;display_string=Audit"}</definedName>
    <definedName name="_529__FDSAUDITLINK__" localSheetId="7" hidden="1">{"fdsup://Directions/FactSet Auditing Viewer?action=AUDIT_VALUE&amp;DB=129&amp;ID1=46069S10&amp;VALUEID=02001&amp;SDATE=201002&amp;PERIODTYPE=QTR_STD&amp;SCFT=3&amp;window=popup_no_bar&amp;width=385&amp;height=120&amp;START_MAXIMIZED=FALSE&amp;creator=factset&amp;display_string=Audit"}</definedName>
    <definedName name="_529__FDSAUDITLINK__" hidden="1">{"fdsup://Directions/FactSet Auditing Viewer?action=AUDIT_VALUE&amp;DB=129&amp;ID1=46069S10&amp;VALUEID=02001&amp;SDATE=201002&amp;PERIODTYPE=QTR_STD&amp;SCFT=3&amp;window=popup_no_bar&amp;width=385&amp;height=120&amp;START_MAXIMIZED=FALSE&amp;creator=factset&amp;display_string=Audit"}</definedName>
    <definedName name="_53__FDSAUDITLINK__" localSheetId="7" hidden="1">{"fdsup://Directions/FactSet Auditing Viewer?action=AUDIT_VALUE&amp;DB=129&amp;ID1=B505PN&amp;VALUEID=02001&amp;SDATE=201101&amp;PERIODTYPE=QTR_STD&amp;SCFT=3&amp;window=popup_no_bar&amp;width=385&amp;height=120&amp;START_MAXIMIZED=FALSE&amp;creator=factset&amp;display_string=Audit"}</definedName>
    <definedName name="_53__FDSAUDITLINK__" hidden="1">{"fdsup://Directions/FactSet Auditing Viewer?action=AUDIT_VALUE&amp;DB=129&amp;ID1=B505PN&amp;VALUEID=02001&amp;SDATE=201101&amp;PERIODTYPE=QTR_STD&amp;SCFT=3&amp;window=popup_no_bar&amp;width=385&amp;height=120&amp;START_MAXIMIZED=FALSE&amp;creator=factset&amp;display_string=Audit"}</definedName>
    <definedName name="_530__FDSAUDITLINK__" localSheetId="7" hidden="1">{"fdsup://Directions/FactSet Auditing Viewer?action=AUDIT_VALUE&amp;DB=129&amp;ID1=46069S10&amp;VALUEID=02001&amp;SDATE=201002&amp;PERIODTYPE=QTR_STD&amp;SCFT=3&amp;window=popup_no_bar&amp;width=385&amp;height=120&amp;START_MAXIMIZED=FALSE&amp;creator=factset&amp;display_string=Audit"}</definedName>
    <definedName name="_530__FDSAUDITLINK__" hidden="1">{"fdsup://Directions/FactSet Auditing Viewer?action=AUDIT_VALUE&amp;DB=129&amp;ID1=46069S10&amp;VALUEID=02001&amp;SDATE=201002&amp;PERIODTYPE=QTR_STD&amp;SCFT=3&amp;window=popup_no_bar&amp;width=385&amp;height=120&amp;START_MAXIMIZED=FALSE&amp;creator=factset&amp;display_string=Audit"}</definedName>
    <definedName name="_531__FDSAUDITLINK__" localSheetId="7" hidden="1">{"fdsup://Directions/FactSet Auditing Viewer?action=AUDIT_VALUE&amp;DB=129&amp;ID1=46025410&amp;VALUEID=02001&amp;SDATE=201004&amp;PERIODTYPE=QTR_STD&amp;SCFT=3&amp;window=popup_no_bar&amp;width=385&amp;height=120&amp;START_MAXIMIZED=FALSE&amp;creator=factset&amp;display_string=Audit"}</definedName>
    <definedName name="_531__FDSAUDITLINK__" hidden="1">{"fdsup://Directions/FactSet Auditing Viewer?action=AUDIT_VALUE&amp;DB=129&amp;ID1=46025410&amp;VALUEID=02001&amp;SDATE=201004&amp;PERIODTYPE=QTR_STD&amp;SCFT=3&amp;window=popup_no_bar&amp;width=385&amp;height=120&amp;START_MAXIMIZED=FALSE&amp;creator=factset&amp;display_string=Audit"}</definedName>
    <definedName name="_532__FDSAUDITLINK__" localSheetId="7" hidden="1">{"fdsup://Directions/FactSet Auditing Viewer?action=AUDIT_VALUE&amp;DB=129&amp;ID1=46025410&amp;VALUEID=02001&amp;SDATE=201004&amp;PERIODTYPE=QTR_STD&amp;SCFT=3&amp;window=popup_no_bar&amp;width=385&amp;height=120&amp;START_MAXIMIZED=FALSE&amp;creator=factset&amp;display_string=Audit"}</definedName>
    <definedName name="_532__FDSAUDITLINK__" hidden="1">{"fdsup://Directions/FactSet Auditing Viewer?action=AUDIT_VALUE&amp;DB=129&amp;ID1=46025410&amp;VALUEID=02001&amp;SDATE=201004&amp;PERIODTYPE=QTR_STD&amp;SCFT=3&amp;window=popup_no_bar&amp;width=385&amp;height=120&amp;START_MAXIMIZED=FALSE&amp;creator=factset&amp;display_string=Audit"}</definedName>
    <definedName name="_533__FDSAUDITLINK__" localSheetId="7" hidden="1">{"fdsup://Directions/FactSet Auditing Viewer?action=AUDIT_VALUE&amp;DB=129&amp;ID1=45814010&amp;VALUEID=02001&amp;SDATE=201002&amp;PERIODTYPE=QTR_STD&amp;SCFT=3&amp;window=popup_no_bar&amp;width=385&amp;height=120&amp;START_MAXIMIZED=FALSE&amp;creator=factset&amp;display_string=Audit"}</definedName>
    <definedName name="_533__FDSAUDITLINK__" hidden="1">{"fdsup://Directions/FactSet Auditing Viewer?action=AUDIT_VALUE&amp;DB=129&amp;ID1=45814010&amp;VALUEID=02001&amp;SDATE=201002&amp;PERIODTYPE=QTR_STD&amp;SCFT=3&amp;window=popup_no_bar&amp;width=385&amp;height=120&amp;START_MAXIMIZED=FALSE&amp;creator=factset&amp;display_string=Audit"}</definedName>
    <definedName name="_534__FDSAUDITLINK__" localSheetId="7" hidden="1">{"fdsup://Directions/FactSet Auditing Viewer?action=AUDIT_VALUE&amp;DB=129&amp;ID1=45814010&amp;VALUEID=02001&amp;SDATE=201002&amp;PERIODTYPE=QTR_STD&amp;SCFT=3&amp;window=popup_no_bar&amp;width=385&amp;height=120&amp;START_MAXIMIZED=FALSE&amp;creator=factset&amp;display_string=Audit"}</definedName>
    <definedName name="_534__FDSAUDITLINK__" hidden="1">{"fdsup://Directions/FactSet Auditing Viewer?action=AUDIT_VALUE&amp;DB=129&amp;ID1=45814010&amp;VALUEID=02001&amp;SDATE=201002&amp;PERIODTYPE=QTR_STD&amp;SCFT=3&amp;window=popup_no_bar&amp;width=385&amp;height=120&amp;START_MAXIMIZED=FALSE&amp;creator=factset&amp;display_string=Audit"}</definedName>
    <definedName name="_535__FDSAUDITLINK__" localSheetId="7" hidden="1">{"fdsup://Directions/FactSet Auditing Viewer?action=AUDIT_VALUE&amp;DB=129&amp;ID1=45811810&amp;VALUEID=02001&amp;SDATE=201001&amp;PERIODTYPE=QTR_STD&amp;SCFT=3&amp;window=popup_no_bar&amp;width=385&amp;height=120&amp;START_MAXIMIZED=FALSE&amp;creator=factset&amp;display_string=Audit"}</definedName>
    <definedName name="_535__FDSAUDITLINK__" hidden="1">{"fdsup://Directions/FactSet Auditing Viewer?action=AUDIT_VALUE&amp;DB=129&amp;ID1=45811810&amp;VALUEID=02001&amp;SDATE=201001&amp;PERIODTYPE=QTR_STD&amp;SCFT=3&amp;window=popup_no_bar&amp;width=385&amp;height=120&amp;START_MAXIMIZED=FALSE&amp;creator=factset&amp;display_string=Audit"}</definedName>
    <definedName name="_536__FDSAUDITLINK__" localSheetId="7" hidden="1">{"fdsup://Directions/FactSet Auditing Viewer?action=AUDIT_VALUE&amp;DB=129&amp;ID1=45811810&amp;VALUEID=02001&amp;SDATE=201001&amp;PERIODTYPE=QTR_STD&amp;SCFT=3&amp;window=popup_no_bar&amp;width=385&amp;height=120&amp;START_MAXIMIZED=FALSE&amp;creator=factset&amp;display_string=Audit"}</definedName>
    <definedName name="_536__FDSAUDITLINK__" hidden="1">{"fdsup://Directions/FactSet Auditing Viewer?action=AUDIT_VALUE&amp;DB=129&amp;ID1=45811810&amp;VALUEID=02001&amp;SDATE=201001&amp;PERIODTYPE=QTR_STD&amp;SCFT=3&amp;window=popup_no_bar&amp;width=385&amp;height=120&amp;START_MAXIMIZED=FALSE&amp;creator=factset&amp;display_string=Audit"}</definedName>
    <definedName name="_537__FDSAUDITLINK__" localSheetId="7" hidden="1">{"fdsup://Directions/FactSet Auditing Viewer?action=AUDIT_VALUE&amp;DB=129&amp;ID1=42823610&amp;VALUEID=02001&amp;SDATE=201003&amp;PERIODTYPE=QTR_STD&amp;SCFT=3&amp;window=popup_no_bar&amp;width=385&amp;height=120&amp;START_MAXIMIZED=FALSE&amp;creator=factset&amp;display_string=Audit"}</definedName>
    <definedName name="_537__FDSAUDITLINK__" hidden="1">{"fdsup://Directions/FactSet Auditing Viewer?action=AUDIT_VALUE&amp;DB=129&amp;ID1=42823610&amp;VALUEID=02001&amp;SDATE=201003&amp;PERIODTYPE=QTR_STD&amp;SCFT=3&amp;window=popup_no_bar&amp;width=385&amp;height=120&amp;START_MAXIMIZED=FALSE&amp;creator=factset&amp;display_string=Audit"}</definedName>
    <definedName name="_538__FDSAUDITLINK__" localSheetId="7" hidden="1">{"fdsup://Directions/FactSet Auditing Viewer?action=AUDIT_VALUE&amp;DB=129&amp;ID1=42823610&amp;VALUEID=02001&amp;SDATE=201003&amp;PERIODTYPE=QTR_STD&amp;SCFT=3&amp;window=popup_no_bar&amp;width=385&amp;height=120&amp;START_MAXIMIZED=FALSE&amp;creator=factset&amp;display_string=Audit"}</definedName>
    <definedName name="_538__FDSAUDITLINK__" hidden="1">{"fdsup://Directions/FactSet Auditing Viewer?action=AUDIT_VALUE&amp;DB=129&amp;ID1=42823610&amp;VALUEID=02001&amp;SDATE=201003&amp;PERIODTYPE=QTR_STD&amp;SCFT=3&amp;window=popup_no_bar&amp;width=385&amp;height=120&amp;START_MAXIMIZED=FALSE&amp;creator=factset&amp;display_string=Audit"}</definedName>
    <definedName name="_539__FDSAUDITLINK__" localSheetId="7" hidden="1">{"fdsup://Directions/FactSet Auditing Viewer?action=AUDIT_VALUE&amp;DB=129&amp;ID1=H2906T10&amp;VALUEID=02001&amp;SDATE=201002&amp;PERIODTYPE=QTR_STD&amp;SCFT=3&amp;window=popup_no_bar&amp;width=385&amp;height=120&amp;START_MAXIMIZED=FALSE&amp;creator=factset&amp;display_string=Audit"}</definedName>
    <definedName name="_539__FDSAUDITLINK__" hidden="1">{"fdsup://Directions/FactSet Auditing Viewer?action=AUDIT_VALUE&amp;DB=129&amp;ID1=H2906T10&amp;VALUEID=02001&amp;SDATE=201002&amp;PERIODTYPE=QTR_STD&amp;SCFT=3&amp;window=popup_no_bar&amp;width=385&amp;height=120&amp;START_MAXIMIZED=FALSE&amp;creator=factset&amp;display_string=Audit"}</definedName>
    <definedName name="_54__FDSAUDITLINK__" localSheetId="7" hidden="1">{"fdsup://Directions/FactSet Auditing Viewer?action=AUDIT_VALUE&amp;DB=129&amp;ID1=B505PN&amp;VALUEID=02001&amp;SDATE=201101&amp;PERIODTYPE=QTR_STD&amp;SCFT=3&amp;window=popup_no_bar&amp;width=385&amp;height=120&amp;START_MAXIMIZED=FALSE&amp;creator=factset&amp;display_string=Audit"}</definedName>
    <definedName name="_54__FDSAUDITLINK__" hidden="1">{"fdsup://Directions/FactSet Auditing Viewer?action=AUDIT_VALUE&amp;DB=129&amp;ID1=B505PN&amp;VALUEID=02001&amp;SDATE=201101&amp;PERIODTYPE=QTR_STD&amp;SCFT=3&amp;window=popup_no_bar&amp;width=385&amp;height=120&amp;START_MAXIMIZED=FALSE&amp;creator=factset&amp;display_string=Audit"}</definedName>
    <definedName name="_540__FDSAUDITLINK__" localSheetId="7" hidden="1">{"fdsup://Directions/FactSet Auditing Viewer?action=AUDIT_VALUE&amp;DB=129&amp;ID1=H2906T10&amp;VALUEID=02001&amp;SDATE=201002&amp;PERIODTYPE=QTR_STD&amp;SCFT=3&amp;window=popup_no_bar&amp;width=385&amp;height=120&amp;START_MAXIMIZED=FALSE&amp;creator=factset&amp;display_string=Audit"}</definedName>
    <definedName name="_540__FDSAUDITLINK__" hidden="1">{"fdsup://Directions/FactSet Auditing Viewer?action=AUDIT_VALUE&amp;DB=129&amp;ID1=H2906T10&amp;VALUEID=02001&amp;SDATE=201002&amp;PERIODTYPE=QTR_STD&amp;SCFT=3&amp;window=popup_no_bar&amp;width=385&amp;height=120&amp;START_MAXIMIZED=FALSE&amp;creator=factset&amp;display_string=Audit"}</definedName>
    <definedName name="_541__FDSAUDITLINK__" localSheetId="7" hidden="1">{"fdsup://Directions/FactSet Auditing Viewer?action=AUDIT_VALUE&amp;DB=129&amp;ID1=34637510&amp;VALUEID=02001&amp;SDATE=201002&amp;PERIODTYPE=QTR_STD&amp;SCFT=3&amp;window=popup_no_bar&amp;width=385&amp;height=120&amp;START_MAXIMIZED=FALSE&amp;creator=factset&amp;display_string=Audit"}</definedName>
    <definedName name="_541__FDSAUDITLINK__" hidden="1">{"fdsup://Directions/FactSet Auditing Viewer?action=AUDIT_VALUE&amp;DB=129&amp;ID1=34637510&amp;VALUEID=02001&amp;SDATE=201002&amp;PERIODTYPE=QTR_STD&amp;SCFT=3&amp;window=popup_no_bar&amp;width=385&amp;height=120&amp;START_MAXIMIZED=FALSE&amp;creator=factset&amp;display_string=Audit"}</definedName>
    <definedName name="_542__FDSAUDITLINK__" localSheetId="7" hidden="1">{"fdsup://Directions/FactSet Auditing Viewer?action=AUDIT_VALUE&amp;DB=129&amp;ID1=34637510&amp;VALUEID=02001&amp;SDATE=201002&amp;PERIODTYPE=QTR_STD&amp;SCFT=3&amp;window=popup_no_bar&amp;width=385&amp;height=120&amp;START_MAXIMIZED=FALSE&amp;creator=factset&amp;display_string=Audit"}</definedName>
    <definedName name="_542__FDSAUDITLINK__" hidden="1">{"fdsup://Directions/FactSet Auditing Viewer?action=AUDIT_VALUE&amp;DB=129&amp;ID1=34637510&amp;VALUEID=02001&amp;SDATE=201002&amp;PERIODTYPE=QTR_STD&amp;SCFT=3&amp;window=popup_no_bar&amp;width=385&amp;height=120&amp;START_MAXIMIZED=FALSE&amp;creator=factset&amp;display_string=Audit"}</definedName>
    <definedName name="_543__FDSAUDITLINK__" localSheetId="7" hidden="1">{"fdsup://Directions/FactSet Auditing Viewer?action=AUDIT_VALUE&amp;DB=129&amp;ID1=31561610&amp;VALUEID=02001&amp;SDATE=201003&amp;PERIODTYPE=QTR_STD&amp;SCFT=3&amp;window=popup_no_bar&amp;width=385&amp;height=120&amp;START_MAXIMIZED=FALSE&amp;creator=factset&amp;display_string=Audit"}</definedName>
    <definedName name="_543__FDSAUDITLINK__" hidden="1">{"fdsup://Directions/FactSet Auditing Viewer?action=AUDIT_VALUE&amp;DB=129&amp;ID1=31561610&amp;VALUEID=02001&amp;SDATE=201003&amp;PERIODTYPE=QTR_STD&amp;SCFT=3&amp;window=popup_no_bar&amp;width=385&amp;height=120&amp;START_MAXIMIZED=FALSE&amp;creator=factset&amp;display_string=Audit"}</definedName>
    <definedName name="_544__FDSAUDITLINK__" localSheetId="7" hidden="1">{"fdsup://Directions/FactSet Auditing Viewer?action=AUDIT_VALUE&amp;DB=129&amp;ID1=31561610&amp;VALUEID=02001&amp;SDATE=201003&amp;PERIODTYPE=QTR_STD&amp;SCFT=3&amp;window=popup_no_bar&amp;width=385&amp;height=120&amp;START_MAXIMIZED=FALSE&amp;creator=factset&amp;display_string=Audit"}</definedName>
    <definedName name="_544__FDSAUDITLINK__" hidden="1">{"fdsup://Directions/FactSet Auditing Viewer?action=AUDIT_VALUE&amp;DB=129&amp;ID1=31561610&amp;VALUEID=02001&amp;SDATE=201003&amp;PERIODTYPE=QTR_STD&amp;SCFT=3&amp;window=popup_no_bar&amp;width=385&amp;height=120&amp;START_MAXIMIZED=FALSE&amp;creator=factset&amp;display_string=Audit"}</definedName>
    <definedName name="_545__FDSAUDITLINK__" localSheetId="7" hidden="1">{"fdsup://Directions/FactSet Auditing Viewer?action=AUDIT_VALUE&amp;DB=129&amp;ID1=29247520&amp;VALUEID=02001&amp;SDATE=201004&amp;PERIODTYPE=QTR_STD&amp;SCFT=3&amp;window=popup_no_bar&amp;width=385&amp;height=120&amp;START_MAXIMIZED=FALSE&amp;creator=factset&amp;display_string=Audit"}</definedName>
    <definedName name="_545__FDSAUDITLINK__" hidden="1">{"fdsup://Directions/FactSet Auditing Viewer?action=AUDIT_VALUE&amp;DB=129&amp;ID1=29247520&amp;VALUEID=02001&amp;SDATE=201004&amp;PERIODTYPE=QTR_STD&amp;SCFT=3&amp;window=popup_no_bar&amp;width=385&amp;height=120&amp;START_MAXIMIZED=FALSE&amp;creator=factset&amp;display_string=Audit"}</definedName>
    <definedName name="_546__FDSAUDITLINK__" localSheetId="7" hidden="1">{"fdsup://Directions/FactSet Auditing Viewer?action=AUDIT_VALUE&amp;DB=129&amp;ID1=29247520&amp;VALUEID=02001&amp;SDATE=201004&amp;PERIODTYPE=QTR_STD&amp;SCFT=3&amp;window=popup_no_bar&amp;width=385&amp;height=120&amp;START_MAXIMIZED=FALSE&amp;creator=factset&amp;display_string=Audit"}</definedName>
    <definedName name="_546__FDSAUDITLINK__" hidden="1">{"fdsup://Directions/FactSet Auditing Viewer?action=AUDIT_VALUE&amp;DB=129&amp;ID1=29247520&amp;VALUEID=02001&amp;SDATE=201004&amp;PERIODTYPE=QTR_STD&amp;SCFT=3&amp;window=popup_no_bar&amp;width=385&amp;height=120&amp;START_MAXIMIZED=FALSE&amp;creator=factset&amp;display_string=Audit"}</definedName>
    <definedName name="_547__FDSAUDITLINK__" localSheetId="7" hidden="1">{"fdsup://Directions/FactSet Auditing Viewer?action=AUDIT_VALUE&amp;DB=129&amp;ID1=25454310&amp;VALUEID=02001&amp;SDATE=201002&amp;PERIODTYPE=QTR_STD&amp;SCFT=3&amp;window=popup_no_bar&amp;width=385&amp;height=120&amp;START_MAXIMIZED=FALSE&amp;creator=factset&amp;display_string=Audit"}</definedName>
    <definedName name="_547__FDSAUDITLINK__" hidden="1">{"fdsup://Directions/FactSet Auditing Viewer?action=AUDIT_VALUE&amp;DB=129&amp;ID1=25454310&amp;VALUEID=02001&amp;SDATE=201002&amp;PERIODTYPE=QTR_STD&amp;SCFT=3&amp;window=popup_no_bar&amp;width=385&amp;height=120&amp;START_MAXIMIZED=FALSE&amp;creator=factset&amp;display_string=Audit"}</definedName>
    <definedName name="_548__FDSAUDITLINK__" localSheetId="7" hidden="1">{"fdsup://Directions/FactSet Auditing Viewer?action=AUDIT_VALUE&amp;DB=129&amp;ID1=25454310&amp;VALUEID=02001&amp;SDATE=201002&amp;PERIODTYPE=QTR_STD&amp;SCFT=3&amp;window=popup_no_bar&amp;width=385&amp;height=120&amp;START_MAXIMIZED=FALSE&amp;creator=factset&amp;display_string=Audit"}</definedName>
    <definedName name="_548__FDSAUDITLINK__" hidden="1">{"fdsup://Directions/FactSet Auditing Viewer?action=AUDIT_VALUE&amp;DB=129&amp;ID1=25454310&amp;VALUEID=02001&amp;SDATE=201002&amp;PERIODTYPE=QTR_STD&amp;SCFT=3&amp;window=popup_no_bar&amp;width=385&amp;height=120&amp;START_MAXIMIZED=FALSE&amp;creator=factset&amp;display_string=Audit"}</definedName>
    <definedName name="_549__FDSAUDITLINK__" localSheetId="7" hidden="1">{"fdsup://Directions/FactSet Auditing Viewer?action=AUDIT_VALUE&amp;DB=129&amp;ID1=24702R10&amp;VALUEID=02001&amp;SDATE=201002&amp;PERIODTYPE=QTR_STD&amp;SCFT=3&amp;window=popup_no_bar&amp;width=385&amp;height=120&amp;START_MAXIMIZED=FALSE&amp;creator=factset&amp;display_string=Audit"}</definedName>
    <definedName name="_549__FDSAUDITLINK__" hidden="1">{"fdsup://Directions/FactSet Auditing Viewer?action=AUDIT_VALUE&amp;DB=129&amp;ID1=24702R10&amp;VALUEID=02001&amp;SDATE=201002&amp;PERIODTYPE=QTR_STD&amp;SCFT=3&amp;window=popup_no_bar&amp;width=385&amp;height=120&amp;START_MAXIMIZED=FALSE&amp;creator=factset&amp;display_string=Audit"}</definedName>
    <definedName name="_55__FDSAUDITLINK__" localSheetId="7" hidden="1">{"fdsup://Directions/FactSet Auditing Viewer?action=AUDIT_VALUE&amp;DB=129&amp;ID1=67000810&amp;VALUEID=02001&amp;SDATE=201101&amp;PERIODTYPE=QTR_STD&amp;SCFT=3&amp;window=popup_no_bar&amp;width=385&amp;height=120&amp;START_MAXIMIZED=FALSE&amp;creator=factset&amp;display_string=Audit"}</definedName>
    <definedName name="_55__FDSAUDITLINK__" hidden="1">{"fdsup://Directions/FactSet Auditing Viewer?action=AUDIT_VALUE&amp;DB=129&amp;ID1=67000810&amp;VALUEID=02001&amp;SDATE=201101&amp;PERIODTYPE=QTR_STD&amp;SCFT=3&amp;window=popup_no_bar&amp;width=385&amp;height=120&amp;START_MAXIMIZED=FALSE&amp;creator=factset&amp;display_string=Audit"}</definedName>
    <definedName name="_550__FDSAUDITLINK__" localSheetId="7" hidden="1">{"fdsup://Directions/FactSet Auditing Viewer?action=AUDIT_VALUE&amp;DB=129&amp;ID1=24702R10&amp;VALUEID=02001&amp;SDATE=201002&amp;PERIODTYPE=QTR_STD&amp;SCFT=3&amp;window=popup_no_bar&amp;width=385&amp;height=120&amp;START_MAXIMIZED=FALSE&amp;creator=factset&amp;display_string=Audit"}</definedName>
    <definedName name="_550__FDSAUDITLINK__" hidden="1">{"fdsup://Directions/FactSet Auditing Viewer?action=AUDIT_VALUE&amp;DB=129&amp;ID1=24702R10&amp;VALUEID=02001&amp;SDATE=201002&amp;PERIODTYPE=QTR_STD&amp;SCFT=3&amp;window=popup_no_bar&amp;width=385&amp;height=120&amp;START_MAXIMIZED=FALSE&amp;creator=factset&amp;display_string=Audit"}</definedName>
    <definedName name="_551__FDSAUDITLINK__" localSheetId="7" hidden="1">{"fdsup://Directions/FactSet Auditing Viewer?action=AUDIT_VALUE&amp;DB=129&amp;ID1=23257210&amp;VALUEID=02001&amp;SDATE=201002&amp;PERIODTYPE=QTR_STD&amp;SCFT=3&amp;window=popup_no_bar&amp;width=385&amp;height=120&amp;START_MAXIMIZED=FALSE&amp;creator=factset&amp;display_string=Audit"}</definedName>
    <definedName name="_551__FDSAUDITLINK__" hidden="1">{"fdsup://Directions/FactSet Auditing Viewer?action=AUDIT_VALUE&amp;DB=129&amp;ID1=23257210&amp;VALUEID=02001&amp;SDATE=201002&amp;PERIODTYPE=QTR_STD&amp;SCFT=3&amp;window=popup_no_bar&amp;width=385&amp;height=120&amp;START_MAXIMIZED=FALSE&amp;creator=factset&amp;display_string=Audit"}</definedName>
    <definedName name="_552__FDSAUDITLINK__" localSheetId="7" hidden="1">{"fdsup://Directions/FactSet Auditing Viewer?action=AUDIT_VALUE&amp;DB=129&amp;ID1=23257210&amp;VALUEID=02001&amp;SDATE=201002&amp;PERIODTYPE=QTR_STD&amp;SCFT=3&amp;window=popup_no_bar&amp;width=385&amp;height=120&amp;START_MAXIMIZED=FALSE&amp;creator=factset&amp;display_string=Audit"}</definedName>
    <definedName name="_552__FDSAUDITLINK__" hidden="1">{"fdsup://Directions/FactSet Auditing Viewer?action=AUDIT_VALUE&amp;DB=129&amp;ID1=23257210&amp;VALUEID=02001&amp;SDATE=201002&amp;PERIODTYPE=QTR_STD&amp;SCFT=3&amp;window=popup_no_bar&amp;width=385&amp;height=120&amp;START_MAXIMIZED=FALSE&amp;creator=factset&amp;display_string=Audit"}</definedName>
    <definedName name="_553__FDSAUDITLINK__" localSheetId="7" hidden="1">{"fdsup://Directions/FactSet Auditing Viewer?action=AUDIT_VALUE&amp;DB=129&amp;ID1=23280610&amp;VALUEID=02001&amp;SDATE=201002&amp;PERIODTYPE=QTR_STD&amp;SCFT=3&amp;window=popup_no_bar&amp;width=385&amp;height=120&amp;START_MAXIMIZED=FALSE&amp;creator=factset&amp;display_string=Audit"}</definedName>
    <definedName name="_553__FDSAUDITLINK__" hidden="1">{"fdsup://Directions/FactSet Auditing Viewer?action=AUDIT_VALUE&amp;DB=129&amp;ID1=23280610&amp;VALUEID=02001&amp;SDATE=201002&amp;PERIODTYPE=QTR_STD&amp;SCFT=3&amp;window=popup_no_bar&amp;width=385&amp;height=120&amp;START_MAXIMIZED=FALSE&amp;creator=factset&amp;display_string=Audit"}</definedName>
    <definedName name="_554__FDSAUDITLINK__" localSheetId="7" hidden="1">{"fdsup://Directions/FactSet Auditing Viewer?action=AUDIT_VALUE&amp;DB=129&amp;ID1=23280610&amp;VALUEID=02001&amp;SDATE=201002&amp;PERIODTYPE=QTR_STD&amp;SCFT=3&amp;window=popup_no_bar&amp;width=385&amp;height=120&amp;START_MAXIMIZED=FALSE&amp;creator=factset&amp;display_string=Audit"}</definedName>
    <definedName name="_554__FDSAUDITLINK__" hidden="1">{"fdsup://Directions/FactSet Auditing Viewer?action=AUDIT_VALUE&amp;DB=129&amp;ID1=23280610&amp;VALUEID=02001&amp;SDATE=201002&amp;PERIODTYPE=QTR_STD&amp;SCFT=3&amp;window=popup_no_bar&amp;width=385&amp;height=120&amp;START_MAXIMIZED=FALSE&amp;creator=factset&amp;display_string=Audit"}</definedName>
    <definedName name="_555__FDSAUDITLINK__" localSheetId="7" hidden="1">{"fdsup://Directions/FactSet Auditing Viewer?action=AUDIT_VALUE&amp;DB=129&amp;ID1=17275R10&amp;VALUEID=02001&amp;SDATE=201004&amp;PERIODTYPE=QTR_STD&amp;SCFT=3&amp;window=popup_no_bar&amp;width=385&amp;height=120&amp;START_MAXIMIZED=FALSE&amp;creator=factset&amp;display_string=Audit"}</definedName>
    <definedName name="_555__FDSAUDITLINK__" hidden="1">{"fdsup://Directions/FactSet Auditing Viewer?action=AUDIT_VALUE&amp;DB=129&amp;ID1=17275R10&amp;VALUEID=02001&amp;SDATE=201004&amp;PERIODTYPE=QTR_STD&amp;SCFT=3&amp;window=popup_no_bar&amp;width=385&amp;height=120&amp;START_MAXIMIZED=FALSE&amp;creator=factset&amp;display_string=Audit"}</definedName>
    <definedName name="_556__FDSAUDITLINK__" localSheetId="7" hidden="1">{"fdsup://Directions/FactSet Auditing Viewer?action=AUDIT_VALUE&amp;DB=129&amp;ID1=17275R10&amp;VALUEID=02001&amp;SDATE=201004&amp;PERIODTYPE=QTR_STD&amp;SCFT=3&amp;window=popup_no_bar&amp;width=385&amp;height=120&amp;START_MAXIMIZED=FALSE&amp;creator=factset&amp;display_string=Audit"}</definedName>
    <definedName name="_556__FDSAUDITLINK__" hidden="1">{"fdsup://Directions/FactSet Auditing Viewer?action=AUDIT_VALUE&amp;DB=129&amp;ID1=17275R10&amp;VALUEID=02001&amp;SDATE=201004&amp;PERIODTYPE=QTR_STD&amp;SCFT=3&amp;window=popup_no_bar&amp;width=385&amp;height=120&amp;START_MAXIMIZED=FALSE&amp;creator=factset&amp;display_string=Audit"}</definedName>
    <definedName name="_557__FDSAUDITLINK__" localSheetId="7" hidden="1">{"fdsup://Directions/FactSet Auditing Viewer?action=AUDIT_VALUE&amp;DB=129&amp;ID1=22544710&amp;VALUEID=02001&amp;SDATE=201004&amp;PERIODTYPE=QTR_STD&amp;SCFT=3&amp;window=popup_no_bar&amp;width=385&amp;height=120&amp;START_MAXIMIZED=FALSE&amp;creator=factset&amp;display_string=Audit"}</definedName>
    <definedName name="_557__FDSAUDITLINK__" hidden="1">{"fdsup://Directions/FactSet Auditing Viewer?action=AUDIT_VALUE&amp;DB=129&amp;ID1=22544710&amp;VALUEID=02001&amp;SDATE=201004&amp;PERIODTYPE=QTR_STD&amp;SCFT=3&amp;window=popup_no_bar&amp;width=385&amp;height=120&amp;START_MAXIMIZED=FALSE&amp;creator=factset&amp;display_string=Audit"}</definedName>
    <definedName name="_558__FDSAUDITLINK__" localSheetId="7" hidden="1">{"fdsup://Directions/FactSet Auditing Viewer?action=AUDIT_VALUE&amp;DB=129&amp;ID1=22544710&amp;VALUEID=02001&amp;SDATE=201004&amp;PERIODTYPE=QTR_STD&amp;SCFT=3&amp;window=popup_no_bar&amp;width=385&amp;height=120&amp;START_MAXIMIZED=FALSE&amp;creator=factset&amp;display_string=Audit"}</definedName>
    <definedName name="_558__FDSAUDITLINK__" hidden="1">{"fdsup://Directions/FactSet Auditing Viewer?action=AUDIT_VALUE&amp;DB=129&amp;ID1=22544710&amp;VALUEID=02001&amp;SDATE=201004&amp;PERIODTYPE=QTR_STD&amp;SCFT=3&amp;window=popup_no_bar&amp;width=385&amp;height=120&amp;START_MAXIMIZED=FALSE&amp;creator=factset&amp;display_string=Audit"}</definedName>
    <definedName name="_559__FDSAUDITLINK__" localSheetId="7" hidden="1">{"fdsup://Directions/FactSet Auditing Viewer?action=AUDIT_VALUE&amp;DB=129&amp;ID1=20714230&amp;VALUEID=02001&amp;SDATE=201003&amp;PERIODTYPE=QTR_STD&amp;SCFT=3&amp;window=popup_no_bar&amp;width=385&amp;height=120&amp;START_MAXIMIZED=FALSE&amp;creator=factset&amp;display_string=Audit"}</definedName>
    <definedName name="_559__FDSAUDITLINK__" hidden="1">{"fdsup://Directions/FactSet Auditing Viewer?action=AUDIT_VALUE&amp;DB=129&amp;ID1=20714230&amp;VALUEID=02001&amp;SDATE=201003&amp;PERIODTYPE=QTR_STD&amp;SCFT=3&amp;window=popup_no_bar&amp;width=385&amp;height=120&amp;START_MAXIMIZED=FALSE&amp;creator=factset&amp;display_string=Audit"}</definedName>
    <definedName name="_56__FDSAUDITLINK__" localSheetId="7" hidden="1">{"fdsup://Directions/FactSet Auditing Viewer?action=AUDIT_VALUE&amp;DB=129&amp;ID1=67000810&amp;VALUEID=02001&amp;SDATE=201101&amp;PERIODTYPE=QTR_STD&amp;SCFT=3&amp;window=popup_no_bar&amp;width=385&amp;height=120&amp;START_MAXIMIZED=FALSE&amp;creator=factset&amp;display_string=Audit"}</definedName>
    <definedName name="_56__FDSAUDITLINK__" hidden="1">{"fdsup://Directions/FactSet Auditing Viewer?action=AUDIT_VALUE&amp;DB=129&amp;ID1=67000810&amp;VALUEID=02001&amp;SDATE=201101&amp;PERIODTYPE=QTR_STD&amp;SCFT=3&amp;window=popup_no_bar&amp;width=385&amp;height=120&amp;START_MAXIMIZED=FALSE&amp;creator=factset&amp;display_string=Audit"}</definedName>
    <definedName name="_560__FDSAUDITLINK__" localSheetId="7" hidden="1">{"fdsup://Directions/FactSet Auditing Viewer?action=AUDIT_VALUE&amp;DB=129&amp;ID1=20714230&amp;VALUEID=02001&amp;SDATE=201003&amp;PERIODTYPE=QTR_STD&amp;SCFT=3&amp;window=popup_no_bar&amp;width=385&amp;height=120&amp;START_MAXIMIZED=FALSE&amp;creator=factset&amp;display_string=Audit"}</definedName>
    <definedName name="_560__FDSAUDITLINK__" hidden="1">{"fdsup://Directions/FactSet Auditing Viewer?action=AUDIT_VALUE&amp;DB=129&amp;ID1=20714230&amp;VALUEID=02001&amp;SDATE=201003&amp;PERIODTYPE=QTR_STD&amp;SCFT=3&amp;window=popup_no_bar&amp;width=385&amp;height=120&amp;START_MAXIMIZED=FALSE&amp;creator=factset&amp;display_string=Audit"}</definedName>
    <definedName name="_561__FDSAUDITLINK__" localSheetId="7" hidden="1">{"fdsup://Directions/FactSet Auditing Viewer?action=AUDIT_VALUE&amp;DB=129&amp;ID1=12738710&amp;VALUEID=02001&amp;SDATE=201002&amp;PERIODTYPE=QTR_STD&amp;SCFT=3&amp;window=popup_no_bar&amp;width=385&amp;height=120&amp;START_MAXIMIZED=FALSE&amp;creator=factset&amp;display_string=Audit"}</definedName>
    <definedName name="_561__FDSAUDITLINK__" hidden="1">{"fdsup://Directions/FactSet Auditing Viewer?action=AUDIT_VALUE&amp;DB=129&amp;ID1=12738710&amp;VALUEID=02001&amp;SDATE=201002&amp;PERIODTYPE=QTR_STD&amp;SCFT=3&amp;window=popup_no_bar&amp;width=385&amp;height=120&amp;START_MAXIMIZED=FALSE&amp;creator=factset&amp;display_string=Audit"}</definedName>
    <definedName name="_562__FDSAUDITLINK__" localSheetId="7" hidden="1">{"fdsup://Directions/FactSet Auditing Viewer?action=AUDIT_VALUE&amp;DB=129&amp;ID1=12738710&amp;VALUEID=02001&amp;SDATE=201002&amp;PERIODTYPE=QTR_STD&amp;SCFT=3&amp;window=popup_no_bar&amp;width=385&amp;height=120&amp;START_MAXIMIZED=FALSE&amp;creator=factset&amp;display_string=Audit"}</definedName>
    <definedName name="_562__FDSAUDITLINK__" hidden="1">{"fdsup://Directions/FactSet Auditing Viewer?action=AUDIT_VALUE&amp;DB=129&amp;ID1=12738710&amp;VALUEID=02001&amp;SDATE=201002&amp;PERIODTYPE=QTR_STD&amp;SCFT=3&amp;window=popup_no_bar&amp;width=385&amp;height=120&amp;START_MAXIMIZED=FALSE&amp;creator=factset&amp;display_string=Audit"}</definedName>
    <definedName name="_563__FDSAUDITLINK__" localSheetId="7" hidden="1">{"fdsup://Directions/FactSet Auditing Viewer?action=AUDIT_VALUE&amp;DB=129&amp;ID1=14964U10&amp;VALUEID=02001&amp;SDATE=201002&amp;PERIODTYPE=QTR_STD&amp;SCFT=3&amp;window=popup_no_bar&amp;width=385&amp;height=120&amp;START_MAXIMIZED=FALSE&amp;creator=factset&amp;display_string=Audit"}</definedName>
    <definedName name="_563__FDSAUDITLINK__" hidden="1">{"fdsup://Directions/FactSet Auditing Viewer?action=AUDIT_VALUE&amp;DB=129&amp;ID1=14964U10&amp;VALUEID=02001&amp;SDATE=201002&amp;PERIODTYPE=QTR_STD&amp;SCFT=3&amp;window=popup_no_bar&amp;width=385&amp;height=120&amp;START_MAXIMIZED=FALSE&amp;creator=factset&amp;display_string=Audit"}</definedName>
    <definedName name="_564__FDSAUDITLINK__" localSheetId="7" hidden="1">{"fdsup://Directions/FactSet Auditing Viewer?action=AUDIT_VALUE&amp;DB=129&amp;ID1=14964U10&amp;VALUEID=02001&amp;SDATE=201002&amp;PERIODTYPE=QTR_STD&amp;SCFT=3&amp;window=popup_no_bar&amp;width=385&amp;height=120&amp;START_MAXIMIZED=FALSE&amp;creator=factset&amp;display_string=Audit"}</definedName>
    <definedName name="_564__FDSAUDITLINK__" hidden="1">{"fdsup://Directions/FactSet Auditing Viewer?action=AUDIT_VALUE&amp;DB=129&amp;ID1=14964U10&amp;VALUEID=02001&amp;SDATE=201002&amp;PERIODTYPE=QTR_STD&amp;SCFT=3&amp;window=popup_no_bar&amp;width=385&amp;height=120&amp;START_MAXIMIZED=FALSE&amp;creator=factset&amp;display_string=Audit"}</definedName>
    <definedName name="_565__FDSAUDITLINK__" localSheetId="7" hidden="1">{"fdsup://Directions/FactSet Auditing Viewer?action=AUDIT_VALUE&amp;DB=129&amp;ID1=11162130&amp;VALUEID=02001&amp;SDATE=201003&amp;PERIODTYPE=QTR_STD&amp;SCFT=3&amp;window=popup_no_bar&amp;width=385&amp;height=120&amp;START_MAXIMIZED=FALSE&amp;creator=factset&amp;display_string=Audit"}</definedName>
    <definedName name="_565__FDSAUDITLINK__" hidden="1">{"fdsup://Directions/FactSet Auditing Viewer?action=AUDIT_VALUE&amp;DB=129&amp;ID1=11162130&amp;VALUEID=02001&amp;SDATE=201003&amp;PERIODTYPE=QTR_STD&amp;SCFT=3&amp;window=popup_no_bar&amp;width=385&amp;height=120&amp;START_MAXIMIZED=FALSE&amp;creator=factset&amp;display_string=Audit"}</definedName>
    <definedName name="_566__FDSAUDITLINK__" localSheetId="7" hidden="1">{"fdsup://Directions/FactSet Auditing Viewer?action=AUDIT_VALUE&amp;DB=129&amp;ID1=11162130&amp;VALUEID=02001&amp;SDATE=201003&amp;PERIODTYPE=QTR_STD&amp;SCFT=3&amp;window=popup_no_bar&amp;width=385&amp;height=120&amp;START_MAXIMIZED=FALSE&amp;creator=factset&amp;display_string=Audit"}</definedName>
    <definedName name="_566__FDSAUDITLINK__" hidden="1">{"fdsup://Directions/FactSet Auditing Viewer?action=AUDIT_VALUE&amp;DB=129&amp;ID1=11162130&amp;VALUEID=02001&amp;SDATE=201003&amp;PERIODTYPE=QTR_STD&amp;SCFT=3&amp;window=popup_no_bar&amp;width=385&amp;height=120&amp;START_MAXIMIZED=FALSE&amp;creator=factset&amp;display_string=Audit"}</definedName>
    <definedName name="_567__FDSAUDITLINK__" localSheetId="7" hidden="1">{"fdsup://Directions/FactSet Auditing Viewer?action=AUDIT_VALUE&amp;DB=129&amp;ID1=Y0486S10&amp;VALUEID=02001&amp;SDATE=201003&amp;PERIODTYPE=QTR_STD&amp;SCFT=3&amp;window=popup_no_bar&amp;width=385&amp;height=120&amp;START_MAXIMIZED=FALSE&amp;creator=factset&amp;display_string=Audit"}</definedName>
    <definedName name="_567__FDSAUDITLINK__" hidden="1">{"fdsup://Directions/FactSet Auditing Viewer?action=AUDIT_VALUE&amp;DB=129&amp;ID1=Y0486S10&amp;VALUEID=02001&amp;SDATE=201003&amp;PERIODTYPE=QTR_STD&amp;SCFT=3&amp;window=popup_no_bar&amp;width=385&amp;height=120&amp;START_MAXIMIZED=FALSE&amp;creator=factset&amp;display_string=Audit"}</definedName>
    <definedName name="_568__FDSAUDITLINK__" localSheetId="7" hidden="1">{"fdsup://Directions/FactSet Auditing Viewer?action=AUDIT_VALUE&amp;DB=129&amp;ID1=Y0486S10&amp;VALUEID=02001&amp;SDATE=201003&amp;PERIODTYPE=QTR_STD&amp;SCFT=3&amp;window=popup_no_bar&amp;width=385&amp;height=120&amp;START_MAXIMIZED=FALSE&amp;creator=factset&amp;display_string=Audit"}</definedName>
    <definedName name="_568__FDSAUDITLINK__" hidden="1">{"fdsup://Directions/FactSet Auditing Viewer?action=AUDIT_VALUE&amp;DB=129&amp;ID1=Y0486S10&amp;VALUEID=02001&amp;SDATE=201003&amp;PERIODTYPE=QTR_STD&amp;SCFT=3&amp;window=popup_no_bar&amp;width=385&amp;height=120&amp;START_MAXIMIZED=FALSE&amp;creator=factset&amp;display_string=Audit"}</definedName>
    <definedName name="_569__FDSAUDITLINK__" localSheetId="7" hidden="1">{"fdsup://Directions/FactSet Auditing Viewer?action=AUDIT_VALUE&amp;DB=129&amp;ID1=04743P10&amp;VALUEID=02001&amp;SDATE=201002&amp;PERIODTYPE=QTR_STD&amp;SCFT=3&amp;window=popup_no_bar&amp;width=385&amp;height=120&amp;START_MAXIMIZED=FALSE&amp;creator=factset&amp;display_string=Audit"}</definedName>
    <definedName name="_569__FDSAUDITLINK__" hidden="1">{"fdsup://Directions/FactSet Auditing Viewer?action=AUDIT_VALUE&amp;DB=129&amp;ID1=04743P10&amp;VALUEID=02001&amp;SDATE=201002&amp;PERIODTYPE=QTR_STD&amp;SCFT=3&amp;window=popup_no_bar&amp;width=385&amp;height=120&amp;START_MAXIMIZED=FALSE&amp;creator=factset&amp;display_string=Audit"}</definedName>
    <definedName name="_57__FDSAUDITLINK__" localSheetId="7" hidden="1">{"fdsup://Directions/FactSet Auditing Viewer?action=AUDIT_VALUE&amp;DB=129&amp;ID1=67066G10&amp;VALUEID=02001&amp;SDATE=201101&amp;PERIODTYPE=QTR_STD&amp;SCFT=3&amp;window=popup_no_bar&amp;width=385&amp;height=120&amp;START_MAXIMIZED=FALSE&amp;creator=factset&amp;display_string=Audit"}</definedName>
    <definedName name="_57__FDSAUDITLINK__" hidden="1">{"fdsup://Directions/FactSet Auditing Viewer?action=AUDIT_VALUE&amp;DB=129&amp;ID1=67066G10&amp;VALUEID=02001&amp;SDATE=201101&amp;PERIODTYPE=QTR_STD&amp;SCFT=3&amp;window=popup_no_bar&amp;width=385&amp;height=120&amp;START_MAXIMIZED=FALSE&amp;creator=factset&amp;display_string=Audit"}</definedName>
    <definedName name="_570__FDSAUDITLINK__" localSheetId="7" hidden="1">{"fdsup://Directions/FactSet Auditing Viewer?action=AUDIT_VALUE&amp;DB=129&amp;ID1=04743P10&amp;VALUEID=02001&amp;SDATE=201002&amp;PERIODTYPE=QTR_STD&amp;SCFT=3&amp;window=popup_no_bar&amp;width=385&amp;height=120&amp;START_MAXIMIZED=FALSE&amp;creator=factset&amp;display_string=Audit"}</definedName>
    <definedName name="_570__FDSAUDITLINK__" hidden="1">{"fdsup://Directions/FactSet Auditing Viewer?action=AUDIT_VALUE&amp;DB=129&amp;ID1=04743P10&amp;VALUEID=02001&amp;SDATE=201002&amp;PERIODTYPE=QTR_STD&amp;SCFT=3&amp;window=popup_no_bar&amp;width=385&amp;height=120&amp;START_MAXIMIZED=FALSE&amp;creator=factset&amp;display_string=Audit"}</definedName>
    <definedName name="_571__FDSAUDITLINK__" localSheetId="7" hidden="1">{"fdsup://Directions/FactSet Auditing Viewer?action=AUDIT_VALUE&amp;DB=129&amp;ID1=03251510&amp;VALUEID=02001&amp;SDATE=201002&amp;PERIODTYPE=QTR_STD&amp;SCFT=3&amp;window=popup_no_bar&amp;width=385&amp;height=120&amp;START_MAXIMIZED=FALSE&amp;creator=factset&amp;display_string=Audit"}</definedName>
    <definedName name="_571__FDSAUDITLINK__" hidden="1">{"fdsup://Directions/FactSet Auditing Viewer?action=AUDIT_VALUE&amp;DB=129&amp;ID1=03251510&amp;VALUEID=02001&amp;SDATE=201002&amp;PERIODTYPE=QTR_STD&amp;SCFT=3&amp;window=popup_no_bar&amp;width=385&amp;height=120&amp;START_MAXIMIZED=FALSE&amp;creator=factset&amp;display_string=Audit"}</definedName>
    <definedName name="_572__FDSAUDITLINK__" localSheetId="7" hidden="1">{"fdsup://Directions/FactSet Auditing Viewer?action=AUDIT_VALUE&amp;DB=129&amp;ID1=03251510&amp;VALUEID=02001&amp;SDATE=201002&amp;PERIODTYPE=QTR_STD&amp;SCFT=3&amp;window=popup_no_bar&amp;width=385&amp;height=120&amp;START_MAXIMIZED=FALSE&amp;creator=factset&amp;display_string=Audit"}</definedName>
    <definedName name="_572__FDSAUDITLINK__" hidden="1">{"fdsup://Directions/FactSet Auditing Viewer?action=AUDIT_VALUE&amp;DB=129&amp;ID1=03251510&amp;VALUEID=02001&amp;SDATE=201002&amp;PERIODTYPE=QTR_STD&amp;SCFT=3&amp;window=popup_no_bar&amp;width=385&amp;height=120&amp;START_MAXIMIZED=FALSE&amp;creator=factset&amp;display_string=Audit"}</definedName>
    <definedName name="_573__FDSAUDITLINK__" localSheetId="7" hidden="1">{"fdsup://Directions/FactSet Auditing Viewer?action=AUDIT_VALUE&amp;DB=129&amp;ID1=00790310&amp;VALUEID=02001&amp;SDATE=201002&amp;PERIODTYPE=QTR_STD&amp;SCFT=3&amp;window=popup_no_bar&amp;width=385&amp;height=120&amp;START_MAXIMIZED=FALSE&amp;creator=factset&amp;display_string=Audit"}</definedName>
    <definedName name="_573__FDSAUDITLINK__" hidden="1">{"fdsup://Directions/FactSet Auditing Viewer?action=AUDIT_VALUE&amp;DB=129&amp;ID1=00790310&amp;VALUEID=02001&amp;SDATE=201002&amp;PERIODTYPE=QTR_STD&amp;SCFT=3&amp;window=popup_no_bar&amp;width=385&amp;height=120&amp;START_MAXIMIZED=FALSE&amp;creator=factset&amp;display_string=Audit"}</definedName>
    <definedName name="_574__FDSAUDITLINK__" localSheetId="7" hidden="1">{"fdsup://Directions/FactSet Auditing Viewer?action=AUDIT_VALUE&amp;DB=129&amp;ID1=00790310&amp;VALUEID=02001&amp;SDATE=201002&amp;PERIODTYPE=QTR_STD&amp;SCFT=3&amp;window=popup_no_bar&amp;width=385&amp;height=120&amp;START_MAXIMIZED=FALSE&amp;creator=factset&amp;display_string=Audit"}</definedName>
    <definedName name="_574__FDSAUDITLINK__" hidden="1">{"fdsup://Directions/FactSet Auditing Viewer?action=AUDIT_VALUE&amp;DB=129&amp;ID1=00790310&amp;VALUEID=02001&amp;SDATE=201002&amp;PERIODTYPE=QTR_STD&amp;SCFT=3&amp;window=popup_no_bar&amp;width=385&amp;height=120&amp;START_MAXIMIZED=FALSE&amp;creator=factset&amp;display_string=Audit"}</definedName>
    <definedName name="_575__FDSAUDITLINK__" localSheetId="7" hidden="1">{"fdsup://Directions/FactSet Auditing Viewer?action=AUDIT_VALUE&amp;DB=129&amp;ID1=03822W40&amp;VALUEID=02001&amp;SDATE=201001&amp;PERIODTYPE=QTR_STD&amp;SCFT=3&amp;window=popup_no_bar&amp;width=385&amp;height=120&amp;START_MAXIMIZED=FALSE&amp;creator=factset&amp;display_string=Audit"}</definedName>
    <definedName name="_575__FDSAUDITLINK__" hidden="1">{"fdsup://Directions/FactSet Auditing Viewer?action=AUDIT_VALUE&amp;DB=129&amp;ID1=03822W40&amp;VALUEID=02001&amp;SDATE=201001&amp;PERIODTYPE=QTR_STD&amp;SCFT=3&amp;window=popup_no_bar&amp;width=385&amp;height=120&amp;START_MAXIMIZED=FALSE&amp;creator=factset&amp;display_string=Audit"}</definedName>
    <definedName name="_576__FDSAUDITLINK__" localSheetId="7" hidden="1">{"fdsup://Directions/FactSet Auditing Viewer?action=AUDIT_VALUE&amp;DB=129&amp;ID1=03822W40&amp;VALUEID=02001&amp;SDATE=201001&amp;PERIODTYPE=QTR_STD&amp;SCFT=3&amp;window=popup_no_bar&amp;width=385&amp;height=120&amp;START_MAXIMIZED=FALSE&amp;creator=factset&amp;display_string=Audit"}</definedName>
    <definedName name="_576__FDSAUDITLINK__" hidden="1">{"fdsup://Directions/FactSet Auditing Viewer?action=AUDIT_VALUE&amp;DB=129&amp;ID1=03822W40&amp;VALUEID=02001&amp;SDATE=201001&amp;PERIODTYPE=QTR_STD&amp;SCFT=3&amp;window=popup_no_bar&amp;width=385&amp;height=120&amp;START_MAXIMIZED=FALSE&amp;creator=factset&amp;display_string=Audit"}</definedName>
    <definedName name="_577__FDSAUDITLINK__" localSheetId="7" hidden="1">{"fdsup://Directions/FactSet Auditing Viewer?action=AUDIT_VALUE&amp;DB=129&amp;ID1=03822210&amp;VALUEID=02001&amp;SDATE=201003&amp;PERIODTYPE=QTR_STD&amp;SCFT=3&amp;window=popup_no_bar&amp;width=385&amp;height=120&amp;START_MAXIMIZED=FALSE&amp;creator=factset&amp;display_string=Audit"}</definedName>
    <definedName name="_577__FDSAUDITLINK__" hidden="1">{"fdsup://Directions/FactSet Auditing Viewer?action=AUDIT_VALUE&amp;DB=129&amp;ID1=03822210&amp;VALUEID=02001&amp;SDATE=201003&amp;PERIODTYPE=QTR_STD&amp;SCFT=3&amp;window=popup_no_bar&amp;width=385&amp;height=120&amp;START_MAXIMIZED=FALSE&amp;creator=factset&amp;display_string=Audit"}</definedName>
    <definedName name="_578__FDSAUDITLINK__" localSheetId="7" hidden="1">{"fdsup://Directions/FactSet Auditing Viewer?action=AUDIT_VALUE&amp;DB=129&amp;ID1=03822210&amp;VALUEID=02001&amp;SDATE=201003&amp;PERIODTYPE=QTR_STD&amp;SCFT=3&amp;window=popup_no_bar&amp;width=385&amp;height=120&amp;START_MAXIMIZED=FALSE&amp;creator=factset&amp;display_string=Audit"}</definedName>
    <definedName name="_578__FDSAUDITLINK__" hidden="1">{"fdsup://Directions/FactSet Auditing Viewer?action=AUDIT_VALUE&amp;DB=129&amp;ID1=03822210&amp;VALUEID=02001&amp;SDATE=201003&amp;PERIODTYPE=QTR_STD&amp;SCFT=3&amp;window=popup_no_bar&amp;width=385&amp;height=120&amp;START_MAXIMIZED=FALSE&amp;creator=factset&amp;display_string=Audit"}</definedName>
    <definedName name="_579__FDSAUDITLINK__" localSheetId="7" hidden="1">{"fdsup://Directions/FactSet Auditing Viewer?action=AUDIT_VALUE&amp;DB=129&amp;ID1=02144110&amp;VALUEID=02001&amp;SDATE=201002&amp;PERIODTYPE=QTR_STD&amp;SCFT=3&amp;window=popup_no_bar&amp;width=385&amp;height=120&amp;START_MAXIMIZED=FALSE&amp;creator=factset&amp;display_string=Audit"}</definedName>
    <definedName name="_579__FDSAUDITLINK__" hidden="1">{"fdsup://Directions/FactSet Auditing Viewer?action=AUDIT_VALUE&amp;DB=129&amp;ID1=02144110&amp;VALUEID=02001&amp;SDATE=201002&amp;PERIODTYPE=QTR_STD&amp;SCFT=3&amp;window=popup_no_bar&amp;width=385&amp;height=120&amp;START_MAXIMIZED=FALSE&amp;creator=factset&amp;display_string=Audit"}</definedName>
    <definedName name="_58__FDSAUDITLINK__" localSheetId="7" hidden="1">{"fdsup://Directions/FactSet Auditing Viewer?action=AUDIT_VALUE&amp;DB=129&amp;ID1=67066G10&amp;VALUEID=02001&amp;SDATE=201101&amp;PERIODTYPE=QTR_STD&amp;SCFT=3&amp;window=popup_no_bar&amp;width=385&amp;height=120&amp;START_MAXIMIZED=FALSE&amp;creator=factset&amp;display_string=Audit"}</definedName>
    <definedName name="_58__FDSAUDITLINK__" hidden="1">{"fdsup://Directions/FactSet Auditing Viewer?action=AUDIT_VALUE&amp;DB=129&amp;ID1=67066G10&amp;VALUEID=02001&amp;SDATE=201101&amp;PERIODTYPE=QTR_STD&amp;SCFT=3&amp;window=popup_no_bar&amp;width=385&amp;height=120&amp;START_MAXIMIZED=FALSE&amp;creator=factset&amp;display_string=Audit"}</definedName>
    <definedName name="_580__FDSAUDITLINK__" localSheetId="7" hidden="1">{"fdsup://Directions/FactSet Auditing Viewer?action=AUDIT_VALUE&amp;DB=129&amp;ID1=02144110&amp;VALUEID=02001&amp;SDATE=201002&amp;PERIODTYPE=QTR_STD&amp;SCFT=3&amp;window=popup_no_bar&amp;width=385&amp;height=120&amp;START_MAXIMIZED=FALSE&amp;creator=factset&amp;display_string=Audit"}</definedName>
    <definedName name="_580__FDSAUDITLINK__" hidden="1">{"fdsup://Directions/FactSet Auditing Viewer?action=AUDIT_VALUE&amp;DB=129&amp;ID1=02144110&amp;VALUEID=02001&amp;SDATE=201002&amp;PERIODTYPE=QTR_STD&amp;SCFT=3&amp;window=popup_no_bar&amp;width=385&amp;height=120&amp;START_MAXIMIZED=FALSE&amp;creator=factset&amp;display_string=Audit"}</definedName>
    <definedName name="_581__FDSAUDITLINK__" localSheetId="7" hidden="1">{"fdsup://Directions/FactSet Auditing Viewer?action=AUDIT_VALUE&amp;DB=129&amp;ID1=03265410&amp;VALUEID=02001&amp;SDATE=201003&amp;PERIODTYPE=QTR_STD&amp;SCFT=3&amp;window=popup_no_bar&amp;width=385&amp;height=120&amp;START_MAXIMIZED=FALSE&amp;creator=factset&amp;display_string=Audit"}</definedName>
    <definedName name="_581__FDSAUDITLINK__" hidden="1">{"fdsup://Directions/FactSet Auditing Viewer?action=AUDIT_VALUE&amp;DB=129&amp;ID1=03265410&amp;VALUEID=02001&amp;SDATE=201003&amp;PERIODTYPE=QTR_STD&amp;SCFT=3&amp;window=popup_no_bar&amp;width=385&amp;height=120&amp;START_MAXIMIZED=FALSE&amp;creator=factset&amp;display_string=Audit"}</definedName>
    <definedName name="_582__FDSAUDITLINK__" localSheetId="7" hidden="1">{"fdsup://Directions/FactSet Auditing Viewer?action=AUDIT_VALUE&amp;DB=129&amp;ID1=03265410&amp;VALUEID=02001&amp;SDATE=201003&amp;PERIODTYPE=QTR_STD&amp;SCFT=3&amp;window=popup_no_bar&amp;width=385&amp;height=120&amp;START_MAXIMIZED=FALSE&amp;creator=factset&amp;display_string=Audit"}</definedName>
    <definedName name="_582__FDSAUDITLINK__" hidden="1">{"fdsup://Directions/FactSet Auditing Viewer?action=AUDIT_VALUE&amp;DB=129&amp;ID1=03265410&amp;VALUEID=02001&amp;SDATE=201003&amp;PERIODTYPE=QTR_STD&amp;SCFT=3&amp;window=popup_no_bar&amp;width=385&amp;height=120&amp;START_MAXIMIZED=FALSE&amp;creator=factset&amp;display_string=Audit"}</definedName>
    <definedName name="_583__FDSAUDITLINK__" localSheetId="7" hidden="1">{"fdsup://Directions/FactSet Auditing Viewer?action=AUDIT_VALUE&amp;DB=129&amp;ID1=00752J10&amp;VALUEID=02001&amp;SDATE=201002&amp;PERIODTYPE=QTR_STD&amp;SCFT=3&amp;window=popup_no_bar&amp;width=385&amp;height=120&amp;START_MAXIMIZED=FALSE&amp;creator=factset&amp;display_string=Audit"}</definedName>
    <definedName name="_583__FDSAUDITLINK__" hidden="1">{"fdsup://Directions/FactSet Auditing Viewer?action=AUDIT_VALUE&amp;DB=129&amp;ID1=00752J10&amp;VALUEID=02001&amp;SDATE=201002&amp;PERIODTYPE=QTR_STD&amp;SCFT=3&amp;window=popup_no_bar&amp;width=385&amp;height=120&amp;START_MAXIMIZED=FALSE&amp;creator=factset&amp;display_string=Audit"}</definedName>
    <definedName name="_584__FDSAUDITLINK__" localSheetId="7" hidden="1">{"fdsup://Directions/FactSet Auditing Viewer?action=AUDIT_VALUE&amp;DB=129&amp;ID1=00752J10&amp;VALUEID=02001&amp;SDATE=201002&amp;PERIODTYPE=QTR_STD&amp;SCFT=3&amp;window=popup_no_bar&amp;width=385&amp;height=120&amp;START_MAXIMIZED=FALSE&amp;creator=factset&amp;display_string=Audit"}</definedName>
    <definedName name="_584__FDSAUDITLINK__" hidden="1">{"fdsup://Directions/FactSet Auditing Viewer?action=AUDIT_VALUE&amp;DB=129&amp;ID1=00752J10&amp;VALUEID=02001&amp;SDATE=201002&amp;PERIODTYPE=QTR_STD&amp;SCFT=3&amp;window=popup_no_bar&amp;width=385&amp;height=120&amp;START_MAXIMIZED=FALSE&amp;creator=factset&amp;display_string=Audit"}</definedName>
    <definedName name="_585__FDSAUDITLINK__" localSheetId="7" hidden="1">{"fdsup://Directions/FactSet Auditing Viewer?action=AUDIT_VALUE&amp;DB=129&amp;ID1=98975F10&amp;VALUEID=02001&amp;SDATE=201001&amp;PERIODTYPE=QTR_STD&amp;SCFT=3&amp;window=popup_no_bar&amp;width=385&amp;height=120&amp;START_MAXIMIZED=FALSE&amp;creator=factset&amp;display_string=Audit"}</definedName>
    <definedName name="_585__FDSAUDITLINK__" hidden="1">{"fdsup://Directions/FactSet Auditing Viewer?action=AUDIT_VALUE&amp;DB=129&amp;ID1=98975F10&amp;VALUEID=02001&amp;SDATE=201001&amp;PERIODTYPE=QTR_STD&amp;SCFT=3&amp;window=popup_no_bar&amp;width=385&amp;height=120&amp;START_MAXIMIZED=FALSE&amp;creator=factset&amp;display_string=Audit"}</definedName>
    <definedName name="_586__FDSAUDITLINK__" localSheetId="7" hidden="1">{"fdsup://Directions/FactSet Auditing Viewer?action=AUDIT_VALUE&amp;DB=129&amp;ID1=98975F10&amp;VALUEID=02001&amp;SDATE=201001&amp;PERIODTYPE=QTR_STD&amp;SCFT=3&amp;window=popup_no_bar&amp;width=385&amp;height=120&amp;START_MAXIMIZED=FALSE&amp;creator=factset&amp;display_string=Audit"}</definedName>
    <definedName name="_586__FDSAUDITLINK__" hidden="1">{"fdsup://Directions/FactSet Auditing Viewer?action=AUDIT_VALUE&amp;DB=129&amp;ID1=98975F10&amp;VALUEID=02001&amp;SDATE=201001&amp;PERIODTYPE=QTR_STD&amp;SCFT=3&amp;window=popup_no_bar&amp;width=385&amp;height=120&amp;START_MAXIMIZED=FALSE&amp;creator=factset&amp;display_string=Audit"}</definedName>
    <definedName name="_587__FDSAUDITLINK__" localSheetId="7" hidden="1">{"fdsup://Directions/FactSet Auditing Viewer?action=AUDIT_VALUE&amp;DB=129&amp;ID1=95810210&amp;VALUEID=02001&amp;SDATE=201003&amp;PERIODTYPE=QTR_STD&amp;SCFT=3&amp;window=popup_no_bar&amp;width=385&amp;height=120&amp;START_MAXIMIZED=FALSE&amp;creator=factset&amp;display_string=Audit"}</definedName>
    <definedName name="_587__FDSAUDITLINK__" hidden="1">{"fdsup://Directions/FactSet Auditing Viewer?action=AUDIT_VALUE&amp;DB=129&amp;ID1=95810210&amp;VALUEID=02001&amp;SDATE=201003&amp;PERIODTYPE=QTR_STD&amp;SCFT=3&amp;window=popup_no_bar&amp;width=385&amp;height=120&amp;START_MAXIMIZED=FALSE&amp;creator=factset&amp;display_string=Audit"}</definedName>
    <definedName name="_588__FDSAUDITLINK__" localSheetId="7" hidden="1">{"fdsup://Directions/FactSet Auditing Viewer?action=AUDIT_VALUE&amp;DB=129&amp;ID1=95810210&amp;VALUEID=02001&amp;SDATE=201003&amp;PERIODTYPE=QTR_STD&amp;SCFT=3&amp;window=popup_no_bar&amp;width=385&amp;height=120&amp;START_MAXIMIZED=FALSE&amp;creator=factset&amp;display_string=Audit"}</definedName>
    <definedName name="_588__FDSAUDITLINK__" hidden="1">{"fdsup://Directions/FactSet Auditing Viewer?action=AUDIT_VALUE&amp;DB=129&amp;ID1=95810210&amp;VALUEID=02001&amp;SDATE=201003&amp;PERIODTYPE=QTR_STD&amp;SCFT=3&amp;window=popup_no_bar&amp;width=385&amp;height=120&amp;START_MAXIMIZED=FALSE&amp;creator=factset&amp;display_string=Audit"}</definedName>
    <definedName name="_589__FDSAUDITLINK__" localSheetId="7" hidden="1">{"fdsup://Directions/FactSet Auditing Viewer?action=AUDIT_VALUE&amp;DB=129&amp;ID1=92849730&amp;VALUEID=02001&amp;SDATE=201002&amp;PERIODTYPE=QTR_STD&amp;SCFT=3&amp;window=popup_no_bar&amp;width=385&amp;height=120&amp;START_MAXIMIZED=FALSE&amp;creator=factset&amp;display_string=Audit"}</definedName>
    <definedName name="_589__FDSAUDITLINK__" hidden="1">{"fdsup://Directions/FactSet Auditing Viewer?action=AUDIT_VALUE&amp;DB=129&amp;ID1=92849730&amp;VALUEID=02001&amp;SDATE=201002&amp;PERIODTYPE=QTR_STD&amp;SCFT=3&amp;window=popup_no_bar&amp;width=385&amp;height=120&amp;START_MAXIMIZED=FALSE&amp;creator=factset&amp;display_string=Audit"}</definedName>
    <definedName name="_59__FDSAUDITLINK__" localSheetId="7" hidden="1">{"fdsup://Directions/FactSet Auditing Viewer?action=AUDIT_VALUE&amp;DB=129&amp;ID1=63764010&amp;VALUEID=02001&amp;SDATE=201003&amp;PERIODTYPE=QTR_STD&amp;SCFT=3&amp;window=popup_no_bar&amp;width=385&amp;height=120&amp;START_MAXIMIZED=FALSE&amp;creator=factset&amp;display_string=Audit"}</definedName>
    <definedName name="_59__FDSAUDITLINK__" hidden="1">{"fdsup://Directions/FactSet Auditing Viewer?action=AUDIT_VALUE&amp;DB=129&amp;ID1=63764010&amp;VALUEID=02001&amp;SDATE=201003&amp;PERIODTYPE=QTR_STD&amp;SCFT=3&amp;window=popup_no_bar&amp;width=385&amp;height=120&amp;START_MAXIMIZED=FALSE&amp;creator=factset&amp;display_string=Audit"}</definedName>
    <definedName name="_590__FDSAUDITLINK__" localSheetId="7" hidden="1">{"fdsup://Directions/FactSet Auditing Viewer?action=AUDIT_VALUE&amp;DB=129&amp;ID1=92849730&amp;VALUEID=02001&amp;SDATE=201002&amp;PERIODTYPE=QTR_STD&amp;SCFT=3&amp;window=popup_no_bar&amp;width=385&amp;height=120&amp;START_MAXIMIZED=FALSE&amp;creator=factset&amp;display_string=Audit"}</definedName>
    <definedName name="_590__FDSAUDITLINK__" hidden="1">{"fdsup://Directions/FactSet Auditing Viewer?action=AUDIT_VALUE&amp;DB=129&amp;ID1=92849730&amp;VALUEID=02001&amp;SDATE=201002&amp;PERIODTYPE=QTR_STD&amp;SCFT=3&amp;window=popup_no_bar&amp;width=385&amp;height=120&amp;START_MAXIMIZED=FALSE&amp;creator=factset&amp;display_string=Audit"}</definedName>
    <definedName name="_591__FDSAUDITLINK__" localSheetId="7" hidden="1">{"fdsup://Directions/FactSet Auditing Viewer?action=AUDIT_VALUE&amp;DB=129&amp;ID1=92829810&amp;VALUEID=02001&amp;SDATE=201001&amp;PERIODTYPE=QTR_STD&amp;SCFT=3&amp;window=popup_no_bar&amp;width=385&amp;height=120&amp;START_MAXIMIZED=FALSE&amp;creator=factset&amp;display_string=Audit"}</definedName>
    <definedName name="_591__FDSAUDITLINK__" hidden="1">{"fdsup://Directions/FactSet Auditing Viewer?action=AUDIT_VALUE&amp;DB=129&amp;ID1=92829810&amp;VALUEID=02001&amp;SDATE=201001&amp;PERIODTYPE=QTR_STD&amp;SCFT=3&amp;window=popup_no_bar&amp;width=385&amp;height=120&amp;START_MAXIMIZED=FALSE&amp;creator=factset&amp;display_string=Audit"}</definedName>
    <definedName name="_592__FDSAUDITLINK__" localSheetId="7" hidden="1">{"fdsup://Directions/FactSet Auditing Viewer?action=AUDIT_VALUE&amp;DB=129&amp;ID1=92829810&amp;VALUEID=02001&amp;SDATE=201001&amp;PERIODTYPE=QTR_STD&amp;SCFT=3&amp;window=popup_no_bar&amp;width=385&amp;height=120&amp;START_MAXIMIZED=FALSE&amp;creator=factset&amp;display_string=Audit"}</definedName>
    <definedName name="_592__FDSAUDITLINK__" hidden="1">{"fdsup://Directions/FactSet Auditing Viewer?action=AUDIT_VALUE&amp;DB=129&amp;ID1=92829810&amp;VALUEID=02001&amp;SDATE=201001&amp;PERIODTYPE=QTR_STD&amp;SCFT=3&amp;window=popup_no_bar&amp;width=385&amp;height=120&amp;START_MAXIMIZED=FALSE&amp;creator=factset&amp;display_string=Audit"}</definedName>
    <definedName name="_593__FDSAUDITLINK__" localSheetId="7" hidden="1">{"fdsup://Directions/FactSet Auditing Viewer?action=AUDIT_VALUE&amp;DB=129&amp;ID1=88250810&amp;VALUEID=02001&amp;SDATE=201001&amp;PERIODTYPE=QTR_STD&amp;SCFT=3&amp;window=popup_no_bar&amp;width=385&amp;height=120&amp;START_MAXIMIZED=FALSE&amp;creator=factset&amp;display_string=Audit"}</definedName>
    <definedName name="_593__FDSAUDITLINK__" hidden="1">{"fdsup://Directions/FactSet Auditing Viewer?action=AUDIT_VALUE&amp;DB=129&amp;ID1=88250810&amp;VALUEID=02001&amp;SDATE=201001&amp;PERIODTYPE=QTR_STD&amp;SCFT=3&amp;window=popup_no_bar&amp;width=385&amp;height=120&amp;START_MAXIMIZED=FALSE&amp;creator=factset&amp;display_string=Audit"}</definedName>
    <definedName name="_594__FDSAUDITLINK__" localSheetId="7" hidden="1">{"fdsup://Directions/FactSet Auditing Viewer?action=AUDIT_VALUE&amp;DB=129&amp;ID1=88250810&amp;VALUEID=02001&amp;SDATE=201001&amp;PERIODTYPE=QTR_STD&amp;SCFT=3&amp;window=popup_no_bar&amp;width=385&amp;height=120&amp;START_MAXIMIZED=FALSE&amp;creator=factset&amp;display_string=Audit"}</definedName>
    <definedName name="_594__FDSAUDITLINK__" hidden="1">{"fdsup://Directions/FactSet Auditing Viewer?action=AUDIT_VALUE&amp;DB=129&amp;ID1=88250810&amp;VALUEID=02001&amp;SDATE=201001&amp;PERIODTYPE=QTR_STD&amp;SCFT=3&amp;window=popup_no_bar&amp;width=385&amp;height=120&amp;START_MAXIMIZED=FALSE&amp;creator=factset&amp;display_string=Audit"}</definedName>
    <definedName name="_595__FDSAUDITLINK__" localSheetId="7" hidden="1">{"fdsup://Directions/FactSet Auditing Viewer?action=AUDIT_VALUE&amp;DB=129&amp;ID1=89674K10&amp;VALUEID=02001&amp;SDATE=201001&amp;PERIODTYPE=QTR_STD&amp;SCFT=3&amp;window=popup_no_bar&amp;width=385&amp;height=120&amp;START_MAXIMIZED=FALSE&amp;creator=factset&amp;display_string=Audit"}</definedName>
    <definedName name="_595__FDSAUDITLINK__" hidden="1">{"fdsup://Directions/FactSet Auditing Viewer?action=AUDIT_VALUE&amp;DB=129&amp;ID1=89674K10&amp;VALUEID=02001&amp;SDATE=201001&amp;PERIODTYPE=QTR_STD&amp;SCFT=3&amp;window=popup_no_bar&amp;width=385&amp;height=120&amp;START_MAXIMIZED=FALSE&amp;creator=factset&amp;display_string=Audit"}</definedName>
    <definedName name="_596__FDSAUDITLINK__" localSheetId="7" hidden="1">{"fdsup://Directions/FactSet Auditing Viewer?action=AUDIT_VALUE&amp;DB=129&amp;ID1=89674K10&amp;VALUEID=02001&amp;SDATE=201001&amp;PERIODTYPE=QTR_STD&amp;SCFT=3&amp;window=popup_no_bar&amp;width=385&amp;height=120&amp;START_MAXIMIZED=FALSE&amp;creator=factset&amp;display_string=Audit"}</definedName>
    <definedName name="_596__FDSAUDITLINK__" hidden="1">{"fdsup://Directions/FactSet Auditing Viewer?action=AUDIT_VALUE&amp;DB=129&amp;ID1=89674K10&amp;VALUEID=02001&amp;SDATE=201001&amp;PERIODTYPE=QTR_STD&amp;SCFT=3&amp;window=popup_no_bar&amp;width=385&amp;height=120&amp;START_MAXIMIZED=FALSE&amp;creator=factset&amp;display_string=Audit"}</definedName>
    <definedName name="_597__FDSAUDITLINK__" localSheetId="7" hidden="1">{"fdsup://Directions/FactSet Auditing Viewer?action=AUDIT_VALUE&amp;DB=129&amp;ID1=83088M10&amp;VALUEID=02001&amp;SDATE=201002&amp;PERIODTYPE=QTR_STD&amp;SCFT=3&amp;window=popup_no_bar&amp;width=385&amp;height=120&amp;START_MAXIMIZED=FALSE&amp;creator=factset&amp;display_string=Audit"}</definedName>
    <definedName name="_597__FDSAUDITLINK__" hidden="1">{"fdsup://Directions/FactSet Auditing Viewer?action=AUDIT_VALUE&amp;DB=129&amp;ID1=83088M10&amp;VALUEID=02001&amp;SDATE=201002&amp;PERIODTYPE=QTR_STD&amp;SCFT=3&amp;window=popup_no_bar&amp;width=385&amp;height=120&amp;START_MAXIMIZED=FALSE&amp;creator=factset&amp;display_string=Audit"}</definedName>
    <definedName name="_598__FDSAUDITLINK__" localSheetId="7" hidden="1">{"fdsup://Directions/FactSet Auditing Viewer?action=AUDIT_VALUE&amp;DB=129&amp;ID1=83088M10&amp;VALUEID=02001&amp;SDATE=201002&amp;PERIODTYPE=QTR_STD&amp;SCFT=3&amp;window=popup_no_bar&amp;width=385&amp;height=120&amp;START_MAXIMIZED=FALSE&amp;creator=factset&amp;display_string=Audit"}</definedName>
    <definedName name="_598__FDSAUDITLINK__" hidden="1">{"fdsup://Directions/FactSet Auditing Viewer?action=AUDIT_VALUE&amp;DB=129&amp;ID1=83088M10&amp;VALUEID=02001&amp;SDATE=201002&amp;PERIODTYPE=QTR_STD&amp;SCFT=3&amp;window=popup_no_bar&amp;width=385&amp;height=120&amp;START_MAXIMIZED=FALSE&amp;creator=factset&amp;display_string=Audit"}</definedName>
    <definedName name="_599__FDSAUDITLINK__" localSheetId="7" hidden="1">{"fdsup://Directions/FactSet Auditing Viewer?action=AUDIT_VALUE&amp;DB=129&amp;ID1=G7945M10&amp;VALUEID=02001&amp;SDATE=201003&amp;PERIODTYPE=QTR_STD&amp;SCFT=3&amp;window=popup_no_bar&amp;width=385&amp;height=120&amp;START_MAXIMIZED=FALSE&amp;creator=factset&amp;display_string=Audit"}</definedName>
    <definedName name="_599__FDSAUDITLINK__" hidden="1">{"fdsup://Directions/FactSet Auditing Viewer?action=AUDIT_VALUE&amp;DB=129&amp;ID1=G7945M10&amp;VALUEID=02001&amp;SDATE=201003&amp;PERIODTYPE=QTR_STD&amp;SCFT=3&amp;window=popup_no_bar&amp;width=385&amp;height=120&amp;START_MAXIMIZED=FALSE&amp;creator=factset&amp;display_string=Audit"}</definedName>
    <definedName name="_6__FDSAUDITLINK__" localSheetId="7" hidden="1">{"fdsup://Directions/FactSet Auditing Viewer?action=AUDIT_VALUE&amp;DB=129&amp;ID1=45814010&amp;VALUEID=02001&amp;SDATE=201103&amp;PERIODTYPE=QTR_STD&amp;SCFT=3&amp;window=popup_no_bar&amp;width=385&amp;height=120&amp;START_MAXIMIZED=FALSE&amp;creator=factset&amp;display_string=Audit"}</definedName>
    <definedName name="_6__FDSAUDITLINK__" hidden="1">{"fdsup://Directions/FactSet Auditing Viewer?action=AUDIT_VALUE&amp;DB=129&amp;ID1=45814010&amp;VALUEID=02001&amp;SDATE=201103&amp;PERIODTYPE=QTR_STD&amp;SCFT=3&amp;window=popup_no_bar&amp;width=385&amp;height=120&amp;START_MAXIMIZED=FALSE&amp;creator=factset&amp;display_string=Audit"}</definedName>
    <definedName name="_60__FDSAUDITLINK__" localSheetId="7" hidden="1">{"fdsup://Directions/FactSet Auditing Viewer?action=AUDIT_VALUE&amp;DB=129&amp;ID1=63764010&amp;VALUEID=02001&amp;SDATE=201003&amp;PERIODTYPE=QTR_STD&amp;SCFT=3&amp;window=popup_no_bar&amp;width=385&amp;height=120&amp;START_MAXIMIZED=FALSE&amp;creator=factset&amp;display_string=Audit"}</definedName>
    <definedName name="_60__FDSAUDITLINK__" hidden="1">{"fdsup://Directions/FactSet Auditing Viewer?action=AUDIT_VALUE&amp;DB=129&amp;ID1=63764010&amp;VALUEID=02001&amp;SDATE=201003&amp;PERIODTYPE=QTR_STD&amp;SCFT=3&amp;window=popup_no_bar&amp;width=385&amp;height=120&amp;START_MAXIMIZED=FALSE&amp;creator=factset&amp;display_string=Audit"}</definedName>
    <definedName name="_600__FDSAUDITLINK__" localSheetId="7" hidden="1">{"fdsup://Directions/FactSet Auditing Viewer?action=AUDIT_VALUE&amp;DB=129&amp;ID1=G7945M10&amp;VALUEID=02001&amp;SDATE=201003&amp;PERIODTYPE=QTR_STD&amp;SCFT=3&amp;window=popup_no_bar&amp;width=385&amp;height=120&amp;START_MAXIMIZED=FALSE&amp;creator=factset&amp;display_string=Audit"}</definedName>
    <definedName name="_600__FDSAUDITLINK__" hidden="1">{"fdsup://Directions/FactSet Auditing Viewer?action=AUDIT_VALUE&amp;DB=129&amp;ID1=G7945M10&amp;VALUEID=02001&amp;SDATE=201003&amp;PERIODTYPE=QTR_STD&amp;SCFT=3&amp;window=popup_no_bar&amp;width=385&amp;height=120&amp;START_MAXIMIZED=FALSE&amp;creator=factset&amp;display_string=Audit"}</definedName>
    <definedName name="_601__FDSAUDITLINK__" localSheetId="7" hidden="1">{"fdsup://Directions/FactSet Auditing Viewer?action=AUDIT_VALUE&amp;DB=129&amp;ID1=78477410&amp;VALUEID=02001&amp;SDATE=201001&amp;PERIODTYPE=QTR_STD&amp;SCFT=3&amp;window=popup_no_bar&amp;width=385&amp;height=120&amp;START_MAXIMIZED=FALSE&amp;creator=factset&amp;display_string=Audit"}</definedName>
    <definedName name="_601__FDSAUDITLINK__" hidden="1">{"fdsup://Directions/FactSet Auditing Viewer?action=AUDIT_VALUE&amp;DB=129&amp;ID1=78477410&amp;VALUEID=02001&amp;SDATE=201001&amp;PERIODTYPE=QTR_STD&amp;SCFT=3&amp;window=popup_no_bar&amp;width=385&amp;height=120&amp;START_MAXIMIZED=FALSE&amp;creator=factset&amp;display_string=Audit"}</definedName>
    <definedName name="_602__FDSAUDITLINK__" localSheetId="7" hidden="1">{"fdsup://Directions/FactSet Auditing Viewer?action=AUDIT_VALUE&amp;DB=129&amp;ID1=78477410&amp;VALUEID=02001&amp;SDATE=201001&amp;PERIODTYPE=QTR_STD&amp;SCFT=3&amp;window=popup_no_bar&amp;width=385&amp;height=120&amp;START_MAXIMIZED=FALSE&amp;creator=factset&amp;display_string=Audit"}</definedName>
    <definedName name="_602__FDSAUDITLINK__" hidden="1">{"fdsup://Directions/FactSet Auditing Viewer?action=AUDIT_VALUE&amp;DB=129&amp;ID1=78477410&amp;VALUEID=02001&amp;SDATE=201001&amp;PERIODTYPE=QTR_STD&amp;SCFT=3&amp;window=popup_no_bar&amp;width=385&amp;height=120&amp;START_MAXIMIZED=FALSE&amp;creator=factset&amp;display_string=Audit"}</definedName>
    <definedName name="_603__FDSAUDITLINK__" localSheetId="7" hidden="1">{"fdsup://Directions/FactSet Auditing Viewer?action=AUDIT_VALUE&amp;DB=129&amp;ID1=83547010&amp;VALUEID=02001&amp;SDATE=201001&amp;PERIODTYPE=QTR_STD&amp;SCFT=3&amp;window=popup_no_bar&amp;width=385&amp;height=120&amp;START_MAXIMIZED=FALSE&amp;creator=factset&amp;display_string=Audit"}</definedName>
    <definedName name="_603__FDSAUDITLINK__" hidden="1">{"fdsup://Directions/FactSet Auditing Viewer?action=AUDIT_VALUE&amp;DB=129&amp;ID1=83547010&amp;VALUEID=02001&amp;SDATE=201001&amp;PERIODTYPE=QTR_STD&amp;SCFT=3&amp;window=popup_no_bar&amp;width=385&amp;height=120&amp;START_MAXIMIZED=FALSE&amp;creator=factset&amp;display_string=Audit"}</definedName>
    <definedName name="_604__FDSAUDITLINK__" localSheetId="7" hidden="1">{"fdsup://Directions/FactSet Auditing Viewer?action=AUDIT_VALUE&amp;DB=129&amp;ID1=83547010&amp;VALUEID=02001&amp;SDATE=201001&amp;PERIODTYPE=QTR_STD&amp;SCFT=3&amp;window=popup_no_bar&amp;width=385&amp;height=120&amp;START_MAXIMIZED=FALSE&amp;creator=factset&amp;display_string=Audit"}</definedName>
    <definedName name="_604__FDSAUDITLINK__" hidden="1">{"fdsup://Directions/FactSet Auditing Viewer?action=AUDIT_VALUE&amp;DB=129&amp;ID1=83547010&amp;VALUEID=02001&amp;SDATE=201001&amp;PERIODTYPE=QTR_STD&amp;SCFT=3&amp;window=popup_no_bar&amp;width=385&amp;height=120&amp;START_MAXIMIZED=FALSE&amp;creator=factset&amp;display_string=Audit"}</definedName>
    <definedName name="_605__FDSAUDITLINK__" localSheetId="7" hidden="1">{"fdsup://Directions/FactSet Auditing Viewer?action=AUDIT_VALUE&amp;DB=129&amp;ID1=87160710&amp;VALUEID=02001&amp;SDATE=201002&amp;PERIODTYPE=QTR_STD&amp;SCFT=3&amp;window=popup_no_bar&amp;width=385&amp;height=120&amp;START_MAXIMIZED=FALSE&amp;creator=factset&amp;display_string=Audit"}</definedName>
    <definedName name="_605__FDSAUDITLINK__" hidden="1">{"fdsup://Directions/FactSet Auditing Viewer?action=AUDIT_VALUE&amp;DB=129&amp;ID1=87160710&amp;VALUEID=02001&amp;SDATE=201002&amp;PERIODTYPE=QTR_STD&amp;SCFT=3&amp;window=popup_no_bar&amp;width=385&amp;height=120&amp;START_MAXIMIZED=FALSE&amp;creator=factset&amp;display_string=Audit"}</definedName>
    <definedName name="_606__FDSAUDITLINK__" localSheetId="7" hidden="1">{"fdsup://Directions/FactSet Auditing Viewer?action=AUDIT_VALUE&amp;DB=129&amp;ID1=87160710&amp;VALUEID=02001&amp;SDATE=201002&amp;PERIODTYPE=QTR_STD&amp;SCFT=3&amp;window=popup_no_bar&amp;width=385&amp;height=120&amp;START_MAXIMIZED=FALSE&amp;creator=factset&amp;display_string=Audit"}</definedName>
    <definedName name="_606__FDSAUDITLINK__" hidden="1">{"fdsup://Directions/FactSet Auditing Viewer?action=AUDIT_VALUE&amp;DB=129&amp;ID1=87160710&amp;VALUEID=02001&amp;SDATE=201002&amp;PERIODTYPE=QTR_STD&amp;SCFT=3&amp;window=popup_no_bar&amp;width=385&amp;height=120&amp;START_MAXIMIZED=FALSE&amp;creator=factset&amp;display_string=Audit"}</definedName>
    <definedName name="_607__FDSAUDITLINK__" localSheetId="7" hidden="1">{"fdsup://Directions/FactSet Auditing Viewer?action=AUDIT_VALUE&amp;DB=129&amp;ID1=80004C10&amp;VALUEID=02001&amp;SDATE=201001&amp;PERIODTYPE=QTR_STD&amp;SCFT=3&amp;window=popup_no_bar&amp;width=385&amp;height=120&amp;START_MAXIMIZED=FALSE&amp;creator=factset&amp;display_string=Audit"}</definedName>
    <definedName name="_607__FDSAUDITLINK__" hidden="1">{"fdsup://Directions/FactSet Auditing Viewer?action=AUDIT_VALUE&amp;DB=129&amp;ID1=80004C10&amp;VALUEID=02001&amp;SDATE=201001&amp;PERIODTYPE=QTR_STD&amp;SCFT=3&amp;window=popup_no_bar&amp;width=385&amp;height=120&amp;START_MAXIMIZED=FALSE&amp;creator=factset&amp;display_string=Audit"}</definedName>
    <definedName name="_608__FDSAUDITLINK__" localSheetId="7" hidden="1">{"fdsup://Directions/FactSet Auditing Viewer?action=AUDIT_VALUE&amp;DB=129&amp;ID1=80004C10&amp;VALUEID=02001&amp;SDATE=201001&amp;PERIODTYPE=QTR_STD&amp;SCFT=3&amp;window=popup_no_bar&amp;width=385&amp;height=120&amp;START_MAXIMIZED=FALSE&amp;creator=factset&amp;display_string=Audit"}</definedName>
    <definedName name="_608__FDSAUDITLINK__" hidden="1">{"fdsup://Directions/FactSet Auditing Viewer?action=AUDIT_VALUE&amp;DB=129&amp;ID1=80004C10&amp;VALUEID=02001&amp;SDATE=201001&amp;PERIODTYPE=QTR_STD&amp;SCFT=3&amp;window=popup_no_bar&amp;width=385&amp;height=120&amp;START_MAXIMIZED=FALSE&amp;creator=factset&amp;display_string=Audit"}</definedName>
    <definedName name="_609__FDSAUDITLINK__" localSheetId="7" hidden="1">{"fdsup://Directions/FactSet Auditing Viewer?action=AUDIT_VALUE&amp;DB=129&amp;ID1=81685010&amp;VALUEID=02001&amp;SDATE=201001&amp;PERIODTYPE=QTR_STD&amp;SCFT=3&amp;window=popup_no_bar&amp;width=385&amp;height=120&amp;START_MAXIMIZED=FALSE&amp;creator=factset&amp;display_string=Audit"}</definedName>
    <definedName name="_609__FDSAUDITLINK__" hidden="1">{"fdsup://Directions/FactSet Auditing Viewer?action=AUDIT_VALUE&amp;DB=129&amp;ID1=81685010&amp;VALUEID=02001&amp;SDATE=201001&amp;PERIODTYPE=QTR_STD&amp;SCFT=3&amp;window=popup_no_bar&amp;width=385&amp;height=120&amp;START_MAXIMIZED=FALSE&amp;creator=factset&amp;display_string=Audit"}</definedName>
    <definedName name="_61__FDSAUDITLINK__" localSheetId="7" hidden="1">{"fdsup://Directions/FactSet Auditing Viewer?action=AUDIT_VALUE&amp;DB=129&amp;ID1=64118B10&amp;VALUEID=02001&amp;SDATE=201101&amp;PERIODTYPE=QTR_STD&amp;SCFT=3&amp;window=popup_no_bar&amp;width=385&amp;height=120&amp;START_MAXIMIZED=FALSE&amp;creator=factset&amp;display_string=Audit"}</definedName>
    <definedName name="_61__FDSAUDITLINK__" hidden="1">{"fdsup://Directions/FactSet Auditing Viewer?action=AUDIT_VALUE&amp;DB=129&amp;ID1=64118B10&amp;VALUEID=02001&amp;SDATE=201101&amp;PERIODTYPE=QTR_STD&amp;SCFT=3&amp;window=popup_no_bar&amp;width=385&amp;height=120&amp;START_MAXIMIZED=FALSE&amp;creator=factset&amp;display_string=Audit"}</definedName>
    <definedName name="_610__FDSAUDITLINK__" localSheetId="7" hidden="1">{"fdsup://Directions/FactSet Auditing Viewer?action=AUDIT_VALUE&amp;DB=129&amp;ID1=81685010&amp;VALUEID=02001&amp;SDATE=201001&amp;PERIODTYPE=QTR_STD&amp;SCFT=3&amp;window=popup_no_bar&amp;width=385&amp;height=120&amp;START_MAXIMIZED=FALSE&amp;creator=factset&amp;display_string=Audit"}</definedName>
    <definedName name="_610__FDSAUDITLINK__" hidden="1">{"fdsup://Directions/FactSet Auditing Viewer?action=AUDIT_VALUE&amp;DB=129&amp;ID1=81685010&amp;VALUEID=02001&amp;SDATE=201001&amp;PERIODTYPE=QTR_STD&amp;SCFT=3&amp;window=popup_no_bar&amp;width=385&amp;height=120&amp;START_MAXIMIZED=FALSE&amp;creator=factset&amp;display_string=Audit"}</definedName>
    <definedName name="_611__FDSAUDITLINK__" localSheetId="7" hidden="1">{"fdsup://Directions/FactSet Auditing Viewer?action=AUDIT_VALUE&amp;DB=129&amp;ID1=82691910&amp;VALUEID=02001&amp;SDATE=201001&amp;PERIODTYPE=QTR_STD&amp;SCFT=3&amp;window=popup_no_bar&amp;width=385&amp;height=120&amp;START_MAXIMIZED=FALSE&amp;creator=factset&amp;display_string=Audit"}</definedName>
    <definedName name="_611__FDSAUDITLINK__" hidden="1">{"fdsup://Directions/FactSet Auditing Viewer?action=AUDIT_VALUE&amp;DB=129&amp;ID1=82691910&amp;VALUEID=02001&amp;SDATE=201001&amp;PERIODTYPE=QTR_STD&amp;SCFT=3&amp;window=popup_no_bar&amp;width=385&amp;height=120&amp;START_MAXIMIZED=FALSE&amp;creator=factset&amp;display_string=Audit"}</definedName>
    <definedName name="_612__FDSAUDITLINK__" localSheetId="7" hidden="1">{"fdsup://Directions/FactSet Auditing Viewer?action=AUDIT_VALUE&amp;DB=129&amp;ID1=82691910&amp;VALUEID=02001&amp;SDATE=201001&amp;PERIODTYPE=QTR_STD&amp;SCFT=3&amp;window=popup_no_bar&amp;width=385&amp;height=120&amp;START_MAXIMIZED=FALSE&amp;creator=factset&amp;display_string=Audit"}</definedName>
    <definedName name="_612__FDSAUDITLINK__" hidden="1">{"fdsup://Directions/FactSet Auditing Viewer?action=AUDIT_VALUE&amp;DB=129&amp;ID1=82691910&amp;VALUEID=02001&amp;SDATE=201001&amp;PERIODTYPE=QTR_STD&amp;SCFT=3&amp;window=popup_no_bar&amp;width=385&amp;height=120&amp;START_MAXIMIZED=FALSE&amp;creator=factset&amp;display_string=Audit"}</definedName>
    <definedName name="_613__FDSAUDITLINK__" localSheetId="7" hidden="1">{"fdsup://Directions/FactSet Auditing Viewer?action=AUDIT_VALUE&amp;DB=129&amp;ID1=82705T10&amp;VALUEID=02001&amp;SDATE=201001&amp;PERIODTYPE=QTR_STD&amp;SCFT=3&amp;window=popup_no_bar&amp;width=385&amp;height=120&amp;START_MAXIMIZED=FALSE&amp;creator=factset&amp;display_string=Audit"}</definedName>
    <definedName name="_613__FDSAUDITLINK__" hidden="1">{"fdsup://Directions/FactSet Auditing Viewer?action=AUDIT_VALUE&amp;DB=129&amp;ID1=82705T10&amp;VALUEID=02001&amp;SDATE=201001&amp;PERIODTYPE=QTR_STD&amp;SCFT=3&amp;window=popup_no_bar&amp;width=385&amp;height=120&amp;START_MAXIMIZED=FALSE&amp;creator=factset&amp;display_string=Audit"}</definedName>
    <definedName name="_614__FDSAUDITLINK__" localSheetId="7" hidden="1">{"fdsup://Directions/FactSet Auditing Viewer?action=AUDIT_VALUE&amp;DB=129&amp;ID1=82705T10&amp;VALUEID=02001&amp;SDATE=201001&amp;PERIODTYPE=QTR_STD&amp;SCFT=3&amp;window=popup_no_bar&amp;width=385&amp;height=120&amp;START_MAXIMIZED=FALSE&amp;creator=factset&amp;display_string=Audit"}</definedName>
    <definedName name="_614__FDSAUDITLINK__" hidden="1">{"fdsup://Directions/FactSet Auditing Viewer?action=AUDIT_VALUE&amp;DB=129&amp;ID1=82705T10&amp;VALUEID=02001&amp;SDATE=201001&amp;PERIODTYPE=QTR_STD&amp;SCFT=3&amp;window=popup_no_bar&amp;width=385&amp;height=120&amp;START_MAXIMIZED=FALSE&amp;creator=factset&amp;display_string=Audit"}</definedName>
    <definedName name="_615__FDSAUDITLINK__" localSheetId="7" hidden="1">{"fdsup://Directions/FactSet Auditing Viewer?action=AUDIT_VALUE&amp;DB=129&amp;ID1=75091710&amp;VALUEID=02001&amp;SDATE=201001&amp;PERIODTYPE=QTR_STD&amp;SCFT=3&amp;window=popup_no_bar&amp;width=385&amp;height=120&amp;START_MAXIMIZED=FALSE&amp;creator=factset&amp;display_string=Audit"}</definedName>
    <definedName name="_615__FDSAUDITLINK__" hidden="1">{"fdsup://Directions/FactSet Auditing Viewer?action=AUDIT_VALUE&amp;DB=129&amp;ID1=75091710&amp;VALUEID=02001&amp;SDATE=201001&amp;PERIODTYPE=QTR_STD&amp;SCFT=3&amp;window=popup_no_bar&amp;width=385&amp;height=120&amp;START_MAXIMIZED=FALSE&amp;creator=factset&amp;display_string=Audit"}</definedName>
    <definedName name="_616__FDSAUDITLINK__" localSheetId="7" hidden="1">{"fdsup://Directions/FactSet Auditing Viewer?action=AUDIT_VALUE&amp;DB=129&amp;ID1=75091710&amp;VALUEID=02001&amp;SDATE=201001&amp;PERIODTYPE=QTR_STD&amp;SCFT=3&amp;window=popup_no_bar&amp;width=385&amp;height=120&amp;START_MAXIMIZED=FALSE&amp;creator=factset&amp;display_string=Audit"}</definedName>
    <definedName name="_616__FDSAUDITLINK__" hidden="1">{"fdsup://Directions/FactSet Auditing Viewer?action=AUDIT_VALUE&amp;DB=129&amp;ID1=75091710&amp;VALUEID=02001&amp;SDATE=201001&amp;PERIODTYPE=QTR_STD&amp;SCFT=3&amp;window=popup_no_bar&amp;width=385&amp;height=120&amp;START_MAXIMIZED=FALSE&amp;creator=factset&amp;display_string=Audit"}</definedName>
    <definedName name="_617__FDSAUDITLINK__" localSheetId="7" hidden="1">{"fdsup://Directions/FactSet Auditing Viewer?action=AUDIT_VALUE&amp;DB=129&amp;ID1=74752510&amp;VALUEID=02001&amp;SDATE=201002&amp;PERIODTYPE=QTR_STD&amp;SCFT=3&amp;window=popup_no_bar&amp;width=385&amp;height=120&amp;START_MAXIMIZED=FALSE&amp;creator=factset&amp;display_string=Audit"}</definedName>
    <definedName name="_617__FDSAUDITLINK__" hidden="1">{"fdsup://Directions/FactSet Auditing Viewer?action=AUDIT_VALUE&amp;DB=129&amp;ID1=74752510&amp;VALUEID=02001&amp;SDATE=201002&amp;PERIODTYPE=QTR_STD&amp;SCFT=3&amp;window=popup_no_bar&amp;width=385&amp;height=120&amp;START_MAXIMIZED=FALSE&amp;creator=factset&amp;display_string=Audit"}</definedName>
    <definedName name="_618__FDSAUDITLINK__" localSheetId="7" hidden="1">{"fdsup://Directions/FactSet Auditing Viewer?action=AUDIT_VALUE&amp;DB=129&amp;ID1=74752510&amp;VALUEID=02001&amp;SDATE=201002&amp;PERIODTYPE=QTR_STD&amp;SCFT=3&amp;window=popup_no_bar&amp;width=385&amp;height=120&amp;START_MAXIMIZED=FALSE&amp;creator=factset&amp;display_string=Audit"}</definedName>
    <definedName name="_618__FDSAUDITLINK__" hidden="1">{"fdsup://Directions/FactSet Auditing Viewer?action=AUDIT_VALUE&amp;DB=129&amp;ID1=74752510&amp;VALUEID=02001&amp;SDATE=201002&amp;PERIODTYPE=QTR_STD&amp;SCFT=3&amp;window=popup_no_bar&amp;width=385&amp;height=120&amp;START_MAXIMIZED=FALSE&amp;creator=factset&amp;display_string=Audit"}</definedName>
    <definedName name="_619__FDSAUDITLINK__" localSheetId="7" hidden="1">{"fdsup://Directions/FactSet Auditing Viewer?action=AUDIT_VALUE&amp;DB=129&amp;ID1=72581M30&amp;VALUEID=02001&amp;SDATE=201001&amp;PERIODTYPE=QTR_STD&amp;SCFT=3&amp;window=popup_no_bar&amp;width=385&amp;height=120&amp;START_MAXIMIZED=FALSE&amp;creator=factset&amp;display_string=Audit"}</definedName>
    <definedName name="_619__FDSAUDITLINK__" hidden="1">{"fdsup://Directions/FactSet Auditing Viewer?action=AUDIT_VALUE&amp;DB=129&amp;ID1=72581M30&amp;VALUEID=02001&amp;SDATE=201001&amp;PERIODTYPE=QTR_STD&amp;SCFT=3&amp;window=popup_no_bar&amp;width=385&amp;height=120&amp;START_MAXIMIZED=FALSE&amp;creator=factset&amp;display_string=Audit"}</definedName>
    <definedName name="_62__FDSAUDITLINK__" localSheetId="7" hidden="1">{"fdsup://Directions/FactSet Auditing Viewer?action=AUDIT_VALUE&amp;DB=129&amp;ID1=64118B10&amp;VALUEID=02001&amp;SDATE=201101&amp;PERIODTYPE=QTR_STD&amp;SCFT=3&amp;window=popup_no_bar&amp;width=385&amp;height=120&amp;START_MAXIMIZED=FALSE&amp;creator=factset&amp;display_string=Audit"}</definedName>
    <definedName name="_62__FDSAUDITLINK__" hidden="1">{"fdsup://Directions/FactSet Auditing Viewer?action=AUDIT_VALUE&amp;DB=129&amp;ID1=64118B10&amp;VALUEID=02001&amp;SDATE=201101&amp;PERIODTYPE=QTR_STD&amp;SCFT=3&amp;window=popup_no_bar&amp;width=385&amp;height=120&amp;START_MAXIMIZED=FALSE&amp;creator=factset&amp;display_string=Audit"}</definedName>
    <definedName name="_620__FDSAUDITLINK__" localSheetId="7" hidden="1">{"fdsup://Directions/FactSet Auditing Viewer?action=AUDIT_VALUE&amp;DB=129&amp;ID1=72581M30&amp;VALUEID=02001&amp;SDATE=201001&amp;PERIODTYPE=QTR_STD&amp;SCFT=3&amp;window=popup_no_bar&amp;width=385&amp;height=120&amp;START_MAXIMIZED=FALSE&amp;creator=factset&amp;display_string=Audit"}</definedName>
    <definedName name="_620__FDSAUDITLINK__" hidden="1">{"fdsup://Directions/FactSet Auditing Viewer?action=AUDIT_VALUE&amp;DB=129&amp;ID1=72581M30&amp;VALUEID=02001&amp;SDATE=201001&amp;PERIODTYPE=QTR_STD&amp;SCFT=3&amp;window=popup_no_bar&amp;width=385&amp;height=120&amp;START_MAXIMIZED=FALSE&amp;creator=factset&amp;display_string=Audit"}</definedName>
    <definedName name="_621__FDSAUDITLINK__" localSheetId="7" hidden="1">{"fdsup://Directions/FactSet Auditing Viewer?action=AUDIT_VALUE&amp;DB=129&amp;ID1=73927610&amp;VALUEID=02001&amp;SDATE=201001&amp;PERIODTYPE=QTR_STD&amp;SCFT=3&amp;window=popup_no_bar&amp;width=385&amp;height=120&amp;START_MAXIMIZED=FALSE&amp;creator=factset&amp;display_string=Audit"}</definedName>
    <definedName name="_621__FDSAUDITLINK__" hidden="1">{"fdsup://Directions/FactSet Auditing Viewer?action=AUDIT_VALUE&amp;DB=129&amp;ID1=73927610&amp;VALUEID=02001&amp;SDATE=201001&amp;PERIODTYPE=QTR_STD&amp;SCFT=3&amp;window=popup_no_bar&amp;width=385&amp;height=120&amp;START_MAXIMIZED=FALSE&amp;creator=factset&amp;display_string=Audit"}</definedName>
    <definedName name="_622__FDSAUDITLINK__" localSheetId="7" hidden="1">{"fdsup://Directions/FactSet Auditing Viewer?action=AUDIT_VALUE&amp;DB=129&amp;ID1=73927610&amp;VALUEID=02001&amp;SDATE=201001&amp;PERIODTYPE=QTR_STD&amp;SCFT=3&amp;window=popup_no_bar&amp;width=385&amp;height=120&amp;START_MAXIMIZED=FALSE&amp;creator=factset&amp;display_string=Audit"}</definedName>
    <definedName name="_622__FDSAUDITLINK__" hidden="1">{"fdsup://Directions/FactSet Auditing Viewer?action=AUDIT_VALUE&amp;DB=129&amp;ID1=73927610&amp;VALUEID=02001&amp;SDATE=201001&amp;PERIODTYPE=QTR_STD&amp;SCFT=3&amp;window=popup_no_bar&amp;width=385&amp;height=120&amp;START_MAXIMIZED=FALSE&amp;creator=factset&amp;display_string=Audit"}</definedName>
    <definedName name="_623__FDSAUDITLINK__" localSheetId="7" hidden="1">{"fdsup://Directions/FactSet Auditing Viewer?action=AUDIT_VALUE&amp;DB=129&amp;ID1=69344F10&amp;VALUEID=02001&amp;SDATE=201001&amp;PERIODTYPE=QTR_STD&amp;SCFT=3&amp;window=popup_no_bar&amp;width=385&amp;height=120&amp;START_MAXIMIZED=FALSE&amp;creator=factset&amp;display_string=Audit"}</definedName>
    <definedName name="_623__FDSAUDITLINK__" hidden="1">{"fdsup://Directions/FactSet Auditing Viewer?action=AUDIT_VALUE&amp;DB=129&amp;ID1=69344F10&amp;VALUEID=02001&amp;SDATE=201001&amp;PERIODTYPE=QTR_STD&amp;SCFT=3&amp;window=popup_no_bar&amp;width=385&amp;height=120&amp;START_MAXIMIZED=FALSE&amp;creator=factset&amp;display_string=Audit"}</definedName>
    <definedName name="_624__FDSAUDITLINK__" localSheetId="7" hidden="1">{"fdsup://Directions/FactSet Auditing Viewer?action=AUDIT_VALUE&amp;DB=129&amp;ID1=69344F10&amp;VALUEID=02001&amp;SDATE=201001&amp;PERIODTYPE=QTR_STD&amp;SCFT=3&amp;window=popup_no_bar&amp;width=385&amp;height=120&amp;START_MAXIMIZED=FALSE&amp;creator=factset&amp;display_string=Audit"}</definedName>
    <definedName name="_624__FDSAUDITLINK__" hidden="1">{"fdsup://Directions/FactSet Auditing Viewer?action=AUDIT_VALUE&amp;DB=129&amp;ID1=69344F10&amp;VALUEID=02001&amp;SDATE=201001&amp;PERIODTYPE=QTR_STD&amp;SCFT=3&amp;window=popup_no_bar&amp;width=385&amp;height=120&amp;START_MAXIMIZED=FALSE&amp;creator=factset&amp;display_string=Audit"}</definedName>
    <definedName name="_625__FDSAUDITLINK__" localSheetId="7" hidden="1">{"fdsup://Directions/FactSet Auditing Viewer?action=AUDIT_VALUE&amp;DB=129&amp;ID1=69341710&amp;VALUEID=02001&amp;SDATE=201001&amp;PERIODTYPE=QTR_STD&amp;SCFT=3&amp;window=popup_no_bar&amp;width=385&amp;height=120&amp;START_MAXIMIZED=FALSE&amp;creator=factset&amp;display_string=Audit"}</definedName>
    <definedName name="_625__FDSAUDITLINK__" hidden="1">{"fdsup://Directions/FactSet Auditing Viewer?action=AUDIT_VALUE&amp;DB=129&amp;ID1=69341710&amp;VALUEID=02001&amp;SDATE=201001&amp;PERIODTYPE=QTR_STD&amp;SCFT=3&amp;window=popup_no_bar&amp;width=385&amp;height=120&amp;START_MAXIMIZED=FALSE&amp;creator=factset&amp;display_string=Audit"}</definedName>
    <definedName name="_626__FDSAUDITLINK__" localSheetId="7" hidden="1">{"fdsup://Directions/FactSet Auditing Viewer?action=AUDIT_VALUE&amp;DB=129&amp;ID1=69341710&amp;VALUEID=02001&amp;SDATE=201001&amp;PERIODTYPE=QTR_STD&amp;SCFT=3&amp;window=popup_no_bar&amp;width=385&amp;height=120&amp;START_MAXIMIZED=FALSE&amp;creator=factset&amp;display_string=Audit"}</definedName>
    <definedName name="_626__FDSAUDITLINK__" hidden="1">{"fdsup://Directions/FactSet Auditing Viewer?action=AUDIT_VALUE&amp;DB=129&amp;ID1=69341710&amp;VALUEID=02001&amp;SDATE=201001&amp;PERIODTYPE=QTR_STD&amp;SCFT=3&amp;window=popup_no_bar&amp;width=385&amp;height=120&amp;START_MAXIMIZED=FALSE&amp;creator=factset&amp;display_string=Audit"}</definedName>
    <definedName name="_627__FDSAUDITLINK__" localSheetId="7" hidden="1">{"fdsup://Directions/FactSet Auditing Viewer?action=AUDIT_VALUE&amp;DB=129&amp;ID1=68218910&amp;VALUEID=02001&amp;SDATE=201001&amp;PERIODTYPE=QTR_STD&amp;SCFT=3&amp;window=popup_no_bar&amp;width=385&amp;height=120&amp;START_MAXIMIZED=FALSE&amp;creator=factset&amp;display_string=Audit"}</definedName>
    <definedName name="_627__FDSAUDITLINK__" hidden="1">{"fdsup://Directions/FactSet Auditing Viewer?action=AUDIT_VALUE&amp;DB=129&amp;ID1=68218910&amp;VALUEID=02001&amp;SDATE=201001&amp;PERIODTYPE=QTR_STD&amp;SCFT=3&amp;window=popup_no_bar&amp;width=385&amp;height=120&amp;START_MAXIMIZED=FALSE&amp;creator=factset&amp;display_string=Audit"}</definedName>
    <definedName name="_628__FDSAUDITLINK__" localSheetId="7" hidden="1">{"fdsup://Directions/FactSet Auditing Viewer?action=AUDIT_VALUE&amp;DB=129&amp;ID1=68218910&amp;VALUEID=02001&amp;SDATE=201001&amp;PERIODTYPE=QTR_STD&amp;SCFT=3&amp;window=popup_no_bar&amp;width=385&amp;height=120&amp;START_MAXIMIZED=FALSE&amp;creator=factset&amp;display_string=Audit"}</definedName>
    <definedName name="_628__FDSAUDITLINK__" hidden="1">{"fdsup://Directions/FactSet Auditing Viewer?action=AUDIT_VALUE&amp;DB=129&amp;ID1=68218910&amp;VALUEID=02001&amp;SDATE=201001&amp;PERIODTYPE=QTR_STD&amp;SCFT=3&amp;window=popup_no_bar&amp;width=385&amp;height=120&amp;START_MAXIMIZED=FALSE&amp;creator=factset&amp;display_string=Audit"}</definedName>
    <definedName name="_629__FDSAUDITLINK__" localSheetId="7" hidden="1">{"fdsup://Directions/FactSet Auditing Viewer?action=AUDIT_VALUE&amp;DB=129&amp;ID1=B505PN&amp;VALUEID=02001&amp;SDATE=201001&amp;PERIODTYPE=QTR_STD&amp;SCFT=3&amp;window=popup_no_bar&amp;width=385&amp;height=120&amp;START_MAXIMIZED=FALSE&amp;creator=factset&amp;display_string=Audit"}</definedName>
    <definedName name="_629__FDSAUDITLINK__" hidden="1">{"fdsup://Directions/FactSet Auditing Viewer?action=AUDIT_VALUE&amp;DB=129&amp;ID1=B505PN&amp;VALUEID=02001&amp;SDATE=201001&amp;PERIODTYPE=QTR_STD&amp;SCFT=3&amp;window=popup_no_bar&amp;width=385&amp;height=120&amp;START_MAXIMIZED=FALSE&amp;creator=factset&amp;display_string=Audit"}</definedName>
    <definedName name="_63__FDSAUDITLINK__" localSheetId="7" hidden="1">{"fdsup://Directions/FactSet Auditing Viewer?action=AUDIT_VALUE&amp;DB=129&amp;ID1=57772K10&amp;VALUEID=02001&amp;SDATE=201103&amp;PERIODTYPE=QTR_STD&amp;SCFT=3&amp;window=popup_no_bar&amp;width=385&amp;height=120&amp;START_MAXIMIZED=FALSE&amp;creator=factset&amp;display_string=Audit"}</definedName>
    <definedName name="_63__FDSAUDITLINK__" hidden="1">{"fdsup://Directions/FactSet Auditing Viewer?action=AUDIT_VALUE&amp;DB=129&amp;ID1=57772K10&amp;VALUEID=02001&amp;SDATE=201103&amp;PERIODTYPE=QTR_STD&amp;SCFT=3&amp;window=popup_no_bar&amp;width=385&amp;height=120&amp;START_MAXIMIZED=FALSE&amp;creator=factset&amp;display_string=Audit"}</definedName>
    <definedName name="_630__FDSAUDITLINK__" localSheetId="7" hidden="1">{"fdsup://Directions/FactSet Auditing Viewer?action=AUDIT_VALUE&amp;DB=129&amp;ID1=B505PN&amp;VALUEID=02001&amp;SDATE=201001&amp;PERIODTYPE=QTR_STD&amp;SCFT=3&amp;window=popup_no_bar&amp;width=385&amp;height=120&amp;START_MAXIMIZED=FALSE&amp;creator=factset&amp;display_string=Audit"}</definedName>
    <definedName name="_630__FDSAUDITLINK__" hidden="1">{"fdsup://Directions/FactSet Auditing Viewer?action=AUDIT_VALUE&amp;DB=129&amp;ID1=B505PN&amp;VALUEID=02001&amp;SDATE=201001&amp;PERIODTYPE=QTR_STD&amp;SCFT=3&amp;window=popup_no_bar&amp;width=385&amp;height=120&amp;START_MAXIMIZED=FALSE&amp;creator=factset&amp;display_string=Audit"}</definedName>
    <definedName name="_631__FDSAUDITLINK__" localSheetId="7" hidden="1">{"fdsup://Directions/FactSet Auditing Viewer?action=AUDIT_VALUE&amp;DB=129&amp;ID1=67000810&amp;VALUEID=02001&amp;SDATE=201001&amp;PERIODTYPE=QTR_STD&amp;SCFT=3&amp;window=popup_no_bar&amp;width=385&amp;height=120&amp;START_MAXIMIZED=FALSE&amp;creator=factset&amp;display_string=Audit"}</definedName>
    <definedName name="_631__FDSAUDITLINK__" hidden="1">{"fdsup://Directions/FactSet Auditing Viewer?action=AUDIT_VALUE&amp;DB=129&amp;ID1=67000810&amp;VALUEID=02001&amp;SDATE=201001&amp;PERIODTYPE=QTR_STD&amp;SCFT=3&amp;window=popup_no_bar&amp;width=385&amp;height=120&amp;START_MAXIMIZED=FALSE&amp;creator=factset&amp;display_string=Audit"}</definedName>
    <definedName name="_632__FDSAUDITLINK__" localSheetId="7" hidden="1">{"fdsup://Directions/FactSet Auditing Viewer?action=AUDIT_VALUE&amp;DB=129&amp;ID1=67000810&amp;VALUEID=02001&amp;SDATE=201001&amp;PERIODTYPE=QTR_STD&amp;SCFT=3&amp;window=popup_no_bar&amp;width=385&amp;height=120&amp;START_MAXIMIZED=FALSE&amp;creator=factset&amp;display_string=Audit"}</definedName>
    <definedName name="_632__FDSAUDITLINK__" hidden="1">{"fdsup://Directions/FactSet Auditing Viewer?action=AUDIT_VALUE&amp;DB=129&amp;ID1=67000810&amp;VALUEID=02001&amp;SDATE=201001&amp;PERIODTYPE=QTR_STD&amp;SCFT=3&amp;window=popup_no_bar&amp;width=385&amp;height=120&amp;START_MAXIMIZED=FALSE&amp;creator=factset&amp;display_string=Audit"}</definedName>
    <definedName name="_633__FDSAUDITLINK__" localSheetId="7" hidden="1">{"fdsup://Directions/FactSet Auditing Viewer?action=AUDIT_VALUE&amp;DB=129&amp;ID1=67066G10&amp;VALUEID=02001&amp;SDATE=201001&amp;PERIODTYPE=QTR_STD&amp;SCFT=3&amp;window=popup_no_bar&amp;width=385&amp;height=120&amp;START_MAXIMIZED=FALSE&amp;creator=factset&amp;display_string=Audit"}</definedName>
    <definedName name="_633__FDSAUDITLINK__" hidden="1">{"fdsup://Directions/FactSet Auditing Viewer?action=AUDIT_VALUE&amp;DB=129&amp;ID1=67066G10&amp;VALUEID=02001&amp;SDATE=201001&amp;PERIODTYPE=QTR_STD&amp;SCFT=3&amp;window=popup_no_bar&amp;width=385&amp;height=120&amp;START_MAXIMIZED=FALSE&amp;creator=factset&amp;display_string=Audit"}</definedName>
    <definedName name="_634__FDSAUDITLINK__" localSheetId="7" hidden="1">{"fdsup://Directions/FactSet Auditing Viewer?action=AUDIT_VALUE&amp;DB=129&amp;ID1=67066G10&amp;VALUEID=02001&amp;SDATE=201001&amp;PERIODTYPE=QTR_STD&amp;SCFT=3&amp;window=popup_no_bar&amp;width=385&amp;height=120&amp;START_MAXIMIZED=FALSE&amp;creator=factset&amp;display_string=Audit"}</definedName>
    <definedName name="_634__FDSAUDITLINK__" hidden="1">{"fdsup://Directions/FactSet Auditing Viewer?action=AUDIT_VALUE&amp;DB=129&amp;ID1=67066G10&amp;VALUEID=02001&amp;SDATE=201001&amp;PERIODTYPE=QTR_STD&amp;SCFT=3&amp;window=popup_no_bar&amp;width=385&amp;height=120&amp;START_MAXIMIZED=FALSE&amp;creator=factset&amp;display_string=Audit"}</definedName>
    <definedName name="_635__FDSAUDITLINK__" localSheetId="7" hidden="1">{"fdsup://Directions/FactSet Auditing Viewer?action=AUDIT_VALUE&amp;DB=129&amp;ID1=63764010&amp;VALUEID=02001&amp;SDATE=200903&amp;PERIODTYPE=QTR_STD&amp;SCFT=3&amp;window=popup_no_bar&amp;width=385&amp;height=120&amp;START_MAXIMIZED=FALSE&amp;creator=factset&amp;display_string=Audit"}</definedName>
    <definedName name="_635__FDSAUDITLINK__" hidden="1">{"fdsup://Directions/FactSet Auditing Viewer?action=AUDIT_VALUE&amp;DB=129&amp;ID1=63764010&amp;VALUEID=02001&amp;SDATE=200903&amp;PERIODTYPE=QTR_STD&amp;SCFT=3&amp;window=popup_no_bar&amp;width=385&amp;height=120&amp;START_MAXIMIZED=FALSE&amp;creator=factset&amp;display_string=Audit"}</definedName>
    <definedName name="_636__FDSAUDITLINK__" localSheetId="7" hidden="1">{"fdsup://Directions/FactSet Auditing Viewer?action=AUDIT_VALUE&amp;DB=129&amp;ID1=63764010&amp;VALUEID=02001&amp;SDATE=200903&amp;PERIODTYPE=QTR_STD&amp;SCFT=3&amp;window=popup_no_bar&amp;width=385&amp;height=120&amp;START_MAXIMIZED=FALSE&amp;creator=factset&amp;display_string=Audit"}</definedName>
    <definedName name="_636__FDSAUDITLINK__" hidden="1">{"fdsup://Directions/FactSet Auditing Viewer?action=AUDIT_VALUE&amp;DB=129&amp;ID1=63764010&amp;VALUEID=02001&amp;SDATE=200903&amp;PERIODTYPE=QTR_STD&amp;SCFT=3&amp;window=popup_no_bar&amp;width=385&amp;height=120&amp;START_MAXIMIZED=FALSE&amp;creator=factset&amp;display_string=Audit"}</definedName>
    <definedName name="_637__FDSAUDITLINK__" localSheetId="7" hidden="1">{"fdsup://Directions/FactSet Auditing Viewer?action=AUDIT_VALUE&amp;DB=129&amp;ID1=64118B10&amp;VALUEID=02001&amp;SDATE=201001&amp;PERIODTYPE=QTR_STD&amp;SCFT=3&amp;window=popup_no_bar&amp;width=385&amp;height=120&amp;START_MAXIMIZED=FALSE&amp;creator=factset&amp;display_string=Audit"}</definedName>
    <definedName name="_637__FDSAUDITLINK__" hidden="1">{"fdsup://Directions/FactSet Auditing Viewer?action=AUDIT_VALUE&amp;DB=129&amp;ID1=64118B10&amp;VALUEID=02001&amp;SDATE=201001&amp;PERIODTYPE=QTR_STD&amp;SCFT=3&amp;window=popup_no_bar&amp;width=385&amp;height=120&amp;START_MAXIMIZED=FALSE&amp;creator=factset&amp;display_string=Audit"}</definedName>
    <definedName name="_638__FDSAUDITLINK__" localSheetId="7" hidden="1">{"fdsup://Directions/FactSet Auditing Viewer?action=AUDIT_VALUE&amp;DB=129&amp;ID1=64118B10&amp;VALUEID=02001&amp;SDATE=201001&amp;PERIODTYPE=QTR_STD&amp;SCFT=3&amp;window=popup_no_bar&amp;width=385&amp;height=120&amp;START_MAXIMIZED=FALSE&amp;creator=factset&amp;display_string=Audit"}</definedName>
    <definedName name="_638__FDSAUDITLINK__" hidden="1">{"fdsup://Directions/FactSet Auditing Viewer?action=AUDIT_VALUE&amp;DB=129&amp;ID1=64118B10&amp;VALUEID=02001&amp;SDATE=201001&amp;PERIODTYPE=QTR_STD&amp;SCFT=3&amp;window=popup_no_bar&amp;width=385&amp;height=120&amp;START_MAXIMIZED=FALSE&amp;creator=factset&amp;display_string=Audit"}</definedName>
    <definedName name="_639__FDSAUDITLINK__" localSheetId="7" hidden="1">{"fdsup://Directions/FactSet Auditing Viewer?action=AUDIT_VALUE&amp;DB=129&amp;ID1=57772K10&amp;VALUEID=02001&amp;SDATE=201003&amp;PERIODTYPE=QTR_STD&amp;SCFT=3&amp;window=popup_no_bar&amp;width=385&amp;height=120&amp;START_MAXIMIZED=FALSE&amp;creator=factset&amp;display_string=Audit"}</definedName>
    <definedName name="_639__FDSAUDITLINK__" hidden="1">{"fdsup://Directions/FactSet Auditing Viewer?action=AUDIT_VALUE&amp;DB=129&amp;ID1=57772K10&amp;VALUEID=02001&amp;SDATE=201003&amp;PERIODTYPE=QTR_STD&amp;SCFT=3&amp;window=popup_no_bar&amp;width=385&amp;height=120&amp;START_MAXIMIZED=FALSE&amp;creator=factset&amp;display_string=Audit"}</definedName>
    <definedName name="_64__FDSAUDITLINK__" localSheetId="7" hidden="1">{"fdsup://Directions/FactSet Auditing Viewer?action=AUDIT_VALUE&amp;DB=129&amp;ID1=57772K10&amp;VALUEID=02001&amp;SDATE=201103&amp;PERIODTYPE=QTR_STD&amp;SCFT=3&amp;window=popup_no_bar&amp;width=385&amp;height=120&amp;START_MAXIMIZED=FALSE&amp;creator=factset&amp;display_string=Audit"}</definedName>
    <definedName name="_64__FDSAUDITLINK__" hidden="1">{"fdsup://Directions/FactSet Auditing Viewer?action=AUDIT_VALUE&amp;DB=129&amp;ID1=57772K10&amp;VALUEID=02001&amp;SDATE=201103&amp;PERIODTYPE=QTR_STD&amp;SCFT=3&amp;window=popup_no_bar&amp;width=385&amp;height=120&amp;START_MAXIMIZED=FALSE&amp;creator=factset&amp;display_string=Audit"}</definedName>
    <definedName name="_640__FDSAUDITLINK__" localSheetId="7" hidden="1">{"fdsup://Directions/FactSet Auditing Viewer?action=AUDIT_VALUE&amp;DB=129&amp;ID1=57772K10&amp;VALUEID=02001&amp;SDATE=201003&amp;PERIODTYPE=QTR_STD&amp;SCFT=3&amp;window=popup_no_bar&amp;width=385&amp;height=120&amp;START_MAXIMIZED=FALSE&amp;creator=factset&amp;display_string=Audit"}</definedName>
    <definedName name="_640__FDSAUDITLINK__" hidden="1">{"fdsup://Directions/FactSet Auditing Viewer?action=AUDIT_VALUE&amp;DB=129&amp;ID1=57772K10&amp;VALUEID=02001&amp;SDATE=201003&amp;PERIODTYPE=QTR_STD&amp;SCFT=3&amp;window=popup_no_bar&amp;width=385&amp;height=120&amp;START_MAXIMIZED=FALSE&amp;creator=factset&amp;display_string=Audit"}</definedName>
    <definedName name="_641__FDSAUDITLINK__" localSheetId="7" hidden="1">{"fdsup://Directions/FactSet Auditing Viewer?action=AUDIT_VALUE&amp;DB=129&amp;ID1=59511210&amp;VALUEID=02001&amp;SDATE=201002&amp;PERIODTYPE=QTR_STD&amp;SCFT=3&amp;window=popup_no_bar&amp;width=385&amp;height=120&amp;START_MAXIMIZED=FALSE&amp;creator=factset&amp;display_string=Audit"}</definedName>
    <definedName name="_641__FDSAUDITLINK__" hidden="1">{"fdsup://Directions/FactSet Auditing Viewer?action=AUDIT_VALUE&amp;DB=129&amp;ID1=59511210&amp;VALUEID=02001&amp;SDATE=201002&amp;PERIODTYPE=QTR_STD&amp;SCFT=3&amp;window=popup_no_bar&amp;width=385&amp;height=120&amp;START_MAXIMIZED=FALSE&amp;creator=factset&amp;display_string=Audit"}</definedName>
    <definedName name="_642__FDSAUDITLINK__" localSheetId="7" hidden="1">{"fdsup://Directions/FactSet Auditing Viewer?action=AUDIT_VALUE&amp;DB=129&amp;ID1=59511210&amp;VALUEID=02001&amp;SDATE=201002&amp;PERIODTYPE=QTR_STD&amp;SCFT=3&amp;window=popup_no_bar&amp;width=385&amp;height=120&amp;START_MAXIMIZED=FALSE&amp;creator=factset&amp;display_string=Audit"}</definedName>
    <definedName name="_642__FDSAUDITLINK__" hidden="1">{"fdsup://Directions/FactSet Auditing Viewer?action=AUDIT_VALUE&amp;DB=129&amp;ID1=59511210&amp;VALUEID=02001&amp;SDATE=201002&amp;PERIODTYPE=QTR_STD&amp;SCFT=3&amp;window=popup_no_bar&amp;width=385&amp;height=120&amp;START_MAXIMIZED=FALSE&amp;creator=factset&amp;display_string=Audit"}</definedName>
    <definedName name="_643__FDSAUDITLINK__" localSheetId="7" hidden="1">{"fdsup://Directions/FactSet Auditing Viewer?action=AUDIT_VALUE&amp;DB=129&amp;ID1=59513710&amp;VALUEID=02001&amp;SDATE=201002&amp;PERIODTYPE=QTR_STD&amp;SCFT=3&amp;window=popup_no_bar&amp;width=385&amp;height=120&amp;START_MAXIMIZED=FALSE&amp;creator=factset&amp;display_string=Audit"}</definedName>
    <definedName name="_643__FDSAUDITLINK__" hidden="1">{"fdsup://Directions/FactSet Auditing Viewer?action=AUDIT_VALUE&amp;DB=129&amp;ID1=59513710&amp;VALUEID=02001&amp;SDATE=201002&amp;PERIODTYPE=QTR_STD&amp;SCFT=3&amp;window=popup_no_bar&amp;width=385&amp;height=120&amp;START_MAXIMIZED=FALSE&amp;creator=factset&amp;display_string=Audit"}</definedName>
    <definedName name="_644__FDSAUDITLINK__" localSheetId="7" hidden="1">{"fdsup://Directions/FactSet Auditing Viewer?action=AUDIT_VALUE&amp;DB=129&amp;ID1=59513710&amp;VALUEID=02001&amp;SDATE=201002&amp;PERIODTYPE=QTR_STD&amp;SCFT=3&amp;window=popup_no_bar&amp;width=385&amp;height=120&amp;START_MAXIMIZED=FALSE&amp;creator=factset&amp;display_string=Audit"}</definedName>
    <definedName name="_644__FDSAUDITLINK__" hidden="1">{"fdsup://Directions/FactSet Auditing Viewer?action=AUDIT_VALUE&amp;DB=129&amp;ID1=59513710&amp;VALUEID=02001&amp;SDATE=201002&amp;PERIODTYPE=QTR_STD&amp;SCFT=3&amp;window=popup_no_bar&amp;width=385&amp;height=120&amp;START_MAXIMIZED=FALSE&amp;creator=factset&amp;display_string=Audit"}</definedName>
    <definedName name="_645__FDSAUDITLINK__" localSheetId="7" hidden="1">{"fdsup://Directions/FactSet Auditing Viewer?action=AUDIT_VALUE&amp;DB=129&amp;ID1=G5876H10&amp;VALUEID=02001&amp;SDATE=201001&amp;PERIODTYPE=QTR_STD&amp;SCFT=3&amp;window=popup_no_bar&amp;width=385&amp;height=120&amp;START_MAXIMIZED=FALSE&amp;creator=factset&amp;display_string=Audit"}</definedName>
    <definedName name="_645__FDSAUDITLINK__" hidden="1">{"fdsup://Directions/FactSet Auditing Viewer?action=AUDIT_VALUE&amp;DB=129&amp;ID1=G5876H10&amp;VALUEID=02001&amp;SDATE=201001&amp;PERIODTYPE=QTR_STD&amp;SCFT=3&amp;window=popup_no_bar&amp;width=385&amp;height=120&amp;START_MAXIMIZED=FALSE&amp;creator=factset&amp;display_string=Audit"}</definedName>
    <definedName name="_646__FDSAUDITLINK__" localSheetId="7" hidden="1">{"fdsup://Directions/FactSet Auditing Viewer?action=AUDIT_VALUE&amp;DB=129&amp;ID1=G5876H10&amp;VALUEID=02001&amp;SDATE=201001&amp;PERIODTYPE=QTR_STD&amp;SCFT=3&amp;window=popup_no_bar&amp;width=385&amp;height=120&amp;START_MAXIMIZED=FALSE&amp;creator=factset&amp;display_string=Audit"}</definedName>
    <definedName name="_646__FDSAUDITLINK__" hidden="1">{"fdsup://Directions/FactSet Auditing Viewer?action=AUDIT_VALUE&amp;DB=129&amp;ID1=G5876H10&amp;VALUEID=02001&amp;SDATE=201001&amp;PERIODTYPE=QTR_STD&amp;SCFT=3&amp;window=popup_no_bar&amp;width=385&amp;height=120&amp;START_MAXIMIZED=FALSE&amp;creator=factset&amp;display_string=Audit"}</definedName>
    <definedName name="_647__FDSAUDITLINK__" localSheetId="7" hidden="1">{"fdsup://Directions/FactSet Auditing Viewer?action=AUDIT_VALUE&amp;DB=129&amp;ID1=62007630&amp;VALUEID=02001&amp;SDATE=201001&amp;PERIODTYPE=QTR_STD&amp;SCFT=3&amp;window=popup_no_bar&amp;width=385&amp;height=120&amp;START_MAXIMIZED=FALSE&amp;creator=factset&amp;display_string=Audit"}</definedName>
    <definedName name="_647__FDSAUDITLINK__" hidden="1">{"fdsup://Directions/FactSet Auditing Viewer?action=AUDIT_VALUE&amp;DB=129&amp;ID1=62007630&amp;VALUEID=02001&amp;SDATE=201001&amp;PERIODTYPE=QTR_STD&amp;SCFT=3&amp;window=popup_no_bar&amp;width=385&amp;height=120&amp;START_MAXIMIZED=FALSE&amp;creator=factset&amp;display_string=Audit"}</definedName>
    <definedName name="_648__FDSAUDITLINK__" localSheetId="7" hidden="1">{"fdsup://Directions/FactSet Auditing Viewer?action=AUDIT_VALUE&amp;DB=129&amp;ID1=62007630&amp;VALUEID=02001&amp;SDATE=201001&amp;PERIODTYPE=QTR_STD&amp;SCFT=3&amp;window=popup_no_bar&amp;width=385&amp;height=120&amp;START_MAXIMIZED=FALSE&amp;creator=factset&amp;display_string=Audit"}</definedName>
    <definedName name="_648__FDSAUDITLINK__" hidden="1">{"fdsup://Directions/FactSet Auditing Viewer?action=AUDIT_VALUE&amp;DB=129&amp;ID1=62007630&amp;VALUEID=02001&amp;SDATE=201001&amp;PERIODTYPE=QTR_STD&amp;SCFT=3&amp;window=popup_no_bar&amp;width=385&amp;height=120&amp;START_MAXIMIZED=FALSE&amp;creator=factset&amp;display_string=Audit"}</definedName>
    <definedName name="_649__FDSAUDITLINK__" localSheetId="7" hidden="1">{"fdsup://Directions/FactSet Auditing Viewer?action=AUDIT_VALUE&amp;DB=129&amp;ID1=60456710&amp;VALUEID=02001&amp;SDATE=201003&amp;PERIODTYPE=QTR_STD&amp;SCFT=3&amp;window=popup_no_bar&amp;width=385&amp;height=120&amp;START_MAXIMIZED=FALSE&amp;creator=factset&amp;display_string=Audit"}</definedName>
    <definedName name="_649__FDSAUDITLINK__" hidden="1">{"fdsup://Directions/FactSet Auditing Viewer?action=AUDIT_VALUE&amp;DB=129&amp;ID1=60456710&amp;VALUEID=02001&amp;SDATE=201003&amp;PERIODTYPE=QTR_STD&amp;SCFT=3&amp;window=popup_no_bar&amp;width=385&amp;height=120&amp;START_MAXIMIZED=FALSE&amp;creator=factset&amp;display_string=Audit"}</definedName>
    <definedName name="_65__FDSAUDITLINK__" localSheetId="7" hidden="1">{"fdsup://Directions/FactSet Auditing Viewer?action=AUDIT_VALUE&amp;DB=129&amp;ID1=59511210&amp;VALUEID=02001&amp;SDATE=201102&amp;PERIODTYPE=QTR_STD&amp;SCFT=3&amp;window=popup_no_bar&amp;width=385&amp;height=120&amp;START_MAXIMIZED=FALSE&amp;creator=factset&amp;display_string=Audit"}</definedName>
    <definedName name="_65__FDSAUDITLINK__" hidden="1">{"fdsup://Directions/FactSet Auditing Viewer?action=AUDIT_VALUE&amp;DB=129&amp;ID1=59511210&amp;VALUEID=02001&amp;SDATE=201102&amp;PERIODTYPE=QTR_STD&amp;SCFT=3&amp;window=popup_no_bar&amp;width=385&amp;height=120&amp;START_MAXIMIZED=FALSE&amp;creator=factset&amp;display_string=Audit"}</definedName>
    <definedName name="_650__FDSAUDITLINK__" localSheetId="7" hidden="1">{"fdsup://Directions/FactSet Auditing Viewer?action=AUDIT_VALUE&amp;DB=129&amp;ID1=60456710&amp;VALUEID=02001&amp;SDATE=201003&amp;PERIODTYPE=QTR_STD&amp;SCFT=3&amp;window=popup_no_bar&amp;width=385&amp;height=120&amp;START_MAXIMIZED=FALSE&amp;creator=factset&amp;display_string=Audit"}</definedName>
    <definedName name="_650__FDSAUDITLINK__" hidden="1">{"fdsup://Directions/FactSet Auditing Viewer?action=AUDIT_VALUE&amp;DB=129&amp;ID1=60456710&amp;VALUEID=02001&amp;SDATE=201003&amp;PERIODTYPE=QTR_STD&amp;SCFT=3&amp;window=popup_no_bar&amp;width=385&amp;height=120&amp;START_MAXIMIZED=FALSE&amp;creator=factset&amp;display_string=Audit"}</definedName>
    <definedName name="_651__FDSAUDITLINK__" localSheetId="7" hidden="1">{"fdsup://Directions/FactSet Auditing Viewer?action=AUDIT_VALUE&amp;DB=129&amp;ID1=59479310&amp;VALUEID=02001&amp;SDATE=201001&amp;PERIODTYPE=QTR_STD&amp;SCFT=3&amp;window=popup_no_bar&amp;width=385&amp;height=120&amp;START_MAXIMIZED=FALSE&amp;creator=factset&amp;display_string=Audit"}</definedName>
    <definedName name="_651__FDSAUDITLINK__" hidden="1">{"fdsup://Directions/FactSet Auditing Viewer?action=AUDIT_VALUE&amp;DB=129&amp;ID1=59479310&amp;VALUEID=02001&amp;SDATE=201001&amp;PERIODTYPE=QTR_STD&amp;SCFT=3&amp;window=popup_no_bar&amp;width=385&amp;height=120&amp;START_MAXIMIZED=FALSE&amp;creator=factset&amp;display_string=Audit"}</definedName>
    <definedName name="_652__FDSAUDITLINK__" localSheetId="7" hidden="1">{"fdsup://Directions/FactSet Auditing Viewer?action=AUDIT_VALUE&amp;DB=129&amp;ID1=59479310&amp;VALUEID=02001&amp;SDATE=201001&amp;PERIODTYPE=QTR_STD&amp;SCFT=3&amp;window=popup_no_bar&amp;width=385&amp;height=120&amp;START_MAXIMIZED=FALSE&amp;creator=factset&amp;display_string=Audit"}</definedName>
    <definedName name="_652__FDSAUDITLINK__" hidden="1">{"fdsup://Directions/FactSet Auditing Viewer?action=AUDIT_VALUE&amp;DB=129&amp;ID1=59479310&amp;VALUEID=02001&amp;SDATE=201001&amp;PERIODTYPE=QTR_STD&amp;SCFT=3&amp;window=popup_no_bar&amp;width=385&amp;height=120&amp;START_MAXIMIZED=FALSE&amp;creator=factset&amp;display_string=Audit"}</definedName>
    <definedName name="_653__FDSAUDITLINK__" localSheetId="7" hidden="1">{"fdsup://Directions/FactSet Auditing Viewer?action=AUDIT_VALUE&amp;DB=129&amp;ID1=50216110&amp;VALUEID=02001&amp;SDATE=201001&amp;PERIODTYPE=QTR_STD&amp;SCFT=3&amp;window=popup_no_bar&amp;width=385&amp;height=120&amp;START_MAXIMIZED=FALSE&amp;creator=factset&amp;display_string=Audit"}</definedName>
    <definedName name="_653__FDSAUDITLINK__" hidden="1">{"fdsup://Directions/FactSet Auditing Viewer?action=AUDIT_VALUE&amp;DB=129&amp;ID1=50216110&amp;VALUEID=02001&amp;SDATE=201001&amp;PERIODTYPE=QTR_STD&amp;SCFT=3&amp;window=popup_no_bar&amp;width=385&amp;height=120&amp;START_MAXIMIZED=FALSE&amp;creator=factset&amp;display_string=Audit"}</definedName>
    <definedName name="_654__FDSAUDITLINK__" localSheetId="7" hidden="1">{"fdsup://Directions/FactSet Auditing Viewer?action=AUDIT_VALUE&amp;DB=129&amp;ID1=50216110&amp;VALUEID=02001&amp;SDATE=201001&amp;PERIODTYPE=QTR_STD&amp;SCFT=3&amp;window=popup_no_bar&amp;width=385&amp;height=120&amp;START_MAXIMIZED=FALSE&amp;creator=factset&amp;display_string=Audit"}</definedName>
    <definedName name="_654__FDSAUDITLINK__" hidden="1">{"fdsup://Directions/FactSet Auditing Viewer?action=AUDIT_VALUE&amp;DB=129&amp;ID1=50216110&amp;VALUEID=02001&amp;SDATE=201001&amp;PERIODTYPE=QTR_STD&amp;SCFT=3&amp;window=popup_no_bar&amp;width=385&amp;height=120&amp;START_MAXIMIZED=FALSE&amp;creator=factset&amp;display_string=Audit"}</definedName>
    <definedName name="_655__FDSAUDITLINK__" localSheetId="7" hidden="1">{"fdsup://Directions/FactSet Auditing Viewer?action=AUDIT_VALUE&amp;DB=129&amp;ID1=51841510&amp;VALUEID=02001&amp;SDATE=201001&amp;PERIODTYPE=QTR_STD&amp;SCFT=3&amp;window=popup_no_bar&amp;width=385&amp;height=120&amp;START_MAXIMIZED=FALSE&amp;creator=factset&amp;display_string=Audit"}</definedName>
    <definedName name="_655__FDSAUDITLINK__" hidden="1">{"fdsup://Directions/FactSet Auditing Viewer?action=AUDIT_VALUE&amp;DB=129&amp;ID1=51841510&amp;VALUEID=02001&amp;SDATE=201001&amp;PERIODTYPE=QTR_STD&amp;SCFT=3&amp;window=popup_no_bar&amp;width=385&amp;height=120&amp;START_MAXIMIZED=FALSE&amp;creator=factset&amp;display_string=Audit"}</definedName>
    <definedName name="_656__FDSAUDITLINK__" localSheetId="7" hidden="1">{"fdsup://Directions/FactSet Auditing Viewer?action=AUDIT_VALUE&amp;DB=129&amp;ID1=51841510&amp;VALUEID=02001&amp;SDATE=201001&amp;PERIODTYPE=QTR_STD&amp;SCFT=3&amp;window=popup_no_bar&amp;width=385&amp;height=120&amp;START_MAXIMIZED=FALSE&amp;creator=factset&amp;display_string=Audit"}</definedName>
    <definedName name="_656__FDSAUDITLINK__" hidden="1">{"fdsup://Directions/FactSet Auditing Viewer?action=AUDIT_VALUE&amp;DB=129&amp;ID1=51841510&amp;VALUEID=02001&amp;SDATE=201001&amp;PERIODTYPE=QTR_STD&amp;SCFT=3&amp;window=popup_no_bar&amp;width=385&amp;height=120&amp;START_MAXIMIZED=FALSE&amp;creator=factset&amp;display_string=Audit"}</definedName>
    <definedName name="_657__FDSAUDITLINK__" localSheetId="7" hidden="1">{"fdsup://Directions/FactSet Auditing Viewer?action=AUDIT_VALUE&amp;DB=129&amp;ID1=51280710&amp;VALUEID=02001&amp;SDATE=201003&amp;PERIODTYPE=QTR_STD&amp;SCFT=3&amp;window=popup_no_bar&amp;width=385&amp;height=120&amp;START_MAXIMIZED=FALSE&amp;creator=factset&amp;display_string=Audit"}</definedName>
    <definedName name="_657__FDSAUDITLINK__" hidden="1">{"fdsup://Directions/FactSet Auditing Viewer?action=AUDIT_VALUE&amp;DB=129&amp;ID1=51280710&amp;VALUEID=02001&amp;SDATE=201003&amp;PERIODTYPE=QTR_STD&amp;SCFT=3&amp;window=popup_no_bar&amp;width=385&amp;height=120&amp;START_MAXIMIZED=FALSE&amp;creator=factset&amp;display_string=Audit"}</definedName>
    <definedName name="_658__FDSAUDITLINK__" localSheetId="7" hidden="1">{"fdsup://Directions/FactSet Auditing Viewer?action=AUDIT_VALUE&amp;DB=129&amp;ID1=51280710&amp;VALUEID=02001&amp;SDATE=201003&amp;PERIODTYPE=QTR_STD&amp;SCFT=3&amp;window=popup_no_bar&amp;width=385&amp;height=120&amp;START_MAXIMIZED=FALSE&amp;creator=factset&amp;display_string=Audit"}</definedName>
    <definedName name="_658__FDSAUDITLINK__" hidden="1">{"fdsup://Directions/FactSet Auditing Viewer?action=AUDIT_VALUE&amp;DB=129&amp;ID1=51280710&amp;VALUEID=02001&amp;SDATE=201003&amp;PERIODTYPE=QTR_STD&amp;SCFT=3&amp;window=popup_no_bar&amp;width=385&amp;height=120&amp;START_MAXIMIZED=FALSE&amp;creator=factset&amp;display_string=Audit"}</definedName>
    <definedName name="_659__FDSAUDITLINK__" localSheetId="7" hidden="1">{"fdsup://Directions/FactSet Auditing Viewer?action=AUDIT_VALUE&amp;DB=129&amp;ID1=53567810&amp;VALUEID=02001&amp;SDATE=201003&amp;PERIODTYPE=QTR_STD&amp;SCFT=3&amp;window=popup_no_bar&amp;width=385&amp;height=120&amp;START_MAXIMIZED=FALSE&amp;creator=factset&amp;display_string=Audit"}</definedName>
    <definedName name="_659__FDSAUDITLINK__" hidden="1">{"fdsup://Directions/FactSet Auditing Viewer?action=AUDIT_VALUE&amp;DB=129&amp;ID1=53567810&amp;VALUEID=02001&amp;SDATE=201003&amp;PERIODTYPE=QTR_STD&amp;SCFT=3&amp;window=popup_no_bar&amp;width=385&amp;height=120&amp;START_MAXIMIZED=FALSE&amp;creator=factset&amp;display_string=Audit"}</definedName>
    <definedName name="_66__FDSAUDITLINK__" localSheetId="7" hidden="1">{"fdsup://Directions/FactSet Auditing Viewer?action=AUDIT_VALUE&amp;DB=129&amp;ID1=59511210&amp;VALUEID=02001&amp;SDATE=201102&amp;PERIODTYPE=QTR_STD&amp;SCFT=3&amp;window=popup_no_bar&amp;width=385&amp;height=120&amp;START_MAXIMIZED=FALSE&amp;creator=factset&amp;display_string=Audit"}</definedName>
    <definedName name="_66__FDSAUDITLINK__" hidden="1">{"fdsup://Directions/FactSet Auditing Viewer?action=AUDIT_VALUE&amp;DB=129&amp;ID1=59511210&amp;VALUEID=02001&amp;SDATE=201102&amp;PERIODTYPE=QTR_STD&amp;SCFT=3&amp;window=popup_no_bar&amp;width=385&amp;height=120&amp;START_MAXIMIZED=FALSE&amp;creator=factset&amp;display_string=Audit"}</definedName>
    <definedName name="_660__FDSAUDITLINK__" localSheetId="7" hidden="1">{"fdsup://Directions/FactSet Auditing Viewer?action=AUDIT_VALUE&amp;DB=129&amp;ID1=53567810&amp;VALUEID=02001&amp;SDATE=201003&amp;PERIODTYPE=QTR_STD&amp;SCFT=3&amp;window=popup_no_bar&amp;width=385&amp;height=120&amp;START_MAXIMIZED=FALSE&amp;creator=factset&amp;display_string=Audit"}</definedName>
    <definedName name="_660__FDSAUDITLINK__" hidden="1">{"fdsup://Directions/FactSet Auditing Viewer?action=AUDIT_VALUE&amp;DB=129&amp;ID1=53567810&amp;VALUEID=02001&amp;SDATE=201003&amp;PERIODTYPE=QTR_STD&amp;SCFT=3&amp;window=popup_no_bar&amp;width=385&amp;height=120&amp;START_MAXIMIZED=FALSE&amp;creator=factset&amp;display_string=Audit"}</definedName>
    <definedName name="_661__FDSAUDITLINK__" localSheetId="7" hidden="1">{"fdsup://Directions/FactSet Auditing Viewer?action=AUDIT_VALUE&amp;DB=129&amp;ID1=48248010&amp;VALUEID=02001&amp;SDATE=201003&amp;PERIODTYPE=QTR_STD&amp;SCFT=3&amp;window=popup_no_bar&amp;width=385&amp;height=120&amp;START_MAXIMIZED=FALSE&amp;creator=factset&amp;display_string=Audit"}</definedName>
    <definedName name="_661__FDSAUDITLINK__" hidden="1">{"fdsup://Directions/FactSet Auditing Viewer?action=AUDIT_VALUE&amp;DB=129&amp;ID1=48248010&amp;VALUEID=02001&amp;SDATE=201003&amp;PERIODTYPE=QTR_STD&amp;SCFT=3&amp;window=popup_no_bar&amp;width=385&amp;height=120&amp;START_MAXIMIZED=FALSE&amp;creator=factset&amp;display_string=Audit"}</definedName>
    <definedName name="_662__FDSAUDITLINK__" localSheetId="7" hidden="1">{"fdsup://Directions/FactSet Auditing Viewer?action=AUDIT_VALUE&amp;DB=129&amp;ID1=48248010&amp;VALUEID=02001&amp;SDATE=201003&amp;PERIODTYPE=QTR_STD&amp;SCFT=3&amp;window=popup_no_bar&amp;width=385&amp;height=120&amp;START_MAXIMIZED=FALSE&amp;creator=factset&amp;display_string=Audit"}</definedName>
    <definedName name="_662__FDSAUDITLINK__" hidden="1">{"fdsup://Directions/FactSet Auditing Viewer?action=AUDIT_VALUE&amp;DB=129&amp;ID1=48248010&amp;VALUEID=02001&amp;SDATE=201003&amp;PERIODTYPE=QTR_STD&amp;SCFT=3&amp;window=popup_no_bar&amp;width=385&amp;height=120&amp;START_MAXIMIZED=FALSE&amp;creator=factset&amp;display_string=Audit"}</definedName>
    <definedName name="_663__FDSAUDITLINK__" localSheetId="7" hidden="1">{"fdsup://Directions/FactSet Auditing Viewer?action=AUDIT_VALUE&amp;DB=129&amp;ID1=48203R10&amp;VALUEID=02001&amp;SDATE=201001&amp;PERIODTYPE=QTR_STD&amp;SCFT=3&amp;window=popup_no_bar&amp;width=385&amp;height=120&amp;START_MAXIMIZED=FALSE&amp;creator=factset&amp;display_string=Audit"}</definedName>
    <definedName name="_663__FDSAUDITLINK__" hidden="1">{"fdsup://Directions/FactSet Auditing Viewer?action=AUDIT_VALUE&amp;DB=129&amp;ID1=48203R10&amp;VALUEID=02001&amp;SDATE=201001&amp;PERIODTYPE=QTR_STD&amp;SCFT=3&amp;window=popup_no_bar&amp;width=385&amp;height=120&amp;START_MAXIMIZED=FALSE&amp;creator=factset&amp;display_string=Audit"}</definedName>
    <definedName name="_664__FDSAUDITLINK__" localSheetId="7" hidden="1">{"fdsup://Directions/FactSet Auditing Viewer?action=AUDIT_VALUE&amp;DB=129&amp;ID1=48203R10&amp;VALUEID=02001&amp;SDATE=201001&amp;PERIODTYPE=QTR_STD&amp;SCFT=3&amp;window=popup_no_bar&amp;width=385&amp;height=120&amp;START_MAXIMIZED=FALSE&amp;creator=factset&amp;display_string=Audit"}</definedName>
    <definedName name="_664__FDSAUDITLINK__" hidden="1">{"fdsup://Directions/FactSet Auditing Viewer?action=AUDIT_VALUE&amp;DB=129&amp;ID1=48203R10&amp;VALUEID=02001&amp;SDATE=201001&amp;PERIODTYPE=QTR_STD&amp;SCFT=3&amp;window=popup_no_bar&amp;width=385&amp;height=120&amp;START_MAXIMIZED=FALSE&amp;creator=factset&amp;display_string=Audit"}</definedName>
    <definedName name="_665__FDSAUDITLINK__" localSheetId="7" hidden="1">{"fdsup://Directions/FactSet Auditing Viewer?action=AUDIT_VALUE&amp;DB=129&amp;ID1=46069S10&amp;VALUEID=02001&amp;SDATE=201001&amp;PERIODTYPE=QTR_STD&amp;SCFT=3&amp;window=popup_no_bar&amp;width=385&amp;height=120&amp;START_MAXIMIZED=FALSE&amp;creator=factset&amp;display_string=Audit"}</definedName>
    <definedName name="_665__FDSAUDITLINK__" hidden="1">{"fdsup://Directions/FactSet Auditing Viewer?action=AUDIT_VALUE&amp;DB=129&amp;ID1=46069S10&amp;VALUEID=02001&amp;SDATE=201001&amp;PERIODTYPE=QTR_STD&amp;SCFT=3&amp;window=popup_no_bar&amp;width=385&amp;height=120&amp;START_MAXIMIZED=FALSE&amp;creator=factset&amp;display_string=Audit"}</definedName>
    <definedName name="_666__FDSAUDITLINK__" localSheetId="7" hidden="1">{"fdsup://Directions/FactSet Auditing Viewer?action=AUDIT_VALUE&amp;DB=129&amp;ID1=46069S10&amp;VALUEID=02001&amp;SDATE=201001&amp;PERIODTYPE=QTR_STD&amp;SCFT=3&amp;window=popup_no_bar&amp;width=385&amp;height=120&amp;START_MAXIMIZED=FALSE&amp;creator=factset&amp;display_string=Audit"}</definedName>
    <definedName name="_666__FDSAUDITLINK__" hidden="1">{"fdsup://Directions/FactSet Auditing Viewer?action=AUDIT_VALUE&amp;DB=129&amp;ID1=46069S10&amp;VALUEID=02001&amp;SDATE=201001&amp;PERIODTYPE=QTR_STD&amp;SCFT=3&amp;window=popup_no_bar&amp;width=385&amp;height=120&amp;START_MAXIMIZED=FALSE&amp;creator=factset&amp;display_string=Audit"}</definedName>
    <definedName name="_667__FDSAUDITLINK__" localSheetId="7" hidden="1">{"fdsup://Directions/FactSet Auditing Viewer?action=AUDIT_VALUE&amp;DB=129&amp;ID1=46025410&amp;VALUEID=02001&amp;SDATE=201003&amp;PERIODTYPE=QTR_STD&amp;SCFT=3&amp;window=popup_no_bar&amp;width=385&amp;height=120&amp;START_MAXIMIZED=FALSE&amp;creator=factset&amp;display_string=Audit"}</definedName>
    <definedName name="_667__FDSAUDITLINK__" hidden="1">{"fdsup://Directions/FactSet Auditing Viewer?action=AUDIT_VALUE&amp;DB=129&amp;ID1=46025410&amp;VALUEID=02001&amp;SDATE=201003&amp;PERIODTYPE=QTR_STD&amp;SCFT=3&amp;window=popup_no_bar&amp;width=385&amp;height=120&amp;START_MAXIMIZED=FALSE&amp;creator=factset&amp;display_string=Audit"}</definedName>
    <definedName name="_668__FDSAUDITLINK__" localSheetId="7" hidden="1">{"fdsup://Directions/FactSet Auditing Viewer?action=AUDIT_VALUE&amp;DB=129&amp;ID1=46025410&amp;VALUEID=02001&amp;SDATE=201003&amp;PERIODTYPE=QTR_STD&amp;SCFT=3&amp;window=popup_no_bar&amp;width=385&amp;height=120&amp;START_MAXIMIZED=FALSE&amp;creator=factset&amp;display_string=Audit"}</definedName>
    <definedName name="_668__FDSAUDITLINK__" hidden="1">{"fdsup://Directions/FactSet Auditing Viewer?action=AUDIT_VALUE&amp;DB=129&amp;ID1=46025410&amp;VALUEID=02001&amp;SDATE=201003&amp;PERIODTYPE=QTR_STD&amp;SCFT=3&amp;window=popup_no_bar&amp;width=385&amp;height=120&amp;START_MAXIMIZED=FALSE&amp;creator=factset&amp;display_string=Audit"}</definedName>
    <definedName name="_669__FDSAUDITLINK__" localSheetId="7" hidden="1">{"fdsup://Directions/FactSet Auditing Viewer?action=AUDIT_VALUE&amp;DB=129&amp;ID1=45814010&amp;VALUEID=02001&amp;SDATE=201001&amp;PERIODTYPE=QTR_STD&amp;SCFT=3&amp;window=popup_no_bar&amp;width=385&amp;height=120&amp;START_MAXIMIZED=FALSE&amp;creator=factset&amp;display_string=Audit"}</definedName>
    <definedName name="_669__FDSAUDITLINK__" hidden="1">{"fdsup://Directions/FactSet Auditing Viewer?action=AUDIT_VALUE&amp;DB=129&amp;ID1=45814010&amp;VALUEID=02001&amp;SDATE=201001&amp;PERIODTYPE=QTR_STD&amp;SCFT=3&amp;window=popup_no_bar&amp;width=385&amp;height=120&amp;START_MAXIMIZED=FALSE&amp;creator=factset&amp;display_string=Audit"}</definedName>
    <definedName name="_67__FDSAUDITLINK__" localSheetId="7" hidden="1">{"fdsup://Directions/FactSet Auditing Viewer?action=AUDIT_VALUE&amp;DB=129&amp;ID1=59513710&amp;VALUEID=02001&amp;SDATE=201102&amp;PERIODTYPE=QTR_STD&amp;SCFT=3&amp;window=popup_no_bar&amp;width=385&amp;height=120&amp;START_MAXIMIZED=FALSE&amp;creator=factset&amp;display_string=Audit"}</definedName>
    <definedName name="_67__FDSAUDITLINK__" hidden="1">{"fdsup://Directions/FactSet Auditing Viewer?action=AUDIT_VALUE&amp;DB=129&amp;ID1=59513710&amp;VALUEID=02001&amp;SDATE=201102&amp;PERIODTYPE=QTR_STD&amp;SCFT=3&amp;window=popup_no_bar&amp;width=385&amp;height=120&amp;START_MAXIMIZED=FALSE&amp;creator=factset&amp;display_string=Audit"}</definedName>
    <definedName name="_670__FDSAUDITLINK__" localSheetId="7" hidden="1">{"fdsup://Directions/FactSet Auditing Viewer?action=AUDIT_VALUE&amp;DB=129&amp;ID1=45814010&amp;VALUEID=02001&amp;SDATE=201001&amp;PERIODTYPE=QTR_STD&amp;SCFT=3&amp;window=popup_no_bar&amp;width=385&amp;height=120&amp;START_MAXIMIZED=FALSE&amp;creator=factset&amp;display_string=Audit"}</definedName>
    <definedName name="_670__FDSAUDITLINK__" hidden="1">{"fdsup://Directions/FactSet Auditing Viewer?action=AUDIT_VALUE&amp;DB=129&amp;ID1=45814010&amp;VALUEID=02001&amp;SDATE=201001&amp;PERIODTYPE=QTR_STD&amp;SCFT=3&amp;window=popup_no_bar&amp;width=385&amp;height=120&amp;START_MAXIMIZED=FALSE&amp;creator=factset&amp;display_string=Audit"}</definedName>
    <definedName name="_671__FDSAUDITLINK__" localSheetId="7" hidden="1">{"fdsup://Directions/FactSet Auditing Viewer?action=AUDIT_VALUE&amp;DB=129&amp;ID1=42823610&amp;VALUEID=02001&amp;SDATE=201002&amp;PERIODTYPE=QTR_STD&amp;SCFT=3&amp;window=popup_no_bar&amp;width=385&amp;height=120&amp;START_MAXIMIZED=FALSE&amp;creator=factset&amp;display_string=Audit"}</definedName>
    <definedName name="_671__FDSAUDITLINK__" hidden="1">{"fdsup://Directions/FactSet Auditing Viewer?action=AUDIT_VALUE&amp;DB=129&amp;ID1=42823610&amp;VALUEID=02001&amp;SDATE=201002&amp;PERIODTYPE=QTR_STD&amp;SCFT=3&amp;window=popup_no_bar&amp;width=385&amp;height=120&amp;START_MAXIMIZED=FALSE&amp;creator=factset&amp;display_string=Audit"}</definedName>
    <definedName name="_672__FDSAUDITLINK__" localSheetId="7" hidden="1">{"fdsup://Directions/FactSet Auditing Viewer?action=AUDIT_VALUE&amp;DB=129&amp;ID1=42823610&amp;VALUEID=02001&amp;SDATE=201002&amp;PERIODTYPE=QTR_STD&amp;SCFT=3&amp;window=popup_no_bar&amp;width=385&amp;height=120&amp;START_MAXIMIZED=FALSE&amp;creator=factset&amp;display_string=Audit"}</definedName>
    <definedName name="_672__FDSAUDITLINK__" hidden="1">{"fdsup://Directions/FactSet Auditing Viewer?action=AUDIT_VALUE&amp;DB=129&amp;ID1=42823610&amp;VALUEID=02001&amp;SDATE=201002&amp;PERIODTYPE=QTR_STD&amp;SCFT=3&amp;window=popup_no_bar&amp;width=385&amp;height=120&amp;START_MAXIMIZED=FALSE&amp;creator=factset&amp;display_string=Audit"}</definedName>
    <definedName name="_673__FDSAUDITLINK__" localSheetId="7" hidden="1">{"fdsup://Directions/FactSet Auditing Viewer?action=AUDIT_VALUE&amp;DB=129&amp;ID1=H2906T10&amp;VALUEID=02001&amp;SDATE=201001&amp;PERIODTYPE=QTR_STD&amp;SCFT=3&amp;window=popup_no_bar&amp;width=385&amp;height=120&amp;START_MAXIMIZED=FALSE&amp;creator=factset&amp;display_string=Audit"}</definedName>
    <definedName name="_673__FDSAUDITLINK__" hidden="1">{"fdsup://Directions/FactSet Auditing Viewer?action=AUDIT_VALUE&amp;DB=129&amp;ID1=H2906T10&amp;VALUEID=02001&amp;SDATE=201001&amp;PERIODTYPE=QTR_STD&amp;SCFT=3&amp;window=popup_no_bar&amp;width=385&amp;height=120&amp;START_MAXIMIZED=FALSE&amp;creator=factset&amp;display_string=Audit"}</definedName>
    <definedName name="_674__FDSAUDITLINK__" localSheetId="7" hidden="1">{"fdsup://Directions/FactSet Auditing Viewer?action=AUDIT_VALUE&amp;DB=129&amp;ID1=H2906T10&amp;VALUEID=02001&amp;SDATE=201001&amp;PERIODTYPE=QTR_STD&amp;SCFT=3&amp;window=popup_no_bar&amp;width=385&amp;height=120&amp;START_MAXIMIZED=FALSE&amp;creator=factset&amp;display_string=Audit"}</definedName>
    <definedName name="_674__FDSAUDITLINK__" hidden="1">{"fdsup://Directions/FactSet Auditing Viewer?action=AUDIT_VALUE&amp;DB=129&amp;ID1=H2906T10&amp;VALUEID=02001&amp;SDATE=201001&amp;PERIODTYPE=QTR_STD&amp;SCFT=3&amp;window=popup_no_bar&amp;width=385&amp;height=120&amp;START_MAXIMIZED=FALSE&amp;creator=factset&amp;display_string=Audit"}</definedName>
    <definedName name="_675__FDSAUDITLINK__" localSheetId="7" hidden="1">{"fdsup://Directions/FactSet Auditing Viewer?action=AUDIT_VALUE&amp;DB=129&amp;ID1=34637510&amp;VALUEID=02001&amp;SDATE=201001&amp;PERIODTYPE=QTR_STD&amp;SCFT=3&amp;window=popup_no_bar&amp;width=385&amp;height=120&amp;START_MAXIMIZED=FALSE&amp;creator=factset&amp;display_string=Audit"}</definedName>
    <definedName name="_675__FDSAUDITLINK__" hidden="1">{"fdsup://Directions/FactSet Auditing Viewer?action=AUDIT_VALUE&amp;DB=129&amp;ID1=34637510&amp;VALUEID=02001&amp;SDATE=201001&amp;PERIODTYPE=QTR_STD&amp;SCFT=3&amp;window=popup_no_bar&amp;width=385&amp;height=120&amp;START_MAXIMIZED=FALSE&amp;creator=factset&amp;display_string=Audit"}</definedName>
    <definedName name="_676__FDSAUDITLINK__" localSheetId="7" hidden="1">{"fdsup://Directions/FactSet Auditing Viewer?action=AUDIT_VALUE&amp;DB=129&amp;ID1=34637510&amp;VALUEID=02001&amp;SDATE=201001&amp;PERIODTYPE=QTR_STD&amp;SCFT=3&amp;window=popup_no_bar&amp;width=385&amp;height=120&amp;START_MAXIMIZED=FALSE&amp;creator=factset&amp;display_string=Audit"}</definedName>
    <definedName name="_676__FDSAUDITLINK__" hidden="1">{"fdsup://Directions/FactSet Auditing Viewer?action=AUDIT_VALUE&amp;DB=129&amp;ID1=34637510&amp;VALUEID=02001&amp;SDATE=201001&amp;PERIODTYPE=QTR_STD&amp;SCFT=3&amp;window=popup_no_bar&amp;width=385&amp;height=120&amp;START_MAXIMIZED=FALSE&amp;creator=factset&amp;display_string=Audit"}</definedName>
    <definedName name="_677__FDSAUDITLINK__" localSheetId="7" hidden="1">{"fdsup://Directions/FactSet Auditing Viewer?action=AUDIT_VALUE&amp;DB=129&amp;ID1=31561610&amp;VALUEID=02001&amp;SDATE=201002&amp;PERIODTYPE=QTR_STD&amp;SCFT=3&amp;window=popup_no_bar&amp;width=385&amp;height=120&amp;START_MAXIMIZED=FALSE&amp;creator=factset&amp;display_string=Audit"}</definedName>
    <definedName name="_677__FDSAUDITLINK__" hidden="1">{"fdsup://Directions/FactSet Auditing Viewer?action=AUDIT_VALUE&amp;DB=129&amp;ID1=31561610&amp;VALUEID=02001&amp;SDATE=201002&amp;PERIODTYPE=QTR_STD&amp;SCFT=3&amp;window=popup_no_bar&amp;width=385&amp;height=120&amp;START_MAXIMIZED=FALSE&amp;creator=factset&amp;display_string=Audit"}</definedName>
    <definedName name="_678__FDSAUDITLINK__" localSheetId="7" hidden="1">{"fdsup://Directions/FactSet Auditing Viewer?action=AUDIT_VALUE&amp;DB=129&amp;ID1=31561610&amp;VALUEID=02001&amp;SDATE=201002&amp;PERIODTYPE=QTR_STD&amp;SCFT=3&amp;window=popup_no_bar&amp;width=385&amp;height=120&amp;START_MAXIMIZED=FALSE&amp;creator=factset&amp;display_string=Audit"}</definedName>
    <definedName name="_678__FDSAUDITLINK__" hidden="1">{"fdsup://Directions/FactSet Auditing Viewer?action=AUDIT_VALUE&amp;DB=129&amp;ID1=31561610&amp;VALUEID=02001&amp;SDATE=201002&amp;PERIODTYPE=QTR_STD&amp;SCFT=3&amp;window=popup_no_bar&amp;width=385&amp;height=120&amp;START_MAXIMIZED=FALSE&amp;creator=factset&amp;display_string=Audit"}</definedName>
    <definedName name="_679__FDSAUDITLINK__" localSheetId="7" hidden="1">{"fdsup://Directions/FactSet Auditing Viewer?action=AUDIT_VALUE&amp;DB=129&amp;ID1=29247520&amp;VALUEID=02001&amp;SDATE=201003&amp;PERIODTYPE=QTR_STD&amp;SCFT=3&amp;window=popup_no_bar&amp;width=385&amp;height=120&amp;START_MAXIMIZED=FALSE&amp;creator=factset&amp;display_string=Audit"}</definedName>
    <definedName name="_679__FDSAUDITLINK__" hidden="1">{"fdsup://Directions/FactSet Auditing Viewer?action=AUDIT_VALUE&amp;DB=129&amp;ID1=29247520&amp;VALUEID=02001&amp;SDATE=201003&amp;PERIODTYPE=QTR_STD&amp;SCFT=3&amp;window=popup_no_bar&amp;width=385&amp;height=120&amp;START_MAXIMIZED=FALSE&amp;creator=factset&amp;display_string=Audit"}</definedName>
    <definedName name="_68__FDSAUDITLINK__" localSheetId="7" hidden="1">{"fdsup://Directions/FactSet Auditing Viewer?action=AUDIT_VALUE&amp;DB=129&amp;ID1=59513710&amp;VALUEID=02001&amp;SDATE=201102&amp;PERIODTYPE=QTR_STD&amp;SCFT=3&amp;window=popup_no_bar&amp;width=385&amp;height=120&amp;START_MAXIMIZED=FALSE&amp;creator=factset&amp;display_string=Audit"}</definedName>
    <definedName name="_68__FDSAUDITLINK__" hidden="1">{"fdsup://Directions/FactSet Auditing Viewer?action=AUDIT_VALUE&amp;DB=129&amp;ID1=59513710&amp;VALUEID=02001&amp;SDATE=201102&amp;PERIODTYPE=QTR_STD&amp;SCFT=3&amp;window=popup_no_bar&amp;width=385&amp;height=120&amp;START_MAXIMIZED=FALSE&amp;creator=factset&amp;display_string=Audit"}</definedName>
    <definedName name="_680__FDSAUDITLINK__" localSheetId="7" hidden="1">{"fdsup://Directions/FactSet Auditing Viewer?action=AUDIT_VALUE&amp;DB=129&amp;ID1=29247520&amp;VALUEID=02001&amp;SDATE=201003&amp;PERIODTYPE=QTR_STD&amp;SCFT=3&amp;window=popup_no_bar&amp;width=385&amp;height=120&amp;START_MAXIMIZED=FALSE&amp;creator=factset&amp;display_string=Audit"}</definedName>
    <definedName name="_680__FDSAUDITLINK__" hidden="1">{"fdsup://Directions/FactSet Auditing Viewer?action=AUDIT_VALUE&amp;DB=129&amp;ID1=29247520&amp;VALUEID=02001&amp;SDATE=201003&amp;PERIODTYPE=QTR_STD&amp;SCFT=3&amp;window=popup_no_bar&amp;width=385&amp;height=120&amp;START_MAXIMIZED=FALSE&amp;creator=factset&amp;display_string=Audit"}</definedName>
    <definedName name="_681__FDSAUDITLINK__" localSheetId="7" hidden="1">{"fdsup://Directions/FactSet Auditing Viewer?action=AUDIT_VALUE&amp;DB=129&amp;ID1=25454310&amp;VALUEID=02001&amp;SDATE=201001&amp;PERIODTYPE=QTR_STD&amp;SCFT=3&amp;window=popup_no_bar&amp;width=385&amp;height=120&amp;START_MAXIMIZED=FALSE&amp;creator=factset&amp;display_string=Audit"}</definedName>
    <definedName name="_681__FDSAUDITLINK__" hidden="1">{"fdsup://Directions/FactSet Auditing Viewer?action=AUDIT_VALUE&amp;DB=129&amp;ID1=25454310&amp;VALUEID=02001&amp;SDATE=201001&amp;PERIODTYPE=QTR_STD&amp;SCFT=3&amp;window=popup_no_bar&amp;width=385&amp;height=120&amp;START_MAXIMIZED=FALSE&amp;creator=factset&amp;display_string=Audit"}</definedName>
    <definedName name="_682__FDSAUDITLINK__" localSheetId="7" hidden="1">{"fdsup://Directions/FactSet Auditing Viewer?action=AUDIT_VALUE&amp;DB=129&amp;ID1=25454310&amp;VALUEID=02001&amp;SDATE=201001&amp;PERIODTYPE=QTR_STD&amp;SCFT=3&amp;window=popup_no_bar&amp;width=385&amp;height=120&amp;START_MAXIMIZED=FALSE&amp;creator=factset&amp;display_string=Audit"}</definedName>
    <definedName name="_682__FDSAUDITLINK__" hidden="1">{"fdsup://Directions/FactSet Auditing Viewer?action=AUDIT_VALUE&amp;DB=129&amp;ID1=25454310&amp;VALUEID=02001&amp;SDATE=201001&amp;PERIODTYPE=QTR_STD&amp;SCFT=3&amp;window=popup_no_bar&amp;width=385&amp;height=120&amp;START_MAXIMIZED=FALSE&amp;creator=factset&amp;display_string=Audit"}</definedName>
    <definedName name="_683__FDSAUDITLINK__" localSheetId="7" hidden="1">{"fdsup://Directions/FactSet Auditing Viewer?action=AUDIT_VALUE&amp;DB=129&amp;ID1=24702R10&amp;VALUEID=02001&amp;SDATE=201001&amp;PERIODTYPE=QTR_STD&amp;SCFT=3&amp;window=popup_no_bar&amp;width=385&amp;height=120&amp;START_MAXIMIZED=FALSE&amp;creator=factset&amp;display_string=Audit"}</definedName>
    <definedName name="_683__FDSAUDITLINK__" hidden="1">{"fdsup://Directions/FactSet Auditing Viewer?action=AUDIT_VALUE&amp;DB=129&amp;ID1=24702R10&amp;VALUEID=02001&amp;SDATE=201001&amp;PERIODTYPE=QTR_STD&amp;SCFT=3&amp;window=popup_no_bar&amp;width=385&amp;height=120&amp;START_MAXIMIZED=FALSE&amp;creator=factset&amp;display_string=Audit"}</definedName>
    <definedName name="_684__FDSAUDITLINK__" localSheetId="7" hidden="1">{"fdsup://Directions/FactSet Auditing Viewer?action=AUDIT_VALUE&amp;DB=129&amp;ID1=24702R10&amp;VALUEID=02001&amp;SDATE=201001&amp;PERIODTYPE=QTR_STD&amp;SCFT=3&amp;window=popup_no_bar&amp;width=385&amp;height=120&amp;START_MAXIMIZED=FALSE&amp;creator=factset&amp;display_string=Audit"}</definedName>
    <definedName name="_684__FDSAUDITLINK__" hidden="1">{"fdsup://Directions/FactSet Auditing Viewer?action=AUDIT_VALUE&amp;DB=129&amp;ID1=24702R10&amp;VALUEID=02001&amp;SDATE=201001&amp;PERIODTYPE=QTR_STD&amp;SCFT=3&amp;window=popup_no_bar&amp;width=385&amp;height=120&amp;START_MAXIMIZED=FALSE&amp;creator=factset&amp;display_string=Audit"}</definedName>
    <definedName name="_685__FDSAUDITLINK__" localSheetId="7" hidden="1">{"fdsup://Directions/FactSet Auditing Viewer?action=AUDIT_VALUE&amp;DB=129&amp;ID1=23257210&amp;VALUEID=02001&amp;SDATE=201001&amp;PERIODTYPE=QTR_STD&amp;SCFT=3&amp;window=popup_no_bar&amp;width=385&amp;height=120&amp;START_MAXIMIZED=FALSE&amp;creator=factset&amp;display_string=Audit"}</definedName>
    <definedName name="_685__FDSAUDITLINK__" hidden="1">{"fdsup://Directions/FactSet Auditing Viewer?action=AUDIT_VALUE&amp;DB=129&amp;ID1=23257210&amp;VALUEID=02001&amp;SDATE=201001&amp;PERIODTYPE=QTR_STD&amp;SCFT=3&amp;window=popup_no_bar&amp;width=385&amp;height=120&amp;START_MAXIMIZED=FALSE&amp;creator=factset&amp;display_string=Audit"}</definedName>
    <definedName name="_686__FDSAUDITLINK__" localSheetId="7" hidden="1">{"fdsup://Directions/FactSet Auditing Viewer?action=AUDIT_VALUE&amp;DB=129&amp;ID1=23257210&amp;VALUEID=02001&amp;SDATE=201001&amp;PERIODTYPE=QTR_STD&amp;SCFT=3&amp;window=popup_no_bar&amp;width=385&amp;height=120&amp;START_MAXIMIZED=FALSE&amp;creator=factset&amp;display_string=Audit"}</definedName>
    <definedName name="_686__FDSAUDITLINK__" hidden="1">{"fdsup://Directions/FactSet Auditing Viewer?action=AUDIT_VALUE&amp;DB=129&amp;ID1=23257210&amp;VALUEID=02001&amp;SDATE=201001&amp;PERIODTYPE=QTR_STD&amp;SCFT=3&amp;window=popup_no_bar&amp;width=385&amp;height=120&amp;START_MAXIMIZED=FALSE&amp;creator=factset&amp;display_string=Audit"}</definedName>
    <definedName name="_687__FDSAUDITLINK__" localSheetId="7" hidden="1">{"fdsup://Directions/FactSet Auditing Viewer?action=AUDIT_VALUE&amp;DB=129&amp;ID1=23280610&amp;VALUEID=02001&amp;SDATE=201001&amp;PERIODTYPE=QTR_STD&amp;SCFT=3&amp;window=popup_no_bar&amp;width=385&amp;height=120&amp;START_MAXIMIZED=FALSE&amp;creator=factset&amp;display_string=Audit"}</definedName>
    <definedName name="_687__FDSAUDITLINK__" hidden="1">{"fdsup://Directions/FactSet Auditing Viewer?action=AUDIT_VALUE&amp;DB=129&amp;ID1=23280610&amp;VALUEID=02001&amp;SDATE=201001&amp;PERIODTYPE=QTR_STD&amp;SCFT=3&amp;window=popup_no_bar&amp;width=385&amp;height=120&amp;START_MAXIMIZED=FALSE&amp;creator=factset&amp;display_string=Audit"}</definedName>
    <definedName name="_688__FDSAUDITLINK__" localSheetId="7" hidden="1">{"fdsup://Directions/FactSet Auditing Viewer?action=AUDIT_VALUE&amp;DB=129&amp;ID1=23280610&amp;VALUEID=02001&amp;SDATE=201001&amp;PERIODTYPE=QTR_STD&amp;SCFT=3&amp;window=popup_no_bar&amp;width=385&amp;height=120&amp;START_MAXIMIZED=FALSE&amp;creator=factset&amp;display_string=Audit"}</definedName>
    <definedName name="_688__FDSAUDITLINK__" hidden="1">{"fdsup://Directions/FactSet Auditing Viewer?action=AUDIT_VALUE&amp;DB=129&amp;ID1=23280610&amp;VALUEID=02001&amp;SDATE=201001&amp;PERIODTYPE=QTR_STD&amp;SCFT=3&amp;window=popup_no_bar&amp;width=385&amp;height=120&amp;START_MAXIMIZED=FALSE&amp;creator=factset&amp;display_string=Audit"}</definedName>
    <definedName name="_689__FDSAUDITLINK__" localSheetId="7" hidden="1">{"fdsup://Directions/FactSet Auditing Viewer?action=AUDIT_VALUE&amp;DB=129&amp;ID1=17275R10&amp;VALUEID=02001&amp;SDATE=201003&amp;PERIODTYPE=QTR_STD&amp;SCFT=3&amp;window=popup_no_bar&amp;width=385&amp;height=120&amp;START_MAXIMIZED=FALSE&amp;creator=factset&amp;display_string=Audit"}</definedName>
    <definedName name="_689__FDSAUDITLINK__" hidden="1">{"fdsup://Directions/FactSet Auditing Viewer?action=AUDIT_VALUE&amp;DB=129&amp;ID1=17275R10&amp;VALUEID=02001&amp;SDATE=201003&amp;PERIODTYPE=QTR_STD&amp;SCFT=3&amp;window=popup_no_bar&amp;width=385&amp;height=120&amp;START_MAXIMIZED=FALSE&amp;creator=factset&amp;display_string=Audit"}</definedName>
    <definedName name="_69__FDSAUDITLINK__" localSheetId="7" hidden="1">{"fdsup://Directions/FactSet Auditing Viewer?action=AUDIT_VALUE&amp;DB=129&amp;ID1=G5876H10&amp;VALUEID=02001&amp;SDATE=201101&amp;PERIODTYPE=QTR_STD&amp;SCFT=3&amp;window=popup_no_bar&amp;width=385&amp;height=120&amp;START_MAXIMIZED=FALSE&amp;creator=factset&amp;display_string=Audit"}</definedName>
    <definedName name="_69__FDSAUDITLINK__" hidden="1">{"fdsup://Directions/FactSet Auditing Viewer?action=AUDIT_VALUE&amp;DB=129&amp;ID1=G5876H10&amp;VALUEID=02001&amp;SDATE=201101&amp;PERIODTYPE=QTR_STD&amp;SCFT=3&amp;window=popup_no_bar&amp;width=385&amp;height=120&amp;START_MAXIMIZED=FALSE&amp;creator=factset&amp;display_string=Audit"}</definedName>
    <definedName name="_690__FDSAUDITLINK__" localSheetId="7" hidden="1">{"fdsup://Directions/FactSet Auditing Viewer?action=AUDIT_VALUE&amp;DB=129&amp;ID1=17275R10&amp;VALUEID=02001&amp;SDATE=201003&amp;PERIODTYPE=QTR_STD&amp;SCFT=3&amp;window=popup_no_bar&amp;width=385&amp;height=120&amp;START_MAXIMIZED=FALSE&amp;creator=factset&amp;display_string=Audit"}</definedName>
    <definedName name="_690__FDSAUDITLINK__" hidden="1">{"fdsup://Directions/FactSet Auditing Viewer?action=AUDIT_VALUE&amp;DB=129&amp;ID1=17275R10&amp;VALUEID=02001&amp;SDATE=201003&amp;PERIODTYPE=QTR_STD&amp;SCFT=3&amp;window=popup_no_bar&amp;width=385&amp;height=120&amp;START_MAXIMIZED=FALSE&amp;creator=factset&amp;display_string=Audit"}</definedName>
    <definedName name="_691__FDSAUDITLINK__" localSheetId="7" hidden="1">{"fdsup://Directions/FactSet Auditing Viewer?action=AUDIT_VALUE&amp;DB=129&amp;ID1=22544710&amp;VALUEID=02001&amp;SDATE=201003&amp;PERIODTYPE=QTR_STD&amp;SCFT=3&amp;window=popup_no_bar&amp;width=385&amp;height=120&amp;START_MAXIMIZED=FALSE&amp;creator=factset&amp;display_string=Audit"}</definedName>
    <definedName name="_691__FDSAUDITLINK__" hidden="1">{"fdsup://Directions/FactSet Auditing Viewer?action=AUDIT_VALUE&amp;DB=129&amp;ID1=22544710&amp;VALUEID=02001&amp;SDATE=201003&amp;PERIODTYPE=QTR_STD&amp;SCFT=3&amp;window=popup_no_bar&amp;width=385&amp;height=120&amp;START_MAXIMIZED=FALSE&amp;creator=factset&amp;display_string=Audit"}</definedName>
    <definedName name="_692__FDSAUDITLINK__" localSheetId="7" hidden="1">{"fdsup://Directions/FactSet Auditing Viewer?action=AUDIT_VALUE&amp;DB=129&amp;ID1=22544710&amp;VALUEID=02001&amp;SDATE=201003&amp;PERIODTYPE=QTR_STD&amp;SCFT=3&amp;window=popup_no_bar&amp;width=385&amp;height=120&amp;START_MAXIMIZED=FALSE&amp;creator=factset&amp;display_string=Audit"}</definedName>
    <definedName name="_692__FDSAUDITLINK__" hidden="1">{"fdsup://Directions/FactSet Auditing Viewer?action=AUDIT_VALUE&amp;DB=129&amp;ID1=22544710&amp;VALUEID=02001&amp;SDATE=201003&amp;PERIODTYPE=QTR_STD&amp;SCFT=3&amp;window=popup_no_bar&amp;width=385&amp;height=120&amp;START_MAXIMIZED=FALSE&amp;creator=factset&amp;display_string=Audit"}</definedName>
    <definedName name="_693__FDSAUDITLINK__" localSheetId="7" hidden="1">{"fdsup://Directions/FactSet Auditing Viewer?action=AUDIT_VALUE&amp;DB=129&amp;ID1=20714230&amp;VALUEID=02001&amp;SDATE=201002&amp;PERIODTYPE=QTR_STD&amp;SCFT=3&amp;window=popup_no_bar&amp;width=385&amp;height=120&amp;START_MAXIMIZED=FALSE&amp;creator=factset&amp;display_string=Audit"}</definedName>
    <definedName name="_693__FDSAUDITLINK__" hidden="1">{"fdsup://Directions/FactSet Auditing Viewer?action=AUDIT_VALUE&amp;DB=129&amp;ID1=20714230&amp;VALUEID=02001&amp;SDATE=201002&amp;PERIODTYPE=QTR_STD&amp;SCFT=3&amp;window=popup_no_bar&amp;width=385&amp;height=120&amp;START_MAXIMIZED=FALSE&amp;creator=factset&amp;display_string=Audit"}</definedName>
    <definedName name="_694__FDSAUDITLINK__" localSheetId="7" hidden="1">{"fdsup://Directions/FactSet Auditing Viewer?action=AUDIT_VALUE&amp;DB=129&amp;ID1=20714230&amp;VALUEID=02001&amp;SDATE=201002&amp;PERIODTYPE=QTR_STD&amp;SCFT=3&amp;window=popup_no_bar&amp;width=385&amp;height=120&amp;START_MAXIMIZED=FALSE&amp;creator=factset&amp;display_string=Audit"}</definedName>
    <definedName name="_694__FDSAUDITLINK__" hidden="1">{"fdsup://Directions/FactSet Auditing Viewer?action=AUDIT_VALUE&amp;DB=129&amp;ID1=20714230&amp;VALUEID=02001&amp;SDATE=201002&amp;PERIODTYPE=QTR_STD&amp;SCFT=3&amp;window=popup_no_bar&amp;width=385&amp;height=120&amp;START_MAXIMIZED=FALSE&amp;creator=factset&amp;display_string=Audit"}</definedName>
    <definedName name="_695__FDSAUDITLINK__" localSheetId="7" hidden="1">{"fdsup://Directions/FactSet Auditing Viewer?action=AUDIT_VALUE&amp;DB=129&amp;ID1=12738710&amp;VALUEID=02001&amp;SDATE=201001&amp;PERIODTYPE=QTR_STD&amp;SCFT=3&amp;window=popup_no_bar&amp;width=385&amp;height=120&amp;START_MAXIMIZED=FALSE&amp;creator=factset&amp;display_string=Audit"}</definedName>
    <definedName name="_695__FDSAUDITLINK__" hidden="1">{"fdsup://Directions/FactSet Auditing Viewer?action=AUDIT_VALUE&amp;DB=129&amp;ID1=12738710&amp;VALUEID=02001&amp;SDATE=201001&amp;PERIODTYPE=QTR_STD&amp;SCFT=3&amp;window=popup_no_bar&amp;width=385&amp;height=120&amp;START_MAXIMIZED=FALSE&amp;creator=factset&amp;display_string=Audit"}</definedName>
    <definedName name="_696__FDSAUDITLINK__" localSheetId="7" hidden="1">{"fdsup://Directions/FactSet Auditing Viewer?action=AUDIT_VALUE&amp;DB=129&amp;ID1=12738710&amp;VALUEID=02001&amp;SDATE=201001&amp;PERIODTYPE=QTR_STD&amp;SCFT=3&amp;window=popup_no_bar&amp;width=385&amp;height=120&amp;START_MAXIMIZED=FALSE&amp;creator=factset&amp;display_string=Audit"}</definedName>
    <definedName name="_696__FDSAUDITLINK__" hidden="1">{"fdsup://Directions/FactSet Auditing Viewer?action=AUDIT_VALUE&amp;DB=129&amp;ID1=12738710&amp;VALUEID=02001&amp;SDATE=201001&amp;PERIODTYPE=QTR_STD&amp;SCFT=3&amp;window=popup_no_bar&amp;width=385&amp;height=120&amp;START_MAXIMIZED=FALSE&amp;creator=factset&amp;display_string=Audit"}</definedName>
    <definedName name="_697__FDSAUDITLINK__" localSheetId="7" hidden="1">{"fdsup://Directions/FactSet Auditing Viewer?action=AUDIT_VALUE&amp;DB=129&amp;ID1=14964U10&amp;VALUEID=02001&amp;SDATE=201001&amp;PERIODTYPE=QTR_STD&amp;SCFT=3&amp;window=popup_no_bar&amp;width=385&amp;height=120&amp;START_MAXIMIZED=FALSE&amp;creator=factset&amp;display_string=Audit"}</definedName>
    <definedName name="_697__FDSAUDITLINK__" hidden="1">{"fdsup://Directions/FactSet Auditing Viewer?action=AUDIT_VALUE&amp;DB=129&amp;ID1=14964U10&amp;VALUEID=02001&amp;SDATE=201001&amp;PERIODTYPE=QTR_STD&amp;SCFT=3&amp;window=popup_no_bar&amp;width=385&amp;height=120&amp;START_MAXIMIZED=FALSE&amp;creator=factset&amp;display_string=Audit"}</definedName>
    <definedName name="_698__FDSAUDITLINK__" localSheetId="7" hidden="1">{"fdsup://Directions/FactSet Auditing Viewer?action=AUDIT_VALUE&amp;DB=129&amp;ID1=14964U10&amp;VALUEID=02001&amp;SDATE=201001&amp;PERIODTYPE=QTR_STD&amp;SCFT=3&amp;window=popup_no_bar&amp;width=385&amp;height=120&amp;START_MAXIMIZED=FALSE&amp;creator=factset&amp;display_string=Audit"}</definedName>
    <definedName name="_698__FDSAUDITLINK__" hidden="1">{"fdsup://Directions/FactSet Auditing Viewer?action=AUDIT_VALUE&amp;DB=129&amp;ID1=14964U10&amp;VALUEID=02001&amp;SDATE=201001&amp;PERIODTYPE=QTR_STD&amp;SCFT=3&amp;window=popup_no_bar&amp;width=385&amp;height=120&amp;START_MAXIMIZED=FALSE&amp;creator=factset&amp;display_string=Audit"}</definedName>
    <definedName name="_699__FDSAUDITLINK__" localSheetId="7" hidden="1">{"fdsup://Directions/FactSet Auditing Viewer?action=AUDIT_VALUE&amp;DB=129&amp;ID1=11162130&amp;VALUEID=02001&amp;SDATE=201002&amp;PERIODTYPE=QTR_STD&amp;SCFT=3&amp;window=popup_no_bar&amp;width=385&amp;height=120&amp;START_MAXIMIZED=FALSE&amp;creator=factset&amp;display_string=Audit"}</definedName>
    <definedName name="_699__FDSAUDITLINK__" hidden="1">{"fdsup://Directions/FactSet Auditing Viewer?action=AUDIT_VALUE&amp;DB=129&amp;ID1=11162130&amp;VALUEID=02001&amp;SDATE=201002&amp;PERIODTYPE=QTR_STD&amp;SCFT=3&amp;window=popup_no_bar&amp;width=385&amp;height=120&amp;START_MAXIMIZED=FALSE&amp;creator=factset&amp;display_string=Audit"}</definedName>
    <definedName name="_7__FDSAUDITLINK__" localSheetId="7" hidden="1">{"fdsup://Directions/FactSet Auditing Viewer?action=AUDIT_VALUE&amp;DB=129&amp;ID1=637248&amp;VALUEID=05194&amp;SDATE=201102&amp;PERIODTYPE=QTR_STD&amp;SCFT=3&amp;window=popup_no_bar&amp;width=385&amp;height=120&amp;START_MAXIMIZED=FALSE&amp;creator=factset&amp;display_string=Audit"}</definedName>
    <definedName name="_7__FDSAUDITLINK__" hidden="1">{"fdsup://Directions/FactSet Auditing Viewer?action=AUDIT_VALUE&amp;DB=129&amp;ID1=637248&amp;VALUEID=05194&amp;SDATE=201102&amp;PERIODTYPE=QTR_STD&amp;SCFT=3&amp;window=popup_no_bar&amp;width=385&amp;height=120&amp;START_MAXIMIZED=FALSE&amp;creator=factset&amp;display_string=Audit"}</definedName>
    <definedName name="_70__FDSAUDITLINK__" localSheetId="7" hidden="1">{"fdsup://Directions/FactSet Auditing Viewer?action=AUDIT_VALUE&amp;DB=129&amp;ID1=G5876H10&amp;VALUEID=02001&amp;SDATE=201101&amp;PERIODTYPE=QTR_STD&amp;SCFT=3&amp;window=popup_no_bar&amp;width=385&amp;height=120&amp;START_MAXIMIZED=FALSE&amp;creator=factset&amp;display_string=Audit"}</definedName>
    <definedName name="_70__FDSAUDITLINK__" hidden="1">{"fdsup://Directions/FactSet Auditing Viewer?action=AUDIT_VALUE&amp;DB=129&amp;ID1=G5876H10&amp;VALUEID=02001&amp;SDATE=201101&amp;PERIODTYPE=QTR_STD&amp;SCFT=3&amp;window=popup_no_bar&amp;width=385&amp;height=120&amp;START_MAXIMIZED=FALSE&amp;creator=factset&amp;display_string=Audit"}</definedName>
    <definedName name="_700__FDSAUDITLINK__" localSheetId="7" hidden="1">{"fdsup://Directions/FactSet Auditing Viewer?action=AUDIT_VALUE&amp;DB=129&amp;ID1=11162130&amp;VALUEID=02001&amp;SDATE=201002&amp;PERIODTYPE=QTR_STD&amp;SCFT=3&amp;window=popup_no_bar&amp;width=385&amp;height=120&amp;START_MAXIMIZED=FALSE&amp;creator=factset&amp;display_string=Audit"}</definedName>
    <definedName name="_700__FDSAUDITLINK__" hidden="1">{"fdsup://Directions/FactSet Auditing Viewer?action=AUDIT_VALUE&amp;DB=129&amp;ID1=11162130&amp;VALUEID=02001&amp;SDATE=201002&amp;PERIODTYPE=QTR_STD&amp;SCFT=3&amp;window=popup_no_bar&amp;width=385&amp;height=120&amp;START_MAXIMIZED=FALSE&amp;creator=factset&amp;display_string=Audit"}</definedName>
    <definedName name="_701__FDSAUDITLINK__" localSheetId="7" hidden="1">{"fdsup://Directions/FactSet Auditing Viewer?action=AUDIT_VALUE&amp;DB=129&amp;ID1=Y0486S10&amp;VALUEID=02001&amp;SDATE=201002&amp;PERIODTYPE=QTR_STD&amp;SCFT=3&amp;window=popup_no_bar&amp;width=385&amp;height=120&amp;START_MAXIMIZED=FALSE&amp;creator=factset&amp;display_string=Audit"}</definedName>
    <definedName name="_701__FDSAUDITLINK__" hidden="1">{"fdsup://Directions/FactSet Auditing Viewer?action=AUDIT_VALUE&amp;DB=129&amp;ID1=Y0486S10&amp;VALUEID=02001&amp;SDATE=201002&amp;PERIODTYPE=QTR_STD&amp;SCFT=3&amp;window=popup_no_bar&amp;width=385&amp;height=120&amp;START_MAXIMIZED=FALSE&amp;creator=factset&amp;display_string=Audit"}</definedName>
    <definedName name="_702__FDSAUDITLINK__" localSheetId="7" hidden="1">{"fdsup://Directions/FactSet Auditing Viewer?action=AUDIT_VALUE&amp;DB=129&amp;ID1=Y0486S10&amp;VALUEID=02001&amp;SDATE=201002&amp;PERIODTYPE=QTR_STD&amp;SCFT=3&amp;window=popup_no_bar&amp;width=385&amp;height=120&amp;START_MAXIMIZED=FALSE&amp;creator=factset&amp;display_string=Audit"}</definedName>
    <definedName name="_702__FDSAUDITLINK__" hidden="1">{"fdsup://Directions/FactSet Auditing Viewer?action=AUDIT_VALUE&amp;DB=129&amp;ID1=Y0486S10&amp;VALUEID=02001&amp;SDATE=201002&amp;PERIODTYPE=QTR_STD&amp;SCFT=3&amp;window=popup_no_bar&amp;width=385&amp;height=120&amp;START_MAXIMIZED=FALSE&amp;creator=factset&amp;display_string=Audit"}</definedName>
    <definedName name="_703__FDSAUDITLINK__" localSheetId="7" hidden="1">{"fdsup://Directions/FactSet Auditing Viewer?action=AUDIT_VALUE&amp;DB=129&amp;ID1=04743P10&amp;VALUEID=02001&amp;SDATE=201001&amp;PERIODTYPE=QTR_STD&amp;SCFT=3&amp;window=popup_no_bar&amp;width=385&amp;height=120&amp;START_MAXIMIZED=FALSE&amp;creator=factset&amp;display_string=Audit"}</definedName>
    <definedName name="_703__FDSAUDITLINK__" hidden="1">{"fdsup://Directions/FactSet Auditing Viewer?action=AUDIT_VALUE&amp;DB=129&amp;ID1=04743P10&amp;VALUEID=02001&amp;SDATE=201001&amp;PERIODTYPE=QTR_STD&amp;SCFT=3&amp;window=popup_no_bar&amp;width=385&amp;height=120&amp;START_MAXIMIZED=FALSE&amp;creator=factset&amp;display_string=Audit"}</definedName>
    <definedName name="_704__FDSAUDITLINK__" localSheetId="7" hidden="1">{"fdsup://Directions/FactSet Auditing Viewer?action=AUDIT_VALUE&amp;DB=129&amp;ID1=04743P10&amp;VALUEID=02001&amp;SDATE=201001&amp;PERIODTYPE=QTR_STD&amp;SCFT=3&amp;window=popup_no_bar&amp;width=385&amp;height=120&amp;START_MAXIMIZED=FALSE&amp;creator=factset&amp;display_string=Audit"}</definedName>
    <definedName name="_704__FDSAUDITLINK__" hidden="1">{"fdsup://Directions/FactSet Auditing Viewer?action=AUDIT_VALUE&amp;DB=129&amp;ID1=04743P10&amp;VALUEID=02001&amp;SDATE=201001&amp;PERIODTYPE=QTR_STD&amp;SCFT=3&amp;window=popup_no_bar&amp;width=385&amp;height=120&amp;START_MAXIMIZED=FALSE&amp;creator=factset&amp;display_string=Audit"}</definedName>
    <definedName name="_705__FDSAUDITLINK__" localSheetId="7" hidden="1">{"fdsup://Directions/FactSet Auditing Viewer?action=AUDIT_VALUE&amp;DB=129&amp;ID1=03251510&amp;VALUEID=02001&amp;SDATE=201001&amp;PERIODTYPE=QTR_STD&amp;SCFT=3&amp;window=popup_no_bar&amp;width=385&amp;height=120&amp;START_MAXIMIZED=FALSE&amp;creator=factset&amp;display_string=Audit"}</definedName>
    <definedName name="_705__FDSAUDITLINK__" hidden="1">{"fdsup://Directions/FactSet Auditing Viewer?action=AUDIT_VALUE&amp;DB=129&amp;ID1=03251510&amp;VALUEID=02001&amp;SDATE=201001&amp;PERIODTYPE=QTR_STD&amp;SCFT=3&amp;window=popup_no_bar&amp;width=385&amp;height=120&amp;START_MAXIMIZED=FALSE&amp;creator=factset&amp;display_string=Audit"}</definedName>
    <definedName name="_706__FDSAUDITLINK__" localSheetId="7" hidden="1">{"fdsup://Directions/FactSet Auditing Viewer?action=AUDIT_VALUE&amp;DB=129&amp;ID1=03251510&amp;VALUEID=02001&amp;SDATE=201001&amp;PERIODTYPE=QTR_STD&amp;SCFT=3&amp;window=popup_no_bar&amp;width=385&amp;height=120&amp;START_MAXIMIZED=FALSE&amp;creator=factset&amp;display_string=Audit"}</definedName>
    <definedName name="_706__FDSAUDITLINK__" hidden="1">{"fdsup://Directions/FactSet Auditing Viewer?action=AUDIT_VALUE&amp;DB=129&amp;ID1=03251510&amp;VALUEID=02001&amp;SDATE=201001&amp;PERIODTYPE=QTR_STD&amp;SCFT=3&amp;window=popup_no_bar&amp;width=385&amp;height=120&amp;START_MAXIMIZED=FALSE&amp;creator=factset&amp;display_string=Audit"}</definedName>
    <definedName name="_707__FDSAUDITLINK__" localSheetId="7" hidden="1">{"fdsup://Directions/FactSet Auditing Viewer?action=AUDIT_VALUE&amp;DB=129&amp;ID1=00790310&amp;VALUEID=02001&amp;SDATE=201001&amp;PERIODTYPE=QTR_STD&amp;SCFT=3&amp;window=popup_no_bar&amp;width=385&amp;height=120&amp;START_MAXIMIZED=FALSE&amp;creator=factset&amp;display_string=Audit"}</definedName>
    <definedName name="_707__FDSAUDITLINK__" hidden="1">{"fdsup://Directions/FactSet Auditing Viewer?action=AUDIT_VALUE&amp;DB=129&amp;ID1=00790310&amp;VALUEID=02001&amp;SDATE=201001&amp;PERIODTYPE=QTR_STD&amp;SCFT=3&amp;window=popup_no_bar&amp;width=385&amp;height=120&amp;START_MAXIMIZED=FALSE&amp;creator=factset&amp;display_string=Audit"}</definedName>
    <definedName name="_708__FDSAUDITLINK__" localSheetId="7" hidden="1">{"fdsup://Directions/FactSet Auditing Viewer?action=AUDIT_VALUE&amp;DB=129&amp;ID1=00790310&amp;VALUEID=02001&amp;SDATE=201001&amp;PERIODTYPE=QTR_STD&amp;SCFT=3&amp;window=popup_no_bar&amp;width=385&amp;height=120&amp;START_MAXIMIZED=FALSE&amp;creator=factset&amp;display_string=Audit"}</definedName>
    <definedName name="_708__FDSAUDITLINK__" hidden="1">{"fdsup://Directions/FactSet Auditing Viewer?action=AUDIT_VALUE&amp;DB=129&amp;ID1=00790310&amp;VALUEID=02001&amp;SDATE=201001&amp;PERIODTYPE=QTR_STD&amp;SCFT=3&amp;window=popup_no_bar&amp;width=385&amp;height=120&amp;START_MAXIMIZED=FALSE&amp;creator=factset&amp;display_string=Audit"}</definedName>
    <definedName name="_709__FDSAUDITLINK__" localSheetId="7" hidden="1">{"fdsup://Directions/FactSet Auditing Viewer?action=AUDIT_VALUE&amp;DB=129&amp;ID1=03822210&amp;VALUEID=02001&amp;SDATE=201002&amp;PERIODTYPE=QTR_STD&amp;SCFT=3&amp;window=popup_no_bar&amp;width=385&amp;height=120&amp;START_MAXIMIZED=FALSE&amp;creator=factset&amp;display_string=Audit"}</definedName>
    <definedName name="_709__FDSAUDITLINK__" hidden="1">{"fdsup://Directions/FactSet Auditing Viewer?action=AUDIT_VALUE&amp;DB=129&amp;ID1=03822210&amp;VALUEID=02001&amp;SDATE=201002&amp;PERIODTYPE=QTR_STD&amp;SCFT=3&amp;window=popup_no_bar&amp;width=385&amp;height=120&amp;START_MAXIMIZED=FALSE&amp;creator=factset&amp;display_string=Audit"}</definedName>
    <definedName name="_71__FDSAUDITLINK__" localSheetId="7" hidden="1">{"fdsup://Directions/FactSet Auditing Viewer?action=AUDIT_VALUE&amp;DB=129&amp;ID1=62007630&amp;VALUEID=02001&amp;SDATE=201101&amp;PERIODTYPE=QTR_STD&amp;SCFT=3&amp;window=popup_no_bar&amp;width=385&amp;height=120&amp;START_MAXIMIZED=FALSE&amp;creator=factset&amp;display_string=Audit"}</definedName>
    <definedName name="_71__FDSAUDITLINK__" hidden="1">{"fdsup://Directions/FactSet Auditing Viewer?action=AUDIT_VALUE&amp;DB=129&amp;ID1=62007630&amp;VALUEID=02001&amp;SDATE=201101&amp;PERIODTYPE=QTR_STD&amp;SCFT=3&amp;window=popup_no_bar&amp;width=385&amp;height=120&amp;START_MAXIMIZED=FALSE&amp;creator=factset&amp;display_string=Audit"}</definedName>
    <definedName name="_710__FDSAUDITLINK__" localSheetId="7" hidden="1">{"fdsup://Directions/FactSet Auditing Viewer?action=AUDIT_VALUE&amp;DB=129&amp;ID1=03822210&amp;VALUEID=02001&amp;SDATE=201002&amp;PERIODTYPE=QTR_STD&amp;SCFT=3&amp;window=popup_no_bar&amp;width=385&amp;height=120&amp;START_MAXIMIZED=FALSE&amp;creator=factset&amp;display_string=Audit"}</definedName>
    <definedName name="_710__FDSAUDITLINK__" hidden="1">{"fdsup://Directions/FactSet Auditing Viewer?action=AUDIT_VALUE&amp;DB=129&amp;ID1=03822210&amp;VALUEID=02001&amp;SDATE=201002&amp;PERIODTYPE=QTR_STD&amp;SCFT=3&amp;window=popup_no_bar&amp;width=385&amp;height=120&amp;START_MAXIMIZED=FALSE&amp;creator=factset&amp;display_string=Audit"}</definedName>
    <definedName name="_711__FDSAUDITLINK__" localSheetId="7" hidden="1">{"fdsup://Directions/FactSet Auditing Viewer?action=AUDIT_VALUE&amp;DB=129&amp;ID1=02144110&amp;VALUEID=02001&amp;SDATE=201001&amp;PERIODTYPE=QTR_STD&amp;SCFT=3&amp;window=popup_no_bar&amp;width=385&amp;height=120&amp;START_MAXIMIZED=FALSE&amp;creator=factset&amp;display_string=Audit"}</definedName>
    <definedName name="_711__FDSAUDITLINK__" hidden="1">{"fdsup://Directions/FactSet Auditing Viewer?action=AUDIT_VALUE&amp;DB=129&amp;ID1=02144110&amp;VALUEID=02001&amp;SDATE=201001&amp;PERIODTYPE=QTR_STD&amp;SCFT=3&amp;window=popup_no_bar&amp;width=385&amp;height=120&amp;START_MAXIMIZED=FALSE&amp;creator=factset&amp;display_string=Audit"}</definedName>
    <definedName name="_712__FDSAUDITLINK__" localSheetId="7" hidden="1">{"fdsup://Directions/FactSet Auditing Viewer?action=AUDIT_VALUE&amp;DB=129&amp;ID1=02144110&amp;VALUEID=02001&amp;SDATE=201001&amp;PERIODTYPE=QTR_STD&amp;SCFT=3&amp;window=popup_no_bar&amp;width=385&amp;height=120&amp;START_MAXIMIZED=FALSE&amp;creator=factset&amp;display_string=Audit"}</definedName>
    <definedName name="_712__FDSAUDITLINK__" hidden="1">{"fdsup://Directions/FactSet Auditing Viewer?action=AUDIT_VALUE&amp;DB=129&amp;ID1=02144110&amp;VALUEID=02001&amp;SDATE=201001&amp;PERIODTYPE=QTR_STD&amp;SCFT=3&amp;window=popup_no_bar&amp;width=385&amp;height=120&amp;START_MAXIMIZED=FALSE&amp;creator=factset&amp;display_string=Audit"}</definedName>
    <definedName name="_713__FDSAUDITLINK__" localSheetId="7" hidden="1">{"fdsup://Directions/FactSet Auditing Viewer?action=AUDIT_VALUE&amp;DB=129&amp;ID1=03265410&amp;VALUEID=02001&amp;SDATE=201002&amp;PERIODTYPE=QTR_STD&amp;SCFT=3&amp;window=popup_no_bar&amp;width=385&amp;height=120&amp;START_MAXIMIZED=FALSE&amp;creator=factset&amp;display_string=Audit"}</definedName>
    <definedName name="_713__FDSAUDITLINK__" hidden="1">{"fdsup://Directions/FactSet Auditing Viewer?action=AUDIT_VALUE&amp;DB=129&amp;ID1=03265410&amp;VALUEID=02001&amp;SDATE=201002&amp;PERIODTYPE=QTR_STD&amp;SCFT=3&amp;window=popup_no_bar&amp;width=385&amp;height=120&amp;START_MAXIMIZED=FALSE&amp;creator=factset&amp;display_string=Audit"}</definedName>
    <definedName name="_714__FDSAUDITLINK__" localSheetId="7" hidden="1">{"fdsup://Directions/FactSet Auditing Viewer?action=AUDIT_VALUE&amp;DB=129&amp;ID1=03265410&amp;VALUEID=02001&amp;SDATE=201002&amp;PERIODTYPE=QTR_STD&amp;SCFT=3&amp;window=popup_no_bar&amp;width=385&amp;height=120&amp;START_MAXIMIZED=FALSE&amp;creator=factset&amp;display_string=Audit"}</definedName>
    <definedName name="_714__FDSAUDITLINK__" hidden="1">{"fdsup://Directions/FactSet Auditing Viewer?action=AUDIT_VALUE&amp;DB=129&amp;ID1=03265410&amp;VALUEID=02001&amp;SDATE=201002&amp;PERIODTYPE=QTR_STD&amp;SCFT=3&amp;window=popup_no_bar&amp;width=385&amp;height=120&amp;START_MAXIMIZED=FALSE&amp;creator=factset&amp;display_string=Audit"}</definedName>
    <definedName name="_715__FDSAUDITLINK__" localSheetId="7" hidden="1">{"fdsup://Directions/FactSet Auditing Viewer?action=AUDIT_VALUE&amp;DB=129&amp;ID1=00752J10&amp;VALUEID=02001&amp;SDATE=201001&amp;PERIODTYPE=QTR_STD&amp;SCFT=3&amp;window=popup_no_bar&amp;width=385&amp;height=120&amp;START_MAXIMIZED=FALSE&amp;creator=factset&amp;display_string=Audit"}</definedName>
    <definedName name="_715__FDSAUDITLINK__" hidden="1">{"fdsup://Directions/FactSet Auditing Viewer?action=AUDIT_VALUE&amp;DB=129&amp;ID1=00752J10&amp;VALUEID=02001&amp;SDATE=201001&amp;PERIODTYPE=QTR_STD&amp;SCFT=3&amp;window=popup_no_bar&amp;width=385&amp;height=120&amp;START_MAXIMIZED=FALSE&amp;creator=factset&amp;display_string=Audit"}</definedName>
    <definedName name="_716__FDSAUDITLINK__" localSheetId="7" hidden="1">{"fdsup://Directions/FactSet Auditing Viewer?action=AUDIT_VALUE&amp;DB=129&amp;ID1=00752J10&amp;VALUEID=02001&amp;SDATE=201001&amp;PERIODTYPE=QTR_STD&amp;SCFT=3&amp;window=popup_no_bar&amp;width=385&amp;height=120&amp;START_MAXIMIZED=FALSE&amp;creator=factset&amp;display_string=Audit"}</definedName>
    <definedName name="_716__FDSAUDITLINK__" hidden="1">{"fdsup://Directions/FactSet Auditing Viewer?action=AUDIT_VALUE&amp;DB=129&amp;ID1=00752J10&amp;VALUEID=02001&amp;SDATE=201001&amp;PERIODTYPE=QTR_STD&amp;SCFT=3&amp;window=popup_no_bar&amp;width=385&amp;height=120&amp;START_MAXIMIZED=FALSE&amp;creator=factset&amp;display_string=Audit"}</definedName>
    <definedName name="_717__FDSAUDITLINK__" localSheetId="7" hidden="1">{"fdsup://Directions/FactSet Auditing Viewer?action=AUDIT_VALUE&amp;DB=129&amp;ID1=98391910&amp;VALUEID=02001&amp;SDATE=200903&amp;PERIODTYPE=QTR_STD&amp;SCFT=3&amp;window=popup_no_bar&amp;width=385&amp;height=120&amp;START_MAXIMIZED=FALSE&amp;creator=factset&amp;display_string=Audit"}</definedName>
    <definedName name="_717__FDSAUDITLINK__" hidden="1">{"fdsup://Directions/FactSet Auditing Viewer?action=AUDIT_VALUE&amp;DB=129&amp;ID1=98391910&amp;VALUEID=02001&amp;SDATE=200903&amp;PERIODTYPE=QTR_STD&amp;SCFT=3&amp;window=popup_no_bar&amp;width=385&amp;height=120&amp;START_MAXIMIZED=FALSE&amp;creator=factset&amp;display_string=Audit"}</definedName>
    <definedName name="_718__FDSAUDITLINK__" localSheetId="7" hidden="1">{"fdsup://Directions/FactSet Auditing Viewer?action=AUDIT_VALUE&amp;DB=129&amp;ID1=98391910&amp;VALUEID=02001&amp;SDATE=200903&amp;PERIODTYPE=QTR_STD&amp;SCFT=3&amp;window=popup_no_bar&amp;width=385&amp;height=120&amp;START_MAXIMIZED=FALSE&amp;creator=factset&amp;display_string=Audit"}</definedName>
    <definedName name="_718__FDSAUDITLINK__" hidden="1">{"fdsup://Directions/FactSet Auditing Viewer?action=AUDIT_VALUE&amp;DB=129&amp;ID1=98391910&amp;VALUEID=02001&amp;SDATE=200903&amp;PERIODTYPE=QTR_STD&amp;SCFT=3&amp;window=popup_no_bar&amp;width=385&amp;height=120&amp;START_MAXIMIZED=FALSE&amp;creator=factset&amp;display_string=Audit"}</definedName>
    <definedName name="_719__FDSAUDITLINK__" localSheetId="7" hidden="1">{"fdsup://Directions/FactSet Auditing Viewer?action=AUDIT_VALUE&amp;DB=129&amp;ID1=95810210&amp;VALUEID=02001&amp;SDATE=201002&amp;PERIODTYPE=QTR_STD&amp;SCFT=3&amp;window=popup_no_bar&amp;width=385&amp;height=120&amp;START_MAXIMIZED=FALSE&amp;creator=factset&amp;display_string=Audit"}</definedName>
    <definedName name="_719__FDSAUDITLINK__" hidden="1">{"fdsup://Directions/FactSet Auditing Viewer?action=AUDIT_VALUE&amp;DB=129&amp;ID1=95810210&amp;VALUEID=02001&amp;SDATE=201002&amp;PERIODTYPE=QTR_STD&amp;SCFT=3&amp;window=popup_no_bar&amp;width=385&amp;height=120&amp;START_MAXIMIZED=FALSE&amp;creator=factset&amp;display_string=Audit"}</definedName>
    <definedName name="_72__FDSAUDITLINK__" localSheetId="7" hidden="1">{"fdsup://Directions/FactSet Auditing Viewer?action=AUDIT_VALUE&amp;DB=129&amp;ID1=62007630&amp;VALUEID=02001&amp;SDATE=201101&amp;PERIODTYPE=QTR_STD&amp;SCFT=3&amp;window=popup_no_bar&amp;width=385&amp;height=120&amp;START_MAXIMIZED=FALSE&amp;creator=factset&amp;display_string=Audit"}</definedName>
    <definedName name="_72__FDSAUDITLINK__" hidden="1">{"fdsup://Directions/FactSet Auditing Viewer?action=AUDIT_VALUE&amp;DB=129&amp;ID1=62007630&amp;VALUEID=02001&amp;SDATE=201101&amp;PERIODTYPE=QTR_STD&amp;SCFT=3&amp;window=popup_no_bar&amp;width=385&amp;height=120&amp;START_MAXIMIZED=FALSE&amp;creator=factset&amp;display_string=Audit"}</definedName>
    <definedName name="_720__FDSAUDITLINK__" localSheetId="7" hidden="1">{"fdsup://Directions/FactSet Auditing Viewer?action=AUDIT_VALUE&amp;DB=129&amp;ID1=95810210&amp;VALUEID=02001&amp;SDATE=201002&amp;PERIODTYPE=QTR_STD&amp;SCFT=3&amp;window=popup_no_bar&amp;width=385&amp;height=120&amp;START_MAXIMIZED=FALSE&amp;creator=factset&amp;display_string=Audit"}</definedName>
    <definedName name="_720__FDSAUDITLINK__" hidden="1">{"fdsup://Directions/FactSet Auditing Viewer?action=AUDIT_VALUE&amp;DB=129&amp;ID1=95810210&amp;VALUEID=02001&amp;SDATE=201002&amp;PERIODTYPE=QTR_STD&amp;SCFT=3&amp;window=popup_no_bar&amp;width=385&amp;height=120&amp;START_MAXIMIZED=FALSE&amp;creator=factset&amp;display_string=Audit"}</definedName>
    <definedName name="_721__FDSAUDITLINK__" localSheetId="7" hidden="1">{"fdsup://Directions/FactSet Auditing Viewer?action=AUDIT_VALUE&amp;DB=129&amp;ID1=92849730&amp;VALUEID=02001&amp;SDATE=201001&amp;PERIODTYPE=QTR_STD&amp;SCFT=3&amp;window=popup_no_bar&amp;width=385&amp;height=120&amp;START_MAXIMIZED=FALSE&amp;creator=factset&amp;display_string=Audit"}</definedName>
    <definedName name="_721__FDSAUDITLINK__" hidden="1">{"fdsup://Directions/FactSet Auditing Viewer?action=AUDIT_VALUE&amp;DB=129&amp;ID1=92849730&amp;VALUEID=02001&amp;SDATE=201001&amp;PERIODTYPE=QTR_STD&amp;SCFT=3&amp;window=popup_no_bar&amp;width=385&amp;height=120&amp;START_MAXIMIZED=FALSE&amp;creator=factset&amp;display_string=Audit"}</definedName>
    <definedName name="_722__FDSAUDITLINK__" localSheetId="7" hidden="1">{"fdsup://Directions/FactSet Auditing Viewer?action=AUDIT_VALUE&amp;DB=129&amp;ID1=92849730&amp;VALUEID=02001&amp;SDATE=201001&amp;PERIODTYPE=QTR_STD&amp;SCFT=3&amp;window=popup_no_bar&amp;width=385&amp;height=120&amp;START_MAXIMIZED=FALSE&amp;creator=factset&amp;display_string=Audit"}</definedName>
    <definedName name="_722__FDSAUDITLINK__" hidden="1">{"fdsup://Directions/FactSet Auditing Viewer?action=AUDIT_VALUE&amp;DB=129&amp;ID1=92849730&amp;VALUEID=02001&amp;SDATE=201001&amp;PERIODTYPE=QTR_STD&amp;SCFT=3&amp;window=popup_no_bar&amp;width=385&amp;height=120&amp;START_MAXIMIZED=FALSE&amp;creator=factset&amp;display_string=Audit"}</definedName>
    <definedName name="_723__FDSAUDITLINK__" localSheetId="7" hidden="1">{"fdsup://Directions/FactSet Auditing Viewer?action=AUDIT_VALUE&amp;DB=129&amp;ID1=83088M10&amp;VALUEID=02001&amp;SDATE=201001&amp;PERIODTYPE=QTR_STD&amp;SCFT=3&amp;window=popup_no_bar&amp;width=385&amp;height=120&amp;START_MAXIMIZED=FALSE&amp;creator=factset&amp;display_string=Audit"}</definedName>
    <definedName name="_723__FDSAUDITLINK__" hidden="1">{"fdsup://Directions/FactSet Auditing Viewer?action=AUDIT_VALUE&amp;DB=129&amp;ID1=83088M10&amp;VALUEID=02001&amp;SDATE=201001&amp;PERIODTYPE=QTR_STD&amp;SCFT=3&amp;window=popup_no_bar&amp;width=385&amp;height=120&amp;START_MAXIMIZED=FALSE&amp;creator=factset&amp;display_string=Audit"}</definedName>
    <definedName name="_724__FDSAUDITLINK__" localSheetId="7" hidden="1">{"fdsup://Directions/FactSet Auditing Viewer?action=AUDIT_VALUE&amp;DB=129&amp;ID1=83088M10&amp;VALUEID=02001&amp;SDATE=201001&amp;PERIODTYPE=QTR_STD&amp;SCFT=3&amp;window=popup_no_bar&amp;width=385&amp;height=120&amp;START_MAXIMIZED=FALSE&amp;creator=factset&amp;display_string=Audit"}</definedName>
    <definedName name="_724__FDSAUDITLINK__" hidden="1">{"fdsup://Directions/FactSet Auditing Viewer?action=AUDIT_VALUE&amp;DB=129&amp;ID1=83088M10&amp;VALUEID=02001&amp;SDATE=201001&amp;PERIODTYPE=QTR_STD&amp;SCFT=3&amp;window=popup_no_bar&amp;width=385&amp;height=120&amp;START_MAXIMIZED=FALSE&amp;creator=factset&amp;display_string=Audit"}</definedName>
    <definedName name="_725__FDSAUDITLINK__" localSheetId="7" hidden="1">{"fdsup://Directions/FactSet Auditing Viewer?action=AUDIT_VALUE&amp;DB=129&amp;ID1=G7945M10&amp;VALUEID=02001&amp;SDATE=201002&amp;PERIODTYPE=QTR_STD&amp;SCFT=3&amp;window=popup_no_bar&amp;width=385&amp;height=120&amp;START_MAXIMIZED=FALSE&amp;creator=factset&amp;display_string=Audit"}</definedName>
    <definedName name="_725__FDSAUDITLINK__" hidden="1">{"fdsup://Directions/FactSet Auditing Viewer?action=AUDIT_VALUE&amp;DB=129&amp;ID1=G7945M10&amp;VALUEID=02001&amp;SDATE=201002&amp;PERIODTYPE=QTR_STD&amp;SCFT=3&amp;window=popup_no_bar&amp;width=385&amp;height=120&amp;START_MAXIMIZED=FALSE&amp;creator=factset&amp;display_string=Audit"}</definedName>
    <definedName name="_726__FDSAUDITLINK__" localSheetId="7" hidden="1">{"fdsup://Directions/FactSet Auditing Viewer?action=AUDIT_VALUE&amp;DB=129&amp;ID1=G7945M10&amp;VALUEID=02001&amp;SDATE=201002&amp;PERIODTYPE=QTR_STD&amp;SCFT=3&amp;window=popup_no_bar&amp;width=385&amp;height=120&amp;START_MAXIMIZED=FALSE&amp;creator=factset&amp;display_string=Audit"}</definedName>
    <definedName name="_726__FDSAUDITLINK__" hidden="1">{"fdsup://Directions/FactSet Auditing Viewer?action=AUDIT_VALUE&amp;DB=129&amp;ID1=G7945M10&amp;VALUEID=02001&amp;SDATE=201002&amp;PERIODTYPE=QTR_STD&amp;SCFT=3&amp;window=popup_no_bar&amp;width=385&amp;height=120&amp;START_MAXIMIZED=FALSE&amp;creator=factset&amp;display_string=Audit"}</definedName>
    <definedName name="_727__FDSAUDITLINK__" localSheetId="7" hidden="1">{"fdsup://Directions/FactSet Auditing Viewer?action=AUDIT_VALUE&amp;DB=129&amp;ID1=87160710&amp;VALUEID=02001&amp;SDATE=201001&amp;PERIODTYPE=QTR_STD&amp;SCFT=3&amp;window=popup_no_bar&amp;width=385&amp;height=120&amp;START_MAXIMIZED=FALSE&amp;creator=factset&amp;display_string=Audit"}</definedName>
    <definedName name="_727__FDSAUDITLINK__" hidden="1">{"fdsup://Directions/FactSet Auditing Viewer?action=AUDIT_VALUE&amp;DB=129&amp;ID1=87160710&amp;VALUEID=02001&amp;SDATE=201001&amp;PERIODTYPE=QTR_STD&amp;SCFT=3&amp;window=popup_no_bar&amp;width=385&amp;height=120&amp;START_MAXIMIZED=FALSE&amp;creator=factset&amp;display_string=Audit"}</definedName>
    <definedName name="_728__FDSAUDITLINK__" localSheetId="7" hidden="1">{"fdsup://Directions/FactSet Auditing Viewer?action=AUDIT_VALUE&amp;DB=129&amp;ID1=87160710&amp;VALUEID=02001&amp;SDATE=201001&amp;PERIODTYPE=QTR_STD&amp;SCFT=3&amp;window=popup_no_bar&amp;width=385&amp;height=120&amp;START_MAXIMIZED=FALSE&amp;creator=factset&amp;display_string=Audit"}</definedName>
    <definedName name="_728__FDSAUDITLINK__" hidden="1">{"fdsup://Directions/FactSet Auditing Viewer?action=AUDIT_VALUE&amp;DB=129&amp;ID1=87160710&amp;VALUEID=02001&amp;SDATE=201001&amp;PERIODTYPE=QTR_STD&amp;SCFT=3&amp;window=popup_no_bar&amp;width=385&amp;height=120&amp;START_MAXIMIZED=FALSE&amp;creator=factset&amp;display_string=Audit"}</definedName>
    <definedName name="_729__FDSAUDITLINK__" localSheetId="7" hidden="1">{"fdsup://Directions/FactSet Auditing Viewer?action=AUDIT_VALUE&amp;DB=129&amp;ID1=81685010&amp;VALUEID=02001&amp;SDATE=200904&amp;PERIODTYPE=QTR_STD&amp;SCFT=3&amp;window=popup_no_bar&amp;width=385&amp;height=120&amp;START_MAXIMIZED=FALSE&amp;creator=factset&amp;display_string=Audit"}</definedName>
    <definedName name="_729__FDSAUDITLINK__" hidden="1">{"fdsup://Directions/FactSet Auditing Viewer?action=AUDIT_VALUE&amp;DB=129&amp;ID1=81685010&amp;VALUEID=02001&amp;SDATE=200904&amp;PERIODTYPE=QTR_STD&amp;SCFT=3&amp;window=popup_no_bar&amp;width=385&amp;height=120&amp;START_MAXIMIZED=FALSE&amp;creator=factset&amp;display_string=Audit"}</definedName>
    <definedName name="_73__FDSAUDITLINK__" localSheetId="7" hidden="1">{"fdsup://Directions/FactSet Auditing Viewer?action=AUDIT_VALUE&amp;DB=129&amp;ID1=60456710&amp;VALUEID=02001&amp;SDATE=201103&amp;PERIODTYPE=QTR_STD&amp;SCFT=3&amp;window=popup_no_bar&amp;width=385&amp;height=120&amp;START_MAXIMIZED=FALSE&amp;creator=factset&amp;display_string=Audit"}</definedName>
    <definedName name="_73__FDSAUDITLINK__" hidden="1">{"fdsup://Directions/FactSet Auditing Viewer?action=AUDIT_VALUE&amp;DB=129&amp;ID1=60456710&amp;VALUEID=02001&amp;SDATE=201103&amp;PERIODTYPE=QTR_STD&amp;SCFT=3&amp;window=popup_no_bar&amp;width=385&amp;height=120&amp;START_MAXIMIZED=FALSE&amp;creator=factset&amp;display_string=Audit"}</definedName>
    <definedName name="_730__FDSAUDITLINK__" localSheetId="7" hidden="1">{"fdsup://Directions/FactSet Auditing Viewer?action=AUDIT_VALUE&amp;DB=129&amp;ID1=81685010&amp;VALUEID=02001&amp;SDATE=200904&amp;PERIODTYPE=QTR_STD&amp;SCFT=3&amp;window=popup_no_bar&amp;width=385&amp;height=120&amp;START_MAXIMIZED=FALSE&amp;creator=factset&amp;display_string=Audit"}</definedName>
    <definedName name="_730__FDSAUDITLINK__" hidden="1">{"fdsup://Directions/FactSet Auditing Viewer?action=AUDIT_VALUE&amp;DB=129&amp;ID1=81685010&amp;VALUEID=02001&amp;SDATE=200904&amp;PERIODTYPE=QTR_STD&amp;SCFT=3&amp;window=popup_no_bar&amp;width=385&amp;height=120&amp;START_MAXIMIZED=FALSE&amp;creator=factset&amp;display_string=Audit"}</definedName>
    <definedName name="_731__FDSAUDITLINK__" localSheetId="7" hidden="1">{"fdsup://Directions/FactSet Auditing Viewer?action=AUDIT_VALUE&amp;DB=129&amp;ID1=74994110&amp;VALUEID=02001&amp;SDATE=200903&amp;PERIODTYPE=QTR_STD&amp;SCFT=3&amp;window=popup_no_bar&amp;width=385&amp;height=120&amp;START_MAXIMIZED=FALSE&amp;creator=factset&amp;display_string=Audit"}</definedName>
    <definedName name="_731__FDSAUDITLINK__" hidden="1">{"fdsup://Directions/FactSet Auditing Viewer?action=AUDIT_VALUE&amp;DB=129&amp;ID1=74994110&amp;VALUEID=02001&amp;SDATE=200903&amp;PERIODTYPE=QTR_STD&amp;SCFT=3&amp;window=popup_no_bar&amp;width=385&amp;height=120&amp;START_MAXIMIZED=FALSE&amp;creator=factset&amp;display_string=Audit"}</definedName>
    <definedName name="_732__FDSAUDITLINK__" localSheetId="7" hidden="1">{"fdsup://Directions/FactSet Auditing Viewer?action=AUDIT_VALUE&amp;DB=129&amp;ID1=74994110&amp;VALUEID=02001&amp;SDATE=200903&amp;PERIODTYPE=QTR_STD&amp;SCFT=3&amp;window=popup_no_bar&amp;width=385&amp;height=120&amp;START_MAXIMIZED=FALSE&amp;creator=factset&amp;display_string=Audit"}</definedName>
    <definedName name="_732__FDSAUDITLINK__" hidden="1">{"fdsup://Directions/FactSet Auditing Viewer?action=AUDIT_VALUE&amp;DB=129&amp;ID1=74994110&amp;VALUEID=02001&amp;SDATE=200903&amp;PERIODTYPE=QTR_STD&amp;SCFT=3&amp;window=popup_no_bar&amp;width=385&amp;height=120&amp;START_MAXIMIZED=FALSE&amp;creator=factset&amp;display_string=Audit"}</definedName>
    <definedName name="_733__FDSAUDITLINK__" localSheetId="7" hidden="1">{"fdsup://Directions/FactSet Auditing Viewer?action=AUDIT_VALUE&amp;DB=129&amp;ID1=74727710&amp;VALUEID=02001&amp;SDATE=200903&amp;PERIODTYPE=QTR_STD&amp;SCFT=3&amp;window=popup_no_bar&amp;width=385&amp;height=120&amp;START_MAXIMIZED=FALSE&amp;creator=factset&amp;display_string=Audit"}</definedName>
    <definedName name="_733__FDSAUDITLINK__" hidden="1">{"fdsup://Directions/FactSet Auditing Viewer?action=AUDIT_VALUE&amp;DB=129&amp;ID1=74727710&amp;VALUEID=02001&amp;SDATE=200903&amp;PERIODTYPE=QTR_STD&amp;SCFT=3&amp;window=popup_no_bar&amp;width=385&amp;height=120&amp;START_MAXIMIZED=FALSE&amp;creator=factset&amp;display_string=Audit"}</definedName>
    <definedName name="_734__FDSAUDITLINK__" localSheetId="7" hidden="1">{"fdsup://Directions/FactSet Auditing Viewer?action=AUDIT_VALUE&amp;DB=129&amp;ID1=74727710&amp;VALUEID=02001&amp;SDATE=200903&amp;PERIODTYPE=QTR_STD&amp;SCFT=3&amp;window=popup_no_bar&amp;width=385&amp;height=120&amp;START_MAXIMIZED=FALSE&amp;creator=factset&amp;display_string=Audit"}</definedName>
    <definedName name="_734__FDSAUDITLINK__" hidden="1">{"fdsup://Directions/FactSet Auditing Viewer?action=AUDIT_VALUE&amp;DB=129&amp;ID1=74727710&amp;VALUEID=02001&amp;SDATE=200903&amp;PERIODTYPE=QTR_STD&amp;SCFT=3&amp;window=popup_no_bar&amp;width=385&amp;height=120&amp;START_MAXIMIZED=FALSE&amp;creator=factset&amp;display_string=Audit"}</definedName>
    <definedName name="_735__FDSAUDITLINK__" localSheetId="7" hidden="1">{"fdsup://Directions/FactSet Auditing Viewer?action=AUDIT_VALUE&amp;DB=129&amp;ID1=74752510&amp;VALUEID=02001&amp;SDATE=201001&amp;PERIODTYPE=QTR_STD&amp;SCFT=3&amp;window=popup_no_bar&amp;width=385&amp;height=120&amp;START_MAXIMIZED=FALSE&amp;creator=factset&amp;display_string=Audit"}</definedName>
    <definedName name="_735__FDSAUDITLINK__" hidden="1">{"fdsup://Directions/FactSet Auditing Viewer?action=AUDIT_VALUE&amp;DB=129&amp;ID1=74752510&amp;VALUEID=02001&amp;SDATE=201001&amp;PERIODTYPE=QTR_STD&amp;SCFT=3&amp;window=popup_no_bar&amp;width=385&amp;height=120&amp;START_MAXIMIZED=FALSE&amp;creator=factset&amp;display_string=Audit"}</definedName>
    <definedName name="_736__FDSAUDITLINK__" localSheetId="7" hidden="1">{"fdsup://Directions/FactSet Auditing Viewer?action=AUDIT_VALUE&amp;DB=129&amp;ID1=74752510&amp;VALUEID=02001&amp;SDATE=201001&amp;PERIODTYPE=QTR_STD&amp;SCFT=3&amp;window=popup_no_bar&amp;width=385&amp;height=120&amp;START_MAXIMIZED=FALSE&amp;creator=factset&amp;display_string=Audit"}</definedName>
    <definedName name="_736__FDSAUDITLINK__" hidden="1">{"fdsup://Directions/FactSet Auditing Viewer?action=AUDIT_VALUE&amp;DB=129&amp;ID1=74752510&amp;VALUEID=02001&amp;SDATE=201001&amp;PERIODTYPE=QTR_STD&amp;SCFT=3&amp;window=popup_no_bar&amp;width=385&amp;height=120&amp;START_MAXIMIZED=FALSE&amp;creator=factset&amp;display_string=Audit"}</definedName>
    <definedName name="_737__FDSAUDITLINK__" localSheetId="7" hidden="1">{"fdsup://Directions/FactSet Auditing Viewer?action=AUDIT_VALUE&amp;DB=129&amp;ID1=B505PN&amp;VALUEID=02001&amp;SDATE=200904&amp;PERIODTYPE=QTR_STD&amp;SCFT=3&amp;window=popup_no_bar&amp;width=385&amp;height=120&amp;START_MAXIMIZED=FALSE&amp;creator=factset&amp;display_string=Audit"}</definedName>
    <definedName name="_737__FDSAUDITLINK__" hidden="1">{"fdsup://Directions/FactSet Auditing Viewer?action=AUDIT_VALUE&amp;DB=129&amp;ID1=B505PN&amp;VALUEID=02001&amp;SDATE=200904&amp;PERIODTYPE=QTR_STD&amp;SCFT=3&amp;window=popup_no_bar&amp;width=385&amp;height=120&amp;START_MAXIMIZED=FALSE&amp;creator=factset&amp;display_string=Audit"}</definedName>
    <definedName name="_738__FDSAUDITLINK__" localSheetId="7" hidden="1">{"fdsup://Directions/FactSet Auditing Viewer?action=AUDIT_VALUE&amp;DB=129&amp;ID1=B505PN&amp;VALUEID=02001&amp;SDATE=200904&amp;PERIODTYPE=QTR_STD&amp;SCFT=3&amp;window=popup_no_bar&amp;width=385&amp;height=120&amp;START_MAXIMIZED=FALSE&amp;creator=factset&amp;display_string=Audit"}</definedName>
    <definedName name="_738__FDSAUDITLINK__" hidden="1">{"fdsup://Directions/FactSet Auditing Viewer?action=AUDIT_VALUE&amp;DB=129&amp;ID1=B505PN&amp;VALUEID=02001&amp;SDATE=200904&amp;PERIODTYPE=QTR_STD&amp;SCFT=3&amp;window=popup_no_bar&amp;width=385&amp;height=120&amp;START_MAXIMIZED=FALSE&amp;creator=factset&amp;display_string=Audit"}</definedName>
    <definedName name="_739__FDSAUDITLINK__" localSheetId="7" hidden="1">{"fdsup://Directions/FactSet Auditing Viewer?action=AUDIT_VALUE&amp;DB=129&amp;ID1=63764010&amp;VALUEID=02001&amp;SDATE=200902&amp;PERIODTYPE=QTR_STD&amp;SCFT=3&amp;window=popup_no_bar&amp;width=385&amp;height=120&amp;START_MAXIMIZED=FALSE&amp;creator=factset&amp;display_string=Audit"}</definedName>
    <definedName name="_739__FDSAUDITLINK__" hidden="1">{"fdsup://Directions/FactSet Auditing Viewer?action=AUDIT_VALUE&amp;DB=129&amp;ID1=63764010&amp;VALUEID=02001&amp;SDATE=200902&amp;PERIODTYPE=QTR_STD&amp;SCFT=3&amp;window=popup_no_bar&amp;width=385&amp;height=120&amp;START_MAXIMIZED=FALSE&amp;creator=factset&amp;display_string=Audit"}</definedName>
    <definedName name="_74__FDSAUDITLINK__" localSheetId="7" hidden="1">{"fdsup://Directions/FactSet Auditing Viewer?action=AUDIT_VALUE&amp;DB=129&amp;ID1=60456710&amp;VALUEID=02001&amp;SDATE=201103&amp;PERIODTYPE=QTR_STD&amp;SCFT=3&amp;window=popup_no_bar&amp;width=385&amp;height=120&amp;START_MAXIMIZED=FALSE&amp;creator=factset&amp;display_string=Audit"}</definedName>
    <definedName name="_74__FDSAUDITLINK__" hidden="1">{"fdsup://Directions/FactSet Auditing Viewer?action=AUDIT_VALUE&amp;DB=129&amp;ID1=60456710&amp;VALUEID=02001&amp;SDATE=201103&amp;PERIODTYPE=QTR_STD&amp;SCFT=3&amp;window=popup_no_bar&amp;width=385&amp;height=120&amp;START_MAXIMIZED=FALSE&amp;creator=factset&amp;display_string=Audit"}</definedName>
    <definedName name="_740__FDSAUDITLINK__" localSheetId="7" hidden="1">{"fdsup://Directions/FactSet Auditing Viewer?action=AUDIT_VALUE&amp;DB=129&amp;ID1=63764010&amp;VALUEID=02001&amp;SDATE=200902&amp;PERIODTYPE=QTR_STD&amp;SCFT=3&amp;window=popup_no_bar&amp;width=385&amp;height=120&amp;START_MAXIMIZED=FALSE&amp;creator=factset&amp;display_string=Audit"}</definedName>
    <definedName name="_740__FDSAUDITLINK__" hidden="1">{"fdsup://Directions/FactSet Auditing Viewer?action=AUDIT_VALUE&amp;DB=129&amp;ID1=63764010&amp;VALUEID=02001&amp;SDATE=200902&amp;PERIODTYPE=QTR_STD&amp;SCFT=3&amp;window=popup_no_bar&amp;width=385&amp;height=120&amp;START_MAXIMIZED=FALSE&amp;creator=factset&amp;display_string=Audit"}</definedName>
    <definedName name="_741__FDSAUDITLINK__" localSheetId="7" hidden="1">{"fdsup://Directions/FactSet Auditing Viewer?action=AUDIT_VALUE&amp;DB=129&amp;ID1=57772K10&amp;VALUEID=02001&amp;SDATE=201002&amp;PERIODTYPE=QTR_STD&amp;SCFT=3&amp;window=popup_no_bar&amp;width=385&amp;height=120&amp;START_MAXIMIZED=FALSE&amp;creator=factset&amp;display_string=Audit"}</definedName>
    <definedName name="_741__FDSAUDITLINK__" hidden="1">{"fdsup://Directions/FactSet Auditing Viewer?action=AUDIT_VALUE&amp;DB=129&amp;ID1=57772K10&amp;VALUEID=02001&amp;SDATE=201002&amp;PERIODTYPE=QTR_STD&amp;SCFT=3&amp;window=popup_no_bar&amp;width=385&amp;height=120&amp;START_MAXIMIZED=FALSE&amp;creator=factset&amp;display_string=Audit"}</definedName>
    <definedName name="_742__FDSAUDITLINK__" localSheetId="7" hidden="1">{"fdsup://Directions/FactSet Auditing Viewer?action=AUDIT_VALUE&amp;DB=129&amp;ID1=57772K10&amp;VALUEID=02001&amp;SDATE=201002&amp;PERIODTYPE=QTR_STD&amp;SCFT=3&amp;window=popup_no_bar&amp;width=385&amp;height=120&amp;START_MAXIMIZED=FALSE&amp;creator=factset&amp;display_string=Audit"}</definedName>
    <definedName name="_742__FDSAUDITLINK__" hidden="1">{"fdsup://Directions/FactSet Auditing Viewer?action=AUDIT_VALUE&amp;DB=129&amp;ID1=57772K10&amp;VALUEID=02001&amp;SDATE=201002&amp;PERIODTYPE=QTR_STD&amp;SCFT=3&amp;window=popup_no_bar&amp;width=385&amp;height=120&amp;START_MAXIMIZED=FALSE&amp;creator=factset&amp;display_string=Audit"}</definedName>
    <definedName name="_743__FDSAUDITLINK__" localSheetId="7" hidden="1">{"fdsup://Directions/FactSet Auditing Viewer?action=AUDIT_VALUE&amp;DB=129&amp;ID1=59511210&amp;VALUEID=02001&amp;SDATE=201001&amp;PERIODTYPE=QTR_STD&amp;SCFT=3&amp;window=popup_no_bar&amp;width=385&amp;height=120&amp;START_MAXIMIZED=FALSE&amp;creator=factset&amp;display_string=Audit"}</definedName>
    <definedName name="_743__FDSAUDITLINK__" hidden="1">{"fdsup://Directions/FactSet Auditing Viewer?action=AUDIT_VALUE&amp;DB=129&amp;ID1=59511210&amp;VALUEID=02001&amp;SDATE=201001&amp;PERIODTYPE=QTR_STD&amp;SCFT=3&amp;window=popup_no_bar&amp;width=385&amp;height=120&amp;START_MAXIMIZED=FALSE&amp;creator=factset&amp;display_string=Audit"}</definedName>
    <definedName name="_744__FDSAUDITLINK__" localSheetId="7" hidden="1">{"fdsup://Directions/FactSet Auditing Viewer?action=AUDIT_VALUE&amp;DB=129&amp;ID1=59511210&amp;VALUEID=02001&amp;SDATE=201001&amp;PERIODTYPE=QTR_STD&amp;SCFT=3&amp;window=popup_no_bar&amp;width=385&amp;height=120&amp;START_MAXIMIZED=FALSE&amp;creator=factset&amp;display_string=Audit"}</definedName>
    <definedName name="_744__FDSAUDITLINK__" hidden="1">{"fdsup://Directions/FactSet Auditing Viewer?action=AUDIT_VALUE&amp;DB=129&amp;ID1=59511210&amp;VALUEID=02001&amp;SDATE=201001&amp;PERIODTYPE=QTR_STD&amp;SCFT=3&amp;window=popup_no_bar&amp;width=385&amp;height=120&amp;START_MAXIMIZED=FALSE&amp;creator=factset&amp;display_string=Audit"}</definedName>
    <definedName name="_745__FDSAUDITLINK__" localSheetId="7" hidden="1">{"fdsup://Directions/FactSet Auditing Viewer?action=AUDIT_VALUE&amp;DB=129&amp;ID1=59513710&amp;VALUEID=02001&amp;SDATE=201001&amp;PERIODTYPE=QTR_STD&amp;SCFT=3&amp;window=popup_no_bar&amp;width=385&amp;height=120&amp;START_MAXIMIZED=FALSE&amp;creator=factset&amp;display_string=Audit"}</definedName>
    <definedName name="_745__FDSAUDITLINK__" hidden="1">{"fdsup://Directions/FactSet Auditing Viewer?action=AUDIT_VALUE&amp;DB=129&amp;ID1=59513710&amp;VALUEID=02001&amp;SDATE=201001&amp;PERIODTYPE=QTR_STD&amp;SCFT=3&amp;window=popup_no_bar&amp;width=385&amp;height=120&amp;START_MAXIMIZED=FALSE&amp;creator=factset&amp;display_string=Audit"}</definedName>
    <definedName name="_746__FDSAUDITLINK__" localSheetId="7" hidden="1">{"fdsup://Directions/FactSet Auditing Viewer?action=AUDIT_VALUE&amp;DB=129&amp;ID1=59513710&amp;VALUEID=02001&amp;SDATE=201001&amp;PERIODTYPE=QTR_STD&amp;SCFT=3&amp;window=popup_no_bar&amp;width=385&amp;height=120&amp;START_MAXIMIZED=FALSE&amp;creator=factset&amp;display_string=Audit"}</definedName>
    <definedName name="_746__FDSAUDITLINK__" hidden="1">{"fdsup://Directions/FactSet Auditing Viewer?action=AUDIT_VALUE&amp;DB=129&amp;ID1=59513710&amp;VALUEID=02001&amp;SDATE=201001&amp;PERIODTYPE=QTR_STD&amp;SCFT=3&amp;window=popup_no_bar&amp;width=385&amp;height=120&amp;START_MAXIMIZED=FALSE&amp;creator=factset&amp;display_string=Audit"}</definedName>
    <definedName name="_747__FDSAUDITLINK__" localSheetId="7" hidden="1">{"fdsup://Directions/FactSet Auditing Viewer?action=AUDIT_VALUE&amp;DB=129&amp;ID1=60456710&amp;VALUEID=02001&amp;SDATE=201002&amp;PERIODTYPE=QTR_STD&amp;SCFT=3&amp;window=popup_no_bar&amp;width=385&amp;height=120&amp;START_MAXIMIZED=FALSE&amp;creator=factset&amp;display_string=Audit"}</definedName>
    <definedName name="_747__FDSAUDITLINK__" hidden="1">{"fdsup://Directions/FactSet Auditing Viewer?action=AUDIT_VALUE&amp;DB=129&amp;ID1=60456710&amp;VALUEID=02001&amp;SDATE=201002&amp;PERIODTYPE=QTR_STD&amp;SCFT=3&amp;window=popup_no_bar&amp;width=385&amp;height=120&amp;START_MAXIMIZED=FALSE&amp;creator=factset&amp;display_string=Audit"}</definedName>
    <definedName name="_748__FDSAUDITLINK__" localSheetId="7" hidden="1">{"fdsup://Directions/FactSet Auditing Viewer?action=AUDIT_VALUE&amp;DB=129&amp;ID1=60456710&amp;VALUEID=02001&amp;SDATE=201002&amp;PERIODTYPE=QTR_STD&amp;SCFT=3&amp;window=popup_no_bar&amp;width=385&amp;height=120&amp;START_MAXIMIZED=FALSE&amp;creator=factset&amp;display_string=Audit"}</definedName>
    <definedName name="_748__FDSAUDITLINK__" hidden="1">{"fdsup://Directions/FactSet Auditing Viewer?action=AUDIT_VALUE&amp;DB=129&amp;ID1=60456710&amp;VALUEID=02001&amp;SDATE=201002&amp;PERIODTYPE=QTR_STD&amp;SCFT=3&amp;window=popup_no_bar&amp;width=385&amp;height=120&amp;START_MAXIMIZED=FALSE&amp;creator=factset&amp;display_string=Audit"}</definedName>
    <definedName name="_749__FDSAUDITLINK__" localSheetId="7" hidden="1">{"fdsup://Directions/FactSet Auditing Viewer?action=AUDIT_VALUE&amp;DB=129&amp;ID1=59501710&amp;VALUEID=02001&amp;SDATE=200903&amp;PERIODTYPE=QTR_STD&amp;SCFT=3&amp;window=popup_no_bar&amp;width=385&amp;height=120&amp;START_MAXIMIZED=FALSE&amp;creator=factset&amp;display_string=Audit"}</definedName>
    <definedName name="_749__FDSAUDITLINK__" hidden="1">{"fdsup://Directions/FactSet Auditing Viewer?action=AUDIT_VALUE&amp;DB=129&amp;ID1=59501710&amp;VALUEID=02001&amp;SDATE=200903&amp;PERIODTYPE=QTR_STD&amp;SCFT=3&amp;window=popup_no_bar&amp;width=385&amp;height=120&amp;START_MAXIMIZED=FALSE&amp;creator=factset&amp;display_string=Audit"}</definedName>
    <definedName name="_75__FDSAUDITLINK__" localSheetId="7" hidden="1">{"fdsup://Directions/FactSet Auditing Viewer?action=AUDIT_VALUE&amp;DB=129&amp;ID1=59479310&amp;VALUEID=02001&amp;SDATE=201101&amp;PERIODTYPE=QTR_STD&amp;SCFT=3&amp;window=popup_no_bar&amp;width=385&amp;height=120&amp;START_MAXIMIZED=FALSE&amp;creator=factset&amp;display_string=Audit"}</definedName>
    <definedName name="_75__FDSAUDITLINK__" hidden="1">{"fdsup://Directions/FactSet Auditing Viewer?action=AUDIT_VALUE&amp;DB=129&amp;ID1=59479310&amp;VALUEID=02001&amp;SDATE=201101&amp;PERIODTYPE=QTR_STD&amp;SCFT=3&amp;window=popup_no_bar&amp;width=385&amp;height=120&amp;START_MAXIMIZED=FALSE&amp;creator=factset&amp;display_string=Audit"}</definedName>
    <definedName name="_750__FDSAUDITLINK__" localSheetId="7" hidden="1">{"fdsup://Directions/FactSet Auditing Viewer?action=AUDIT_VALUE&amp;DB=129&amp;ID1=59501710&amp;VALUEID=02001&amp;SDATE=200903&amp;PERIODTYPE=QTR_STD&amp;SCFT=3&amp;window=popup_no_bar&amp;width=385&amp;height=120&amp;START_MAXIMIZED=FALSE&amp;creator=factset&amp;display_string=Audit"}</definedName>
    <definedName name="_750__FDSAUDITLINK__" hidden="1">{"fdsup://Directions/FactSet Auditing Viewer?action=AUDIT_VALUE&amp;DB=129&amp;ID1=59501710&amp;VALUEID=02001&amp;SDATE=200903&amp;PERIODTYPE=QTR_STD&amp;SCFT=3&amp;window=popup_no_bar&amp;width=385&amp;height=120&amp;START_MAXIMIZED=FALSE&amp;creator=factset&amp;display_string=Audit"}</definedName>
    <definedName name="_751__FDSAUDITLINK__" localSheetId="7" hidden="1">{"fdsup://Directions/FactSet Auditing Viewer?action=AUDIT_VALUE&amp;DB=129&amp;ID1=51280710&amp;VALUEID=02001&amp;SDATE=201002&amp;PERIODTYPE=QTR_STD&amp;SCFT=3&amp;window=popup_no_bar&amp;width=385&amp;height=120&amp;START_MAXIMIZED=FALSE&amp;creator=factset&amp;display_string=Audit"}</definedName>
    <definedName name="_751__FDSAUDITLINK__" hidden="1">{"fdsup://Directions/FactSet Auditing Viewer?action=AUDIT_VALUE&amp;DB=129&amp;ID1=51280710&amp;VALUEID=02001&amp;SDATE=201002&amp;PERIODTYPE=QTR_STD&amp;SCFT=3&amp;window=popup_no_bar&amp;width=385&amp;height=120&amp;START_MAXIMIZED=FALSE&amp;creator=factset&amp;display_string=Audit"}</definedName>
    <definedName name="_752__FDSAUDITLINK__" localSheetId="7" hidden="1">{"fdsup://Directions/FactSet Auditing Viewer?action=AUDIT_VALUE&amp;DB=129&amp;ID1=51280710&amp;VALUEID=02001&amp;SDATE=201002&amp;PERIODTYPE=QTR_STD&amp;SCFT=3&amp;window=popup_no_bar&amp;width=385&amp;height=120&amp;START_MAXIMIZED=FALSE&amp;creator=factset&amp;display_string=Audit"}</definedName>
    <definedName name="_752__FDSAUDITLINK__" hidden="1">{"fdsup://Directions/FactSet Auditing Viewer?action=AUDIT_VALUE&amp;DB=129&amp;ID1=51280710&amp;VALUEID=02001&amp;SDATE=201002&amp;PERIODTYPE=QTR_STD&amp;SCFT=3&amp;window=popup_no_bar&amp;width=385&amp;height=120&amp;START_MAXIMIZED=FALSE&amp;creator=factset&amp;display_string=Audit"}</definedName>
    <definedName name="_753__FDSAUDITLINK__" localSheetId="7" hidden="1">{"fdsup://Directions/FactSet Auditing Viewer?action=AUDIT_VALUE&amp;DB=129&amp;ID1=53567810&amp;VALUEID=02001&amp;SDATE=201002&amp;PERIODTYPE=QTR_STD&amp;SCFT=3&amp;window=popup_no_bar&amp;width=385&amp;height=120&amp;START_MAXIMIZED=FALSE&amp;creator=factset&amp;display_string=Audit"}</definedName>
    <definedName name="_753__FDSAUDITLINK__" hidden="1">{"fdsup://Directions/FactSet Auditing Viewer?action=AUDIT_VALUE&amp;DB=129&amp;ID1=53567810&amp;VALUEID=02001&amp;SDATE=201002&amp;PERIODTYPE=QTR_STD&amp;SCFT=3&amp;window=popup_no_bar&amp;width=385&amp;height=120&amp;START_MAXIMIZED=FALSE&amp;creator=factset&amp;display_string=Audit"}</definedName>
    <definedName name="_754__FDSAUDITLINK__" localSheetId="7" hidden="1">{"fdsup://Directions/FactSet Auditing Viewer?action=AUDIT_VALUE&amp;DB=129&amp;ID1=53567810&amp;VALUEID=02001&amp;SDATE=201002&amp;PERIODTYPE=QTR_STD&amp;SCFT=3&amp;window=popup_no_bar&amp;width=385&amp;height=120&amp;START_MAXIMIZED=FALSE&amp;creator=factset&amp;display_string=Audit"}</definedName>
    <definedName name="_754__FDSAUDITLINK__" hidden="1">{"fdsup://Directions/FactSet Auditing Viewer?action=AUDIT_VALUE&amp;DB=129&amp;ID1=53567810&amp;VALUEID=02001&amp;SDATE=201002&amp;PERIODTYPE=QTR_STD&amp;SCFT=3&amp;window=popup_no_bar&amp;width=385&amp;height=120&amp;START_MAXIMIZED=FALSE&amp;creator=factset&amp;display_string=Audit"}</definedName>
    <definedName name="_755__FDSAUDITLINK__" localSheetId="7" hidden="1">{"fdsup://Directions/FactSet Auditing Viewer?action=AUDIT_VALUE&amp;DB=129&amp;ID1=48248010&amp;VALUEID=02001&amp;SDATE=201002&amp;PERIODTYPE=QTR_STD&amp;SCFT=3&amp;window=popup_no_bar&amp;width=385&amp;height=120&amp;START_MAXIMIZED=FALSE&amp;creator=factset&amp;display_string=Audit"}</definedName>
    <definedName name="_755__FDSAUDITLINK__" hidden="1">{"fdsup://Directions/FactSet Auditing Viewer?action=AUDIT_VALUE&amp;DB=129&amp;ID1=48248010&amp;VALUEID=02001&amp;SDATE=201002&amp;PERIODTYPE=QTR_STD&amp;SCFT=3&amp;window=popup_no_bar&amp;width=385&amp;height=120&amp;START_MAXIMIZED=FALSE&amp;creator=factset&amp;display_string=Audit"}</definedName>
    <definedName name="_756__FDSAUDITLINK__" localSheetId="7" hidden="1">{"fdsup://Directions/FactSet Auditing Viewer?action=AUDIT_VALUE&amp;DB=129&amp;ID1=48248010&amp;VALUEID=02001&amp;SDATE=201002&amp;PERIODTYPE=QTR_STD&amp;SCFT=3&amp;window=popup_no_bar&amp;width=385&amp;height=120&amp;START_MAXIMIZED=FALSE&amp;creator=factset&amp;display_string=Audit"}</definedName>
    <definedName name="_756__FDSAUDITLINK__" hidden="1">{"fdsup://Directions/FactSet Auditing Viewer?action=AUDIT_VALUE&amp;DB=129&amp;ID1=48248010&amp;VALUEID=02001&amp;SDATE=201002&amp;PERIODTYPE=QTR_STD&amp;SCFT=3&amp;window=popup_no_bar&amp;width=385&amp;height=120&amp;START_MAXIMIZED=FALSE&amp;creator=factset&amp;display_string=Audit"}</definedName>
    <definedName name="_757__FDSAUDITLINK__" localSheetId="7" hidden="1">{"fdsup://Directions/FactSet Auditing Viewer?action=AUDIT_VALUE&amp;DB=129&amp;ID1=48836020&amp;VALUEID=02001&amp;SDATE=200903&amp;PERIODTYPE=QTR_STD&amp;SCFT=3&amp;window=popup_no_bar&amp;width=385&amp;height=120&amp;START_MAXIMIZED=FALSE&amp;creator=factset&amp;display_string=Audit"}</definedName>
    <definedName name="_757__FDSAUDITLINK__" hidden="1">{"fdsup://Directions/FactSet Auditing Viewer?action=AUDIT_VALUE&amp;DB=129&amp;ID1=48836020&amp;VALUEID=02001&amp;SDATE=200903&amp;PERIODTYPE=QTR_STD&amp;SCFT=3&amp;window=popup_no_bar&amp;width=385&amp;height=120&amp;START_MAXIMIZED=FALSE&amp;creator=factset&amp;display_string=Audit"}</definedName>
    <definedName name="_758__FDSAUDITLINK__" localSheetId="7" hidden="1">{"fdsup://Directions/FactSet Auditing Viewer?action=AUDIT_VALUE&amp;DB=129&amp;ID1=48836020&amp;VALUEID=02001&amp;SDATE=200903&amp;PERIODTYPE=QTR_STD&amp;SCFT=3&amp;window=popup_no_bar&amp;width=385&amp;height=120&amp;START_MAXIMIZED=FALSE&amp;creator=factset&amp;display_string=Audit"}</definedName>
    <definedName name="_758__FDSAUDITLINK__" hidden="1">{"fdsup://Directions/FactSet Auditing Viewer?action=AUDIT_VALUE&amp;DB=129&amp;ID1=48836020&amp;VALUEID=02001&amp;SDATE=200903&amp;PERIODTYPE=QTR_STD&amp;SCFT=3&amp;window=popup_no_bar&amp;width=385&amp;height=120&amp;START_MAXIMIZED=FALSE&amp;creator=factset&amp;display_string=Audit"}</definedName>
    <definedName name="_759__FDSAUDITLINK__" localSheetId="7" hidden="1">{"fdsup://Directions/FactSet Auditing Viewer?action=AUDIT_VALUE&amp;DB=129&amp;ID1=46025410&amp;VALUEID=02001&amp;SDATE=201002&amp;PERIODTYPE=QTR_STD&amp;SCFT=3&amp;window=popup_no_bar&amp;width=385&amp;height=120&amp;START_MAXIMIZED=FALSE&amp;creator=factset&amp;display_string=Audit"}</definedName>
    <definedName name="_759__FDSAUDITLINK__" hidden="1">{"fdsup://Directions/FactSet Auditing Viewer?action=AUDIT_VALUE&amp;DB=129&amp;ID1=46025410&amp;VALUEID=02001&amp;SDATE=201002&amp;PERIODTYPE=QTR_STD&amp;SCFT=3&amp;window=popup_no_bar&amp;width=385&amp;height=120&amp;START_MAXIMIZED=FALSE&amp;creator=factset&amp;display_string=Audit"}</definedName>
    <definedName name="_76__FDSAUDITLINK__" localSheetId="7" hidden="1">{"fdsup://Directions/FactSet Auditing Viewer?action=AUDIT_VALUE&amp;DB=129&amp;ID1=59479310&amp;VALUEID=02001&amp;SDATE=201101&amp;PERIODTYPE=QTR_STD&amp;SCFT=3&amp;window=popup_no_bar&amp;width=385&amp;height=120&amp;START_MAXIMIZED=FALSE&amp;creator=factset&amp;display_string=Audit"}</definedName>
    <definedName name="_76__FDSAUDITLINK__" hidden="1">{"fdsup://Directions/FactSet Auditing Viewer?action=AUDIT_VALUE&amp;DB=129&amp;ID1=59479310&amp;VALUEID=02001&amp;SDATE=201101&amp;PERIODTYPE=QTR_STD&amp;SCFT=3&amp;window=popup_no_bar&amp;width=385&amp;height=120&amp;START_MAXIMIZED=FALSE&amp;creator=factset&amp;display_string=Audit"}</definedName>
    <definedName name="_760__FDSAUDITLINK__" localSheetId="7" hidden="1">{"fdsup://Directions/FactSet Auditing Viewer?action=AUDIT_VALUE&amp;DB=129&amp;ID1=46025410&amp;VALUEID=02001&amp;SDATE=201002&amp;PERIODTYPE=QTR_STD&amp;SCFT=3&amp;window=popup_no_bar&amp;width=385&amp;height=120&amp;START_MAXIMIZED=FALSE&amp;creator=factset&amp;display_string=Audit"}</definedName>
    <definedName name="_760__FDSAUDITLINK__" hidden="1">{"fdsup://Directions/FactSet Auditing Viewer?action=AUDIT_VALUE&amp;DB=129&amp;ID1=46025410&amp;VALUEID=02001&amp;SDATE=201002&amp;PERIODTYPE=QTR_STD&amp;SCFT=3&amp;window=popup_no_bar&amp;width=385&amp;height=120&amp;START_MAXIMIZED=FALSE&amp;creator=factset&amp;display_string=Audit"}</definedName>
    <definedName name="_761__FDSAUDITLINK__" localSheetId="7" hidden="1">{"fdsup://Directions/FactSet Auditing Viewer?action=AUDIT_VALUE&amp;DB=129&amp;ID1=45811810&amp;VALUEID=02001&amp;SDATE=200903&amp;PERIODTYPE=QTR_STD&amp;SCFT=3&amp;window=popup_no_bar&amp;width=385&amp;height=120&amp;START_MAXIMIZED=FALSE&amp;creator=factset&amp;display_string=Audit"}</definedName>
    <definedName name="_761__FDSAUDITLINK__" hidden="1">{"fdsup://Directions/FactSet Auditing Viewer?action=AUDIT_VALUE&amp;DB=129&amp;ID1=45811810&amp;VALUEID=02001&amp;SDATE=200903&amp;PERIODTYPE=QTR_STD&amp;SCFT=3&amp;window=popup_no_bar&amp;width=385&amp;height=120&amp;START_MAXIMIZED=FALSE&amp;creator=factset&amp;display_string=Audit"}</definedName>
    <definedName name="_762__FDSAUDITLINK__" localSheetId="7" hidden="1">{"fdsup://Directions/FactSet Auditing Viewer?action=AUDIT_VALUE&amp;DB=129&amp;ID1=45811810&amp;VALUEID=02001&amp;SDATE=200903&amp;PERIODTYPE=QTR_STD&amp;SCFT=3&amp;window=popup_no_bar&amp;width=385&amp;height=120&amp;START_MAXIMIZED=FALSE&amp;creator=factset&amp;display_string=Audit"}</definedName>
    <definedName name="_762__FDSAUDITLINK__" hidden="1">{"fdsup://Directions/FactSet Auditing Viewer?action=AUDIT_VALUE&amp;DB=129&amp;ID1=45811810&amp;VALUEID=02001&amp;SDATE=200903&amp;PERIODTYPE=QTR_STD&amp;SCFT=3&amp;window=popup_no_bar&amp;width=385&amp;height=120&amp;START_MAXIMIZED=FALSE&amp;creator=factset&amp;display_string=Audit"}</definedName>
    <definedName name="_763__FDSAUDITLINK__" localSheetId="7" hidden="1">{"fdsup://Directions/FactSet Auditing Viewer?action=AUDIT_VALUE&amp;DB=129&amp;ID1=42823610&amp;VALUEID=02001&amp;SDATE=201001&amp;PERIODTYPE=QTR_STD&amp;SCFT=3&amp;window=popup_no_bar&amp;width=385&amp;height=120&amp;START_MAXIMIZED=FALSE&amp;creator=factset&amp;display_string=Audit"}</definedName>
    <definedName name="_763__FDSAUDITLINK__" hidden="1">{"fdsup://Directions/FactSet Auditing Viewer?action=AUDIT_VALUE&amp;DB=129&amp;ID1=42823610&amp;VALUEID=02001&amp;SDATE=201001&amp;PERIODTYPE=QTR_STD&amp;SCFT=3&amp;window=popup_no_bar&amp;width=385&amp;height=120&amp;START_MAXIMIZED=FALSE&amp;creator=factset&amp;display_string=Audit"}</definedName>
    <definedName name="_764__FDSAUDITLINK__" localSheetId="7" hidden="1">{"fdsup://Directions/FactSet Auditing Viewer?action=AUDIT_VALUE&amp;DB=129&amp;ID1=42823610&amp;VALUEID=02001&amp;SDATE=201001&amp;PERIODTYPE=QTR_STD&amp;SCFT=3&amp;window=popup_no_bar&amp;width=385&amp;height=120&amp;START_MAXIMIZED=FALSE&amp;creator=factset&amp;display_string=Audit"}</definedName>
    <definedName name="_764__FDSAUDITLINK__" hidden="1">{"fdsup://Directions/FactSet Auditing Viewer?action=AUDIT_VALUE&amp;DB=129&amp;ID1=42823610&amp;VALUEID=02001&amp;SDATE=201001&amp;PERIODTYPE=QTR_STD&amp;SCFT=3&amp;window=popup_no_bar&amp;width=385&amp;height=120&amp;START_MAXIMIZED=FALSE&amp;creator=factset&amp;display_string=Audit"}</definedName>
    <definedName name="_765__FDSAUDITLINK__" localSheetId="7" hidden="1">{"fdsup://Directions/FactSet Auditing Viewer?action=AUDIT_VALUE&amp;DB=129&amp;ID1=31561610&amp;VALUEID=02001&amp;SDATE=201001&amp;PERIODTYPE=QTR_STD&amp;SCFT=3&amp;window=popup_no_bar&amp;width=385&amp;height=120&amp;START_MAXIMIZED=FALSE&amp;creator=factset&amp;display_string=Audit"}</definedName>
    <definedName name="_765__FDSAUDITLINK__" hidden="1">{"fdsup://Directions/FactSet Auditing Viewer?action=AUDIT_VALUE&amp;DB=129&amp;ID1=31561610&amp;VALUEID=02001&amp;SDATE=201001&amp;PERIODTYPE=QTR_STD&amp;SCFT=3&amp;window=popup_no_bar&amp;width=385&amp;height=120&amp;START_MAXIMIZED=FALSE&amp;creator=factset&amp;display_string=Audit"}</definedName>
    <definedName name="_766__FDSAUDITLINK__" localSheetId="7" hidden="1">{"fdsup://Directions/FactSet Auditing Viewer?action=AUDIT_VALUE&amp;DB=129&amp;ID1=31561610&amp;VALUEID=02001&amp;SDATE=201001&amp;PERIODTYPE=QTR_STD&amp;SCFT=3&amp;window=popup_no_bar&amp;width=385&amp;height=120&amp;START_MAXIMIZED=FALSE&amp;creator=factset&amp;display_string=Audit"}</definedName>
    <definedName name="_766__FDSAUDITLINK__" hidden="1">{"fdsup://Directions/FactSet Auditing Viewer?action=AUDIT_VALUE&amp;DB=129&amp;ID1=31561610&amp;VALUEID=02001&amp;SDATE=201001&amp;PERIODTYPE=QTR_STD&amp;SCFT=3&amp;window=popup_no_bar&amp;width=385&amp;height=120&amp;START_MAXIMIZED=FALSE&amp;creator=factset&amp;display_string=Audit"}</definedName>
    <definedName name="_767__FDSAUDITLINK__" localSheetId="7" hidden="1">{"fdsup://Directions/FactSet Auditing Viewer?action=AUDIT_VALUE&amp;DB=129&amp;ID1=29247520&amp;VALUEID=02001&amp;SDATE=201002&amp;PERIODTYPE=QTR_STD&amp;SCFT=3&amp;window=popup_no_bar&amp;width=385&amp;height=120&amp;START_MAXIMIZED=FALSE&amp;creator=factset&amp;display_string=Audit"}</definedName>
    <definedName name="_767__FDSAUDITLINK__" hidden="1">{"fdsup://Directions/FactSet Auditing Viewer?action=AUDIT_VALUE&amp;DB=129&amp;ID1=29247520&amp;VALUEID=02001&amp;SDATE=201002&amp;PERIODTYPE=QTR_STD&amp;SCFT=3&amp;window=popup_no_bar&amp;width=385&amp;height=120&amp;START_MAXIMIZED=FALSE&amp;creator=factset&amp;display_string=Audit"}</definedName>
    <definedName name="_768__FDSAUDITLINK__" localSheetId="7" hidden="1">{"fdsup://Directions/FactSet Auditing Viewer?action=AUDIT_VALUE&amp;DB=129&amp;ID1=29247520&amp;VALUEID=02001&amp;SDATE=201002&amp;PERIODTYPE=QTR_STD&amp;SCFT=3&amp;window=popup_no_bar&amp;width=385&amp;height=120&amp;START_MAXIMIZED=FALSE&amp;creator=factset&amp;display_string=Audit"}</definedName>
    <definedName name="_768__FDSAUDITLINK__" hidden="1">{"fdsup://Directions/FactSet Auditing Viewer?action=AUDIT_VALUE&amp;DB=129&amp;ID1=29247520&amp;VALUEID=02001&amp;SDATE=201002&amp;PERIODTYPE=QTR_STD&amp;SCFT=3&amp;window=popup_no_bar&amp;width=385&amp;height=120&amp;START_MAXIMIZED=FALSE&amp;creator=factset&amp;display_string=Audit"}</definedName>
    <definedName name="_769__FDSAUDITLINK__" localSheetId="7" hidden="1">{"fdsup://Directions/FactSet Auditing Viewer?action=AUDIT_VALUE&amp;DB=129&amp;ID1=17275R10&amp;VALUEID=02001&amp;SDATE=201002&amp;PERIODTYPE=QTR_STD&amp;SCFT=3&amp;window=popup_no_bar&amp;width=385&amp;height=120&amp;START_MAXIMIZED=FALSE&amp;creator=factset&amp;display_string=Audit"}</definedName>
    <definedName name="_769__FDSAUDITLINK__" hidden="1">{"fdsup://Directions/FactSet Auditing Viewer?action=AUDIT_VALUE&amp;DB=129&amp;ID1=17275R10&amp;VALUEID=02001&amp;SDATE=201002&amp;PERIODTYPE=QTR_STD&amp;SCFT=3&amp;window=popup_no_bar&amp;width=385&amp;height=120&amp;START_MAXIMIZED=FALSE&amp;creator=factset&amp;display_string=Audit"}</definedName>
    <definedName name="_77__FDSAUDITLINK__" localSheetId="7" hidden="1">{"fdsup://Directions/FactSet Auditing Viewer?action=AUDIT_VALUE&amp;DB=129&amp;ID1=59501710&amp;VALUEID=02001&amp;SDATE=201004&amp;PERIODTYPE=QTR_STD&amp;SCFT=3&amp;window=popup_no_bar&amp;width=385&amp;height=120&amp;START_MAXIMIZED=FALSE&amp;creator=factset&amp;display_string=Audit"}</definedName>
    <definedName name="_77__FDSAUDITLINK__" hidden="1">{"fdsup://Directions/FactSet Auditing Viewer?action=AUDIT_VALUE&amp;DB=129&amp;ID1=59501710&amp;VALUEID=02001&amp;SDATE=201004&amp;PERIODTYPE=QTR_STD&amp;SCFT=3&amp;window=popup_no_bar&amp;width=385&amp;height=120&amp;START_MAXIMIZED=FALSE&amp;creator=factset&amp;display_string=Audit"}</definedName>
    <definedName name="_770__FDSAUDITLINK__" localSheetId="7" hidden="1">{"fdsup://Directions/FactSet Auditing Viewer?action=AUDIT_VALUE&amp;DB=129&amp;ID1=17275R10&amp;VALUEID=02001&amp;SDATE=201002&amp;PERIODTYPE=QTR_STD&amp;SCFT=3&amp;window=popup_no_bar&amp;width=385&amp;height=120&amp;START_MAXIMIZED=FALSE&amp;creator=factset&amp;display_string=Audit"}</definedName>
    <definedName name="_770__FDSAUDITLINK__" hidden="1">{"fdsup://Directions/FactSet Auditing Viewer?action=AUDIT_VALUE&amp;DB=129&amp;ID1=17275R10&amp;VALUEID=02001&amp;SDATE=201002&amp;PERIODTYPE=QTR_STD&amp;SCFT=3&amp;window=popup_no_bar&amp;width=385&amp;height=120&amp;START_MAXIMIZED=FALSE&amp;creator=factset&amp;display_string=Audit"}</definedName>
    <definedName name="_771__FDSAUDITLINK__" localSheetId="7" hidden="1">{"fdsup://Directions/FactSet Auditing Viewer?action=AUDIT_VALUE&amp;DB=129&amp;ID1=22544710&amp;VALUEID=02001&amp;SDATE=201002&amp;PERIODTYPE=QTR_STD&amp;SCFT=3&amp;window=popup_no_bar&amp;width=385&amp;height=120&amp;START_MAXIMIZED=FALSE&amp;creator=factset&amp;display_string=Audit"}</definedName>
    <definedName name="_771__FDSAUDITLINK__" hidden="1">{"fdsup://Directions/FactSet Auditing Viewer?action=AUDIT_VALUE&amp;DB=129&amp;ID1=22544710&amp;VALUEID=02001&amp;SDATE=201002&amp;PERIODTYPE=QTR_STD&amp;SCFT=3&amp;window=popup_no_bar&amp;width=385&amp;height=120&amp;START_MAXIMIZED=FALSE&amp;creator=factset&amp;display_string=Audit"}</definedName>
    <definedName name="_772__FDSAUDITLINK__" localSheetId="7" hidden="1">{"fdsup://Directions/FactSet Auditing Viewer?action=AUDIT_VALUE&amp;DB=129&amp;ID1=22544710&amp;VALUEID=02001&amp;SDATE=201002&amp;PERIODTYPE=QTR_STD&amp;SCFT=3&amp;window=popup_no_bar&amp;width=385&amp;height=120&amp;START_MAXIMIZED=FALSE&amp;creator=factset&amp;display_string=Audit"}</definedName>
    <definedName name="_772__FDSAUDITLINK__" hidden="1">{"fdsup://Directions/FactSet Auditing Viewer?action=AUDIT_VALUE&amp;DB=129&amp;ID1=22544710&amp;VALUEID=02001&amp;SDATE=201002&amp;PERIODTYPE=QTR_STD&amp;SCFT=3&amp;window=popup_no_bar&amp;width=385&amp;height=120&amp;START_MAXIMIZED=FALSE&amp;creator=factset&amp;display_string=Audit"}</definedName>
    <definedName name="_773__FDSAUDITLINK__" localSheetId="7" hidden="1">{"fdsup://Directions/FactSet Auditing Viewer?action=AUDIT_VALUE&amp;DB=129&amp;ID1=20714230&amp;VALUEID=02001&amp;SDATE=201001&amp;PERIODTYPE=QTR_STD&amp;SCFT=3&amp;window=popup_no_bar&amp;width=385&amp;height=120&amp;START_MAXIMIZED=FALSE&amp;creator=factset&amp;display_string=Audit"}</definedName>
    <definedName name="_773__FDSAUDITLINK__" hidden="1">{"fdsup://Directions/FactSet Auditing Viewer?action=AUDIT_VALUE&amp;DB=129&amp;ID1=20714230&amp;VALUEID=02001&amp;SDATE=201001&amp;PERIODTYPE=QTR_STD&amp;SCFT=3&amp;window=popup_no_bar&amp;width=385&amp;height=120&amp;START_MAXIMIZED=FALSE&amp;creator=factset&amp;display_string=Audit"}</definedName>
    <definedName name="_774__FDSAUDITLINK__" localSheetId="7" hidden="1">{"fdsup://Directions/FactSet Auditing Viewer?action=AUDIT_VALUE&amp;DB=129&amp;ID1=20714230&amp;VALUEID=02001&amp;SDATE=201001&amp;PERIODTYPE=QTR_STD&amp;SCFT=3&amp;window=popup_no_bar&amp;width=385&amp;height=120&amp;START_MAXIMIZED=FALSE&amp;creator=factset&amp;display_string=Audit"}</definedName>
    <definedName name="_774__FDSAUDITLINK__" hidden="1">{"fdsup://Directions/FactSet Auditing Viewer?action=AUDIT_VALUE&amp;DB=129&amp;ID1=20714230&amp;VALUEID=02001&amp;SDATE=201001&amp;PERIODTYPE=QTR_STD&amp;SCFT=3&amp;window=popup_no_bar&amp;width=385&amp;height=120&amp;START_MAXIMIZED=FALSE&amp;creator=factset&amp;display_string=Audit"}</definedName>
    <definedName name="_775__FDSAUDITLINK__" localSheetId="7" hidden="1">{"fdsup://Directions/FactSet Auditing Viewer?action=AUDIT_VALUE&amp;DB=129&amp;ID1=12738710&amp;VALUEID=02001&amp;SDATE=200904&amp;PERIODTYPE=QTR_STD&amp;SCFT=3&amp;window=popup_no_bar&amp;width=385&amp;height=120&amp;START_MAXIMIZED=FALSE&amp;creator=factset&amp;display_string=Audit"}</definedName>
    <definedName name="_775__FDSAUDITLINK__" hidden="1">{"fdsup://Directions/FactSet Auditing Viewer?action=AUDIT_VALUE&amp;DB=129&amp;ID1=12738710&amp;VALUEID=02001&amp;SDATE=200904&amp;PERIODTYPE=QTR_STD&amp;SCFT=3&amp;window=popup_no_bar&amp;width=385&amp;height=120&amp;START_MAXIMIZED=FALSE&amp;creator=factset&amp;display_string=Audit"}</definedName>
    <definedName name="_776__FDSAUDITLINK__" localSheetId="7" hidden="1">{"fdsup://Directions/FactSet Auditing Viewer?action=AUDIT_VALUE&amp;DB=129&amp;ID1=12738710&amp;VALUEID=02001&amp;SDATE=200904&amp;PERIODTYPE=QTR_STD&amp;SCFT=3&amp;window=popup_no_bar&amp;width=385&amp;height=120&amp;START_MAXIMIZED=FALSE&amp;creator=factset&amp;display_string=Audit"}</definedName>
    <definedName name="_776__FDSAUDITLINK__" hidden="1">{"fdsup://Directions/FactSet Auditing Viewer?action=AUDIT_VALUE&amp;DB=129&amp;ID1=12738710&amp;VALUEID=02001&amp;SDATE=200904&amp;PERIODTYPE=QTR_STD&amp;SCFT=3&amp;window=popup_no_bar&amp;width=385&amp;height=120&amp;START_MAXIMIZED=FALSE&amp;creator=factset&amp;display_string=Audit"}</definedName>
    <definedName name="_777__FDSAUDITLINK__" localSheetId="7" hidden="1">{"fdsup://Directions/FactSet Auditing Viewer?action=AUDIT_VALUE&amp;DB=129&amp;ID1=11162130&amp;VALUEID=02001&amp;SDATE=201001&amp;PERIODTYPE=QTR_STD&amp;SCFT=3&amp;window=popup_no_bar&amp;width=385&amp;height=120&amp;START_MAXIMIZED=FALSE&amp;creator=factset&amp;display_string=Audit"}</definedName>
    <definedName name="_777__FDSAUDITLINK__" hidden="1">{"fdsup://Directions/FactSet Auditing Viewer?action=AUDIT_VALUE&amp;DB=129&amp;ID1=11162130&amp;VALUEID=02001&amp;SDATE=201001&amp;PERIODTYPE=QTR_STD&amp;SCFT=3&amp;window=popup_no_bar&amp;width=385&amp;height=120&amp;START_MAXIMIZED=FALSE&amp;creator=factset&amp;display_string=Audit"}</definedName>
    <definedName name="_778__FDSAUDITLINK__" localSheetId="7" hidden="1">{"fdsup://Directions/FactSet Auditing Viewer?action=AUDIT_VALUE&amp;DB=129&amp;ID1=11162130&amp;VALUEID=02001&amp;SDATE=201001&amp;PERIODTYPE=QTR_STD&amp;SCFT=3&amp;window=popup_no_bar&amp;width=385&amp;height=120&amp;START_MAXIMIZED=FALSE&amp;creator=factset&amp;display_string=Audit"}</definedName>
    <definedName name="_778__FDSAUDITLINK__" hidden="1">{"fdsup://Directions/FactSet Auditing Viewer?action=AUDIT_VALUE&amp;DB=129&amp;ID1=11162130&amp;VALUEID=02001&amp;SDATE=201001&amp;PERIODTYPE=QTR_STD&amp;SCFT=3&amp;window=popup_no_bar&amp;width=385&amp;height=120&amp;START_MAXIMIZED=FALSE&amp;creator=factset&amp;display_string=Audit"}</definedName>
    <definedName name="_779__FDSAUDITLINK__" localSheetId="7" hidden="1">{"fdsup://Directions/FactSet Auditing Viewer?action=AUDIT_VALUE&amp;DB=129&amp;ID1=Y0486S10&amp;VALUEID=02001&amp;SDATE=201001&amp;PERIODTYPE=QTR_STD&amp;SCFT=3&amp;window=popup_no_bar&amp;width=385&amp;height=120&amp;START_MAXIMIZED=FALSE&amp;creator=factset&amp;display_string=Audit"}</definedName>
    <definedName name="_779__FDSAUDITLINK__" hidden="1">{"fdsup://Directions/FactSet Auditing Viewer?action=AUDIT_VALUE&amp;DB=129&amp;ID1=Y0486S10&amp;VALUEID=02001&amp;SDATE=201001&amp;PERIODTYPE=QTR_STD&amp;SCFT=3&amp;window=popup_no_bar&amp;width=385&amp;height=120&amp;START_MAXIMIZED=FALSE&amp;creator=factset&amp;display_string=Audit"}</definedName>
    <definedName name="_78__FDSAUDITLINK__" localSheetId="7" hidden="1">{"fdsup://Directions/FactSet Auditing Viewer?action=AUDIT_VALUE&amp;DB=129&amp;ID1=59501710&amp;VALUEID=02001&amp;SDATE=201004&amp;PERIODTYPE=QTR_STD&amp;SCFT=3&amp;window=popup_no_bar&amp;width=385&amp;height=120&amp;START_MAXIMIZED=FALSE&amp;creator=factset&amp;display_string=Audit"}</definedName>
    <definedName name="_78__FDSAUDITLINK__" hidden="1">{"fdsup://Directions/FactSet Auditing Viewer?action=AUDIT_VALUE&amp;DB=129&amp;ID1=59501710&amp;VALUEID=02001&amp;SDATE=201004&amp;PERIODTYPE=QTR_STD&amp;SCFT=3&amp;window=popup_no_bar&amp;width=385&amp;height=120&amp;START_MAXIMIZED=FALSE&amp;creator=factset&amp;display_string=Audit"}</definedName>
    <definedName name="_780__FDSAUDITLINK__" localSheetId="7" hidden="1">{"fdsup://Directions/FactSet Auditing Viewer?action=AUDIT_VALUE&amp;DB=129&amp;ID1=Y0486S10&amp;VALUEID=02001&amp;SDATE=201001&amp;PERIODTYPE=QTR_STD&amp;SCFT=3&amp;window=popup_no_bar&amp;width=385&amp;height=120&amp;START_MAXIMIZED=FALSE&amp;creator=factset&amp;display_string=Audit"}</definedName>
    <definedName name="_780__FDSAUDITLINK__" hidden="1">{"fdsup://Directions/FactSet Auditing Viewer?action=AUDIT_VALUE&amp;DB=129&amp;ID1=Y0486S10&amp;VALUEID=02001&amp;SDATE=201001&amp;PERIODTYPE=QTR_STD&amp;SCFT=3&amp;window=popup_no_bar&amp;width=385&amp;height=120&amp;START_MAXIMIZED=FALSE&amp;creator=factset&amp;display_string=Audit"}</definedName>
    <definedName name="_781__FDSAUDITLINK__" localSheetId="7" hidden="1">{"fdsup://Directions/FactSet Auditing Viewer?action=AUDIT_VALUE&amp;DB=129&amp;ID1=03822W40&amp;VALUEID=02001&amp;SDATE=200903&amp;PERIODTYPE=QTR_STD&amp;SCFT=3&amp;window=popup_no_bar&amp;width=385&amp;height=120&amp;START_MAXIMIZED=FALSE&amp;creator=factset&amp;display_string=Audit"}</definedName>
    <definedName name="_781__FDSAUDITLINK__" hidden="1">{"fdsup://Directions/FactSet Auditing Viewer?action=AUDIT_VALUE&amp;DB=129&amp;ID1=03822W40&amp;VALUEID=02001&amp;SDATE=200903&amp;PERIODTYPE=QTR_STD&amp;SCFT=3&amp;window=popup_no_bar&amp;width=385&amp;height=120&amp;START_MAXIMIZED=FALSE&amp;creator=factset&amp;display_string=Audit"}</definedName>
    <definedName name="_782__FDSAUDITLINK__" localSheetId="7" hidden="1">{"fdsup://Directions/FactSet Auditing Viewer?action=AUDIT_VALUE&amp;DB=129&amp;ID1=03822W40&amp;VALUEID=02001&amp;SDATE=200903&amp;PERIODTYPE=QTR_STD&amp;SCFT=3&amp;window=popup_no_bar&amp;width=385&amp;height=120&amp;START_MAXIMIZED=FALSE&amp;creator=factset&amp;display_string=Audit"}</definedName>
    <definedName name="_782__FDSAUDITLINK__" hidden="1">{"fdsup://Directions/FactSet Auditing Viewer?action=AUDIT_VALUE&amp;DB=129&amp;ID1=03822W40&amp;VALUEID=02001&amp;SDATE=200903&amp;PERIODTYPE=QTR_STD&amp;SCFT=3&amp;window=popup_no_bar&amp;width=385&amp;height=120&amp;START_MAXIMIZED=FALSE&amp;creator=factset&amp;display_string=Audit"}</definedName>
    <definedName name="_783__FDSAUDITLINK__" localSheetId="7" hidden="1">{"fdsup://Directions/FactSet Auditing Viewer?action=AUDIT_VALUE&amp;DB=129&amp;ID1=03822210&amp;VALUEID=02001&amp;SDATE=201001&amp;PERIODTYPE=QTR_STD&amp;SCFT=3&amp;window=popup_no_bar&amp;width=385&amp;height=120&amp;START_MAXIMIZED=FALSE&amp;creator=factset&amp;display_string=Audit"}</definedName>
    <definedName name="_783__FDSAUDITLINK__" hidden="1">{"fdsup://Directions/FactSet Auditing Viewer?action=AUDIT_VALUE&amp;DB=129&amp;ID1=03822210&amp;VALUEID=02001&amp;SDATE=201001&amp;PERIODTYPE=QTR_STD&amp;SCFT=3&amp;window=popup_no_bar&amp;width=385&amp;height=120&amp;START_MAXIMIZED=FALSE&amp;creator=factset&amp;display_string=Audit"}</definedName>
    <definedName name="_784__FDSAUDITLINK__" localSheetId="7" hidden="1">{"fdsup://Directions/FactSet Auditing Viewer?action=AUDIT_VALUE&amp;DB=129&amp;ID1=03822210&amp;VALUEID=02001&amp;SDATE=201001&amp;PERIODTYPE=QTR_STD&amp;SCFT=3&amp;window=popup_no_bar&amp;width=385&amp;height=120&amp;START_MAXIMIZED=FALSE&amp;creator=factset&amp;display_string=Audit"}</definedName>
    <definedName name="_784__FDSAUDITLINK__" hidden="1">{"fdsup://Directions/FactSet Auditing Viewer?action=AUDIT_VALUE&amp;DB=129&amp;ID1=03822210&amp;VALUEID=02001&amp;SDATE=201001&amp;PERIODTYPE=QTR_STD&amp;SCFT=3&amp;window=popup_no_bar&amp;width=385&amp;height=120&amp;START_MAXIMIZED=FALSE&amp;creator=factset&amp;display_string=Audit"}</definedName>
    <definedName name="_785__FDSAUDITLINK__" localSheetId="7" hidden="1">{"fdsup://Directions/FactSet Auditing Viewer?action=AUDIT_VALUE&amp;DB=129&amp;ID1=03265410&amp;VALUEID=02001&amp;SDATE=201001&amp;PERIODTYPE=QTR_STD&amp;SCFT=3&amp;window=popup_no_bar&amp;width=385&amp;height=120&amp;START_MAXIMIZED=FALSE&amp;creator=factset&amp;display_string=Audit"}</definedName>
    <definedName name="_785__FDSAUDITLINK__" hidden="1">{"fdsup://Directions/FactSet Auditing Viewer?action=AUDIT_VALUE&amp;DB=129&amp;ID1=03265410&amp;VALUEID=02001&amp;SDATE=201001&amp;PERIODTYPE=QTR_STD&amp;SCFT=3&amp;window=popup_no_bar&amp;width=385&amp;height=120&amp;START_MAXIMIZED=FALSE&amp;creator=factset&amp;display_string=Audit"}</definedName>
    <definedName name="_786__FDSAUDITLINK__" localSheetId="7" hidden="1">{"fdsup://Directions/FactSet Auditing Viewer?action=AUDIT_VALUE&amp;DB=129&amp;ID1=03265410&amp;VALUEID=02001&amp;SDATE=201001&amp;PERIODTYPE=QTR_STD&amp;SCFT=3&amp;window=popup_no_bar&amp;width=385&amp;height=120&amp;START_MAXIMIZED=FALSE&amp;creator=factset&amp;display_string=Audit"}</definedName>
    <definedName name="_786__FDSAUDITLINK__" hidden="1">{"fdsup://Directions/FactSet Auditing Viewer?action=AUDIT_VALUE&amp;DB=129&amp;ID1=03265410&amp;VALUEID=02001&amp;SDATE=201001&amp;PERIODTYPE=QTR_STD&amp;SCFT=3&amp;window=popup_no_bar&amp;width=385&amp;height=120&amp;START_MAXIMIZED=FALSE&amp;creator=factset&amp;display_string=Audit"}</definedName>
    <definedName name="_787__FDSAUDITLINK__" localSheetId="7" hidden="1">{"fdsup://Directions/FactSet Auditing Viewer?action=AUDIT_VALUE&amp;DB=129&amp;ID1=98975F10&amp;VALUEID=02001&amp;SDATE=200903&amp;PERIODTYPE=QTR_STD&amp;SCFT=3&amp;window=popup_no_bar&amp;width=385&amp;height=120&amp;START_MAXIMIZED=FALSE&amp;creator=factset&amp;display_string=Audit"}</definedName>
    <definedName name="_787__FDSAUDITLINK__" hidden="1">{"fdsup://Directions/FactSet Auditing Viewer?action=AUDIT_VALUE&amp;DB=129&amp;ID1=98975F10&amp;VALUEID=02001&amp;SDATE=200903&amp;PERIODTYPE=QTR_STD&amp;SCFT=3&amp;window=popup_no_bar&amp;width=385&amp;height=120&amp;START_MAXIMIZED=FALSE&amp;creator=factset&amp;display_string=Audit"}</definedName>
    <definedName name="_788__FDSAUDITLINK__" localSheetId="7" hidden="1">{"fdsup://Directions/FactSet Auditing Viewer?action=AUDIT_VALUE&amp;DB=129&amp;ID1=98975F10&amp;VALUEID=02001&amp;SDATE=200903&amp;PERIODTYPE=QTR_STD&amp;SCFT=3&amp;window=popup_no_bar&amp;width=385&amp;height=120&amp;START_MAXIMIZED=FALSE&amp;creator=factset&amp;display_string=Audit"}</definedName>
    <definedName name="_788__FDSAUDITLINK__" hidden="1">{"fdsup://Directions/FactSet Auditing Viewer?action=AUDIT_VALUE&amp;DB=129&amp;ID1=98975F10&amp;VALUEID=02001&amp;SDATE=200903&amp;PERIODTYPE=QTR_STD&amp;SCFT=3&amp;window=popup_no_bar&amp;width=385&amp;height=120&amp;START_MAXIMIZED=FALSE&amp;creator=factset&amp;display_string=Audit"}</definedName>
    <definedName name="_789__FDSAUDITLINK__" localSheetId="7" hidden="1">{"fdsup://Directions/FactSet Auditing Viewer?action=AUDIT_VALUE&amp;DB=129&amp;ID1=98391910&amp;VALUEID=02001&amp;SDATE=200902&amp;PERIODTYPE=QTR_STD&amp;SCFT=3&amp;window=popup_no_bar&amp;width=385&amp;height=120&amp;START_MAXIMIZED=FALSE&amp;creator=factset&amp;display_string=Audit"}</definedName>
    <definedName name="_789__FDSAUDITLINK__" hidden="1">{"fdsup://Directions/FactSet Auditing Viewer?action=AUDIT_VALUE&amp;DB=129&amp;ID1=98391910&amp;VALUEID=02001&amp;SDATE=200902&amp;PERIODTYPE=QTR_STD&amp;SCFT=3&amp;window=popup_no_bar&amp;width=385&amp;height=120&amp;START_MAXIMIZED=FALSE&amp;creator=factset&amp;display_string=Audit"}</definedName>
    <definedName name="_79__FDSAUDITLINK__" localSheetId="7" hidden="1">{"fdsup://Directions/FactSet Auditing Viewer?action=AUDIT_VALUE&amp;DB=129&amp;ID1=50216110&amp;VALUEID=02001&amp;SDATE=201101&amp;PERIODTYPE=QTR_STD&amp;SCFT=3&amp;window=popup_no_bar&amp;width=385&amp;height=120&amp;START_MAXIMIZED=FALSE&amp;creator=factset&amp;display_string=Audit"}</definedName>
    <definedName name="_79__FDSAUDITLINK__" hidden="1">{"fdsup://Directions/FactSet Auditing Viewer?action=AUDIT_VALUE&amp;DB=129&amp;ID1=50216110&amp;VALUEID=02001&amp;SDATE=201101&amp;PERIODTYPE=QTR_STD&amp;SCFT=3&amp;window=popup_no_bar&amp;width=385&amp;height=120&amp;START_MAXIMIZED=FALSE&amp;creator=factset&amp;display_string=Audit"}</definedName>
    <definedName name="_790__FDSAUDITLINK__" localSheetId="7" hidden="1">{"fdsup://Directions/FactSet Auditing Viewer?action=AUDIT_VALUE&amp;DB=129&amp;ID1=98391910&amp;VALUEID=02001&amp;SDATE=200902&amp;PERIODTYPE=QTR_STD&amp;SCFT=3&amp;window=popup_no_bar&amp;width=385&amp;height=120&amp;START_MAXIMIZED=FALSE&amp;creator=factset&amp;display_string=Audit"}</definedName>
    <definedName name="_790__FDSAUDITLINK__" hidden="1">{"fdsup://Directions/FactSet Auditing Viewer?action=AUDIT_VALUE&amp;DB=129&amp;ID1=98391910&amp;VALUEID=02001&amp;SDATE=200902&amp;PERIODTYPE=QTR_STD&amp;SCFT=3&amp;window=popup_no_bar&amp;width=385&amp;height=120&amp;START_MAXIMIZED=FALSE&amp;creator=factset&amp;display_string=Audit"}</definedName>
    <definedName name="_791__FDSAUDITLINK__" localSheetId="7" hidden="1">{"fdsup://Directions/FactSet Auditing Viewer?action=AUDIT_VALUE&amp;DB=129&amp;ID1=95810210&amp;VALUEID=02001&amp;SDATE=201001&amp;PERIODTYPE=QTR_STD&amp;SCFT=3&amp;window=popup_no_bar&amp;width=385&amp;height=120&amp;START_MAXIMIZED=FALSE&amp;creator=factset&amp;display_string=Audit"}</definedName>
    <definedName name="_791__FDSAUDITLINK__" hidden="1">{"fdsup://Directions/FactSet Auditing Viewer?action=AUDIT_VALUE&amp;DB=129&amp;ID1=95810210&amp;VALUEID=02001&amp;SDATE=201001&amp;PERIODTYPE=QTR_STD&amp;SCFT=3&amp;window=popup_no_bar&amp;width=385&amp;height=120&amp;START_MAXIMIZED=FALSE&amp;creator=factset&amp;display_string=Audit"}</definedName>
    <definedName name="_792__FDSAUDITLINK__" localSheetId="7" hidden="1">{"fdsup://Directions/FactSet Auditing Viewer?action=AUDIT_VALUE&amp;DB=129&amp;ID1=95810210&amp;VALUEID=02001&amp;SDATE=201001&amp;PERIODTYPE=QTR_STD&amp;SCFT=3&amp;window=popup_no_bar&amp;width=385&amp;height=120&amp;START_MAXIMIZED=FALSE&amp;creator=factset&amp;display_string=Audit"}</definedName>
    <definedName name="_792__FDSAUDITLINK__" hidden="1">{"fdsup://Directions/FactSet Auditing Viewer?action=AUDIT_VALUE&amp;DB=129&amp;ID1=95810210&amp;VALUEID=02001&amp;SDATE=201001&amp;PERIODTYPE=QTR_STD&amp;SCFT=3&amp;window=popup_no_bar&amp;width=385&amp;height=120&amp;START_MAXIMIZED=FALSE&amp;creator=factset&amp;display_string=Audit"}</definedName>
    <definedName name="_793__FDSAUDITLINK__" localSheetId="7" hidden="1">{"fdsup://Directions/FactSet Auditing Viewer?action=AUDIT_VALUE&amp;DB=129&amp;ID1=92829810&amp;VALUEID=02001&amp;SDATE=200903&amp;PERIODTYPE=QTR_STD&amp;SCFT=3&amp;window=popup_no_bar&amp;width=385&amp;height=120&amp;START_MAXIMIZED=FALSE&amp;creator=factset&amp;display_string=Audit"}</definedName>
    <definedName name="_793__FDSAUDITLINK__" hidden="1">{"fdsup://Directions/FactSet Auditing Viewer?action=AUDIT_VALUE&amp;DB=129&amp;ID1=92829810&amp;VALUEID=02001&amp;SDATE=200903&amp;PERIODTYPE=QTR_STD&amp;SCFT=3&amp;window=popup_no_bar&amp;width=385&amp;height=120&amp;START_MAXIMIZED=FALSE&amp;creator=factset&amp;display_string=Audit"}</definedName>
    <definedName name="_794__FDSAUDITLINK__" localSheetId="7" hidden="1">{"fdsup://Directions/FactSet Auditing Viewer?action=AUDIT_VALUE&amp;DB=129&amp;ID1=92829810&amp;VALUEID=02001&amp;SDATE=200903&amp;PERIODTYPE=QTR_STD&amp;SCFT=3&amp;window=popup_no_bar&amp;width=385&amp;height=120&amp;START_MAXIMIZED=FALSE&amp;creator=factset&amp;display_string=Audit"}</definedName>
    <definedName name="_794__FDSAUDITLINK__" hidden="1">{"fdsup://Directions/FactSet Auditing Viewer?action=AUDIT_VALUE&amp;DB=129&amp;ID1=92829810&amp;VALUEID=02001&amp;SDATE=200903&amp;PERIODTYPE=QTR_STD&amp;SCFT=3&amp;window=popup_no_bar&amp;width=385&amp;height=120&amp;START_MAXIMIZED=FALSE&amp;creator=factset&amp;display_string=Audit"}</definedName>
    <definedName name="_795__FDSAUDITLINK__" localSheetId="7" hidden="1">{"fdsup://Directions/FactSet Auditing Viewer?action=AUDIT_VALUE&amp;DB=129&amp;ID1=88250810&amp;VALUEID=02001&amp;SDATE=200903&amp;PERIODTYPE=QTR_STD&amp;SCFT=3&amp;window=popup_no_bar&amp;width=385&amp;height=120&amp;START_MAXIMIZED=FALSE&amp;creator=factset&amp;display_string=Audit"}</definedName>
    <definedName name="_795__FDSAUDITLINK__" hidden="1">{"fdsup://Directions/FactSet Auditing Viewer?action=AUDIT_VALUE&amp;DB=129&amp;ID1=88250810&amp;VALUEID=02001&amp;SDATE=200903&amp;PERIODTYPE=QTR_STD&amp;SCFT=3&amp;window=popup_no_bar&amp;width=385&amp;height=120&amp;START_MAXIMIZED=FALSE&amp;creator=factset&amp;display_string=Audit"}</definedName>
    <definedName name="_796__FDSAUDITLINK__" localSheetId="7" hidden="1">{"fdsup://Directions/FactSet Auditing Viewer?action=AUDIT_VALUE&amp;DB=129&amp;ID1=88250810&amp;VALUEID=02001&amp;SDATE=200903&amp;PERIODTYPE=QTR_STD&amp;SCFT=3&amp;window=popup_no_bar&amp;width=385&amp;height=120&amp;START_MAXIMIZED=FALSE&amp;creator=factset&amp;display_string=Audit"}</definedName>
    <definedName name="_796__FDSAUDITLINK__" hidden="1">{"fdsup://Directions/FactSet Auditing Viewer?action=AUDIT_VALUE&amp;DB=129&amp;ID1=88250810&amp;VALUEID=02001&amp;SDATE=200903&amp;PERIODTYPE=QTR_STD&amp;SCFT=3&amp;window=popup_no_bar&amp;width=385&amp;height=120&amp;START_MAXIMIZED=FALSE&amp;creator=factset&amp;display_string=Audit"}</definedName>
    <definedName name="_797__FDSAUDITLINK__" localSheetId="7" hidden="1">{"fdsup://Directions/FactSet Auditing Viewer?action=AUDIT_VALUE&amp;DB=129&amp;ID1=89674K10&amp;VALUEID=02001&amp;SDATE=200903&amp;PERIODTYPE=QTR_STD&amp;SCFT=3&amp;window=popup_no_bar&amp;width=385&amp;height=120&amp;START_MAXIMIZED=FALSE&amp;creator=factset&amp;display_string=Audit"}</definedName>
    <definedName name="_797__FDSAUDITLINK__" hidden="1">{"fdsup://Directions/FactSet Auditing Viewer?action=AUDIT_VALUE&amp;DB=129&amp;ID1=89674K10&amp;VALUEID=02001&amp;SDATE=200903&amp;PERIODTYPE=QTR_STD&amp;SCFT=3&amp;window=popup_no_bar&amp;width=385&amp;height=120&amp;START_MAXIMIZED=FALSE&amp;creator=factset&amp;display_string=Audit"}</definedName>
    <definedName name="_798__FDSAUDITLINK__" localSheetId="7" hidden="1">{"fdsup://Directions/FactSet Auditing Viewer?action=AUDIT_VALUE&amp;DB=129&amp;ID1=89674K10&amp;VALUEID=02001&amp;SDATE=200903&amp;PERIODTYPE=QTR_STD&amp;SCFT=3&amp;window=popup_no_bar&amp;width=385&amp;height=120&amp;START_MAXIMIZED=FALSE&amp;creator=factset&amp;display_string=Audit"}</definedName>
    <definedName name="_798__FDSAUDITLINK__" hidden="1">{"fdsup://Directions/FactSet Auditing Viewer?action=AUDIT_VALUE&amp;DB=129&amp;ID1=89674K10&amp;VALUEID=02001&amp;SDATE=200903&amp;PERIODTYPE=QTR_STD&amp;SCFT=3&amp;window=popup_no_bar&amp;width=385&amp;height=120&amp;START_MAXIMIZED=FALSE&amp;creator=factset&amp;display_string=Audit"}</definedName>
    <definedName name="_799__FDSAUDITLINK__" localSheetId="7" hidden="1">{"fdsup://Directions/FactSet Auditing Viewer?action=AUDIT_VALUE&amp;DB=129&amp;ID1=G7945M10&amp;VALUEID=02001&amp;SDATE=201001&amp;PERIODTYPE=QTR_STD&amp;SCFT=3&amp;window=popup_no_bar&amp;width=385&amp;height=120&amp;START_MAXIMIZED=FALSE&amp;creator=factset&amp;display_string=Audit"}</definedName>
    <definedName name="_799__FDSAUDITLINK__" hidden="1">{"fdsup://Directions/FactSet Auditing Viewer?action=AUDIT_VALUE&amp;DB=129&amp;ID1=G7945M10&amp;VALUEID=02001&amp;SDATE=201001&amp;PERIODTYPE=QTR_STD&amp;SCFT=3&amp;window=popup_no_bar&amp;width=385&amp;height=120&amp;START_MAXIMIZED=FALSE&amp;creator=factset&amp;display_string=Audit"}</definedName>
    <definedName name="_8__FDSAUDITLINK__" localSheetId="7" hidden="1">{"fdsup://Directions/FactSet Auditing Viewer?action=AUDIT_VALUE&amp;DB=129&amp;ID1=45814010&amp;VALUEID=05194&amp;SDATE=201103&amp;PERIODTYPE=QTR_STD&amp;SCFT=3&amp;window=popup_no_bar&amp;width=385&amp;height=120&amp;START_MAXIMIZED=FALSE&amp;creator=factset&amp;display_string=Audit"}</definedName>
    <definedName name="_8__FDSAUDITLINK__" hidden="1">{"fdsup://Directions/FactSet Auditing Viewer?action=AUDIT_VALUE&amp;DB=129&amp;ID1=45814010&amp;VALUEID=05194&amp;SDATE=201103&amp;PERIODTYPE=QTR_STD&amp;SCFT=3&amp;window=popup_no_bar&amp;width=385&amp;height=120&amp;START_MAXIMIZED=FALSE&amp;creator=factset&amp;display_string=Audit"}</definedName>
    <definedName name="_80__FDSAUDITLINK__" localSheetId="7" hidden="1">{"fdsup://Directions/FactSet Auditing Viewer?action=AUDIT_VALUE&amp;DB=129&amp;ID1=50216110&amp;VALUEID=02001&amp;SDATE=201101&amp;PERIODTYPE=QTR_STD&amp;SCFT=3&amp;window=popup_no_bar&amp;width=385&amp;height=120&amp;START_MAXIMIZED=FALSE&amp;creator=factset&amp;display_string=Audit"}</definedName>
    <definedName name="_80__FDSAUDITLINK__" hidden="1">{"fdsup://Directions/FactSet Auditing Viewer?action=AUDIT_VALUE&amp;DB=129&amp;ID1=50216110&amp;VALUEID=02001&amp;SDATE=201101&amp;PERIODTYPE=QTR_STD&amp;SCFT=3&amp;window=popup_no_bar&amp;width=385&amp;height=120&amp;START_MAXIMIZED=FALSE&amp;creator=factset&amp;display_string=Audit"}</definedName>
    <definedName name="_800__FDSAUDITLINK__" localSheetId="7" hidden="1">{"fdsup://Directions/FactSet Auditing Viewer?action=AUDIT_VALUE&amp;DB=129&amp;ID1=G7945M10&amp;VALUEID=02001&amp;SDATE=201001&amp;PERIODTYPE=QTR_STD&amp;SCFT=3&amp;window=popup_no_bar&amp;width=385&amp;height=120&amp;START_MAXIMIZED=FALSE&amp;creator=factset&amp;display_string=Audit"}</definedName>
    <definedName name="_800__FDSAUDITLINK__" hidden="1">{"fdsup://Directions/FactSet Auditing Viewer?action=AUDIT_VALUE&amp;DB=129&amp;ID1=G7945M10&amp;VALUEID=02001&amp;SDATE=201001&amp;PERIODTYPE=QTR_STD&amp;SCFT=3&amp;window=popup_no_bar&amp;width=385&amp;height=120&amp;START_MAXIMIZED=FALSE&amp;creator=factset&amp;display_string=Audit"}</definedName>
    <definedName name="_801__FDSAUDITLINK__" localSheetId="7" hidden="1">{"fdsup://Directions/FactSet Auditing Viewer?action=AUDIT_VALUE&amp;DB=129&amp;ID1=78477410&amp;VALUEID=02001&amp;SDATE=200903&amp;PERIODTYPE=QTR_STD&amp;SCFT=3&amp;window=popup_no_bar&amp;width=385&amp;height=120&amp;START_MAXIMIZED=FALSE&amp;creator=factset&amp;display_string=Audit"}</definedName>
    <definedName name="_801__FDSAUDITLINK__" hidden="1">{"fdsup://Directions/FactSet Auditing Viewer?action=AUDIT_VALUE&amp;DB=129&amp;ID1=78477410&amp;VALUEID=02001&amp;SDATE=200903&amp;PERIODTYPE=QTR_STD&amp;SCFT=3&amp;window=popup_no_bar&amp;width=385&amp;height=120&amp;START_MAXIMIZED=FALSE&amp;creator=factset&amp;display_string=Audit"}</definedName>
    <definedName name="_802__FDSAUDITLINK__" localSheetId="7" hidden="1">{"fdsup://Directions/FactSet Auditing Viewer?action=AUDIT_VALUE&amp;DB=129&amp;ID1=78477410&amp;VALUEID=02001&amp;SDATE=200903&amp;PERIODTYPE=QTR_STD&amp;SCFT=3&amp;window=popup_no_bar&amp;width=385&amp;height=120&amp;START_MAXIMIZED=FALSE&amp;creator=factset&amp;display_string=Audit"}</definedName>
    <definedName name="_802__FDSAUDITLINK__" hidden="1">{"fdsup://Directions/FactSet Auditing Viewer?action=AUDIT_VALUE&amp;DB=129&amp;ID1=78477410&amp;VALUEID=02001&amp;SDATE=200903&amp;PERIODTYPE=QTR_STD&amp;SCFT=3&amp;window=popup_no_bar&amp;width=385&amp;height=120&amp;START_MAXIMIZED=FALSE&amp;creator=factset&amp;display_string=Audit"}</definedName>
    <definedName name="_803__FDSAUDITLINK__" localSheetId="7" hidden="1">{"fdsup://Directions/FactSet Auditing Viewer?action=AUDIT_VALUE&amp;DB=129&amp;ID1=82705710&amp;VALUEID=02001&amp;SDATE=200903&amp;PERIODTYPE=QTR_STD&amp;SCFT=3&amp;window=popup_no_bar&amp;width=385&amp;height=120&amp;START_MAXIMIZED=FALSE&amp;creator=factset&amp;display_string=Audit"}</definedName>
    <definedName name="_803__FDSAUDITLINK__" hidden="1">{"fdsup://Directions/FactSet Auditing Viewer?action=AUDIT_VALUE&amp;DB=129&amp;ID1=82705710&amp;VALUEID=02001&amp;SDATE=200903&amp;PERIODTYPE=QTR_STD&amp;SCFT=3&amp;window=popup_no_bar&amp;width=385&amp;height=120&amp;START_MAXIMIZED=FALSE&amp;creator=factset&amp;display_string=Audit"}</definedName>
    <definedName name="_804__FDSAUDITLINK__" localSheetId="7" hidden="1">{"fdsup://Directions/FactSet Auditing Viewer?action=AUDIT_VALUE&amp;DB=129&amp;ID1=82705710&amp;VALUEID=02001&amp;SDATE=200903&amp;PERIODTYPE=QTR_STD&amp;SCFT=3&amp;window=popup_no_bar&amp;width=385&amp;height=120&amp;START_MAXIMIZED=FALSE&amp;creator=factset&amp;display_string=Audit"}</definedName>
    <definedName name="_804__FDSAUDITLINK__" hidden="1">{"fdsup://Directions/FactSet Auditing Viewer?action=AUDIT_VALUE&amp;DB=129&amp;ID1=82705710&amp;VALUEID=02001&amp;SDATE=200903&amp;PERIODTYPE=QTR_STD&amp;SCFT=3&amp;window=popup_no_bar&amp;width=385&amp;height=120&amp;START_MAXIMIZED=FALSE&amp;creator=factset&amp;display_string=Audit"}</definedName>
    <definedName name="_805__FDSAUDITLINK__" localSheetId="7" hidden="1">{"fdsup://Directions/FactSet Auditing Viewer?action=AUDIT_VALUE&amp;DB=129&amp;ID1=83547010&amp;VALUEID=02001&amp;SDATE=200903&amp;PERIODTYPE=QTR_STD&amp;SCFT=3&amp;window=popup_no_bar&amp;width=385&amp;height=120&amp;START_MAXIMIZED=FALSE&amp;creator=factset&amp;display_string=Audit"}</definedName>
    <definedName name="_805__FDSAUDITLINK__" hidden="1">{"fdsup://Directions/FactSet Auditing Viewer?action=AUDIT_VALUE&amp;DB=129&amp;ID1=83547010&amp;VALUEID=02001&amp;SDATE=200903&amp;PERIODTYPE=QTR_STD&amp;SCFT=3&amp;window=popup_no_bar&amp;width=385&amp;height=120&amp;START_MAXIMIZED=FALSE&amp;creator=factset&amp;display_string=Audit"}</definedName>
    <definedName name="_806__FDSAUDITLINK__" localSheetId="7" hidden="1">{"fdsup://Directions/FactSet Auditing Viewer?action=AUDIT_VALUE&amp;DB=129&amp;ID1=83547010&amp;VALUEID=02001&amp;SDATE=200903&amp;PERIODTYPE=QTR_STD&amp;SCFT=3&amp;window=popup_no_bar&amp;width=385&amp;height=120&amp;START_MAXIMIZED=FALSE&amp;creator=factset&amp;display_string=Audit"}</definedName>
    <definedName name="_806__FDSAUDITLINK__" hidden="1">{"fdsup://Directions/FactSet Auditing Viewer?action=AUDIT_VALUE&amp;DB=129&amp;ID1=83547010&amp;VALUEID=02001&amp;SDATE=200903&amp;PERIODTYPE=QTR_STD&amp;SCFT=3&amp;window=popup_no_bar&amp;width=385&amp;height=120&amp;START_MAXIMIZED=FALSE&amp;creator=factset&amp;display_string=Audit"}</definedName>
    <definedName name="_807__FDSAUDITLINK__" localSheetId="7" hidden="1">{"fdsup://Directions/FactSet Auditing Viewer?action=AUDIT_VALUE&amp;DB=129&amp;ID1=80004C10&amp;VALUEID=02001&amp;SDATE=200903&amp;PERIODTYPE=QTR_STD&amp;SCFT=3&amp;window=popup_no_bar&amp;width=385&amp;height=120&amp;START_MAXIMIZED=FALSE&amp;creator=factset&amp;display_string=Audit"}</definedName>
    <definedName name="_807__FDSAUDITLINK__" hidden="1">{"fdsup://Directions/FactSet Auditing Viewer?action=AUDIT_VALUE&amp;DB=129&amp;ID1=80004C10&amp;VALUEID=02001&amp;SDATE=200903&amp;PERIODTYPE=QTR_STD&amp;SCFT=3&amp;window=popup_no_bar&amp;width=385&amp;height=120&amp;START_MAXIMIZED=FALSE&amp;creator=factset&amp;display_string=Audit"}</definedName>
    <definedName name="_808__FDSAUDITLINK__" localSheetId="7" hidden="1">{"fdsup://Directions/FactSet Auditing Viewer?action=AUDIT_VALUE&amp;DB=129&amp;ID1=80004C10&amp;VALUEID=02001&amp;SDATE=200903&amp;PERIODTYPE=QTR_STD&amp;SCFT=3&amp;window=popup_no_bar&amp;width=385&amp;height=120&amp;START_MAXIMIZED=FALSE&amp;creator=factset&amp;display_string=Audit"}</definedName>
    <definedName name="_808__FDSAUDITLINK__" hidden="1">{"fdsup://Directions/FactSet Auditing Viewer?action=AUDIT_VALUE&amp;DB=129&amp;ID1=80004C10&amp;VALUEID=02001&amp;SDATE=200903&amp;PERIODTYPE=QTR_STD&amp;SCFT=3&amp;window=popup_no_bar&amp;width=385&amp;height=120&amp;START_MAXIMIZED=FALSE&amp;creator=factset&amp;display_string=Audit"}</definedName>
    <definedName name="_809__FDSAUDITLINK__" localSheetId="7" hidden="1">{"fdsup://Directions/FactSet Auditing Viewer?action=AUDIT_VALUE&amp;DB=129&amp;ID1=81685010&amp;VALUEID=02001&amp;SDATE=200903&amp;PERIODTYPE=QTR_STD&amp;SCFT=3&amp;window=popup_no_bar&amp;width=385&amp;height=120&amp;START_MAXIMIZED=FALSE&amp;creator=factset&amp;display_string=Audit"}</definedName>
    <definedName name="_809__FDSAUDITLINK__" hidden="1">{"fdsup://Directions/FactSet Auditing Viewer?action=AUDIT_VALUE&amp;DB=129&amp;ID1=81685010&amp;VALUEID=02001&amp;SDATE=200903&amp;PERIODTYPE=QTR_STD&amp;SCFT=3&amp;window=popup_no_bar&amp;width=385&amp;height=120&amp;START_MAXIMIZED=FALSE&amp;creator=factset&amp;display_string=Audit"}</definedName>
    <definedName name="_81__FDSAUDITLINK__" localSheetId="7" hidden="1">{"fdsup://Directions/FactSet Auditing Viewer?action=AUDIT_VALUE&amp;DB=129&amp;ID1=51841510&amp;VALUEID=02001&amp;SDATE=201101&amp;PERIODTYPE=QTR_STD&amp;SCFT=3&amp;window=popup_no_bar&amp;width=385&amp;height=120&amp;START_MAXIMIZED=FALSE&amp;creator=factset&amp;display_string=Audit"}</definedName>
    <definedName name="_81__FDSAUDITLINK__" hidden="1">{"fdsup://Directions/FactSet Auditing Viewer?action=AUDIT_VALUE&amp;DB=129&amp;ID1=51841510&amp;VALUEID=02001&amp;SDATE=201101&amp;PERIODTYPE=QTR_STD&amp;SCFT=3&amp;window=popup_no_bar&amp;width=385&amp;height=120&amp;START_MAXIMIZED=FALSE&amp;creator=factset&amp;display_string=Audit"}</definedName>
    <definedName name="_810__FDSAUDITLINK__" localSheetId="7" hidden="1">{"fdsup://Directions/FactSet Auditing Viewer?action=AUDIT_VALUE&amp;DB=129&amp;ID1=81685010&amp;VALUEID=02001&amp;SDATE=200903&amp;PERIODTYPE=QTR_STD&amp;SCFT=3&amp;window=popup_no_bar&amp;width=385&amp;height=120&amp;START_MAXIMIZED=FALSE&amp;creator=factset&amp;display_string=Audit"}</definedName>
    <definedName name="_810__FDSAUDITLINK__" hidden="1">{"fdsup://Directions/FactSet Auditing Viewer?action=AUDIT_VALUE&amp;DB=129&amp;ID1=81685010&amp;VALUEID=02001&amp;SDATE=200903&amp;PERIODTYPE=QTR_STD&amp;SCFT=3&amp;window=popup_no_bar&amp;width=385&amp;height=120&amp;START_MAXIMIZED=FALSE&amp;creator=factset&amp;display_string=Audit"}</definedName>
    <definedName name="_811__FDSAUDITLINK__" localSheetId="7" hidden="1">{"fdsup://Directions/FactSet Auditing Viewer?action=AUDIT_VALUE&amp;DB=129&amp;ID1=82691910&amp;VALUEID=02001&amp;SDATE=200903&amp;PERIODTYPE=QTR_STD&amp;SCFT=3&amp;window=popup_no_bar&amp;width=385&amp;height=120&amp;START_MAXIMIZED=FALSE&amp;creator=factset&amp;display_string=Audit"}</definedName>
    <definedName name="_811__FDSAUDITLINK__" hidden="1">{"fdsup://Directions/FactSet Auditing Viewer?action=AUDIT_VALUE&amp;DB=129&amp;ID1=82691910&amp;VALUEID=02001&amp;SDATE=200903&amp;PERIODTYPE=QTR_STD&amp;SCFT=3&amp;window=popup_no_bar&amp;width=385&amp;height=120&amp;START_MAXIMIZED=FALSE&amp;creator=factset&amp;display_string=Audit"}</definedName>
    <definedName name="_812__FDSAUDITLINK__" localSheetId="7" hidden="1">{"fdsup://Directions/FactSet Auditing Viewer?action=AUDIT_VALUE&amp;DB=129&amp;ID1=82691910&amp;VALUEID=02001&amp;SDATE=200903&amp;PERIODTYPE=QTR_STD&amp;SCFT=3&amp;window=popup_no_bar&amp;width=385&amp;height=120&amp;START_MAXIMIZED=FALSE&amp;creator=factset&amp;display_string=Audit"}</definedName>
    <definedName name="_812__FDSAUDITLINK__" hidden="1">{"fdsup://Directions/FactSet Auditing Viewer?action=AUDIT_VALUE&amp;DB=129&amp;ID1=82691910&amp;VALUEID=02001&amp;SDATE=200903&amp;PERIODTYPE=QTR_STD&amp;SCFT=3&amp;window=popup_no_bar&amp;width=385&amp;height=120&amp;START_MAXIMIZED=FALSE&amp;creator=factset&amp;display_string=Audit"}</definedName>
    <definedName name="_813__FDSAUDITLINK__" localSheetId="7" hidden="1">{"fdsup://Directions/FactSet Auditing Viewer?action=AUDIT_VALUE&amp;DB=129&amp;ID1=82705T10&amp;VALUEID=02001&amp;SDATE=200903&amp;PERIODTYPE=QTR_STD&amp;SCFT=3&amp;window=popup_no_bar&amp;width=385&amp;height=120&amp;START_MAXIMIZED=FALSE&amp;creator=factset&amp;display_string=Audit"}</definedName>
    <definedName name="_813__FDSAUDITLINK__" hidden="1">{"fdsup://Directions/FactSet Auditing Viewer?action=AUDIT_VALUE&amp;DB=129&amp;ID1=82705T10&amp;VALUEID=02001&amp;SDATE=200903&amp;PERIODTYPE=QTR_STD&amp;SCFT=3&amp;window=popup_no_bar&amp;width=385&amp;height=120&amp;START_MAXIMIZED=FALSE&amp;creator=factset&amp;display_string=Audit"}</definedName>
    <definedName name="_814__FDSAUDITLINK__" localSheetId="7" hidden="1">{"fdsup://Directions/FactSet Auditing Viewer?action=AUDIT_VALUE&amp;DB=129&amp;ID1=82705T10&amp;VALUEID=02001&amp;SDATE=200903&amp;PERIODTYPE=QTR_STD&amp;SCFT=3&amp;window=popup_no_bar&amp;width=385&amp;height=120&amp;START_MAXIMIZED=FALSE&amp;creator=factset&amp;display_string=Audit"}</definedName>
    <definedName name="_814__FDSAUDITLINK__" hidden="1">{"fdsup://Directions/FactSet Auditing Viewer?action=AUDIT_VALUE&amp;DB=129&amp;ID1=82705T10&amp;VALUEID=02001&amp;SDATE=200903&amp;PERIODTYPE=QTR_STD&amp;SCFT=3&amp;window=popup_no_bar&amp;width=385&amp;height=120&amp;START_MAXIMIZED=FALSE&amp;creator=factset&amp;display_string=Audit"}</definedName>
    <definedName name="_815__FDSAUDITLINK__" localSheetId="7" hidden="1">{"fdsup://Directions/FactSet Auditing Viewer?action=AUDIT_VALUE&amp;DB=129&amp;ID1=75091710&amp;VALUEID=02001&amp;SDATE=200903&amp;PERIODTYPE=QTR_STD&amp;SCFT=3&amp;window=popup_no_bar&amp;width=385&amp;height=120&amp;START_MAXIMIZED=FALSE&amp;creator=factset&amp;display_string=Audit"}</definedName>
    <definedName name="_815__FDSAUDITLINK__" hidden="1">{"fdsup://Directions/FactSet Auditing Viewer?action=AUDIT_VALUE&amp;DB=129&amp;ID1=75091710&amp;VALUEID=02001&amp;SDATE=200903&amp;PERIODTYPE=QTR_STD&amp;SCFT=3&amp;window=popup_no_bar&amp;width=385&amp;height=120&amp;START_MAXIMIZED=FALSE&amp;creator=factset&amp;display_string=Audit"}</definedName>
    <definedName name="_816__FDSAUDITLINK__" localSheetId="7" hidden="1">{"fdsup://Directions/FactSet Auditing Viewer?action=AUDIT_VALUE&amp;DB=129&amp;ID1=75091710&amp;VALUEID=02001&amp;SDATE=200903&amp;PERIODTYPE=QTR_STD&amp;SCFT=3&amp;window=popup_no_bar&amp;width=385&amp;height=120&amp;START_MAXIMIZED=FALSE&amp;creator=factset&amp;display_string=Audit"}</definedName>
    <definedName name="_816__FDSAUDITLINK__" hidden="1">{"fdsup://Directions/FactSet Auditing Viewer?action=AUDIT_VALUE&amp;DB=129&amp;ID1=75091710&amp;VALUEID=02001&amp;SDATE=200903&amp;PERIODTYPE=QTR_STD&amp;SCFT=3&amp;window=popup_no_bar&amp;width=385&amp;height=120&amp;START_MAXIMIZED=FALSE&amp;creator=factset&amp;display_string=Audit"}</definedName>
    <definedName name="_817__FDSAUDITLINK__" localSheetId="7" hidden="1">{"fdsup://Directions/FactSet Auditing Viewer?action=AUDIT_VALUE&amp;DB=129&amp;ID1=74994110&amp;VALUEID=02001&amp;SDATE=200902&amp;PERIODTYPE=QTR_STD&amp;SCFT=3&amp;window=popup_no_bar&amp;width=385&amp;height=120&amp;START_MAXIMIZED=FALSE&amp;creator=factset&amp;display_string=Audit"}</definedName>
    <definedName name="_817__FDSAUDITLINK__" hidden="1">{"fdsup://Directions/FactSet Auditing Viewer?action=AUDIT_VALUE&amp;DB=129&amp;ID1=74994110&amp;VALUEID=02001&amp;SDATE=200902&amp;PERIODTYPE=QTR_STD&amp;SCFT=3&amp;window=popup_no_bar&amp;width=385&amp;height=120&amp;START_MAXIMIZED=FALSE&amp;creator=factset&amp;display_string=Audit"}</definedName>
    <definedName name="_818__FDSAUDITLINK__" localSheetId="7" hidden="1">{"fdsup://Directions/FactSet Auditing Viewer?action=AUDIT_VALUE&amp;DB=129&amp;ID1=74994110&amp;VALUEID=02001&amp;SDATE=200902&amp;PERIODTYPE=QTR_STD&amp;SCFT=3&amp;window=popup_no_bar&amp;width=385&amp;height=120&amp;START_MAXIMIZED=FALSE&amp;creator=factset&amp;display_string=Audit"}</definedName>
    <definedName name="_818__FDSAUDITLINK__" hidden="1">{"fdsup://Directions/FactSet Auditing Viewer?action=AUDIT_VALUE&amp;DB=129&amp;ID1=74994110&amp;VALUEID=02001&amp;SDATE=200902&amp;PERIODTYPE=QTR_STD&amp;SCFT=3&amp;window=popup_no_bar&amp;width=385&amp;height=120&amp;START_MAXIMIZED=FALSE&amp;creator=factset&amp;display_string=Audit"}</definedName>
    <definedName name="_819__FDSAUDITLINK__" localSheetId="7" hidden="1">{"fdsup://Directions/FactSet Auditing Viewer?action=AUDIT_VALUE&amp;DB=129&amp;ID1=74727710&amp;VALUEID=02001&amp;SDATE=200902&amp;PERIODTYPE=QTR_STD&amp;SCFT=3&amp;window=popup_no_bar&amp;width=385&amp;height=120&amp;START_MAXIMIZED=FALSE&amp;creator=factset&amp;display_string=Audit"}</definedName>
    <definedName name="_819__FDSAUDITLINK__" hidden="1">{"fdsup://Directions/FactSet Auditing Viewer?action=AUDIT_VALUE&amp;DB=129&amp;ID1=74727710&amp;VALUEID=02001&amp;SDATE=200902&amp;PERIODTYPE=QTR_STD&amp;SCFT=3&amp;window=popup_no_bar&amp;width=385&amp;height=120&amp;START_MAXIMIZED=FALSE&amp;creator=factset&amp;display_string=Audit"}</definedName>
    <definedName name="_82__FDSAUDITLINK__" localSheetId="7" hidden="1">{"fdsup://Directions/FactSet Auditing Viewer?action=AUDIT_VALUE&amp;DB=129&amp;ID1=51841510&amp;VALUEID=02001&amp;SDATE=201101&amp;PERIODTYPE=QTR_STD&amp;SCFT=3&amp;window=popup_no_bar&amp;width=385&amp;height=120&amp;START_MAXIMIZED=FALSE&amp;creator=factset&amp;display_string=Audit"}</definedName>
    <definedName name="_82__FDSAUDITLINK__" hidden="1">{"fdsup://Directions/FactSet Auditing Viewer?action=AUDIT_VALUE&amp;DB=129&amp;ID1=51841510&amp;VALUEID=02001&amp;SDATE=201101&amp;PERIODTYPE=QTR_STD&amp;SCFT=3&amp;window=popup_no_bar&amp;width=385&amp;height=120&amp;START_MAXIMIZED=FALSE&amp;creator=factset&amp;display_string=Audit"}</definedName>
    <definedName name="_820__FDSAUDITLINK__" localSheetId="7" hidden="1">{"fdsup://Directions/FactSet Auditing Viewer?action=AUDIT_VALUE&amp;DB=129&amp;ID1=74727710&amp;VALUEID=02001&amp;SDATE=200902&amp;PERIODTYPE=QTR_STD&amp;SCFT=3&amp;window=popup_no_bar&amp;width=385&amp;height=120&amp;START_MAXIMIZED=FALSE&amp;creator=factset&amp;display_string=Audit"}</definedName>
    <definedName name="_820__FDSAUDITLINK__" hidden="1">{"fdsup://Directions/FactSet Auditing Viewer?action=AUDIT_VALUE&amp;DB=129&amp;ID1=74727710&amp;VALUEID=02001&amp;SDATE=200902&amp;PERIODTYPE=QTR_STD&amp;SCFT=3&amp;window=popup_no_bar&amp;width=385&amp;height=120&amp;START_MAXIMIZED=FALSE&amp;creator=factset&amp;display_string=Audit"}</definedName>
    <definedName name="_821__FDSAUDITLINK__" localSheetId="7" hidden="1">{"fdsup://Directions/FactSet Auditing Viewer?action=AUDIT_VALUE&amp;DB=129&amp;ID1=72581M30&amp;VALUEID=02001&amp;SDATE=200903&amp;PERIODTYPE=QTR_STD&amp;SCFT=3&amp;window=popup_no_bar&amp;width=385&amp;height=120&amp;START_MAXIMIZED=FALSE&amp;creator=factset&amp;display_string=Audit"}</definedName>
    <definedName name="_821__FDSAUDITLINK__" hidden="1">{"fdsup://Directions/FactSet Auditing Viewer?action=AUDIT_VALUE&amp;DB=129&amp;ID1=72581M30&amp;VALUEID=02001&amp;SDATE=200903&amp;PERIODTYPE=QTR_STD&amp;SCFT=3&amp;window=popup_no_bar&amp;width=385&amp;height=120&amp;START_MAXIMIZED=FALSE&amp;creator=factset&amp;display_string=Audit"}</definedName>
    <definedName name="_822__FDSAUDITLINK__" localSheetId="7" hidden="1">{"fdsup://Directions/FactSet Auditing Viewer?action=AUDIT_VALUE&amp;DB=129&amp;ID1=72581M30&amp;VALUEID=02001&amp;SDATE=200903&amp;PERIODTYPE=QTR_STD&amp;SCFT=3&amp;window=popup_no_bar&amp;width=385&amp;height=120&amp;START_MAXIMIZED=FALSE&amp;creator=factset&amp;display_string=Audit"}</definedName>
    <definedName name="_822__FDSAUDITLINK__" hidden="1">{"fdsup://Directions/FactSet Auditing Viewer?action=AUDIT_VALUE&amp;DB=129&amp;ID1=72581M30&amp;VALUEID=02001&amp;SDATE=200903&amp;PERIODTYPE=QTR_STD&amp;SCFT=3&amp;window=popup_no_bar&amp;width=385&amp;height=120&amp;START_MAXIMIZED=FALSE&amp;creator=factset&amp;display_string=Audit"}</definedName>
    <definedName name="_823__FDSAUDITLINK__" localSheetId="7" hidden="1">{"fdsup://Directions/FactSet Auditing Viewer?action=AUDIT_VALUE&amp;DB=129&amp;ID1=73927610&amp;VALUEID=02001&amp;SDATE=200903&amp;PERIODTYPE=QTR_STD&amp;SCFT=3&amp;window=popup_no_bar&amp;width=385&amp;height=120&amp;START_MAXIMIZED=FALSE&amp;creator=factset&amp;display_string=Audit"}</definedName>
    <definedName name="_823__FDSAUDITLINK__" hidden="1">{"fdsup://Directions/FactSet Auditing Viewer?action=AUDIT_VALUE&amp;DB=129&amp;ID1=73927610&amp;VALUEID=02001&amp;SDATE=200903&amp;PERIODTYPE=QTR_STD&amp;SCFT=3&amp;window=popup_no_bar&amp;width=385&amp;height=120&amp;START_MAXIMIZED=FALSE&amp;creator=factset&amp;display_string=Audit"}</definedName>
    <definedName name="_824__FDSAUDITLINK__" localSheetId="7" hidden="1">{"fdsup://Directions/FactSet Auditing Viewer?action=AUDIT_VALUE&amp;DB=129&amp;ID1=73927610&amp;VALUEID=02001&amp;SDATE=200903&amp;PERIODTYPE=QTR_STD&amp;SCFT=3&amp;window=popup_no_bar&amp;width=385&amp;height=120&amp;START_MAXIMIZED=FALSE&amp;creator=factset&amp;display_string=Audit"}</definedName>
    <definedName name="_824__FDSAUDITLINK__" hidden="1">{"fdsup://Directions/FactSet Auditing Viewer?action=AUDIT_VALUE&amp;DB=129&amp;ID1=73927610&amp;VALUEID=02001&amp;SDATE=200903&amp;PERIODTYPE=QTR_STD&amp;SCFT=3&amp;window=popup_no_bar&amp;width=385&amp;height=120&amp;START_MAXIMIZED=FALSE&amp;creator=factset&amp;display_string=Audit"}</definedName>
    <definedName name="_825__FDSAUDITLINK__" localSheetId="7" hidden="1">{"fdsup://Directions/FactSet Auditing Viewer?action=AUDIT_VALUE&amp;DB=129&amp;ID1=69344F10&amp;VALUEID=02001&amp;SDATE=200903&amp;PERIODTYPE=QTR_STD&amp;SCFT=3&amp;window=popup_no_bar&amp;width=385&amp;height=120&amp;START_MAXIMIZED=FALSE&amp;creator=factset&amp;display_string=Audit"}</definedName>
    <definedName name="_825__FDSAUDITLINK__" hidden="1">{"fdsup://Directions/FactSet Auditing Viewer?action=AUDIT_VALUE&amp;DB=129&amp;ID1=69344F10&amp;VALUEID=02001&amp;SDATE=200903&amp;PERIODTYPE=QTR_STD&amp;SCFT=3&amp;window=popup_no_bar&amp;width=385&amp;height=120&amp;START_MAXIMIZED=FALSE&amp;creator=factset&amp;display_string=Audit"}</definedName>
    <definedName name="_826__FDSAUDITLINK__" localSheetId="7" hidden="1">{"fdsup://Directions/FactSet Auditing Viewer?action=AUDIT_VALUE&amp;DB=129&amp;ID1=69344F10&amp;VALUEID=02001&amp;SDATE=200903&amp;PERIODTYPE=QTR_STD&amp;SCFT=3&amp;window=popup_no_bar&amp;width=385&amp;height=120&amp;START_MAXIMIZED=FALSE&amp;creator=factset&amp;display_string=Audit"}</definedName>
    <definedName name="_826__FDSAUDITLINK__" hidden="1">{"fdsup://Directions/FactSet Auditing Viewer?action=AUDIT_VALUE&amp;DB=129&amp;ID1=69344F10&amp;VALUEID=02001&amp;SDATE=200903&amp;PERIODTYPE=QTR_STD&amp;SCFT=3&amp;window=popup_no_bar&amp;width=385&amp;height=120&amp;START_MAXIMIZED=FALSE&amp;creator=factset&amp;display_string=Audit"}</definedName>
    <definedName name="_827__FDSAUDITLINK__" localSheetId="7" hidden="1">{"fdsup://Directions/FactSet Auditing Viewer?action=AUDIT_VALUE&amp;DB=129&amp;ID1=69341710&amp;VALUEID=02001&amp;SDATE=200903&amp;PERIODTYPE=QTR_STD&amp;SCFT=3&amp;window=popup_no_bar&amp;width=385&amp;height=120&amp;START_MAXIMIZED=FALSE&amp;creator=factset&amp;display_string=Audit"}</definedName>
    <definedName name="_827__FDSAUDITLINK__" hidden="1">{"fdsup://Directions/FactSet Auditing Viewer?action=AUDIT_VALUE&amp;DB=129&amp;ID1=69341710&amp;VALUEID=02001&amp;SDATE=200903&amp;PERIODTYPE=QTR_STD&amp;SCFT=3&amp;window=popup_no_bar&amp;width=385&amp;height=120&amp;START_MAXIMIZED=FALSE&amp;creator=factset&amp;display_string=Audit"}</definedName>
    <definedName name="_828__FDSAUDITLINK__" localSheetId="7" hidden="1">{"fdsup://Directions/FactSet Auditing Viewer?action=AUDIT_VALUE&amp;DB=129&amp;ID1=69341710&amp;VALUEID=02001&amp;SDATE=200903&amp;PERIODTYPE=QTR_STD&amp;SCFT=3&amp;window=popup_no_bar&amp;width=385&amp;height=120&amp;START_MAXIMIZED=FALSE&amp;creator=factset&amp;display_string=Audit"}</definedName>
    <definedName name="_828__FDSAUDITLINK__" hidden="1">{"fdsup://Directions/FactSet Auditing Viewer?action=AUDIT_VALUE&amp;DB=129&amp;ID1=69341710&amp;VALUEID=02001&amp;SDATE=200903&amp;PERIODTYPE=QTR_STD&amp;SCFT=3&amp;window=popup_no_bar&amp;width=385&amp;height=120&amp;START_MAXIMIZED=FALSE&amp;creator=factset&amp;display_string=Audit"}</definedName>
    <definedName name="_829__FDSAUDITLINK__" localSheetId="7" hidden="1">{"fdsup://Directions/FactSet Auditing Viewer?action=AUDIT_VALUE&amp;DB=129&amp;ID1=68218910&amp;VALUEID=02001&amp;SDATE=200903&amp;PERIODTYPE=QTR_STD&amp;SCFT=3&amp;window=popup_no_bar&amp;width=385&amp;height=120&amp;START_MAXIMIZED=FALSE&amp;creator=factset&amp;display_string=Audit"}</definedName>
    <definedName name="_829__FDSAUDITLINK__" hidden="1">{"fdsup://Directions/FactSet Auditing Viewer?action=AUDIT_VALUE&amp;DB=129&amp;ID1=68218910&amp;VALUEID=02001&amp;SDATE=200903&amp;PERIODTYPE=QTR_STD&amp;SCFT=3&amp;window=popup_no_bar&amp;width=385&amp;height=120&amp;START_MAXIMIZED=FALSE&amp;creator=factset&amp;display_string=Audit"}</definedName>
    <definedName name="_83__FDSAUDITLINK__" localSheetId="7" hidden="1">{"fdsup://Directions/FactSet Auditing Viewer?action=AUDIT_VALUE&amp;DB=129&amp;ID1=51280710&amp;VALUEID=02001&amp;SDATE=201103&amp;PERIODTYPE=QTR_STD&amp;SCFT=3&amp;window=popup_no_bar&amp;width=385&amp;height=120&amp;START_MAXIMIZED=FALSE&amp;creator=factset&amp;display_string=Audit"}</definedName>
    <definedName name="_83__FDSAUDITLINK__" hidden="1">{"fdsup://Directions/FactSet Auditing Viewer?action=AUDIT_VALUE&amp;DB=129&amp;ID1=51280710&amp;VALUEID=02001&amp;SDATE=201103&amp;PERIODTYPE=QTR_STD&amp;SCFT=3&amp;window=popup_no_bar&amp;width=385&amp;height=120&amp;START_MAXIMIZED=FALSE&amp;creator=factset&amp;display_string=Audit"}</definedName>
    <definedName name="_830__FDSAUDITLINK__" localSheetId="7" hidden="1">{"fdsup://Directions/FactSet Auditing Viewer?action=AUDIT_VALUE&amp;DB=129&amp;ID1=68218910&amp;VALUEID=02001&amp;SDATE=200903&amp;PERIODTYPE=QTR_STD&amp;SCFT=3&amp;window=popup_no_bar&amp;width=385&amp;height=120&amp;START_MAXIMIZED=FALSE&amp;creator=factset&amp;display_string=Audit"}</definedName>
    <definedName name="_830__FDSAUDITLINK__" hidden="1">{"fdsup://Directions/FactSet Auditing Viewer?action=AUDIT_VALUE&amp;DB=129&amp;ID1=68218910&amp;VALUEID=02001&amp;SDATE=200903&amp;PERIODTYPE=QTR_STD&amp;SCFT=3&amp;window=popup_no_bar&amp;width=385&amp;height=120&amp;START_MAXIMIZED=FALSE&amp;creator=factset&amp;display_string=Audit"}</definedName>
    <definedName name="_831__FDSAUDITLINK__" localSheetId="7" hidden="1">{"fdsup://Directions/FactSet Auditing Viewer?action=AUDIT_VALUE&amp;DB=129&amp;ID1=B505PN&amp;VALUEID=02001&amp;SDATE=200903&amp;PERIODTYPE=QTR_STD&amp;SCFT=3&amp;window=popup_no_bar&amp;width=385&amp;height=120&amp;START_MAXIMIZED=FALSE&amp;creator=factset&amp;display_string=Audit"}</definedName>
    <definedName name="_831__FDSAUDITLINK__" hidden="1">{"fdsup://Directions/FactSet Auditing Viewer?action=AUDIT_VALUE&amp;DB=129&amp;ID1=B505PN&amp;VALUEID=02001&amp;SDATE=200903&amp;PERIODTYPE=QTR_STD&amp;SCFT=3&amp;window=popup_no_bar&amp;width=385&amp;height=120&amp;START_MAXIMIZED=FALSE&amp;creator=factset&amp;display_string=Audit"}</definedName>
    <definedName name="_832__FDSAUDITLINK__" localSheetId="7" hidden="1">{"fdsup://Directions/FactSet Auditing Viewer?action=AUDIT_VALUE&amp;DB=129&amp;ID1=B505PN&amp;VALUEID=02001&amp;SDATE=200903&amp;PERIODTYPE=QTR_STD&amp;SCFT=3&amp;window=popup_no_bar&amp;width=385&amp;height=120&amp;START_MAXIMIZED=FALSE&amp;creator=factset&amp;display_string=Audit"}</definedName>
    <definedName name="_832__FDSAUDITLINK__" hidden="1">{"fdsup://Directions/FactSet Auditing Viewer?action=AUDIT_VALUE&amp;DB=129&amp;ID1=B505PN&amp;VALUEID=02001&amp;SDATE=200903&amp;PERIODTYPE=QTR_STD&amp;SCFT=3&amp;window=popup_no_bar&amp;width=385&amp;height=120&amp;START_MAXIMIZED=FALSE&amp;creator=factset&amp;display_string=Audit"}</definedName>
    <definedName name="_833__FDSAUDITLINK__" localSheetId="7" hidden="1">{"fdsup://Directions/FactSet Auditing Viewer?action=AUDIT_VALUE&amp;DB=129&amp;ID1=67000810&amp;VALUEID=02001&amp;SDATE=200903&amp;PERIODTYPE=QTR_STD&amp;SCFT=3&amp;window=popup_no_bar&amp;width=385&amp;height=120&amp;START_MAXIMIZED=FALSE&amp;creator=factset&amp;display_string=Audit"}</definedName>
    <definedName name="_833__FDSAUDITLINK__" hidden="1">{"fdsup://Directions/FactSet Auditing Viewer?action=AUDIT_VALUE&amp;DB=129&amp;ID1=67000810&amp;VALUEID=02001&amp;SDATE=200903&amp;PERIODTYPE=QTR_STD&amp;SCFT=3&amp;window=popup_no_bar&amp;width=385&amp;height=120&amp;START_MAXIMIZED=FALSE&amp;creator=factset&amp;display_string=Audit"}</definedName>
    <definedName name="_834__FDSAUDITLINK__" localSheetId="7" hidden="1">{"fdsup://Directions/FactSet Auditing Viewer?action=AUDIT_VALUE&amp;DB=129&amp;ID1=67000810&amp;VALUEID=02001&amp;SDATE=200903&amp;PERIODTYPE=QTR_STD&amp;SCFT=3&amp;window=popup_no_bar&amp;width=385&amp;height=120&amp;START_MAXIMIZED=FALSE&amp;creator=factset&amp;display_string=Audit"}</definedName>
    <definedName name="_834__FDSAUDITLINK__" hidden="1">{"fdsup://Directions/FactSet Auditing Viewer?action=AUDIT_VALUE&amp;DB=129&amp;ID1=67000810&amp;VALUEID=02001&amp;SDATE=200903&amp;PERIODTYPE=QTR_STD&amp;SCFT=3&amp;window=popup_no_bar&amp;width=385&amp;height=120&amp;START_MAXIMIZED=FALSE&amp;creator=factset&amp;display_string=Audit"}</definedName>
    <definedName name="_835__FDSAUDITLINK__" localSheetId="7" hidden="1">{"fdsup://Directions/FactSet Auditing Viewer?action=AUDIT_VALUE&amp;DB=129&amp;ID1=67066G10&amp;VALUEID=02001&amp;SDATE=200903&amp;PERIODTYPE=QTR_STD&amp;SCFT=3&amp;window=popup_no_bar&amp;width=385&amp;height=120&amp;START_MAXIMIZED=FALSE&amp;creator=factset&amp;display_string=Audit"}</definedName>
    <definedName name="_835__FDSAUDITLINK__" hidden="1">{"fdsup://Directions/FactSet Auditing Viewer?action=AUDIT_VALUE&amp;DB=129&amp;ID1=67066G10&amp;VALUEID=02001&amp;SDATE=200903&amp;PERIODTYPE=QTR_STD&amp;SCFT=3&amp;window=popup_no_bar&amp;width=385&amp;height=120&amp;START_MAXIMIZED=FALSE&amp;creator=factset&amp;display_string=Audit"}</definedName>
    <definedName name="_836__FDSAUDITLINK__" localSheetId="7" hidden="1">{"fdsup://Directions/FactSet Auditing Viewer?action=AUDIT_VALUE&amp;DB=129&amp;ID1=67066G10&amp;VALUEID=02001&amp;SDATE=200903&amp;PERIODTYPE=QTR_STD&amp;SCFT=3&amp;window=popup_no_bar&amp;width=385&amp;height=120&amp;START_MAXIMIZED=FALSE&amp;creator=factset&amp;display_string=Audit"}</definedName>
    <definedName name="_836__FDSAUDITLINK__" hidden="1">{"fdsup://Directions/FactSet Auditing Viewer?action=AUDIT_VALUE&amp;DB=129&amp;ID1=67066G10&amp;VALUEID=02001&amp;SDATE=200903&amp;PERIODTYPE=QTR_STD&amp;SCFT=3&amp;window=popup_no_bar&amp;width=385&amp;height=120&amp;START_MAXIMIZED=FALSE&amp;creator=factset&amp;display_string=Audit"}</definedName>
    <definedName name="_837__FDSAUDITLINK__" localSheetId="7" hidden="1">{"fdsup://Directions/FactSet Auditing Viewer?action=AUDIT_VALUE&amp;DB=129&amp;ID1=63764010&amp;VALUEID=02001&amp;SDATE=200901&amp;PERIODTYPE=QTR_STD&amp;SCFT=3&amp;window=popup_no_bar&amp;width=385&amp;height=120&amp;START_MAXIMIZED=FALSE&amp;creator=factset&amp;display_string=Audit"}</definedName>
    <definedName name="_837__FDSAUDITLINK__" hidden="1">{"fdsup://Directions/FactSet Auditing Viewer?action=AUDIT_VALUE&amp;DB=129&amp;ID1=63764010&amp;VALUEID=02001&amp;SDATE=200901&amp;PERIODTYPE=QTR_STD&amp;SCFT=3&amp;window=popup_no_bar&amp;width=385&amp;height=120&amp;START_MAXIMIZED=FALSE&amp;creator=factset&amp;display_string=Audit"}</definedName>
    <definedName name="_838__FDSAUDITLINK__" localSheetId="7" hidden="1">{"fdsup://Directions/FactSet Auditing Viewer?action=AUDIT_VALUE&amp;DB=129&amp;ID1=63764010&amp;VALUEID=02001&amp;SDATE=200901&amp;PERIODTYPE=QTR_STD&amp;SCFT=3&amp;window=popup_no_bar&amp;width=385&amp;height=120&amp;START_MAXIMIZED=FALSE&amp;creator=factset&amp;display_string=Audit"}</definedName>
    <definedName name="_838__FDSAUDITLINK__" hidden="1">{"fdsup://Directions/FactSet Auditing Viewer?action=AUDIT_VALUE&amp;DB=129&amp;ID1=63764010&amp;VALUEID=02001&amp;SDATE=200901&amp;PERIODTYPE=QTR_STD&amp;SCFT=3&amp;window=popup_no_bar&amp;width=385&amp;height=120&amp;START_MAXIMIZED=FALSE&amp;creator=factset&amp;display_string=Audit"}</definedName>
    <definedName name="_839__FDSAUDITLINK__" localSheetId="7" hidden="1">{"fdsup://Directions/FactSet Auditing Viewer?action=AUDIT_VALUE&amp;DB=129&amp;ID1=64118B10&amp;VALUEID=02001&amp;SDATE=200903&amp;PERIODTYPE=QTR_STD&amp;SCFT=3&amp;window=popup_no_bar&amp;width=385&amp;height=120&amp;START_MAXIMIZED=FALSE&amp;creator=factset&amp;display_string=Audit"}</definedName>
    <definedName name="_839__FDSAUDITLINK__" hidden="1">{"fdsup://Directions/FactSet Auditing Viewer?action=AUDIT_VALUE&amp;DB=129&amp;ID1=64118B10&amp;VALUEID=02001&amp;SDATE=200903&amp;PERIODTYPE=QTR_STD&amp;SCFT=3&amp;window=popup_no_bar&amp;width=385&amp;height=120&amp;START_MAXIMIZED=FALSE&amp;creator=factset&amp;display_string=Audit"}</definedName>
    <definedName name="_84__FDSAUDITLINK__" localSheetId="7" hidden="1">{"fdsup://Directions/FactSet Auditing Viewer?action=AUDIT_VALUE&amp;DB=129&amp;ID1=51280710&amp;VALUEID=02001&amp;SDATE=201103&amp;PERIODTYPE=QTR_STD&amp;SCFT=3&amp;window=popup_no_bar&amp;width=385&amp;height=120&amp;START_MAXIMIZED=FALSE&amp;creator=factset&amp;display_string=Audit"}</definedName>
    <definedName name="_84__FDSAUDITLINK__" hidden="1">{"fdsup://Directions/FactSet Auditing Viewer?action=AUDIT_VALUE&amp;DB=129&amp;ID1=51280710&amp;VALUEID=02001&amp;SDATE=201103&amp;PERIODTYPE=QTR_STD&amp;SCFT=3&amp;window=popup_no_bar&amp;width=385&amp;height=120&amp;START_MAXIMIZED=FALSE&amp;creator=factset&amp;display_string=Audit"}</definedName>
    <definedName name="_840__FDSAUDITLINK__" localSheetId="7" hidden="1">{"fdsup://Directions/FactSet Auditing Viewer?action=AUDIT_VALUE&amp;DB=129&amp;ID1=64118B10&amp;VALUEID=02001&amp;SDATE=200903&amp;PERIODTYPE=QTR_STD&amp;SCFT=3&amp;window=popup_no_bar&amp;width=385&amp;height=120&amp;START_MAXIMIZED=FALSE&amp;creator=factset&amp;display_string=Audit"}</definedName>
    <definedName name="_840__FDSAUDITLINK__" hidden="1">{"fdsup://Directions/FactSet Auditing Viewer?action=AUDIT_VALUE&amp;DB=129&amp;ID1=64118B10&amp;VALUEID=02001&amp;SDATE=200903&amp;PERIODTYPE=QTR_STD&amp;SCFT=3&amp;window=popup_no_bar&amp;width=385&amp;height=120&amp;START_MAXIMIZED=FALSE&amp;creator=factset&amp;display_string=Audit"}</definedName>
    <definedName name="_841__FDSAUDITLINK__" localSheetId="7" hidden="1">{"fdsup://Directions/FactSet Auditing Viewer?action=AUDIT_VALUE&amp;DB=129&amp;ID1=57772K10&amp;VALUEID=02001&amp;SDATE=201001&amp;PERIODTYPE=QTR_STD&amp;SCFT=3&amp;window=popup_no_bar&amp;width=385&amp;height=120&amp;START_MAXIMIZED=FALSE&amp;creator=factset&amp;display_string=Audit"}</definedName>
    <definedName name="_841__FDSAUDITLINK__" hidden="1">{"fdsup://Directions/FactSet Auditing Viewer?action=AUDIT_VALUE&amp;DB=129&amp;ID1=57772K10&amp;VALUEID=02001&amp;SDATE=201001&amp;PERIODTYPE=QTR_STD&amp;SCFT=3&amp;window=popup_no_bar&amp;width=385&amp;height=120&amp;START_MAXIMIZED=FALSE&amp;creator=factset&amp;display_string=Audit"}</definedName>
    <definedName name="_842__FDSAUDITLINK__" localSheetId="7" hidden="1">{"fdsup://Directions/FactSet Auditing Viewer?action=AUDIT_VALUE&amp;DB=129&amp;ID1=57772K10&amp;VALUEID=02001&amp;SDATE=201001&amp;PERIODTYPE=QTR_STD&amp;SCFT=3&amp;window=popup_no_bar&amp;width=385&amp;height=120&amp;START_MAXIMIZED=FALSE&amp;creator=factset&amp;display_string=Audit"}</definedName>
    <definedName name="_842__FDSAUDITLINK__" hidden="1">{"fdsup://Directions/FactSet Auditing Viewer?action=AUDIT_VALUE&amp;DB=129&amp;ID1=57772K10&amp;VALUEID=02001&amp;SDATE=201001&amp;PERIODTYPE=QTR_STD&amp;SCFT=3&amp;window=popup_no_bar&amp;width=385&amp;height=120&amp;START_MAXIMIZED=FALSE&amp;creator=factset&amp;display_string=Audit"}</definedName>
    <definedName name="_843__FDSAUDITLINK__" localSheetId="7" hidden="1">{"fdsup://Directions/FactSet Auditing Viewer?action=AUDIT_VALUE&amp;DB=129&amp;ID1=G5876H10&amp;VALUEID=02001&amp;SDATE=200903&amp;PERIODTYPE=QTR_STD&amp;SCFT=3&amp;window=popup_no_bar&amp;width=385&amp;height=120&amp;START_MAXIMIZED=FALSE&amp;creator=factset&amp;display_string=Audit"}</definedName>
    <definedName name="_843__FDSAUDITLINK__" hidden="1">{"fdsup://Directions/FactSet Auditing Viewer?action=AUDIT_VALUE&amp;DB=129&amp;ID1=G5876H10&amp;VALUEID=02001&amp;SDATE=200903&amp;PERIODTYPE=QTR_STD&amp;SCFT=3&amp;window=popup_no_bar&amp;width=385&amp;height=120&amp;START_MAXIMIZED=FALSE&amp;creator=factset&amp;display_string=Audit"}</definedName>
    <definedName name="_844__FDSAUDITLINK__" localSheetId="7" hidden="1">{"fdsup://Directions/FactSet Auditing Viewer?action=AUDIT_VALUE&amp;DB=129&amp;ID1=G5876H10&amp;VALUEID=02001&amp;SDATE=200903&amp;PERIODTYPE=QTR_STD&amp;SCFT=3&amp;window=popup_no_bar&amp;width=385&amp;height=120&amp;START_MAXIMIZED=FALSE&amp;creator=factset&amp;display_string=Audit"}</definedName>
    <definedName name="_844__FDSAUDITLINK__" hidden="1">{"fdsup://Directions/FactSet Auditing Viewer?action=AUDIT_VALUE&amp;DB=129&amp;ID1=G5876H10&amp;VALUEID=02001&amp;SDATE=200903&amp;PERIODTYPE=QTR_STD&amp;SCFT=3&amp;window=popup_no_bar&amp;width=385&amp;height=120&amp;START_MAXIMIZED=FALSE&amp;creator=factset&amp;display_string=Audit"}</definedName>
    <definedName name="_845__FDSAUDITLINK__" localSheetId="7" hidden="1">{"fdsup://Directions/FactSet Auditing Viewer?action=AUDIT_VALUE&amp;DB=129&amp;ID1=62007630&amp;VALUEID=02001&amp;SDATE=200903&amp;PERIODTYPE=QTR_STD&amp;SCFT=3&amp;window=popup_no_bar&amp;width=385&amp;height=120&amp;START_MAXIMIZED=FALSE&amp;creator=factset&amp;display_string=Audit"}</definedName>
    <definedName name="_845__FDSAUDITLINK__" hidden="1">{"fdsup://Directions/FactSet Auditing Viewer?action=AUDIT_VALUE&amp;DB=129&amp;ID1=62007630&amp;VALUEID=02001&amp;SDATE=200903&amp;PERIODTYPE=QTR_STD&amp;SCFT=3&amp;window=popup_no_bar&amp;width=385&amp;height=120&amp;START_MAXIMIZED=FALSE&amp;creator=factset&amp;display_string=Audit"}</definedName>
    <definedName name="_846__FDSAUDITLINK__" localSheetId="7" hidden="1">{"fdsup://Directions/FactSet Auditing Viewer?action=AUDIT_VALUE&amp;DB=129&amp;ID1=62007630&amp;VALUEID=02001&amp;SDATE=200903&amp;PERIODTYPE=QTR_STD&amp;SCFT=3&amp;window=popup_no_bar&amp;width=385&amp;height=120&amp;START_MAXIMIZED=FALSE&amp;creator=factset&amp;display_string=Audit"}</definedName>
    <definedName name="_846__FDSAUDITLINK__" hidden="1">{"fdsup://Directions/FactSet Auditing Viewer?action=AUDIT_VALUE&amp;DB=129&amp;ID1=62007630&amp;VALUEID=02001&amp;SDATE=200903&amp;PERIODTYPE=QTR_STD&amp;SCFT=3&amp;window=popup_no_bar&amp;width=385&amp;height=120&amp;START_MAXIMIZED=FALSE&amp;creator=factset&amp;display_string=Audit"}</definedName>
    <definedName name="_847__FDSAUDITLINK__" localSheetId="7" hidden="1">{"fdsup://Directions/FactSet Auditing Viewer?action=AUDIT_VALUE&amp;DB=129&amp;ID1=60456710&amp;VALUEID=02001&amp;SDATE=201001&amp;PERIODTYPE=QTR_STD&amp;SCFT=3&amp;window=popup_no_bar&amp;width=385&amp;height=120&amp;START_MAXIMIZED=FALSE&amp;creator=factset&amp;display_string=Audit"}</definedName>
    <definedName name="_847__FDSAUDITLINK__" hidden="1">{"fdsup://Directions/FactSet Auditing Viewer?action=AUDIT_VALUE&amp;DB=129&amp;ID1=60456710&amp;VALUEID=02001&amp;SDATE=201001&amp;PERIODTYPE=QTR_STD&amp;SCFT=3&amp;window=popup_no_bar&amp;width=385&amp;height=120&amp;START_MAXIMIZED=FALSE&amp;creator=factset&amp;display_string=Audit"}</definedName>
    <definedName name="_848__FDSAUDITLINK__" localSheetId="7" hidden="1">{"fdsup://Directions/FactSet Auditing Viewer?action=AUDIT_VALUE&amp;DB=129&amp;ID1=60456710&amp;VALUEID=02001&amp;SDATE=201001&amp;PERIODTYPE=QTR_STD&amp;SCFT=3&amp;window=popup_no_bar&amp;width=385&amp;height=120&amp;START_MAXIMIZED=FALSE&amp;creator=factset&amp;display_string=Audit"}</definedName>
    <definedName name="_848__FDSAUDITLINK__" hidden="1">{"fdsup://Directions/FactSet Auditing Viewer?action=AUDIT_VALUE&amp;DB=129&amp;ID1=60456710&amp;VALUEID=02001&amp;SDATE=201001&amp;PERIODTYPE=QTR_STD&amp;SCFT=3&amp;window=popup_no_bar&amp;width=385&amp;height=120&amp;START_MAXIMIZED=FALSE&amp;creator=factset&amp;display_string=Audit"}</definedName>
    <definedName name="_849__FDSAUDITLINK__" localSheetId="7" hidden="1">{"fdsup://Directions/FactSet Auditing Viewer?action=AUDIT_VALUE&amp;DB=129&amp;ID1=59479310&amp;VALUEID=02001&amp;SDATE=200903&amp;PERIODTYPE=QTR_STD&amp;SCFT=3&amp;window=popup_no_bar&amp;width=385&amp;height=120&amp;START_MAXIMIZED=FALSE&amp;creator=factset&amp;display_string=Audit"}</definedName>
    <definedName name="_849__FDSAUDITLINK__" hidden="1">{"fdsup://Directions/FactSet Auditing Viewer?action=AUDIT_VALUE&amp;DB=129&amp;ID1=59479310&amp;VALUEID=02001&amp;SDATE=200903&amp;PERIODTYPE=QTR_STD&amp;SCFT=3&amp;window=popup_no_bar&amp;width=385&amp;height=120&amp;START_MAXIMIZED=FALSE&amp;creator=factset&amp;display_string=Audit"}</definedName>
    <definedName name="_85__FDSAUDITLINK__" localSheetId="7" hidden="1">{"fdsup://Directions/FactSet Auditing Viewer?action=AUDIT_VALUE&amp;DB=129&amp;ID1=53567810&amp;VALUEID=02001&amp;SDATE=201103&amp;PERIODTYPE=QTR_STD&amp;SCFT=3&amp;window=popup_no_bar&amp;width=385&amp;height=120&amp;START_MAXIMIZED=FALSE&amp;creator=factset&amp;display_string=Audit"}</definedName>
    <definedName name="_85__FDSAUDITLINK__" hidden="1">{"fdsup://Directions/FactSet Auditing Viewer?action=AUDIT_VALUE&amp;DB=129&amp;ID1=53567810&amp;VALUEID=02001&amp;SDATE=201103&amp;PERIODTYPE=QTR_STD&amp;SCFT=3&amp;window=popup_no_bar&amp;width=385&amp;height=120&amp;START_MAXIMIZED=FALSE&amp;creator=factset&amp;display_string=Audit"}</definedName>
    <definedName name="_850__FDSAUDITLINK__" localSheetId="7" hidden="1">{"fdsup://Directions/FactSet Auditing Viewer?action=AUDIT_VALUE&amp;DB=129&amp;ID1=59479310&amp;VALUEID=02001&amp;SDATE=200903&amp;PERIODTYPE=QTR_STD&amp;SCFT=3&amp;window=popup_no_bar&amp;width=385&amp;height=120&amp;START_MAXIMIZED=FALSE&amp;creator=factset&amp;display_string=Audit"}</definedName>
    <definedName name="_850__FDSAUDITLINK__" hidden="1">{"fdsup://Directions/FactSet Auditing Viewer?action=AUDIT_VALUE&amp;DB=129&amp;ID1=59479310&amp;VALUEID=02001&amp;SDATE=200903&amp;PERIODTYPE=QTR_STD&amp;SCFT=3&amp;window=popup_no_bar&amp;width=385&amp;height=120&amp;START_MAXIMIZED=FALSE&amp;creator=factset&amp;display_string=Audit"}</definedName>
    <definedName name="_851__FDSAUDITLINK__" localSheetId="7" hidden="1">{"fdsup://Directions/FactSet Auditing Viewer?action=AUDIT_VALUE&amp;DB=129&amp;ID1=59501710&amp;VALUEID=02001&amp;SDATE=200902&amp;PERIODTYPE=QTR_STD&amp;SCFT=3&amp;window=popup_no_bar&amp;width=385&amp;height=120&amp;START_MAXIMIZED=FALSE&amp;creator=factset&amp;display_string=Audit"}</definedName>
    <definedName name="_851__FDSAUDITLINK__" hidden="1">{"fdsup://Directions/FactSet Auditing Viewer?action=AUDIT_VALUE&amp;DB=129&amp;ID1=59501710&amp;VALUEID=02001&amp;SDATE=200902&amp;PERIODTYPE=QTR_STD&amp;SCFT=3&amp;window=popup_no_bar&amp;width=385&amp;height=120&amp;START_MAXIMIZED=FALSE&amp;creator=factset&amp;display_string=Audit"}</definedName>
    <definedName name="_852__FDSAUDITLINK__" localSheetId="7" hidden="1">{"fdsup://Directions/FactSet Auditing Viewer?action=AUDIT_VALUE&amp;DB=129&amp;ID1=59501710&amp;VALUEID=02001&amp;SDATE=200902&amp;PERIODTYPE=QTR_STD&amp;SCFT=3&amp;window=popup_no_bar&amp;width=385&amp;height=120&amp;START_MAXIMIZED=FALSE&amp;creator=factset&amp;display_string=Audit"}</definedName>
    <definedName name="_852__FDSAUDITLINK__" hidden="1">{"fdsup://Directions/FactSet Auditing Viewer?action=AUDIT_VALUE&amp;DB=129&amp;ID1=59501710&amp;VALUEID=02001&amp;SDATE=200902&amp;PERIODTYPE=QTR_STD&amp;SCFT=3&amp;window=popup_no_bar&amp;width=385&amp;height=120&amp;START_MAXIMIZED=FALSE&amp;creator=factset&amp;display_string=Audit"}</definedName>
    <definedName name="_853__FDSAUDITLINK__" localSheetId="7" hidden="1">{"fdsup://Directions/FactSet Auditing Viewer?action=AUDIT_VALUE&amp;DB=129&amp;ID1=50216110&amp;VALUEID=02001&amp;SDATE=200903&amp;PERIODTYPE=QTR_STD&amp;SCFT=3&amp;window=popup_no_bar&amp;width=385&amp;height=120&amp;START_MAXIMIZED=FALSE&amp;creator=factset&amp;display_string=Audit"}</definedName>
    <definedName name="_853__FDSAUDITLINK__" hidden="1">{"fdsup://Directions/FactSet Auditing Viewer?action=AUDIT_VALUE&amp;DB=129&amp;ID1=50216110&amp;VALUEID=02001&amp;SDATE=200903&amp;PERIODTYPE=QTR_STD&amp;SCFT=3&amp;window=popup_no_bar&amp;width=385&amp;height=120&amp;START_MAXIMIZED=FALSE&amp;creator=factset&amp;display_string=Audit"}</definedName>
    <definedName name="_854__FDSAUDITLINK__" localSheetId="7" hidden="1">{"fdsup://Directions/FactSet Auditing Viewer?action=AUDIT_VALUE&amp;DB=129&amp;ID1=50216110&amp;VALUEID=02001&amp;SDATE=200903&amp;PERIODTYPE=QTR_STD&amp;SCFT=3&amp;window=popup_no_bar&amp;width=385&amp;height=120&amp;START_MAXIMIZED=FALSE&amp;creator=factset&amp;display_string=Audit"}</definedName>
    <definedName name="_854__FDSAUDITLINK__" hidden="1">{"fdsup://Directions/FactSet Auditing Viewer?action=AUDIT_VALUE&amp;DB=129&amp;ID1=50216110&amp;VALUEID=02001&amp;SDATE=200903&amp;PERIODTYPE=QTR_STD&amp;SCFT=3&amp;window=popup_no_bar&amp;width=385&amp;height=120&amp;START_MAXIMIZED=FALSE&amp;creator=factset&amp;display_string=Audit"}</definedName>
    <definedName name="_855__FDSAUDITLINK__" localSheetId="7" hidden="1">{"fdsup://Directions/FactSet Auditing Viewer?action=AUDIT_VALUE&amp;DB=129&amp;ID1=51841510&amp;VALUEID=02001&amp;SDATE=200903&amp;PERIODTYPE=QTR_STD&amp;SCFT=3&amp;window=popup_no_bar&amp;width=385&amp;height=120&amp;START_MAXIMIZED=FALSE&amp;creator=factset&amp;display_string=Audit"}</definedName>
    <definedName name="_855__FDSAUDITLINK__" hidden="1">{"fdsup://Directions/FactSet Auditing Viewer?action=AUDIT_VALUE&amp;DB=129&amp;ID1=51841510&amp;VALUEID=02001&amp;SDATE=200903&amp;PERIODTYPE=QTR_STD&amp;SCFT=3&amp;window=popup_no_bar&amp;width=385&amp;height=120&amp;START_MAXIMIZED=FALSE&amp;creator=factset&amp;display_string=Audit"}</definedName>
    <definedName name="_856__FDSAUDITLINK__" localSheetId="7" hidden="1">{"fdsup://Directions/FactSet Auditing Viewer?action=AUDIT_VALUE&amp;DB=129&amp;ID1=51841510&amp;VALUEID=02001&amp;SDATE=200903&amp;PERIODTYPE=QTR_STD&amp;SCFT=3&amp;window=popup_no_bar&amp;width=385&amp;height=120&amp;START_MAXIMIZED=FALSE&amp;creator=factset&amp;display_string=Audit"}</definedName>
    <definedName name="_856__FDSAUDITLINK__" hidden="1">{"fdsup://Directions/FactSet Auditing Viewer?action=AUDIT_VALUE&amp;DB=129&amp;ID1=51841510&amp;VALUEID=02001&amp;SDATE=200903&amp;PERIODTYPE=QTR_STD&amp;SCFT=3&amp;window=popup_no_bar&amp;width=385&amp;height=120&amp;START_MAXIMIZED=FALSE&amp;creator=factset&amp;display_string=Audit"}</definedName>
    <definedName name="_857__FDSAUDITLINK__" localSheetId="7" hidden="1">{"fdsup://Directions/FactSet Auditing Viewer?action=AUDIT_VALUE&amp;DB=129&amp;ID1=51280710&amp;VALUEID=02001&amp;SDATE=201001&amp;PERIODTYPE=QTR_STD&amp;SCFT=3&amp;window=popup_no_bar&amp;width=385&amp;height=120&amp;START_MAXIMIZED=FALSE&amp;creator=factset&amp;display_string=Audit"}</definedName>
    <definedName name="_857__FDSAUDITLINK__" hidden="1">{"fdsup://Directions/FactSet Auditing Viewer?action=AUDIT_VALUE&amp;DB=129&amp;ID1=51280710&amp;VALUEID=02001&amp;SDATE=201001&amp;PERIODTYPE=QTR_STD&amp;SCFT=3&amp;window=popup_no_bar&amp;width=385&amp;height=120&amp;START_MAXIMIZED=FALSE&amp;creator=factset&amp;display_string=Audit"}</definedName>
    <definedName name="_858__FDSAUDITLINK__" localSheetId="7" hidden="1">{"fdsup://Directions/FactSet Auditing Viewer?action=AUDIT_VALUE&amp;DB=129&amp;ID1=51280710&amp;VALUEID=02001&amp;SDATE=201001&amp;PERIODTYPE=QTR_STD&amp;SCFT=3&amp;window=popup_no_bar&amp;width=385&amp;height=120&amp;START_MAXIMIZED=FALSE&amp;creator=factset&amp;display_string=Audit"}</definedName>
    <definedName name="_858__FDSAUDITLINK__" hidden="1">{"fdsup://Directions/FactSet Auditing Viewer?action=AUDIT_VALUE&amp;DB=129&amp;ID1=51280710&amp;VALUEID=02001&amp;SDATE=201001&amp;PERIODTYPE=QTR_STD&amp;SCFT=3&amp;window=popup_no_bar&amp;width=385&amp;height=120&amp;START_MAXIMIZED=FALSE&amp;creator=factset&amp;display_string=Audit"}</definedName>
    <definedName name="_859__FDSAUDITLINK__" localSheetId="7" hidden="1">{"fdsup://Directions/FactSet Auditing Viewer?action=AUDIT_VALUE&amp;DB=129&amp;ID1=53567810&amp;VALUEID=02001&amp;SDATE=201001&amp;PERIODTYPE=QTR_STD&amp;SCFT=3&amp;window=popup_no_bar&amp;width=385&amp;height=120&amp;START_MAXIMIZED=FALSE&amp;creator=factset&amp;display_string=Audit"}</definedName>
    <definedName name="_859__FDSAUDITLINK__" hidden="1">{"fdsup://Directions/FactSet Auditing Viewer?action=AUDIT_VALUE&amp;DB=129&amp;ID1=53567810&amp;VALUEID=02001&amp;SDATE=201001&amp;PERIODTYPE=QTR_STD&amp;SCFT=3&amp;window=popup_no_bar&amp;width=385&amp;height=120&amp;START_MAXIMIZED=FALSE&amp;creator=factset&amp;display_string=Audit"}</definedName>
    <definedName name="_86__FDSAUDITLINK__" localSheetId="7" hidden="1">{"fdsup://Directions/FactSet Auditing Viewer?action=AUDIT_VALUE&amp;DB=129&amp;ID1=53567810&amp;VALUEID=02001&amp;SDATE=201103&amp;PERIODTYPE=QTR_STD&amp;SCFT=3&amp;window=popup_no_bar&amp;width=385&amp;height=120&amp;START_MAXIMIZED=FALSE&amp;creator=factset&amp;display_string=Audit"}</definedName>
    <definedName name="_86__FDSAUDITLINK__" hidden="1">{"fdsup://Directions/FactSet Auditing Viewer?action=AUDIT_VALUE&amp;DB=129&amp;ID1=53567810&amp;VALUEID=02001&amp;SDATE=201103&amp;PERIODTYPE=QTR_STD&amp;SCFT=3&amp;window=popup_no_bar&amp;width=385&amp;height=120&amp;START_MAXIMIZED=FALSE&amp;creator=factset&amp;display_string=Audit"}</definedName>
    <definedName name="_860__FDSAUDITLINK__" localSheetId="7" hidden="1">{"fdsup://Directions/FactSet Auditing Viewer?action=AUDIT_VALUE&amp;DB=129&amp;ID1=53567810&amp;VALUEID=02001&amp;SDATE=201001&amp;PERIODTYPE=QTR_STD&amp;SCFT=3&amp;window=popup_no_bar&amp;width=385&amp;height=120&amp;START_MAXIMIZED=FALSE&amp;creator=factset&amp;display_string=Audit"}</definedName>
    <definedName name="_860__FDSAUDITLINK__" hidden="1">{"fdsup://Directions/FactSet Auditing Viewer?action=AUDIT_VALUE&amp;DB=129&amp;ID1=53567810&amp;VALUEID=02001&amp;SDATE=201001&amp;PERIODTYPE=QTR_STD&amp;SCFT=3&amp;window=popup_no_bar&amp;width=385&amp;height=120&amp;START_MAXIMIZED=FALSE&amp;creator=factset&amp;display_string=Audit"}</definedName>
    <definedName name="_861__FDSAUDITLINK__" localSheetId="7" hidden="1">{"fdsup://Directions/FactSet Auditing Viewer?action=AUDIT_VALUE&amp;DB=129&amp;ID1=48248010&amp;VALUEID=02001&amp;SDATE=201001&amp;PERIODTYPE=QTR_STD&amp;SCFT=3&amp;window=popup_no_bar&amp;width=385&amp;height=120&amp;START_MAXIMIZED=FALSE&amp;creator=factset&amp;display_string=Audit"}</definedName>
    <definedName name="_861__FDSAUDITLINK__" hidden="1">{"fdsup://Directions/FactSet Auditing Viewer?action=AUDIT_VALUE&amp;DB=129&amp;ID1=48248010&amp;VALUEID=02001&amp;SDATE=201001&amp;PERIODTYPE=QTR_STD&amp;SCFT=3&amp;window=popup_no_bar&amp;width=385&amp;height=120&amp;START_MAXIMIZED=FALSE&amp;creator=factset&amp;display_string=Audit"}</definedName>
    <definedName name="_862__FDSAUDITLINK__" localSheetId="7" hidden="1">{"fdsup://Directions/FactSet Auditing Viewer?action=AUDIT_VALUE&amp;DB=129&amp;ID1=48248010&amp;VALUEID=02001&amp;SDATE=201001&amp;PERIODTYPE=QTR_STD&amp;SCFT=3&amp;window=popup_no_bar&amp;width=385&amp;height=120&amp;START_MAXIMIZED=FALSE&amp;creator=factset&amp;display_string=Audit"}</definedName>
    <definedName name="_862__FDSAUDITLINK__" hidden="1">{"fdsup://Directions/FactSet Auditing Viewer?action=AUDIT_VALUE&amp;DB=129&amp;ID1=48248010&amp;VALUEID=02001&amp;SDATE=201001&amp;PERIODTYPE=QTR_STD&amp;SCFT=3&amp;window=popup_no_bar&amp;width=385&amp;height=120&amp;START_MAXIMIZED=FALSE&amp;creator=factset&amp;display_string=Audit"}</definedName>
    <definedName name="_863__FDSAUDITLINK__" localSheetId="7" hidden="1">{"fdsup://Directions/FactSet Auditing Viewer?action=AUDIT_VALUE&amp;DB=129&amp;ID1=48836020&amp;VALUEID=02001&amp;SDATE=200902&amp;PERIODTYPE=QTR_STD&amp;SCFT=3&amp;window=popup_no_bar&amp;width=385&amp;height=120&amp;START_MAXIMIZED=FALSE&amp;creator=factset&amp;display_string=Audit"}</definedName>
    <definedName name="_863__FDSAUDITLINK__" hidden="1">{"fdsup://Directions/FactSet Auditing Viewer?action=AUDIT_VALUE&amp;DB=129&amp;ID1=48836020&amp;VALUEID=02001&amp;SDATE=200902&amp;PERIODTYPE=QTR_STD&amp;SCFT=3&amp;window=popup_no_bar&amp;width=385&amp;height=120&amp;START_MAXIMIZED=FALSE&amp;creator=factset&amp;display_string=Audit"}</definedName>
    <definedName name="_864__FDSAUDITLINK__" localSheetId="7" hidden="1">{"fdsup://Directions/FactSet Auditing Viewer?action=AUDIT_VALUE&amp;DB=129&amp;ID1=48836020&amp;VALUEID=02001&amp;SDATE=200902&amp;PERIODTYPE=QTR_STD&amp;SCFT=3&amp;window=popup_no_bar&amp;width=385&amp;height=120&amp;START_MAXIMIZED=FALSE&amp;creator=factset&amp;display_string=Audit"}</definedName>
    <definedName name="_864__FDSAUDITLINK__" hidden="1">{"fdsup://Directions/FactSet Auditing Viewer?action=AUDIT_VALUE&amp;DB=129&amp;ID1=48836020&amp;VALUEID=02001&amp;SDATE=200902&amp;PERIODTYPE=QTR_STD&amp;SCFT=3&amp;window=popup_no_bar&amp;width=385&amp;height=120&amp;START_MAXIMIZED=FALSE&amp;creator=factset&amp;display_string=Audit"}</definedName>
    <definedName name="_865__FDSAUDITLINK__" localSheetId="7" hidden="1">{"fdsup://Directions/FactSet Auditing Viewer?action=AUDIT_VALUE&amp;DB=129&amp;ID1=48203R10&amp;VALUEID=02001&amp;SDATE=200903&amp;PERIODTYPE=QTR_STD&amp;SCFT=3&amp;window=popup_no_bar&amp;width=385&amp;height=120&amp;START_MAXIMIZED=FALSE&amp;creator=factset&amp;display_string=Audit"}</definedName>
    <definedName name="_865__FDSAUDITLINK__" hidden="1">{"fdsup://Directions/FactSet Auditing Viewer?action=AUDIT_VALUE&amp;DB=129&amp;ID1=48203R10&amp;VALUEID=02001&amp;SDATE=200903&amp;PERIODTYPE=QTR_STD&amp;SCFT=3&amp;window=popup_no_bar&amp;width=385&amp;height=120&amp;START_MAXIMIZED=FALSE&amp;creator=factset&amp;display_string=Audit"}</definedName>
    <definedName name="_866__FDSAUDITLINK__" localSheetId="7" hidden="1">{"fdsup://Directions/FactSet Auditing Viewer?action=AUDIT_VALUE&amp;DB=129&amp;ID1=48203R10&amp;VALUEID=02001&amp;SDATE=200903&amp;PERIODTYPE=QTR_STD&amp;SCFT=3&amp;window=popup_no_bar&amp;width=385&amp;height=120&amp;START_MAXIMIZED=FALSE&amp;creator=factset&amp;display_string=Audit"}</definedName>
    <definedName name="_866__FDSAUDITLINK__" hidden="1">{"fdsup://Directions/FactSet Auditing Viewer?action=AUDIT_VALUE&amp;DB=129&amp;ID1=48203R10&amp;VALUEID=02001&amp;SDATE=200903&amp;PERIODTYPE=QTR_STD&amp;SCFT=3&amp;window=popup_no_bar&amp;width=385&amp;height=120&amp;START_MAXIMIZED=FALSE&amp;creator=factset&amp;display_string=Audit"}</definedName>
    <definedName name="_867__FDSAUDITLINK__" localSheetId="7" hidden="1">{"fdsup://Directions/FactSet Auditing Viewer?action=AUDIT_VALUE&amp;DB=129&amp;ID1=86681020&amp;VALUEID=02001&amp;SDATE=201001&amp;PERIODTYPE=QTR_STD&amp;SCFT=3&amp;window=popup_no_bar&amp;width=385&amp;height=120&amp;START_MAXIMIZED=FALSE&amp;creator=factset&amp;display_string=Audit"}</definedName>
    <definedName name="_867__FDSAUDITLINK__" hidden="1">{"fdsup://Directions/FactSet Auditing Viewer?action=AUDIT_VALUE&amp;DB=129&amp;ID1=86681020&amp;VALUEID=02001&amp;SDATE=201001&amp;PERIODTYPE=QTR_STD&amp;SCFT=3&amp;window=popup_no_bar&amp;width=385&amp;height=120&amp;START_MAXIMIZED=FALSE&amp;creator=factset&amp;display_string=Audit"}</definedName>
    <definedName name="_868__FDSAUDITLINK__" localSheetId="7" hidden="1">{"fdsup://Directions/FactSet Auditing Viewer?action=AUDIT_VALUE&amp;DB=129&amp;ID1=86681020&amp;VALUEID=02001&amp;SDATE=201001&amp;PERIODTYPE=QTR_STD&amp;SCFT=3&amp;window=popup_no_bar&amp;width=385&amp;height=120&amp;START_MAXIMIZED=FALSE&amp;creator=factset&amp;display_string=Audit"}</definedName>
    <definedName name="_868__FDSAUDITLINK__" hidden="1">{"fdsup://Directions/FactSet Auditing Viewer?action=AUDIT_VALUE&amp;DB=129&amp;ID1=86681020&amp;VALUEID=02001&amp;SDATE=201001&amp;PERIODTYPE=QTR_STD&amp;SCFT=3&amp;window=popup_no_bar&amp;width=385&amp;height=120&amp;START_MAXIMIZED=FALSE&amp;creator=factset&amp;display_string=Audit"}</definedName>
    <definedName name="_869__FDSAUDITLINK__" localSheetId="7" hidden="1">{"fdsup://Directions/FactSet Auditing Viewer?action=AUDIT_VALUE&amp;DB=129&amp;ID1=46069S10&amp;VALUEID=02001&amp;SDATE=200903&amp;PERIODTYPE=QTR_STD&amp;SCFT=3&amp;window=popup_no_bar&amp;width=385&amp;height=120&amp;START_MAXIMIZED=FALSE&amp;creator=factset&amp;display_string=Audit"}</definedName>
    <definedName name="_869__FDSAUDITLINK__" hidden="1">{"fdsup://Directions/FactSet Auditing Viewer?action=AUDIT_VALUE&amp;DB=129&amp;ID1=46069S10&amp;VALUEID=02001&amp;SDATE=200903&amp;PERIODTYPE=QTR_STD&amp;SCFT=3&amp;window=popup_no_bar&amp;width=385&amp;height=120&amp;START_MAXIMIZED=FALSE&amp;creator=factset&amp;display_string=Audit"}</definedName>
    <definedName name="_87__FDSAUDITLINK__" localSheetId="7" hidden="1">{"fdsup://Directions/FactSet Auditing Viewer?action=AUDIT_VALUE&amp;DB=129&amp;ID1=48248010&amp;VALUEID=02001&amp;SDATE=201103&amp;PERIODTYPE=QTR_STD&amp;SCFT=3&amp;window=popup_no_bar&amp;width=385&amp;height=120&amp;START_MAXIMIZED=FALSE&amp;creator=factset&amp;display_string=Audit"}</definedName>
    <definedName name="_87__FDSAUDITLINK__" hidden="1">{"fdsup://Directions/FactSet Auditing Viewer?action=AUDIT_VALUE&amp;DB=129&amp;ID1=48248010&amp;VALUEID=02001&amp;SDATE=201103&amp;PERIODTYPE=QTR_STD&amp;SCFT=3&amp;window=popup_no_bar&amp;width=385&amp;height=120&amp;START_MAXIMIZED=FALSE&amp;creator=factset&amp;display_string=Audit"}</definedName>
    <definedName name="_870__FDSAUDITLINK__" localSheetId="7" hidden="1">{"fdsup://Directions/FactSet Auditing Viewer?action=AUDIT_VALUE&amp;DB=129&amp;ID1=46069S10&amp;VALUEID=02001&amp;SDATE=200903&amp;PERIODTYPE=QTR_STD&amp;SCFT=3&amp;window=popup_no_bar&amp;width=385&amp;height=120&amp;START_MAXIMIZED=FALSE&amp;creator=factset&amp;display_string=Audit"}</definedName>
    <definedName name="_870__FDSAUDITLINK__" hidden="1">{"fdsup://Directions/FactSet Auditing Viewer?action=AUDIT_VALUE&amp;DB=129&amp;ID1=46069S10&amp;VALUEID=02001&amp;SDATE=200903&amp;PERIODTYPE=QTR_STD&amp;SCFT=3&amp;window=popup_no_bar&amp;width=385&amp;height=120&amp;START_MAXIMIZED=FALSE&amp;creator=factset&amp;display_string=Audit"}</definedName>
    <definedName name="_871__FDSAUDITLINK__" localSheetId="7" hidden="1">{"fdsup://Directions/FactSet Auditing Viewer?action=AUDIT_VALUE&amp;DB=129&amp;ID1=46025410&amp;VALUEID=02001&amp;SDATE=201001&amp;PERIODTYPE=QTR_STD&amp;SCFT=3&amp;window=popup_no_bar&amp;width=385&amp;height=120&amp;START_MAXIMIZED=FALSE&amp;creator=factset&amp;display_string=Audit"}</definedName>
    <definedName name="_871__FDSAUDITLINK__" hidden="1">{"fdsup://Directions/FactSet Auditing Viewer?action=AUDIT_VALUE&amp;DB=129&amp;ID1=46025410&amp;VALUEID=02001&amp;SDATE=201001&amp;PERIODTYPE=QTR_STD&amp;SCFT=3&amp;window=popup_no_bar&amp;width=385&amp;height=120&amp;START_MAXIMIZED=FALSE&amp;creator=factset&amp;display_string=Audit"}</definedName>
    <definedName name="_872__FDSAUDITLINK__" localSheetId="7" hidden="1">{"fdsup://Directions/FactSet Auditing Viewer?action=AUDIT_VALUE&amp;DB=129&amp;ID1=46025410&amp;VALUEID=02001&amp;SDATE=201001&amp;PERIODTYPE=QTR_STD&amp;SCFT=3&amp;window=popup_no_bar&amp;width=385&amp;height=120&amp;START_MAXIMIZED=FALSE&amp;creator=factset&amp;display_string=Audit"}</definedName>
    <definedName name="_872__FDSAUDITLINK__" hidden="1">{"fdsup://Directions/FactSet Auditing Viewer?action=AUDIT_VALUE&amp;DB=129&amp;ID1=46025410&amp;VALUEID=02001&amp;SDATE=201001&amp;PERIODTYPE=QTR_STD&amp;SCFT=3&amp;window=popup_no_bar&amp;width=385&amp;height=120&amp;START_MAXIMIZED=FALSE&amp;creator=factset&amp;display_string=Audit"}</definedName>
    <definedName name="_873__FDSAUDITLINK__" localSheetId="7" hidden="1">{"fdsup://Directions/FactSet Auditing Viewer?action=AUDIT_VALUE&amp;DB=129&amp;ID1=45814010&amp;VALUEID=02001&amp;SDATE=200903&amp;PERIODTYPE=QTR_STD&amp;SCFT=3&amp;window=popup_no_bar&amp;width=385&amp;height=120&amp;START_MAXIMIZED=FALSE&amp;creator=factset&amp;display_string=Audit"}</definedName>
    <definedName name="_873__FDSAUDITLINK__" hidden="1">{"fdsup://Directions/FactSet Auditing Viewer?action=AUDIT_VALUE&amp;DB=129&amp;ID1=45814010&amp;VALUEID=02001&amp;SDATE=200903&amp;PERIODTYPE=QTR_STD&amp;SCFT=3&amp;window=popup_no_bar&amp;width=385&amp;height=120&amp;START_MAXIMIZED=FALSE&amp;creator=factset&amp;display_string=Audit"}</definedName>
    <definedName name="_874__FDSAUDITLINK__" localSheetId="7" hidden="1">{"fdsup://Directions/FactSet Auditing Viewer?action=AUDIT_VALUE&amp;DB=129&amp;ID1=45814010&amp;VALUEID=02001&amp;SDATE=200903&amp;PERIODTYPE=QTR_STD&amp;SCFT=3&amp;window=popup_no_bar&amp;width=385&amp;height=120&amp;START_MAXIMIZED=FALSE&amp;creator=factset&amp;display_string=Audit"}</definedName>
    <definedName name="_874__FDSAUDITLINK__" hidden="1">{"fdsup://Directions/FactSet Auditing Viewer?action=AUDIT_VALUE&amp;DB=129&amp;ID1=45814010&amp;VALUEID=02001&amp;SDATE=200903&amp;PERIODTYPE=QTR_STD&amp;SCFT=3&amp;window=popup_no_bar&amp;width=385&amp;height=120&amp;START_MAXIMIZED=FALSE&amp;creator=factset&amp;display_string=Audit"}</definedName>
    <definedName name="_875__FDSAUDITLINK__" localSheetId="7" hidden="1">{"fdsup://Directions/FactSet Auditing Viewer?action=AUDIT_VALUE&amp;DB=129&amp;ID1=45811810&amp;VALUEID=02001&amp;SDATE=200902&amp;PERIODTYPE=QTR_STD&amp;SCFT=3&amp;window=popup_no_bar&amp;width=385&amp;height=120&amp;START_MAXIMIZED=FALSE&amp;creator=factset&amp;display_string=Audit"}</definedName>
    <definedName name="_875__FDSAUDITLINK__" hidden="1">{"fdsup://Directions/FactSet Auditing Viewer?action=AUDIT_VALUE&amp;DB=129&amp;ID1=45811810&amp;VALUEID=02001&amp;SDATE=200902&amp;PERIODTYPE=QTR_STD&amp;SCFT=3&amp;window=popup_no_bar&amp;width=385&amp;height=120&amp;START_MAXIMIZED=FALSE&amp;creator=factset&amp;display_string=Audit"}</definedName>
    <definedName name="_876__FDSAUDITLINK__" localSheetId="7" hidden="1">{"fdsup://Directions/FactSet Auditing Viewer?action=AUDIT_VALUE&amp;DB=129&amp;ID1=45811810&amp;VALUEID=02001&amp;SDATE=200902&amp;PERIODTYPE=QTR_STD&amp;SCFT=3&amp;window=popup_no_bar&amp;width=385&amp;height=120&amp;START_MAXIMIZED=FALSE&amp;creator=factset&amp;display_string=Audit"}</definedName>
    <definedName name="_876__FDSAUDITLINK__" hidden="1">{"fdsup://Directions/FactSet Auditing Viewer?action=AUDIT_VALUE&amp;DB=129&amp;ID1=45811810&amp;VALUEID=02001&amp;SDATE=200902&amp;PERIODTYPE=QTR_STD&amp;SCFT=3&amp;window=popup_no_bar&amp;width=385&amp;height=120&amp;START_MAXIMIZED=FALSE&amp;creator=factset&amp;display_string=Audit"}</definedName>
    <definedName name="_877__FDSAUDITLINK__" localSheetId="7" hidden="1">{"fdsup://Directions/FactSet Auditing Viewer?action=AUDIT_VALUE&amp;DB=129&amp;ID1=H2906T10&amp;VALUEID=02001&amp;SDATE=200903&amp;PERIODTYPE=QTR_STD&amp;SCFT=3&amp;window=popup_no_bar&amp;width=385&amp;height=120&amp;START_MAXIMIZED=FALSE&amp;creator=factset&amp;display_string=Audit"}</definedName>
    <definedName name="_877__FDSAUDITLINK__" hidden="1">{"fdsup://Directions/FactSet Auditing Viewer?action=AUDIT_VALUE&amp;DB=129&amp;ID1=H2906T10&amp;VALUEID=02001&amp;SDATE=200903&amp;PERIODTYPE=QTR_STD&amp;SCFT=3&amp;window=popup_no_bar&amp;width=385&amp;height=120&amp;START_MAXIMIZED=FALSE&amp;creator=factset&amp;display_string=Audit"}</definedName>
    <definedName name="_878__FDSAUDITLINK__" localSheetId="7" hidden="1">{"fdsup://Directions/FactSet Auditing Viewer?action=AUDIT_VALUE&amp;DB=129&amp;ID1=H2906T10&amp;VALUEID=02001&amp;SDATE=200903&amp;PERIODTYPE=QTR_STD&amp;SCFT=3&amp;window=popup_no_bar&amp;width=385&amp;height=120&amp;START_MAXIMIZED=FALSE&amp;creator=factset&amp;display_string=Audit"}</definedName>
    <definedName name="_878__FDSAUDITLINK__" hidden="1">{"fdsup://Directions/FactSet Auditing Viewer?action=AUDIT_VALUE&amp;DB=129&amp;ID1=H2906T10&amp;VALUEID=02001&amp;SDATE=200903&amp;PERIODTYPE=QTR_STD&amp;SCFT=3&amp;window=popup_no_bar&amp;width=385&amp;height=120&amp;START_MAXIMIZED=FALSE&amp;creator=factset&amp;display_string=Audit"}</definedName>
    <definedName name="_879__FDSAUDITLINK__" localSheetId="7" hidden="1">{"fdsup://Directions/FactSet Auditing Viewer?action=AUDIT_VALUE&amp;DB=129&amp;ID1=34637510&amp;VALUEID=02001&amp;SDATE=200903&amp;PERIODTYPE=QTR_STD&amp;SCFT=3&amp;window=popup_no_bar&amp;width=385&amp;height=120&amp;START_MAXIMIZED=FALSE&amp;creator=factset&amp;display_string=Audit"}</definedName>
    <definedName name="_879__FDSAUDITLINK__" hidden="1">{"fdsup://Directions/FactSet Auditing Viewer?action=AUDIT_VALUE&amp;DB=129&amp;ID1=34637510&amp;VALUEID=02001&amp;SDATE=200903&amp;PERIODTYPE=QTR_STD&amp;SCFT=3&amp;window=popup_no_bar&amp;width=385&amp;height=120&amp;START_MAXIMIZED=FALSE&amp;creator=factset&amp;display_string=Audit"}</definedName>
    <definedName name="_88__FDSAUDITLINK__" localSheetId="7" hidden="1">{"fdsup://Directions/FactSet Auditing Viewer?action=AUDIT_VALUE&amp;DB=129&amp;ID1=48248010&amp;VALUEID=02001&amp;SDATE=201103&amp;PERIODTYPE=QTR_STD&amp;SCFT=3&amp;window=popup_no_bar&amp;width=385&amp;height=120&amp;START_MAXIMIZED=FALSE&amp;creator=factset&amp;display_string=Audit"}</definedName>
    <definedName name="_88__FDSAUDITLINK__" hidden="1">{"fdsup://Directions/FactSet Auditing Viewer?action=AUDIT_VALUE&amp;DB=129&amp;ID1=48248010&amp;VALUEID=02001&amp;SDATE=201103&amp;PERIODTYPE=QTR_STD&amp;SCFT=3&amp;window=popup_no_bar&amp;width=385&amp;height=120&amp;START_MAXIMIZED=FALSE&amp;creator=factset&amp;display_string=Audit"}</definedName>
    <definedName name="_880__FDSAUDITLINK__" localSheetId="7" hidden="1">{"fdsup://Directions/FactSet Auditing Viewer?action=AUDIT_VALUE&amp;DB=129&amp;ID1=34637510&amp;VALUEID=02001&amp;SDATE=200903&amp;PERIODTYPE=QTR_STD&amp;SCFT=3&amp;window=popup_no_bar&amp;width=385&amp;height=120&amp;START_MAXIMIZED=FALSE&amp;creator=factset&amp;display_string=Audit"}</definedName>
    <definedName name="_880__FDSAUDITLINK__" hidden="1">{"fdsup://Directions/FactSet Auditing Viewer?action=AUDIT_VALUE&amp;DB=129&amp;ID1=34637510&amp;VALUEID=02001&amp;SDATE=200903&amp;PERIODTYPE=QTR_STD&amp;SCFT=3&amp;window=popup_no_bar&amp;width=385&amp;height=120&amp;START_MAXIMIZED=FALSE&amp;creator=factset&amp;display_string=Audit"}</definedName>
    <definedName name="_881__FDSAUDITLINK__" localSheetId="7" hidden="1">{"fdsup://Directions/FactSet Auditing Viewer?action=AUDIT_VALUE&amp;DB=129&amp;ID1=29247520&amp;VALUEID=02001&amp;SDATE=201001&amp;PERIODTYPE=QTR_STD&amp;SCFT=3&amp;window=popup_no_bar&amp;width=385&amp;height=120&amp;START_MAXIMIZED=FALSE&amp;creator=factset&amp;display_string=Audit"}</definedName>
    <definedName name="_881__FDSAUDITLINK__" hidden="1">{"fdsup://Directions/FactSet Auditing Viewer?action=AUDIT_VALUE&amp;DB=129&amp;ID1=29247520&amp;VALUEID=02001&amp;SDATE=201001&amp;PERIODTYPE=QTR_STD&amp;SCFT=3&amp;window=popup_no_bar&amp;width=385&amp;height=120&amp;START_MAXIMIZED=FALSE&amp;creator=factset&amp;display_string=Audit"}</definedName>
    <definedName name="_882__FDSAUDITLINK__" localSheetId="7" hidden="1">{"fdsup://Directions/FactSet Auditing Viewer?action=AUDIT_VALUE&amp;DB=129&amp;ID1=29247520&amp;VALUEID=02001&amp;SDATE=201001&amp;PERIODTYPE=QTR_STD&amp;SCFT=3&amp;window=popup_no_bar&amp;width=385&amp;height=120&amp;START_MAXIMIZED=FALSE&amp;creator=factset&amp;display_string=Audit"}</definedName>
    <definedName name="_882__FDSAUDITLINK__" hidden="1">{"fdsup://Directions/FactSet Auditing Viewer?action=AUDIT_VALUE&amp;DB=129&amp;ID1=29247520&amp;VALUEID=02001&amp;SDATE=201001&amp;PERIODTYPE=QTR_STD&amp;SCFT=3&amp;window=popup_no_bar&amp;width=385&amp;height=120&amp;START_MAXIMIZED=FALSE&amp;creator=factset&amp;display_string=Audit"}</definedName>
    <definedName name="_883__FDSAUDITLINK__" localSheetId="7" hidden="1">{"fdsup://Directions/FactSet Auditing Viewer?action=AUDIT_VALUE&amp;DB=129&amp;ID1=25454310&amp;VALUEID=02001&amp;SDATE=200903&amp;PERIODTYPE=QTR_STD&amp;SCFT=3&amp;window=popup_no_bar&amp;width=385&amp;height=120&amp;START_MAXIMIZED=FALSE&amp;creator=factset&amp;display_string=Audit"}</definedName>
    <definedName name="_883__FDSAUDITLINK__" hidden="1">{"fdsup://Directions/FactSet Auditing Viewer?action=AUDIT_VALUE&amp;DB=129&amp;ID1=25454310&amp;VALUEID=02001&amp;SDATE=200903&amp;PERIODTYPE=QTR_STD&amp;SCFT=3&amp;window=popup_no_bar&amp;width=385&amp;height=120&amp;START_MAXIMIZED=FALSE&amp;creator=factset&amp;display_string=Audit"}</definedName>
    <definedName name="_884__FDSAUDITLINK__" localSheetId="7" hidden="1">{"fdsup://Directions/FactSet Auditing Viewer?action=AUDIT_VALUE&amp;DB=129&amp;ID1=25454310&amp;VALUEID=02001&amp;SDATE=200903&amp;PERIODTYPE=QTR_STD&amp;SCFT=3&amp;window=popup_no_bar&amp;width=385&amp;height=120&amp;START_MAXIMIZED=FALSE&amp;creator=factset&amp;display_string=Audit"}</definedName>
    <definedName name="_884__FDSAUDITLINK__" hidden="1">{"fdsup://Directions/FactSet Auditing Viewer?action=AUDIT_VALUE&amp;DB=129&amp;ID1=25454310&amp;VALUEID=02001&amp;SDATE=200903&amp;PERIODTYPE=QTR_STD&amp;SCFT=3&amp;window=popup_no_bar&amp;width=385&amp;height=120&amp;START_MAXIMIZED=FALSE&amp;creator=factset&amp;display_string=Audit"}</definedName>
    <definedName name="_885__FDSAUDITLINK__" localSheetId="7" hidden="1">{"fdsup://Directions/FactSet Auditing Viewer?action=AUDIT_VALUE&amp;DB=129&amp;ID1=24702R10&amp;VALUEID=02001&amp;SDATE=200903&amp;PERIODTYPE=QTR_STD&amp;SCFT=3&amp;window=popup_no_bar&amp;width=385&amp;height=120&amp;START_MAXIMIZED=FALSE&amp;creator=factset&amp;display_string=Audit"}</definedName>
    <definedName name="_885__FDSAUDITLINK__" hidden="1">{"fdsup://Directions/FactSet Auditing Viewer?action=AUDIT_VALUE&amp;DB=129&amp;ID1=24702R10&amp;VALUEID=02001&amp;SDATE=200903&amp;PERIODTYPE=QTR_STD&amp;SCFT=3&amp;window=popup_no_bar&amp;width=385&amp;height=120&amp;START_MAXIMIZED=FALSE&amp;creator=factset&amp;display_string=Audit"}</definedName>
    <definedName name="_886__FDSAUDITLINK__" localSheetId="7" hidden="1">{"fdsup://Directions/FactSet Auditing Viewer?action=AUDIT_VALUE&amp;DB=129&amp;ID1=24702R10&amp;VALUEID=02001&amp;SDATE=200903&amp;PERIODTYPE=QTR_STD&amp;SCFT=3&amp;window=popup_no_bar&amp;width=385&amp;height=120&amp;START_MAXIMIZED=FALSE&amp;creator=factset&amp;display_string=Audit"}</definedName>
    <definedName name="_886__FDSAUDITLINK__" hidden="1">{"fdsup://Directions/FactSet Auditing Viewer?action=AUDIT_VALUE&amp;DB=129&amp;ID1=24702R10&amp;VALUEID=02001&amp;SDATE=200903&amp;PERIODTYPE=QTR_STD&amp;SCFT=3&amp;window=popup_no_bar&amp;width=385&amp;height=120&amp;START_MAXIMIZED=FALSE&amp;creator=factset&amp;display_string=Audit"}</definedName>
    <definedName name="_887__FDSAUDITLINK__" localSheetId="7" hidden="1">{"fdsup://Directions/FactSet Auditing Viewer?action=AUDIT_VALUE&amp;DB=129&amp;ID1=23257210&amp;VALUEID=02001&amp;SDATE=200903&amp;PERIODTYPE=QTR_STD&amp;SCFT=3&amp;window=popup_no_bar&amp;width=385&amp;height=120&amp;START_MAXIMIZED=FALSE&amp;creator=factset&amp;display_string=Audit"}</definedName>
    <definedName name="_887__FDSAUDITLINK__" hidden="1">{"fdsup://Directions/FactSet Auditing Viewer?action=AUDIT_VALUE&amp;DB=129&amp;ID1=23257210&amp;VALUEID=02001&amp;SDATE=200903&amp;PERIODTYPE=QTR_STD&amp;SCFT=3&amp;window=popup_no_bar&amp;width=385&amp;height=120&amp;START_MAXIMIZED=FALSE&amp;creator=factset&amp;display_string=Audit"}</definedName>
    <definedName name="_888__FDSAUDITLINK__" localSheetId="7" hidden="1">{"fdsup://Directions/FactSet Auditing Viewer?action=AUDIT_VALUE&amp;DB=129&amp;ID1=23257210&amp;VALUEID=02001&amp;SDATE=200903&amp;PERIODTYPE=QTR_STD&amp;SCFT=3&amp;window=popup_no_bar&amp;width=385&amp;height=120&amp;START_MAXIMIZED=FALSE&amp;creator=factset&amp;display_string=Audit"}</definedName>
    <definedName name="_888__FDSAUDITLINK__" hidden="1">{"fdsup://Directions/FactSet Auditing Viewer?action=AUDIT_VALUE&amp;DB=129&amp;ID1=23257210&amp;VALUEID=02001&amp;SDATE=200903&amp;PERIODTYPE=QTR_STD&amp;SCFT=3&amp;window=popup_no_bar&amp;width=385&amp;height=120&amp;START_MAXIMIZED=FALSE&amp;creator=factset&amp;display_string=Audit"}</definedName>
    <definedName name="_889__FDSAUDITLINK__" localSheetId="7" hidden="1">{"fdsup://Directions/FactSet Auditing Viewer?action=AUDIT_VALUE&amp;DB=129&amp;ID1=23280610&amp;VALUEID=02001&amp;SDATE=200903&amp;PERIODTYPE=QTR_STD&amp;SCFT=3&amp;window=popup_no_bar&amp;width=385&amp;height=120&amp;START_MAXIMIZED=FALSE&amp;creator=factset&amp;display_string=Audit"}</definedName>
    <definedName name="_889__FDSAUDITLINK__" hidden="1">{"fdsup://Directions/FactSet Auditing Viewer?action=AUDIT_VALUE&amp;DB=129&amp;ID1=23280610&amp;VALUEID=02001&amp;SDATE=200903&amp;PERIODTYPE=QTR_STD&amp;SCFT=3&amp;window=popup_no_bar&amp;width=385&amp;height=120&amp;START_MAXIMIZED=FALSE&amp;creator=factset&amp;display_string=Audit"}</definedName>
    <definedName name="_89__FDSAUDITLINK__" localSheetId="7" hidden="1">{"fdsup://Directions/FactSet Auditing Viewer?action=AUDIT_VALUE&amp;DB=129&amp;ID1=48836020&amp;VALUEID=02001&amp;SDATE=201004&amp;PERIODTYPE=QTR_STD&amp;SCFT=3&amp;window=popup_no_bar&amp;width=385&amp;height=120&amp;START_MAXIMIZED=FALSE&amp;creator=factset&amp;display_string=Audit"}</definedName>
    <definedName name="_89__FDSAUDITLINK__" hidden="1">{"fdsup://Directions/FactSet Auditing Viewer?action=AUDIT_VALUE&amp;DB=129&amp;ID1=48836020&amp;VALUEID=02001&amp;SDATE=201004&amp;PERIODTYPE=QTR_STD&amp;SCFT=3&amp;window=popup_no_bar&amp;width=385&amp;height=120&amp;START_MAXIMIZED=FALSE&amp;creator=factset&amp;display_string=Audit"}</definedName>
    <definedName name="_890__FDSAUDITLINK__" localSheetId="7" hidden="1">{"fdsup://Directions/FactSet Auditing Viewer?action=AUDIT_VALUE&amp;DB=129&amp;ID1=23280610&amp;VALUEID=02001&amp;SDATE=200903&amp;PERIODTYPE=QTR_STD&amp;SCFT=3&amp;window=popup_no_bar&amp;width=385&amp;height=120&amp;START_MAXIMIZED=FALSE&amp;creator=factset&amp;display_string=Audit"}</definedName>
    <definedName name="_890__FDSAUDITLINK__" hidden="1">{"fdsup://Directions/FactSet Auditing Viewer?action=AUDIT_VALUE&amp;DB=129&amp;ID1=23280610&amp;VALUEID=02001&amp;SDATE=200903&amp;PERIODTYPE=QTR_STD&amp;SCFT=3&amp;window=popup_no_bar&amp;width=385&amp;height=120&amp;START_MAXIMIZED=FALSE&amp;creator=factset&amp;display_string=Audit"}</definedName>
    <definedName name="_891__FDSAUDITLINK__" localSheetId="7" hidden="1">{"fdsup://Directions/FactSet Auditing Viewer?action=AUDIT_VALUE&amp;DB=129&amp;ID1=17275R10&amp;VALUEID=02001&amp;SDATE=201001&amp;PERIODTYPE=QTR_STD&amp;SCFT=3&amp;window=popup_no_bar&amp;width=385&amp;height=120&amp;START_MAXIMIZED=FALSE&amp;creator=factset&amp;display_string=Audit"}</definedName>
    <definedName name="_891__FDSAUDITLINK__" hidden="1">{"fdsup://Directions/FactSet Auditing Viewer?action=AUDIT_VALUE&amp;DB=129&amp;ID1=17275R10&amp;VALUEID=02001&amp;SDATE=201001&amp;PERIODTYPE=QTR_STD&amp;SCFT=3&amp;window=popup_no_bar&amp;width=385&amp;height=120&amp;START_MAXIMIZED=FALSE&amp;creator=factset&amp;display_string=Audit"}</definedName>
    <definedName name="_892__FDSAUDITLINK__" localSheetId="7" hidden="1">{"fdsup://Directions/FactSet Auditing Viewer?action=AUDIT_VALUE&amp;DB=129&amp;ID1=17275R10&amp;VALUEID=02001&amp;SDATE=201001&amp;PERIODTYPE=QTR_STD&amp;SCFT=3&amp;window=popup_no_bar&amp;width=385&amp;height=120&amp;START_MAXIMIZED=FALSE&amp;creator=factset&amp;display_string=Audit"}</definedName>
    <definedName name="_892__FDSAUDITLINK__" hidden="1">{"fdsup://Directions/FactSet Auditing Viewer?action=AUDIT_VALUE&amp;DB=129&amp;ID1=17275R10&amp;VALUEID=02001&amp;SDATE=201001&amp;PERIODTYPE=QTR_STD&amp;SCFT=3&amp;window=popup_no_bar&amp;width=385&amp;height=120&amp;START_MAXIMIZED=FALSE&amp;creator=factset&amp;display_string=Audit"}</definedName>
    <definedName name="_893__FDSAUDITLINK__" localSheetId="7" hidden="1">{"fdsup://Directions/FactSet Auditing Viewer?action=AUDIT_VALUE&amp;DB=129&amp;ID1=22544710&amp;VALUEID=02001&amp;SDATE=201001&amp;PERIODTYPE=QTR_STD&amp;SCFT=3&amp;window=popup_no_bar&amp;width=385&amp;height=120&amp;START_MAXIMIZED=FALSE&amp;creator=factset&amp;display_string=Audit"}</definedName>
    <definedName name="_893__FDSAUDITLINK__" hidden="1">{"fdsup://Directions/FactSet Auditing Viewer?action=AUDIT_VALUE&amp;DB=129&amp;ID1=22544710&amp;VALUEID=02001&amp;SDATE=201001&amp;PERIODTYPE=QTR_STD&amp;SCFT=3&amp;window=popup_no_bar&amp;width=385&amp;height=120&amp;START_MAXIMIZED=FALSE&amp;creator=factset&amp;display_string=Audit"}</definedName>
    <definedName name="_894__FDSAUDITLINK__" localSheetId="7" hidden="1">{"fdsup://Directions/FactSet Auditing Viewer?action=AUDIT_VALUE&amp;DB=129&amp;ID1=22544710&amp;VALUEID=02001&amp;SDATE=201001&amp;PERIODTYPE=QTR_STD&amp;SCFT=3&amp;window=popup_no_bar&amp;width=385&amp;height=120&amp;START_MAXIMIZED=FALSE&amp;creator=factset&amp;display_string=Audit"}</definedName>
    <definedName name="_894__FDSAUDITLINK__" hidden="1">{"fdsup://Directions/FactSet Auditing Viewer?action=AUDIT_VALUE&amp;DB=129&amp;ID1=22544710&amp;VALUEID=02001&amp;SDATE=201001&amp;PERIODTYPE=QTR_STD&amp;SCFT=3&amp;window=popup_no_bar&amp;width=385&amp;height=120&amp;START_MAXIMIZED=FALSE&amp;creator=factset&amp;display_string=Audit"}</definedName>
    <definedName name="_895__FDSAUDITLINK__" localSheetId="7" hidden="1">{"fdsup://Directions/FactSet Auditing Viewer?action=AUDIT_VALUE&amp;DB=129&amp;ID1=12738710&amp;VALUEID=02001&amp;SDATE=200903&amp;PERIODTYPE=QTR_STD&amp;SCFT=3&amp;window=popup_no_bar&amp;width=385&amp;height=120&amp;START_MAXIMIZED=FALSE&amp;creator=factset&amp;display_string=Audit"}</definedName>
    <definedName name="_895__FDSAUDITLINK__" hidden="1">{"fdsup://Directions/FactSet Auditing Viewer?action=AUDIT_VALUE&amp;DB=129&amp;ID1=12738710&amp;VALUEID=02001&amp;SDATE=200903&amp;PERIODTYPE=QTR_STD&amp;SCFT=3&amp;window=popup_no_bar&amp;width=385&amp;height=120&amp;START_MAXIMIZED=FALSE&amp;creator=factset&amp;display_string=Audit"}</definedName>
    <definedName name="_896__FDSAUDITLINK__" localSheetId="7" hidden="1">{"fdsup://Directions/FactSet Auditing Viewer?action=AUDIT_VALUE&amp;DB=129&amp;ID1=12738710&amp;VALUEID=02001&amp;SDATE=200903&amp;PERIODTYPE=QTR_STD&amp;SCFT=3&amp;window=popup_no_bar&amp;width=385&amp;height=120&amp;START_MAXIMIZED=FALSE&amp;creator=factset&amp;display_string=Audit"}</definedName>
    <definedName name="_896__FDSAUDITLINK__" hidden="1">{"fdsup://Directions/FactSet Auditing Viewer?action=AUDIT_VALUE&amp;DB=129&amp;ID1=12738710&amp;VALUEID=02001&amp;SDATE=200903&amp;PERIODTYPE=QTR_STD&amp;SCFT=3&amp;window=popup_no_bar&amp;width=385&amp;height=120&amp;START_MAXIMIZED=FALSE&amp;creator=factset&amp;display_string=Audit"}</definedName>
    <definedName name="_897__FDSAUDITLINK__" localSheetId="7" hidden="1">{"fdsup://Directions/FactSet Auditing Viewer?action=AUDIT_VALUE&amp;DB=129&amp;ID1=14964U10&amp;VALUEID=02001&amp;SDATE=200903&amp;PERIODTYPE=QTR_STD&amp;SCFT=3&amp;window=popup_no_bar&amp;width=385&amp;height=120&amp;START_MAXIMIZED=FALSE&amp;creator=factset&amp;display_string=Audit"}</definedName>
    <definedName name="_897__FDSAUDITLINK__" hidden="1">{"fdsup://Directions/FactSet Auditing Viewer?action=AUDIT_VALUE&amp;DB=129&amp;ID1=14964U10&amp;VALUEID=02001&amp;SDATE=200903&amp;PERIODTYPE=QTR_STD&amp;SCFT=3&amp;window=popup_no_bar&amp;width=385&amp;height=120&amp;START_MAXIMIZED=FALSE&amp;creator=factset&amp;display_string=Audit"}</definedName>
    <definedName name="_898__FDSAUDITLINK__" localSheetId="7" hidden="1">{"fdsup://Directions/FactSet Auditing Viewer?action=AUDIT_VALUE&amp;DB=129&amp;ID1=14964U10&amp;VALUEID=02001&amp;SDATE=200903&amp;PERIODTYPE=QTR_STD&amp;SCFT=3&amp;window=popup_no_bar&amp;width=385&amp;height=120&amp;START_MAXIMIZED=FALSE&amp;creator=factset&amp;display_string=Audit"}</definedName>
    <definedName name="_898__FDSAUDITLINK__" hidden="1">{"fdsup://Directions/FactSet Auditing Viewer?action=AUDIT_VALUE&amp;DB=129&amp;ID1=14964U10&amp;VALUEID=02001&amp;SDATE=200903&amp;PERIODTYPE=QTR_STD&amp;SCFT=3&amp;window=popup_no_bar&amp;width=385&amp;height=120&amp;START_MAXIMIZED=FALSE&amp;creator=factset&amp;display_string=Audit"}</definedName>
    <definedName name="_899__FDSAUDITLINK__" localSheetId="7" hidden="1">{"fdsup://Directions/FactSet Auditing Viewer?action=AUDIT_VALUE&amp;DB=129&amp;ID1=04743P10&amp;VALUEID=02001&amp;SDATE=200903&amp;PERIODTYPE=QTR_STD&amp;SCFT=3&amp;window=popup_no_bar&amp;width=385&amp;height=120&amp;START_MAXIMIZED=FALSE&amp;creator=factset&amp;display_string=Audit"}</definedName>
    <definedName name="_899__FDSAUDITLINK__" hidden="1">{"fdsup://Directions/FactSet Auditing Viewer?action=AUDIT_VALUE&amp;DB=129&amp;ID1=04743P10&amp;VALUEID=02001&amp;SDATE=200903&amp;PERIODTYPE=QTR_STD&amp;SCFT=3&amp;window=popup_no_bar&amp;width=385&amp;height=120&amp;START_MAXIMIZED=FALSE&amp;creator=factset&amp;display_string=Audit"}</definedName>
    <definedName name="_9__FDSAUDITLINK__" localSheetId="7" hidden="1">{"fdsup://Directions/FactSet Auditing Viewer?action=AUDIT_VALUE&amp;DB=129&amp;ID1=74752510&amp;VALUEID=02001&amp;SDATE=201103&amp;PERIODTYPE=QTR_STD&amp;SCFT=3&amp;window=popup_no_bar&amp;width=385&amp;height=120&amp;START_MAXIMIZED=FALSE&amp;creator=factset&amp;display_string=Audit"}</definedName>
    <definedName name="_9__FDSAUDITLINK__" hidden="1">{"fdsup://Directions/FactSet Auditing Viewer?action=AUDIT_VALUE&amp;DB=129&amp;ID1=74752510&amp;VALUEID=02001&amp;SDATE=201103&amp;PERIODTYPE=QTR_STD&amp;SCFT=3&amp;window=popup_no_bar&amp;width=385&amp;height=120&amp;START_MAXIMIZED=FALSE&amp;creator=factset&amp;display_string=Audit"}</definedName>
    <definedName name="_90__FDSAUDITLINK__" localSheetId="7" hidden="1">{"fdsup://Directions/FactSet Auditing Viewer?action=AUDIT_VALUE&amp;DB=129&amp;ID1=48836020&amp;VALUEID=02001&amp;SDATE=201004&amp;PERIODTYPE=QTR_STD&amp;SCFT=3&amp;window=popup_no_bar&amp;width=385&amp;height=120&amp;START_MAXIMIZED=FALSE&amp;creator=factset&amp;display_string=Audit"}</definedName>
    <definedName name="_90__FDSAUDITLINK__" hidden="1">{"fdsup://Directions/FactSet Auditing Viewer?action=AUDIT_VALUE&amp;DB=129&amp;ID1=48836020&amp;VALUEID=02001&amp;SDATE=201004&amp;PERIODTYPE=QTR_STD&amp;SCFT=3&amp;window=popup_no_bar&amp;width=385&amp;height=120&amp;START_MAXIMIZED=FALSE&amp;creator=factset&amp;display_string=Audit"}</definedName>
    <definedName name="_900__FDSAUDITLINK__" localSheetId="7" hidden="1">{"fdsup://Directions/FactSet Auditing Viewer?action=AUDIT_VALUE&amp;DB=129&amp;ID1=04743P10&amp;VALUEID=02001&amp;SDATE=200903&amp;PERIODTYPE=QTR_STD&amp;SCFT=3&amp;window=popup_no_bar&amp;width=385&amp;height=120&amp;START_MAXIMIZED=FALSE&amp;creator=factset&amp;display_string=Audit"}</definedName>
    <definedName name="_900__FDSAUDITLINK__" hidden="1">{"fdsup://Directions/FactSet Auditing Viewer?action=AUDIT_VALUE&amp;DB=129&amp;ID1=04743P10&amp;VALUEID=02001&amp;SDATE=200903&amp;PERIODTYPE=QTR_STD&amp;SCFT=3&amp;window=popup_no_bar&amp;width=385&amp;height=120&amp;START_MAXIMIZED=FALSE&amp;creator=factset&amp;display_string=Audit"}</definedName>
    <definedName name="_901__FDSAUDITLINK__" localSheetId="7" hidden="1">{"fdsup://Directions/FactSet Auditing Viewer?action=AUDIT_VALUE&amp;DB=129&amp;ID1=03251510&amp;VALUEID=02001&amp;SDATE=200903&amp;PERIODTYPE=QTR_STD&amp;SCFT=3&amp;window=popup_no_bar&amp;width=385&amp;height=120&amp;START_MAXIMIZED=FALSE&amp;creator=factset&amp;display_string=Audit"}</definedName>
    <definedName name="_901__FDSAUDITLINK__" hidden="1">{"fdsup://Directions/FactSet Auditing Viewer?action=AUDIT_VALUE&amp;DB=129&amp;ID1=03251510&amp;VALUEID=02001&amp;SDATE=200903&amp;PERIODTYPE=QTR_STD&amp;SCFT=3&amp;window=popup_no_bar&amp;width=385&amp;height=120&amp;START_MAXIMIZED=FALSE&amp;creator=factset&amp;display_string=Audit"}</definedName>
    <definedName name="_902__FDSAUDITLINK__" localSheetId="7" hidden="1">{"fdsup://Directions/FactSet Auditing Viewer?action=AUDIT_VALUE&amp;DB=129&amp;ID1=03251510&amp;VALUEID=02001&amp;SDATE=200903&amp;PERIODTYPE=QTR_STD&amp;SCFT=3&amp;window=popup_no_bar&amp;width=385&amp;height=120&amp;START_MAXIMIZED=FALSE&amp;creator=factset&amp;display_string=Audit"}</definedName>
    <definedName name="_902__FDSAUDITLINK__" hidden="1">{"fdsup://Directions/FactSet Auditing Viewer?action=AUDIT_VALUE&amp;DB=129&amp;ID1=03251510&amp;VALUEID=02001&amp;SDATE=200903&amp;PERIODTYPE=QTR_STD&amp;SCFT=3&amp;window=popup_no_bar&amp;width=385&amp;height=120&amp;START_MAXIMIZED=FALSE&amp;creator=factset&amp;display_string=Audit"}</definedName>
    <definedName name="_903__FDSAUDITLINK__" localSheetId="7" hidden="1">{"fdsup://Directions/FactSet Auditing Viewer?action=AUDIT_VALUE&amp;DB=129&amp;ID1=00790310&amp;VALUEID=02001&amp;SDATE=200903&amp;PERIODTYPE=QTR_STD&amp;SCFT=3&amp;window=popup_no_bar&amp;width=385&amp;height=120&amp;START_MAXIMIZED=FALSE&amp;creator=factset&amp;display_string=Audit"}</definedName>
    <definedName name="_903__FDSAUDITLINK__" hidden="1">{"fdsup://Directions/FactSet Auditing Viewer?action=AUDIT_VALUE&amp;DB=129&amp;ID1=00790310&amp;VALUEID=02001&amp;SDATE=200903&amp;PERIODTYPE=QTR_STD&amp;SCFT=3&amp;window=popup_no_bar&amp;width=385&amp;height=120&amp;START_MAXIMIZED=FALSE&amp;creator=factset&amp;display_string=Audit"}</definedName>
    <definedName name="_904__FDSAUDITLINK__" localSheetId="7" hidden="1">{"fdsup://Directions/FactSet Auditing Viewer?action=AUDIT_VALUE&amp;DB=129&amp;ID1=00790310&amp;VALUEID=02001&amp;SDATE=200903&amp;PERIODTYPE=QTR_STD&amp;SCFT=3&amp;window=popup_no_bar&amp;width=385&amp;height=120&amp;START_MAXIMIZED=FALSE&amp;creator=factset&amp;display_string=Audit"}</definedName>
    <definedName name="_904__FDSAUDITLINK__" hidden="1">{"fdsup://Directions/FactSet Auditing Viewer?action=AUDIT_VALUE&amp;DB=129&amp;ID1=00790310&amp;VALUEID=02001&amp;SDATE=200903&amp;PERIODTYPE=QTR_STD&amp;SCFT=3&amp;window=popup_no_bar&amp;width=385&amp;height=120&amp;START_MAXIMIZED=FALSE&amp;creator=factset&amp;display_string=Audit"}</definedName>
    <definedName name="_905__FDSAUDITLINK__" localSheetId="7" hidden="1">{"fdsup://Directions/FactSet Auditing Viewer?action=AUDIT_VALUE&amp;DB=129&amp;ID1=03822W40&amp;VALUEID=02001&amp;SDATE=200902&amp;PERIODTYPE=QTR_STD&amp;SCFT=3&amp;window=popup_no_bar&amp;width=385&amp;height=120&amp;START_MAXIMIZED=FALSE&amp;creator=factset&amp;display_string=Audit"}</definedName>
    <definedName name="_905__FDSAUDITLINK__" hidden="1">{"fdsup://Directions/FactSet Auditing Viewer?action=AUDIT_VALUE&amp;DB=129&amp;ID1=03822W40&amp;VALUEID=02001&amp;SDATE=200902&amp;PERIODTYPE=QTR_STD&amp;SCFT=3&amp;window=popup_no_bar&amp;width=385&amp;height=120&amp;START_MAXIMIZED=FALSE&amp;creator=factset&amp;display_string=Audit"}</definedName>
    <definedName name="_906__FDSAUDITLINK__" localSheetId="7" hidden="1">{"fdsup://Directions/FactSet Auditing Viewer?action=AUDIT_VALUE&amp;DB=129&amp;ID1=03822W40&amp;VALUEID=02001&amp;SDATE=200902&amp;PERIODTYPE=QTR_STD&amp;SCFT=3&amp;window=popup_no_bar&amp;width=385&amp;height=120&amp;START_MAXIMIZED=FALSE&amp;creator=factset&amp;display_string=Audit"}</definedName>
    <definedName name="_906__FDSAUDITLINK__" hidden="1">{"fdsup://Directions/FactSet Auditing Viewer?action=AUDIT_VALUE&amp;DB=129&amp;ID1=03822W40&amp;VALUEID=02001&amp;SDATE=200902&amp;PERIODTYPE=QTR_STD&amp;SCFT=3&amp;window=popup_no_bar&amp;width=385&amp;height=120&amp;START_MAXIMIZED=FALSE&amp;creator=factset&amp;display_string=Audit"}</definedName>
    <definedName name="_907__FDSAUDITLINK__" localSheetId="7" hidden="1">{"fdsup://Directions/FactSet Auditing Viewer?action=AUDIT_VALUE&amp;DB=129&amp;ID1=02144110&amp;VALUEID=02001&amp;SDATE=200903&amp;PERIODTYPE=QTR_STD&amp;SCFT=3&amp;window=popup_no_bar&amp;width=385&amp;height=120&amp;START_MAXIMIZED=FALSE&amp;creator=factset&amp;display_string=Audit"}</definedName>
    <definedName name="_907__FDSAUDITLINK__" hidden="1">{"fdsup://Directions/FactSet Auditing Viewer?action=AUDIT_VALUE&amp;DB=129&amp;ID1=02144110&amp;VALUEID=02001&amp;SDATE=200903&amp;PERIODTYPE=QTR_STD&amp;SCFT=3&amp;window=popup_no_bar&amp;width=385&amp;height=120&amp;START_MAXIMIZED=FALSE&amp;creator=factset&amp;display_string=Audit"}</definedName>
    <definedName name="_908__FDSAUDITLINK__" localSheetId="7" hidden="1">{"fdsup://Directions/FactSet Auditing Viewer?action=AUDIT_VALUE&amp;DB=129&amp;ID1=02144110&amp;VALUEID=02001&amp;SDATE=200903&amp;PERIODTYPE=QTR_STD&amp;SCFT=3&amp;window=popup_no_bar&amp;width=385&amp;height=120&amp;START_MAXIMIZED=FALSE&amp;creator=factset&amp;display_string=Audit"}</definedName>
    <definedName name="_908__FDSAUDITLINK__" hidden="1">{"fdsup://Directions/FactSet Auditing Viewer?action=AUDIT_VALUE&amp;DB=129&amp;ID1=02144110&amp;VALUEID=02001&amp;SDATE=200903&amp;PERIODTYPE=QTR_STD&amp;SCFT=3&amp;window=popup_no_bar&amp;width=385&amp;height=120&amp;START_MAXIMIZED=FALSE&amp;creator=factset&amp;display_string=Audit"}</definedName>
    <definedName name="_909__FDSAUDITLINK__" localSheetId="7" hidden="1">{"fdsup://Directions/FactSet Auditing Viewer?action=AUDIT_VALUE&amp;DB=129&amp;ID1=00752J10&amp;VALUEID=02001&amp;SDATE=200903&amp;PERIODTYPE=QTR_STD&amp;SCFT=3&amp;window=popup_no_bar&amp;width=385&amp;height=120&amp;START_MAXIMIZED=FALSE&amp;creator=factset&amp;display_string=Audit"}</definedName>
    <definedName name="_909__FDSAUDITLINK__" hidden="1">{"fdsup://Directions/FactSet Auditing Viewer?action=AUDIT_VALUE&amp;DB=129&amp;ID1=00752J10&amp;VALUEID=02001&amp;SDATE=200903&amp;PERIODTYPE=QTR_STD&amp;SCFT=3&amp;window=popup_no_bar&amp;width=385&amp;height=120&amp;START_MAXIMIZED=FALSE&amp;creator=factset&amp;display_string=Audit"}</definedName>
    <definedName name="_91__FDSAUDITLINK__" localSheetId="7" hidden="1">{"fdsup://Directions/FactSet Auditing Viewer?action=AUDIT_VALUE&amp;DB=129&amp;ID1=48203R10&amp;VALUEID=02001&amp;SDATE=201101&amp;PERIODTYPE=QTR_STD&amp;SCFT=3&amp;window=popup_no_bar&amp;width=385&amp;height=120&amp;START_MAXIMIZED=FALSE&amp;creator=factset&amp;display_string=Audit"}</definedName>
    <definedName name="_91__FDSAUDITLINK__" hidden="1">{"fdsup://Directions/FactSet Auditing Viewer?action=AUDIT_VALUE&amp;DB=129&amp;ID1=48203R10&amp;VALUEID=02001&amp;SDATE=201101&amp;PERIODTYPE=QTR_STD&amp;SCFT=3&amp;window=popup_no_bar&amp;width=385&amp;height=120&amp;START_MAXIMIZED=FALSE&amp;creator=factset&amp;display_string=Audit"}</definedName>
    <definedName name="_910__FDSAUDITLINK__" localSheetId="7" hidden="1">{"fdsup://Directions/FactSet Auditing Viewer?action=AUDIT_VALUE&amp;DB=129&amp;ID1=00752J10&amp;VALUEID=02001&amp;SDATE=200903&amp;PERIODTYPE=QTR_STD&amp;SCFT=3&amp;window=popup_no_bar&amp;width=385&amp;height=120&amp;START_MAXIMIZED=FALSE&amp;creator=factset&amp;display_string=Audit"}</definedName>
    <definedName name="_910__FDSAUDITLINK__" hidden="1">{"fdsup://Directions/FactSet Auditing Viewer?action=AUDIT_VALUE&amp;DB=129&amp;ID1=00752J10&amp;VALUEID=02001&amp;SDATE=200903&amp;PERIODTYPE=QTR_STD&amp;SCFT=3&amp;window=popup_no_bar&amp;width=385&amp;height=120&amp;START_MAXIMIZED=FALSE&amp;creator=factset&amp;display_string=Audit"}</definedName>
    <definedName name="_911__FDSAUDITLINK__" localSheetId="7" hidden="1">{"fdsup://Directions/FactSet Auditing Viewer?action=AUDIT_VALUE&amp;DB=129&amp;ID1=98975F10&amp;VALUEID=02001&amp;SDATE=200902&amp;PERIODTYPE=QTR_STD&amp;SCFT=3&amp;window=popup_no_bar&amp;width=385&amp;height=120&amp;START_MAXIMIZED=FALSE&amp;creator=factset&amp;display_string=Audit"}</definedName>
    <definedName name="_911__FDSAUDITLINK__" hidden="1">{"fdsup://Directions/FactSet Auditing Viewer?action=AUDIT_VALUE&amp;DB=129&amp;ID1=98975F10&amp;VALUEID=02001&amp;SDATE=200902&amp;PERIODTYPE=QTR_STD&amp;SCFT=3&amp;window=popup_no_bar&amp;width=385&amp;height=120&amp;START_MAXIMIZED=FALSE&amp;creator=factset&amp;display_string=Audit"}</definedName>
    <definedName name="_912__FDSAUDITLINK__" localSheetId="7" hidden="1">{"fdsup://Directions/FactSet Auditing Viewer?action=AUDIT_VALUE&amp;DB=129&amp;ID1=98975F10&amp;VALUEID=02001&amp;SDATE=200902&amp;PERIODTYPE=QTR_STD&amp;SCFT=3&amp;window=popup_no_bar&amp;width=385&amp;height=120&amp;START_MAXIMIZED=FALSE&amp;creator=factset&amp;display_string=Audit"}</definedName>
    <definedName name="_912__FDSAUDITLINK__" hidden="1">{"fdsup://Directions/FactSet Auditing Viewer?action=AUDIT_VALUE&amp;DB=129&amp;ID1=98975F10&amp;VALUEID=02001&amp;SDATE=200902&amp;PERIODTYPE=QTR_STD&amp;SCFT=3&amp;window=popup_no_bar&amp;width=385&amp;height=120&amp;START_MAXIMIZED=FALSE&amp;creator=factset&amp;display_string=Audit"}</definedName>
    <definedName name="_913__FDSAUDITLINK__" localSheetId="7" hidden="1">{"fdsup://Directions/FactSet Auditing Viewer?action=AUDIT_VALUE&amp;DB=129&amp;ID1=98391910&amp;VALUEID=02001&amp;SDATE=200901&amp;PERIODTYPE=QTR_STD&amp;SCFT=3&amp;window=popup_no_bar&amp;width=385&amp;height=120&amp;START_MAXIMIZED=FALSE&amp;creator=factset&amp;display_string=Audit"}</definedName>
    <definedName name="_913__FDSAUDITLINK__" hidden="1">{"fdsup://Directions/FactSet Auditing Viewer?action=AUDIT_VALUE&amp;DB=129&amp;ID1=98391910&amp;VALUEID=02001&amp;SDATE=200901&amp;PERIODTYPE=QTR_STD&amp;SCFT=3&amp;window=popup_no_bar&amp;width=385&amp;height=120&amp;START_MAXIMIZED=FALSE&amp;creator=factset&amp;display_string=Audit"}</definedName>
    <definedName name="_914__FDSAUDITLINK__" localSheetId="7" hidden="1">{"fdsup://Directions/FactSet Auditing Viewer?action=AUDIT_VALUE&amp;DB=129&amp;ID1=98391910&amp;VALUEID=02001&amp;SDATE=200901&amp;PERIODTYPE=QTR_STD&amp;SCFT=3&amp;window=popup_no_bar&amp;width=385&amp;height=120&amp;START_MAXIMIZED=FALSE&amp;creator=factset&amp;display_string=Audit"}</definedName>
    <definedName name="_914__FDSAUDITLINK__" hidden="1">{"fdsup://Directions/FactSet Auditing Viewer?action=AUDIT_VALUE&amp;DB=129&amp;ID1=98391910&amp;VALUEID=02001&amp;SDATE=200901&amp;PERIODTYPE=QTR_STD&amp;SCFT=3&amp;window=popup_no_bar&amp;width=385&amp;height=120&amp;START_MAXIMIZED=FALSE&amp;creator=factset&amp;display_string=Audit"}</definedName>
    <definedName name="_915__FDSAUDITLINK__" localSheetId="7" hidden="1">{"fdsup://Directions/FactSet Auditing Viewer?action=AUDIT_VALUE&amp;DB=129&amp;ID1=92849730&amp;VALUEID=02001&amp;SDATE=200903&amp;PERIODTYPE=QTR_STD&amp;SCFT=3&amp;window=popup_no_bar&amp;width=385&amp;height=120&amp;START_MAXIMIZED=FALSE&amp;creator=factset&amp;display_string=Audit"}</definedName>
    <definedName name="_915__FDSAUDITLINK__" hidden="1">{"fdsup://Directions/FactSet Auditing Viewer?action=AUDIT_VALUE&amp;DB=129&amp;ID1=92849730&amp;VALUEID=02001&amp;SDATE=200903&amp;PERIODTYPE=QTR_STD&amp;SCFT=3&amp;window=popup_no_bar&amp;width=385&amp;height=120&amp;START_MAXIMIZED=FALSE&amp;creator=factset&amp;display_string=Audit"}</definedName>
    <definedName name="_916__FDSAUDITLINK__" localSheetId="7" hidden="1">{"fdsup://Directions/FactSet Auditing Viewer?action=AUDIT_VALUE&amp;DB=129&amp;ID1=92849730&amp;VALUEID=02001&amp;SDATE=200903&amp;PERIODTYPE=QTR_STD&amp;SCFT=3&amp;window=popup_no_bar&amp;width=385&amp;height=120&amp;START_MAXIMIZED=FALSE&amp;creator=factset&amp;display_string=Audit"}</definedName>
    <definedName name="_916__FDSAUDITLINK__" hidden="1">{"fdsup://Directions/FactSet Auditing Viewer?action=AUDIT_VALUE&amp;DB=129&amp;ID1=92849730&amp;VALUEID=02001&amp;SDATE=200903&amp;PERIODTYPE=QTR_STD&amp;SCFT=3&amp;window=popup_no_bar&amp;width=385&amp;height=120&amp;START_MAXIMIZED=FALSE&amp;creator=factset&amp;display_string=Audit"}</definedName>
    <definedName name="_917__FDSAUDITLINK__" localSheetId="7" hidden="1">{"fdsup://Directions/FactSet Auditing Viewer?action=AUDIT_VALUE&amp;DB=129&amp;ID1=92829810&amp;VALUEID=02001&amp;SDATE=200902&amp;PERIODTYPE=QTR_STD&amp;SCFT=3&amp;window=popup_no_bar&amp;width=385&amp;height=120&amp;START_MAXIMIZED=FALSE&amp;creator=factset&amp;display_string=Audit"}</definedName>
    <definedName name="_917__FDSAUDITLINK__" hidden="1">{"fdsup://Directions/FactSet Auditing Viewer?action=AUDIT_VALUE&amp;DB=129&amp;ID1=92829810&amp;VALUEID=02001&amp;SDATE=200902&amp;PERIODTYPE=QTR_STD&amp;SCFT=3&amp;window=popup_no_bar&amp;width=385&amp;height=120&amp;START_MAXIMIZED=FALSE&amp;creator=factset&amp;display_string=Audit"}</definedName>
    <definedName name="_918__FDSAUDITLINK__" localSheetId="7" hidden="1">{"fdsup://Directions/FactSet Auditing Viewer?action=AUDIT_VALUE&amp;DB=129&amp;ID1=92829810&amp;VALUEID=02001&amp;SDATE=200902&amp;PERIODTYPE=QTR_STD&amp;SCFT=3&amp;window=popup_no_bar&amp;width=385&amp;height=120&amp;START_MAXIMIZED=FALSE&amp;creator=factset&amp;display_string=Audit"}</definedName>
    <definedName name="_918__FDSAUDITLINK__" hidden="1">{"fdsup://Directions/FactSet Auditing Viewer?action=AUDIT_VALUE&amp;DB=129&amp;ID1=92829810&amp;VALUEID=02001&amp;SDATE=200902&amp;PERIODTYPE=QTR_STD&amp;SCFT=3&amp;window=popup_no_bar&amp;width=385&amp;height=120&amp;START_MAXIMIZED=FALSE&amp;creator=factset&amp;display_string=Audit"}</definedName>
    <definedName name="_919__FDSAUDITLINK__" localSheetId="7" hidden="1">{"fdsup://Directions/FactSet Auditing Viewer?action=AUDIT_VALUE&amp;DB=129&amp;ID1=88250810&amp;VALUEID=02001&amp;SDATE=200902&amp;PERIODTYPE=QTR_STD&amp;SCFT=3&amp;window=popup_no_bar&amp;width=385&amp;height=120&amp;START_MAXIMIZED=FALSE&amp;creator=factset&amp;display_string=Audit"}</definedName>
    <definedName name="_919__FDSAUDITLINK__" hidden="1">{"fdsup://Directions/FactSet Auditing Viewer?action=AUDIT_VALUE&amp;DB=129&amp;ID1=88250810&amp;VALUEID=02001&amp;SDATE=200902&amp;PERIODTYPE=QTR_STD&amp;SCFT=3&amp;window=popup_no_bar&amp;width=385&amp;height=120&amp;START_MAXIMIZED=FALSE&amp;creator=factset&amp;display_string=Audit"}</definedName>
    <definedName name="_92__FDSAUDITLINK__" localSheetId="7" hidden="1">{"fdsup://Directions/FactSet Auditing Viewer?action=AUDIT_VALUE&amp;DB=129&amp;ID1=48203R10&amp;VALUEID=02001&amp;SDATE=201101&amp;PERIODTYPE=QTR_STD&amp;SCFT=3&amp;window=popup_no_bar&amp;width=385&amp;height=120&amp;START_MAXIMIZED=FALSE&amp;creator=factset&amp;display_string=Audit"}</definedName>
    <definedName name="_92__FDSAUDITLINK__" hidden="1">{"fdsup://Directions/FactSet Auditing Viewer?action=AUDIT_VALUE&amp;DB=129&amp;ID1=48203R10&amp;VALUEID=02001&amp;SDATE=201101&amp;PERIODTYPE=QTR_STD&amp;SCFT=3&amp;window=popup_no_bar&amp;width=385&amp;height=120&amp;START_MAXIMIZED=FALSE&amp;creator=factset&amp;display_string=Audit"}</definedName>
    <definedName name="_920__FDSAUDITLINK__" localSheetId="7" hidden="1">{"fdsup://Directions/FactSet Auditing Viewer?action=AUDIT_VALUE&amp;DB=129&amp;ID1=88250810&amp;VALUEID=02001&amp;SDATE=200902&amp;PERIODTYPE=QTR_STD&amp;SCFT=3&amp;window=popup_no_bar&amp;width=385&amp;height=120&amp;START_MAXIMIZED=FALSE&amp;creator=factset&amp;display_string=Audit"}</definedName>
    <definedName name="_920__FDSAUDITLINK__" hidden="1">{"fdsup://Directions/FactSet Auditing Viewer?action=AUDIT_VALUE&amp;DB=129&amp;ID1=88250810&amp;VALUEID=02001&amp;SDATE=200902&amp;PERIODTYPE=QTR_STD&amp;SCFT=3&amp;window=popup_no_bar&amp;width=385&amp;height=120&amp;START_MAXIMIZED=FALSE&amp;creator=factset&amp;display_string=Audit"}</definedName>
    <definedName name="_921__FDSAUDITLINK__" localSheetId="7" hidden="1">{"fdsup://Directions/FactSet Auditing Viewer?action=AUDIT_VALUE&amp;DB=129&amp;ID1=89674K10&amp;VALUEID=02001&amp;SDATE=200902&amp;PERIODTYPE=QTR_STD&amp;SCFT=3&amp;window=popup_no_bar&amp;width=385&amp;height=120&amp;START_MAXIMIZED=FALSE&amp;creator=factset&amp;display_string=Audit"}</definedName>
    <definedName name="_921__FDSAUDITLINK__" hidden="1">{"fdsup://Directions/FactSet Auditing Viewer?action=AUDIT_VALUE&amp;DB=129&amp;ID1=89674K10&amp;VALUEID=02001&amp;SDATE=200902&amp;PERIODTYPE=QTR_STD&amp;SCFT=3&amp;window=popup_no_bar&amp;width=385&amp;height=120&amp;START_MAXIMIZED=FALSE&amp;creator=factset&amp;display_string=Audit"}</definedName>
    <definedName name="_922__FDSAUDITLINK__" localSheetId="7" hidden="1">{"fdsup://Directions/FactSet Auditing Viewer?action=AUDIT_VALUE&amp;DB=129&amp;ID1=89674K10&amp;VALUEID=02001&amp;SDATE=200902&amp;PERIODTYPE=QTR_STD&amp;SCFT=3&amp;window=popup_no_bar&amp;width=385&amp;height=120&amp;START_MAXIMIZED=FALSE&amp;creator=factset&amp;display_string=Audit"}</definedName>
    <definedName name="_922__FDSAUDITLINK__" hidden="1">{"fdsup://Directions/FactSet Auditing Viewer?action=AUDIT_VALUE&amp;DB=129&amp;ID1=89674K10&amp;VALUEID=02001&amp;SDATE=200902&amp;PERIODTYPE=QTR_STD&amp;SCFT=3&amp;window=popup_no_bar&amp;width=385&amp;height=120&amp;START_MAXIMIZED=FALSE&amp;creator=factset&amp;display_string=Audit"}</definedName>
    <definedName name="_923__FDSAUDITLINK__" localSheetId="7" hidden="1">{"fdsup://Directions/FactSet Auditing Viewer?action=AUDIT_VALUE&amp;DB=129&amp;ID1=83088M10&amp;VALUEID=02001&amp;SDATE=200903&amp;PERIODTYPE=QTR_STD&amp;SCFT=3&amp;window=popup_no_bar&amp;width=385&amp;height=120&amp;START_MAXIMIZED=FALSE&amp;creator=factset&amp;display_string=Audit"}</definedName>
    <definedName name="_923__FDSAUDITLINK__" hidden="1">{"fdsup://Directions/FactSet Auditing Viewer?action=AUDIT_VALUE&amp;DB=129&amp;ID1=83088M10&amp;VALUEID=02001&amp;SDATE=200903&amp;PERIODTYPE=QTR_STD&amp;SCFT=3&amp;window=popup_no_bar&amp;width=385&amp;height=120&amp;START_MAXIMIZED=FALSE&amp;creator=factset&amp;display_string=Audit"}</definedName>
    <definedName name="_924__FDSAUDITLINK__" localSheetId="7" hidden="1">{"fdsup://Directions/FactSet Auditing Viewer?action=AUDIT_VALUE&amp;DB=129&amp;ID1=83088M10&amp;VALUEID=02001&amp;SDATE=200903&amp;PERIODTYPE=QTR_STD&amp;SCFT=3&amp;window=popup_no_bar&amp;width=385&amp;height=120&amp;START_MAXIMIZED=FALSE&amp;creator=factset&amp;display_string=Audit"}</definedName>
    <definedName name="_924__FDSAUDITLINK__" hidden="1">{"fdsup://Directions/FactSet Auditing Viewer?action=AUDIT_VALUE&amp;DB=129&amp;ID1=83088M10&amp;VALUEID=02001&amp;SDATE=200903&amp;PERIODTYPE=QTR_STD&amp;SCFT=3&amp;window=popup_no_bar&amp;width=385&amp;height=120&amp;START_MAXIMIZED=FALSE&amp;creator=factset&amp;display_string=Audit"}</definedName>
    <definedName name="_925__FDSAUDITLINK__" localSheetId="7" hidden="1">{"fdsup://Directions/FactSet Auditing Viewer?action=AUDIT_VALUE&amp;DB=129&amp;ID1=78477410&amp;VALUEID=02001&amp;SDATE=200902&amp;PERIODTYPE=QTR_STD&amp;SCFT=3&amp;window=popup_no_bar&amp;width=385&amp;height=120&amp;START_MAXIMIZED=FALSE&amp;creator=factset&amp;display_string=Audit"}</definedName>
    <definedName name="_925__FDSAUDITLINK__" hidden="1">{"fdsup://Directions/FactSet Auditing Viewer?action=AUDIT_VALUE&amp;DB=129&amp;ID1=78477410&amp;VALUEID=02001&amp;SDATE=200902&amp;PERIODTYPE=QTR_STD&amp;SCFT=3&amp;window=popup_no_bar&amp;width=385&amp;height=120&amp;START_MAXIMIZED=FALSE&amp;creator=factset&amp;display_string=Audit"}</definedName>
    <definedName name="_926__FDSAUDITLINK__" localSheetId="7" hidden="1">{"fdsup://Directions/FactSet Auditing Viewer?action=AUDIT_VALUE&amp;DB=129&amp;ID1=78477410&amp;VALUEID=02001&amp;SDATE=200902&amp;PERIODTYPE=QTR_STD&amp;SCFT=3&amp;window=popup_no_bar&amp;width=385&amp;height=120&amp;START_MAXIMIZED=FALSE&amp;creator=factset&amp;display_string=Audit"}</definedName>
    <definedName name="_926__FDSAUDITLINK__" hidden="1">{"fdsup://Directions/FactSet Auditing Viewer?action=AUDIT_VALUE&amp;DB=129&amp;ID1=78477410&amp;VALUEID=02001&amp;SDATE=200902&amp;PERIODTYPE=QTR_STD&amp;SCFT=3&amp;window=popup_no_bar&amp;width=385&amp;height=120&amp;START_MAXIMIZED=FALSE&amp;creator=factset&amp;display_string=Audit"}</definedName>
    <definedName name="_927__FDSAUDITLINK__" localSheetId="7" hidden="1">{"fdsup://Directions/FactSet Auditing Viewer?action=AUDIT_VALUE&amp;DB=129&amp;ID1=82705710&amp;VALUEID=02001&amp;SDATE=200902&amp;PERIODTYPE=QTR_STD&amp;SCFT=3&amp;window=popup_no_bar&amp;width=385&amp;height=120&amp;START_MAXIMIZED=FALSE&amp;creator=factset&amp;display_string=Audit"}</definedName>
    <definedName name="_927__FDSAUDITLINK__" hidden="1">{"fdsup://Directions/FactSet Auditing Viewer?action=AUDIT_VALUE&amp;DB=129&amp;ID1=82705710&amp;VALUEID=02001&amp;SDATE=200902&amp;PERIODTYPE=QTR_STD&amp;SCFT=3&amp;window=popup_no_bar&amp;width=385&amp;height=120&amp;START_MAXIMIZED=FALSE&amp;creator=factset&amp;display_string=Audit"}</definedName>
    <definedName name="_928__FDSAUDITLINK__" localSheetId="7" hidden="1">{"fdsup://Directions/FactSet Auditing Viewer?action=AUDIT_VALUE&amp;DB=129&amp;ID1=82705710&amp;VALUEID=02001&amp;SDATE=200902&amp;PERIODTYPE=QTR_STD&amp;SCFT=3&amp;window=popup_no_bar&amp;width=385&amp;height=120&amp;START_MAXIMIZED=FALSE&amp;creator=factset&amp;display_string=Audit"}</definedName>
    <definedName name="_928__FDSAUDITLINK__" hidden="1">{"fdsup://Directions/FactSet Auditing Viewer?action=AUDIT_VALUE&amp;DB=129&amp;ID1=82705710&amp;VALUEID=02001&amp;SDATE=200902&amp;PERIODTYPE=QTR_STD&amp;SCFT=3&amp;window=popup_no_bar&amp;width=385&amp;height=120&amp;START_MAXIMIZED=FALSE&amp;creator=factset&amp;display_string=Audit"}</definedName>
    <definedName name="_929__FDSAUDITLINK__" localSheetId="7" hidden="1">{"fdsup://Directions/FactSet Auditing Viewer?action=AUDIT_VALUE&amp;DB=129&amp;ID1=83547010&amp;VALUEID=02001&amp;SDATE=200902&amp;PERIODTYPE=QTR_STD&amp;SCFT=3&amp;window=popup_no_bar&amp;width=385&amp;height=120&amp;START_MAXIMIZED=FALSE&amp;creator=factset&amp;display_string=Audit"}</definedName>
    <definedName name="_929__FDSAUDITLINK__" hidden="1">{"fdsup://Directions/FactSet Auditing Viewer?action=AUDIT_VALUE&amp;DB=129&amp;ID1=83547010&amp;VALUEID=02001&amp;SDATE=200902&amp;PERIODTYPE=QTR_STD&amp;SCFT=3&amp;window=popup_no_bar&amp;width=385&amp;height=120&amp;START_MAXIMIZED=FALSE&amp;creator=factset&amp;display_string=Audit"}</definedName>
    <definedName name="_93__FDSAUDITLINK__" localSheetId="7" hidden="1">{"fdsup://Directions/FactSet Auditing Viewer?action=AUDIT_VALUE&amp;DB=129&amp;ID1=46069S10&amp;VALUEID=02001&amp;SDATE=201101&amp;PERIODTYPE=QTR_STD&amp;SCFT=3&amp;window=popup_no_bar&amp;width=385&amp;height=120&amp;START_MAXIMIZED=FALSE&amp;creator=factset&amp;display_string=Audit"}</definedName>
    <definedName name="_93__FDSAUDITLINK__" hidden="1">{"fdsup://Directions/FactSet Auditing Viewer?action=AUDIT_VALUE&amp;DB=129&amp;ID1=46069S10&amp;VALUEID=02001&amp;SDATE=201101&amp;PERIODTYPE=QTR_STD&amp;SCFT=3&amp;window=popup_no_bar&amp;width=385&amp;height=120&amp;START_MAXIMIZED=FALSE&amp;creator=factset&amp;display_string=Audit"}</definedName>
    <definedName name="_930__FDSAUDITLINK__" localSheetId="7" hidden="1">{"fdsup://Directions/FactSet Auditing Viewer?action=AUDIT_VALUE&amp;DB=129&amp;ID1=83547010&amp;VALUEID=02001&amp;SDATE=200902&amp;PERIODTYPE=QTR_STD&amp;SCFT=3&amp;window=popup_no_bar&amp;width=385&amp;height=120&amp;START_MAXIMIZED=FALSE&amp;creator=factset&amp;display_string=Audit"}</definedName>
    <definedName name="_930__FDSAUDITLINK__" hidden="1">{"fdsup://Directions/FactSet Auditing Viewer?action=AUDIT_VALUE&amp;DB=129&amp;ID1=83547010&amp;VALUEID=02001&amp;SDATE=200902&amp;PERIODTYPE=QTR_STD&amp;SCFT=3&amp;window=popup_no_bar&amp;width=385&amp;height=120&amp;START_MAXIMIZED=FALSE&amp;creator=factset&amp;display_string=Audit"}</definedName>
    <definedName name="_931__FDSAUDITLINK__" localSheetId="7" hidden="1">{"fdsup://Directions/FactSet Auditing Viewer?action=AUDIT_VALUE&amp;DB=129&amp;ID1=87160710&amp;VALUEID=02001&amp;SDATE=200903&amp;PERIODTYPE=QTR_STD&amp;SCFT=3&amp;window=popup_no_bar&amp;width=385&amp;height=120&amp;START_MAXIMIZED=FALSE&amp;creator=factset&amp;display_string=Audit"}</definedName>
    <definedName name="_931__FDSAUDITLINK__" hidden="1">{"fdsup://Directions/FactSet Auditing Viewer?action=AUDIT_VALUE&amp;DB=129&amp;ID1=87160710&amp;VALUEID=02001&amp;SDATE=200903&amp;PERIODTYPE=QTR_STD&amp;SCFT=3&amp;window=popup_no_bar&amp;width=385&amp;height=120&amp;START_MAXIMIZED=FALSE&amp;creator=factset&amp;display_string=Audit"}</definedName>
    <definedName name="_932__FDSAUDITLINK__" localSheetId="7" hidden="1">{"fdsup://Directions/FactSet Auditing Viewer?action=AUDIT_VALUE&amp;DB=129&amp;ID1=87160710&amp;VALUEID=02001&amp;SDATE=200903&amp;PERIODTYPE=QTR_STD&amp;SCFT=3&amp;window=popup_no_bar&amp;width=385&amp;height=120&amp;START_MAXIMIZED=FALSE&amp;creator=factset&amp;display_string=Audit"}</definedName>
    <definedName name="_932__FDSAUDITLINK__" hidden="1">{"fdsup://Directions/FactSet Auditing Viewer?action=AUDIT_VALUE&amp;DB=129&amp;ID1=87160710&amp;VALUEID=02001&amp;SDATE=200903&amp;PERIODTYPE=QTR_STD&amp;SCFT=3&amp;window=popup_no_bar&amp;width=385&amp;height=120&amp;START_MAXIMIZED=FALSE&amp;creator=factset&amp;display_string=Audit"}</definedName>
    <definedName name="_933__FDSAUDITLINK__" localSheetId="7" hidden="1">{"fdsup://Directions/FactSet Auditing Viewer?action=AUDIT_VALUE&amp;DB=129&amp;ID1=80004C10&amp;VALUEID=02001&amp;SDATE=200902&amp;PERIODTYPE=QTR_STD&amp;SCFT=3&amp;window=popup_no_bar&amp;width=385&amp;height=120&amp;START_MAXIMIZED=FALSE&amp;creator=factset&amp;display_string=Audit"}</definedName>
    <definedName name="_933__FDSAUDITLINK__" hidden="1">{"fdsup://Directions/FactSet Auditing Viewer?action=AUDIT_VALUE&amp;DB=129&amp;ID1=80004C10&amp;VALUEID=02001&amp;SDATE=200902&amp;PERIODTYPE=QTR_STD&amp;SCFT=3&amp;window=popup_no_bar&amp;width=385&amp;height=120&amp;START_MAXIMIZED=FALSE&amp;creator=factset&amp;display_string=Audit"}</definedName>
    <definedName name="_934__FDSAUDITLINK__" localSheetId="7" hidden="1">{"fdsup://Directions/FactSet Auditing Viewer?action=AUDIT_VALUE&amp;DB=129&amp;ID1=80004C10&amp;VALUEID=02001&amp;SDATE=200902&amp;PERIODTYPE=QTR_STD&amp;SCFT=3&amp;window=popup_no_bar&amp;width=385&amp;height=120&amp;START_MAXIMIZED=FALSE&amp;creator=factset&amp;display_string=Audit"}</definedName>
    <definedName name="_934__FDSAUDITLINK__" hidden="1">{"fdsup://Directions/FactSet Auditing Viewer?action=AUDIT_VALUE&amp;DB=129&amp;ID1=80004C10&amp;VALUEID=02001&amp;SDATE=200902&amp;PERIODTYPE=QTR_STD&amp;SCFT=3&amp;window=popup_no_bar&amp;width=385&amp;height=120&amp;START_MAXIMIZED=FALSE&amp;creator=factset&amp;display_string=Audit"}</definedName>
    <definedName name="_935__FDSAUDITLINK__" localSheetId="7" hidden="1">{"fdsup://Directions/FactSet Auditing Viewer?action=AUDIT_VALUE&amp;DB=129&amp;ID1=81685010&amp;VALUEID=02001&amp;SDATE=200902&amp;PERIODTYPE=QTR_STD&amp;SCFT=3&amp;window=popup_no_bar&amp;width=385&amp;height=120&amp;START_MAXIMIZED=FALSE&amp;creator=factset&amp;display_string=Audit"}</definedName>
    <definedName name="_935__FDSAUDITLINK__" hidden="1">{"fdsup://Directions/FactSet Auditing Viewer?action=AUDIT_VALUE&amp;DB=129&amp;ID1=81685010&amp;VALUEID=02001&amp;SDATE=200902&amp;PERIODTYPE=QTR_STD&amp;SCFT=3&amp;window=popup_no_bar&amp;width=385&amp;height=120&amp;START_MAXIMIZED=FALSE&amp;creator=factset&amp;display_string=Audit"}</definedName>
    <definedName name="_936__FDSAUDITLINK__" localSheetId="7" hidden="1">{"fdsup://Directions/FactSet Auditing Viewer?action=AUDIT_VALUE&amp;DB=129&amp;ID1=81685010&amp;VALUEID=02001&amp;SDATE=200902&amp;PERIODTYPE=QTR_STD&amp;SCFT=3&amp;window=popup_no_bar&amp;width=385&amp;height=120&amp;START_MAXIMIZED=FALSE&amp;creator=factset&amp;display_string=Audit"}</definedName>
    <definedName name="_936__FDSAUDITLINK__" hidden="1">{"fdsup://Directions/FactSet Auditing Viewer?action=AUDIT_VALUE&amp;DB=129&amp;ID1=81685010&amp;VALUEID=02001&amp;SDATE=200902&amp;PERIODTYPE=QTR_STD&amp;SCFT=3&amp;window=popup_no_bar&amp;width=385&amp;height=120&amp;START_MAXIMIZED=FALSE&amp;creator=factset&amp;display_string=Audit"}</definedName>
    <definedName name="_937__FDSAUDITLINK__" localSheetId="7" hidden="1">{"fdsup://Directions/FactSet Auditing Viewer?action=AUDIT_VALUE&amp;DB=129&amp;ID1=82691910&amp;VALUEID=02001&amp;SDATE=200902&amp;PERIODTYPE=QTR_STD&amp;SCFT=3&amp;window=popup_no_bar&amp;width=385&amp;height=120&amp;START_MAXIMIZED=FALSE&amp;creator=factset&amp;display_string=Audit"}</definedName>
    <definedName name="_937__FDSAUDITLINK__" hidden="1">{"fdsup://Directions/FactSet Auditing Viewer?action=AUDIT_VALUE&amp;DB=129&amp;ID1=82691910&amp;VALUEID=02001&amp;SDATE=200902&amp;PERIODTYPE=QTR_STD&amp;SCFT=3&amp;window=popup_no_bar&amp;width=385&amp;height=120&amp;START_MAXIMIZED=FALSE&amp;creator=factset&amp;display_string=Audit"}</definedName>
    <definedName name="_938__FDSAUDITLINK__" localSheetId="7" hidden="1">{"fdsup://Directions/FactSet Auditing Viewer?action=AUDIT_VALUE&amp;DB=129&amp;ID1=82691910&amp;VALUEID=02001&amp;SDATE=200902&amp;PERIODTYPE=QTR_STD&amp;SCFT=3&amp;window=popup_no_bar&amp;width=385&amp;height=120&amp;START_MAXIMIZED=FALSE&amp;creator=factset&amp;display_string=Audit"}</definedName>
    <definedName name="_938__FDSAUDITLINK__" hidden="1">{"fdsup://Directions/FactSet Auditing Viewer?action=AUDIT_VALUE&amp;DB=129&amp;ID1=82691910&amp;VALUEID=02001&amp;SDATE=200902&amp;PERIODTYPE=QTR_STD&amp;SCFT=3&amp;window=popup_no_bar&amp;width=385&amp;height=120&amp;START_MAXIMIZED=FALSE&amp;creator=factset&amp;display_string=Audit"}</definedName>
    <definedName name="_939__FDSAUDITLINK__" localSheetId="7" hidden="1">{"fdsup://Directions/FactSet Auditing Viewer?action=AUDIT_VALUE&amp;DB=129&amp;ID1=82705T10&amp;VALUEID=02001&amp;SDATE=200902&amp;PERIODTYPE=QTR_STD&amp;SCFT=3&amp;window=popup_no_bar&amp;width=385&amp;height=120&amp;START_MAXIMIZED=FALSE&amp;creator=factset&amp;display_string=Audit"}</definedName>
    <definedName name="_939__FDSAUDITLINK__" hidden="1">{"fdsup://Directions/FactSet Auditing Viewer?action=AUDIT_VALUE&amp;DB=129&amp;ID1=82705T10&amp;VALUEID=02001&amp;SDATE=200902&amp;PERIODTYPE=QTR_STD&amp;SCFT=3&amp;window=popup_no_bar&amp;width=385&amp;height=120&amp;START_MAXIMIZED=FALSE&amp;creator=factset&amp;display_string=Audit"}</definedName>
    <definedName name="_94__FDSAUDITLINK__" localSheetId="7" hidden="1">{"fdsup://Directions/FactSet Auditing Viewer?action=AUDIT_VALUE&amp;DB=129&amp;ID1=46069S10&amp;VALUEID=02001&amp;SDATE=201101&amp;PERIODTYPE=QTR_STD&amp;SCFT=3&amp;window=popup_no_bar&amp;width=385&amp;height=120&amp;START_MAXIMIZED=FALSE&amp;creator=factset&amp;display_string=Audit"}</definedName>
    <definedName name="_94__FDSAUDITLINK__" hidden="1">{"fdsup://Directions/FactSet Auditing Viewer?action=AUDIT_VALUE&amp;DB=129&amp;ID1=46069S10&amp;VALUEID=02001&amp;SDATE=201101&amp;PERIODTYPE=QTR_STD&amp;SCFT=3&amp;window=popup_no_bar&amp;width=385&amp;height=120&amp;START_MAXIMIZED=FALSE&amp;creator=factset&amp;display_string=Audit"}</definedName>
    <definedName name="_940__FDSAUDITLINK__" localSheetId="7" hidden="1">{"fdsup://Directions/FactSet Auditing Viewer?action=AUDIT_VALUE&amp;DB=129&amp;ID1=82705T10&amp;VALUEID=02001&amp;SDATE=200902&amp;PERIODTYPE=QTR_STD&amp;SCFT=3&amp;window=popup_no_bar&amp;width=385&amp;height=120&amp;START_MAXIMIZED=FALSE&amp;creator=factset&amp;display_string=Audit"}</definedName>
    <definedName name="_940__FDSAUDITLINK__" hidden="1">{"fdsup://Directions/FactSet Auditing Viewer?action=AUDIT_VALUE&amp;DB=129&amp;ID1=82705T10&amp;VALUEID=02001&amp;SDATE=200902&amp;PERIODTYPE=QTR_STD&amp;SCFT=3&amp;window=popup_no_bar&amp;width=385&amp;height=120&amp;START_MAXIMIZED=FALSE&amp;creator=factset&amp;display_string=Audit"}</definedName>
    <definedName name="_941__FDSAUDITLINK__" localSheetId="7" hidden="1">{"fdsup://Directions/FactSet Auditing Viewer?action=AUDIT_VALUE&amp;DB=129&amp;ID1=75091710&amp;VALUEID=02001&amp;SDATE=200902&amp;PERIODTYPE=QTR_STD&amp;SCFT=3&amp;window=popup_no_bar&amp;width=385&amp;height=120&amp;START_MAXIMIZED=FALSE&amp;creator=factset&amp;display_string=Audit"}</definedName>
    <definedName name="_941__FDSAUDITLINK__" hidden="1">{"fdsup://Directions/FactSet Auditing Viewer?action=AUDIT_VALUE&amp;DB=129&amp;ID1=75091710&amp;VALUEID=02001&amp;SDATE=200902&amp;PERIODTYPE=QTR_STD&amp;SCFT=3&amp;window=popup_no_bar&amp;width=385&amp;height=120&amp;START_MAXIMIZED=FALSE&amp;creator=factset&amp;display_string=Audit"}</definedName>
    <definedName name="_942__FDSAUDITLINK__" localSheetId="7" hidden="1">{"fdsup://Directions/FactSet Auditing Viewer?action=AUDIT_VALUE&amp;DB=129&amp;ID1=75091710&amp;VALUEID=02001&amp;SDATE=200902&amp;PERIODTYPE=QTR_STD&amp;SCFT=3&amp;window=popup_no_bar&amp;width=385&amp;height=120&amp;START_MAXIMIZED=FALSE&amp;creator=factset&amp;display_string=Audit"}</definedName>
    <definedName name="_942__FDSAUDITLINK__" hidden="1">{"fdsup://Directions/FactSet Auditing Viewer?action=AUDIT_VALUE&amp;DB=129&amp;ID1=75091710&amp;VALUEID=02001&amp;SDATE=200902&amp;PERIODTYPE=QTR_STD&amp;SCFT=3&amp;window=popup_no_bar&amp;width=385&amp;height=120&amp;START_MAXIMIZED=FALSE&amp;creator=factset&amp;display_string=Audit"}</definedName>
    <definedName name="_943__FDSAUDITLINK__" localSheetId="7" hidden="1">{"fdsup://Directions/FactSet Auditing Viewer?action=AUDIT_VALUE&amp;DB=129&amp;ID1=74994110&amp;VALUEID=02001&amp;SDATE=200901&amp;PERIODTYPE=QTR_STD&amp;SCFT=3&amp;window=popup_no_bar&amp;width=385&amp;height=120&amp;START_MAXIMIZED=FALSE&amp;creator=factset&amp;display_string=Audit"}</definedName>
    <definedName name="_943__FDSAUDITLINK__" hidden="1">{"fdsup://Directions/FactSet Auditing Viewer?action=AUDIT_VALUE&amp;DB=129&amp;ID1=74994110&amp;VALUEID=02001&amp;SDATE=200901&amp;PERIODTYPE=QTR_STD&amp;SCFT=3&amp;window=popup_no_bar&amp;width=385&amp;height=120&amp;START_MAXIMIZED=FALSE&amp;creator=factset&amp;display_string=Audit"}</definedName>
    <definedName name="_944__FDSAUDITLINK__" localSheetId="7" hidden="1">{"fdsup://Directions/FactSet Auditing Viewer?action=AUDIT_VALUE&amp;DB=129&amp;ID1=74994110&amp;VALUEID=02001&amp;SDATE=200901&amp;PERIODTYPE=QTR_STD&amp;SCFT=3&amp;window=popup_no_bar&amp;width=385&amp;height=120&amp;START_MAXIMIZED=FALSE&amp;creator=factset&amp;display_string=Audit"}</definedName>
    <definedName name="_944__FDSAUDITLINK__" hidden="1">{"fdsup://Directions/FactSet Auditing Viewer?action=AUDIT_VALUE&amp;DB=129&amp;ID1=74994110&amp;VALUEID=02001&amp;SDATE=200901&amp;PERIODTYPE=QTR_STD&amp;SCFT=3&amp;window=popup_no_bar&amp;width=385&amp;height=120&amp;START_MAXIMIZED=FALSE&amp;creator=factset&amp;display_string=Audit"}</definedName>
    <definedName name="_945__FDSAUDITLINK__" localSheetId="7" hidden="1">{"fdsup://Directions/FactSet Auditing Viewer?action=AUDIT_VALUE&amp;DB=129&amp;ID1=74727710&amp;VALUEID=02001&amp;SDATE=200901&amp;PERIODTYPE=QTR_STD&amp;SCFT=3&amp;window=popup_no_bar&amp;width=385&amp;height=120&amp;START_MAXIMIZED=FALSE&amp;creator=factset&amp;display_string=Audit"}</definedName>
    <definedName name="_945__FDSAUDITLINK__" hidden="1">{"fdsup://Directions/FactSet Auditing Viewer?action=AUDIT_VALUE&amp;DB=129&amp;ID1=74727710&amp;VALUEID=02001&amp;SDATE=200901&amp;PERIODTYPE=QTR_STD&amp;SCFT=3&amp;window=popup_no_bar&amp;width=385&amp;height=120&amp;START_MAXIMIZED=FALSE&amp;creator=factset&amp;display_string=Audit"}</definedName>
    <definedName name="_946__FDSAUDITLINK__" localSheetId="7" hidden="1">{"fdsup://Directions/FactSet Auditing Viewer?action=AUDIT_VALUE&amp;DB=129&amp;ID1=74727710&amp;VALUEID=02001&amp;SDATE=200901&amp;PERIODTYPE=QTR_STD&amp;SCFT=3&amp;window=popup_no_bar&amp;width=385&amp;height=120&amp;START_MAXIMIZED=FALSE&amp;creator=factset&amp;display_string=Audit"}</definedName>
    <definedName name="_946__FDSAUDITLINK__" hidden="1">{"fdsup://Directions/FactSet Auditing Viewer?action=AUDIT_VALUE&amp;DB=129&amp;ID1=74727710&amp;VALUEID=02001&amp;SDATE=200901&amp;PERIODTYPE=QTR_STD&amp;SCFT=3&amp;window=popup_no_bar&amp;width=385&amp;height=120&amp;START_MAXIMIZED=FALSE&amp;creator=factset&amp;display_string=Audit"}</definedName>
    <definedName name="_947__FDSAUDITLINK__" localSheetId="7" hidden="1">{"fdsup://Directions/FactSet Auditing Viewer?action=AUDIT_VALUE&amp;DB=129&amp;ID1=74752510&amp;VALUEID=02001&amp;SDATE=200903&amp;PERIODTYPE=QTR_STD&amp;SCFT=3&amp;window=popup_no_bar&amp;width=385&amp;height=120&amp;START_MAXIMIZED=FALSE&amp;creator=factset&amp;display_string=Audit"}</definedName>
    <definedName name="_947__FDSAUDITLINK__" hidden="1">{"fdsup://Directions/FactSet Auditing Viewer?action=AUDIT_VALUE&amp;DB=129&amp;ID1=74752510&amp;VALUEID=02001&amp;SDATE=200903&amp;PERIODTYPE=QTR_STD&amp;SCFT=3&amp;window=popup_no_bar&amp;width=385&amp;height=120&amp;START_MAXIMIZED=FALSE&amp;creator=factset&amp;display_string=Audit"}</definedName>
    <definedName name="_948__FDSAUDITLINK__" localSheetId="7" hidden="1">{"fdsup://Directions/FactSet Auditing Viewer?action=AUDIT_VALUE&amp;DB=129&amp;ID1=74752510&amp;VALUEID=02001&amp;SDATE=200903&amp;PERIODTYPE=QTR_STD&amp;SCFT=3&amp;window=popup_no_bar&amp;width=385&amp;height=120&amp;START_MAXIMIZED=FALSE&amp;creator=factset&amp;display_string=Audit"}</definedName>
    <definedName name="_948__FDSAUDITLINK__" hidden="1">{"fdsup://Directions/FactSet Auditing Viewer?action=AUDIT_VALUE&amp;DB=129&amp;ID1=74752510&amp;VALUEID=02001&amp;SDATE=200903&amp;PERIODTYPE=QTR_STD&amp;SCFT=3&amp;window=popup_no_bar&amp;width=385&amp;height=120&amp;START_MAXIMIZED=FALSE&amp;creator=factset&amp;display_string=Audit"}</definedName>
    <definedName name="_949__FDSAUDITLINK__" localSheetId="7" hidden="1">{"fdsup://Directions/FactSet Auditing Viewer?action=AUDIT_VALUE&amp;DB=129&amp;ID1=72581M30&amp;VALUEID=02001&amp;SDATE=200902&amp;PERIODTYPE=QTR_STD&amp;SCFT=3&amp;window=popup_no_bar&amp;width=385&amp;height=120&amp;START_MAXIMIZED=FALSE&amp;creator=factset&amp;display_string=Audit"}</definedName>
    <definedName name="_949__FDSAUDITLINK__" hidden="1">{"fdsup://Directions/FactSet Auditing Viewer?action=AUDIT_VALUE&amp;DB=129&amp;ID1=72581M30&amp;VALUEID=02001&amp;SDATE=200902&amp;PERIODTYPE=QTR_STD&amp;SCFT=3&amp;window=popup_no_bar&amp;width=385&amp;height=120&amp;START_MAXIMIZED=FALSE&amp;creator=factset&amp;display_string=Audit"}</definedName>
    <definedName name="_95__FDSAUDITLINK__" localSheetId="7" hidden="1">{"fdsup://Directions/FactSet Auditing Viewer?action=AUDIT_VALUE&amp;DB=129&amp;ID1=46025410&amp;VALUEID=02001&amp;SDATE=201103&amp;PERIODTYPE=QTR_STD&amp;SCFT=3&amp;window=popup_no_bar&amp;width=385&amp;height=120&amp;START_MAXIMIZED=FALSE&amp;creator=factset&amp;display_string=Audit"}</definedName>
    <definedName name="_95__FDSAUDITLINK__" hidden="1">{"fdsup://Directions/FactSet Auditing Viewer?action=AUDIT_VALUE&amp;DB=129&amp;ID1=46025410&amp;VALUEID=02001&amp;SDATE=201103&amp;PERIODTYPE=QTR_STD&amp;SCFT=3&amp;window=popup_no_bar&amp;width=385&amp;height=120&amp;START_MAXIMIZED=FALSE&amp;creator=factset&amp;display_string=Audit"}</definedName>
    <definedName name="_950__FDSAUDITLINK__" localSheetId="7" hidden="1">{"fdsup://Directions/FactSet Auditing Viewer?action=AUDIT_VALUE&amp;DB=129&amp;ID1=72581M30&amp;VALUEID=02001&amp;SDATE=200902&amp;PERIODTYPE=QTR_STD&amp;SCFT=3&amp;window=popup_no_bar&amp;width=385&amp;height=120&amp;START_MAXIMIZED=FALSE&amp;creator=factset&amp;display_string=Audit"}</definedName>
    <definedName name="_950__FDSAUDITLINK__" hidden="1">{"fdsup://Directions/FactSet Auditing Viewer?action=AUDIT_VALUE&amp;DB=129&amp;ID1=72581M30&amp;VALUEID=02001&amp;SDATE=200902&amp;PERIODTYPE=QTR_STD&amp;SCFT=3&amp;window=popup_no_bar&amp;width=385&amp;height=120&amp;START_MAXIMIZED=FALSE&amp;creator=factset&amp;display_string=Audit"}</definedName>
    <definedName name="_951__FDSAUDITLINK__" localSheetId="7" hidden="1">{"fdsup://Directions/FactSet Auditing Viewer?action=AUDIT_VALUE&amp;DB=129&amp;ID1=73927610&amp;VALUEID=02001&amp;SDATE=200902&amp;PERIODTYPE=QTR_STD&amp;SCFT=3&amp;window=popup_no_bar&amp;width=385&amp;height=120&amp;START_MAXIMIZED=FALSE&amp;creator=factset&amp;display_string=Audit"}</definedName>
    <definedName name="_951__FDSAUDITLINK__" hidden="1">{"fdsup://Directions/FactSet Auditing Viewer?action=AUDIT_VALUE&amp;DB=129&amp;ID1=73927610&amp;VALUEID=02001&amp;SDATE=200902&amp;PERIODTYPE=QTR_STD&amp;SCFT=3&amp;window=popup_no_bar&amp;width=385&amp;height=120&amp;START_MAXIMIZED=FALSE&amp;creator=factset&amp;display_string=Audit"}</definedName>
    <definedName name="_952__FDSAUDITLINK__" localSheetId="7" hidden="1">{"fdsup://Directions/FactSet Auditing Viewer?action=AUDIT_VALUE&amp;DB=129&amp;ID1=73927610&amp;VALUEID=02001&amp;SDATE=200902&amp;PERIODTYPE=QTR_STD&amp;SCFT=3&amp;window=popup_no_bar&amp;width=385&amp;height=120&amp;START_MAXIMIZED=FALSE&amp;creator=factset&amp;display_string=Audit"}</definedName>
    <definedName name="_952__FDSAUDITLINK__" hidden="1">{"fdsup://Directions/FactSet Auditing Viewer?action=AUDIT_VALUE&amp;DB=129&amp;ID1=73927610&amp;VALUEID=02001&amp;SDATE=200902&amp;PERIODTYPE=QTR_STD&amp;SCFT=3&amp;window=popup_no_bar&amp;width=385&amp;height=120&amp;START_MAXIMIZED=FALSE&amp;creator=factset&amp;display_string=Audit"}</definedName>
    <definedName name="_953__FDSAUDITLINK__" localSheetId="7" hidden="1">{"fdsup://Directions/FactSet Auditing Viewer?action=AUDIT_VALUE&amp;DB=129&amp;ID1=69344F10&amp;VALUEID=02001&amp;SDATE=200902&amp;PERIODTYPE=QTR_STD&amp;SCFT=3&amp;window=popup_no_bar&amp;width=385&amp;height=120&amp;START_MAXIMIZED=FALSE&amp;creator=factset&amp;display_string=Audit"}</definedName>
    <definedName name="_953__FDSAUDITLINK__" hidden="1">{"fdsup://Directions/FactSet Auditing Viewer?action=AUDIT_VALUE&amp;DB=129&amp;ID1=69344F10&amp;VALUEID=02001&amp;SDATE=200902&amp;PERIODTYPE=QTR_STD&amp;SCFT=3&amp;window=popup_no_bar&amp;width=385&amp;height=120&amp;START_MAXIMIZED=FALSE&amp;creator=factset&amp;display_string=Audit"}</definedName>
    <definedName name="_954__FDSAUDITLINK__" localSheetId="7" hidden="1">{"fdsup://Directions/FactSet Auditing Viewer?action=AUDIT_VALUE&amp;DB=129&amp;ID1=69344F10&amp;VALUEID=02001&amp;SDATE=200902&amp;PERIODTYPE=QTR_STD&amp;SCFT=3&amp;window=popup_no_bar&amp;width=385&amp;height=120&amp;START_MAXIMIZED=FALSE&amp;creator=factset&amp;display_string=Audit"}</definedName>
    <definedName name="_954__FDSAUDITLINK__" hidden="1">{"fdsup://Directions/FactSet Auditing Viewer?action=AUDIT_VALUE&amp;DB=129&amp;ID1=69344F10&amp;VALUEID=02001&amp;SDATE=200902&amp;PERIODTYPE=QTR_STD&amp;SCFT=3&amp;window=popup_no_bar&amp;width=385&amp;height=120&amp;START_MAXIMIZED=FALSE&amp;creator=factset&amp;display_string=Audit"}</definedName>
    <definedName name="_955__FDSAUDITLINK__" localSheetId="7" hidden="1">{"fdsup://Directions/FactSet Auditing Viewer?action=AUDIT_VALUE&amp;DB=129&amp;ID1=69341710&amp;VALUEID=02001&amp;SDATE=200902&amp;PERIODTYPE=QTR_STD&amp;SCFT=3&amp;window=popup_no_bar&amp;width=385&amp;height=120&amp;START_MAXIMIZED=FALSE&amp;creator=factset&amp;display_string=Audit"}</definedName>
    <definedName name="_955__FDSAUDITLINK__" hidden="1">{"fdsup://Directions/FactSet Auditing Viewer?action=AUDIT_VALUE&amp;DB=129&amp;ID1=69341710&amp;VALUEID=02001&amp;SDATE=200902&amp;PERIODTYPE=QTR_STD&amp;SCFT=3&amp;window=popup_no_bar&amp;width=385&amp;height=120&amp;START_MAXIMIZED=FALSE&amp;creator=factset&amp;display_string=Audit"}</definedName>
    <definedName name="_956__FDSAUDITLINK__" localSheetId="7" hidden="1">{"fdsup://Directions/FactSet Auditing Viewer?action=AUDIT_VALUE&amp;DB=129&amp;ID1=69341710&amp;VALUEID=02001&amp;SDATE=200902&amp;PERIODTYPE=QTR_STD&amp;SCFT=3&amp;window=popup_no_bar&amp;width=385&amp;height=120&amp;START_MAXIMIZED=FALSE&amp;creator=factset&amp;display_string=Audit"}</definedName>
    <definedName name="_956__FDSAUDITLINK__" hidden="1">{"fdsup://Directions/FactSet Auditing Viewer?action=AUDIT_VALUE&amp;DB=129&amp;ID1=69341710&amp;VALUEID=02001&amp;SDATE=200902&amp;PERIODTYPE=QTR_STD&amp;SCFT=3&amp;window=popup_no_bar&amp;width=385&amp;height=120&amp;START_MAXIMIZED=FALSE&amp;creator=factset&amp;display_string=Audit"}</definedName>
    <definedName name="_957__FDSAUDITLINK__" localSheetId="7" hidden="1">{"fdsup://Directions/FactSet Auditing Viewer?action=AUDIT_VALUE&amp;DB=129&amp;ID1=68218910&amp;VALUEID=02001&amp;SDATE=200902&amp;PERIODTYPE=QTR_STD&amp;SCFT=3&amp;window=popup_no_bar&amp;width=385&amp;height=120&amp;START_MAXIMIZED=FALSE&amp;creator=factset&amp;display_string=Audit"}</definedName>
    <definedName name="_957__FDSAUDITLINK__" hidden="1">{"fdsup://Directions/FactSet Auditing Viewer?action=AUDIT_VALUE&amp;DB=129&amp;ID1=68218910&amp;VALUEID=02001&amp;SDATE=200902&amp;PERIODTYPE=QTR_STD&amp;SCFT=3&amp;window=popup_no_bar&amp;width=385&amp;height=120&amp;START_MAXIMIZED=FALSE&amp;creator=factset&amp;display_string=Audit"}</definedName>
    <definedName name="_958__FDSAUDITLINK__" localSheetId="7" hidden="1">{"fdsup://Directions/FactSet Auditing Viewer?action=AUDIT_VALUE&amp;DB=129&amp;ID1=68218910&amp;VALUEID=02001&amp;SDATE=200902&amp;PERIODTYPE=QTR_STD&amp;SCFT=3&amp;window=popup_no_bar&amp;width=385&amp;height=120&amp;START_MAXIMIZED=FALSE&amp;creator=factset&amp;display_string=Audit"}</definedName>
    <definedName name="_958__FDSAUDITLINK__" hidden="1">{"fdsup://Directions/FactSet Auditing Viewer?action=AUDIT_VALUE&amp;DB=129&amp;ID1=68218910&amp;VALUEID=02001&amp;SDATE=200902&amp;PERIODTYPE=QTR_STD&amp;SCFT=3&amp;window=popup_no_bar&amp;width=385&amp;height=120&amp;START_MAXIMIZED=FALSE&amp;creator=factset&amp;display_string=Audit"}</definedName>
    <definedName name="_959__FDSAUDITLINK__" localSheetId="7" hidden="1">{"fdsup://Directions/FactSet Auditing Viewer?action=AUDIT_VALUE&amp;DB=129&amp;ID1=B505PN&amp;VALUEID=02001&amp;SDATE=200902&amp;PERIODTYPE=QTR_STD&amp;SCFT=3&amp;window=popup_no_bar&amp;width=385&amp;height=120&amp;START_MAXIMIZED=FALSE&amp;creator=factset&amp;display_string=Audit"}</definedName>
    <definedName name="_959__FDSAUDITLINK__" hidden="1">{"fdsup://Directions/FactSet Auditing Viewer?action=AUDIT_VALUE&amp;DB=129&amp;ID1=B505PN&amp;VALUEID=02001&amp;SDATE=200902&amp;PERIODTYPE=QTR_STD&amp;SCFT=3&amp;window=popup_no_bar&amp;width=385&amp;height=120&amp;START_MAXIMIZED=FALSE&amp;creator=factset&amp;display_string=Audit"}</definedName>
    <definedName name="_96__FDSAUDITLINK__" localSheetId="7" hidden="1">{"fdsup://Directions/FactSet Auditing Viewer?action=AUDIT_VALUE&amp;DB=129&amp;ID1=46025410&amp;VALUEID=02001&amp;SDATE=201103&amp;PERIODTYPE=QTR_STD&amp;SCFT=3&amp;window=popup_no_bar&amp;width=385&amp;height=120&amp;START_MAXIMIZED=FALSE&amp;creator=factset&amp;display_string=Audit"}</definedName>
    <definedName name="_96__FDSAUDITLINK__" hidden="1">{"fdsup://Directions/FactSet Auditing Viewer?action=AUDIT_VALUE&amp;DB=129&amp;ID1=46025410&amp;VALUEID=02001&amp;SDATE=201103&amp;PERIODTYPE=QTR_STD&amp;SCFT=3&amp;window=popup_no_bar&amp;width=385&amp;height=120&amp;START_MAXIMIZED=FALSE&amp;creator=factset&amp;display_string=Audit"}</definedName>
    <definedName name="_960__FDSAUDITLINK__" localSheetId="7" hidden="1">{"fdsup://Directions/FactSet Auditing Viewer?action=AUDIT_VALUE&amp;DB=129&amp;ID1=B505PN&amp;VALUEID=02001&amp;SDATE=200902&amp;PERIODTYPE=QTR_STD&amp;SCFT=3&amp;window=popup_no_bar&amp;width=385&amp;height=120&amp;START_MAXIMIZED=FALSE&amp;creator=factset&amp;display_string=Audit"}</definedName>
    <definedName name="_960__FDSAUDITLINK__" hidden="1">{"fdsup://Directions/FactSet Auditing Viewer?action=AUDIT_VALUE&amp;DB=129&amp;ID1=B505PN&amp;VALUEID=02001&amp;SDATE=200902&amp;PERIODTYPE=QTR_STD&amp;SCFT=3&amp;window=popup_no_bar&amp;width=385&amp;height=120&amp;START_MAXIMIZED=FALSE&amp;creator=factset&amp;display_string=Audit"}</definedName>
    <definedName name="_961__FDSAUDITLINK__" localSheetId="7" hidden="1">{"fdsup://Directions/FactSet Auditing Viewer?action=AUDIT_VALUE&amp;DB=129&amp;ID1=67000810&amp;VALUEID=02001&amp;SDATE=200902&amp;PERIODTYPE=QTR_STD&amp;SCFT=3&amp;window=popup_no_bar&amp;width=385&amp;height=120&amp;START_MAXIMIZED=FALSE&amp;creator=factset&amp;display_string=Audit"}</definedName>
    <definedName name="_961__FDSAUDITLINK__" hidden="1">{"fdsup://Directions/FactSet Auditing Viewer?action=AUDIT_VALUE&amp;DB=129&amp;ID1=67000810&amp;VALUEID=02001&amp;SDATE=200902&amp;PERIODTYPE=QTR_STD&amp;SCFT=3&amp;window=popup_no_bar&amp;width=385&amp;height=120&amp;START_MAXIMIZED=FALSE&amp;creator=factset&amp;display_string=Audit"}</definedName>
    <definedName name="_962__FDSAUDITLINK__" localSheetId="7" hidden="1">{"fdsup://Directions/FactSet Auditing Viewer?action=AUDIT_VALUE&amp;DB=129&amp;ID1=67000810&amp;VALUEID=02001&amp;SDATE=200902&amp;PERIODTYPE=QTR_STD&amp;SCFT=3&amp;window=popup_no_bar&amp;width=385&amp;height=120&amp;START_MAXIMIZED=FALSE&amp;creator=factset&amp;display_string=Audit"}</definedName>
    <definedName name="_962__FDSAUDITLINK__" hidden="1">{"fdsup://Directions/FactSet Auditing Viewer?action=AUDIT_VALUE&amp;DB=129&amp;ID1=67000810&amp;VALUEID=02001&amp;SDATE=200902&amp;PERIODTYPE=QTR_STD&amp;SCFT=3&amp;window=popup_no_bar&amp;width=385&amp;height=120&amp;START_MAXIMIZED=FALSE&amp;creator=factset&amp;display_string=Audit"}</definedName>
    <definedName name="_963__FDSAUDITLINK__" localSheetId="7" hidden="1">{"fdsup://Directions/FactSet Auditing Viewer?action=AUDIT_VALUE&amp;DB=129&amp;ID1=67066G10&amp;VALUEID=02001&amp;SDATE=200902&amp;PERIODTYPE=QTR_STD&amp;SCFT=3&amp;window=popup_no_bar&amp;width=385&amp;height=120&amp;START_MAXIMIZED=FALSE&amp;creator=factset&amp;display_string=Audit"}</definedName>
    <definedName name="_963__FDSAUDITLINK__" hidden="1">{"fdsup://Directions/FactSet Auditing Viewer?action=AUDIT_VALUE&amp;DB=129&amp;ID1=67066G10&amp;VALUEID=02001&amp;SDATE=200902&amp;PERIODTYPE=QTR_STD&amp;SCFT=3&amp;window=popup_no_bar&amp;width=385&amp;height=120&amp;START_MAXIMIZED=FALSE&amp;creator=factset&amp;display_string=Audit"}</definedName>
    <definedName name="_964__FDSAUDITLINK__" localSheetId="7" hidden="1">{"fdsup://Directions/FactSet Auditing Viewer?action=AUDIT_VALUE&amp;DB=129&amp;ID1=67066G10&amp;VALUEID=02001&amp;SDATE=200902&amp;PERIODTYPE=QTR_STD&amp;SCFT=3&amp;window=popup_no_bar&amp;width=385&amp;height=120&amp;START_MAXIMIZED=FALSE&amp;creator=factset&amp;display_string=Audit"}</definedName>
    <definedName name="_964__FDSAUDITLINK__" hidden="1">{"fdsup://Directions/FactSet Auditing Viewer?action=AUDIT_VALUE&amp;DB=129&amp;ID1=67066G10&amp;VALUEID=02001&amp;SDATE=200902&amp;PERIODTYPE=QTR_STD&amp;SCFT=3&amp;window=popup_no_bar&amp;width=385&amp;height=120&amp;START_MAXIMIZED=FALSE&amp;creator=factset&amp;display_string=Audit"}</definedName>
    <definedName name="_965__FDSAUDITLINK__" localSheetId="7" hidden="1">{"fdsup://Directions/FactSet Auditing Viewer?action=AUDIT_VALUE&amp;DB=129&amp;ID1=64118B10&amp;VALUEID=02001&amp;SDATE=200902&amp;PERIODTYPE=QTR_STD&amp;SCFT=3&amp;window=popup_no_bar&amp;width=385&amp;height=120&amp;START_MAXIMIZED=FALSE&amp;creator=factset&amp;display_string=Audit"}</definedName>
    <definedName name="_965__FDSAUDITLINK__" hidden="1">{"fdsup://Directions/FactSet Auditing Viewer?action=AUDIT_VALUE&amp;DB=129&amp;ID1=64118B10&amp;VALUEID=02001&amp;SDATE=200902&amp;PERIODTYPE=QTR_STD&amp;SCFT=3&amp;window=popup_no_bar&amp;width=385&amp;height=120&amp;START_MAXIMIZED=FALSE&amp;creator=factset&amp;display_string=Audit"}</definedName>
    <definedName name="_966__FDSAUDITLINK__" localSheetId="7" hidden="1">{"fdsup://Directions/FactSet Auditing Viewer?action=AUDIT_VALUE&amp;DB=129&amp;ID1=64118B10&amp;VALUEID=02001&amp;SDATE=200902&amp;PERIODTYPE=QTR_STD&amp;SCFT=3&amp;window=popup_no_bar&amp;width=385&amp;height=120&amp;START_MAXIMIZED=FALSE&amp;creator=factset&amp;display_string=Audit"}</definedName>
    <definedName name="_966__FDSAUDITLINK__" hidden="1">{"fdsup://Directions/FactSet Auditing Viewer?action=AUDIT_VALUE&amp;DB=129&amp;ID1=64118B10&amp;VALUEID=02001&amp;SDATE=200902&amp;PERIODTYPE=QTR_STD&amp;SCFT=3&amp;window=popup_no_bar&amp;width=385&amp;height=120&amp;START_MAXIMIZED=FALSE&amp;creator=factset&amp;display_string=Audit"}</definedName>
    <definedName name="_967__FDSAUDITLINK__" localSheetId="7" hidden="1">{"fdsup://Directions/FactSet Auditing Viewer?action=AUDIT_VALUE&amp;DB=129&amp;ID1=59511210&amp;VALUEID=02001&amp;SDATE=200903&amp;PERIODTYPE=QTR_STD&amp;SCFT=3&amp;window=popup_no_bar&amp;width=385&amp;height=120&amp;START_MAXIMIZED=FALSE&amp;creator=factset&amp;display_string=Audit"}</definedName>
    <definedName name="_967__FDSAUDITLINK__" hidden="1">{"fdsup://Directions/FactSet Auditing Viewer?action=AUDIT_VALUE&amp;DB=129&amp;ID1=59511210&amp;VALUEID=02001&amp;SDATE=200903&amp;PERIODTYPE=QTR_STD&amp;SCFT=3&amp;window=popup_no_bar&amp;width=385&amp;height=120&amp;START_MAXIMIZED=FALSE&amp;creator=factset&amp;display_string=Audit"}</definedName>
    <definedName name="_968__FDSAUDITLINK__" localSheetId="7" hidden="1">{"fdsup://Directions/FactSet Auditing Viewer?action=AUDIT_VALUE&amp;DB=129&amp;ID1=59511210&amp;VALUEID=02001&amp;SDATE=200903&amp;PERIODTYPE=QTR_STD&amp;SCFT=3&amp;window=popup_no_bar&amp;width=385&amp;height=120&amp;START_MAXIMIZED=FALSE&amp;creator=factset&amp;display_string=Audit"}</definedName>
    <definedName name="_968__FDSAUDITLINK__" hidden="1">{"fdsup://Directions/FactSet Auditing Viewer?action=AUDIT_VALUE&amp;DB=129&amp;ID1=59511210&amp;VALUEID=02001&amp;SDATE=200903&amp;PERIODTYPE=QTR_STD&amp;SCFT=3&amp;window=popup_no_bar&amp;width=385&amp;height=120&amp;START_MAXIMIZED=FALSE&amp;creator=factset&amp;display_string=Audit"}</definedName>
    <definedName name="_969__FDSAUDITLINK__" localSheetId="7" hidden="1">{"fdsup://Directions/FactSet Auditing Viewer?action=AUDIT_VALUE&amp;DB=129&amp;ID1=59513710&amp;VALUEID=02001&amp;SDATE=200903&amp;PERIODTYPE=QTR_STD&amp;SCFT=3&amp;window=popup_no_bar&amp;width=385&amp;height=120&amp;START_MAXIMIZED=FALSE&amp;creator=factset&amp;display_string=Audit"}</definedName>
    <definedName name="_969__FDSAUDITLINK__" hidden="1">{"fdsup://Directions/FactSet Auditing Viewer?action=AUDIT_VALUE&amp;DB=129&amp;ID1=59513710&amp;VALUEID=02001&amp;SDATE=200903&amp;PERIODTYPE=QTR_STD&amp;SCFT=3&amp;window=popup_no_bar&amp;width=385&amp;height=120&amp;START_MAXIMIZED=FALSE&amp;creator=factset&amp;display_string=Audit"}</definedName>
    <definedName name="_97__FDSAUDITLINK__" localSheetId="7" hidden="1">{"fdsup://Directions/FactSet Auditing Viewer?action=AUDIT_VALUE&amp;DB=129&amp;ID1=45772F10&amp;VALUEID=02001&amp;SDATE=201101&amp;PERIODTYPE=QTR_STD&amp;SCFT=3&amp;window=popup_no_bar&amp;width=385&amp;height=120&amp;START_MAXIMIZED=FALSE&amp;creator=factset&amp;display_string=Audit"}</definedName>
    <definedName name="_97__FDSAUDITLINK__" hidden="1">{"fdsup://Directions/FactSet Auditing Viewer?action=AUDIT_VALUE&amp;DB=129&amp;ID1=45772F10&amp;VALUEID=02001&amp;SDATE=201101&amp;PERIODTYPE=QTR_STD&amp;SCFT=3&amp;window=popup_no_bar&amp;width=385&amp;height=120&amp;START_MAXIMIZED=FALSE&amp;creator=factset&amp;display_string=Audit"}</definedName>
    <definedName name="_970__FDSAUDITLINK__" localSheetId="7" hidden="1">{"fdsup://Directions/FactSet Auditing Viewer?action=AUDIT_VALUE&amp;DB=129&amp;ID1=59513710&amp;VALUEID=02001&amp;SDATE=200903&amp;PERIODTYPE=QTR_STD&amp;SCFT=3&amp;window=popup_no_bar&amp;width=385&amp;height=120&amp;START_MAXIMIZED=FALSE&amp;creator=factset&amp;display_string=Audit"}</definedName>
    <definedName name="_970__FDSAUDITLINK__" hidden="1">{"fdsup://Directions/FactSet Auditing Viewer?action=AUDIT_VALUE&amp;DB=129&amp;ID1=59513710&amp;VALUEID=02001&amp;SDATE=200903&amp;PERIODTYPE=QTR_STD&amp;SCFT=3&amp;window=popup_no_bar&amp;width=385&amp;height=120&amp;START_MAXIMIZED=FALSE&amp;creator=factset&amp;display_string=Audit"}</definedName>
    <definedName name="_971__FDSAUDITLINK__" localSheetId="7" hidden="1">{"fdsup://Directions/FactSet Auditing Viewer?action=AUDIT_VALUE&amp;DB=129&amp;ID1=G5876H10&amp;VALUEID=02001&amp;SDATE=200902&amp;PERIODTYPE=QTR_STD&amp;SCFT=3&amp;window=popup_no_bar&amp;width=385&amp;height=120&amp;START_MAXIMIZED=FALSE&amp;creator=factset&amp;display_string=Audit"}</definedName>
    <definedName name="_971__FDSAUDITLINK__" hidden="1">{"fdsup://Directions/FactSet Auditing Viewer?action=AUDIT_VALUE&amp;DB=129&amp;ID1=G5876H10&amp;VALUEID=02001&amp;SDATE=200902&amp;PERIODTYPE=QTR_STD&amp;SCFT=3&amp;window=popup_no_bar&amp;width=385&amp;height=120&amp;START_MAXIMIZED=FALSE&amp;creator=factset&amp;display_string=Audit"}</definedName>
    <definedName name="_972__FDSAUDITLINK__" localSheetId="7" hidden="1">{"fdsup://Directions/FactSet Auditing Viewer?action=AUDIT_VALUE&amp;DB=129&amp;ID1=G5876H10&amp;VALUEID=02001&amp;SDATE=200902&amp;PERIODTYPE=QTR_STD&amp;SCFT=3&amp;window=popup_no_bar&amp;width=385&amp;height=120&amp;START_MAXIMIZED=FALSE&amp;creator=factset&amp;display_string=Audit"}</definedName>
    <definedName name="_972__FDSAUDITLINK__" hidden="1">{"fdsup://Directions/FactSet Auditing Viewer?action=AUDIT_VALUE&amp;DB=129&amp;ID1=G5876H10&amp;VALUEID=02001&amp;SDATE=200902&amp;PERIODTYPE=QTR_STD&amp;SCFT=3&amp;window=popup_no_bar&amp;width=385&amp;height=120&amp;START_MAXIMIZED=FALSE&amp;creator=factset&amp;display_string=Audit"}</definedName>
    <definedName name="_973__FDSAUDITLINK__" localSheetId="7" hidden="1">{"fdsup://Directions/FactSet Auditing Viewer?action=AUDIT_VALUE&amp;DB=129&amp;ID1=62007630&amp;VALUEID=02001&amp;SDATE=200902&amp;PERIODTYPE=QTR_STD&amp;SCFT=3&amp;window=popup_no_bar&amp;width=385&amp;height=120&amp;START_MAXIMIZED=FALSE&amp;creator=factset&amp;display_string=Audit"}</definedName>
    <definedName name="_973__FDSAUDITLINK__" hidden="1">{"fdsup://Directions/FactSet Auditing Viewer?action=AUDIT_VALUE&amp;DB=129&amp;ID1=62007630&amp;VALUEID=02001&amp;SDATE=200902&amp;PERIODTYPE=QTR_STD&amp;SCFT=3&amp;window=popup_no_bar&amp;width=385&amp;height=120&amp;START_MAXIMIZED=FALSE&amp;creator=factset&amp;display_string=Audit"}</definedName>
    <definedName name="_974__FDSAUDITLINK__" localSheetId="7" hidden="1">{"fdsup://Directions/FactSet Auditing Viewer?action=AUDIT_VALUE&amp;DB=129&amp;ID1=62007630&amp;VALUEID=02001&amp;SDATE=200902&amp;PERIODTYPE=QTR_STD&amp;SCFT=3&amp;window=popup_no_bar&amp;width=385&amp;height=120&amp;START_MAXIMIZED=FALSE&amp;creator=factset&amp;display_string=Audit"}</definedName>
    <definedName name="_974__FDSAUDITLINK__" hidden="1">{"fdsup://Directions/FactSet Auditing Viewer?action=AUDIT_VALUE&amp;DB=129&amp;ID1=62007630&amp;VALUEID=02001&amp;SDATE=200902&amp;PERIODTYPE=QTR_STD&amp;SCFT=3&amp;window=popup_no_bar&amp;width=385&amp;height=120&amp;START_MAXIMIZED=FALSE&amp;creator=factset&amp;display_string=Audit"}</definedName>
    <definedName name="_975__FDSAUDITLINK__" localSheetId="7" hidden="1">{"fdsup://Directions/FactSet Auditing Viewer?action=AUDIT_VALUE&amp;DB=129&amp;ID1=59479310&amp;VALUEID=02001&amp;SDATE=200902&amp;PERIODTYPE=QTR_STD&amp;SCFT=3&amp;window=popup_no_bar&amp;width=385&amp;height=120&amp;START_MAXIMIZED=FALSE&amp;creator=factset&amp;display_string=Audit"}</definedName>
    <definedName name="_975__FDSAUDITLINK__" hidden="1">{"fdsup://Directions/FactSet Auditing Viewer?action=AUDIT_VALUE&amp;DB=129&amp;ID1=59479310&amp;VALUEID=02001&amp;SDATE=200902&amp;PERIODTYPE=QTR_STD&amp;SCFT=3&amp;window=popup_no_bar&amp;width=385&amp;height=120&amp;START_MAXIMIZED=FALSE&amp;creator=factset&amp;display_string=Audit"}</definedName>
    <definedName name="_976__FDSAUDITLINK__" localSheetId="7" hidden="1">{"fdsup://Directions/FactSet Auditing Viewer?action=AUDIT_VALUE&amp;DB=129&amp;ID1=59479310&amp;VALUEID=02001&amp;SDATE=200902&amp;PERIODTYPE=QTR_STD&amp;SCFT=3&amp;window=popup_no_bar&amp;width=385&amp;height=120&amp;START_MAXIMIZED=FALSE&amp;creator=factset&amp;display_string=Audit"}</definedName>
    <definedName name="_976__FDSAUDITLINK__" hidden="1">{"fdsup://Directions/FactSet Auditing Viewer?action=AUDIT_VALUE&amp;DB=129&amp;ID1=59479310&amp;VALUEID=02001&amp;SDATE=200902&amp;PERIODTYPE=QTR_STD&amp;SCFT=3&amp;window=popup_no_bar&amp;width=385&amp;height=120&amp;START_MAXIMIZED=FALSE&amp;creator=factset&amp;display_string=Audit"}</definedName>
    <definedName name="_977__FDSAUDITLINK__" localSheetId="7" hidden="1">{"fdsup://Directions/FactSet Auditing Viewer?action=AUDIT_VALUE&amp;DB=129&amp;ID1=59501710&amp;VALUEID=02001&amp;SDATE=200901&amp;PERIODTYPE=QTR_STD&amp;SCFT=3&amp;window=popup_no_bar&amp;width=385&amp;height=120&amp;START_MAXIMIZED=FALSE&amp;creator=factset&amp;display_string=Audit"}</definedName>
    <definedName name="_977__FDSAUDITLINK__" hidden="1">{"fdsup://Directions/FactSet Auditing Viewer?action=AUDIT_VALUE&amp;DB=129&amp;ID1=59501710&amp;VALUEID=02001&amp;SDATE=200901&amp;PERIODTYPE=QTR_STD&amp;SCFT=3&amp;window=popup_no_bar&amp;width=385&amp;height=120&amp;START_MAXIMIZED=FALSE&amp;creator=factset&amp;display_string=Audit"}</definedName>
    <definedName name="_978__FDSAUDITLINK__" localSheetId="7" hidden="1">{"fdsup://Directions/FactSet Auditing Viewer?action=AUDIT_VALUE&amp;DB=129&amp;ID1=59501710&amp;VALUEID=02001&amp;SDATE=200901&amp;PERIODTYPE=QTR_STD&amp;SCFT=3&amp;window=popup_no_bar&amp;width=385&amp;height=120&amp;START_MAXIMIZED=FALSE&amp;creator=factset&amp;display_string=Audit"}</definedName>
    <definedName name="_978__FDSAUDITLINK__" hidden="1">{"fdsup://Directions/FactSet Auditing Viewer?action=AUDIT_VALUE&amp;DB=129&amp;ID1=59501710&amp;VALUEID=02001&amp;SDATE=200901&amp;PERIODTYPE=QTR_STD&amp;SCFT=3&amp;window=popup_no_bar&amp;width=385&amp;height=120&amp;START_MAXIMIZED=FALSE&amp;creator=factset&amp;display_string=Audit"}</definedName>
    <definedName name="_979__FDSAUDITLINK__" localSheetId="7" hidden="1">{"fdsup://Directions/FactSet Auditing Viewer?action=AUDIT_VALUE&amp;DB=129&amp;ID1=50216110&amp;VALUEID=02001&amp;SDATE=200902&amp;PERIODTYPE=QTR_STD&amp;SCFT=3&amp;window=popup_no_bar&amp;width=385&amp;height=120&amp;START_MAXIMIZED=FALSE&amp;creator=factset&amp;display_string=Audit"}</definedName>
    <definedName name="_979__FDSAUDITLINK__" hidden="1">{"fdsup://Directions/FactSet Auditing Viewer?action=AUDIT_VALUE&amp;DB=129&amp;ID1=50216110&amp;VALUEID=02001&amp;SDATE=200902&amp;PERIODTYPE=QTR_STD&amp;SCFT=3&amp;window=popup_no_bar&amp;width=385&amp;height=120&amp;START_MAXIMIZED=FALSE&amp;creator=factset&amp;display_string=Audit"}</definedName>
    <definedName name="_98__FDSAUDITLINK__" localSheetId="7" hidden="1">{"fdsup://Directions/FactSet Auditing Viewer?action=AUDIT_VALUE&amp;DB=129&amp;ID1=45772F10&amp;VALUEID=02001&amp;SDATE=201101&amp;PERIODTYPE=QTR_STD&amp;SCFT=3&amp;window=popup_no_bar&amp;width=385&amp;height=120&amp;START_MAXIMIZED=FALSE&amp;creator=factset&amp;display_string=Audit"}</definedName>
    <definedName name="_98__FDSAUDITLINK__" hidden="1">{"fdsup://Directions/FactSet Auditing Viewer?action=AUDIT_VALUE&amp;DB=129&amp;ID1=45772F10&amp;VALUEID=02001&amp;SDATE=201101&amp;PERIODTYPE=QTR_STD&amp;SCFT=3&amp;window=popup_no_bar&amp;width=385&amp;height=120&amp;START_MAXIMIZED=FALSE&amp;creator=factset&amp;display_string=Audit"}</definedName>
    <definedName name="_980__FDSAUDITLINK__" localSheetId="7" hidden="1">{"fdsup://Directions/FactSet Auditing Viewer?action=AUDIT_VALUE&amp;DB=129&amp;ID1=50216110&amp;VALUEID=02001&amp;SDATE=200902&amp;PERIODTYPE=QTR_STD&amp;SCFT=3&amp;window=popup_no_bar&amp;width=385&amp;height=120&amp;START_MAXIMIZED=FALSE&amp;creator=factset&amp;display_string=Audit"}</definedName>
    <definedName name="_980__FDSAUDITLINK__" hidden="1">{"fdsup://Directions/FactSet Auditing Viewer?action=AUDIT_VALUE&amp;DB=129&amp;ID1=50216110&amp;VALUEID=02001&amp;SDATE=200902&amp;PERIODTYPE=QTR_STD&amp;SCFT=3&amp;window=popup_no_bar&amp;width=385&amp;height=120&amp;START_MAXIMIZED=FALSE&amp;creator=factset&amp;display_string=Audit"}</definedName>
    <definedName name="_981__FDSAUDITLINK__" localSheetId="7" hidden="1">{"fdsup://Directions/FactSet Auditing Viewer?action=AUDIT_VALUE&amp;DB=129&amp;ID1=51841510&amp;VALUEID=02001&amp;SDATE=200902&amp;PERIODTYPE=QTR_STD&amp;SCFT=3&amp;window=popup_no_bar&amp;width=385&amp;height=120&amp;START_MAXIMIZED=FALSE&amp;creator=factset&amp;display_string=Audit"}</definedName>
    <definedName name="_981__FDSAUDITLINK__" hidden="1">{"fdsup://Directions/FactSet Auditing Viewer?action=AUDIT_VALUE&amp;DB=129&amp;ID1=51841510&amp;VALUEID=02001&amp;SDATE=200902&amp;PERIODTYPE=QTR_STD&amp;SCFT=3&amp;window=popup_no_bar&amp;width=385&amp;height=120&amp;START_MAXIMIZED=FALSE&amp;creator=factset&amp;display_string=Audit"}</definedName>
    <definedName name="_982__FDSAUDITLINK__" localSheetId="7" hidden="1">{"fdsup://Directions/FactSet Auditing Viewer?action=AUDIT_VALUE&amp;DB=129&amp;ID1=51841510&amp;VALUEID=02001&amp;SDATE=200902&amp;PERIODTYPE=QTR_STD&amp;SCFT=3&amp;window=popup_no_bar&amp;width=385&amp;height=120&amp;START_MAXIMIZED=FALSE&amp;creator=factset&amp;display_string=Audit"}</definedName>
    <definedName name="_982__FDSAUDITLINK__" hidden="1">{"fdsup://Directions/FactSet Auditing Viewer?action=AUDIT_VALUE&amp;DB=129&amp;ID1=51841510&amp;VALUEID=02001&amp;SDATE=200902&amp;PERIODTYPE=QTR_STD&amp;SCFT=3&amp;window=popup_no_bar&amp;width=385&amp;height=120&amp;START_MAXIMIZED=FALSE&amp;creator=factset&amp;display_string=Audit"}</definedName>
    <definedName name="_983__FDSAUDITLINK__" localSheetId="7" hidden="1">{"fdsup://Directions/FactSet Auditing Viewer?action=AUDIT_VALUE&amp;DB=129&amp;ID1=48836020&amp;VALUEID=02001&amp;SDATE=200901&amp;PERIODTYPE=QTR_STD&amp;SCFT=3&amp;window=popup_no_bar&amp;width=385&amp;height=120&amp;START_MAXIMIZED=FALSE&amp;creator=factset&amp;display_string=Audit"}</definedName>
    <definedName name="_983__FDSAUDITLINK__" hidden="1">{"fdsup://Directions/FactSet Auditing Viewer?action=AUDIT_VALUE&amp;DB=129&amp;ID1=48836020&amp;VALUEID=02001&amp;SDATE=200901&amp;PERIODTYPE=QTR_STD&amp;SCFT=3&amp;window=popup_no_bar&amp;width=385&amp;height=120&amp;START_MAXIMIZED=FALSE&amp;creator=factset&amp;display_string=Audit"}</definedName>
    <definedName name="_984__FDSAUDITLINK__" localSheetId="7" hidden="1">{"fdsup://Directions/FactSet Auditing Viewer?action=AUDIT_VALUE&amp;DB=129&amp;ID1=48836020&amp;VALUEID=02001&amp;SDATE=200901&amp;PERIODTYPE=QTR_STD&amp;SCFT=3&amp;window=popup_no_bar&amp;width=385&amp;height=120&amp;START_MAXIMIZED=FALSE&amp;creator=factset&amp;display_string=Audit"}</definedName>
    <definedName name="_984__FDSAUDITLINK__" hidden="1">{"fdsup://Directions/FactSet Auditing Viewer?action=AUDIT_VALUE&amp;DB=129&amp;ID1=48836020&amp;VALUEID=02001&amp;SDATE=200901&amp;PERIODTYPE=QTR_STD&amp;SCFT=3&amp;window=popup_no_bar&amp;width=385&amp;height=120&amp;START_MAXIMIZED=FALSE&amp;creator=factset&amp;display_string=Audit"}</definedName>
    <definedName name="_985__FDSAUDITLINK__" localSheetId="7" hidden="1">{"fdsup://Directions/FactSet Auditing Viewer?action=AUDIT_VALUE&amp;DB=129&amp;ID1=48203R10&amp;VALUEID=02001&amp;SDATE=200902&amp;PERIODTYPE=QTR_STD&amp;SCFT=3&amp;window=popup_no_bar&amp;width=385&amp;height=120&amp;START_MAXIMIZED=FALSE&amp;creator=factset&amp;display_string=Audit"}</definedName>
    <definedName name="_985__FDSAUDITLINK__" hidden="1">{"fdsup://Directions/FactSet Auditing Viewer?action=AUDIT_VALUE&amp;DB=129&amp;ID1=48203R10&amp;VALUEID=02001&amp;SDATE=200902&amp;PERIODTYPE=QTR_STD&amp;SCFT=3&amp;window=popup_no_bar&amp;width=385&amp;height=120&amp;START_MAXIMIZED=FALSE&amp;creator=factset&amp;display_string=Audit"}</definedName>
    <definedName name="_986__FDSAUDITLINK__" localSheetId="7" hidden="1">{"fdsup://Directions/FactSet Auditing Viewer?action=AUDIT_VALUE&amp;DB=129&amp;ID1=48203R10&amp;VALUEID=02001&amp;SDATE=200902&amp;PERIODTYPE=QTR_STD&amp;SCFT=3&amp;window=popup_no_bar&amp;width=385&amp;height=120&amp;START_MAXIMIZED=FALSE&amp;creator=factset&amp;display_string=Audit"}</definedName>
    <definedName name="_986__FDSAUDITLINK__" hidden="1">{"fdsup://Directions/FactSet Auditing Viewer?action=AUDIT_VALUE&amp;DB=129&amp;ID1=48203R10&amp;VALUEID=02001&amp;SDATE=200902&amp;PERIODTYPE=QTR_STD&amp;SCFT=3&amp;window=popup_no_bar&amp;width=385&amp;height=120&amp;START_MAXIMIZED=FALSE&amp;creator=factset&amp;display_string=Audit"}</definedName>
    <definedName name="_987__FDSAUDITLINK__" localSheetId="7" hidden="1">{"fdsup://Directions/FactSet Auditing Viewer?action=AUDIT_VALUE&amp;DB=129&amp;ID1=46069S10&amp;VALUEID=02001&amp;SDATE=200902&amp;PERIODTYPE=QTR_STD&amp;SCFT=3&amp;window=popup_no_bar&amp;width=385&amp;height=120&amp;START_MAXIMIZED=FALSE&amp;creator=factset&amp;display_string=Audit"}</definedName>
    <definedName name="_987__FDSAUDITLINK__" hidden="1">{"fdsup://Directions/FactSet Auditing Viewer?action=AUDIT_VALUE&amp;DB=129&amp;ID1=46069S10&amp;VALUEID=02001&amp;SDATE=200902&amp;PERIODTYPE=QTR_STD&amp;SCFT=3&amp;window=popup_no_bar&amp;width=385&amp;height=120&amp;START_MAXIMIZED=FALSE&amp;creator=factset&amp;display_string=Audit"}</definedName>
    <definedName name="_988__FDSAUDITLINK__" localSheetId="7" hidden="1">{"fdsup://Directions/FactSet Auditing Viewer?action=AUDIT_VALUE&amp;DB=129&amp;ID1=46069S10&amp;VALUEID=02001&amp;SDATE=200902&amp;PERIODTYPE=QTR_STD&amp;SCFT=3&amp;window=popup_no_bar&amp;width=385&amp;height=120&amp;START_MAXIMIZED=FALSE&amp;creator=factset&amp;display_string=Audit"}</definedName>
    <definedName name="_988__FDSAUDITLINK__" hidden="1">{"fdsup://Directions/FactSet Auditing Viewer?action=AUDIT_VALUE&amp;DB=129&amp;ID1=46069S10&amp;VALUEID=02001&amp;SDATE=200902&amp;PERIODTYPE=QTR_STD&amp;SCFT=3&amp;window=popup_no_bar&amp;width=385&amp;height=120&amp;START_MAXIMIZED=FALSE&amp;creator=factset&amp;display_string=Audit"}</definedName>
    <definedName name="_989__FDSAUDITLINK__" localSheetId="7" hidden="1">{"fdsup://Directions/FactSet Auditing Viewer?action=AUDIT_VALUE&amp;DB=129&amp;ID1=45814010&amp;VALUEID=02001&amp;SDATE=200902&amp;PERIODTYPE=QTR_STD&amp;SCFT=3&amp;window=popup_no_bar&amp;width=385&amp;height=120&amp;START_MAXIMIZED=FALSE&amp;creator=factset&amp;display_string=Audit"}</definedName>
    <definedName name="_989__FDSAUDITLINK__" hidden="1">{"fdsup://Directions/FactSet Auditing Viewer?action=AUDIT_VALUE&amp;DB=129&amp;ID1=45814010&amp;VALUEID=02001&amp;SDATE=200902&amp;PERIODTYPE=QTR_STD&amp;SCFT=3&amp;window=popup_no_bar&amp;width=385&amp;height=120&amp;START_MAXIMIZED=FALSE&amp;creator=factset&amp;display_string=Audit"}</definedName>
    <definedName name="_99__FDSAUDITLINK__" localSheetId="7" hidden="1">{"fdsup://Directions/FactSet Auditing Viewer?action=AUDIT_VALUE&amp;DB=129&amp;ID1=45814010&amp;VALUEID=02001&amp;SDATE=201101&amp;PERIODTYPE=QTR_STD&amp;SCFT=3&amp;window=popup_no_bar&amp;width=385&amp;height=120&amp;START_MAXIMIZED=FALSE&amp;creator=factset&amp;display_string=Audit"}</definedName>
    <definedName name="_99__FDSAUDITLINK__" hidden="1">{"fdsup://Directions/FactSet Auditing Viewer?action=AUDIT_VALUE&amp;DB=129&amp;ID1=45814010&amp;VALUEID=02001&amp;SDATE=201101&amp;PERIODTYPE=QTR_STD&amp;SCFT=3&amp;window=popup_no_bar&amp;width=385&amp;height=120&amp;START_MAXIMIZED=FALSE&amp;creator=factset&amp;display_string=Audit"}</definedName>
    <definedName name="_990__FDSAUDITLINK__" localSheetId="7" hidden="1">{"fdsup://Directions/FactSet Auditing Viewer?action=AUDIT_VALUE&amp;DB=129&amp;ID1=45814010&amp;VALUEID=02001&amp;SDATE=200902&amp;PERIODTYPE=QTR_STD&amp;SCFT=3&amp;window=popup_no_bar&amp;width=385&amp;height=120&amp;START_MAXIMIZED=FALSE&amp;creator=factset&amp;display_string=Audit"}</definedName>
    <definedName name="_990__FDSAUDITLINK__" hidden="1">{"fdsup://Directions/FactSet Auditing Viewer?action=AUDIT_VALUE&amp;DB=129&amp;ID1=45814010&amp;VALUEID=02001&amp;SDATE=200902&amp;PERIODTYPE=QTR_STD&amp;SCFT=3&amp;window=popup_no_bar&amp;width=385&amp;height=120&amp;START_MAXIMIZED=FALSE&amp;creator=factset&amp;display_string=Audit"}</definedName>
    <definedName name="_991__FDSAUDITLINK__" localSheetId="7" hidden="1">{"fdsup://Directions/FactSet Auditing Viewer?action=AUDIT_VALUE&amp;DB=129&amp;ID1=45811810&amp;VALUEID=02001&amp;SDATE=200901&amp;PERIODTYPE=QTR_STD&amp;SCFT=3&amp;window=popup_no_bar&amp;width=385&amp;height=120&amp;START_MAXIMIZED=FALSE&amp;creator=factset&amp;display_string=Audit"}</definedName>
    <definedName name="_991__FDSAUDITLINK__" hidden="1">{"fdsup://Directions/FactSet Auditing Viewer?action=AUDIT_VALUE&amp;DB=129&amp;ID1=45811810&amp;VALUEID=02001&amp;SDATE=200901&amp;PERIODTYPE=QTR_STD&amp;SCFT=3&amp;window=popup_no_bar&amp;width=385&amp;height=120&amp;START_MAXIMIZED=FALSE&amp;creator=factset&amp;display_string=Audit"}</definedName>
    <definedName name="_992__FDSAUDITLINK__" localSheetId="7" hidden="1">{"fdsup://Directions/FactSet Auditing Viewer?action=AUDIT_VALUE&amp;DB=129&amp;ID1=45811810&amp;VALUEID=02001&amp;SDATE=200901&amp;PERIODTYPE=QTR_STD&amp;SCFT=3&amp;window=popup_no_bar&amp;width=385&amp;height=120&amp;START_MAXIMIZED=FALSE&amp;creator=factset&amp;display_string=Audit"}</definedName>
    <definedName name="_992__FDSAUDITLINK__" hidden="1">{"fdsup://Directions/FactSet Auditing Viewer?action=AUDIT_VALUE&amp;DB=129&amp;ID1=45811810&amp;VALUEID=02001&amp;SDATE=200901&amp;PERIODTYPE=QTR_STD&amp;SCFT=3&amp;window=popup_no_bar&amp;width=385&amp;height=120&amp;START_MAXIMIZED=FALSE&amp;creator=factset&amp;display_string=Audit"}</definedName>
    <definedName name="_993__FDSAUDITLINK__" localSheetId="7" hidden="1">{"fdsup://Directions/FactSet Auditing Viewer?action=AUDIT_VALUE&amp;DB=129&amp;ID1=42823610&amp;VALUEID=02001&amp;SDATE=200903&amp;PERIODTYPE=QTR_STD&amp;SCFT=3&amp;window=popup_no_bar&amp;width=385&amp;height=120&amp;START_MAXIMIZED=FALSE&amp;creator=factset&amp;display_string=Audit"}</definedName>
    <definedName name="_993__FDSAUDITLINK__" hidden="1">{"fdsup://Directions/FactSet Auditing Viewer?action=AUDIT_VALUE&amp;DB=129&amp;ID1=42823610&amp;VALUEID=02001&amp;SDATE=200903&amp;PERIODTYPE=QTR_STD&amp;SCFT=3&amp;window=popup_no_bar&amp;width=385&amp;height=120&amp;START_MAXIMIZED=FALSE&amp;creator=factset&amp;display_string=Audit"}</definedName>
    <definedName name="_994__FDSAUDITLINK__" localSheetId="7" hidden="1">{"fdsup://Directions/FactSet Auditing Viewer?action=AUDIT_VALUE&amp;DB=129&amp;ID1=42823610&amp;VALUEID=02001&amp;SDATE=200903&amp;PERIODTYPE=QTR_STD&amp;SCFT=3&amp;window=popup_no_bar&amp;width=385&amp;height=120&amp;START_MAXIMIZED=FALSE&amp;creator=factset&amp;display_string=Audit"}</definedName>
    <definedName name="_994__FDSAUDITLINK__" hidden="1">{"fdsup://Directions/FactSet Auditing Viewer?action=AUDIT_VALUE&amp;DB=129&amp;ID1=42823610&amp;VALUEID=02001&amp;SDATE=200903&amp;PERIODTYPE=QTR_STD&amp;SCFT=3&amp;window=popup_no_bar&amp;width=385&amp;height=120&amp;START_MAXIMIZED=FALSE&amp;creator=factset&amp;display_string=Audit"}</definedName>
    <definedName name="_995__FDSAUDITLINK__" localSheetId="7" hidden="1">{"fdsup://Directions/FactSet Auditing Viewer?action=AUDIT_VALUE&amp;DB=129&amp;ID1=34637510&amp;VALUEID=02001&amp;SDATE=200902&amp;PERIODTYPE=QTR_STD&amp;SCFT=3&amp;window=popup_no_bar&amp;width=385&amp;height=120&amp;START_MAXIMIZED=FALSE&amp;creator=factset&amp;display_string=Audit"}</definedName>
    <definedName name="_995__FDSAUDITLINK__" hidden="1">{"fdsup://Directions/FactSet Auditing Viewer?action=AUDIT_VALUE&amp;DB=129&amp;ID1=34637510&amp;VALUEID=02001&amp;SDATE=200902&amp;PERIODTYPE=QTR_STD&amp;SCFT=3&amp;window=popup_no_bar&amp;width=385&amp;height=120&amp;START_MAXIMIZED=FALSE&amp;creator=factset&amp;display_string=Audit"}</definedName>
    <definedName name="_996__FDSAUDITLINK__" localSheetId="7" hidden="1">{"fdsup://Directions/FactSet Auditing Viewer?action=AUDIT_VALUE&amp;DB=129&amp;ID1=34637510&amp;VALUEID=02001&amp;SDATE=200902&amp;PERIODTYPE=QTR_STD&amp;SCFT=3&amp;window=popup_no_bar&amp;width=385&amp;height=120&amp;START_MAXIMIZED=FALSE&amp;creator=factset&amp;display_string=Audit"}</definedName>
    <definedName name="_996__FDSAUDITLINK__" hidden="1">{"fdsup://Directions/FactSet Auditing Viewer?action=AUDIT_VALUE&amp;DB=129&amp;ID1=34637510&amp;VALUEID=02001&amp;SDATE=200902&amp;PERIODTYPE=QTR_STD&amp;SCFT=3&amp;window=popup_no_bar&amp;width=385&amp;height=120&amp;START_MAXIMIZED=FALSE&amp;creator=factset&amp;display_string=Audit"}</definedName>
    <definedName name="_997__FDSAUDITLINK__" localSheetId="7" hidden="1">{"fdsup://Directions/FactSet Auditing Viewer?action=AUDIT_VALUE&amp;DB=129&amp;ID1=31561610&amp;VALUEID=02001&amp;SDATE=200903&amp;PERIODTYPE=QTR_STD&amp;SCFT=3&amp;window=popup_no_bar&amp;width=385&amp;height=120&amp;START_MAXIMIZED=FALSE&amp;creator=factset&amp;display_string=Audit"}</definedName>
    <definedName name="_997__FDSAUDITLINK__" hidden="1">{"fdsup://Directions/FactSet Auditing Viewer?action=AUDIT_VALUE&amp;DB=129&amp;ID1=31561610&amp;VALUEID=02001&amp;SDATE=200903&amp;PERIODTYPE=QTR_STD&amp;SCFT=3&amp;window=popup_no_bar&amp;width=385&amp;height=120&amp;START_MAXIMIZED=FALSE&amp;creator=factset&amp;display_string=Audit"}</definedName>
    <definedName name="_998__FDSAUDITLINK__" localSheetId="7" hidden="1">{"fdsup://Directions/FactSet Auditing Viewer?action=AUDIT_VALUE&amp;DB=129&amp;ID1=31561610&amp;VALUEID=02001&amp;SDATE=200903&amp;PERIODTYPE=QTR_STD&amp;SCFT=3&amp;window=popup_no_bar&amp;width=385&amp;height=120&amp;START_MAXIMIZED=FALSE&amp;creator=factset&amp;display_string=Audit"}</definedName>
    <definedName name="_998__FDSAUDITLINK__" hidden="1">{"fdsup://Directions/FactSet Auditing Viewer?action=AUDIT_VALUE&amp;DB=129&amp;ID1=31561610&amp;VALUEID=02001&amp;SDATE=200903&amp;PERIODTYPE=QTR_STD&amp;SCFT=3&amp;window=popup_no_bar&amp;width=385&amp;height=120&amp;START_MAXIMIZED=FALSE&amp;creator=factset&amp;display_string=Audit"}</definedName>
    <definedName name="_999__FDSAUDITLINK__" localSheetId="7" hidden="1">{"fdsup://Directions/FactSet Auditing Viewer?action=AUDIT_VALUE&amp;DB=129&amp;ID1=25454310&amp;VALUEID=02001&amp;SDATE=200902&amp;PERIODTYPE=QTR_STD&amp;SCFT=3&amp;window=popup_no_bar&amp;width=385&amp;height=120&amp;START_MAXIMIZED=FALSE&amp;creator=factset&amp;display_string=Audit"}</definedName>
    <definedName name="_999__FDSAUDITLINK__" hidden="1">{"fdsup://Directions/FactSet Auditing Viewer?action=AUDIT_VALUE&amp;DB=129&amp;ID1=25454310&amp;VALUEID=02001&amp;SDATE=200902&amp;PERIODTYPE=QTR_STD&amp;SCFT=3&amp;window=popup_no_bar&amp;width=385&amp;height=120&amp;START_MAXIMIZED=FALSE&amp;creator=factset&amp;display_string=Audit"}</definedName>
    <definedName name="_bdm.02E29E7B1053433EA3CCCBE4E5141596.edm" hidden="1">[1]Sheet1!$A:$IV</definedName>
    <definedName name="_bdm.286F36F53C7C409EA9772B14169B7864.edm" hidden="1">IS!$1:$1048576</definedName>
    <definedName name="_bdm.72992B73BB9C496690C7A8995EECEAEA.edm" localSheetId="2" hidden="1">IS!$B$4:$CC$106</definedName>
    <definedName name="_bdm.8949CA62BFE94AD2B1AF20C73D2FB203.edm" localSheetId="2" hidden="1">IS!$A$4:$CC$106</definedName>
    <definedName name="_bdm.A0A92BDCCA17485D9FFD842F6AD6598F.edm" hidden="1">BS!$1:$1048576</definedName>
    <definedName name="_bdm.AC7CCE2D50AD4CCCA71D1A3BAF07D94D.edm" localSheetId="4" hidden="1">BS!$B$4:$CC$44</definedName>
    <definedName name="_bdm.B6C14E1DF2B6432EB01E007A19C4AE5B.edm" hidden="1">CFS!$1:$1048576</definedName>
    <definedName name="_bdm.C2DEECB236ED4B70BE058ED50C8D1C30.edm" localSheetId="5" hidden="1">CFS!$B$4:$CC$61</definedName>
    <definedName name="_bdm.E1FA59610312481F98399947F0B24C64.edm" localSheetId="2" hidden="1">IS!$B$4:$AI$106</definedName>
    <definedName name="_Order1" hidden="1">255</definedName>
    <definedName name="AdditionalInstructions">IndexInformation!$B$42</definedName>
    <definedName name="Address" localSheetId="1">ImportantDisclosures!$A$2:$A$2</definedName>
    <definedName name="ANA" localSheetId="9">ModPubIndex!$A$7</definedName>
    <definedName name="anscount" hidden="1">1</definedName>
    <definedName name="Authors" localSheetId="1">ImportantDisclosures!$A$7</definedName>
    <definedName name="Authors" localSheetId="8">IndexInformation!$B$18</definedName>
    <definedName name="BRO" localSheetId="9">ModPubIndex!$A$1</definedName>
    <definedName name="BS" localSheetId="7">BS!$B$46:$CC$46</definedName>
    <definedName name="BS">BS!$B$46:$CC$46</definedName>
    <definedName name="CopyrightStamp">ImportantDisclosures!$A$27</definedName>
    <definedName name="COU" localSheetId="9">ModPubIndex!$A$5</definedName>
    <definedName name="CQEnd" localSheetId="8">IndexInformation!$B$31</definedName>
    <definedName name="Currency" localSheetId="8">IndexInformation!$B$24</definedName>
    <definedName name="CurrentStockPrice" localSheetId="8">IndexInformation!$B$23</definedName>
    <definedName name="CurrQtrEPS" localSheetId="8">IndexInformation!$B$29</definedName>
    <definedName name="CurrYearEPS" localSheetId="8">IndexInformation!$B$11</definedName>
    <definedName name="CurrYearTotalRevenue" localSheetId="8">IndexInformation!$B$10</definedName>
    <definedName name="CurrYearTotalRevenueActual" localSheetId="8">IndexInformation!$B$32</definedName>
    <definedName name="CUSIP" localSheetId="8">IndexInformation!$B$20</definedName>
    <definedName name="CYEnd" localSheetId="8">IndexInformation!$B$30</definedName>
    <definedName name="dataseries4">OFFSET([2]c1!$G$12,0,0,COUNTA([2]c1!$G$12:$G$31),1)</definedName>
    <definedName name="Date" localSheetId="1">ImportantDisclosures!$A$8</definedName>
    <definedName name="Deleted" localSheetId="8">IndexInformation!$B$27</definedName>
    <definedName name="Description" localSheetId="8">IndexInformation!$B$7</definedName>
    <definedName name="Discipline" localSheetId="8">IndexInformation!$B$3</definedName>
    <definedName name="DISCIPLINE" localSheetId="9">ModPubIndex!$A$12</definedName>
    <definedName name="DisclosuresText">ImportantDisclosures!$A$22</definedName>
    <definedName name="Distribution" localSheetId="8">IndexInformation!$B$26</definedName>
    <definedName name="DistTable" localSheetId="1">ImportantDisclosures!#REF!</definedName>
    <definedName name="DistTablePreamble" localSheetId="1">ImportantDisclosures!#REF!</definedName>
    <definedName name="DOCDAT" localSheetId="9">ModPubIndex!$A$2</definedName>
    <definedName name="DOCTIME" localSheetId="9">ModPubIndex!$A$3</definedName>
    <definedName name="DocType" localSheetId="8">IndexInformation!$B$5</definedName>
    <definedName name="EMAIL_ALERT" localSheetId="9">ModPubIndex!$A$10</definedName>
    <definedName name="EmailAlert" localSheetId="8">IndexInformation!$B$28</definedName>
    <definedName name="FiveYearGrowthRate" localSheetId="8">IndexInformation!$B$16</definedName>
    <definedName name="FollowingYearEPS" localSheetId="8">IndexInformation!$B$15</definedName>
    <definedName name="FollowingYearTotalRevenue" localSheetId="8">IndexInformation!$B$14</definedName>
    <definedName name="FollowingYearTotalRevenueActual" localSheetId="8">IndexInformation!$B$34</definedName>
    <definedName name="HL" localSheetId="9">ModPubIndex!$A$8</definedName>
    <definedName name="IND" localSheetId="9">ModPubIndex!$A$9</definedName>
    <definedName name="Industry" localSheetId="1">ImportantDisclosures!$A$12</definedName>
    <definedName name="IndustryId">IndexInformation!$B$40</definedName>
    <definedName name="IndustryRating" localSheetId="1">ImportantDisclosures!$A$13</definedName>
    <definedName name="KeepVersions" localSheetId="8">IndexInformation!$B$8</definedName>
    <definedName name="LanguageCode">IndexInformation!$B$38</definedName>
    <definedName name="LastCell" localSheetId="1">ImportantDisclosures!$A$22</definedName>
    <definedName name="Linking_1">IS!$B$4:$BX$106</definedName>
    <definedName name="Linking_15">BS!$B$4:$BC$44</definedName>
    <definedName name="Linking_17">IS!$B$4:$BZ$106</definedName>
    <definedName name="Linking_18">BS!$B$4:$BG$44</definedName>
    <definedName name="Linking_19">CFS!$B$4:$BZ$61</definedName>
    <definedName name="Linking_24">IS!$B$4:$CA$106</definedName>
    <definedName name="Linking_25">CFS!$B$4:$CA$61</definedName>
    <definedName name="Linking_5">IS!$B$4:$BY$106</definedName>
    <definedName name="Linking_7">BS!$B$4:$BY$44</definedName>
    <definedName name="Linking_8">CFS!$B$4:$BY$61</definedName>
    <definedName name="Linking_Range_1">IS!$B$4:$AI$106</definedName>
    <definedName name="Linking_Range_10">IS!$B$4:$BV$106</definedName>
    <definedName name="Linking_Range_11">BS!$B$4:$BV$44</definedName>
    <definedName name="Linking_Range_12">BS!$B$4:$BW$44</definedName>
    <definedName name="Linking_Range_13">CFS!$B$4:$BW$61</definedName>
    <definedName name="Linking_Range_14">BS!$B$4:$BW$46</definedName>
    <definedName name="Linking_Range_2">IS!$B$5:$BU$106</definedName>
    <definedName name="Linking_Range_3">BS!$B$5:$BU$44</definedName>
    <definedName name="Linking_Range_4">CFS!$B$5:$BU$61</definedName>
    <definedName name="Linking_Range_5">CFS!$B$4:$AI$61</definedName>
    <definedName name="Linking_Range_54">IS!$B$4:$BW$106</definedName>
    <definedName name="Linking_Range_6">CFS!$B$4:$BU$61</definedName>
    <definedName name="Linking_Range_62">BS!$B$4:$BW$71</definedName>
    <definedName name="Linking_Range_63">IS!$B$3:$BW$106</definedName>
    <definedName name="Linking_Range_68">IS!$B$4:$BX$143</definedName>
    <definedName name="Linking_Range_69">BS!$B$4:$BX$44</definedName>
    <definedName name="Linking_Range_7">IS!$B$4:$BU$106</definedName>
    <definedName name="Linking_Range_70">CFS!$B$4:$BX$61</definedName>
    <definedName name="Linking_Range_72">IS!$B$5:$BX$143</definedName>
    <definedName name="Linking_Range_8">IS!$B$4:$BU$112</definedName>
    <definedName name="Linking_Range_9">BS!$B$4:$AM$44</definedName>
    <definedName name="MacroVersion" localSheetId="8">IndexInformation!$B$1</definedName>
    <definedName name="ModelPrice" localSheetId="1">ImportantDisclosures!$A$14</definedName>
    <definedName name="Multiplier" localSheetId="8">IndexInformation!$B$35</definedName>
    <definedName name="NextYearEPS" localSheetId="8">IndexInformation!$B$13</definedName>
    <definedName name="NextYearTotalRevenue" localSheetId="8">IndexInformation!$B$12</definedName>
    <definedName name="NextYearTotalRevenueActual" localSheetId="8">IndexInformation!$B$33</definedName>
    <definedName name="ObjectType">IndexInformation!$B$37</definedName>
    <definedName name="PANA" localSheetId="9">ModPubIndex!$A$11</definedName>
    <definedName name="PathName" localSheetId="8">IndexInformation!$B$25</definedName>
    <definedName name="_xlnm.Print_Area" localSheetId="4">BS!$A$4:$BW$155</definedName>
    <definedName name="_xlnm.Print_Area" localSheetId="7">'BU Bottoms Up'!$B$100:$BV$142,'BU Bottoms Up'!$B$144:$BV$206,'BU Bottoms Up'!$B$209:$BV$264,'BU Bottoms Up'!$B$5:$BV$98</definedName>
    <definedName name="_xlnm.Print_Area" localSheetId="6">'BU-Segment'!$A$5:$BU$48</definedName>
    <definedName name="_xlnm.Print_Area" localSheetId="5">CFS!$A$4:$CA$77</definedName>
    <definedName name="_xlnm.Print_Area" localSheetId="2">IS!$A$4:$CA$112</definedName>
    <definedName name="PRODUCT" localSheetId="9">ModPubIndex!$A$6</definedName>
    <definedName name="PSYM" localSheetId="9">ModPubIndex!$A$4</definedName>
    <definedName name="PublishDate" localSheetId="8">IndexInformation!$B$2</definedName>
    <definedName name="Rating" localSheetId="8">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searchTopic" localSheetId="8">IndexInformation!$B$4</definedName>
    <definedName name="RIC" localSheetId="8">IndexInformation!$B$21</definedName>
    <definedName name="SECSettlement" localSheetId="1">ImportantDisclosures!#REF!</definedName>
    <definedName name="SEDOL" localSheetId="8">IndexInformation!$B$22</definedName>
    <definedName name="sencount" hidden="1">1</definedName>
    <definedName name="SourceDefined" localSheetId="1">ImportantDisclosures!$A$19</definedName>
    <definedName name="StockRating" localSheetId="1">ImportantDisclosures!$A$11</definedName>
    <definedName name="SubjectCode" localSheetId="8">IndexInformation!$B$6</definedName>
    <definedName name="SubmitterUserId">IndexInformation!$B$39</definedName>
    <definedName name="SUPPRESSED" localSheetId="9">ModPubIndex!$A$13</definedName>
    <definedName name="TargetPrice" localSheetId="1">ImportantDisclosures!$A$15</definedName>
    <definedName name="TemplateRegion">IndexInformation!$B$36</definedName>
    <definedName name="Ticker" localSheetId="1">ImportantDisclosures!$A$10</definedName>
    <definedName name="TickerRegion">IndexInformation!$B$41</definedName>
    <definedName name="Tickers" localSheetId="8">IndexInformation!$B$19</definedName>
    <definedName name="UpdateReason" localSheetId="8">IndexInformation!$B$17</definedName>
    <definedName name="USRegDisclosures" localSheetId="1">ImportantDisclosures!#REF!</definedName>
  </definedNames>
  <calcPr calcId="145621" iterate="1"/>
</workbook>
</file>

<file path=xl/calcChain.xml><?xml version="1.0" encoding="utf-8"?>
<calcChain xmlns="http://schemas.openxmlformats.org/spreadsheetml/2006/main">
  <c r="CB20" i="35" l="1"/>
  <c r="CB18" i="35"/>
  <c r="CB19" i="35"/>
  <c r="CB17" i="35"/>
  <c r="BH38" i="1"/>
  <c r="BH68" i="1"/>
  <c r="BI68" i="1" s="1"/>
  <c r="BJ68" i="1" s="1"/>
  <c r="BK68" i="1" s="1"/>
  <c r="BF37" i="2"/>
  <c r="BE69" i="1" l="1"/>
  <c r="BF68" i="1"/>
  <c r="BG68" i="1"/>
  <c r="BE68" i="1"/>
  <c r="BI157" i="35" l="1"/>
  <c r="BJ157" i="35"/>
  <c r="BK157" i="35"/>
  <c r="BH157" i="35"/>
  <c r="BJ166" i="35"/>
  <c r="BK166" i="35"/>
  <c r="BI166" i="35"/>
  <c r="BH166" i="35"/>
  <c r="BJ152" i="35"/>
  <c r="BK152" i="35"/>
  <c r="BI152" i="35"/>
  <c r="BH152" i="35"/>
  <c r="BE73" i="1" l="1"/>
  <c r="BZ67" i="1"/>
  <c r="BB138" i="1" l="1"/>
  <c r="BB133" i="1"/>
  <c r="BB132" i="1"/>
  <c r="BB134" i="1" s="1"/>
  <c r="BB128" i="1"/>
  <c r="BB127" i="1"/>
  <c r="BB129" i="1" s="1"/>
  <c r="BA138" i="1"/>
  <c r="BA133" i="1"/>
  <c r="BA132" i="1"/>
  <c r="BA128" i="1"/>
  <c r="BA127" i="1"/>
  <c r="BA129" i="1" s="1"/>
  <c r="BD138" i="1"/>
  <c r="BD133" i="1"/>
  <c r="BD132" i="1"/>
  <c r="BD134" i="1" s="1"/>
  <c r="BD128" i="1"/>
  <c r="BD127" i="1"/>
  <c r="BD129" i="1" s="1"/>
  <c r="BD33" i="3"/>
  <c r="BD46" i="13"/>
  <c r="BD28" i="13"/>
  <c r="BD27" i="13"/>
  <c r="BD25" i="13"/>
  <c r="BD33" i="13" s="1"/>
  <c r="BD53" i="3"/>
  <c r="BD146" i="3"/>
  <c r="BD177" i="2"/>
  <c r="BD176" i="2"/>
  <c r="BD175" i="2"/>
  <c r="BD171" i="2"/>
  <c r="BD167" i="2"/>
  <c r="BD65" i="2"/>
  <c r="BD57" i="2"/>
  <c r="BD56" i="2"/>
  <c r="BD54" i="2"/>
  <c r="BD53" i="2"/>
  <c r="BD52" i="2"/>
  <c r="BD51" i="2" s="1"/>
  <c r="BD50" i="2"/>
  <c r="BD23" i="2"/>
  <c r="BD14" i="2"/>
  <c r="BD15" i="2" s="1"/>
  <c r="BD35" i="2"/>
  <c r="BD70" i="1"/>
  <c r="BD73" i="1" s="1"/>
  <c r="BD124" i="1"/>
  <c r="BD123" i="1"/>
  <c r="BD115" i="1"/>
  <c r="BD113" i="1"/>
  <c r="BD98" i="1"/>
  <c r="BD66" i="1"/>
  <c r="BD72" i="1" s="1"/>
  <c r="BD52" i="1"/>
  <c r="BD53" i="1" s="1"/>
  <c r="BD48" i="1"/>
  <c r="BD55" i="1" s="1"/>
  <c r="BD45" i="1"/>
  <c r="BD46" i="1" s="1"/>
  <c r="BD43" i="1"/>
  <c r="BD44" i="1" s="1"/>
  <c r="BD39" i="1"/>
  <c r="BD35" i="1"/>
  <c r="BD33" i="1"/>
  <c r="BD34" i="1" s="1"/>
  <c r="BD29" i="1"/>
  <c r="BD20" i="1"/>
  <c r="BD21" i="1" s="1"/>
  <c r="BD18" i="1"/>
  <c r="BD25" i="1" s="1"/>
  <c r="BD17" i="1"/>
  <c r="BD23" i="1" s="1"/>
  <c r="BD24" i="1" s="1"/>
  <c r="BD12" i="1"/>
  <c r="BD11" i="1"/>
  <c r="BD40" i="1" s="1"/>
  <c r="BD104" i="1"/>
  <c r="BD22" i="1"/>
  <c r="BD10" i="1"/>
  <c r="BD137" i="1" l="1"/>
  <c r="BD139" i="1" s="1"/>
  <c r="BA134" i="1"/>
  <c r="BA135" i="1" s="1"/>
  <c r="BB135" i="1"/>
  <c r="BB130" i="1"/>
  <c r="BA130" i="1"/>
  <c r="BD135" i="1"/>
  <c r="BD130" i="1"/>
  <c r="BD42" i="13"/>
  <c r="BD32" i="13"/>
  <c r="BD24" i="2"/>
  <c r="BD57" i="1"/>
  <c r="BD63" i="1" s="1"/>
  <c r="BD166" i="2" s="1"/>
  <c r="BD168" i="2" s="1"/>
  <c r="BD59" i="1"/>
  <c r="BD60" i="1" s="1"/>
  <c r="BD26" i="1"/>
  <c r="BD56" i="1"/>
  <c r="BD61" i="1" s="1"/>
  <c r="BD30" i="1"/>
  <c r="BD36" i="1"/>
  <c r="BD75" i="1" l="1"/>
  <c r="BD88" i="1" s="1"/>
  <c r="BD95" i="1" s="1"/>
  <c r="BD76" i="1"/>
  <c r="BD62" i="1"/>
  <c r="BD64" i="1"/>
  <c r="BD77" i="1"/>
  <c r="BD80" i="1" l="1"/>
  <c r="BD82" i="1" s="1"/>
  <c r="BD85" i="1" s="1"/>
  <c r="BD101" i="1"/>
  <c r="BD103" i="1" s="1"/>
  <c r="BD96" i="1"/>
  <c r="BD86" i="1" l="1"/>
  <c r="BD140" i="1"/>
  <c r="BD141" i="1" s="1"/>
  <c r="BD143" i="1" s="1"/>
  <c r="BD83" i="1"/>
  <c r="BD84" i="1" s="1"/>
  <c r="BD92" i="1"/>
  <c r="BD106" i="1" s="1"/>
  <c r="BD90" i="1" l="1"/>
  <c r="BD105" i="1" s="1"/>
  <c r="BD91" i="1"/>
  <c r="BD89" i="1" l="1"/>
  <c r="BC78" i="3" l="1"/>
  <c r="BC76" i="3"/>
  <c r="BC79" i="3" s="1"/>
  <c r="BC72" i="3"/>
  <c r="BC69" i="3"/>
  <c r="BC71" i="3" s="1"/>
  <c r="CB145" i="3" l="1"/>
  <c r="CB144" i="3"/>
  <c r="CB143" i="3"/>
  <c r="CB142" i="3"/>
  <c r="CB141" i="3"/>
  <c r="CB140" i="3"/>
  <c r="CB138" i="3"/>
  <c r="CB133" i="3"/>
  <c r="CB132" i="3"/>
  <c r="CB131" i="3"/>
  <c r="CB130" i="3"/>
  <c r="CB129" i="3"/>
  <c r="CB128" i="3"/>
  <c r="CB127" i="3"/>
  <c r="CB121" i="3"/>
  <c r="CB111" i="3"/>
  <c r="CB110" i="3"/>
  <c r="CB109" i="3"/>
  <c r="CB108" i="3"/>
  <c r="CB107" i="3"/>
  <c r="CB106" i="3"/>
  <c r="CB105" i="3"/>
  <c r="CB104" i="3"/>
  <c r="CB72" i="3"/>
  <c r="CB56" i="3"/>
  <c r="CB149" i="3" s="1"/>
  <c r="CB11" i="3"/>
  <c r="CB6" i="2"/>
  <c r="CB6" i="3" s="1"/>
  <c r="CB99" i="3" s="1"/>
  <c r="CB104" i="2"/>
  <c r="BI53" i="2"/>
  <c r="BJ53" i="2" s="1"/>
  <c r="BK53" i="2" s="1"/>
  <c r="BE53" i="2"/>
  <c r="BF53" i="2" s="1"/>
  <c r="BG53" i="2" s="1"/>
  <c r="BJ52" i="2"/>
  <c r="BK52" i="2" s="1"/>
  <c r="BH52" i="2"/>
  <c r="BF50" i="2"/>
  <c r="BG50" i="2" s="1"/>
  <c r="BH50" i="2" s="1"/>
  <c r="BI50" i="2" s="1"/>
  <c r="BJ50" i="2" s="1"/>
  <c r="BK50" i="2" s="1"/>
  <c r="CB68" i="3" l="1"/>
  <c r="CB83" i="3" s="1"/>
  <c r="CB91" i="3" s="1"/>
  <c r="CB49" i="2"/>
  <c r="CB60" i="2" s="1"/>
  <c r="CB77" i="2" s="1"/>
  <c r="CB158" i="2"/>
  <c r="BE111" i="1" l="1"/>
  <c r="BF111" i="1" s="1"/>
  <c r="BG111" i="1" s="1"/>
  <c r="BH111" i="1" s="1"/>
  <c r="BI111" i="1" s="1"/>
  <c r="BJ111" i="1" s="1"/>
  <c r="BK111" i="1" s="1"/>
  <c r="BH21" i="1"/>
  <c r="BJ21" i="1" s="1"/>
  <c r="BK21" i="1" s="1"/>
  <c r="BF21" i="1"/>
  <c r="BF41" i="1"/>
  <c r="BG41" i="1" s="1"/>
  <c r="BH41" i="1" s="1"/>
  <c r="BI41" i="1" s="1"/>
  <c r="BJ41" i="1" s="1"/>
  <c r="BK41" i="1" s="1"/>
  <c r="BI38" i="1"/>
  <c r="BJ38" i="1" s="1"/>
  <c r="BK38" i="1" s="1"/>
  <c r="BF38" i="1"/>
  <c r="BF31" i="1"/>
  <c r="BG31" i="1" s="1"/>
  <c r="BH31" i="1" s="1"/>
  <c r="BI31" i="1" s="1"/>
  <c r="BJ31" i="1" s="1"/>
  <c r="BK31" i="1" s="1"/>
  <c r="BC11" i="13"/>
  <c r="BE110" i="1" l="1"/>
  <c r="BF110" i="1" s="1"/>
  <c r="BG110" i="1" s="1"/>
  <c r="BH110" i="1" s="1"/>
  <c r="BI110" i="1" s="1"/>
  <c r="BJ110" i="1" s="1"/>
  <c r="BK110" i="1" s="1"/>
  <c r="BE109" i="1"/>
  <c r="BF109" i="1" l="1"/>
  <c r="BG109" i="1" s="1"/>
  <c r="BH109" i="1" s="1"/>
  <c r="BI109" i="1" s="1"/>
  <c r="BJ109" i="1" s="1"/>
  <c r="BK109" i="1" s="1"/>
  <c r="CB157" i="1"/>
  <c r="BC46" i="13"/>
  <c r="BC28" i="13"/>
  <c r="BC27" i="13"/>
  <c r="BC25" i="13"/>
  <c r="BC42" i="13" s="1"/>
  <c r="BC8" i="13"/>
  <c r="BC24" i="13" s="1"/>
  <c r="BC87" i="3"/>
  <c r="BC88" i="3" s="1"/>
  <c r="BC84" i="3"/>
  <c r="BC63" i="3"/>
  <c r="BC53" i="3"/>
  <c r="BC52" i="3"/>
  <c r="BC51" i="3"/>
  <c r="BC50" i="3"/>
  <c r="BC49" i="3"/>
  <c r="BC48" i="3"/>
  <c r="BC47" i="3"/>
  <c r="BC46" i="3"/>
  <c r="BC54" i="3" s="1"/>
  <c r="BC45" i="3"/>
  <c r="BC41" i="3"/>
  <c r="BC40" i="3"/>
  <c r="BC39" i="3"/>
  <c r="BC38" i="3"/>
  <c r="BC37" i="3"/>
  <c r="BC36" i="3"/>
  <c r="BC35" i="3"/>
  <c r="BC34" i="3"/>
  <c r="BC42" i="3" s="1"/>
  <c r="BC33" i="3"/>
  <c r="BC29" i="3"/>
  <c r="BC28" i="3"/>
  <c r="BC27" i="3"/>
  <c r="BC26" i="3"/>
  <c r="BC25" i="3"/>
  <c r="BC24" i="3"/>
  <c r="BC23" i="3"/>
  <c r="BC22" i="3"/>
  <c r="BC21" i="3"/>
  <c r="BC19" i="3"/>
  <c r="BC18" i="3"/>
  <c r="BC17" i="3"/>
  <c r="BC16" i="3"/>
  <c r="BC15" i="3"/>
  <c r="BC14" i="3"/>
  <c r="BC13" i="3"/>
  <c r="BC12" i="3"/>
  <c r="BC11" i="3"/>
  <c r="BC10" i="3"/>
  <c r="BC147" i="3"/>
  <c r="BC135" i="3"/>
  <c r="BC172" i="2"/>
  <c r="BC167" i="2"/>
  <c r="BC65" i="2"/>
  <c r="BC57" i="2"/>
  <c r="BC53" i="2" s="1"/>
  <c r="BC56" i="2"/>
  <c r="BC54" i="2" s="1"/>
  <c r="BC52" i="2"/>
  <c r="BC51" i="2" s="1"/>
  <c r="BE27" i="2"/>
  <c r="BF27" i="2" s="1"/>
  <c r="BG27" i="2" s="1"/>
  <c r="BH27" i="2" s="1"/>
  <c r="BI27" i="2" s="1"/>
  <c r="BJ27" i="2" s="1"/>
  <c r="BK27" i="2" s="1"/>
  <c r="BC35" i="2"/>
  <c r="BC44" i="2" s="1"/>
  <c r="BC15" i="2"/>
  <c r="BC24" i="2" s="1"/>
  <c r="BC74" i="3" s="1"/>
  <c r="BC138" i="1"/>
  <c r="BC128" i="1"/>
  <c r="BG104" i="1"/>
  <c r="AY104" i="1"/>
  <c r="AT104" i="1"/>
  <c r="CA104" i="1"/>
  <c r="BX104" i="1"/>
  <c r="AK104" i="1"/>
  <c r="BI104" i="1"/>
  <c r="BW104" i="1"/>
  <c r="AO104" i="1"/>
  <c r="AM104" i="1"/>
  <c r="AS104" i="1"/>
  <c r="BV104" i="1"/>
  <c r="BE104" i="1"/>
  <c r="CB22" i="1"/>
  <c r="AJ104" i="1"/>
  <c r="BJ104" i="1"/>
  <c r="AZ104" i="1"/>
  <c r="AU104" i="1"/>
  <c r="AQ104" i="1"/>
  <c r="BK104" i="1"/>
  <c r="BB104" i="1"/>
  <c r="BC104" i="1"/>
  <c r="BZ104" i="1"/>
  <c r="BA104" i="1"/>
  <c r="BF104" i="1"/>
  <c r="AN104" i="1"/>
  <c r="BY104" i="1"/>
  <c r="AL104" i="1"/>
  <c r="AV104" i="1"/>
  <c r="AP104" i="1"/>
  <c r="AX104" i="1"/>
  <c r="AW104" i="1"/>
  <c r="BH104" i="1"/>
  <c r="AR104" i="1"/>
  <c r="CB164" i="3" l="1"/>
  <c r="CB190" i="2"/>
  <c r="BC50" i="2"/>
  <c r="BC45" i="13"/>
  <c r="BC16" i="13" s="1"/>
  <c r="CA157" i="1"/>
  <c r="BZ157" i="1"/>
  <c r="BY157" i="1"/>
  <c r="BX157" i="1"/>
  <c r="BW157" i="1"/>
  <c r="BV157" i="1"/>
  <c r="BU157" i="1"/>
  <c r="BT157" i="1"/>
  <c r="BS157" i="1"/>
  <c r="BR157" i="1"/>
  <c r="BQ157" i="1"/>
  <c r="BP157" i="1"/>
  <c r="BO157" i="1"/>
  <c r="BN157" i="1"/>
  <c r="BM157" i="1"/>
  <c r="BK157" i="1"/>
  <c r="BJ157" i="1"/>
  <c r="BI157" i="1"/>
  <c r="BH157" i="1"/>
  <c r="BG157" i="1"/>
  <c r="BF157" i="1"/>
  <c r="BE157" i="1"/>
  <c r="BD157" i="1"/>
  <c r="BC157" i="1"/>
  <c r="BB157" i="1"/>
  <c r="BA157" i="1"/>
  <c r="AZ157" i="1"/>
  <c r="AY157" i="1"/>
  <c r="AX157" i="1"/>
  <c r="AW157" i="1"/>
  <c r="AV157" i="1"/>
  <c r="AU157" i="1"/>
  <c r="AT157" i="1"/>
  <c r="AS157" i="1"/>
  <c r="AR157" i="1"/>
  <c r="AQ157" i="1"/>
  <c r="AP157" i="1"/>
  <c r="AO157" i="1"/>
  <c r="AN157" i="1"/>
  <c r="AM157" i="1"/>
  <c r="AL157" i="1"/>
  <c r="AK157" i="1"/>
  <c r="AJ157" i="1"/>
  <c r="AI157" i="1"/>
  <c r="AH157" i="1"/>
  <c r="AG157" i="1"/>
  <c r="AF157" i="1"/>
  <c r="AE157" i="1"/>
  <c r="AD157" i="1"/>
  <c r="AC157" i="1"/>
  <c r="BH138" i="1"/>
  <c r="AY138" i="1"/>
  <c r="AW138" i="1"/>
  <c r="AV138" i="1"/>
  <c r="AU138" i="1"/>
  <c r="AT138" i="1"/>
  <c r="AS138" i="1"/>
  <c r="AR138" i="1"/>
  <c r="AQ138" i="1"/>
  <c r="AP138" i="1"/>
  <c r="AO138" i="1"/>
  <c r="AN138" i="1"/>
  <c r="AM138" i="1"/>
  <c r="AL138" i="1"/>
  <c r="AK138" i="1"/>
  <c r="AJ138" i="1"/>
  <c r="AZ128" i="1"/>
  <c r="AY128" i="1"/>
  <c r="AX128" i="1"/>
  <c r="AW128" i="1"/>
  <c r="AV128" i="1"/>
  <c r="AU128" i="1"/>
  <c r="AT128" i="1"/>
  <c r="AS128" i="1"/>
  <c r="AR128" i="1"/>
  <c r="AQ128" i="1"/>
  <c r="AP128" i="1"/>
  <c r="AO128" i="1"/>
  <c r="AN128" i="1"/>
  <c r="AM128" i="1"/>
  <c r="AL128" i="1"/>
  <c r="AK128" i="1"/>
  <c r="AJ128" i="1"/>
  <c r="BQ118" i="1"/>
  <c r="BP118" i="1"/>
  <c r="BO118" i="1"/>
  <c r="BN118" i="1"/>
  <c r="BM118" i="1"/>
  <c r="BU117" i="1"/>
  <c r="BV117" i="1" s="1"/>
  <c r="BW117" i="1" s="1"/>
  <c r="BX117" i="1" s="1"/>
  <c r="BY117" i="1" s="1"/>
  <c r="BZ117" i="1" s="1"/>
  <c r="CA117" i="1" s="1"/>
  <c r="CB117" i="1" s="1"/>
  <c r="BT117" i="1"/>
  <c r="BS117" i="1"/>
  <c r="BR117" i="1"/>
  <c r="BQ117" i="1"/>
  <c r="BP117" i="1"/>
  <c r="BO117" i="1"/>
  <c r="BN117" i="1"/>
  <c r="BM117" i="1"/>
  <c r="BT115" i="1"/>
  <c r="BS115" i="1"/>
  <c r="BR115" i="1"/>
  <c r="BP115" i="1"/>
  <c r="BO115" i="1"/>
  <c r="BN115" i="1"/>
  <c r="BM115" i="1"/>
  <c r="BB115" i="1"/>
  <c r="BA115" i="1"/>
  <c r="AZ115" i="1"/>
  <c r="AY115" i="1"/>
  <c r="AX115" i="1"/>
  <c r="AW115" i="1"/>
  <c r="AV115" i="1"/>
  <c r="AU115" i="1"/>
  <c r="AT115" i="1"/>
  <c r="AS115" i="1"/>
  <c r="AR115" i="1"/>
  <c r="AQ115" i="1"/>
  <c r="AP115" i="1"/>
  <c r="AO115" i="1"/>
  <c r="AN115" i="1"/>
  <c r="AM115" i="1"/>
  <c r="BU115" i="1" s="1"/>
  <c r="AL115" i="1"/>
  <c r="AJ115" i="1"/>
  <c r="AF115" i="1"/>
  <c r="BQ115" i="1" s="1"/>
  <c r="BB113" i="1"/>
  <c r="BA113" i="1"/>
  <c r="AZ113" i="1"/>
  <c r="AY113" i="1"/>
  <c r="AX113" i="1"/>
  <c r="AW113" i="1"/>
  <c r="AV113" i="1"/>
  <c r="AU113" i="1"/>
  <c r="AT113" i="1"/>
  <c r="AS113" i="1"/>
  <c r="AR113" i="1"/>
  <c r="AQ113" i="1"/>
  <c r="AP113" i="1"/>
  <c r="AO113" i="1"/>
  <c r="AN113" i="1"/>
  <c r="AM113" i="1"/>
  <c r="AL113" i="1"/>
  <c r="AK113" i="1"/>
  <c r="AJ113" i="1"/>
  <c r="AI113" i="1"/>
  <c r="AH113" i="1"/>
  <c r="AG113" i="1"/>
  <c r="AF113" i="1"/>
  <c r="AE113" i="1"/>
  <c r="AD113" i="1"/>
  <c r="AC113" i="1"/>
  <c r="AB113" i="1"/>
  <c r="AA113" i="1"/>
  <c r="Z113" i="1"/>
  <c r="Y113" i="1"/>
  <c r="X113" i="1"/>
  <c r="W113" i="1"/>
  <c r="V113" i="1"/>
  <c r="U113" i="1"/>
  <c r="T113" i="1"/>
  <c r="S113" i="1"/>
  <c r="R113" i="1"/>
  <c r="Q113" i="1"/>
  <c r="P113" i="1"/>
  <c r="O113" i="1"/>
  <c r="N113" i="1"/>
  <c r="M113" i="1"/>
  <c r="L113" i="1"/>
  <c r="K113" i="1"/>
  <c r="J113" i="1"/>
  <c r="I113" i="1"/>
  <c r="H113" i="1"/>
  <c r="G113" i="1"/>
  <c r="F113" i="1"/>
  <c r="E113" i="1"/>
  <c r="D113" i="1"/>
  <c r="AZ111" i="1"/>
  <c r="AY111" i="1"/>
  <c r="AX111" i="1"/>
  <c r="AW111" i="1"/>
  <c r="AV111" i="1"/>
  <c r="AU111" i="1"/>
  <c r="AT111" i="1"/>
  <c r="AS111" i="1"/>
  <c r="AR111" i="1"/>
  <c r="AQ111" i="1"/>
  <c r="AP111" i="1"/>
  <c r="AO111" i="1"/>
  <c r="AN111" i="1"/>
  <c r="AM111" i="1"/>
  <c r="AL111" i="1"/>
  <c r="AK111" i="1"/>
  <c r="AJ111" i="1"/>
  <c r="AI111" i="1"/>
  <c r="AH111" i="1"/>
  <c r="AG111" i="1"/>
  <c r="AF111" i="1"/>
  <c r="AE111" i="1"/>
  <c r="AD111" i="1"/>
  <c r="AC111" i="1"/>
  <c r="AB111" i="1"/>
  <c r="AA111" i="1"/>
  <c r="Z111" i="1"/>
  <c r="Y111" i="1"/>
  <c r="X111" i="1"/>
  <c r="W111" i="1"/>
  <c r="V111" i="1"/>
  <c r="U111" i="1"/>
  <c r="T111" i="1"/>
  <c r="S111" i="1"/>
  <c r="R111" i="1"/>
  <c r="Q111" i="1"/>
  <c r="P111" i="1"/>
  <c r="O111" i="1"/>
  <c r="N111" i="1"/>
  <c r="M111" i="1"/>
  <c r="L111" i="1"/>
  <c r="K111" i="1"/>
  <c r="J111" i="1"/>
  <c r="I111" i="1"/>
  <c r="H111" i="1"/>
  <c r="G111" i="1"/>
  <c r="F111" i="1"/>
  <c r="E111" i="1"/>
  <c r="D111" i="1"/>
  <c r="BX110" i="1"/>
  <c r="BW110" i="1"/>
  <c r="BW113" i="1" s="1"/>
  <c r="BV110" i="1"/>
  <c r="BX109" i="1"/>
  <c r="BW109" i="1"/>
  <c r="BV109" i="1"/>
  <c r="BU110" i="1"/>
  <c r="BT110" i="1"/>
  <c r="BT113" i="1" s="1"/>
  <c r="BS110" i="1"/>
  <c r="BR110" i="1"/>
  <c r="BR113" i="1" s="1"/>
  <c r="BQ110" i="1"/>
  <c r="BP110" i="1"/>
  <c r="BP113" i="1" s="1"/>
  <c r="BO110" i="1"/>
  <c r="BN110" i="1"/>
  <c r="BN113" i="1" s="1"/>
  <c r="BM110" i="1"/>
  <c r="BU109" i="1"/>
  <c r="BT109" i="1"/>
  <c r="BS109" i="1"/>
  <c r="BR109" i="1"/>
  <c r="BQ109" i="1"/>
  <c r="BP109" i="1"/>
  <c r="BO109" i="1"/>
  <c r="BN109" i="1"/>
  <c r="BM109" i="1"/>
  <c r="BM113" i="1" l="1"/>
  <c r="BO113" i="1"/>
  <c r="BQ113" i="1"/>
  <c r="BS113" i="1"/>
  <c r="BU113" i="1"/>
  <c r="BV113" i="1"/>
  <c r="BX113" i="1"/>
  <c r="BC34" i="13"/>
  <c r="BW111" i="1"/>
  <c r="BY111" i="1"/>
  <c r="BV111" i="1"/>
  <c r="BX111" i="1"/>
  <c r="BC115" i="1" l="1"/>
  <c r="BY110" i="1"/>
  <c r="BY115" i="1" s="1"/>
  <c r="BZ111" i="1"/>
  <c r="W100" i="1"/>
  <c r="BQ100" i="1" s="1"/>
  <c r="S99" i="1"/>
  <c r="W99" i="1" s="1"/>
  <c r="O99" i="1"/>
  <c r="O98" i="1"/>
  <c r="BU100" i="1"/>
  <c r="BV100" i="1" s="1"/>
  <c r="BW100" i="1" s="1"/>
  <c r="BX100" i="1" s="1"/>
  <c r="BY100" i="1" s="1"/>
  <c r="BZ100" i="1" s="1"/>
  <c r="CA100" i="1" s="1"/>
  <c r="CB100" i="1" s="1"/>
  <c r="BT100" i="1"/>
  <c r="BS100" i="1"/>
  <c r="BR100" i="1"/>
  <c r="BP100" i="1"/>
  <c r="BO100" i="1"/>
  <c r="BN100" i="1"/>
  <c r="BM100" i="1"/>
  <c r="BV99" i="1"/>
  <c r="BW99" i="1" s="1"/>
  <c r="BU99" i="1"/>
  <c r="BT99" i="1"/>
  <c r="BS99" i="1"/>
  <c r="BR99" i="1"/>
  <c r="BP99" i="1"/>
  <c r="BO99" i="1"/>
  <c r="BN99" i="1"/>
  <c r="BM99" i="1"/>
  <c r="BK98" i="1"/>
  <c r="BJ98" i="1"/>
  <c r="BI98" i="1"/>
  <c r="BH98" i="1"/>
  <c r="BG98" i="1"/>
  <c r="BF98" i="1"/>
  <c r="BE98" i="1"/>
  <c r="BC98" i="1"/>
  <c r="BB98" i="1"/>
  <c r="BA98" i="1"/>
  <c r="AZ98" i="1"/>
  <c r="AY98" i="1"/>
  <c r="AX98" i="1"/>
  <c r="AW98" i="1"/>
  <c r="AV98" i="1"/>
  <c r="AU98" i="1"/>
  <c r="AT98" i="1"/>
  <c r="AS98" i="1"/>
  <c r="AR98" i="1"/>
  <c r="AQ98" i="1"/>
  <c r="AP98" i="1"/>
  <c r="AO98" i="1"/>
  <c r="AN98" i="1"/>
  <c r="AM98" i="1"/>
  <c r="AL98" i="1"/>
  <c r="AK98" i="1"/>
  <c r="AJ98" i="1"/>
  <c r="AI98" i="1"/>
  <c r="AH98" i="1"/>
  <c r="AG98" i="1"/>
  <c r="AF98" i="1"/>
  <c r="BT98" i="1" s="1"/>
  <c r="AE98" i="1"/>
  <c r="AD98" i="1"/>
  <c r="AC98" i="1"/>
  <c r="AB98" i="1"/>
  <c r="BS98" i="1" s="1"/>
  <c r="AA98" i="1"/>
  <c r="Z98" i="1"/>
  <c r="Y98" i="1"/>
  <c r="X98" i="1"/>
  <c r="BR98" i="1" s="1"/>
  <c r="V98" i="1"/>
  <c r="U98" i="1"/>
  <c r="T98" i="1"/>
  <c r="R98" i="1"/>
  <c r="Q98" i="1"/>
  <c r="P98" i="1"/>
  <c r="N98" i="1"/>
  <c r="M98" i="1"/>
  <c r="BO98" i="1" s="1"/>
  <c r="L98" i="1"/>
  <c r="K98" i="1"/>
  <c r="J98" i="1"/>
  <c r="I98" i="1"/>
  <c r="H98" i="1"/>
  <c r="G98" i="1"/>
  <c r="F98" i="1"/>
  <c r="E98" i="1"/>
  <c r="BM98" i="1" s="1"/>
  <c r="D98" i="1"/>
  <c r="CA94" i="1"/>
  <c r="BZ94" i="1"/>
  <c r="BY94" i="1"/>
  <c r="BX94" i="1"/>
  <c r="BW94" i="1"/>
  <c r="BV94" i="1"/>
  <c r="BU94" i="1"/>
  <c r="BT94" i="1"/>
  <c r="BS94" i="1"/>
  <c r="BR94" i="1"/>
  <c r="BQ94" i="1"/>
  <c r="BP94" i="1"/>
  <c r="BO94" i="1"/>
  <c r="BN94" i="1"/>
  <c r="BM94" i="1"/>
  <c r="BB85" i="1"/>
  <c r="BB140" i="1" s="1"/>
  <c r="BA85" i="1"/>
  <c r="BA140" i="1" s="1"/>
  <c r="AW85" i="1"/>
  <c r="AW140" i="1" s="1"/>
  <c r="AK85" i="1"/>
  <c r="AK140" i="1" s="1"/>
  <c r="AG85" i="1"/>
  <c r="AF85" i="1"/>
  <c r="AE85" i="1"/>
  <c r="AD85" i="1"/>
  <c r="AC85" i="1"/>
  <c r="AB85" i="1"/>
  <c r="Z85" i="1"/>
  <c r="Y85" i="1"/>
  <c r="X85" i="1"/>
  <c r="V85" i="1"/>
  <c r="U85" i="1"/>
  <c r="T85" i="1"/>
  <c r="R85" i="1"/>
  <c r="Q85" i="1"/>
  <c r="P85" i="1"/>
  <c r="N85" i="1"/>
  <c r="M85" i="1"/>
  <c r="L85" i="1"/>
  <c r="J85" i="1"/>
  <c r="I85" i="1"/>
  <c r="H85" i="1"/>
  <c r="F85" i="1"/>
  <c r="E85" i="1"/>
  <c r="D85" i="1"/>
  <c r="BB83" i="1"/>
  <c r="BA83" i="1"/>
  <c r="AW83" i="1"/>
  <c r="BS82" i="1"/>
  <c r="BR82" i="1"/>
  <c r="BQ82" i="1"/>
  <c r="BP82" i="1"/>
  <c r="BO82" i="1"/>
  <c r="BN82" i="1"/>
  <c r="BM82" i="1"/>
  <c r="AX82" i="1"/>
  <c r="AX85" i="1" s="1"/>
  <c r="BY79" i="1"/>
  <c r="BX79" i="1"/>
  <c r="BW79" i="1"/>
  <c r="BV79" i="1"/>
  <c r="BU79" i="1"/>
  <c r="BU140" i="1" s="1"/>
  <c r="BT79" i="1"/>
  <c r="BT140" i="1" s="1"/>
  <c r="BS79" i="1"/>
  <c r="BS140" i="1" s="1"/>
  <c r="AA79" i="1"/>
  <c r="AA85" i="1" s="1"/>
  <c r="W79" i="1"/>
  <c r="W85" i="1" s="1"/>
  <c r="S79" i="1"/>
  <c r="S85" i="1" s="1"/>
  <c r="O79" i="1"/>
  <c r="O85" i="1" s="1"/>
  <c r="K79" i="1"/>
  <c r="K85" i="1" s="1"/>
  <c r="G79" i="1"/>
  <c r="G85" i="1" s="1"/>
  <c r="BC73" i="1"/>
  <c r="AY73" i="1"/>
  <c r="AW73" i="1"/>
  <c r="AV73" i="1"/>
  <c r="AU73" i="1"/>
  <c r="AT73" i="1"/>
  <c r="AS73" i="1"/>
  <c r="AR73" i="1"/>
  <c r="AQ73" i="1"/>
  <c r="AP73" i="1"/>
  <c r="AO73" i="1"/>
  <c r="AN73" i="1"/>
  <c r="AM73" i="1"/>
  <c r="AL73" i="1"/>
  <c r="AK73" i="1"/>
  <c r="AJ73" i="1"/>
  <c r="AI73" i="1"/>
  <c r="AH73" i="1"/>
  <c r="AG73" i="1"/>
  <c r="AF73" i="1"/>
  <c r="AE73" i="1"/>
  <c r="AD73" i="1"/>
  <c r="AC73" i="1"/>
  <c r="V73" i="1"/>
  <c r="U73" i="1"/>
  <c r="T73" i="1"/>
  <c r="R73" i="1"/>
  <c r="Q73" i="1"/>
  <c r="P73" i="1"/>
  <c r="AS72" i="1"/>
  <c r="AR72" i="1"/>
  <c r="AQ72" i="1"/>
  <c r="AP72" i="1"/>
  <c r="AO72" i="1"/>
  <c r="AN72" i="1"/>
  <c r="AM72" i="1"/>
  <c r="AL72" i="1"/>
  <c r="AK72" i="1"/>
  <c r="AJ72" i="1"/>
  <c r="AI72" i="1"/>
  <c r="AH72" i="1"/>
  <c r="AG72" i="1"/>
  <c r="AF72" i="1"/>
  <c r="AE72" i="1"/>
  <c r="AD72" i="1"/>
  <c r="AC72" i="1"/>
  <c r="V72" i="1"/>
  <c r="U72" i="1"/>
  <c r="T72" i="1"/>
  <c r="R72" i="1"/>
  <c r="Q72" i="1"/>
  <c r="P72" i="1"/>
  <c r="BB70" i="1"/>
  <c r="BA70" i="1"/>
  <c r="AZ70" i="1"/>
  <c r="AZ138" i="1" s="1"/>
  <c r="AX70" i="1"/>
  <c r="AX138" i="1" s="1"/>
  <c r="BE138" i="1"/>
  <c r="BF69" i="1"/>
  <c r="AB69" i="1"/>
  <c r="AB73" i="1" s="1"/>
  <c r="Z69" i="1"/>
  <c r="Z73" i="1" s="1"/>
  <c r="Y69" i="1"/>
  <c r="Y73" i="1" s="1"/>
  <c r="X69" i="1"/>
  <c r="X73" i="1" s="1"/>
  <c r="W69" i="1"/>
  <c r="S69" i="1"/>
  <c r="S68" i="1"/>
  <c r="S67" i="1"/>
  <c r="S73" i="1" s="1"/>
  <c r="N69" i="1"/>
  <c r="N73" i="1" s="1"/>
  <c r="M69" i="1"/>
  <c r="M73" i="1" s="1"/>
  <c r="L69" i="1"/>
  <c r="O69" i="1" s="1"/>
  <c r="J69" i="1"/>
  <c r="J73" i="1" s="1"/>
  <c r="I69" i="1"/>
  <c r="I73" i="1" s="1"/>
  <c r="H69" i="1"/>
  <c r="K69" i="1" s="1"/>
  <c r="BN69" i="1" s="1"/>
  <c r="F69" i="1"/>
  <c r="F73" i="1" s="1"/>
  <c r="E69" i="1"/>
  <c r="E73" i="1" s="1"/>
  <c r="D69" i="1"/>
  <c r="G69" i="1" s="1"/>
  <c r="BI70" i="1"/>
  <c r="BI138" i="1" s="1"/>
  <c r="AA68" i="1"/>
  <c r="AA67" i="1"/>
  <c r="BR67" i="1" s="1"/>
  <c r="W68" i="1"/>
  <c r="W67" i="1"/>
  <c r="W73" i="1" s="1"/>
  <c r="O68" i="1"/>
  <c r="O67" i="1"/>
  <c r="O73" i="1" s="1"/>
  <c r="K68" i="1"/>
  <c r="K67" i="1"/>
  <c r="K73" i="1" s="1"/>
  <c r="G68" i="1"/>
  <c r="G67" i="1"/>
  <c r="G73" i="1" s="1"/>
  <c r="BY70" i="1"/>
  <c r="BX70" i="1"/>
  <c r="BX138" i="1" s="1"/>
  <c r="BW70" i="1"/>
  <c r="BV70" i="1"/>
  <c r="BV138" i="1" s="1"/>
  <c r="BU70" i="1"/>
  <c r="BU138" i="1" s="1"/>
  <c r="BT70" i="1"/>
  <c r="BT138" i="1" s="1"/>
  <c r="BS70" i="1"/>
  <c r="BS138" i="1" s="1"/>
  <c r="BR70" i="1"/>
  <c r="BR138" i="1" s="1"/>
  <c r="BQ70" i="1"/>
  <c r="BQ138" i="1" s="1"/>
  <c r="BP70" i="1"/>
  <c r="BP138" i="1" s="1"/>
  <c r="BO70" i="1"/>
  <c r="BO138" i="1" s="1"/>
  <c r="BN70" i="1"/>
  <c r="BN138" i="1" s="1"/>
  <c r="BM70" i="1"/>
  <c r="BM138" i="1" s="1"/>
  <c r="BY69" i="1"/>
  <c r="BX69" i="1"/>
  <c r="BW69" i="1"/>
  <c r="BV69" i="1"/>
  <c r="BU69" i="1"/>
  <c r="BT69" i="1"/>
  <c r="BS69" i="1"/>
  <c r="BQ69" i="1"/>
  <c r="BP69" i="1"/>
  <c r="BY68" i="1"/>
  <c r="BX68" i="1"/>
  <c r="BW68" i="1"/>
  <c r="BV68" i="1"/>
  <c r="BU68" i="1"/>
  <c r="BT68" i="1"/>
  <c r="BT66" i="1" s="1"/>
  <c r="BT137" i="1" s="1"/>
  <c r="BT139" i="1" s="1"/>
  <c r="BS68" i="1"/>
  <c r="BR68" i="1"/>
  <c r="BQ68" i="1"/>
  <c r="BP68" i="1"/>
  <c r="BO68" i="1"/>
  <c r="BN68" i="1"/>
  <c r="BM68" i="1"/>
  <c r="CA67" i="1"/>
  <c r="CB67" i="1" s="1"/>
  <c r="BY67" i="1"/>
  <c r="BX67" i="1"/>
  <c r="BW67" i="1"/>
  <c r="BW73" i="1" s="1"/>
  <c r="BV67" i="1"/>
  <c r="BU67" i="1"/>
  <c r="BU73" i="1" s="1"/>
  <c r="BT67" i="1"/>
  <c r="BS67" i="1"/>
  <c r="BS73" i="1" s="1"/>
  <c r="BQ67" i="1"/>
  <c r="BQ73" i="1" s="1"/>
  <c r="BO67" i="1"/>
  <c r="BM67" i="1"/>
  <c r="BU66" i="1"/>
  <c r="BU137" i="1" s="1"/>
  <c r="BU139" i="1" s="1"/>
  <c r="BS66" i="1"/>
  <c r="BS137" i="1" s="1"/>
  <c r="BS139" i="1" s="1"/>
  <c r="BC66" i="1"/>
  <c r="BC137" i="1" s="1"/>
  <c r="BC139" i="1" s="1"/>
  <c r="BB66" i="1"/>
  <c r="BB137" i="1" s="1"/>
  <c r="BB139" i="1" s="1"/>
  <c r="BB141" i="1" s="1"/>
  <c r="BB143" i="1" s="1"/>
  <c r="BA66" i="1"/>
  <c r="BA137" i="1" s="1"/>
  <c r="BA139" i="1" s="1"/>
  <c r="AZ66" i="1"/>
  <c r="AZ137" i="1" s="1"/>
  <c r="AZ139" i="1" s="1"/>
  <c r="AY66" i="1"/>
  <c r="AY137" i="1" s="1"/>
  <c r="AY139" i="1" s="1"/>
  <c r="AX66" i="1"/>
  <c r="AX137" i="1" s="1"/>
  <c r="AW66" i="1"/>
  <c r="AW137" i="1" s="1"/>
  <c r="AW139" i="1" s="1"/>
  <c r="AV66" i="1"/>
  <c r="AV137" i="1" s="1"/>
  <c r="AV139" i="1" s="1"/>
  <c r="AU66" i="1"/>
  <c r="AU137" i="1" s="1"/>
  <c r="AU139" i="1" s="1"/>
  <c r="AT66" i="1"/>
  <c r="AT137" i="1" s="1"/>
  <c r="AT139" i="1" s="1"/>
  <c r="AS66" i="1"/>
  <c r="AS137" i="1" s="1"/>
  <c r="AS139" i="1" s="1"/>
  <c r="AR66" i="1"/>
  <c r="AR137" i="1" s="1"/>
  <c r="AR139" i="1" s="1"/>
  <c r="AQ66" i="1"/>
  <c r="AQ137" i="1" s="1"/>
  <c r="AQ139" i="1" s="1"/>
  <c r="AP66" i="1"/>
  <c r="AP137" i="1" s="1"/>
  <c r="AP139" i="1" s="1"/>
  <c r="AO66" i="1"/>
  <c r="AO137" i="1" s="1"/>
  <c r="AO139" i="1" s="1"/>
  <c r="AN66" i="1"/>
  <c r="AN137" i="1" s="1"/>
  <c r="AN139" i="1" s="1"/>
  <c r="AM66" i="1"/>
  <c r="AM137" i="1" s="1"/>
  <c r="AM139" i="1" s="1"/>
  <c r="AL66" i="1"/>
  <c r="AL137" i="1" s="1"/>
  <c r="AL139" i="1" s="1"/>
  <c r="AK66" i="1"/>
  <c r="AK137" i="1" s="1"/>
  <c r="AK139" i="1" s="1"/>
  <c r="AJ66" i="1"/>
  <c r="AJ137" i="1" s="1"/>
  <c r="AJ139" i="1" s="1"/>
  <c r="AI66" i="1"/>
  <c r="AH66" i="1"/>
  <c r="AG66" i="1"/>
  <c r="AF66" i="1"/>
  <c r="AE66" i="1"/>
  <c r="AD66" i="1"/>
  <c r="AC66" i="1"/>
  <c r="AB66" i="1"/>
  <c r="Z66" i="1"/>
  <c r="Y66" i="1"/>
  <c r="X66" i="1"/>
  <c r="V66" i="1"/>
  <c r="U66" i="1"/>
  <c r="T66" i="1"/>
  <c r="R66" i="1"/>
  <c r="Q66" i="1"/>
  <c r="P66" i="1"/>
  <c r="N66" i="1"/>
  <c r="M66" i="1"/>
  <c r="L66" i="1"/>
  <c r="J66" i="1"/>
  <c r="I66" i="1"/>
  <c r="H66" i="1"/>
  <c r="F66" i="1"/>
  <c r="E66" i="1"/>
  <c r="D66" i="1"/>
  <c r="BK53" i="1"/>
  <c r="BJ53" i="1"/>
  <c r="BI53" i="1"/>
  <c r="BH53" i="1"/>
  <c r="BG53" i="1"/>
  <c r="BF53" i="1"/>
  <c r="BE53" i="1"/>
  <c r="BZ53" i="1" s="1"/>
  <c r="BZ52" i="1" s="1"/>
  <c r="BK52" i="1"/>
  <c r="BJ52" i="1"/>
  <c r="BI52" i="1"/>
  <c r="BH52" i="1"/>
  <c r="BG52" i="1"/>
  <c r="BF52" i="1"/>
  <c r="BC52" i="1"/>
  <c r="BC133" i="1" s="1"/>
  <c r="BB52" i="1"/>
  <c r="BA52" i="1"/>
  <c r="AZ52" i="1"/>
  <c r="AZ133" i="1" s="1"/>
  <c r="AY52" i="1"/>
  <c r="AY133" i="1" s="1"/>
  <c r="AX52" i="1"/>
  <c r="AX133" i="1" s="1"/>
  <c r="AW52" i="1"/>
  <c r="AW133" i="1" s="1"/>
  <c r="AV52" i="1"/>
  <c r="AV133" i="1" s="1"/>
  <c r="AU52" i="1"/>
  <c r="AU133" i="1" s="1"/>
  <c r="AT52" i="1"/>
  <c r="AT133" i="1" s="1"/>
  <c r="AS52" i="1"/>
  <c r="AS133" i="1" s="1"/>
  <c r="AR52" i="1"/>
  <c r="AR133" i="1" s="1"/>
  <c r="AQ52" i="1"/>
  <c r="AQ133" i="1" s="1"/>
  <c r="AP52" i="1"/>
  <c r="AP133" i="1" s="1"/>
  <c r="AO52" i="1"/>
  <c r="AO133" i="1" s="1"/>
  <c r="AN52" i="1"/>
  <c r="AN133" i="1" s="1"/>
  <c r="AM52" i="1"/>
  <c r="AM133" i="1" s="1"/>
  <c r="AL52" i="1"/>
  <c r="AL133" i="1" s="1"/>
  <c r="AK52" i="1"/>
  <c r="AK133" i="1" s="1"/>
  <c r="AJ52" i="1"/>
  <c r="AJ133" i="1" s="1"/>
  <c r="AI52" i="1"/>
  <c r="AH52" i="1"/>
  <c r="AG52" i="1"/>
  <c r="AF52" i="1"/>
  <c r="AE52" i="1"/>
  <c r="AD52" i="1"/>
  <c r="AC52" i="1"/>
  <c r="AB52" i="1"/>
  <c r="AA52" i="1"/>
  <c r="Z52" i="1"/>
  <c r="Y52" i="1"/>
  <c r="X52" i="1"/>
  <c r="W52" i="1"/>
  <c r="V52" i="1"/>
  <c r="U52" i="1"/>
  <c r="T52" i="1"/>
  <c r="S52" i="1"/>
  <c r="R52" i="1"/>
  <c r="Q52" i="1"/>
  <c r="P52" i="1"/>
  <c r="O52" i="1"/>
  <c r="N52" i="1"/>
  <c r="M52" i="1"/>
  <c r="L52" i="1"/>
  <c r="K52" i="1"/>
  <c r="J52" i="1"/>
  <c r="I52" i="1"/>
  <c r="H52" i="1"/>
  <c r="G52" i="1"/>
  <c r="F52" i="1"/>
  <c r="E52" i="1"/>
  <c r="D52" i="1"/>
  <c r="AA51" i="1"/>
  <c r="AA50" i="1"/>
  <c r="AA49" i="1"/>
  <c r="AA48" i="1" s="1"/>
  <c r="W51" i="1"/>
  <c r="BQ51" i="1" s="1"/>
  <c r="W50" i="1"/>
  <c r="W49" i="1"/>
  <c r="W48" i="1" s="1"/>
  <c r="R51" i="1"/>
  <c r="Q51" i="1"/>
  <c r="S51" i="1" s="1"/>
  <c r="O51" i="1"/>
  <c r="K51" i="1"/>
  <c r="S50" i="1"/>
  <c r="S49" i="1"/>
  <c r="O49" i="1"/>
  <c r="O48" i="1" s="1"/>
  <c r="K49" i="1"/>
  <c r="K48" i="1" s="1"/>
  <c r="CA53" i="1"/>
  <c r="CB53" i="1" s="1"/>
  <c r="CB52" i="1" s="1"/>
  <c r="BW53" i="1"/>
  <c r="BV53" i="1"/>
  <c r="BU53" i="1"/>
  <c r="BT53" i="1"/>
  <c r="BS53" i="1"/>
  <c r="BR53" i="1"/>
  <c r="BQ53" i="1"/>
  <c r="BP53" i="1"/>
  <c r="BO53" i="1"/>
  <c r="BN53" i="1"/>
  <c r="BM53" i="1"/>
  <c r="BW52" i="1"/>
  <c r="BV52" i="1"/>
  <c r="BU52" i="1"/>
  <c r="BT52" i="1"/>
  <c r="BS52" i="1"/>
  <c r="BR52" i="1"/>
  <c r="BQ52" i="1"/>
  <c r="BP52" i="1"/>
  <c r="BO52" i="1"/>
  <c r="BN52" i="1"/>
  <c r="BM52" i="1"/>
  <c r="CA51" i="1"/>
  <c r="CB51" i="1" s="1"/>
  <c r="BZ51" i="1"/>
  <c r="BY51" i="1"/>
  <c r="BX51" i="1"/>
  <c r="BW51" i="1"/>
  <c r="BV51" i="1"/>
  <c r="BU51" i="1"/>
  <c r="BT51" i="1"/>
  <c r="BS51" i="1"/>
  <c r="BR51" i="1"/>
  <c r="BO51" i="1"/>
  <c r="BN51" i="1"/>
  <c r="BM51" i="1"/>
  <c r="CA50" i="1"/>
  <c r="CB50" i="1" s="1"/>
  <c r="BZ50" i="1"/>
  <c r="BY50" i="1"/>
  <c r="BX50" i="1"/>
  <c r="BW50" i="1"/>
  <c r="BV50" i="1"/>
  <c r="BU50" i="1"/>
  <c r="BT50" i="1"/>
  <c r="BS50" i="1"/>
  <c r="BR50" i="1"/>
  <c r="BQ50" i="1"/>
  <c r="BP50" i="1"/>
  <c r="BO50" i="1"/>
  <c r="BN50" i="1"/>
  <c r="BM50" i="1"/>
  <c r="CA49" i="1"/>
  <c r="CB49" i="1" s="1"/>
  <c r="BZ49" i="1"/>
  <c r="BY49" i="1"/>
  <c r="BX49" i="1"/>
  <c r="BW49" i="1"/>
  <c r="BV49" i="1"/>
  <c r="BU49" i="1"/>
  <c r="BU133" i="1" s="1"/>
  <c r="BT49" i="1"/>
  <c r="BS49" i="1"/>
  <c r="BS133" i="1" s="1"/>
  <c r="BQ49" i="1"/>
  <c r="BP49" i="1"/>
  <c r="BO49" i="1"/>
  <c r="BO133" i="1" s="1"/>
  <c r="BM49" i="1"/>
  <c r="BM133" i="1" s="1"/>
  <c r="BK48" i="1"/>
  <c r="BJ48" i="1"/>
  <c r="BI48" i="1"/>
  <c r="BH48" i="1"/>
  <c r="CA48" i="1" s="1"/>
  <c r="CB48" i="1" s="1"/>
  <c r="BG48" i="1"/>
  <c r="BF48" i="1"/>
  <c r="BE48" i="1"/>
  <c r="BZ48" i="1"/>
  <c r="BC48" i="1"/>
  <c r="BC55" i="1" s="1"/>
  <c r="BC132" i="1" s="1"/>
  <c r="BB48" i="1"/>
  <c r="BA48" i="1"/>
  <c r="BA55" i="1" s="1"/>
  <c r="AZ48" i="1"/>
  <c r="AY48" i="1"/>
  <c r="AY55" i="1" s="1"/>
  <c r="AY132" i="1" s="1"/>
  <c r="AX48" i="1"/>
  <c r="AW48" i="1"/>
  <c r="AW55" i="1" s="1"/>
  <c r="AW132" i="1" s="1"/>
  <c r="AV48" i="1"/>
  <c r="AU48" i="1"/>
  <c r="AU55" i="1" s="1"/>
  <c r="AU132" i="1" s="1"/>
  <c r="AT48" i="1"/>
  <c r="AS48" i="1"/>
  <c r="AS55" i="1" s="1"/>
  <c r="AS132" i="1" s="1"/>
  <c r="AR48" i="1"/>
  <c r="AQ48" i="1"/>
  <c r="AQ55" i="1" s="1"/>
  <c r="AQ132" i="1" s="1"/>
  <c r="AP48" i="1"/>
  <c r="AO48" i="1"/>
  <c r="AO55" i="1" s="1"/>
  <c r="AO132" i="1" s="1"/>
  <c r="AN48" i="1"/>
  <c r="AM48" i="1"/>
  <c r="AM55" i="1" s="1"/>
  <c r="AM132" i="1" s="1"/>
  <c r="AL48" i="1"/>
  <c r="AK48" i="1"/>
  <c r="AK55" i="1" s="1"/>
  <c r="AK132" i="1" s="1"/>
  <c r="AJ48" i="1"/>
  <c r="AI48" i="1"/>
  <c r="AI55" i="1" s="1"/>
  <c r="AH48" i="1"/>
  <c r="AG48" i="1"/>
  <c r="AG55" i="1" s="1"/>
  <c r="AF48" i="1"/>
  <c r="AE48" i="1"/>
  <c r="AE55" i="1" s="1"/>
  <c r="AD48" i="1"/>
  <c r="AC48" i="1"/>
  <c r="AC55" i="1" s="1"/>
  <c r="AB48" i="1"/>
  <c r="Z48" i="1"/>
  <c r="Y48" i="1"/>
  <c r="X48" i="1"/>
  <c r="V48" i="1"/>
  <c r="U48" i="1"/>
  <c r="U55" i="1" s="1"/>
  <c r="T48" i="1"/>
  <c r="R48" i="1"/>
  <c r="Q48" i="1"/>
  <c r="P48" i="1"/>
  <c r="N48" i="1"/>
  <c r="M48" i="1"/>
  <c r="M55" i="1" s="1"/>
  <c r="L48" i="1"/>
  <c r="J48" i="1"/>
  <c r="I48" i="1"/>
  <c r="H48" i="1"/>
  <c r="G48" i="1"/>
  <c r="F48" i="1"/>
  <c r="E48" i="1"/>
  <c r="D48" i="1"/>
  <c r="BC45" i="1"/>
  <c r="BC46" i="1" s="1"/>
  <c r="BB45" i="1"/>
  <c r="BB46" i="1" s="1"/>
  <c r="BA45" i="1"/>
  <c r="BA46" i="1" s="1"/>
  <c r="AZ45" i="1"/>
  <c r="AZ46" i="1" s="1"/>
  <c r="AY45" i="1"/>
  <c r="AY46" i="1" s="1"/>
  <c r="AX45" i="1"/>
  <c r="AX46" i="1" s="1"/>
  <c r="AW45" i="1"/>
  <c r="AW46" i="1" s="1"/>
  <c r="AV45" i="1"/>
  <c r="AV46" i="1" s="1"/>
  <c r="AU45" i="1"/>
  <c r="AU46" i="1" s="1"/>
  <c r="AT45" i="1"/>
  <c r="AT46" i="1" s="1"/>
  <c r="AS45" i="1"/>
  <c r="AS46" i="1" s="1"/>
  <c r="AR45" i="1"/>
  <c r="AR46" i="1" s="1"/>
  <c r="AQ45" i="1"/>
  <c r="AQ46" i="1" s="1"/>
  <c r="AP45" i="1"/>
  <c r="AP46" i="1" s="1"/>
  <c r="AO45" i="1"/>
  <c r="AO46" i="1" s="1"/>
  <c r="AN45" i="1"/>
  <c r="AN46" i="1" s="1"/>
  <c r="AM45" i="1"/>
  <c r="AM46" i="1" s="1"/>
  <c r="AL45" i="1"/>
  <c r="AL46" i="1" s="1"/>
  <c r="AK45" i="1"/>
  <c r="AK46" i="1" s="1"/>
  <c r="AJ45" i="1"/>
  <c r="AJ46" i="1" s="1"/>
  <c r="AI45" i="1"/>
  <c r="AI46" i="1" s="1"/>
  <c r="AH45" i="1"/>
  <c r="AH46" i="1" s="1"/>
  <c r="AG45" i="1"/>
  <c r="AG46" i="1" s="1"/>
  <c r="AF45" i="1"/>
  <c r="AF46" i="1" s="1"/>
  <c r="AE45" i="1"/>
  <c r="AE46" i="1" s="1"/>
  <c r="AD45" i="1"/>
  <c r="AD46" i="1" s="1"/>
  <c r="AC45" i="1"/>
  <c r="AC46" i="1" s="1"/>
  <c r="AB45" i="1"/>
  <c r="AB46" i="1" s="1"/>
  <c r="Z45" i="1"/>
  <c r="Z46" i="1" s="1"/>
  <c r="Y45" i="1"/>
  <c r="Y46" i="1" s="1"/>
  <c r="X45" i="1"/>
  <c r="X46" i="1" s="1"/>
  <c r="V45" i="1"/>
  <c r="V46" i="1" s="1"/>
  <c r="U45" i="1"/>
  <c r="U46" i="1" s="1"/>
  <c r="T45" i="1"/>
  <c r="T46" i="1" s="1"/>
  <c r="R45" i="1"/>
  <c r="R46" i="1" s="1"/>
  <c r="Q45" i="1"/>
  <c r="Q46" i="1" s="1"/>
  <c r="P45" i="1"/>
  <c r="P46" i="1" s="1"/>
  <c r="N45" i="1"/>
  <c r="N46" i="1" s="1"/>
  <c r="M45" i="1"/>
  <c r="M46" i="1" s="1"/>
  <c r="L45" i="1"/>
  <c r="L46" i="1" s="1"/>
  <c r="J45" i="1"/>
  <c r="J46" i="1" s="1"/>
  <c r="I45" i="1"/>
  <c r="I46" i="1" s="1"/>
  <c r="H45" i="1"/>
  <c r="H46" i="1" s="1"/>
  <c r="F45" i="1"/>
  <c r="F46" i="1" s="1"/>
  <c r="E45" i="1"/>
  <c r="E46" i="1" s="1"/>
  <c r="D45" i="1"/>
  <c r="D46" i="1" s="1"/>
  <c r="BC43" i="1"/>
  <c r="BC44" i="1" s="1"/>
  <c r="BB43" i="1"/>
  <c r="BB44" i="1" s="1"/>
  <c r="BA43" i="1"/>
  <c r="BA44" i="1" s="1"/>
  <c r="AZ43" i="1"/>
  <c r="AZ44" i="1" s="1"/>
  <c r="AY43" i="1"/>
  <c r="AY44" i="1" s="1"/>
  <c r="AX43" i="1"/>
  <c r="AX44" i="1" s="1"/>
  <c r="AW43" i="1"/>
  <c r="AW44" i="1" s="1"/>
  <c r="AV43" i="1"/>
  <c r="AV44" i="1" s="1"/>
  <c r="AU43" i="1"/>
  <c r="AU44" i="1" s="1"/>
  <c r="AT43" i="1"/>
  <c r="AT44" i="1" s="1"/>
  <c r="AS43" i="1"/>
  <c r="AS44" i="1" s="1"/>
  <c r="AR43" i="1"/>
  <c r="AR44" i="1" s="1"/>
  <c r="AQ43" i="1"/>
  <c r="AQ44" i="1" s="1"/>
  <c r="AP43" i="1"/>
  <c r="AP44" i="1" s="1"/>
  <c r="AO43" i="1"/>
  <c r="AO44" i="1" s="1"/>
  <c r="AN43" i="1"/>
  <c r="AN44" i="1" s="1"/>
  <c r="AM43" i="1"/>
  <c r="AM44" i="1" s="1"/>
  <c r="AL43" i="1"/>
  <c r="AL44" i="1" s="1"/>
  <c r="AK43" i="1"/>
  <c r="AK44" i="1" s="1"/>
  <c r="AJ43" i="1"/>
  <c r="AJ44" i="1" s="1"/>
  <c r="AI43" i="1"/>
  <c r="AI44" i="1" s="1"/>
  <c r="AH43" i="1"/>
  <c r="AH44" i="1" s="1"/>
  <c r="AG43" i="1"/>
  <c r="AG44" i="1" s="1"/>
  <c r="AF43" i="1"/>
  <c r="AF44" i="1" s="1"/>
  <c r="AE43" i="1"/>
  <c r="AE44" i="1" s="1"/>
  <c r="AD43" i="1"/>
  <c r="AD44" i="1" s="1"/>
  <c r="AC43" i="1"/>
  <c r="AC44" i="1" s="1"/>
  <c r="AB43" i="1"/>
  <c r="AB44" i="1" s="1"/>
  <c r="Z43" i="1"/>
  <c r="Z44" i="1" s="1"/>
  <c r="Y43" i="1"/>
  <c r="Y44" i="1" s="1"/>
  <c r="X43" i="1"/>
  <c r="X44" i="1" s="1"/>
  <c r="V43" i="1"/>
  <c r="V44" i="1" s="1"/>
  <c r="U43" i="1"/>
  <c r="U44" i="1" s="1"/>
  <c r="T43" i="1"/>
  <c r="T44" i="1" s="1"/>
  <c r="R43" i="1"/>
  <c r="R44" i="1" s="1"/>
  <c r="Q43" i="1"/>
  <c r="Q44" i="1" s="1"/>
  <c r="P43" i="1"/>
  <c r="P44" i="1" s="1"/>
  <c r="N43" i="1"/>
  <c r="N44" i="1" s="1"/>
  <c r="M43" i="1"/>
  <c r="M44" i="1" s="1"/>
  <c r="L43" i="1"/>
  <c r="L44" i="1" s="1"/>
  <c r="J43" i="1"/>
  <c r="J44" i="1" s="1"/>
  <c r="I43" i="1"/>
  <c r="I44" i="1" s="1"/>
  <c r="H43" i="1"/>
  <c r="H44" i="1" s="1"/>
  <c r="F43" i="1"/>
  <c r="F44" i="1" s="1"/>
  <c r="E43" i="1"/>
  <c r="E44" i="1" s="1"/>
  <c r="D43" i="1"/>
  <c r="D44" i="1" s="1"/>
  <c r="CA42" i="1"/>
  <c r="CB42" i="1" s="1"/>
  <c r="BZ42" i="1"/>
  <c r="BY42" i="1"/>
  <c r="BX42" i="1"/>
  <c r="BW42" i="1"/>
  <c r="BV42" i="1"/>
  <c r="BU42" i="1"/>
  <c r="BT42" i="1"/>
  <c r="BS42" i="1"/>
  <c r="BR42" i="1"/>
  <c r="BQ42" i="1"/>
  <c r="BP42" i="1"/>
  <c r="BO42" i="1"/>
  <c r="BN42" i="1"/>
  <c r="BM42" i="1"/>
  <c r="BY41" i="1"/>
  <c r="BX41" i="1"/>
  <c r="BW41" i="1"/>
  <c r="BV41" i="1"/>
  <c r="BC39" i="1"/>
  <c r="BB39" i="1"/>
  <c r="BA39" i="1"/>
  <c r="AZ39" i="1"/>
  <c r="AY39" i="1"/>
  <c r="AX39" i="1"/>
  <c r="AW39" i="1"/>
  <c r="AV39" i="1"/>
  <c r="AU39" i="1"/>
  <c r="AT39" i="1"/>
  <c r="AS39" i="1"/>
  <c r="AR39" i="1"/>
  <c r="AQ39" i="1"/>
  <c r="AP39" i="1"/>
  <c r="AO39" i="1"/>
  <c r="AN39" i="1"/>
  <c r="AM39" i="1"/>
  <c r="AL39" i="1"/>
  <c r="AK39" i="1"/>
  <c r="AJ39" i="1"/>
  <c r="AI39" i="1"/>
  <c r="AH39" i="1"/>
  <c r="AG39" i="1"/>
  <c r="AF39" i="1"/>
  <c r="AE39" i="1"/>
  <c r="AD39" i="1"/>
  <c r="AC39" i="1"/>
  <c r="AB39" i="1"/>
  <c r="Z39" i="1"/>
  <c r="Y39" i="1"/>
  <c r="X39" i="1"/>
  <c r="V39" i="1"/>
  <c r="U39" i="1"/>
  <c r="T39" i="1"/>
  <c r="R39" i="1"/>
  <c r="Q39" i="1"/>
  <c r="P39" i="1"/>
  <c r="N39" i="1"/>
  <c r="M39" i="1"/>
  <c r="L39" i="1"/>
  <c r="J39" i="1"/>
  <c r="I39" i="1"/>
  <c r="H39" i="1"/>
  <c r="F39" i="1"/>
  <c r="E39" i="1"/>
  <c r="D39" i="1"/>
  <c r="BY38" i="1"/>
  <c r="BX38" i="1"/>
  <c r="BX45" i="1" s="1"/>
  <c r="BW38" i="1"/>
  <c r="BV38" i="1"/>
  <c r="BV45" i="1" s="1"/>
  <c r="BU38" i="1"/>
  <c r="BT38" i="1"/>
  <c r="BT45" i="1" s="1"/>
  <c r="BS38" i="1"/>
  <c r="AA38" i="1"/>
  <c r="W38" i="1"/>
  <c r="S38" i="1"/>
  <c r="O38" i="1"/>
  <c r="BO38" i="1" s="1"/>
  <c r="K38" i="1"/>
  <c r="G38" i="1"/>
  <c r="BH35" i="1"/>
  <c r="BC35" i="1"/>
  <c r="BB35" i="1"/>
  <c r="BB57" i="1" s="1"/>
  <c r="BA35" i="1"/>
  <c r="AZ35" i="1"/>
  <c r="AY35" i="1"/>
  <c r="AX35" i="1"/>
  <c r="AW35" i="1"/>
  <c r="AV35" i="1"/>
  <c r="AU35" i="1"/>
  <c r="AT35" i="1"/>
  <c r="AT57" i="1" s="1"/>
  <c r="AS35" i="1"/>
  <c r="AR35" i="1"/>
  <c r="AR57" i="1" s="1"/>
  <c r="AE35" i="1"/>
  <c r="AD35" i="1"/>
  <c r="AD57" i="1" s="1"/>
  <c r="AC35" i="1"/>
  <c r="Z35" i="1"/>
  <c r="Y35" i="1"/>
  <c r="Y57" i="1" s="1"/>
  <c r="X35" i="1"/>
  <c r="X57" i="1" s="1"/>
  <c r="V35" i="1"/>
  <c r="V57" i="1" s="1"/>
  <c r="U35" i="1"/>
  <c r="T35" i="1"/>
  <c r="T57" i="1" s="1"/>
  <c r="R35" i="1"/>
  <c r="R57" i="1" s="1"/>
  <c r="Q35" i="1"/>
  <c r="Q57" i="1" s="1"/>
  <c r="P35" i="1"/>
  <c r="N35" i="1"/>
  <c r="N57" i="1" s="1"/>
  <c r="M35" i="1"/>
  <c r="M57" i="1" s="1"/>
  <c r="L35" i="1"/>
  <c r="L57" i="1" s="1"/>
  <c r="J35" i="1"/>
  <c r="I35" i="1"/>
  <c r="I57" i="1" s="1"/>
  <c r="H35" i="1"/>
  <c r="H57" i="1" s="1"/>
  <c r="F35" i="1"/>
  <c r="F57" i="1" s="1"/>
  <c r="E35" i="1"/>
  <c r="D35" i="1"/>
  <c r="D57" i="1" s="1"/>
  <c r="BC33" i="1"/>
  <c r="BC56" i="1" s="1"/>
  <c r="BB33" i="1"/>
  <c r="BB56" i="1" s="1"/>
  <c r="BA33" i="1"/>
  <c r="AZ33" i="1"/>
  <c r="AZ56" i="1" s="1"/>
  <c r="AY33" i="1"/>
  <c r="AY56" i="1" s="1"/>
  <c r="AX33" i="1"/>
  <c r="AX56" i="1" s="1"/>
  <c r="AW33" i="1"/>
  <c r="AV33" i="1"/>
  <c r="AV56" i="1" s="1"/>
  <c r="AU33" i="1"/>
  <c r="AU56" i="1" s="1"/>
  <c r="AT33" i="1"/>
  <c r="AT56" i="1" s="1"/>
  <c r="AS33" i="1"/>
  <c r="AR33" i="1"/>
  <c r="AR56" i="1" s="1"/>
  <c r="AE33" i="1"/>
  <c r="AE56" i="1" s="1"/>
  <c r="AD33" i="1"/>
  <c r="AD56" i="1" s="1"/>
  <c r="AC33" i="1"/>
  <c r="Z33" i="1"/>
  <c r="Y33" i="1"/>
  <c r="Y56" i="1" s="1"/>
  <c r="X33" i="1"/>
  <c r="V33" i="1"/>
  <c r="V56" i="1" s="1"/>
  <c r="U33" i="1"/>
  <c r="T33" i="1"/>
  <c r="T56" i="1" s="1"/>
  <c r="R33" i="1"/>
  <c r="Q33" i="1"/>
  <c r="Q56" i="1" s="1"/>
  <c r="P33" i="1"/>
  <c r="N33" i="1"/>
  <c r="N56" i="1" s="1"/>
  <c r="M33" i="1"/>
  <c r="L33" i="1"/>
  <c r="L56" i="1" s="1"/>
  <c r="J33" i="1"/>
  <c r="I33" i="1"/>
  <c r="I56" i="1" s="1"/>
  <c r="H33" i="1"/>
  <c r="F33" i="1"/>
  <c r="F56" i="1" s="1"/>
  <c r="E33" i="1"/>
  <c r="D33" i="1"/>
  <c r="D56" i="1" s="1"/>
  <c r="CA32" i="1"/>
  <c r="CB32" i="1" s="1"/>
  <c r="BZ32" i="1"/>
  <c r="BY32" i="1"/>
  <c r="BX32" i="1"/>
  <c r="BW32" i="1"/>
  <c r="BV32" i="1"/>
  <c r="BR32" i="1"/>
  <c r="BQ32" i="1"/>
  <c r="BP32" i="1"/>
  <c r="BO32" i="1"/>
  <c r="BN32" i="1"/>
  <c r="BM32" i="1"/>
  <c r="AF32" i="1"/>
  <c r="AF35" i="1" s="1"/>
  <c r="AB32" i="1"/>
  <c r="BS32" i="1" s="1"/>
  <c r="BC29" i="1"/>
  <c r="BB29" i="1"/>
  <c r="BA29" i="1"/>
  <c r="AZ29" i="1"/>
  <c r="AY29" i="1"/>
  <c r="AX29" i="1"/>
  <c r="AW29" i="1"/>
  <c r="AV29" i="1"/>
  <c r="AU29" i="1"/>
  <c r="AT29" i="1"/>
  <c r="AS29" i="1"/>
  <c r="AR29" i="1"/>
  <c r="AQ29" i="1"/>
  <c r="AP29" i="1"/>
  <c r="AO29" i="1"/>
  <c r="AN29" i="1"/>
  <c r="AM29" i="1"/>
  <c r="AL29" i="1"/>
  <c r="AK29" i="1"/>
  <c r="AJ29" i="1"/>
  <c r="AI29" i="1"/>
  <c r="AH29" i="1"/>
  <c r="AG29" i="1"/>
  <c r="AF29" i="1"/>
  <c r="AE29" i="1"/>
  <c r="AD29" i="1"/>
  <c r="AC29" i="1"/>
  <c r="AB29" i="1"/>
  <c r="Z29" i="1"/>
  <c r="Y29" i="1"/>
  <c r="X29" i="1"/>
  <c r="V29" i="1"/>
  <c r="U29" i="1"/>
  <c r="T29" i="1"/>
  <c r="R29" i="1"/>
  <c r="Q29" i="1"/>
  <c r="P29" i="1"/>
  <c r="N29" i="1"/>
  <c r="M29" i="1"/>
  <c r="L29" i="1"/>
  <c r="J29" i="1"/>
  <c r="I29" i="1"/>
  <c r="H29" i="1"/>
  <c r="F29" i="1"/>
  <c r="E29" i="1"/>
  <c r="D29" i="1"/>
  <c r="BY31" i="1"/>
  <c r="BX31" i="1"/>
  <c r="BW31" i="1"/>
  <c r="BV31" i="1"/>
  <c r="BY28" i="1"/>
  <c r="BX28" i="1"/>
  <c r="BW28" i="1"/>
  <c r="BV28" i="1"/>
  <c r="BU28" i="1"/>
  <c r="BT28" i="1"/>
  <c r="BS28" i="1"/>
  <c r="AA28" i="1"/>
  <c r="W28" i="1"/>
  <c r="BQ28" i="1" s="1"/>
  <c r="S28" i="1"/>
  <c r="O28" i="1"/>
  <c r="BO28" i="1" s="1"/>
  <c r="K28" i="1"/>
  <c r="G28" i="1"/>
  <c r="BM28" i="1" s="1"/>
  <c r="BI22" i="1"/>
  <c r="AR22" i="1"/>
  <c r="AQ22" i="1"/>
  <c r="BA22" i="1"/>
  <c r="AN22" i="1"/>
  <c r="BH22" i="1"/>
  <c r="AV22" i="1"/>
  <c r="BJ22" i="1"/>
  <c r="AP22" i="1"/>
  <c r="BC22" i="1"/>
  <c r="AU22" i="1"/>
  <c r="BF22" i="1"/>
  <c r="AS22" i="1"/>
  <c r="BE22" i="1"/>
  <c r="AO22" i="1"/>
  <c r="BG22" i="1"/>
  <c r="BK22" i="1"/>
  <c r="BB22" i="1"/>
  <c r="AW22" i="1"/>
  <c r="AZ22" i="1"/>
  <c r="AT22" i="1"/>
  <c r="AY22" i="1"/>
  <c r="AX22" i="1"/>
  <c r="BU98" i="1" l="1"/>
  <c r="S98" i="1"/>
  <c r="BP98" i="1" s="1"/>
  <c r="BA141" i="1"/>
  <c r="BA143" i="1" s="1"/>
  <c r="BX66" i="1"/>
  <c r="BX137" i="1" s="1"/>
  <c r="BX139" i="1" s="1"/>
  <c r="AC56" i="1"/>
  <c r="AS56" i="1"/>
  <c r="AW56" i="1"/>
  <c r="BA56" i="1"/>
  <c r="E57" i="1"/>
  <c r="J57" i="1"/>
  <c r="P57" i="1"/>
  <c r="U57" i="1"/>
  <c r="Z57" i="1"/>
  <c r="AG32" i="1"/>
  <c r="AG35" i="1" s="1"/>
  <c r="BE52" i="1"/>
  <c r="BQ133" i="1"/>
  <c r="BW33" i="1"/>
  <c r="E56" i="1"/>
  <c r="H56" i="1"/>
  <c r="J56" i="1"/>
  <c r="M56" i="1"/>
  <c r="P56" i="1"/>
  <c r="R56" i="1"/>
  <c r="U56" i="1"/>
  <c r="X56" i="1"/>
  <c r="Z56" i="1"/>
  <c r="AC57" i="1"/>
  <c r="AE57" i="1"/>
  <c r="AS57" i="1"/>
  <c r="AU57" i="1"/>
  <c r="BS45" i="1"/>
  <c r="BU45" i="1"/>
  <c r="BW45" i="1"/>
  <c r="BY45" i="1"/>
  <c r="BM48" i="1"/>
  <c r="AK134" i="1"/>
  <c r="AM134" i="1"/>
  <c r="AO134" i="1"/>
  <c r="AQ134" i="1"/>
  <c r="AS134" i="1"/>
  <c r="AU134" i="1"/>
  <c r="AW134" i="1"/>
  <c r="AY134" i="1"/>
  <c r="BC134" i="1"/>
  <c r="BN49" i="1"/>
  <c r="BN133" i="1" s="1"/>
  <c r="BR49" i="1"/>
  <c r="BR133" i="1" s="1"/>
  <c r="BT133" i="1"/>
  <c r="AX139" i="1"/>
  <c r="BQ66" i="1"/>
  <c r="BQ137" i="1" s="1"/>
  <c r="BQ139" i="1" s="1"/>
  <c r="BN67" i="1"/>
  <c r="BN66" i="1" s="1"/>
  <c r="BN137" i="1" s="1"/>
  <c r="BN139" i="1" s="1"/>
  <c r="BP67" i="1"/>
  <c r="BT73" i="1"/>
  <c r="BV73" i="1"/>
  <c r="BX73" i="1"/>
  <c r="BW138" i="1"/>
  <c r="BY138" i="1"/>
  <c r="S66" i="1"/>
  <c r="BT72" i="1"/>
  <c r="BU72" i="1"/>
  <c r="CA52" i="1"/>
  <c r="BY73" i="1"/>
  <c r="AG57" i="1"/>
  <c r="AG36" i="1"/>
  <c r="BM35" i="1"/>
  <c r="AF57" i="1"/>
  <c r="AF36" i="1"/>
  <c r="K123" i="1"/>
  <c r="K55" i="1"/>
  <c r="AA123" i="1"/>
  <c r="AA55" i="1"/>
  <c r="BY33" i="1"/>
  <c r="BO35" i="1"/>
  <c r="BQ35" i="1"/>
  <c r="BS35" i="1"/>
  <c r="BW35" i="1"/>
  <c r="BY35" i="1"/>
  <c r="AB33" i="1"/>
  <c r="AF33" i="1"/>
  <c r="D34" i="1"/>
  <c r="F34" i="1"/>
  <c r="H34" i="1"/>
  <c r="J34" i="1"/>
  <c r="L34" i="1"/>
  <c r="N34" i="1"/>
  <c r="P34" i="1"/>
  <c r="R34" i="1"/>
  <c r="T34" i="1"/>
  <c r="V34" i="1"/>
  <c r="X34" i="1"/>
  <c r="Z34" i="1"/>
  <c r="AD34" i="1"/>
  <c r="AR34" i="1"/>
  <c r="AT34" i="1"/>
  <c r="AV34" i="1"/>
  <c r="AX34" i="1"/>
  <c r="AZ34" i="1"/>
  <c r="BB34" i="1"/>
  <c r="AB35" i="1"/>
  <c r="BF35" i="1"/>
  <c r="D36" i="1"/>
  <c r="F36" i="1"/>
  <c r="H36" i="1"/>
  <c r="J36" i="1"/>
  <c r="L36" i="1"/>
  <c r="N36" i="1"/>
  <c r="P36" i="1"/>
  <c r="R36" i="1"/>
  <c r="T36" i="1"/>
  <c r="V36" i="1"/>
  <c r="X36" i="1"/>
  <c r="Z36" i="1"/>
  <c r="AD36" i="1"/>
  <c r="AR36" i="1"/>
  <c r="AT36" i="1"/>
  <c r="AV36" i="1"/>
  <c r="AX36" i="1"/>
  <c r="AZ36" i="1"/>
  <c r="BB36" i="1"/>
  <c r="BO45" i="1"/>
  <c r="BO43" i="1"/>
  <c r="S48" i="1"/>
  <c r="S123" i="1" s="1"/>
  <c r="BP51" i="1"/>
  <c r="G123" i="1"/>
  <c r="G55" i="1"/>
  <c r="O123" i="1"/>
  <c r="O55" i="1"/>
  <c r="W123" i="1"/>
  <c r="W55" i="1"/>
  <c r="BN28" i="1"/>
  <c r="BP28" i="1"/>
  <c r="BR28" i="1"/>
  <c r="BZ28" i="1"/>
  <c r="AH32" i="1"/>
  <c r="BX33" i="1"/>
  <c r="BV35" i="1"/>
  <c r="BX35" i="1"/>
  <c r="G33" i="1"/>
  <c r="K33" i="1"/>
  <c r="O33" i="1"/>
  <c r="S33" i="1"/>
  <c r="W33" i="1"/>
  <c r="AA33" i="1"/>
  <c r="AG33" i="1"/>
  <c r="BE33" i="1"/>
  <c r="E34" i="1"/>
  <c r="I34" i="1"/>
  <c r="M34" i="1"/>
  <c r="Q34" i="1"/>
  <c r="U34" i="1"/>
  <c r="Y34" i="1"/>
  <c r="AC34" i="1"/>
  <c r="AE34" i="1"/>
  <c r="AS34" i="1"/>
  <c r="AU34" i="1"/>
  <c r="AW34" i="1"/>
  <c r="AY34" i="1"/>
  <c r="BA34" i="1"/>
  <c r="BC34" i="1"/>
  <c r="G35" i="1"/>
  <c r="K35" i="1"/>
  <c r="O35" i="1"/>
  <c r="S35" i="1"/>
  <c r="W35" i="1"/>
  <c r="AA35" i="1"/>
  <c r="BC36" i="1"/>
  <c r="BE35" i="1"/>
  <c r="BI35" i="1"/>
  <c r="E36" i="1"/>
  <c r="I36" i="1"/>
  <c r="M36" i="1"/>
  <c r="Q36" i="1"/>
  <c r="U36" i="1"/>
  <c r="Y36" i="1"/>
  <c r="AC36" i="1"/>
  <c r="AE36" i="1"/>
  <c r="AS36" i="1"/>
  <c r="AU36" i="1"/>
  <c r="AW36" i="1"/>
  <c r="AY36" i="1"/>
  <c r="BA36" i="1"/>
  <c r="G45" i="1"/>
  <c r="G43" i="1"/>
  <c r="O45" i="1"/>
  <c r="O43" i="1"/>
  <c r="BQ38" i="1"/>
  <c r="W45" i="1"/>
  <c r="W43" i="1"/>
  <c r="BE55" i="1"/>
  <c r="BE132" i="1" s="1"/>
  <c r="BZ41" i="1"/>
  <c r="BM38" i="1"/>
  <c r="BN73" i="1"/>
  <c r="G66" i="1"/>
  <c r="BM69" i="1"/>
  <c r="BM66" i="1" s="1"/>
  <c r="BM137" i="1" s="1"/>
  <c r="BM139" i="1" s="1"/>
  <c r="O66" i="1"/>
  <c r="BO69" i="1"/>
  <c r="BO66" i="1" s="1"/>
  <c r="BO137" i="1" s="1"/>
  <c r="BO139" i="1" s="1"/>
  <c r="BG69" i="1"/>
  <c r="BN38" i="1"/>
  <c r="BP38" i="1"/>
  <c r="BR38" i="1"/>
  <c r="BT43" i="1"/>
  <c r="BV43" i="1"/>
  <c r="BX43" i="1"/>
  <c r="K43" i="1"/>
  <c r="S43" i="1"/>
  <c r="AA43" i="1"/>
  <c r="K45" i="1"/>
  <c r="S45" i="1"/>
  <c r="AA45" i="1"/>
  <c r="E124" i="1"/>
  <c r="E123" i="1"/>
  <c r="I124" i="1"/>
  <c r="I123" i="1"/>
  <c r="L124" i="1"/>
  <c r="L123" i="1"/>
  <c r="N124" i="1"/>
  <c r="N123" i="1"/>
  <c r="Q124" i="1"/>
  <c r="Q123" i="1"/>
  <c r="T124" i="1"/>
  <c r="T123" i="1"/>
  <c r="V124" i="1"/>
  <c r="V123" i="1"/>
  <c r="Y124" i="1"/>
  <c r="Y123" i="1"/>
  <c r="AB124" i="1"/>
  <c r="AB123" i="1"/>
  <c r="AD124" i="1"/>
  <c r="AD123" i="1"/>
  <c r="AF124" i="1"/>
  <c r="AF123" i="1"/>
  <c r="AH124" i="1"/>
  <c r="AH123" i="1"/>
  <c r="AJ124" i="1"/>
  <c r="AJ123" i="1"/>
  <c r="AL124" i="1"/>
  <c r="AL123" i="1"/>
  <c r="AN124" i="1"/>
  <c r="AN123" i="1"/>
  <c r="AP124" i="1"/>
  <c r="AP123" i="1"/>
  <c r="AR124" i="1"/>
  <c r="AR123" i="1"/>
  <c r="AT124" i="1"/>
  <c r="AT123" i="1"/>
  <c r="AV124" i="1"/>
  <c r="AV123" i="1"/>
  <c r="AX124" i="1"/>
  <c r="AX123" i="1"/>
  <c r="AZ124" i="1"/>
  <c r="AZ123" i="1"/>
  <c r="BB124" i="1"/>
  <c r="BB123" i="1"/>
  <c r="BO48" i="1"/>
  <c r="BO123" i="1" s="1"/>
  <c r="BQ48" i="1"/>
  <c r="BS48" i="1"/>
  <c r="BS123" i="1" s="1"/>
  <c r="BU48" i="1"/>
  <c r="BU123" i="1" s="1"/>
  <c r="BW48" i="1"/>
  <c r="BW123" i="1" s="1"/>
  <c r="BY48" i="1"/>
  <c r="BY123" i="1" s="1"/>
  <c r="BP133" i="1"/>
  <c r="BV133" i="1"/>
  <c r="BC53" i="1"/>
  <c r="BC57" i="1" s="1"/>
  <c r="AW53" i="1"/>
  <c r="AW57" i="1" s="1"/>
  <c r="AY53" i="1"/>
  <c r="AY57" i="1" s="1"/>
  <c r="BA53" i="1"/>
  <c r="BA57" i="1" s="1"/>
  <c r="E55" i="1"/>
  <c r="I55" i="1"/>
  <c r="Q55" i="1"/>
  <c r="Y55" i="1"/>
  <c r="BW66" i="1"/>
  <c r="BY66" i="1"/>
  <c r="K66" i="1"/>
  <c r="W66" i="1"/>
  <c r="BJ70" i="1"/>
  <c r="AA69" i="1"/>
  <c r="BF70" i="1"/>
  <c r="D72" i="1"/>
  <c r="F72" i="1"/>
  <c r="H72" i="1"/>
  <c r="J72" i="1"/>
  <c r="L72" i="1"/>
  <c r="N72" i="1"/>
  <c r="X72" i="1"/>
  <c r="Z72" i="1"/>
  <c r="AB72" i="1"/>
  <c r="BS72" i="1" s="1"/>
  <c r="AT72" i="1"/>
  <c r="AV72" i="1"/>
  <c r="AX72" i="1"/>
  <c r="AZ72" i="1"/>
  <c r="BB72" i="1"/>
  <c r="D73" i="1"/>
  <c r="H73" i="1"/>
  <c r="L73" i="1"/>
  <c r="AX73" i="1"/>
  <c r="AZ73" i="1"/>
  <c r="BB73" i="1"/>
  <c r="AX140" i="1"/>
  <c r="BS43" i="1"/>
  <c r="BU43" i="1"/>
  <c r="BW43" i="1"/>
  <c r="BY43" i="1"/>
  <c r="D124" i="1"/>
  <c r="D123" i="1"/>
  <c r="F124" i="1"/>
  <c r="F123" i="1"/>
  <c r="H124" i="1"/>
  <c r="H123" i="1"/>
  <c r="J124" i="1"/>
  <c r="J123" i="1"/>
  <c r="M124" i="1"/>
  <c r="M123" i="1"/>
  <c r="P124" i="1"/>
  <c r="P123" i="1"/>
  <c r="R124" i="1"/>
  <c r="R123" i="1"/>
  <c r="U124" i="1"/>
  <c r="U123" i="1"/>
  <c r="X124" i="1"/>
  <c r="X123" i="1"/>
  <c r="Z124" i="1"/>
  <c r="Z123" i="1"/>
  <c r="AC124" i="1"/>
  <c r="AC123" i="1"/>
  <c r="AE124" i="1"/>
  <c r="AE123" i="1"/>
  <c r="AG124" i="1"/>
  <c r="AG123" i="1"/>
  <c r="AI123" i="1"/>
  <c r="AI124" i="1"/>
  <c r="AK124" i="1"/>
  <c r="AK123" i="1"/>
  <c r="AM123" i="1"/>
  <c r="AM124" i="1"/>
  <c r="AO124" i="1"/>
  <c r="AO123" i="1"/>
  <c r="AQ123" i="1"/>
  <c r="AQ124" i="1"/>
  <c r="AS124" i="1"/>
  <c r="AS123" i="1"/>
  <c r="AU123" i="1"/>
  <c r="AU124" i="1"/>
  <c r="AW124" i="1"/>
  <c r="AW123" i="1"/>
  <c r="AY123" i="1"/>
  <c r="AY124" i="1"/>
  <c r="BA124" i="1"/>
  <c r="BA123" i="1"/>
  <c r="BC123" i="1"/>
  <c r="BC124" i="1"/>
  <c r="BN48" i="1"/>
  <c r="BP48" i="1"/>
  <c r="BR48" i="1"/>
  <c r="BT48" i="1"/>
  <c r="BT55" i="1" s="1"/>
  <c r="BT132" i="1" s="1"/>
  <c r="BT134" i="1" s="1"/>
  <c r="BV48" i="1"/>
  <c r="BV55" i="1" s="1"/>
  <c r="BV132" i="1" s="1"/>
  <c r="BV134" i="1" s="1"/>
  <c r="BX48" i="1"/>
  <c r="BX55" i="1" s="1"/>
  <c r="BX132" i="1" s="1"/>
  <c r="BW133" i="1"/>
  <c r="AV53" i="1"/>
  <c r="AX53" i="1"/>
  <c r="AX57" i="1" s="1"/>
  <c r="AZ53" i="1"/>
  <c r="BY53" i="1" s="1"/>
  <c r="BY52" i="1" s="1"/>
  <c r="BY133" i="1" s="1"/>
  <c r="D55" i="1"/>
  <c r="F55" i="1"/>
  <c r="H55" i="1"/>
  <c r="J55" i="1"/>
  <c r="L55" i="1"/>
  <c r="N55" i="1"/>
  <c r="P55" i="1"/>
  <c r="R55" i="1"/>
  <c r="T55" i="1"/>
  <c r="V55" i="1"/>
  <c r="X55" i="1"/>
  <c r="Z55" i="1"/>
  <c r="AB55" i="1"/>
  <c r="AD55" i="1"/>
  <c r="AF55" i="1"/>
  <c r="AH55" i="1"/>
  <c r="AJ55" i="1"/>
  <c r="AJ132" i="1" s="1"/>
  <c r="AJ134" i="1" s="1"/>
  <c r="AL55" i="1"/>
  <c r="AL132" i="1" s="1"/>
  <c r="AL134" i="1" s="1"/>
  <c r="AN55" i="1"/>
  <c r="AN132" i="1" s="1"/>
  <c r="AN134" i="1" s="1"/>
  <c r="AP55" i="1"/>
  <c r="AP132" i="1" s="1"/>
  <c r="AP134" i="1" s="1"/>
  <c r="AR55" i="1"/>
  <c r="AR132" i="1" s="1"/>
  <c r="AR134" i="1" s="1"/>
  <c r="AT55" i="1"/>
  <c r="AT132" i="1" s="1"/>
  <c r="AT134" i="1" s="1"/>
  <c r="AV55" i="1"/>
  <c r="AV132" i="1" s="1"/>
  <c r="AV134" i="1" s="1"/>
  <c r="AX55" i="1"/>
  <c r="AX132" i="1" s="1"/>
  <c r="AX134" i="1" s="1"/>
  <c r="AZ55" i="1"/>
  <c r="AZ132" i="1" s="1"/>
  <c r="AZ134" i="1" s="1"/>
  <c r="BB55" i="1"/>
  <c r="BV66" i="1"/>
  <c r="E72" i="1"/>
  <c r="G72" i="1"/>
  <c r="I72" i="1"/>
  <c r="K72" i="1"/>
  <c r="M72" i="1"/>
  <c r="O72" i="1"/>
  <c r="S72" i="1"/>
  <c r="BP72" i="1" s="1"/>
  <c r="W72" i="1"/>
  <c r="BQ72" i="1" s="1"/>
  <c r="Y72" i="1"/>
  <c r="AA72" i="1"/>
  <c r="AU72" i="1"/>
  <c r="AW72" i="1"/>
  <c r="AY72" i="1"/>
  <c r="BA72" i="1"/>
  <c r="BC72" i="1"/>
  <c r="BA73" i="1"/>
  <c r="BX72" i="1"/>
  <c r="BN79" i="1"/>
  <c r="BP79" i="1"/>
  <c r="BR79" i="1"/>
  <c r="BS83" i="1"/>
  <c r="BS85" i="1"/>
  <c r="AX83" i="1"/>
  <c r="BN98" i="1"/>
  <c r="W98" i="1"/>
  <c r="BQ98" i="1" s="1"/>
  <c r="BQ99" i="1"/>
  <c r="BM79" i="1"/>
  <c r="BO79" i="1"/>
  <c r="BQ79" i="1"/>
  <c r="BX99" i="1"/>
  <c r="BW98" i="1"/>
  <c r="BV98" i="1"/>
  <c r="CA111" i="1"/>
  <c r="CB111" i="1" s="1"/>
  <c r="BY109" i="1"/>
  <c r="BY113" i="1" s="1"/>
  <c r="BC113" i="1"/>
  <c r="BO22" i="1"/>
  <c r="BR22" i="1"/>
  <c r="BM22" i="1"/>
  <c r="BZ22" i="1"/>
  <c r="BS22" i="1"/>
  <c r="BN22" i="1"/>
  <c r="BT22" i="1"/>
  <c r="BV22" i="1"/>
  <c r="BQ22" i="1"/>
  <c r="BY22" i="1"/>
  <c r="BU22" i="1"/>
  <c r="CA22" i="1"/>
  <c r="BW22" i="1"/>
  <c r="BX22" i="1"/>
  <c r="BP22" i="1"/>
  <c r="BY137" i="1" l="1"/>
  <c r="BY139" i="1" s="1"/>
  <c r="BY72" i="1"/>
  <c r="BZ69" i="1"/>
  <c r="BH69" i="1"/>
  <c r="BI69" i="1" s="1"/>
  <c r="BJ69" i="1" s="1"/>
  <c r="BK69" i="1" s="1"/>
  <c r="CA69" i="1" s="1"/>
  <c r="CB69" i="1" s="1"/>
  <c r="BF73" i="1"/>
  <c r="BQ55" i="1"/>
  <c r="BQ132" i="1" s="1"/>
  <c r="BQ134" i="1" s="1"/>
  <c r="BX53" i="1"/>
  <c r="BX52" i="1" s="1"/>
  <c r="BX133" i="1" s="1"/>
  <c r="BP73" i="1"/>
  <c r="BP66" i="1"/>
  <c r="BP137" i="1" s="1"/>
  <c r="BP139" i="1" s="1"/>
  <c r="BE66" i="1"/>
  <c r="BX134" i="1"/>
  <c r="BE113" i="1"/>
  <c r="BE115" i="1"/>
  <c r="BY99" i="1"/>
  <c r="BX98" i="1"/>
  <c r="BQ140" i="1"/>
  <c r="BQ85" i="1"/>
  <c r="BQ83" i="1"/>
  <c r="BM140" i="1"/>
  <c r="BM85" i="1"/>
  <c r="BM83" i="1"/>
  <c r="BR140" i="1"/>
  <c r="BR85" i="1"/>
  <c r="BR83" i="1"/>
  <c r="BN140" i="1"/>
  <c r="BN85" i="1"/>
  <c r="BN83" i="1"/>
  <c r="BR72" i="1"/>
  <c r="BO72" i="1"/>
  <c r="BN72" i="1"/>
  <c r="BM72" i="1"/>
  <c r="AA66" i="1"/>
  <c r="BR69" i="1"/>
  <c r="BZ68" i="1"/>
  <c r="BF66" i="1"/>
  <c r="BF72" i="1" s="1"/>
  <c r="BW137" i="1"/>
  <c r="BW139" i="1" s="1"/>
  <c r="BW72" i="1"/>
  <c r="BP45" i="1"/>
  <c r="BP43" i="1"/>
  <c r="BM45" i="1"/>
  <c r="BM43" i="1"/>
  <c r="W57" i="1"/>
  <c r="O57" i="1"/>
  <c r="G57" i="1"/>
  <c r="AA56" i="1"/>
  <c r="BR33" i="1"/>
  <c r="S56" i="1"/>
  <c r="BP33" i="1"/>
  <c r="K56" i="1"/>
  <c r="BX57" i="1"/>
  <c r="BX56" i="1"/>
  <c r="AH35" i="1"/>
  <c r="AH33" i="1"/>
  <c r="AI32" i="1"/>
  <c r="BZ35" i="1"/>
  <c r="BX123" i="1"/>
  <c r="BV123" i="1"/>
  <c r="BT123" i="1"/>
  <c r="BP123" i="1"/>
  <c r="BP55" i="1"/>
  <c r="BP132" i="1" s="1"/>
  <c r="BP134" i="1" s="1"/>
  <c r="BP35" i="1"/>
  <c r="BJ35" i="1"/>
  <c r="BM73" i="1"/>
  <c r="AB57" i="1"/>
  <c r="AB36" i="1"/>
  <c r="AF56" i="1"/>
  <c r="AF34" i="1"/>
  <c r="BY57" i="1"/>
  <c r="BY56" i="1"/>
  <c r="BT32" i="1"/>
  <c r="BT35" i="1" s="1"/>
  <c r="BY55" i="1"/>
  <c r="BY132" i="1" s="1"/>
  <c r="BY134" i="1" s="1"/>
  <c r="BW55" i="1"/>
  <c r="BW132" i="1" s="1"/>
  <c r="BW134" i="1" s="1"/>
  <c r="BU55" i="1"/>
  <c r="BU132" i="1" s="1"/>
  <c r="BU134" i="1" s="1"/>
  <c r="BS55" i="1"/>
  <c r="BS132" i="1" s="1"/>
  <c r="BS134" i="1" s="1"/>
  <c r="BO55" i="1"/>
  <c r="BO132" i="1" s="1"/>
  <c r="BO134" i="1" s="1"/>
  <c r="S55" i="1"/>
  <c r="BM57" i="1"/>
  <c r="BM55" i="1"/>
  <c r="BM132" i="1" s="1"/>
  <c r="BM134" i="1" s="1"/>
  <c r="BO140" i="1"/>
  <c r="BO85" i="1"/>
  <c r="BO83" i="1"/>
  <c r="BP140" i="1"/>
  <c r="BP85" i="1"/>
  <c r="BP83" i="1"/>
  <c r="BV137" i="1"/>
  <c r="BV139" i="1" s="1"/>
  <c r="BV72" i="1"/>
  <c r="BF138" i="1"/>
  <c r="BG70" i="1"/>
  <c r="BJ138" i="1"/>
  <c r="BK70" i="1"/>
  <c r="BK138" i="1" s="1"/>
  <c r="CA70" i="1"/>
  <c r="BR45" i="1"/>
  <c r="BR43" i="1"/>
  <c r="BN45" i="1"/>
  <c r="BN43" i="1"/>
  <c r="BE45" i="1"/>
  <c r="BE57" i="1" s="1"/>
  <c r="BE43" i="1"/>
  <c r="BE56" i="1" s="1"/>
  <c r="BQ45" i="1"/>
  <c r="BQ57" i="1" s="1"/>
  <c r="BQ43" i="1"/>
  <c r="AA57" i="1"/>
  <c r="S57" i="1"/>
  <c r="K57" i="1"/>
  <c r="AG56" i="1"/>
  <c r="AG34" i="1"/>
  <c r="W56" i="1"/>
  <c r="BQ33" i="1"/>
  <c r="O56" i="1"/>
  <c r="BO33" i="1"/>
  <c r="G56" i="1"/>
  <c r="BM33" i="1"/>
  <c r="BV57" i="1"/>
  <c r="BN33" i="1"/>
  <c r="BE133" i="1"/>
  <c r="BE134" i="1" s="1"/>
  <c r="BR123" i="1"/>
  <c r="BR55" i="1"/>
  <c r="BR132" i="1" s="1"/>
  <c r="BR134" i="1" s="1"/>
  <c r="BR35" i="1"/>
  <c r="BN123" i="1"/>
  <c r="BN55" i="1"/>
  <c r="BN132" i="1" s="1"/>
  <c r="BN134" i="1" s="1"/>
  <c r="BN35" i="1"/>
  <c r="BG35" i="1"/>
  <c r="BE123" i="1"/>
  <c r="AA73" i="1"/>
  <c r="BO73" i="1"/>
  <c r="AZ57" i="1"/>
  <c r="AV57" i="1"/>
  <c r="AB56" i="1"/>
  <c r="AB34" i="1"/>
  <c r="BS33" i="1"/>
  <c r="BW57" i="1"/>
  <c r="BS57" i="1"/>
  <c r="BO57" i="1"/>
  <c r="BW56" i="1"/>
  <c r="CA28" i="1"/>
  <c r="BQ123" i="1"/>
  <c r="BM123" i="1"/>
  <c r="BC20" i="1"/>
  <c r="BC127" i="1" s="1"/>
  <c r="BC129" i="1" s="1"/>
  <c r="BB20" i="1"/>
  <c r="BA20" i="1"/>
  <c r="AZ20" i="1"/>
  <c r="AY20" i="1"/>
  <c r="AX20" i="1"/>
  <c r="AW20" i="1"/>
  <c r="AV20" i="1"/>
  <c r="AU20" i="1"/>
  <c r="AT20" i="1"/>
  <c r="AS20" i="1"/>
  <c r="AR20" i="1"/>
  <c r="AQ20" i="1"/>
  <c r="AP20" i="1"/>
  <c r="AO20" i="1"/>
  <c r="AN20" i="1"/>
  <c r="AM20" i="1"/>
  <c r="AL20" i="1"/>
  <c r="AK20" i="1"/>
  <c r="AJ20" i="1"/>
  <c r="AI20" i="1"/>
  <c r="AH20" i="1"/>
  <c r="AG20" i="1"/>
  <c r="AF20" i="1"/>
  <c r="AE20" i="1"/>
  <c r="AD20" i="1"/>
  <c r="AC20" i="1"/>
  <c r="AB20" i="1"/>
  <c r="Z20" i="1"/>
  <c r="Y20" i="1"/>
  <c r="X20" i="1"/>
  <c r="V20" i="1"/>
  <c r="U20" i="1"/>
  <c r="T20" i="1"/>
  <c r="R20" i="1"/>
  <c r="Q20" i="1"/>
  <c r="P20" i="1"/>
  <c r="N20" i="1"/>
  <c r="M20" i="1"/>
  <c r="L20" i="1"/>
  <c r="J20" i="1"/>
  <c r="I20" i="1"/>
  <c r="H20" i="1"/>
  <c r="F20" i="1"/>
  <c r="E20" i="1"/>
  <c r="D20" i="1"/>
  <c r="BC18" i="1"/>
  <c r="BB18" i="1"/>
  <c r="BB25" i="1" s="1"/>
  <c r="BA18" i="1"/>
  <c r="BA25" i="1" s="1"/>
  <c r="AZ18" i="1"/>
  <c r="AZ25" i="1" s="1"/>
  <c r="AY18" i="1"/>
  <c r="AY25" i="1" s="1"/>
  <c r="AX18" i="1"/>
  <c r="AX25" i="1" s="1"/>
  <c r="AW18" i="1"/>
  <c r="AW25" i="1" s="1"/>
  <c r="AV18" i="1"/>
  <c r="AV25" i="1" s="1"/>
  <c r="AU18" i="1"/>
  <c r="AU25" i="1" s="1"/>
  <c r="AT18" i="1"/>
  <c r="AT25" i="1" s="1"/>
  <c r="AS18" i="1"/>
  <c r="AS25" i="1" s="1"/>
  <c r="AR18" i="1"/>
  <c r="AR25" i="1" s="1"/>
  <c r="AQ18" i="1"/>
  <c r="AQ25" i="1" s="1"/>
  <c r="AP18" i="1"/>
  <c r="AP25" i="1" s="1"/>
  <c r="AO18" i="1"/>
  <c r="AO25" i="1" s="1"/>
  <c r="AN18" i="1"/>
  <c r="AN25" i="1" s="1"/>
  <c r="AM18" i="1"/>
  <c r="AM25" i="1" s="1"/>
  <c r="AL18" i="1"/>
  <c r="AL25" i="1" s="1"/>
  <c r="AK18" i="1"/>
  <c r="AK25" i="1" s="1"/>
  <c r="AJ18" i="1"/>
  <c r="AJ25" i="1" s="1"/>
  <c r="AI18" i="1"/>
  <c r="AI25" i="1" s="1"/>
  <c r="AH18" i="1"/>
  <c r="AH25" i="1" s="1"/>
  <c r="AG18" i="1"/>
  <c r="AG25" i="1" s="1"/>
  <c r="AF18" i="1"/>
  <c r="AF25" i="1" s="1"/>
  <c r="AE18" i="1"/>
  <c r="AE25" i="1" s="1"/>
  <c r="AD18" i="1"/>
  <c r="AD25" i="1" s="1"/>
  <c r="AC18" i="1"/>
  <c r="AC25" i="1" s="1"/>
  <c r="Z18" i="1"/>
  <c r="Z25" i="1" s="1"/>
  <c r="Y18" i="1"/>
  <c r="Y25" i="1" s="1"/>
  <c r="X18" i="1"/>
  <c r="X25" i="1" s="1"/>
  <c r="R18" i="1"/>
  <c r="R25" i="1" s="1"/>
  <c r="Q18" i="1"/>
  <c r="Q25" i="1" s="1"/>
  <c r="P18" i="1"/>
  <c r="P25" i="1" s="1"/>
  <c r="N18" i="1"/>
  <c r="N25" i="1" s="1"/>
  <c r="J18" i="1"/>
  <c r="J25" i="1" s="1"/>
  <c r="I18" i="1"/>
  <c r="I25" i="1" s="1"/>
  <c r="H18" i="1"/>
  <c r="H25" i="1" s="1"/>
  <c r="F18" i="1"/>
  <c r="F25" i="1" s="1"/>
  <c r="E18" i="1"/>
  <c r="E25" i="1" s="1"/>
  <c r="D18" i="1"/>
  <c r="D25" i="1" s="1"/>
  <c r="BC17" i="1"/>
  <c r="BC23" i="1" s="1"/>
  <c r="BB17" i="1"/>
  <c r="BB23" i="1" s="1"/>
  <c r="BA17" i="1"/>
  <c r="BA23" i="1" s="1"/>
  <c r="AZ17" i="1"/>
  <c r="AZ23" i="1" s="1"/>
  <c r="AY17" i="1"/>
  <c r="AY23" i="1" s="1"/>
  <c r="AX17" i="1"/>
  <c r="AX23" i="1" s="1"/>
  <c r="AW17" i="1"/>
  <c r="AW23" i="1" s="1"/>
  <c r="AV17" i="1"/>
  <c r="AV23" i="1" s="1"/>
  <c r="AU17" i="1"/>
  <c r="AU23" i="1" s="1"/>
  <c r="AT17" i="1"/>
  <c r="AT23" i="1" s="1"/>
  <c r="AS17" i="1"/>
  <c r="AS23" i="1" s="1"/>
  <c r="AR17" i="1"/>
  <c r="AR23" i="1" s="1"/>
  <c r="AQ17" i="1"/>
  <c r="AQ23" i="1" s="1"/>
  <c r="AP17" i="1"/>
  <c r="AP23" i="1" s="1"/>
  <c r="AO17" i="1"/>
  <c r="AO23" i="1" s="1"/>
  <c r="AN17" i="1"/>
  <c r="AN23" i="1" s="1"/>
  <c r="AM17" i="1"/>
  <c r="AM23" i="1" s="1"/>
  <c r="AL17" i="1"/>
  <c r="AL23" i="1" s="1"/>
  <c r="AK17" i="1"/>
  <c r="AK23" i="1" s="1"/>
  <c r="AJ17" i="1"/>
  <c r="AJ23" i="1" s="1"/>
  <c r="AI17" i="1"/>
  <c r="AI23" i="1" s="1"/>
  <c r="AH17" i="1"/>
  <c r="AH23" i="1" s="1"/>
  <c r="AG17" i="1"/>
  <c r="AG23" i="1" s="1"/>
  <c r="AF17" i="1"/>
  <c r="AF23" i="1" s="1"/>
  <c r="AE17" i="1"/>
  <c r="AE23" i="1" s="1"/>
  <c r="AD17" i="1"/>
  <c r="AD23" i="1" s="1"/>
  <c r="AC17" i="1"/>
  <c r="AC23" i="1" s="1"/>
  <c r="Z17" i="1"/>
  <c r="Z23" i="1" s="1"/>
  <c r="Y17" i="1"/>
  <c r="Y23" i="1" s="1"/>
  <c r="X17" i="1"/>
  <c r="X23" i="1" s="1"/>
  <c r="R17" i="1"/>
  <c r="R23" i="1" s="1"/>
  <c r="Q17" i="1"/>
  <c r="Q23" i="1" s="1"/>
  <c r="P17" i="1"/>
  <c r="P23" i="1" s="1"/>
  <c r="N17" i="1"/>
  <c r="N23" i="1" s="1"/>
  <c r="J17" i="1"/>
  <c r="J23" i="1" s="1"/>
  <c r="I17" i="1"/>
  <c r="I23" i="1" s="1"/>
  <c r="H17" i="1"/>
  <c r="H23" i="1" s="1"/>
  <c r="F17" i="1"/>
  <c r="F23" i="1" s="1"/>
  <c r="E17" i="1"/>
  <c r="E23" i="1" s="1"/>
  <c r="D17" i="1"/>
  <c r="D23" i="1" s="1"/>
  <c r="AB16" i="1"/>
  <c r="AB18" i="1" s="1"/>
  <c r="AB25" i="1" s="1"/>
  <c r="V16" i="1"/>
  <c r="V18" i="1" s="1"/>
  <c r="V25" i="1" s="1"/>
  <c r="U16" i="1"/>
  <c r="U18" i="1" s="1"/>
  <c r="U25" i="1" s="1"/>
  <c r="T16" i="1"/>
  <c r="T18" i="1" s="1"/>
  <c r="T25" i="1" s="1"/>
  <c r="M16" i="1"/>
  <c r="M18" i="1" s="1"/>
  <c r="M25" i="1" s="1"/>
  <c r="L16" i="1"/>
  <c r="L18" i="1" s="1"/>
  <c r="L25" i="1" s="1"/>
  <c r="K16" i="1"/>
  <c r="BY18" i="1"/>
  <c r="BX18" i="1"/>
  <c r="BW18" i="1"/>
  <c r="BV18" i="1"/>
  <c r="BX17" i="1"/>
  <c r="BW17" i="1"/>
  <c r="BV17" i="1"/>
  <c r="BU17" i="1"/>
  <c r="BT17" i="1"/>
  <c r="CA16" i="1"/>
  <c r="CB16" i="1" s="1"/>
  <c r="BZ16" i="1"/>
  <c r="BY16" i="1"/>
  <c r="BX16" i="1"/>
  <c r="BW16" i="1"/>
  <c r="BV16" i="1"/>
  <c r="BU16" i="1"/>
  <c r="BU128" i="1" s="1"/>
  <c r="BT16" i="1"/>
  <c r="BT128" i="1" s="1"/>
  <c r="BS16" i="1"/>
  <c r="BS128" i="1" s="1"/>
  <c r="BR16" i="1"/>
  <c r="BR128" i="1" s="1"/>
  <c r="BQ16" i="1"/>
  <c r="BQ128" i="1" s="1"/>
  <c r="BP16" i="1"/>
  <c r="BP128" i="1" s="1"/>
  <c r="BO16" i="1"/>
  <c r="BO128" i="1" s="1"/>
  <c r="BN16" i="1"/>
  <c r="BN128" i="1" s="1"/>
  <c r="BM16" i="1"/>
  <c r="BM128" i="1" s="1"/>
  <c r="BY15" i="1"/>
  <c r="BX15" i="1"/>
  <c r="BW15" i="1"/>
  <c r="BV15" i="1"/>
  <c r="BU15" i="1"/>
  <c r="BT15" i="1"/>
  <c r="BS15" i="1"/>
  <c r="BR15" i="1"/>
  <c r="BQ15" i="1"/>
  <c r="BP15" i="1"/>
  <c r="BO15" i="1"/>
  <c r="BN15" i="1"/>
  <c r="BM15" i="1"/>
  <c r="BY14" i="1"/>
  <c r="BY124" i="1" s="1"/>
  <c r="BX14" i="1"/>
  <c r="BX124" i="1" s="1"/>
  <c r="BW14" i="1"/>
  <c r="BW124" i="1" s="1"/>
  <c r="BV14" i="1"/>
  <c r="BV124" i="1" s="1"/>
  <c r="BU14" i="1"/>
  <c r="BU124" i="1" s="1"/>
  <c r="BT14" i="1"/>
  <c r="BT124" i="1" s="1"/>
  <c r="BS14" i="1"/>
  <c r="BS124" i="1" s="1"/>
  <c r="AA14" i="1"/>
  <c r="AA124" i="1" s="1"/>
  <c r="W14" i="1"/>
  <c r="W124" i="1" s="1"/>
  <c r="S14" i="1"/>
  <c r="S124" i="1" s="1"/>
  <c r="O14" i="1"/>
  <c r="O124" i="1" s="1"/>
  <c r="K14" i="1"/>
  <c r="K124" i="1" s="1"/>
  <c r="G14" i="1"/>
  <c r="G124" i="1" s="1"/>
  <c r="BC12" i="1"/>
  <c r="BB12" i="1"/>
  <c r="BA12" i="1"/>
  <c r="AZ12" i="1"/>
  <c r="AY12" i="1"/>
  <c r="AX12" i="1"/>
  <c r="AW12" i="1"/>
  <c r="AV12" i="1"/>
  <c r="AU12" i="1"/>
  <c r="AT12" i="1"/>
  <c r="AS12" i="1"/>
  <c r="AR12" i="1"/>
  <c r="AQ12" i="1"/>
  <c r="AP12" i="1"/>
  <c r="AO12" i="1"/>
  <c r="AN12" i="1"/>
  <c r="AM12" i="1"/>
  <c r="AL12" i="1"/>
  <c r="AK12" i="1"/>
  <c r="AJ12" i="1"/>
  <c r="AI12" i="1"/>
  <c r="AH12" i="1"/>
  <c r="AG12" i="1"/>
  <c r="AF12" i="1"/>
  <c r="AD12" i="1"/>
  <c r="AC12" i="1"/>
  <c r="AB12" i="1"/>
  <c r="Z12" i="1"/>
  <c r="Y12" i="1"/>
  <c r="X12" i="1"/>
  <c r="V12" i="1"/>
  <c r="U12" i="1"/>
  <c r="T12" i="1"/>
  <c r="R12" i="1"/>
  <c r="Q12" i="1"/>
  <c r="P12" i="1"/>
  <c r="N12" i="1"/>
  <c r="M12" i="1"/>
  <c r="L12" i="1"/>
  <c r="J12" i="1"/>
  <c r="I12" i="1"/>
  <c r="H12" i="1"/>
  <c r="BC11" i="1"/>
  <c r="BB11" i="1"/>
  <c r="BA11" i="1"/>
  <c r="AZ11" i="1"/>
  <c r="AY11" i="1"/>
  <c r="AX11" i="1"/>
  <c r="AW11" i="1"/>
  <c r="AV11" i="1"/>
  <c r="AU11" i="1"/>
  <c r="AT11" i="1"/>
  <c r="AS11" i="1"/>
  <c r="AR11" i="1"/>
  <c r="AQ11" i="1"/>
  <c r="AP11" i="1"/>
  <c r="AO11" i="1"/>
  <c r="AN11" i="1"/>
  <c r="AM11" i="1"/>
  <c r="AL11" i="1"/>
  <c r="AK11" i="1"/>
  <c r="AJ11" i="1"/>
  <c r="AI11" i="1"/>
  <c r="AH11" i="1"/>
  <c r="AG11" i="1"/>
  <c r="AF11" i="1"/>
  <c r="AE11" i="1"/>
  <c r="AD11" i="1"/>
  <c r="AC11" i="1"/>
  <c r="Z11" i="1"/>
  <c r="Y11" i="1"/>
  <c r="V11" i="1"/>
  <c r="U11" i="1"/>
  <c r="R11" i="1"/>
  <c r="Q11" i="1"/>
  <c r="N11" i="1"/>
  <c r="M11" i="1"/>
  <c r="J11" i="1"/>
  <c r="I11" i="1"/>
  <c r="F11" i="1"/>
  <c r="E11" i="1"/>
  <c r="AS10" i="1"/>
  <c r="BC10" i="1"/>
  <c r="AO10" i="1"/>
  <c r="AH10" i="1"/>
  <c r="AY10" i="1"/>
  <c r="AP10" i="1"/>
  <c r="AX10" i="1"/>
  <c r="BG10" i="1"/>
  <c r="AW10" i="1"/>
  <c r="AJ10" i="1"/>
  <c r="AZ10" i="1"/>
  <c r="BK10" i="1"/>
  <c r="AI10" i="1"/>
  <c r="BB10" i="1"/>
  <c r="BH10" i="1"/>
  <c r="BJ10" i="1"/>
  <c r="BA10" i="1"/>
  <c r="AN10" i="1"/>
  <c r="AV10" i="1"/>
  <c r="AR10" i="1"/>
  <c r="AL10" i="1"/>
  <c r="AU10" i="1"/>
  <c r="BF10" i="1"/>
  <c r="AQ10" i="1"/>
  <c r="AM10" i="1"/>
  <c r="BE10" i="1"/>
  <c r="AT10" i="1"/>
  <c r="BI10" i="1"/>
  <c r="AK10" i="1"/>
  <c r="BE72" i="1" l="1"/>
  <c r="BG138" i="1"/>
  <c r="BG73" i="1"/>
  <c r="BZ70" i="1"/>
  <c r="BZ73" i="1" s="1"/>
  <c r="BW20" i="1"/>
  <c r="BC25" i="1"/>
  <c r="BC135" i="1"/>
  <c r="BC130" i="1"/>
  <c r="CA138" i="1"/>
  <c r="CB70" i="1"/>
  <c r="CB138" i="1" s="1"/>
  <c r="BE137" i="1"/>
  <c r="BE139" i="1" s="1"/>
  <c r="BY17" i="1"/>
  <c r="BY20" i="1"/>
  <c r="L63" i="1"/>
  <c r="L26" i="1"/>
  <c r="V63" i="1"/>
  <c r="V26" i="1"/>
  <c r="BW127" i="1"/>
  <c r="BW59" i="1"/>
  <c r="BY127" i="1"/>
  <c r="BY59" i="1"/>
  <c r="M63" i="1"/>
  <c r="M26" i="1"/>
  <c r="U63" i="1"/>
  <c r="U26" i="1"/>
  <c r="AB63" i="1"/>
  <c r="AB26" i="1"/>
  <c r="T63" i="1"/>
  <c r="T26" i="1"/>
  <c r="J40" i="1"/>
  <c r="J30" i="1"/>
  <c r="N40" i="1"/>
  <c r="N30" i="1"/>
  <c r="R40" i="1"/>
  <c r="R30" i="1"/>
  <c r="V40" i="1"/>
  <c r="V30" i="1"/>
  <c r="AD40" i="1"/>
  <c r="AD30" i="1"/>
  <c r="E40" i="1"/>
  <c r="E30" i="1"/>
  <c r="I40" i="1"/>
  <c r="I30" i="1"/>
  <c r="M40" i="1"/>
  <c r="M30" i="1"/>
  <c r="Q40" i="1"/>
  <c r="Q30" i="1"/>
  <c r="U40" i="1"/>
  <c r="U30" i="1"/>
  <c r="Y40" i="1"/>
  <c r="Y30" i="1"/>
  <c r="AC40" i="1"/>
  <c r="AC30" i="1"/>
  <c r="AE40" i="1"/>
  <c r="AE30" i="1"/>
  <c r="AG40" i="1"/>
  <c r="AG30" i="1"/>
  <c r="AI40" i="1"/>
  <c r="AI30" i="1"/>
  <c r="AK40" i="1"/>
  <c r="AK30" i="1"/>
  <c r="AM40" i="1"/>
  <c r="AM30" i="1"/>
  <c r="AO40" i="1"/>
  <c r="AO30" i="1"/>
  <c r="AQ40" i="1"/>
  <c r="AQ30" i="1"/>
  <c r="AS40" i="1"/>
  <c r="AS30" i="1"/>
  <c r="AU40" i="1"/>
  <c r="AU30" i="1"/>
  <c r="AW40" i="1"/>
  <c r="AW30" i="1"/>
  <c r="AY40" i="1"/>
  <c r="AY30" i="1"/>
  <c r="BA40" i="1"/>
  <c r="BA30" i="1"/>
  <c r="BC40" i="1"/>
  <c r="BC30" i="1"/>
  <c r="BE15" i="1"/>
  <c r="BN14" i="1"/>
  <c r="BP14" i="1"/>
  <c r="BR14" i="1"/>
  <c r="BV128" i="1"/>
  <c r="BX128" i="1"/>
  <c r="BT18" i="1"/>
  <c r="E61" i="1"/>
  <c r="E24" i="1"/>
  <c r="G17" i="1"/>
  <c r="BM17" i="1" s="1"/>
  <c r="I61" i="1"/>
  <c r="I24" i="1"/>
  <c r="K17" i="1"/>
  <c r="BN17" i="1" s="1"/>
  <c r="M17" i="1"/>
  <c r="M23" i="1" s="1"/>
  <c r="O17" i="1"/>
  <c r="Q61" i="1"/>
  <c r="Q24" i="1"/>
  <c r="S17" i="1"/>
  <c r="BP17" i="1" s="1"/>
  <c r="U17" i="1"/>
  <c r="U23" i="1" s="1"/>
  <c r="W17" i="1"/>
  <c r="Y61" i="1"/>
  <c r="Y24" i="1"/>
  <c r="AA17" i="1"/>
  <c r="BR17" i="1" s="1"/>
  <c r="AC61" i="1"/>
  <c r="AC24" i="1"/>
  <c r="AE61" i="1"/>
  <c r="AE24" i="1"/>
  <c r="AG61" i="1"/>
  <c r="AG24" i="1"/>
  <c r="AI24" i="1"/>
  <c r="AK24" i="1"/>
  <c r="AM24" i="1"/>
  <c r="AO24" i="1"/>
  <c r="AQ24" i="1"/>
  <c r="AS61" i="1"/>
  <c r="AS24" i="1"/>
  <c r="AU61" i="1"/>
  <c r="AU24" i="1"/>
  <c r="AW61" i="1"/>
  <c r="AW24" i="1"/>
  <c r="AY61" i="1"/>
  <c r="AY24" i="1"/>
  <c r="BA61" i="1"/>
  <c r="BA24" i="1"/>
  <c r="BC61" i="1"/>
  <c r="BC24" i="1"/>
  <c r="E63" i="1"/>
  <c r="E26" i="1"/>
  <c r="G18" i="1"/>
  <c r="I63" i="1"/>
  <c r="I26" i="1"/>
  <c r="K18" i="1"/>
  <c r="O18" i="1"/>
  <c r="Q63" i="1"/>
  <c r="Q26" i="1"/>
  <c r="S18" i="1"/>
  <c r="W18" i="1"/>
  <c r="Y63" i="1"/>
  <c r="Y26" i="1"/>
  <c r="AA18" i="1"/>
  <c r="AC63" i="1"/>
  <c r="AC26" i="1"/>
  <c r="AE63" i="1"/>
  <c r="AE26" i="1"/>
  <c r="AG63" i="1"/>
  <c r="AG26" i="1"/>
  <c r="AI26" i="1"/>
  <c r="AK26" i="1"/>
  <c r="AM26" i="1"/>
  <c r="AO26" i="1"/>
  <c r="AQ26" i="1"/>
  <c r="AS63" i="1"/>
  <c r="AS26" i="1"/>
  <c r="AU63" i="1"/>
  <c r="AU26" i="1"/>
  <c r="AW63" i="1"/>
  <c r="AW26" i="1"/>
  <c r="AY63" i="1"/>
  <c r="AY26" i="1"/>
  <c r="BA63" i="1"/>
  <c r="BA26" i="1"/>
  <c r="BC63" i="1"/>
  <c r="BC166" i="2" s="1"/>
  <c r="BC168" i="2" s="1"/>
  <c r="BC26" i="1"/>
  <c r="E59" i="1"/>
  <c r="E21" i="1"/>
  <c r="I59" i="1"/>
  <c r="I21" i="1"/>
  <c r="M59" i="1"/>
  <c r="M21" i="1"/>
  <c r="Q59" i="1"/>
  <c r="Q21" i="1"/>
  <c r="U59" i="1"/>
  <c r="U21" i="1"/>
  <c r="Y59" i="1"/>
  <c r="Y21" i="1"/>
  <c r="AC59" i="1"/>
  <c r="AC21" i="1"/>
  <c r="AE59" i="1"/>
  <c r="AE21" i="1"/>
  <c r="AG59" i="1"/>
  <c r="AG21" i="1"/>
  <c r="AI59" i="1"/>
  <c r="AI21" i="1"/>
  <c r="AK127" i="1"/>
  <c r="AK129" i="1" s="1"/>
  <c r="AK59" i="1"/>
  <c r="AK21" i="1"/>
  <c r="AM127" i="1"/>
  <c r="AM129" i="1" s="1"/>
  <c r="AM59" i="1"/>
  <c r="AM21" i="1"/>
  <c r="AO127" i="1"/>
  <c r="AO129" i="1" s="1"/>
  <c r="AO59" i="1"/>
  <c r="AO21" i="1"/>
  <c r="AQ127" i="1"/>
  <c r="AQ129" i="1" s="1"/>
  <c r="AQ59" i="1"/>
  <c r="AQ21" i="1"/>
  <c r="AS127" i="1"/>
  <c r="AS129" i="1" s="1"/>
  <c r="AS59" i="1"/>
  <c r="AS21" i="1"/>
  <c r="AU127" i="1"/>
  <c r="AU129" i="1" s="1"/>
  <c r="AU59" i="1"/>
  <c r="AU21" i="1"/>
  <c r="AW127" i="1"/>
  <c r="AW129" i="1" s="1"/>
  <c r="AW59" i="1"/>
  <c r="AW21" i="1"/>
  <c r="AY127" i="1"/>
  <c r="AY129" i="1" s="1"/>
  <c r="AY59" i="1"/>
  <c r="AY21" i="1"/>
  <c r="BA59" i="1"/>
  <c r="BA21" i="1"/>
  <c r="BC59" i="1"/>
  <c r="BC21" i="1"/>
  <c r="CA35" i="1"/>
  <c r="BS56" i="1"/>
  <c r="BR57" i="1"/>
  <c r="BN56" i="1"/>
  <c r="BO56" i="1"/>
  <c r="BF45" i="1"/>
  <c r="BF43" i="1"/>
  <c r="BZ38" i="1"/>
  <c r="BF123" i="1"/>
  <c r="BF55" i="1"/>
  <c r="BF132" i="1" s="1"/>
  <c r="CA41" i="1"/>
  <c r="CB41" i="1" s="1"/>
  <c r="BT57" i="1"/>
  <c r="BP57" i="1"/>
  <c r="AI35" i="1"/>
  <c r="AI33" i="1"/>
  <c r="AJ32" i="1"/>
  <c r="AH57" i="1"/>
  <c r="AH63" i="1" s="1"/>
  <c r="AH36" i="1"/>
  <c r="BR56" i="1"/>
  <c r="BF137" i="1"/>
  <c r="BF139" i="1" s="1"/>
  <c r="BR66" i="1"/>
  <c r="BR137" i="1" s="1"/>
  <c r="BR139" i="1" s="1"/>
  <c r="BR73" i="1"/>
  <c r="BZ99" i="1"/>
  <c r="BY98" i="1"/>
  <c r="F40" i="1"/>
  <c r="F30" i="1"/>
  <c r="Z40" i="1"/>
  <c r="Z30" i="1"/>
  <c r="AF40" i="1"/>
  <c r="AF30" i="1"/>
  <c r="AH40" i="1"/>
  <c r="AH30" i="1"/>
  <c r="AJ40" i="1"/>
  <c r="AJ30" i="1"/>
  <c r="AL40" i="1"/>
  <c r="AL30" i="1"/>
  <c r="AN40" i="1"/>
  <c r="AN30" i="1"/>
  <c r="AP40" i="1"/>
  <c r="AP30" i="1"/>
  <c r="AR40" i="1"/>
  <c r="AR30" i="1"/>
  <c r="AT40" i="1"/>
  <c r="AT30" i="1"/>
  <c r="AV40" i="1"/>
  <c r="AV30" i="1"/>
  <c r="AX40" i="1"/>
  <c r="AX30" i="1"/>
  <c r="AZ40" i="1"/>
  <c r="AZ30" i="1"/>
  <c r="BB40" i="1"/>
  <c r="BB30" i="1"/>
  <c r="BM14" i="1"/>
  <c r="BO14" i="1"/>
  <c r="BQ14" i="1"/>
  <c r="BW128" i="1"/>
  <c r="BY128" i="1"/>
  <c r="BS18" i="1"/>
  <c r="BU18" i="1"/>
  <c r="D61" i="1"/>
  <c r="D24" i="1"/>
  <c r="F61" i="1"/>
  <c r="F24" i="1"/>
  <c r="H61" i="1"/>
  <c r="H24" i="1"/>
  <c r="J61" i="1"/>
  <c r="J24" i="1"/>
  <c r="L17" i="1"/>
  <c r="N61" i="1"/>
  <c r="N24" i="1"/>
  <c r="P61" i="1"/>
  <c r="P24" i="1"/>
  <c r="R61" i="1"/>
  <c r="R24" i="1"/>
  <c r="T17" i="1"/>
  <c r="V17" i="1"/>
  <c r="V23" i="1" s="1"/>
  <c r="X61" i="1"/>
  <c r="X24" i="1"/>
  <c r="Z61" i="1"/>
  <c r="Z24" i="1"/>
  <c r="AB17" i="1"/>
  <c r="AD61" i="1"/>
  <c r="AD24" i="1"/>
  <c r="AF61" i="1"/>
  <c r="AF24" i="1"/>
  <c r="AH24" i="1"/>
  <c r="AJ24" i="1"/>
  <c r="AL24" i="1"/>
  <c r="AN24" i="1"/>
  <c r="AP24" i="1"/>
  <c r="AR61" i="1"/>
  <c r="AR24" i="1"/>
  <c r="AT61" i="1"/>
  <c r="AT24" i="1"/>
  <c r="AV61" i="1"/>
  <c r="AV24" i="1"/>
  <c r="AX61" i="1"/>
  <c r="AX24" i="1"/>
  <c r="AZ61" i="1"/>
  <c r="AZ24" i="1"/>
  <c r="BB61" i="1"/>
  <c r="BB24" i="1"/>
  <c r="D63" i="1"/>
  <c r="D26" i="1"/>
  <c r="F63" i="1"/>
  <c r="F26" i="1"/>
  <c r="H63" i="1"/>
  <c r="H26" i="1"/>
  <c r="J63" i="1"/>
  <c r="J26" i="1"/>
  <c r="N63" i="1"/>
  <c r="N26" i="1"/>
  <c r="P63" i="1"/>
  <c r="P26" i="1"/>
  <c r="R63" i="1"/>
  <c r="R26" i="1"/>
  <c r="X63" i="1"/>
  <c r="X26" i="1"/>
  <c r="Z63" i="1"/>
  <c r="Z26" i="1"/>
  <c r="AD63" i="1"/>
  <c r="AD26" i="1"/>
  <c r="AF63" i="1"/>
  <c r="AF26" i="1"/>
  <c r="AH26" i="1"/>
  <c r="AJ26" i="1"/>
  <c r="AL26" i="1"/>
  <c r="AN26" i="1"/>
  <c r="BV25" i="1"/>
  <c r="AP26" i="1"/>
  <c r="AR63" i="1"/>
  <c r="AR26" i="1"/>
  <c r="BW25" i="1"/>
  <c r="AT63" i="1"/>
  <c r="AT26" i="1"/>
  <c r="AV63" i="1"/>
  <c r="AV26" i="1"/>
  <c r="BX25" i="1"/>
  <c r="AX63" i="1"/>
  <c r="AX26" i="1"/>
  <c r="AZ63" i="1"/>
  <c r="AZ26" i="1"/>
  <c r="BY25" i="1"/>
  <c r="BB63" i="1"/>
  <c r="BB26" i="1"/>
  <c r="D59" i="1"/>
  <c r="D21" i="1"/>
  <c r="F59" i="1"/>
  <c r="F21" i="1"/>
  <c r="H59" i="1"/>
  <c r="H21" i="1"/>
  <c r="J59" i="1"/>
  <c r="J21" i="1"/>
  <c r="L59" i="1"/>
  <c r="L21" i="1"/>
  <c r="N59" i="1"/>
  <c r="N21" i="1"/>
  <c r="P59" i="1"/>
  <c r="P21" i="1"/>
  <c r="R59" i="1"/>
  <c r="R21" i="1"/>
  <c r="T59" i="1"/>
  <c r="T21" i="1"/>
  <c r="V59" i="1"/>
  <c r="V21" i="1"/>
  <c r="X59" i="1"/>
  <c r="X21" i="1"/>
  <c r="Z59" i="1"/>
  <c r="Z21" i="1"/>
  <c r="AB59" i="1"/>
  <c r="AB21" i="1"/>
  <c r="AD59" i="1"/>
  <c r="AD21" i="1"/>
  <c r="AF59" i="1"/>
  <c r="AF21" i="1"/>
  <c r="AH59" i="1"/>
  <c r="AH21" i="1"/>
  <c r="AJ127" i="1"/>
  <c r="AJ129" i="1" s="1"/>
  <c r="AJ59" i="1"/>
  <c r="AJ21" i="1"/>
  <c r="AL127" i="1"/>
  <c r="AL129" i="1" s="1"/>
  <c r="AL59" i="1"/>
  <c r="AL21" i="1"/>
  <c r="AN127" i="1"/>
  <c r="AN129" i="1" s="1"/>
  <c r="AN59" i="1"/>
  <c r="AN21" i="1"/>
  <c r="AP127" i="1"/>
  <c r="AP129" i="1" s="1"/>
  <c r="AP59" i="1"/>
  <c r="AP21" i="1"/>
  <c r="AR127" i="1"/>
  <c r="AR129" i="1" s="1"/>
  <c r="AR59" i="1"/>
  <c r="AR21" i="1"/>
  <c r="AT127" i="1"/>
  <c r="AT129" i="1" s="1"/>
  <c r="AT59" i="1"/>
  <c r="AT21" i="1"/>
  <c r="AV127" i="1"/>
  <c r="AV129" i="1" s="1"/>
  <c r="AV59" i="1"/>
  <c r="AV21" i="1"/>
  <c r="AX127" i="1"/>
  <c r="AX129" i="1" s="1"/>
  <c r="AX59" i="1"/>
  <c r="AX21" i="1"/>
  <c r="AZ127" i="1"/>
  <c r="AZ129" i="1" s="1"/>
  <c r="AZ59" i="1"/>
  <c r="AZ21" i="1"/>
  <c r="BB59" i="1"/>
  <c r="BB21" i="1"/>
  <c r="BV20" i="1"/>
  <c r="BX20" i="1"/>
  <c r="BN57" i="1"/>
  <c r="BF133" i="1"/>
  <c r="BF33" i="1"/>
  <c r="BM56" i="1"/>
  <c r="BQ56" i="1"/>
  <c r="BK35" i="1"/>
  <c r="AH56" i="1"/>
  <c r="AH61" i="1" s="1"/>
  <c r="AH34" i="1"/>
  <c r="BP56" i="1"/>
  <c r="BG66" i="1"/>
  <c r="BG72" i="1" s="1"/>
  <c r="BF115" i="1"/>
  <c r="BF113" i="1"/>
  <c r="BZ110" i="1"/>
  <c r="BZ115" i="1" s="1"/>
  <c r="AF10" i="1"/>
  <c r="AE10" i="1"/>
  <c r="AD10" i="1"/>
  <c r="AC10" i="1"/>
  <c r="AB10" i="1"/>
  <c r="Z10" i="1"/>
  <c r="Y10" i="1"/>
  <c r="X10" i="1"/>
  <c r="V10" i="1"/>
  <c r="U10" i="1"/>
  <c r="T10" i="1"/>
  <c r="R10" i="1"/>
  <c r="Q10" i="1"/>
  <c r="P10" i="1"/>
  <c r="N10" i="1"/>
  <c r="M10" i="1"/>
  <c r="L10" i="1"/>
  <c r="J10" i="1"/>
  <c r="I10" i="1"/>
  <c r="H10" i="1"/>
  <c r="F10" i="1"/>
  <c r="E10" i="1"/>
  <c r="D10" i="1"/>
  <c r="BP10" i="1"/>
  <c r="BZ10" i="1"/>
  <c r="BQ10" i="1"/>
  <c r="BT10" i="1"/>
  <c r="BN10" i="1"/>
  <c r="BM10" i="1"/>
  <c r="BR10" i="1"/>
  <c r="BO10" i="1"/>
  <c r="CA10" i="1"/>
  <c r="BV10" i="1"/>
  <c r="BU10" i="1"/>
  <c r="BY10" i="1"/>
  <c r="BS10" i="1"/>
  <c r="BW10" i="1"/>
  <c r="BX10" i="1"/>
  <c r="BZ138" i="1" l="1"/>
  <c r="BZ66" i="1"/>
  <c r="BZ72" i="1" s="1"/>
  <c r="AH76" i="1"/>
  <c r="AH90" i="1" s="1"/>
  <c r="AH62" i="1"/>
  <c r="BZ45" i="1"/>
  <c r="BZ43" i="1"/>
  <c r="BZ123" i="1"/>
  <c r="BZ55" i="1"/>
  <c r="BZ132" i="1" s="1"/>
  <c r="BG115" i="1"/>
  <c r="BG133" i="1"/>
  <c r="BG33" i="1"/>
  <c r="BX127" i="1"/>
  <c r="BX129" i="1" s="1"/>
  <c r="BX59" i="1"/>
  <c r="AZ75" i="1"/>
  <c r="AZ60" i="1"/>
  <c r="AX135" i="1"/>
  <c r="AX141" i="1" s="1"/>
  <c r="AX143" i="1" s="1"/>
  <c r="AX130" i="1"/>
  <c r="AV75" i="1"/>
  <c r="AV60" i="1"/>
  <c r="AT135" i="1"/>
  <c r="AT130" i="1"/>
  <c r="AR75" i="1"/>
  <c r="AR60" i="1"/>
  <c r="AP135" i="1"/>
  <c r="AP130" i="1"/>
  <c r="AN75" i="1"/>
  <c r="AN60" i="1"/>
  <c r="AL135" i="1"/>
  <c r="AL130" i="1"/>
  <c r="AJ75" i="1"/>
  <c r="AJ60" i="1"/>
  <c r="BY63" i="1"/>
  <c r="AZ77" i="1"/>
  <c r="AZ64" i="1"/>
  <c r="AX77" i="1"/>
  <c r="AX64" i="1"/>
  <c r="BW63" i="1"/>
  <c r="AR77" i="1"/>
  <c r="AR64" i="1"/>
  <c r="AB23" i="1"/>
  <c r="BS17" i="1"/>
  <c r="Z76" i="1"/>
  <c r="Z90" i="1" s="1"/>
  <c r="Z62" i="1"/>
  <c r="X76" i="1"/>
  <c r="X90" i="1" s="1"/>
  <c r="X62" i="1"/>
  <c r="T23" i="1"/>
  <c r="BQ17" i="1"/>
  <c r="R76" i="1"/>
  <c r="R90" i="1" s="1"/>
  <c r="R62" i="1"/>
  <c r="P76" i="1"/>
  <c r="P90" i="1" s="1"/>
  <c r="P62" i="1"/>
  <c r="N76" i="1"/>
  <c r="N90" i="1" s="1"/>
  <c r="N62" i="1"/>
  <c r="BQ124" i="1"/>
  <c r="BQ18" i="1"/>
  <c r="BM124" i="1"/>
  <c r="BM18" i="1"/>
  <c r="AI56" i="1"/>
  <c r="AI61" i="1" s="1"/>
  <c r="AI34" i="1"/>
  <c r="BT33" i="1"/>
  <c r="BC75" i="1"/>
  <c r="BC60" i="1"/>
  <c r="AY75" i="1"/>
  <c r="AY60" i="1"/>
  <c r="AW135" i="1"/>
  <c r="AW141" i="1" s="1"/>
  <c r="AW143" i="1" s="1"/>
  <c r="AW130" i="1"/>
  <c r="AU75" i="1"/>
  <c r="AU60" i="1"/>
  <c r="AS135" i="1"/>
  <c r="AS130" i="1"/>
  <c r="AQ75" i="1"/>
  <c r="AQ60" i="1"/>
  <c r="AO135" i="1"/>
  <c r="AO130" i="1"/>
  <c r="AM75" i="1"/>
  <c r="AM60" i="1"/>
  <c r="AK135" i="1"/>
  <c r="AK141" i="1" s="1"/>
  <c r="AK143" i="1" s="1"/>
  <c r="AK130" i="1"/>
  <c r="AI75" i="1"/>
  <c r="AI60" i="1"/>
  <c r="AG75" i="1"/>
  <c r="AG60" i="1"/>
  <c r="AE75" i="1"/>
  <c r="AE60" i="1"/>
  <c r="AC75" i="1"/>
  <c r="AC60" i="1"/>
  <c r="Y75" i="1"/>
  <c r="Y60" i="1"/>
  <c r="U75" i="1"/>
  <c r="U60" i="1"/>
  <c r="Q75" i="1"/>
  <c r="Q60" i="1"/>
  <c r="M75" i="1"/>
  <c r="M60" i="1"/>
  <c r="I75" i="1"/>
  <c r="I60" i="1"/>
  <c r="E75" i="1"/>
  <c r="E60" i="1"/>
  <c r="BC77" i="1"/>
  <c r="BC64" i="1"/>
  <c r="BA77" i="1"/>
  <c r="BA64" i="1"/>
  <c r="AY77" i="1"/>
  <c r="AY64" i="1"/>
  <c r="AW77" i="1"/>
  <c r="AW64" i="1"/>
  <c r="AU77" i="1"/>
  <c r="AU64" i="1"/>
  <c r="AS77" i="1"/>
  <c r="AS64" i="1"/>
  <c r="AG77" i="1"/>
  <c r="AG64" i="1"/>
  <c r="AE77" i="1"/>
  <c r="AE64" i="1"/>
  <c r="AC77" i="1"/>
  <c r="AC64" i="1"/>
  <c r="E64" i="1"/>
  <c r="E77" i="1"/>
  <c r="BC76" i="1"/>
  <c r="BC62" i="1"/>
  <c r="BA62" i="1"/>
  <c r="BA76" i="1"/>
  <c r="AY76" i="1"/>
  <c r="AY62" i="1"/>
  <c r="AW62" i="1"/>
  <c r="AW76" i="1"/>
  <c r="AU76" i="1"/>
  <c r="AU62" i="1"/>
  <c r="AS62" i="1"/>
  <c r="AS76" i="1"/>
  <c r="AG62" i="1"/>
  <c r="AG76" i="1"/>
  <c r="AG90" i="1" s="1"/>
  <c r="AE76" i="1"/>
  <c r="AE90" i="1" s="1"/>
  <c r="AE62" i="1"/>
  <c r="AC62" i="1"/>
  <c r="AC76" i="1"/>
  <c r="AC90" i="1" s="1"/>
  <c r="Q62" i="1"/>
  <c r="Q76" i="1"/>
  <c r="Q90" i="1" s="1"/>
  <c r="M61" i="1"/>
  <c r="M24" i="1"/>
  <c r="E62" i="1"/>
  <c r="E76" i="1"/>
  <c r="E90" i="1" s="1"/>
  <c r="BP124" i="1"/>
  <c r="BP18" i="1"/>
  <c r="BE128" i="1"/>
  <c r="BF15" i="1"/>
  <c r="BY129" i="1"/>
  <c r="BW75" i="1"/>
  <c r="BG137" i="1"/>
  <c r="BG139" i="1" s="1"/>
  <c r="BF56" i="1"/>
  <c r="BV127" i="1"/>
  <c r="BV129" i="1" s="1"/>
  <c r="BV59" i="1"/>
  <c r="BB75" i="1"/>
  <c r="BB60" i="1"/>
  <c r="AZ135" i="1"/>
  <c r="AZ130" i="1"/>
  <c r="AX75" i="1"/>
  <c r="AX60" i="1"/>
  <c r="AV135" i="1"/>
  <c r="AV130" i="1"/>
  <c r="AT75" i="1"/>
  <c r="AT60" i="1"/>
  <c r="AR135" i="1"/>
  <c r="AR130" i="1"/>
  <c r="AP75" i="1"/>
  <c r="AP60" i="1"/>
  <c r="AN135" i="1"/>
  <c r="AN130" i="1"/>
  <c r="AL75" i="1"/>
  <c r="AL60" i="1"/>
  <c r="AJ135" i="1"/>
  <c r="AJ141" i="1" s="1"/>
  <c r="AJ143" i="1" s="1"/>
  <c r="AJ130" i="1"/>
  <c r="AH75" i="1"/>
  <c r="AH60" i="1"/>
  <c r="AF75" i="1"/>
  <c r="AF60" i="1"/>
  <c r="AD75" i="1"/>
  <c r="AD60" i="1"/>
  <c r="AB75" i="1"/>
  <c r="AB60" i="1"/>
  <c r="Z75" i="1"/>
  <c r="Z60" i="1"/>
  <c r="X75" i="1"/>
  <c r="X60" i="1"/>
  <c r="V75" i="1"/>
  <c r="V60" i="1"/>
  <c r="T75" i="1"/>
  <c r="T60" i="1"/>
  <c r="R75" i="1"/>
  <c r="R60" i="1"/>
  <c r="P75" i="1"/>
  <c r="P60" i="1"/>
  <c r="N75" i="1"/>
  <c r="N60" i="1"/>
  <c r="L75" i="1"/>
  <c r="L60" i="1"/>
  <c r="J75" i="1"/>
  <c r="J60" i="1"/>
  <c r="H75" i="1"/>
  <c r="H60" i="1"/>
  <c r="F75" i="1"/>
  <c r="F60" i="1"/>
  <c r="D75" i="1"/>
  <c r="D60" i="1"/>
  <c r="BB77" i="1"/>
  <c r="BB64" i="1"/>
  <c r="BX63" i="1"/>
  <c r="AV77" i="1"/>
  <c r="AV64" i="1"/>
  <c r="AT77" i="1"/>
  <c r="AT64" i="1"/>
  <c r="BV63" i="1"/>
  <c r="AH77" i="1"/>
  <c r="AH64" i="1"/>
  <c r="AF77" i="1"/>
  <c r="AF64" i="1"/>
  <c r="AD77" i="1"/>
  <c r="AD64" i="1"/>
  <c r="Z77" i="1"/>
  <c r="Z64" i="1"/>
  <c r="X77" i="1"/>
  <c r="X64" i="1"/>
  <c r="R77" i="1"/>
  <c r="R64" i="1"/>
  <c r="P77" i="1"/>
  <c r="P64" i="1"/>
  <c r="N77" i="1"/>
  <c r="N64" i="1"/>
  <c r="J77" i="1"/>
  <c r="J64" i="1"/>
  <c r="H77" i="1"/>
  <c r="H64" i="1"/>
  <c r="F77" i="1"/>
  <c r="F64" i="1"/>
  <c r="D77" i="1"/>
  <c r="D64" i="1"/>
  <c r="BB76" i="1"/>
  <c r="BB62" i="1"/>
  <c r="AZ76" i="1"/>
  <c r="AZ62" i="1"/>
  <c r="AX76" i="1"/>
  <c r="AX62" i="1"/>
  <c r="AV76" i="1"/>
  <c r="AV62" i="1"/>
  <c r="AT76" i="1"/>
  <c r="AT62" i="1"/>
  <c r="AR76" i="1"/>
  <c r="AR62" i="1"/>
  <c r="AF76" i="1"/>
  <c r="AF90" i="1" s="1"/>
  <c r="AF62" i="1"/>
  <c r="AD76" i="1"/>
  <c r="AD90" i="1" s="1"/>
  <c r="AD62" i="1"/>
  <c r="V61" i="1"/>
  <c r="V24" i="1"/>
  <c r="L23" i="1"/>
  <c r="BO17" i="1"/>
  <c r="J76" i="1"/>
  <c r="J90" i="1" s="1"/>
  <c r="J62" i="1"/>
  <c r="H76" i="1"/>
  <c r="H90" i="1" s="1"/>
  <c r="H62" i="1"/>
  <c r="F76" i="1"/>
  <c r="F90" i="1" s="1"/>
  <c r="F62" i="1"/>
  <c r="D76" i="1"/>
  <c r="D90" i="1" s="1"/>
  <c r="D62" i="1"/>
  <c r="BO124" i="1"/>
  <c r="BO18" i="1"/>
  <c r="CA99" i="1"/>
  <c r="BZ98" i="1"/>
  <c r="AJ35" i="1"/>
  <c r="AJ33" i="1"/>
  <c r="AK32" i="1"/>
  <c r="AI57" i="1"/>
  <c r="AI63" i="1" s="1"/>
  <c r="AI36" i="1"/>
  <c r="BF134" i="1"/>
  <c r="BG45" i="1"/>
  <c r="BG43" i="1"/>
  <c r="BG55" i="1"/>
  <c r="BG132" i="1" s="1"/>
  <c r="BG123" i="1"/>
  <c r="BF57" i="1"/>
  <c r="BA75" i="1"/>
  <c r="BA60" i="1"/>
  <c r="AY135" i="1"/>
  <c r="AY130" i="1"/>
  <c r="AW75" i="1"/>
  <c r="AW60" i="1"/>
  <c r="AU135" i="1"/>
  <c r="AU130" i="1"/>
  <c r="AS75" i="1"/>
  <c r="AS60" i="1"/>
  <c r="AQ135" i="1"/>
  <c r="AQ130" i="1"/>
  <c r="AO75" i="1"/>
  <c r="AO60" i="1"/>
  <c r="AM135" i="1"/>
  <c r="AM130" i="1"/>
  <c r="AK75" i="1"/>
  <c r="AK60" i="1"/>
  <c r="Y77" i="1"/>
  <c r="Y64" i="1"/>
  <c r="Q77" i="1"/>
  <c r="Q64" i="1"/>
  <c r="I64" i="1"/>
  <c r="I77" i="1"/>
  <c r="Y62" i="1"/>
  <c r="Y76" i="1"/>
  <c r="Y90" i="1" s="1"/>
  <c r="U61" i="1"/>
  <c r="U24" i="1"/>
  <c r="I62" i="1"/>
  <c r="I76" i="1"/>
  <c r="I90" i="1" s="1"/>
  <c r="BR124" i="1"/>
  <c r="BR18" i="1"/>
  <c r="BN124" i="1"/>
  <c r="BN18" i="1"/>
  <c r="BZ31" i="1"/>
  <c r="T77" i="1"/>
  <c r="T64" i="1"/>
  <c r="AB77" i="1"/>
  <c r="AB64" i="1"/>
  <c r="U77" i="1"/>
  <c r="U64" i="1"/>
  <c r="M77" i="1"/>
  <c r="M64" i="1"/>
  <c r="BY75" i="1"/>
  <c r="BW129" i="1"/>
  <c r="V77" i="1"/>
  <c r="V64" i="1"/>
  <c r="L77" i="1"/>
  <c r="L64" i="1"/>
  <c r="BY9" i="1"/>
  <c r="BX9" i="1"/>
  <c r="BW9" i="1"/>
  <c r="BV9" i="1"/>
  <c r="BU9" i="1"/>
  <c r="BT9" i="1"/>
  <c r="BS9" i="1"/>
  <c r="AA9" i="1"/>
  <c r="W9" i="1"/>
  <c r="S9" i="1"/>
  <c r="O9" i="1"/>
  <c r="K9" i="1"/>
  <c r="G9" i="1"/>
  <c r="BU7" i="1"/>
  <c r="BT7" i="1"/>
  <c r="BS7" i="1"/>
  <c r="BZ137" i="1" l="1"/>
  <c r="BZ139" i="1" s="1"/>
  <c r="CA98" i="1"/>
  <c r="CB99" i="1"/>
  <c r="CB98" i="1" s="1"/>
  <c r="BG134" i="1"/>
  <c r="G29" i="1"/>
  <c r="G25" i="1"/>
  <c r="G23" i="1"/>
  <c r="G39" i="1"/>
  <c r="G44" i="1"/>
  <c r="G36" i="1"/>
  <c r="H11" i="1"/>
  <c r="G46" i="1"/>
  <c r="G34" i="1"/>
  <c r="G20" i="1"/>
  <c r="G11" i="1"/>
  <c r="G10" i="1"/>
  <c r="O29" i="1"/>
  <c r="O25" i="1"/>
  <c r="O23" i="1"/>
  <c r="O39" i="1"/>
  <c r="O36" i="1"/>
  <c r="O44" i="1"/>
  <c r="O34" i="1"/>
  <c r="P11" i="1"/>
  <c r="O46" i="1"/>
  <c r="O20" i="1"/>
  <c r="O12" i="1"/>
  <c r="O11" i="1"/>
  <c r="O10" i="1"/>
  <c r="W25" i="1"/>
  <c r="W23" i="1"/>
  <c r="W39" i="1"/>
  <c r="W29" i="1"/>
  <c r="W46" i="1"/>
  <c r="W36" i="1"/>
  <c r="W44" i="1"/>
  <c r="W34" i="1"/>
  <c r="W20" i="1"/>
  <c r="W12" i="1"/>
  <c r="W11" i="1"/>
  <c r="X11" i="1"/>
  <c r="W10" i="1"/>
  <c r="BM9" i="1"/>
  <c r="BO9" i="1"/>
  <c r="BQ9" i="1"/>
  <c r="BS29" i="1"/>
  <c r="BS46" i="1"/>
  <c r="BS39" i="1"/>
  <c r="BS25" i="1"/>
  <c r="BS23" i="1"/>
  <c r="BS44" i="1"/>
  <c r="BS36" i="1"/>
  <c r="BS20" i="1"/>
  <c r="BS34" i="1"/>
  <c r="BU39" i="1"/>
  <c r="BU29" i="1"/>
  <c r="BU46" i="1"/>
  <c r="BU25" i="1"/>
  <c r="BU23" i="1"/>
  <c r="BU44" i="1"/>
  <c r="BU20" i="1"/>
  <c r="BU12" i="1"/>
  <c r="BW34" i="1"/>
  <c r="BW46" i="1"/>
  <c r="BW29" i="1"/>
  <c r="BW39" i="1"/>
  <c r="BW23" i="1"/>
  <c r="BW44" i="1"/>
  <c r="BW36" i="1"/>
  <c r="BW12" i="1"/>
  <c r="BW30" i="1" s="1"/>
  <c r="BW21" i="1"/>
  <c r="BY29" i="1"/>
  <c r="BY39" i="1"/>
  <c r="BY46" i="1"/>
  <c r="BY23" i="1"/>
  <c r="BY44" i="1"/>
  <c r="BY36" i="1"/>
  <c r="BY34" i="1"/>
  <c r="BY12" i="1"/>
  <c r="BY30" i="1" s="1"/>
  <c r="BY21" i="1"/>
  <c r="L92" i="1"/>
  <c r="L106" i="1" s="1"/>
  <c r="L86" i="1"/>
  <c r="V92" i="1"/>
  <c r="V106" i="1" s="1"/>
  <c r="V86" i="1"/>
  <c r="BY60" i="1"/>
  <c r="BZ133" i="1"/>
  <c r="BZ134" i="1" s="1"/>
  <c r="BZ33" i="1"/>
  <c r="U62" i="1"/>
  <c r="U76" i="1"/>
  <c r="U90" i="1" s="1"/>
  <c r="Q92" i="1"/>
  <c r="Q106" i="1" s="1"/>
  <c r="Q86" i="1"/>
  <c r="Y92" i="1"/>
  <c r="Y106" i="1" s="1"/>
  <c r="Y86" i="1"/>
  <c r="AK88" i="1"/>
  <c r="AK95" i="1" s="1"/>
  <c r="AK80" i="1"/>
  <c r="AO88" i="1"/>
  <c r="AO95" i="1" s="1"/>
  <c r="AO80" i="1"/>
  <c r="AS88" i="1"/>
  <c r="AS95" i="1" s="1"/>
  <c r="AS82" i="1"/>
  <c r="AS80" i="1"/>
  <c r="AW88" i="1"/>
  <c r="AW95" i="1" s="1"/>
  <c r="AW80" i="1"/>
  <c r="BA88" i="1"/>
  <c r="BA95" i="1" s="1"/>
  <c r="BA80" i="1"/>
  <c r="AI77" i="1"/>
  <c r="AI64" i="1"/>
  <c r="AJ56" i="1"/>
  <c r="AJ61" i="1" s="1"/>
  <c r="AJ34" i="1"/>
  <c r="D105" i="1"/>
  <c r="F105" i="1"/>
  <c r="H105" i="1"/>
  <c r="J105" i="1"/>
  <c r="L61" i="1"/>
  <c r="L24" i="1"/>
  <c r="V76" i="1"/>
  <c r="V90" i="1" s="1"/>
  <c r="V62" i="1"/>
  <c r="AD105" i="1"/>
  <c r="AF105" i="1"/>
  <c r="AX90" i="1"/>
  <c r="AX84" i="1"/>
  <c r="BB90" i="1"/>
  <c r="BB84" i="1"/>
  <c r="D92" i="1"/>
  <c r="D106" i="1" s="1"/>
  <c r="D86" i="1"/>
  <c r="F92" i="1"/>
  <c r="F106" i="1" s="1"/>
  <c r="F86" i="1"/>
  <c r="H92" i="1"/>
  <c r="H106" i="1" s="1"/>
  <c r="H86" i="1"/>
  <c r="J92" i="1"/>
  <c r="J106" i="1" s="1"/>
  <c r="J86" i="1"/>
  <c r="N92" i="1"/>
  <c r="N106" i="1" s="1"/>
  <c r="N86" i="1"/>
  <c r="P92" i="1"/>
  <c r="P106" i="1" s="1"/>
  <c r="P86" i="1"/>
  <c r="R92" i="1"/>
  <c r="R106" i="1" s="1"/>
  <c r="R86" i="1"/>
  <c r="X92" i="1"/>
  <c r="X106" i="1" s="1"/>
  <c r="X86" i="1"/>
  <c r="Z92" i="1"/>
  <c r="Z106" i="1" s="1"/>
  <c r="Z86" i="1"/>
  <c r="AD92" i="1"/>
  <c r="AD106" i="1" s="1"/>
  <c r="AD86" i="1"/>
  <c r="AF92" i="1"/>
  <c r="AF106" i="1" s="1"/>
  <c r="AF86" i="1"/>
  <c r="BV77" i="1"/>
  <c r="BV64" i="1"/>
  <c r="BX77" i="1"/>
  <c r="BX64" i="1"/>
  <c r="BB92" i="1"/>
  <c r="BB86" i="1"/>
  <c r="D80" i="1"/>
  <c r="D88" i="1"/>
  <c r="D95" i="1" s="1"/>
  <c r="F80" i="1"/>
  <c r="F88" i="1"/>
  <c r="F95" i="1" s="1"/>
  <c r="H80" i="1"/>
  <c r="H88" i="1"/>
  <c r="H95" i="1" s="1"/>
  <c r="J80" i="1"/>
  <c r="J88" i="1"/>
  <c r="J95" i="1" s="1"/>
  <c r="L80" i="1"/>
  <c r="L88" i="1"/>
  <c r="L95" i="1" s="1"/>
  <c r="N80" i="1"/>
  <c r="N88" i="1"/>
  <c r="N95" i="1" s="1"/>
  <c r="P80" i="1"/>
  <c r="P88" i="1"/>
  <c r="P95" i="1" s="1"/>
  <c r="R88" i="1"/>
  <c r="R95" i="1" s="1"/>
  <c r="R80" i="1"/>
  <c r="T88" i="1"/>
  <c r="T95" i="1" s="1"/>
  <c r="T80" i="1"/>
  <c r="V88" i="1"/>
  <c r="V95" i="1" s="1"/>
  <c r="V80" i="1"/>
  <c r="X88" i="1"/>
  <c r="X95" i="1" s="1"/>
  <c r="X80" i="1"/>
  <c r="Z88" i="1"/>
  <c r="Z95" i="1" s="1"/>
  <c r="Z80" i="1"/>
  <c r="AB88" i="1"/>
  <c r="AB95" i="1" s="1"/>
  <c r="AB80" i="1"/>
  <c r="AD88" i="1"/>
  <c r="AD95" i="1" s="1"/>
  <c r="AD80" i="1"/>
  <c r="AF88" i="1"/>
  <c r="AF95" i="1" s="1"/>
  <c r="AF80" i="1"/>
  <c r="AH88" i="1"/>
  <c r="AH95" i="1" s="1"/>
  <c r="AH82" i="1"/>
  <c r="AH80" i="1"/>
  <c r="AL88" i="1"/>
  <c r="AL95" i="1" s="1"/>
  <c r="AL80" i="1"/>
  <c r="AP88" i="1"/>
  <c r="AP95" i="1" s="1"/>
  <c r="AP80" i="1"/>
  <c r="AT88" i="1"/>
  <c r="AT95" i="1" s="1"/>
  <c r="AT80" i="1"/>
  <c r="AT82" i="1"/>
  <c r="AX88" i="1"/>
  <c r="AX95" i="1" s="1"/>
  <c r="AX80" i="1"/>
  <c r="BB88" i="1"/>
  <c r="BB95" i="1" s="1"/>
  <c r="BB80" i="1"/>
  <c r="BV75" i="1"/>
  <c r="BV60" i="1"/>
  <c r="BW60" i="1"/>
  <c r="BY135" i="1"/>
  <c r="BY130" i="1"/>
  <c r="M62" i="1"/>
  <c r="M76" i="1"/>
  <c r="M90" i="1" s="1"/>
  <c r="AE105" i="1"/>
  <c r="AC92" i="1"/>
  <c r="AC106" i="1" s="1"/>
  <c r="AC86" i="1"/>
  <c r="AE92" i="1"/>
  <c r="AE106" i="1" s="1"/>
  <c r="AE86" i="1"/>
  <c r="AG92" i="1"/>
  <c r="AG106" i="1" s="1"/>
  <c r="AG86" i="1"/>
  <c r="AW92" i="1"/>
  <c r="AW106" i="1" s="1"/>
  <c r="AW86" i="1"/>
  <c r="BA92" i="1"/>
  <c r="BA86" i="1"/>
  <c r="E88" i="1"/>
  <c r="E95" i="1" s="1"/>
  <c r="E80" i="1"/>
  <c r="I88" i="1"/>
  <c r="I95" i="1" s="1"/>
  <c r="I80" i="1"/>
  <c r="M88" i="1"/>
  <c r="M95" i="1" s="1"/>
  <c r="M80" i="1"/>
  <c r="Q88" i="1"/>
  <c r="Q95" i="1" s="1"/>
  <c r="Q80" i="1"/>
  <c r="U88" i="1"/>
  <c r="U95" i="1" s="1"/>
  <c r="U80" i="1"/>
  <c r="Y88" i="1"/>
  <c r="Y95" i="1" s="1"/>
  <c r="Y80" i="1"/>
  <c r="AC88" i="1"/>
  <c r="AC95" i="1" s="1"/>
  <c r="AC80" i="1"/>
  <c r="AE88" i="1"/>
  <c r="AE95" i="1" s="1"/>
  <c r="AE80" i="1"/>
  <c r="AG88" i="1"/>
  <c r="AG95" i="1" s="1"/>
  <c r="AG80" i="1"/>
  <c r="AI88" i="1"/>
  <c r="AI95" i="1" s="1"/>
  <c r="AI82" i="1"/>
  <c r="AI85" i="1" s="1"/>
  <c r="AI86" i="1" s="1"/>
  <c r="AI80" i="1"/>
  <c r="AM88" i="1"/>
  <c r="AM95" i="1" s="1"/>
  <c r="AM80" i="1"/>
  <c r="AQ88" i="1"/>
  <c r="AQ95" i="1" s="1"/>
  <c r="AQ80" i="1"/>
  <c r="AU82" i="1"/>
  <c r="AU88" i="1"/>
  <c r="AU95" i="1" s="1"/>
  <c r="AU80" i="1"/>
  <c r="AY88" i="1"/>
  <c r="AY95" i="1" s="1"/>
  <c r="AY82" i="1"/>
  <c r="AY80" i="1"/>
  <c r="BC88" i="1"/>
  <c r="BC95" i="1" s="1"/>
  <c r="BC8" i="3" s="1"/>
  <c r="BC30" i="3" s="1"/>
  <c r="BC60" i="3" s="1"/>
  <c r="BC80" i="1"/>
  <c r="BC82" i="1" s="1"/>
  <c r="BT56" i="1"/>
  <c r="BT34" i="1"/>
  <c r="AI76" i="1"/>
  <c r="AI90" i="1" s="1"/>
  <c r="AI62" i="1"/>
  <c r="N105" i="1"/>
  <c r="N89" i="1"/>
  <c r="P105" i="1"/>
  <c r="P89" i="1"/>
  <c r="R105" i="1"/>
  <c r="R89" i="1"/>
  <c r="T61" i="1"/>
  <c r="T24" i="1"/>
  <c r="X105" i="1"/>
  <c r="X89" i="1"/>
  <c r="Z105" i="1"/>
  <c r="Z89" i="1"/>
  <c r="AB61" i="1"/>
  <c r="AB24" i="1"/>
  <c r="BW77" i="1"/>
  <c r="BW64" i="1"/>
  <c r="AX92" i="1"/>
  <c r="AX106" i="1" s="1"/>
  <c r="AX86" i="1"/>
  <c r="BY77" i="1"/>
  <c r="BY64" i="1"/>
  <c r="AJ88" i="1"/>
  <c r="AJ95" i="1" s="1"/>
  <c r="AJ82" i="1"/>
  <c r="AJ80" i="1"/>
  <c r="AN88" i="1"/>
  <c r="AN95" i="1" s="1"/>
  <c r="AN80" i="1"/>
  <c r="AR88" i="1"/>
  <c r="AR95" i="1" s="1"/>
  <c r="AR80" i="1"/>
  <c r="AR82" i="1"/>
  <c r="AV88" i="1"/>
  <c r="AV95" i="1" s="1"/>
  <c r="AV80" i="1"/>
  <c r="AV82" i="1"/>
  <c r="AZ88" i="1"/>
  <c r="AZ95" i="1" s="1"/>
  <c r="AZ82" i="1"/>
  <c r="AZ80" i="1"/>
  <c r="BX75" i="1"/>
  <c r="BX60" i="1"/>
  <c r="BG56" i="1"/>
  <c r="BZ57" i="1"/>
  <c r="K25" i="1"/>
  <c r="K23" i="1"/>
  <c r="K29" i="1"/>
  <c r="K39" i="1"/>
  <c r="K44" i="1"/>
  <c r="K34" i="1"/>
  <c r="L11" i="1"/>
  <c r="K46" i="1"/>
  <c r="K36" i="1"/>
  <c r="K20" i="1"/>
  <c r="K12" i="1"/>
  <c r="K11" i="1"/>
  <c r="K10" i="1"/>
  <c r="S25" i="1"/>
  <c r="S23" i="1"/>
  <c r="S29" i="1"/>
  <c r="S39" i="1"/>
  <c r="S46" i="1"/>
  <c r="S44" i="1"/>
  <c r="T11" i="1"/>
  <c r="S34" i="1"/>
  <c r="S36" i="1"/>
  <c r="S20" i="1"/>
  <c r="S12" i="1"/>
  <c r="S11" i="1"/>
  <c r="S10" i="1"/>
  <c r="AA23" i="1"/>
  <c r="AA25" i="1"/>
  <c r="AA29" i="1"/>
  <c r="AA39" i="1"/>
  <c r="AA34" i="1"/>
  <c r="AA46" i="1"/>
  <c r="AB11" i="1"/>
  <c r="AA44" i="1"/>
  <c r="AA36" i="1"/>
  <c r="AA20" i="1"/>
  <c r="AE12" i="1"/>
  <c r="AA12" i="1"/>
  <c r="AA11" i="1"/>
  <c r="AA10" i="1"/>
  <c r="BN9" i="1"/>
  <c r="BP9" i="1"/>
  <c r="BR9" i="1"/>
  <c r="BT39" i="1"/>
  <c r="BT46" i="1"/>
  <c r="BT25" i="1"/>
  <c r="BT29" i="1"/>
  <c r="BT23" i="1"/>
  <c r="BT44" i="1"/>
  <c r="BT20" i="1"/>
  <c r="BT12" i="1"/>
  <c r="BT36" i="1"/>
  <c r="BV39" i="1"/>
  <c r="BV29" i="1"/>
  <c r="BV46" i="1"/>
  <c r="BV23" i="1"/>
  <c r="BV36" i="1"/>
  <c r="BV12" i="1"/>
  <c r="BV30" i="1" s="1"/>
  <c r="BV44" i="1"/>
  <c r="BX39" i="1"/>
  <c r="BX46" i="1"/>
  <c r="BX23" i="1"/>
  <c r="BX29" i="1"/>
  <c r="BX36" i="1"/>
  <c r="BX34" i="1"/>
  <c r="BX12" i="1"/>
  <c r="BX30" i="1" s="1"/>
  <c r="BX44" i="1"/>
  <c r="BW135" i="1"/>
  <c r="BW130" i="1"/>
  <c r="BY88" i="1"/>
  <c r="BY95" i="1" s="1"/>
  <c r="BY80" i="1"/>
  <c r="M92" i="1"/>
  <c r="M106" i="1" s="1"/>
  <c r="M86" i="1"/>
  <c r="U92" i="1"/>
  <c r="U106" i="1" s="1"/>
  <c r="U86" i="1"/>
  <c r="AB92" i="1"/>
  <c r="AB106" i="1" s="1"/>
  <c r="AB86" i="1"/>
  <c r="T92" i="1"/>
  <c r="T106" i="1" s="1"/>
  <c r="T86" i="1"/>
  <c r="I105" i="1"/>
  <c r="I89" i="1"/>
  <c r="Y105" i="1"/>
  <c r="Y89" i="1"/>
  <c r="I92" i="1"/>
  <c r="I106" i="1" s="1"/>
  <c r="I86" i="1"/>
  <c r="BH123" i="1"/>
  <c r="BH55" i="1"/>
  <c r="BH132" i="1" s="1"/>
  <c r="BH45" i="1"/>
  <c r="BH43" i="1"/>
  <c r="BG57" i="1"/>
  <c r="AK35" i="1"/>
  <c r="AK33" i="1"/>
  <c r="AL32" i="1"/>
  <c r="AJ57" i="1"/>
  <c r="AJ63" i="1" s="1"/>
  <c r="AJ36" i="1"/>
  <c r="BZ109" i="1"/>
  <c r="BZ113" i="1" s="1"/>
  <c r="BV26" i="1"/>
  <c r="BX26" i="1"/>
  <c r="BV21" i="1"/>
  <c r="BV135" i="1"/>
  <c r="BV130" i="1"/>
  <c r="BW88" i="1"/>
  <c r="BW95" i="1" s="1"/>
  <c r="BW80" i="1"/>
  <c r="BF128" i="1"/>
  <c r="BG15" i="1"/>
  <c r="E105" i="1"/>
  <c r="E89" i="1"/>
  <c r="Q105" i="1"/>
  <c r="Q89" i="1"/>
  <c r="AC105" i="1"/>
  <c r="AC89" i="1"/>
  <c r="AG105" i="1"/>
  <c r="AG89" i="1"/>
  <c r="AW90" i="1"/>
  <c r="AW84" i="1"/>
  <c r="BA90" i="1"/>
  <c r="BA84" i="1"/>
  <c r="E92" i="1"/>
  <c r="E106" i="1" s="1"/>
  <c r="E86" i="1"/>
  <c r="BW26" i="1"/>
  <c r="BY26" i="1"/>
  <c r="BX21" i="1"/>
  <c r="BX135" i="1"/>
  <c r="BX130" i="1"/>
  <c r="BH133" i="1"/>
  <c r="BH33" i="1"/>
  <c r="BH115" i="1"/>
  <c r="BH113" i="1"/>
  <c r="BG113" i="1"/>
  <c r="AH105" i="1"/>
  <c r="AH89" i="1"/>
  <c r="BI133" i="1" l="1"/>
  <c r="BI33" i="1"/>
  <c r="BG128" i="1"/>
  <c r="BH15" i="1"/>
  <c r="AL35" i="1"/>
  <c r="AL33" i="1"/>
  <c r="AM32" i="1"/>
  <c r="BH57" i="1"/>
  <c r="I91" i="1"/>
  <c r="T91" i="1"/>
  <c r="AB91" i="1"/>
  <c r="U91" i="1"/>
  <c r="M91" i="1"/>
  <c r="BY101" i="1"/>
  <c r="BY96" i="1"/>
  <c r="BT30" i="1"/>
  <c r="BT40" i="1"/>
  <c r="BR23" i="1"/>
  <c r="BR25" i="1"/>
  <c r="BR20" i="1"/>
  <c r="BR12" i="1"/>
  <c r="BR39" i="1"/>
  <c r="BR29" i="1"/>
  <c r="BR36" i="1"/>
  <c r="BR34" i="1"/>
  <c r="BR46" i="1"/>
  <c r="BR44" i="1"/>
  <c r="BN25" i="1"/>
  <c r="BN23" i="1"/>
  <c r="BN29" i="1"/>
  <c r="BN20" i="1"/>
  <c r="BN12" i="1"/>
  <c r="BN39" i="1"/>
  <c r="BN34" i="1"/>
  <c r="BN44" i="1"/>
  <c r="BN36" i="1"/>
  <c r="BN46" i="1"/>
  <c r="AA59" i="1"/>
  <c r="AA21" i="1"/>
  <c r="AA63" i="1"/>
  <c r="AA26" i="1"/>
  <c r="T30" i="1"/>
  <c r="T40" i="1"/>
  <c r="S63" i="1"/>
  <c r="S26" i="1"/>
  <c r="K40" i="1"/>
  <c r="K30" i="1"/>
  <c r="K59" i="1"/>
  <c r="K21" i="1"/>
  <c r="K61" i="1"/>
  <c r="K24" i="1"/>
  <c r="BX80" i="1"/>
  <c r="BX88" i="1"/>
  <c r="BX95" i="1" s="1"/>
  <c r="BY82" i="1"/>
  <c r="AZ85" i="1"/>
  <c r="AZ83" i="1"/>
  <c r="AV85" i="1"/>
  <c r="AV83" i="1"/>
  <c r="BX82" i="1"/>
  <c r="AV101" i="1"/>
  <c r="AV103" i="1" s="1"/>
  <c r="AV96" i="1"/>
  <c r="BW82" i="1"/>
  <c r="AR85" i="1"/>
  <c r="AR83" i="1"/>
  <c r="AR101" i="1"/>
  <c r="AR103" i="1" s="1"/>
  <c r="AR96" i="1"/>
  <c r="AN101" i="1"/>
  <c r="AN103" i="1" s="1"/>
  <c r="AN96" i="1"/>
  <c r="AJ101" i="1"/>
  <c r="AJ103" i="1" s="1"/>
  <c r="AJ96" i="1"/>
  <c r="AB76" i="1"/>
  <c r="AB90" i="1" s="1"/>
  <c r="AB62" i="1"/>
  <c r="T76" i="1"/>
  <c r="T90" i="1" s="1"/>
  <c r="T62" i="1"/>
  <c r="AI105" i="1"/>
  <c r="AI89" i="1"/>
  <c r="BC85" i="1"/>
  <c r="BC140" i="1" s="1"/>
  <c r="BC141" i="1" s="1"/>
  <c r="BC143" i="1" s="1"/>
  <c r="BC83" i="1"/>
  <c r="AY101" i="1"/>
  <c r="AY103" i="1" s="1"/>
  <c r="AY96" i="1"/>
  <c r="AU101" i="1"/>
  <c r="AU103" i="1" s="1"/>
  <c r="AU96" i="1"/>
  <c r="AQ101" i="1"/>
  <c r="AQ103" i="1" s="1"/>
  <c r="AQ96" i="1"/>
  <c r="AM101" i="1"/>
  <c r="AM103" i="1" s="1"/>
  <c r="AM96" i="1"/>
  <c r="AI101" i="1"/>
  <c r="AI103" i="1" s="1"/>
  <c r="AI96" i="1"/>
  <c r="AG101" i="1"/>
  <c r="AG103" i="1" s="1"/>
  <c r="AG96" i="1"/>
  <c r="AE101" i="1"/>
  <c r="AE103" i="1" s="1"/>
  <c r="AE96" i="1"/>
  <c r="AC101" i="1"/>
  <c r="AC103" i="1" s="1"/>
  <c r="AC96" i="1"/>
  <c r="Y101" i="1"/>
  <c r="Y103" i="1" s="1"/>
  <c r="Y96" i="1"/>
  <c r="U101" i="1"/>
  <c r="U103" i="1" s="1"/>
  <c r="U96" i="1"/>
  <c r="Q101" i="1"/>
  <c r="Q103" i="1" s="1"/>
  <c r="Q96" i="1"/>
  <c r="M101" i="1"/>
  <c r="M103" i="1" s="1"/>
  <c r="M96" i="1"/>
  <c r="I101" i="1"/>
  <c r="I103" i="1" s="1"/>
  <c r="I96" i="1"/>
  <c r="E101" i="1"/>
  <c r="E103" i="1" s="1"/>
  <c r="E96" i="1"/>
  <c r="AW91" i="1"/>
  <c r="AG91" i="1"/>
  <c r="AE91" i="1"/>
  <c r="AC91" i="1"/>
  <c r="AE89" i="1"/>
  <c r="M105" i="1"/>
  <c r="M89" i="1"/>
  <c r="AX101" i="1"/>
  <c r="AX103" i="1" s="1"/>
  <c r="AX96" i="1"/>
  <c r="AT85" i="1"/>
  <c r="AT83" i="1"/>
  <c r="AT101" i="1"/>
  <c r="AT103" i="1" s="1"/>
  <c r="AT96" i="1"/>
  <c r="AP101" i="1"/>
  <c r="AP103" i="1" s="1"/>
  <c r="AP96" i="1"/>
  <c r="AL82" i="1"/>
  <c r="AL101" i="1"/>
  <c r="AL103" i="1" s="1"/>
  <c r="AL96" i="1"/>
  <c r="AH85" i="1"/>
  <c r="BT82" i="1"/>
  <c r="P101" i="1"/>
  <c r="P103" i="1" s="1"/>
  <c r="P96" i="1"/>
  <c r="N101" i="1"/>
  <c r="N103" i="1" s="1"/>
  <c r="N96" i="1"/>
  <c r="L101" i="1"/>
  <c r="L103" i="1" s="1"/>
  <c r="L96" i="1"/>
  <c r="J101" i="1"/>
  <c r="J103" i="1" s="1"/>
  <c r="J96" i="1"/>
  <c r="H101" i="1"/>
  <c r="H103" i="1" s="1"/>
  <c r="H96" i="1"/>
  <c r="F101" i="1"/>
  <c r="F103" i="1" s="1"/>
  <c r="F96" i="1"/>
  <c r="D101" i="1"/>
  <c r="D103" i="1" s="1"/>
  <c r="D96" i="1"/>
  <c r="AF91" i="1"/>
  <c r="AD91" i="1"/>
  <c r="Z91" i="1"/>
  <c r="X91" i="1"/>
  <c r="R91" i="1"/>
  <c r="P91" i="1"/>
  <c r="N91" i="1"/>
  <c r="J91" i="1"/>
  <c r="H91" i="1"/>
  <c r="F91" i="1"/>
  <c r="D91" i="1"/>
  <c r="BB105" i="1"/>
  <c r="BB89" i="1"/>
  <c r="V105" i="1"/>
  <c r="V89" i="1"/>
  <c r="L76" i="1"/>
  <c r="L90" i="1" s="1"/>
  <c r="L62" i="1"/>
  <c r="AW101" i="1"/>
  <c r="AW103" i="1" s="1"/>
  <c r="AW96" i="1"/>
  <c r="AS101" i="1"/>
  <c r="AS103" i="1" s="1"/>
  <c r="AS96" i="1"/>
  <c r="AO101" i="1"/>
  <c r="AO103" i="1" s="1"/>
  <c r="AO96" i="1"/>
  <c r="U105" i="1"/>
  <c r="U89" i="1"/>
  <c r="BZ56" i="1"/>
  <c r="V91" i="1"/>
  <c r="L91" i="1"/>
  <c r="BU30" i="1"/>
  <c r="BU40" i="1"/>
  <c r="BU26" i="1"/>
  <c r="BS127" i="1"/>
  <c r="BS129" i="1" s="1"/>
  <c r="BS59" i="1"/>
  <c r="BS21" i="1"/>
  <c r="BS63" i="1"/>
  <c r="BS26" i="1"/>
  <c r="BQ29" i="1"/>
  <c r="BQ25" i="1"/>
  <c r="BQ23" i="1"/>
  <c r="BQ36" i="1"/>
  <c r="BQ39" i="1"/>
  <c r="BQ20" i="1"/>
  <c r="BQ12" i="1"/>
  <c r="BQ34" i="1"/>
  <c r="BQ44" i="1"/>
  <c r="BQ46" i="1"/>
  <c r="BM29" i="1"/>
  <c r="BM25" i="1"/>
  <c r="BM23" i="1"/>
  <c r="BM39" i="1"/>
  <c r="BM36" i="1"/>
  <c r="BM20" i="1"/>
  <c r="BM34" i="1"/>
  <c r="BM44" i="1"/>
  <c r="BM46" i="1"/>
  <c r="W30" i="1"/>
  <c r="W40" i="1"/>
  <c r="W59" i="1"/>
  <c r="W21" i="1"/>
  <c r="W63" i="1"/>
  <c r="W26" i="1"/>
  <c r="O30" i="1"/>
  <c r="O40" i="1"/>
  <c r="O59" i="1"/>
  <c r="O21" i="1"/>
  <c r="P30" i="1"/>
  <c r="P40" i="1"/>
  <c r="O63" i="1"/>
  <c r="O26" i="1"/>
  <c r="G59" i="1"/>
  <c r="G21" i="1"/>
  <c r="G63" i="1"/>
  <c r="G26" i="1"/>
  <c r="BI115" i="1"/>
  <c r="AK57" i="1"/>
  <c r="AK63" i="1" s="1"/>
  <c r="AK36" i="1"/>
  <c r="BH56" i="1"/>
  <c r="E91" i="1"/>
  <c r="BA105" i="1"/>
  <c r="BA89" i="1"/>
  <c r="AW105" i="1"/>
  <c r="AW89" i="1"/>
  <c r="BZ15" i="1"/>
  <c r="BZ128" i="1" s="1"/>
  <c r="BW101" i="1"/>
  <c r="BW96" i="1"/>
  <c r="AJ77" i="1"/>
  <c r="AJ64" i="1"/>
  <c r="AK56" i="1"/>
  <c r="AK61" i="1" s="1"/>
  <c r="AK34" i="1"/>
  <c r="BI45" i="1"/>
  <c r="BI43" i="1"/>
  <c r="BI123" i="1"/>
  <c r="BI55" i="1"/>
  <c r="BI132" i="1" s="1"/>
  <c r="BI134" i="1" s="1"/>
  <c r="BH134" i="1"/>
  <c r="BX61" i="1"/>
  <c r="BX24" i="1"/>
  <c r="BV24" i="1"/>
  <c r="BT127" i="1"/>
  <c r="BT129" i="1" s="1"/>
  <c r="BT59" i="1"/>
  <c r="BT21" i="1"/>
  <c r="BT61" i="1"/>
  <c r="BT24" i="1"/>
  <c r="BT63" i="1"/>
  <c r="BT26" i="1"/>
  <c r="BP25" i="1"/>
  <c r="BP23" i="1"/>
  <c r="BP39" i="1"/>
  <c r="BP20" i="1"/>
  <c r="BP12" i="1"/>
  <c r="BP29" i="1"/>
  <c r="BP46" i="1"/>
  <c r="BP34" i="1"/>
  <c r="BP44" i="1"/>
  <c r="BP36" i="1"/>
  <c r="AA40" i="1"/>
  <c r="AA30" i="1"/>
  <c r="AB30" i="1"/>
  <c r="AB40" i="1"/>
  <c r="AA61" i="1"/>
  <c r="AA24" i="1"/>
  <c r="S40" i="1"/>
  <c r="S30" i="1"/>
  <c r="S59" i="1"/>
  <c r="S21" i="1"/>
  <c r="S61" i="1"/>
  <c r="S24" i="1"/>
  <c r="L30" i="1"/>
  <c r="L40" i="1"/>
  <c r="K63" i="1"/>
  <c r="K26" i="1"/>
  <c r="AZ101" i="1"/>
  <c r="AZ103" i="1" s="1"/>
  <c r="AZ96" i="1"/>
  <c r="AJ85" i="1"/>
  <c r="AX91" i="1"/>
  <c r="BC101" i="1"/>
  <c r="BC103" i="1" s="1"/>
  <c r="BC96" i="1"/>
  <c r="AY85" i="1"/>
  <c r="AY83" i="1"/>
  <c r="AU85" i="1"/>
  <c r="AU83" i="1"/>
  <c r="BA106" i="1"/>
  <c r="BA91" i="1"/>
  <c r="BV88" i="1"/>
  <c r="BV95" i="1" s="1"/>
  <c r="BV80" i="1"/>
  <c r="BB101" i="1"/>
  <c r="BB103" i="1" s="1"/>
  <c r="BB96" i="1"/>
  <c r="AH101" i="1"/>
  <c r="AH103" i="1" s="1"/>
  <c r="AH96" i="1"/>
  <c r="AF101" i="1"/>
  <c r="AF103" i="1" s="1"/>
  <c r="AF96" i="1"/>
  <c r="AD101" i="1"/>
  <c r="AD103" i="1" s="1"/>
  <c r="AD96" i="1"/>
  <c r="AB101" i="1"/>
  <c r="AB103" i="1" s="1"/>
  <c r="AB96" i="1"/>
  <c r="Z101" i="1"/>
  <c r="Z103" i="1" s="1"/>
  <c r="Z96" i="1"/>
  <c r="X101" i="1"/>
  <c r="X103" i="1" s="1"/>
  <c r="X96" i="1"/>
  <c r="V101" i="1"/>
  <c r="V103" i="1" s="1"/>
  <c r="V96" i="1"/>
  <c r="T101" i="1"/>
  <c r="T103" i="1" s="1"/>
  <c r="T96" i="1"/>
  <c r="R101" i="1"/>
  <c r="R103" i="1" s="1"/>
  <c r="R96" i="1"/>
  <c r="BB106" i="1"/>
  <c r="BB91" i="1"/>
  <c r="AX105" i="1"/>
  <c r="AX89" i="1"/>
  <c r="AF89" i="1"/>
  <c r="AD89" i="1"/>
  <c r="J89" i="1"/>
  <c r="H89" i="1"/>
  <c r="F89" i="1"/>
  <c r="D89" i="1"/>
  <c r="AJ76" i="1"/>
  <c r="AJ90" i="1" s="1"/>
  <c r="AJ62" i="1"/>
  <c r="AI92" i="1"/>
  <c r="AI106" i="1" s="1"/>
  <c r="BA101" i="1"/>
  <c r="BA103" i="1" s="1"/>
  <c r="BA96" i="1"/>
  <c r="AS85" i="1"/>
  <c r="AS83" i="1"/>
  <c r="AK101" i="1"/>
  <c r="AK103" i="1" s="1"/>
  <c r="AK96" i="1"/>
  <c r="Y91" i="1"/>
  <c r="Q91" i="1"/>
  <c r="BY61" i="1"/>
  <c r="BY24" i="1"/>
  <c r="BW61" i="1"/>
  <c r="BW24" i="1"/>
  <c r="BU127" i="1"/>
  <c r="BU129" i="1" s="1"/>
  <c r="BU59" i="1"/>
  <c r="BU21" i="1"/>
  <c r="BU24" i="1"/>
  <c r="BS12" i="1"/>
  <c r="BS61" i="1"/>
  <c r="BS24" i="1"/>
  <c r="BO29" i="1"/>
  <c r="BO39" i="1"/>
  <c r="BO25" i="1"/>
  <c r="BO23" i="1"/>
  <c r="BO44" i="1"/>
  <c r="BO46" i="1"/>
  <c r="BO36" i="1"/>
  <c r="BO20" i="1"/>
  <c r="BO12" i="1"/>
  <c r="BO34" i="1"/>
  <c r="X30" i="1"/>
  <c r="X40" i="1"/>
  <c r="W61" i="1"/>
  <c r="W24" i="1"/>
  <c r="O61" i="1"/>
  <c r="O24" i="1"/>
  <c r="G30" i="1"/>
  <c r="G40" i="1"/>
  <c r="H40" i="1"/>
  <c r="H30" i="1"/>
  <c r="G61" i="1"/>
  <c r="G24" i="1"/>
  <c r="G76" i="1" l="1"/>
  <c r="G90" i="1" s="1"/>
  <c r="G62" i="1"/>
  <c r="O76" i="1"/>
  <c r="O90" i="1" s="1"/>
  <c r="O62" i="1"/>
  <c r="W76" i="1"/>
  <c r="W90" i="1" s="1"/>
  <c r="W62" i="1"/>
  <c r="BO40" i="1"/>
  <c r="BO30" i="1"/>
  <c r="BO63" i="1"/>
  <c r="BO26" i="1"/>
  <c r="BS76" i="1"/>
  <c r="BS62" i="1"/>
  <c r="BU135" i="1"/>
  <c r="BU141" i="1" s="1"/>
  <c r="BU143" i="1" s="1"/>
  <c r="BU130" i="1"/>
  <c r="BW76" i="1"/>
  <c r="BW62" i="1"/>
  <c r="BY76" i="1"/>
  <c r="BY62" i="1"/>
  <c r="AS140" i="1"/>
  <c r="AS141" i="1" s="1"/>
  <c r="AS143" i="1" s="1"/>
  <c r="AS86" i="1"/>
  <c r="AS92" i="1"/>
  <c r="AS106" i="1" s="1"/>
  <c r="AU140" i="1"/>
  <c r="AU141" i="1" s="1"/>
  <c r="AU143" i="1" s="1"/>
  <c r="AU86" i="1"/>
  <c r="AU92" i="1"/>
  <c r="AU106" i="1" s="1"/>
  <c r="AY140" i="1"/>
  <c r="AY141" i="1" s="1"/>
  <c r="AY143" i="1" s="1"/>
  <c r="AY86" i="1"/>
  <c r="AY92" i="1"/>
  <c r="AY106" i="1" s="1"/>
  <c r="AJ140" i="1"/>
  <c r="AJ86" i="1"/>
  <c r="K77" i="1"/>
  <c r="K64" i="1"/>
  <c r="S76" i="1"/>
  <c r="S90" i="1" s="1"/>
  <c r="S62" i="1"/>
  <c r="S75" i="1"/>
  <c r="S60" i="1"/>
  <c r="AA76" i="1"/>
  <c r="AA90" i="1" s="1"/>
  <c r="AA62" i="1"/>
  <c r="BP30" i="1"/>
  <c r="BP40" i="1"/>
  <c r="BP63" i="1"/>
  <c r="BP26" i="1"/>
  <c r="BT77" i="1"/>
  <c r="BT64" i="1"/>
  <c r="BT76" i="1"/>
  <c r="BT62" i="1"/>
  <c r="BT75" i="1"/>
  <c r="BT60" i="1"/>
  <c r="BJ45" i="1"/>
  <c r="BJ43" i="1"/>
  <c r="BJ123" i="1"/>
  <c r="BJ55" i="1"/>
  <c r="CA38" i="1"/>
  <c r="BI57" i="1"/>
  <c r="AK62" i="1"/>
  <c r="AK76" i="1"/>
  <c r="AK90" i="1" s="1"/>
  <c r="AJ92" i="1"/>
  <c r="AJ106" i="1" s="1"/>
  <c r="BM127" i="1"/>
  <c r="BM129" i="1" s="1"/>
  <c r="BM59" i="1"/>
  <c r="BM21" i="1"/>
  <c r="BM63" i="1"/>
  <c r="BM26" i="1"/>
  <c r="BQ127" i="1"/>
  <c r="BQ129" i="1" s="1"/>
  <c r="BQ59" i="1"/>
  <c r="BQ21" i="1"/>
  <c r="BQ63" i="1"/>
  <c r="BQ26" i="1"/>
  <c r="BS135" i="1"/>
  <c r="BS141" i="1" s="1"/>
  <c r="BS143" i="1" s="1"/>
  <c r="BS130" i="1"/>
  <c r="L105" i="1"/>
  <c r="L89" i="1"/>
  <c r="AH86" i="1"/>
  <c r="AH92" i="1"/>
  <c r="AH106" i="1" s="1"/>
  <c r="AT84" i="1"/>
  <c r="AT90" i="1"/>
  <c r="BC86" i="1"/>
  <c r="BC92" i="1"/>
  <c r="BC106" i="1" s="1"/>
  <c r="T105" i="1"/>
  <c r="T89" i="1"/>
  <c r="AB105" i="1"/>
  <c r="AB89" i="1"/>
  <c r="AR84" i="1"/>
  <c r="AR90" i="1"/>
  <c r="BW85" i="1"/>
  <c r="BW83" i="1"/>
  <c r="BX103" i="1"/>
  <c r="AV84" i="1"/>
  <c r="AV90" i="1"/>
  <c r="AZ84" i="1"/>
  <c r="AZ90" i="1"/>
  <c r="BY85" i="1"/>
  <c r="BY140" i="1" s="1"/>
  <c r="BY141" i="1" s="1"/>
  <c r="BY143" i="1" s="1"/>
  <c r="BY83" i="1"/>
  <c r="K76" i="1"/>
  <c r="K90" i="1" s="1"/>
  <c r="K62" i="1"/>
  <c r="K75" i="1"/>
  <c r="K60" i="1"/>
  <c r="S77" i="1"/>
  <c r="S64" i="1"/>
  <c r="AA77" i="1"/>
  <c r="AA64" i="1"/>
  <c r="AA75" i="1"/>
  <c r="AA60" i="1"/>
  <c r="BN127" i="1"/>
  <c r="BN129" i="1" s="1"/>
  <c r="BN59" i="1"/>
  <c r="BN21" i="1"/>
  <c r="BN61" i="1"/>
  <c r="BN24" i="1"/>
  <c r="BR40" i="1"/>
  <c r="BR30" i="1"/>
  <c r="BR63" i="1"/>
  <c r="BR26" i="1"/>
  <c r="AM35" i="1"/>
  <c r="AM33" i="1"/>
  <c r="AN32" i="1"/>
  <c r="AM82" i="1"/>
  <c r="AL57" i="1"/>
  <c r="AL63" i="1" s="1"/>
  <c r="AL36" i="1"/>
  <c r="BJ133" i="1"/>
  <c r="BJ33" i="1"/>
  <c r="BO127" i="1"/>
  <c r="BO129" i="1" s="1"/>
  <c r="BO59" i="1"/>
  <c r="BO21" i="1"/>
  <c r="BO61" i="1"/>
  <c r="BO24" i="1"/>
  <c r="BS40" i="1"/>
  <c r="BS30" i="1"/>
  <c r="BU75" i="1"/>
  <c r="BU60" i="1"/>
  <c r="AS84" i="1"/>
  <c r="AS90" i="1"/>
  <c r="AI91" i="1"/>
  <c r="AJ105" i="1"/>
  <c r="AJ89" i="1"/>
  <c r="BV101" i="1"/>
  <c r="BV96" i="1"/>
  <c r="AU84" i="1"/>
  <c r="AU90" i="1"/>
  <c r="AY84" i="1"/>
  <c r="AY90" i="1"/>
  <c r="BY103" i="1"/>
  <c r="BP127" i="1"/>
  <c r="BP129" i="1" s="1"/>
  <c r="BP59" i="1"/>
  <c r="BP21" i="1"/>
  <c r="BP61" i="1"/>
  <c r="BP24" i="1"/>
  <c r="BT135" i="1"/>
  <c r="BT141" i="1" s="1"/>
  <c r="BT143" i="1" s="1"/>
  <c r="BT130" i="1"/>
  <c r="BX76" i="1"/>
  <c r="BX62" i="1"/>
  <c r="AK77" i="1"/>
  <c r="AK64" i="1"/>
  <c r="BJ115" i="1"/>
  <c r="CA110" i="1"/>
  <c r="BI113" i="1"/>
  <c r="G77" i="1"/>
  <c r="G64" i="1"/>
  <c r="G75" i="1"/>
  <c r="G60" i="1"/>
  <c r="O77" i="1"/>
  <c r="O64" i="1"/>
  <c r="O75" i="1"/>
  <c r="O60" i="1"/>
  <c r="W77" i="1"/>
  <c r="W64" i="1"/>
  <c r="W75" i="1"/>
  <c r="W60" i="1"/>
  <c r="BM61" i="1"/>
  <c r="BM24" i="1"/>
  <c r="BQ30" i="1"/>
  <c r="BQ40" i="1"/>
  <c r="BQ61" i="1"/>
  <c r="BQ24" i="1"/>
  <c r="BS77" i="1"/>
  <c r="BS64" i="1"/>
  <c r="BS75" i="1"/>
  <c r="BS60" i="1"/>
  <c r="BT83" i="1"/>
  <c r="BT84" i="1" s="1"/>
  <c r="BT85" i="1"/>
  <c r="AL85" i="1"/>
  <c r="AL83" i="1"/>
  <c r="AT140" i="1"/>
  <c r="AT141" i="1" s="1"/>
  <c r="AT143" i="1" s="1"/>
  <c r="AT86" i="1"/>
  <c r="AT92" i="1"/>
  <c r="AT106" i="1" s="1"/>
  <c r="BC84" i="1"/>
  <c r="BC90" i="1"/>
  <c r="BV103" i="1"/>
  <c r="BW103" i="1"/>
  <c r="AR140" i="1"/>
  <c r="AR141" i="1" s="1"/>
  <c r="AR143" i="1" s="1"/>
  <c r="AR86" i="1"/>
  <c r="AR92" i="1"/>
  <c r="AR106" i="1" s="1"/>
  <c r="BX85" i="1"/>
  <c r="BX83" i="1"/>
  <c r="BX84" i="1" s="1"/>
  <c r="AV140" i="1"/>
  <c r="AV141" i="1" s="1"/>
  <c r="AV143" i="1" s="1"/>
  <c r="AV86" i="1"/>
  <c r="AV92" i="1"/>
  <c r="AV106" i="1" s="1"/>
  <c r="AZ140" i="1"/>
  <c r="AZ141" i="1" s="1"/>
  <c r="AZ143" i="1" s="1"/>
  <c r="AZ86" i="1"/>
  <c r="AZ92" i="1"/>
  <c r="AZ106" i="1" s="1"/>
  <c r="BX101" i="1"/>
  <c r="BX96" i="1"/>
  <c r="BN40" i="1"/>
  <c r="BN30" i="1"/>
  <c r="BN63" i="1"/>
  <c r="BN26" i="1"/>
  <c r="BR127" i="1"/>
  <c r="BR129" i="1" s="1"/>
  <c r="BR59" i="1"/>
  <c r="BR21" i="1"/>
  <c r="BR61" i="1"/>
  <c r="BR24" i="1"/>
  <c r="BU32" i="1"/>
  <c r="BU35" i="1" s="1"/>
  <c r="AL56" i="1"/>
  <c r="AL61" i="1" s="1"/>
  <c r="AL34" i="1"/>
  <c r="BH128" i="1"/>
  <c r="BI15" i="1"/>
  <c r="BI56" i="1"/>
  <c r="BW84" i="1" l="1"/>
  <c r="BT86" i="1"/>
  <c r="CB110" i="1"/>
  <c r="CA115" i="1"/>
  <c r="BY90" i="1"/>
  <c r="BY89" i="1" s="1"/>
  <c r="BJ113" i="1"/>
  <c r="BU57" i="1"/>
  <c r="BU63" i="1" s="1"/>
  <c r="BU36" i="1"/>
  <c r="BR76" i="1"/>
  <c r="BR62" i="1"/>
  <c r="BR75" i="1"/>
  <c r="BR60" i="1"/>
  <c r="AZ91" i="1"/>
  <c r="AR91" i="1"/>
  <c r="AK92" i="1"/>
  <c r="AK106" i="1" s="1"/>
  <c r="AK86" i="1"/>
  <c r="BX90" i="1"/>
  <c r="BP76" i="1"/>
  <c r="BP62" i="1"/>
  <c r="BP75" i="1"/>
  <c r="BP60" i="1"/>
  <c r="BU88" i="1"/>
  <c r="BU95" i="1" s="1"/>
  <c r="BU80" i="1"/>
  <c r="BO76" i="1"/>
  <c r="BO62" i="1"/>
  <c r="BO75" i="1"/>
  <c r="BO60" i="1"/>
  <c r="BJ56" i="1"/>
  <c r="AL77" i="1"/>
  <c r="AL92" i="1" s="1"/>
  <c r="AL106" i="1" s="1"/>
  <c r="AL64" i="1"/>
  <c r="AN35" i="1"/>
  <c r="AN33" i="1"/>
  <c r="AO32" i="1"/>
  <c r="AN82" i="1"/>
  <c r="AM57" i="1"/>
  <c r="AM63" i="1" s="1"/>
  <c r="AM36" i="1"/>
  <c r="BR77" i="1"/>
  <c r="BR64" i="1"/>
  <c r="BN76" i="1"/>
  <c r="BN62" i="1"/>
  <c r="BN75" i="1"/>
  <c r="BN60" i="1"/>
  <c r="BY86" i="1"/>
  <c r="BY92" i="1"/>
  <c r="AR105" i="1"/>
  <c r="AR89" i="1"/>
  <c r="BC91" i="1"/>
  <c r="BQ77" i="1"/>
  <c r="BQ64" i="1"/>
  <c r="BQ75" i="1"/>
  <c r="BQ60" i="1"/>
  <c r="BM135" i="1"/>
  <c r="BM141" i="1" s="1"/>
  <c r="BM143" i="1" s="1"/>
  <c r="BM130" i="1"/>
  <c r="AK105" i="1"/>
  <c r="AK89" i="1"/>
  <c r="CA45" i="1"/>
  <c r="CA43" i="1"/>
  <c r="CA55" i="1"/>
  <c r="CA132" i="1" s="1"/>
  <c r="CA123" i="1"/>
  <c r="AY91" i="1"/>
  <c r="AS91" i="1"/>
  <c r="BW90" i="1"/>
  <c r="BS90" i="1"/>
  <c r="BS84" i="1"/>
  <c r="BO77" i="1"/>
  <c r="BO64" i="1"/>
  <c r="BI128" i="1"/>
  <c r="BJ15" i="1"/>
  <c r="AL76" i="1"/>
  <c r="AL90" i="1" s="1"/>
  <c r="AL62" i="1"/>
  <c r="BR135" i="1"/>
  <c r="BR141" i="1" s="1"/>
  <c r="BR143" i="1" s="1"/>
  <c r="BR130" i="1"/>
  <c r="BN77" i="1"/>
  <c r="BN64" i="1"/>
  <c r="AV91" i="1"/>
  <c r="BX140" i="1"/>
  <c r="BX141" i="1" s="1"/>
  <c r="BX143" i="1" s="1"/>
  <c r="BX86" i="1"/>
  <c r="BX92" i="1"/>
  <c r="BC105" i="1"/>
  <c r="BC89" i="1"/>
  <c r="AT91" i="1"/>
  <c r="AL140" i="1"/>
  <c r="AL141" i="1" s="1"/>
  <c r="AL143" i="1" s="1"/>
  <c r="AL86" i="1"/>
  <c r="BS88" i="1"/>
  <c r="BS95" i="1" s="1"/>
  <c r="BS80" i="1"/>
  <c r="BS92" i="1"/>
  <c r="BS86" i="1"/>
  <c r="BQ76" i="1"/>
  <c r="BQ62" i="1"/>
  <c r="BM76" i="1"/>
  <c r="BM62" i="1"/>
  <c r="W88" i="1"/>
  <c r="W95" i="1" s="1"/>
  <c r="W80" i="1"/>
  <c r="W92" i="1"/>
  <c r="W106" i="1" s="1"/>
  <c r="W86" i="1"/>
  <c r="O88" i="1"/>
  <c r="O95" i="1" s="1"/>
  <c r="O80" i="1"/>
  <c r="O92" i="1"/>
  <c r="O106" i="1" s="1"/>
  <c r="O86" i="1"/>
  <c r="G88" i="1"/>
  <c r="G95" i="1" s="1"/>
  <c r="G80" i="1"/>
  <c r="G92" i="1"/>
  <c r="G106" i="1" s="1"/>
  <c r="G86" i="1"/>
  <c r="BK113" i="1"/>
  <c r="BK115" i="1"/>
  <c r="BP135" i="1"/>
  <c r="BP141" i="1" s="1"/>
  <c r="BP143" i="1" s="1"/>
  <c r="BP130" i="1"/>
  <c r="AY105" i="1"/>
  <c r="AY89" i="1"/>
  <c r="AU105" i="1"/>
  <c r="AU89" i="1"/>
  <c r="CA109" i="1"/>
  <c r="AS105" i="1"/>
  <c r="AS89" i="1"/>
  <c r="BO135" i="1"/>
  <c r="BO141" i="1" s="1"/>
  <c r="BO143" i="1" s="1"/>
  <c r="BO130" i="1"/>
  <c r="BK133" i="1"/>
  <c r="BK33" i="1"/>
  <c r="CA31" i="1"/>
  <c r="CB31" i="1" s="1"/>
  <c r="CB133" i="1" s="1"/>
  <c r="AM85" i="1"/>
  <c r="AM83" i="1"/>
  <c r="BU82" i="1"/>
  <c r="AM56" i="1"/>
  <c r="AM61" i="1" s="1"/>
  <c r="AM34" i="1"/>
  <c r="BU33" i="1"/>
  <c r="BN135" i="1"/>
  <c r="BN141" i="1" s="1"/>
  <c r="BN143" i="1" s="1"/>
  <c r="BN130" i="1"/>
  <c r="AA88" i="1"/>
  <c r="AA95" i="1" s="1"/>
  <c r="AA80" i="1"/>
  <c r="AA92" i="1"/>
  <c r="AA106" i="1" s="1"/>
  <c r="AA86" i="1"/>
  <c r="S92" i="1"/>
  <c r="S106" i="1" s="1"/>
  <c r="S86" i="1"/>
  <c r="K88" i="1"/>
  <c r="K95" i="1" s="1"/>
  <c r="K80" i="1"/>
  <c r="K105" i="1"/>
  <c r="BY84" i="1"/>
  <c r="AZ105" i="1"/>
  <c r="AZ89" i="1"/>
  <c r="AV105" i="1"/>
  <c r="AV89" i="1"/>
  <c r="BW140" i="1"/>
  <c r="BW141" i="1" s="1"/>
  <c r="BW143" i="1" s="1"/>
  <c r="BW86" i="1"/>
  <c r="BW92" i="1"/>
  <c r="AT105" i="1"/>
  <c r="AT89" i="1"/>
  <c r="AH91" i="1"/>
  <c r="BQ135" i="1"/>
  <c r="BQ141" i="1" s="1"/>
  <c r="BQ143" i="1" s="1"/>
  <c r="BQ130" i="1"/>
  <c r="BM77" i="1"/>
  <c r="BM64" i="1"/>
  <c r="BM75" i="1"/>
  <c r="BM60" i="1"/>
  <c r="AJ91" i="1"/>
  <c r="BJ132" i="1"/>
  <c r="BJ134" i="1" s="1"/>
  <c r="BK45" i="1"/>
  <c r="BK43" i="1"/>
  <c r="BK55" i="1"/>
  <c r="BK123" i="1"/>
  <c r="BJ57" i="1"/>
  <c r="BT80" i="1"/>
  <c r="BT88" i="1"/>
  <c r="BT95" i="1" s="1"/>
  <c r="BT90" i="1"/>
  <c r="BT92" i="1"/>
  <c r="BP77" i="1"/>
  <c r="BP64" i="1"/>
  <c r="AA105" i="1"/>
  <c r="S88" i="1"/>
  <c r="S95" i="1" s="1"/>
  <c r="S80" i="1"/>
  <c r="S105" i="1"/>
  <c r="K92" i="1"/>
  <c r="K106" i="1" s="1"/>
  <c r="K86" i="1"/>
  <c r="AU91" i="1"/>
  <c r="W105" i="1"/>
  <c r="W89" i="1"/>
  <c r="O105" i="1"/>
  <c r="O89" i="1"/>
  <c r="G105" i="1"/>
  <c r="G89" i="1"/>
  <c r="BY105" i="1" l="1"/>
  <c r="CB78" i="2"/>
  <c r="CB115" i="1"/>
  <c r="CA113" i="1"/>
  <c r="CB109" i="1"/>
  <c r="CB113" i="1" s="1"/>
  <c r="K91" i="1"/>
  <c r="S101" i="1"/>
  <c r="S103" i="1" s="1"/>
  <c r="S96" i="1"/>
  <c r="BT106" i="1"/>
  <c r="BT91" i="1"/>
  <c r="BT101" i="1"/>
  <c r="BT103" i="1" s="1"/>
  <c r="BT96" i="1"/>
  <c r="BK132" i="1"/>
  <c r="BK134" i="1" s="1"/>
  <c r="BK57" i="1"/>
  <c r="BM88" i="1"/>
  <c r="BM95" i="1" s="1"/>
  <c r="BM80" i="1"/>
  <c r="BM92" i="1"/>
  <c r="BM86" i="1"/>
  <c r="K101" i="1"/>
  <c r="K103" i="1" s="1"/>
  <c r="K96" i="1"/>
  <c r="S91" i="1"/>
  <c r="AA91" i="1"/>
  <c r="AA101" i="1"/>
  <c r="AA103" i="1" s="1"/>
  <c r="AA96" i="1"/>
  <c r="BU56" i="1"/>
  <c r="BU61" i="1" s="1"/>
  <c r="BU34" i="1"/>
  <c r="AM76" i="1"/>
  <c r="AM90" i="1" s="1"/>
  <c r="AM62" i="1"/>
  <c r="CA133" i="1"/>
  <c r="CA33" i="1"/>
  <c r="BX106" i="1"/>
  <c r="BX91" i="1"/>
  <c r="BN92" i="1"/>
  <c r="BN86" i="1"/>
  <c r="AL105" i="1"/>
  <c r="AL89" i="1"/>
  <c r="BJ128" i="1"/>
  <c r="BK15" i="1"/>
  <c r="CA15" i="1" s="1"/>
  <c r="BW105" i="1"/>
  <c r="BW89" i="1"/>
  <c r="CA134" i="1"/>
  <c r="BY106" i="1"/>
  <c r="BY91" i="1"/>
  <c r="AN85" i="1"/>
  <c r="AN83" i="1"/>
  <c r="AN56" i="1"/>
  <c r="AN61" i="1" s="1"/>
  <c r="AN34" i="1"/>
  <c r="BO88" i="1"/>
  <c r="BO95" i="1" s="1"/>
  <c r="BO80" i="1"/>
  <c r="BO90" i="1"/>
  <c r="BO84" i="1"/>
  <c r="BU101" i="1"/>
  <c r="BU103" i="1" s="1"/>
  <c r="BU96" i="1"/>
  <c r="BP88" i="1"/>
  <c r="BP95" i="1" s="1"/>
  <c r="BP80" i="1"/>
  <c r="BP90" i="1"/>
  <c r="BP84" i="1"/>
  <c r="S89" i="1"/>
  <c r="AA89" i="1"/>
  <c r="BP92" i="1"/>
  <c r="BP86" i="1"/>
  <c r="BT105" i="1"/>
  <c r="BT89" i="1"/>
  <c r="BW106" i="1"/>
  <c r="BW91" i="1"/>
  <c r="K89" i="1"/>
  <c r="BU83" i="1"/>
  <c r="BU85" i="1"/>
  <c r="AM140" i="1"/>
  <c r="AM141" i="1" s="1"/>
  <c r="AM143" i="1" s="1"/>
  <c r="BK56" i="1"/>
  <c r="G91" i="1"/>
  <c r="G101" i="1"/>
  <c r="G103" i="1" s="1"/>
  <c r="G96" i="1"/>
  <c r="O91" i="1"/>
  <c r="O101" i="1"/>
  <c r="O103" i="1" s="1"/>
  <c r="O96" i="1"/>
  <c r="W91" i="1"/>
  <c r="W101" i="1"/>
  <c r="W103" i="1" s="1"/>
  <c r="W96" i="1"/>
  <c r="BM90" i="1"/>
  <c r="BM84" i="1"/>
  <c r="BQ90" i="1"/>
  <c r="BQ84" i="1"/>
  <c r="BS106" i="1"/>
  <c r="BS91" i="1"/>
  <c r="BS101" i="1"/>
  <c r="BS103" i="1" s="1"/>
  <c r="BS96" i="1"/>
  <c r="BO92" i="1"/>
  <c r="BO86" i="1"/>
  <c r="BS105" i="1"/>
  <c r="BS89" i="1"/>
  <c r="CA57" i="1"/>
  <c r="BQ88" i="1"/>
  <c r="BQ95" i="1" s="1"/>
  <c r="BQ80" i="1"/>
  <c r="BQ92" i="1"/>
  <c r="BQ86" i="1"/>
  <c r="BN88" i="1"/>
  <c r="BN95" i="1" s="1"/>
  <c r="BN80" i="1"/>
  <c r="BN90" i="1"/>
  <c r="BN84" i="1"/>
  <c r="BR92" i="1"/>
  <c r="BR86" i="1"/>
  <c r="AM77" i="1"/>
  <c r="AM92" i="1" s="1"/>
  <c r="AM106" i="1" s="1"/>
  <c r="AM64" i="1"/>
  <c r="AO35" i="1"/>
  <c r="AO33" i="1"/>
  <c r="AP32" i="1"/>
  <c r="AO82" i="1"/>
  <c r="AN57" i="1"/>
  <c r="AN63" i="1" s="1"/>
  <c r="AN36" i="1"/>
  <c r="AL91" i="1"/>
  <c r="BX105" i="1"/>
  <c r="BX89" i="1"/>
  <c r="AK91" i="1"/>
  <c r="BR88" i="1"/>
  <c r="BR95" i="1" s="1"/>
  <c r="BR80" i="1"/>
  <c r="BR90" i="1"/>
  <c r="BR84" i="1"/>
  <c r="BU77" i="1"/>
  <c r="BU64" i="1"/>
  <c r="BU92" i="1" l="1"/>
  <c r="CA128" i="1"/>
  <c r="CB15" i="1"/>
  <c r="CB128" i="1" s="1"/>
  <c r="AN77" i="1"/>
  <c r="AN92" i="1" s="1"/>
  <c r="AN106" i="1" s="1"/>
  <c r="AN64" i="1"/>
  <c r="AP35" i="1"/>
  <c r="AP33" i="1"/>
  <c r="AQ32" i="1"/>
  <c r="AP82" i="1"/>
  <c r="AO57" i="1"/>
  <c r="AO63" i="1" s="1"/>
  <c r="AO36" i="1"/>
  <c r="AM91" i="1"/>
  <c r="BR106" i="1"/>
  <c r="BR91" i="1"/>
  <c r="BN105" i="1"/>
  <c r="BN89" i="1"/>
  <c r="BN101" i="1"/>
  <c r="BN103" i="1" s="1"/>
  <c r="BN96" i="1"/>
  <c r="BQ106" i="1"/>
  <c r="BQ91" i="1"/>
  <c r="BQ101" i="1"/>
  <c r="BQ103" i="1" s="1"/>
  <c r="BQ96" i="1"/>
  <c r="BO106" i="1"/>
  <c r="BO91" i="1"/>
  <c r="BQ105" i="1"/>
  <c r="BQ89" i="1"/>
  <c r="BM105" i="1"/>
  <c r="BM89" i="1"/>
  <c r="BP105" i="1"/>
  <c r="BP89" i="1"/>
  <c r="BP101" i="1"/>
  <c r="BP103" i="1" s="1"/>
  <c r="BP96" i="1"/>
  <c r="BO105" i="1"/>
  <c r="BO89" i="1"/>
  <c r="BO101" i="1"/>
  <c r="BO103" i="1" s="1"/>
  <c r="BO96" i="1"/>
  <c r="AN76" i="1"/>
  <c r="AN90" i="1" s="1"/>
  <c r="AN62" i="1"/>
  <c r="BN106" i="1"/>
  <c r="BN91" i="1"/>
  <c r="CA56" i="1"/>
  <c r="BM106" i="1"/>
  <c r="BM91" i="1"/>
  <c r="BM101" i="1"/>
  <c r="BM103" i="1" s="1"/>
  <c r="BM96" i="1"/>
  <c r="BU106" i="1"/>
  <c r="BU91" i="1"/>
  <c r="BR105" i="1"/>
  <c r="BR89" i="1"/>
  <c r="BR101" i="1"/>
  <c r="BR103" i="1" s="1"/>
  <c r="BR96" i="1"/>
  <c r="AO85" i="1"/>
  <c r="AO83" i="1"/>
  <c r="AO89" i="1" s="1"/>
  <c r="AO56" i="1"/>
  <c r="AO61" i="1" s="1"/>
  <c r="AO34" i="1"/>
  <c r="AM86" i="1"/>
  <c r="BU86" i="1"/>
  <c r="BP106" i="1"/>
  <c r="BP91" i="1"/>
  <c r="AN140" i="1"/>
  <c r="AN141" i="1" s="1"/>
  <c r="AN143" i="1" s="1"/>
  <c r="BK128" i="1"/>
  <c r="AM105" i="1"/>
  <c r="AM89" i="1"/>
  <c r="BU76" i="1"/>
  <c r="BU90" i="1" s="1"/>
  <c r="BU62" i="1"/>
  <c r="BU105" i="1" l="1"/>
  <c r="BU89" i="1"/>
  <c r="AO62" i="1"/>
  <c r="AO76" i="1"/>
  <c r="AO90" i="1" s="1"/>
  <c r="AO105" i="1" s="1"/>
  <c r="AO140" i="1"/>
  <c r="AO141" i="1" s="1"/>
  <c r="AO143" i="1" s="1"/>
  <c r="AO91" i="1"/>
  <c r="AO92" i="1" s="1"/>
  <c r="AO106" i="1" s="1"/>
  <c r="AN105" i="1"/>
  <c r="AN89" i="1"/>
  <c r="AO77" i="1"/>
  <c r="AO86" i="1" s="1"/>
  <c r="AO64" i="1"/>
  <c r="AQ35" i="1"/>
  <c r="AQ33" i="1"/>
  <c r="AQ82" i="1"/>
  <c r="AP57" i="1"/>
  <c r="AP63" i="1" s="1"/>
  <c r="AP36" i="1"/>
  <c r="AN91" i="1"/>
  <c r="AN86" i="1"/>
  <c r="BU84" i="1"/>
  <c r="AP85" i="1"/>
  <c r="AP83" i="1"/>
  <c r="AP56" i="1"/>
  <c r="AP61" i="1" s="1"/>
  <c r="AP34" i="1"/>
  <c r="AP76" i="1" l="1"/>
  <c r="AP90" i="1" s="1"/>
  <c r="AP62" i="1"/>
  <c r="AP140" i="1"/>
  <c r="AP141" i="1" s="1"/>
  <c r="AP143" i="1" s="1"/>
  <c r="AQ85" i="1"/>
  <c r="AQ83" i="1"/>
  <c r="BV82" i="1"/>
  <c r="AQ57" i="1"/>
  <c r="AQ63" i="1" s="1"/>
  <c r="AQ36" i="1"/>
  <c r="AP77" i="1"/>
  <c r="AP92" i="1" s="1"/>
  <c r="AP106" i="1" s="1"/>
  <c r="AP64" i="1"/>
  <c r="AQ56" i="1"/>
  <c r="AQ61" i="1" s="1"/>
  <c r="AQ34" i="1"/>
  <c r="BV33" i="1"/>
  <c r="BV56" i="1" l="1"/>
  <c r="BV61" i="1" s="1"/>
  <c r="BV34" i="1"/>
  <c r="AQ76" i="1"/>
  <c r="AQ90" i="1" s="1"/>
  <c r="AQ62" i="1"/>
  <c r="AP91" i="1"/>
  <c r="BV85" i="1"/>
  <c r="BV83" i="1"/>
  <c r="AQ140" i="1"/>
  <c r="AQ141" i="1" s="1"/>
  <c r="AQ143" i="1" s="1"/>
  <c r="AP105" i="1"/>
  <c r="AP89" i="1"/>
  <c r="AQ77" i="1"/>
  <c r="AQ92" i="1" s="1"/>
  <c r="AQ106" i="1" s="1"/>
  <c r="AQ64" i="1"/>
  <c r="AP86" i="1"/>
  <c r="AQ91" i="1" l="1"/>
  <c r="BV140" i="1"/>
  <c r="BV141" i="1" s="1"/>
  <c r="BV143" i="1" s="1"/>
  <c r="BV86" i="1"/>
  <c r="BV92" i="1"/>
  <c r="AQ86" i="1"/>
  <c r="AQ105" i="1"/>
  <c r="AQ89" i="1"/>
  <c r="BV76" i="1"/>
  <c r="BV90" i="1" s="1"/>
  <c r="BV62" i="1"/>
  <c r="BV105" i="1" l="1"/>
  <c r="BV89" i="1"/>
  <c r="BV84" i="1"/>
  <c r="BV106" i="1"/>
  <c r="BV91" i="1"/>
  <c r="BB88" i="2" l="1"/>
  <c r="BB46" i="13" l="1"/>
  <c r="BA46" i="13"/>
  <c r="BB27" i="13"/>
  <c r="BB25" i="13"/>
  <c r="BC32" i="13" s="1"/>
  <c r="BB8" i="13"/>
  <c r="BC14" i="13" s="1"/>
  <c r="BB88" i="3"/>
  <c r="BB87" i="3"/>
  <c r="BB84" i="3"/>
  <c r="BB63" i="3"/>
  <c r="BB53" i="3"/>
  <c r="BB52" i="3"/>
  <c r="BB51" i="3"/>
  <c r="BB50" i="3"/>
  <c r="BB49" i="3"/>
  <c r="BB48" i="3"/>
  <c r="BB47" i="3"/>
  <c r="BB46" i="3"/>
  <c r="BB45" i="3"/>
  <c r="BB54" i="3" s="1"/>
  <c r="BB41" i="3"/>
  <c r="BB40" i="3"/>
  <c r="BB39" i="3"/>
  <c r="BB38" i="3"/>
  <c r="BB37" i="3"/>
  <c r="BB36" i="3"/>
  <c r="BB35" i="3"/>
  <c r="BB34" i="3"/>
  <c r="BB42" i="3" s="1"/>
  <c r="BB33" i="3"/>
  <c r="BB29" i="3"/>
  <c r="BB28" i="3"/>
  <c r="BB27" i="3"/>
  <c r="BB26" i="3"/>
  <c r="BB25" i="3"/>
  <c r="BB24" i="3"/>
  <c r="BB23" i="3"/>
  <c r="BB22" i="3"/>
  <c r="BB21" i="3"/>
  <c r="BB19" i="3"/>
  <c r="BB18" i="3"/>
  <c r="BB17" i="3"/>
  <c r="BB16" i="3"/>
  <c r="BB15" i="3"/>
  <c r="BB14" i="3"/>
  <c r="BB13" i="3"/>
  <c r="BB12" i="3"/>
  <c r="BB11" i="3"/>
  <c r="BB10" i="3"/>
  <c r="BB112" i="3"/>
  <c r="BB156" i="3"/>
  <c r="BB147" i="3"/>
  <c r="BB135" i="3"/>
  <c r="BB57" i="2"/>
  <c r="BB53" i="2" s="1"/>
  <c r="BB56" i="2"/>
  <c r="BB54" i="2" s="1"/>
  <c r="BB50" i="2"/>
  <c r="BB34" i="2"/>
  <c r="BB35" i="2" s="1"/>
  <c r="BB44" i="2" s="1"/>
  <c r="BB23" i="2"/>
  <c r="BB14" i="2"/>
  <c r="BB15" i="2" s="1"/>
  <c r="BB24" i="2" s="1"/>
  <c r="BB24" i="13" l="1"/>
  <c r="BB42" i="13"/>
  <c r="BB52" i="2"/>
  <c r="BB51" i="2" s="1"/>
  <c r="BB46" i="2"/>
  <c r="BB166" i="2" l="1"/>
  <c r="BD84" i="3"/>
  <c r="BE84" i="3" s="1"/>
  <c r="BF84" i="3" s="1"/>
  <c r="BG84" i="3" s="1"/>
  <c r="BH84" i="3" s="1"/>
  <c r="BI84" i="3" s="1"/>
  <c r="BJ84" i="3" s="1"/>
  <c r="BK84" i="3" s="1"/>
  <c r="BB8" i="3" l="1"/>
  <c r="BB30" i="3" s="1"/>
  <c r="BB60" i="3" s="1"/>
  <c r="CA186" i="35"/>
  <c r="CA189" i="35" s="1"/>
  <c r="CA166" i="35"/>
  <c r="CA169" i="35" s="1"/>
  <c r="CA152" i="35"/>
  <c r="CA84" i="35"/>
  <c r="CA120" i="3"/>
  <c r="CA84" i="3"/>
  <c r="CA10" i="3" s="1"/>
  <c r="CA103" i="3" s="1"/>
  <c r="CA69" i="3"/>
  <c r="CA59" i="3"/>
  <c r="CA56" i="3"/>
  <c r="CA52" i="3"/>
  <c r="CA51" i="3"/>
  <c r="CA50" i="3"/>
  <c r="CA49" i="3"/>
  <c r="CA48" i="3"/>
  <c r="CA47" i="3"/>
  <c r="CA45" i="3"/>
  <c r="CA40" i="3"/>
  <c r="CA39" i="3"/>
  <c r="CA132" i="3" s="1"/>
  <c r="CA38" i="3"/>
  <c r="CA37" i="3"/>
  <c r="CA130" i="3" s="1"/>
  <c r="CA36" i="3"/>
  <c r="CA35" i="3"/>
  <c r="CA128" i="3" s="1"/>
  <c r="CA34" i="3"/>
  <c r="CA29" i="3"/>
  <c r="CA28" i="3"/>
  <c r="CA27" i="3"/>
  <c r="CA18" i="3"/>
  <c r="CA111" i="3" s="1"/>
  <c r="CA17" i="3"/>
  <c r="CA16" i="3"/>
  <c r="CA109" i="3" s="1"/>
  <c r="CA15" i="3"/>
  <c r="CA14" i="3"/>
  <c r="CA107" i="3" s="1"/>
  <c r="CA13" i="3"/>
  <c r="CA12" i="3"/>
  <c r="CA105" i="3" s="1"/>
  <c r="CA149" i="3"/>
  <c r="CA145" i="3"/>
  <c r="CA144" i="3"/>
  <c r="CA143" i="3"/>
  <c r="CA142" i="3"/>
  <c r="CA141" i="3"/>
  <c r="CA140" i="3"/>
  <c r="CA133" i="3"/>
  <c r="CA131" i="3"/>
  <c r="CA129" i="3"/>
  <c r="CA127" i="3"/>
  <c r="CA122" i="3"/>
  <c r="CA121" i="3"/>
  <c r="CA110" i="3"/>
  <c r="CA108" i="3"/>
  <c r="CA106" i="3"/>
  <c r="O73" i="3"/>
  <c r="BO70" i="3"/>
  <c r="BY161" i="2"/>
  <c r="BZ161" i="2" s="1"/>
  <c r="CA161" i="2" s="1"/>
  <c r="CB161" i="2" s="1"/>
  <c r="CA152" i="2"/>
  <c r="BZ152" i="2"/>
  <c r="CA138" i="2"/>
  <c r="CB138" i="2" s="1"/>
  <c r="CA117" i="2"/>
  <c r="CB117" i="2" s="1"/>
  <c r="CA63" i="2"/>
  <c r="CB63" i="2" s="1"/>
  <c r="CB19" i="3" s="1"/>
  <c r="CB112" i="3" s="1"/>
  <c r="CA27" i="2"/>
  <c r="CB27" i="2" s="1"/>
  <c r="BK164" i="3"/>
  <c r="BJ164" i="3"/>
  <c r="BI164" i="3"/>
  <c r="BH164" i="3"/>
  <c r="BH152" i="3"/>
  <c r="BI152" i="3" s="1"/>
  <c r="BJ152" i="3" s="1"/>
  <c r="BK152" i="3" s="1"/>
  <c r="BH149" i="3"/>
  <c r="BI149" i="3" s="1"/>
  <c r="BJ149" i="3" s="1"/>
  <c r="BK149" i="3" s="1"/>
  <c r="BH145" i="3"/>
  <c r="BI145" i="3" s="1"/>
  <c r="BJ145" i="3" s="1"/>
  <c r="BK145" i="3" s="1"/>
  <c r="BH144" i="3"/>
  <c r="BI144" i="3" s="1"/>
  <c r="BJ144" i="3" s="1"/>
  <c r="BK144" i="3" s="1"/>
  <c r="BH143" i="3"/>
  <c r="BI143" i="3" s="1"/>
  <c r="BJ143" i="3" s="1"/>
  <c r="BK143" i="3" s="1"/>
  <c r="BH142" i="3"/>
  <c r="BI142" i="3" s="1"/>
  <c r="BJ142" i="3" s="1"/>
  <c r="BK142" i="3" s="1"/>
  <c r="BH141" i="3"/>
  <c r="BI141" i="3" s="1"/>
  <c r="BJ141" i="3" s="1"/>
  <c r="BK141" i="3" s="1"/>
  <c r="BH140" i="3"/>
  <c r="BI140" i="3" s="1"/>
  <c r="BJ140" i="3" s="1"/>
  <c r="BK140" i="3" s="1"/>
  <c r="BH138" i="3"/>
  <c r="BI138" i="3" s="1"/>
  <c r="BH133" i="3"/>
  <c r="BI133" i="3" s="1"/>
  <c r="BJ133" i="3" s="1"/>
  <c r="BK133" i="3" s="1"/>
  <c r="BH132" i="3"/>
  <c r="BI132" i="3" s="1"/>
  <c r="BJ132" i="3" s="1"/>
  <c r="BK132" i="3" s="1"/>
  <c r="BH131" i="3"/>
  <c r="BI131" i="3" s="1"/>
  <c r="BJ131" i="3" s="1"/>
  <c r="BK131" i="3" s="1"/>
  <c r="BH130" i="3"/>
  <c r="BI130" i="3" s="1"/>
  <c r="BJ130" i="3" s="1"/>
  <c r="BK130" i="3" s="1"/>
  <c r="BH129" i="3"/>
  <c r="BI129" i="3" s="1"/>
  <c r="BJ129" i="3" s="1"/>
  <c r="BK129" i="3" s="1"/>
  <c r="BH128" i="3"/>
  <c r="BI128" i="3" s="1"/>
  <c r="BJ128" i="3" s="1"/>
  <c r="BK128" i="3" s="1"/>
  <c r="BH127" i="3"/>
  <c r="BI127" i="3" s="1"/>
  <c r="BJ127" i="3" s="1"/>
  <c r="BK127" i="3" s="1"/>
  <c r="BH122" i="3"/>
  <c r="BI122" i="3" s="1"/>
  <c r="BJ122" i="3" s="1"/>
  <c r="BK122" i="3" s="1"/>
  <c r="BH121" i="3"/>
  <c r="BI121" i="3" s="1"/>
  <c r="BJ121" i="3" s="1"/>
  <c r="BK121" i="3" s="1"/>
  <c r="BH120" i="3"/>
  <c r="BI120" i="3" s="1"/>
  <c r="BJ120" i="3" s="1"/>
  <c r="BK120" i="3" s="1"/>
  <c r="BH111" i="3"/>
  <c r="BI111" i="3" s="1"/>
  <c r="BJ111" i="3" s="1"/>
  <c r="BK111" i="3" s="1"/>
  <c r="BH110" i="3"/>
  <c r="BI110" i="3" s="1"/>
  <c r="BJ110" i="3" s="1"/>
  <c r="BK110" i="3" s="1"/>
  <c r="BH109" i="3"/>
  <c r="BI109" i="3" s="1"/>
  <c r="BJ109" i="3" s="1"/>
  <c r="BK109" i="3" s="1"/>
  <c r="BH108" i="3"/>
  <c r="BI108" i="3" s="1"/>
  <c r="BJ108" i="3" s="1"/>
  <c r="BK108" i="3" s="1"/>
  <c r="BH107" i="3"/>
  <c r="BI107" i="3" s="1"/>
  <c r="BJ107" i="3" s="1"/>
  <c r="BK107" i="3" s="1"/>
  <c r="BH106" i="3"/>
  <c r="BI106" i="3" s="1"/>
  <c r="BJ106" i="3" s="1"/>
  <c r="BK106" i="3" s="1"/>
  <c r="BH105" i="3"/>
  <c r="BI105" i="3" s="1"/>
  <c r="BJ105" i="3" s="1"/>
  <c r="BK105" i="3" s="1"/>
  <c r="BK72" i="3"/>
  <c r="BJ72" i="3"/>
  <c r="BI72" i="3"/>
  <c r="BH72" i="3"/>
  <c r="BK33" i="3"/>
  <c r="BJ33" i="3"/>
  <c r="BI33" i="3"/>
  <c r="BH33" i="3"/>
  <c r="BH126" i="3" s="1"/>
  <c r="BK19" i="3"/>
  <c r="BJ19" i="3"/>
  <c r="BI19" i="3"/>
  <c r="BH19" i="3"/>
  <c r="BH112" i="3" s="1"/>
  <c r="BI112" i="3" s="1"/>
  <c r="BJ112" i="3" s="1"/>
  <c r="BK112" i="3" s="1"/>
  <c r="BK10" i="3"/>
  <c r="BK87" i="3" s="1"/>
  <c r="BK88" i="3" s="1"/>
  <c r="BJ10" i="3"/>
  <c r="BJ87" i="3" s="1"/>
  <c r="BJ88" i="3" s="1"/>
  <c r="BI10" i="3"/>
  <c r="BI87" i="3" s="1"/>
  <c r="BI88" i="3" s="1"/>
  <c r="BH10" i="3"/>
  <c r="BH103" i="3" s="1"/>
  <c r="BK190" i="2"/>
  <c r="BJ190" i="2"/>
  <c r="BI190" i="2"/>
  <c r="BH190" i="2"/>
  <c r="BK120" i="2"/>
  <c r="CA120" i="2" s="1"/>
  <c r="CB120" i="2" s="1"/>
  <c r="BK51" i="2"/>
  <c r="BJ51" i="2"/>
  <c r="BI51" i="2"/>
  <c r="BH51" i="2"/>
  <c r="BK6" i="2"/>
  <c r="BK158" i="2" s="1"/>
  <c r="BJ6" i="2"/>
  <c r="BJ6" i="3" s="1"/>
  <c r="BJ99" i="3" s="1"/>
  <c r="BI6" i="2"/>
  <c r="BI158" i="2" s="1"/>
  <c r="BH6" i="2"/>
  <c r="BH6" i="3" s="1"/>
  <c r="BH99" i="3" s="1"/>
  <c r="BK5" i="2"/>
  <c r="BK5" i="3" s="1"/>
  <c r="BJ5" i="2"/>
  <c r="BJ5" i="3" s="1"/>
  <c r="BI5" i="2"/>
  <c r="BI5" i="3" s="1"/>
  <c r="BH5" i="2"/>
  <c r="BH5" i="3" s="1"/>
  <c r="BK4" i="2"/>
  <c r="BK4" i="3" s="1"/>
  <c r="BJ4" i="2"/>
  <c r="BJ4" i="3" s="1"/>
  <c r="BI4" i="2"/>
  <c r="BI4" i="3" s="1"/>
  <c r="BH4" i="2"/>
  <c r="BH4" i="3" s="1"/>
  <c r="BK53" i="13"/>
  <c r="BJ53" i="13"/>
  <c r="BI53" i="13"/>
  <c r="BH53" i="13"/>
  <c r="BK7" i="13"/>
  <c r="BJ7" i="13"/>
  <c r="BI7" i="13"/>
  <c r="BH7" i="13"/>
  <c r="BK6" i="13"/>
  <c r="BJ6" i="13"/>
  <c r="BI6" i="13"/>
  <c r="BH6" i="13"/>
  <c r="BK5" i="13"/>
  <c r="BJ5" i="13"/>
  <c r="BI5" i="13"/>
  <c r="BH5" i="13"/>
  <c r="BK193" i="35"/>
  <c r="BK195" i="35" s="1"/>
  <c r="BJ193" i="35"/>
  <c r="BJ195" i="35" s="1"/>
  <c r="BI193" i="35"/>
  <c r="BI195" i="35" s="1"/>
  <c r="BH193" i="35"/>
  <c r="BH195" i="35" s="1"/>
  <c r="BK188" i="35"/>
  <c r="BJ188" i="35"/>
  <c r="BI188" i="35"/>
  <c r="BH188" i="35"/>
  <c r="BH187" i="35"/>
  <c r="BK182" i="35"/>
  <c r="BJ182" i="35"/>
  <c r="BI182" i="35"/>
  <c r="BH182" i="35"/>
  <c r="BH171" i="35"/>
  <c r="BI171" i="35" s="1"/>
  <c r="BK168" i="35"/>
  <c r="BJ168" i="35"/>
  <c r="BI168" i="35"/>
  <c r="BH168" i="35"/>
  <c r="BK167" i="35"/>
  <c r="BJ167" i="35"/>
  <c r="BI167" i="35"/>
  <c r="BH167" i="35"/>
  <c r="BK154" i="35"/>
  <c r="BJ154" i="35"/>
  <c r="BI154" i="35"/>
  <c r="BH154" i="35"/>
  <c r="BK153" i="35"/>
  <c r="BJ153" i="35"/>
  <c r="BI153" i="35"/>
  <c r="BH153" i="35"/>
  <c r="BK149" i="35"/>
  <c r="BJ149" i="35"/>
  <c r="BI149" i="35"/>
  <c r="BH149" i="35"/>
  <c r="BK134" i="35"/>
  <c r="BJ134" i="35"/>
  <c r="BI134" i="35"/>
  <c r="BH134" i="35"/>
  <c r="BK7" i="35"/>
  <c r="BJ7" i="35"/>
  <c r="BI7" i="35"/>
  <c r="BH7" i="35"/>
  <c r="BK6" i="35"/>
  <c r="BJ6" i="35"/>
  <c r="BI6" i="35"/>
  <c r="BH6" i="35"/>
  <c r="BK5" i="35"/>
  <c r="BJ5" i="35"/>
  <c r="BI5" i="35"/>
  <c r="BH5" i="35"/>
  <c r="CA193" i="35" l="1"/>
  <c r="CA195" i="35" s="1"/>
  <c r="CA33" i="3"/>
  <c r="CA19" i="3"/>
  <c r="CA112" i="3" s="1"/>
  <c r="CA182" i="35"/>
  <c r="CA149" i="35"/>
  <c r="CA188" i="35"/>
  <c r="CA155" i="35"/>
  <c r="CA72" i="3"/>
  <c r="CA87" i="3"/>
  <c r="CA126" i="3"/>
  <c r="CA138" i="3"/>
  <c r="BI6" i="3"/>
  <c r="BI99" i="3" s="1"/>
  <c r="BK6" i="3"/>
  <c r="BK99" i="3" s="1"/>
  <c r="BI103" i="3"/>
  <c r="BJ103" i="3" s="1"/>
  <c r="BK103" i="3" s="1"/>
  <c r="BK68" i="3"/>
  <c r="BK83" i="3" s="1"/>
  <c r="BK91" i="3" s="1"/>
  <c r="BJ138" i="3"/>
  <c r="BI126" i="3"/>
  <c r="BH68" i="3"/>
  <c r="BH83" i="3" s="1"/>
  <c r="BH91" i="3" s="1"/>
  <c r="BJ68" i="3"/>
  <c r="BJ83" i="3" s="1"/>
  <c r="BJ91" i="3" s="1"/>
  <c r="BH87" i="3"/>
  <c r="BH88" i="3" s="1"/>
  <c r="BJ104" i="2"/>
  <c r="BJ158" i="2"/>
  <c r="BJ49" i="2"/>
  <c r="BJ60" i="2" s="1"/>
  <c r="BJ77" i="2" s="1"/>
  <c r="BH104" i="2"/>
  <c r="BH158" i="2"/>
  <c r="BH49" i="2"/>
  <c r="BH60" i="2" s="1"/>
  <c r="BH77" i="2" s="1"/>
  <c r="BI104" i="2"/>
  <c r="BI49" i="2"/>
  <c r="BI60" i="2" s="1"/>
  <c r="BI77" i="2" s="1"/>
  <c r="BK49" i="2"/>
  <c r="BK60" i="2" s="1"/>
  <c r="BK77" i="2" s="1"/>
  <c r="BK104" i="2"/>
  <c r="BH209" i="35"/>
  <c r="BH144" i="35"/>
  <c r="BH100" i="35"/>
  <c r="BJ209" i="35"/>
  <c r="BJ144" i="35"/>
  <c r="BJ100" i="35"/>
  <c r="BH8" i="35"/>
  <c r="BJ8" i="35"/>
  <c r="BI209" i="35"/>
  <c r="BI144" i="35"/>
  <c r="BI100" i="35"/>
  <c r="BK209" i="35"/>
  <c r="BK144" i="35"/>
  <c r="BK100" i="35"/>
  <c r="BI8" i="35"/>
  <c r="BK8" i="35"/>
  <c r="BI161" i="35"/>
  <c r="BI159" i="35"/>
  <c r="BI175" i="35"/>
  <c r="BI173" i="35"/>
  <c r="BJ171" i="35"/>
  <c r="BH159" i="35"/>
  <c r="BH161" i="35"/>
  <c r="BH173" i="35"/>
  <c r="BH175" i="35"/>
  <c r="BH194" i="35"/>
  <c r="AG118" i="1" l="1"/>
  <c r="BI68" i="3"/>
  <c r="BI83" i="3" s="1"/>
  <c r="BI91" i="3" s="1"/>
  <c r="CA88" i="3"/>
  <c r="BJ126" i="3"/>
  <c r="BK138" i="3"/>
  <c r="BH183" i="35"/>
  <c r="BH180" i="35"/>
  <c r="BH148" i="35"/>
  <c r="BH146" i="35"/>
  <c r="BK171" i="35"/>
  <c r="BJ175" i="35"/>
  <c r="BJ173" i="35"/>
  <c r="BI183" i="35"/>
  <c r="BI180" i="35"/>
  <c r="BI176" i="35"/>
  <c r="BJ161" i="35"/>
  <c r="BJ159" i="35"/>
  <c r="BI162" i="35"/>
  <c r="BI148" i="35"/>
  <c r="BI146" i="35"/>
  <c r="BI29" i="13" s="1"/>
  <c r="BI216" i="35" s="1"/>
  <c r="BI231" i="35" s="1"/>
  <c r="BR118" i="1" l="1"/>
  <c r="AH118" i="1"/>
  <c r="BI147" i="35"/>
  <c r="BH29" i="13"/>
  <c r="BK126" i="3"/>
  <c r="BJ162" i="35"/>
  <c r="BJ148" i="35"/>
  <c r="BJ146" i="35"/>
  <c r="BJ183" i="35"/>
  <c r="BJ180" i="35"/>
  <c r="BJ176" i="35"/>
  <c r="BK161" i="35"/>
  <c r="CA161" i="35" s="1"/>
  <c r="BK159" i="35"/>
  <c r="BK175" i="35"/>
  <c r="CA175" i="35" s="1"/>
  <c r="CA171" i="35" s="1"/>
  <c r="BK173" i="35"/>
  <c r="AI118" i="1" l="1"/>
  <c r="BS118" i="1"/>
  <c r="CA146" i="35"/>
  <c r="CA157" i="35"/>
  <c r="CA183" i="35"/>
  <c r="CA148" i="35"/>
  <c r="BJ147" i="35"/>
  <c r="BJ29" i="13"/>
  <c r="BJ216" i="35" s="1"/>
  <c r="BJ231" i="35" s="1"/>
  <c r="BH216" i="35"/>
  <c r="BH231" i="35" s="1"/>
  <c r="BK183" i="35"/>
  <c r="BK180" i="35"/>
  <c r="BK176" i="35"/>
  <c r="BK162" i="35"/>
  <c r="BK148" i="35"/>
  <c r="BK146" i="35"/>
  <c r="AJ118" i="1" l="1"/>
  <c r="AK118" i="1" s="1"/>
  <c r="AL118" i="1" s="1"/>
  <c r="AM118" i="1" s="1"/>
  <c r="BT118" i="1"/>
  <c r="BK147" i="35"/>
  <c r="BK29" i="13"/>
  <c r="BK216" i="35" s="1"/>
  <c r="BK231" i="35" s="1"/>
  <c r="CA29" i="13" l="1"/>
  <c r="CA216" i="35" s="1"/>
  <c r="CA231" i="35" s="1"/>
  <c r="BU118" i="1"/>
  <c r="BV118" i="1" s="1"/>
  <c r="AN118" i="1"/>
  <c r="AO118" i="1" s="1"/>
  <c r="AP118" i="1" s="1"/>
  <c r="AQ118" i="1" s="1"/>
  <c r="AR118" i="1" s="1"/>
  <c r="AS118" i="1" s="1"/>
  <c r="AT118" i="1" s="1"/>
  <c r="AU118" i="1" s="1"/>
  <c r="AV118" i="1" s="1"/>
  <c r="AW118" i="1" s="1"/>
  <c r="AX118" i="1" s="1"/>
  <c r="AY118" i="1" s="1"/>
  <c r="AZ118" i="1" s="1"/>
  <c r="BA118" i="1" s="1"/>
  <c r="BB118" i="1" s="1"/>
  <c r="BC118" i="1" s="1"/>
  <c r="BD118" i="1" l="1"/>
  <c r="BE118" i="1" s="1"/>
  <c r="BF118" i="1" s="1"/>
  <c r="BG118" i="1" s="1"/>
  <c r="BH118" i="1" s="1"/>
  <c r="BI118" i="1" s="1"/>
  <c r="BJ118" i="1" s="1"/>
  <c r="BK118" i="1" s="1"/>
  <c r="BW118" i="1"/>
  <c r="BX118" i="1" s="1"/>
  <c r="BY118" i="1" s="1"/>
  <c r="BZ118" i="1" s="1"/>
  <c r="CA118" i="1" s="1"/>
  <c r="CB118" i="1" s="1"/>
  <c r="BV115" i="1"/>
  <c r="BW115" i="1" l="1"/>
  <c r="BX115" i="1" s="1"/>
  <c r="BT263" i="35" l="1"/>
  <c r="BT261" i="35"/>
  <c r="AN257" i="35"/>
  <c r="AU249" i="35"/>
  <c r="AT249" i="35"/>
  <c r="AS249" i="35"/>
  <c r="AR249" i="35"/>
  <c r="AQ249" i="35"/>
  <c r="AP249" i="35"/>
  <c r="AO249" i="35"/>
  <c r="AN249" i="35"/>
  <c r="AM249" i="35"/>
  <c r="AL249" i="35"/>
  <c r="AK249" i="35"/>
  <c r="AJ249" i="35"/>
  <c r="AI249" i="35"/>
  <c r="AH249" i="35"/>
  <c r="AG249" i="35"/>
  <c r="AF249" i="35"/>
  <c r="AU248" i="35"/>
  <c r="AT248" i="35"/>
  <c r="AS248" i="35"/>
  <c r="AR248" i="35"/>
  <c r="AQ248" i="35"/>
  <c r="AP248" i="35"/>
  <c r="AO248" i="35"/>
  <c r="AN248" i="35"/>
  <c r="AM248" i="35"/>
  <c r="AL248" i="35"/>
  <c r="AL250" i="35" s="1"/>
  <c r="AL258" i="35" s="1"/>
  <c r="AK248" i="35"/>
  <c r="AJ248" i="35"/>
  <c r="AJ250" i="35" s="1"/>
  <c r="AJ258" i="35" s="1"/>
  <c r="AI248" i="35"/>
  <c r="AI250" i="35" s="1"/>
  <c r="AI258" i="35" s="1"/>
  <c r="AH248" i="35"/>
  <c r="AH250" i="35" s="1"/>
  <c r="AH258" i="35" s="1"/>
  <c r="AG248" i="35"/>
  <c r="AG250" i="35" s="1"/>
  <c r="AG258" i="35" s="1"/>
  <c r="AF248" i="35"/>
  <c r="BW244" i="35"/>
  <c r="BV244" i="35"/>
  <c r="BU244" i="35"/>
  <c r="BT244" i="35"/>
  <c r="BW243" i="35"/>
  <c r="BV243" i="35"/>
  <c r="AL243" i="35"/>
  <c r="AL245" i="35" s="1"/>
  <c r="AK243" i="35"/>
  <c r="AK245" i="35" s="1"/>
  <c r="AK256" i="35" s="1"/>
  <c r="AJ243" i="35"/>
  <c r="AI243" i="35"/>
  <c r="AH243" i="35"/>
  <c r="AH245" i="35" s="1"/>
  <c r="AG243" i="35"/>
  <c r="AG245" i="35" s="1"/>
  <c r="AG256" i="35" s="1"/>
  <c r="AF243" i="35"/>
  <c r="AF245" i="35" s="1"/>
  <c r="AF256" i="35" s="1"/>
  <c r="AZ231" i="35"/>
  <c r="AY231" i="35"/>
  <c r="AX231" i="35"/>
  <c r="AZ230" i="35"/>
  <c r="AY230" i="35"/>
  <c r="AX230" i="35"/>
  <c r="AQ215" i="35"/>
  <c r="AQ230" i="35" s="1"/>
  <c r="AP215" i="35"/>
  <c r="AP230" i="35" s="1"/>
  <c r="AO215" i="35"/>
  <c r="AO230" i="35" s="1"/>
  <c r="AN215" i="35"/>
  <c r="AN230" i="35" s="1"/>
  <c r="AZ229" i="35"/>
  <c r="AY229" i="35"/>
  <c r="AX229" i="35"/>
  <c r="AQ214" i="35"/>
  <c r="AQ229" i="35" s="1"/>
  <c r="AP214" i="35"/>
  <c r="AP229" i="35" s="1"/>
  <c r="AO214" i="35"/>
  <c r="AO229" i="35" s="1"/>
  <c r="AN214" i="35"/>
  <c r="AN229" i="35" s="1"/>
  <c r="AZ228" i="35"/>
  <c r="AY228" i="35"/>
  <c r="AX228" i="35"/>
  <c r="AZ227" i="35"/>
  <c r="AY227" i="35"/>
  <c r="AX227" i="35"/>
  <c r="AY226" i="35"/>
  <c r="BA205" i="35"/>
  <c r="AW205" i="35"/>
  <c r="AV205" i="35"/>
  <c r="AU205" i="35"/>
  <c r="AT205" i="35"/>
  <c r="AS205" i="35"/>
  <c r="AR205" i="35"/>
  <c r="AQ205" i="35"/>
  <c r="AP205" i="35"/>
  <c r="AO205" i="35"/>
  <c r="AN205" i="35"/>
  <c r="AM205" i="35"/>
  <c r="AL205" i="35"/>
  <c r="AK205" i="35"/>
  <c r="AJ205" i="35"/>
  <c r="AI205" i="35"/>
  <c r="AH205" i="35"/>
  <c r="AG205" i="35"/>
  <c r="AF205" i="35"/>
  <c r="AE205" i="35"/>
  <c r="AD205" i="35"/>
  <c r="AC205" i="35"/>
  <c r="AB205" i="35"/>
  <c r="Z205" i="35"/>
  <c r="Y205" i="35"/>
  <c r="X205" i="35"/>
  <c r="V205" i="35"/>
  <c r="U205" i="35"/>
  <c r="T205" i="35"/>
  <c r="BV200" i="35"/>
  <c r="BU200" i="35"/>
  <c r="BT200" i="35"/>
  <c r="BS200" i="35"/>
  <c r="BR200" i="35"/>
  <c r="BQ200" i="35"/>
  <c r="BG193" i="35"/>
  <c r="BF193" i="35"/>
  <c r="BE193" i="35"/>
  <c r="BD193" i="35"/>
  <c r="BC193" i="35"/>
  <c r="BB193" i="35"/>
  <c r="BA193" i="35"/>
  <c r="AZ193" i="35"/>
  <c r="AZ195" i="35" s="1"/>
  <c r="AY193" i="35"/>
  <c r="AX193" i="35"/>
  <c r="AW193" i="35"/>
  <c r="AV193" i="35"/>
  <c r="AU193" i="35"/>
  <c r="AT193" i="35"/>
  <c r="AS193" i="35"/>
  <c r="AR193" i="35"/>
  <c r="AQ193" i="35"/>
  <c r="AP193" i="35"/>
  <c r="AO193" i="35"/>
  <c r="AN193" i="35"/>
  <c r="AN194" i="35" s="1"/>
  <c r="AM193" i="35"/>
  <c r="AQ195" i="35" s="1"/>
  <c r="AL193" i="35"/>
  <c r="AK193" i="35"/>
  <c r="AK199" i="35" s="1"/>
  <c r="AJ193" i="35"/>
  <c r="BX189" i="35"/>
  <c r="BG188" i="35"/>
  <c r="BF188" i="35"/>
  <c r="BE188" i="35"/>
  <c r="BD188" i="35"/>
  <c r="BC188" i="35"/>
  <c r="BB188" i="35"/>
  <c r="BA188" i="35"/>
  <c r="AZ188" i="35"/>
  <c r="AY188" i="35"/>
  <c r="AX188" i="35"/>
  <c r="AW188" i="35"/>
  <c r="AV188" i="35"/>
  <c r="AU188" i="35"/>
  <c r="AT188" i="35"/>
  <c r="AS188" i="35"/>
  <c r="AR188" i="35"/>
  <c r="AQ188" i="35"/>
  <c r="AP188" i="35"/>
  <c r="AO188" i="35"/>
  <c r="AN188" i="35"/>
  <c r="BG187" i="35"/>
  <c r="BF187" i="35"/>
  <c r="BE187" i="35"/>
  <c r="BD187" i="35"/>
  <c r="BC187" i="35"/>
  <c r="BB187" i="35"/>
  <c r="BA187" i="35"/>
  <c r="AZ187" i="35"/>
  <c r="AY187" i="35"/>
  <c r="AX187" i="35"/>
  <c r="AW187" i="35"/>
  <c r="AV187" i="35"/>
  <c r="AU187" i="35"/>
  <c r="AT187" i="35"/>
  <c r="AS187" i="35"/>
  <c r="AR187" i="35"/>
  <c r="AQ187" i="35"/>
  <c r="AP187" i="35"/>
  <c r="AO187" i="35"/>
  <c r="AN187" i="35"/>
  <c r="AM187" i="35"/>
  <c r="AL187" i="35"/>
  <c r="AK187" i="35"/>
  <c r="BZ186" i="35"/>
  <c r="BZ189" i="35" s="1"/>
  <c r="BY186" i="35"/>
  <c r="BX186" i="35"/>
  <c r="BW186" i="35"/>
  <c r="BW189" i="35" s="1"/>
  <c r="BV186" i="35"/>
  <c r="BV189" i="35" s="1"/>
  <c r="BU186" i="35"/>
  <c r="BU189" i="35" s="1"/>
  <c r="BG182" i="35"/>
  <c r="BF182" i="35"/>
  <c r="BE182" i="35"/>
  <c r="BD182" i="35"/>
  <c r="BC182" i="35"/>
  <c r="BB182" i="35"/>
  <c r="BA182" i="35"/>
  <c r="AZ182" i="35"/>
  <c r="AY182" i="35"/>
  <c r="AX182" i="35"/>
  <c r="AW182" i="35"/>
  <c r="AV182" i="35"/>
  <c r="AU182" i="35"/>
  <c r="AT182" i="35"/>
  <c r="AS182" i="35"/>
  <c r="AR182" i="35"/>
  <c r="AQ182" i="35"/>
  <c r="AP182" i="35"/>
  <c r="AO182" i="35"/>
  <c r="AN182" i="35"/>
  <c r="AM182" i="35"/>
  <c r="AL182" i="35"/>
  <c r="AL180" i="35"/>
  <c r="AL175" i="35"/>
  <c r="AM171" i="35"/>
  <c r="AM175" i="35" s="1"/>
  <c r="BW169" i="35"/>
  <c r="BG168" i="35"/>
  <c r="BF168" i="35"/>
  <c r="BE168" i="35"/>
  <c r="BD168" i="35"/>
  <c r="BC168" i="35"/>
  <c r="BB168" i="35"/>
  <c r="BA168" i="35"/>
  <c r="AZ168" i="35"/>
  <c r="AY168" i="35"/>
  <c r="AX168" i="35"/>
  <c r="AW168" i="35"/>
  <c r="AV168" i="35"/>
  <c r="AU168" i="35"/>
  <c r="AT168" i="35"/>
  <c r="AS168" i="35"/>
  <c r="AR168" i="35"/>
  <c r="AQ168" i="35"/>
  <c r="AP168" i="35"/>
  <c r="BG167" i="35"/>
  <c r="BF167" i="35"/>
  <c r="BE167" i="35"/>
  <c r="BD167" i="35"/>
  <c r="BC167" i="35"/>
  <c r="BB167" i="35"/>
  <c r="BA167" i="35"/>
  <c r="AZ167" i="35"/>
  <c r="AY167" i="35"/>
  <c r="AX167" i="35"/>
  <c r="AW167" i="35"/>
  <c r="AV167" i="35"/>
  <c r="AU167" i="35"/>
  <c r="AT167" i="35"/>
  <c r="AS167" i="35"/>
  <c r="AR167" i="35"/>
  <c r="AQ167" i="35"/>
  <c r="AP167" i="35"/>
  <c r="AO167" i="35"/>
  <c r="AN167" i="35"/>
  <c r="AM167" i="35"/>
  <c r="BZ166" i="35"/>
  <c r="BY166" i="35"/>
  <c r="BX166" i="35"/>
  <c r="BX169" i="35" s="1"/>
  <c r="BW166" i="35"/>
  <c r="BV166" i="35"/>
  <c r="BV169" i="35" s="1"/>
  <c r="BU166" i="35"/>
  <c r="BU169" i="35" s="1"/>
  <c r="AL161" i="35"/>
  <c r="AM157" i="35"/>
  <c r="BX155" i="35"/>
  <c r="BU155" i="35"/>
  <c r="BY154" i="35"/>
  <c r="BG154" i="35"/>
  <c r="BF154" i="35"/>
  <c r="BE154" i="35"/>
  <c r="BD154" i="35"/>
  <c r="BC154" i="35"/>
  <c r="BB154" i="35"/>
  <c r="BA154" i="35"/>
  <c r="AZ154" i="35"/>
  <c r="AY154" i="35"/>
  <c r="AX154" i="35"/>
  <c r="AW154" i="35"/>
  <c r="AV154" i="35"/>
  <c r="AU154" i="35"/>
  <c r="AT154" i="35"/>
  <c r="AS154" i="35"/>
  <c r="AR154" i="35"/>
  <c r="AQ154" i="35"/>
  <c r="AP154" i="35"/>
  <c r="BG153" i="35"/>
  <c r="BF153" i="35"/>
  <c r="BE153" i="35"/>
  <c r="BD153" i="35"/>
  <c r="BC153" i="35"/>
  <c r="BB153" i="35"/>
  <c r="BA153" i="35"/>
  <c r="AZ153" i="35"/>
  <c r="AY153" i="35"/>
  <c r="AX153" i="35"/>
  <c r="AW153" i="35"/>
  <c r="AV153" i="35"/>
  <c r="AU153" i="35"/>
  <c r="AT153" i="35"/>
  <c r="AS153" i="35"/>
  <c r="AR153" i="35"/>
  <c r="AQ153" i="35"/>
  <c r="AP153" i="35"/>
  <c r="AO153" i="35"/>
  <c r="AN153" i="35"/>
  <c r="AM153" i="35"/>
  <c r="BZ152" i="35"/>
  <c r="CA154" i="35" s="1"/>
  <c r="BY152" i="35"/>
  <c r="BX152" i="35"/>
  <c r="BW152" i="35"/>
  <c r="BW149" i="35" s="1"/>
  <c r="BV152" i="35"/>
  <c r="BU152" i="35"/>
  <c r="BY149" i="35"/>
  <c r="BX149" i="35"/>
  <c r="BL149" i="35"/>
  <c r="BG149" i="35"/>
  <c r="BF149" i="35"/>
  <c r="BE149" i="35"/>
  <c r="BD149" i="35"/>
  <c r="BC149" i="35"/>
  <c r="BB149" i="35"/>
  <c r="BA149" i="35"/>
  <c r="AZ149" i="35"/>
  <c r="AY149" i="35"/>
  <c r="AX149" i="35"/>
  <c r="AW149" i="35"/>
  <c r="AV149" i="35"/>
  <c r="AU149" i="35"/>
  <c r="AT149" i="35"/>
  <c r="AS149" i="35"/>
  <c r="AR149" i="35"/>
  <c r="AQ149" i="35"/>
  <c r="AP149" i="35"/>
  <c r="AO149" i="35"/>
  <c r="AN149" i="35"/>
  <c r="AM149" i="35"/>
  <c r="AL149" i="35"/>
  <c r="BL148" i="35"/>
  <c r="AL148" i="35"/>
  <c r="AE147" i="35"/>
  <c r="AD147" i="35"/>
  <c r="AC147" i="35"/>
  <c r="AB147" i="35"/>
  <c r="AA147" i="35"/>
  <c r="Z147" i="35"/>
  <c r="Y147" i="35"/>
  <c r="X147" i="35"/>
  <c r="W147" i="35"/>
  <c r="V147" i="35"/>
  <c r="U147" i="35"/>
  <c r="AE140" i="35"/>
  <c r="AD140" i="35"/>
  <c r="AC140" i="35"/>
  <c r="AB140" i="35"/>
  <c r="AA140" i="35"/>
  <c r="Z140" i="35"/>
  <c r="Y140" i="35"/>
  <c r="X140" i="35"/>
  <c r="W140" i="35"/>
  <c r="V140" i="35"/>
  <c r="V141" i="35" s="1"/>
  <c r="U140" i="35"/>
  <c r="U141" i="35" s="1"/>
  <c r="T140" i="35"/>
  <c r="AE139" i="35"/>
  <c r="AD139" i="35"/>
  <c r="AC139" i="35"/>
  <c r="AA139" i="35"/>
  <c r="Z139" i="35"/>
  <c r="Y139" i="35"/>
  <c r="X139" i="35"/>
  <c r="W139" i="35"/>
  <c r="V139" i="35"/>
  <c r="U139" i="35"/>
  <c r="AF138" i="35"/>
  <c r="AG138" i="35" s="1"/>
  <c r="AH138" i="35" s="1"/>
  <c r="AI138" i="35" s="1"/>
  <c r="AJ138" i="35" s="1"/>
  <c r="AK138" i="35" s="1"/>
  <c r="AL138" i="35" s="1"/>
  <c r="AM138" i="35" s="1"/>
  <c r="AN138" i="35" s="1"/>
  <c r="AO138" i="35" s="1"/>
  <c r="AP138" i="35" s="1"/>
  <c r="AQ138" i="35" s="1"/>
  <c r="AR138" i="35" s="1"/>
  <c r="AS138" i="35" s="1"/>
  <c r="AT138" i="35" s="1"/>
  <c r="AU138" i="35" s="1"/>
  <c r="AV138" i="35" s="1"/>
  <c r="AW138" i="35" s="1"/>
  <c r="AX138" i="35" s="1"/>
  <c r="AY138" i="35" s="1"/>
  <c r="AZ138" i="35" s="1"/>
  <c r="BA138" i="35" s="1"/>
  <c r="BB138" i="35" s="1"/>
  <c r="BC138" i="35" s="1"/>
  <c r="BD138" i="35" s="1"/>
  <c r="BE138" i="35" s="1"/>
  <c r="BF138" i="35" s="1"/>
  <c r="BG138" i="35" s="1"/>
  <c r="BH138" i="35" s="1"/>
  <c r="BI138" i="35" s="1"/>
  <c r="BJ138" i="35" s="1"/>
  <c r="BK138" i="35" s="1"/>
  <c r="AE137" i="35"/>
  <c r="AD137" i="35"/>
  <c r="AC137" i="35"/>
  <c r="AA137" i="35"/>
  <c r="Z137" i="35"/>
  <c r="Y137" i="35"/>
  <c r="X137" i="35"/>
  <c r="W137" i="35"/>
  <c r="V137" i="35"/>
  <c r="U137" i="35"/>
  <c r="BR137" i="35"/>
  <c r="BS136" i="35"/>
  <c r="BS137" i="35" s="1"/>
  <c r="BR136" i="35"/>
  <c r="BQ136" i="35"/>
  <c r="AF136" i="35"/>
  <c r="AG136" i="35" s="1"/>
  <c r="AH136" i="35" s="1"/>
  <c r="BG134" i="35"/>
  <c r="BF134" i="35"/>
  <c r="BE134" i="35"/>
  <c r="BD134" i="35"/>
  <c r="BC134" i="35"/>
  <c r="BB134" i="35"/>
  <c r="BA134" i="35"/>
  <c r="AZ134" i="35"/>
  <c r="AY134" i="35"/>
  <c r="AX134" i="35"/>
  <c r="AW134" i="35"/>
  <c r="AV134" i="35"/>
  <c r="AU134" i="35"/>
  <c r="AT134" i="35"/>
  <c r="AS134" i="35"/>
  <c r="AR134" i="35"/>
  <c r="AQ134" i="35"/>
  <c r="AP134" i="35"/>
  <c r="AO134" i="35"/>
  <c r="AN134" i="35"/>
  <c r="AM134" i="35"/>
  <c r="AL134" i="35"/>
  <c r="AK134" i="35"/>
  <c r="AJ134" i="35"/>
  <c r="AE131" i="35"/>
  <c r="AD131" i="35"/>
  <c r="AD132" i="35" s="1"/>
  <c r="AC131" i="35"/>
  <c r="AB131" i="35"/>
  <c r="AA131" i="35"/>
  <c r="Z131" i="35"/>
  <c r="Y131" i="35"/>
  <c r="X131" i="35"/>
  <c r="X111" i="35" s="1"/>
  <c r="W131" i="35"/>
  <c r="V131" i="35"/>
  <c r="U131" i="35"/>
  <c r="U132" i="35" s="1"/>
  <c r="T131" i="35"/>
  <c r="AE130" i="35"/>
  <c r="AD130" i="35"/>
  <c r="AC130" i="35"/>
  <c r="AB130" i="35"/>
  <c r="AA130" i="35"/>
  <c r="Z130" i="35"/>
  <c r="Y130" i="35"/>
  <c r="X130" i="35"/>
  <c r="W130" i="35"/>
  <c r="V130" i="35"/>
  <c r="U130" i="35"/>
  <c r="AF129" i="35"/>
  <c r="AG129" i="35" s="1"/>
  <c r="AH129" i="35" s="1"/>
  <c r="AI129" i="35" s="1"/>
  <c r="AJ129" i="35" s="1"/>
  <c r="AK129" i="35" s="1"/>
  <c r="AL129" i="35" s="1"/>
  <c r="AM129" i="35" s="1"/>
  <c r="AN129" i="35" s="1"/>
  <c r="AO129" i="35" s="1"/>
  <c r="AP129" i="35" s="1"/>
  <c r="AQ129" i="35" s="1"/>
  <c r="AR129" i="35" s="1"/>
  <c r="AS129" i="35" s="1"/>
  <c r="AT129" i="35" s="1"/>
  <c r="AU129" i="35" s="1"/>
  <c r="AV129" i="35" s="1"/>
  <c r="AW129" i="35" s="1"/>
  <c r="AX129" i="35" s="1"/>
  <c r="AY129" i="35" s="1"/>
  <c r="AZ129" i="35" s="1"/>
  <c r="BA129" i="35" s="1"/>
  <c r="BB129" i="35" s="1"/>
  <c r="BC129" i="35" s="1"/>
  <c r="BD129" i="35" s="1"/>
  <c r="BE129" i="35" s="1"/>
  <c r="BF129" i="35" s="1"/>
  <c r="BG129" i="35" s="1"/>
  <c r="BH129" i="35" s="1"/>
  <c r="BI129" i="35" s="1"/>
  <c r="BJ129" i="35" s="1"/>
  <c r="BK129" i="35" s="1"/>
  <c r="AE128" i="35"/>
  <c r="AD128" i="35"/>
  <c r="AC128" i="35"/>
  <c r="AB128" i="35"/>
  <c r="BS127" i="35"/>
  <c r="BR127" i="35"/>
  <c r="BQ127" i="35"/>
  <c r="AF127" i="35"/>
  <c r="AE117" i="35"/>
  <c r="AD117" i="35"/>
  <c r="AC117" i="35"/>
  <c r="AB117" i="35"/>
  <c r="AA117" i="35"/>
  <c r="Z117" i="35"/>
  <c r="Y117" i="35"/>
  <c r="Y119" i="35" s="1"/>
  <c r="X117" i="35"/>
  <c r="W117" i="35"/>
  <c r="V117" i="35"/>
  <c r="BQ117" i="35" s="1"/>
  <c r="U117" i="35"/>
  <c r="U118" i="35" s="1"/>
  <c r="T117" i="35"/>
  <c r="Z111" i="35"/>
  <c r="AA102" i="35"/>
  <c r="V102" i="35"/>
  <c r="T102" i="35"/>
  <c r="BV98" i="35"/>
  <c r="BU98" i="35"/>
  <c r="BT98" i="35"/>
  <c r="BS98" i="35"/>
  <c r="BR98" i="35"/>
  <c r="BQ98" i="35"/>
  <c r="AQ95" i="35"/>
  <c r="AP95" i="35"/>
  <c r="AO95" i="35"/>
  <c r="BV94" i="35"/>
  <c r="AR94" i="35"/>
  <c r="BZ84" i="35"/>
  <c r="BY84" i="35"/>
  <c r="BX84" i="35"/>
  <c r="BW84" i="35"/>
  <c r="BV84" i="35"/>
  <c r="BU84" i="35"/>
  <c r="BT84" i="35"/>
  <c r="BS84" i="35"/>
  <c r="BR84" i="35"/>
  <c r="BQ84" i="35"/>
  <c r="AI81" i="35"/>
  <c r="AH81" i="35"/>
  <c r="AH85" i="35" s="1"/>
  <c r="AH19" i="35" s="1"/>
  <c r="AG81" i="35"/>
  <c r="AF81" i="35"/>
  <c r="AE81" i="35"/>
  <c r="AE85" i="35" s="1"/>
  <c r="AE19" i="35" s="1"/>
  <c r="AD81" i="35"/>
  <c r="AD85" i="35" s="1"/>
  <c r="AC81" i="35"/>
  <c r="AB81" i="35"/>
  <c r="AB85" i="35" s="1"/>
  <c r="AB19" i="35" s="1"/>
  <c r="AA81" i="35"/>
  <c r="AA85" i="35" s="1"/>
  <c r="AA19" i="35" s="1"/>
  <c r="Z81" i="35"/>
  <c r="Z85" i="35" s="1"/>
  <c r="Z19" i="35" s="1"/>
  <c r="Y81" i="35"/>
  <c r="X81" i="35"/>
  <c r="X85" i="35" s="1"/>
  <c r="X19" i="35" s="1"/>
  <c r="W81" i="35"/>
  <c r="V81" i="35"/>
  <c r="V85" i="35" s="1"/>
  <c r="U81" i="35"/>
  <c r="T81" i="35"/>
  <c r="AI80" i="35"/>
  <c r="AH80" i="35"/>
  <c r="AG80" i="35"/>
  <c r="AF80" i="35"/>
  <c r="AE80" i="35"/>
  <c r="AD80" i="35"/>
  <c r="AC80" i="35"/>
  <c r="AB80" i="35"/>
  <c r="AA80" i="35"/>
  <c r="Z80" i="35"/>
  <c r="Y80" i="35"/>
  <c r="X80" i="35"/>
  <c r="W80" i="35"/>
  <c r="V80" i="35"/>
  <c r="U80" i="35"/>
  <c r="AJ79" i="35"/>
  <c r="AK79" i="35" s="1"/>
  <c r="AL79" i="35" s="1"/>
  <c r="AM79" i="35" s="1"/>
  <c r="AN79" i="35" s="1"/>
  <c r="AO79" i="35" s="1"/>
  <c r="AP79" i="35" s="1"/>
  <c r="AQ79" i="35" s="1"/>
  <c r="AR79" i="35" s="1"/>
  <c r="AS79" i="35" s="1"/>
  <c r="AT79" i="35" s="1"/>
  <c r="AU79" i="35" s="1"/>
  <c r="AV79" i="35" s="1"/>
  <c r="AW79" i="35" s="1"/>
  <c r="AX79" i="35" s="1"/>
  <c r="AY79" i="35" s="1"/>
  <c r="AZ79" i="35" s="1"/>
  <c r="BA79" i="35" s="1"/>
  <c r="BB79" i="35" s="1"/>
  <c r="BC79" i="35" s="1"/>
  <c r="BD79" i="35" s="1"/>
  <c r="BE79" i="35" s="1"/>
  <c r="BF79" i="35" s="1"/>
  <c r="BG79" i="35" s="1"/>
  <c r="BH79" i="35" s="1"/>
  <c r="BI79" i="35" s="1"/>
  <c r="BJ79" i="35" s="1"/>
  <c r="BK79" i="35" s="1"/>
  <c r="AI78" i="35"/>
  <c r="AH78" i="35"/>
  <c r="AG78" i="35"/>
  <c r="AF78" i="35"/>
  <c r="AE78" i="35"/>
  <c r="AD78" i="35"/>
  <c r="AC78" i="35"/>
  <c r="AB78" i="35"/>
  <c r="AA78" i="35"/>
  <c r="Z78" i="35"/>
  <c r="Y78" i="35"/>
  <c r="X78" i="35"/>
  <c r="W78" i="35"/>
  <c r="V78" i="35"/>
  <c r="U78" i="35"/>
  <c r="BT77" i="35"/>
  <c r="BS77" i="35"/>
  <c r="BR77" i="35"/>
  <c r="BQ77" i="35"/>
  <c r="AJ77" i="35"/>
  <c r="AJ81" i="35" s="1"/>
  <c r="AI70" i="35"/>
  <c r="AH70" i="35"/>
  <c r="AG70" i="35"/>
  <c r="AF70" i="35"/>
  <c r="AE70" i="35"/>
  <c r="AD70" i="35"/>
  <c r="AC70" i="35"/>
  <c r="AB70" i="35"/>
  <c r="AA70" i="35"/>
  <c r="AA71" i="35" s="1"/>
  <c r="Z70" i="35"/>
  <c r="Y70" i="35"/>
  <c r="X70" i="35"/>
  <c r="W70" i="35"/>
  <c r="V70" i="35"/>
  <c r="U70" i="35"/>
  <c r="T70" i="35"/>
  <c r="AI69" i="35"/>
  <c r="AH69" i="35"/>
  <c r="AG69" i="35"/>
  <c r="AF69" i="35"/>
  <c r="AE69" i="35"/>
  <c r="AD69" i="35"/>
  <c r="AC69" i="35"/>
  <c r="AB69" i="35"/>
  <c r="AA69" i="35"/>
  <c r="Z69" i="35"/>
  <c r="Y69" i="35"/>
  <c r="X69" i="35"/>
  <c r="W69" i="35"/>
  <c r="V69" i="35"/>
  <c r="U69" i="35"/>
  <c r="AJ68" i="35"/>
  <c r="AK68" i="35" s="1"/>
  <c r="AL68" i="35" s="1"/>
  <c r="AM68" i="35" s="1"/>
  <c r="AN68" i="35" s="1"/>
  <c r="AO68" i="35" s="1"/>
  <c r="AP68" i="35" s="1"/>
  <c r="AQ68" i="35" s="1"/>
  <c r="AR68" i="35" s="1"/>
  <c r="AS68" i="35" s="1"/>
  <c r="AT68" i="35" s="1"/>
  <c r="AU68" i="35" s="1"/>
  <c r="AV68" i="35" s="1"/>
  <c r="AW68" i="35" s="1"/>
  <c r="AX68" i="35" s="1"/>
  <c r="AY68" i="35" s="1"/>
  <c r="AZ68" i="35" s="1"/>
  <c r="BA68" i="35" s="1"/>
  <c r="BB68" i="35" s="1"/>
  <c r="BC68" i="35" s="1"/>
  <c r="BD68" i="35" s="1"/>
  <c r="BE68" i="35" s="1"/>
  <c r="BF68" i="35" s="1"/>
  <c r="BG68" i="35" s="1"/>
  <c r="BH68" i="35" s="1"/>
  <c r="AI67" i="35"/>
  <c r="AH67" i="35"/>
  <c r="AG67" i="35"/>
  <c r="AF67" i="35"/>
  <c r="AE67" i="35"/>
  <c r="AD67" i="35"/>
  <c r="AC67" i="35"/>
  <c r="AB67" i="35"/>
  <c r="AA67" i="35"/>
  <c r="Z67" i="35"/>
  <c r="Y67" i="35"/>
  <c r="X67" i="35"/>
  <c r="W67" i="35"/>
  <c r="V67" i="35"/>
  <c r="U67" i="35"/>
  <c r="BR67" i="35"/>
  <c r="BT66" i="35"/>
  <c r="BT67" i="35" s="1"/>
  <c r="BS66" i="35"/>
  <c r="BR66" i="35"/>
  <c r="BQ66" i="35"/>
  <c r="AJ66" i="35"/>
  <c r="AE63" i="35"/>
  <c r="AI61" i="35"/>
  <c r="AH61" i="35"/>
  <c r="AH44" i="35" s="1"/>
  <c r="AG61" i="35"/>
  <c r="AF61" i="35"/>
  <c r="AE61" i="35"/>
  <c r="AE17" i="35" s="1"/>
  <c r="AD61" i="35"/>
  <c r="AD44" i="35" s="1"/>
  <c r="AC61" i="35"/>
  <c r="AB61" i="35"/>
  <c r="AA61" i="35"/>
  <c r="Z61" i="35"/>
  <c r="Z17" i="35" s="1"/>
  <c r="Y61" i="35"/>
  <c r="X61" i="35"/>
  <c r="W61" i="35"/>
  <c r="V61" i="35"/>
  <c r="BQ61" i="35" s="1"/>
  <c r="U61" i="35"/>
  <c r="T61" i="35"/>
  <c r="U62" i="35" s="1"/>
  <c r="AI60" i="35"/>
  <c r="AH60" i="35"/>
  <c r="AG60" i="35"/>
  <c r="AF60" i="35"/>
  <c r="AE60" i="35"/>
  <c r="AD60" i="35"/>
  <c r="AC60" i="35"/>
  <c r="AB60" i="35"/>
  <c r="AA60" i="35"/>
  <c r="Z60" i="35"/>
  <c r="Y60" i="35"/>
  <c r="X60" i="35"/>
  <c r="W60" i="35"/>
  <c r="V60" i="35"/>
  <c r="U60" i="35"/>
  <c r="AJ59" i="35"/>
  <c r="AK59" i="35" s="1"/>
  <c r="AL59" i="35" s="1"/>
  <c r="AI58" i="35"/>
  <c r="AH58" i="35"/>
  <c r="AG58" i="35"/>
  <c r="AF58" i="35"/>
  <c r="AE58" i="35"/>
  <c r="AD58" i="35"/>
  <c r="AC58" i="35"/>
  <c r="AB58" i="35"/>
  <c r="AA58" i="35"/>
  <c r="Z58" i="35"/>
  <c r="Y58" i="35"/>
  <c r="X58" i="35"/>
  <c r="W58" i="35"/>
  <c r="V58" i="35"/>
  <c r="U58" i="35"/>
  <c r="BR61" i="35"/>
  <c r="BT58" i="35"/>
  <c r="BT57" i="35"/>
  <c r="BS57" i="35"/>
  <c r="BR57" i="35"/>
  <c r="BQ57" i="35"/>
  <c r="AK57" i="35"/>
  <c r="AJ57" i="35"/>
  <c r="AG47" i="35"/>
  <c r="BT42" i="35"/>
  <c r="BS42" i="35"/>
  <c r="BT47" i="35" s="1"/>
  <c r="BQ42" i="35"/>
  <c r="AE44" i="35"/>
  <c r="W44" i="35"/>
  <c r="T44" i="35"/>
  <c r="AI42" i="35"/>
  <c r="AH42" i="35"/>
  <c r="AG42" i="35"/>
  <c r="AF42" i="35"/>
  <c r="AE42" i="35"/>
  <c r="AD42" i="35"/>
  <c r="AC42" i="35"/>
  <c r="AB42" i="35"/>
  <c r="AA42" i="35"/>
  <c r="Z42" i="35"/>
  <c r="Y42" i="35"/>
  <c r="X42" i="35"/>
  <c r="W42" i="35"/>
  <c r="V42" i="35"/>
  <c r="U42" i="35"/>
  <c r="T42" i="35"/>
  <c r="T43" i="35" s="1"/>
  <c r="AI26" i="35"/>
  <c r="AH26" i="35"/>
  <c r="AG26" i="35"/>
  <c r="AF26" i="35"/>
  <c r="AE26" i="35"/>
  <c r="AD26" i="35"/>
  <c r="AC26" i="35"/>
  <c r="AB26" i="35"/>
  <c r="AA26" i="35"/>
  <c r="Z26" i="35"/>
  <c r="Y26" i="35"/>
  <c r="X26" i="35"/>
  <c r="W26" i="35"/>
  <c r="W32" i="35" s="1"/>
  <c r="V26" i="35"/>
  <c r="U26" i="35"/>
  <c r="T26" i="35"/>
  <c r="T32" i="35" s="1"/>
  <c r="AD24" i="35"/>
  <c r="AC24" i="35"/>
  <c r="AE23" i="35"/>
  <c r="AE24" i="35" s="1"/>
  <c r="AD23" i="35"/>
  <c r="AC23" i="35"/>
  <c r="AB23" i="35"/>
  <c r="AB24" i="35" s="1"/>
  <c r="Z23" i="35"/>
  <c r="Z18" i="35"/>
  <c r="T18" i="35"/>
  <c r="T17" i="35"/>
  <c r="AD19" i="35"/>
  <c r="AI18" i="35"/>
  <c r="AH18" i="35"/>
  <c r="AG18" i="35"/>
  <c r="AF18" i="35"/>
  <c r="AE18" i="35"/>
  <c r="AD18" i="35"/>
  <c r="AC18" i="35"/>
  <c r="AB18" i="35"/>
  <c r="AA18" i="35"/>
  <c r="AI17" i="35"/>
  <c r="AG17" i="35"/>
  <c r="AC17" i="35"/>
  <c r="AA17" i="35"/>
  <c r="Y18" i="35"/>
  <c r="X18" i="35"/>
  <c r="V19" i="35"/>
  <c r="V18" i="35"/>
  <c r="U18" i="35"/>
  <c r="W17" i="35"/>
  <c r="U17" i="35"/>
  <c r="CA7" i="35"/>
  <c r="BZ7" i="35"/>
  <c r="BZ8" i="35" s="1"/>
  <c r="BY7" i="35"/>
  <c r="BY8" i="35" s="1"/>
  <c r="BX7" i="35"/>
  <c r="BX8" i="35" s="1"/>
  <c r="BW7" i="35"/>
  <c r="BV7" i="35"/>
  <c r="BV8" i="35" s="1"/>
  <c r="BU7" i="35"/>
  <c r="BU8" i="35" s="1"/>
  <c r="BT7" i="35"/>
  <c r="BT8" i="35" s="1"/>
  <c r="BS7" i="35"/>
  <c r="BR7" i="35"/>
  <c r="BR8" i="35" s="1"/>
  <c r="BQ7" i="35"/>
  <c r="BP7" i="35"/>
  <c r="BO7" i="35"/>
  <c r="BN7" i="35"/>
  <c r="BM7" i="35"/>
  <c r="BG7" i="35"/>
  <c r="BF7" i="35"/>
  <c r="BF8" i="35" s="1"/>
  <c r="BE7" i="35"/>
  <c r="BD7" i="35"/>
  <c r="BC7" i="35"/>
  <c r="BB7" i="35"/>
  <c r="BB8" i="35" s="1"/>
  <c r="BA7" i="35"/>
  <c r="AZ7" i="35"/>
  <c r="AZ8" i="35" s="1"/>
  <c r="AY7" i="35"/>
  <c r="AX7" i="35"/>
  <c r="AW7" i="35"/>
  <c r="AV7" i="35"/>
  <c r="AU7" i="35"/>
  <c r="AT7" i="35"/>
  <c r="AT8" i="35" s="1"/>
  <c r="AS7" i="35"/>
  <c r="AR7" i="35"/>
  <c r="AQ7" i="35"/>
  <c r="AP7" i="35"/>
  <c r="AP8" i="35" s="1"/>
  <c r="AO7" i="35"/>
  <c r="AN7" i="35"/>
  <c r="AM7" i="35"/>
  <c r="AL7" i="35"/>
  <c r="AL8" i="35" s="1"/>
  <c r="AK7" i="35"/>
  <c r="AJ7" i="35"/>
  <c r="AJ8" i="35" s="1"/>
  <c r="AI7" i="35"/>
  <c r="AI8" i="35" s="1"/>
  <c r="AH7" i="35"/>
  <c r="AG7" i="35"/>
  <c r="AF7" i="35"/>
  <c r="AE7" i="35"/>
  <c r="AE209" i="35" s="1"/>
  <c r="AD7" i="35"/>
  <c r="AD209" i="35" s="1"/>
  <c r="AC7" i="35"/>
  <c r="AB7" i="35"/>
  <c r="AA7" i="35"/>
  <c r="Z7" i="35"/>
  <c r="Y7" i="35"/>
  <c r="X7" i="35"/>
  <c r="X209" i="35" s="1"/>
  <c r="W7" i="35"/>
  <c r="V7" i="35"/>
  <c r="V209" i="35" s="1"/>
  <c r="U7" i="35"/>
  <c r="T7" i="35"/>
  <c r="T209" i="35" s="1"/>
  <c r="BG6" i="35"/>
  <c r="BF6" i="35"/>
  <c r="BE6" i="35"/>
  <c r="BD6" i="35"/>
  <c r="BC6" i="35"/>
  <c r="BB6" i="35"/>
  <c r="BA6" i="35"/>
  <c r="AY6" i="35"/>
  <c r="AX6" i="35"/>
  <c r="AW6" i="35"/>
  <c r="AV6" i="35"/>
  <c r="AU6" i="35"/>
  <c r="AT6" i="35"/>
  <c r="AS6" i="35"/>
  <c r="AR6" i="35"/>
  <c r="AQ6" i="35"/>
  <c r="AP6" i="35"/>
  <c r="AO6" i="35"/>
  <c r="AN6" i="35"/>
  <c r="AM6" i="35"/>
  <c r="AL6" i="35"/>
  <c r="AK6" i="35"/>
  <c r="AJ6" i="35"/>
  <c r="AI6" i="35"/>
  <c r="AH6" i="35"/>
  <c r="AG6" i="35"/>
  <c r="AF6" i="35"/>
  <c r="AE6" i="35"/>
  <c r="AD6" i="35"/>
  <c r="AC6" i="35"/>
  <c r="AB6" i="35"/>
  <c r="AA6" i="35"/>
  <c r="Z6" i="35"/>
  <c r="Y6" i="35"/>
  <c r="X6" i="35"/>
  <c r="W6" i="35"/>
  <c r="V6" i="35"/>
  <c r="U6" i="35"/>
  <c r="T6" i="35"/>
  <c r="BG5" i="35"/>
  <c r="BF5" i="35"/>
  <c r="BE5" i="35"/>
  <c r="BD5" i="35"/>
  <c r="BC5" i="35"/>
  <c r="BB5" i="35"/>
  <c r="BA5" i="35"/>
  <c r="AY5" i="35"/>
  <c r="AX5" i="35"/>
  <c r="AW5" i="35"/>
  <c r="AV5" i="35"/>
  <c r="AU5" i="35"/>
  <c r="AT5" i="35"/>
  <c r="AS5" i="35"/>
  <c r="AR5" i="35"/>
  <c r="AQ5" i="35"/>
  <c r="AP5" i="35"/>
  <c r="AO5" i="35"/>
  <c r="AN5" i="35"/>
  <c r="AM5" i="35"/>
  <c r="AL5" i="35"/>
  <c r="AK5" i="35"/>
  <c r="AJ5" i="35"/>
  <c r="AI5" i="35"/>
  <c r="AH5" i="35"/>
  <c r="AG5" i="35"/>
  <c r="AF5" i="35"/>
  <c r="AE5" i="35"/>
  <c r="AD5" i="35"/>
  <c r="AC5" i="35"/>
  <c r="AB5" i="35"/>
  <c r="AA5" i="35"/>
  <c r="Z5" i="35"/>
  <c r="Y5" i="35"/>
  <c r="X5" i="35"/>
  <c r="W5" i="35"/>
  <c r="V5" i="35"/>
  <c r="U5" i="35"/>
  <c r="T5" i="35"/>
  <c r="S7" i="35"/>
  <c r="S209" i="35" s="1"/>
  <c r="R7" i="35"/>
  <c r="R209" i="35" s="1"/>
  <c r="Q7" i="35"/>
  <c r="Q209" i="35" s="1"/>
  <c r="P7" i="35"/>
  <c r="P209" i="35" s="1"/>
  <c r="O7" i="35"/>
  <c r="O209" i="35" s="1"/>
  <c r="N7" i="35"/>
  <c r="N209" i="35" s="1"/>
  <c r="M7" i="35"/>
  <c r="M209" i="35" s="1"/>
  <c r="L7" i="35"/>
  <c r="L209" i="35" s="1"/>
  <c r="K7" i="35"/>
  <c r="K209" i="35" s="1"/>
  <c r="J7" i="35"/>
  <c r="J209" i="35" s="1"/>
  <c r="I7" i="35"/>
  <c r="I209" i="35" s="1"/>
  <c r="H7" i="35"/>
  <c r="H209" i="35" s="1"/>
  <c r="G7" i="35"/>
  <c r="G209" i="35" s="1"/>
  <c r="F7" i="35"/>
  <c r="F209" i="35" s="1"/>
  <c r="E7" i="35"/>
  <c r="E209" i="35" s="1"/>
  <c r="D7" i="35"/>
  <c r="D209" i="35" s="1"/>
  <c r="S6" i="35"/>
  <c r="R6" i="35"/>
  <c r="Q6" i="35"/>
  <c r="P6" i="35"/>
  <c r="O6" i="35"/>
  <c r="N6" i="35"/>
  <c r="M6" i="35"/>
  <c r="L6" i="35"/>
  <c r="K6" i="35"/>
  <c r="J6" i="35"/>
  <c r="I6" i="35"/>
  <c r="H6" i="35"/>
  <c r="G6" i="35"/>
  <c r="F6" i="35"/>
  <c r="E6" i="35"/>
  <c r="D6" i="35"/>
  <c r="S5" i="35"/>
  <c r="R5" i="35"/>
  <c r="Q5" i="35"/>
  <c r="P5" i="35"/>
  <c r="O5" i="35"/>
  <c r="N5" i="35"/>
  <c r="M5" i="35"/>
  <c r="L5" i="35"/>
  <c r="K5" i="35"/>
  <c r="J5" i="35"/>
  <c r="I5" i="35"/>
  <c r="H5" i="35"/>
  <c r="G5" i="35"/>
  <c r="F5" i="35"/>
  <c r="E5" i="35"/>
  <c r="D5" i="35"/>
  <c r="AB53" i="13"/>
  <c r="AA53" i="13"/>
  <c r="Z53" i="13"/>
  <c r="Y53" i="13"/>
  <c r="X53" i="13"/>
  <c r="W53" i="13"/>
  <c r="V53" i="13"/>
  <c r="U53" i="13"/>
  <c r="T53" i="13"/>
  <c r="S53" i="13"/>
  <c r="R53" i="13"/>
  <c r="Q53" i="13"/>
  <c r="P53" i="13"/>
  <c r="O53" i="13"/>
  <c r="N53" i="13"/>
  <c r="M53" i="13"/>
  <c r="L53" i="13"/>
  <c r="K53" i="13"/>
  <c r="J53" i="13"/>
  <c r="I53" i="13"/>
  <c r="H53" i="13"/>
  <c r="G53" i="13"/>
  <c r="F53" i="13"/>
  <c r="E53" i="13"/>
  <c r="D53" i="13"/>
  <c r="AZ46" i="13"/>
  <c r="AY46" i="13"/>
  <c r="AX46" i="13"/>
  <c r="AV46" i="13"/>
  <c r="AU46" i="13"/>
  <c r="AT46" i="13"/>
  <c r="AS46" i="13"/>
  <c r="AR46" i="13"/>
  <c r="AQ46" i="13"/>
  <c r="AP46" i="13"/>
  <c r="AO46" i="13"/>
  <c r="AN46" i="13"/>
  <c r="AM46" i="13"/>
  <c r="AL46" i="13"/>
  <c r="AK46" i="13"/>
  <c r="AJ46" i="13"/>
  <c r="BV44" i="13"/>
  <c r="BU44" i="13"/>
  <c r="BV43" i="13"/>
  <c r="BU43" i="13"/>
  <c r="AN42" i="13"/>
  <c r="BV39" i="13"/>
  <c r="BU39" i="13"/>
  <c r="AP31" i="13"/>
  <c r="BT29" i="13"/>
  <c r="BS29" i="13"/>
  <c r="BR29" i="13"/>
  <c r="BQ29" i="13"/>
  <c r="BP29" i="13"/>
  <c r="BO29" i="13"/>
  <c r="BN29" i="13"/>
  <c r="BM29" i="13"/>
  <c r="BV28" i="13"/>
  <c r="BU28" i="13"/>
  <c r="AR27" i="13"/>
  <c r="AR214" i="35" s="1"/>
  <c r="AQ27" i="13"/>
  <c r="AP27" i="13"/>
  <c r="AO27" i="13"/>
  <c r="BV27" i="13" s="1"/>
  <c r="AN27" i="13"/>
  <c r="AM27" i="13"/>
  <c r="AL27" i="13"/>
  <c r="AK27" i="13"/>
  <c r="AK29" i="13" s="1"/>
  <c r="AJ27" i="13"/>
  <c r="AJ29" i="13" s="1"/>
  <c r="BW26" i="13"/>
  <c r="BV26" i="13"/>
  <c r="BU26" i="13"/>
  <c r="AM25" i="13"/>
  <c r="AL25" i="13"/>
  <c r="AK25" i="13"/>
  <c r="AJ25" i="13"/>
  <c r="AJ42" i="13" s="1"/>
  <c r="BA25" i="13"/>
  <c r="BB32" i="13" s="1"/>
  <c r="AZ25" i="13"/>
  <c r="AZ42" i="13" s="1"/>
  <c r="AY25" i="13"/>
  <c r="BC33" i="13" s="1"/>
  <c r="AX25" i="13"/>
  <c r="AW25" i="13"/>
  <c r="AV25" i="13"/>
  <c r="AV42" i="13" s="1"/>
  <c r="AU25" i="13"/>
  <c r="AU42" i="13" s="1"/>
  <c r="AT25" i="13"/>
  <c r="AT42" i="13" s="1"/>
  <c r="AS25" i="13"/>
  <c r="AR25" i="13"/>
  <c r="AR42" i="13" s="1"/>
  <c r="AQ25" i="13"/>
  <c r="AP25" i="13"/>
  <c r="AP33" i="13" s="1"/>
  <c r="AO25" i="13"/>
  <c r="AO33" i="13" s="1"/>
  <c r="BV21" i="13"/>
  <c r="BU21" i="13"/>
  <c r="BW9" i="13"/>
  <c r="BV9" i="13"/>
  <c r="BU9" i="13"/>
  <c r="CA7" i="13"/>
  <c r="BZ7" i="13"/>
  <c r="BY7" i="13"/>
  <c r="BX7" i="13"/>
  <c r="BW7" i="13"/>
  <c r="BV7" i="13"/>
  <c r="BU7" i="13"/>
  <c r="BT7" i="13"/>
  <c r="BS7" i="13"/>
  <c r="BR7" i="13"/>
  <c r="BQ7" i="13"/>
  <c r="BP7" i="13"/>
  <c r="BO7" i="13"/>
  <c r="BN7" i="13"/>
  <c r="BM7" i="13"/>
  <c r="BG7" i="13"/>
  <c r="BF7" i="13"/>
  <c r="BE7" i="13"/>
  <c r="BD7" i="13"/>
  <c r="BC7" i="13"/>
  <c r="BB7" i="13"/>
  <c r="BG6" i="13"/>
  <c r="BF6" i="13"/>
  <c r="BE6" i="13"/>
  <c r="BD6" i="13"/>
  <c r="BC6" i="13"/>
  <c r="BB6" i="13"/>
  <c r="BG5" i="13"/>
  <c r="BF5" i="13"/>
  <c r="BE5" i="13"/>
  <c r="BD5" i="13"/>
  <c r="BC5" i="13"/>
  <c r="BB5" i="13"/>
  <c r="BA8" i="13"/>
  <c r="BB14" i="13" s="1"/>
  <c r="AZ8" i="13"/>
  <c r="AY8" i="13"/>
  <c r="AX8" i="13"/>
  <c r="BB15" i="13" s="1"/>
  <c r="AW8" i="13"/>
  <c r="AW24" i="13" s="1"/>
  <c r="AV8" i="13"/>
  <c r="AU8" i="13"/>
  <c r="AU24" i="13" s="1"/>
  <c r="AT8" i="13"/>
  <c r="AS8" i="13"/>
  <c r="AR8" i="13"/>
  <c r="AQ8" i="13"/>
  <c r="AQ24" i="13" s="1"/>
  <c r="AP8" i="13"/>
  <c r="AO8" i="13"/>
  <c r="AO24" i="13" s="1"/>
  <c r="AN8" i="13"/>
  <c r="AM8" i="13"/>
  <c r="AM24" i="13" s="1"/>
  <c r="AL8" i="13"/>
  <c r="AK8" i="13"/>
  <c r="AJ8" i="13"/>
  <c r="BA7" i="13"/>
  <c r="AZ7" i="13"/>
  <c r="AY7" i="13"/>
  <c r="AX7" i="13"/>
  <c r="AW7" i="13"/>
  <c r="AV7" i="13"/>
  <c r="AU7" i="13"/>
  <c r="AT7" i="13"/>
  <c r="AS7" i="13"/>
  <c r="AR7" i="13"/>
  <c r="AQ7" i="13"/>
  <c r="AP7" i="13"/>
  <c r="AO7" i="13"/>
  <c r="AN7" i="13"/>
  <c r="AM7" i="13"/>
  <c r="AL7" i="13"/>
  <c r="AK7" i="13"/>
  <c r="AJ7" i="13"/>
  <c r="BA6" i="13"/>
  <c r="AZ6" i="13"/>
  <c r="AY6" i="13"/>
  <c r="AX6" i="13"/>
  <c r="AW6" i="13"/>
  <c r="AV6" i="13"/>
  <c r="AU6" i="13"/>
  <c r="AT6" i="13"/>
  <c r="AS6" i="13"/>
  <c r="AR6" i="13"/>
  <c r="AQ6" i="13"/>
  <c r="AP6" i="13"/>
  <c r="AO6" i="13"/>
  <c r="AN6" i="13"/>
  <c r="AM6" i="13"/>
  <c r="AL6" i="13"/>
  <c r="AK6" i="13"/>
  <c r="AJ6" i="13"/>
  <c r="BA5" i="13"/>
  <c r="AZ5" i="13"/>
  <c r="AY5" i="13"/>
  <c r="AX5" i="13"/>
  <c r="AW5" i="13"/>
  <c r="AV5" i="13"/>
  <c r="AU5" i="13"/>
  <c r="AT5" i="13"/>
  <c r="AS5" i="13"/>
  <c r="AR5" i="13"/>
  <c r="AQ5" i="13"/>
  <c r="AP5" i="13"/>
  <c r="AO5" i="13"/>
  <c r="AN5" i="13"/>
  <c r="AM5" i="13"/>
  <c r="AL5" i="13"/>
  <c r="AK5" i="13"/>
  <c r="AJ5" i="13"/>
  <c r="AI7" i="13"/>
  <c r="AH7" i="13"/>
  <c r="AG7" i="13"/>
  <c r="AF7" i="13"/>
  <c r="AE7" i="13"/>
  <c r="AD7" i="13"/>
  <c r="AC7" i="13"/>
  <c r="AB7" i="13"/>
  <c r="AA7" i="13"/>
  <c r="Z7" i="13"/>
  <c r="Y7" i="13"/>
  <c r="X7" i="13"/>
  <c r="W7" i="13"/>
  <c r="V7" i="13"/>
  <c r="U7" i="13"/>
  <c r="T7" i="13"/>
  <c r="S7" i="13"/>
  <c r="R7" i="13"/>
  <c r="Q7" i="13"/>
  <c r="P7" i="13"/>
  <c r="O7" i="13"/>
  <c r="N7" i="13"/>
  <c r="M7" i="13"/>
  <c r="L7" i="13"/>
  <c r="K7" i="13"/>
  <c r="J7" i="13"/>
  <c r="I7" i="13"/>
  <c r="H7" i="13"/>
  <c r="G7" i="13"/>
  <c r="F7" i="13"/>
  <c r="E7" i="13"/>
  <c r="D7" i="13"/>
  <c r="AI6" i="13"/>
  <c r="AH6" i="13"/>
  <c r="AG6" i="13"/>
  <c r="AF6" i="13"/>
  <c r="AE6" i="13"/>
  <c r="AD6" i="13"/>
  <c r="AC6" i="13"/>
  <c r="AB6" i="13"/>
  <c r="AA6" i="13"/>
  <c r="Z6" i="13"/>
  <c r="Y6" i="13"/>
  <c r="X6" i="13"/>
  <c r="W6" i="13"/>
  <c r="V6" i="13"/>
  <c r="U6" i="13"/>
  <c r="T6" i="13"/>
  <c r="S6" i="13"/>
  <c r="R6" i="13"/>
  <c r="Q6" i="13"/>
  <c r="P6" i="13"/>
  <c r="O6" i="13"/>
  <c r="N6" i="13"/>
  <c r="M6" i="13"/>
  <c r="L6" i="13"/>
  <c r="K6" i="13"/>
  <c r="J6" i="13"/>
  <c r="I6" i="13"/>
  <c r="H6" i="13"/>
  <c r="G6" i="13"/>
  <c r="F6" i="13"/>
  <c r="E6" i="13"/>
  <c r="D6" i="13"/>
  <c r="AI5" i="13"/>
  <c r="AH5" i="13"/>
  <c r="AG5" i="13"/>
  <c r="AF5" i="13"/>
  <c r="AE5" i="13"/>
  <c r="AD5" i="13"/>
  <c r="AC5" i="13"/>
  <c r="AB5" i="13"/>
  <c r="AA5" i="13"/>
  <c r="Z5" i="13"/>
  <c r="Y5" i="13"/>
  <c r="X5" i="13"/>
  <c r="W5" i="13"/>
  <c r="V5" i="13"/>
  <c r="U5" i="13"/>
  <c r="T5" i="13"/>
  <c r="S5" i="13"/>
  <c r="R5" i="13"/>
  <c r="Q5" i="13"/>
  <c r="P5" i="13"/>
  <c r="O5" i="13"/>
  <c r="N5" i="13"/>
  <c r="M5" i="13"/>
  <c r="L5" i="13"/>
  <c r="K5" i="13"/>
  <c r="J5" i="13"/>
  <c r="I5" i="13"/>
  <c r="H5" i="13"/>
  <c r="G5" i="13"/>
  <c r="F5" i="13"/>
  <c r="E5" i="13"/>
  <c r="D5" i="13"/>
  <c r="BG164" i="3"/>
  <c r="BF164" i="3"/>
  <c r="BE164" i="3"/>
  <c r="BD164" i="3"/>
  <c r="BC164" i="3"/>
  <c r="BB164" i="3"/>
  <c r="BA164" i="3"/>
  <c r="AZ164" i="3"/>
  <c r="AB164" i="3"/>
  <c r="AA164" i="3"/>
  <c r="Z164" i="3"/>
  <c r="Y164" i="3"/>
  <c r="X164" i="3"/>
  <c r="W164" i="3"/>
  <c r="V164" i="3"/>
  <c r="U164" i="3"/>
  <c r="T164" i="3"/>
  <c r="S164" i="3"/>
  <c r="R164" i="3"/>
  <c r="Q164" i="3"/>
  <c r="P164" i="3"/>
  <c r="O164" i="3"/>
  <c r="N164" i="3"/>
  <c r="M164" i="3"/>
  <c r="L164" i="3"/>
  <c r="K164" i="3"/>
  <c r="J164" i="3"/>
  <c r="I164" i="3"/>
  <c r="H164" i="3"/>
  <c r="G164" i="3"/>
  <c r="F164" i="3"/>
  <c r="E164" i="3"/>
  <c r="D164" i="3"/>
  <c r="BA156" i="3"/>
  <c r="AZ156" i="3"/>
  <c r="AY156" i="3"/>
  <c r="AX156" i="3"/>
  <c r="AW156" i="3"/>
  <c r="AV156" i="3"/>
  <c r="AU156" i="3"/>
  <c r="AT156" i="3"/>
  <c r="AS156" i="3"/>
  <c r="AR156" i="3"/>
  <c r="AQ156" i="3"/>
  <c r="AP156" i="3"/>
  <c r="AO156" i="3"/>
  <c r="AN156" i="3"/>
  <c r="AM156" i="3"/>
  <c r="AL156" i="3"/>
  <c r="AK156" i="3"/>
  <c r="AJ156" i="3"/>
  <c r="AI156" i="3"/>
  <c r="AH156" i="3"/>
  <c r="AG156" i="3"/>
  <c r="AF156" i="3"/>
  <c r="AE156" i="3"/>
  <c r="AD156" i="3"/>
  <c r="AC156" i="3"/>
  <c r="AB156" i="3"/>
  <c r="AA156" i="3"/>
  <c r="Z156" i="3"/>
  <c r="Y156" i="3"/>
  <c r="X156" i="3"/>
  <c r="W156" i="3"/>
  <c r="V156" i="3"/>
  <c r="U156" i="3"/>
  <c r="T156" i="3"/>
  <c r="S156" i="3"/>
  <c r="R156" i="3"/>
  <c r="Q156" i="3"/>
  <c r="P156" i="3"/>
  <c r="O156" i="3"/>
  <c r="N156" i="3"/>
  <c r="M156" i="3"/>
  <c r="L156" i="3"/>
  <c r="K156" i="3"/>
  <c r="J156" i="3"/>
  <c r="I156" i="3"/>
  <c r="H156" i="3"/>
  <c r="G156" i="3"/>
  <c r="F156" i="3"/>
  <c r="E156" i="3"/>
  <c r="D156" i="3"/>
  <c r="BT152" i="3"/>
  <c r="BD152" i="3"/>
  <c r="BE152" i="3" s="1"/>
  <c r="BF152" i="3" s="1"/>
  <c r="BG152" i="3" s="1"/>
  <c r="G151" i="3"/>
  <c r="F151" i="3"/>
  <c r="E151" i="3"/>
  <c r="BD149" i="3"/>
  <c r="BE149" i="3" s="1"/>
  <c r="BF149" i="3" s="1"/>
  <c r="BG149" i="3" s="1"/>
  <c r="BA147" i="3"/>
  <c r="AZ147" i="3"/>
  <c r="AW147" i="3"/>
  <c r="AV147" i="3"/>
  <c r="AU147" i="3"/>
  <c r="AN147" i="3"/>
  <c r="AK147" i="3"/>
  <c r="AJ147" i="3"/>
  <c r="AF147" i="3"/>
  <c r="Y147" i="3"/>
  <c r="X147" i="3"/>
  <c r="L147" i="3"/>
  <c r="AX146" i="3"/>
  <c r="AT146" i="3"/>
  <c r="AT147" i="3" s="1"/>
  <c r="AS146" i="3"/>
  <c r="AS147" i="3" s="1"/>
  <c r="AR146" i="3"/>
  <c r="AR147" i="3" s="1"/>
  <c r="AQ146" i="3"/>
  <c r="AQ147" i="3" s="1"/>
  <c r="AP146" i="3"/>
  <c r="AP147" i="3" s="1"/>
  <c r="AO146" i="3"/>
  <c r="AL146" i="3"/>
  <c r="AM146" i="3" s="1"/>
  <c r="AI146" i="3"/>
  <c r="AI147" i="3" s="1"/>
  <c r="AH146" i="3"/>
  <c r="AH147" i="3" s="1"/>
  <c r="AG146" i="3"/>
  <c r="AG147" i="3" s="1"/>
  <c r="AE146" i="3"/>
  <c r="AE147" i="3" s="1"/>
  <c r="AD146" i="3"/>
  <c r="AD147" i="3" s="1"/>
  <c r="AC146" i="3"/>
  <c r="AC147" i="3" s="1"/>
  <c r="AB146" i="3"/>
  <c r="AB147" i="3" s="1"/>
  <c r="AA146" i="3"/>
  <c r="AA147" i="3" s="1"/>
  <c r="Z146" i="3"/>
  <c r="Z147" i="3" s="1"/>
  <c r="W146" i="3"/>
  <c r="V146" i="3"/>
  <c r="S146" i="3"/>
  <c r="R146" i="3"/>
  <c r="R147" i="3" s="1"/>
  <c r="Q146" i="3"/>
  <c r="P146" i="3"/>
  <c r="P147" i="3" s="1"/>
  <c r="O146" i="3"/>
  <c r="N146" i="3"/>
  <c r="M146" i="3"/>
  <c r="J146" i="3"/>
  <c r="G146" i="3"/>
  <c r="F146" i="3"/>
  <c r="F147" i="3" s="1"/>
  <c r="E146" i="3"/>
  <c r="E147" i="3" s="1"/>
  <c r="D146" i="3"/>
  <c r="D147" i="3" s="1"/>
  <c r="W143" i="3"/>
  <c r="V143" i="3"/>
  <c r="U143" i="3"/>
  <c r="T143" i="3"/>
  <c r="Q143" i="3"/>
  <c r="Q147" i="3" s="1"/>
  <c r="AY142" i="3"/>
  <c r="AM142" i="3"/>
  <c r="W142" i="3"/>
  <c r="W141" i="3"/>
  <c r="O142" i="3"/>
  <c r="O147" i="3" s="1"/>
  <c r="K142" i="3"/>
  <c r="K147" i="3" s="1"/>
  <c r="J142" i="3"/>
  <c r="J147" i="3" s="1"/>
  <c r="I142" i="3"/>
  <c r="I147" i="3" s="1"/>
  <c r="H142" i="3"/>
  <c r="H147" i="3" s="1"/>
  <c r="V141" i="3"/>
  <c r="V147" i="3" s="1"/>
  <c r="U141" i="3"/>
  <c r="T141" i="3"/>
  <c r="T147" i="3" s="1"/>
  <c r="S141" i="3"/>
  <c r="S147" i="3" s="1"/>
  <c r="AY140" i="3"/>
  <c r="AY147" i="3" s="1"/>
  <c r="AO140" i="3"/>
  <c r="AM140" i="3"/>
  <c r="N140" i="3"/>
  <c r="N147" i="3" s="1"/>
  <c r="M140" i="3"/>
  <c r="M147" i="3" s="1"/>
  <c r="AX139" i="3"/>
  <c r="G139" i="3"/>
  <c r="G147" i="3" s="1"/>
  <c r="BD145" i="3"/>
  <c r="BE145" i="3" s="1"/>
  <c r="BF145" i="3" s="1"/>
  <c r="BG145" i="3" s="1"/>
  <c r="BD144" i="3"/>
  <c r="BE144" i="3" s="1"/>
  <c r="BF144" i="3" s="1"/>
  <c r="BG144" i="3" s="1"/>
  <c r="BD143" i="3"/>
  <c r="BE143" i="3" s="1"/>
  <c r="BF143" i="3" s="1"/>
  <c r="BG143" i="3" s="1"/>
  <c r="BD142" i="3"/>
  <c r="BE142" i="3" s="1"/>
  <c r="BF142" i="3" s="1"/>
  <c r="BG142" i="3" s="1"/>
  <c r="BD141" i="3"/>
  <c r="BE141" i="3" s="1"/>
  <c r="BF141" i="3" s="1"/>
  <c r="BG141" i="3" s="1"/>
  <c r="BD140" i="3"/>
  <c r="BE140" i="3" s="1"/>
  <c r="BF140" i="3" s="1"/>
  <c r="BG140" i="3" s="1"/>
  <c r="BD138" i="3"/>
  <c r="BA135" i="3"/>
  <c r="AZ135" i="3"/>
  <c r="AY135" i="3"/>
  <c r="AX135" i="3"/>
  <c r="AV135" i="3"/>
  <c r="AU135" i="3"/>
  <c r="AT135" i="3"/>
  <c r="AS135" i="3"/>
  <c r="AR135" i="3"/>
  <c r="AQ135" i="3"/>
  <c r="AP135" i="3"/>
  <c r="AO135" i="3"/>
  <c r="AN135" i="3"/>
  <c r="AL135" i="3"/>
  <c r="AK135" i="3"/>
  <c r="AJ135" i="3"/>
  <c r="AI135" i="3"/>
  <c r="AH135" i="3"/>
  <c r="AG135" i="3"/>
  <c r="AF135" i="3"/>
  <c r="AE135" i="3"/>
  <c r="AD135" i="3"/>
  <c r="AC135" i="3"/>
  <c r="AB135" i="3"/>
  <c r="AA135" i="3"/>
  <c r="Z135" i="3"/>
  <c r="Y135" i="3"/>
  <c r="X135" i="3"/>
  <c r="W135" i="3"/>
  <c r="R135" i="3"/>
  <c r="Q135" i="3"/>
  <c r="P135" i="3"/>
  <c r="F135" i="3"/>
  <c r="E135" i="3"/>
  <c r="D135" i="3"/>
  <c r="AW134" i="3"/>
  <c r="AW135" i="3" s="1"/>
  <c r="V134" i="3"/>
  <c r="V135" i="3" s="1"/>
  <c r="U134" i="3"/>
  <c r="U135" i="3" s="1"/>
  <c r="T134" i="3"/>
  <c r="T135" i="3" s="1"/>
  <c r="O134" i="3"/>
  <c r="O135" i="3" s="1"/>
  <c r="N134" i="3"/>
  <c r="N135" i="3" s="1"/>
  <c r="M134" i="3"/>
  <c r="M135" i="3" s="1"/>
  <c r="L134" i="3"/>
  <c r="L135" i="3" s="1"/>
  <c r="K134" i="3"/>
  <c r="K135" i="3" s="1"/>
  <c r="J134" i="3"/>
  <c r="J135" i="3" s="1"/>
  <c r="I134" i="3"/>
  <c r="I135" i="3" s="1"/>
  <c r="H134" i="3"/>
  <c r="H135" i="3" s="1"/>
  <c r="G134" i="3"/>
  <c r="G135" i="3" s="1"/>
  <c r="AM133" i="3"/>
  <c r="S132" i="3"/>
  <c r="S135" i="3" s="1"/>
  <c r="AM128" i="3"/>
  <c r="AM127" i="3"/>
  <c r="AM126" i="3"/>
  <c r="BD133" i="3"/>
  <c r="BE133" i="3" s="1"/>
  <c r="BF133" i="3" s="1"/>
  <c r="BG133" i="3" s="1"/>
  <c r="BD132" i="3"/>
  <c r="BE132" i="3" s="1"/>
  <c r="BF132" i="3" s="1"/>
  <c r="BG132" i="3" s="1"/>
  <c r="BD131" i="3"/>
  <c r="BE131" i="3" s="1"/>
  <c r="BF131" i="3" s="1"/>
  <c r="BG131" i="3" s="1"/>
  <c r="BD130" i="3"/>
  <c r="BE130" i="3" s="1"/>
  <c r="BF130" i="3" s="1"/>
  <c r="BG130" i="3" s="1"/>
  <c r="BD129" i="3"/>
  <c r="BE129" i="3" s="1"/>
  <c r="BF129" i="3" s="1"/>
  <c r="BG129" i="3" s="1"/>
  <c r="BD128" i="3"/>
  <c r="BE128" i="3" s="1"/>
  <c r="BF128" i="3" s="1"/>
  <c r="BG128" i="3" s="1"/>
  <c r="BD127" i="3"/>
  <c r="BE127" i="3" s="1"/>
  <c r="BF127" i="3" s="1"/>
  <c r="BG127" i="3" s="1"/>
  <c r="AQ122" i="3"/>
  <c r="AM122" i="3"/>
  <c r="AM121" i="3"/>
  <c r="AF122" i="3"/>
  <c r="G122" i="3"/>
  <c r="F122" i="3"/>
  <c r="E122" i="3"/>
  <c r="D122" i="3"/>
  <c r="AY121" i="3"/>
  <c r="AR121" i="3"/>
  <c r="G119" i="3"/>
  <c r="AM117" i="3"/>
  <c r="AM116" i="3"/>
  <c r="AM115" i="3"/>
  <c r="AM114" i="3"/>
  <c r="AA117" i="3"/>
  <c r="Z117" i="3"/>
  <c r="Y117" i="3"/>
  <c r="X117" i="3"/>
  <c r="N117" i="3"/>
  <c r="M117" i="3"/>
  <c r="K117" i="3"/>
  <c r="J117" i="3"/>
  <c r="I117" i="3"/>
  <c r="H117" i="3"/>
  <c r="G117" i="3"/>
  <c r="F117" i="3"/>
  <c r="E117" i="3"/>
  <c r="D117" i="3"/>
  <c r="BE121" i="3"/>
  <c r="BF121" i="3" s="1"/>
  <c r="BG121" i="3" s="1"/>
  <c r="BD121" i="3"/>
  <c r="BD120" i="3"/>
  <c r="BE120" i="3" s="1"/>
  <c r="BF120" i="3" s="1"/>
  <c r="BG120" i="3" s="1"/>
  <c r="N114" i="3"/>
  <c r="M114" i="3"/>
  <c r="K114" i="3"/>
  <c r="J114" i="3"/>
  <c r="I114" i="3"/>
  <c r="H114" i="3"/>
  <c r="G114" i="3"/>
  <c r="F114" i="3"/>
  <c r="E114" i="3"/>
  <c r="D114" i="3"/>
  <c r="BA112" i="3"/>
  <c r="AZ112" i="3"/>
  <c r="AY112" i="3"/>
  <c r="AX112" i="3"/>
  <c r="AS112" i="3"/>
  <c r="AR112" i="3"/>
  <c r="AQ112" i="3"/>
  <c r="AP112" i="3"/>
  <c r="AO112" i="3"/>
  <c r="AN112" i="3"/>
  <c r="AM112" i="3"/>
  <c r="AI112" i="3"/>
  <c r="AE112" i="3"/>
  <c r="AA112" i="3"/>
  <c r="Z112" i="3"/>
  <c r="Y112" i="3"/>
  <c r="W112" i="3"/>
  <c r="V112" i="3"/>
  <c r="U112" i="3"/>
  <c r="T112" i="3"/>
  <c r="S112" i="3"/>
  <c r="R112" i="3"/>
  <c r="Q112" i="3"/>
  <c r="P112" i="3"/>
  <c r="O112" i="3"/>
  <c r="N112" i="3"/>
  <c r="M112" i="3"/>
  <c r="L112" i="3"/>
  <c r="K112" i="3"/>
  <c r="J112" i="3"/>
  <c r="I112" i="3"/>
  <c r="H112" i="3"/>
  <c r="G112" i="3"/>
  <c r="F112" i="3"/>
  <c r="E112" i="3"/>
  <c r="D112" i="3"/>
  <c r="AA109" i="3"/>
  <c r="Z109" i="3"/>
  <c r="Y109" i="3"/>
  <c r="X109" i="3"/>
  <c r="K109" i="3"/>
  <c r="G109" i="3"/>
  <c r="AM107" i="3"/>
  <c r="R107" i="3"/>
  <c r="AM105" i="3"/>
  <c r="AM104" i="3"/>
  <c r="AM103" i="3"/>
  <c r="R105" i="3"/>
  <c r="Q105" i="3"/>
  <c r="H105" i="3"/>
  <c r="D105" i="3"/>
  <c r="BD111" i="3"/>
  <c r="BE111" i="3" s="1"/>
  <c r="BF111" i="3" s="1"/>
  <c r="BG111" i="3" s="1"/>
  <c r="BD110" i="3"/>
  <c r="BE110" i="3" s="1"/>
  <c r="BF110" i="3" s="1"/>
  <c r="BG110" i="3" s="1"/>
  <c r="BD109" i="3"/>
  <c r="BE109" i="3" s="1"/>
  <c r="BF109" i="3" s="1"/>
  <c r="BG109" i="3" s="1"/>
  <c r="BD108" i="3"/>
  <c r="BE108" i="3" s="1"/>
  <c r="BF108" i="3" s="1"/>
  <c r="BG108" i="3" s="1"/>
  <c r="BD107" i="3"/>
  <c r="BE107" i="3" s="1"/>
  <c r="BF107" i="3" s="1"/>
  <c r="BG107" i="3" s="1"/>
  <c r="BD106" i="3"/>
  <c r="BE106" i="3" s="1"/>
  <c r="BF106" i="3" s="1"/>
  <c r="BG106" i="3" s="1"/>
  <c r="BE105" i="3"/>
  <c r="BF105" i="3" s="1"/>
  <c r="BG105" i="3" s="1"/>
  <c r="BD105" i="3"/>
  <c r="J103" i="3"/>
  <c r="I103" i="3"/>
  <c r="H103" i="3"/>
  <c r="F103" i="3"/>
  <c r="E103" i="3"/>
  <c r="D103" i="3"/>
  <c r="BZ84" i="3"/>
  <c r="BA78" i="3"/>
  <c r="AZ78" i="3"/>
  <c r="AY78" i="3"/>
  <c r="AX78" i="3"/>
  <c r="AW78" i="3"/>
  <c r="AV78" i="3"/>
  <c r="AU78" i="3"/>
  <c r="AT78" i="3"/>
  <c r="AS78" i="3"/>
  <c r="AR78" i="3"/>
  <c r="AQ78" i="3"/>
  <c r="AP78" i="3"/>
  <c r="AO78" i="3"/>
  <c r="AN78" i="3"/>
  <c r="AM78" i="3"/>
  <c r="AL78" i="3"/>
  <c r="AK78" i="3"/>
  <c r="AJ78" i="3"/>
  <c r="AI78" i="3"/>
  <c r="AH78" i="3"/>
  <c r="AG78" i="3"/>
  <c r="AF78" i="3"/>
  <c r="AE78" i="3"/>
  <c r="AD78" i="3"/>
  <c r="AC78" i="3"/>
  <c r="AB78" i="3"/>
  <c r="AA78" i="3"/>
  <c r="Z78" i="3"/>
  <c r="Y78" i="3"/>
  <c r="X78" i="3"/>
  <c r="W78" i="3"/>
  <c r="V78" i="3"/>
  <c r="U78" i="3"/>
  <c r="T78" i="3"/>
  <c r="S78" i="3"/>
  <c r="R78" i="3"/>
  <c r="Q78" i="3"/>
  <c r="P78" i="3"/>
  <c r="O78" i="3"/>
  <c r="N78" i="3"/>
  <c r="M78" i="3"/>
  <c r="L78" i="3"/>
  <c r="K78" i="3"/>
  <c r="J78" i="3"/>
  <c r="I78" i="3"/>
  <c r="H78" i="3"/>
  <c r="G78" i="3"/>
  <c r="F78" i="3"/>
  <c r="E78" i="3"/>
  <c r="D78" i="3"/>
  <c r="BA76" i="3"/>
  <c r="AZ76" i="3"/>
  <c r="AY76" i="3"/>
  <c r="AY79" i="3" s="1"/>
  <c r="AX76" i="3"/>
  <c r="AW76" i="3"/>
  <c r="AV76" i="3"/>
  <c r="AU76" i="3"/>
  <c r="AT76" i="3"/>
  <c r="AS76" i="3"/>
  <c r="AR76" i="3"/>
  <c r="AQ76" i="3"/>
  <c r="AQ79" i="3" s="1"/>
  <c r="AP76" i="3"/>
  <c r="AO76" i="3"/>
  <c r="AN76" i="3"/>
  <c r="AM76" i="3"/>
  <c r="AM79" i="3" s="1"/>
  <c r="AL76" i="3"/>
  <c r="AK76" i="3"/>
  <c r="AJ76" i="3"/>
  <c r="AI76" i="3"/>
  <c r="AI79" i="3" s="1"/>
  <c r="AH76" i="3"/>
  <c r="AG76" i="3"/>
  <c r="AF76" i="3"/>
  <c r="AE76" i="3"/>
  <c r="AD76" i="3"/>
  <c r="AC76" i="3"/>
  <c r="AB76" i="3"/>
  <c r="AA76" i="3"/>
  <c r="AA79" i="3" s="1"/>
  <c r="Z76" i="3"/>
  <c r="Y76" i="3"/>
  <c r="X76" i="3"/>
  <c r="W76" i="3"/>
  <c r="W79" i="3" s="1"/>
  <c r="V76" i="3"/>
  <c r="U76" i="3"/>
  <c r="T76" i="3"/>
  <c r="S76" i="3"/>
  <c r="S79" i="3" s="1"/>
  <c r="R76" i="3"/>
  <c r="Q76" i="3"/>
  <c r="P76" i="3"/>
  <c r="O76" i="3"/>
  <c r="N76" i="3"/>
  <c r="M76" i="3"/>
  <c r="L76" i="3"/>
  <c r="K76" i="3"/>
  <c r="K79" i="3" s="1"/>
  <c r="J76" i="3"/>
  <c r="I76" i="3"/>
  <c r="H76" i="3"/>
  <c r="G76" i="3"/>
  <c r="G79" i="3" s="1"/>
  <c r="F76" i="3"/>
  <c r="E76" i="3"/>
  <c r="D76" i="3"/>
  <c r="BR76" i="3"/>
  <c r="BX75" i="3"/>
  <c r="BW75" i="3"/>
  <c r="BV75" i="3"/>
  <c r="BU75" i="3"/>
  <c r="BT75" i="3"/>
  <c r="BS75" i="3"/>
  <c r="BR75" i="3"/>
  <c r="BQ75" i="3"/>
  <c r="BP75" i="3"/>
  <c r="BO75" i="3"/>
  <c r="BN75" i="3"/>
  <c r="BM75" i="3"/>
  <c r="BX73" i="3"/>
  <c r="BW73" i="3"/>
  <c r="BW76" i="3" s="1"/>
  <c r="BV73" i="3"/>
  <c r="BU73" i="3"/>
  <c r="BU76" i="3" s="1"/>
  <c r="BT73" i="3"/>
  <c r="BS73" i="3"/>
  <c r="BR73" i="3"/>
  <c r="BQ73" i="3"/>
  <c r="BP73" i="3"/>
  <c r="BO73" i="3"/>
  <c r="BN73" i="3"/>
  <c r="BM73" i="3"/>
  <c r="BY75" i="3"/>
  <c r="BG72" i="3"/>
  <c r="BF72" i="3"/>
  <c r="BE72" i="3"/>
  <c r="BD72" i="3"/>
  <c r="BB72" i="3"/>
  <c r="BB85" i="3" s="1"/>
  <c r="BW70" i="3"/>
  <c r="BV70" i="3"/>
  <c r="BU70" i="3"/>
  <c r="BT70" i="3"/>
  <c r="BS70" i="3"/>
  <c r="BR70" i="3"/>
  <c r="BQ70" i="3"/>
  <c r="BP70" i="3"/>
  <c r="BN70" i="3"/>
  <c r="BM70" i="3"/>
  <c r="AX69" i="3"/>
  <c r="AX71" i="3" s="1"/>
  <c r="BZ69" i="3"/>
  <c r="B64" i="3"/>
  <c r="B63" i="3"/>
  <c r="BA63" i="3"/>
  <c r="AZ63" i="3"/>
  <c r="AY63" i="3"/>
  <c r="AX63" i="3"/>
  <c r="AW63" i="3"/>
  <c r="AV63" i="3"/>
  <c r="AU63" i="3"/>
  <c r="AT63" i="3"/>
  <c r="AS63" i="3"/>
  <c r="AR63" i="3"/>
  <c r="AQ63" i="3"/>
  <c r="AP63" i="3"/>
  <c r="AO63" i="3"/>
  <c r="AN63" i="3"/>
  <c r="AM63" i="3"/>
  <c r="AL63" i="3"/>
  <c r="AK63" i="3"/>
  <c r="AJ63" i="3"/>
  <c r="AI63" i="3"/>
  <c r="AH63" i="3"/>
  <c r="AG63" i="3"/>
  <c r="AF63" i="3"/>
  <c r="AE63" i="3"/>
  <c r="AD63" i="3"/>
  <c r="AC63" i="3"/>
  <c r="AB63" i="3"/>
  <c r="AA63" i="3"/>
  <c r="Z63" i="3"/>
  <c r="Y63" i="3"/>
  <c r="X63" i="3"/>
  <c r="W63" i="3"/>
  <c r="V63" i="3"/>
  <c r="U63" i="3"/>
  <c r="T63" i="3"/>
  <c r="S63" i="3"/>
  <c r="R63" i="3"/>
  <c r="Q63" i="3"/>
  <c r="P63" i="3"/>
  <c r="O63" i="3"/>
  <c r="N63" i="3"/>
  <c r="M63" i="3"/>
  <c r="L63" i="3"/>
  <c r="K63" i="3"/>
  <c r="J63" i="3"/>
  <c r="I63" i="3"/>
  <c r="H63" i="3"/>
  <c r="G63" i="3"/>
  <c r="F63" i="3"/>
  <c r="E63" i="3"/>
  <c r="D63" i="3"/>
  <c r="B61" i="3"/>
  <c r="B60" i="3"/>
  <c r="B59" i="3"/>
  <c r="B58" i="3"/>
  <c r="BZ59" i="3"/>
  <c r="AZ59" i="3"/>
  <c r="AV59" i="3"/>
  <c r="AW59" i="3" s="1"/>
  <c r="AR59" i="3"/>
  <c r="AS59" i="3" s="1"/>
  <c r="BW59" i="3" s="1"/>
  <c r="BW152" i="3" s="1"/>
  <c r="AN59" i="3"/>
  <c r="AO59" i="3" s="1"/>
  <c r="AP59" i="3" s="1"/>
  <c r="AJ59" i="3"/>
  <c r="AK59" i="3" s="1"/>
  <c r="AL59" i="3" s="1"/>
  <c r="AF59" i="3"/>
  <c r="AG59" i="3" s="1"/>
  <c r="AH59" i="3" s="1"/>
  <c r="AB59" i="3"/>
  <c r="X59" i="3"/>
  <c r="Y59" i="3" s="1"/>
  <c r="Z59" i="3" s="1"/>
  <c r="AA59" i="3" s="1"/>
  <c r="T59" i="3"/>
  <c r="U59" i="3" s="1"/>
  <c r="V59" i="3" s="1"/>
  <c r="W59" i="3" s="1"/>
  <c r="P59" i="3"/>
  <c r="Q59" i="3" s="1"/>
  <c r="R59" i="3" s="1"/>
  <c r="S59" i="3" s="1"/>
  <c r="L59" i="3"/>
  <c r="H59" i="3"/>
  <c r="I59" i="3" s="1"/>
  <c r="J59" i="3" s="1"/>
  <c r="K59" i="3" s="1"/>
  <c r="D59" i="3"/>
  <c r="E59" i="3" s="1"/>
  <c r="F59" i="3" s="1"/>
  <c r="D58" i="3"/>
  <c r="BM58" i="3" s="1"/>
  <c r="BM151" i="3" s="1"/>
  <c r="BZ56" i="3"/>
  <c r="BZ149" i="3" s="1"/>
  <c r="AZ56" i="3"/>
  <c r="BA56" i="3" s="1"/>
  <c r="AV56" i="3"/>
  <c r="AR56" i="3"/>
  <c r="AN56" i="3"/>
  <c r="AJ56" i="3"/>
  <c r="AK56" i="3" s="1"/>
  <c r="AL56" i="3" s="1"/>
  <c r="AM56" i="3" s="1"/>
  <c r="AF56" i="3"/>
  <c r="AB56" i="3"/>
  <c r="AC56" i="3" s="1"/>
  <c r="AD56" i="3" s="1"/>
  <c r="X56" i="3"/>
  <c r="Y56" i="3" s="1"/>
  <c r="Z56" i="3" s="1"/>
  <c r="AA56" i="3" s="1"/>
  <c r="T56" i="3"/>
  <c r="U56" i="3" s="1"/>
  <c r="V56" i="3" s="1"/>
  <c r="W56" i="3" s="1"/>
  <c r="P56" i="3"/>
  <c r="L56" i="3"/>
  <c r="H56" i="3"/>
  <c r="I56" i="3" s="1"/>
  <c r="J56" i="3" s="1"/>
  <c r="K56" i="3" s="1"/>
  <c r="G56" i="3"/>
  <c r="BM56" i="3" s="1"/>
  <c r="BM149" i="3" s="1"/>
  <c r="D56" i="3"/>
  <c r="E56" i="3" s="1"/>
  <c r="F56" i="3" s="1"/>
  <c r="B56" i="3"/>
  <c r="B54" i="3"/>
  <c r="B53" i="3"/>
  <c r="B52" i="3"/>
  <c r="B51" i="3"/>
  <c r="B50" i="3"/>
  <c r="B49" i="3"/>
  <c r="B48" i="3"/>
  <c r="B47" i="3"/>
  <c r="B46" i="3"/>
  <c r="B45" i="3"/>
  <c r="B44" i="3"/>
  <c r="AZ53" i="3"/>
  <c r="BA53" i="3" s="1"/>
  <c r="AV53" i="3"/>
  <c r="AW53" i="3" s="1"/>
  <c r="AX53" i="3" s="1"/>
  <c r="AY53" i="3" s="1"/>
  <c r="AR53" i="3"/>
  <c r="AS53" i="3" s="1"/>
  <c r="AT53" i="3" s="1"/>
  <c r="AU53" i="3" s="1"/>
  <c r="AN53" i="3"/>
  <c r="AO53" i="3" s="1"/>
  <c r="AP53" i="3" s="1"/>
  <c r="AQ53" i="3" s="1"/>
  <c r="AJ53" i="3"/>
  <c r="AK53" i="3" s="1"/>
  <c r="AL53" i="3" s="1"/>
  <c r="AF53" i="3"/>
  <c r="AG53" i="3" s="1"/>
  <c r="AH53" i="3" s="1"/>
  <c r="AI53" i="3" s="1"/>
  <c r="AB53" i="3"/>
  <c r="AC53" i="3" s="1"/>
  <c r="AD53" i="3" s="1"/>
  <c r="AE53" i="3" s="1"/>
  <c r="X53" i="3"/>
  <c r="Y53" i="3" s="1"/>
  <c r="Z53" i="3" s="1"/>
  <c r="AA53" i="3" s="1"/>
  <c r="T53" i="3"/>
  <c r="P53" i="3"/>
  <c r="Q53" i="3" s="1"/>
  <c r="R53" i="3" s="1"/>
  <c r="S53" i="3" s="1"/>
  <c r="L53" i="3"/>
  <c r="M53" i="3" s="1"/>
  <c r="N53" i="3" s="1"/>
  <c r="O53" i="3" s="1"/>
  <c r="H53" i="3"/>
  <c r="D53" i="3"/>
  <c r="BZ52" i="3"/>
  <c r="BZ145" i="3" s="1"/>
  <c r="BZ51" i="3"/>
  <c r="BZ144" i="3" s="1"/>
  <c r="BZ50" i="3"/>
  <c r="BZ143" i="3" s="1"/>
  <c r="BZ49" i="3"/>
  <c r="BZ142" i="3" s="1"/>
  <c r="BZ48" i="3"/>
  <c r="BZ141" i="3" s="1"/>
  <c r="BZ47" i="3"/>
  <c r="BZ140" i="3" s="1"/>
  <c r="AZ52" i="3"/>
  <c r="AV52" i="3"/>
  <c r="AW52" i="3" s="1"/>
  <c r="AX52" i="3" s="1"/>
  <c r="AY52" i="3" s="1"/>
  <c r="AR52" i="3"/>
  <c r="AS52" i="3" s="1"/>
  <c r="AT52" i="3" s="1"/>
  <c r="AU52" i="3" s="1"/>
  <c r="AN52" i="3"/>
  <c r="AJ52" i="3"/>
  <c r="AK52" i="3" s="1"/>
  <c r="AL52" i="3" s="1"/>
  <c r="AM52" i="3" s="1"/>
  <c r="AF52" i="3"/>
  <c r="AG52" i="3" s="1"/>
  <c r="AH52" i="3" s="1"/>
  <c r="AI52" i="3" s="1"/>
  <c r="AB52" i="3"/>
  <c r="X52" i="3"/>
  <c r="T52" i="3"/>
  <c r="U52" i="3" s="1"/>
  <c r="V52" i="3" s="1"/>
  <c r="W52" i="3" s="1"/>
  <c r="P52" i="3"/>
  <c r="Q52" i="3" s="1"/>
  <c r="R52" i="3" s="1"/>
  <c r="S52" i="3" s="1"/>
  <c r="BP52" i="3" s="1"/>
  <c r="BP145" i="3" s="1"/>
  <c r="L52" i="3"/>
  <c r="H52" i="3"/>
  <c r="D52" i="3"/>
  <c r="AZ51" i="3"/>
  <c r="AV51" i="3"/>
  <c r="AW51" i="3" s="1"/>
  <c r="AX51" i="3" s="1"/>
  <c r="AY51" i="3" s="1"/>
  <c r="AR51" i="3"/>
  <c r="AN51" i="3"/>
  <c r="AO51" i="3" s="1"/>
  <c r="AP51" i="3" s="1"/>
  <c r="AQ51" i="3" s="1"/>
  <c r="AJ51" i="3"/>
  <c r="AK51" i="3" s="1"/>
  <c r="AF51" i="3"/>
  <c r="AB51" i="3"/>
  <c r="AC51" i="3" s="1"/>
  <c r="AD51" i="3" s="1"/>
  <c r="X51" i="3"/>
  <c r="Y51" i="3" s="1"/>
  <c r="Z51" i="3" s="1"/>
  <c r="AA51" i="3" s="1"/>
  <c r="T51" i="3"/>
  <c r="P51" i="3"/>
  <c r="Q51" i="3" s="1"/>
  <c r="R51" i="3" s="1"/>
  <c r="S51" i="3" s="1"/>
  <c r="L51" i="3"/>
  <c r="M51" i="3" s="1"/>
  <c r="N51" i="3" s="1"/>
  <c r="O51" i="3" s="1"/>
  <c r="H51" i="3"/>
  <c r="I51" i="3" s="1"/>
  <c r="D51" i="3"/>
  <c r="E51" i="3" s="1"/>
  <c r="F51" i="3" s="1"/>
  <c r="G51" i="3" s="1"/>
  <c r="AZ50" i="3"/>
  <c r="BA50" i="3" s="1"/>
  <c r="AV50" i="3"/>
  <c r="AW50" i="3" s="1"/>
  <c r="AX50" i="3" s="1"/>
  <c r="AY50" i="3" s="1"/>
  <c r="AR50" i="3"/>
  <c r="AN50" i="3"/>
  <c r="AJ50" i="3"/>
  <c r="AK50" i="3" s="1"/>
  <c r="AL50" i="3" s="1"/>
  <c r="AF50" i="3"/>
  <c r="AG50" i="3" s="1"/>
  <c r="AH50" i="3" s="1"/>
  <c r="AI50" i="3" s="1"/>
  <c r="AB50" i="3"/>
  <c r="AC50" i="3" s="1"/>
  <c r="AD50" i="3" s="1"/>
  <c r="X50" i="3"/>
  <c r="T50" i="3"/>
  <c r="U50" i="3" s="1"/>
  <c r="V50" i="3" s="1"/>
  <c r="W50" i="3" s="1"/>
  <c r="P50" i="3"/>
  <c r="L50" i="3"/>
  <c r="M50" i="3" s="1"/>
  <c r="N50" i="3" s="1"/>
  <c r="O50" i="3" s="1"/>
  <c r="H50" i="3"/>
  <c r="D50" i="3"/>
  <c r="E50" i="3" s="1"/>
  <c r="F50" i="3" s="1"/>
  <c r="G50" i="3" s="1"/>
  <c r="AZ49" i="3"/>
  <c r="AV49" i="3"/>
  <c r="AR49" i="3"/>
  <c r="AS49" i="3" s="1"/>
  <c r="AT49" i="3" s="1"/>
  <c r="AU49" i="3" s="1"/>
  <c r="AN49" i="3"/>
  <c r="AO49" i="3" s="1"/>
  <c r="AP49" i="3" s="1"/>
  <c r="AQ49" i="3" s="1"/>
  <c r="AJ49" i="3"/>
  <c r="AK49" i="3" s="1"/>
  <c r="AL49" i="3" s="1"/>
  <c r="AM49" i="3" s="1"/>
  <c r="AF49" i="3"/>
  <c r="AB49" i="3"/>
  <c r="AC49" i="3" s="1"/>
  <c r="AD49" i="3" s="1"/>
  <c r="AE49" i="3" s="1"/>
  <c r="X49" i="3"/>
  <c r="Y49" i="3" s="1"/>
  <c r="Z49" i="3" s="1"/>
  <c r="AA49" i="3" s="1"/>
  <c r="T49" i="3"/>
  <c r="P49" i="3"/>
  <c r="L49" i="3"/>
  <c r="M49" i="3" s="1"/>
  <c r="N49" i="3" s="1"/>
  <c r="O49" i="3" s="1"/>
  <c r="H49" i="3"/>
  <c r="D49" i="3"/>
  <c r="E49" i="3" s="1"/>
  <c r="F49" i="3" s="1"/>
  <c r="G49" i="3" s="1"/>
  <c r="AZ48" i="3"/>
  <c r="AV48" i="3"/>
  <c r="AR48" i="3"/>
  <c r="AS48" i="3" s="1"/>
  <c r="AT48" i="3" s="1"/>
  <c r="AU48" i="3" s="1"/>
  <c r="AN48" i="3"/>
  <c r="AJ48" i="3"/>
  <c r="AK48" i="3" s="1"/>
  <c r="AL48" i="3" s="1"/>
  <c r="AM48" i="3" s="1"/>
  <c r="AF48" i="3"/>
  <c r="AB48" i="3"/>
  <c r="X48" i="3"/>
  <c r="T48" i="3"/>
  <c r="U48" i="3" s="1"/>
  <c r="V48" i="3" s="1"/>
  <c r="P48" i="3"/>
  <c r="L48" i="3"/>
  <c r="H48" i="3"/>
  <c r="D48" i="3"/>
  <c r="AZ47" i="3"/>
  <c r="BA47" i="3" s="1"/>
  <c r="AV47" i="3"/>
  <c r="AW47" i="3" s="1"/>
  <c r="AX47" i="3" s="1"/>
  <c r="AY47" i="3" s="1"/>
  <c r="AR47" i="3"/>
  <c r="AN47" i="3"/>
  <c r="AO47" i="3" s="1"/>
  <c r="AP47" i="3" s="1"/>
  <c r="AQ47" i="3" s="1"/>
  <c r="AJ47" i="3"/>
  <c r="AK47" i="3" s="1"/>
  <c r="AL47" i="3" s="1"/>
  <c r="AF47" i="3"/>
  <c r="AG47" i="3" s="1"/>
  <c r="AH47" i="3" s="1"/>
  <c r="AI47" i="3" s="1"/>
  <c r="AB47" i="3"/>
  <c r="AC47" i="3" s="1"/>
  <c r="AD47" i="3" s="1"/>
  <c r="AE47" i="3" s="1"/>
  <c r="X47" i="3"/>
  <c r="T47" i="3"/>
  <c r="U47" i="3" s="1"/>
  <c r="V47" i="3" s="1"/>
  <c r="W47" i="3" s="1"/>
  <c r="P47" i="3"/>
  <c r="Q47" i="3" s="1"/>
  <c r="R47" i="3" s="1"/>
  <c r="S47" i="3" s="1"/>
  <c r="L47" i="3"/>
  <c r="H47" i="3"/>
  <c r="I47" i="3" s="1"/>
  <c r="J47" i="3" s="1"/>
  <c r="K47" i="3" s="1"/>
  <c r="D47" i="3"/>
  <c r="AZ46" i="3"/>
  <c r="AV46" i="3"/>
  <c r="AW46" i="3" s="1"/>
  <c r="AX46" i="3" s="1"/>
  <c r="AY46" i="3" s="1"/>
  <c r="BX46" i="3" s="1"/>
  <c r="BX139" i="3" s="1"/>
  <c r="AR46" i="3"/>
  <c r="AS46" i="3" s="1"/>
  <c r="AT46" i="3" s="1"/>
  <c r="AU46" i="3" s="1"/>
  <c r="AN46" i="3"/>
  <c r="AO46" i="3" s="1"/>
  <c r="AP46" i="3" s="1"/>
  <c r="AQ46" i="3" s="1"/>
  <c r="AJ46" i="3"/>
  <c r="AK46" i="3" s="1"/>
  <c r="AL46" i="3" s="1"/>
  <c r="AM46" i="3" s="1"/>
  <c r="BU46" i="3" s="1"/>
  <c r="BU139" i="3" s="1"/>
  <c r="AF46" i="3"/>
  <c r="AG46" i="3" s="1"/>
  <c r="AH46" i="3" s="1"/>
  <c r="AI46" i="3" s="1"/>
  <c r="AB46" i="3"/>
  <c r="X46" i="3"/>
  <c r="T46" i="3"/>
  <c r="U46" i="3" s="1"/>
  <c r="V46" i="3" s="1"/>
  <c r="W46" i="3" s="1"/>
  <c r="P46" i="3"/>
  <c r="Q46" i="3" s="1"/>
  <c r="R46" i="3" s="1"/>
  <c r="S46" i="3" s="1"/>
  <c r="BP46" i="3" s="1"/>
  <c r="BP139" i="3" s="1"/>
  <c r="L46" i="3"/>
  <c r="M46" i="3" s="1"/>
  <c r="N46" i="3" s="1"/>
  <c r="O46" i="3" s="1"/>
  <c r="H46" i="3"/>
  <c r="D46" i="3"/>
  <c r="E46" i="3" s="1"/>
  <c r="F46" i="3" s="1"/>
  <c r="G46" i="3" s="1"/>
  <c r="BM46" i="3" s="1"/>
  <c r="BM139" i="3" s="1"/>
  <c r="BZ45" i="3"/>
  <c r="BZ138" i="3" s="1"/>
  <c r="AZ45" i="3"/>
  <c r="AV45" i="3"/>
  <c r="AW45" i="3" s="1"/>
  <c r="AR45" i="3"/>
  <c r="AN45" i="3"/>
  <c r="AJ45" i="3"/>
  <c r="AF45" i="3"/>
  <c r="AG45" i="3" s="1"/>
  <c r="AB45" i="3"/>
  <c r="AC45" i="3" s="1"/>
  <c r="X45" i="3"/>
  <c r="Y45" i="3" s="1"/>
  <c r="T45" i="3"/>
  <c r="U45" i="3" s="1"/>
  <c r="V45" i="3" s="1"/>
  <c r="P45" i="3"/>
  <c r="Q45" i="3" s="1"/>
  <c r="R45" i="3" s="1"/>
  <c r="L45" i="3"/>
  <c r="H45" i="3"/>
  <c r="I45" i="3" s="1"/>
  <c r="D45" i="3"/>
  <c r="E45" i="3" s="1"/>
  <c r="F45" i="3" s="1"/>
  <c r="B42" i="3"/>
  <c r="B41" i="3"/>
  <c r="B40" i="3"/>
  <c r="B39" i="3"/>
  <c r="B38" i="3"/>
  <c r="B37" i="3"/>
  <c r="B36" i="3"/>
  <c r="B35" i="3"/>
  <c r="B34" i="3"/>
  <c r="B33" i="3"/>
  <c r="B32" i="3"/>
  <c r="AZ41" i="3"/>
  <c r="BA41" i="3" s="1"/>
  <c r="AV41" i="3"/>
  <c r="AW41" i="3" s="1"/>
  <c r="AX41" i="3" s="1"/>
  <c r="AY41" i="3" s="1"/>
  <c r="AR41" i="3"/>
  <c r="AS41" i="3" s="1"/>
  <c r="AT41" i="3" s="1"/>
  <c r="AU41" i="3" s="1"/>
  <c r="AN41" i="3"/>
  <c r="AJ41" i="3"/>
  <c r="AK41" i="3" s="1"/>
  <c r="AL41" i="3" s="1"/>
  <c r="AF41" i="3"/>
  <c r="AG41" i="3" s="1"/>
  <c r="AH41" i="3" s="1"/>
  <c r="AI41" i="3" s="1"/>
  <c r="AB41" i="3"/>
  <c r="AC41" i="3" s="1"/>
  <c r="AD41" i="3" s="1"/>
  <c r="X41" i="3"/>
  <c r="T41" i="3"/>
  <c r="U41" i="3" s="1"/>
  <c r="V41" i="3" s="1"/>
  <c r="W41" i="3" s="1"/>
  <c r="P41" i="3"/>
  <c r="Q41" i="3" s="1"/>
  <c r="R41" i="3" s="1"/>
  <c r="S41" i="3" s="1"/>
  <c r="L41" i="3"/>
  <c r="M41" i="3" s="1"/>
  <c r="N41" i="3" s="1"/>
  <c r="O41" i="3" s="1"/>
  <c r="H41" i="3"/>
  <c r="D41" i="3"/>
  <c r="E41" i="3" s="1"/>
  <c r="F41" i="3" s="1"/>
  <c r="BZ40" i="3"/>
  <c r="BZ133" i="3" s="1"/>
  <c r="BZ39" i="3"/>
  <c r="BZ132" i="3" s="1"/>
  <c r="BZ38" i="3"/>
  <c r="BZ131" i="3" s="1"/>
  <c r="BZ37" i="3"/>
  <c r="BZ130" i="3" s="1"/>
  <c r="BZ36" i="3"/>
  <c r="BZ129" i="3" s="1"/>
  <c r="BZ35" i="3"/>
  <c r="BZ128" i="3" s="1"/>
  <c r="BZ34" i="3"/>
  <c r="BZ127" i="3" s="1"/>
  <c r="AZ40" i="3"/>
  <c r="BA40" i="3" s="1"/>
  <c r="AV40" i="3"/>
  <c r="AR40" i="3"/>
  <c r="AS40" i="3" s="1"/>
  <c r="AT40" i="3" s="1"/>
  <c r="AU40" i="3" s="1"/>
  <c r="AN40" i="3"/>
  <c r="AJ40" i="3"/>
  <c r="AK40" i="3" s="1"/>
  <c r="AL40" i="3" s="1"/>
  <c r="AM40" i="3" s="1"/>
  <c r="AF40" i="3"/>
  <c r="AB40" i="3"/>
  <c r="AC40" i="3" s="1"/>
  <c r="AD40" i="3" s="1"/>
  <c r="X40" i="3"/>
  <c r="Y40" i="3" s="1"/>
  <c r="Z40" i="3" s="1"/>
  <c r="AA40" i="3" s="1"/>
  <c r="T40" i="3"/>
  <c r="U40" i="3" s="1"/>
  <c r="V40" i="3" s="1"/>
  <c r="W40" i="3" s="1"/>
  <c r="P40" i="3"/>
  <c r="L40" i="3"/>
  <c r="M40" i="3" s="1"/>
  <c r="N40" i="3" s="1"/>
  <c r="H40" i="3"/>
  <c r="D40" i="3"/>
  <c r="E40" i="3" s="1"/>
  <c r="F40" i="3" s="1"/>
  <c r="G40" i="3" s="1"/>
  <c r="AZ39" i="3"/>
  <c r="BA39" i="3" s="1"/>
  <c r="BY39" i="3" s="1"/>
  <c r="BY132" i="3" s="1"/>
  <c r="AV39" i="3"/>
  <c r="AR39" i="3"/>
  <c r="AS39" i="3" s="1"/>
  <c r="AT39" i="3" s="1"/>
  <c r="AU39" i="3" s="1"/>
  <c r="AN39" i="3"/>
  <c r="AO39" i="3" s="1"/>
  <c r="AP39" i="3" s="1"/>
  <c r="AQ39" i="3" s="1"/>
  <c r="AJ39" i="3"/>
  <c r="AK39" i="3" s="1"/>
  <c r="AL39" i="3" s="1"/>
  <c r="AM39" i="3" s="1"/>
  <c r="AF39" i="3"/>
  <c r="AB39" i="3"/>
  <c r="AC39" i="3" s="1"/>
  <c r="AD39" i="3" s="1"/>
  <c r="AE39" i="3" s="1"/>
  <c r="X39" i="3"/>
  <c r="Y39" i="3" s="1"/>
  <c r="Z39" i="3" s="1"/>
  <c r="AA39" i="3" s="1"/>
  <c r="T39" i="3"/>
  <c r="U39" i="3" s="1"/>
  <c r="V39" i="3" s="1"/>
  <c r="W39" i="3" s="1"/>
  <c r="P39" i="3"/>
  <c r="L39" i="3"/>
  <c r="H39" i="3"/>
  <c r="I39" i="3" s="1"/>
  <c r="J39" i="3" s="1"/>
  <c r="K39" i="3" s="1"/>
  <c r="D39" i="3"/>
  <c r="E39" i="3" s="1"/>
  <c r="AZ38" i="3"/>
  <c r="BA38" i="3" s="1"/>
  <c r="AV38" i="3"/>
  <c r="AR38" i="3"/>
  <c r="AN38" i="3"/>
  <c r="AO38" i="3" s="1"/>
  <c r="AP38" i="3" s="1"/>
  <c r="AQ38" i="3" s="1"/>
  <c r="AJ38" i="3"/>
  <c r="AK38" i="3" s="1"/>
  <c r="AL38" i="3" s="1"/>
  <c r="AM38" i="3" s="1"/>
  <c r="AF38" i="3"/>
  <c r="AB38" i="3"/>
  <c r="X38" i="3"/>
  <c r="Y38" i="3" s="1"/>
  <c r="Z38" i="3" s="1"/>
  <c r="AA38" i="3" s="1"/>
  <c r="T38" i="3"/>
  <c r="U38" i="3" s="1"/>
  <c r="V38" i="3" s="1"/>
  <c r="W38" i="3" s="1"/>
  <c r="P38" i="3"/>
  <c r="L38" i="3"/>
  <c r="M38" i="3" s="1"/>
  <c r="N38" i="3" s="1"/>
  <c r="O38" i="3" s="1"/>
  <c r="H38" i="3"/>
  <c r="I38" i="3" s="1"/>
  <c r="J38" i="3" s="1"/>
  <c r="K38" i="3" s="1"/>
  <c r="D38" i="3"/>
  <c r="E38" i="3" s="1"/>
  <c r="F38" i="3" s="1"/>
  <c r="G38" i="3" s="1"/>
  <c r="AZ37" i="3"/>
  <c r="BA37" i="3" s="1"/>
  <c r="AV37" i="3"/>
  <c r="AW37" i="3" s="1"/>
  <c r="AX37" i="3" s="1"/>
  <c r="AY37" i="3" s="1"/>
  <c r="AR37" i="3"/>
  <c r="AN37" i="3"/>
  <c r="AO37" i="3" s="1"/>
  <c r="AP37" i="3" s="1"/>
  <c r="AQ37" i="3" s="1"/>
  <c r="AJ37" i="3"/>
  <c r="AF37" i="3"/>
  <c r="AG37" i="3" s="1"/>
  <c r="AH37" i="3" s="1"/>
  <c r="AI37" i="3" s="1"/>
  <c r="AB37" i="3"/>
  <c r="X37" i="3"/>
  <c r="Y37" i="3" s="1"/>
  <c r="Z37" i="3" s="1"/>
  <c r="AA37" i="3" s="1"/>
  <c r="T37" i="3"/>
  <c r="P37" i="3"/>
  <c r="Q37" i="3" s="1"/>
  <c r="R37" i="3" s="1"/>
  <c r="S37" i="3" s="1"/>
  <c r="L37" i="3"/>
  <c r="M37" i="3" s="1"/>
  <c r="H37" i="3"/>
  <c r="I37" i="3" s="1"/>
  <c r="J37" i="3" s="1"/>
  <c r="K37" i="3" s="1"/>
  <c r="D37" i="3"/>
  <c r="AZ36" i="3"/>
  <c r="BA36" i="3" s="1"/>
  <c r="AV36" i="3"/>
  <c r="AR36" i="3"/>
  <c r="AS36" i="3" s="1"/>
  <c r="AT36" i="3" s="1"/>
  <c r="AU36" i="3" s="1"/>
  <c r="AN36" i="3"/>
  <c r="AO36" i="3" s="1"/>
  <c r="AP36" i="3" s="1"/>
  <c r="AQ36" i="3" s="1"/>
  <c r="AL36" i="3"/>
  <c r="AJ36" i="3"/>
  <c r="AK36" i="3" s="1"/>
  <c r="AF36" i="3"/>
  <c r="AB36" i="3"/>
  <c r="AC36" i="3" s="1"/>
  <c r="AD36" i="3" s="1"/>
  <c r="AE36" i="3" s="1"/>
  <c r="AA36" i="3"/>
  <c r="BR36" i="3" s="1"/>
  <c r="BR129" i="3" s="1"/>
  <c r="X36" i="3"/>
  <c r="Y36" i="3" s="1"/>
  <c r="Z36" i="3" s="1"/>
  <c r="T36" i="3"/>
  <c r="U36" i="3" s="1"/>
  <c r="V36" i="3" s="1"/>
  <c r="W36" i="3" s="1"/>
  <c r="P36" i="3"/>
  <c r="L36" i="3"/>
  <c r="M36" i="3" s="1"/>
  <c r="N36" i="3" s="1"/>
  <c r="O36" i="3" s="1"/>
  <c r="H36" i="3"/>
  <c r="I36" i="3" s="1"/>
  <c r="J36" i="3" s="1"/>
  <c r="D36" i="3"/>
  <c r="E36" i="3" s="1"/>
  <c r="F36" i="3" s="1"/>
  <c r="G36" i="3" s="1"/>
  <c r="AZ35" i="3"/>
  <c r="AV35" i="3"/>
  <c r="AW35" i="3" s="1"/>
  <c r="AX35" i="3" s="1"/>
  <c r="AY35" i="3" s="1"/>
  <c r="AR35" i="3"/>
  <c r="AS35" i="3" s="1"/>
  <c r="AT35" i="3" s="1"/>
  <c r="AU35" i="3" s="1"/>
  <c r="AN35" i="3"/>
  <c r="AJ35" i="3"/>
  <c r="AK35" i="3" s="1"/>
  <c r="AL35" i="3" s="1"/>
  <c r="AM35" i="3" s="1"/>
  <c r="AF35" i="3"/>
  <c r="AB35" i="3"/>
  <c r="AC35" i="3" s="1"/>
  <c r="X35" i="3"/>
  <c r="T35" i="3"/>
  <c r="U35" i="3" s="1"/>
  <c r="V35" i="3" s="1"/>
  <c r="W35" i="3" s="1"/>
  <c r="P35" i="3"/>
  <c r="L35" i="3"/>
  <c r="M35" i="3" s="1"/>
  <c r="H35" i="3"/>
  <c r="D35" i="3"/>
  <c r="AZ34" i="3"/>
  <c r="AV34" i="3"/>
  <c r="AU34" i="3"/>
  <c r="AR34" i="3"/>
  <c r="AS34" i="3" s="1"/>
  <c r="AT34" i="3" s="1"/>
  <c r="AN34" i="3"/>
  <c r="AO34" i="3" s="1"/>
  <c r="AP34" i="3" s="1"/>
  <c r="AQ34" i="3" s="1"/>
  <c r="AJ34" i="3"/>
  <c r="AK34" i="3" s="1"/>
  <c r="AL34" i="3" s="1"/>
  <c r="AM34" i="3" s="1"/>
  <c r="AF34" i="3"/>
  <c r="AB34" i="3"/>
  <c r="AC34" i="3" s="1"/>
  <c r="AD34" i="3" s="1"/>
  <c r="AE34" i="3" s="1"/>
  <c r="X34" i="3"/>
  <c r="Y34" i="3" s="1"/>
  <c r="Z34" i="3" s="1"/>
  <c r="AA34" i="3" s="1"/>
  <c r="T34" i="3"/>
  <c r="P34" i="3"/>
  <c r="L34" i="3"/>
  <c r="M34" i="3" s="1"/>
  <c r="N34" i="3" s="1"/>
  <c r="H34" i="3"/>
  <c r="I34" i="3" s="1"/>
  <c r="J34" i="3" s="1"/>
  <c r="K34" i="3" s="1"/>
  <c r="D34" i="3"/>
  <c r="BG33" i="3"/>
  <c r="BF33" i="3"/>
  <c r="BE33" i="3"/>
  <c r="AZ33" i="3"/>
  <c r="BA33" i="3" s="1"/>
  <c r="BA172" i="2" s="1"/>
  <c r="AV33" i="3"/>
  <c r="AV172" i="2" s="1"/>
  <c r="AR33" i="3"/>
  <c r="AR172" i="2" s="1"/>
  <c r="AN33" i="3"/>
  <c r="AN172" i="2" s="1"/>
  <c r="AJ33" i="3"/>
  <c r="AF33" i="3"/>
  <c r="AB33" i="3"/>
  <c r="X33" i="3"/>
  <c r="T33" i="3"/>
  <c r="P33" i="3"/>
  <c r="L33" i="3"/>
  <c r="H33" i="3"/>
  <c r="D33" i="3"/>
  <c r="B30" i="3"/>
  <c r="AZ29" i="3"/>
  <c r="BA29" i="3" s="1"/>
  <c r="AV29" i="3"/>
  <c r="AR29" i="3"/>
  <c r="AS29" i="3" s="1"/>
  <c r="AT29" i="3" s="1"/>
  <c r="AU29" i="3" s="1"/>
  <c r="AN29" i="3"/>
  <c r="AJ29" i="3"/>
  <c r="AK29" i="3" s="1"/>
  <c r="AL29" i="3" s="1"/>
  <c r="AM29" i="3" s="1"/>
  <c r="AF29" i="3"/>
  <c r="AG29" i="3" s="1"/>
  <c r="AH29" i="3" s="1"/>
  <c r="AI29" i="3" s="1"/>
  <c r="AB29" i="3"/>
  <c r="X29" i="3"/>
  <c r="T29" i="3"/>
  <c r="U29" i="3" s="1"/>
  <c r="V29" i="3" s="1"/>
  <c r="W29" i="3" s="1"/>
  <c r="P29" i="3"/>
  <c r="L29" i="3"/>
  <c r="H29" i="3"/>
  <c r="D29" i="3"/>
  <c r="E29" i="3" s="1"/>
  <c r="F29" i="3" s="1"/>
  <c r="G29" i="3" s="1"/>
  <c r="BZ28" i="3"/>
  <c r="BZ121" i="3" s="1"/>
  <c r="BS28" i="3"/>
  <c r="BS121" i="3" s="1"/>
  <c r="BR28" i="3"/>
  <c r="BR121" i="3" s="1"/>
  <c r="BA28" i="3"/>
  <c r="AZ28" i="3"/>
  <c r="AW28" i="3"/>
  <c r="AV28" i="3"/>
  <c r="AS28" i="3"/>
  <c r="AR28" i="3"/>
  <c r="AO28" i="3"/>
  <c r="AN28" i="3"/>
  <c r="AK28" i="3"/>
  <c r="AL28" i="3" s="1"/>
  <c r="AJ28" i="3"/>
  <c r="AG28" i="3"/>
  <c r="AF28" i="3"/>
  <c r="BZ27" i="3"/>
  <c r="BZ120" i="3" s="1"/>
  <c r="BV27" i="3"/>
  <c r="BV120" i="3" s="1"/>
  <c r="BU27" i="3"/>
  <c r="BU120" i="3" s="1"/>
  <c r="BA27" i="3"/>
  <c r="AZ27" i="3"/>
  <c r="BY27" i="3" s="1"/>
  <c r="BY120" i="3" s="1"/>
  <c r="AW27" i="3"/>
  <c r="AV27" i="3"/>
  <c r="AS27" i="3"/>
  <c r="AR27" i="3"/>
  <c r="B26" i="3"/>
  <c r="B25" i="3"/>
  <c r="B24" i="3"/>
  <c r="B23" i="3"/>
  <c r="B22" i="3"/>
  <c r="B21" i="3"/>
  <c r="B20" i="3"/>
  <c r="B19" i="3"/>
  <c r="AZ26" i="3"/>
  <c r="BA26" i="3" s="1"/>
  <c r="AV26" i="3"/>
  <c r="AW26" i="3" s="1"/>
  <c r="AX26" i="3" s="1"/>
  <c r="AY26" i="3" s="1"/>
  <c r="AR26" i="3"/>
  <c r="AS26" i="3" s="1"/>
  <c r="AT26" i="3" s="1"/>
  <c r="AU26" i="3" s="1"/>
  <c r="AO26" i="3"/>
  <c r="AP26" i="3" s="1"/>
  <c r="AQ26" i="3" s="1"/>
  <c r="AN26" i="3"/>
  <c r="AJ26" i="3"/>
  <c r="AK26" i="3" s="1"/>
  <c r="AL26" i="3" s="1"/>
  <c r="AM26" i="3" s="1"/>
  <c r="AF26" i="3"/>
  <c r="AG26" i="3" s="1"/>
  <c r="AB26" i="3"/>
  <c r="AC26" i="3" s="1"/>
  <c r="AD26" i="3" s="1"/>
  <c r="AE26" i="3" s="1"/>
  <c r="X26" i="3"/>
  <c r="Y26" i="3" s="1"/>
  <c r="Z26" i="3" s="1"/>
  <c r="AA26" i="3" s="1"/>
  <c r="T26" i="3"/>
  <c r="U26" i="3" s="1"/>
  <c r="V26" i="3" s="1"/>
  <c r="W26" i="3" s="1"/>
  <c r="P26" i="3"/>
  <c r="Q26" i="3" s="1"/>
  <c r="L26" i="3"/>
  <c r="M26" i="3" s="1"/>
  <c r="N26" i="3" s="1"/>
  <c r="O26" i="3" s="1"/>
  <c r="H26" i="3"/>
  <c r="I26" i="3" s="1"/>
  <c r="J26" i="3" s="1"/>
  <c r="K26" i="3" s="1"/>
  <c r="D26" i="3"/>
  <c r="E26" i="3" s="1"/>
  <c r="F26" i="3" s="1"/>
  <c r="G26" i="3" s="1"/>
  <c r="AZ25" i="3"/>
  <c r="BA25" i="3" s="1"/>
  <c r="AV25" i="3"/>
  <c r="AW25" i="3" s="1"/>
  <c r="AR25" i="3"/>
  <c r="AS25" i="3" s="1"/>
  <c r="AT25" i="3" s="1"/>
  <c r="AU25" i="3" s="1"/>
  <c r="AN25" i="3"/>
  <c r="AO25" i="3" s="1"/>
  <c r="AJ25" i="3"/>
  <c r="AK25" i="3" s="1"/>
  <c r="AL25" i="3" s="1"/>
  <c r="AM25" i="3" s="1"/>
  <c r="AF25" i="3"/>
  <c r="AG25" i="3" s="1"/>
  <c r="AB25" i="3"/>
  <c r="AC25" i="3" s="1"/>
  <c r="AD25" i="3" s="1"/>
  <c r="AE25" i="3" s="1"/>
  <c r="X25" i="3"/>
  <c r="Y25" i="3" s="1"/>
  <c r="T25" i="3"/>
  <c r="U25" i="3" s="1"/>
  <c r="V25" i="3" s="1"/>
  <c r="W25" i="3" s="1"/>
  <c r="Q25" i="3"/>
  <c r="P25" i="3"/>
  <c r="L25" i="3"/>
  <c r="M25" i="3" s="1"/>
  <c r="N25" i="3" s="1"/>
  <c r="O25" i="3" s="1"/>
  <c r="H25" i="3"/>
  <c r="I25" i="3" s="1"/>
  <c r="D25" i="3"/>
  <c r="E25" i="3" s="1"/>
  <c r="F25" i="3" s="1"/>
  <c r="G25" i="3" s="1"/>
  <c r="AZ24" i="3"/>
  <c r="BA24" i="3" s="1"/>
  <c r="AV24" i="3"/>
  <c r="AW24" i="3" s="1"/>
  <c r="AX24" i="3" s="1"/>
  <c r="AY24" i="3" s="1"/>
  <c r="AR24" i="3"/>
  <c r="AS24" i="3" s="1"/>
  <c r="AN24" i="3"/>
  <c r="AO24" i="3" s="1"/>
  <c r="AP24" i="3" s="1"/>
  <c r="AQ24" i="3" s="1"/>
  <c r="AJ24" i="3"/>
  <c r="AK24" i="3" s="1"/>
  <c r="AL24" i="3" s="1"/>
  <c r="AF24" i="3"/>
  <c r="AG24" i="3" s="1"/>
  <c r="AH24" i="3" s="1"/>
  <c r="AI24" i="3" s="1"/>
  <c r="AB24" i="3"/>
  <c r="AC24" i="3" s="1"/>
  <c r="X24" i="3"/>
  <c r="Y24" i="3" s="1"/>
  <c r="T24" i="3"/>
  <c r="U24" i="3" s="1"/>
  <c r="V24" i="3" s="1"/>
  <c r="W24" i="3" s="1"/>
  <c r="P24" i="3"/>
  <c r="Q24" i="3" s="1"/>
  <c r="R24" i="3" s="1"/>
  <c r="S24" i="3" s="1"/>
  <c r="L24" i="3"/>
  <c r="M24" i="3" s="1"/>
  <c r="N24" i="3" s="1"/>
  <c r="O24" i="3" s="1"/>
  <c r="H24" i="3"/>
  <c r="I24" i="3" s="1"/>
  <c r="D24" i="3"/>
  <c r="E24" i="3" s="1"/>
  <c r="AZ23" i="3"/>
  <c r="BA23" i="3" s="1"/>
  <c r="AV23" i="3"/>
  <c r="AW23" i="3" s="1"/>
  <c r="AR23" i="3"/>
  <c r="AS23" i="3" s="1"/>
  <c r="AT23" i="3" s="1"/>
  <c r="AU23" i="3" s="1"/>
  <c r="AN23" i="3"/>
  <c r="AO23" i="3" s="1"/>
  <c r="AP23" i="3" s="1"/>
  <c r="AQ23" i="3" s="1"/>
  <c r="AJ23" i="3"/>
  <c r="AK23" i="3" s="1"/>
  <c r="AL23" i="3" s="1"/>
  <c r="AM23" i="3" s="1"/>
  <c r="AF23" i="3"/>
  <c r="AG23" i="3" s="1"/>
  <c r="AB23" i="3"/>
  <c r="AC23" i="3" s="1"/>
  <c r="AD23" i="3" s="1"/>
  <c r="AE23" i="3" s="1"/>
  <c r="X23" i="3"/>
  <c r="Y23" i="3" s="1"/>
  <c r="T23" i="3"/>
  <c r="U23" i="3" s="1"/>
  <c r="V23" i="3" s="1"/>
  <c r="W23" i="3" s="1"/>
  <c r="P23" i="3"/>
  <c r="Q23" i="3" s="1"/>
  <c r="R23" i="3" s="1"/>
  <c r="S23" i="3" s="1"/>
  <c r="L23" i="3"/>
  <c r="M23" i="3" s="1"/>
  <c r="N23" i="3" s="1"/>
  <c r="O23" i="3" s="1"/>
  <c r="H23" i="3"/>
  <c r="I23" i="3" s="1"/>
  <c r="D23" i="3"/>
  <c r="E23" i="3" s="1"/>
  <c r="AZ22" i="3"/>
  <c r="BA22" i="3" s="1"/>
  <c r="AV22" i="3"/>
  <c r="AW22" i="3" s="1"/>
  <c r="AR22" i="3"/>
  <c r="AS22" i="3" s="1"/>
  <c r="AN22" i="3"/>
  <c r="AO22" i="3" s="1"/>
  <c r="AP22" i="3" s="1"/>
  <c r="AQ22" i="3" s="1"/>
  <c r="AJ22" i="3"/>
  <c r="AK22" i="3" s="1"/>
  <c r="AL22" i="3" s="1"/>
  <c r="AF22" i="3"/>
  <c r="AG22" i="3" s="1"/>
  <c r="AH22" i="3" s="1"/>
  <c r="AI22" i="3" s="1"/>
  <c r="AB22" i="3"/>
  <c r="AC22" i="3" s="1"/>
  <c r="X22" i="3"/>
  <c r="Y22" i="3" s="1"/>
  <c r="Z22" i="3" s="1"/>
  <c r="AA22" i="3" s="1"/>
  <c r="T22" i="3"/>
  <c r="U22" i="3" s="1"/>
  <c r="P22" i="3"/>
  <c r="Q22" i="3" s="1"/>
  <c r="R22" i="3" s="1"/>
  <c r="S22" i="3" s="1"/>
  <c r="L22" i="3"/>
  <c r="M22" i="3" s="1"/>
  <c r="N22" i="3" s="1"/>
  <c r="O22" i="3" s="1"/>
  <c r="H22" i="3"/>
  <c r="I22" i="3" s="1"/>
  <c r="J22" i="3" s="1"/>
  <c r="K22" i="3" s="1"/>
  <c r="D22" i="3"/>
  <c r="E22" i="3" s="1"/>
  <c r="AZ21" i="3"/>
  <c r="BA21" i="3" s="1"/>
  <c r="AV21" i="3"/>
  <c r="AW21" i="3" s="1"/>
  <c r="AX21" i="3" s="1"/>
  <c r="AY21" i="3" s="1"/>
  <c r="AR21" i="3"/>
  <c r="AS21" i="3" s="1"/>
  <c r="AN21" i="3"/>
  <c r="AO21" i="3" s="1"/>
  <c r="AJ21" i="3"/>
  <c r="AK21" i="3" s="1"/>
  <c r="AL21" i="3" s="1"/>
  <c r="AM21" i="3" s="1"/>
  <c r="AF21" i="3"/>
  <c r="AG21" i="3" s="1"/>
  <c r="AH21" i="3" s="1"/>
  <c r="AI21" i="3" s="1"/>
  <c r="AB21" i="3"/>
  <c r="AC21" i="3" s="1"/>
  <c r="AD21" i="3" s="1"/>
  <c r="AE21" i="3" s="1"/>
  <c r="X21" i="3"/>
  <c r="Y21" i="3" s="1"/>
  <c r="T21" i="3"/>
  <c r="U21" i="3" s="1"/>
  <c r="V21" i="3" s="1"/>
  <c r="W21" i="3" s="1"/>
  <c r="P21" i="3"/>
  <c r="Q21" i="3" s="1"/>
  <c r="L21" i="3"/>
  <c r="M21" i="3" s="1"/>
  <c r="N21" i="3" s="1"/>
  <c r="O21" i="3" s="1"/>
  <c r="H21" i="3"/>
  <c r="I21" i="3" s="1"/>
  <c r="J21" i="3" s="1"/>
  <c r="K21" i="3" s="1"/>
  <c r="D21" i="3"/>
  <c r="E21" i="3" s="1"/>
  <c r="F21" i="3" s="1"/>
  <c r="G21" i="3" s="1"/>
  <c r="BG19" i="3"/>
  <c r="BF19" i="3"/>
  <c r="BE19" i="3"/>
  <c r="BD19" i="3"/>
  <c r="BD112" i="3" s="1"/>
  <c r="AZ19" i="3"/>
  <c r="BA19" i="3" s="1"/>
  <c r="AV19" i="3"/>
  <c r="AR19" i="3"/>
  <c r="AS19" i="3" s="1"/>
  <c r="AT19" i="3" s="1"/>
  <c r="AU19" i="3" s="1"/>
  <c r="AN19" i="3"/>
  <c r="AJ19" i="3"/>
  <c r="AK19" i="3" s="1"/>
  <c r="AF19" i="3"/>
  <c r="AB19" i="3"/>
  <c r="AC19" i="3" s="1"/>
  <c r="X19" i="3"/>
  <c r="T19" i="3"/>
  <c r="U19" i="3" s="1"/>
  <c r="P19" i="3"/>
  <c r="L19" i="3"/>
  <c r="M19" i="3" s="1"/>
  <c r="N19" i="3" s="1"/>
  <c r="O19" i="3" s="1"/>
  <c r="H19" i="3"/>
  <c r="I19" i="3" s="1"/>
  <c r="D19" i="3"/>
  <c r="E19" i="3" s="1"/>
  <c r="F19" i="3" s="1"/>
  <c r="G19" i="3" s="1"/>
  <c r="B17" i="3"/>
  <c r="B16" i="3"/>
  <c r="B15" i="3"/>
  <c r="B14" i="3"/>
  <c r="B13" i="3"/>
  <c r="B12" i="3"/>
  <c r="B11" i="3"/>
  <c r="B10" i="3"/>
  <c r="B9" i="3"/>
  <c r="B8" i="3"/>
  <c r="B7" i="3"/>
  <c r="BZ18" i="3"/>
  <c r="BZ111" i="3" s="1"/>
  <c r="BV18" i="3"/>
  <c r="BV111" i="3" s="1"/>
  <c r="BU18" i="3"/>
  <c r="BU111" i="3" s="1"/>
  <c r="BT18" i="3"/>
  <c r="BS18" i="3"/>
  <c r="BR18" i="3"/>
  <c r="BQ18" i="3"/>
  <c r="BP18" i="3"/>
  <c r="BO18" i="3"/>
  <c r="BN18" i="3"/>
  <c r="BM18" i="3"/>
  <c r="BZ17" i="3"/>
  <c r="BZ110" i="3" s="1"/>
  <c r="BZ16" i="3"/>
  <c r="BZ109" i="3" s="1"/>
  <c r="BZ15" i="3"/>
  <c r="BZ108" i="3" s="1"/>
  <c r="BZ14" i="3"/>
  <c r="BZ107" i="3" s="1"/>
  <c r="BZ13" i="3"/>
  <c r="BZ106" i="3" s="1"/>
  <c r="BZ12" i="3"/>
  <c r="AZ18" i="3"/>
  <c r="BA18" i="3" s="1"/>
  <c r="AV18" i="3"/>
  <c r="AW18" i="3" s="1"/>
  <c r="AX18" i="3" s="1"/>
  <c r="AY18" i="3" s="1"/>
  <c r="AR18" i="3"/>
  <c r="AZ17" i="3"/>
  <c r="BA17" i="3" s="1"/>
  <c r="AV17" i="3"/>
  <c r="AW17" i="3" s="1"/>
  <c r="AX17" i="3" s="1"/>
  <c r="AY17" i="3" s="1"/>
  <c r="AR17" i="3"/>
  <c r="AS17" i="3" s="1"/>
  <c r="AT17" i="3" s="1"/>
  <c r="AU17" i="3" s="1"/>
  <c r="AZ16" i="3"/>
  <c r="AV16" i="3"/>
  <c r="AR16" i="3"/>
  <c r="AS16" i="3" s="1"/>
  <c r="AZ15" i="3"/>
  <c r="BA15" i="3" s="1"/>
  <c r="AV15" i="3"/>
  <c r="AW15" i="3" s="1"/>
  <c r="AX15" i="3" s="1"/>
  <c r="AY15" i="3" s="1"/>
  <c r="AR15" i="3"/>
  <c r="AS15" i="3" s="1"/>
  <c r="AT15" i="3" s="1"/>
  <c r="AU15" i="3" s="1"/>
  <c r="AZ14" i="3"/>
  <c r="BA14" i="3" s="1"/>
  <c r="AV14" i="3"/>
  <c r="AW14" i="3" s="1"/>
  <c r="AX14" i="3" s="1"/>
  <c r="AY14" i="3" s="1"/>
  <c r="AR14" i="3"/>
  <c r="AS14" i="3" s="1"/>
  <c r="AT14" i="3" s="1"/>
  <c r="AU14" i="3" s="1"/>
  <c r="AZ13" i="3"/>
  <c r="BA13" i="3" s="1"/>
  <c r="BY13" i="3" s="1"/>
  <c r="BY106" i="3" s="1"/>
  <c r="AV13" i="3"/>
  <c r="AW13" i="3" s="1"/>
  <c r="AX13" i="3" s="1"/>
  <c r="AR13" i="3"/>
  <c r="AS13" i="3" s="1"/>
  <c r="AT13" i="3" s="1"/>
  <c r="AU13" i="3" s="1"/>
  <c r="AZ12" i="3"/>
  <c r="AV12" i="3"/>
  <c r="AR12" i="3"/>
  <c r="AR72" i="3" s="1"/>
  <c r="AN17" i="3"/>
  <c r="AO17" i="3" s="1"/>
  <c r="AP17" i="3" s="1"/>
  <c r="AQ17" i="3" s="1"/>
  <c r="AJ17" i="3"/>
  <c r="AF17" i="3"/>
  <c r="AG17" i="3" s="1"/>
  <c r="AH17" i="3" s="1"/>
  <c r="AI17" i="3" s="1"/>
  <c r="AB17" i="3"/>
  <c r="AC17" i="3" s="1"/>
  <c r="AD17" i="3" s="1"/>
  <c r="AE17" i="3" s="1"/>
  <c r="X17" i="3"/>
  <c r="Y17" i="3" s="1"/>
  <c r="Z17" i="3" s="1"/>
  <c r="AA17" i="3" s="1"/>
  <c r="T17" i="3"/>
  <c r="U17" i="3" s="1"/>
  <c r="V17" i="3" s="1"/>
  <c r="W17" i="3" s="1"/>
  <c r="P17" i="3"/>
  <c r="L17" i="3"/>
  <c r="M17" i="3" s="1"/>
  <c r="N17" i="3" s="1"/>
  <c r="O17" i="3" s="1"/>
  <c r="H17" i="3"/>
  <c r="I17" i="3" s="1"/>
  <c r="J17" i="3" s="1"/>
  <c r="K17" i="3" s="1"/>
  <c r="D17" i="3"/>
  <c r="AN16" i="3"/>
  <c r="AO16" i="3" s="1"/>
  <c r="AJ16" i="3"/>
  <c r="AK16" i="3" s="1"/>
  <c r="AL16" i="3" s="1"/>
  <c r="AM16" i="3" s="1"/>
  <c r="AF16" i="3"/>
  <c r="AG16" i="3" s="1"/>
  <c r="AH16" i="3" s="1"/>
  <c r="AI16" i="3" s="1"/>
  <c r="AB16" i="3"/>
  <c r="X16" i="3"/>
  <c r="Y16" i="3" s="1"/>
  <c r="Z16" i="3" s="1"/>
  <c r="AA16" i="3" s="1"/>
  <c r="T16" i="3"/>
  <c r="U16" i="3" s="1"/>
  <c r="V16" i="3" s="1"/>
  <c r="W16" i="3" s="1"/>
  <c r="P16" i="3"/>
  <c r="Q16" i="3" s="1"/>
  <c r="R16" i="3" s="1"/>
  <c r="S16" i="3" s="1"/>
  <c r="L16" i="3"/>
  <c r="M16" i="3" s="1"/>
  <c r="N16" i="3" s="1"/>
  <c r="O16" i="3" s="1"/>
  <c r="H16" i="3"/>
  <c r="D16" i="3"/>
  <c r="E16" i="3" s="1"/>
  <c r="F16" i="3" s="1"/>
  <c r="G16" i="3" s="1"/>
  <c r="AN15" i="3"/>
  <c r="AO15" i="3" s="1"/>
  <c r="AP15" i="3" s="1"/>
  <c r="AQ15" i="3" s="1"/>
  <c r="AJ15" i="3"/>
  <c r="AF15" i="3"/>
  <c r="AG15" i="3" s="1"/>
  <c r="AB15" i="3"/>
  <c r="AC15" i="3" s="1"/>
  <c r="AD15" i="3" s="1"/>
  <c r="AE15" i="3" s="1"/>
  <c r="X15" i="3"/>
  <c r="Y15" i="3" s="1"/>
  <c r="Z15" i="3" s="1"/>
  <c r="AA15" i="3" s="1"/>
  <c r="T15" i="3"/>
  <c r="P15" i="3"/>
  <c r="Q15" i="3" s="1"/>
  <c r="R15" i="3" s="1"/>
  <c r="S15" i="3" s="1"/>
  <c r="L15" i="3"/>
  <c r="M15" i="3" s="1"/>
  <c r="N15" i="3" s="1"/>
  <c r="O15" i="3" s="1"/>
  <c r="H15" i="3"/>
  <c r="I15" i="3" s="1"/>
  <c r="J15" i="3" s="1"/>
  <c r="K15" i="3" s="1"/>
  <c r="D15" i="3"/>
  <c r="E15" i="3" s="1"/>
  <c r="F15" i="3" s="1"/>
  <c r="G15" i="3" s="1"/>
  <c r="AN14" i="3"/>
  <c r="AO14" i="3" s="1"/>
  <c r="AP14" i="3" s="1"/>
  <c r="AQ14" i="3" s="1"/>
  <c r="AJ14" i="3"/>
  <c r="AK14" i="3" s="1"/>
  <c r="AL14" i="3" s="1"/>
  <c r="AM14" i="3" s="1"/>
  <c r="AF14" i="3"/>
  <c r="AG14" i="3" s="1"/>
  <c r="AH14" i="3" s="1"/>
  <c r="AI14" i="3" s="1"/>
  <c r="AB14" i="3"/>
  <c r="X14" i="3"/>
  <c r="Y14" i="3" s="1"/>
  <c r="T14" i="3"/>
  <c r="U14" i="3" s="1"/>
  <c r="V14" i="3" s="1"/>
  <c r="W14" i="3" s="1"/>
  <c r="P14" i="3"/>
  <c r="Q14" i="3" s="1"/>
  <c r="R14" i="3" s="1"/>
  <c r="S14" i="3" s="1"/>
  <c r="L14" i="3"/>
  <c r="H14" i="3"/>
  <c r="I14" i="3" s="1"/>
  <c r="J14" i="3" s="1"/>
  <c r="K14" i="3" s="1"/>
  <c r="D14" i="3"/>
  <c r="E14" i="3" s="1"/>
  <c r="F14" i="3" s="1"/>
  <c r="G14" i="3" s="1"/>
  <c r="AN13" i="3"/>
  <c r="AO13" i="3" s="1"/>
  <c r="AP13" i="3" s="1"/>
  <c r="AQ13" i="3" s="1"/>
  <c r="AJ13" i="3"/>
  <c r="AK13" i="3" s="1"/>
  <c r="AL13" i="3" s="1"/>
  <c r="AM13" i="3" s="1"/>
  <c r="AF13" i="3"/>
  <c r="AG13" i="3" s="1"/>
  <c r="AH13" i="3" s="1"/>
  <c r="AI13" i="3" s="1"/>
  <c r="AB13" i="3"/>
  <c r="AC13" i="3" s="1"/>
  <c r="AD13" i="3" s="1"/>
  <c r="AE13" i="3" s="1"/>
  <c r="X13" i="3"/>
  <c r="Y13" i="3" s="1"/>
  <c r="Z13" i="3" s="1"/>
  <c r="AA13" i="3" s="1"/>
  <c r="T13" i="3"/>
  <c r="P13" i="3"/>
  <c r="Q13" i="3" s="1"/>
  <c r="L13" i="3"/>
  <c r="M13" i="3" s="1"/>
  <c r="N13" i="3" s="1"/>
  <c r="O13" i="3" s="1"/>
  <c r="H13" i="3"/>
  <c r="I13" i="3" s="1"/>
  <c r="J13" i="3" s="1"/>
  <c r="K13" i="3" s="1"/>
  <c r="D13" i="3"/>
  <c r="AN12" i="3"/>
  <c r="AJ12" i="3"/>
  <c r="AK12" i="3" s="1"/>
  <c r="AF12" i="3"/>
  <c r="AF72" i="3" s="1"/>
  <c r="AB12" i="3"/>
  <c r="AB72" i="3" s="1"/>
  <c r="X12" i="3"/>
  <c r="T12" i="3"/>
  <c r="U12" i="3" s="1"/>
  <c r="P12" i="3"/>
  <c r="P72" i="3" s="1"/>
  <c r="L12" i="3"/>
  <c r="L72" i="3" s="1"/>
  <c r="H12" i="3"/>
  <c r="D12" i="3"/>
  <c r="E12" i="3" s="1"/>
  <c r="BZ10" i="3"/>
  <c r="AZ11" i="3"/>
  <c r="BA11" i="3" s="1"/>
  <c r="AV11" i="3"/>
  <c r="AW11" i="3" s="1"/>
  <c r="AR11" i="3"/>
  <c r="AS11" i="3" s="1"/>
  <c r="AN11" i="3"/>
  <c r="AO11" i="3" s="1"/>
  <c r="AP11" i="3" s="1"/>
  <c r="AQ11" i="3" s="1"/>
  <c r="AJ11" i="3"/>
  <c r="AK11" i="3" s="1"/>
  <c r="AL11" i="3" s="1"/>
  <c r="AF11" i="3"/>
  <c r="AG11" i="3" s="1"/>
  <c r="AB11" i="3"/>
  <c r="AC11" i="3" s="1"/>
  <c r="X11" i="3"/>
  <c r="Y11" i="3" s="1"/>
  <c r="Z11" i="3" s="1"/>
  <c r="AA11" i="3" s="1"/>
  <c r="T11" i="3"/>
  <c r="U11" i="3" s="1"/>
  <c r="P11" i="3"/>
  <c r="Q11" i="3" s="1"/>
  <c r="R11" i="3" s="1"/>
  <c r="S11" i="3" s="1"/>
  <c r="BP11" i="3" s="1"/>
  <c r="BP104" i="3" s="1"/>
  <c r="L11" i="3"/>
  <c r="M11" i="3" s="1"/>
  <c r="N11" i="3" s="1"/>
  <c r="O11" i="3" s="1"/>
  <c r="BO11" i="3" s="1"/>
  <c r="BO104" i="3" s="1"/>
  <c r="H11" i="3"/>
  <c r="I11" i="3" s="1"/>
  <c r="J11" i="3" s="1"/>
  <c r="K11" i="3" s="1"/>
  <c r="D11" i="3"/>
  <c r="E11" i="3" s="1"/>
  <c r="BG10" i="3"/>
  <c r="BG87" i="3" s="1"/>
  <c r="BG88" i="3" s="1"/>
  <c r="BF10" i="3"/>
  <c r="BF87" i="3" s="1"/>
  <c r="BF88" i="3" s="1"/>
  <c r="BE10" i="3"/>
  <c r="BE87" i="3" s="1"/>
  <c r="BE88" i="3" s="1"/>
  <c r="BD10" i="3"/>
  <c r="BB167" i="2"/>
  <c r="BB168" i="2" s="1"/>
  <c r="AZ10" i="3"/>
  <c r="AV10" i="3"/>
  <c r="AW10" i="3" s="1"/>
  <c r="AR10" i="3"/>
  <c r="AS10" i="3" s="1"/>
  <c r="AT10" i="3" s="1"/>
  <c r="AN10" i="3"/>
  <c r="AO10" i="3" s="1"/>
  <c r="AP10" i="3" s="1"/>
  <c r="AJ10" i="3"/>
  <c r="AK10" i="3" s="1"/>
  <c r="AF10" i="3"/>
  <c r="AG10" i="3" s="1"/>
  <c r="AB10" i="3"/>
  <c r="AC10" i="3" s="1"/>
  <c r="AD10" i="3" s="1"/>
  <c r="AE10" i="3" s="1"/>
  <c r="X10" i="3"/>
  <c r="Y10" i="3" s="1"/>
  <c r="T10" i="3"/>
  <c r="U10" i="3" s="1"/>
  <c r="V10" i="3" s="1"/>
  <c r="W10" i="3" s="1"/>
  <c r="P10" i="3"/>
  <c r="Q10" i="3" s="1"/>
  <c r="R10" i="3" s="1"/>
  <c r="S10" i="3" s="1"/>
  <c r="L10" i="3"/>
  <c r="M10" i="3" s="1"/>
  <c r="N10" i="3" s="1"/>
  <c r="O10" i="3" s="1"/>
  <c r="H10" i="3"/>
  <c r="I10" i="3" s="1"/>
  <c r="J10" i="3" s="1"/>
  <c r="K10" i="3" s="1"/>
  <c r="D10" i="3"/>
  <c r="E10" i="3" s="1"/>
  <c r="F10" i="3" s="1"/>
  <c r="G10" i="3" s="1"/>
  <c r="BG190" i="2"/>
  <c r="BF190" i="2"/>
  <c r="BE190" i="2"/>
  <c r="BD190" i="2"/>
  <c r="BC190" i="2"/>
  <c r="BB190" i="2"/>
  <c r="BA190" i="2"/>
  <c r="AZ190" i="2"/>
  <c r="AY190" i="2"/>
  <c r="AX190" i="2"/>
  <c r="AW190" i="2"/>
  <c r="AV190" i="2"/>
  <c r="AU190" i="2"/>
  <c r="AT190" i="2"/>
  <c r="AS190" i="2"/>
  <c r="AR190" i="2"/>
  <c r="AB190" i="2"/>
  <c r="AA190" i="2"/>
  <c r="Z190" i="2"/>
  <c r="Y190" i="2"/>
  <c r="X190" i="2"/>
  <c r="W190" i="2"/>
  <c r="V190" i="2"/>
  <c r="U190" i="2"/>
  <c r="T190" i="2"/>
  <c r="S190" i="2"/>
  <c r="R190" i="2"/>
  <c r="Q190" i="2"/>
  <c r="P190" i="2"/>
  <c r="O190" i="2"/>
  <c r="N190" i="2"/>
  <c r="M190" i="2"/>
  <c r="L190" i="2"/>
  <c r="K190" i="2"/>
  <c r="J190" i="2"/>
  <c r="I190" i="2"/>
  <c r="H190" i="2"/>
  <c r="G190" i="2"/>
  <c r="F190" i="2"/>
  <c r="E190" i="2"/>
  <c r="D190" i="2"/>
  <c r="AJ172" i="2"/>
  <c r="AV167" i="2"/>
  <c r="AN167" i="2"/>
  <c r="AG162" i="2"/>
  <c r="AF162" i="2"/>
  <c r="AE162" i="2"/>
  <c r="AD162" i="2"/>
  <c r="AC162" i="2"/>
  <c r="AB162" i="2"/>
  <c r="AI161" i="2"/>
  <c r="AJ161" i="2" s="1"/>
  <c r="AK161" i="2" s="1"/>
  <c r="AL161" i="2" s="1"/>
  <c r="AM161" i="2" s="1"/>
  <c r="AN161" i="2" s="1"/>
  <c r="AO161" i="2" s="1"/>
  <c r="AP161" i="2" s="1"/>
  <c r="AQ161" i="2" s="1"/>
  <c r="AR161" i="2" s="1"/>
  <c r="AS161" i="2" s="1"/>
  <c r="AT161" i="2" s="1"/>
  <c r="AU161" i="2" s="1"/>
  <c r="AV161" i="2" s="1"/>
  <c r="AW161" i="2" s="1"/>
  <c r="AX161" i="2" s="1"/>
  <c r="AY161" i="2" s="1"/>
  <c r="AZ161" i="2" s="1"/>
  <c r="BA161" i="2" s="1"/>
  <c r="BB161" i="2" s="1"/>
  <c r="BC161" i="2" s="1"/>
  <c r="BD161" i="2" s="1"/>
  <c r="BE161" i="2" s="1"/>
  <c r="BF161" i="2" s="1"/>
  <c r="BG161" i="2" s="1"/>
  <c r="BH161" i="2" s="1"/>
  <c r="BI161" i="2" s="1"/>
  <c r="BJ161" i="2" s="1"/>
  <c r="BK161" i="2" s="1"/>
  <c r="AH155" i="2"/>
  <c r="AG155" i="2"/>
  <c r="AF155" i="2"/>
  <c r="AE155" i="2"/>
  <c r="AD155" i="2"/>
  <c r="AC155" i="2"/>
  <c r="AB155" i="2"/>
  <c r="AO154" i="2"/>
  <c r="AK154" i="2"/>
  <c r="AL154" i="2" s="1"/>
  <c r="AT154" i="2"/>
  <c r="AU154" i="2" s="1"/>
  <c r="AV154" i="2" s="1"/>
  <c r="AN153" i="2"/>
  <c r="AJ153" i="2"/>
  <c r="BY152" i="2"/>
  <c r="BX152" i="2"/>
  <c r="BW152" i="2"/>
  <c r="BV152" i="2"/>
  <c r="BV151" i="2"/>
  <c r="BU151" i="2"/>
  <c r="BV150" i="2"/>
  <c r="BU150" i="2"/>
  <c r="BV149" i="2"/>
  <c r="BU149" i="2"/>
  <c r="BV148" i="2"/>
  <c r="BU148" i="2"/>
  <c r="BV147" i="2"/>
  <c r="BU147" i="2"/>
  <c r="BS146" i="2"/>
  <c r="AR151" i="2"/>
  <c r="AR150" i="2"/>
  <c r="AR149" i="2"/>
  <c r="AR148" i="2"/>
  <c r="AR147" i="2"/>
  <c r="AH146" i="2"/>
  <c r="AB145" i="2"/>
  <c r="AB144" i="2"/>
  <c r="AB143" i="2"/>
  <c r="AB142" i="2"/>
  <c r="AO139" i="2"/>
  <c r="AP139" i="2" s="1"/>
  <c r="AQ139" i="2" s="1"/>
  <c r="AK139" i="2"/>
  <c r="AL139" i="2" s="1"/>
  <c r="AM139" i="2" s="1"/>
  <c r="BU139" i="2" s="1"/>
  <c r="AC139" i="2"/>
  <c r="BZ138" i="2"/>
  <c r="BY138" i="2"/>
  <c r="BX138" i="2"/>
  <c r="BW138" i="2"/>
  <c r="BV138" i="2"/>
  <c r="BU138" i="2"/>
  <c r="BT138" i="2"/>
  <c r="BS138" i="2"/>
  <c r="AS137" i="2"/>
  <c r="AS136" i="2"/>
  <c r="AT136" i="2" s="1"/>
  <c r="AU136" i="2" s="1"/>
  <c r="AS135" i="2"/>
  <c r="AT135" i="2" s="1"/>
  <c r="AU135" i="2" s="1"/>
  <c r="AS134" i="2"/>
  <c r="AS148" i="2" s="1"/>
  <c r="AS133" i="2"/>
  <c r="AT133" i="2" s="1"/>
  <c r="AU133" i="2" s="1"/>
  <c r="AI132" i="2"/>
  <c r="AJ132" i="2" s="1"/>
  <c r="AK132" i="2" s="1"/>
  <c r="AL132" i="2" s="1"/>
  <c r="AM132" i="2" s="1"/>
  <c r="AC131" i="2"/>
  <c r="AC145" i="2" s="1"/>
  <c r="AC130" i="2"/>
  <c r="AC144" i="2" s="1"/>
  <c r="AC129" i="2"/>
  <c r="AC143" i="2" s="1"/>
  <c r="AC128" i="2"/>
  <c r="BS125" i="2"/>
  <c r="BS124" i="2"/>
  <c r="AY124" i="2"/>
  <c r="AX124" i="2"/>
  <c r="AW124" i="2"/>
  <c r="AV124" i="2"/>
  <c r="AU124" i="2"/>
  <c r="BW124" i="2" s="1"/>
  <c r="AT124" i="2"/>
  <c r="AS124" i="2"/>
  <c r="AR124" i="2"/>
  <c r="AQ124" i="2"/>
  <c r="BV124" i="2" s="1"/>
  <c r="AP124" i="2"/>
  <c r="AO124" i="2"/>
  <c r="AN124" i="2"/>
  <c r="AM124" i="2"/>
  <c r="BU124" i="2" s="1"/>
  <c r="AL124" i="2"/>
  <c r="AK124" i="2"/>
  <c r="AJ124" i="2"/>
  <c r="AI124" i="2"/>
  <c r="BT124" i="2" s="1"/>
  <c r="AH124" i="2"/>
  <c r="AQ123" i="2"/>
  <c r="AQ125" i="2" s="1"/>
  <c r="BV125" i="2" s="1"/>
  <c r="AP123" i="2"/>
  <c r="AO123" i="2"/>
  <c r="AO125" i="2" s="1"/>
  <c r="AN123" i="2"/>
  <c r="AM123" i="2"/>
  <c r="BU123" i="2" s="1"/>
  <c r="AL123" i="2"/>
  <c r="AK123" i="2"/>
  <c r="AK125" i="2" s="1"/>
  <c r="AJ123" i="2"/>
  <c r="AJ125" i="2" s="1"/>
  <c r="AI123" i="2"/>
  <c r="BT123" i="2" s="1"/>
  <c r="AH123" i="2"/>
  <c r="AG123" i="2"/>
  <c r="AF123" i="2"/>
  <c r="AE123" i="2"/>
  <c r="BS123" i="2" s="1"/>
  <c r="AD123" i="2"/>
  <c r="AC123" i="2"/>
  <c r="AB123" i="2"/>
  <c r="AF121" i="2"/>
  <c r="AD121" i="2"/>
  <c r="AD122" i="2" s="1"/>
  <c r="AC121" i="2"/>
  <c r="AA121" i="2"/>
  <c r="BX120" i="2"/>
  <c r="BV120" i="2"/>
  <c r="BU120" i="2"/>
  <c r="BT120" i="2"/>
  <c r="BS120" i="2"/>
  <c r="BG120" i="2"/>
  <c r="BZ120" i="2" s="1"/>
  <c r="BC120" i="2"/>
  <c r="BY120" i="2" s="1"/>
  <c r="AY119" i="2"/>
  <c r="AZ119" i="2" s="1"/>
  <c r="BA119" i="2" s="1"/>
  <c r="BB119" i="2" s="1"/>
  <c r="BC119" i="2" s="1"/>
  <c r="AZ118" i="2"/>
  <c r="BA118" i="2" s="1"/>
  <c r="BB118" i="2" s="1"/>
  <c r="AW118" i="2"/>
  <c r="AO118" i="2"/>
  <c r="AP118" i="2" s="1"/>
  <c r="AK118" i="2"/>
  <c r="AL118" i="2" s="1"/>
  <c r="AG118" i="2"/>
  <c r="AH118" i="2" s="1"/>
  <c r="AB118" i="2"/>
  <c r="AB153" i="2" s="1"/>
  <c r="BX118" i="2"/>
  <c r="BW118" i="2"/>
  <c r="BS118" i="2"/>
  <c r="BZ117" i="2"/>
  <c r="BY117" i="2"/>
  <c r="BX117" i="2"/>
  <c r="BV117" i="2"/>
  <c r="BW117" i="2" s="1"/>
  <c r="BU117" i="2"/>
  <c r="BT117" i="2"/>
  <c r="BS117" i="2"/>
  <c r="AN117" i="2"/>
  <c r="AO117" i="2" s="1"/>
  <c r="AP117" i="2" s="1"/>
  <c r="AJ117" i="2"/>
  <c r="AK117" i="2" s="1"/>
  <c r="AL117" i="2" s="1"/>
  <c r="BX116" i="2"/>
  <c r="AU116" i="2"/>
  <c r="AV116" i="2" s="1"/>
  <c r="AS114" i="2"/>
  <c r="AT114" i="2" s="1"/>
  <c r="AS113" i="2"/>
  <c r="AT113" i="2" s="1"/>
  <c r="AU113" i="2" s="1"/>
  <c r="AY112" i="2"/>
  <c r="AU112" i="2"/>
  <c r="BX115" i="2"/>
  <c r="BX114" i="2"/>
  <c r="BX113" i="2"/>
  <c r="BX111" i="2"/>
  <c r="AS111" i="2"/>
  <c r="AS110" i="2"/>
  <c r="AT110" i="2" s="1"/>
  <c r="AE109" i="2"/>
  <c r="BS109" i="2" s="1"/>
  <c r="AE108" i="2"/>
  <c r="BS108" i="2" s="1"/>
  <c r="BS110" i="2"/>
  <c r="AS109" i="2"/>
  <c r="AT109" i="2" s="1"/>
  <c r="AU109" i="2" s="1"/>
  <c r="AS108" i="2"/>
  <c r="BS107" i="2"/>
  <c r="AI110" i="2"/>
  <c r="AG109" i="2"/>
  <c r="AH109" i="2" s="1"/>
  <c r="AI109" i="2" s="1"/>
  <c r="AG108" i="2"/>
  <c r="AH108" i="2" s="1"/>
  <c r="AG107" i="2"/>
  <c r="AH107" i="2" s="1"/>
  <c r="BX110" i="2"/>
  <c r="BU106" i="2"/>
  <c r="BT106" i="2"/>
  <c r="AZ116" i="2"/>
  <c r="AZ115" i="2"/>
  <c r="BA115" i="2" s="1"/>
  <c r="BB115" i="2" s="1"/>
  <c r="BC115" i="2" s="1"/>
  <c r="AZ114" i="2"/>
  <c r="AZ113" i="2"/>
  <c r="AZ112" i="2"/>
  <c r="AZ111" i="2"/>
  <c r="AZ110" i="2"/>
  <c r="AT107" i="2"/>
  <c r="AU107" i="2" s="1"/>
  <c r="AN106" i="2"/>
  <c r="AO106" i="2" s="1"/>
  <c r="AJ106" i="2"/>
  <c r="AG106" i="2"/>
  <c r="AE106" i="2"/>
  <c r="BA97" i="2"/>
  <c r="AZ97" i="2"/>
  <c r="AY97" i="2"/>
  <c r="AX97" i="2"/>
  <c r="AW97" i="2"/>
  <c r="AV97" i="2"/>
  <c r="AU97" i="2"/>
  <c r="AT97" i="2"/>
  <c r="AS97" i="2"/>
  <c r="AR97" i="2"/>
  <c r="AQ97" i="2"/>
  <c r="AP97" i="2"/>
  <c r="AO97" i="2"/>
  <c r="AN97" i="2"/>
  <c r="AM97" i="2"/>
  <c r="AL97" i="2"/>
  <c r="AK97" i="2"/>
  <c r="AJ97" i="2"/>
  <c r="AI97" i="2"/>
  <c r="AH97" i="2"/>
  <c r="AG97" i="2"/>
  <c r="AF97" i="2"/>
  <c r="AE97" i="2"/>
  <c r="AD97" i="2"/>
  <c r="AC97" i="2"/>
  <c r="AB97" i="2"/>
  <c r="AA97" i="2"/>
  <c r="Z97" i="2"/>
  <c r="Y97" i="2"/>
  <c r="X97" i="2"/>
  <c r="W97" i="2"/>
  <c r="V97" i="2"/>
  <c r="U97" i="2"/>
  <c r="T97" i="2"/>
  <c r="S97" i="2"/>
  <c r="R97" i="2"/>
  <c r="Q97" i="2"/>
  <c r="P97" i="2"/>
  <c r="O97" i="2"/>
  <c r="N97" i="2"/>
  <c r="M97" i="2"/>
  <c r="L97" i="2"/>
  <c r="K97" i="2"/>
  <c r="J97" i="2"/>
  <c r="I97" i="2"/>
  <c r="H97" i="2"/>
  <c r="G97" i="2"/>
  <c r="F97" i="2"/>
  <c r="E97" i="2"/>
  <c r="D97" i="2"/>
  <c r="BA94" i="2"/>
  <c r="AZ94" i="2"/>
  <c r="AY94" i="2"/>
  <c r="AX94" i="2"/>
  <c r="AW94" i="2"/>
  <c r="AV94" i="2"/>
  <c r="AU94" i="2"/>
  <c r="AT94" i="2"/>
  <c r="AS94" i="2"/>
  <c r="AR94" i="2"/>
  <c r="AQ94" i="2"/>
  <c r="AP94" i="2"/>
  <c r="AO94" i="2"/>
  <c r="AN94" i="2"/>
  <c r="AM94" i="2"/>
  <c r="AL94" i="2"/>
  <c r="AK94" i="2"/>
  <c r="AJ94" i="2"/>
  <c r="AI94" i="2"/>
  <c r="AH94" i="2"/>
  <c r="AG94" i="2"/>
  <c r="AF94" i="2"/>
  <c r="AE94" i="2"/>
  <c r="AD94" i="2"/>
  <c r="AC94" i="2"/>
  <c r="AB94" i="2"/>
  <c r="AA94" i="2"/>
  <c r="Z94" i="2"/>
  <c r="Y94" i="2"/>
  <c r="X94" i="2"/>
  <c r="W94" i="2"/>
  <c r="V94" i="2"/>
  <c r="U94" i="2"/>
  <c r="T94" i="2"/>
  <c r="S94" i="2"/>
  <c r="R94" i="2"/>
  <c r="Q94" i="2"/>
  <c r="P94" i="2"/>
  <c r="O94" i="2"/>
  <c r="N94" i="2"/>
  <c r="M94" i="2"/>
  <c r="L94" i="2"/>
  <c r="K94" i="2"/>
  <c r="J94" i="2"/>
  <c r="I94" i="2"/>
  <c r="H94" i="2"/>
  <c r="G94" i="2"/>
  <c r="F94" i="2"/>
  <c r="E94" i="2"/>
  <c r="D94" i="2"/>
  <c r="AD88" i="2"/>
  <c r="BO88" i="2"/>
  <c r="BA83" i="2"/>
  <c r="AZ83" i="2"/>
  <c r="AY83" i="2"/>
  <c r="AX83" i="2"/>
  <c r="AW83" i="2"/>
  <c r="AV83" i="2"/>
  <c r="AU83" i="2"/>
  <c r="AT83" i="2"/>
  <c r="AS83" i="2"/>
  <c r="AR83" i="2"/>
  <c r="AQ83" i="2"/>
  <c r="AP83" i="2"/>
  <c r="AO83" i="2"/>
  <c r="AN83" i="2"/>
  <c r="AM83" i="2"/>
  <c r="AL83" i="2"/>
  <c r="AK83" i="2"/>
  <c r="AJ83" i="2"/>
  <c r="AI83" i="2"/>
  <c r="AH83" i="2"/>
  <c r="AG83" i="2"/>
  <c r="AF83" i="2"/>
  <c r="AE83" i="2"/>
  <c r="AD83" i="2"/>
  <c r="AC83" i="2"/>
  <c r="AB83" i="2"/>
  <c r="AA83" i="2"/>
  <c r="Z83" i="2"/>
  <c r="Y83" i="2"/>
  <c r="X83" i="2"/>
  <c r="W83" i="2"/>
  <c r="V83" i="2"/>
  <c r="U83" i="2"/>
  <c r="T83" i="2"/>
  <c r="S83" i="2"/>
  <c r="R83" i="2"/>
  <c r="Q83" i="2"/>
  <c r="P83" i="2"/>
  <c r="O83" i="2"/>
  <c r="N83" i="2"/>
  <c r="M83" i="2"/>
  <c r="L83" i="2"/>
  <c r="K83" i="2"/>
  <c r="J83" i="2"/>
  <c r="I83" i="2"/>
  <c r="H83" i="2"/>
  <c r="G83" i="2"/>
  <c r="F83" i="2"/>
  <c r="E83" i="2"/>
  <c r="D83" i="2"/>
  <c r="BA82" i="2"/>
  <c r="AZ82" i="2"/>
  <c r="AY82" i="2"/>
  <c r="AX82" i="2"/>
  <c r="AW82" i="2"/>
  <c r="AV82" i="2"/>
  <c r="AU82" i="2"/>
  <c r="AT82" i="2"/>
  <c r="AS82" i="2"/>
  <c r="AR82" i="2"/>
  <c r="AQ82" i="2"/>
  <c r="AP82" i="2"/>
  <c r="AO82" i="2"/>
  <c r="AN82" i="2"/>
  <c r="AM82" i="2"/>
  <c r="AL82" i="2"/>
  <c r="AK82" i="2"/>
  <c r="AJ82" i="2"/>
  <c r="AI82" i="2"/>
  <c r="AH82" i="2"/>
  <c r="AG82" i="2"/>
  <c r="AF82" i="2"/>
  <c r="AE82" i="2"/>
  <c r="AD82" i="2"/>
  <c r="AC82" i="2"/>
  <c r="AB82" i="2"/>
  <c r="AA82" i="2"/>
  <c r="Z82" i="2"/>
  <c r="Y82" i="2"/>
  <c r="X82" i="2"/>
  <c r="W82" i="2"/>
  <c r="V82" i="2"/>
  <c r="U82" i="2"/>
  <c r="T82" i="2"/>
  <c r="S82" i="2"/>
  <c r="R82" i="2"/>
  <c r="Q82" i="2"/>
  <c r="P82" i="2"/>
  <c r="O82" i="2"/>
  <c r="N82" i="2"/>
  <c r="M82" i="2"/>
  <c r="L82" i="2"/>
  <c r="K82" i="2"/>
  <c r="J82" i="2"/>
  <c r="I82" i="2"/>
  <c r="G82" i="2"/>
  <c r="F82" i="2"/>
  <c r="E82" i="2"/>
  <c r="D82" i="2"/>
  <c r="BA81" i="2"/>
  <c r="AZ81" i="2"/>
  <c r="AY81" i="2"/>
  <c r="AX81" i="2"/>
  <c r="AW81" i="2"/>
  <c r="AV81" i="2"/>
  <c r="AU81" i="2"/>
  <c r="AT81" i="2"/>
  <c r="AS81" i="2"/>
  <c r="AR81" i="2"/>
  <c r="AQ81" i="2"/>
  <c r="AP81" i="2"/>
  <c r="AO81" i="2"/>
  <c r="AN81" i="2"/>
  <c r="AM81" i="2"/>
  <c r="AL81" i="2"/>
  <c r="AK81" i="2"/>
  <c r="AJ81" i="2"/>
  <c r="AI81" i="2"/>
  <c r="AH81" i="2"/>
  <c r="AG81" i="2"/>
  <c r="AF81" i="2"/>
  <c r="AE81" i="2"/>
  <c r="AD81" i="2"/>
  <c r="AC81" i="2"/>
  <c r="AB81" i="2"/>
  <c r="AA81" i="2"/>
  <c r="Z81" i="2"/>
  <c r="Y81" i="2"/>
  <c r="X81" i="2"/>
  <c r="W81" i="2"/>
  <c r="V81" i="2"/>
  <c r="U81" i="2"/>
  <c r="T81" i="2"/>
  <c r="S81" i="2"/>
  <c r="R81" i="2"/>
  <c r="Q81" i="2"/>
  <c r="P81" i="2"/>
  <c r="O81" i="2"/>
  <c r="N81" i="2"/>
  <c r="M81" i="2"/>
  <c r="L81" i="2"/>
  <c r="K81" i="2"/>
  <c r="J81" i="2"/>
  <c r="I81" i="2"/>
  <c r="H81" i="2"/>
  <c r="G81" i="2"/>
  <c r="F81" i="2"/>
  <c r="E81" i="2"/>
  <c r="D81" i="2"/>
  <c r="BA78" i="2"/>
  <c r="BA95" i="2" s="1"/>
  <c r="AZ78" i="2"/>
  <c r="AZ95" i="2" s="1"/>
  <c r="AY78" i="2"/>
  <c r="AX78" i="2"/>
  <c r="AX95" i="2" s="1"/>
  <c r="AW78" i="2"/>
  <c r="AV78" i="2"/>
  <c r="AV95" i="2" s="1"/>
  <c r="AU78" i="2"/>
  <c r="AU95" i="2" s="1"/>
  <c r="AT78" i="2"/>
  <c r="AT95" i="2" s="1"/>
  <c r="AS78" i="2"/>
  <c r="AS95" i="2" s="1"/>
  <c r="AR78" i="2"/>
  <c r="AR95" i="2" s="1"/>
  <c r="AQ78" i="2"/>
  <c r="AQ95" i="2" s="1"/>
  <c r="AP78" i="2"/>
  <c r="AP95" i="2" s="1"/>
  <c r="AO78" i="2"/>
  <c r="AN78" i="2"/>
  <c r="AN95" i="2" s="1"/>
  <c r="AM78" i="2"/>
  <c r="AM95" i="2" s="1"/>
  <c r="AL78" i="2"/>
  <c r="AL95" i="2" s="1"/>
  <c r="AK78" i="2"/>
  <c r="AJ78" i="2"/>
  <c r="AJ95" i="2" s="1"/>
  <c r="AI78" i="2"/>
  <c r="AH78" i="2"/>
  <c r="AH95" i="2" s="1"/>
  <c r="AG78" i="2"/>
  <c r="AG95" i="2" s="1"/>
  <c r="AF78" i="2"/>
  <c r="AF95" i="2" s="1"/>
  <c r="AE78" i="2"/>
  <c r="AE95" i="2" s="1"/>
  <c r="AD78" i="2"/>
  <c r="AD95" i="2" s="1"/>
  <c r="AC78" i="2"/>
  <c r="AC95" i="2" s="1"/>
  <c r="AB78" i="2"/>
  <c r="AB95" i="2" s="1"/>
  <c r="AA78" i="2"/>
  <c r="AA95" i="2" s="1"/>
  <c r="Z78" i="2"/>
  <c r="Z95" i="2" s="1"/>
  <c r="Y78" i="2"/>
  <c r="X78" i="2"/>
  <c r="X95" i="2" s="1"/>
  <c r="W78" i="2"/>
  <c r="W95" i="2" s="1"/>
  <c r="V78" i="2"/>
  <c r="V95" i="2" s="1"/>
  <c r="U78" i="2"/>
  <c r="T78" i="2"/>
  <c r="T95" i="2" s="1"/>
  <c r="S78" i="2"/>
  <c r="R78" i="2"/>
  <c r="R95" i="2" s="1"/>
  <c r="Q78" i="2"/>
  <c r="P78" i="2"/>
  <c r="P95" i="2" s="1"/>
  <c r="O78" i="2"/>
  <c r="O95" i="2" s="1"/>
  <c r="N78" i="2"/>
  <c r="N95" i="2" s="1"/>
  <c r="M78" i="2"/>
  <c r="M95" i="2" s="1"/>
  <c r="L78" i="2"/>
  <c r="L95" i="2" s="1"/>
  <c r="K78" i="2"/>
  <c r="K95" i="2" s="1"/>
  <c r="J78" i="2"/>
  <c r="J95" i="2" s="1"/>
  <c r="I78" i="2"/>
  <c r="H78" i="2"/>
  <c r="H95" i="2" s="1"/>
  <c r="G78" i="2"/>
  <c r="G95" i="2" s="1"/>
  <c r="F78" i="2"/>
  <c r="F95" i="2" s="1"/>
  <c r="E78" i="2"/>
  <c r="D78" i="2"/>
  <c r="D95" i="2" s="1"/>
  <c r="BA73" i="2"/>
  <c r="AZ73" i="2"/>
  <c r="AY73" i="2"/>
  <c r="AX73" i="2"/>
  <c r="AW73" i="2"/>
  <c r="AV73" i="2"/>
  <c r="AU73" i="2"/>
  <c r="AT73" i="2"/>
  <c r="AS73" i="2"/>
  <c r="AR73" i="2"/>
  <c r="AQ73" i="2"/>
  <c r="AP73" i="2"/>
  <c r="AO73" i="2"/>
  <c r="AN73" i="2"/>
  <c r="AM73" i="2"/>
  <c r="BU73" i="2" s="1"/>
  <c r="AL73" i="2"/>
  <c r="AK73" i="2"/>
  <c r="AJ73" i="2"/>
  <c r="AI73" i="2"/>
  <c r="BT73" i="2" s="1"/>
  <c r="AH73" i="2"/>
  <c r="AG73" i="2"/>
  <c r="AF73" i="2"/>
  <c r="AE73" i="2"/>
  <c r="BS73" i="2" s="1"/>
  <c r="AD73" i="2"/>
  <c r="AC73" i="2"/>
  <c r="AB73" i="2"/>
  <c r="AA73" i="2"/>
  <c r="BR73" i="2" s="1"/>
  <c r="Z73" i="2"/>
  <c r="Y73" i="2"/>
  <c r="X73" i="2"/>
  <c r="W73" i="2"/>
  <c r="BQ73" i="2" s="1"/>
  <c r="V73" i="2"/>
  <c r="U73" i="2"/>
  <c r="T73" i="2"/>
  <c r="S73" i="2"/>
  <c r="BP73" i="2" s="1"/>
  <c r="R73" i="2"/>
  <c r="Q73" i="2"/>
  <c r="P73" i="2"/>
  <c r="O73" i="2"/>
  <c r="BO73" i="2" s="1"/>
  <c r="N73" i="2"/>
  <c r="M73" i="2"/>
  <c r="L73" i="2"/>
  <c r="K73" i="2"/>
  <c r="BN73" i="2" s="1"/>
  <c r="J73" i="2"/>
  <c r="I73" i="2"/>
  <c r="H73" i="2"/>
  <c r="G73" i="2"/>
  <c r="BM73" i="2" s="1"/>
  <c r="F73" i="2"/>
  <c r="E73" i="2"/>
  <c r="D73" i="2"/>
  <c r="BX70" i="2"/>
  <c r="BW70" i="2"/>
  <c r="BV70" i="2"/>
  <c r="BU70" i="2"/>
  <c r="BT70" i="2"/>
  <c r="BS70" i="2"/>
  <c r="BR70" i="2"/>
  <c r="BQ70" i="2"/>
  <c r="BP70" i="2"/>
  <c r="BO70" i="2"/>
  <c r="BN70" i="2"/>
  <c r="BM70" i="2"/>
  <c r="BX69" i="2"/>
  <c r="BW69" i="2"/>
  <c r="BV69" i="2"/>
  <c r="BU69" i="2"/>
  <c r="BT69" i="2"/>
  <c r="BS69" i="2"/>
  <c r="BR69" i="2"/>
  <c r="BQ69" i="2"/>
  <c r="BP69" i="2"/>
  <c r="BO69" i="2"/>
  <c r="BN69" i="2"/>
  <c r="BM69" i="2"/>
  <c r="BX68" i="2"/>
  <c r="BW68" i="2"/>
  <c r="BV68" i="2"/>
  <c r="BU68" i="2"/>
  <c r="BT68" i="2"/>
  <c r="BS68" i="2"/>
  <c r="BR68" i="2"/>
  <c r="BQ68" i="2"/>
  <c r="BP68" i="2"/>
  <c r="BO68" i="2"/>
  <c r="BN68" i="2"/>
  <c r="BM68" i="2"/>
  <c r="BX67" i="2"/>
  <c r="BW67" i="2"/>
  <c r="BV67" i="2"/>
  <c r="BU67" i="2"/>
  <c r="BT67" i="2"/>
  <c r="BS67" i="2"/>
  <c r="BR67" i="2"/>
  <c r="BQ67" i="2"/>
  <c r="BP67" i="2"/>
  <c r="BO67" i="2"/>
  <c r="BN67" i="2"/>
  <c r="BM67" i="2"/>
  <c r="BE68" i="2"/>
  <c r="BF68" i="2" s="1"/>
  <c r="BG68" i="2" s="1"/>
  <c r="BB67" i="2"/>
  <c r="AC67" i="2"/>
  <c r="BA65" i="2"/>
  <c r="BA71" i="2" s="1"/>
  <c r="BA74" i="2" s="1"/>
  <c r="AZ65" i="2"/>
  <c r="AY65" i="2"/>
  <c r="AX65" i="2"/>
  <c r="AW65" i="2"/>
  <c r="AW71" i="2" s="1"/>
  <c r="AW74" i="2" s="1"/>
  <c r="AV65" i="2"/>
  <c r="AU65" i="2"/>
  <c r="AT65" i="2"/>
  <c r="AS65" i="2"/>
  <c r="AR65" i="2"/>
  <c r="AQ65" i="2"/>
  <c r="AP65" i="2"/>
  <c r="AO65" i="2"/>
  <c r="AO71" i="2" s="1"/>
  <c r="AN65" i="2"/>
  <c r="AM65" i="2"/>
  <c r="AL65" i="2"/>
  <c r="AK65" i="2"/>
  <c r="AK71" i="2" s="1"/>
  <c r="AK74" i="2" s="1"/>
  <c r="AJ65" i="2"/>
  <c r="AJ71" i="2" s="1"/>
  <c r="AI65" i="2"/>
  <c r="AH65" i="2"/>
  <c r="AG65" i="2"/>
  <c r="AG71" i="2" s="1"/>
  <c r="AF65" i="2"/>
  <c r="AE65" i="2"/>
  <c r="AD65" i="2"/>
  <c r="AC65" i="2"/>
  <c r="AB65" i="2"/>
  <c r="AB71" i="2" s="1"/>
  <c r="AA65" i="2"/>
  <c r="Z65" i="2"/>
  <c r="Y65" i="2"/>
  <c r="Y71" i="2" s="1"/>
  <c r="Y74" i="2" s="1"/>
  <c r="X65" i="2"/>
  <c r="W65" i="2"/>
  <c r="V65" i="2"/>
  <c r="U65" i="2"/>
  <c r="U71" i="2" s="1"/>
  <c r="U74" i="2" s="1"/>
  <c r="T65" i="2"/>
  <c r="S65" i="2"/>
  <c r="R65" i="2"/>
  <c r="Q65" i="2"/>
  <c r="Q71" i="2" s="1"/>
  <c r="Q74" i="2" s="1"/>
  <c r="P65" i="2"/>
  <c r="O65" i="2"/>
  <c r="N65" i="2"/>
  <c r="M65" i="2"/>
  <c r="L65" i="2"/>
  <c r="K65" i="2"/>
  <c r="J65" i="2"/>
  <c r="I65" i="2"/>
  <c r="I71" i="2" s="1"/>
  <c r="I74" i="2" s="1"/>
  <c r="H65" i="2"/>
  <c r="G65" i="2"/>
  <c r="F65" i="2"/>
  <c r="E65" i="2"/>
  <c r="E71" i="2" s="1"/>
  <c r="D65" i="2"/>
  <c r="BX64" i="2"/>
  <c r="BW64" i="2"/>
  <c r="BV64" i="2"/>
  <c r="BU64" i="2"/>
  <c r="BT64" i="2"/>
  <c r="BS64" i="2"/>
  <c r="BR64" i="2"/>
  <c r="BQ64" i="2"/>
  <c r="BP64" i="2"/>
  <c r="BO64" i="2"/>
  <c r="BN64" i="2"/>
  <c r="BM64" i="2"/>
  <c r="BZ63" i="2"/>
  <c r="BY63" i="2"/>
  <c r="BX63" i="2"/>
  <c r="BW63" i="2"/>
  <c r="BV63" i="2"/>
  <c r="BU63" i="2"/>
  <c r="BT63" i="2"/>
  <c r="BS63" i="2"/>
  <c r="BR63" i="2"/>
  <c r="BQ63" i="2"/>
  <c r="BP63" i="2"/>
  <c r="BO63" i="2"/>
  <c r="BN63" i="2"/>
  <c r="BM63" i="2"/>
  <c r="BX62" i="2"/>
  <c r="BW62" i="2"/>
  <c r="BV62" i="2"/>
  <c r="BU62" i="2"/>
  <c r="BT62" i="2"/>
  <c r="BS62" i="2"/>
  <c r="BR62" i="2"/>
  <c r="BQ62" i="2"/>
  <c r="BP62" i="2"/>
  <c r="BO62" i="2"/>
  <c r="BN62" i="2"/>
  <c r="BM62" i="2"/>
  <c r="BX61" i="2"/>
  <c r="BW61" i="2"/>
  <c r="BV61" i="2"/>
  <c r="BU61" i="2"/>
  <c r="BT61" i="2"/>
  <c r="BS61" i="2"/>
  <c r="BR61" i="2"/>
  <c r="BR65" i="2" s="1"/>
  <c r="BR71" i="2" s="1"/>
  <c r="BR74" i="2" s="1"/>
  <c r="BQ61" i="2"/>
  <c r="BP61" i="2"/>
  <c r="BO61" i="2"/>
  <c r="BN61" i="2"/>
  <c r="BM61" i="2"/>
  <c r="BY62" i="2"/>
  <c r="BB61" i="2"/>
  <c r="BA57" i="2"/>
  <c r="AZ57" i="2"/>
  <c r="AZ52" i="2" s="1"/>
  <c r="AZ51" i="2" s="1"/>
  <c r="AY57" i="2"/>
  <c r="AX57" i="2"/>
  <c r="AX52" i="2" s="1"/>
  <c r="AX51" i="2" s="1"/>
  <c r="AW57" i="2"/>
  <c r="AW53" i="2" s="1"/>
  <c r="AV57" i="2"/>
  <c r="AV52" i="2" s="1"/>
  <c r="AV51" i="2" s="1"/>
  <c r="AU57" i="2"/>
  <c r="AT57" i="2"/>
  <c r="AT52" i="2" s="1"/>
  <c r="AT51" i="2" s="1"/>
  <c r="AS57" i="2"/>
  <c r="AR57" i="2"/>
  <c r="AR52" i="2" s="1"/>
  <c r="AR51" i="2" s="1"/>
  <c r="AQ57" i="2"/>
  <c r="AP57" i="2"/>
  <c r="AP52" i="2" s="1"/>
  <c r="AP51" i="2" s="1"/>
  <c r="AO57" i="2"/>
  <c r="AO53" i="2" s="1"/>
  <c r="AN57" i="2"/>
  <c r="AN52" i="2" s="1"/>
  <c r="AN51" i="2" s="1"/>
  <c r="AM57" i="2"/>
  <c r="AL57" i="2"/>
  <c r="AL52" i="2" s="1"/>
  <c r="AL51" i="2" s="1"/>
  <c r="AK57" i="2"/>
  <c r="AJ57" i="2"/>
  <c r="AJ52" i="2" s="1"/>
  <c r="AJ51" i="2" s="1"/>
  <c r="AI57" i="2"/>
  <c r="AH57" i="2"/>
  <c r="AH52" i="2" s="1"/>
  <c r="AH51" i="2" s="1"/>
  <c r="AG57" i="2"/>
  <c r="AG53" i="2" s="1"/>
  <c r="AF57" i="2"/>
  <c r="AF52" i="2" s="1"/>
  <c r="AF51" i="2" s="1"/>
  <c r="AE57" i="2"/>
  <c r="AD57" i="2"/>
  <c r="AD52" i="2" s="1"/>
  <c r="AD51" i="2" s="1"/>
  <c r="AC57" i="2"/>
  <c r="AB57" i="2"/>
  <c r="AB52" i="2" s="1"/>
  <c r="AB51" i="2" s="1"/>
  <c r="Z57" i="2"/>
  <c r="Z52" i="2" s="1"/>
  <c r="Z51" i="2" s="1"/>
  <c r="Y57" i="2"/>
  <c r="Y53" i="2" s="1"/>
  <c r="X57" i="2"/>
  <c r="X52" i="2" s="1"/>
  <c r="X51" i="2" s="1"/>
  <c r="V57" i="2"/>
  <c r="V52" i="2" s="1"/>
  <c r="V51" i="2" s="1"/>
  <c r="U57" i="2"/>
  <c r="T57" i="2"/>
  <c r="T52" i="2" s="1"/>
  <c r="T51" i="2" s="1"/>
  <c r="R57" i="2"/>
  <c r="R52" i="2" s="1"/>
  <c r="R51" i="2" s="1"/>
  <c r="Q57" i="2"/>
  <c r="Q53" i="2" s="1"/>
  <c r="P57" i="2"/>
  <c r="P52" i="2" s="1"/>
  <c r="P51" i="2" s="1"/>
  <c r="N57" i="2"/>
  <c r="N52" i="2" s="1"/>
  <c r="N51" i="2" s="1"/>
  <c r="M57" i="2"/>
  <c r="M52" i="2" s="1"/>
  <c r="M51" i="2" s="1"/>
  <c r="L57" i="2"/>
  <c r="L52" i="2" s="1"/>
  <c r="L51" i="2" s="1"/>
  <c r="J57" i="2"/>
  <c r="J52" i="2" s="1"/>
  <c r="J51" i="2" s="1"/>
  <c r="I57" i="2"/>
  <c r="I52" i="2" s="1"/>
  <c r="I51" i="2" s="1"/>
  <c r="H57" i="2"/>
  <c r="H52" i="2" s="1"/>
  <c r="H51" i="2" s="1"/>
  <c r="F57" i="2"/>
  <c r="F52" i="2" s="1"/>
  <c r="F51" i="2" s="1"/>
  <c r="E57" i="2"/>
  <c r="E52" i="2" s="1"/>
  <c r="E51" i="2" s="1"/>
  <c r="D57" i="2"/>
  <c r="D52" i="2" s="1"/>
  <c r="D51" i="2" s="1"/>
  <c r="BA56" i="2"/>
  <c r="BA50" i="2" s="1"/>
  <c r="AZ56" i="2"/>
  <c r="AZ50" i="2" s="1"/>
  <c r="AY56" i="2"/>
  <c r="AY50" i="2" s="1"/>
  <c r="AX56" i="2"/>
  <c r="AW56" i="2"/>
  <c r="AW50" i="2" s="1"/>
  <c r="AV56" i="2"/>
  <c r="AV50" i="2" s="1"/>
  <c r="AU56" i="2"/>
  <c r="AU50" i="2" s="1"/>
  <c r="AT56" i="2"/>
  <c r="AS56" i="2"/>
  <c r="AS50" i="2" s="1"/>
  <c r="AR56" i="2"/>
  <c r="AR50" i="2" s="1"/>
  <c r="AQ56" i="2"/>
  <c r="AQ54" i="2" s="1"/>
  <c r="AP56" i="2"/>
  <c r="AP54" i="2" s="1"/>
  <c r="AO56" i="2"/>
  <c r="AO54" i="2" s="1"/>
  <c r="AN56" i="2"/>
  <c r="AN54" i="2" s="1"/>
  <c r="AM56" i="2"/>
  <c r="AM54" i="2" s="1"/>
  <c r="AL56" i="2"/>
  <c r="AL54" i="2" s="1"/>
  <c r="AK56" i="2"/>
  <c r="AK54" i="2" s="1"/>
  <c r="AJ56" i="2"/>
  <c r="AJ54" i="2" s="1"/>
  <c r="AI56" i="2"/>
  <c r="AI54" i="2" s="1"/>
  <c r="AH56" i="2"/>
  <c r="AH54" i="2" s="1"/>
  <c r="AG56" i="2"/>
  <c r="AG54" i="2" s="1"/>
  <c r="AF56" i="2"/>
  <c r="AF54" i="2" s="1"/>
  <c r="AE56" i="2"/>
  <c r="AE54" i="2" s="1"/>
  <c r="AD56" i="2"/>
  <c r="AD54" i="2" s="1"/>
  <c r="AC56" i="2"/>
  <c r="AC50" i="2" s="1"/>
  <c r="AB56" i="2"/>
  <c r="AB54" i="2" s="1"/>
  <c r="Z56" i="2"/>
  <c r="Z54" i="2" s="1"/>
  <c r="Y56" i="2"/>
  <c r="Y54" i="2" s="1"/>
  <c r="X56" i="2"/>
  <c r="X54" i="2" s="1"/>
  <c r="V56" i="2"/>
  <c r="V54" i="2" s="1"/>
  <c r="U56" i="2"/>
  <c r="U54" i="2" s="1"/>
  <c r="T56" i="2"/>
  <c r="T54" i="2" s="1"/>
  <c r="R56" i="2"/>
  <c r="R50" i="2" s="1"/>
  <c r="Q56" i="2"/>
  <c r="P56" i="2"/>
  <c r="P54" i="2" s="1"/>
  <c r="N56" i="2"/>
  <c r="N54" i="2" s="1"/>
  <c r="M56" i="2"/>
  <c r="M50" i="2" s="1"/>
  <c r="L56" i="2"/>
  <c r="L50" i="2" s="1"/>
  <c r="J56" i="2"/>
  <c r="J50" i="2" s="1"/>
  <c r="I56" i="2"/>
  <c r="H56" i="2"/>
  <c r="H50" i="2" s="1"/>
  <c r="F56" i="2"/>
  <c r="F50" i="2" s="1"/>
  <c r="E56" i="2"/>
  <c r="E54" i="2" s="1"/>
  <c r="D56" i="2"/>
  <c r="D54" i="2" s="1"/>
  <c r="AC54" i="2"/>
  <c r="AZ53" i="2"/>
  <c r="T53" i="2"/>
  <c r="BG51" i="2"/>
  <c r="BF51" i="2"/>
  <c r="BE51" i="2"/>
  <c r="AF50" i="2"/>
  <c r="BX42" i="2"/>
  <c r="BW42" i="2"/>
  <c r="BV42" i="2"/>
  <c r="BV73" i="2" s="1"/>
  <c r="BU42" i="2"/>
  <c r="BT42" i="2"/>
  <c r="BS42" i="2"/>
  <c r="BR42" i="2"/>
  <c r="BQ42" i="2"/>
  <c r="BP42" i="2"/>
  <c r="BO42" i="2"/>
  <c r="BN42" i="2"/>
  <c r="BM42" i="2"/>
  <c r="AA39" i="2"/>
  <c r="Z39" i="2"/>
  <c r="BX40" i="2"/>
  <c r="BW40" i="2"/>
  <c r="BV40" i="2"/>
  <c r="BU40" i="2"/>
  <c r="BT40" i="2"/>
  <c r="BS40" i="2"/>
  <c r="BR40" i="2"/>
  <c r="BQ40" i="2"/>
  <c r="BP40" i="2"/>
  <c r="BO40" i="2"/>
  <c r="BN40" i="2"/>
  <c r="BM40" i="2"/>
  <c r="BX39" i="2"/>
  <c r="BW39" i="2"/>
  <c r="BV39" i="2"/>
  <c r="BU39" i="2"/>
  <c r="BT39" i="2"/>
  <c r="BS39" i="2"/>
  <c r="BR39" i="2"/>
  <c r="BQ39" i="2"/>
  <c r="BP39" i="2"/>
  <c r="BO39" i="2"/>
  <c r="BN39" i="2"/>
  <c r="BM39" i="2"/>
  <c r="BX38" i="2"/>
  <c r="BW38" i="2"/>
  <c r="BV38" i="2"/>
  <c r="BU38" i="2"/>
  <c r="BT38" i="2"/>
  <c r="BS38" i="2"/>
  <c r="BR38" i="2"/>
  <c r="BQ38" i="2"/>
  <c r="BP38" i="2"/>
  <c r="BO38" i="2"/>
  <c r="BN38" i="2"/>
  <c r="BM38" i="2"/>
  <c r="BX37" i="2"/>
  <c r="BW37" i="2"/>
  <c r="BV37" i="2"/>
  <c r="BU37" i="2"/>
  <c r="BT37" i="2"/>
  <c r="BS37" i="2"/>
  <c r="BR37" i="2"/>
  <c r="BQ37" i="2"/>
  <c r="BP37" i="2"/>
  <c r="BO37" i="2"/>
  <c r="BN37" i="2"/>
  <c r="BM37" i="2"/>
  <c r="BY40" i="2"/>
  <c r="BY37" i="2"/>
  <c r="E37" i="2"/>
  <c r="D37" i="2"/>
  <c r="BA35" i="2"/>
  <c r="BA44" i="2" s="1"/>
  <c r="AZ35" i="2"/>
  <c r="AZ44" i="2" s="1"/>
  <c r="AW35" i="2"/>
  <c r="AW44" i="2" s="1"/>
  <c r="AV35" i="2"/>
  <c r="AV44" i="2" s="1"/>
  <c r="AU35" i="2"/>
  <c r="AU44" i="2" s="1"/>
  <c r="AT35" i="2"/>
  <c r="AT44" i="2" s="1"/>
  <c r="AS35" i="2"/>
  <c r="AS44" i="2" s="1"/>
  <c r="AR35" i="2"/>
  <c r="AR44" i="2" s="1"/>
  <c r="AQ35" i="2"/>
  <c r="AQ44" i="2" s="1"/>
  <c r="AP35" i="2"/>
  <c r="AP44" i="2" s="1"/>
  <c r="AO35" i="2"/>
  <c r="AO44" i="2" s="1"/>
  <c r="AN35" i="2"/>
  <c r="AN44" i="2" s="1"/>
  <c r="AM35" i="2"/>
  <c r="AM44" i="2" s="1"/>
  <c r="AL35" i="2"/>
  <c r="AL44" i="2" s="1"/>
  <c r="AK35" i="2"/>
  <c r="AK44" i="2" s="1"/>
  <c r="AI35" i="2"/>
  <c r="AI44" i="2" s="1"/>
  <c r="AH35" i="2"/>
  <c r="AH44" i="2" s="1"/>
  <c r="AG35" i="2"/>
  <c r="AG44" i="2" s="1"/>
  <c r="AF35" i="2"/>
  <c r="AF44" i="2" s="1"/>
  <c r="AE35" i="2"/>
  <c r="AE44" i="2" s="1"/>
  <c r="AD35" i="2"/>
  <c r="AD44" i="2" s="1"/>
  <c r="AC35" i="2"/>
  <c r="AC44" i="2" s="1"/>
  <c r="AB35" i="2"/>
  <c r="AB44" i="2" s="1"/>
  <c r="AA35" i="2"/>
  <c r="AA44" i="2" s="1"/>
  <c r="Z35" i="2"/>
  <c r="Y35" i="2"/>
  <c r="Y44" i="2" s="1"/>
  <c r="X35" i="2"/>
  <c r="X44" i="2" s="1"/>
  <c r="W35" i="2"/>
  <c r="W44" i="2" s="1"/>
  <c r="V35" i="2"/>
  <c r="V44" i="2" s="1"/>
  <c r="N35" i="2"/>
  <c r="N44" i="2" s="1"/>
  <c r="AW34" i="2"/>
  <c r="AJ34" i="2"/>
  <c r="AJ35" i="2" s="1"/>
  <c r="AJ44" i="2" s="1"/>
  <c r="R34" i="2"/>
  <c r="Q34" i="2"/>
  <c r="O34" i="2"/>
  <c r="F34" i="2"/>
  <c r="E34" i="2"/>
  <c r="D34" i="2"/>
  <c r="V30" i="2"/>
  <c r="U30" i="2"/>
  <c r="U35" i="2" s="1"/>
  <c r="U44" i="2" s="1"/>
  <c r="T30" i="2"/>
  <c r="T35" i="2" s="1"/>
  <c r="T44" i="2" s="1"/>
  <c r="S30" i="2"/>
  <c r="R30" i="2"/>
  <c r="Q30" i="2"/>
  <c r="Q35" i="2" s="1"/>
  <c r="Q44" i="2" s="1"/>
  <c r="P30" i="2"/>
  <c r="P35" i="2" s="1"/>
  <c r="P44" i="2" s="1"/>
  <c r="O30" i="2"/>
  <c r="O35" i="2" s="1"/>
  <c r="O44" i="2" s="1"/>
  <c r="N30" i="2"/>
  <c r="M30" i="2"/>
  <c r="L30" i="2"/>
  <c r="K30" i="2"/>
  <c r="J30" i="2"/>
  <c r="I30" i="2"/>
  <c r="H30" i="2"/>
  <c r="G30" i="2"/>
  <c r="BM30" i="2" s="1"/>
  <c r="F30" i="2"/>
  <c r="E30" i="2"/>
  <c r="D30" i="2"/>
  <c r="AY29" i="2"/>
  <c r="AY35" i="2" s="1"/>
  <c r="AY44" i="2" s="1"/>
  <c r="AX29" i="2"/>
  <c r="AX35" i="2" s="1"/>
  <c r="AX44" i="2" s="1"/>
  <c r="BY33" i="2"/>
  <c r="BY29" i="2"/>
  <c r="M28" i="2"/>
  <c r="L28" i="2"/>
  <c r="J28" i="2"/>
  <c r="I28" i="2"/>
  <c r="H28" i="2"/>
  <c r="G28" i="2"/>
  <c r="F28" i="2"/>
  <c r="E28" i="2"/>
  <c r="D28" i="2"/>
  <c r="BX34" i="2"/>
  <c r="BW34" i="2"/>
  <c r="BV34" i="2"/>
  <c r="BU34" i="2"/>
  <c r="BT34" i="2"/>
  <c r="BS34" i="2"/>
  <c r="BR34" i="2"/>
  <c r="BQ34" i="2"/>
  <c r="BP34" i="2"/>
  <c r="BO34" i="2"/>
  <c r="BN34" i="2"/>
  <c r="BM34" i="2"/>
  <c r="BX33" i="2"/>
  <c r="BW33" i="2"/>
  <c r="BV33" i="2"/>
  <c r="BU33" i="2"/>
  <c r="BT33" i="2"/>
  <c r="BS33" i="2"/>
  <c r="BR33" i="2"/>
  <c r="BQ33" i="2"/>
  <c r="BP33" i="2"/>
  <c r="BO33" i="2"/>
  <c r="BN33" i="2"/>
  <c r="BM33" i="2"/>
  <c r="BX32" i="2"/>
  <c r="BW32" i="2"/>
  <c r="BV32" i="2"/>
  <c r="BU32" i="2"/>
  <c r="BT32" i="2"/>
  <c r="BS32" i="2"/>
  <c r="BR32" i="2"/>
  <c r="BQ32" i="2"/>
  <c r="BP32" i="2"/>
  <c r="BO32" i="2"/>
  <c r="BN32" i="2"/>
  <c r="BM32" i="2"/>
  <c r="BX31" i="2"/>
  <c r="BW31" i="2"/>
  <c r="BV31" i="2"/>
  <c r="BU31" i="2"/>
  <c r="BT31" i="2"/>
  <c r="BS31" i="2"/>
  <c r="BR31" i="2"/>
  <c r="BQ31" i="2"/>
  <c r="BP31" i="2"/>
  <c r="BO31" i="2"/>
  <c r="BN31" i="2"/>
  <c r="BM31" i="2"/>
  <c r="BX30" i="2"/>
  <c r="BW30" i="2"/>
  <c r="BV30" i="2"/>
  <c r="BU30" i="2"/>
  <c r="BT30" i="2"/>
  <c r="BS30" i="2"/>
  <c r="BR30" i="2"/>
  <c r="BQ30" i="2"/>
  <c r="BX29" i="2"/>
  <c r="BW29" i="2"/>
  <c r="BV29" i="2"/>
  <c r="BU29" i="2"/>
  <c r="BT29" i="2"/>
  <c r="BS29" i="2"/>
  <c r="BR29" i="2"/>
  <c r="BQ29" i="2"/>
  <c r="BP29" i="2"/>
  <c r="BO29" i="2"/>
  <c r="BN29" i="2"/>
  <c r="BM29" i="2"/>
  <c r="BX28" i="2"/>
  <c r="BW28" i="2"/>
  <c r="BV28" i="2"/>
  <c r="BU28" i="2"/>
  <c r="BT28" i="2"/>
  <c r="BS28" i="2"/>
  <c r="BR28" i="2"/>
  <c r="BQ28" i="2"/>
  <c r="BP28" i="2"/>
  <c r="BO28" i="2"/>
  <c r="BN28" i="2"/>
  <c r="BM28" i="2"/>
  <c r="BZ27" i="2"/>
  <c r="BY27" i="2"/>
  <c r="BX27" i="2"/>
  <c r="BW27" i="2"/>
  <c r="BV27" i="2"/>
  <c r="BU27" i="2"/>
  <c r="BT27" i="2"/>
  <c r="BS27" i="2"/>
  <c r="BR27" i="2"/>
  <c r="BQ27" i="2"/>
  <c r="BP27" i="2"/>
  <c r="BO27" i="2"/>
  <c r="BN27" i="2"/>
  <c r="BM27" i="2"/>
  <c r="F27" i="2"/>
  <c r="F35" i="2" s="1"/>
  <c r="F44" i="2" s="1"/>
  <c r="E27" i="2"/>
  <c r="D27" i="2"/>
  <c r="D35" i="2" s="1"/>
  <c r="D44" i="2" s="1"/>
  <c r="BA23" i="2"/>
  <c r="AZ23" i="2"/>
  <c r="AY23" i="2"/>
  <c r="BX23" i="2" s="1"/>
  <c r="AW23" i="2"/>
  <c r="M23" i="2"/>
  <c r="L23" i="2"/>
  <c r="K23" i="2"/>
  <c r="J23" i="2"/>
  <c r="I23" i="2"/>
  <c r="H23" i="2"/>
  <c r="G23" i="2"/>
  <c r="BM23" i="2" s="1"/>
  <c r="BW23" i="2"/>
  <c r="BV23" i="2"/>
  <c r="BU23" i="2"/>
  <c r="BT23" i="2"/>
  <c r="BS23" i="2"/>
  <c r="BR23" i="2"/>
  <c r="BQ23" i="2"/>
  <c r="BP23" i="2"/>
  <c r="BO23" i="2"/>
  <c r="BN23" i="2"/>
  <c r="BX22" i="2"/>
  <c r="BW22" i="2"/>
  <c r="BV22" i="2"/>
  <c r="BU22" i="2"/>
  <c r="BT22" i="2"/>
  <c r="BS22" i="2"/>
  <c r="BR22" i="2"/>
  <c r="BQ22" i="2"/>
  <c r="BP22" i="2"/>
  <c r="BO22" i="2"/>
  <c r="BN22" i="2"/>
  <c r="BM22" i="2"/>
  <c r="BX21" i="2"/>
  <c r="BW21" i="2"/>
  <c r="BV21" i="2"/>
  <c r="BU21" i="2"/>
  <c r="BT21" i="2"/>
  <c r="BS21" i="2"/>
  <c r="BR21" i="2"/>
  <c r="BQ21" i="2"/>
  <c r="BP21" i="2"/>
  <c r="BO21" i="2"/>
  <c r="BN21" i="2"/>
  <c r="BM21" i="2"/>
  <c r="BX20" i="2"/>
  <c r="BW20" i="2"/>
  <c r="BV20" i="2"/>
  <c r="BU20" i="2"/>
  <c r="BT20" i="2"/>
  <c r="BS20" i="2"/>
  <c r="BR20" i="2"/>
  <c r="BQ20" i="2"/>
  <c r="BP20" i="2"/>
  <c r="BO20" i="2"/>
  <c r="BN20" i="2"/>
  <c r="BM20" i="2"/>
  <c r="BX19" i="2"/>
  <c r="BW19" i="2"/>
  <c r="BV19" i="2"/>
  <c r="BU19" i="2"/>
  <c r="BT19" i="2"/>
  <c r="BS19" i="2"/>
  <c r="BR19" i="2"/>
  <c r="BQ19" i="2"/>
  <c r="BP19" i="2"/>
  <c r="BO19" i="2"/>
  <c r="BN19" i="2"/>
  <c r="BM19" i="2"/>
  <c r="BX18" i="2"/>
  <c r="BX83" i="2" s="1"/>
  <c r="BW18" i="2"/>
  <c r="BW83" i="2" s="1"/>
  <c r="BV18" i="2"/>
  <c r="BV83" i="2" s="1"/>
  <c r="BU18" i="2"/>
  <c r="BU83" i="2" s="1"/>
  <c r="BT18" i="2"/>
  <c r="BT83" i="2" s="1"/>
  <c r="BS18" i="2"/>
  <c r="BS83" i="2" s="1"/>
  <c r="BR18" i="2"/>
  <c r="BR83" i="2" s="1"/>
  <c r="BQ18" i="2"/>
  <c r="BQ83" i="2" s="1"/>
  <c r="BP18" i="2"/>
  <c r="BP83" i="2" s="1"/>
  <c r="BO18" i="2"/>
  <c r="BO83" i="2" s="1"/>
  <c r="BN18" i="2"/>
  <c r="BM18" i="2"/>
  <c r="BX17" i="2"/>
  <c r="BX78" i="3" s="1"/>
  <c r="BW17" i="2"/>
  <c r="BW78" i="3" s="1"/>
  <c r="BV17" i="2"/>
  <c r="BV78" i="3" s="1"/>
  <c r="BU17" i="2"/>
  <c r="BU78" i="3" s="1"/>
  <c r="BT17" i="2"/>
  <c r="BT78" i="3" s="1"/>
  <c r="BS17" i="2"/>
  <c r="BS78" i="3" s="1"/>
  <c r="BR17" i="2"/>
  <c r="BR78" i="3" s="1"/>
  <c r="BQ17" i="2"/>
  <c r="BQ78" i="3" s="1"/>
  <c r="BP17" i="2"/>
  <c r="BP78" i="3" s="1"/>
  <c r="BO17" i="2"/>
  <c r="BO78" i="3" s="1"/>
  <c r="BN17" i="2"/>
  <c r="BN78" i="3" s="1"/>
  <c r="BM17" i="2"/>
  <c r="BM78" i="3" s="1"/>
  <c r="BE22" i="2"/>
  <c r="BF22" i="2" s="1"/>
  <c r="BG22" i="2" s="1"/>
  <c r="BY20" i="2"/>
  <c r="AZ15" i="2"/>
  <c r="AQ15" i="2"/>
  <c r="AP15" i="2"/>
  <c r="AP24" i="2" s="1"/>
  <c r="AP74" i="3" s="1"/>
  <c r="AO15" i="2"/>
  <c r="AN15" i="2"/>
  <c r="AN24" i="2" s="1"/>
  <c r="AM15" i="2"/>
  <c r="AL15" i="2"/>
  <c r="AL24" i="2" s="1"/>
  <c r="AL74" i="3" s="1"/>
  <c r="AK15" i="2"/>
  <c r="AJ15" i="2"/>
  <c r="AJ24" i="2" s="1"/>
  <c r="AJ74" i="3" s="1"/>
  <c r="AI15" i="2"/>
  <c r="AH15" i="2"/>
  <c r="AH24" i="2" s="1"/>
  <c r="AH74" i="3" s="1"/>
  <c r="AG15" i="2"/>
  <c r="AF15" i="2"/>
  <c r="AF101" i="2" s="1"/>
  <c r="AE15" i="2"/>
  <c r="AE24" i="2" s="1"/>
  <c r="AE74" i="3" s="1"/>
  <c r="AD15" i="2"/>
  <c r="AD24" i="2" s="1"/>
  <c r="AD74" i="3" s="1"/>
  <c r="AC15" i="2"/>
  <c r="AB15" i="2"/>
  <c r="AB101" i="2" s="1"/>
  <c r="AA15" i="2"/>
  <c r="Z15" i="2"/>
  <c r="Z24" i="2" s="1"/>
  <c r="Z74" i="3" s="1"/>
  <c r="Y15" i="2"/>
  <c r="X15" i="2"/>
  <c r="X101" i="2" s="1"/>
  <c r="W15" i="2"/>
  <c r="V15" i="2"/>
  <c r="V24" i="2" s="1"/>
  <c r="V74" i="3" s="1"/>
  <c r="U15" i="2"/>
  <c r="T15" i="2"/>
  <c r="T24" i="2" s="1"/>
  <c r="T74" i="3" s="1"/>
  <c r="S15" i="2"/>
  <c r="Q15" i="2"/>
  <c r="P15" i="2"/>
  <c r="P24" i="2" s="1"/>
  <c r="P74" i="3" s="1"/>
  <c r="O15" i="2"/>
  <c r="N15" i="2"/>
  <c r="N24" i="2" s="1"/>
  <c r="N74" i="3" s="1"/>
  <c r="K15" i="2"/>
  <c r="E15" i="2"/>
  <c r="D15" i="2"/>
  <c r="D24" i="2" s="1"/>
  <c r="D74" i="3" s="1"/>
  <c r="BA14" i="2"/>
  <c r="BA15" i="2" s="1"/>
  <c r="AZ14" i="2"/>
  <c r="AY14" i="2"/>
  <c r="AY15" i="2" s="1"/>
  <c r="AY101" i="2" s="1"/>
  <c r="AX14" i="2"/>
  <c r="AX15" i="2" s="1"/>
  <c r="AW14" i="2"/>
  <c r="AV14" i="2"/>
  <c r="AU14" i="2"/>
  <c r="AT14" i="2"/>
  <c r="AT15" i="2" s="1"/>
  <c r="AS14" i="2"/>
  <c r="AS15" i="2" s="1"/>
  <c r="AR14" i="2"/>
  <c r="R14" i="2"/>
  <c r="Q14" i="2"/>
  <c r="M14" i="2"/>
  <c r="M15" i="2" s="1"/>
  <c r="L14" i="2"/>
  <c r="L15" i="2" s="1"/>
  <c r="L24" i="2" s="1"/>
  <c r="L74" i="3" s="1"/>
  <c r="J14" i="2"/>
  <c r="I14" i="2"/>
  <c r="I15" i="2" s="1"/>
  <c r="H14" i="2"/>
  <c r="H15" i="2" s="1"/>
  <c r="H24" i="2" s="1"/>
  <c r="H74" i="3" s="1"/>
  <c r="G14" i="2"/>
  <c r="F14" i="2"/>
  <c r="H9" i="2"/>
  <c r="H82" i="2" s="1"/>
  <c r="BX14" i="2"/>
  <c r="BV14" i="2"/>
  <c r="BU14" i="2"/>
  <c r="BT14" i="2"/>
  <c r="BS14" i="2"/>
  <c r="BR14" i="2"/>
  <c r="BQ14" i="2"/>
  <c r="BP14" i="2"/>
  <c r="BO14" i="2"/>
  <c r="BN14" i="2"/>
  <c r="BX13" i="2"/>
  <c r="BW13" i="2"/>
  <c r="BV13" i="2"/>
  <c r="BU13" i="2"/>
  <c r="BT13" i="2"/>
  <c r="BS13" i="2"/>
  <c r="BR13" i="2"/>
  <c r="BQ13" i="2"/>
  <c r="BP13" i="2"/>
  <c r="BO13" i="2"/>
  <c r="BN13" i="2"/>
  <c r="BM13" i="2"/>
  <c r="BX12" i="2"/>
  <c r="BW12" i="2"/>
  <c r="BV12" i="2"/>
  <c r="BU12" i="2"/>
  <c r="BT12" i="2"/>
  <c r="BS12" i="2"/>
  <c r="BR12" i="2"/>
  <c r="BQ12" i="2"/>
  <c r="BP12" i="2"/>
  <c r="BO12" i="2"/>
  <c r="BN12" i="2"/>
  <c r="BM12" i="2"/>
  <c r="BX11" i="2"/>
  <c r="BW11" i="2"/>
  <c r="BV11" i="2"/>
  <c r="BU11" i="2"/>
  <c r="BT11" i="2"/>
  <c r="BS11" i="2"/>
  <c r="BR11" i="2"/>
  <c r="BQ11" i="2"/>
  <c r="BP11" i="2"/>
  <c r="BO11" i="2"/>
  <c r="BN11" i="2"/>
  <c r="BM11" i="2"/>
  <c r="BX10" i="2"/>
  <c r="BW10" i="2"/>
  <c r="BV10" i="2"/>
  <c r="BU10" i="2"/>
  <c r="BT10" i="2"/>
  <c r="BS10" i="2"/>
  <c r="BR10" i="2"/>
  <c r="BQ10" i="2"/>
  <c r="BP10" i="2"/>
  <c r="BO10" i="2"/>
  <c r="BN10" i="2"/>
  <c r="BM10" i="2"/>
  <c r="BX9" i="2"/>
  <c r="BX82" i="2" s="1"/>
  <c r="BW9" i="2"/>
  <c r="BW82" i="2" s="1"/>
  <c r="BV9" i="2"/>
  <c r="BV82" i="2" s="1"/>
  <c r="BU9" i="2"/>
  <c r="BU82" i="2" s="1"/>
  <c r="BT9" i="2"/>
  <c r="BT82" i="2" s="1"/>
  <c r="BS9" i="2"/>
  <c r="BS82" i="2" s="1"/>
  <c r="BR9" i="2"/>
  <c r="BR82" i="2" s="1"/>
  <c r="BQ9" i="2"/>
  <c r="BQ82" i="2" s="1"/>
  <c r="BP9" i="2"/>
  <c r="BP82" i="2" s="1"/>
  <c r="BO9" i="2"/>
  <c r="BO82" i="2" s="1"/>
  <c r="BN9" i="2"/>
  <c r="BM9" i="2"/>
  <c r="BX8" i="2"/>
  <c r="BX63" i="3" s="1"/>
  <c r="BW8" i="2"/>
  <c r="BW63" i="3" s="1"/>
  <c r="BV8" i="2"/>
  <c r="BU8" i="2"/>
  <c r="BT8" i="2"/>
  <c r="BT63" i="3" s="1"/>
  <c r="BS8" i="2"/>
  <c r="BS63" i="3" s="1"/>
  <c r="BR8" i="2"/>
  <c r="BQ8" i="2"/>
  <c r="BP8" i="2"/>
  <c r="BP63" i="3" s="1"/>
  <c r="BO8" i="2"/>
  <c r="BO63" i="3" s="1"/>
  <c r="BN8" i="2"/>
  <c r="BN63" i="3" s="1"/>
  <c r="BM8" i="2"/>
  <c r="BM156" i="3" s="1"/>
  <c r="BE10" i="2"/>
  <c r="BF10" i="2" s="1"/>
  <c r="BG10" i="2" s="1"/>
  <c r="BB82" i="2"/>
  <c r="CA6" i="2"/>
  <c r="BZ6" i="2"/>
  <c r="BY6" i="2"/>
  <c r="BY6" i="3" s="1"/>
  <c r="BX6" i="2"/>
  <c r="BX6" i="3" s="1"/>
  <c r="BW6" i="2"/>
  <c r="BW6" i="3" s="1"/>
  <c r="BV6" i="2"/>
  <c r="BV6" i="3" s="1"/>
  <c r="BU6" i="2"/>
  <c r="BU6" i="3" s="1"/>
  <c r="BT6" i="2"/>
  <c r="BT6" i="3" s="1"/>
  <c r="BS6" i="2"/>
  <c r="BS6" i="3" s="1"/>
  <c r="BR6" i="2"/>
  <c r="BR6" i="3" s="1"/>
  <c r="BQ6" i="2"/>
  <c r="BQ6" i="3" s="1"/>
  <c r="BP6" i="2"/>
  <c r="BP6" i="3" s="1"/>
  <c r="BO6" i="2"/>
  <c r="BO6" i="3" s="1"/>
  <c r="BN6" i="2"/>
  <c r="BM6" i="2"/>
  <c r="BM6" i="3" s="1"/>
  <c r="BG6" i="2"/>
  <c r="BG6" i="3" s="1"/>
  <c r="BF6" i="2"/>
  <c r="BF6" i="3" s="1"/>
  <c r="BE6" i="2"/>
  <c r="BE6" i="3" s="1"/>
  <c r="BD6" i="2"/>
  <c r="BD6" i="3" s="1"/>
  <c r="BC6" i="2"/>
  <c r="BC6" i="3" s="1"/>
  <c r="BB6" i="2"/>
  <c r="BB6" i="3" s="1"/>
  <c r="BA6" i="2"/>
  <c r="AZ6" i="2"/>
  <c r="AZ6" i="3" s="1"/>
  <c r="AY6" i="2"/>
  <c r="AY6" i="3" s="1"/>
  <c r="AX6" i="2"/>
  <c r="AX6" i="3" s="1"/>
  <c r="AW6" i="2"/>
  <c r="AW6" i="3" s="1"/>
  <c r="AV6" i="2"/>
  <c r="AV6" i="3" s="1"/>
  <c r="AU6" i="2"/>
  <c r="AU6" i="3" s="1"/>
  <c r="AT6" i="2"/>
  <c r="AT6" i="3" s="1"/>
  <c r="AS6" i="2"/>
  <c r="AR6" i="2"/>
  <c r="AR6" i="3" s="1"/>
  <c r="AQ6" i="2"/>
  <c r="AQ6" i="3" s="1"/>
  <c r="AP6" i="2"/>
  <c r="AP6" i="3" s="1"/>
  <c r="AO6" i="2"/>
  <c r="AO6" i="3" s="1"/>
  <c r="AN6" i="2"/>
  <c r="AN6" i="3" s="1"/>
  <c r="AM6" i="2"/>
  <c r="AM6" i="3" s="1"/>
  <c r="AL6" i="2"/>
  <c r="AL6" i="3" s="1"/>
  <c r="AK6" i="2"/>
  <c r="AJ6" i="2"/>
  <c r="AJ6" i="3" s="1"/>
  <c r="AI6" i="2"/>
  <c r="AI6" i="3" s="1"/>
  <c r="AH6" i="2"/>
  <c r="AH6" i="3" s="1"/>
  <c r="AG6" i="2"/>
  <c r="AG6" i="3" s="1"/>
  <c r="AF6" i="2"/>
  <c r="AF6" i="3" s="1"/>
  <c r="AE6" i="2"/>
  <c r="AE6" i="3" s="1"/>
  <c r="AD6" i="2"/>
  <c r="AD6" i="3" s="1"/>
  <c r="AC6" i="2"/>
  <c r="AB6" i="2"/>
  <c r="AB6" i="3" s="1"/>
  <c r="AA6" i="2"/>
  <c r="AA6" i="3" s="1"/>
  <c r="Z6" i="2"/>
  <c r="Z6" i="3" s="1"/>
  <c r="Y6" i="2"/>
  <c r="Y6" i="3" s="1"/>
  <c r="X6" i="2"/>
  <c r="X6" i="3" s="1"/>
  <c r="W6" i="2"/>
  <c r="W6" i="3" s="1"/>
  <c r="V6" i="2"/>
  <c r="V6" i="3" s="1"/>
  <c r="U6" i="2"/>
  <c r="T6" i="2"/>
  <c r="T6" i="3" s="1"/>
  <c r="S6" i="2"/>
  <c r="S6" i="3" s="1"/>
  <c r="R6" i="2"/>
  <c r="R6" i="3" s="1"/>
  <c r="Q6" i="2"/>
  <c r="Q6" i="3" s="1"/>
  <c r="P6" i="2"/>
  <c r="P6" i="3" s="1"/>
  <c r="O6" i="2"/>
  <c r="O6" i="3" s="1"/>
  <c r="N6" i="2"/>
  <c r="N6" i="3" s="1"/>
  <c r="M6" i="2"/>
  <c r="L6" i="2"/>
  <c r="L6" i="3" s="1"/>
  <c r="K6" i="2"/>
  <c r="K6" i="3" s="1"/>
  <c r="J6" i="2"/>
  <c r="J6" i="3" s="1"/>
  <c r="I6" i="2"/>
  <c r="I6" i="3" s="1"/>
  <c r="H6" i="2"/>
  <c r="H6" i="3" s="1"/>
  <c r="G6" i="2"/>
  <c r="G6" i="3" s="1"/>
  <c r="F6" i="2"/>
  <c r="F6" i="3" s="1"/>
  <c r="E6" i="2"/>
  <c r="D6" i="2"/>
  <c r="D6" i="3" s="1"/>
  <c r="BG5" i="2"/>
  <c r="BG5" i="3" s="1"/>
  <c r="BF5" i="2"/>
  <c r="BF5" i="3" s="1"/>
  <c r="BE5" i="2"/>
  <c r="BE5" i="3" s="1"/>
  <c r="BD5" i="2"/>
  <c r="BD5" i="3" s="1"/>
  <c r="BC5" i="2"/>
  <c r="BC5" i="3" s="1"/>
  <c r="BB5" i="2"/>
  <c r="BB5" i="3" s="1"/>
  <c r="BA5" i="2"/>
  <c r="BA5" i="3" s="1"/>
  <c r="AZ5" i="2"/>
  <c r="AZ5" i="3" s="1"/>
  <c r="AY5" i="2"/>
  <c r="AY5" i="3" s="1"/>
  <c r="AX5" i="2"/>
  <c r="AX5" i="3" s="1"/>
  <c r="AW5" i="2"/>
  <c r="AW5" i="3" s="1"/>
  <c r="AV5" i="2"/>
  <c r="AV5" i="3" s="1"/>
  <c r="AU5" i="2"/>
  <c r="AU5" i="3" s="1"/>
  <c r="AT5" i="2"/>
  <c r="AT5" i="3" s="1"/>
  <c r="AS5" i="2"/>
  <c r="AS5" i="3" s="1"/>
  <c r="AR5" i="2"/>
  <c r="AR5" i="3" s="1"/>
  <c r="AQ5" i="2"/>
  <c r="AQ5" i="3" s="1"/>
  <c r="AP5" i="2"/>
  <c r="AP5" i="3" s="1"/>
  <c r="AO5" i="2"/>
  <c r="AO5" i="3" s="1"/>
  <c r="AN5" i="2"/>
  <c r="AN5" i="3" s="1"/>
  <c r="AM5" i="2"/>
  <c r="AM5" i="3" s="1"/>
  <c r="AL5" i="2"/>
  <c r="AL5" i="3" s="1"/>
  <c r="AK5" i="2"/>
  <c r="AK5" i="3" s="1"/>
  <c r="AJ5" i="2"/>
  <c r="AJ5" i="3" s="1"/>
  <c r="AI5" i="2"/>
  <c r="AI5" i="3" s="1"/>
  <c r="AH5" i="2"/>
  <c r="AH5" i="3" s="1"/>
  <c r="AG5" i="2"/>
  <c r="AG5" i="3" s="1"/>
  <c r="AF5" i="2"/>
  <c r="AF5" i="3" s="1"/>
  <c r="AE5" i="2"/>
  <c r="AE5" i="3" s="1"/>
  <c r="AD5" i="2"/>
  <c r="AD5" i="3" s="1"/>
  <c r="AC5" i="2"/>
  <c r="AC5" i="3" s="1"/>
  <c r="AB5" i="2"/>
  <c r="AB5" i="3" s="1"/>
  <c r="AA5" i="2"/>
  <c r="AA5" i="3" s="1"/>
  <c r="Z5" i="2"/>
  <c r="Z5" i="3" s="1"/>
  <c r="Y5" i="2"/>
  <c r="Y5" i="3" s="1"/>
  <c r="X5" i="2"/>
  <c r="X5" i="3" s="1"/>
  <c r="W5" i="2"/>
  <c r="W5" i="3" s="1"/>
  <c r="V5" i="2"/>
  <c r="V5" i="3" s="1"/>
  <c r="U5" i="2"/>
  <c r="U5" i="3" s="1"/>
  <c r="T5" i="2"/>
  <c r="T5" i="3" s="1"/>
  <c r="S5" i="2"/>
  <c r="S5" i="3" s="1"/>
  <c r="R5" i="2"/>
  <c r="R5" i="3" s="1"/>
  <c r="Q5" i="2"/>
  <c r="Q5" i="3" s="1"/>
  <c r="P5" i="2"/>
  <c r="P5" i="3" s="1"/>
  <c r="O5" i="2"/>
  <c r="O5" i="3" s="1"/>
  <c r="N5" i="2"/>
  <c r="N5" i="3" s="1"/>
  <c r="M5" i="2"/>
  <c r="M5" i="3" s="1"/>
  <c r="L5" i="2"/>
  <c r="L5" i="3" s="1"/>
  <c r="K5" i="2"/>
  <c r="K5" i="3" s="1"/>
  <c r="J5" i="2"/>
  <c r="J5" i="3" s="1"/>
  <c r="I5" i="2"/>
  <c r="I5" i="3" s="1"/>
  <c r="H5" i="2"/>
  <c r="H5" i="3" s="1"/>
  <c r="G5" i="2"/>
  <c r="G5" i="3" s="1"/>
  <c r="F5" i="2"/>
  <c r="F5" i="3" s="1"/>
  <c r="E5" i="2"/>
  <c r="E5" i="3" s="1"/>
  <c r="D5" i="2"/>
  <c r="BG4" i="2"/>
  <c r="BG4" i="3" s="1"/>
  <c r="BF4" i="2"/>
  <c r="BF4" i="3" s="1"/>
  <c r="BE4" i="2"/>
  <c r="BE4" i="3" s="1"/>
  <c r="BD4" i="2"/>
  <c r="BD4" i="3" s="1"/>
  <c r="BC4" i="2"/>
  <c r="BC4" i="3" s="1"/>
  <c r="BB4" i="2"/>
  <c r="BB4" i="3" s="1"/>
  <c r="BA4" i="2"/>
  <c r="BA4" i="3" s="1"/>
  <c r="AZ4" i="2"/>
  <c r="AZ4" i="3" s="1"/>
  <c r="AY4" i="2"/>
  <c r="AY4" i="3" s="1"/>
  <c r="AX4" i="2"/>
  <c r="AX4" i="3" s="1"/>
  <c r="AW4" i="2"/>
  <c r="AW4" i="3" s="1"/>
  <c r="AV4" i="2"/>
  <c r="AV4" i="3" s="1"/>
  <c r="AU4" i="2"/>
  <c r="AU4" i="3" s="1"/>
  <c r="AT4" i="2"/>
  <c r="AT4" i="3" s="1"/>
  <c r="AS4" i="2"/>
  <c r="AS4" i="3" s="1"/>
  <c r="AR4" i="2"/>
  <c r="AR4" i="3" s="1"/>
  <c r="AQ4" i="2"/>
  <c r="AQ4" i="3" s="1"/>
  <c r="AP4" i="2"/>
  <c r="AP4" i="3" s="1"/>
  <c r="AO4" i="2"/>
  <c r="AO4" i="3" s="1"/>
  <c r="AN4" i="2"/>
  <c r="AN4" i="3" s="1"/>
  <c r="AM4" i="2"/>
  <c r="AM4" i="3" s="1"/>
  <c r="AL4" i="2"/>
  <c r="AL4" i="3" s="1"/>
  <c r="AK4" i="2"/>
  <c r="AK4" i="3" s="1"/>
  <c r="AJ4" i="2"/>
  <c r="AJ4" i="3" s="1"/>
  <c r="AI4" i="2"/>
  <c r="AI4" i="3" s="1"/>
  <c r="AH4" i="2"/>
  <c r="AH4" i="3" s="1"/>
  <c r="AG4" i="2"/>
  <c r="AG4" i="3" s="1"/>
  <c r="AF4" i="2"/>
  <c r="AF4" i="3" s="1"/>
  <c r="AE4" i="2"/>
  <c r="AE4" i="3" s="1"/>
  <c r="AD4" i="2"/>
  <c r="AD4" i="3" s="1"/>
  <c r="AC4" i="2"/>
  <c r="AC4" i="3" s="1"/>
  <c r="AB4" i="2"/>
  <c r="AB4" i="3" s="1"/>
  <c r="AA4" i="2"/>
  <c r="AA4" i="3" s="1"/>
  <c r="Z4" i="2"/>
  <c r="Z4" i="3" s="1"/>
  <c r="Y4" i="2"/>
  <c r="Y4" i="3" s="1"/>
  <c r="X4" i="2"/>
  <c r="X4" i="3" s="1"/>
  <c r="W4" i="2"/>
  <c r="W4" i="3" s="1"/>
  <c r="V4" i="2"/>
  <c r="V4" i="3" s="1"/>
  <c r="U4" i="2"/>
  <c r="U4" i="3" s="1"/>
  <c r="T4" i="2"/>
  <c r="T4" i="3" s="1"/>
  <c r="S4" i="2"/>
  <c r="S4" i="3" s="1"/>
  <c r="R4" i="2"/>
  <c r="R4" i="3" s="1"/>
  <c r="Q4" i="2"/>
  <c r="Q4" i="3" s="1"/>
  <c r="P4" i="2"/>
  <c r="P4" i="3" s="1"/>
  <c r="O4" i="2"/>
  <c r="O4" i="3" s="1"/>
  <c r="N4" i="2"/>
  <c r="N4" i="3" s="1"/>
  <c r="M4" i="2"/>
  <c r="M4" i="3" s="1"/>
  <c r="L4" i="2"/>
  <c r="L4" i="3" s="1"/>
  <c r="K4" i="2"/>
  <c r="K4" i="3" s="1"/>
  <c r="J4" i="2"/>
  <c r="J4" i="3" s="1"/>
  <c r="I4" i="2"/>
  <c r="I4" i="3" s="1"/>
  <c r="H4" i="2"/>
  <c r="H4" i="3" s="1"/>
  <c r="G4" i="2"/>
  <c r="G4" i="3" s="1"/>
  <c r="F4" i="2"/>
  <c r="F4" i="3" s="1"/>
  <c r="E4" i="2"/>
  <c r="E4" i="3" s="1"/>
  <c r="D4" i="2"/>
  <c r="D4" i="3" s="1"/>
  <c r="BQ190" i="2"/>
  <c r="BM190" i="2"/>
  <c r="BG53" i="13"/>
  <c r="BF53" i="13"/>
  <c r="BE53" i="13"/>
  <c r="BD53" i="13"/>
  <c r="BC53" i="13"/>
  <c r="BB53" i="13"/>
  <c r="BA53" i="13"/>
  <c r="AZ53" i="13"/>
  <c r="AR53" i="13"/>
  <c r="BS78" i="2"/>
  <c r="BQ78" i="2"/>
  <c r="BP78" i="2"/>
  <c r="BN78" i="2"/>
  <c r="BM78" i="2"/>
  <c r="AY24" i="13" l="1"/>
  <c r="BC15" i="13"/>
  <c r="BD41" i="3"/>
  <c r="BD172" i="2"/>
  <c r="BD173" i="2" s="1"/>
  <c r="AJ53" i="2"/>
  <c r="AM101" i="2"/>
  <c r="AQ101" i="2"/>
  <c r="AB74" i="2"/>
  <c r="AJ74" i="2"/>
  <c r="BT152" i="2"/>
  <c r="CA6" i="3"/>
  <c r="CA68" i="3" s="1"/>
  <c r="CA83" i="3" s="1"/>
  <c r="CA91" i="3" s="1"/>
  <c r="CA158" i="2"/>
  <c r="CA49" i="2"/>
  <c r="CA60" i="2" s="1"/>
  <c r="CA77" i="2" s="1"/>
  <c r="CA104" i="2"/>
  <c r="BN209" i="35"/>
  <c r="BN144" i="35"/>
  <c r="BN100" i="35"/>
  <c r="BN8" i="35"/>
  <c r="BP209" i="35"/>
  <c r="BP144" i="35"/>
  <c r="BP100" i="35"/>
  <c r="BP8" i="35"/>
  <c r="BM144" i="35"/>
  <c r="BM100" i="35"/>
  <c r="BM8" i="35"/>
  <c r="BM209" i="35"/>
  <c r="BO144" i="35"/>
  <c r="BO100" i="35"/>
  <c r="BO8" i="35"/>
  <c r="BO209" i="35"/>
  <c r="BQ8" i="35"/>
  <c r="BQ144" i="35"/>
  <c r="CA144" i="35"/>
  <c r="CA209" i="35"/>
  <c r="CA100" i="35"/>
  <c r="AX217" i="35"/>
  <c r="BZ169" i="35"/>
  <c r="CA168" i="35"/>
  <c r="BI68" i="35"/>
  <c r="AJ45" i="13"/>
  <c r="AL45" i="13"/>
  <c r="AL34" i="13" s="1"/>
  <c r="BV46" i="13"/>
  <c r="AX42" i="13"/>
  <c r="BB33" i="13"/>
  <c r="AK32" i="13"/>
  <c r="BZ167" i="2"/>
  <c r="BA10" i="3"/>
  <c r="BA167" i="2" s="1"/>
  <c r="AZ167" i="2"/>
  <c r="AZ69" i="3"/>
  <c r="AZ71" i="3" s="1"/>
  <c r="AZ172" i="2"/>
  <c r="BB172" i="2"/>
  <c r="BZ68" i="2"/>
  <c r="BH68" i="2"/>
  <c r="BI68" i="2" s="1"/>
  <c r="BJ68" i="2" s="1"/>
  <c r="BK68" i="2" s="1"/>
  <c r="CA68" i="2" s="1"/>
  <c r="CB68" i="2" s="1"/>
  <c r="CA99" i="3"/>
  <c r="BZ22" i="2"/>
  <c r="BH22" i="2"/>
  <c r="BI22" i="2" s="1"/>
  <c r="BJ22" i="2" s="1"/>
  <c r="BK22" i="2" s="1"/>
  <c r="CA22" i="2" s="1"/>
  <c r="CB22" i="2" s="1"/>
  <c r="AX10" i="3"/>
  <c r="AW167" i="2"/>
  <c r="H72" i="3"/>
  <c r="X72" i="3"/>
  <c r="AN72" i="3"/>
  <c r="AM28" i="3"/>
  <c r="L54" i="3"/>
  <c r="AJ167" i="2"/>
  <c r="AM47" i="3"/>
  <c r="AR167" i="2"/>
  <c r="AM53" i="3"/>
  <c r="BZ10" i="2"/>
  <c r="BH10" i="2"/>
  <c r="BI10" i="2" s="1"/>
  <c r="BJ10" i="2" s="1"/>
  <c r="BK10" i="2" s="1"/>
  <c r="CA10" i="2" s="1"/>
  <c r="CB10" i="2" s="1"/>
  <c r="AO167" i="2"/>
  <c r="AV72" i="3"/>
  <c r="AM22" i="3"/>
  <c r="AM24" i="3"/>
  <c r="BY56" i="3"/>
  <c r="BY149" i="3" s="1"/>
  <c r="BS70" i="35"/>
  <c r="U27" i="35"/>
  <c r="AA27" i="35"/>
  <c r="AE27" i="35"/>
  <c r="Y47" i="35"/>
  <c r="AI44" i="35"/>
  <c r="AI43" i="35" s="1"/>
  <c r="AB119" i="35"/>
  <c r="AD119" i="35"/>
  <c r="W102" i="35"/>
  <c r="AC141" i="35"/>
  <c r="AD141" i="35"/>
  <c r="AB47" i="35"/>
  <c r="AF47" i="35"/>
  <c r="AH43" i="35"/>
  <c r="AA72" i="35"/>
  <c r="BR18" i="35"/>
  <c r="V27" i="35"/>
  <c r="AJ26" i="35"/>
  <c r="AJ28" i="35" s="1"/>
  <c r="W52" i="35"/>
  <c r="AA52" i="35"/>
  <c r="AC47" i="35"/>
  <c r="Z44" i="35"/>
  <c r="AA44" i="35"/>
  <c r="AA49" i="35" s="1"/>
  <c r="AG44" i="35"/>
  <c r="BR70" i="35"/>
  <c r="BR68" i="35" s="1"/>
  <c r="AH71" i="35"/>
  <c r="AH72" i="35"/>
  <c r="W82" i="35"/>
  <c r="Y32" i="35"/>
  <c r="X102" i="35"/>
  <c r="AD102" i="35"/>
  <c r="AD111" i="35"/>
  <c r="AA119" i="35"/>
  <c r="X141" i="35"/>
  <c r="AN171" i="35"/>
  <c r="AO171" i="35" s="1"/>
  <c r="AP171" i="35" s="1"/>
  <c r="AP173" i="35" s="1"/>
  <c r="AO194" i="35"/>
  <c r="AQ194" i="35"/>
  <c r="AY194" i="35"/>
  <c r="BC194" i="35"/>
  <c r="BE194" i="35"/>
  <c r="W27" i="35"/>
  <c r="AC28" i="35"/>
  <c r="AG28" i="35"/>
  <c r="AE28" i="35"/>
  <c r="AC32" i="35"/>
  <c r="AC34" i="35" s="1"/>
  <c r="X94" i="35"/>
  <c r="X63" i="35"/>
  <c r="X44" i="35"/>
  <c r="X54" i="35" s="1"/>
  <c r="X32" i="35"/>
  <c r="AB62" i="35"/>
  <c r="AB44" i="35"/>
  <c r="AB43" i="35" s="1"/>
  <c r="AB32" i="35"/>
  <c r="AF63" i="35"/>
  <c r="AA62" i="35"/>
  <c r="AH82" i="35"/>
  <c r="AG32" i="35"/>
  <c r="AI85" i="35"/>
  <c r="AI19" i="35" s="1"/>
  <c r="AI20" i="35" s="1"/>
  <c r="AI82" i="35"/>
  <c r="W85" i="35"/>
  <c r="W19" i="35" s="1"/>
  <c r="V118" i="35"/>
  <c r="AC118" i="35"/>
  <c r="AC119" i="35"/>
  <c r="AE119" i="35"/>
  <c r="AF131" i="35"/>
  <c r="AF132" i="35" s="1"/>
  <c r="AF117" i="35"/>
  <c r="AF118" i="35" s="1"/>
  <c r="AS195" i="35"/>
  <c r="AU195" i="35"/>
  <c r="AU194" i="35"/>
  <c r="BA195" i="35"/>
  <c r="BG194" i="35"/>
  <c r="BG195" i="35"/>
  <c r="AY195" i="35"/>
  <c r="AX226" i="35"/>
  <c r="AX232" i="35" s="1"/>
  <c r="X10" i="35"/>
  <c r="X202" i="35" s="1"/>
  <c r="X17" i="35"/>
  <c r="X20" i="35" s="1"/>
  <c r="AD17" i="35"/>
  <c r="AD20" i="35" s="1"/>
  <c r="AH17" i="35"/>
  <c r="AH20" i="35" s="1"/>
  <c r="X28" i="35"/>
  <c r="X27" i="35"/>
  <c r="Z27" i="35"/>
  <c r="AB28" i="35"/>
  <c r="AD32" i="35"/>
  <c r="AF27" i="35"/>
  <c r="AF28" i="35"/>
  <c r="AH28" i="35"/>
  <c r="AF52" i="35"/>
  <c r="AE43" i="35"/>
  <c r="AF44" i="35"/>
  <c r="AF43" i="35" s="1"/>
  <c r="AF53" i="35" s="1"/>
  <c r="AI62" i="35"/>
  <c r="AK66" i="35"/>
  <c r="AK70" i="35" s="1"/>
  <c r="AJ42" i="35"/>
  <c r="AJ52" i="35" s="1"/>
  <c r="Z72" i="35"/>
  <c r="Z71" i="35"/>
  <c r="AD72" i="35"/>
  <c r="AF72" i="35"/>
  <c r="AJ70" i="35"/>
  <c r="AJ72" i="35" s="1"/>
  <c r="AA82" i="35"/>
  <c r="AS94" i="35"/>
  <c r="AS96" i="35" s="1"/>
  <c r="Z118" i="35"/>
  <c r="Z132" i="35"/>
  <c r="Z102" i="35"/>
  <c r="AA103" i="35" s="1"/>
  <c r="AB111" i="35"/>
  <c r="AB102" i="35"/>
  <c r="AB103" i="35" s="1"/>
  <c r="AA132" i="35"/>
  <c r="Y141" i="35"/>
  <c r="BR140" i="35"/>
  <c r="AE111" i="35"/>
  <c r="AE121" i="35" s="1"/>
  <c r="AE102" i="35"/>
  <c r="AK197" i="35"/>
  <c r="V52" i="35"/>
  <c r="X52" i="35"/>
  <c r="Z47" i="35"/>
  <c r="AD52" i="35"/>
  <c r="AH47" i="35"/>
  <c r="AJ61" i="35"/>
  <c r="AJ44" i="35" s="1"/>
  <c r="AC63" i="35"/>
  <c r="AE20" i="35"/>
  <c r="AG43" i="35"/>
  <c r="V71" i="35"/>
  <c r="W71" i="35"/>
  <c r="AE72" i="35"/>
  <c r="AI71" i="35"/>
  <c r="AE71" i="35"/>
  <c r="AI72" i="35"/>
  <c r="AF82" i="35"/>
  <c r="W118" i="35"/>
  <c r="Z119" i="35"/>
  <c r="AD118" i="35"/>
  <c r="X132" i="35"/>
  <c r="BR131" i="35"/>
  <c r="BR111" i="35" s="1"/>
  <c r="AB132" i="35"/>
  <c r="AC102" i="35"/>
  <c r="AE132" i="35"/>
  <c r="Z141" i="35"/>
  <c r="BS140" i="35"/>
  <c r="AV194" i="35"/>
  <c r="BZ193" i="35"/>
  <c r="AK45" i="13"/>
  <c r="AK34" i="13" s="1"/>
  <c r="BV23" i="13"/>
  <c r="AL32" i="13"/>
  <c r="AL42" i="13"/>
  <c r="AN15" i="13"/>
  <c r="BU46" i="13"/>
  <c r="BO78" i="2"/>
  <c r="AE53" i="13"/>
  <c r="AE190" i="2"/>
  <c r="AE164" i="3"/>
  <c r="AG53" i="13"/>
  <c r="AG190" i="2"/>
  <c r="AG164" i="3"/>
  <c r="AK53" i="13"/>
  <c r="AK190" i="2"/>
  <c r="AK164" i="3"/>
  <c r="AO53" i="13"/>
  <c r="AO190" i="2"/>
  <c r="AO164" i="3"/>
  <c r="AQ53" i="13"/>
  <c r="AQ190" i="2"/>
  <c r="AQ164" i="3"/>
  <c r="AS164" i="3"/>
  <c r="AS53" i="13"/>
  <c r="AW164" i="3"/>
  <c r="AW53" i="13"/>
  <c r="BS53" i="13"/>
  <c r="BR164" i="3"/>
  <c r="BR190" i="2"/>
  <c r="BU53" i="13"/>
  <c r="BT164" i="3"/>
  <c r="BT190" i="2"/>
  <c r="BW53" i="13"/>
  <c r="BV164" i="3"/>
  <c r="BV190" i="2"/>
  <c r="CA53" i="13"/>
  <c r="BZ164" i="3"/>
  <c r="BZ190" i="2"/>
  <c r="BW78" i="2"/>
  <c r="BW95" i="2" s="1"/>
  <c r="AD164" i="3"/>
  <c r="AD53" i="13"/>
  <c r="AD190" i="2"/>
  <c r="AF164" i="3"/>
  <c r="AF53" i="13"/>
  <c r="AF190" i="2"/>
  <c r="AH164" i="3"/>
  <c r="AH53" i="13"/>
  <c r="AH190" i="2"/>
  <c r="AJ164" i="3"/>
  <c r="AJ53" i="13"/>
  <c r="AJ190" i="2"/>
  <c r="AL164" i="3"/>
  <c r="AL53" i="13"/>
  <c r="AL190" i="2"/>
  <c r="AN164" i="3"/>
  <c r="AN53" i="13"/>
  <c r="AN190" i="2"/>
  <c r="AP164" i="3"/>
  <c r="AP53" i="13"/>
  <c r="AP190" i="2"/>
  <c r="AT53" i="13"/>
  <c r="AT164" i="3"/>
  <c r="AV53" i="13"/>
  <c r="AV164" i="3"/>
  <c r="AX53" i="13"/>
  <c r="AX164" i="3"/>
  <c r="BS164" i="3"/>
  <c r="BS190" i="2"/>
  <c r="BT53" i="13"/>
  <c r="BU164" i="3"/>
  <c r="BU190" i="2"/>
  <c r="BV53" i="13"/>
  <c r="BW164" i="3"/>
  <c r="BW190" i="2"/>
  <c r="BX53" i="13"/>
  <c r="BY164" i="3"/>
  <c r="BY190" i="2"/>
  <c r="BZ53" i="13"/>
  <c r="CA164" i="3"/>
  <c r="CA190" i="2"/>
  <c r="P50" i="2"/>
  <c r="AN50" i="2"/>
  <c r="AB53" i="2"/>
  <c r="AR53" i="2"/>
  <c r="BR78" i="2"/>
  <c r="BV78" i="2"/>
  <c r="BV95" i="2" s="1"/>
  <c r="BU78" i="2"/>
  <c r="AC53" i="13"/>
  <c r="AC190" i="2"/>
  <c r="AC164" i="3"/>
  <c r="AI53" i="13"/>
  <c r="AI190" i="2"/>
  <c r="AI164" i="3"/>
  <c r="AM53" i="13"/>
  <c r="AM190" i="2"/>
  <c r="AM164" i="3"/>
  <c r="AU164" i="3"/>
  <c r="AU53" i="13"/>
  <c r="AY164" i="3"/>
  <c r="AY53" i="13"/>
  <c r="BY53" i="13"/>
  <c r="BX164" i="3"/>
  <c r="BX190" i="2"/>
  <c r="BT78" i="2"/>
  <c r="BT95" i="2" s="1"/>
  <c r="BX78" i="2"/>
  <c r="AG257" i="35"/>
  <c r="Q12" i="3"/>
  <c r="BY17" i="3"/>
  <c r="BY110" i="3" s="1"/>
  <c r="AT27" i="3"/>
  <c r="AU27" i="3" s="1"/>
  <c r="AX27" i="3"/>
  <c r="AY27" i="3" s="1"/>
  <c r="BY28" i="3"/>
  <c r="BY121" i="3" s="1"/>
  <c r="BR40" i="3"/>
  <c r="BR133" i="3" s="1"/>
  <c r="BY50" i="3"/>
  <c r="BY143" i="3" s="1"/>
  <c r="AP167" i="2"/>
  <c r="AQ10" i="3"/>
  <c r="AU10" i="3"/>
  <c r="AU167" i="2" s="1"/>
  <c r="AT167" i="2"/>
  <c r="AX167" i="2"/>
  <c r="AY10" i="3"/>
  <c r="AH11" i="3"/>
  <c r="AI11" i="3" s="1"/>
  <c r="BY15" i="3"/>
  <c r="BY108" i="3" s="1"/>
  <c r="AK167" i="2"/>
  <c r="AS167" i="2"/>
  <c r="Z10" i="3"/>
  <c r="AA10" i="3" s="1"/>
  <c r="AA87" i="3" s="1"/>
  <c r="AH10" i="3"/>
  <c r="AL10" i="3"/>
  <c r="AL87" i="3" s="1"/>
  <c r="F11" i="3"/>
  <c r="G11" i="3" s="1"/>
  <c r="AG12" i="3"/>
  <c r="BN13" i="3"/>
  <c r="BN106" i="3" s="1"/>
  <c r="BR15" i="3"/>
  <c r="BR108" i="3" s="1"/>
  <c r="BV17" i="3"/>
  <c r="BV110" i="3" s="1"/>
  <c r="BM19" i="3"/>
  <c r="BM112" i="3" s="1"/>
  <c r="J25" i="3"/>
  <c r="K25" i="3" s="1"/>
  <c r="R25" i="3"/>
  <c r="S25" i="3" s="1"/>
  <c r="Z25" i="3"/>
  <c r="AA25" i="3" s="1"/>
  <c r="AH25" i="3"/>
  <c r="AI25" i="3" s="1"/>
  <c r="AP25" i="3"/>
  <c r="AQ25" i="3" s="1"/>
  <c r="AX25" i="3"/>
  <c r="AY25" i="3" s="1"/>
  <c r="R26" i="3"/>
  <c r="S26" i="3" s="1"/>
  <c r="AH26" i="3"/>
  <c r="AI26" i="3" s="1"/>
  <c r="BX26" i="3"/>
  <c r="BX119" i="3" s="1"/>
  <c r="AH28" i="3"/>
  <c r="BW29" i="3"/>
  <c r="BW122" i="3" s="1"/>
  <c r="BY36" i="3"/>
  <c r="BY129" i="3" s="1"/>
  <c r="BQ39" i="3"/>
  <c r="BQ132" i="3" s="1"/>
  <c r="X54" i="3"/>
  <c r="D54" i="3"/>
  <c r="BY47" i="3"/>
  <c r="BY140" i="3" s="1"/>
  <c r="BR56" i="3"/>
  <c r="BR149" i="3" s="1"/>
  <c r="BR59" i="3"/>
  <c r="BR152" i="3" s="1"/>
  <c r="BW27" i="3"/>
  <c r="BW120" i="3" s="1"/>
  <c r="AX28" i="3"/>
  <c r="AY28" i="3" s="1"/>
  <c r="M29" i="3"/>
  <c r="N29" i="3" s="1"/>
  <c r="O29" i="3" s="1"/>
  <c r="AC29" i="3"/>
  <c r="AD29" i="3" s="1"/>
  <c r="AE29" i="3" s="1"/>
  <c r="O34" i="3"/>
  <c r="BO34" i="3" s="1"/>
  <c r="BO127" i="3" s="1"/>
  <c r="BM36" i="3"/>
  <c r="BM129" i="3" s="1"/>
  <c r="BW40" i="3"/>
  <c r="BW133" i="3" s="1"/>
  <c r="M45" i="3"/>
  <c r="AN54" i="3"/>
  <c r="Y46" i="3"/>
  <c r="Z46" i="3" s="1"/>
  <c r="AA46" i="3" s="1"/>
  <c r="BR49" i="3"/>
  <c r="BR142" i="3" s="1"/>
  <c r="AS56" i="3"/>
  <c r="AT56" i="3" s="1"/>
  <c r="BA59" i="3"/>
  <c r="BY59" i="3" s="1"/>
  <c r="BY152" i="3" s="1"/>
  <c r="BP76" i="3"/>
  <c r="BT76" i="3"/>
  <c r="BX76" i="3"/>
  <c r="BX79" i="3" s="1"/>
  <c r="AM135" i="3"/>
  <c r="U147" i="3"/>
  <c r="BE31" i="2"/>
  <c r="BF31" i="2" s="1"/>
  <c r="BG31" i="2" s="1"/>
  <c r="BY31" i="2"/>
  <c r="BY87" i="2"/>
  <c r="O101" i="2"/>
  <c r="AN46" i="2"/>
  <c r="AZ101" i="2"/>
  <c r="BR35" i="2"/>
  <c r="BR44" i="2" s="1"/>
  <c r="BT35" i="2"/>
  <c r="BT44" i="2" s="1"/>
  <c r="BX35" i="2"/>
  <c r="BX44" i="2" s="1"/>
  <c r="BM65" i="2"/>
  <c r="BM71" i="2" s="1"/>
  <c r="BQ65" i="2"/>
  <c r="BQ71" i="2" s="1"/>
  <c r="E98" i="2"/>
  <c r="I98" i="2"/>
  <c r="Q98" i="2"/>
  <c r="Y98" i="2"/>
  <c r="AK98" i="2"/>
  <c r="AO98" i="2"/>
  <c r="AW98" i="2"/>
  <c r="BY13" i="2"/>
  <c r="BR81" i="2"/>
  <c r="BR84" i="2" s="1"/>
  <c r="BR63" i="3"/>
  <c r="BV81" i="2"/>
  <c r="BV84" i="2" s="1"/>
  <c r="BW159" i="2" s="1"/>
  <c r="BW162" i="2" s="1"/>
  <c r="BV63" i="3"/>
  <c r="BB83" i="2"/>
  <c r="BV35" i="2"/>
  <c r="BV44" i="2" s="1"/>
  <c r="BE32" i="2"/>
  <c r="BF32" i="2" s="1"/>
  <c r="BG32" i="2" s="1"/>
  <c r="BY32" i="2"/>
  <c r="S35" i="2"/>
  <c r="S44" i="2" s="1"/>
  <c r="BP30" i="2"/>
  <c r="BP35" i="2" s="1"/>
  <c r="BP44" i="2" s="1"/>
  <c r="BP156" i="3"/>
  <c r="BT156" i="3"/>
  <c r="BX156" i="3"/>
  <c r="BO81" i="2"/>
  <c r="BO84" i="2" s="1"/>
  <c r="BO156" i="3"/>
  <c r="BQ81" i="2"/>
  <c r="BQ84" i="2" s="1"/>
  <c r="BQ156" i="3"/>
  <c r="BS81" i="2"/>
  <c r="BS84" i="2" s="1"/>
  <c r="BS156" i="3"/>
  <c r="BU81" i="2"/>
  <c r="BU156" i="3"/>
  <c r="BW81" i="2"/>
  <c r="BW84" i="2" s="1"/>
  <c r="BW175" i="2" s="1"/>
  <c r="BW156" i="3"/>
  <c r="G15" i="2"/>
  <c r="BO30" i="2"/>
  <c r="BO35" i="2" s="1"/>
  <c r="BO44" i="2" s="1"/>
  <c r="Z44" i="2"/>
  <c r="I54" i="2"/>
  <c r="Q54" i="2"/>
  <c r="BY68" i="2"/>
  <c r="BM63" i="3"/>
  <c r="BQ63" i="3"/>
  <c r="BU63" i="3"/>
  <c r="BN156" i="3"/>
  <c r="BR156" i="3"/>
  <c r="BV156" i="3"/>
  <c r="BM35" i="2"/>
  <c r="BQ35" i="2"/>
  <c r="BS35" i="2"/>
  <c r="BS44" i="2" s="1"/>
  <c r="BW35" i="2"/>
  <c r="G35" i="2"/>
  <c r="G44" i="2" s="1"/>
  <c r="L35" i="2"/>
  <c r="L44" i="2" s="1"/>
  <c r="E35" i="2"/>
  <c r="E44" i="2" s="1"/>
  <c r="R35" i="2"/>
  <c r="R44" i="2" s="1"/>
  <c r="BO87" i="2"/>
  <c r="BS87" i="2"/>
  <c r="BW87" i="2"/>
  <c r="AT54" i="2"/>
  <c r="AX54" i="2"/>
  <c r="BN65" i="2"/>
  <c r="BN71" i="2" s="1"/>
  <c r="D84" i="2"/>
  <c r="D90" i="2" s="1"/>
  <c r="AL153" i="2"/>
  <c r="BS152" i="2"/>
  <c r="AB121" i="2"/>
  <c r="AB122" i="2" s="1"/>
  <c r="M53" i="2"/>
  <c r="AP42" i="13"/>
  <c r="AP45" i="13"/>
  <c r="AP34" i="13" s="1"/>
  <c r="AP14" i="13"/>
  <c r="AR15" i="13"/>
  <c r="AT45" i="13"/>
  <c r="AT34" i="13" s="1"/>
  <c r="AT15" i="13"/>
  <c r="AV15" i="13"/>
  <c r="AX45" i="13"/>
  <c r="AX34" i="13" s="1"/>
  <c r="AX14" i="13"/>
  <c r="AZ15" i="13"/>
  <c r="AL14" i="13"/>
  <c r="AP15" i="13"/>
  <c r="AQ42" i="13"/>
  <c r="AQ32" i="13"/>
  <c r="AS33" i="13"/>
  <c r="AW33" i="13"/>
  <c r="AY42" i="13"/>
  <c r="AY33" i="13"/>
  <c r="AY32" i="13"/>
  <c r="BA33" i="13"/>
  <c r="AU33" i="13"/>
  <c r="AT14" i="13"/>
  <c r="AX15" i="13"/>
  <c r="AU32" i="13"/>
  <c r="AO45" i="13"/>
  <c r="AO34" i="13" s="1"/>
  <c r="AS45" i="13"/>
  <c r="AS34" i="13" s="1"/>
  <c r="AW45" i="13"/>
  <c r="AW34" i="13" s="1"/>
  <c r="BA45" i="13"/>
  <c r="BA34" i="13" s="1"/>
  <c r="AK24" i="13"/>
  <c r="AS24" i="13"/>
  <c r="BA24" i="13"/>
  <c r="AT33" i="13"/>
  <c r="AX33" i="13"/>
  <c r="E79" i="3"/>
  <c r="I79" i="3"/>
  <c r="M79" i="3"/>
  <c r="Q79" i="3"/>
  <c r="U79" i="3"/>
  <c r="Y79" i="3"/>
  <c r="AC79" i="3"/>
  <c r="AG79" i="3"/>
  <c r="AK79" i="3"/>
  <c r="AO79" i="3"/>
  <c r="AS79" i="3"/>
  <c r="AW79" i="3"/>
  <c r="BA79" i="3"/>
  <c r="D79" i="3"/>
  <c r="F79" i="3"/>
  <c r="H79" i="3"/>
  <c r="J79" i="3"/>
  <c r="L79" i="3"/>
  <c r="N79" i="3"/>
  <c r="P79" i="3"/>
  <c r="R79" i="3"/>
  <c r="T79" i="3"/>
  <c r="V79" i="3"/>
  <c r="X79" i="3"/>
  <c r="Z79" i="3"/>
  <c r="AB79" i="3"/>
  <c r="AD79" i="3"/>
  <c r="AF79" i="3"/>
  <c r="AH79" i="3"/>
  <c r="AJ79" i="3"/>
  <c r="AL79" i="3"/>
  <c r="AN79" i="3"/>
  <c r="AP79" i="3"/>
  <c r="AR79" i="3"/>
  <c r="AT79" i="3"/>
  <c r="AV79" i="3"/>
  <c r="AX79" i="3"/>
  <c r="AZ79" i="3"/>
  <c r="AT101" i="2"/>
  <c r="AX101" i="2"/>
  <c r="W101" i="2"/>
  <c r="AA101" i="2"/>
  <c r="AE101" i="2"/>
  <c r="AI101" i="2"/>
  <c r="Y52" i="2"/>
  <c r="Y51" i="2" s="1"/>
  <c r="G84" i="2"/>
  <c r="G90" i="2" s="1"/>
  <c r="I84" i="2"/>
  <c r="I90" i="2" s="1"/>
  <c r="K84" i="2"/>
  <c r="K90" i="2" s="1"/>
  <c r="M84" i="2"/>
  <c r="M90" i="2" s="1"/>
  <c r="O84" i="2"/>
  <c r="O90" i="2" s="1"/>
  <c r="Q84" i="2"/>
  <c r="Q90" i="2" s="1"/>
  <c r="S84" i="2"/>
  <c r="S90" i="2" s="1"/>
  <c r="W84" i="2"/>
  <c r="W90" i="2" s="1"/>
  <c r="Y84" i="2"/>
  <c r="Y90" i="2" s="1"/>
  <c r="AA84" i="2"/>
  <c r="AC84" i="2"/>
  <c r="AC160" i="2" s="1"/>
  <c r="AE84" i="2"/>
  <c r="AG84" i="2"/>
  <c r="AH159" i="2" s="1"/>
  <c r="AH162" i="2" s="1"/>
  <c r="AI84" i="2"/>
  <c r="AJ159" i="2" s="1"/>
  <c r="AJ162" i="2" s="1"/>
  <c r="AM84" i="2"/>
  <c r="AN159" i="2" s="1"/>
  <c r="AN162" i="2" s="1"/>
  <c r="AO84" i="2"/>
  <c r="AQ84" i="2"/>
  <c r="AR159" i="2" s="1"/>
  <c r="AR162" i="2" s="1"/>
  <c r="AS84" i="2"/>
  <c r="AU84" i="2"/>
  <c r="AV159" i="2" s="1"/>
  <c r="AV162" i="2" s="1"/>
  <c r="AW84" i="2"/>
  <c r="AY84" i="2"/>
  <c r="AZ159" i="2" s="1"/>
  <c r="AZ162" i="2" s="1"/>
  <c r="BA84" i="2"/>
  <c r="J84" i="2"/>
  <c r="J90" i="2" s="1"/>
  <c r="R84" i="2"/>
  <c r="R90" i="2" s="1"/>
  <c r="V84" i="2"/>
  <c r="V90" i="2" s="1"/>
  <c r="V91" i="2" s="1"/>
  <c r="Z84" i="2"/>
  <c r="Z90" i="2" s="1"/>
  <c r="AH84" i="2"/>
  <c r="AI159" i="2" s="1"/>
  <c r="AI162" i="2" s="1"/>
  <c r="AL84" i="2"/>
  <c r="AP84" i="2"/>
  <c r="AP175" i="2" s="1"/>
  <c r="AX84" i="2"/>
  <c r="BY19" i="3"/>
  <c r="BY112" i="3" s="1"/>
  <c r="BZ19" i="3"/>
  <c r="BZ112" i="3" s="1"/>
  <c r="AO52" i="2"/>
  <c r="AO51" i="2" s="1"/>
  <c r="AB88" i="2"/>
  <c r="BP88" i="2" s="1"/>
  <c r="AT149" i="2"/>
  <c r="AD129" i="2"/>
  <c r="AD143" i="2" s="1"/>
  <c r="AD130" i="2"/>
  <c r="AD131" i="2"/>
  <c r="AD145" i="2" s="1"/>
  <c r="AT134" i="2"/>
  <c r="BT79" i="3"/>
  <c r="E74" i="2"/>
  <c r="AG74" i="2"/>
  <c r="AO74" i="2"/>
  <c r="S24" i="2"/>
  <c r="S74" i="3" s="1"/>
  <c r="D46" i="2"/>
  <c r="L46" i="2"/>
  <c r="P46" i="2"/>
  <c r="T46" i="2"/>
  <c r="AL46" i="2"/>
  <c r="E84" i="2"/>
  <c r="E90" i="2" s="1"/>
  <c r="E91" i="2" s="1"/>
  <c r="BW112" i="2"/>
  <c r="AV112" i="2"/>
  <c r="AW112" i="2" s="1"/>
  <c r="BX124" i="2"/>
  <c r="AZ124" i="2"/>
  <c r="BA124" i="2" s="1"/>
  <c r="BB124" i="2" s="1"/>
  <c r="BC124" i="2" s="1"/>
  <c r="BD124" i="2" s="1"/>
  <c r="BE124" i="2" s="1"/>
  <c r="BF124" i="2" s="1"/>
  <c r="BG124" i="2" s="1"/>
  <c r="AP154" i="2"/>
  <c r="AQ154" i="2" s="1"/>
  <c r="AN74" i="3"/>
  <c r="H54" i="2"/>
  <c r="AN101" i="2"/>
  <c r="K24" i="2"/>
  <c r="K74" i="3" s="1"/>
  <c r="O24" i="2"/>
  <c r="O74" i="3" s="1"/>
  <c r="X24" i="2"/>
  <c r="AF24" i="2"/>
  <c r="AI24" i="2"/>
  <c r="AI74" i="3" s="1"/>
  <c r="AJ46" i="2"/>
  <c r="V46" i="2"/>
  <c r="AH46" i="2"/>
  <c r="X50" i="2"/>
  <c r="AJ50" i="2"/>
  <c r="P53" i="2"/>
  <c r="X53" i="2"/>
  <c r="AF53" i="2"/>
  <c r="AN53" i="2"/>
  <c r="AV53" i="2"/>
  <c r="BN74" i="2"/>
  <c r="AF84" i="2"/>
  <c r="AP153" i="2"/>
  <c r="AC122" i="2"/>
  <c r="AC88" i="2"/>
  <c r="BQ88" i="2" s="1"/>
  <c r="AF122" i="2"/>
  <c r="AF88" i="2"/>
  <c r="AI125" i="2"/>
  <c r="BT125" i="2" s="1"/>
  <c r="BV123" i="2"/>
  <c r="AB154" i="2"/>
  <c r="L84" i="2"/>
  <c r="L90" i="2" s="1"/>
  <c r="L91" i="2" s="1"/>
  <c r="P84" i="2"/>
  <c r="P90" i="2" s="1"/>
  <c r="T84" i="2"/>
  <c r="T90" i="2" s="1"/>
  <c r="T91" i="2" s="1"/>
  <c r="X84" i="2"/>
  <c r="X90" i="2" s="1"/>
  <c r="AB84" i="2"/>
  <c r="AB160" i="2" s="1"/>
  <c r="AJ84" i="2"/>
  <c r="AN84" i="2"/>
  <c r="AN175" i="2" s="1"/>
  <c r="AR84" i="2"/>
  <c r="AV84" i="2"/>
  <c r="AW159" i="2" s="1"/>
  <c r="AW162" i="2" s="1"/>
  <c r="AZ84" i="2"/>
  <c r="F84" i="2"/>
  <c r="F90" i="2" s="1"/>
  <c r="F91" i="2" s="1"/>
  <c r="U84" i="2"/>
  <c r="U90" i="2" s="1"/>
  <c r="AK84" i="2"/>
  <c r="AK175" i="2" s="1"/>
  <c r="AS150" i="2"/>
  <c r="AN125" i="2"/>
  <c r="BR79" i="3"/>
  <c r="D50" i="2"/>
  <c r="T50" i="2"/>
  <c r="AB50" i="2"/>
  <c r="N50" i="2"/>
  <c r="V50" i="2"/>
  <c r="Z50" i="2"/>
  <c r="AD50" i="2"/>
  <c r="AH50" i="2"/>
  <c r="AL50" i="2"/>
  <c r="AP50" i="2"/>
  <c r="AT50" i="2"/>
  <c r="AX50" i="2"/>
  <c r="N53" i="2"/>
  <c r="R53" i="2"/>
  <c r="V53" i="2"/>
  <c r="Z53" i="2"/>
  <c r="AD53" i="2"/>
  <c r="AH53" i="2"/>
  <c r="AL53" i="2"/>
  <c r="AP53" i="2"/>
  <c r="AT53" i="2"/>
  <c r="AX53" i="2"/>
  <c r="BP53" i="13"/>
  <c r="BO190" i="2"/>
  <c r="K49" i="2"/>
  <c r="K60" i="2" s="1"/>
  <c r="K77" i="2" s="1"/>
  <c r="AA49" i="2"/>
  <c r="AA60" i="2" s="1"/>
  <c r="AA77" i="2" s="1"/>
  <c r="AQ49" i="2"/>
  <c r="AQ60" i="2" s="1"/>
  <c r="AQ77" i="2" s="1"/>
  <c r="BG49" i="2"/>
  <c r="BG60" i="2" s="1"/>
  <c r="BG77" i="2" s="1"/>
  <c r="U53" i="2"/>
  <c r="U52" i="2"/>
  <c r="U51" i="2" s="1"/>
  <c r="AC53" i="2"/>
  <c r="AC52" i="2"/>
  <c r="AC51" i="2" s="1"/>
  <c r="AE52" i="2"/>
  <c r="AE51" i="2" s="1"/>
  <c r="AE53" i="2"/>
  <c r="AI52" i="2"/>
  <c r="AI51" i="2" s="1"/>
  <c r="AI53" i="2"/>
  <c r="AK53" i="2"/>
  <c r="AK52" i="2"/>
  <c r="AK51" i="2" s="1"/>
  <c r="AM52" i="2"/>
  <c r="AM51" i="2" s="1"/>
  <c r="AM53" i="2"/>
  <c r="AQ52" i="2"/>
  <c r="AQ51" i="2" s="1"/>
  <c r="AQ53" i="2"/>
  <c r="AS53" i="2"/>
  <c r="AS52" i="2"/>
  <c r="AS51" i="2" s="1"/>
  <c r="AU52" i="2"/>
  <c r="AU51" i="2" s="1"/>
  <c r="AU53" i="2"/>
  <c r="AY52" i="2"/>
  <c r="AY51" i="2" s="1"/>
  <c r="AY53" i="2"/>
  <c r="BA53" i="2"/>
  <c r="BA52" i="2"/>
  <c r="BA51" i="2" s="1"/>
  <c r="U98" i="2"/>
  <c r="U95" i="2"/>
  <c r="G91" i="2"/>
  <c r="I91" i="2"/>
  <c r="K91" i="2"/>
  <c r="M91" i="2"/>
  <c r="O91" i="2"/>
  <c r="Q91" i="2"/>
  <c r="S91" i="2"/>
  <c r="W91" i="2"/>
  <c r="Y91" i="2"/>
  <c r="I95" i="2"/>
  <c r="AO95" i="2"/>
  <c r="M54" i="2"/>
  <c r="AS54" i="2"/>
  <c r="AW54" i="2"/>
  <c r="AY54" i="2"/>
  <c r="BA54" i="2"/>
  <c r="E53" i="2"/>
  <c r="I53" i="2"/>
  <c r="S49" i="2"/>
  <c r="S60" i="2" s="1"/>
  <c r="S77" i="2" s="1"/>
  <c r="AI49" i="2"/>
  <c r="AI60" i="2" s="1"/>
  <c r="AI77" i="2" s="1"/>
  <c r="AY49" i="2"/>
  <c r="AY60" i="2" s="1"/>
  <c r="AY77" i="2" s="1"/>
  <c r="BT49" i="2"/>
  <c r="BT60" i="2" s="1"/>
  <c r="BT77" i="2" s="1"/>
  <c r="E50" i="2"/>
  <c r="I50" i="2"/>
  <c r="Q50" i="2"/>
  <c r="U50" i="2"/>
  <c r="Y50" i="2"/>
  <c r="AE50" i="2"/>
  <c r="AG50" i="2"/>
  <c r="AI50" i="2"/>
  <c r="AK50" i="2"/>
  <c r="AM50" i="2"/>
  <c r="AO50" i="2"/>
  <c r="AQ50" i="2"/>
  <c r="Q52" i="2"/>
  <c r="Q51" i="2" s="1"/>
  <c r="AG52" i="2"/>
  <c r="AG51" i="2" s="1"/>
  <c r="AW52" i="2"/>
  <c r="AW51" i="2" s="1"/>
  <c r="Q95" i="2"/>
  <c r="AW95" i="2"/>
  <c r="AG98" i="2"/>
  <c r="BO164" i="3"/>
  <c r="M98" i="2"/>
  <c r="AC98" i="2"/>
  <c r="AS98" i="2"/>
  <c r="BA98" i="2"/>
  <c r="AD8" i="35"/>
  <c r="BQ53" i="13"/>
  <c r="BP164" i="3"/>
  <c r="BB78" i="2"/>
  <c r="BO53" i="13"/>
  <c r="BN164" i="3"/>
  <c r="Z91" i="2"/>
  <c r="E49" i="2"/>
  <c r="E60" i="2" s="1"/>
  <c r="E77" i="2" s="1"/>
  <c r="E6" i="3"/>
  <c r="E68" i="3" s="1"/>
  <c r="E83" i="3" s="1"/>
  <c r="E91" i="3" s="1"/>
  <c r="M49" i="2"/>
  <c r="M60" i="2" s="1"/>
  <c r="M77" i="2" s="1"/>
  <c r="M6" i="3"/>
  <c r="M68" i="3" s="1"/>
  <c r="M83" i="3" s="1"/>
  <c r="M91" i="3" s="1"/>
  <c r="U49" i="2"/>
  <c r="U60" i="2" s="1"/>
  <c r="U77" i="2" s="1"/>
  <c r="U6" i="3"/>
  <c r="U68" i="3" s="1"/>
  <c r="U83" i="3" s="1"/>
  <c r="U91" i="3" s="1"/>
  <c r="AC49" i="2"/>
  <c r="AC60" i="2" s="1"/>
  <c r="AC77" i="2" s="1"/>
  <c r="AC6" i="3"/>
  <c r="AC68" i="3" s="1"/>
  <c r="AC83" i="3" s="1"/>
  <c r="AC91" i="3" s="1"/>
  <c r="AK49" i="2"/>
  <c r="AK60" i="2" s="1"/>
  <c r="AK77" i="2" s="1"/>
  <c r="AK6" i="3"/>
  <c r="AK68" i="3" s="1"/>
  <c r="AK83" i="3" s="1"/>
  <c r="AK91" i="3" s="1"/>
  <c r="AS49" i="2"/>
  <c r="AS60" i="2" s="1"/>
  <c r="AS77" i="2" s="1"/>
  <c r="AS6" i="3"/>
  <c r="AS68" i="3" s="1"/>
  <c r="AS83" i="3" s="1"/>
  <c r="AS91" i="3" s="1"/>
  <c r="BA49" i="2"/>
  <c r="BA60" i="2" s="1"/>
  <c r="BA77" i="2" s="1"/>
  <c r="BA6" i="3"/>
  <c r="BA68" i="3" s="1"/>
  <c r="BA83" i="3" s="1"/>
  <c r="BA91" i="3" s="1"/>
  <c r="BN49" i="2"/>
  <c r="BN60" i="2" s="1"/>
  <c r="BN77" i="2" s="1"/>
  <c r="BN6" i="3"/>
  <c r="BN68" i="3" s="1"/>
  <c r="BN83" i="3" s="1"/>
  <c r="BN91" i="3" s="1"/>
  <c r="BZ49" i="2"/>
  <c r="BZ60" i="2" s="1"/>
  <c r="BZ77" i="2" s="1"/>
  <c r="BZ6" i="3"/>
  <c r="BZ68" i="3" s="1"/>
  <c r="BZ83" i="3" s="1"/>
  <c r="BZ91" i="3" s="1"/>
  <c r="L54" i="2"/>
  <c r="AR54" i="2"/>
  <c r="AV54" i="2"/>
  <c r="AZ54" i="2"/>
  <c r="D53" i="2"/>
  <c r="F53" i="2"/>
  <c r="H53" i="2"/>
  <c r="J53" i="2"/>
  <c r="G49" i="2"/>
  <c r="G60" i="2" s="1"/>
  <c r="G77" i="2" s="1"/>
  <c r="O49" i="2"/>
  <c r="O60" i="2" s="1"/>
  <c r="O77" i="2" s="1"/>
  <c r="W49" i="2"/>
  <c r="W60" i="2" s="1"/>
  <c r="W77" i="2" s="1"/>
  <c r="AE49" i="2"/>
  <c r="AE60" i="2" s="1"/>
  <c r="AE77" i="2" s="1"/>
  <c r="AM49" i="2"/>
  <c r="AM60" i="2" s="1"/>
  <c r="AM77" i="2" s="1"/>
  <c r="AU49" i="2"/>
  <c r="AU60" i="2" s="1"/>
  <c r="AU77" i="2" s="1"/>
  <c r="BC49" i="2"/>
  <c r="BC60" i="2" s="1"/>
  <c r="BC77" i="2" s="1"/>
  <c r="BP49" i="2"/>
  <c r="BP60" i="2" s="1"/>
  <c r="BP77" i="2" s="1"/>
  <c r="BX49" i="2"/>
  <c r="BX60" i="2" s="1"/>
  <c r="BX77" i="2" s="1"/>
  <c r="L53" i="2"/>
  <c r="D91" i="2"/>
  <c r="P91" i="2"/>
  <c r="X91" i="2"/>
  <c r="U91" i="2"/>
  <c r="E95" i="2"/>
  <c r="Y95" i="2"/>
  <c r="AK95" i="2"/>
  <c r="D98" i="2"/>
  <c r="H98" i="2"/>
  <c r="L98" i="2"/>
  <c r="P98" i="2"/>
  <c r="T98" i="2"/>
  <c r="X98" i="2"/>
  <c r="AB98" i="2"/>
  <c r="AF98" i="2"/>
  <c r="AJ98" i="2"/>
  <c r="AN98" i="2"/>
  <c r="AR98" i="2"/>
  <c r="AV98" i="2"/>
  <c r="AZ98" i="2"/>
  <c r="BN190" i="2"/>
  <c r="BP190" i="2"/>
  <c r="D5" i="3"/>
  <c r="AR164" i="3"/>
  <c r="BM164" i="3"/>
  <c r="BQ164" i="3"/>
  <c r="BN53" i="13"/>
  <c r="BR53" i="13"/>
  <c r="Z209" i="35"/>
  <c r="Z8" i="35"/>
  <c r="V8" i="35"/>
  <c r="BU243" i="35"/>
  <c r="AJ245" i="35"/>
  <c r="AJ252" i="35" s="1"/>
  <c r="BT249" i="35"/>
  <c r="BT243" i="35"/>
  <c r="AI22" i="35"/>
  <c r="AR229" i="35"/>
  <c r="X8" i="35"/>
  <c r="AA20" i="35"/>
  <c r="BS18" i="35"/>
  <c r="BT18" i="35"/>
  <c r="AJ17" i="35"/>
  <c r="AJ62" i="35"/>
  <c r="AJ10" i="13"/>
  <c r="W209" i="35"/>
  <c r="W8" i="35"/>
  <c r="AA209" i="35"/>
  <c r="AA8" i="35"/>
  <c r="AI209" i="35"/>
  <c r="AI144" i="35"/>
  <c r="AI100" i="35"/>
  <c r="AM209" i="35"/>
  <c r="AM144" i="35"/>
  <c r="AM100" i="35"/>
  <c r="AM8" i="35"/>
  <c r="AQ209" i="35"/>
  <c r="AQ144" i="35"/>
  <c r="AQ100" i="35"/>
  <c r="AQ8" i="35"/>
  <c r="AU209" i="35"/>
  <c r="AU144" i="35"/>
  <c r="AU100" i="35"/>
  <c r="AY209" i="35"/>
  <c r="AY144" i="35"/>
  <c r="AY100" i="35"/>
  <c r="BC209" i="35"/>
  <c r="BC144" i="35"/>
  <c r="BC100" i="35"/>
  <c r="BC8" i="35"/>
  <c r="BG209" i="35"/>
  <c r="BG144" i="35"/>
  <c r="BG100" i="35"/>
  <c r="BG8" i="35"/>
  <c r="BQ59" i="35"/>
  <c r="AB209" i="35"/>
  <c r="AB8" i="35"/>
  <c r="AF209" i="35"/>
  <c r="AF144" i="35"/>
  <c r="AF100" i="35"/>
  <c r="AF8" i="35"/>
  <c r="AJ209" i="35"/>
  <c r="AJ144" i="35"/>
  <c r="AJ100" i="35"/>
  <c r="AN209" i="35"/>
  <c r="AN144" i="35"/>
  <c r="AN100" i="35"/>
  <c r="AR209" i="35"/>
  <c r="AR144" i="35"/>
  <c r="AR100" i="35"/>
  <c r="AR8" i="35"/>
  <c r="AV209" i="35"/>
  <c r="AV144" i="35"/>
  <c r="AV100" i="35"/>
  <c r="AV8" i="35"/>
  <c r="AZ209" i="35"/>
  <c r="AZ144" i="35"/>
  <c r="AZ100" i="35"/>
  <c r="BD209" i="35"/>
  <c r="BD144" i="35"/>
  <c r="BD100" i="35"/>
  <c r="T8" i="35"/>
  <c r="AU8" i="35"/>
  <c r="BD8" i="35"/>
  <c r="BS209" i="35"/>
  <c r="BS100" i="35"/>
  <c r="BS144" i="35"/>
  <c r="BS8" i="35"/>
  <c r="BW209" i="35"/>
  <c r="BW100" i="35"/>
  <c r="BW144" i="35"/>
  <c r="BW8" i="35"/>
  <c r="CA8" i="35"/>
  <c r="AA54" i="35"/>
  <c r="AA43" i="35"/>
  <c r="AE48" i="35" s="1"/>
  <c r="AE8" i="35"/>
  <c r="AN8" i="35"/>
  <c r="AY8" i="35"/>
  <c r="AD33" i="35"/>
  <c r="AI48" i="35"/>
  <c r="AI53" i="35"/>
  <c r="AM59" i="35"/>
  <c r="AH209" i="35"/>
  <c r="AH100" i="35"/>
  <c r="AH144" i="35"/>
  <c r="AL209" i="35"/>
  <c r="AL100" i="35"/>
  <c r="AL144" i="35"/>
  <c r="AP209" i="35"/>
  <c r="AP100" i="35"/>
  <c r="AP144" i="35"/>
  <c r="AT209" i="35"/>
  <c r="AT144" i="35"/>
  <c r="AT100" i="35"/>
  <c r="AX209" i="35"/>
  <c r="AX100" i="35"/>
  <c r="AX144" i="35"/>
  <c r="BB209" i="35"/>
  <c r="BB100" i="35"/>
  <c r="BB144" i="35"/>
  <c r="BF209" i="35"/>
  <c r="BF100" i="35"/>
  <c r="BF144" i="35"/>
  <c r="AH8" i="35"/>
  <c r="AX8" i="35"/>
  <c r="BQ209" i="35"/>
  <c r="BQ100" i="35"/>
  <c r="BU209" i="35"/>
  <c r="BU144" i="35"/>
  <c r="BU100" i="35"/>
  <c r="BY209" i="35"/>
  <c r="BY144" i="35"/>
  <c r="BY100" i="35"/>
  <c r="V17" i="35"/>
  <c r="W18" i="35"/>
  <c r="W20" i="35" s="1"/>
  <c r="Z20" i="35"/>
  <c r="Y28" i="35"/>
  <c r="AB27" i="35"/>
  <c r="AH27" i="35"/>
  <c r="AD28" i="35"/>
  <c r="AI28" i="35"/>
  <c r="BS26" i="35"/>
  <c r="Z32" i="35"/>
  <c r="AD34" i="35" s="1"/>
  <c r="AF32" i="35"/>
  <c r="AG33" i="35" s="1"/>
  <c r="U52" i="35"/>
  <c r="Y52" i="35"/>
  <c r="AC52" i="35"/>
  <c r="AG52" i="35"/>
  <c r="X43" i="35"/>
  <c r="AD43" i="35"/>
  <c r="AH48" i="35" s="1"/>
  <c r="V44" i="35"/>
  <c r="W54" i="35" s="1"/>
  <c r="AD47" i="35"/>
  <c r="AJ47" i="35"/>
  <c r="AB49" i="35"/>
  <c r="Z52" i="35"/>
  <c r="AE52" i="35"/>
  <c r="BS58" i="35"/>
  <c r="AB94" i="35"/>
  <c r="BS61" i="35"/>
  <c r="AB17" i="35"/>
  <c r="BT61" i="35"/>
  <c r="AF17" i="35"/>
  <c r="X62" i="35"/>
  <c r="AF62" i="35"/>
  <c r="AB63" i="35"/>
  <c r="BS67" i="35"/>
  <c r="BQ70" i="35"/>
  <c r="X72" i="35"/>
  <c r="X71" i="35"/>
  <c r="AB71" i="35"/>
  <c r="AB72" i="35"/>
  <c r="BT70" i="35"/>
  <c r="AF71" i="35"/>
  <c r="BR78" i="35"/>
  <c r="AD27" i="35"/>
  <c r="AI27" i="35"/>
  <c r="Z28" i="35"/>
  <c r="BT26" i="35"/>
  <c r="Z43" i="35"/>
  <c r="X49" i="35"/>
  <c r="AH49" i="35"/>
  <c r="BS47" i="35"/>
  <c r="AH54" i="35"/>
  <c r="AK42" i="35"/>
  <c r="V94" i="35"/>
  <c r="V62" i="35"/>
  <c r="V32" i="35"/>
  <c r="AA28" i="35"/>
  <c r="U32" i="35"/>
  <c r="AH32" i="35"/>
  <c r="AA47" i="35"/>
  <c r="AE47" i="35"/>
  <c r="AI47" i="35"/>
  <c r="AI54" i="35"/>
  <c r="AI49" i="35"/>
  <c r="AD49" i="35"/>
  <c r="AB52" i="35"/>
  <c r="AH52" i="35"/>
  <c r="AL57" i="35"/>
  <c r="AK71" i="35"/>
  <c r="BR44" i="35"/>
  <c r="AJ82" i="35"/>
  <c r="AJ85" i="35"/>
  <c r="AJ19" i="35" s="1"/>
  <c r="U209" i="35"/>
  <c r="U8" i="35"/>
  <c r="Y209" i="35"/>
  <c r="Y8" i="35"/>
  <c r="AC209" i="35"/>
  <c r="AC8" i="35"/>
  <c r="AG209" i="35"/>
  <c r="AG144" i="35"/>
  <c r="AG100" i="35"/>
  <c r="AG8" i="35"/>
  <c r="AK209" i="35"/>
  <c r="AK144" i="35"/>
  <c r="AK100" i="35"/>
  <c r="AK8" i="35"/>
  <c r="AO209" i="35"/>
  <c r="AO144" i="35"/>
  <c r="AO100" i="35"/>
  <c r="AO8" i="35"/>
  <c r="AS209" i="35"/>
  <c r="AS144" i="35"/>
  <c r="AS100" i="35"/>
  <c r="AS8" i="35"/>
  <c r="BT209" i="35"/>
  <c r="BT144" i="35"/>
  <c r="BT100" i="35"/>
  <c r="BX209" i="35"/>
  <c r="BX144" i="35"/>
  <c r="BX100" i="35"/>
  <c r="BR26" i="35"/>
  <c r="BQ26" i="35"/>
  <c r="W33" i="35"/>
  <c r="W43" i="35"/>
  <c r="AE54" i="35"/>
  <c r="X47" i="35"/>
  <c r="AI52" i="35"/>
  <c r="BR58" i="35"/>
  <c r="BR42" i="35"/>
  <c r="BR47" i="35" s="1"/>
  <c r="BR62" i="35"/>
  <c r="BR59" i="35"/>
  <c r="AK61" i="35"/>
  <c r="W62" i="35"/>
  <c r="AA94" i="35"/>
  <c r="AA32" i="35"/>
  <c r="AA10" i="35"/>
  <c r="AA202" i="35" s="1"/>
  <c r="AE94" i="35"/>
  <c r="AE32" i="35"/>
  <c r="AE10" i="35"/>
  <c r="AI94" i="35"/>
  <c r="AI32" i="35"/>
  <c r="AE62" i="35"/>
  <c r="AA63" i="35"/>
  <c r="AI63" i="35"/>
  <c r="BS68" i="35"/>
  <c r="U82" i="35"/>
  <c r="V82" i="35"/>
  <c r="U85" i="35"/>
  <c r="Y85" i="35"/>
  <c r="Y94" i="35" s="1"/>
  <c r="Y82" i="35"/>
  <c r="AD82" i="35"/>
  <c r="AC85" i="35"/>
  <c r="AC82" i="35"/>
  <c r="BT81" i="35"/>
  <c r="AG85" i="35"/>
  <c r="AG94" i="35" s="1"/>
  <c r="AG82" i="35"/>
  <c r="AW209" i="35"/>
  <c r="AW144" i="35"/>
  <c r="BA209" i="35"/>
  <c r="BA144" i="35"/>
  <c r="BE209" i="35"/>
  <c r="BE144" i="35"/>
  <c r="AW8" i="35"/>
  <c r="BA8" i="35"/>
  <c r="BE8" i="35"/>
  <c r="BR209" i="35"/>
  <c r="BR144" i="35"/>
  <c r="BR100" i="35"/>
  <c r="BV209" i="35"/>
  <c r="BV144" i="35"/>
  <c r="BZ209" i="35"/>
  <c r="BZ144" i="35"/>
  <c r="Y17" i="35"/>
  <c r="Y27" i="35"/>
  <c r="AC27" i="35"/>
  <c r="AG27" i="35"/>
  <c r="U44" i="35"/>
  <c r="Y44" i="35"/>
  <c r="Z54" i="35" s="1"/>
  <c r="AC44" i="35"/>
  <c r="AG49" i="35" s="1"/>
  <c r="Z94" i="35"/>
  <c r="AD94" i="35"/>
  <c r="AH94" i="35"/>
  <c r="Z62" i="35"/>
  <c r="AD62" i="35"/>
  <c r="AH62" i="35"/>
  <c r="Z63" i="35"/>
  <c r="AD63" i="35"/>
  <c r="AH63" i="35"/>
  <c r="AD71" i="35"/>
  <c r="AK77" i="35"/>
  <c r="BQ81" i="35"/>
  <c r="BQ79" i="35" s="1"/>
  <c r="T85" i="35"/>
  <c r="X82" i="35"/>
  <c r="BR81" i="35"/>
  <c r="AB82" i="35"/>
  <c r="BS81" i="35"/>
  <c r="AF85" i="35"/>
  <c r="BA100" i="35"/>
  <c r="W128" i="35"/>
  <c r="X103" i="35"/>
  <c r="AE112" i="35"/>
  <c r="X118" i="35"/>
  <c r="BR117" i="35"/>
  <c r="X119" i="35"/>
  <c r="BS117" i="35"/>
  <c r="AB118" i="35"/>
  <c r="AF119" i="35"/>
  <c r="AH140" i="35"/>
  <c r="AI136" i="35"/>
  <c r="BT136" i="35" s="1"/>
  <c r="BT137" i="35" s="1"/>
  <c r="BZ100" i="35"/>
  <c r="AB121" i="35"/>
  <c r="U71" i="35"/>
  <c r="Y72" i="35"/>
  <c r="Y71" i="35"/>
  <c r="AC72" i="35"/>
  <c r="AC71" i="35"/>
  <c r="AG72" i="35"/>
  <c r="AG71" i="35"/>
  <c r="AW100" i="35"/>
  <c r="BE100" i="35"/>
  <c r="AE202" i="35"/>
  <c r="AD121" i="35"/>
  <c r="AE122" i="35" s="1"/>
  <c r="BR129" i="35"/>
  <c r="Y62" i="35"/>
  <c r="AC62" i="35"/>
  <c r="AG62" i="35"/>
  <c r="Y63" i="35"/>
  <c r="AG63" i="35"/>
  <c r="BS78" i="35"/>
  <c r="BT78" i="35"/>
  <c r="AR96" i="35"/>
  <c r="BV100" i="35"/>
  <c r="W103" i="35"/>
  <c r="Z82" i="35"/>
  <c r="AE82" i="35"/>
  <c r="U102" i="35"/>
  <c r="Y102" i="35"/>
  <c r="AA111" i="35"/>
  <c r="AA112" i="35" s="1"/>
  <c r="Y118" i="35"/>
  <c r="BR128" i="35"/>
  <c r="BS128" i="35"/>
  <c r="AF140" i="35"/>
  <c r="AA141" i="35"/>
  <c r="AB141" i="35"/>
  <c r="BV155" i="35"/>
  <c r="BV149" i="35"/>
  <c r="BV182" i="35"/>
  <c r="BZ182" i="35"/>
  <c r="BZ155" i="35"/>
  <c r="BZ149" i="35"/>
  <c r="BZ154" i="35"/>
  <c r="BV154" i="35"/>
  <c r="AM161" i="35"/>
  <c r="AM183" i="35" s="1"/>
  <c r="AN157" i="35"/>
  <c r="Y132" i="35"/>
  <c r="Y111" i="35"/>
  <c r="AC132" i="35"/>
  <c r="BS131" i="35"/>
  <c r="AC111" i="35"/>
  <c r="AD112" i="35" s="1"/>
  <c r="V132" i="35"/>
  <c r="AG140" i="35"/>
  <c r="W141" i="35"/>
  <c r="BW182" i="35"/>
  <c r="BW155" i="35"/>
  <c r="BW154" i="35"/>
  <c r="W132" i="35"/>
  <c r="BQ131" i="35"/>
  <c r="BR132" i="35" s="1"/>
  <c r="AE141" i="35"/>
  <c r="BQ140" i="35"/>
  <c r="BQ138" i="35" s="1"/>
  <c r="AG127" i="35"/>
  <c r="BS138" i="35"/>
  <c r="AA118" i="35"/>
  <c r="AE118" i="35"/>
  <c r="X128" i="35"/>
  <c r="BU149" i="35"/>
  <c r="BU182" i="35"/>
  <c r="BY182" i="35"/>
  <c r="BY155" i="35"/>
  <c r="BZ168" i="35"/>
  <c r="AM180" i="35"/>
  <c r="AM176" i="35"/>
  <c r="AP175" i="35"/>
  <c r="BY168" i="35"/>
  <c r="AQ171" i="35"/>
  <c r="BY189" i="35"/>
  <c r="BY188" i="35"/>
  <c r="BV168" i="35"/>
  <c r="BY169" i="35"/>
  <c r="AO175" i="35"/>
  <c r="T201" i="35"/>
  <c r="BX182" i="35"/>
  <c r="BX154" i="35"/>
  <c r="BW168" i="35"/>
  <c r="BU175" i="35"/>
  <c r="AL183" i="35"/>
  <c r="BX188" i="35"/>
  <c r="AM194" i="35"/>
  <c r="BC195" i="35"/>
  <c r="AS194" i="35"/>
  <c r="AZ194" i="35"/>
  <c r="AN195" i="35"/>
  <c r="BV193" i="35"/>
  <c r="AZ217" i="35"/>
  <c r="AZ226" i="35"/>
  <c r="AZ232" i="35" s="1"/>
  <c r="AJ256" i="35"/>
  <c r="BT248" i="35"/>
  <c r="BW248" i="35"/>
  <c r="BU249" i="35"/>
  <c r="AO257" i="35"/>
  <c r="BZ188" i="35"/>
  <c r="AL199" i="35"/>
  <c r="AL194" i="35"/>
  <c r="BW193" i="35"/>
  <c r="AR195" i="35"/>
  <c r="AO195" i="35"/>
  <c r="AV195" i="35"/>
  <c r="BD195" i="35"/>
  <c r="BX193" i="35"/>
  <c r="AM199" i="35"/>
  <c r="BV188" i="35"/>
  <c r="BZ191" i="35"/>
  <c r="AW195" i="35"/>
  <c r="BA194" i="35"/>
  <c r="AW194" i="35"/>
  <c r="BD194" i="35"/>
  <c r="BE195" i="35"/>
  <c r="BY193" i="35"/>
  <c r="BZ195" i="35" s="1"/>
  <c r="AY217" i="35"/>
  <c r="BW188" i="35"/>
  <c r="AJ199" i="35"/>
  <c r="AJ197" i="35"/>
  <c r="BU193" i="35"/>
  <c r="AK194" i="35"/>
  <c r="AR194" i="35"/>
  <c r="AL197" i="35"/>
  <c r="AL146" i="35" s="1"/>
  <c r="AY232" i="35"/>
  <c r="AY234" i="35" s="1"/>
  <c r="AP195" i="35"/>
  <c r="AP194" i="35"/>
  <c r="AT195" i="35"/>
  <c r="AT194" i="35"/>
  <c r="AX195" i="35"/>
  <c r="AX194" i="35"/>
  <c r="BB195" i="35"/>
  <c r="BB194" i="35"/>
  <c r="BF195" i="35"/>
  <c r="BU248" i="35"/>
  <c r="BW249" i="35"/>
  <c r="BF194" i="35"/>
  <c r="AI245" i="35"/>
  <c r="AG252" i="35"/>
  <c r="AG253" i="35" s="1"/>
  <c r="AH256" i="35"/>
  <c r="AH257" i="35" s="1"/>
  <c r="AH252" i="35"/>
  <c r="AH253" i="35" s="1"/>
  <c r="AL256" i="35"/>
  <c r="AL257" i="35" s="1"/>
  <c r="AL252" i="35"/>
  <c r="AL253" i="35" s="1"/>
  <c r="BV248" i="35"/>
  <c r="BV249" i="35"/>
  <c r="AF250" i="35"/>
  <c r="AK250" i="35"/>
  <c r="AK16" i="13"/>
  <c r="AS16" i="13"/>
  <c r="BA16" i="13"/>
  <c r="BU8" i="13"/>
  <c r="BU24" i="13" s="1"/>
  <c r="AK14" i="13"/>
  <c r="AO14" i="13"/>
  <c r="AS14" i="13"/>
  <c r="AW14" i="13"/>
  <c r="BA14" i="13"/>
  <c r="AO15" i="13"/>
  <c r="AS15" i="13"/>
  <c r="AW15" i="13"/>
  <c r="BA15" i="13"/>
  <c r="AJ24" i="13"/>
  <c r="AN24" i="13"/>
  <c r="AR24" i="13"/>
  <c r="AV24" i="13"/>
  <c r="AZ24" i="13"/>
  <c r="BW25" i="13"/>
  <c r="BU27" i="13"/>
  <c r="AP32" i="13"/>
  <c r="AT32" i="13"/>
  <c r="AX32" i="13"/>
  <c r="AJ34" i="13"/>
  <c r="AK42" i="13"/>
  <c r="AO42" i="13"/>
  <c r="AS42" i="13"/>
  <c r="AW42" i="13"/>
  <c r="BA42" i="13"/>
  <c r="AM45" i="13"/>
  <c r="BU45" i="13" s="1"/>
  <c r="AQ45" i="13"/>
  <c r="AQ34" i="13" s="1"/>
  <c r="AU45" i="13"/>
  <c r="AU34" i="13" s="1"/>
  <c r="AY45" i="13"/>
  <c r="AY34" i="13" s="1"/>
  <c r="BV8" i="13"/>
  <c r="AJ16" i="13"/>
  <c r="BX25" i="13"/>
  <c r="AM32" i="13"/>
  <c r="AQ33" i="13"/>
  <c r="AN45" i="13"/>
  <c r="AR45" i="13"/>
  <c r="AV45" i="13"/>
  <c r="AV16" i="13" s="1"/>
  <c r="AZ45" i="13"/>
  <c r="AZ16" i="13" s="1"/>
  <c r="BW8" i="13"/>
  <c r="AM14" i="13"/>
  <c r="AQ14" i="13"/>
  <c r="AU14" i="13"/>
  <c r="AY14" i="13"/>
  <c r="AQ15" i="13"/>
  <c r="AU15" i="13"/>
  <c r="AY15" i="13"/>
  <c r="AL24" i="13"/>
  <c r="AP24" i="13"/>
  <c r="AT24" i="13"/>
  <c r="AX24" i="13"/>
  <c r="BU25" i="13"/>
  <c r="BU42" i="13" s="1"/>
  <c r="AN32" i="13"/>
  <c r="AR32" i="13"/>
  <c r="AV32" i="13"/>
  <c r="AZ32" i="13"/>
  <c r="AN33" i="13"/>
  <c r="AR33" i="13"/>
  <c r="AV33" i="13"/>
  <c r="AZ33" i="13"/>
  <c r="BV41" i="13"/>
  <c r="AM42" i="13"/>
  <c r="AN14" i="13"/>
  <c r="AR14" i="13"/>
  <c r="AV14" i="13"/>
  <c r="AZ14" i="13"/>
  <c r="AL16" i="13"/>
  <c r="AX16" i="13"/>
  <c r="BV25" i="13"/>
  <c r="BV33" i="13" s="1"/>
  <c r="AO32" i="13"/>
  <c r="AS32" i="13"/>
  <c r="AW32" i="13"/>
  <c r="BA32" i="13"/>
  <c r="E72" i="3"/>
  <c r="F12" i="3"/>
  <c r="R13" i="3"/>
  <c r="S13" i="3" s="1"/>
  <c r="BP14" i="3"/>
  <c r="BP107" i="3" s="1"/>
  <c r="AT16" i="3"/>
  <c r="AU16" i="3" s="1"/>
  <c r="BO25" i="3"/>
  <c r="BO118" i="3" s="1"/>
  <c r="BS25" i="3"/>
  <c r="BS118" i="3" s="1"/>
  <c r="BW25" i="3"/>
  <c r="BW118" i="3" s="1"/>
  <c r="BO26" i="3"/>
  <c r="BO119" i="3" s="1"/>
  <c r="BS26" i="3"/>
  <c r="BS119" i="3" s="1"/>
  <c r="U72" i="3"/>
  <c r="V12" i="3"/>
  <c r="AP16" i="3"/>
  <c r="AQ16" i="3" s="1"/>
  <c r="BV16" i="3" s="1"/>
  <c r="BV109" i="3" s="1"/>
  <c r="AD19" i="3"/>
  <c r="AE19" i="3" s="1"/>
  <c r="AM11" i="3"/>
  <c r="BD11" i="3"/>
  <c r="AK72" i="3"/>
  <c r="AL12" i="3"/>
  <c r="AH15" i="3"/>
  <c r="AI15" i="3" s="1"/>
  <c r="BT16" i="3"/>
  <c r="BT109" i="3" s="1"/>
  <c r="BM26" i="3"/>
  <c r="BM119" i="3" s="1"/>
  <c r="Z14" i="3"/>
  <c r="AA14" i="3" s="1"/>
  <c r="J19" i="3"/>
  <c r="K19" i="3" s="1"/>
  <c r="O99" i="3"/>
  <c r="O68" i="3"/>
  <c r="O83" i="3" s="1"/>
  <c r="O91" i="3" s="1"/>
  <c r="BC99" i="3"/>
  <c r="BC68" i="3"/>
  <c r="BC83" i="3" s="1"/>
  <c r="BC91" i="3" s="1"/>
  <c r="BT99" i="3"/>
  <c r="BT68" i="3"/>
  <c r="BT83" i="3" s="1"/>
  <c r="BT91" i="3" s="1"/>
  <c r="O87" i="3"/>
  <c r="O84" i="3"/>
  <c r="O85" i="3" s="1"/>
  <c r="AE87" i="3"/>
  <c r="AE84" i="3"/>
  <c r="AE85" i="3" s="1"/>
  <c r="AH12" i="3"/>
  <c r="BU13" i="3"/>
  <c r="BU106" i="3" s="1"/>
  <c r="BW14" i="3"/>
  <c r="BW107" i="3" s="1"/>
  <c r="BP16" i="3"/>
  <c r="BP109" i="3" s="1"/>
  <c r="BR17" i="3"/>
  <c r="BR110" i="3" s="1"/>
  <c r="AQ167" i="2"/>
  <c r="AY167" i="2"/>
  <c r="F68" i="3"/>
  <c r="F83" i="3" s="1"/>
  <c r="F91" i="3" s="1"/>
  <c r="F99" i="3"/>
  <c r="J68" i="3"/>
  <c r="J83" i="3" s="1"/>
  <c r="J91" i="3" s="1"/>
  <c r="J99" i="3"/>
  <c r="N68" i="3"/>
  <c r="N83" i="3" s="1"/>
  <c r="N91" i="3" s="1"/>
  <c r="N99" i="3"/>
  <c r="R99" i="3"/>
  <c r="R68" i="3"/>
  <c r="R83" i="3" s="1"/>
  <c r="R91" i="3" s="1"/>
  <c r="V68" i="3"/>
  <c r="V83" i="3" s="1"/>
  <c r="V91" i="3" s="1"/>
  <c r="V99" i="3"/>
  <c r="Z68" i="3"/>
  <c r="Z83" i="3" s="1"/>
  <c r="Z91" i="3" s="1"/>
  <c r="Z99" i="3"/>
  <c r="AD68" i="3"/>
  <c r="AD83" i="3" s="1"/>
  <c r="AD91" i="3" s="1"/>
  <c r="AD99" i="3"/>
  <c r="AH99" i="3"/>
  <c r="AH68" i="3"/>
  <c r="AH83" i="3" s="1"/>
  <c r="AH91" i="3" s="1"/>
  <c r="AL68" i="3"/>
  <c r="AL83" i="3" s="1"/>
  <c r="AL91" i="3" s="1"/>
  <c r="AL99" i="3"/>
  <c r="AP68" i="3"/>
  <c r="AP83" i="3" s="1"/>
  <c r="AP91" i="3" s="1"/>
  <c r="AP99" i="3"/>
  <c r="AT68" i="3"/>
  <c r="AT83" i="3" s="1"/>
  <c r="AT91" i="3" s="1"/>
  <c r="AT99" i="3"/>
  <c r="AX99" i="3"/>
  <c r="AX68" i="3"/>
  <c r="AX83" i="3" s="1"/>
  <c r="AX91" i="3" s="1"/>
  <c r="BB68" i="3"/>
  <c r="BB83" i="3" s="1"/>
  <c r="BB91" i="3" s="1"/>
  <c r="BB99" i="3"/>
  <c r="BF68" i="3"/>
  <c r="BF83" i="3" s="1"/>
  <c r="BF91" i="3" s="1"/>
  <c r="BF99" i="3"/>
  <c r="BO68" i="3"/>
  <c r="BO83" i="3" s="1"/>
  <c r="BO91" i="3" s="1"/>
  <c r="BO99" i="3"/>
  <c r="BS99" i="3"/>
  <c r="BS68" i="3"/>
  <c r="BS83" i="3" s="1"/>
  <c r="BS91" i="3" s="1"/>
  <c r="BW68" i="3"/>
  <c r="BW83" i="3" s="1"/>
  <c r="BW91" i="3" s="1"/>
  <c r="BW99" i="3"/>
  <c r="F87" i="3"/>
  <c r="F84" i="3"/>
  <c r="F85" i="3" s="1"/>
  <c r="J87" i="3"/>
  <c r="J84" i="3"/>
  <c r="J85" i="3" s="1"/>
  <c r="N87" i="3"/>
  <c r="N84" i="3"/>
  <c r="N85" i="3" s="1"/>
  <c r="R84" i="3"/>
  <c r="R85" i="3" s="1"/>
  <c r="R87" i="3"/>
  <c r="V84" i="3"/>
  <c r="V85" i="3" s="1"/>
  <c r="V87" i="3"/>
  <c r="Z87" i="3"/>
  <c r="AD87" i="3"/>
  <c r="AD84" i="3"/>
  <c r="AD85" i="3" s="1"/>
  <c r="AH84" i="3"/>
  <c r="AH85" i="3" s="1"/>
  <c r="AH87" i="3"/>
  <c r="AL84" i="3"/>
  <c r="AL85" i="3" s="1"/>
  <c r="AP87" i="3"/>
  <c r="AP84" i="3"/>
  <c r="AP85" i="3" s="1"/>
  <c r="AT87" i="3"/>
  <c r="AT84" i="3"/>
  <c r="AT85" i="3" s="1"/>
  <c r="AX84" i="3"/>
  <c r="AX85" i="3" s="1"/>
  <c r="AX87" i="3"/>
  <c r="V11" i="3"/>
  <c r="W11" i="3" s="1"/>
  <c r="AD11" i="3"/>
  <c r="AE11" i="3" s="1"/>
  <c r="AT11" i="3"/>
  <c r="AU11" i="3" s="1"/>
  <c r="AX11" i="3"/>
  <c r="AY11" i="3" s="1"/>
  <c r="AS12" i="3"/>
  <c r="BT13" i="3"/>
  <c r="BT106" i="3" s="1"/>
  <c r="BV14" i="3"/>
  <c r="BV107" i="3" s="1"/>
  <c r="BM15" i="3"/>
  <c r="BM108" i="3" s="1"/>
  <c r="BX15" i="3"/>
  <c r="BX108" i="3" s="1"/>
  <c r="BO16" i="3"/>
  <c r="BO109" i="3" s="1"/>
  <c r="BQ17" i="3"/>
  <c r="BQ110" i="3" s="1"/>
  <c r="Y19" i="3"/>
  <c r="Z19" i="3" s="1"/>
  <c r="AA19" i="3" s="1"/>
  <c r="AO19" i="3"/>
  <c r="AP19" i="3" s="1"/>
  <c r="AQ19" i="3" s="1"/>
  <c r="BE112" i="3"/>
  <c r="BF112" i="3" s="1"/>
  <c r="BG112" i="3" s="1"/>
  <c r="BW19" i="3"/>
  <c r="BW112" i="3" s="1"/>
  <c r="BM21" i="3"/>
  <c r="BM114" i="3" s="1"/>
  <c r="BQ21" i="3"/>
  <c r="BU21" i="3"/>
  <c r="BN22" i="3"/>
  <c r="BN115" i="3" s="1"/>
  <c r="BR22" i="3"/>
  <c r="BR115" i="3" s="1"/>
  <c r="BV22" i="3"/>
  <c r="BV115" i="3" s="1"/>
  <c r="BO23" i="3"/>
  <c r="BO116" i="3" s="1"/>
  <c r="BS23" i="3"/>
  <c r="BS116" i="3" s="1"/>
  <c r="BW23" i="3"/>
  <c r="BW116" i="3" s="1"/>
  <c r="BP24" i="3"/>
  <c r="BP117" i="3" s="1"/>
  <c r="BT24" i="3"/>
  <c r="BT117" i="3" s="1"/>
  <c r="BX24" i="3"/>
  <c r="BX117" i="3" s="1"/>
  <c r="BM25" i="3"/>
  <c r="BM118" i="3" s="1"/>
  <c r="BQ25" i="3"/>
  <c r="BQ118" i="3" s="1"/>
  <c r="BU25" i="3"/>
  <c r="BU118" i="3" s="1"/>
  <c r="BN26" i="3"/>
  <c r="BN119" i="3" s="1"/>
  <c r="BR26" i="3"/>
  <c r="BR119" i="3" s="1"/>
  <c r="BV26" i="3"/>
  <c r="BV119" i="3" s="1"/>
  <c r="BN21" i="3"/>
  <c r="BN114" i="3" s="1"/>
  <c r="BS21" i="3"/>
  <c r="BX21" i="3"/>
  <c r="BO22" i="3"/>
  <c r="BO115" i="3" s="1"/>
  <c r="BT22" i="3"/>
  <c r="BT115" i="3" s="1"/>
  <c r="BP23" i="3"/>
  <c r="BP116" i="3" s="1"/>
  <c r="BU23" i="3"/>
  <c r="BU116" i="3" s="1"/>
  <c r="BO24" i="3"/>
  <c r="BO117" i="3" s="1"/>
  <c r="BU24" i="3"/>
  <c r="BU117" i="3" s="1"/>
  <c r="BX27" i="3"/>
  <c r="BX120" i="3" s="1"/>
  <c r="BU28" i="3"/>
  <c r="BU121" i="3" s="1"/>
  <c r="AP28" i="3"/>
  <c r="AQ28" i="3" s="1"/>
  <c r="BM29" i="3"/>
  <c r="BM122" i="3" s="1"/>
  <c r="BQ29" i="3"/>
  <c r="BQ122" i="3" s="1"/>
  <c r="BU29" i="3"/>
  <c r="BU122" i="3" s="1"/>
  <c r="BY29" i="3"/>
  <c r="BY122" i="3" s="1"/>
  <c r="H69" i="3"/>
  <c r="H71" i="3" s="1"/>
  <c r="I33" i="3"/>
  <c r="H42" i="3"/>
  <c r="P69" i="3"/>
  <c r="P71" i="3" s="1"/>
  <c r="Q33" i="3"/>
  <c r="P42" i="3"/>
  <c r="X69" i="3"/>
  <c r="X71" i="3" s="1"/>
  <c r="Y33" i="3"/>
  <c r="X42" i="3"/>
  <c r="AF69" i="3"/>
  <c r="AF71" i="3" s="1"/>
  <c r="AG33" i="3"/>
  <c r="AF42" i="3"/>
  <c r="AN69" i="3"/>
  <c r="AO33" i="3"/>
  <c r="AN42" i="3"/>
  <c r="AV69" i="3"/>
  <c r="AW33" i="3"/>
  <c r="AV42" i="3"/>
  <c r="E34" i="3"/>
  <c r="F34" i="3" s="1"/>
  <c r="G34" i="3" s="1"/>
  <c r="U34" i="3"/>
  <c r="V34" i="3" s="1"/>
  <c r="W34" i="3" s="1"/>
  <c r="BA34" i="3"/>
  <c r="BY34" i="3" s="1"/>
  <c r="BY127" i="3" s="1"/>
  <c r="AZ42" i="3"/>
  <c r="N35" i="3"/>
  <c r="O35" i="3" s="1"/>
  <c r="Y35" i="3"/>
  <c r="Z35" i="3" s="1"/>
  <c r="AA35" i="3" s="1"/>
  <c r="BQ38" i="3"/>
  <c r="BQ131" i="3" s="1"/>
  <c r="AG39" i="3"/>
  <c r="AH39" i="3" s="1"/>
  <c r="AI39" i="3" s="1"/>
  <c r="O40" i="3"/>
  <c r="BO40" i="3" s="1"/>
  <c r="BO133" i="3" s="1"/>
  <c r="BW35" i="3"/>
  <c r="BW128" i="3" s="1"/>
  <c r="BW36" i="3"/>
  <c r="BW129" i="3" s="1"/>
  <c r="BT37" i="3"/>
  <c r="BT130" i="3" s="1"/>
  <c r="BU38" i="3"/>
  <c r="BU131" i="3" s="1"/>
  <c r="AE56" i="3"/>
  <c r="BS56" i="3" s="1"/>
  <c r="BS149" i="3" s="1"/>
  <c r="G99" i="3"/>
  <c r="G68" i="3"/>
  <c r="G83" i="3" s="1"/>
  <c r="G91" i="3" s="1"/>
  <c r="S99" i="3"/>
  <c r="S68" i="3"/>
  <c r="S83" i="3" s="1"/>
  <c r="S91" i="3" s="1"/>
  <c r="AE99" i="3"/>
  <c r="AE68" i="3"/>
  <c r="AE83" i="3" s="1"/>
  <c r="AE91" i="3" s="1"/>
  <c r="AQ99" i="3"/>
  <c r="AQ68" i="3"/>
  <c r="AQ83" i="3" s="1"/>
  <c r="AQ91" i="3" s="1"/>
  <c r="BG99" i="3"/>
  <c r="BG68" i="3"/>
  <c r="BG83" i="3" s="1"/>
  <c r="BG91" i="3" s="1"/>
  <c r="G84" i="3"/>
  <c r="G85" i="3" s="1"/>
  <c r="G87" i="3"/>
  <c r="W84" i="3"/>
  <c r="W85" i="3" s="1"/>
  <c r="W87" i="3"/>
  <c r="AU84" i="3"/>
  <c r="AU85" i="3" s="1"/>
  <c r="BN10" i="3"/>
  <c r="AZ72" i="3"/>
  <c r="BW15" i="3"/>
  <c r="BW108" i="3" s="1"/>
  <c r="BN15" i="3"/>
  <c r="BN108" i="3" s="1"/>
  <c r="BQ26" i="3"/>
  <c r="BQ119" i="3" s="1"/>
  <c r="BU26" i="3"/>
  <c r="BU119" i="3" s="1"/>
  <c r="BO21" i="3"/>
  <c r="BO114" i="3" s="1"/>
  <c r="BT21" i="3"/>
  <c r="BP22" i="3"/>
  <c r="BP115" i="3" s="1"/>
  <c r="BU22" i="3"/>
  <c r="BU115" i="3" s="1"/>
  <c r="BQ23" i="3"/>
  <c r="BQ116" i="3" s="1"/>
  <c r="BV23" i="3"/>
  <c r="BV116" i="3" s="1"/>
  <c r="BQ24" i="3"/>
  <c r="BQ117" i="3" s="1"/>
  <c r="BV24" i="3"/>
  <c r="BV117" i="3" s="1"/>
  <c r="BT29" i="3"/>
  <c r="BT122" i="3" s="1"/>
  <c r="E35" i="3"/>
  <c r="F35" i="3" s="1"/>
  <c r="G35" i="3" s="1"/>
  <c r="BX35" i="3"/>
  <c r="BX128" i="3" s="1"/>
  <c r="Q36" i="3"/>
  <c r="R36" i="3" s="1"/>
  <c r="S36" i="3" s="1"/>
  <c r="AM36" i="3"/>
  <c r="BU36" i="3" s="1"/>
  <c r="BU129" i="3" s="1"/>
  <c r="AW36" i="3"/>
  <c r="AX36" i="3" s="1"/>
  <c r="AY36" i="3" s="1"/>
  <c r="U37" i="3"/>
  <c r="V37" i="3" s="1"/>
  <c r="W37" i="3" s="1"/>
  <c r="AS38" i="3"/>
  <c r="AT38" i="3" s="1"/>
  <c r="AU38" i="3" s="1"/>
  <c r="BU39" i="3"/>
  <c r="BU132" i="3" s="1"/>
  <c r="BU34" i="3"/>
  <c r="BU127" i="3" s="1"/>
  <c r="BY37" i="3"/>
  <c r="BY130" i="3" s="1"/>
  <c r="BM40" i="3"/>
  <c r="BM133" i="3" s="1"/>
  <c r="AE41" i="3"/>
  <c r="BS41" i="3" s="1"/>
  <c r="BS134" i="3" s="1"/>
  <c r="G45" i="3"/>
  <c r="W45" i="3"/>
  <c r="AL51" i="3"/>
  <c r="AM51" i="3" s="1"/>
  <c r="W99" i="3"/>
  <c r="W68" i="3"/>
  <c r="W83" i="3" s="1"/>
  <c r="W91" i="3" s="1"/>
  <c r="AM99" i="3"/>
  <c r="AM68" i="3"/>
  <c r="AM83" i="3" s="1"/>
  <c r="AM91" i="3" s="1"/>
  <c r="AY99" i="3"/>
  <c r="AY68" i="3"/>
  <c r="AY83" i="3" s="1"/>
  <c r="AY91" i="3" s="1"/>
  <c r="BX99" i="3"/>
  <c r="BX68" i="3"/>
  <c r="BX83" i="3" s="1"/>
  <c r="BX91" i="3" s="1"/>
  <c r="S87" i="3"/>
  <c r="S84" i="3"/>
  <c r="S85" i="3" s="1"/>
  <c r="AQ84" i="3"/>
  <c r="AQ85" i="3" s="1"/>
  <c r="AQ87" i="3"/>
  <c r="AY87" i="3"/>
  <c r="AY84" i="3"/>
  <c r="AY85" i="3" s="1"/>
  <c r="BX17" i="3"/>
  <c r="BX110" i="3" s="1"/>
  <c r="D99" i="3"/>
  <c r="D68" i="3"/>
  <c r="D83" i="3" s="1"/>
  <c r="D91" i="3" s="1"/>
  <c r="H99" i="3"/>
  <c r="H68" i="3"/>
  <c r="H83" i="3" s="1"/>
  <c r="H91" i="3" s="1"/>
  <c r="L99" i="3"/>
  <c r="L68" i="3"/>
  <c r="L83" i="3" s="1"/>
  <c r="L91" i="3" s="1"/>
  <c r="P99" i="3"/>
  <c r="P68" i="3"/>
  <c r="P83" i="3" s="1"/>
  <c r="P91" i="3" s="1"/>
  <c r="T99" i="3"/>
  <c r="T68" i="3"/>
  <c r="T83" i="3" s="1"/>
  <c r="T91" i="3" s="1"/>
  <c r="X99" i="3"/>
  <c r="X68" i="3"/>
  <c r="X83" i="3" s="1"/>
  <c r="X91" i="3" s="1"/>
  <c r="AB99" i="3"/>
  <c r="AB68" i="3"/>
  <c r="AB83" i="3" s="1"/>
  <c r="AB91" i="3" s="1"/>
  <c r="AF99" i="3"/>
  <c r="AF68" i="3"/>
  <c r="AF83" i="3" s="1"/>
  <c r="AF91" i="3" s="1"/>
  <c r="AJ99" i="3"/>
  <c r="AJ68" i="3"/>
  <c r="AJ83" i="3" s="1"/>
  <c r="AJ91" i="3" s="1"/>
  <c r="AN99" i="3"/>
  <c r="AN68" i="3"/>
  <c r="AN83" i="3" s="1"/>
  <c r="AN91" i="3" s="1"/>
  <c r="AR99" i="3"/>
  <c r="AR68" i="3"/>
  <c r="AR83" i="3" s="1"/>
  <c r="AR91" i="3" s="1"/>
  <c r="AV99" i="3"/>
  <c r="AV68" i="3"/>
  <c r="AV83" i="3" s="1"/>
  <c r="AV91" i="3" s="1"/>
  <c r="AZ99" i="3"/>
  <c r="AZ68" i="3"/>
  <c r="AZ83" i="3" s="1"/>
  <c r="AZ91" i="3" s="1"/>
  <c r="BD99" i="3"/>
  <c r="BD68" i="3"/>
  <c r="BD83" i="3" s="1"/>
  <c r="BD91" i="3" s="1"/>
  <c r="BM99" i="3"/>
  <c r="BM68" i="3"/>
  <c r="BM83" i="3" s="1"/>
  <c r="BM91" i="3" s="1"/>
  <c r="BQ99" i="3"/>
  <c r="BQ68" i="3"/>
  <c r="BQ83" i="3" s="1"/>
  <c r="BQ91" i="3" s="1"/>
  <c r="BU99" i="3"/>
  <c r="BU68" i="3"/>
  <c r="BU83" i="3" s="1"/>
  <c r="BU91" i="3" s="1"/>
  <c r="BY99" i="3"/>
  <c r="BY68" i="3"/>
  <c r="BY83" i="3" s="1"/>
  <c r="BY91" i="3" s="1"/>
  <c r="BN11" i="3"/>
  <c r="BN104" i="3" s="1"/>
  <c r="BR11" i="3"/>
  <c r="BR104" i="3" s="1"/>
  <c r="BV11" i="3"/>
  <c r="BO10" i="3"/>
  <c r="BZ87" i="3"/>
  <c r="BZ103" i="3"/>
  <c r="M12" i="3"/>
  <c r="AC12" i="3"/>
  <c r="E13" i="3"/>
  <c r="F13" i="3" s="1"/>
  <c r="G13" i="3" s="1"/>
  <c r="U13" i="3"/>
  <c r="V13" i="3" s="1"/>
  <c r="W13" i="3" s="1"/>
  <c r="M14" i="3"/>
  <c r="N14" i="3" s="1"/>
  <c r="O14" i="3" s="1"/>
  <c r="AC14" i="3"/>
  <c r="AD14" i="3" s="1"/>
  <c r="AE14" i="3" s="1"/>
  <c r="U15" i="3"/>
  <c r="V15" i="3" s="1"/>
  <c r="W15" i="3" s="1"/>
  <c r="AK15" i="3"/>
  <c r="AL15" i="3" s="1"/>
  <c r="AM15" i="3" s="1"/>
  <c r="AC16" i="3"/>
  <c r="AD16" i="3" s="1"/>
  <c r="AE16" i="3" s="1"/>
  <c r="E17" i="3"/>
  <c r="F17" i="3" s="1"/>
  <c r="G17" i="3" s="1"/>
  <c r="AK17" i="3"/>
  <c r="AL17" i="3" s="1"/>
  <c r="AM17" i="3" s="1"/>
  <c r="BA12" i="3"/>
  <c r="BA72" i="3" s="1"/>
  <c r="AY13" i="3"/>
  <c r="BX13" i="3" s="1"/>
  <c r="BX106" i="3" s="1"/>
  <c r="BA16" i="3"/>
  <c r="BY16" i="3" s="1"/>
  <c r="BY109" i="3" s="1"/>
  <c r="AS18" i="3"/>
  <c r="AT18" i="3" s="1"/>
  <c r="AU18" i="3" s="1"/>
  <c r="BZ105" i="3"/>
  <c r="BZ72" i="3"/>
  <c r="BV13" i="3"/>
  <c r="BV106" i="3" s="1"/>
  <c r="BN14" i="3"/>
  <c r="BN107" i="3" s="1"/>
  <c r="BX14" i="3"/>
  <c r="BX107" i="3" s="1"/>
  <c r="BP15" i="3"/>
  <c r="BP108" i="3" s="1"/>
  <c r="BR16" i="3"/>
  <c r="BR109" i="3" s="1"/>
  <c r="BN17" i="3"/>
  <c r="BN110" i="3" s="1"/>
  <c r="BT17" i="3"/>
  <c r="BT110" i="3" s="1"/>
  <c r="Q19" i="3"/>
  <c r="R19" i="3" s="1"/>
  <c r="S19" i="3" s="1"/>
  <c r="V19" i="3"/>
  <c r="W19" i="3" s="1"/>
  <c r="AG19" i="3"/>
  <c r="AH19" i="3" s="1"/>
  <c r="AI19" i="3" s="1"/>
  <c r="AL19" i="3"/>
  <c r="AM19" i="3" s="1"/>
  <c r="AW19" i="3"/>
  <c r="AX19" i="3" s="1"/>
  <c r="AY19" i="3" s="1"/>
  <c r="BO19" i="3"/>
  <c r="BO112" i="3" s="1"/>
  <c r="R21" i="3"/>
  <c r="S21" i="3" s="1"/>
  <c r="Z21" i="3"/>
  <c r="AA21" i="3" s="1"/>
  <c r="AP21" i="3"/>
  <c r="AQ21" i="3" s="1"/>
  <c r="AT21" i="3"/>
  <c r="AU21" i="3" s="1"/>
  <c r="F22" i="3"/>
  <c r="G22" i="3" s="1"/>
  <c r="V22" i="3"/>
  <c r="W22" i="3" s="1"/>
  <c r="AD22" i="3"/>
  <c r="AE22" i="3" s="1"/>
  <c r="AT22" i="3"/>
  <c r="AU22" i="3" s="1"/>
  <c r="AX22" i="3"/>
  <c r="AY22" i="3" s="1"/>
  <c r="F23" i="3"/>
  <c r="G23" i="3" s="1"/>
  <c r="J23" i="3"/>
  <c r="K23" i="3" s="1"/>
  <c r="Z23" i="3"/>
  <c r="AA23" i="3" s="1"/>
  <c r="AH23" i="3"/>
  <c r="AI23" i="3" s="1"/>
  <c r="AX23" i="3"/>
  <c r="AY23" i="3" s="1"/>
  <c r="F24" i="3"/>
  <c r="G24" i="3" s="1"/>
  <c r="J24" i="3"/>
  <c r="K24" i="3" s="1"/>
  <c r="Z24" i="3"/>
  <c r="AA24" i="3" s="1"/>
  <c r="AD24" i="3"/>
  <c r="AE24" i="3" s="1"/>
  <c r="AT24" i="3"/>
  <c r="AU24" i="3" s="1"/>
  <c r="BW26" i="3"/>
  <c r="BW119" i="3" s="1"/>
  <c r="BX28" i="3"/>
  <c r="BX121" i="3" s="1"/>
  <c r="D69" i="3"/>
  <c r="D71" i="3" s="1"/>
  <c r="D42" i="3"/>
  <c r="E33" i="3"/>
  <c r="L69" i="3"/>
  <c r="L71" i="3" s="1"/>
  <c r="M33" i="3"/>
  <c r="L42" i="3"/>
  <c r="T69" i="3"/>
  <c r="T71" i="3" s="1"/>
  <c r="T42" i="3"/>
  <c r="U33" i="3"/>
  <c r="AB69" i="3"/>
  <c r="AB71" i="3" s="1"/>
  <c r="AC33" i="3"/>
  <c r="AB42" i="3"/>
  <c r="AJ69" i="3"/>
  <c r="AJ71" i="3" s="1"/>
  <c r="AJ42" i="3"/>
  <c r="AK33" i="3"/>
  <c r="AR69" i="3"/>
  <c r="AS33" i="3"/>
  <c r="AR42" i="3"/>
  <c r="I35" i="3"/>
  <c r="J35" i="3" s="1"/>
  <c r="K35" i="3" s="1"/>
  <c r="AD35" i="3"/>
  <c r="AE35" i="3" s="1"/>
  <c r="AO35" i="3"/>
  <c r="AP35" i="3" s="1"/>
  <c r="AQ35" i="3" s="1"/>
  <c r="F39" i="3"/>
  <c r="G39" i="3" s="1"/>
  <c r="Q39" i="3"/>
  <c r="R39" i="3" s="1"/>
  <c r="S39" i="3" s="1"/>
  <c r="AW39" i="3"/>
  <c r="AX39" i="3" s="1"/>
  <c r="AY39" i="3" s="1"/>
  <c r="I40" i="3"/>
  <c r="J40" i="3" s="1"/>
  <c r="K40" i="3" s="1"/>
  <c r="AE40" i="3"/>
  <c r="BS40" i="3" s="1"/>
  <c r="BS133" i="3" s="1"/>
  <c r="AO40" i="3"/>
  <c r="AP40" i="3" s="1"/>
  <c r="AQ40" i="3" s="1"/>
  <c r="G41" i="3"/>
  <c r="BM41" i="3" s="1"/>
  <c r="BM134" i="3" s="1"/>
  <c r="W48" i="3"/>
  <c r="BQ48" i="3" s="1"/>
  <c r="BQ141" i="3" s="1"/>
  <c r="K99" i="3"/>
  <c r="K68" i="3"/>
  <c r="K83" i="3" s="1"/>
  <c r="K91" i="3" s="1"/>
  <c r="AA99" i="3"/>
  <c r="AA68" i="3"/>
  <c r="AA83" i="3" s="1"/>
  <c r="AA91" i="3" s="1"/>
  <c r="AI99" i="3"/>
  <c r="AI68" i="3"/>
  <c r="AI83" i="3" s="1"/>
  <c r="AI91" i="3" s="1"/>
  <c r="AU99" i="3"/>
  <c r="AU68" i="3"/>
  <c r="AU83" i="3" s="1"/>
  <c r="AU91" i="3" s="1"/>
  <c r="BP99" i="3"/>
  <c r="BP68" i="3"/>
  <c r="BP83" i="3" s="1"/>
  <c r="BP91" i="3" s="1"/>
  <c r="K87" i="3"/>
  <c r="K84" i="3"/>
  <c r="K85" i="3" s="1"/>
  <c r="AA84" i="3"/>
  <c r="AA85" i="3" s="1"/>
  <c r="BS10" i="3"/>
  <c r="R12" i="3"/>
  <c r="I99" i="3"/>
  <c r="I68" i="3"/>
  <c r="I83" i="3" s="1"/>
  <c r="I91" i="3" s="1"/>
  <c r="Q99" i="3"/>
  <c r="Q68" i="3"/>
  <c r="Q83" i="3" s="1"/>
  <c r="Q91" i="3" s="1"/>
  <c r="Y99" i="3"/>
  <c r="Y68" i="3"/>
  <c r="Y83" i="3" s="1"/>
  <c r="Y91" i="3" s="1"/>
  <c r="AG99" i="3"/>
  <c r="AG68" i="3"/>
  <c r="AG83" i="3" s="1"/>
  <c r="AG91" i="3" s="1"/>
  <c r="AO99" i="3"/>
  <c r="AO68" i="3"/>
  <c r="AO83" i="3" s="1"/>
  <c r="AO91" i="3" s="1"/>
  <c r="AW99" i="3"/>
  <c r="AW68" i="3"/>
  <c r="AW83" i="3" s="1"/>
  <c r="AW91" i="3" s="1"/>
  <c r="BE99" i="3"/>
  <c r="BE68" i="3"/>
  <c r="BE83" i="3" s="1"/>
  <c r="BE91" i="3" s="1"/>
  <c r="BR99" i="3"/>
  <c r="BR68" i="3"/>
  <c r="BR83" i="3" s="1"/>
  <c r="BR91" i="3" s="1"/>
  <c r="BV99" i="3"/>
  <c r="BV68" i="3"/>
  <c r="BV83" i="3" s="1"/>
  <c r="BV91" i="3" s="1"/>
  <c r="E87" i="3"/>
  <c r="E84" i="3"/>
  <c r="E85" i="3" s="1"/>
  <c r="I87" i="3"/>
  <c r="I84" i="3"/>
  <c r="I85" i="3" s="1"/>
  <c r="M84" i="3"/>
  <c r="M85" i="3" s="1"/>
  <c r="M87" i="3"/>
  <c r="Q84" i="3"/>
  <c r="Q85" i="3" s="1"/>
  <c r="Q87" i="3"/>
  <c r="U87" i="3"/>
  <c r="U84" i="3"/>
  <c r="U85" i="3" s="1"/>
  <c r="Y87" i="3"/>
  <c r="Y84" i="3"/>
  <c r="Y85" i="3" s="1"/>
  <c r="AC84" i="3"/>
  <c r="AC85" i="3" s="1"/>
  <c r="AC87" i="3"/>
  <c r="AG87" i="3"/>
  <c r="AG84" i="3"/>
  <c r="AG85" i="3" s="1"/>
  <c r="AK87" i="3"/>
  <c r="AK84" i="3"/>
  <c r="AK85" i="3" s="1"/>
  <c r="AO87" i="3"/>
  <c r="AO84" i="3"/>
  <c r="AO85" i="3" s="1"/>
  <c r="AS84" i="3"/>
  <c r="AS85" i="3" s="1"/>
  <c r="AS87" i="3"/>
  <c r="AW87" i="3"/>
  <c r="AW84" i="3"/>
  <c r="AW85" i="3" s="1"/>
  <c r="BA87" i="3"/>
  <c r="BA84" i="3"/>
  <c r="BA85" i="3" s="1"/>
  <c r="BP10" i="3"/>
  <c r="BV10" i="3"/>
  <c r="D72" i="3"/>
  <c r="I12" i="3"/>
  <c r="T72" i="3"/>
  <c r="Y12" i="3"/>
  <c r="AJ72" i="3"/>
  <c r="AO12" i="3"/>
  <c r="BO13" i="3"/>
  <c r="BO106" i="3" s="1"/>
  <c r="BS13" i="3"/>
  <c r="BS106" i="3" s="1"/>
  <c r="BM14" i="3"/>
  <c r="BM107" i="3" s="1"/>
  <c r="BQ14" i="3"/>
  <c r="BQ107" i="3" s="1"/>
  <c r="BU14" i="3"/>
  <c r="BU107" i="3" s="1"/>
  <c r="BO15" i="3"/>
  <c r="BO108" i="3" s="1"/>
  <c r="BS15" i="3"/>
  <c r="BS108" i="3" s="1"/>
  <c r="BM16" i="3"/>
  <c r="BM109" i="3" s="1"/>
  <c r="I16" i="3"/>
  <c r="J16" i="3" s="1"/>
  <c r="K16" i="3" s="1"/>
  <c r="BQ16" i="3"/>
  <c r="BQ109" i="3" s="1"/>
  <c r="BU16" i="3"/>
  <c r="BU109" i="3" s="1"/>
  <c r="BO17" i="3"/>
  <c r="BO110" i="3" s="1"/>
  <c r="Q17" i="3"/>
  <c r="R17" i="3" s="1"/>
  <c r="S17" i="3" s="1"/>
  <c r="BS17" i="3"/>
  <c r="BS110" i="3" s="1"/>
  <c r="AW12" i="3"/>
  <c r="BW13" i="3"/>
  <c r="BW106" i="3" s="1"/>
  <c r="BY14" i="3"/>
  <c r="BY107" i="3" s="1"/>
  <c r="AW16" i="3"/>
  <c r="AX16" i="3" s="1"/>
  <c r="AY16" i="3" s="1"/>
  <c r="BW17" i="3"/>
  <c r="BW110" i="3" s="1"/>
  <c r="BY18" i="3"/>
  <c r="BY111" i="3" s="1"/>
  <c r="BR13" i="3"/>
  <c r="BR106" i="3" s="1"/>
  <c r="BT14" i="3"/>
  <c r="BT107" i="3" s="1"/>
  <c r="BV15" i="3"/>
  <c r="BV108" i="3" s="1"/>
  <c r="BX18" i="3"/>
  <c r="BX111" i="3" s="1"/>
  <c r="AT28" i="3"/>
  <c r="AU28" i="3" s="1"/>
  <c r="I29" i="3"/>
  <c r="J29" i="3" s="1"/>
  <c r="K29" i="3" s="1"/>
  <c r="Q29" i="3"/>
  <c r="R29" i="3" s="1"/>
  <c r="S29" i="3" s="1"/>
  <c r="Y29" i="3"/>
  <c r="Z29" i="3" s="1"/>
  <c r="AA29" i="3" s="1"/>
  <c r="AO29" i="3"/>
  <c r="AP29" i="3" s="1"/>
  <c r="AQ29" i="3" s="1"/>
  <c r="AW29" i="3"/>
  <c r="AX29" i="3" s="1"/>
  <c r="AY29" i="3" s="1"/>
  <c r="Q34" i="3"/>
  <c r="R34" i="3" s="1"/>
  <c r="S34" i="3" s="1"/>
  <c r="BR34" i="3"/>
  <c r="BR127" i="3" s="1"/>
  <c r="AG34" i="3"/>
  <c r="AH34" i="3" s="1"/>
  <c r="AI34" i="3" s="1"/>
  <c r="BV34" i="3"/>
  <c r="BV127" i="3" s="1"/>
  <c r="AW34" i="3"/>
  <c r="AX34" i="3" s="1"/>
  <c r="AY34" i="3" s="1"/>
  <c r="K36" i="3"/>
  <c r="BN36" i="3" s="1"/>
  <c r="BN129" i="3" s="1"/>
  <c r="AG36" i="3"/>
  <c r="AH36" i="3" s="1"/>
  <c r="AI36" i="3" s="1"/>
  <c r="E37" i="3"/>
  <c r="F37" i="3" s="1"/>
  <c r="G37" i="3" s="1"/>
  <c r="N37" i="3"/>
  <c r="O37" i="3" s="1"/>
  <c r="BU37" i="3"/>
  <c r="BU130" i="3" s="1"/>
  <c r="AK37" i="3"/>
  <c r="AL37" i="3" s="1"/>
  <c r="AM37" i="3" s="1"/>
  <c r="AC38" i="3"/>
  <c r="AD38" i="3" s="1"/>
  <c r="AE38" i="3" s="1"/>
  <c r="BQ35" i="3"/>
  <c r="BQ128" i="3" s="1"/>
  <c r="BO38" i="3"/>
  <c r="BO131" i="3" s="1"/>
  <c r="BW39" i="3"/>
  <c r="BW132" i="3" s="1"/>
  <c r="S45" i="3"/>
  <c r="BP45" i="3" s="1"/>
  <c r="AE50" i="3"/>
  <c r="BS50" i="3" s="1"/>
  <c r="BS143" i="3" s="1"/>
  <c r="AE51" i="3"/>
  <c r="BS51" i="3" s="1"/>
  <c r="BS144" i="3" s="1"/>
  <c r="D87" i="3"/>
  <c r="D84" i="3"/>
  <c r="D85" i="3" s="1"/>
  <c r="H87" i="3"/>
  <c r="H84" i="3"/>
  <c r="H85" i="3" s="1"/>
  <c r="L87" i="3"/>
  <c r="L84" i="3"/>
  <c r="L85" i="3" s="1"/>
  <c r="P87" i="3"/>
  <c r="P84" i="3"/>
  <c r="P85" i="3" s="1"/>
  <c r="T87" i="3"/>
  <c r="T84" i="3"/>
  <c r="T85" i="3" s="1"/>
  <c r="X87" i="3"/>
  <c r="X84" i="3"/>
  <c r="X85" i="3" s="1"/>
  <c r="AB87" i="3"/>
  <c r="AB84" i="3"/>
  <c r="AB85" i="3" s="1"/>
  <c r="AF87" i="3"/>
  <c r="AF84" i="3"/>
  <c r="AF85" i="3" s="1"/>
  <c r="AJ87" i="3"/>
  <c r="AJ84" i="3"/>
  <c r="AJ85" i="3" s="1"/>
  <c r="AN87" i="3"/>
  <c r="AN84" i="3"/>
  <c r="AN85" i="3" s="1"/>
  <c r="AR87" i="3"/>
  <c r="AR84" i="3"/>
  <c r="AV87" i="3"/>
  <c r="AV84" i="3"/>
  <c r="AZ87" i="3"/>
  <c r="AZ84" i="3"/>
  <c r="BD87" i="3"/>
  <c r="BD88" i="3" s="1"/>
  <c r="BD103" i="3"/>
  <c r="BE103" i="3" s="1"/>
  <c r="BF103" i="3" s="1"/>
  <c r="BG103" i="3" s="1"/>
  <c r="BM10" i="3"/>
  <c r="BQ10" i="3"/>
  <c r="Q35" i="3"/>
  <c r="R35" i="3" s="1"/>
  <c r="S35" i="3" s="1"/>
  <c r="AG35" i="3"/>
  <c r="AH35" i="3" s="1"/>
  <c r="AI35" i="3" s="1"/>
  <c r="BN37" i="3"/>
  <c r="BN130" i="3" s="1"/>
  <c r="BR37" i="3"/>
  <c r="BR130" i="3" s="1"/>
  <c r="AC37" i="3"/>
  <c r="AD37" i="3" s="1"/>
  <c r="AE37" i="3" s="1"/>
  <c r="BV37" i="3"/>
  <c r="BV130" i="3" s="1"/>
  <c r="AS37" i="3"/>
  <c r="AT37" i="3" s="1"/>
  <c r="AU37" i="3" s="1"/>
  <c r="Q38" i="3"/>
  <c r="R38" i="3" s="1"/>
  <c r="S38" i="3" s="1"/>
  <c r="AG38" i="3"/>
  <c r="AH38" i="3" s="1"/>
  <c r="AI38" i="3" s="1"/>
  <c r="AW38" i="3"/>
  <c r="AX38" i="3" s="1"/>
  <c r="AY38" i="3" s="1"/>
  <c r="BN34" i="3"/>
  <c r="BN127" i="3" s="1"/>
  <c r="BS34" i="3"/>
  <c r="BS127" i="3" s="1"/>
  <c r="BU35" i="3"/>
  <c r="BU128" i="3" s="1"/>
  <c r="BQ36" i="3"/>
  <c r="BQ129" i="3" s="1"/>
  <c r="BV36" i="3"/>
  <c r="BV129" i="3" s="1"/>
  <c r="BX37" i="3"/>
  <c r="BX130" i="3" s="1"/>
  <c r="BN38" i="3"/>
  <c r="BN131" i="3" s="1"/>
  <c r="BY38" i="3"/>
  <c r="BY131" i="3" s="1"/>
  <c r="BQ40" i="3"/>
  <c r="BQ133" i="3" s="1"/>
  <c r="BQ41" i="3"/>
  <c r="BQ134" i="3" s="1"/>
  <c r="BW41" i="3"/>
  <c r="BW134" i="3" s="1"/>
  <c r="J45" i="3"/>
  <c r="N45" i="3"/>
  <c r="Z45" i="3"/>
  <c r="AD45" i="3"/>
  <c r="AO45" i="3"/>
  <c r="BO46" i="3"/>
  <c r="BO139" i="3" s="1"/>
  <c r="BW46" i="3"/>
  <c r="BW139" i="3" s="1"/>
  <c r="BR46" i="3"/>
  <c r="BR139" i="3" s="1"/>
  <c r="BV47" i="3"/>
  <c r="BV140" i="3" s="1"/>
  <c r="Q49" i="3"/>
  <c r="R49" i="3" s="1"/>
  <c r="S49" i="3" s="1"/>
  <c r="BS49" i="3"/>
  <c r="BS142" i="3" s="1"/>
  <c r="BU49" i="3"/>
  <c r="BU142" i="3" s="1"/>
  <c r="AW49" i="3"/>
  <c r="AX49" i="3" s="1"/>
  <c r="AY49" i="3" s="1"/>
  <c r="J51" i="3"/>
  <c r="K51" i="3" s="1"/>
  <c r="BR51" i="3"/>
  <c r="BR144" i="3" s="1"/>
  <c r="BQ47" i="3"/>
  <c r="BQ140" i="3" s="1"/>
  <c r="BW48" i="3"/>
  <c r="BW141" i="3" s="1"/>
  <c r="BM50" i="3"/>
  <c r="BM143" i="3" s="1"/>
  <c r="BX50" i="3"/>
  <c r="BX143" i="3" s="1"/>
  <c r="BO51" i="3"/>
  <c r="BO144" i="3" s="1"/>
  <c r="BW52" i="3"/>
  <c r="BW145" i="3" s="1"/>
  <c r="I53" i="3"/>
  <c r="J53" i="3" s="1"/>
  <c r="K53" i="3" s="1"/>
  <c r="BO53" i="3"/>
  <c r="BO146" i="3" s="1"/>
  <c r="BN56" i="3"/>
  <c r="BN149" i="3" s="1"/>
  <c r="BP59" i="3"/>
  <c r="BP152" i="3" s="1"/>
  <c r="BN59" i="3"/>
  <c r="BN152" i="3" s="1"/>
  <c r="BX41" i="3"/>
  <c r="BX134" i="3" s="1"/>
  <c r="AK45" i="3"/>
  <c r="AR54" i="3"/>
  <c r="AX45" i="3"/>
  <c r="BT46" i="3"/>
  <c r="BT139" i="3" s="1"/>
  <c r="E48" i="3"/>
  <c r="F48" i="3" s="1"/>
  <c r="G48" i="3" s="1"/>
  <c r="Q48" i="3"/>
  <c r="R48" i="3" s="1"/>
  <c r="S48" i="3" s="1"/>
  <c r="P54" i="3"/>
  <c r="AC48" i="3"/>
  <c r="AD48" i="3" s="1"/>
  <c r="AE48" i="3" s="1"/>
  <c r="AW48" i="3"/>
  <c r="AX48" i="3" s="1"/>
  <c r="AY48" i="3" s="1"/>
  <c r="AV54" i="3"/>
  <c r="BO49" i="3"/>
  <c r="BO142" i="3" s="1"/>
  <c r="Y50" i="3"/>
  <c r="Z50" i="3" s="1"/>
  <c r="AA50" i="3" s="1"/>
  <c r="AS50" i="3"/>
  <c r="AT50" i="3" s="1"/>
  <c r="AU50" i="3" s="1"/>
  <c r="AS51" i="3"/>
  <c r="AT51" i="3" s="1"/>
  <c r="AU51" i="3" s="1"/>
  <c r="I52" i="3"/>
  <c r="J52" i="3" s="1"/>
  <c r="K52" i="3" s="1"/>
  <c r="AC52" i="3"/>
  <c r="AD52" i="3" s="1"/>
  <c r="AE52" i="3" s="1"/>
  <c r="AO52" i="3"/>
  <c r="AP52" i="3" s="1"/>
  <c r="AQ52" i="3" s="1"/>
  <c r="BA52" i="3"/>
  <c r="BY52" i="3" s="1"/>
  <c r="BY145" i="3" s="1"/>
  <c r="BS47" i="3"/>
  <c r="BS140" i="3" s="1"/>
  <c r="BV49" i="3"/>
  <c r="BV142" i="3" s="1"/>
  <c r="BO50" i="3"/>
  <c r="BO143" i="3" s="1"/>
  <c r="BW53" i="3"/>
  <c r="BW146" i="3" s="1"/>
  <c r="AJ54" i="3"/>
  <c r="BS53" i="3"/>
  <c r="BS146" i="3" s="1"/>
  <c r="AW56" i="3"/>
  <c r="BX56" i="3" s="1"/>
  <c r="BX149" i="3" s="1"/>
  <c r="M59" i="3"/>
  <c r="N59" i="3" s="1"/>
  <c r="O59" i="3" s="1"/>
  <c r="AC59" i="3"/>
  <c r="AD59" i="3" s="1"/>
  <c r="AE59" i="3" s="1"/>
  <c r="BS36" i="3"/>
  <c r="BS129" i="3" s="1"/>
  <c r="BP37" i="3"/>
  <c r="BP130" i="3" s="1"/>
  <c r="BV38" i="3"/>
  <c r="BV131" i="3" s="1"/>
  <c r="BS39" i="3"/>
  <c r="BS132" i="3" s="1"/>
  <c r="BY40" i="3"/>
  <c r="BY133" i="3" s="1"/>
  <c r="AM41" i="3"/>
  <c r="BU41" i="3" s="1"/>
  <c r="BU134" i="3" s="1"/>
  <c r="BO41" i="3"/>
  <c r="BO134" i="3" s="1"/>
  <c r="BT41" i="3"/>
  <c r="BT134" i="3" s="1"/>
  <c r="AB54" i="3"/>
  <c r="AS45" i="3"/>
  <c r="BA46" i="3"/>
  <c r="BV46" i="3"/>
  <c r="BV139" i="3" s="1"/>
  <c r="E47" i="3"/>
  <c r="F47" i="3" s="1"/>
  <c r="G47" i="3" s="1"/>
  <c r="AG49" i="3"/>
  <c r="AH49" i="3" s="1"/>
  <c r="AI49" i="3" s="1"/>
  <c r="AM50" i="3"/>
  <c r="BU50" i="3" s="1"/>
  <c r="BU143" i="3" s="1"/>
  <c r="U51" i="3"/>
  <c r="V51" i="3" s="1"/>
  <c r="W51" i="3" s="1"/>
  <c r="AG51" i="3"/>
  <c r="AH51" i="3" s="1"/>
  <c r="AI51" i="3" s="1"/>
  <c r="BA51" i="3"/>
  <c r="BY51" i="3" s="1"/>
  <c r="BY144" i="3" s="1"/>
  <c r="BN47" i="3"/>
  <c r="BN140" i="3" s="1"/>
  <c r="BU47" i="3"/>
  <c r="BU140" i="3" s="1"/>
  <c r="BM49" i="3"/>
  <c r="BM142" i="3" s="1"/>
  <c r="BW49" i="3"/>
  <c r="BW142" i="3" s="1"/>
  <c r="BQ52" i="3"/>
  <c r="BQ145" i="3" s="1"/>
  <c r="E53" i="3"/>
  <c r="F53" i="3" s="1"/>
  <c r="G53" i="3" s="1"/>
  <c r="U53" i="3"/>
  <c r="V53" i="3" s="1"/>
  <c r="W53" i="3" s="1"/>
  <c r="H54" i="3"/>
  <c r="BU53" i="3"/>
  <c r="BU146" i="3" s="1"/>
  <c r="AO56" i="3"/>
  <c r="AP56" i="3" s="1"/>
  <c r="BU59" i="3"/>
  <c r="BU152" i="3" s="1"/>
  <c r="BA69" i="3"/>
  <c r="BA71" i="3" s="1"/>
  <c r="BZ33" i="3"/>
  <c r="BA35" i="3"/>
  <c r="BY35" i="3" s="1"/>
  <c r="BY128" i="3" s="1"/>
  <c r="BN39" i="3"/>
  <c r="BN132" i="3" s="1"/>
  <c r="M39" i="3"/>
  <c r="N39" i="3" s="1"/>
  <c r="O39" i="3" s="1"/>
  <c r="BR39" i="3"/>
  <c r="BR132" i="3" s="1"/>
  <c r="BV39" i="3"/>
  <c r="BV132" i="3" s="1"/>
  <c r="Q40" i="3"/>
  <c r="R40" i="3" s="1"/>
  <c r="S40" i="3" s="1"/>
  <c r="AG40" i="3"/>
  <c r="AH40" i="3" s="1"/>
  <c r="AI40" i="3" s="1"/>
  <c r="AW40" i="3"/>
  <c r="AX40" i="3" s="1"/>
  <c r="AY40" i="3" s="1"/>
  <c r="BW34" i="3"/>
  <c r="BW127" i="3" s="1"/>
  <c r="BO36" i="3"/>
  <c r="BO129" i="3" s="1"/>
  <c r="BM38" i="3"/>
  <c r="BM131" i="3" s="1"/>
  <c r="BR38" i="3"/>
  <c r="BR131" i="3" s="1"/>
  <c r="BU40" i="3"/>
  <c r="BU133" i="3" s="1"/>
  <c r="I41" i="3"/>
  <c r="J41" i="3" s="1"/>
  <c r="K41" i="3" s="1"/>
  <c r="Y41" i="3"/>
  <c r="Z41" i="3" s="1"/>
  <c r="AA41" i="3" s="1"/>
  <c r="AO41" i="3"/>
  <c r="AP41" i="3" s="1"/>
  <c r="AQ41" i="3" s="1"/>
  <c r="BP41" i="3"/>
  <c r="BP134" i="3" s="1"/>
  <c r="AH45" i="3"/>
  <c r="BA45" i="3"/>
  <c r="I46" i="3"/>
  <c r="J46" i="3" s="1"/>
  <c r="K46" i="3" s="1"/>
  <c r="AC46" i="3"/>
  <c r="AD46" i="3" s="1"/>
  <c r="AE46" i="3" s="1"/>
  <c r="BQ46" i="3"/>
  <c r="BQ139" i="3" s="1"/>
  <c r="M47" i="3"/>
  <c r="N47" i="3" s="1"/>
  <c r="O47" i="3" s="1"/>
  <c r="Y47" i="3"/>
  <c r="Z47" i="3" s="1"/>
  <c r="AA47" i="3" s="1"/>
  <c r="AS47" i="3"/>
  <c r="AT47" i="3" s="1"/>
  <c r="AU47" i="3" s="1"/>
  <c r="M48" i="3"/>
  <c r="N48" i="3" s="1"/>
  <c r="O48" i="3" s="1"/>
  <c r="AG48" i="3"/>
  <c r="AH48" i="3" s="1"/>
  <c r="AI48" i="3" s="1"/>
  <c r="AF54" i="3"/>
  <c r="BA48" i="3"/>
  <c r="BY48" i="3" s="1"/>
  <c r="BY141" i="3" s="1"/>
  <c r="I49" i="3"/>
  <c r="J49" i="3" s="1"/>
  <c r="K49" i="3" s="1"/>
  <c r="U49" i="3"/>
  <c r="V49" i="3" s="1"/>
  <c r="W49" i="3" s="1"/>
  <c r="BA49" i="3"/>
  <c r="BY49" i="3" s="1"/>
  <c r="I50" i="3"/>
  <c r="J50" i="3" s="1"/>
  <c r="K50" i="3" s="1"/>
  <c r="Q50" i="3"/>
  <c r="R50" i="3" s="1"/>
  <c r="S50" i="3" s="1"/>
  <c r="AO50" i="3"/>
  <c r="AP50" i="3" s="1"/>
  <c r="AQ50" i="3" s="1"/>
  <c r="BM51" i="3"/>
  <c r="BM144" i="3" s="1"/>
  <c r="BP51" i="3"/>
  <c r="BP144" i="3" s="1"/>
  <c r="BV51" i="3"/>
  <c r="BV144" i="3" s="1"/>
  <c r="BX51" i="3"/>
  <c r="BX144" i="3" s="1"/>
  <c r="E52" i="3"/>
  <c r="F52" i="3" s="1"/>
  <c r="G52" i="3" s="1"/>
  <c r="M52" i="3"/>
  <c r="N52" i="3" s="1"/>
  <c r="O52" i="3" s="1"/>
  <c r="Y52" i="3"/>
  <c r="Z52" i="3" s="1"/>
  <c r="AA52" i="3" s="1"/>
  <c r="BX52" i="3"/>
  <c r="BX145" i="3" s="1"/>
  <c r="BU48" i="3"/>
  <c r="BU141" i="3" s="1"/>
  <c r="BT50" i="3"/>
  <c r="BT143" i="3" s="1"/>
  <c r="BU52" i="3"/>
  <c r="BU145" i="3" s="1"/>
  <c r="BR53" i="3"/>
  <c r="BR146" i="3" s="1"/>
  <c r="BV53" i="3"/>
  <c r="BV146" i="3" s="1"/>
  <c r="T54" i="3"/>
  <c r="AZ54" i="3"/>
  <c r="M56" i="3"/>
  <c r="N56" i="3" s="1"/>
  <c r="O56" i="3" s="1"/>
  <c r="G59" i="3"/>
  <c r="BM59" i="3" s="1"/>
  <c r="BM152" i="3" s="1"/>
  <c r="BV59" i="3"/>
  <c r="BV152" i="3" s="1"/>
  <c r="BX59" i="3"/>
  <c r="BX152" i="3" s="1"/>
  <c r="BE126" i="3"/>
  <c r="BY33" i="3"/>
  <c r="BM45" i="3"/>
  <c r="BQ45" i="3"/>
  <c r="BP47" i="3"/>
  <c r="BP140" i="3" s="1"/>
  <c r="BT47" i="3"/>
  <c r="BT140" i="3" s="1"/>
  <c r="BX47" i="3"/>
  <c r="BX140" i="3" s="1"/>
  <c r="I48" i="3"/>
  <c r="J48" i="3" s="1"/>
  <c r="K48" i="3" s="1"/>
  <c r="Y48" i="3"/>
  <c r="Z48" i="3" s="1"/>
  <c r="AA48" i="3" s="1"/>
  <c r="AO48" i="3"/>
  <c r="AP48" i="3" s="1"/>
  <c r="AQ48" i="3" s="1"/>
  <c r="BQ50" i="3"/>
  <c r="BQ143" i="3" s="1"/>
  <c r="BT52" i="3"/>
  <c r="BT145" i="3" s="1"/>
  <c r="Q56" i="3"/>
  <c r="R56" i="3" s="1"/>
  <c r="S56" i="3" s="1"/>
  <c r="AG56" i="3"/>
  <c r="AH56" i="3" s="1"/>
  <c r="AI56" i="3" s="1"/>
  <c r="BQ56" i="3"/>
  <c r="BQ149" i="3" s="1"/>
  <c r="BQ59" i="3"/>
  <c r="BQ152" i="3" s="1"/>
  <c r="BB76" i="3"/>
  <c r="BB78" i="3" s="1"/>
  <c r="BB79" i="3" s="1"/>
  <c r="BO76" i="3"/>
  <c r="BO79" i="3" s="1"/>
  <c r="BS76" i="3"/>
  <c r="BS79" i="3" s="1"/>
  <c r="BN76" i="3"/>
  <c r="BN79" i="3" s="1"/>
  <c r="BU79" i="3"/>
  <c r="O79" i="3"/>
  <c r="AE79" i="3"/>
  <c r="AU79" i="3"/>
  <c r="BD75" i="3"/>
  <c r="BE75" i="3" s="1"/>
  <c r="BF75" i="3" s="1"/>
  <c r="BG75" i="3" s="1"/>
  <c r="BQ76" i="3"/>
  <c r="BQ79" i="3" s="1"/>
  <c r="BP53" i="3"/>
  <c r="BP146" i="3" s="1"/>
  <c r="BT53" i="3"/>
  <c r="BT146" i="3" s="1"/>
  <c r="BX53" i="3"/>
  <c r="BX146" i="3" s="1"/>
  <c r="BU56" i="3"/>
  <c r="BU149" i="3" s="1"/>
  <c r="BV76" i="3"/>
  <c r="BV79" i="3" s="1"/>
  <c r="BM76" i="3"/>
  <c r="BM79" i="3" s="1"/>
  <c r="BP79" i="3"/>
  <c r="BW79" i="3"/>
  <c r="BE138" i="3"/>
  <c r="AX147" i="3"/>
  <c r="AL147" i="3"/>
  <c r="AM147" i="3"/>
  <c r="W147" i="3"/>
  <c r="AO147" i="3"/>
  <c r="BY19" i="2"/>
  <c r="BY38" i="2"/>
  <c r="BE38" i="2"/>
  <c r="BF38" i="2" s="1"/>
  <c r="BG38" i="2" s="1"/>
  <c r="BY23" i="2"/>
  <c r="BE23" i="2"/>
  <c r="BF23" i="2" s="1"/>
  <c r="BG23" i="2" s="1"/>
  <c r="BE21" i="2"/>
  <c r="BF21" i="2" s="1"/>
  <c r="BG21" i="2" s="1"/>
  <c r="BY21" i="2"/>
  <c r="BE34" i="2"/>
  <c r="BF34" i="2" s="1"/>
  <c r="BG34" i="2" s="1"/>
  <c r="BY34" i="2"/>
  <c r="H158" i="2"/>
  <c r="H104" i="2"/>
  <c r="H49" i="2"/>
  <c r="H60" i="2" s="1"/>
  <c r="H77" i="2" s="1"/>
  <c r="AB158" i="2"/>
  <c r="AB104" i="2"/>
  <c r="AB49" i="2"/>
  <c r="AB60" i="2" s="1"/>
  <c r="AB77" i="2" s="1"/>
  <c r="AN158" i="2"/>
  <c r="AN104" i="2"/>
  <c r="AN49" i="2"/>
  <c r="AN60" i="2" s="1"/>
  <c r="AN77" i="2" s="1"/>
  <c r="AV158" i="2"/>
  <c r="AV104" i="2"/>
  <c r="AV49" i="2"/>
  <c r="AV60" i="2" s="1"/>
  <c r="AV77" i="2" s="1"/>
  <c r="AZ158" i="2"/>
  <c r="AZ104" i="2"/>
  <c r="AZ49" i="2"/>
  <c r="AZ60" i="2" s="1"/>
  <c r="AZ77" i="2" s="1"/>
  <c r="BM158" i="2"/>
  <c r="BM104" i="2"/>
  <c r="BM49" i="2"/>
  <c r="BM60" i="2" s="1"/>
  <c r="BM77" i="2" s="1"/>
  <c r="BY158" i="2"/>
  <c r="BY104" i="2"/>
  <c r="BY49" i="2"/>
  <c r="BY60" i="2" s="1"/>
  <c r="BY77" i="2" s="1"/>
  <c r="BT81" i="2"/>
  <c r="BT84" i="2" s="1"/>
  <c r="BT15" i="2"/>
  <c r="BS15" i="2"/>
  <c r="F54" i="2"/>
  <c r="F15" i="2"/>
  <c r="M24" i="2"/>
  <c r="M74" i="3" s="1"/>
  <c r="I158" i="2"/>
  <c r="I104" i="2"/>
  <c r="Q158" i="2"/>
  <c r="Q104" i="2"/>
  <c r="Y158" i="2"/>
  <c r="Y104" i="2"/>
  <c r="AG158" i="2"/>
  <c r="AG104" i="2"/>
  <c r="AO158" i="2"/>
  <c r="AO104" i="2"/>
  <c r="AW158" i="2"/>
  <c r="AW104" i="2"/>
  <c r="BE158" i="2"/>
  <c r="BE104" i="2"/>
  <c r="BR158" i="2"/>
  <c r="BR104" i="2"/>
  <c r="BV158" i="2"/>
  <c r="BV104" i="2"/>
  <c r="BY10" i="2"/>
  <c r="BU15" i="2"/>
  <c r="I24" i="2"/>
  <c r="I74" i="3" s="1"/>
  <c r="BA101" i="2"/>
  <c r="BA24" i="2"/>
  <c r="BA74" i="3" s="1"/>
  <c r="BY22" i="2"/>
  <c r="AA24" i="2"/>
  <c r="AA74" i="3" s="1"/>
  <c r="AQ24" i="2"/>
  <c r="AQ74" i="3" s="1"/>
  <c r="BY25" i="3"/>
  <c r="BY118" i="3" s="1"/>
  <c r="M35" i="2"/>
  <c r="M44" i="2" s="1"/>
  <c r="F158" i="2"/>
  <c r="F104" i="2"/>
  <c r="F49" i="2"/>
  <c r="F60" i="2" s="1"/>
  <c r="F77" i="2" s="1"/>
  <c r="J158" i="2"/>
  <c r="J104" i="2"/>
  <c r="J49" i="2"/>
  <c r="J60" i="2" s="1"/>
  <c r="J77" i="2" s="1"/>
  <c r="N158" i="2"/>
  <c r="N104" i="2"/>
  <c r="N49" i="2"/>
  <c r="N60" i="2" s="1"/>
  <c r="N77" i="2" s="1"/>
  <c r="R158" i="2"/>
  <c r="R104" i="2"/>
  <c r="R49" i="2"/>
  <c r="R60" i="2" s="1"/>
  <c r="R77" i="2" s="1"/>
  <c r="V158" i="2"/>
  <c r="V104" i="2"/>
  <c r="V49" i="2"/>
  <c r="V60" i="2" s="1"/>
  <c r="V77" i="2" s="1"/>
  <c r="Z158" i="2"/>
  <c r="Z104" i="2"/>
  <c r="Z49" i="2"/>
  <c r="Z60" i="2" s="1"/>
  <c r="Z77" i="2" s="1"/>
  <c r="AD158" i="2"/>
  <c r="AD104" i="2"/>
  <c r="AD49" i="2"/>
  <c r="AD60" i="2" s="1"/>
  <c r="AD77" i="2" s="1"/>
  <c r="AH158" i="2"/>
  <c r="AH104" i="2"/>
  <c r="AH49" i="2"/>
  <c r="AH60" i="2" s="1"/>
  <c r="AH77" i="2" s="1"/>
  <c r="AL158" i="2"/>
  <c r="AL104" i="2"/>
  <c r="AL49" i="2"/>
  <c r="AL60" i="2" s="1"/>
  <c r="AL77" i="2" s="1"/>
  <c r="AP158" i="2"/>
  <c r="AP104" i="2"/>
  <c r="AP49" i="2"/>
  <c r="AP60" i="2" s="1"/>
  <c r="AP77" i="2" s="1"/>
  <c r="AT158" i="2"/>
  <c r="AT104" i="2"/>
  <c r="AT49" i="2"/>
  <c r="AT60" i="2" s="1"/>
  <c r="AT77" i="2" s="1"/>
  <c r="AX158" i="2"/>
  <c r="AX104" i="2"/>
  <c r="AX49" i="2"/>
  <c r="AX60" i="2" s="1"/>
  <c r="AX77" i="2" s="1"/>
  <c r="BB158" i="2"/>
  <c r="BB104" i="2"/>
  <c r="BB49" i="2"/>
  <c r="BB60" i="2" s="1"/>
  <c r="BB77" i="2" s="1"/>
  <c r="BF158" i="2"/>
  <c r="BF104" i="2"/>
  <c r="BF49" i="2"/>
  <c r="BF60" i="2" s="1"/>
  <c r="BF77" i="2" s="1"/>
  <c r="BO158" i="2"/>
  <c r="BO104" i="2"/>
  <c r="BO49" i="2"/>
  <c r="BO60" i="2" s="1"/>
  <c r="BO77" i="2" s="1"/>
  <c r="BS158" i="2"/>
  <c r="BS104" i="2"/>
  <c r="BS49" i="2"/>
  <c r="BS60" i="2" s="1"/>
  <c r="BS77" i="2" s="1"/>
  <c r="BW158" i="2"/>
  <c r="BW104" i="2"/>
  <c r="BW49" i="2"/>
  <c r="BW60" i="2" s="1"/>
  <c r="BW77" i="2" s="1"/>
  <c r="BM14" i="2"/>
  <c r="BQ15" i="2"/>
  <c r="BV15" i="2"/>
  <c r="E24" i="2"/>
  <c r="T101" i="2"/>
  <c r="AJ101" i="2"/>
  <c r="AR15" i="2"/>
  <c r="AW15" i="2"/>
  <c r="G24" i="2"/>
  <c r="W24" i="2"/>
  <c r="W74" i="3" s="1"/>
  <c r="AB24" i="2"/>
  <c r="AM24" i="2"/>
  <c r="AM74" i="3" s="1"/>
  <c r="AX24" i="2"/>
  <c r="AX74" i="3" s="1"/>
  <c r="K35" i="2"/>
  <c r="K44" i="2" s="1"/>
  <c r="K46" i="2" s="1"/>
  <c r="BN30" i="2"/>
  <c r="BN35" i="2" s="1"/>
  <c r="BN44" i="2" s="1"/>
  <c r="I35" i="2"/>
  <c r="I44" i="2" s="1"/>
  <c r="N46" i="2"/>
  <c r="BE37" i="2"/>
  <c r="BG37" i="2" s="1"/>
  <c r="BQ87" i="2"/>
  <c r="BU87" i="2"/>
  <c r="BO97" i="2"/>
  <c r="BO95" i="2"/>
  <c r="BS97" i="2"/>
  <c r="BS98" i="2" s="1"/>
  <c r="BS95" i="2"/>
  <c r="BW97" i="2"/>
  <c r="BW73" i="2"/>
  <c r="BW44" i="2"/>
  <c r="I49" i="2"/>
  <c r="I60" i="2" s="1"/>
  <c r="I77" i="2" s="1"/>
  <c r="Q49" i="2"/>
  <c r="Q60" i="2" s="1"/>
  <c r="Q77" i="2" s="1"/>
  <c r="Y49" i="2"/>
  <c r="Y60" i="2" s="1"/>
  <c r="Y77" i="2" s="1"/>
  <c r="AG49" i="2"/>
  <c r="AG60" i="2" s="1"/>
  <c r="AG77" i="2" s="1"/>
  <c r="AO49" i="2"/>
  <c r="AO60" i="2" s="1"/>
  <c r="AO77" i="2" s="1"/>
  <c r="AW49" i="2"/>
  <c r="AW60" i="2" s="1"/>
  <c r="AW77" i="2" s="1"/>
  <c r="BE49" i="2"/>
  <c r="BE60" i="2" s="1"/>
  <c r="BE77" i="2" s="1"/>
  <c r="BR49" i="2"/>
  <c r="BR60" i="2" s="1"/>
  <c r="BR77" i="2" s="1"/>
  <c r="BX159" i="2"/>
  <c r="BX162" i="2" s="1"/>
  <c r="BR15" i="2"/>
  <c r="L101" i="2"/>
  <c r="P101" i="2"/>
  <c r="U101" i="2"/>
  <c r="U24" i="2"/>
  <c r="U74" i="3" s="1"/>
  <c r="Y101" i="2"/>
  <c r="Y24" i="2"/>
  <c r="AC101" i="2"/>
  <c r="AC24" i="2"/>
  <c r="AC74" i="3" s="1"/>
  <c r="AG101" i="2"/>
  <c r="AG24" i="2"/>
  <c r="AK101" i="2"/>
  <c r="AK24" i="2"/>
  <c r="AK74" i="3" s="1"/>
  <c r="AO101" i="2"/>
  <c r="AO24" i="2"/>
  <c r="AS101" i="2"/>
  <c r="AS24" i="2"/>
  <c r="AS74" i="3" s="1"/>
  <c r="AT24" i="2"/>
  <c r="AT74" i="3" s="1"/>
  <c r="AY24" i="2"/>
  <c r="J35" i="2"/>
  <c r="J44" i="2" s="1"/>
  <c r="U46" i="2"/>
  <c r="AE46" i="2"/>
  <c r="AV175" i="2"/>
  <c r="L158" i="2"/>
  <c r="L104" i="2"/>
  <c r="L49" i="2"/>
  <c r="L60" i="2" s="1"/>
  <c r="L77" i="2" s="1"/>
  <c r="T158" i="2"/>
  <c r="T104" i="2"/>
  <c r="T49" i="2"/>
  <c r="T60" i="2" s="1"/>
  <c r="T77" i="2" s="1"/>
  <c r="AF158" i="2"/>
  <c r="AF104" i="2"/>
  <c r="AF49" i="2"/>
  <c r="AF60" i="2" s="1"/>
  <c r="AF77" i="2" s="1"/>
  <c r="BQ158" i="2"/>
  <c r="BQ104" i="2"/>
  <c r="BQ49" i="2"/>
  <c r="BQ60" i="2" s="1"/>
  <c r="BQ77" i="2" s="1"/>
  <c r="BP81" i="2"/>
  <c r="BP84" i="2" s="1"/>
  <c r="BP15" i="2"/>
  <c r="R54" i="2"/>
  <c r="R15" i="2"/>
  <c r="AU54" i="2"/>
  <c r="BW14" i="2"/>
  <c r="Q101" i="2"/>
  <c r="Q24" i="2"/>
  <c r="AU15" i="2"/>
  <c r="BE20" i="2"/>
  <c r="BF20" i="2" s="1"/>
  <c r="BG20" i="2" s="1"/>
  <c r="AZ24" i="2"/>
  <c r="BU35" i="2"/>
  <c r="BU44" i="2" s="1"/>
  <c r="Z46" i="2"/>
  <c r="AD46" i="2"/>
  <c r="AP46" i="2"/>
  <c r="BE40" i="2"/>
  <c r="BF40" i="2" s="1"/>
  <c r="BG40" i="2" s="1"/>
  <c r="BM44" i="2"/>
  <c r="AI46" i="2"/>
  <c r="BV49" i="2"/>
  <c r="BV60" i="2" s="1"/>
  <c r="BV77" i="2" s="1"/>
  <c r="D158" i="2"/>
  <c r="D104" i="2"/>
  <c r="D49" i="2"/>
  <c r="D60" i="2" s="1"/>
  <c r="D77" i="2" s="1"/>
  <c r="P158" i="2"/>
  <c r="P104" i="2"/>
  <c r="P49" i="2"/>
  <c r="P60" i="2" s="1"/>
  <c r="P77" i="2" s="1"/>
  <c r="X158" i="2"/>
  <c r="X104" i="2"/>
  <c r="X49" i="2"/>
  <c r="X60" i="2" s="1"/>
  <c r="X77" i="2" s="1"/>
  <c r="AJ158" i="2"/>
  <c r="AJ104" i="2"/>
  <c r="AJ49" i="2"/>
  <c r="AJ60" i="2" s="1"/>
  <c r="AJ77" i="2" s="1"/>
  <c r="AR158" i="2"/>
  <c r="AR104" i="2"/>
  <c r="AR49" i="2"/>
  <c r="AR60" i="2" s="1"/>
  <c r="AR77" i="2" s="1"/>
  <c r="BD158" i="2"/>
  <c r="BD104" i="2"/>
  <c r="BD49" i="2"/>
  <c r="BD60" i="2" s="1"/>
  <c r="BD77" i="2" s="1"/>
  <c r="BU158" i="2"/>
  <c r="BU104" i="2"/>
  <c r="BU49" i="2"/>
  <c r="BU60" i="2" s="1"/>
  <c r="BU77" i="2" s="1"/>
  <c r="BX81" i="2"/>
  <c r="BX84" i="2" s="1"/>
  <c r="BX15" i="2"/>
  <c r="BN15" i="2"/>
  <c r="J54" i="2"/>
  <c r="J15" i="2"/>
  <c r="E158" i="2"/>
  <c r="E104" i="2"/>
  <c r="M158" i="2"/>
  <c r="M104" i="2"/>
  <c r="U158" i="2"/>
  <c r="U104" i="2"/>
  <c r="AC158" i="2"/>
  <c r="AC104" i="2"/>
  <c r="AK158" i="2"/>
  <c r="AK104" i="2"/>
  <c r="AS158" i="2"/>
  <c r="AS104" i="2"/>
  <c r="BA158" i="2"/>
  <c r="BA104" i="2"/>
  <c r="BN158" i="2"/>
  <c r="BN104" i="2"/>
  <c r="BZ158" i="2"/>
  <c r="BZ104" i="2"/>
  <c r="BO15" i="2"/>
  <c r="D101" i="2"/>
  <c r="AV15" i="2"/>
  <c r="BE33" i="2"/>
  <c r="BF33" i="2" s="1"/>
  <c r="BG33" i="2" s="1"/>
  <c r="H35" i="2"/>
  <c r="H44" i="2" s="1"/>
  <c r="H46" i="2" s="1"/>
  <c r="BT87" i="2"/>
  <c r="AM46" i="2"/>
  <c r="BQ95" i="2"/>
  <c r="BQ97" i="2"/>
  <c r="BQ98" i="2" s="1"/>
  <c r="G158" i="2"/>
  <c r="G104" i="2"/>
  <c r="K158" i="2"/>
  <c r="K104" i="2"/>
  <c r="O158" i="2"/>
  <c r="O104" i="2"/>
  <c r="S158" i="2"/>
  <c r="S104" i="2"/>
  <c r="W158" i="2"/>
  <c r="W104" i="2"/>
  <c r="AA158" i="2"/>
  <c r="AA104" i="2"/>
  <c r="AE158" i="2"/>
  <c r="AE104" i="2"/>
  <c r="AI158" i="2"/>
  <c r="AI104" i="2"/>
  <c r="AM158" i="2"/>
  <c r="AM104" i="2"/>
  <c r="AQ158" i="2"/>
  <c r="AQ104" i="2"/>
  <c r="AU158" i="2"/>
  <c r="AU104" i="2"/>
  <c r="AY158" i="2"/>
  <c r="AY104" i="2"/>
  <c r="BC158" i="2"/>
  <c r="BC104" i="2"/>
  <c r="BG158" i="2"/>
  <c r="BG104" i="2"/>
  <c r="BP158" i="2"/>
  <c r="BP104" i="2"/>
  <c r="BT158" i="2"/>
  <c r="BT104" i="2"/>
  <c r="BX158" i="2"/>
  <c r="BX104" i="2"/>
  <c r="BU84" i="2"/>
  <c r="BV159" i="2" s="1"/>
  <c r="BV162" i="2" s="1"/>
  <c r="N101" i="2"/>
  <c r="V101" i="2"/>
  <c r="Z101" i="2"/>
  <c r="AD101" i="2"/>
  <c r="AH101" i="2"/>
  <c r="AL101" i="2"/>
  <c r="AP101" i="2"/>
  <c r="BR87" i="2"/>
  <c r="BV87" i="2"/>
  <c r="BN97" i="2"/>
  <c r="BN98" i="2" s="1"/>
  <c r="BN95" i="2"/>
  <c r="BR97" i="2"/>
  <c r="BR95" i="2"/>
  <c r="BV97" i="2"/>
  <c r="BE62" i="2"/>
  <c r="BF62" i="2" s="1"/>
  <c r="BG62" i="2" s="1"/>
  <c r="BV65" i="2"/>
  <c r="BV71" i="2" s="1"/>
  <c r="BV74" i="2" s="1"/>
  <c r="L71" i="2"/>
  <c r="L74" i="2" s="1"/>
  <c r="T71" i="2"/>
  <c r="T74" i="2" s="1"/>
  <c r="Z71" i="2"/>
  <c r="Z74" i="2" s="1"/>
  <c r="AV71" i="2"/>
  <c r="AV74" i="2" s="1"/>
  <c r="BM74" i="2"/>
  <c r="N84" i="2"/>
  <c r="N90" i="2" s="1"/>
  <c r="N91" i="2" s="1"/>
  <c r="AD84" i="2"/>
  <c r="AD90" i="2" s="1"/>
  <c r="AD91" i="2" s="1"/>
  <c r="AT84" i="2"/>
  <c r="G98" i="2"/>
  <c r="K98" i="2"/>
  <c r="O98" i="2"/>
  <c r="W98" i="2"/>
  <c r="AA98" i="2"/>
  <c r="AE98" i="2"/>
  <c r="AM98" i="2"/>
  <c r="AQ98" i="2"/>
  <c r="AU98" i="2"/>
  <c r="BD115" i="2"/>
  <c r="BE115" i="2" s="1"/>
  <c r="BF115" i="2" s="1"/>
  <c r="BG115" i="2" s="1"/>
  <c r="BY115" i="2"/>
  <c r="BW65" i="2"/>
  <c r="BW71" i="2" s="1"/>
  <c r="R71" i="2"/>
  <c r="AH71" i="2"/>
  <c r="AX71" i="2"/>
  <c r="AX74" i="2" s="1"/>
  <c r="F71" i="2"/>
  <c r="F74" i="2" s="1"/>
  <c r="N71" i="2"/>
  <c r="N74" i="2" s="1"/>
  <c r="AP71" i="2"/>
  <c r="AP74" i="2" s="1"/>
  <c r="R74" i="2"/>
  <c r="AH74" i="2"/>
  <c r="AB159" i="2"/>
  <c r="AA90" i="2"/>
  <c r="AA91" i="2" s="1"/>
  <c r="AE160" i="2"/>
  <c r="AF159" i="2"/>
  <c r="AM175" i="2"/>
  <c r="BU175" i="2" s="1"/>
  <c r="AU175" i="2"/>
  <c r="J91" i="2"/>
  <c r="AF160" i="2"/>
  <c r="AG159" i="2"/>
  <c r="BP87" i="2"/>
  <c r="BX87" i="2"/>
  <c r="BP97" i="2"/>
  <c r="BP98" i="2" s="1"/>
  <c r="BP95" i="2"/>
  <c r="BT97" i="2"/>
  <c r="BX95" i="2"/>
  <c r="BX73" i="2"/>
  <c r="BX97" i="2"/>
  <c r="BX98" i="2" s="1"/>
  <c r="BQ44" i="2"/>
  <c r="BP65" i="2"/>
  <c r="BP71" i="2" s="1"/>
  <c r="BP74" i="2" s="1"/>
  <c r="BT65" i="2"/>
  <c r="BT71" i="2" s="1"/>
  <c r="BT74" i="2" s="1"/>
  <c r="BS65" i="2"/>
  <c r="BS71" i="2" s="1"/>
  <c r="BS74" i="2" s="1"/>
  <c r="P71" i="2"/>
  <c r="P74" i="2" s="1"/>
  <c r="V71" i="2"/>
  <c r="V74" i="2" s="1"/>
  <c r="AD71" i="2"/>
  <c r="AD74" i="2" s="1"/>
  <c r="AR71" i="2"/>
  <c r="AR74" i="2" s="1"/>
  <c r="AZ71" i="2"/>
  <c r="AZ74" i="2" s="1"/>
  <c r="S95" i="2"/>
  <c r="S98" i="2"/>
  <c r="AI95" i="2"/>
  <c r="AI98" i="2"/>
  <c r="AY95" i="2"/>
  <c r="AY98" i="2"/>
  <c r="H84" i="2"/>
  <c r="H90" i="2" s="1"/>
  <c r="H91" i="2" s="1"/>
  <c r="AC159" i="2"/>
  <c r="AK159" i="2"/>
  <c r="AK162" i="2" s="1"/>
  <c r="AJ175" i="2"/>
  <c r="AS159" i="2"/>
  <c r="AS162" i="2" s="1"/>
  <c r="AR175" i="2"/>
  <c r="BR88" i="2"/>
  <c r="BM95" i="2"/>
  <c r="BM97" i="2"/>
  <c r="BM98" i="2" s="1"/>
  <c r="BU97" i="2"/>
  <c r="BU95" i="2"/>
  <c r="BY61" i="2"/>
  <c r="BO65" i="2"/>
  <c r="BO71" i="2" s="1"/>
  <c r="BO74" i="2" s="1"/>
  <c r="BU65" i="2"/>
  <c r="BU71" i="2" s="1"/>
  <c r="BU74" i="2" s="1"/>
  <c r="H71" i="2"/>
  <c r="H74" i="2" s="1"/>
  <c r="X71" i="2"/>
  <c r="X74" i="2" s="1"/>
  <c r="AN71" i="2"/>
  <c r="D71" i="2"/>
  <c r="D74" i="2" s="1"/>
  <c r="J71" i="2"/>
  <c r="J74" i="2" s="1"/>
  <c r="AF71" i="2"/>
  <c r="AF74" i="2" s="1"/>
  <c r="AL71" i="2"/>
  <c r="AL74" i="2" s="1"/>
  <c r="AT71" i="2"/>
  <c r="AT74" i="2" s="1"/>
  <c r="AN74" i="2"/>
  <c r="BQ74" i="2"/>
  <c r="AG160" i="2"/>
  <c r="AO175" i="2"/>
  <c r="AP159" i="2"/>
  <c r="AP162" i="2" s="1"/>
  <c r="AT159" i="2"/>
  <c r="AT162" i="2" s="1"/>
  <c r="AS175" i="2"/>
  <c r="AW175" i="2"/>
  <c r="AX159" i="2"/>
  <c r="AX162" i="2" s="1"/>
  <c r="R91" i="2"/>
  <c r="AL175" i="2"/>
  <c r="AM159" i="2"/>
  <c r="AM162" i="2" s="1"/>
  <c r="AX175" i="2"/>
  <c r="AY159" i="2"/>
  <c r="AY162" i="2" s="1"/>
  <c r="F98" i="2"/>
  <c r="J98" i="2"/>
  <c r="N98" i="2"/>
  <c r="R98" i="2"/>
  <c r="V98" i="2"/>
  <c r="Z98" i="2"/>
  <c r="AD98" i="2"/>
  <c r="AH98" i="2"/>
  <c r="AL98" i="2"/>
  <c r="AP98" i="2"/>
  <c r="AT98" i="2"/>
  <c r="AX98" i="2"/>
  <c r="BX65" i="2"/>
  <c r="BX71" i="2" s="1"/>
  <c r="M71" i="2"/>
  <c r="M74" i="2" s="1"/>
  <c r="AC71" i="2"/>
  <c r="AC74" i="2" s="1"/>
  <c r="AS71" i="2"/>
  <c r="AS74" i="2" s="1"/>
  <c r="BW107" i="2"/>
  <c r="AV107" i="2"/>
  <c r="BA112" i="2"/>
  <c r="BA116" i="2"/>
  <c r="AI108" i="2"/>
  <c r="BY119" i="2"/>
  <c r="BD119" i="2"/>
  <c r="BE119" i="2" s="1"/>
  <c r="BF119" i="2" s="1"/>
  <c r="BG119" i="2" s="1"/>
  <c r="AN132" i="2"/>
  <c r="AO132" i="2" s="1"/>
  <c r="AP132" i="2" s="1"/>
  <c r="AQ132" i="2" s="1"/>
  <c r="BU132" i="2"/>
  <c r="AE121" i="2"/>
  <c r="BA111" i="2"/>
  <c r="AT150" i="2"/>
  <c r="AU114" i="2"/>
  <c r="AV135" i="2"/>
  <c r="AW135" i="2" s="1"/>
  <c r="AX135" i="2" s="1"/>
  <c r="AY135" i="2" s="1"/>
  <c r="BW135" i="2"/>
  <c r="AP106" i="2"/>
  <c r="BA110" i="2"/>
  <c r="BA114" i="2"/>
  <c r="BT109" i="2"/>
  <c r="AJ109" i="2"/>
  <c r="AK106" i="2"/>
  <c r="BA113" i="2"/>
  <c r="BS106" i="2"/>
  <c r="AU149" i="2"/>
  <c r="BW113" i="2"/>
  <c r="AV113" i="2"/>
  <c r="AI118" i="2"/>
  <c r="G71" i="2"/>
  <c r="G74" i="2" s="1"/>
  <c r="K71" i="2"/>
  <c r="K74" i="2" s="1"/>
  <c r="O71" i="2"/>
  <c r="O74" i="2" s="1"/>
  <c r="S71" i="2"/>
  <c r="S74" i="2" s="1"/>
  <c r="W71" i="2"/>
  <c r="W74" i="2" s="1"/>
  <c r="AA71" i="2"/>
  <c r="AA74" i="2" s="1"/>
  <c r="AE71" i="2"/>
  <c r="AE74" i="2" s="1"/>
  <c r="AI71" i="2"/>
  <c r="AI74" i="2" s="1"/>
  <c r="AM71" i="2"/>
  <c r="AM74" i="2" s="1"/>
  <c r="AQ71" i="2"/>
  <c r="AQ74" i="2" s="1"/>
  <c r="AU71" i="2"/>
  <c r="AU74" i="2" s="1"/>
  <c r="AY71" i="2"/>
  <c r="AY74" i="2" s="1"/>
  <c r="BX112" i="2"/>
  <c r="AW116" i="2"/>
  <c r="AM118" i="2"/>
  <c r="AH125" i="2"/>
  <c r="AL125" i="2"/>
  <c r="AP125" i="2"/>
  <c r="AM125" i="2"/>
  <c r="BU125" i="2" s="1"/>
  <c r="BW136" i="2"/>
  <c r="AV136" i="2"/>
  <c r="AW136" i="2" s="1"/>
  <c r="AX136" i="2" s="1"/>
  <c r="AY136" i="2" s="1"/>
  <c r="AD139" i="2"/>
  <c r="AC153" i="2"/>
  <c r="AR139" i="2"/>
  <c r="BV139" i="2"/>
  <c r="AW154" i="2"/>
  <c r="AX154" i="2" s="1"/>
  <c r="AY154" i="2" s="1"/>
  <c r="AZ154" i="2" s="1"/>
  <c r="AI107" i="2"/>
  <c r="AS147" i="2"/>
  <c r="AT111" i="2"/>
  <c r="BC118" i="2"/>
  <c r="AV133" i="2"/>
  <c r="AW133" i="2" s="1"/>
  <c r="AX133" i="2" s="1"/>
  <c r="AY133" i="2" s="1"/>
  <c r="BW133" i="2"/>
  <c r="AO153" i="2"/>
  <c r="BT110" i="2"/>
  <c r="AJ110" i="2"/>
  <c r="AT108" i="2"/>
  <c r="AV109" i="2"/>
  <c r="AU110" i="2"/>
  <c r="BW116" i="2"/>
  <c r="AQ118" i="2"/>
  <c r="AC142" i="2"/>
  <c r="AD128" i="2"/>
  <c r="AI146" i="2"/>
  <c r="BT146" i="2" s="1"/>
  <c r="AH121" i="2"/>
  <c r="AD144" i="2"/>
  <c r="AE130" i="2"/>
  <c r="AE144" i="2" s="1"/>
  <c r="AE131" i="2"/>
  <c r="AU134" i="2"/>
  <c r="AT148" i="2"/>
  <c r="AG124" i="2"/>
  <c r="AG125" i="2" s="1"/>
  <c r="AG121" i="2"/>
  <c r="AS149" i="2"/>
  <c r="AK153" i="2"/>
  <c r="BS155" i="2"/>
  <c r="AM154" i="2"/>
  <c r="BU154" i="2"/>
  <c r="AS151" i="2"/>
  <c r="AT137" i="2"/>
  <c r="BU152" i="2"/>
  <c r="BW154" i="2"/>
  <c r="BH73" i="1" l="1"/>
  <c r="BH66" i="1"/>
  <c r="AX46" i="2"/>
  <c r="AS46" i="2"/>
  <c r="BC85" i="3"/>
  <c r="BY73" i="3"/>
  <c r="BD73" i="3"/>
  <c r="BD76" i="3" s="1"/>
  <c r="BD78" i="3" s="1"/>
  <c r="BD79" i="3" s="1"/>
  <c r="BY142" i="3"/>
  <c r="BB159" i="2"/>
  <c r="BB162" i="2" s="1"/>
  <c r="BA175" i="2"/>
  <c r="BA159" i="2"/>
  <c r="BA162" i="2" s="1"/>
  <c r="AZ175" i="2"/>
  <c r="BT98" i="2"/>
  <c r="BU98" i="2"/>
  <c r="BV98" i="2"/>
  <c r="AX234" i="35"/>
  <c r="BJ68" i="35"/>
  <c r="BY17" i="2"/>
  <c r="BY78" i="3" s="1"/>
  <c r="BR52" i="3"/>
  <c r="BR145" i="3" s="1"/>
  <c r="BZ119" i="2"/>
  <c r="BH119" i="2"/>
  <c r="BI119" i="2" s="1"/>
  <c r="BJ119" i="2" s="1"/>
  <c r="BK119" i="2" s="1"/>
  <c r="CA119" i="2" s="1"/>
  <c r="CB119" i="2" s="1"/>
  <c r="BZ115" i="2"/>
  <c r="BH115" i="2"/>
  <c r="BI115" i="2" s="1"/>
  <c r="BJ115" i="2" s="1"/>
  <c r="BK115" i="2" s="1"/>
  <c r="CA115" i="2" s="1"/>
  <c r="CB115" i="2" s="1"/>
  <c r="BZ124" i="2"/>
  <c r="BH124" i="2"/>
  <c r="BI124" i="2" s="1"/>
  <c r="BJ124" i="2" s="1"/>
  <c r="BK124" i="2" s="1"/>
  <c r="CA124" i="2" s="1"/>
  <c r="M46" i="2"/>
  <c r="S46" i="2"/>
  <c r="BZ23" i="2"/>
  <c r="BH23" i="2"/>
  <c r="BI23" i="2" s="1"/>
  <c r="BJ23" i="2" s="1"/>
  <c r="BK23" i="2" s="1"/>
  <c r="CA23" i="2" s="1"/>
  <c r="CB23" i="2" s="1"/>
  <c r="BZ38" i="2"/>
  <c r="BH38" i="2"/>
  <c r="BI38" i="2" s="1"/>
  <c r="BJ38" i="2" s="1"/>
  <c r="BK38" i="2" s="1"/>
  <c r="CA38" i="2" s="1"/>
  <c r="CB38" i="2" s="1"/>
  <c r="BZ33" i="2"/>
  <c r="BH33" i="2"/>
  <c r="BI33" i="2" s="1"/>
  <c r="BJ33" i="2" s="1"/>
  <c r="BK33" i="2" s="1"/>
  <c r="CA33" i="2" s="1"/>
  <c r="CB33" i="2" s="1"/>
  <c r="BZ37" i="2"/>
  <c r="BZ87" i="2" s="1"/>
  <c r="BH37" i="2"/>
  <c r="BZ34" i="2"/>
  <c r="BH34" i="2"/>
  <c r="BI34" i="2" s="1"/>
  <c r="BJ34" i="2" s="1"/>
  <c r="BK34" i="2" s="1"/>
  <c r="CA34" i="2" s="1"/>
  <c r="CB34" i="2" s="1"/>
  <c r="BZ21" i="2"/>
  <c r="BH21" i="2"/>
  <c r="BI21" i="2" s="1"/>
  <c r="BJ21" i="2" s="1"/>
  <c r="BK21" i="2" s="1"/>
  <c r="CA21" i="2" s="1"/>
  <c r="CB21" i="2" s="1"/>
  <c r="BZ32" i="2"/>
  <c r="BH32" i="2"/>
  <c r="BI32" i="2" s="1"/>
  <c r="BJ32" i="2" s="1"/>
  <c r="BK32" i="2" s="1"/>
  <c r="CA32" i="2" s="1"/>
  <c r="CB32" i="2" s="1"/>
  <c r="BZ31" i="2"/>
  <c r="BH31" i="2"/>
  <c r="BI31" i="2" s="1"/>
  <c r="BJ31" i="2" s="1"/>
  <c r="BK31" i="2" s="1"/>
  <c r="CA31" i="2" s="1"/>
  <c r="CB31" i="2" s="1"/>
  <c r="CB29" i="3" s="1"/>
  <c r="CB122" i="3" s="1"/>
  <c r="BV167" i="2"/>
  <c r="BT48" i="3"/>
  <c r="BT141" i="3" s="1"/>
  <c r="BN41" i="3"/>
  <c r="BN134" i="3" s="1"/>
  <c r="BT40" i="3"/>
  <c r="BT133" i="3" s="1"/>
  <c r="BP34" i="3"/>
  <c r="BP127" i="3" s="1"/>
  <c r="BZ20" i="2"/>
  <c r="BH20" i="2"/>
  <c r="BI20" i="2" s="1"/>
  <c r="BJ20" i="2" s="1"/>
  <c r="BK20" i="2" s="1"/>
  <c r="CA20" i="2" s="1"/>
  <c r="CB20" i="2" s="1"/>
  <c r="BZ75" i="3"/>
  <c r="BH75" i="3"/>
  <c r="BI75" i="3" s="1"/>
  <c r="BJ75" i="3" s="1"/>
  <c r="BK75" i="3" s="1"/>
  <c r="CA75" i="3" s="1"/>
  <c r="BZ62" i="2"/>
  <c r="BH62" i="2"/>
  <c r="BI62" i="2" s="1"/>
  <c r="BZ40" i="2"/>
  <c r="BH40" i="2"/>
  <c r="BI40" i="2" s="1"/>
  <c r="BJ40" i="2" s="1"/>
  <c r="BK40" i="2" s="1"/>
  <c r="CA40" i="2" s="1"/>
  <c r="CB40" i="2" s="1"/>
  <c r="BN52" i="3"/>
  <c r="BN145" i="3" s="1"/>
  <c r="BT51" i="3"/>
  <c r="BT144" i="3" s="1"/>
  <c r="BV28" i="3"/>
  <c r="BV121" i="3" s="1"/>
  <c r="BM39" i="3"/>
  <c r="BM132" i="3" s="1"/>
  <c r="BV35" i="3"/>
  <c r="BV128" i="3" s="1"/>
  <c r="AU87" i="3"/>
  <c r="Z84" i="3"/>
  <c r="Z85" i="3" s="1"/>
  <c r="BW16" i="3"/>
  <c r="BW109" i="3" s="1"/>
  <c r="AG141" i="35"/>
  <c r="AI21" i="35"/>
  <c r="AJ27" i="35"/>
  <c r="BS111" i="35"/>
  <c r="BS121" i="35" s="1"/>
  <c r="BS69" i="35"/>
  <c r="AE21" i="35"/>
  <c r="AZ234" i="35"/>
  <c r="AN175" i="35"/>
  <c r="BS102" i="35"/>
  <c r="AA128" i="35"/>
  <c r="AK26" i="35"/>
  <c r="BS71" i="35"/>
  <c r="BR60" i="35"/>
  <c r="AE49" i="35"/>
  <c r="AG54" i="35"/>
  <c r="AJ63" i="35"/>
  <c r="AE22" i="35"/>
  <c r="AC103" i="35"/>
  <c r="BR121" i="35"/>
  <c r="AG53" i="35"/>
  <c r="AE103" i="35"/>
  <c r="AH22" i="35"/>
  <c r="BR141" i="35"/>
  <c r="AS27" i="13"/>
  <c r="AS214" i="35" s="1"/>
  <c r="AS229" i="35" s="1"/>
  <c r="AJ18" i="35"/>
  <c r="AJ11" i="13"/>
  <c r="AK18" i="35"/>
  <c r="AK11" i="13"/>
  <c r="AF49" i="35"/>
  <c r="Y33" i="35"/>
  <c r="X33" i="35"/>
  <c r="BU191" i="35"/>
  <c r="AD103" i="35"/>
  <c r="AL66" i="35"/>
  <c r="AM66" i="35" s="1"/>
  <c r="BU66" i="35" s="1"/>
  <c r="BU67" i="35" s="1"/>
  <c r="AF54" i="35"/>
  <c r="AK72" i="35"/>
  <c r="W94" i="35"/>
  <c r="X95" i="35" s="1"/>
  <c r="AT94" i="35"/>
  <c r="AC33" i="35"/>
  <c r="AJ71" i="35"/>
  <c r="AB54" i="35"/>
  <c r="AF48" i="35"/>
  <c r="X34" i="35"/>
  <c r="BS28" i="35"/>
  <c r="AH53" i="35"/>
  <c r="AJ32" i="35"/>
  <c r="AJ34" i="35" s="1"/>
  <c r="BS141" i="35"/>
  <c r="BR138" i="35"/>
  <c r="BR139" i="35" s="1"/>
  <c r="AG34" i="35"/>
  <c r="AB34" i="35"/>
  <c r="AP16" i="13"/>
  <c r="BR98" i="2"/>
  <c r="BW98" i="2"/>
  <c r="BO98" i="2"/>
  <c r="BY69" i="3"/>
  <c r="BP56" i="3"/>
  <c r="BP149" i="3" s="1"/>
  <c r="BV48" i="3"/>
  <c r="BV141" i="3" s="1"/>
  <c r="BN49" i="3"/>
  <c r="BN142" i="3" s="1"/>
  <c r="BM47" i="3"/>
  <c r="BM140" i="3" s="1"/>
  <c r="BV52" i="3"/>
  <c r="BV145" i="3" s="1"/>
  <c r="BW50" i="3"/>
  <c r="BW143" i="3" s="1"/>
  <c r="BX39" i="3"/>
  <c r="BX132" i="3" s="1"/>
  <c r="BU51" i="3"/>
  <c r="BU144" i="3" s="1"/>
  <c r="BX36" i="3"/>
  <c r="BX129" i="3" s="1"/>
  <c r="BQ34" i="3"/>
  <c r="BQ127" i="3" s="1"/>
  <c r="AL88" i="3"/>
  <c r="V88" i="3"/>
  <c r="BS19" i="3"/>
  <c r="BS112" i="3" s="1"/>
  <c r="BN48" i="3"/>
  <c r="BN141" i="3" s="1"/>
  <c r="BO52" i="3"/>
  <c r="BO145" i="3" s="1"/>
  <c r="BA54" i="3"/>
  <c r="BV41" i="3"/>
  <c r="BV134" i="3" s="1"/>
  <c r="BV56" i="3"/>
  <c r="BV149" i="3" s="1"/>
  <c r="BT49" i="3"/>
  <c r="BT142" i="3" s="1"/>
  <c r="BS46" i="3"/>
  <c r="BS139" i="3" s="1"/>
  <c r="BO59" i="3"/>
  <c r="BO152" i="3" s="1"/>
  <c r="BS52" i="3"/>
  <c r="BS145" i="3" s="1"/>
  <c r="BQ51" i="3"/>
  <c r="BQ144" i="3" s="1"/>
  <c r="BX49" i="3"/>
  <c r="BX142" i="3" s="1"/>
  <c r="BP49" i="3"/>
  <c r="BP142" i="3" s="1"/>
  <c r="BT38" i="3"/>
  <c r="BT131" i="3" s="1"/>
  <c r="BS38" i="3"/>
  <c r="BS131" i="3" s="1"/>
  <c r="BV40" i="3"/>
  <c r="BV133" i="3" s="1"/>
  <c r="BN40" i="3"/>
  <c r="BN133" i="3" s="1"/>
  <c r="BP39" i="3"/>
  <c r="BP132" i="3" s="1"/>
  <c r="BN35" i="3"/>
  <c r="BN128" i="3" s="1"/>
  <c r="BV104" i="3"/>
  <c r="BP36" i="3"/>
  <c r="BP129" i="3" s="1"/>
  <c r="BT114" i="3"/>
  <c r="W88" i="3"/>
  <c r="BO35" i="3"/>
  <c r="BO128" i="3" s="1"/>
  <c r="BS114" i="3"/>
  <c r="BQ114" i="3"/>
  <c r="BW18" i="3"/>
  <c r="BW111" i="3" s="1"/>
  <c r="BQ15" i="3"/>
  <c r="BQ108" i="3" s="1"/>
  <c r="BS16" i="3"/>
  <c r="BS109" i="3" s="1"/>
  <c r="BV21" i="3"/>
  <c r="BM13" i="3"/>
  <c r="BM106" i="3" s="1"/>
  <c r="BS29" i="3"/>
  <c r="BS122" i="3" s="1"/>
  <c r="AI10" i="3"/>
  <c r="BO29" i="3"/>
  <c r="BO122" i="3" s="1"/>
  <c r="BP26" i="3"/>
  <c r="BP119" i="3" s="1"/>
  <c r="BV25" i="3"/>
  <c r="BV118" i="3" s="1"/>
  <c r="BR25" i="3"/>
  <c r="BR118" i="3" s="1"/>
  <c r="BN25" i="3"/>
  <c r="BN118" i="3" s="1"/>
  <c r="BR10" i="3"/>
  <c r="BA42" i="3"/>
  <c r="BN46" i="3"/>
  <c r="BN139" i="3" s="1"/>
  <c r="S88" i="3"/>
  <c r="BS37" i="3"/>
  <c r="BS130" i="3" s="1"/>
  <c r="BX114" i="3"/>
  <c r="BU114" i="3"/>
  <c r="BR14" i="3"/>
  <c r="BR107" i="3" s="1"/>
  <c r="BP29" i="3"/>
  <c r="BP122" i="3" s="1"/>
  <c r="BM24" i="3"/>
  <c r="BM117" i="3" s="1"/>
  <c r="BO37" i="3"/>
  <c r="BO130" i="3" s="1"/>
  <c r="BT23" i="3"/>
  <c r="BT116" i="3" s="1"/>
  <c r="BR19" i="3"/>
  <c r="BR112" i="3" s="1"/>
  <c r="BT11" i="3"/>
  <c r="AI28" i="3"/>
  <c r="AM10" i="3"/>
  <c r="AL167" i="2"/>
  <c r="BW56" i="3"/>
  <c r="BW149" i="3" s="1"/>
  <c r="BT26" i="3"/>
  <c r="BT119" i="3" s="1"/>
  <c r="BX25" i="3"/>
  <c r="BX118" i="3" s="1"/>
  <c r="BT25" i="3"/>
  <c r="BT118" i="3" s="1"/>
  <c r="BP25" i="3"/>
  <c r="BP118" i="3" s="1"/>
  <c r="BM11" i="3"/>
  <c r="BM104" i="3" s="1"/>
  <c r="G101" i="2"/>
  <c r="BY124" i="2"/>
  <c r="AD159" i="2"/>
  <c r="AY175" i="2"/>
  <c r="AQ175" i="2"/>
  <c r="BV175" i="2" s="1"/>
  <c r="AQ159" i="2"/>
  <c r="AQ162" i="2" s="1"/>
  <c r="BA46" i="2"/>
  <c r="I46" i="2"/>
  <c r="E101" i="2"/>
  <c r="BY39" i="2"/>
  <c r="AE129" i="2"/>
  <c r="BS129" i="2" s="1"/>
  <c r="AO159" i="2"/>
  <c r="AO162" i="2" s="1"/>
  <c r="AL159" i="2"/>
  <c r="AL162" i="2" s="1"/>
  <c r="AA46" i="2"/>
  <c r="S101" i="2"/>
  <c r="BC83" i="2"/>
  <c r="BY18" i="2"/>
  <c r="BY83" i="2" s="1"/>
  <c r="BW15" i="13"/>
  <c r="AW16" i="13"/>
  <c r="AT16" i="13"/>
  <c r="BW45" i="13"/>
  <c r="BX33" i="13"/>
  <c r="BV15" i="13"/>
  <c r="BV24" i="13"/>
  <c r="AO16" i="13"/>
  <c r="AV34" i="13"/>
  <c r="BN99" i="3"/>
  <c r="AC99" i="3"/>
  <c r="AW88" i="3"/>
  <c r="AO88" i="3"/>
  <c r="AG88" i="3"/>
  <c r="Y88" i="3"/>
  <c r="I88" i="3"/>
  <c r="AS99" i="3"/>
  <c r="M99" i="3"/>
  <c r="AZ88" i="3"/>
  <c r="AR88" i="3"/>
  <c r="AJ88" i="3"/>
  <c r="AB88" i="3"/>
  <c r="T88" i="3"/>
  <c r="L88" i="3"/>
  <c r="D88" i="3"/>
  <c r="AS88" i="3"/>
  <c r="AC88" i="3"/>
  <c r="M88" i="3"/>
  <c r="BZ99" i="3"/>
  <c r="BA99" i="3"/>
  <c r="AK99" i="3"/>
  <c r="U99" i="3"/>
  <c r="E99" i="3"/>
  <c r="AA88" i="3"/>
  <c r="AP88" i="3"/>
  <c r="Z88" i="3"/>
  <c r="J88" i="3"/>
  <c r="O88" i="3"/>
  <c r="AK46" i="2"/>
  <c r="BW149" i="2"/>
  <c r="AT46" i="2"/>
  <c r="AQ46" i="2"/>
  <c r="M101" i="2"/>
  <c r="AC161" i="2"/>
  <c r="AC46" i="2"/>
  <c r="AC90" i="2"/>
  <c r="AC91" i="2" s="1"/>
  <c r="Q46" i="2"/>
  <c r="Q74" i="3"/>
  <c r="E46" i="2"/>
  <c r="E74" i="3"/>
  <c r="AF46" i="2"/>
  <c r="AF74" i="3"/>
  <c r="BS144" i="2"/>
  <c r="AF90" i="2"/>
  <c r="AF91" i="2" s="1"/>
  <c r="AB90" i="2"/>
  <c r="AB91" i="2" s="1"/>
  <c r="W46" i="2"/>
  <c r="AZ46" i="2"/>
  <c r="AZ74" i="3"/>
  <c r="O46" i="2"/>
  <c r="AY46" i="2"/>
  <c r="AY74" i="3"/>
  <c r="AO46" i="2"/>
  <c r="AO74" i="3"/>
  <c r="AG46" i="2"/>
  <c r="AG74" i="3"/>
  <c r="Y46" i="2"/>
  <c r="Y74" i="3"/>
  <c r="AB46" i="2"/>
  <c r="AB74" i="3"/>
  <c r="G46" i="2"/>
  <c r="G74" i="3"/>
  <c r="K101" i="2"/>
  <c r="X46" i="2"/>
  <c r="X74" i="3"/>
  <c r="BV154" i="2"/>
  <c r="BC78" i="2"/>
  <c r="AK28" i="35"/>
  <c r="AK27" i="35"/>
  <c r="X21" i="35"/>
  <c r="AK252" i="35"/>
  <c r="AK253" i="35" s="1"/>
  <c r="AK258" i="35"/>
  <c r="AL261" i="35"/>
  <c r="AL29" i="13"/>
  <c r="BY195" i="35"/>
  <c r="BY191" i="35"/>
  <c r="AJ257" i="35"/>
  <c r="BV195" i="35"/>
  <c r="BV191" i="35"/>
  <c r="BU171" i="35"/>
  <c r="AC121" i="35"/>
  <c r="AC122" i="35" s="1"/>
  <c r="AC112" i="35"/>
  <c r="Y103" i="35"/>
  <c r="Y128" i="35"/>
  <c r="BR102" i="35"/>
  <c r="Z103" i="35"/>
  <c r="Z128" i="35"/>
  <c r="AF19" i="35"/>
  <c r="AD96" i="35"/>
  <c r="AD10" i="35"/>
  <c r="U43" i="35"/>
  <c r="U53" i="35" s="1"/>
  <c r="U54" i="35"/>
  <c r="BR17" i="35"/>
  <c r="Y19" i="35"/>
  <c r="BR19" i="35" s="1"/>
  <c r="Y10" i="35"/>
  <c r="Y11" i="35" s="1"/>
  <c r="BR71" i="35"/>
  <c r="AI34" i="35"/>
  <c r="AI33" i="35"/>
  <c r="AE96" i="35"/>
  <c r="AE95" i="35"/>
  <c r="Z49" i="35"/>
  <c r="AB53" i="35"/>
  <c r="AB48" i="35"/>
  <c r="BR28" i="35"/>
  <c r="AM57" i="35"/>
  <c r="AL42" i="35"/>
  <c r="V10" i="35"/>
  <c r="V202" i="35" s="1"/>
  <c r="AE53" i="35"/>
  <c r="BT28" i="35"/>
  <c r="BT59" i="35"/>
  <c r="BT62" i="35"/>
  <c r="AB96" i="35"/>
  <c r="AB95" i="35"/>
  <c r="AB10" i="35"/>
  <c r="X48" i="35"/>
  <c r="X53" i="35"/>
  <c r="AF33" i="35"/>
  <c r="AF34" i="35"/>
  <c r="AL61" i="35"/>
  <c r="AJ33" i="35"/>
  <c r="AF252" i="35"/>
  <c r="BT250" i="35"/>
  <c r="AF258" i="35"/>
  <c r="AI256" i="35"/>
  <c r="BT245" i="35"/>
  <c r="AI252" i="35"/>
  <c r="AI253" i="35" s="1"/>
  <c r="BW195" i="35"/>
  <c r="BW191" i="35"/>
  <c r="AP257" i="35"/>
  <c r="AJ253" i="35"/>
  <c r="AO176" i="35"/>
  <c r="AP176" i="35"/>
  <c r="AP177" i="35"/>
  <c r="BQ129" i="35"/>
  <c r="BQ111" i="35"/>
  <c r="BQ121" i="35" s="1"/>
  <c r="BS132" i="35"/>
  <c r="BS129" i="35"/>
  <c r="BS130" i="35" s="1"/>
  <c r="AN161" i="35"/>
  <c r="AO157" i="35"/>
  <c r="U103" i="35"/>
  <c r="U128" i="35"/>
  <c r="BQ102" i="35"/>
  <c r="AJ136" i="35"/>
  <c r="AI140" i="35"/>
  <c r="AI141" i="35" s="1"/>
  <c r="BS82" i="35"/>
  <c r="BS85" i="35"/>
  <c r="BS79" i="35"/>
  <c r="T19" i="35"/>
  <c r="Z96" i="35"/>
  <c r="Z95" i="35"/>
  <c r="Z10" i="35"/>
  <c r="AA11" i="35" s="1"/>
  <c r="AC94" i="35"/>
  <c r="AC19" i="35"/>
  <c r="U94" i="35"/>
  <c r="Y96" i="35" s="1"/>
  <c r="U19" i="35"/>
  <c r="U20" i="35" s="1"/>
  <c r="AI96" i="35"/>
  <c r="AI95" i="35"/>
  <c r="AK63" i="35"/>
  <c r="AK62" i="35"/>
  <c r="AK44" i="35"/>
  <c r="AK17" i="35"/>
  <c r="AK10" i="13"/>
  <c r="BR43" i="35"/>
  <c r="AH33" i="35"/>
  <c r="AH34" i="35"/>
  <c r="AT96" i="35"/>
  <c r="AT27" i="13"/>
  <c r="Y95" i="35"/>
  <c r="BT71" i="35"/>
  <c r="BT68" i="35"/>
  <c r="BT69" i="35" s="1"/>
  <c r="BT44" i="35"/>
  <c r="AF94" i="35"/>
  <c r="AF10" i="35" s="1"/>
  <c r="AF11" i="35" s="1"/>
  <c r="BR94" i="35"/>
  <c r="Z33" i="35"/>
  <c r="Z34" i="35"/>
  <c r="AA48" i="35"/>
  <c r="AA53" i="35"/>
  <c r="AJ54" i="35"/>
  <c r="AJ49" i="35"/>
  <c r="AJ43" i="35"/>
  <c r="AD22" i="35"/>
  <c r="AN176" i="35"/>
  <c r="AH127" i="35"/>
  <c r="AG117" i="35"/>
  <c r="AG131" i="35"/>
  <c r="AM148" i="35"/>
  <c r="AM146" i="35"/>
  <c r="BU161" i="35"/>
  <c r="AM162" i="35"/>
  <c r="V103" i="35"/>
  <c r="AD122" i="35"/>
  <c r="AH141" i="35"/>
  <c r="AC43" i="35"/>
  <c r="AC54" i="35"/>
  <c r="AC49" i="35"/>
  <c r="AG19" i="35"/>
  <c r="AG20" i="35" s="1"/>
  <c r="AG10" i="35"/>
  <c r="AE11" i="35"/>
  <c r="AA34" i="35"/>
  <c r="AA33" i="35"/>
  <c r="Y34" i="35"/>
  <c r="U33" i="35"/>
  <c r="V33" i="35"/>
  <c r="AK52" i="35"/>
  <c r="AK47" i="35"/>
  <c r="BQ68" i="35"/>
  <c r="BR69" i="35" s="1"/>
  <c r="BQ44" i="35"/>
  <c r="BQ43" i="35" s="1"/>
  <c r="BS17" i="35"/>
  <c r="AB20" i="35"/>
  <c r="V43" i="35"/>
  <c r="W53" i="35" s="1"/>
  <c r="V54" i="35"/>
  <c r="BQ17" i="35"/>
  <c r="V20" i="35"/>
  <c r="AJ20" i="35"/>
  <c r="AA22" i="35"/>
  <c r="AA21" i="35"/>
  <c r="BX191" i="35"/>
  <c r="BX195" i="35"/>
  <c r="AR171" i="35"/>
  <c r="AQ175" i="35"/>
  <c r="AQ173" i="35"/>
  <c r="Y112" i="35"/>
  <c r="Z112" i="35"/>
  <c r="AF141" i="35"/>
  <c r="AF111" i="35"/>
  <c r="V128" i="35"/>
  <c r="BR130" i="35"/>
  <c r="T94" i="35"/>
  <c r="BR85" i="35"/>
  <c r="BR79" i="35"/>
  <c r="BR80" i="35" s="1"/>
  <c r="BR82" i="35"/>
  <c r="BR10" i="35"/>
  <c r="AL77" i="35"/>
  <c r="AK81" i="35"/>
  <c r="AK32" i="35" s="1"/>
  <c r="AH96" i="35"/>
  <c r="AH95" i="35"/>
  <c r="AH10" i="35"/>
  <c r="AH11" i="35" s="1"/>
  <c r="Y43" i="35"/>
  <c r="Z53" i="35" s="1"/>
  <c r="Y54" i="35"/>
  <c r="Y49" i="35"/>
  <c r="BT79" i="35"/>
  <c r="BT80" i="35" s="1"/>
  <c r="BT82" i="35"/>
  <c r="BT85" i="35"/>
  <c r="AL70" i="35"/>
  <c r="AI10" i="35"/>
  <c r="AE34" i="35"/>
  <c r="AE33" i="35"/>
  <c r="AA95" i="35"/>
  <c r="AA96" i="35"/>
  <c r="BQ85" i="35"/>
  <c r="BT17" i="35"/>
  <c r="BS62" i="35"/>
  <c r="BS59" i="35"/>
  <c r="BS60" i="35" s="1"/>
  <c r="BS44" i="35"/>
  <c r="AD53" i="35"/>
  <c r="AD48" i="35"/>
  <c r="AB33" i="35"/>
  <c r="AN59" i="35"/>
  <c r="AM61" i="35"/>
  <c r="AD54" i="35"/>
  <c r="AJ94" i="35"/>
  <c r="BQ18" i="35"/>
  <c r="AR34" i="13"/>
  <c r="AM16" i="13"/>
  <c r="AM34" i="13"/>
  <c r="BV42" i="13"/>
  <c r="AR16" i="13"/>
  <c r="AY16" i="13"/>
  <c r="BV45" i="13"/>
  <c r="AN34" i="13"/>
  <c r="AN16" i="13"/>
  <c r="AZ34" i="13"/>
  <c r="BW33" i="13"/>
  <c r="AU16" i="13"/>
  <c r="AQ16" i="13"/>
  <c r="BF138" i="3"/>
  <c r="U54" i="3"/>
  <c r="BZ126" i="3"/>
  <c r="BZ172" i="2"/>
  <c r="J54" i="3"/>
  <c r="K45" i="3"/>
  <c r="K54" i="3" s="1"/>
  <c r="R54" i="3"/>
  <c r="Y72" i="3"/>
  <c r="Z12" i="3"/>
  <c r="M69" i="3"/>
  <c r="M71" i="3" s="1"/>
  <c r="M42" i="3"/>
  <c r="N33" i="3"/>
  <c r="Y69" i="3"/>
  <c r="Y71" i="3" s="1"/>
  <c r="Y42" i="3"/>
  <c r="Z33" i="3"/>
  <c r="Q69" i="3"/>
  <c r="Q71" i="3" s="1"/>
  <c r="Q42" i="3"/>
  <c r="R33" i="3"/>
  <c r="BQ22" i="3"/>
  <c r="BQ115" i="3" s="1"/>
  <c r="BM17" i="3"/>
  <c r="BM110" i="3" s="1"/>
  <c r="BD104" i="3"/>
  <c r="BE11" i="3"/>
  <c r="BS14" i="3"/>
  <c r="BS107" i="3" s="1"/>
  <c r="BE73" i="3"/>
  <c r="BD85" i="3"/>
  <c r="BT56" i="3"/>
  <c r="BT149" i="3" s="1"/>
  <c r="BM138" i="3"/>
  <c r="Q54" i="3"/>
  <c r="BR41" i="3"/>
  <c r="BR134" i="3" s="1"/>
  <c r="BQ53" i="3"/>
  <c r="BQ146" i="3" s="1"/>
  <c r="BW47" i="3"/>
  <c r="BW140" i="3" s="1"/>
  <c r="BS59" i="3"/>
  <c r="BS152" i="3" s="1"/>
  <c r="BR50" i="3"/>
  <c r="BR143" i="3" s="1"/>
  <c r="AW54" i="3"/>
  <c r="AL45" i="3"/>
  <c r="AK54" i="3"/>
  <c r="AD54" i="3"/>
  <c r="AE45" i="3"/>
  <c r="AE54" i="3" s="1"/>
  <c r="BX84" i="3"/>
  <c r="BX10" i="3" s="1"/>
  <c r="AV85" i="3"/>
  <c r="Y54" i="3"/>
  <c r="I54" i="3"/>
  <c r="BT36" i="3"/>
  <c r="BT129" i="3" s="1"/>
  <c r="BT34" i="3"/>
  <c r="BT127" i="3" s="1"/>
  <c r="AO72" i="3"/>
  <c r="AP12" i="3"/>
  <c r="BA88" i="3"/>
  <c r="AK88" i="3"/>
  <c r="U88" i="3"/>
  <c r="E88" i="3"/>
  <c r="Q72" i="3"/>
  <c r="BW37" i="3"/>
  <c r="BW130" i="3" s="1"/>
  <c r="AC69" i="3"/>
  <c r="AC71" i="3" s="1"/>
  <c r="AC42" i="3"/>
  <c r="AD33" i="3"/>
  <c r="M72" i="3"/>
  <c r="N12" i="3"/>
  <c r="BO103" i="3"/>
  <c r="BO87" i="3"/>
  <c r="BP19" i="3"/>
  <c r="BP112" i="3" s="1"/>
  <c r="AY88" i="3"/>
  <c r="BN51" i="3"/>
  <c r="BN144" i="3" s="1"/>
  <c r="G54" i="3"/>
  <c r="BO39" i="3"/>
  <c r="BO132" i="3" s="1"/>
  <c r="BQ37" i="3"/>
  <c r="BQ130" i="3" s="1"/>
  <c r="BP35" i="3"/>
  <c r="BP128" i="3" s="1"/>
  <c r="BX19" i="3"/>
  <c r="BX112" i="3" s="1"/>
  <c r="BY12" i="3"/>
  <c r="AU88" i="3"/>
  <c r="AW69" i="3"/>
  <c r="AW71" i="3" s="1"/>
  <c r="AW42" i="3"/>
  <c r="AX33" i="3"/>
  <c r="AW172" i="2"/>
  <c r="AO69" i="3"/>
  <c r="AO71" i="3" s="1"/>
  <c r="AO42" i="3"/>
  <c r="AP33" i="3"/>
  <c r="AO172" i="2"/>
  <c r="AT88" i="3"/>
  <c r="AD88" i="3"/>
  <c r="N88" i="3"/>
  <c r="F88" i="3"/>
  <c r="AE88" i="3"/>
  <c r="BQ19" i="3"/>
  <c r="BQ112" i="3" s="1"/>
  <c r="BM23" i="3"/>
  <c r="BM116" i="3" s="1"/>
  <c r="BM22" i="3"/>
  <c r="BM115" i="3" s="1"/>
  <c r="AL72" i="3"/>
  <c r="AM12" i="3"/>
  <c r="BY11" i="3"/>
  <c r="BY104" i="3" s="1"/>
  <c r="BU11" i="3"/>
  <c r="BX16" i="3"/>
  <c r="BX109" i="3" s="1"/>
  <c r="BQ13" i="3"/>
  <c r="BQ106" i="3" s="1"/>
  <c r="BR24" i="3"/>
  <c r="BR117" i="3" s="1"/>
  <c r="BR23" i="3"/>
  <c r="BR116" i="3" s="1"/>
  <c r="BR21" i="3"/>
  <c r="F72" i="3"/>
  <c r="G12" i="3"/>
  <c r="BQ138" i="3"/>
  <c r="BT35" i="3"/>
  <c r="BT128" i="3" s="1"/>
  <c r="AK69" i="3"/>
  <c r="AK71" i="3" s="1"/>
  <c r="AK42" i="3"/>
  <c r="AL33" i="3"/>
  <c r="AK172" i="2"/>
  <c r="BY45" i="3"/>
  <c r="BY76" i="3"/>
  <c r="BR48" i="3"/>
  <c r="BR141" i="3" s="1"/>
  <c r="BY126" i="3"/>
  <c r="BY172" i="2"/>
  <c r="BV50" i="3"/>
  <c r="BV143" i="3" s="1"/>
  <c r="BN50" i="3"/>
  <c r="BN143" i="3" s="1"/>
  <c r="AG54" i="3"/>
  <c r="E54" i="3"/>
  <c r="BX40" i="3"/>
  <c r="BX133" i="3" s="1"/>
  <c r="BP40" i="3"/>
  <c r="BP133" i="3" s="1"/>
  <c r="AC54" i="3"/>
  <c r="BM53" i="3"/>
  <c r="BM146" i="3" s="1"/>
  <c r="BR47" i="3"/>
  <c r="BR140" i="3" s="1"/>
  <c r="BW51" i="3"/>
  <c r="BW144" i="3" s="1"/>
  <c r="BS48" i="3"/>
  <c r="BS141" i="3" s="1"/>
  <c r="BM48" i="3"/>
  <c r="BM141" i="3" s="1"/>
  <c r="AX54" i="3"/>
  <c r="AY45" i="3"/>
  <c r="Z54" i="3"/>
  <c r="AA45" i="3"/>
  <c r="BX38" i="3"/>
  <c r="BX131" i="3" s="1"/>
  <c r="BP38" i="3"/>
  <c r="BP131" i="3" s="1"/>
  <c r="AV88" i="3"/>
  <c r="AN88" i="3"/>
  <c r="AF88" i="3"/>
  <c r="X88" i="3"/>
  <c r="P88" i="3"/>
  <c r="H88" i="3"/>
  <c r="S54" i="3"/>
  <c r="BM37" i="3"/>
  <c r="BM130" i="3" s="1"/>
  <c r="BX34" i="3"/>
  <c r="BX127" i="3" s="1"/>
  <c r="AW72" i="3"/>
  <c r="AX12" i="3"/>
  <c r="BV103" i="3"/>
  <c r="BV87" i="3"/>
  <c r="Q88" i="3"/>
  <c r="BS87" i="3"/>
  <c r="BS103" i="3"/>
  <c r="K88" i="3"/>
  <c r="BS35" i="3"/>
  <c r="BS128" i="3" s="1"/>
  <c r="AS69" i="3"/>
  <c r="AS71" i="3" s="1"/>
  <c r="AS42" i="3"/>
  <c r="AT33" i="3"/>
  <c r="AS172" i="2"/>
  <c r="BV29" i="3"/>
  <c r="BV122" i="3" s="1"/>
  <c r="AQ88" i="3"/>
  <c r="BQ49" i="3"/>
  <c r="BQ142" i="3" s="1"/>
  <c r="W54" i="3"/>
  <c r="F54" i="3"/>
  <c r="BW38" i="3"/>
  <c r="BW131" i="3" s="1"/>
  <c r="BM35" i="3"/>
  <c r="BM128" i="3" s="1"/>
  <c r="BT19" i="3"/>
  <c r="BT112" i="3" s="1"/>
  <c r="G88" i="3"/>
  <c r="BN53" i="3"/>
  <c r="BN146" i="3" s="1"/>
  <c r="BT39" i="3"/>
  <c r="BT132" i="3" s="1"/>
  <c r="BR35" i="3"/>
  <c r="BR128" i="3" s="1"/>
  <c r="BM34" i="3"/>
  <c r="BM127" i="3" s="1"/>
  <c r="AV71" i="3"/>
  <c r="AN71" i="3"/>
  <c r="AX88" i="3"/>
  <c r="AH88" i="3"/>
  <c r="R88" i="3"/>
  <c r="AH72" i="3"/>
  <c r="AI12" i="3"/>
  <c r="BN16" i="3"/>
  <c r="BN109" i="3" s="1"/>
  <c r="BO14" i="3"/>
  <c r="BO107" i="3" s="1"/>
  <c r="BW24" i="3"/>
  <c r="BW117" i="3" s="1"/>
  <c r="BW22" i="3"/>
  <c r="BW115" i="3" s="1"/>
  <c r="BW21" i="3"/>
  <c r="BT15" i="3"/>
  <c r="BT108" i="3" s="1"/>
  <c r="BS11" i="3"/>
  <c r="BS104" i="3" s="1"/>
  <c r="BV19" i="3"/>
  <c r="BV112" i="3" s="1"/>
  <c r="V72" i="3"/>
  <c r="W12" i="3"/>
  <c r="BN24" i="3"/>
  <c r="BN117" i="3" s="1"/>
  <c r="BN23" i="3"/>
  <c r="BN116" i="3" s="1"/>
  <c r="BP21" i="3"/>
  <c r="BP114" i="3" s="1"/>
  <c r="BP13" i="3"/>
  <c r="BP106" i="3" s="1"/>
  <c r="AP45" i="3"/>
  <c r="AO54" i="3"/>
  <c r="BM87" i="3"/>
  <c r="BM103" i="3"/>
  <c r="R72" i="3"/>
  <c r="S12" i="3"/>
  <c r="BN29" i="3"/>
  <c r="BN122" i="3" s="1"/>
  <c r="AC72" i="3"/>
  <c r="AD12" i="3"/>
  <c r="M54" i="3"/>
  <c r="AG69" i="3"/>
  <c r="AG71" i="3" s="1"/>
  <c r="AG42" i="3"/>
  <c r="AH33" i="3"/>
  <c r="BF126" i="3"/>
  <c r="BO56" i="3"/>
  <c r="BO149" i="3" s="1"/>
  <c r="BM52" i="3"/>
  <c r="BM145" i="3" s="1"/>
  <c r="BP50" i="3"/>
  <c r="BP143" i="3" s="1"/>
  <c r="BO48" i="3"/>
  <c r="BO141" i="3" s="1"/>
  <c r="AH54" i="3"/>
  <c r="AI45" i="3"/>
  <c r="AT45" i="3"/>
  <c r="AS54" i="3"/>
  <c r="BP48" i="3"/>
  <c r="BP141" i="3" s="1"/>
  <c r="BX48" i="3"/>
  <c r="BX141" i="3" s="1"/>
  <c r="BN45" i="3"/>
  <c r="N54" i="3"/>
  <c r="O45" i="3"/>
  <c r="O54" i="3" s="1"/>
  <c r="BQ87" i="3"/>
  <c r="BQ103" i="3"/>
  <c r="AZ85" i="3"/>
  <c r="BY84" i="3"/>
  <c r="BY10" i="3" s="1"/>
  <c r="AR85" i="3"/>
  <c r="BW84" i="3"/>
  <c r="BW10" i="3" s="1"/>
  <c r="BP138" i="3"/>
  <c r="I72" i="3"/>
  <c r="J12" i="3"/>
  <c r="BP103" i="3"/>
  <c r="BP87" i="3"/>
  <c r="AR71" i="3"/>
  <c r="U69" i="3"/>
  <c r="U71" i="3" s="1"/>
  <c r="U42" i="3"/>
  <c r="V33" i="3"/>
  <c r="E69" i="3"/>
  <c r="E71" i="3" s="1"/>
  <c r="E42" i="3"/>
  <c r="F33" i="3"/>
  <c r="BR29" i="3"/>
  <c r="BR122" i="3" s="1"/>
  <c r="BZ88" i="3"/>
  <c r="V54" i="3"/>
  <c r="BN87" i="3"/>
  <c r="BN103" i="3"/>
  <c r="BO47" i="3"/>
  <c r="BO140" i="3" s="1"/>
  <c r="I69" i="3"/>
  <c r="I71" i="3" s="1"/>
  <c r="I42" i="3"/>
  <c r="J33" i="3"/>
  <c r="AS72" i="3"/>
  <c r="AT12" i="3"/>
  <c r="AG72" i="3"/>
  <c r="BN19" i="3"/>
  <c r="BN112" i="3" s="1"/>
  <c r="BU15" i="3"/>
  <c r="BU108" i="3" s="1"/>
  <c r="BX29" i="3"/>
  <c r="BX122" i="3" s="1"/>
  <c r="BS24" i="3"/>
  <c r="BS117" i="3" s="1"/>
  <c r="BS22" i="3"/>
  <c r="BS115" i="3" s="1"/>
  <c r="BP17" i="3"/>
  <c r="BP110" i="3" s="1"/>
  <c r="BB65" i="2"/>
  <c r="BW11" i="3"/>
  <c r="BQ11" i="3"/>
  <c r="BQ104" i="3" s="1"/>
  <c r="BW28" i="3"/>
  <c r="BW121" i="3" s="1"/>
  <c r="BX23" i="3"/>
  <c r="BX116" i="3" s="1"/>
  <c r="BX22" i="3"/>
  <c r="BX115" i="3" s="1"/>
  <c r="BU19" i="3"/>
  <c r="BU112" i="3" s="1"/>
  <c r="BU17" i="3"/>
  <c r="BU110" i="3" s="1"/>
  <c r="BX11" i="3"/>
  <c r="BX104" i="3" s="1"/>
  <c r="AU108" i="2"/>
  <c r="AG122" i="2"/>
  <c r="AG88" i="2"/>
  <c r="BW134" i="2"/>
  <c r="AV134" i="2"/>
  <c r="BW110" i="2"/>
  <c r="AV110" i="2"/>
  <c r="AT147" i="2"/>
  <c r="AU111" i="2"/>
  <c r="BA154" i="2"/>
  <c r="AD153" i="2"/>
  <c r="AE139" i="2"/>
  <c r="BB116" i="2"/>
  <c r="AU148" i="2"/>
  <c r="BW148" i="2" s="1"/>
  <c r="BS131" i="2"/>
  <c r="AF131" i="2"/>
  <c r="AH122" i="2"/>
  <c r="AH88" i="2"/>
  <c r="AY147" i="2"/>
  <c r="BX133" i="2"/>
  <c r="AZ133" i="2"/>
  <c r="BX154" i="2"/>
  <c r="AY150" i="2"/>
  <c r="BX136" i="2"/>
  <c r="AZ136" i="2"/>
  <c r="AM153" i="2"/>
  <c r="BU153" i="2" s="1"/>
  <c r="BU118" i="2"/>
  <c r="AV149" i="2"/>
  <c r="AW113" i="2"/>
  <c r="AL106" i="2"/>
  <c r="BV132" i="2"/>
  <c r="AR132" i="2"/>
  <c r="AE145" i="2"/>
  <c r="BS145" i="2" s="1"/>
  <c r="BE67" i="2"/>
  <c r="BF67" i="2" s="1"/>
  <c r="BG67" i="2" s="1"/>
  <c r="BY67" i="2"/>
  <c r="AF161" i="2"/>
  <c r="BE29" i="2"/>
  <c r="BO101" i="2"/>
  <c r="BO24" i="2"/>
  <c r="BO74" i="3" s="1"/>
  <c r="J101" i="2"/>
  <c r="J24" i="2"/>
  <c r="J74" i="3" s="1"/>
  <c r="BX175" i="2"/>
  <c r="BY159" i="2"/>
  <c r="BY162" i="2" s="1"/>
  <c r="R101" i="2"/>
  <c r="R24" i="2"/>
  <c r="BW15" i="2"/>
  <c r="BW74" i="2"/>
  <c r="BS101" i="2"/>
  <c r="BS24" i="2"/>
  <c r="BS74" i="3" s="1"/>
  <c r="AE128" i="2"/>
  <c r="AD142" i="2"/>
  <c r="AD154" i="2" s="1"/>
  <c r="AW109" i="2"/>
  <c r="BY118" i="2"/>
  <c r="BD118" i="2"/>
  <c r="AI121" i="2"/>
  <c r="BT107" i="2"/>
  <c r="AJ107" i="2"/>
  <c r="AR153" i="2"/>
  <c r="AS139" i="2"/>
  <c r="BB113" i="2"/>
  <c r="BB114" i="2"/>
  <c r="AQ106" i="2"/>
  <c r="AZ135" i="2"/>
  <c r="AY149" i="2"/>
  <c r="BX135" i="2"/>
  <c r="AU150" i="2"/>
  <c r="BW150" i="2" s="1"/>
  <c r="BW114" i="2"/>
  <c r="AV114" i="2"/>
  <c r="AE122" i="2"/>
  <c r="BS122" i="2" s="1"/>
  <c r="BS121" i="2"/>
  <c r="AE88" i="2"/>
  <c r="BT108" i="2"/>
  <c r="AJ108" i="2"/>
  <c r="BB112" i="2"/>
  <c r="BX107" i="2"/>
  <c r="BX74" i="2"/>
  <c r="AG161" i="2"/>
  <c r="BR101" i="2"/>
  <c r="BR24" i="2"/>
  <c r="BD83" i="2"/>
  <c r="BE18" i="2"/>
  <c r="BV101" i="2"/>
  <c r="BV24" i="2"/>
  <c r="BY30" i="2"/>
  <c r="BT101" i="2"/>
  <c r="BT24" i="2"/>
  <c r="BM15" i="2"/>
  <c r="AE143" i="2"/>
  <c r="BS143" i="2" s="1"/>
  <c r="AF129" i="2"/>
  <c r="BT118" i="2"/>
  <c r="AK109" i="2"/>
  <c r="BE61" i="2"/>
  <c r="AT175" i="2"/>
  <c r="AU159" i="2"/>
  <c r="AU162" i="2" s="1"/>
  <c r="AV101" i="2"/>
  <c r="AV24" i="2"/>
  <c r="BN101" i="2"/>
  <c r="BN24" i="2"/>
  <c r="BP101" i="2"/>
  <c r="BP24" i="2"/>
  <c r="BO46" i="2"/>
  <c r="AW101" i="2"/>
  <c r="AW24" i="2"/>
  <c r="BQ101" i="2"/>
  <c r="BQ24" i="2"/>
  <c r="I101" i="2"/>
  <c r="F101" i="2"/>
  <c r="F24" i="2"/>
  <c r="AT151" i="2"/>
  <c r="AU137" i="2"/>
  <c r="BS130" i="2"/>
  <c r="AF130" i="2"/>
  <c r="AC154" i="2"/>
  <c r="AQ153" i="2"/>
  <c r="BV153" i="2" s="1"/>
  <c r="BV118" i="2"/>
  <c r="AJ146" i="2"/>
  <c r="AK110" i="2"/>
  <c r="BB110" i="2"/>
  <c r="BB111" i="2"/>
  <c r="AW107" i="2"/>
  <c r="AB161" i="2"/>
  <c r="AD160" i="2"/>
  <c r="AD161" i="2" s="1"/>
  <c r="AE159" i="2"/>
  <c r="AE161" i="2" s="1"/>
  <c r="H101" i="2"/>
  <c r="BX101" i="2"/>
  <c r="BX24" i="2"/>
  <c r="AU101" i="2"/>
  <c r="AU24" i="2"/>
  <c r="J46" i="2"/>
  <c r="AR101" i="2"/>
  <c r="AR24" i="2"/>
  <c r="BU101" i="2"/>
  <c r="BU24" i="2"/>
  <c r="BC82" i="2"/>
  <c r="BY9" i="2"/>
  <c r="BY82" i="2" s="1"/>
  <c r="BI37" i="2" l="1"/>
  <c r="BH72" i="1"/>
  <c r="BH137" i="1"/>
  <c r="BH139" i="1" s="1"/>
  <c r="BY79" i="3"/>
  <c r="BK68" i="35"/>
  <c r="BZ67" i="2"/>
  <c r="BH67" i="2"/>
  <c r="BI67" i="2" s="1"/>
  <c r="BJ67" i="2" s="1"/>
  <c r="BK67" i="2" s="1"/>
  <c r="CA67" i="2" s="1"/>
  <c r="CB67" i="2" s="1"/>
  <c r="BS45" i="3"/>
  <c r="BS54" i="3" s="1"/>
  <c r="BJ62" i="2"/>
  <c r="BP147" i="3"/>
  <c r="BT140" i="35"/>
  <c r="AN183" i="35"/>
  <c r="AN180" i="35"/>
  <c r="BT19" i="35"/>
  <c r="AF20" i="35"/>
  <c r="AG21" i="35" s="1"/>
  <c r="AL26" i="35"/>
  <c r="V21" i="35"/>
  <c r="AU94" i="35"/>
  <c r="U10" i="35"/>
  <c r="U202" i="35" s="1"/>
  <c r="BR103" i="35"/>
  <c r="W95" i="35"/>
  <c r="W10" i="35"/>
  <c r="BS139" i="35"/>
  <c r="BO45" i="3"/>
  <c r="BO138" i="3" s="1"/>
  <c r="BO147" i="3" s="1"/>
  <c r="BW104" i="3"/>
  <c r="BW114" i="3"/>
  <c r="AM167" i="2"/>
  <c r="BU167" i="2" s="1"/>
  <c r="AM84" i="3"/>
  <c r="AM85" i="3" s="1"/>
  <c r="BU10" i="3"/>
  <c r="AM87" i="3"/>
  <c r="AM88" i="3" s="1"/>
  <c r="BT104" i="3"/>
  <c r="BV114" i="3"/>
  <c r="BR114" i="3"/>
  <c r="BU104" i="3"/>
  <c r="BT28" i="3"/>
  <c r="BT121" i="3" s="1"/>
  <c r="BR103" i="3"/>
  <c r="BR87" i="3"/>
  <c r="BR85" i="3" s="1"/>
  <c r="BR84" i="3" s="1"/>
  <c r="BR88" i="3" s="1"/>
  <c r="AI87" i="3"/>
  <c r="AI84" i="3"/>
  <c r="AI85" i="3" s="1"/>
  <c r="BT10" i="3"/>
  <c r="BU46" i="2"/>
  <c r="BU74" i="3"/>
  <c r="BQ46" i="2"/>
  <c r="BQ74" i="3"/>
  <c r="BT46" i="2"/>
  <c r="BT74" i="3"/>
  <c r="BV46" i="2"/>
  <c r="BV74" i="3"/>
  <c r="BR46" i="2"/>
  <c r="BR74" i="3"/>
  <c r="BE19" i="2"/>
  <c r="BY53" i="3"/>
  <c r="BY146" i="3" s="1"/>
  <c r="BY26" i="3"/>
  <c r="BY119" i="3" s="1"/>
  <c r="BE13" i="2"/>
  <c r="BS46" i="2"/>
  <c r="BX46" i="2"/>
  <c r="BX74" i="3"/>
  <c r="BP46" i="2"/>
  <c r="BP74" i="3"/>
  <c r="BN46" i="2"/>
  <c r="BN74" i="3"/>
  <c r="BE30" i="2"/>
  <c r="BD25" i="3"/>
  <c r="BD26" i="3"/>
  <c r="BY41" i="3"/>
  <c r="BE39" i="2"/>
  <c r="AU46" i="2"/>
  <c r="AU74" i="3"/>
  <c r="F46" i="2"/>
  <c r="F74" i="3"/>
  <c r="AV46" i="2"/>
  <c r="AV74" i="3"/>
  <c r="AH90" i="2"/>
  <c r="AR46" i="2"/>
  <c r="AR74" i="3"/>
  <c r="AW46" i="2"/>
  <c r="AW74" i="3"/>
  <c r="R46" i="2"/>
  <c r="R74" i="3"/>
  <c r="AG90" i="2"/>
  <c r="AG91" i="2" s="1"/>
  <c r="BY78" i="2"/>
  <c r="BD78" i="2"/>
  <c r="AK33" i="35"/>
  <c r="AK34" i="35"/>
  <c r="AL27" i="35"/>
  <c r="AL28" i="35"/>
  <c r="AL71" i="35"/>
  <c r="AL72" i="35"/>
  <c r="AL18" i="35"/>
  <c r="AL11" i="13"/>
  <c r="AB21" i="35"/>
  <c r="AB22" i="35"/>
  <c r="Z48" i="35"/>
  <c r="AH21" i="35"/>
  <c r="BU148" i="35"/>
  <c r="BU157" i="35"/>
  <c r="AG118" i="35"/>
  <c r="AG119" i="35"/>
  <c r="BT43" i="35"/>
  <c r="BT49" i="35"/>
  <c r="AC20" i="35"/>
  <c r="BS20" i="35" s="1"/>
  <c r="BS19" i="35"/>
  <c r="AJ140" i="35"/>
  <c r="AK136" i="35"/>
  <c r="BS103" i="35"/>
  <c r="AI257" i="35"/>
  <c r="BT256" i="35"/>
  <c r="Y202" i="35"/>
  <c r="BU183" i="35"/>
  <c r="AN96" i="35"/>
  <c r="AJ96" i="35"/>
  <c r="AJ95" i="35"/>
  <c r="AM62" i="35"/>
  <c r="AM63" i="35"/>
  <c r="AM17" i="35"/>
  <c r="AM10" i="13"/>
  <c r="BQ94" i="35"/>
  <c r="BQ10" i="35" s="1"/>
  <c r="BR12" i="35" s="1"/>
  <c r="X96" i="35"/>
  <c r="AF146" i="35"/>
  <c r="AF113" i="35"/>
  <c r="AF121" i="35"/>
  <c r="AF122" i="35" s="1"/>
  <c r="AF112" i="35"/>
  <c r="AM261" i="35"/>
  <c r="AM263" i="35" s="1"/>
  <c r="AM147" i="35"/>
  <c r="AM29" i="13"/>
  <c r="AH131" i="35"/>
  <c r="AI127" i="35"/>
  <c r="BT127" i="35" s="1"/>
  <c r="BT128" i="35" s="1"/>
  <c r="AH117" i="35"/>
  <c r="AT214" i="35"/>
  <c r="AK43" i="35"/>
  <c r="AK54" i="35"/>
  <c r="AK49" i="35"/>
  <c r="AC96" i="35"/>
  <c r="AC95" i="35"/>
  <c r="T10" i="35"/>
  <c r="T202" i="35" s="1"/>
  <c r="BT258" i="35"/>
  <c r="AF257" i="35"/>
  <c r="AB11" i="35"/>
  <c r="AB202" i="35"/>
  <c r="AL47" i="35"/>
  <c r="AL52" i="35"/>
  <c r="AL263" i="35"/>
  <c r="AJ10" i="35"/>
  <c r="AJ11" i="35" s="1"/>
  <c r="AO59" i="35"/>
  <c r="AI11" i="35"/>
  <c r="Y48" i="35"/>
  <c r="Y53" i="35"/>
  <c r="AK82" i="35"/>
  <c r="AK85" i="35"/>
  <c r="BT141" i="35"/>
  <c r="BT138" i="35"/>
  <c r="BT139" i="35" s="1"/>
  <c r="AQ177" i="35"/>
  <c r="AQ176" i="35"/>
  <c r="AJ21" i="35"/>
  <c r="V53" i="35"/>
  <c r="BV175" i="35"/>
  <c r="BR95" i="35"/>
  <c r="AV94" i="35"/>
  <c r="AU96" i="35"/>
  <c r="AU27" i="13"/>
  <c r="AU214" i="35" s="1"/>
  <c r="AU229" i="35" s="1"/>
  <c r="BW94" i="35"/>
  <c r="BW95" i="35" s="1"/>
  <c r="BR48" i="35"/>
  <c r="U95" i="35"/>
  <c r="Z11" i="35"/>
  <c r="Z202" i="35"/>
  <c r="T20" i="35"/>
  <c r="U21" i="35" s="1"/>
  <c r="BQ19" i="35"/>
  <c r="AP157" i="35"/>
  <c r="AO161" i="35"/>
  <c r="AL63" i="35"/>
  <c r="AL62" i="35"/>
  <c r="AL44" i="35"/>
  <c r="AL17" i="35"/>
  <c r="AL10" i="13"/>
  <c r="BS94" i="35"/>
  <c r="BT60" i="35"/>
  <c r="AN57" i="35"/>
  <c r="AM42" i="35"/>
  <c r="BU57" i="35"/>
  <c r="Y20" i="35"/>
  <c r="AD202" i="35"/>
  <c r="AK257" i="35"/>
  <c r="W21" i="35"/>
  <c r="AG96" i="35"/>
  <c r="BS49" i="35"/>
  <c r="BS43" i="35"/>
  <c r="BS48" i="35" s="1"/>
  <c r="AM70" i="35"/>
  <c r="BU70" i="35" s="1"/>
  <c r="AN66" i="35"/>
  <c r="AL81" i="35"/>
  <c r="AL32" i="35" s="1"/>
  <c r="AM77" i="35"/>
  <c r="AM26" i="35" s="1"/>
  <c r="AR175" i="35"/>
  <c r="AR173" i="35"/>
  <c r="AS171" i="35"/>
  <c r="AG11" i="35"/>
  <c r="AC48" i="35"/>
  <c r="AG48" i="35"/>
  <c r="AC53" i="35"/>
  <c r="AG132" i="35"/>
  <c r="AG111" i="35"/>
  <c r="AJ48" i="35"/>
  <c r="AJ53" i="35"/>
  <c r="AF96" i="35"/>
  <c r="AF95" i="35"/>
  <c r="BT94" i="35"/>
  <c r="BR49" i="35"/>
  <c r="AC10" i="35"/>
  <c r="AD11" i="35" s="1"/>
  <c r="BS80" i="35"/>
  <c r="AN162" i="35"/>
  <c r="AN148" i="35"/>
  <c r="AN146" i="35"/>
  <c r="AQ257" i="35"/>
  <c r="BT252" i="35"/>
  <c r="BT253" i="35" s="1"/>
  <c r="AF253" i="35"/>
  <c r="Z22" i="35"/>
  <c r="V95" i="35"/>
  <c r="AD95" i="35"/>
  <c r="BU61" i="35"/>
  <c r="AG95" i="35"/>
  <c r="BY64" i="2"/>
  <c r="BY65" i="2" s="1"/>
  <c r="BO54" i="3"/>
  <c r="AI54" i="3"/>
  <c r="BT45" i="3"/>
  <c r="BG126" i="3"/>
  <c r="AH69" i="3"/>
  <c r="AH71" i="3" s="1"/>
  <c r="AH42" i="3"/>
  <c r="AI33" i="3"/>
  <c r="BT33" i="3" s="1"/>
  <c r="AX72" i="3"/>
  <c r="AY12" i="3"/>
  <c r="J69" i="3"/>
  <c r="J71" i="3" s="1"/>
  <c r="J42" i="3"/>
  <c r="K33" i="3"/>
  <c r="V69" i="3"/>
  <c r="V71" i="3" s="1"/>
  <c r="V42" i="3"/>
  <c r="W33" i="3"/>
  <c r="BQ33" i="3" s="1"/>
  <c r="BQ85" i="3"/>
  <c r="BQ84" i="3" s="1"/>
  <c r="BQ88" i="3" s="1"/>
  <c r="BN138" i="3"/>
  <c r="BN147" i="3" s="1"/>
  <c r="BN54" i="3"/>
  <c r="BM85" i="3"/>
  <c r="BM84" i="3" s="1"/>
  <c r="BM88" i="3" s="1"/>
  <c r="BV85" i="3"/>
  <c r="BV84" i="3" s="1"/>
  <c r="BV88" i="3" s="1"/>
  <c r="BQ54" i="3"/>
  <c r="AP69" i="3"/>
  <c r="AP71" i="3" s="1"/>
  <c r="AP42" i="3"/>
  <c r="AP172" i="2"/>
  <c r="AQ33" i="3"/>
  <c r="BV33" i="3" s="1"/>
  <c r="R69" i="3"/>
  <c r="R71" i="3" s="1"/>
  <c r="R42" i="3"/>
  <c r="S33" i="3"/>
  <c r="Z69" i="3"/>
  <c r="Z71" i="3" s="1"/>
  <c r="Z42" i="3"/>
  <c r="AA33" i="3"/>
  <c r="BP85" i="3"/>
  <c r="BP84" i="3" s="1"/>
  <c r="BP88" i="3" s="1"/>
  <c r="AP54" i="3"/>
  <c r="AQ45" i="3"/>
  <c r="AQ54" i="3" s="1"/>
  <c r="AT72" i="3"/>
  <c r="AU12" i="3"/>
  <c r="BN85" i="3"/>
  <c r="BN84" i="3" s="1"/>
  <c r="BN88" i="3" s="1"/>
  <c r="F69" i="3"/>
  <c r="F71" i="3" s="1"/>
  <c r="F42" i="3"/>
  <c r="G33" i="3"/>
  <c r="BM33" i="3" s="1"/>
  <c r="BP54" i="3"/>
  <c r="BY87" i="3"/>
  <c r="BY103" i="3"/>
  <c r="BY167" i="2"/>
  <c r="S72" i="3"/>
  <c r="BP12" i="3"/>
  <c r="BV45" i="3"/>
  <c r="AI72" i="3"/>
  <c r="BT12" i="3"/>
  <c r="AT69" i="3"/>
  <c r="AT71" i="3" s="1"/>
  <c r="AT42" i="3"/>
  <c r="AU33" i="3"/>
  <c r="BW33" i="3" s="1"/>
  <c r="AT172" i="2"/>
  <c r="AY54" i="3"/>
  <c r="BX45" i="3"/>
  <c r="BY138" i="3"/>
  <c r="AL69" i="3"/>
  <c r="AL71" i="3" s="1"/>
  <c r="AL42" i="3"/>
  <c r="AM33" i="3"/>
  <c r="AL172" i="2"/>
  <c r="BQ147" i="3"/>
  <c r="AX42" i="3"/>
  <c r="AY33" i="3"/>
  <c r="AX172" i="2"/>
  <c r="BY105" i="3"/>
  <c r="BY72" i="3"/>
  <c r="BO85" i="3"/>
  <c r="BO84" i="3" s="1"/>
  <c r="BO88" i="3" s="1"/>
  <c r="BM54" i="3"/>
  <c r="BE104" i="3"/>
  <c r="Z72" i="3"/>
  <c r="AA12" i="3"/>
  <c r="BW12" i="3"/>
  <c r="J72" i="3"/>
  <c r="K12" i="3"/>
  <c r="BN12" i="3" s="1"/>
  <c r="AD72" i="3"/>
  <c r="AE12" i="3"/>
  <c r="W72" i="3"/>
  <c r="BQ12" i="3"/>
  <c r="AA54" i="3"/>
  <c r="BR45" i="3"/>
  <c r="AM72" i="3"/>
  <c r="BU12" i="3"/>
  <c r="AD69" i="3"/>
  <c r="AD71" i="3" s="1"/>
  <c r="AD42" i="3"/>
  <c r="AE33" i="3"/>
  <c r="BM147" i="3"/>
  <c r="BW103" i="3"/>
  <c r="BW87" i="3"/>
  <c r="BW167" i="2"/>
  <c r="AU45" i="3"/>
  <c r="AU54" i="3" s="1"/>
  <c r="AT54" i="3"/>
  <c r="BS85" i="3"/>
  <c r="BS84" i="3" s="1"/>
  <c r="BS88" i="3" s="1"/>
  <c r="G72" i="3"/>
  <c r="BM12" i="3"/>
  <c r="BS138" i="3"/>
  <c r="BS147" i="3" s="1"/>
  <c r="N72" i="3"/>
  <c r="O12" i="3"/>
  <c r="AP72" i="3"/>
  <c r="AQ12" i="3"/>
  <c r="BX103" i="3"/>
  <c r="BX87" i="3"/>
  <c r="BX167" i="2"/>
  <c r="AL54" i="3"/>
  <c r="AM45" i="3"/>
  <c r="AM54" i="3" s="1"/>
  <c r="BE76" i="3"/>
  <c r="BE17" i="2" s="1"/>
  <c r="BE78" i="3" s="1"/>
  <c r="BE79" i="3" s="1"/>
  <c r="BE85" i="3"/>
  <c r="BF73" i="3"/>
  <c r="BF11" i="3"/>
  <c r="N69" i="3"/>
  <c r="N71" i="3" s="1"/>
  <c r="N42" i="3"/>
  <c r="O33" i="3"/>
  <c r="BG138" i="3"/>
  <c r="AX107" i="2"/>
  <c r="BC110" i="2"/>
  <c r="AG130" i="2"/>
  <c r="AF144" i="2"/>
  <c r="AL109" i="2"/>
  <c r="AG129" i="2"/>
  <c r="AF143" i="2"/>
  <c r="BM101" i="2"/>
  <c r="BM24" i="2"/>
  <c r="BC113" i="2"/>
  <c r="AX109" i="2"/>
  <c r="AS132" i="2"/>
  <c r="AR146" i="2"/>
  <c r="AF139" i="2"/>
  <c r="BS139" i="2"/>
  <c r="AE153" i="2"/>
  <c r="AU147" i="2"/>
  <c r="BW111" i="2"/>
  <c r="BW121" i="2" s="1"/>
  <c r="AV111" i="2"/>
  <c r="BD82" i="2"/>
  <c r="BE9" i="2"/>
  <c r="BC112" i="2"/>
  <c r="AV150" i="2"/>
  <c r="AW114" i="2"/>
  <c r="AK107" i="2"/>
  <c r="AJ121" i="2"/>
  <c r="BE118" i="2"/>
  <c r="BW101" i="2"/>
  <c r="BW24" i="2"/>
  <c r="AW149" i="2"/>
  <c r="AX113" i="2"/>
  <c r="AX149" i="2" s="1"/>
  <c r="BA136" i="2"/>
  <c r="AZ150" i="2"/>
  <c r="BA133" i="2"/>
  <c r="AZ147" i="2"/>
  <c r="BS153" i="2"/>
  <c r="BW147" i="2"/>
  <c r="AW134" i="2"/>
  <c r="AV148" i="2"/>
  <c r="AV108" i="2"/>
  <c r="BC111" i="2"/>
  <c r="AK146" i="2"/>
  <c r="AL110" i="2"/>
  <c r="BW137" i="2"/>
  <c r="AV137" i="2"/>
  <c r="AU151" i="2"/>
  <c r="BF61" i="2"/>
  <c r="AE90" i="2"/>
  <c r="BS88" i="2"/>
  <c r="BA135" i="2"/>
  <c r="AZ149" i="2"/>
  <c r="BC114" i="2"/>
  <c r="AG131" i="2"/>
  <c r="AF145" i="2"/>
  <c r="BC116" i="2"/>
  <c r="BB154" i="2"/>
  <c r="AW110" i="2"/>
  <c r="BW151" i="2"/>
  <c r="BE83" i="2"/>
  <c r="BF18" i="2"/>
  <c r="AK108" i="2"/>
  <c r="AR106" i="2"/>
  <c r="BV106" i="2"/>
  <c r="AS153" i="2"/>
  <c r="AT139" i="2"/>
  <c r="BT121" i="2"/>
  <c r="AI122" i="2"/>
  <c r="BT122" i="2" s="1"/>
  <c r="AI88" i="2"/>
  <c r="BS128" i="2"/>
  <c r="AF128" i="2"/>
  <c r="AE142" i="2"/>
  <c r="BF29" i="2"/>
  <c r="BI73" i="1" l="1"/>
  <c r="BI66" i="1"/>
  <c r="BJ37" i="2"/>
  <c r="BK62" i="2"/>
  <c r="U203" i="35"/>
  <c r="BT20" i="35"/>
  <c r="V203" i="35"/>
  <c r="AJ22" i="35"/>
  <c r="AF22" i="35"/>
  <c r="AF21" i="35"/>
  <c r="BU261" i="35"/>
  <c r="X11" i="35"/>
  <c r="W202" i="35"/>
  <c r="BQ202" i="35" s="1"/>
  <c r="BT87" i="3"/>
  <c r="BT103" i="3"/>
  <c r="AI88" i="3"/>
  <c r="BU87" i="3"/>
  <c r="BU85" i="3" s="1"/>
  <c r="BU84" i="3" s="1"/>
  <c r="BU88" i="3" s="1"/>
  <c r="BU103" i="3"/>
  <c r="BY134" i="3"/>
  <c r="BY135" i="3" s="1"/>
  <c r="BY42" i="3"/>
  <c r="BD118" i="3"/>
  <c r="BF13" i="2"/>
  <c r="BF19" i="2"/>
  <c r="BW46" i="2"/>
  <c r="BW74" i="3"/>
  <c r="BM46" i="2"/>
  <c r="BM74" i="3"/>
  <c r="BD42" i="3"/>
  <c r="BF39" i="2"/>
  <c r="BE53" i="3"/>
  <c r="BD119" i="3"/>
  <c r="BF30" i="2"/>
  <c r="BE25" i="3"/>
  <c r="BE26" i="3"/>
  <c r="BE41" i="3"/>
  <c r="BE42" i="3" s="1"/>
  <c r="BU10" i="13"/>
  <c r="BW27" i="13"/>
  <c r="BX149" i="2"/>
  <c r="AH91" i="2"/>
  <c r="BE78" i="2"/>
  <c r="BS32" i="35"/>
  <c r="BU68" i="35"/>
  <c r="BU69" i="35" s="1"/>
  <c r="BU44" i="35"/>
  <c r="BU71" i="35"/>
  <c r="BU59" i="35"/>
  <c r="BU60" i="35" s="1"/>
  <c r="BU62" i="35"/>
  <c r="AN261" i="35"/>
  <c r="AN147" i="35"/>
  <c r="AN29" i="13"/>
  <c r="AM81" i="35"/>
  <c r="AM32" i="35" s="1"/>
  <c r="AN77" i="35"/>
  <c r="AN42" i="35"/>
  <c r="AN26" i="35"/>
  <c r="AO57" i="35"/>
  <c r="AO61" i="35" s="1"/>
  <c r="AO162" i="35"/>
  <c r="AO146" i="35"/>
  <c r="AO148" i="35"/>
  <c r="AO180" i="35"/>
  <c r="AO183" i="35"/>
  <c r="AT229" i="35"/>
  <c r="BW229" i="35" s="1"/>
  <c r="BW214" i="35"/>
  <c r="AC11" i="35"/>
  <c r="AC202" i="35"/>
  <c r="AC203" i="35" s="1"/>
  <c r="AG121" i="35"/>
  <c r="AG122" i="35" s="1"/>
  <c r="AG146" i="35"/>
  <c r="AG112" i="35"/>
  <c r="AG113" i="35"/>
  <c r="AT171" i="35"/>
  <c r="AS175" i="35"/>
  <c r="AS173" i="35"/>
  <c r="AL85" i="35"/>
  <c r="AL82" i="35"/>
  <c r="BU58" i="35"/>
  <c r="BU42" i="35"/>
  <c r="AP159" i="35"/>
  <c r="AP161" i="35"/>
  <c r="AQ157" i="35"/>
  <c r="BV177" i="35"/>
  <c r="BV171" i="35"/>
  <c r="BU81" i="35"/>
  <c r="BU263" i="35"/>
  <c r="BS202" i="35"/>
  <c r="AB203" i="35"/>
  <c r="AH118" i="35"/>
  <c r="AH119" i="35"/>
  <c r="AM44" i="35"/>
  <c r="BT257" i="35"/>
  <c r="AN70" i="35"/>
  <c r="AO66" i="35"/>
  <c r="AD203" i="35"/>
  <c r="AE203" i="35"/>
  <c r="AM28" i="35"/>
  <c r="AM27" i="35"/>
  <c r="BU17" i="35"/>
  <c r="AK19" i="35"/>
  <c r="AK94" i="35"/>
  <c r="AN61" i="35"/>
  <c r="BU262" i="35"/>
  <c r="AK53" i="35"/>
  <c r="AK48" i="35"/>
  <c r="AI117" i="35"/>
  <c r="AI131" i="35"/>
  <c r="AJ127" i="35"/>
  <c r="AJ141" i="35"/>
  <c r="AR257" i="35"/>
  <c r="AR177" i="35"/>
  <c r="AR176" i="35"/>
  <c r="AM71" i="35"/>
  <c r="AM72" i="35"/>
  <c r="AM18" i="35"/>
  <c r="BU18" i="35" s="1"/>
  <c r="AM11" i="13"/>
  <c r="BU11" i="13" s="1"/>
  <c r="AM47" i="35"/>
  <c r="AM52" i="35"/>
  <c r="BS95" i="35"/>
  <c r="BS10" i="35"/>
  <c r="BS12" i="35" s="1"/>
  <c r="AL43" i="35"/>
  <c r="AL54" i="35"/>
  <c r="AL49" i="35"/>
  <c r="BQ20" i="35"/>
  <c r="BQ32" i="35" s="1"/>
  <c r="X22" i="35"/>
  <c r="AV96" i="35"/>
  <c r="AW94" i="35"/>
  <c r="AV27" i="13"/>
  <c r="AP59" i="35"/>
  <c r="AH111" i="35"/>
  <c r="AH132" i="35"/>
  <c r="AF147" i="35"/>
  <c r="AF102" i="35"/>
  <c r="BT48" i="35"/>
  <c r="AG22" i="35"/>
  <c r="BU26" i="35"/>
  <c r="BU28" i="35" s="1"/>
  <c r="BT95" i="35"/>
  <c r="BT10" i="35"/>
  <c r="BT12" i="35" s="1"/>
  <c r="Y21" i="35"/>
  <c r="Y22" i="35"/>
  <c r="BR20" i="35"/>
  <c r="Z21" i="35"/>
  <c r="AL34" i="35"/>
  <c r="AL33" i="35"/>
  <c r="Z203" i="35"/>
  <c r="AA203" i="35"/>
  <c r="BT22" i="35"/>
  <c r="Y203" i="35"/>
  <c r="BR202" i="35"/>
  <c r="AK140" i="35"/>
  <c r="AK141" i="35" s="1"/>
  <c r="AL136" i="35"/>
  <c r="AC22" i="35"/>
  <c r="AC21" i="35"/>
  <c r="AD21" i="35"/>
  <c r="BU77" i="35"/>
  <c r="BU78" i="35" s="1"/>
  <c r="BM126" i="3"/>
  <c r="BM135" i="3" s="1"/>
  <c r="BM69" i="3"/>
  <c r="BM42" i="3"/>
  <c r="BW126" i="3"/>
  <c r="BW135" i="3" s="1"/>
  <c r="BW42" i="3"/>
  <c r="BW172" i="2"/>
  <c r="BV126" i="3"/>
  <c r="BV135" i="3" s="1"/>
  <c r="BV42" i="3"/>
  <c r="BN105" i="3"/>
  <c r="BN72" i="3"/>
  <c r="AE72" i="3"/>
  <c r="O72" i="3"/>
  <c r="AA72" i="3"/>
  <c r="BR12" i="3"/>
  <c r="BF104" i="3"/>
  <c r="AM69" i="3"/>
  <c r="AM71" i="3" s="1"/>
  <c r="AM42" i="3"/>
  <c r="AM172" i="2"/>
  <c r="BU172" i="2" s="1"/>
  <c r="BU33" i="3"/>
  <c r="BY88" i="3"/>
  <c r="BY85" i="3"/>
  <c r="AU72" i="3"/>
  <c r="AA69" i="3"/>
  <c r="AA42" i="3"/>
  <c r="BR33" i="3"/>
  <c r="W69" i="3"/>
  <c r="W42" i="3"/>
  <c r="BU45" i="3"/>
  <c r="O69" i="3"/>
  <c r="O42" i="3"/>
  <c r="BG11" i="3"/>
  <c r="BH11" i="3" s="1"/>
  <c r="AQ72" i="3"/>
  <c r="BM105" i="3"/>
  <c r="BM72" i="3"/>
  <c r="BW85" i="3"/>
  <c r="BW88" i="3"/>
  <c r="BU105" i="3"/>
  <c r="BU72" i="3"/>
  <c r="BW72" i="3"/>
  <c r="BW105" i="3"/>
  <c r="AY69" i="3"/>
  <c r="AY42" i="3"/>
  <c r="AY172" i="2"/>
  <c r="G69" i="3"/>
  <c r="G42" i="3"/>
  <c r="AQ69" i="3"/>
  <c r="AQ71" i="3" s="1"/>
  <c r="AQ42" i="3"/>
  <c r="AQ172" i="2"/>
  <c r="K69" i="3"/>
  <c r="K42" i="3"/>
  <c r="BN33" i="3"/>
  <c r="BE64" i="2"/>
  <c r="BV12" i="3"/>
  <c r="BZ11" i="3"/>
  <c r="BF85" i="3"/>
  <c r="BG73" i="3"/>
  <c r="BH73" i="3" s="1"/>
  <c r="BF76" i="3"/>
  <c r="BF17" i="2" s="1"/>
  <c r="BF78" i="3" s="1"/>
  <c r="BF79" i="3" s="1"/>
  <c r="BX88" i="3"/>
  <c r="BX85" i="3"/>
  <c r="AE69" i="3"/>
  <c r="AE71" i="3" s="1"/>
  <c r="AE42" i="3"/>
  <c r="BR138" i="3"/>
  <c r="BR147" i="3" s="1"/>
  <c r="BR54" i="3"/>
  <c r="K72" i="3"/>
  <c r="BV138" i="3"/>
  <c r="BV147" i="3" s="1"/>
  <c r="BV54" i="3"/>
  <c r="BV172" i="2"/>
  <c r="AI69" i="3"/>
  <c r="AI71" i="3" s="1"/>
  <c r="AI42" i="3"/>
  <c r="BO12" i="3"/>
  <c r="BS12" i="3"/>
  <c r="BT126" i="3"/>
  <c r="BT135" i="3" s="1"/>
  <c r="BT69" i="3"/>
  <c r="BT42" i="3"/>
  <c r="BQ105" i="3"/>
  <c r="BQ72" i="3"/>
  <c r="BX138" i="3"/>
  <c r="BX147" i="3" s="1"/>
  <c r="BX54" i="3"/>
  <c r="AU69" i="3"/>
  <c r="AU71" i="3" s="1"/>
  <c r="AU42" i="3"/>
  <c r="AU172" i="2"/>
  <c r="BT105" i="3"/>
  <c r="BT72" i="3"/>
  <c r="BP105" i="3"/>
  <c r="BP72" i="3"/>
  <c r="S69" i="3"/>
  <c r="S42" i="3"/>
  <c r="BP33" i="3"/>
  <c r="BQ126" i="3"/>
  <c r="BQ135" i="3" s="1"/>
  <c r="BQ69" i="3"/>
  <c r="BQ42" i="3"/>
  <c r="AY72" i="3"/>
  <c r="BX12" i="3"/>
  <c r="BT138" i="3"/>
  <c r="BT147" i="3" s="1"/>
  <c r="BT54" i="3"/>
  <c r="BO33" i="3"/>
  <c r="BW45" i="3"/>
  <c r="BS33" i="3"/>
  <c r="BX33" i="3"/>
  <c r="BW176" i="2"/>
  <c r="BW123" i="2"/>
  <c r="BW125" i="2" s="1"/>
  <c r="BW88" i="2"/>
  <c r="BW90" i="2" s="1"/>
  <c r="AI90" i="2"/>
  <c r="BT88" i="2"/>
  <c r="BF83" i="2"/>
  <c r="BG18" i="2"/>
  <c r="BH18" i="2" s="1"/>
  <c r="AH131" i="2"/>
  <c r="AG145" i="2"/>
  <c r="BD114" i="2"/>
  <c r="BY114" i="2"/>
  <c r="BB136" i="2"/>
  <c r="BA150" i="2"/>
  <c r="AL107" i="2"/>
  <c r="AK121" i="2"/>
  <c r="BD112" i="2"/>
  <c r="BY112" i="2"/>
  <c r="AT132" i="2"/>
  <c r="AS146" i="2"/>
  <c r="AE154" i="2"/>
  <c r="BS154" i="2" s="1"/>
  <c r="BS142" i="2"/>
  <c r="AL108" i="2"/>
  <c r="AX110" i="2"/>
  <c r="BY116" i="2"/>
  <c r="BD116" i="2"/>
  <c r="AE91" i="2"/>
  <c r="BS91" i="2" s="1"/>
  <c r="BS90" i="2"/>
  <c r="BF118" i="2"/>
  <c r="AV147" i="2"/>
  <c r="AW111" i="2"/>
  <c r="BY113" i="2"/>
  <c r="BD113" i="2"/>
  <c r="AY107" i="2"/>
  <c r="AF142" i="2"/>
  <c r="AG128" i="2"/>
  <c r="BG61" i="2"/>
  <c r="BH61" i="2" s="1"/>
  <c r="BI61" i="2" s="1"/>
  <c r="BJ61" i="2" s="1"/>
  <c r="BK61" i="2" s="1"/>
  <c r="CA61" i="2" s="1"/>
  <c r="CB61" i="2" s="1"/>
  <c r="AW137" i="2"/>
  <c r="AV151" i="2"/>
  <c r="BY111" i="2"/>
  <c r="BD111" i="2"/>
  <c r="AX134" i="2"/>
  <c r="AW148" i="2"/>
  <c r="BB133" i="2"/>
  <c r="BA147" i="2"/>
  <c r="AW150" i="2"/>
  <c r="AX114" i="2"/>
  <c r="AX150" i="2" s="1"/>
  <c r="AF153" i="2"/>
  <c r="AG139" i="2"/>
  <c r="AY109" i="2"/>
  <c r="AH129" i="2"/>
  <c r="AG143" i="2"/>
  <c r="AG144" i="2"/>
  <c r="AH130" i="2"/>
  <c r="AT153" i="2"/>
  <c r="AU139" i="2"/>
  <c r="AR121" i="2"/>
  <c r="AS106" i="2"/>
  <c r="BC154" i="2"/>
  <c r="BY154" i="2" s="1"/>
  <c r="BB135" i="2"/>
  <c r="BA149" i="2"/>
  <c r="AW108" i="2"/>
  <c r="AJ176" i="2"/>
  <c r="AJ122" i="2"/>
  <c r="AJ88" i="2"/>
  <c r="BE82" i="2"/>
  <c r="BF9" i="2"/>
  <c r="AM109" i="2"/>
  <c r="BY110" i="2"/>
  <c r="BD110" i="2"/>
  <c r="BG29" i="2"/>
  <c r="BH29" i="2" s="1"/>
  <c r="AL146" i="2"/>
  <c r="AM110" i="2"/>
  <c r="CA68" i="1" l="1"/>
  <c r="BK37" i="2"/>
  <c r="CA37" i="2" s="1"/>
  <c r="CA87" i="2" s="1"/>
  <c r="BI72" i="1"/>
  <c r="BI137" i="1"/>
  <c r="BI139" i="1" s="1"/>
  <c r="BJ73" i="1"/>
  <c r="BJ66" i="1"/>
  <c r="BX150" i="2"/>
  <c r="BH83" i="2"/>
  <c r="BI18" i="2"/>
  <c r="BI29" i="2"/>
  <c r="CA62" i="2"/>
  <c r="CB62" i="2" s="1"/>
  <c r="BH85" i="3"/>
  <c r="BI73" i="3"/>
  <c r="BH76" i="3"/>
  <c r="BH17" i="2" s="1"/>
  <c r="BH78" i="3" s="1"/>
  <c r="BH79" i="3" s="1"/>
  <c r="BH104" i="3"/>
  <c r="BI11" i="3"/>
  <c r="BJ11" i="3" s="1"/>
  <c r="BK11" i="3" s="1"/>
  <c r="BT32" i="35"/>
  <c r="BU47" i="35"/>
  <c r="BV173" i="35"/>
  <c r="W203" i="35"/>
  <c r="X203" i="35"/>
  <c r="K57" i="2"/>
  <c r="S57" i="2"/>
  <c r="AA57" i="2"/>
  <c r="BT57" i="2"/>
  <c r="BV57" i="2"/>
  <c r="BX57" i="2"/>
  <c r="BX205" i="35"/>
  <c r="BX56" i="2"/>
  <c r="G57" i="2"/>
  <c r="O57" i="2"/>
  <c r="W57" i="2"/>
  <c r="BS57" i="2"/>
  <c r="BU57" i="2"/>
  <c r="BW57" i="2"/>
  <c r="BT85" i="3"/>
  <c r="BT84" i="3" s="1"/>
  <c r="BT88" i="3" s="1"/>
  <c r="BE146" i="3"/>
  <c r="BE118" i="3"/>
  <c r="BG30" i="2"/>
  <c r="BH30" i="2" s="1"/>
  <c r="BF25" i="3"/>
  <c r="BE119" i="3"/>
  <c r="BG39" i="2"/>
  <c r="BH39" i="2" s="1"/>
  <c r="BF53" i="3"/>
  <c r="BG19" i="2"/>
  <c r="BG13" i="2"/>
  <c r="BF118" i="3"/>
  <c r="BF146" i="3"/>
  <c r="BE134" i="3"/>
  <c r="BD135" i="3"/>
  <c r="BF41" i="3"/>
  <c r="BF26" i="3"/>
  <c r="AN216" i="35"/>
  <c r="AN231" i="35" s="1"/>
  <c r="BW222" i="35"/>
  <c r="AJ90" i="2"/>
  <c r="AJ91" i="2" s="1"/>
  <c r="BF78" i="2"/>
  <c r="BR22" i="35"/>
  <c r="BR32" i="35"/>
  <c r="AM34" i="35"/>
  <c r="AM33" i="35"/>
  <c r="AP163" i="35"/>
  <c r="AP162" i="35"/>
  <c r="AP148" i="35"/>
  <c r="AP146" i="35"/>
  <c r="AP183" i="35"/>
  <c r="AP180" i="35"/>
  <c r="BU43" i="35"/>
  <c r="BU49" i="35"/>
  <c r="AF202" i="35"/>
  <c r="AF107" i="35"/>
  <c r="AF105" i="35" s="1"/>
  <c r="AF103" i="35"/>
  <c r="AH121" i="35"/>
  <c r="AH122" i="35" s="1"/>
  <c r="AH113" i="35"/>
  <c r="AH112" i="35"/>
  <c r="AH146" i="35"/>
  <c r="AI132" i="35"/>
  <c r="AI111" i="35"/>
  <c r="BT111" i="35" s="1"/>
  <c r="BT131" i="35"/>
  <c r="AK20" i="35"/>
  <c r="AN72" i="35"/>
  <c r="AN71" i="35"/>
  <c r="AN11" i="13"/>
  <c r="AN212" i="35" s="1"/>
  <c r="AN227" i="35" s="1"/>
  <c r="AN18" i="35"/>
  <c r="AM54" i="35"/>
  <c r="AM49" i="35"/>
  <c r="AM43" i="35"/>
  <c r="AL19" i="35"/>
  <c r="AL20" i="35" s="1"/>
  <c r="AL94" i="35"/>
  <c r="AL10" i="35" s="1"/>
  <c r="AV214" i="35"/>
  <c r="AV229" i="35" s="1"/>
  <c r="AL53" i="35"/>
  <c r="AL48" i="35"/>
  <c r="AJ131" i="35"/>
  <c r="AK127" i="35"/>
  <c r="AJ117" i="35"/>
  <c r="AO96" i="35"/>
  <c r="AK96" i="35"/>
  <c r="AK95" i="35"/>
  <c r="AT173" i="35"/>
  <c r="AT175" i="35"/>
  <c r="AU171" i="35"/>
  <c r="AO261" i="35"/>
  <c r="AO263" i="35" s="1"/>
  <c r="AO147" i="35"/>
  <c r="AO29" i="13"/>
  <c r="AN52" i="35"/>
  <c r="AN47" i="35"/>
  <c r="BS22" i="35"/>
  <c r="AQ59" i="35"/>
  <c r="AX94" i="35"/>
  <c r="AW96" i="35"/>
  <c r="AW27" i="13"/>
  <c r="AW214" i="35" s="1"/>
  <c r="AW229" i="35" s="1"/>
  <c r="AI119" i="35"/>
  <c r="AI118" i="35"/>
  <c r="BT117" i="35"/>
  <c r="AN17" i="35"/>
  <c r="AN63" i="35"/>
  <c r="AN44" i="35"/>
  <c r="AN62" i="35"/>
  <c r="AN10" i="13"/>
  <c r="AO42" i="35"/>
  <c r="AP57" i="35"/>
  <c r="AP61" i="35" s="1"/>
  <c r="AO77" i="35"/>
  <c r="AO26" i="35" s="1"/>
  <c r="AN81" i="35"/>
  <c r="AN32" i="35" s="1"/>
  <c r="AO63" i="35"/>
  <c r="AO62" i="35"/>
  <c r="AO17" i="35"/>
  <c r="AO10" i="13"/>
  <c r="AO211" i="35" s="1"/>
  <c r="AS257" i="35"/>
  <c r="AK10" i="35"/>
  <c r="AK11" i="35" s="1"/>
  <c r="BU82" i="35"/>
  <c r="BU79" i="35"/>
  <c r="BU80" i="35" s="1"/>
  <c r="BU85" i="35"/>
  <c r="AQ161" i="35"/>
  <c r="BV161" i="35" s="1"/>
  <c r="AQ159" i="35"/>
  <c r="AR157" i="35"/>
  <c r="AS177" i="35"/>
  <c r="AS176" i="35"/>
  <c r="AG147" i="35"/>
  <c r="AG102" i="35"/>
  <c r="AN27" i="35"/>
  <c r="AN28" i="35"/>
  <c r="AM85" i="35"/>
  <c r="AM82" i="35"/>
  <c r="AN263" i="35"/>
  <c r="AM136" i="35"/>
  <c r="BU136" i="35" s="1"/>
  <c r="BU137" i="35" s="1"/>
  <c r="AL140" i="35"/>
  <c r="AO70" i="35"/>
  <c r="AP66" i="35"/>
  <c r="BP126" i="3"/>
  <c r="BP135" i="3" s="1"/>
  <c r="BP69" i="3"/>
  <c r="BP42" i="3"/>
  <c r="BN126" i="3"/>
  <c r="BN135" i="3" s="1"/>
  <c r="BN69" i="3"/>
  <c r="BN42" i="3"/>
  <c r="BO126" i="3"/>
  <c r="BO135" i="3" s="1"/>
  <c r="BO69" i="3"/>
  <c r="BO42" i="3"/>
  <c r="BX105" i="3"/>
  <c r="BX72" i="3"/>
  <c r="BF64" i="2"/>
  <c r="BE65" i="2"/>
  <c r="BG104" i="3"/>
  <c r="BS72" i="3"/>
  <c r="BS105" i="3"/>
  <c r="BG85" i="3"/>
  <c r="BG76" i="3"/>
  <c r="BG17" i="2" s="1"/>
  <c r="BZ73" i="3"/>
  <c r="BZ104" i="3"/>
  <c r="AY71" i="3"/>
  <c r="BX69" i="3"/>
  <c r="BX71" i="3" s="1"/>
  <c r="BU126" i="3"/>
  <c r="BU135" i="3" s="1"/>
  <c r="BU69" i="3"/>
  <c r="BU42" i="3"/>
  <c r="BR105" i="3"/>
  <c r="BR72" i="3"/>
  <c r="BX126" i="3"/>
  <c r="BX135" i="3" s="1"/>
  <c r="BX42" i="3"/>
  <c r="BX172" i="2"/>
  <c r="BS126" i="3"/>
  <c r="BS135" i="3" s="1"/>
  <c r="BS69" i="3"/>
  <c r="BS42" i="3"/>
  <c r="BO105" i="3"/>
  <c r="BO72" i="3"/>
  <c r="BV105" i="3"/>
  <c r="BV72" i="3"/>
  <c r="BV69" i="3"/>
  <c r="BW138" i="3"/>
  <c r="BW147" i="3" s="1"/>
  <c r="BW54" i="3"/>
  <c r="BW69" i="3"/>
  <c r="BU138" i="3"/>
  <c r="BU147" i="3" s="1"/>
  <c r="BU54" i="3"/>
  <c r="BR126" i="3"/>
  <c r="BR135" i="3" s="1"/>
  <c r="BR69" i="3"/>
  <c r="BR42" i="3"/>
  <c r="BU109" i="2"/>
  <c r="AN109" i="2"/>
  <c r="BF82" i="2"/>
  <c r="BG9" i="2"/>
  <c r="BH9" i="2" s="1"/>
  <c r="AS121" i="2"/>
  <c r="AT106" i="2"/>
  <c r="AI129" i="2"/>
  <c r="AH143" i="2"/>
  <c r="BC133" i="2"/>
  <c r="BB147" i="2"/>
  <c r="BZ61" i="2"/>
  <c r="AG142" i="2"/>
  <c r="AH128" i="2"/>
  <c r="AM107" i="2"/>
  <c r="AL121" i="2"/>
  <c r="BZ29" i="2"/>
  <c r="AR176" i="2"/>
  <c r="AR123" i="2"/>
  <c r="AR125" i="2" s="1"/>
  <c r="AR88" i="2"/>
  <c r="AR90" i="2" s="1"/>
  <c r="AI130" i="2"/>
  <c r="AH144" i="2"/>
  <c r="BX109" i="2"/>
  <c r="AZ109" i="2"/>
  <c r="AF154" i="2"/>
  <c r="AW147" i="2"/>
  <c r="AX111" i="2"/>
  <c r="AX147" i="2" s="1"/>
  <c r="BE112" i="2"/>
  <c r="AI131" i="2"/>
  <c r="AH145" i="2"/>
  <c r="BW177" i="2"/>
  <c r="BW91" i="2"/>
  <c r="AM146" i="2"/>
  <c r="BU146" i="2" s="1"/>
  <c r="AN110" i="2"/>
  <c r="BU110" i="2"/>
  <c r="BD154" i="2"/>
  <c r="AZ107" i="2"/>
  <c r="BE113" i="2"/>
  <c r="BE116" i="2"/>
  <c r="AM108" i="2"/>
  <c r="BE114" i="2"/>
  <c r="BG83" i="2"/>
  <c r="BZ18" i="2"/>
  <c r="AI91" i="2"/>
  <c r="BT91" i="2" s="1"/>
  <c r="BT90" i="2"/>
  <c r="BE110" i="2"/>
  <c r="AY134" i="2"/>
  <c r="AX148" i="2"/>
  <c r="AJ177" i="2"/>
  <c r="AX108" i="2"/>
  <c r="BC135" i="2"/>
  <c r="BB149" i="2"/>
  <c r="AV139" i="2"/>
  <c r="AU153" i="2"/>
  <c r="BW153" i="2" s="1"/>
  <c r="BW139" i="2"/>
  <c r="AH139" i="2"/>
  <c r="AG153" i="2"/>
  <c r="BE111" i="2"/>
  <c r="AX137" i="2"/>
  <c r="AW151" i="2"/>
  <c r="BG118" i="2"/>
  <c r="BH118" i="2" s="1"/>
  <c r="AU132" i="2"/>
  <c r="AT146" i="2"/>
  <c r="AK176" i="2"/>
  <c r="AK122" i="2"/>
  <c r="AK88" i="2"/>
  <c r="BC136" i="2"/>
  <c r="BB150" i="2"/>
  <c r="BO57" i="2"/>
  <c r="AJ166" i="2"/>
  <c r="AN235" i="35"/>
  <c r="AR166" i="2"/>
  <c r="AR168" i="2" s="1"/>
  <c r="AR235" i="35"/>
  <c r="AV166" i="2"/>
  <c r="AV168" i="2" s="1"/>
  <c r="AV235" i="35"/>
  <c r="AZ166" i="2"/>
  <c r="AZ168" i="2" s="1"/>
  <c r="AN247" i="35"/>
  <c r="AR247" i="35"/>
  <c r="AO235" i="35"/>
  <c r="AS166" i="2"/>
  <c r="AS168" i="2" s="1"/>
  <c r="AS235" i="35"/>
  <c r="AW166" i="2"/>
  <c r="AW168" i="2" s="1"/>
  <c r="AW235" i="35"/>
  <c r="BA166" i="2"/>
  <c r="BA168" i="2" s="1"/>
  <c r="AO247" i="35"/>
  <c r="AS247" i="35"/>
  <c r="AK166" i="2"/>
  <c r="AK168" i="2" s="1"/>
  <c r="AP235" i="35"/>
  <c r="AT166" i="2"/>
  <c r="AT168" i="2" s="1"/>
  <c r="AT235" i="35"/>
  <c r="AX166" i="2"/>
  <c r="AX168" i="2" s="1"/>
  <c r="AT247" i="35"/>
  <c r="BP57" i="2"/>
  <c r="BM57" i="2"/>
  <c r="BQ57" i="2"/>
  <c r="BN57" i="2"/>
  <c r="BR57" i="2"/>
  <c r="AQ235" i="35"/>
  <c r="AU166" i="2"/>
  <c r="AU168" i="2" s="1"/>
  <c r="AU235" i="35"/>
  <c r="AY166" i="2"/>
  <c r="AY168" i="2" s="1"/>
  <c r="AQ247" i="35"/>
  <c r="AU247" i="35"/>
  <c r="G71" i="3"/>
  <c r="BJ72" i="1" l="1"/>
  <c r="BJ137" i="1"/>
  <c r="BJ139" i="1" s="1"/>
  <c r="BK73" i="1"/>
  <c r="BK66" i="1"/>
  <c r="CA73" i="1"/>
  <c r="CB68" i="1"/>
  <c r="CB66" i="1" s="1"/>
  <c r="BI118" i="2"/>
  <c r="BE154" i="2"/>
  <c r="BF154" i="2" s="1"/>
  <c r="BG154" i="2" s="1"/>
  <c r="BH154" i="2" s="1"/>
  <c r="BZ13" i="2"/>
  <c r="BH13" i="2"/>
  <c r="BH26" i="3" s="1"/>
  <c r="BI30" i="2"/>
  <c r="BH25" i="3"/>
  <c r="BJ18" i="2"/>
  <c r="BI83" i="2"/>
  <c r="BZ19" i="2"/>
  <c r="BH19" i="2"/>
  <c r="BH41" i="3" s="1"/>
  <c r="BI39" i="2"/>
  <c r="BH53" i="3"/>
  <c r="CA11" i="3"/>
  <c r="CA104" i="3" s="1"/>
  <c r="BJ29" i="2"/>
  <c r="BH82" i="2"/>
  <c r="BI9" i="2"/>
  <c r="BI104" i="3"/>
  <c r="BJ104" i="3" s="1"/>
  <c r="BK104" i="3" s="1"/>
  <c r="BJ73" i="3"/>
  <c r="BI76" i="3"/>
  <c r="BI17" i="2" s="1"/>
  <c r="BI78" i="3" s="1"/>
  <c r="BI79" i="3" s="1"/>
  <c r="BI85" i="3"/>
  <c r="BT119" i="35"/>
  <c r="AL11" i="35"/>
  <c r="BU48" i="35"/>
  <c r="BS71" i="3"/>
  <c r="BU71" i="3"/>
  <c r="S56" i="2"/>
  <c r="AA205" i="35"/>
  <c r="AA56" i="2"/>
  <c r="BV205" i="35"/>
  <c r="BV56" i="2"/>
  <c r="BX53" i="2"/>
  <c r="BX52" i="2"/>
  <c r="BX51" i="2" s="1"/>
  <c r="BV53" i="2"/>
  <c r="BV52" i="2"/>
  <c r="BV51" i="2" s="1"/>
  <c r="BT52" i="2"/>
  <c r="BT51" i="2" s="1"/>
  <c r="BT53" i="2"/>
  <c r="AA52" i="2"/>
  <c r="AA51" i="2" s="1"/>
  <c r="AA53" i="2"/>
  <c r="S52" i="2"/>
  <c r="S51" i="2" s="1"/>
  <c r="S53" i="2"/>
  <c r="K52" i="2"/>
  <c r="K51" i="2" s="1"/>
  <c r="K53" i="2"/>
  <c r="K56" i="2"/>
  <c r="BT205" i="35"/>
  <c r="BT56" i="2"/>
  <c r="BR53" i="2"/>
  <c r="BR52" i="2"/>
  <c r="BR51" i="2" s="1"/>
  <c r="BM53" i="2"/>
  <c r="BM52" i="2"/>
  <c r="BM51" i="2" s="1"/>
  <c r="BO53" i="2"/>
  <c r="BO52" i="2"/>
  <c r="BO51" i="2" s="1"/>
  <c r="BV71" i="3"/>
  <c r="AA71" i="3"/>
  <c r="K71" i="3"/>
  <c r="BW53" i="2"/>
  <c r="BW52" i="2"/>
  <c r="BW51" i="2" s="1"/>
  <c r="BU52" i="2"/>
  <c r="BU51" i="2" s="1"/>
  <c r="BU53" i="2"/>
  <c r="BS52" i="2"/>
  <c r="BS51" i="2" s="1"/>
  <c r="BS53" i="2"/>
  <c r="W52" i="2"/>
  <c r="W51" i="2" s="1"/>
  <c r="W53" i="2"/>
  <c r="O52" i="2"/>
  <c r="O51" i="2" s="1"/>
  <c r="O53" i="2"/>
  <c r="G52" i="2"/>
  <c r="G51" i="2" s="1"/>
  <c r="G53" i="2"/>
  <c r="BX50" i="2"/>
  <c r="BX54" i="2"/>
  <c r="G56" i="2"/>
  <c r="O56" i="2"/>
  <c r="W205" i="35"/>
  <c r="W56" i="2"/>
  <c r="BS205" i="35"/>
  <c r="BS56" i="2"/>
  <c r="BU205" i="35"/>
  <c r="BU56" i="2"/>
  <c r="BW205" i="35"/>
  <c r="BW56" i="2"/>
  <c r="BN53" i="2"/>
  <c r="BN52" i="2"/>
  <c r="BN51" i="2" s="1"/>
  <c r="BQ52" i="2"/>
  <c r="BQ51" i="2" s="1"/>
  <c r="BQ53" i="2"/>
  <c r="BP53" i="2"/>
  <c r="BP52" i="2"/>
  <c r="BP51" i="2" s="1"/>
  <c r="BW71" i="3"/>
  <c r="O71" i="3"/>
  <c r="S71" i="3"/>
  <c r="W71" i="3"/>
  <c r="BT71" i="3"/>
  <c r="BF42" i="3"/>
  <c r="BF134" i="3"/>
  <c r="BE135" i="3"/>
  <c r="BZ39" i="2"/>
  <c r="BG53" i="3"/>
  <c r="BZ53" i="3" s="1"/>
  <c r="BZ146" i="3" s="1"/>
  <c r="BG26" i="3"/>
  <c r="BZ26" i="3" s="1"/>
  <c r="BZ119" i="3" s="1"/>
  <c r="BG41" i="3"/>
  <c r="BG42" i="3" s="1"/>
  <c r="BF119" i="3"/>
  <c r="BG119" i="3" s="1"/>
  <c r="BZ30" i="2"/>
  <c r="BG25" i="3"/>
  <c r="BZ25" i="3" s="1"/>
  <c r="BZ118" i="3" s="1"/>
  <c r="AO216" i="35"/>
  <c r="AO231" i="35" s="1"/>
  <c r="BX147" i="2"/>
  <c r="AK90" i="2"/>
  <c r="AK177" i="2" s="1"/>
  <c r="AM247" i="35"/>
  <c r="AI247" i="35"/>
  <c r="AP247" i="35"/>
  <c r="AL247" i="35"/>
  <c r="AH247" i="35"/>
  <c r="AK247" i="35"/>
  <c r="AG247" i="35"/>
  <c r="BA235" i="35"/>
  <c r="AJ247" i="35"/>
  <c r="AF247" i="35"/>
  <c r="AJ168" i="2"/>
  <c r="BZ78" i="2"/>
  <c r="BG78" i="2"/>
  <c r="AO28" i="35"/>
  <c r="AO27" i="35"/>
  <c r="BV163" i="35"/>
  <c r="BV157" i="35"/>
  <c r="BV148" i="35"/>
  <c r="BV183" i="35"/>
  <c r="AO72" i="35"/>
  <c r="AO71" i="35"/>
  <c r="AO18" i="35"/>
  <c r="AO11" i="13"/>
  <c r="AO212" i="35" s="1"/>
  <c r="AO227" i="35" s="1"/>
  <c r="AR161" i="35"/>
  <c r="AR159" i="35"/>
  <c r="AS157" i="35"/>
  <c r="AX96" i="35"/>
  <c r="AY94" i="35"/>
  <c r="AX27" i="13"/>
  <c r="AJ119" i="35"/>
  <c r="AJ118" i="35"/>
  <c r="BX94" i="35"/>
  <c r="BX95" i="35" s="1"/>
  <c r="AL141" i="35"/>
  <c r="AO226" i="35"/>
  <c r="AO44" i="35"/>
  <c r="AN82" i="35"/>
  <c r="AN85" i="35"/>
  <c r="AO52" i="35"/>
  <c r="AO47" i="35"/>
  <c r="AR59" i="35"/>
  <c r="AU173" i="35"/>
  <c r="AV171" i="35"/>
  <c r="AU175" i="35"/>
  <c r="BW175" i="35" s="1"/>
  <c r="AL127" i="35"/>
  <c r="AK131" i="35"/>
  <c r="AK117" i="35"/>
  <c r="AL95" i="35"/>
  <c r="AP96" i="35"/>
  <c r="AL96" i="35"/>
  <c r="BT132" i="35"/>
  <c r="BT129" i="35"/>
  <c r="BT130" i="35" s="1"/>
  <c r="BT121" i="35"/>
  <c r="BT123" i="35" s="1"/>
  <c r="BT113" i="35"/>
  <c r="AF203" i="35"/>
  <c r="AN136" i="35"/>
  <c r="AM140" i="35"/>
  <c r="AM141" i="35" s="1"/>
  <c r="AM19" i="35"/>
  <c r="AM20" i="35" s="1"/>
  <c r="AM94" i="35"/>
  <c r="BU94" i="35" s="1"/>
  <c r="AG202" i="35"/>
  <c r="AG203" i="35" s="1"/>
  <c r="AG103" i="35"/>
  <c r="AG107" i="35"/>
  <c r="AG105" i="35" s="1"/>
  <c r="AQ162" i="35"/>
  <c r="AQ148" i="35"/>
  <c r="AQ146" i="35"/>
  <c r="BV146" i="35" s="1"/>
  <c r="AQ163" i="35"/>
  <c r="AQ183" i="35"/>
  <c r="AQ180" i="35"/>
  <c r="AO81" i="35"/>
  <c r="AO32" i="35" s="1"/>
  <c r="AP77" i="35"/>
  <c r="AN33" i="35"/>
  <c r="AN34" i="35"/>
  <c r="AP63" i="35"/>
  <c r="AP62" i="35"/>
  <c r="AP17" i="35"/>
  <c r="AP10" i="13"/>
  <c r="AP211" i="35" s="1"/>
  <c r="AT176" i="35"/>
  <c r="AT177" i="35"/>
  <c r="AL22" i="35"/>
  <c r="AL21" i="35"/>
  <c r="AH147" i="35"/>
  <c r="AH102" i="35"/>
  <c r="AP261" i="35"/>
  <c r="AP147" i="35"/>
  <c r="AP29" i="13"/>
  <c r="AQ66" i="35"/>
  <c r="BV66" i="35" s="1"/>
  <c r="BV67" i="35" s="1"/>
  <c r="AP70" i="35"/>
  <c r="AT257" i="35"/>
  <c r="AQ57" i="35"/>
  <c r="AP42" i="35"/>
  <c r="AP26" i="35"/>
  <c r="AN211" i="35"/>
  <c r="AN54" i="35"/>
  <c r="AN49" i="35"/>
  <c r="AN43" i="35"/>
  <c r="AJ132" i="35"/>
  <c r="AJ111" i="35"/>
  <c r="AM48" i="35"/>
  <c r="AM53" i="35"/>
  <c r="AK21" i="35"/>
  <c r="AK22" i="35"/>
  <c r="BU20" i="35"/>
  <c r="AI146" i="35"/>
  <c r="AI121" i="35"/>
  <c r="AI122" i="35" s="1"/>
  <c r="AI113" i="35"/>
  <c r="AI112" i="35"/>
  <c r="BG78" i="3"/>
  <c r="BG79" i="3" s="1"/>
  <c r="BZ17" i="2"/>
  <c r="BZ78" i="3" s="1"/>
  <c r="BG64" i="2"/>
  <c r="BH64" i="2" s="1"/>
  <c r="BF65" i="2"/>
  <c r="BZ76" i="3"/>
  <c r="BZ85" i="3"/>
  <c r="BD136" i="2"/>
  <c r="BY136" i="2"/>
  <c r="BC150" i="2"/>
  <c r="BY150" i="2" s="1"/>
  <c r="AY108" i="2"/>
  <c r="BZ83" i="2"/>
  <c r="BA107" i="2"/>
  <c r="AL176" i="2"/>
  <c r="AL122" i="2"/>
  <c r="AL88" i="2"/>
  <c r="AH142" i="2"/>
  <c r="AI128" i="2"/>
  <c r="BT129" i="2"/>
  <c r="AJ129" i="2"/>
  <c r="AI143" i="2"/>
  <c r="BT143" i="2" s="1"/>
  <c r="BG82" i="2"/>
  <c r="BZ9" i="2"/>
  <c r="AK91" i="2"/>
  <c r="BW132" i="2"/>
  <c r="AV132" i="2"/>
  <c r="AU146" i="2"/>
  <c r="BW146" i="2" s="1"/>
  <c r="AX151" i="2"/>
  <c r="AY137" i="2"/>
  <c r="AV153" i="2"/>
  <c r="AW139" i="2"/>
  <c r="BU108" i="2"/>
  <c r="AN108" i="2"/>
  <c r="AN146" i="2"/>
  <c r="AO110" i="2"/>
  <c r="AM121" i="2"/>
  <c r="AN107" i="2"/>
  <c r="BU107" i="2"/>
  <c r="AG154" i="2"/>
  <c r="BY133" i="2"/>
  <c r="BD133" i="2"/>
  <c r="BC147" i="2"/>
  <c r="AT121" i="2"/>
  <c r="AU106" i="2"/>
  <c r="BZ118" i="2"/>
  <c r="BF111" i="2"/>
  <c r="AI139" i="2"/>
  <c r="AH153" i="2"/>
  <c r="BX134" i="2"/>
  <c r="AZ134" i="2"/>
  <c r="AY148" i="2"/>
  <c r="BX148" i="2" s="1"/>
  <c r="BF114" i="2"/>
  <c r="BF113" i="2"/>
  <c r="BT131" i="2"/>
  <c r="AJ131" i="2"/>
  <c r="AI145" i="2"/>
  <c r="BT145" i="2" s="1"/>
  <c r="BA109" i="2"/>
  <c r="BT130" i="2"/>
  <c r="AJ130" i="2"/>
  <c r="AI144" i="2"/>
  <c r="BT144" i="2" s="1"/>
  <c r="AS176" i="2"/>
  <c r="AS123" i="2"/>
  <c r="AS125" i="2" s="1"/>
  <c r="AS88" i="2"/>
  <c r="AS90" i="2" s="1"/>
  <c r="BD135" i="2"/>
  <c r="BY135" i="2"/>
  <c r="BC149" i="2"/>
  <c r="BF110" i="2"/>
  <c r="BF116" i="2"/>
  <c r="BF112" i="2"/>
  <c r="AR177" i="2"/>
  <c r="AR91" i="2"/>
  <c r="AO109" i="2"/>
  <c r="AL166" i="2"/>
  <c r="AL168" i="2" s="1"/>
  <c r="BX166" i="2"/>
  <c r="BX168" i="2" s="1"/>
  <c r="BX235" i="35"/>
  <c r="BK72" i="1" l="1"/>
  <c r="BK137" i="1"/>
  <c r="BK139" i="1" s="1"/>
  <c r="CB137" i="1"/>
  <c r="CB139" i="1" s="1"/>
  <c r="CB72" i="1"/>
  <c r="CB73" i="1" s="1"/>
  <c r="CA66" i="1"/>
  <c r="BZ154" i="2"/>
  <c r="BI154" i="2"/>
  <c r="BJ154" i="2" s="1"/>
  <c r="BK154" i="2" s="1"/>
  <c r="CA154" i="2"/>
  <c r="BJ118" i="2"/>
  <c r="BH119" i="3"/>
  <c r="BH134" i="3"/>
  <c r="BH42" i="3"/>
  <c r="BJ39" i="2"/>
  <c r="BI53" i="3"/>
  <c r="BJ30" i="2"/>
  <c r="BI25" i="3"/>
  <c r="BH146" i="3"/>
  <c r="BI19" i="2"/>
  <c r="BI41" i="3" s="1"/>
  <c r="BJ83" i="2"/>
  <c r="BK18" i="2"/>
  <c r="BH118" i="3"/>
  <c r="BI13" i="2"/>
  <c r="BI26" i="3" s="1"/>
  <c r="BJ76" i="3"/>
  <c r="BJ17" i="2" s="1"/>
  <c r="BJ78" i="3" s="1"/>
  <c r="BJ79" i="3" s="1"/>
  <c r="BJ85" i="3"/>
  <c r="BK73" i="3"/>
  <c r="CA73" i="3" s="1"/>
  <c r="BJ9" i="2"/>
  <c r="BI82" i="2"/>
  <c r="BH65" i="2"/>
  <c r="BI64" i="2"/>
  <c r="BK29" i="2"/>
  <c r="BH78" i="2"/>
  <c r="BV159" i="35"/>
  <c r="BR205" i="35"/>
  <c r="BR56" i="2"/>
  <c r="BM56" i="2"/>
  <c r="BM71" i="3"/>
  <c r="BO56" i="2"/>
  <c r="BP56" i="2"/>
  <c r="BO71" i="3"/>
  <c r="BR71" i="3"/>
  <c r="BS54" i="2"/>
  <c r="BS50" i="2"/>
  <c r="G50" i="2"/>
  <c r="G54" i="2"/>
  <c r="K54" i="2"/>
  <c r="K50" i="2"/>
  <c r="BN56" i="2"/>
  <c r="BQ205" i="35"/>
  <c r="BQ56" i="2"/>
  <c r="BQ71" i="3"/>
  <c r="BP71" i="3"/>
  <c r="BW50" i="2"/>
  <c r="BW54" i="2"/>
  <c r="BU54" i="2"/>
  <c r="BU50" i="2"/>
  <c r="W54" i="2"/>
  <c r="W50" i="2"/>
  <c r="O54" i="2"/>
  <c r="O50" i="2"/>
  <c r="BN71" i="3"/>
  <c r="BT54" i="2"/>
  <c r="BT50" i="2"/>
  <c r="BV54" i="2"/>
  <c r="BV50" i="2"/>
  <c r="AA54" i="2"/>
  <c r="AA50" i="2"/>
  <c r="S54" i="2"/>
  <c r="S50" i="2"/>
  <c r="BG118" i="3"/>
  <c r="BG134" i="3"/>
  <c r="BG135" i="3" s="1"/>
  <c r="BF135" i="3"/>
  <c r="BG146" i="3"/>
  <c r="BZ41" i="3"/>
  <c r="AP216" i="35"/>
  <c r="AP231" i="35" s="1"/>
  <c r="AL90" i="2"/>
  <c r="AL177" i="2" s="1"/>
  <c r="BW166" i="2"/>
  <c r="BW171" i="35"/>
  <c r="BW177" i="35"/>
  <c r="AO33" i="35"/>
  <c r="AO34" i="35"/>
  <c r="BU95" i="35"/>
  <c r="BV95" i="35"/>
  <c r="BU10" i="35"/>
  <c r="BU12" i="35" s="1"/>
  <c r="AN226" i="35"/>
  <c r="AR57" i="35"/>
  <c r="AR61" i="35" s="1"/>
  <c r="AQ42" i="35"/>
  <c r="AP72" i="35"/>
  <c r="AP71" i="35"/>
  <c r="AP18" i="35"/>
  <c r="AP11" i="13"/>
  <c r="AP212" i="35" s="1"/>
  <c r="AP227" i="35" s="1"/>
  <c r="AK132" i="35"/>
  <c r="AK111" i="35"/>
  <c r="BU19" i="35"/>
  <c r="AJ146" i="35"/>
  <c r="AJ113" i="35"/>
  <c r="AJ121" i="35"/>
  <c r="AJ122" i="35" s="1"/>
  <c r="AJ112" i="35"/>
  <c r="AJ12" i="13"/>
  <c r="AN48" i="35"/>
  <c r="AN53" i="35"/>
  <c r="AQ70" i="35"/>
  <c r="BV70" i="35" s="1"/>
  <c r="AR66" i="35"/>
  <c r="AP263" i="35"/>
  <c r="AP226" i="35"/>
  <c r="AP44" i="35"/>
  <c r="AM10" i="35"/>
  <c r="AM11" i="35" s="1"/>
  <c r="AN140" i="35"/>
  <c r="AO136" i="35"/>
  <c r="AM127" i="35"/>
  <c r="BU127" i="35" s="1"/>
  <c r="BU128" i="35" s="1"/>
  <c r="AL117" i="35"/>
  <c r="AL131" i="35"/>
  <c r="AQ61" i="35"/>
  <c r="BU140" i="35"/>
  <c r="AR162" i="35"/>
  <c r="AR163" i="35"/>
  <c r="AR148" i="35"/>
  <c r="AR146" i="35"/>
  <c r="AR183" i="35"/>
  <c r="AR180" i="35"/>
  <c r="AI147" i="35"/>
  <c r="AI102" i="35"/>
  <c r="AP27" i="35"/>
  <c r="AP28" i="35"/>
  <c r="BV29" i="13"/>
  <c r="AQ77" i="35"/>
  <c r="AP81" i="35"/>
  <c r="AP32" i="35" s="1"/>
  <c r="AN95" i="35"/>
  <c r="AM96" i="35"/>
  <c r="AM95" i="35"/>
  <c r="AQ96" i="35"/>
  <c r="AU177" i="35"/>
  <c r="AU176" i="35"/>
  <c r="AS59" i="35"/>
  <c r="AO43" i="35"/>
  <c r="AO54" i="35"/>
  <c r="AO49" i="35"/>
  <c r="BU32" i="35"/>
  <c r="BU22" i="35"/>
  <c r="AP47" i="35"/>
  <c r="AP52" i="35"/>
  <c r="AU257" i="35"/>
  <c r="AH202" i="35"/>
  <c r="AH103" i="35"/>
  <c r="AH107" i="35"/>
  <c r="AH105" i="35" s="1"/>
  <c r="AO85" i="35"/>
  <c r="AO82" i="35"/>
  <c r="AQ261" i="35"/>
  <c r="AQ263" i="35" s="1"/>
  <c r="AQ147" i="35"/>
  <c r="AQ29" i="13"/>
  <c r="AM22" i="35"/>
  <c r="AM21" i="35"/>
  <c r="AK119" i="35"/>
  <c r="AK118" i="35"/>
  <c r="AV175" i="35"/>
  <c r="AV173" i="35"/>
  <c r="AW171" i="35"/>
  <c r="AN19" i="35"/>
  <c r="AN10" i="35"/>
  <c r="AY96" i="35"/>
  <c r="AZ94" i="35"/>
  <c r="AY27" i="13"/>
  <c r="BX27" i="13" s="1"/>
  <c r="AS161" i="35"/>
  <c r="AT157" i="35"/>
  <c r="AS159" i="35"/>
  <c r="BV57" i="35"/>
  <c r="BZ64" i="2"/>
  <c r="BG65" i="2"/>
  <c r="BZ79" i="3"/>
  <c r="BG113" i="2"/>
  <c r="BH113" i="2" s="1"/>
  <c r="BT139" i="2"/>
  <c r="AI153" i="2"/>
  <c r="BT153" i="2" s="1"/>
  <c r="AW132" i="2"/>
  <c r="AV146" i="2"/>
  <c r="BZ82" i="2"/>
  <c r="BY147" i="2"/>
  <c r="BG116" i="2"/>
  <c r="BH116" i="2" s="1"/>
  <c r="AS177" i="2"/>
  <c r="AS91" i="2"/>
  <c r="AK130" i="2"/>
  <c r="AJ144" i="2"/>
  <c r="BA134" i="2"/>
  <c r="AZ148" i="2"/>
  <c r="BG111" i="2"/>
  <c r="BH111" i="2" s="1"/>
  <c r="AV106" i="2"/>
  <c r="AU121" i="2"/>
  <c r="BE133" i="2"/>
  <c r="BD147" i="2"/>
  <c r="AO107" i="2"/>
  <c r="AN121" i="2"/>
  <c r="AO146" i="2"/>
  <c r="AP110" i="2"/>
  <c r="BX137" i="2"/>
  <c r="AY151" i="2"/>
  <c r="BX151" i="2" s="1"/>
  <c r="AZ137" i="2"/>
  <c r="AI142" i="2"/>
  <c r="BT142" i="2" s="1"/>
  <c r="BT128" i="2"/>
  <c r="AJ128" i="2"/>
  <c r="BY149" i="2"/>
  <c r="AP109" i="2"/>
  <c r="AK131" i="2"/>
  <c r="AJ145" i="2"/>
  <c r="BG114" i="2"/>
  <c r="BH114" i="2" s="1"/>
  <c r="AT176" i="2"/>
  <c r="AT123" i="2"/>
  <c r="AT125" i="2" s="1"/>
  <c r="AT88" i="2"/>
  <c r="AT90" i="2" s="1"/>
  <c r="AM176" i="2"/>
  <c r="BU176" i="2" s="1"/>
  <c r="BU121" i="2"/>
  <c r="AM122" i="2"/>
  <c r="BU122" i="2" s="1"/>
  <c r="AM88" i="2"/>
  <c r="AH154" i="2"/>
  <c r="BB107" i="2"/>
  <c r="BG112" i="2"/>
  <c r="BH112" i="2" s="1"/>
  <c r="BG110" i="2"/>
  <c r="BH110" i="2" s="1"/>
  <c r="BE135" i="2"/>
  <c r="BD149" i="2"/>
  <c r="BB109" i="2"/>
  <c r="AO108" i="2"/>
  <c r="AX139" i="2"/>
  <c r="AW153" i="2"/>
  <c r="AK129" i="2"/>
  <c r="AJ143" i="2"/>
  <c r="AL91" i="2"/>
  <c r="BX108" i="2"/>
  <c r="AZ108" i="2"/>
  <c r="BE136" i="2"/>
  <c r="BD150" i="2"/>
  <c r="AM166" i="2"/>
  <c r="AM168" i="2" s="1"/>
  <c r="BU168" i="2" s="1"/>
  <c r="CA137" i="1" l="1"/>
  <c r="CA139" i="1" s="1"/>
  <c r="CA72" i="1"/>
  <c r="CB84" i="3"/>
  <c r="BI118" i="3"/>
  <c r="CA85" i="3"/>
  <c r="CA76" i="3"/>
  <c r="BI112" i="2"/>
  <c r="BI114" i="2"/>
  <c r="BI116" i="2"/>
  <c r="BI110" i="2"/>
  <c r="BI111" i="2"/>
  <c r="BI113" i="2"/>
  <c r="BK118" i="2"/>
  <c r="BI42" i="3"/>
  <c r="BK83" i="2"/>
  <c r="CA18" i="2"/>
  <c r="BI146" i="3"/>
  <c r="BK30" i="2"/>
  <c r="BJ25" i="3"/>
  <c r="BK39" i="2"/>
  <c r="BJ53" i="3"/>
  <c r="BJ13" i="2"/>
  <c r="BJ26" i="3" s="1"/>
  <c r="BJ19" i="2"/>
  <c r="BJ41" i="3" s="1"/>
  <c r="BJ42" i="3" s="1"/>
  <c r="BI134" i="3"/>
  <c r="BH135" i="3"/>
  <c r="BI119" i="3"/>
  <c r="BJ64" i="2"/>
  <c r="BI65" i="2"/>
  <c r="BK85" i="3"/>
  <c r="BK76" i="3"/>
  <c r="BK17" i="2" s="1"/>
  <c r="CA167" i="2"/>
  <c r="CA29" i="2"/>
  <c r="CB29" i="2" s="1"/>
  <c r="BK9" i="2"/>
  <c r="BJ82" i="2"/>
  <c r="BI78" i="2"/>
  <c r="BW173" i="35"/>
  <c r="AN11" i="35"/>
  <c r="BN54" i="2"/>
  <c r="BN50" i="2"/>
  <c r="BO50" i="2"/>
  <c r="BO54" i="2"/>
  <c r="BM50" i="2"/>
  <c r="BM54" i="2"/>
  <c r="BQ54" i="2"/>
  <c r="BQ50" i="2"/>
  <c r="BP50" i="2"/>
  <c r="BP54" i="2"/>
  <c r="BR54" i="2"/>
  <c r="BR50" i="2"/>
  <c r="BZ134" i="3"/>
  <c r="BZ135" i="3" s="1"/>
  <c r="BZ42" i="3"/>
  <c r="AQ216" i="35"/>
  <c r="AQ231" i="35" s="1"/>
  <c r="BU166" i="2"/>
  <c r="BU180" i="2"/>
  <c r="AS8" i="3"/>
  <c r="AS30" i="3" s="1"/>
  <c r="AS192" i="2"/>
  <c r="AL8" i="3"/>
  <c r="AL30" i="3" s="1"/>
  <c r="AL192" i="2"/>
  <c r="L8" i="3"/>
  <c r="L192" i="2"/>
  <c r="M8" i="3"/>
  <c r="M30" i="3" s="1"/>
  <c r="M192" i="2"/>
  <c r="AX8" i="3"/>
  <c r="AX30" i="3" s="1"/>
  <c r="AX192" i="2"/>
  <c r="AH8" i="3"/>
  <c r="AH30" i="3" s="1"/>
  <c r="AH192" i="2"/>
  <c r="R8" i="3"/>
  <c r="R30" i="3" s="1"/>
  <c r="R192" i="2"/>
  <c r="AV8" i="3"/>
  <c r="AV192" i="2"/>
  <c r="AF8" i="3"/>
  <c r="AF192" i="2"/>
  <c r="P8" i="3"/>
  <c r="P192" i="2"/>
  <c r="Y8" i="3"/>
  <c r="Y30" i="3" s="1"/>
  <c r="Y192" i="2"/>
  <c r="I8" i="3"/>
  <c r="I30" i="3" s="1"/>
  <c r="I192" i="2"/>
  <c r="AP192" i="2"/>
  <c r="F8" i="3"/>
  <c r="F30" i="3" s="1"/>
  <c r="F192" i="2"/>
  <c r="AC8" i="3"/>
  <c r="AC30" i="3" s="1"/>
  <c r="AC192" i="2"/>
  <c r="AM8" i="3"/>
  <c r="AM30" i="3" s="1"/>
  <c r="AM192" i="2"/>
  <c r="AQ8" i="3"/>
  <c r="AQ30" i="3" s="1"/>
  <c r="AQ192" i="2"/>
  <c r="T8" i="3"/>
  <c r="T192" i="2"/>
  <c r="D8" i="3"/>
  <c r="D192" i="2"/>
  <c r="AU8" i="3"/>
  <c r="AU30" i="3" s="1"/>
  <c r="AU192" i="2"/>
  <c r="AT8" i="3"/>
  <c r="AT30" i="3" s="1"/>
  <c r="AT192" i="2"/>
  <c r="AD8" i="3"/>
  <c r="AD30" i="3" s="1"/>
  <c r="AD192" i="2"/>
  <c r="AY8" i="3"/>
  <c r="AY30" i="3" s="1"/>
  <c r="AY192" i="2"/>
  <c r="AI8" i="3"/>
  <c r="AI30" i="3" s="1"/>
  <c r="AI192" i="2"/>
  <c r="Z8" i="3"/>
  <c r="Z30" i="3" s="1"/>
  <c r="Z192" i="2"/>
  <c r="J8" i="3"/>
  <c r="J30" i="3" s="1"/>
  <c r="J192" i="2"/>
  <c r="X8" i="3"/>
  <c r="X192" i="2"/>
  <c r="H8" i="3"/>
  <c r="H192" i="2"/>
  <c r="AW8" i="3"/>
  <c r="AW30" i="3" s="1"/>
  <c r="AW192" i="2"/>
  <c r="AG8" i="3"/>
  <c r="AG30" i="3" s="1"/>
  <c r="AG192" i="2"/>
  <c r="Q8" i="3"/>
  <c r="Q30" i="3" s="1"/>
  <c r="Q192" i="2"/>
  <c r="AZ8" i="3"/>
  <c r="AZ192" i="2"/>
  <c r="AJ8" i="3"/>
  <c r="AJ192" i="2"/>
  <c r="V8" i="3"/>
  <c r="V30" i="3" s="1"/>
  <c r="V192" i="2"/>
  <c r="AE8" i="3"/>
  <c r="AE30" i="3" s="1"/>
  <c r="AE192" i="2"/>
  <c r="N8" i="3"/>
  <c r="N30" i="3" s="1"/>
  <c r="N192" i="2"/>
  <c r="U8" i="3"/>
  <c r="U30" i="3" s="1"/>
  <c r="U192" i="2"/>
  <c r="E8" i="3"/>
  <c r="E30" i="3" s="1"/>
  <c r="E192" i="2"/>
  <c r="AR8" i="3"/>
  <c r="AR192" i="2"/>
  <c r="BA8" i="3"/>
  <c r="BA30" i="3" s="1"/>
  <c r="BA192" i="2"/>
  <c r="AK8" i="3"/>
  <c r="AK30" i="3" s="1"/>
  <c r="AK192" i="2"/>
  <c r="AN8" i="3"/>
  <c r="AN192" i="2"/>
  <c r="AB8" i="3"/>
  <c r="AB192" i="2"/>
  <c r="AO8" i="3"/>
  <c r="AO30" i="3" s="1"/>
  <c r="AO192" i="2"/>
  <c r="BW168" i="2"/>
  <c r="AT161" i="35"/>
  <c r="AT159" i="35"/>
  <c r="AU157" i="35"/>
  <c r="AX171" i="35"/>
  <c r="AW173" i="35"/>
  <c r="AW175" i="35"/>
  <c r="AO48" i="35"/>
  <c r="AO53" i="35"/>
  <c r="AQ81" i="35"/>
  <c r="AR77" i="35"/>
  <c r="AR26" i="35" s="1"/>
  <c r="AQ63" i="35"/>
  <c r="AQ62" i="35"/>
  <c r="AQ44" i="35"/>
  <c r="AQ10" i="13"/>
  <c r="AQ17" i="35"/>
  <c r="BV61" i="35"/>
  <c r="AM117" i="35"/>
  <c r="AM131" i="35"/>
  <c r="BU131" i="35" s="1"/>
  <c r="AN127" i="35"/>
  <c r="BV261" i="35"/>
  <c r="AQ47" i="35"/>
  <c r="AQ52" i="35"/>
  <c r="BV77" i="35"/>
  <c r="BV78" i="35" s="1"/>
  <c r="AS163" i="35"/>
  <c r="AS162" i="35"/>
  <c r="AS148" i="35"/>
  <c r="AS146" i="35"/>
  <c r="AS180" i="35"/>
  <c r="AS183" i="35"/>
  <c r="AR17" i="35"/>
  <c r="AR62" i="35"/>
  <c r="AR63" i="35"/>
  <c r="AR10" i="13"/>
  <c r="AI202" i="35"/>
  <c r="AI203" i="35" s="1"/>
  <c r="AI103" i="35"/>
  <c r="AI107" i="35"/>
  <c r="AI105" i="35" s="1"/>
  <c r="BT102" i="35"/>
  <c r="BT103" i="35" s="1"/>
  <c r="AR261" i="35"/>
  <c r="AR147" i="35"/>
  <c r="AR29" i="13"/>
  <c r="AP54" i="35"/>
  <c r="AP49" i="35"/>
  <c r="AP43" i="35"/>
  <c r="BV263" i="35"/>
  <c r="AS57" i="35"/>
  <c r="AS61" i="35" s="1"/>
  <c r="AR42" i="35"/>
  <c r="BV58" i="35"/>
  <c r="BV42" i="35"/>
  <c r="BX214" i="35"/>
  <c r="BX229" i="35" s="1"/>
  <c r="AV177" i="35"/>
  <c r="AV176" i="35"/>
  <c r="AT59" i="35"/>
  <c r="BV68" i="35"/>
  <c r="BV69" i="35" s="1"/>
  <c r="BV44" i="35"/>
  <c r="BV71" i="35"/>
  <c r="AL111" i="35"/>
  <c r="AL132" i="35"/>
  <c r="AL102" i="35"/>
  <c r="AP136" i="35"/>
  <c r="AO140" i="35"/>
  <c r="AO141" i="35" s="1"/>
  <c r="AR70" i="35"/>
  <c r="AR44" i="35" s="1"/>
  <c r="AS66" i="35"/>
  <c r="AP33" i="35"/>
  <c r="AP34" i="35"/>
  <c r="AZ96" i="35"/>
  <c r="BA94" i="35"/>
  <c r="AZ27" i="13"/>
  <c r="AN20" i="35"/>
  <c r="AO19" i="35"/>
  <c r="AO20" i="35" s="1"/>
  <c r="AO10" i="35"/>
  <c r="AO11" i="35" s="1"/>
  <c r="AH203" i="35"/>
  <c r="AP85" i="35"/>
  <c r="AP82" i="35"/>
  <c r="BU141" i="35"/>
  <c r="BU138" i="35"/>
  <c r="BU139" i="35" s="1"/>
  <c r="AL118" i="35"/>
  <c r="AL119" i="35"/>
  <c r="AN141" i="35"/>
  <c r="AQ71" i="35"/>
  <c r="AQ18" i="35"/>
  <c r="BV18" i="35" s="1"/>
  <c r="AQ72" i="35"/>
  <c r="AQ11" i="13"/>
  <c r="AJ147" i="35"/>
  <c r="AJ102" i="35"/>
  <c r="AK146" i="35"/>
  <c r="AK113" i="35"/>
  <c r="AK121" i="35"/>
  <c r="AK122" i="35" s="1"/>
  <c r="AK112" i="35"/>
  <c r="AK12" i="13"/>
  <c r="AQ26" i="35"/>
  <c r="BZ65" i="2"/>
  <c r="BF136" i="2"/>
  <c r="BE150" i="2"/>
  <c r="BC109" i="2"/>
  <c r="BF135" i="2"/>
  <c r="BE149" i="2"/>
  <c r="AI154" i="2"/>
  <c r="BT154" i="2" s="1"/>
  <c r="AL131" i="2"/>
  <c r="AK145" i="2"/>
  <c r="AP107" i="2"/>
  <c r="AO121" i="2"/>
  <c r="AU176" i="2"/>
  <c r="AU123" i="2"/>
  <c r="AU125" i="2" s="1"/>
  <c r="AU88" i="2"/>
  <c r="AU90" i="2" s="1"/>
  <c r="AL130" i="2"/>
  <c r="AK144" i="2"/>
  <c r="BZ113" i="2"/>
  <c r="BA108" i="2"/>
  <c r="AX153" i="2"/>
  <c r="AY139" i="2"/>
  <c r="BZ110" i="2"/>
  <c r="BC107" i="2"/>
  <c r="BZ114" i="2"/>
  <c r="AP146" i="2"/>
  <c r="AQ110" i="2"/>
  <c r="AV121" i="2"/>
  <c r="AW106" i="2"/>
  <c r="BZ116" i="2"/>
  <c r="AP108" i="2"/>
  <c r="AM90" i="2"/>
  <c r="BU88" i="2"/>
  <c r="AT177" i="2"/>
  <c r="AT91" i="2"/>
  <c r="AQ109" i="2"/>
  <c r="BA137" i="2"/>
  <c r="AZ151" i="2"/>
  <c r="BB134" i="2"/>
  <c r="BA148" i="2"/>
  <c r="AL129" i="2"/>
  <c r="AK143" i="2"/>
  <c r="BZ112" i="2"/>
  <c r="AK128" i="2"/>
  <c r="AJ142" i="2"/>
  <c r="AN122" i="2"/>
  <c r="AN176" i="2"/>
  <c r="AN88" i="2"/>
  <c r="AN90" i="2" s="1"/>
  <c r="BF133" i="2"/>
  <c r="BE147" i="2"/>
  <c r="BZ111" i="2"/>
  <c r="AX132" i="2"/>
  <c r="AW146" i="2"/>
  <c r="AN166" i="2"/>
  <c r="BJ118" i="3" l="1"/>
  <c r="CA83" i="2"/>
  <c r="CB18" i="2"/>
  <c r="CB83" i="2" s="1"/>
  <c r="CB75" i="3"/>
  <c r="CB10" i="3"/>
  <c r="BJ110" i="2"/>
  <c r="BJ116" i="2"/>
  <c r="BJ114" i="2"/>
  <c r="BJ112" i="2"/>
  <c r="CA118" i="2"/>
  <c r="CB118" i="2" s="1"/>
  <c r="CB154" i="2" s="1"/>
  <c r="BJ113" i="2"/>
  <c r="BJ111" i="2"/>
  <c r="BJ119" i="3"/>
  <c r="BJ134" i="3"/>
  <c r="BI135" i="3"/>
  <c r="BK19" i="2"/>
  <c r="CA19" i="2" s="1"/>
  <c r="BK13" i="2"/>
  <c r="CA13" i="2" s="1"/>
  <c r="CA39" i="2"/>
  <c r="CB39" i="2" s="1"/>
  <c r="CB53" i="3" s="1"/>
  <c r="CB146" i="3" s="1"/>
  <c r="BK53" i="3"/>
  <c r="CA30" i="2"/>
  <c r="CB30" i="2" s="1"/>
  <c r="CB25" i="3" s="1"/>
  <c r="CB118" i="3" s="1"/>
  <c r="BK25" i="3"/>
  <c r="BK118" i="3" s="1"/>
  <c r="BJ146" i="3"/>
  <c r="BK82" i="2"/>
  <c r="CA9" i="2"/>
  <c r="BK64" i="2"/>
  <c r="BJ65" i="2"/>
  <c r="BK78" i="3"/>
  <c r="BK79" i="3" s="1"/>
  <c r="CA17" i="2"/>
  <c r="CA78" i="3" s="1"/>
  <c r="CA79" i="3" s="1"/>
  <c r="BJ78" i="2"/>
  <c r="BT202" i="35"/>
  <c r="BV47" i="35"/>
  <c r="AR216" i="35"/>
  <c r="AI155" i="2"/>
  <c r="BT155" i="2" s="1"/>
  <c r="BW180" i="2"/>
  <c r="BW181" i="2"/>
  <c r="AE92" i="3"/>
  <c r="AE93" i="3" s="1"/>
  <c r="AE60" i="3"/>
  <c r="AI92" i="3"/>
  <c r="AI93" i="3" s="1"/>
  <c r="AI60" i="3"/>
  <c r="AY92" i="3"/>
  <c r="AY93" i="3" s="1"/>
  <c r="AY60" i="3"/>
  <c r="AU92" i="3"/>
  <c r="AU93" i="3" s="1"/>
  <c r="AU60" i="3"/>
  <c r="AQ92" i="3"/>
  <c r="AQ93" i="3" s="1"/>
  <c r="AQ60" i="3"/>
  <c r="AN168" i="2"/>
  <c r="BV192" i="2"/>
  <c r="BX192" i="2"/>
  <c r="BW192" i="2"/>
  <c r="AO92" i="3"/>
  <c r="AO93" i="3" s="1"/>
  <c r="AO60" i="3"/>
  <c r="AB101" i="3"/>
  <c r="BS8" i="3"/>
  <c r="AB30" i="3"/>
  <c r="AN101" i="3"/>
  <c r="AN30" i="3"/>
  <c r="AK92" i="3"/>
  <c r="AK93" i="3" s="1"/>
  <c r="AK60" i="3"/>
  <c r="BA92" i="3"/>
  <c r="BA93" i="3" s="1"/>
  <c r="BA60" i="3"/>
  <c r="AR101" i="3"/>
  <c r="AR30" i="3"/>
  <c r="E92" i="3"/>
  <c r="E93" i="3" s="1"/>
  <c r="E60" i="3"/>
  <c r="U92" i="3"/>
  <c r="U93" i="3" s="1"/>
  <c r="U60" i="3"/>
  <c r="N92" i="3"/>
  <c r="N93" i="3" s="1"/>
  <c r="N60" i="3"/>
  <c r="V92" i="3"/>
  <c r="V93" i="3" s="1"/>
  <c r="V60" i="3"/>
  <c r="AJ101" i="3"/>
  <c r="AJ30" i="3"/>
  <c r="BU8" i="3"/>
  <c r="AZ101" i="3"/>
  <c r="AZ30" i="3"/>
  <c r="Q92" i="3"/>
  <c r="Q93" i="3" s="1"/>
  <c r="Q60" i="3"/>
  <c r="AG92" i="3"/>
  <c r="AG93" i="3" s="1"/>
  <c r="AG60" i="3"/>
  <c r="AW92" i="3"/>
  <c r="AW93" i="3" s="1"/>
  <c r="AW60" i="3"/>
  <c r="H101" i="3"/>
  <c r="H30" i="3"/>
  <c r="X101" i="3"/>
  <c r="X30" i="3"/>
  <c r="J92" i="3"/>
  <c r="J93" i="3" s="1"/>
  <c r="J60" i="3"/>
  <c r="Z92" i="3"/>
  <c r="Z93" i="3" s="1"/>
  <c r="Z60" i="3"/>
  <c r="AD92" i="3"/>
  <c r="AD93" i="3" s="1"/>
  <c r="AD60" i="3"/>
  <c r="AT92" i="3"/>
  <c r="AT93" i="3" s="1"/>
  <c r="AT60" i="3"/>
  <c r="D101" i="3"/>
  <c r="D30" i="3"/>
  <c r="T101" i="3"/>
  <c r="T30" i="3"/>
  <c r="AM92" i="3"/>
  <c r="AM93" i="3" s="1"/>
  <c r="AM60" i="3"/>
  <c r="AC92" i="3"/>
  <c r="AC93" i="3" s="1"/>
  <c r="AC60" i="3"/>
  <c r="F92" i="3"/>
  <c r="F93" i="3" s="1"/>
  <c r="F60" i="3"/>
  <c r="AP8" i="3"/>
  <c r="AP30" i="3" s="1"/>
  <c r="I92" i="3"/>
  <c r="I93" i="3" s="1"/>
  <c r="I60" i="3"/>
  <c r="Y92" i="3"/>
  <c r="Y93" i="3" s="1"/>
  <c r="Y60" i="3"/>
  <c r="P30" i="3"/>
  <c r="P101" i="3"/>
  <c r="AF30" i="3"/>
  <c r="BT8" i="3"/>
  <c r="AF101" i="3"/>
  <c r="AV101" i="3"/>
  <c r="AV30" i="3"/>
  <c r="R92" i="3"/>
  <c r="R93" i="3" s="1"/>
  <c r="R60" i="3"/>
  <c r="AH92" i="3"/>
  <c r="AH93" i="3" s="1"/>
  <c r="AH60" i="3"/>
  <c r="AX92" i="3"/>
  <c r="AX93" i="3" s="1"/>
  <c r="AX60" i="3"/>
  <c r="M92" i="3"/>
  <c r="M93" i="3" s="1"/>
  <c r="M60" i="3"/>
  <c r="L101" i="3"/>
  <c r="L30" i="3"/>
  <c r="AL92" i="3"/>
  <c r="AL93" i="3" s="1"/>
  <c r="AL60" i="3"/>
  <c r="AS92" i="3"/>
  <c r="AS93" i="3" s="1"/>
  <c r="AS60" i="3"/>
  <c r="AR43" i="35"/>
  <c r="AR54" i="35"/>
  <c r="AR49" i="35"/>
  <c r="AQ27" i="35"/>
  <c r="AQ28" i="35"/>
  <c r="BV26" i="35"/>
  <c r="BV28" i="35" s="1"/>
  <c r="AR263" i="35"/>
  <c r="AS261" i="35"/>
  <c r="AS263" i="35" s="1"/>
  <c r="AS147" i="35"/>
  <c r="AS29" i="13"/>
  <c r="BV262" i="35"/>
  <c r="BV62" i="35"/>
  <c r="BV59" i="35"/>
  <c r="BV60" i="35" s="1"/>
  <c r="AR81" i="35"/>
  <c r="AS77" i="35"/>
  <c r="AS26" i="35" s="1"/>
  <c r="AW176" i="35"/>
  <c r="AW177" i="35"/>
  <c r="AK147" i="35"/>
  <c r="AL147" i="35"/>
  <c r="AK102" i="35"/>
  <c r="AL103" i="35" s="1"/>
  <c r="BV11" i="13"/>
  <c r="AQ212" i="35"/>
  <c r="AQ227" i="35" s="1"/>
  <c r="AP19" i="35"/>
  <c r="AP20" i="35" s="1"/>
  <c r="AP10" i="35"/>
  <c r="AO21" i="35"/>
  <c r="AO22" i="35"/>
  <c r="AS70" i="35"/>
  <c r="AS44" i="35" s="1"/>
  <c r="AT66" i="35"/>
  <c r="AQ136" i="35"/>
  <c r="BV136" i="35" s="1"/>
  <c r="BV137" i="35" s="1"/>
  <c r="AP140" i="35"/>
  <c r="AL121" i="35"/>
  <c r="AL122" i="35" s="1"/>
  <c r="AL113" i="35"/>
  <c r="AL112" i="35"/>
  <c r="AL12" i="13"/>
  <c r="AR28" i="35"/>
  <c r="AR27" i="35"/>
  <c r="AR231" i="35"/>
  <c r="AN131" i="35"/>
  <c r="AO127" i="35"/>
  <c r="AN117" i="35"/>
  <c r="BV17" i="35"/>
  <c r="AQ85" i="35"/>
  <c r="AQ82" i="35"/>
  <c r="BV81" i="35"/>
  <c r="AT162" i="35"/>
  <c r="AT163" i="35"/>
  <c r="AT146" i="35"/>
  <c r="AT148" i="35"/>
  <c r="AT183" i="35"/>
  <c r="AT180" i="35"/>
  <c r="AJ202" i="35"/>
  <c r="AJ107" i="35"/>
  <c r="AJ105" i="35" s="1"/>
  <c r="AJ103" i="35"/>
  <c r="AN21" i="35"/>
  <c r="AN22" i="35"/>
  <c r="BB94" i="35"/>
  <c r="BA96" i="35"/>
  <c r="BA27" i="13"/>
  <c r="BA214" i="35" s="1"/>
  <c r="BA229" i="35" s="1"/>
  <c r="BU129" i="35"/>
  <c r="BU130" i="35" s="1"/>
  <c r="BU132" i="35"/>
  <c r="AU59" i="35"/>
  <c r="AR52" i="35"/>
  <c r="AR47" i="35"/>
  <c r="AP53" i="35"/>
  <c r="AP48" i="35"/>
  <c r="AR211" i="35"/>
  <c r="AM132" i="35"/>
  <c r="AM102" i="35"/>
  <c r="AM111" i="35"/>
  <c r="BU111" i="35" s="1"/>
  <c r="AQ211" i="35"/>
  <c r="BV10" i="13"/>
  <c r="AX173" i="35"/>
  <c r="AY171" i="35"/>
  <c r="AX175" i="35"/>
  <c r="BU146" i="35"/>
  <c r="AR71" i="35"/>
  <c r="AR72" i="35"/>
  <c r="AR11" i="13"/>
  <c r="AR18" i="35"/>
  <c r="AL202" i="35"/>
  <c r="AL107" i="35"/>
  <c r="AL105" i="35" s="1"/>
  <c r="BV49" i="35"/>
  <c r="BV43" i="35"/>
  <c r="AS63" i="35"/>
  <c r="AS62" i="35"/>
  <c r="AS17" i="35"/>
  <c r="AS42" i="35"/>
  <c r="AT57" i="35"/>
  <c r="AM119" i="35"/>
  <c r="AM118" i="35"/>
  <c r="BU117" i="35"/>
  <c r="BU119" i="35" s="1"/>
  <c r="AQ54" i="35"/>
  <c r="AQ49" i="35"/>
  <c r="AQ43" i="35"/>
  <c r="AQ32" i="35"/>
  <c r="AU161" i="35"/>
  <c r="AV157" i="35"/>
  <c r="AU159" i="35"/>
  <c r="BG133" i="2"/>
  <c r="BH133" i="2" s="1"/>
  <c r="BF147" i="2"/>
  <c r="AJ155" i="2"/>
  <c r="BV109" i="2"/>
  <c r="AW121" i="2"/>
  <c r="AX106" i="2"/>
  <c r="BD107" i="2"/>
  <c r="BY107" i="2"/>
  <c r="AZ139" i="2"/>
  <c r="BX139" i="2"/>
  <c r="AY153" i="2"/>
  <c r="BX153" i="2" s="1"/>
  <c r="AU177" i="2"/>
  <c r="AU91" i="2"/>
  <c r="AQ107" i="2"/>
  <c r="AP121" i="2"/>
  <c r="BD109" i="2"/>
  <c r="BY109" i="2"/>
  <c r="AN177" i="2"/>
  <c r="AN91" i="2"/>
  <c r="AL128" i="2"/>
  <c r="AK142" i="2"/>
  <c r="AK155" i="2" s="1"/>
  <c r="AK171" i="2" s="1"/>
  <c r="AK173" i="2" s="1"/>
  <c r="BC134" i="2"/>
  <c r="BB148" i="2"/>
  <c r="AM177" i="2"/>
  <c r="BU177" i="2" s="1"/>
  <c r="AM91" i="2"/>
  <c r="BU91" i="2" s="1"/>
  <c r="BU90" i="2"/>
  <c r="AV176" i="2"/>
  <c r="AV123" i="2"/>
  <c r="AV125" i="2" s="1"/>
  <c r="AV88" i="2"/>
  <c r="AV90" i="2" s="1"/>
  <c r="AM129" i="2"/>
  <c r="AL143" i="2"/>
  <c r="AQ108" i="2"/>
  <c r="BB108" i="2"/>
  <c r="AY132" i="2"/>
  <c r="AX146" i="2"/>
  <c r="BB137" i="2"/>
  <c r="BA151" i="2"/>
  <c r="AQ146" i="2"/>
  <c r="BV146" i="2" s="1"/>
  <c r="BV110" i="2"/>
  <c r="AM130" i="2"/>
  <c r="AL144" i="2"/>
  <c r="AO176" i="2"/>
  <c r="AO122" i="2"/>
  <c r="AO88" i="2"/>
  <c r="AO90" i="2" s="1"/>
  <c r="AM131" i="2"/>
  <c r="AL145" i="2"/>
  <c r="BG135" i="2"/>
  <c r="BH135" i="2" s="1"/>
  <c r="BF149" i="2"/>
  <c r="BG136" i="2"/>
  <c r="BH136" i="2" s="1"/>
  <c r="BF150" i="2"/>
  <c r="AO166" i="2"/>
  <c r="AO168" i="2" s="1"/>
  <c r="CA82" i="2" l="1"/>
  <c r="CB9" i="2"/>
  <c r="CB82" i="2" s="1"/>
  <c r="CB19" i="2"/>
  <c r="CB41" i="3" s="1"/>
  <c r="CB134" i="3" s="1"/>
  <c r="CB13" i="2"/>
  <c r="CB26" i="3" s="1"/>
  <c r="CB119" i="3" s="1"/>
  <c r="CB103" i="3"/>
  <c r="CB87" i="3"/>
  <c r="CB88" i="3" s="1"/>
  <c r="BV8" i="3"/>
  <c r="BI136" i="2"/>
  <c r="BH150" i="2"/>
  <c r="BI135" i="2"/>
  <c r="BH149" i="2"/>
  <c r="BI133" i="2"/>
  <c r="BH147" i="2"/>
  <c r="BK26" i="3"/>
  <c r="CA26" i="3" s="1"/>
  <c r="CA119" i="3" s="1"/>
  <c r="BK111" i="2"/>
  <c r="BK113" i="2"/>
  <c r="BK112" i="2"/>
  <c r="BK114" i="2"/>
  <c r="BK116" i="2"/>
  <c r="BK110" i="2"/>
  <c r="BK41" i="3"/>
  <c r="BK42" i="3" s="1"/>
  <c r="BK146" i="3"/>
  <c r="BK134" i="3"/>
  <c r="BK135" i="3" s="1"/>
  <c r="BJ135" i="3"/>
  <c r="CA25" i="3"/>
  <c r="CA118" i="3" s="1"/>
  <c r="CA53" i="3"/>
  <c r="CA78" i="2"/>
  <c r="CA64" i="2"/>
  <c r="BK65" i="2"/>
  <c r="BK78" i="2"/>
  <c r="BV48" i="35"/>
  <c r="AP11" i="35"/>
  <c r="AS216" i="35"/>
  <c r="AS231" i="35" s="1"/>
  <c r="BU181" i="2"/>
  <c r="BS101" i="3"/>
  <c r="BS123" i="3" s="1"/>
  <c r="BS153" i="3" s="1"/>
  <c r="BS30" i="3"/>
  <c r="BS92" i="3" s="1"/>
  <c r="BS93" i="3" s="1"/>
  <c r="AA8" i="3"/>
  <c r="AA192" i="2"/>
  <c r="W8" i="3"/>
  <c r="W192" i="2"/>
  <c r="O8" i="3"/>
  <c r="O192" i="2"/>
  <c r="G8" i="3"/>
  <c r="G192" i="2"/>
  <c r="BT192" i="2"/>
  <c r="BS192" i="2"/>
  <c r="S8" i="3"/>
  <c r="S192" i="2"/>
  <c r="K8" i="3"/>
  <c r="K192" i="2"/>
  <c r="BU192" i="2"/>
  <c r="L92" i="3"/>
  <c r="L93" i="3" s="1"/>
  <c r="L60" i="3"/>
  <c r="M101" i="3"/>
  <c r="L123" i="3"/>
  <c r="L153" i="3" s="1"/>
  <c r="AV92" i="3"/>
  <c r="AV93" i="3" s="1"/>
  <c r="AV60" i="3"/>
  <c r="AW101" i="3"/>
  <c r="AV123" i="3"/>
  <c r="AV153" i="3" s="1"/>
  <c r="AF123" i="3"/>
  <c r="AF153" i="3" s="1"/>
  <c r="AG101" i="3"/>
  <c r="BT101" i="3"/>
  <c r="BT123" i="3" s="1"/>
  <c r="BT153" i="3" s="1"/>
  <c r="BT30" i="3"/>
  <c r="BT92" i="3" s="1"/>
  <c r="BT93" i="3" s="1"/>
  <c r="AF92" i="3"/>
  <c r="AF93" i="3" s="1"/>
  <c r="AF60" i="3"/>
  <c r="BT60" i="3" s="1"/>
  <c r="P123" i="3"/>
  <c r="P153" i="3" s="1"/>
  <c r="Q101" i="3"/>
  <c r="P92" i="3"/>
  <c r="P93" i="3" s="1"/>
  <c r="P60" i="3"/>
  <c r="AP92" i="3"/>
  <c r="AP93" i="3" s="1"/>
  <c r="AP60" i="3"/>
  <c r="T92" i="3"/>
  <c r="T93" i="3" s="1"/>
  <c r="T60" i="3"/>
  <c r="T123" i="3"/>
  <c r="T153" i="3" s="1"/>
  <c r="U101" i="3"/>
  <c r="D92" i="3"/>
  <c r="D93" i="3" s="1"/>
  <c r="D60" i="3"/>
  <c r="D123" i="3"/>
  <c r="D153" i="3" s="1"/>
  <c r="D154" i="3" s="1"/>
  <c r="D157" i="3" s="1"/>
  <c r="E101" i="3"/>
  <c r="X92" i="3"/>
  <c r="X93" i="3" s="1"/>
  <c r="X60" i="3"/>
  <c r="X123" i="3"/>
  <c r="X153" i="3" s="1"/>
  <c r="Y101" i="3"/>
  <c r="H92" i="3"/>
  <c r="H93" i="3" s="1"/>
  <c r="H60" i="3"/>
  <c r="I101" i="3"/>
  <c r="H123" i="3"/>
  <c r="H153" i="3" s="1"/>
  <c r="AZ92" i="3"/>
  <c r="AZ93" i="3" s="1"/>
  <c r="AZ60" i="3"/>
  <c r="AZ123" i="3"/>
  <c r="AZ153" i="3" s="1"/>
  <c r="BA101" i="3"/>
  <c r="BA123" i="3" s="1"/>
  <c r="BA153" i="3" s="1"/>
  <c r="BU101" i="3"/>
  <c r="BU123" i="3" s="1"/>
  <c r="BU153" i="3" s="1"/>
  <c r="BU30" i="3"/>
  <c r="BU92" i="3" s="1"/>
  <c r="BU93" i="3" s="1"/>
  <c r="AJ92" i="3"/>
  <c r="AJ93" i="3" s="1"/>
  <c r="AJ60" i="3"/>
  <c r="BU60" i="3" s="1"/>
  <c r="AJ123" i="3"/>
  <c r="AJ153" i="3" s="1"/>
  <c r="AK101" i="3"/>
  <c r="AR92" i="3"/>
  <c r="AR93" i="3" s="1"/>
  <c r="AR60" i="3"/>
  <c r="AS101" i="3"/>
  <c r="AR123" i="3"/>
  <c r="AR153" i="3" s="1"/>
  <c r="AN92" i="3"/>
  <c r="AN93" i="3" s="1"/>
  <c r="AN60" i="3"/>
  <c r="BV60" i="3" s="1"/>
  <c r="AN123" i="3"/>
  <c r="AN153" i="3" s="1"/>
  <c r="AO101" i="3"/>
  <c r="AB92" i="3"/>
  <c r="AB93" i="3" s="1"/>
  <c r="AB60" i="3"/>
  <c r="BS60" i="3" s="1"/>
  <c r="AC101" i="3"/>
  <c r="AB123" i="3"/>
  <c r="AB153" i="3" s="1"/>
  <c r="BW8" i="3"/>
  <c r="BX8" i="3"/>
  <c r="BU113" i="35"/>
  <c r="BU121" i="35"/>
  <c r="BU123" i="35" s="1"/>
  <c r="AQ48" i="35"/>
  <c r="AQ53" i="35"/>
  <c r="AS10" i="13"/>
  <c r="AR212" i="35"/>
  <c r="AM202" i="35"/>
  <c r="AM103" i="35"/>
  <c r="AV59" i="35"/>
  <c r="AP127" i="35"/>
  <c r="AO131" i="35"/>
  <c r="AO117" i="35"/>
  <c r="AS72" i="35"/>
  <c r="AS71" i="35"/>
  <c r="AS11" i="13"/>
  <c r="AS212" i="35" s="1"/>
  <c r="AS227" i="35" s="1"/>
  <c r="AS18" i="35"/>
  <c r="AP21" i="35"/>
  <c r="AP22" i="35"/>
  <c r="AR82" i="35"/>
  <c r="AR85" i="35"/>
  <c r="AR32" i="35"/>
  <c r="AV159" i="35"/>
  <c r="AV161" i="35"/>
  <c r="AW157" i="35"/>
  <c r="AU57" i="35"/>
  <c r="AT42" i="35"/>
  <c r="BU29" i="13"/>
  <c r="BV147" i="35"/>
  <c r="AT61" i="35"/>
  <c r="BV82" i="35"/>
  <c r="BV79" i="35"/>
  <c r="BV80" i="35" s="1"/>
  <c r="BV85" i="35"/>
  <c r="AN102" i="35"/>
  <c r="AN132" i="35"/>
  <c r="AN111" i="35"/>
  <c r="AP141" i="35"/>
  <c r="BV10" i="35"/>
  <c r="BV12" i="35" s="1"/>
  <c r="AU162" i="35"/>
  <c r="AU163" i="35"/>
  <c r="AU148" i="35"/>
  <c r="AU146" i="35"/>
  <c r="AU183" i="35"/>
  <c r="AU180" i="35"/>
  <c r="BW161" i="35"/>
  <c r="AS28" i="35"/>
  <c r="AS27" i="35"/>
  <c r="AX176" i="35"/>
  <c r="AX177" i="35"/>
  <c r="AQ226" i="35"/>
  <c r="AR226" i="35"/>
  <c r="AJ203" i="35"/>
  <c r="AT261" i="35"/>
  <c r="AT147" i="35"/>
  <c r="AT29" i="13"/>
  <c r="AN118" i="35"/>
  <c r="AN119" i="35"/>
  <c r="AR136" i="35"/>
  <c r="AQ140" i="35"/>
  <c r="AQ141" i="35" s="1"/>
  <c r="AT77" i="35"/>
  <c r="AS81" i="35"/>
  <c r="AQ34" i="35"/>
  <c r="AQ33" i="35"/>
  <c r="AS52" i="35"/>
  <c r="AS47" i="35"/>
  <c r="AS43" i="35"/>
  <c r="AS54" i="35"/>
  <c r="AS49" i="35"/>
  <c r="AY175" i="35"/>
  <c r="BX175" i="35" s="1"/>
  <c r="AZ171" i="35"/>
  <c r="AY173" i="35"/>
  <c r="AM121" i="35"/>
  <c r="AM122" i="35" s="1"/>
  <c r="AM112" i="35"/>
  <c r="AM113" i="35"/>
  <c r="AM12" i="13"/>
  <c r="BB96" i="35"/>
  <c r="BC94" i="35"/>
  <c r="BY94" i="35"/>
  <c r="BY95" i="35" s="1"/>
  <c r="BU102" i="35"/>
  <c r="BU103" i="35" s="1"/>
  <c r="AQ19" i="35"/>
  <c r="AQ10" i="35"/>
  <c r="AU66" i="35"/>
  <c r="AT70" i="35"/>
  <c r="AK202" i="35"/>
  <c r="AK203" i="35" s="1"/>
  <c r="AK103" i="35"/>
  <c r="AK107" i="35"/>
  <c r="AK105" i="35" s="1"/>
  <c r="AR53" i="35"/>
  <c r="AR48" i="35"/>
  <c r="AO177" i="2"/>
  <c r="AO91" i="2"/>
  <c r="BU130" i="2"/>
  <c r="AN130" i="2"/>
  <c r="AM144" i="2"/>
  <c r="BC108" i="2"/>
  <c r="AV177" i="2"/>
  <c r="AV91" i="2"/>
  <c r="BV107" i="2"/>
  <c r="AQ121" i="2"/>
  <c r="BE107" i="2"/>
  <c r="BZ135" i="2"/>
  <c r="BG149" i="2"/>
  <c r="BZ149" i="2" s="1"/>
  <c r="BC137" i="2"/>
  <c r="BB151" i="2"/>
  <c r="AM128" i="2"/>
  <c r="AL142" i="2"/>
  <c r="AL155" i="2" s="1"/>
  <c r="AL171" i="2" s="1"/>
  <c r="AL173" i="2" s="1"/>
  <c r="BE109" i="2"/>
  <c r="AJ171" i="2"/>
  <c r="AZ153" i="2"/>
  <c r="BA139" i="2"/>
  <c r="AX121" i="2"/>
  <c r="AY106" i="2"/>
  <c r="BZ136" i="2"/>
  <c r="BG150" i="2"/>
  <c r="BZ150" i="2" s="1"/>
  <c r="BU131" i="2"/>
  <c r="AN131" i="2"/>
  <c r="AM145" i="2"/>
  <c r="BU145" i="2" s="1"/>
  <c r="BU144" i="2"/>
  <c r="BX132" i="2"/>
  <c r="AZ132" i="2"/>
  <c r="AY146" i="2"/>
  <c r="BX146" i="2" s="1"/>
  <c r="BV108" i="2"/>
  <c r="AN129" i="2"/>
  <c r="BU129" i="2"/>
  <c r="AM143" i="2"/>
  <c r="BU143" i="2" s="1"/>
  <c r="BY134" i="2"/>
  <c r="BD134" i="2"/>
  <c r="BC148" i="2"/>
  <c r="BY148" i="2" s="1"/>
  <c r="AP176" i="2"/>
  <c r="AP122" i="2"/>
  <c r="AP88" i="2"/>
  <c r="AP90" i="2" s="1"/>
  <c r="AW176" i="2"/>
  <c r="AW123" i="2"/>
  <c r="AW125" i="2" s="1"/>
  <c r="AW88" i="2"/>
  <c r="AW90" i="2" s="1"/>
  <c r="BZ133" i="2"/>
  <c r="BG147" i="2"/>
  <c r="BZ147" i="2" s="1"/>
  <c r="AP166" i="2"/>
  <c r="AP168" i="2" s="1"/>
  <c r="CA65" i="2" l="1"/>
  <c r="CB64" i="2"/>
  <c r="CB65" i="2" s="1"/>
  <c r="BK119" i="3"/>
  <c r="CA110" i="2"/>
  <c r="CB110" i="2" s="1"/>
  <c r="CA116" i="2"/>
  <c r="CB116" i="2" s="1"/>
  <c r="CB152" i="2" s="1"/>
  <c r="CA114" i="2"/>
  <c r="CB114" i="2" s="1"/>
  <c r="CA112" i="2"/>
  <c r="CB112" i="2" s="1"/>
  <c r="CA113" i="2"/>
  <c r="CB113" i="2" s="1"/>
  <c r="CA111" i="2"/>
  <c r="CB111" i="2" s="1"/>
  <c r="BJ133" i="2"/>
  <c r="BI147" i="2"/>
  <c r="BJ135" i="2"/>
  <c r="BI149" i="2"/>
  <c r="BJ136" i="2"/>
  <c r="BI150" i="2"/>
  <c r="CA41" i="3"/>
  <c r="CA42" i="3" s="1"/>
  <c r="CA146" i="3"/>
  <c r="AQ11" i="35"/>
  <c r="BU12" i="13"/>
  <c r="AT216" i="35"/>
  <c r="D61" i="3"/>
  <c r="E58" i="3" s="1"/>
  <c r="E61" i="3" s="1"/>
  <c r="K30" i="3"/>
  <c r="BN8" i="3"/>
  <c r="S30" i="3"/>
  <c r="BP8" i="3"/>
  <c r="G30" i="3"/>
  <c r="BM8" i="3"/>
  <c r="O30" i="3"/>
  <c r="BO8" i="3"/>
  <c r="W30" i="3"/>
  <c r="BQ8" i="3"/>
  <c r="AA30" i="3"/>
  <c r="AA92" i="3" s="1"/>
  <c r="AA93" i="3" s="1"/>
  <c r="BR8" i="3"/>
  <c r="BV101" i="3"/>
  <c r="BV123" i="3" s="1"/>
  <c r="BV153" i="3" s="1"/>
  <c r="BV30" i="3"/>
  <c r="BV92" i="3" s="1"/>
  <c r="BV93" i="3" s="1"/>
  <c r="BX101" i="3"/>
  <c r="BX123" i="3" s="1"/>
  <c r="BX153" i="3" s="1"/>
  <c r="BX30" i="3"/>
  <c r="BN192" i="2"/>
  <c r="BP192" i="2"/>
  <c r="BO192" i="2"/>
  <c r="BM192" i="2"/>
  <c r="BR192" i="2"/>
  <c r="BQ192" i="2"/>
  <c r="BW101" i="3"/>
  <c r="BW123" i="3" s="1"/>
  <c r="BW153" i="3" s="1"/>
  <c r="BW30" i="3"/>
  <c r="AC123" i="3"/>
  <c r="AC153" i="3" s="1"/>
  <c r="AD101" i="3"/>
  <c r="AO123" i="3"/>
  <c r="AO153" i="3" s="1"/>
  <c r="AP101" i="3"/>
  <c r="AT101" i="3"/>
  <c r="AS123" i="3"/>
  <c r="AS153" i="3" s="1"/>
  <c r="AL101" i="3"/>
  <c r="AK123" i="3"/>
  <c r="AK153" i="3" s="1"/>
  <c r="J101" i="3"/>
  <c r="I123" i="3"/>
  <c r="I153" i="3" s="1"/>
  <c r="Z101" i="3"/>
  <c r="Y123" i="3"/>
  <c r="Y153" i="3" s="1"/>
  <c r="F101" i="3"/>
  <c r="E123" i="3"/>
  <c r="E153" i="3" s="1"/>
  <c r="E154" i="3" s="1"/>
  <c r="E157" i="3" s="1"/>
  <c r="V101" i="3"/>
  <c r="U123" i="3"/>
  <c r="U153" i="3" s="1"/>
  <c r="R101" i="3"/>
  <c r="Q123" i="3"/>
  <c r="Q153" i="3" s="1"/>
  <c r="AH101" i="3"/>
  <c r="AG123" i="3"/>
  <c r="AG153" i="3" s="1"/>
  <c r="AW123" i="3"/>
  <c r="AW153" i="3" s="1"/>
  <c r="AX101" i="3"/>
  <c r="N101" i="3"/>
  <c r="M123" i="3"/>
  <c r="M153" i="3" s="1"/>
  <c r="BX177" i="35"/>
  <c r="BX171" i="35"/>
  <c r="BX173" i="35" s="1"/>
  <c r="AU77" i="35"/>
  <c r="AT81" i="35"/>
  <c r="AT263" i="35"/>
  <c r="BW157" i="35"/>
  <c r="BW163" i="35"/>
  <c r="BW148" i="35"/>
  <c r="BW183" i="35"/>
  <c r="AN121" i="35"/>
  <c r="AN122" i="35" s="1"/>
  <c r="AN112" i="35"/>
  <c r="AN113" i="35"/>
  <c r="AN12" i="13"/>
  <c r="AT52" i="35"/>
  <c r="AT47" i="35"/>
  <c r="AR19" i="35"/>
  <c r="AR28" i="13"/>
  <c r="AR10" i="35"/>
  <c r="AR11" i="35" s="1"/>
  <c r="AO119" i="35"/>
  <c r="AO118" i="35"/>
  <c r="AW59" i="35"/>
  <c r="AT72" i="35"/>
  <c r="AT71" i="35"/>
  <c r="AT18" i="35"/>
  <c r="AT11" i="13"/>
  <c r="AT212" i="35" s="1"/>
  <c r="AT227" i="35" s="1"/>
  <c r="AL203" i="35"/>
  <c r="AU42" i="35"/>
  <c r="AU26" i="35"/>
  <c r="AV57" i="35"/>
  <c r="AO132" i="35"/>
  <c r="AO102" i="35"/>
  <c r="AO111" i="35"/>
  <c r="AS211" i="35"/>
  <c r="AU70" i="35"/>
  <c r="BW70" i="35" s="1"/>
  <c r="AV66" i="35"/>
  <c r="BW66" i="35"/>
  <c r="BW67" i="35" s="1"/>
  <c r="BB214" i="35"/>
  <c r="BB229" i="35" s="1"/>
  <c r="AZ175" i="35"/>
  <c r="AZ173" i="35"/>
  <c r="BA171" i="35"/>
  <c r="AR140" i="35"/>
  <c r="AS136" i="35"/>
  <c r="AT231" i="35"/>
  <c r="BU202" i="35"/>
  <c r="BV140" i="35"/>
  <c r="BW57" i="35"/>
  <c r="AW161" i="35"/>
  <c r="AX157" i="35"/>
  <c r="AW159" i="35"/>
  <c r="AR34" i="35"/>
  <c r="AR33" i="35"/>
  <c r="AP131" i="35"/>
  <c r="AQ127" i="35"/>
  <c r="AP117" i="35"/>
  <c r="AM245" i="35"/>
  <c r="AM203" i="35"/>
  <c r="AQ20" i="35"/>
  <c r="BV19" i="35"/>
  <c r="BC96" i="35"/>
  <c r="BD94" i="35"/>
  <c r="AY177" i="35"/>
  <c r="AY176" i="35"/>
  <c r="AS48" i="35"/>
  <c r="AS53" i="35"/>
  <c r="AS82" i="35"/>
  <c r="AS85" i="35"/>
  <c r="AS32" i="35"/>
  <c r="AU261" i="35"/>
  <c r="AU263" i="35" s="1"/>
  <c r="AU147" i="35"/>
  <c r="AU29" i="13"/>
  <c r="BW146" i="35"/>
  <c r="AN202" i="35"/>
  <c r="AN103" i="35"/>
  <c r="AT63" i="35"/>
  <c r="AT62" i="35"/>
  <c r="AT17" i="35"/>
  <c r="AT44" i="35"/>
  <c r="AT26" i="35"/>
  <c r="AV162" i="35"/>
  <c r="AV163" i="35"/>
  <c r="AV148" i="35"/>
  <c r="AV146" i="35"/>
  <c r="AV183" i="35"/>
  <c r="AV180" i="35"/>
  <c r="AU61" i="35"/>
  <c r="AR227" i="35"/>
  <c r="AP177" i="2"/>
  <c r="AP91" i="2"/>
  <c r="BE134" i="2"/>
  <c r="BD148" i="2"/>
  <c r="AO129" i="2"/>
  <c r="AN143" i="2"/>
  <c r="BA132" i="2"/>
  <c r="AZ146" i="2"/>
  <c r="AO131" i="2"/>
  <c r="AN145" i="2"/>
  <c r="AY121" i="2"/>
  <c r="BX106" i="2"/>
  <c r="BX121" i="2" s="1"/>
  <c r="AZ106" i="2"/>
  <c r="BF109" i="2"/>
  <c r="AQ176" i="2"/>
  <c r="BV176" i="2" s="1"/>
  <c r="AQ122" i="2"/>
  <c r="BV122" i="2" s="1"/>
  <c r="BV121" i="2"/>
  <c r="AQ88" i="2"/>
  <c r="AW177" i="2"/>
  <c r="AW91" i="2"/>
  <c r="AX176" i="2"/>
  <c r="AX123" i="2"/>
  <c r="AX125" i="2" s="1"/>
  <c r="AX88" i="2"/>
  <c r="AX90" i="2" s="1"/>
  <c r="BD108" i="2"/>
  <c r="BY108" i="2"/>
  <c r="AO130" i="2"/>
  <c r="AN144" i="2"/>
  <c r="BD137" i="2"/>
  <c r="BY137" i="2"/>
  <c r="BC151" i="2"/>
  <c r="BY151" i="2" s="1"/>
  <c r="BF107" i="2"/>
  <c r="BB139" i="2"/>
  <c r="BA153" i="2"/>
  <c r="AJ173" i="2"/>
  <c r="BU128" i="2"/>
  <c r="AN128" i="2"/>
  <c r="AM142" i="2"/>
  <c r="AQ166" i="2"/>
  <c r="AQ168" i="2" s="1"/>
  <c r="BV168" i="2" s="1"/>
  <c r="CA134" i="3" l="1"/>
  <c r="CA135" i="3" s="1"/>
  <c r="D64" i="3"/>
  <c r="BK136" i="2"/>
  <c r="BJ150" i="2"/>
  <c r="BK135" i="2"/>
  <c r="BJ149" i="2"/>
  <c r="BK133" i="2"/>
  <c r="BJ147" i="2"/>
  <c r="AT32" i="35"/>
  <c r="BW159" i="35"/>
  <c r="AU216" i="35"/>
  <c r="AU231" i="35" s="1"/>
  <c r="BW231" i="35" s="1"/>
  <c r="AA60" i="3"/>
  <c r="BR60" i="3" s="1"/>
  <c r="BV180" i="2"/>
  <c r="BX92" i="3"/>
  <c r="BX93" i="3" s="1"/>
  <c r="BX60" i="3"/>
  <c r="BR101" i="3"/>
  <c r="BR123" i="3" s="1"/>
  <c r="BR153" i="3" s="1"/>
  <c r="BR30" i="3"/>
  <c r="BR92" i="3" s="1"/>
  <c r="BR93" i="3" s="1"/>
  <c r="BQ30" i="3"/>
  <c r="BQ92" i="3" s="1"/>
  <c r="BQ93" i="3" s="1"/>
  <c r="BQ101" i="3"/>
  <c r="BQ123" i="3" s="1"/>
  <c r="BQ153" i="3" s="1"/>
  <c r="BO101" i="3"/>
  <c r="BO123" i="3" s="1"/>
  <c r="BO153" i="3" s="1"/>
  <c r="BO30" i="3"/>
  <c r="BO92" i="3" s="1"/>
  <c r="BO93" i="3" s="1"/>
  <c r="BM30" i="3"/>
  <c r="BM92" i="3" s="1"/>
  <c r="BM93" i="3" s="1"/>
  <c r="BM101" i="3"/>
  <c r="BM123" i="3" s="1"/>
  <c r="BM153" i="3" s="1"/>
  <c r="BM154" i="3" s="1"/>
  <c r="BP30" i="3"/>
  <c r="BP92" i="3" s="1"/>
  <c r="BP93" i="3" s="1"/>
  <c r="BP101" i="3"/>
  <c r="BP123" i="3" s="1"/>
  <c r="BP153" i="3" s="1"/>
  <c r="BN101" i="3"/>
  <c r="BN123" i="3" s="1"/>
  <c r="BN153" i="3" s="1"/>
  <c r="BN30" i="3"/>
  <c r="BN92" i="3" s="1"/>
  <c r="BN93" i="3" s="1"/>
  <c r="E64" i="3"/>
  <c r="F58" i="3"/>
  <c r="F61" i="3" s="1"/>
  <c r="BW92" i="3"/>
  <c r="BW93" i="3" s="1"/>
  <c r="BW60" i="3"/>
  <c r="BV166" i="2"/>
  <c r="W92" i="3"/>
  <c r="W93" i="3" s="1"/>
  <c r="W60" i="3"/>
  <c r="BQ60" i="3" s="1"/>
  <c r="O92" i="3"/>
  <c r="O93" i="3" s="1"/>
  <c r="O60" i="3"/>
  <c r="BO60" i="3" s="1"/>
  <c r="G92" i="3"/>
  <c r="G93" i="3" s="1"/>
  <c r="G60" i="3"/>
  <c r="BM60" i="3" s="1"/>
  <c r="BM61" i="3" s="1"/>
  <c r="S92" i="3"/>
  <c r="S93" i="3" s="1"/>
  <c r="S60" i="3"/>
  <c r="BP60" i="3" s="1"/>
  <c r="K92" i="3"/>
  <c r="K93" i="3" s="1"/>
  <c r="K60" i="3"/>
  <c r="BN60" i="3" s="1"/>
  <c r="N123" i="3"/>
  <c r="N153" i="3" s="1"/>
  <c r="O101" i="3"/>
  <c r="O123" i="3" s="1"/>
  <c r="O153" i="3" s="1"/>
  <c r="AX123" i="3"/>
  <c r="AX153" i="3" s="1"/>
  <c r="AY101" i="3"/>
  <c r="AY123" i="3" s="1"/>
  <c r="AY153" i="3" s="1"/>
  <c r="AH123" i="3"/>
  <c r="AH153" i="3" s="1"/>
  <c r="AI101" i="3"/>
  <c r="AI123" i="3" s="1"/>
  <c r="AI153" i="3" s="1"/>
  <c r="R123" i="3"/>
  <c r="R153" i="3" s="1"/>
  <c r="S101" i="3"/>
  <c r="S123" i="3" s="1"/>
  <c r="S153" i="3" s="1"/>
  <c r="W101" i="3"/>
  <c r="W123" i="3" s="1"/>
  <c r="W153" i="3" s="1"/>
  <c r="V123" i="3"/>
  <c r="V153" i="3" s="1"/>
  <c r="G101" i="3"/>
  <c r="G123" i="3" s="1"/>
  <c r="G153" i="3" s="1"/>
  <c r="G154" i="3" s="1"/>
  <c r="F123" i="3"/>
  <c r="F153" i="3" s="1"/>
  <c r="F154" i="3" s="1"/>
  <c r="F157" i="3" s="1"/>
  <c r="AA101" i="3"/>
  <c r="AA123" i="3" s="1"/>
  <c r="AA153" i="3" s="1"/>
  <c r="Z123" i="3"/>
  <c r="Z153" i="3" s="1"/>
  <c r="K101" i="3"/>
  <c r="K123" i="3" s="1"/>
  <c r="K153" i="3" s="1"/>
  <c r="J123" i="3"/>
  <c r="J153" i="3" s="1"/>
  <c r="AL123" i="3"/>
  <c r="AL153" i="3" s="1"/>
  <c r="AM101" i="3"/>
  <c r="AM123" i="3" s="1"/>
  <c r="AM153" i="3" s="1"/>
  <c r="AT123" i="3"/>
  <c r="AT153" i="3" s="1"/>
  <c r="AU101" i="3"/>
  <c r="AU123" i="3" s="1"/>
  <c r="AU153" i="3" s="1"/>
  <c r="AQ101" i="3"/>
  <c r="AQ123" i="3" s="1"/>
  <c r="AQ153" i="3" s="1"/>
  <c r="AP123" i="3"/>
  <c r="AP153" i="3" s="1"/>
  <c r="AE101" i="3"/>
  <c r="AE123" i="3" s="1"/>
  <c r="AE153" i="3" s="1"/>
  <c r="AD123" i="3"/>
  <c r="AD153" i="3" s="1"/>
  <c r="BW71" i="35"/>
  <c r="BW68" i="35"/>
  <c r="BW69" i="35" s="1"/>
  <c r="AU62" i="35"/>
  <c r="AU44" i="35"/>
  <c r="AU63" i="35"/>
  <c r="AU17" i="35"/>
  <c r="BW17" i="35" s="1"/>
  <c r="AU10" i="13"/>
  <c r="AU211" i="35" s="1"/>
  <c r="AV147" i="35"/>
  <c r="AV29" i="13"/>
  <c r="BW147" i="35"/>
  <c r="BW29" i="13"/>
  <c r="AS19" i="35"/>
  <c r="AS20" i="35" s="1"/>
  <c r="AS28" i="13"/>
  <c r="AS215" i="35" s="1"/>
  <c r="AS230" i="35" s="1"/>
  <c r="AS10" i="35"/>
  <c r="AS11" i="35" s="1"/>
  <c r="BC214" i="35"/>
  <c r="BC229" i="35" s="1"/>
  <c r="BY27" i="13"/>
  <c r="AQ22" i="35"/>
  <c r="AQ21" i="35"/>
  <c r="BV20" i="35"/>
  <c r="AQ117" i="35"/>
  <c r="AR127" i="35"/>
  <c r="AQ131" i="35"/>
  <c r="BV127" i="35"/>
  <c r="BV128" i="35" s="1"/>
  <c r="BV138" i="35"/>
  <c r="BV139" i="35" s="1"/>
  <c r="BV141" i="35"/>
  <c r="AS140" i="35"/>
  <c r="AS141" i="35" s="1"/>
  <c r="AT136" i="35"/>
  <c r="AS226" i="35"/>
  <c r="AW57" i="35"/>
  <c r="AV42" i="35"/>
  <c r="AR20" i="35"/>
  <c r="BW261" i="35"/>
  <c r="AT27" i="35"/>
  <c r="AT28" i="35"/>
  <c r="BW26" i="35"/>
  <c r="BW28" i="35" s="1"/>
  <c r="AT10" i="13"/>
  <c r="BD96" i="35"/>
  <c r="BE94" i="35"/>
  <c r="AP111" i="35"/>
  <c r="AP132" i="35"/>
  <c r="AP102" i="35"/>
  <c r="BV131" i="35"/>
  <c r="AX159" i="35"/>
  <c r="AX161" i="35"/>
  <c r="AY157" i="35"/>
  <c r="AZ177" i="35"/>
  <c r="AZ176" i="35"/>
  <c r="AV70" i="35"/>
  <c r="AW66" i="35"/>
  <c r="AO113" i="35"/>
  <c r="AO121" i="35"/>
  <c r="AO122" i="35" s="1"/>
  <c r="AO112" i="35"/>
  <c r="AO12" i="13"/>
  <c r="AU27" i="35"/>
  <c r="AU28" i="35"/>
  <c r="BW263" i="35"/>
  <c r="BW61" i="35"/>
  <c r="BW44" i="35" s="1"/>
  <c r="AT33" i="35"/>
  <c r="AT34" i="35"/>
  <c r="AM256" i="35"/>
  <c r="BU245" i="35"/>
  <c r="AW163" i="35"/>
  <c r="AW162" i="35"/>
  <c r="AW148" i="35"/>
  <c r="AW146" i="35"/>
  <c r="AW180" i="35"/>
  <c r="AW183" i="35"/>
  <c r="BW216" i="35"/>
  <c r="AR141" i="35"/>
  <c r="AU72" i="35"/>
  <c r="AU18" i="35"/>
  <c r="BW18" i="35" s="1"/>
  <c r="AU71" i="35"/>
  <c r="AU11" i="13"/>
  <c r="AU212" i="35" s="1"/>
  <c r="AO202" i="35"/>
  <c r="AO103" i="35"/>
  <c r="AU47" i="35"/>
  <c r="AU52" i="35"/>
  <c r="AV61" i="35"/>
  <c r="AT85" i="35"/>
  <c r="AT82" i="35"/>
  <c r="AT54" i="35"/>
  <c r="AT49" i="35"/>
  <c r="AT43" i="35"/>
  <c r="AN245" i="35"/>
  <c r="AN203" i="35"/>
  <c r="AS33" i="35"/>
  <c r="AS34" i="35"/>
  <c r="AP119" i="35"/>
  <c r="AP118" i="35"/>
  <c r="BV117" i="35"/>
  <c r="BV119" i="35" s="1"/>
  <c r="BW58" i="35"/>
  <c r="BW42" i="35"/>
  <c r="BW47" i="35" s="1"/>
  <c r="BB171" i="35"/>
  <c r="BA175" i="35"/>
  <c r="BA173" i="35"/>
  <c r="AW61" i="35"/>
  <c r="AX59" i="35"/>
  <c r="AR215" i="35"/>
  <c r="AN213" i="35"/>
  <c r="AU81" i="35"/>
  <c r="AV77" i="35"/>
  <c r="AV26" i="35" s="1"/>
  <c r="BW77" i="35"/>
  <c r="BW78" i="35" s="1"/>
  <c r="AO128" i="2"/>
  <c r="AN142" i="2"/>
  <c r="BB132" i="2"/>
  <c r="BA146" i="2"/>
  <c r="BF134" i="2"/>
  <c r="BE148" i="2"/>
  <c r="BC139" i="2"/>
  <c r="BB153" i="2"/>
  <c r="AP130" i="2"/>
  <c r="AO144" i="2"/>
  <c r="AX177" i="2"/>
  <c r="AX91" i="2"/>
  <c r="AZ121" i="2"/>
  <c r="AZ176" i="2" s="1"/>
  <c r="BA106" i="2"/>
  <c r="BG107" i="2"/>
  <c r="BH107" i="2" s="1"/>
  <c r="BE137" i="2"/>
  <c r="BD151" i="2"/>
  <c r="AQ90" i="2"/>
  <c r="BV88" i="2"/>
  <c r="BG109" i="2"/>
  <c r="BH109" i="2" s="1"/>
  <c r="BX176" i="2"/>
  <c r="BX180" i="2" s="1"/>
  <c r="BX123" i="2"/>
  <c r="BX125" i="2" s="1"/>
  <c r="BX88" i="2"/>
  <c r="BX90" i="2" s="1"/>
  <c r="AP131" i="2"/>
  <c r="AO145" i="2"/>
  <c r="AP129" i="2"/>
  <c r="AO143" i="2"/>
  <c r="AM155" i="2"/>
  <c r="BU142" i="2"/>
  <c r="BE108" i="2"/>
  <c r="AY176" i="2"/>
  <c r="AY123" i="2"/>
  <c r="AY125" i="2" s="1"/>
  <c r="AY88" i="2"/>
  <c r="AY90" i="2" s="1"/>
  <c r="BI107" i="2" l="1"/>
  <c r="BI109" i="2"/>
  <c r="CA133" i="2"/>
  <c r="CB133" i="2" s="1"/>
  <c r="CB147" i="2" s="1"/>
  <c r="BK147" i="2"/>
  <c r="CA147" i="2" s="1"/>
  <c r="CA135" i="2"/>
  <c r="CB135" i="2" s="1"/>
  <c r="CB149" i="2" s="1"/>
  <c r="BK149" i="2"/>
  <c r="CA149" i="2" s="1"/>
  <c r="CA136" i="2"/>
  <c r="CB136" i="2" s="1"/>
  <c r="CB150" i="2" s="1"/>
  <c r="BK150" i="2"/>
  <c r="CA150" i="2" s="1"/>
  <c r="BW224" i="35"/>
  <c r="AO213" i="35"/>
  <c r="AO217" i="35" s="1"/>
  <c r="AV216" i="35"/>
  <c r="AV231" i="35" s="1"/>
  <c r="G58" i="3"/>
  <c r="G61" i="3" s="1"/>
  <c r="F64" i="3"/>
  <c r="BM157" i="3"/>
  <c r="BN151" i="3"/>
  <c r="BN154" i="3" s="1"/>
  <c r="BM64" i="3"/>
  <c r="BN58" i="3"/>
  <c r="BN61" i="3" s="1"/>
  <c r="G157" i="3"/>
  <c r="H151" i="3"/>
  <c r="AV27" i="35"/>
  <c r="AV28" i="35"/>
  <c r="BW49" i="35"/>
  <c r="BW43" i="35"/>
  <c r="BW48" i="35" s="1"/>
  <c r="AN228" i="35"/>
  <c r="AN232" i="35" s="1"/>
  <c r="AN217" i="35"/>
  <c r="AY59" i="35"/>
  <c r="BB173" i="35"/>
  <c r="BC171" i="35"/>
  <c r="BB175" i="35"/>
  <c r="AT53" i="35"/>
  <c r="AT48" i="35"/>
  <c r="AT19" i="35"/>
  <c r="AT28" i="13"/>
  <c r="AT10" i="35"/>
  <c r="AT11" i="35" s="1"/>
  <c r="AU227" i="35"/>
  <c r="BW227" i="35" s="1"/>
  <c r="BW212" i="35"/>
  <c r="AW70" i="35"/>
  <c r="AX66" i="35"/>
  <c r="BV132" i="35"/>
  <c r="BV129" i="35"/>
  <c r="BV130" i="35" s="1"/>
  <c r="BD214" i="35"/>
  <c r="BD229" i="35" s="1"/>
  <c r="AU136" i="35"/>
  <c r="AT140" i="35"/>
  <c r="BV22" i="35"/>
  <c r="BV32" i="35"/>
  <c r="AS22" i="35"/>
  <c r="AS21" i="35"/>
  <c r="AU54" i="35"/>
  <c r="AU49" i="35"/>
  <c r="AU43" i="35"/>
  <c r="AW63" i="35"/>
  <c r="AW62" i="35"/>
  <c r="AW44" i="35"/>
  <c r="AW17" i="35"/>
  <c r="AW147" i="35"/>
  <c r="AW29" i="13"/>
  <c r="BW11" i="13"/>
  <c r="AY161" i="35"/>
  <c r="AZ157" i="35"/>
  <c r="AY159" i="35"/>
  <c r="AP202" i="35"/>
  <c r="AP103" i="35"/>
  <c r="BF94" i="35"/>
  <c r="BE96" i="35"/>
  <c r="BE27" i="13"/>
  <c r="AT211" i="35"/>
  <c r="BW10" i="13"/>
  <c r="AQ132" i="35"/>
  <c r="AQ111" i="35"/>
  <c r="AQ102" i="35"/>
  <c r="AU226" i="35"/>
  <c r="AV81" i="35"/>
  <c r="AW77" i="35"/>
  <c r="AW26" i="35" s="1"/>
  <c r="AR230" i="35"/>
  <c r="AV17" i="35"/>
  <c r="AV63" i="35"/>
  <c r="AV62" i="35"/>
  <c r="AV44" i="35"/>
  <c r="AV10" i="13"/>
  <c r="AV211" i="35" s="1"/>
  <c r="BW62" i="35"/>
  <c r="BW59" i="35"/>
  <c r="BW60" i="35" s="1"/>
  <c r="AV71" i="35"/>
  <c r="AV72" i="35"/>
  <c r="AV18" i="35"/>
  <c r="AV11" i="13"/>
  <c r="AX163" i="35"/>
  <c r="AX162" i="35"/>
  <c r="AX148" i="35"/>
  <c r="AX146" i="35"/>
  <c r="AX180" i="35"/>
  <c r="AX183" i="35"/>
  <c r="BX161" i="35"/>
  <c r="BW262" i="35"/>
  <c r="AV52" i="35"/>
  <c r="AV47" i="35"/>
  <c r="AR131" i="35"/>
  <c r="AR117" i="35"/>
  <c r="AS127" i="35"/>
  <c r="AU85" i="35"/>
  <c r="AU82" i="35"/>
  <c r="BW81" i="35"/>
  <c r="BA177" i="35"/>
  <c r="BA176" i="35"/>
  <c r="AN256" i="35"/>
  <c r="AO245" i="35"/>
  <c r="AO203" i="35"/>
  <c r="AM258" i="35"/>
  <c r="BU256" i="35"/>
  <c r="AP121" i="35"/>
  <c r="AP122" i="35" s="1"/>
  <c r="AP113" i="35"/>
  <c r="AP112" i="35"/>
  <c r="AP12" i="13"/>
  <c r="AR21" i="35"/>
  <c r="AR22" i="35"/>
  <c r="AW42" i="35"/>
  <c r="AX57" i="35"/>
  <c r="AX61" i="35" s="1"/>
  <c r="AQ119" i="35"/>
  <c r="AQ118" i="35"/>
  <c r="BY214" i="35"/>
  <c r="BY229" i="35" s="1"/>
  <c r="AU32" i="35"/>
  <c r="BF108" i="2"/>
  <c r="BX177" i="2"/>
  <c r="BX181" i="2" s="1"/>
  <c r="BX91" i="2"/>
  <c r="BZ109" i="2"/>
  <c r="BF137" i="2"/>
  <c r="BE151" i="2"/>
  <c r="AQ130" i="2"/>
  <c r="AP144" i="2"/>
  <c r="BG134" i="2"/>
  <c r="BH134" i="2" s="1"/>
  <c r="BF148" i="2"/>
  <c r="AQ129" i="2"/>
  <c r="AP143" i="2"/>
  <c r="BZ107" i="2"/>
  <c r="AQ177" i="2"/>
  <c r="BV177" i="2" s="1"/>
  <c r="BV90" i="2"/>
  <c r="AQ91" i="2"/>
  <c r="BV91" i="2" s="1"/>
  <c r="BA121" i="2"/>
  <c r="BA176" i="2" s="1"/>
  <c r="BB106" i="2"/>
  <c r="BD139" i="2"/>
  <c r="BY139" i="2"/>
  <c r="BC153" i="2"/>
  <c r="BY153" i="2" s="1"/>
  <c r="BC132" i="2"/>
  <c r="BB146" i="2"/>
  <c r="AN155" i="2"/>
  <c r="AN171" i="2" s="1"/>
  <c r="AY177" i="2"/>
  <c r="AY91" i="2"/>
  <c r="AM171" i="2"/>
  <c r="BU155" i="2"/>
  <c r="AQ131" i="2"/>
  <c r="AP145" i="2"/>
  <c r="AZ123" i="2"/>
  <c r="AZ125" i="2" s="1"/>
  <c r="AZ88" i="2"/>
  <c r="AZ90" i="2" s="1"/>
  <c r="AP128" i="2"/>
  <c r="AO142" i="2"/>
  <c r="AO155" i="2" s="1"/>
  <c r="AO171" i="2" s="1"/>
  <c r="AO173" i="2" s="1"/>
  <c r="AZ91" i="2" l="1"/>
  <c r="AZ177" i="2"/>
  <c r="BI134" i="2"/>
  <c r="BH148" i="2"/>
  <c r="BJ109" i="2"/>
  <c r="BJ107" i="2"/>
  <c r="AO228" i="35"/>
  <c r="AO232" i="35" s="1"/>
  <c r="AO234" i="35"/>
  <c r="AW216" i="35"/>
  <c r="AW231" i="35" s="1"/>
  <c r="BV181" i="2"/>
  <c r="BN64" i="3"/>
  <c r="BO58" i="3"/>
  <c r="BO61" i="3" s="1"/>
  <c r="BO151" i="3"/>
  <c r="BO154" i="3" s="1"/>
  <c r="BN157" i="3"/>
  <c r="I151" i="3"/>
  <c r="I154" i="3" s="1"/>
  <c r="I157" i="3" s="1"/>
  <c r="J151" i="3"/>
  <c r="J154" i="3" s="1"/>
  <c r="J157" i="3" s="1"/>
  <c r="K151" i="3"/>
  <c r="K154" i="3" s="1"/>
  <c r="H154" i="3"/>
  <c r="H157" i="3" s="1"/>
  <c r="G64" i="3"/>
  <c r="H58" i="3"/>
  <c r="H61" i="3" s="1"/>
  <c r="AX63" i="35"/>
  <c r="AX62" i="35"/>
  <c r="AX17" i="35"/>
  <c r="AU34" i="35"/>
  <c r="AU33" i="35"/>
  <c r="AW52" i="35"/>
  <c r="AW47" i="35"/>
  <c r="AP213" i="35"/>
  <c r="AO256" i="35"/>
  <c r="AO258" i="35" s="1"/>
  <c r="AO250" i="35" s="1"/>
  <c r="AO252" i="35" s="1"/>
  <c r="AO253" i="35" s="1"/>
  <c r="BW85" i="35"/>
  <c r="BW79" i="35"/>
  <c r="BW80" i="35" s="1"/>
  <c r="BW82" i="35"/>
  <c r="AT127" i="35"/>
  <c r="AS131" i="35"/>
  <c r="AS117" i="35"/>
  <c r="AV54" i="35"/>
  <c r="AV49" i="35"/>
  <c r="AV43" i="35"/>
  <c r="AV82" i="35"/>
  <c r="AV85" i="35"/>
  <c r="AQ202" i="35"/>
  <c r="BV202" i="35" s="1"/>
  <c r="AQ103" i="35"/>
  <c r="AT226" i="35"/>
  <c r="BW211" i="35"/>
  <c r="BV102" i="35"/>
  <c r="BV103" i="35" s="1"/>
  <c r="AZ161" i="35"/>
  <c r="BA157" i="35"/>
  <c r="AZ159" i="35"/>
  <c r="AU48" i="35"/>
  <c r="AU53" i="35"/>
  <c r="AV136" i="35"/>
  <c r="AU140" i="35"/>
  <c r="AU141" i="35" s="1"/>
  <c r="BW136" i="35"/>
  <c r="BW137" i="35" s="1"/>
  <c r="AZ59" i="35"/>
  <c r="AR118" i="35"/>
  <c r="AR119" i="35"/>
  <c r="AX147" i="35"/>
  <c r="AX29" i="13"/>
  <c r="AV212" i="35"/>
  <c r="AV227" i="35" s="1"/>
  <c r="AV226" i="35"/>
  <c r="AQ112" i="35"/>
  <c r="AQ113" i="35"/>
  <c r="AQ121" i="35"/>
  <c r="AQ122" i="35" s="1"/>
  <c r="AQ12" i="13"/>
  <c r="BV111" i="35"/>
  <c r="BE214" i="35"/>
  <c r="BE229" i="35" s="1"/>
  <c r="AY162" i="35"/>
  <c r="AY148" i="35"/>
  <c r="AY146" i="35"/>
  <c r="AY163" i="35"/>
  <c r="AY183" i="35"/>
  <c r="AY180" i="35"/>
  <c r="AW43" i="35"/>
  <c r="AW54" i="35"/>
  <c r="AW49" i="35"/>
  <c r="AT215" i="35"/>
  <c r="BB176" i="35"/>
  <c r="BB177" i="35"/>
  <c r="AY57" i="35"/>
  <c r="AY61" i="35" s="1"/>
  <c r="AX42" i="35"/>
  <c r="BX57" i="35"/>
  <c r="AM250" i="35"/>
  <c r="BU258" i="35"/>
  <c r="BU257" i="35" s="1"/>
  <c r="AN258" i="35"/>
  <c r="AU28" i="13"/>
  <c r="AU215" i="35" s="1"/>
  <c r="AU230" i="35" s="1"/>
  <c r="AU19" i="35"/>
  <c r="AU20" i="35" s="1"/>
  <c r="AU10" i="35"/>
  <c r="AU11" i="35" s="1"/>
  <c r="BX163" i="35"/>
  <c r="BX148" i="35"/>
  <c r="BX146" i="35"/>
  <c r="BX157" i="35"/>
  <c r="BX159" i="35" s="1"/>
  <c r="BX183" i="35"/>
  <c r="BW10" i="35"/>
  <c r="AP245" i="35"/>
  <c r="AP203" i="35"/>
  <c r="AY66" i="35"/>
  <c r="AX70" i="35"/>
  <c r="AT20" i="35"/>
  <c r="BC173" i="35"/>
  <c r="BD171" i="35"/>
  <c r="BC175" i="35"/>
  <c r="AW28" i="35"/>
  <c r="AW27" i="35"/>
  <c r="AR102" i="35"/>
  <c r="AR132" i="35"/>
  <c r="AR111" i="35"/>
  <c r="AV32" i="35"/>
  <c r="AW81" i="35"/>
  <c r="AX77" i="35"/>
  <c r="BG94" i="35"/>
  <c r="BH94" i="35" s="1"/>
  <c r="BF96" i="35"/>
  <c r="BF27" i="13"/>
  <c r="AW10" i="13"/>
  <c r="AW211" i="35" s="1"/>
  <c r="AT141" i="35"/>
  <c r="AW72" i="35"/>
  <c r="AW71" i="35"/>
  <c r="AW18" i="35"/>
  <c r="AW11" i="13"/>
  <c r="AW212" i="35" s="1"/>
  <c r="AW227" i="35" s="1"/>
  <c r="BW220" i="35"/>
  <c r="AN234" i="35"/>
  <c r="AM173" i="2"/>
  <c r="BU173" i="2" s="1"/>
  <c r="BU171" i="2"/>
  <c r="BG108" i="2"/>
  <c r="BH108" i="2" s="1"/>
  <c r="BE139" i="2"/>
  <c r="BD153" i="2"/>
  <c r="BV129" i="2"/>
  <c r="AR129" i="2"/>
  <c r="AQ143" i="2"/>
  <c r="BV143" i="2" s="1"/>
  <c r="BV130" i="2"/>
  <c r="AR130" i="2"/>
  <c r="AQ144" i="2"/>
  <c r="BV144" i="2" s="1"/>
  <c r="AQ128" i="2"/>
  <c r="AP142" i="2"/>
  <c r="AP155" i="2" s="1"/>
  <c r="AP171" i="2" s="1"/>
  <c r="AP173" i="2" s="1"/>
  <c r="BV131" i="2"/>
  <c r="AR131" i="2"/>
  <c r="AQ145" i="2"/>
  <c r="BV145" i="2" s="1"/>
  <c r="BY132" i="2"/>
  <c r="BD132" i="2"/>
  <c r="BC146" i="2"/>
  <c r="BY146" i="2" s="1"/>
  <c r="BB121" i="2"/>
  <c r="BB176" i="2" s="1"/>
  <c r="BC106" i="2"/>
  <c r="AN173" i="2"/>
  <c r="BA123" i="2"/>
  <c r="BA125" i="2" s="1"/>
  <c r="BA88" i="2"/>
  <c r="BA90" i="2" s="1"/>
  <c r="BZ134" i="2"/>
  <c r="BG148" i="2"/>
  <c r="BZ148" i="2" s="1"/>
  <c r="BG137" i="2"/>
  <c r="BH137" i="2" s="1"/>
  <c r="BF151" i="2"/>
  <c r="BH96" i="35" l="1"/>
  <c r="BH27" i="13"/>
  <c r="BI94" i="35"/>
  <c r="BA91" i="2"/>
  <c r="BA177" i="2"/>
  <c r="BI137" i="2"/>
  <c r="BH151" i="2"/>
  <c r="BI108" i="2"/>
  <c r="BK107" i="2"/>
  <c r="BK109" i="2"/>
  <c r="BJ134" i="2"/>
  <c r="BI148" i="2"/>
  <c r="BW19" i="35"/>
  <c r="BW140" i="35"/>
  <c r="BW141" i="35" s="1"/>
  <c r="BW12" i="35"/>
  <c r="AQ213" i="35"/>
  <c r="AQ228" i="35" s="1"/>
  <c r="AQ232" i="35" s="1"/>
  <c r="BW28" i="13"/>
  <c r="BU182" i="2"/>
  <c r="L151" i="3"/>
  <c r="K157" i="3"/>
  <c r="BP151" i="3"/>
  <c r="BP154" i="3" s="1"/>
  <c r="BO157" i="3"/>
  <c r="H64" i="3"/>
  <c r="I58" i="3"/>
  <c r="I61" i="3" s="1"/>
  <c r="BO64" i="3"/>
  <c r="BP58" i="3"/>
  <c r="BP61" i="3" s="1"/>
  <c r="AY63" i="35"/>
  <c r="AY17" i="35"/>
  <c r="AY62" i="35"/>
  <c r="AY10" i="13"/>
  <c r="BX61" i="35"/>
  <c r="BW138" i="35"/>
  <c r="BW139" i="35" s="1"/>
  <c r="BF214" i="35"/>
  <c r="BF229" i="35" s="1"/>
  <c r="AY77" i="35"/>
  <c r="AX81" i="35"/>
  <c r="BX77" i="35"/>
  <c r="BX78" i="35" s="1"/>
  <c r="AR112" i="35"/>
  <c r="AR113" i="35"/>
  <c r="AR121" i="35"/>
  <c r="AR12" i="13"/>
  <c r="BD175" i="35"/>
  <c r="BH177" i="35" s="1"/>
  <c r="BE171" i="35"/>
  <c r="BD173" i="35"/>
  <c r="AX71" i="35"/>
  <c r="AX72" i="35"/>
  <c r="AX18" i="35"/>
  <c r="AX11" i="13"/>
  <c r="AP256" i="35"/>
  <c r="AN250" i="35"/>
  <c r="BX58" i="35"/>
  <c r="AQ245" i="35"/>
  <c r="AQ203" i="35"/>
  <c r="AV53" i="35"/>
  <c r="AV48" i="35"/>
  <c r="AS132" i="35"/>
  <c r="AS111" i="35"/>
  <c r="AS102" i="35"/>
  <c r="AP228" i="35"/>
  <c r="AP232" i="35" s="1"/>
  <c r="AP217" i="35"/>
  <c r="AX44" i="35"/>
  <c r="AW85" i="35"/>
  <c r="AW82" i="35"/>
  <c r="AW32" i="35"/>
  <c r="AZ66" i="35"/>
  <c r="AY70" i="35"/>
  <c r="BX66" i="35"/>
  <c r="BX67" i="35" s="1"/>
  <c r="BX147" i="35"/>
  <c r="BX29" i="13"/>
  <c r="AX26" i="35"/>
  <c r="AT230" i="35"/>
  <c r="BW230" i="35" s="1"/>
  <c r="BW215" i="35"/>
  <c r="AW53" i="35"/>
  <c r="AW48" i="35"/>
  <c r="AY147" i="35"/>
  <c r="AY29" i="13"/>
  <c r="AV140" i="35"/>
  <c r="AW136" i="35"/>
  <c r="BA161" i="35"/>
  <c r="BB157" i="35"/>
  <c r="BA159" i="35"/>
  <c r="AV19" i="35"/>
  <c r="AV20" i="35" s="1"/>
  <c r="AV28" i="13"/>
  <c r="AV215" i="35" s="1"/>
  <c r="AV230" i="35" s="1"/>
  <c r="AV10" i="35"/>
  <c r="AV11" i="35" s="1"/>
  <c r="AT131" i="35"/>
  <c r="AU127" i="35"/>
  <c r="AT117" i="35"/>
  <c r="AX32" i="35"/>
  <c r="AW226" i="35"/>
  <c r="BG96" i="35"/>
  <c r="BG27" i="13"/>
  <c r="BZ94" i="35"/>
  <c r="BZ95" i="35" s="1"/>
  <c r="AR202" i="35"/>
  <c r="AR103" i="35"/>
  <c r="AU22" i="35"/>
  <c r="AU21" i="35"/>
  <c r="AX47" i="35"/>
  <c r="AX52" i="35"/>
  <c r="BZ27" i="13"/>
  <c r="BV121" i="35"/>
  <c r="BV123" i="35" s="1"/>
  <c r="BV113" i="35"/>
  <c r="BA59" i="35"/>
  <c r="AZ163" i="35"/>
  <c r="AZ162" i="35"/>
  <c r="AZ146" i="35"/>
  <c r="AZ148" i="35"/>
  <c r="AZ183" i="35"/>
  <c r="AZ180" i="35"/>
  <c r="BW226" i="35"/>
  <c r="AV33" i="35"/>
  <c r="AV34" i="35"/>
  <c r="BC176" i="35"/>
  <c r="BC177" i="35"/>
  <c r="BY175" i="35"/>
  <c r="AT21" i="35"/>
  <c r="AT22" i="35"/>
  <c r="BW20" i="35"/>
  <c r="BU250" i="35"/>
  <c r="AM252" i="35"/>
  <c r="AY42" i="35"/>
  <c r="AY26" i="35"/>
  <c r="AZ57" i="35"/>
  <c r="AS118" i="35"/>
  <c r="AS119" i="35"/>
  <c r="BV12" i="13"/>
  <c r="AX10" i="13"/>
  <c r="AR128" i="2"/>
  <c r="BV128" i="2"/>
  <c r="AQ142" i="2"/>
  <c r="BZ108" i="2"/>
  <c r="AR145" i="2"/>
  <c r="AS131" i="2"/>
  <c r="BC121" i="2"/>
  <c r="BC176" i="2" s="1"/>
  <c r="BY106" i="2"/>
  <c r="BY121" i="2" s="1"/>
  <c r="BD106" i="2"/>
  <c r="BE132" i="2"/>
  <c r="BD146" i="2"/>
  <c r="AR143" i="2"/>
  <c r="AS129" i="2"/>
  <c r="BF139" i="2"/>
  <c r="BE153" i="2"/>
  <c r="BZ137" i="2"/>
  <c r="BG151" i="2"/>
  <c r="BZ151" i="2" s="1"/>
  <c r="BB123" i="2"/>
  <c r="AR144" i="2"/>
  <c r="AS130" i="2"/>
  <c r="BI27" i="13" l="1"/>
  <c r="BI214" i="35" s="1"/>
  <c r="BI229" i="35" s="1"/>
  <c r="BJ94" i="35"/>
  <c r="BI96" i="35"/>
  <c r="BH214" i="35"/>
  <c r="BH229" i="35" s="1"/>
  <c r="BK134" i="2"/>
  <c r="BJ148" i="2"/>
  <c r="BJ137" i="2"/>
  <c r="BI151" i="2"/>
  <c r="CA109" i="2"/>
  <c r="CB109" i="2" s="1"/>
  <c r="CA107" i="2"/>
  <c r="CB107" i="2" s="1"/>
  <c r="BJ108" i="2"/>
  <c r="AQ217" i="35"/>
  <c r="AQ234" i="35" s="1"/>
  <c r="BB125" i="2"/>
  <c r="BP157" i="3"/>
  <c r="BQ151" i="3"/>
  <c r="BQ154" i="3" s="1"/>
  <c r="N151" i="3"/>
  <c r="N154" i="3" s="1"/>
  <c r="N157" i="3" s="1"/>
  <c r="M151" i="3"/>
  <c r="M154" i="3" s="1"/>
  <c r="M157" i="3" s="1"/>
  <c r="O151" i="3"/>
  <c r="O154" i="3" s="1"/>
  <c r="L154" i="3"/>
  <c r="L157" i="3" s="1"/>
  <c r="BP64" i="3"/>
  <c r="BQ58" i="3"/>
  <c r="BQ61" i="3" s="1"/>
  <c r="I64" i="3"/>
  <c r="J58" i="3"/>
  <c r="J61" i="3" s="1"/>
  <c r="AM253" i="35"/>
  <c r="BU252" i="35"/>
  <c r="BU253" i="35" s="1"/>
  <c r="BB59" i="35"/>
  <c r="BZ214" i="35"/>
  <c r="BZ229" i="35" s="1"/>
  <c r="AT111" i="35"/>
  <c r="AT132" i="35"/>
  <c r="AT102" i="35"/>
  <c r="AX28" i="35"/>
  <c r="AX27" i="35"/>
  <c r="AY72" i="35"/>
  <c r="AY71" i="35"/>
  <c r="AY18" i="35"/>
  <c r="AY11" i="13"/>
  <c r="BX11" i="13" s="1"/>
  <c r="AW19" i="35"/>
  <c r="AW20" i="35" s="1"/>
  <c r="AW28" i="13"/>
  <c r="AW10" i="35"/>
  <c r="AW11" i="35" s="1"/>
  <c r="AS202" i="35"/>
  <c r="AS103" i="35"/>
  <c r="AR123" i="35"/>
  <c r="AR122" i="35"/>
  <c r="BX17" i="35"/>
  <c r="BX62" i="35"/>
  <c r="BX59" i="35"/>
  <c r="BX60" i="35" s="1"/>
  <c r="AZ42" i="35"/>
  <c r="BA57" i="35"/>
  <c r="BA61" i="35" s="1"/>
  <c r="BY177" i="35"/>
  <c r="BY171" i="35"/>
  <c r="BY173" i="35" s="1"/>
  <c r="BG214" i="35"/>
  <c r="BG229" i="35" s="1"/>
  <c r="AX33" i="35"/>
  <c r="AX34" i="35"/>
  <c r="BB159" i="35"/>
  <c r="BB161" i="35"/>
  <c r="BC157" i="35"/>
  <c r="AV141" i="35"/>
  <c r="BX216" i="35"/>
  <c r="BX231" i="35" s="1"/>
  <c r="AZ70" i="35"/>
  <c r="BA66" i="35"/>
  <c r="AX43" i="35"/>
  <c r="AX54" i="35"/>
  <c r="AX49" i="35"/>
  <c r="AS121" i="35"/>
  <c r="AS112" i="35"/>
  <c r="AS113" i="35"/>
  <c r="AS12" i="13"/>
  <c r="BF171" i="35"/>
  <c r="BE175" i="35"/>
  <c r="BI177" i="35" s="1"/>
  <c r="BE173" i="35"/>
  <c r="AX85" i="35"/>
  <c r="AX82" i="35"/>
  <c r="BX10" i="13"/>
  <c r="AY27" i="35"/>
  <c r="AY28" i="35"/>
  <c r="BW22" i="35"/>
  <c r="BW32" i="35"/>
  <c r="BW219" i="35"/>
  <c r="AT119" i="35"/>
  <c r="AT118" i="35"/>
  <c r="BA163" i="35"/>
  <c r="BA162" i="35"/>
  <c r="BA148" i="35"/>
  <c r="BA146" i="35"/>
  <c r="BA183" i="35"/>
  <c r="BA180" i="35"/>
  <c r="AW34" i="35"/>
  <c r="AW33" i="35"/>
  <c r="AQ256" i="35"/>
  <c r="AQ258" i="35" s="1"/>
  <c r="AQ250" i="35" s="1"/>
  <c r="AQ252" i="35" s="1"/>
  <c r="AQ253" i="35" s="1"/>
  <c r="BV245" i="35"/>
  <c r="BX42" i="35"/>
  <c r="AP258" i="35"/>
  <c r="BV256" i="35"/>
  <c r="BD177" i="35"/>
  <c r="BD176" i="35"/>
  <c r="AY81" i="35"/>
  <c r="AY32" i="35" s="1"/>
  <c r="AZ77" i="35"/>
  <c r="AZ26" i="35" s="1"/>
  <c r="AY47" i="35"/>
  <c r="AY52" i="35"/>
  <c r="AZ147" i="35"/>
  <c r="AZ29" i="13"/>
  <c r="AZ61" i="35"/>
  <c r="AR245" i="35"/>
  <c r="AR203" i="35"/>
  <c r="AU117" i="35"/>
  <c r="AU131" i="35"/>
  <c r="BW131" i="35" s="1"/>
  <c r="AV127" i="35"/>
  <c r="BW127" i="35"/>
  <c r="BW128" i="35" s="1"/>
  <c r="AV21" i="35"/>
  <c r="AV22" i="35"/>
  <c r="AX136" i="35"/>
  <c r="AW140" i="35"/>
  <c r="AW141" i="35" s="1"/>
  <c r="BW223" i="35"/>
  <c r="AP234" i="35"/>
  <c r="AN252" i="35"/>
  <c r="BX70" i="35"/>
  <c r="AR213" i="35"/>
  <c r="AY44" i="35"/>
  <c r="BC123" i="2"/>
  <c r="BC88" i="2"/>
  <c r="AQ155" i="2"/>
  <c r="AQ171" i="2" s="1"/>
  <c r="BV142" i="2"/>
  <c r="BV155" i="2" s="1"/>
  <c r="BG139" i="2"/>
  <c r="BH139" i="2" s="1"/>
  <c r="BF153" i="2"/>
  <c r="BF132" i="2"/>
  <c r="BE146" i="2"/>
  <c r="AT130" i="2"/>
  <c r="AS144" i="2"/>
  <c r="AS143" i="2"/>
  <c r="AT129" i="2"/>
  <c r="BD121" i="2"/>
  <c r="BE106" i="2"/>
  <c r="AS128" i="2"/>
  <c r="AR142" i="2"/>
  <c r="BY176" i="2"/>
  <c r="BY123" i="2"/>
  <c r="BY125" i="2" s="1"/>
  <c r="BY88" i="2"/>
  <c r="AT131" i="2"/>
  <c r="AS145" i="2"/>
  <c r="BJ27" i="13" l="1"/>
  <c r="BK94" i="35"/>
  <c r="BJ96" i="35"/>
  <c r="CA94" i="35"/>
  <c r="CA95" i="35" s="1"/>
  <c r="BI139" i="2"/>
  <c r="BH153" i="2"/>
  <c r="BK137" i="2"/>
  <c r="BJ151" i="2"/>
  <c r="CA134" i="2"/>
  <c r="CB134" i="2" s="1"/>
  <c r="CB148" i="2" s="1"/>
  <c r="BK148" i="2"/>
  <c r="CA148" i="2" s="1"/>
  <c r="BK108" i="2"/>
  <c r="AS213" i="35"/>
  <c r="AS217" i="35" s="1"/>
  <c r="BC125" i="2"/>
  <c r="P151" i="3"/>
  <c r="O157" i="3"/>
  <c r="J64" i="3"/>
  <c r="K58" i="3"/>
  <c r="K61" i="3" s="1"/>
  <c r="BQ64" i="3"/>
  <c r="BR58" i="3"/>
  <c r="BR61" i="3" s="1"/>
  <c r="BQ157" i="3"/>
  <c r="BR151" i="3"/>
  <c r="BR154" i="3" s="1"/>
  <c r="AZ27" i="35"/>
  <c r="AZ28" i="35"/>
  <c r="BA63" i="35"/>
  <c r="BA62" i="35"/>
  <c r="BA17" i="35"/>
  <c r="BW132" i="35"/>
  <c r="BW129" i="35"/>
  <c r="BW130" i="35" s="1"/>
  <c r="AY54" i="35"/>
  <c r="AY49" i="35"/>
  <c r="AY43" i="35"/>
  <c r="BX71" i="35"/>
  <c r="BX18" i="35"/>
  <c r="BX44" i="35"/>
  <c r="BX68" i="35"/>
  <c r="BX69" i="35" s="1"/>
  <c r="AU119" i="35"/>
  <c r="AU118" i="35"/>
  <c r="AZ17" i="35"/>
  <c r="AZ44" i="35"/>
  <c r="AZ62" i="35"/>
  <c r="AZ63" i="35"/>
  <c r="AZ10" i="13"/>
  <c r="BX211" i="35"/>
  <c r="BE177" i="35"/>
  <c r="BE176" i="35"/>
  <c r="AX53" i="35"/>
  <c r="AX48" i="35"/>
  <c r="BC159" i="35"/>
  <c r="BD157" i="35"/>
  <c r="BC161" i="35"/>
  <c r="BY161" i="35" s="1"/>
  <c r="AW215" i="35"/>
  <c r="AW230" i="35" s="1"/>
  <c r="BC59" i="35"/>
  <c r="AN253" i="35"/>
  <c r="BF173" i="35"/>
  <c r="BG171" i="35"/>
  <c r="BF175" i="35"/>
  <c r="BJ177" i="35" s="1"/>
  <c r="AS123" i="35"/>
  <c r="AS122" i="35"/>
  <c r="BA70" i="35"/>
  <c r="BB66" i="35"/>
  <c r="BB162" i="35"/>
  <c r="BB148" i="35"/>
  <c r="BB163" i="35"/>
  <c r="BB146" i="35"/>
  <c r="BB29" i="13" s="1"/>
  <c r="BB183" i="35"/>
  <c r="BB180" i="35"/>
  <c r="AZ52" i="35"/>
  <c r="AZ47" i="35"/>
  <c r="AW22" i="35"/>
  <c r="AW21" i="35"/>
  <c r="AT202" i="35"/>
  <c r="AT103" i="35"/>
  <c r="AR228" i="35"/>
  <c r="AR217" i="35"/>
  <c r="AX140" i="35"/>
  <c r="AX141" i="35" s="1"/>
  <c r="AY136" i="35"/>
  <c r="BX136" i="35" s="1"/>
  <c r="BX137" i="35" s="1"/>
  <c r="AV131" i="35"/>
  <c r="AW127" i="35"/>
  <c r="AV117" i="35"/>
  <c r="BA77" i="35"/>
  <c r="AZ81" i="35"/>
  <c r="AP250" i="35"/>
  <c r="BV258" i="35"/>
  <c r="BV257" i="35" s="1"/>
  <c r="AX19" i="35"/>
  <c r="AX20" i="35" s="1"/>
  <c r="AX28" i="13"/>
  <c r="AX10" i="35"/>
  <c r="AX11" i="35" s="1"/>
  <c r="AS228" i="35"/>
  <c r="AS232" i="35" s="1"/>
  <c r="AS245" i="35"/>
  <c r="AS203" i="35"/>
  <c r="BX212" i="35"/>
  <c r="BX227" i="35" s="1"/>
  <c r="AY34" i="35"/>
  <c r="AY33" i="35"/>
  <c r="AU132" i="35"/>
  <c r="AU102" i="35"/>
  <c r="AU111" i="35"/>
  <c r="AR256" i="35"/>
  <c r="AY85" i="35"/>
  <c r="AY82" i="35"/>
  <c r="BX81" i="35"/>
  <c r="BX47" i="35"/>
  <c r="BX26" i="35"/>
  <c r="BX28" i="35" s="1"/>
  <c r="BA147" i="35"/>
  <c r="BA29" i="13"/>
  <c r="BW117" i="35"/>
  <c r="BW119" i="35" s="1"/>
  <c r="AZ72" i="35"/>
  <c r="AZ71" i="35"/>
  <c r="AZ18" i="35"/>
  <c r="AZ11" i="13"/>
  <c r="BA42" i="35"/>
  <c r="BA26" i="35"/>
  <c r="BB57" i="35"/>
  <c r="AT113" i="35"/>
  <c r="AT112" i="35"/>
  <c r="AT121" i="35"/>
  <c r="AT12" i="13"/>
  <c r="AR155" i="2"/>
  <c r="AR171" i="2" s="1"/>
  <c r="AR173" i="2" s="1"/>
  <c r="BD123" i="2"/>
  <c r="BD88" i="2"/>
  <c r="AU130" i="2"/>
  <c r="AT144" i="2"/>
  <c r="AU131" i="2"/>
  <c r="AT145" i="2"/>
  <c r="AT128" i="2"/>
  <c r="AS142" i="2"/>
  <c r="AS155" i="2" s="1"/>
  <c r="AS171" i="2" s="1"/>
  <c r="AS173" i="2" s="1"/>
  <c r="AU129" i="2"/>
  <c r="AT143" i="2"/>
  <c r="BZ139" i="2"/>
  <c r="BG153" i="2"/>
  <c r="BZ153" i="2" s="1"/>
  <c r="BE121" i="2"/>
  <c r="BF106" i="2"/>
  <c r="BG132" i="2"/>
  <c r="BH132" i="2" s="1"/>
  <c r="BF146" i="2"/>
  <c r="AQ173" i="2"/>
  <c r="BV173" i="2" s="1"/>
  <c r="BV171" i="2"/>
  <c r="BK96" i="35" l="1"/>
  <c r="BK27" i="13"/>
  <c r="BK214" i="35" s="1"/>
  <c r="BK229" i="35" s="1"/>
  <c r="BJ214" i="35"/>
  <c r="BJ229" i="35" s="1"/>
  <c r="CA27" i="13"/>
  <c r="CA214" i="35" s="1"/>
  <c r="CA229" i="35" s="1"/>
  <c r="BY46" i="3"/>
  <c r="BI132" i="2"/>
  <c r="BH146" i="2"/>
  <c r="CA108" i="2"/>
  <c r="CB108" i="2" s="1"/>
  <c r="CA137" i="2"/>
  <c r="CB137" i="2" s="1"/>
  <c r="CB151" i="2" s="1"/>
  <c r="BK151" i="2"/>
  <c r="CA151" i="2" s="1"/>
  <c r="BJ139" i="2"/>
  <c r="BI153" i="2"/>
  <c r="AS234" i="35"/>
  <c r="BA216" i="35"/>
  <c r="BA231" i="35" s="1"/>
  <c r="BV182" i="2"/>
  <c r="BD125" i="2"/>
  <c r="BD46" i="3"/>
  <c r="BY139" i="3"/>
  <c r="BY147" i="3" s="1"/>
  <c r="BY54" i="3"/>
  <c r="BR157" i="3"/>
  <c r="BS151" i="3"/>
  <c r="BS154" i="3" s="1"/>
  <c r="BS58" i="3"/>
  <c r="BS61" i="3" s="1"/>
  <c r="BR64" i="3"/>
  <c r="K64" i="3"/>
  <c r="L58" i="3"/>
  <c r="L61" i="3" s="1"/>
  <c r="R151" i="3"/>
  <c r="R154" i="3" s="1"/>
  <c r="R157" i="3" s="1"/>
  <c r="Q151" i="3"/>
  <c r="Q154" i="3" s="1"/>
  <c r="Q157" i="3" s="1"/>
  <c r="S151" i="3"/>
  <c r="S154" i="3" s="1"/>
  <c r="P154" i="3"/>
  <c r="P157" i="3" s="1"/>
  <c r="AT213" i="35"/>
  <c r="BC57" i="35"/>
  <c r="BY57" i="35" s="1"/>
  <c r="BB42" i="35"/>
  <c r="AU202" i="35"/>
  <c r="AU103" i="35"/>
  <c r="AV102" i="35"/>
  <c r="AV132" i="35"/>
  <c r="AV111" i="35"/>
  <c r="BW102" i="35"/>
  <c r="BY163" i="35"/>
  <c r="BY157" i="35"/>
  <c r="BY159" i="35" s="1"/>
  <c r="BY148" i="35"/>
  <c r="BY146" i="35"/>
  <c r="BY183" i="35"/>
  <c r="BA72" i="35"/>
  <c r="BA71" i="35"/>
  <c r="BA18" i="35"/>
  <c r="BA11" i="13"/>
  <c r="BG175" i="35"/>
  <c r="BG173" i="35"/>
  <c r="BX43" i="35"/>
  <c r="BX48" i="35" s="1"/>
  <c r="BX49" i="35"/>
  <c r="AT123" i="35"/>
  <c r="AT122" i="35"/>
  <c r="BA28" i="35"/>
  <c r="BA27" i="35"/>
  <c r="BX79" i="35"/>
  <c r="BX80" i="35" s="1"/>
  <c r="BX85" i="35"/>
  <c r="BX19" i="35" s="1"/>
  <c r="BX20" i="35" s="1"/>
  <c r="BX82" i="35"/>
  <c r="AP252" i="35"/>
  <c r="BV250" i="35"/>
  <c r="AR232" i="35"/>
  <c r="AR234" i="35" s="1"/>
  <c r="BX10" i="35"/>
  <c r="BD59" i="35"/>
  <c r="BC162" i="35"/>
  <c r="BC148" i="35"/>
  <c r="BC146" i="35"/>
  <c r="BC29" i="13" s="1"/>
  <c r="BC163" i="35"/>
  <c r="BC183" i="35"/>
  <c r="BC180" i="35"/>
  <c r="BA10" i="13"/>
  <c r="BA52" i="35"/>
  <c r="BA47" i="35"/>
  <c r="AR258" i="35"/>
  <c r="AZ82" i="35"/>
  <c r="AZ85" i="35"/>
  <c r="AV119" i="35"/>
  <c r="AV118" i="35"/>
  <c r="AZ136" i="35"/>
  <c r="AY140" i="35"/>
  <c r="AT245" i="35"/>
  <c r="AT203" i="35"/>
  <c r="BW202" i="35"/>
  <c r="BB61" i="35"/>
  <c r="BD161" i="35"/>
  <c r="BH163" i="35" s="1"/>
  <c r="BD159" i="35"/>
  <c r="BE157" i="35"/>
  <c r="AZ32" i="35"/>
  <c r="AY28" i="13"/>
  <c r="BX28" i="13" s="1"/>
  <c r="AY19" i="35"/>
  <c r="AY20" i="35" s="1"/>
  <c r="AY10" i="35"/>
  <c r="AY11" i="35" s="1"/>
  <c r="AU121" i="35"/>
  <c r="AU113" i="35"/>
  <c r="AU112" i="35"/>
  <c r="AU12" i="13"/>
  <c r="BW111" i="35"/>
  <c r="AS256" i="35"/>
  <c r="AS258" i="35" s="1"/>
  <c r="AS250" i="35" s="1"/>
  <c r="AS252" i="35" s="1"/>
  <c r="AS253" i="35" s="1"/>
  <c r="AX22" i="35"/>
  <c r="AX21" i="35"/>
  <c r="BA81" i="35"/>
  <c r="BA32" i="35" s="1"/>
  <c r="BB77" i="35"/>
  <c r="AX127" i="35"/>
  <c r="AW117" i="35"/>
  <c r="AW131" i="35"/>
  <c r="BB147" i="35"/>
  <c r="BB70" i="35"/>
  <c r="BB11" i="13" s="1"/>
  <c r="BC66" i="35"/>
  <c r="BF176" i="35"/>
  <c r="BF177" i="35"/>
  <c r="BX226" i="35"/>
  <c r="AZ54" i="35"/>
  <c r="AZ49" i="35"/>
  <c r="AZ43" i="35"/>
  <c r="AY48" i="35"/>
  <c r="AY53" i="35"/>
  <c r="BA44" i="35"/>
  <c r="BF121" i="2"/>
  <c r="BG106" i="2"/>
  <c r="BH106" i="2" s="1"/>
  <c r="BW129" i="2"/>
  <c r="AV129" i="2"/>
  <c r="AU143" i="2"/>
  <c r="BW143" i="2" s="1"/>
  <c r="AV131" i="2"/>
  <c r="BW131" i="2"/>
  <c r="AU145" i="2"/>
  <c r="BW145" i="2" s="1"/>
  <c r="BE123" i="2"/>
  <c r="BE88" i="2"/>
  <c r="AU128" i="2"/>
  <c r="AT142" i="2"/>
  <c r="AT155" i="2" s="1"/>
  <c r="AT171" i="2" s="1"/>
  <c r="AT173" i="2" s="1"/>
  <c r="BW130" i="2"/>
  <c r="AV130" i="2"/>
  <c r="AU144" i="2"/>
  <c r="BW144" i="2" s="1"/>
  <c r="BZ132" i="2"/>
  <c r="BG146" i="2"/>
  <c r="BZ146" i="2" s="1"/>
  <c r="BH176" i="35" l="1"/>
  <c r="BK177" i="35"/>
  <c r="BZ175" i="35"/>
  <c r="CA177" i="35" s="1"/>
  <c r="BA212" i="35"/>
  <c r="BA227" i="35" s="1"/>
  <c r="BA211" i="35"/>
  <c r="BC61" i="35"/>
  <c r="BC62" i="35" s="1"/>
  <c r="BI106" i="2"/>
  <c r="BH121" i="2"/>
  <c r="BK139" i="2"/>
  <c r="BJ153" i="2"/>
  <c r="BJ132" i="2"/>
  <c r="BI146" i="2"/>
  <c r="BX12" i="35"/>
  <c r="BW103" i="35"/>
  <c r="BB216" i="35"/>
  <c r="BB231" i="35" s="1"/>
  <c r="AU213" i="35"/>
  <c r="AU228" i="35" s="1"/>
  <c r="AU232" i="35" s="1"/>
  <c r="BE125" i="2"/>
  <c r="BE46" i="3"/>
  <c r="BE54" i="3" s="1"/>
  <c r="BD139" i="3"/>
  <c r="BD54" i="3"/>
  <c r="T151" i="3"/>
  <c r="S157" i="3"/>
  <c r="BT58" i="3"/>
  <c r="BT61" i="3" s="1"/>
  <c r="BS64" i="3"/>
  <c r="L64" i="3"/>
  <c r="M58" i="3"/>
  <c r="M61" i="3" s="1"/>
  <c r="BS157" i="3"/>
  <c r="BT151" i="3"/>
  <c r="BT154" i="3" s="1"/>
  <c r="BA33" i="35"/>
  <c r="BA34" i="35"/>
  <c r="BX215" i="35"/>
  <c r="BX230" i="35" s="1"/>
  <c r="BX26" i="13"/>
  <c r="AZ48" i="35"/>
  <c r="AZ53" i="35"/>
  <c r="AX131" i="35"/>
  <c r="AY127" i="35"/>
  <c r="AX117" i="35"/>
  <c r="BX127" i="35"/>
  <c r="AU217" i="35"/>
  <c r="BB63" i="35"/>
  <c r="BB62" i="35"/>
  <c r="BB44" i="35"/>
  <c r="BB17" i="35"/>
  <c r="BB10" i="13" s="1"/>
  <c r="BY61" i="35"/>
  <c r="AY141" i="35"/>
  <c r="BX140" i="35"/>
  <c r="BX32" i="35"/>
  <c r="BX22" i="35"/>
  <c r="BG176" i="35"/>
  <c r="BG177" i="35"/>
  <c r="AU245" i="35"/>
  <c r="AU203" i="35"/>
  <c r="BD57" i="35"/>
  <c r="BD61" i="35" s="1"/>
  <c r="BD10" i="13" s="1"/>
  <c r="BC42" i="35"/>
  <c r="BA43" i="35"/>
  <c r="BA54" i="35"/>
  <c r="BA49" i="35"/>
  <c r="BB81" i="35"/>
  <c r="BC77" i="35"/>
  <c r="BY77" i="35" s="1"/>
  <c r="BY78" i="35" s="1"/>
  <c r="AY22" i="35"/>
  <c r="AY21" i="35"/>
  <c r="BE161" i="35"/>
  <c r="BI163" i="35" s="1"/>
  <c r="BF157" i="35"/>
  <c r="BE159" i="35"/>
  <c r="AZ140" i="35"/>
  <c r="BA136" i="35"/>
  <c r="AZ19" i="35"/>
  <c r="AZ20" i="35" s="1"/>
  <c r="AZ28" i="13"/>
  <c r="AZ10" i="35"/>
  <c r="AZ11" i="35" s="1"/>
  <c r="BC147" i="35"/>
  <c r="BE59" i="35"/>
  <c r="BY58" i="35"/>
  <c r="BW12" i="13"/>
  <c r="BC70" i="35"/>
  <c r="BY70" i="35" s="1"/>
  <c r="BD66" i="35"/>
  <c r="BY66" i="35"/>
  <c r="BY67" i="35" s="1"/>
  <c r="AW132" i="35"/>
  <c r="AW111" i="35"/>
  <c r="AW102" i="35"/>
  <c r="BA82" i="35"/>
  <c r="BA85" i="35"/>
  <c r="AZ33" i="35"/>
  <c r="AZ34" i="35"/>
  <c r="AP253" i="35"/>
  <c r="BV252" i="35"/>
  <c r="BV253" i="35" s="1"/>
  <c r="BY147" i="35"/>
  <c r="BY29" i="13"/>
  <c r="AV202" i="35"/>
  <c r="AV103" i="35"/>
  <c r="BB26" i="35"/>
  <c r="AT228" i="35"/>
  <c r="AT217" i="35"/>
  <c r="BB71" i="35"/>
  <c r="BB72" i="35"/>
  <c r="BB18" i="35"/>
  <c r="AW118" i="35"/>
  <c r="AW119" i="35"/>
  <c r="BW121" i="35"/>
  <c r="BW123" i="35" s="1"/>
  <c r="BW113" i="35"/>
  <c r="AU123" i="35"/>
  <c r="AU122" i="35"/>
  <c r="BD162" i="35"/>
  <c r="BD163" i="35"/>
  <c r="BD148" i="35"/>
  <c r="BD146" i="35"/>
  <c r="BD29" i="13" s="1"/>
  <c r="BD180" i="35"/>
  <c r="BD183" i="35"/>
  <c r="AT256" i="35"/>
  <c r="AT258" i="35" s="1"/>
  <c r="AT250" i="35" s="1"/>
  <c r="AT252" i="35" s="1"/>
  <c r="AT253" i="35" s="1"/>
  <c r="BW245" i="35"/>
  <c r="AR250" i="35"/>
  <c r="BA226" i="35"/>
  <c r="AV112" i="35"/>
  <c r="AV121" i="35"/>
  <c r="AV113" i="35"/>
  <c r="AV12" i="13"/>
  <c r="BB47" i="35"/>
  <c r="BB52" i="35"/>
  <c r="AW131" i="2"/>
  <c r="AV145" i="2"/>
  <c r="BZ106" i="2"/>
  <c r="BG121" i="2"/>
  <c r="BW128" i="2"/>
  <c r="AV128" i="2"/>
  <c r="AU142" i="2"/>
  <c r="AU155" i="2" s="1"/>
  <c r="AU171" i="2" s="1"/>
  <c r="AU173" i="2" s="1"/>
  <c r="BF123" i="2"/>
  <c r="BF88" i="2"/>
  <c r="AW130" i="2"/>
  <c r="AV144" i="2"/>
  <c r="AW129" i="2"/>
  <c r="AV143" i="2"/>
  <c r="BZ177" i="35" l="1"/>
  <c r="BZ171" i="35"/>
  <c r="BZ173" i="35" s="1"/>
  <c r="BC17" i="35"/>
  <c r="BC10" i="13" s="1"/>
  <c r="BC63" i="35"/>
  <c r="BK132" i="2"/>
  <c r="BJ146" i="2"/>
  <c r="BI121" i="2"/>
  <c r="BJ106" i="2"/>
  <c r="CA139" i="2"/>
  <c r="CB139" i="2" s="1"/>
  <c r="CB153" i="2" s="1"/>
  <c r="BK153" i="2"/>
  <c r="CA153" i="2" s="1"/>
  <c r="BH123" i="2"/>
  <c r="BH88" i="2"/>
  <c r="BW213" i="35"/>
  <c r="BW217" i="35" s="1"/>
  <c r="BY42" i="35"/>
  <c r="BY26" i="35" s="1"/>
  <c r="BY28" i="35" s="1"/>
  <c r="AV213" i="35"/>
  <c r="AV217" i="35" s="1"/>
  <c r="BC216" i="35"/>
  <c r="BC231" i="35" s="1"/>
  <c r="BW142" i="2"/>
  <c r="BW155" i="2" s="1"/>
  <c r="BW171" i="2" s="1"/>
  <c r="BW173" i="2" s="1"/>
  <c r="BF125" i="2"/>
  <c r="BF46" i="3"/>
  <c r="BE139" i="3"/>
  <c r="BD147" i="3"/>
  <c r="BU58" i="3"/>
  <c r="BU61" i="3" s="1"/>
  <c r="BT64" i="3"/>
  <c r="W151" i="3"/>
  <c r="W154" i="3" s="1"/>
  <c r="T154" i="3"/>
  <c r="T157" i="3" s="1"/>
  <c r="U151" i="3"/>
  <c r="U154" i="3" s="1"/>
  <c r="U157" i="3" s="1"/>
  <c r="V151" i="3"/>
  <c r="V154" i="3" s="1"/>
  <c r="V157" i="3" s="1"/>
  <c r="BU151" i="3"/>
  <c r="BU154" i="3" s="1"/>
  <c r="BT157" i="3"/>
  <c r="N58" i="3"/>
  <c r="N61" i="3" s="1"/>
  <c r="M64" i="3"/>
  <c r="BY71" i="35"/>
  <c r="BY44" i="35"/>
  <c r="BY68" i="35"/>
  <c r="BY69" i="35" s="1"/>
  <c r="BY18" i="35"/>
  <c r="AT232" i="35"/>
  <c r="AT234" i="35" s="1"/>
  <c r="BW228" i="35"/>
  <c r="BY216" i="35"/>
  <c r="BY231" i="35" s="1"/>
  <c r="AW202" i="35"/>
  <c r="AW203" i="35" s="1"/>
  <c r="AW103" i="35"/>
  <c r="BD70" i="35"/>
  <c r="BD11" i="13" s="1"/>
  <c r="BE66" i="35"/>
  <c r="BB136" i="35"/>
  <c r="BA140" i="35"/>
  <c r="BA141" i="35" s="1"/>
  <c r="BF161" i="35"/>
  <c r="BJ163" i="35" s="1"/>
  <c r="BG157" i="35"/>
  <c r="BF159" i="35"/>
  <c r="BA53" i="35"/>
  <c r="BA48" i="35"/>
  <c r="BX141" i="35"/>
  <c r="BX138" i="35"/>
  <c r="BX139" i="35" s="1"/>
  <c r="BX117" i="35"/>
  <c r="BX119" i="35" s="1"/>
  <c r="BX128" i="35"/>
  <c r="BD147" i="35"/>
  <c r="BD216" i="35"/>
  <c r="BD231" i="35" s="1"/>
  <c r="BB212" i="35"/>
  <c r="BB227" i="35" s="1"/>
  <c r="BB27" i="35"/>
  <c r="BB28" i="35"/>
  <c r="AW112" i="35"/>
  <c r="AW113" i="35"/>
  <c r="AW121" i="35"/>
  <c r="AW12" i="13"/>
  <c r="BC71" i="35"/>
  <c r="BC72" i="35"/>
  <c r="BC18" i="35"/>
  <c r="BC212" i="35"/>
  <c r="BC227" i="35" s="1"/>
  <c r="BD17" i="35"/>
  <c r="BD63" i="35"/>
  <c r="BD62" i="35"/>
  <c r="BE163" i="35"/>
  <c r="BE162" i="35"/>
  <c r="BE146" i="35"/>
  <c r="BE148" i="35"/>
  <c r="BE180" i="35"/>
  <c r="BE183" i="35"/>
  <c r="BC81" i="35"/>
  <c r="BD77" i="35"/>
  <c r="BC26" i="35"/>
  <c r="AU256" i="35"/>
  <c r="AU258" i="35" s="1"/>
  <c r="AU250" i="35" s="1"/>
  <c r="BW250" i="35" s="1"/>
  <c r="BC44" i="35"/>
  <c r="BB43" i="35"/>
  <c r="BB54" i="35"/>
  <c r="BB49" i="35"/>
  <c r="AX118" i="35"/>
  <c r="AX119" i="35"/>
  <c r="AR252" i="35"/>
  <c r="BA19" i="35"/>
  <c r="BA20" i="35" s="1"/>
  <c r="BA28" i="13"/>
  <c r="BA10" i="35"/>
  <c r="BA11" i="35" s="1"/>
  <c r="BF59" i="35"/>
  <c r="AZ141" i="35"/>
  <c r="BB85" i="35"/>
  <c r="BB28" i="13" s="1"/>
  <c r="BB82" i="35"/>
  <c r="BC47" i="35"/>
  <c r="BC52" i="35"/>
  <c r="BW256" i="35"/>
  <c r="BY59" i="35"/>
  <c r="BY60" i="35" s="1"/>
  <c r="BY62" i="35"/>
  <c r="BY17" i="35"/>
  <c r="BB32" i="35"/>
  <c r="AY117" i="35"/>
  <c r="AY131" i="35"/>
  <c r="AZ127" i="35"/>
  <c r="AV123" i="35"/>
  <c r="AV122" i="35"/>
  <c r="BW258" i="35"/>
  <c r="AV203" i="35"/>
  <c r="AZ21" i="35"/>
  <c r="AZ22" i="35"/>
  <c r="BD42" i="35"/>
  <c r="BE57" i="35"/>
  <c r="BE61" i="35" s="1"/>
  <c r="BY81" i="35"/>
  <c r="AU234" i="35"/>
  <c r="AX111" i="35"/>
  <c r="AX132" i="35"/>
  <c r="AX102" i="35"/>
  <c r="AX130" i="2"/>
  <c r="AW144" i="2"/>
  <c r="AW128" i="2"/>
  <c r="AV142" i="2"/>
  <c r="AX129" i="2"/>
  <c r="AW143" i="2"/>
  <c r="BG123" i="2"/>
  <c r="BG88" i="2"/>
  <c r="AX131" i="2"/>
  <c r="AW145" i="2"/>
  <c r="BZ121" i="2"/>
  <c r="CA173" i="35" l="1"/>
  <c r="BY47" i="35"/>
  <c r="BD44" i="35"/>
  <c r="BD54" i="35" s="1"/>
  <c r="BJ121" i="2"/>
  <c r="BK106" i="2"/>
  <c r="BI88" i="2"/>
  <c r="BI123" i="2"/>
  <c r="CA132" i="2"/>
  <c r="CB132" i="2" s="1"/>
  <c r="CB146" i="2" s="1"/>
  <c r="BK146" i="2"/>
  <c r="CA146" i="2" s="1"/>
  <c r="BH125" i="2"/>
  <c r="BH46" i="3"/>
  <c r="BW257" i="35"/>
  <c r="AV228" i="35"/>
  <c r="AV232" i="35" s="1"/>
  <c r="AV234" i="35" s="1"/>
  <c r="AW213" i="35"/>
  <c r="AW217" i="35" s="1"/>
  <c r="BY11" i="13"/>
  <c r="BG125" i="2"/>
  <c r="BG46" i="3"/>
  <c r="BG54" i="3" s="1"/>
  <c r="BF139" i="3"/>
  <c r="BE147" i="3"/>
  <c r="BW182" i="2"/>
  <c r="BF54" i="3"/>
  <c r="BZ46" i="3"/>
  <c r="N64" i="3"/>
  <c r="O58" i="3"/>
  <c r="O61" i="3" s="1"/>
  <c r="BU157" i="3"/>
  <c r="BV151" i="3"/>
  <c r="BV154" i="3" s="1"/>
  <c r="W157" i="3"/>
  <c r="X151" i="3"/>
  <c r="BU64" i="3"/>
  <c r="BV58" i="3"/>
  <c r="BV61" i="3" s="1"/>
  <c r="AX113" i="35"/>
  <c r="AX112" i="35"/>
  <c r="AX121" i="35"/>
  <c r="AX12" i="13"/>
  <c r="BD52" i="35"/>
  <c r="BD47" i="35"/>
  <c r="BE63" i="35"/>
  <c r="BE62" i="35"/>
  <c r="BE17" i="35"/>
  <c r="BD81" i="35"/>
  <c r="BE77" i="35"/>
  <c r="AW123" i="35"/>
  <c r="AW122" i="35"/>
  <c r="BW221" i="35"/>
  <c r="BW232" i="35"/>
  <c r="BE42" i="35"/>
  <c r="BF57" i="35"/>
  <c r="BC85" i="35"/>
  <c r="BC82" i="35"/>
  <c r="BE70" i="35"/>
  <c r="BF66" i="35"/>
  <c r="AX202" i="35"/>
  <c r="AX203" i="35" s="1"/>
  <c r="AX103" i="35"/>
  <c r="BB211" i="35"/>
  <c r="BY10" i="13"/>
  <c r="AY119" i="35"/>
  <c r="AY118" i="35"/>
  <c r="BA215" i="35"/>
  <c r="BA230" i="35" s="1"/>
  <c r="BB53" i="35"/>
  <c r="BB48" i="35"/>
  <c r="AU252" i="35"/>
  <c r="AU253" i="35" s="1"/>
  <c r="BC211" i="35"/>
  <c r="BC136" i="35"/>
  <c r="BB140" i="35"/>
  <c r="BB141" i="35" s="1"/>
  <c r="BY82" i="35"/>
  <c r="BY79" i="35"/>
  <c r="BY80" i="35" s="1"/>
  <c r="BY85" i="35"/>
  <c r="BY19" i="35" s="1"/>
  <c r="BY20" i="35" s="1"/>
  <c r="AZ131" i="35"/>
  <c r="BA127" i="35"/>
  <c r="AZ117" i="35"/>
  <c r="BY10" i="35"/>
  <c r="BY12" i="35" s="1"/>
  <c r="BB19" i="35"/>
  <c r="BB20" i="35" s="1"/>
  <c r="BB10" i="35"/>
  <c r="BB11" i="35" s="1"/>
  <c r="AR253" i="35"/>
  <c r="BW252" i="35"/>
  <c r="BW253" i="35" s="1"/>
  <c r="BC54" i="35"/>
  <c r="BC49" i="35"/>
  <c r="BC43" i="35"/>
  <c r="BF163" i="35"/>
  <c r="BF162" i="35"/>
  <c r="BF146" i="35"/>
  <c r="BF148" i="35"/>
  <c r="BF180" i="35"/>
  <c r="BF183" i="35"/>
  <c r="BY49" i="35"/>
  <c r="BY43" i="35"/>
  <c r="BY48" i="35" s="1"/>
  <c r="AY132" i="35"/>
  <c r="AY111" i="35"/>
  <c r="AY102" i="35"/>
  <c r="BE147" i="35"/>
  <c r="BE29" i="13"/>
  <c r="BX131" i="35"/>
  <c r="BD26" i="35"/>
  <c r="BB34" i="35"/>
  <c r="BB33" i="35"/>
  <c r="BG59" i="35"/>
  <c r="BH59" i="35" s="1"/>
  <c r="BI59" i="35" s="1"/>
  <c r="BJ59" i="35" s="1"/>
  <c r="BK59" i="35" s="1"/>
  <c r="BA21" i="35"/>
  <c r="BA22" i="35"/>
  <c r="BC32" i="35"/>
  <c r="BC28" i="35"/>
  <c r="BC27" i="35"/>
  <c r="BG159" i="35"/>
  <c r="BG161" i="35"/>
  <c r="BD72" i="35"/>
  <c r="BD71" i="35"/>
  <c r="BD212" i="35"/>
  <c r="BD227" i="35" s="1"/>
  <c r="BD18" i="35"/>
  <c r="BZ176" i="2"/>
  <c r="BZ123" i="2"/>
  <c r="BZ125" i="2" s="1"/>
  <c r="BZ88" i="2"/>
  <c r="AY129" i="2"/>
  <c r="AX143" i="2"/>
  <c r="AY131" i="2"/>
  <c r="AX145" i="2"/>
  <c r="AX128" i="2"/>
  <c r="AW142" i="2"/>
  <c r="AW155" i="2" s="1"/>
  <c r="AW171" i="2" s="1"/>
  <c r="AW173" i="2" s="1"/>
  <c r="AY130" i="2"/>
  <c r="AX144" i="2"/>
  <c r="AV155" i="2"/>
  <c r="AV171" i="2" s="1"/>
  <c r="AV173" i="2" s="1"/>
  <c r="BH162" i="35" l="1"/>
  <c r="BK163" i="35"/>
  <c r="BD43" i="35"/>
  <c r="BD48" i="35" s="1"/>
  <c r="BD49" i="35"/>
  <c r="BH139" i="3"/>
  <c r="BH54" i="3"/>
  <c r="BI125" i="2"/>
  <c r="BI46" i="3"/>
  <c r="BI54" i="3" s="1"/>
  <c r="CA106" i="2"/>
  <c r="BK121" i="2"/>
  <c r="BJ123" i="2"/>
  <c r="BJ88" i="2"/>
  <c r="AW228" i="35"/>
  <c r="AW232" i="35" s="1"/>
  <c r="AW234" i="35" s="1"/>
  <c r="BY212" i="35"/>
  <c r="BY227" i="35" s="1"/>
  <c r="BG139" i="3"/>
  <c r="BG147" i="3" s="1"/>
  <c r="BF147" i="3"/>
  <c r="BZ139" i="3"/>
  <c r="BZ147" i="3" s="1"/>
  <c r="BZ54" i="3"/>
  <c r="BW58" i="3"/>
  <c r="BW61" i="3" s="1"/>
  <c r="BV64" i="3"/>
  <c r="Y151" i="3"/>
  <c r="Y154" i="3" s="1"/>
  <c r="Y157" i="3" s="1"/>
  <c r="Z151" i="3"/>
  <c r="Z154" i="3" s="1"/>
  <c r="Z157" i="3" s="1"/>
  <c r="AA151" i="3"/>
  <c r="AA154" i="3" s="1"/>
  <c r="X154" i="3"/>
  <c r="X157" i="3" s="1"/>
  <c r="BW151" i="3"/>
  <c r="BW154" i="3" s="1"/>
  <c r="BV157" i="3"/>
  <c r="P58" i="3"/>
  <c r="P61" i="3" s="1"/>
  <c r="O64" i="3"/>
  <c r="AY202" i="35"/>
  <c r="AY103" i="35"/>
  <c r="BB22" i="35"/>
  <c r="BB21" i="35"/>
  <c r="BD136" i="35"/>
  <c r="BC140" i="35"/>
  <c r="BC141" i="35" s="1"/>
  <c r="BD211" i="35"/>
  <c r="BB226" i="35"/>
  <c r="BE72" i="35"/>
  <c r="BE71" i="35"/>
  <c r="BE18" i="35"/>
  <c r="BE11" i="13"/>
  <c r="BE212" i="35" s="1"/>
  <c r="BE227" i="35" s="1"/>
  <c r="BY22" i="35"/>
  <c r="BY32" i="35"/>
  <c r="BE10" i="13"/>
  <c r="AX123" i="35"/>
  <c r="AX122" i="35"/>
  <c r="BG162" i="35"/>
  <c r="BG148" i="35"/>
  <c r="BG146" i="35"/>
  <c r="BH147" i="35" s="1"/>
  <c r="BG163" i="35"/>
  <c r="BG183" i="35"/>
  <c r="BG180" i="35"/>
  <c r="AY121" i="35"/>
  <c r="AY112" i="35"/>
  <c r="AY113" i="35"/>
  <c r="AY12" i="13"/>
  <c r="BC48" i="35"/>
  <c r="BC53" i="35"/>
  <c r="AZ102" i="35"/>
  <c r="AZ132" i="35"/>
  <c r="AZ111" i="35"/>
  <c r="BG57" i="35"/>
  <c r="BF42" i="35"/>
  <c r="BE81" i="35"/>
  <c r="BF77" i="35"/>
  <c r="BF26" i="35" s="1"/>
  <c r="BC34" i="35"/>
  <c r="BC33" i="35"/>
  <c r="BF61" i="35"/>
  <c r="BD27" i="35"/>
  <c r="BD28" i="35"/>
  <c r="BE216" i="35"/>
  <c r="BE231" i="35" s="1"/>
  <c r="BZ161" i="35"/>
  <c r="CA163" i="35" s="1"/>
  <c r="BF147" i="35"/>
  <c r="BF29" i="13"/>
  <c r="BF216" i="35" s="1"/>
  <c r="BF231" i="35" s="1"/>
  <c r="AZ119" i="35"/>
  <c r="AZ118" i="35"/>
  <c r="BY136" i="35"/>
  <c r="BY137" i="35" s="1"/>
  <c r="BC226" i="35"/>
  <c r="BY140" i="35"/>
  <c r="BY211" i="35"/>
  <c r="BE26" i="35"/>
  <c r="BD82" i="35"/>
  <c r="BD85" i="35"/>
  <c r="BD32" i="35"/>
  <c r="BE44" i="35"/>
  <c r="BX132" i="35"/>
  <c r="BX129" i="35"/>
  <c r="BX130" i="35" s="1"/>
  <c r="BX111" i="35"/>
  <c r="BB215" i="35"/>
  <c r="BB230" i="35" s="1"/>
  <c r="BB127" i="35"/>
  <c r="BA131" i="35"/>
  <c r="BA117" i="35"/>
  <c r="BG66" i="35"/>
  <c r="BH66" i="35" s="1"/>
  <c r="BF70" i="35"/>
  <c r="BC19" i="35"/>
  <c r="BC20" i="35" s="1"/>
  <c r="BC10" i="35"/>
  <c r="BC11" i="35" s="1"/>
  <c r="BE52" i="35"/>
  <c r="BE47" i="35"/>
  <c r="AZ131" i="2"/>
  <c r="BX131" i="2"/>
  <c r="AY145" i="2"/>
  <c r="BX145" i="2" s="1"/>
  <c r="BX129" i="2"/>
  <c r="AZ129" i="2"/>
  <c r="AY143" i="2"/>
  <c r="BX143" i="2" s="1"/>
  <c r="AY128" i="2"/>
  <c r="AX142" i="2"/>
  <c r="AZ130" i="2"/>
  <c r="BX130" i="2"/>
  <c r="AY144" i="2"/>
  <c r="BX144" i="2" s="1"/>
  <c r="CA121" i="2" l="1"/>
  <c r="CA123" i="2" s="1"/>
  <c r="CA125" i="2" s="1"/>
  <c r="CB106" i="2"/>
  <c r="BD53" i="35"/>
  <c r="BI66" i="35"/>
  <c r="BH70" i="35"/>
  <c r="BG61" i="35"/>
  <c r="BG62" i="35" s="1"/>
  <c r="BH57" i="35"/>
  <c r="CA88" i="2"/>
  <c r="CA176" i="2"/>
  <c r="BJ125" i="2"/>
  <c r="BJ46" i="3"/>
  <c r="BJ54" i="3" s="1"/>
  <c r="BK123" i="2"/>
  <c r="BK88" i="2"/>
  <c r="BI139" i="3"/>
  <c r="BH147" i="3"/>
  <c r="BX12" i="13"/>
  <c r="Q58" i="3"/>
  <c r="Q61" i="3" s="1"/>
  <c r="P64" i="3"/>
  <c r="BX151" i="3"/>
  <c r="BX154" i="3" s="1"/>
  <c r="BW157" i="3"/>
  <c r="AA157" i="3"/>
  <c r="AB151" i="3"/>
  <c r="BX58" i="3"/>
  <c r="BX61" i="3" s="1"/>
  <c r="BW64" i="3"/>
  <c r="BD33" i="35"/>
  <c r="BD34" i="35"/>
  <c r="BZ148" i="35"/>
  <c r="BZ163" i="35"/>
  <c r="BZ146" i="35"/>
  <c r="BZ157" i="35"/>
  <c r="BZ183" i="35"/>
  <c r="BG70" i="35"/>
  <c r="BZ66" i="35"/>
  <c r="BZ67" i="35" s="1"/>
  <c r="BX9" i="13"/>
  <c r="BX8" i="13" s="1"/>
  <c r="BC22" i="35"/>
  <c r="BC21" i="35"/>
  <c r="BA132" i="35"/>
  <c r="BA102" i="35"/>
  <c r="BA111" i="35"/>
  <c r="BX121" i="35"/>
  <c r="BX123" i="35" s="1"/>
  <c r="BX113" i="35"/>
  <c r="BX102" i="35"/>
  <c r="BE43" i="35"/>
  <c r="BE54" i="35"/>
  <c r="BE49" i="35"/>
  <c r="BE85" i="35"/>
  <c r="BE82" i="35"/>
  <c r="AZ121" i="35"/>
  <c r="AZ113" i="35"/>
  <c r="AZ112" i="35"/>
  <c r="AZ12" i="13"/>
  <c r="BG147" i="35"/>
  <c r="BG29" i="13"/>
  <c r="BG216" i="35" s="1"/>
  <c r="BG231" i="35" s="1"/>
  <c r="BD226" i="35"/>
  <c r="BF72" i="35"/>
  <c r="BF71" i="35"/>
  <c r="BF18" i="35"/>
  <c r="BF11" i="13"/>
  <c r="BF212" i="35" s="1"/>
  <c r="BF227" i="35" s="1"/>
  <c r="BY138" i="35"/>
  <c r="BY139" i="35" s="1"/>
  <c r="BY141" i="35"/>
  <c r="AY123" i="35"/>
  <c r="AY122" i="35"/>
  <c r="BE211" i="35"/>
  <c r="BF27" i="35"/>
  <c r="BF28" i="35"/>
  <c r="BD19" i="35"/>
  <c r="BD20" i="35" s="1"/>
  <c r="BD10" i="35"/>
  <c r="BD11" i="35" s="1"/>
  <c r="BF47" i="35"/>
  <c r="BF52" i="35"/>
  <c r="BC127" i="35"/>
  <c r="BY127" i="35" s="1"/>
  <c r="BB117" i="35"/>
  <c r="BB131" i="35"/>
  <c r="BE28" i="35"/>
  <c r="BE27" i="35"/>
  <c r="BF63" i="35"/>
  <c r="BF62" i="35"/>
  <c r="BF44" i="35"/>
  <c r="BF17" i="35"/>
  <c r="BE32" i="35"/>
  <c r="BC215" i="35"/>
  <c r="BC230" i="35" s="1"/>
  <c r="BA119" i="35"/>
  <c r="BA118" i="35"/>
  <c r="BY226" i="35"/>
  <c r="BG77" i="35"/>
  <c r="BG26" i="35" s="1"/>
  <c r="BF81" i="35"/>
  <c r="BF32" i="35" s="1"/>
  <c r="BG42" i="35"/>
  <c r="BZ57" i="35"/>
  <c r="AZ202" i="35"/>
  <c r="AZ103" i="35"/>
  <c r="BD140" i="35"/>
  <c r="BE136" i="35"/>
  <c r="AY203" i="35"/>
  <c r="BX202" i="35"/>
  <c r="BY28" i="13"/>
  <c r="BA130" i="2"/>
  <c r="AZ144" i="2"/>
  <c r="AX155" i="2"/>
  <c r="AX171" i="2" s="1"/>
  <c r="AX173" i="2" s="1"/>
  <c r="BA129" i="2"/>
  <c r="AZ143" i="2"/>
  <c r="BA131" i="2"/>
  <c r="AZ145" i="2"/>
  <c r="BX128" i="2"/>
  <c r="AZ128" i="2"/>
  <c r="AY142" i="2"/>
  <c r="AY155" i="2" s="1"/>
  <c r="AY171" i="2" s="1"/>
  <c r="AY173" i="2" s="1"/>
  <c r="CB121" i="2" l="1"/>
  <c r="BZ29" i="13"/>
  <c r="BG17" i="35"/>
  <c r="BG10" i="13" s="1"/>
  <c r="BZ159" i="35"/>
  <c r="CA159" i="35"/>
  <c r="BZ147" i="35"/>
  <c r="CA147" i="35"/>
  <c r="BZ77" i="35"/>
  <c r="BZ78" i="35" s="1"/>
  <c r="BG81" i="35"/>
  <c r="BG32" i="35" s="1"/>
  <c r="BG34" i="35" s="1"/>
  <c r="BH77" i="35"/>
  <c r="BH26" i="35" s="1"/>
  <c r="BG63" i="35"/>
  <c r="BG44" i="35"/>
  <c r="BG49" i="35" s="1"/>
  <c r="BZ61" i="35"/>
  <c r="BZ17" i="35" s="1"/>
  <c r="BH11" i="13"/>
  <c r="BH18" i="35"/>
  <c r="BH72" i="35"/>
  <c r="BJ66" i="35"/>
  <c r="BI70" i="35"/>
  <c r="BZ70" i="35"/>
  <c r="BZ68" i="35" s="1"/>
  <c r="BH71" i="35"/>
  <c r="BI57" i="35"/>
  <c r="BH42" i="35"/>
  <c r="BH61" i="35"/>
  <c r="BJ139" i="3"/>
  <c r="BI147" i="3"/>
  <c r="BK125" i="2"/>
  <c r="BK46" i="3"/>
  <c r="BK54" i="3" s="1"/>
  <c r="BX103" i="35"/>
  <c r="BX213" i="35"/>
  <c r="BX217" i="35" s="1"/>
  <c r="AC151" i="3"/>
  <c r="AB154" i="3"/>
  <c r="AB157" i="3" s="1"/>
  <c r="AE151" i="3"/>
  <c r="AE154" i="3" s="1"/>
  <c r="BX64" i="3"/>
  <c r="BY58" i="3"/>
  <c r="BX157" i="3"/>
  <c r="BY151" i="3"/>
  <c r="Q64" i="3"/>
  <c r="R58" i="3"/>
  <c r="R61" i="3" s="1"/>
  <c r="BE33" i="35"/>
  <c r="BE34" i="35"/>
  <c r="BD215" i="35"/>
  <c r="BD230" i="35" s="1"/>
  <c r="BE48" i="35"/>
  <c r="BE53" i="35"/>
  <c r="BA112" i="35"/>
  <c r="BA121" i="35"/>
  <c r="BA113" i="35"/>
  <c r="BA12" i="13"/>
  <c r="BF136" i="35"/>
  <c r="BE140" i="35"/>
  <c r="BE141" i="35" s="1"/>
  <c r="BF54" i="35"/>
  <c r="BF49" i="35"/>
  <c r="BF43" i="35"/>
  <c r="BB111" i="35"/>
  <c r="BB132" i="35"/>
  <c r="BB102" i="35"/>
  <c r="BD21" i="35"/>
  <c r="BD22" i="35"/>
  <c r="BX15" i="13"/>
  <c r="BX45" i="13"/>
  <c r="BD141" i="35"/>
  <c r="BG27" i="35"/>
  <c r="BG28" i="35"/>
  <c r="BB118" i="35"/>
  <c r="BB119" i="35"/>
  <c r="BE226" i="35"/>
  <c r="BG71" i="35"/>
  <c r="BG18" i="35"/>
  <c r="BG72" i="35"/>
  <c r="BG11" i="13"/>
  <c r="AZ203" i="35"/>
  <c r="BG47" i="35"/>
  <c r="BG52" i="35"/>
  <c r="BF10" i="13"/>
  <c r="BC117" i="35"/>
  <c r="BC131" i="35"/>
  <c r="BY131" i="35" s="1"/>
  <c r="BD127" i="35"/>
  <c r="AZ123" i="35"/>
  <c r="AZ122" i="35"/>
  <c r="BF33" i="35"/>
  <c r="BF34" i="35"/>
  <c r="BY117" i="35"/>
  <c r="BY119" i="35" s="1"/>
  <c r="BY128" i="35"/>
  <c r="BY215" i="35"/>
  <c r="BY230" i="35" s="1"/>
  <c r="BY26" i="13"/>
  <c r="BY25" i="13" s="1"/>
  <c r="BY33" i="13" s="1"/>
  <c r="BZ58" i="35"/>
  <c r="BZ42" i="35"/>
  <c r="BF85" i="35"/>
  <c r="BF82" i="35"/>
  <c r="BE28" i="13"/>
  <c r="BE19" i="35"/>
  <c r="BE20" i="35" s="1"/>
  <c r="BE10" i="35"/>
  <c r="BE11" i="35" s="1"/>
  <c r="BA202" i="35"/>
  <c r="BA203" i="35" s="1"/>
  <c r="BA103" i="35"/>
  <c r="BB131" i="2"/>
  <c r="BA145" i="2"/>
  <c r="BA128" i="2"/>
  <c r="AZ142" i="2"/>
  <c r="BB129" i="2"/>
  <c r="BA143" i="2"/>
  <c r="BB130" i="2"/>
  <c r="BA144" i="2"/>
  <c r="BX142" i="2"/>
  <c r="BX155" i="2" s="1"/>
  <c r="BX171" i="2" s="1"/>
  <c r="BX173" i="2" s="1"/>
  <c r="BX182" i="2" s="1"/>
  <c r="CB88" i="2" l="1"/>
  <c r="CB46" i="3"/>
  <c r="BB12" i="13"/>
  <c r="BZ216" i="35"/>
  <c r="BZ231" i="35" s="1"/>
  <c r="BX228" i="35"/>
  <c r="BX232" i="35" s="1"/>
  <c r="BG82" i="35"/>
  <c r="BG85" i="35"/>
  <c r="BG19" i="35" s="1"/>
  <c r="BG20" i="35" s="1"/>
  <c r="BZ59" i="35"/>
  <c r="BZ60" i="35" s="1"/>
  <c r="BZ44" i="35"/>
  <c r="BZ43" i="35" s="1"/>
  <c r="BZ48" i="35" s="1"/>
  <c r="BZ62" i="35"/>
  <c r="BZ71" i="35"/>
  <c r="CB70" i="35"/>
  <c r="BZ18" i="35"/>
  <c r="CB61" i="35"/>
  <c r="BZ81" i="35"/>
  <c r="BZ10" i="35" s="1"/>
  <c r="BZ12" i="35" s="1"/>
  <c r="BG54" i="35"/>
  <c r="BI77" i="35"/>
  <c r="BH81" i="35"/>
  <c r="BH32" i="35" s="1"/>
  <c r="BG43" i="35"/>
  <c r="BG48" i="35" s="1"/>
  <c r="BI18" i="35"/>
  <c r="BI71" i="35"/>
  <c r="BI11" i="13"/>
  <c r="BI212" i="35" s="1"/>
  <c r="BI227" i="35" s="1"/>
  <c r="BI72" i="35"/>
  <c r="BK66" i="35"/>
  <c r="BJ70" i="35"/>
  <c r="BH212" i="35"/>
  <c r="BH227" i="35" s="1"/>
  <c r="BZ69" i="35"/>
  <c r="BG33" i="35"/>
  <c r="BH28" i="35"/>
  <c r="BH27" i="35"/>
  <c r="BH62" i="35"/>
  <c r="BH44" i="35"/>
  <c r="BH63" i="35"/>
  <c r="BH17" i="35"/>
  <c r="BH52" i="35"/>
  <c r="BH47" i="35"/>
  <c r="BJ57" i="35"/>
  <c r="BI61" i="35"/>
  <c r="BI42" i="35"/>
  <c r="BK139" i="3"/>
  <c r="BK147" i="3" s="1"/>
  <c r="BJ147" i="3"/>
  <c r="CA46" i="3"/>
  <c r="BA213" i="35"/>
  <c r="BA217" i="35" s="1"/>
  <c r="BX234" i="35"/>
  <c r="S58" i="3"/>
  <c r="S61" i="3" s="1"/>
  <c r="R64" i="3"/>
  <c r="AF151" i="3"/>
  <c r="AE157" i="3"/>
  <c r="AD151" i="3"/>
  <c r="AD154" i="3" s="1"/>
  <c r="AD157" i="3" s="1"/>
  <c r="AC154" i="3"/>
  <c r="AC157" i="3" s="1"/>
  <c r="BY129" i="35"/>
  <c r="BY130" i="35" s="1"/>
  <c r="BY111" i="35"/>
  <c r="BY132" i="35"/>
  <c r="BE215" i="35"/>
  <c r="BE230" i="35" s="1"/>
  <c r="BE26" i="13"/>
  <c r="BE25" i="13" s="1"/>
  <c r="BZ26" i="35"/>
  <c r="BZ28" i="35" s="1"/>
  <c r="BZ47" i="35"/>
  <c r="BB202" i="35"/>
  <c r="BB203" i="35" s="1"/>
  <c r="BB103" i="35"/>
  <c r="BF211" i="35"/>
  <c r="BZ10" i="13"/>
  <c r="BG10" i="35"/>
  <c r="BF140" i="35"/>
  <c r="BF141" i="35" s="1"/>
  <c r="BG136" i="35"/>
  <c r="BF19" i="35"/>
  <c r="BF20" i="35" s="1"/>
  <c r="BF28" i="13"/>
  <c r="BF10" i="35"/>
  <c r="BF11" i="35" s="1"/>
  <c r="BD131" i="35"/>
  <c r="BE127" i="35"/>
  <c r="BD117" i="35"/>
  <c r="BZ11" i="13"/>
  <c r="BG212" i="35"/>
  <c r="BG227" i="35" s="1"/>
  <c r="BG211" i="35"/>
  <c r="BB113" i="35"/>
  <c r="BB112" i="35"/>
  <c r="BB121" i="35"/>
  <c r="BE21" i="35"/>
  <c r="BE22" i="35"/>
  <c r="BC132" i="35"/>
  <c r="BC102" i="35"/>
  <c r="BC111" i="35"/>
  <c r="BC12" i="13" s="1"/>
  <c r="BF53" i="35"/>
  <c r="BF48" i="35"/>
  <c r="BC119" i="35"/>
  <c r="BC118" i="35"/>
  <c r="BA123" i="35"/>
  <c r="BA122" i="35"/>
  <c r="BC129" i="2"/>
  <c r="BB143" i="2"/>
  <c r="BB128" i="2"/>
  <c r="BA142" i="2"/>
  <c r="BC130" i="2"/>
  <c r="BB144" i="2"/>
  <c r="BC131" i="2"/>
  <c r="BB145" i="2"/>
  <c r="AZ155" i="2"/>
  <c r="AZ171" i="2" s="1"/>
  <c r="AZ173" i="2" s="1"/>
  <c r="CB139" i="3" l="1"/>
  <c r="CB147" i="3" s="1"/>
  <c r="CB54" i="3"/>
  <c r="CB37" i="2"/>
  <c r="CB87" i="2" s="1"/>
  <c r="BZ85" i="35"/>
  <c r="BZ19" i="35" s="1"/>
  <c r="BG28" i="13"/>
  <c r="BG26" i="13" s="1"/>
  <c r="BG25" i="13" s="1"/>
  <c r="BZ79" i="35"/>
  <c r="BZ80" i="35" s="1"/>
  <c r="BZ49" i="35"/>
  <c r="BZ82" i="35"/>
  <c r="BZ20" i="35"/>
  <c r="BZ22" i="35" s="1"/>
  <c r="BG140" i="35"/>
  <c r="BZ140" i="35" s="1"/>
  <c r="BH136" i="35"/>
  <c r="BG53" i="35"/>
  <c r="BI26" i="35"/>
  <c r="BI28" i="35" s="1"/>
  <c r="BH82" i="35"/>
  <c r="BH85" i="35"/>
  <c r="BI81" i="35"/>
  <c r="BJ77" i="35"/>
  <c r="BJ71" i="35"/>
  <c r="BJ18" i="35"/>
  <c r="BJ11" i="13"/>
  <c r="BJ72" i="35"/>
  <c r="CA66" i="35"/>
  <c r="CA67" i="35" s="1"/>
  <c r="BK70" i="35"/>
  <c r="CA70" i="35" s="1"/>
  <c r="BK57" i="35"/>
  <c r="CA57" i="35" s="1"/>
  <c r="BJ61" i="35"/>
  <c r="BJ42" i="35"/>
  <c r="BH10" i="13"/>
  <c r="BI47" i="35"/>
  <c r="BI52" i="35"/>
  <c r="BH34" i="35"/>
  <c r="BH33" i="35"/>
  <c r="BI62" i="35"/>
  <c r="BI17" i="35"/>
  <c r="BI63" i="35"/>
  <c r="BI44" i="35"/>
  <c r="BH49" i="35"/>
  <c r="BH43" i="35"/>
  <c r="BH54" i="35"/>
  <c r="CA139" i="3"/>
  <c r="CA147" i="3" s="1"/>
  <c r="CA54" i="3"/>
  <c r="BA228" i="35"/>
  <c r="BA232" i="35" s="1"/>
  <c r="BA234" i="35" s="1"/>
  <c r="AH151" i="3"/>
  <c r="AH154" i="3" s="1"/>
  <c r="AH157" i="3" s="1"/>
  <c r="AF154" i="3"/>
  <c r="AF157" i="3" s="1"/>
  <c r="AG151" i="3"/>
  <c r="AG154" i="3" s="1"/>
  <c r="AG157" i="3" s="1"/>
  <c r="AI151" i="3"/>
  <c r="AI154" i="3" s="1"/>
  <c r="S64" i="3"/>
  <c r="T58" i="3"/>
  <c r="T61" i="3" s="1"/>
  <c r="BG11" i="35"/>
  <c r="BY113" i="35"/>
  <c r="BY121" i="35"/>
  <c r="BY123" i="35" s="1"/>
  <c r="BY102" i="35"/>
  <c r="BC121" i="35"/>
  <c r="BC112" i="35"/>
  <c r="BC113" i="35"/>
  <c r="BB213" i="35"/>
  <c r="BC202" i="35"/>
  <c r="BC103" i="35"/>
  <c r="BB123" i="35"/>
  <c r="BB122" i="35"/>
  <c r="BG226" i="35"/>
  <c r="BF21" i="35"/>
  <c r="BF22" i="35"/>
  <c r="BZ136" i="35"/>
  <c r="BZ137" i="35" s="1"/>
  <c r="BG22" i="35"/>
  <c r="BG21" i="35"/>
  <c r="BE33" i="13"/>
  <c r="BE32" i="13"/>
  <c r="BZ212" i="35"/>
  <c r="BZ227" i="35" s="1"/>
  <c r="BD102" i="35"/>
  <c r="BD132" i="35"/>
  <c r="BD111" i="35"/>
  <c r="BD12" i="13" s="1"/>
  <c r="BZ211" i="35"/>
  <c r="BD118" i="35"/>
  <c r="BD119" i="35"/>
  <c r="BF127" i="35"/>
  <c r="BE131" i="35"/>
  <c r="BE117" i="35"/>
  <c r="BF215" i="35"/>
  <c r="BF230" i="35" s="1"/>
  <c r="BF26" i="13"/>
  <c r="BF25" i="13" s="1"/>
  <c r="BZ28" i="13"/>
  <c r="BG215" i="35"/>
  <c r="BG230" i="35" s="1"/>
  <c r="BF226" i="35"/>
  <c r="BD131" i="2"/>
  <c r="BY131" i="2"/>
  <c r="BC145" i="2"/>
  <c r="BY145" i="2" s="1"/>
  <c r="BY129" i="2"/>
  <c r="BD129" i="2"/>
  <c r="BC143" i="2"/>
  <c r="BY143" i="2" s="1"/>
  <c r="BY130" i="2"/>
  <c r="BD130" i="2"/>
  <c r="BC144" i="2"/>
  <c r="BY144" i="2" s="1"/>
  <c r="BA155" i="2"/>
  <c r="BA171" i="2" s="1"/>
  <c r="BA173" i="2" s="1"/>
  <c r="BC128" i="2"/>
  <c r="BB142" i="2"/>
  <c r="BG141" i="35" l="1"/>
  <c r="BZ32" i="35"/>
  <c r="BI27" i="35"/>
  <c r="BI136" i="35"/>
  <c r="BH140" i="35"/>
  <c r="BK77" i="35"/>
  <c r="BK81" i="35" s="1"/>
  <c r="BJ81" i="35"/>
  <c r="BI85" i="35"/>
  <c r="BI82" i="35"/>
  <c r="BJ26" i="35"/>
  <c r="BJ27" i="35" s="1"/>
  <c r="BI32" i="35"/>
  <c r="BI34" i="35" s="1"/>
  <c r="BH19" i="35"/>
  <c r="BH20" i="35" s="1"/>
  <c r="BH22" i="35" s="1"/>
  <c r="BH28" i="13"/>
  <c r="BH10" i="35"/>
  <c r="CA18" i="35"/>
  <c r="CC18" i="35" s="1"/>
  <c r="CA68" i="35"/>
  <c r="CA69" i="35" s="1"/>
  <c r="CA71" i="35"/>
  <c r="BK18" i="35"/>
  <c r="BK11" i="13"/>
  <c r="BK212" i="35" s="1"/>
  <c r="BK227" i="35" s="1"/>
  <c r="BK71" i="35"/>
  <c r="BK72" i="35"/>
  <c r="BJ212" i="35"/>
  <c r="BJ227" i="35" s="1"/>
  <c r="BI10" i="13"/>
  <c r="CA58" i="35"/>
  <c r="CA42" i="35"/>
  <c r="BK61" i="35"/>
  <c r="CA61" i="35" s="1"/>
  <c r="BK42" i="35"/>
  <c r="BI54" i="35"/>
  <c r="BI49" i="35"/>
  <c r="BI43" i="35"/>
  <c r="BH53" i="35"/>
  <c r="BH48" i="35"/>
  <c r="BJ52" i="35"/>
  <c r="BJ47" i="35"/>
  <c r="BH211" i="35"/>
  <c r="BJ17" i="35"/>
  <c r="BJ62" i="35"/>
  <c r="BJ63" i="35"/>
  <c r="BJ44" i="35"/>
  <c r="BY12" i="13"/>
  <c r="U58" i="3"/>
  <c r="U61" i="3" s="1"/>
  <c r="T64" i="3"/>
  <c r="AJ151" i="3"/>
  <c r="AI157" i="3"/>
  <c r="BF33" i="13"/>
  <c r="BF32" i="13"/>
  <c r="BG32" i="13"/>
  <c r="BG33" i="13"/>
  <c r="BD121" i="35"/>
  <c r="BD112" i="35"/>
  <c r="BD113" i="35"/>
  <c r="BE119" i="35"/>
  <c r="BE118" i="35"/>
  <c r="BZ226" i="35"/>
  <c r="BB45" i="13"/>
  <c r="BZ215" i="35"/>
  <c r="BZ230" i="35" s="1"/>
  <c r="BZ26" i="13"/>
  <c r="BE132" i="35"/>
  <c r="BE111" i="35"/>
  <c r="BE102" i="35"/>
  <c r="BZ141" i="35"/>
  <c r="BZ138" i="35"/>
  <c r="BZ139" i="35" s="1"/>
  <c r="BB228" i="35"/>
  <c r="BB232" i="35" s="1"/>
  <c r="BB217" i="35"/>
  <c r="BC123" i="35"/>
  <c r="BC122" i="35"/>
  <c r="BF131" i="35"/>
  <c r="BG127" i="35"/>
  <c r="BF117" i="35"/>
  <c r="BD202" i="35"/>
  <c r="BD103" i="35"/>
  <c r="BC203" i="35"/>
  <c r="BY202" i="35"/>
  <c r="BC213" i="35"/>
  <c r="BB155" i="2"/>
  <c r="BB171" i="2" s="1"/>
  <c r="BB173" i="2" s="1"/>
  <c r="BY128" i="2"/>
  <c r="BD128" i="2"/>
  <c r="BC142" i="2"/>
  <c r="BC155" i="2" s="1"/>
  <c r="BC171" i="2" s="1"/>
  <c r="BC173" i="2" s="1"/>
  <c r="BE130" i="2"/>
  <c r="BD144" i="2"/>
  <c r="BE129" i="2"/>
  <c r="BD143" i="2"/>
  <c r="BE131" i="2"/>
  <c r="BD145" i="2"/>
  <c r="BJ32" i="35" l="1"/>
  <c r="BJ33" i="35" s="1"/>
  <c r="BI33" i="35"/>
  <c r="BH141" i="35"/>
  <c r="BI140" i="35"/>
  <c r="BI141" i="35" s="1"/>
  <c r="BJ136" i="35"/>
  <c r="BZ127" i="35"/>
  <c r="BZ128" i="35" s="1"/>
  <c r="BH127" i="35"/>
  <c r="BJ28" i="35"/>
  <c r="CA11" i="13"/>
  <c r="CA212" i="35" s="1"/>
  <c r="CA227" i="35" s="1"/>
  <c r="BH21" i="35"/>
  <c r="CA77" i="35"/>
  <c r="CA78" i="35" s="1"/>
  <c r="BK82" i="35"/>
  <c r="BK85" i="35"/>
  <c r="BK10" i="35" s="1"/>
  <c r="BH11" i="35"/>
  <c r="CA81" i="35"/>
  <c r="BI28" i="13"/>
  <c r="BI19" i="35"/>
  <c r="BI20" i="35" s="1"/>
  <c r="BI21" i="35" s="1"/>
  <c r="BI10" i="35"/>
  <c r="BK26" i="35"/>
  <c r="BK32" i="35" s="1"/>
  <c r="BH215" i="35"/>
  <c r="BH230" i="35" s="1"/>
  <c r="BH26" i="13"/>
  <c r="BH25" i="13" s="1"/>
  <c r="BJ85" i="35"/>
  <c r="BJ82" i="35"/>
  <c r="BJ10" i="13"/>
  <c r="BI53" i="35"/>
  <c r="BI48" i="35"/>
  <c r="BK52" i="35"/>
  <c r="BK47" i="35"/>
  <c r="BH226" i="35"/>
  <c r="BK62" i="35"/>
  <c r="BK63" i="35"/>
  <c r="BK17" i="35"/>
  <c r="BK44" i="35"/>
  <c r="BI211" i="35"/>
  <c r="CA59" i="35"/>
  <c r="CA60" i="35" s="1"/>
  <c r="CA62" i="35"/>
  <c r="CA17" i="35"/>
  <c r="CC17" i="35" s="1"/>
  <c r="CA44" i="35"/>
  <c r="CA47" i="35"/>
  <c r="BJ54" i="35"/>
  <c r="BJ49" i="35"/>
  <c r="BJ43" i="35"/>
  <c r="BB16" i="13"/>
  <c r="BB34" i="13"/>
  <c r="BY9" i="13"/>
  <c r="BY8" i="13" s="1"/>
  <c r="BY15" i="13" s="1"/>
  <c r="BY213" i="35"/>
  <c r="BY217" i="35" s="1"/>
  <c r="BY142" i="2"/>
  <c r="BY155" i="2" s="1"/>
  <c r="BY171" i="2" s="1"/>
  <c r="BY173" i="2" s="1"/>
  <c r="AM151" i="3"/>
  <c r="AM154" i="3" s="1"/>
  <c r="AJ154" i="3"/>
  <c r="AJ157" i="3" s="1"/>
  <c r="AK151" i="3"/>
  <c r="AK154" i="3" s="1"/>
  <c r="AK157" i="3" s="1"/>
  <c r="AL151" i="3"/>
  <c r="AL154" i="3" s="1"/>
  <c r="AL157" i="3" s="1"/>
  <c r="V58" i="3"/>
  <c r="V61" i="3" s="1"/>
  <c r="U64" i="3"/>
  <c r="BF111" i="35"/>
  <c r="BF132" i="35"/>
  <c r="BF102" i="35"/>
  <c r="BC228" i="35"/>
  <c r="BC232" i="35" s="1"/>
  <c r="BC217" i="35"/>
  <c r="BD203" i="35"/>
  <c r="BE202" i="35"/>
  <c r="BE203" i="35" s="1"/>
  <c r="BE103" i="35"/>
  <c r="BF119" i="35"/>
  <c r="BF118" i="35"/>
  <c r="BE121" i="35"/>
  <c r="BE113" i="35"/>
  <c r="BE112" i="35"/>
  <c r="BE12" i="13"/>
  <c r="BD123" i="35"/>
  <c r="BD122" i="35"/>
  <c r="BZ25" i="13"/>
  <c r="BB234" i="35"/>
  <c r="BG117" i="35"/>
  <c r="BG131" i="35"/>
  <c r="BZ131" i="35" s="1"/>
  <c r="BD213" i="35"/>
  <c r="BD8" i="13"/>
  <c r="BF130" i="2"/>
  <c r="BE144" i="2"/>
  <c r="BF131" i="2"/>
  <c r="BE145" i="2"/>
  <c r="BF129" i="2"/>
  <c r="BE143" i="2"/>
  <c r="BE128" i="2"/>
  <c r="BD142" i="2"/>
  <c r="CA10" i="35" l="1"/>
  <c r="CA12" i="35" s="1"/>
  <c r="CB81" i="35"/>
  <c r="BD24" i="13"/>
  <c r="BD45" i="13"/>
  <c r="BD34" i="13" s="1"/>
  <c r="BD14" i="13"/>
  <c r="BD15" i="13"/>
  <c r="BZ117" i="35"/>
  <c r="BZ119" i="35" s="1"/>
  <c r="CA26" i="35"/>
  <c r="CA28" i="35" s="1"/>
  <c r="BI22" i="35"/>
  <c r="BJ34" i="35"/>
  <c r="BK136" i="35"/>
  <c r="BK140" i="35" s="1"/>
  <c r="BJ140" i="35"/>
  <c r="BI127" i="35"/>
  <c r="BH117" i="35"/>
  <c r="BH131" i="35"/>
  <c r="BK27" i="35"/>
  <c r="BK28" i="35"/>
  <c r="BI26" i="13"/>
  <c r="BI25" i="13" s="1"/>
  <c r="BI215" i="35"/>
  <c r="BI230" i="35" s="1"/>
  <c r="BK28" i="13"/>
  <c r="BK19" i="35"/>
  <c r="BK20" i="35" s="1"/>
  <c r="BJ19" i="35"/>
  <c r="BJ20" i="35" s="1"/>
  <c r="BJ21" i="35" s="1"/>
  <c r="BJ28" i="13"/>
  <c r="BJ10" i="35"/>
  <c r="CA85" i="35"/>
  <c r="CA19" i="35" s="1"/>
  <c r="CA82" i="35"/>
  <c r="CA79" i="35"/>
  <c r="CA80" i="35" s="1"/>
  <c r="BI11" i="35"/>
  <c r="BH33" i="13"/>
  <c r="BH32" i="13"/>
  <c r="BY45" i="13"/>
  <c r="BJ53" i="35"/>
  <c r="BJ48" i="35"/>
  <c r="BJ211" i="35"/>
  <c r="CA49" i="35"/>
  <c r="CA43" i="35"/>
  <c r="CA48" i="35" s="1"/>
  <c r="BK34" i="35"/>
  <c r="BK33" i="35"/>
  <c r="BK54" i="35"/>
  <c r="BK49" i="35"/>
  <c r="BK43" i="35"/>
  <c r="BI226" i="35"/>
  <c r="BK10" i="13"/>
  <c r="BY228" i="35"/>
  <c r="BY232" i="35" s="1"/>
  <c r="BY234" i="35" s="1"/>
  <c r="V64" i="3"/>
  <c r="W58" i="3"/>
  <c r="W61" i="3" s="1"/>
  <c r="AM157" i="3"/>
  <c r="AN151" i="3"/>
  <c r="BZ33" i="13"/>
  <c r="BF202" i="35"/>
  <c r="BF103" i="35"/>
  <c r="BB205" i="35"/>
  <c r="BB71" i="3"/>
  <c r="BD228" i="35"/>
  <c r="BD232" i="35" s="1"/>
  <c r="BD217" i="35"/>
  <c r="BG132" i="35"/>
  <c r="BG102" i="35"/>
  <c r="BG111" i="35"/>
  <c r="BE123" i="35"/>
  <c r="BE122" i="35"/>
  <c r="BC234" i="35"/>
  <c r="BF113" i="35"/>
  <c r="BF112" i="35"/>
  <c r="BF121" i="35"/>
  <c r="BF12" i="13"/>
  <c r="BG119" i="35"/>
  <c r="BG118" i="35"/>
  <c r="BE213" i="35"/>
  <c r="BE9" i="13"/>
  <c r="BE8" i="13" s="1"/>
  <c r="BZ132" i="35"/>
  <c r="BZ129" i="35"/>
  <c r="BZ130" i="35" s="1"/>
  <c r="BZ111" i="35"/>
  <c r="BD155" i="2"/>
  <c r="BG129" i="2"/>
  <c r="BH129" i="2" s="1"/>
  <c r="BF143" i="2"/>
  <c r="BF128" i="2"/>
  <c r="BE142" i="2"/>
  <c r="BE155" i="2" s="1"/>
  <c r="BG131" i="2"/>
  <c r="BH131" i="2" s="1"/>
  <c r="BF145" i="2"/>
  <c r="BG130" i="2"/>
  <c r="BH130" i="2" s="1"/>
  <c r="BF144" i="2"/>
  <c r="CA20" i="35" l="1"/>
  <c r="CA22" i="35" s="1"/>
  <c r="CC19" i="35"/>
  <c r="CC20" i="35" s="1"/>
  <c r="BD16" i="13"/>
  <c r="BJ22" i="35"/>
  <c r="BK141" i="35"/>
  <c r="CA136" i="35"/>
  <c r="CA137" i="35" s="1"/>
  <c r="BJ141" i="35"/>
  <c r="CA140" i="35"/>
  <c r="BH118" i="35"/>
  <c r="BH119" i="35"/>
  <c r="BI131" i="35"/>
  <c r="BI117" i="35"/>
  <c r="BJ127" i="35"/>
  <c r="BH132" i="35"/>
  <c r="BH111" i="35"/>
  <c r="BH102" i="35"/>
  <c r="BJ11" i="35"/>
  <c r="BK215" i="35"/>
  <c r="BK230" i="35" s="1"/>
  <c r="BK26" i="13"/>
  <c r="BK25" i="13" s="1"/>
  <c r="BJ26" i="13"/>
  <c r="BJ25" i="13" s="1"/>
  <c r="BJ215" i="35"/>
  <c r="BJ230" i="35" s="1"/>
  <c r="BK11" i="35"/>
  <c r="BI32" i="13"/>
  <c r="BI33" i="13"/>
  <c r="CA28" i="13"/>
  <c r="BK211" i="35"/>
  <c r="BK48" i="35"/>
  <c r="BK53" i="35"/>
  <c r="BJ226" i="35"/>
  <c r="BK22" i="35"/>
  <c r="BK21" i="35"/>
  <c r="CA10" i="13"/>
  <c r="BI130" i="2"/>
  <c r="BH144" i="2"/>
  <c r="BI131" i="2"/>
  <c r="BH145" i="2"/>
  <c r="BI129" i="2"/>
  <c r="BH143" i="2"/>
  <c r="AO151" i="3"/>
  <c r="AO154" i="3" s="1"/>
  <c r="AO157" i="3" s="1"/>
  <c r="AP151" i="3"/>
  <c r="AP154" i="3" s="1"/>
  <c r="AP157" i="3" s="1"/>
  <c r="AQ151" i="3"/>
  <c r="AQ154" i="3" s="1"/>
  <c r="AN154" i="3"/>
  <c r="AN157" i="3" s="1"/>
  <c r="X58" i="3"/>
  <c r="X61" i="3" s="1"/>
  <c r="W64" i="3"/>
  <c r="BE228" i="35"/>
  <c r="BE232" i="35" s="1"/>
  <c r="BE217" i="35"/>
  <c r="BC205" i="35"/>
  <c r="BF213" i="35"/>
  <c r="BF9" i="13"/>
  <c r="BF8" i="13" s="1"/>
  <c r="BG121" i="35"/>
  <c r="BG112" i="35"/>
  <c r="BG113" i="35"/>
  <c r="BG12" i="13"/>
  <c r="BD234" i="35"/>
  <c r="BE45" i="13"/>
  <c r="BE9" i="1" s="1"/>
  <c r="BE15" i="13"/>
  <c r="BE14" i="13"/>
  <c r="BF123" i="35"/>
  <c r="BF122" i="35"/>
  <c r="BG202" i="35"/>
  <c r="BG103" i="35"/>
  <c r="BF203" i="35"/>
  <c r="BZ113" i="35"/>
  <c r="BZ121" i="35"/>
  <c r="BZ123" i="35" s="1"/>
  <c r="BZ102" i="35"/>
  <c r="BZ131" i="2"/>
  <c r="BG145" i="2"/>
  <c r="BZ145" i="2" s="1"/>
  <c r="BZ129" i="2"/>
  <c r="BG143" i="2"/>
  <c r="BZ143" i="2" s="1"/>
  <c r="BZ130" i="2"/>
  <c r="BG144" i="2"/>
  <c r="BZ144" i="2" s="1"/>
  <c r="BG128" i="2"/>
  <c r="BH128" i="2" s="1"/>
  <c r="BF142" i="2"/>
  <c r="CA32" i="35" l="1"/>
  <c r="BE29" i="1"/>
  <c r="BE39" i="1"/>
  <c r="BE14" i="1"/>
  <c r="BE20" i="1" s="1"/>
  <c r="BE11" i="1"/>
  <c r="BE44" i="1"/>
  <c r="BE34" i="1"/>
  <c r="BE36" i="1"/>
  <c r="BE12" i="1"/>
  <c r="BE46" i="1"/>
  <c r="BE16" i="13"/>
  <c r="CA138" i="35"/>
  <c r="CA139" i="35" s="1"/>
  <c r="CA141" i="35"/>
  <c r="BI102" i="35"/>
  <c r="BI132" i="35"/>
  <c r="BI111" i="35"/>
  <c r="BH103" i="35"/>
  <c r="BH202" i="35"/>
  <c r="BH203" i="35" s="1"/>
  <c r="BJ131" i="35"/>
  <c r="BJ117" i="35"/>
  <c r="BK127" i="35"/>
  <c r="BH12" i="13"/>
  <c r="BH112" i="35"/>
  <c r="BH121" i="35"/>
  <c r="BH113" i="35"/>
  <c r="BI119" i="35"/>
  <c r="BI118" i="35"/>
  <c r="BJ32" i="13"/>
  <c r="BJ33" i="13"/>
  <c r="BK32" i="13"/>
  <c r="BK33" i="13"/>
  <c r="CA215" i="35"/>
  <c r="CA230" i="35" s="1"/>
  <c r="CA26" i="13"/>
  <c r="CA25" i="13" s="1"/>
  <c r="CA33" i="13" s="1"/>
  <c r="BK226" i="35"/>
  <c r="BG203" i="35"/>
  <c r="CA211" i="35"/>
  <c r="BJ129" i="2"/>
  <c r="BI143" i="2"/>
  <c r="BJ131" i="2"/>
  <c r="BI145" i="2"/>
  <c r="BJ130" i="2"/>
  <c r="BI144" i="2"/>
  <c r="BI128" i="2"/>
  <c r="BH142" i="2"/>
  <c r="BE234" i="35"/>
  <c r="Y58" i="3"/>
  <c r="Y61" i="3" s="1"/>
  <c r="X64" i="3"/>
  <c r="AQ157" i="3"/>
  <c r="AR151" i="3"/>
  <c r="BY205" i="35"/>
  <c r="BY56" i="2"/>
  <c r="BY71" i="3"/>
  <c r="BG213" i="35"/>
  <c r="BG9" i="13"/>
  <c r="BG8" i="13" s="1"/>
  <c r="BE34" i="13"/>
  <c r="BF228" i="35"/>
  <c r="BF232" i="35" s="1"/>
  <c r="BF217" i="35"/>
  <c r="BD205" i="35"/>
  <c r="BD71" i="3"/>
  <c r="BG123" i="35"/>
  <c r="BG122" i="35"/>
  <c r="BZ202" i="35"/>
  <c r="BZ12" i="13"/>
  <c r="BF45" i="13"/>
  <c r="BF9" i="1" s="1"/>
  <c r="BF14" i="13"/>
  <c r="BF15" i="13"/>
  <c r="BZ128" i="2"/>
  <c r="BG142" i="2"/>
  <c r="BG155" i="2" s="1"/>
  <c r="BF155" i="2"/>
  <c r="BF29" i="1" l="1"/>
  <c r="BF14" i="1"/>
  <c r="BF11" i="1"/>
  <c r="BF34" i="1"/>
  <c r="BF36" i="1"/>
  <c r="BF12" i="1"/>
  <c r="BF39" i="1"/>
  <c r="BF46" i="1"/>
  <c r="BF44" i="1"/>
  <c r="BF20" i="1"/>
  <c r="BE127" i="1"/>
  <c r="BE129" i="1" s="1"/>
  <c r="BE59" i="1"/>
  <c r="BE30" i="1"/>
  <c r="BE40" i="1"/>
  <c r="BE124" i="1"/>
  <c r="BE17" i="1"/>
  <c r="BE23" i="1" s="1"/>
  <c r="BE18" i="1"/>
  <c r="BE25" i="1" s="1"/>
  <c r="BH123" i="35"/>
  <c r="BH122" i="35"/>
  <c r="CA127" i="35"/>
  <c r="BK131" i="35"/>
  <c r="BK117" i="35"/>
  <c r="BJ119" i="35"/>
  <c r="BJ118" i="35"/>
  <c r="BI12" i="13"/>
  <c r="BI121" i="35"/>
  <c r="BI113" i="35"/>
  <c r="BI112" i="35"/>
  <c r="BH213" i="35"/>
  <c r="BH9" i="13"/>
  <c r="BH8" i="13" s="1"/>
  <c r="BH14" i="13" s="1"/>
  <c r="BJ132" i="35"/>
  <c r="BJ111" i="35"/>
  <c r="BJ102" i="35"/>
  <c r="BI103" i="35"/>
  <c r="BI202" i="35"/>
  <c r="CA226" i="35"/>
  <c r="BJ128" i="2"/>
  <c r="BI142" i="2"/>
  <c r="BI155" i="2" s="1"/>
  <c r="BK130" i="2"/>
  <c r="BJ144" i="2"/>
  <c r="BK131" i="2"/>
  <c r="BJ145" i="2"/>
  <c r="BK129" i="2"/>
  <c r="BJ143" i="2"/>
  <c r="BH155" i="2"/>
  <c r="BZ142" i="2"/>
  <c r="BY57" i="2"/>
  <c r="Y64" i="3"/>
  <c r="Z58" i="3"/>
  <c r="Z61" i="3" s="1"/>
  <c r="AS151" i="3"/>
  <c r="AS154" i="3" s="1"/>
  <c r="AS157" i="3" s="1"/>
  <c r="AU151" i="3"/>
  <c r="AU154" i="3" s="1"/>
  <c r="AT151" i="3"/>
  <c r="AT154" i="3" s="1"/>
  <c r="AT157" i="3" s="1"/>
  <c r="AR154" i="3"/>
  <c r="AR157" i="3" s="1"/>
  <c r="BY11" i="2"/>
  <c r="BY50" i="2" s="1"/>
  <c r="BZ213" i="35"/>
  <c r="BZ9" i="13"/>
  <c r="BF34" i="13"/>
  <c r="BD23" i="3"/>
  <c r="BY23" i="3"/>
  <c r="BY116" i="3" s="1"/>
  <c r="BG15" i="13"/>
  <c r="BG14" i="13"/>
  <c r="BG45" i="13"/>
  <c r="BG9" i="1" s="1"/>
  <c r="BF16" i="13"/>
  <c r="BY14" i="2"/>
  <c r="BY54" i="2" s="1"/>
  <c r="BF234" i="35"/>
  <c r="BE205" i="35"/>
  <c r="BE71" i="3"/>
  <c r="BE56" i="2"/>
  <c r="BG228" i="35"/>
  <c r="BG232" i="35" s="1"/>
  <c r="BG217" i="35"/>
  <c r="BZ155" i="2"/>
  <c r="BZ171" i="2" s="1"/>
  <c r="BZ173" i="2" s="1"/>
  <c r="BZ9" i="1" l="1"/>
  <c r="BD21" i="3"/>
  <c r="BE63" i="1"/>
  <c r="BE26" i="1"/>
  <c r="BE135" i="1"/>
  <c r="BE130" i="1"/>
  <c r="BF59" i="1"/>
  <c r="BF127" i="1"/>
  <c r="BF129" i="1" s="1"/>
  <c r="BF18" i="1"/>
  <c r="BF25" i="1" s="1"/>
  <c r="BF124" i="1"/>
  <c r="BF17" i="1"/>
  <c r="BG39" i="1"/>
  <c r="BG44" i="1"/>
  <c r="BG14" i="1"/>
  <c r="BZ14" i="1" s="1"/>
  <c r="BZ124" i="1" s="1"/>
  <c r="BG11" i="1"/>
  <c r="BG46" i="1"/>
  <c r="BG34" i="1"/>
  <c r="BG29" i="1"/>
  <c r="BG12" i="1"/>
  <c r="BG36" i="1"/>
  <c r="BE24" i="1"/>
  <c r="BE61" i="1"/>
  <c r="BE60" i="1"/>
  <c r="BE75" i="1"/>
  <c r="BF40" i="1"/>
  <c r="BF30" i="1"/>
  <c r="BY21" i="3"/>
  <c r="BY114" i="3" s="1"/>
  <c r="BI203" i="35"/>
  <c r="CA128" i="35"/>
  <c r="CA117" i="35"/>
  <c r="CA119" i="35" s="1"/>
  <c r="BH15" i="13"/>
  <c r="BH45" i="13"/>
  <c r="BJ103" i="35"/>
  <c r="BJ202" i="35"/>
  <c r="BJ203" i="35" s="1"/>
  <c r="BI123" i="35"/>
  <c r="BI122" i="35"/>
  <c r="BK118" i="35"/>
  <c r="BK119" i="35"/>
  <c r="BJ12" i="13"/>
  <c r="BJ112" i="35"/>
  <c r="BJ121" i="35"/>
  <c r="BJ113" i="35"/>
  <c r="BH228" i="35"/>
  <c r="BH232" i="35" s="1"/>
  <c r="BH217" i="35"/>
  <c r="BI213" i="35"/>
  <c r="BI9" i="13"/>
  <c r="BI8" i="13" s="1"/>
  <c r="CA131" i="35"/>
  <c r="BK132" i="35"/>
  <c r="BK111" i="35"/>
  <c r="BK102" i="35"/>
  <c r="CA129" i="2"/>
  <c r="CB129" i="2" s="1"/>
  <c r="CB143" i="2" s="1"/>
  <c r="BK143" i="2"/>
  <c r="CA143" i="2" s="1"/>
  <c r="CA131" i="2"/>
  <c r="CB131" i="2" s="1"/>
  <c r="CB145" i="2" s="1"/>
  <c r="BK145" i="2"/>
  <c r="CA145" i="2" s="1"/>
  <c r="CA130" i="2"/>
  <c r="CB130" i="2" s="1"/>
  <c r="CB144" i="2" s="1"/>
  <c r="BK144" i="2"/>
  <c r="CA144" i="2" s="1"/>
  <c r="BK128" i="2"/>
  <c r="BJ142" i="2"/>
  <c r="BG234" i="35"/>
  <c r="AU157" i="3"/>
  <c r="AV151" i="3"/>
  <c r="Z64" i="3"/>
  <c r="AA58" i="3"/>
  <c r="AA61" i="3" s="1"/>
  <c r="BD114" i="3"/>
  <c r="BE11" i="2"/>
  <c r="BE21" i="3" s="1"/>
  <c r="BE14" i="2"/>
  <c r="BY12" i="2"/>
  <c r="BY52" i="2" s="1"/>
  <c r="BY51" i="2" s="1"/>
  <c r="BE57" i="2"/>
  <c r="BY24" i="3"/>
  <c r="BY117" i="3" s="1"/>
  <c r="BY28" i="2"/>
  <c r="BY22" i="3"/>
  <c r="BY115" i="3" s="1"/>
  <c r="BZ228" i="35"/>
  <c r="BZ232" i="35" s="1"/>
  <c r="BZ217" i="35"/>
  <c r="BD116" i="3"/>
  <c r="BB235" i="35"/>
  <c r="BF205" i="35"/>
  <c r="BF71" i="3"/>
  <c r="BF56" i="2"/>
  <c r="BC235" i="35"/>
  <c r="BG16" i="13"/>
  <c r="BG34" i="13"/>
  <c r="BZ8" i="13"/>
  <c r="BZ44" i="1" l="1"/>
  <c r="BZ12" i="1"/>
  <c r="BZ30" i="1" s="1"/>
  <c r="BZ36" i="1"/>
  <c r="BZ34" i="1"/>
  <c r="BZ39" i="1"/>
  <c r="BZ46" i="1"/>
  <c r="BZ29" i="1"/>
  <c r="BD22" i="3"/>
  <c r="BH16" i="13"/>
  <c r="BH9" i="1"/>
  <c r="BE62" i="1"/>
  <c r="BE76" i="1"/>
  <c r="BE83" i="1" s="1"/>
  <c r="BG40" i="1"/>
  <c r="BG30" i="1"/>
  <c r="BF130" i="1"/>
  <c r="BF135" i="1"/>
  <c r="BE77" i="1"/>
  <c r="BE64" i="1"/>
  <c r="BG20" i="1"/>
  <c r="BG18" i="1"/>
  <c r="BG124" i="1"/>
  <c r="BG17" i="1"/>
  <c r="BG23" i="1" s="1"/>
  <c r="BF23" i="1"/>
  <c r="BF63" i="1"/>
  <c r="BF26" i="1"/>
  <c r="BF60" i="1"/>
  <c r="BF75" i="1"/>
  <c r="BH234" i="35"/>
  <c r="BK103" i="35"/>
  <c r="BK202" i="35"/>
  <c r="BK203" i="35" s="1"/>
  <c r="BI14" i="13"/>
  <c r="BI45" i="13"/>
  <c r="BI15" i="13"/>
  <c r="BH34" i="13"/>
  <c r="BK12" i="13"/>
  <c r="CA12" i="13" s="1"/>
  <c r="BK112" i="35"/>
  <c r="BK121" i="35"/>
  <c r="BK113" i="35"/>
  <c r="BI228" i="35"/>
  <c r="BI232" i="35" s="1"/>
  <c r="BI217" i="35"/>
  <c r="BJ123" i="35"/>
  <c r="BJ122" i="35"/>
  <c r="CA129" i="35"/>
  <c r="CA130" i="35" s="1"/>
  <c r="CA132" i="35"/>
  <c r="CA111" i="35"/>
  <c r="BJ213" i="35"/>
  <c r="BJ9" i="13"/>
  <c r="BJ8" i="13" s="1"/>
  <c r="BJ155" i="2"/>
  <c r="CA128" i="2"/>
  <c r="CB128" i="2" s="1"/>
  <c r="CB142" i="2" s="1"/>
  <c r="CB155" i="2" s="1"/>
  <c r="BK142" i="2"/>
  <c r="BK155" i="2" s="1"/>
  <c r="AA64" i="3"/>
  <c r="AB58" i="3"/>
  <c r="AB61" i="3" s="1"/>
  <c r="AX151" i="3"/>
  <c r="AX154" i="3" s="1"/>
  <c r="AX157" i="3" s="1"/>
  <c r="AV154" i="3"/>
  <c r="AV157" i="3" s="1"/>
  <c r="AW151" i="3"/>
  <c r="AW154" i="3" s="1"/>
  <c r="AW157" i="3" s="1"/>
  <c r="AY151" i="3"/>
  <c r="AY154" i="3" s="1"/>
  <c r="BY235" i="35"/>
  <c r="BD115" i="3"/>
  <c r="BG205" i="35"/>
  <c r="BG71" i="3"/>
  <c r="BG56" i="2"/>
  <c r="BY53" i="2"/>
  <c r="BY35" i="2"/>
  <c r="BD24" i="3"/>
  <c r="BF14" i="2"/>
  <c r="BF23" i="3" s="1"/>
  <c r="BF11" i="2"/>
  <c r="BF21" i="3" s="1"/>
  <c r="BZ15" i="13"/>
  <c r="BZ45" i="13"/>
  <c r="BE23" i="3"/>
  <c r="BF57" i="2"/>
  <c r="BE12" i="2"/>
  <c r="BE22" i="3" s="1"/>
  <c r="BE28" i="2"/>
  <c r="BE114" i="3"/>
  <c r="BZ234" i="35"/>
  <c r="BY166" i="2"/>
  <c r="BY168" i="2" s="1"/>
  <c r="BB192" i="2"/>
  <c r="BZ17" i="1" l="1"/>
  <c r="BZ23" i="1" s="1"/>
  <c r="BZ61" i="1" s="1"/>
  <c r="BI16" i="13"/>
  <c r="BI9" i="1"/>
  <c r="BG24" i="1"/>
  <c r="BG61" i="1"/>
  <c r="BG25" i="1"/>
  <c r="BZ18" i="1"/>
  <c r="BH29" i="1"/>
  <c r="BH14" i="1"/>
  <c r="BH11" i="1"/>
  <c r="BH36" i="1"/>
  <c r="BH12" i="1"/>
  <c r="BH39" i="1"/>
  <c r="BH44" i="1"/>
  <c r="BH46" i="1"/>
  <c r="BH34" i="1"/>
  <c r="BF64" i="1"/>
  <c r="BF77" i="1"/>
  <c r="BF61" i="1"/>
  <c r="BF24" i="1"/>
  <c r="BG127" i="1"/>
  <c r="BG129" i="1" s="1"/>
  <c r="BG59" i="1"/>
  <c r="BZ20" i="1"/>
  <c r="CA202" i="35"/>
  <c r="CA213" i="35"/>
  <c r="CA9" i="13"/>
  <c r="CA8" i="13" s="1"/>
  <c r="BK123" i="35"/>
  <c r="BK122" i="35"/>
  <c r="BJ14" i="13"/>
  <c r="BJ15" i="13"/>
  <c r="BJ45" i="13"/>
  <c r="BJ9" i="1" s="1"/>
  <c r="BJ228" i="35"/>
  <c r="BJ232" i="35" s="1"/>
  <c r="BJ217" i="35"/>
  <c r="BI234" i="35"/>
  <c r="BK213" i="35"/>
  <c r="BK9" i="13"/>
  <c r="BK8" i="13" s="1"/>
  <c r="CA113" i="35"/>
  <c r="CA102" i="35"/>
  <c r="CA121" i="35"/>
  <c r="CA123" i="35" s="1"/>
  <c r="BH71" i="3"/>
  <c r="BH205" i="35"/>
  <c r="BH56" i="2"/>
  <c r="BI34" i="13"/>
  <c r="CA142" i="2"/>
  <c r="CA155" i="2" s="1"/>
  <c r="CA171" i="2" s="1"/>
  <c r="AZ151" i="3"/>
  <c r="AY157" i="3"/>
  <c r="AC58" i="3"/>
  <c r="AC61" i="3" s="1"/>
  <c r="AB64" i="3"/>
  <c r="BE235" i="35"/>
  <c r="BD235" i="35"/>
  <c r="BC192" i="2"/>
  <c r="BY69" i="2"/>
  <c r="BY192" i="2" s="1"/>
  <c r="BF114" i="3"/>
  <c r="BD117" i="3"/>
  <c r="BC92" i="3"/>
  <c r="BC93" i="3" s="1"/>
  <c r="BZ205" i="35"/>
  <c r="BZ71" i="3"/>
  <c r="BZ56" i="2"/>
  <c r="BE24" i="3"/>
  <c r="BE35" i="2"/>
  <c r="BB101" i="3"/>
  <c r="BB123" i="3" s="1"/>
  <c r="BB153" i="3" s="1"/>
  <c r="BE116" i="3"/>
  <c r="BF116" i="3" s="1"/>
  <c r="BG11" i="2"/>
  <c r="BG14" i="2"/>
  <c r="BY180" i="2"/>
  <c r="BY182" i="2"/>
  <c r="BZ57" i="2"/>
  <c r="BF28" i="2"/>
  <c r="BF12" i="2"/>
  <c r="BY8" i="3"/>
  <c r="BG57" i="2"/>
  <c r="BE115" i="3"/>
  <c r="BZ24" i="1" l="1"/>
  <c r="BJ12" i="1"/>
  <c r="BJ29" i="1"/>
  <c r="BJ14" i="1"/>
  <c r="BJ11" i="1"/>
  <c r="BJ36" i="1"/>
  <c r="BJ39" i="1"/>
  <c r="BJ44" i="1"/>
  <c r="BJ46" i="1"/>
  <c r="BJ34" i="1"/>
  <c r="BZ59" i="1"/>
  <c r="BZ127" i="1"/>
  <c r="BZ129" i="1" s="1"/>
  <c r="BZ21" i="1"/>
  <c r="BG135" i="1"/>
  <c r="BG130" i="1"/>
  <c r="BF76" i="1"/>
  <c r="BF83" i="1" s="1"/>
  <c r="BF62" i="1"/>
  <c r="BH30" i="1"/>
  <c r="BH40" i="1"/>
  <c r="BG76" i="1"/>
  <c r="BG83" i="1" s="1"/>
  <c r="BG62" i="1"/>
  <c r="BI29" i="1"/>
  <c r="BI14" i="1"/>
  <c r="BI11" i="1"/>
  <c r="BI36" i="1"/>
  <c r="BI12" i="1"/>
  <c r="BI39" i="1"/>
  <c r="BI44" i="1"/>
  <c r="BI46" i="1"/>
  <c r="BI34" i="1"/>
  <c r="BG75" i="1"/>
  <c r="BG60" i="1"/>
  <c r="BH20" i="1"/>
  <c r="BH18" i="1"/>
  <c r="BH124" i="1"/>
  <c r="BH17" i="1"/>
  <c r="BG63" i="1"/>
  <c r="BG26" i="1"/>
  <c r="BZ25" i="1"/>
  <c r="BZ76" i="1"/>
  <c r="BZ62" i="1"/>
  <c r="BB151" i="3"/>
  <c r="BC151" i="3"/>
  <c r="BB154" i="3"/>
  <c r="BB157" i="3" s="1"/>
  <c r="BK228" i="35"/>
  <c r="BK232" i="35" s="1"/>
  <c r="BK217" i="35"/>
  <c r="BJ16" i="13"/>
  <c r="BJ34" i="13"/>
  <c r="BI205" i="35"/>
  <c r="BI56" i="2"/>
  <c r="BI71" i="3"/>
  <c r="BJ234" i="35"/>
  <c r="CA45" i="13"/>
  <c r="CA15" i="13"/>
  <c r="BH57" i="2"/>
  <c r="BH14" i="2"/>
  <c r="BH23" i="3" s="1"/>
  <c r="BH11" i="2"/>
  <c r="BH21" i="3" s="1"/>
  <c r="BK45" i="13"/>
  <c r="BK9" i="1" s="1"/>
  <c r="BK14" i="13"/>
  <c r="BK15" i="13"/>
  <c r="CA228" i="35"/>
  <c r="CA232" i="35" s="1"/>
  <c r="CA217" i="35"/>
  <c r="BZ11" i="2"/>
  <c r="BZ50" i="2" s="1"/>
  <c r="BZ14" i="2"/>
  <c r="BZ54" i="2" s="1"/>
  <c r="AC64" i="3"/>
  <c r="AD58" i="3"/>
  <c r="AD61" i="3" s="1"/>
  <c r="BA151" i="3"/>
  <c r="AZ154" i="3"/>
  <c r="AZ157" i="3" s="1"/>
  <c r="BG23" i="3"/>
  <c r="BZ23" i="3" s="1"/>
  <c r="BZ116" i="3" s="1"/>
  <c r="BB92" i="3"/>
  <c r="BB93" i="3" s="1"/>
  <c r="BG21" i="3"/>
  <c r="BZ21" i="3" s="1"/>
  <c r="BC101" i="3"/>
  <c r="BC123" i="3" s="1"/>
  <c r="BC153" i="3" s="1"/>
  <c r="BC154" i="3" s="1"/>
  <c r="BY30" i="3"/>
  <c r="BY101" i="3"/>
  <c r="BY123" i="3" s="1"/>
  <c r="BY153" i="3" s="1"/>
  <c r="BY154" i="3" s="1"/>
  <c r="BZ151" i="3" s="1"/>
  <c r="BF24" i="3"/>
  <c r="BF35" i="2"/>
  <c r="BG12" i="2"/>
  <c r="BG28" i="2"/>
  <c r="BF22" i="3"/>
  <c r="BE117" i="3"/>
  <c r="BZ83" i="1" l="1"/>
  <c r="BG235" i="35"/>
  <c r="BK12" i="1"/>
  <c r="BK29" i="1"/>
  <c r="BK36" i="1"/>
  <c r="BK14" i="1"/>
  <c r="BK20" i="1" s="1"/>
  <c r="BK11" i="1"/>
  <c r="BK39" i="1"/>
  <c r="BK44" i="1"/>
  <c r="BK46" i="1"/>
  <c r="BK34" i="1"/>
  <c r="BH23" i="1"/>
  <c r="BH59" i="1"/>
  <c r="BH127" i="1"/>
  <c r="BH129" i="1" s="1"/>
  <c r="BI124" i="1"/>
  <c r="BI18" i="1"/>
  <c r="BI25" i="1" s="1"/>
  <c r="BI17" i="1"/>
  <c r="BI23" i="1" s="1"/>
  <c r="BZ135" i="1"/>
  <c r="BZ130" i="1"/>
  <c r="BJ30" i="1"/>
  <c r="BJ40" i="1"/>
  <c r="BZ63" i="1"/>
  <c r="BZ26" i="1"/>
  <c r="BG77" i="1"/>
  <c r="BG64" i="1"/>
  <c r="BH25" i="1"/>
  <c r="CA9" i="1"/>
  <c r="BI20" i="1"/>
  <c r="BI30" i="1"/>
  <c r="BI40" i="1"/>
  <c r="BZ60" i="1"/>
  <c r="BZ75" i="1"/>
  <c r="BJ20" i="1"/>
  <c r="BJ18" i="1"/>
  <c r="BJ25" i="1" s="1"/>
  <c r="BJ124" i="1"/>
  <c r="BJ17" i="1"/>
  <c r="BJ23" i="1" s="1"/>
  <c r="BF235" i="35"/>
  <c r="BK234" i="35"/>
  <c r="BK16" i="13"/>
  <c r="BK34" i="13"/>
  <c r="BI11" i="2"/>
  <c r="BI14" i="2"/>
  <c r="BJ71" i="3"/>
  <c r="BJ205" i="35"/>
  <c r="BJ56" i="2"/>
  <c r="CA234" i="35"/>
  <c r="BH12" i="2"/>
  <c r="BH22" i="3" s="1"/>
  <c r="BH28" i="2"/>
  <c r="BH35" i="2" s="1"/>
  <c r="BI57" i="2"/>
  <c r="BF117" i="3"/>
  <c r="BH116" i="3"/>
  <c r="BH114" i="3"/>
  <c r="BZ12" i="2"/>
  <c r="BZ52" i="2" s="1"/>
  <c r="BZ51" i="2" s="1"/>
  <c r="BG114" i="3"/>
  <c r="AD64" i="3"/>
  <c r="AE58" i="3"/>
  <c r="AE61" i="3" s="1"/>
  <c r="BA154" i="3"/>
  <c r="BA157" i="3" s="1"/>
  <c r="BD151" i="3"/>
  <c r="BE151" i="3" s="1"/>
  <c r="BF151" i="3" s="1"/>
  <c r="BG151" i="3" s="1"/>
  <c r="BZ114" i="3"/>
  <c r="BG116" i="3"/>
  <c r="BG22" i="3"/>
  <c r="BZ22" i="3" s="1"/>
  <c r="BZ115" i="3" s="1"/>
  <c r="BG24" i="3"/>
  <c r="BZ24" i="3" s="1"/>
  <c r="BZ117" i="3" s="1"/>
  <c r="BZ28" i="2"/>
  <c r="BG35" i="2"/>
  <c r="BY92" i="3"/>
  <c r="BY93" i="3" s="1"/>
  <c r="BY60" i="3"/>
  <c r="BY61" i="3" s="1"/>
  <c r="BZ58" i="3" s="1"/>
  <c r="BF115" i="3"/>
  <c r="BJ127" i="1" l="1"/>
  <c r="BJ129" i="1" s="1"/>
  <c r="BJ59" i="1"/>
  <c r="BI127" i="1"/>
  <c r="BI129" i="1" s="1"/>
  <c r="BI59" i="1"/>
  <c r="BH63" i="1"/>
  <c r="BH26" i="1"/>
  <c r="BH235" i="35" s="1"/>
  <c r="BI26" i="1"/>
  <c r="BI235" i="35" s="1"/>
  <c r="BI63" i="1"/>
  <c r="CA20" i="1"/>
  <c r="BH75" i="1"/>
  <c r="BH60" i="1"/>
  <c r="BK127" i="1"/>
  <c r="BK129" i="1" s="1"/>
  <c r="BK59" i="1"/>
  <c r="BK18" i="1"/>
  <c r="BK25" i="1" s="1"/>
  <c r="BK124" i="1"/>
  <c r="BK17" i="1"/>
  <c r="CA14" i="1"/>
  <c r="CA124" i="1" s="1"/>
  <c r="BJ61" i="1"/>
  <c r="BJ24" i="1"/>
  <c r="BJ26" i="1"/>
  <c r="BJ63" i="1"/>
  <c r="CB9" i="1"/>
  <c r="CA29" i="1"/>
  <c r="CA12" i="1"/>
  <c r="CA36" i="1"/>
  <c r="CB36" i="1" s="1"/>
  <c r="CA39" i="1"/>
  <c r="CA44" i="1"/>
  <c r="CA46" i="1"/>
  <c r="CB46" i="1" s="1"/>
  <c r="CA34" i="1"/>
  <c r="CA18" i="1"/>
  <c r="BZ64" i="1"/>
  <c r="BZ77" i="1"/>
  <c r="BI24" i="1"/>
  <c r="BI61" i="1"/>
  <c r="BH135" i="1"/>
  <c r="BH130" i="1"/>
  <c r="BH24" i="1"/>
  <c r="BH61" i="1"/>
  <c r="BK30" i="1"/>
  <c r="BK40" i="1"/>
  <c r="BJ11" i="2"/>
  <c r="BJ21" i="3" s="1"/>
  <c r="BJ14" i="2"/>
  <c r="BJ23" i="3" s="1"/>
  <c r="BK205" i="35"/>
  <c r="BK56" i="2"/>
  <c r="BK71" i="3"/>
  <c r="BI21" i="3"/>
  <c r="BI114" i="3" s="1"/>
  <c r="BI12" i="2"/>
  <c r="BI28" i="2"/>
  <c r="BI23" i="3"/>
  <c r="BI116" i="3" s="1"/>
  <c r="BJ57" i="2"/>
  <c r="BH24" i="3"/>
  <c r="BH115" i="3"/>
  <c r="CA172" i="2"/>
  <c r="CA173" i="2" s="1"/>
  <c r="BG115" i="3"/>
  <c r="AE64" i="3"/>
  <c r="AF58" i="3"/>
  <c r="AF61" i="3" s="1"/>
  <c r="BZ35" i="2"/>
  <c r="BZ53" i="2"/>
  <c r="BZ235" i="35"/>
  <c r="BZ166" i="2"/>
  <c r="BZ168" i="2" s="1"/>
  <c r="BG117" i="3"/>
  <c r="CB45" i="1" l="1"/>
  <c r="CB38" i="1" s="1"/>
  <c r="CB39" i="1" s="1"/>
  <c r="CB69" i="3"/>
  <c r="CB56" i="2"/>
  <c r="BH76" i="1"/>
  <c r="BH83" i="1" s="1"/>
  <c r="BH62" i="1"/>
  <c r="BI76" i="1"/>
  <c r="BI83" i="1" s="1"/>
  <c r="BI62" i="1"/>
  <c r="BJ62" i="1"/>
  <c r="BJ76" i="1"/>
  <c r="BJ83" i="1" s="1"/>
  <c r="BK23" i="1"/>
  <c r="CA17" i="1"/>
  <c r="CA23" i="1" s="1"/>
  <c r="BK26" i="1"/>
  <c r="BK63" i="1"/>
  <c r="BK135" i="1"/>
  <c r="BK130" i="1"/>
  <c r="CA25" i="1"/>
  <c r="BI60" i="1"/>
  <c r="BI75" i="1"/>
  <c r="BJ60" i="1"/>
  <c r="BJ75" i="1"/>
  <c r="CB35" i="1"/>
  <c r="BJ64" i="1"/>
  <c r="BJ77" i="1"/>
  <c r="BK75" i="1"/>
  <c r="BK60" i="1"/>
  <c r="CA21" i="1"/>
  <c r="CA127" i="1"/>
  <c r="CA129" i="1" s="1"/>
  <c r="CA59" i="1"/>
  <c r="BI77" i="1"/>
  <c r="BI64" i="1"/>
  <c r="BH64" i="1"/>
  <c r="BH77" i="1"/>
  <c r="BI130" i="1"/>
  <c r="BI135" i="1"/>
  <c r="BJ135" i="1"/>
  <c r="BJ130" i="1"/>
  <c r="BJ116" i="3"/>
  <c r="BH117" i="3"/>
  <c r="BI22" i="3"/>
  <c r="BI115" i="3" s="1"/>
  <c r="BK11" i="2"/>
  <c r="CA11" i="2" s="1"/>
  <c r="BK14" i="2"/>
  <c r="CA14" i="2" s="1"/>
  <c r="BJ235" i="35"/>
  <c r="CA71" i="3"/>
  <c r="CA205" i="35"/>
  <c r="CA56" i="2"/>
  <c r="BJ28" i="2"/>
  <c r="BJ12" i="2"/>
  <c r="BJ22" i="3" s="1"/>
  <c r="CA57" i="2"/>
  <c r="BI24" i="3"/>
  <c r="BI35" i="2"/>
  <c r="BK57" i="2"/>
  <c r="BJ114" i="3"/>
  <c r="AF64" i="3"/>
  <c r="AG58" i="3"/>
  <c r="AG61" i="3" s="1"/>
  <c r="BZ180" i="2"/>
  <c r="BZ182" i="2"/>
  <c r="CB43" i="1" l="1"/>
  <c r="CB44" i="1" s="1"/>
  <c r="CB33" i="3"/>
  <c r="CB73" i="3"/>
  <c r="CB76" i="3" s="1"/>
  <c r="CB17" i="2" s="1"/>
  <c r="CB78" i="3" s="1"/>
  <c r="CB79" i="3" s="1"/>
  <c r="CA60" i="1"/>
  <c r="CA75" i="1"/>
  <c r="CA26" i="1"/>
  <c r="CA63" i="1"/>
  <c r="BK77" i="1"/>
  <c r="BK64" i="1"/>
  <c r="CA61" i="1"/>
  <c r="CA24" i="1"/>
  <c r="CA135" i="1"/>
  <c r="CA130" i="1"/>
  <c r="CB28" i="1"/>
  <c r="CB33" i="1"/>
  <c r="CB57" i="1"/>
  <c r="BK61" i="1"/>
  <c r="BK24" i="1"/>
  <c r="BK21" i="3"/>
  <c r="CA21" i="3" s="1"/>
  <c r="CA114" i="3" s="1"/>
  <c r="BK23" i="3"/>
  <c r="BK116" i="3" s="1"/>
  <c r="BK28" i="2"/>
  <c r="BK12" i="2"/>
  <c r="CA12" i="2" s="1"/>
  <c r="BJ24" i="3"/>
  <c r="BJ35" i="2"/>
  <c r="BI117" i="3"/>
  <c r="CA54" i="2"/>
  <c r="CB54" i="2" s="1"/>
  <c r="CB14" i="2" s="1"/>
  <c r="CB23" i="3" s="1"/>
  <c r="CB116" i="3" s="1"/>
  <c r="BK235" i="35"/>
  <c r="BJ115" i="3"/>
  <c r="CA50" i="2"/>
  <c r="CB50" i="2" s="1"/>
  <c r="CB11" i="2" s="1"/>
  <c r="CB21" i="3" s="1"/>
  <c r="CB114" i="3" s="1"/>
  <c r="AH58" i="3"/>
  <c r="AH61" i="3" s="1"/>
  <c r="AG64" i="3"/>
  <c r="CB26" i="1" l="1"/>
  <c r="CB25" i="1" s="1"/>
  <c r="CB63" i="1" s="1"/>
  <c r="CB42" i="3"/>
  <c r="CB126" i="3"/>
  <c r="CB135" i="3" s="1"/>
  <c r="CA52" i="2"/>
  <c r="CA51" i="2" s="1"/>
  <c r="CA235" i="35"/>
  <c r="BK62" i="1"/>
  <c r="BK76" i="1"/>
  <c r="BK83" i="1" s="1"/>
  <c r="CA83" i="1" s="1"/>
  <c r="CB29" i="1"/>
  <c r="CB123" i="1"/>
  <c r="CB55" i="1"/>
  <c r="CB132" i="1" s="1"/>
  <c r="CB134" i="1" s="1"/>
  <c r="CA77" i="1"/>
  <c r="CA64" i="1"/>
  <c r="CB34" i="1"/>
  <c r="CB56" i="1"/>
  <c r="CA76" i="1"/>
  <c r="CA62" i="1"/>
  <c r="BK114" i="3"/>
  <c r="CA23" i="3"/>
  <c r="CA116" i="3" s="1"/>
  <c r="BK22" i="3"/>
  <c r="CA22" i="3" s="1"/>
  <c r="CA115" i="3" s="1"/>
  <c r="BJ117" i="3"/>
  <c r="CA166" i="2"/>
  <c r="CA168" i="2" s="1"/>
  <c r="CA28" i="2"/>
  <c r="BK24" i="3"/>
  <c r="CA24" i="3" s="1"/>
  <c r="CA117" i="3" s="1"/>
  <c r="BK35" i="2"/>
  <c r="AI58" i="3"/>
  <c r="AI61" i="3" s="1"/>
  <c r="AH64" i="3"/>
  <c r="CB52" i="2" l="1"/>
  <c r="CB51" i="2" s="1"/>
  <c r="CB18" i="1"/>
  <c r="CB14" i="1" s="1"/>
  <c r="CB57" i="2" s="1"/>
  <c r="CB77" i="1"/>
  <c r="CB64" i="1"/>
  <c r="BK115" i="3"/>
  <c r="CA53" i="2"/>
  <c r="CB53" i="2" s="1"/>
  <c r="CA35" i="2"/>
  <c r="BK117" i="3"/>
  <c r="CA180" i="2"/>
  <c r="CA182" i="2"/>
  <c r="AJ58" i="3"/>
  <c r="AJ61" i="3" s="1"/>
  <c r="AI64" i="3"/>
  <c r="CB17" i="1" l="1"/>
  <c r="CB23" i="1" s="1"/>
  <c r="CB24" i="1" s="1"/>
  <c r="CB28" i="2"/>
  <c r="CB35" i="2" s="1"/>
  <c r="CB124" i="1"/>
  <c r="CB12" i="2"/>
  <c r="CB22" i="3" s="1"/>
  <c r="CB115" i="3" s="1"/>
  <c r="CB20" i="1"/>
  <c r="CB127" i="1" s="1"/>
  <c r="CB129" i="1" s="1"/>
  <c r="AJ64" i="3"/>
  <c r="AK58" i="3"/>
  <c r="AK61" i="3" s="1"/>
  <c r="CB61" i="1" l="1"/>
  <c r="CB62" i="1" s="1"/>
  <c r="CB24" i="3"/>
  <c r="CB117" i="3" s="1"/>
  <c r="CB21" i="1"/>
  <c r="CB59" i="1"/>
  <c r="CB60" i="1" s="1"/>
  <c r="CB135" i="1"/>
  <c r="CB130" i="1"/>
  <c r="AK64" i="3"/>
  <c r="AL58" i="3"/>
  <c r="AL61" i="3" s="1"/>
  <c r="CB76" i="1" l="1"/>
  <c r="CB75" i="1"/>
  <c r="AL64" i="3"/>
  <c r="AM58" i="3"/>
  <c r="AM61" i="3" s="1"/>
  <c r="AN58" i="3" l="1"/>
  <c r="AN61" i="3" s="1"/>
  <c r="AM64" i="3"/>
  <c r="AO58" i="3" l="1"/>
  <c r="AO61" i="3" s="1"/>
  <c r="AN64" i="3"/>
  <c r="AP58" i="3" l="1"/>
  <c r="AP61" i="3" s="1"/>
  <c r="AO64" i="3"/>
  <c r="AQ58" i="3" l="1"/>
  <c r="AQ61" i="3" s="1"/>
  <c r="AP64" i="3"/>
  <c r="AR58" i="3" l="1"/>
  <c r="AR61" i="3" s="1"/>
  <c r="AQ64" i="3"/>
  <c r="AR64" i="3" l="1"/>
  <c r="AS58" i="3"/>
  <c r="AS61" i="3" s="1"/>
  <c r="AS64" i="3" l="1"/>
  <c r="AT58" i="3"/>
  <c r="AT61" i="3" s="1"/>
  <c r="AU58" i="3" l="1"/>
  <c r="AU61" i="3" s="1"/>
  <c r="AT64" i="3"/>
  <c r="AU64" i="3" l="1"/>
  <c r="AV58" i="3"/>
  <c r="AV61" i="3" s="1"/>
  <c r="AW58" i="3" l="1"/>
  <c r="AW61" i="3" s="1"/>
  <c r="AV64" i="3"/>
  <c r="AX58" i="3" l="1"/>
  <c r="AX61" i="3" s="1"/>
  <c r="AW64" i="3"/>
  <c r="AY58" i="3" l="1"/>
  <c r="AY61" i="3" s="1"/>
  <c r="AX64" i="3"/>
  <c r="AY64" i="3" l="1"/>
  <c r="AZ58" i="3"/>
  <c r="AZ61" i="3" s="1"/>
  <c r="BA58" i="3" l="1"/>
  <c r="BA61" i="3" s="1"/>
  <c r="BB58" i="3" s="1"/>
  <c r="BB61" i="3" s="1"/>
  <c r="AZ64" i="3"/>
  <c r="BB64" i="3" l="1"/>
  <c r="BC58" i="3"/>
  <c r="BC61" i="3" s="1"/>
  <c r="BC64" i="3" s="1"/>
  <c r="BA64" i="3"/>
  <c r="BD58" i="3" l="1"/>
  <c r="BB71" i="2"/>
  <c r="BB95" i="2" l="1"/>
  <c r="BB97" i="2"/>
  <c r="BB98" i="2" s="1"/>
  <c r="BB94" i="2"/>
  <c r="BB73" i="2"/>
  <c r="BB74" i="2" s="1"/>
  <c r="BY70" i="2" l="1"/>
  <c r="BY71" i="2" s="1"/>
  <c r="BC71" i="2"/>
  <c r="BC95" i="2" l="1"/>
  <c r="BC94" i="2"/>
  <c r="BC73" i="2"/>
  <c r="BC74" i="2" s="1"/>
  <c r="BC97" i="2"/>
  <c r="BC98" i="2" s="1"/>
  <c r="BY42" i="2"/>
  <c r="BE70" i="2"/>
  <c r="BF70" i="2" l="1"/>
  <c r="BY97" i="2"/>
  <c r="BY98" i="2" s="1"/>
  <c r="BY95" i="2"/>
  <c r="BY73" i="2"/>
  <c r="BY74" i="2" s="1"/>
  <c r="BY44" i="2"/>
  <c r="BG70" i="2" l="1"/>
  <c r="BH70" i="2" s="1"/>
  <c r="BI70" i="2" l="1"/>
  <c r="BZ70" i="2"/>
  <c r="BJ70" i="2" l="1"/>
  <c r="BK70" i="2" l="1"/>
  <c r="CA70" i="2" l="1"/>
  <c r="CB70" i="2" s="1"/>
  <c r="BB81" i="2" l="1"/>
  <c r="BB84" i="2" s="1"/>
  <c r="BB175" i="2" s="1"/>
  <c r="BC156" i="3" l="1"/>
  <c r="BC157" i="3" s="1"/>
  <c r="BC81" i="2"/>
  <c r="BC84" i="2" s="1"/>
  <c r="BC175" i="2" s="1"/>
  <c r="BY8" i="2"/>
  <c r="BB101" i="2"/>
  <c r="BC159" i="2"/>
  <c r="BC162" i="2" s="1"/>
  <c r="BB90" i="2"/>
  <c r="BB91" i="2" l="1"/>
  <c r="BB177" i="2"/>
  <c r="BY156" i="3"/>
  <c r="BY157" i="3" s="1"/>
  <c r="BY63" i="3"/>
  <c r="BY64" i="3" s="1"/>
  <c r="BB74" i="3"/>
  <c r="BC101" i="2"/>
  <c r="BY81" i="2"/>
  <c r="BY84" i="2" s="1"/>
  <c r="BY15" i="2"/>
  <c r="BD159" i="2"/>
  <c r="BD162" i="2" s="1"/>
  <c r="BC90" i="2"/>
  <c r="BC91" i="2" l="1"/>
  <c r="BC177" i="2"/>
  <c r="BC46" i="2"/>
  <c r="BY101" i="2"/>
  <c r="BY24" i="2"/>
  <c r="BZ159" i="2"/>
  <c r="BZ162" i="2" s="1"/>
  <c r="BY175" i="2"/>
  <c r="BY90" i="2"/>
  <c r="BY46" i="2" l="1"/>
  <c r="BY74" i="3"/>
  <c r="BY177" i="2"/>
  <c r="BY181" i="2" s="1"/>
  <c r="BY91" i="2"/>
  <c r="BE79" i="1" l="1"/>
  <c r="BF79" i="1"/>
  <c r="BF88" i="1" s="1"/>
  <c r="BF95" i="1" s="1"/>
  <c r="BG79" i="1"/>
  <c r="BG88" i="1" s="1"/>
  <c r="BG95" i="1" s="1"/>
  <c r="BH79" i="1"/>
  <c r="BH88" i="1" s="1"/>
  <c r="BH95" i="1" s="1"/>
  <c r="BI79" i="1"/>
  <c r="BJ79" i="1"/>
  <c r="BJ88" i="1" s="1"/>
  <c r="BJ95" i="1" s="1"/>
  <c r="BJ8" i="3" s="1"/>
  <c r="BJ30" i="3" s="1"/>
  <c r="BJ60" i="3" s="1"/>
  <c r="BK79" i="1"/>
  <c r="BK88" i="1" s="1"/>
  <c r="BK95" i="1" s="1"/>
  <c r="BK8" i="3" s="1"/>
  <c r="BK30" i="3" s="1"/>
  <c r="BK60" i="3" s="1"/>
  <c r="BE82" i="1"/>
  <c r="BF82" i="1"/>
  <c r="BG82" i="1"/>
  <c r="BH82" i="1"/>
  <c r="BI82" i="1"/>
  <c r="BJ82" i="1"/>
  <c r="BK82" i="1"/>
  <c r="BZ84" i="1"/>
  <c r="CA84" i="1"/>
  <c r="CB84" i="1" s="1"/>
  <c r="CB83" i="1" s="1"/>
  <c r="CB90" i="1" s="1"/>
  <c r="BE90" i="1"/>
  <c r="BE105" i="1" s="1"/>
  <c r="BF90" i="1"/>
  <c r="BG90" i="1"/>
  <c r="BG105" i="1" s="1"/>
  <c r="BH90" i="1"/>
  <c r="BI90" i="1"/>
  <c r="BI105" i="1" s="1"/>
  <c r="BJ90" i="1"/>
  <c r="BK90" i="1"/>
  <c r="BK105" i="1" s="1"/>
  <c r="CA90" i="1"/>
  <c r="BD8" i="3"/>
  <c r="BK85" i="1" l="1"/>
  <c r="BK86" i="1" s="1"/>
  <c r="BG85" i="1"/>
  <c r="BG86" i="1" s="1"/>
  <c r="CA105" i="1"/>
  <c r="BJ85" i="1"/>
  <c r="BJ92" i="1" s="1"/>
  <c r="BJ91" i="1" s="1"/>
  <c r="BF85" i="1"/>
  <c r="BF140" i="1" s="1"/>
  <c r="BF141" i="1" s="1"/>
  <c r="BF143" i="1" s="1"/>
  <c r="CA79" i="1"/>
  <c r="CB79" i="1" s="1"/>
  <c r="BE85" i="1"/>
  <c r="BE86" i="1" s="1"/>
  <c r="BH85" i="1"/>
  <c r="BH86" i="1" s="1"/>
  <c r="BG8" i="3"/>
  <c r="BG30" i="3" s="1"/>
  <c r="BG60" i="3" s="1"/>
  <c r="BG101" i="1"/>
  <c r="BG103" i="1" s="1"/>
  <c r="BF8" i="3"/>
  <c r="BF30" i="3" s="1"/>
  <c r="BF60" i="3" s="1"/>
  <c r="BF101" i="1"/>
  <c r="BF103" i="1" s="1"/>
  <c r="BH8" i="3"/>
  <c r="BH30" i="3" s="1"/>
  <c r="BH60" i="3" s="1"/>
  <c r="BH96" i="1"/>
  <c r="BH89" i="1"/>
  <c r="BJ89" i="1"/>
  <c r="BF89" i="1"/>
  <c r="BI88" i="1"/>
  <c r="BI95" i="1" s="1"/>
  <c r="BI101" i="1" s="1"/>
  <c r="BI103" i="1" s="1"/>
  <c r="BE88" i="1"/>
  <c r="BE95" i="1" s="1"/>
  <c r="BE101" i="1" s="1"/>
  <c r="BE103" i="1" s="1"/>
  <c r="CA82" i="1"/>
  <c r="CB82" i="1" s="1"/>
  <c r="BI85" i="1"/>
  <c r="BK101" i="1"/>
  <c r="BK103" i="1" s="1"/>
  <c r="BZ90" i="1"/>
  <c r="BZ105" i="1" s="1"/>
  <c r="BJ101" i="1"/>
  <c r="BJ103" i="1" s="1"/>
  <c r="BH101" i="1"/>
  <c r="BH103" i="1" s="1"/>
  <c r="BJ96" i="1"/>
  <c r="BF96" i="1"/>
  <c r="BZ82" i="1"/>
  <c r="BZ79" i="1"/>
  <c r="BK96" i="1"/>
  <c r="BG96" i="1"/>
  <c r="BK89" i="1"/>
  <c r="BG89" i="1"/>
  <c r="BJ105" i="1"/>
  <c r="BH105" i="1"/>
  <c r="BF105" i="1"/>
  <c r="CB105" i="1"/>
  <c r="BK92" i="3"/>
  <c r="BK93" i="3" s="1"/>
  <c r="BD71" i="2"/>
  <c r="BD192" i="2"/>
  <c r="BD101" i="3"/>
  <c r="BD122" i="3" s="1"/>
  <c r="BJ92" i="3"/>
  <c r="BJ93" i="3" s="1"/>
  <c r="BD29" i="3" l="1"/>
  <c r="BE122" i="3"/>
  <c r="BF122" i="3" s="1"/>
  <c r="BG122" i="3" s="1"/>
  <c r="BI8" i="3"/>
  <c r="BI30" i="3" s="1"/>
  <c r="BI60" i="3" s="1"/>
  <c r="BH140" i="1"/>
  <c r="BH141" i="1" s="1"/>
  <c r="BH143" i="1" s="1"/>
  <c r="BJ86" i="1"/>
  <c r="BK92" i="1"/>
  <c r="BK140" i="1"/>
  <c r="BK141" i="1" s="1"/>
  <c r="BK143" i="1" s="1"/>
  <c r="CA88" i="1"/>
  <c r="CA95" i="1" s="1"/>
  <c r="CA8" i="3" s="1"/>
  <c r="CA30" i="3" s="1"/>
  <c r="CA60" i="3" s="1"/>
  <c r="BG92" i="1"/>
  <c r="BG140" i="1"/>
  <c r="BG141" i="1" s="1"/>
  <c r="BG143" i="1" s="1"/>
  <c r="CA80" i="1"/>
  <c r="BI96" i="1"/>
  <c r="BH92" i="1"/>
  <c r="BJ106" i="1"/>
  <c r="BF92" i="1"/>
  <c r="BI89" i="1"/>
  <c r="BJ140" i="1"/>
  <c r="BJ141" i="1" s="1"/>
  <c r="BJ143" i="1" s="1"/>
  <c r="BF86" i="1"/>
  <c r="BH101" i="3"/>
  <c r="BG92" i="3"/>
  <c r="BG93" i="3" s="1"/>
  <c r="BH92" i="3"/>
  <c r="BH93" i="3" s="1"/>
  <c r="BE69" i="2"/>
  <c r="BF69" i="2" s="1"/>
  <c r="BE96" i="1"/>
  <c r="CB88" i="1"/>
  <c r="CB95" i="1" s="1"/>
  <c r="CB96" i="1" s="1"/>
  <c r="CB85" i="1"/>
  <c r="CB140" i="1" s="1"/>
  <c r="CB141" i="1" s="1"/>
  <c r="CB143" i="1" s="1"/>
  <c r="CA85" i="1"/>
  <c r="CA86" i="1" s="1"/>
  <c r="BZ103" i="1"/>
  <c r="BE8" i="3"/>
  <c r="BE30" i="3" s="1"/>
  <c r="BE60" i="3" s="1"/>
  <c r="BE92" i="1"/>
  <c r="CB80" i="1"/>
  <c r="BF92" i="3"/>
  <c r="BF93" i="3" s="1"/>
  <c r="BE140" i="1"/>
  <c r="BE141" i="1" s="1"/>
  <c r="BE143" i="1" s="1"/>
  <c r="BE89" i="1"/>
  <c r="CA103" i="1"/>
  <c r="BI86" i="1"/>
  <c r="BI92" i="1"/>
  <c r="BI91" i="1" s="1"/>
  <c r="BI140" i="1"/>
  <c r="BI141" i="1" s="1"/>
  <c r="BI143" i="1" s="1"/>
  <c r="BZ85" i="1"/>
  <c r="BZ140" i="1" s="1"/>
  <c r="BZ141" i="1" s="1"/>
  <c r="BZ143" i="1" s="1"/>
  <c r="BZ88" i="1"/>
  <c r="BZ80" i="1"/>
  <c r="BD123" i="3"/>
  <c r="BD153" i="3" s="1"/>
  <c r="BD154" i="3" s="1"/>
  <c r="BD81" i="2"/>
  <c r="BD84" i="2" s="1"/>
  <c r="BD63" i="3"/>
  <c r="BD156" i="3"/>
  <c r="BD44" i="2"/>
  <c r="BD73" i="2"/>
  <c r="BD74" i="2" s="1"/>
  <c r="BD94" i="2"/>
  <c r="BD95" i="2"/>
  <c r="BD97" i="2"/>
  <c r="BD98" i="2" s="1"/>
  <c r="BZ29" i="3" l="1"/>
  <c r="BD30" i="3"/>
  <c r="BF106" i="1"/>
  <c r="BF91" i="1"/>
  <c r="BE106" i="1"/>
  <c r="BE91" i="1"/>
  <c r="BG106" i="1"/>
  <c r="BG91" i="1"/>
  <c r="BK106" i="1"/>
  <c r="BK91" i="1"/>
  <c r="BH106" i="1"/>
  <c r="BH91" i="1"/>
  <c r="BI92" i="3"/>
  <c r="BI93" i="3" s="1"/>
  <c r="BI101" i="3"/>
  <c r="BJ101" i="3" s="1"/>
  <c r="CB101" i="1"/>
  <c r="CB103" i="1" s="1"/>
  <c r="BE101" i="3"/>
  <c r="BF101" i="3" s="1"/>
  <c r="CB8" i="3"/>
  <c r="CB101" i="3" s="1"/>
  <c r="CB123" i="3" s="1"/>
  <c r="CB153" i="3" s="1"/>
  <c r="BE8" i="2"/>
  <c r="BE63" i="3" s="1"/>
  <c r="CB89" i="1"/>
  <c r="CA101" i="3"/>
  <c r="CA123" i="3" s="1"/>
  <c r="CA153" i="3" s="1"/>
  <c r="BE192" i="2"/>
  <c r="BE71" i="2"/>
  <c r="BE42" i="2" s="1"/>
  <c r="BE95" i="2" s="1"/>
  <c r="BH123" i="3"/>
  <c r="BH153" i="3" s="1"/>
  <c r="CA92" i="3"/>
  <c r="CA93" i="3" s="1"/>
  <c r="CA96" i="1"/>
  <c r="CB92" i="1"/>
  <c r="CB91" i="1" s="1"/>
  <c r="CA101" i="1"/>
  <c r="CA89" i="1"/>
  <c r="CB86" i="1"/>
  <c r="BE92" i="3"/>
  <c r="BE93" i="3" s="1"/>
  <c r="CA92" i="1"/>
  <c r="CA140" i="1"/>
  <c r="CA141" i="1" s="1"/>
  <c r="CA143" i="1" s="1"/>
  <c r="BZ92" i="1"/>
  <c r="BI106" i="1"/>
  <c r="BZ86" i="1"/>
  <c r="BZ95" i="1"/>
  <c r="BZ89" i="1"/>
  <c r="BD157" i="3"/>
  <c r="BD74" i="3"/>
  <c r="BD101" i="2"/>
  <c r="BD90" i="2"/>
  <c r="BD91" i="2" s="1"/>
  <c r="BE159" i="2"/>
  <c r="BE162" i="2" s="1"/>
  <c r="BF71" i="2"/>
  <c r="BF42" i="2" s="1"/>
  <c r="BG69" i="2"/>
  <c r="BF192" i="2"/>
  <c r="BD60" i="3" l="1"/>
  <c r="BD61" i="3" s="1"/>
  <c r="BD92" i="3"/>
  <c r="BD93" i="3" s="1"/>
  <c r="BZ122" i="3"/>
  <c r="BZ106" i="1"/>
  <c r="BZ91" i="1"/>
  <c r="CA106" i="1"/>
  <c r="CA91" i="1"/>
  <c r="BE123" i="3"/>
  <c r="BE153" i="3" s="1"/>
  <c r="BE154" i="3" s="1"/>
  <c r="BE15" i="2"/>
  <c r="BE24" i="2" s="1"/>
  <c r="BE74" i="3" s="1"/>
  <c r="BE81" i="2"/>
  <c r="BE84" i="2" s="1"/>
  <c r="BF159" i="2" s="1"/>
  <c r="BF162" i="2" s="1"/>
  <c r="BI123" i="3"/>
  <c r="BI153" i="3" s="1"/>
  <c r="CB30" i="3"/>
  <c r="CB60" i="3" s="1"/>
  <c r="CB106" i="1"/>
  <c r="BE156" i="3"/>
  <c r="BF8" i="2"/>
  <c r="BG8" i="2" s="1"/>
  <c r="BE94" i="2"/>
  <c r="BE73" i="2"/>
  <c r="BE74" i="2" s="1"/>
  <c r="BE97" i="2"/>
  <c r="BE98" i="2" s="1"/>
  <c r="BE44" i="2"/>
  <c r="BZ8" i="3"/>
  <c r="BZ96" i="1"/>
  <c r="BZ101" i="1"/>
  <c r="BF123" i="3"/>
  <c r="BF153" i="3" s="1"/>
  <c r="BF154" i="3" s="1"/>
  <c r="BG101" i="3"/>
  <c r="BG123" i="3" s="1"/>
  <c r="BG153" i="3" s="1"/>
  <c r="BG154" i="3" s="1"/>
  <c r="BH151" i="3" s="1"/>
  <c r="BJ123" i="3"/>
  <c r="BJ153" i="3" s="1"/>
  <c r="BK101" i="3"/>
  <c r="BK123" i="3" s="1"/>
  <c r="BK153" i="3" s="1"/>
  <c r="BF44" i="2"/>
  <c r="BF73" i="2"/>
  <c r="BF74" i="2" s="1"/>
  <c r="BF94" i="2"/>
  <c r="BF95" i="2"/>
  <c r="BF97" i="2"/>
  <c r="BF98" i="2" s="1"/>
  <c r="BH69" i="2"/>
  <c r="BZ69" i="2"/>
  <c r="BG71" i="2"/>
  <c r="BG42" i="2" s="1"/>
  <c r="BG192" i="2"/>
  <c r="BE101" i="2"/>
  <c r="BD46" i="2"/>
  <c r="BE58" i="3" l="1"/>
  <c r="BE61" i="3" s="1"/>
  <c r="BD64" i="3"/>
  <c r="BE90" i="2"/>
  <c r="BE91" i="2" s="1"/>
  <c r="BE157" i="3"/>
  <c r="BF156" i="3"/>
  <c r="CB92" i="3"/>
  <c r="CB93" i="3" s="1"/>
  <c r="BF63" i="3"/>
  <c r="BF81" i="2"/>
  <c r="BF84" i="2" s="1"/>
  <c r="BF90" i="2" s="1"/>
  <c r="BF91" i="2" s="1"/>
  <c r="BF15" i="2"/>
  <c r="BF24" i="2" s="1"/>
  <c r="BF74" i="3" s="1"/>
  <c r="BZ30" i="3"/>
  <c r="BZ101" i="3"/>
  <c r="BZ123" i="3" s="1"/>
  <c r="BZ153" i="3" s="1"/>
  <c r="BZ154" i="3" s="1"/>
  <c r="CA151" i="3" s="1"/>
  <c r="CA154" i="3" s="1"/>
  <c r="CB151" i="3" s="1"/>
  <c r="CB154" i="3" s="1"/>
  <c r="BF157" i="3"/>
  <c r="BE46" i="2"/>
  <c r="BH71" i="2"/>
  <c r="BH42" i="2" s="1"/>
  <c r="BI69" i="2"/>
  <c r="BH192" i="2"/>
  <c r="BH8" i="2"/>
  <c r="BZ8" i="2"/>
  <c r="BG15" i="2"/>
  <c r="BG81" i="2"/>
  <c r="BG84" i="2" s="1"/>
  <c r="BG63" i="3"/>
  <c r="BG156" i="3"/>
  <c r="BG157" i="3" s="1"/>
  <c r="BI151" i="3"/>
  <c r="BH154" i="3"/>
  <c r="BZ42" i="2"/>
  <c r="BG44" i="2"/>
  <c r="BG73" i="2"/>
  <c r="BG74" i="2" s="1"/>
  <c r="BG94" i="2"/>
  <c r="BG95" i="2"/>
  <c r="BG97" i="2"/>
  <c r="BG98" i="2" s="1"/>
  <c r="BZ71" i="2"/>
  <c r="BZ192" i="2"/>
  <c r="BF64" i="3" l="1"/>
  <c r="BF58" i="3"/>
  <c r="BF61" i="3" s="1"/>
  <c r="BG58" i="3" s="1"/>
  <c r="BG61" i="3" s="1"/>
  <c r="BH58" i="3" s="1"/>
  <c r="BH61" i="3" s="1"/>
  <c r="BI58" i="3" s="1"/>
  <c r="BI61" i="3" s="1"/>
  <c r="BJ58" i="3" s="1"/>
  <c r="BJ61" i="3" s="1"/>
  <c r="BK58" i="3" s="1"/>
  <c r="BK61" i="3" s="1"/>
  <c r="BE64" i="3"/>
  <c r="BF101" i="2"/>
  <c r="BG159" i="2"/>
  <c r="BG162" i="2" s="1"/>
  <c r="BZ60" i="3"/>
  <c r="BZ61" i="3" s="1"/>
  <c r="CA58" i="3" s="1"/>
  <c r="CA61" i="3" s="1"/>
  <c r="CB58" i="3" s="1"/>
  <c r="CB61" i="3" s="1"/>
  <c r="BZ92" i="3"/>
  <c r="BZ93" i="3" s="1"/>
  <c r="BF46" i="2"/>
  <c r="BG90" i="2"/>
  <c r="BG91" i="2" s="1"/>
  <c r="BH159" i="2"/>
  <c r="BH162" i="2" s="1"/>
  <c r="BZ15" i="2"/>
  <c r="BZ81" i="2"/>
  <c r="BZ84" i="2" s="1"/>
  <c r="BZ63" i="3"/>
  <c r="BZ156" i="3"/>
  <c r="BZ157" i="3" s="1"/>
  <c r="BJ69" i="2"/>
  <c r="BI71" i="2"/>
  <c r="BI42" i="2" s="1"/>
  <c r="BI192" i="2"/>
  <c r="BZ44" i="2"/>
  <c r="BZ73" i="2"/>
  <c r="BZ74" i="2" s="1"/>
  <c r="BZ95" i="2"/>
  <c r="BZ97" i="2"/>
  <c r="BZ98" i="2" s="1"/>
  <c r="BJ151" i="3"/>
  <c r="BI154" i="3"/>
  <c r="BG24" i="2"/>
  <c r="BG74" i="3" s="1"/>
  <c r="BG101" i="2"/>
  <c r="BH15" i="2"/>
  <c r="BH81" i="2"/>
  <c r="BH84" i="2" s="1"/>
  <c r="BI8" i="2"/>
  <c r="BH63" i="3"/>
  <c r="BH64" i="3" s="1"/>
  <c r="BH156" i="3"/>
  <c r="BH157" i="3" s="1"/>
  <c r="BH44" i="2"/>
  <c r="BH73" i="2"/>
  <c r="BH74" i="2" s="1"/>
  <c r="BH94" i="2"/>
  <c r="BH95" i="2"/>
  <c r="BH97" i="2"/>
  <c r="BH98" i="2" s="1"/>
  <c r="BG64" i="3" l="1"/>
  <c r="BZ64" i="3"/>
  <c r="BH90" i="2"/>
  <c r="BH91" i="2" s="1"/>
  <c r="BI159" i="2"/>
  <c r="BI162" i="2" s="1"/>
  <c r="BI44" i="2"/>
  <c r="BI73" i="2"/>
  <c r="BI74" i="2" s="1"/>
  <c r="BI94" i="2"/>
  <c r="BI95" i="2"/>
  <c r="BI97" i="2"/>
  <c r="BI98" i="2" s="1"/>
  <c r="BZ90" i="2"/>
  <c r="BZ175" i="2"/>
  <c r="CA159" i="2"/>
  <c r="CA162" i="2" s="1"/>
  <c r="BG46" i="2"/>
  <c r="BJ8" i="2"/>
  <c r="BI15" i="2"/>
  <c r="BI81" i="2"/>
  <c r="BI84" i="2" s="1"/>
  <c r="BI63" i="3"/>
  <c r="BI64" i="3" s="1"/>
  <c r="BI156" i="3"/>
  <c r="BI157" i="3" s="1"/>
  <c r="BH24" i="2"/>
  <c r="BH74" i="3" s="1"/>
  <c r="BH101" i="2"/>
  <c r="BK151" i="3"/>
  <c r="BK154" i="3" s="1"/>
  <c r="BJ154" i="3"/>
  <c r="BJ71" i="2"/>
  <c r="BJ42" i="2" s="1"/>
  <c r="BK69" i="2"/>
  <c r="BJ192" i="2"/>
  <c r="BZ24" i="2"/>
  <c r="BZ74" i="3" s="1"/>
  <c r="BZ101" i="2"/>
  <c r="BI90" i="2" l="1"/>
  <c r="BI91" i="2" s="1"/>
  <c r="BJ159" i="2"/>
  <c r="BJ162" i="2" s="1"/>
  <c r="BJ15" i="2"/>
  <c r="BJ81" i="2"/>
  <c r="BJ84" i="2" s="1"/>
  <c r="BK8" i="2"/>
  <c r="BJ63" i="3"/>
  <c r="BJ64" i="3" s="1"/>
  <c r="BJ156" i="3"/>
  <c r="BJ157" i="3" s="1"/>
  <c r="CA69" i="2"/>
  <c r="CB69" i="2" s="1"/>
  <c r="BK71" i="2"/>
  <c r="BK42" i="2" s="1"/>
  <c r="BK192" i="2"/>
  <c r="BJ44" i="2"/>
  <c r="BJ73" i="2"/>
  <c r="BJ74" i="2" s="1"/>
  <c r="BJ94" i="2"/>
  <c r="BJ95" i="2"/>
  <c r="BJ97" i="2"/>
  <c r="BJ98" i="2" s="1"/>
  <c r="BI24" i="2"/>
  <c r="BI74" i="3" s="1"/>
  <c r="BI101" i="2"/>
  <c r="BH46" i="2"/>
  <c r="BZ91" i="2"/>
  <c r="BZ177" i="2"/>
  <c r="BZ181" i="2" s="1"/>
  <c r="BZ46" i="2"/>
  <c r="CB71" i="2" l="1"/>
  <c r="CB42" i="2" s="1"/>
  <c r="CB192" i="2"/>
  <c r="BI46" i="2"/>
  <c r="BJ90" i="2"/>
  <c r="BJ91" i="2" s="1"/>
  <c r="BK159" i="2"/>
  <c r="BK162" i="2" s="1"/>
  <c r="CA42" i="2"/>
  <c r="BK44" i="2"/>
  <c r="BK73" i="2"/>
  <c r="BK74" i="2" s="1"/>
  <c r="BK94" i="2"/>
  <c r="BK95" i="2"/>
  <c r="BK97" i="2"/>
  <c r="BK98" i="2" s="1"/>
  <c r="CA71" i="2"/>
  <c r="CA192" i="2"/>
  <c r="CA8" i="2"/>
  <c r="CB8" i="2" s="1"/>
  <c r="BK15" i="2"/>
  <c r="BK81" i="2"/>
  <c r="BK84" i="2" s="1"/>
  <c r="BK90" i="2" s="1"/>
  <c r="BK91" i="2" s="1"/>
  <c r="BK63" i="3"/>
  <c r="BK64" i="3" s="1"/>
  <c r="BK156" i="3"/>
  <c r="BK157" i="3" s="1"/>
  <c r="BJ24" i="2"/>
  <c r="BJ74" i="3" s="1"/>
  <c r="BJ101" i="2"/>
  <c r="CB156" i="3" l="1"/>
  <c r="CB157" i="3" s="1"/>
  <c r="CB63" i="3"/>
  <c r="CB64" i="3" s="1"/>
  <c r="CB81" i="2"/>
  <c r="CB84" i="2" s="1"/>
  <c r="CB90" i="2" s="1"/>
  <c r="CB91" i="2" s="1"/>
  <c r="CB15" i="2"/>
  <c r="CB97" i="2"/>
  <c r="CB98" i="2" s="1"/>
  <c r="CB95" i="2"/>
  <c r="CB73" i="2"/>
  <c r="CB74" i="2" s="1"/>
  <c r="CB44" i="2"/>
  <c r="CA15" i="2"/>
  <c r="CA81" i="2"/>
  <c r="CA84" i="2" s="1"/>
  <c r="CB159" i="2" s="1"/>
  <c r="CB162" i="2" s="1"/>
  <c r="CA63" i="3"/>
  <c r="CA64" i="3" s="1"/>
  <c r="CA156" i="3"/>
  <c r="CA157" i="3" s="1"/>
  <c r="BJ46" i="2"/>
  <c r="BK24" i="2"/>
  <c r="BK74" i="3" s="1"/>
  <c r="BK101" i="2"/>
  <c r="CA44" i="2"/>
  <c r="CA73" i="2"/>
  <c r="CA74" i="2" s="1"/>
  <c r="CA95" i="2"/>
  <c r="CA97" i="2"/>
  <c r="CA98" i="2" s="1"/>
  <c r="CB24" i="2" l="1"/>
  <c r="CB74" i="3" s="1"/>
  <c r="CB101" i="2"/>
  <c r="CA90" i="2"/>
  <c r="CA175" i="2"/>
  <c r="BK46" i="2"/>
  <c r="CA24" i="2"/>
  <c r="CA74" i="3" s="1"/>
  <c r="CA101" i="2"/>
  <c r="CB46" i="2" l="1"/>
  <c r="CA46" i="2"/>
  <c r="CA91" i="2"/>
  <c r="CA177" i="2"/>
  <c r="CA181" i="2" s="1"/>
  <c r="CI1" i="35" l="1"/>
</calcChain>
</file>

<file path=xl/comments1.xml><?xml version="1.0" encoding="utf-8"?>
<comments xmlns="http://schemas.openxmlformats.org/spreadsheetml/2006/main">
  <authors>
    <author>josuev</author>
  </authors>
  <commentList>
    <comment ref="A1" authorId="0">
      <text>
        <r>
          <rPr>
            <b/>
            <sz val="8"/>
            <color indexed="81"/>
            <rFont val="Tahoma"/>
            <family val="2"/>
          </rPr>
          <t>卟䙄_x0003_＀＀ꄓ他A噎䅄䙞彅卅䥔䅍䕔✨䍆❆✬䕍乁Ⱗ䌧䱁❁✬〲㤰ⰧⰰⰬⰧ啃剒久奃唽䑓✬착!＀＀ ＀＀	＀＀_x0008_＀＀_x0001_＀＀_x0001_＀＀_x0001_＀＀ધ╆彵䁱찀ꄔ他C噎䅄䙞彅卅䥔䅍䕔✨偅䉓❇✬䕍乁Ⱗ䌧䱁❁✬〲㐱ⰧⰰⰬⰧ啃剒久奃唽䑓✬착!＀＀ ＀＀	＀＀_x0008_＀＀_x0001_＀＀_x0001_＀＀_x0001_＀＀豀碵꼝쐕찀ꄖ他_x001C_䑁幉䙆䍟十彈呓儨剔〬ⰬⰬ单⥄ċ＀＀ ＀＀ó＀＀_x0008_＀＀_x0001_＀＀_x0001_＀＀_x0001_＀＀閁譃წ䂬摦畳㩰⼯楄敲瑣潩獮䘯捡却瑥䄠摵瑩湩⁧楖睥牥愿瑣潩㵮啁䥄彔䅖啌♅䉄ㄽ㤲䤦ㅄ〽㈳㔶ㄴ☰䅖啌䥅㵄㈰〰☱䑓呁㵅〲ㄱ㐰倦剅佉呄偙㵅呑归呓♄䍓呆㌽眦湩潤㵷潰異彰潮扟牡眦摩桴㌽㔸栦楥桧㵴㈱☰呓剁彔䅍䥘䥍䕚㵄䅆卌♅牣慥潴㵲慦瑣敳♴楤灳慬役瑳楲杮䄽摵瑩찀ꄋ他C剁䡍䙞彅卅䥔䅍䕔✨偅䉓❇✬䕍乁Ⱗ䌧䱁❁✬〲㜰ⰧⰰⰬⰧ啃剒久奃唽䑓✬착!＀＀ ＀＀	＀＀_x0008_＀＀_x0001_＀＀_x0001_＀＀_x0001_＀＀猅뉏ἰ㿑찀ꄐ他L㐲㐵吭䥁䙞彅卅䥔䅍䕔✨啃呓䵏䕟卐Ⱗ䴧䅅❎✬䅃䅌Ⱗ㈧㄰✰〬Ⱜ✬䌬剕䕒䍎㵙单ⱄ⤧!＀＀ ＀＀	＀＀_x0008_＀＀_x0001_＀＀_x0001_＀＀_x0001_＀＀豀碵꼝쐕찀ꄊ他C剁䡍䙞彅卅䥔䅍䕔✨䅓䕌❓✬䕍乁Ⱗ䌧䱁❁✬〲㜰ⰧⰰⰬⰧ啃剒久奃唽䑓✬착!＀＀ ＀＀	＀＀_x0008_＀＀_x0001_＀＀_x0001_＀＀_x0001_＀＀癠ṏẖ䂀찀ꄒ他G噎䅄䙞彅卅䥔䅍䕔✨义彃則协❓✬䕍乁Ⱗ䌧䱁❁✬〲ㄱⰧⰰⰬⰧ啃剒久奃唽䑓✬착!＀＀ ＀＀	＀＀_x0008_＀＀_x0001_＀＀_x0001_＀＀_x0001_＀＀_xDB23_绹⎪䂠찀Կ仍_x001A_噎䅄䙞彇剐䍉⡅〴㜸ⰰⰬ单⥄!＀＀ ＀＀	＀＀_x0008_＀＀_x0001_＀＀_x0001_＀＀_x0001_＀＀尩슏⣵䀮찀ꄅ他_x0017_偉䥈偞灟楲散江睯㕟眲〨착!＀＀ ＀＀	＀＀_x0008_＀＀_x0001_＀＀_x0001_＀＀_x0001_＀＀＀＀＀＀耀䀜찀ꄙ他C呓ⵍ剆䙞彅卅䥔䅍䕔✨䍆❆✬䕍乁Ⱗ䌧䱁❁✬〲〱ⰧⰰⰬⰧ啃剒久奃唽䑓✬착!＀＀ ＀＀	＀＀_x0008_＀＀_x0001_＀＀_x0001_＀＀_x0001_＀＀⋐呛䂐찀ꄖ他$呓ⵍ剆䙞彆佃彍䡓当問彔偅当䥄⡌呑ⱒ⤰!＀＀ ＀＀	＀＀_x0008_＀＀_x0001_＀＀_x0001_＀＀_x0001_＀＀∔რ䴪䂌찀ꄊ他C剁䡍䙞彅卅䥔䅍䕔✨䅃䕐❘✬䕍乁Ⱗ䌧䱁❁✬〲㜰ⰧⰰⰬⰧ啃剒久奃唽䑓✬착!＀＀ ＀＀	＀＀_x0008_＀＀_x0001_＀＀_x0001_＀＀_x0001_＀＀믽猾䟖䀩찀ꄓ他A噎䅄䙞彅卅䥔䅍䕔✨䍆❆✬䕍乁Ⱗ䌧䱁❁✬〲㘰ⰧⰰⰬⰧ啃剒久奃唽䑓✬착!＀＀ ＀＀	＀＀_x0008_＀＀_x0001_＀＀_x0001_＀＀_x0001_＀＀㓗㣯빅䂀찀ꄖ他_x001A_义䍔䙞彇剐䍉⡅〴㐵ⰴⰬ单⥄!＀＀ ＀＀	＀＀_x0008_＀＀_x0001_＀＀_x0001_＀＀_x0001_＀＀ᑺޮ䀵찀ꄔ他C噎䅄䙞彅卅䥔䅍䕔✨偅䉓❇✬䕍乁Ⱗ䌧䱁❁✬〲ㄱⰧⰰⰬⰧ啃剒久奃唽䑓✬착!＀＀ ＀＀	＀＀_x0008_＀＀_x0001_＀＀_x0001_＀＀_x0001_＀＀䐠㫘㿳찀ꄏ他E㐲㐵吭䥁䙞彅卅䥔䅍䕔✨䍆❆✬䕍乁Ⱗ䌧䱁❁✬〲㜰ⰧⰰⰬⰧ啃剒久奃唽䑓✬착!＀＀ ＀＀	＀＀_x0008_＀＀_x0001_＀＀_x0001_＀＀_x0001_＀＀棜漀咁䂆찀ꄐ他G㐲㐵吭䥁䙞彅卅䥔䅍䕔✨偅䉓❇✬䕍乁Ⱗ䌧䱁❁✬〲㈱ⰧⰰⰬⰧ啃剒久奃唽䑓✬착!＀＀ ＀＀	＀＀_x0008_＀＀_x0001_＀＀_x0001_＀＀_x0001_＀＀ꪬ飲㿡찀他?䵁幄䕆䕟呓䵉呁⡅䔧卐Ⱗ䴧䅅❎✬啑剁䕔䱒彙佒䱌Ⱗ㈧㄰⼱䘲ⰧⰰⰬ✧착!＀＀ ＀＀	＀＀_x0008_＀＀_x0001_＀＀_x0001_＀＀_x0001_＀＀휊炣਽㾷찀ꄍ他G㐲㐵吭䥁䙞彅卅䥔䅍䕔✨䅓䕌❓✬䕍乁Ⱗ䌧䱁❁✬〲㠰ⰧⰰⰬⰧ啃剒久奃唽䑓✬착!＀＀ ＀＀	＀＀_x0008_＀＀_x0001_＀＀_x0001_＀＀_x0001_＀＀赐溗蓒䂥찀ꄑ他C噎䅄䙞彅卅䥔䅍䕔✨䅓䕌❓✬䕍乁Ⱗ䌧䱁❁✬〲ㄱⰧⰰⰬⰧ啃剒久奃唽䑓✬착!＀＀ ＀＀	＀＀_x0008_＀＀_x0001_＀＀_x0001_＀＀_x0001_＀＀蜫_xD916_많䂯찀ꄎ他G㐲㐵吭䥁䙞彅卅䥔䅍䕔✨䅃䕐❘✬䕍乁Ⱗ䌧䱁❁✬〲㠰ⰧⰰⰬⰧ啃剒久奃唽䑓✬착!＀＀ ＀＀	＀＀_x0008_＀＀_x0001_＀＀_x0001_＀＀_x0001_＀＀䤽暺秲䁎찀ꄓ他C噎䅄䙞彅卅䥔䅍䕔✨䅃䕐❘✬䕍乁Ⱗ䌧䱁❁✬〲ㄱⰧⰰⰬⰧ啃剒久奃唽䑓✬착!＀＀ ＀＀	＀＀_x0008_＀＀_x0001_＀＀_x0001_＀＀_x0001_＀＀틲才㰐䁟찀ꄋ他C剁䡍䙞彅卅䥔䅍䕔✨偅䉓❇✬䕍乁Ⱗ䌧䱁❁✬〲㐱ⰧⰰⰬⰧ啃剒久奃唽䑓✬착!＀＀ ＀＀	＀＀_x0008_＀＀_x0001_＀＀_x0001_＀＀_x0001_＀＀䚙讓㿲찀ꄑ他"噎䅄䙞彆佃彍䡓当問彔偅当䥄⡌呑ⱒ⤰ċ＀＀ ＀＀ó＀＀_x0008_＀＀_x0001_＀＀_x0001_＀＀_x0001_＀＀긔ⱺ䂃摦畳㩰⼯楄敲瑣潩獮䘯捡却瑥䄠摵瑩湩⁧楖睥牥愿瑣潩㵮啁䥄彔䅖啌♅䉄ㄽ㤲䤦ㅄ㘽〷㘶ㅇ☰䅖啌䥅㵄㔰㤱☴䑓呁㵅〲ㄱ㌰倦剅佉呄偙㵅呑归呓♄䍓呆㌽眦湩潤㵷潰異彰潮扟牡眦摩桴㌽㔸栦楥桧㵴㈱☰呓剁彔䅍䥘䥍䕚㵄䅆卌♅牣慥潴㵲慦瑣敳♴楤灳慬役瑳楲杮䄽摵瑩찀ꄖ他_x001A_噎䅄䙞彇剐䍉⡅〴㜸ⰷⰬ单⥄!＀＀ ＀＀	＀＀_x0008_＀＀_x0001_＀＀_x0001_＀＀_x0001_＀＀尨䊏䀯찀ꄙ他E呓ⵍ剆䙞彅卅䥔䅍䕔✨偅䉓❇✬䕍乁Ⱗ䌧䱁❁✬〲㘰ⰧⰰⰬⰧ啃剒久奃唽䑓✬착!＀＀ ＀＀	＀＀_x0008_＀＀_x0001_＀＀_x0001_＀＀_x0001_＀＀搲힆᤿㿭찀ꄙ他C呓ⵍ剆䙞彅卅䥔䅍䕔✨䍆❆✬䕍乁Ⱗ䌧䱁❁✬〲㌱ⰧⰰⰬⰧ啃剒久奃唽䑓✬착!＀＀ ＀＀	＀＀_x0008_＀＀_x0001_＀＀_x0001_＀＀_x0001_＀＀㎜뒢ष䂁찀ꄍ他G义䍔䙞彅卅䥔䅍䕔✨义彃則协❓✬䕍乁Ⱗ䌧䱁❁✬〲㈱ⰧⰰⰬⰧ啃剒久奃唽䑓✬착!＀＀ ＀＀	＀＀_x0008_＀＀_x0001_＀＀_x0001_＀＀_x0001_＀＀＀＀＀＀_xD850_䃡찀ꄗ他F䑁幉䕆䕟呓䵉呁⡅䤧䍎䝟佒卓Ⱗ䴧䅅❎✬䅃䅌Ⱗ㈧〰✶〬Ⱜ✬䌬剕䕒䍎㵙单ⱄ⤧!＀＀ ＀＀	＀＀_x0008_＀＀_x0001_＀＀_x0001_＀＀_x0001_＀＀豀碵꼝쐕찀ꄅ他_x0018_䅃䵖偞灟楲散桟杩彨㈵⡷⤰!＀＀ ＀＀	＀＀_x0008_＀＀_x0001_＀＀_x0001_＀＀_x0001_＀＀晧晦♦䁈찀ꄋ他&amp;㐲㐵吭䥁䙞彆佃彍䡓当問彔偅当䥄⡌呑ⱒ⤰ĉ＀＀ ＀＀ñ＀＀_x0008_＀＀_x0001_＀＀_x0001_＀＀_x0001_＀＀棨䭕㱪䂑摦畳㩰⼯楄敲瑣潩獮䘯捡却瑥䄠摵瑩湩⁧楖睥牥愿瑣潩㵮啁䥄彔䅖啌♅䉄ㄽ㤲䤦ㅄ㘽㜳㐲☸䅖啌䥅㵄㔰㤱☴䑓呁㵅〲ㄱ㌰倦剅佉呄偙㵅呑归呓♄䍓呆㌽眦湩潤㵷潰異彰潮扟牡眦摩桴㌽㔸栦楥桧㵴㈱☰呓剁彔䅍䥘䥍䕚㵄䅆卌♅牣慥潴㵲慦瑣敳♴楤灳慬役瑳楲杮䄽摵瑩찀ꄏ他E㐲㐵吭䥁䙞彅卅䥔䅍䕔✨䍆❆✬䕍乁Ⱗ䌧䱁❁✬〲㐱ⰧⰰⰬⰧ啃剒久奃唽䑓✬착!＀＀ ＀＀	＀＀_x0008_＀＀_x0001_＀＀_x0001_＀＀_x0001_＀＀豀碵꼝쐕찀ꄔ他C䍑䵏䙞彅卅䥔䅍䕔✨偅䉓❇✬䕍乁Ⱗ䌧䱁❁✬〲㜰ⰧⰰⰬⰧ啃剒久奃唽䑓✬착!＀＀ ＀＀	＀＀_x0008_＀＀_x0001_＀＀_x0001_＀＀_x0001_＀＀ଜ茊贲䀀찀ꄗ他A䑁幉䕆䕟呓䵉呁⡅攧楢❴✬䕍乁Ⱗ䌧䱁❁✬〲㘰ⰧⰰⰬⰧ啃剒久奃唽䑓✬착!＀＀ ＀＀	＀＀_x0008_＀＀_x0001_＀＀_x0001_＀＀_x0001_＀＀䯇褷ꥁ䂂찀ꄏ他A义䍔䙞彅卅䥔䅍䕔✨䍆❆✬䕍乁Ⱗ䌧䱁❁✬〲㜰ⰧⰰⰬⰧ啃剒久奃唽䑓✬착!＀＀ ＀＀	＀＀_x0008_＀＀_x0001_＀＀_x0001_＀＀_x0001_＀＀㽼덕䂽찀Կ仍_x0014_䱁剔䙞彇剐䍉⡅〴㜸⤰!＀＀ ＀＀	＀＀_x0008_＀＀_x0001_＀＀_x0001_＀＀_x0001_＀＀ᑻ䞮뫡䁁찀ꄋ他C剁䡍䙞彅卅䥔䅍䕔✨偅䉓❇✬䕍乁Ⱗ䌧䱁❁✬〲ㄱⰧⰰⰬⰧ啃剒久奃唽䑓✬착!＀＀ ＀＀	＀＀_x0008_＀＀_x0001_＀＀_x0001_＀＀_x0001_＀＀㹧떌멤㿠찀ꄅ他_x0013_塍幌䝆偟䥒䕃㐨㠰㜷착!＀＀ ＀＀	＀＀_x0008_＀＀_x0001_＀＀_x0001_＀＀_x0001_＀＀ᑺ䞮䀓찀ꄑ他C䍑䵏䙞彅卅䥔䅍䕔✨䅓䕌❓✬䕍乁Ⱗ䌧䱁❁✬〲㜰ⰧⰰⰬⰧ啃剒久奃唽䑓✬착!＀＀ ＀＀	＀＀_x0008_＀＀_x0001_＀＀_x0001_＀＀_x0001_＀＀빷᪟淟䃂찀ꄓ他C噎䅄䙞彅卅䥔䅍䕔✨䅃䕐❘✬䕍乁Ⱗ䌧䱁❁✬〲㐱ⰧⰰⰬⰧ啃剒久奃唽䑓✬착!＀＀ ＀＀	＀＀_x0008_＀＀_x0001_＀＀_x0001_＀＀_x0001_＀＀豀碵꼝쐕찀ꄎ他B义䍔䙞彅卅䥔䅍䕔✨扥瑩Ⱗ䴧䅅❎✬䅃䅌Ⱗ㈧〰✷〬Ⱜ✬䌬剕䕒䍎㵙单ⱄ⤧!＀＀ ＀＀	＀＀_x0008_＀＀_x0001_＀＀_x0001_＀＀_x0001_＀＀䷓ၢ똸䃀찀ꄊ他C剁䡍䙞彅卅䥔䅍䕔✨䅓䕌❓✬䕍乁Ⱗ䌧䱁❁✬〲ㄱⰧⰰⰬⰧ啃剒久奃唽䑓✬착!＀＀ ＀＀	＀＀_x0008_＀＀_x0001_＀＀_x0001_＀＀_x0001_＀＀㛢놚䂇찀ꄓ他C䍑䵏䙞彅卅䥔䅍䕔✨䅃䕐❘✬䕍乁Ⱗ䌧䱁❁✬〲㜰ⰧⰰⰬⰧ啃剒久奃唽䑓✬착!＀＀ ＀＀	＀＀_x0008_＀＀_x0001_＀＀_x0001_＀＀_x0001_＀＀Ƥּ餒䂌찀ꄊ他C剁䡍䙞彅卅䥔䅍䕔✨䅃䕐❘✬䕍乁Ⱗ䌧䱁❁✬〲ㄱⰧⰰⰬⰧ啃剒久奃唽䑓✬착!＀＀ ＀＀	＀＀_x0008_＀＀_x0001_＀＀_x0001_＀＀_x0001_＀＀櫓_xDC48_兣䀰찀ꄙ他E呓ⵍ剆䙞彅卅䥔䅍䕔✨偅䉓❇✬䕍乁Ⱗ䌧䱁❁✬〲㤰ⰧⰰⰬⰧ啃剒久奃唽䑓✬착!＀＀ ＀＀	＀＀_x0008_＀＀_x0001_＀＀_x0001_＀＀_x0001_＀＀㫮뿪찀ꄓ他A噎䅄䙞彅卅䥔䅍䕔✨䍆❆✬䕍乁Ⱗ䌧䱁❁✬〲〱ⰧⰰⰬⰧ啃剒久奃唽䑓✬착!＀＀ ＀＀	＀＀_x0008_＀＀_x0001_＀＀_x0001_＀＀_x0001_＀＀_xDABA_ﶊ쿥䂀찀ꄖ他_x001E_䍑䵏偞灟楲散桟杩彨㈵⡷ⰰⰬ单⥄!＀＀ ＀＀	＀＀_x0008_＀＀_x0001_＀＀_x0001_＀＀_x0001_＀＀凬Ẹ䁍찀ꄏ他E㐲㐵吭䥁䙞彅卅䥔䅍䕔✨䍆❆✬䕍乁Ⱗ䌧䱁❁✬〲ㄱⰧⰰⰬⰧ啃剒久奃唽䑓✬착!＀＀ ＀＀	＀＀_x0008_＀＀_x0001_＀＀_x0001_＀＀_x0001_＀＀_xD980_礽䳘䂀찀ꄚ他@䑁幉䕆䕟呓䵉呁⡅䐧卐Ⱗ䴧䅅❎✬䅃䅌Ⱗ㈧㄰✱〬Ⱜ✬䌬剕䕒䍎㵙单ⱄ⤧!＀＀ ＀＀	＀＀_x0008_＀＀_x0001_＀＀_x0001_＀＀_x0001_＀＀畞혮ﶁ㿭찀ꄘ他D呓ⵍ剆䙞彅卅䥔䅍䕔✨扥瑩Ⱗ䴧䅅❎✬䅃䅌Ⱗ㈧〰✷〬Ⱜ✬䌬剕䕒䍎㵙单ⱄ⤧!＀＀ ＀＀	＀＀_x0008_＀＀_x0001_＀＀_x0001_＀＀_x0001_＀＀さꤪ搓삀찀ꄗ他F䑁幉䕆䕟呓䵉呁⡅䤧䍎䝟佒卓Ⱗ䴧䅅❎✬䅃䅌Ⱗ㈧〰✹〬Ⱜ✬䌬剕䕒䍎㵙单ⱄ⤧!＀＀ ＀＀	＀＀_x0008_＀＀_x0001_＀＀_x0001_＀＀_x0001_＀＀좴빶䆟䂓찀ꄔ他H噎䅄䙞彅卅䥔䅍䕔✨啃呓䵏䕟卐Ⱗ䴧䅅❎✬䅃䅌Ⱗ㈧㄰✲〬Ⱜ✬䌬剕䕒䍎㵙单ⱄ⤧!＀＀ ＀＀	＀＀_x0008_＀＀_x0001_＀＀_x0001_＀＀_x0001_＀＀_xDD6E_反㿱찀ꄗ他E呓ⵍ剆䙞彅卅䥔䅍䕔✨䅓䕌❓✬䕍乁Ⱗ䌧䱁❁✬〲㤰ⰧⰰⰬⰧ啃剒久奃唽䑓✬착!＀＀ ＀＀	＀＀_x0008_＀＀_x0001_＀＀_x0001_＀＀_x0001_＀＀酩糭衿䃀찀ꄍ他G㐲㐵吭䥁䙞彅卅䥔䅍䕔✨䅓䕌❓✬䕍乁Ⱗ䌧䱁❁✬〲㈱ⰧⰰⰬⰧ啃剒久奃唽䑓✬착!＀＀ ＀＀	＀＀_x0008_＀＀_x0001_＀＀_x0001_＀＀_x0001_＀＀ﯨ䂪찀ꄖ他_x001A_噎䅄䙞彇剐䍉⡅〴㐵ⰴⰬ单⥄!＀＀ ＀＀	＀＀_x0008_＀＀_x0001_＀＀_x0001_＀＀_x0001_＀＀쳍쳌쳌䀮찀ꄗ他A䑁幉䕆䕟呓䵉呁⡅攧楢❴✬䕍乁Ⱗ䌧䱁❁✬〲㤰ⰧⰰⰬⰧ啃剒久奃唽䑓✬착!＀＀ ＀＀	＀＀_x0008_＀＀_x0001_＀＀_x0001_＀＀_x0001_＀＀혹淅昴䁺찀ꄚ他J呓ⵍ剆䙞彅卅䥔䅍䕔✨啃呓䵏䕟卐Ⱗ䴧䅅❎✬䅃䅌Ⱗ㈧〰✷〬Ⱜ✬䌬剕䕒䍎㵙单ⱄ⤧!＀＀ ＀＀	＀＀_x0008_＀＀_x0001_＀＀_x0001_＀＀_x0001_＀＀豀碵꼝쐕찀ꄙ他B䑁幉䕆䕟呓䵉呁⡅䔧卐䝂Ⱗ䴧䅅❎✬䅃䅌Ⱗ㈧〰✸〬Ⱜ✬䌬剕䕒䍎㵙单ⱄ⤧!＀＀ ＀＀	＀＀_x0008_＀＀_x0001_＀＀_x0001_＀＀_x0001_＀＀壪潌㿼찀ꄔ他C䍑䵏䙞彅卅䥔䅍䕔✨偅䉓❇✬䕍乁Ⱗ䌧䱁❁✬〲㐱ⰧⰰⰬⰧ啃剒久奃唽䑓✬착!＀＀ ＀＀	＀＀_x0008_＀＀_x0001_＀＀_x0001_＀＀_x0001_＀＀כּ菊蓴䀒찀ꄘ他E呓ⵍ剆䙞彅卅䥔䅍䕔✨䅃䕐❘✬䕍乁Ⱗ䌧䱁❁✬〲㤰ⰧⰰⰬⰧ啃剒久奃唽䑓✬착!＀＀ ＀＀	＀＀_x0008_＀＀_x0001_＀＀_x0001_＀＀_x0001_＀＀趹䁼찀ꄖ他!㐲㐵吭䥁偞灟楲散江睯㕟眲〨Ⱜ唬䑓착!＀＀ ＀＀	＀＀_x0008_＀＀_x0001_＀＀_x0001_＀＀_x0001_＀＀駵㺳磥䀞찀ꄏ他A义䍔䙞彅卅䥔䅍䕔✨䍆❆✬䕍乁Ⱗ䌧䱁❁✬〲㐱ⰧⰰⰬⰧ啃剒久奃唽䑓✬착!＀＀ ＀＀	＀＀_x0008_＀＀_x0001_＀＀_x0001_＀＀_x0001_＀＀＀＀＀＀은䃌찀ꄏ他G㐲㐵吭䥁䙞彅卅䥔䅍䕔✨䅃䕐❘✬䕍乁Ⱗ䌧䱁❁✬〲㈱ⰧⰰⰬⰧ啃剒久奃唽䑓✬착!＀＀ ＀＀	＀＀_x0008_＀＀_x0001_＀＀_x0001_＀＀_x0001_＀＀媆볓ꃣ䁓찀ꄅ他_x0014_偉䥈䙞彇剐䍉⡅〴㜸⤷!＀＀ ＀＀	＀＀_x0008_＀＀_x0001_＀＀_x0001_＀＀_x0001_＀＀긔鑺䀥찀ꄊ他C剁䡍䙞彅卅䥔䅍䕔✨䅓䕌❓✬䕍乁Ⱗ䌧䱁❁✬〲㐱ⰧⰰⰬⰧ啃剒久奃唽䑓✬착!＀＀ ＀＀	＀＀_x0008_＀＀_x0001_＀＀_x0001_＀＀_x0001_＀＀竡긔둇䂓찀ꄗ他I呓ⵍ剆䙞彅卅䥔䅍䕔✨义彃則协❓✬䕍乁Ⱗ䌧䱁❁✬〲㠰ⰧⰰⰬⰧ啃剒久奃唽䑓✬착!＀＀ ＀＀	＀＀_x0008_＀＀_x0001_＀＀_x0001_＀＀_x0001_＀＀摚_xDF3B_問䂯찀ꄙ他E呓ⵍ剆䙞彅卅䥔䅍䕔✨偅䉓❇✬䕍乁Ⱗ䌧䱁❁✬〲〱ⰧⰰⰬⰧ啃剒久奃唽䑓✬착!＀＀ ＀＀	＀＀_x0008_＀＀_x0001_＀＀_x0001_＀＀_x0001_＀＀咽䣦챸㿨찀ꄒ他B䍑䵏䙞彅卅䥔䅍䕔✨扥瑩Ⱗ䴧䅅❎✬䅃䅌Ⱗ㈧〰✶〬Ⱜ✬䌬剕䕒䍎㵙单ⱄ⤧!＀＀ ＀＀	＀＀_x0008_＀＀_x0001_＀＀_x0001_＀＀_x0001_＀＀率橾燼䂩찀ꄐ他H义䍔䙞彅卅䥔䅍䕔✨啃呓䵏䕟卐Ⱗ䴧䅅❎✬䅃䅌Ⱗ㈧〰✸〬Ⱜ✬䌬剕䕒䍎㵙单ⱄ⤧!＀＀ ＀＀	＀＀_x0008_＀＀_x0001_＀＀_x0001_＀＀_x0001_＀＀㵱휊炣㿭찀ꄊ他C剁䡍䙞彅卅䥔䅍䕔✨䅃䕐❘✬䕍乁Ⱗ䌧䱁❁✬〲㐱ⰧⰰⰬⰧ啃剒久奃唽䑓✬착!＀＀ ＀＀	＀＀_x0008_＀＀_x0001_＀＀_x0001_＀＀_x0001_＀＀䘋甥ᨂ䀼찀ꄗ他F䑁幉䕆䕟呓䵉呁⡅䤧䍎䝟佒卓Ⱗ䴧䅅❎✬䅃䅌Ⱗ㈧㄰✰〬Ⱜ✬䌬剕䕒䍎㵙单ⱄ⤧!＀＀ ＀＀	＀＀_x0008_＀＀_x0001_＀＀_x0001_＀＀_x0001_＀＀司ꗣ锛䂜찀ꄗ他E呓ⵍ剆䙞彅卅䥔䅍䕔✨䅓䕌❓✬䕍乁Ⱗ䌧䱁❁✬〲㘰ⰧⰰⰬⰧ啃剒久奃唽䑓✬착!＀＀ ＀＀	＀＀_x0008_＀＀_x0001_＀＀_x0001_＀＀_x0001_＀＀尨㻿䃃찀ꄓ他A噎䅄䙞彅卅䥔䅍䕔✨䍆❆✬䕍乁Ⱗ䌧䱁❁✬〲㌱ⰧⰰⰬⰧ啃剒久奃唽䑓✬착!＀＀ ＀＀	＀＀_x0008_＀＀_x0001_＀＀_x0001_＀＀_x0001_＀＀뇅渮쨣䂊찀ꄔ他C䍑䵏䙞彅卅䥔䅍䕔✨偅䉓❇✬䕍乁Ⱗ䌧䱁❁✬〲ㄱⰧⰰⰬⰧ啃剒久奃唽䑓✬착!＀＀ ＀＀	＀＀_x0008_＀＀_x0001_＀＀_x0001_＀＀_x0001_＀＀⠺ꙡ忭䀊찀ꄘ他E呓ⵍ剆䙞彅卅䥔䅍䕔✨䅃䕐❘✬䕍乁Ⱗ䌧䱁❁✬〲㘰ⰧⰰⰬⰧ啃剒久奃唽䑓✬착!＀＀ ＀＀	＀＀_x0008_＀＀_x0001_＀＀_x0001_＀＀_x0001_＀＀璽ᢓ焄䂘찀ꄗ他A䑁幉䕆䕟呓䵉呁⡅攧楢❴✬䕍乁Ⱗ䌧䱁❁✬〲〱ⰧⰰⰬⰧ啃剒久奃唽䑓✬착!＀＀ ＀＀	＀＀_x0008_＀＀_x0001_＀＀_x0001_＀＀_x0001_＀＀蔟凫尸䂍찀ꄏ他A义䍔䙞彅卅䥔䅍䕔✨䍆❆✬䕍乁Ⱗ䌧䱁❁✬〲ㄱⰧⰰⰬⰧ啃剒久奃唽䑓✬착!＀＀ ＀＀	＀＀_x0008_＀＀_x0001_＀＀_x0001_＀＀_x0001_＀＀蜫_xD916_菾䃁찀ꄖ他_x001E_剁䡍偞灟楲散桟杩彨㈵⡷ⰰⰬ单⥄!＀＀ ＀＀	＀＀_x0008_＀＀_x0001_＀＀_x0001_＀＀_x0001_＀＀ꏗ㵰ᜊ䁀찀ꄒ他C䍑䵏䙞彅卅䥔䅍䕔✨䅓䕌❓✬䕍乁Ⱗ䌧䱁❁✬〲ㄱⰧⰰⰬⰧ啃剒久奃唽䑓✬착!＀＀ ＀＀	＀＀_x0008_＀＀_x0001_＀＀_x0001_＀＀_x0001_＀＀ㄦ䃎찀ꄆ他"剁䡍䙞彆佃彍䡓当問彔偅当䥄⡌呑ⱒ⤰!＀＀ ＀＀	＀＀_x0008_＀＀_x0001_＀＀_x0001_＀＀_x0001_＀＀鼊坡ꪀ䁼찀ꄎ他B义䍔䙞彅卅䥔䅍䕔✨扥瑩Ⱗ䴧䅅❎✬䅃䅌Ⱗ㈧㄰✱〬Ⱜ✬䌬剕䕒䍎㵙单ⱄ⤧!＀＀ ＀＀	＀＀_x0008_＀＀_x0001_＀＀_x0001_＀＀_x0001_＀＀轜쐘䃑찀ꄊ他B剁䡍䙞彅卅䥔䅍䕔✨扥瑩Ⱗ䴧䅅❎✬䅃䅌Ⱗ㈧〰✸〬Ⱜ✬䌬剕䕒䍎㵙单ⱄ⤧!＀＀ ＀＀	＀＀_x0008_＀＀_x0001_＀＀_x0001_＀＀_x0001_＀＀钰补㵣䁞찀ꄓ他C䍑䵏䙞彅卅䥔䅍䕔✨䅃䕐❘✬䕍乁Ⱗ䌧䱁❁✬〲ㄱⰧⰰⰬⰧ啃剒久奃唽䑓✬착!＀＀ ＀＀	＀＀_x0008_＀＀_x0001_＀＀_x0001_＀＀_x0001_＀＀ꇋ뙅䂄찀ꄖ他_x001F_呓ⵍ剆偞灟楲散江睯㕟眲〨Ⱜ唬䑓착!＀＀ ＀＀	＀＀_x0008_＀＀_x0001_＀＀_x0001_＀＀_x0001_＀＀枭윈ᬬ䀖찀Ծ仍A䵁幄䕆䕟呓䵉呁⡅匧䱁卅Ⱗ䴧䅅❎✬啑剁䕔䱒彙佒䱌Ⱗ㈧㄰⼲䘱ⰧⰰⰬ✧착!＀＀ ＀＀	＀＀_x0008_＀＀_x0001_＀＀_x0001_＀＀_x0001_＀＀磕⛩娱䂙찀ꄙ他E呓ⵍ剆䙞彅卅䥔䅍䕔✨偅䉓❇✬䕍乁Ⱗ䌧䱁❁✬〲㌱ⰧⰰⰬⰧ啃剒久奃唽䑓✬착!＀＀ ＀＀	＀＀_x0008_＀＀_x0001_＀＀_x0001_＀＀_x0001_＀＀㚁ঃ㿢찀ꄓ他B䍑䵏䙞彅卅䥔䅍䕔✨扥瑩Ⱗ䴧䅅❎✬䅃䅌Ⱗ㈧〰✹〬Ⱜ✬䌬剕䕒䍎㵙单ⱄ⤧!＀＀ ＀＀	＀＀_x0008_＀＀_x0001_＀＀_x0001_＀＀_x0001_＀＀ᚇ컙ﻷ䂪찀ꄊ他A剁䡍䙞彅卅䥔䅍䕔✨䍆❆✬䕍乁Ⱗ䌧䱁❁✬〲㜰ⰧⰰⰬⰧ啃剒久奃唽䑓✬착!＀＀ ＀＀	＀＀_x0008_＀＀_x0001_＀＀_x0001_＀＀_x0001_＀＀ꃹ덧㏪䁤찀ꄘ他@䑁幉䕆䕟呓䵉呁⡅䘧䙃Ⱗ䴧䅅❎✬䅃䅌Ⱗ㈧〰✸〬Ⱜ✬䌬剕䕒䍎㵙单ⱄ⤧!＀＀ ＀＀	＀＀_x0008_＀＀_x0001_＀＀_x0001_＀＀_x0001_＀＀땳閕䂃찀Խ仍A䵁幄䕆䕟呓䵉呁⡅匧䱁卅Ⱗ䴧䅅❎✬啑剁䕔䱒彙佒䱌Ⱗ㈧㄰⼱䘴ⰧⰰⰬ✧착!＀＀ ＀＀	＀＀_x0008_＀＀_x0001_＀＀_x0001_＀＀_x0001_＀＀⛪࠱⌬䂛찀ꄘ他D呓ⵍ剆䙞彅卅䥔䅍䕔✨扥瑩Ⱗ䴧䅅❎✬䅃䅌Ⱗ㈧㄰✱〬Ⱜ✬䌬剕䕒䍎㵙单ⱄ⤧!＀＀ ＀＀	＀＀_x0008_＀＀_x0001_＀＀_x0001_＀＀_x0001_＀＀ᬉ庞儩䁣찀ꄗ他F䑁幉䕆䕟呓䵉呁⡅䤧䍎䝟佒卓Ⱗ䴧䅅❎✬䅃䅌Ⱗ㈧㄰✳〬Ⱜ✬䌬剕䕒䍎㵙单ⱄ⤧!＀＀ ＀＀	＀＀_x0008_＀＀_x0001_＀＀_x0001_＀＀_x0001_＀＀晦晦෦䂠찀ꄐ他C义䍔䙞彅卅䥔䅍䕔✨偅䉓❇✬䕍乁Ⱗ䌧䱁❁✬〲㠰ⰧⰰⰬⰧ啃剒久奃唽䑓✬착!＀＀ ＀＀	＀＀_x0008_＀＀_x0001_＀＀_x0001_＀＀_x0001_＀＀尩슏⣵㿰찀ꄅ他_x0017_䅃䵖偞灟楲散江睯㕟眲〨착!＀＀ ＀＀	＀＀_x0008_＀＀_x0001_＀＀_x0001_＀＀_x0001_＀＀㌴㌳㌳䀸찀ꄗ他A䑁幉䕆䕟呓䵉呁⡅攧楢❴✬䕍乁Ⱗ䌧䱁❁✬〲㌱ⰧⰰⰬⰧ啃剒久奃唽䑓✬착!＀＀ ＀＀	＀＀_x0008_＀＀_x0001_＀＀_x0001_＀＀_x0001_＀＀_xD917_⏓䂑찀ꄒ他B噎䅄䙞彅卅䥔䅍䕔✨扥瑩Ⱗ䴧䅅❎✬䅃䅌Ⱗ㈧〰✹〬Ⱜ✬䌬剕䕒䍎㵙单ⱄ⤧!＀＀ ＀＀	＀＀_x0008_＀＀_x0001_＀＀_x0001_＀＀_x0001_＀＀泋䦐ቆ䁝찀ꄚ他J呓ⵍ剆䙞彅卅䥔䅍䕔✨啃呓䵏䕟卐Ⱗ䴧䅅❎✬䅃䅌Ⱗ㈧㄰✱〬Ⱜ✬䌬剕䕒䍎㵙单ⱄ⤧!＀＀ ＀＀	＀＀_x0008_＀＀_x0001_＀＀_x0001_＀＀_x0001_＀＀豀碵꼝쐕찀ꄙ他B䑁幉䕆䕟呓䵉呁⡅䔧卐䝂Ⱗ䴧䅅❎✬䅃䅌Ⱗ㈧㄰✲〬Ⱜ✬䌬剕䕒䍎㵙单ⱄ⤧!＀＀ ＀＀	＀＀_x0008_＀＀_x0001_＀＀_x0001_＀＀_x0001_＀＀鑓縗䀃찀ꄘ他E呓ⵍ剆䙞彅卅䥔䅍䕔✨䅃䕐❘✬䕍乁Ⱗ䌧䱁❁✬〲㌱ⰧⰰⰬⰧ啃剒久奃唽䑓✬착!＀＀ ＀＀	＀＀_x0008_＀＀_x0001_＀＀_x0001_＀＀_x0001_＀＀䯇褷ᣁ䂎찀ꄖ他_x0018_䱘塎偞灟楲散桟杩彨㈵⡷⤰!＀＀ ＀＀	＀＀_x0008_＀＀_x0001_＀＀_x0001_＀＀_x0001_＀＀슏⣵꽜䁂찀ꄖ他B䑁幉䕆䕟呓䵉呁⡅匧䱁卅Ⱗ䴧䅅❎✬䅃䅌Ⱗ㈧〰✸〬Ⱜ✬䌬剕䕒䍎㵙单ⱄ⤧!＀＀ ＀＀	＀＀_x0008_＀＀_x0001_＀＀_x0001_＀＀_x0001_＀＀⋐牛䂣찀ꄒ他C䍑䵏䙞彅卅䥔䅍䕔✨䅓䕌❓✬䕍乁Ⱗ䌧䱁❁✬〲㐱ⰧⰰⰬⰧ啃剒久奃唽䑓✬착!＀＀ ＀＀	＀＀_x0008_＀＀_x0001_＀＀_x0001_＀＀_x0001_＀＀ᑺᒮ䃗찀ꄍ他K㐲㐵吭䥁䙞彅卅䥔䅍䕔✨义彃則协❓✬䕍乁Ⱗ䌧䱁❁✬〲㠰ⰧⰰⰬⰧ啃剒久奃唽䑓✬착!＀＀ ＀＀	＀＀_x0008_＀＀_x0001_＀＀_x0001_＀＀_x0001_＀＀⃅犰䫨䂗찀ꄋ他H剁䡍䙞彅卅䥔䅍䕔✨啃呓䵏䕟卐Ⱗ䴧䅅❎✬䅃䅌Ⱗ㈧〰✸〬Ⱜ✬䌬剕䕒䍎㵙单ⱄ⤧!＀＀ ＀＀	＀＀_x0008_＀＀_x0001_＀＀_x0001_＀＀_x0001_＀＀豀碵꼝쐕찀ꄎ他B义䍔䙞彅卅䥔䅍䕔✨扥瑩Ⱗ䴧䅅❎✬䅃䅌Ⱗ㈧㄰✴〬Ⱜ✬䌬剕䕒䍎㵙单ⱄ⤧!＀＀ ＀＀	＀＀_x0008_＀＀_x0001_＀＀_x0001_＀＀_x0001_＀＀晧晦稦䃔찀ꄘ他B䑁幉䕆䕟呓䵉呁⡅䌧偁塅Ⱗ䴧䅅❎✬䅃䅌Ⱗ㈧〰✸〬Ⱜ✬䌬剕䕒䍎㵙单ⱄ⤧!＀＀ ＀＀	＀＀_x0008_＀＀_x0001_＀＀_x0001_＀＀_x0001_＀＀ꏗ㵰䌊䁡찀ꄗ他I呓ⵍ剆䙞彅卅䥔䅍䕔✨义彃則协❓✬䕍乁Ⱗ䌧䱁❁✬〲㈱ⰧⰰⰬⰧ啃剒久奃唽䑓✬착!＀＀ ＀＀	＀＀_x0008_＀＀_x0001_＀＀_x0001_＀＀_x0001_＀＀晧晦젦䂫찀ꄔ他A䍑䵏䙞彅卅䥔䅍䕔✨䍆❆✬䕍乁Ⱗ䌧䱁❁✬〲㘰ⰧⰰⰬⰧ啃剒久奃唽䑓✬착!＀＀ ＀＀	＀＀_x0008_＀＀_x0001_＀＀_x0001_＀＀_x0001_＀＀Წ摚牻䂤찀ꄓ他C䍑䵏䙞彅卅䥔䅍䕔✨䅃䕐❘✬䕍乁Ⱗ䌧䱁❁✬〲㐱ⰧⰰⰬⰧ啃剒久奃唽䑓✬착!＀＀ ＀＀	＀＀_x0008_＀＀_x0001_＀＀_x0001_＀＀_x0001_＀＀薈퍚䂋찀ꄓ他B䍑䵏䙞彅卅䥔䅍䕔✨扥瑩Ⱗ䴧䅅❎✬䅃䅌Ⱗ㈧㄰✰〬Ⱜ✬䌬剕䕒䍎㵙单ⱄ⤧!＀＀ ＀＀	＀＀_x0008_＀＀_x0001_＀＀_x0001_＀＀_x0001_＀＀삃ꇊ⭅䂱찀ꄑ他"䍑䵏䙞彆佃彍䡓当問彔偅当䥄⡌呑ⱒ⤰ċ＀＀ ＀＀ó＀＀_x0008_＀＀_x0001_＀＀_x0001_＀＀_x0001_＀＀＀＀＀＀氀䂚摦畳㩰⼯楄敲瑣潩獮䘯捡却瑥䄠摵瑩湩⁧楖睥牥愿瑣潩㵮啁䥄彔䅖啌♅䉄ㄽ㤲䤦ㅄ㜽㜴㈵ㄵ☰䅖啌䥅㵄㔰㤱☴䑓呁㵅〲ㄱ㐰倦剅佉呄偙㵅呑归呓♄䍓呆㌽眦湩潤㵷潰異彰潮扟牡眦摩桴㌽㔸栦楥桧㵴㈱☰呓剁彔䅍䥘䥍䕚㵄䅆卌♅牣慥潴㵲慦瑣敳♴楤灳慬役瑳楲杮䄽摵瑩찀ꄐ他H义䍔䙞彅卅䥔䅍䕔✨啃呓䵏䕟卐Ⱗ䴧䅅❎✬䅃䅌Ⱗ㈧㄰✲〬Ⱜ✬䌬剕䕒䍎㵙单ⱄ⤧!＀＀ ＀＀	＀＀_x0008_＀＀_x0001_＀＀_x0001_＀＀_x0001_＀＀ᜉࣲ쑮䀄찀ꄎ他F㐲㐵吭䥁䙞彅卅䥔䅍䕔✨扥瑩Ⱗ䴧䅅❎✬䅃䅌Ⱗ㈧〰✸〬Ⱜ✬䌬剕䕒䍎㵙单ⱄ⤧!＀＀ ＀＀	＀＀_x0008_＀＀_x0001_＀＀_x0001_＀＀_x0001_＀＀⛪࠱▬䂅찀ꄗ他E呓ⵍ剆䙞彅卅䥔䅍䕔✨䅓䕌❓✬䕍乁Ⱗ䌧䱁❁✬〲〱ⰧⰰⰬⰧ啃剒久奃唽䑓✬착!＀＀ ＀＀	＀＀_x0008_＀＀_x0001_＀＀_x0001_＀＀_x0001_＀＀빷᪟㓿䃄찀ꄘ他D呓ⵍ剆䙞彅卅䥔䅍䕔✨扥瑩Ⱗ䴧䅅❎✬䅃䅌Ⱗ㈧㄰✴〬Ⱜ✬䌬剕䕒䍎㵙单ⱄ⤧!＀＀ ＀＀	＀＀_x0008_＀＀_x0001_＀＀_x0001_＀＀_x0001_＀＀탦_xDB22_䷹䂗찀ꄒ他B噎䅄䙞彅卅䥔䅍䕔✨扥瑩Ⱗ䴧䅅❎✬䅃䅌Ⱗ㈧〰✶〬Ⱜ✬䌬剕䕒䍎㵙单ⱄ⤧!＀＀ ＀＀	＀＀_x0008_＀＀_x0001_＀＀_x0001_＀＀_x0001_＀＀덨珪辵䁾찀ꄘ他E呓ⵍ剆䙞彅卅䥔䅍䕔✨䅃䕐❘✬䕍乁Ⱗ䌧䱁❁✬〲〱ⰧⰰⰬⰧ啃剒久奃唽䑓✬착!＀＀ ＀＀	＀＀_x0008_＀＀_x0001_＀＀_x0001_＀＀_x0001_＀＀痷鳠ﲑ䂎찀ꄚ他J呓ⵍ剆䙞彅卅䥔䅍䕔✨啃呓䵏䕟卐Ⱗ䴧䅅❎✬䅃䅌Ⱗ㈧㄰✴〬Ⱜ✬䌬剕䕒䍎㵙单ⱄ⤧!＀＀ ＀＀	＀＀_x0008_＀＀_x0001_＀＀_x0001_＀＀_x0001_＀＀豀碵꼝쐕찀他A䵁幄䕆䕟呓䵉呁⡅匧䱁卅Ⱗ䴧䅅❎✬啑剁䕔䱒彙佒䱌Ⱗ㈧㄰⼱䘲ⰧⰰⰬ✧착!＀＀ ＀＀	＀＀_x0008_＀＀_x0001_＀＀_x0001_＀＀_x0001_＀＀＀＀＀＀頀䂘찀ꄕ他H䍑䵏䙞彅卅䥔䅍䕔✨啃呓䵏䕟卐Ⱗ䴧䅅❎✬䅃䅌Ⱗ㈧〰✷〬Ⱜ✬䌬剕䕒䍎㵙单ⱄ⤧!＀＀ ＀＀	＀＀_x0008_＀＀_x0001_＀＀_x0001_＀＀_x0001_＀＀ꈍꊵ㿽찀ꄊ他B剁䡍䙞彅卅䥔䅍䕔✨扥瑩Ⱗ䴧䅅❎✬䅃䅌Ⱗ㈧㄰✲〬Ⱜ✬䌬剕䕒䍎㵙单ⱄ⤧!＀＀ ＀＀	＀＀_x0008_＀＀_x0001_＀＀_x0001_＀＀_x0001_＀＀_xD9E9_窱臭䁶찀ꄒ他G䍑䵏䙞彅卅䥔䅍䕔✨义彃則协❓✬䕍乁Ⱗ䌧䱁❁✬〲㠰ⰧⰰⰬⰧ啃剒久奃唽䑓✬착!＀＀ ＀＀	＀＀_x0008_＀＀_x0001_＀＀_x0001_＀＀_x0001_＀＀삃ꇊ㏅䂾찀ꄊ他G剁䡍䙞彅卅䥔䅍䕔✨义彃則协❓✬䕍乁Ⱗ䌧䱁❁✬〲㠰ⰧⰰⰬⰧ啃剒久奃唽䑓✬착!＀＀ ＀＀	＀＀_x0008_＀＀_x0001_＀＀_x0001_＀＀_x0001_＀＀縨릌扫䁸찀ꄔ他A䍑䵏䙞彅卅䥔䅍䕔✨䍆❆✬䕍乁Ⱗ䌧䱁❁✬〲㤰ⰧⰰⰬⰧ啃剒久奃唽䑓✬착!＀＀ ＀＀	＀＀_x0008_＀＀_x0001_＀＀_x0001_＀＀_x0001_＀＀褷恁싥䂳찀ꄙ他G䑁幉䕆䕟呓䵉呁⡅䌧单佔彍偅❓✬䕍乁Ⱗ䌧䱁❁✬〲㠰ⰧⰰⰬⰧ啃剒久奃唽䑓✬착!＀＀ ＀＀	＀＀_x0008_＀＀_x0001_＀＀_x0001_＀＀_x0001_＀＀䗡䅟㆚㿺찀ꄓ他B䍑䵏䙞彅卅䥔䅍䕔✨扥瑩Ⱗ䴧䅅❎✬䅃䅌Ⱗ㈧㄰✳〬Ⱜ✬䌬剕䕒䍎㵙单ⱄ⤧!＀＀ ＀＀	＀＀_x0008_＀＀_x0001_＀＀_x0001_＀＀_x0001_＀＀堑됹興䂿찀ꄘ他@䑁幉䕆䕟呓䵉呁⡅䘧䙃Ⱗ䴧䅅❎✬䅃䅌Ⱗ㈧㄰✲〬Ⱜ✬䌬剕䕒䍎㵙单ⱄ⤧!＀＀ ＀＀	＀＀_x0008_＀＀_x0001_＀＀_x0001_＀＀_x0001_＀＀⚁蛂ꜧ䂈찀ꄗ他E呓ⵍ剆䙞彅卅䥔䅍䕔✨䅓䕌❓✬䕍乁Ⱗ䌧䱁❁✬〲㌱ⰧⰰⰬⰧ啃剒久奃唽䑓✬착!＀＀ ＀＀	＀＀_x0008_＀＀_x0001_＀＀_x0001_＀＀_x0001_＀＀멞౉듂䃄찀ꄒ他G噎䅄䙞彅卅䥔䅍䕔✨义彃則协❓✬䕍乁Ⱗ䌧䱁❁✬〲㘰ⰧⰰⰬⰧ啃剒久奃唽䑓✬착!＀＀ ＀＀	＀＀_x0008_＀＀_x0001_＀＀_x0001_＀＀_x0001_＀＀豀碵꼝쐕찀Կ仍_x0019_䑁幉䝆偟䥒䕃㐨㠰〷Ⱜ唬䑓착!＀＀ ＀＀	＀＀_x0008_＀＀_x0001_＀＀_x0001_＀＀_x0001_＀＀尩슏ꣵ䁀찀ꄐ他C义䍔䙞彅卅䥔䅍䕔✨偅䉓❇✬䕍乁Ⱗ䌧䱁❁✬〲㈱ⰧⰰⰬⰧ啃剒久奃唽䑓✬착!＀＀ ＀＀	＀＀_x0008_＀＀_x0001_＀＀_x0001_＀＀_x0001_＀＀㋆ዽ盱䀅찀ꄖ他_x0014_剂䵃䙞彇剐䍉⡅〴㐵⤴!＀＀ ＀＀	＀＀_x0008_＀＀_x0001_＀＀_x0001_＀＀_x0001_＀＀晦晦왦䁅찀ꄒ他B噎䅄䙞彅卅䥔䅍䕔✨扥瑩Ⱗ䴧䅅❎✬䅃䅌Ⱗ㈧㄰✳〬Ⱜ✬䌬剕䕒䍎㵙单ⱄ⤧!＀＀ ＀＀	＀＀_x0008_＀＀_x0001_＀＀_x0001_＀＀_x0001_＀＀谖的䂌찀ꄌ他C义䍔䙞彅卅䥔䅍䕔✨䅓䕌❓✬䕍乁Ⱗ䌧䱁❁✬〲㠰ⰧⰰⰬⰧ啃剒久奃唽䑓✬착!＀＀ ＀＀	＀＀_x0008_＀＀_x0001_＀＀_x0001_＀＀_x0001_＀＀＀＀＀＀婀䃢찀ꄔ他C噎䅄䙞彅卅䥔䅍䕔✨偅䉓❇✬䕍乁Ⱗ䌧䱁❁✬〲㘰ⰧⰰⰬⰧ啃剒久奃唽䑓✬착!＀＀ ＀＀	＀＀_x0008_＀＀_x0001_＀＀_x0001_＀＀_x0001_＀＀豀碵꼝쐕찀ꄖ他B䑁幉䕆䕟呓䵉呁⡅匧䱁卅Ⱗ䴧䅅❎✬䅃䅌Ⱗ㈧㄰✲〬Ⱜ✬䌬剕䕒䍎㵙单ⱄ⤧!＀＀ ＀＀	＀＀_x0008_＀＀_x0001_＀＀_x0001_＀＀_x0001_＀＀ꗣ쒛䗠䂦찀ꄍ他K㐲㐵吭䥁䙞彅卅䥔䅍䕔✨义彃則协❓✬䕍乁Ⱗ䌧䱁❁✬〲㈱ⰧⰰⰬⰧ啃剒久奃唽䑓✬착!＀＀ ＀＀	＀＀_x0008_＀＀_x0001_＀＀_x0001_＀＀_x0001_＀＀鮦⃄Ʞ䂘찀ꄎ他C义䍔䙞彅卅䥔䅍䕔✨䅃䕐❘✬䕍乁Ⱗ䌧䱁❁✬〲㠰ⰧⰰⰬⰧ啃剒久奃唽䑓✬착!＀＀ ＀＀	＀＀_x0008_＀＀_x0001_＀＀_x0001_＀＀_x0001_＀＀＀＀＀＀䷀䂴찀ꄖ他_x001E_噎䅄偞灟楲散桟杩彨㈵⡷ⰰⰬ单⥄!＀＀ ＀＀	＀＀_x0008_＀＀_x0001_＀＀_x0001_＀＀_x0001_＀＀凬Ẹ⮅䀺찀ꄕ他H䍑䵏䙞彅卅䥔䅍䕔✨啃呓䵏䕟卐Ⱗ䴧䅅❎✬䅃䅌Ⱗ㈧㄰✴〬Ⱜ✬䌬剕䕒䍎㵙单ⱄ⤧!＀＀ ＀＀	＀＀_x0008_＀＀_x0001_＀＀_x0001_＀＀_x0001_＀＀豀碵꼝쐕찀ꄘ他B䑁幉䕆䕟呓䵉呁⡅䌧偁塅Ⱗ䴧䅅❎✬䅃䅌Ⱗ㈧㄰✲〬Ⱜ✬䌬剕䕒䍎㵙单ⱄ⤧!＀＀ ＀＀	＀＀_x0008_＀＀_x0001_＀＀_x0001_＀＀_x0001_＀＀霥郿畾䁠찀ꄔ他A䍑䵏䙞彅卅䥔䅍䕔✨䍆❆✬䕍乁Ⱗ䌧䱁❁✬〲〱ⰧⰰⰬⰧ啃剒久奃唽䑓✬착!＀＀ ＀＀	＀＀_x0008_＀＀_x0001_＀＀_x0001_＀＀_x0001_＀＀竡긔椇䂯찀ꄎ他F㐲㐵吭䥁䙞彅卅䥔䅍䕔✨扥瑩Ⱗ䴧䅅❎✬䅃䅌Ⱗ㈧㄰✲〬Ⱜ✬䌬剕䕒䍎㵙单ⱄ⤧!＀＀ ＀＀	＀＀_x0008_＀＀_x0001_＀＀_x0001_＀＀_x0001_＀＀_xDED3_௠ⶓ䂂찀ꄐ他L㐲㐵吭䥁䙞彅卅䥔䅍䕔✨啃呓䵏䕟卐Ⱗ䴧䅅❎✬䅃䅌Ⱗ㈧〰✸〬Ⱜ✬䌬剕䕒䍎㵙单ⱄ⤧!＀＀ ＀＀	＀＀_x0008_＀＀_x0001_＀＀_x0001_＀＀_x0001_＀＀豀碵꼝쐕찀ꄊ他A剁䡍䙞彅卅䥔䅍䕔✨䍆❆✬䕍乁Ⱗ䌧䱁❁✬〲㐱ⰧⰰⰬⰧ啃剒久奃唽䑓✬착!＀＀ ＀＀	＀＀_x0008_＀＀_x0001_＀＀_x0001_＀＀_x0001_＀＀⧈鈺鷋䁺찀ꄒ他B噎䅄䙞彅卅䥔䅍䕔✨扥瑩Ⱗ䴧䅅❎✬䅃䅌Ⱗ㈧㄰✰〬Ⱜ✬䌬剕䕒䍎㵙单ⱄ⤧!＀＀ ＀＀	＀＀_x0008_＀＀_x0001_＀＀_x0001_＀＀_x0001_＀＀땴ﬕ䁴찀ꄒ他G噎䅄䙞彅卅䥔䅍䕔✨义彃則协❓✬䕍乁Ⱗ䌧䱁❁✬〲㤰ⰧⰰⰬⰧ啃剒久奃唽䑓✬착!＀＀ ＀＀	＀＀_x0008_＀＀_x0001_＀＀_x0001_＀＀_x0001_＀＀鮦⃄憰䂒찀ꄚ他C呓ⵍ剆䙞彅卅䥔䅍䕔✨偄❓✬䕍乁Ⱗ䌧䱁❁✬〲ㄱⰧⰰⰬⰧ啃剒久奃唽䑓✬착!＀＀ ＀＀	＀＀_x0008_＀＀_x0001_＀＀_x0001_＀＀_x0001_＀＀᣿볟㟝㿙찀ꄖ他_x001A_䑁幉杦摟扥彴潴慴⡬ⰰⰬ单⥄!＀＀ ＀＀	＀＀_x0008_＀＀_x0001_＀＀_x0001_＀＀_x0001_＀＀멞౉댂䂋찀ꄙ他C呓ⵍ剆䙞彅卅䥔䅍䕔✨䍆❆✬䕍乁Ⱗ䌧䱁❁✬〲㠰ⰧⰰⰬⰧ啃剒久奃唽䑓✬착!＀＀ ＀＀	＀＀_x0008_＀＀_x0001_＀＀_x0001_＀＀_x0001_＀＀Ƥּ鄒䂂찀ꄖ他_x0019_䑁幉䝆偟䥒䕃㐨㠰㜷Ⱜ唬䑓착!＀＀ ＀＀	＀＀_x0008_＀＀_x0001_＀＀_x0001_＀＀_x0001_＀＀䞮竡渔䁁찀ꄔ他C噎䅄䙞彅卅䥔䅍䕔✨偅䉓❇✬䕍乁Ⱗ䌧䱁❁✬〲㤰ⰧⰰⰬⰧ啃剒久奃唽䑓✬착!＀＀ ＀＀	＀＀_x0008_＀＀_x0001_＀＀_x0001_＀＀_x0001_＀＀ኋ៴㿛찀ꄕ他H䍑䵏䙞彅卅䥔䅍䕔✨啃呓䵏䕟卐Ⱗ䴧䅅❎✬䅃䅌Ⱗ㈧㄰✱〬Ⱜ✬䌬剕䕒䍎㵙单ⱄ⤧!＀＀ ＀＀	＀＀_x0008_＀＀_x0001_＀＀_x0001_＀＀_x0001_＀＀슨嫍䀇찀ꄑ他C噎䅄䙞彅卅䥔䅍䕔✨䅓䕌❓✬䕍乁Ⱗ䌧䱁❁✬〲㤰ⰧⰰⰬⰧ啃剒久奃唽䑓✬착!＀＀ ＀＀	＀＀_x0008_＀＀_x0001_＀＀_x0001_＀＀_x0001_＀＀䯇褷ఁ䂪찀ꄒ他G䍑䵏䙞彅卅䥔䅍䕔✨义彃則协❓✬䕍乁Ⱗ䌧䱁❁✬〲㈱ⰧⰰⰬⰧ啃剒久奃唽䑓✬착!＀＀ ＀＀	＀＀_x0008_＀＀_x0001_＀＀_x0001_＀＀_x0001_＀＀뱫鍴㽨䃈찀ꄊ他G剁䡍䙞彅卅䥔䅍䕔✨义彃則协❓✬䕍乁Ⱗ䌧䱁❁✬〲㈱ⰧⰰⰬⰧ啃剒久奃唽䑓✬착!＀＀ ＀＀	＀＀_x0008_＀＀_x0001_＀＀_x0001_＀＀_x0001_＀＀i腯億䂉찀ꄊ他A剁䡍䙞彅卅䥔䅍䕔✨䍆❆✬䕍乁Ⱗ䌧䱁❁✬〲ㄱⰧⰰⰬⰧ啃剒久奃唽䑓✬착!＀＀ ＀＀	＀＀_x0008_＀＀_x0001_＀＀_x0001_＀＀_x0001_＀＀筊⾃敌䁰찀ꄔ他A䍑䵏䙞彅卅䥔䅍䕔✨䍆❆✬䕍乁Ⱗ䌧䱁❁✬〲㌱ⰧⰰⰬⰧ啃剒久奃唽䑓✬착!＀＀ ＀＀	＀＀_x0008_＀＀_x0001_＀＀_x0001_＀＀_x0001_＀＀㽼煕䂻찀ꄙ他G䑁幉䕆䕟呓䵉呁⡅䌧单佔彍偅❓✬䕍乁Ⱗ䌧䱁❁✬〲㈱ⰧⰰⰬⰧ啃剒久奃唽䑓✬착!＀＀ ＀＀	＀＀_x0008_＀＀_x0001_＀＀_x0001_＀＀_x0001_＀＀鏷㸱ﻌ䀂찀ꄓ他C噎䅄䙞彅卅䥔䅍䕔✨䅃䕐❘✬䕍乁Ⱗ䌧䱁❁✬〲㤰ⰧⰰⰬⰧ啃剒久奃唽䑓✬착!＀＀ ＀＀	＀＀_x0008_＀＀_x0001_＀＀_x0001_＀＀_x0001_＀＀蒡뚙_xD97F_䁘찀ꄑ他_x001B_䍑䵏晞彧敤瑢瑟瑯污〨Ⱜ唬䑓착!＀＀ ＀＀	＀＀_x0008_＀＀_x0001_＀＀_x0001_＀＀_x0001_＀＀＀＀＀＀က䂏찀ꄐ他G㐲㐵吭䥁䙞彅卅䥔䅍䕔✨偅䉓❇✬䕍乁Ⱗ䌧䱁❁✬〲㜰ⰧⰰⰬⰧ啃剒久奃唽䑓✬착!＀＀ ＀＀	＀＀_x0008_＀＀_x0001_＀＀_x0001_＀＀_x0001_＀＀貀韊ⵡ㿫찀ꄌ他C义䍔䙞彅卅䥔䅍䕔✨䅓䕌❓✬䕍乁Ⱗ䌧䱁❁✬〲㈱ⰧⰰⰬⰧ啃剒久奃唽䑓✬착!＀＀ ＀＀	＀＀_x0008_＀＀_x0001_＀＀_x0001_＀＀_x0001_＀＀ꏗ㵰ℂ䃬찀ꄔ他C噎䅄䙞彅卅䥔䅍䕔✨偅䉓❇✬䕍乁Ⱗ䌧䱁❁✬〲〱ⰧⰰⰬⰧ啃剒久奃唽䑓✬착!＀＀ ＀＀	＀＀_x0008_＀＀_x0001_＀＀_x0001_＀＀_x0001_＀＀厙풸탷㿤찀ꄏ他E㐲㐵吭䥁䙞彅卅䥔䅍䕔✨䍆❆✬䕍乁Ⱗ䌧䱁❁✬〲㘰ⰧⰰⰬⰧ啃剒久奃唽䑓✬착!＀＀ ＀＀	＀＀_x0008_＀＀_x0001_＀＀_x0001_＀＀_x0001_＀＀儚ᯚ뛼䂃찀ꄋ他H剁䡍䙞彅卅䥔䅍䕔✨啃呓䵏䕟卐Ⱗ䴧䅅❎✬䅃䅌Ⱗ㈧㄰✲〬Ⱜ✬䌬剕䕒䍎㵙单ⱄ⤧!＀＀ ＀＀	＀＀_x0008_＀＀_x0001_＀＀_x0001_＀＀_x0001_＀＀豀碵꼝쐕찀ꄖ他"㐲㐵吭䥁偞灟楲散桟杩彨㈵⡷ⰰⰬ单⥄!＀＀ ＀＀	＀＀_x0008_＀＀_x0001_＀＀_x0001_＀＀_x0001_＀＀㺅왘了䀭찀ꄔ他H噎䅄䙞彅卅䥔䅍䕔✨啃呓䵏䕟卐Ⱗ䴧䅅❎✬䅃䅌Ⱗ㈧〰✷〬Ⱜ✬䌬剕䕒䍎㵙单ⱄ⤧!＀＀ ＀＀	＀＀_x0008_＀＀_x0001_＀＀_x0001_＀＀_x0001_＀＀꟣潱;㿵찀ꄑ他C噎䅄䙞彅卅䥔䅍䕔✨䅓䕌❓✬䕍乁Ⱗ䌧䱁❁✬〲㘰ⰧⰰⰬⰧ啃剒久奃唽䑓✬착!＀＀ ＀＀	＀＀_x0008_＀＀_x0001_＀＀_x0001_＀＀_x0001_＀＀尨菏䂧찀ꄍ他G㐲㐵吭䥁䙞彅卅䥔䅍䕔✨䅓䕌❓✬䕍乁Ⱗ䌧䱁❁✬〲㜰ⰧⰰⰬⰧ啃剒久奃唽䑓✬착!＀＀ ＀＀	＀＀_x0008_＀＀_x0001_＀＀_x0001_＀＀_x0001_＀＀⃅犰⵨䂣찀ꄎ他C义䍔䙞彅卅䥔䅍䕔✨䅃䕐❘✬䕍乁Ⱗ䌧䱁❁✬〲㈱ⰧⰰⰬⰧ啃剒久奃唽䑓✬착!＀＀ ＀＀	＀＀_x0008_＀＀_x0001_＀＀_x0001_＀＀_x0001_＀＀ⴎ鶲픟䃀찀ꄖ他_x0019_䑁幉䝆偟䥒䕃㐨㔰㐴Ⱜ唬䑓착!＀＀ ＀＀	＀＀_x0008_＀＀_x0001_＀＀_x0001_＀＀_x0001_＀＀⣶轜헂䁂찀ꄓ他C噎䅄䙞彅卅䥔䅍䕔✨䅃䕐❘✬䕍乁Ⱗ䌧䱁❁✬〲㘰ⰧⰰⰬⰧ啃剒久奃唽䑓✬착!＀＀ ＀＀	＀＀_x0008_＀＀_x0001_＀＀_x0001_＀＀_x0001_＀＀凗ӕꝑ䁞찀ꄋ他C剁䡍䙞彅卅䥔䅍䕔✨偅䉓❇✬䕍乁Ⱗ䌧䱁❁✬〲㤰ⰧⰰⰬⰧ啃剒久奃唽䑓✬착!＀＀ ＀＀	＀＀_x0008_＀＀_x0001_＀＀_x0001_＀＀_x0001_＀＀ᘣꖌ瞣㿐찀ꄎ他G㐲㐵吭䥁䙞彅卅䥔䅍䕔✨䅃䕐❘✬䕍乁Ⱗ䌧䱁❁✬〲㜰ⰧⰰⰬⰧ啃剒久奃唽䑓✬착!＀＀ ＀＀	＀＀_x0008_＀＀_x0001_＀＀_x0001_＀＀_x0001_＀＀꒔♫죟䁉찀ꄐ他L㐲㐵吭䥁䙞彅卅䥔䅍䕔✨啃呓䵏䕟卐Ⱗ䴧䅅❎✬䅃䅌Ⱗ㈧㄰✲〬Ⱜ✬䌬剕䕒䍎㵙单ⱄ⤧!＀＀ ＀＀	＀＀_x0008_＀＀_x0001_＀＀_x0001_＀＀_x0001_＀＀豀碵꼝쐕찀ꄒ他G噎䅄䙞彅卅䥔䅍䕔✨义彃則协❓✬䕍乁Ⱗ䌧䱁❁✬〲㌱ⰧⰰⰬⰧ啃剒久奃唽䑓✬착!＀＀ ＀＀	＀＀_x0008_＀＀_x0001_＀＀_x0001_＀＀_x0001_＀＀إ閁㮃䂣찀ꄍ他G义䍔䙞彅卅䥔䅍䕔✨义彃則协❓✬䕍乁Ⱗ䌧䱁❁✬〲㜰ⰧⰰⰬⰧ啃剒久奃唽䑓✬착!＀＀ ＀＀	＀＀_x0008_＀＀_x0001_＀＀_x0001_＀＀_x0001_＀＀䞮竡愴䃓찀ꄕ他A噎䅄䙞彅卅䥔䅍䕔✨偄❓✬䕍乁Ⱗ䌧䱁❁✬〲ㄱⰧⰰⰬⰧ啃剒久奃唽䑓✬착!＀＀ ＀＀	＀＀_x0008_＀＀_x0001_＀＀_x0001_＀＀_x0001_＀＀＀＀＀＀＀＀＀＀찀ꄓ他A噎䅄䙞彅卅䥔䅍䕔✨䍆❆✬䕍乁Ⱗ䌧䱁❁✬〲㠰ⰧⰰⰬⰧ啃剒久奃唽䑓✬착!＀＀ ＀＀	＀＀_x0008_＀＀_x0001_＀＀_x0001_＀＀_x0001_＀＀營躊⣤䁔찀ꄔ他C噎䅄䙞彅卅䥔䅍䕔✨偅䉓❇✬䕍乁Ⱗ䌧䱁❁✬〲㌱ⰧⰰⰬⰧ啃剒久奃唽䑓✬착!＀＀ ＀＀	＀＀_x0008_＀＀_x0001_＀＀_x0001_＀＀_x0001_＀＀䖷඙䤲㿵찀ꄏ他E㐲㐵吭䥁䙞彅卅䥔䅍䕔✨䍆❆✬䕍乁Ⱗ䌧䱁❁✬〲㤰ⰧⰰⰬⰧ啃剒久奃唽䑓✬착!＀＀ ＀＀	＀＀_x0008_＀＀_x0001_＀＀_x0001_＀＀_x0001_＀＀鮦⃄㞰䂘찀ꄊ他C剁䡍䙞彅卅䥔䅍䕔✨偅䉓❇✬䕍乁Ⱗ䌧䱁❁✬〲㘰ⰧⰰⰬⰧ啃剒久奃唽䑓✬착!＀＀ ＀＀	＀＀_x0008_＀＀_x0001_＀＀_x0001_＀＀_x0001_＀＀䦶捅㿐찀ꄖ他_x0018_䱁剔偞灟楲散桟杩彨㈵⡷⤰!＀＀ ＀＀	＀＀_x0008_＀＀_x0001_＀＀_x0001_＀＀_x0001_＀＀凬Ẹ쮅䁈찀ꄑ他C噎䅄䙞彅卅䥔䅍䕔✨䅓䕌❓✬䕍乁Ⱗ䌧䱁❁✬〲㌱ⰧⰰⰬⰧ啃剒久奃唽䑓✬착!＀＀ ＀＀	＀＀_x0008_＀＀_x0001_＀＀_x0001_＀＀_x0001_＀＀脆䎕㺫䂲찀ꄏ他A义䍔䙞彅卅䥔䅍䕔✨䍆❆✬䕍乁Ⱗ䌧䱁❁✬〲㘰ⰧⰰⰬⰧ啃剒久奃唽䑓✬착!＀＀ ＀＀	＀＀_x0008_＀＀_x0001_＀＀_x0001_＀＀_x0001_＀＀＀＀＀＀䂲찀Կ仍_x0014_剂䵃䙞彇剐䍉⡅〴㜸⤰!＀＀ ＀＀	＀＀_x0008_＀＀_x0001_＀＀_x0001_＀＀_x0001_＀＀蔟凫麸䀿찀Կ仍_x001C_呓ⵍ剆䙞彇剐䍉⡅〴㜸ⰰⰬ单⥄!＀＀ ＀＀	＀＀_x0008_＀＀_x0001_＀＀_x0001_＀＀_x0001_＀＀గS阱䀗찀ꄉ他C剁䡍䙞彅卅䥔䅍䕔✨䅓䕌❓✬䕍乁Ⱗ䌧䱁❁✬〲㘰ⰧⰰⰬⰧ啃剒久奃唽䑓✬착!＀＀ ＀＀	＀＀_x0008_＀＀_x0001_＀＀_x0001_＀＀_x0001_＀＀ẹ᧑䂀찀ꄓ他C噎䅄䙞彅卅䥔䅍䕔✨䅃䕐❘✬䕍乁Ⱗ䌧䱁❁✬〲㌱ⰧⰰⰬⰧ啃剒久奃唽䑓✬착!＀＀ ＀＀	＀＀_x0008_＀＀_x0001_＀＀_x0001_＀＀_x0001_＀＀㯍텎ґ䁣찀ꄒ他G噎䅄䙞彅卅䥔䅍䕔✨义彃則协❓✬䕍乁Ⱗ䌧䱁❁✬〲〱ⰧⰰⰬⰧ啃剒久奃唽䑓✬착!＀＀ ＀＀	＀＀_x0008_＀＀_x0001_＀＀_x0001_＀＀_x0001_＀＀譄땻䂕찀Ծ仍8䵁幄䕆䕟呓䵉呁⡅义彃則协ⱓ䕍乁儬䅕呒剅奌㈬㄰⼲䘱〬Ⱜ✬⤧!＀＀ ＀＀	＀＀_x0008_＀＀_x0001_＀＀_x0001_＀＀_x0001_＀＀䓐뻴䂆찀ꄊ他C剁䡍䙞彅卅䥔䅍䕔✨䅃䕐❘✬䕍乁Ⱗ䌧䱁❁✬〲㘰ⰧⰰⰬⰧ啃剒久奃唽䑓✬착!＀＀ ＀＀	＀＀_x0008_＀＀_x0001_＀＀_x0001_＀＀_x0001_＀＀ꐕ鬙䀶찀ꄅ他_x0014_䅃䵖䙞彇剐䍉⡅〴㐵⤴!＀＀ ＀＀	＀＀_x0008_＀＀_x0001_＀＀_x0001_＀＀_x0001_＀＀ꏗ㵰휊䁂찀ꄐ他G㐲㐵吭䥁䙞彅卅䥔䅍䕔✨偅䉓❇✬䕍乁Ⱗ䌧䱁❁✬〲ㄱⰧⰰⰬⰧ啃剒久奃唽䑓✬착!＀＀ ＀＀	＀＀_x0008_＀＀_x0001_＀＀_x0001_＀＀_x0001_＀＀뒮풌⩻㿛찀ꄔ他H噎䅄䙞彅卅䥔䅍䕔✨啃呓䵏䕟卐Ⱗ䴧䅅❎✬䅃䅌Ⱗ㈧㄰✱〬Ⱜ✬䌬剕䕒䍎㵙单ⱄ⤧!＀＀ ＀＀	＀＀_x0008_＀＀_x0001_＀＀_x0001_＀＀_x0001_＀＀┵蝙⮣㿰찀ꄑ他C噎䅄䙞彅卅䥔䅍䕔✨䅓䕌❓✬䕍乁Ⱗ䌧䱁❁✬〲〱ⰧⰰⰬⰧ啃剒久奃唽䑓✬착!＀＀ ＀＀	＀＀_x0008_＀＀_x0001_＀＀_x0001_＀＀_x0001_＀＀إ閁觃䂫찀ꄆ他_x001D_剁䡍䙞彆䅃䡓卟⡔呑ⱒⰰⰬ唬䑓착!＀＀ ＀＀	＀＀_x0008_＀＀_x0001_＀＀_x0001_＀＀_x0001_＀＀ᶵ鏉䁿찀ꄖ他_x0014_䱘塎䙞彇剐䍉⡅〴㐵⤴!＀＀ ＀＀	＀＀_x0008_＀＀_x0001_＀＀_x0001_＀＀_x0001_＀＀ᑻ䞮﫡䀼찀ꄖ他!䑁幉䙆䍟䵏卟午佟呕䕟卐䑟䱉儨剔〬착ċ＀＀ ＀＀ó＀＀_x0008_＀＀_x0001_＀＀_x0001_＀＀_x0001_＀＀됹盈ᮾ䁳摦畳㩰⼯楄敲瑣潩獮䘯捡却瑥䄠摵瑩湩⁧楖睥牥愿瑣潩㵮啁䥄彔䅖啌♅䉄ㄽ㤲䤦ㅄ〽㈳㔶ㄴ☰䅖啌䥅㵄㔰㤱☴䑓呁㵅〲ㄱ㐰倦剅佉呄偙㵅呑归呓♄䍓呆㌽眦湩潤㵷潰異彰潮扟牡眦摩桴㌽㔸栦楥桧㵴㈱☰呓剁彔䅍䥘䥍䕚㵄䅆卌♅牣慥潴㵲慦瑣敳♴楤灳慬役瑳楲杮䄽摵瑩찀ꄔ他C䍑䵏䙞彅卅䥔䅍䕔✨偅䉓❇✬䕍乁Ⱗ䌧䱁❁✬〲㤰ⰧⰰⰬⰧ啃剒久奃唽䑓✬착!＀＀ ＀＀	＀＀_x0008_＀＀_x0001_＀＀_x0001_＀＀_x0001_＀＀듔榋ﮦ㿾찀ꄗ他A䑁幉䕆䕟呓䵉呁⡅攧楢❴✬䕍乁Ⱗ䌧䱁❁✬〲㠰ⰧⰰⰬⰧ啃剒久奃唽䑓✬착!＀＀ ＀＀	＀＀_x0008_＀＀_x0001_＀＀_x0001_＀＀_x0001_＀＀앮닾⵻䂂찀ꄏ他A义䍔䙞彅卅䥔䅍䕔✨䍆❆✬䕍乁Ⱗ䌧䱁❁✬〲㤰ⰧⰰⰬⰧ啃剒久奃唽䑓✬착!＀＀ ＀＀	＀＀_x0008_＀＀_x0001_＀＀_x0001_＀＀_x0001_＀＀鮥졄䂴찀ꄓ他C噎䅄䙞彅卅䥔䅍䕔✨䅃䕐❘✬䕍乁Ⱗ䌧䱁❁✬〲〱ⰧⰰⰬⰧ啃剒久奃唽䑓✬착!＀＀ ＀＀	＀＀_x0008_＀＀_x0001_＀＀_x0001_＀＀_x0001_＀＀꽥罷䁗찀ꄋ他C剁䡍䙞彅卅䥔䅍䕔✨偅䉓❇✬䕍乁Ⱗ䌧䱁❁✬〲㌱ⰧⰰⰬⰧ啃剒久奃唽䑓✬착!＀＀ ＀＀	＀＀_x0008_＀＀_x0001_＀＀_x0001_＀＀_x0001_＀＀櫸煇㪎㿨찀ꄖ他_x001C_呓ⵍ剆䙞彇剐䍉⡅〴㜸ⰷⰬ单⥄!＀＀ ＀＀	＀＀_x0008_＀＀_x0001_＀＀_x0001_＀＀_x0001_＀＀뚎䊅䵟䀙찀ꄊ他C剁䡍䙞彅卅䥔䅍䕔✨䅓䕌❓✬䕍乁Ⱗ䌧䱁❁✬〲㤰ⰧⰰⰬⰧ啃剒久奃唽䑓✬착!＀＀ ＀＀	＀＀_x0008_＀＀_x0001_＀＀_x0001_＀＀_x0001_＀＀豿殹줉䁾찀ꄑ他_x001D_䍑䵏䙞彆䅃䡓卟⡔呑ⱒⰰⰬ唬䑓착ċ＀＀ ＀＀ó＀＀_x0008_＀＀_x0001_＀＀_x0001_＀＀_x0001_＀＀＀＀＀＀숀䃆摦畳㩰⼯楄敲瑣潩獮䘯捡却瑥䄠摵瑩湩⁧楖睥牥愿瑣潩㵮啁䥄彔䅖啌♅䉄ㄽ㤲䤦ㅄ㜽㜴㈵ㄵ☰䅖啌䥅㵄㈰〰☱䑓呁㵅〲ㄱ㐰倦剅佉呄偙㵅呑归呓♄䍓呆㌽眦湩潤㵷潰異彰潮扟牡眦摩桴㌽㔸栦楥桧㵴㈱☰呓剁彔䅍䥘䥍䕚㵄䅆卌♅牣慥潴㵲慦瑣敳♴楤灳慬役瑳楲杮䄽摵瑩찀ꄎ他B义䍔䙞彅卅䥔䅍䕔✨扥瑩Ⱗ䴧䅅❎✬䅃䅌Ⱗ㈧〰✹〬Ⱜ✬䌬剕䕒䍎㵙单ⱄ⤧!＀＀ ＀＀	＀＀_x0008_＀＀_x0001_＀＀_x0001_＀＀_x0001_＀＀ొ⬂އ䂼찀ꄙ他C呓ⵍ剆䙞彅卅䥔䅍䕔✨䍆❆✬䕍乁Ⱗ䌧䱁❁✬〲㈱ⰧⰰⰬⰧ啃剒久奃唽䑓✬착!＀＀ ＀＀	＀＀_x0008_＀＀_x0001_＀＀_x0001_＀＀_x0001_＀＀_xDB23_绹䁼찀ꄍ他G义䍔䙞彅卅䥔䅍䕔✨义彃則协❓✬䕍乁Ⱗ䌧䱁❁✬〲ㄱⰧⰰⰬⰧ啃剒久奃唽䑓✬착!＀＀ ＀＀	＀＀_x0008_＀＀_x0001_＀＀_x0001_＀＀_x0001_＀＀尨췿䃠찀ꄊ他C剁䡍䙞彅卅䥔䅍䕔✨䅃䕐❘✬䕍乁Ⱗ䌧䱁❁✬〲㤰ⰧⰰⰬⰧ啃剒久奃唽䑓✬착!＀＀ ＀＀	＀＀_x0008_＀＀_x0001_＀＀_x0001_＀＀_x0001_＀＀돻⤟쌢䀩찀ꄆ他_x001B_剁䡍晞彧敤瑢瑟瑯污〨Ⱜ唬䑓착!＀＀ ＀＀	＀＀_x0008_＀＀_x0001_＀＀_x0001_＀＀_x0001_＀＀＀＀＀＀＀＀＀＀찀ꄓ他A噎䅄䙞彅卅䥔䅍䕔✨䍆❆✬䕍乁Ⱗ䌧䱁❁✬〲㈱ⰧⰰⰬⰧ啃剒久奃唽䑓✬착!＀＀ ＀＀	＀＀_x0008_＀＀_x0001_＀＀_x0001_＀＀_x0001_＀＀븎餰騪䂉찀ꄐ他G㐲㐵吭䥁䙞彅卅䥔䅍䕔✨偅䉓❇✬䕍乁Ⱗ䌧䱁❁✬〲㐱ⰧⰰⰬⰧ啃剒久奃唽䑓✬착!＀＀ ＀＀	＀＀_x0008_＀＀_x0001_＀＀_x0001_＀＀_x0001_＀＀湯숂씽㿢찀ꄏ他E㐲㐵吭䥁䙞彅卅䥔䅍䕔✨䍆❆✬䕍乁Ⱗ䌧䱁❁✬〲㌱ⰧⰰⰬⰧ啃剒久奃唽䑓✬착!＀＀ ＀＀	＀＀_x0008_＀＀_x0001_＀＀_x0001_＀＀_x0001_＀＀闩輲䂆찀ꄘ他D呓ⵍ剆䙞彅卅䥔䅍䕔✨扥瑩Ⱗ䴧䅅❎✬䅃䅌Ⱗ㈧〰✹〬Ⱜ✬䌬剕䕒䍎㵙单ⱄ⤧!＀＀ ＀＀	＀＀_x0008_＀＀_x0001_＀＀_x0001_＀＀_x0001_＀＀⚁蛂괧삋찀ꄔ他C䍑䵏䙞彅卅䥔䅍䕔✨偅䉓❇✬䕍乁Ⱗ䌧䱁❁✬〲㘰ⰧⰰⰬⰧ啃剒久奃唽䑓✬착!＀＀ ＀＀	＀＀_x0008_＀＀_x0001_＀＀_x0001_＀＀_x0001_＀＀灻홷뭮㿻찀ꄔ他H噎䅄䙞彅卅䥔䅍䕔✨啃呓䵏䕟卐Ⱗ䴧䅅❎✬䅃䅌Ⱗ㈧㄰✴〬Ⱜ✬䌬剕䕒䍎㵙单ⱄ⤧!＀＀ ＀＀	＀＀_x0008_＀＀_x0001_＀＀_x0001_＀＀_x0001_＀＀豀碵꼝쐕찀ꄍ他G㐲㐵吭䥁䙞彅卅䥔䅍䕔✨䅓䕌❓✬䕍乁Ⱗ䌧䱁❁✬〲㐱ⰧⰰⰬⰧ啃剒久奃唽䑓✬착!＀＀ ＀＀	＀＀_x0008_＀＀_x0001_＀＀_x0001_＀＀_x0001_＀＀馚香͙䂯찀ꄋ他C剁䡍䙞彅卅䥔䅍䕔✨偅䉓❇✬䕍乁Ⱗ䌧䱁❁✬〲〱ⰧⰰⰬⰧ啃剒久奃唽䑓✬착!＀＀ ＀＀	＀＀_x0008_＀＀_x0001_＀＀_x0001_＀＀_x0001_＀＀蝠登̊㿛찀他8䵁幄䕆䕟呓䵉呁⡅义彃則协ⱓ䕍乁儬䅕呒剅奌㈬㄰⼱䘲〬Ⱜ✬⤧!＀＀ ＀＀	＀＀_x0008_＀＀_x0001_＀＀_x0001_＀＀_x0001_＀＀＀＀＀＀耀䂆찀ꄑ他C䍑䵏䙞彅卅䥔䅍䕔✨䅓䕌❓✬䕍乁Ⱗ䌧䱁❁✬〲㘰ⰧⰰⰬⰧ啃剒久奃唽䑓✬착!＀＀ ＀＀	＀＀_x0008_＀＀_x0001_＀＀_x0001_＀＀_x0001_＀＀إ閁뤃䂾찀ꄅ他_x0016_塍幌彐牰捩彥潬彷㈵⡷⤰!＀＀ ＀＀	＀＀_x0008_＀＀_x0001_＀＀_x0001_＀＀_x0001_＀＀Ẹ롑䀑찀ꄖ他_x0018_剂䵃偞灟楲散桟杩彨㈵⡷⤰!＀＀ ＀＀	＀＀_x0008_＀＀_x0001_＀＀_x0001_＀＀_x0001_＀＀롒蔞뇫䁇찀ꄚ他J呓ⵍ剆䙞彅卅䥔䅍䕔✨啃呓䵏䕟卐Ⱗ䴧䅅❎✬䅃䅌Ⱗ㈧〰✹〬Ⱜ✬䌬剕䕒䍎㵙单ⱄ⤧!＀＀ ＀＀	＀＀_x0008_＀＀_x0001_＀＀_x0001_＀＀_x0001_＀＀豀碵꼝쐕찀ꄎ他B义䍔䙞彅卅䥔䅍䕔✨扥瑩Ⱗ䴧䅅❎✬䅃䅌Ⱗ㈧〰✶〬Ⱜ✬䌬剕䕒䍎㵙单ⱄ⤧!＀＀ ＀＀	＀＀_x0008_＀＀_x0001_＀＀_x0001_＀＀_x0001_＀＀磕⛩ꘑ䂸찀ꄊ他C剁䡍䙞彅卅䥔䅍䕔✨䅓䕌❓✬䕍乁Ⱗ䌧䱁❁✬〲〱ⰧⰰⰬⰧ啃剒久奃唽䑓✬착!＀＀ ＀＀	＀＀_x0008_＀＀_x0001_＀＀_x0001_＀＀_x0001_＀＀䂃찀ꄏ他G㐲㐵吭䥁䙞彅卅䥔䅍䕔✨䅃䕐❘✬䕍乁Ⱗ䌧䱁❁✬〲㐱ⰧⰰⰬⰧ啃剒久奃唽䑓✬착!＀＀ ＀＀	＀＀_x0008_＀＀_x0001_＀＀_x0001_＀＀_x0001_＀＀Կ磀㬆䁕찀ꄓ他C䍑䵏䙞彅卅䥔䅍䕔✨䅃䕐❘✬䕍乁Ⱗ䌧䱁❁✬〲㘰ⰧⰰⰬⰧ啃剒久奃唽䑓✬착!＀＀ ＀＀	＀＀_x0008_＀＀_x0001_＀＀_x0001_＀＀_x0001_＀＀嵤䛜ꮃ䂃찀ꄊ他C剁䡍䙞彅卅䥔䅍䕔✨䅃䕐❘✬䕍乁Ⱗ䌧䱁❁✬〲〱ⰧⰰⰬⰧ啃剒久奃唽䑓✬착!＀＀ ＀＀	＀＀_x0008_＀＀_x0001_＀＀_x0001_＀＀_x0001_＀＀ټ쏔䀫찀ꄙ他E呓ⵍ剆䙞彅卅䥔䅍䕔✨偅䉓❇✬䕍乁Ⱗ䌧䱁❁✬〲㠰ⰧⰰⰬⰧ啃剒久奃唽䑓✬착!＀＀ ＀＀	＀＀_x0008_＀＀_x0001_＀＀_x0001_＀＀_x0001_＀＀ဌꖻ΋㿕찀ꄍ他G义䍔䙞彅卅䥔䅍䕔✨义彃則协❓✬䕍乁Ⱗ䌧䱁❁✬〲㐱ⰧⰰⰬⰧ啃剒久奃唽䑓✬착!＀＀ ＀＀	＀＀_x0008_＀＀_x0001_＀＀_x0001_＀＀_x0001_＀＀㌴㌳䂓䃣찀ꄖ他_x001C_呓ⵍ剆䙞彇剐䍉⡅〴㐵ⰴⰬ单⥄!＀＀ ＀＀	＀＀_x0008_＀＀_x0001_＀＀_x0001_＀＀_x0001_＀＀晉໵쎷䀤찀ꄏ他E㐲㐵吭䥁䙞彅卅䥔䅍䕔✨䍆❆✬䕍乁Ⱗ䌧䱁❁✬〲〱ⰧⰰⰬⰧ啃剒久奃唽䑓✬착!＀＀ ＀＀	＀＀_x0008_＀＀_x0001_＀＀_x0001_＀＀_x0001_＀＀ᢔ嘄쮎䂎찀ꄘ他D呓ⵍ剆䙞彅卅䥔䅍䕔✨扥瑩Ⱗ䴧䅅❎✬䅃䅌Ⱗ㈧〰✶〬Ⱜ✬䌬剕䕒䍎㵙单ⱄ⤧!＀＀ ＀＀	＀＀_x0008_＀＀_x0001_＀＀_x0001_＀＀_x0001_＀＀歑瞚릜䂆찀ꄗ他F䑁幉䕆䕟呓䵉呁⡅䤧䍎䝟佒卓Ⱗ䴧䅅❎✬䅃䅌Ⱗ㈧〰✸〬Ⱜ✬䌬剕䕒䍎㵙单ⱄ⤧!＀＀ ＀＀	＀＀_x0008_＀＀_x0001_＀＀_x0001_＀＀_x0001_＀＀龿⼚畝䂗찀ꄓ他B䍑䵏䙞彅卅䥔䅍䕔✨扥瑩Ⱗ䴧䅅❎✬䅃䅌Ⱗ㈧〰✸〬Ⱜ✬䌬剕䕒䍎㵙单ⱄ⤧!＀＀ ＀＀	＀＀_x0008_＀＀_x0001_＀＀_x0001_＀＀_x0001_＀＀꟰䯆ط䂰찀ꄖ他_x001A_前䱖䙞彇剐䍉⡅〴㜸ⰷⰬ单⥄!＀＀ ＀＀	＀＀_x0008_＀＀_x0001_＀＀_x0001_＀＀_x0001_＀＀਽ꏗ㵰䀬찀ꄗ他E呓ⵍ剆䙞彅卅䥔䅍䕔✨䅓䕌❓✬䕍乁Ⱗ䌧䱁❁✬〲㠰ⰧⰰⰬⰧ啃剒久奃唽䑓✬착!＀＀ ＀＀	＀＀_x0008_＀＀_x0001_＀＀_x0001_＀＀_x0001_＀＀＀＀＀＀㤀䃃찀ꄍ他G㐲㐵吭䥁䙞彅卅䥔䅍䕔✨䅓䕌❓✬䕍乁Ⱗ䌧䱁❁✬〲ㄱⰧⰰⰬⰧ啃剒久奃唽䑓✬착!＀＀ ＀＀	＀＀_x0008_＀＀_x0001_＀＀_x0001_＀＀_x0001_＀＀᪠_xDD2F_ꚤ䂦찀ꄚ他J呓ⵍ剆䙞彅卅䥔䅍䕔✨啃呓䵏䕟卐Ⱗ䴧䅅❎✬䅃䅌Ⱗ㈧〰✶〬Ⱜ✬䌬剕䕒䍎㵙单ⱄ⤧!＀＀ ＀＀	＀＀_x0008_＀＀_x0001_＀＀_x0001_＀＀_x0001_＀＀豀碵꼝쐕찀ꄙ他B䑁幉䕆䕟呓䵉呁⡅䔧卐䝂Ⱗ䴧䅅❎✬䅃䅌Ⱗ㈧〰✷〬Ⱜ✬䌬剕䕒䍎㵙单ⱄ⤧!＀＀ ＀＀	＀＀_x0008_＀＀_x0001_＀＀_x0001_＀＀_x0001_＀＀ᖱⴴ㿺찀ꄔ他C䍑䵏䙞彅卅䥔䅍䕔✨偅䉓❇✬䕍乁Ⱗ䌧䱁❁✬〲㌱ⰧⰰⰬⰧ啃剒久奃唽䑓✬착!＀＀ ＀＀	＀＀_x0008_＀＀_x0001_＀＀_x0001_＀＀_x0001_＀＀떙途翶䀐찀ꄘ他E呓ⵍ剆䙞彅卅䥔䅍䕔✨䅃䕐❘✬䕍乁Ⱗ䌧䱁❁✬〲㠰ⰧⰰⰬⰧ啃剒久奃唽䑓✬착!＀＀ ＀＀	＀＀_x0008_＀＀_x0001_＀＀_x0001_＀＀_x0001_＀＀멞౉ং䂐찀ꄖ他_x001D_前䱖偞灟楲散江睯㕟眲〨Ⱜ唬䑓착!＀＀ ＀＀	＀＀_x0008_＀＀_x0001_＀＀_x0001_＀＀_x0001_＀＀⣶轜痂䀦찀ꄏ他A义䍔䙞彅卅䥔䅍䕔✨䍆❆✬䕍乁Ⱗ䌧䱁❁✬〲㌱ⰧⰰⰬⰧ啃剒久奃唽䑓✬착!＀＀ ＀＀	＀＀_x0008_＀＀_x0001_＀＀_x0001_＀＀_x0001_＀＀晧晦閦䃉찀ꄎ他G㐲㐵吭䥁䙞彅卅䥔䅍䕔✨䅃䕐❘✬䕍乁Ⱗ䌧䱁❁✬〲ㄱⰧⰰⰬⰧ啃剒久奃唽䑓✬착!＀＀ ＀＀	＀＀_x0008_＀＀_x0001_＀＀_x0001_＀＀_x0001_＀＀譮ᬲ汤䁔찀ꄒ他C䍑䵏䙞彅卅䥔䅍䕔✨䅓䕌❓✬䕍乁Ⱗ䌧䱁❁✬〲㤰ⰧⰰⰬⰧ啃剒久奃唽䑓✬착!＀＀ ＀＀	＀＀_x0008_＀＀_x0001_＀＀_x0001_＀＀_x0001_＀＀꟰䯆ꁷ䃄찀ꄍ他K㐲㐵吭䥁䙞彅卅䥔䅍䕔✨义彃則协❓✬䕍乁Ⱗ䌧䱁❁✬〲㜰ⰧⰰⰬⰧ啃剒久奃唽䑓✬착!＀＀ ＀＀	＀＀_x0008_＀＀_x0001_＀＀_x0001_＀＀_x0001_＀＀좴빶휟䂕찀ꄊ他C剁䡍䙞彅卅䥔䅍䕔✨䅓䕌❓✬䕍乁Ⱗ䌧䱁❁✬〲㌱ⰧⰰⰬⰧ啃剒久奃唽䑓✬착!＀＀ ＀＀	＀＀_x0008_＀＀_x0001_＀＀_x0001_＀＀_x0001_＀＀䰰દ鋆䂎찀ꄗ他I呓ⵍ剆䙞彅卅䥔䅍䕔✨义彃則协❓✬䕍乁Ⱗ䌧䱁❁✬〲㜰ⰧⰰⰬⰧ啃剒久奃唽䑓✬착!＀＀ ＀＀	＀＀_x0008_＀＀_x0001_＀＀_x0001_＀＀_x0001_＀＀⋑率鉾䂰찀ꄖ他_x001E_义䍔偞灟楲散桟杩彨㈵⡷ⰰⰬ单⥄!＀＀ ＀＀	＀＀_x0008_＀＀_x0001_＀＀_x0001_＀＀_x0001_＀＀蔟凫纸䀹찀ꄓ他C䍑䵏䙞彅卅䥔䅍䕔✨䅃䕐❘✬䕍乁Ⱗ䌧䱁❁✬〲㤰ⰧⰰⰬⰧ啃剒久奃唽䑓✬착!＀＀ ＀＀	＀＀_x0008_＀＀_x0001_＀＀_x0001_＀＀_x0001_＀＀奋㢆ᅖ䂅찀Կ仍_x001A_前䱖䙞彇剐䍉⡅〴㜸ⰰⰬ单⥄!＀＀ ＀＀	＀＀_x0008_＀＀_x0001_＀＀_x0001_＀＀_x0001_＀＀롑Ԟ䀬찀ꄐ他H义䍔䙞彅卅䥔䅍䕔✨啃呓䵏䕟卐Ⱗ䴧䅅❎✬䅃䅌Ⱗ㈧〰✷〬Ⱜ✬䌬剕䕒䍎㵙单ⱄ⤧!＀＀ ＀＀	＀＀_x0008_＀＀_x0001_＀＀_x0001_＀＀_x0001_＀＀ᑺ䞮㿳찀ꄊ他C剁䡍䙞彅卅䥔䅍䕔✨䅃䕐❘✬䕍乁Ⱗ䌧䱁❁✬〲㌱ⰧⰰⰬⰧ啃剒久奃唽䑓✬착!＀＀ ＀＀	＀＀_x0008_＀＀_x0001_＀＀_x0001_＀＀_x0001_＀＀颲ᓘ䀱찀ꄘ他D呓ⵍ剆䙞彅卅䥔䅍䕔✨扥瑩Ⱗ䴧䅅❎✬䅃䅌Ⱗ㈧㄰✳〬Ⱜ✬䌬剕䕒䍎㵙单ⱄ⤧!＀＀ ＀＀	＀＀_x0008_＀＀_x0001_＀＀_x0001_＀＀_x0001_＀＀ᑺƮ䂀찀ꄔ他C䍑䵏䙞彅卅䥔䅍䕔✨偅䉓❇✬䕍乁Ⱗ䌧䱁❁✬〲〱ⰧⰰⰬⰧ啃剒久奃唽䑓✬착!＀＀ ＀＀	＀＀_x0008_＀＀_x0001_＀＀_x0001_＀＀_x0001_＀＀櫰㎹Ⱃ䀅찀ꄏ他A义䍔䙞彅卅䥔䅍䕔✨䍆❆✬䕍乁Ⱗ䌧䱁❁✬〲〱ⰧⰰⰬⰧ啃剒久奃唽䑓✬착!＀＀ ＀＀	＀＀_x0008_＀＀_x0001_＀＀_x0001_＀＀_x0001_＀＀晧晦㏦䃂찀ꄖ他 呓ⵍ剆偞灟楲散桟杩彨㈵⡷ⰰⰬ单⥄!＀＀ ＀＀	＀＀_x0008_＀＀_x0001_＀＀_x0001_＀＀_x0001_＀＀갭᜛䀫찀Ծ仍_x0014_䅃䵖䙞彇剐䍉⡅〴㜸⤰!＀＀ ＀＀	＀＀_x0008_＀＀_x0001_＀＀_x0001_＀＀_x0001_＀＀䞮竡⸔䀿찀ꄒ他C䍑䵏䙞彅卅䥔䅍䕔✨䅓䕌❓✬䕍乁Ⱗ䌧䱁❁✬〲〱ⰧⰰⰬⰧ啃剒久奃唽䑓✬착!＀＀ ＀＀	＀＀_x0008_＀＀_x0001_＀＀_x0001_＀＀_x0001_＀＀鞍ቮ歓䃇찀ꄚ他J呓ⵍ剆䙞彅卅䥔䅍䕔✨啃呓䵏䕟卐Ⱗ䴧䅅❎✬䅃䅌Ⱗ㈧㄰✳〬Ⱜ✬䌬剕䕒䍎㵙单ⱄ⤧!＀＀ ＀＀	＀＀_x0008_＀＀_x0001_＀＀_x0001_＀＀_x0001_＀＀豀碵꼝쐕찀ꄎ他B义䍔䙞彅卅䥔䅍䕔✨扥瑩Ⱗ䴧䅅❎✬䅃䅌Ⱗ㈧㄰✰〬Ⱜ✬䌬剕䕒䍎㵙单ⱄ⤧!＀＀ ＀＀	＀＀_x0008_＀＀_x0001_＀＀_x0001_＀＀_x0001_＀＀㌴㌳_xDBB3_䃎찀ꄊ他B剁䡍䙞彅卅䥔䅍䕔✨扥瑩Ⱗ䴧䅅❎✬䅃䅌Ⱗ㈧〰✷〬Ⱜ✬䌬剕䕒䍎㵙单ⱄ⤧!＀＀ ＀＀	＀＀_x0008_＀＀_x0001_＀＀_x0001_＀＀_x0001_＀＀壢뜗壑䁡찀ꄕ他H䍑䵏䙞彅卅䥔䅍䕔✨啃呓䵏䕟卐Ⱗ䴧䅅❎✬䅃䅌Ⱗ㈧〰✶〬Ⱜ✬䌬剕䕒䍎㵙单ⱄ⤧!＀＀ ＀＀	＀＀_x0008_＀＀_x0001_＀＀_x0001_＀＀_x0001_＀＀饰旓넱㿸찀ꄓ他C䍑䵏䙞彅卅䥔䅍䕔✨䅃䕐❘✬䕍乁Ⱗ䌧䱁❁✬〲〱ⰧⰰⰬⰧ啃剒久奃唽䑓✬착!＀＀ ＀＀	＀＀_x0008_＀＀_x0001_＀＀_x0001_＀＀_x0001_＀＀폄攫_xFFFF_９䁼찀Կ仍_x0014_䱘塎䙞彇剐䍉⡅〴㜸⤰!＀＀ ＀＀	＀＀_x0008_＀＀_x0001_＀＀_x0001_＀＀_x0001_＀＀ꏗ㵰ᜊ䀿찀ꄙ他E呓ⵍ剆䙞彅卅䥔䅍䕔✨偅䉓❇✬䕍乁Ⱗ䌧䱁❁✬〲㈱ⰧⰰⰬⰧ啃剒久奃唽䑓✬착!＀＀ ＀＀	＀＀_x0008_＀＀_x0001_＀＀_x0001_＀＀_x0001_＀＀̶즷㿗찀ꄖ他A䍑䵏䙞彅卅䥔䅍䕔✨偄❓✬䕍乁Ⱗ䌧䱁❁✬〲ㄱⰧⰰⰬⰧ啃剒久奃唽䑓✬착!＀＀ ＀＀	＀＀_x0008_＀＀_x0001_＀＀_x0001_＀＀_x0001_＀＀堆ϵ敨㿪찀ꄊ他A剁䡍䙞彅卅䥔䅍䕔✨䍆❆✬䕍乁Ⱗ䌧䱁❁✬〲㘰ⰧⰰⰬⰧ啃剒久奃唽䑓✬착!＀＀ ＀＀	＀＀_x0008_＀＀_x0001_＀＀_x0001_＀＀_x0001_＀＀슐⣵赜䁠찀ꄘ他@䑁幉䕆䕟呓䵉呁⡅䘧䙃Ⱗ䴧䅅❎✬䅃䅌Ⱗ㈧〰✷〬Ⱜ✬䌬剕䕒䍎㵙单ⱄ⤧!＀＀ ＀＀	＀＀_x0008_＀＀_x0001_＀＀_x0001_＀＀_x0001_＀＀ᚇ컙⿷䂅찀ꄔ他A䍑䵏䙞彅卅䥔䅍䕔✨䍆❆✬䕍乁Ⱗ䌧䱁❁✬〲㠰ⰧⰰⰬⰧ啃剒久奃唽䑓✬착!＀＀ ＀＀	＀＀_x0008_＀＀_x0001_＀＀_x0001_＀＀_x0001_＀＀㌴㌳砳䂧찀ꄘ他D呓ⵍ剆䙞彅卅䥔䅍䕔✨扥瑩Ⱗ䴧䅅❎✬䅃䅌Ⱗ㈧㄰✰〬Ⱜ✬䌬剕䕒䍎㵙单ⱄ⤧!＀＀ ＀＀	＀＀_x0008_＀＀_x0001_＀＀_x0001_＀＀_x0001_＀＀摚_xDF3B_䧏䂁찀ꄗ他F䑁幉䕆䕟呓䵉呁⡅䤧䍎䝟佒卓Ⱗ䴧䅅❎✬䅃䅌Ⱗ㈧㄰✲〬Ⱜ✬䌬剕䕒䍎㵙单ⱄ⤧!＀＀ ＀＀	＀＀_x0008_＀＀_x0001_＀＀_x0001_＀＀_x0001_＀＀슐⣵௜䂝찀ꄅ他_x0013_塍幌䝆偟䥒䕃㐨㔰㐴착!＀＀ ＀＀	＀＀_x0008_＀＀_x0001_＀＀_x0001_＀＀_x0001_＀＀롑蔞䀥찀ꄗ他E呓ⵍ剆䙞彅卅䥔䅍䕔✨䅓䕌❓✬䕍乁Ⱗ䌧䱁❁✬〲㈱ⰧⰰⰬⰧ啃剒久奃唽䑓✬착!＀＀ ＀＀	＀＀_x0008_＀＀_x0001_＀＀_x0001_＀＀_x0001_＀＀㥘좴屦䃃찀ꄐ他C义䍔䙞彅卅䥔䅍䕔✨偅䉓❇✬䕍乁Ⱗ䌧䱁❁✬〲㜰ⰧⰰⰬⰧ啃剒久奃唽䑓✬착!＀＀ ＀＀	＀＀_x0008_＀＀_x0001_＀＀_x0001_＀＀_x0001_＀＀豀碵꼝쐕찀ꄗ他A䑁幉䕆䕟呓䵉呁⡅攧楢❴✬䕍乁Ⱗ䌧䱁❁✬〲㈱ⰧⰰⰬⰧ啃剒久奃唽䑓✬착!＀＀ ＀＀	＀＀_x0008_＀＀_x0001_＀＀_x0001_＀＀_x0001_＀＀㴈喛溟䂍찀ꄒ他B噎䅄䙞彅卅䥔䅍䕔✨扥瑩Ⱗ䴧䅅❎✬䅃䅌Ⱗ㈧〰✸〬Ⱜ✬䌬剕䕒䍎㵙单ⱄ⤧!＀＀ ＀＀	＀＀_x0008_＀＀_x0001_＀＀_x0001_＀＀_x0001_＀＀錋悩䁫찀ꄚ他J呓ⵍ剆䙞彅卅䥔䅍䕔✨啃呓䵏䕟卐Ⱗ䴧䅅❎✬䅃䅌Ⱗ㈧㄰✰〬Ⱜ✬䌬剕䕒䍎㵙单ⱄ⤧!＀＀ ＀＀	＀＀_x0008_＀＀_x0001_＀＀_x0001_＀＀_x0001_＀＀豀碵꼝쐕찀ꄙ他B䑁幉䕆䕟呓䵉呁⡅䔧卐䝂Ⱗ䴧䅅❎✬䅃䅌Ⱗ㈧㄰✱〬Ⱜ✬䌬剕䕒䍎㵙单ⱄ⤧!＀＀ ＀＀	＀＀_x0008_＀＀_x0001_＀＀_x0001_＀＀_x0001_＀＀蜯矝⼌䀆찀ꄘ他E呓ⵍ剆䙞彅卅䥔䅍䕔✨䅃䕐❘✬䕍乁Ⱗ䌧䱁❁✬〲㈱ⰧⰰⰬⰧ啃剒久奃唽䑓✬착!＀＀ ＀＀	＀＀_x0008_＀＀_x0001_＀＀_x0001_＀＀_x0001_＀＀_xDD2F_ؤ隁䂊찀ꄌ他C义䍔䙞彅卅䥔䅍䕔✨䅓䕌❓✬䕍乁Ⱗ䌧䱁❁✬〲㜰ⰧⰰⰬⰧ啃剒久奃唽䑓✬착!＀＀ ＀＀	＀＀_x0008_＀＀_x0001_＀＀_x0001_＀＀_x0001_＀＀＀＀＀＀럀䃢찀ꄖ他B䑁幉䕆䕟呓䵉呁⡅匧䱁卅Ⱗ䴧䅅❎✬䅃䅌Ⱗ㈧〰✷〬Ⱜ✬䌬剕䕒䍎㵙单ⱄ⤧!＀＀ ＀＀	＀＀_x0008_＀＀_x0001_＀＀_x0001_＀＀_x0001_＀＀䦺Ȍ䂣찀ꄒ他C䍑䵏䙞彅卅䥔䅍䕔✨䅓䕌❓✬䕍乁Ⱗ䌧䱁❁✬〲㌱ⰧⰰⰬⰧ啃剒久奃唽䑓✬착!＀＀ ＀＀	＀＀_x0008_＀＀_x0001_＀＀_x0001_＀＀_x0001_＀＀轜찘䃔찀ꄖ他_x001D_噎䅄偞灟楲散江睯㕟眲〨Ⱜ唬䑓착!＀＀ ＀＀	＀＀_x0008_＀＀_x0001_＀＀_x0001_＀＀_x0001_＀＀㵱휊䀦찀ꄋ他H剁䡍䙞彅卅䥔䅍䕔✨啃呓䵏䕟卐Ⱗ䴧䅅❎✬䅃䅌Ⱗ㈧〰✷〬Ⱜ✬䌬剕䕒䍎㵙单ⱄ⤧!＀＀ ＀＀	＀＀_x0008_＀＀_x0001_＀＀_x0001_＀＀_x0001_＀＀豀碵꼝쐕찀他?䵁幄䕆䕟呓䵉呁⡅䔧卐Ⱗ䴧䅅❎✬啑剁䕔䱒彙佒䱌Ⱗ㈧㄰⼱䘱ⰧⰰⰬ✧착!＀＀ ＀＀	＀＀_x0008_＀＀_x0001_＀＀_x0001_＀＀_x0001_＀＀ᑻ䞮竡㾴찀ꄎ他B义䍔䙞彅卅䥔䅍䕔✨扥瑩Ⱗ䴧䅅❎✬䅃䅌Ⱗ㈧㄰✳〬Ⱜ✬䌬剕䕒䍎㵙单ⱄ⤧!＀＀ ＀＀	＀＀_x0008_＀＀_x0001_＀＀_x0001_＀＀_x0001_＀＀＀＀＀＀㶀䃓찀ꄍ他K㐲㐵吭䥁䙞彅卅䥔䅍䕔✨义彃則协❓✬䕍乁Ⱗ䌧䱁❁✬〲ㄱⰧⰰⰬⰧ啃剒久奃唽䑓✬착!＀＀ ＀＀	＀＀_x0008_＀＀_x0001_＀＀_x0001_＀＀_x0001_＀＀ቯ삃鍊䂔찀ꄖ他_x0014_䱁剔䙞彇剐䍉⡅〴㜸⤷!＀＀ ＀＀	＀＀_x0008_＀＀_x0001_＀＀_x0001_＀＀_x0001_＀＀⣶轜헂䁂찀ꄕ他H䍑䵏䙞彅卅䥔䅍䕔✨啃呓䵏䕟卐Ⱗ䴧䅅❎✬䅃䅌Ⱗ㈧〰✹〬Ⱜ✬䌬剕䕒䍎㵙单ⱄ⤧!＀＀ ＀＀	＀＀_x0008_＀＀_x0001_＀＀_x0001_＀＀_x0001_＀＀鄲泒䜞㿵찀ꄎ他C义䍔䙞彅卅䥔䅍䕔✨䅃䕐❘✬䕍乁Ⱗ䌧䱁❁✬〲㜰ⰧⰰⰬⰧ啃剒久奃唽䑓✬착!＀＀ ＀＀	＀＀_x0008_＀＀_x0001_＀＀_x0001_＀＀_x0001_＀＀＀＀＀＀蠀䂳찀ꄊ他B剁䡍䙞彅卅䥔䅍䕔✨扥瑩Ⱗ䴧䅅❎✬䅃䅌Ⱗ㈧㄰✴〬Ⱜ✬䌬剕䕒䍎㵙单ⱄ⤧!＀＀ ＀＀	＀＀_x0008_＀＀_x0001_＀＀_x0001_＀＀_x0001_＀＀鶲꟯쓆䂆찀ꄘ他B䑁幉䕆䕟呓䵉呁⡅䌧偁塅Ⱗ䴧䅅❎✬䅃䅌Ⱗ㈧〰✷〬Ⱜ✬䌬剕䕒䍎㵙单ⱄ⤧!＀＀ ＀＀	＀＀_x0008_＀＀_x0001_＀＀_x0001_＀＀_x0001_＀＀攬_xFFFF_ｘ䁡찀ꄗ他I呓ⵍ剆䙞彅卅䥔䅍䕔✨义彃則协❓✬䕍乁Ⱗ䌧䱁❁✬〲ㄱⰧⰰⰬⰧ啃剒久奃唽䑓✬착!＀＀ ＀＀	＀＀_x0008_＀＀_x0001_＀＀_x0001_＀＀_x0001_＀＀᪠_xDD2F_稤䂬찀ꄓ他C䍑䵏䙞彅卅䥔䅍䕔✨䅃䕐❘✬䕍乁Ⱗ䌧䱁❁✬〲㌱ⰧⰰⰬⰧ啃剒久奃唽䑓✬착!＀＀ ＀＀	＀＀_x0008_＀＀_x0001_＀＀_x0001_＀＀_x0001_＀＀ꣂ交䂊찀ꄐ他H义䍔䙞彅卅䥔䅍䕔✨啃呓䵏䕟卐Ⱗ䴧䅅❎✬䅃䅌Ⱗ㈧㄰✱〬Ⱜ✬䌬剕䕒䍎㵙单ⱄ⤧!＀＀ ＀＀	＀＀_x0008_＀＀_x0001_＀＀_x0001_＀＀_x0001_＀＀좴빶᪟䀄찀ꄎ他F㐲㐵吭䥁䙞彅卅䥔䅍䕔✨扥瑩Ⱗ䴧䅅❎✬䅃䅌Ⱗ㈧〰✷〬Ⱜ✬䌬剕䕒䍎㵙单ⱄ⤧!＀＀ ＀＀	＀＀_x0008_＀＀_x0001_＀＀_x0001_＀＀_x0001_＀＀凬Ẹ붅䂎찀ꄊ他A剁䡍䙞彅卅䥔䅍䕔✨䍆❆✬䕍乁Ⱗ䌧䱁❁✬〲㤰ⰧⰰⰬⰧ啃剒久奃唽䑓✬착!＀＀ ＀＀	＀＀_x0008_＀＀_x0001_＀＀_x0001_＀＀_x0001_＀＀㲟퐬沚䁠찀ꄋ他!㐲㐵吭䥁䙞彆䅃䡓卟⡔呑ⱒⰰⰬ唬䑓착ĉ＀＀ ＀＀ñ＀＀_x0008_＀＀_x0001_＀＀_x0001_＀＀_x0001_＀＀뀐_xDC04_詧䂣摦畳㩰⼯楄敲瑣潩獮䘯捡却瑥䄠摵瑩湩⁧楖睥牥愿瑣潩㵮啁䥄彔䅖啌♅䉄ㄽ㤲䤦ㅄ㘽㜳㐲☸䅖啌䥅㵄㈰〰☱䑓呁㵅〲ㄱ㌰倦剅佉呄偙㵅呑归呓♄䍓呆㌽眦湩潤㵷潰異彰潮扟牡眦摩桴㌽㔸栦楥桧㵴㈱☰呓剁彔䅍䥘䥍䕚㵄䅆卌♅牣慥潴㵲慦瑣敳♴楤灳慬役瑳楲杮䄽摵瑩찀ꄅ他_x0014_偉䥈䙞彇剐䍉⡅〴㐵⤴!＀＀ ＀＀	＀＀_x0008_＀＀_x0001_＀＀_x0001_＀＀_x0001_＀＀ꏗ㵰ᜊ䀴찀ꄖ他_x001D_义䍔偞灟楲散江睯㕟眲〨Ⱜ唬䑓착!＀＀ ＀＀	＀＀_x0008_＀＀_x0001_＀＀_x0001_＀＀_x0001_＀＀尩슏⣵䀳찀ꄖ他_x001A_前䱖䙞彇剐䍉⡅〴㐵ⰴⰬ单⥄!＀＀ ＀＀	＀＀_x0008_＀＀_x0001_＀＀_x0001_＀＀_x0001_＀＀쳍쳌賌䀲찀ꄙ他B䑁幉䕆䕟呓䵉呁⡅䔧卐䝂Ⱗ䴧䅅❎✬䅃䅌Ⱗ㈧㄰✴〬Ⱜ✬䌬剕䕒䍎㵙单ⱄ⤧!＀＀ ＀＀	＀＀_x0008_＀＀_x0001_＀＀_x0001_＀＀_x0001_＀＀豀碵꼝쐕찀ꄊ他B剁䡍䙞彅卅䥔䅍䕔✨扥瑩Ⱗ䴧䅅❎✬䅃䅌Ⱗ㈧㄰✱〬Ⱜ✬䌬剕䕒䍎㵙单ⱄ⤧!＀＀ ＀＀	＀＀_x0008_＀＀_x0001_＀＀_x0001_＀＀_x0001_＀＀쳍쳌蓌䁲찀Կ仍_x001E_㐲㐵吭䥁䙞彇剐䍉⡅〴㜸ⰰⰬ单⥄!＀＀ ＀＀	＀＀_x0008_＀＀_x0001_＀＀_x0001_＀＀_x0001_＀＀숅녎끪䀢찀ꄍ他K㐲㐵吭䥁䙞彅卅䥔䅍䕔✨义彃則协❓✬䕍乁Ⱗ䌧䱁❁✬〲㐱ⰧⰰⰬⰧ啃剒久奃唽䑓✬착!＀＀ ＀＀	＀＀_x0008_＀＀_x0001_＀＀_x0001_＀＀_x0001_＀＀᪠_xDD2F_訤䂜찀ꄒ他G䍑䵏䙞彅卅䥔䅍䕔✨义彃則协❓✬䕍乁Ⱗ䌧䱁❁✬〲㜰ⰧⰰⰬⰧ啃剒久奃唽䑓✬착!＀＀ ＀＀	＀＀_x0008_＀＀_x0001_＀＀_x0001_＀＀_x0001_＀＀탦_xDB22_ཙ䂺찀ꄊ他G剁䡍䙞彅卅䥔䅍䕔✨义彃則协❓✬䕍乁Ⱗ䌧䱁❁✬〲㜰ⰧⰰⰬⰧ啃剒久奃唽䑓✬착!＀＀ ＀＀	＀＀_x0008_＀＀_x0001_＀＀_x0001_＀＀_x0001_＀＀䷒퉢䁼찀ꄗ他I呓ⵍ剆䙞彅卅䥔䅍䕔✨义彃則协❓✬䕍乁Ⱗ䌧䱁❁✬〲㐱ⰧⰰⰬⰧ啃剒久奃唽䑓✬착!＀＀ ＀＀	＀＀_x0008_＀＀_x0001_＀＀_x0001_＀＀_x0001_＀＀豀碵꼝쐕찀ꄙ他G䑁幉䕆䕟呓䵉呁⡅䌧单佔彍偅❓✬䕍乁Ⱗ䌧䱁❁✬〲㜰ⰧⰰⰬⰧ啃剒久奃唽䑓✬착!＀＀ ＀＀	＀＀_x0008_＀＀_x0001_＀＀_x0001_＀＀_x0001_＀＀遵菗煉㿸찀ꄓ他B䍑䵏䙞彅卅䥔䅍䕔✨扥瑩Ⱗ䴧䅅❎✬䅃䅌Ⱗ㈧㄰✲〬Ⱜ✬䌬剕䕒䍎㵙单ⱄ⤧!＀＀ ＀＀	＀＀_x0008_＀＀_x0001_＀＀_x0001_＀＀_x0001_＀＀ቯ삃饊䂻찀ꄊ他A剁䡍䙞彅卅䥔䅍䕔✨䍆❆✬䕍乁Ⱗ䌧䱁❁✬〲〱ⰧⰰⰬⰧ啃剒久奃唽䑓✬착!＀＀ ＀＀	＀＀_x0008_＀＀_x0001_＀＀_x0001_＀＀_x0001_＀＀ધ╆≵䁫찀ꄘ他@䑁幉䕆䕟呓䵉呁⡅䘧䙃Ⱗ䴧䅅❎✬䅃䅌Ⱗ㈧㄰✱〬Ⱜ✬䌬剕䕒䍎㵙单ⱄ⤧!＀＀ ＀＀	＀＀_x0008_＀＀_x0001_＀＀_x0001_＀＀_x0001_＀＀ퟛ봁䂈찀ꄘ他B䑁幉䕆䕟呓䵉呁⡅䌧偁塅Ⱗ䴧䅅❎✬䅃䅌Ⱗ㈧㄰✴〬Ⱜ✬䌬剕䕒䍎㵙单ⱄ⤧!＀＀ ＀＀	＀＀_x0008_＀＀_x0001_＀＀_x0001_＀＀_x0001_＀＀豀碵꼝쐕찀ꄖ他_x0017_䱘塎偞灟楲散江睯㕟眲〨착!＀＀ ＀＀	＀＀_x0008_＀＀_x0001_＀＀_x0001_＀＀_x0001_＀＀쳍쳌賌䀺찀ꄐ他H义䍔䙞彅卅䥔䅍䕔✨啃呓䵏䕟卐Ⱗ䴧䅅❎✬䅃䅌Ⱗ㈧㄰✴〬Ⱜ✬䌬剕䕒䍎㵙单ⱄ⤧!＀＀ ＀＀	＀＀_x0008_＀＀_x0001_＀＀_x0001_＀＀_x0001_＀＀豀碵꼝쐕찀ꄐ他C义䍔䙞彅卅䥔䅍䕔✨偅䉓❇✬䕍乁Ⱗ䌧䱁❁✬〲ㄱⰧⰰⰬⰧ啃剒久奃唽䑓✬착!＀＀ ＀＀	＀＀_x0008_＀＀_x0001_＀＀_x0001_＀＀_x0001_＀＀濉집⭒䀅찀ꄒ他B噎䅄䙞彅卅䥔䅍䕔✨扥瑩Ⱗ䴧䅅❎✬䅃䅌Ⱗ㈧㄰✲〬Ⱜ✬䌬剕䕒䍎㵙单ⱄ⤧!＀＀ ＀＀	＀＀_x0008_＀＀_x0001_＀＀_x0001_＀＀_x0001_＀＀鶳꟯酆䂉찀ꄖ他_x001F_呓ⵍ剆䙞彆䅃䡓卟⡔呑ⱒⰰⰬ唬䑓착ĉ＀＀ ＀＀ñ＀＀_x0008_＀＀_x0001_＀＀_x0001_＀＀_x0001_＀＀퓞@였䂣摦畳㩰⼯楄敲瑣潩獮䘯捡却瑥䄠摵瑩湩⁧楖睥牥愿瑣潩㵮啁䥄彔䅖啌♅䉄ㄽ㤲䤦ㅄ㔽㘹㌲☳䅖啌䥅㵄㈰〰☱䑓呁㵅〲ㄱ㌰倦剅佉呄偙㵅呑归呓♄䍓呆㌽眦湩潤㵷潰異彰潮扟牡眦摩桴㌽㔸栦楥桧㵴㈱☰呓剁彔䅍䥘䥍䕚㵄䅆卌♅牣慥潴㵲慦瑣敳♴楤灳慬役瑳楲杮䄽摵瑩찀ꄖ他B䑁幉䕆䕟呓䵉呁⡅匧䱁卅Ⱗ䴧䅅❎✬䅃䅌Ⱗ㈧㄰✱〬Ⱜ✬䌬剕䕒䍎㵙单ⱄ⤧!＀＀ ＀＀	＀＀_x0008_＀＀_x0001_＀＀_x0001_＀＀_x0001_＀＀橿璼⇓䂧찀ꄋ他H剁䡍䙞彅卅䥔䅍䕔✨啃呓䵏䕟卐Ⱗ䴧䅅❎✬䅃䅌Ⱗ㈧㄰✱〬Ⱜ✬䌬剕䕒䍎㵙单ⱄ⤧!＀＀ ＀＀	＀＀_x0008_＀＀_x0001_＀＀_x0001_＀＀_x0001_＀＀豀碵꼝쐕찀ꄅ他_x0018_偉䥈偞灟楲散桟杩彨㈵⡷⤰!＀＀ ＀＀	＀＀_x0008_＀＀_x0001_＀＀_x0001_＀＀_x0001_＀＀㌴㌳㌳䀻찀ꄕ他H䍑䵏䙞彅卅䥔䅍䕔✨啃呓䵏䕟卐Ⱗ䴧䅅❎✬䅃䅌Ⱗ㈧㄰✳〬Ⱜ✬䌬剕䕒䍎㵙单ⱄ⤧!＀＀ ＀＀	＀＀_x0008_＀＀_x0001_＀＀_x0001_＀＀_x0001_＀＀ᤕ逝분䀎찀ꄖ他_x001E_㐲㐵吭䥁䙞彇剐䍉⡅〴㜸ⰷⰬ单⥄!＀＀ ＀＀	＀＀_x0008_＀＀_x0001_＀＀_x0001_＀＀_x0001_＀＀怇∃淄䀢찀ꄘ他B䑁幉䕆䕟呓䵉呁⡅䌧偁塅Ⱗ䴧䅅❎✬䅃䅌Ⱗ㈧㄰✱〬Ⱜ✬䌬剕䕒䍎㵙单ⱄ⤧!＀＀ ＀＀	＀＀_x0008_＀＀_x0001_＀＀_x0001_＀＀_x0001_＀＀⽅墣ﭮ䁞찀ꄎ他F㐲㐵吭䥁䙞彅卅䥔䅍䕔✨扥瑩Ⱗ䴧䅅❎✬䅃䅌Ⱗ㈧㄰✱〬Ⱜ✬䌬剕䕒䍎㵙单ⱄ⤧!＀＀ ＀＀	＀＀_x0008_＀＀_x0001_＀＀_x0001_＀＀_x0001_＀＀ᥦ壢⼗䁻찀ꄊ他G剁䡍䙞彅卅䥔䅍䕔✨义彃則协❓✬䕍乁Ⱗ䌧䱁❁✬〲㐱ⰧⰰⰬⰧ啃剒久奃唽䑓✬착!＀＀ ＀＀	＀＀_x0008_＀＀_x0001_＀＀_x0001_＀＀_x0001_＀＀豀碵꼝쐕찀ꄐ他L㐲㐵吭䥁䙞彅卅䥔䅍䕔✨啃呓䵏䕟卐Ⱗ䴧䅅❎✬䅃䅌Ⱗ㈧〰✷〬Ⱜ✬䌬剕䕒䍎㵙单ⱄ⤧!＀＀ ＀＀	＀＀_x0008_＀＀_x0001_＀＀_x0001_＀＀_x0001_＀＀豀碵꼝쐕찀ꄊ他A剁䡍䙞彅卅䥔䅍䕔✨䍆❆✬䕍乁Ⱗ䌧䱁❁✬〲㌱ⰧⰰⰬⰧ啃剒久奃唽䑓✬착!＀＀ ＀＀	＀＀_x0008_＀＀_x0001_＀＀_x0001_＀＀_x0001_＀＀ㇹ껦ล䁶찀ꄘ他@䑁幉䕆䕟呓䵉呁⡅䘧䙃Ⱗ䴧䅅❎✬䅃䅌Ⱗ㈧㄰✴〬Ⱜ✬䌬剕䕒䍎㵙单ⱄ⤧!＀＀ ＀＀	＀＀_x0008_＀＀_x0001_＀＀_x0001_＀＀_x0001_＀＀豀碵꼝쐕찀ꄙ他G䑁幉䕆䕟呓䵉呁⡅䌧单佔彍偅❓✬䕍乁Ⱗ䌧䱁❁✬〲㐱ⰧⰰⰬⰧ啃剒久奃唽䑓✬착!＀＀ ＀＀	＀＀_x0008_＀＀_x0001_＀＀_x0001_＀＀_x0001_＀＀豀碵꼝쐕찀ꄒ他G噎䅄䙞彅卅䥔䅍䕔✨义彃則协❓✬䕍乁Ⱗ䌧䱁❁✬〲㠰ⰧⰰⰬⰧ啃剒久奃唽䑓✬착!＀＀ ＀＀	＀＀_x0008_＀＀_x0001_＀＀_x0001_＀＀_x0001_＀＀䖢䥽䂓찀ꄙ他C呓ⵍ剆䙞彅卅䥔䅍䕔✨䍆❆✬䕍乁Ⱗ䌧䱁❁✬〲㜰ⰧⰰⰬⰧ啃剒久奃唽䑓✬착!＀＀ ＀＀	＀＀_x0008_＀＀_x0001_＀＀_x0001_＀＀_x0001_＀＀轜芨䂄찀ꄐ他C义䍔䙞彅卅䥔䅍䕔✨偅䉓❇✬䕍乁Ⱗ䌧䱁❁✬〲㐱ⰧⰰⰬⰧ啃剒久奃唽䑓✬착!＀＀ ＀＀	＀＀_x0008_＀＀_x0001_＀＀_x0001_＀＀_x0001_＀＀豀碵꼝쐕찀ο传_x001C_䵁幄彐剐䍉彅噁⡇〴〹ⰸ〴㤹⤹!＀＀ ＀＀	＀＀_x0008_＀＀_x0001_＀＀_x0001_＀＀_x0001_＀＀⥚爄厉䀗찀ꄔ他C噎䅄䙞彅卅䥔䅍䕔✨偅䉓❇✬䕍乁Ⱗ䌧䱁❁✬〲㠰ⰧⰰⰬⰧ啃剒久奃唽䑓✬착!＀＀ ＀＀	＀＀_x0008_＀＀_x0001_＀＀_x0001_＀＀_x0001_＀＀쮨ᮽ썦㿣찀ꄕ他H䍑䵏䙞彅卅䥔䅍䕔✨啃呓䵏䕟卐Ⱗ䴧䅅❎✬䅃䅌Ⱗ㈧㄰✰〬Ⱜ✬䌬剕䕒䍎㵙单ⱄ⤧!＀＀ ＀＀	＀＀_x0008_＀＀_x0001_＀＀_x0001_＀＀_x0001_＀＀섁㴜콾䀂찀ꄑ他E㐲㐵吭䥁䙞彅卅䥔䅍䕔✨偄❓✬䕍乁Ⱗ䌧䱁❁✬〲ㄱⰧⰰⰬⰧ啃剒久奃唽䑓✬착!＀＀ ＀＀	＀＀_x0008_＀＀_x0001_＀＀_x0001_＀＀_x0001_＀＀䷲_xDA89_绬㿝찀ꄐ他G㐲㐵吭䥁䙞彅卅䥔䅍䕔✨偅䉓❇✬䕍乁Ⱗ䌧䱁❁✬〲㤰ⰧⰰⰬⰧ啃剒久奃唽䑓✬착!＀＀ ＀＀	＀＀_x0008_＀＀_x0001_＀＀_x0001_＀＀_x0001_＀＀尵黤㿰찀ꄌ他C义䍔䙞彅卅䥔䅍䕔✨䅓䕌❓✬䕍乁Ⱗ䌧䱁❁✬〲㐱ⰧⰰⰬⰧ啃剒久奃唽䑓✬착!＀＀ ＀＀	＀＀_x0008_＀＀_x0001_＀＀_x0001_＀＀_x0001_＀＀晧晦⿦䃯찀Ծ仍_x0013_塍幌䝆偟䥒䕃㐨㠰〷착!＀＀ ＀＀	＀＀_x0008_＀＀_x0001_＀＀_x0001_＀＀_x0001_＀＀輫㷉Ẹ䀓찀ꄋ他H剁䡍䙞彅卅䥔䅍䕔✨啃呓䵏䕟卐Ⱗ䴧䅅❎✬䅃䅌Ⱗ㈧㄰✴〬Ⱜ✬䌬剕䕒䍎㵙单ⱄ⤧!＀＀ ＀＀	＀＀_x0008_＀＀_x0001_＀＀_x0001_＀＀_x0001_＀＀豀碵꼝쐕찀ꄑ他C噎䅄䙞彅卅䥔䅍䕔✨䅓䕌❓✬䕍乁Ⱗ䌧䱁❁✬〲㠰ⰧⰰⰬⰧ啃剒久奃唽䑓✬착!＀＀ ＀＀	＀＀_x0008_＀＀_x0001_＀＀_x0001_＀＀_x0001_＀＀司ꗣ㖛䂫찀ꄒ他G䍑䵏䙞彅卅䥔䅍䕔✨义彃則协❓✬䕍乁Ⱗ䌧䱁❁✬〲ㄱⰧⰰⰬⰧ啃剒久奃唽䑓✬착!＀＀ ＀＀	＀＀_x0008_＀＀_x0001_＀＀_x0001_＀＀_x0001_＀＀㕀멞뺹䃄찀ꄊ他G剁䡍䙞彅卅䥔䅍䕔✨义彃則协❓✬䕍乁Ⱗ䌧䱁❁✬〲ㄱⰧⰰⰬⰧ啃剒久奃唽䑓✬착!＀＀ ＀＀	＀＀_x0008_＀＀_x0001_＀＀_x0001_＀＀_x0001_＀＀䌭埢䂆찀ꄎ他C义䍔䙞彅卅䥔䅍䕔✨䅃䕐❘✬䕍乁Ⱗ䌧䱁❁✬〲㐱ⰧⰰⰬⰧ啃剒久奃唽䑓✬착!＀＀ ＀＀	＀＀_x0008_＀＀_x0001_＀＀_x0001_＀＀_x0001_＀＀㌳㌳ꢳ䃀찀ꄖ他_x001A_剁䡍䙞彇剐䍉⡅〴㜸ⰷⰬ单⥄!＀＀ ＀＀	＀＀_x0008_＀＀_x0001_＀＀_x0001_＀＀_x0001_＀＀롑䔞䀼찀ꄔ他A䍑䵏䙞彅卅䥔䅍䕔✨䍆❆✬䕍乁Ⱗ䌧䱁❁✬〲㈱ⰧⰰⰬⰧ啃剒久奃唽䑓✬착!＀＀ ＀＀	＀＀_x0008_＀＀_x0001_＀＀_x0001_＀＀_x0001_＀＀ㄧ갈䂸찀ꄙ他G䑁幉䕆䕟呓䵉呁⡅䌧单佔彍偅❓✬䕍乁Ⱗ䌧䱁❁✬〲ㄱⰧⰰⰬⰧ啃剒久奃唽䑓✬착!＀＀ ＀＀	＀＀_x0008_＀＀_x0001_＀＀_x0001_＀＀_x0001_＀＀缹ਓ】䀅찀ꄖ他_x001C_䑁幉彐牰捩彥潬彷㈵⡷ⰰⰬ单⥄!＀＀ ＀＀	＀＀_x0008_＀＀_x0001_＀＀_x0001_＀＀_x0001_＀＀ᑻ䞮㫡䀽찀ꄓ他C噎䅄䙞彅卅䥔䅍䕔✨䅃䕐❘✬䕍乁Ⱗ䌧䱁❁✬〲㠰ⰧⰰⰬⰧ啃剒久奃唽䑓✬착!＀＀ ＀＀	＀＀_x0008_＀＀_x0001_＀＀_x0001_＀＀_x0001_＀＀楅墅䁷찀ꄎ他F㐲㐵吭䥁䙞彅卅䥔䅍䕔✨扥瑩Ⱗ䴧䅅❎✬䅃䅌Ⱗ㈧㄰✴〬Ⱜ✬䌬剕䕒䍎㵙单ⱄ⤧!＀＀ ＀＀	＀＀_x0008_＀＀_x0001_＀＀_x0001_＀＀_x0001_＀＀_xDD9C_䂂찀ꄖ他_x001E_㐲㐵吭䥁䙞彇剐䍉⡅〴㐵ⰴⰬ单⥄!＀＀ ＀＀	＀＀_x0008_＀＀_x0001_＀＀_x0001_＀＀_x0001_＀＀ꨢ柰ꍸ䀬찀ꄐ他G㐲㐵吭䥁䙞彅卅䥔䅍䕔✨偅䉓❇✬䕍乁Ⱗ䌧䱁❁✬〲㘰ⰧⰰⰬⰧ啃剒久奃唽䑓✬착!＀＀ ＀＀	＀＀_x0008_＀＀_x0001_＀＀_x0001_＀＀_x0001_＀＀ᆈꏂ⎍㿤찀ꄍ他G义䍔䙞彅卅䥔䅍䕔✨义彃則协❓✬䕍乁Ⱗ䌧䱁❁✬〲㤰ⰧⰰⰬⰧ啃剒久奃唽䑓✬착!＀＀ ＀＀	＀＀_x0008_＀＀_x0001_＀＀_x0001_＀＀_x0001_＀＀＀＀＀＀ᩀ䃓찀ꄌ他C义䍔䙞彅卅䥔䅍䕔✨䅓䕌❓✬䕍乁Ⱗ䌧䱁❁✬〲ㄱⰧⰰⰬⰧ啃剒久奃唽䑓✬착!＀＀ ＀＀	＀＀_x0008_＀＀_x0001_＀＀_x0001_＀＀_x0001_＀＀蔟凫뚰䃪찀ꄔ他H噎䅄䙞彅卅䥔䅍䕔✨啃呓䵏䕟卐Ⱗ䴧䅅❎✬䅃䅌Ⱗ㈧〰✶〬Ⱜ✬䌬剕䕒䍎㵙单ⱄ⤧!＀＀ ＀＀	＀＀_x0008_＀＀_x0001_＀＀_x0001_＀＀_x0001_＀＀豀碵꼝쐕찀ꄍ他G㐲㐵吭䥁䙞彅卅䥔䅍䕔✨䅓䕌❓✬䕍乁Ⱗ䌧䱁❁✬〲㘰ⰧⰰⰬⰧ啃剒久奃唽䑓✬착!＀＀ ＀＀	＀＀_x0008_＀＀_x0001_＀＀_x0001_＀＀_x0001_＀＀ꧻ_xDFF1_䂙찀Կ仍_x001A_剁䡍䙞彇剐䍉⡅〴㜸ⰰⰬ单⥄!＀＀ ＀＀	＀＀_x0008_＀＀_x0001_＀＀_x0001_＀＀_x0001_＀＀㌳㌳䀺찀ꄎ他C义䍔䙞彅卅䥔䅍䕔✨䅃䕐❘✬䕍乁Ⱗ䌧䱁❁✬〲ㄱⰧⰰⰬⰧ啃剒久奃唽䑓✬착!＀＀ ＀＀	＀＀_x0008_＀＀_x0001_＀＀_x0001_＀＀_x0001_＀＀ꗣ쒛帀䃃찀Ծ仍_x0014_偉䥈䙞彇剐䍉⡅〴㜸⤰!＀＀ ＀＀	＀＀_x0008_＀＀_x0001_＀＀_x0001_＀＀_x0001_＀＀⣶轜䀣찀ꄒ他G䍑䵏䙞彅卅䥔䅍䕔✨义彃則协❓✬䕍乁Ⱗ䌧䱁❁✬〲㐱ⰧⰰⰬⰧ啃剒久奃唽䑓✬착!＀＀ ＀＀	＀＀_x0008_＀＀_x0001_＀＀_x0001_＀＀_x0001_＀＀閁譃䃍찀ꄑ他A义䍔䙞彅卅䥔䅍䕔✨偄❓✬䕍乁Ⱗ䌧䱁❁✬〲ㄱⰧⰰⰬⰧ啃剒久奃唽䑓✬착!＀＀ ＀＀	＀＀_x0008_＀＀_x0001_＀＀_x0001_＀＀_x0001_＀＀ᴐ䜂䴂㿩찀ꄋ他C剁䡍䙞彅卅䥔䅍䕔✨偅䉓❇✬䕍乁Ⱗ䌧䱁❁✬〲㠰ⰧⰰⰬⰧ啃剒久奃唽䑓✬착!＀＀ ＀＀	＀＀_x0008_＀＀_x0001_＀＀_x0001_＀＀_x0001_＀＀္֒㿎찀ꄎ他G㐲㐵吭䥁䙞彅卅䥔䅍䕔✨䅃䕐❘✬䕍乁Ⱗ䌧䱁❁✬〲㘰ⰧⰰⰬⰧ啃剒久奃唽䑓✬착!＀＀ ＀＀	＀＀_x0008_＀＀_x0001_＀＀_x0001_＀＀_x0001_＀＀Ꝉ粮䁈찀ꄐ他L㐲㐵吭䥁䙞彅卅䥔䅍䕔✨啃呓䵏䕟卐Ⱗ䴧䅅❎✬䅃䅌Ⱗ㈧㄰✱〬Ⱜ✬䌬剕䕒䍎㵙单ⱄ⤧!＀＀ ＀＀	＀＀_x0008_＀＀_x0001_＀＀_x0001_＀＀_x0001_＀＀豀碵꼝쐕찀ꄊ他C剁䡍䙞彅卅䥔䅍䕔✨䅓䕌❓✬䕍乁Ⱗ䌧䱁❁✬〲㠰ⰧⰰⰬⰧ啃剒久奃唽䑓✬착!＀＀ ＀＀	＀＀_x0008_＀＀_x0001_＀＀_x0001_＀＀_x0001_＀＀낊_xDC95_䁺찀ꄒ他G噎䅄䙞彅卅䥔䅍䕔✨义彃則协❓✬䕍乁Ⱗ䌧䱁❁✬〲㈱ⰧⰰⰬⰧ啃剒久奃唽䑓✬착!＀＀ ＀＀	＀＀_x0008_＀＀_x0001_＀＀_x0001_＀＀_x0001_＀＀⛪࠱Ĭ䂢찀ꄍ他G义䍔䙞彅卅䥔䅍䕔✨义彃則协❓✬䕍乁Ⱗ䌧䱁❁✬〲㘰ⰧⰰⰬⰧ啃剒久奃唽䑓✬착!＀＀ ＀＀	＀＀_x0008_＀＀_x0001_＀＀_x0001_＀＀_x0001_＀＀豀碵꼝쐕찀Կ仍_x001A_䍑䵏䙞彇剐䍉⡅〴㜸ⰰⰬ单⥄!＀＀ ＀＀	＀＀_x0008_＀＀_x0001_＀＀_x0001_＀＀_x0001_＀＀਽ꏗ㵰䁋찀ꄖ他_x001A_剁䡍䙞彇剐䍉⡅〴㐵ⰴⰬ单⥄!＀＀ ＀＀	＀＀_x0008_＀＀_x0001_＀＀_x0001_＀＀_x0001_＀＀＀＀＀＀쀀䀴찀ꄙ他C呓ⵍ剆䙞彅卅䥔䅍䕔✨䍆❆✬䕍乁Ⱗ䌧䱁❁✬〲ㄱⰧⰰⰬⰧ啃剒久奃唽䑓✬착!＀＀ ＀＀	＀＀_x0008_＀＀_x0001_＀＀_x0001_＀＀_x0001_＀＀҂迅ἱ䀼찀ꄊ他C剁䡍䙞彅卅䥔䅍䕔✨䅃䕐❘✬䕍乁Ⱗ䌧䱁❁✬〲㠰ⰧⰰⰬⰧ啃剒久奃唽䑓✬착!＀＀ ＀＀	＀＀_x0008_＀＀_x0001_＀＀_x0001_＀＀_x0001_＀＀덫኱㳳䀭찀ꄖ他_x0017_剂䵃偞灟楲散江睯㕟眲〨착!＀＀ ＀＀	＀＀_x0008_＀＀_x0001_＀＀_x0001_＀＀_x0001_＀＀尨䊏䀽찀ꄓ他A噎䅄䙞彅卅䥔䅍䕔✨䍆❆✬䕍乁Ⱗ䌧䱁❁✬〲㜰ⰧⰰⰬⰧ啃剒久奃唽䑓✬착!＀＀ ＀＀	＀＀_x0008_＀＀_x0001_＀＀_x0001_＀＀_x0001_＀＀낊ﺕ䂉찀ꄔ他C噎䅄䙞彅卅䥔䅍䕔✨偅䉓❇✬䕍乁Ⱗ䌧䱁❁✬〲㈱ⰧⰰⰬⰧ啃剒久奃唽䑓✬착!＀＀ ＀＀	＀＀_x0008_＀＀_x0001_＀＀_x0001_＀＀_x0001_＀＀肮㵂쑽㿴찀ꄏ他E㐲㐵吭䥁䙞彅卅䥔䅍䕔✨䍆❆✬䕍乁Ⱗ䌧䱁❁✬〲㠰ⰧⰰⰬⰧ啃剒久奃唽䑓✬착!＀＀ ＀＀	＀＀_x0008_＀＀_x0001_＀＀_x0001_＀＀_x0001_＀＀鵊⚀_xD942_䂋찀ꄐ他G㐲㐵吭䥁䙞彅卅䥔䅍䕔✨偅䉓❇✬䕍乁Ⱗ䌧䱁❁✬〲㌱ⰧⰰⰬⰧ啃剒久奃唽䑓✬착!＀＀ ＀＀	＀＀_x0008_＀＀_x0001_＀＀_x0001_＀＀_x0001_＀＀뛑⻵䤹㿥찀ꄔ他H噎䅄䙞彅卅䥔䅍䕔✨啃呓䵏䕟卐Ⱗ䴧䅅❎✬䅃䅌Ⱗ㈧〰✹〬Ⱜ✬䌬剕䕒䍎㵙单ⱄ⤧!＀＀ ＀＀	＀＀_x0008_＀＀_x0001_＀＀_x0001_＀＀_x0001_＀＀贻咴軞㿐찀ꄍ他G㐲㐵吭䥁䙞彅卅䥔䅍䕔✨䅓䕌❓✬䕍乁Ⱗ䌧䱁❁✬〲㤰ⰧⰰⰬⰧ啃剒久奃唽䑓✬착!＀＀ ＀＀	＀＀_x0008_＀＀_x0001_＀＀_x0001_＀＀_x0001_＀＀퓾㧦䂬찀ꄑ他C噎䅄䙞彅卅䥔䅍䕔✨䅓䕌❓✬䕍乁Ⱗ䌧䱁❁✬〲㈱ⰧⰰⰬⰧ啃剒久奃唽䑓✬착!＀＀ ＀＀	＀＀_x0008_＀＀_x0001_＀＀_x0001_＀＀_x0001_＀＀_xD917_㒳䂱찀ꄎ他G㐲㐵吭䥁䙞彅卅䥔䅍䕔✨䅃䕐❘✬䕍乁Ⱗ䌧䱁❁✬〲㤰ⰧⰰⰬⰧ啃剒久奃唽䑓✬착!＀＀ ＀＀	＀＀_x0008_＀＀_x0001_＀＀_x0001_＀＀_x0001_＀＀괮쒆긽䁄찀ꄓ他C噎䅄䙞彅卅䥔䅍䕔✨䅃䕐❘✬䕍乁Ⱗ䌧䱁❁✬〲㈱ⰧⰰⰬⰧ啃剒久奃唽䑓✬착!＀＀ ＀＀	＀＀_x0008_＀＀_x0001_＀＀_x0001_＀＀_x0001_＀＀᭲렭䁡찀ꄅ他_x0017_塍幌彐牰捩彥楨桧㕟眲〨착!＀＀ ＀＀	＀＀_x0008_＀＀_x0001_＀＀_x0001_＀＀_x0001_＀＀尩슏ꣵ䀩찀他8䵁幄䕆䕟呓䵉呁⡅义彃則协ⱓ䕍乁儬䅕呒剅奌㈬㄰⼱䘱〬Ⱜ✬⤧!＀＀ ＀＀	＀＀_x0008_＀＀_x0001_＀＀_x0001_＀＀_x0001_＀＀ꧼ틱⽍䂆찀ꄐ他L㐲㐵吭䥁䙞彅卅䥔䅍䕔✨啃呓䵏䕟卐Ⱗ䴧䅅❎✬䅃䅌Ⱗ㈧㄰✴〬Ⱜ✬䌬剕䕒䍎㵙单ⱄ⤧!＀＀ ＀＀	＀＀_x0008_＀＀_x0001_＀＀_x0001_＀＀_x0001_＀＀豀碵꼝쐕찀Կ仍_x0019_䵁幄彐䕂䅔䱟䍏䑉⡘㌭䵁〬착!＀＀ ＀＀	＀＀_x0008_＀＀_x0001_＀＀_x0001_＀＀_x0001_＀＀⨽쪈㿼찀ꄖ他_x001A_䍑䵏䙞彇剐䍉⡅〴㜸ⰷⰬ单⥄!＀＀ ＀＀	＀＀_x0008_＀＀_x0001_＀＀_x0001_＀＀_x0001_＀＀晦晦晦䁋찀ꄙ他E呓ⵍ剆䙞彅卅䥔䅍䕔✨偅䉓❇✬䕍乁Ⱗ䌧䱁❁✬〲㜰ⰧⰰⰬⰧ啃剒久奃唽䑓✬착!＀＀ ＀＀	＀＀_x0008_＀＀_x0001_＀＀_x0001_＀＀_x0001_＀＀⌇৶ᢠ㿨찀ꄙ他C呓ⵍ剆䙞彅卅䥔䅍䕔✨䍆❆✬䕍乁Ⱗ䌧䱁❁✬〲㐱ⰧⰰⰬⰧ啃剒久奃唽䑓✬착!＀＀ ＀＀	＀＀_x0008_＀＀_x0001_＀＀_x0001_＀＀_x0001_＀＀＀＀＀＀吀䂐찀ꄐ他G㐲㐵吭䥁䙞彅卅䥔䅍䕔✨偅䉓❇✬䕍乁Ⱗ䌧䱁❁✬〲〱ⰧⰰⰬⰧ啃剒久奃唽䑓✬착!＀＀ ＀＀	＀＀_x0008_＀＀_x0001_＀＀_x0001_＀＀_x0001_＀＀毠䝣䨾㿯찀ꄍ他G义䍔䙞彅卅䥔䅍䕔✨义彃則协❓✬䕍乁Ⱗ䌧䱁❁✬〲㌱ⰧⰰⰬⰧ啃剒久奃唽䑓✬착!＀＀ ＀＀	＀＀_x0008_＀＀_x0001_＀＀_x0001_＀＀_x0001_＀＀炤਽贯䃢찀ꄗ他F䑁幉䕆䕟呓䵉呁⡅䤧䍎䝟佒卓Ⱗ䴧䅅❎✬䅃䅌Ⱗ㈧〰✷〬Ⱜ✬䌬剕䕒䍎㵙单ⱄ⤧!＀＀ ＀＀	＀＀_x0008_＀＀_x0001_＀＀_x0001_＀＀_x0001_＀＀绺뱪䂗찀ꄔ他H噎䅄䙞彅卅䥔䅍䕔✨啃呓䵏䕟卐Ⱗ䴧䅅❎✬䅃䅌Ⱗ㈧㄰✰〬Ⱜ✬䌬剕䕒䍎㵙单ⱄ⤧!＀＀ ＀＀	＀＀_x0008_＀＀_x0001_＀＀_x0001_＀＀_x0001_＀＀䋊㒅뵴㿣찀ꄍ他G㐲㐵吭䥁䙞彅卅䥔䅍䕔✨䅓䕌❓✬䕍乁Ⱗ䌧䱁❁✬〲〱ⰧⰰⰬⰧ啃剒久奃唽䑓✬착!＀＀ ＀＀	＀＀_x0008_＀＀_x0001_＀＀_x0001_＀＀_x0001_＀＀삃ꇊ汅䂮찀ꄔ他C䍑䵏䙞彅卅䥔䅍䕔✨偅䉓❇✬䕍乁Ⱗ䌧䱁❁✬〲㠰ⰧⰰⰬⰧ啃剒久奃唽䑓✬착!＀＀ ＀＀	＀＀_x0008_＀＀_x0001_＀＀_x0001_＀＀_x0001_＀＀_xDA94_梋ػ䀁찀ꄑ他_x001B_噎䅄晞彧敤瑢瑟瑯污〨Ⱜ唬䑓착!＀＀ ＀＀	＀＀_x0008_＀＀_x0001_＀＀_x0001_＀＀_x0001_＀＀ꧻ䀵찀ꄗ他A䑁幉䕆䕟呓䵉呁⡅攧楢❴✬䕍乁Ⱗ䌧䱁❁✬〲㜰ⰧⰰⰬⰧ啃剒久奃唽䑓✬착!＀＀ ＀＀	＀＀_x0008_＀＀_x0001_＀＀_x0001_＀＀_x0001_＀＀唳⨰枩䂂찀ꄏ他A义䍔䙞彅卅䥔䅍䕔✨䍆❆✬䕍乁Ⱗ䌧䱁❁✬〲㠰ⰧⰰⰬⰧ啃剒久奃唽䑓✬착!＀＀ ＀＀	＀＀_x0008_＀＀_x0001_＀＀_x0001_＀＀_x0001_＀＀㽼_xD955_䂺찀ꄋ他C剁䡍䙞彅卅䥔䅍䕔✨偅䉓❇✬䕍乁Ⱗ䌧䱁❁✬〲㈱ⰧⰰⰬⰧ啃剒久奃唽䑓✬착!＀＀ ＀＀	＀＀_x0008_＀＀_x0001_＀＀_x0001_＀＀_x0001_＀＀ࡖ␑㿤찀ꄎ他G㐲㐵吭䥁䙞彅卅䥔䅍䕔✨䅃䕐❘✬䕍乁Ⱗ䌧䱁❁✬〲〱ⰧⰰⰬⰧ啃剒久奃唽䑓✬착!＀＀ ＀＀	＀＀_x0008_＀＀_x0001_＀＀_x0001_＀＀_x0001_＀＀呡❒솠䁌찀ꄖ他_x0017_䱁剔偞灟楲散江睯㕟眲〨착!＀＀ ＀＀	＀＀_x0008_＀＀_x0001_＀＀_x0001_＀＀_x0001_＀＀炤਽揗䀾찀ꄒ他C䍑䵏䙞彅卅䥔䅍䕔✨䅓䕌❓✬䕍乁Ⱗ䌧䱁❁✬〲㠰ⰧⰰⰬⰧ啃剒久奃唽䑓✬착!＀＀ ＀＀	＀＀_x0008_＀＀_x0001_＀＀_x0001_＀＀_x0001_＀＀ొ⬂歗䃅찀ꄎ他B义䍔䙞彅卅䥔䅍䕔✨扥瑩Ⱗ䴧䅅❎✬䅃䅌Ⱗ㈧〰✸〬Ⱜ✬䌬剕䕒䍎㵙单ⱄ⤧!＀＀ ＀＀	＀＀_x0008_＀＀_x0001_＀＀_x0001_＀＀_x0001_＀＀盉龾퍊䃁찀ꄋ他_x001F_㐲㐵吭䥁晞彧敤瑢瑟瑯污〨Ⱜ唬䑓착!＀＀ ＀＀	＀＀_x0008_＀＀_x0001_＀＀_x0001_＀＀_x0001_＀＀＀＀＀＀＀＀＀＀찀ꄍ他G义䍔䙞彅卅䥔䅍䕔✨义彃則协❓✬䕍乁Ⱗ䌧䱁❁✬〲〱ⰧⰰⰬⰧ啃剒久奃唽䑓✬착!＀＀ ＀＀	＀＀_x0008_＀＀_x0001_＀＀_x0001_＀＀_x0001_＀＀＀＀＀＀⏀䃜찀ꄓ他C䍑䵏䙞彅卅䥔䅍䕔✨䅃䕐❘✬䕍乁Ⱗ䌧䱁❁✬〲㠰ⰧⰰⰬⰧ啃剒久奃唽䑓✬착!＀＀ ＀＀	＀＀_x0008_＀＀_x0001_＀＀_x0001_＀＀_x0001_＀＀䎖沋埧䂓찀ꄓ他A噎䅄䙞彅卅䥔䅍䕔✨䍆❆✬䕍乁Ⱗ䌧䱁❁✬〲ㄱⰧⰰⰬⰧ啃剒久奃唽䑓✬착!＀＀ ＀＀	＀＀_x0008_＀＀_x0001_＀＀_x0001_＀＀_x0001_＀＀緀㠝띧䂃찀ꄏ他E㐲㐵吭䥁䙞彅卅䥔䅍䕔✨䍆❆✬䕍乁Ⱗ䌧䱁❁✬〲㈱ⰧⰰⰬⰧ啃剒久奃唽䑓✬착!＀＀ ＀＀	＀＀_x0008_＀＀_x0001_＀＀_x0001_＀＀_x0001_＀＀긕둺䂃찀ꄘ他D呓ⵍ剆䙞彅卅䥔䅍䕔✨扥瑩Ⱗ䴧䅅❎✬䅃䅌Ⱗ㈧〰✸〬Ⱜ✬䌬剕䕒䍎㵙单ⱄ⤧!＀＀ ＀＀	＀＀_x0008_＀＀_x0001_＀＀_x0001_＀＀_x0001_＀＀陓踡扵䁰찀ꄔ他H噎䅄䙞彅卅䥔䅍䕔✨啃呓䵏䕟卐Ⱗ䴧䅅❎✬䅃䅌Ⱗ㈧㄰✳〬Ⱜ✬䌬剕䕒䍎㵙单ⱄ⤧!＀＀ ＀＀	＀＀_x0008_＀＀_x0001_＀＀_x0001_＀＀_x0001_＀＀⒯깹ϯ㿳찀ꄍ他G㐲㐵吭䥁䙞彅卅䥔䅍䕔✨䅓䕌❓✬䕍乁Ⱗ䌧䱁❁✬〲㌱ⰧⰰⰬⰧ啃剒久奃唽䑓✬착!＀＀ ＀＀	＀＀_x0008_＀＀_x0001_＀＀_x0001_＀＀_x0001_＀＀롒蔞䗫䂮찀ꄖ他_x001A_䍑䵏䙞彇剐䍉⡅〴㐵ⰴⰬ单⥄!＀＀ ＀＀	＀＀_x0008_＀＀_x0001_＀＀_x0001_＀＀_x0001_＀＀蔟凫뺸䁈찀ꄚ他J呓ⵍ剆䙞彅卅䥔䅍䕔✨啃呓䵏䕟卐Ⱗ䴧䅅❎✬䅃䅌Ⱗ㈧〰✸〬Ⱜ✬䌬剕䕒䍎㵙单ⱄ⤧!＀＀ ＀＀	＀＀_x0008_＀＀_x0001_＀＀_x0001_＀＀_x0001_＀＀豀碵꼝쐕찀ꄙ他B䑁幉䕆䕟呓䵉呁⡅䔧卐䝂Ⱗ䴧䅅❎✬䅃䅌Ⱗ㈧〰✹〬Ⱜ✬䌬剕䕒䍎㵙单ⱄ⤧!＀＀ ＀＀	＀＀_x0008_＀＀_x0001_＀＀_x0001_＀＀_x0001_＀＀좧铦㿵찀他A䵁幄䕆䕟呓䵉呁⡅匧䱁卅Ⱗ䴧䅅❎✬啑剁䕔䱒彙佒䱌Ⱗ㈧㄰⼱䘱ⰧⰰⰬ✧착!＀＀ ＀＀	＀＀_x0008_＀＀_x0001_＀＀_x0001_＀＀_x0001_＀＀＀＀＀＀㐀䂙찀ꄏ他G㐲㐵吭䥁䙞彅卅䥔䅍䕔✨䅃䕐❘✬䕍乁Ⱗ䌧䱁❁✬〲㌱ⰧⰰⰬⰧ啃剒久奃唽䑓✬착!＀＀ ＀＀	＀＀_x0008_＀＀_x0001_＀＀_x0001_＀＀_x0001_＀＀伸졵糍䁑찀ꄊ他B剁䡍䙞彅卅䥔䅍䕔✨扥瑩Ⱗ䴧䅅❎✬䅃䅌Ⱗ㈧〰✶〬Ⱜ✬䌬剕䕒䍎㵙单ⱄ⤧!＀＀ ＀＀	＀＀_x0008_＀＀_x0001_＀＀_x0001_＀＀_x0001_＀＀뗲陧㠄䁝찀ꄋ他"义䍔䙞彆佃彍䡓当問彔偅当䥄⡌呑ⱒ⤰ċ＀＀ ＀＀ó＀＀_x0008_＀＀_x0001_＀＀_x0001_＀＀_x0001_＀＀＀＀＀＀_xDC00_䂴摦畳㩰⼯楄敲瑣潩獮䘯捡却瑥䄠摵瑩湩⁧楖睥牥愿瑣潩㵮啁䥄彔䅖啌♅䉄ㄽ㤲䤦ㅄ㐽㠵㐱㄰☰䅖啌䥅㵄㔰㤱☴䑓呁㵅〲ㄱ㌰倦剅佉呄偙㵅呑归呓♄䍓呆㌽眦湩潤㵷潰異彰潮扟牡眦摩桴㌽㔸栦楥桧㵴㈱☰呓剁彔䅍䥘䥍䕚㵄䅆卌♅牣慥潴㵲慦瑣敳♴楤灳慬役瑳楲杮䄽摵瑩찀ꄗ他I呓ⵍ剆䙞彅卅䥔䅍䕔✨义彃則协❓✬䕍乁Ⱗ䌧䱁❁✬〲㤰ⰧⰰⰬⰧ啃剒久奃唽䑓✬착!＀＀ ＀＀	＀＀_x0008_＀＀_x0001_＀＀_x0001_＀＀_x0001_＀＀桳菼䂤찀ꄓ他B䍑䵏䙞彅卅䥔䅍䕔✨扥瑩Ⱗ䴧䅅❎✬䅃䅌Ⱗ㈧〰✷〬Ⱜ✬䌬剕䕒䍎㵙单ⱄ⤧!＀＀ ＀＀	＀＀_x0008_＀＀_x0001_＀＀_x0001_＀＀_x0001_＀＀褷恁薥䂬찀ꄐ他H义䍔䙞彅卅䥔䅍䕔✨啃呓䵏䕟卐Ⱗ䴧䅅❎✬䅃䅌Ⱗ㈧〰✹〬Ⱜ✬䌬剕䕒䍎㵙单ⱄ⤧!＀＀ ＀＀	＀＀_x0008_＀＀_x0001_＀＀_x0001_＀＀_x0001_＀＀Ẹ롑㿲찀ꄗ他E呓ⵍ剆䙞彅卅䥔䅍䕔✨䅓䕌❓✬䕍乁Ⱗ䌧䱁❁✬〲㜰ⰧⰰⰬⰧ啃剒久奃唽䑓✬착!＀＀ ＀＀	＀＀_x0008_＀＀_x0001_＀＀_x0001_＀＀_x0001_＀＀＀＀＀＀䃃찀ꄓ他A噎䅄䙞彅卅䥔䅍䕔✨䍆❆✬䕍乁Ⱗ䌧䱁❁✬〲㐱ⰧⰰⰬⰧ啃剒久奃唽䑓✬착!＀＀ ＀＀	＀＀_x0008_＀＀_x0001_＀＀_x0001_＀＀_x0001_＀＀豀碵꼝쐕찀ꄙ他B䑁幉䕆䕟呓䵉呁⡅䔧卐䝂Ⱗ䴧䅅❎✬䅃䅌Ⱗ㈧〰✶〬Ⱜ✬䌬剕䕒䍎㵙单ⱄ⤧!＀＀ ＀＀	＀＀_x0008_＀＀_x0001_＀＀_x0001_＀＀_x0001_＀＀_xD894_붵鋝㿹찀ꄔ他C䍑䵏䙞彅卅䥔䅍䕔✨偅䉓❇✬䕍乁Ⱗ䌧䱁❁✬〲㈱ⰧⰰⰬⰧ啃剒久奃唽䑓✬착!＀＀ ＀＀	＀＀_x0008_＀＀_x0001_＀＀_x0001_＀＀_x0001_＀＀_xD98B_閒䀍찀ꄘ他E呓ⵍ剆䙞彅卅䥔䅍䕔✨䅃䕐❘✬䕍乁Ⱗ䌧䱁❁✬〲㜰ⰧⰰⰬⰧ啃剒久奃唽䑓✬착!＀＀ ＀＀	＀＀_x0008_＀＀_x0001_＀＀_x0001_＀＀_x0001_＀＀鶲꟯緆䂓찀ꄗ他A䑁幉䕆䕟呓䵉呁⡅攧楢❴✬䕍乁Ⱗ䌧䱁❁✬〲ㄱⰧⰰⰬⰧ啃剒久奃唽䑓✬착!＀＀ ＀＀	＀＀_x0008_＀＀_x0001_＀＀_x0001_＀＀_x0001_＀＀糮㔿䡞䂐찀ꄏ他A义䍔䙞彅卅䥔䅍䕔✨䍆❆✬䕍乁Ⱗ䌧䱁❁✬〲㈱ⰧⰰⰬⰧ啃剒久奃唽䑓✬착!＀＀ ＀＀	＀＀_x0008_＀＀_x0001_＀＀_x0001_＀＀_x0001_＀＀嘄ⴎ솒䃆찀ꄖ他B䑁幉䕆䕟呓䵉呁⡅匧䱁卅Ⱗ䴧䅅❎✬䅃䅌Ⱗ㈧〰✶〬Ⱜ✬䌬剕䕒䍎㵙单ⱄ⤧!＀＀ ＀＀	＀＀_x0008_＀＀_x0001_＀＀_x0001_＀＀_x0001_＀＀脆䎕ᅋ䂤찀ꄍ他K㐲㐵吭䥁䙞彅卅䥔䅍䕔✨义彃則协❓✬䕍乁Ⱗ䌧䱁❁✬〲㘰ⰧⰰⰬⰧ啃剒久奃唽䑓✬착!＀＀ ＀＀	＀＀_x0008_＀＀_x0001_＀＀_x0001_＀＀_x0001_＀＀豀碵꼝쐕찀ꄊ他C剁䡍䙞彅卅䥔䅍䕔✨䅓䕌❓✬䕍乁Ⱗ䌧䱁❁✬〲㈱ⰧⰰⰬⰧ啃剒久奃唽䑓✬착!＀＀ ＀＀	＀＀_x0008_＀＀_x0001_＀＀_x0001_＀＀_x0001_＀＀ɶ࢚䂊찀ꄎ他B义䍔䙞彅卅䥔䅍䕔✨扥瑩Ⱗ䴧䅅❎✬䅃䅌Ⱗ㈧㄰✲〬Ⱜ✬䌬剕䕒䍎㵙单ⱄ⤧!＀＀ ＀＀	＀＀_x0008_＀＀_x0001_＀＀_x0001_＀＀_x0001_＀＀炤਽ꑗ䃒찀ꄊ他B剁䡍䙞彅卅䥔䅍䕔✨扥瑩Ⱗ䴧䅅❎✬䅃䅌Ⱗ㈧〰✹〬Ⱜ✬䌬剕䕒䍎㵙单ⱄ⤧!＀＀ ＀＀	＀＀_x0008_＀＀_x0001_＀＀_x0001_＀＀_x0001_＀＀蒶큼厳䁠찀ꄖ他_x0014_剂䵃䙞彇剐䍉⡅〴㜸⤷!＀＀ ＀＀	＀＀_x0008_＀＀_x0001_＀＀_x0001_＀＀_x0001_＀＀Ẹ塑䀾찀ꄗ他I呓ⵍ剆䙞彅卅䥔䅍䕔✨义彃則协❓✬䕍乁Ⱗ䌧䱁❁✬〲㘰ⰧⰰⰬⰧ啃剒久奃唽䑓✬착!＀＀ ＀＀	＀＀_x0008_＀＀_x0001_＀＀_x0001_＀＀_x0001_＀＀豀碵꼝쐕찀ꄘ他B䑁幉䕆䕟呓䵉呁⡅䌧偁塅Ⱗ䴧䅅❎✬䅃䅌Ⱗ㈧〰✶〬Ⱜ✬䌬剕䕒䍎㵙单ⱄ⤧!＀＀ ＀＀	＀＀_x0008_＀＀_x0001_＀＀_x0001_＀＀_x0001_＀＀珫ᖵ忻䁠찀ꄐ他H义䍔䙞彅卅䥔䅍䕔✨啃呓䵏䕟卐Ⱗ䴧䅅❎✬䅃䅌Ⱗ㈧〰✶〬Ⱜ✬䌬剕䕒䍎㵙单ⱄ⤧!＀＀ ＀＀	＀＀_x0008_＀＀_x0001_＀＀_x0001_＀＀_x0001_＀＀롑蔞㿫찀ꄊ他C剁䡍䙞彅卅䥔䅍䕔✨䅃䕐❘✬䕍乁Ⱗ䌧䱁❁✬〲㈱ⰧⰰⰬⰧ啃剒久奃唽䑓✬착!＀＀ ＀＀	＀＀_x0008_＀＀_x0001_＀＀_x0001_＀＀_x0001_＀＀玂鑆延䀰찀ꄋ他A剁䡍䙞彅卅䥔䅍䕔✨偄❓✬䕍乁Ⱗ䌧䱁❁✬〲ㄱⰧⰰⰬⰧ啃剒久奃唽䑓✬착!＀＀ ＀＀	＀＀_x0008_＀＀_x0001_＀＀_x0001_＀＀_x0001_＀＀ఀⴕ梊㿄찀ꄙ他E呓ⵍ剆䙞彅卅䥔䅍䕔✨偅䉓❇✬䕍乁Ⱗ䌧䱁❁✬〲㐱ⰧⰰⰬⰧ啃剒久奃唽䑓✬착!＀＀ ＀＀	＀＀_x0008_＀＀_x0001_＀＀_x0001_＀＀_x0001_＀＀ᑻ䞮竡㿴찀ꄘ他@䑁幉䕆䕟呓䵉呁⡅䘧䙃Ⱗ䴧䅅❎✬䅃䅌Ⱗ㈧〰✹〬Ⱜ✬䌬剕䕒䍎㵙单ⱄ⤧!＀＀ ＀＀	＀＀_x0008_＀＀_x0001_＀＀_x0001_＀＀_x0001_＀＀賧嗀䁻찀ꄘ他D呓ⵍ剆䙞彅卅䥔䅍䕔✨扥瑩Ⱗ䴧䅅❎✬䅃䅌Ⱗ㈧㄰✲〬Ⱜ✬䌬剕䕒䍎㵙单ⱄ⤧!＀＀ ＀＀	＀＀_x0008_＀＀_x0001_＀＀_x0001_＀＀_x0001_＀＀㺫字뾱䁠찀ꄗ他F䑁幉䕆䕟呓䵉呁⡅䤧䍎䝟佒卓Ⱗ䴧䅅❎✬䅃䅌Ⱗ㈧㄰✴〬Ⱜ✬䌬剕䕒䍎㵙单ⱄ⤧!＀＀ ＀＀	＀＀_x0008_＀＀_x0001_＀＀_x0001_＀＀_x0001_＀＀豀碵꼝쐕찀ꄐ他C义䍔䙞彅卅䥔䅍䕔✨偅䉓❇✬䕍乁Ⱗ䌧䱁❁✬〲㤰ⰧⰰⰬⰧ啃剒久奃唽䑓✬착!＀＀ ＀＀	＀＀_x0008_＀＀_x0001_＀＀_x0001_＀＀_x0001_＀＀蔟凫Ẹ㿵찀ꄚ他J呓ⵍ剆䙞彅卅䥔䅍䕔✨啃呓䵏䕟卐Ⱗ䴧䅅❎✬䅃䅌Ⱗ㈧㄰✲〬Ⱜ✬䌬剕䕒䍎㵙单ⱄ⤧!＀＀ ＀＀	＀＀_x0008_＀＀_x0001_＀＀_x0001_＀＀_x0001_＀＀豀碵꼝쐕찀ꄋ他_x001B_义䍔晞彧敤瑢瑟瑯污〨Ⱜ唬䑓착!＀＀ ＀＀	＀＀_x0008_＀＀_x0001_＀＀_x0001_＀＀_x0001_＀＀＀＀＀＀䂻찀ꄖ他B䑁幉䕆䕟呓䵉呁⡅匧䱁卅Ⱗ䴧䅅❎✬䅃䅌Ⱗ㈧〰✹〬Ⱜ✬䌬剕䕒䍎㵙单ⱄ⤧!＀＀ ＀＀	＀＀_x0008_＀＀_x0001_＀＀_x0001_＀＀_x0001_＀＀⬂ᚇ띙䂠찀ꄍ他K㐲㐵吭䥁䙞彅卅䥔䅍䕔✨义彃則协❓✬䕍乁Ⱗ䌧䱁❁✬〲㤰ⰧⰰⰬⰧ啃剒久奃唽䑓✬착!＀＀ ＀＀	＀＀_x0008_＀＀_x0001_＀＀_x0001_＀＀_x0001_＀＀㌳㌳ꜳ䂠찀Ծ仍8䵁幄䕆䕟呓䵉呁⡅义彃則协ⱓ䕍乁儬䅕呒剅奌㈬㄰⼱䘴〬Ⱜ✬⤧!＀＀ ＀＀	＀＀_x0008_＀＀_x0001_＀＀_x0001_＀＀_x0001_＀＀_xDED3_௠库䂈찀ꄊ他G剁䡍䙞彅卅䥔䅍䕔✨义彃則协❓✬䕍乁Ⱗ䌧䱁❁✬〲㘰ⰧⰰⰬⰧ啃剒久奃唽䑓✬착!＀＀ ＀＀	＀＀_x0008_＀＀_x0001_＀＀_x0001_＀＀_x0001_＀＀豀碵꼝쐕찀ꄙ他E呓ⵍ剆䙞彅卅䥔䅍䕔✨偅䉓❇✬䕍乁Ⱗ䌧䱁❁✬〲ㄱⰧⰰⰬⰧ啃剒久奃唽䑓✬착!＀＀ ＀＀	＀＀_x0008_＀＀_x0001_＀＀_x0001_＀＀_x0001_＀＀_xDD7D_閎㿠찀ꄘ他@䑁幉䕆䕟呓䵉呁⡅䘧䙃Ⱗ䴧䅅❎✬䅃䅌Ⱗ㈧〰✶〬Ⱜ✬䌬剕䕒䍎㵙单ⱄ⤧!＀＀ ＀＀	＀＀_x0008_＀＀_x0001_＀＀_x0001_＀＀_x0001_＀＀࢚鸛䩞䁽찀ꄘ他B䑁幉䕆䕟呓䵉呁⡅䌧偁塅Ⱗ䴧䅅❎✬䅃䅌Ⱗ㈧〰✹〬Ⱜ✬䌬剕䕒䍎㵙单ⱄ⤧!＀＀ ＀＀	＀＀_x0008_＀＀_x0001_＀＀_x0001_＀＀_x0001_＀＀ㄑ堥䁐찀ꄔ他A䍑䵏䙞彅卅䥔䅍䕔✨䍆❆✬䕍乁Ⱗ䌧䱁❁✬〲㜰ⰧⰰⰬⰧ啃剒久奃唽䑓✬착!＀＀ ＀＀	＀＀_x0008_＀＀_x0001_＀＀_x0001_＀＀_x0001_＀＀桳쥼䂤찀ꄙ他G䑁幉䕆䕟呓䵉呁⡅䌧单佔彍偅❓✬䕍乁Ⱗ䌧䱁❁✬〲㘰ⰧⰰⰬⰧ啃剒久奃唽䑓✬착!＀＀ ＀＀	＀＀_x0008_＀＀_x0001_＀＀_x0001_＀＀_x0001_＀＀俧픛䃩㿷찀ꄗ他F䑁幉䕆䕟呓䵉呁⡅䤧䍎䝟佒卓Ⱗ䴧䅅❎✬䅃䅌Ⱗ㈧㄰✱〬Ⱜ✬䌬剕䕒䍎㵙单ⱄ⤧!＀＀ ＀＀	＀＀_x0008_＀＀_x0001_＀＀_x0001_＀＀_x0001_＀＀ᑺ綮䂞찀ꄓ他B䍑䵏䙞彅卅䥔䅍䕔✨扥瑩Ⱗ䴧䅅❎✬䅃䅌Ⱗ㈧㄰✱〬Ⱜ✬䌬剕䕒䍎㵙单ⱄ⤧!＀＀ ＀＀	＀＀_x0008_＀＀_x0001_＀＀_x0001_＀＀_x0001_＀＀뱫鍴⤘䂷찀ꄎ他F㐲㐵吭䥁䙞彅卅䥔䅍䕔✨扥瑩Ⱗ䴧䅅❎✬䅃䅌Ⱗ㈧〰✹〬Ⱜ✬䌬剕䕒䍎㵙单ⱄ⤧!＀＀ ＀＀	＀＀_x0008_＀＀_x0001_＀＀_x0001_＀＀_x0001_＀＀_xDF3B_赏씗䂑찀ꄗ他E呓ⵍ剆䙞彅卅䥔䅍䕔✨䅓䕌❓✬䕍乁Ⱗ䌧䱁❁✬〲ㄱⰧⰰⰬⰧ啃剒久奃唽䑓✬착!＀＀ ＀＀	＀＀_x0008_＀＀_x0001_＀＀_x0001_＀＀_x0001_＀＀ၢ㥘呔䃃찀ꄐ他C义䍔䙞彅卅䥔䅍䕔✨偅䉓❇✬䕍乁Ⱗ䌧䱁❁✬〲㘰ⰧⰰⰬⰧ啃剒久奃唽䑓✬착!＀＀ ＀＀	＀＀_x0008_＀＀_x0001_＀＀_x0001_＀＀_x0001_＀＀豀碵꼝쐕찀ꄒ他B噎䅄䙞彅卅䥔䅍䕔✨扥瑩Ⱗ䴧䅅❎✬䅃䅌Ⱗ㈧〰✷〬Ⱜ✬䌬剕䕒䍎㵙单ⱄ⤧!＀＀ ＀＀	＀＀_x0008_＀＀_x0001_＀＀_x0001_＀＀_x0001_＀＀릍५廹䂋찀ꄙ他B䑁幉䕆䕟呓䵉呁⡅䔧卐䝂Ⱗ䴧䅅❎✬䅃䅌Ⱗ㈧㄰✰〬Ⱜ✬䌬剕䕒䍎㵙单ⱄ⤧!＀＀ ＀＀	＀＀_x0008_＀＀_x0001_＀＀_x0001_＀＀_x0001_＀＀⬊吕뵔䀄찀ꄘ他E呓ⵍ剆䙞彅卅䥔䅍䕔✨䅃䕐❘✬䕍乁Ⱗ䌧䱁❁✬〲ㄱⰧⰰⰬⰧ啃剒久奃唽䑓✬착!＀＀ ＀＀	＀＀_x0008_＀＀_x0001_＀＀_x0001_＀＀_x0001_＀＀譄௻䂔찀ꄖ他_x001E_前䱖偞灟楲散桟杩彨㈵⡷ⰰⰬ单⥄!＀＀ ＀＀	＀＀_x0008_＀＀_x0001_＀＀_x0001_＀＀_x0001_＀＀尨ʏ䀶찀ꄌ他C义䍔䙞彅卅䥔䅍䕔✨䅓䕌❓✬䕍乁Ⱗ䌧䱁❁✬〲㘰ⰧⰰⰬⰧ啃剒久奃唽䑓✬착!＀＀ ＀＀	＀＀_x0008_＀＀_x0001_＀＀_x0001_＀＀_x0001_＀＀＀＀＀＀䛀䃡찀ꄒ他C䍑䵏䙞彅卅䥔䅍䕔✨䅓䕌❓✬䕍乁Ⱗ䌧䱁❁✬〲㈱ⰧⰰⰬⰧ啃剒久奃唽䑓✬착!＀＀ ＀＀	＀＀_x0008_＀＀_x0001_＀＀_x0001_＀＀_x0001_＀＀긕鍺䃒찀ꄋ他H剁䡍䙞彅卅䥔䅍䕔✨啃呓䵏䕟卐Ⱗ䴧䅅❎✬䅃䅌Ⱗ㈧〰✶〬Ⱜ✬䌬剕䕒䍎㵙单ⱄ⤧!＀＀ ＀＀	＀＀_x0008_＀＀_x0001_＀＀_x0001_＀＀_x0001_＀＀豀碵꼝쐕찀ꄍ他K㐲㐵吭䥁䙞彅卅䥔䅍䕔✨义彃則协❓✬䕍乁Ⱗ䌧䱁❁✬〲〱ⰧⰰⰬⰧ啃剒久奃唽䑓✬착!＀＀ ＀＀	＀＀_x0008_＀＀_x0001_＀＀_x0001_＀＀_x0001_＀＀ᑺ낮䂠찀ꄕ他H䍑䵏䙞彅卅䥔䅍䕔✨啃呓䵏䕟卐Ⱗ䴧䅅❎✬䅃䅌Ⱗ㈧〰✸〬Ⱜ✬䌬剕䕒䍎㵙单ⱄ⤧!＀＀ ＀＀	＀＀_x0008_＀＀_x0001_＀＀_x0001_＀＀_x0001_＀＀띅퍞芃㿼찀ꄎ他C义䍔䙞彅卅䥔䅍䕔✨䅃䕐❘✬䕍乁Ⱗ䌧䱁❁✬〲㘰ⰧⰰⰬⰧ啃剒久奃唽䑓✬착!＀＀ ＀＀	＀＀_x0008_＀＀_x0001_＀＀_x0001_＀＀_x0001_＀＀＀＀＀＀꬀䂶찀ꄊ他B剁䡍䙞彅卅䥔䅍䕔✨扥瑩Ⱗ䴧䅅❎✬䅃䅌Ⱗ㈧㄰✳〬Ⱜ✬䌬剕䕒䍎㵙单ⱄ⤧!＀＀ ＀＀	＀＀_x0008_＀＀_x0001_＀＀_x0001_＀＀_x0001_＀＀톷_xDE00_䁻찀ꄗ他I呓ⵍ剆䙞彅卅䥔䅍䕔✨义彃則协❓✬䕍乁Ⱗ䌧䱁❁✬〲〱ⰧⰰⰬⰧ啃剒久奃唽䑓✬착!＀＀ ＀＀	＀＀_x0008_＀＀_x0001_＀＀_x0001_＀＀_x0001_＀＀_xDF3C_赏岗䂯찀ꄓ他C䍑䵏䙞彅卅䥔䅍䕔✨䅃䕐❘✬䕍乁Ⱗ䌧䱁❁✬〲㈱ⰧⰰⰬⰧ啃剒久奃唽䑓✬착!＀＀ ＀＀	＀＀_x0008_＀＀_x0001_＀＀_x0001_＀＀_x0001_＀＀ﭿ瀺꟎䂊찀ꄘ他B䑁幉䕆䕟呓䵉呁⡅䌧偁塅Ⱗ䴧䅅❎✬䅃䅌Ⱗ㈧㄰✰〬Ⱜ✬䌬剕䕒䍎㵙单ⱄ⤧!＀＀ ＀＀	＀＀_x0008_＀＀_x0001_＀＀_x0001_＀＀_x0001_＀＀Ӂ_xDD6E_懍䁜찀ꄒ他G䍑䵏䙞彅卅䥔䅍䕔✨义彃則协❓✬䕍乁Ⱗ䌧䱁❁✬〲㤰ⰧⰰⰬⰧ啃剒久奃唽䑓✬착!＀＀ ＀＀	＀＀_x0008_＀＀_x0001_＀＀_x0001_＀＀_x0001_＀＀슐⣵䂼찀ꄐ他H义䍔䙞彅卅䥔䅍䕔✨啃呓䵏䕟卐Ⱗ䴧䅅❎✬䅃䅌Ⱗ㈧㄰✰〬Ⱜ✬䌬剕䕒䍎㵙单ⱄ⤧!＀＀ ＀＀	＀＀_x0008_＀＀_x0001_＀＀_x0001_＀＀_x0001_＀＀晦晦晦䀀찀ꄎ他F㐲㐵吭䥁䙞彅卅䥔䅍䕔✨扥瑩Ⱗ䴧䅅❎✬䅃䅌Ⱗ㈧〰✶〬Ⱜ✬䌬剕䕒䍎㵙单ⱄ⤧!＀＀ ＀＀	＀＀_x0008_＀＀_x0001_＀＀_x0001_＀＀_x0001_＀＀⁜ౣ䂆찀ꄊ他G剁䡍䙞彅卅䥔䅍䕔✨义彃則协❓✬䕍乁Ⱗ䌧䱁❁✬〲㤰ⰧⰰⰬⰧ啃剒久奃唽䑓✬착!＀＀ ＀＀	＀＀_x0008_＀＀_x0001_＀＀_x0001_＀＀_x0001_＀＀_xD980_礽䡘䁼찀ꄊ他A剁䡍䙞彅卅䥔䅍䕔✨䍆❆✬䕍乁Ⱗ䌧䱁❁✬〲㠰ⰧⰰⰬⰧ啃剒久奃唽䑓✬착!＀＀ ＀＀	＀＀_x0008_＀＀_x0001_＀＀_x0001_＀＀_x0001_＀＀_xD9E9_窱ꍜ䁕찀ꄙ他G䑁幉䕆䕟呓䵉呁⡅䌧单佔彍偅❓✬䕍乁Ⱗ䌧䱁❁✬〲㤰ⰧⰰⰬⰧ啃剒久奃唽䑓✬착!＀＀ ＀＀	＀＀_x0008_＀＀_x0001_＀＀_x0001_＀＀_x0001_＀＀䖪ㅄ䍹㿳찀ꄓ他B䍑䵏䙞彅卅䥔䅍䕔✨扥瑩Ⱗ䴧䅅❎✬䅃䅌Ⱗ㈧㄰✴〬Ⱜ✬䌬剕䕒䍎㵙单ⱄ⤧!＀＀ ＀＀	＀＀_x0008_＀＀_x0001_＀＀_x0001_＀＀_x0001_＀＀磕⛩䃁찀ꄘ他@䑁幉䕆䕟呓䵉呁⡅䘧䙃Ⱗ䴧䅅❎✬䅃䅌Ⱗ㈧㄰✳〬Ⱜ✬䌬剕䕒䍎㵙单ⱄ⤧!＀＀ ＀＀	＀＀_x0008_＀＀_x0001_＀＀_x0001_＀＀_x0001_＀＀司ꗣ눛䂊찀ꄗ他E呓ⵍ剆䙞彅卅䥔䅍䕔✨䅓䕌❓✬䕍乁Ⱗ䌧䱁❁✬〲㐱ⰧⰰⰬⰧ啃剒久奃唽䑓✬착!＀＀ ＀＀	＀＀_x0008_＀＀_x0001_＀＀_x0001_＀＀_x0001_＀＀빷᪟ꗿ䃆찀ꄐ他C义䍔䙞彅卅䥔䅍䕔✨偅䉓❇✬䕍乁Ⱗ䌧䱁❁✬〲㌱ⰧⰰⰬⰧ啃剒久奃唽䑓✬착!＀＀ ＀＀	＀＀_x0008_＀＀_x0001_＀＀_x0001_＀＀_x0001_＀＀ꏗ㵰圊䀆찀ꄙ他B䑁幉䕆䕟呓䵉呁⡅䔧卐䝂Ⱗ䴧䅅❎✬䅃䅌Ⱗ㈧㄰✳〬Ⱜ✬䌬剕䕒䍎㵙单ⱄ⤧!＀＀ ＀＀	＀＀_x0008_＀＀_x0001_＀＀_x0001_＀＀_x0001_＀＀_xDD76_䀆찀ꄘ他E呓ⵍ剆䙞彅卅䥔䅍䕔✨䅃䕐❘✬䕍乁Ⱗ䌧䱁❁✬〲㐱ⰧⰰⰬⰧ啃剒久奃唽䑓✬착!＀＀ ＀＀	＀＀_x0008_＀＀_x0001_＀＀_x0001_＀＀_x0001_＀＀擃悪㵔䂋찀ꄌ他C义䍔䙞彅卅䥔䅍䕔✨䅓䕌❓✬䕍乁Ⱗ䌧䱁❁✬〲㤰ⰧⰰⰬⰧ啃剒久奃唽䑓✬착!＀＀ ＀＀	＀＀_x0008_＀＀_x0001_＀＀_x0001_＀＀_x0001_＀＀＀＀＀＀⛠䃡찀ꄔ他C噎䅄䙞彅卅䥔䅍䕔✨偅䉓❇✬䕍乁Ⱗ䌧䱁❁✬〲㜰ⰧⰰⰬⰧ啃剒久奃唽䑓✬착!＀＀ ＀＀	＀＀_x0008_＀＀_x0001_＀＀_x0001_＀＀_x0001_＀＀ꑲ〳㋲㿸찀ꄊ他B剁䡍䙞彅卅䥔䅍䕔✨扥瑩Ⱗ䴧䅅❎✬䅃䅌Ⱗ㈧㄰✰〬Ⱜ✬䌬剕䕒䍎㵙单ⱄ⤧!＀＀ ＀＀	＀＀_x0008_＀＀_x0001_＀＀_x0001_＀＀_x0001_＀＀菥춞侪䁭찀ꄋ他H剁䡍䙞彅卅䥔䅍䕔✨啃呓䵏䕟卐Ⱗ䴧䅅❎✬䅃䅌Ⱗ㈧〰✹〬Ⱜ✬䌬剕䕒䍎㵙单ⱄ⤧!＀＀ ＀＀	＀＀_x0008_＀＀_x0001_＀＀_x0001_＀＀_x0001_＀＀豀碵꼝쐕찀ꄖ他B䑁幉䕆䕟呓䵉呁⡅匧䱁卅Ⱗ䴧䅅❎✬䅃䅌Ⱗ㈧㄰✳〬Ⱜ✬䌬剕䕒䍎㵙单ⱄ⤧!＀＀ ＀＀	＀＀_x0008_＀＀_x0001_＀＀_x0001_＀＀_x0001_＀＀堑됹ᩈ䂨찀ꄍ他K㐲㐵吭䥁䙞彅卅䥔䅍䕔✨义彃則协❓✬䕍乁Ⱗ䌧䱁❁✬〲㌱ⰧⰰⰬⰧ啃剒久奃唽䑓✬착!＀＀ ＀＀	＀＀_x0008_＀＀_x0001_＀＀_x0001_＀＀_x0001_＀＀赐溗㠒䂜찀ꄒ他G䍑䵏䙞彅卅䥔䅍䕔✨义彃則协❓✬䕍乁Ⱗ䌧䱁❁✬〲㘰ⰧⰰⰬⰧ啃剒久奃唽䑓✬착!＀＀ ＀＀	＀＀_x0008_＀＀_x0001_＀＀_x0001_＀＀_x0001_＀＀豀碵꼝쐕찀ꄎ他C义䍔䙞彅卅䥔䅍䕔✨䅃䕐❘✬䕍乁Ⱗ䌧䱁❁✬〲㤰ⰧⰰⰬⰧ啃剒久奃唽䑓✬착!＀＀ ＀＀	＀＀_x0008_＀＀_x0001_＀＀_x0001_＀＀_x0001_＀＀＀＀＀＀ꌀ䂱찀ꄗ他I呓ⵍ剆䙞彅卅䥔䅍䕔✨义彃則协❓✬䕍乁Ⱗ䌧䱁❁✬〲㌱ⰧⰰⰬⰧ啃剒久奃唽䑓✬착!＀＀ ＀＀	＀＀_x0008_＀＀_x0001_＀＀_x0001_＀＀_x0001_＀＀磕⛩剑䂰찀ꄘ他@䑁幉䕆䕟呓䵉呁⡅䘧䙃Ⱗ䴧䅅❎✬䅃䅌Ⱗ㈧㄰✰〬Ⱜ✬䌬剕䕒䍎㵙单ⱄ⤧!＀＀ ＀＀	＀＀_x0008_＀＀_x0001_＀＀_x0001_＀＀_x0001_＀＀蔟凫ຸ䂋찀ꄘ他B䑁幉䕆䕟呓䵉呁⡅䌧偁塅Ⱗ䴧䅅❎✬䅃䅌Ⱗ㈧㄰✳〬Ⱜ✬䌬剕䕒䍎㵙单ⱄ⤧!＀＀ ＀＀	＀＀_x0008_＀＀_x0001_＀＀_x0001_＀＀_x0001_＀＀횢ꌸ䁡찀ꄔ他A䍑䵏䙞彅卅䥔䅍䕔✨䍆❆✬䕍乁Ⱗ䌧䱁❁✬〲ㄱⰧⰰⰬⰧ啃剒久奃唽䑓✬착!＀＀ ＀＀	＀＀_x0008_＀＀_x0001_＀＀_x0001_＀＀_x0001_＀＀⼛ⓝ䔆䂴찀ꄐ他H义䍔䙞彅卅䥔䅍䕔✨啃呓䵏䕟卐Ⱗ䴧䅅❎✬䅃䅌Ⱗ㈧㄰✳〬Ⱜ✬䌬剕䕒䍎㵙单ⱄ⤧!＀＀ ＀＀	＀＀_x0008_＀＀_x0001_＀＀_x0001_＀＀_x0001_＀＀썡⯓饥䀅찀ꄎ他F㐲㐵吭䥁䙞彅卅䥔䅍䕔✨扥瑩Ⱗ䴧䅅❎✬䅃䅌Ⱗ㈧㄰✳〬Ⱜ✬䌬剕䕒䍎㵙单ⱄ⤧!＀＀ ＀＀	＀＀_x0008_＀＀_x0001_＀＀_x0001_＀＀_x0001_＀＀๖눭鸝䂅찀ꄐ他L㐲㐵吭䥁䙞彅卅䥔䅍䕔✨啃呓䵏䕟卐Ⱗ䴧䅅❎✬䅃䅌Ⱗ㈧〰✹〬Ⱜ✬䌬剕䕒䍎㵙单ⱄ⤧!＀＀ ＀＀	＀＀_x0008_＀＀_x0001_＀＀_x0001_＀＀_x0001_＀＀豀碵꼝쐕찀ꄐ他C义䍔䙞彅卅䥔䅍䕔✨偅䉓❇✬䕍乁Ⱗ䌧䱁❁✬〲〱ⰧⰰⰬⰧ啃剒久奃唽䑓✬착!＀＀ ＀＀	＀＀_x0008_＀＀_x0001_＀＀_x0001_＀＀_x0001_＀＀焍讬棛䀁찀ꄒ他B噎䅄䙞彅卅䥔䅍䕔✨扥瑩Ⱗ䴧䅅❎✬䅃䅌Ⱗ㈧㄰✱〬Ⱜ✬䌬剕䕒䍎㵙单ⱄ⤧!＀＀ ＀＀	＀＀_x0008_＀＀_x0001_＀＀_x0001_＀＀_x0001_＀＀㓗㣯蝅䂆찀ꄌ他C义䍔䙞彅卅䥔䅍䕔✨䅓䕌❓✬䕍乁Ⱗ䌧䱁❁✬〲〱ⰧⰰⰬⰧ啃剒久奃唽䑓✬착!＀＀ ＀＀	＀＀_x0008_＀＀_x0001_＀＀_x0001_＀＀_x0001_＀＀＀＀＀＀䳠䃥찀ꄖ他B䑁幉䕆䕟呓䵉呁⡅匧䱁卅Ⱗ䴧䅅❎✬䅃䅌Ⱗ㈧㄰✰〬Ⱜ✬䌬剕䕒䍎㵙单ⱄ⤧!＀＀ ＀＀	＀＀_x0008_＀＀_x0001_＀＀_x0001_＀＀_x0001_＀＀譄䂥찀ꄖ他_x001D_䑁幉彐牰捩彥楨桧㕟眲〨Ⱜ唬䑓착!＀＀ ＀＀	＀＀_x0008_＀＀_x0001_＀＀_x0001_＀＀_x0001_＀＀炤਽ꏗ䁅찀ꄋ他H剁䡍䙞彅卅䥔䅍䕔✨啃呓䵏䕟卐Ⱗ䴧䅅❎✬䅃䅌Ⱗ㈧㄰✰〬Ⱜ✬䌬剕䕒䍎㵙单ⱄ⤧!＀＀ ＀＀	＀＀_x0008_＀＀_x0001_＀＀_x0001_＀＀_x0001_＀＀豀碵꼝쐕찀ꄕ他H䍑䵏䙞彅卅䥔䅍䕔✨啃呓䵏䕟卐Ⱗ䴧䅅❎✬䅃䅌Ⱗ㈧㄰✲〬Ⱜ✬䌬剕䕒䍎㵙单ⱄ⤧!＀＀ ＀＀	＀＀_x0008_＀＀_x0001_＀＀_x0001_＀＀_x0001_＀＀쐢뎕虷䀊찀ꄅ他_x0014_䅃䵖䙞彇剐䍉⡅〴㜸⤷!＀＀ ＀＀	＀＀_x0008_＀＀_x0001_＀＀_x0001_＀＀_x0001_＀＀롒蔞凫䁀찀ꄎ他C义䍔䙞彅卅䥔䅍䕔✨䅃䕐❘✬䕍乁Ⱗ䌧䱁❁✬〲〱ⰧⰰⰬⰧ啃剒久奃唽䑓✬착!＀＀ ＀＀	＀＀_x0008_＀＀_x0001_＀＀_x0001_＀＀_x0001_＀＀＀＀＀＀啀䂴찀ꄒ他G䍑䵏䙞彅卅䥔䅍䕔✨义彃則协❓✬䕍乁Ⱗ䌧䱁❁✬〲㌱ⰧⰰⰬⰧ啃剒久奃唽䑓✬착!＀＀ ＀＀	＀＀_x0008_＀＀_x0001_＀＀_x0001_＀＀_x0001_＀＀㽽帵Ἒ䃋찀ꄎ他F㐲㐵吭䥁䙞彅卅䥔䅍䕔✨扥瑩Ⱗ䴧䅅❎✬䅃䅌Ⱗ㈧㄰✰〬Ⱜ✬䌬剕䕒䍎㵙单ⱄ⤧!＀＀ ＀＀	＀＀_x0008_＀＀_x0001_＀＀_x0001_＀＀_x0001_＀＀ᚇ컙ꝷ䂐찀ꄊ他G剁䡍䙞彅卅䥔䅍䕔✨义彃則协❓✬䕍乁Ⱗ䌧䱁❁✬〲㌱ⰧⰰⰬⰧ啃剒久奃唽䑓✬착!＀＀ ＀＀	＀＀_x0008_＀＀_x0001_＀＀_x0001_＀＀_x0001_＀＀≨硬ꋺ䂌찀Կ仍_x001A_义䍔䙞彇剐䍉⡅〴㜸ⰰⰬ单⥄!＀＀ ＀＀	＀＀_x0008_＀＀_x0001_＀＀_x0001_＀＀_x0001_＀＀਽ꏗ㵰䀷찀ꄐ他L㐲㐵吭䥁䙞彅卅䥔䅍䕔✨啃呓䵏䕟卐Ⱗ䴧䅅❎✬䅃䅌Ⱗ㈧〰✶〬Ⱜ✬䌬剕䕒䍎㵙单ⱄ⤧!＀＀ ＀＀	＀＀_x0008_＀＀_x0001_＀＀_x0001_＀＀_x0001_＀＀豀碵꼝쐕찀ꄊ他A剁䡍䙞彅卅䥔䅍䕔✨䍆❆✬䕍乁Ⱗ䌧䱁❁✬〲㈱ⰧⰰⰬⰧ啃剒久奃唽䑓✬착!＀＀ ＀＀	＀＀_x0008_＀＀_x0001_＀＀_x0001_＀＀_x0001_＀＀_xDCC6_蒵䁱찀ꄖ他_x001D_剁䡍偞灟楲散江睯㕟眲〨Ⱜ唬䑓착!＀＀ ＀＀	＀＀_x0008_＀＀_x0001_＀＀_x0001_＀＀_x0001_＀＀凬Ẹ⮅䀲찀ꄔ他A䍑䵏䙞彅卅䥔䅍䕔✨䍆❆✬䕍乁Ⱗ䌧䱁❁✬〲㐱ⰧⰰⰬⰧ啃剒久奃唽䑓✬착!＀＀ ＀＀	＀＀_x0008_＀＀_x0001_＀＀_x0001_＀＀_x0001_＀＀扎堐涹䂼찀ꄙ他G䑁幉䕆䕟呓䵉呁⡅䌧单佔彍偅❓✬䕍乁Ⱗ䌧䱁❁✬〲㌱ⰧⰰⰬⰧ啃剒久奃唽䑓✬착!＀＀ ＀＀	＀＀_x0008_＀＀_x0001_＀＀_x0001_＀＀_x0001_＀＀⹞㯢䬱䀆찀Խ仍_x001C_䵁幄彐剐䍉彅噁⡇〴ㄸⰶ〴〹⤸!＀＀ ＀＀	＀＀_x0008_＀＀_x0001_＀＀_x0001_＀＀_x0001_＀＀稇涨䀔찀ꄖ他_x0014_䱘塎䙞彇剐䍉⡅〴㜸⤷!＀＀ ＀＀	＀＀_x0008_＀＀_x0001_＀＀_x0001_＀＀_x0001_＀＀ᑻ䞮嫡䁀찀ꄒ他G噎䅄䙞彅卅䥔䅍䕔✨义彃則协❓✬䕍乁Ⱗ䌧䱁❁✬〲㜰ⰧⰰⰬⰧ啃剒久奃唽䑓✬착!＀＀ ＀＀	＀＀_x0008_＀＀_x0001_＀＀_x0001_＀＀_x0001_＀＀豀碵꼝쐕찀ꄑ他_x001D_噎䅄䙞彆䅃䡓卟⡔呑ⱒⰰⰬ唬䑓착ċ＀＀ ＀＀ó＀＀_x0008_＀＀_x0001_＀＀_x0001_＀＀_x0001_＀</t>
        </r>
      </text>
    </comment>
    <comment ref="B1" authorId="0">
      <text>
        <r>
          <rPr>
            <b/>
            <sz val="8"/>
            <color indexed="81"/>
            <rFont val="Tahoma"/>
            <family val="2"/>
          </rPr>
          <t>34310</t>
        </r>
      </text>
    </comment>
    <comment ref="A2" authorId="0">
      <text>
        <r>
          <rPr>
            <b/>
            <sz val="8"/>
            <color indexed="81"/>
            <rFont val="Tahoma"/>
            <family val="2"/>
          </rPr>
          <t>＀㽼碵䂥摦畳㩰⼯楄敲瑣潩獮䘯捡却瑥䄠摵瑩湩⁧楖睥牥愿瑣潩㵮啁䥄彔䅖啌♅䉄ㄽ㤲䤦ㅄ㘽〷㘶ㅇ☰䅖啌䥅㵄㈰〰☱䑓呁㵅〲ㄱ㌰倦剅佉呄偙㵅呑归呓♄䍓呆㌽眦湩潤㵷潰異彰潮扟牡眦摩桴㌽㔸栦楥桧㵴㈱☰呓剁彔䅍䥘䥍䕚㵄䅆卌♅牣慥潴㵲慦瑣敳♴楤灳慬役瑳楲杮䄽摵瑩찀ꄙ他C呓ⵍ剆䙞彅卅䥔䅍䕔✨䍆❆✬䕍乁Ⱗ䌧䱁❁✬〲㘰ⰧⰰⰬⰧ啃剒久奃唽䑓✬착!＀＀ ＀＀	＀＀_x0008_＀＀_x0001_＀＀_x0001_＀＀_x0001_＀＀욧擋䂆찀ꄖ他_x001D_呓ⵍ剆晞彧敤瑢瑟瑯污〨Ⱜ唬䑓착!＀＀ ＀＀	＀＀_x0008_＀＀_x0001_＀＀_x0001_＀＀_x0001_＀＀赐W됀䂚찀ꄖ他_x0014_䱁剔䙞彇剐䍉⡅〴㐵⤴!＀＀ ＀＀	＀＀_x0008_＀＀_x0001_＀＀_x0001_＀＀_x0001_＀＀휊炣쨽䁁찀ꄖ他_x001D_䍑䵏偞灟楲散江睯㕟眲〨Ⱜ唬䑓착!＀＀ ＀＀	＀＀_x0008_＀＀_x0001_＀＀_x0001_＀＀_x0001_＀＀ਾꏗﵰ䁆찀ꄐ他G㐲㐵吭䥁䙞彅卅䥔䅍䕔✨偅䉓❇✬䕍乁Ⱗ䌧䱁❁✬〲㠰ⰧⰰⰬⰧ啃剒久奃唽䑓✬착!＀＀ ＀＀	＀＀_x0008_＀＀_x0001_＀＀_x0001_＀＀_x0001_＀＀꘺堸㿡찀ꄌ他C义䍔䙞彅卅䥔䅍䕔✨䅓䕌❓✬䕍乁Ⱗ䌧䱁❁✬〲㌱ⰧⰰⰬⰧ啃剒久奃唽䑓✬착!＀＀ ＀＀	＀＀_x0008_＀＀_x0001_＀＀_x0001_＀＀_x0001_＀＀ᑺ눖䃭찀ꄋ他H剁䡍䙞彅卅䥔䅍䕔✨啃呓䵏䕟卐Ⱗ䴧䅅❎✬䅃䅌Ⱗ㈧㄰✳〬Ⱜ✬䌬剕䕒䍎㵙单ⱄ⤧!＀＀ ＀＀	＀＀_x0008_＀＀_x0001_＀＀_x0001_＀＀_x0001_＀＀豀碵꼝쐕찀ꄔ他H噎䅄䙞彅卅䥔䅍䕔✨啃呓䵏䕟卐Ⱗ䴧䅅❎✬䅃䅌Ⱗ㈧〰✸〬Ⱜ✬䌬剕䕒䍎㵙单ⱄ⤧!＀＀ ＀＀	＀＀_x0008_＀＀_x0001_＀＀_x0001_＀＀_x0001_＀＀腠痹죱㿕찀ꄑ他C噎䅄䙞彅卅䥔䅍䕔✨䅓䕌❓✬䕍乁Ⱗ䌧䱁❁✬〲㜰ⰧⰰⰬⰧ啃剒久奃唽䑓✬착!＀＀ ＀＀	＀＀_x0008_＀＀_x0001_＀＀_x0001_＀＀_x0001_＀＀_xDB23_绹哪䂯찀ꄒ他G䍑䵏䙞彅卅䥔䅍䕔✨义彃則协❓✬䕍乁Ⱗ䌧䱁❁✬〲〱ⰧⰰⰬⰧ啃剒久奃唽䑓✬착!＀＀ ＀＀	＀＀_x0008_＀＀_x0001_＀＀_x0001_＀＀_x0001_＀＀_xDF3B_赏ⵧ䃀찀ꄊ他G剁䡍䙞彅卅䥔䅍䕔✨义彃則协❓✬䕍乁Ⱗ䌧䱁❁✬〲〱ⰧⰰⰬⰧ啃剒久奃唽䑓✬착!＀＀ ＀＀	＀＀_x0008_＀＀_x0001_＀＀_x0001_＀＀_x0001_＀＀묰༧눋䂂찀ꄎ他C义䍔䙞彅卅䥔䅍䕔✨䅃䕐❘✬䕍乁Ⱗ䌧䱁❁✬〲㌱ⰧⰰⰬⰧ啃剒久奃唽䑓✬착!＀＀ ＀＀	＀＀_x0008_＀＀_x0001_＀＀_x0001_＀＀_x0001_＀＀ⴎ鶲㍏䃀찀Ծ仍?䵁幄䕆䕟呓䵉呁⡅䔧卐Ⱗ䴧䅅❎✬啑剁䕔䱒彙佒䱌Ⱗ㈧㄰⼲䘱ⰧⰰⰬ✧착!＀＀ ＀＀	＀＀_x0008_＀＀_x0001_＀＀_x0001_＀＀_x0001_＀＀_xDEAD_䱾㾼찀ꄙ他G䑁幉䕆䕟呓䵉呁⡅䌧单佔彍偅❓✬䕍乁Ⱗ䌧䱁❁✬〲〱ⰧⰰⰬⰧ啃剒久奃唽䑓✬착!＀＀ ＀＀	＀＀_x0008_＀＀_x0001_＀＀_x0001_＀＀_x0001_＀＀蓹볬涍䀃찀ꄓ他C噎䅄䙞彅卅䥔䅍䕔✨䅃䕐❘✬䕍乁Ⱗ䌧䱁❁✬〲㜰ⰧⰰⰬⰧ啃剒久奃唽䑓✬착!＀＀ ＀＀	＀＀_x0008_＀＀_x0001_＀＀_x0001_＀＀_x0001_＀＀╆ɵ劚䁥찀ꄋ他_x001D_义䍔䙞彆䅃䡓卟⡔呑ⱒⰰⰬ唬䑓착ċ＀＀ ＀＀ó＀＀_x0008_＀＀_x0001_＀＀_x0001_＀＀_x0001_＀＀＀＀＀＀媀䃅摦畳㩰⼯楄敲瑣潩獮䘯捡却瑥䄠摵瑩湩⁧楖睥牥愿瑣潩㵮啁䥄彔䅖啌♅䉄ㄽ㤲䤦ㅄ㐽㠵㐱㄰☰䅖啌䥅㵄㈰〰☱䑓呁㵅〲ㄱ㌰倦剅佉呄偙㵅呑归呓♄䍓呆㌽眦湩潤㵷潰異彰潮扟牡眦摩桴㌽㔸栦楥桧㵴㈱☰呓剁彔䅍䥘䥍䕚㵄䅆卌♅牣慥潴㵲慦瑣敳♴楤灳慬役瑳楲杮䄽摵瑩찀Ծ仍?䵁幄䕆䕟呓䵉呁⡅䔧卐Ⱗ䴧䅅❎✬啑剁䕔䱒彙佒䱌Ⱗ㈧㄰⼱䘴ⰧⰰⰬ✧착!＀＀ ＀＀	＀＀_x0008_＀＀_x0001_＀＀_x0001_＀＀_x0001_＀＀詑Ʇ띸㿄찀ꄖ他_x001A_义䍔䙞彇剐䍉⡅〴㜸ⰷⰬ单⥄!＀＀ ＀＀	＀＀_x0008_＀＀_x0001_＀＀_x0001_＀＀_x0001_＀＀尩슏䀸찀ꄐ他L㐲㐵吭䥁䙞彅卅䥔䅍䕔✨啃呓䵏䕟卐Ⱗ䴧䅅❎✬䅃䅌Ⱗ㈧㄰✳〬Ⱜ✬䌬剕䕒䍎㵙单ⱄ⤧!＀＀ ＀＀	＀＀_x0008_＀＀_x0001_＀＀_x0001_＀＀_x0001_＀＀豀碵꼝쐕찀ꄙ他C呓ⵍ剆䙞彅卅䥔䅍䕔✨䍆❆✬䕍乁Ⱗ䌧䱁❁✬〲㤰ⰧⰰⰬⰧ啃剒久奃唽䑓✬착!＀＀ ＀＀	＀＀_x0008_＀＀_x0001_＀＀_x0001_＀＀_x0001_＀＀⹉⇿忽䁱찀ꄒ他G噎䅄䙞彅卅䥔䅍䕔✨义彃則协❓✬䕍乁Ⱗ䌧䱁❁✬〲㐱ⰧⰰⰬⰧ啃剒久奃唽䑓✬착!＀＀ ＀＀	＀＀_x0008_＀＀_x0001_＀＀_x0001_＀＀_x0001_＀＀豀碵꼝쐕찀ꄍ他G义䍔䙞彅卅䥔䅍䕔✨义彃則协❓✬䕍乁Ⱗ䌧䱁❁✬〲㠰ⰧⰰⰬⰧ啃剒久奃唽䑓✬착!＀＀ ＀＀	＀＀_x0008_＀＀_x0001_＀＀_x0001_＀＀_x0001_＀＀＀＀＀＀嬀䃔찀</t>
        </r>
      </text>
    </comment>
  </commentList>
</comments>
</file>

<file path=xl/comments2.xml><?xml version="1.0" encoding="utf-8"?>
<comments xmlns="http://schemas.openxmlformats.org/spreadsheetml/2006/main">
  <authors>
    <author>visv</author>
    <author>DJF</author>
    <author>DJF 10/16/12:</author>
    <author>DJF 1/21/13</author>
    <author>alicit</author>
    <author>Lim, Alvin (Research)</author>
    <author>moorejos</author>
    <author>Tam, Alicia (Research)</author>
    <author>DJF 1/22/13</author>
    <author>Rao, Vinayak (Research)</author>
    <author>DJF 6/18/12</author>
    <author>DJF 10/18/12</author>
    <author>DJF 7/19/12</author>
    <author>Moore, Joseph Jr. (Research)</author>
  </authors>
  <commentList>
    <comment ref="B10" authorId="0">
      <text>
        <r>
          <rPr>
            <b/>
            <sz val="8"/>
            <color indexed="81"/>
            <rFont val="Tahoma"/>
            <family val="2"/>
          </rPr>
          <t>visv:</t>
        </r>
        <r>
          <rPr>
            <sz val="8"/>
            <color indexed="81"/>
            <rFont val="Tahoma"/>
            <family val="2"/>
          </rPr>
          <t xml:space="preserve">
</t>
        </r>
        <r>
          <rPr>
            <sz val="12"/>
            <color indexed="81"/>
            <rFont val="Tahoma"/>
            <family val="2"/>
          </rPr>
          <t>the Computing Solutions segment, which includes microprocessors, chipsets and embedded processors;</t>
        </r>
      </text>
    </comment>
    <comment ref="AG10" authorId="1">
      <text>
        <r>
          <rPr>
            <b/>
            <sz val="8"/>
            <color indexed="81"/>
            <rFont val="Tahoma"/>
            <family val="2"/>
          </rPr>
          <t>DJF:</t>
        </r>
        <r>
          <rPr>
            <sz val="8"/>
            <color indexed="81"/>
            <rFont val="Tahoma"/>
            <family val="2"/>
          </rPr>
          <t xml:space="preserve">
AMD got hurt most at the high-end this Q</t>
        </r>
      </text>
    </comment>
    <comment ref="B14" authorId="1">
      <text>
        <r>
          <rPr>
            <b/>
            <sz val="10"/>
            <color indexed="81"/>
            <rFont val="Tahoma"/>
            <family val="2"/>
          </rPr>
          <t>DJF:</t>
        </r>
        <r>
          <rPr>
            <sz val="10"/>
            <color indexed="81"/>
            <rFont val="Tahoma"/>
            <family val="2"/>
          </rPr>
          <t xml:space="preserve">
CPUs for PCs
Note that Client revenue, units, and ASPs are MS estimates derived from company commentary and industry data providers.</t>
        </r>
      </text>
    </comment>
    <comment ref="B20" authorId="1">
      <text>
        <r>
          <rPr>
            <b/>
            <sz val="10"/>
            <color indexed="81"/>
            <rFont val="Tahoma"/>
            <family val="2"/>
          </rPr>
          <t>DJF:</t>
        </r>
        <r>
          <rPr>
            <sz val="10"/>
            <color indexed="81"/>
            <rFont val="Tahoma"/>
            <family val="2"/>
          </rPr>
          <t xml:space="preserve">
Servers and Computers</t>
        </r>
      </text>
    </comment>
    <comment ref="AE20" authorId="1">
      <text>
        <r>
          <rPr>
            <b/>
            <sz val="8"/>
            <color indexed="81"/>
            <rFont val="Tahoma"/>
            <family val="2"/>
          </rPr>
          <t>DJF:</t>
        </r>
        <r>
          <rPr>
            <sz val="8"/>
            <color indexed="81"/>
            <rFont val="Tahoma"/>
            <family val="2"/>
          </rPr>
          <t xml:space="preserve">
Quarterly record revenue driven by an increase in supply of Llano APUs.</t>
        </r>
      </text>
    </comment>
    <comment ref="AG20" authorId="1">
      <text>
        <r>
          <rPr>
            <b/>
            <sz val="8"/>
            <color indexed="81"/>
            <rFont val="Tahoma"/>
            <family val="2"/>
          </rPr>
          <t>DJF:</t>
        </r>
        <r>
          <rPr>
            <sz val="8"/>
            <color indexed="81"/>
            <rFont val="Tahoma"/>
            <family val="2"/>
          </rPr>
          <t xml:space="preserve">
2Q EPS: Client product revenue declined 13% sequentially.  ASPs were primary driver, but units also declined.  </t>
        </r>
      </text>
    </comment>
    <comment ref="BS20" authorId="1">
      <text>
        <r>
          <rPr>
            <b/>
            <sz val="10"/>
            <color indexed="81"/>
            <rFont val="Tahoma"/>
            <family val="2"/>
          </rPr>
          <t>DJF:</t>
        </r>
        <r>
          <rPr>
            <sz val="10"/>
            <color indexed="81"/>
            <rFont val="Tahoma"/>
            <family val="2"/>
          </rPr>
          <t xml:space="preserve">
All-time record</t>
        </r>
      </text>
    </comment>
    <comment ref="AF23" authorId="1">
      <text>
        <r>
          <rPr>
            <b/>
            <sz val="8"/>
            <color indexed="81"/>
            <rFont val="Tahoma"/>
            <family val="2"/>
          </rPr>
          <t>DJF:</t>
        </r>
        <r>
          <rPr>
            <sz val="8"/>
            <color indexed="81"/>
            <rFont val="Tahoma"/>
            <family val="2"/>
          </rPr>
          <t xml:space="preserve">
Down Q/Q primarily due to lower units and ASP, primarily driven by lower 45nm desktop processor shipments</t>
        </r>
      </text>
    </comment>
    <comment ref="AF26" authorId="1">
      <text>
        <r>
          <rPr>
            <b/>
            <sz val="8"/>
            <color indexed="81"/>
            <rFont val="Tahoma"/>
            <family val="2"/>
          </rPr>
          <t xml:space="preserve">DJF:
</t>
        </r>
        <r>
          <rPr>
            <sz val="8"/>
            <color indexed="81"/>
            <rFont val="Tahoma"/>
            <family val="2"/>
          </rPr>
          <t>Ramped volume production of Trinity (2nd generation, Llano is 1st gen)</t>
        </r>
      </text>
    </comment>
    <comment ref="AG26" authorId="1">
      <text>
        <r>
          <rPr>
            <b/>
            <sz val="8"/>
            <color indexed="81"/>
            <rFont val="Tahoma"/>
            <family val="2"/>
          </rPr>
          <t>DJF:</t>
        </r>
        <r>
          <rPr>
            <sz val="8"/>
            <color indexed="81"/>
            <rFont val="Tahoma"/>
            <family val="2"/>
          </rPr>
          <t xml:space="preserve">
2Q EPS: ASPs were primary driver, but units also declined.
Trinity</t>
        </r>
      </text>
    </comment>
    <comment ref="BR26" authorId="1">
      <text>
        <r>
          <rPr>
            <b/>
            <sz val="8"/>
            <color indexed="81"/>
            <rFont val="Tahoma"/>
            <family val="2"/>
          </rPr>
          <t>DJF:</t>
        </r>
        <r>
          <rPr>
            <sz val="8"/>
            <color indexed="81"/>
            <rFont val="Tahoma"/>
            <family val="2"/>
          </rPr>
          <t xml:space="preserve">
Per AMD 10-K:
The increase in unit shipments was attributable to an increase in unit shipments of our </t>
        </r>
        <r>
          <rPr>
            <u/>
            <sz val="8"/>
            <color indexed="81"/>
            <rFont val="Tahoma"/>
            <family val="2"/>
          </rPr>
          <t>microprocessor products for mobile devices</t>
        </r>
        <r>
          <rPr>
            <sz val="8"/>
            <color indexed="81"/>
            <rFont val="Tahoma"/>
            <family val="2"/>
          </rPr>
          <t xml:space="preserve"> as well as </t>
        </r>
        <r>
          <rPr>
            <u/>
            <sz val="8"/>
            <color indexed="81"/>
            <rFont val="Tahoma"/>
            <family val="2"/>
          </rPr>
          <t>chipset products</t>
        </r>
        <r>
          <rPr>
            <sz val="8"/>
            <color indexed="81"/>
            <rFont val="Tahoma"/>
            <family val="2"/>
          </rPr>
          <t xml:space="preserve">, resulting primarily from an improved economic environment. 
In addition, chipset unit shipments increased as customers </t>
        </r>
        <r>
          <rPr>
            <u/>
            <sz val="8"/>
            <color indexed="81"/>
            <rFont val="Tahoma"/>
            <family val="2"/>
          </rPr>
          <t>increasingly adopted our chipsets with our microprocessor products</t>
        </r>
        <r>
          <rPr>
            <sz val="8"/>
            <color indexed="81"/>
            <rFont val="Tahoma"/>
            <family val="2"/>
          </rPr>
          <t>, while unit shipments of our microprocessors for mobile devices increased due to increased demand from existing and new customers for our new notebook platforms.</t>
        </r>
      </text>
    </comment>
    <comment ref="BS26" authorId="1">
      <text>
        <r>
          <rPr>
            <b/>
            <sz val="8"/>
            <color indexed="81"/>
            <rFont val="Tahoma"/>
            <family val="2"/>
          </rPr>
          <t>DJF:</t>
        </r>
        <r>
          <rPr>
            <sz val="8"/>
            <color indexed="81"/>
            <rFont val="Tahoma"/>
            <family val="2"/>
          </rPr>
          <t xml:space="preserve">
Per 10-K:
The increase in unit shipments was attributable to an increase in unit shipments of our microprocessors, including APU products for mobile devices, as well as our chipset products </t>
        </r>
        <r>
          <rPr>
            <sz val="8"/>
            <color indexed="81"/>
            <rFont val="Tahoma"/>
            <family val="2"/>
          </rPr>
          <t>(Note: implies embedded declined)</t>
        </r>
        <r>
          <rPr>
            <sz val="8"/>
            <color indexed="81"/>
            <rFont val="Tahoma"/>
            <family val="2"/>
          </rPr>
          <t xml:space="preserve">. 
</t>
        </r>
        <r>
          <rPr>
            <b/>
            <sz val="8"/>
            <color indexed="81"/>
            <rFont val="Tahoma"/>
            <family val="2"/>
          </rPr>
          <t>Microprocessors:</t>
        </r>
        <r>
          <rPr>
            <sz val="8"/>
            <color indexed="81"/>
            <rFont val="Tahoma"/>
            <family val="2"/>
          </rPr>
          <t xml:space="preserve"> Unit shipments of our microprocessors, including APU products for mobile devices increased due to strong demand for our Brazos and Llano-based APU platforms. However, the increase in unit shipments in 2011 was limited by supply constraints with respect to certain microprocessor products manufactured using the 32nm technology node. 
</t>
        </r>
        <r>
          <rPr>
            <b/>
            <sz val="8"/>
            <color indexed="81"/>
            <rFont val="Tahoma"/>
            <family val="2"/>
          </rPr>
          <t>Chipsets:</t>
        </r>
        <r>
          <rPr>
            <sz val="8"/>
            <color indexed="81"/>
            <rFont val="Tahoma"/>
            <family val="2"/>
          </rPr>
          <t xml:space="preserve"> Chipset unit shipments increased primarily due to an increase in overall unit shipments of our microprocessor products.</t>
        </r>
      </text>
    </comment>
    <comment ref="X29" authorId="1">
      <text>
        <r>
          <rPr>
            <b/>
            <sz val="8"/>
            <color indexed="81"/>
            <rFont val="Tahoma"/>
            <family val="2"/>
          </rPr>
          <t>DJF:</t>
        </r>
        <r>
          <rPr>
            <sz val="8"/>
            <color indexed="81"/>
            <rFont val="Tahoma"/>
            <family val="2"/>
          </rPr>
          <t xml:space="preserve">
From Q/Q Commentary:
Unit shipments decreased for microprocessors, embedded processors and chipset products as a result of a </t>
        </r>
        <r>
          <rPr>
            <u/>
            <sz val="8"/>
            <color indexed="81"/>
            <rFont val="Tahoma"/>
            <family val="2"/>
          </rPr>
          <t>seasonal</t>
        </r>
        <r>
          <rPr>
            <sz val="8"/>
            <color indexed="81"/>
            <rFont val="Tahoma"/>
            <family val="2"/>
          </rPr>
          <t xml:space="preserve"> </t>
        </r>
        <r>
          <rPr>
            <sz val="8"/>
            <color indexed="81"/>
            <rFont val="Tahoma"/>
            <family val="2"/>
          </rPr>
          <t>decrease in demand.</t>
        </r>
      </text>
    </comment>
    <comment ref="Y29" authorId="1">
      <text>
        <r>
          <rPr>
            <b/>
            <sz val="8"/>
            <color indexed="81"/>
            <rFont val="Tahoma"/>
            <family val="2"/>
          </rPr>
          <t>DJF:</t>
        </r>
        <r>
          <rPr>
            <sz val="8"/>
            <color indexed="81"/>
            <rFont val="Tahoma"/>
            <family val="2"/>
          </rPr>
          <t xml:space="preserve">
Q/Q Commentary:
The increase in unit shipments was primarily attributable to an </t>
        </r>
        <r>
          <rPr>
            <u/>
            <sz val="8"/>
            <color indexed="81"/>
            <rFont val="Tahoma"/>
            <family val="2"/>
          </rPr>
          <t>increase in unit shipments of our chipset products and embedded processor products</t>
        </r>
        <r>
          <rPr>
            <sz val="8"/>
            <color indexed="81"/>
            <rFont val="Tahoma"/>
            <family val="2"/>
          </rPr>
          <t xml:space="preserve">. Unit shipments of chipset products increased as customers </t>
        </r>
        <r>
          <rPr>
            <u/>
            <sz val="8"/>
            <color indexed="81"/>
            <rFont val="Tahoma"/>
            <family val="2"/>
          </rPr>
          <t>increasingly adopted AMD chipsets with our microprocessor products, especially for notebook PCs where the attach rate is 100%</t>
        </r>
        <r>
          <rPr>
            <sz val="8"/>
            <color indexed="81"/>
            <rFont val="Tahoma"/>
            <family val="2"/>
          </rPr>
          <t xml:space="preserve">. </t>
        </r>
        <r>
          <rPr>
            <u/>
            <sz val="8"/>
            <color indexed="81"/>
            <rFont val="Tahoma"/>
            <family val="2"/>
          </rPr>
          <t>Embedded processor unit shipments increased due to increased demand</t>
        </r>
        <r>
          <rPr>
            <sz val="8"/>
            <color indexed="81"/>
            <rFont val="Tahoma"/>
            <family val="2"/>
          </rPr>
          <t xml:space="preserve">. </t>
        </r>
        <r>
          <rPr>
            <u/>
            <sz val="8"/>
            <color indexed="81"/>
            <rFont val="Tahoma"/>
            <family val="2"/>
          </rPr>
          <t>Microprocessor unit shipments were flat</t>
        </r>
        <r>
          <rPr>
            <sz val="8"/>
            <color indexed="81"/>
            <rFont val="Tahoma"/>
            <family val="2"/>
          </rPr>
          <t xml:space="preserve"> in the second quarter of 2010 as compared to the first quarter of 2010. An </t>
        </r>
        <r>
          <rPr>
            <u/>
            <sz val="8"/>
            <color indexed="81"/>
            <rFont val="Tahoma"/>
            <family val="2"/>
          </rPr>
          <t>increase in unit shipments of microprocessors for notebook PCs was offset by a decrease in unit shipments of microprocessors for servers and desktop PCs</t>
        </r>
        <r>
          <rPr>
            <sz val="8"/>
            <color indexed="81"/>
            <rFont val="Tahoma"/>
            <family val="2"/>
          </rPr>
          <t>.</t>
        </r>
      </text>
    </comment>
    <comment ref="Z29" authorId="0">
      <text>
        <r>
          <rPr>
            <b/>
            <sz val="8"/>
            <color indexed="81"/>
            <rFont val="Tahoma"/>
            <family val="2"/>
          </rPr>
          <t>visv:</t>
        </r>
        <r>
          <rPr>
            <sz val="8"/>
            <color indexed="81"/>
            <rFont val="Tahoma"/>
            <family val="2"/>
          </rPr>
          <t xml:space="preserve">
Computing Solutions net revenue of $1,226 million in the third quarter of 2010 increased 1% compared to net revenue of $1,212 million in the second quarter of 2010 primarily as a result of a 6% increase in average selling price partially offset by a 5% decrease in unit shipments.
</t>
        </r>
        <r>
          <rPr>
            <b/>
            <sz val="8"/>
            <color indexed="81"/>
            <rFont val="Tahoma"/>
            <family val="2"/>
          </rPr>
          <t>DJF:</t>
        </r>
        <r>
          <rPr>
            <sz val="8"/>
            <color indexed="81"/>
            <rFont val="Tahoma"/>
            <family val="2"/>
          </rPr>
          <t xml:space="preserve">
From Y/Y Commentary:
The decrease in unit shipments was due to </t>
        </r>
        <r>
          <rPr>
            <u/>
            <sz val="8"/>
            <color indexed="81"/>
            <rFont val="Tahoma"/>
            <family val="2"/>
          </rPr>
          <t>lower unit shipments of chipsets</t>
        </r>
        <r>
          <rPr>
            <sz val="8"/>
            <color indexed="81"/>
            <rFont val="Tahoma"/>
            <family val="2"/>
          </rPr>
          <t xml:space="preserve">, partially offset by an </t>
        </r>
        <r>
          <rPr>
            <u/>
            <sz val="8"/>
            <color indexed="81"/>
            <rFont val="Tahoma"/>
            <family val="2"/>
          </rPr>
          <t>increase in unit shipments of our microprocessor products</t>
        </r>
        <r>
          <rPr>
            <sz val="8"/>
            <color indexed="81"/>
            <rFont val="Tahoma"/>
            <family val="2"/>
          </rPr>
          <t xml:space="preserve">. Chipset unit shipments decreased as a result of </t>
        </r>
        <r>
          <rPr>
            <sz val="8"/>
            <color indexed="81"/>
            <rFont val="Tahoma"/>
            <family val="2"/>
          </rPr>
          <t>decreased customer demand</t>
        </r>
        <r>
          <rPr>
            <sz val="8"/>
            <color indexed="81"/>
            <rFont val="Tahoma"/>
            <family val="2"/>
          </rPr>
          <t xml:space="preserve">. Microprocessor unit shipments increased due to increased customer demand. (Note: Shouldn't the two move together?)
</t>
        </r>
      </text>
    </comment>
    <comment ref="AC29" authorId="0">
      <text>
        <r>
          <rPr>
            <b/>
            <sz val="8"/>
            <color indexed="81"/>
            <rFont val="Tahoma"/>
            <family val="2"/>
          </rPr>
          <t>visv:</t>
        </r>
        <r>
          <rPr>
            <sz val="8"/>
            <color indexed="81"/>
            <rFont val="Tahoma"/>
            <family val="2"/>
          </rPr>
          <t xml:space="preserve">
Computing Solutions net revenue of $1,207 million in the second quarter of 2011 was relatively flat compared to $1,200 million in the first quarter of 2011. An 8% increase in unit shipments was offset by a 7% decrease in average selling price.
</t>
        </r>
        <r>
          <rPr>
            <b/>
            <sz val="8"/>
            <color indexed="81"/>
            <rFont val="Tahoma"/>
            <family val="2"/>
          </rPr>
          <t>DJF:</t>
        </r>
        <r>
          <rPr>
            <sz val="8"/>
            <color indexed="81"/>
            <rFont val="Tahoma"/>
            <family val="2"/>
          </rPr>
          <t xml:space="preserve">
Q/Q Commentary:
The increase in overall unit shipments was primarily attributable to an increase in unit shipments of our </t>
        </r>
        <r>
          <rPr>
            <u/>
            <sz val="8"/>
            <color indexed="81"/>
            <rFont val="Tahoma"/>
            <family val="2"/>
          </rPr>
          <t>microprocessors for mobile devices as well as our chipset products</t>
        </r>
        <r>
          <rPr>
            <sz val="8"/>
            <color indexed="81"/>
            <rFont val="Tahoma"/>
            <family val="2"/>
          </rPr>
          <t xml:space="preserve">. Unit shipments of our microprocessors for mobile devices increased due to strong demand for our </t>
        </r>
        <r>
          <rPr>
            <u/>
            <sz val="8"/>
            <color indexed="81"/>
            <rFont val="Tahoma"/>
            <family val="2"/>
          </rPr>
          <t>Brazos and Sabine APU platforms</t>
        </r>
        <r>
          <rPr>
            <sz val="8"/>
            <color indexed="81"/>
            <rFont val="Tahoma"/>
            <family val="2"/>
          </rPr>
          <t xml:space="preserve">. </t>
        </r>
        <r>
          <rPr>
            <u/>
            <sz val="8"/>
            <color indexed="81"/>
            <rFont val="Tahoma"/>
            <family val="2"/>
          </rPr>
          <t>Chipset unit shipments increased as customers increasingly adopted AMD chipsets</t>
        </r>
        <r>
          <rPr>
            <sz val="8"/>
            <color indexed="81"/>
            <rFont val="Tahoma"/>
            <family val="2"/>
          </rPr>
          <t xml:space="preserve"> with our microprocessor products.</t>
        </r>
      </text>
    </comment>
    <comment ref="AD29" authorId="0">
      <text>
        <r>
          <rPr>
            <b/>
            <sz val="8"/>
            <color indexed="81"/>
            <rFont val="Tahoma"/>
            <family val="2"/>
          </rPr>
          <t>visv:</t>
        </r>
        <r>
          <rPr>
            <sz val="8"/>
            <color indexed="81"/>
            <rFont val="Tahoma"/>
            <family val="2"/>
          </rPr>
          <t xml:space="preserve">
Computing Solutions net revenue of $1,286 million in the third quarter of 2011 increased by 6% compared to $1,207 million in the second quarter of 2011. </t>
        </r>
        <r>
          <rPr>
            <b/>
            <sz val="8"/>
            <color indexed="81"/>
            <rFont val="Tahoma"/>
            <family val="2"/>
          </rPr>
          <t xml:space="preserve">The increase was primarily due to a 5% increase in average selling price and a 2% increase in unit shipments
DJF:
</t>
        </r>
        <r>
          <rPr>
            <sz val="8"/>
            <color indexed="81"/>
            <rFont val="Tahoma"/>
            <family val="2"/>
          </rPr>
          <t>From Q/Q Commentary in 10-Q:</t>
        </r>
        <r>
          <rPr>
            <b/>
            <sz val="8"/>
            <color indexed="81"/>
            <rFont val="Tahoma"/>
            <family val="2"/>
          </rPr>
          <t xml:space="preserve">
</t>
        </r>
        <r>
          <rPr>
            <sz val="8"/>
            <color indexed="81"/>
            <rFont val="Tahoma"/>
            <family val="2"/>
          </rPr>
          <t xml:space="preserve">The increase in overall unit shipments was </t>
        </r>
        <r>
          <rPr>
            <u/>
            <sz val="8"/>
            <color indexed="81"/>
            <rFont val="Tahoma"/>
            <family val="2"/>
          </rPr>
          <t>primarily attributable to an increase in unit shipments of our APUs for mobile devices</t>
        </r>
        <r>
          <rPr>
            <sz val="8"/>
            <color indexed="81"/>
            <rFont val="Tahoma"/>
            <family val="2"/>
          </rPr>
          <t xml:space="preserve">. Unit shipments of our microprocessors for mobile devices increased due to strong demand for our </t>
        </r>
        <r>
          <rPr>
            <u/>
            <sz val="8"/>
            <color indexed="81"/>
            <rFont val="Tahoma"/>
            <family val="2"/>
          </rPr>
          <t>Brazos and Sabine APU platforms</t>
        </r>
        <r>
          <rPr>
            <sz val="8"/>
            <color indexed="81"/>
            <rFont val="Tahoma"/>
            <family val="2"/>
          </rPr>
          <t xml:space="preserve">. However, the increase in microprocessor unit shipments was </t>
        </r>
        <r>
          <rPr>
            <u/>
            <sz val="8"/>
            <color indexed="81"/>
            <rFont val="Tahoma"/>
            <family val="2"/>
          </rPr>
          <t>limited by supply constraints</t>
        </r>
        <r>
          <rPr>
            <sz val="8"/>
            <color indexed="81"/>
            <rFont val="Tahoma"/>
            <family val="2"/>
          </rPr>
          <t xml:space="preserve"> with respect to certain microprocessor products manufactured using the 32nm and 45nm technology nodes. </t>
        </r>
        <r>
          <rPr>
            <b/>
            <sz val="8"/>
            <color indexed="81"/>
            <rFont val="Tahoma"/>
            <family val="2"/>
          </rPr>
          <t xml:space="preserve">
</t>
        </r>
      </text>
    </comment>
    <comment ref="AF29" authorId="1">
      <text>
        <r>
          <rPr>
            <b/>
            <sz val="8"/>
            <color indexed="81"/>
            <rFont val="Tahoma"/>
            <family val="2"/>
          </rPr>
          <t>DJF:</t>
        </r>
        <r>
          <rPr>
            <sz val="8"/>
            <color indexed="81"/>
            <rFont val="Tahoma"/>
            <family val="2"/>
          </rPr>
          <t xml:space="preserve">
The overall unit shipments of our microprocessor products decreased mainly due to lower unit shipments of certain desktop microprocessor products manufactured using the 45nm technology node, partially offset by increased unit shipments of certain microprocessor products manufactured using the 32nm technology node. In addition, the overall unit shipments of microprocessor products as well as chipset unit shipments decreased due to </t>
        </r>
        <r>
          <rPr>
            <u/>
            <sz val="8"/>
            <color indexed="81"/>
            <rFont val="Tahoma"/>
            <family val="2"/>
          </rPr>
          <t>seasonally low demand.</t>
        </r>
        <r>
          <rPr>
            <sz val="8"/>
            <color indexed="81"/>
            <rFont val="Tahoma"/>
            <family val="2"/>
          </rPr>
          <t xml:space="preserve">
</t>
        </r>
      </text>
    </comment>
    <comment ref="AG29" authorId="1">
      <text>
        <r>
          <rPr>
            <b/>
            <sz val="8"/>
            <color indexed="81"/>
            <rFont val="Tahoma"/>
            <family val="2"/>
          </rPr>
          <t>DJF:</t>
        </r>
        <r>
          <rPr>
            <sz val="8"/>
            <color indexed="81"/>
            <rFont val="Tahoma"/>
            <family val="2"/>
          </rPr>
          <t xml:space="preserve">
Down due to dsitributors &amp; weaker consumer demand for PCs, which caused OEMs to reduce orders.
Majority of miss was driven on the units side.</t>
        </r>
      </text>
    </comment>
    <comment ref="AH29" authorId="2">
      <text>
        <r>
          <rPr>
            <b/>
            <sz val="8"/>
            <color indexed="81"/>
            <rFont val="Tahoma"/>
            <family val="2"/>
          </rPr>
          <t>DJF 10/16/12:</t>
        </r>
        <r>
          <rPr>
            <sz val="8"/>
            <color indexed="81"/>
            <rFont val="Tahoma"/>
            <family val="2"/>
          </rPr>
          <t xml:space="preserve">
Weaker than expected end demand across all product lines.
Per Q, servers and desktops particularly weak.</t>
        </r>
      </text>
    </comment>
    <comment ref="X30" authorId="1">
      <text>
        <r>
          <rPr>
            <b/>
            <sz val="8"/>
            <color indexed="81"/>
            <rFont val="Tahoma"/>
            <family val="2"/>
          </rPr>
          <t>DJF:</t>
        </r>
        <r>
          <rPr>
            <sz val="8"/>
            <color indexed="81"/>
            <rFont val="Tahoma"/>
            <family val="2"/>
          </rPr>
          <t xml:space="preserve">
From Y/Y Commentary:
The increase in unit shipments was primarily attributable to an </t>
        </r>
        <r>
          <rPr>
            <u/>
            <sz val="8"/>
            <color indexed="81"/>
            <rFont val="Tahoma"/>
            <family val="2"/>
          </rPr>
          <t>increase in unit shipments of our microprocessor products, especially for notebook PCs, and chipset products</t>
        </r>
        <r>
          <rPr>
            <sz val="8"/>
            <color indexed="81"/>
            <rFont val="Tahoma"/>
            <family val="2"/>
          </rPr>
          <t xml:space="preserve">. Unit shipments increased due to an </t>
        </r>
        <r>
          <rPr>
            <u/>
            <sz val="8"/>
            <color indexed="81"/>
            <rFont val="Tahoma"/>
            <family val="2"/>
          </rPr>
          <t>improving economic environment</t>
        </r>
        <r>
          <rPr>
            <sz val="8"/>
            <color indexed="81"/>
            <rFont val="Tahoma"/>
            <family val="2"/>
          </rPr>
          <t xml:space="preserve">, which contributed to increased demand. In addition, unit shipments of our microprocessors for notebook PCs increased due to increased demand for notebook PCs, as </t>
        </r>
        <r>
          <rPr>
            <u/>
            <sz val="8"/>
            <color indexed="81"/>
            <rFont val="Tahoma"/>
            <family val="2"/>
          </rPr>
          <t>end users increasingly demanded notebook PCs over desktop PCs</t>
        </r>
        <r>
          <rPr>
            <sz val="8"/>
            <color indexed="81"/>
            <rFont val="Tahoma"/>
            <family val="2"/>
          </rPr>
          <t xml:space="preserve">. </t>
        </r>
        <r>
          <rPr>
            <u/>
            <sz val="8"/>
            <color indexed="81"/>
            <rFont val="Tahoma"/>
            <family val="2"/>
          </rPr>
          <t>Chipset unit shipments increased as customers increasingly adopted AMD chipsets</t>
        </r>
        <r>
          <rPr>
            <sz val="8"/>
            <color indexed="81"/>
            <rFont val="Tahoma"/>
            <family val="2"/>
          </rPr>
          <t xml:space="preserve"> with our microprocessor products.</t>
        </r>
      </text>
    </comment>
    <comment ref="Y30" authorId="1">
      <text>
        <r>
          <rPr>
            <b/>
            <sz val="8"/>
            <color indexed="81"/>
            <rFont val="Tahoma"/>
            <family val="2"/>
          </rPr>
          <t>DJF:</t>
        </r>
        <r>
          <rPr>
            <sz val="8"/>
            <color indexed="81"/>
            <rFont val="Tahoma"/>
            <family val="2"/>
          </rPr>
          <t xml:space="preserve">
Y/Y Commentary:
The increase in unit shipments was primarily attributable to an </t>
        </r>
        <r>
          <rPr>
            <u/>
            <sz val="8"/>
            <color indexed="81"/>
            <rFont val="Tahoma"/>
            <family val="2"/>
          </rPr>
          <t>increase in unit shipments of our chipset products and microprocessor products, especially for notebook PCs</t>
        </r>
        <r>
          <rPr>
            <sz val="8"/>
            <color indexed="81"/>
            <rFont val="Tahoma"/>
            <family val="2"/>
          </rPr>
          <t xml:space="preserve">. Unit shipments increased due to an </t>
        </r>
        <r>
          <rPr>
            <u/>
            <sz val="8"/>
            <color indexed="81"/>
            <rFont val="Tahoma"/>
            <family val="2"/>
          </rPr>
          <t>improved economic environment</t>
        </r>
        <r>
          <rPr>
            <sz val="8"/>
            <color indexed="81"/>
            <rFont val="Tahoma"/>
            <family val="2"/>
          </rPr>
          <t xml:space="preserve"> which contributed to increased demand. In addition, </t>
        </r>
        <r>
          <rPr>
            <u/>
            <sz val="8"/>
            <color indexed="81"/>
            <rFont val="Tahoma"/>
            <family val="2"/>
          </rPr>
          <t>chipset unit shipments increased as customers increasingly adopted AMD chipsets</t>
        </r>
        <r>
          <rPr>
            <sz val="8"/>
            <color indexed="81"/>
            <rFont val="Tahoma"/>
            <family val="2"/>
          </rPr>
          <t xml:space="preserve"> with our microprocessor products, especially for notebook PCs where the attach rate is 100%. Unit </t>
        </r>
        <r>
          <rPr>
            <u/>
            <sz val="8"/>
            <color indexed="81"/>
            <rFont val="Tahoma"/>
            <family val="2"/>
          </rPr>
          <t>shipments of our microprocessors for notebook PCs increased due to increased demand</t>
        </r>
        <r>
          <rPr>
            <sz val="8"/>
            <color indexed="81"/>
            <rFont val="Tahoma"/>
            <family val="2"/>
          </rPr>
          <t xml:space="preserve"> from existing and new customers for our new notebook platforms.</t>
        </r>
      </text>
    </comment>
    <comment ref="Z30" authorId="0">
      <text>
        <r>
          <rPr>
            <b/>
            <sz val="8"/>
            <color indexed="81"/>
            <rFont val="Tahoma"/>
            <family val="2"/>
          </rPr>
          <t>visv:</t>
        </r>
        <r>
          <rPr>
            <sz val="8"/>
            <color indexed="81"/>
            <rFont val="Tahoma"/>
            <family val="2"/>
          </rPr>
          <t xml:space="preserve">
Computing Solutions net revenue of $1,226 million in the third quarter of 2010 increased 13% compared to net revenue of $1,082 million in the third quarter of 2009 as a result of a 7% increase in unit shipments and a 6% increase in average selling price.
</t>
        </r>
        <r>
          <rPr>
            <b/>
            <sz val="8"/>
            <color indexed="81"/>
            <rFont val="Tahoma"/>
            <family val="2"/>
          </rPr>
          <t>DJF:</t>
        </r>
        <r>
          <rPr>
            <sz val="8"/>
            <color indexed="81"/>
            <rFont val="Tahoma"/>
            <family val="2"/>
          </rPr>
          <t xml:space="preserve">
Y/Y Commentary:
The increase in unit shipments was primarily attributable to an </t>
        </r>
        <r>
          <rPr>
            <u/>
            <sz val="8"/>
            <color indexed="81"/>
            <rFont val="Tahoma"/>
            <family val="2"/>
          </rPr>
          <t>increase in unit shipments of microprocessor products for notebook PCs</t>
        </r>
        <r>
          <rPr>
            <sz val="8"/>
            <color indexed="81"/>
            <rFont val="Tahoma"/>
            <family val="2"/>
          </rPr>
          <t xml:space="preserve">. Unit shipments of our microprocessors for notebook PCs increased due to a comparatively </t>
        </r>
        <r>
          <rPr>
            <u/>
            <sz val="8"/>
            <color indexed="81"/>
            <rFont val="Tahoma"/>
            <family val="2"/>
          </rPr>
          <t>improved economic environment</t>
        </r>
        <r>
          <rPr>
            <sz val="8"/>
            <color indexed="81"/>
            <rFont val="Tahoma"/>
            <family val="2"/>
          </rPr>
          <t>, which contributed to increased demand from existing and new customers for our new notebook platforms.</t>
        </r>
      </text>
    </comment>
    <comment ref="AB30" authorId="0">
      <text>
        <r>
          <rPr>
            <b/>
            <sz val="8"/>
            <color indexed="81"/>
            <rFont val="Tahoma"/>
            <family val="2"/>
          </rPr>
          <t>visv:</t>
        </r>
        <r>
          <rPr>
            <sz val="8"/>
            <color indexed="81"/>
            <rFont val="Tahoma"/>
            <family val="2"/>
          </rPr>
          <t xml:space="preserve">
Computing Solutions net revenue of $1,200 million in the first quarter of 2011 increased by 3% compared to net revenue of $1,160 million in the first quarter of 2010 as a result of a 16% increase in unit shipments partially offset by an 11% decrease in average selling price.
</t>
        </r>
        <r>
          <rPr>
            <b/>
            <sz val="8"/>
            <color indexed="81"/>
            <rFont val="Tahoma"/>
            <family val="2"/>
          </rPr>
          <t xml:space="preserve">DJF:
</t>
        </r>
        <r>
          <rPr>
            <sz val="8"/>
            <color indexed="81"/>
            <rFont val="Tahoma"/>
            <family val="2"/>
          </rPr>
          <t>Y/Y Commentary:</t>
        </r>
        <r>
          <rPr>
            <sz val="8"/>
            <color indexed="81"/>
            <rFont val="Tahoma"/>
            <family val="2"/>
          </rPr>
          <t xml:space="preserve">
The increase in unit shipments was primarily attributable to an increase in unit shipments of our microprocessor products for notebook and desktop PCs as well as our chipset products. Unit shipments of our microprocessors for notebook PCs increased due to increased demand for our new Brazos APU platforms. The increase in unit shipments of our microprocessors for desktop PCs increased due to strong demand from our channel customers. Chipset unit shipments increased as customers increasingly adopted AMD chipsets with our microprocessor products, especially for AMD based notebook PCs for which the attach rate remained at 100%.</t>
        </r>
      </text>
    </comment>
    <comment ref="AC30" authorId="0">
      <text>
        <r>
          <rPr>
            <b/>
            <sz val="8"/>
            <color indexed="81"/>
            <rFont val="Tahoma"/>
            <family val="2"/>
          </rPr>
          <t>visv:</t>
        </r>
        <r>
          <rPr>
            <sz val="8"/>
            <color indexed="81"/>
            <rFont val="Tahoma"/>
            <family val="2"/>
          </rPr>
          <t xml:space="preserve">
A 15% increase in unit shipments was offset by a 13% decrease in average selling price. Th
</t>
        </r>
        <r>
          <rPr>
            <b/>
            <sz val="8"/>
            <color indexed="81"/>
            <rFont val="Tahoma"/>
            <family val="2"/>
          </rPr>
          <t xml:space="preserve">DJF:
</t>
        </r>
        <r>
          <rPr>
            <sz val="8"/>
            <color indexed="81"/>
            <rFont val="Tahoma"/>
            <family val="2"/>
          </rPr>
          <t>From Y/Y Commentary:</t>
        </r>
        <r>
          <rPr>
            <sz val="8"/>
            <color indexed="81"/>
            <rFont val="Tahoma"/>
            <family val="2"/>
          </rPr>
          <t xml:space="preserve">
The </t>
        </r>
        <r>
          <rPr>
            <u/>
            <sz val="8"/>
            <color indexed="81"/>
            <rFont val="Tahoma"/>
            <family val="2"/>
          </rPr>
          <t>increase in the overall unit shipments</t>
        </r>
        <r>
          <rPr>
            <sz val="8"/>
            <color indexed="81"/>
            <rFont val="Tahoma"/>
            <family val="2"/>
          </rPr>
          <t xml:space="preserve"> was attributable to an increase in unit shipments of our </t>
        </r>
        <r>
          <rPr>
            <u/>
            <sz val="8"/>
            <color indexed="81"/>
            <rFont val="Tahoma"/>
            <family val="2"/>
          </rPr>
          <t>microprocessor products for desktop PCs</t>
        </r>
        <r>
          <rPr>
            <sz val="8"/>
            <color indexed="81"/>
            <rFont val="Tahoma"/>
            <family val="2"/>
          </rPr>
          <t xml:space="preserve"> and </t>
        </r>
        <r>
          <rPr>
            <u/>
            <sz val="8"/>
            <color indexed="81"/>
            <rFont val="Tahoma"/>
            <family val="2"/>
          </rPr>
          <t>mobile devices</t>
        </r>
        <r>
          <rPr>
            <sz val="8"/>
            <color indexed="81"/>
            <rFont val="Tahoma"/>
            <family val="2"/>
          </rPr>
          <t xml:space="preserve"> as well as our </t>
        </r>
        <r>
          <rPr>
            <u/>
            <sz val="8"/>
            <color indexed="81"/>
            <rFont val="Tahoma"/>
            <family val="2"/>
          </rPr>
          <t>chipset products</t>
        </r>
        <r>
          <rPr>
            <sz val="8"/>
            <color indexed="81"/>
            <rFont val="Tahoma"/>
            <family val="2"/>
          </rPr>
          <t xml:space="preserve">. The increase in unit shipments of our </t>
        </r>
        <r>
          <rPr>
            <u/>
            <sz val="8"/>
            <color indexed="81"/>
            <rFont val="Tahoma"/>
            <family val="2"/>
          </rPr>
          <t>microprocessors for desktop PCs increased due to increased demand from our channel customers</t>
        </r>
        <r>
          <rPr>
            <sz val="8"/>
            <color indexed="81"/>
            <rFont val="Tahoma"/>
            <family val="2"/>
          </rPr>
          <t xml:space="preserve">. Unit shipments of our </t>
        </r>
        <r>
          <rPr>
            <u/>
            <sz val="8"/>
            <color indexed="81"/>
            <rFont val="Tahoma"/>
            <family val="2"/>
          </rPr>
          <t>microprocessors for mobile devices increased due to strong demand for our Brazos and Sabine APU platforms</t>
        </r>
        <r>
          <rPr>
            <sz val="8"/>
            <color indexed="81"/>
            <rFont val="Tahoma"/>
            <family val="2"/>
          </rPr>
          <t xml:space="preserve">. Chipset unit shipments increased as customers increasingly </t>
        </r>
        <r>
          <rPr>
            <u/>
            <sz val="8"/>
            <color indexed="81"/>
            <rFont val="Tahoma"/>
            <family val="2"/>
          </rPr>
          <t>adopted AMD chipsets with our microprocessor products</t>
        </r>
        <r>
          <rPr>
            <sz val="8"/>
            <color indexed="81"/>
            <rFont val="Tahoma"/>
            <family val="2"/>
          </rPr>
          <t>.</t>
        </r>
      </text>
    </comment>
    <comment ref="AD30" authorId="0">
      <text>
        <r>
          <rPr>
            <b/>
            <sz val="8"/>
            <color indexed="81"/>
            <rFont val="Tahoma"/>
            <family val="2"/>
          </rPr>
          <t>visv:</t>
        </r>
        <r>
          <rPr>
            <sz val="8"/>
            <color indexed="81"/>
            <rFont val="Tahoma"/>
            <family val="2"/>
          </rPr>
          <t xml:space="preserve">
The increase was primarily due to a 23% increase in overall unit shipments, partially offset by a 15% decrease in average selling price.
</t>
        </r>
        <r>
          <rPr>
            <b/>
            <sz val="8"/>
            <color indexed="81"/>
            <rFont val="Tahoma"/>
            <family val="2"/>
          </rPr>
          <t>DJF:</t>
        </r>
        <r>
          <rPr>
            <sz val="8"/>
            <color indexed="81"/>
            <rFont val="Tahoma"/>
            <family val="2"/>
          </rPr>
          <t xml:space="preserve">
(From Y/Y commentary section) in 10-Q:
The increase in the overall unit shipments was attributable to an increase in unit shipments of our </t>
        </r>
        <r>
          <rPr>
            <u/>
            <sz val="8"/>
            <color indexed="81"/>
            <rFont val="Tahoma"/>
            <family val="2"/>
          </rPr>
          <t>APU products for mobile devices</t>
        </r>
        <r>
          <rPr>
            <sz val="8"/>
            <color indexed="81"/>
            <rFont val="Tahoma"/>
            <family val="2"/>
          </rPr>
          <t xml:space="preserve"> as well as our </t>
        </r>
        <r>
          <rPr>
            <u/>
            <sz val="8"/>
            <color indexed="81"/>
            <rFont val="Tahoma"/>
            <family val="2"/>
          </rPr>
          <t>chipset products</t>
        </r>
        <r>
          <rPr>
            <sz val="8"/>
            <color indexed="81"/>
            <rFont val="Tahoma"/>
            <family val="2"/>
          </rPr>
          <t xml:space="preserve">. 
</t>
        </r>
        <r>
          <rPr>
            <b/>
            <sz val="8"/>
            <color indexed="81"/>
            <rFont val="Tahoma"/>
            <family val="2"/>
          </rPr>
          <t>Microprocessors:</t>
        </r>
        <r>
          <rPr>
            <sz val="8"/>
            <color indexed="81"/>
            <rFont val="Tahoma"/>
            <family val="2"/>
          </rPr>
          <t xml:space="preserve"> Unit shipments of our </t>
        </r>
        <r>
          <rPr>
            <u/>
            <sz val="8"/>
            <color indexed="81"/>
            <rFont val="Tahoma"/>
            <family val="2"/>
          </rPr>
          <t>microprocessors for mobile devices increased due to strong demand for our Brazos and Sabine APU platforms. However</t>
        </r>
        <r>
          <rPr>
            <sz val="8"/>
            <color indexed="81"/>
            <rFont val="Tahoma"/>
            <family val="2"/>
          </rPr>
          <t xml:space="preserve">, the increase in microprocessor unit shipments was </t>
        </r>
        <r>
          <rPr>
            <u/>
            <sz val="8"/>
            <color indexed="81"/>
            <rFont val="Tahoma"/>
            <family val="2"/>
          </rPr>
          <t>limited by supply constraints</t>
        </r>
        <r>
          <rPr>
            <sz val="8"/>
            <color indexed="81"/>
            <rFont val="Tahoma"/>
            <family val="2"/>
          </rPr>
          <t xml:space="preserve"> with respect to certain microprocessor products manufactured using the 32nm and 45nm technology nodes. 
</t>
        </r>
        <r>
          <rPr>
            <b/>
            <sz val="8"/>
            <color indexed="81"/>
            <rFont val="Tahoma"/>
            <family val="2"/>
          </rPr>
          <t>Chipsets:</t>
        </r>
        <r>
          <rPr>
            <sz val="8"/>
            <color indexed="81"/>
            <rFont val="Tahoma"/>
            <family val="2"/>
          </rPr>
          <t xml:space="preserve"> Chipset unit shipments increased primarily due to an increase in overall unit shipments of our microprocessor products.</t>
        </r>
      </text>
    </comment>
    <comment ref="AF30" authorId="1">
      <text>
        <r>
          <rPr>
            <b/>
            <sz val="8"/>
            <color indexed="81"/>
            <rFont val="Tahoma"/>
            <family val="2"/>
          </rPr>
          <t>DJF:</t>
        </r>
        <r>
          <rPr>
            <sz val="8"/>
            <color indexed="81"/>
            <rFont val="Tahoma"/>
            <family val="2"/>
          </rPr>
          <t xml:space="preserve">
Per 10-Q: The increase in unit shipments was primarily attributable to an increase in unit shipments of our APU products for mobile devices as well as our chipset pro</t>
        </r>
        <r>
          <rPr>
            <sz val="8"/>
            <color indexed="81"/>
            <rFont val="Tahoma"/>
            <family val="2"/>
          </rPr>
          <t xml:space="preserve">ducts, partially offset by a decrease in unit shipments of our desktop microprocessor products. </t>
        </r>
        <r>
          <rPr>
            <u/>
            <sz val="8"/>
            <color indexed="81"/>
            <rFont val="Tahoma"/>
            <family val="2"/>
          </rPr>
          <t>Unit shipments of our microprocessors for mobile devices increased due to strong demand for our Brazos and Llano-based APU platforms. Chipset unit shipments increased primarily due to an increase in overall unit shipments of our microprocessor products. Unit shipments of our desktop microprocessor products decreased primarily due to lower demand</t>
        </r>
        <r>
          <rPr>
            <sz val="8"/>
            <color indexed="81"/>
            <rFont val="Tahoma"/>
            <family val="2"/>
          </rPr>
          <t>.</t>
        </r>
      </text>
    </comment>
    <comment ref="AG30" authorId="1">
      <text>
        <r>
          <rPr>
            <b/>
            <sz val="8"/>
            <color indexed="81"/>
            <rFont val="Tahoma"/>
            <family val="2"/>
          </rPr>
          <t>DJF:</t>
        </r>
        <r>
          <rPr>
            <sz val="8"/>
            <color indexed="81"/>
            <rFont val="Tahoma"/>
            <family val="2"/>
          </rPr>
          <t xml:space="preserve">
Units down due to China &amp; Europe distributor weakness as well as OEM weakness.</t>
        </r>
      </text>
    </comment>
    <comment ref="X35" authorId="1">
      <text>
        <r>
          <rPr>
            <b/>
            <sz val="8"/>
            <color indexed="81"/>
            <rFont val="Tahoma"/>
            <family val="2"/>
          </rPr>
          <t>DJF:</t>
        </r>
        <r>
          <rPr>
            <sz val="8"/>
            <color indexed="81"/>
            <rFont val="Tahoma"/>
            <family val="2"/>
          </rPr>
          <t xml:space="preserve">
From Q/Q Commentary:
Average selling price increased due to an </t>
        </r>
        <r>
          <rPr>
            <u/>
            <sz val="8"/>
            <color indexed="81"/>
            <rFont val="Tahoma"/>
            <family val="2"/>
          </rPr>
          <t>increase in the average selling price of microprocessors, particularly for notebook PCs, due to a favorable shift</t>
        </r>
        <r>
          <rPr>
            <sz val="8"/>
            <color indexed="81"/>
            <rFont val="Tahoma"/>
            <family val="2"/>
          </rPr>
          <t xml:space="preserve"> in our product mix to higher end microprocessors. 
</t>
        </r>
      </text>
    </comment>
    <comment ref="Y35" authorId="1">
      <text>
        <r>
          <rPr>
            <b/>
            <sz val="8"/>
            <color indexed="81"/>
            <rFont val="Tahoma"/>
            <family val="2"/>
          </rPr>
          <t>DJF:</t>
        </r>
        <r>
          <rPr>
            <sz val="8"/>
            <color indexed="81"/>
            <rFont val="Tahoma"/>
            <family val="2"/>
          </rPr>
          <t xml:space="preserve">
Q/Q Commentary:
Average selling price decreased primarily due to a </t>
        </r>
        <r>
          <rPr>
            <u/>
            <sz val="8"/>
            <color indexed="81"/>
            <rFont val="Tahoma"/>
            <family val="2"/>
          </rPr>
          <t>decrease in average selling price of embedded processors</t>
        </r>
        <r>
          <rPr>
            <sz val="8"/>
            <color indexed="81"/>
            <rFont val="Tahoma"/>
            <family val="2"/>
          </rPr>
          <t xml:space="preserve"> as a result of a </t>
        </r>
        <r>
          <rPr>
            <u/>
            <sz val="8"/>
            <color indexed="81"/>
            <rFont val="Tahoma"/>
            <family val="2"/>
          </rPr>
          <t>shift in our product mix to lower end</t>
        </r>
        <r>
          <rPr>
            <sz val="8"/>
            <color indexed="81"/>
            <rFont val="Tahoma"/>
            <family val="2"/>
          </rPr>
          <t xml:space="preserve"> embedded processors.</t>
        </r>
      </text>
    </comment>
    <comment ref="Z35" authorId="1">
      <text>
        <r>
          <rPr>
            <b/>
            <sz val="8"/>
            <color indexed="81"/>
            <rFont val="Tahoma"/>
            <family val="2"/>
          </rPr>
          <t>DJF:</t>
        </r>
        <r>
          <rPr>
            <sz val="8"/>
            <color indexed="81"/>
            <rFont val="Tahoma"/>
            <family val="2"/>
          </rPr>
          <t xml:space="preserve">
Q/Q Commentary:
The increase in average selling price was primarily attributable to an </t>
        </r>
        <r>
          <rPr>
            <u/>
            <sz val="8"/>
            <color indexed="81"/>
            <rFont val="Tahoma"/>
            <family val="2"/>
          </rPr>
          <t>increase in the average selling price of our microprocessors for notebook PCs</t>
        </r>
        <r>
          <rPr>
            <sz val="8"/>
            <color indexed="81"/>
            <rFont val="Tahoma"/>
            <family val="2"/>
          </rPr>
          <t xml:space="preserve">, </t>
        </r>
        <r>
          <rPr>
            <u/>
            <sz val="8"/>
            <color indexed="81"/>
            <rFont val="Tahoma"/>
            <family val="2"/>
          </rPr>
          <t>partially offset by a decrease in average selling price for our microprocessors for desktop PCs</t>
        </r>
        <r>
          <rPr>
            <sz val="8"/>
            <color indexed="81"/>
            <rFont val="Tahoma"/>
            <family val="2"/>
          </rPr>
          <t>. Average selling price for our microprocessors for notebook PCs increased due to a favorable shift in our product mix to higher end products. Average selling price for our microprocessors for desktop PCs decreased due to an unfavorable shift in our product mix to lower end microprocessors.</t>
        </r>
      </text>
    </comment>
    <comment ref="AB35" authorId="0">
      <text>
        <r>
          <rPr>
            <b/>
            <sz val="8"/>
            <color indexed="81"/>
            <rFont val="Tahoma"/>
            <family val="2"/>
          </rPr>
          <t>visv:</t>
        </r>
        <r>
          <rPr>
            <sz val="8"/>
            <color indexed="81"/>
            <rFont val="Tahoma"/>
            <family val="2"/>
          </rPr>
          <t xml:space="preserve">
Computing Solutions net revenue of $1,200 million in the first quarter of 2011 decreased by 2% compared to $1,219 million in the fourth quarter of 2010 as a result of a 2% decrease in average selling price. 
The decrease in average selling price was primarily attributable to a decrease in average selling price of our </t>
        </r>
        <r>
          <rPr>
            <u/>
            <sz val="8"/>
            <color indexed="81"/>
            <rFont val="Tahoma"/>
            <family val="2"/>
          </rPr>
          <t>microprocessor products, primarily due to a shift in our product mix to low-end microprocessor products for servers and a higher mix of sales of our Brazos APU platform</t>
        </r>
        <r>
          <rPr>
            <sz val="8"/>
            <color indexed="81"/>
            <rFont val="Tahoma"/>
            <family val="2"/>
          </rPr>
          <t>, which have a lower average selling price.</t>
        </r>
      </text>
    </comment>
    <comment ref="AC35" authorId="1">
      <text>
        <r>
          <rPr>
            <b/>
            <sz val="8"/>
            <color indexed="81"/>
            <rFont val="Tahoma"/>
            <family val="2"/>
          </rPr>
          <t>DJF:</t>
        </r>
        <r>
          <rPr>
            <sz val="8"/>
            <color indexed="81"/>
            <rFont val="Tahoma"/>
            <family val="2"/>
          </rPr>
          <t xml:space="preserve">
Q/Q Commentary:
The decrease in the overall average selling price was primarily attributable to a decrease in average selling price of our </t>
        </r>
        <r>
          <rPr>
            <u/>
            <sz val="8"/>
            <color indexed="81"/>
            <rFont val="Tahoma"/>
            <family val="2"/>
          </rPr>
          <t>microprocessor products for servers and desktop PCs</t>
        </r>
        <r>
          <rPr>
            <sz val="8"/>
            <color indexed="81"/>
            <rFont val="Tahoma"/>
            <family val="2"/>
          </rPr>
          <t xml:space="preserve">. Average selling price for our microprocessors for servers and desktop PCs decreased </t>
        </r>
        <r>
          <rPr>
            <u/>
            <sz val="8"/>
            <color indexed="81"/>
            <rFont val="Tahoma"/>
            <family val="2"/>
          </rPr>
          <t>primarily due to a shift in our product mix</t>
        </r>
        <r>
          <rPr>
            <sz val="8"/>
            <color indexed="81"/>
            <rFont val="Tahoma"/>
            <family val="2"/>
          </rPr>
          <t xml:space="preserve">. 
</t>
        </r>
      </text>
    </comment>
    <comment ref="AD35" authorId="1">
      <text>
        <r>
          <rPr>
            <b/>
            <sz val="8"/>
            <color indexed="81"/>
            <rFont val="Tahoma"/>
            <family val="2"/>
          </rPr>
          <t>DJF:</t>
        </r>
        <r>
          <rPr>
            <sz val="8"/>
            <color indexed="81"/>
            <rFont val="Tahoma"/>
            <family val="2"/>
          </rPr>
          <t xml:space="preserve">
From Q/Q Commentary in 10-Q:
The increase in the overall average selling price was primarily attributable to an increase in average selling price of our microprocessor products for </t>
        </r>
        <r>
          <rPr>
            <u/>
            <sz val="8"/>
            <color indexed="81"/>
            <rFont val="Tahoma"/>
            <family val="2"/>
          </rPr>
          <t>servers</t>
        </r>
        <r>
          <rPr>
            <sz val="8"/>
            <color indexed="81"/>
            <rFont val="Tahoma"/>
            <family val="2"/>
          </rPr>
          <t xml:space="preserve"> and </t>
        </r>
        <r>
          <rPr>
            <u/>
            <sz val="8"/>
            <color indexed="81"/>
            <rFont val="Tahoma"/>
            <family val="2"/>
          </rPr>
          <t>desktop PCs</t>
        </r>
        <r>
          <rPr>
            <sz val="8"/>
            <color indexed="81"/>
            <rFont val="Tahoma"/>
            <family val="2"/>
          </rPr>
          <t xml:space="preserve">. Average selling price of our </t>
        </r>
        <r>
          <rPr>
            <u/>
            <sz val="8"/>
            <color indexed="81"/>
            <rFont val="Tahoma"/>
            <family val="2"/>
          </rPr>
          <t>microprocessors for servers increased due to product mix and shipments of our newly launched AMD OpteronTM 6200 Series server processors</t>
        </r>
        <r>
          <rPr>
            <sz val="8"/>
            <color indexed="81"/>
            <rFont val="Tahoma"/>
            <family val="2"/>
          </rPr>
          <t xml:space="preserve">, which commenced towards the end of the third quarter of 2011. Average selling price of our microprocessors for </t>
        </r>
        <r>
          <rPr>
            <u/>
            <sz val="8"/>
            <color indexed="81"/>
            <rFont val="Tahoma"/>
            <family val="2"/>
          </rPr>
          <t>desktop PCs increased due to product mix</t>
        </r>
        <r>
          <rPr>
            <sz val="8"/>
            <color indexed="81"/>
            <rFont val="Tahoma"/>
            <family val="2"/>
          </rPr>
          <t>.</t>
        </r>
      </text>
    </comment>
    <comment ref="AG35" authorId="1">
      <text>
        <r>
          <rPr>
            <b/>
            <sz val="10"/>
            <color indexed="81"/>
            <rFont val="Tahoma"/>
            <family val="2"/>
          </rPr>
          <t>DJF:</t>
        </r>
        <r>
          <rPr>
            <sz val="10"/>
            <color indexed="81"/>
            <rFont val="Tahoma"/>
            <family val="2"/>
          </rPr>
          <t xml:space="preserve">
Down due to a mix shift to lower end products.</t>
        </r>
      </text>
    </comment>
    <comment ref="AH35" authorId="1">
      <text>
        <r>
          <rPr>
            <b/>
            <sz val="8"/>
            <color indexed="81"/>
            <rFont val="Tahoma"/>
            <family val="2"/>
          </rPr>
          <t xml:space="preserve">DJF 1/21/13:
</t>
        </r>
        <r>
          <rPr>
            <sz val="8"/>
            <color indexed="81"/>
            <rFont val="Tahoma"/>
            <family val="2"/>
          </rPr>
          <t>Lower ASPs for microprocessors.  Servers particularly weak.</t>
        </r>
        <r>
          <rPr>
            <b/>
            <sz val="8"/>
            <color indexed="81"/>
            <rFont val="Tahoma"/>
            <family val="2"/>
          </rPr>
          <t xml:space="preserve">
DJF:</t>
        </r>
        <r>
          <rPr>
            <sz val="8"/>
            <color indexed="81"/>
            <rFont val="Tahoma"/>
            <family val="2"/>
          </rPr>
          <t xml:space="preserve">
lower than anticipated ASPs, per press release</t>
        </r>
      </text>
    </comment>
    <comment ref="X36" authorId="1">
      <text>
        <r>
          <rPr>
            <b/>
            <sz val="8"/>
            <color indexed="81"/>
            <rFont val="Tahoma"/>
            <family val="2"/>
          </rPr>
          <t>DJF:</t>
        </r>
        <r>
          <rPr>
            <sz val="8"/>
            <color indexed="81"/>
            <rFont val="Tahoma"/>
            <family val="2"/>
          </rPr>
          <t xml:space="preserve">
Y/Y Commentary:
Average selling price decreased primarily due to a decrease in the average selling price of </t>
        </r>
        <r>
          <rPr>
            <u/>
            <sz val="8"/>
            <color indexed="81"/>
            <rFont val="Tahoma"/>
            <family val="2"/>
          </rPr>
          <t>microprocessors because of competitive pricing pressure</t>
        </r>
        <r>
          <rPr>
            <sz val="8"/>
            <color indexed="81"/>
            <rFont val="Tahoma"/>
            <family val="2"/>
          </rPr>
          <t>.</t>
        </r>
      </text>
    </comment>
    <comment ref="Y36" authorId="1">
      <text>
        <r>
          <rPr>
            <b/>
            <sz val="8"/>
            <color indexed="81"/>
            <rFont val="Tahoma"/>
            <family val="2"/>
          </rPr>
          <t>DJF:</t>
        </r>
        <r>
          <rPr>
            <sz val="8"/>
            <color indexed="81"/>
            <rFont val="Tahoma"/>
            <family val="2"/>
          </rPr>
          <t xml:space="preserve">
Y/Y Commentary:
Average selling price was </t>
        </r>
        <r>
          <rPr>
            <u/>
            <sz val="8"/>
            <color indexed="81"/>
            <rFont val="Tahoma"/>
            <family val="2"/>
          </rPr>
          <t>relatively flat</t>
        </r>
        <r>
          <rPr>
            <sz val="8"/>
            <color indexed="81"/>
            <rFont val="Tahoma"/>
            <family val="2"/>
          </rPr>
          <t xml:space="preserve"> in the second quarter of 2010 as compared to the second quarter of 2009. </t>
        </r>
        <r>
          <rPr>
            <u/>
            <sz val="8"/>
            <color indexed="81"/>
            <rFont val="Tahoma"/>
            <family val="2"/>
          </rPr>
          <t>Increased microprocessor average selling price was offset by lower average selling price of embedded processors</t>
        </r>
        <r>
          <rPr>
            <sz val="8"/>
            <color indexed="81"/>
            <rFont val="Tahoma"/>
            <family val="2"/>
          </rPr>
          <t xml:space="preserve">. Average selling price of our microprocessors increased primarily due to a </t>
        </r>
        <r>
          <rPr>
            <u/>
            <sz val="8"/>
            <color indexed="81"/>
            <rFont val="Tahoma"/>
            <family val="2"/>
          </rPr>
          <t>favorable shift in our product mix to higher end microprocessors, especially for servers</t>
        </r>
        <r>
          <rPr>
            <sz val="8"/>
            <color indexed="81"/>
            <rFont val="Tahoma"/>
            <family val="2"/>
          </rPr>
          <t xml:space="preserve">, as customers transitioned to our new </t>
        </r>
        <r>
          <rPr>
            <u/>
            <sz val="8"/>
            <color indexed="81"/>
            <rFont val="Tahoma"/>
            <family val="2"/>
          </rPr>
          <t>AMD Opteron™ 6000</t>
        </r>
        <r>
          <rPr>
            <sz val="8"/>
            <color indexed="81"/>
            <rFont val="Tahoma"/>
            <family val="2"/>
          </rPr>
          <t xml:space="preserve"> </t>
        </r>
        <r>
          <rPr>
            <sz val="8"/>
            <color indexed="81"/>
            <rFont val="Tahoma"/>
            <family val="2"/>
          </rPr>
          <t xml:space="preserve">series server platforms. Average selling price of embedded processors decreased primarily due to a shift in our </t>
        </r>
        <r>
          <rPr>
            <u/>
            <sz val="8"/>
            <color indexed="81"/>
            <rFont val="Tahoma"/>
            <family val="2"/>
          </rPr>
          <t>product mix to lower end embedded processors</t>
        </r>
        <r>
          <rPr>
            <sz val="8"/>
            <color indexed="81"/>
            <rFont val="Tahoma"/>
            <family val="2"/>
          </rPr>
          <t>.</t>
        </r>
      </text>
    </comment>
    <comment ref="Z36" authorId="1">
      <text>
        <r>
          <rPr>
            <b/>
            <sz val="8"/>
            <color indexed="81"/>
            <rFont val="Tahoma"/>
            <family val="2"/>
          </rPr>
          <t>DJF:</t>
        </r>
        <r>
          <rPr>
            <sz val="8"/>
            <color indexed="81"/>
            <rFont val="Tahoma"/>
            <family val="2"/>
          </rPr>
          <t xml:space="preserve">
From Y/Y Commentary:
Average selling price increased primarily due to an increase in the average selling price for our </t>
        </r>
        <r>
          <rPr>
            <u/>
            <sz val="8"/>
            <color indexed="81"/>
            <rFont val="Tahoma"/>
            <family val="2"/>
          </rPr>
          <t>microprocessor products</t>
        </r>
        <r>
          <rPr>
            <sz val="8"/>
            <color indexed="81"/>
            <rFont val="Tahoma"/>
            <family val="2"/>
          </rPr>
          <t xml:space="preserve">. Average selling price of our microprocessors increased primarily due to a </t>
        </r>
        <r>
          <rPr>
            <u/>
            <sz val="8"/>
            <color indexed="81"/>
            <rFont val="Tahoma"/>
            <family val="2"/>
          </rPr>
          <t>favorable shift in our product mix to higher end microprocessors, especially for servers</t>
        </r>
        <r>
          <rPr>
            <sz val="8"/>
            <color indexed="81"/>
            <rFont val="Tahoma"/>
            <family val="2"/>
          </rPr>
          <t xml:space="preserve">, as customers continued to transition to our </t>
        </r>
        <r>
          <rPr>
            <u/>
            <sz val="8"/>
            <color indexed="81"/>
            <rFont val="Tahoma"/>
            <family val="2"/>
          </rPr>
          <t>AMD Opteron™ 6000</t>
        </r>
        <r>
          <rPr>
            <sz val="8"/>
            <color indexed="81"/>
            <rFont val="Tahoma"/>
            <family val="2"/>
          </rPr>
          <t xml:space="preserve"> series server platforms.</t>
        </r>
      </text>
    </comment>
    <comment ref="AB36" authorId="1">
      <text>
        <r>
          <rPr>
            <b/>
            <sz val="8"/>
            <color indexed="81"/>
            <rFont val="Tahoma"/>
            <family val="2"/>
          </rPr>
          <t>DJF:</t>
        </r>
        <r>
          <rPr>
            <sz val="8"/>
            <color indexed="81"/>
            <rFont val="Tahoma"/>
            <family val="2"/>
          </rPr>
          <t xml:space="preserve">
Y/Y Commentary:
Average selling price of microprocessor products decreased primarily due to a </t>
        </r>
        <r>
          <rPr>
            <u/>
            <sz val="8"/>
            <color indexed="81"/>
            <rFont val="Tahoma"/>
            <family val="2"/>
          </rPr>
          <t>shift in our product mix to low-end microprocessor products for servers</t>
        </r>
        <r>
          <rPr>
            <sz val="8"/>
            <color indexed="81"/>
            <rFont val="Tahoma"/>
            <family val="2"/>
          </rPr>
          <t xml:space="preserve"> and a </t>
        </r>
        <r>
          <rPr>
            <u/>
            <sz val="8"/>
            <color indexed="81"/>
            <rFont val="Tahoma"/>
            <family val="2"/>
          </rPr>
          <t>higher mix of sales of our Brazos APU platforms</t>
        </r>
        <r>
          <rPr>
            <sz val="8"/>
            <color indexed="81"/>
            <rFont val="Tahoma"/>
            <family val="2"/>
          </rPr>
          <t xml:space="preserve">, which have a lower average selling price. 
</t>
        </r>
      </text>
    </comment>
    <comment ref="AC36" authorId="1">
      <text>
        <r>
          <rPr>
            <b/>
            <sz val="8"/>
            <color indexed="81"/>
            <rFont val="Tahoma"/>
            <family val="2"/>
          </rPr>
          <t>DJF:</t>
        </r>
        <r>
          <rPr>
            <sz val="8"/>
            <color indexed="81"/>
            <rFont val="Tahoma"/>
            <family val="2"/>
          </rPr>
          <t xml:space="preserve">
Y/Y Commentary:
The decrease in overall average selling price was primarily attributable to a </t>
        </r>
        <r>
          <rPr>
            <u/>
            <sz val="8"/>
            <color indexed="81"/>
            <rFont val="Tahoma"/>
            <family val="2"/>
          </rPr>
          <t>decrease in average selling price for our microprocessor products</t>
        </r>
        <r>
          <rPr>
            <sz val="8"/>
            <color indexed="81"/>
            <rFont val="Tahoma"/>
            <family val="2"/>
          </rPr>
          <t xml:space="preserve">. Average selling price of microprocessor products decreased primarily due to a </t>
        </r>
        <r>
          <rPr>
            <u/>
            <sz val="8"/>
            <color indexed="81"/>
            <rFont val="Tahoma"/>
            <family val="2"/>
          </rPr>
          <t>shift in our product mix to low-end microprocessor products for servers</t>
        </r>
        <r>
          <rPr>
            <sz val="8"/>
            <color indexed="81"/>
            <rFont val="Tahoma"/>
            <family val="2"/>
          </rPr>
          <t xml:space="preserve"> and a </t>
        </r>
        <r>
          <rPr>
            <u/>
            <sz val="8"/>
            <color indexed="81"/>
            <rFont val="Tahoma"/>
            <family val="2"/>
          </rPr>
          <t>higher mix of sales of our Brazos APU platforms</t>
        </r>
        <r>
          <rPr>
            <sz val="8"/>
            <color indexed="81"/>
            <rFont val="Tahoma"/>
            <family val="2"/>
          </rPr>
          <t xml:space="preserve">, which have a lower average selling price. 
</t>
        </r>
      </text>
    </comment>
    <comment ref="AD36" authorId="1">
      <text>
        <r>
          <rPr>
            <b/>
            <sz val="8"/>
            <color indexed="81"/>
            <rFont val="Tahoma"/>
            <family val="2"/>
          </rPr>
          <t>DJF:</t>
        </r>
        <r>
          <rPr>
            <sz val="8"/>
            <color indexed="81"/>
            <rFont val="Tahoma"/>
            <family val="2"/>
          </rPr>
          <t xml:space="preserve">
Q/Q Commentary from 10-Q:
The decrease in overall average selling price was primarily attributable to a </t>
        </r>
        <r>
          <rPr>
            <u/>
            <sz val="8"/>
            <color indexed="81"/>
            <rFont val="Tahoma"/>
            <family val="2"/>
          </rPr>
          <t>shift in our product mix to lower end microprocessor products for servers</t>
        </r>
        <r>
          <rPr>
            <sz val="8"/>
            <color indexed="81"/>
            <rFont val="Tahoma"/>
            <family val="2"/>
          </rPr>
          <t xml:space="preserve"> and a </t>
        </r>
        <r>
          <rPr>
            <u/>
            <sz val="8"/>
            <color indexed="81"/>
            <rFont val="Tahoma"/>
            <family val="2"/>
          </rPr>
          <t>higher mix of sales of our lower priced Brazos APU platforms</t>
        </r>
        <r>
          <rPr>
            <sz val="8"/>
            <color indexed="81"/>
            <rFont val="Tahoma"/>
            <family val="2"/>
          </rPr>
          <t xml:space="preserve">. In addition, the overall average selling price decreased due to </t>
        </r>
        <r>
          <rPr>
            <u/>
            <sz val="8"/>
            <color indexed="81"/>
            <rFont val="Tahoma"/>
            <family val="2"/>
          </rPr>
          <t>competitive market conditions</t>
        </r>
        <r>
          <rPr>
            <sz val="8"/>
            <color indexed="81"/>
            <rFont val="Tahoma"/>
            <family val="2"/>
          </rPr>
          <t>.</t>
        </r>
      </text>
    </comment>
    <comment ref="AF36" authorId="1">
      <text>
        <r>
          <rPr>
            <b/>
            <sz val="8"/>
            <color indexed="81"/>
            <rFont val="Tahoma"/>
            <family val="2"/>
          </rPr>
          <t>DJF:</t>
        </r>
        <r>
          <rPr>
            <sz val="8"/>
            <color indexed="81"/>
            <rFont val="Tahoma"/>
            <family val="2"/>
          </rPr>
          <t xml:space="preserve">
primarily attributable to a decrease in average selling price of chipset products due to a shift in our product mix to lower end microprocessor products.</t>
        </r>
      </text>
    </comment>
    <comment ref="AH36" authorId="1">
      <text>
        <r>
          <rPr>
            <b/>
            <sz val="8"/>
            <color indexed="81"/>
            <rFont val="Tahoma"/>
            <family val="2"/>
          </rPr>
          <t>DJF:</t>
        </r>
        <r>
          <rPr>
            <sz val="8"/>
            <color indexed="81"/>
            <rFont val="Tahoma"/>
            <family val="2"/>
          </rPr>
          <t xml:space="preserve">
Lowered pricing on microprocessors (not a mix shift)</t>
        </r>
      </text>
    </comment>
    <comment ref="BR36" authorId="1">
      <text>
        <r>
          <rPr>
            <b/>
            <sz val="8"/>
            <color indexed="81"/>
            <rFont val="Tahoma"/>
            <family val="2"/>
          </rPr>
          <t>DJF:</t>
        </r>
        <r>
          <rPr>
            <sz val="8"/>
            <color indexed="81"/>
            <rFont val="Tahoma"/>
            <family val="2"/>
          </rPr>
          <t xml:space="preserve">
Per AMD 10-K:
Average selling price decreased due to a decrease in average selling price of </t>
        </r>
        <r>
          <rPr>
            <u/>
            <sz val="8"/>
            <color indexed="81"/>
            <rFont val="Tahoma"/>
            <family val="2"/>
          </rPr>
          <t>embedded processors</t>
        </r>
        <r>
          <rPr>
            <sz val="8"/>
            <color indexed="81"/>
            <rFont val="Tahoma"/>
            <family val="2"/>
          </rPr>
          <t xml:space="preserve">, partially offset by an increase in average selling price of our chipsets and microprocessor products. 
</t>
        </r>
        <r>
          <rPr>
            <b/>
            <sz val="8"/>
            <color indexed="81"/>
            <rFont val="Tahoma"/>
            <family val="2"/>
          </rPr>
          <t>Embedded:</t>
        </r>
        <r>
          <rPr>
            <sz val="8"/>
            <color indexed="81"/>
            <rFont val="Tahoma"/>
            <family val="2"/>
          </rPr>
          <t xml:space="preserve"> Average selling price of embedded processors decreased due to a shift in our product mix to lower-end, legacy products. 
</t>
        </r>
        <r>
          <rPr>
            <b/>
            <sz val="8"/>
            <color indexed="81"/>
            <rFont val="Tahoma"/>
            <family val="2"/>
          </rPr>
          <t>Microprocessors:</t>
        </r>
        <r>
          <rPr>
            <sz val="8"/>
            <color indexed="81"/>
            <rFont val="Tahoma"/>
            <family val="2"/>
          </rPr>
          <t xml:space="preserve"> Average selling price of microprocessor products increased due to a favorable shift in our product mix to higher end microprocessors, </t>
        </r>
        <r>
          <rPr>
            <u/>
            <sz val="8"/>
            <color indexed="81"/>
            <rFont val="Tahoma"/>
            <family val="2"/>
          </rPr>
          <t>especially for servers</t>
        </r>
        <r>
          <rPr>
            <sz val="8"/>
            <color indexed="81"/>
            <rFont val="Tahoma"/>
            <family val="2"/>
          </rPr>
          <t xml:space="preserve">, as customers continued to transition to our </t>
        </r>
        <r>
          <rPr>
            <u/>
            <sz val="8"/>
            <color indexed="81"/>
            <rFont val="Tahoma"/>
            <family val="2"/>
          </rPr>
          <t>AMD Opteron™ 6000</t>
        </r>
        <r>
          <rPr>
            <sz val="8"/>
            <color indexed="81"/>
            <rFont val="Tahoma"/>
            <family val="2"/>
          </rPr>
          <t xml:space="preserve"> series server platforms. 
</t>
        </r>
        <r>
          <rPr>
            <b/>
            <sz val="8"/>
            <color indexed="81"/>
            <rFont val="Tahoma"/>
            <family val="2"/>
          </rPr>
          <t>Chipsets:</t>
        </r>
        <r>
          <rPr>
            <sz val="8"/>
            <color indexed="81"/>
            <rFont val="Tahoma"/>
            <family val="2"/>
          </rPr>
          <t xml:space="preserve"> Average selling price of our chipset products increased primarily due to a </t>
        </r>
        <r>
          <rPr>
            <u/>
            <sz val="8"/>
            <color indexed="81"/>
            <rFont val="Tahoma"/>
            <family val="2"/>
          </rPr>
          <t>shift in product mix</t>
        </r>
        <r>
          <rPr>
            <sz val="8"/>
            <color indexed="81"/>
            <rFont val="Tahoma"/>
            <family val="2"/>
          </rPr>
          <t>.</t>
        </r>
      </text>
    </comment>
    <comment ref="BS36" authorId="1">
      <text>
        <r>
          <rPr>
            <b/>
            <sz val="8"/>
            <color indexed="81"/>
            <rFont val="Tahoma"/>
            <family val="2"/>
          </rPr>
          <t>DJF:</t>
        </r>
        <r>
          <rPr>
            <sz val="8"/>
            <color indexed="81"/>
            <rFont val="Tahoma"/>
            <family val="2"/>
          </rPr>
          <t xml:space="preserve">
Per AMD 10-K:
The decrease in overall average selling price was primarily attributable to a </t>
        </r>
        <r>
          <rPr>
            <u/>
            <sz val="8"/>
            <color indexed="81"/>
            <rFont val="Tahoma"/>
            <family val="2"/>
          </rPr>
          <t>decrease in the average selling price of our microprocessors for servers due to a shift in our product mix</t>
        </r>
        <r>
          <rPr>
            <sz val="8"/>
            <color indexed="81"/>
            <rFont val="Tahoma"/>
            <family val="2"/>
          </rPr>
          <t xml:space="preserve"> and competitive market conditions as well as sales of our Brazos APU platforms, which have a lower average selling price than our other processor products.</t>
        </r>
      </text>
    </comment>
    <comment ref="AI43" authorId="3">
      <text>
        <r>
          <rPr>
            <b/>
            <sz val="8"/>
            <color indexed="81"/>
            <rFont val="Tahoma"/>
            <family val="2"/>
          </rPr>
          <t>DJF 1/21/13:</t>
        </r>
        <r>
          <rPr>
            <sz val="8"/>
            <color indexed="81"/>
            <rFont val="Tahoma"/>
            <family val="2"/>
          </rPr>
          <t xml:space="preserve">
Flat</t>
        </r>
      </text>
    </comment>
    <comment ref="AI44" authorId="3">
      <text>
        <r>
          <rPr>
            <b/>
            <sz val="8"/>
            <color indexed="81"/>
            <rFont val="Tahoma"/>
            <family val="2"/>
          </rPr>
          <t>DJF 1/21/13:</t>
        </r>
        <r>
          <rPr>
            <sz val="8"/>
            <color indexed="81"/>
            <rFont val="Tahoma"/>
            <family val="2"/>
          </rPr>
          <t xml:space="preserve">
13% decline</t>
        </r>
      </text>
    </comment>
    <comment ref="AM48" authorId="4">
      <text>
        <r>
          <rPr>
            <b/>
            <sz val="8"/>
            <color indexed="81"/>
            <rFont val="Tahoma"/>
            <family val="2"/>
          </rPr>
          <t>alicit:</t>
        </r>
        <r>
          <rPr>
            <sz val="8"/>
            <color indexed="81"/>
            <rFont val="Tahoma"/>
            <family val="2"/>
          </rPr>
          <t xml:space="preserve">
reported up y/y</t>
        </r>
      </text>
    </comment>
    <comment ref="AT48" authorId="5">
      <text>
        <r>
          <rPr>
            <b/>
            <sz val="9"/>
            <color indexed="81"/>
            <rFont val="Tahoma"/>
            <family val="2"/>
          </rPr>
          <t>Lim, Alvin (Research):</t>
        </r>
        <r>
          <rPr>
            <sz val="9"/>
            <color indexed="81"/>
            <rFont val="Tahoma"/>
            <family val="2"/>
          </rPr>
          <t xml:space="preserve">
down y/y</t>
        </r>
      </text>
    </comment>
    <comment ref="AW48" authorId="5">
      <text>
        <r>
          <rPr>
            <b/>
            <sz val="9"/>
            <color indexed="81"/>
            <rFont val="Tahoma"/>
            <family val="2"/>
          </rPr>
          <t>Lim, Alvin (Research):</t>
        </r>
        <r>
          <rPr>
            <sz val="9"/>
            <color indexed="81"/>
            <rFont val="Tahoma"/>
            <family val="2"/>
          </rPr>
          <t xml:space="preserve">
down y/y</t>
        </r>
      </text>
    </comment>
    <comment ref="AX48" authorId="5">
      <text>
        <r>
          <rPr>
            <b/>
            <sz val="9"/>
            <color indexed="81"/>
            <rFont val="Tahoma"/>
            <family val="2"/>
          </rPr>
          <t>Lim, Alvin (Research):</t>
        </r>
        <r>
          <rPr>
            <sz val="9"/>
            <color indexed="81"/>
            <rFont val="Tahoma"/>
            <family val="2"/>
          </rPr>
          <t xml:space="preserve">
down y/y</t>
        </r>
      </text>
    </comment>
    <comment ref="AK52" authorId="1">
      <text>
        <r>
          <rPr>
            <b/>
            <sz val="8"/>
            <color indexed="81"/>
            <rFont val="Tahoma"/>
            <family val="2"/>
          </rPr>
          <t>DJF:</t>
        </r>
        <r>
          <rPr>
            <sz val="8"/>
            <color indexed="81"/>
            <rFont val="Tahoma"/>
            <family val="2"/>
          </rPr>
          <t xml:space="preserve">
Units up significantly q/q</t>
        </r>
      </text>
    </comment>
    <comment ref="AK53" authorId="1">
      <text>
        <r>
          <rPr>
            <b/>
            <sz val="8"/>
            <color indexed="81"/>
            <rFont val="Tahoma"/>
            <family val="2"/>
          </rPr>
          <t>DJF:</t>
        </r>
        <r>
          <rPr>
            <sz val="8"/>
            <color indexed="81"/>
            <rFont val="Tahoma"/>
            <family val="2"/>
          </rPr>
          <t xml:space="preserve">
ASPs down due to product mix</t>
        </r>
      </text>
    </comment>
    <comment ref="AM53" authorId="4">
      <text>
        <r>
          <rPr>
            <b/>
            <sz val="8"/>
            <color indexed="81"/>
            <rFont val="Tahoma"/>
            <family val="2"/>
          </rPr>
          <t>alicit:</t>
        </r>
        <r>
          <rPr>
            <sz val="8"/>
            <color indexed="81"/>
            <rFont val="Tahoma"/>
            <family val="2"/>
          </rPr>
          <t xml:space="preserve">
reported up q/q</t>
        </r>
      </text>
    </comment>
    <comment ref="AR53" authorId="5">
      <text>
        <r>
          <rPr>
            <b/>
            <sz val="9"/>
            <color indexed="81"/>
            <rFont val="Tahoma"/>
            <family val="2"/>
          </rPr>
          <t>Lim, Alvin (Research):</t>
        </r>
        <r>
          <rPr>
            <sz val="9"/>
            <color indexed="81"/>
            <rFont val="Tahoma"/>
            <family val="2"/>
          </rPr>
          <t xml:space="preserve">
CPU ASP decreased</t>
        </r>
      </text>
    </comment>
    <comment ref="AT53" authorId="5">
      <text>
        <r>
          <rPr>
            <b/>
            <sz val="9"/>
            <color indexed="81"/>
            <rFont val="Tahoma"/>
            <family val="2"/>
          </rPr>
          <t>Lim, Alvin (Research):</t>
        </r>
        <r>
          <rPr>
            <sz val="9"/>
            <color indexed="81"/>
            <rFont val="Tahoma"/>
            <family val="2"/>
          </rPr>
          <t xml:space="preserve">
down q/q</t>
        </r>
      </text>
    </comment>
    <comment ref="AU53" authorId="5">
      <text>
        <r>
          <rPr>
            <b/>
            <sz val="9"/>
            <color indexed="81"/>
            <rFont val="Tahoma"/>
            <family val="2"/>
          </rPr>
          <t>Lim, Alvin (Research):</t>
        </r>
        <r>
          <rPr>
            <sz val="9"/>
            <color indexed="81"/>
            <rFont val="Tahoma"/>
            <family val="2"/>
          </rPr>
          <t xml:space="preserve">
up q/q</t>
        </r>
      </text>
    </comment>
    <comment ref="AW53" authorId="5">
      <text>
        <r>
          <rPr>
            <b/>
            <sz val="9"/>
            <color indexed="81"/>
            <rFont val="Tahoma"/>
            <family val="2"/>
          </rPr>
          <t>Lim, Alvin (Research):</t>
        </r>
        <r>
          <rPr>
            <sz val="9"/>
            <color indexed="81"/>
            <rFont val="Tahoma"/>
            <family val="2"/>
          </rPr>
          <t xml:space="preserve">
up q/q</t>
        </r>
      </text>
    </comment>
    <comment ref="AX53" authorId="5">
      <text>
        <r>
          <rPr>
            <b/>
            <sz val="9"/>
            <color indexed="81"/>
            <rFont val="Tahoma"/>
            <family val="2"/>
          </rPr>
          <t>Lim, Alvin (Research):</t>
        </r>
        <r>
          <rPr>
            <sz val="9"/>
            <color indexed="81"/>
            <rFont val="Tahoma"/>
            <family val="2"/>
          </rPr>
          <t xml:space="preserve">
down q/q</t>
        </r>
      </text>
    </comment>
    <comment ref="T57" authorId="5">
      <text>
        <r>
          <rPr>
            <b/>
            <sz val="9"/>
            <color indexed="81"/>
            <rFont val="Tahoma"/>
            <family val="2"/>
          </rPr>
          <t>Lim, Alvin (Research):</t>
        </r>
        <r>
          <rPr>
            <sz val="9"/>
            <color indexed="81"/>
            <rFont val="Tahoma"/>
            <family val="2"/>
          </rPr>
          <t xml:space="preserve">
SEMI CAP\Company\INTC\[MS MPU Model.xls]AMD Units and Revs'!C$7</t>
        </r>
      </text>
    </comment>
    <comment ref="AK57" authorId="1">
      <text>
        <r>
          <rPr>
            <b/>
            <sz val="8"/>
            <color indexed="81"/>
            <rFont val="Tahoma"/>
            <family val="2"/>
          </rPr>
          <t>DJF:</t>
        </r>
        <r>
          <rPr>
            <sz val="8"/>
            <color indexed="81"/>
            <rFont val="Tahoma"/>
            <family val="2"/>
          </rPr>
          <t xml:space="preserve">
Per CC, desktops up, but not anywhere near notebooks</t>
        </r>
      </text>
    </comment>
    <comment ref="AE58" authorId="6">
      <text>
        <r>
          <rPr>
            <b/>
            <sz val="8"/>
            <color indexed="81"/>
            <rFont val="Tahoma"/>
            <family val="2"/>
          </rPr>
          <t>moorejos:</t>
        </r>
        <r>
          <rPr>
            <sz val="8"/>
            <color indexed="81"/>
            <rFont val="Tahoma"/>
            <family val="2"/>
          </rPr>
          <t xml:space="preserve">
from call "mobile units declined due to seasonality"</t>
        </r>
      </text>
    </comment>
    <comment ref="AN58" authorId="7">
      <text>
        <r>
          <rPr>
            <b/>
            <sz val="9"/>
            <color indexed="81"/>
            <rFont val="Tahoma"/>
            <family val="2"/>
          </rPr>
          <t>Tam, Alicia (Research):</t>
        </r>
        <r>
          <rPr>
            <sz val="9"/>
            <color indexed="81"/>
            <rFont val="Tahoma"/>
            <family val="2"/>
          </rPr>
          <t xml:space="preserve">
CFO commentary "lower desktop MPU sales" + "ASP was flat sequentially"</t>
        </r>
      </text>
    </comment>
    <comment ref="AV58" authorId="5">
      <text>
        <r>
          <rPr>
            <b/>
            <sz val="9"/>
            <color indexed="81"/>
            <rFont val="Tahoma"/>
            <family val="2"/>
          </rPr>
          <t>Lim, Alvin (Research):</t>
        </r>
        <r>
          <rPr>
            <sz val="9"/>
            <color indexed="81"/>
            <rFont val="Tahoma"/>
            <family val="2"/>
          </rPr>
          <t xml:space="preserve">
down q/q</t>
        </r>
      </text>
    </comment>
    <comment ref="AW58" authorId="5">
      <text>
        <r>
          <rPr>
            <b/>
            <sz val="9"/>
            <color indexed="81"/>
            <rFont val="Tahoma"/>
            <family val="2"/>
          </rPr>
          <t>Lim, Alvin (Research):</t>
        </r>
        <r>
          <rPr>
            <sz val="9"/>
            <color indexed="81"/>
            <rFont val="Tahoma"/>
            <family val="2"/>
          </rPr>
          <t xml:space="preserve">
down q/q</t>
        </r>
      </text>
    </comment>
    <comment ref="AF59" authorId="0">
      <text>
        <r>
          <rPr>
            <b/>
            <sz val="8"/>
            <color indexed="81"/>
            <rFont val="Tahoma"/>
            <family val="2"/>
          </rPr>
          <t>visv:</t>
        </r>
        <r>
          <rPr>
            <sz val="8"/>
            <color indexed="81"/>
            <rFont val="Tahoma"/>
            <family val="2"/>
          </rPr>
          <t xml:space="preserve">
04/19/12 - Client product revenue declined sequentially due to </t>
        </r>
        <r>
          <rPr>
            <b/>
            <sz val="8"/>
            <color indexed="81"/>
            <rFont val="Tahoma"/>
            <family val="2"/>
          </rPr>
          <t xml:space="preserve">lower units and ASP, </t>
        </r>
        <r>
          <rPr>
            <sz val="8"/>
            <color indexed="81"/>
            <rFont val="Tahoma"/>
            <family val="2"/>
          </rPr>
          <t>primarily driven by lower 45 nm desktop processor unit shipments.</t>
        </r>
      </text>
    </comment>
    <comment ref="AI59" authorId="8">
      <text>
        <r>
          <rPr>
            <b/>
            <sz val="8"/>
            <color indexed="81"/>
            <rFont val="Tahoma"/>
            <family val="2"/>
          </rPr>
          <t>DJF 1/22/13:</t>
        </r>
        <r>
          <rPr>
            <sz val="8"/>
            <color indexed="81"/>
            <rFont val="Tahoma"/>
            <family val="2"/>
          </rPr>
          <t xml:space="preserve">
ASP improvement after difficult 3Q (price discounting).</t>
        </r>
      </text>
    </comment>
    <comment ref="AU60" authorId="5">
      <text>
        <r>
          <rPr>
            <b/>
            <sz val="9"/>
            <color indexed="81"/>
            <rFont val="Tahoma"/>
            <family val="2"/>
          </rPr>
          <t>Lim, Alvin (Research):</t>
        </r>
        <r>
          <rPr>
            <sz val="9"/>
            <color indexed="81"/>
            <rFont val="Tahoma"/>
            <family val="2"/>
          </rPr>
          <t xml:space="preserve">
A: up q/q</t>
        </r>
      </text>
    </comment>
    <comment ref="AW60" authorId="5">
      <text>
        <r>
          <rPr>
            <b/>
            <sz val="9"/>
            <color indexed="81"/>
            <rFont val="Tahoma"/>
            <family val="2"/>
          </rPr>
          <t>Lim, Alvin (Research):</t>
        </r>
        <r>
          <rPr>
            <sz val="9"/>
            <color indexed="81"/>
            <rFont val="Tahoma"/>
            <family val="2"/>
          </rPr>
          <t xml:space="preserve">
up q/q</t>
        </r>
      </text>
    </comment>
    <comment ref="AX60" authorId="9">
      <text>
        <r>
          <rPr>
            <b/>
            <sz val="9"/>
            <color indexed="81"/>
            <rFont val="Tahoma"/>
            <family val="2"/>
          </rPr>
          <t>Rao, Vinayak (Research):</t>
        </r>
        <r>
          <rPr>
            <sz val="9"/>
            <color indexed="81"/>
            <rFont val="Tahoma"/>
            <family val="2"/>
          </rPr>
          <t xml:space="preserve">
down sequentially</t>
        </r>
      </text>
    </comment>
    <comment ref="B66" authorId="1">
      <text>
        <r>
          <rPr>
            <b/>
            <sz val="8"/>
            <color indexed="81"/>
            <rFont val="Tahoma"/>
            <family val="2"/>
          </rPr>
          <t>DJF:</t>
        </r>
        <r>
          <rPr>
            <sz val="8"/>
            <color indexed="81"/>
            <rFont val="Tahoma"/>
            <family val="2"/>
          </rPr>
          <t xml:space="preserve">
All APUs (CPU and integrated graphics as of 4Q11) in mobile but only 60% overall.</t>
        </r>
      </text>
    </comment>
    <comment ref="T66" authorId="5">
      <text>
        <r>
          <rPr>
            <b/>
            <sz val="9"/>
            <color indexed="81"/>
            <rFont val="Tahoma"/>
            <family val="2"/>
          </rPr>
          <t>Lim, Alvin (Research):</t>
        </r>
        <r>
          <rPr>
            <sz val="9"/>
            <color indexed="81"/>
            <rFont val="Tahoma"/>
            <family val="2"/>
          </rPr>
          <t xml:space="preserve">
SEMI CAP\Company\INTC\[MS MPU Model.xls]AMD Units and Revs'!C$14</t>
        </r>
      </text>
    </comment>
    <comment ref="AE66" authorId="0">
      <text>
        <r>
          <rPr>
            <b/>
            <sz val="8"/>
            <color indexed="81"/>
            <rFont val="Tahoma"/>
            <family val="2"/>
          </rPr>
          <t>visv:</t>
        </r>
        <r>
          <rPr>
            <sz val="8"/>
            <color indexed="81"/>
            <rFont val="Tahoma"/>
            <family val="2"/>
          </rPr>
          <t xml:space="preserve">
01/24/12 - Earnings Call
Llano Units increased. 
APU 100% of mobile MPU shipped. </t>
        </r>
      </text>
    </comment>
    <comment ref="AF66" authorId="10">
      <text>
        <r>
          <rPr>
            <b/>
            <sz val="8"/>
            <color indexed="81"/>
            <rFont val="Tahoma"/>
            <family val="2"/>
          </rPr>
          <t>DJF:
Per 1Q EPS:</t>
        </r>
        <r>
          <rPr>
            <sz val="8"/>
            <color indexed="81"/>
            <rFont val="Tahoma"/>
            <family val="2"/>
          </rPr>
          <t xml:space="preserve">
AMD announced and began shipping the follow-on to its essential
        notebook platform "Brazos," its bestselling platform ever. The new
        essential notebook platform, codenamed "Brazos 2.0," delivers
        improved performance, extended battery life and many new features.
        Systems based on "Brazos 2.0" are expected to be available in the
        second quarter.
AMD ramped volume production of its second generation A-Series
        APU, codenamed "Trinity," in anticipation of global notebook
        availability from leading OEMs in the second quarter. "Trinity"
        delivers twice the performance-per-watt compared with AMD's
        current generation A-Series APU. Systems powered by "Trinity" will
        enable outstanding entertainment and gaming performance with
        superior battery life.
</t>
        </r>
      </text>
    </comment>
    <comment ref="AG66" authorId="1">
      <text>
        <r>
          <rPr>
            <b/>
            <sz val="8"/>
            <color indexed="81"/>
            <rFont val="Tahoma"/>
            <family val="2"/>
          </rPr>
          <t>DJF:</t>
        </r>
        <r>
          <rPr>
            <sz val="8"/>
            <color indexed="81"/>
            <rFont val="Tahoma"/>
            <family val="2"/>
          </rPr>
          <t xml:space="preserve">
Up y/y due primarily to strong demand for Brazos</t>
        </r>
      </text>
    </comment>
    <comment ref="AH66" authorId="11">
      <text>
        <r>
          <rPr>
            <b/>
            <sz val="8"/>
            <color indexed="81"/>
            <rFont val="Tahoma"/>
            <family val="2"/>
          </rPr>
          <t>DJF 10/18/12:</t>
        </r>
        <r>
          <rPr>
            <sz val="8"/>
            <color indexed="81"/>
            <rFont val="Tahoma"/>
            <family val="2"/>
          </rPr>
          <t xml:space="preserve">
Trinity up 2x, now 30% of notebook shipments</t>
        </r>
      </text>
    </comment>
    <comment ref="AI66" authorId="8">
      <text>
        <r>
          <rPr>
            <b/>
            <sz val="8"/>
            <color indexed="81"/>
            <rFont val="Tahoma"/>
            <family val="2"/>
          </rPr>
          <t>DJF 1/22/13:</t>
        </r>
        <r>
          <rPr>
            <sz val="8"/>
            <color indexed="81"/>
            <rFont val="Tahoma"/>
            <family val="2"/>
          </rPr>
          <t xml:space="preserve">
Mobile weakest.  Intel dropping Core i3 pricing makes environment very difficult.
Lack of refresh likely hurting Brazos.</t>
        </r>
      </text>
    </comment>
    <comment ref="AJ66" authorId="8">
      <text>
        <r>
          <rPr>
            <b/>
            <sz val="8"/>
            <color indexed="81"/>
            <rFont val="Tahoma"/>
            <family val="2"/>
          </rPr>
          <t>DJF 1/22/13:</t>
        </r>
        <r>
          <rPr>
            <sz val="8"/>
            <color indexed="81"/>
            <rFont val="Tahoma"/>
            <family val="2"/>
          </rPr>
          <t xml:space="preserve">
Expect mobile to continue to be weak.</t>
        </r>
      </text>
    </comment>
    <comment ref="AK66" authorId="11">
      <text>
        <r>
          <rPr>
            <b/>
            <sz val="8"/>
            <color indexed="81"/>
            <rFont val="Tahoma"/>
            <family val="2"/>
          </rPr>
          <t xml:space="preserve">DJF:
</t>
        </r>
        <r>
          <rPr>
            <sz val="8"/>
            <color indexed="81"/>
            <rFont val="Tahoma"/>
            <family val="2"/>
          </rPr>
          <t>Notebooks up significantly due to Kabini and Richland product launches.</t>
        </r>
      </text>
    </comment>
    <comment ref="AM66" authorId="1">
      <text>
        <r>
          <rPr>
            <b/>
            <sz val="8"/>
            <color indexed="81"/>
            <rFont val="Tahoma"/>
            <family val="2"/>
          </rPr>
          <t>DJF:</t>
        </r>
        <r>
          <rPr>
            <sz val="8"/>
            <color indexed="81"/>
            <rFont val="Tahoma"/>
            <family val="2"/>
          </rPr>
          <t xml:space="preserve">
1q pre Kaveri launch</t>
        </r>
      </text>
    </comment>
    <comment ref="AN67" authorId="1">
      <text>
        <r>
          <rPr>
            <b/>
            <sz val="8"/>
            <color indexed="81"/>
            <rFont val="Tahoma"/>
            <family val="2"/>
          </rPr>
          <t>DJF:</t>
        </r>
        <r>
          <rPr>
            <sz val="8"/>
            <color indexed="81"/>
            <rFont val="Tahoma"/>
            <family val="2"/>
          </rPr>
          <t xml:space="preserve">
Kaveri to launch in 1q</t>
        </r>
      </text>
    </comment>
    <comment ref="AQ67" authorId="5">
      <text>
        <r>
          <rPr>
            <b/>
            <sz val="9"/>
            <color indexed="81"/>
            <rFont val="Tahoma"/>
            <family val="2"/>
          </rPr>
          <t>Lim, Alvin (Research):</t>
        </r>
        <r>
          <rPr>
            <sz val="9"/>
            <color indexed="81"/>
            <rFont val="Tahoma"/>
            <family val="2"/>
          </rPr>
          <t xml:space="preserve">
Rev/ASP up q/q</t>
        </r>
      </text>
    </comment>
    <comment ref="AU67" authorId="5">
      <text>
        <r>
          <rPr>
            <b/>
            <sz val="9"/>
            <color indexed="81"/>
            <rFont val="Tahoma"/>
            <family val="2"/>
          </rPr>
          <t>Lim, Alvin (Research):</t>
        </r>
        <r>
          <rPr>
            <sz val="9"/>
            <color indexed="81"/>
            <rFont val="Tahoma"/>
            <family val="2"/>
          </rPr>
          <t xml:space="preserve">
A: Double digit growth due to carrizo</t>
        </r>
      </text>
    </comment>
    <comment ref="AV67" authorId="5">
      <text>
        <r>
          <rPr>
            <b/>
            <sz val="9"/>
            <color indexed="81"/>
            <rFont val="Tahoma"/>
            <family val="2"/>
          </rPr>
          <t>Lim, Alvin (Research):</t>
        </r>
        <r>
          <rPr>
            <sz val="9"/>
            <color indexed="81"/>
            <rFont val="Tahoma"/>
            <family val="2"/>
          </rPr>
          <t xml:space="preserve">
up double digit q/q</t>
        </r>
      </text>
    </comment>
    <comment ref="AW67" authorId="5">
      <text>
        <r>
          <rPr>
            <b/>
            <sz val="9"/>
            <color indexed="81"/>
            <rFont val="Tahoma"/>
            <family val="2"/>
          </rPr>
          <t>Lim, Alvin (Research):</t>
        </r>
        <r>
          <rPr>
            <sz val="9"/>
            <color indexed="81"/>
            <rFont val="Tahoma"/>
            <family val="2"/>
          </rPr>
          <t xml:space="preserve">
up q/q</t>
        </r>
      </text>
    </comment>
    <comment ref="T68" authorId="5">
      <text>
        <r>
          <rPr>
            <b/>
            <sz val="9"/>
            <color indexed="81"/>
            <rFont val="Tahoma"/>
            <family val="2"/>
          </rPr>
          <t>Lim, Alvin (Research):</t>
        </r>
        <r>
          <rPr>
            <sz val="9"/>
            <color indexed="81"/>
            <rFont val="Tahoma"/>
            <family val="2"/>
          </rPr>
          <t xml:space="preserve">
SEMI CAP\Company\INTC\[MS MPU Model.xls]AMD Units and Revs'!C$14</t>
        </r>
      </text>
    </comment>
    <comment ref="AI68" authorId="11">
      <text>
        <r>
          <rPr>
            <b/>
            <sz val="8"/>
            <color indexed="81"/>
            <rFont val="Tahoma"/>
            <family val="2"/>
          </rPr>
          <t>DJF 10/18/12:</t>
        </r>
        <r>
          <rPr>
            <sz val="8"/>
            <color indexed="81"/>
            <rFont val="Tahoma"/>
            <family val="2"/>
          </rPr>
          <t xml:space="preserve">
With Trinity still ramping, assume ASP stays flat</t>
        </r>
      </text>
    </comment>
    <comment ref="AK68" authorId="8">
      <text>
        <r>
          <rPr>
            <b/>
            <sz val="8"/>
            <color indexed="81"/>
            <rFont val="Tahoma"/>
            <family val="2"/>
          </rPr>
          <t xml:space="preserve">DJF:
</t>
        </r>
        <r>
          <rPr>
            <sz val="8"/>
            <color indexed="81"/>
            <rFont val="Tahoma"/>
            <family val="2"/>
          </rPr>
          <t>ASP decline due to negative mix shift</t>
        </r>
      </text>
    </comment>
    <comment ref="AL68" authorId="8">
      <text>
        <r>
          <rPr>
            <b/>
            <sz val="8"/>
            <color indexed="81"/>
            <rFont val="Tahoma"/>
            <family val="2"/>
          </rPr>
          <t>DJF 1/22/13:</t>
        </r>
        <r>
          <rPr>
            <sz val="8"/>
            <color indexed="81"/>
            <rFont val="Tahoma"/>
            <family val="2"/>
          </rPr>
          <t xml:space="preserve">
Refreshes for Trinity (Richland) and Brazos (Kabini) hit market</t>
        </r>
      </text>
    </comment>
    <comment ref="AU69" authorId="5">
      <text>
        <r>
          <rPr>
            <b/>
            <sz val="9"/>
            <color indexed="81"/>
            <rFont val="Tahoma"/>
            <family val="2"/>
          </rPr>
          <t>Lim, Alvin (Research):</t>
        </r>
        <r>
          <rPr>
            <sz val="9"/>
            <color indexed="81"/>
            <rFont val="Tahoma"/>
            <family val="2"/>
          </rPr>
          <t xml:space="preserve">
A: up q/q</t>
        </r>
      </text>
    </comment>
    <comment ref="AV69" authorId="5">
      <text>
        <r>
          <rPr>
            <b/>
            <sz val="9"/>
            <color indexed="81"/>
            <rFont val="Tahoma"/>
            <family val="2"/>
          </rPr>
          <t>Lim, Alvin (Research):</t>
        </r>
        <r>
          <rPr>
            <sz val="9"/>
            <color indexed="81"/>
            <rFont val="Tahoma"/>
            <family val="2"/>
          </rPr>
          <t xml:space="preserve">
up q/q</t>
        </r>
      </text>
    </comment>
    <comment ref="AX69" authorId="9">
      <text>
        <r>
          <rPr>
            <b/>
            <sz val="9"/>
            <color indexed="81"/>
            <rFont val="Tahoma"/>
            <family val="2"/>
          </rPr>
          <t>Rao, Vinayak (Research):</t>
        </r>
        <r>
          <rPr>
            <sz val="9"/>
            <color indexed="81"/>
            <rFont val="Tahoma"/>
            <family val="2"/>
          </rPr>
          <t xml:space="preserve">
down sequentially</t>
        </r>
      </text>
    </comment>
    <comment ref="AK70" authorId="1">
      <text>
        <r>
          <rPr>
            <b/>
            <sz val="8"/>
            <color indexed="81"/>
            <rFont val="Tahoma"/>
            <family val="2"/>
          </rPr>
          <t>DJF:</t>
        </r>
        <r>
          <rPr>
            <sz val="8"/>
            <color indexed="81"/>
            <rFont val="Tahoma"/>
            <family val="2"/>
          </rPr>
          <t xml:space="preserve">
Kabini launch</t>
        </r>
      </text>
    </comment>
    <comment ref="B74" authorId="1">
      <text>
        <r>
          <rPr>
            <b/>
            <sz val="8"/>
            <color indexed="81"/>
            <rFont val="Tahoma"/>
            <family val="2"/>
          </rPr>
          <t>DJF:</t>
        </r>
        <r>
          <rPr>
            <sz val="8"/>
            <color indexed="81"/>
            <rFont val="Tahoma"/>
            <family val="2"/>
          </rPr>
          <t xml:space="preserve">
MS estimates</t>
        </r>
      </text>
    </comment>
    <comment ref="B77" authorId="1">
      <text>
        <r>
          <rPr>
            <b/>
            <sz val="8"/>
            <color indexed="81"/>
            <rFont val="Tahoma"/>
            <family val="2"/>
          </rPr>
          <t>DJF:</t>
        </r>
        <r>
          <rPr>
            <sz val="8"/>
            <color indexed="81"/>
            <rFont val="Tahoma"/>
            <family val="2"/>
          </rPr>
          <t xml:space="preserve">
All APUs (CPU and integrated graphics as of 4Q11) in mobile but only 60% overall.</t>
        </r>
      </text>
    </comment>
    <comment ref="T77" authorId="5">
      <text>
        <r>
          <rPr>
            <b/>
            <sz val="9"/>
            <color indexed="81"/>
            <rFont val="Tahoma"/>
            <family val="2"/>
          </rPr>
          <t>Lim, Alvin (Research):</t>
        </r>
        <r>
          <rPr>
            <sz val="9"/>
            <color indexed="81"/>
            <rFont val="Tahoma"/>
            <family val="2"/>
          </rPr>
          <t xml:space="preserve">
SEMI CAP\Company\INTC\[MS MPU Model.xls]AMD Units and Revs'!C$6</t>
        </r>
      </text>
    </comment>
    <comment ref="AE77" authorId="0">
      <text>
        <r>
          <rPr>
            <b/>
            <sz val="8"/>
            <color indexed="81"/>
            <rFont val="Tahoma"/>
            <family val="2"/>
          </rPr>
          <t>visv:</t>
        </r>
        <r>
          <rPr>
            <sz val="8"/>
            <color indexed="81"/>
            <rFont val="Tahoma"/>
            <family val="2"/>
          </rPr>
          <t xml:space="preserve">
01/24/12 - Earnings call 
Seq increase in server units due to ramp of Opteron 6200 series</t>
        </r>
      </text>
    </comment>
    <comment ref="AF77" authorId="10">
      <text>
        <r>
          <rPr>
            <b/>
            <sz val="8"/>
            <color indexed="81"/>
            <rFont val="Tahoma"/>
            <family val="2"/>
          </rPr>
          <t xml:space="preserve">DJF:
</t>
        </r>
        <r>
          <rPr>
            <sz val="8"/>
            <color indexed="81"/>
            <rFont val="Tahoma"/>
            <family val="2"/>
          </rPr>
          <t>Per 1Q EPS: 3rd consecutive Q of server unit growth.  Bulldozer accounted for &gt;50% of units.</t>
        </r>
        <r>
          <rPr>
            <sz val="8"/>
            <color indexed="81"/>
            <rFont val="Tahoma"/>
            <family val="2"/>
          </rPr>
          <t xml:space="preserve">
</t>
        </r>
      </text>
    </comment>
    <comment ref="BS77" authorId="1">
      <text>
        <r>
          <rPr>
            <b/>
            <sz val="10"/>
            <color indexed="81"/>
            <rFont val="Tahoma"/>
            <family val="2"/>
          </rPr>
          <t>DJF:</t>
        </r>
        <r>
          <rPr>
            <sz val="10"/>
            <color indexed="81"/>
            <rFont val="Tahoma"/>
            <family val="2"/>
          </rPr>
          <t xml:space="preserve">
Per 10-K: We also continued to focus on improving our competitive position in the server market and believe we regained momentum in the second half of 2011 with the introduction of our new multi-core AMD Opteron™ 6200 and 4200 series processors, which are based on our “Bulldozer” x86 architecture. </t>
        </r>
        <r>
          <rPr>
            <sz val="8"/>
            <color indexed="81"/>
            <rFont val="Tahoma"/>
            <family val="2"/>
          </rPr>
          <t xml:space="preserve">
</t>
        </r>
      </text>
    </comment>
    <comment ref="AJ78" authorId="1">
      <text>
        <r>
          <rPr>
            <b/>
            <sz val="8"/>
            <color indexed="81"/>
            <rFont val="Tahoma"/>
            <family val="2"/>
          </rPr>
          <t>DJF:</t>
        </r>
        <r>
          <rPr>
            <sz val="8"/>
            <color indexed="81"/>
            <rFont val="Tahoma"/>
            <family val="2"/>
          </rPr>
          <t xml:space="preserve">
flat q/q</t>
        </r>
      </text>
    </comment>
    <comment ref="AK78" authorId="1">
      <text>
        <r>
          <rPr>
            <b/>
            <sz val="8"/>
            <color indexed="81"/>
            <rFont val="Tahoma"/>
            <family val="2"/>
          </rPr>
          <t>DJF:</t>
        </r>
        <r>
          <rPr>
            <sz val="8"/>
            <color indexed="81"/>
            <rFont val="Tahoma"/>
            <family val="2"/>
          </rPr>
          <t xml:space="preserve">
server revenues increased due to unit shipments</t>
        </r>
      </text>
    </comment>
    <comment ref="T79" authorId="5">
      <text>
        <r>
          <rPr>
            <b/>
            <sz val="9"/>
            <color indexed="81"/>
            <rFont val="Tahoma"/>
            <family val="2"/>
          </rPr>
          <t>Lim, Alvin (Research):</t>
        </r>
        <r>
          <rPr>
            <sz val="9"/>
            <color indexed="81"/>
            <rFont val="Tahoma"/>
            <family val="2"/>
          </rPr>
          <t xml:space="preserve">
\SEMI CAP\Company\INTC\[MS MPU Model.xls]AMD Units and Revs'!C$12</t>
        </r>
      </text>
    </comment>
    <comment ref="AD79" authorId="0">
      <text>
        <r>
          <rPr>
            <b/>
            <sz val="8"/>
            <color indexed="81"/>
            <rFont val="Tahoma"/>
            <family val="2"/>
          </rPr>
          <t>visv:</t>
        </r>
        <r>
          <rPr>
            <sz val="8"/>
            <color indexed="81"/>
            <rFont val="Tahoma"/>
            <family val="2"/>
          </rPr>
          <t xml:space="preserve">
10/27/11 - Significantly higher ASP </t>
        </r>
      </text>
    </comment>
    <comment ref="AF79" authorId="1">
      <text>
        <r>
          <rPr>
            <b/>
            <sz val="8"/>
            <color indexed="81"/>
            <rFont val="Tahoma"/>
            <family val="2"/>
          </rPr>
          <t>DJF:</t>
        </r>
        <r>
          <rPr>
            <sz val="8"/>
            <color indexed="81"/>
            <rFont val="Tahoma"/>
            <family val="2"/>
          </rPr>
          <t xml:space="preserve">
ASPs down Q/Q, per CC</t>
        </r>
      </text>
    </comment>
    <comment ref="AG79" authorId="1">
      <text>
        <r>
          <rPr>
            <b/>
            <sz val="8"/>
            <color indexed="81"/>
            <rFont val="Tahoma"/>
            <family val="2"/>
          </rPr>
          <t>DJF:</t>
        </r>
        <r>
          <rPr>
            <sz val="8"/>
            <color indexed="81"/>
            <rFont val="Tahoma"/>
            <family val="2"/>
          </rPr>
          <t xml:space="preserve">
Up y/ydue to richer product mix as customers transition to AMD Opteron 6000 Series</t>
        </r>
      </text>
    </comment>
    <comment ref="BS79" authorId="1">
      <text>
        <r>
          <rPr>
            <b/>
            <sz val="10"/>
            <color indexed="81"/>
            <rFont val="Tahoma"/>
            <family val="2"/>
          </rPr>
          <t>DJF:</t>
        </r>
        <r>
          <rPr>
            <sz val="10"/>
            <color indexed="81"/>
            <rFont val="Tahoma"/>
            <family val="2"/>
          </rPr>
          <t xml:space="preserve">
Per 10-K, server ASPs down in 2011</t>
        </r>
      </text>
    </comment>
    <comment ref="AF80" authorId="1">
      <text>
        <r>
          <rPr>
            <b/>
            <sz val="8"/>
            <color indexed="81"/>
            <rFont val="Tahoma"/>
            <family val="2"/>
          </rPr>
          <t>DJF:</t>
        </r>
        <r>
          <rPr>
            <sz val="8"/>
            <color indexed="81"/>
            <rFont val="Tahoma"/>
            <family val="2"/>
          </rPr>
          <t xml:space="preserve">
ASPs down Q/Q, per CC</t>
        </r>
      </text>
    </comment>
    <comment ref="AJ80" authorId="1">
      <text>
        <r>
          <rPr>
            <b/>
            <sz val="8"/>
            <color indexed="81"/>
            <rFont val="Tahoma"/>
            <family val="2"/>
          </rPr>
          <t>DJF:</t>
        </r>
        <r>
          <rPr>
            <sz val="8"/>
            <color indexed="81"/>
            <rFont val="Tahoma"/>
            <family val="2"/>
          </rPr>
          <t xml:space="preserve">
up q/q</t>
        </r>
      </text>
    </comment>
    <comment ref="AE81" authorId="6">
      <text>
        <r>
          <rPr>
            <b/>
            <sz val="8"/>
            <color indexed="81"/>
            <rFont val="Tahoma"/>
            <family val="2"/>
          </rPr>
          <t>moorejos:</t>
        </r>
        <r>
          <rPr>
            <sz val="8"/>
            <color indexed="81"/>
            <rFont val="Tahoma"/>
            <family val="2"/>
          </rPr>
          <t xml:space="preserve">
indicated double digit qoq growth in server</t>
        </r>
      </text>
    </comment>
    <comment ref="AF81" authorId="1">
      <text>
        <r>
          <rPr>
            <b/>
            <sz val="8"/>
            <color indexed="81"/>
            <rFont val="Tahoma"/>
            <family val="2"/>
          </rPr>
          <t>DJF:</t>
        </r>
        <r>
          <rPr>
            <sz val="8"/>
            <color indexed="81"/>
            <rFont val="Tahoma"/>
            <family val="2"/>
          </rPr>
          <t xml:space="preserve">
Per CC, Bulldozer &gt; 50% of server revs in the Q.</t>
        </r>
      </text>
    </comment>
    <comment ref="AG81" authorId="12">
      <text>
        <r>
          <rPr>
            <b/>
            <sz val="8"/>
            <color indexed="81"/>
            <rFont val="Tahoma"/>
            <family val="2"/>
          </rPr>
          <t>DJF 7/19/12:</t>
        </r>
        <r>
          <rPr>
            <sz val="8"/>
            <color indexed="81"/>
            <rFont val="Tahoma"/>
            <family val="2"/>
          </rPr>
          <t xml:space="preserve">
Servers down Q/Q mainly due to lower shipments Q/Q.  Also cited prices decline on the CC, despite increasing mix of Bulldozer.</t>
        </r>
      </text>
    </comment>
    <comment ref="AH81" authorId="11">
      <text>
        <r>
          <rPr>
            <b/>
            <sz val="8"/>
            <color indexed="81"/>
            <rFont val="Tahoma"/>
            <family val="2"/>
          </rPr>
          <t>DJF 10/18/12:</t>
        </r>
        <r>
          <rPr>
            <sz val="8"/>
            <color indexed="81"/>
            <rFont val="Tahoma"/>
            <family val="2"/>
          </rPr>
          <t xml:space="preserve">
Down Q/Q.  Both units and ASPs.  Seeing mix shift away from higher-end density servers.</t>
        </r>
      </text>
    </comment>
    <comment ref="AD82" authorId="0">
      <text>
        <r>
          <rPr>
            <b/>
            <sz val="8"/>
            <color indexed="81"/>
            <rFont val="Tahoma"/>
            <family val="2"/>
          </rPr>
          <t>visv:</t>
        </r>
        <r>
          <rPr>
            <sz val="8"/>
            <color indexed="81"/>
            <rFont val="Tahoma"/>
            <family val="2"/>
          </rPr>
          <t xml:space="preserve">
10/27/11 - Double digit growth in server processor revenues</t>
        </r>
      </text>
    </comment>
    <comment ref="AI82" authorId="3">
      <text>
        <r>
          <rPr>
            <b/>
            <sz val="8"/>
            <color indexed="81"/>
            <rFont val="Tahoma"/>
            <family val="2"/>
          </rPr>
          <t>DJF 1/22/13:</t>
        </r>
        <r>
          <rPr>
            <sz val="8"/>
            <color indexed="81"/>
            <rFont val="Tahoma"/>
            <family val="2"/>
          </rPr>
          <t xml:space="preserve">
up Q/Q</t>
        </r>
      </text>
    </comment>
    <comment ref="AE89" authorId="1">
      <text>
        <r>
          <rPr>
            <b/>
            <sz val="8"/>
            <color indexed="81"/>
            <rFont val="Tahoma"/>
            <family val="2"/>
          </rPr>
          <t>DJF:</t>
        </r>
        <r>
          <rPr>
            <sz val="8"/>
            <color indexed="81"/>
            <rFont val="Tahoma"/>
            <family val="2"/>
          </rPr>
          <t xml:space="preserve">
Strong due to ramp of Opteron 6200, 33% of server shipments as of 4Q11.</t>
        </r>
      </text>
    </comment>
    <comment ref="AE90" authorId="1">
      <text>
        <r>
          <rPr>
            <b/>
            <sz val="8"/>
            <color indexed="81"/>
            <rFont val="Tahoma"/>
            <family val="2"/>
          </rPr>
          <t>DJF:</t>
        </r>
        <r>
          <rPr>
            <sz val="8"/>
            <color indexed="81"/>
            <rFont val="Tahoma"/>
            <family val="2"/>
          </rPr>
          <t xml:space="preserve">
Single dingle decline</t>
        </r>
      </text>
    </comment>
    <comment ref="B94" authorId="1">
      <text>
        <r>
          <rPr>
            <b/>
            <sz val="8"/>
            <color indexed="81"/>
            <rFont val="Tahoma"/>
            <family val="2"/>
          </rPr>
          <t>DJF:</t>
        </r>
        <r>
          <rPr>
            <sz val="8"/>
            <color indexed="81"/>
            <rFont val="Tahoma"/>
            <family val="2"/>
          </rPr>
          <t xml:space="preserve">
Largely chipsets now</t>
        </r>
      </text>
    </comment>
    <comment ref="AB94" authorId="6">
      <text>
        <r>
          <rPr>
            <b/>
            <sz val="8"/>
            <color indexed="81"/>
            <rFont val="Tahoma"/>
            <family val="2"/>
          </rPr>
          <t>moorejos:</t>
        </r>
        <r>
          <rPr>
            <sz val="8"/>
            <color indexed="81"/>
            <rFont val="Tahoma"/>
            <family val="2"/>
          </rPr>
          <t xml:space="preserve">
indicated increase in chipset attach rate; apu effect?</t>
        </r>
      </text>
    </comment>
    <comment ref="AF94" authorId="6">
      <text>
        <r>
          <rPr>
            <b/>
            <sz val="8"/>
            <color indexed="81"/>
            <rFont val="Tahoma"/>
            <family val="2"/>
          </rPr>
          <t>moorejos:</t>
        </r>
        <r>
          <rPr>
            <sz val="8"/>
            <color indexed="81"/>
            <rFont val="Tahoma"/>
            <family val="2"/>
          </rPr>
          <t xml:space="preserve">
from call chipset units declined due to lower shipments</t>
        </r>
      </text>
    </comment>
    <comment ref="AG94" authorId="12">
      <text>
        <r>
          <rPr>
            <b/>
            <sz val="8"/>
            <color indexed="81"/>
            <rFont val="Tahoma"/>
            <family val="2"/>
          </rPr>
          <t>DJF 7/19/12:</t>
        </r>
        <r>
          <rPr>
            <sz val="8"/>
            <color indexed="81"/>
            <rFont val="Tahoma"/>
            <family val="2"/>
          </rPr>
          <t xml:space="preserve">
Down Q/Q primarily due to lower ASPs</t>
        </r>
      </text>
    </comment>
    <comment ref="AH94" authorId="11">
      <text>
        <r>
          <rPr>
            <b/>
            <sz val="8"/>
            <color indexed="81"/>
            <rFont val="Tahoma"/>
            <family val="2"/>
          </rPr>
          <t>DJF 10/18/12:</t>
        </r>
        <r>
          <rPr>
            <sz val="8"/>
            <color indexed="81"/>
            <rFont val="Tahoma"/>
            <family val="2"/>
          </rPr>
          <t xml:space="preserve">
Down Q/Q, primarily due to lower shipments</t>
        </r>
      </text>
    </comment>
    <comment ref="AI94" authorId="3">
      <text>
        <r>
          <rPr>
            <b/>
            <sz val="8"/>
            <color indexed="81"/>
            <rFont val="Tahoma"/>
            <family val="2"/>
          </rPr>
          <t>DJF 1/22/13:</t>
        </r>
        <r>
          <rPr>
            <sz val="8"/>
            <color indexed="81"/>
            <rFont val="Tahoma"/>
            <family val="2"/>
          </rPr>
          <t xml:space="preserve">
Down in-line with CPU biz</t>
        </r>
      </text>
    </comment>
    <comment ref="AJ94" authorId="1">
      <text>
        <r>
          <rPr>
            <b/>
            <sz val="8"/>
            <color indexed="81"/>
            <rFont val="Tahoma"/>
            <family val="2"/>
          </rPr>
          <t>DJF:</t>
        </r>
        <r>
          <rPr>
            <sz val="8"/>
            <color indexed="81"/>
            <rFont val="Tahoma"/>
            <family val="2"/>
          </rPr>
          <t xml:space="preserve">
down Q/Q due to lower shipments</t>
        </r>
      </text>
    </comment>
    <comment ref="AK94" authorId="1">
      <text>
        <r>
          <rPr>
            <b/>
            <sz val="8"/>
            <color indexed="81"/>
            <rFont val="Tahoma"/>
            <family val="2"/>
          </rPr>
          <t>DJF:</t>
        </r>
        <r>
          <rPr>
            <sz val="8"/>
            <color indexed="81"/>
            <rFont val="Tahoma"/>
            <family val="2"/>
          </rPr>
          <t xml:space="preserve">
flat q/q</t>
        </r>
      </text>
    </comment>
    <comment ref="BS94" authorId="1">
      <text>
        <r>
          <rPr>
            <b/>
            <sz val="8"/>
            <color indexed="81"/>
            <rFont val="Tahoma"/>
            <family val="2"/>
          </rPr>
          <t>DJF:</t>
        </r>
        <r>
          <rPr>
            <sz val="8"/>
            <color indexed="81"/>
            <rFont val="Tahoma"/>
            <family val="2"/>
          </rPr>
          <t xml:space="preserve">
All-time record</t>
        </r>
      </text>
    </comment>
    <comment ref="B102" authorId="0">
      <text>
        <r>
          <rPr>
            <b/>
            <sz val="10"/>
            <color indexed="81"/>
            <rFont val="Arial"/>
            <family val="2"/>
          </rPr>
          <t>Vis:</t>
        </r>
        <r>
          <rPr>
            <sz val="10"/>
            <color indexed="81"/>
            <rFont val="Arial"/>
            <family val="2"/>
          </rPr>
          <t xml:space="preserve">
the Graphics segment, which includes graphics, video and multimedia products as well as revenue received in connection with the development and sale of game console systems that incorporate the Company's graphics technology.
More on Graphics royalties (per 10-K): Our graphics technology is used in game consoles, including the </t>
        </r>
        <r>
          <rPr>
            <b/>
            <sz val="10"/>
            <color indexed="81"/>
            <rFont val="Arial"/>
            <family val="2"/>
          </rPr>
          <t>Nintendo Wii and Microsoft Xbox 360</t>
        </r>
        <r>
          <rPr>
            <sz val="10"/>
            <color indexed="81"/>
            <rFont val="Arial"/>
            <family val="2"/>
          </rPr>
          <t>. The revenues that we receive from these products are in the form of non-recurring engineering fees charged for design and development services, as well as royalties paid to us by these third parties. Our royalty revenues are directly related to the sales of these products and reflective of their success in the market. If these third parties do not include our graphics technology in future generations of their game consoles, our revenues from royalties would decline significantly.</t>
        </r>
      </text>
    </comment>
    <comment ref="AD102" authorId="1">
      <text>
        <r>
          <rPr>
            <b/>
            <sz val="8"/>
            <color indexed="81"/>
            <rFont val="Tahoma"/>
            <family val="2"/>
          </rPr>
          <t>DJF:</t>
        </r>
        <r>
          <rPr>
            <sz val="8"/>
            <color indexed="81"/>
            <rFont val="Tahoma"/>
            <family val="2"/>
          </rPr>
          <t xml:space="preserve">
Y/Y Commentary:
The increase was primarily due to a 3% increase in net revenue from sales of GPU products due to an </t>
        </r>
        <r>
          <rPr>
            <u/>
            <sz val="8"/>
            <color indexed="81"/>
            <rFont val="Tahoma"/>
            <family val="2"/>
          </rPr>
          <t>increase in GPU average selling price driven by product mix</t>
        </r>
        <r>
          <rPr>
            <sz val="8"/>
            <color indexed="81"/>
            <rFont val="Tahoma"/>
            <family val="2"/>
          </rPr>
          <t xml:space="preserve">. </t>
        </r>
        <r>
          <rPr>
            <u/>
            <sz val="8"/>
            <color indexed="81"/>
            <rFont val="Tahoma"/>
            <family val="2"/>
          </rPr>
          <t>GPU unit shipments were flat</t>
        </r>
        <r>
          <rPr>
            <sz val="8"/>
            <color indexed="81"/>
            <rFont val="Tahoma"/>
            <family val="2"/>
          </rPr>
          <t xml:space="preserve"> in the third quarter of 2011 compared to the third quarter of 2010.
Q/Q Commentary:
The increase was primarily due to a 10% increase in net revenue from sales of GPU products primarily resulting from an </t>
        </r>
        <r>
          <rPr>
            <u/>
            <sz val="8"/>
            <color indexed="81"/>
            <rFont val="Tahoma"/>
            <family val="2"/>
          </rPr>
          <t>increase in unit shipments and average selling price</t>
        </r>
        <r>
          <rPr>
            <sz val="8"/>
            <color indexed="81"/>
            <rFont val="Tahoma"/>
            <family val="2"/>
          </rPr>
          <t xml:space="preserve">. </t>
        </r>
        <r>
          <rPr>
            <u/>
            <sz val="8"/>
            <color indexed="81"/>
            <rFont val="Tahoma"/>
            <family val="2"/>
          </rPr>
          <t>Unit shipments increased due to seasonally higher demand, and GPU average selling price increased primarily due to higher average selling price for our graphics add-in board channel products</t>
        </r>
        <r>
          <rPr>
            <sz val="8"/>
            <color indexed="81"/>
            <rFont val="Tahoma"/>
            <family val="2"/>
          </rPr>
          <t xml:space="preserve">. 
</t>
        </r>
      </text>
    </comment>
    <comment ref="AF102" authorId="1">
      <text>
        <r>
          <rPr>
            <b/>
            <sz val="8"/>
            <color indexed="81"/>
            <rFont val="Tahoma"/>
            <family val="2"/>
          </rPr>
          <t>DJF:</t>
        </r>
        <r>
          <rPr>
            <sz val="8"/>
            <color indexed="81"/>
            <rFont val="Tahoma"/>
            <family val="2"/>
          </rPr>
          <t xml:space="preserve">
Revenues flat in seasonally down Q, Y/Y decline due to lower demand.  Seasonally lower game console royalty revenue in 1Q.</t>
        </r>
      </text>
    </comment>
    <comment ref="AG102" authorId="1">
      <text>
        <r>
          <rPr>
            <b/>
            <sz val="8"/>
            <color indexed="81"/>
            <rFont val="Tahoma"/>
            <family val="2"/>
          </rPr>
          <t>DJF:</t>
        </r>
        <r>
          <rPr>
            <sz val="8"/>
            <color indexed="81"/>
            <rFont val="Tahoma"/>
            <family val="2"/>
          </rPr>
          <t xml:space="preserve">
Flat y/y, with increase in revenue associated with development/sale of game consoles offset by decline in GPUs.</t>
        </r>
      </text>
    </comment>
    <comment ref="AK102" authorId="1">
      <text>
        <r>
          <rPr>
            <b/>
            <sz val="8"/>
            <color indexed="81"/>
            <rFont val="Tahoma"/>
            <family val="2"/>
          </rPr>
          <t>DJF:</t>
        </r>
        <r>
          <rPr>
            <sz val="8"/>
            <color indexed="81"/>
            <rFont val="Tahoma"/>
            <family val="2"/>
          </rPr>
          <t xml:space="preserve">
Royalties ~40mn</t>
        </r>
      </text>
    </comment>
    <comment ref="BR102" authorId="1">
      <text>
        <r>
          <rPr>
            <b/>
            <sz val="8"/>
            <color indexed="81"/>
            <rFont val="Tahoma"/>
            <family val="2"/>
          </rPr>
          <t>DJF:</t>
        </r>
        <r>
          <rPr>
            <sz val="8"/>
            <color indexed="81"/>
            <rFont val="Tahoma"/>
            <family val="2"/>
          </rPr>
          <t xml:space="preserve">
Per AMD 10-K:
Net revenue from sales of GPU products </t>
        </r>
        <r>
          <rPr>
            <u/>
            <sz val="8"/>
            <color indexed="81"/>
            <rFont val="Tahoma"/>
            <family val="2"/>
          </rPr>
          <t>increased primarily due to an increase in both GPU unit shipments and average selling price</t>
        </r>
        <r>
          <rPr>
            <sz val="8"/>
            <color indexed="81"/>
            <rFont val="Tahoma"/>
            <family val="2"/>
          </rPr>
          <t xml:space="preserve">. Unit shipments increased due to strong demand for our </t>
        </r>
        <r>
          <rPr>
            <u/>
            <sz val="8"/>
            <color indexed="81"/>
            <rFont val="Tahoma"/>
            <family val="2"/>
          </rPr>
          <t>DX 11® —ATI Radeon™</t>
        </r>
        <r>
          <rPr>
            <sz val="8"/>
            <color indexed="81"/>
            <rFont val="Tahoma"/>
            <family val="2"/>
          </rPr>
          <t xml:space="preserve"> products. However, the increase was limited by supply constraints primarily related to </t>
        </r>
        <r>
          <rPr>
            <u/>
            <sz val="8"/>
            <color indexed="81"/>
            <rFont val="Tahoma"/>
            <family val="2"/>
          </rPr>
          <t>constrained wafer foundry capacity in the first half of 2010</t>
        </r>
        <r>
          <rPr>
            <sz val="8"/>
            <color indexed="81"/>
            <rFont val="Tahoma"/>
            <family val="2"/>
          </rPr>
          <t xml:space="preserve">. Supply constraints improved in the third quarter of 2010, and we did not experience any supply constraints during the fourth quarter of 2010. 
</t>
        </r>
        <r>
          <rPr>
            <b/>
            <sz val="8"/>
            <color indexed="81"/>
            <rFont val="Tahoma"/>
            <family val="2"/>
          </rPr>
          <t>ASP:</t>
        </r>
        <r>
          <rPr>
            <sz val="8"/>
            <color indexed="81"/>
            <rFont val="Tahoma"/>
            <family val="2"/>
          </rPr>
          <t xml:space="preserve"> GPU average selling price increased due to a </t>
        </r>
        <r>
          <rPr>
            <u/>
            <sz val="8"/>
            <color indexed="81"/>
            <rFont val="Tahoma"/>
            <family val="2"/>
          </rPr>
          <t>shift in our product mix</t>
        </r>
        <r>
          <rPr>
            <sz val="8"/>
            <color indexed="81"/>
            <rFont val="Tahoma"/>
            <family val="2"/>
          </rPr>
          <t xml:space="preserve"> to higher end GPU products. 
</t>
        </r>
      </text>
    </comment>
    <comment ref="BS102" authorId="1">
      <text>
        <r>
          <rPr>
            <b/>
            <sz val="8"/>
            <color indexed="81"/>
            <rFont val="Tahoma"/>
            <family val="2"/>
          </rPr>
          <t>DJF:</t>
        </r>
        <r>
          <rPr>
            <sz val="8"/>
            <color indexed="81"/>
            <rFont val="Tahoma"/>
            <family val="2"/>
          </rPr>
          <t xml:space="preserve">
Per AMD 10-K:
Net revenue from sales of GPU products decreased primarily due to a </t>
        </r>
        <r>
          <rPr>
            <u/>
            <sz val="8"/>
            <color indexed="81"/>
            <rFont val="Tahoma"/>
            <family val="2"/>
          </rPr>
          <t>decrease in both GPU unit shipments and average selling price</t>
        </r>
        <r>
          <rPr>
            <sz val="8"/>
            <color indexed="81"/>
            <rFont val="Tahoma"/>
            <family val="2"/>
          </rPr>
          <t xml:space="preserve">. The decrease in GPU unit shipments was primarily </t>
        </r>
        <r>
          <rPr>
            <u/>
            <sz val="8"/>
            <color indexed="81"/>
            <rFont val="Tahoma"/>
            <family val="2"/>
          </rPr>
          <t>due to lower customer demand</t>
        </r>
        <r>
          <rPr>
            <sz val="8"/>
            <color indexed="81"/>
            <rFont val="Tahoma"/>
            <family val="2"/>
          </rPr>
          <t xml:space="preserve"> which we believe was due in part to the disruption in the supply of hard disk drives caused by the flooding in Thailand at the beginning of 2011.  (</t>
        </r>
        <r>
          <rPr>
            <b/>
            <sz val="8"/>
            <color indexed="81"/>
            <rFont val="Tahoma"/>
            <family val="2"/>
          </rPr>
          <t>Note:</t>
        </r>
        <r>
          <rPr>
            <sz val="8"/>
            <color indexed="81"/>
            <rFont val="Tahoma"/>
            <family val="2"/>
          </rPr>
          <t xml:space="preserve"> AMD also highlighted supply disruptions in 1H10 and 3Q10 due to foundry)
</t>
        </r>
        <r>
          <rPr>
            <b/>
            <sz val="8"/>
            <color indexed="81"/>
            <rFont val="Tahoma"/>
            <family val="2"/>
          </rPr>
          <t>ASPs:</t>
        </r>
        <r>
          <rPr>
            <sz val="8"/>
            <color indexed="81"/>
            <rFont val="Tahoma"/>
            <family val="2"/>
          </rPr>
          <t xml:space="preserve"> GPU average selling price decreased due to a </t>
        </r>
        <r>
          <rPr>
            <u/>
            <sz val="8"/>
            <color indexed="81"/>
            <rFont val="Tahoma"/>
            <family val="2"/>
          </rPr>
          <t>shift in our product mix to lower end GPU products</t>
        </r>
        <r>
          <rPr>
            <sz val="8"/>
            <color indexed="81"/>
            <rFont val="Tahoma"/>
            <family val="2"/>
          </rPr>
          <t xml:space="preserve">. 
</t>
        </r>
      </text>
    </comment>
    <comment ref="AH105" authorId="1">
      <text>
        <r>
          <rPr>
            <b/>
            <sz val="8"/>
            <color indexed="81"/>
            <rFont val="Tahoma"/>
            <family val="2"/>
          </rPr>
          <t>DJF:</t>
        </r>
        <r>
          <rPr>
            <sz val="8"/>
            <color indexed="81"/>
            <rFont val="Tahoma"/>
            <family val="2"/>
          </rPr>
          <t xml:space="preserve">
down 14% q/q</t>
        </r>
      </text>
    </comment>
    <comment ref="AK105" authorId="1">
      <text>
        <r>
          <rPr>
            <b/>
            <sz val="8"/>
            <color indexed="81"/>
            <rFont val="Tahoma"/>
            <family val="2"/>
          </rPr>
          <t>DJF:</t>
        </r>
        <r>
          <rPr>
            <sz val="8"/>
            <color indexed="81"/>
            <rFont val="Tahoma"/>
            <family val="2"/>
          </rPr>
          <t xml:space="preserve">
Flat q/q</t>
        </r>
      </text>
    </comment>
    <comment ref="AG106" authorId="1">
      <text>
        <r>
          <rPr>
            <b/>
            <sz val="8"/>
            <color indexed="81"/>
            <rFont val="Tahoma"/>
            <family val="2"/>
          </rPr>
          <t>DJF:</t>
        </r>
        <r>
          <rPr>
            <sz val="8"/>
            <color indexed="81"/>
            <rFont val="Tahoma"/>
            <family val="2"/>
          </rPr>
          <t xml:space="preserve">
flat q/q</t>
        </r>
      </text>
    </comment>
    <comment ref="AI106" authorId="1">
      <text>
        <r>
          <rPr>
            <b/>
            <sz val="8"/>
            <color indexed="81"/>
            <rFont val="Tahoma"/>
            <family val="2"/>
          </rPr>
          <t>DJF:</t>
        </r>
        <r>
          <rPr>
            <sz val="8"/>
            <color indexed="81"/>
            <rFont val="Tahoma"/>
            <family val="2"/>
          </rPr>
          <t xml:space="preserve">
seasonal increase</t>
        </r>
      </text>
    </comment>
    <comment ref="AJ106" authorId="1">
      <text>
        <r>
          <rPr>
            <b/>
            <sz val="8"/>
            <color indexed="81"/>
            <rFont val="Tahoma"/>
            <family val="2"/>
          </rPr>
          <t>DJF:</t>
        </r>
        <r>
          <rPr>
            <sz val="8"/>
            <color indexed="81"/>
            <rFont val="Tahoma"/>
            <family val="2"/>
          </rPr>
          <t xml:space="preserve">
Increased q/q.  Includes 1x milestone payment</t>
        </r>
      </text>
    </comment>
    <comment ref="AK106" authorId="1">
      <text>
        <r>
          <rPr>
            <b/>
            <sz val="8"/>
            <color indexed="81"/>
            <rFont val="Tahoma"/>
            <family val="2"/>
          </rPr>
          <t>DJF:</t>
        </r>
        <r>
          <rPr>
            <sz val="8"/>
            <color indexed="81"/>
            <rFont val="Tahoma"/>
            <family val="2"/>
          </rPr>
          <t xml:space="preserve">
per IR, ~40mn royalties last Q</t>
        </r>
      </text>
    </comment>
    <comment ref="AF111" authorId="1">
      <text>
        <r>
          <rPr>
            <b/>
            <sz val="8"/>
            <color indexed="81"/>
            <rFont val="Tahoma"/>
            <family val="2"/>
          </rPr>
          <t>DJF:</t>
        </r>
        <r>
          <rPr>
            <sz val="8"/>
            <color indexed="81"/>
            <rFont val="Tahoma"/>
            <family val="2"/>
          </rPr>
          <t xml:space="preserve">
Ramping 28nm AMD Radeon HD 7000 series GPUs, which have higher manufacturing costs</t>
        </r>
      </text>
    </comment>
    <comment ref="AK111" authorId="1">
      <text>
        <r>
          <rPr>
            <b/>
            <sz val="8"/>
            <color indexed="81"/>
            <rFont val="Tahoma"/>
            <family val="2"/>
          </rPr>
          <t>DJF:</t>
        </r>
        <r>
          <rPr>
            <sz val="8"/>
            <color indexed="81"/>
            <rFont val="Tahoma"/>
            <family val="2"/>
          </rPr>
          <t xml:space="preserve">
flat q/q</t>
        </r>
      </text>
    </comment>
    <comment ref="AG112" authorId="1">
      <text>
        <r>
          <rPr>
            <b/>
            <sz val="8"/>
            <color indexed="81"/>
            <rFont val="Tahoma"/>
            <family val="2"/>
          </rPr>
          <t>DJF:</t>
        </r>
        <r>
          <rPr>
            <sz val="8"/>
            <color indexed="81"/>
            <rFont val="Tahoma"/>
            <family val="2"/>
          </rPr>
          <t xml:space="preserve">
Graphics declined primarily due to seasonally lower shipments in add-in board products.</t>
        </r>
      </text>
    </comment>
    <comment ref="AH112" authorId="11">
      <text>
        <r>
          <rPr>
            <b/>
            <sz val="8"/>
            <color indexed="81"/>
            <rFont val="Tahoma"/>
            <family val="2"/>
          </rPr>
          <t>DJF 10/18/12:</t>
        </r>
        <r>
          <rPr>
            <sz val="8"/>
            <color indexed="81"/>
            <rFont val="Tahoma"/>
            <family val="2"/>
          </rPr>
          <t xml:space="preserve">
down 14% Q/Q</t>
        </r>
      </text>
    </comment>
    <comment ref="AT112" authorId="5">
      <text>
        <r>
          <rPr>
            <b/>
            <sz val="9"/>
            <color indexed="81"/>
            <rFont val="Tahoma"/>
            <family val="2"/>
          </rPr>
          <t>Lim, Alvin (Research):</t>
        </r>
        <r>
          <rPr>
            <sz val="9"/>
            <color indexed="81"/>
            <rFont val="Tahoma"/>
            <family val="2"/>
          </rPr>
          <t xml:space="preserve">
double digit q/q in high end enthusiast and performance GPU</t>
        </r>
      </text>
    </comment>
    <comment ref="AF114" authorId="6">
      <text>
        <r>
          <rPr>
            <b/>
            <sz val="8"/>
            <color indexed="81"/>
            <rFont val="Tahoma"/>
            <family val="2"/>
          </rPr>
          <t>moorejos:</t>
        </r>
        <r>
          <rPr>
            <sz val="8"/>
            <color indexed="81"/>
            <rFont val="Tahoma"/>
            <family val="2"/>
          </rPr>
          <t xml:space="preserve">
up qoq due to units and ASPs</t>
        </r>
      </text>
    </comment>
    <comment ref="AF115" authorId="6">
      <text>
        <r>
          <rPr>
            <b/>
            <sz val="8"/>
            <color indexed="81"/>
            <rFont val="Tahoma"/>
            <family val="2"/>
          </rPr>
          <t>moorejos:</t>
        </r>
        <r>
          <rPr>
            <sz val="8"/>
            <color indexed="81"/>
            <rFont val="Tahoma"/>
            <family val="2"/>
          </rPr>
          <t xml:space="preserve">
Down 11% y/y, with ASPs slightly up. Decrease due to lower demand.  ASPs up dude to higher ASPs for graphics add-in board channel products.</t>
        </r>
      </text>
    </comment>
    <comment ref="AD117" authorId="0">
      <text>
        <r>
          <rPr>
            <b/>
            <sz val="8"/>
            <color indexed="81"/>
            <rFont val="Tahoma"/>
            <family val="2"/>
          </rPr>
          <t>visv:</t>
        </r>
        <r>
          <rPr>
            <sz val="8"/>
            <color indexed="81"/>
            <rFont val="Tahoma"/>
            <family val="2"/>
          </rPr>
          <t xml:space="preserve">
10/27/11 - Higher GPU Units </t>
        </r>
      </text>
    </comment>
    <comment ref="AE117" authorId="1">
      <text>
        <r>
          <rPr>
            <b/>
            <sz val="8"/>
            <color indexed="81"/>
            <rFont val="Tahoma"/>
            <family val="2"/>
          </rPr>
          <t>DJF:</t>
        </r>
        <r>
          <rPr>
            <sz val="8"/>
            <color indexed="81"/>
            <rFont val="Tahoma"/>
            <family val="2"/>
          </rPr>
          <t xml:space="preserve">
Per 10-K:  We also launched the AMD Radeon HD 7970 graphics processor in December 2011, our first graphics processor based on 28nm process technology and AMD’s Graphic Core Next Technology.</t>
        </r>
      </text>
    </comment>
    <comment ref="AK117" authorId="1">
      <text>
        <r>
          <rPr>
            <b/>
            <sz val="8"/>
            <color indexed="81"/>
            <rFont val="Tahoma"/>
            <family val="2"/>
          </rPr>
          <t>DJF:</t>
        </r>
        <r>
          <rPr>
            <sz val="8"/>
            <color indexed="81"/>
            <rFont val="Tahoma"/>
            <family val="2"/>
          </rPr>
          <t xml:space="preserve">
increased q/q</t>
        </r>
      </text>
    </comment>
    <comment ref="AF118" authorId="1">
      <text>
        <r>
          <rPr>
            <b/>
            <sz val="8"/>
            <color indexed="81"/>
            <rFont val="Tahoma"/>
            <family val="2"/>
          </rPr>
          <t>DJF:</t>
        </r>
        <r>
          <rPr>
            <sz val="8"/>
            <color indexed="81"/>
            <rFont val="Tahoma"/>
            <family val="2"/>
          </rPr>
          <t xml:space="preserve">
up Q/Q, per 10-Q, due to higher demand for mobile graphics</t>
        </r>
      </text>
    </comment>
    <comment ref="AG118" authorId="1">
      <text>
        <r>
          <rPr>
            <b/>
            <sz val="8"/>
            <color indexed="81"/>
            <rFont val="Tahoma"/>
            <family val="2"/>
          </rPr>
          <t>DJF:</t>
        </r>
        <r>
          <rPr>
            <sz val="8"/>
            <color indexed="81"/>
            <rFont val="Tahoma"/>
            <family val="2"/>
          </rPr>
          <t xml:space="preserve">
Implied down 5%</t>
        </r>
      </text>
    </comment>
    <comment ref="AK121" authorId="1">
      <text>
        <r>
          <rPr>
            <b/>
            <sz val="8"/>
            <color indexed="81"/>
            <rFont val="Tahoma"/>
            <family val="2"/>
          </rPr>
          <t>DJF:</t>
        </r>
        <r>
          <rPr>
            <sz val="8"/>
            <color indexed="81"/>
            <rFont val="Tahoma"/>
            <family val="2"/>
          </rPr>
          <t xml:space="preserve">
declined q/q</t>
        </r>
      </text>
    </comment>
    <comment ref="AF122" authorId="1">
      <text>
        <r>
          <rPr>
            <b/>
            <sz val="8"/>
            <color indexed="81"/>
            <rFont val="Tahoma"/>
            <family val="2"/>
          </rPr>
          <t>DJF:</t>
        </r>
        <r>
          <rPr>
            <sz val="8"/>
            <color indexed="81"/>
            <rFont val="Tahoma"/>
            <family val="2"/>
          </rPr>
          <t xml:space="preserve">
up Q/Q, per 10-Q, primarily due to higher ASPs for desktops graphics in the channel</t>
        </r>
      </text>
    </comment>
    <comment ref="AG122" authorId="1">
      <text>
        <r>
          <rPr>
            <b/>
            <sz val="8"/>
            <color indexed="81"/>
            <rFont val="Tahoma"/>
            <family val="2"/>
          </rPr>
          <t>DJF:</t>
        </r>
        <r>
          <rPr>
            <sz val="8"/>
            <color indexed="81"/>
            <rFont val="Tahoma"/>
            <family val="2"/>
          </rPr>
          <t xml:space="preserve">
Flat Q/Q</t>
        </r>
      </text>
    </comment>
    <comment ref="AH122" authorId="11">
      <text>
        <r>
          <rPr>
            <b/>
            <sz val="8"/>
            <color indexed="81"/>
            <rFont val="Tahoma"/>
            <family val="2"/>
          </rPr>
          <t>DJF 10/18/12:</t>
        </r>
        <r>
          <rPr>
            <sz val="8"/>
            <color indexed="81"/>
            <rFont val="Tahoma"/>
            <family val="2"/>
          </rPr>
          <t xml:space="preserve">
Up Q/Q</t>
        </r>
      </text>
    </comment>
    <comment ref="AJ122" authorId="1">
      <text>
        <r>
          <rPr>
            <b/>
            <sz val="8"/>
            <color indexed="81"/>
            <rFont val="Tahoma"/>
            <family val="2"/>
          </rPr>
          <t>DJF:</t>
        </r>
        <r>
          <rPr>
            <sz val="8"/>
            <color indexed="81"/>
            <rFont val="Tahoma"/>
            <family val="2"/>
          </rPr>
          <t xml:space="preserve">
ASPs up</t>
        </r>
      </text>
    </comment>
    <comment ref="AM122" authorId="4">
      <text>
        <r>
          <rPr>
            <b/>
            <sz val="8"/>
            <color indexed="81"/>
            <rFont val="Tahoma"/>
            <family val="2"/>
          </rPr>
          <t>alicit:</t>
        </r>
        <r>
          <rPr>
            <sz val="8"/>
            <color indexed="81"/>
            <rFont val="Tahoma"/>
            <family val="2"/>
          </rPr>
          <t xml:space="preserve">
reported up q/q</t>
        </r>
      </text>
    </comment>
    <comment ref="AT122" authorId="5">
      <text>
        <r>
          <rPr>
            <b/>
            <sz val="9"/>
            <color indexed="81"/>
            <rFont val="Tahoma"/>
            <family val="2"/>
          </rPr>
          <t>Lim, Alvin (Research):</t>
        </r>
        <r>
          <rPr>
            <sz val="9"/>
            <color indexed="81"/>
            <rFont val="Tahoma"/>
            <family val="2"/>
          </rPr>
          <t xml:space="preserve">
flat q/q</t>
        </r>
      </text>
    </comment>
    <comment ref="AU122" authorId="5">
      <text>
        <r>
          <rPr>
            <b/>
            <sz val="9"/>
            <color indexed="81"/>
            <rFont val="Tahoma"/>
            <family val="2"/>
          </rPr>
          <t>Lim, Alvin (Research):</t>
        </r>
        <r>
          <rPr>
            <sz val="9"/>
            <color indexed="81"/>
            <rFont val="Tahoma"/>
            <family val="2"/>
          </rPr>
          <t xml:space="preserve">
up q/q</t>
        </r>
      </text>
    </comment>
    <comment ref="AV122" authorId="5">
      <text>
        <r>
          <rPr>
            <b/>
            <sz val="9"/>
            <color indexed="81"/>
            <rFont val="Tahoma"/>
            <family val="2"/>
          </rPr>
          <t>Lim, Alvin (Research):</t>
        </r>
        <r>
          <rPr>
            <sz val="9"/>
            <color indexed="81"/>
            <rFont val="Tahoma"/>
            <family val="2"/>
          </rPr>
          <t xml:space="preserve">
down q/q </t>
        </r>
      </text>
    </comment>
    <comment ref="AW122" authorId="5">
      <text>
        <r>
          <rPr>
            <b/>
            <sz val="9"/>
            <color indexed="81"/>
            <rFont val="Tahoma"/>
            <family val="2"/>
          </rPr>
          <t>Lim, Alvin (Research):</t>
        </r>
        <r>
          <rPr>
            <sz val="9"/>
            <color indexed="81"/>
            <rFont val="Tahoma"/>
            <family val="2"/>
          </rPr>
          <t xml:space="preserve">
flat q/q (using q/q)
down y/y</t>
        </r>
      </text>
    </comment>
    <comment ref="AX122" authorId="9">
      <text>
        <r>
          <rPr>
            <b/>
            <sz val="9"/>
            <color indexed="81"/>
            <rFont val="Tahoma"/>
            <family val="2"/>
          </rPr>
          <t>Rao, Vinayak (Research):</t>
        </r>
        <r>
          <rPr>
            <sz val="9"/>
            <color indexed="81"/>
            <rFont val="Tahoma"/>
            <family val="2"/>
          </rPr>
          <t xml:space="preserve">
Increased q/q</t>
        </r>
      </text>
    </comment>
    <comment ref="AG123" authorId="1">
      <text>
        <r>
          <rPr>
            <b/>
            <sz val="8"/>
            <color indexed="81"/>
            <rFont val="Tahoma"/>
            <family val="2"/>
          </rPr>
          <t>DJF:</t>
        </r>
        <r>
          <rPr>
            <sz val="8"/>
            <color indexed="81"/>
            <rFont val="Tahoma"/>
            <family val="2"/>
          </rPr>
          <t xml:space="preserve">
Up y/y due to improved product mix</t>
        </r>
      </text>
    </comment>
    <comment ref="AM123" authorId="4">
      <text>
        <r>
          <rPr>
            <b/>
            <sz val="8"/>
            <color indexed="81"/>
            <rFont val="Tahoma"/>
            <family val="2"/>
          </rPr>
          <t>alicit:</t>
        </r>
        <r>
          <rPr>
            <sz val="8"/>
            <color indexed="81"/>
            <rFont val="Tahoma"/>
            <family val="2"/>
          </rPr>
          <t xml:space="preserve">
reported up y/y</t>
        </r>
      </text>
    </comment>
    <comment ref="AT123" authorId="5">
      <text>
        <r>
          <rPr>
            <b/>
            <sz val="9"/>
            <color indexed="81"/>
            <rFont val="Tahoma"/>
            <family val="2"/>
          </rPr>
          <t>Lim, Alvin (Research):</t>
        </r>
        <r>
          <rPr>
            <sz val="9"/>
            <color indexed="81"/>
            <rFont val="Tahoma"/>
            <family val="2"/>
          </rPr>
          <t xml:space="preserve">
up y/y</t>
        </r>
      </text>
    </comment>
    <comment ref="AU123" authorId="5">
      <text>
        <r>
          <rPr>
            <b/>
            <sz val="9"/>
            <color indexed="81"/>
            <rFont val="Tahoma"/>
            <family val="2"/>
          </rPr>
          <t>Lim, Alvin (Research):</t>
        </r>
        <r>
          <rPr>
            <sz val="9"/>
            <color indexed="81"/>
            <rFont val="Tahoma"/>
            <family val="2"/>
          </rPr>
          <t xml:space="preserve">
up y/y</t>
        </r>
      </text>
    </comment>
    <comment ref="AV123" authorId="5">
      <text>
        <r>
          <rPr>
            <b/>
            <sz val="9"/>
            <color indexed="81"/>
            <rFont val="Tahoma"/>
            <family val="2"/>
          </rPr>
          <t>Lim, Alvin (Research):</t>
        </r>
        <r>
          <rPr>
            <sz val="9"/>
            <color indexed="81"/>
            <rFont val="Tahoma"/>
            <family val="2"/>
          </rPr>
          <t xml:space="preserve">
up y/y</t>
        </r>
      </text>
    </comment>
    <comment ref="AX123" authorId="9">
      <text>
        <r>
          <rPr>
            <b/>
            <sz val="9"/>
            <color indexed="81"/>
            <rFont val="Tahoma"/>
            <family val="2"/>
          </rPr>
          <t>Rao, Vinayak (Research):</t>
        </r>
        <r>
          <rPr>
            <sz val="9"/>
            <color indexed="81"/>
            <rFont val="Tahoma"/>
            <family val="2"/>
          </rPr>
          <t xml:space="preserve">
Increased y/y</t>
        </r>
      </text>
    </comment>
    <comment ref="T127" authorId="5">
      <text>
        <r>
          <rPr>
            <b/>
            <sz val="9"/>
            <color indexed="81"/>
            <rFont val="Tahoma"/>
            <family val="2"/>
          </rPr>
          <t>Lim, Alvin (Research):</t>
        </r>
        <r>
          <rPr>
            <sz val="9"/>
            <color indexed="81"/>
            <rFont val="Tahoma"/>
            <family val="2"/>
          </rPr>
          <t xml:space="preserve">
'MS GPU Model'!T26</t>
        </r>
      </text>
    </comment>
    <comment ref="AJ128" authorId="1">
      <text>
        <r>
          <rPr>
            <b/>
            <sz val="8"/>
            <color indexed="81"/>
            <rFont val="Tahoma"/>
            <family val="2"/>
          </rPr>
          <t>DJF:</t>
        </r>
        <r>
          <rPr>
            <sz val="8"/>
            <color indexed="81"/>
            <rFont val="Tahoma"/>
            <family val="2"/>
          </rPr>
          <t xml:space="preserve">
higher channel sales</t>
        </r>
      </text>
    </comment>
    <comment ref="AS128" authorId="5">
      <text>
        <r>
          <rPr>
            <b/>
            <sz val="9"/>
            <color indexed="81"/>
            <rFont val="Tahoma"/>
            <family val="2"/>
          </rPr>
          <t>Lim, Alvin (Research):</t>
        </r>
        <r>
          <rPr>
            <sz val="9"/>
            <color indexed="81"/>
            <rFont val="Tahoma"/>
            <family val="2"/>
          </rPr>
          <t xml:space="preserve">
up q/q</t>
        </r>
      </text>
    </comment>
    <comment ref="AV128" authorId="5">
      <text>
        <r>
          <rPr>
            <b/>
            <sz val="9"/>
            <color indexed="81"/>
            <rFont val="Tahoma"/>
            <family val="2"/>
          </rPr>
          <t>Lim, Alvin (Research):</t>
        </r>
        <r>
          <rPr>
            <sz val="9"/>
            <color indexed="81"/>
            <rFont val="Tahoma"/>
            <family val="2"/>
          </rPr>
          <t xml:space="preserve">
up double digit q/q</t>
        </r>
      </text>
    </comment>
    <comment ref="T129" authorId="5">
      <text>
        <r>
          <rPr>
            <b/>
            <sz val="9"/>
            <color indexed="81"/>
            <rFont val="Tahoma"/>
            <family val="2"/>
          </rPr>
          <t>Lim, Alvin (Research):</t>
        </r>
        <r>
          <rPr>
            <sz val="9"/>
            <color indexed="81"/>
            <rFont val="Tahoma"/>
            <family val="2"/>
          </rPr>
          <t xml:space="preserve">
SEMI CAP\Company\INTC\[MS MPU Model.xls]Total GPU'!C$13</t>
        </r>
      </text>
    </comment>
    <comment ref="AD129" authorId="0">
      <text>
        <r>
          <rPr>
            <b/>
            <sz val="8"/>
            <color indexed="81"/>
            <rFont val="Tahoma"/>
            <family val="2"/>
          </rPr>
          <t>visv:</t>
        </r>
        <r>
          <rPr>
            <sz val="8"/>
            <color indexed="81"/>
            <rFont val="Tahoma"/>
            <family val="2"/>
          </rPr>
          <t xml:space="preserve">
10/27/11 - Higher GPU ASP </t>
        </r>
      </text>
    </comment>
    <comment ref="AE129" authorId="0">
      <text>
        <r>
          <rPr>
            <b/>
            <sz val="8"/>
            <color indexed="81"/>
            <rFont val="Tahoma"/>
            <family val="2"/>
          </rPr>
          <t>visv:</t>
        </r>
        <r>
          <rPr>
            <sz val="8"/>
            <color indexed="81"/>
            <rFont val="Tahoma"/>
            <family val="2"/>
          </rPr>
          <t xml:space="preserve">
01/24/12 - Earnings Call
GPU ASP up q/q</t>
        </r>
      </text>
    </comment>
    <comment ref="AN130" authorId="13">
      <text>
        <r>
          <rPr>
            <b/>
            <sz val="9"/>
            <color indexed="81"/>
            <rFont val="Tahoma"/>
            <family val="2"/>
          </rPr>
          <t>Moore, Joseph Jr. (Research):</t>
        </r>
        <r>
          <rPr>
            <sz val="9"/>
            <color indexed="81"/>
            <rFont val="Tahoma"/>
            <family val="2"/>
          </rPr>
          <t xml:space="preserve">
mac pro win drives up asp</t>
        </r>
      </text>
    </comment>
    <comment ref="AR130" authorId="5">
      <text>
        <r>
          <rPr>
            <b/>
            <sz val="9"/>
            <color indexed="81"/>
            <rFont val="Tahoma"/>
            <family val="2"/>
          </rPr>
          <t>Lim, Alvin (Research):</t>
        </r>
        <r>
          <rPr>
            <sz val="9"/>
            <color indexed="81"/>
            <rFont val="Tahoma"/>
            <family val="2"/>
          </rPr>
          <t xml:space="preserve">
GPU ASP Increased</t>
        </r>
      </text>
    </comment>
    <comment ref="AS130" authorId="5">
      <text>
        <r>
          <rPr>
            <b/>
            <sz val="9"/>
            <color indexed="81"/>
            <rFont val="Tahoma"/>
            <family val="2"/>
          </rPr>
          <t>Lim, Alvin (Research):</t>
        </r>
        <r>
          <rPr>
            <sz val="9"/>
            <color indexed="81"/>
            <rFont val="Tahoma"/>
            <family val="2"/>
          </rPr>
          <t xml:space="preserve">
up y/y q/q</t>
        </r>
      </text>
    </comment>
    <comment ref="AU130" authorId="5">
      <text>
        <r>
          <rPr>
            <b/>
            <sz val="9"/>
            <color indexed="81"/>
            <rFont val="Tahoma"/>
            <family val="2"/>
          </rPr>
          <t>Lim, Alvin (Research):</t>
        </r>
        <r>
          <rPr>
            <sz val="9"/>
            <color indexed="81"/>
            <rFont val="Tahoma"/>
            <family val="2"/>
          </rPr>
          <t xml:space="preserve">
A: higher asp</t>
        </r>
      </text>
    </comment>
    <comment ref="T136" authorId="5">
      <text>
        <r>
          <rPr>
            <b/>
            <sz val="9"/>
            <color indexed="81"/>
            <rFont val="Tahoma"/>
            <family val="2"/>
          </rPr>
          <t>Lim, Alvin (Research):</t>
        </r>
        <r>
          <rPr>
            <sz val="9"/>
            <color indexed="81"/>
            <rFont val="Tahoma"/>
            <family val="2"/>
          </rPr>
          <t xml:space="preserve">
'MS GPU Model'!AF28</t>
        </r>
      </text>
    </comment>
    <comment ref="AH136" authorId="10">
      <text>
        <r>
          <rPr>
            <b/>
            <sz val="8"/>
            <color indexed="81"/>
            <rFont val="Tahoma"/>
            <family val="2"/>
          </rPr>
          <t>DJF 6/18/12:</t>
        </r>
        <r>
          <rPr>
            <sz val="8"/>
            <color indexed="81"/>
            <rFont val="Tahoma"/>
            <family val="2"/>
          </rPr>
          <t xml:space="preserve">
MacBook Pro did ~630k units in 1Q12.  AMD lost graphics to Nvidia GeForce</t>
        </r>
      </text>
    </comment>
    <comment ref="T138" authorId="5">
      <text>
        <r>
          <rPr>
            <b/>
            <sz val="9"/>
            <color indexed="81"/>
            <rFont val="Tahoma"/>
            <family val="2"/>
          </rPr>
          <t>Lim, Alvin (Research):</t>
        </r>
        <r>
          <rPr>
            <sz val="9"/>
            <color indexed="81"/>
            <rFont val="Tahoma"/>
            <family val="2"/>
          </rPr>
          <t xml:space="preserve">
SEMI CAP\Company\INTC\[MS MPU Model.xls]Total GPU'!C$15</t>
        </r>
      </text>
    </comment>
    <comment ref="AR139" authorId="5">
      <text>
        <r>
          <rPr>
            <b/>
            <sz val="9"/>
            <color indexed="81"/>
            <rFont val="Tahoma"/>
            <family val="2"/>
          </rPr>
          <t>Lim, Alvin (Research):</t>
        </r>
        <r>
          <rPr>
            <sz val="9"/>
            <color indexed="81"/>
            <rFont val="Tahoma"/>
            <family val="2"/>
          </rPr>
          <t xml:space="preserve">
GPU ASP Increased</t>
        </r>
      </text>
    </comment>
    <comment ref="AS139" authorId="5">
      <text>
        <r>
          <rPr>
            <b/>
            <sz val="9"/>
            <color indexed="81"/>
            <rFont val="Tahoma"/>
            <family val="2"/>
          </rPr>
          <t>Lim, Alvin (Research):</t>
        </r>
        <r>
          <rPr>
            <sz val="9"/>
            <color indexed="81"/>
            <rFont val="Tahoma"/>
            <family val="2"/>
          </rPr>
          <t xml:space="preserve">
up y/y q/q</t>
        </r>
      </text>
    </comment>
    <comment ref="AF146" authorId="1">
      <text>
        <r>
          <rPr>
            <b/>
            <sz val="8"/>
            <color indexed="81"/>
            <rFont val="Tahoma"/>
            <family val="2"/>
          </rPr>
          <t>DJF:</t>
        </r>
        <r>
          <rPr>
            <sz val="8"/>
            <color indexed="81"/>
            <rFont val="Tahoma"/>
            <family val="2"/>
          </rPr>
          <t xml:space="preserve">
Per 10-Q: 32% y/y increase in royalties.  Check this number.
Seasonally weak Q</t>
        </r>
      </text>
    </comment>
    <comment ref="AG146" authorId="1">
      <text>
        <r>
          <rPr>
            <b/>
            <sz val="8"/>
            <color indexed="81"/>
            <rFont val="Tahoma"/>
            <family val="2"/>
          </rPr>
          <t>DJF:</t>
        </r>
        <r>
          <rPr>
            <sz val="8"/>
            <color indexed="81"/>
            <rFont val="Tahoma"/>
            <family val="2"/>
          </rPr>
          <t xml:space="preserve">
Up y/y, flat Q/Q</t>
        </r>
      </text>
    </comment>
    <comment ref="AH146" authorId="11">
      <text>
        <r>
          <rPr>
            <b/>
            <sz val="8"/>
            <color indexed="81"/>
            <rFont val="Tahoma"/>
            <family val="2"/>
          </rPr>
          <t>DJF 10/18/12:</t>
        </r>
        <r>
          <rPr>
            <sz val="8"/>
            <color indexed="81"/>
            <rFont val="Tahoma"/>
            <family val="2"/>
          </rPr>
          <t xml:space="preserve">
Per CC, game console up Q/Q</t>
        </r>
      </text>
    </comment>
    <comment ref="AI146" authorId="8">
      <text>
        <r>
          <rPr>
            <b/>
            <sz val="8"/>
            <color indexed="81"/>
            <rFont val="Tahoma"/>
            <family val="2"/>
          </rPr>
          <t>DJF 1/22/13:</t>
        </r>
        <r>
          <rPr>
            <sz val="8"/>
            <color indexed="81"/>
            <rFont val="Tahoma"/>
            <family val="2"/>
          </rPr>
          <t xml:space="preserve">
up Q/Q</t>
        </r>
      </text>
    </comment>
    <comment ref="AJ146" authorId="1">
      <text>
        <r>
          <rPr>
            <b/>
            <sz val="8"/>
            <color indexed="81"/>
            <rFont val="Tahoma"/>
            <family val="2"/>
          </rPr>
          <t>DJF:</t>
        </r>
        <r>
          <rPr>
            <sz val="8"/>
            <color indexed="81"/>
            <rFont val="Tahoma"/>
            <family val="2"/>
          </rPr>
          <t xml:space="preserve">
Includes a milestone payment, likely around $40-50mn.</t>
        </r>
      </text>
    </comment>
    <comment ref="AK146" authorId="1">
      <text>
        <r>
          <rPr>
            <b/>
            <sz val="8"/>
            <color indexed="81"/>
            <rFont val="Tahoma"/>
            <family val="2"/>
          </rPr>
          <t>DJF:</t>
        </r>
        <r>
          <rPr>
            <sz val="8"/>
            <color indexed="81"/>
            <rFont val="Tahoma"/>
            <family val="2"/>
          </rPr>
          <t xml:space="preserve">
down q/q</t>
        </r>
      </text>
    </comment>
    <comment ref="AV146" authorId="5">
      <text>
        <r>
          <rPr>
            <b/>
            <sz val="9"/>
            <color indexed="81"/>
            <rFont val="Tahoma"/>
            <family val="2"/>
          </rPr>
          <t>Lim, Alvin (Research):</t>
        </r>
        <r>
          <rPr>
            <sz val="9"/>
            <color indexed="81"/>
            <rFont val="Tahoma"/>
            <family val="2"/>
          </rPr>
          <t xml:space="preserve">
down q/q </t>
        </r>
      </text>
    </comment>
    <comment ref="BX149" authorId="5">
      <text>
        <r>
          <rPr>
            <b/>
            <sz val="9"/>
            <color indexed="81"/>
            <rFont val="Tahoma"/>
            <family val="2"/>
          </rPr>
          <t>Lim, Alvin (Research):</t>
        </r>
        <r>
          <rPr>
            <sz val="9"/>
            <color indexed="81"/>
            <rFont val="Tahoma"/>
            <family val="2"/>
          </rPr>
          <t xml:space="preserve">
G: Units up</t>
        </r>
      </text>
    </comment>
    <comment ref="BV152" authorId="1">
      <text>
        <r>
          <rPr>
            <b/>
            <sz val="8"/>
            <color indexed="81"/>
            <rFont val="Tahoma"/>
            <family val="2"/>
          </rPr>
          <t>DJF:</t>
        </r>
        <r>
          <rPr>
            <sz val="8"/>
            <color indexed="81"/>
            <rFont val="Tahoma"/>
            <family val="2"/>
          </rPr>
          <t xml:space="preserve">
Assume 2013 builds borrow from 2014</t>
        </r>
      </text>
    </comment>
    <comment ref="BV166" authorId="1">
      <text>
        <r>
          <rPr>
            <b/>
            <sz val="8"/>
            <color indexed="81"/>
            <rFont val="Tahoma"/>
            <family val="2"/>
          </rPr>
          <t>DJF:</t>
        </r>
        <r>
          <rPr>
            <sz val="8"/>
            <color indexed="81"/>
            <rFont val="Tahoma"/>
            <family val="2"/>
          </rPr>
          <t xml:space="preserve">
Assume 2013 builds borrow from 2014</t>
        </r>
      </text>
    </comment>
  </commentList>
</comments>
</file>

<file path=xl/sharedStrings.xml><?xml version="1.0" encoding="utf-8"?>
<sst xmlns="http://schemas.openxmlformats.org/spreadsheetml/2006/main" count="1338" uniqueCount="1020">
  <si>
    <t>COGS - MW</t>
  </si>
  <si>
    <t>Gross Profit - MW</t>
  </si>
  <si>
    <t>Gross Margin - MW</t>
  </si>
  <si>
    <t>R&amp;D - MW</t>
  </si>
  <si>
    <t>Other OpEx - MW</t>
  </si>
  <si>
    <t>Operating Expenses - MW</t>
  </si>
  <si>
    <t>Operating Income - MW</t>
  </si>
  <si>
    <t>Total Interest Income (net) and Other Income - MW</t>
  </si>
  <si>
    <t>PBT - MW</t>
  </si>
  <si>
    <t>Income Tax Expense (Benefit) - MW</t>
  </si>
  <si>
    <t>Effective tax rate MW</t>
  </si>
  <si>
    <t>Net Income Margin GAAP %</t>
  </si>
  <si>
    <t>EPS - GAAP</t>
  </si>
  <si>
    <t xml:space="preserve">EPS - MW </t>
  </si>
  <si>
    <t>Average Basic Shares - GAAP</t>
  </si>
  <si>
    <t>Average Diluted Shares - GAAP</t>
  </si>
  <si>
    <t>Dilution Ratio</t>
  </si>
  <si>
    <t>Period-end Shares</t>
  </si>
  <si>
    <t>Dividends Declared Per Share</t>
  </si>
  <si>
    <t>Average Price Per Share</t>
  </si>
  <si>
    <t>Cost of equity</t>
  </si>
  <si>
    <t>Statutory Tax (%)</t>
  </si>
  <si>
    <t>Operating Expenses</t>
  </si>
  <si>
    <t>Total Costs</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</si>
  <si>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</si>
  <si>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</si>
  <si>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</si>
  <si>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</si>
  <si>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</si>
  <si>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</si>
  <si>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</si>
  <si>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</si>
  <si>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</si>
  <si>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</si>
  <si>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</si>
  <si>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</si>
  <si>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</si>
  <si>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</si>
  <si>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</si>
  <si>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</si>
  <si>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</si>
  <si>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</si>
  <si>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</si>
  <si>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</si>
  <si>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</si>
  <si>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</si>
  <si>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</si>
  <si>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</si>
  <si>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</si>
  <si>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</si>
  <si>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</si>
  <si>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</si>
  <si>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2007-FY</t>
  </si>
  <si>
    <t>2008-FY</t>
  </si>
  <si>
    <t>2009-FY</t>
  </si>
  <si>
    <t>2010-FY</t>
  </si>
  <si>
    <t>2011-FY</t>
  </si>
  <si>
    <t>2012-FY</t>
  </si>
  <si>
    <t>2013-FY</t>
  </si>
  <si>
    <t>2014-FY</t>
  </si>
  <si>
    <t>2015-FY</t>
  </si>
  <si>
    <t>2016-FY</t>
  </si>
  <si>
    <t>2017-FY</t>
  </si>
  <si>
    <t>2018-FY</t>
  </si>
  <si>
    <t>2019-FY</t>
  </si>
  <si>
    <t>Actual/Estimate Toggle</t>
  </si>
  <si>
    <t>Fiscal Year</t>
  </si>
  <si>
    <t>Fiscal Quarter</t>
  </si>
  <si>
    <t>Calendar Year</t>
  </si>
  <si>
    <t>Calendar Quarter</t>
  </si>
  <si>
    <t>USD</t>
  </si>
  <si>
    <t>A</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</si>
  <si>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</si>
  <si>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</si>
  <si>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</si>
  <si>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</si>
  <si>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</si>
  <si>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</si>
  <si>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</si>
  <si>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</si>
  <si>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</si>
  <si>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</si>
  <si>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</si>
  <si>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</si>
  <si>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</si>
  <si>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</si>
  <si>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</si>
  <si>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</si>
  <si>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</si>
  <si>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</si>
  <si>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</si>
  <si>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</si>
  <si>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Assets</t>
  </si>
  <si>
    <t>Cash and cash equivalents</t>
  </si>
  <si>
    <t>Accounts receivables, net</t>
  </si>
  <si>
    <t>Total Current Assets</t>
  </si>
  <si>
    <t>Property and equipment, net</t>
  </si>
  <si>
    <t>Goodwill</t>
  </si>
  <si>
    <t>Total Assets</t>
  </si>
  <si>
    <t>Liabilities &amp; Shareholders' Equity</t>
  </si>
  <si>
    <t>Accounts payable</t>
  </si>
  <si>
    <t>Accrued liabilities</t>
  </si>
  <si>
    <t>Total Current Liabilities</t>
  </si>
  <si>
    <t>Shareholders' Equity</t>
  </si>
  <si>
    <t>Total Liabilities &amp; Equity</t>
  </si>
  <si>
    <t>Check</t>
  </si>
  <si>
    <t>Working Capital Metrics</t>
  </si>
  <si>
    <t>A/R Days Sales Out</t>
  </si>
  <si>
    <t>Inventory Turns</t>
  </si>
  <si>
    <t>Days of Inventory</t>
  </si>
  <si>
    <t>Accounts Payable DSO</t>
  </si>
  <si>
    <t>Stockholders Equity</t>
  </si>
  <si>
    <t>Preferred stock</t>
  </si>
  <si>
    <t>Common stock</t>
  </si>
  <si>
    <t>Additional paid-in capital</t>
  </si>
  <si>
    <t>Dividends</t>
  </si>
  <si>
    <t>Retained earnings (accumulated deficit)</t>
  </si>
  <si>
    <t>Accumulated other comprehensive income (loss)</t>
  </si>
  <si>
    <t>vs. Balance Sheet</t>
  </si>
  <si>
    <t>Balance Sheet Metrics</t>
  </si>
  <si>
    <t>Net working capital</t>
  </si>
  <si>
    <t>Unrecorded goodwill from poolings, write-offs, and cumulative amortization</t>
  </si>
  <si>
    <t>ND</t>
  </si>
  <si>
    <t>Change in Share Capital</t>
  </si>
  <si>
    <t>Cash flows provided by (used for) operating activities:</t>
  </si>
  <si>
    <t>Net income</t>
  </si>
  <si>
    <t>Depreciation and amortization</t>
  </si>
  <si>
    <t>Other operating activities</t>
  </si>
  <si>
    <t>Changes in current assets and liabilities:</t>
  </si>
  <si>
    <t>Accounts receivable</t>
  </si>
  <si>
    <t>Inventory</t>
  </si>
  <si>
    <t>Prepaid expenses and other assets</t>
  </si>
  <si>
    <t>Net cash provided by operating activities</t>
  </si>
  <si>
    <t>Cash flows from investing activities:</t>
  </si>
  <si>
    <t>Other investing activities</t>
  </si>
  <si>
    <t>Net cash used for investing activities</t>
  </si>
  <si>
    <t>Cash flows from financing activities:</t>
  </si>
  <si>
    <t>Net cash used for financing activities</t>
  </si>
  <si>
    <t>Effect of exchange rate changes on cash and cash equivalents</t>
  </si>
  <si>
    <t>Cash and cash equivalents, beginning of period</t>
  </si>
  <si>
    <t>Change in cash flow due to restatement</t>
  </si>
  <si>
    <t>Net increase (decrease) in cash and cash equivalents</t>
  </si>
  <si>
    <t>Cash and cash equivalents, end of period</t>
  </si>
  <si>
    <t>PP&amp;E Schedule</t>
  </si>
  <si>
    <t>Capital Expenditures</t>
  </si>
  <si>
    <t>One time PPE Plug</t>
  </si>
  <si>
    <t>Percentage of Total Revenues</t>
  </si>
  <si>
    <t>Gain on sale of assets</t>
  </si>
  <si>
    <t>Gross PP&amp;E</t>
  </si>
  <si>
    <t>Percentage of Total Assets</t>
  </si>
  <si>
    <t>Less Accumulated Depreciation and Amortization</t>
  </si>
  <si>
    <t>Net PP&amp;E</t>
  </si>
  <si>
    <t>Depreciation Schedule</t>
  </si>
  <si>
    <t>Total Depreciation and Amortization</t>
  </si>
  <si>
    <t>Percentage of Gross PP&amp;E</t>
  </si>
  <si>
    <t>vs. Cash Flow Statement</t>
  </si>
  <si>
    <t>Cash Flow Statement Metrics</t>
  </si>
  <si>
    <t>Free Cash Flow</t>
  </si>
  <si>
    <t>Adjusted FCF</t>
  </si>
  <si>
    <t>Other financing activities</t>
  </si>
  <si>
    <t>Revenue</t>
  </si>
  <si>
    <t>Gross Margin</t>
  </si>
  <si>
    <t>BRCM.O,mscalc:sedolCodeCalc</t>
  </si>
  <si>
    <t>BRCM.O,mscalc:closePriceCurrencyCalc</t>
  </si>
  <si>
    <t>BRCM.O,mscalc:targetPrice,,,,USD</t>
  </si>
  <si>
    <t>Q-o-Q growth</t>
  </si>
  <si>
    <t>Y-o-Y growth</t>
  </si>
  <si>
    <t>Percent of Revenue</t>
  </si>
  <si>
    <t>Total Bottoms Up Revenue</t>
  </si>
  <si>
    <t>Actual Revenue from Income Statement</t>
  </si>
  <si>
    <t>This sheet contains Factset binary data for use with this workbook's =FDS codes.  Modifying the worksheet's contents may damage the workbook's =FDS functionality.</t>
  </si>
  <si>
    <t>Total Revenue</t>
  </si>
  <si>
    <t>COGS</t>
  </si>
  <si>
    <t>Gross Profit</t>
  </si>
  <si>
    <t>R&amp;D</t>
  </si>
  <si>
    <t>SG&amp;A</t>
  </si>
  <si>
    <t>Operating Income</t>
  </si>
  <si>
    <t>Operating Margin</t>
  </si>
  <si>
    <t>Net Income</t>
  </si>
  <si>
    <t>Long-term debt</t>
  </si>
  <si>
    <t>2235822</t>
  </si>
  <si>
    <t>48</t>
  </si>
  <si>
    <t>TXN.N,mscalc:sedolCodeCalc</t>
  </si>
  <si>
    <t>TXN.N,mscalc:closePriceCurrencyCalc</t>
  </si>
  <si>
    <t>TXN.N,mscalc:targetPrice,,,,USD</t>
  </si>
  <si>
    <t>NA</t>
  </si>
  <si>
    <t>Currency</t>
  </si>
  <si>
    <t>Current Stock Price</t>
  </si>
  <si>
    <t>Count</t>
  </si>
  <si>
    <t>Restricted cash</t>
  </si>
  <si>
    <t>($ in millions; fiscal year ends in December)</t>
  </si>
  <si>
    <t>Management Case</t>
  </si>
  <si>
    <t>Percent Gross Margin</t>
  </si>
  <si>
    <t>Adjustments for Net Income to Common Shareholders - GAAP</t>
  </si>
  <si>
    <t>Net Income to Common Shareholders - GAAP</t>
  </si>
  <si>
    <t>Adjustments to reconcile net income to net cash</t>
  </si>
  <si>
    <t>2005-Q1</t>
  </si>
  <si>
    <t>2005-Q2</t>
  </si>
  <si>
    <t>2005-Q3</t>
  </si>
  <si>
    <t>2005-Q4</t>
  </si>
  <si>
    <t>2006-Q1</t>
  </si>
  <si>
    <t>2006-Q2</t>
  </si>
  <si>
    <t>2006-Q3</t>
  </si>
  <si>
    <t>2006-Q4</t>
  </si>
  <si>
    <t>2006-FY</t>
  </si>
  <si>
    <t>2007-Q1</t>
  </si>
  <si>
    <t>2007-Q2</t>
  </si>
  <si>
    <t>2007-Q3</t>
  </si>
  <si>
    <t>2007-Q4</t>
  </si>
  <si>
    <t>INTC.O,mscalc:targetPrice,,,,USD</t>
  </si>
  <si>
    <t>INTC.O,mscalc:closePriceCurrencyCalc</t>
  </si>
  <si>
    <t>INTC.O,mscalc:sedolCodeCalc</t>
  </si>
  <si>
    <t>Other</t>
  </si>
  <si>
    <t>Trading assets</t>
  </si>
  <si>
    <t>Deferred income</t>
  </si>
  <si>
    <t>Other long-term liabilities</t>
  </si>
  <si>
    <t>Long-term deferred tax liabilities</t>
  </si>
  <si>
    <t>Income taxes payable</t>
  </si>
  <si>
    <t>Payment of dividends to stockholders</t>
  </si>
  <si>
    <t>Repurchase of common stock</t>
  </si>
  <si>
    <t>Increase (decrease) in short-term debt, net</t>
  </si>
  <si>
    <t>Acquisitions, net of cash acquired</t>
  </si>
  <si>
    <t>Purchases of trading assets</t>
  </si>
  <si>
    <t>Maturities and sales of trading assets</t>
  </si>
  <si>
    <t>Income taxes payable and receivable</t>
  </si>
  <si>
    <t>Other assets and liabilities</t>
  </si>
  <si>
    <t>Deferred taxes</t>
  </si>
  <si>
    <t>Amortization of intangibles</t>
  </si>
  <si>
    <t>Other changes in assets and liabilities</t>
  </si>
  <si>
    <t>Advanced Micro Devices</t>
  </si>
  <si>
    <t>AMD.N,mscalc:targetPrice,,,,USD</t>
  </si>
  <si>
    <t>AMD.N,mscalc:sedolCodeCalc</t>
  </si>
  <si>
    <t>AMD.N,mscalc:closePriceCurrencyCalc</t>
  </si>
  <si>
    <t>Advanced Micro Devices, Inc.</t>
  </si>
  <si>
    <t>Advanced Micro Devices, Inc. Balance Sheet</t>
  </si>
  <si>
    <t>Advanced Micro Devices, Inc. Bottoms Up Model</t>
  </si>
  <si>
    <t>AMD, Inc. Statement of Cash Flows (Non Cumulative)</t>
  </si>
  <si>
    <t>AMD, Inc. Statement of Cash Flows (Cumulative)</t>
  </si>
  <si>
    <t>AMD</t>
  </si>
  <si>
    <t>Amortization of acquired intangibles assets</t>
  </si>
  <si>
    <t>Marketable securities</t>
  </si>
  <si>
    <t>Prepaid expenses and other current assets</t>
  </si>
  <si>
    <t>Long-term marketable securities</t>
  </si>
  <si>
    <t>Acquisition related intangible assets, net</t>
  </si>
  <si>
    <t>Other assets</t>
  </si>
  <si>
    <t>Investment in GLOBALFOUNDRIES</t>
  </si>
  <si>
    <t>Treasury stock</t>
  </si>
  <si>
    <t>Other current liabilities</t>
  </si>
  <si>
    <t>Current portion of long-term debt</t>
  </si>
  <si>
    <t>Accounts payable to GLOBALFOUNDRIES</t>
  </si>
  <si>
    <t>Other short-term obligations</t>
  </si>
  <si>
    <t>Proceeds from issuance of AMD common stock</t>
  </si>
  <si>
    <t>Proceeds from sale of property, plant and equipment</t>
  </si>
  <si>
    <t>Purchase of available-for-sale securities</t>
  </si>
  <si>
    <t>Purchases of property, plant and equipment</t>
  </si>
  <si>
    <t>Maturities and sales of available-for-sale securities</t>
  </si>
  <si>
    <t>Compensation recognized under employee stock plans</t>
  </si>
  <si>
    <t>Equity (income) loss and dilution gain in investee</t>
  </si>
  <si>
    <t>Non-cash interest expense</t>
  </si>
  <si>
    <t>Repayments of debt</t>
  </si>
  <si>
    <t>Proceeds from borrowings</t>
  </si>
  <si>
    <t>Net gain on sale of marketable securities</t>
  </si>
  <si>
    <t>Noncontrolling interest</t>
  </si>
  <si>
    <t>Deferred income taxes</t>
  </si>
  <si>
    <t>Repurchase of noncontrolling interest</t>
  </si>
  <si>
    <t>Proceeds from issuance of GLOBALFOUNDRIES notes</t>
  </si>
  <si>
    <t>Net loss on sale of property, plant and equipment</t>
  </si>
  <si>
    <t>Net income attributable to noncontrolling interest</t>
  </si>
  <si>
    <t>Class B preferred accretion</t>
  </si>
  <si>
    <t>Computing Solutions Revenue</t>
  </si>
  <si>
    <t>Graphics Revenue</t>
  </si>
  <si>
    <t>All Other Revenue</t>
  </si>
  <si>
    <t>United States</t>
  </si>
  <si>
    <t>,mscalc:targetPrice,,,,USD</t>
  </si>
  <si>
    <t>AMD.N,mscalc:targetPrice</t>
  </si>
  <si>
    <t>,mscalc:sedolCodeCalc</t>
  </si>
  <si>
    <t>,mscalc:closePriceCurrencyCalc</t>
  </si>
  <si>
    <t>Computing Solutions Rev Actual</t>
  </si>
  <si>
    <t>Graphics Revenue Actual</t>
  </si>
  <si>
    <t>C1Q05A</t>
  </si>
  <si>
    <t>C2Q05A</t>
  </si>
  <si>
    <t>C3Q05A</t>
  </si>
  <si>
    <t>C4Q05A</t>
  </si>
  <si>
    <t>C1Q06A</t>
  </si>
  <si>
    <t>C2Q06A</t>
  </si>
  <si>
    <t>C3Q06A</t>
  </si>
  <si>
    <t>C4Q06A</t>
  </si>
  <si>
    <t>C1Q07A</t>
  </si>
  <si>
    <t>C2Q07A</t>
  </si>
  <si>
    <t>C3Q07A</t>
  </si>
  <si>
    <t>C4Q07A</t>
  </si>
  <si>
    <t>C1Q08A</t>
  </si>
  <si>
    <t>C2Q08A</t>
  </si>
  <si>
    <t>C3Q08A</t>
  </si>
  <si>
    <t>C4Q08A</t>
  </si>
  <si>
    <t>C1Q09A</t>
  </si>
  <si>
    <t>C2Q09A</t>
  </si>
  <si>
    <t>C3Q09A</t>
  </si>
  <si>
    <t>C4Q09A</t>
  </si>
  <si>
    <t>C1Q10A</t>
  </si>
  <si>
    <t>C2Q10A</t>
  </si>
  <si>
    <t>C3Q10A</t>
  </si>
  <si>
    <t>C4Q10A</t>
  </si>
  <si>
    <t>C1Q11A</t>
  </si>
  <si>
    <t>C2Q11A</t>
  </si>
  <si>
    <t>C3Q11A</t>
  </si>
  <si>
    <t>C4Q11A</t>
  </si>
  <si>
    <t>F1Q05A</t>
  </si>
  <si>
    <t>F2Q05A</t>
  </si>
  <si>
    <t>F3Q05A</t>
  </si>
  <si>
    <t>F4Q05A</t>
  </si>
  <si>
    <t>F1Q06A</t>
  </si>
  <si>
    <t>F2Q06A</t>
  </si>
  <si>
    <t>F3Q06A</t>
  </si>
  <si>
    <t>F4Q06A</t>
  </si>
  <si>
    <t>F1Q07A</t>
  </si>
  <si>
    <t>F2Q07A</t>
  </si>
  <si>
    <t>F3Q07A</t>
  </si>
  <si>
    <t>F4Q07A</t>
  </si>
  <si>
    <t>F1Q08A</t>
  </si>
  <si>
    <t>F2Q08A</t>
  </si>
  <si>
    <t>F3Q08A</t>
  </si>
  <si>
    <t>F4Q08A</t>
  </si>
  <si>
    <t>F1Q09A</t>
  </si>
  <si>
    <t>F2Q09A</t>
  </si>
  <si>
    <t>F3Q09A</t>
  </si>
  <si>
    <t>F4Q09A</t>
  </si>
  <si>
    <t>F1Q10A</t>
  </si>
  <si>
    <t>F2Q10A</t>
  </si>
  <si>
    <t>F3Q10A</t>
  </si>
  <si>
    <t>F4Q10A</t>
  </si>
  <si>
    <t>F1Q11A</t>
  </si>
  <si>
    <t>F2Q11A</t>
  </si>
  <si>
    <t>F3Q11A</t>
  </si>
  <si>
    <t>F4Q11A</t>
  </si>
  <si>
    <t>FY2005A</t>
  </si>
  <si>
    <t>FY2006A</t>
  </si>
  <si>
    <t>FY2007A</t>
  </si>
  <si>
    <t>FY2008A</t>
  </si>
  <si>
    <t>FY2009A</t>
  </si>
  <si>
    <t>FY2010A</t>
  </si>
  <si>
    <t>FY2011A</t>
  </si>
  <si>
    <t>FY2018E</t>
  </si>
  <si>
    <t>FY2019E</t>
  </si>
  <si>
    <t>Units (K)</t>
  </si>
  <si>
    <t>Total GPU Units</t>
  </si>
  <si>
    <t>Cons Revs</t>
  </si>
  <si>
    <t>Cons EPS</t>
  </si>
  <si>
    <t>Cash</t>
  </si>
  <si>
    <t>Short-term Marketable Securities</t>
  </si>
  <si>
    <t>Long-term Marketable Securities</t>
  </si>
  <si>
    <t>Cash &amp; Cash Equivalents</t>
  </si>
  <si>
    <t>Net Debt Summary</t>
  </si>
  <si>
    <t>Book Value</t>
  </si>
  <si>
    <t>Book Value Metrics</t>
  </si>
  <si>
    <t>Note: Average diluted shares - non GAAP</t>
  </si>
  <si>
    <t>Total Share Capital</t>
  </si>
  <si>
    <t>Note: Revenues</t>
  </si>
  <si>
    <t>Note: Cost of Goods Sold</t>
  </si>
  <si>
    <t>5.75% Convertible Senior Notes due 2012</t>
  </si>
  <si>
    <t>6.00% Convertible Senior Notes due 2015</t>
  </si>
  <si>
    <t>8.125% Senior Notes due 2017</t>
  </si>
  <si>
    <t>7.75% Senior Notes due 2017</t>
  </si>
  <si>
    <t>Capital Lease</t>
  </si>
  <si>
    <t>Principal Amounts:</t>
  </si>
  <si>
    <t>Interest Expense</t>
  </si>
  <si>
    <t>Interest Expense:</t>
  </si>
  <si>
    <t>Long-Term Debt and Interest Expense Summary</t>
  </si>
  <si>
    <t>Capital Lease (estimated)</t>
  </si>
  <si>
    <t>Note: Implied Discounts</t>
  </si>
  <si>
    <t>Note: B/S Debt</t>
  </si>
  <si>
    <t>Note: ST Debt</t>
  </si>
  <si>
    <t>Note: LT Debt</t>
  </si>
  <si>
    <t xml:space="preserve"> </t>
  </si>
  <si>
    <t>Prepaid expenses and other current assets % of Revs.</t>
  </si>
  <si>
    <t>Temporary BS plug for earnings (all Q's going forward)</t>
  </si>
  <si>
    <t>200784,mscalc:stockRating</t>
  </si>
  <si>
    <t>200784,mscalc:lastActualYearCalc</t>
  </si>
  <si>
    <t>200784,mscalc:firstEstimatedYearfiscalAlignedCalc</t>
  </si>
  <si>
    <t>200784,mscalc:msIndustryView</t>
  </si>
  <si>
    <t>200784,mscalc:closePriceCurrencyCalc</t>
  </si>
  <si>
    <t>200784,mscalc:firstEstimatedYearCalc</t>
  </si>
  <si>
    <t>,mscalc:lastActualYearCalc</t>
  </si>
  <si>
    <t>200784,mscalc:targetPrice</t>
  </si>
  <si>
    <t>Effective Interest Rate:</t>
  </si>
  <si>
    <t>Percent Operating Margin</t>
  </si>
  <si>
    <t xml:space="preserve">Total GPU ASP ($) </t>
  </si>
  <si>
    <t>Total GPU Revenues</t>
  </si>
  <si>
    <t>C1Q12A</t>
  </si>
  <si>
    <t>F1Q12A</t>
  </si>
  <si>
    <t>Q/Q Change</t>
  </si>
  <si>
    <t>Y/Y Change</t>
  </si>
  <si>
    <t>Q/Q Change from SEC filings</t>
  </si>
  <si>
    <t>Y/Y Growth from SEC filings</t>
  </si>
  <si>
    <t>Total Other Rev (chipsets, embedded processors)</t>
  </si>
  <si>
    <t>Computing Solutions</t>
  </si>
  <si>
    <t>Graphics</t>
  </si>
  <si>
    <t>2007849</t>
  </si>
  <si>
    <t>Payable to GLOBALFOUNDRIES</t>
  </si>
  <si>
    <t>Revenues</t>
  </si>
  <si>
    <t>EBIT</t>
  </si>
  <si>
    <t>Description</t>
  </si>
  <si>
    <t>Weeks</t>
  </si>
  <si>
    <t>F2Q12A</t>
  </si>
  <si>
    <t>C2Q12A</t>
  </si>
  <si>
    <t>Down</t>
  </si>
  <si>
    <t>Up</t>
  </si>
  <si>
    <t>Q/Q Change from SEC filings  / CFO Commentary</t>
  </si>
  <si>
    <t>Y/Y Growth from SEC filings / CFO Commentary</t>
  </si>
  <si>
    <t>Client Revenues</t>
  </si>
  <si>
    <t>Units</t>
  </si>
  <si>
    <t>ASPs</t>
  </si>
  <si>
    <t>Color from CFO Commentary</t>
  </si>
  <si>
    <t>Servers</t>
  </si>
  <si>
    <t>Client</t>
  </si>
  <si>
    <t>Chipsets</t>
  </si>
  <si>
    <t>GPUs</t>
  </si>
  <si>
    <t>Company</t>
  </si>
  <si>
    <t>Mobile</t>
  </si>
  <si>
    <t>Subtotal</t>
  </si>
  <si>
    <t>Desktops</t>
  </si>
  <si>
    <t>Computing</t>
  </si>
  <si>
    <t>Summary</t>
  </si>
  <si>
    <t>Client Units (K)</t>
  </si>
  <si>
    <t>Client ASPs</t>
  </si>
  <si>
    <t>One-time items</t>
  </si>
  <si>
    <t>Other OpEx</t>
  </si>
  <si>
    <t>Interest Income</t>
  </si>
  <si>
    <t>Interest Rate</t>
  </si>
  <si>
    <t>Cash &amp; Equivalents - Beginning</t>
  </si>
  <si>
    <t>Cash &amp; Equivalents - Ending</t>
  </si>
  <si>
    <t>Other Income (expense), net</t>
  </si>
  <si>
    <t>Taxes - One-time Items</t>
  </si>
  <si>
    <t>PBT</t>
  </si>
  <si>
    <t>Income Tax Expense (Benefit)</t>
  </si>
  <si>
    <t>Effective Tax Rate</t>
  </si>
  <si>
    <t>% of Revs.</t>
  </si>
  <si>
    <t>% of Rev. Growth</t>
  </si>
  <si>
    <t>SG&amp;A - MW</t>
  </si>
  <si>
    <t>Operating Margin - MW</t>
  </si>
  <si>
    <t>Net Income from Continuing Ops</t>
  </si>
  <si>
    <t>Net Income from Continuing Ops - MW</t>
  </si>
  <si>
    <t>MW Reconciliation</t>
  </si>
  <si>
    <t>7.50% Senior Notes due 2022</t>
  </si>
  <si>
    <t>Assumed Bond Refinancings</t>
  </si>
  <si>
    <t>EBITDA</t>
  </si>
  <si>
    <t>D&amp;A</t>
  </si>
  <si>
    <t>Net Debt</t>
  </si>
  <si>
    <t>Tangible Book Value</t>
  </si>
  <si>
    <t>Tangible Book Value per Share</t>
  </si>
  <si>
    <t>Book Value per Share</t>
  </si>
  <si>
    <t>COGs</t>
  </si>
  <si>
    <t>Interest Expense and Other</t>
  </si>
  <si>
    <t>Interest</t>
  </si>
  <si>
    <t>Fixed Charges</t>
  </si>
  <si>
    <t>Fixed Charges Coverage</t>
  </si>
  <si>
    <t>Promissory Note to GlobalFoundries</t>
  </si>
  <si>
    <t>Adjusted COGs</t>
  </si>
  <si>
    <t>Total Bonds &amp; Capital Leases</t>
  </si>
  <si>
    <t>Capital Leases</t>
  </si>
  <si>
    <t>Net Debt per Share (Positive = Net Cash)</t>
  </si>
  <si>
    <t>C3Q12A</t>
  </si>
  <si>
    <t>F3Q12A</t>
  </si>
  <si>
    <t>C4Q12A</t>
  </si>
  <si>
    <t>F4Q12A</t>
  </si>
  <si>
    <t>FY2012A</t>
  </si>
  <si>
    <t>PlayStation 4</t>
  </si>
  <si>
    <t>ASP</t>
  </si>
  <si>
    <t>Gross Margin %</t>
  </si>
  <si>
    <t>Gross Margin $'s</t>
  </si>
  <si>
    <t>Nintendo WiiU</t>
  </si>
  <si>
    <t>% of Peak</t>
  </si>
  <si>
    <t xml:space="preserve">ASP ($) </t>
  </si>
  <si>
    <t>Revs</t>
  </si>
  <si>
    <t>Discrete GPUs</t>
  </si>
  <si>
    <t>Video Games &amp; Console Model</t>
  </si>
  <si>
    <t>Total Video Games &amp; Other</t>
  </si>
  <si>
    <t>% of Total</t>
  </si>
  <si>
    <t>Revs.</t>
  </si>
  <si>
    <t>Mobile (Notebooks)</t>
  </si>
  <si>
    <t>Credit Metrics</t>
  </si>
  <si>
    <t>Net Debt / EBITDA</t>
  </si>
  <si>
    <t>Gross Debt</t>
  </si>
  <si>
    <t>Total LT Debt</t>
  </si>
  <si>
    <t>SeaMicro Revs</t>
  </si>
  <si>
    <t>Total Server Revenues</t>
  </si>
  <si>
    <t>GM %</t>
  </si>
  <si>
    <t>Total</t>
  </si>
  <si>
    <t>Adjusted Revenues</t>
  </si>
  <si>
    <t>AMD GAAP Income Statement</t>
  </si>
  <si>
    <t>Console Sales</t>
  </si>
  <si>
    <t>Core Business</t>
  </si>
  <si>
    <t>C1Q13A</t>
  </si>
  <si>
    <t>F1Q13A</t>
  </si>
  <si>
    <t>F2Q13A</t>
  </si>
  <si>
    <t>C2Q13A</t>
  </si>
  <si>
    <t>Gross Margin Model</t>
  </si>
  <si>
    <t>Video Game</t>
  </si>
  <si>
    <t>One-time / reserved product sales</t>
  </si>
  <si>
    <t>Adjusted GM %</t>
  </si>
  <si>
    <t>Adjusted Gross Profit</t>
  </si>
  <si>
    <t>2.5</t>
  </si>
  <si>
    <t>Xbox One</t>
  </si>
  <si>
    <t>Royalties &amp; Other</t>
  </si>
  <si>
    <t>Xbox 360 &amp; other royalties</t>
  </si>
  <si>
    <t>Total Xbone +PS4 units</t>
  </si>
  <si>
    <t>C3Q13A</t>
  </si>
  <si>
    <t>F3Q13A</t>
  </si>
  <si>
    <t>PS4 + Xbox Revenue</t>
  </si>
  <si>
    <t>Total Units</t>
  </si>
  <si>
    <t>C4Q13A</t>
  </si>
  <si>
    <t>F4Q13A</t>
  </si>
  <si>
    <t>FY2013A</t>
  </si>
  <si>
    <t xml:space="preserve">One-time items </t>
  </si>
  <si>
    <t>C1Q14A</t>
  </si>
  <si>
    <t>F1Q14A</t>
  </si>
  <si>
    <t>C2Q14A</t>
  </si>
  <si>
    <t>Cons GM</t>
  </si>
  <si>
    <t>Computing and Graphics Revenue</t>
  </si>
  <si>
    <t>Computing Graphics Gross Margin</t>
  </si>
  <si>
    <t>Computing Graphics Operating Margin</t>
  </si>
  <si>
    <t>Enterprise, Embedded and Semi-Custom Gross Margin</t>
  </si>
  <si>
    <t>Enterprise, Embedded and Semi-Custom Operating Margin</t>
  </si>
  <si>
    <t>Enterprise, Embedded and Semi-Custom Revenue</t>
  </si>
  <si>
    <t>All Other Operating Loss</t>
  </si>
  <si>
    <t>Total Operating Income</t>
  </si>
  <si>
    <t>C3Q14A</t>
  </si>
  <si>
    <t>F3Q14A</t>
  </si>
  <si>
    <t>F2Q14A</t>
  </si>
  <si>
    <t xml:space="preserve">   embedded</t>
  </si>
  <si>
    <t xml:space="preserve">   server</t>
  </si>
  <si>
    <t xml:space="preserve">   console</t>
  </si>
  <si>
    <t>AMD.O</t>
  </si>
  <si>
    <t>AMD.O,mscalc:sedolCodeCalc</t>
  </si>
  <si>
    <t>AMD.O,mscalc:targetPrice,,,,USD</t>
  </si>
  <si>
    <t>AMD.O,mscalc:closePriceCurrencyCalc</t>
  </si>
  <si>
    <t>$BB$2</t>
  </si>
  <si>
    <t>Enterprise, Embedded and Semi-Customs Revenue</t>
  </si>
  <si>
    <t xml:space="preserve">   desktop CPU</t>
  </si>
  <si>
    <t xml:space="preserve">   notebook CPU</t>
  </si>
  <si>
    <t xml:space="preserve">   GPU</t>
  </si>
  <si>
    <t>GAAP to Non GAAP Reconciliation</t>
  </si>
  <si>
    <t>GAAP Gross Profit</t>
  </si>
  <si>
    <t>Non GAAP Gross Profit</t>
  </si>
  <si>
    <t>Non GAAP Gross Margins</t>
  </si>
  <si>
    <t>GAAP Operating Expense</t>
  </si>
  <si>
    <t>Non GAAP Opex</t>
  </si>
  <si>
    <t>Non GAAP Operating Income</t>
  </si>
  <si>
    <t>GAAP Other Income &amp; Expenses</t>
  </si>
  <si>
    <t>Non GAAP Net Income</t>
  </si>
  <si>
    <t>Non GAAP Other Income/Expenses Adjustments</t>
  </si>
  <si>
    <t>Non GAAP Opex Adjustments</t>
  </si>
  <si>
    <t>Non GAAP COGS Adjustments</t>
  </si>
  <si>
    <t>Non GAAP Other Income &amp; Expenses</t>
  </si>
  <si>
    <t>EPS - Non GAAP</t>
  </si>
  <si>
    <t>ASP*</t>
  </si>
  <si>
    <t>C4Q14A</t>
  </si>
  <si>
    <t>F4Q14A</t>
  </si>
  <si>
    <t>Stock Based Comp</t>
  </si>
  <si>
    <t>6.75% Senior Notes due 2019</t>
  </si>
  <si>
    <t>6.75% Senior Notes due 2019 - IRS</t>
  </si>
  <si>
    <t>7.75% Senior Notes due 2020</t>
  </si>
  <si>
    <t>7.00% Senior Notes due 2024</t>
  </si>
  <si>
    <t>Borrowings from secured revolving line of credit, net</t>
  </si>
  <si>
    <t>Computing Solutions Revenue (old segment)</t>
  </si>
  <si>
    <t>Desktop CPU revenues</t>
  </si>
  <si>
    <t>Notebook CPU revenues</t>
  </si>
  <si>
    <t>GPU revenues</t>
  </si>
  <si>
    <t>Server revenues</t>
  </si>
  <si>
    <t>Console/other semicustom revenues</t>
  </si>
  <si>
    <t>Desktop CPU Gross margins</t>
  </si>
  <si>
    <t>Notebook CPU gross margins</t>
  </si>
  <si>
    <t>GPU gross margins</t>
  </si>
  <si>
    <t>Server gross margins</t>
  </si>
  <si>
    <t>Console/semicustom gross margins</t>
  </si>
  <si>
    <t>Total revs</t>
  </si>
  <si>
    <t>Desktop CPU gross profits</t>
  </si>
  <si>
    <t>Notebook CPU gross profiuts</t>
  </si>
  <si>
    <t>GPU gross profits</t>
  </si>
  <si>
    <t>server gross profits</t>
  </si>
  <si>
    <t>Console semicustom gross profits</t>
  </si>
  <si>
    <t>Overall gross margins (bottom up)</t>
  </si>
  <si>
    <t>Overall gross margins (top down)</t>
  </si>
  <si>
    <t>Embedded revenues</t>
  </si>
  <si>
    <t>Embedded margins</t>
  </si>
  <si>
    <t>Total gross profits</t>
  </si>
  <si>
    <t>C1Q15A</t>
  </si>
  <si>
    <t>C2Q15A</t>
  </si>
  <si>
    <t>Prepayments to Global Foundries</t>
  </si>
  <si>
    <t>Restructuring and other special charges, net</t>
  </si>
  <si>
    <t>F1Q15A</t>
  </si>
  <si>
    <t>F2Q15A</t>
  </si>
  <si>
    <t>C3Q15A</t>
  </si>
  <si>
    <t>F3Q15A</t>
  </si>
  <si>
    <t>FY2014A</t>
  </si>
  <si>
    <t>C4Q15A</t>
  </si>
  <si>
    <t>F4Q15A</t>
  </si>
  <si>
    <t>FY2015A</t>
  </si>
  <si>
    <t>Total Debt</t>
  </si>
  <si>
    <t>C1Q16A</t>
  </si>
  <si>
    <t>F1Q16A</t>
  </si>
  <si>
    <t>Unamortizaed Financing Costs</t>
  </si>
  <si>
    <t>C1Q17A</t>
  </si>
  <si>
    <t>C2Q16A</t>
  </si>
  <si>
    <t>Income (Loss) from Discont'd Ops &amp; ATMP JV</t>
  </si>
  <si>
    <t>Licensing gain</t>
  </si>
  <si>
    <t>Restructuring &amp; other special charges</t>
  </si>
  <si>
    <t>Gross Profit Non-GAAP</t>
  </si>
  <si>
    <t>Gross Margin - Non-GAAP</t>
  </si>
  <si>
    <t>COGS-Non-GAAP</t>
  </si>
  <si>
    <t>R&amp;D - Non-GAAP</t>
  </si>
  <si>
    <t>SG&amp;A - Non GAAP</t>
  </si>
  <si>
    <t>Other OpEx - Non-GAAP</t>
  </si>
  <si>
    <t>Operating Expenses - Non-GAAP</t>
  </si>
  <si>
    <t>Operating Income - Non-GAAP</t>
  </si>
  <si>
    <t>Operating Margin - Non-GAAP</t>
  </si>
  <si>
    <t>Total Interest Income (net) and Other Income - Non-GAAP</t>
  </si>
  <si>
    <t>PBT - Non-GAAP</t>
  </si>
  <si>
    <t>Net Income from Continuing Ops - Non GAAP</t>
  </si>
  <si>
    <t>Non-GAAP Reconciliation</t>
  </si>
  <si>
    <t>Income Tax Expense (Benefit) - Non GAAP</t>
  </si>
  <si>
    <t>Effective tax rate Non-GAAP</t>
  </si>
  <si>
    <t>EPS - Non-GAAP</t>
  </si>
  <si>
    <t>C3Q16A</t>
  </si>
  <si>
    <t>F3Q16A</t>
  </si>
  <si>
    <t>ent, up 7 percentage points sequentially. Q3 2015 gross margin was negatively impacted by an inventory write-down of $65 million, or </t>
  </si>
  <si>
    <t>C1Q18A</t>
  </si>
  <si>
    <t>C2Q18E</t>
  </si>
  <si>
    <t>C3Q18E</t>
  </si>
  <si>
    <t>C4Q18E</t>
  </si>
  <si>
    <t>F2Q18E</t>
  </si>
  <si>
    <t>F3Q18E</t>
  </si>
  <si>
    <t>F4Q18E</t>
  </si>
  <si>
    <t>F4Q16A</t>
  </si>
  <si>
    <t>FY2016A</t>
  </si>
  <si>
    <t>2.125% Senior Notes due 2026</t>
  </si>
  <si>
    <t>C4Q16A</t>
  </si>
  <si>
    <t>F1Q17A</t>
  </si>
  <si>
    <t>Average Diluted Shares - Non-GAAP</t>
  </si>
  <si>
    <t>C2Q17A</t>
  </si>
  <si>
    <t>C1Q19A</t>
  </si>
  <si>
    <t>C2Q19E</t>
  </si>
  <si>
    <t>C3Q19E</t>
  </si>
  <si>
    <t>C4Q19E</t>
  </si>
  <si>
    <t>F1Q19E</t>
  </si>
  <si>
    <t>F2Q19E</t>
  </si>
  <si>
    <t>F3Q19E</t>
  </si>
  <si>
    <t>F4Q19E</t>
  </si>
  <si>
    <t>C3Q17A</t>
  </si>
  <si>
    <t>8</t>
  </si>
  <si>
    <t>C4Q17A</t>
  </si>
  <si>
    <t>F4Q17A</t>
  </si>
  <si>
    <t>FY2020E</t>
  </si>
  <si>
    <t>FY2017A</t>
  </si>
  <si>
    <t>F1Q18A</t>
  </si>
  <si>
    <t>Opteron/Epyc</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</si>
  <si>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</si>
  <si>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</si>
  <si>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</si>
  <si>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</si>
  <si>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</si>
  <si>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</si>
  <si>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</si>
  <si>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Joseph Moore, Craig Hettenbach, Vinayak Rao</t>
  </si>
  <si>
    <t>Date: 26 Apr 2018</t>
  </si>
  <si>
    <t>Ticker: AMD.O</t>
  </si>
  <si>
    <t>Stock Rating: Underweight</t>
  </si>
  <si>
    <t>Industry: Semiconductors</t>
  </si>
  <si>
    <t>Industry View: In-Line</t>
  </si>
  <si>
    <t>Price as of 26 Apr 2018: 9.71</t>
  </si>
  <si>
    <t>Target Price: 8</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</si>
  <si>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</si>
  <si>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</si>
  <si>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</si>
  <si>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</si>
  <si>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Advanced Micro Devices.</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</si>
  <si>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</si>
  <si>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</si>
  <si>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</si>
  <si>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</si>
  <si>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</si>
  <si>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</si>
  <si>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</si>
  <si>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</si>
  <si>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</si>
  <si>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</si>
  <si>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</si>
  <si>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</si>
  <si>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</si>
  <si>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</si>
  <si>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</si>
  <si>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</si>
  <si>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</si>
  <si>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</si>
  <si>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</si>
  <si>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</si>
  <si>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</si>
  <si>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</si>
  <si>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</si>
  <si>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</si>
  <si>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</si>
  <si>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</si>
  <si>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</si>
  <si>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</si>
  <si>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</si>
  <si>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</si>
  <si>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</si>
  <si>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</si>
  <si>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</si>
  <si>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</si>
  <si>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</si>
  <si>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</si>
  <si>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</si>
  <si>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</si>
  <si>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</si>
  <si>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</si>
  <si>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</si>
  <si>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</si>
  <si>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</si>
  <si>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</si>
  <si>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</si>
  <si>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</si>
  <si>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</si>
  <si>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</si>
  <si>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</si>
  <si>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</si>
  <si>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</si>
  <si>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</si>
  <si>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</si>
  <si>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</si>
  <si>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</si>
  <si>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</si>
  <si>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</si>
  <si>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</si>
  <si>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</si>
  <si>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</si>
  <si>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</si>
  <si>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</si>
  <si>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</si>
  <si>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</si>
  <si>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</si>
  <si>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</si>
  <si>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</si>
  <si>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</si>
  <si>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</si>
  <si>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</si>
  <si>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</si>
  <si>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</si>
  <si>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</si>
  <si>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</si>
  <si>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</si>
  <si>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</si>
  <si>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</si>
  <si>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</si>
  <si>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</si>
  <si>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</si>
  <si>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</si>
  <si>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</si>
  <si>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</si>
  <si>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</si>
  <si>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</si>
  <si>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</si>
  <si>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</si>
  <si>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</si>
  <si>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</si>
  <si>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</si>
  <si>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</si>
  <si>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</si>
  <si>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</si>
  <si>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</si>
  <si>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</si>
  <si>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</si>
  <si>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</si>
  <si>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</si>
  <si>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</si>
  <si>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</si>
  <si>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</si>
  <si>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</si>
  <si>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</si>
  <si>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</si>
  <si>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</si>
  <si>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</si>
  <si>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</si>
  <si>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</si>
  <si>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</si>
  <si>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</si>
  <si>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</si>
  <si>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</si>
  <si>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</si>
  <si>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</si>
  <si>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</si>
  <si>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</si>
  <si>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</si>
  <si>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</si>
  <si>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</si>
  <si>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</si>
  <si>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</si>
  <si>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</si>
  <si>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</si>
  <si>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</si>
  <si>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</si>
  <si>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</si>
  <si>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</si>
  <si>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</si>
  <si>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</si>
  <si>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</si>
  <si>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</si>
  <si>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</si>
  <si>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</si>
  <si>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</si>
  <si>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</si>
  <si>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</si>
  <si>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</si>
  <si>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</si>
  <si>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</si>
  <si>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</si>
  <si>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</si>
  <si>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</si>
  <si>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</si>
  <si>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</si>
  <si>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</si>
  <si>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</si>
  <si>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</si>
  <si>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</si>
  <si>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</si>
  <si>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</si>
  <si>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</si>
  <si>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</si>
  <si>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</si>
  <si>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</si>
  <si>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</si>
  <si>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</si>
  <si>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</si>
  <si>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</si>
  <si>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</si>
  <si>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</si>
  <si>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</si>
  <si>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</si>
  <si>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</si>
  <si>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</si>
  <si>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</si>
  <si>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</si>
  <si>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</si>
  <si>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</si>
  <si>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</si>
  <si>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</si>
  <si>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</si>
  <si>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</si>
  <si>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</si>
  <si>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</si>
  <si>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</si>
  <si>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Advanced Micro Devices.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</si>
  <si>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</si>
  <si>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</si>
  <si>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</si>
  <si>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</si>
  <si>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</si>
  <si>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</si>
  <si>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</si>
  <si>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</si>
  <si>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</si>
  <si>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</si>
  <si>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</si>
  <si>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</si>
  <si>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</si>
  <si>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</si>
  <si>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</si>
  <si>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</si>
  <si>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</si>
  <si>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</si>
  <si>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</si>
  <si>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</si>
  <si>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</si>
  <si>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</si>
  <si>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</si>
  <si>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</si>
  <si>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</si>
  <si>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</si>
  <si>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</si>
  <si>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</si>
  <si>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</si>
  <si>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</si>
  <si>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</si>
  <si>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</si>
  <si>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</si>
  <si>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</si>
  <si>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</si>
  <si>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</si>
  <si>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</si>
  <si>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</si>
  <si>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</si>
  <si>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</si>
  <si>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</si>
  <si>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</si>
  <si>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</si>
  <si>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</si>
  <si>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</si>
  <si>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</si>
  <si>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</si>
  <si>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</si>
  <si>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</si>
  <si>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</si>
  <si>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</si>
  <si>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</si>
  <si>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</si>
  <si>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</si>
  <si>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</si>
  <si>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</si>
  <si>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</si>
  <si>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</si>
  <si>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</si>
  <si>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</si>
  <si>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</si>
  <si>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</si>
  <si>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</si>
  <si>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</si>
  <si>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</si>
  <si>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</si>
  <si>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</si>
  <si>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</si>
  <si>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Advanced Micro Devices.</t>
  </si>
  <si>
    <t>Within the last 12 months, Morgan Stanley has provided or is providing investment banking services to,</t>
  </si>
  <si>
    <t>or has an investment banking client relationship with, the following company: Advanced Micro Devices.</t>
  </si>
  <si>
    <t>Within the last 12 months, Morgan Stanley has received compensation for products and services other than</t>
  </si>
  <si>
    <t>investment banking services from Advanced Micro Devices.</t>
  </si>
  <si>
    <t>In the next 3 months, Morgan Stanley expects to receive or intends to seek compensation for investment</t>
  </si>
  <si>
    <t>banking services from Advanced Micro Devices.</t>
  </si>
  <si>
    <t>Within the last 12 months, Morgan Stanley has received compensation for investment banking services from</t>
  </si>
  <si>
    <t>Advanced Micro Devices.</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</si>
  <si>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</si>
  <si>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</si>
  <si>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</si>
  <si>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</si>
  <si>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</si>
  <si>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Joseph Moore.</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</si>
  <si>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</si>
  <si>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</si>
  <si>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</si>
  <si>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</si>
  <si>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</si>
  <si>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</si>
  <si>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</si>
  <si>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</si>
  <si>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</si>
  <si>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</si>
  <si>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</si>
  <si>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</si>
  <si>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</si>
  <si>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</si>
  <si>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</si>
  <si>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</si>
  <si>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</si>
  <si>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</si>
  <si>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</si>
  <si>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</si>
  <si>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</si>
  <si>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</si>
  <si>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</si>
  <si>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</si>
  <si>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</si>
  <si>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</si>
  <si>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</si>
  <si>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</si>
  <si>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</si>
  <si>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</si>
  <si>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</si>
  <si>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</si>
  <si>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</si>
  <si>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</si>
  <si>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</si>
  <si>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</si>
  <si>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</si>
  <si>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</si>
  <si>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</si>
  <si>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</si>
  <si>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</si>
  <si>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</si>
  <si>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</si>
  <si>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</si>
  <si>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</si>
  <si>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</si>
  <si>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</si>
  <si>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</si>
  <si>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</si>
  <si>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</si>
  <si>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</si>
  <si>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</si>
  <si>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</si>
  <si>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</si>
  <si>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</si>
  <si>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</si>
  <si>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</si>
  <si>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</si>
  <si>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</si>
  <si>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</si>
  <si>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</si>
  <si>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</si>
  <si>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</si>
  <si>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</si>
  <si>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</si>
  <si>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</si>
  <si>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In-Line</t>
  </si>
  <si>
    <t>Quarterly Update</t>
  </si>
  <si>
    <t>NorthAmerica</t>
  </si>
  <si>
    <t>vinayakr</t>
  </si>
  <si>
    <t>MSA32FNJ, MSA89GWN, MSA68HLF</t>
  </si>
  <si>
    <t>L:\SEMI CAP\Joe Files\Companies\AMD\AMD WIP_no Comments.xlsm</t>
  </si>
  <si>
    <t>[BRO MSA]</t>
  </si>
  <si>
    <t>[PRODUCT MODEL]</t>
  </si>
  <si>
    <t>[EMAIL_ALERT YES]</t>
  </si>
  <si>
    <t>[DISCIPLINE Company]</t>
  </si>
  <si>
    <t>[SUPPRESSED NO]</t>
  </si>
  <si>
    <t>[DOCDAT 2018-04-26]</t>
  </si>
  <si>
    <t>[DOCTIME 08:33]</t>
  </si>
  <si>
    <t>[PSYM AMD.O(S&amp;P) (None)]</t>
  </si>
  <si>
    <t>[COU 1]</t>
  </si>
  <si>
    <t>[ANA MSA89GWN MSA68HLF]</t>
  </si>
  <si>
    <t>[HL AMD.O Model]</t>
  </si>
  <si>
    <t>[IND SEMICO]</t>
  </si>
  <si>
    <t>[PANA MSA32FNJ]</t>
  </si>
</sst>
</file>

<file path=xl/styles.xml><?xml version="1.0" encoding="utf-8"?>
<styleSheet xmlns="http://schemas.openxmlformats.org/spreadsheetml/2006/main" xmlns:mc="http://schemas.openxmlformats.org/markup-compatibility/2006" xmlns:x14ac="http://schemas.microsoft.com/office/spreadsheetml/2009/9/ac" mc:Ignorable="x14ac">
  <numFmts count="193">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0_);_(* \(#,##0.0\);_(* &quot;-&quot;?_);_(@_)"/>
    <numFmt numFmtId="165" formatCode="[$-409]mmm\-yy;@"/>
    <numFmt numFmtId="166" formatCode="&quot;$&quot;#,##0.0_);\(&quot;$&quot;#,##0.0\)"/>
    <numFmt numFmtId="167" formatCode="_(&quot;$&quot;* #,##0.0_);_(&quot;$&quot;* \(#,##0.0\);_(&quot;$&quot;* &quot;-&quot;?_);_(@_)"/>
    <numFmt numFmtId="168" formatCode="0.0%"/>
    <numFmt numFmtId="169" formatCode="_(&quot;$&quot;* #,##0.0_);_(&quot;$&quot;* \(#,##0.0\);_(&quot;$&quot;* &quot;-&quot;_);_(@_)"/>
    <numFmt numFmtId="170" formatCode="_(&quot;$&quot;* #,##0.000_);_(&quot;$&quot;* \(#,##0.000\);_(&quot;$&quot;* &quot;-&quot;_);_(@_)"/>
    <numFmt numFmtId="171" formatCode="_(* #,##0.0000_);_(* \(#,##0.0000\);_(* &quot;-&quot;?_);_(@_)"/>
    <numFmt numFmtId="172" formatCode="_(* #,##0.0000_);_(* \(#,##0.0000\);_(* &quot;-&quot;??_);_(@_)"/>
    <numFmt numFmtId="173" formatCode="_(&quot;$&quot;* #,##0.00_);_(&quot;$&quot;* \(#,##0.00\);_(&quot;$&quot;* &quot;-&quot;_);_(@_)"/>
    <numFmt numFmtId="174" formatCode="#,##0.0_);\(#,##0.0\);#,##0.0_);@_)"/>
    <numFmt numFmtId="175" formatCode="_(* #,##0.00_);_(* \(#,##0.00\);_(* &quot;-&quot;?_);_(@_)"/>
    <numFmt numFmtId="177" formatCode="_(* #,##0.0_);_(* \(#,##0.0\);_(* &quot;-&quot;??_);_(@_)"/>
    <numFmt numFmtId="178" formatCode="#,##0.0000_);\(#,##0.0000\)"/>
    <numFmt numFmtId="179" formatCode="#,##0.0_);\(#,##0.0\)"/>
    <numFmt numFmtId="180" formatCode="_(* #,##0.0_);_(* \(#,##0.0\);_(* &quot;-&quot;_);_(@_)"/>
    <numFmt numFmtId="181" formatCode="#,##0.000_);\(#,##0.000\)"/>
    <numFmt numFmtId="182" formatCode="0.0"/>
    <numFmt numFmtId="183" formatCode="_(* #,##0_);_(* \(#,##0\);_(* &quot;-&quot;??_);_(@_)"/>
    <numFmt numFmtId="184" formatCode="_(&quot;$&quot;* #,##0.0_);_(&quot;$&quot;* \(#,##0.0\);_(&quot;$&quot;* &quot;-&quot;??_);_(@_)"/>
    <numFmt numFmtId="186" formatCode="&quot;$&quot;#,##0.0_);[Red]\(&quot;$&quot;#,##0.0\)"/>
    <numFmt numFmtId="187" formatCode="_(&quot;$&quot;* #,##0_);_(&quot;$&quot;* \(#,##0\);_(&quot;$&quot;* &quot;-&quot;??_);_(@_)"/>
    <numFmt numFmtId="192" formatCode="#,##0.0"/>
    <numFmt numFmtId="194" formatCode="&quot;$&quot;#,##0.00"/>
    <numFmt numFmtId="196" formatCode="0.00_);\(0.00\)"/>
    <numFmt numFmtId="199" formatCode="0.0000"/>
    <numFmt numFmtId="200" formatCode="_(* #,##0.00000_);_(* \(#,##0.00000\);_(* &quot;-&quot;?????_);_(@_)"/>
    <numFmt numFmtId="201" formatCode="mmm\-yyyy"/>
    <numFmt numFmtId="202" formatCode="General_)"/>
    <numFmt numFmtId="203" formatCode="0.000_)"/>
    <numFmt numFmtId="204" formatCode="0.00_)"/>
    <numFmt numFmtId="205" formatCode="&quot;$&quot;#,##0.0;\(&quot;$&quot;#,##0.0\)"/>
    <numFmt numFmtId="206" formatCode="\£\ #,##0_);[Red]\(\£\ #,##0\)"/>
    <numFmt numFmtId="207" formatCode="\¥\ #,##0_);[Red]\(\¥\ #,##0\)"/>
    <numFmt numFmtId="208" formatCode="_(* #,##0.0_);_(* \(#,##0.0\);_(* &quot;--- &quot;_)"/>
    <numFmt numFmtId="209" formatCode="\•\ \ @"/>
    <numFmt numFmtId="210" formatCode="\ \ _•\–\ \ \ \ @"/>
    <numFmt numFmtId="211" formatCode="#,##0.0;\(###0.0\)"/>
    <numFmt numFmtId="212" formatCode="0.00000000000000000%"/>
    <numFmt numFmtId="213" formatCode="#,##0.0;\(#,##0.0\)"/>
    <numFmt numFmtId="214" formatCode="0.00\ "/>
    <numFmt numFmtId="215" formatCode=";;;"/>
    <numFmt numFmtId="216" formatCode="_(&quot;$&quot;* #,##0.00_);_(&quot;$&quot;* \(#,##0.00\);_(&quot;$&quot;* &quot;-&quot;?_);_(@_)"/>
    <numFmt numFmtId="217" formatCode="_(* #,##0_);_(* \(#,##0\);_(* &quot;-&quot;?_);_(@_)"/>
    <numFmt numFmtId="218" formatCode="&quot;$&quot;#,##0"/>
    <numFmt numFmtId="219" formatCode="0.0\x"/>
    <numFmt numFmtId="220" formatCode="0_)"/>
    <numFmt numFmtId="223" formatCode="0.0%_);\(0.0%\);&quot;–&quot;_)"/>
    <numFmt numFmtId="224" formatCode="&quot;$&quot;#,##0.0_);\(&quot;$&quot;#,##0.0\);\–_);&quot;–&quot;_)"/>
    <numFmt numFmtId="225" formatCode="_(* #,##0.000_);_(* \(#,##0.000\);_(* &quot;-&quot;??_);_(@_)"/>
    <numFmt numFmtId="226" formatCode="0.000"/>
    <numFmt numFmtId="227" formatCode="&quot;$&quot;#,##0.000_);[Red]\(&quot;$&quot;#,##0.000\)"/>
    <numFmt numFmtId="228" formatCode="0.0_)\%;\(0.0\)\%;0.0_)\%;@_)_%"/>
    <numFmt numFmtId="229" formatCode="&quot;$&quot;_(#,##0.00_);&quot;$&quot;\(#,##0.00\);&quot;$&quot;_(0.00_);@_)"/>
    <numFmt numFmtId="230" formatCode="#,##0.0_)_x;\(#,##0.0\)_x;0.0_)_x;@_)_x"/>
    <numFmt numFmtId="231" formatCode="0.0%;\(0.0%\)"/>
    <numFmt numFmtId="232" formatCode="0.0%_);\(0.0%\)"/>
    <numFmt numFmtId="233" formatCode="0.00\ \ \ \ "/>
    <numFmt numFmtId="234" formatCode="#,##0.0_);[Red]\(#,##0.0\)"/>
    <numFmt numFmtId="235" formatCode="yyyy"/>
    <numFmt numFmtId="236" formatCode="0.00%_);[Red]\(0.00%\)"/>
    <numFmt numFmtId="237" formatCode="0.0%_);[Red]\(0.0%\)"/>
    <numFmt numFmtId="238" formatCode="#,##0.000_);[Red]\(#,##0.000\)"/>
    <numFmt numFmtId="239" formatCode="0.00%;[Red]\(0.00%\)"/>
    <numFmt numFmtId="240" formatCode="&quot;Fr.&quot;#,##0_);[Red]\(&quot;Fr.&quot;#,##0\)"/>
    <numFmt numFmtId="241" formatCode="&quot;£&quot;\ #,##0_);[Red]\(&quot;£&quot;\ #,##0\)"/>
    <numFmt numFmtId="242" formatCode="&quot;\&quot;\ #,##0_);[Red]\(&quot;\&quot;\ #,##0\)"/>
    <numFmt numFmtId="243" formatCode="&quot;•&quot;\ \ @"/>
    <numFmt numFmtId="244" formatCode="#,##0.00000;[Red]\(#,##0.00000\)"/>
    <numFmt numFmtId="245" formatCode="&quot;$&quot;#,##0.00;\(&quot;$&quot;#,##0.00\)"/>
    <numFmt numFmtId="246" formatCode="_ * #,##0_)_£_ ;_ * \(#,##0\)_£_ ;_ * &quot;-&quot;_)_£_ ;_ @_ "/>
    <numFmt numFmtId="247" formatCode="&quot;$&quot;#,##0.0;[Red]\(&quot;$&quot;#,##0.0\)"/>
    <numFmt numFmtId="248" formatCode="\ \ _•&quot;–&quot;\ \ \ \ @"/>
    <numFmt numFmtId="249" formatCode="#,##0.0;[Red]\(#,##0.0\)"/>
    <numFmt numFmtId="250" formatCode="#,##0;[Red]\(#,##0\)"/>
    <numFmt numFmtId="251" formatCode="#,##0.00\x_);[Red]\(#,##0.00\x\)"/>
    <numFmt numFmtId="252" formatCode="0%;[Red]\(0%\)"/>
    <numFmt numFmtId="253" formatCode="0.00000"/>
    <numFmt numFmtId="254" formatCode="#,##0.0\ ;\(#,##0.0\)"/>
    <numFmt numFmtId="255" formatCode="#,##0,;;;&quot;$K&quot;"/>
    <numFmt numFmtId="256" formatCode="_-* #,##0_-;\-* #,##0_-;_-* &quot;-&quot;_-;_-@_-"/>
    <numFmt numFmtId="257" formatCode="_-* #,##0.00_-;\-* #,##0.00_-;_-* &quot;-&quot;??_-;_-@_-"/>
    <numFmt numFmtId="258" formatCode="_-&quot;$&quot;* #,##0_-;\-&quot;$&quot;* #,##0_-;_-&quot;$&quot;* &quot;-&quot;_-;_-@_-"/>
    <numFmt numFmtId="259" formatCode="#,##0.0_);\(#,##0.0\);0_._0_)"/>
    <numFmt numFmtId="260" formatCode="#,##0.0_)_%;\(#,##0.0\)_%;0.0_)_%;@_)_%"/>
    <numFmt numFmtId="261" formatCode="dd\-mmm\-yy_)"/>
    <numFmt numFmtId="262" formatCode="&quot;$&quot;_(#,##0.00_);&quot;$&quot;\(#,##0.00\)"/>
    <numFmt numFmtId="263" formatCode="&quot;£&quot;_(#,##0.00_);&quot;£&quot;\(#,##0.00\)"/>
    <numFmt numFmtId="264" formatCode="&quot;£&quot;_(#,##0.00_);&quot;£&quot;\(#,##0.00\);&quot;£&quot;_(0.00_);@_)"/>
    <numFmt numFmtId="265" formatCode="#,##0.00_);\(#,##0.00\);0.00_);@_)"/>
    <numFmt numFmtId="266" formatCode="0.0_)"/>
    <numFmt numFmtId="267" formatCode="\€_(#,##0.00_);\€\(#,##0.00\);\€_(0.00_);@_)"/>
    <numFmt numFmtId="268" formatCode="#,##0_)\x;\(#,##0\)\x;0_)\x;@_)_x"/>
    <numFmt numFmtId="269" formatCode="#,##0.0_)\x;\(#,##0.0\)\x;0.0_)\x;@_)_x"/>
    <numFmt numFmtId="270" formatCode="#,##0.0_)\x;\(#,##0.0\)\x"/>
    <numFmt numFmtId="271" formatCode="&quot;$&quot;#,##0.0000_);[Red]\(&quot;$&quot;#,##0.0000\)"/>
    <numFmt numFmtId="272" formatCode="#,##0_)_x;\(#,##0\)_x;0_)_x;@_)_x"/>
    <numFmt numFmtId="273" formatCode="#,##0.0_)_x;\(#,##0.0\)_x"/>
    <numFmt numFmtId="274" formatCode="0.0_)\%;\(0.0\)\%"/>
    <numFmt numFmtId="275" formatCode="#,##0.0_)_%;\(#,##0.0\)_%"/>
    <numFmt numFmtId="276" formatCode="&quot;!&quot;#,##0_);\(&quot;!&quot;#,##0\)"/>
    <numFmt numFmtId="277" formatCode="_(* #,##0_);_(* \(#,##0\);_(* &quot; - &quot;_);_(@_)"/>
    <numFmt numFmtId="278" formatCode="#,##0,\ ;[Red]\(#,##0,\);&quot;&quot;"/>
    <numFmt numFmtId="279" formatCode="#,##0,_$;\-#,##0,_$"/>
    <numFmt numFmtId="280" formatCode="#,##0;\(#,##0\);\-"/>
    <numFmt numFmtId="281" formatCode="&quot;$&quot;#,##0;\-&quot;$&quot;#,##0"/>
    <numFmt numFmtId="282" formatCode="#,##0;\-#,##0;&quot;-&quot;"/>
    <numFmt numFmtId="283" formatCode="0.00000000%"/>
    <numFmt numFmtId="284" formatCode="0.0&quot;  &quot;"/>
    <numFmt numFmtId="285" formatCode="0.000&quot;  &quot;"/>
    <numFmt numFmtId="286" formatCode="0.0000&quot;  &quot;"/>
    <numFmt numFmtId="287" formatCode="0.00000&quot;  &quot;"/>
    <numFmt numFmtId="288" formatCode="0%;\(0%\)"/>
    <numFmt numFmtId="289" formatCode="0.00&quot;  &quot;"/>
    <numFmt numFmtId="290" formatCode="#,##0\ ;[Red]\(#,##0\)"/>
    <numFmt numFmtId="291" formatCode="[$-409]mmmm\ d\,\ yyyy;@"/>
    <numFmt numFmtId="292" formatCode="#,##0.00\ &quot;F&quot;;[Red]\-#,##0.00\ &quot;F&quot;"/>
    <numFmt numFmtId="293" formatCode="_-* #,##0.0\ _F_-;\-* #,##0.0\ _F_-;_-* \-?\ _F_-;_-@_-"/>
    <numFmt numFmtId="294" formatCode="&quot;\&quot;#,##0;&quot;\&quot;&quot;\&quot;&quot;\&quot;&quot;\&quot;\-#,##0"/>
    <numFmt numFmtId="295" formatCode="&quot;$&quot;#,##0\ ;\(&quot;$&quot;#,##0\)"/>
    <numFmt numFmtId="296" formatCode="_(* #,##0_);_(* \(#,##0\);_(* &quot;0&quot;??_);_(@_)"/>
    <numFmt numFmtId="297" formatCode="#,##0;\(#,##0\)"/>
    <numFmt numFmtId="298" formatCode="#,##0.00000"/>
    <numFmt numFmtId="299" formatCode="mmm\-d\-yyyy"/>
    <numFmt numFmtId="300" formatCode="_(* #,##0_);_(* \(#,##0\);_(* &quot;&quot;\ \-\ &quot;&quot;_);_(@_)"/>
    <numFmt numFmtId="301" formatCode="_(* #,##0_);[Red]_(* \(#,##0\);_(* &quot;&quot;\ \-\ &quot;&quot;_);_(@_)"/>
    <numFmt numFmtId="302" formatCode="#,##0,_$;[Red]\-#,##0,_$"/>
    <numFmt numFmtId="303" formatCode="#,##0.00,_$;[Red]\-#,##0.00,_$"/>
    <numFmt numFmtId="304" formatCode="_(* #,###.00_);_(* \(#,###.00\);_(* &quot;-&quot;??_);_(@_)"/>
    <numFmt numFmtId="305" formatCode="_(&quot;$&quot;* \ #,##0.00_);_(&quot;$&quot;* \ \(#,##0.00\);_(&quot;$&quot;* \ &quot;-&quot;??_);_(@_)"/>
    <numFmt numFmtId="306" formatCode="_(&quot;$&quot;* #,##0,_);_(&quot;$&quot;* \(#,##0,\);_(&quot;$&quot;* &quot;-&quot;_);_(@_)"/>
    <numFmt numFmtId="307" formatCode="_([$€]* #,##0.00_);_([$€]* \(#,##0.00\);_([$€]* &quot;-&quot;??_);_(@_)"/>
    <numFmt numFmtId="308" formatCode="_-* #,##0.00\ [$€]_-;\-* #,##0.00\ [$€]_-;_-* &quot;-&quot;??\ [$€]_-;_-@_-"/>
    <numFmt numFmtId="309" formatCode="_-* #,##0.00\ &quot;€&quot;_-;\-* #,##0.00\ &quot;€&quot;_-;_-* &quot;-&quot;??\ &quot;€&quot;_-;_-@_-"/>
    <numFmt numFmtId="310" formatCode="\$#,##0_);[Red]&quot;($&quot;#,##0\)"/>
    <numFmt numFmtId="311" formatCode="#,##0,,,\ ;;;&quot;Gb/s&quot;"/>
    <numFmt numFmtId="312" formatCode="&quot;$&quot;#,##0,_);\(&quot;$&quot;#,##0\)"/>
    <numFmt numFmtId="313" formatCode="0;;"/>
    <numFmt numFmtId="314" formatCode="_-* #,##0.00\ &quot;DM&quot;_-;\-* #,##0.00\ &quot;DM&quot;_-;_-* &quot;-&quot;??\ &quot;DM&quot;_-;_-@_-"/>
    <numFmt numFmtId="315" formatCode="#,##0.000%_);[Red]\(#,##0.000%\)"/>
    <numFmt numFmtId="316" formatCode="mm/dd/yy;;;"/>
    <numFmt numFmtId="317" formatCode="#,##0,;;;&quot;Kb/s&quot;"/>
    <numFmt numFmtId="318" formatCode="#,##0,,;;;&quot;Mb/s&quot;"/>
    <numFmt numFmtId="319" formatCode="_-* #,##0\ _D_M_-;\-* #,##0\ _D_M_-;_-* &quot;-&quot;\ _D_M_-;_-@_-"/>
    <numFmt numFmtId="320" formatCode="_-* #,##0.00\ _D_M_-;\-* #,##0.00\ _D_M_-;_-* &quot;-&quot;??\ _D_M_-;_-@_-"/>
    <numFmt numFmtId="321" formatCode="&quot;$&quot;0.000"/>
    <numFmt numFmtId="322" formatCode="_-* #,##0\ &quot;DM&quot;_-;\-* #,##0\ &quot;DM&quot;_-;_-* &quot;-&quot;\ &quot;DM&quot;_-;_-@_-"/>
    <numFmt numFmtId="323" formatCode="_-&quot;£&quot;* #,##0.00_-;\-&quot;£&quot;* #,##0.00_-;_-&quot;£&quot;* &quot;-&quot;??_-;_-@_-"/>
    <numFmt numFmtId="324" formatCode="0.0;\(0.0\)"/>
    <numFmt numFmtId="325" formatCode="#,##0.0_);[Red]\(#,##0.0\);&quot;N/A &quot;"/>
    <numFmt numFmtId="326" formatCode="###0.0_x;\(###0.0\)_x"/>
    <numFmt numFmtId="327" formatCode="dd/mmm"/>
    <numFmt numFmtId="328" formatCode="\$#,##0_);&quot;($&quot;#,##0\)"/>
    <numFmt numFmtId="329" formatCode="#,##0.0%_);\(#,##0.0&quot;%)&quot;"/>
    <numFmt numFmtId="330" formatCode="#,##0.0,,_);\(#,##0.0,,\);\-_)"/>
    <numFmt numFmtId="331" formatCode="#,##0_);\(#,##0\);\-_)"/>
    <numFmt numFmtId="332" formatCode="_-* #,##0.000000_-;\-* #,##0.000000_-;_-* \-??_-;_-@_-"/>
    <numFmt numFmtId="333" formatCode="#,##0.0,_);\(#,##0.0,\);\-_)"/>
    <numFmt numFmtId="334" formatCode="#,##0.00_);\(#,##0.00\);\-_)"/>
    <numFmt numFmtId="335" formatCode="0.0%&quot;NetPPE/sales&quot;"/>
    <numFmt numFmtId="336" formatCode="#,##0&quot; &quot;\ &quot; &quot;;[Red]\(#,##0\)\ &quot; &quot;;&quot;—&quot;&quot; &quot;&quot; &quot;&quot; &quot;&quot; &quot;"/>
    <numFmt numFmtId="337" formatCode="0.0%&quot;NWI/Sls&quot;"/>
    <numFmt numFmtId="338" formatCode="_(\$* #,##0.00_);_(\$* \(#,##0.00\);_(\$* \-??_);_(@_)"/>
    <numFmt numFmtId="339" formatCode="mmmm\ dd\,\ yyyy"/>
    <numFmt numFmtId="340" formatCode="0.000000000"/>
    <numFmt numFmtId="341" formatCode="_(* #,##0_);_(* \(#,##0\);_(* \-_);_(@_)"/>
    <numFmt numFmtId="342" formatCode="0.000000"/>
    <numFmt numFmtId="343" formatCode="0.0%&quot;Sales&quot;"/>
    <numFmt numFmtId="344" formatCode="mm/dd/yy"/>
    <numFmt numFmtId="345" formatCode="#,##0.0\ ;[Red]\-#,##0.0\ "/>
    <numFmt numFmtId="346" formatCode="0.0000000000000"/>
    <numFmt numFmtId="347" formatCode="0.0%;[Red]\(0.0%\);&quot; &quot;"/>
    <numFmt numFmtId="348" formatCode="_-* #,##0.000_-;\-* #,##0.000_-;_-* &quot;-&quot;??_-;_-@_-"/>
    <numFmt numFmtId="349" formatCode="&quot;Ç&quot;\ &quot;´&quot;&quot;´&quot;&quot;´&quot;&quot;´&quot;\ &quot;»&quot;&quot;»&quot;&quot;»&quot;&quot;»&quot;"/>
    <numFmt numFmtId="352" formatCode="&quot;¥&quot;\ #,##0_);[Red]\(&quot;¥&quot;\ #,##0\)"/>
    <numFmt numFmtId="353" formatCode="_-&quot;$&quot;* #,##0.00_-;\-&quot;$&quot;* #,##0.00_-;_-&quot;$&quot;* &quot;-&quot;??_-;_-@_-"/>
    <numFmt numFmtId="354" formatCode="[Blue]General;[Blue]\-General;[Blue]&quot;--&quot;"/>
    <numFmt numFmtId="355" formatCode="&quot;$&quot;#,##0.00;[Red]\(&quot;$&quot;#,##0.00\)"/>
    <numFmt numFmtId="356" formatCode="0.00_);\(0.00\);0.00"/>
    <numFmt numFmtId="357" formatCode="&quot;SFr.&quot;#,##0.00;&quot;SFr.&quot;\-#,##0.00"/>
    <numFmt numFmtId="358" formatCode="0.0%;[Red]\(0.0%\)"/>
    <numFmt numFmtId="359" formatCode="0.00\%;\-0.00\%;0.00\%"/>
    <numFmt numFmtId="360" formatCode="0.00\x;\-0.00\x;0.00\x"/>
    <numFmt numFmtId="361" formatCode="##0.00000"/>
    <numFmt numFmtId="362" formatCode="&quot;?G&quot;#,##0.00;\-&quot;?G&quot;#,###"/>
    <numFmt numFmtId="368" formatCode="mm/dd/yy\ hh:mm"/>
  </numFmts>
  <fonts count="41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indexed="8"/>
      <name val="MS Sans Serif"/>
      <family val="2"/>
    </font>
    <font>
      <b/>
      <sz val="16"/>
      <color indexed="53"/>
      <name val="Arial"/>
      <family val="2"/>
    </font>
    <font>
      <b/>
      <sz val="14"/>
      <name val="Arial"/>
      <family val="2"/>
    </font>
    <font>
      <sz val="12"/>
      <color indexed="8"/>
      <name val="Arial MT"/>
    </font>
    <font>
      <sz val="11"/>
      <name val="Arial"/>
      <family val="2"/>
    </font>
    <font>
      <b/>
      <sz val="11"/>
      <name val="Arial"/>
      <family val="2"/>
    </font>
    <font>
      <i/>
      <sz val="11"/>
      <name val="Arial"/>
      <family val="2"/>
    </font>
    <font>
      <b/>
      <sz val="11"/>
      <color indexed="8"/>
      <name val="Arial"/>
      <family val="2"/>
    </font>
    <font>
      <sz val="9"/>
      <color indexed="8"/>
      <name val="Arial MT"/>
    </font>
    <font>
      <sz val="11"/>
      <color indexed="12"/>
      <name val="Arial"/>
      <family val="2"/>
    </font>
    <font>
      <i/>
      <sz val="11"/>
      <color indexed="12"/>
      <name val="Arial"/>
      <family val="2"/>
    </font>
    <font>
      <sz val="11"/>
      <color indexed="53"/>
      <name val="Arial"/>
      <family val="2"/>
    </font>
    <font>
      <i/>
      <sz val="11"/>
      <name val="Arial"/>
      <family val="2"/>
    </font>
    <font>
      <i/>
      <sz val="11"/>
      <color indexed="12"/>
      <name val="Arial"/>
      <family val="2"/>
    </font>
    <font>
      <b/>
      <sz val="11"/>
      <color indexed="12"/>
      <name val="Arial"/>
      <family val="2"/>
    </font>
    <font>
      <sz val="11"/>
      <color indexed="10"/>
      <name val="Arial"/>
      <family val="2"/>
    </font>
    <font>
      <sz val="11"/>
      <color indexed="17"/>
      <name val="Arial"/>
      <family val="2"/>
    </font>
    <font>
      <b/>
      <sz val="10"/>
      <name val="Arial"/>
      <family val="2"/>
    </font>
    <font>
      <b/>
      <sz val="11"/>
      <name val="Arial"/>
      <family val="2"/>
    </font>
    <font>
      <b/>
      <i/>
      <sz val="11"/>
      <color indexed="10"/>
      <name val="Arial"/>
      <family val="2"/>
    </font>
    <font>
      <sz val="11"/>
      <color indexed="8"/>
      <name val="Arial"/>
      <family val="2"/>
    </font>
    <font>
      <sz val="10"/>
      <name val="Arial"/>
      <family val="2"/>
    </font>
    <font>
      <sz val="8"/>
      <name val="Arial"/>
      <family val="2"/>
    </font>
    <font>
      <sz val="11"/>
      <name val="Arial"/>
      <family val="2"/>
    </font>
    <font>
      <sz val="11"/>
      <color indexed="12"/>
      <name val="Arial"/>
      <family val="2"/>
    </font>
    <font>
      <sz val="11"/>
      <color indexed="8"/>
      <name val="Arial"/>
      <family val="2"/>
    </font>
    <font>
      <sz val="10"/>
      <name val="MS Sans Serif"/>
      <family val="2"/>
    </font>
    <font>
      <b/>
      <sz val="10"/>
      <color indexed="8"/>
      <name val="Times New Roman"/>
      <family val="1"/>
    </font>
    <font>
      <u/>
      <sz val="10"/>
      <color indexed="12"/>
      <name val="Arial"/>
      <family val="2"/>
    </font>
    <font>
      <sz val="9"/>
      <name val="Times New Roman"/>
      <family val="1"/>
    </font>
    <font>
      <sz val="10"/>
      <color indexed="8"/>
      <name val="Times New Roman"/>
      <family val="1"/>
    </font>
    <font>
      <i/>
      <sz val="8"/>
      <name val="Times New Roman"/>
      <family val="1"/>
    </font>
    <font>
      <b/>
      <sz val="11"/>
      <color indexed="9"/>
      <name val="Arial"/>
      <family val="2"/>
    </font>
    <font>
      <b/>
      <sz val="11"/>
      <color indexed="17"/>
      <name val="Arial"/>
      <family val="2"/>
    </font>
    <font>
      <i/>
      <sz val="11"/>
      <color indexed="17"/>
      <name val="Arial"/>
      <family val="2"/>
    </font>
    <font>
      <i/>
      <sz val="10"/>
      <name val="Arial"/>
      <family val="2"/>
    </font>
    <font>
      <b/>
      <sz val="10"/>
      <name val="Arial"/>
      <family val="2"/>
    </font>
    <font>
      <b/>
      <sz val="8"/>
      <color indexed="81"/>
      <name val="Tahoma"/>
      <family val="2"/>
    </font>
    <font>
      <u/>
      <sz val="11"/>
      <color indexed="12"/>
      <name val="Arial"/>
      <family val="2"/>
    </font>
    <font>
      <u/>
      <sz val="11"/>
      <name val="Arial"/>
      <family val="2"/>
    </font>
    <font>
      <sz val="8"/>
      <color indexed="81"/>
      <name val="Tahoma"/>
      <family val="2"/>
    </font>
    <font>
      <sz val="8"/>
      <name val="Arial"/>
      <family val="2"/>
    </font>
    <font>
      <b/>
      <sz val="14"/>
      <color indexed="18"/>
      <name val="Arial"/>
      <family val="2"/>
    </font>
    <font>
      <b/>
      <sz val="8"/>
      <color indexed="9"/>
      <name val="Arial"/>
      <family val="2"/>
    </font>
    <font>
      <sz val="10"/>
      <color indexed="9"/>
      <name val="Arial"/>
      <family val="2"/>
    </font>
    <font>
      <b/>
      <sz val="9"/>
      <name val="Arial"/>
      <family val="2"/>
    </font>
    <font>
      <sz val="12"/>
      <name val="Arial"/>
      <family val="2"/>
    </font>
    <font>
      <b/>
      <sz val="12"/>
      <name val="Arial"/>
      <family val="2"/>
    </font>
    <font>
      <b/>
      <sz val="10"/>
      <color indexed="9"/>
      <name val="Arial"/>
      <family val="2"/>
    </font>
    <font>
      <sz val="10"/>
      <color indexed="12"/>
      <name val="Arial"/>
      <family val="2"/>
    </font>
    <font>
      <b/>
      <sz val="8"/>
      <name val="Arial"/>
      <family val="2"/>
    </font>
    <font>
      <sz val="8"/>
      <color indexed="12"/>
      <name val="Arial"/>
      <family val="2"/>
    </font>
    <font>
      <sz val="10"/>
      <color indexed="30"/>
      <name val="Arial"/>
      <family val="2"/>
    </font>
    <font>
      <b/>
      <sz val="11"/>
      <color indexed="9"/>
      <name val="Arial"/>
      <family val="2"/>
    </font>
    <font>
      <b/>
      <i/>
      <sz val="11"/>
      <name val="Arial"/>
      <family val="2"/>
    </font>
    <font>
      <b/>
      <sz val="11"/>
      <color indexed="12"/>
      <name val="Arial"/>
      <family val="2"/>
    </font>
    <font>
      <sz val="8"/>
      <name val="Tms Rmn"/>
    </font>
    <font>
      <sz val="10"/>
      <name val="Times New Roman"/>
      <family val="1"/>
    </font>
    <font>
      <sz val="12"/>
      <name val="Times New Roman"/>
      <family val="1"/>
    </font>
    <font>
      <sz val="11"/>
      <name val="‚l‚r ƒSƒVƒbƒN"/>
      <charset val="128"/>
    </font>
    <font>
      <sz val="12"/>
      <name val="Arial MT"/>
    </font>
    <font>
      <sz val="9"/>
      <color indexed="12"/>
      <name val="Times New Roman"/>
      <family val="1"/>
    </font>
    <font>
      <sz val="8"/>
      <name val="Arial MT"/>
    </font>
    <font>
      <sz val="8"/>
      <color indexed="13"/>
      <name val="Arial"/>
      <family val="2"/>
    </font>
    <font>
      <sz val="8"/>
      <color indexed="12"/>
      <name val="Tms Rmn"/>
    </font>
    <font>
      <b/>
      <sz val="12"/>
      <name val="Times New Roman"/>
      <family val="1"/>
    </font>
    <font>
      <sz val="10"/>
      <color indexed="18"/>
      <name val="Times New Roman"/>
      <family val="1"/>
    </font>
    <font>
      <b/>
      <sz val="8"/>
      <name val="GillSans"/>
    </font>
    <font>
      <sz val="11"/>
      <name val="Tms Rmn"/>
      <family val="1"/>
    </font>
    <font>
      <i/>
      <sz val="9"/>
      <name val="MS Sans Serif"/>
      <family val="2"/>
    </font>
    <font>
      <b/>
      <sz val="11"/>
      <name val="Times New Roman"/>
      <family val="1"/>
    </font>
    <font>
      <sz val="8"/>
      <name val="Times New Roman"/>
      <family val="1"/>
    </font>
    <font>
      <sz val="10"/>
      <color indexed="8"/>
      <name val="Arial"/>
      <family val="2"/>
    </font>
    <font>
      <sz val="14"/>
      <color indexed="32"/>
      <name val="Times New Roman"/>
      <family val="1"/>
    </font>
    <font>
      <sz val="9"/>
      <name val="GillSans Light"/>
    </font>
    <font>
      <b/>
      <sz val="10"/>
      <color indexed="17"/>
      <name val="Helvetica"/>
      <family val="2"/>
    </font>
    <font>
      <sz val="9"/>
      <name val="Futura UBS Bk"/>
      <family val="2"/>
    </font>
    <font>
      <sz val="10"/>
      <color indexed="12"/>
      <name val="Times New Roman"/>
      <family val="1"/>
    </font>
    <font>
      <sz val="10"/>
      <name val="GillSans Light"/>
    </font>
    <font>
      <sz val="7"/>
      <name val="Small Fonts"/>
      <family val="2"/>
    </font>
    <font>
      <b/>
      <i/>
      <sz val="16"/>
      <name val="Helv"/>
    </font>
    <font>
      <b/>
      <sz val="12"/>
      <name val="Tms Rmn"/>
    </font>
    <font>
      <b/>
      <sz val="13.5"/>
      <name val="MS Sans Serif"/>
      <family val="2"/>
    </font>
    <font>
      <sz val="8"/>
      <color indexed="32"/>
      <name val="Arial"/>
      <family val="2"/>
    </font>
    <font>
      <sz val="8"/>
      <color indexed="12"/>
      <name val="Helvetica"/>
      <family val="2"/>
    </font>
    <font>
      <b/>
      <sz val="10"/>
      <name val="GillSans"/>
    </font>
    <font>
      <b/>
      <sz val="10"/>
      <color indexed="8"/>
      <name val="Times New Roman"/>
      <family val="1"/>
    </font>
    <font>
      <b/>
      <sz val="11"/>
      <color indexed="9"/>
      <name val="GillSans"/>
    </font>
    <font>
      <b/>
      <sz val="11"/>
      <name val="GillSans"/>
    </font>
    <font>
      <b/>
      <sz val="9"/>
      <name val="Times New Roman"/>
      <family val="1"/>
    </font>
    <font>
      <u/>
      <sz val="8"/>
      <name val="Tms Rmn"/>
    </font>
    <font>
      <sz val="8"/>
      <color indexed="16"/>
      <name val="Helv"/>
    </font>
    <font>
      <sz val="10"/>
      <color indexed="8"/>
      <name val="Arial"/>
      <family val="2"/>
    </font>
    <font>
      <sz val="11"/>
      <color indexed="17"/>
      <name val="Arial"/>
      <family val="2"/>
    </font>
    <font>
      <i/>
      <sz val="10"/>
      <name val="Arial"/>
      <family val="2"/>
    </font>
    <font>
      <sz val="10"/>
      <name val="Arial"/>
      <family val="2"/>
    </font>
    <font>
      <sz val="11"/>
      <color indexed="24"/>
      <name val="Arial"/>
      <family val="2"/>
    </font>
    <font>
      <b/>
      <sz val="11"/>
      <color indexed="24"/>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i/>
      <sz val="11"/>
      <name val="Arial"/>
      <family val="2"/>
    </font>
    <font>
      <sz val="11"/>
      <color indexed="53"/>
      <name val="Arial"/>
      <family val="2"/>
    </font>
    <font>
      <b/>
      <sz val="11"/>
      <color indexed="53"/>
      <name val="Arial"/>
      <family val="2"/>
    </font>
    <font>
      <sz val="12"/>
      <color indexed="81"/>
      <name val="Tahoma"/>
      <family val="2"/>
    </font>
    <font>
      <i/>
      <sz val="11"/>
      <color indexed="10"/>
      <name val="Arial"/>
      <family val="2"/>
    </font>
    <font>
      <u/>
      <sz val="10"/>
      <name val="Arial"/>
      <family val="2"/>
    </font>
    <font>
      <sz val="11"/>
      <color indexed="56"/>
      <name val="Arial"/>
      <family val="2"/>
    </font>
    <font>
      <u/>
      <sz val="11"/>
      <color indexed="56"/>
      <name val="Arial"/>
      <family val="2"/>
    </font>
    <font>
      <u/>
      <sz val="11"/>
      <color indexed="17"/>
      <name val="Arial"/>
      <family val="2"/>
    </font>
    <font>
      <b/>
      <sz val="11"/>
      <color indexed="17"/>
      <name val="Arial"/>
      <family val="2"/>
    </font>
    <font>
      <u/>
      <sz val="8"/>
      <color indexed="81"/>
      <name val="Tahoma"/>
      <family val="2"/>
    </font>
    <font>
      <sz val="10"/>
      <color indexed="18"/>
      <name val="Arial"/>
      <family val="2"/>
    </font>
    <font>
      <i/>
      <sz val="11"/>
      <color indexed="10"/>
      <name val="Arial"/>
      <family val="2"/>
    </font>
    <font>
      <b/>
      <sz val="11"/>
      <color indexed="10"/>
      <name val="Arial"/>
      <family val="2"/>
    </font>
    <font>
      <b/>
      <sz val="10"/>
      <color indexed="81"/>
      <name val="Arial"/>
      <family val="2"/>
    </font>
    <font>
      <sz val="10"/>
      <color indexed="81"/>
      <name val="Arial"/>
      <family val="2"/>
    </font>
    <font>
      <b/>
      <u/>
      <sz val="10"/>
      <name val="Arial"/>
      <family val="2"/>
    </font>
    <font>
      <b/>
      <i/>
      <sz val="10"/>
      <name val="Arial"/>
      <family val="2"/>
    </font>
    <font>
      <u/>
      <sz val="11"/>
      <name val="Arial"/>
      <family val="2"/>
    </font>
    <font>
      <b/>
      <i/>
      <sz val="11"/>
      <color indexed="17"/>
      <name val="Arial"/>
      <family val="2"/>
    </font>
    <font>
      <b/>
      <sz val="10"/>
      <color indexed="81"/>
      <name val="Tahoma"/>
      <family val="2"/>
    </font>
    <font>
      <sz val="10"/>
      <color indexed="81"/>
      <name val="Tahoma"/>
      <family val="2"/>
    </font>
    <font>
      <i/>
      <sz val="11"/>
      <color indexed="17"/>
      <name val="Arial"/>
      <family val="2"/>
    </font>
    <font>
      <b/>
      <sz val="10"/>
      <color indexed="8"/>
      <name val="Arial"/>
      <family val="2"/>
    </font>
    <font>
      <b/>
      <u/>
      <sz val="11"/>
      <name val="Arial"/>
      <family val="2"/>
    </font>
    <font>
      <sz val="12"/>
      <name val="Arial"/>
      <family val="2"/>
    </font>
    <font>
      <i/>
      <u/>
      <sz val="11"/>
      <name val="Arial"/>
      <family val="2"/>
    </font>
    <font>
      <b/>
      <sz val="11"/>
      <color indexed="21"/>
      <name val="Arial"/>
      <family val="2"/>
    </font>
    <font>
      <b/>
      <sz val="10"/>
      <color indexed="18"/>
      <name val="Arial"/>
      <family val="2"/>
    </font>
    <font>
      <sz val="9"/>
      <color indexed="81"/>
      <name val="Tahoma"/>
      <family val="2"/>
    </font>
    <font>
      <b/>
      <sz val="9"/>
      <color indexed="81"/>
      <name val="Tahoma"/>
      <family val="2"/>
    </font>
    <font>
      <sz val="10"/>
      <name val="Arial"/>
      <family val="2"/>
    </font>
    <font>
      <sz val="10"/>
      <name val="Arial"/>
      <family val="2"/>
    </font>
    <font>
      <sz val="9"/>
      <name val="Arial"/>
      <family val="2"/>
    </font>
    <font>
      <i/>
      <sz val="9"/>
      <name val="Arial"/>
      <family val="2"/>
    </font>
    <font>
      <u/>
      <sz val="9"/>
      <name val="Arial"/>
      <family val="2"/>
    </font>
    <font>
      <sz val="11"/>
      <color indexed="10"/>
      <name val="Arial"/>
      <family val="2"/>
    </font>
    <font>
      <i/>
      <sz val="11"/>
      <color indexed="24"/>
      <name val="Arial"/>
      <family val="2"/>
    </font>
    <font>
      <sz val="11"/>
      <color indexed="8"/>
      <name val="Arial"/>
      <family val="2"/>
    </font>
    <font>
      <b/>
      <sz val="11"/>
      <color indexed="8"/>
      <name val="Arial"/>
      <family val="2"/>
    </font>
    <font>
      <sz val="11"/>
      <color indexed="18"/>
      <name val="Arial"/>
      <family val="2"/>
    </font>
    <font>
      <sz val="10"/>
      <name val="Arial"/>
      <family val="2"/>
    </font>
    <font>
      <b/>
      <i/>
      <sz val="11"/>
      <color indexed="12"/>
      <name val="Arial"/>
      <family val="2"/>
    </font>
    <font>
      <b/>
      <sz val="11"/>
      <color rgb="FF008000"/>
      <name val="Arial"/>
      <family val="2"/>
    </font>
    <font>
      <sz val="11"/>
      <color rgb="FF000000"/>
      <name val="Arial"/>
      <family val="2"/>
    </font>
    <font>
      <sz val="11"/>
      <color rgb="FF0000FF"/>
      <name val="Arial"/>
      <family val="2"/>
    </font>
    <font>
      <i/>
      <sz val="11"/>
      <color rgb="FF000000"/>
      <name val="Arial"/>
      <family val="2"/>
    </font>
    <font>
      <b/>
      <sz val="11"/>
      <color rgb="FF0000FF"/>
      <name val="Arial"/>
      <family val="2"/>
    </font>
    <font>
      <i/>
      <sz val="11"/>
      <color rgb="FF0000FF"/>
      <name val="Arial"/>
      <family val="2"/>
    </font>
    <font>
      <b/>
      <sz val="11"/>
      <color rgb="FF000000"/>
      <name val="Arial"/>
      <family val="2"/>
    </font>
    <font>
      <i/>
      <u/>
      <sz val="11"/>
      <color rgb="FF0000FF"/>
      <name val="Arial"/>
      <family val="2"/>
    </font>
    <font>
      <u/>
      <sz val="11"/>
      <color rgb="FF0000FF"/>
      <name val="Arial"/>
      <family val="2"/>
    </font>
    <font>
      <u/>
      <sz val="11"/>
      <color rgb="FF000000"/>
      <name val="Arial"/>
      <family val="2"/>
    </font>
    <font>
      <sz val="8"/>
      <color theme="1"/>
      <name val="Arial"/>
      <family val="2"/>
    </font>
    <font>
      <u/>
      <sz val="8.5"/>
      <color indexed="9"/>
      <name val="Arial"/>
      <family val="2"/>
    </font>
    <font>
      <sz val="12"/>
      <name val="바탕체"/>
      <family val="1"/>
      <charset val="129"/>
    </font>
    <font>
      <sz val="10"/>
      <name val="GillSans"/>
      <family val="2"/>
    </font>
    <font>
      <sz val="10"/>
      <name val="Helvetica"/>
      <family val="2"/>
    </font>
    <font>
      <sz val="10"/>
      <color indexed="2"/>
      <name val="Tahoma"/>
      <family val="2"/>
    </font>
    <font>
      <b/>
      <sz val="10"/>
      <color indexed="0"/>
      <name val="Tahoma"/>
      <family val="2"/>
    </font>
    <font>
      <sz val="10"/>
      <name val="Tahoma"/>
      <family val="2"/>
    </font>
    <font>
      <b/>
      <i/>
      <sz val="10"/>
      <color indexed="4"/>
      <name val="Tahoma"/>
      <family val="2"/>
    </font>
    <font>
      <sz val="10"/>
      <color indexed="4"/>
      <name val="Tahoma"/>
      <family val="2"/>
    </font>
    <font>
      <sz val="10"/>
      <name val="Segoe UI"/>
      <family val="2"/>
    </font>
    <font>
      <sz val="7"/>
      <color theme="1"/>
      <name val="Avenir LT Std 35 Light"/>
      <family val="2"/>
    </font>
    <font>
      <b/>
      <sz val="8"/>
      <name val="Times New Roman"/>
      <family val="1"/>
    </font>
    <font>
      <sz val="10"/>
      <name val="Courier"/>
      <family val="3"/>
    </font>
    <font>
      <sz val="8"/>
      <color indexed="8"/>
      <name val="Times New Roman"/>
      <family val="1"/>
    </font>
    <font>
      <sz val="8"/>
      <color indexed="18"/>
      <name val="Times New Roman"/>
      <family val="1"/>
    </font>
    <font>
      <sz val="10"/>
      <name val="Geneva"/>
    </font>
    <font>
      <sz val="8"/>
      <color indexed="17"/>
      <name val="Times New Roman"/>
      <family val="1"/>
    </font>
    <font>
      <sz val="11"/>
      <name val="明朝"/>
      <family val="1"/>
      <charset val="128"/>
    </font>
    <font>
      <sz val="12"/>
      <name val="???"/>
      <family val="1"/>
      <charset val="129"/>
    </font>
    <font>
      <sz val="11"/>
      <name val="??"/>
      <family val="1"/>
    </font>
    <font>
      <u/>
      <sz val="8.4"/>
      <color indexed="12"/>
      <name val="Arial"/>
      <family val="2"/>
    </font>
    <font>
      <sz val="9"/>
      <name val="‚l‚r –¾’©"/>
      <family val="1"/>
      <charset val="128"/>
    </font>
    <font>
      <sz val="12"/>
      <name val="Arial MT"/>
      <family val="2"/>
    </font>
    <font>
      <sz val="8"/>
      <color indexed="12"/>
      <name val="Tms Rmn"/>
      <family val="1"/>
    </font>
    <font>
      <sz val="12"/>
      <name val="Tms Rmn"/>
      <family val="1"/>
    </font>
    <font>
      <i/>
      <sz val="10"/>
      <name val="Tms Rmn"/>
    </font>
    <font>
      <sz val="8"/>
      <name val="Tms Rmn"/>
      <family val="1"/>
    </font>
    <font>
      <u/>
      <sz val="8"/>
      <name val="Times New Roman"/>
      <family val="1"/>
    </font>
    <font>
      <sz val="10"/>
      <name val="MS Serif"/>
      <family val="1"/>
    </font>
    <font>
      <b/>
      <sz val="14"/>
      <name val="Tms Rmn"/>
    </font>
    <font>
      <sz val="10"/>
      <color indexed="16"/>
      <name val="MS Serif"/>
      <family val="1"/>
    </font>
    <font>
      <sz val="10"/>
      <color indexed="2"/>
      <name val="MS UI Gothic"/>
      <family val="3"/>
    </font>
    <font>
      <b/>
      <sz val="10"/>
      <color indexed="0"/>
      <name val="MS UI Gothic"/>
      <family val="3"/>
    </font>
    <font>
      <b/>
      <sz val="10"/>
      <color indexed="17"/>
      <name val="Helvetica"/>
      <family val="2"/>
    </font>
    <font>
      <b/>
      <u/>
      <sz val="11"/>
      <color indexed="37"/>
      <name val="Arial"/>
      <family val="2"/>
    </font>
    <font>
      <sz val="11"/>
      <name val="ＭＳ Ｐゴシック"/>
      <family val="3"/>
      <charset val="128"/>
    </font>
    <font>
      <sz val="11"/>
      <name val="??"/>
      <family val="3"/>
      <charset val="129"/>
    </font>
    <font>
      <sz val="10"/>
      <name val="MS UI Gothic"/>
      <family val="3"/>
    </font>
    <font>
      <sz val="18"/>
      <name val="Times New Roman"/>
      <family val="1"/>
    </font>
    <font>
      <b/>
      <sz val="13"/>
      <name val="Times New Roman"/>
      <family val="1"/>
    </font>
    <font>
      <b/>
      <i/>
      <sz val="12"/>
      <name val="Times New Roman"/>
      <family val="1"/>
    </font>
    <font>
      <i/>
      <sz val="12"/>
      <name val="Times New Roman"/>
      <family val="1"/>
    </font>
    <font>
      <sz val="11"/>
      <name val="Times New Roman"/>
      <family val="1"/>
    </font>
    <font>
      <b/>
      <i/>
      <sz val="10"/>
      <color indexed="4"/>
      <name val="MS UI Gothic"/>
      <family val="3"/>
    </font>
    <font>
      <sz val="10"/>
      <color indexed="4"/>
      <name val="MS UI Gothic"/>
      <family val="3"/>
    </font>
    <font>
      <b/>
      <sz val="12"/>
      <name val="Tms Rmn"/>
      <family val="1"/>
    </font>
    <font>
      <sz val="6"/>
      <color indexed="12"/>
      <name val="Tms Rmn"/>
    </font>
    <font>
      <sz val="8"/>
      <color indexed="12"/>
      <name val="Helvetica"/>
      <family val="2"/>
    </font>
    <font>
      <sz val="14"/>
      <name val="Terminal"/>
      <family val="3"/>
      <charset val="255"/>
    </font>
    <font>
      <sz val="6"/>
      <name val="Tms Rmn"/>
    </font>
    <font>
      <sz val="7"/>
      <name val="Times New Roman"/>
      <family val="1"/>
    </font>
    <font>
      <sz val="7"/>
      <color indexed="17"/>
      <name val="Times New Roman"/>
      <family val="1"/>
    </font>
    <font>
      <b/>
      <sz val="8"/>
      <color indexed="8"/>
      <name val="Helv"/>
      <family val="2"/>
    </font>
    <font>
      <b/>
      <sz val="8"/>
      <color indexed="18"/>
      <name val="Times New Roman"/>
      <family val="1"/>
    </font>
    <font>
      <sz val="7"/>
      <color indexed="12"/>
      <name val="Tms Rmn"/>
    </font>
    <font>
      <sz val="8"/>
      <color indexed="16"/>
      <name val="Helv"/>
      <family val="2"/>
    </font>
    <font>
      <sz val="14"/>
      <name val="ＭＳ 明朝"/>
      <family val="1"/>
      <charset val="128"/>
    </font>
    <font>
      <sz val="10"/>
      <color theme="1"/>
      <name val="Arial"/>
      <family val="2"/>
    </font>
    <font>
      <sz val="8"/>
      <color indexed="8"/>
      <name val="Arial"/>
      <family val="2"/>
    </font>
    <font>
      <b/>
      <sz val="8"/>
      <color indexed="8"/>
      <name val="Arial"/>
      <family val="2"/>
    </font>
    <font>
      <b/>
      <u/>
      <sz val="8"/>
      <name val="Arial"/>
      <family val="2"/>
    </font>
    <font>
      <sz val="8"/>
      <name val="Tahoma"/>
      <family val="2"/>
    </font>
    <font>
      <b/>
      <sz val="15"/>
      <color indexed="56"/>
      <name val="Calibri"/>
      <family val="2"/>
    </font>
    <font>
      <b/>
      <sz val="13"/>
      <color indexed="56"/>
      <name val="Calibri"/>
      <family val="2"/>
    </font>
    <font>
      <b/>
      <sz val="11"/>
      <color indexed="56"/>
      <name val="Calibri"/>
      <family val="2"/>
    </font>
    <font>
      <sz val="8"/>
      <color indexed="10"/>
      <name val="Arial"/>
      <family val="2"/>
    </font>
    <font>
      <b/>
      <sz val="12"/>
      <color indexed="8"/>
      <name val="Arial"/>
      <family val="2"/>
    </font>
    <font>
      <sz val="12"/>
      <name val="Helv"/>
      <family val="2"/>
    </font>
    <font>
      <sz val="12"/>
      <name val="????"/>
      <charset val="136"/>
    </font>
    <font>
      <sz val="10"/>
      <name val="Helvetica-Narrow"/>
      <family val="2"/>
    </font>
    <font>
      <sz val="10"/>
      <name val="Helv"/>
    </font>
    <font>
      <b/>
      <sz val="22"/>
      <color indexed="18"/>
      <name val="Arial"/>
      <family val="2"/>
    </font>
    <font>
      <sz val="9"/>
      <color indexed="8"/>
      <name val="Arial"/>
      <family val="2"/>
    </font>
    <font>
      <b/>
      <u val="singleAccounting"/>
      <sz val="10"/>
      <color indexed="18"/>
      <name val="Arial"/>
      <family val="2"/>
    </font>
    <font>
      <sz val="14"/>
      <name val="AngsanaUPC"/>
      <family val="1"/>
    </font>
    <font>
      <sz val="10"/>
      <color indexed="8"/>
      <name val="Times New Roman"/>
      <family val="2"/>
    </font>
    <font>
      <sz val="11"/>
      <color indexed="8"/>
      <name val="宋体"/>
      <charset val="134"/>
    </font>
    <font>
      <sz val="12"/>
      <color indexed="8"/>
      <name val="新細明體"/>
      <family val="1"/>
      <charset val="136"/>
    </font>
    <font>
      <sz val="10"/>
      <color indexed="9"/>
      <name val="Times New Roman"/>
      <family val="2"/>
    </font>
    <font>
      <sz val="11"/>
      <color indexed="9"/>
      <name val="宋体"/>
      <charset val="134"/>
    </font>
    <font>
      <sz val="12"/>
      <color indexed="9"/>
      <name val="新細明體"/>
      <family val="1"/>
      <charset val="136"/>
    </font>
    <font>
      <sz val="10"/>
      <name val="TimesNewRomanPS"/>
    </font>
    <font>
      <sz val="11"/>
      <color indexed="16"/>
      <name val="Calibri"/>
      <family val="2"/>
    </font>
    <font>
      <sz val="10"/>
      <color rgb="FF9C0006"/>
      <name val="Times New Roman"/>
      <family val="2"/>
    </font>
    <font>
      <b/>
      <sz val="14"/>
      <color indexed="9"/>
      <name val="Univers (WN)"/>
      <family val="2"/>
    </font>
    <font>
      <b/>
      <sz val="14"/>
      <name val="Univers (WN)"/>
    </font>
    <font>
      <i/>
      <sz val="14"/>
      <color indexed="8"/>
      <name val="Arial"/>
      <family val="2"/>
    </font>
    <font>
      <b/>
      <i/>
      <u/>
      <sz val="14"/>
      <name val="Arial"/>
      <family val="2"/>
    </font>
    <font>
      <b/>
      <sz val="12"/>
      <color indexed="8"/>
      <name val="Times New Roman"/>
      <family val="1"/>
    </font>
    <font>
      <sz val="10"/>
      <name val="Century Gothic"/>
      <family val="2"/>
    </font>
    <font>
      <i/>
      <sz val="12"/>
      <color indexed="8"/>
      <name val="Arial"/>
      <family val="2"/>
    </font>
    <font>
      <sz val="8"/>
      <name val="Verdana"/>
      <family val="2"/>
    </font>
    <font>
      <b/>
      <sz val="10"/>
      <name val="MS Sans Serif"/>
      <family val="2"/>
    </font>
    <font>
      <u val="singleAccounting"/>
      <sz val="10"/>
      <name val="Arial"/>
      <family val="2"/>
    </font>
    <font>
      <b/>
      <sz val="11"/>
      <color indexed="53"/>
      <name val="Calibri"/>
      <family val="2"/>
    </font>
    <font>
      <b/>
      <sz val="10"/>
      <color rgb="FFFA7D00"/>
      <name val="Times New Roman"/>
      <family val="2"/>
    </font>
    <font>
      <b/>
      <sz val="9"/>
      <color indexed="12"/>
      <name val="Times New Roman"/>
      <family val="1"/>
    </font>
    <font>
      <b/>
      <sz val="10"/>
      <color indexed="9"/>
      <name val="Times New Roman"/>
      <family val="2"/>
    </font>
    <font>
      <sz val="10"/>
      <color indexed="8"/>
      <name val="ARIAL"/>
      <family val="2"/>
      <charset val="1"/>
    </font>
    <font>
      <b/>
      <u val="singleAccounting"/>
      <sz val="8"/>
      <color indexed="8"/>
      <name val="Arial"/>
      <family val="2"/>
    </font>
    <font>
      <b/>
      <sz val="8"/>
      <color indexed="8"/>
      <name val="Courier New"/>
      <family val="3"/>
    </font>
    <font>
      <sz val="8"/>
      <color indexed="12"/>
      <name val="Helv"/>
    </font>
    <font>
      <sz val="9"/>
      <name val="Helv"/>
    </font>
    <font>
      <sz val="11"/>
      <color indexed="12"/>
      <name val="Book Antiqua"/>
      <family val="1"/>
    </font>
    <font>
      <sz val="11"/>
      <name val="돋움"/>
      <family val="1"/>
      <charset val="136"/>
    </font>
    <font>
      <b/>
      <sz val="9"/>
      <color indexed="9"/>
      <name val="Arial"/>
      <family val="2"/>
    </font>
    <font>
      <sz val="8"/>
      <name val="MS Sans Serif"/>
      <family val="2"/>
    </font>
    <font>
      <sz val="8"/>
      <color indexed="18"/>
      <name val="Comic Sans MS"/>
      <family val="4"/>
    </font>
    <font>
      <b/>
      <sz val="10"/>
      <name val="Tms Rmn"/>
    </font>
    <font>
      <sz val="10"/>
      <name val="Geneva"/>
      <family val="2"/>
    </font>
    <font>
      <sz val="1.25"/>
      <name val="Arial"/>
      <family val="2"/>
    </font>
    <font>
      <b/>
      <u val="double"/>
      <sz val="9"/>
      <name val="Arial"/>
      <family val="2"/>
    </font>
    <font>
      <u val="doubleAccounting"/>
      <sz val="10"/>
      <name val="Arial"/>
      <family val="2"/>
    </font>
    <font>
      <sz val="10"/>
      <name val="Univers"/>
      <family val="2"/>
    </font>
    <font>
      <b/>
      <u/>
      <sz val="12"/>
      <name val="Arial Narrow"/>
      <family val="2"/>
    </font>
    <font>
      <sz val="10"/>
      <name val="Helvetica 45 Light"/>
    </font>
    <font>
      <i/>
      <sz val="10"/>
      <color rgb="FF7F7F7F"/>
      <name val="Times New Roman"/>
      <family val="2"/>
    </font>
    <font>
      <b/>
      <sz val="7"/>
      <color indexed="12"/>
      <name val="Arial"/>
      <family val="2"/>
    </font>
    <font>
      <sz val="7"/>
      <name val="Palatino"/>
      <family val="1"/>
    </font>
    <font>
      <b/>
      <sz val="8"/>
      <name val="Helv"/>
    </font>
    <font>
      <sz val="9"/>
      <name val="Geneva"/>
      <family val="2"/>
    </font>
    <font>
      <sz val="10"/>
      <color rgb="FF006100"/>
      <name val="Times New Roman"/>
      <family val="2"/>
    </font>
    <font>
      <b/>
      <sz val="10"/>
      <color indexed="58"/>
      <name val="Arial"/>
      <family val="2"/>
    </font>
    <font>
      <sz val="6"/>
      <color indexed="16"/>
      <name val="Palatino"/>
      <family val="1"/>
    </font>
    <font>
      <b/>
      <sz val="8"/>
      <color indexed="8"/>
      <name val="Tahoma"/>
      <family val="2"/>
    </font>
    <font>
      <b/>
      <sz val="8"/>
      <color indexed="9"/>
      <name val="Tahoma"/>
      <family val="2"/>
    </font>
    <font>
      <b/>
      <u/>
      <sz val="8"/>
      <color indexed="8"/>
      <name val="Tahoma"/>
      <family val="2"/>
    </font>
    <font>
      <b/>
      <u/>
      <sz val="18"/>
      <name val="Geneva"/>
      <family val="2"/>
    </font>
    <font>
      <b/>
      <sz val="14"/>
      <name val="Univers"/>
      <family val="2"/>
    </font>
    <font>
      <b/>
      <sz val="15"/>
      <color theme="3"/>
      <name val="Times New Roman"/>
      <family val="2"/>
    </font>
    <font>
      <sz val="18"/>
      <name val="Helvetica-Black"/>
    </font>
    <font>
      <b/>
      <sz val="13"/>
      <color theme="3"/>
      <name val="Times New Roman"/>
      <family val="2"/>
    </font>
    <font>
      <i/>
      <sz val="14"/>
      <name val="Palatino"/>
      <family val="1"/>
    </font>
    <font>
      <b/>
      <sz val="11"/>
      <color theme="3"/>
      <name val="Times New Roman"/>
      <family val="2"/>
    </font>
    <font>
      <b/>
      <sz val="10"/>
      <name val="Geneva"/>
      <family val="2"/>
    </font>
    <font>
      <b/>
      <sz val="10"/>
      <name val="Univers"/>
      <family val="2"/>
    </font>
    <font>
      <b/>
      <sz val="8"/>
      <name val="MS Sans Serif"/>
      <family val="2"/>
    </font>
    <font>
      <b/>
      <sz val="9"/>
      <name val="Helv"/>
    </font>
    <font>
      <b/>
      <sz val="10.75"/>
      <name val="Arial"/>
      <family val="2"/>
    </font>
    <font>
      <b/>
      <i/>
      <sz val="20"/>
      <name val="Century Gothic"/>
      <family val="2"/>
    </font>
    <font>
      <sz val="9"/>
      <color indexed="17"/>
      <name val="Helv"/>
    </font>
    <font>
      <sz val="10"/>
      <color rgb="FF3F3F76"/>
      <name val="Times New Roman"/>
      <family val="2"/>
    </font>
    <font>
      <b/>
      <u/>
      <sz val="10"/>
      <color indexed="12"/>
      <name val="Times New Roman"/>
      <family val="1"/>
    </font>
    <font>
      <sz val="8"/>
      <color indexed="39"/>
      <name val="Arial"/>
      <family val="2"/>
    </font>
    <font>
      <sz val="8"/>
      <color indexed="12"/>
      <name val="Tahoma"/>
      <family val="2"/>
    </font>
    <font>
      <sz val="1"/>
      <color indexed="9"/>
      <name val="Symbol"/>
      <family val="1"/>
      <charset val="2"/>
    </font>
    <font>
      <sz val="8"/>
      <color indexed="10"/>
      <name val="Helv"/>
    </font>
    <font>
      <b/>
      <i/>
      <sz val="20"/>
      <color indexed="8"/>
      <name val="Arial"/>
      <family val="2"/>
    </font>
    <font>
      <u/>
      <sz val="7.5"/>
      <color indexed="12"/>
      <name val="Arial"/>
      <family val="2"/>
    </font>
    <font>
      <sz val="10"/>
      <color indexed="16"/>
      <name val="MS Sans Serif"/>
      <family val="2"/>
    </font>
    <font>
      <sz val="11"/>
      <color indexed="53"/>
      <name val="Calibri"/>
      <family val="2"/>
    </font>
    <font>
      <sz val="10"/>
      <color rgb="FFFA7D00"/>
      <name val="Times New Roman"/>
      <family val="2"/>
    </font>
    <font>
      <sz val="8"/>
      <name val="Palatino"/>
      <family val="1"/>
    </font>
    <font>
      <b/>
      <u val="singleAccounting"/>
      <sz val="9"/>
      <color indexed="9"/>
      <name val="Arial"/>
      <family val="2"/>
    </font>
    <font>
      <sz val="11"/>
      <color indexed="19"/>
      <name val="Calibri"/>
      <family val="2"/>
    </font>
    <font>
      <sz val="10"/>
      <color rgb="FF9C6500"/>
      <name val="Times New Roman"/>
      <family val="2"/>
    </font>
    <font>
      <b/>
      <u val="singleAccounting"/>
      <sz val="8"/>
      <color indexed="8"/>
      <name val="Verdana"/>
      <family val="2"/>
    </font>
    <font>
      <b/>
      <sz val="12"/>
      <color indexed="8"/>
      <name val="Verdana"/>
      <family val="2"/>
    </font>
    <font>
      <b/>
      <sz val="8"/>
      <color indexed="23"/>
      <name val="Verdana"/>
      <family val="2"/>
    </font>
    <font>
      <sz val="10"/>
      <name val="Arial CE"/>
    </font>
    <font>
      <sz val="10"/>
      <name val="Palatino"/>
      <family val="1"/>
    </font>
    <font>
      <sz val="7"/>
      <color indexed="12"/>
      <name val="Arial"/>
      <family val="2"/>
    </font>
    <font>
      <i/>
      <sz val="10"/>
      <name val="Helv"/>
    </font>
    <font>
      <sz val="24"/>
      <name val="MS Sans Serif"/>
      <family val="2"/>
    </font>
    <font>
      <b/>
      <sz val="9"/>
      <color indexed="8"/>
      <name val="Tahoma"/>
      <family val="2"/>
    </font>
    <font>
      <sz val="8"/>
      <color indexed="32"/>
      <name val="Comic Sans MS"/>
      <family val="4"/>
    </font>
    <font>
      <b/>
      <sz val="10"/>
      <color rgb="FF3F3F3F"/>
      <name val="Times New Roman"/>
      <family val="2"/>
    </font>
    <font>
      <sz val="11"/>
      <color indexed="8"/>
      <name val="Times New Roman"/>
      <family val="1"/>
    </font>
    <font>
      <b/>
      <i/>
      <sz val="10"/>
      <color indexed="8"/>
      <name val="Arial"/>
      <family val="2"/>
    </font>
    <font>
      <b/>
      <sz val="11"/>
      <color indexed="16"/>
      <name val="Times New Roman"/>
      <family val="1"/>
    </font>
    <font>
      <b/>
      <sz val="10"/>
      <color indexed="17"/>
      <name val="Arial"/>
      <family val="2"/>
    </font>
    <font>
      <b/>
      <sz val="10"/>
      <color indexed="13"/>
      <name val="Arial"/>
      <family val="2"/>
    </font>
    <font>
      <b/>
      <sz val="26"/>
      <name val="Times New Roman"/>
      <family val="1"/>
    </font>
    <font>
      <b/>
      <sz val="18"/>
      <name val="Times New Roman"/>
      <family val="1"/>
    </font>
    <font>
      <sz val="10"/>
      <color indexed="16"/>
      <name val="Helvetica-Black"/>
    </font>
    <font>
      <sz val="12"/>
      <color indexed="8"/>
      <name val="Times New Roman"/>
      <family val="1"/>
    </font>
    <font>
      <sz val="8"/>
      <color indexed="18"/>
      <name val="Arial"/>
      <family val="2"/>
    </font>
    <font>
      <sz val="7"/>
      <color indexed="10"/>
      <name val="MS Sans Serif"/>
      <family val="2"/>
    </font>
    <font>
      <sz val="10"/>
      <name val="Tms Rmn"/>
      <family val="1"/>
    </font>
    <font>
      <sz val="10"/>
      <name val="Tms Rmn"/>
    </font>
    <font>
      <sz val="16"/>
      <color indexed="9"/>
      <name val="Tahoma"/>
      <family val="2"/>
    </font>
    <font>
      <sz val="9"/>
      <color indexed="8"/>
      <name val="Helv"/>
    </font>
    <font>
      <b/>
      <sz val="10"/>
      <name val="Times New Roman"/>
      <family val="1"/>
    </font>
    <font>
      <sz val="9"/>
      <color indexed="20"/>
      <name val="Helv"/>
    </font>
    <font>
      <sz val="8"/>
      <name val="Wingdings"/>
      <charset val="2"/>
    </font>
    <font>
      <sz val="8"/>
      <name val="Helv"/>
      <family val="2"/>
    </font>
    <font>
      <sz val="8"/>
      <name val="Helv"/>
    </font>
    <font>
      <sz val="8"/>
      <name val="COUR"/>
    </font>
    <font>
      <sz val="11"/>
      <color indexed="16"/>
      <name val="Arial"/>
      <family val="2"/>
    </font>
    <font>
      <sz val="9.5"/>
      <color indexed="23"/>
      <name val="Helvetica-Black"/>
    </font>
    <font>
      <b/>
      <sz val="8"/>
      <color indexed="9"/>
      <name val="Verdana"/>
      <family val="2"/>
    </font>
    <font>
      <sz val="10"/>
      <color indexed="8"/>
      <name val="Geneva"/>
      <family val="2"/>
    </font>
    <font>
      <sz val="9"/>
      <color indexed="18"/>
      <name val="Wingdings"/>
      <charset val="2"/>
    </font>
    <font>
      <sz val="10"/>
      <name val="ACaslon Regular"/>
    </font>
    <font>
      <b/>
      <i/>
      <sz val="14"/>
      <name val="Arial"/>
      <family val="2"/>
    </font>
    <font>
      <vertAlign val="subscript"/>
      <sz val="8"/>
      <color indexed="8"/>
      <name val="Arial"/>
      <family val="2"/>
    </font>
    <font>
      <b/>
      <sz val="8"/>
      <color indexed="8"/>
      <name val="Helv"/>
    </font>
    <font>
      <vertAlign val="superscript"/>
      <sz val="8"/>
      <color indexed="8"/>
      <name val="Arial"/>
      <family val="2"/>
    </font>
    <font>
      <b/>
      <sz val="9"/>
      <name val="Palatino"/>
      <family val="1"/>
    </font>
    <font>
      <sz val="9"/>
      <color indexed="21"/>
      <name val="Helvetica-Black"/>
    </font>
    <font>
      <b/>
      <sz val="10"/>
      <name val="Palatino"/>
      <family val="1"/>
    </font>
    <font>
      <b/>
      <sz val="8"/>
      <color indexed="63"/>
      <name val="Verdana"/>
      <family val="2"/>
    </font>
    <font>
      <sz val="12"/>
      <color indexed="8"/>
      <name val="Palatino"/>
      <family val="1"/>
    </font>
    <font>
      <sz val="11"/>
      <color indexed="8"/>
      <name val="Helvetica-Black"/>
    </font>
    <font>
      <sz val="12"/>
      <name val="¹UAAA¼"/>
      <family val="1"/>
      <charset val="129"/>
    </font>
    <font>
      <sz val="12"/>
      <name val="ⓒoUAAA¨u"/>
      <family val="1"/>
      <charset val="129"/>
    </font>
    <font>
      <sz val="12"/>
      <name val="¹UAAA¼"/>
      <family val="3"/>
      <charset val="129"/>
    </font>
    <font>
      <sz val="12"/>
      <name val="System"/>
      <family val="2"/>
    </font>
    <font>
      <sz val="8"/>
      <name val="¹UAAA¼"/>
      <family val="1"/>
      <charset val="129"/>
    </font>
    <font>
      <sz val="12"/>
      <name val="¹ÙÅÁÃ¼"/>
      <family val="1"/>
      <charset val="129"/>
    </font>
    <font>
      <sz val="12"/>
      <name val="바탕체"/>
      <family val="3"/>
      <charset val="129"/>
    </font>
    <font>
      <u/>
      <sz val="11"/>
      <color theme="4"/>
      <name val="Arial"/>
      <family val="2"/>
    </font>
    <font>
      <sz val="11"/>
      <color theme="4"/>
      <name val="Arial"/>
      <family val="2"/>
    </font>
    <font>
      <b/>
      <sz val="10"/>
      <name val="Helvetica"/>
      <family val="2"/>
    </font>
    <font>
      <sz val="12"/>
      <name val="±¼¸²A¼"/>
      <family val="3"/>
      <charset val="129"/>
    </font>
    <font>
      <sz val="24"/>
      <name val="Arial"/>
      <family val="2"/>
    </font>
    <font>
      <b/>
      <sz val="8"/>
      <name val="Helv"/>
      <family val="2"/>
    </font>
    <font>
      <b/>
      <sz val="14"/>
      <name val="Tms Rmn"/>
      <family val="1"/>
    </font>
    <font>
      <sz val="7"/>
      <name val="Arial"/>
      <family val="2"/>
    </font>
    <font>
      <sz val="10"/>
      <color indexed="12"/>
      <name val="MS Sans Serif"/>
      <family val="2"/>
    </font>
    <font>
      <i/>
      <sz val="10"/>
      <name val="Helv"/>
      <family val="2"/>
    </font>
    <font>
      <sz val="10"/>
      <name val="Garamond"/>
      <family val="1"/>
    </font>
    <font>
      <sz val="9"/>
      <color indexed="18"/>
      <name val="Arial"/>
      <family val="2"/>
    </font>
    <font>
      <sz val="10"/>
      <color indexed="23"/>
      <name val="MS Sans Serif"/>
      <family val="2"/>
    </font>
    <font>
      <b/>
      <sz val="16"/>
      <color indexed="62"/>
      <name val="Arial"/>
      <family val="2"/>
    </font>
    <font>
      <b/>
      <sz val="8"/>
      <color indexed="12"/>
      <name val="FrankfurtGothicHeavy"/>
      <family val="2"/>
    </font>
    <font>
      <sz val="12"/>
      <name val="新細明體"/>
      <family val="1"/>
      <charset val="136"/>
    </font>
    <font>
      <u/>
      <sz val="9"/>
      <color indexed="12"/>
      <name val="Arial"/>
      <family val="2"/>
    </font>
    <font>
      <sz val="11"/>
      <color rgb="FF008000"/>
      <name val="Arial"/>
      <family val="2"/>
    </font>
    <font>
      <i/>
      <sz val="11"/>
      <color rgb="FF008000"/>
      <name val="Arial"/>
      <family val="2"/>
    </font>
    <font>
      <b/>
      <sz val="11"/>
      <color theme="0"/>
      <name val="Arial"/>
      <family val="2"/>
    </font>
    <font>
      <sz val="11"/>
      <color theme="9" tint="-0.249977111117893"/>
      <name val="Arial"/>
      <family val="2"/>
    </font>
    <font>
      <sz val="11"/>
      <color theme="7" tint="-0.249977111117893"/>
      <name val="Arial"/>
      <family val="2"/>
    </font>
    <font>
      <i/>
      <sz val="11"/>
      <color theme="7" tint="-0.249977111117893"/>
      <name val="Arial"/>
      <family val="2"/>
    </font>
    <font>
      <sz val="11"/>
      <color rgb="FF0070C0"/>
      <name val="Arial"/>
      <family val="2"/>
    </font>
    <font>
      <i/>
      <sz val="11"/>
      <color rgb="FF0070C0"/>
      <name val="Arial"/>
      <family val="2"/>
    </font>
    <font>
      <sz val="11"/>
      <color indexed="54"/>
      <name val="Arial"/>
      <family val="2"/>
    </font>
    <font>
      <sz val="10"/>
      <color rgb="FF000000"/>
      <name val="Arial"/>
      <family val="2"/>
    </font>
    <font>
      <b/>
      <sz val="12"/>
      <color rgb="FF000080"/>
      <name val="Arial"/>
      <family val="2"/>
    </font>
  </fonts>
  <fills count="98">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32"/>
        <bgColor indexed="64"/>
      </patternFill>
    </fill>
    <fill>
      <patternFill patternType="solid">
        <fgColor indexed="9"/>
      </patternFill>
    </fill>
    <fill>
      <patternFill patternType="solid">
        <fgColor indexed="55"/>
      </patternFill>
    </fill>
    <fill>
      <patternFill patternType="solid">
        <fgColor indexed="35"/>
        <bgColor indexed="64"/>
      </patternFill>
    </fill>
    <fill>
      <patternFill patternType="solid">
        <fgColor indexed="42"/>
      </patternFill>
    </fill>
    <fill>
      <patternFill patternType="solid">
        <fgColor indexed="22"/>
        <bgColor indexed="64"/>
      </patternFill>
    </fill>
    <fill>
      <patternFill patternType="solid">
        <fgColor indexed="42"/>
        <bgColor indexed="64"/>
      </patternFill>
    </fill>
    <fill>
      <patternFill patternType="solid">
        <fgColor indexed="26"/>
        <bgColor indexed="64"/>
      </patternFill>
    </fill>
    <fill>
      <patternFill patternType="solid">
        <fgColor indexed="43"/>
        <bgColor indexed="64"/>
      </patternFill>
    </fill>
    <fill>
      <patternFill patternType="mediumGray"/>
    </fill>
    <fill>
      <patternFill patternType="solid">
        <fgColor indexed="9"/>
        <bgColor indexed="64"/>
      </patternFill>
    </fill>
    <fill>
      <patternFill patternType="solid">
        <fgColor indexed="57"/>
        <bgColor indexed="64"/>
      </patternFill>
    </fill>
    <fill>
      <patternFill patternType="solid">
        <fgColor indexed="8"/>
        <bgColor indexed="64"/>
      </patternFill>
    </fill>
    <fill>
      <patternFill patternType="solid">
        <fgColor indexed="12"/>
        <bgColor indexed="64"/>
      </patternFill>
    </fill>
    <fill>
      <patternFill patternType="solid">
        <fgColor indexed="60"/>
        <bgColor indexed="64"/>
      </patternFill>
    </fill>
    <fill>
      <patternFill patternType="solid">
        <fgColor indexed="18"/>
        <bgColor indexed="64"/>
      </patternFill>
    </fill>
    <fill>
      <patternFill patternType="solid">
        <fgColor indexed="53"/>
        <bgColor indexed="64"/>
      </patternFill>
    </fill>
    <fill>
      <patternFill patternType="solid">
        <fgColor indexed="13"/>
        <bgColor indexed="64"/>
      </patternFill>
    </fill>
    <fill>
      <patternFill patternType="solid">
        <fgColor indexed="52"/>
        <bgColor indexed="64"/>
      </patternFill>
    </fill>
    <fill>
      <patternFill patternType="solid">
        <fgColor theme="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indexed="48"/>
      </patternFill>
    </fill>
    <fill>
      <patternFill patternType="solid">
        <fgColor indexed="44"/>
        <bgColor indexed="64"/>
      </patternFill>
    </fill>
    <fill>
      <patternFill patternType="gray0625"/>
    </fill>
    <fill>
      <patternFill patternType="solid">
        <fgColor indexed="47"/>
        <bgColor indexed="64"/>
      </patternFill>
    </fill>
    <fill>
      <patternFill patternType="solid">
        <fgColor indexed="55"/>
        <bgColor indexed="64"/>
      </patternFill>
    </fill>
    <fill>
      <patternFill patternType="solid">
        <fgColor indexed="29"/>
        <bgColor indexed="64"/>
      </patternFill>
    </fill>
    <fill>
      <patternFill patternType="solid">
        <fgColor indexed="51"/>
        <bgColor indexed="64"/>
      </patternFill>
    </fill>
    <fill>
      <patternFill patternType="solid">
        <fgColor indexed="49"/>
        <bgColor indexed="64"/>
      </patternFill>
    </fill>
    <fill>
      <patternFill patternType="solid">
        <fgColor indexed="30"/>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FFC7CE"/>
        <bgColor indexed="64"/>
      </patternFill>
    </fill>
    <fill>
      <patternFill patternType="solid">
        <fgColor indexed="3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indexed="45"/>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indexed="46"/>
        <bgColor indexed="64"/>
      </patternFill>
    </fill>
    <fill>
      <patternFill patternType="solid">
        <fgColor indexed="27"/>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indexed="1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indexed="36"/>
        <bgColor indexed="64"/>
      </patternFill>
    </fill>
    <fill>
      <patternFill patternType="solid">
        <fgColor theme="8" tint="0.39997558519241921"/>
        <bgColor indexed="64"/>
      </patternFill>
    </fill>
    <fill>
      <patternFill patternType="solid">
        <fgColor indexed="54"/>
        <bgColor indexed="64"/>
      </patternFill>
    </fill>
    <fill>
      <patternFill patternType="solid">
        <fgColor theme="4"/>
        <bgColor indexed="64"/>
      </patternFill>
    </fill>
    <fill>
      <patternFill patternType="solid">
        <fgColor indexed="62"/>
        <bgColor indexed="64"/>
      </patternFill>
    </fill>
    <fill>
      <patternFill patternType="solid">
        <fgColor indexed="25"/>
        <bgColor indexed="64"/>
      </patternFill>
    </fill>
    <fill>
      <patternFill patternType="solid">
        <fgColor theme="5"/>
        <bgColor indexed="64"/>
      </patternFill>
    </fill>
    <fill>
      <patternFill patternType="solid">
        <fgColor indexed="10"/>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indexed="34"/>
        <bgColor indexed="64"/>
      </patternFill>
    </fill>
    <fill>
      <patternFill patternType="solid">
        <fgColor rgb="FFF2F2F2"/>
        <bgColor indexed="64"/>
      </patternFill>
    </fill>
    <fill>
      <patternFill patternType="lightGray">
        <fgColor indexed="15"/>
      </patternFill>
    </fill>
    <fill>
      <patternFill patternType="solid">
        <fgColor rgb="FFA5A5A5"/>
        <bgColor indexed="64"/>
      </patternFill>
    </fill>
    <fill>
      <patternFill patternType="solid">
        <fgColor indexed="48"/>
        <bgColor indexed="64"/>
      </patternFill>
    </fill>
    <fill>
      <patternFill patternType="solid">
        <fgColor indexed="23"/>
        <bgColor indexed="64"/>
      </patternFill>
    </fill>
    <fill>
      <patternFill patternType="solid">
        <fgColor indexed="14"/>
        <bgColor indexed="64"/>
      </patternFill>
    </fill>
    <fill>
      <patternFill patternType="solid">
        <fgColor indexed="40"/>
        <bgColor indexed="64"/>
      </patternFill>
    </fill>
    <fill>
      <patternFill patternType="solid">
        <fgColor rgb="FFC6EFCE"/>
        <bgColor indexed="64"/>
      </patternFill>
    </fill>
    <fill>
      <patternFill patternType="solid">
        <fgColor indexed="15"/>
        <bgColor indexed="64"/>
      </patternFill>
    </fill>
    <fill>
      <patternFill patternType="solid">
        <fgColor rgb="FFFFEB9C"/>
        <bgColor indexed="64"/>
      </patternFill>
    </fill>
    <fill>
      <patternFill patternType="solid">
        <fgColor indexed="63"/>
        <bgColor indexed="64"/>
      </patternFill>
    </fill>
    <fill>
      <patternFill patternType="solid">
        <fgColor indexed="17"/>
        <bgColor indexed="64"/>
      </patternFill>
    </fill>
    <fill>
      <patternFill patternType="mediumGray">
        <fgColor indexed="22"/>
      </patternFill>
    </fill>
    <fill>
      <patternFill patternType="darkVertical"/>
    </fill>
    <fill>
      <patternFill patternType="solid">
        <fgColor indexed="56"/>
        <bgColor indexed="64"/>
      </patternFill>
    </fill>
    <fill>
      <patternFill patternType="solid">
        <fgColor indexed="16"/>
        <bgColor indexed="64"/>
      </patternFill>
    </fill>
    <fill>
      <patternFill patternType="lightGray">
        <fgColor indexed="12"/>
      </patternFill>
    </fill>
    <fill>
      <patternFill patternType="solid">
        <fgColor indexed="21"/>
      </patternFill>
    </fill>
    <fill>
      <patternFill patternType="solid">
        <fgColor rgb="FFFFFF99"/>
        <bgColor indexed="64"/>
      </patternFill>
    </fill>
    <fill>
      <patternFill patternType="solid">
        <fgColor theme="0" tint="-0.249977111117893"/>
        <bgColor indexed="64"/>
      </patternFill>
    </fill>
    <fill>
      <patternFill patternType="solid">
        <fgColor indexed="65"/>
        <bgColor indexed="64"/>
      </patternFill>
    </fill>
  </fills>
  <borders count="101">
    <border>
      <left/>
      <right/>
      <top/>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64"/>
      </top>
      <bottom/>
      <diagonal/>
    </border>
    <border>
      <left/>
      <right/>
      <top style="thin">
        <color indexed="49"/>
      </top>
      <bottom style="double">
        <color indexed="49"/>
      </bottom>
      <diagonal/>
    </border>
    <border>
      <left/>
      <right/>
      <top style="thin">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right style="thin">
        <color indexed="64"/>
      </right>
      <top style="double">
        <color indexed="64"/>
      </top>
      <bottom/>
      <diagonal/>
    </border>
    <border>
      <left/>
      <right style="thin">
        <color indexed="64"/>
      </right>
      <top/>
      <bottom style="thin">
        <color indexed="8"/>
      </bottom>
      <diagonal/>
    </border>
    <border>
      <left/>
      <right style="thin">
        <color indexed="8"/>
      </right>
      <top/>
      <bottom/>
      <diagonal/>
    </border>
    <border>
      <left/>
      <right style="thin">
        <color indexed="8"/>
      </right>
      <top/>
      <bottom style="thin">
        <color indexed="8"/>
      </bottom>
      <diagonal/>
    </border>
    <border>
      <left/>
      <right style="thin">
        <color indexed="8"/>
      </right>
      <top/>
      <bottom style="thin">
        <color indexed="64"/>
      </bottom>
      <diagonal/>
    </border>
    <border>
      <left style="thin">
        <color indexed="64"/>
      </left>
      <right/>
      <top/>
      <bottom style="thin">
        <color indexed="8"/>
      </bottom>
      <diagonal/>
    </border>
    <border>
      <left/>
      <right/>
      <top style="thin">
        <color indexed="8"/>
      </top>
      <bottom/>
      <diagonal/>
    </border>
    <border>
      <left style="thin">
        <color indexed="8"/>
      </left>
      <right/>
      <top style="thin">
        <color indexed="64"/>
      </top>
      <bottom/>
      <diagonal/>
    </border>
    <border>
      <left/>
      <right style="thin">
        <color rgb="FF000000"/>
      </right>
      <top/>
      <bottom/>
      <diagonal/>
    </border>
    <border>
      <left style="thin">
        <color indexed="8"/>
      </left>
      <right/>
      <top/>
      <bottom/>
      <diagonal/>
    </border>
    <border>
      <left style="thin">
        <color indexed="8"/>
      </left>
      <right/>
      <top style="thin">
        <color indexed="8"/>
      </top>
      <bottom/>
      <diagonal/>
    </border>
    <border>
      <left/>
      <right style="thin">
        <color auto="1"/>
      </right>
      <top/>
      <bottom/>
      <diagonal/>
    </border>
    <border>
      <left style="thin">
        <color auto="1"/>
      </left>
      <right/>
      <top/>
      <bottom/>
      <diagonal/>
    </border>
    <border>
      <left style="double">
        <color indexed="64"/>
      </left>
      <right style="double">
        <color indexed="64"/>
      </right>
      <top style="double">
        <color indexed="64"/>
      </top>
      <bottom style="double">
        <color indexed="64"/>
      </bottom>
      <diagonal/>
    </border>
    <border>
      <left/>
      <right/>
      <top/>
      <bottom style="double">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ck">
        <color indexed="62"/>
      </bottom>
      <diagonal/>
    </border>
    <border>
      <left/>
      <right/>
      <top/>
      <bottom style="medium">
        <color indexed="30"/>
      </bottom>
      <diagonal/>
    </border>
    <border>
      <left style="hair">
        <color indexed="64"/>
      </left>
      <right style="hair">
        <color indexed="64"/>
      </right>
      <top style="hair">
        <color indexed="64"/>
      </top>
      <bottom style="hair">
        <color indexed="64"/>
      </bottom>
      <diagonal/>
    </border>
    <border>
      <left/>
      <right/>
      <top style="thin">
        <color indexed="8"/>
      </top>
      <bottom style="thin">
        <color indexed="8"/>
      </bottom>
      <diagonal/>
    </border>
    <border>
      <left/>
      <right/>
      <top style="hair">
        <color indexed="8"/>
      </top>
      <bottom style="hair">
        <color indexed="8"/>
      </bottom>
      <diagonal/>
    </border>
    <border>
      <left/>
      <right/>
      <top/>
      <bottom style="medium">
        <color indexed="18"/>
      </bottom>
      <diagonal/>
    </border>
    <border>
      <left style="double">
        <color indexed="64"/>
      </left>
      <right/>
      <top/>
      <bottom style="hair">
        <color indexed="64"/>
      </bottom>
      <diagonal/>
    </border>
    <border>
      <left style="thin">
        <color indexed="8"/>
      </left>
      <right/>
      <top style="thin">
        <color indexed="8"/>
      </top>
      <bottom style="thin">
        <color indexed="8"/>
      </bottom>
      <diagonal/>
    </border>
    <border>
      <left/>
      <right style="medium">
        <color indexed="9"/>
      </right>
      <top/>
      <bottom style="medium">
        <color indexed="9"/>
      </bottom>
      <diagonal/>
    </border>
    <border>
      <left style="medium">
        <color indexed="9"/>
      </left>
      <right style="medium">
        <color indexed="9"/>
      </right>
      <top/>
      <bottom/>
      <diagonal/>
    </border>
    <border>
      <left style="medium">
        <color indexed="8"/>
      </left>
      <right style="medium">
        <color indexed="8"/>
      </right>
      <top style="thin">
        <color indexed="8"/>
      </top>
      <bottom style="medium">
        <color indexed="64"/>
      </bottom>
      <diagonal/>
    </border>
    <border>
      <left/>
      <right/>
      <top/>
      <bottom style="thin">
        <color indexed="44"/>
      </bottom>
      <diagonal/>
    </border>
    <border>
      <left/>
      <right style="thin">
        <color indexed="8"/>
      </right>
      <top style="thin">
        <color indexed="8"/>
      </top>
      <bottom/>
      <diagonal/>
    </border>
    <border>
      <left style="hair">
        <color indexed="56"/>
      </left>
      <right style="hair">
        <color indexed="56"/>
      </right>
      <top style="hair">
        <color indexed="56"/>
      </top>
      <bottom style="hair">
        <color indexed="56"/>
      </bottom>
      <diagonal/>
    </border>
    <border>
      <left style="thin">
        <color indexed="8"/>
      </left>
      <right style="thin">
        <color indexed="8"/>
      </right>
      <top/>
      <bottom style="thin">
        <color indexed="8"/>
      </bottom>
      <diagonal/>
    </border>
    <border>
      <left style="hair">
        <color indexed="32"/>
      </left>
      <right style="hair">
        <color indexed="32"/>
      </right>
      <top style="hair">
        <color indexed="32"/>
      </top>
      <bottom style="hair">
        <color indexed="32"/>
      </bottom>
      <diagonal/>
    </border>
    <border>
      <left/>
      <right/>
      <top style="double">
        <color indexed="64"/>
      </top>
      <bottom style="double">
        <color indexed="64"/>
      </bottom>
      <diagonal/>
    </border>
    <border>
      <left/>
      <right/>
      <top style="hair">
        <color indexed="8"/>
      </top>
      <bottom/>
      <diagonal/>
    </border>
    <border>
      <left/>
      <right/>
      <top/>
      <bottom style="dashed">
        <color indexed="64"/>
      </bottom>
      <diagonal/>
    </border>
    <border>
      <left/>
      <right/>
      <top/>
      <bottom style="dotted">
        <color indexed="64"/>
      </bottom>
      <diagonal/>
    </border>
    <border>
      <left/>
      <right/>
      <top style="medium">
        <color indexed="8"/>
      </top>
      <bottom style="medium">
        <color indexed="8"/>
      </bottom>
      <diagonal/>
    </border>
    <border>
      <left/>
      <right/>
      <top/>
      <bottom style="medium">
        <color indexed="8"/>
      </bottom>
      <diagonal/>
    </border>
    <border>
      <left style="thin">
        <color indexed="8"/>
      </left>
      <right style="thin">
        <color indexed="55"/>
      </right>
      <top/>
      <bottom/>
      <diagonal/>
    </border>
    <border>
      <left/>
      <right/>
      <top/>
      <bottom style="thick">
        <color indexed="54"/>
      </bottom>
      <diagonal/>
    </border>
    <border>
      <left/>
      <right/>
      <top/>
      <bottom style="thick">
        <color indexed="44"/>
      </bottom>
      <diagonal/>
    </border>
    <border>
      <left/>
      <right/>
      <top/>
      <bottom style="medium">
        <color indexed="44"/>
      </bottom>
      <diagonal/>
    </border>
    <border>
      <left style="hair">
        <color indexed="18"/>
      </left>
      <right style="hair">
        <color indexed="18"/>
      </right>
      <top style="hair">
        <color indexed="18"/>
      </top>
      <bottom style="hair">
        <color indexed="18"/>
      </bottom>
      <diagonal/>
    </border>
    <border>
      <left style="medium">
        <color indexed="8"/>
      </left>
      <right style="medium">
        <color indexed="8"/>
      </right>
      <top/>
      <bottom/>
      <diagonal/>
    </border>
    <border>
      <left style="thin">
        <color indexed="55"/>
      </left>
      <right style="thin">
        <color indexed="55"/>
      </right>
      <top style="thin">
        <color indexed="55"/>
      </top>
      <bottom style="thin">
        <color indexed="55"/>
      </bottom>
      <diagonal/>
    </border>
    <border>
      <left style="hair">
        <color indexed="58"/>
      </left>
      <right style="thin">
        <color indexed="58"/>
      </right>
      <top style="hair">
        <color indexed="58"/>
      </top>
      <bottom style="hair">
        <color indexed="58"/>
      </bottom>
      <diagonal/>
    </border>
    <border>
      <left/>
      <right/>
      <top style="medium">
        <color indexed="23"/>
      </top>
      <bottom style="medium">
        <color indexed="23"/>
      </bottom>
      <diagonal/>
    </border>
    <border>
      <left style="hair">
        <color indexed="62"/>
      </left>
      <right style="hair">
        <color indexed="62"/>
      </right>
      <top style="hair">
        <color indexed="62"/>
      </top>
      <bottom style="hair">
        <color indexed="62"/>
      </bottom>
      <diagonal/>
    </border>
    <border>
      <left style="hair">
        <color indexed="64"/>
      </left>
      <right/>
      <top/>
      <bottom/>
      <diagonal/>
    </border>
    <border>
      <left style="hair">
        <color indexed="64"/>
      </left>
      <right/>
      <top style="hair">
        <color indexed="64"/>
      </top>
      <bottom style="hair">
        <color indexed="64"/>
      </bottom>
      <diagonal/>
    </border>
    <border>
      <left/>
      <right style="thin">
        <color auto="1"/>
      </right>
      <top/>
      <bottom style="thin">
        <color indexed="64"/>
      </bottom>
      <diagonal/>
    </border>
    <border>
      <left style="thin">
        <color indexed="21"/>
      </left>
      <right style="thin">
        <color indexed="21"/>
      </right>
      <top style="thin">
        <color indexed="21"/>
      </top>
      <bottom style="thin">
        <color indexed="21"/>
      </bottom>
      <diagonal/>
    </border>
    <border>
      <left style="thin">
        <color auto="1"/>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4138">
    <xf numFmtId="0" fontId="0" fillId="0" borderId="0" applyNumberFormat="0" applyFont="0" applyFill="0" applyBorder="0" applyAlignment="0" applyProtection="0"/>
    <xf numFmtId="9" fontId="60" fillId="0" borderId="0">
      <alignment horizontal="right"/>
    </xf>
    <xf numFmtId="0" fontId="104" fillId="0" borderId="0" applyNumberFormat="0" applyFont="0" applyFill="0" applyBorder="0" applyAlignment="0" applyProtection="0"/>
    <xf numFmtId="205" fontId="65" fillId="0" borderId="0">
      <alignment horizontal="right"/>
    </xf>
    <xf numFmtId="0" fontId="8" fillId="0" borderId="0"/>
    <xf numFmtId="0" fontId="30" fillId="0" borderId="0"/>
    <xf numFmtId="0" fontId="8" fillId="0" borderId="0"/>
    <xf numFmtId="0" fontId="8" fillId="0" borderId="0"/>
    <xf numFmtId="0" fontId="8" fillId="0" borderId="0"/>
    <xf numFmtId="0" fontId="30" fillId="0" borderId="0" applyFill="0" applyAlignment="0">
      <protection locked="0"/>
    </xf>
    <xf numFmtId="44" fontId="66" fillId="0" borderId="0" applyFont="0" applyFill="0" applyBorder="0" applyAlignment="0" applyProtection="0"/>
    <xf numFmtId="42" fontId="66" fillId="0" borderId="0" applyFont="0" applyFill="0" applyBorder="0" applyAlignment="0" applyProtection="0"/>
    <xf numFmtId="206" fontId="67" fillId="0" borderId="0" applyFont="0" applyFill="0" applyBorder="0" applyAlignment="0" applyProtection="0"/>
    <xf numFmtId="207" fontId="67" fillId="0" borderId="0" applyFont="0" applyFill="0" applyBorder="0" applyAlignment="0" applyProtection="0"/>
    <xf numFmtId="0" fontId="8" fillId="0" borderId="0"/>
    <xf numFmtId="0" fontId="68" fillId="0" borderId="0"/>
    <xf numFmtId="0" fontId="35" fillId="0" borderId="0"/>
    <xf numFmtId="9" fontId="8" fillId="0" borderId="0"/>
    <xf numFmtId="0" fontId="35" fillId="0" borderId="0"/>
    <xf numFmtId="0" fontId="35" fillId="0" borderId="0"/>
    <xf numFmtId="2" fontId="35" fillId="0" borderId="0"/>
    <xf numFmtId="10" fontId="35" fillId="0" borderId="0"/>
    <xf numFmtId="0" fontId="35" fillId="0" borderId="0"/>
    <xf numFmtId="0" fontId="35" fillId="0" borderId="0"/>
    <xf numFmtId="220" fontId="35" fillId="0" borderId="0"/>
    <xf numFmtId="179" fontId="8" fillId="0" borderId="0"/>
    <xf numFmtId="0" fontId="107" fillId="2" borderId="0" applyNumberFormat="0" applyBorder="0" applyAlignment="0" applyProtection="0"/>
    <xf numFmtId="0" fontId="107" fillId="3" borderId="0" applyNumberFormat="0" applyBorder="0" applyAlignment="0" applyProtection="0"/>
    <xf numFmtId="0" fontId="107" fillId="4" borderId="0" applyNumberFormat="0" applyBorder="0" applyAlignment="0" applyProtection="0"/>
    <xf numFmtId="0" fontId="107" fillId="2" borderId="0" applyNumberFormat="0" applyBorder="0" applyAlignment="0" applyProtection="0"/>
    <xf numFmtId="0" fontId="107" fillId="5" borderId="0" applyNumberFormat="0" applyBorder="0" applyAlignment="0" applyProtection="0"/>
    <xf numFmtId="0" fontId="107" fillId="4" borderId="0" applyNumberFormat="0" applyBorder="0" applyAlignment="0" applyProtection="0"/>
    <xf numFmtId="0" fontId="107" fillId="6" borderId="0" applyNumberFormat="0" applyBorder="0" applyAlignment="0" applyProtection="0"/>
    <xf numFmtId="0" fontId="107" fillId="3" borderId="0" applyNumberFormat="0" applyBorder="0" applyAlignment="0" applyProtection="0"/>
    <xf numFmtId="0" fontId="107" fillId="4" borderId="0" applyNumberFormat="0" applyBorder="0" applyAlignment="0" applyProtection="0"/>
    <xf numFmtId="0" fontId="107" fillId="6" borderId="0" applyNumberFormat="0" applyBorder="0" applyAlignment="0" applyProtection="0"/>
    <xf numFmtId="0" fontId="107" fillId="7" borderId="0" applyNumberFormat="0" applyBorder="0" applyAlignment="0" applyProtection="0"/>
    <xf numFmtId="0" fontId="107" fillId="4" borderId="0" applyNumberFormat="0" applyBorder="0" applyAlignment="0" applyProtection="0"/>
    <xf numFmtId="0" fontId="108" fillId="8" borderId="0" applyNumberFormat="0" applyBorder="0" applyAlignment="0" applyProtection="0"/>
    <xf numFmtId="0" fontId="108" fillId="3" borderId="0" applyNumberFormat="0" applyBorder="0" applyAlignment="0" applyProtection="0"/>
    <xf numFmtId="0" fontId="108" fillId="9" borderId="0" applyNumberFormat="0" applyBorder="0" applyAlignment="0" applyProtection="0"/>
    <xf numFmtId="0" fontId="108" fillId="6" borderId="0" applyNumberFormat="0" applyBorder="0" applyAlignment="0" applyProtection="0"/>
    <xf numFmtId="0" fontId="108" fillId="8" borderId="0" applyNumberFormat="0" applyBorder="0" applyAlignment="0" applyProtection="0"/>
    <xf numFmtId="0" fontId="108" fillId="4" borderId="0" applyNumberFormat="0" applyBorder="0" applyAlignment="0" applyProtection="0"/>
    <xf numFmtId="37" fontId="69" fillId="0" borderId="0">
      <alignment horizontal="center"/>
    </xf>
    <xf numFmtId="0" fontId="108" fillId="8" borderId="0" applyNumberFormat="0" applyBorder="0" applyAlignment="0" applyProtection="0"/>
    <xf numFmtId="0" fontId="108" fillId="3" borderId="0" applyNumberFormat="0" applyBorder="0" applyAlignment="0" applyProtection="0"/>
    <xf numFmtId="0" fontId="108" fillId="9" borderId="0" applyNumberFormat="0" applyBorder="0" applyAlignment="0" applyProtection="0"/>
    <xf numFmtId="0" fontId="108" fillId="10" borderId="0" applyNumberFormat="0" applyBorder="0" applyAlignment="0" applyProtection="0"/>
    <xf numFmtId="0" fontId="108" fillId="8" borderId="0" applyNumberFormat="0" applyBorder="0" applyAlignment="0" applyProtection="0"/>
    <xf numFmtId="0" fontId="108" fillId="3" borderId="0" applyNumberFormat="0" applyBorder="0" applyAlignment="0" applyProtection="0"/>
    <xf numFmtId="208" fontId="70" fillId="0" borderId="0" applyFont="0" applyFill="0" applyBorder="0" applyAlignment="0" applyProtection="0"/>
    <xf numFmtId="202" fontId="71" fillId="0" borderId="0">
      <alignment horizontal="left"/>
    </xf>
    <xf numFmtId="0" fontId="109" fillId="11" borderId="0" applyNumberFormat="0" applyBorder="0" applyAlignment="0" applyProtection="0"/>
    <xf numFmtId="1" fontId="72" fillId="12" borderId="1" applyNumberFormat="0" applyBorder="0" applyAlignment="0">
      <alignment horizontal="center" vertical="top" wrapText="1"/>
      <protection hidden="1"/>
    </xf>
    <xf numFmtId="0" fontId="73" fillId="0" borderId="0" applyNumberFormat="0" applyFill="0" applyBorder="0" applyAlignment="0" applyProtection="0"/>
    <xf numFmtId="0" fontId="74" fillId="0" borderId="2" applyNumberFormat="0" applyFill="0" applyAlignment="0" applyProtection="0"/>
    <xf numFmtId="209" fontId="67" fillId="0" borderId="0" applyFont="0" applyFill="0" applyBorder="0" applyAlignment="0" applyProtection="0"/>
    <xf numFmtId="0" fontId="36" fillId="0" borderId="0"/>
    <xf numFmtId="0" fontId="50" fillId="0" borderId="0"/>
    <xf numFmtId="0" fontId="110" fillId="13" borderId="3" applyNumberFormat="0" applyAlignment="0" applyProtection="0"/>
    <xf numFmtId="0" fontId="65" fillId="0" borderId="0">
      <alignment horizontal="right"/>
    </xf>
    <xf numFmtId="1" fontId="75" fillId="0" borderId="0"/>
    <xf numFmtId="0" fontId="111" fillId="14" borderId="4" applyNumberFormat="0" applyAlignment="0" applyProtection="0"/>
    <xf numFmtId="0" fontId="76" fillId="0" borderId="2" applyNumberFormat="0" applyFill="0" applyProtection="0">
      <alignment horizontal="left" vertical="center"/>
    </xf>
    <xf numFmtId="182" fontId="59" fillId="0" borderId="0" applyBorder="0">
      <alignment horizontal="right"/>
    </xf>
    <xf numFmtId="182" fontId="59" fillId="0" borderId="5" applyAlignment="0">
      <alignment horizontal="right"/>
    </xf>
    <xf numFmtId="43" fontId="8" fillId="0" borderId="0" applyFont="0" applyFill="0" applyBorder="0" applyAlignment="0" applyProtection="0"/>
    <xf numFmtId="203" fontId="77" fillId="0" borderId="0"/>
    <xf numFmtId="203" fontId="77" fillId="0" borderId="0"/>
    <xf numFmtId="203" fontId="77" fillId="0" borderId="0"/>
    <xf numFmtId="203" fontId="77" fillId="0" borderId="0"/>
    <xf numFmtId="203" fontId="77" fillId="0" borderId="0"/>
    <xf numFmtId="203" fontId="77" fillId="0" borderId="0"/>
    <xf numFmtId="203" fontId="77" fillId="0" borderId="0"/>
    <xf numFmtId="203" fontId="77" fillId="0" borderId="0"/>
    <xf numFmtId="0" fontId="78" fillId="0" borderId="0"/>
    <xf numFmtId="0" fontId="79" fillId="0" borderId="0" applyFill="0" applyBorder="0">
      <alignment horizontal="left"/>
    </xf>
    <xf numFmtId="44" fontId="8" fillId="0" borderId="0" applyFont="0" applyFill="0" applyBorder="0" applyAlignment="0" applyProtection="0"/>
    <xf numFmtId="44" fontId="155" fillId="0" borderId="0" applyFont="0" applyFill="0" applyBorder="0" applyAlignment="0" applyProtection="0"/>
    <xf numFmtId="44" fontId="156" fillId="0" borderId="0" applyFont="0" applyFill="0" applyBorder="0" applyAlignment="0" applyProtection="0"/>
    <xf numFmtId="44" fontId="30" fillId="0" borderId="0" applyFont="0" applyFill="0" applyBorder="0" applyAlignment="0" applyProtection="0"/>
    <xf numFmtId="44" fontId="165" fillId="0" borderId="0" applyFont="0" applyFill="0" applyBorder="0" applyAlignment="0" applyProtection="0"/>
    <xf numFmtId="210" fontId="67" fillId="0" borderId="0" applyFont="0" applyFill="0" applyBorder="0" applyAlignment="0" applyProtection="0"/>
    <xf numFmtId="14" fontId="26" fillId="0" borderId="6" applyFont="0">
      <alignment horizontal="right"/>
    </xf>
    <xf numFmtId="0" fontId="66" fillId="0" borderId="0"/>
    <xf numFmtId="0" fontId="80" fillId="0" borderId="0"/>
    <xf numFmtId="211" fontId="65" fillId="0" borderId="0">
      <alignment horizontal="right"/>
    </xf>
    <xf numFmtId="0" fontId="65" fillId="0" borderId="0"/>
    <xf numFmtId="5" fontId="81" fillId="0" borderId="0" applyFont="0" applyFill="0" applyBorder="0" applyAlignment="0" applyProtection="0">
      <protection locked="0"/>
    </xf>
    <xf numFmtId="0" fontId="112" fillId="0" borderId="0" applyNumberFormat="0" applyFill="0" applyBorder="0" applyAlignment="0" applyProtection="0"/>
    <xf numFmtId="1" fontId="82" fillId="15" borderId="7" applyNumberFormat="0" applyBorder="0" applyAlignment="0">
      <alignment horizontal="centerContinuous" vertical="center"/>
      <protection locked="0"/>
    </xf>
    <xf numFmtId="0" fontId="65" fillId="0" borderId="0"/>
    <xf numFmtId="0" fontId="83" fillId="0" borderId="0" applyNumberFormat="0" applyFill="0" applyBorder="0" applyProtection="0">
      <alignment horizontal="left" vertical="center"/>
    </xf>
    <xf numFmtId="49" fontId="31" fillId="0" borderId="0" applyFill="0" applyBorder="0"/>
    <xf numFmtId="49" fontId="8" fillId="0" borderId="0"/>
    <xf numFmtId="49" fontId="8" fillId="0" borderId="0" applyFill="0" applyBorder="0">
      <alignment horizontal="right" vertical="center"/>
    </xf>
    <xf numFmtId="49" fontId="8" fillId="0" borderId="0" applyFill="0" applyBorder="0">
      <alignment horizontal="right" vertical="center"/>
    </xf>
    <xf numFmtId="0" fontId="113" fillId="16" borderId="0" applyNumberFormat="0" applyBorder="0" applyAlignment="0" applyProtection="0"/>
    <xf numFmtId="0" fontId="84" fillId="0" borderId="0"/>
    <xf numFmtId="38" fontId="50" fillId="17" borderId="0" applyNumberFormat="0" applyBorder="0" applyAlignment="0" applyProtection="0"/>
    <xf numFmtId="168" fontId="30" fillId="18" borderId="8" applyNumberFormat="0" applyFont="0" applyBorder="0" applyAlignment="0" applyProtection="0"/>
    <xf numFmtId="179" fontId="85" fillId="18" borderId="0" applyNumberFormat="0" applyFont="0" applyAlignment="0"/>
    <xf numFmtId="0" fontId="56" fillId="0" borderId="9" applyNumberFormat="0" applyAlignment="0" applyProtection="0">
      <alignment horizontal="left" vertical="center"/>
    </xf>
    <xf numFmtId="0" fontId="56" fillId="0" borderId="6">
      <alignment horizontal="left" vertical="center"/>
    </xf>
    <xf numFmtId="0" fontId="114" fillId="0" borderId="10" applyNumberFormat="0" applyFill="0" applyAlignment="0" applyProtection="0"/>
    <xf numFmtId="0" fontId="115" fillId="0" borderId="11" applyNumberFormat="0" applyFill="0" applyAlignment="0" applyProtection="0"/>
    <xf numFmtId="0" fontId="116" fillId="0" borderId="12" applyNumberFormat="0" applyFill="0" applyAlignment="0" applyProtection="0"/>
    <xf numFmtId="0" fontId="116" fillId="0" borderId="0" applyNumberFormat="0" applyFill="0" applyBorder="0" applyAlignment="0" applyProtection="0"/>
    <xf numFmtId="0" fontId="37" fillId="0" borderId="0" applyNumberFormat="0" applyFill="0" applyBorder="0" applyAlignment="0" applyProtection="0">
      <alignment vertical="top"/>
      <protection locked="0"/>
    </xf>
    <xf numFmtId="0" fontId="117" fillId="4" borderId="3" applyNumberFormat="0" applyAlignment="0" applyProtection="0"/>
    <xf numFmtId="10" fontId="50" fillId="19" borderId="8" applyNumberFormat="0" applyBorder="0" applyAlignment="0" applyProtection="0"/>
    <xf numFmtId="0" fontId="86" fillId="0" borderId="0" applyNumberFormat="0" applyFill="0" applyBorder="0" applyAlignment="0">
      <protection locked="0"/>
    </xf>
    <xf numFmtId="0" fontId="65" fillId="0" borderId="0"/>
    <xf numFmtId="0" fontId="87" fillId="0" borderId="0" applyNumberFormat="0" applyFill="0" applyBorder="0" applyProtection="0">
      <alignment horizontal="left" vertical="center"/>
    </xf>
    <xf numFmtId="0" fontId="118" fillId="0" borderId="13" applyNumberFormat="0" applyFill="0" applyAlignment="0" applyProtection="0"/>
    <xf numFmtId="201" fontId="50" fillId="19" borderId="0">
      <alignment horizontal="center"/>
    </xf>
    <xf numFmtId="0" fontId="119" fillId="4" borderId="0" applyNumberFormat="0" applyBorder="0" applyAlignment="0" applyProtection="0"/>
    <xf numFmtId="37" fontId="88" fillId="0" borderId="0"/>
    <xf numFmtId="204" fontId="89" fillId="0" borderId="0"/>
    <xf numFmtId="0" fontId="155" fillId="0" borderId="0"/>
    <xf numFmtId="0" fontId="156" fillId="0" borderId="0"/>
    <xf numFmtId="0" fontId="30" fillId="0" borderId="0"/>
    <xf numFmtId="0" fontId="165" fillId="0" borderId="0"/>
    <xf numFmtId="0" fontId="90" fillId="0" borderId="0"/>
    <xf numFmtId="0" fontId="12" fillId="0" borderId="0"/>
    <xf numFmtId="166" fontId="17" fillId="0" borderId="0"/>
    <xf numFmtId="0" fontId="12" fillId="0" borderId="0"/>
    <xf numFmtId="0" fontId="8" fillId="4" borderId="14" applyNumberFormat="0" applyFont="0" applyAlignment="0" applyProtection="0"/>
    <xf numFmtId="164" fontId="60" fillId="0" borderId="0" applyFont="0" applyFill="0" applyBorder="0" applyProtection="0">
      <alignment horizontal="right"/>
    </xf>
    <xf numFmtId="43" fontId="66" fillId="0" borderId="0" applyFont="0" applyFill="0" applyBorder="0" applyAlignment="0" applyProtection="0"/>
    <xf numFmtId="41" fontId="66" fillId="0" borderId="0" applyFont="0" applyFill="0" applyBorder="0" applyAlignment="0" applyProtection="0"/>
    <xf numFmtId="182" fontId="8" fillId="0" borderId="0"/>
    <xf numFmtId="0" fontId="91" fillId="0" borderId="0">
      <alignment horizontal="left"/>
    </xf>
    <xf numFmtId="0" fontId="120" fillId="13" borderId="15" applyNumberFormat="0" applyAlignment="0" applyProtection="0"/>
    <xf numFmtId="0" fontId="38" fillId="0" borderId="0">
      <alignment vertical="center"/>
    </xf>
    <xf numFmtId="9" fontId="8" fillId="0" borderId="0" applyFont="0" applyFill="0" applyBorder="0" applyAlignment="0" applyProtection="0"/>
    <xf numFmtId="10" fontId="8" fillId="0" borderId="0" applyFont="0" applyFill="0" applyBorder="0" applyAlignment="0" applyProtection="0"/>
    <xf numFmtId="1" fontId="92" fillId="17" borderId="0">
      <alignment horizontal="center"/>
    </xf>
    <xf numFmtId="212" fontId="31" fillId="0" borderId="0"/>
    <xf numFmtId="0" fontId="93" fillId="0" borderId="0"/>
    <xf numFmtId="0" fontId="87" fillId="0" borderId="0" applyNumberFormat="0" applyFill="0" applyBorder="0" applyProtection="0">
      <alignment horizontal="right" vertical="center"/>
    </xf>
    <xf numFmtId="0" fontId="30" fillId="20" borderId="0" applyNumberFormat="0" applyFont="0" applyBorder="0" applyAlignment="0" applyProtection="0"/>
    <xf numFmtId="179" fontId="39" fillId="0" borderId="0"/>
    <xf numFmtId="0" fontId="39" fillId="0" borderId="0"/>
    <xf numFmtId="0" fontId="39" fillId="0" borderId="16">
      <alignment horizontal="centerContinuous"/>
    </xf>
    <xf numFmtId="0" fontId="40" fillId="0" borderId="16"/>
    <xf numFmtId="0" fontId="8" fillId="0" borderId="0">
      <alignment vertical="top"/>
    </xf>
    <xf numFmtId="0" fontId="30" fillId="0" borderId="0"/>
    <xf numFmtId="0" fontId="149" fillId="0" borderId="0"/>
    <xf numFmtId="0" fontId="149" fillId="0" borderId="0"/>
    <xf numFmtId="0" fontId="8" fillId="0" borderId="0">
      <alignment vertical="top"/>
    </xf>
    <xf numFmtId="0" fontId="94" fillId="0" borderId="6" applyNumberFormat="0" applyFill="0" applyProtection="0">
      <alignment horizontal="left" vertical="center"/>
    </xf>
    <xf numFmtId="0" fontId="95" fillId="0" borderId="0">
      <alignment vertical="center"/>
    </xf>
    <xf numFmtId="0" fontId="121" fillId="0" borderId="0" applyNumberFormat="0" applyFill="0" applyBorder="0" applyAlignment="0" applyProtection="0"/>
    <xf numFmtId="0" fontId="96" fillId="21" borderId="0" applyNumberFormat="0" applyBorder="0" applyProtection="0">
      <alignment horizontal="left" vertical="center"/>
    </xf>
    <xf numFmtId="0" fontId="97" fillId="1" borderId="0" applyNumberFormat="0" applyBorder="0" applyProtection="0">
      <alignment horizontal="left" vertical="center"/>
    </xf>
    <xf numFmtId="182" fontId="54" fillId="0" borderId="0"/>
    <xf numFmtId="187" fontId="98" fillId="0" borderId="17" applyNumberFormat="0" applyFont="0" applyFill="0" applyAlignment="0" applyProtection="0"/>
    <xf numFmtId="0" fontId="122" fillId="0" borderId="18" applyNumberFormat="0" applyFill="0" applyAlignment="0" applyProtection="0"/>
    <xf numFmtId="182" fontId="59" fillId="0" borderId="19"/>
    <xf numFmtId="213" fontId="99" fillId="0" borderId="0">
      <alignment horizontal="right"/>
    </xf>
    <xf numFmtId="214" fontId="92" fillId="17" borderId="1" applyBorder="0">
      <alignment horizontal="right" vertical="center"/>
      <protection locked="0"/>
    </xf>
    <xf numFmtId="0" fontId="100" fillId="0" borderId="0" applyNumberFormat="0"/>
    <xf numFmtId="0" fontId="123" fillId="0" borderId="0" applyNumberFormat="0" applyFill="0" applyBorder="0" applyAlignment="0" applyProtection="0"/>
    <xf numFmtId="1" fontId="8" fillId="0" borderId="0">
      <alignment horizontal="center"/>
    </xf>
    <xf numFmtId="0" fontId="8" fillId="0" borderId="0" applyNumberFormat="0" applyFont="0" applyFill="0" applyBorder="0" applyAlignment="0" applyProtection="0"/>
    <xf numFmtId="0" fontId="8" fillId="0" borderId="0"/>
    <xf numFmtId="0" fontId="8" fillId="0" borderId="0" applyFill="0" applyAlignment="0">
      <protection locked="0"/>
    </xf>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38" fontId="31" fillId="17" borderId="0" applyNumberFormat="0" applyBorder="0" applyAlignment="0" applyProtection="0"/>
    <xf numFmtId="168" fontId="8" fillId="18" borderId="8" applyNumberFormat="0" applyFont="0" applyBorder="0" applyAlignment="0" applyProtection="0"/>
    <xf numFmtId="10" fontId="31" fillId="19" borderId="8" applyNumberFormat="0" applyBorder="0" applyAlignment="0" applyProtection="0"/>
    <xf numFmtId="201" fontId="31" fillId="19" borderId="0">
      <alignment horizontal="center"/>
    </xf>
    <xf numFmtId="0" fontId="8" fillId="0" borderId="0"/>
    <xf numFmtId="0" fontId="8" fillId="0" borderId="0"/>
    <xf numFmtId="0" fontId="8" fillId="0" borderId="0"/>
    <xf numFmtId="0" fontId="8" fillId="0" borderId="0"/>
    <xf numFmtId="0" fontId="8" fillId="20" borderId="0" applyNumberFormat="0" applyFont="0" applyBorder="0" applyAlignment="0" applyProtection="0"/>
    <xf numFmtId="0" fontId="8" fillId="0" borderId="0"/>
    <xf numFmtId="0" fontId="55" fillId="0" borderId="0"/>
    <xf numFmtId="0" fontId="55" fillId="0" borderId="0"/>
    <xf numFmtId="0" fontId="36" fillId="0" borderId="0">
      <alignment vertical="center"/>
    </xf>
    <xf numFmtId="0" fontId="8" fillId="0" borderId="0" applyNumberFormat="0" applyFont="0" applyFill="0" applyBorder="0" applyAlignment="0" applyProtection="0"/>
    <xf numFmtId="0" fontId="8" fillId="0" borderId="0" applyNumberFormat="0" applyFont="0" applyFill="0" applyBorder="0" applyAlignment="0" applyProtection="0"/>
    <xf numFmtId="179" fontId="247" fillId="0" borderId="0" applyFont="0" applyFill="0" applyBorder="0" applyAlignment="0" applyProtection="0"/>
    <xf numFmtId="229" fontId="8" fillId="0" borderId="0" applyFont="0" applyFill="0" applyBorder="0" applyAlignment="0" applyProtection="0"/>
    <xf numFmtId="262" fontId="8" fillId="0" borderId="0" applyFont="0" applyFill="0" applyBorder="0" applyAlignment="0" applyProtection="0"/>
    <xf numFmtId="227" fontId="247" fillId="0" borderId="0" applyFont="0" applyFill="0" applyBorder="0" applyAlignment="0" applyProtection="0"/>
    <xf numFmtId="262" fontId="8" fillId="0" borderId="0" applyFont="0" applyFill="0" applyBorder="0" applyAlignment="0" applyProtection="0"/>
    <xf numFmtId="262" fontId="8" fillId="0" borderId="0" applyFont="0" applyFill="0" applyBorder="0" applyAlignment="0" applyProtection="0"/>
    <xf numFmtId="179" fontId="247" fillId="0" borderId="0" applyFont="0" applyFill="0" applyBorder="0" applyAlignment="0" applyProtection="0"/>
    <xf numFmtId="229" fontId="8" fillId="0" borderId="0" applyFont="0" applyFill="0" applyBorder="0" applyAlignment="0" applyProtection="0"/>
    <xf numFmtId="229" fontId="8" fillId="0" borderId="0" applyFont="0" applyFill="0" applyBorder="0" applyAlignment="0" applyProtection="0"/>
    <xf numFmtId="0" fontId="157" fillId="0" borderId="0" applyFont="0" applyFill="0" applyBorder="0" applyAlignment="0" applyProtection="0"/>
    <xf numFmtId="229"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9" fillId="0" borderId="0"/>
    <xf numFmtId="0" fontId="248" fillId="0" borderId="0"/>
    <xf numFmtId="179" fontId="8" fillId="0" borderId="0" applyFont="0" applyFill="0" applyBorder="0" applyAlignment="0" applyProtection="0"/>
    <xf numFmtId="179" fontId="8" fillId="0" borderId="0" applyFont="0" applyFill="0" applyBorder="0" applyAlignment="0" applyProtection="0"/>
    <xf numFmtId="179" fontId="8" fillId="0" borderId="0" applyFont="0" applyFill="0" applyBorder="0" applyAlignment="0" applyProtection="0"/>
    <xf numFmtId="261" fontId="247" fillId="0" borderId="0" applyFont="0" applyFill="0" applyBorder="0" applyAlignment="0" applyProtection="0"/>
    <xf numFmtId="174" fontId="8" fillId="0" borderId="0" applyFont="0" applyFill="0" applyBorder="0" applyAlignment="0" applyProtection="0"/>
    <xf numFmtId="261" fontId="247" fillId="0" borderId="0" applyFont="0" applyFill="0" applyBorder="0" applyAlignment="0" applyProtection="0"/>
    <xf numFmtId="174" fontId="8" fillId="0" borderId="0" applyFont="0" applyFill="0" applyBorder="0" applyAlignment="0" applyProtection="0"/>
    <xf numFmtId="179" fontId="8" fillId="0" borderId="0" applyFont="0" applyFill="0" applyBorder="0" applyAlignment="0" applyProtection="0"/>
    <xf numFmtId="179" fontId="8" fillId="0" borderId="0" applyFont="0" applyFill="0" applyBorder="0" applyAlignment="0" applyProtection="0"/>
    <xf numFmtId="179" fontId="8" fillId="0" borderId="0" applyFont="0" applyFill="0" applyBorder="0" applyAlignment="0" applyProtection="0"/>
    <xf numFmtId="261" fontId="247" fillId="0" borderId="0" applyFont="0" applyFill="0" applyBorder="0" applyAlignment="0" applyProtection="0"/>
    <xf numFmtId="0" fontId="157" fillId="0" borderId="0" applyFont="0" applyFill="0" applyBorder="0" applyAlignment="0" applyProtection="0"/>
    <xf numFmtId="174"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applyFont="0" applyFill="0" applyBorder="0" applyAlignment="0" applyProtection="0"/>
    <xf numFmtId="0" fontId="6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215" fontId="247" fillId="0" borderId="0" applyFont="0" applyFill="0" applyBorder="0" applyAlignment="0" applyProtection="0"/>
    <xf numFmtId="260" fontId="8" fillId="0" borderId="0" applyFont="0" applyFill="0" applyBorder="0" applyAlignment="0" applyProtection="0"/>
    <xf numFmtId="168" fontId="247" fillId="0" borderId="0" applyFont="0" applyFill="0" applyBorder="0" applyAlignment="0" applyProtection="0"/>
    <xf numFmtId="228" fontId="8" fillId="0" borderId="0" applyFont="0" applyFill="0" applyBorder="0" applyAlignment="0" applyProtection="0"/>
    <xf numFmtId="259" fontId="31" fillId="0" borderId="0"/>
    <xf numFmtId="258" fontId="246" fillId="0" borderId="0" applyFont="0" applyFill="0" applyBorder="0" applyAlignment="0" applyProtection="0"/>
    <xf numFmtId="257" fontId="8" fillId="0" borderId="0" applyFont="0" applyFill="0" applyBorder="0" applyAlignment="0" applyProtection="0"/>
    <xf numFmtId="256" fontId="8" fillId="0" borderId="0" applyFont="0" applyFill="0" applyBorder="0" applyAlignment="0" applyProtection="0"/>
    <xf numFmtId="0" fontId="246" fillId="0" borderId="0"/>
    <xf numFmtId="0" fontId="8" fillId="0" borderId="0">
      <alignment vertical="top"/>
    </xf>
    <xf numFmtId="0" fontId="67" fillId="0" borderId="0"/>
    <xf numFmtId="255" fontId="245" fillId="0" borderId="0">
      <alignment horizontal="right"/>
    </xf>
    <xf numFmtId="254" fontId="157" fillId="0" borderId="0"/>
    <xf numFmtId="3" fontId="8" fillId="0" borderId="0"/>
    <xf numFmtId="0" fontId="9" fillId="0" borderId="0"/>
    <xf numFmtId="0" fontId="80" fillId="0" borderId="0"/>
    <xf numFmtId="0" fontId="8" fillId="0" borderId="0"/>
    <xf numFmtId="0" fontId="8" fillId="0" borderId="0"/>
    <xf numFmtId="9" fontId="107" fillId="0" borderId="0" applyFont="0" applyFill="0" applyBorder="0" applyAlignment="0" applyProtection="0"/>
    <xf numFmtId="9" fontId="107" fillId="0" borderId="0" applyFont="0" applyFill="0" applyBorder="0" applyAlignment="0" applyProtection="0"/>
    <xf numFmtId="0" fontId="246" fillId="0" borderId="0"/>
    <xf numFmtId="0" fontId="8" fillId="0" borderId="0">
      <alignment vertical="top"/>
    </xf>
    <xf numFmtId="44" fontId="107" fillId="0" borderId="0" applyFont="0" applyFill="0" applyBorder="0" applyAlignment="0" applyProtection="0"/>
    <xf numFmtId="44" fontId="107"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0" fontId="7" fillId="0" borderId="0"/>
    <xf numFmtId="0" fontId="8" fillId="0" borderId="0" applyNumberFormat="0" applyFont="0" applyFill="0" applyBorder="0" applyAlignment="0" applyProtection="0"/>
    <xf numFmtId="43" fontId="8" fillId="0" borderId="0" applyFont="0" applyFill="0" applyBorder="0" applyAlignment="0" applyProtection="0"/>
    <xf numFmtId="0" fontId="31" fillId="0" borderId="0"/>
    <xf numFmtId="3" fontId="157" fillId="0" borderId="0"/>
    <xf numFmtId="0" fontId="180" fillId="0" borderId="0"/>
    <xf numFmtId="0" fontId="8" fillId="0" borderId="0"/>
    <xf numFmtId="0" fontId="8" fillId="0" borderId="0"/>
    <xf numFmtId="174" fontId="8" fillId="0" borderId="0" applyFont="0" applyFill="0" applyBorder="0" applyAlignment="0" applyProtection="0"/>
    <xf numFmtId="229" fontId="8" fillId="0" borderId="0" applyFont="0" applyFill="0" applyBorder="0" applyAlignment="0" applyProtection="0"/>
    <xf numFmtId="0" fontId="8" fillId="0" borderId="0" applyFont="0" applyFill="0" applyBorder="0" applyAlignment="0" applyProtection="0"/>
    <xf numFmtId="0" fontId="181" fillId="0" borderId="0"/>
    <xf numFmtId="0" fontId="8" fillId="0" borderId="0" applyFont="0" applyFill="0" applyBorder="0" applyAlignment="0" applyProtection="0"/>
    <xf numFmtId="230" fontId="8" fillId="0" borderId="0" applyFont="0" applyFill="0" applyBorder="0" applyAlignment="0" applyProtection="0"/>
    <xf numFmtId="228" fontId="8" fillId="0" borderId="0" applyFont="0" applyFill="0" applyBorder="0" applyAlignment="0" applyProtection="0"/>
    <xf numFmtId="0"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9" fontId="8" fillId="0" borderId="0"/>
    <xf numFmtId="0" fontId="35" fillId="0" borderId="0"/>
    <xf numFmtId="0" fontId="35" fillId="0" borderId="0"/>
    <xf numFmtId="0" fontId="35" fillId="0" borderId="0"/>
    <xf numFmtId="0" fontId="35" fillId="0" borderId="0"/>
    <xf numFmtId="0" fontId="35" fillId="0" borderId="0"/>
    <xf numFmtId="0" fontId="35" fillId="0" borderId="0"/>
    <xf numFmtId="179" fontId="8" fillId="0" borderId="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43" fontId="31" fillId="0" borderId="0" applyFont="0" applyFill="0" applyBorder="0" applyAlignment="0" applyProtection="0"/>
    <xf numFmtId="0" fontId="36" fillId="0" borderId="0"/>
    <xf numFmtId="0" fontId="8" fillId="0" borderId="0"/>
    <xf numFmtId="43" fontId="31" fillId="0" borderId="0" applyFont="0" applyFill="0" applyBorder="0" applyAlignment="0" applyProtection="0"/>
    <xf numFmtId="43" fontId="3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188" fillId="0" borderId="0" applyFont="0" applyFill="0" applyBorder="0" applyAlignment="0" applyProtection="0"/>
    <xf numFmtId="43" fontId="31" fillId="0" borderId="0" applyFont="0" applyFill="0" applyBorder="0" applyAlignment="0" applyProtection="0"/>
    <xf numFmtId="43" fontId="177" fillId="0" borderId="0" applyFont="0" applyFill="0" applyBorder="0" applyAlignment="0" applyProtection="0"/>
    <xf numFmtId="44" fontId="31" fillId="0" borderId="0" applyFont="0" applyFill="0" applyBorder="0" applyAlignment="0" applyProtection="0"/>
    <xf numFmtId="231" fontId="8" fillId="17" borderId="46">
      <alignment horizontal="right"/>
    </xf>
    <xf numFmtId="0" fontId="182" fillId="0" borderId="0"/>
    <xf numFmtId="0" fontId="183" fillId="35" borderId="0"/>
    <xf numFmtId="9" fontId="31" fillId="0" borderId="0" applyFont="0" applyFill="0" applyBorder="0" applyAlignment="0" applyProtection="0"/>
    <xf numFmtId="186" fontId="8" fillId="17" borderId="46">
      <alignment horizontal="right"/>
    </xf>
    <xf numFmtId="49" fontId="8" fillId="0" borderId="0" applyFill="0" applyBorder="0">
      <alignment horizontal="right" vertical="center"/>
    </xf>
    <xf numFmtId="49" fontId="8" fillId="0" borderId="0" applyFill="0" applyBorder="0">
      <alignment horizontal="right" vertical="center"/>
    </xf>
    <xf numFmtId="0" fontId="184" fillId="0" borderId="0">
      <alignment wrapText="1"/>
    </xf>
    <xf numFmtId="0" fontId="178" fillId="0" borderId="0" applyNumberFormat="0" applyFill="0" applyBorder="0" applyAlignment="0" applyProtection="0">
      <alignment vertical="top"/>
      <protection locked="0"/>
    </xf>
    <xf numFmtId="232" fontId="8" fillId="0" borderId="0">
      <alignment horizontal="right"/>
    </xf>
    <xf numFmtId="0" fontId="183" fillId="0" borderId="0"/>
    <xf numFmtId="0" fontId="185" fillId="0" borderId="0"/>
    <xf numFmtId="0" fontId="186" fillId="0" borderId="0"/>
    <xf numFmtId="0" fontId="8" fillId="0" borderId="0"/>
    <xf numFmtId="0" fontId="107" fillId="0" borderId="0"/>
    <xf numFmtId="0" fontId="107" fillId="0" borderId="0"/>
    <xf numFmtId="0" fontId="31" fillId="0" borderId="0" applyNumberFormat="0" applyFont="0" applyFill="0" applyBorder="0" applyAlignment="0" applyProtection="0"/>
    <xf numFmtId="0" fontId="7" fillId="0" borderId="0"/>
    <xf numFmtId="0" fontId="107" fillId="0" borderId="0"/>
    <xf numFmtId="0" fontId="107" fillId="0" borderId="0"/>
    <xf numFmtId="0" fontId="8" fillId="0" borderId="0"/>
    <xf numFmtId="0" fontId="107" fillId="0" borderId="0"/>
    <xf numFmtId="0" fontId="107" fillId="0" borderId="0"/>
    <xf numFmtId="0" fontId="107" fillId="0" borderId="0"/>
    <xf numFmtId="0" fontId="107" fillId="0" borderId="0"/>
    <xf numFmtId="0" fontId="187" fillId="0" borderId="0"/>
    <xf numFmtId="0" fontId="177" fillId="0" borderId="0"/>
    <xf numFmtId="0" fontId="186" fillId="0" borderId="0"/>
    <xf numFmtId="9" fontId="31" fillId="0" borderId="0" applyFont="0" applyFill="0" applyBorder="0" applyAlignment="0" applyProtection="0"/>
    <xf numFmtId="10" fontId="8" fillId="0" borderId="0" applyFont="0" applyFill="0" applyBorder="0" applyAlignment="0" applyProtection="0"/>
    <xf numFmtId="9" fontId="8" fillId="0" borderId="0" applyFont="0" applyFill="0" applyBorder="0" applyAlignment="0" applyProtection="0"/>
    <xf numFmtId="9" fontId="31"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77"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233" fontId="180" fillId="17" borderId="0"/>
    <xf numFmtId="0" fontId="39" fillId="0" borderId="0"/>
    <xf numFmtId="0" fontId="39" fillId="0" borderId="16">
      <alignment horizontal="centerContinuous"/>
    </xf>
    <xf numFmtId="0" fontId="8" fillId="0" borderId="0">
      <alignment vertical="top"/>
    </xf>
    <xf numFmtId="0" fontId="8" fillId="0" borderId="0">
      <alignment vertical="top"/>
    </xf>
    <xf numFmtId="41" fontId="8" fillId="0" borderId="0" applyFont="0" applyFill="0" applyBorder="0" applyAlignment="0" applyProtection="0"/>
    <xf numFmtId="41" fontId="8" fillId="0" borderId="0" applyFont="0" applyFill="0" applyBorder="0" applyAlignment="0" applyProtection="0"/>
    <xf numFmtId="41" fontId="8" fillId="0" borderId="0" applyFont="0" applyFill="0" applyBorder="0" applyAlignment="0" applyProtection="0"/>
    <xf numFmtId="0" fontId="8" fillId="0" borderId="0">
      <alignment vertical="top"/>
    </xf>
    <xf numFmtId="0" fontId="8" fillId="0" borderId="0">
      <alignment vertical="top"/>
    </xf>
    <xf numFmtId="0" fontId="8" fillId="0" borderId="0">
      <alignment vertical="top"/>
    </xf>
    <xf numFmtId="0" fontId="31" fillId="0" borderId="0"/>
    <xf numFmtId="1" fontId="8" fillId="0" borderId="0">
      <alignment horizontal="center"/>
    </xf>
    <xf numFmtId="0" fontId="8" fillId="0" borderId="0"/>
    <xf numFmtId="43" fontId="31"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0" fontId="31" fillId="0" borderId="0"/>
    <xf numFmtId="0" fontId="31" fillId="0" borderId="0"/>
    <xf numFmtId="0" fontId="8" fillId="0" borderId="0" applyNumberFormat="0" applyFont="0" applyFill="0" applyBorder="0" applyAlignment="0" applyProtection="0"/>
    <xf numFmtId="0" fontId="8" fillId="0" borderId="0" applyNumberFormat="0" applyFont="0" applyFill="0" applyBorder="0" applyAlignment="0" applyProtection="0"/>
    <xf numFmtId="0" fontId="8" fillId="0" borderId="0"/>
    <xf numFmtId="3" fontId="157" fillId="0" borderId="0"/>
    <xf numFmtId="43" fontId="8" fillId="0" borderId="0" applyFont="0" applyFill="0" applyBorder="0" applyAlignment="0" applyProtection="0"/>
    <xf numFmtId="0" fontId="107" fillId="2" borderId="0" applyNumberFormat="0" applyBorder="0" applyAlignment="0" applyProtection="0"/>
    <xf numFmtId="0" fontId="107" fillId="3" borderId="0" applyNumberFormat="0" applyBorder="0" applyAlignment="0" applyProtection="0"/>
    <xf numFmtId="0" fontId="107" fillId="4" borderId="0" applyNumberFormat="0" applyBorder="0" applyAlignment="0" applyProtection="0"/>
    <xf numFmtId="0" fontId="107" fillId="2" borderId="0" applyNumberFormat="0" applyBorder="0" applyAlignment="0" applyProtection="0"/>
    <xf numFmtId="0" fontId="107" fillId="5" borderId="0" applyNumberFormat="0" applyBorder="0" applyAlignment="0" applyProtection="0"/>
    <xf numFmtId="0" fontId="107" fillId="4" borderId="0" applyNumberFormat="0" applyBorder="0" applyAlignment="0" applyProtection="0"/>
    <xf numFmtId="0" fontId="107" fillId="6" borderId="0" applyNumberFormat="0" applyBorder="0" applyAlignment="0" applyProtection="0"/>
    <xf numFmtId="0" fontId="107" fillId="3" borderId="0" applyNumberFormat="0" applyBorder="0" applyAlignment="0" applyProtection="0"/>
    <xf numFmtId="0" fontId="107" fillId="4" borderId="0" applyNumberFormat="0" applyBorder="0" applyAlignment="0" applyProtection="0"/>
    <xf numFmtId="0" fontId="107" fillId="6" borderId="0" applyNumberFormat="0" applyBorder="0" applyAlignment="0" applyProtection="0"/>
    <xf numFmtId="0" fontId="107" fillId="7" borderId="0" applyNumberFormat="0" applyBorder="0" applyAlignment="0" applyProtection="0"/>
    <xf numFmtId="0" fontId="107" fillId="4" borderId="0" applyNumberFormat="0" applyBorder="0" applyAlignment="0" applyProtection="0"/>
    <xf numFmtId="0" fontId="108" fillId="8" borderId="0" applyNumberFormat="0" applyBorder="0" applyAlignment="0" applyProtection="0"/>
    <xf numFmtId="0" fontId="108" fillId="3" borderId="0" applyNumberFormat="0" applyBorder="0" applyAlignment="0" applyProtection="0"/>
    <xf numFmtId="0" fontId="108" fillId="9" borderId="0" applyNumberFormat="0" applyBorder="0" applyAlignment="0" applyProtection="0"/>
    <xf numFmtId="0" fontId="108" fillId="6" borderId="0" applyNumberFormat="0" applyBorder="0" applyAlignment="0" applyProtection="0"/>
    <xf numFmtId="0" fontId="108" fillId="8" borderId="0" applyNumberFormat="0" applyBorder="0" applyAlignment="0" applyProtection="0"/>
    <xf numFmtId="0" fontId="108" fillId="4" borderId="0" applyNumberFormat="0" applyBorder="0" applyAlignment="0" applyProtection="0"/>
    <xf numFmtId="0" fontId="108" fillId="8" borderId="0" applyNumberFormat="0" applyBorder="0" applyAlignment="0" applyProtection="0"/>
    <xf numFmtId="0" fontId="108" fillId="3" borderId="0" applyNumberFormat="0" applyBorder="0" applyAlignment="0" applyProtection="0"/>
    <xf numFmtId="0" fontId="108" fillId="9" borderId="0" applyNumberFormat="0" applyBorder="0" applyAlignment="0" applyProtection="0"/>
    <xf numFmtId="0" fontId="108" fillId="10" borderId="0" applyNumberFormat="0" applyBorder="0" applyAlignment="0" applyProtection="0"/>
    <xf numFmtId="0" fontId="108" fillId="8" borderId="0" applyNumberFormat="0" applyBorder="0" applyAlignment="0" applyProtection="0"/>
    <xf numFmtId="0" fontId="108" fillId="3" borderId="0" applyNumberFormat="0" applyBorder="0" applyAlignment="0" applyProtection="0"/>
    <xf numFmtId="0" fontId="8" fillId="0" borderId="0"/>
    <xf numFmtId="0" fontId="109" fillId="11" borderId="0" applyNumberFormat="0" applyBorder="0" applyAlignment="0" applyProtection="0"/>
    <xf numFmtId="0" fontId="110" fillId="13" borderId="3" applyNumberFormat="0" applyAlignment="0" applyProtection="0"/>
    <xf numFmtId="0" fontId="111" fillId="14" borderId="4" applyNumberFormat="0" applyAlignment="0" applyProtection="0"/>
    <xf numFmtId="43" fontId="8" fillId="0" borderId="0" applyFont="0" applyFill="0" applyBorder="0" applyAlignment="0" applyProtection="0"/>
    <xf numFmtId="0" fontId="112" fillId="0" borderId="0" applyNumberFormat="0" applyFill="0" applyBorder="0" applyAlignment="0" applyProtection="0"/>
    <xf numFmtId="0" fontId="190" fillId="0" borderId="0">
      <alignment vertical="center"/>
    </xf>
    <xf numFmtId="0" fontId="113" fillId="16" borderId="0" applyNumberFormat="0" applyBorder="0" applyAlignment="0" applyProtection="0"/>
    <xf numFmtId="0" fontId="114" fillId="0" borderId="10" applyNumberFormat="0" applyFill="0" applyAlignment="0" applyProtection="0"/>
    <xf numFmtId="0" fontId="115" fillId="0" borderId="11" applyNumberFormat="0" applyFill="0" applyAlignment="0" applyProtection="0"/>
    <xf numFmtId="0" fontId="116" fillId="0" borderId="12" applyNumberFormat="0" applyFill="0" applyAlignment="0" applyProtection="0"/>
    <xf numFmtId="0" fontId="116" fillId="0" borderId="0" applyNumberFormat="0" applyFill="0" applyBorder="0" applyAlignment="0" applyProtection="0"/>
    <xf numFmtId="0" fontId="117" fillId="4" borderId="3" applyNumberFormat="0" applyAlignment="0" applyProtection="0"/>
    <xf numFmtId="0" fontId="117" fillId="4" borderId="3" applyNumberFormat="0" applyAlignment="0" applyProtection="0"/>
    <xf numFmtId="0" fontId="118" fillId="0" borderId="13" applyNumberFormat="0" applyFill="0" applyAlignment="0" applyProtection="0"/>
    <xf numFmtId="0" fontId="119" fillId="4" borderId="0" applyNumberFormat="0" applyBorder="0" applyAlignment="0" applyProtection="0"/>
    <xf numFmtId="44" fontId="8" fillId="0" borderId="0" applyFont="0" applyFill="0" applyBorder="0" applyAlignment="0" applyProtection="0"/>
    <xf numFmtId="0" fontId="8" fillId="4" borderId="14" applyNumberFormat="0" applyFont="0" applyAlignment="0" applyProtection="0"/>
    <xf numFmtId="0" fontId="120" fillId="13" borderId="15" applyNumberFormat="0" applyAlignment="0" applyProtection="0"/>
    <xf numFmtId="9"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121" fillId="0" borderId="0" applyNumberFormat="0" applyFill="0" applyBorder="0" applyAlignment="0" applyProtection="0"/>
    <xf numFmtId="43" fontId="8" fillId="0" borderId="0" applyFont="0" applyFill="0" applyBorder="0" applyAlignment="0" applyProtection="0"/>
    <xf numFmtId="0" fontId="122" fillId="0" borderId="18" applyNumberFormat="0" applyFill="0" applyAlignment="0" applyProtection="0"/>
    <xf numFmtId="0" fontId="123" fillId="0" borderId="0" applyNumberFormat="0" applyFill="0" applyBorder="0" applyAlignment="0" applyProtection="0"/>
    <xf numFmtId="0" fontId="8" fillId="0" borderId="0"/>
    <xf numFmtId="0" fontId="8" fillId="0" borderId="0" applyNumberFormat="0" applyFont="0" applyFill="0" applyBorder="0" applyAlignment="0" applyProtection="0"/>
    <xf numFmtId="0" fontId="66" fillId="0" borderId="0" applyNumberFormat="0" applyFont="0" applyFill="0" applyBorder="0" applyAlignment="0" applyProtection="0"/>
    <xf numFmtId="0" fontId="8" fillId="0" borderId="0" applyNumberFormat="0" applyFont="0" applyFill="0" applyBorder="0" applyAlignment="0" applyProtection="0"/>
    <xf numFmtId="9" fontId="8" fillId="0" borderId="0" applyFont="0" applyFill="0" applyBorder="0" applyAlignment="0" applyProtection="0"/>
    <xf numFmtId="44" fontId="8" fillId="0" borderId="0" applyFont="0" applyFill="0" applyBorder="0" applyAlignment="0" applyProtection="0"/>
    <xf numFmtId="5" fontId="193" fillId="0" borderId="0" applyFont="0" applyFill="0" applyBorder="0" applyAlignment="0" applyProtection="0"/>
    <xf numFmtId="8" fontId="193" fillId="0" borderId="0" applyFont="0" applyFill="0" applyBorder="0" applyAlignment="0" applyProtection="0"/>
    <xf numFmtId="236" fontId="194" fillId="0" borderId="0"/>
    <xf numFmtId="239" fontId="192" fillId="0" borderId="0"/>
    <xf numFmtId="10" fontId="193" fillId="0" borderId="0" applyFont="0" applyFill="0" applyBorder="0" applyAlignment="0" applyProtection="0"/>
    <xf numFmtId="42" fontId="8" fillId="0" borderId="0" applyFont="0" applyFill="0" applyBorder="0" applyAlignment="0" applyProtection="0"/>
    <xf numFmtId="240" fontId="195" fillId="0" borderId="0" applyFont="0" applyFill="0" applyBorder="0" applyAlignment="0" applyProtection="0"/>
    <xf numFmtId="0" fontId="196" fillId="0" borderId="0" applyFont="0" applyFill="0" applyBorder="0" applyAlignment="0" applyProtection="0"/>
    <xf numFmtId="40" fontId="197" fillId="0" borderId="0" applyFont="0" applyFill="0" applyBorder="0" applyAlignment="0" applyProtection="0"/>
    <xf numFmtId="0" fontId="198" fillId="0" borderId="0" applyNumberFormat="0" applyFill="0" applyBorder="0" applyAlignment="0" applyProtection="0">
      <alignment vertical="top"/>
      <protection locked="0"/>
    </xf>
    <xf numFmtId="38" fontId="197" fillId="0" borderId="0" applyFont="0" applyFill="0" applyBorder="0" applyAlignment="0" applyProtection="0"/>
    <xf numFmtId="0" fontId="196" fillId="0" borderId="0"/>
    <xf numFmtId="0" fontId="8" fillId="0" borderId="0">
      <alignment vertical="top"/>
    </xf>
    <xf numFmtId="0" fontId="8" fillId="0" borderId="0">
      <alignment vertical="top"/>
    </xf>
    <xf numFmtId="0" fontId="8" fillId="0" borderId="0" applyFill="0" applyAlignment="0">
      <protection locked="0"/>
    </xf>
    <xf numFmtId="0" fontId="8" fillId="0" borderId="0" applyFill="0" applyAlignment="0">
      <protection locked="0"/>
    </xf>
    <xf numFmtId="3" fontId="157" fillId="0" borderId="0"/>
    <xf numFmtId="0" fontId="8" fillId="0" borderId="0" applyFill="0" applyAlignment="0">
      <protection locked="0"/>
    </xf>
    <xf numFmtId="0" fontId="199" fillId="0" borderId="45" applyBorder="0"/>
    <xf numFmtId="241" fontId="67" fillId="0" borderId="0" applyFont="0" applyFill="0" applyBorder="0" applyAlignment="0" applyProtection="0"/>
    <xf numFmtId="242" fontId="67" fillId="0" borderId="0" applyFont="0" applyFill="0" applyBorder="0" applyAlignment="0" applyProtection="0"/>
    <xf numFmtId="0" fontId="8" fillId="0" borderId="0"/>
    <xf numFmtId="9" fontId="8" fillId="0" borderId="0" applyFont="0" applyFill="0" applyBorder="0" applyAlignment="0" applyProtection="0"/>
    <xf numFmtId="0" fontId="35" fillId="0" borderId="0"/>
    <xf numFmtId="2" fontId="35" fillId="0" borderId="0"/>
    <xf numFmtId="0" fontId="35" fillId="0" borderId="0"/>
    <xf numFmtId="0" fontId="35" fillId="0" borderId="0"/>
    <xf numFmtId="0" fontId="35" fillId="0" borderId="0"/>
    <xf numFmtId="37" fontId="200" fillId="0" borderId="0">
      <alignment horizontal="center"/>
    </xf>
    <xf numFmtId="236" fontId="192" fillId="0" borderId="0"/>
    <xf numFmtId="234" fontId="80" fillId="0" borderId="0" applyFont="0" applyFill="0" applyBorder="0" applyAlignment="0" applyProtection="0"/>
    <xf numFmtId="44" fontId="8" fillId="0" borderId="0" applyFont="0" applyFill="0" applyBorder="0" applyAlignment="0" applyProtection="0"/>
    <xf numFmtId="37" fontId="65" fillId="0" borderId="0" applyNumberFormat="0" applyFill="0" applyBorder="0" applyAlignment="0" applyProtection="0"/>
    <xf numFmtId="0" fontId="201" fillId="0" borderId="0" applyNumberFormat="0" applyFill="0" applyBorder="0" applyAlignment="0" applyProtection="0"/>
    <xf numFmtId="0" fontId="202" fillId="0" borderId="0" applyNumberFormat="0" applyFill="0" applyBorder="0" applyAlignment="0" applyProtection="0"/>
    <xf numFmtId="0" fontId="193" fillId="0" borderId="2" applyNumberFormat="0" applyFont="0" applyFill="0" applyAlignment="0" applyProtection="0"/>
    <xf numFmtId="0" fontId="193" fillId="0" borderId="1" applyNumberFormat="0" applyFont="0" applyFill="0" applyAlignment="0" applyProtection="0"/>
    <xf numFmtId="0" fontId="193" fillId="0" borderId="46" applyNumberFormat="0" applyFont="0" applyFill="0" applyAlignment="0" applyProtection="0"/>
    <xf numFmtId="0" fontId="193" fillId="0" borderId="17" applyNumberFormat="0" applyFont="0" applyFill="0" applyAlignment="0" applyProtection="0"/>
    <xf numFmtId="37" fontId="203" fillId="0" borderId="0" applyNumberFormat="0" applyFill="0" applyBorder="0" applyAlignment="0" applyProtection="0">
      <alignment horizontal="center"/>
    </xf>
    <xf numFmtId="243" fontId="67" fillId="0" borderId="0" applyFont="0" applyFill="0" applyBorder="0" applyAlignment="0" applyProtection="0"/>
    <xf numFmtId="0" fontId="36" fillId="0" borderId="0"/>
    <xf numFmtId="0" fontId="36" fillId="0" borderId="0"/>
    <xf numFmtId="244" fontId="195" fillId="0" borderId="0" applyFill="0" applyBorder="0" applyAlignment="0"/>
    <xf numFmtId="234" fontId="189" fillId="0" borderId="0" applyFont="0" applyFill="0" applyBorder="0" applyAlignment="0" applyProtection="0"/>
    <xf numFmtId="0" fontId="204" fillId="0" borderId="0">
      <alignment horizontal="right"/>
    </xf>
    <xf numFmtId="245" fontId="204" fillId="0" borderId="0"/>
    <xf numFmtId="0" fontId="117" fillId="4" borderId="3" applyNumberFormat="0" applyAlignment="0" applyProtection="0"/>
    <xf numFmtId="246" fontId="8" fillId="0" borderId="0"/>
    <xf numFmtId="246" fontId="8" fillId="0" borderId="0"/>
    <xf numFmtId="246" fontId="8" fillId="0" borderId="0"/>
    <xf numFmtId="246" fontId="8" fillId="0" borderId="0"/>
    <xf numFmtId="246" fontId="8" fillId="0" borderId="0"/>
    <xf numFmtId="246" fontId="8" fillId="0" borderId="0"/>
    <xf numFmtId="246" fontId="8" fillId="0" borderId="0"/>
    <xf numFmtId="213" fontId="191" fillId="0" borderId="0" applyFont="0"/>
    <xf numFmtId="179" fontId="74" fillId="0" borderId="0" applyFont="0" applyFill="0" applyBorder="0" applyAlignment="0">
      <alignment horizontal="center" wrapText="1"/>
    </xf>
    <xf numFmtId="38" fontId="38" fillId="0" borderId="0"/>
    <xf numFmtId="3" fontId="205" fillId="0" borderId="0"/>
    <xf numFmtId="192" fontId="205" fillId="0" borderId="0"/>
    <xf numFmtId="2" fontId="205" fillId="0" borderId="0"/>
    <xf numFmtId="202" fontId="79" fillId="0" borderId="0" applyFill="0" applyBorder="0">
      <alignment horizontal="left"/>
    </xf>
    <xf numFmtId="0" fontId="206" fillId="0" borderId="0" applyNumberFormat="0" applyAlignment="0">
      <alignment horizontal="left"/>
    </xf>
    <xf numFmtId="247" fontId="80" fillId="0" borderId="0"/>
    <xf numFmtId="166" fontId="74" fillId="0" borderId="0" applyFont="0" applyFill="0" applyBorder="0" applyAlignment="0">
      <alignment horizontal="center" wrapText="1"/>
    </xf>
    <xf numFmtId="8" fontId="80" fillId="0" borderId="0" applyFont="0" applyFill="0" applyBorder="0" applyAlignment="0" applyProtection="0">
      <alignment horizontal="left"/>
    </xf>
    <xf numFmtId="186" fontId="207" fillId="0" borderId="0" applyFont="0" applyFill="0" applyBorder="0" applyAlignment="0" applyProtection="0"/>
    <xf numFmtId="248" fontId="67" fillId="0" borderId="0" applyFont="0" applyFill="0" applyBorder="0" applyAlignment="0" applyProtection="0"/>
    <xf numFmtId="0" fontId="8" fillId="0" borderId="0"/>
    <xf numFmtId="14" fontId="189" fillId="0" borderId="0" applyFont="0" applyFill="0" applyBorder="0" applyAlignment="0" applyProtection="0">
      <alignment horizontal="center"/>
    </xf>
    <xf numFmtId="235" fontId="189" fillId="0" borderId="0" applyFont="0" applyFill="0" applyBorder="0" applyAlignment="0" applyProtection="0">
      <alignment horizontal="center"/>
    </xf>
    <xf numFmtId="247" fontId="204" fillId="0" borderId="0"/>
    <xf numFmtId="43" fontId="8" fillId="0" borderId="0" applyFont="0" applyFill="0" applyBorder="0" applyAlignment="0" applyProtection="0"/>
    <xf numFmtId="6" fontId="80" fillId="0" borderId="0" applyFont="0" applyFill="0" applyBorder="0" applyAlignment="0" applyProtection="0"/>
    <xf numFmtId="0" fontId="208" fillId="0" borderId="0" applyNumberFormat="0" applyAlignment="0">
      <alignment horizontal="left"/>
    </xf>
    <xf numFmtId="0" fontId="209" fillId="0" borderId="0"/>
    <xf numFmtId="0" fontId="210" fillId="35" borderId="0"/>
    <xf numFmtId="249" fontId="204" fillId="0" borderId="0"/>
    <xf numFmtId="0" fontId="211" fillId="0" borderId="0"/>
    <xf numFmtId="239" fontId="194" fillId="0" borderId="0"/>
    <xf numFmtId="236" fontId="194" fillId="0" borderId="0" applyFill="0" applyBorder="0" applyAlignment="0" applyProtection="0"/>
    <xf numFmtId="0" fontId="212" fillId="0" borderId="0" applyNumberFormat="0" applyFill="0" applyBorder="0" applyAlignment="0" applyProtection="0"/>
    <xf numFmtId="0" fontId="213" fillId="0" borderId="9" applyNumberFormat="0" applyAlignment="0" applyProtection="0">
      <alignment horizontal="left" vertical="center"/>
    </xf>
    <xf numFmtId="0" fontId="213" fillId="0" borderId="6">
      <alignment horizontal="left" vertical="center"/>
    </xf>
    <xf numFmtId="0" fontId="214" fillId="0" borderId="0">
      <protection locked="0"/>
    </xf>
    <xf numFmtId="0" fontId="214" fillId="0" borderId="0">
      <protection locked="0"/>
    </xf>
    <xf numFmtId="0" fontId="215" fillId="0" borderId="0">
      <alignment wrapText="1"/>
    </xf>
    <xf numFmtId="0" fontId="58" fillId="0" borderId="48" applyNumberFormat="0" applyFill="0" applyAlignment="0" applyProtection="0"/>
    <xf numFmtId="38" fontId="80" fillId="0" borderId="0"/>
    <xf numFmtId="234" fontId="80" fillId="0" borderId="0" applyFont="0" applyFill="0" applyBorder="0" applyAlignment="0" applyProtection="0"/>
    <xf numFmtId="250" fontId="204" fillId="0" borderId="0"/>
    <xf numFmtId="38" fontId="40" fillId="0" borderId="0" applyNumberFormat="0" applyBorder="0" applyProtection="0">
      <alignment horizontal="left"/>
    </xf>
    <xf numFmtId="38" fontId="216" fillId="0" borderId="0"/>
    <xf numFmtId="38" fontId="217" fillId="0" borderId="0"/>
    <xf numFmtId="38" fontId="218" fillId="0" borderId="0"/>
    <xf numFmtId="38" fontId="219" fillId="0" borderId="0"/>
    <xf numFmtId="0" fontId="220" fillId="0" borderId="0"/>
    <xf numFmtId="0" fontId="220" fillId="0" borderId="0"/>
    <xf numFmtId="0" fontId="8" fillId="0" borderId="0"/>
    <xf numFmtId="236" fontId="192" fillId="0" borderId="0" applyFill="0" applyBorder="0" applyAlignment="0" applyProtection="0"/>
    <xf numFmtId="0" fontId="210" fillId="0" borderId="0"/>
    <xf numFmtId="0" fontId="221" fillId="0" borderId="0"/>
    <xf numFmtId="0" fontId="222" fillId="0" borderId="0"/>
    <xf numFmtId="37" fontId="90" fillId="0" borderId="0" applyNumberFormat="0" applyFill="0" applyBorder="0" applyAlignment="0" applyProtection="0">
      <alignment horizontal="center"/>
    </xf>
    <xf numFmtId="37" fontId="90" fillId="0" borderId="0" applyNumberFormat="0" applyFill="0" applyBorder="0" applyAlignment="0" applyProtection="0">
      <alignment horizontal="center"/>
    </xf>
    <xf numFmtId="14" fontId="193" fillId="0" borderId="0" applyFont="0" applyFill="0" applyBorder="0" applyAlignment="0" applyProtection="0"/>
    <xf numFmtId="251" fontId="80" fillId="0" borderId="0" applyFont="0" applyFill="0" applyBorder="0" applyAlignment="0" applyProtection="0"/>
    <xf numFmtId="0" fontId="67" fillId="0" borderId="0"/>
    <xf numFmtId="0" fontId="223" fillId="0" borderId="0"/>
    <xf numFmtId="202" fontId="40" fillId="0" borderId="0" applyBorder="0">
      <alignment horizontal="left"/>
    </xf>
    <xf numFmtId="44" fontId="8" fillId="0" borderId="0" applyFont="0" applyFill="0" applyBorder="0" applyAlignment="0" applyProtection="0"/>
    <xf numFmtId="234" fontId="80" fillId="0" borderId="0" applyFont="0" applyFill="0" applyBorder="0" applyAlignment="0" applyProtection="0"/>
    <xf numFmtId="239" fontId="192" fillId="0" borderId="0"/>
    <xf numFmtId="0" fontId="222" fillId="0" borderId="0"/>
    <xf numFmtId="168" fontId="80" fillId="0" borderId="0"/>
    <xf numFmtId="168" fontId="191" fillId="0" borderId="0"/>
    <xf numFmtId="252" fontId="80" fillId="0" borderId="0" applyFont="0" applyBorder="0"/>
    <xf numFmtId="168" fontId="207" fillId="0" borderId="0" applyFont="0" applyFill="0" applyBorder="0" applyAlignment="0" applyProtection="0"/>
    <xf numFmtId="10" fontId="207" fillId="0" borderId="0" applyFont="0" applyFill="0" applyBorder="0" applyAlignment="0" applyProtection="0"/>
    <xf numFmtId="9" fontId="8" fillId="0" borderId="0"/>
    <xf numFmtId="168" fontId="224" fillId="0" borderId="0" applyFill="0" applyBorder="0" applyAlignment="0" applyProtection="0"/>
    <xf numFmtId="237" fontId="80" fillId="0" borderId="0" applyFont="0" applyFill="0" applyBorder="0" applyAlignment="0" applyProtection="0"/>
    <xf numFmtId="238" fontId="80" fillId="0" borderId="0" applyFont="0" applyFill="0" applyBorder="0" applyAlignment="0" applyProtection="0"/>
    <xf numFmtId="38" fontId="80" fillId="0" borderId="0" applyFont="0" applyFill="0" applyBorder="0" applyAlignment="0" applyProtection="0"/>
    <xf numFmtId="3" fontId="80" fillId="0" borderId="0"/>
    <xf numFmtId="0" fontId="225" fillId="0" borderId="0"/>
    <xf numFmtId="187" fontId="226" fillId="0" borderId="0" applyNumberFormat="0" applyFill="0" applyBorder="0" applyAlignment="0" applyProtection="0">
      <alignment horizontal="left"/>
    </xf>
    <xf numFmtId="0" fontId="39" fillId="0" borderId="0"/>
    <xf numFmtId="0" fontId="39" fillId="0" borderId="0"/>
    <xf numFmtId="0" fontId="39" fillId="0" borderId="16">
      <alignment horizontal="centerContinuous"/>
    </xf>
    <xf numFmtId="0" fontId="39" fillId="0" borderId="16">
      <alignment horizontal="centerContinuous"/>
    </xf>
    <xf numFmtId="0" fontId="227" fillId="37" borderId="0" applyNumberFormat="0" applyFont="0" applyBorder="0" applyAlignment="0" applyProtection="0"/>
    <xf numFmtId="234" fontId="80" fillId="0" borderId="0" applyFont="0" applyFill="0" applyBorder="0" applyAlignment="0" applyProtection="0"/>
    <xf numFmtId="0" fontId="31" fillId="36" borderId="8" applyNumberFormat="0" applyProtection="0">
      <alignment horizontal="center" wrapText="1"/>
    </xf>
    <xf numFmtId="0" fontId="31" fillId="0" borderId="0" applyNumberFormat="0" applyFill="0" applyBorder="0" applyProtection="0">
      <alignment vertical="center"/>
    </xf>
    <xf numFmtId="0" fontId="59" fillId="0" borderId="0" applyNumberFormat="0" applyFill="0" applyBorder="0" applyProtection="0">
      <alignment vertical="center"/>
    </xf>
    <xf numFmtId="0" fontId="81" fillId="0" borderId="0" applyNumberFormat="0" applyBorder="0" applyAlignment="0"/>
    <xf numFmtId="0" fontId="147" fillId="0" borderId="0" applyNumberFormat="0" applyBorder="0" applyAlignment="0"/>
    <xf numFmtId="227" fontId="228" fillId="0" borderId="0" applyFill="0" applyBorder="0" applyAlignment="0" applyProtection="0"/>
    <xf numFmtId="236" fontId="229" fillId="0" borderId="0" applyFill="0" applyBorder="0" applyAlignment="0" applyProtection="0"/>
    <xf numFmtId="0" fontId="94" fillId="0" borderId="0" applyNumberFormat="0" applyFill="0" applyBorder="0" applyProtection="0">
      <alignment horizontal="left" vertical="center"/>
    </xf>
    <xf numFmtId="234" fontId="80" fillId="0" borderId="0" applyFill="0" applyBorder="0" applyAlignment="0" applyProtection="0">
      <protection locked="0"/>
    </xf>
    <xf numFmtId="40" fontId="230" fillId="0" borderId="0" applyBorder="0">
      <alignment horizontal="right"/>
    </xf>
    <xf numFmtId="234" fontId="228" fillId="0" borderId="0" applyFill="0" applyBorder="0" applyAlignment="0" applyProtection="0"/>
    <xf numFmtId="3" fontId="54" fillId="0" borderId="0" applyNumberFormat="0"/>
    <xf numFmtId="0" fontId="54" fillId="0" borderId="0" applyFill="0" applyBorder="0" applyProtection="0">
      <alignment horizontal="left"/>
    </xf>
    <xf numFmtId="0" fontId="31" fillId="0" borderId="1" applyFill="0" applyBorder="0" applyProtection="0">
      <alignment horizontal="left" vertical="top"/>
    </xf>
    <xf numFmtId="38" fontId="205" fillId="0" borderId="0" applyNumberFormat="0" applyBorder="0">
      <alignment horizontal="left"/>
    </xf>
    <xf numFmtId="0" fontId="193" fillId="0" borderId="0" applyNumberFormat="0" applyFont="0" applyFill="0" applyBorder="0" applyProtection="0">
      <alignment horizontal="left" vertical="top" wrapText="1"/>
    </xf>
    <xf numFmtId="234" fontId="231" fillId="0" borderId="0" applyNumberFormat="0" applyFill="0" applyBorder="0" applyAlignment="0" applyProtection="0"/>
    <xf numFmtId="37" fontId="207" fillId="0" borderId="0" applyNumberFormat="0" applyFill="0" applyBorder="0" applyAlignment="0" applyProtection="0">
      <alignment horizontal="center"/>
    </xf>
    <xf numFmtId="37" fontId="207" fillId="0" borderId="0" applyNumberFormat="0" applyFill="0" applyBorder="0" applyAlignment="0" applyProtection="0">
      <alignment horizontal="center"/>
    </xf>
    <xf numFmtId="1" fontId="80" fillId="0" borderId="2" applyNumberFormat="0">
      <alignment horizontal="right"/>
    </xf>
    <xf numFmtId="37" fontId="31" fillId="20" borderId="0" applyNumberFormat="0" applyBorder="0" applyAlignment="0" applyProtection="0"/>
    <xf numFmtId="37" fontId="31" fillId="0" borderId="0"/>
    <xf numFmtId="3" fontId="60" fillId="0" borderId="48" applyProtection="0"/>
    <xf numFmtId="6" fontId="232" fillId="0" borderId="49" applyNumberFormat="0" applyFill="0" applyBorder="0" applyAlignment="0" applyProtection="0">
      <alignment horizontal="right"/>
    </xf>
    <xf numFmtId="0" fontId="233" fillId="0" borderId="0" applyNumberFormat="0"/>
    <xf numFmtId="9" fontId="8" fillId="0" borderId="0" applyFont="0" applyFill="0" applyBorder="0" applyAlignment="0" applyProtection="0"/>
    <xf numFmtId="1" fontId="227" fillId="0" borderId="2">
      <alignment horizontal="center"/>
    </xf>
    <xf numFmtId="0" fontId="31" fillId="22" borderId="8" applyNumberFormat="0" applyProtection="0">
      <alignment wrapText="1"/>
    </xf>
    <xf numFmtId="0" fontId="8" fillId="0" borderId="0" applyNumberFormat="0" applyFill="0" applyBorder="0" applyAlignment="0" applyProtection="0"/>
    <xf numFmtId="0" fontId="8" fillId="0" borderId="0" applyNumberFormat="0" applyFill="0" applyBorder="0" applyAlignment="0" applyProtection="0"/>
    <xf numFmtId="0" fontId="8" fillId="0" borderId="0" applyFill="0" applyAlignment="0">
      <protection locked="0"/>
    </xf>
    <xf numFmtId="0" fontId="8" fillId="0" borderId="0" applyFill="0" applyAlignment="0">
      <protection locked="0"/>
    </xf>
    <xf numFmtId="0" fontId="8" fillId="0" borderId="0" applyFill="0" applyAlignment="0">
      <protection locked="0"/>
    </xf>
    <xf numFmtId="0" fontId="8" fillId="0" borderId="0" applyFill="0" applyAlignment="0">
      <protection locked="0"/>
    </xf>
    <xf numFmtId="0" fontId="8" fillId="0" borderId="0" applyFill="0" applyAlignment="0">
      <protection locked="0"/>
    </xf>
    <xf numFmtId="0" fontId="8" fillId="0" borderId="0" applyFill="0" applyAlignment="0">
      <protection locked="0"/>
    </xf>
    <xf numFmtId="0" fontId="8" fillId="0" borderId="0" applyFill="0" applyAlignment="0">
      <protection locked="0"/>
    </xf>
    <xf numFmtId="0" fontId="8" fillId="0" borderId="0" applyFill="0" applyAlignment="0">
      <protection locked="0"/>
    </xf>
    <xf numFmtId="0" fontId="8" fillId="0" borderId="0" applyFill="0" applyAlignment="0">
      <protection locked="0"/>
    </xf>
    <xf numFmtId="0" fontId="8" fillId="0" borderId="0" applyFill="0" applyAlignment="0">
      <protection locked="0"/>
    </xf>
    <xf numFmtId="0" fontId="8" fillId="0" borderId="0" applyFill="0" applyAlignment="0">
      <protection locked="0"/>
    </xf>
    <xf numFmtId="0" fontId="8" fillId="0" borderId="0" applyFill="0" applyAlignment="0">
      <protection locked="0"/>
    </xf>
    <xf numFmtId="0" fontId="8" fillId="0" borderId="0" applyNumberFormat="0" applyFill="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117" fillId="4" borderId="3" applyNumberFormat="0" applyAlignment="0" applyProtection="0"/>
    <xf numFmtId="0" fontId="38" fillId="0" borderId="0"/>
    <xf numFmtId="1" fontId="80" fillId="0" borderId="0" applyFont="0" applyFill="0" applyBorder="0" applyAlignment="0" applyProtection="0"/>
    <xf numFmtId="40" fontId="179" fillId="0" borderId="0" applyFont="0" applyFill="0" applyBorder="0" applyAlignment="0" applyProtection="0"/>
    <xf numFmtId="0" fontId="8" fillId="0" borderId="0" applyNumberFormat="0" applyFont="0" applyFill="0" applyBorder="0" applyAlignment="0" applyProtection="0"/>
    <xf numFmtId="0" fontId="234" fillId="0" borderId="0"/>
    <xf numFmtId="0" fontId="195" fillId="0" borderId="0"/>
    <xf numFmtId="0" fontId="8" fillId="0" borderId="0" applyNumberFormat="0" applyFill="0" applyBorder="0" applyAlignment="0" applyProtection="0">
      <alignment vertical="top"/>
      <protection locked="0"/>
    </xf>
    <xf numFmtId="44" fontId="8" fillId="0" borderId="0" applyFont="0" applyFill="0" applyBorder="0" applyAlignment="0" applyProtection="0"/>
    <xf numFmtId="0" fontId="117" fillId="4" borderId="3" applyNumberFormat="0" applyAlignment="0" applyProtection="0"/>
    <xf numFmtId="43"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117" fillId="4" borderId="3" applyNumberFormat="0" applyAlignment="0" applyProtection="0"/>
    <xf numFmtId="9" fontId="235" fillId="0" borderId="0" applyFont="0" applyFill="0" applyBorder="0" applyAlignment="0" applyProtection="0"/>
    <xf numFmtId="0" fontId="117" fillId="4" borderId="3" applyNumberFormat="0" applyAlignment="0" applyProtection="0"/>
    <xf numFmtId="9" fontId="7" fillId="0" borderId="0" applyFont="0" applyFill="0" applyBorder="0" applyAlignment="0" applyProtection="0"/>
    <xf numFmtId="9" fontId="7" fillId="0" borderId="0" applyFont="0" applyFill="0" applyBorder="0" applyAlignment="0" applyProtection="0"/>
    <xf numFmtId="0" fontId="117" fillId="4" borderId="3" applyNumberFormat="0" applyAlignment="0" applyProtection="0"/>
    <xf numFmtId="0" fontId="117" fillId="4" borderId="3" applyNumberFormat="0" applyAlignment="0" applyProtection="0"/>
    <xf numFmtId="44"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117" fillId="4" borderId="3" applyNumberFormat="0" applyAlignment="0" applyProtection="0"/>
    <xf numFmtId="44" fontId="8" fillId="0" borderId="0" applyFont="0" applyFill="0" applyBorder="0" applyAlignment="0" applyProtection="0"/>
    <xf numFmtId="43" fontId="8" fillId="0" borderId="0" applyFont="0" applyFill="0" applyBorder="0" applyAlignment="0" applyProtection="0"/>
    <xf numFmtId="0" fontId="117" fillId="4" borderId="3" applyNumberFormat="0" applyAlignment="0" applyProtection="0"/>
    <xf numFmtId="9"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8" fillId="0" borderId="0" applyFont="0" applyFill="0" applyBorder="0" applyAlignment="0" applyProtection="0"/>
    <xf numFmtId="44" fontId="8" fillId="0" borderId="0" applyFont="0" applyFill="0" applyBorder="0" applyAlignment="0" applyProtection="0"/>
    <xf numFmtId="0" fontId="117" fillId="4" borderId="3" applyNumberFormat="0" applyAlignment="0" applyProtection="0"/>
    <xf numFmtId="9" fontId="8" fillId="0" borderId="0" applyFont="0" applyFill="0" applyBorder="0" applyAlignment="0" applyProtection="0"/>
    <xf numFmtId="43" fontId="8" fillId="0" borderId="0" applyFont="0" applyFill="0" applyBorder="0" applyAlignment="0" applyProtection="0"/>
    <xf numFmtId="9" fontId="8" fillId="0" borderId="0" applyFont="0" applyFill="0" applyBorder="0" applyAlignment="0" applyProtection="0"/>
    <xf numFmtId="0" fontId="8" fillId="0" borderId="0" applyNumberFormat="0" applyFont="0" applyFill="0" applyBorder="0" applyAlignment="0" applyProtection="0"/>
    <xf numFmtId="9" fontId="8" fillId="0" borderId="0" applyFont="0" applyFill="0" applyBorder="0" applyAlignment="0" applyProtection="0"/>
    <xf numFmtId="0" fontId="8" fillId="0" borderId="0" applyNumberFormat="0" applyFont="0" applyFill="0" applyBorder="0" applyAlignment="0" applyProtection="0"/>
    <xf numFmtId="9" fontId="8" fillId="0" borderId="0" applyFont="0" applyFill="0" applyBorder="0" applyAlignment="0" applyProtection="0"/>
    <xf numFmtId="0" fontId="8" fillId="0" borderId="0" applyNumberFormat="0" applyFont="0" applyFill="0" applyBorder="0" applyAlignment="0" applyProtection="0"/>
    <xf numFmtId="0" fontId="8" fillId="0" borderId="0" applyNumberFormat="0" applyFont="0" applyFill="0" applyBorder="0" applyAlignment="0" applyProtection="0"/>
    <xf numFmtId="0" fontId="8" fillId="0" borderId="0" applyNumberFormat="0" applyFont="0" applyFill="0" applyBorder="0" applyAlignment="0" applyProtection="0"/>
    <xf numFmtId="0" fontId="8" fillId="0" borderId="0" applyNumberFormat="0" applyFont="0" applyFill="0" applyBorder="0" applyAlignment="0" applyProtection="0"/>
    <xf numFmtId="0" fontId="8" fillId="0" borderId="0" applyNumberFormat="0" applyFont="0" applyFill="0" applyBorder="0" applyAlignment="0" applyProtection="0"/>
    <xf numFmtId="0" fontId="8" fillId="0" borderId="0" applyNumberFormat="0" applyFont="0" applyFill="0" applyBorder="0" applyAlignment="0" applyProtection="0"/>
    <xf numFmtId="0" fontId="8" fillId="0" borderId="0" applyNumberFormat="0" applyFont="0" applyFill="0" applyBorder="0" applyAlignment="0" applyProtection="0"/>
    <xf numFmtId="0" fontId="8" fillId="0" borderId="0" applyNumberFormat="0" applyFont="0" applyFill="0" applyBorder="0" applyAlignment="0" applyProtection="0"/>
    <xf numFmtId="0" fontId="235" fillId="0" borderId="0"/>
    <xf numFmtId="0" fontId="7" fillId="0" borderId="0"/>
    <xf numFmtId="0" fontId="7" fillId="0" borderId="0"/>
    <xf numFmtId="0" fontId="8" fillId="0" borderId="0" applyNumberFormat="0" applyFont="0" applyFill="0" applyBorder="0" applyAlignment="0" applyProtection="0"/>
    <xf numFmtId="0" fontId="8" fillId="0" borderId="0"/>
    <xf numFmtId="43" fontId="8" fillId="0" borderId="0" applyFont="0" applyFill="0" applyBorder="0" applyAlignment="0" applyProtection="0"/>
    <xf numFmtId="44" fontId="8" fillId="0" borderId="0" applyFont="0" applyFill="0" applyBorder="0" applyAlignment="0" applyProtection="0"/>
    <xf numFmtId="0" fontId="8" fillId="0" borderId="0"/>
    <xf numFmtId="9" fontId="8" fillId="0" borderId="0" applyFont="0" applyFill="0" applyBorder="0" applyAlignment="0" applyProtection="0"/>
    <xf numFmtId="0" fontId="8" fillId="0" borderId="0">
      <alignment vertical="top"/>
    </xf>
    <xf numFmtId="229" fontId="8" fillId="0" borderId="0" applyFont="0" applyFill="0" applyBorder="0" applyAlignment="0" applyProtection="0"/>
    <xf numFmtId="179" fontId="247" fillId="0" borderId="0" applyFont="0" applyFill="0" applyBorder="0" applyAlignment="0" applyProtection="0"/>
    <xf numFmtId="229" fontId="8" fillId="0" borderId="0" applyFont="0" applyFill="0" applyBorder="0" applyAlignment="0" applyProtection="0"/>
    <xf numFmtId="229" fontId="8" fillId="0" borderId="0" applyFont="0" applyFill="0" applyBorder="0" applyAlignment="0" applyProtection="0"/>
    <xf numFmtId="262" fontId="8" fillId="0" borderId="0" applyFont="0" applyFill="0" applyBorder="0" applyAlignment="0" applyProtection="0"/>
    <xf numFmtId="229" fontId="8" fillId="0" borderId="0" applyFont="0" applyFill="0" applyBorder="0" applyAlignment="0" applyProtection="0"/>
    <xf numFmtId="263" fontId="8" fillId="0" borderId="0" applyFont="0" applyFill="0" applyBorder="0" applyAlignment="0" applyProtection="0"/>
    <xf numFmtId="263" fontId="8" fillId="0" borderId="0" applyFont="0" applyFill="0" applyBorder="0" applyAlignment="0" applyProtection="0"/>
    <xf numFmtId="229" fontId="8" fillId="0" borderId="0" applyFont="0" applyFill="0" applyBorder="0" applyAlignment="0" applyProtection="0"/>
    <xf numFmtId="262" fontId="8" fillId="0" borderId="0" applyFont="0" applyFill="0" applyBorder="0" applyAlignment="0" applyProtection="0"/>
    <xf numFmtId="227" fontId="247" fillId="0" borderId="0" applyFont="0" applyFill="0" applyBorder="0" applyAlignment="0" applyProtection="0"/>
    <xf numFmtId="262" fontId="8" fillId="0" borderId="0" applyFont="0" applyFill="0" applyBorder="0" applyAlignment="0" applyProtection="0"/>
    <xf numFmtId="227" fontId="247" fillId="0" borderId="0" applyFont="0" applyFill="0" applyBorder="0" applyAlignment="0" applyProtection="0"/>
    <xf numFmtId="262" fontId="8" fillId="0" borderId="0" applyFont="0" applyFill="0" applyBorder="0" applyAlignment="0" applyProtection="0"/>
    <xf numFmtId="264" fontId="8" fillId="0" borderId="0" applyFont="0" applyFill="0" applyBorder="0" applyAlignment="0" applyProtection="0"/>
    <xf numFmtId="265" fontId="8" fillId="0" borderId="0" applyFont="0" applyFill="0" applyBorder="0" applyAlignment="0" applyProtection="0"/>
    <xf numFmtId="0" fontId="157" fillId="0" borderId="0" applyFont="0" applyFill="0" applyBorder="0" applyAlignment="0" applyProtection="0"/>
    <xf numFmtId="265" fontId="8" fillId="0" borderId="0" applyFont="0" applyFill="0" applyBorder="0" applyAlignment="0" applyProtection="0"/>
    <xf numFmtId="266" fontId="247" fillId="0" borderId="0" applyFont="0" applyFill="0" applyBorder="0" applyAlignment="0" applyProtection="0"/>
    <xf numFmtId="179" fontId="8" fillId="0" borderId="0" applyFont="0" applyFill="0" applyBorder="0" applyAlignment="0" applyProtection="0"/>
    <xf numFmtId="39" fontId="8" fillId="0" borderId="0" applyFont="0" applyFill="0" applyBorder="0" applyAlignment="0" applyProtection="0"/>
    <xf numFmtId="39" fontId="8" fillId="0" borderId="0" applyFont="0" applyFill="0" applyBorder="0" applyAlignment="0" applyProtection="0"/>
    <xf numFmtId="265" fontId="8" fillId="0" borderId="0" applyFont="0" applyFill="0" applyBorder="0" applyAlignment="0" applyProtection="0"/>
    <xf numFmtId="266" fontId="247" fillId="0" borderId="0" applyFont="0" applyFill="0" applyBorder="0" applyAlignment="0" applyProtection="0"/>
    <xf numFmtId="265" fontId="8" fillId="0" borderId="0" applyFont="0" applyFill="0" applyBorder="0" applyAlignment="0" applyProtection="0"/>
    <xf numFmtId="266" fontId="247" fillId="0" borderId="0" applyFont="0" applyFill="0" applyBorder="0" applyAlignment="0" applyProtection="0"/>
    <xf numFmtId="179" fontId="8" fillId="0" borderId="0" applyFont="0" applyFill="0" applyBorder="0" applyAlignment="0" applyProtection="0"/>
    <xf numFmtId="265" fontId="8" fillId="0" borderId="0" applyFont="0" applyFill="0" applyBorder="0" applyAlignment="0" applyProtection="0"/>
    <xf numFmtId="265" fontId="8" fillId="0" borderId="0" applyFont="0" applyFill="0" applyBorder="0" applyAlignment="0" applyProtection="0"/>
    <xf numFmtId="265" fontId="8" fillId="0" borderId="0" applyFont="0" applyFill="0" applyBorder="0" applyAlignment="0" applyProtection="0"/>
    <xf numFmtId="39" fontId="8" fillId="0" borderId="0" applyFont="0" applyFill="0" applyBorder="0" applyAlignment="0" applyProtection="0"/>
    <xf numFmtId="39" fontId="8" fillId="0" borderId="0" applyFont="0" applyFill="0" applyBorder="0" applyAlignment="0" applyProtection="0"/>
    <xf numFmtId="39" fontId="8" fillId="0" borderId="0" applyFont="0" applyFill="0" applyBorder="0" applyAlignment="0" applyProtection="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9" fillId="0" borderId="0"/>
    <xf numFmtId="0" fontId="8" fillId="0" borderId="0"/>
    <xf numFmtId="0" fontId="8" fillId="0" borderId="0"/>
    <xf numFmtId="0" fontId="8" fillId="0" borderId="0"/>
    <xf numFmtId="0" fontId="8" fillId="0" borderId="0"/>
    <xf numFmtId="267" fontId="8" fillId="0" borderId="0" applyFont="0" applyFill="0" applyBorder="0" applyAlignment="0" applyProtection="0"/>
    <xf numFmtId="204" fontId="247"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applyBorder="0"/>
    <xf numFmtId="0" fontId="8" fillId="0" borderId="0"/>
    <xf numFmtId="0" fontId="249" fillId="0" borderId="0" applyNumberFormat="0" applyFill="0" applyBorder="0" applyAlignment="0" applyProtection="0"/>
    <xf numFmtId="0" fontId="249" fillId="0" borderId="0" applyNumberFormat="0" applyFill="0" applyBorder="0" applyAlignment="0" applyProtection="0"/>
    <xf numFmtId="0" fontId="249" fillId="0" borderId="0" applyNumberFormat="0" applyFill="0" applyBorder="0" applyAlignment="0" applyProtection="0"/>
    <xf numFmtId="0" fontId="249" fillId="0" borderId="0" applyNumberFormat="0" applyFill="0" applyBorder="0" applyAlignment="0" applyProtection="0"/>
    <xf numFmtId="0" fontId="249" fillId="0" borderId="0" applyNumberFormat="0" applyFill="0" applyBorder="0" applyAlignment="0" applyProtection="0"/>
    <xf numFmtId="0" fontId="249" fillId="0" borderId="0" applyNumberFormat="0" applyFill="0" applyBorder="0" applyAlignment="0" applyProtection="0"/>
    <xf numFmtId="0" fontId="249" fillId="0" borderId="0" applyNumberFormat="0" applyFill="0" applyBorder="0" applyAlignment="0" applyProtection="0"/>
    <xf numFmtId="0" fontId="249" fillId="0" borderId="0" applyNumberFormat="0" applyFill="0" applyBorder="0" applyAlignment="0" applyProtection="0"/>
    <xf numFmtId="0" fontId="8" fillId="20" borderId="0" applyNumberFormat="0" applyFont="0" applyAlignment="0" applyProtection="0"/>
    <xf numFmtId="0" fontId="8" fillId="20" borderId="0" applyNumberFormat="0" applyFont="0" applyAlignment="0" applyProtection="0"/>
    <xf numFmtId="0" fontId="8" fillId="20" borderId="0" applyNumberFormat="0" applyFont="0" applyAlignment="0" applyProtection="0"/>
    <xf numFmtId="0" fontId="8" fillId="20" borderId="0" applyNumberFormat="0" applyFont="0" applyAlignment="0" applyProtection="0"/>
    <xf numFmtId="0" fontId="8" fillId="20" borderId="0" applyNumberFormat="0" applyFont="0" applyAlignment="0" applyProtection="0"/>
    <xf numFmtId="0" fontId="8" fillId="20" borderId="0" applyNumberFormat="0" applyFont="0" applyAlignment="0" applyProtection="0"/>
    <xf numFmtId="0" fontId="8" fillId="20" borderId="0" applyNumberFormat="0" applyFont="0" applyAlignment="0" applyProtection="0"/>
    <xf numFmtId="0" fontId="8" fillId="20" borderId="0" applyNumberFormat="0" applyFont="0" applyAlignment="0" applyProtection="0"/>
    <xf numFmtId="0" fontId="8" fillId="20" borderId="0" applyNumberFormat="0" applyFont="0" applyAlignment="0" applyProtection="0"/>
    <xf numFmtId="0" fontId="8" fillId="20" borderId="0" applyNumberFormat="0" applyFont="0" applyAlignment="0" applyProtection="0"/>
    <xf numFmtId="0" fontId="8" fillId="20" borderId="0" applyNumberFormat="0" applyFont="0" applyAlignment="0" applyProtection="0"/>
    <xf numFmtId="0" fontId="8" fillId="20" borderId="0" applyNumberFormat="0" applyFont="0" applyAlignment="0" applyProtection="0"/>
    <xf numFmtId="0" fontId="24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9" fillId="0" borderId="0"/>
    <xf numFmtId="0" fontId="9" fillId="0" borderId="0"/>
    <xf numFmtId="0" fontId="9" fillId="0" borderId="0"/>
    <xf numFmtId="0" fontId="9" fillId="0" borderId="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268" fontId="8" fillId="0" borderId="0" applyFont="0" applyFill="0" applyBorder="0" applyAlignment="0" applyProtection="0"/>
    <xf numFmtId="269" fontId="8" fillId="0" borderId="0" applyFont="0" applyFill="0" applyBorder="0" applyAlignment="0" applyProtection="0"/>
    <xf numFmtId="0" fontId="157" fillId="0" borderId="0" applyFont="0" applyFill="0" applyBorder="0" applyAlignment="0" applyProtection="0"/>
    <xf numFmtId="268" fontId="8" fillId="0" borderId="0" applyFont="0" applyFill="0" applyBorder="0" applyAlignment="0" applyProtection="0"/>
    <xf numFmtId="269" fontId="8" fillId="0" borderId="0" applyFont="0" applyFill="0" applyBorder="0" applyAlignment="0" applyProtection="0"/>
    <xf numFmtId="268" fontId="8" fillId="0" borderId="0" applyFont="0" applyFill="0" applyBorder="0" applyAlignment="0" applyProtection="0"/>
    <xf numFmtId="270" fontId="8" fillId="0" borderId="0" applyFont="0" applyFill="0" applyBorder="0" applyAlignment="0" applyProtection="0"/>
    <xf numFmtId="270" fontId="8" fillId="0" borderId="0" applyFont="0" applyFill="0" applyBorder="0" applyAlignment="0" applyProtection="0"/>
    <xf numFmtId="271" fontId="247" fillId="0" borderId="0" applyFont="0" applyFill="0" applyBorder="0" applyAlignment="0" applyProtection="0"/>
    <xf numFmtId="270" fontId="8" fillId="0" borderId="0" applyFont="0" applyFill="0" applyBorder="0" applyAlignment="0" applyProtection="0"/>
    <xf numFmtId="268" fontId="8" fillId="0" borderId="0" applyFont="0" applyFill="0" applyBorder="0" applyAlignment="0" applyProtection="0"/>
    <xf numFmtId="268" fontId="8" fillId="0" borderId="0" applyFont="0" applyFill="0" applyBorder="0" applyAlignment="0" applyProtection="0"/>
    <xf numFmtId="270" fontId="8" fillId="0" borderId="0" applyFont="0" applyFill="0" applyBorder="0" applyAlignment="0" applyProtection="0"/>
    <xf numFmtId="268" fontId="8" fillId="0" borderId="0" applyFont="0" applyFill="0" applyBorder="0" applyAlignment="0" applyProtection="0"/>
    <xf numFmtId="270" fontId="8" fillId="0" borderId="0" applyFont="0" applyFill="0" applyBorder="0" applyAlignment="0" applyProtection="0"/>
    <xf numFmtId="271" fontId="247" fillId="0" borderId="0" applyFont="0" applyFill="0" applyBorder="0" applyAlignment="0" applyProtection="0"/>
    <xf numFmtId="270" fontId="8" fillId="0" borderId="0" applyFont="0" applyFill="0" applyBorder="0" applyAlignment="0" applyProtection="0"/>
    <xf numFmtId="271" fontId="247" fillId="0" borderId="0" applyFont="0" applyFill="0" applyBorder="0" applyAlignment="0" applyProtection="0"/>
    <xf numFmtId="269" fontId="8" fillId="0" borderId="0" applyFont="0" applyFill="0" applyBorder="0" applyAlignment="0" applyProtection="0"/>
    <xf numFmtId="272" fontId="8" fillId="0" borderId="0" applyFont="0" applyFill="0" applyBorder="0" applyProtection="0">
      <alignment horizontal="right"/>
    </xf>
    <xf numFmtId="230" fontId="8" fillId="0" borderId="0" applyFont="0" applyFill="0" applyBorder="0" applyAlignment="0" applyProtection="0"/>
    <xf numFmtId="0" fontId="157" fillId="0" borderId="0" applyFont="0" applyFill="0" applyBorder="0" applyAlignment="0" applyProtection="0"/>
    <xf numFmtId="272" fontId="8" fillId="0" borderId="0" applyFont="0" applyFill="0" applyBorder="0" applyProtection="0">
      <alignment horizontal="right"/>
    </xf>
    <xf numFmtId="230" fontId="8" fillId="0" borderId="0" applyFont="0" applyFill="0" applyBorder="0" applyProtection="0">
      <alignment horizontal="right"/>
    </xf>
    <xf numFmtId="182" fontId="247" fillId="0" borderId="0" applyFont="0" applyFill="0" applyBorder="0" applyProtection="0">
      <alignment horizontal="right"/>
    </xf>
    <xf numFmtId="273" fontId="8" fillId="0" borderId="0" applyFont="0" applyFill="0" applyBorder="0" applyAlignment="0" applyProtection="0"/>
    <xf numFmtId="273" fontId="8" fillId="0" borderId="0" applyFont="0" applyFill="0" applyBorder="0" applyAlignment="0" applyProtection="0"/>
    <xf numFmtId="186" fontId="247" fillId="0" borderId="0" applyFont="0" applyFill="0" applyBorder="0" applyAlignment="0" applyProtection="0"/>
    <xf numFmtId="273" fontId="8" fillId="0" borderId="0" applyFont="0" applyFill="0" applyBorder="0" applyAlignment="0" applyProtection="0"/>
    <xf numFmtId="272" fontId="8" fillId="0" borderId="0" applyFont="0" applyFill="0" applyBorder="0" applyProtection="0">
      <alignment horizontal="right"/>
    </xf>
    <xf numFmtId="272" fontId="8" fillId="0" borderId="0" applyFont="0" applyFill="0" applyBorder="0" applyProtection="0">
      <alignment horizontal="right"/>
    </xf>
    <xf numFmtId="182" fontId="247" fillId="0" borderId="0" applyFont="0" applyFill="0" applyBorder="0" applyProtection="0">
      <alignment horizontal="right"/>
    </xf>
    <xf numFmtId="272" fontId="8" fillId="0" borderId="0" applyFont="0" applyFill="0" applyBorder="0" applyProtection="0">
      <alignment horizontal="right"/>
    </xf>
    <xf numFmtId="182" fontId="247" fillId="0" borderId="0" applyFont="0" applyFill="0" applyBorder="0" applyProtection="0">
      <alignment horizontal="right"/>
    </xf>
    <xf numFmtId="273" fontId="8" fillId="0" borderId="0" applyFont="0" applyFill="0" applyBorder="0" applyAlignment="0" applyProtection="0"/>
    <xf numFmtId="273" fontId="8" fillId="0" borderId="0" applyFont="0" applyFill="0" applyBorder="0" applyAlignment="0" applyProtection="0"/>
    <xf numFmtId="186" fontId="247" fillId="0" borderId="0" applyFont="0" applyFill="0" applyBorder="0" applyAlignment="0" applyProtection="0"/>
    <xf numFmtId="273" fontId="8" fillId="0" borderId="0" applyFont="0" applyFill="0" applyBorder="0" applyAlignment="0" applyProtection="0"/>
    <xf numFmtId="186" fontId="247" fillId="0" borderId="0" applyFont="0" applyFill="0" applyBorder="0" applyAlignment="0" applyProtection="0"/>
    <xf numFmtId="230" fontId="8" fillId="0" borderId="0" applyFont="0" applyFill="0" applyBorder="0" applyAlignment="0" applyProtection="0"/>
    <xf numFmtId="269" fontId="8" fillId="0" borderId="0" applyFont="0" applyFill="0" applyBorder="0" applyProtection="0">
      <alignment horizontal="right"/>
    </xf>
    <xf numFmtId="0" fontId="8" fillId="0" borderId="0"/>
    <xf numFmtId="0" fontId="8" fillId="0" borderId="0"/>
    <xf numFmtId="0" fontId="8" fillId="0" borderId="0"/>
    <xf numFmtId="0" fontId="9" fillId="0" borderId="0"/>
    <xf numFmtId="0" fontId="8"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274" fontId="8" fillId="0" borderId="0" applyFont="0" applyFill="0" applyBorder="0" applyAlignment="0" applyProtection="0"/>
    <xf numFmtId="228" fontId="8" fillId="0" borderId="0" applyFont="0" applyFill="0" applyBorder="0" applyAlignment="0" applyProtection="0"/>
    <xf numFmtId="0" fontId="157" fillId="0" borderId="0" applyFont="0" applyFill="0" applyBorder="0" applyAlignment="0" applyProtection="0"/>
    <xf numFmtId="181" fontId="247" fillId="0" borderId="0" applyFont="0" applyFill="0" applyBorder="0" applyAlignment="0" applyProtection="0"/>
    <xf numFmtId="228" fontId="8" fillId="0" borderId="0" applyFont="0" applyFill="0" applyBorder="0" applyAlignment="0" applyProtection="0"/>
    <xf numFmtId="275" fontId="8" fillId="0" borderId="0" applyFont="0" applyFill="0" applyBorder="0" applyAlignment="0" applyProtection="0"/>
    <xf numFmtId="260" fontId="8" fillId="0" borderId="0" applyFont="0" applyFill="0" applyBorder="0" applyAlignment="0" applyProtection="0"/>
    <xf numFmtId="0" fontId="157" fillId="0" borderId="0" applyFont="0" applyFill="0" applyBorder="0" applyAlignment="0" applyProtection="0"/>
    <xf numFmtId="276" fontId="247" fillId="0" borderId="0" applyFont="0" applyFill="0" applyBorder="0" applyAlignment="0" applyProtection="0"/>
    <xf numFmtId="260" fontId="8" fillId="0" borderId="0" applyFont="0" applyFill="0" applyBorder="0" applyAlignment="0" applyProtection="0"/>
    <xf numFmtId="0" fontId="8" fillId="0" borderId="0" applyFont="0" applyFill="0" applyBorder="0" applyAlignment="0" applyProtection="0"/>
    <xf numFmtId="0" fontId="8" fillId="0" borderId="0"/>
    <xf numFmtId="0" fontId="8" fillId="0" borderId="0" applyFont="0" applyFill="0" applyBorder="0" applyAlignment="0" applyProtection="0"/>
    <xf numFmtId="0" fontId="8" fillId="0" borderId="0" applyFont="0" applyFill="0" applyBorder="0" applyAlignment="0" applyProtection="0"/>
    <xf numFmtId="0" fontId="8" fillId="0" borderId="0"/>
    <xf numFmtId="0" fontId="8" fillId="0" borderId="0"/>
    <xf numFmtId="0" fontId="8" fillId="0" borderId="0"/>
    <xf numFmtId="0" fontId="8" fillId="0" borderId="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Protection="0">
      <alignment vertical="top"/>
    </xf>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Protection="0">
      <alignment vertical="top"/>
    </xf>
    <xf numFmtId="0" fontId="51" fillId="0" borderId="0" applyNumberFormat="0" applyFill="0" applyBorder="0" applyAlignment="0" applyProtection="0">
      <alignment vertical="top"/>
    </xf>
    <xf numFmtId="0" fontId="51" fillId="0" borderId="0" applyNumberFormat="0" applyFill="0" applyBorder="0" applyProtection="0">
      <alignment vertical="top"/>
    </xf>
    <xf numFmtId="0" fontId="250" fillId="0" borderId="62" applyNumberFormat="0" applyFill="0" applyAlignment="0" applyProtection="0"/>
    <xf numFmtId="0" fontId="250" fillId="0" borderId="61" applyNumberFormat="0" applyFill="0" applyAlignment="0" applyProtection="0"/>
    <xf numFmtId="0" fontId="250" fillId="0" borderId="62" applyNumberFormat="0" applyFill="0" applyAlignment="0" applyProtection="0"/>
    <xf numFmtId="0" fontId="250" fillId="0" borderId="62" applyNumberFormat="0" applyFill="0" applyAlignment="0" applyProtection="0"/>
    <xf numFmtId="0" fontId="250" fillId="0" borderId="0" applyNumberFormat="0" applyFill="0" applyBorder="0" applyAlignment="0" applyProtection="0"/>
    <xf numFmtId="0" fontId="250" fillId="0" borderId="0" applyNumberFormat="0" applyFill="0" applyBorder="0" applyAlignment="0" applyProtection="0"/>
    <xf numFmtId="0" fontId="250" fillId="0" borderId="61" applyNumberFormat="0" applyFill="0" applyAlignment="0" applyProtection="0"/>
    <xf numFmtId="0" fontId="152" fillId="0" borderId="63" applyNumberFormat="0" applyFill="0" applyProtection="0">
      <alignment horizontal="center"/>
    </xf>
    <xf numFmtId="0" fontId="152" fillId="0" borderId="63" applyNumberFormat="0" applyFill="0" applyProtection="0">
      <alignment horizontal="center"/>
    </xf>
    <xf numFmtId="0" fontId="152" fillId="0" borderId="63" applyNumberFormat="0" applyFill="0" applyProtection="0">
      <alignment horizontal="center"/>
    </xf>
    <xf numFmtId="0" fontId="152" fillId="0" borderId="63" applyNumberFormat="0" applyFill="0" applyProtection="0">
      <alignment horizontal="center"/>
    </xf>
    <xf numFmtId="0" fontId="152" fillId="0" borderId="63" applyNumberFormat="0" applyFill="0" applyProtection="0">
      <alignment horizontal="center"/>
    </xf>
    <xf numFmtId="0" fontId="152" fillId="0" borderId="63" applyNumberFormat="0" applyFill="0" applyProtection="0">
      <alignment horizontal="center"/>
    </xf>
    <xf numFmtId="0" fontId="8" fillId="0" borderId="16" applyNumberFormat="0" applyFont="0" applyFill="0" applyAlignment="0" applyProtection="0"/>
    <xf numFmtId="0" fontId="152" fillId="0" borderId="0" applyNumberFormat="0" applyFill="0" applyBorder="0" applyProtection="0">
      <alignment horizontal="left"/>
    </xf>
    <xf numFmtId="0" fontId="152" fillId="0" borderId="0" applyNumberFormat="0" applyFill="0" applyBorder="0" applyProtection="0">
      <alignment horizontal="left"/>
    </xf>
    <xf numFmtId="0" fontId="152" fillId="0" borderId="0" applyNumberFormat="0" applyFill="0" applyBorder="0" applyProtection="0">
      <alignment horizontal="left"/>
    </xf>
    <xf numFmtId="0" fontId="152" fillId="0" borderId="0" applyNumberFormat="0" applyFill="0" applyBorder="0" applyProtection="0">
      <alignment horizontal="left"/>
    </xf>
    <xf numFmtId="0" fontId="152" fillId="0" borderId="0" applyNumberFormat="0" applyFill="0" applyBorder="0" applyProtection="0">
      <alignment horizontal="left"/>
    </xf>
    <xf numFmtId="0" fontId="251" fillId="0" borderId="0" applyNumberFormat="0" applyFill="0" applyBorder="0" applyProtection="0">
      <alignment horizontal="centerContinuous"/>
    </xf>
    <xf numFmtId="0" fontId="251" fillId="0" borderId="0" applyNumberFormat="0" applyFill="0" applyProtection="0">
      <alignment horizontal="centerContinuous"/>
    </xf>
    <xf numFmtId="0" fontId="251" fillId="0" borderId="0" applyNumberFormat="0" applyFill="0" applyBorder="0" applyProtection="0">
      <alignment horizontal="centerContinuous"/>
    </xf>
    <xf numFmtId="0" fontId="251" fillId="0" borderId="0" applyNumberFormat="0" applyFill="0" applyBorder="0" applyProtection="0">
      <alignment horizontal="centerContinuous"/>
    </xf>
    <xf numFmtId="0" fontId="251" fillId="0" borderId="0" applyNumberFormat="0" applyFill="0" applyBorder="0" applyProtection="0">
      <alignment horizontal="centerContinuous"/>
    </xf>
    <xf numFmtId="0" fontId="251" fillId="0" borderId="0" applyNumberFormat="0" applyFill="0" applyBorder="0" applyProtection="0">
      <alignment horizontal="centerContinuous"/>
    </xf>
    <xf numFmtId="0" fontId="251" fillId="0" borderId="0" applyNumberFormat="0" applyFill="0" applyProtection="0">
      <alignment horizontal="centerContinuous"/>
    </xf>
    <xf numFmtId="0" fontId="251" fillId="0" borderId="0" applyNumberFormat="0" applyFill="0" applyBorder="0" applyProtection="0">
      <alignment horizontal="centerContinuous"/>
    </xf>
    <xf numFmtId="0" fontId="250" fillId="0" borderId="0" applyNumberForma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48" fillId="0" borderId="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7" fillId="0" borderId="0"/>
    <xf numFmtId="277" fontId="250" fillId="0" borderId="0">
      <alignment horizontal="right" vertical="top"/>
    </xf>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253" fillId="48"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253" fillId="48"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253" fillId="4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50"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253" fillId="4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50"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50"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50"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50"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253" fillId="51"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8"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253" fillId="51"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8"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8"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8"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8"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253" fillId="52"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53"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253" fillId="52"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53"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53"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53"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53"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253" fillId="55"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253" fillId="55"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54"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253" fillId="32"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38"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253" fillId="32"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38"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38"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38"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19" borderId="0" applyNumberFormat="0" applyBorder="0" applyAlignment="0" applyProtection="0"/>
    <xf numFmtId="0" fontId="107" fillId="38" borderId="0" applyNumberFormat="0" applyBorder="0" applyAlignment="0" applyProtection="0"/>
    <xf numFmtId="0" fontId="254" fillId="47" borderId="0" applyNumberFormat="0" applyBorder="0" applyAlignment="0" applyProtection="0">
      <alignment vertical="center"/>
    </xf>
    <xf numFmtId="0" fontId="254" fillId="50" borderId="0" applyNumberFormat="0" applyBorder="0" applyAlignment="0" applyProtection="0">
      <alignment vertical="center"/>
    </xf>
    <xf numFmtId="0" fontId="254" fillId="18" borderId="0" applyNumberFormat="0" applyBorder="0" applyAlignment="0" applyProtection="0">
      <alignment vertical="center"/>
    </xf>
    <xf numFmtId="0" fontId="254" fillId="53" borderId="0" applyNumberFormat="0" applyBorder="0" applyAlignment="0" applyProtection="0">
      <alignment vertical="center"/>
    </xf>
    <xf numFmtId="0" fontId="254" fillId="54" borderId="0" applyNumberFormat="0" applyBorder="0" applyAlignment="0" applyProtection="0">
      <alignment vertical="center"/>
    </xf>
    <xf numFmtId="0" fontId="254" fillId="38" borderId="0" applyNumberFormat="0" applyBorder="0" applyAlignment="0" applyProtection="0">
      <alignment vertical="center"/>
    </xf>
    <xf numFmtId="0" fontId="255" fillId="47" borderId="0" applyNumberFormat="0" applyBorder="0" applyAlignment="0" applyProtection="0">
      <alignment vertical="center"/>
    </xf>
    <xf numFmtId="0" fontId="255" fillId="50" borderId="0" applyNumberFormat="0" applyBorder="0" applyAlignment="0" applyProtection="0">
      <alignment vertical="center"/>
    </xf>
    <xf numFmtId="0" fontId="255" fillId="18" borderId="0" applyNumberFormat="0" applyBorder="0" applyAlignment="0" applyProtection="0">
      <alignment vertical="center"/>
    </xf>
    <xf numFmtId="0" fontId="255" fillId="53" borderId="0" applyNumberFormat="0" applyBorder="0" applyAlignment="0" applyProtection="0">
      <alignment vertical="center"/>
    </xf>
    <xf numFmtId="0" fontId="255" fillId="54" borderId="0" applyNumberFormat="0" applyBorder="0" applyAlignment="0" applyProtection="0">
      <alignment vertical="center"/>
    </xf>
    <xf numFmtId="0" fontId="255" fillId="38" borderId="0" applyNumberFormat="0" applyBorder="0" applyAlignment="0" applyProtection="0">
      <alignment vertical="center"/>
    </xf>
    <xf numFmtId="0" fontId="8" fillId="0" borderId="0"/>
    <xf numFmtId="0" fontId="252" fillId="0" borderId="0" applyFont="0" applyFill="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253" fillId="5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3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253" fillId="5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3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3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3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36"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253" fillId="44"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40"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253" fillId="44"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40"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40"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40"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40"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253" fillId="57"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5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253" fillId="57"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5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5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5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18" borderId="0" applyNumberFormat="0" applyBorder="0" applyAlignment="0" applyProtection="0"/>
    <xf numFmtId="0" fontId="107" fillId="58"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253" fillId="59"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53"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253" fillId="59"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53"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53"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53"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17" borderId="0" applyNumberFormat="0" applyBorder="0" applyAlignment="0" applyProtection="0"/>
    <xf numFmtId="0" fontId="107" fillId="53"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253" fillId="34"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3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253" fillId="34"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3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3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36"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47" borderId="0" applyNumberFormat="0" applyBorder="0" applyAlignment="0" applyProtection="0"/>
    <xf numFmtId="0" fontId="107" fillId="36"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253" fillId="33"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41"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253" fillId="33"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41"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41"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41"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38" borderId="0" applyNumberFormat="0" applyBorder="0" applyAlignment="0" applyProtection="0"/>
    <xf numFmtId="0" fontId="107" fillId="41" borderId="0" applyNumberFormat="0" applyBorder="0" applyAlignment="0" applyProtection="0"/>
    <xf numFmtId="0" fontId="254" fillId="36" borderId="0" applyNumberFormat="0" applyBorder="0" applyAlignment="0" applyProtection="0">
      <alignment vertical="center"/>
    </xf>
    <xf numFmtId="0" fontId="254" fillId="40" borderId="0" applyNumberFormat="0" applyBorder="0" applyAlignment="0" applyProtection="0">
      <alignment vertical="center"/>
    </xf>
    <xf numFmtId="0" fontId="254" fillId="58" borderId="0" applyNumberFormat="0" applyBorder="0" applyAlignment="0" applyProtection="0">
      <alignment vertical="center"/>
    </xf>
    <xf numFmtId="0" fontId="254" fillId="53" borderId="0" applyNumberFormat="0" applyBorder="0" applyAlignment="0" applyProtection="0">
      <alignment vertical="center"/>
    </xf>
    <xf numFmtId="0" fontId="254" fillId="36" borderId="0" applyNumberFormat="0" applyBorder="0" applyAlignment="0" applyProtection="0">
      <alignment vertical="center"/>
    </xf>
    <xf numFmtId="0" fontId="254" fillId="41" borderId="0" applyNumberFormat="0" applyBorder="0" applyAlignment="0" applyProtection="0">
      <alignment vertical="center"/>
    </xf>
    <xf numFmtId="0" fontId="255" fillId="36" borderId="0" applyNumberFormat="0" applyBorder="0" applyAlignment="0" applyProtection="0">
      <alignment vertical="center"/>
    </xf>
    <xf numFmtId="0" fontId="255" fillId="40" borderId="0" applyNumberFormat="0" applyBorder="0" applyAlignment="0" applyProtection="0">
      <alignment vertical="center"/>
    </xf>
    <xf numFmtId="0" fontId="255" fillId="58" borderId="0" applyNumberFormat="0" applyBorder="0" applyAlignment="0" applyProtection="0">
      <alignment vertical="center"/>
    </xf>
    <xf numFmtId="0" fontId="255" fillId="53" borderId="0" applyNumberFormat="0" applyBorder="0" applyAlignment="0" applyProtection="0">
      <alignment vertical="center"/>
    </xf>
    <xf numFmtId="0" fontId="255" fillId="36" borderId="0" applyNumberFormat="0" applyBorder="0" applyAlignment="0" applyProtection="0">
      <alignment vertical="center"/>
    </xf>
    <xf numFmtId="0" fontId="255" fillId="41" borderId="0" applyNumberFormat="0" applyBorder="0" applyAlignment="0" applyProtection="0">
      <alignment vertical="center"/>
    </xf>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256" fillId="60"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43"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256" fillId="60"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43"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43"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43"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43"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256" fillId="61"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256" fillId="61"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256" fillId="62"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58"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256" fillId="62"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58"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58"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58"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58"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256" fillId="63"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64"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256" fillId="63"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64"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64"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64"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17" borderId="0" applyNumberFormat="0" applyBorder="0" applyAlignment="0" applyProtection="0"/>
    <xf numFmtId="0" fontId="108" fillId="64"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256" fillId="65"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42"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256" fillId="65"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42"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42"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42"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36" borderId="0" applyNumberFormat="0" applyBorder="0" applyAlignment="0" applyProtection="0"/>
    <xf numFmtId="0" fontId="108" fillId="42"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256" fillId="45"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0"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256" fillId="45"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0"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0"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0"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8" borderId="0" applyNumberFormat="0" applyBorder="0" applyAlignment="0" applyProtection="0"/>
    <xf numFmtId="0" fontId="108" fillId="30" borderId="0" applyNumberFormat="0" applyBorder="0" applyAlignment="0" applyProtection="0"/>
    <xf numFmtId="0" fontId="257" fillId="43" borderId="0" applyNumberFormat="0" applyBorder="0" applyAlignment="0" applyProtection="0">
      <alignment vertical="center"/>
    </xf>
    <xf numFmtId="0" fontId="257" fillId="40" borderId="0" applyNumberFormat="0" applyBorder="0" applyAlignment="0" applyProtection="0">
      <alignment vertical="center"/>
    </xf>
    <xf numFmtId="0" fontId="257" fillId="58" borderId="0" applyNumberFormat="0" applyBorder="0" applyAlignment="0" applyProtection="0">
      <alignment vertical="center"/>
    </xf>
    <xf numFmtId="0" fontId="257" fillId="64" borderId="0" applyNumberFormat="0" applyBorder="0" applyAlignment="0" applyProtection="0">
      <alignment vertical="center"/>
    </xf>
    <xf numFmtId="0" fontId="257" fillId="42" borderId="0" applyNumberFormat="0" applyBorder="0" applyAlignment="0" applyProtection="0">
      <alignment vertical="center"/>
    </xf>
    <xf numFmtId="0" fontId="257" fillId="30" borderId="0" applyNumberFormat="0" applyBorder="0" applyAlignment="0" applyProtection="0">
      <alignment vertical="center"/>
    </xf>
    <xf numFmtId="0" fontId="258" fillId="43" borderId="0" applyNumberFormat="0" applyBorder="0" applyAlignment="0" applyProtection="0">
      <alignment vertical="center"/>
    </xf>
    <xf numFmtId="0" fontId="258" fillId="40" borderId="0" applyNumberFormat="0" applyBorder="0" applyAlignment="0" applyProtection="0">
      <alignment vertical="center"/>
    </xf>
    <xf numFmtId="0" fontId="258" fillId="58" borderId="0" applyNumberFormat="0" applyBorder="0" applyAlignment="0" applyProtection="0">
      <alignment vertical="center"/>
    </xf>
    <xf numFmtId="0" fontId="258" fillId="64" borderId="0" applyNumberFormat="0" applyBorder="0" applyAlignment="0" applyProtection="0">
      <alignment vertical="center"/>
    </xf>
    <xf numFmtId="0" fontId="258" fillId="42" borderId="0" applyNumberFormat="0" applyBorder="0" applyAlignment="0" applyProtection="0">
      <alignment vertical="center"/>
    </xf>
    <xf numFmtId="0" fontId="258" fillId="30" borderId="0" applyNumberFormat="0" applyBorder="0" applyAlignment="0" applyProtection="0">
      <alignment vertical="center"/>
    </xf>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256" fillId="67"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8"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256" fillId="67"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8"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8"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8"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8"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256" fillId="70"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71"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256" fillId="70"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71"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71"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71"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69" borderId="0" applyNumberFormat="0" applyBorder="0" applyAlignment="0" applyProtection="0"/>
    <xf numFmtId="0" fontId="108" fillId="71"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256" fillId="72"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23"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256" fillId="72"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23"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23"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23"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39" borderId="0" applyNumberFormat="0" applyBorder="0" applyAlignment="0" applyProtection="0"/>
    <xf numFmtId="0" fontId="108" fillId="23"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256" fillId="73"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4"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256" fillId="73"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4"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4"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4"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6" borderId="0" applyNumberFormat="0" applyBorder="0" applyAlignment="0" applyProtection="0"/>
    <xf numFmtId="0" fontId="108" fillId="64"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256" fillId="74"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256" fillId="74"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2"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256" fillId="75"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28"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256" fillId="75"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28"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28"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28"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40" borderId="0" applyNumberFormat="0" applyBorder="0" applyAlignment="0" applyProtection="0"/>
    <xf numFmtId="0" fontId="108" fillId="28" borderId="0" applyNumberFormat="0" applyBorder="0" applyAlignment="0" applyProtection="0"/>
    <xf numFmtId="41" fontId="8" fillId="0" borderId="0"/>
    <xf numFmtId="278" fontId="26" fillId="36" borderId="64">
      <alignment horizontal="center" vertical="center"/>
    </xf>
    <xf numFmtId="279" fontId="239" fillId="22" borderId="65" applyProtection="0">
      <alignment vertical="center"/>
    </xf>
    <xf numFmtId="279" fontId="239" fillId="22" borderId="65" applyProtection="0">
      <alignment vertical="center"/>
    </xf>
    <xf numFmtId="279" fontId="239" fillId="22" borderId="65" applyProtection="0">
      <alignment vertical="center"/>
    </xf>
    <xf numFmtId="279" fontId="239" fillId="22" borderId="65" applyProtection="0">
      <alignment vertical="center"/>
    </xf>
    <xf numFmtId="279" fontId="239" fillId="22" borderId="65" applyProtection="0">
      <alignment vertical="center"/>
    </xf>
    <xf numFmtId="279" fontId="239" fillId="22" borderId="65" applyProtection="0">
      <alignment vertical="center"/>
    </xf>
    <xf numFmtId="279" fontId="239" fillId="22" borderId="65" applyProtection="0">
      <alignment vertical="center"/>
    </xf>
    <xf numFmtId="279" fontId="239" fillId="22" borderId="65" applyProtection="0">
      <alignment vertical="center"/>
    </xf>
    <xf numFmtId="279" fontId="239" fillId="22" borderId="65" applyProtection="0">
      <alignment vertical="center"/>
    </xf>
    <xf numFmtId="279" fontId="239" fillId="22" borderId="65" applyProtection="0">
      <alignment vertical="center"/>
    </xf>
    <xf numFmtId="279" fontId="239" fillId="22" borderId="65" applyProtection="0">
      <alignment vertical="center"/>
    </xf>
    <xf numFmtId="279" fontId="239" fillId="22" borderId="65" applyProtection="0">
      <alignment vertical="center"/>
    </xf>
    <xf numFmtId="0" fontId="8" fillId="0" borderId="0">
      <alignment horizontal="center" wrapText="1"/>
      <protection locked="0"/>
    </xf>
    <xf numFmtId="0" fontId="80" fillId="0" borderId="0">
      <alignment horizontal="center" wrapText="1"/>
      <protection locked="0"/>
    </xf>
    <xf numFmtId="0" fontId="8" fillId="0" borderId="0" applyNumberFormat="0" applyFill="0" applyBorder="0" applyAlignment="0" applyProtection="0"/>
    <xf numFmtId="0" fontId="55" fillId="0" borderId="0" applyNumberFormat="0" applyFill="0" applyBorder="0" applyAlignment="0" applyProtection="0"/>
    <xf numFmtId="1" fontId="8" fillId="27" borderId="0"/>
    <xf numFmtId="0" fontId="259" fillId="0" borderId="34"/>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1" fillId="46"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109"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1" fillId="46"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109"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109"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109"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260" fillId="50" borderId="0" applyNumberFormat="0" applyBorder="0" applyAlignment="0" applyProtection="0"/>
    <xf numFmtId="0" fontId="109" fillId="50" borderId="0" applyNumberFormat="0" applyBorder="0" applyAlignment="0" applyProtection="0"/>
    <xf numFmtId="3" fontId="262" fillId="24" borderId="0">
      <alignment horizontal="center" vertical="justify"/>
    </xf>
    <xf numFmtId="3" fontId="263" fillId="76" borderId="8">
      <alignment horizontal="center"/>
    </xf>
    <xf numFmtId="0" fontId="56" fillId="0" borderId="5" applyNumberFormat="0" applyFont="0" applyAlignment="0" applyProtection="0"/>
    <xf numFmtId="0" fontId="57" fillId="27" borderId="66">
      <alignment horizontal="center" vertical="center"/>
    </xf>
    <xf numFmtId="0" fontId="57" fillId="27" borderId="67">
      <alignment horizontal="center"/>
    </xf>
    <xf numFmtId="280" fontId="264" fillId="17" borderId="68">
      <alignment horizontal="center" vertical="center" wrapText="1"/>
    </xf>
    <xf numFmtId="0" fontId="265" fillId="0" borderId="0">
      <alignment vertical="center"/>
    </xf>
    <xf numFmtId="280" fontId="266" fillId="17" borderId="68">
      <alignment horizontal="left" vertical="center" wrapText="1"/>
    </xf>
    <xf numFmtId="0" fontId="267" fillId="17" borderId="0">
      <alignment horizontal="center"/>
    </xf>
    <xf numFmtId="280" fontId="268" fillId="17" borderId="68">
      <alignment horizontal="center" vertical="center" wrapText="1"/>
    </xf>
    <xf numFmtId="0" fontId="269" fillId="39" borderId="0">
      <alignment horizontal="left" vertical="center" indent="1"/>
    </xf>
    <xf numFmtId="0" fontId="269" fillId="39" borderId="0">
      <alignment horizontal="left" vertical="center" indent="1"/>
    </xf>
    <xf numFmtId="0" fontId="269" fillId="39" borderId="0">
      <alignment horizontal="left" vertical="center" indent="1"/>
    </xf>
    <xf numFmtId="0" fontId="269" fillId="39" borderId="0">
      <alignment horizontal="left" vertical="center" indent="1"/>
    </xf>
    <xf numFmtId="0" fontId="269" fillId="39" borderId="0">
      <alignment horizontal="left" vertical="center" indent="1"/>
    </xf>
    <xf numFmtId="0" fontId="269" fillId="39" borderId="0">
      <alignment horizontal="left" vertical="center" indent="1"/>
    </xf>
    <xf numFmtId="0" fontId="269" fillId="39" borderId="0">
      <alignment horizontal="left" vertical="center" indent="1"/>
    </xf>
    <xf numFmtId="0" fontId="269" fillId="39" borderId="0">
      <alignment horizontal="left" vertical="center" indent="1"/>
    </xf>
    <xf numFmtId="0" fontId="269" fillId="39" borderId="0">
      <alignment horizontal="left" vertical="center" indent="1"/>
    </xf>
    <xf numFmtId="0" fontId="269" fillId="39" borderId="0">
      <alignment horizontal="left" vertical="center" indent="1"/>
    </xf>
    <xf numFmtId="0" fontId="269" fillId="39" borderId="0">
      <alignment horizontal="left" vertical="center" indent="1"/>
    </xf>
    <xf numFmtId="0" fontId="269" fillId="39" borderId="0">
      <alignment horizontal="left" vertical="center" indent="1"/>
    </xf>
    <xf numFmtId="281" fontId="270" fillId="0" borderId="17" applyAlignment="0" applyProtection="0"/>
    <xf numFmtId="0" fontId="80" fillId="0" borderId="5" applyNumberFormat="0" applyFont="0" applyFill="0" applyAlignment="0" applyProtection="0"/>
    <xf numFmtId="0" fontId="80" fillId="0" borderId="69" applyNumberFormat="0" applyFont="0" applyFill="0" applyAlignment="0" applyProtection="0"/>
    <xf numFmtId="0" fontId="271" fillId="0" borderId="0" applyFont="0" applyFill="0" applyBorder="0" applyAlignment="0" applyProtection="0"/>
    <xf numFmtId="282" fontId="81" fillId="0" borderId="0" applyFill="0" applyBorder="0" applyAlignment="0"/>
    <xf numFmtId="282" fontId="81" fillId="0" borderId="0" applyFill="0" applyBorder="0" applyAlignment="0"/>
    <xf numFmtId="283" fontId="8" fillId="0" borderId="0" applyFill="0" applyBorder="0" applyAlignment="0"/>
    <xf numFmtId="284" fontId="55" fillId="0" borderId="0" applyFill="0" applyBorder="0" applyAlignment="0"/>
    <xf numFmtId="0" fontId="8" fillId="0" borderId="0" applyFill="0" applyBorder="0" applyAlignment="0"/>
    <xf numFmtId="285" fontId="55" fillId="0" borderId="0" applyFill="0" applyBorder="0" applyAlignment="0"/>
    <xf numFmtId="194" fontId="8" fillId="0" borderId="0" applyFill="0" applyBorder="0" applyAlignment="0"/>
    <xf numFmtId="286" fontId="55" fillId="0" borderId="0" applyFill="0" applyBorder="0" applyAlignment="0"/>
    <xf numFmtId="181" fontId="190" fillId="0" borderId="0" applyFill="0" applyBorder="0" applyAlignment="0"/>
    <xf numFmtId="287" fontId="55" fillId="0" borderId="0" applyFill="0" applyBorder="0" applyAlignment="0"/>
    <xf numFmtId="288" fontId="8" fillId="0" borderId="0" applyFill="0" applyBorder="0" applyAlignment="0"/>
    <xf numFmtId="289" fontId="55" fillId="0" borderId="0" applyFill="0" applyBorder="0" applyAlignment="0"/>
    <xf numFmtId="0" fontId="8" fillId="0" borderId="0" applyFill="0" applyBorder="0" applyAlignment="0"/>
    <xf numFmtId="290" fontId="55" fillId="0" borderId="0" applyFill="0" applyBorder="0" applyAlignment="0"/>
    <xf numFmtId="283" fontId="8" fillId="0" borderId="0" applyFill="0" applyBorder="0" applyAlignment="0"/>
    <xf numFmtId="284" fontId="55" fillId="0" borderId="0" applyFill="0" applyBorder="0" applyAlignment="0"/>
    <xf numFmtId="0" fontId="13" fillId="0" borderId="60" applyNumberFormat="0" applyAlignment="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3" fillId="77" borderId="5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110" fillId="17"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3" fillId="77" borderId="5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110" fillId="17"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110" fillId="17"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110" fillId="17" borderId="3" applyNumberFormat="0" applyAlignment="0" applyProtection="0"/>
    <xf numFmtId="0" fontId="272" fillId="22" borderId="3" applyNumberFormat="0" applyAlignment="0" applyProtection="0"/>
    <xf numFmtId="0" fontId="272" fillId="22" borderId="3" applyNumberFormat="0" applyAlignment="0" applyProtection="0"/>
    <xf numFmtId="0" fontId="272" fillId="22" borderId="3" applyNumberFormat="0" applyAlignment="0" applyProtection="0"/>
    <xf numFmtId="0" fontId="110" fillId="17" borderId="3" applyNumberFormat="0" applyAlignment="0" applyProtection="0"/>
    <xf numFmtId="0" fontId="66" fillId="0" borderId="0" applyNumberFormat="0" applyFill="0" applyBorder="0" applyAlignment="0"/>
    <xf numFmtId="37" fontId="274" fillId="78" borderId="0" applyNumberFormat="0" applyFont="0" applyBorder="0" applyAlignment="0">
      <alignment horizontal="center"/>
    </xf>
    <xf numFmtId="0" fontId="8" fillId="0" borderId="0"/>
    <xf numFmtId="291" fontId="54" fillId="0" borderId="0" applyFill="0" applyBorder="0" applyProtection="0">
      <alignment horizontal="center" vertical="center"/>
    </xf>
    <xf numFmtId="291" fontId="54" fillId="0" borderId="0" applyFill="0" applyBorder="0" applyProtection="0">
      <alignment horizontal="center" vertical="center"/>
    </xf>
    <xf numFmtId="0" fontId="8" fillId="0" borderId="0">
      <alignment horizontal="centerContinuous"/>
    </xf>
    <xf numFmtId="0" fontId="141" fillId="0" borderId="0" applyNumberFormat="0" applyFill="0" applyBorder="0" applyAlignment="0"/>
    <xf numFmtId="0" fontId="81" fillId="0" borderId="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275" fillId="79" borderId="56"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275" fillId="79" borderId="56"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111" fillId="39" borderId="4" applyNumberFormat="0" applyAlignment="0" applyProtection="0"/>
    <xf numFmtId="0" fontId="276" fillId="0" borderId="0" applyNumberFormat="0" applyFill="0" applyBorder="0" applyAlignment="0" applyProtection="0">
      <alignment vertical="top"/>
    </xf>
    <xf numFmtId="41" fontId="57" fillId="25" borderId="0">
      <alignment horizontal="left"/>
    </xf>
    <xf numFmtId="41" fontId="52" fillId="25" borderId="0">
      <alignment horizontal="right"/>
    </xf>
    <xf numFmtId="41" fontId="237" fillId="22" borderId="0">
      <alignment horizontal="center"/>
    </xf>
    <xf numFmtId="0" fontId="277" fillId="26" borderId="0"/>
    <xf numFmtId="41" fontId="52" fillId="25" borderId="0">
      <alignment horizontal="right"/>
    </xf>
    <xf numFmtId="41" fontId="278" fillId="22" borderId="0">
      <alignment horizontal="left"/>
    </xf>
    <xf numFmtId="292" fontId="55" fillId="0" borderId="0"/>
    <xf numFmtId="292" fontId="55" fillId="0" borderId="0"/>
    <xf numFmtId="292" fontId="55" fillId="0" borderId="0"/>
    <xf numFmtId="292" fontId="55" fillId="0" borderId="0"/>
    <xf numFmtId="292" fontId="55" fillId="0" borderId="0"/>
    <xf numFmtId="292" fontId="55" fillId="0" borderId="0"/>
    <xf numFmtId="292" fontId="55" fillId="0" borderId="0"/>
    <xf numFmtId="292" fontId="55" fillId="0" borderId="0"/>
    <xf numFmtId="288" fontId="8" fillId="0" borderId="0" applyFont="0" applyFill="0" applyBorder="0" applyAlignment="0" applyProtection="0"/>
    <xf numFmtId="289" fontId="55" fillId="0" borderId="0" applyFont="0" applyFill="0" applyBorder="0" applyAlignment="0" applyProtection="0"/>
    <xf numFmtId="38" fontId="279" fillId="0" borderId="0">
      <alignment horizontal="center"/>
      <protection locked="0"/>
    </xf>
    <xf numFmtId="0" fontId="8" fillId="0" borderId="0" applyFont="0" applyFill="0" applyBorder="0" applyAlignment="0" applyProtection="0">
      <alignment horizontal="right"/>
    </xf>
    <xf numFmtId="0" fontId="8" fillId="0" borderId="0" applyFont="0" applyFill="0" applyBorder="0" applyAlignment="0" applyProtection="0"/>
    <xf numFmtId="0" fontId="8" fillId="0" borderId="0" applyFont="0" applyFill="0" applyBorder="0" applyAlignment="0" applyProtection="0">
      <alignment horizontal="right"/>
    </xf>
    <xf numFmtId="43" fontId="8" fillId="0" borderId="0" applyFont="0" applyFill="0" applyBorder="0" applyAlignment="0" applyProtection="0"/>
    <xf numFmtId="0" fontId="8" fillId="0" borderId="0" applyFont="0" applyFill="0" applyBorder="0" applyAlignment="0" applyProtection="0">
      <alignment horizontal="right"/>
    </xf>
    <xf numFmtId="43" fontId="8" fillId="0" borderId="0" applyFont="0" applyFill="0" applyBorder="0" applyAlignment="0" applyProtection="0"/>
    <xf numFmtId="0" fontId="8" fillId="0" borderId="0" applyFont="0" applyFill="0" applyBorder="0" applyAlignment="0" applyProtection="0">
      <alignment horizontal="right"/>
    </xf>
    <xf numFmtId="43" fontId="8" fillId="0" borderId="0" applyFont="0" applyFill="0" applyBorder="0" applyAlignment="0" applyProtection="0"/>
    <xf numFmtId="0" fontId="8" fillId="0" borderId="0" applyFont="0" applyFill="0" applyBorder="0" applyAlignment="0" applyProtection="0">
      <alignment horizontal="right"/>
    </xf>
    <xf numFmtId="43" fontId="8" fillId="0" borderId="0" applyFont="0" applyFill="0" applyBorder="0" applyAlignment="0" applyProtection="0"/>
    <xf numFmtId="0" fontId="8" fillId="0" borderId="0" applyFont="0" applyFill="0" applyBorder="0" applyAlignment="0" applyProtection="0">
      <alignment horizontal="right"/>
    </xf>
    <xf numFmtId="43" fontId="8" fillId="0" borderId="0" applyFont="0" applyFill="0" applyBorder="0" applyAlignment="0" applyProtection="0"/>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43" fontId="8" fillId="0" borderId="0" applyFont="0" applyFill="0" applyBorder="0" applyAlignment="0" applyProtection="0"/>
    <xf numFmtId="43" fontId="8" fillId="0" borderId="0" applyFont="0" applyFill="0" applyBorder="0" applyAlignment="0" applyProtection="0"/>
    <xf numFmtId="43" fontId="10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07" fillId="0" borderId="0" applyFont="0" applyFill="0" applyBorder="0" applyAlignment="0" applyProtection="0"/>
    <xf numFmtId="43" fontId="8" fillId="0" borderId="0" applyFont="0" applyFill="0" applyBorder="0" applyAlignment="0" applyProtection="0"/>
    <xf numFmtId="43" fontId="10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applyFont="0" applyFill="0" applyBorder="0" applyAlignment="0" applyProtection="0">
      <alignment horizontal="right"/>
    </xf>
    <xf numFmtId="43" fontId="8" fillId="0" borderId="0" applyFont="0" applyFill="0" applyBorder="0" applyAlignment="0" applyProtection="0"/>
    <xf numFmtId="43" fontId="8" fillId="0" borderId="0" applyFont="0" applyFill="0" applyBorder="0" applyAlignment="0" applyProtection="0"/>
    <xf numFmtId="0" fontId="8" fillId="0" borderId="0" applyFont="0" applyFill="0" applyBorder="0" applyAlignment="0" applyProtection="0">
      <alignment horizontal="right"/>
    </xf>
    <xf numFmtId="43" fontId="8" fillId="0" borderId="0" applyFont="0" applyFill="0" applyBorder="0" applyAlignment="0" applyProtection="0"/>
    <xf numFmtId="43" fontId="10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applyFont="0" applyFill="0" applyBorder="0" applyAlignment="0" applyProtection="0">
      <alignment horizontal="right"/>
    </xf>
    <xf numFmtId="43" fontId="8" fillId="0" borderId="0" applyFont="0" applyFill="0" applyBorder="0" applyAlignment="0" applyProtection="0"/>
    <xf numFmtId="0" fontId="8" fillId="0" borderId="0" applyFont="0" applyFill="0" applyBorder="0" applyAlignment="0" applyProtection="0">
      <alignment horizontal="right"/>
    </xf>
    <xf numFmtId="43" fontId="8" fillId="0" borderId="0" applyFont="0" applyFill="0" applyBorder="0" applyAlignment="0" applyProtection="0"/>
    <xf numFmtId="0" fontId="8" fillId="0" borderId="0" applyFont="0" applyFill="0" applyBorder="0" applyAlignment="0" applyProtection="0">
      <alignment horizontal="right"/>
    </xf>
    <xf numFmtId="43" fontId="8" fillId="0" borderId="0" applyFont="0" applyFill="0" applyBorder="0" applyAlignment="0" applyProtection="0"/>
    <xf numFmtId="0" fontId="8" fillId="0" borderId="0" applyFont="0" applyFill="0" applyBorder="0" applyAlignment="0" applyProtection="0">
      <alignment horizontal="right"/>
    </xf>
    <xf numFmtId="43" fontId="8" fillId="0" borderId="0" applyFont="0" applyFill="0" applyBorder="0" applyAlignment="0" applyProtection="0"/>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66"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66"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07" fillId="0" borderId="0" applyFont="0" applyFill="0" applyBorder="0" applyAlignment="0" applyProtection="0"/>
    <xf numFmtId="43" fontId="8" fillId="0" borderId="0" applyFont="0" applyFill="0" applyBorder="0" applyAlignment="0" applyProtection="0"/>
    <xf numFmtId="166" fontId="8" fillId="0" borderId="0" applyFont="0" applyFill="0" applyBorder="0" applyAlignment="0" applyProtection="0"/>
    <xf numFmtId="43" fontId="107" fillId="0" borderId="0" applyFont="0" applyFill="0" applyBorder="0" applyAlignment="0" applyProtection="0"/>
    <xf numFmtId="166" fontId="8" fillId="0" borderId="0" applyFont="0" applyFill="0" applyBorder="0" applyAlignment="0" applyProtection="0"/>
    <xf numFmtId="257" fontId="8" fillId="0" borderId="0" applyFont="0" applyFill="0" applyBorder="0" applyAlignment="0" applyProtection="0"/>
    <xf numFmtId="257" fontId="8" fillId="0" borderId="0" applyFont="0" applyFill="0" applyBorder="0" applyAlignment="0" applyProtection="0"/>
    <xf numFmtId="257" fontId="8" fillId="0" borderId="0" applyFont="0" applyFill="0" applyBorder="0" applyAlignment="0" applyProtection="0"/>
    <xf numFmtId="257"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0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0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8" fillId="0" borderId="0" applyFont="0" applyFill="0" applyBorder="0" applyAlignment="0" applyProtection="0"/>
    <xf numFmtId="183" fontId="8" fillId="0" borderId="0" applyFont="0" applyFill="0" applyBorder="0" applyAlignment="0" applyProtection="0"/>
    <xf numFmtId="18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84" fontId="26" fillId="0" borderId="0"/>
    <xf numFmtId="3" fontId="8" fillId="0" borderId="0" applyFont="0" applyFill="0" applyBorder="0" applyAlignment="0" applyProtection="0"/>
    <xf numFmtId="3" fontId="55" fillId="0" borderId="0" applyFont="0" applyFill="0" applyBorder="0" applyAlignment="0" applyProtection="0"/>
    <xf numFmtId="0" fontId="8" fillId="0" borderId="0" applyNumberFormat="0" applyAlignment="0">
      <alignment horizontal="left"/>
    </xf>
    <xf numFmtId="0" fontId="206" fillId="0" borderId="0" applyNumberFormat="0" applyAlignment="0">
      <alignment horizontal="left"/>
    </xf>
    <xf numFmtId="3" fontId="8" fillId="17" borderId="0">
      <protection hidden="1"/>
    </xf>
    <xf numFmtId="3" fontId="8" fillId="17" borderId="0">
      <protection hidden="1"/>
    </xf>
    <xf numFmtId="3" fontId="8" fillId="17" borderId="0">
      <protection hidden="1"/>
    </xf>
    <xf numFmtId="3" fontId="8" fillId="17" borderId="0">
      <protection hidden="1"/>
    </xf>
    <xf numFmtId="3" fontId="8" fillId="17" borderId="0">
      <protection hidden="1"/>
    </xf>
    <xf numFmtId="3" fontId="8" fillId="17" borderId="0">
      <protection hidden="1"/>
    </xf>
    <xf numFmtId="3" fontId="8" fillId="17" borderId="0">
      <protection hidden="1"/>
    </xf>
    <xf numFmtId="3" fontId="8" fillId="17" borderId="0">
      <protection hidden="1"/>
    </xf>
    <xf numFmtId="3" fontId="8" fillId="17" borderId="0">
      <protection hidden="1"/>
    </xf>
    <xf numFmtId="3" fontId="8" fillId="17" borderId="0">
      <protection hidden="1"/>
    </xf>
    <xf numFmtId="3" fontId="8" fillId="17" borderId="0">
      <protection hidden="1"/>
    </xf>
    <xf numFmtId="3" fontId="8" fillId="17" borderId="0">
      <protection hidden="1"/>
    </xf>
    <xf numFmtId="0" fontId="8" fillId="17" borderId="0">
      <protection hidden="1"/>
    </xf>
    <xf numFmtId="0" fontId="8" fillId="17" borderId="0">
      <protection hidden="1"/>
    </xf>
    <xf numFmtId="0" fontId="8" fillId="17" borderId="0">
      <protection hidden="1"/>
    </xf>
    <xf numFmtId="0" fontId="8" fillId="17" borderId="0">
      <protection hidden="1"/>
    </xf>
    <xf numFmtId="0" fontId="8" fillId="17" borderId="0">
      <protection hidden="1"/>
    </xf>
    <xf numFmtId="0" fontId="8" fillId="17" borderId="0">
      <protection hidden="1"/>
    </xf>
    <xf numFmtId="0" fontId="8" fillId="17" borderId="0">
      <protection hidden="1"/>
    </xf>
    <xf numFmtId="0" fontId="8" fillId="17" borderId="0">
      <protection hidden="1"/>
    </xf>
    <xf numFmtId="0" fontId="8" fillId="17" borderId="0">
      <protection hidden="1"/>
    </xf>
    <xf numFmtId="0" fontId="8" fillId="17" borderId="0">
      <protection hidden="1"/>
    </xf>
    <xf numFmtId="0" fontId="8" fillId="17" borderId="0">
      <protection hidden="1"/>
    </xf>
    <xf numFmtId="0" fontId="8" fillId="17" borderId="0">
      <protection hidden="1"/>
    </xf>
    <xf numFmtId="0" fontId="8" fillId="17" borderId="0">
      <protection hidden="1"/>
    </xf>
    <xf numFmtId="0" fontId="280" fillId="17" borderId="0">
      <protection hidden="1"/>
    </xf>
    <xf numFmtId="0" fontId="280" fillId="17" borderId="0">
      <protection hidden="1"/>
    </xf>
    <xf numFmtId="0" fontId="280" fillId="17" borderId="0">
      <protection hidden="1"/>
    </xf>
    <xf numFmtId="0" fontId="280" fillId="17" borderId="0">
      <protection hidden="1"/>
    </xf>
    <xf numFmtId="0" fontId="280" fillId="17" borderId="0">
      <protection hidden="1"/>
    </xf>
    <xf numFmtId="0" fontId="280" fillId="17" borderId="0">
      <protection hidden="1"/>
    </xf>
    <xf numFmtId="0" fontId="280" fillId="17" borderId="0">
      <protection hidden="1"/>
    </xf>
    <xf numFmtId="0" fontId="280" fillId="17" borderId="0">
      <protection hidden="1"/>
    </xf>
    <xf numFmtId="0" fontId="280" fillId="17" borderId="0">
      <protection hidden="1"/>
    </xf>
    <xf numFmtId="0" fontId="280" fillId="17" borderId="0">
      <protection hidden="1"/>
    </xf>
    <xf numFmtId="0" fontId="280" fillId="17" borderId="0">
      <protection hidden="1"/>
    </xf>
    <xf numFmtId="0" fontId="280" fillId="17" borderId="0">
      <protection hidden="1"/>
    </xf>
    <xf numFmtId="293" fontId="67" fillId="17" borderId="0">
      <protection hidden="1"/>
    </xf>
    <xf numFmtId="293" fontId="67" fillId="17" borderId="0">
      <protection hidden="1"/>
    </xf>
    <xf numFmtId="293" fontId="67" fillId="17" borderId="0">
      <protection hidden="1"/>
    </xf>
    <xf numFmtId="293" fontId="67" fillId="17" borderId="0">
      <protection hidden="1"/>
    </xf>
    <xf numFmtId="293" fontId="67" fillId="17" borderId="0">
      <protection hidden="1"/>
    </xf>
    <xf numFmtId="293" fontId="67" fillId="17" borderId="0">
      <protection hidden="1"/>
    </xf>
    <xf numFmtId="293" fontId="67" fillId="17" borderId="0">
      <protection hidden="1"/>
    </xf>
    <xf numFmtId="293" fontId="67" fillId="17" borderId="0">
      <protection hidden="1"/>
    </xf>
    <xf numFmtId="293" fontId="67" fillId="17" borderId="0">
      <protection hidden="1"/>
    </xf>
    <xf numFmtId="293" fontId="67" fillId="17" borderId="0">
      <protection hidden="1"/>
    </xf>
    <xf numFmtId="293" fontId="67" fillId="17" borderId="0">
      <protection hidden="1"/>
    </xf>
    <xf numFmtId="293" fontId="67" fillId="17" borderId="0">
      <protection hidden="1"/>
    </xf>
    <xf numFmtId="0" fontId="8" fillId="17" borderId="0">
      <protection hidden="1"/>
    </xf>
    <xf numFmtId="0" fontId="190" fillId="0" borderId="0" applyNumberFormat="0" applyAlignment="0"/>
    <xf numFmtId="6" fontId="35" fillId="0" borderId="0" applyFont="0" applyFill="0" applyBorder="0" applyAlignment="0" applyProtection="0"/>
    <xf numFmtId="283" fontId="8" fillId="0" borderId="0" applyFont="0" applyFill="0" applyBorder="0" applyAlignment="0" applyProtection="0"/>
    <xf numFmtId="284" fontId="55" fillId="0" borderId="0" applyFont="0" applyFill="0" applyBorder="0" applyAlignment="0" applyProtection="0"/>
    <xf numFmtId="186" fontId="31" fillId="0" borderId="0"/>
    <xf numFmtId="8" fontId="281" fillId="0" borderId="70">
      <protection locked="0"/>
    </xf>
    <xf numFmtId="0" fontId="8" fillId="0" borderId="0" applyFont="0" applyFill="0" applyBorder="0" applyAlignment="0" applyProtection="0">
      <alignment horizontal="right"/>
    </xf>
    <xf numFmtId="44" fontId="8" fillId="0" borderId="0" applyFont="0" applyFill="0" applyBorder="0" applyAlignment="0" applyProtection="0"/>
    <xf numFmtId="44" fontId="107"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0" fontId="8" fillId="0" borderId="0" applyFont="0" applyFill="0" applyBorder="0" applyAlignment="0" applyProtection="0">
      <alignment horizontal="right"/>
    </xf>
    <xf numFmtId="44" fontId="107" fillId="0" borderId="0" applyFont="0" applyFill="0" applyBorder="0" applyAlignment="0" applyProtection="0"/>
    <xf numFmtId="44" fontId="107" fillId="0" borderId="0" applyFont="0" applyFill="0" applyBorder="0" applyAlignment="0" applyProtection="0"/>
    <xf numFmtId="44" fontId="107" fillId="0" borderId="0" applyFont="0" applyFill="0" applyBorder="0" applyAlignment="0" applyProtection="0"/>
    <xf numFmtId="44" fontId="8" fillId="0" borderId="0" applyFont="0" applyFill="0" applyBorder="0" applyAlignment="0" applyProtection="0"/>
    <xf numFmtId="294" fontId="282" fillId="0" borderId="0" applyFont="0" applyFill="0" applyBorder="0" applyAlignment="0" applyProtection="0"/>
    <xf numFmtId="295" fontId="55" fillId="0" borderId="0" applyFont="0" applyFill="0" applyBorder="0" applyAlignment="0" applyProtection="0"/>
    <xf numFmtId="253" fontId="26" fillId="0" borderId="0"/>
    <xf numFmtId="49" fontId="283" fillId="80" borderId="0">
      <alignment vertical="center"/>
    </xf>
    <xf numFmtId="296" fontId="8" fillId="0" borderId="0" applyNumberFormat="0" applyFont="0" applyBorder="0" applyAlignment="0">
      <alignment horizontal="centerContinuous"/>
    </xf>
    <xf numFmtId="3" fontId="284" fillId="0" borderId="0"/>
    <xf numFmtId="0" fontId="26" fillId="0" borderId="0" applyNumberFormat="0" applyFont="0" applyBorder="0" applyAlignment="0"/>
    <xf numFmtId="17" fontId="285" fillId="0" borderId="71">
      <alignment horizontal="center" vertical="center"/>
    </xf>
    <xf numFmtId="0" fontId="8" fillId="0" borderId="0" applyFont="0" applyFill="0" applyBorder="0" applyAlignment="0" applyProtection="0"/>
    <xf numFmtId="297" fontId="8" fillId="0" borderId="72" applyFont="0" applyFill="0" applyAlignment="0" applyProtection="0"/>
    <xf numFmtId="298" fontId="8" fillId="0" borderId="0" applyFont="0" applyFill="0" applyAlignment="0" applyProtection="0"/>
    <xf numFmtId="213" fontId="8" fillId="0" borderId="16"/>
    <xf numFmtId="0" fontId="80" fillId="0" borderId="0" applyFont="0" applyFill="0" applyBorder="0" applyProtection="0">
      <alignment horizontal="right"/>
    </xf>
    <xf numFmtId="0" fontId="8" fillId="0" borderId="0" applyFont="0" applyFill="0" applyBorder="0" applyAlignment="0" applyProtection="0"/>
    <xf numFmtId="16" fontId="81" fillId="0" borderId="0" applyFont="0" applyFill="0" applyBorder="0" applyAlignment="0" applyProtection="0"/>
    <xf numFmtId="15" fontId="81" fillId="0" borderId="0" applyFont="0" applyFill="0" applyBorder="0" applyAlignment="0" applyProtection="0"/>
    <xf numFmtId="17" fontId="81" fillId="0" borderId="0" applyFont="0" applyFill="0" applyBorder="0" applyAlignment="0" applyProtection="0"/>
    <xf numFmtId="14" fontId="81" fillId="0" borderId="0" applyFill="0" applyBorder="0" applyAlignment="0"/>
    <xf numFmtId="0" fontId="80" fillId="0" borderId="0" applyFont="0" applyFill="0" applyBorder="0" applyProtection="0">
      <alignment horizontal="right"/>
    </xf>
    <xf numFmtId="299" fontId="59" fillId="0" borderId="0" applyFill="0" applyBorder="0">
      <alignment horizontal="right"/>
    </xf>
    <xf numFmtId="0" fontId="269" fillId="0" borderId="73">
      <alignment horizontal="center" vertical="center"/>
    </xf>
    <xf numFmtId="0" fontId="269" fillId="0" borderId="73" applyBorder="0">
      <alignment horizontal="center" vertical="center"/>
    </xf>
    <xf numFmtId="0" fontId="286" fillId="0" borderId="0" applyNumberFormat="0" applyFont="0" applyFill="0" applyBorder="0" applyAlignment="0" applyProtection="0">
      <alignment horizontal="left"/>
    </xf>
    <xf numFmtId="0" fontId="8" fillId="0" borderId="0"/>
    <xf numFmtId="0" fontId="280" fillId="0" borderId="0">
      <protection hidden="1"/>
    </xf>
    <xf numFmtId="0" fontId="8" fillId="0" borderId="0">
      <protection hidden="1"/>
    </xf>
    <xf numFmtId="0" fontId="287" fillId="0" borderId="0">
      <protection hidden="1"/>
    </xf>
    <xf numFmtId="300" fontId="31" fillId="81" borderId="0">
      <alignment horizontal="right"/>
    </xf>
    <xf numFmtId="0" fontId="157" fillId="0" borderId="0"/>
    <xf numFmtId="301" fontId="8" fillId="0" borderId="74">
      <alignment vertical="center"/>
    </xf>
    <xf numFmtId="15" fontId="135" fillId="82" borderId="0" applyNumberFormat="0" applyFont="0" applyBorder="0" applyAlignment="0" applyProtection="0"/>
    <xf numFmtId="3" fontId="280" fillId="0" borderId="75"/>
    <xf numFmtId="302" fontId="8" fillId="0" borderId="0" applyFont="0" applyFill="0" applyAlignment="0" applyProtection="0"/>
    <xf numFmtId="303" fontId="8" fillId="0" borderId="0" applyFont="0" applyFill="0" applyAlignment="0" applyProtection="0"/>
    <xf numFmtId="183" fontId="31" fillId="22" borderId="0"/>
    <xf numFmtId="183" fontId="59" fillId="22" borderId="0"/>
    <xf numFmtId="0" fontId="238" fillId="0" borderId="0"/>
    <xf numFmtId="304" fontId="8" fillId="0" borderId="0"/>
    <xf numFmtId="0" fontId="288" fillId="0" borderId="0"/>
    <xf numFmtId="305" fontId="8" fillId="0" borderId="0"/>
    <xf numFmtId="305" fontId="8" fillId="0" borderId="8"/>
    <xf numFmtId="305" fontId="8" fillId="0" borderId="33"/>
    <xf numFmtId="305" fontId="8" fillId="0" borderId="5"/>
    <xf numFmtId="305" fontId="8" fillId="0" borderId="17"/>
    <xf numFmtId="0" fontId="8" fillId="0" borderId="76"/>
    <xf numFmtId="0" fontId="8" fillId="0" borderId="77" applyNumberFormat="0" applyFont="0" applyFill="0" applyAlignment="0" applyProtection="0"/>
    <xf numFmtId="277" fontId="289" fillId="81" borderId="0">
      <alignment horizontal="right"/>
    </xf>
    <xf numFmtId="182" fontId="290" fillId="0" borderId="0" applyFill="0" applyBorder="0" applyAlignment="0" applyProtection="0"/>
    <xf numFmtId="0" fontId="8" fillId="58" borderId="8" applyNumberFormat="0" applyFont="0" applyAlignment="0" applyProtection="0">
      <alignment horizontal="center"/>
    </xf>
    <xf numFmtId="0" fontId="291" fillId="20" borderId="0" applyNumberFormat="0">
      <protection locked="0"/>
    </xf>
    <xf numFmtId="0" fontId="291" fillId="20" borderId="0" applyNumberFormat="0">
      <protection locked="0"/>
    </xf>
    <xf numFmtId="0" fontId="291" fillId="20" borderId="0" applyNumberFormat="0">
      <protection locked="0"/>
    </xf>
    <xf numFmtId="0" fontId="291" fillId="20" borderId="0" applyNumberFormat="0">
      <protection locked="0"/>
    </xf>
    <xf numFmtId="0" fontId="291" fillId="20" borderId="0" applyNumberFormat="0">
      <protection locked="0"/>
    </xf>
    <xf numFmtId="0" fontId="291" fillId="20" borderId="0" applyNumberFormat="0">
      <protection locked="0"/>
    </xf>
    <xf numFmtId="0" fontId="291" fillId="20" borderId="0" applyNumberFormat="0">
      <protection locked="0"/>
    </xf>
    <xf numFmtId="0" fontId="291" fillId="20" borderId="0" applyNumberFormat="0">
      <protection locked="0"/>
    </xf>
    <xf numFmtId="0" fontId="291" fillId="20" borderId="0" applyNumberFormat="0">
      <protection locked="0"/>
    </xf>
    <xf numFmtId="0" fontId="291" fillId="20" borderId="0" applyNumberFormat="0">
      <protection locked="0"/>
    </xf>
    <xf numFmtId="0" fontId="291" fillId="20" borderId="0" applyNumberFormat="0">
      <protection locked="0"/>
    </xf>
    <xf numFmtId="0" fontId="291" fillId="20" borderId="0" applyNumberFormat="0">
      <protection locked="0"/>
    </xf>
    <xf numFmtId="306" fontId="8" fillId="0" borderId="0" applyFill="0" applyBorder="0" applyAlignment="0"/>
    <xf numFmtId="289" fontId="55" fillId="0" borderId="0" applyFill="0" applyBorder="0" applyAlignment="0"/>
    <xf numFmtId="283" fontId="8" fillId="0" borderId="0" applyFill="0" applyBorder="0" applyAlignment="0"/>
    <xf numFmtId="284" fontId="55" fillId="0" borderId="0" applyFill="0" applyBorder="0" applyAlignment="0"/>
    <xf numFmtId="288" fontId="8" fillId="0" borderId="0" applyFill="0" applyBorder="0" applyAlignment="0"/>
    <xf numFmtId="289" fontId="55" fillId="0" borderId="0" applyFill="0" applyBorder="0" applyAlignment="0"/>
    <xf numFmtId="0" fontId="8" fillId="0" borderId="0" applyFill="0" applyBorder="0" applyAlignment="0"/>
    <xf numFmtId="290" fontId="55" fillId="0" borderId="0" applyFill="0" applyBorder="0" applyAlignment="0"/>
    <xf numFmtId="283" fontId="8" fillId="0" borderId="0" applyFill="0" applyBorder="0" applyAlignment="0"/>
    <xf numFmtId="284" fontId="55" fillId="0" borderId="0" applyFill="0" applyBorder="0" applyAlignment="0"/>
    <xf numFmtId="0" fontId="8" fillId="0" borderId="0" applyNumberFormat="0" applyAlignment="0">
      <alignment horizontal="left"/>
    </xf>
    <xf numFmtId="0" fontId="208" fillId="0" borderId="0" applyNumberFormat="0" applyAlignment="0">
      <alignment horizontal="left"/>
    </xf>
    <xf numFmtId="0" fontId="292" fillId="0" borderId="0"/>
    <xf numFmtId="168" fontId="292" fillId="0" borderId="0"/>
    <xf numFmtId="179" fontId="292" fillId="0" borderId="0"/>
    <xf numFmtId="307" fontId="8" fillId="0" borderId="0" applyFont="0" applyFill="0" applyBorder="0" applyAlignment="0" applyProtection="0"/>
    <xf numFmtId="307" fontId="8" fillId="0" borderId="0" applyFont="0" applyFill="0" applyBorder="0" applyAlignment="0" applyProtection="0"/>
    <xf numFmtId="308" fontId="293" fillId="0" borderId="0" applyFont="0" applyFill="0" applyBorder="0" applyAlignment="0" applyProtection="0"/>
    <xf numFmtId="308" fontId="293" fillId="0" borderId="0" applyFont="0" applyFill="0" applyBorder="0" applyAlignment="0" applyProtection="0"/>
    <xf numFmtId="308" fontId="293" fillId="0" borderId="0" applyFont="0" applyFill="0" applyBorder="0" applyAlignment="0" applyProtection="0"/>
    <xf numFmtId="309" fontId="8" fillId="0" borderId="0" applyFont="0" applyFill="0" applyBorder="0" applyAlignment="0" applyProtection="0"/>
    <xf numFmtId="309" fontId="8" fillId="0" borderId="0" applyFon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294"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8" fillId="0" borderId="0" applyFont="0" applyFill="0" applyAlignment="0" applyProtection="0"/>
    <xf numFmtId="0" fontId="8" fillId="0" borderId="0" applyFont="0" applyFill="0" applyAlignment="0" applyProtection="0"/>
    <xf numFmtId="0" fontId="269" fillId="0" borderId="2"/>
    <xf numFmtId="3" fontId="295" fillId="0" borderId="0" applyNumberFormat="0" applyFont="0" applyFill="0" applyBorder="0" applyAlignment="0" applyProtection="0">
      <alignment horizontal="left"/>
    </xf>
    <xf numFmtId="2" fontId="8" fillId="0" borderId="0" applyFont="0" applyFill="0" applyBorder="0" applyAlignment="0" applyProtection="0"/>
    <xf numFmtId="310" fontId="8" fillId="0" borderId="0" applyFont="0" applyFill="0" applyAlignment="0"/>
    <xf numFmtId="0" fontId="31" fillId="0" borderId="8" applyFont="0" applyFill="0" applyBorder="0" applyAlignment="0" applyProtection="0"/>
    <xf numFmtId="0" fontId="296" fillId="0" borderId="0" applyFill="0" applyBorder="0" applyProtection="0">
      <alignment horizontal="left"/>
    </xf>
    <xf numFmtId="0" fontId="283" fillId="83" borderId="0">
      <alignment horizontal="right" vertical="center"/>
    </xf>
    <xf numFmtId="0" fontId="297" fillId="0" borderId="0"/>
    <xf numFmtId="0" fontId="31" fillId="0" borderId="0">
      <protection hidden="1"/>
    </xf>
    <xf numFmtId="0" fontId="298" fillId="0" borderId="0" applyNumberFormat="0" applyFill="0" applyBorder="0" applyAlignment="0" applyProtection="0"/>
    <xf numFmtId="311" fontId="8" fillId="0" borderId="0" applyAlignment="0">
      <alignment horizontal="right"/>
    </xf>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299" fillId="84"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299" fillId="84"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113" fillId="18" borderId="0" applyNumberFormat="0" applyBorder="0" applyAlignment="0" applyProtection="0"/>
    <xf numFmtId="0" fontId="300" fillId="0" borderId="0">
      <protection hidden="1"/>
    </xf>
    <xf numFmtId="0" fontId="8" fillId="0" borderId="0" applyFont="0" applyFill="0" applyBorder="0" applyAlignment="0" applyProtection="0">
      <alignment horizontal="right"/>
    </xf>
    <xf numFmtId="0" fontId="8" fillId="0" borderId="0" applyNumberFormat="0" applyFill="0" applyBorder="0" applyAlignment="0" applyProtection="0"/>
    <xf numFmtId="0" fontId="301" fillId="0" borderId="0" applyProtection="0">
      <alignment horizontal="right"/>
    </xf>
    <xf numFmtId="279" fontId="302" fillId="0" borderId="78">
      <alignment vertical="center"/>
    </xf>
    <xf numFmtId="279" fontId="303" fillId="24" borderId="44">
      <alignment horizontal="left" vertical="center" indent="1"/>
    </xf>
    <xf numFmtId="0" fontId="302" fillId="0" borderId="79" applyNumberFormat="0" applyFill="0">
      <alignment horizontal="center" vertical="top"/>
    </xf>
    <xf numFmtId="0" fontId="304" fillId="22" borderId="80" applyNumberFormat="0">
      <alignment horizontal="left" vertical="center" indent="1"/>
    </xf>
    <xf numFmtId="0" fontId="304" fillId="22" borderId="80" applyNumberFormat="0">
      <alignment horizontal="left" vertical="center" indent="1"/>
    </xf>
    <xf numFmtId="0" fontId="304" fillId="22" borderId="80" applyNumberFormat="0">
      <alignment horizontal="left" vertical="center" indent="1"/>
    </xf>
    <xf numFmtId="0" fontId="304" fillId="22" borderId="80" applyNumberFormat="0">
      <alignment horizontal="left" vertical="center" indent="1"/>
    </xf>
    <xf numFmtId="0" fontId="304" fillId="22" borderId="80" applyNumberFormat="0">
      <alignment horizontal="left" vertical="center" indent="1"/>
    </xf>
    <xf numFmtId="0" fontId="304" fillId="22" borderId="80" applyNumberFormat="0">
      <alignment horizontal="left" vertical="center" indent="1"/>
    </xf>
    <xf numFmtId="0" fontId="304" fillId="22" borderId="80" applyNumberFormat="0">
      <alignment horizontal="left" vertical="center" indent="1"/>
    </xf>
    <xf numFmtId="0" fontId="304" fillId="22" borderId="80" applyNumberFormat="0">
      <alignment horizontal="left" vertical="center" indent="1"/>
    </xf>
    <xf numFmtId="0" fontId="304" fillId="22" borderId="80" applyNumberFormat="0">
      <alignment horizontal="left" vertical="center" indent="1"/>
    </xf>
    <xf numFmtId="0" fontId="304" fillId="22" borderId="80" applyNumberFormat="0">
      <alignment horizontal="left" vertical="center" indent="1"/>
    </xf>
    <xf numFmtId="0" fontId="304" fillId="22" borderId="80" applyNumberFormat="0">
      <alignment horizontal="left" vertical="center" indent="1"/>
    </xf>
    <xf numFmtId="0" fontId="304" fillId="22" borderId="80" applyNumberFormat="0">
      <alignment horizontal="left" vertical="center" indent="1"/>
    </xf>
    <xf numFmtId="0" fontId="305" fillId="20" borderId="0" applyNumberFormat="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307" fillId="0" borderId="50"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240" fillId="0" borderId="58"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240" fillId="0" borderId="58"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240" fillId="0" borderId="58"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114" fillId="0" borderId="81" applyNumberFormat="0" applyFill="0" applyAlignment="0" applyProtection="0"/>
    <xf numFmtId="0" fontId="306" fillId="0" borderId="0"/>
    <xf numFmtId="0" fontId="114" fillId="0" borderId="81" applyNumberFormat="0" applyFill="0" applyAlignment="0" applyProtection="0"/>
    <xf numFmtId="0" fontId="240" fillId="0" borderId="58"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114" fillId="0" borderId="81" applyNumberFormat="0" applyFill="0" applyAlignment="0" applyProtection="0"/>
    <xf numFmtId="0" fontId="306" fillId="0" borderId="0"/>
    <xf numFmtId="0" fontId="305" fillId="20" borderId="0" applyNumberFormat="0" applyAlignment="0" applyProtection="0"/>
    <xf numFmtId="0" fontId="305" fillId="20" borderId="0" applyNumberFormat="0" applyAlignment="0" applyProtection="0"/>
    <xf numFmtId="0" fontId="305" fillId="20" borderId="0" applyNumberFormat="0" applyAlignment="0" applyProtection="0"/>
    <xf numFmtId="0" fontId="305" fillId="20" borderId="0" applyNumberFormat="0" applyAlignment="0" applyProtection="0"/>
    <xf numFmtId="0" fontId="305" fillId="20" borderId="0" applyNumberFormat="0" applyAlignment="0" applyProtection="0"/>
    <xf numFmtId="0" fontId="305" fillId="20" borderId="0" applyNumberFormat="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309" fillId="0" borderId="51"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241" fillId="0" borderId="11"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241" fillId="0" borderId="11"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241" fillId="0" borderId="11"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5" fillId="0" borderId="82" applyNumberFormat="0" applyFill="0" applyAlignment="0" applyProtection="0"/>
    <xf numFmtId="0" fontId="241" fillId="0" borderId="11"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115" fillId="0" borderId="82" applyNumberFormat="0" applyFill="0" applyAlignment="0" applyProtection="0"/>
    <xf numFmtId="0" fontId="308"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311" fillId="0" borderId="52"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242" fillId="0" borderId="59"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242" fillId="0" borderId="59"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242" fillId="0" borderId="59"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83" applyNumberFormat="0" applyFill="0" applyAlignment="0" applyProtection="0"/>
    <xf numFmtId="0" fontId="242" fillId="0" borderId="59"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116" fillId="0" borderId="83" applyNumberFormat="0" applyFill="0" applyAlignment="0" applyProtection="0"/>
    <xf numFmtId="0" fontId="310" fillId="0" borderId="0" applyProtection="0">
      <alignment horizontal="left"/>
    </xf>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1"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242"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242"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242"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116" fillId="0" borderId="0" applyNumberFormat="0" applyFill="0" applyBorder="0" applyAlignment="0" applyProtection="0"/>
    <xf numFmtId="0" fontId="242"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312" fillId="0" borderId="0" applyNumberFormat="0" applyAlignment="0" applyProtection="0"/>
    <xf numFmtId="0" fontId="305" fillId="20" borderId="0" applyNumberFormat="0" applyAlignment="0" applyProtection="0"/>
    <xf numFmtId="0" fontId="305" fillId="20" borderId="0" applyNumberFormat="0" applyAlignment="0" applyProtection="0"/>
    <xf numFmtId="0" fontId="305" fillId="20" borderId="0" applyNumberFormat="0" applyAlignment="0" applyProtection="0"/>
    <xf numFmtId="0" fontId="305" fillId="20" borderId="0" applyNumberFormat="0" applyAlignment="0" applyProtection="0"/>
    <xf numFmtId="0" fontId="305" fillId="20" borderId="0" applyNumberFormat="0" applyAlignment="0" applyProtection="0"/>
    <xf numFmtId="0" fontId="313" fillId="0" borderId="0" applyNumberFormat="0">
      <protection locked="0"/>
    </xf>
    <xf numFmtId="179" fontId="31" fillId="0" borderId="2">
      <alignment horizontal="right" vertical="center"/>
    </xf>
    <xf numFmtId="312" fontId="26" fillId="0" borderId="0">
      <protection locked="0"/>
    </xf>
    <xf numFmtId="313" fontId="56" fillId="0" borderId="0"/>
    <xf numFmtId="312" fontId="26" fillId="0" borderId="0">
      <protection locked="0"/>
    </xf>
    <xf numFmtId="0" fontId="26" fillId="0" borderId="0"/>
    <xf numFmtId="0" fontId="8" fillId="0" borderId="5">
      <alignment horizontal="center"/>
    </xf>
    <xf numFmtId="0" fontId="314" fillId="0" borderId="5">
      <alignment horizontal="center"/>
    </xf>
    <xf numFmtId="0" fontId="8" fillId="0" borderId="0">
      <alignment horizontal="center"/>
    </xf>
    <xf numFmtId="0" fontId="314" fillId="0" borderId="0">
      <alignment horizontal="center"/>
    </xf>
    <xf numFmtId="0" fontId="315" fillId="0" borderId="0">
      <alignment vertical="center"/>
    </xf>
    <xf numFmtId="0" fontId="315" fillId="0" borderId="0"/>
    <xf numFmtId="0" fontId="280" fillId="0" borderId="0"/>
    <xf numFmtId="3" fontId="53" fillId="0" borderId="0">
      <protection hidden="1"/>
    </xf>
    <xf numFmtId="0" fontId="316" fillId="0" borderId="48" applyNumberFormat="0" applyFill="0" applyAlignment="0" applyProtection="0"/>
    <xf numFmtId="0" fontId="269" fillId="20" borderId="84">
      <alignment horizontal="left" vertical="center" wrapText="1"/>
    </xf>
    <xf numFmtId="0" fontId="58" fillId="0" borderId="85" applyNumberFormat="0" applyAlignment="0"/>
    <xf numFmtId="0" fontId="317" fillId="0" borderId="0"/>
    <xf numFmtId="9" fontId="318" fillId="0" borderId="34"/>
    <xf numFmtId="0" fontId="318" fillId="0" borderId="34"/>
    <xf numFmtId="10" fontId="318" fillId="0" borderId="34"/>
    <xf numFmtId="0" fontId="318" fillId="0" borderId="34"/>
    <xf numFmtId="4" fontId="318" fillId="0" borderId="34"/>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319" fillId="38" borderId="53" applyNumberFormat="0" applyAlignment="0" applyProtection="0"/>
    <xf numFmtId="0" fontId="319" fillId="38" borderId="5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66" fillId="0" borderId="0" applyAlignment="0">
      <protection locked="0"/>
    </xf>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117" fillId="38" borderId="3" applyNumberFormat="0" applyAlignment="0" applyProtection="0"/>
    <xf numFmtId="0" fontId="66" fillId="0" borderId="0" applyAlignment="0">
      <protection locked="0"/>
    </xf>
    <xf numFmtId="314" fontId="31" fillId="85" borderId="0"/>
    <xf numFmtId="14" fontId="320" fillId="0" borderId="0">
      <alignment horizontal="center"/>
      <protection locked="0"/>
    </xf>
    <xf numFmtId="8" fontId="31" fillId="0" borderId="0"/>
    <xf numFmtId="3" fontId="8" fillId="20" borderId="0">
      <protection locked="0"/>
    </xf>
    <xf numFmtId="3" fontId="8" fillId="20" borderId="0">
      <protection locked="0"/>
    </xf>
    <xf numFmtId="3" fontId="8" fillId="20" borderId="0">
      <protection locked="0"/>
    </xf>
    <xf numFmtId="3" fontId="8" fillId="20" borderId="0">
      <protection locked="0"/>
    </xf>
    <xf numFmtId="3" fontId="8" fillId="20" borderId="0">
      <protection locked="0"/>
    </xf>
    <xf numFmtId="3" fontId="8" fillId="20" borderId="0">
      <protection locked="0"/>
    </xf>
    <xf numFmtId="3" fontId="8" fillId="20" borderId="0">
      <protection locked="0"/>
    </xf>
    <xf numFmtId="3" fontId="8" fillId="20" borderId="0">
      <protection locked="0"/>
    </xf>
    <xf numFmtId="3" fontId="8" fillId="20" borderId="0">
      <protection locked="0"/>
    </xf>
    <xf numFmtId="3" fontId="8" fillId="20" borderId="0">
      <protection locked="0"/>
    </xf>
    <xf numFmtId="3" fontId="8" fillId="20" borderId="0">
      <protection locked="0"/>
    </xf>
    <xf numFmtId="3" fontId="8" fillId="20" borderId="0">
      <protection locked="0"/>
    </xf>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8" fillId="20" borderId="0"/>
    <xf numFmtId="234" fontId="31" fillId="0" borderId="0"/>
    <xf numFmtId="315" fontId="31" fillId="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xf numFmtId="3" fontId="280" fillId="20" borderId="0">
      <protection locked="0"/>
    </xf>
    <xf numFmtId="3" fontId="280" fillId="20" borderId="0">
      <protection locked="0"/>
    </xf>
    <xf numFmtId="3" fontId="280" fillId="20" borderId="0">
      <protection locked="0"/>
    </xf>
    <xf numFmtId="3" fontId="280" fillId="20" borderId="0">
      <protection locked="0"/>
    </xf>
    <xf numFmtId="3" fontId="280" fillId="20" borderId="0">
      <protection locked="0"/>
    </xf>
    <xf numFmtId="3" fontId="280" fillId="20" borderId="0">
      <protection locked="0"/>
    </xf>
    <xf numFmtId="3" fontId="280" fillId="20" borderId="0">
      <protection locked="0"/>
    </xf>
    <xf numFmtId="3" fontId="280" fillId="20" borderId="0">
      <protection locked="0"/>
    </xf>
    <xf numFmtId="3" fontId="280" fillId="20" borderId="0">
      <protection locked="0"/>
    </xf>
    <xf numFmtId="3" fontId="280" fillId="20" borderId="0">
      <protection locked="0"/>
    </xf>
    <xf numFmtId="3" fontId="280" fillId="20" borderId="0">
      <protection locked="0"/>
    </xf>
    <xf numFmtId="3" fontId="280" fillId="20" borderId="0">
      <protection locked="0"/>
    </xf>
    <xf numFmtId="3" fontId="280" fillId="20" borderId="0"/>
    <xf numFmtId="234" fontId="321" fillId="19" borderId="0" applyNumberFormat="0" applyBorder="0" applyAlignment="0">
      <protection locked="0"/>
    </xf>
    <xf numFmtId="316" fontId="60" fillId="19" borderId="86">
      <alignment horizontal="center"/>
      <protection locked="0"/>
    </xf>
    <xf numFmtId="37" fontId="60" fillId="19" borderId="86">
      <alignment horizontal="right"/>
      <protection locked="0"/>
    </xf>
    <xf numFmtId="9" fontId="322" fillId="19" borderId="86">
      <alignment horizontal="right"/>
      <protection locked="0"/>
    </xf>
    <xf numFmtId="37" fontId="239" fillId="0" borderId="86">
      <alignment horizontal="right"/>
    </xf>
    <xf numFmtId="168" fontId="31" fillId="0" borderId="86">
      <alignment horizontal="right"/>
    </xf>
    <xf numFmtId="0" fontId="323" fillId="0" borderId="0"/>
    <xf numFmtId="317" fontId="8" fillId="0" borderId="0">
      <alignment horizontal="right"/>
    </xf>
    <xf numFmtId="1" fontId="324" fillId="1" borderId="33">
      <protection locked="0"/>
    </xf>
    <xf numFmtId="234" fontId="325" fillId="0" borderId="0" applyNumberFormat="0" applyFill="0" applyBorder="0" applyAlignment="0" applyProtection="0"/>
    <xf numFmtId="0" fontId="326" fillId="0" borderId="0" applyNumberFormat="0" applyFill="0" applyBorder="0" applyAlignment="0" applyProtection="0">
      <alignment vertical="top"/>
      <protection locked="0"/>
    </xf>
    <xf numFmtId="41" fontId="57" fillId="25" borderId="0">
      <alignment horizontal="left"/>
    </xf>
    <xf numFmtId="41" fontId="147" fillId="22" borderId="0">
      <alignment horizontal="left"/>
    </xf>
    <xf numFmtId="306" fontId="8" fillId="0" borderId="0" applyFill="0" applyBorder="0" applyAlignment="0"/>
    <xf numFmtId="289" fontId="55" fillId="0" borderId="0" applyFill="0" applyBorder="0" applyAlignment="0"/>
    <xf numFmtId="283" fontId="8" fillId="0" borderId="0" applyFill="0" applyBorder="0" applyAlignment="0"/>
    <xf numFmtId="284" fontId="55" fillId="0" borderId="0" applyFill="0" applyBorder="0" applyAlignment="0"/>
    <xf numFmtId="288" fontId="8" fillId="0" borderId="0" applyFill="0" applyBorder="0" applyAlignment="0"/>
    <xf numFmtId="289" fontId="55" fillId="0" borderId="0" applyFill="0" applyBorder="0" applyAlignment="0"/>
    <xf numFmtId="0" fontId="8" fillId="0" borderId="0" applyFill="0" applyBorder="0" applyAlignment="0"/>
    <xf numFmtId="290" fontId="55" fillId="0" borderId="0" applyFill="0" applyBorder="0" applyAlignment="0"/>
    <xf numFmtId="283" fontId="8" fillId="0" borderId="0" applyFill="0" applyBorder="0" applyAlignment="0"/>
    <xf numFmtId="284" fontId="55" fillId="0" borderId="0" applyFill="0" applyBorder="0" applyAlignment="0"/>
    <xf numFmtId="37" fontId="327" fillId="0" borderId="0" applyNumberFormat="0" applyFill="0" applyBorder="0" applyAlignment="0" applyProtection="0">
      <alignment horizontal="right"/>
    </xf>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9" fillId="0" borderId="55"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11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11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11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11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328" fillId="0" borderId="13" applyNumberFormat="0" applyFill="0" applyAlignment="0" applyProtection="0"/>
    <xf numFmtId="0" fontId="118" fillId="0" borderId="13" applyNumberFormat="0" applyFill="0" applyAlignment="0" applyProtection="0"/>
    <xf numFmtId="314" fontId="31" fillId="25" borderId="0"/>
    <xf numFmtId="0" fontId="283" fillId="24" borderId="0">
      <alignment horizontal="right" vertical="center"/>
    </xf>
    <xf numFmtId="318" fontId="8" fillId="0" borderId="0" applyAlignment="0">
      <alignment horizontal="right"/>
    </xf>
    <xf numFmtId="319" fontId="8" fillId="0" borderId="0" applyFont="0" applyFill="0" applyBorder="0" applyAlignment="0" applyProtection="0"/>
    <xf numFmtId="320" fontId="8" fillId="0" borderId="0" applyFont="0" applyFill="0" applyBorder="0" applyAlignment="0" applyProtection="0"/>
    <xf numFmtId="182" fontId="31" fillId="0" borderId="0" applyFont="0" applyFill="0" applyBorder="0" applyAlignment="0" applyProtection="0"/>
    <xf numFmtId="321" fontId="31" fillId="0" borderId="0" applyFont="0" applyFill="0" applyBorder="0" applyAlignment="0" applyProtection="0"/>
    <xf numFmtId="17" fontId="8" fillId="0" borderId="0" applyFont="0" applyFill="0" applyBorder="0" applyAlignment="0" applyProtection="0"/>
    <xf numFmtId="322" fontId="8" fillId="0" borderId="0" applyFont="0" applyFill="0" applyBorder="0" applyAlignment="0" applyProtection="0"/>
    <xf numFmtId="323" fontId="8" fillId="0" borderId="0" applyFont="0" applyFill="0" applyBorder="0" applyAlignment="0" applyProtection="0"/>
    <xf numFmtId="324" fontId="31" fillId="0" borderId="0" applyFont="0" applyFill="0" applyBorder="0" applyAlignment="0" applyProtection="0"/>
    <xf numFmtId="234" fontId="31" fillId="0" borderId="0" applyFont="0" applyFill="0" applyBorder="0" applyAlignment="0" applyProtection="0"/>
    <xf numFmtId="0" fontId="8" fillId="0" borderId="0"/>
    <xf numFmtId="0" fontId="35" fillId="0" borderId="41" applyNumberFormat="0">
      <alignment horizontal="left"/>
    </xf>
    <xf numFmtId="0" fontId="330" fillId="0" borderId="0" applyFont="0" applyFill="0" applyBorder="0" applyProtection="0">
      <alignment horizontal="right"/>
    </xf>
    <xf numFmtId="49" fontId="331" fillId="80" borderId="0">
      <alignment horizontal="centerContinuous" vertical="center"/>
    </xf>
    <xf numFmtId="325" fontId="31" fillId="17" borderId="0" applyFont="0" applyBorder="0" applyAlignment="0" applyProtection="0">
      <alignment horizontal="right"/>
      <protection hidden="1"/>
    </xf>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3" fillId="86"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119"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3" fillId="86"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119"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119"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119"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332" fillId="20" borderId="0" applyNumberFormat="0" applyBorder="0" applyAlignment="0" applyProtection="0"/>
    <xf numFmtId="0" fontId="119" fillId="20" borderId="0" applyNumberFormat="0" applyBorder="0" applyAlignment="0" applyProtection="0"/>
    <xf numFmtId="0" fontId="57" fillId="27" borderId="66">
      <alignment horizontal="center" wrapText="1"/>
    </xf>
    <xf numFmtId="0" fontId="66" fillId="0" borderId="0"/>
    <xf numFmtId="0" fontId="334" fillId="68" borderId="0"/>
    <xf numFmtId="0" fontId="57" fillId="87" borderId="0"/>
    <xf numFmtId="0" fontId="57" fillId="87" borderId="0"/>
    <xf numFmtId="0" fontId="335" fillId="0" borderId="0"/>
    <xf numFmtId="326" fontId="8" fillId="0" borderId="0"/>
    <xf numFmtId="0" fontId="336" fillId="17" borderId="0">
      <alignment horizontal="left" indent="1"/>
    </xf>
    <xf numFmtId="0" fontId="9" fillId="0" borderId="0"/>
    <xf numFmtId="327" fontId="66" fillId="0" borderId="0"/>
    <xf numFmtId="14" fontId="6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38" fontId="31" fillId="0" borderId="8" applyFont="0" applyFill="0" applyBorder="0" applyAlignment="0" applyProtection="0"/>
    <xf numFmtId="328" fontId="8" fillId="0" borderId="0" applyFont="0" applyFill="0" applyAlignment="0"/>
    <xf numFmtId="303" fontId="8" fillId="0" borderId="0" applyFont="0" applyFill="0" applyAlignment="0"/>
    <xf numFmtId="329" fontId="8" fillId="0" borderId="0" applyFont="0" applyFill="0" applyAlignment="0"/>
    <xf numFmtId="0" fontId="107" fillId="0" borderId="0"/>
    <xf numFmtId="0" fontId="107" fillId="0" borderId="0"/>
    <xf numFmtId="0" fontId="8" fillId="0" borderId="0"/>
    <xf numFmtId="0" fontId="107" fillId="0" borderId="0"/>
    <xf numFmtId="0" fontId="8"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8" fillId="0" borderId="0"/>
    <xf numFmtId="0" fontId="107" fillId="0" borderId="0"/>
    <xf numFmtId="0" fontId="8" fillId="0" borderId="0"/>
    <xf numFmtId="0" fontId="8" fillId="0" borderId="0"/>
    <xf numFmtId="0" fontId="107" fillId="0" borderId="0"/>
    <xf numFmtId="0" fontId="8" fillId="0" borderId="0"/>
    <xf numFmtId="0" fontId="8" fillId="0" borderId="0"/>
    <xf numFmtId="0" fontId="107" fillId="0" borderId="0"/>
    <xf numFmtId="0" fontId="8" fillId="0" borderId="0"/>
    <xf numFmtId="0" fontId="8" fillId="0" borderId="0"/>
    <xf numFmtId="0" fontId="8" fillId="0" borderId="0"/>
    <xf numFmtId="4" fontId="239" fillId="22" borderId="61">
      <alignment horizontal="left" vertical="center" indent="2"/>
    </xf>
    <xf numFmtId="0" fontId="8" fillId="0" borderId="0"/>
    <xf numFmtId="0" fontId="8" fillId="0" borderId="0"/>
    <xf numFmtId="4" fontId="239" fillId="22" borderId="61">
      <alignment horizontal="left" vertical="center" indent="2"/>
    </xf>
    <xf numFmtId="0" fontId="8" fillId="0" borderId="0"/>
    <xf numFmtId="0" fontId="8" fillId="0" borderId="0"/>
    <xf numFmtId="4" fontId="239" fillId="22" borderId="61">
      <alignment horizontal="left" vertical="center" indent="2"/>
    </xf>
    <xf numFmtId="0" fontId="8" fillId="0" borderId="0"/>
    <xf numFmtId="4" fontId="239" fillId="22" borderId="61">
      <alignment horizontal="left" vertical="center" indent="2"/>
    </xf>
    <xf numFmtId="0" fontId="8" fillId="0" borderId="0"/>
    <xf numFmtId="4" fontId="239" fillId="22" borderId="61">
      <alignment horizontal="left" vertical="center" indent="2"/>
    </xf>
    <xf numFmtId="0" fontId="8" fillId="0" borderId="0"/>
    <xf numFmtId="4" fontId="239" fillId="22" borderId="61">
      <alignment horizontal="left" vertical="center" indent="2"/>
    </xf>
    <xf numFmtId="0" fontId="8" fillId="0" borderId="0"/>
    <xf numFmtId="0" fontId="8" fillId="0" borderId="0"/>
    <xf numFmtId="0" fontId="8" fillId="0" borderId="0"/>
    <xf numFmtId="0" fontId="107" fillId="0" borderId="0"/>
    <xf numFmtId="0" fontId="107" fillId="0" borderId="0"/>
    <xf numFmtId="0" fontId="8" fillId="0" borderId="0"/>
    <xf numFmtId="0" fontId="8" fillId="0" borderId="0"/>
    <xf numFmtId="4" fontId="239" fillId="22" borderId="61">
      <alignment horizontal="left" vertical="center" indent="2"/>
    </xf>
    <xf numFmtId="0" fontId="8" fillId="0" borderId="0"/>
    <xf numFmtId="0" fontId="8" fillId="0" borderId="0"/>
    <xf numFmtId="291" fontId="81" fillId="0" borderId="0"/>
    <xf numFmtId="0" fontId="8" fillId="0" borderId="0"/>
    <xf numFmtId="0" fontId="8" fillId="0" borderId="0"/>
    <xf numFmtId="0" fontId="8" fillId="0" borderId="0"/>
    <xf numFmtId="0" fontId="8" fillId="0" borderId="0"/>
    <xf numFmtId="0" fontId="8" fillId="0" borderId="0"/>
    <xf numFmtId="4" fontId="239" fillId="22" borderId="61">
      <alignment horizontal="left" vertical="center" indent="2"/>
    </xf>
    <xf numFmtId="0" fontId="107" fillId="0" borderId="0"/>
    <xf numFmtId="0" fontId="107" fillId="0" borderId="0"/>
    <xf numFmtId="4" fontId="239" fillId="22" borderId="61">
      <alignment horizontal="left" vertical="center" indent="2"/>
    </xf>
    <xf numFmtId="0" fontId="107" fillId="0" borderId="0"/>
    <xf numFmtId="0" fontId="107" fillId="0" borderId="0"/>
    <xf numFmtId="4" fontId="239" fillId="22" borderId="61">
      <alignment horizontal="left" vertical="center" indent="2"/>
    </xf>
    <xf numFmtId="0" fontId="8" fillId="0" borderId="0"/>
    <xf numFmtId="0" fontId="8" fillId="0" borderId="0"/>
    <xf numFmtId="4" fontId="239" fillId="22" borderId="61">
      <alignment horizontal="left" vertical="center" indent="2"/>
    </xf>
    <xf numFmtId="0" fontId="107" fillId="0" borderId="0"/>
    <xf numFmtId="0" fontId="107" fillId="0" borderId="0"/>
    <xf numFmtId="4" fontId="239" fillId="22" borderId="61">
      <alignment horizontal="left" vertical="center" indent="2"/>
    </xf>
    <xf numFmtId="0" fontId="8" fillId="0" borderId="0"/>
    <xf numFmtId="0" fontId="8" fillId="0" borderId="0"/>
    <xf numFmtId="4" fontId="239" fillId="22" borderId="61">
      <alignment horizontal="left" vertical="center" indent="2"/>
    </xf>
    <xf numFmtId="0" fontId="8" fillId="0" borderId="0"/>
    <xf numFmtId="291" fontId="81" fillId="0" borderId="0"/>
    <xf numFmtId="0" fontId="8" fillId="0" borderId="0"/>
    <xf numFmtId="0" fontId="8" fillId="0" borderId="0"/>
    <xf numFmtId="0" fontId="8" fillId="0" borderId="0"/>
    <xf numFmtId="4" fontId="239" fillId="22" borderId="61">
      <alignment horizontal="left" vertical="center" indent="2"/>
    </xf>
    <xf numFmtId="0" fontId="8" fillId="0" borderId="0"/>
    <xf numFmtId="0" fontId="107" fillId="0" borderId="0"/>
    <xf numFmtId="0" fontId="8" fillId="0" borderId="0"/>
    <xf numFmtId="0" fontId="8" fillId="0" borderId="0"/>
    <xf numFmtId="0" fontId="8" fillId="0" borderId="0"/>
    <xf numFmtId="0" fontId="253" fillId="0" borderId="0"/>
    <xf numFmtId="0" fontId="8" fillId="0" borderId="0"/>
    <xf numFmtId="0" fontId="8" fillId="0" borderId="0"/>
    <xf numFmtId="0" fontId="8" fillId="0" borderId="0"/>
    <xf numFmtId="0" fontId="8" fillId="0" borderId="0"/>
    <xf numFmtId="0" fontId="8" fillId="0" borderId="0"/>
    <xf numFmtId="0" fontId="8" fillId="0" borderId="0"/>
    <xf numFmtId="291" fontId="8" fillId="0" borderId="0"/>
    <xf numFmtId="291" fontId="8" fillId="0" borderId="0"/>
    <xf numFmtId="0" fontId="8" fillId="0" borderId="0"/>
    <xf numFmtId="0" fontId="107" fillId="0" borderId="0"/>
    <xf numFmtId="0" fontId="107" fillId="0" borderId="0"/>
    <xf numFmtId="0" fontId="107" fillId="0" borderId="0"/>
    <xf numFmtId="0" fontId="107" fillId="0" borderId="0"/>
    <xf numFmtId="0" fontId="8" fillId="0" borderId="0"/>
    <xf numFmtId="0" fontId="107" fillId="0" borderId="0"/>
    <xf numFmtId="0" fontId="107" fillId="0" borderId="0"/>
    <xf numFmtId="0" fontId="107" fillId="0" borderId="0"/>
    <xf numFmtId="0" fontId="107" fillId="0" borderId="0"/>
    <xf numFmtId="0" fontId="8" fillId="0" borderId="0"/>
    <xf numFmtId="0" fontId="107" fillId="0" borderId="0"/>
    <xf numFmtId="0" fontId="107" fillId="0" borderId="0"/>
    <xf numFmtId="0" fontId="107" fillId="0" borderId="0"/>
    <xf numFmtId="0" fontId="8"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84" fillId="0" borderId="0"/>
    <xf numFmtId="0" fontId="107" fillId="0" borderId="0"/>
    <xf numFmtId="0" fontId="31" fillId="0" borderId="0"/>
    <xf numFmtId="0" fontId="107" fillId="0" borderId="0"/>
    <xf numFmtId="0" fontId="107" fillId="0" borderId="0"/>
    <xf numFmtId="0" fontId="107" fillId="0" borderId="0"/>
    <xf numFmtId="0" fontId="31" fillId="0" borderId="0"/>
    <xf numFmtId="0" fontId="107" fillId="0" borderId="0"/>
    <xf numFmtId="0" fontId="107" fillId="0" borderId="0"/>
    <xf numFmtId="0" fontId="31" fillId="0" borderId="0"/>
    <xf numFmtId="0" fontId="31" fillId="0" borderId="0"/>
    <xf numFmtId="0" fontId="107" fillId="0" borderId="0"/>
    <xf numFmtId="0" fontId="8" fillId="0" borderId="0">
      <alignment vertical="center"/>
    </xf>
    <xf numFmtId="0" fontId="8" fillId="0" borderId="0"/>
    <xf numFmtId="0" fontId="107" fillId="0" borderId="0"/>
    <xf numFmtId="0" fontId="107" fillId="0" borderId="0"/>
    <xf numFmtId="0" fontId="8" fillId="0" borderId="0" applyNumberFormat="0" applyFill="0" applyAlignment="0" applyProtection="0"/>
    <xf numFmtId="330" fontId="81" fillId="0" borderId="0" applyFont="0" applyFill="0" applyBorder="0" applyAlignment="0" applyProtection="0"/>
    <xf numFmtId="331" fontId="81" fillId="0" borderId="0" applyFont="0" applyFill="0" applyBorder="0" applyAlignment="0" applyProtection="0"/>
    <xf numFmtId="332" fontId="8" fillId="0" borderId="0" applyFont="0" applyFill="0" applyAlignment="0" applyProtection="0"/>
    <xf numFmtId="333" fontId="81" fillId="0" borderId="0" applyFont="0" applyFill="0" applyBorder="0" applyAlignment="0" applyProtection="0"/>
    <xf numFmtId="334" fontId="81" fillId="0" borderId="0" applyFont="0" applyFill="0" applyBorder="0" applyAlignment="0" applyProtection="0"/>
    <xf numFmtId="0" fontId="337" fillId="0" borderId="0"/>
    <xf numFmtId="0" fontId="26" fillId="17" borderId="6" applyNumberFormat="0" applyFont="0" applyFill="0">
      <alignment horizontal="center"/>
    </xf>
    <xf numFmtId="14" fontId="8" fillId="0" borderId="0">
      <alignment horizontal="center"/>
    </xf>
    <xf numFmtId="0" fontId="338" fillId="0" borderId="0"/>
    <xf numFmtId="0" fontId="44" fillId="0" borderId="0"/>
    <xf numFmtId="0" fontId="8" fillId="0" borderId="0">
      <alignment horizontal="left"/>
      <protection locked="0"/>
    </xf>
    <xf numFmtId="0" fontId="8" fillId="0" borderId="31">
      <protection locked="0"/>
    </xf>
    <xf numFmtId="0" fontId="8" fillId="0" borderId="17">
      <protection locked="0"/>
    </xf>
    <xf numFmtId="0" fontId="8" fillId="0" borderId="30">
      <protection locked="0"/>
    </xf>
    <xf numFmtId="0" fontId="8" fillId="0" borderId="2"/>
    <xf numFmtId="37" fontId="339" fillId="0" borderId="0" applyNumberFormat="0" applyFont="0" applyFill="0" applyBorder="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253" fillId="19" borderId="57"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8"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8"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253" fillId="19" borderId="57"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8"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8" fillId="19" borderId="14" applyNumberFormat="0" applyFont="0" applyAlignment="0" applyProtection="0"/>
    <xf numFmtId="0" fontId="8" fillId="19" borderId="14" applyNumberFormat="0" applyFont="0" applyAlignment="0" applyProtection="0"/>
    <xf numFmtId="0" fontId="8" fillId="19" borderId="14" applyNumberFormat="0" applyFont="0" applyAlignment="0" applyProtection="0"/>
    <xf numFmtId="0" fontId="8" fillId="19" borderId="14" applyNumberFormat="0" applyFont="0" applyAlignment="0" applyProtection="0"/>
    <xf numFmtId="0" fontId="8" fillId="19" borderId="14" applyNumberFormat="0" applyFont="0" applyAlignment="0" applyProtection="0"/>
    <xf numFmtId="0" fontId="107" fillId="19" borderId="14" applyNumberFormat="0" applyFont="0" applyAlignment="0" applyProtection="0"/>
    <xf numFmtId="0" fontId="107" fillId="19" borderId="14" applyNumberFormat="0" applyFont="0" applyAlignment="0" applyProtection="0"/>
    <xf numFmtId="0" fontId="8" fillId="19" borderId="14" applyNumberFormat="0" applyFont="0" applyAlignment="0" applyProtection="0"/>
    <xf numFmtId="0" fontId="8" fillId="19" borderId="14" applyNumberFormat="0" applyFont="0" applyAlignment="0" applyProtection="0"/>
    <xf numFmtId="0" fontId="107" fillId="19" borderId="14" applyNumberFormat="0" applyFont="0" applyAlignment="0" applyProtection="0"/>
    <xf numFmtId="0" fontId="8" fillId="19" borderId="14" applyNumberFormat="0" applyFont="0" applyAlignment="0" applyProtection="0"/>
    <xf numFmtId="0" fontId="8" fillId="19" borderId="14" applyNumberFormat="0" applyFont="0" applyAlignment="0" applyProtection="0"/>
    <xf numFmtId="0" fontId="8" fillId="19" borderId="14" applyNumberFormat="0" applyFont="0" applyAlignment="0" applyProtection="0"/>
    <xf numFmtId="0" fontId="107" fillId="19" borderId="14" applyNumberFormat="0" applyFont="0" applyAlignment="0" applyProtection="0"/>
    <xf numFmtId="0" fontId="8" fillId="19" borderId="14" applyNumberFormat="0" applyFont="0" applyAlignment="0" applyProtection="0"/>
    <xf numFmtId="0" fontId="8" fillId="19" borderId="14" applyNumberFormat="0" applyFont="0" applyAlignment="0" applyProtection="0"/>
    <xf numFmtId="0" fontId="8" fillId="19" borderId="14" applyNumberFormat="0" applyFont="0" applyAlignment="0" applyProtection="0"/>
    <xf numFmtId="0" fontId="8" fillId="19" borderId="14" applyNumberFormat="0" applyFont="0" applyAlignment="0" applyProtection="0"/>
    <xf numFmtId="0" fontId="340" fillId="0" borderId="26"/>
    <xf numFmtId="335" fontId="31" fillId="0" borderId="0" applyFont="0" applyFill="0" applyBorder="0" applyAlignment="0" applyProtection="0"/>
    <xf numFmtId="37" fontId="8" fillId="0" borderId="0"/>
    <xf numFmtId="336" fontId="220" fillId="0" borderId="0" applyFill="0" applyBorder="0" applyAlignment="0" applyProtection="0"/>
    <xf numFmtId="0" fontId="8" fillId="0" borderId="0"/>
    <xf numFmtId="0" fontId="8" fillId="0" borderId="0"/>
    <xf numFmtId="37" fontId="8" fillId="0" borderId="17"/>
    <xf numFmtId="0" fontId="341" fillId="0" borderId="0"/>
    <xf numFmtId="337" fontId="31" fillId="0" borderId="0" applyFont="0" applyFill="0" applyBorder="0" applyAlignment="0" applyProtection="0"/>
    <xf numFmtId="0" fontId="342" fillId="17" borderId="14">
      <alignment vertical="center"/>
    </xf>
    <xf numFmtId="20" fontId="343" fillId="0" borderId="87">
      <alignment horizontal="center" vertical="top" wrapText="1"/>
      <protection locked="0"/>
    </xf>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344" fillId="77" borderId="54"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17"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344" fillId="77" borderId="54"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17"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17"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17"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22" borderId="15" applyNumberFormat="0" applyAlignment="0" applyProtection="0"/>
    <xf numFmtId="0" fontId="120" fillId="17" borderId="15" applyNumberFormat="0" applyAlignment="0" applyProtection="0"/>
    <xf numFmtId="40" fontId="345" fillId="22" borderId="0">
      <alignment horizontal="right"/>
    </xf>
    <xf numFmtId="0" fontId="346" fillId="29" borderId="0">
      <alignment horizontal="center"/>
    </xf>
    <xf numFmtId="0" fontId="347" fillId="22" borderId="46"/>
    <xf numFmtId="0" fontId="348" fillId="22" borderId="0" applyBorder="0">
      <alignment horizontal="centerContinuous"/>
    </xf>
    <xf numFmtId="0" fontId="349" fillId="88" borderId="0" applyBorder="0">
      <alignment horizontal="centerContinuous"/>
    </xf>
    <xf numFmtId="3" fontId="26" fillId="53" borderId="8" applyNumberFormat="0" applyAlignment="0">
      <alignment horizontal="center"/>
      <protection locked="0"/>
    </xf>
    <xf numFmtId="0" fontId="350" fillId="0" borderId="0" applyFill="0" applyBorder="0" applyProtection="0">
      <alignment horizontal="left"/>
    </xf>
    <xf numFmtId="0" fontId="351" fillId="0" borderId="0" applyFill="0" applyBorder="0" applyProtection="0">
      <alignment horizontal="left"/>
    </xf>
    <xf numFmtId="1" fontId="352" fillId="0" borderId="0" applyProtection="0">
      <alignment horizontal="right" vertical="center"/>
    </xf>
    <xf numFmtId="0" fontId="353" fillId="22" borderId="0"/>
    <xf numFmtId="0" fontId="8" fillId="0" borderId="0" applyFont="0" applyFill="0" applyAlignment="0" applyProtection="0"/>
    <xf numFmtId="0" fontId="8" fillId="0" borderId="0" applyFont="0" applyFill="0" applyAlignment="0" applyProtection="0"/>
    <xf numFmtId="14" fontId="80" fillId="0" borderId="0">
      <alignment horizontal="center" wrapText="1"/>
      <protection locked="0"/>
    </xf>
    <xf numFmtId="181" fontId="190" fillId="0" borderId="0" applyFont="0" applyFill="0" applyBorder="0" applyAlignment="0" applyProtection="0"/>
    <xf numFmtId="338" fontId="8" fillId="0" borderId="0" applyFont="0" applyFill="0" applyAlignment="0"/>
    <xf numFmtId="339" fontId="8" fillId="0" borderId="0" applyFont="0" applyFill="0" applyBorder="0" applyAlignment="0" applyProtection="0"/>
    <xf numFmtId="340" fontId="55" fillId="0" borderId="0" applyFont="0" applyFill="0" applyBorder="0" applyAlignment="0" applyProtection="0"/>
    <xf numFmtId="341" fontId="8" fillId="0" borderId="0" applyFont="0" applyFill="0" applyAlignment="0"/>
    <xf numFmtId="3" fontId="280" fillId="0" borderId="0"/>
    <xf numFmtId="342" fontId="67" fillId="0" borderId="0">
      <protection hidden="1"/>
    </xf>
    <xf numFmtId="3" fontId="280" fillId="0" borderId="0"/>
    <xf numFmtId="9" fontId="107"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107"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107"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107" fillId="0" borderId="0" applyFont="0" applyFill="0" applyBorder="0" applyAlignment="0" applyProtection="0"/>
    <xf numFmtId="9" fontId="107"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107" fillId="0" borderId="0" applyFont="0" applyFill="0" applyBorder="0" applyAlignment="0" applyProtection="0"/>
    <xf numFmtId="0" fontId="80" fillId="0" borderId="0" applyFont="0" applyFill="0" applyBorder="0" applyProtection="0">
      <alignment horizontal="right"/>
    </xf>
    <xf numFmtId="9" fontId="8" fillId="0" borderId="0"/>
    <xf numFmtId="10" fontId="8" fillId="0" borderId="0"/>
    <xf numFmtId="10" fontId="31" fillId="0" borderId="0"/>
    <xf numFmtId="0" fontId="354" fillId="20" borderId="73">
      <alignment horizontal="center" vertical="center"/>
    </xf>
    <xf numFmtId="343" fontId="31" fillId="0" borderId="0" applyFont="0" applyFill="0" applyBorder="0" applyAlignment="0" applyProtection="0"/>
    <xf numFmtId="0" fontId="8" fillId="0" borderId="0">
      <protection locked="0"/>
    </xf>
    <xf numFmtId="0" fontId="140" fillId="0" borderId="0">
      <protection locked="0"/>
    </xf>
    <xf numFmtId="0" fontId="8" fillId="0" borderId="0">
      <protection locked="0"/>
    </xf>
    <xf numFmtId="0" fontId="26" fillId="0" borderId="0">
      <protection locked="0"/>
    </xf>
    <xf numFmtId="0" fontId="8" fillId="0" borderId="0"/>
    <xf numFmtId="232" fontId="8" fillId="0" borderId="0" applyFont="0" applyFill="0" applyBorder="0" applyAlignment="0" applyProtection="0"/>
    <xf numFmtId="306" fontId="8" fillId="0" borderId="0" applyFill="0" applyBorder="0" applyAlignment="0"/>
    <xf numFmtId="289" fontId="55" fillId="0" borderId="0" applyFill="0" applyBorder="0" applyAlignment="0"/>
    <xf numFmtId="283" fontId="8" fillId="0" borderId="0" applyFill="0" applyBorder="0" applyAlignment="0"/>
    <xf numFmtId="284" fontId="55" fillId="0" borderId="0" applyFill="0" applyBorder="0" applyAlignment="0"/>
    <xf numFmtId="288" fontId="8" fillId="0" borderId="0" applyFill="0" applyBorder="0" applyAlignment="0"/>
    <xf numFmtId="289" fontId="55" fillId="0" borderId="0" applyFill="0" applyBorder="0" applyAlignment="0"/>
    <xf numFmtId="0" fontId="8" fillId="0" borderId="0" applyFill="0" applyBorder="0" applyAlignment="0"/>
    <xf numFmtId="290" fontId="55" fillId="0" borderId="0" applyFill="0" applyBorder="0" applyAlignment="0"/>
    <xf numFmtId="283" fontId="8" fillId="0" borderId="0" applyFill="0" applyBorder="0" applyAlignment="0"/>
    <xf numFmtId="284" fontId="55" fillId="0" borderId="0" applyFill="0" applyBorder="0" applyAlignment="0"/>
    <xf numFmtId="0" fontId="355" fillId="0" borderId="0" applyNumberFormat="0" applyFill="0" applyBorder="0" applyAlignment="0" applyProtection="0"/>
    <xf numFmtId="5" fontId="356" fillId="0" borderId="0"/>
    <xf numFmtId="281" fontId="357" fillId="0" borderId="0"/>
    <xf numFmtId="0" fontId="358" fillId="39" borderId="0">
      <alignment horizontal="left" indent="1"/>
    </xf>
    <xf numFmtId="0" fontId="358" fillId="39" borderId="0">
      <alignment horizontal="left" indent="1"/>
    </xf>
    <xf numFmtId="0" fontId="358" fillId="39" borderId="0">
      <alignment horizontal="left" indent="1"/>
    </xf>
    <xf numFmtId="0" fontId="358" fillId="39" borderId="0">
      <alignment horizontal="left" indent="1"/>
    </xf>
    <xf numFmtId="0" fontId="358" fillId="39" borderId="0">
      <alignment horizontal="left" indent="1"/>
    </xf>
    <xf numFmtId="0" fontId="358" fillId="39" borderId="0">
      <alignment horizontal="left" indent="1"/>
    </xf>
    <xf numFmtId="0" fontId="358" fillId="39" borderId="0">
      <alignment horizontal="left" indent="1"/>
    </xf>
    <xf numFmtId="0" fontId="358" fillId="39" borderId="0">
      <alignment horizontal="left" indent="1"/>
    </xf>
    <xf numFmtId="0" fontId="358" fillId="39" borderId="0">
      <alignment horizontal="left" indent="1"/>
    </xf>
    <xf numFmtId="0" fontId="358" fillId="39" borderId="0">
      <alignment horizontal="left" indent="1"/>
    </xf>
    <xf numFmtId="0" fontId="358" fillId="39" borderId="0">
      <alignment horizontal="left" indent="1"/>
    </xf>
    <xf numFmtId="0" fontId="358" fillId="39" borderId="0">
      <alignment horizontal="left" indent="1"/>
    </xf>
    <xf numFmtId="9" fontId="359" fillId="0" borderId="75"/>
    <xf numFmtId="9" fontId="359" fillId="0" borderId="75"/>
    <xf numFmtId="3" fontId="291" fillId="0" borderId="0">
      <protection locked="0"/>
    </xf>
    <xf numFmtId="0" fontId="35" fillId="0" borderId="0" applyNumberFormat="0" applyFont="0" applyFill="0" applyBorder="0" applyAlignment="0" applyProtection="0">
      <alignment horizontal="left"/>
    </xf>
    <xf numFmtId="15" fontId="35" fillId="0" borderId="0" applyFont="0" applyFill="0" applyBorder="0" applyAlignment="0" applyProtection="0"/>
    <xf numFmtId="4" fontId="35" fillId="0" borderId="0" applyFont="0" applyFill="0" applyBorder="0" applyAlignment="0" applyProtection="0"/>
    <xf numFmtId="0" fontId="270" fillId="0" borderId="5">
      <alignment horizontal="center"/>
    </xf>
    <xf numFmtId="3" fontId="35" fillId="0" borderId="0" applyFont="0" applyFill="0" applyBorder="0" applyAlignment="0" applyProtection="0"/>
    <xf numFmtId="0" fontId="35" fillId="89" borderId="0" applyNumberFormat="0" applyFont="0" applyBorder="0" applyAlignment="0" applyProtection="0"/>
    <xf numFmtId="234" fontId="243" fillId="0" borderId="0" applyNumberFormat="0" applyFill="0" applyBorder="0" applyAlignment="0" applyProtection="0">
      <alignment horizontal="left"/>
    </xf>
    <xf numFmtId="0" fontId="360" fillId="0" borderId="32" applyNumberFormat="0" applyFill="0" applyBorder="0" applyAlignment="0" applyProtection="0">
      <alignment horizontal="center"/>
    </xf>
    <xf numFmtId="3" fontId="361" fillId="17" borderId="0"/>
    <xf numFmtId="0" fontId="359" fillId="17" borderId="0"/>
    <xf numFmtId="0" fontId="359" fillId="17" borderId="0"/>
    <xf numFmtId="0" fontId="359" fillId="17" borderId="0"/>
    <xf numFmtId="0" fontId="359" fillId="17" borderId="0"/>
    <xf numFmtId="0" fontId="359" fillId="17" borderId="0"/>
    <xf numFmtId="0" fontId="359" fillId="17" borderId="0"/>
    <xf numFmtId="0" fontId="359" fillId="17" borderId="0"/>
    <xf numFmtId="0" fontId="359" fillId="17" borderId="0"/>
    <xf numFmtId="0" fontId="359" fillId="17" borderId="0"/>
    <xf numFmtId="0" fontId="359" fillId="17" borderId="0"/>
    <xf numFmtId="0" fontId="359" fillId="17" borderId="0"/>
    <xf numFmtId="0" fontId="359" fillId="17" borderId="0"/>
    <xf numFmtId="4" fontId="361" fillId="17" borderId="0"/>
    <xf numFmtId="4" fontId="361" fillId="17" borderId="0"/>
    <xf numFmtId="4" fontId="361" fillId="17" borderId="0"/>
    <xf numFmtId="4" fontId="361" fillId="17" borderId="0"/>
    <xf numFmtId="4" fontId="361" fillId="17" borderId="0"/>
    <xf numFmtId="4" fontId="361" fillId="17" borderId="0"/>
    <xf numFmtId="4" fontId="361" fillId="17" borderId="0"/>
    <xf numFmtId="4" fontId="361" fillId="17" borderId="0"/>
    <xf numFmtId="4" fontId="361" fillId="17" borderId="0"/>
    <xf numFmtId="4" fontId="361" fillId="17" borderId="0"/>
    <xf numFmtId="4" fontId="361" fillId="17" borderId="0"/>
    <xf numFmtId="4" fontId="361" fillId="17" borderId="0"/>
    <xf numFmtId="3" fontId="361" fillId="17" borderId="0"/>
    <xf numFmtId="3" fontId="361" fillId="17" borderId="0"/>
    <xf numFmtId="3" fontId="361" fillId="17" borderId="0"/>
    <xf numFmtId="3" fontId="361" fillId="17" borderId="0"/>
    <xf numFmtId="3" fontId="361" fillId="17" borderId="0"/>
    <xf numFmtId="3" fontId="361" fillId="17" borderId="0"/>
    <xf numFmtId="3" fontId="361" fillId="17" borderId="0"/>
    <xf numFmtId="3" fontId="361" fillId="17" borderId="0"/>
    <xf numFmtId="3" fontId="361" fillId="17" borderId="0"/>
    <xf numFmtId="3" fontId="361" fillId="17" borderId="0"/>
    <xf numFmtId="3" fontId="361" fillId="17" borderId="0"/>
    <xf numFmtId="3" fontId="8" fillId="17" borderId="0"/>
    <xf numFmtId="0" fontId="362" fillId="90" borderId="0" applyNumberFormat="0" applyFont="0" applyBorder="0" applyAlignment="0">
      <alignment horizontal="center"/>
    </xf>
    <xf numFmtId="41" fontId="147" fillId="20" borderId="0">
      <alignment horizontal="center"/>
    </xf>
    <xf numFmtId="49" fontId="244" fillId="22" borderId="0">
      <alignment horizontal="center"/>
    </xf>
    <xf numFmtId="344" fontId="363" fillId="0" borderId="0" applyNumberFormat="0" applyFill="0" applyBorder="0" applyAlignment="0" applyProtection="0">
      <alignment horizontal="left"/>
    </xf>
    <xf numFmtId="344" fontId="364" fillId="0" borderId="0" applyNumberFormat="0" applyFill="0" applyBorder="0" applyAlignment="0" applyProtection="0">
      <alignment horizontal="left"/>
    </xf>
    <xf numFmtId="0" fontId="365" fillId="22" borderId="0" applyFont="0" applyFill="0" applyAlignment="0"/>
    <xf numFmtId="0" fontId="365" fillId="22" borderId="0" applyFont="0" applyFill="0" applyAlignment="0"/>
    <xf numFmtId="0" fontId="365" fillId="22" borderId="0" applyFont="0" applyFill="0" applyAlignment="0"/>
    <xf numFmtId="0" fontId="365" fillId="22" borderId="0" applyFont="0" applyFill="0" applyAlignment="0"/>
    <xf numFmtId="0" fontId="365" fillId="22" borderId="0" applyFont="0" applyFill="0" applyAlignment="0"/>
    <xf numFmtId="0" fontId="365" fillId="22" borderId="0" applyFont="0" applyFill="0" applyAlignment="0"/>
    <xf numFmtId="0" fontId="365" fillId="22" borderId="0" applyFont="0" applyFill="0" applyAlignment="0"/>
    <xf numFmtId="0" fontId="365" fillId="22" borderId="0" applyFont="0" applyFill="0" applyAlignment="0"/>
    <xf numFmtId="0" fontId="365" fillId="22" borderId="0" applyFont="0" applyFill="0" applyAlignment="0"/>
    <xf numFmtId="0" fontId="365" fillId="22" borderId="0" applyFont="0" applyFill="0" applyAlignment="0"/>
    <xf numFmtId="0" fontId="365" fillId="22" borderId="0" applyFont="0" applyFill="0" applyAlignment="0"/>
    <xf numFmtId="0" fontId="365" fillId="22" borderId="0" applyFont="0" applyFill="0" applyAlignment="0"/>
    <xf numFmtId="37" fontId="26" fillId="39" borderId="0" applyBorder="0" applyAlignment="0" applyProtection="0"/>
    <xf numFmtId="37" fontId="31" fillId="0" borderId="0" applyNumberFormat="0" applyFont="0" applyFill="0" applyBorder="0" applyAlignment="0" applyProtection="0"/>
    <xf numFmtId="37" fontId="31" fillId="0" borderId="0" applyNumberFormat="0" applyFont="0" applyFill="0" applyBorder="0" applyAlignment="0" applyProtection="0"/>
    <xf numFmtId="37" fontId="31" fillId="0" borderId="0" applyNumberFormat="0" applyFont="0" applyFill="0" applyBorder="0" applyAlignment="0" applyProtection="0"/>
    <xf numFmtId="41" fontId="52" fillId="25" borderId="0">
      <alignment horizontal="center"/>
    </xf>
    <xf numFmtId="41" fontId="52" fillId="25" borderId="0">
      <alignment horizontal="centerContinuous"/>
    </xf>
    <xf numFmtId="41" fontId="236" fillId="22" borderId="0">
      <alignment horizontal="left"/>
    </xf>
    <xf numFmtId="49" fontId="236" fillId="22" borderId="0">
      <alignment horizontal="center"/>
    </xf>
    <xf numFmtId="41" fontId="57" fillId="25" borderId="0">
      <alignment horizontal="left"/>
    </xf>
    <xf numFmtId="49" fontId="236" fillId="22" borderId="0">
      <alignment horizontal="left"/>
    </xf>
    <xf numFmtId="41" fontId="57" fillId="25" borderId="0">
      <alignment horizontal="centerContinuous"/>
    </xf>
    <xf numFmtId="41" fontId="57" fillId="25" borderId="0">
      <alignment horizontal="right"/>
    </xf>
    <xf numFmtId="49" fontId="147" fillId="22" borderId="0">
      <alignment horizontal="left"/>
    </xf>
    <xf numFmtId="281" fontId="8" fillId="0" borderId="0"/>
    <xf numFmtId="41" fontId="52" fillId="25" borderId="0">
      <alignment horizontal="right"/>
    </xf>
    <xf numFmtId="0" fontId="276" fillId="0" borderId="0" applyNumberFormat="0" applyFill="0" applyBorder="0" applyAlignment="0" applyProtection="0">
      <alignment vertical="top"/>
    </xf>
    <xf numFmtId="0" fontId="366" fillId="17" borderId="60" applyNumberFormat="0" applyAlignment="0">
      <protection locked="0"/>
    </xf>
    <xf numFmtId="0" fontId="367" fillId="0" borderId="88">
      <alignment vertical="center"/>
    </xf>
    <xf numFmtId="41" fontId="236" fillId="38" borderId="0">
      <alignment horizontal="center"/>
    </xf>
    <xf numFmtId="41" fontId="60" fillId="38" borderId="0">
      <alignment horizontal="center"/>
    </xf>
    <xf numFmtId="0" fontId="368" fillId="91" borderId="0"/>
    <xf numFmtId="0" fontId="369" fillId="76" borderId="0" applyNumberFormat="0" applyBorder="0" applyAlignment="0" applyProtection="0"/>
    <xf numFmtId="0" fontId="66" fillId="87" borderId="0" applyNumberFormat="0" applyFont="0" applyBorder="0" applyAlignment="0" applyProtection="0"/>
    <xf numFmtId="0" fontId="362" fillId="1" borderId="6" applyNumberFormat="0" applyFont="0" applyAlignment="0">
      <alignment horizontal="center"/>
    </xf>
    <xf numFmtId="1" fontId="8" fillId="0" borderId="0"/>
    <xf numFmtId="0" fontId="370" fillId="0" borderId="89">
      <alignment horizontal="center" vertical="center"/>
    </xf>
    <xf numFmtId="277" fontId="159" fillId="81" borderId="0">
      <alignment horizontal="right"/>
    </xf>
    <xf numFmtId="182" fontId="271" fillId="0" borderId="0" applyFill="0" applyBorder="0" applyAlignment="0" applyProtection="0"/>
    <xf numFmtId="0" fontId="283" fillId="80" borderId="0">
      <alignment horizontal="right" vertical="center"/>
    </xf>
    <xf numFmtId="0" fontId="284" fillId="0" borderId="0" applyNumberFormat="0" applyFill="0" applyBorder="0" applyAlignment="0">
      <alignment horizontal="center"/>
    </xf>
    <xf numFmtId="0" fontId="371" fillId="0" borderId="0"/>
    <xf numFmtId="192" fontId="220" fillId="0" borderId="0"/>
    <xf numFmtId="0" fontId="372" fillId="0" borderId="24" applyProtection="0">
      <alignment horizontal="centerContinuous"/>
    </xf>
    <xf numFmtId="0" fontId="8" fillId="0" borderId="0"/>
    <xf numFmtId="0" fontId="8" fillId="0" borderId="0"/>
    <xf numFmtId="0" fontId="8" fillId="0" borderId="0">
      <alignment horizontal="left" wrapText="1"/>
    </xf>
    <xf numFmtId="37" fontId="31" fillId="0" borderId="90" applyBorder="0"/>
    <xf numFmtId="0" fontId="8" fillId="0" borderId="0">
      <alignment horizontal="left" wrapText="1"/>
    </xf>
    <xf numFmtId="37" fontId="31" fillId="0" borderId="90" applyBorder="0"/>
    <xf numFmtId="37" fontId="59" fillId="0" borderId="90" applyBorder="0"/>
    <xf numFmtId="37" fontId="8" fillId="0" borderId="90" applyBorder="0"/>
    <xf numFmtId="37" fontId="141" fillId="0" borderId="90" applyBorder="0"/>
    <xf numFmtId="37" fontId="14" fillId="29" borderId="91" applyBorder="0">
      <alignment vertical="center"/>
    </xf>
    <xf numFmtId="0" fontId="373" fillId="0" borderId="0"/>
    <xf numFmtId="0" fontId="26" fillId="0" borderId="0"/>
    <xf numFmtId="40" fontId="374" fillId="0" borderId="0" applyBorder="0">
      <alignment horizontal="right"/>
    </xf>
    <xf numFmtId="0" fontId="26" fillId="0" borderId="0" applyNumberFormat="0" applyFont="0"/>
    <xf numFmtId="0" fontId="315" fillId="0" borderId="0"/>
    <xf numFmtId="0" fontId="375" fillId="0" borderId="0"/>
    <xf numFmtId="0" fontId="54" fillId="0" borderId="0" applyFill="0" applyBorder="0" applyProtection="0">
      <alignment horizontal="center" vertical="center"/>
    </xf>
    <xf numFmtId="0" fontId="376" fillId="0" borderId="0" applyBorder="0" applyProtection="0">
      <alignment vertical="center"/>
    </xf>
    <xf numFmtId="0" fontId="8" fillId="0" borderId="2" applyBorder="0" applyProtection="0">
      <alignment horizontal="right" vertical="center"/>
    </xf>
    <xf numFmtId="0" fontId="377" fillId="92" borderId="0" applyBorder="0" applyProtection="0">
      <alignment horizontal="centerContinuous" vertical="center"/>
    </xf>
    <xf numFmtId="0" fontId="377" fillId="24" borderId="2" applyBorder="0" applyProtection="0">
      <alignment horizontal="centerContinuous" vertical="center"/>
    </xf>
    <xf numFmtId="0" fontId="378" fillId="0" borderId="0"/>
    <xf numFmtId="0" fontId="54" fillId="0" borderId="0" applyFill="0" applyBorder="0" applyProtection="0"/>
    <xf numFmtId="0" fontId="338" fillId="0" borderId="0"/>
    <xf numFmtId="0" fontId="26" fillId="0" borderId="0" applyFill="0" applyBorder="0" applyProtection="0">
      <alignment horizontal="left"/>
    </xf>
    <xf numFmtId="0" fontId="228" fillId="0" borderId="0" applyFill="0" applyBorder="0" applyProtection="0">
      <alignment horizontal="left" vertical="top"/>
    </xf>
    <xf numFmtId="0" fontId="360" fillId="0" borderId="0">
      <alignment horizontal="centerContinuous"/>
    </xf>
    <xf numFmtId="2" fontId="280" fillId="0" borderId="0"/>
    <xf numFmtId="0" fontId="8" fillId="0" borderId="0" applyNumberFormat="0" applyFont="0" applyAlignment="0" applyProtection="0"/>
    <xf numFmtId="0" fontId="8" fillId="0" borderId="0"/>
    <xf numFmtId="345" fontId="8" fillId="0" borderId="8" applyFont="0" applyFill="0" applyBorder="0" applyAlignment="0" applyProtection="0">
      <protection locked="0" hidden="1"/>
    </xf>
    <xf numFmtId="0" fontId="269" fillId="0" borderId="84">
      <alignment horizontal="left" vertical="top" wrapText="1"/>
    </xf>
    <xf numFmtId="0" fontId="379" fillId="39" borderId="0">
      <alignment horizontal="left" vertical="center" indent="1"/>
    </xf>
    <xf numFmtId="0" fontId="380" fillId="0" borderId="0"/>
    <xf numFmtId="0" fontId="379" fillId="39" borderId="0">
      <alignment horizontal="left" vertical="center" indent="1"/>
    </xf>
    <xf numFmtId="0" fontId="379" fillId="39" borderId="0">
      <alignment horizontal="left" vertical="center" indent="1"/>
    </xf>
    <xf numFmtId="0" fontId="379" fillId="39" borderId="0">
      <alignment horizontal="left" vertical="center" indent="1"/>
    </xf>
    <xf numFmtId="0" fontId="379" fillId="39" borderId="0">
      <alignment horizontal="left" vertical="center" indent="1"/>
    </xf>
    <xf numFmtId="0" fontId="379" fillId="39" borderId="0">
      <alignment horizontal="left" vertical="center" indent="1"/>
    </xf>
    <xf numFmtId="0" fontId="379" fillId="39" borderId="0">
      <alignment horizontal="left" vertical="center" indent="1"/>
    </xf>
    <xf numFmtId="0" fontId="379" fillId="39" borderId="0">
      <alignment horizontal="left" vertical="center" indent="1"/>
    </xf>
    <xf numFmtId="0" fontId="379" fillId="39" borderId="0">
      <alignment horizontal="left" vertical="center" indent="1"/>
    </xf>
    <xf numFmtId="0" fontId="379" fillId="39" borderId="0">
      <alignment horizontal="left" vertical="center" indent="1"/>
    </xf>
    <xf numFmtId="0" fontId="379" fillId="39" borderId="0">
      <alignment horizontal="left" vertical="center" indent="1"/>
    </xf>
    <xf numFmtId="0" fontId="379" fillId="39" borderId="0">
      <alignment horizontal="left" vertical="center" indent="1"/>
    </xf>
    <xf numFmtId="0" fontId="381" fillId="0" borderId="0"/>
    <xf numFmtId="49" fontId="81" fillId="0" borderId="0" applyFill="0" applyBorder="0" applyAlignment="0"/>
    <xf numFmtId="306" fontId="35" fillId="0" borderId="0" applyFill="0" applyBorder="0" applyAlignment="0"/>
    <xf numFmtId="346" fontId="55" fillId="0" borderId="0" applyFill="0" applyBorder="0" applyAlignment="0"/>
    <xf numFmtId="347" fontId="8" fillId="0" borderId="0" applyFill="0" applyBorder="0" applyAlignment="0"/>
    <xf numFmtId="348" fontId="55" fillId="0" borderId="0" applyFill="0" applyBorder="0" applyAlignment="0"/>
    <xf numFmtId="0" fontId="59" fillId="81" borderId="0"/>
    <xf numFmtId="0" fontId="31" fillId="81" borderId="0">
      <alignment horizontal="left"/>
    </xf>
    <xf numFmtId="0" fontId="31" fillId="81" borderId="0">
      <alignment horizontal="left" indent="1"/>
    </xf>
    <xf numFmtId="0" fontId="31" fillId="81" borderId="0">
      <alignment horizontal="left" vertical="center" indent="2"/>
    </xf>
    <xf numFmtId="0" fontId="157" fillId="0" borderId="0">
      <alignment horizontal="centerContinuous" wrapText="1"/>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6" fillId="0" borderId="6" applyNumberFormat="0" applyBorder="0" applyAlignment="0">
      <alignment horizontal="left"/>
    </xf>
    <xf numFmtId="0" fontId="8"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349" fontId="181"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applyNumberForma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applyNumberFormat="0" applyFill="0" applyBorder="0" applyAlignment="0" applyProtection="0"/>
    <xf numFmtId="9" fontId="8" fillId="0" borderId="0"/>
    <xf numFmtId="9" fontId="8" fillId="0" borderId="0"/>
    <xf numFmtId="9" fontId="8" fillId="0" borderId="0"/>
    <xf numFmtId="9" fontId="8" fillId="0" borderId="0"/>
    <xf numFmtId="9" fontId="8" fillId="0" borderId="0"/>
    <xf numFmtId="9" fontId="8" fillId="0" borderId="0"/>
    <xf numFmtId="9" fontId="8" fillId="0" borderId="0"/>
    <xf numFmtId="0" fontId="35" fillId="0" borderId="0"/>
    <xf numFmtId="0" fontId="35" fillId="0" borderId="0"/>
    <xf numFmtId="0" fontId="35" fillId="0" borderId="0"/>
    <xf numFmtId="0" fontId="35" fillId="0" borderId="0"/>
    <xf numFmtId="0" fontId="35" fillId="0" borderId="0"/>
    <xf numFmtId="220" fontId="35" fillId="0" borderId="0"/>
    <xf numFmtId="0" fontId="35" fillId="0" borderId="0"/>
    <xf numFmtId="0" fontId="35" fillId="0" borderId="0"/>
    <xf numFmtId="0" fontId="35" fillId="0" borderId="0"/>
    <xf numFmtId="0" fontId="35" fillId="0" borderId="0"/>
    <xf numFmtId="0" fontId="35" fillId="0" borderId="0"/>
    <xf numFmtId="179" fontId="8" fillId="0" borderId="0"/>
    <xf numFmtId="179" fontId="8" fillId="0" borderId="0"/>
    <xf numFmtId="179" fontId="8" fillId="0" borderId="0"/>
    <xf numFmtId="179" fontId="8" fillId="0" borderId="0"/>
    <xf numFmtId="179" fontId="8" fillId="0" borderId="0"/>
    <xf numFmtId="179" fontId="8" fillId="0" borderId="0"/>
    <xf numFmtId="179" fontId="8" fillId="0" borderId="0"/>
    <xf numFmtId="10" fontId="382" fillId="0" borderId="0" applyFont="0" applyFill="0" applyBorder="0" applyAlignment="0" applyProtection="0"/>
    <xf numFmtId="0" fontId="383" fillId="0" borderId="0" applyFont="0" applyFill="0" applyBorder="0" applyAlignment="0" applyProtection="0"/>
    <xf numFmtId="0" fontId="383" fillId="0" borderId="0" applyFont="0" applyFill="0" applyBorder="0" applyAlignment="0" applyProtection="0"/>
    <xf numFmtId="0" fontId="384" fillId="0" borderId="0" applyFont="0" applyFill="0" applyBorder="0" applyAlignment="0" applyProtection="0"/>
    <xf numFmtId="0" fontId="384" fillId="0" borderId="0" applyFont="0" applyFill="0" applyBorder="0" applyAlignment="0" applyProtection="0"/>
    <xf numFmtId="0" fontId="384" fillId="0" borderId="0" applyFont="0" applyFill="0" applyBorder="0" applyAlignment="0" applyProtection="0"/>
    <xf numFmtId="0" fontId="384" fillId="0" borderId="0" applyFont="0" applyFill="0" applyBorder="0" applyAlignment="0" applyProtection="0"/>
    <xf numFmtId="0" fontId="383" fillId="0" borderId="0" applyFont="0" applyFill="0" applyBorder="0" applyAlignment="0" applyProtection="0"/>
    <xf numFmtId="0" fontId="383" fillId="0" borderId="0" applyFont="0" applyFill="0" applyBorder="0" applyAlignment="0" applyProtection="0"/>
    <xf numFmtId="0" fontId="384" fillId="0" borderId="0" applyFont="0" applyFill="0" applyBorder="0" applyAlignment="0" applyProtection="0"/>
    <xf numFmtId="0" fontId="8" fillId="0" borderId="0" applyFont="0" applyFill="0" applyBorder="0" applyAlignment="0" applyProtection="0"/>
    <xf numFmtId="0" fontId="384" fillId="0" borderId="0" applyFont="0" applyFill="0" applyBorder="0" applyAlignment="0" applyProtection="0"/>
    <xf numFmtId="0" fontId="8" fillId="0" borderId="0" applyFont="0" applyFill="0" applyBorder="0" applyAlignment="0" applyProtection="0"/>
    <xf numFmtId="1" fontId="72" fillId="12" borderId="47" applyNumberFormat="0" applyBorder="0" applyAlignment="0">
      <alignment horizontal="center" vertical="top" wrapText="1"/>
      <protection hidden="1"/>
    </xf>
    <xf numFmtId="0" fontId="36" fillId="0" borderId="0"/>
    <xf numFmtId="0" fontId="36" fillId="0" borderId="0"/>
    <xf numFmtId="0" fontId="36" fillId="0" borderId="0"/>
    <xf numFmtId="0" fontId="36" fillId="0" borderId="0"/>
    <xf numFmtId="0" fontId="385" fillId="0" borderId="0"/>
    <xf numFmtId="0" fontId="386" fillId="0" borderId="0"/>
    <xf numFmtId="0" fontId="385" fillId="0" borderId="0"/>
    <xf numFmtId="0" fontId="385" fillId="0" borderId="0"/>
    <xf numFmtId="0" fontId="387" fillId="0" borderId="0"/>
    <xf numFmtId="0" fontId="384" fillId="0" borderId="0"/>
    <xf numFmtId="0" fontId="387" fillId="0" borderId="0"/>
    <xf numFmtId="0" fontId="384" fillId="0" borderId="0"/>
    <xf numFmtId="0" fontId="387" fillId="0" borderId="0"/>
    <xf numFmtId="0" fontId="384"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9" fontId="8" fillId="0" borderId="0" applyFill="0" applyBorder="0">
      <alignment horizontal="right" vertical="center"/>
    </xf>
    <xf numFmtId="49" fontId="8" fillId="0" borderId="0" applyFill="0" applyBorder="0">
      <alignment horizontal="right" vertical="center"/>
    </xf>
    <xf numFmtId="49" fontId="8" fillId="0" borderId="0" applyFill="0" applyBorder="0">
      <alignment horizontal="right" vertical="center"/>
    </xf>
    <xf numFmtId="49" fontId="8" fillId="0" borderId="0" applyFill="0" applyBorder="0">
      <alignment horizontal="right" vertical="center"/>
    </xf>
    <xf numFmtId="49" fontId="8" fillId="0" borderId="0" applyFill="0" applyBorder="0">
      <alignment horizontal="right" vertical="center"/>
    </xf>
    <xf numFmtId="49" fontId="8" fillId="0" borderId="0" applyFill="0" applyBorder="0">
      <alignment horizontal="right" vertical="center"/>
    </xf>
    <xf numFmtId="49" fontId="8" fillId="0" borderId="0" applyFill="0" applyBorder="0">
      <alignment horizontal="right" vertical="center"/>
    </xf>
    <xf numFmtId="49" fontId="8" fillId="0" borderId="0" applyFill="0" applyBorder="0">
      <alignment horizontal="right" vertical="center"/>
    </xf>
    <xf numFmtId="49" fontId="8" fillId="0" borderId="0" applyFill="0" applyBorder="0">
      <alignment horizontal="right" vertical="center"/>
    </xf>
    <xf numFmtId="49" fontId="8" fillId="0" borderId="0" applyFill="0" applyBorder="0">
      <alignment horizontal="right" vertical="center"/>
    </xf>
    <xf numFmtId="49" fontId="8" fillId="0" borderId="0" applyFill="0" applyBorder="0">
      <alignment horizontal="right" vertical="center"/>
    </xf>
    <xf numFmtId="49" fontId="8" fillId="0" borderId="0" applyFill="0" applyBorder="0">
      <alignment horizontal="right" vertical="center"/>
    </xf>
    <xf numFmtId="49" fontId="8" fillId="0" borderId="0" applyFill="0" applyBorder="0">
      <alignment horizontal="right" vertical="center"/>
    </xf>
    <xf numFmtId="49" fontId="8" fillId="0" borderId="0" applyFill="0" applyBorder="0">
      <alignment horizontal="right" vertical="center"/>
    </xf>
    <xf numFmtId="254" fontId="157" fillId="0" borderId="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0" fontId="39" fillId="0" borderId="0"/>
    <xf numFmtId="0" fontId="39" fillId="0" borderId="0"/>
    <xf numFmtId="0" fontId="39" fillId="0" borderId="0"/>
    <xf numFmtId="0" fontId="39" fillId="0" borderId="0"/>
    <xf numFmtId="0" fontId="39" fillId="0" borderId="16">
      <alignment horizontal="centerContinuous"/>
    </xf>
    <xf numFmtId="0" fontId="39" fillId="0" borderId="16">
      <alignment horizontal="centerContinuous"/>
    </xf>
    <xf numFmtId="0" fontId="39" fillId="0" borderId="16">
      <alignment horizontal="centerContinuous"/>
    </xf>
    <xf numFmtId="0" fontId="39" fillId="0" borderId="16">
      <alignment horizontal="centerContinuous"/>
    </xf>
    <xf numFmtId="0" fontId="8" fillId="0" borderId="0">
      <alignment vertical="top"/>
    </xf>
    <xf numFmtId="0" fontId="8" fillId="0" borderId="0">
      <alignment vertical="top"/>
    </xf>
    <xf numFmtId="0" fontId="8" fillId="0" borderId="0">
      <alignment vertical="top"/>
    </xf>
    <xf numFmtId="0" fontId="8" fillId="0" borderId="0">
      <alignment vertical="top"/>
    </xf>
    <xf numFmtId="0" fontId="8" fillId="0" borderId="0">
      <alignment vertical="top"/>
    </xf>
    <xf numFmtId="0" fontId="8" fillId="0" borderId="0">
      <alignment vertical="top"/>
    </xf>
    <xf numFmtId="0" fontId="8" fillId="0" borderId="0">
      <alignment vertical="top"/>
    </xf>
    <xf numFmtId="0" fontId="8" fillId="0" borderId="0">
      <alignment vertical="top"/>
    </xf>
    <xf numFmtId="0" fontId="8" fillId="0" borderId="0">
      <alignment vertical="top"/>
    </xf>
    <xf numFmtId="0" fontId="8" fillId="0" borderId="0">
      <alignment vertical="top"/>
    </xf>
    <xf numFmtId="0" fontId="8" fillId="0" borderId="0">
      <alignment vertical="top"/>
    </xf>
    <xf numFmtId="0" fontId="8" fillId="0" borderId="0">
      <alignment vertical="top"/>
    </xf>
    <xf numFmtId="0" fontId="8" fillId="0" borderId="0">
      <alignment vertical="top"/>
    </xf>
    <xf numFmtId="44" fontId="107" fillId="0" borderId="0" applyFont="0" applyFill="0" applyBorder="0" applyAlignment="0" applyProtection="0"/>
    <xf numFmtId="0" fontId="8" fillId="0" borderId="0">
      <alignment vertical="top"/>
    </xf>
    <xf numFmtId="0" fontId="8" fillId="0" borderId="0">
      <alignment vertical="top"/>
    </xf>
    <xf numFmtId="0" fontId="8" fillId="0" borderId="0">
      <alignment vertical="top"/>
    </xf>
    <xf numFmtId="0" fontId="8" fillId="0" borderId="0">
      <alignment vertical="top"/>
    </xf>
    <xf numFmtId="0" fontId="8" fillId="0" borderId="0">
      <alignment vertical="top"/>
    </xf>
    <xf numFmtId="0" fontId="8" fillId="0" borderId="0">
      <alignment vertical="top"/>
    </xf>
    <xf numFmtId="43" fontId="107" fillId="0" borderId="0" applyFont="0" applyFill="0" applyBorder="0" applyAlignment="0" applyProtection="0"/>
    <xf numFmtId="214" fontId="92" fillId="17" borderId="47" applyBorder="0">
      <alignment horizontal="right" vertical="center"/>
      <protection locked="0"/>
    </xf>
    <xf numFmtId="0" fontId="7" fillId="0" borderId="0"/>
    <xf numFmtId="1" fontId="8" fillId="0" borderId="0">
      <alignment horizontal="center"/>
    </xf>
    <xf numFmtId="1" fontId="8" fillId="0" borderId="0">
      <alignment horizontal="center"/>
    </xf>
    <xf numFmtId="1" fontId="8" fillId="0" borderId="0">
      <alignment horizontal="center"/>
    </xf>
    <xf numFmtId="1" fontId="8" fillId="0" borderId="0">
      <alignment horizontal="center"/>
    </xf>
    <xf numFmtId="1" fontId="8" fillId="0" borderId="0">
      <alignment horizontal="center"/>
    </xf>
    <xf numFmtId="1" fontId="8" fillId="0" borderId="0">
      <alignment horizontal="center"/>
    </xf>
    <xf numFmtId="1" fontId="8" fillId="0" borderId="0">
      <alignment horizontal="center"/>
    </xf>
    <xf numFmtId="0" fontId="388" fillId="0" borderId="0" applyFont="0" applyFill="0" applyBorder="0" applyAlignment="0" applyProtection="0"/>
    <xf numFmtId="0" fontId="388" fillId="0" borderId="0" applyFont="0" applyFill="0" applyBorder="0" applyAlignment="0" applyProtection="0"/>
    <xf numFmtId="0" fontId="8" fillId="0" borderId="0" applyNumberFormat="0" applyFill="0" applyBorder="0" applyAlignment="0" applyProtection="0">
      <alignment vertical="top"/>
      <protection locked="0"/>
    </xf>
    <xf numFmtId="0" fontId="8" fillId="0" borderId="0" applyFont="0" applyFill="0" applyBorder="0" applyAlignment="0" applyProtection="0"/>
    <xf numFmtId="304" fontId="8" fillId="0" borderId="0"/>
    <xf numFmtId="2" fontId="8" fillId="0" borderId="0" applyFont="0" applyFill="0" applyBorder="0" applyAlignment="0" applyProtection="0"/>
    <xf numFmtId="0" fontId="8" fillId="0" borderId="0" applyNumberFormat="0" applyFill="0" applyBorder="0" applyAlignment="0" applyProtection="0"/>
    <xf numFmtId="0" fontId="7" fillId="0" borderId="0"/>
    <xf numFmtId="0" fontId="8" fillId="0" borderId="0" applyNumberFormat="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193" fillId="0" borderId="47" applyNumberFormat="0" applyFont="0" applyFill="0" applyAlignment="0" applyProtection="0"/>
    <xf numFmtId="0" fontId="84" fillId="0" borderId="0"/>
    <xf numFmtId="0" fontId="93" fillId="0" borderId="0"/>
    <xf numFmtId="0" fontId="31" fillId="0" borderId="47" applyFill="0" applyBorder="0" applyProtection="0">
      <alignment horizontal="left" vertical="top"/>
    </xf>
    <xf numFmtId="0" fontId="8" fillId="0" borderId="0" applyNumberFormat="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applyNumberFormat="0" applyFont="0" applyFill="0" applyBorder="0" applyAlignment="0" applyProtection="0"/>
    <xf numFmtId="0" fontId="5" fillId="0" borderId="0"/>
    <xf numFmtId="43" fontId="5" fillId="0" borderId="0" applyFon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43" fontId="5" fillId="0" borderId="0" applyFon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8" fillId="0" borderId="0" applyNumberFormat="0" applyFont="0" applyFill="0" applyBorder="0" applyAlignment="0" applyProtection="0"/>
    <xf numFmtId="0" fontId="4" fillId="0" borderId="0"/>
    <xf numFmtId="43"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applyNumberFormat="0" applyFont="0" applyFill="0" applyBorder="0" applyAlignment="0" applyProtection="0"/>
    <xf numFmtId="0" fontId="3" fillId="0" borderId="0"/>
    <xf numFmtId="0" fontId="3" fillId="0" borderId="0"/>
    <xf numFmtId="43"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0" fontId="8" fillId="0" borderId="0" applyNumberFormat="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43"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43"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43"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8" fillId="0" borderId="0" applyNumberFormat="0" applyFont="0" applyFill="0" applyBorder="0" applyAlignment="0" applyProtection="0"/>
    <xf numFmtId="0" fontId="8" fillId="0" borderId="0"/>
    <xf numFmtId="0" fontId="8"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3" fontId="157"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3" fontId="157" fillId="0" borderId="0"/>
    <xf numFmtId="0" fontId="8" fillId="0" borderId="0" applyNumberFormat="0" applyFill="0" applyBorder="0" applyAlignment="0" applyProtection="0"/>
    <xf numFmtId="3" fontId="157" fillId="0" borderId="0"/>
    <xf numFmtId="3" fontId="157" fillId="0" borderId="0"/>
    <xf numFmtId="0" fontId="8" fillId="0" borderId="0" applyNumberFormat="0" applyFill="0" applyBorder="0" applyAlignment="0" applyProtection="0"/>
    <xf numFmtId="3" fontId="157"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3" fontId="157" fillId="0" borderId="0"/>
    <xf numFmtId="0" fontId="66" fillId="0" borderId="0"/>
    <xf numFmtId="256" fontId="66" fillId="0" borderId="0" applyFont="0" applyFill="0" applyBorder="0" applyAlignment="0" applyProtection="0"/>
    <xf numFmtId="257" fontId="66" fillId="0" borderId="0" applyFont="0" applyFill="0" applyBorder="0" applyAlignment="0" applyProtection="0"/>
    <xf numFmtId="352" fontId="67" fillId="0" borderId="0" applyFont="0" applyFill="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258" fontId="66" fillId="0" borderId="0" applyFont="0" applyFill="0" applyBorder="0" applyAlignment="0" applyProtection="0"/>
    <xf numFmtId="353" fontId="66" fillId="0" borderId="0" applyFont="0" applyFill="0" applyBorder="0" applyAlignment="0" applyProtection="0"/>
    <xf numFmtId="0" fontId="391" fillId="0" borderId="0">
      <alignment horizontal="right"/>
    </xf>
    <xf numFmtId="0" fontId="38" fillId="0" borderId="0"/>
    <xf numFmtId="0" fontId="8" fillId="6" borderId="0" applyNumberFormat="0" applyFont="0" applyAlignment="0"/>
    <xf numFmtId="354" fontId="80" fillId="0" borderId="0">
      <alignment horizontal="right"/>
    </xf>
    <xf numFmtId="0" fontId="392" fillId="0" borderId="0"/>
    <xf numFmtId="355" fontId="204" fillId="0" borderId="0">
      <alignment horizontal="right"/>
    </xf>
    <xf numFmtId="0" fontId="8" fillId="0" borderId="0">
      <alignment horizontal="center" wrapText="1"/>
      <protection hidden="1"/>
    </xf>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158" fillId="17" borderId="0" applyNumberFormat="0" applyFill="0" applyBorder="0" applyAlignment="0"/>
    <xf numFmtId="0" fontId="393" fillId="93" borderId="0">
      <alignment horizontal="center" vertical="center" wrapText="1"/>
    </xf>
    <xf numFmtId="356" fontId="8" fillId="0" borderId="0" applyFill="0" applyBorder="0">
      <alignment horizontal="right"/>
      <protection locked="0"/>
    </xf>
    <xf numFmtId="202" fontId="394" fillId="0" borderId="0"/>
    <xf numFmtId="202" fontId="394" fillId="0" borderId="0"/>
    <xf numFmtId="8" fontId="35" fillId="0" borderId="0" applyFont="0" applyFill="0" applyBorder="0" applyAlignment="0" applyProtection="0"/>
    <xf numFmtId="8" fontId="35" fillId="0" borderId="0" applyFont="0" applyFill="0" applyBorder="0" applyAlignment="0" applyProtection="0"/>
    <xf numFmtId="186" fontId="395" fillId="0" borderId="0" applyFont="0" applyFill="0" applyBorder="0" applyAlignment="0" applyProtection="0"/>
    <xf numFmtId="295" fontId="8" fillId="0" borderId="0" applyFont="0" applyFill="0" applyBorder="0" applyAlignment="0" applyProtection="0"/>
    <xf numFmtId="0" fontId="35" fillId="0" borderId="0" applyFont="0" applyFill="0" applyBorder="0" applyAlignment="0">
      <protection locked="0"/>
    </xf>
    <xf numFmtId="44" fontId="8" fillId="0" borderId="0" applyFont="0" applyFill="0" applyBorder="0" applyAlignment="0" applyProtection="0"/>
    <xf numFmtId="37" fontId="58" fillId="0" borderId="93" applyAlignment="0">
      <protection locked="0"/>
    </xf>
    <xf numFmtId="10" fontId="58" fillId="0" borderId="93" applyAlignment="0">
      <protection locked="0"/>
    </xf>
    <xf numFmtId="37" fontId="58" fillId="0" borderId="93" applyAlignment="0">
      <protection locked="0"/>
    </xf>
    <xf numFmtId="182" fontId="204" fillId="0" borderId="0"/>
    <xf numFmtId="2" fontId="237" fillId="58" borderId="0">
      <alignment horizontal="left"/>
      <protection hidden="1"/>
    </xf>
    <xf numFmtId="247" fontId="204" fillId="0" borderId="0"/>
    <xf numFmtId="249" fontId="204" fillId="0" borderId="0"/>
    <xf numFmtId="213" fontId="80" fillId="0" borderId="0"/>
    <xf numFmtId="2" fontId="204" fillId="0" borderId="0"/>
    <xf numFmtId="252" fontId="80" fillId="0" borderId="0"/>
    <xf numFmtId="249" fontId="204" fillId="0" borderId="0"/>
    <xf numFmtId="250" fontId="396" fillId="0" borderId="0" applyBorder="0" applyAlignment="0"/>
    <xf numFmtId="10" fontId="397" fillId="0" borderId="0">
      <protection locked="0"/>
    </xf>
    <xf numFmtId="15" fontId="397" fillId="0" borderId="0">
      <protection locked="0"/>
    </xf>
    <xf numFmtId="2" fontId="397" fillId="0" borderId="26">
      <protection locked="0"/>
    </xf>
    <xf numFmtId="37" fontId="59" fillId="6" borderId="0"/>
    <xf numFmtId="37" fontId="56" fillId="6" borderId="0"/>
    <xf numFmtId="0" fontId="397" fillId="0" borderId="0">
      <protection locked="0"/>
    </xf>
    <xf numFmtId="196" fontId="8" fillId="0" borderId="0" applyFill="0" applyBorder="0">
      <alignment horizontal="right"/>
      <protection locked="0"/>
    </xf>
    <xf numFmtId="0" fontId="26" fillId="29" borderId="34">
      <alignment horizontal="left" vertical="center" wrapText="1"/>
    </xf>
    <xf numFmtId="4" fontId="204" fillId="0" borderId="0"/>
    <xf numFmtId="357" fontId="80" fillId="0" borderId="0"/>
    <xf numFmtId="0" fontId="35" fillId="0" borderId="0"/>
    <xf numFmtId="0" fontId="8" fillId="0" borderId="0" applyNumberFormat="0" applyFill="0" applyBorder="0" applyAlignment="0" applyProtection="0"/>
    <xf numFmtId="0" fontId="35" fillId="0" borderId="0"/>
    <xf numFmtId="0" fontId="2" fillId="0" borderId="0"/>
    <xf numFmtId="0" fontId="2" fillId="0" borderId="0"/>
    <xf numFmtId="0" fontId="35" fillId="0" borderId="0"/>
    <xf numFmtId="0" fontId="35" fillId="0" borderId="0"/>
    <xf numFmtId="234" fontId="59" fillId="0" borderId="0" applyNumberFormat="0" applyFill="0" applyBorder="0" applyAlignment="0" applyProtection="0"/>
    <xf numFmtId="0" fontId="398" fillId="0" borderId="26"/>
    <xf numFmtId="38" fontId="399" fillId="0" borderId="0"/>
    <xf numFmtId="3" fontId="157" fillId="0" borderId="17" applyBorder="0"/>
    <xf numFmtId="234" fontId="54" fillId="0" borderId="0" applyFont="0" applyBorder="0">
      <alignment horizontal="right"/>
    </xf>
    <xf numFmtId="1" fontId="54" fillId="0" borderId="0">
      <alignment horizontal="right"/>
    </xf>
    <xf numFmtId="37" fontId="58" fillId="0" borderId="93">
      <protection locked="0"/>
    </xf>
    <xf numFmtId="10" fontId="399" fillId="0" borderId="0"/>
    <xf numFmtId="9" fontId="35" fillId="0" borderId="0" applyFont="0" applyFill="0" applyBorder="0" applyAlignment="0" applyProtection="0"/>
    <xf numFmtId="9" fontId="35" fillId="0" borderId="0" applyFont="0" applyFill="0" applyBorder="0" applyAlignment="0" applyProtection="0"/>
    <xf numFmtId="358" fontId="80" fillId="0" borderId="0">
      <alignment horizontal="right"/>
    </xf>
    <xf numFmtId="10" fontId="395" fillId="0" borderId="0" applyFont="0" applyFill="0" applyBorder="0" applyAlignment="0" applyProtection="0"/>
    <xf numFmtId="234" fontId="400" fillId="0" borderId="0">
      <alignment horizontal="right"/>
    </xf>
    <xf numFmtId="359" fontId="8" fillId="0" borderId="0" applyFill="0" applyBorder="0">
      <alignment horizontal="right"/>
      <protection locked="0"/>
    </xf>
    <xf numFmtId="37" fontId="58" fillId="0" borderId="0">
      <protection locked="0"/>
    </xf>
    <xf numFmtId="238" fontId="67" fillId="0" borderId="0" applyFill="0" applyBorder="0">
      <alignment horizontal="right"/>
      <protection locked="0"/>
    </xf>
    <xf numFmtId="2" fontId="399" fillId="0" borderId="0"/>
    <xf numFmtId="360" fontId="8" fillId="0" borderId="0">
      <alignment horizontal="right"/>
      <protection locked="0"/>
    </xf>
    <xf numFmtId="49" fontId="157" fillId="0" borderId="0">
      <alignment horizontal="right"/>
    </xf>
    <xf numFmtId="37" fontId="35" fillId="0" borderId="0" applyFont="0" applyFill="0" applyBorder="0" applyAlignment="0" applyProtection="0"/>
    <xf numFmtId="0" fontId="396" fillId="0" borderId="0" applyNumberFormat="0" applyFill="0" applyBorder="0" applyAlignment="0" applyProtection="0"/>
    <xf numFmtId="361" fontId="401" fillId="0" borderId="0" applyFill="0" applyBorder="0">
      <alignment horizontal="right"/>
      <protection hidden="1"/>
    </xf>
    <xf numFmtId="0" fontId="56" fillId="93" borderId="8">
      <alignment horizontal="center" vertical="center" wrapText="1"/>
      <protection hidden="1"/>
    </xf>
    <xf numFmtId="0" fontId="52" fillId="24" borderId="0">
      <alignment horizontal="right"/>
    </xf>
    <xf numFmtId="3" fontId="31" fillId="0" borderId="0"/>
    <xf numFmtId="182" fontId="80" fillId="0" borderId="0"/>
    <xf numFmtId="362" fontId="67" fillId="0" borderId="0">
      <protection locked="0"/>
    </xf>
    <xf numFmtId="0" fontId="81" fillId="0" borderId="1" applyBorder="0">
      <alignment horizontal="center"/>
    </xf>
    <xf numFmtId="0" fontId="8" fillId="0" borderId="0"/>
    <xf numFmtId="38" fontId="8" fillId="0" borderId="0" applyNumberFormat="0" applyBorder="0">
      <alignment horizontal="left"/>
    </xf>
    <xf numFmtId="0" fontId="399" fillId="0" borderId="0"/>
    <xf numFmtId="3" fontId="402" fillId="0" borderId="0"/>
    <xf numFmtId="0" fontId="57" fillId="94" borderId="0" applyNumberFormat="0" applyBorder="0">
      <alignment horizontal="centerContinuous"/>
    </xf>
    <xf numFmtId="0" fontId="8" fillId="0" borderId="0" applyBorder="0"/>
    <xf numFmtId="0" fontId="54" fillId="0" borderId="6">
      <alignment horizontal="center" wrapText="1"/>
    </xf>
    <xf numFmtId="3" fontId="54" fillId="0" borderId="2" applyNumberFormat="0"/>
    <xf numFmtId="38" fontId="8" fillId="0" borderId="0">
      <alignment horizontal="right"/>
    </xf>
    <xf numFmtId="0" fontId="8" fillId="0" borderId="0"/>
    <xf numFmtId="234" fontId="31" fillId="19" borderId="60">
      <alignment horizontal="right"/>
    </xf>
    <xf numFmtId="234" fontId="59" fillId="19" borderId="60"/>
    <xf numFmtId="1" fontId="403" fillId="0" borderId="0" applyFont="0">
      <alignment horizontal="right"/>
    </xf>
    <xf numFmtId="0" fontId="404" fillId="0" borderId="0"/>
    <xf numFmtId="256" fontId="404" fillId="0" borderId="0" applyFont="0" applyFill="0" applyBorder="0" applyAlignment="0" applyProtection="0"/>
    <xf numFmtId="257" fontId="404" fillId="0" borderId="0" applyFont="0" applyFill="0" applyBorder="0" applyAlignment="0" applyProtection="0"/>
    <xf numFmtId="9" fontId="157" fillId="0" borderId="0" applyFont="0" applyFill="0" applyBorder="0" applyProtection="0">
      <alignment horizontal="right"/>
    </xf>
    <xf numFmtId="258" fontId="404" fillId="0" borderId="0" applyFont="0" applyFill="0" applyBorder="0" applyAlignment="0" applyProtection="0"/>
    <xf numFmtId="353" fontId="404" fillId="0" borderId="0" applyFont="0" applyFill="0" applyBorder="0" applyAlignment="0" applyProtection="0"/>
    <xf numFmtId="0" fontId="405" fillId="0" borderId="0" applyNumberFormat="0" applyFill="0" applyBorder="0" applyAlignment="0" applyProtection="0">
      <alignment vertical="top"/>
      <protection locked="0"/>
    </xf>
    <xf numFmtId="249" fontId="204" fillId="0" borderId="0"/>
    <xf numFmtId="247" fontId="204" fillId="0" borderId="0"/>
    <xf numFmtId="249" fontId="204" fillId="0" borderId="0"/>
    <xf numFmtId="247" fontId="204" fillId="0" borderId="0"/>
    <xf numFmtId="182" fontId="204" fillId="0" borderId="0"/>
    <xf numFmtId="182" fontId="204" fillId="0" borderId="0"/>
    <xf numFmtId="182" fontId="204" fillId="0" borderId="0"/>
    <xf numFmtId="182" fontId="204" fillId="0" borderId="0"/>
    <xf numFmtId="247" fontId="204" fillId="0" borderId="0"/>
    <xf numFmtId="182" fontId="204" fillId="0" borderId="0"/>
    <xf numFmtId="249" fontId="204" fillId="0" borderId="0"/>
    <xf numFmtId="247" fontId="204" fillId="0" borderId="0"/>
    <xf numFmtId="249" fontId="204" fillId="0" borderId="0"/>
    <xf numFmtId="247" fontId="204" fillId="0" borderId="0"/>
    <xf numFmtId="249" fontId="204"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applyNumberFormat="0" applyFont="0" applyFill="0" applyBorder="0" applyAlignment="0" applyProtection="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8" fillId="0" borderId="0" applyNumberFormat="0" applyFont="0" applyFill="0" applyBorder="0" applyAlignment="0" applyProtection="0"/>
    <xf numFmtId="0" fontId="340" fillId="0" borderId="94"/>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 fontId="397" fillId="0" borderId="94">
      <protection locked="0"/>
    </xf>
    <xf numFmtId="0" fontId="1" fillId="0" borderId="0"/>
    <xf numFmtId="0" fontId="1" fillId="0" borderId="0"/>
    <xf numFmtId="0" fontId="398" fillId="0" borderId="94"/>
    <xf numFmtId="0" fontId="81" fillId="0" borderId="47" applyBorder="0">
      <alignment horizontal="center"/>
    </xf>
    <xf numFmtId="0" fontId="8" fillId="0" borderId="0" applyNumberFormat="0" applyFont="0" applyFill="0" applyBorder="0" applyAlignment="0" applyProtection="0"/>
    <xf numFmtId="0" fontId="1" fillId="0" borderId="0"/>
    <xf numFmtId="0" fontId="8" fillId="0" borderId="0" applyNumberFormat="0" applyFont="0" applyFill="0" applyBorder="0" applyAlignment="0" applyProtection="0"/>
    <xf numFmtId="0" fontId="190" fillId="0" borderId="0"/>
  </cellStyleXfs>
  <cellXfs count="2253">
    <xf numFmtId="0" fontId="0" fillId="0" borderId="0" xfId="0"/>
    <xf numFmtId="0" fontId="8" fillId="0" borderId="0" xfId="2" applyFont="1"/>
    <xf numFmtId="0" fontId="10" fillId="0" borderId="0" xfId="2" applyFont="1" applyFill="1" applyAlignment="1">
      <alignment vertical="center"/>
    </xf>
    <xf numFmtId="0" fontId="8" fillId="17" borderId="0" xfId="2" applyFont="1" applyFill="1"/>
    <xf numFmtId="0" fontId="11" fillId="0" borderId="0" xfId="127" applyNumberFormat="1" applyFont="1" applyFill="1" applyBorder="1" applyAlignment="1">
      <alignment horizontal="left"/>
    </xf>
    <xf numFmtId="0" fontId="8" fillId="0" borderId="0" xfId="2" applyFont="1" applyFill="1"/>
    <xf numFmtId="164" fontId="8" fillId="0" borderId="0" xfId="2" applyNumberFormat="1" applyFont="1"/>
    <xf numFmtId="0" fontId="13" fillId="0" borderId="0" xfId="2" applyFont="1"/>
    <xf numFmtId="0" fontId="14" fillId="0" borderId="7" xfId="2" applyFont="1" applyBorder="1"/>
    <xf numFmtId="0" fontId="14" fillId="0" borderId="20" xfId="2" applyFont="1" applyBorder="1"/>
    <xf numFmtId="0" fontId="13" fillId="0" borderId="0" xfId="2" applyFont="1" applyFill="1"/>
    <xf numFmtId="0" fontId="15" fillId="0" borderId="1" xfId="2" applyFont="1" applyBorder="1"/>
    <xf numFmtId="0" fontId="15" fillId="0" borderId="21" xfId="2" applyFont="1" applyBorder="1"/>
    <xf numFmtId="0" fontId="13" fillId="0" borderId="0" xfId="2" applyFont="1" applyBorder="1"/>
    <xf numFmtId="0" fontId="13" fillId="0" borderId="22" xfId="2" applyFont="1" applyBorder="1"/>
    <xf numFmtId="0" fontId="13" fillId="0" borderId="23" xfId="2" applyFont="1" applyBorder="1"/>
    <xf numFmtId="1" fontId="16" fillId="17" borderId="24" xfId="126" applyNumberFormat="1" applyFont="1" applyFill="1" applyBorder="1" applyAlignment="1">
      <alignment horizontal="right"/>
    </xf>
    <xf numFmtId="1" fontId="16" fillId="17" borderId="6" xfId="126" applyNumberFormat="1" applyFont="1" applyFill="1" applyBorder="1" applyAlignment="1">
      <alignment horizontal="right"/>
    </xf>
    <xf numFmtId="1" fontId="16" fillId="17" borderId="25" xfId="126" applyNumberFormat="1" applyFont="1" applyFill="1" applyBorder="1" applyAlignment="1">
      <alignment horizontal="right"/>
    </xf>
    <xf numFmtId="0" fontId="13" fillId="0" borderId="26" xfId="2" applyFont="1" applyBorder="1"/>
    <xf numFmtId="0" fontId="13" fillId="0" borderId="1" xfId="2" applyFont="1" applyBorder="1"/>
    <xf numFmtId="0" fontId="13" fillId="0" borderId="1" xfId="2" applyFont="1" applyFill="1" applyBorder="1"/>
    <xf numFmtId="0" fontId="13" fillId="0" borderId="21" xfId="2" applyFont="1" applyFill="1" applyBorder="1"/>
    <xf numFmtId="0" fontId="13" fillId="0" borderId="1" xfId="2" applyFont="1" applyFill="1" applyBorder="1" applyAlignment="1">
      <alignment horizontal="left" indent="1"/>
    </xf>
    <xf numFmtId="0" fontId="13" fillId="0" borderId="21" xfId="2" applyFont="1" applyFill="1" applyBorder="1" applyAlignment="1">
      <alignment horizontal="left" indent="1"/>
    </xf>
    <xf numFmtId="164" fontId="18" fillId="0" borderId="0" xfId="2" applyNumberFormat="1" applyFont="1" applyFill="1" applyBorder="1" applyAlignment="1"/>
    <xf numFmtId="164" fontId="18" fillId="0" borderId="21" xfId="2" applyNumberFormat="1" applyFont="1" applyFill="1" applyBorder="1" applyAlignment="1"/>
    <xf numFmtId="164" fontId="13" fillId="0" borderId="0" xfId="2" applyNumberFormat="1" applyFont="1" applyFill="1" applyBorder="1" applyAlignment="1"/>
    <xf numFmtId="164" fontId="13" fillId="0" borderId="21" xfId="2" applyNumberFormat="1" applyFont="1" applyFill="1" applyBorder="1" applyAlignment="1"/>
    <xf numFmtId="164" fontId="13" fillId="0" borderId="1" xfId="2" applyNumberFormat="1" applyFont="1" applyFill="1" applyBorder="1" applyAlignment="1"/>
    <xf numFmtId="0" fontId="15" fillId="0" borderId="1" xfId="2" applyFont="1" applyFill="1" applyBorder="1" applyAlignment="1">
      <alignment horizontal="left" indent="1"/>
    </xf>
    <xf numFmtId="0" fontId="15" fillId="0" borderId="21" xfId="2" applyFont="1" applyFill="1" applyBorder="1" applyAlignment="1">
      <alignment horizontal="left" indent="1"/>
    </xf>
    <xf numFmtId="168" fontId="15" fillId="0" borderId="0" xfId="136" applyNumberFormat="1" applyFont="1" applyFill="1" applyBorder="1" applyAlignment="1"/>
    <xf numFmtId="168" fontId="15" fillId="0" borderId="21" xfId="136" applyNumberFormat="1" applyFont="1" applyFill="1" applyBorder="1" applyAlignment="1"/>
    <xf numFmtId="168" fontId="15" fillId="0" borderId="1" xfId="136" applyNumberFormat="1" applyFont="1" applyFill="1" applyBorder="1" applyAlignment="1"/>
    <xf numFmtId="168" fontId="19" fillId="0" borderId="0" xfId="136" applyNumberFormat="1" applyFont="1" applyFill="1" applyBorder="1" applyAlignment="1"/>
    <xf numFmtId="168" fontId="19" fillId="0" borderId="1" xfId="136" applyNumberFormat="1" applyFont="1" applyFill="1" applyBorder="1" applyAlignment="1"/>
    <xf numFmtId="169" fontId="18" fillId="0" borderId="0" xfId="2" applyNumberFormat="1" applyFont="1" applyFill="1" applyBorder="1" applyAlignment="1"/>
    <xf numFmtId="169" fontId="18" fillId="0" borderId="21" xfId="2" applyNumberFormat="1" applyFont="1" applyFill="1" applyBorder="1" applyAlignment="1"/>
    <xf numFmtId="169" fontId="18" fillId="0" borderId="0" xfId="2" applyNumberFormat="1" applyFont="1" applyFill="1" applyBorder="1"/>
    <xf numFmtId="169" fontId="18" fillId="0" borderId="21" xfId="2" applyNumberFormat="1" applyFont="1" applyFill="1" applyBorder="1"/>
    <xf numFmtId="170" fontId="18" fillId="0" borderId="0" xfId="2" applyNumberFormat="1" applyFont="1" applyFill="1" applyBorder="1" applyAlignment="1"/>
    <xf numFmtId="0" fontId="14" fillId="0" borderId="1" xfId="2" applyFont="1" applyFill="1" applyBorder="1"/>
    <xf numFmtId="0" fontId="14" fillId="0" borderId="21" xfId="2" applyFont="1" applyFill="1" applyBorder="1"/>
    <xf numFmtId="164" fontId="14" fillId="0" borderId="1" xfId="2" applyNumberFormat="1" applyFont="1" applyFill="1" applyBorder="1" applyAlignment="1"/>
    <xf numFmtId="164" fontId="14" fillId="0" borderId="0" xfId="2" applyNumberFormat="1" applyFont="1" applyFill="1" applyBorder="1" applyAlignment="1"/>
    <xf numFmtId="164" fontId="14" fillId="0" borderId="21" xfId="2" applyNumberFormat="1" applyFont="1" applyFill="1" applyBorder="1" applyAlignment="1"/>
    <xf numFmtId="0" fontId="13" fillId="0" borderId="1" xfId="2" applyFont="1" applyFill="1" applyBorder="1" applyAlignment="1">
      <alignment horizontal="left" indent="2"/>
    </xf>
    <xf numFmtId="0" fontId="13" fillId="0" borderId="21" xfId="2" applyFont="1" applyFill="1" applyBorder="1" applyAlignment="1">
      <alignment horizontal="left" indent="2"/>
    </xf>
    <xf numFmtId="169" fontId="18" fillId="0" borderId="1" xfId="2" applyNumberFormat="1" applyFont="1" applyFill="1" applyBorder="1"/>
    <xf numFmtId="168" fontId="18" fillId="0" borderId="0" xfId="136" applyNumberFormat="1" applyFont="1" applyFill="1" applyBorder="1" applyAlignment="1"/>
    <xf numFmtId="168" fontId="18" fillId="0" borderId="21" xfId="136" applyNumberFormat="1" applyFont="1" applyFill="1" applyBorder="1" applyAlignment="1"/>
    <xf numFmtId="168" fontId="15" fillId="0" borderId="0" xfId="136" applyNumberFormat="1" applyFont="1" applyFill="1" applyBorder="1" applyAlignment="1">
      <alignment horizontal="right"/>
    </xf>
    <xf numFmtId="171" fontId="13" fillId="0" borderId="0" xfId="2" applyNumberFormat="1" applyFont="1" applyFill="1" applyBorder="1" applyAlignment="1"/>
    <xf numFmtId="171" fontId="13" fillId="0" borderId="21" xfId="2" applyNumberFormat="1" applyFont="1" applyFill="1" applyBorder="1" applyAlignment="1"/>
    <xf numFmtId="170" fontId="18" fillId="0" borderId="0" xfId="2" applyNumberFormat="1" applyFont="1" applyFill="1" applyBorder="1"/>
    <xf numFmtId="172" fontId="18" fillId="0" borderId="0" xfId="67" applyNumberFormat="1" applyFont="1" applyFill="1" applyBorder="1" applyAlignment="1"/>
    <xf numFmtId="172" fontId="18" fillId="0" borderId="21" xfId="67" applyNumberFormat="1" applyFont="1" applyFill="1" applyBorder="1" applyAlignment="1"/>
    <xf numFmtId="173" fontId="13" fillId="0" borderId="1" xfId="2" applyNumberFormat="1" applyFont="1" applyFill="1" applyBorder="1"/>
    <xf numFmtId="173" fontId="13" fillId="0" borderId="0" xfId="2" applyNumberFormat="1" applyFont="1" applyFill="1" applyBorder="1"/>
    <xf numFmtId="173" fontId="13" fillId="0" borderId="21" xfId="2" applyNumberFormat="1" applyFont="1" applyFill="1" applyBorder="1"/>
    <xf numFmtId="173" fontId="14" fillId="0" borderId="0" xfId="2" applyNumberFormat="1" applyFont="1" applyFill="1" applyBorder="1"/>
    <xf numFmtId="173" fontId="14" fillId="0" borderId="21" xfId="2" applyNumberFormat="1" applyFont="1" applyFill="1" applyBorder="1"/>
    <xf numFmtId="0" fontId="13" fillId="0" borderId="22" xfId="2" applyFont="1" applyFill="1" applyBorder="1"/>
    <xf numFmtId="0" fontId="13" fillId="0" borderId="23" xfId="2" applyFont="1" applyFill="1" applyBorder="1"/>
    <xf numFmtId="173" fontId="13" fillId="0" borderId="22" xfId="2" applyNumberFormat="1" applyFont="1" applyFill="1" applyBorder="1"/>
    <xf numFmtId="173" fontId="13" fillId="0" borderId="2" xfId="2" applyNumberFormat="1" applyFont="1" applyFill="1" applyBorder="1"/>
    <xf numFmtId="173" fontId="13" fillId="0" borderId="23" xfId="2" applyNumberFormat="1" applyFont="1" applyFill="1" applyBorder="1"/>
    <xf numFmtId="0" fontId="13" fillId="0" borderId="17" xfId="2" applyFont="1" applyFill="1" applyBorder="1"/>
    <xf numFmtId="0" fontId="13" fillId="0" borderId="0" xfId="2" applyFont="1" applyFill="1" applyBorder="1"/>
    <xf numFmtId="37" fontId="18" fillId="0" borderId="0" xfId="2" applyNumberFormat="1" applyFont="1" applyFill="1" applyBorder="1"/>
    <xf numFmtId="0" fontId="13" fillId="0" borderId="2" xfId="2" applyFont="1" applyFill="1" applyBorder="1"/>
    <xf numFmtId="0" fontId="13" fillId="0" borderId="7" xfId="2" applyFont="1" applyFill="1" applyBorder="1"/>
    <xf numFmtId="0" fontId="13" fillId="0" borderId="20" xfId="2" applyFont="1" applyFill="1" applyBorder="1"/>
    <xf numFmtId="164" fontId="18" fillId="0" borderId="7" xfId="2" applyNumberFormat="1" applyFont="1" applyFill="1" applyBorder="1"/>
    <xf numFmtId="164" fontId="18" fillId="0" borderId="17" xfId="2" applyNumberFormat="1" applyFont="1" applyFill="1" applyBorder="1"/>
    <xf numFmtId="164" fontId="18" fillId="0" borderId="20" xfId="2" applyNumberFormat="1" applyFont="1" applyFill="1" applyBorder="1"/>
    <xf numFmtId="174" fontId="13" fillId="0" borderId="17" xfId="2" applyNumberFormat="1" applyFont="1" applyFill="1" applyBorder="1"/>
    <xf numFmtId="164" fontId="13" fillId="0" borderId="1" xfId="2" applyNumberFormat="1" applyFont="1" applyFill="1" applyBorder="1"/>
    <xf numFmtId="164" fontId="13" fillId="0" borderId="0" xfId="2" applyNumberFormat="1" applyFont="1" applyFill="1" applyBorder="1"/>
    <xf numFmtId="164" fontId="13" fillId="0" borderId="21" xfId="2" applyNumberFormat="1" applyFont="1" applyFill="1" applyBorder="1"/>
    <xf numFmtId="164" fontId="18" fillId="0" borderId="1" xfId="2" applyNumberFormat="1" applyFont="1" applyFill="1" applyBorder="1"/>
    <xf numFmtId="164" fontId="18" fillId="0" borderId="0" xfId="2" applyNumberFormat="1" applyFont="1" applyFill="1" applyBorder="1"/>
    <xf numFmtId="164" fontId="18" fillId="0" borderId="21" xfId="2" applyNumberFormat="1" applyFont="1" applyFill="1" applyBorder="1"/>
    <xf numFmtId="174" fontId="13" fillId="0" borderId="0" xfId="2" applyNumberFormat="1" applyFont="1" applyFill="1" applyBorder="1"/>
    <xf numFmtId="174" fontId="13" fillId="0" borderId="21" xfId="2" applyNumberFormat="1" applyFont="1" applyFill="1" applyBorder="1"/>
    <xf numFmtId="175" fontId="15" fillId="0" borderId="0" xfId="2" applyNumberFormat="1" applyFont="1" applyFill="1" applyBorder="1"/>
    <xf numFmtId="175" fontId="15" fillId="0" borderId="21" xfId="2" applyNumberFormat="1" applyFont="1" applyFill="1" applyBorder="1"/>
    <xf numFmtId="174" fontId="18" fillId="0" borderId="0" xfId="2" applyNumberFormat="1" applyFont="1" applyFill="1" applyBorder="1"/>
    <xf numFmtId="174" fontId="18" fillId="0" borderId="21" xfId="2" applyNumberFormat="1" applyFont="1" applyFill="1" applyBorder="1"/>
    <xf numFmtId="174" fontId="18" fillId="0" borderId="1" xfId="2" applyNumberFormat="1" applyFont="1" applyFill="1" applyBorder="1"/>
    <xf numFmtId="175" fontId="25" fillId="0" borderId="0" xfId="2" applyNumberFormat="1" applyFont="1" applyFill="1" applyBorder="1"/>
    <xf numFmtId="164" fontId="25" fillId="0" borderId="0" xfId="2" applyNumberFormat="1" applyFont="1" applyFill="1" applyBorder="1"/>
    <xf numFmtId="164" fontId="25" fillId="0" borderId="21" xfId="2" applyNumberFormat="1" applyFont="1" applyFill="1" applyBorder="1"/>
    <xf numFmtId="164" fontId="19" fillId="0" borderId="0" xfId="2" applyNumberFormat="1" applyFont="1" applyFill="1" applyBorder="1"/>
    <xf numFmtId="168" fontId="15" fillId="0" borderId="0" xfId="136" applyNumberFormat="1" applyFont="1" applyFill="1" applyBorder="1"/>
    <xf numFmtId="168" fontId="15" fillId="0" borderId="21" xfId="136" applyNumberFormat="1" applyFont="1" applyFill="1" applyBorder="1"/>
    <xf numFmtId="168" fontId="19" fillId="0" borderId="0" xfId="136" applyNumberFormat="1" applyFont="1" applyFill="1" applyBorder="1"/>
    <xf numFmtId="168" fontId="19" fillId="0" borderId="21" xfId="136" applyNumberFormat="1" applyFont="1" applyFill="1" applyBorder="1"/>
    <xf numFmtId="168" fontId="19" fillId="0" borderId="1" xfId="136" applyNumberFormat="1" applyFont="1" applyFill="1" applyBorder="1"/>
    <xf numFmtId="168" fontId="18" fillId="0" borderId="0" xfId="136" applyNumberFormat="1" applyFont="1" applyFill="1" applyBorder="1"/>
    <xf numFmtId="0" fontId="13" fillId="0" borderId="1" xfId="2" applyFont="1" applyFill="1" applyBorder="1" applyAlignment="1">
      <alignment horizontal="left"/>
    </xf>
    <xf numFmtId="0" fontId="13" fillId="0" borderId="21" xfId="2" applyFont="1" applyFill="1" applyBorder="1" applyAlignment="1">
      <alignment horizontal="left"/>
    </xf>
    <xf numFmtId="169" fontId="13" fillId="0" borderId="1" xfId="2" applyNumberFormat="1" applyFont="1" applyFill="1" applyBorder="1"/>
    <xf numFmtId="169" fontId="13" fillId="0" borderId="0" xfId="2" applyNumberFormat="1" applyFont="1" applyFill="1" applyBorder="1"/>
    <xf numFmtId="169" fontId="13" fillId="0" borderId="21" xfId="2" applyNumberFormat="1" applyFont="1" applyFill="1" applyBorder="1"/>
    <xf numFmtId="0" fontId="13" fillId="0" borderId="22" xfId="2" applyFont="1" applyFill="1" applyBorder="1" applyAlignment="1">
      <alignment horizontal="left"/>
    </xf>
    <xf numFmtId="0" fontId="13" fillId="0" borderId="23" xfId="2" applyFont="1" applyFill="1" applyBorder="1" applyAlignment="1">
      <alignment horizontal="left"/>
    </xf>
    <xf numFmtId="169" fontId="13" fillId="0" borderId="22" xfId="2" applyNumberFormat="1" applyFont="1" applyFill="1" applyBorder="1"/>
    <xf numFmtId="169" fontId="13" fillId="0" borderId="2" xfId="2" applyNumberFormat="1" applyFont="1" applyFill="1" applyBorder="1"/>
    <xf numFmtId="169" fontId="13" fillId="0" borderId="23" xfId="2" applyNumberFormat="1" applyFont="1" applyFill="1" applyBorder="1"/>
    <xf numFmtId="0" fontId="13" fillId="17" borderId="0" xfId="2" applyFont="1" applyFill="1" applyBorder="1"/>
    <xf numFmtId="0" fontId="13" fillId="0" borderId="0" xfId="2" applyFont="1" applyFill="1" applyBorder="1" applyAlignment="1">
      <alignment horizontal="left" wrapText="1" indent="2"/>
    </xf>
    <xf numFmtId="37" fontId="13" fillId="0" borderId="0" xfId="2" applyNumberFormat="1" applyFont="1" applyFill="1" applyAlignment="1">
      <alignment horizontal="center"/>
    </xf>
    <xf numFmtId="0" fontId="26" fillId="0" borderId="0" xfId="2" applyFont="1"/>
    <xf numFmtId="0" fontId="27" fillId="0" borderId="0" xfId="2" applyFont="1"/>
    <xf numFmtId="166" fontId="14" fillId="0" borderId="21" xfId="126" applyFont="1" applyFill="1" applyBorder="1"/>
    <xf numFmtId="0" fontId="18" fillId="0" borderId="0" xfId="2" applyFont="1" applyFill="1" applyBorder="1"/>
    <xf numFmtId="0" fontId="18" fillId="0" borderId="21" xfId="2" applyFont="1" applyFill="1" applyBorder="1"/>
    <xf numFmtId="0" fontId="18" fillId="0" borderId="1" xfId="2" applyFont="1" applyFill="1" applyBorder="1"/>
    <xf numFmtId="0" fontId="18" fillId="0" borderId="17" xfId="2" applyFont="1" applyFill="1" applyBorder="1"/>
    <xf numFmtId="164" fontId="13" fillId="0" borderId="26" xfId="2" applyNumberFormat="1" applyFont="1" applyBorder="1"/>
    <xf numFmtId="0" fontId="13" fillId="0" borderId="23" xfId="2" applyFont="1" applyFill="1" applyBorder="1" applyAlignment="1">
      <alignment horizontal="left" indent="1"/>
    </xf>
    <xf numFmtId="164" fontId="13" fillId="0" borderId="2" xfId="2" applyNumberFormat="1" applyFont="1" applyFill="1" applyBorder="1"/>
    <xf numFmtId="164" fontId="13" fillId="0" borderId="23" xfId="2" applyNumberFormat="1" applyFont="1" applyFill="1" applyBorder="1"/>
    <xf numFmtId="166" fontId="14" fillId="0" borderId="21" xfId="126" applyNumberFormat="1" applyFont="1" applyFill="1" applyBorder="1" applyAlignment="1"/>
    <xf numFmtId="164" fontId="14" fillId="0" borderId="17" xfId="2" applyNumberFormat="1" applyFont="1" applyFill="1" applyBorder="1"/>
    <xf numFmtId="164" fontId="14" fillId="0" borderId="20" xfId="2" applyNumberFormat="1" applyFont="1" applyFill="1" applyBorder="1"/>
    <xf numFmtId="164" fontId="14" fillId="0" borderId="7" xfId="2" applyNumberFormat="1" applyFont="1" applyFill="1" applyBorder="1"/>
    <xf numFmtId="164" fontId="14" fillId="0" borderId="0" xfId="2" applyNumberFormat="1" applyFont="1" applyFill="1" applyBorder="1"/>
    <xf numFmtId="164" fontId="14" fillId="0" borderId="21" xfId="2" applyNumberFormat="1" applyFont="1" applyFill="1" applyBorder="1"/>
    <xf numFmtId="164" fontId="18" fillId="0" borderId="0" xfId="67" applyNumberFormat="1" applyFont="1" applyFill="1" applyBorder="1"/>
    <xf numFmtId="164" fontId="18" fillId="0" borderId="1" xfId="67" applyNumberFormat="1" applyFont="1" applyFill="1" applyBorder="1"/>
    <xf numFmtId="164" fontId="18" fillId="0" borderId="21" xfId="67" applyNumberFormat="1" applyFont="1" applyFill="1" applyBorder="1"/>
    <xf numFmtId="166" fontId="14" fillId="0" borderId="25" xfId="126" applyFont="1" applyFill="1" applyBorder="1"/>
    <xf numFmtId="164" fontId="14" fillId="0" borderId="6" xfId="2" applyNumberFormat="1" applyFont="1" applyFill="1" applyBorder="1"/>
    <xf numFmtId="164" fontId="14" fillId="0" borderId="25" xfId="2" applyNumberFormat="1" applyFont="1" applyFill="1" applyBorder="1"/>
    <xf numFmtId="164" fontId="14" fillId="0" borderId="24" xfId="2" applyNumberFormat="1" applyFont="1" applyFill="1" applyBorder="1"/>
    <xf numFmtId="37" fontId="14" fillId="0" borderId="21" xfId="126" applyNumberFormat="1" applyFont="1" applyFill="1" applyBorder="1"/>
    <xf numFmtId="164" fontId="23" fillId="0" borderId="0" xfId="2" applyNumberFormat="1" applyFont="1" applyFill="1" applyBorder="1"/>
    <xf numFmtId="164" fontId="23" fillId="0" borderId="21" xfId="2" applyNumberFormat="1" applyFont="1" applyFill="1" applyBorder="1"/>
    <xf numFmtId="164" fontId="23" fillId="0" borderId="1" xfId="2" applyNumberFormat="1" applyFont="1" applyFill="1" applyBorder="1"/>
    <xf numFmtId="164" fontId="14" fillId="0" borderId="1" xfId="2" applyNumberFormat="1" applyFont="1" applyFill="1" applyBorder="1"/>
    <xf numFmtId="37" fontId="14" fillId="0" borderId="25" xfId="126" applyNumberFormat="1" applyFont="1" applyFill="1" applyBorder="1"/>
    <xf numFmtId="37" fontId="18" fillId="0" borderId="6" xfId="2" applyNumberFormat="1" applyFont="1" applyFill="1" applyBorder="1"/>
    <xf numFmtId="0" fontId="28" fillId="0" borderId="24" xfId="2" applyFont="1" applyFill="1" applyBorder="1"/>
    <xf numFmtId="0" fontId="28" fillId="0" borderId="25" xfId="2" applyFont="1" applyFill="1" applyBorder="1"/>
    <xf numFmtId="177" fontId="28" fillId="0" borderId="6" xfId="67" applyNumberFormat="1" applyFont="1" applyFill="1" applyBorder="1"/>
    <xf numFmtId="177" fontId="28" fillId="0" borderId="25" xfId="67" applyNumberFormat="1" applyFont="1" applyFill="1" applyBorder="1"/>
    <xf numFmtId="177" fontId="28" fillId="0" borderId="24" xfId="67" applyNumberFormat="1" applyFont="1" applyFill="1" applyBorder="1"/>
    <xf numFmtId="178" fontId="18" fillId="0" borderId="0" xfId="2" applyNumberFormat="1" applyFont="1" applyFill="1" applyBorder="1"/>
    <xf numFmtId="178" fontId="18" fillId="0" borderId="17" xfId="2" applyNumberFormat="1" applyFont="1" applyFill="1" applyBorder="1"/>
    <xf numFmtId="43" fontId="18" fillId="0" borderId="17" xfId="2" applyNumberFormat="1" applyFont="1" applyFill="1" applyBorder="1"/>
    <xf numFmtId="37" fontId="18" fillId="0" borderId="2" xfId="2" applyNumberFormat="1" applyFont="1" applyFill="1" applyBorder="1"/>
    <xf numFmtId="0" fontId="14" fillId="17" borderId="24" xfId="2" applyFont="1" applyFill="1" applyBorder="1" applyAlignment="1">
      <alignment horizontal="left"/>
    </xf>
    <xf numFmtId="0" fontId="14" fillId="17" borderId="25" xfId="2" applyFont="1" applyFill="1" applyBorder="1" applyAlignment="1">
      <alignment horizontal="left"/>
    </xf>
    <xf numFmtId="164" fontId="13" fillId="0" borderId="17" xfId="2" applyNumberFormat="1" applyFont="1" applyFill="1" applyBorder="1"/>
    <xf numFmtId="168" fontId="15" fillId="0" borderId="1" xfId="136" applyNumberFormat="1" applyFont="1" applyFill="1" applyBorder="1"/>
    <xf numFmtId="168" fontId="15" fillId="0" borderId="26" xfId="136" applyNumberFormat="1" applyFont="1" applyBorder="1"/>
    <xf numFmtId="179" fontId="13" fillId="0" borderId="0" xfId="2" applyNumberFormat="1" applyFont="1" applyFill="1" applyBorder="1"/>
    <xf numFmtId="179" fontId="13" fillId="0" borderId="21" xfId="2" applyNumberFormat="1" applyFont="1" applyFill="1" applyBorder="1"/>
    <xf numFmtId="179" fontId="13" fillId="0" borderId="1" xfId="2" applyNumberFormat="1" applyFont="1" applyFill="1" applyBorder="1"/>
    <xf numFmtId="179" fontId="13" fillId="0" borderId="2" xfId="2" applyNumberFormat="1" applyFont="1" applyFill="1" applyBorder="1"/>
    <xf numFmtId="179" fontId="13" fillId="0" borderId="23" xfId="2" applyNumberFormat="1" applyFont="1" applyFill="1" applyBorder="1"/>
    <xf numFmtId="179" fontId="13" fillId="0" borderId="22" xfId="2" applyNumberFormat="1" applyFont="1" applyFill="1" applyBorder="1"/>
    <xf numFmtId="9" fontId="13" fillId="0" borderId="17" xfId="136" applyFont="1" applyFill="1" applyBorder="1"/>
    <xf numFmtId="0" fontId="13" fillId="0" borderId="20" xfId="2" applyFont="1" applyFill="1" applyBorder="1" applyAlignment="1">
      <alignment horizontal="left"/>
    </xf>
    <xf numFmtId="164" fontId="13" fillId="0" borderId="20" xfId="2" applyNumberFormat="1" applyFont="1" applyFill="1" applyBorder="1"/>
    <xf numFmtId="0" fontId="14" fillId="0" borderId="25" xfId="2" applyFont="1" applyFill="1" applyBorder="1" applyAlignment="1">
      <alignment horizontal="left" indent="1"/>
    </xf>
    <xf numFmtId="180" fontId="14" fillId="0" borderId="6" xfId="2" applyNumberFormat="1" applyFont="1" applyFill="1" applyBorder="1"/>
    <xf numFmtId="180" fontId="14" fillId="0" borderId="25" xfId="2" applyNumberFormat="1" applyFont="1" applyFill="1" applyBorder="1"/>
    <xf numFmtId="180" fontId="14" fillId="0" borderId="24" xfId="2" applyNumberFormat="1" applyFont="1" applyFill="1" applyBorder="1"/>
    <xf numFmtId="164" fontId="18" fillId="0" borderId="23" xfId="2" applyNumberFormat="1" applyFont="1" applyFill="1" applyBorder="1"/>
    <xf numFmtId="37" fontId="14" fillId="0" borderId="0" xfId="126" applyNumberFormat="1" applyFont="1" applyFill="1" applyBorder="1"/>
    <xf numFmtId="164" fontId="13" fillId="0" borderId="6" xfId="2" applyNumberFormat="1" applyFont="1" applyFill="1" applyBorder="1"/>
    <xf numFmtId="177" fontId="13" fillId="0" borderId="17" xfId="67" applyNumberFormat="1" applyFont="1" applyFill="1" applyBorder="1"/>
    <xf numFmtId="177" fontId="13" fillId="0" borderId="25" xfId="67" applyNumberFormat="1" applyFont="1" applyFill="1" applyBorder="1"/>
    <xf numFmtId="177" fontId="13" fillId="0" borderId="7" xfId="67" applyNumberFormat="1" applyFont="1" applyFill="1" applyBorder="1"/>
    <xf numFmtId="177" fontId="13" fillId="0" borderId="20" xfId="67" applyNumberFormat="1" applyFont="1" applyFill="1" applyBorder="1"/>
    <xf numFmtId="0" fontId="13" fillId="0" borderId="26" xfId="2" applyFont="1" applyFill="1" applyBorder="1"/>
    <xf numFmtId="177" fontId="28" fillId="0" borderId="6" xfId="67" applyNumberFormat="1" applyFont="1" applyFill="1" applyBorder="1" applyAlignment="1"/>
    <xf numFmtId="181" fontId="13" fillId="0" borderId="0" xfId="2" applyNumberFormat="1" applyFont="1" applyFill="1" applyBorder="1"/>
    <xf numFmtId="164" fontId="13" fillId="22" borderId="0" xfId="125" applyNumberFormat="1" applyFont="1" applyFill="1" applyBorder="1"/>
    <xf numFmtId="164" fontId="13" fillId="22" borderId="21" xfId="125" applyNumberFormat="1" applyFont="1" applyFill="1" applyBorder="1"/>
    <xf numFmtId="164" fontId="29" fillId="22" borderId="0" xfId="125" applyNumberFormat="1" applyFont="1" applyFill="1" applyBorder="1"/>
    <xf numFmtId="164" fontId="29" fillId="22" borderId="2" xfId="125" applyNumberFormat="1" applyFont="1" applyFill="1" applyBorder="1"/>
    <xf numFmtId="0" fontId="18" fillId="0" borderId="0" xfId="2" applyFont="1" applyAlignment="1">
      <alignment horizontal="center"/>
    </xf>
    <xf numFmtId="164" fontId="13" fillId="0" borderId="0" xfId="2" applyNumberFormat="1" applyFont="1" applyAlignment="1">
      <alignment horizontal="center"/>
    </xf>
    <xf numFmtId="182" fontId="13" fillId="0" borderId="0" xfId="2" applyNumberFormat="1" applyFont="1"/>
    <xf numFmtId="0" fontId="8" fillId="0" borderId="0" xfId="2" applyFont="1" applyFill="1" applyBorder="1" applyAlignment="1">
      <alignment horizontal="left" wrapText="1" indent="2"/>
    </xf>
    <xf numFmtId="0" fontId="8" fillId="0" borderId="0" xfId="2" applyFont="1" applyBorder="1"/>
    <xf numFmtId="0" fontId="15" fillId="0" borderId="23" xfId="2" applyFont="1" applyBorder="1"/>
    <xf numFmtId="0" fontId="14" fillId="0" borderId="7" xfId="2" applyFont="1" applyFill="1" applyBorder="1"/>
    <xf numFmtId="37" fontId="13" fillId="0" borderId="0" xfId="2" applyNumberFormat="1" applyFont="1" applyFill="1" applyBorder="1"/>
    <xf numFmtId="37" fontId="13" fillId="0" borderId="21" xfId="2" applyNumberFormat="1" applyFont="1" applyFill="1" applyBorder="1"/>
    <xf numFmtId="37" fontId="13" fillId="0" borderId="1" xfId="2" applyNumberFormat="1" applyFont="1" applyFill="1" applyBorder="1"/>
    <xf numFmtId="37" fontId="13" fillId="0" borderId="17" xfId="2" applyNumberFormat="1" applyFont="1" applyFill="1" applyBorder="1"/>
    <xf numFmtId="37" fontId="13" fillId="0" borderId="20" xfId="2" applyNumberFormat="1" applyFont="1" applyFill="1" applyBorder="1"/>
    <xf numFmtId="0" fontId="13" fillId="0" borderId="1" xfId="2" applyFont="1" applyFill="1" applyBorder="1" applyAlignment="1">
      <alignment horizontal="left" wrapText="1" indent="1"/>
    </xf>
    <xf numFmtId="0" fontId="13" fillId="0" borderId="21" xfId="2" applyFont="1" applyFill="1" applyBorder="1" applyAlignment="1">
      <alignment horizontal="left" wrapText="1" indent="1"/>
    </xf>
    <xf numFmtId="41" fontId="18" fillId="0" borderId="0" xfId="2" applyNumberFormat="1" applyFont="1" applyFill="1" applyBorder="1"/>
    <xf numFmtId="41" fontId="18" fillId="0" borderId="21" xfId="2" applyNumberFormat="1" applyFont="1" applyFill="1" applyBorder="1"/>
    <xf numFmtId="41" fontId="18" fillId="0" borderId="1" xfId="2" applyNumberFormat="1" applyFont="1" applyFill="1" applyBorder="1"/>
    <xf numFmtId="180" fontId="13" fillId="0" borderId="0" xfId="2" applyNumberFormat="1" applyFont="1" applyFill="1" applyBorder="1"/>
    <xf numFmtId="180" fontId="13" fillId="0" borderId="21" xfId="2" applyNumberFormat="1" applyFont="1" applyFill="1" applyBorder="1"/>
    <xf numFmtId="180" fontId="13" fillId="0" borderId="1" xfId="2" applyNumberFormat="1" applyFont="1" applyFill="1" applyBorder="1"/>
    <xf numFmtId="180" fontId="18" fillId="0" borderId="0" xfId="2" applyNumberFormat="1" applyFont="1" applyFill="1" applyBorder="1"/>
    <xf numFmtId="180" fontId="18" fillId="0" borderId="21" xfId="2" applyNumberFormat="1" applyFont="1" applyFill="1" applyBorder="1"/>
    <xf numFmtId="180" fontId="18" fillId="0" borderId="1" xfId="2" applyNumberFormat="1" applyFont="1" applyFill="1" applyBorder="1"/>
    <xf numFmtId="0" fontId="14" fillId="0" borderId="27" xfId="2" applyFont="1" applyFill="1" applyBorder="1" applyAlignment="1">
      <alignment horizontal="left"/>
    </xf>
    <xf numFmtId="0" fontId="14" fillId="0" borderId="28" xfId="2" applyFont="1" applyFill="1" applyBorder="1" applyAlignment="1">
      <alignment horizontal="left"/>
    </xf>
    <xf numFmtId="180" fontId="14" fillId="0" borderId="29" xfId="2" applyNumberFormat="1" applyFont="1" applyFill="1" applyBorder="1"/>
    <xf numFmtId="180" fontId="14" fillId="0" borderId="27" xfId="2" applyNumberFormat="1" applyFont="1" applyFill="1" applyBorder="1"/>
    <xf numFmtId="180" fontId="14" fillId="0" borderId="28" xfId="2" applyNumberFormat="1" applyFont="1" applyFill="1" applyBorder="1"/>
    <xf numFmtId="0" fontId="14" fillId="0" borderId="1" xfId="2" applyFont="1" applyFill="1" applyBorder="1" applyAlignment="1">
      <alignment horizontal="left"/>
    </xf>
    <xf numFmtId="0" fontId="14" fillId="0" borderId="21" xfId="2" applyFont="1" applyFill="1" applyBorder="1" applyAlignment="1">
      <alignment horizontal="left"/>
    </xf>
    <xf numFmtId="180" fontId="20" fillId="0" borderId="0" xfId="2" applyNumberFormat="1" applyFont="1" applyFill="1" applyBorder="1"/>
    <xf numFmtId="180" fontId="14" fillId="0" borderId="0" xfId="2" applyNumberFormat="1" applyFont="1" applyFill="1" applyBorder="1"/>
    <xf numFmtId="180" fontId="14" fillId="0" borderId="1" xfId="2" applyNumberFormat="1" applyFont="1" applyFill="1" applyBorder="1"/>
    <xf numFmtId="180" fontId="14" fillId="0" borderId="21" xfId="2" applyNumberFormat="1" applyFont="1" applyFill="1" applyBorder="1"/>
    <xf numFmtId="180" fontId="23" fillId="0" borderId="0" xfId="2" applyNumberFormat="1" applyFont="1" applyFill="1" applyBorder="1"/>
    <xf numFmtId="180" fontId="23" fillId="0" borderId="21" xfId="2" applyNumberFormat="1" applyFont="1" applyFill="1" applyBorder="1"/>
    <xf numFmtId="180" fontId="23" fillId="0" borderId="1" xfId="2" applyNumberFormat="1" applyFont="1" applyFill="1" applyBorder="1"/>
    <xf numFmtId="0" fontId="14" fillId="0" borderId="23" xfId="2" applyFont="1" applyFill="1" applyBorder="1" applyAlignment="1">
      <alignment horizontal="left"/>
    </xf>
    <xf numFmtId="180" fontId="14" fillId="0" borderId="2" xfId="2" applyNumberFormat="1" applyFont="1" applyFill="1" applyBorder="1"/>
    <xf numFmtId="180" fontId="14" fillId="0" borderId="22" xfId="2" applyNumberFormat="1" applyFont="1" applyFill="1" applyBorder="1"/>
    <xf numFmtId="180" fontId="14" fillId="0" borderId="23" xfId="2" applyNumberFormat="1" applyFont="1" applyFill="1" applyBorder="1"/>
    <xf numFmtId="0" fontId="14" fillId="0" borderId="0" xfId="2" applyFont="1" applyFill="1" applyBorder="1" applyAlignment="1">
      <alignment horizontal="left"/>
    </xf>
    <xf numFmtId="180" fontId="14" fillId="0" borderId="17" xfId="2" applyNumberFormat="1" applyFont="1" applyFill="1" applyBorder="1"/>
    <xf numFmtId="0" fontId="13" fillId="0" borderId="25" xfId="2" applyFont="1" applyFill="1" applyBorder="1"/>
    <xf numFmtId="177" fontId="13" fillId="0" borderId="6" xfId="67" applyNumberFormat="1" applyFont="1" applyFill="1" applyBorder="1"/>
    <xf numFmtId="177" fontId="28" fillId="0" borderId="2" xfId="67" applyNumberFormat="1" applyFont="1" applyFill="1" applyBorder="1"/>
    <xf numFmtId="0" fontId="15" fillId="0" borderId="0" xfId="2" applyFont="1" applyFill="1" applyBorder="1"/>
    <xf numFmtId="37" fontId="23" fillId="0" borderId="0" xfId="2" applyNumberFormat="1" applyFont="1" applyFill="1" applyBorder="1"/>
    <xf numFmtId="0" fontId="18" fillId="0" borderId="0" xfId="2" applyFont="1"/>
    <xf numFmtId="0" fontId="13" fillId="0" borderId="2" xfId="2" applyFont="1" applyBorder="1"/>
    <xf numFmtId="1" fontId="14" fillId="17" borderId="6" xfId="126" applyNumberFormat="1" applyFont="1" applyFill="1" applyBorder="1" applyAlignment="1">
      <alignment horizontal="right"/>
    </xf>
    <xf numFmtId="1" fontId="14" fillId="17" borderId="25" xfId="126" applyNumberFormat="1" applyFont="1" applyFill="1" applyBorder="1" applyAlignment="1">
      <alignment horizontal="right"/>
    </xf>
    <xf numFmtId="0" fontId="13" fillId="0" borderId="20" xfId="2" applyFont="1" applyBorder="1"/>
    <xf numFmtId="177" fontId="13" fillId="0" borderId="0" xfId="67" applyNumberFormat="1" applyFont="1" applyFill="1"/>
    <xf numFmtId="177" fontId="13" fillId="0" borderId="21" xfId="67" applyNumberFormat="1" applyFont="1" applyFill="1" applyBorder="1"/>
    <xf numFmtId="177" fontId="13" fillId="0" borderId="0" xfId="67" applyNumberFormat="1" applyFont="1" applyBorder="1"/>
    <xf numFmtId="177" fontId="13" fillId="0" borderId="21" xfId="67" applyNumberFormat="1" applyFont="1" applyBorder="1"/>
    <xf numFmtId="177" fontId="29" fillId="0" borderId="17" xfId="67" applyNumberFormat="1" applyFont="1" applyFill="1" applyBorder="1"/>
    <xf numFmtId="0" fontId="13" fillId="0" borderId="21" xfId="2" applyFont="1" applyBorder="1"/>
    <xf numFmtId="177" fontId="18" fillId="0" borderId="0" xfId="67" applyNumberFormat="1" applyFont="1" applyFill="1"/>
    <xf numFmtId="177" fontId="18" fillId="0" borderId="21" xfId="67" applyNumberFormat="1" applyFont="1" applyFill="1" applyBorder="1"/>
    <xf numFmtId="177" fontId="18" fillId="0" borderId="0" xfId="67" applyNumberFormat="1" applyFont="1" applyBorder="1"/>
    <xf numFmtId="177" fontId="18" fillId="0" borderId="1" xfId="67" applyNumberFormat="1" applyFont="1" applyFill="1" applyBorder="1"/>
    <xf numFmtId="177" fontId="18" fillId="0" borderId="0" xfId="67" applyNumberFormat="1" applyFont="1" applyFill="1" applyBorder="1"/>
    <xf numFmtId="0" fontId="15" fillId="0" borderId="1" xfId="2" applyFont="1" applyBorder="1" applyAlignment="1">
      <alignment horizontal="left" indent="1"/>
    </xf>
    <xf numFmtId="0" fontId="15" fillId="0" borderId="21" xfId="2" applyFont="1" applyBorder="1" applyAlignment="1">
      <alignment horizontal="left" indent="1"/>
    </xf>
    <xf numFmtId="168" fontId="15" fillId="0" borderId="1" xfId="136" applyNumberFormat="1" applyFont="1" applyBorder="1"/>
    <xf numFmtId="168" fontId="15" fillId="0" borderId="0" xfId="136" applyNumberFormat="1" applyFont="1" applyBorder="1"/>
    <xf numFmtId="168" fontId="15" fillId="0" borderId="2" xfId="136" applyNumberFormat="1" applyFont="1" applyFill="1" applyBorder="1"/>
    <xf numFmtId="177" fontId="29" fillId="0" borderId="2" xfId="67" applyNumberFormat="1" applyFont="1" applyFill="1" applyBorder="1"/>
    <xf numFmtId="177" fontId="13" fillId="0" borderId="23" xfId="67" applyNumberFormat="1" applyFont="1" applyFill="1" applyBorder="1"/>
    <xf numFmtId="177" fontId="13" fillId="0" borderId="2" xfId="67" applyNumberFormat="1" applyFont="1" applyFill="1" applyBorder="1"/>
    <xf numFmtId="177" fontId="13" fillId="0" borderId="22" xfId="67" applyNumberFormat="1" applyFont="1" applyFill="1" applyBorder="1"/>
    <xf numFmtId="177" fontId="13" fillId="0" borderId="0" xfId="67" applyNumberFormat="1" applyFont="1" applyFill="1" applyBorder="1"/>
    <xf numFmtId="0" fontId="14" fillId="0" borderId="22" xfId="2" applyFont="1" applyBorder="1"/>
    <xf numFmtId="0" fontId="14" fillId="0" borderId="23" xfId="2" applyFont="1" applyBorder="1"/>
    <xf numFmtId="177" fontId="14" fillId="0" borderId="6" xfId="67" applyNumberFormat="1" applyFont="1" applyBorder="1"/>
    <xf numFmtId="177" fontId="14" fillId="0" borderId="25" xfId="67" applyNumberFormat="1" applyFont="1" applyBorder="1"/>
    <xf numFmtId="177" fontId="14" fillId="0" borderId="24" xfId="67" applyNumberFormat="1" applyFont="1" applyBorder="1"/>
    <xf numFmtId="168" fontId="15" fillId="0" borderId="0" xfId="136" applyNumberFormat="1" applyFont="1" applyFill="1"/>
    <xf numFmtId="177" fontId="18" fillId="0" borderId="0" xfId="2" applyNumberFormat="1" applyFont="1"/>
    <xf numFmtId="0" fontId="20" fillId="0" borderId="0" xfId="2" applyFont="1"/>
    <xf numFmtId="1" fontId="14" fillId="17" borderId="24" xfId="126" applyNumberFormat="1" applyFont="1" applyFill="1" applyBorder="1" applyAlignment="1">
      <alignment horizontal="right"/>
    </xf>
    <xf numFmtId="0" fontId="14" fillId="0" borderId="1" xfId="2" applyFont="1" applyBorder="1"/>
    <xf numFmtId="0" fontId="15" fillId="0" borderId="22" xfId="2" applyFont="1" applyBorder="1" applyAlignment="1">
      <alignment horizontal="left" indent="1"/>
    </xf>
    <xf numFmtId="0" fontId="15" fillId="0" borderId="23" xfId="2" applyFont="1" applyBorder="1" applyAlignment="1">
      <alignment horizontal="left" indent="1"/>
    </xf>
    <xf numFmtId="168" fontId="15" fillId="0" borderId="2" xfId="136" applyNumberFormat="1" applyFont="1" applyBorder="1"/>
    <xf numFmtId="168" fontId="15" fillId="0" borderId="23" xfId="136" applyNumberFormat="1" applyFont="1" applyBorder="1"/>
    <xf numFmtId="180" fontId="13" fillId="0" borderId="0" xfId="2" applyNumberFormat="1" applyFont="1"/>
    <xf numFmtId="180" fontId="13" fillId="0" borderId="20" xfId="2" applyNumberFormat="1" applyFont="1" applyBorder="1"/>
    <xf numFmtId="180" fontId="13" fillId="0" borderId="17" xfId="2" applyNumberFormat="1" applyFont="1" applyBorder="1"/>
    <xf numFmtId="180" fontId="13" fillId="0" borderId="2" xfId="2" applyNumberFormat="1" applyFont="1" applyBorder="1"/>
    <xf numFmtId="180" fontId="13" fillId="0" borderId="23" xfId="2" applyNumberFormat="1" applyFont="1" applyBorder="1"/>
    <xf numFmtId="180" fontId="13" fillId="0" borderId="22" xfId="2" applyNumberFormat="1" applyFont="1" applyBorder="1"/>
    <xf numFmtId="0" fontId="30" fillId="0" borderId="0" xfId="2" applyFont="1"/>
    <xf numFmtId="0" fontId="14" fillId="0" borderId="2" xfId="2" applyFont="1" applyFill="1" applyBorder="1" applyAlignment="1">
      <alignment horizontal="left"/>
    </xf>
    <xf numFmtId="0" fontId="14" fillId="0" borderId="25" xfId="2" applyFont="1" applyFill="1" applyBorder="1" applyAlignment="1">
      <alignment horizontal="left"/>
    </xf>
    <xf numFmtId="0" fontId="8" fillId="17" borderId="0" xfId="2" applyFont="1" applyFill="1" applyBorder="1"/>
    <xf numFmtId="37" fontId="8" fillId="0" borderId="0" xfId="2" applyNumberFormat="1" applyFont="1" applyFill="1" applyAlignment="1">
      <alignment horizontal="center"/>
    </xf>
    <xf numFmtId="0" fontId="32" fillId="0" borderId="0" xfId="2" applyFont="1"/>
    <xf numFmtId="49" fontId="0" fillId="0" borderId="0" xfId="2" applyNumberFormat="1" applyFont="1"/>
    <xf numFmtId="0" fontId="14" fillId="0" borderId="0" xfId="2" applyFont="1" applyBorder="1"/>
    <xf numFmtId="0" fontId="8" fillId="0" borderId="0" xfId="2" applyFont="1" applyFill="1" applyBorder="1"/>
    <xf numFmtId="0" fontId="45" fillId="0" borderId="0" xfId="127" applyNumberFormat="1" applyFont="1" applyFill="1" applyBorder="1" applyAlignment="1">
      <alignment horizontal="left"/>
    </xf>
    <xf numFmtId="0" fontId="15" fillId="0" borderId="0" xfId="2" applyFont="1" applyBorder="1"/>
    <xf numFmtId="0" fontId="14" fillId="0" borderId="2" xfId="2" applyFont="1" applyBorder="1"/>
    <xf numFmtId="168" fontId="15" fillId="0" borderId="21" xfId="136" applyNumberFormat="1" applyFont="1" applyBorder="1"/>
    <xf numFmtId="0" fontId="15" fillId="0" borderId="0" xfId="2" applyFont="1" applyFill="1" applyBorder="1" applyAlignment="1">
      <alignment horizontal="left" indent="1"/>
    </xf>
    <xf numFmtId="164" fontId="14" fillId="0" borderId="0" xfId="2" applyNumberFormat="1" applyFont="1" applyBorder="1"/>
    <xf numFmtId="0" fontId="14" fillId="0" borderId="26" xfId="2" applyFont="1" applyBorder="1"/>
    <xf numFmtId="164" fontId="14" fillId="0" borderId="2" xfId="2" applyNumberFormat="1" applyFont="1" applyBorder="1"/>
    <xf numFmtId="0" fontId="45" fillId="0" borderId="0" xfId="2" applyFont="1" applyBorder="1"/>
    <xf numFmtId="0" fontId="8" fillId="0" borderId="0" xfId="2" quotePrefix="1" applyFont="1" applyFill="1" applyBorder="1"/>
    <xf numFmtId="0" fontId="13" fillId="0" borderId="7" xfId="2" applyFont="1" applyBorder="1"/>
    <xf numFmtId="168" fontId="13" fillId="0" borderId="0" xfId="2" applyNumberFormat="1" applyFont="1" applyBorder="1"/>
    <xf numFmtId="168" fontId="13" fillId="0" borderId="21" xfId="2" applyNumberFormat="1" applyFont="1" applyBorder="1"/>
    <xf numFmtId="183" fontId="13" fillId="0" borderId="0" xfId="67" applyNumberFormat="1" applyFont="1" applyBorder="1"/>
    <xf numFmtId="0" fontId="61" fillId="0" borderId="0" xfId="2" applyFont="1" applyFill="1"/>
    <xf numFmtId="37" fontId="13" fillId="0" borderId="0" xfId="2" applyNumberFormat="1" applyFont="1"/>
    <xf numFmtId="180" fontId="14" fillId="0" borderId="35" xfId="2" applyNumberFormat="1" applyFont="1" applyFill="1" applyBorder="1"/>
    <xf numFmtId="0" fontId="15" fillId="0" borderId="22" xfId="2" applyFont="1" applyBorder="1"/>
    <xf numFmtId="43" fontId="18" fillId="0" borderId="0" xfId="2" applyNumberFormat="1" applyFont="1"/>
    <xf numFmtId="199" fontId="19" fillId="0" borderId="1" xfId="136" applyNumberFormat="1" applyFont="1" applyFill="1" applyBorder="1" applyAlignment="1"/>
    <xf numFmtId="199" fontId="19" fillId="0" borderId="0" xfId="136" applyNumberFormat="1" applyFont="1" applyFill="1" applyBorder="1" applyAlignment="1"/>
    <xf numFmtId="199" fontId="19" fillId="0" borderId="21" xfId="136" applyNumberFormat="1" applyFont="1" applyFill="1" applyBorder="1" applyAlignment="1"/>
    <xf numFmtId="0" fontId="14" fillId="0" borderId="21" xfId="2" applyFont="1" applyBorder="1"/>
    <xf numFmtId="0" fontId="13" fillId="0" borderId="0" xfId="2" applyFont="1" applyAlignment="1">
      <alignment horizontal="right"/>
    </xf>
    <xf numFmtId="0" fontId="27" fillId="0" borderId="26" xfId="2" applyFont="1" applyBorder="1"/>
    <xf numFmtId="0" fontId="27" fillId="0" borderId="0" xfId="2" applyFont="1" applyBorder="1"/>
    <xf numFmtId="164" fontId="27" fillId="0" borderId="0" xfId="2" applyNumberFormat="1" applyFont="1" applyBorder="1"/>
    <xf numFmtId="0" fontId="27" fillId="0" borderId="1" xfId="2" applyFont="1" applyBorder="1"/>
    <xf numFmtId="0" fontId="27" fillId="0" borderId="21" xfId="2" applyFont="1" applyBorder="1"/>
    <xf numFmtId="0" fontId="32" fillId="0" borderId="1" xfId="2" applyFont="1" applyBorder="1"/>
    <xf numFmtId="168" fontId="13" fillId="0" borderId="0" xfId="2" applyNumberFormat="1" applyFont="1"/>
    <xf numFmtId="4" fontId="0" fillId="0" borderId="0" xfId="2" applyNumberFormat="1" applyFont="1"/>
    <xf numFmtId="164" fontId="23" fillId="0" borderId="0" xfId="2" applyNumberFormat="1" applyFont="1" applyBorder="1"/>
    <xf numFmtId="168" fontId="43" fillId="0" borderId="21" xfId="136" applyNumberFormat="1" applyFont="1" applyFill="1" applyBorder="1"/>
    <xf numFmtId="168" fontId="43" fillId="0" borderId="1" xfId="136" applyNumberFormat="1" applyFont="1" applyFill="1" applyBorder="1"/>
    <xf numFmtId="43" fontId="13" fillId="0" borderId="0" xfId="2" applyNumberFormat="1" applyFont="1"/>
    <xf numFmtId="169" fontId="8" fillId="0" borderId="0" xfId="2" applyNumberFormat="1" applyFont="1"/>
    <xf numFmtId="168" fontId="21" fillId="0" borderId="1" xfId="2" applyNumberFormat="1" applyFont="1" applyFill="1" applyBorder="1" applyAlignment="1"/>
    <xf numFmtId="168" fontId="21" fillId="0" borderId="0" xfId="2" applyNumberFormat="1" applyFont="1" applyFill="1" applyBorder="1" applyAlignment="1"/>
    <xf numFmtId="168" fontId="21" fillId="0" borderId="21" xfId="2" applyNumberFormat="1" applyFont="1" applyFill="1" applyBorder="1" applyAlignment="1"/>
    <xf numFmtId="0" fontId="27" fillId="0" borderId="1" xfId="2" applyFont="1" applyFill="1" applyBorder="1"/>
    <xf numFmtId="0" fontId="15" fillId="0" borderId="22" xfId="2" applyFont="1" applyFill="1" applyBorder="1" applyAlignment="1">
      <alignment horizontal="left" indent="1"/>
    </xf>
    <xf numFmtId="164" fontId="25" fillId="0" borderId="0" xfId="2" applyNumberFormat="1" applyFont="1" applyFill="1" applyBorder="1" applyAlignment="1"/>
    <xf numFmtId="0" fontId="32" fillId="0" borderId="1" xfId="2" applyFont="1" applyFill="1" applyBorder="1"/>
    <xf numFmtId="0" fontId="0" fillId="0" borderId="0" xfId="2" applyFont="1" applyBorder="1"/>
    <xf numFmtId="164" fontId="32" fillId="0" borderId="0" xfId="2" applyNumberFormat="1" applyFont="1" applyFill="1" applyBorder="1" applyAlignment="1"/>
    <xf numFmtId="164" fontId="32" fillId="0" borderId="21" xfId="2" applyNumberFormat="1" applyFont="1" applyFill="1" applyBorder="1" applyAlignment="1"/>
    <xf numFmtId="164" fontId="32" fillId="0" borderId="1" xfId="2" applyNumberFormat="1" applyFont="1" applyFill="1" applyBorder="1" applyAlignment="1"/>
    <xf numFmtId="0" fontId="32" fillId="0" borderId="1" xfId="2" applyFont="1" applyFill="1" applyBorder="1" applyAlignment="1">
      <alignment horizontal="left" indent="1"/>
    </xf>
    <xf numFmtId="0" fontId="101" fillId="0" borderId="0" xfId="2" applyFont="1"/>
    <xf numFmtId="169" fontId="105" fillId="0" borderId="1" xfId="2" applyNumberFormat="1" applyFont="1" applyFill="1" applyBorder="1"/>
    <xf numFmtId="164" fontId="105" fillId="0" borderId="0" xfId="2" applyNumberFormat="1" applyFont="1" applyFill="1" applyBorder="1"/>
    <xf numFmtId="164" fontId="105" fillId="0" borderId="1" xfId="2" applyNumberFormat="1" applyFont="1" applyFill="1" applyBorder="1"/>
    <xf numFmtId="164" fontId="106" fillId="0" borderId="1" xfId="2" applyNumberFormat="1" applyFont="1" applyFill="1" applyBorder="1"/>
    <xf numFmtId="41" fontId="105" fillId="0" borderId="1" xfId="2" applyNumberFormat="1" applyFont="1" applyFill="1" applyBorder="1"/>
    <xf numFmtId="180" fontId="105" fillId="0" borderId="1" xfId="2" applyNumberFormat="1" applyFont="1" applyFill="1" applyBorder="1"/>
    <xf numFmtId="180" fontId="105" fillId="0" borderId="0" xfId="2" applyNumberFormat="1" applyFont="1" applyFill="1" applyBorder="1"/>
    <xf numFmtId="164" fontId="13" fillId="0" borderId="0" xfId="136" applyNumberFormat="1" applyFont="1" applyFill="1" applyBorder="1"/>
    <xf numFmtId="173" fontId="18" fillId="0" borderId="0" xfId="2" applyNumberFormat="1" applyFont="1" applyFill="1" applyBorder="1"/>
    <xf numFmtId="164" fontId="18" fillId="0" borderId="2" xfId="2" applyNumberFormat="1" applyFont="1" applyFill="1" applyBorder="1"/>
    <xf numFmtId="164" fontId="105" fillId="0" borderId="22" xfId="2" applyNumberFormat="1" applyFont="1" applyFill="1" applyBorder="1"/>
    <xf numFmtId="177" fontId="18" fillId="0" borderId="23" xfId="67" applyNumberFormat="1" applyFont="1" applyBorder="1"/>
    <xf numFmtId="177" fontId="18" fillId="0" borderId="20" xfId="67" applyNumberFormat="1" applyFont="1" applyBorder="1"/>
    <xf numFmtId="180" fontId="13" fillId="0" borderId="1" xfId="2" applyNumberFormat="1" applyFont="1" applyBorder="1"/>
    <xf numFmtId="180" fontId="13" fillId="0" borderId="0" xfId="2" applyNumberFormat="1" applyFont="1" applyBorder="1"/>
    <xf numFmtId="177" fontId="13" fillId="0" borderId="1" xfId="67" applyNumberFormat="1" applyFont="1" applyBorder="1"/>
    <xf numFmtId="168" fontId="15" fillId="0" borderId="22" xfId="136" applyNumberFormat="1" applyFont="1" applyFill="1" applyBorder="1"/>
    <xf numFmtId="177" fontId="13" fillId="0" borderId="7" xfId="67" applyNumberFormat="1" applyFont="1" applyBorder="1"/>
    <xf numFmtId="177" fontId="13" fillId="0" borderId="17" xfId="67" applyNumberFormat="1" applyFont="1" applyBorder="1"/>
    <xf numFmtId="177" fontId="18" fillId="0" borderId="1" xfId="67" applyNumberFormat="1" applyFont="1" applyBorder="1"/>
    <xf numFmtId="164" fontId="20" fillId="0" borderId="21" xfId="2" applyNumberFormat="1" applyFont="1" applyFill="1" applyBorder="1" applyAlignment="1"/>
    <xf numFmtId="0" fontId="0" fillId="0" borderId="0" xfId="2" applyFont="1" applyFill="1"/>
    <xf numFmtId="41" fontId="13" fillId="0" borderId="1" xfId="2" applyNumberFormat="1" applyFont="1" applyFill="1" applyBorder="1"/>
    <xf numFmtId="41" fontId="13" fillId="0" borderId="0" xfId="2" applyNumberFormat="1" applyFont="1" applyFill="1" applyBorder="1"/>
    <xf numFmtId="41" fontId="13" fillId="0" borderId="21" xfId="2" applyNumberFormat="1" applyFont="1" applyFill="1" applyBorder="1"/>
    <xf numFmtId="0" fontId="14" fillId="0" borderId="22" xfId="2" applyFont="1" applyFill="1" applyBorder="1" applyAlignment="1">
      <alignment horizontal="left"/>
    </xf>
    <xf numFmtId="179" fontId="27" fillId="0" borderId="0" xfId="2" applyNumberFormat="1" applyFont="1" applyBorder="1"/>
    <xf numFmtId="179" fontId="13" fillId="0" borderId="0" xfId="2" applyNumberFormat="1" applyFont="1" applyBorder="1"/>
    <xf numFmtId="179" fontId="14" fillId="0" borderId="0" xfId="2" applyNumberFormat="1" applyFont="1" applyBorder="1"/>
    <xf numFmtId="168" fontId="21" fillId="0" borderId="21" xfId="136" applyNumberFormat="1" applyFont="1" applyFill="1" applyBorder="1"/>
    <xf numFmtId="168" fontId="21" fillId="0" borderId="0" xfId="136" applyNumberFormat="1" applyFont="1" applyBorder="1"/>
    <xf numFmtId="179" fontId="23" fillId="0" borderId="0" xfId="2" applyNumberFormat="1" applyFont="1" applyFill="1" applyBorder="1"/>
    <xf numFmtId="179" fontId="14" fillId="0" borderId="0" xfId="2" applyNumberFormat="1" applyFont="1" applyFill="1" applyBorder="1"/>
    <xf numFmtId="179" fontId="14" fillId="0" borderId="21" xfId="2" applyNumberFormat="1" applyFont="1" applyFill="1" applyBorder="1"/>
    <xf numFmtId="179" fontId="33" fillId="0" borderId="0" xfId="2" applyNumberFormat="1" applyFont="1" applyFill="1" applyBorder="1"/>
    <xf numFmtId="179" fontId="33" fillId="0" borderId="21" xfId="2" applyNumberFormat="1" applyFont="1" applyFill="1" applyBorder="1"/>
    <xf numFmtId="168" fontId="15" fillId="0" borderId="0" xfId="136" applyNumberFormat="1" applyFont="1" applyBorder="1" applyAlignment="1">
      <alignment horizontal="right"/>
    </xf>
    <xf numFmtId="168" fontId="21" fillId="0" borderId="1" xfId="136" applyNumberFormat="1" applyFont="1" applyBorder="1"/>
    <xf numFmtId="168" fontId="21" fillId="0" borderId="0" xfId="136" applyNumberFormat="1" applyFont="1" applyFill="1" applyBorder="1"/>
    <xf numFmtId="179" fontId="27" fillId="0" borderId="0" xfId="2" applyNumberFormat="1" applyFont="1" applyFill="1" applyBorder="1"/>
    <xf numFmtId="0" fontId="14" fillId="0" borderId="17" xfId="2" applyFont="1" applyBorder="1"/>
    <xf numFmtId="0" fontId="15" fillId="0" borderId="0" xfId="2" applyFont="1" applyBorder="1" applyAlignment="1">
      <alignment horizontal="left" indent="1"/>
    </xf>
    <xf numFmtId="0" fontId="15" fillId="0" borderId="2" xfId="2" applyFont="1" applyBorder="1" applyAlignment="1">
      <alignment horizontal="left" indent="1"/>
    </xf>
    <xf numFmtId="179" fontId="14" fillId="0" borderId="1" xfId="2" applyNumberFormat="1" applyFont="1" applyFill="1" applyBorder="1"/>
    <xf numFmtId="179" fontId="33" fillId="0" borderId="1" xfId="2" applyNumberFormat="1" applyFont="1" applyFill="1" applyBorder="1"/>
    <xf numFmtId="179" fontId="23" fillId="0" borderId="1" xfId="2" applyNumberFormat="1" applyFont="1" applyFill="1" applyBorder="1"/>
    <xf numFmtId="168" fontId="21" fillId="0" borderId="1" xfId="136" applyNumberFormat="1" applyFont="1" applyFill="1" applyBorder="1"/>
    <xf numFmtId="168" fontId="43" fillId="0" borderId="0" xfId="136" applyNumberFormat="1" applyFont="1" applyFill="1" applyBorder="1"/>
    <xf numFmtId="200" fontId="13" fillId="0" borderId="0" xfId="2" applyNumberFormat="1" applyFont="1" applyBorder="1"/>
    <xf numFmtId="164" fontId="14" fillId="0" borderId="17" xfId="2" applyNumberFormat="1" applyFont="1" applyBorder="1"/>
    <xf numFmtId="0" fontId="13" fillId="0" borderId="17" xfId="2" applyFont="1" applyBorder="1"/>
    <xf numFmtId="168" fontId="21" fillId="0" borderId="7" xfId="136" applyNumberFormat="1" applyFont="1" applyBorder="1"/>
    <xf numFmtId="179" fontId="32" fillId="0" borderId="0" xfId="2" applyNumberFormat="1" applyFont="1" applyBorder="1"/>
    <xf numFmtId="179" fontId="27" fillId="0" borderId="17" xfId="2" applyNumberFormat="1" applyFont="1" applyBorder="1"/>
    <xf numFmtId="179" fontId="64" fillId="0" borderId="21" xfId="2" applyNumberFormat="1" applyFont="1" applyFill="1" applyBorder="1"/>
    <xf numFmtId="0" fontId="32" fillId="0" borderId="21" xfId="2" applyFont="1" applyFill="1" applyBorder="1"/>
    <xf numFmtId="180" fontId="33" fillId="0" borderId="1" xfId="2" applyNumberFormat="1" applyFont="1" applyFill="1" applyBorder="1"/>
    <xf numFmtId="180" fontId="33" fillId="0" borderId="0" xfId="2" applyNumberFormat="1" applyFont="1" applyFill="1" applyBorder="1"/>
    <xf numFmtId="180" fontId="33" fillId="0" borderId="21" xfId="2" applyNumberFormat="1" applyFont="1" applyFill="1" applyBorder="1"/>
    <xf numFmtId="0" fontId="32" fillId="0" borderId="26" xfId="2" applyFont="1" applyFill="1" applyBorder="1"/>
    <xf numFmtId="0" fontId="32" fillId="0" borderId="26" xfId="2" applyFont="1" applyBorder="1"/>
    <xf numFmtId="180" fontId="32" fillId="0" borderId="1" xfId="2" applyNumberFormat="1" applyFont="1" applyFill="1" applyBorder="1"/>
    <xf numFmtId="180" fontId="32" fillId="0" borderId="0" xfId="2" applyNumberFormat="1" applyFont="1" applyFill="1" applyBorder="1"/>
    <xf numFmtId="180" fontId="32" fillId="0" borderId="21" xfId="2" applyNumberFormat="1" applyFont="1" applyFill="1" applyBorder="1"/>
    <xf numFmtId="179" fontId="125" fillId="0" borderId="21" xfId="2" applyNumberFormat="1" applyFont="1" applyFill="1" applyBorder="1"/>
    <xf numFmtId="179" fontId="126" fillId="0" borderId="21" xfId="2" applyNumberFormat="1" applyFont="1" applyFill="1" applyBorder="1"/>
    <xf numFmtId="0" fontId="104" fillId="0" borderId="0" xfId="2" applyFont="1"/>
    <xf numFmtId="164" fontId="25" fillId="0" borderId="21" xfId="2" applyNumberFormat="1" applyFont="1" applyFill="1" applyBorder="1" applyAlignment="1"/>
    <xf numFmtId="0" fontId="10" fillId="0" borderId="0" xfId="2" applyFont="1" applyFill="1" applyAlignment="1">
      <alignment horizontal="center" vertical="center"/>
    </xf>
    <xf numFmtId="0" fontId="8" fillId="0" borderId="0" xfId="2" applyFont="1" applyAlignment="1">
      <alignment horizontal="center"/>
    </xf>
    <xf numFmtId="0" fontId="0" fillId="0" borderId="0" xfId="2" applyFont="1" applyAlignment="1">
      <alignment horizontal="center"/>
    </xf>
    <xf numFmtId="0" fontId="32" fillId="0" borderId="1" xfId="2" applyFont="1" applyBorder="1" applyAlignment="1">
      <alignment horizontal="left" indent="1"/>
    </xf>
    <xf numFmtId="0" fontId="21" fillId="0" borderId="1" xfId="2" applyFont="1" applyFill="1" applyBorder="1" applyAlignment="1">
      <alignment horizontal="left" indent="1"/>
    </xf>
    <xf numFmtId="215" fontId="8" fillId="0" borderId="0" xfId="2" applyNumberFormat="1" applyFont="1"/>
    <xf numFmtId="173" fontId="21" fillId="0" borderId="0" xfId="2" applyNumberFormat="1" applyFont="1" applyFill="1" applyBorder="1"/>
    <xf numFmtId="173" fontId="21" fillId="0" borderId="21" xfId="2" applyNumberFormat="1" applyFont="1" applyFill="1" applyBorder="1"/>
    <xf numFmtId="0" fontId="48" fillId="0" borderId="0" xfId="2" applyFont="1"/>
    <xf numFmtId="0" fontId="48" fillId="0" borderId="1" xfId="2" applyFont="1" applyFill="1" applyBorder="1"/>
    <xf numFmtId="0" fontId="48" fillId="0" borderId="21" xfId="2" applyFont="1" applyFill="1" applyBorder="1"/>
    <xf numFmtId="164" fontId="48" fillId="22" borderId="0" xfId="125" applyNumberFormat="1" applyFont="1" applyFill="1" applyBorder="1"/>
    <xf numFmtId="164" fontId="48" fillId="22" borderId="21" xfId="125" applyNumberFormat="1" applyFont="1" applyFill="1" applyBorder="1"/>
    <xf numFmtId="0" fontId="48" fillId="0" borderId="26" xfId="2" applyFont="1" applyBorder="1"/>
    <xf numFmtId="164" fontId="48" fillId="0" borderId="0" xfId="2" applyNumberFormat="1" applyFont="1" applyFill="1" applyBorder="1"/>
    <xf numFmtId="0" fontId="48" fillId="0" borderId="1" xfId="2" applyFont="1" applyBorder="1"/>
    <xf numFmtId="0" fontId="129" fillId="0" borderId="0" xfId="2" applyFont="1"/>
    <xf numFmtId="0" fontId="32" fillId="0" borderId="22" xfId="2" applyFont="1" applyFill="1" applyBorder="1"/>
    <xf numFmtId="0" fontId="32" fillId="0" borderId="23" xfId="2" applyFont="1" applyFill="1" applyBorder="1"/>
    <xf numFmtId="164" fontId="32" fillId="22" borderId="2" xfId="125" applyNumberFormat="1" applyFont="1" applyFill="1" applyBorder="1"/>
    <xf numFmtId="164" fontId="32" fillId="22" borderId="23" xfId="125" applyNumberFormat="1" applyFont="1" applyFill="1" applyBorder="1"/>
    <xf numFmtId="0" fontId="48" fillId="0" borderId="1" xfId="2" applyFont="1" applyFill="1" applyBorder="1" applyAlignment="1">
      <alignment horizontal="left"/>
    </xf>
    <xf numFmtId="216" fontId="13" fillId="22" borderId="0" xfId="125" applyNumberFormat="1" applyFont="1" applyFill="1" applyBorder="1"/>
    <xf numFmtId="216" fontId="13" fillId="22" borderId="21" xfId="125" applyNumberFormat="1" applyFont="1" applyFill="1" applyBorder="1"/>
    <xf numFmtId="216" fontId="13" fillId="0" borderId="26" xfId="2" applyNumberFormat="1" applyFont="1" applyBorder="1"/>
    <xf numFmtId="216" fontId="29" fillId="22" borderId="0" xfId="125" applyNumberFormat="1" applyFont="1" applyFill="1" applyBorder="1"/>
    <xf numFmtId="164" fontId="32" fillId="0" borderId="0" xfId="2" applyNumberFormat="1" applyFont="1" applyFill="1" applyBorder="1"/>
    <xf numFmtId="0" fontId="13" fillId="17" borderId="6" xfId="2" applyFont="1" applyFill="1" applyBorder="1"/>
    <xf numFmtId="183" fontId="13" fillId="0" borderId="0" xfId="67" applyNumberFormat="1" applyFont="1"/>
    <xf numFmtId="10" fontId="130" fillId="0" borderId="0" xfId="2" applyNumberFormat="1" applyFont="1" applyBorder="1"/>
    <xf numFmtId="0" fontId="27" fillId="0" borderId="22" xfId="2" applyFont="1" applyBorder="1"/>
    <xf numFmtId="0" fontId="27" fillId="0" borderId="2" xfId="2" applyFont="1" applyBorder="1"/>
    <xf numFmtId="177" fontId="27" fillId="0" borderId="2" xfId="67" applyNumberFormat="1" applyFont="1" applyBorder="1"/>
    <xf numFmtId="0" fontId="48" fillId="0" borderId="0" xfId="2" applyFont="1" applyBorder="1"/>
    <xf numFmtId="177" fontId="48" fillId="0" borderId="0" xfId="67" applyNumberFormat="1" applyFont="1" applyBorder="1"/>
    <xf numFmtId="183" fontId="131" fillId="0" borderId="0" xfId="67" applyNumberFormat="1" applyFont="1" applyBorder="1"/>
    <xf numFmtId="183" fontId="48" fillId="0" borderId="0" xfId="67" applyNumberFormat="1" applyFont="1" applyBorder="1"/>
    <xf numFmtId="183" fontId="18" fillId="0" borderId="0" xfId="67" applyNumberFormat="1" applyFont="1" applyBorder="1"/>
    <xf numFmtId="183" fontId="13" fillId="0" borderId="0" xfId="2" applyNumberFormat="1" applyFont="1" applyBorder="1"/>
    <xf numFmtId="0" fontId="128" fillId="0" borderId="0" xfId="2" applyFont="1" applyFill="1" applyBorder="1"/>
    <xf numFmtId="183" fontId="27" fillId="0" borderId="0" xfId="67" applyNumberFormat="1" applyFont="1" applyBorder="1"/>
    <xf numFmtId="177" fontId="47" fillId="0" borderId="0" xfId="67" applyNumberFormat="1" applyFont="1" applyBorder="1"/>
    <xf numFmtId="183" fontId="13" fillId="0" borderId="21" xfId="67" applyNumberFormat="1" applyFont="1" applyBorder="1"/>
    <xf numFmtId="183" fontId="48" fillId="0" borderId="21" xfId="67" applyNumberFormat="1" applyFont="1" applyBorder="1"/>
    <xf numFmtId="183" fontId="27" fillId="0" borderId="21" xfId="67" applyNumberFormat="1" applyFont="1" applyBorder="1"/>
    <xf numFmtId="177" fontId="48" fillId="0" borderId="21" xfId="67" applyNumberFormat="1" applyFont="1" applyBorder="1"/>
    <xf numFmtId="177" fontId="27" fillId="0" borderId="23" xfId="67" applyNumberFormat="1" applyFont="1" applyBorder="1"/>
    <xf numFmtId="10" fontId="13" fillId="0" borderId="0" xfId="2" applyNumberFormat="1" applyFont="1" applyBorder="1"/>
    <xf numFmtId="10" fontId="13" fillId="0" borderId="21" xfId="2" applyNumberFormat="1" applyFont="1" applyBorder="1"/>
    <xf numFmtId="183" fontId="18" fillId="0" borderId="21" xfId="67" applyNumberFormat="1" applyFont="1" applyBorder="1"/>
    <xf numFmtId="183" fontId="13" fillId="0" borderId="21" xfId="2" applyNumberFormat="1" applyFont="1" applyBorder="1"/>
    <xf numFmtId="164" fontId="13" fillId="0" borderId="0" xfId="125" applyNumberFormat="1" applyFont="1" applyFill="1" applyBorder="1"/>
    <xf numFmtId="164" fontId="13" fillId="0" borderId="21" xfId="125" applyNumberFormat="1" applyFont="1" applyFill="1" applyBorder="1"/>
    <xf numFmtId="183" fontId="13" fillId="0" borderId="0" xfId="67" applyNumberFormat="1" applyFont="1" applyFill="1" applyBorder="1"/>
    <xf numFmtId="177" fontId="132" fillId="0" borderId="0" xfId="67" applyNumberFormat="1" applyFont="1" applyBorder="1"/>
    <xf numFmtId="177" fontId="133" fillId="0" borderId="2" xfId="67" applyNumberFormat="1" applyFont="1" applyBorder="1"/>
    <xf numFmtId="183" fontId="25" fillId="0" borderId="0" xfId="67" applyNumberFormat="1" applyFont="1" applyBorder="1"/>
    <xf numFmtId="168" fontId="21" fillId="0" borderId="22" xfId="136" applyNumberFormat="1" applyFont="1" applyFill="1" applyBorder="1"/>
    <xf numFmtId="168" fontId="21" fillId="0" borderId="2" xfId="136" applyNumberFormat="1" applyFont="1" applyFill="1" applyBorder="1"/>
    <xf numFmtId="168" fontId="21" fillId="0" borderId="23" xfId="136" applyNumberFormat="1" applyFont="1" applyFill="1" applyBorder="1"/>
    <xf numFmtId="168" fontId="32" fillId="0" borderId="0" xfId="2" applyNumberFormat="1" applyFont="1" applyBorder="1"/>
    <xf numFmtId="165" fontId="16" fillId="17" borderId="24" xfId="127" applyNumberFormat="1" applyFont="1" applyFill="1" applyBorder="1" applyAlignment="1">
      <alignment horizontal="right"/>
    </xf>
    <xf numFmtId="165" fontId="16" fillId="17" borderId="6" xfId="127" applyNumberFormat="1" applyFont="1" applyFill="1" applyBorder="1" applyAlignment="1">
      <alignment horizontal="right"/>
    </xf>
    <xf numFmtId="165" fontId="16" fillId="17" borderId="25" xfId="127" applyNumberFormat="1" applyFont="1" applyFill="1" applyBorder="1" applyAlignment="1">
      <alignment horizontal="right"/>
    </xf>
    <xf numFmtId="1" fontId="16" fillId="17" borderId="24" xfId="127" applyNumberFormat="1" applyFont="1" applyFill="1" applyBorder="1" applyAlignment="1">
      <alignment horizontal="right"/>
    </xf>
    <xf numFmtId="1" fontId="16" fillId="17" borderId="6" xfId="127" applyNumberFormat="1" applyFont="1" applyFill="1" applyBorder="1" applyAlignment="1">
      <alignment horizontal="right"/>
    </xf>
    <xf numFmtId="1" fontId="16" fillId="17" borderId="25" xfId="127" applyNumberFormat="1" applyFont="1" applyFill="1" applyBorder="1" applyAlignment="1">
      <alignment horizontal="right"/>
    </xf>
    <xf numFmtId="218" fontId="13" fillId="0" borderId="0" xfId="2" applyNumberFormat="1" applyFont="1"/>
    <xf numFmtId="218" fontId="15" fillId="0" borderId="0" xfId="2" applyNumberFormat="1" applyFont="1" applyBorder="1" applyAlignment="1">
      <alignment horizontal="left" indent="1"/>
    </xf>
    <xf numFmtId="218" fontId="13" fillId="0" borderId="21" xfId="2" applyNumberFormat="1" applyFont="1" applyBorder="1"/>
    <xf numFmtId="218" fontId="21" fillId="0" borderId="0" xfId="136" applyNumberFormat="1" applyFont="1" applyBorder="1"/>
    <xf numFmtId="9" fontId="13" fillId="0" borderId="0" xfId="136" applyFont="1" applyFill="1" applyBorder="1"/>
    <xf numFmtId="37" fontId="13" fillId="0" borderId="7" xfId="2" applyNumberFormat="1" applyFont="1" applyFill="1" applyBorder="1"/>
    <xf numFmtId="179" fontId="14" fillId="0" borderId="20" xfId="2" applyNumberFormat="1" applyFont="1" applyFill="1" applyBorder="1"/>
    <xf numFmtId="179" fontId="27" fillId="0" borderId="1" xfId="2" applyNumberFormat="1" applyFont="1" applyBorder="1"/>
    <xf numFmtId="179" fontId="32" fillId="0" borderId="1" xfId="2" applyNumberFormat="1" applyFont="1" applyBorder="1"/>
    <xf numFmtId="179" fontId="27" fillId="0" borderId="7" xfId="2" applyNumberFormat="1" applyFont="1" applyBorder="1"/>
    <xf numFmtId="164" fontId="14" fillId="0" borderId="22" xfId="2" applyNumberFormat="1" applyFont="1" applyBorder="1"/>
    <xf numFmtId="164" fontId="48" fillId="0" borderId="0" xfId="2" applyNumberFormat="1" applyFont="1" applyFill="1" applyBorder="1" applyAlignment="1"/>
    <xf numFmtId="183" fontId="47" fillId="0" borderId="0" xfId="67" applyNumberFormat="1" applyFont="1" applyBorder="1"/>
    <xf numFmtId="164" fontId="48" fillId="0" borderId="21" xfId="2" applyNumberFormat="1" applyFont="1" applyFill="1" applyBorder="1" applyAlignment="1"/>
    <xf numFmtId="164" fontId="48" fillId="0" borderId="1" xfId="2" applyNumberFormat="1" applyFont="1" applyFill="1" applyBorder="1" applyAlignment="1"/>
    <xf numFmtId="0" fontId="27" fillId="0" borderId="21" xfId="2" applyFont="1" applyFill="1" applyBorder="1"/>
    <xf numFmtId="164" fontId="27" fillId="0" borderId="0" xfId="2" applyNumberFormat="1" applyFont="1" applyFill="1" applyBorder="1" applyAlignment="1"/>
    <xf numFmtId="164" fontId="27" fillId="0" borderId="21" xfId="2" applyNumberFormat="1" applyFont="1" applyFill="1" applyBorder="1" applyAlignment="1"/>
    <xf numFmtId="164" fontId="27" fillId="0" borderId="1" xfId="2" applyNumberFormat="1" applyFont="1" applyFill="1" applyBorder="1" applyAlignment="1"/>
    <xf numFmtId="164" fontId="13" fillId="0" borderId="23" xfId="2" applyNumberFormat="1" applyFont="1" applyFill="1" applyBorder="1" applyAlignment="1"/>
    <xf numFmtId="164" fontId="13" fillId="0" borderId="2" xfId="2" applyNumberFormat="1" applyFont="1" applyFill="1" applyBorder="1" applyAlignment="1"/>
    <xf numFmtId="37" fontId="13" fillId="0" borderId="0" xfId="2" applyNumberFormat="1" applyFont="1" applyFill="1" applyBorder="1" applyAlignment="1">
      <alignment horizontal="right"/>
    </xf>
    <xf numFmtId="37" fontId="13" fillId="0" borderId="21" xfId="2" applyNumberFormat="1" applyFont="1" applyFill="1" applyBorder="1" applyAlignment="1">
      <alignment horizontal="right"/>
    </xf>
    <xf numFmtId="37" fontId="32" fillId="0" borderId="0" xfId="2" applyNumberFormat="1" applyFont="1" applyFill="1" applyBorder="1" applyAlignment="1">
      <alignment horizontal="right"/>
    </xf>
    <xf numFmtId="37" fontId="32" fillId="0" borderId="21" xfId="2" applyNumberFormat="1" applyFont="1" applyFill="1" applyBorder="1" applyAlignment="1">
      <alignment horizontal="right"/>
    </xf>
    <xf numFmtId="168" fontId="15" fillId="0" borderId="21" xfId="136" applyNumberFormat="1" applyFont="1" applyFill="1" applyBorder="1" applyAlignment="1">
      <alignment horizontal="right"/>
    </xf>
    <xf numFmtId="168" fontId="21" fillId="0" borderId="0" xfId="136" applyNumberFormat="1" applyFont="1" applyFill="1" applyBorder="1" applyAlignment="1">
      <alignment horizontal="right"/>
    </xf>
    <xf numFmtId="168" fontId="21" fillId="0" borderId="21" xfId="136" applyNumberFormat="1" applyFont="1" applyFill="1" applyBorder="1" applyAlignment="1">
      <alignment horizontal="right"/>
    </xf>
    <xf numFmtId="168" fontId="43" fillId="0" borderId="21" xfId="136" applyNumberFormat="1" applyFont="1" applyFill="1" applyBorder="1" applyAlignment="1">
      <alignment horizontal="right"/>
    </xf>
    <xf numFmtId="168" fontId="43" fillId="0" borderId="0" xfId="136" applyNumberFormat="1" applyFont="1" applyFill="1" applyBorder="1" applyAlignment="1">
      <alignment horizontal="right"/>
    </xf>
    <xf numFmtId="168" fontId="15" fillId="0" borderId="1" xfId="136" applyNumberFormat="1" applyFont="1" applyFill="1" applyBorder="1" applyAlignment="1">
      <alignment horizontal="right"/>
    </xf>
    <xf numFmtId="168" fontId="32" fillId="0" borderId="1" xfId="2" applyNumberFormat="1" applyFont="1" applyFill="1" applyBorder="1" applyAlignment="1">
      <alignment horizontal="right"/>
    </xf>
    <xf numFmtId="168" fontId="32" fillId="0" borderId="0" xfId="136" applyNumberFormat="1" applyFont="1" applyFill="1" applyBorder="1" applyAlignment="1">
      <alignment horizontal="right"/>
    </xf>
    <xf numFmtId="168" fontId="21" fillId="0" borderId="0" xfId="2" applyNumberFormat="1" applyFont="1" applyFill="1" applyBorder="1" applyAlignment="1">
      <alignment horizontal="right"/>
    </xf>
    <xf numFmtId="168" fontId="32" fillId="0" borderId="0" xfId="2" applyNumberFormat="1" applyFont="1" applyFill="1" applyBorder="1" applyAlignment="1">
      <alignment horizontal="right"/>
    </xf>
    <xf numFmtId="168" fontId="32" fillId="0" borderId="21" xfId="2" applyNumberFormat="1" applyFont="1" applyFill="1" applyBorder="1" applyAlignment="1">
      <alignment horizontal="right"/>
    </xf>
    <xf numFmtId="179" fontId="32" fillId="0" borderId="0" xfId="2" applyNumberFormat="1" applyFont="1" applyFill="1" applyBorder="1" applyAlignment="1">
      <alignment horizontal="right"/>
    </xf>
    <xf numFmtId="179" fontId="32" fillId="0" borderId="21" xfId="2" applyNumberFormat="1" applyFont="1" applyFill="1" applyBorder="1" applyAlignment="1">
      <alignment horizontal="right"/>
    </xf>
    <xf numFmtId="9" fontId="32" fillId="0" borderId="0" xfId="2" applyNumberFormat="1" applyFont="1" applyFill="1" applyBorder="1" applyAlignment="1">
      <alignment horizontal="right"/>
    </xf>
    <xf numFmtId="9" fontId="32" fillId="0" borderId="21" xfId="2" applyNumberFormat="1" applyFont="1" applyFill="1" applyBorder="1" applyAlignment="1">
      <alignment horizontal="right"/>
    </xf>
    <xf numFmtId="9" fontId="15" fillId="0" borderId="0" xfId="136" applyNumberFormat="1" applyFont="1" applyFill="1" applyBorder="1" applyAlignment="1">
      <alignment horizontal="right"/>
    </xf>
    <xf numFmtId="9" fontId="15" fillId="0" borderId="21" xfId="136" applyNumberFormat="1" applyFont="1" applyFill="1" applyBorder="1" applyAlignment="1">
      <alignment horizontal="right"/>
    </xf>
    <xf numFmtId="168" fontId="19" fillId="0" borderId="0" xfId="136" applyNumberFormat="1" applyFont="1" applyFill="1" applyBorder="1" applyAlignment="1">
      <alignment horizontal="right"/>
    </xf>
    <xf numFmtId="168" fontId="19" fillId="0" borderId="21" xfId="136" applyNumberFormat="1" applyFont="1" applyFill="1" applyBorder="1" applyAlignment="1">
      <alignment horizontal="right"/>
    </xf>
    <xf numFmtId="179" fontId="14" fillId="0" borderId="1" xfId="2" applyNumberFormat="1" applyFont="1" applyFill="1" applyBorder="1" applyAlignment="1">
      <alignment horizontal="right"/>
    </xf>
    <xf numFmtId="179" fontId="14" fillId="0" borderId="0" xfId="2" applyNumberFormat="1" applyFont="1" applyFill="1" applyBorder="1" applyAlignment="1">
      <alignment horizontal="right"/>
    </xf>
    <xf numFmtId="179" fontId="14" fillId="0" borderId="21" xfId="2" applyNumberFormat="1" applyFont="1" applyFill="1" applyBorder="1" applyAlignment="1">
      <alignment horizontal="right"/>
    </xf>
    <xf numFmtId="168" fontId="15" fillId="0" borderId="2" xfId="136" applyNumberFormat="1" applyFont="1" applyFill="1" applyBorder="1" applyAlignment="1">
      <alignment horizontal="right"/>
    </xf>
    <xf numFmtId="168" fontId="15" fillId="0" borderId="23" xfId="136" applyNumberFormat="1" applyFont="1" applyBorder="1" applyAlignment="1">
      <alignment horizontal="right"/>
    </xf>
    <xf numFmtId="168" fontId="19" fillId="0" borderId="2" xfId="136" applyNumberFormat="1" applyFont="1" applyFill="1" applyBorder="1" applyAlignment="1">
      <alignment horizontal="right"/>
    </xf>
    <xf numFmtId="168" fontId="19" fillId="0" borderId="2" xfId="136" applyNumberFormat="1" applyFont="1" applyBorder="1" applyAlignment="1">
      <alignment horizontal="right"/>
    </xf>
    <xf numFmtId="168" fontId="19" fillId="0" borderId="23" xfId="136" applyNumberFormat="1" applyFont="1" applyBorder="1" applyAlignment="1">
      <alignment horizontal="right"/>
    </xf>
    <xf numFmtId="179" fontId="27" fillId="0" borderId="0" xfId="2" applyNumberFormat="1" applyFont="1" applyFill="1" applyBorder="1" applyAlignment="1">
      <alignment horizontal="right"/>
    </xf>
    <xf numFmtId="179" fontId="27" fillId="0" borderId="21" xfId="2" applyNumberFormat="1" applyFont="1" applyFill="1" applyBorder="1" applyAlignment="1">
      <alignment horizontal="right"/>
    </xf>
    <xf numFmtId="168" fontId="21" fillId="0" borderId="21" xfId="2" applyNumberFormat="1" applyFont="1" applyFill="1" applyBorder="1" applyAlignment="1">
      <alignment horizontal="right"/>
    </xf>
    <xf numFmtId="9" fontId="21" fillId="0" borderId="0" xfId="2" applyNumberFormat="1" applyFont="1" applyFill="1" applyBorder="1" applyAlignment="1">
      <alignment horizontal="right"/>
    </xf>
    <xf numFmtId="9" fontId="21" fillId="0" borderId="21" xfId="2" applyNumberFormat="1" applyFont="1" applyFill="1" applyBorder="1" applyAlignment="1">
      <alignment horizontal="right"/>
    </xf>
    <xf numFmtId="179" fontId="14" fillId="0" borderId="21" xfId="2" applyNumberFormat="1" applyFont="1" applyBorder="1" applyAlignment="1">
      <alignment horizontal="right"/>
    </xf>
    <xf numFmtId="179" fontId="14" fillId="0" borderId="0" xfId="2" applyNumberFormat="1" applyFont="1" applyBorder="1" applyAlignment="1">
      <alignment horizontal="right"/>
    </xf>
    <xf numFmtId="168" fontId="15" fillId="0" borderId="21" xfId="136" applyNumberFormat="1" applyFont="1" applyBorder="1" applyAlignment="1">
      <alignment horizontal="right"/>
    </xf>
    <xf numFmtId="168" fontId="15" fillId="0" borderId="0" xfId="136" applyNumberFormat="1" applyFont="1" applyAlignment="1">
      <alignment horizontal="right"/>
    </xf>
    <xf numFmtId="164" fontId="14" fillId="0" borderId="0" xfId="2" applyNumberFormat="1" applyFont="1" applyFill="1" applyBorder="1" applyAlignment="1">
      <alignment horizontal="right"/>
    </xf>
    <xf numFmtId="179" fontId="27" fillId="0" borderId="0" xfId="2" applyNumberFormat="1" applyFont="1" applyBorder="1" applyAlignment="1">
      <alignment horizontal="right"/>
    </xf>
    <xf numFmtId="179" fontId="27" fillId="0" borderId="21" xfId="2" applyNumberFormat="1" applyFont="1" applyBorder="1" applyAlignment="1">
      <alignment horizontal="right"/>
    </xf>
    <xf numFmtId="164" fontId="14" fillId="0" borderId="2" xfId="2" applyNumberFormat="1" applyFont="1" applyFill="1" applyBorder="1" applyAlignment="1">
      <alignment horizontal="right"/>
    </xf>
    <xf numFmtId="164" fontId="14" fillId="0" borderId="23" xfId="2" applyNumberFormat="1" applyFont="1" applyBorder="1" applyAlignment="1">
      <alignment horizontal="right"/>
    </xf>
    <xf numFmtId="164" fontId="14" fillId="0" borderId="2" xfId="2" applyNumberFormat="1" applyFont="1" applyBorder="1" applyAlignment="1">
      <alignment horizontal="right"/>
    </xf>
    <xf numFmtId="182" fontId="14" fillId="0" borderId="0" xfId="2" applyNumberFormat="1" applyFont="1" applyFill="1" applyBorder="1" applyAlignment="1">
      <alignment horizontal="right"/>
    </xf>
    <xf numFmtId="9" fontId="32" fillId="0" borderId="1" xfId="2" applyNumberFormat="1" applyFont="1" applyFill="1" applyBorder="1" applyAlignment="1">
      <alignment horizontal="right"/>
    </xf>
    <xf numFmtId="179" fontId="32" fillId="0" borderId="1" xfId="2" applyNumberFormat="1" applyFont="1" applyFill="1" applyBorder="1" applyAlignment="1">
      <alignment horizontal="right"/>
    </xf>
    <xf numFmtId="0" fontId="21" fillId="0" borderId="0" xfId="2" applyFont="1" applyAlignment="1">
      <alignment horizontal="right"/>
    </xf>
    <xf numFmtId="0" fontId="124" fillId="0" borderId="21" xfId="2" applyFont="1" applyBorder="1"/>
    <xf numFmtId="179" fontId="124" fillId="0" borderId="0" xfId="2" applyNumberFormat="1" applyFont="1" applyFill="1" applyBorder="1" applyAlignment="1">
      <alignment horizontal="right"/>
    </xf>
    <xf numFmtId="0" fontId="124" fillId="0" borderId="26" xfId="2" applyFont="1" applyBorder="1"/>
    <xf numFmtId="179" fontId="124" fillId="0" borderId="0" xfId="2" applyNumberFormat="1" applyFont="1" applyBorder="1"/>
    <xf numFmtId="0" fontId="21" fillId="0" borderId="0" xfId="2" applyFont="1" applyBorder="1"/>
    <xf numFmtId="164" fontId="124" fillId="0" borderId="0" xfId="2" applyNumberFormat="1" applyFont="1" applyBorder="1"/>
    <xf numFmtId="0" fontId="21" fillId="0" borderId="21" xfId="2" applyFont="1" applyBorder="1"/>
    <xf numFmtId="0" fontId="21" fillId="0" borderId="0" xfId="2" applyFont="1"/>
    <xf numFmtId="0" fontId="32" fillId="0" borderId="0" xfId="2" applyFont="1" applyAlignment="1">
      <alignment horizontal="right"/>
    </xf>
    <xf numFmtId="168" fontId="32" fillId="0" borderId="0" xfId="136" applyNumberFormat="1" applyFont="1" applyBorder="1"/>
    <xf numFmtId="0" fontId="32" fillId="0" borderId="0" xfId="2" applyFont="1" applyBorder="1"/>
    <xf numFmtId="0" fontId="32" fillId="0" borderId="21" xfId="2" applyFont="1" applyBorder="1"/>
    <xf numFmtId="168" fontId="15" fillId="0" borderId="2" xfId="136" applyNumberFormat="1" applyFont="1" applyBorder="1" applyAlignment="1">
      <alignment horizontal="right"/>
    </xf>
    <xf numFmtId="168" fontId="21" fillId="0" borderId="1" xfId="2" applyNumberFormat="1" applyFont="1" applyFill="1" applyBorder="1" applyAlignment="1">
      <alignment horizontal="right"/>
    </xf>
    <xf numFmtId="179" fontId="27" fillId="0" borderId="1" xfId="2" applyNumberFormat="1" applyFont="1" applyFill="1" applyBorder="1" applyAlignment="1">
      <alignment horizontal="right"/>
    </xf>
    <xf numFmtId="37" fontId="32" fillId="0" borderId="1" xfId="2" applyNumberFormat="1" applyFont="1" applyFill="1" applyBorder="1" applyAlignment="1">
      <alignment horizontal="right"/>
    </xf>
    <xf numFmtId="9" fontId="21" fillId="0" borderId="1" xfId="2" applyNumberFormat="1" applyFont="1" applyFill="1" applyBorder="1" applyAlignment="1">
      <alignment horizontal="right"/>
    </xf>
    <xf numFmtId="168" fontId="19" fillId="0" borderId="22" xfId="136" applyNumberFormat="1" applyFont="1" applyFill="1" applyBorder="1" applyAlignment="1">
      <alignment horizontal="right"/>
    </xf>
    <xf numFmtId="164" fontId="14" fillId="0" borderId="22" xfId="2" applyNumberFormat="1" applyFont="1" applyFill="1" applyBorder="1" applyAlignment="1">
      <alignment horizontal="right"/>
    </xf>
    <xf numFmtId="177" fontId="29" fillId="0" borderId="0" xfId="67" applyNumberFormat="1" applyFont="1" applyFill="1" applyBorder="1"/>
    <xf numFmtId="183" fontId="32" fillId="0" borderId="0" xfId="67" applyNumberFormat="1" applyFont="1" applyFill="1" applyBorder="1" applyAlignment="1">
      <alignment horizontal="right"/>
    </xf>
    <xf numFmtId="183" fontId="21" fillId="0" borderId="0" xfId="67" applyNumberFormat="1" applyFont="1" applyFill="1" applyBorder="1" applyAlignment="1">
      <alignment horizontal="right"/>
    </xf>
    <xf numFmtId="183" fontId="21" fillId="0" borderId="21" xfId="67" applyNumberFormat="1" applyFont="1" applyFill="1" applyBorder="1" applyAlignment="1">
      <alignment horizontal="right"/>
    </xf>
    <xf numFmtId="1" fontId="27" fillId="17" borderId="6" xfId="2" applyNumberFormat="1" applyFont="1" applyFill="1" applyBorder="1" applyAlignment="1">
      <alignment horizontal="right"/>
    </xf>
    <xf numFmtId="1" fontId="27" fillId="17" borderId="25" xfId="2" applyNumberFormat="1" applyFont="1" applyFill="1" applyBorder="1" applyAlignment="1">
      <alignment horizontal="right"/>
    </xf>
    <xf numFmtId="10" fontId="130" fillId="0" borderId="21" xfId="2" applyNumberFormat="1" applyFont="1" applyBorder="1"/>
    <xf numFmtId="183" fontId="131" fillId="0" borderId="21" xfId="67" applyNumberFormat="1" applyFont="1" applyBorder="1"/>
    <xf numFmtId="183" fontId="25" fillId="0" borderId="21" xfId="67" applyNumberFormat="1" applyFont="1" applyBorder="1"/>
    <xf numFmtId="177" fontId="132" fillId="0" borderId="21" xfId="67" applyNumberFormat="1" applyFont="1" applyBorder="1"/>
    <xf numFmtId="177" fontId="133" fillId="0" borderId="23" xfId="67" applyNumberFormat="1" applyFont="1" applyBorder="1"/>
    <xf numFmtId="0" fontId="48" fillId="0" borderId="21" xfId="2" applyFont="1" applyBorder="1"/>
    <xf numFmtId="0" fontId="27" fillId="0" borderId="23" xfId="2" applyFont="1" applyBorder="1"/>
    <xf numFmtId="1" fontId="27" fillId="17" borderId="24" xfId="2" applyNumberFormat="1" applyFont="1" applyFill="1" applyBorder="1" applyAlignment="1">
      <alignment horizontal="right"/>
    </xf>
    <xf numFmtId="183" fontId="13" fillId="0" borderId="1" xfId="67" applyNumberFormat="1" applyFont="1" applyBorder="1"/>
    <xf numFmtId="165" fontId="23" fillId="17" borderId="0" xfId="127" applyNumberFormat="1" applyFont="1" applyFill="1" applyBorder="1" applyAlignment="1">
      <alignment horizontal="right"/>
    </xf>
    <xf numFmtId="165" fontId="16" fillId="17" borderId="0" xfId="127" applyNumberFormat="1" applyFont="1" applyFill="1" applyBorder="1" applyAlignment="1">
      <alignment horizontal="right"/>
    </xf>
    <xf numFmtId="165" fontId="16" fillId="17" borderId="21" xfId="127" applyNumberFormat="1" applyFont="1" applyFill="1" applyBorder="1" applyAlignment="1">
      <alignment horizontal="right"/>
    </xf>
    <xf numFmtId="164" fontId="18" fillId="0" borderId="1" xfId="2" applyNumberFormat="1" applyFont="1" applyFill="1" applyBorder="1" applyAlignment="1"/>
    <xf numFmtId="1" fontId="16" fillId="17" borderId="20" xfId="127" applyNumberFormat="1" applyFont="1" applyFill="1" applyBorder="1" applyAlignment="1">
      <alignment horizontal="right"/>
    </xf>
    <xf numFmtId="168" fontId="19" fillId="0" borderId="1" xfId="136" applyNumberFormat="1" applyFont="1" applyFill="1" applyBorder="1" applyAlignment="1">
      <alignment horizontal="right"/>
    </xf>
    <xf numFmtId="177" fontId="32" fillId="0" borderId="0" xfId="67" applyNumberFormat="1" applyFont="1" applyAlignment="1">
      <alignment horizontal="right"/>
    </xf>
    <xf numFmtId="177" fontId="32" fillId="0" borderId="0" xfId="67" applyNumberFormat="1" applyFont="1" applyFill="1" applyBorder="1" applyAlignment="1">
      <alignment horizontal="right"/>
    </xf>
    <xf numFmtId="177" fontId="32" fillId="0" borderId="1" xfId="67" applyNumberFormat="1" applyFont="1" applyFill="1" applyBorder="1" applyAlignment="1">
      <alignment horizontal="right"/>
    </xf>
    <xf numFmtId="177" fontId="32" fillId="0" borderId="21" xfId="67" applyNumberFormat="1" applyFont="1" applyFill="1" applyBorder="1" applyAlignment="1">
      <alignment horizontal="right"/>
    </xf>
    <xf numFmtId="183" fontId="32" fillId="0" borderId="21" xfId="67" applyNumberFormat="1" applyFont="1" applyFill="1" applyBorder="1" applyAlignment="1">
      <alignment horizontal="right"/>
    </xf>
    <xf numFmtId="179" fontId="13" fillId="0" borderId="0" xfId="2" applyNumberFormat="1" applyFont="1" applyAlignment="1">
      <alignment horizontal="right"/>
    </xf>
    <xf numFmtId="179" fontId="27" fillId="0" borderId="26" xfId="2" applyNumberFormat="1" applyFont="1" applyBorder="1"/>
    <xf numFmtId="179" fontId="13" fillId="0" borderId="0" xfId="2" applyNumberFormat="1" applyFont="1"/>
    <xf numFmtId="0" fontId="10" fillId="0" borderId="0" xfId="2" applyFont="1" applyFill="1" applyAlignment="1">
      <alignment horizontal="right" vertical="center"/>
    </xf>
    <xf numFmtId="0" fontId="8" fillId="0" borderId="0" xfId="2" applyFont="1" applyAlignment="1">
      <alignment horizontal="right"/>
    </xf>
    <xf numFmtId="0" fontId="0" fillId="0" borderId="0" xfId="2" applyFont="1" applyAlignment="1">
      <alignment horizontal="right"/>
    </xf>
    <xf numFmtId="182" fontId="14" fillId="0" borderId="21" xfId="2" applyNumberFormat="1" applyFont="1" applyFill="1" applyBorder="1" applyAlignment="1">
      <alignment horizontal="right"/>
    </xf>
    <xf numFmtId="168" fontId="14" fillId="0" borderId="0" xfId="2" applyNumberFormat="1" applyFont="1" applyFill="1" applyBorder="1" applyAlignment="1">
      <alignment horizontal="right"/>
    </xf>
    <xf numFmtId="168" fontId="22" fillId="0" borderId="0" xfId="2" applyNumberFormat="1" applyFont="1" applyFill="1" applyBorder="1" applyAlignment="1">
      <alignment horizontal="right"/>
    </xf>
    <xf numFmtId="168" fontId="14" fillId="0" borderId="26" xfId="2" applyNumberFormat="1" applyFont="1" applyBorder="1"/>
    <xf numFmtId="168" fontId="27" fillId="0" borderId="0" xfId="2" applyNumberFormat="1" applyFont="1" applyBorder="1"/>
    <xf numFmtId="177" fontId="32" fillId="0" borderId="0" xfId="67" applyNumberFormat="1" applyFont="1" applyBorder="1" applyAlignment="1">
      <alignment horizontal="right"/>
    </xf>
    <xf numFmtId="177" fontId="32" fillId="0" borderId="21" xfId="67" applyNumberFormat="1" applyFont="1" applyBorder="1" applyAlignment="1">
      <alignment horizontal="right"/>
    </xf>
    <xf numFmtId="179" fontId="33" fillId="0" borderId="0" xfId="2" applyNumberFormat="1" applyFont="1" applyFill="1" applyBorder="1" applyAlignment="1">
      <alignment horizontal="right"/>
    </xf>
    <xf numFmtId="179" fontId="125" fillId="0" borderId="21" xfId="2" applyNumberFormat="1" applyFont="1" applyFill="1" applyBorder="1" applyAlignment="1">
      <alignment horizontal="right"/>
    </xf>
    <xf numFmtId="179" fontId="33" fillId="0" borderId="21" xfId="2" applyNumberFormat="1" applyFont="1" applyFill="1" applyBorder="1" applyAlignment="1">
      <alignment horizontal="right"/>
    </xf>
    <xf numFmtId="168" fontId="21" fillId="0" borderId="1" xfId="136" applyNumberFormat="1" applyFont="1" applyFill="1" applyBorder="1" applyAlignment="1">
      <alignment horizontal="right"/>
    </xf>
    <xf numFmtId="179" fontId="23" fillId="0" borderId="1" xfId="2" applyNumberFormat="1" applyFont="1" applyFill="1" applyBorder="1" applyAlignment="1">
      <alignment horizontal="right"/>
    </xf>
    <xf numFmtId="179" fontId="23" fillId="0" borderId="0" xfId="2" applyNumberFormat="1" applyFont="1" applyFill="1" applyBorder="1" applyAlignment="1">
      <alignment horizontal="right"/>
    </xf>
    <xf numFmtId="179" fontId="64" fillId="0" borderId="21" xfId="2" applyNumberFormat="1" applyFont="1" applyFill="1" applyBorder="1" applyAlignment="1">
      <alignment horizontal="right"/>
    </xf>
    <xf numFmtId="9" fontId="14" fillId="0" borderId="0" xfId="2" applyNumberFormat="1" applyFont="1" applyFill="1" applyBorder="1" applyAlignment="1">
      <alignment horizontal="right"/>
    </xf>
    <xf numFmtId="218" fontId="21" fillId="0" borderId="0" xfId="136" applyNumberFormat="1" applyFont="1" applyFill="1" applyBorder="1" applyAlignment="1">
      <alignment horizontal="right"/>
    </xf>
    <xf numFmtId="218" fontId="21" fillId="0" borderId="21" xfId="136" applyNumberFormat="1" applyFont="1" applyFill="1" applyBorder="1" applyAlignment="1">
      <alignment horizontal="right"/>
    </xf>
    <xf numFmtId="168" fontId="19" fillId="0" borderId="23" xfId="136" applyNumberFormat="1" applyFont="1" applyFill="1" applyBorder="1" applyAlignment="1">
      <alignment horizontal="right"/>
    </xf>
    <xf numFmtId="179" fontId="124" fillId="0" borderId="21" xfId="2" applyNumberFormat="1" applyFont="1" applyFill="1" applyBorder="1" applyAlignment="1">
      <alignment horizontal="right"/>
    </xf>
    <xf numFmtId="168" fontId="32" fillId="0" borderId="21" xfId="136" applyNumberFormat="1" applyFont="1" applyFill="1" applyBorder="1" applyAlignment="1">
      <alignment horizontal="right"/>
    </xf>
    <xf numFmtId="168" fontId="23" fillId="0" borderId="0" xfId="2" applyNumberFormat="1" applyFont="1" applyFill="1" applyBorder="1" applyAlignment="1">
      <alignment horizontal="right"/>
    </xf>
    <xf numFmtId="168" fontId="64" fillId="0" borderId="21" xfId="2" applyNumberFormat="1" applyFont="1" applyFill="1" applyBorder="1" applyAlignment="1">
      <alignment horizontal="right"/>
    </xf>
    <xf numFmtId="179" fontId="64" fillId="0" borderId="0" xfId="2" applyNumberFormat="1" applyFont="1" applyFill="1" applyBorder="1" applyAlignment="1">
      <alignment horizontal="right"/>
    </xf>
    <xf numFmtId="0" fontId="13" fillId="0" borderId="0" xfId="2" applyFont="1" applyFill="1" applyBorder="1" applyAlignment="1">
      <alignment horizontal="right"/>
    </xf>
    <xf numFmtId="0" fontId="13" fillId="0" borderId="21" xfId="2" applyFont="1" applyFill="1" applyBorder="1" applyAlignment="1">
      <alignment horizontal="right"/>
    </xf>
    <xf numFmtId="164" fontId="14" fillId="0" borderId="21" xfId="2" applyNumberFormat="1" applyFont="1" applyFill="1" applyBorder="1" applyAlignment="1">
      <alignment horizontal="right"/>
    </xf>
    <xf numFmtId="164" fontId="14" fillId="0" borderId="23" xfId="2" applyNumberFormat="1" applyFont="1" applyFill="1" applyBorder="1" applyAlignment="1">
      <alignment horizontal="right"/>
    </xf>
    <xf numFmtId="4" fontId="0" fillId="0" borderId="0" xfId="2" applyNumberFormat="1" applyFont="1" applyAlignment="1">
      <alignment horizontal="right"/>
    </xf>
    <xf numFmtId="173" fontId="18" fillId="0" borderId="17" xfId="2" applyNumberFormat="1" applyFont="1" applyFill="1" applyBorder="1"/>
    <xf numFmtId="44" fontId="32" fillId="0" borderId="0" xfId="78" applyFont="1" applyFill="1" applyBorder="1" applyAlignment="1">
      <alignment horizontal="right"/>
    </xf>
    <xf numFmtId="44" fontId="32" fillId="0" borderId="21" xfId="78" applyFont="1" applyFill="1" applyBorder="1" applyAlignment="1">
      <alignment horizontal="right"/>
    </xf>
    <xf numFmtId="44" fontId="32" fillId="0" borderId="1" xfId="78" applyFont="1" applyFill="1" applyBorder="1" applyAlignment="1">
      <alignment horizontal="right"/>
    </xf>
    <xf numFmtId="44" fontId="32" fillId="0" borderId="0" xfId="78" applyFont="1" applyAlignment="1">
      <alignment horizontal="right"/>
    </xf>
    <xf numFmtId="44" fontId="32" fillId="0" borderId="0" xfId="78" applyFont="1" applyBorder="1" applyAlignment="1">
      <alignment horizontal="right"/>
    </xf>
    <xf numFmtId="44" fontId="32" fillId="0" borderId="21" xfId="78" applyFont="1" applyBorder="1" applyAlignment="1">
      <alignment horizontal="right"/>
    </xf>
    <xf numFmtId="44" fontId="13" fillId="0" borderId="0" xfId="78" applyFont="1" applyFill="1" applyBorder="1" applyAlignment="1">
      <alignment horizontal="right"/>
    </xf>
    <xf numFmtId="44" fontId="13" fillId="0" borderId="21" xfId="78" applyFont="1" applyFill="1" applyBorder="1" applyAlignment="1">
      <alignment horizontal="right"/>
    </xf>
    <xf numFmtId="187" fontId="32" fillId="0" borderId="0" xfId="78" applyNumberFormat="1" applyFont="1" applyFill="1" applyBorder="1" applyAlignment="1">
      <alignment horizontal="right"/>
    </xf>
    <xf numFmtId="187" fontId="32" fillId="0" borderId="21" xfId="78" applyNumberFormat="1" applyFont="1" applyFill="1" applyBorder="1" applyAlignment="1">
      <alignment horizontal="right"/>
    </xf>
    <xf numFmtId="0" fontId="32" fillId="0" borderId="0" xfId="2" applyFont="1" applyBorder="1" applyAlignment="1">
      <alignment horizontal="left" indent="1"/>
    </xf>
    <xf numFmtId="168" fontId="32" fillId="0" borderId="1" xfId="136" applyNumberFormat="1" applyFont="1" applyFill="1" applyBorder="1" applyAlignment="1">
      <alignment horizontal="right"/>
    </xf>
    <xf numFmtId="179" fontId="137" fillId="0" borderId="0" xfId="2" applyNumberFormat="1" applyFont="1" applyFill="1" applyBorder="1" applyAlignment="1">
      <alignment horizontal="right"/>
    </xf>
    <xf numFmtId="179" fontId="137" fillId="0" borderId="21" xfId="2" applyNumberFormat="1" applyFont="1" applyFill="1" applyBorder="1" applyAlignment="1">
      <alignment horizontal="right"/>
    </xf>
    <xf numFmtId="179" fontId="137" fillId="0" borderId="1" xfId="2" applyNumberFormat="1" applyFont="1" applyFill="1" applyBorder="1" applyAlignment="1">
      <alignment horizontal="right"/>
    </xf>
    <xf numFmtId="37" fontId="24" fillId="0" borderId="0" xfId="2" applyNumberFormat="1" applyFont="1" applyFill="1" applyBorder="1" applyAlignment="1">
      <alignment horizontal="right"/>
    </xf>
    <xf numFmtId="37" fontId="24" fillId="0" borderId="1" xfId="2" applyNumberFormat="1" applyFont="1" applyFill="1" applyBorder="1" applyAlignment="1">
      <alignment horizontal="right"/>
    </xf>
    <xf numFmtId="37" fontId="24" fillId="0" borderId="21" xfId="2" applyNumberFormat="1" applyFont="1" applyFill="1" applyBorder="1" applyAlignment="1">
      <alignment horizontal="right"/>
    </xf>
    <xf numFmtId="168" fontId="19" fillId="0" borderId="0" xfId="136" applyNumberFormat="1" applyFont="1" applyBorder="1" applyAlignment="1">
      <alignment horizontal="right"/>
    </xf>
    <xf numFmtId="168" fontId="19" fillId="0" borderId="21" xfId="136" applyNumberFormat="1" applyFont="1" applyBorder="1" applyAlignment="1">
      <alignment horizontal="right"/>
    </xf>
    <xf numFmtId="169" fontId="18" fillId="0" borderId="1" xfId="2" applyNumberFormat="1" applyFont="1" applyFill="1" applyBorder="1" applyAlignment="1"/>
    <xf numFmtId="168" fontId="22" fillId="0" borderId="1" xfId="2" applyNumberFormat="1" applyFont="1" applyFill="1" applyBorder="1" applyAlignment="1"/>
    <xf numFmtId="168" fontId="18" fillId="0" borderId="1" xfId="136" applyNumberFormat="1" applyFont="1" applyFill="1" applyBorder="1" applyAlignment="1"/>
    <xf numFmtId="171" fontId="13" fillId="0" borderId="1" xfId="2" applyNumberFormat="1" applyFont="1" applyFill="1" applyBorder="1" applyAlignment="1"/>
    <xf numFmtId="177" fontId="0" fillId="0" borderId="0" xfId="67" applyNumberFormat="1" applyFont="1"/>
    <xf numFmtId="173" fontId="18" fillId="0" borderId="0" xfId="2" applyNumberFormat="1" applyFont="1" applyFill="1" applyBorder="1" applyAlignment="1"/>
    <xf numFmtId="0" fontId="30" fillId="0" borderId="0" xfId="127" applyNumberFormat="1" applyFont="1" applyFill="1" applyBorder="1" applyAlignment="1">
      <alignment horizontal="left"/>
    </xf>
    <xf numFmtId="217" fontId="13" fillId="0" borderId="0" xfId="2" applyNumberFormat="1" applyFont="1" applyFill="1" applyBorder="1"/>
    <xf numFmtId="179" fontId="42" fillId="0" borderId="1" xfId="2" applyNumberFormat="1" applyFont="1" applyFill="1" applyBorder="1" applyAlignment="1">
      <alignment horizontal="right"/>
    </xf>
    <xf numFmtId="179" fontId="42" fillId="0" borderId="0" xfId="2" applyNumberFormat="1" applyFont="1" applyFill="1" applyBorder="1" applyAlignment="1">
      <alignment horizontal="right"/>
    </xf>
    <xf numFmtId="179" fontId="42" fillId="0" borderId="21" xfId="2" applyNumberFormat="1" applyFont="1" applyFill="1" applyBorder="1" applyAlignment="1">
      <alignment horizontal="right"/>
    </xf>
    <xf numFmtId="0" fontId="14" fillId="0" borderId="1" xfId="2" applyNumberFormat="1" applyFont="1" applyBorder="1" applyAlignment="1"/>
    <xf numFmtId="0" fontId="15" fillId="0" borderId="1" xfId="2" applyNumberFormat="1" applyFont="1" applyBorder="1" applyAlignment="1"/>
    <xf numFmtId="0" fontId="32" fillId="0" borderId="1" xfId="2" applyNumberFormat="1" applyFont="1" applyFill="1" applyBorder="1" applyAlignment="1"/>
    <xf numFmtId="0" fontId="27" fillId="0" borderId="1" xfId="2" applyNumberFormat="1" applyFont="1" applyFill="1" applyBorder="1" applyAlignment="1"/>
    <xf numFmtId="0" fontId="15" fillId="0" borderId="1" xfId="2" applyNumberFormat="1" applyFont="1" applyFill="1" applyBorder="1" applyAlignment="1"/>
    <xf numFmtId="0" fontId="27" fillId="26" borderId="24" xfId="2" applyNumberFormat="1" applyFont="1" applyFill="1" applyBorder="1" applyAlignment="1"/>
    <xf numFmtId="0" fontId="15" fillId="26" borderId="6" xfId="2" applyFont="1" applyFill="1" applyBorder="1" applyAlignment="1">
      <alignment horizontal="left" indent="1"/>
    </xf>
    <xf numFmtId="179" fontId="14" fillId="26" borderId="6" xfId="2" applyNumberFormat="1" applyFont="1" applyFill="1" applyBorder="1" applyAlignment="1">
      <alignment horizontal="right"/>
    </xf>
    <xf numFmtId="168" fontId="15" fillId="26" borderId="6" xfId="136" applyNumberFormat="1" applyFont="1" applyFill="1" applyBorder="1" applyAlignment="1">
      <alignment horizontal="right"/>
    </xf>
    <xf numFmtId="168" fontId="15" fillId="26" borderId="25" xfId="136" applyNumberFormat="1" applyFont="1" applyFill="1" applyBorder="1" applyAlignment="1">
      <alignment horizontal="right"/>
    </xf>
    <xf numFmtId="179" fontId="14" fillId="26" borderId="25" xfId="2" applyNumberFormat="1" applyFont="1" applyFill="1" applyBorder="1" applyAlignment="1">
      <alignment horizontal="right"/>
    </xf>
    <xf numFmtId="0" fontId="27" fillId="0" borderId="1" xfId="2" applyNumberFormat="1" applyFont="1" applyBorder="1" applyAlignment="1"/>
    <xf numFmtId="0" fontId="14" fillId="26" borderId="6" xfId="2" applyFont="1" applyFill="1" applyBorder="1"/>
    <xf numFmtId="179" fontId="14" fillId="26" borderId="24" xfId="2" applyNumberFormat="1" applyFont="1" applyFill="1" applyBorder="1" applyAlignment="1">
      <alignment horizontal="right"/>
    </xf>
    <xf numFmtId="168" fontId="21" fillId="26" borderId="6" xfId="136" applyNumberFormat="1" applyFont="1" applyFill="1" applyBorder="1" applyAlignment="1">
      <alignment horizontal="right"/>
    </xf>
    <xf numFmtId="168" fontId="21" fillId="26" borderId="6" xfId="2" applyNumberFormat="1" applyFont="1" applyFill="1" applyBorder="1" applyAlignment="1">
      <alignment horizontal="right"/>
    </xf>
    <xf numFmtId="168" fontId="21" fillId="26" borderId="25" xfId="2" applyNumberFormat="1" applyFont="1" applyFill="1" applyBorder="1" applyAlignment="1">
      <alignment horizontal="right"/>
    </xf>
    <xf numFmtId="168" fontId="32" fillId="26" borderId="6" xfId="2" applyNumberFormat="1" applyFont="1" applyFill="1" applyBorder="1" applyAlignment="1">
      <alignment horizontal="right"/>
    </xf>
    <xf numFmtId="168" fontId="32" fillId="26" borderId="6" xfId="136" applyNumberFormat="1" applyFont="1" applyFill="1" applyBorder="1" applyAlignment="1">
      <alignment horizontal="right"/>
    </xf>
    <xf numFmtId="168" fontId="32" fillId="26" borderId="25" xfId="2" applyNumberFormat="1" applyFont="1" applyFill="1" applyBorder="1" applyAlignment="1">
      <alignment horizontal="right"/>
    </xf>
    <xf numFmtId="183" fontId="32" fillId="26" borderId="6" xfId="67" applyNumberFormat="1" applyFont="1" applyFill="1" applyBorder="1" applyAlignment="1">
      <alignment horizontal="right"/>
    </xf>
    <xf numFmtId="183" fontId="21" fillId="26" borderId="6" xfId="67" applyNumberFormat="1" applyFont="1" applyFill="1" applyBorder="1" applyAlignment="1">
      <alignment horizontal="right"/>
    </xf>
    <xf numFmtId="183" fontId="21" fillId="26" borderId="25" xfId="67" applyNumberFormat="1" applyFont="1" applyFill="1" applyBorder="1" applyAlignment="1">
      <alignment horizontal="right"/>
    </xf>
    <xf numFmtId="168" fontId="19" fillId="0" borderId="0" xfId="136" applyNumberFormat="1" applyFont="1" applyBorder="1"/>
    <xf numFmtId="179" fontId="27" fillId="26" borderId="24" xfId="2" applyNumberFormat="1" applyFont="1" applyFill="1" applyBorder="1"/>
    <xf numFmtId="179" fontId="27" fillId="26" borderId="6" xfId="2" applyNumberFormat="1" applyFont="1" applyFill="1" applyBorder="1"/>
    <xf numFmtId="0" fontId="13" fillId="26" borderId="6" xfId="2" applyFont="1" applyFill="1" applyBorder="1"/>
    <xf numFmtId="200" fontId="13" fillId="26" borderId="6" xfId="2" applyNumberFormat="1" applyFont="1" applyFill="1" applyBorder="1"/>
    <xf numFmtId="168" fontId="21" fillId="26" borderId="25" xfId="136" applyNumberFormat="1" applyFont="1" applyFill="1" applyBorder="1" applyAlignment="1">
      <alignment horizontal="right"/>
    </xf>
    <xf numFmtId="168" fontId="15" fillId="26" borderId="24" xfId="136" applyNumberFormat="1" applyFont="1" applyFill="1" applyBorder="1"/>
    <xf numFmtId="168" fontId="15" fillId="26" borderId="6" xfId="136" applyNumberFormat="1" applyFont="1" applyFill="1" applyBorder="1"/>
    <xf numFmtId="0" fontId="14" fillId="27" borderId="0" xfId="2" applyFont="1" applyFill="1" applyBorder="1"/>
    <xf numFmtId="179" fontId="14" fillId="27" borderId="1" xfId="2" applyNumberFormat="1" applyFont="1" applyFill="1" applyBorder="1" applyAlignment="1">
      <alignment horizontal="right"/>
    </xf>
    <xf numFmtId="179" fontId="14" fillId="27" borderId="0" xfId="2" applyNumberFormat="1" applyFont="1" applyFill="1" applyBorder="1" applyAlignment="1">
      <alignment horizontal="right"/>
    </xf>
    <xf numFmtId="179" fontId="14" fillId="27" borderId="21" xfId="2" applyNumberFormat="1" applyFont="1" applyFill="1" applyBorder="1" applyAlignment="1">
      <alignment horizontal="right"/>
    </xf>
    <xf numFmtId="179" fontId="14" fillId="27" borderId="20" xfId="2" applyNumberFormat="1" applyFont="1" applyFill="1" applyBorder="1" applyAlignment="1">
      <alignment horizontal="right"/>
    </xf>
    <xf numFmtId="0" fontId="15" fillId="0" borderId="1" xfId="2" applyNumberFormat="1" applyFont="1" applyBorder="1" applyAlignment="1">
      <alignment horizontal="left" indent="1"/>
    </xf>
    <xf numFmtId="0" fontId="15" fillId="0" borderId="1" xfId="2" applyNumberFormat="1" applyFont="1" applyFill="1" applyBorder="1" applyAlignment="1">
      <alignment horizontal="left" indent="1"/>
    </xf>
    <xf numFmtId="168" fontId="43" fillId="0" borderId="23" xfId="136" applyNumberFormat="1" applyFont="1" applyFill="1" applyBorder="1" applyAlignment="1">
      <alignment horizontal="right"/>
    </xf>
    <xf numFmtId="0" fontId="19" fillId="0" borderId="0" xfId="2" applyFont="1" applyBorder="1" applyAlignment="1">
      <alignment horizontal="left" indent="1"/>
    </xf>
    <xf numFmtId="9" fontId="19" fillId="0" borderId="0" xfId="136" applyNumberFormat="1" applyFont="1" applyFill="1" applyBorder="1" applyAlignment="1">
      <alignment horizontal="right"/>
    </xf>
    <xf numFmtId="0" fontId="18" fillId="0" borderId="21" xfId="2" applyFont="1" applyBorder="1"/>
    <xf numFmtId="0" fontId="18" fillId="0" borderId="0" xfId="2" applyFont="1" applyBorder="1"/>
    <xf numFmtId="179" fontId="27" fillId="26" borderId="24" xfId="2" applyNumberFormat="1" applyFont="1" applyFill="1" applyBorder="1" applyAlignment="1">
      <alignment horizontal="right"/>
    </xf>
    <xf numFmtId="179" fontId="27" fillId="26" borderId="6" xfId="2" applyNumberFormat="1" applyFont="1" applyFill="1" applyBorder="1" applyAlignment="1">
      <alignment horizontal="right"/>
    </xf>
    <xf numFmtId="179" fontId="27" fillId="26" borderId="25" xfId="2" applyNumberFormat="1" applyFont="1" applyFill="1" applyBorder="1" applyAlignment="1">
      <alignment horizontal="right"/>
    </xf>
    <xf numFmtId="183" fontId="13" fillId="0" borderId="0" xfId="2" applyNumberFormat="1" applyFont="1" applyFill="1" applyBorder="1"/>
    <xf numFmtId="44" fontId="13" fillId="0" borderId="0" xfId="78" applyFont="1" applyFill="1" applyBorder="1"/>
    <xf numFmtId="183" fontId="15" fillId="0" borderId="21" xfId="67" applyNumberFormat="1" applyFont="1" applyFill="1" applyBorder="1" applyAlignment="1">
      <alignment horizontal="right"/>
    </xf>
    <xf numFmtId="183" fontId="15" fillId="0" borderId="0" xfId="67" applyNumberFormat="1" applyFont="1" applyFill="1" applyBorder="1" applyAlignment="1">
      <alignment horizontal="right"/>
    </xf>
    <xf numFmtId="44" fontId="13" fillId="0" borderId="0" xfId="78" applyFont="1" applyFill="1" applyBorder="1" applyAlignment="1">
      <alignment horizontal="center"/>
    </xf>
    <xf numFmtId="183" fontId="142" fillId="0" borderId="0" xfId="67" applyNumberFormat="1" applyFont="1" applyFill="1" applyBorder="1" applyAlignment="1">
      <alignment horizontal="right"/>
    </xf>
    <xf numFmtId="177" fontId="32" fillId="0" borderId="0" xfId="67" applyNumberFormat="1" applyFont="1" applyBorder="1"/>
    <xf numFmtId="177" fontId="32" fillId="0" borderId="1" xfId="67" applyNumberFormat="1" applyFont="1" applyBorder="1"/>
    <xf numFmtId="183" fontId="32" fillId="0" borderId="0" xfId="67" applyNumberFormat="1" applyFont="1" applyBorder="1"/>
    <xf numFmtId="183" fontId="32" fillId="0" borderId="21" xfId="67" applyNumberFormat="1" applyFont="1" applyBorder="1"/>
    <xf numFmtId="183" fontId="32" fillId="0" borderId="1" xfId="67" applyNumberFormat="1" applyFont="1" applyBorder="1"/>
    <xf numFmtId="183" fontId="32" fillId="0" borderId="0" xfId="67" applyNumberFormat="1" applyFont="1"/>
    <xf numFmtId="183" fontId="142" fillId="0" borderId="0" xfId="67" applyNumberFormat="1" applyFont="1" applyBorder="1"/>
    <xf numFmtId="183" fontId="142" fillId="0" borderId="21" xfId="67" applyNumberFormat="1" applyFont="1" applyFill="1" applyBorder="1" applyAlignment="1">
      <alignment horizontal="right"/>
    </xf>
    <xf numFmtId="183" fontId="142" fillId="0" borderId="21" xfId="67" applyNumberFormat="1" applyFont="1" applyBorder="1"/>
    <xf numFmtId="183" fontId="142" fillId="0" borderId="0" xfId="67" applyNumberFormat="1" applyFont="1"/>
    <xf numFmtId="183" fontId="14" fillId="0" borderId="0" xfId="67" applyNumberFormat="1" applyFont="1" applyBorder="1"/>
    <xf numFmtId="183" fontId="14" fillId="0" borderId="21" xfId="67" applyNumberFormat="1" applyFont="1" applyBorder="1"/>
    <xf numFmtId="183" fontId="32" fillId="0" borderId="1" xfId="67" applyNumberFormat="1" applyFont="1" applyFill="1" applyBorder="1" applyAlignment="1">
      <alignment horizontal="right"/>
    </xf>
    <xf numFmtId="183" fontId="32" fillId="0" borderId="0" xfId="67" applyNumberFormat="1" applyFont="1" applyBorder="1" applyAlignment="1">
      <alignment horizontal="left" indent="1"/>
    </xf>
    <xf numFmtId="0" fontId="61" fillId="0" borderId="0" xfId="2" applyNumberFormat="1" applyFont="1" applyFill="1"/>
    <xf numFmtId="0" fontId="0" fillId="0" borderId="0" xfId="2" applyNumberFormat="1" applyFont="1"/>
    <xf numFmtId="0" fontId="14" fillId="0" borderId="7" xfId="2" applyNumberFormat="1" applyFont="1" applyBorder="1"/>
    <xf numFmtId="0" fontId="15" fillId="0" borderId="1" xfId="2" applyNumberFormat="1" applyFont="1" applyBorder="1"/>
    <xf numFmtId="0" fontId="14" fillId="0" borderId="22" xfId="2" applyNumberFormat="1" applyFont="1" applyBorder="1"/>
    <xf numFmtId="0" fontId="41" fillId="27" borderId="1" xfId="2" applyNumberFormat="1" applyFont="1" applyFill="1" applyBorder="1"/>
    <xf numFmtId="0" fontId="32" fillId="0" borderId="1" xfId="67" applyNumberFormat="1" applyFont="1" applyBorder="1" applyAlignment="1"/>
    <xf numFmtId="0" fontId="142" fillId="0" borderId="1" xfId="67" applyNumberFormat="1" applyFont="1" applyBorder="1" applyAlignment="1"/>
    <xf numFmtId="0" fontId="15" fillId="0" borderId="22" xfId="2" applyNumberFormat="1" applyFont="1" applyBorder="1" applyAlignment="1">
      <alignment horizontal="left" indent="1"/>
    </xf>
    <xf numFmtId="0" fontId="62" fillId="27" borderId="1" xfId="2" applyNumberFormat="1" applyFont="1" applyFill="1" applyBorder="1" applyAlignment="1">
      <alignment horizontal="left"/>
    </xf>
    <xf numFmtId="0" fontId="14" fillId="26" borderId="24" xfId="2" applyNumberFormat="1" applyFont="1" applyFill="1" applyBorder="1" applyAlignment="1"/>
    <xf numFmtId="0" fontId="14" fillId="0" borderId="1" xfId="2" applyNumberFormat="1" applyFont="1" applyBorder="1"/>
    <xf numFmtId="0" fontId="27" fillId="0" borderId="0" xfId="2" applyFont="1" applyBorder="1" applyAlignment="1">
      <alignment horizontal="left" indent="1"/>
    </xf>
    <xf numFmtId="168" fontId="27" fillId="0" borderId="0" xfId="136" applyNumberFormat="1" applyFont="1" applyFill="1" applyBorder="1" applyAlignment="1">
      <alignment horizontal="right"/>
    </xf>
    <xf numFmtId="168" fontId="27" fillId="0" borderId="21" xfId="136" applyNumberFormat="1" applyFont="1" applyFill="1" applyBorder="1" applyAlignment="1">
      <alignment horizontal="right"/>
    </xf>
    <xf numFmtId="168" fontId="27" fillId="0" borderId="0" xfId="2" applyNumberFormat="1" applyFont="1" applyFill="1" applyBorder="1" applyAlignment="1">
      <alignment horizontal="right"/>
    </xf>
    <xf numFmtId="168" fontId="27" fillId="0" borderId="21" xfId="2" applyNumberFormat="1" applyFont="1" applyFill="1" applyBorder="1" applyAlignment="1">
      <alignment horizontal="right"/>
    </xf>
    <xf numFmtId="183" fontId="27" fillId="0" borderId="0" xfId="67" applyNumberFormat="1" applyFont="1" applyFill="1" applyBorder="1" applyAlignment="1">
      <alignment horizontal="right"/>
    </xf>
    <xf numFmtId="183" fontId="27" fillId="0" borderId="21" xfId="67" applyNumberFormat="1" applyFont="1" applyFill="1" applyBorder="1" applyAlignment="1">
      <alignment horizontal="right"/>
    </xf>
    <xf numFmtId="168" fontId="27" fillId="0" borderId="0" xfId="136" applyNumberFormat="1" applyFont="1" applyBorder="1"/>
    <xf numFmtId="0" fontId="124" fillId="0" borderId="0" xfId="2" applyFont="1" applyBorder="1" applyAlignment="1">
      <alignment horizontal="left" indent="1"/>
    </xf>
    <xf numFmtId="168" fontId="124" fillId="0" borderId="1" xfId="136" applyNumberFormat="1" applyFont="1" applyFill="1" applyBorder="1" applyAlignment="1">
      <alignment horizontal="right"/>
    </xf>
    <xf numFmtId="168" fontId="124" fillId="0" borderId="0" xfId="136" applyNumberFormat="1" applyFont="1" applyFill="1" applyBorder="1" applyAlignment="1">
      <alignment horizontal="right"/>
    </xf>
    <xf numFmtId="168" fontId="124" fillId="0" borderId="21" xfId="136" applyNumberFormat="1" applyFont="1" applyFill="1" applyBorder="1" applyAlignment="1">
      <alignment horizontal="right"/>
    </xf>
    <xf numFmtId="168" fontId="143" fillId="0" borderId="0" xfId="136" applyNumberFormat="1" applyFont="1" applyFill="1" applyBorder="1" applyAlignment="1">
      <alignment horizontal="right"/>
    </xf>
    <xf numFmtId="168" fontId="143" fillId="0" borderId="21" xfId="136" applyNumberFormat="1" applyFont="1" applyFill="1" applyBorder="1" applyAlignment="1">
      <alignment horizontal="right"/>
    </xf>
    <xf numFmtId="168" fontId="124" fillId="0" borderId="0" xfId="136" applyNumberFormat="1" applyFont="1" applyBorder="1"/>
    <xf numFmtId="183" fontId="15" fillId="0" borderId="0" xfId="67" applyNumberFormat="1" applyFont="1" applyBorder="1" applyAlignment="1">
      <alignment horizontal="left" indent="1"/>
    </xf>
    <xf numFmtId="183" fontId="13" fillId="0" borderId="0" xfId="67" applyNumberFormat="1" applyFont="1" applyFill="1" applyBorder="1" applyAlignment="1">
      <alignment horizontal="right"/>
    </xf>
    <xf numFmtId="183" fontId="13" fillId="0" borderId="21" xfId="67" applyNumberFormat="1" applyFont="1" applyFill="1" applyBorder="1" applyAlignment="1">
      <alignment horizontal="right"/>
    </xf>
    <xf numFmtId="183" fontId="21" fillId="0" borderId="0" xfId="67" applyNumberFormat="1" applyFont="1" applyBorder="1"/>
    <xf numFmtId="183" fontId="13" fillId="0" borderId="0" xfId="67" applyNumberFormat="1" applyFont="1" applyFill="1" applyBorder="1" applyAlignment="1">
      <alignment horizontal="center"/>
    </xf>
    <xf numFmtId="183" fontId="21" fillId="0" borderId="1" xfId="67" applyNumberFormat="1" applyFont="1" applyFill="1" applyBorder="1" applyAlignment="1">
      <alignment horizontal="right"/>
    </xf>
    <xf numFmtId="0" fontId="27" fillId="17" borderId="1" xfId="2" applyNumberFormat="1" applyFont="1" applyFill="1" applyBorder="1" applyAlignment="1"/>
    <xf numFmtId="0" fontId="27" fillId="17" borderId="0" xfId="2" applyFont="1" applyFill="1" applyBorder="1" applyAlignment="1">
      <alignment horizontal="left" indent="1"/>
    </xf>
    <xf numFmtId="168" fontId="27" fillId="17" borderId="0" xfId="136" applyNumberFormat="1" applyFont="1" applyFill="1" applyBorder="1" applyAlignment="1">
      <alignment horizontal="right"/>
    </xf>
    <xf numFmtId="168" fontId="27" fillId="17" borderId="21" xfId="136" applyNumberFormat="1" applyFont="1" applyFill="1" applyBorder="1" applyAlignment="1">
      <alignment horizontal="right"/>
    </xf>
    <xf numFmtId="168" fontId="27" fillId="17" borderId="0" xfId="2" applyNumberFormat="1" applyFont="1" applyFill="1" applyBorder="1" applyAlignment="1">
      <alignment horizontal="right"/>
    </xf>
    <xf numFmtId="168" fontId="27" fillId="17" borderId="21" xfId="2" applyNumberFormat="1" applyFont="1" applyFill="1" applyBorder="1" applyAlignment="1">
      <alignment horizontal="right"/>
    </xf>
    <xf numFmtId="183" fontId="27" fillId="17" borderId="0" xfId="67" applyNumberFormat="1" applyFont="1" applyFill="1" applyBorder="1" applyAlignment="1">
      <alignment horizontal="right"/>
    </xf>
    <xf numFmtId="183" fontId="27" fillId="17" borderId="21" xfId="67" applyNumberFormat="1" applyFont="1" applyFill="1" applyBorder="1" applyAlignment="1">
      <alignment horizontal="right"/>
    </xf>
    <xf numFmtId="168" fontId="27" fillId="17" borderId="0" xfId="136" applyNumberFormat="1" applyFont="1" applyFill="1" applyBorder="1"/>
    <xf numFmtId="0" fontId="27" fillId="0" borderId="0" xfId="2" applyFont="1" applyFill="1"/>
    <xf numFmtId="0" fontId="27" fillId="0" borderId="0" xfId="2" applyFont="1" applyFill="1" applyBorder="1" applyAlignment="1">
      <alignment horizontal="left" indent="1"/>
    </xf>
    <xf numFmtId="168" fontId="27" fillId="0" borderId="0" xfId="136" applyNumberFormat="1" applyFont="1" applyFill="1" applyBorder="1"/>
    <xf numFmtId="0" fontId="27" fillId="0" borderId="0" xfId="2" applyFont="1" applyFill="1" applyBorder="1"/>
    <xf numFmtId="0" fontId="15" fillId="17" borderId="0" xfId="2" applyFont="1" applyFill="1" applyBorder="1" applyAlignment="1">
      <alignment horizontal="left" indent="1"/>
    </xf>
    <xf numFmtId="168" fontId="21" fillId="17" borderId="0" xfId="136" applyNumberFormat="1" applyFont="1" applyFill="1" applyBorder="1" applyAlignment="1">
      <alignment horizontal="right"/>
    </xf>
    <xf numFmtId="168" fontId="21" fillId="17" borderId="21" xfId="136" applyNumberFormat="1" applyFont="1" applyFill="1" applyBorder="1" applyAlignment="1">
      <alignment horizontal="right"/>
    </xf>
    <xf numFmtId="9" fontId="15" fillId="17" borderId="0" xfId="136" applyNumberFormat="1" applyFont="1" applyFill="1" applyBorder="1" applyAlignment="1">
      <alignment horizontal="right"/>
    </xf>
    <xf numFmtId="168" fontId="15" fillId="17" borderId="0" xfId="136" applyNumberFormat="1" applyFont="1" applyFill="1" applyBorder="1" applyAlignment="1">
      <alignment horizontal="right"/>
    </xf>
    <xf numFmtId="168" fontId="15" fillId="17" borderId="21" xfId="136" applyNumberFormat="1" applyFont="1" applyFill="1" applyBorder="1" applyAlignment="1">
      <alignment horizontal="right"/>
    </xf>
    <xf numFmtId="168" fontId="21" fillId="17" borderId="0" xfId="136" applyNumberFormat="1" applyFont="1" applyFill="1" applyBorder="1"/>
    <xf numFmtId="168" fontId="15" fillId="17" borderId="0" xfId="136" applyNumberFormat="1" applyFont="1" applyFill="1" applyBorder="1"/>
    <xf numFmtId="0" fontId="27" fillId="17" borderId="0" xfId="2" applyFont="1" applyFill="1" applyBorder="1"/>
    <xf numFmtId="44" fontId="32" fillId="0" borderId="0" xfId="78" applyFont="1"/>
    <xf numFmtId="44" fontId="32" fillId="0" borderId="0" xfId="78" applyFont="1" applyBorder="1" applyAlignment="1">
      <alignment horizontal="left" indent="1"/>
    </xf>
    <xf numFmtId="44" fontId="32" fillId="0" borderId="21" xfId="78" applyFont="1" applyBorder="1"/>
    <xf numFmtId="44" fontId="32" fillId="0" borderId="0" xfId="78" applyFont="1" applyBorder="1"/>
    <xf numFmtId="0" fontId="32" fillId="0" borderId="1" xfId="67" applyNumberFormat="1" applyFont="1" applyFill="1" applyBorder="1" applyAlignment="1"/>
    <xf numFmtId="37" fontId="15" fillId="0" borderId="0" xfId="2" applyNumberFormat="1" applyFont="1" applyBorder="1" applyAlignment="1">
      <alignment horizontal="left" indent="1"/>
    </xf>
    <xf numFmtId="37" fontId="21" fillId="0" borderId="1" xfId="136" applyNumberFormat="1" applyFont="1" applyFill="1" applyBorder="1" applyAlignment="1">
      <alignment horizontal="right"/>
    </xf>
    <xf numFmtId="37" fontId="21" fillId="0" borderId="0" xfId="136" applyNumberFormat="1" applyFont="1" applyFill="1" applyBorder="1" applyAlignment="1">
      <alignment horizontal="right"/>
    </xf>
    <xf numFmtId="37" fontId="21" fillId="0" borderId="21" xfId="136" applyNumberFormat="1" applyFont="1" applyFill="1" applyBorder="1" applyAlignment="1">
      <alignment horizontal="right"/>
    </xf>
    <xf numFmtId="37" fontId="13" fillId="0" borderId="21" xfId="2" applyNumberFormat="1" applyFont="1" applyBorder="1"/>
    <xf numFmtId="37" fontId="21" fillId="0" borderId="0" xfId="136" applyNumberFormat="1" applyFont="1" applyBorder="1"/>
    <xf numFmtId="37" fontId="32" fillId="0" borderId="0" xfId="2" applyNumberFormat="1" applyFont="1" applyBorder="1"/>
    <xf numFmtId="187" fontId="13" fillId="0" borderId="0" xfId="78" applyNumberFormat="1" applyFont="1"/>
    <xf numFmtId="187" fontId="15" fillId="0" borderId="0" xfId="78" applyNumberFormat="1" applyFont="1" applyBorder="1" applyAlignment="1">
      <alignment horizontal="left" indent="1"/>
    </xf>
    <xf numFmtId="187" fontId="21" fillId="0" borderId="1" xfId="78" applyNumberFormat="1" applyFont="1" applyFill="1" applyBorder="1" applyAlignment="1">
      <alignment horizontal="right"/>
    </xf>
    <xf numFmtId="187" fontId="21" fillId="0" borderId="0" xfId="78" applyNumberFormat="1" applyFont="1" applyFill="1" applyBorder="1" applyAlignment="1">
      <alignment horizontal="right"/>
    </xf>
    <xf numFmtId="187" fontId="21" fillId="0" borderId="21" xfId="78" applyNumberFormat="1" applyFont="1" applyFill="1" applyBorder="1" applyAlignment="1">
      <alignment horizontal="right"/>
    </xf>
    <xf numFmtId="187" fontId="13" fillId="0" borderId="21" xfId="78" applyNumberFormat="1" applyFont="1" applyBorder="1"/>
    <xf numFmtId="187" fontId="21" fillId="0" borderId="0" xfId="78" applyNumberFormat="1" applyFont="1" applyBorder="1"/>
    <xf numFmtId="187" fontId="32" fillId="0" borderId="0" xfId="78" applyNumberFormat="1" applyFont="1" applyBorder="1"/>
    <xf numFmtId="187" fontId="32" fillId="0" borderId="1" xfId="78" applyNumberFormat="1" applyFont="1" applyBorder="1"/>
    <xf numFmtId="187" fontId="32" fillId="0" borderId="21" xfId="78" applyNumberFormat="1" applyFont="1" applyBorder="1"/>
    <xf numFmtId="183" fontId="124" fillId="0" borderId="0" xfId="67" applyNumberFormat="1" applyFont="1" applyBorder="1" applyAlignment="1">
      <alignment horizontal="left" indent="1"/>
    </xf>
    <xf numFmtId="183" fontId="124" fillId="0" borderId="0" xfId="67" applyNumberFormat="1" applyFont="1" applyFill="1" applyBorder="1" applyAlignment="1">
      <alignment horizontal="right"/>
    </xf>
    <xf numFmtId="183" fontId="124" fillId="0" borderId="21" xfId="67" applyNumberFormat="1" applyFont="1" applyFill="1" applyBorder="1" applyAlignment="1">
      <alignment horizontal="right"/>
    </xf>
    <xf numFmtId="183" fontId="27" fillId="0" borderId="0" xfId="67" applyNumberFormat="1" applyFont="1"/>
    <xf numFmtId="0" fontId="27" fillId="0" borderId="1" xfId="67" applyNumberFormat="1" applyFont="1" applyFill="1" applyBorder="1" applyAlignment="1"/>
    <xf numFmtId="0" fontId="21" fillId="0" borderId="1" xfId="2" applyNumberFormat="1" applyFont="1" applyBorder="1" applyAlignment="1">
      <alignment horizontal="left" indent="1"/>
    </xf>
    <xf numFmtId="0" fontId="21" fillId="0" borderId="0" xfId="2" applyFont="1" applyBorder="1" applyAlignment="1">
      <alignment horizontal="left" indent="1"/>
    </xf>
    <xf numFmtId="0" fontId="21" fillId="0" borderId="1" xfId="2" applyFont="1" applyBorder="1"/>
    <xf numFmtId="183" fontId="27" fillId="0" borderId="0" xfId="67" applyNumberFormat="1" applyFont="1" applyFill="1" applyBorder="1"/>
    <xf numFmtId="183" fontId="30" fillId="0" borderId="0" xfId="67" applyNumberFormat="1" applyFont="1"/>
    <xf numFmtId="177" fontId="13" fillId="0" borderId="0" xfId="67" applyNumberFormat="1" applyFont="1"/>
    <xf numFmtId="177" fontId="104" fillId="0" borderId="0" xfId="67" applyNumberFormat="1" applyFont="1"/>
    <xf numFmtId="168" fontId="130" fillId="0" borderId="0" xfId="136" applyNumberFormat="1" applyFont="1" applyBorder="1"/>
    <xf numFmtId="168" fontId="13" fillId="0" borderId="0" xfId="136" applyNumberFormat="1" applyFont="1" applyBorder="1"/>
    <xf numFmtId="168" fontId="13" fillId="0" borderId="21" xfId="136" applyNumberFormat="1" applyFont="1" applyBorder="1"/>
    <xf numFmtId="168" fontId="13" fillId="0" borderId="1" xfId="2" applyNumberFormat="1" applyFont="1" applyBorder="1"/>
    <xf numFmtId="168" fontId="18" fillId="0" borderId="0" xfId="2" applyNumberFormat="1" applyFont="1" applyBorder="1"/>
    <xf numFmtId="168" fontId="0" fillId="0" borderId="0" xfId="2" applyNumberFormat="1" applyFont="1"/>
    <xf numFmtId="177" fontId="13" fillId="0" borderId="22" xfId="67" applyNumberFormat="1" applyFont="1" applyBorder="1"/>
    <xf numFmtId="177" fontId="13" fillId="0" borderId="2" xfId="67" applyNumberFormat="1" applyFont="1" applyBorder="1"/>
    <xf numFmtId="177" fontId="13" fillId="0" borderId="23" xfId="67" applyNumberFormat="1" applyFont="1" applyBorder="1"/>
    <xf numFmtId="177" fontId="25" fillId="0" borderId="2" xfId="67" applyNumberFormat="1" applyFont="1" applyBorder="1"/>
    <xf numFmtId="177" fontId="25" fillId="0" borderId="23" xfId="67" applyNumberFormat="1" applyFont="1" applyBorder="1"/>
    <xf numFmtId="0" fontId="8" fillId="0" borderId="0" xfId="2" applyNumberFormat="1" applyFont="1"/>
    <xf numFmtId="0" fontId="15" fillId="0" borderId="22" xfId="2" applyNumberFormat="1" applyFont="1" applyBorder="1"/>
    <xf numFmtId="0" fontId="14" fillId="0" borderId="1" xfId="126" applyNumberFormat="1" applyFont="1" applyFill="1" applyBorder="1"/>
    <xf numFmtId="0" fontId="13" fillId="0" borderId="1" xfId="2" applyNumberFormat="1" applyFont="1" applyFill="1" applyBorder="1" applyAlignment="1">
      <alignment horizontal="left" indent="1"/>
    </xf>
    <xf numFmtId="0" fontId="13" fillId="0" borderId="22" xfId="2" applyNumberFormat="1" applyFont="1" applyFill="1" applyBorder="1" applyAlignment="1">
      <alignment horizontal="left" indent="1"/>
    </xf>
    <xf numFmtId="0" fontId="14" fillId="0" borderId="1" xfId="126" applyNumberFormat="1" applyFont="1" applyFill="1" applyBorder="1" applyAlignment="1"/>
    <xf numFmtId="0" fontId="13" fillId="0" borderId="1" xfId="2" applyNumberFormat="1" applyFont="1" applyFill="1" applyBorder="1"/>
    <xf numFmtId="0" fontId="14" fillId="0" borderId="24" xfId="126" applyNumberFormat="1" applyFont="1" applyFill="1" applyBorder="1"/>
    <xf numFmtId="0" fontId="13" fillId="0" borderId="7" xfId="2" applyNumberFormat="1" applyFont="1" applyFill="1" applyBorder="1"/>
    <xf numFmtId="0" fontId="13" fillId="0" borderId="22" xfId="2" applyNumberFormat="1" applyFont="1" applyFill="1" applyBorder="1"/>
    <xf numFmtId="0" fontId="13" fillId="0" borderId="6" xfId="2" applyNumberFormat="1" applyFont="1" applyFill="1" applyBorder="1"/>
    <xf numFmtId="0" fontId="28" fillId="0" borderId="24" xfId="2" applyNumberFormat="1" applyFont="1" applyFill="1" applyBorder="1"/>
    <xf numFmtId="0" fontId="13" fillId="0" borderId="17" xfId="2" applyNumberFormat="1" applyFont="1" applyFill="1" applyBorder="1"/>
    <xf numFmtId="0" fontId="13" fillId="0" borderId="2" xfId="2" applyNumberFormat="1" applyFont="1" applyFill="1" applyBorder="1"/>
    <xf numFmtId="0" fontId="14" fillId="17" borderId="24" xfId="2" applyNumberFormat="1" applyFont="1" applyFill="1" applyBorder="1" applyAlignment="1">
      <alignment horizontal="left"/>
    </xf>
    <xf numFmtId="0" fontId="13" fillId="0" borderId="0" xfId="2" applyNumberFormat="1" applyFont="1" applyFill="1" applyBorder="1"/>
    <xf numFmtId="0" fontId="13" fillId="0" borderId="7" xfId="2" applyNumberFormat="1" applyFont="1" applyFill="1" applyBorder="1" applyAlignment="1">
      <alignment horizontal="left"/>
    </xf>
    <xf numFmtId="0" fontId="13" fillId="0" borderId="1" xfId="2" applyNumberFormat="1" applyFont="1" applyFill="1" applyBorder="1" applyAlignment="1">
      <alignment horizontal="left"/>
    </xf>
    <xf numFmtId="0" fontId="14" fillId="0" borderId="24" xfId="2" applyNumberFormat="1" applyFont="1" applyFill="1" applyBorder="1" applyAlignment="1">
      <alignment horizontal="left"/>
    </xf>
    <xf numFmtId="0" fontId="14" fillId="0" borderId="0" xfId="126" applyNumberFormat="1" applyFont="1" applyFill="1" applyBorder="1"/>
    <xf numFmtId="0" fontId="27" fillId="0" borderId="1" xfId="2" applyNumberFormat="1" applyFont="1" applyFill="1" applyBorder="1"/>
    <xf numFmtId="0" fontId="48" fillId="0" borderId="1" xfId="2" applyNumberFormat="1" applyFont="1" applyFill="1" applyBorder="1" applyAlignment="1">
      <alignment horizontal="left"/>
    </xf>
    <xf numFmtId="0" fontId="48" fillId="0" borderId="1" xfId="2" applyNumberFormat="1" applyFont="1" applyFill="1" applyBorder="1"/>
    <xf numFmtId="0" fontId="32" fillId="0" borderId="1" xfId="2" applyNumberFormat="1" applyFont="1" applyFill="1" applyBorder="1"/>
    <xf numFmtId="0" fontId="32" fillId="0" borderId="22" xfId="2" applyNumberFormat="1" applyFont="1" applyFill="1" applyBorder="1"/>
    <xf numFmtId="0" fontId="13" fillId="0" borderId="0" xfId="2" applyNumberFormat="1" applyFont="1" applyBorder="1"/>
    <xf numFmtId="0" fontId="27" fillId="17" borderId="24" xfId="2" applyNumberFormat="1" applyFont="1" applyFill="1" applyBorder="1"/>
    <xf numFmtId="0" fontId="13" fillId="0" borderId="1" xfId="2" applyNumberFormat="1" applyFont="1" applyBorder="1"/>
    <xf numFmtId="0" fontId="48" fillId="0" borderId="1" xfId="2" applyNumberFormat="1" applyFont="1" applyBorder="1"/>
    <xf numFmtId="0" fontId="27" fillId="0" borderId="1" xfId="2" applyNumberFormat="1" applyFont="1" applyBorder="1"/>
    <xf numFmtId="0" fontId="32" fillId="0" borderId="1" xfId="2" applyNumberFormat="1" applyFont="1" applyBorder="1" applyAlignment="1">
      <alignment horizontal="left" indent="1"/>
    </xf>
    <xf numFmtId="0" fontId="32" fillId="0" borderId="1" xfId="2" applyNumberFormat="1" applyFont="1" applyBorder="1" applyAlignment="1">
      <alignment horizontal="left" indent="2"/>
    </xf>
    <xf numFmtId="0" fontId="27" fillId="0" borderId="22" xfId="2" applyNumberFormat="1" applyFont="1" applyBorder="1"/>
    <xf numFmtId="0" fontId="13" fillId="0" borderId="0" xfId="2" applyNumberFormat="1" applyFont="1"/>
    <xf numFmtId="0" fontId="32" fillId="0" borderId="1" xfId="67" applyNumberFormat="1" applyFont="1" applyBorder="1"/>
    <xf numFmtId="0" fontId="13" fillId="0" borderId="22" xfId="67" applyNumberFormat="1" applyFont="1" applyBorder="1"/>
    <xf numFmtId="0" fontId="13" fillId="0" borderId="0" xfId="2" applyNumberFormat="1" applyFont="1" applyFill="1" applyBorder="1" applyAlignment="1">
      <alignment horizontal="left" wrapText="1" indent="2"/>
    </xf>
    <xf numFmtId="0" fontId="10" fillId="0" borderId="0" xfId="2" applyFont="1" applyFill="1" applyBorder="1" applyAlignment="1">
      <alignment vertical="center"/>
    </xf>
    <xf numFmtId="164" fontId="13" fillId="0" borderId="0" xfId="2" applyNumberFormat="1" applyFont="1" applyBorder="1"/>
    <xf numFmtId="216" fontId="13" fillId="0" borderId="1" xfId="2" applyNumberFormat="1" applyFont="1" applyBorder="1"/>
    <xf numFmtId="0" fontId="48" fillId="0" borderId="21" xfId="2" applyFont="1" applyFill="1" applyBorder="1" applyAlignment="1">
      <alignment horizontal="left" indent="1"/>
    </xf>
    <xf numFmtId="164" fontId="47" fillId="0" borderId="0" xfId="2" applyNumberFormat="1" applyFont="1" applyFill="1" applyBorder="1" applyAlignment="1"/>
    <xf numFmtId="164" fontId="47" fillId="0" borderId="21" xfId="2" applyNumberFormat="1" applyFont="1" applyFill="1" applyBorder="1" applyAlignment="1"/>
    <xf numFmtId="164" fontId="48" fillId="0" borderId="21" xfId="2" applyNumberFormat="1" applyFont="1" applyBorder="1"/>
    <xf numFmtId="165" fontId="16" fillId="17" borderId="24" xfId="126" applyNumberFormat="1" applyFont="1" applyFill="1" applyBorder="1" applyAlignment="1">
      <alignment horizontal="right"/>
    </xf>
    <xf numFmtId="165" fontId="16" fillId="17" borderId="6" xfId="126" applyNumberFormat="1" applyFont="1" applyFill="1" applyBorder="1" applyAlignment="1">
      <alignment horizontal="right"/>
    </xf>
    <xf numFmtId="165" fontId="16" fillId="17" borderId="25" xfId="126" applyNumberFormat="1" applyFont="1" applyFill="1" applyBorder="1" applyAlignment="1">
      <alignment horizontal="right"/>
    </xf>
    <xf numFmtId="1" fontId="34" fillId="0" borderId="2" xfId="126" applyNumberFormat="1" applyFont="1" applyFill="1" applyBorder="1" applyAlignment="1">
      <alignment horizontal="right"/>
    </xf>
    <xf numFmtId="1" fontId="34" fillId="0" borderId="23" xfId="126" applyNumberFormat="1" applyFont="1" applyFill="1" applyBorder="1" applyAlignment="1">
      <alignment horizontal="right"/>
    </xf>
    <xf numFmtId="1" fontId="34" fillId="0" borderId="0" xfId="126" applyNumberFormat="1" applyFont="1" applyFill="1" applyBorder="1" applyAlignment="1">
      <alignment horizontal="right"/>
    </xf>
    <xf numFmtId="1" fontId="34" fillId="0" borderId="24" xfId="126" applyNumberFormat="1" applyFont="1" applyFill="1" applyBorder="1" applyAlignment="1">
      <alignment horizontal="right"/>
    </xf>
    <xf numFmtId="1" fontId="34" fillId="0" borderId="6" xfId="126" applyNumberFormat="1" applyFont="1" applyFill="1" applyBorder="1" applyAlignment="1">
      <alignment horizontal="right"/>
    </xf>
    <xf numFmtId="1" fontId="34" fillId="0" borderId="22" xfId="126" applyNumberFormat="1" applyFont="1" applyFill="1" applyBorder="1" applyAlignment="1">
      <alignment horizontal="right"/>
    </xf>
    <xf numFmtId="1" fontId="34" fillId="0" borderId="21" xfId="126" applyNumberFormat="1" applyFont="1" applyFill="1" applyBorder="1" applyAlignment="1">
      <alignment horizontal="right"/>
    </xf>
    <xf numFmtId="1" fontId="34" fillId="0" borderId="1" xfId="126" applyNumberFormat="1" applyFont="1" applyFill="1" applyBorder="1" applyAlignment="1">
      <alignment horizontal="right"/>
    </xf>
    <xf numFmtId="167" fontId="64" fillId="0" borderId="0" xfId="2" applyNumberFormat="1" applyFont="1" applyFill="1" applyBorder="1" applyAlignment="1"/>
    <xf numFmtId="167" fontId="126" fillId="0" borderId="21" xfId="2" applyNumberFormat="1" applyFont="1" applyFill="1" applyBorder="1" applyAlignment="1"/>
    <xf numFmtId="167" fontId="64" fillId="0" borderId="21" xfId="2" applyNumberFormat="1" applyFont="1" applyFill="1" applyBorder="1" applyAlignment="1"/>
    <xf numFmtId="167" fontId="27" fillId="0" borderId="0" xfId="2" applyNumberFormat="1" applyFont="1" applyFill="1" applyBorder="1" applyAlignment="1"/>
    <xf numFmtId="164" fontId="13" fillId="0" borderId="22" xfId="2" applyNumberFormat="1" applyFont="1" applyFill="1" applyBorder="1" applyAlignment="1"/>
    <xf numFmtId="174" fontId="18" fillId="0" borderId="20" xfId="2" applyNumberFormat="1" applyFont="1" applyFill="1" applyBorder="1"/>
    <xf numFmtId="174" fontId="18" fillId="0" borderId="17" xfId="2" applyNumberFormat="1" applyFont="1" applyFill="1" applyBorder="1"/>
    <xf numFmtId="183" fontId="130" fillId="0" borderId="21" xfId="67" applyNumberFormat="1" applyFont="1" applyBorder="1"/>
    <xf numFmtId="183" fontId="130" fillId="0" borderId="0" xfId="67" applyNumberFormat="1" applyFont="1" applyBorder="1"/>
    <xf numFmtId="10" fontId="18" fillId="0" borderId="0" xfId="2" applyNumberFormat="1" applyFont="1" applyBorder="1"/>
    <xf numFmtId="44" fontId="32" fillId="0" borderId="0" xfId="78" applyFont="1" applyFill="1" applyBorder="1"/>
    <xf numFmtId="0" fontId="21" fillId="0" borderId="1" xfId="2" applyNumberFormat="1" applyFont="1" applyBorder="1" applyAlignment="1"/>
    <xf numFmtId="0" fontId="124" fillId="0" borderId="0" xfId="2" applyFont="1" applyBorder="1"/>
    <xf numFmtId="179" fontId="124" fillId="0" borderId="1" xfId="2" applyNumberFormat="1" applyFont="1" applyFill="1" applyBorder="1" applyAlignment="1">
      <alignment horizontal="right"/>
    </xf>
    <xf numFmtId="179" fontId="18" fillId="0" borderId="0" xfId="2" applyNumberFormat="1" applyFont="1" applyFill="1" applyBorder="1"/>
    <xf numFmtId="183" fontId="13" fillId="0" borderId="0" xfId="67" applyNumberFormat="1" applyFont="1" applyFill="1" applyBorder="1" applyAlignment="1"/>
    <xf numFmtId="183" fontId="13" fillId="0" borderId="1" xfId="67" applyNumberFormat="1" applyFont="1" applyFill="1" applyBorder="1" applyAlignment="1"/>
    <xf numFmtId="9" fontId="21" fillId="0" borderId="0" xfId="136" applyFont="1" applyFill="1" applyBorder="1" applyAlignment="1">
      <alignment horizontal="right"/>
    </xf>
    <xf numFmtId="9" fontId="21" fillId="0" borderId="21" xfId="136" applyFont="1" applyFill="1" applyBorder="1" applyAlignment="1">
      <alignment horizontal="right"/>
    </xf>
    <xf numFmtId="9" fontId="21" fillId="0" borderId="0" xfId="136" applyNumberFormat="1" applyFont="1" applyBorder="1" applyAlignment="1">
      <alignment horizontal="left" indent="1"/>
    </xf>
    <xf numFmtId="9" fontId="21" fillId="0" borderId="0" xfId="136" applyNumberFormat="1" applyFont="1" applyFill="1" applyBorder="1" applyAlignment="1">
      <alignment horizontal="right"/>
    </xf>
    <xf numFmtId="9" fontId="21" fillId="0" borderId="21" xfId="136" applyNumberFormat="1" applyFont="1" applyFill="1" applyBorder="1" applyAlignment="1">
      <alignment horizontal="right"/>
    </xf>
    <xf numFmtId="9" fontId="21" fillId="0" borderId="21" xfId="136" applyNumberFormat="1" applyFont="1" applyBorder="1"/>
    <xf numFmtId="9" fontId="21" fillId="0" borderId="0" xfId="136" applyNumberFormat="1" applyFont="1" applyBorder="1"/>
    <xf numFmtId="9" fontId="21" fillId="0" borderId="0" xfId="136" applyNumberFormat="1" applyFont="1"/>
    <xf numFmtId="9" fontId="13" fillId="0" borderId="0" xfId="136" applyFont="1"/>
    <xf numFmtId="9" fontId="15" fillId="0" borderId="0" xfId="136" applyFont="1" applyBorder="1" applyAlignment="1">
      <alignment horizontal="left" indent="1"/>
    </xf>
    <xf numFmtId="9" fontId="15" fillId="0" borderId="0" xfId="136" applyFont="1" applyFill="1" applyBorder="1" applyAlignment="1">
      <alignment horizontal="right"/>
    </xf>
    <xf numFmtId="9" fontId="15" fillId="0" borderId="21" xfId="136" applyFont="1" applyFill="1" applyBorder="1" applyAlignment="1">
      <alignment horizontal="right"/>
    </xf>
    <xf numFmtId="9" fontId="32" fillId="0" borderId="0" xfId="136" applyFont="1" applyFill="1" applyBorder="1" applyAlignment="1">
      <alignment horizontal="right"/>
    </xf>
    <xf numFmtId="9" fontId="32" fillId="0" borderId="21" xfId="136" applyFont="1" applyFill="1" applyBorder="1" applyAlignment="1">
      <alignment horizontal="right"/>
    </xf>
    <xf numFmtId="9" fontId="13" fillId="0" borderId="21" xfId="136" applyFont="1" applyBorder="1"/>
    <xf numFmtId="9" fontId="15" fillId="0" borderId="0" xfId="136" applyFont="1" applyBorder="1"/>
    <xf numFmtId="9" fontId="15" fillId="0" borderId="1" xfId="136" applyFont="1" applyBorder="1"/>
    <xf numFmtId="9" fontId="13" fillId="0" borderId="0" xfId="136" applyFont="1" applyBorder="1"/>
    <xf numFmtId="0" fontId="30" fillId="0" borderId="0" xfId="2" applyFont="1" applyBorder="1"/>
    <xf numFmtId="183" fontId="8" fillId="0" borderId="0" xfId="67" applyNumberFormat="1" applyFont="1"/>
    <xf numFmtId="183" fontId="8" fillId="0" borderId="0" xfId="67" applyNumberFormat="1" applyFont="1" applyFill="1"/>
    <xf numFmtId="168" fontId="15" fillId="0" borderId="23" xfId="136" applyNumberFormat="1" applyFont="1" applyFill="1" applyBorder="1"/>
    <xf numFmtId="0" fontId="128" fillId="0" borderId="2" xfId="2" applyFont="1" applyFill="1" applyBorder="1"/>
    <xf numFmtId="179" fontId="14" fillId="0" borderId="7" xfId="2" applyNumberFormat="1" applyFont="1" applyFill="1" applyBorder="1"/>
    <xf numFmtId="179" fontId="14" fillId="0" borderId="17" xfId="2" applyNumberFormat="1" applyFont="1" applyFill="1" applyBorder="1"/>
    <xf numFmtId="179" fontId="14" fillId="0" borderId="17" xfId="2" applyNumberFormat="1" applyFont="1" applyBorder="1"/>
    <xf numFmtId="169" fontId="128" fillId="0" borderId="1" xfId="2" applyNumberFormat="1" applyFont="1" applyFill="1" applyBorder="1" applyAlignment="1"/>
    <xf numFmtId="164" fontId="47" fillId="0" borderId="1" xfId="2" applyNumberFormat="1" applyFont="1" applyFill="1" applyBorder="1" applyAlignment="1"/>
    <xf numFmtId="168" fontId="21" fillId="0" borderId="22" xfId="136" applyNumberFormat="1" applyFont="1" applyBorder="1"/>
    <xf numFmtId="168" fontId="21" fillId="0" borderId="2" xfId="136" applyNumberFormat="1" applyFont="1" applyBorder="1"/>
    <xf numFmtId="0" fontId="32" fillId="0" borderId="0" xfId="2" applyFont="1" applyAlignment="1"/>
    <xf numFmtId="0" fontId="32" fillId="0" borderId="21" xfId="2" applyFont="1" applyBorder="1" applyAlignment="1"/>
    <xf numFmtId="179" fontId="64" fillId="0" borderId="0" xfId="2" applyNumberFormat="1" applyFont="1" applyFill="1" applyBorder="1" applyAlignment="1"/>
    <xf numFmtId="179" fontId="64" fillId="0" borderId="21" xfId="2" applyNumberFormat="1" applyFont="1" applyFill="1" applyBorder="1" applyAlignment="1"/>
    <xf numFmtId="179" fontId="27" fillId="0" borderId="0" xfId="2" applyNumberFormat="1" applyFont="1" applyFill="1" applyBorder="1" applyAlignment="1"/>
    <xf numFmtId="168" fontId="32" fillId="0" borderId="0" xfId="136" applyNumberFormat="1" applyFont="1" applyFill="1" applyBorder="1" applyAlignment="1"/>
    <xf numFmtId="168" fontId="32" fillId="0" borderId="21" xfId="136" applyNumberFormat="1" applyFont="1" applyFill="1" applyBorder="1" applyAlignment="1"/>
    <xf numFmtId="9" fontId="32" fillId="0" borderId="1" xfId="2" applyNumberFormat="1" applyFont="1" applyFill="1" applyBorder="1" applyAlignment="1"/>
    <xf numFmtId="9" fontId="32" fillId="0" borderId="0" xfId="2" applyNumberFormat="1" applyFont="1" applyFill="1" applyBorder="1" applyAlignment="1"/>
    <xf numFmtId="9" fontId="32" fillId="0" borderId="21" xfId="2" applyNumberFormat="1" applyFont="1" applyFill="1" applyBorder="1" applyAlignment="1"/>
    <xf numFmtId="0" fontId="27" fillId="0" borderId="26" xfId="2" applyFont="1" applyBorder="1" applyAlignment="1"/>
    <xf numFmtId="179" fontId="27" fillId="0" borderId="0" xfId="2" applyNumberFormat="1" applyFont="1" applyBorder="1" applyAlignment="1"/>
    <xf numFmtId="168" fontId="32" fillId="0" borderId="0" xfId="136" applyNumberFormat="1" applyFont="1" applyBorder="1" applyAlignment="1"/>
    <xf numFmtId="0" fontId="32" fillId="0" borderId="0" xfId="2" applyFont="1" applyBorder="1" applyAlignment="1"/>
    <xf numFmtId="167" fontId="27" fillId="0" borderId="1" xfId="2" applyNumberFormat="1" applyFont="1" applyFill="1" applyBorder="1"/>
    <xf numFmtId="179" fontId="64" fillId="26" borderId="6" xfId="2" applyNumberFormat="1" applyFont="1" applyFill="1" applyBorder="1" applyAlignment="1"/>
    <xf numFmtId="179" fontId="64" fillId="26" borderId="25" xfId="2" applyNumberFormat="1" applyFont="1" applyFill="1" applyBorder="1" applyAlignment="1"/>
    <xf numFmtId="179" fontId="27" fillId="26" borderId="6" xfId="2" applyNumberFormat="1" applyFont="1" applyFill="1" applyBorder="1" applyAlignment="1"/>
    <xf numFmtId="168" fontId="32" fillId="26" borderId="6" xfId="136" applyNumberFormat="1" applyFont="1" applyFill="1" applyBorder="1" applyAlignment="1"/>
    <xf numFmtId="168" fontId="32" fillId="26" borderId="25" xfId="136" applyNumberFormat="1" applyFont="1" applyFill="1" applyBorder="1" applyAlignment="1"/>
    <xf numFmtId="0" fontId="32" fillId="26" borderId="6" xfId="2" applyFont="1" applyFill="1" applyBorder="1" applyAlignment="1"/>
    <xf numFmtId="0" fontId="27" fillId="0" borderId="22" xfId="2" applyNumberFormat="1" applyFont="1" applyBorder="1" applyAlignment="1"/>
    <xf numFmtId="179" fontId="64" fillId="0" borderId="2" xfId="2" applyNumberFormat="1" applyFont="1" applyFill="1" applyBorder="1" applyAlignment="1"/>
    <xf numFmtId="179" fontId="64" fillId="0" borderId="23" xfId="2" applyNumberFormat="1" applyFont="1" applyFill="1" applyBorder="1" applyAlignment="1"/>
    <xf numFmtId="179" fontId="27" fillId="0" borderId="2" xfId="2" applyNumberFormat="1" applyFont="1" applyFill="1" applyBorder="1" applyAlignment="1"/>
    <xf numFmtId="168" fontId="32" fillId="0" borderId="2" xfId="136" applyNumberFormat="1" applyFont="1" applyFill="1" applyBorder="1" applyAlignment="1"/>
    <xf numFmtId="168" fontId="32" fillId="0" borderId="23" xfId="136" applyNumberFormat="1" applyFont="1" applyFill="1" applyBorder="1" applyAlignment="1"/>
    <xf numFmtId="9" fontId="32" fillId="0" borderId="22" xfId="2" applyNumberFormat="1" applyFont="1" applyFill="1" applyBorder="1" applyAlignment="1"/>
    <xf numFmtId="9" fontId="32" fillId="0" borderId="2" xfId="2" applyNumberFormat="1" applyFont="1" applyFill="1" applyBorder="1" applyAlignment="1"/>
    <xf numFmtId="0" fontId="27" fillId="26" borderId="24" xfId="2" applyFont="1" applyFill="1" applyBorder="1"/>
    <xf numFmtId="0" fontId="148" fillId="0" borderId="1" xfId="2" applyFont="1" applyBorder="1"/>
    <xf numFmtId="9" fontId="21" fillId="0" borderId="21" xfId="136" applyFont="1" applyBorder="1"/>
    <xf numFmtId="9" fontId="21" fillId="0" borderId="1" xfId="136" applyFont="1" applyBorder="1"/>
    <xf numFmtId="9" fontId="21" fillId="0" borderId="0" xfId="136" applyFont="1" applyBorder="1"/>
    <xf numFmtId="187" fontId="64" fillId="0" borderId="0" xfId="78" applyNumberFormat="1" applyFont="1" applyFill="1" applyBorder="1" applyAlignment="1"/>
    <xf numFmtId="187" fontId="64" fillId="0" borderId="21" xfId="78" applyNumberFormat="1" applyFont="1" applyFill="1" applyBorder="1" applyAlignment="1"/>
    <xf numFmtId="187" fontId="27" fillId="0" borderId="0" xfId="78" applyNumberFormat="1" applyFont="1" applyFill="1" applyBorder="1" applyAlignment="1"/>
    <xf numFmtId="187" fontId="32" fillId="0" borderId="0" xfId="78" applyNumberFormat="1" applyFont="1" applyFill="1" applyBorder="1" applyAlignment="1"/>
    <xf numFmtId="187" fontId="32" fillId="0" borderId="21" xfId="78" applyNumberFormat="1" applyFont="1" applyFill="1" applyBorder="1" applyAlignment="1"/>
    <xf numFmtId="187" fontId="32" fillId="0" borderId="1" xfId="78" applyNumberFormat="1" applyFont="1" applyFill="1" applyBorder="1" applyAlignment="1"/>
    <xf numFmtId="187" fontId="27" fillId="0" borderId="26" xfId="78" applyNumberFormat="1" applyFont="1" applyBorder="1" applyAlignment="1"/>
    <xf numFmtId="187" fontId="27" fillId="0" borderId="0" xfId="78" applyNumberFormat="1" applyFont="1" applyBorder="1" applyAlignment="1"/>
    <xf numFmtId="187" fontId="32" fillId="0" borderId="0" xfId="78" applyNumberFormat="1" applyFont="1" applyBorder="1" applyAlignment="1"/>
    <xf numFmtId="187" fontId="32" fillId="0" borderId="0" xfId="78" applyNumberFormat="1" applyFont="1" applyAlignment="1"/>
    <xf numFmtId="177" fontId="64" fillId="0" borderId="0" xfId="67" applyNumberFormat="1" applyFont="1" applyFill="1" applyBorder="1" applyAlignment="1"/>
    <xf numFmtId="177" fontId="64" fillId="0" borderId="21" xfId="67" applyNumberFormat="1" applyFont="1" applyFill="1" applyBorder="1" applyAlignment="1"/>
    <xf numFmtId="177" fontId="27" fillId="0" borderId="0" xfId="67" applyNumberFormat="1" applyFont="1" applyFill="1" applyBorder="1" applyAlignment="1"/>
    <xf numFmtId="177" fontId="32" fillId="0" borderId="0" xfId="67" applyNumberFormat="1" applyFont="1" applyFill="1" applyBorder="1" applyAlignment="1"/>
    <xf numFmtId="177" fontId="32" fillId="0" borderId="21" xfId="67" applyNumberFormat="1" applyFont="1" applyFill="1" applyBorder="1" applyAlignment="1"/>
    <xf numFmtId="177" fontId="32" fillId="0" borderId="1" xfId="67" applyNumberFormat="1" applyFont="1" applyFill="1" applyBorder="1" applyAlignment="1"/>
    <xf numFmtId="177" fontId="27" fillId="0" borderId="26" xfId="67" applyNumberFormat="1" applyFont="1" applyBorder="1" applyAlignment="1"/>
    <xf numFmtId="177" fontId="27" fillId="0" borderId="0" xfId="67" applyNumberFormat="1" applyFont="1" applyBorder="1" applyAlignment="1"/>
    <xf numFmtId="177" fontId="32" fillId="0" borderId="0" xfId="67" applyNumberFormat="1" applyFont="1" applyBorder="1" applyAlignment="1"/>
    <xf numFmtId="177" fontId="32" fillId="0" borderId="0" xfId="67" applyNumberFormat="1" applyFont="1" applyAlignment="1"/>
    <xf numFmtId="1" fontId="32" fillId="0" borderId="0" xfId="2" applyNumberFormat="1" applyFont="1" applyBorder="1" applyAlignment="1"/>
    <xf numFmtId="9" fontId="32" fillId="0" borderId="0" xfId="136" applyNumberFormat="1" applyFont="1" applyBorder="1" applyAlignment="1"/>
    <xf numFmtId="194" fontId="13" fillId="0" borderId="0" xfId="2" applyNumberFormat="1" applyFont="1" applyBorder="1"/>
    <xf numFmtId="9" fontId="32" fillId="0" borderId="0" xfId="136" applyFont="1" applyFill="1" applyBorder="1" applyAlignment="1"/>
    <xf numFmtId="9" fontId="32" fillId="0" borderId="0" xfId="136" applyNumberFormat="1" applyFont="1" applyFill="1" applyBorder="1" applyAlignment="1"/>
    <xf numFmtId="177" fontId="27" fillId="0" borderId="0" xfId="67" applyNumberFormat="1" applyFont="1" applyFill="1" applyBorder="1" applyAlignment="1">
      <alignment horizontal="right"/>
    </xf>
    <xf numFmtId="177" fontId="27" fillId="0" borderId="1" xfId="67" applyNumberFormat="1" applyFont="1" applyFill="1" applyBorder="1" applyAlignment="1"/>
    <xf numFmtId="177" fontId="27" fillId="0" borderId="0" xfId="67" applyNumberFormat="1" applyFont="1" applyAlignment="1"/>
    <xf numFmtId="44" fontId="32" fillId="0" borderId="21" xfId="78" applyFont="1" applyFill="1" applyBorder="1" applyAlignment="1"/>
    <xf numFmtId="0" fontId="48" fillId="0" borderId="0" xfId="2" applyNumberFormat="1" applyFont="1"/>
    <xf numFmtId="43" fontId="48" fillId="0" borderId="0" xfId="2" applyNumberFormat="1" applyFont="1"/>
    <xf numFmtId="183" fontId="48" fillId="0" borderId="0" xfId="67" applyNumberFormat="1" applyFont="1"/>
    <xf numFmtId="0" fontId="148" fillId="0" borderId="0" xfId="2" applyNumberFormat="1" applyFont="1"/>
    <xf numFmtId="0" fontId="27" fillId="0" borderId="0" xfId="2" applyNumberFormat="1" applyFont="1"/>
    <xf numFmtId="43" fontId="27" fillId="0" borderId="0" xfId="2" applyNumberFormat="1" applyFont="1"/>
    <xf numFmtId="183" fontId="27" fillId="0" borderId="0" xfId="2" applyNumberFormat="1" applyFont="1"/>
    <xf numFmtId="0" fontId="32" fillId="0" borderId="0" xfId="2" applyNumberFormat="1" applyFont="1"/>
    <xf numFmtId="0" fontId="27" fillId="0" borderId="0" xfId="2" applyNumberFormat="1" applyFont="1" applyBorder="1"/>
    <xf numFmtId="177" fontId="133" fillId="0" borderId="0" xfId="67" applyNumberFormat="1" applyFont="1" applyBorder="1"/>
    <xf numFmtId="177" fontId="27" fillId="0" borderId="0" xfId="67" applyNumberFormat="1" applyFont="1" applyBorder="1"/>
    <xf numFmtId="183" fontId="43" fillId="0" borderId="0" xfId="67" applyNumberFormat="1" applyFont="1" applyFill="1" applyBorder="1" applyAlignment="1">
      <alignment horizontal="right"/>
    </xf>
    <xf numFmtId="183" fontId="43" fillId="0" borderId="21" xfId="67" applyNumberFormat="1" applyFont="1" applyFill="1" applyBorder="1" applyAlignment="1">
      <alignment horizontal="right"/>
    </xf>
    <xf numFmtId="37" fontId="21" fillId="0" borderId="0" xfId="2" applyNumberFormat="1" applyFont="1" applyFill="1" applyBorder="1" applyAlignment="1">
      <alignment horizontal="right"/>
    </xf>
    <xf numFmtId="37" fontId="21" fillId="0" borderId="21" xfId="2" applyNumberFormat="1" applyFont="1" applyFill="1" applyBorder="1" applyAlignment="1">
      <alignment horizontal="right"/>
    </xf>
    <xf numFmtId="183" fontId="146" fillId="0" borderId="0" xfId="67" applyNumberFormat="1" applyFont="1" applyFill="1" applyBorder="1" applyAlignment="1">
      <alignment horizontal="right"/>
    </xf>
    <xf numFmtId="183" fontId="146" fillId="0" borderId="21" xfId="67" applyNumberFormat="1" applyFont="1" applyFill="1" applyBorder="1" applyAlignment="1">
      <alignment horizontal="right"/>
    </xf>
    <xf numFmtId="167" fontId="64" fillId="0" borderId="1" xfId="2" applyNumberFormat="1" applyFont="1" applyFill="1" applyBorder="1" applyAlignment="1"/>
    <xf numFmtId="168" fontId="15" fillId="0" borderId="1" xfId="2" applyNumberFormat="1" applyFont="1" applyFill="1" applyBorder="1" applyAlignment="1"/>
    <xf numFmtId="164" fontId="18" fillId="0" borderId="22" xfId="2" applyNumberFormat="1" applyFont="1" applyFill="1" applyBorder="1"/>
    <xf numFmtId="0" fontId="150" fillId="0" borderId="0" xfId="2" applyFont="1" applyBorder="1" applyAlignment="1">
      <alignment horizontal="left" indent="1"/>
    </xf>
    <xf numFmtId="168" fontId="150" fillId="0" borderId="1" xfId="136" applyNumberFormat="1" applyFont="1" applyFill="1" applyBorder="1" applyAlignment="1">
      <alignment horizontal="right"/>
    </xf>
    <xf numFmtId="168" fontId="150" fillId="0" borderId="0" xfId="136" applyNumberFormat="1" applyFont="1" applyFill="1" applyBorder="1" applyAlignment="1">
      <alignment horizontal="right"/>
    </xf>
    <xf numFmtId="168" fontId="150" fillId="0" borderId="21" xfId="136" applyNumberFormat="1" applyFont="1" applyFill="1" applyBorder="1" applyAlignment="1">
      <alignment horizontal="right"/>
    </xf>
    <xf numFmtId="9" fontId="150" fillId="0" borderId="0" xfId="136" applyNumberFormat="1" applyFont="1" applyFill="1" applyBorder="1" applyAlignment="1">
      <alignment horizontal="right"/>
    </xf>
    <xf numFmtId="183" fontId="150" fillId="0" borderId="0" xfId="67" applyNumberFormat="1" applyFont="1" applyFill="1" applyBorder="1" applyAlignment="1">
      <alignment horizontal="right"/>
    </xf>
    <xf numFmtId="168" fontId="150" fillId="0" borderId="0" xfId="136" applyNumberFormat="1" applyFont="1" applyBorder="1"/>
    <xf numFmtId="179" fontId="151" fillId="0" borderId="0" xfId="2" applyNumberFormat="1" applyFont="1" applyFill="1" applyBorder="1" applyAlignment="1">
      <alignment horizontal="right"/>
    </xf>
    <xf numFmtId="183" fontId="32" fillId="0" borderId="0" xfId="2" applyNumberFormat="1" applyFont="1" applyFill="1" applyBorder="1" applyAlignment="1"/>
    <xf numFmtId="183" fontId="32" fillId="0" borderId="21" xfId="67" applyNumberFormat="1" applyFont="1" applyFill="1" applyBorder="1" applyAlignment="1"/>
    <xf numFmtId="183" fontId="32" fillId="0" borderId="1" xfId="67" applyNumberFormat="1" applyFont="1" applyFill="1" applyBorder="1" applyAlignment="1"/>
    <xf numFmtId="44" fontId="27" fillId="0" borderId="26" xfId="78" applyNumberFormat="1" applyFont="1" applyBorder="1" applyAlignment="1"/>
    <xf numFmtId="44" fontId="27" fillId="0" borderId="0" xfId="78" applyNumberFormat="1" applyFont="1" applyBorder="1" applyAlignment="1"/>
    <xf numFmtId="44" fontId="32" fillId="0" borderId="0" xfId="78" applyNumberFormat="1" applyFont="1" applyBorder="1" applyAlignment="1"/>
    <xf numFmtId="168" fontId="8" fillId="0" borderId="0" xfId="136" applyNumberFormat="1" applyFont="1"/>
    <xf numFmtId="177" fontId="21" fillId="0" borderId="0" xfId="67" applyNumberFormat="1" applyFont="1" applyFill="1" applyBorder="1"/>
    <xf numFmtId="9" fontId="103" fillId="0" borderId="0" xfId="136" applyNumberFormat="1" applyFont="1" applyFill="1"/>
    <xf numFmtId="9" fontId="103" fillId="0" borderId="0" xfId="136" applyNumberFormat="1" applyFont="1"/>
    <xf numFmtId="177" fontId="102" fillId="0" borderId="0" xfId="67" applyNumberFormat="1" applyFont="1" applyFill="1" applyBorder="1" applyAlignment="1">
      <alignment horizontal="right"/>
    </xf>
    <xf numFmtId="177" fontId="102" fillId="0" borderId="21" xfId="67" applyNumberFormat="1" applyFont="1" applyFill="1" applyBorder="1" applyAlignment="1">
      <alignment horizontal="right"/>
    </xf>
    <xf numFmtId="177" fontId="102" fillId="0" borderId="1" xfId="67" applyNumberFormat="1" applyFont="1" applyFill="1" applyBorder="1" applyAlignment="1">
      <alignment horizontal="right"/>
    </xf>
    <xf numFmtId="0" fontId="27" fillId="17" borderId="24" xfId="2" applyFont="1" applyFill="1" applyBorder="1"/>
    <xf numFmtId="179" fontId="27" fillId="17" borderId="6" xfId="2" applyNumberFormat="1" applyFont="1" applyFill="1" applyBorder="1" applyAlignment="1">
      <alignment horizontal="right"/>
    </xf>
    <xf numFmtId="179" fontId="27" fillId="17" borderId="24" xfId="2" applyNumberFormat="1" applyFont="1" applyFill="1" applyBorder="1" applyAlignment="1">
      <alignment horizontal="right"/>
    </xf>
    <xf numFmtId="179" fontId="27" fillId="17" borderId="25" xfId="2" applyNumberFormat="1" applyFont="1" applyFill="1" applyBorder="1" applyAlignment="1">
      <alignment horizontal="right"/>
    </xf>
    <xf numFmtId="168" fontId="27" fillId="17" borderId="6" xfId="136" applyNumberFormat="1" applyFont="1" applyFill="1" applyBorder="1" applyAlignment="1">
      <alignment horizontal="right"/>
    </xf>
    <xf numFmtId="168" fontId="27" fillId="17" borderId="25" xfId="136" applyNumberFormat="1" applyFont="1" applyFill="1" applyBorder="1" applyAlignment="1">
      <alignment horizontal="right"/>
    </xf>
    <xf numFmtId="9" fontId="27" fillId="17" borderId="24" xfId="2" applyNumberFormat="1" applyFont="1" applyFill="1" applyBorder="1" applyAlignment="1">
      <alignment horizontal="right"/>
    </xf>
    <xf numFmtId="9" fontId="27" fillId="17" borderId="6" xfId="2" applyNumberFormat="1" applyFont="1" applyFill="1" applyBorder="1" applyAlignment="1">
      <alignment horizontal="right"/>
    </xf>
    <xf numFmtId="9" fontId="27" fillId="17" borderId="25" xfId="2" applyNumberFormat="1" applyFont="1" applyFill="1" applyBorder="1" applyAlignment="1">
      <alignment horizontal="right"/>
    </xf>
    <xf numFmtId="168" fontId="27" fillId="17" borderId="24" xfId="136" applyNumberFormat="1" applyFont="1" applyFill="1" applyBorder="1" applyAlignment="1">
      <alignment horizontal="right"/>
    </xf>
    <xf numFmtId="177" fontId="21" fillId="0" borderId="1" xfId="67" applyNumberFormat="1" applyFont="1" applyBorder="1"/>
    <xf numFmtId="177" fontId="21" fillId="0" borderId="0" xfId="67" applyNumberFormat="1" applyFont="1" applyBorder="1"/>
    <xf numFmtId="0" fontId="32" fillId="0" borderId="1" xfId="2" applyNumberFormat="1" applyFont="1" applyBorder="1"/>
    <xf numFmtId="0" fontId="32" fillId="0" borderId="1" xfId="78" applyNumberFormat="1" applyFont="1" applyBorder="1"/>
    <xf numFmtId="0" fontId="148" fillId="0" borderId="1" xfId="2" applyNumberFormat="1" applyFont="1" applyBorder="1"/>
    <xf numFmtId="0" fontId="27" fillId="0" borderId="0" xfId="2" applyFont="1" applyFill="1" applyBorder="1" applyAlignment="1">
      <alignment horizontal="right"/>
    </xf>
    <xf numFmtId="183" fontId="8" fillId="0" borderId="0" xfId="67" applyNumberFormat="1" applyFont="1" applyBorder="1"/>
    <xf numFmtId="183" fontId="32" fillId="0" borderId="0" xfId="67" applyNumberFormat="1" applyFont="1" applyAlignment="1">
      <alignment horizontal="right"/>
    </xf>
    <xf numFmtId="183" fontId="32" fillId="0" borderId="26" xfId="67" applyNumberFormat="1" applyFont="1" applyBorder="1"/>
    <xf numFmtId="183" fontId="142" fillId="0" borderId="0" xfId="67" applyNumberFormat="1" applyFont="1" applyAlignment="1">
      <alignment horizontal="right"/>
    </xf>
    <xf numFmtId="183" fontId="142" fillId="0" borderId="1" xfId="67" applyNumberFormat="1" applyFont="1" applyFill="1" applyBorder="1" applyAlignment="1">
      <alignment horizontal="right"/>
    </xf>
    <xf numFmtId="183" fontId="142" fillId="0" borderId="26" xfId="67" applyNumberFormat="1" applyFont="1" applyBorder="1"/>
    <xf numFmtId="10" fontId="27" fillId="0" borderId="0" xfId="136" applyNumberFormat="1" applyFont="1" applyFill="1" applyBorder="1" applyAlignment="1">
      <alignment horizontal="right"/>
    </xf>
    <xf numFmtId="182" fontId="41" fillId="27" borderId="0" xfId="2" applyNumberFormat="1" applyFont="1" applyFill="1" applyBorder="1" applyAlignment="1">
      <alignment horizontal="right"/>
    </xf>
    <xf numFmtId="182" fontId="41" fillId="27" borderId="20" xfId="2" applyNumberFormat="1" applyFont="1" applyFill="1" applyBorder="1" applyAlignment="1">
      <alignment horizontal="right"/>
    </xf>
    <xf numFmtId="182" fontId="41" fillId="27" borderId="17" xfId="2" applyNumberFormat="1" applyFont="1" applyFill="1" applyBorder="1" applyAlignment="1">
      <alignment horizontal="right"/>
    </xf>
    <xf numFmtId="0" fontId="62" fillId="27" borderId="0" xfId="2" applyFont="1" applyFill="1" applyBorder="1" applyAlignment="1">
      <alignment horizontal="left" indent="1"/>
    </xf>
    <xf numFmtId="168" fontId="62" fillId="27" borderId="0" xfId="136" applyNumberFormat="1" applyFont="1" applyFill="1" applyBorder="1" applyAlignment="1">
      <alignment horizontal="right"/>
    </xf>
    <xf numFmtId="168" fontId="62" fillId="27" borderId="21" xfId="136" applyNumberFormat="1" applyFont="1" applyFill="1" applyBorder="1" applyAlignment="1">
      <alignment horizontal="right"/>
    </xf>
    <xf numFmtId="168" fontId="62" fillId="27" borderId="20" xfId="136" applyNumberFormat="1" applyFont="1" applyFill="1" applyBorder="1" applyAlignment="1">
      <alignment horizontal="right"/>
    </xf>
    <xf numFmtId="0" fontId="62" fillId="0" borderId="21" xfId="2" applyFont="1" applyBorder="1"/>
    <xf numFmtId="0" fontId="62" fillId="27" borderId="0" xfId="2" applyFont="1" applyFill="1" applyBorder="1"/>
    <xf numFmtId="0" fontId="62" fillId="0" borderId="0" xfId="2" applyFont="1"/>
    <xf numFmtId="9" fontId="27" fillId="26" borderId="24" xfId="2" applyNumberFormat="1" applyFont="1" applyFill="1" applyBorder="1" applyAlignment="1">
      <alignment horizontal="right"/>
    </xf>
    <xf numFmtId="9" fontId="27" fillId="26" borderId="6" xfId="2" applyNumberFormat="1" applyFont="1" applyFill="1" applyBorder="1" applyAlignment="1">
      <alignment horizontal="right"/>
    </xf>
    <xf numFmtId="9" fontId="27" fillId="26" borderId="25" xfId="2" applyNumberFormat="1" applyFont="1" applyFill="1" applyBorder="1" applyAlignment="1">
      <alignment horizontal="right"/>
    </xf>
    <xf numFmtId="0" fontId="27" fillId="0" borderId="26" xfId="2" applyFont="1" applyBorder="1" applyAlignment="1">
      <alignment horizontal="right"/>
    </xf>
    <xf numFmtId="168" fontId="27" fillId="26" borderId="24" xfId="136" applyNumberFormat="1" applyFont="1" applyFill="1" applyBorder="1" applyAlignment="1">
      <alignment horizontal="right"/>
    </xf>
    <xf numFmtId="168" fontId="27" fillId="26" borderId="6" xfId="136" applyNumberFormat="1" applyFont="1" applyFill="1" applyBorder="1" applyAlignment="1">
      <alignment horizontal="right"/>
    </xf>
    <xf numFmtId="177" fontId="32" fillId="0" borderId="0" xfId="2" applyNumberFormat="1" applyFont="1" applyFill="1" applyBorder="1" applyAlignment="1"/>
    <xf numFmtId="183" fontId="0" fillId="0" borderId="0" xfId="2" applyNumberFormat="1" applyFont="1" applyAlignment="1">
      <alignment horizontal="center"/>
    </xf>
    <xf numFmtId="183" fontId="27" fillId="0" borderId="26" xfId="2" applyNumberFormat="1" applyFont="1" applyBorder="1" applyAlignment="1"/>
    <xf numFmtId="164" fontId="27" fillId="0" borderId="26" xfId="2" applyNumberFormat="1" applyFont="1" applyBorder="1" applyAlignment="1"/>
    <xf numFmtId="216" fontId="8" fillId="0" borderId="0" xfId="2" applyNumberFormat="1" applyFont="1"/>
    <xf numFmtId="9" fontId="18" fillId="0" borderId="0" xfId="2" applyNumberFormat="1" applyFont="1" applyFill="1" applyBorder="1" applyAlignment="1"/>
    <xf numFmtId="0" fontId="30" fillId="17" borderId="0" xfId="2" applyFont="1" applyFill="1" applyBorder="1"/>
    <xf numFmtId="0" fontId="37" fillId="0" borderId="0" xfId="109" applyAlignment="1" applyProtection="1"/>
    <xf numFmtId="168" fontId="0" fillId="0" borderId="0" xfId="0" applyNumberFormat="1"/>
    <xf numFmtId="43" fontId="32" fillId="0" borderId="0" xfId="2" applyNumberFormat="1" applyFont="1" applyBorder="1" applyAlignment="1"/>
    <xf numFmtId="9" fontId="8" fillId="0" borderId="0" xfId="67" applyNumberFormat="1" applyFont="1"/>
    <xf numFmtId="180" fontId="160" fillId="0" borderId="0" xfId="2" applyNumberFormat="1" applyFont="1" applyFill="1" applyBorder="1"/>
    <xf numFmtId="179" fontId="14" fillId="0" borderId="37" xfId="2" applyNumberFormat="1" applyFont="1" applyFill="1" applyBorder="1"/>
    <xf numFmtId="168" fontId="15" fillId="0" borderId="37" xfId="136" applyNumberFormat="1" applyFont="1" applyFill="1" applyBorder="1"/>
    <xf numFmtId="168" fontId="19" fillId="0" borderId="37" xfId="136" applyNumberFormat="1" applyFont="1" applyFill="1" applyBorder="1"/>
    <xf numFmtId="168" fontId="43" fillId="0" borderId="37" xfId="136" applyNumberFormat="1" applyFont="1" applyFill="1" applyBorder="1"/>
    <xf numFmtId="168" fontId="21" fillId="0" borderId="37" xfId="136" applyNumberFormat="1" applyFont="1" applyFill="1" applyBorder="1"/>
    <xf numFmtId="168" fontId="21" fillId="0" borderId="39" xfId="136" applyNumberFormat="1" applyFont="1" applyFill="1" applyBorder="1"/>
    <xf numFmtId="179" fontId="27" fillId="0" borderId="17" xfId="2" applyNumberFormat="1" applyFont="1" applyFill="1" applyBorder="1"/>
    <xf numFmtId="179" fontId="32" fillId="0" borderId="0" xfId="2" applyNumberFormat="1" applyFont="1" applyFill="1" applyBorder="1"/>
    <xf numFmtId="179" fontId="14" fillId="0" borderId="7" xfId="2" applyNumberFormat="1" applyFont="1" applyBorder="1"/>
    <xf numFmtId="0" fontId="15" fillId="0" borderId="40" xfId="2" applyFont="1" applyFill="1" applyBorder="1" applyAlignment="1">
      <alignment horizontal="left" indent="1"/>
    </xf>
    <xf numFmtId="0" fontId="15" fillId="0" borderId="16" xfId="2" applyFont="1" applyFill="1" applyBorder="1" applyAlignment="1">
      <alignment horizontal="left" indent="1"/>
    </xf>
    <xf numFmtId="168" fontId="21" fillId="0" borderId="40" xfId="136" applyNumberFormat="1" applyFont="1" applyFill="1" applyBorder="1"/>
    <xf numFmtId="168" fontId="21" fillId="0" borderId="16" xfId="136" applyNumberFormat="1" applyFont="1" applyFill="1" applyBorder="1"/>
    <xf numFmtId="168" fontId="21" fillId="0" borderId="36" xfId="136" applyNumberFormat="1" applyFont="1" applyFill="1" applyBorder="1"/>
    <xf numFmtId="168" fontId="161" fillId="0" borderId="2" xfId="136" applyNumberFormat="1" applyFont="1" applyFill="1" applyBorder="1"/>
    <xf numFmtId="183" fontId="18" fillId="0" borderId="0" xfId="67" applyNumberFormat="1" applyFont="1" applyFill="1" applyBorder="1"/>
    <xf numFmtId="183" fontId="48" fillId="0" borderId="0" xfId="67" applyNumberFormat="1" applyFont="1" applyFill="1" applyBorder="1"/>
    <xf numFmtId="10" fontId="13" fillId="0" borderId="0" xfId="2" applyNumberFormat="1" applyFont="1" applyFill="1" applyBorder="1"/>
    <xf numFmtId="10" fontId="130" fillId="0" borderId="0" xfId="2" applyNumberFormat="1" applyFont="1" applyFill="1" applyBorder="1"/>
    <xf numFmtId="177" fontId="48" fillId="0" borderId="0" xfId="67" applyNumberFormat="1" applyFont="1" applyFill="1" applyBorder="1"/>
    <xf numFmtId="177" fontId="27" fillId="0" borderId="2" xfId="67" applyNumberFormat="1" applyFont="1" applyFill="1" applyBorder="1"/>
    <xf numFmtId="177" fontId="27" fillId="0" borderId="0" xfId="67" applyNumberFormat="1" applyFont="1" applyFill="1" applyBorder="1"/>
    <xf numFmtId="183" fontId="32" fillId="0" borderId="0" xfId="67" applyNumberFormat="1" applyFont="1" applyFill="1" applyBorder="1"/>
    <xf numFmtId="168" fontId="13" fillId="0" borderId="0" xfId="2" applyNumberFormat="1" applyFont="1" applyFill="1" applyBorder="1"/>
    <xf numFmtId="177" fontId="160" fillId="22" borderId="0" xfId="67" applyNumberFormat="1" applyFont="1" applyFill="1" applyBorder="1"/>
    <xf numFmtId="169" fontId="162" fillId="0" borderId="0" xfId="2" applyNumberFormat="1" applyFont="1" applyFill="1" applyBorder="1"/>
    <xf numFmtId="41" fontId="162" fillId="0" borderId="0" xfId="2" applyNumberFormat="1" applyFont="1" applyFill="1" applyBorder="1"/>
    <xf numFmtId="180" fontId="162" fillId="0" borderId="0" xfId="2" applyNumberFormat="1" applyFont="1" applyFill="1" applyBorder="1"/>
    <xf numFmtId="180" fontId="163" fillId="0" borderId="29" xfId="2" applyNumberFormat="1" applyFont="1" applyFill="1" applyBorder="1"/>
    <xf numFmtId="180" fontId="163" fillId="0" borderId="0" xfId="2" applyNumberFormat="1" applyFont="1" applyFill="1" applyBorder="1"/>
    <xf numFmtId="180" fontId="163" fillId="0" borderId="2" xfId="2" applyNumberFormat="1" applyFont="1" applyFill="1" applyBorder="1"/>
    <xf numFmtId="164" fontId="164" fillId="0" borderId="0" xfId="2" applyNumberFormat="1" applyFont="1" applyFill="1" applyBorder="1" applyAlignment="1"/>
    <xf numFmtId="179" fontId="18" fillId="0" borderId="37" xfId="2" applyNumberFormat="1" applyFont="1" applyFill="1" applyBorder="1"/>
    <xf numFmtId="49" fontId="0" fillId="0" borderId="0" xfId="0" applyNumberFormat="1"/>
    <xf numFmtId="183" fontId="13" fillId="0" borderId="21" xfId="67" applyNumberFormat="1" applyFont="1" applyFill="1" applyBorder="1" applyAlignment="1"/>
    <xf numFmtId="164" fontId="13" fillId="0" borderId="20" xfId="136" applyNumberFormat="1" applyFont="1" applyFill="1" applyBorder="1"/>
    <xf numFmtId="164" fontId="13" fillId="0" borderId="21" xfId="136" applyNumberFormat="1" applyFont="1" applyFill="1" applyBorder="1"/>
    <xf numFmtId="187" fontId="168" fillId="0" borderId="1" xfId="78" applyNumberFormat="1" applyFont="1" applyBorder="1"/>
    <xf numFmtId="179" fontId="167" fillId="0" borderId="0" xfId="2" applyNumberFormat="1" applyFont="1" applyFill="1" applyBorder="1" applyAlignment="1">
      <alignment horizontal="right"/>
    </xf>
    <xf numFmtId="179" fontId="167" fillId="0" borderId="21" xfId="2" applyNumberFormat="1" applyFont="1" applyFill="1" applyBorder="1" applyAlignment="1">
      <alignment horizontal="right"/>
    </xf>
    <xf numFmtId="177" fontId="169" fillId="0" borderId="0" xfId="67" applyNumberFormat="1" applyFont="1" applyBorder="1"/>
    <xf numFmtId="177" fontId="169" fillId="0" borderId="21" xfId="67" applyNumberFormat="1" applyFont="1" applyBorder="1"/>
    <xf numFmtId="164" fontId="168" fillId="0" borderId="0" xfId="2" applyNumberFormat="1" applyFont="1" applyFill="1" applyBorder="1"/>
    <xf numFmtId="169" fontId="13" fillId="0" borderId="1" xfId="2" applyNumberFormat="1" applyFont="1" applyBorder="1"/>
    <xf numFmtId="183" fontId="168" fillId="0" borderId="21" xfId="67" applyNumberFormat="1" applyFont="1" applyBorder="1"/>
    <xf numFmtId="183" fontId="168" fillId="0" borderId="0" xfId="67" applyNumberFormat="1" applyFont="1" applyBorder="1"/>
    <xf numFmtId="183" fontId="168" fillId="31" borderId="0" xfId="67" applyNumberFormat="1" applyFont="1" applyFill="1" applyBorder="1"/>
    <xf numFmtId="183" fontId="168" fillId="31" borderId="21" xfId="67" applyNumberFormat="1" applyFont="1" applyFill="1" applyBorder="1"/>
    <xf numFmtId="43" fontId="15" fillId="0" borderId="0" xfId="67" applyFont="1" applyFill="1" applyBorder="1" applyAlignment="1"/>
    <xf numFmtId="0" fontId="168" fillId="0" borderId="0" xfId="2" applyFont="1" applyFill="1" applyBorder="1"/>
    <xf numFmtId="169" fontId="168" fillId="0" borderId="0" xfId="2" applyNumberFormat="1" applyFont="1" applyFill="1" applyBorder="1"/>
    <xf numFmtId="170" fontId="168" fillId="0" borderId="0" xfId="2" applyNumberFormat="1" applyFont="1" applyFill="1" applyBorder="1"/>
    <xf numFmtId="173" fontId="168" fillId="0" borderId="0" xfId="2" applyNumberFormat="1" applyFont="1" applyFill="1" applyBorder="1"/>
    <xf numFmtId="0" fontId="168" fillId="0" borderId="0" xfId="2" applyFont="1"/>
    <xf numFmtId="223" fontId="15" fillId="0" borderId="0" xfId="2" applyNumberFormat="1" applyFont="1" applyFill="1" applyBorder="1" applyAlignment="1"/>
    <xf numFmtId="223" fontId="15" fillId="0" borderId="21" xfId="2" applyNumberFormat="1" applyFont="1" applyFill="1" applyBorder="1" applyAlignment="1"/>
    <xf numFmtId="0" fontId="170" fillId="0" borderId="0" xfId="2" applyFont="1" applyFill="1" applyBorder="1"/>
    <xf numFmtId="0" fontId="15" fillId="0" borderId="0" xfId="2" applyFont="1"/>
    <xf numFmtId="169" fontId="170" fillId="0" borderId="0" xfId="2" applyNumberFormat="1" applyFont="1" applyFill="1" applyBorder="1"/>
    <xf numFmtId="170" fontId="170" fillId="0" borderId="0" xfId="2" applyNumberFormat="1" applyFont="1" applyFill="1" applyBorder="1"/>
    <xf numFmtId="173" fontId="170" fillId="0" borderId="0" xfId="2" applyNumberFormat="1" applyFont="1" applyFill="1" applyBorder="1"/>
    <xf numFmtId="0" fontId="44" fillId="0" borderId="0" xfId="0" applyFont="1"/>
    <xf numFmtId="169" fontId="18" fillId="0" borderId="17" xfId="2" applyNumberFormat="1" applyFont="1" applyFill="1" applyBorder="1"/>
    <xf numFmtId="170" fontId="18" fillId="0" borderId="17" xfId="2" applyNumberFormat="1" applyFont="1" applyFill="1" applyBorder="1"/>
    <xf numFmtId="173" fontId="18" fillId="0" borderId="20" xfId="2" applyNumberFormat="1" applyFont="1" applyFill="1" applyBorder="1"/>
    <xf numFmtId="0" fontId="168" fillId="0" borderId="1" xfId="2" applyFont="1" applyFill="1" applyBorder="1"/>
    <xf numFmtId="0" fontId="170" fillId="0" borderId="1" xfId="2" applyFont="1" applyFill="1" applyBorder="1" applyAlignment="1">
      <alignment horizontal="left" indent="2"/>
    </xf>
    <xf numFmtId="173" fontId="18" fillId="0" borderId="21" xfId="2" applyNumberFormat="1" applyFont="1" applyFill="1" applyBorder="1"/>
    <xf numFmtId="173" fontId="18" fillId="0" borderId="7" xfId="2" applyNumberFormat="1" applyFont="1" applyFill="1" applyBorder="1"/>
    <xf numFmtId="173" fontId="18" fillId="0" borderId="1" xfId="2" applyNumberFormat="1" applyFont="1" applyFill="1" applyBorder="1"/>
    <xf numFmtId="223" fontId="15" fillId="0" borderId="1" xfId="2" applyNumberFormat="1" applyFont="1" applyFill="1" applyBorder="1" applyAlignment="1"/>
    <xf numFmtId="174" fontId="18" fillId="0" borderId="7" xfId="2" applyNumberFormat="1" applyFont="1" applyFill="1" applyBorder="1"/>
    <xf numFmtId="174" fontId="13" fillId="0" borderId="1" xfId="2" applyNumberFormat="1" applyFont="1" applyFill="1" applyBorder="1"/>
    <xf numFmtId="1" fontId="16" fillId="17" borderId="17" xfId="127" applyNumberFormat="1" applyFont="1" applyFill="1" applyBorder="1" applyAlignment="1">
      <alignment horizontal="right"/>
    </xf>
    <xf numFmtId="179" fontId="27" fillId="0" borderId="2" xfId="2" applyNumberFormat="1" applyFont="1" applyFill="1" applyBorder="1"/>
    <xf numFmtId="179" fontId="169" fillId="0" borderId="0" xfId="2" applyNumberFormat="1" applyFont="1" applyFill="1" applyBorder="1"/>
    <xf numFmtId="179" fontId="169" fillId="0" borderId="21" xfId="2" applyNumberFormat="1" applyFont="1" applyFill="1" applyBorder="1"/>
    <xf numFmtId="179" fontId="171" fillId="0" borderId="0" xfId="2" applyNumberFormat="1" applyFont="1" applyFill="1" applyBorder="1"/>
    <xf numFmtId="179" fontId="171" fillId="0" borderId="1" xfId="2" applyNumberFormat="1" applyFont="1" applyFill="1" applyBorder="1"/>
    <xf numFmtId="179" fontId="171" fillId="0" borderId="21" xfId="2" applyNumberFormat="1" applyFont="1" applyFill="1" applyBorder="1"/>
    <xf numFmtId="179" fontId="169" fillId="0" borderId="37" xfId="2" applyNumberFormat="1" applyFont="1" applyFill="1" applyBorder="1"/>
    <xf numFmtId="179" fontId="171" fillId="0" borderId="37" xfId="2" applyNumberFormat="1" applyFont="1" applyFill="1" applyBorder="1"/>
    <xf numFmtId="168" fontId="172" fillId="0" borderId="0" xfId="136" applyNumberFormat="1" applyFont="1" applyFill="1" applyBorder="1"/>
    <xf numFmtId="179" fontId="171" fillId="0" borderId="42" xfId="2" applyNumberFormat="1" applyFont="1" applyFill="1" applyBorder="1"/>
    <xf numFmtId="0" fontId="173" fillId="0" borderId="22" xfId="2" applyFont="1" applyFill="1" applyBorder="1"/>
    <xf numFmtId="0" fontId="173" fillId="0" borderId="2" xfId="2" applyFont="1" applyFill="1" applyBorder="1"/>
    <xf numFmtId="169" fontId="173" fillId="0" borderId="2" xfId="2" applyNumberFormat="1" applyFont="1" applyFill="1" applyBorder="1"/>
    <xf numFmtId="170" fontId="173" fillId="0" borderId="2" xfId="2" applyNumberFormat="1" applyFont="1" applyFill="1" applyBorder="1"/>
    <xf numFmtId="173" fontId="173" fillId="0" borderId="2" xfId="2" applyNumberFormat="1" applyFont="1" applyFill="1" applyBorder="1"/>
    <xf numFmtId="43" fontId="14" fillId="0" borderId="2" xfId="2" applyNumberFormat="1" applyFont="1" applyFill="1" applyBorder="1" applyAlignment="1"/>
    <xf numFmtId="43" fontId="14" fillId="0" borderId="22" xfId="2" applyNumberFormat="1" applyFont="1" applyFill="1" applyBorder="1" applyAlignment="1"/>
    <xf numFmtId="43" fontId="14" fillId="0" borderId="23" xfId="2" applyNumberFormat="1" applyFont="1" applyFill="1" applyBorder="1" applyAlignment="1"/>
    <xf numFmtId="183" fontId="168" fillId="0" borderId="0" xfId="67" applyNumberFormat="1" applyFont="1" applyFill="1" applyBorder="1" applyAlignment="1">
      <alignment horizontal="right"/>
    </xf>
    <xf numFmtId="183" fontId="168" fillId="0" borderId="21" xfId="67" applyNumberFormat="1" applyFont="1" applyFill="1" applyBorder="1" applyAlignment="1">
      <alignment horizontal="right"/>
    </xf>
    <xf numFmtId="183" fontId="169" fillId="0" borderId="1" xfId="67" applyNumberFormat="1" applyFont="1" applyFill="1" applyBorder="1" applyAlignment="1">
      <alignment horizontal="right"/>
    </xf>
    <xf numFmtId="183" fontId="169" fillId="0" borderId="0" xfId="67" applyNumberFormat="1" applyFont="1" applyFill="1" applyBorder="1" applyAlignment="1">
      <alignment horizontal="right"/>
    </xf>
    <xf numFmtId="183" fontId="169" fillId="0" borderId="21" xfId="67" applyNumberFormat="1" applyFont="1" applyFill="1" applyBorder="1" applyAlignment="1">
      <alignment horizontal="right"/>
    </xf>
    <xf numFmtId="168" fontId="172" fillId="0" borderId="0" xfId="136" applyNumberFormat="1" applyFont="1" applyFill="1" applyBorder="1" applyAlignment="1">
      <alignment horizontal="right"/>
    </xf>
    <xf numFmtId="168" fontId="172" fillId="0" borderId="21" xfId="136" applyNumberFormat="1" applyFont="1" applyFill="1" applyBorder="1" applyAlignment="1">
      <alignment horizontal="right"/>
    </xf>
    <xf numFmtId="44" fontId="168" fillId="0" borderId="0" xfId="78" applyFont="1" applyFill="1" applyBorder="1" applyAlignment="1">
      <alignment horizontal="right"/>
    </xf>
    <xf numFmtId="44" fontId="168" fillId="0" borderId="21" xfId="78" applyFont="1" applyFill="1" applyBorder="1" applyAlignment="1">
      <alignment horizontal="right"/>
    </xf>
    <xf numFmtId="44" fontId="169" fillId="0" borderId="0" xfId="78" applyFont="1" applyFill="1" applyBorder="1" applyAlignment="1">
      <alignment horizontal="right"/>
    </xf>
    <xf numFmtId="44" fontId="169" fillId="0" borderId="21" xfId="78" applyFont="1" applyFill="1" applyBorder="1" applyAlignment="1">
      <alignment horizontal="right"/>
    </xf>
    <xf numFmtId="44" fontId="168" fillId="0" borderId="0" xfId="78" applyNumberFormat="1" applyFont="1" applyFill="1" applyBorder="1" applyAlignment="1">
      <alignment horizontal="right"/>
    </xf>
    <xf numFmtId="44" fontId="168" fillId="0" borderId="21" xfId="78" applyNumberFormat="1" applyFont="1" applyFill="1" applyBorder="1" applyAlignment="1">
      <alignment horizontal="right"/>
    </xf>
    <xf numFmtId="44" fontId="169" fillId="0" borderId="0" xfId="78" applyNumberFormat="1" applyFont="1" applyFill="1" applyBorder="1" applyAlignment="1">
      <alignment horizontal="right"/>
    </xf>
    <xf numFmtId="44" fontId="169" fillId="0" borderId="21" xfId="78" applyNumberFormat="1" applyFont="1" applyFill="1" applyBorder="1" applyAlignment="1">
      <alignment horizontal="right"/>
    </xf>
    <xf numFmtId="9" fontId="13" fillId="0" borderId="0" xfId="2" applyNumberFormat="1" applyFont="1" applyFill="1" applyBorder="1" applyAlignment="1">
      <alignment horizontal="right"/>
    </xf>
    <xf numFmtId="168" fontId="170" fillId="0" borderId="0" xfId="136" applyNumberFormat="1" applyFont="1" applyFill="1" applyBorder="1" applyAlignment="1">
      <alignment horizontal="right"/>
    </xf>
    <xf numFmtId="168" fontId="170" fillId="0" borderId="21" xfId="136" applyNumberFormat="1" applyFont="1" applyFill="1" applyBorder="1" applyAlignment="1">
      <alignment horizontal="right"/>
    </xf>
    <xf numFmtId="37" fontId="169" fillId="0" borderId="0" xfId="2" applyNumberFormat="1" applyFont="1" applyFill="1" applyBorder="1" applyAlignment="1">
      <alignment horizontal="right"/>
    </xf>
    <xf numFmtId="37" fontId="169" fillId="0" borderId="21" xfId="2" applyNumberFormat="1" applyFont="1" applyFill="1" applyBorder="1" applyAlignment="1">
      <alignment horizontal="right"/>
    </xf>
    <xf numFmtId="187" fontId="169" fillId="0" borderId="0" xfId="78" applyNumberFormat="1" applyFont="1" applyFill="1" applyBorder="1" applyAlignment="1">
      <alignment horizontal="right"/>
    </xf>
    <xf numFmtId="187" fontId="169" fillId="0" borderId="21" xfId="78" applyNumberFormat="1" applyFont="1" applyFill="1" applyBorder="1" applyAlignment="1">
      <alignment horizontal="right"/>
    </xf>
    <xf numFmtId="9" fontId="170" fillId="0" borderId="0" xfId="136" applyNumberFormat="1" applyFont="1" applyFill="1" applyBorder="1" applyAlignment="1">
      <alignment horizontal="right"/>
    </xf>
    <xf numFmtId="183" fontId="174" fillId="0" borderId="0" xfId="67" applyNumberFormat="1" applyFont="1" applyFill="1" applyBorder="1" applyAlignment="1">
      <alignment horizontal="right"/>
    </xf>
    <xf numFmtId="183" fontId="174" fillId="0" borderId="21" xfId="67" applyNumberFormat="1" applyFont="1" applyFill="1" applyBorder="1" applyAlignment="1">
      <alignment horizontal="right"/>
    </xf>
    <xf numFmtId="179" fontId="171" fillId="0" borderId="0" xfId="2" applyNumberFormat="1" applyFont="1" applyFill="1" applyBorder="1" applyAlignment="1">
      <alignment horizontal="right"/>
    </xf>
    <xf numFmtId="179" fontId="171" fillId="0" borderId="21" xfId="2" applyNumberFormat="1" applyFont="1" applyFill="1" applyBorder="1" applyAlignment="1">
      <alignment horizontal="right"/>
    </xf>
    <xf numFmtId="223" fontId="15" fillId="0" borderId="0" xfId="136" applyNumberFormat="1" applyFont="1" applyFill="1" applyBorder="1" applyAlignment="1">
      <alignment horizontal="right"/>
    </xf>
    <xf numFmtId="223" fontId="15" fillId="0" borderId="0" xfId="2" applyNumberFormat="1" applyFont="1" applyFill="1" applyBorder="1" applyAlignment="1">
      <alignment horizontal="right"/>
    </xf>
    <xf numFmtId="223" fontId="15" fillId="0" borderId="21" xfId="2" applyNumberFormat="1" applyFont="1" applyFill="1" applyBorder="1" applyAlignment="1">
      <alignment horizontal="right"/>
    </xf>
    <xf numFmtId="223" fontId="15" fillId="0" borderId="1" xfId="2" applyNumberFormat="1" applyFont="1" applyFill="1" applyBorder="1" applyAlignment="1">
      <alignment horizontal="right"/>
    </xf>
    <xf numFmtId="183" fontId="175" fillId="31" borderId="1" xfId="67" applyNumberFormat="1" applyFont="1" applyFill="1" applyBorder="1" applyAlignment="1">
      <alignment horizontal="right"/>
    </xf>
    <xf numFmtId="183" fontId="175" fillId="31" borderId="0" xfId="67" applyNumberFormat="1" applyFont="1" applyFill="1" applyBorder="1" applyAlignment="1">
      <alignment horizontal="right"/>
    </xf>
    <xf numFmtId="168" fontId="172" fillId="0" borderId="1" xfId="2" applyNumberFormat="1" applyFont="1" applyFill="1" applyBorder="1" applyAlignment="1">
      <alignment horizontal="right"/>
    </xf>
    <xf numFmtId="168" fontId="172" fillId="0" borderId="0" xfId="2" applyNumberFormat="1" applyFont="1" applyFill="1" applyBorder="1" applyAlignment="1">
      <alignment horizontal="right"/>
    </xf>
    <xf numFmtId="223" fontId="15" fillId="0" borderId="21" xfId="136" applyNumberFormat="1" applyFont="1" applyFill="1" applyBorder="1" applyAlignment="1">
      <alignment horizontal="right"/>
    </xf>
    <xf numFmtId="168" fontId="172" fillId="0" borderId="21" xfId="2" applyNumberFormat="1" applyFont="1" applyFill="1" applyBorder="1" applyAlignment="1">
      <alignment horizontal="right"/>
    </xf>
    <xf numFmtId="223" fontId="170" fillId="0" borderId="0" xfId="2" applyNumberFormat="1" applyFont="1" applyFill="1" applyBorder="1" applyAlignment="1">
      <alignment horizontal="right"/>
    </xf>
    <xf numFmtId="223" fontId="170" fillId="0" borderId="21" xfId="136" applyNumberFormat="1" applyFont="1" applyFill="1" applyBorder="1" applyAlignment="1">
      <alignment horizontal="right"/>
    </xf>
    <xf numFmtId="223" fontId="170" fillId="0" borderId="0" xfId="136" applyNumberFormat="1" applyFont="1" applyFill="1" applyBorder="1" applyAlignment="1">
      <alignment horizontal="right"/>
    </xf>
    <xf numFmtId="223" fontId="170" fillId="0" borderId="1" xfId="2" applyNumberFormat="1" applyFont="1" applyFill="1" applyBorder="1" applyAlignment="1">
      <alignment horizontal="right"/>
    </xf>
    <xf numFmtId="223" fontId="170" fillId="0" borderId="21" xfId="2" applyNumberFormat="1" applyFont="1" applyFill="1" applyBorder="1" applyAlignment="1">
      <alignment horizontal="right"/>
    </xf>
    <xf numFmtId="168" fontId="172" fillId="0" borderId="1" xfId="136" applyNumberFormat="1" applyFont="1" applyFill="1" applyBorder="1" applyAlignment="1">
      <alignment horizontal="right"/>
    </xf>
    <xf numFmtId="44" fontId="169" fillId="0" borderId="21" xfId="78" applyFont="1" applyBorder="1" applyAlignment="1">
      <alignment horizontal="right"/>
    </xf>
    <xf numFmtId="44" fontId="169" fillId="0" borderId="0" xfId="78" applyFont="1" applyBorder="1" applyAlignment="1">
      <alignment horizontal="right"/>
    </xf>
    <xf numFmtId="179" fontId="171" fillId="0" borderId="1" xfId="2" applyNumberFormat="1" applyFont="1" applyFill="1" applyBorder="1" applyAlignment="1">
      <alignment horizontal="right"/>
    </xf>
    <xf numFmtId="9" fontId="32" fillId="31" borderId="1" xfId="2" applyNumberFormat="1" applyFont="1" applyFill="1" applyBorder="1" applyAlignment="1"/>
    <xf numFmtId="9" fontId="32" fillId="31" borderId="0" xfId="2" applyNumberFormat="1" applyFont="1" applyFill="1" applyBorder="1" applyAlignment="1"/>
    <xf numFmtId="177" fontId="171" fillId="31" borderId="1" xfId="67" applyNumberFormat="1" applyFont="1" applyFill="1" applyBorder="1" applyAlignment="1">
      <alignment horizontal="right"/>
    </xf>
    <xf numFmtId="177" fontId="171" fillId="31" borderId="0" xfId="67" applyNumberFormat="1" applyFont="1" applyFill="1" applyBorder="1" applyAlignment="1">
      <alignment horizontal="right"/>
    </xf>
    <xf numFmtId="177" fontId="171" fillId="31" borderId="1" xfId="67" applyNumberFormat="1" applyFont="1" applyFill="1" applyBorder="1" applyAlignment="1"/>
    <xf numFmtId="177" fontId="171" fillId="31" borderId="0" xfId="67" applyNumberFormat="1" applyFont="1" applyFill="1" applyBorder="1" applyAlignment="1"/>
    <xf numFmtId="223" fontId="15" fillId="0" borderId="0" xfId="67" applyNumberFormat="1" applyFont="1" applyFill="1" applyBorder="1" applyAlignment="1"/>
    <xf numFmtId="223" fontId="170" fillId="0" borderId="0" xfId="67" applyNumberFormat="1" applyFont="1" applyFill="1" applyBorder="1" applyAlignment="1">
      <alignment horizontal="right"/>
    </xf>
    <xf numFmtId="223" fontId="170" fillId="0" borderId="21" xfId="67" applyNumberFormat="1" applyFont="1" applyFill="1" applyBorder="1" applyAlignment="1">
      <alignment horizontal="right"/>
    </xf>
    <xf numFmtId="223" fontId="170" fillId="31" borderId="1" xfId="67" applyNumberFormat="1" applyFont="1" applyFill="1" applyBorder="1" applyAlignment="1">
      <alignment horizontal="right"/>
    </xf>
    <xf numFmtId="223" fontId="170" fillId="31" borderId="0" xfId="67" applyNumberFormat="1" applyFont="1" applyFill="1" applyBorder="1" applyAlignment="1">
      <alignment horizontal="right"/>
    </xf>
    <xf numFmtId="223" fontId="170" fillId="31" borderId="1" xfId="67" applyNumberFormat="1" applyFont="1" applyFill="1" applyBorder="1" applyAlignment="1"/>
    <xf numFmtId="223" fontId="170" fillId="31" borderId="0" xfId="67" applyNumberFormat="1" applyFont="1" applyFill="1" applyBorder="1" applyAlignment="1"/>
    <xf numFmtId="223" fontId="170" fillId="0" borderId="0" xfId="67" applyNumberFormat="1" applyFont="1" applyFill="1" applyBorder="1" applyAlignment="1"/>
    <xf numFmtId="223" fontId="170" fillId="0" borderId="1" xfId="67" applyNumberFormat="1" applyFont="1" applyFill="1" applyBorder="1" applyAlignment="1"/>
    <xf numFmtId="223" fontId="170" fillId="0" borderId="21" xfId="67" applyNumberFormat="1" applyFont="1" applyFill="1" applyBorder="1" applyAlignment="1"/>
    <xf numFmtId="177" fontId="168" fillId="0" borderId="0" xfId="67" applyNumberFormat="1" applyFont="1" applyBorder="1"/>
    <xf numFmtId="177" fontId="168" fillId="0" borderId="21" xfId="67" applyNumberFormat="1" applyFont="1" applyBorder="1"/>
    <xf numFmtId="177" fontId="168" fillId="0" borderId="1" xfId="67" applyNumberFormat="1" applyFont="1" applyBorder="1"/>
    <xf numFmtId="177" fontId="169" fillId="0" borderId="1" xfId="67" applyNumberFormat="1" applyFont="1" applyBorder="1"/>
    <xf numFmtId="223" fontId="15" fillId="0" borderId="0" xfId="136" applyNumberFormat="1" applyFont="1" applyBorder="1"/>
    <xf numFmtId="223" fontId="15" fillId="0" borderId="1" xfId="2" applyNumberFormat="1" applyFont="1" applyBorder="1"/>
    <xf numFmtId="223" fontId="15" fillId="0" borderId="0" xfId="2" applyNumberFormat="1" applyFont="1" applyBorder="1"/>
    <xf numFmtId="187" fontId="168" fillId="0" borderId="0" xfId="78" applyNumberFormat="1" applyFont="1" applyBorder="1"/>
    <xf numFmtId="187" fontId="169" fillId="0" borderId="0" xfId="78" applyNumberFormat="1" applyFont="1" applyBorder="1"/>
    <xf numFmtId="223" fontId="172" fillId="0" borderId="21" xfId="136" applyNumberFormat="1" applyFont="1" applyBorder="1"/>
    <xf numFmtId="223" fontId="172" fillId="0" borderId="1" xfId="136" applyNumberFormat="1" applyFont="1" applyBorder="1"/>
    <xf numFmtId="223" fontId="172" fillId="0" borderId="0" xfId="136" applyNumberFormat="1" applyFont="1" applyBorder="1"/>
    <xf numFmtId="223" fontId="15" fillId="0" borderId="21" xfId="2" applyNumberFormat="1" applyFont="1" applyBorder="1"/>
    <xf numFmtId="177" fontId="169" fillId="0" borderId="0" xfId="67" applyNumberFormat="1" applyFont="1" applyFill="1" applyBorder="1"/>
    <xf numFmtId="177" fontId="169" fillId="0" borderId="21" xfId="67" applyNumberFormat="1" applyFont="1" applyFill="1" applyBorder="1"/>
    <xf numFmtId="223" fontId="15" fillId="0" borderId="21" xfId="136" applyNumberFormat="1" applyFont="1" applyBorder="1"/>
    <xf numFmtId="223" fontId="15" fillId="0" borderId="1" xfId="136" applyNumberFormat="1" applyFont="1" applyBorder="1"/>
    <xf numFmtId="9" fontId="169" fillId="0" borderId="0" xfId="2" applyNumberFormat="1" applyFont="1" applyFill="1" applyBorder="1" applyAlignment="1"/>
    <xf numFmtId="9" fontId="169" fillId="0" borderId="21" xfId="2" applyNumberFormat="1" applyFont="1" applyFill="1" applyBorder="1" applyAlignment="1"/>
    <xf numFmtId="9" fontId="169" fillId="0" borderId="1" xfId="2" applyNumberFormat="1" applyFont="1" applyFill="1" applyBorder="1" applyAlignment="1"/>
    <xf numFmtId="0" fontId="14" fillId="0" borderId="0" xfId="2" applyFont="1" applyAlignment="1"/>
    <xf numFmtId="179" fontId="23" fillId="0" borderId="0" xfId="2" applyNumberFormat="1" applyFont="1" applyFill="1" applyBorder="1" applyAlignment="1"/>
    <xf numFmtId="179" fontId="23" fillId="0" borderId="21" xfId="2" applyNumberFormat="1" applyFont="1" applyFill="1" applyBorder="1" applyAlignment="1"/>
    <xf numFmtId="179" fontId="14" fillId="0" borderId="0" xfId="2" applyNumberFormat="1" applyFont="1" applyFill="1" applyBorder="1" applyAlignment="1"/>
    <xf numFmtId="168" fontId="14" fillId="0" borderId="0" xfId="136" applyNumberFormat="1" applyFont="1" applyFill="1" applyBorder="1" applyAlignment="1"/>
    <xf numFmtId="168" fontId="14" fillId="0" borderId="21" xfId="136" applyNumberFormat="1" applyFont="1" applyFill="1" applyBorder="1" applyAlignment="1"/>
    <xf numFmtId="9" fontId="14" fillId="0" borderId="1" xfId="2" applyNumberFormat="1" applyFont="1" applyFill="1" applyBorder="1" applyAlignment="1"/>
    <xf numFmtId="9" fontId="14" fillId="0" borderId="0" xfId="2" applyNumberFormat="1" applyFont="1" applyFill="1" applyBorder="1" applyAlignment="1"/>
    <xf numFmtId="177" fontId="14" fillId="0" borderId="0" xfId="2" applyNumberFormat="1" applyFont="1" applyFill="1" applyBorder="1" applyAlignment="1"/>
    <xf numFmtId="0" fontId="14" fillId="0" borderId="26" xfId="2" applyFont="1" applyBorder="1" applyAlignment="1"/>
    <xf numFmtId="179" fontId="14" fillId="0" borderId="0" xfId="2" applyNumberFormat="1" applyFont="1" applyBorder="1" applyAlignment="1"/>
    <xf numFmtId="168" fontId="14" fillId="0" borderId="0" xfId="136" applyNumberFormat="1" applyFont="1" applyBorder="1" applyAlignment="1"/>
    <xf numFmtId="0" fontId="14" fillId="0" borderId="0" xfId="2" applyFont="1" applyBorder="1" applyAlignment="1"/>
    <xf numFmtId="224" fontId="14" fillId="0" borderId="0" xfId="2" applyNumberFormat="1" applyFont="1" applyFill="1" applyBorder="1" applyAlignment="1"/>
    <xf numFmtId="177" fontId="14" fillId="0" borderId="1" xfId="2" applyNumberFormat="1" applyFont="1" applyFill="1" applyBorder="1" applyAlignment="1"/>
    <xf numFmtId="224" fontId="14" fillId="0" borderId="1" xfId="2" applyNumberFormat="1" applyFont="1" applyFill="1" applyBorder="1" applyAlignment="1"/>
    <xf numFmtId="177" fontId="14" fillId="0" borderId="21" xfId="2" applyNumberFormat="1" applyFont="1" applyFill="1" applyBorder="1" applyAlignment="1"/>
    <xf numFmtId="224" fontId="14" fillId="0" borderId="21" xfId="2" applyNumberFormat="1" applyFont="1" applyFill="1" applyBorder="1" applyAlignment="1"/>
    <xf numFmtId="44" fontId="169" fillId="0" borderId="1" xfId="78" applyNumberFormat="1" applyFont="1" applyBorder="1"/>
    <xf numFmtId="44" fontId="169" fillId="0" borderId="0" xfId="78" applyNumberFormat="1" applyFont="1" applyBorder="1"/>
    <xf numFmtId="44" fontId="169" fillId="0" borderId="21" xfId="78" applyNumberFormat="1" applyFont="1" applyBorder="1"/>
    <xf numFmtId="177" fontId="168" fillId="0" borderId="22" xfId="67" applyNumberFormat="1" applyFont="1" applyBorder="1"/>
    <xf numFmtId="177" fontId="168" fillId="0" borderId="2" xfId="67" applyNumberFormat="1" applyFont="1" applyBorder="1"/>
    <xf numFmtId="177" fontId="168" fillId="0" borderId="23" xfId="67" applyNumberFormat="1" applyFont="1" applyBorder="1"/>
    <xf numFmtId="9" fontId="169" fillId="0" borderId="1" xfId="2" applyNumberFormat="1" applyFont="1" applyBorder="1"/>
    <xf numFmtId="9" fontId="169" fillId="0" borderId="0" xfId="2" applyNumberFormat="1" applyFont="1" applyBorder="1"/>
    <xf numFmtId="9" fontId="169" fillId="0" borderId="21" xfId="2" applyNumberFormat="1" applyFont="1" applyBorder="1"/>
    <xf numFmtId="0" fontId="13" fillId="0" borderId="0" xfId="2" applyFont="1" applyBorder="1" applyAlignment="1">
      <alignment horizontal="right"/>
    </xf>
    <xf numFmtId="0" fontId="13" fillId="0" borderId="1" xfId="2" applyFont="1" applyBorder="1" applyAlignment="1">
      <alignment horizontal="right"/>
    </xf>
    <xf numFmtId="168" fontId="13" fillId="0" borderId="0" xfId="2" applyNumberFormat="1" applyFont="1" applyBorder="1" applyAlignment="1">
      <alignment horizontal="right"/>
    </xf>
    <xf numFmtId="9" fontId="13" fillId="0" borderId="0" xfId="2" applyNumberFormat="1" applyFont="1" applyBorder="1" applyAlignment="1">
      <alignment horizontal="right"/>
    </xf>
    <xf numFmtId="168" fontId="13" fillId="0" borderId="21" xfId="2" applyNumberFormat="1" applyFont="1" applyBorder="1" applyAlignment="1">
      <alignment horizontal="right"/>
    </xf>
    <xf numFmtId="168" fontId="13" fillId="0" borderId="0" xfId="2" applyNumberFormat="1" applyFont="1" applyBorder="1" applyAlignment="1">
      <alignment horizontal="center"/>
    </xf>
    <xf numFmtId="9" fontId="13" fillId="0" borderId="0" xfId="2" applyNumberFormat="1" applyFont="1" applyBorder="1" applyAlignment="1">
      <alignment horizontal="center"/>
    </xf>
    <xf numFmtId="168" fontId="13" fillId="0" borderId="21" xfId="2" applyNumberFormat="1" applyFont="1" applyBorder="1" applyAlignment="1">
      <alignment horizontal="center"/>
    </xf>
    <xf numFmtId="168" fontId="13" fillId="0" borderId="1" xfId="2" applyNumberFormat="1" applyFont="1" applyBorder="1" applyAlignment="1">
      <alignment horizontal="center"/>
    </xf>
    <xf numFmtId="183" fontId="13" fillId="0" borderId="0" xfId="67" applyNumberFormat="1" applyFont="1" applyBorder="1" applyAlignment="1">
      <alignment horizontal="center"/>
    </xf>
    <xf numFmtId="183" fontId="13" fillId="0" borderId="1" xfId="67" applyNumberFormat="1" applyFont="1" applyBorder="1" applyAlignment="1">
      <alignment horizontal="center"/>
    </xf>
    <xf numFmtId="0" fontId="48" fillId="0" borderId="0" xfId="2" applyFont="1" applyBorder="1" applyAlignment="1">
      <alignment horizontal="right"/>
    </xf>
    <xf numFmtId="0" fontId="48" fillId="0" borderId="1" xfId="2" applyFont="1" applyBorder="1" applyAlignment="1">
      <alignment horizontal="right"/>
    </xf>
    <xf numFmtId="168" fontId="48" fillId="0" borderId="0" xfId="2" applyNumberFormat="1" applyFont="1" applyBorder="1" applyAlignment="1">
      <alignment horizontal="right"/>
    </xf>
    <xf numFmtId="168" fontId="48" fillId="0" borderId="21" xfId="2" applyNumberFormat="1" applyFont="1" applyBorder="1" applyAlignment="1">
      <alignment horizontal="right"/>
    </xf>
    <xf numFmtId="168" fontId="48" fillId="0" borderId="0" xfId="2" applyNumberFormat="1" applyFont="1" applyBorder="1" applyAlignment="1">
      <alignment horizontal="center"/>
    </xf>
    <xf numFmtId="168" fontId="48" fillId="0" borderId="21" xfId="2" applyNumberFormat="1" applyFont="1" applyBorder="1" applyAlignment="1">
      <alignment horizontal="center"/>
    </xf>
    <xf numFmtId="183" fontId="175" fillId="0" borderId="0" xfId="67" applyNumberFormat="1" applyFont="1" applyBorder="1" applyAlignment="1">
      <alignment horizontal="center"/>
    </xf>
    <xf numFmtId="183" fontId="175" fillId="0" borderId="1" xfId="67" applyNumberFormat="1" applyFont="1" applyBorder="1" applyAlignment="1">
      <alignment horizontal="center"/>
    </xf>
    <xf numFmtId="183" fontId="13" fillId="0" borderId="21" xfId="67" applyNumberFormat="1" applyFont="1" applyBorder="1" applyAlignment="1">
      <alignment horizontal="center"/>
    </xf>
    <xf numFmtId="168" fontId="13" fillId="0" borderId="1" xfId="2" applyNumberFormat="1" applyFont="1" applyBorder="1" applyAlignment="1">
      <alignment horizontal="right"/>
    </xf>
    <xf numFmtId="183" fontId="48" fillId="0" borderId="0" xfId="67" applyNumberFormat="1" applyFont="1" applyBorder="1" applyAlignment="1">
      <alignment horizontal="center"/>
    </xf>
    <xf numFmtId="183" fontId="48" fillId="0" borderId="1" xfId="67" applyNumberFormat="1" applyFont="1" applyBorder="1" applyAlignment="1">
      <alignment horizontal="center"/>
    </xf>
    <xf numFmtId="10" fontId="13" fillId="0" borderId="0" xfId="2" applyNumberFormat="1" applyFont="1" applyBorder="1" applyAlignment="1">
      <alignment horizontal="right"/>
    </xf>
    <xf numFmtId="10" fontId="13" fillId="0" borderId="0" xfId="2" applyNumberFormat="1" applyFont="1" applyBorder="1" applyAlignment="1">
      <alignment horizontal="center"/>
    </xf>
    <xf numFmtId="0" fontId="13" fillId="0" borderId="21" xfId="2" applyFont="1" applyBorder="1" applyAlignment="1">
      <alignment horizontal="right"/>
    </xf>
    <xf numFmtId="0" fontId="13" fillId="0" borderId="0" xfId="2" applyFont="1" applyBorder="1" applyAlignment="1">
      <alignment horizontal="center"/>
    </xf>
    <xf numFmtId="0" fontId="13" fillId="0" borderId="1" xfId="2" applyFont="1" applyBorder="1" applyAlignment="1">
      <alignment horizontal="center"/>
    </xf>
    <xf numFmtId="183" fontId="13" fillId="0" borderId="0" xfId="2" applyNumberFormat="1" applyFont="1" applyBorder="1" applyAlignment="1">
      <alignment horizontal="center"/>
    </xf>
    <xf numFmtId="183" fontId="13" fillId="0" borderId="21" xfId="2" applyNumberFormat="1" applyFont="1" applyBorder="1" applyAlignment="1">
      <alignment horizontal="center"/>
    </xf>
    <xf numFmtId="8" fontId="13" fillId="0" borderId="0" xfId="2" applyNumberFormat="1" applyFont="1" applyBorder="1" applyAlignment="1">
      <alignment horizontal="right"/>
    </xf>
    <xf numFmtId="8" fontId="13" fillId="0" borderId="0" xfId="2" applyNumberFormat="1" applyFont="1" applyBorder="1"/>
    <xf numFmtId="0" fontId="13" fillId="0" borderId="22" xfId="2" applyNumberFormat="1" applyFont="1" applyBorder="1"/>
    <xf numFmtId="0" fontId="13" fillId="0" borderId="2" xfId="2" applyFont="1" applyBorder="1" applyAlignment="1">
      <alignment horizontal="right"/>
    </xf>
    <xf numFmtId="0" fontId="13" fillId="0" borderId="22" xfId="2" applyFont="1" applyBorder="1" applyAlignment="1">
      <alignment horizontal="right"/>
    </xf>
    <xf numFmtId="4" fontId="13" fillId="0" borderId="2" xfId="2" applyNumberFormat="1" applyFont="1" applyBorder="1" applyAlignment="1">
      <alignment horizontal="right"/>
    </xf>
    <xf numFmtId="0" fontId="13" fillId="0" borderId="23" xfId="2" applyFont="1" applyBorder="1" applyAlignment="1">
      <alignment horizontal="right"/>
    </xf>
    <xf numFmtId="4" fontId="13" fillId="0" borderId="2" xfId="2" applyNumberFormat="1" applyFont="1" applyBorder="1"/>
    <xf numFmtId="0" fontId="13" fillId="0" borderId="2" xfId="2" applyFont="1" applyBorder="1" applyAlignment="1">
      <alignment horizontal="center"/>
    </xf>
    <xf numFmtId="0" fontId="13" fillId="0" borderId="22" xfId="2" applyFont="1" applyBorder="1" applyAlignment="1">
      <alignment horizontal="center"/>
    </xf>
    <xf numFmtId="0" fontId="13" fillId="0" borderId="23" xfId="2" applyFont="1" applyBorder="1" applyAlignment="1">
      <alignment horizontal="center"/>
    </xf>
    <xf numFmtId="183" fontId="13" fillId="0" borderId="2" xfId="67" applyNumberFormat="1" applyFont="1" applyBorder="1"/>
    <xf numFmtId="168" fontId="13" fillId="0" borderId="0" xfId="2" applyNumberFormat="1" applyFont="1" applyBorder="1" applyAlignment="1"/>
    <xf numFmtId="168" fontId="13" fillId="0" borderId="1" xfId="2" applyNumberFormat="1" applyFont="1" applyBorder="1" applyAlignment="1"/>
    <xf numFmtId="168" fontId="13" fillId="0" borderId="21" xfId="2" applyNumberFormat="1" applyFont="1" applyBorder="1" applyAlignment="1"/>
    <xf numFmtId="168" fontId="169" fillId="0" borderId="21" xfId="2" applyNumberFormat="1" applyFont="1" applyBorder="1" applyAlignment="1">
      <alignment horizontal="right"/>
    </xf>
    <xf numFmtId="168" fontId="169" fillId="0" borderId="0" xfId="2" applyNumberFormat="1" applyFont="1" applyBorder="1" applyAlignment="1">
      <alignment horizontal="right"/>
    </xf>
    <xf numFmtId="183" fontId="168" fillId="0" borderId="1" xfId="67" applyNumberFormat="1" applyFont="1" applyBorder="1"/>
    <xf numFmtId="183" fontId="168" fillId="0" borderId="22" xfId="67" applyNumberFormat="1" applyFont="1" applyBorder="1"/>
    <xf numFmtId="183" fontId="168" fillId="0" borderId="2" xfId="67" applyNumberFormat="1" applyFont="1" applyBorder="1"/>
    <xf numFmtId="183" fontId="168" fillId="0" borderId="23" xfId="67" applyNumberFormat="1" applyFont="1" applyBorder="1"/>
    <xf numFmtId="168" fontId="13" fillId="0" borderId="7" xfId="2" applyNumberFormat="1" applyFont="1" applyBorder="1" applyAlignment="1">
      <alignment horizontal="center"/>
    </xf>
    <xf numFmtId="168" fontId="13" fillId="0" borderId="17" xfId="2" applyNumberFormat="1" applyFont="1" applyBorder="1" applyAlignment="1">
      <alignment horizontal="center"/>
    </xf>
    <xf numFmtId="168" fontId="13" fillId="0" borderId="20" xfId="2" applyNumberFormat="1" applyFont="1" applyBorder="1" applyAlignment="1">
      <alignment horizontal="center"/>
    </xf>
    <xf numFmtId="183" fontId="48" fillId="0" borderId="21" xfId="67" applyNumberFormat="1" applyFont="1" applyBorder="1" applyAlignment="1">
      <alignment horizontal="center"/>
    </xf>
    <xf numFmtId="168" fontId="169" fillId="0" borderId="1" xfId="2" applyNumberFormat="1" applyFont="1" applyBorder="1" applyAlignment="1">
      <alignment horizontal="right"/>
    </xf>
    <xf numFmtId="164" fontId="41" fillId="27" borderId="0" xfId="2" applyNumberFormat="1" applyFont="1" applyFill="1" applyBorder="1" applyAlignment="1">
      <alignment horizontal="right"/>
    </xf>
    <xf numFmtId="168" fontId="170" fillId="0" borderId="0" xfId="136" applyNumberFormat="1" applyFont="1" applyBorder="1"/>
    <xf numFmtId="9" fontId="170" fillId="0" borderId="0" xfId="136" applyFont="1" applyBorder="1"/>
    <xf numFmtId="0" fontId="13" fillId="31" borderId="0" xfId="2" applyFont="1" applyFill="1"/>
    <xf numFmtId="168" fontId="13" fillId="31" borderId="0" xfId="2" applyNumberFormat="1" applyFont="1" applyFill="1"/>
    <xf numFmtId="0" fontId="32" fillId="31" borderId="0" xfId="2" applyFont="1" applyFill="1"/>
    <xf numFmtId="0" fontId="32" fillId="31" borderId="0" xfId="2" applyFont="1" applyFill="1" applyAlignment="1"/>
    <xf numFmtId="177" fontId="27" fillId="31" borderId="0" xfId="67" applyNumberFormat="1" applyFont="1" applyFill="1" applyAlignment="1"/>
    <xf numFmtId="223" fontId="15" fillId="0" borderId="0" xfId="67" applyNumberFormat="1" applyFont="1" applyBorder="1" applyAlignment="1"/>
    <xf numFmtId="177" fontId="13" fillId="0" borderId="0" xfId="67" applyNumberFormat="1" applyFont="1" applyBorder="1" applyAlignment="1"/>
    <xf numFmtId="183" fontId="13" fillId="0" borderId="0" xfId="67" applyNumberFormat="1" applyFont="1" applyBorder="1" applyAlignment="1"/>
    <xf numFmtId="0" fontId="27" fillId="31" borderId="1" xfId="2" applyNumberFormat="1" applyFont="1" applyFill="1" applyBorder="1" applyAlignment="1"/>
    <xf numFmtId="0" fontId="32" fillId="31" borderId="1" xfId="67" applyNumberFormat="1" applyFont="1" applyFill="1" applyBorder="1" applyAlignment="1"/>
    <xf numFmtId="0" fontId="32" fillId="31" borderId="1" xfId="78" applyNumberFormat="1" applyFont="1" applyFill="1" applyBorder="1" applyAlignment="1"/>
    <xf numFmtId="0" fontId="15" fillId="31" borderId="1" xfId="2" applyNumberFormat="1" applyFont="1" applyFill="1" applyBorder="1" applyAlignment="1"/>
    <xf numFmtId="0" fontId="21" fillId="31" borderId="1" xfId="67" applyNumberFormat="1" applyFont="1" applyFill="1" applyBorder="1" applyAlignment="1"/>
    <xf numFmtId="0" fontId="21" fillId="31" borderId="1" xfId="78" applyNumberFormat="1" applyFont="1" applyFill="1" applyBorder="1" applyAlignment="1"/>
    <xf numFmtId="9" fontId="21" fillId="31" borderId="1" xfId="136" applyNumberFormat="1" applyFont="1" applyFill="1" applyBorder="1" applyAlignment="1"/>
    <xf numFmtId="0" fontId="15" fillId="31" borderId="1" xfId="2" applyNumberFormat="1" applyFont="1" applyFill="1" applyBorder="1" applyAlignment="1">
      <alignment horizontal="left" indent="1"/>
    </xf>
    <xf numFmtId="0" fontId="32" fillId="31" borderId="1" xfId="2" applyNumberFormat="1" applyFont="1" applyFill="1" applyBorder="1" applyAlignment="1"/>
    <xf numFmtId="0" fontId="48" fillId="31" borderId="1" xfId="2" applyNumberFormat="1" applyFont="1" applyFill="1" applyBorder="1" applyAlignment="1"/>
    <xf numFmtId="0" fontId="13" fillId="31" borderId="1" xfId="2" applyNumberFormat="1" applyFont="1" applyFill="1" applyBorder="1" applyAlignment="1"/>
    <xf numFmtId="0" fontId="14" fillId="31" borderId="1" xfId="2" applyNumberFormat="1" applyFont="1" applyFill="1" applyBorder="1" applyAlignment="1"/>
    <xf numFmtId="0" fontId="15" fillId="31" borderId="22" xfId="2" applyNumberFormat="1" applyFont="1" applyFill="1" applyBorder="1" applyAlignment="1">
      <alignment horizontal="left" indent="1"/>
    </xf>
    <xf numFmtId="0" fontId="21" fillId="31" borderId="1" xfId="2" applyNumberFormat="1" applyFont="1" applyFill="1" applyBorder="1" applyAlignment="1"/>
    <xf numFmtId="0" fontId="142" fillId="31" borderId="1" xfId="67" applyNumberFormat="1" applyFont="1" applyFill="1" applyBorder="1" applyAlignment="1"/>
    <xf numFmtId="0" fontId="148" fillId="31" borderId="1" xfId="2" applyNumberFormat="1" applyFont="1" applyFill="1" applyBorder="1" applyAlignment="1"/>
    <xf numFmtId="179" fontId="0" fillId="0" borderId="0" xfId="2" applyNumberFormat="1" applyFont="1" applyAlignment="1">
      <alignment horizontal="right"/>
    </xf>
    <xf numFmtId="164" fontId="30" fillId="0" borderId="0" xfId="2" applyNumberFormat="1" applyFont="1" applyAlignment="1">
      <alignment horizontal="right"/>
    </xf>
    <xf numFmtId="43" fontId="10" fillId="0" borderId="0" xfId="2" applyNumberFormat="1" applyFont="1" applyFill="1" applyAlignment="1">
      <alignment horizontal="right" vertical="center"/>
    </xf>
    <xf numFmtId="43" fontId="0" fillId="0" borderId="0" xfId="2" applyNumberFormat="1" applyFont="1" applyAlignment="1">
      <alignment horizontal="right"/>
    </xf>
    <xf numFmtId="183" fontId="124" fillId="0" borderId="1" xfId="67" applyNumberFormat="1" applyFont="1" applyFill="1" applyBorder="1" applyAlignment="1">
      <alignment horizontal="right"/>
    </xf>
    <xf numFmtId="183" fontId="32" fillId="0" borderId="0" xfId="67" applyNumberFormat="1" applyFont="1" applyFill="1" applyBorder="1" applyAlignment="1"/>
    <xf numFmtId="183" fontId="27" fillId="0" borderId="0" xfId="67" applyNumberFormat="1" applyFont="1" applyFill="1" applyBorder="1" applyAlignment="1"/>
    <xf numFmtId="0" fontId="32" fillId="0" borderId="1" xfId="2" applyFont="1" applyBorder="1" applyAlignment="1"/>
    <xf numFmtId="179" fontId="27" fillId="0" borderId="1" xfId="2" applyNumberFormat="1" applyFont="1" applyFill="1" applyBorder="1" applyAlignment="1"/>
    <xf numFmtId="43" fontId="32" fillId="0" borderId="0" xfId="2" applyNumberFormat="1" applyFont="1" applyAlignment="1"/>
    <xf numFmtId="224" fontId="27" fillId="0" borderId="0" xfId="2" applyNumberFormat="1" applyFont="1" applyFill="1" applyBorder="1" applyAlignment="1"/>
    <xf numFmtId="224" fontId="32" fillId="0" borderId="0" xfId="136" applyNumberFormat="1" applyFont="1" applyFill="1" applyBorder="1" applyAlignment="1"/>
    <xf numFmtId="224" fontId="27" fillId="0" borderId="1" xfId="2" applyNumberFormat="1" applyFont="1" applyFill="1" applyBorder="1" applyAlignment="1"/>
    <xf numFmtId="224" fontId="32" fillId="0" borderId="21" xfId="136" applyNumberFormat="1" applyFont="1" applyFill="1" applyBorder="1" applyAlignment="1"/>
    <xf numFmtId="177" fontId="171" fillId="0" borderId="0" xfId="67" applyNumberFormat="1" applyFont="1" applyFill="1" applyBorder="1" applyAlignment="1">
      <alignment horizontal="right"/>
    </xf>
    <xf numFmtId="177" fontId="171" fillId="0" borderId="21" xfId="67" applyNumberFormat="1" applyFont="1" applyFill="1" applyBorder="1" applyAlignment="1">
      <alignment horizontal="right"/>
    </xf>
    <xf numFmtId="172" fontId="43" fillId="0" borderId="21" xfId="67" applyNumberFormat="1" applyFont="1" applyFill="1" applyBorder="1" applyAlignment="1">
      <alignment horizontal="right"/>
    </xf>
    <xf numFmtId="172" fontId="43" fillId="0" borderId="0" xfId="67" applyNumberFormat="1" applyFont="1" applyFill="1" applyBorder="1" applyAlignment="1">
      <alignment horizontal="right"/>
    </xf>
    <xf numFmtId="225" fontId="143" fillId="0" borderId="21" xfId="67" applyNumberFormat="1" applyFont="1" applyFill="1" applyBorder="1" applyAlignment="1">
      <alignment horizontal="right"/>
    </xf>
    <xf numFmtId="225" fontId="143" fillId="0" borderId="0" xfId="67" applyNumberFormat="1" applyFont="1" applyFill="1" applyBorder="1" applyAlignment="1">
      <alignment horizontal="right"/>
    </xf>
    <xf numFmtId="172" fontId="143" fillId="0" borderId="0" xfId="67" applyNumberFormat="1" applyFont="1" applyFill="1" applyBorder="1" applyAlignment="1">
      <alignment horizontal="right"/>
    </xf>
    <xf numFmtId="172" fontId="143" fillId="0" borderId="21" xfId="67" applyNumberFormat="1" applyFont="1" applyFill="1" applyBorder="1" applyAlignment="1">
      <alignment horizontal="right"/>
    </xf>
    <xf numFmtId="225" fontId="143" fillId="0" borderId="1" xfId="67" applyNumberFormat="1" applyFont="1" applyFill="1" applyBorder="1" applyAlignment="1">
      <alignment horizontal="right"/>
    </xf>
    <xf numFmtId="179" fontId="168" fillId="0" borderId="0" xfId="2" applyNumberFormat="1" applyFont="1" applyFill="1" applyBorder="1"/>
    <xf numFmtId="179" fontId="168" fillId="0" borderId="1" xfId="2" applyNumberFormat="1" applyFont="1" applyFill="1" applyBorder="1"/>
    <xf numFmtId="179" fontId="168" fillId="0" borderId="21" xfId="2" applyNumberFormat="1" applyFont="1" applyFill="1" applyBorder="1"/>
    <xf numFmtId="179" fontId="168" fillId="0" borderId="37" xfId="2" applyNumberFormat="1" applyFont="1" applyFill="1" applyBorder="1"/>
    <xf numFmtId="172" fontId="21" fillId="0" borderId="1" xfId="67" applyNumberFormat="1" applyFont="1" applyFill="1" applyBorder="1" applyAlignment="1">
      <alignment horizontal="right"/>
    </xf>
    <xf numFmtId="172" fontId="21" fillId="0" borderId="0" xfId="67" applyNumberFormat="1" applyFont="1" applyFill="1" applyBorder="1" applyAlignment="1">
      <alignment horizontal="right"/>
    </xf>
    <xf numFmtId="172" fontId="21" fillId="0" borderId="21" xfId="67" applyNumberFormat="1" applyFont="1" applyFill="1" applyBorder="1" applyAlignment="1">
      <alignment horizontal="right"/>
    </xf>
    <xf numFmtId="43" fontId="19" fillId="0" borderId="0" xfId="67" applyFont="1" applyFill="1" applyBorder="1" applyAlignment="1">
      <alignment horizontal="right"/>
    </xf>
    <xf numFmtId="43" fontId="19" fillId="0" borderId="21" xfId="67" applyFont="1" applyFill="1" applyBorder="1" applyAlignment="1">
      <alignment horizontal="right"/>
    </xf>
    <xf numFmtId="37" fontId="27" fillId="0" borderId="0" xfId="2" applyNumberFormat="1" applyFont="1"/>
    <xf numFmtId="177" fontId="169" fillId="0" borderId="1" xfId="67" applyNumberFormat="1" applyFont="1" applyFill="1" applyBorder="1" applyAlignment="1">
      <alignment horizontal="right"/>
    </xf>
    <xf numFmtId="177" fontId="169" fillId="0" borderId="0" xfId="67" applyNumberFormat="1" applyFont="1" applyFill="1" applyBorder="1" applyAlignment="1">
      <alignment horizontal="right"/>
    </xf>
    <xf numFmtId="177" fontId="169" fillId="0" borderId="21" xfId="67" applyNumberFormat="1" applyFont="1" applyFill="1" applyBorder="1" applyAlignment="1">
      <alignment horizontal="right"/>
    </xf>
    <xf numFmtId="9" fontId="169" fillId="0" borderId="0" xfId="2" applyNumberFormat="1" applyFont="1" applyFill="1" applyBorder="1" applyAlignment="1">
      <alignment horizontal="right"/>
    </xf>
    <xf numFmtId="9" fontId="169" fillId="0" borderId="21" xfId="2" applyNumberFormat="1" applyFont="1" applyFill="1" applyBorder="1" applyAlignment="1">
      <alignment horizontal="right"/>
    </xf>
    <xf numFmtId="183" fontId="21" fillId="0" borderId="0" xfId="2" applyNumberFormat="1" applyFont="1"/>
    <xf numFmtId="179" fontId="168" fillId="0" borderId="0" xfId="2" applyNumberFormat="1" applyFont="1" applyBorder="1"/>
    <xf numFmtId="179" fontId="173" fillId="0" borderId="17" xfId="2" applyNumberFormat="1" applyFont="1" applyBorder="1"/>
    <xf numFmtId="177" fontId="168" fillId="0" borderId="1" xfId="67" applyNumberFormat="1" applyFont="1" applyFill="1" applyBorder="1" applyAlignment="1">
      <alignment horizontal="right"/>
    </xf>
    <xf numFmtId="177" fontId="168" fillId="0" borderId="0" xfId="67" applyNumberFormat="1" applyFont="1" applyFill="1" applyBorder="1" applyAlignment="1">
      <alignment horizontal="right"/>
    </xf>
    <xf numFmtId="177" fontId="168" fillId="0" borderId="21" xfId="67" applyNumberFormat="1" applyFont="1" applyFill="1" applyBorder="1" applyAlignment="1">
      <alignment horizontal="right"/>
    </xf>
    <xf numFmtId="181" fontId="18" fillId="0" borderId="0" xfId="2" applyNumberFormat="1" applyFont="1" applyFill="1" applyBorder="1"/>
    <xf numFmtId="43" fontId="13" fillId="0" borderId="0" xfId="67" applyFont="1" applyBorder="1"/>
    <xf numFmtId="43" fontId="13" fillId="0" borderId="21" xfId="67" applyFont="1" applyBorder="1"/>
    <xf numFmtId="43" fontId="13" fillId="0" borderId="0" xfId="67" applyFont="1" applyFill="1" applyBorder="1"/>
    <xf numFmtId="0" fontId="13" fillId="31" borderId="1" xfId="67" applyNumberFormat="1" applyFont="1" applyFill="1" applyBorder="1" applyAlignment="1"/>
    <xf numFmtId="164" fontId="13" fillId="0" borderId="0" xfId="2" applyNumberFormat="1" applyFont="1"/>
    <xf numFmtId="183" fontId="168" fillId="0" borderId="0" xfId="67" applyNumberFormat="1" applyFont="1" applyFill="1" applyBorder="1"/>
    <xf numFmtId="223" fontId="166" fillId="0" borderId="0" xfId="2" applyNumberFormat="1" applyFont="1" applyFill="1" applyBorder="1"/>
    <xf numFmtId="223" fontId="166" fillId="0" borderId="1" xfId="2" applyNumberFormat="1" applyFont="1" applyFill="1" applyBorder="1"/>
    <xf numFmtId="177" fontId="43" fillId="0" borderId="1" xfId="67" applyNumberFormat="1" applyFont="1" applyFill="1" applyBorder="1"/>
    <xf numFmtId="177" fontId="43" fillId="0" borderId="0" xfId="67" applyNumberFormat="1" applyFont="1" applyFill="1" applyBorder="1"/>
    <xf numFmtId="177" fontId="43" fillId="0" borderId="21" xfId="67" applyNumberFormat="1" applyFont="1" applyFill="1" applyBorder="1"/>
    <xf numFmtId="0" fontId="0" fillId="0" borderId="0" xfId="0" applyBorder="1"/>
    <xf numFmtId="183" fontId="13" fillId="31" borderId="0" xfId="67" applyNumberFormat="1" applyFont="1" applyFill="1" applyBorder="1"/>
    <xf numFmtId="183" fontId="48" fillId="31" borderId="0" xfId="67" applyNumberFormat="1" applyFont="1" applyFill="1" applyBorder="1"/>
    <xf numFmtId="183" fontId="13" fillId="31" borderId="2" xfId="67" applyNumberFormat="1" applyFont="1" applyFill="1" applyBorder="1"/>
    <xf numFmtId="200" fontId="13" fillId="26" borderId="25" xfId="2" applyNumberFormat="1" applyFont="1" applyFill="1" applyBorder="1"/>
    <xf numFmtId="3" fontId="13" fillId="0" borderId="1" xfId="2" applyNumberFormat="1" applyFont="1" applyBorder="1"/>
    <xf numFmtId="3" fontId="13" fillId="0" borderId="0" xfId="2" applyNumberFormat="1" applyFont="1" applyBorder="1"/>
    <xf numFmtId="3" fontId="13" fillId="0" borderId="0" xfId="2" applyNumberFormat="1" applyFont="1" applyBorder="1" applyAlignment="1">
      <alignment horizontal="right"/>
    </xf>
    <xf numFmtId="3" fontId="13" fillId="0" borderId="1" xfId="2" applyNumberFormat="1" applyFont="1" applyBorder="1" applyAlignment="1">
      <alignment horizontal="right"/>
    </xf>
    <xf numFmtId="3" fontId="13" fillId="0" borderId="21" xfId="2" applyNumberFormat="1" applyFont="1" applyBorder="1" applyAlignment="1">
      <alignment horizontal="right"/>
    </xf>
    <xf numFmtId="3" fontId="13" fillId="0" borderId="0" xfId="2" applyNumberFormat="1" applyFont="1" applyBorder="1" applyAlignment="1">
      <alignment horizontal="center"/>
    </xf>
    <xf numFmtId="3" fontId="13" fillId="0" borderId="21" xfId="2" applyNumberFormat="1" applyFont="1" applyBorder="1" applyAlignment="1">
      <alignment horizontal="center"/>
    </xf>
    <xf numFmtId="3" fontId="13" fillId="0" borderId="1" xfId="2" applyNumberFormat="1" applyFont="1" applyBorder="1" applyAlignment="1">
      <alignment horizontal="center"/>
    </xf>
    <xf numFmtId="3" fontId="13" fillId="0" borderId="0" xfId="2" applyNumberFormat="1" applyFont="1"/>
    <xf numFmtId="3" fontId="13" fillId="0" borderId="0" xfId="67" applyNumberFormat="1" applyFont="1" applyBorder="1"/>
    <xf numFmtId="9" fontId="13" fillId="0" borderId="0" xfId="2" applyNumberFormat="1" applyFont="1"/>
    <xf numFmtId="9" fontId="13" fillId="0" borderId="1" xfId="2" applyNumberFormat="1" applyFont="1" applyBorder="1"/>
    <xf numFmtId="9" fontId="13" fillId="0" borderId="0" xfId="2" applyNumberFormat="1" applyFont="1" applyBorder="1"/>
    <xf numFmtId="9" fontId="13" fillId="0" borderId="1" xfId="2" applyNumberFormat="1" applyFont="1" applyBorder="1" applyAlignment="1">
      <alignment horizontal="right"/>
    </xf>
    <xf numFmtId="9" fontId="13" fillId="0" borderId="21" xfId="2" applyNumberFormat="1" applyFont="1" applyBorder="1" applyAlignment="1">
      <alignment horizontal="right"/>
    </xf>
    <xf numFmtId="9" fontId="13" fillId="0" borderId="21" xfId="2" applyNumberFormat="1" applyFont="1" applyBorder="1" applyAlignment="1">
      <alignment horizontal="center"/>
    </xf>
    <xf numFmtId="9" fontId="13" fillId="0" borderId="1" xfId="2" applyNumberFormat="1" applyFont="1" applyBorder="1" applyAlignment="1">
      <alignment horizontal="center"/>
    </xf>
    <xf numFmtId="9" fontId="13" fillId="0" borderId="0" xfId="67" applyNumberFormat="1" applyFont="1" applyBorder="1"/>
    <xf numFmtId="3" fontId="13" fillId="0" borderId="0" xfId="67" applyNumberFormat="1" applyFont="1" applyBorder="1" applyAlignment="1">
      <alignment horizontal="right"/>
    </xf>
    <xf numFmtId="183" fontId="13" fillId="0" borderId="0" xfId="67" applyNumberFormat="1" applyFont="1" applyBorder="1" applyAlignment="1">
      <alignment horizontal="right"/>
    </xf>
    <xf numFmtId="9" fontId="13" fillId="0" borderId="0" xfId="67" applyNumberFormat="1" applyFont="1" applyBorder="1" applyAlignment="1">
      <alignment horizontal="right"/>
    </xf>
    <xf numFmtId="0" fontId="32" fillId="0" borderId="0" xfId="2" applyFont="1" applyFill="1" applyBorder="1" applyAlignment="1">
      <alignment horizontal="left" indent="1"/>
    </xf>
    <xf numFmtId="0" fontId="136" fillId="0" borderId="0" xfId="2" applyFont="1" applyBorder="1" applyAlignment="1">
      <alignment horizontal="left" indent="1"/>
    </xf>
    <xf numFmtId="168" fontId="15" fillId="0" borderId="0" xfId="2" applyNumberFormat="1" applyFont="1" applyBorder="1" applyAlignment="1">
      <alignment horizontal="left" indent="1"/>
    </xf>
    <xf numFmtId="0" fontId="32" fillId="0" borderId="2" xfId="2" applyFont="1" applyBorder="1" applyAlignment="1"/>
    <xf numFmtId="0" fontId="32" fillId="17" borderId="6" xfId="2" applyFont="1" applyFill="1" applyBorder="1" applyAlignment="1"/>
    <xf numFmtId="0" fontId="0" fillId="0" borderId="0" xfId="2" applyFont="1" applyFill="1" applyBorder="1" applyAlignment="1">
      <alignment horizontal="right"/>
    </xf>
    <xf numFmtId="3" fontId="13" fillId="0" borderId="0" xfId="2" applyNumberFormat="1" applyFont="1" applyFill="1" applyBorder="1" applyAlignment="1">
      <alignment horizontal="right"/>
    </xf>
    <xf numFmtId="0" fontId="48" fillId="0" borderId="0" xfId="2" applyFont="1" applyFill="1" applyBorder="1" applyAlignment="1">
      <alignment horizontal="right"/>
    </xf>
    <xf numFmtId="0" fontId="13" fillId="0" borderId="2" xfId="2" applyFont="1" applyFill="1" applyBorder="1" applyAlignment="1">
      <alignment horizontal="right"/>
    </xf>
    <xf numFmtId="223" fontId="44" fillId="0" borderId="0" xfId="67" applyNumberFormat="1" applyFont="1"/>
    <xf numFmtId="223" fontId="44" fillId="0" borderId="0" xfId="2" applyNumberFormat="1" applyFont="1" applyAlignment="1">
      <alignment horizontal="center"/>
    </xf>
    <xf numFmtId="223" fontId="8" fillId="0" borderId="0" xfId="2" applyNumberFormat="1" applyFont="1"/>
    <xf numFmtId="183" fontId="0" fillId="0" borderId="0" xfId="67" applyNumberFormat="1" applyFont="1" applyAlignment="1">
      <alignment horizontal="center"/>
    </xf>
    <xf numFmtId="43" fontId="23" fillId="0" borderId="0" xfId="67" applyFont="1" applyFill="1" applyBorder="1"/>
    <xf numFmtId="43" fontId="8" fillId="0" borderId="0" xfId="67" applyFont="1"/>
    <xf numFmtId="179" fontId="169" fillId="0" borderId="1" xfId="2" applyNumberFormat="1" applyFont="1" applyFill="1" applyBorder="1"/>
    <xf numFmtId="177" fontId="32" fillId="0" borderId="43" xfId="67" applyNumberFormat="1" applyFont="1" applyFill="1" applyBorder="1" applyAlignment="1"/>
    <xf numFmtId="169" fontId="13" fillId="0" borderId="0" xfId="2" applyNumberFormat="1" applyFont="1"/>
    <xf numFmtId="0" fontId="14" fillId="26" borderId="25" xfId="2" applyFont="1" applyFill="1" applyBorder="1" applyAlignment="1">
      <alignment horizontal="center"/>
    </xf>
    <xf numFmtId="180" fontId="168" fillId="0" borderId="0" xfId="2" applyNumberFormat="1" applyFont="1" applyFill="1" applyBorder="1"/>
    <xf numFmtId="41" fontId="168" fillId="0" borderId="1" xfId="2" applyNumberFormat="1" applyFont="1" applyFill="1" applyBorder="1"/>
    <xf numFmtId="41" fontId="168" fillId="0" borderId="0" xfId="2" applyNumberFormat="1" applyFont="1" applyFill="1" applyBorder="1"/>
    <xf numFmtId="180" fontId="173" fillId="0" borderId="29" xfId="2" applyNumberFormat="1" applyFont="1" applyFill="1" applyBorder="1"/>
    <xf numFmtId="180" fontId="173" fillId="0" borderId="0" xfId="2" applyNumberFormat="1" applyFont="1" applyFill="1" applyBorder="1"/>
    <xf numFmtId="180" fontId="173" fillId="0" borderId="2" xfId="2" applyNumberFormat="1" applyFont="1" applyFill="1" applyBorder="1"/>
    <xf numFmtId="164" fontId="173" fillId="0" borderId="17" xfId="2" applyNumberFormat="1" applyFont="1" applyFill="1" applyBorder="1"/>
    <xf numFmtId="164" fontId="168" fillId="0" borderId="0" xfId="67" applyNumberFormat="1" applyFont="1" applyFill="1" applyBorder="1"/>
    <xf numFmtId="164" fontId="173" fillId="0" borderId="6" xfId="2" applyNumberFormat="1" applyFont="1" applyFill="1" applyBorder="1"/>
    <xf numFmtId="164" fontId="168" fillId="0" borderId="17" xfId="2" applyNumberFormat="1" applyFont="1" applyFill="1" applyBorder="1"/>
    <xf numFmtId="164" fontId="168" fillId="0" borderId="2" xfId="2" applyNumberFormat="1" applyFont="1" applyFill="1" applyBorder="1"/>
    <xf numFmtId="164" fontId="173" fillId="0" borderId="0" xfId="2" applyNumberFormat="1" applyFont="1" applyFill="1" applyBorder="1"/>
    <xf numFmtId="164" fontId="168" fillId="0" borderId="21" xfId="2" applyNumberFormat="1" applyFont="1" applyFill="1" applyBorder="1"/>
    <xf numFmtId="180" fontId="173" fillId="0" borderId="6" xfId="2" applyNumberFormat="1" applyFont="1" applyFill="1" applyBorder="1"/>
    <xf numFmtId="183" fontId="13" fillId="31" borderId="21" xfId="67" applyNumberFormat="1" applyFont="1" applyFill="1" applyBorder="1"/>
    <xf numFmtId="164" fontId="173" fillId="0" borderId="20" xfId="2" applyNumberFormat="1" applyFont="1" applyFill="1" applyBorder="1"/>
    <xf numFmtId="164" fontId="168" fillId="0" borderId="21" xfId="67" applyNumberFormat="1" applyFont="1" applyFill="1" applyBorder="1"/>
    <xf numFmtId="164" fontId="173" fillId="0" borderId="25" xfId="2" applyNumberFormat="1" applyFont="1" applyFill="1" applyBorder="1"/>
    <xf numFmtId="164" fontId="168" fillId="0" borderId="20" xfId="2" applyNumberFormat="1" applyFont="1" applyFill="1" applyBorder="1"/>
    <xf numFmtId="180" fontId="169" fillId="0" borderId="0" xfId="2" applyNumberFormat="1" applyFont="1" applyFill="1" applyBorder="1"/>
    <xf numFmtId="43" fontId="0" fillId="0" borderId="0" xfId="67" applyFont="1" applyAlignment="1">
      <alignment horizontal="center"/>
    </xf>
    <xf numFmtId="43" fontId="30" fillId="0" borderId="0" xfId="67" applyFont="1" applyAlignment="1">
      <alignment horizontal="right"/>
    </xf>
    <xf numFmtId="1" fontId="34" fillId="0" borderId="20" xfId="126" applyNumberFormat="1" applyFont="1" applyFill="1" applyBorder="1" applyAlignment="1">
      <alignment horizontal="right"/>
    </xf>
    <xf numFmtId="9" fontId="18" fillId="0" borderId="21" xfId="2" applyNumberFormat="1" applyFont="1" applyFill="1" applyBorder="1" applyAlignment="1"/>
    <xf numFmtId="177" fontId="8" fillId="0" borderId="0" xfId="2" applyNumberFormat="1" applyFont="1"/>
    <xf numFmtId="223" fontId="170" fillId="0" borderId="0" xfId="2" applyNumberFormat="1" applyFont="1" applyFill="1" applyBorder="1"/>
    <xf numFmtId="43" fontId="13" fillId="0" borderId="1" xfId="67" applyFont="1" applyBorder="1"/>
    <xf numFmtId="164" fontId="168" fillId="0" borderId="0" xfId="2" applyNumberFormat="1" applyFont="1" applyFill="1" applyBorder="1" applyAlignment="1"/>
    <xf numFmtId="226" fontId="34" fillId="0" borderId="0" xfId="126" applyNumberFormat="1" applyFont="1" applyFill="1" applyBorder="1" applyAlignment="1">
      <alignment horizontal="right"/>
    </xf>
    <xf numFmtId="168" fontId="13" fillId="0" borderId="0" xfId="136" applyNumberFormat="1" applyFont="1" applyFill="1" applyBorder="1" applyAlignment="1"/>
    <xf numFmtId="168" fontId="13" fillId="0" borderId="1" xfId="136" applyNumberFormat="1" applyFont="1" applyFill="1" applyBorder="1" applyAlignment="1"/>
    <xf numFmtId="168" fontId="13" fillId="0" borderId="21" xfId="136" applyNumberFormat="1" applyFont="1" applyFill="1" applyBorder="1" applyAlignment="1"/>
    <xf numFmtId="177" fontId="14" fillId="0" borderId="0" xfId="67" applyNumberFormat="1" applyFont="1" applyFill="1" applyBorder="1" applyAlignment="1"/>
    <xf numFmtId="177" fontId="14" fillId="0" borderId="21" xfId="67" applyNumberFormat="1" applyFont="1" applyFill="1" applyBorder="1" applyAlignment="1"/>
    <xf numFmtId="177" fontId="14" fillId="0" borderId="1" xfId="67" applyNumberFormat="1" applyFont="1" applyFill="1" applyBorder="1" applyAlignment="1"/>
    <xf numFmtId="0" fontId="13" fillId="0" borderId="0" xfId="2" applyFont="1" applyFill="1" applyBorder="1" applyAlignment="1">
      <alignment horizontal="left"/>
    </xf>
    <xf numFmtId="169" fontId="13" fillId="0" borderId="6" xfId="2" applyNumberFormat="1" applyFont="1" applyFill="1" applyBorder="1"/>
    <xf numFmtId="216" fontId="27" fillId="0" borderId="0" xfId="2" applyNumberFormat="1" applyFont="1" applyBorder="1"/>
    <xf numFmtId="37" fontId="18" fillId="0" borderId="17" xfId="2" applyNumberFormat="1" applyFont="1" applyFill="1" applyBorder="1"/>
    <xf numFmtId="0" fontId="168" fillId="0" borderId="26" xfId="2" applyFont="1" applyBorder="1"/>
    <xf numFmtId="0" fontId="170" fillId="0" borderId="26" xfId="2" applyFont="1" applyBorder="1"/>
    <xf numFmtId="0" fontId="173" fillId="0" borderId="26" xfId="2" applyFont="1" applyBorder="1"/>
    <xf numFmtId="168" fontId="18" fillId="0" borderId="37" xfId="136" applyNumberFormat="1" applyFont="1" applyFill="1" applyBorder="1"/>
    <xf numFmtId="43" fontId="13" fillId="0" borderId="0" xfId="2" applyNumberFormat="1" applyFont="1" applyBorder="1"/>
    <xf numFmtId="43" fontId="27" fillId="0" borderId="0" xfId="2" applyNumberFormat="1" applyFont="1" applyBorder="1"/>
    <xf numFmtId="183" fontId="8" fillId="0" borderId="0" xfId="2" applyNumberFormat="1" applyFont="1"/>
    <xf numFmtId="179" fontId="168" fillId="0" borderId="46" xfId="2" applyNumberFormat="1" applyFont="1" applyFill="1" applyBorder="1"/>
    <xf numFmtId="179" fontId="169" fillId="0" borderId="46" xfId="2" applyNumberFormat="1" applyFont="1" applyFill="1" applyBorder="1"/>
    <xf numFmtId="168" fontId="43" fillId="0" borderId="46" xfId="136" applyNumberFormat="1" applyFont="1" applyFill="1" applyBorder="1"/>
    <xf numFmtId="168" fontId="15" fillId="0" borderId="46" xfId="136" applyNumberFormat="1" applyFont="1" applyFill="1" applyBorder="1"/>
    <xf numFmtId="168" fontId="19" fillId="0" borderId="46" xfId="136" applyNumberFormat="1" applyFont="1" applyFill="1" applyBorder="1"/>
    <xf numFmtId="179" fontId="14" fillId="0" borderId="46" xfId="2" applyNumberFormat="1" applyFont="1" applyFill="1" applyBorder="1"/>
    <xf numFmtId="179" fontId="171" fillId="0" borderId="46" xfId="2" applyNumberFormat="1" applyFont="1" applyFill="1" applyBorder="1"/>
    <xf numFmtId="168" fontId="21" fillId="0" borderId="46" xfId="136" applyNumberFormat="1" applyFont="1" applyFill="1" applyBorder="1"/>
    <xf numFmtId="179" fontId="18" fillId="0" borderId="1" xfId="2" applyNumberFormat="1" applyFont="1" applyFill="1" applyBorder="1"/>
    <xf numFmtId="179" fontId="171" fillId="0" borderId="7" xfId="2" applyNumberFormat="1" applyFont="1" applyFill="1" applyBorder="1"/>
    <xf numFmtId="179" fontId="171" fillId="0" borderId="22" xfId="2" applyNumberFormat="1" applyFont="1" applyFill="1" applyBorder="1"/>
    <xf numFmtId="179" fontId="171" fillId="0" borderId="2" xfId="2" applyNumberFormat="1" applyFont="1" applyFill="1" applyBorder="1"/>
    <xf numFmtId="164" fontId="389" fillId="0" borderId="1" xfId="2" applyNumberFormat="1" applyFont="1" applyFill="1" applyBorder="1" applyAlignment="1"/>
    <xf numFmtId="164" fontId="389" fillId="0" borderId="0" xfId="2" applyNumberFormat="1" applyFont="1" applyFill="1" applyBorder="1" applyAlignment="1"/>
    <xf numFmtId="164" fontId="389" fillId="0" borderId="21" xfId="2" applyNumberFormat="1" applyFont="1" applyFill="1" applyBorder="1" applyAlignment="1"/>
    <xf numFmtId="179" fontId="14" fillId="0" borderId="17" xfId="166" applyNumberFormat="1" applyFont="1" applyFill="1" applyBorder="1"/>
    <xf numFmtId="179" fontId="169" fillId="0" borderId="0" xfId="166" applyNumberFormat="1" applyFont="1" applyFill="1" applyBorder="1"/>
    <xf numFmtId="179" fontId="168" fillId="0" borderId="0" xfId="166" applyNumberFormat="1" applyFont="1" applyFill="1" applyBorder="1"/>
    <xf numFmtId="223" fontId="166" fillId="0" borderId="0" xfId="166" applyNumberFormat="1" applyFont="1" applyFill="1" applyBorder="1"/>
    <xf numFmtId="179" fontId="171" fillId="0" borderId="0" xfId="166" applyNumberFormat="1" applyFont="1" applyFill="1" applyBorder="1"/>
    <xf numFmtId="179" fontId="14" fillId="0" borderId="0" xfId="166" applyNumberFormat="1" applyFont="1" applyFill="1" applyBorder="1"/>
    <xf numFmtId="181" fontId="18" fillId="0" borderId="0" xfId="166" applyNumberFormat="1" applyFont="1" applyFill="1" applyBorder="1"/>
    <xf numFmtId="179" fontId="23" fillId="0" borderId="0" xfId="166" applyNumberFormat="1" applyFont="1" applyFill="1" applyBorder="1"/>
    <xf numFmtId="179" fontId="14" fillId="0" borderId="0" xfId="166" applyNumberFormat="1" applyFont="1" applyFill="1" applyBorder="1" applyAlignment="1">
      <alignment horizontal="right"/>
    </xf>
    <xf numFmtId="179" fontId="14" fillId="0" borderId="46" xfId="166" applyNumberFormat="1" applyFont="1" applyFill="1" applyBorder="1" applyAlignment="1">
      <alignment horizontal="right"/>
    </xf>
    <xf numFmtId="168" fontId="15" fillId="0" borderId="0" xfId="166" applyNumberFormat="1" applyFont="1" applyFill="1" applyBorder="1" applyAlignment="1">
      <alignment horizontal="right"/>
    </xf>
    <xf numFmtId="168" fontId="15" fillId="0" borderId="46" xfId="166" applyNumberFormat="1" applyFont="1" applyFill="1" applyBorder="1" applyAlignment="1">
      <alignment horizontal="right"/>
    </xf>
    <xf numFmtId="168" fontId="13" fillId="0" borderId="46" xfId="166" applyNumberFormat="1" applyFont="1" applyFill="1" applyBorder="1" applyAlignment="1">
      <alignment horizontal="right"/>
    </xf>
    <xf numFmtId="168" fontId="15" fillId="26" borderId="6" xfId="166" applyNumberFormat="1" applyFont="1" applyFill="1" applyBorder="1" applyAlignment="1">
      <alignment horizontal="right"/>
    </xf>
    <xf numFmtId="168" fontId="13" fillId="26" borderId="25" xfId="166" applyNumberFormat="1" applyFont="1" applyFill="1" applyBorder="1" applyAlignment="1">
      <alignment horizontal="right"/>
    </xf>
    <xf numFmtId="183" fontId="13" fillId="0" borderId="46" xfId="67" applyNumberFormat="1" applyFont="1" applyFill="1" applyBorder="1" applyAlignment="1">
      <alignment horizontal="right"/>
    </xf>
    <xf numFmtId="183" fontId="48" fillId="0" borderId="0" xfId="67" applyNumberFormat="1" applyFont="1" applyFill="1" applyBorder="1" applyAlignment="1">
      <alignment horizontal="right"/>
    </xf>
    <xf numFmtId="183" fontId="48" fillId="0" borderId="46" xfId="67" applyNumberFormat="1" applyFont="1" applyFill="1" applyBorder="1" applyAlignment="1">
      <alignment horizontal="right"/>
    </xf>
    <xf numFmtId="183" fontId="14" fillId="0" borderId="0" xfId="67" applyNumberFormat="1" applyFont="1" applyFill="1" applyBorder="1" applyAlignment="1">
      <alignment horizontal="right"/>
    </xf>
    <xf numFmtId="183" fontId="14" fillId="0" borderId="46" xfId="67" applyNumberFormat="1" applyFont="1" applyFill="1" applyBorder="1" applyAlignment="1">
      <alignment horizontal="right"/>
    </xf>
    <xf numFmtId="168" fontId="15" fillId="0" borderId="46" xfId="136" applyNumberFormat="1" applyFont="1" applyFill="1" applyBorder="1" applyAlignment="1">
      <alignment horizontal="right"/>
    </xf>
    <xf numFmtId="44" fontId="13" fillId="0" borderId="46" xfId="78" applyFont="1" applyFill="1" applyBorder="1" applyAlignment="1">
      <alignment horizontal="right"/>
    </xf>
    <xf numFmtId="168" fontId="14" fillId="17" borderId="0" xfId="136" applyNumberFormat="1" applyFont="1" applyFill="1" applyBorder="1" applyAlignment="1">
      <alignment horizontal="right"/>
    </xf>
    <xf numFmtId="168" fontId="14" fillId="17" borderId="46" xfId="136" applyNumberFormat="1" applyFont="1" applyFill="1" applyBorder="1" applyAlignment="1">
      <alignment horizontal="right"/>
    </xf>
    <xf numFmtId="168" fontId="14" fillId="0" borderId="0" xfId="136" applyNumberFormat="1" applyFont="1" applyFill="1" applyBorder="1" applyAlignment="1">
      <alignment horizontal="right"/>
    </xf>
    <xf numFmtId="168" fontId="14" fillId="0" borderId="46" xfId="136" applyNumberFormat="1" applyFont="1" applyFill="1" applyBorder="1" applyAlignment="1">
      <alignment horizontal="right"/>
    </xf>
    <xf numFmtId="9" fontId="15" fillId="0" borderId="46" xfId="136" applyNumberFormat="1" applyFont="1" applyFill="1" applyBorder="1" applyAlignment="1">
      <alignment horizontal="right"/>
    </xf>
    <xf numFmtId="9" fontId="15" fillId="0" borderId="46" xfId="136" applyFont="1" applyFill="1" applyBorder="1" applyAlignment="1">
      <alignment horizontal="right"/>
    </xf>
    <xf numFmtId="168" fontId="172" fillId="0" borderId="46" xfId="136" applyNumberFormat="1" applyFont="1" applyFill="1" applyBorder="1" applyAlignment="1">
      <alignment horizontal="right"/>
    </xf>
    <xf numFmtId="44" fontId="168" fillId="0" borderId="46" xfId="78" applyFont="1" applyFill="1" applyBorder="1" applyAlignment="1">
      <alignment horizontal="right"/>
    </xf>
    <xf numFmtId="168" fontId="15" fillId="0" borderId="46" xfId="136" applyNumberFormat="1" applyFont="1" applyBorder="1" applyAlignment="1">
      <alignment horizontal="right"/>
    </xf>
    <xf numFmtId="172" fontId="43" fillId="0" borderId="46" xfId="67" applyNumberFormat="1" applyFont="1" applyFill="1" applyBorder="1" applyAlignment="1">
      <alignment horizontal="right"/>
    </xf>
    <xf numFmtId="225" fontId="143" fillId="0" borderId="46" xfId="67" applyNumberFormat="1" applyFont="1" applyFill="1" applyBorder="1" applyAlignment="1">
      <alignment horizontal="right"/>
    </xf>
    <xf numFmtId="183" fontId="168" fillId="0" borderId="46" xfId="67" applyNumberFormat="1" applyFont="1" applyFill="1" applyBorder="1" applyAlignment="1">
      <alignment horizontal="right"/>
    </xf>
    <xf numFmtId="44" fontId="168" fillId="0" borderId="46" xfId="78" applyNumberFormat="1" applyFont="1" applyFill="1" applyBorder="1" applyAlignment="1">
      <alignment horizontal="right"/>
    </xf>
    <xf numFmtId="168" fontId="15" fillId="17" borderId="46" xfId="136" applyNumberFormat="1" applyFont="1" applyFill="1" applyBorder="1" applyAlignment="1">
      <alignment horizontal="right"/>
    </xf>
    <xf numFmtId="37" fontId="13" fillId="0" borderId="0" xfId="166" applyNumberFormat="1" applyFont="1" applyFill="1" applyBorder="1" applyAlignment="1">
      <alignment horizontal="right"/>
    </xf>
    <xf numFmtId="37" fontId="13" fillId="0" borderId="46" xfId="166" applyNumberFormat="1" applyFont="1" applyFill="1" applyBorder="1" applyAlignment="1">
      <alignment horizontal="right"/>
    </xf>
    <xf numFmtId="187" fontId="13" fillId="0" borderId="0" xfId="78" applyNumberFormat="1" applyFont="1" applyFill="1" applyBorder="1" applyAlignment="1">
      <alignment horizontal="right"/>
    </xf>
    <xf numFmtId="187" fontId="13" fillId="0" borderId="46" xfId="78" applyNumberFormat="1" applyFont="1" applyFill="1" applyBorder="1" applyAlignment="1">
      <alignment horizontal="right"/>
    </xf>
    <xf numFmtId="168" fontId="170" fillId="0" borderId="46" xfId="136" applyNumberFormat="1" applyFont="1" applyFill="1" applyBorder="1" applyAlignment="1">
      <alignment horizontal="right"/>
    </xf>
    <xf numFmtId="183" fontId="174" fillId="0" borderId="46" xfId="67" applyNumberFormat="1" applyFont="1" applyFill="1" applyBorder="1" applyAlignment="1">
      <alignment horizontal="right"/>
    </xf>
    <xf numFmtId="183" fontId="63" fillId="0" borderId="0" xfId="67" applyNumberFormat="1" applyFont="1" applyFill="1" applyBorder="1" applyAlignment="1">
      <alignment horizontal="right"/>
    </xf>
    <xf numFmtId="183" fontId="63" fillId="0" borderId="46" xfId="67" applyNumberFormat="1" applyFont="1" applyFill="1" applyBorder="1" applyAlignment="1">
      <alignment horizontal="right"/>
    </xf>
    <xf numFmtId="43" fontId="19" fillId="0" borderId="46" xfId="67" applyFont="1" applyFill="1" applyBorder="1" applyAlignment="1">
      <alignment horizontal="right"/>
    </xf>
    <xf numFmtId="168" fontId="43" fillId="0" borderId="46" xfId="136" applyNumberFormat="1" applyFont="1" applyFill="1" applyBorder="1" applyAlignment="1">
      <alignment horizontal="right"/>
    </xf>
    <xf numFmtId="177" fontId="168" fillId="0" borderId="46" xfId="67" applyNumberFormat="1" applyFont="1" applyFill="1" applyBorder="1" applyAlignment="1">
      <alignment horizontal="right"/>
    </xf>
    <xf numFmtId="9" fontId="169" fillId="0" borderId="0" xfId="166" applyNumberFormat="1" applyFont="1" applyFill="1" applyBorder="1" applyAlignment="1">
      <alignment horizontal="right"/>
    </xf>
    <xf numFmtId="9" fontId="169" fillId="0" borderId="46" xfId="166" applyNumberFormat="1" applyFont="1" applyFill="1" applyBorder="1" applyAlignment="1">
      <alignment horizontal="right"/>
    </xf>
    <xf numFmtId="9" fontId="13" fillId="0" borderId="0" xfId="166" applyNumberFormat="1" applyFont="1" applyFill="1" applyBorder="1" applyAlignment="1">
      <alignment horizontal="right"/>
    </xf>
    <xf numFmtId="9" fontId="13" fillId="0" borderId="46" xfId="166" applyNumberFormat="1" applyFont="1" applyFill="1" applyBorder="1" applyAlignment="1">
      <alignment horizontal="right"/>
    </xf>
    <xf numFmtId="168" fontId="19" fillId="0" borderId="46" xfId="136" applyNumberFormat="1" applyFont="1" applyFill="1" applyBorder="1" applyAlignment="1">
      <alignment horizontal="right"/>
    </xf>
    <xf numFmtId="179" fontId="167" fillId="0" borderId="0" xfId="166" applyNumberFormat="1" applyFont="1" applyFill="1" applyBorder="1" applyAlignment="1">
      <alignment horizontal="right"/>
    </xf>
    <xf numFmtId="179" fontId="167" fillId="0" borderId="46" xfId="166" applyNumberFormat="1" applyFont="1" applyFill="1" applyBorder="1" applyAlignment="1">
      <alignment horizontal="right"/>
    </xf>
    <xf numFmtId="168" fontId="19" fillId="0" borderId="92" xfId="136" applyNumberFormat="1" applyFont="1" applyBorder="1" applyAlignment="1">
      <alignment horizontal="right"/>
    </xf>
    <xf numFmtId="168" fontId="41" fillId="27" borderId="0" xfId="136" applyNumberFormat="1" applyFont="1" applyFill="1" applyBorder="1" applyAlignment="1">
      <alignment horizontal="right"/>
    </xf>
    <xf numFmtId="168" fontId="41" fillId="27" borderId="20" xfId="136" applyNumberFormat="1" applyFont="1" applyFill="1" applyBorder="1" applyAlignment="1">
      <alignment horizontal="right"/>
    </xf>
    <xf numFmtId="168" fontId="19" fillId="0" borderId="46" xfId="136" applyNumberFormat="1" applyFont="1" applyBorder="1" applyAlignment="1">
      <alignment horizontal="right"/>
    </xf>
    <xf numFmtId="223" fontId="15" fillId="0" borderId="0" xfId="166" applyNumberFormat="1" applyFont="1" applyFill="1" applyBorder="1" applyAlignment="1">
      <alignment horizontal="right"/>
    </xf>
    <xf numFmtId="223" fontId="15" fillId="0" borderId="46" xfId="166" applyNumberFormat="1" applyFont="1" applyFill="1" applyBorder="1" applyAlignment="1">
      <alignment horizontal="right"/>
    </xf>
    <xf numFmtId="179" fontId="14" fillId="26" borderId="6" xfId="166" applyNumberFormat="1" applyFont="1" applyFill="1" applyBorder="1" applyAlignment="1">
      <alignment horizontal="right"/>
    </xf>
    <xf numFmtId="179" fontId="14" fillId="26" borderId="25" xfId="166" applyNumberFormat="1" applyFont="1" applyFill="1" applyBorder="1" applyAlignment="1">
      <alignment horizontal="right"/>
    </xf>
    <xf numFmtId="179" fontId="13" fillId="0" borderId="0" xfId="166" applyNumberFormat="1" applyFont="1" applyFill="1" applyBorder="1" applyAlignment="1">
      <alignment horizontal="right"/>
    </xf>
    <xf numFmtId="179" fontId="13" fillId="0" borderId="46" xfId="166" applyNumberFormat="1" applyFont="1" applyFill="1" applyBorder="1" applyAlignment="1">
      <alignment horizontal="right"/>
    </xf>
    <xf numFmtId="223" fontId="170" fillId="0" borderId="0" xfId="166" applyNumberFormat="1" applyFont="1" applyFill="1" applyBorder="1" applyAlignment="1">
      <alignment horizontal="right"/>
    </xf>
    <xf numFmtId="223" fontId="170" fillId="0" borderId="46" xfId="166" applyNumberFormat="1" applyFont="1" applyFill="1" applyBorder="1" applyAlignment="1">
      <alignment horizontal="right"/>
    </xf>
    <xf numFmtId="168" fontId="13" fillId="0" borderId="0" xfId="166" applyNumberFormat="1" applyFont="1" applyFill="1" applyBorder="1" applyAlignment="1">
      <alignment horizontal="right"/>
    </xf>
    <xf numFmtId="44" fontId="13" fillId="0" borderId="0" xfId="78" applyFont="1" applyAlignment="1">
      <alignment horizontal="right"/>
    </xf>
    <xf numFmtId="44" fontId="13" fillId="0" borderId="46" xfId="78" applyFont="1" applyBorder="1" applyAlignment="1">
      <alignment horizontal="right"/>
    </xf>
    <xf numFmtId="168" fontId="172" fillId="0" borderId="0" xfId="166" applyNumberFormat="1" applyFont="1" applyFill="1" applyBorder="1" applyAlignment="1">
      <alignment horizontal="right"/>
    </xf>
    <xf numFmtId="168" fontId="172" fillId="0" borderId="46" xfId="166" applyNumberFormat="1" applyFont="1" applyFill="1" applyBorder="1" applyAlignment="1">
      <alignment horizontal="right"/>
    </xf>
    <xf numFmtId="9" fontId="15" fillId="0" borderId="0" xfId="166" applyNumberFormat="1" applyFont="1" applyFill="1" applyBorder="1" applyAlignment="1">
      <alignment horizontal="right"/>
    </xf>
    <xf numFmtId="9" fontId="15" fillId="0" borderId="46" xfId="166" applyNumberFormat="1" applyFont="1" applyFill="1" applyBorder="1" applyAlignment="1">
      <alignment horizontal="right"/>
    </xf>
    <xf numFmtId="172" fontId="15" fillId="0" borderId="0" xfId="67" applyNumberFormat="1" applyFont="1" applyFill="1" applyBorder="1" applyAlignment="1">
      <alignment horizontal="right"/>
    </xf>
    <xf numFmtId="172" fontId="15" fillId="0" borderId="46" xfId="67" applyNumberFormat="1" applyFont="1" applyFill="1" applyBorder="1" applyAlignment="1">
      <alignment horizontal="right"/>
    </xf>
    <xf numFmtId="37" fontId="24" fillId="0" borderId="0" xfId="166" applyNumberFormat="1" applyFont="1" applyFill="1" applyBorder="1" applyAlignment="1">
      <alignment horizontal="right"/>
    </xf>
    <xf numFmtId="37" fontId="24" fillId="0" borderId="46" xfId="166" applyNumberFormat="1" applyFont="1" applyFill="1" applyBorder="1" applyAlignment="1">
      <alignment horizontal="right"/>
    </xf>
    <xf numFmtId="177" fontId="13" fillId="0" borderId="0" xfId="67" applyNumberFormat="1" applyFont="1" applyAlignment="1">
      <alignment horizontal="right"/>
    </xf>
    <xf numFmtId="177" fontId="13" fillId="0" borderId="46" xfId="67" applyNumberFormat="1" applyFont="1" applyBorder="1" applyAlignment="1">
      <alignment horizontal="right"/>
    </xf>
    <xf numFmtId="9" fontId="14" fillId="26" borderId="6" xfId="166" applyNumberFormat="1" applyFont="1" applyFill="1" applyBorder="1" applyAlignment="1">
      <alignment horizontal="right"/>
    </xf>
    <xf numFmtId="9" fontId="14" fillId="26" borderId="25" xfId="166" applyNumberFormat="1" applyFont="1" applyFill="1" applyBorder="1" applyAlignment="1">
      <alignment horizontal="right"/>
    </xf>
    <xf numFmtId="177" fontId="13" fillId="0" borderId="46" xfId="67" applyNumberFormat="1" applyFont="1" applyFill="1" applyBorder="1" applyAlignment="1"/>
    <xf numFmtId="223" fontId="170" fillId="0" borderId="46" xfId="67" applyNumberFormat="1" applyFont="1" applyFill="1" applyBorder="1" applyAlignment="1"/>
    <xf numFmtId="177" fontId="13" fillId="0" borderId="0" xfId="67" applyNumberFormat="1" applyFont="1" applyFill="1" applyBorder="1" applyAlignment="1"/>
    <xf numFmtId="177" fontId="13" fillId="0" borderId="43" xfId="67" applyNumberFormat="1" applyFont="1" applyFill="1" applyBorder="1" applyAlignment="1"/>
    <xf numFmtId="9" fontId="13" fillId="0" borderId="0" xfId="166" applyNumberFormat="1" applyFont="1" applyFill="1" applyBorder="1" applyAlignment="1"/>
    <xf numFmtId="9" fontId="13" fillId="0" borderId="46" xfId="166" applyNumberFormat="1" applyFont="1" applyFill="1" applyBorder="1" applyAlignment="1"/>
    <xf numFmtId="177" fontId="15" fillId="0" borderId="0" xfId="67" applyNumberFormat="1" applyFont="1" applyBorder="1"/>
    <xf numFmtId="0" fontId="13" fillId="0" borderId="0" xfId="166" applyFont="1" applyBorder="1"/>
    <xf numFmtId="9" fontId="169" fillId="0" borderId="0" xfId="166" applyNumberFormat="1" applyFont="1" applyFill="1" applyBorder="1" applyAlignment="1"/>
    <xf numFmtId="9" fontId="169" fillId="0" borderId="46" xfId="166" applyNumberFormat="1" applyFont="1" applyFill="1" applyBorder="1" applyAlignment="1"/>
    <xf numFmtId="177" fontId="14" fillId="0" borderId="0" xfId="166" applyNumberFormat="1" applyFont="1" applyFill="1" applyBorder="1" applyAlignment="1"/>
    <xf numFmtId="177" fontId="14" fillId="0" borderId="46" xfId="166" applyNumberFormat="1" applyFont="1" applyFill="1" applyBorder="1" applyAlignment="1"/>
    <xf numFmtId="224" fontId="14" fillId="0" borderId="0" xfId="166" applyNumberFormat="1" applyFont="1" applyFill="1" applyBorder="1" applyAlignment="1"/>
    <xf numFmtId="224" fontId="14" fillId="0" borderId="46" xfId="166" applyNumberFormat="1" applyFont="1" applyFill="1" applyBorder="1" applyAlignment="1"/>
    <xf numFmtId="9" fontId="169" fillId="0" borderId="0" xfId="166" applyNumberFormat="1" applyFont="1" applyBorder="1"/>
    <xf numFmtId="183" fontId="168" fillId="0" borderId="92" xfId="67" applyNumberFormat="1" applyFont="1" applyBorder="1"/>
    <xf numFmtId="179" fontId="42" fillId="0" borderId="0" xfId="166" applyNumberFormat="1" applyFont="1" applyFill="1" applyBorder="1" applyAlignment="1">
      <alignment horizontal="right"/>
    </xf>
    <xf numFmtId="179" fontId="14" fillId="0" borderId="0" xfId="166" applyNumberFormat="1" applyFont="1" applyBorder="1" applyAlignment="1">
      <alignment horizontal="right"/>
    </xf>
    <xf numFmtId="179" fontId="14" fillId="0" borderId="46" xfId="166" applyNumberFormat="1" applyFont="1" applyBorder="1" applyAlignment="1">
      <alignment horizontal="right"/>
    </xf>
    <xf numFmtId="164" fontId="14" fillId="0" borderId="2" xfId="166" applyNumberFormat="1" applyFont="1" applyBorder="1" applyAlignment="1">
      <alignment horizontal="right"/>
    </xf>
    <xf numFmtId="164" fontId="14" fillId="0" borderId="92" xfId="166" applyNumberFormat="1" applyFont="1" applyBorder="1" applyAlignment="1">
      <alignment horizontal="right"/>
    </xf>
    <xf numFmtId="0" fontId="0" fillId="0" borderId="0" xfId="166" applyFont="1" applyAlignment="1">
      <alignment horizontal="center"/>
    </xf>
    <xf numFmtId="9" fontId="14" fillId="17" borderId="6" xfId="166" applyNumberFormat="1" applyFont="1" applyFill="1" applyBorder="1" applyAlignment="1">
      <alignment horizontal="right"/>
    </xf>
    <xf numFmtId="9" fontId="14" fillId="17" borderId="25" xfId="166" applyNumberFormat="1" applyFont="1" applyFill="1" applyBorder="1" applyAlignment="1">
      <alignment horizontal="right"/>
    </xf>
    <xf numFmtId="168" fontId="13" fillId="0" borderId="17" xfId="166" applyNumberFormat="1" applyFont="1" applyBorder="1" applyAlignment="1">
      <alignment horizontal="center"/>
    </xf>
    <xf numFmtId="168" fontId="13" fillId="0" borderId="20" xfId="166" applyNumberFormat="1" applyFont="1" applyBorder="1" applyAlignment="1">
      <alignment horizontal="center"/>
    </xf>
    <xf numFmtId="3" fontId="13" fillId="0" borderId="0" xfId="166" applyNumberFormat="1" applyFont="1" applyBorder="1" applyAlignment="1">
      <alignment horizontal="center"/>
    </xf>
    <xf numFmtId="3" fontId="13" fillId="0" borderId="46" xfId="166" applyNumberFormat="1" applyFont="1" applyBorder="1" applyAlignment="1">
      <alignment horizontal="center"/>
    </xf>
    <xf numFmtId="168" fontId="13" fillId="0" borderId="0" xfId="166" applyNumberFormat="1" applyFont="1" applyBorder="1" applyAlignment="1">
      <alignment horizontal="center"/>
    </xf>
    <xf numFmtId="168" fontId="13" fillId="0" borderId="46" xfId="166" applyNumberFormat="1" applyFont="1" applyBorder="1" applyAlignment="1">
      <alignment horizontal="center"/>
    </xf>
    <xf numFmtId="9" fontId="13" fillId="0" borderId="0" xfId="166" applyNumberFormat="1" applyFont="1" applyBorder="1" applyAlignment="1">
      <alignment horizontal="center"/>
    </xf>
    <xf numFmtId="9" fontId="13" fillId="0" borderId="46" xfId="166" applyNumberFormat="1" applyFont="1" applyBorder="1" applyAlignment="1">
      <alignment horizontal="center"/>
    </xf>
    <xf numFmtId="164" fontId="47" fillId="0" borderId="46" xfId="2" applyNumberFormat="1" applyFont="1" applyFill="1" applyBorder="1" applyAlignment="1"/>
    <xf numFmtId="164" fontId="13" fillId="0" borderId="46" xfId="2" applyNumberFormat="1" applyFont="1" applyFill="1" applyBorder="1" applyAlignment="1"/>
    <xf numFmtId="169" fontId="18" fillId="0" borderId="46" xfId="2" applyNumberFormat="1" applyFont="1" applyFill="1" applyBorder="1" applyAlignment="1"/>
    <xf numFmtId="179" fontId="10" fillId="0" borderId="0" xfId="2" applyNumberFormat="1" applyFont="1" applyFill="1" applyAlignment="1">
      <alignment vertical="center"/>
    </xf>
    <xf numFmtId="164" fontId="18" fillId="0" borderId="46" xfId="2" applyNumberFormat="1" applyFont="1" applyFill="1" applyBorder="1" applyAlignment="1"/>
    <xf numFmtId="164" fontId="389" fillId="0" borderId="46" xfId="2" applyNumberFormat="1" applyFont="1" applyFill="1" applyBorder="1" applyAlignment="1"/>
    <xf numFmtId="1" fontId="34" fillId="0" borderId="46" xfId="126" applyNumberFormat="1" applyFont="1" applyFill="1" applyBorder="1" applyAlignment="1">
      <alignment horizontal="right"/>
    </xf>
    <xf numFmtId="164" fontId="164" fillId="0" borderId="46" xfId="2" applyNumberFormat="1" applyFont="1" applyFill="1" applyBorder="1" applyAlignment="1"/>
    <xf numFmtId="168" fontId="21" fillId="0" borderId="46" xfId="2" applyNumberFormat="1" applyFont="1" applyFill="1" applyBorder="1" applyAlignment="1"/>
    <xf numFmtId="164" fontId="48" fillId="0" borderId="46" xfId="2" applyNumberFormat="1" applyFont="1" applyFill="1" applyBorder="1" applyAlignment="1"/>
    <xf numFmtId="171" fontId="13" fillId="0" borderId="46" xfId="2" applyNumberFormat="1" applyFont="1" applyFill="1" applyBorder="1" applyAlignment="1"/>
    <xf numFmtId="164" fontId="32" fillId="0" borderId="46" xfId="2" applyNumberFormat="1" applyFont="1" applyFill="1" applyBorder="1" applyAlignment="1"/>
    <xf numFmtId="168" fontId="19" fillId="0" borderId="46" xfId="136" applyNumberFormat="1" applyFont="1" applyFill="1" applyBorder="1" applyAlignment="1"/>
    <xf numFmtId="168" fontId="170" fillId="0" borderId="46" xfId="136" applyNumberFormat="1" applyFont="1" applyFill="1" applyBorder="1" applyAlignment="1"/>
    <xf numFmtId="0" fontId="168" fillId="0" borderId="0" xfId="0" applyFont="1"/>
    <xf numFmtId="164" fontId="176" fillId="0" borderId="0" xfId="2" applyNumberFormat="1" applyFont="1" applyFill="1" applyBorder="1" applyAlignment="1"/>
    <xf numFmtId="168" fontId="168" fillId="0" borderId="0" xfId="2" applyNumberFormat="1" applyFont="1" applyFill="1" applyBorder="1" applyAlignment="1"/>
    <xf numFmtId="168" fontId="25" fillId="0" borderId="0" xfId="2" applyNumberFormat="1" applyFont="1" applyFill="1" applyBorder="1" applyAlignment="1"/>
    <xf numFmtId="168" fontId="170" fillId="0" borderId="0" xfId="136" applyNumberFormat="1" applyFont="1" applyFill="1" applyBorder="1" applyAlignment="1"/>
    <xf numFmtId="179" fontId="32" fillId="0" borderId="46" xfId="2" applyNumberFormat="1" applyFont="1" applyBorder="1"/>
    <xf numFmtId="168" fontId="21" fillId="0" borderId="46" xfId="136" applyNumberFormat="1" applyFont="1" applyBorder="1"/>
    <xf numFmtId="0" fontId="14" fillId="26" borderId="6" xfId="2" applyFont="1" applyFill="1" applyBorder="1" applyAlignment="1">
      <alignment horizontal="center"/>
    </xf>
    <xf numFmtId="183" fontId="32" fillId="0" borderId="46" xfId="67" applyNumberFormat="1" applyFont="1" applyBorder="1"/>
    <xf numFmtId="9" fontId="170" fillId="0" borderId="46" xfId="136" applyFont="1" applyBorder="1"/>
    <xf numFmtId="187" fontId="32" fillId="0" borderId="46" xfId="78" applyNumberFormat="1" applyFont="1" applyBorder="1"/>
    <xf numFmtId="9" fontId="21" fillId="0" borderId="46" xfId="136" applyFont="1" applyBorder="1"/>
    <xf numFmtId="0" fontId="13" fillId="0" borderId="46" xfId="2" applyFont="1" applyBorder="1"/>
    <xf numFmtId="0" fontId="27" fillId="0" borderId="46" xfId="2" applyFont="1" applyBorder="1"/>
    <xf numFmtId="44" fontId="32" fillId="0" borderId="46" xfId="78" applyFont="1" applyBorder="1"/>
    <xf numFmtId="200" fontId="13" fillId="0" borderId="46" xfId="2" applyNumberFormat="1" applyFont="1" applyBorder="1"/>
    <xf numFmtId="183" fontId="142" fillId="0" borderId="46" xfId="67" applyNumberFormat="1" applyFont="1" applyBorder="1"/>
    <xf numFmtId="183" fontId="27" fillId="0" borderId="46" xfId="67" applyNumberFormat="1" applyFont="1" applyBorder="1"/>
    <xf numFmtId="183" fontId="13" fillId="0" borderId="46" xfId="67" applyNumberFormat="1" applyFont="1" applyBorder="1"/>
    <xf numFmtId="194" fontId="13" fillId="0" borderId="46" xfId="2" applyNumberFormat="1" applyFont="1" applyBorder="1"/>
    <xf numFmtId="164" fontId="41" fillId="27" borderId="46" xfId="2" applyNumberFormat="1" applyFont="1" applyFill="1" applyBorder="1" applyAlignment="1">
      <alignment horizontal="right"/>
    </xf>
    <xf numFmtId="179" fontId="27" fillId="0" borderId="46" xfId="2" applyNumberFormat="1" applyFont="1" applyBorder="1"/>
    <xf numFmtId="0" fontId="21" fillId="0" borderId="46" xfId="2" applyFont="1" applyBorder="1"/>
    <xf numFmtId="223" fontId="15" fillId="0" borderId="46" xfId="136" applyNumberFormat="1" applyFont="1" applyBorder="1"/>
    <xf numFmtId="177" fontId="18" fillId="0" borderId="46" xfId="67" applyNumberFormat="1" applyFont="1" applyBorder="1"/>
    <xf numFmtId="177" fontId="13" fillId="0" borderId="92" xfId="67" applyNumberFormat="1" applyFont="1" applyFill="1" applyBorder="1"/>
    <xf numFmtId="177" fontId="13" fillId="0" borderId="46" xfId="67" applyNumberFormat="1" applyFont="1" applyBorder="1"/>
    <xf numFmtId="177" fontId="43" fillId="0" borderId="46" xfId="67" applyNumberFormat="1" applyFont="1" applyFill="1" applyBorder="1"/>
    <xf numFmtId="168" fontId="21" fillId="0" borderId="92" xfId="136" applyNumberFormat="1" applyFont="1" applyFill="1" applyBorder="1"/>
    <xf numFmtId="168" fontId="18" fillId="0" borderId="46" xfId="136" applyNumberFormat="1" applyFont="1" applyFill="1" applyBorder="1"/>
    <xf numFmtId="182" fontId="41" fillId="27" borderId="20" xfId="166" applyNumberFormat="1" applyFont="1" applyFill="1" applyBorder="1" applyAlignment="1">
      <alignment horizontal="right"/>
    </xf>
    <xf numFmtId="182" fontId="14" fillId="0" borderId="46" xfId="166" applyNumberFormat="1" applyFont="1" applyFill="1" applyBorder="1" applyAlignment="1">
      <alignment horizontal="right"/>
    </xf>
    <xf numFmtId="168" fontId="48" fillId="0" borderId="46" xfId="166" applyNumberFormat="1" applyFont="1" applyBorder="1" applyAlignment="1">
      <alignment horizontal="center"/>
    </xf>
    <xf numFmtId="183" fontId="13" fillId="0" borderId="46" xfId="67" applyNumberFormat="1" applyFont="1" applyBorder="1" applyAlignment="1">
      <alignment horizontal="center"/>
    </xf>
    <xf numFmtId="168" fontId="13" fillId="0" borderId="46" xfId="166" applyNumberFormat="1" applyFont="1" applyBorder="1" applyAlignment="1"/>
    <xf numFmtId="183" fontId="48" fillId="0" borderId="46" xfId="67" applyNumberFormat="1" applyFont="1" applyBorder="1" applyAlignment="1">
      <alignment horizontal="center"/>
    </xf>
    <xf numFmtId="168" fontId="13" fillId="0" borderId="46" xfId="166" applyNumberFormat="1" applyFont="1" applyBorder="1" applyAlignment="1">
      <alignment horizontal="right"/>
    </xf>
    <xf numFmtId="168" fontId="169" fillId="0" borderId="46" xfId="166" applyNumberFormat="1" applyFont="1" applyBorder="1" applyAlignment="1">
      <alignment horizontal="right"/>
    </xf>
    <xf numFmtId="183" fontId="13" fillId="0" borderId="46" xfId="166" applyNumberFormat="1" applyFont="1" applyBorder="1" applyAlignment="1">
      <alignment horizontal="center"/>
    </xf>
    <xf numFmtId="0" fontId="13" fillId="0" borderId="92" xfId="166" applyFont="1" applyBorder="1" applyAlignment="1">
      <alignment horizontal="center"/>
    </xf>
    <xf numFmtId="164" fontId="13" fillId="0" borderId="92" xfId="2" applyNumberFormat="1" applyFont="1" applyFill="1" applyBorder="1" applyAlignment="1"/>
    <xf numFmtId="1" fontId="16" fillId="17" borderId="24" xfId="126" applyNumberFormat="1" applyFont="1" applyFill="1" applyBorder="1" applyAlignment="1">
      <alignment horizontal="right"/>
    </xf>
    <xf numFmtId="1" fontId="16" fillId="17" borderId="6" xfId="126" applyNumberFormat="1" applyFont="1" applyFill="1" applyBorder="1" applyAlignment="1">
      <alignment horizontal="right"/>
    </xf>
    <xf numFmtId="1" fontId="16" fillId="17" borderId="25" xfId="126" applyNumberFormat="1" applyFont="1" applyFill="1" applyBorder="1" applyAlignment="1">
      <alignment horizontal="right"/>
    </xf>
    <xf numFmtId="168" fontId="15" fillId="0" borderId="0" xfId="136" applyNumberFormat="1" applyFont="1" applyFill="1" applyBorder="1" applyAlignment="1"/>
    <xf numFmtId="168" fontId="15" fillId="0" borderId="1" xfId="136" applyNumberFormat="1" applyFont="1" applyFill="1" applyBorder="1" applyAlignment="1"/>
    <xf numFmtId="168" fontId="18" fillId="0" borderId="0" xfId="136" applyNumberFormat="1" applyFont="1" applyFill="1" applyBorder="1" applyAlignment="1"/>
    <xf numFmtId="168" fontId="18" fillId="0" borderId="1" xfId="136" applyNumberFormat="1" applyFont="1" applyFill="1" applyBorder="1" applyAlignment="1"/>
    <xf numFmtId="165" fontId="16" fillId="17" borderId="24" xfId="126" applyNumberFormat="1" applyFont="1" applyFill="1" applyBorder="1" applyAlignment="1">
      <alignment horizontal="right"/>
    </xf>
    <xf numFmtId="165" fontId="16" fillId="17" borderId="6" xfId="126" applyNumberFormat="1" applyFont="1" applyFill="1" applyBorder="1" applyAlignment="1">
      <alignment horizontal="right"/>
    </xf>
    <xf numFmtId="168" fontId="172" fillId="0" borderId="0" xfId="136" applyNumberFormat="1" applyFont="1" applyFill="1" applyBorder="1" applyAlignment="1">
      <alignment horizontal="right"/>
    </xf>
    <xf numFmtId="168" fontId="13" fillId="0" borderId="1" xfId="136" applyNumberFormat="1" applyFont="1" applyFill="1" applyBorder="1" applyAlignment="1"/>
    <xf numFmtId="175" fontId="8" fillId="0" borderId="0" xfId="2" applyNumberFormat="1" applyFont="1"/>
    <xf numFmtId="164" fontId="13" fillId="0" borderId="46" xfId="2" applyNumberFormat="1" applyFont="1" applyFill="1" applyBorder="1"/>
    <xf numFmtId="0" fontId="18" fillId="0" borderId="46" xfId="2" applyFont="1" applyFill="1" applyBorder="1"/>
    <xf numFmtId="179" fontId="13" fillId="0" borderId="46" xfId="2" applyNumberFormat="1" applyFont="1" applyFill="1" applyBorder="1"/>
    <xf numFmtId="179" fontId="13" fillId="0" borderId="92" xfId="2" applyNumberFormat="1" applyFont="1" applyFill="1" applyBorder="1"/>
    <xf numFmtId="168" fontId="161" fillId="0" borderId="92" xfId="136" applyNumberFormat="1" applyFont="1" applyFill="1" applyBorder="1"/>
    <xf numFmtId="168" fontId="172" fillId="0" borderId="1" xfId="136" applyNumberFormat="1" applyFont="1" applyFill="1" applyBorder="1"/>
    <xf numFmtId="179" fontId="171" fillId="0" borderId="92" xfId="2" applyNumberFormat="1" applyFont="1" applyFill="1" applyBorder="1"/>
    <xf numFmtId="168" fontId="21" fillId="0" borderId="92" xfId="136" applyNumberFormat="1" applyFont="1" applyBorder="1"/>
    <xf numFmtId="179" fontId="27" fillId="0" borderId="46" xfId="2" applyNumberFormat="1" applyFont="1" applyFill="1" applyBorder="1"/>
    <xf numFmtId="179" fontId="27" fillId="0" borderId="92" xfId="2" applyNumberFormat="1" applyFont="1" applyFill="1" applyBorder="1"/>
    <xf numFmtId="168" fontId="62" fillId="27" borderId="17" xfId="136" applyNumberFormat="1" applyFont="1" applyFill="1" applyBorder="1" applyAlignment="1">
      <alignment horizontal="right"/>
    </xf>
    <xf numFmtId="182" fontId="41" fillId="27" borderId="7" xfId="2" applyNumberFormat="1" applyFont="1" applyFill="1" applyBorder="1" applyAlignment="1">
      <alignment horizontal="right"/>
    </xf>
    <xf numFmtId="182" fontId="14" fillId="0" borderId="1" xfId="2" applyNumberFormat="1" applyFont="1" applyFill="1" applyBorder="1" applyAlignment="1">
      <alignment horizontal="right"/>
    </xf>
    <xf numFmtId="182" fontId="14" fillId="0" borderId="46" xfId="2" applyNumberFormat="1" applyFont="1" applyFill="1" applyBorder="1" applyAlignment="1">
      <alignment horizontal="right"/>
    </xf>
    <xf numFmtId="179" fontId="14" fillId="0" borderId="46" xfId="2" applyNumberFormat="1" applyFont="1" applyFill="1" applyBorder="1" applyAlignment="1">
      <alignment horizontal="right"/>
    </xf>
    <xf numFmtId="168" fontId="21" fillId="0" borderId="46" xfId="2" applyNumberFormat="1" applyFont="1" applyFill="1" applyBorder="1" applyAlignment="1">
      <alignment horizontal="right"/>
    </xf>
    <xf numFmtId="168" fontId="32" fillId="0" borderId="46" xfId="2" applyNumberFormat="1" applyFont="1" applyFill="1" applyBorder="1" applyAlignment="1">
      <alignment horizontal="right"/>
    </xf>
    <xf numFmtId="168" fontId="21" fillId="26" borderId="24" xfId="2" applyNumberFormat="1" applyFont="1" applyFill="1" applyBorder="1" applyAlignment="1">
      <alignment horizontal="right"/>
    </xf>
    <xf numFmtId="183" fontId="32" fillId="0" borderId="46" xfId="67" applyNumberFormat="1" applyFont="1" applyFill="1" applyBorder="1" applyAlignment="1">
      <alignment horizontal="right"/>
    </xf>
    <xf numFmtId="183" fontId="142" fillId="0" borderId="46" xfId="67" applyNumberFormat="1" applyFont="1" applyFill="1" applyBorder="1" applyAlignment="1">
      <alignment horizontal="right"/>
    </xf>
    <xf numFmtId="183" fontId="27" fillId="0" borderId="1" xfId="67" applyNumberFormat="1" applyFont="1" applyFill="1" applyBorder="1" applyAlignment="1">
      <alignment horizontal="right"/>
    </xf>
    <xf numFmtId="183" fontId="27" fillId="0" borderId="46" xfId="67" applyNumberFormat="1" applyFont="1" applyFill="1" applyBorder="1" applyAlignment="1">
      <alignment horizontal="right"/>
    </xf>
    <xf numFmtId="168" fontId="21" fillId="0" borderId="46" xfId="136" applyNumberFormat="1" applyFont="1" applyFill="1" applyBorder="1" applyAlignment="1">
      <alignment horizontal="right"/>
    </xf>
    <xf numFmtId="183" fontId="13" fillId="0" borderId="1" xfId="67" applyNumberFormat="1" applyFont="1" applyFill="1" applyBorder="1" applyAlignment="1">
      <alignment horizontal="right"/>
    </xf>
    <xf numFmtId="44" fontId="13" fillId="0" borderId="1" xfId="78" applyFont="1" applyFill="1" applyBorder="1" applyAlignment="1">
      <alignment horizontal="right"/>
    </xf>
    <xf numFmtId="168" fontId="27" fillId="17" borderId="1" xfId="136" applyNumberFormat="1" applyFont="1" applyFill="1" applyBorder="1" applyAlignment="1">
      <alignment horizontal="right"/>
    </xf>
    <xf numFmtId="168" fontId="27" fillId="17" borderId="46" xfId="136" applyNumberFormat="1" applyFont="1" applyFill="1" applyBorder="1" applyAlignment="1">
      <alignment horizontal="right"/>
    </xf>
    <xf numFmtId="168" fontId="27" fillId="0" borderId="1" xfId="136" applyNumberFormat="1" applyFont="1" applyFill="1" applyBorder="1" applyAlignment="1">
      <alignment horizontal="right"/>
    </xf>
    <xf numFmtId="168" fontId="27" fillId="0" borderId="46" xfId="136" applyNumberFormat="1" applyFont="1" applyFill="1" applyBorder="1" applyAlignment="1">
      <alignment horizontal="right"/>
    </xf>
    <xf numFmtId="44" fontId="32" fillId="0" borderId="46" xfId="78" applyFont="1" applyFill="1" applyBorder="1" applyAlignment="1">
      <alignment horizontal="right"/>
    </xf>
    <xf numFmtId="9" fontId="21" fillId="0" borderId="1" xfId="136" applyNumberFormat="1" applyFont="1" applyFill="1" applyBorder="1" applyAlignment="1">
      <alignment horizontal="right"/>
    </xf>
    <xf numFmtId="9" fontId="21" fillId="0" borderId="46" xfId="136" applyNumberFormat="1" applyFont="1" applyFill="1" applyBorder="1" applyAlignment="1">
      <alignment horizontal="right"/>
    </xf>
    <xf numFmtId="9" fontId="15" fillId="0" borderId="1" xfId="136" applyFont="1" applyFill="1" applyBorder="1" applyAlignment="1">
      <alignment horizontal="right"/>
    </xf>
    <xf numFmtId="44" fontId="168" fillId="0" borderId="1" xfId="78" applyFont="1" applyFill="1" applyBorder="1" applyAlignment="1">
      <alignment horizontal="right"/>
    </xf>
    <xf numFmtId="172" fontId="43" fillId="0" borderId="1" xfId="67" applyNumberFormat="1" applyFont="1" applyFill="1" applyBorder="1" applyAlignment="1">
      <alignment horizontal="right"/>
    </xf>
    <xf numFmtId="183" fontId="168" fillId="0" borderId="1" xfId="67" applyNumberFormat="1" applyFont="1" applyFill="1" applyBorder="1" applyAlignment="1">
      <alignment horizontal="right"/>
    </xf>
    <xf numFmtId="44" fontId="168" fillId="0" borderId="1" xfId="78" applyNumberFormat="1" applyFont="1" applyFill="1" applyBorder="1" applyAlignment="1">
      <alignment horizontal="right"/>
    </xf>
    <xf numFmtId="168" fontId="15" fillId="17" borderId="1" xfId="136" applyNumberFormat="1" applyFont="1" applyFill="1" applyBorder="1" applyAlignment="1">
      <alignment horizontal="right"/>
    </xf>
    <xf numFmtId="37" fontId="13" fillId="0" borderId="1" xfId="2" applyNumberFormat="1" applyFont="1" applyFill="1" applyBorder="1" applyAlignment="1">
      <alignment horizontal="right"/>
    </xf>
    <xf numFmtId="37" fontId="13" fillId="0" borderId="46" xfId="2" applyNumberFormat="1" applyFont="1" applyFill="1" applyBorder="1" applyAlignment="1">
      <alignment horizontal="right"/>
    </xf>
    <xf numFmtId="187" fontId="32" fillId="0" borderId="1" xfId="78" applyNumberFormat="1" applyFont="1" applyFill="1" applyBorder="1" applyAlignment="1">
      <alignment horizontal="right"/>
    </xf>
    <xf numFmtId="187" fontId="32" fillId="0" borderId="46" xfId="78" applyNumberFormat="1" applyFont="1" applyFill="1" applyBorder="1" applyAlignment="1">
      <alignment horizontal="right"/>
    </xf>
    <xf numFmtId="168" fontId="170" fillId="0" borderId="1" xfId="136" applyNumberFormat="1" applyFont="1" applyFill="1" applyBorder="1" applyAlignment="1">
      <alignment horizontal="right"/>
    </xf>
    <xf numFmtId="183" fontId="174" fillId="0" borderId="1" xfId="67" applyNumberFormat="1" applyFont="1" applyFill="1" applyBorder="1" applyAlignment="1">
      <alignment horizontal="right"/>
    </xf>
    <xf numFmtId="183" fontId="124" fillId="0" borderId="46" xfId="67" applyNumberFormat="1" applyFont="1" applyFill="1" applyBorder="1" applyAlignment="1">
      <alignment horizontal="right"/>
    </xf>
    <xf numFmtId="43" fontId="19" fillId="0" borderId="1" xfId="67" applyFont="1" applyFill="1" applyBorder="1" applyAlignment="1">
      <alignment horizontal="right"/>
    </xf>
    <xf numFmtId="168" fontId="43" fillId="0" borderId="1" xfId="136" applyNumberFormat="1" applyFont="1" applyFill="1" applyBorder="1" applyAlignment="1">
      <alignment horizontal="right"/>
    </xf>
    <xf numFmtId="168" fontId="15" fillId="26" borderId="24" xfId="136" applyNumberFormat="1" applyFont="1" applyFill="1" applyBorder="1" applyAlignment="1">
      <alignment horizontal="right"/>
    </xf>
    <xf numFmtId="9" fontId="169" fillId="0" borderId="1" xfId="2" applyNumberFormat="1" applyFont="1" applyFill="1" applyBorder="1" applyAlignment="1">
      <alignment horizontal="right"/>
    </xf>
    <xf numFmtId="9" fontId="169" fillId="0" borderId="46" xfId="2" applyNumberFormat="1" applyFont="1" applyFill="1" applyBorder="1" applyAlignment="1">
      <alignment horizontal="right"/>
    </xf>
    <xf numFmtId="9" fontId="32" fillId="0" borderId="46" xfId="2" applyNumberFormat="1" applyFont="1" applyFill="1" applyBorder="1" applyAlignment="1">
      <alignment horizontal="right"/>
    </xf>
    <xf numFmtId="179" fontId="151" fillId="0" borderId="1" xfId="2" applyNumberFormat="1" applyFont="1" applyFill="1" applyBorder="1" applyAlignment="1">
      <alignment horizontal="right"/>
    </xf>
    <xf numFmtId="179" fontId="167" fillId="0" borderId="46" xfId="2" applyNumberFormat="1" applyFont="1" applyFill="1" applyBorder="1" applyAlignment="1">
      <alignment horizontal="right"/>
    </xf>
    <xf numFmtId="168" fontId="62" fillId="27" borderId="1" xfId="136" applyNumberFormat="1" applyFont="1" applyFill="1" applyBorder="1" applyAlignment="1">
      <alignment horizontal="right"/>
    </xf>
    <xf numFmtId="179" fontId="27" fillId="0" borderId="46" xfId="2" applyNumberFormat="1" applyFont="1" applyFill="1" applyBorder="1" applyAlignment="1">
      <alignment horizontal="right"/>
    </xf>
    <xf numFmtId="223" fontId="15" fillId="0" borderId="46" xfId="2" applyNumberFormat="1" applyFont="1" applyFill="1" applyBorder="1" applyAlignment="1">
      <alignment horizontal="right"/>
    </xf>
    <xf numFmtId="179" fontId="32" fillId="0" borderId="46" xfId="2" applyNumberFormat="1" applyFont="1" applyFill="1" applyBorder="1" applyAlignment="1">
      <alignment horizontal="right"/>
    </xf>
    <xf numFmtId="37" fontId="32" fillId="0" borderId="46" xfId="2" applyNumberFormat="1" applyFont="1" applyFill="1" applyBorder="1" applyAlignment="1">
      <alignment horizontal="right"/>
    </xf>
    <xf numFmtId="223" fontId="170" fillId="0" borderId="46" xfId="2" applyNumberFormat="1" applyFont="1" applyFill="1" applyBorder="1" applyAlignment="1">
      <alignment horizontal="right"/>
    </xf>
    <xf numFmtId="168" fontId="172" fillId="0" borderId="46" xfId="2" applyNumberFormat="1" applyFont="1" applyFill="1" applyBorder="1" applyAlignment="1">
      <alignment horizontal="right"/>
    </xf>
    <xf numFmtId="9" fontId="21" fillId="0" borderId="46" xfId="2" applyNumberFormat="1" applyFont="1" applyFill="1" applyBorder="1" applyAlignment="1">
      <alignment horizontal="right"/>
    </xf>
    <xf numFmtId="172" fontId="21" fillId="0" borderId="46" xfId="67" applyNumberFormat="1" applyFont="1" applyFill="1" applyBorder="1" applyAlignment="1">
      <alignment horizontal="right"/>
    </xf>
    <xf numFmtId="37" fontId="24" fillId="0" borderId="46" xfId="2" applyNumberFormat="1" applyFont="1" applyFill="1" applyBorder="1" applyAlignment="1">
      <alignment horizontal="right"/>
    </xf>
    <xf numFmtId="177" fontId="32" fillId="0" borderId="46" xfId="67" applyNumberFormat="1" applyFont="1" applyFill="1" applyBorder="1" applyAlignment="1"/>
    <xf numFmtId="177" fontId="27" fillId="0" borderId="46" xfId="67" applyNumberFormat="1" applyFont="1" applyFill="1" applyBorder="1" applyAlignment="1"/>
    <xf numFmtId="9" fontId="32" fillId="0" borderId="46" xfId="2" applyNumberFormat="1" applyFont="1" applyFill="1" applyBorder="1" applyAlignment="1"/>
    <xf numFmtId="177" fontId="169" fillId="0" borderId="46" xfId="67" applyNumberFormat="1" applyFont="1" applyBorder="1"/>
    <xf numFmtId="0" fontId="32" fillId="0" borderId="46" xfId="2" applyFont="1" applyBorder="1"/>
    <xf numFmtId="9" fontId="169" fillId="0" borderId="46" xfId="2" applyNumberFormat="1" applyFont="1" applyFill="1" applyBorder="1" applyAlignment="1"/>
    <xf numFmtId="177" fontId="14" fillId="0" borderId="46" xfId="2" applyNumberFormat="1" applyFont="1" applyFill="1" applyBorder="1" applyAlignment="1"/>
    <xf numFmtId="224" fontId="14" fillId="0" borderId="46" xfId="2" applyNumberFormat="1" applyFont="1" applyFill="1" applyBorder="1" applyAlignment="1"/>
    <xf numFmtId="44" fontId="169" fillId="0" borderId="46" xfId="78" applyNumberFormat="1" applyFont="1" applyBorder="1"/>
    <xf numFmtId="183" fontId="168" fillId="0" borderId="46" xfId="67" applyNumberFormat="1" applyFont="1" applyBorder="1"/>
    <xf numFmtId="9" fontId="169" fillId="0" borderId="46" xfId="2" applyNumberFormat="1" applyFont="1" applyBorder="1"/>
    <xf numFmtId="179" fontId="42" fillId="0" borderId="46" xfId="2" applyNumberFormat="1" applyFont="1" applyFill="1" applyBorder="1" applyAlignment="1">
      <alignment horizontal="right"/>
    </xf>
    <xf numFmtId="179" fontId="14" fillId="0" borderId="46" xfId="2" applyNumberFormat="1" applyFont="1" applyBorder="1" applyAlignment="1">
      <alignment horizontal="right"/>
    </xf>
    <xf numFmtId="179" fontId="27" fillId="0" borderId="46" xfId="2" applyNumberFormat="1" applyFont="1" applyBorder="1" applyAlignment="1">
      <alignment horizontal="right"/>
    </xf>
    <xf numFmtId="164" fontId="14" fillId="0" borderId="92" xfId="2" applyNumberFormat="1" applyFont="1" applyBorder="1" applyAlignment="1">
      <alignment horizontal="right"/>
    </xf>
    <xf numFmtId="183" fontId="18" fillId="0" borderId="46" xfId="67" applyNumberFormat="1" applyFont="1" applyBorder="1"/>
    <xf numFmtId="183" fontId="48" fillId="0" borderId="46" xfId="67" applyNumberFormat="1" applyFont="1" applyBorder="1"/>
    <xf numFmtId="183" fontId="130" fillId="0" borderId="46" xfId="67" applyNumberFormat="1" applyFont="1" applyBorder="1"/>
    <xf numFmtId="164" fontId="13" fillId="0" borderId="1" xfId="136" applyNumberFormat="1" applyFont="1" applyFill="1" applyBorder="1"/>
    <xf numFmtId="0" fontId="8" fillId="0" borderId="0" xfId="166" applyFont="1" applyAlignment="1">
      <alignment horizontal="center"/>
    </xf>
    <xf numFmtId="43" fontId="8" fillId="0" borderId="0" xfId="67" applyFont="1" applyAlignment="1">
      <alignment horizontal="right"/>
    </xf>
    <xf numFmtId="182" fontId="14" fillId="0" borderId="0" xfId="166" applyNumberFormat="1" applyFont="1" applyFill="1" applyBorder="1" applyAlignment="1">
      <alignment horizontal="right"/>
    </xf>
    <xf numFmtId="179" fontId="151" fillId="0" borderId="0" xfId="166" applyNumberFormat="1" applyFont="1" applyFill="1" applyBorder="1" applyAlignment="1">
      <alignment horizontal="right"/>
    </xf>
    <xf numFmtId="179" fontId="14" fillId="0" borderId="1" xfId="166" applyNumberFormat="1" applyFont="1" applyFill="1" applyBorder="1" applyAlignment="1">
      <alignment horizontal="right"/>
    </xf>
    <xf numFmtId="223" fontId="15" fillId="0" borderId="1" xfId="166" applyNumberFormat="1" applyFont="1" applyFill="1" applyBorder="1" applyAlignment="1">
      <alignment horizontal="right"/>
    </xf>
    <xf numFmtId="183" fontId="48" fillId="0" borderId="1" xfId="67" applyNumberFormat="1" applyFont="1" applyFill="1" applyBorder="1" applyAlignment="1">
      <alignment horizontal="right"/>
    </xf>
    <xf numFmtId="179" fontId="14" fillId="26" borderId="24" xfId="166" applyNumberFormat="1" applyFont="1" applyFill="1" applyBorder="1" applyAlignment="1">
      <alignment horizontal="right"/>
    </xf>
    <xf numFmtId="179" fontId="13" fillId="0" borderId="1" xfId="166" applyNumberFormat="1" applyFont="1" applyFill="1" applyBorder="1" applyAlignment="1">
      <alignment horizontal="right"/>
    </xf>
    <xf numFmtId="168" fontId="15" fillId="0" borderId="1" xfId="166" applyNumberFormat="1" applyFont="1" applyFill="1" applyBorder="1" applyAlignment="1">
      <alignment horizontal="right"/>
    </xf>
    <xf numFmtId="37" fontId="13" fillId="0" borderId="1" xfId="166" applyNumberFormat="1" applyFont="1" applyFill="1" applyBorder="1" applyAlignment="1">
      <alignment horizontal="right"/>
    </xf>
    <xf numFmtId="223" fontId="170" fillId="0" borderId="1" xfId="166" applyNumberFormat="1" applyFont="1" applyFill="1" applyBorder="1" applyAlignment="1">
      <alignment horizontal="right"/>
    </xf>
    <xf numFmtId="168" fontId="13" fillId="0" borderId="1" xfId="166" applyNumberFormat="1" applyFont="1" applyFill="1" applyBorder="1" applyAlignment="1">
      <alignment horizontal="right"/>
    </xf>
    <xf numFmtId="168" fontId="172" fillId="0" borderId="1" xfId="166" applyNumberFormat="1" applyFont="1" applyFill="1" applyBorder="1" applyAlignment="1">
      <alignment horizontal="right"/>
    </xf>
    <xf numFmtId="9" fontId="15" fillId="0" borderId="1" xfId="166" applyNumberFormat="1" applyFont="1" applyFill="1" applyBorder="1" applyAlignment="1">
      <alignment horizontal="right"/>
    </xf>
    <xf numFmtId="172" fontId="15" fillId="0" borderId="1" xfId="67" applyNumberFormat="1" applyFont="1" applyFill="1" applyBorder="1" applyAlignment="1">
      <alignment horizontal="right"/>
    </xf>
    <xf numFmtId="37" fontId="24" fillId="0" borderId="1" xfId="166" applyNumberFormat="1" applyFont="1" applyFill="1" applyBorder="1" applyAlignment="1">
      <alignment horizontal="right"/>
    </xf>
    <xf numFmtId="177" fontId="13" fillId="0" borderId="1" xfId="67" applyNumberFormat="1" applyFont="1" applyFill="1" applyBorder="1" applyAlignment="1">
      <alignment horizontal="right"/>
    </xf>
    <xf numFmtId="9" fontId="14" fillId="26" borderId="24" xfId="166" applyNumberFormat="1" applyFont="1" applyFill="1" applyBorder="1" applyAlignment="1">
      <alignment horizontal="right"/>
    </xf>
    <xf numFmtId="177" fontId="13" fillId="0" borderId="1" xfId="67" applyNumberFormat="1" applyFont="1" applyFill="1" applyBorder="1" applyAlignment="1"/>
    <xf numFmtId="9" fontId="13" fillId="0" borderId="1" xfId="166" applyNumberFormat="1" applyFont="1" applyFill="1" applyBorder="1" applyAlignment="1"/>
    <xf numFmtId="223" fontId="15" fillId="0" borderId="1" xfId="166" applyNumberFormat="1" applyFont="1" applyBorder="1"/>
    <xf numFmtId="177" fontId="15" fillId="0" borderId="1" xfId="67" applyNumberFormat="1" applyFont="1" applyBorder="1"/>
    <xf numFmtId="0" fontId="13" fillId="0" borderId="1" xfId="166" applyFont="1" applyBorder="1"/>
    <xf numFmtId="0" fontId="15" fillId="0" borderId="1" xfId="166" applyFont="1" applyBorder="1"/>
    <xf numFmtId="9" fontId="169" fillId="0" borderId="1" xfId="166" applyNumberFormat="1" applyFont="1" applyFill="1" applyBorder="1" applyAlignment="1"/>
    <xf numFmtId="9" fontId="169" fillId="0" borderId="1" xfId="166" applyNumberFormat="1" applyFont="1" applyBorder="1"/>
    <xf numFmtId="179" fontId="42" fillId="0" borderId="1" xfId="166" applyNumberFormat="1" applyFont="1" applyFill="1" applyBorder="1" applyAlignment="1">
      <alignment horizontal="right"/>
    </xf>
    <xf numFmtId="164" fontId="14" fillId="0" borderId="22" xfId="166" applyNumberFormat="1" applyFont="1" applyFill="1" applyBorder="1" applyAlignment="1">
      <alignment horizontal="right"/>
    </xf>
    <xf numFmtId="168" fontId="13" fillId="0" borderId="7" xfId="166" applyNumberFormat="1" applyFont="1" applyBorder="1" applyAlignment="1">
      <alignment horizontal="center"/>
    </xf>
    <xf numFmtId="3" fontId="13" fillId="0" borderId="1" xfId="166" applyNumberFormat="1" applyFont="1" applyBorder="1" applyAlignment="1">
      <alignment horizontal="center"/>
    </xf>
    <xf numFmtId="168" fontId="13" fillId="0" borderId="1" xfId="166" applyNumberFormat="1" applyFont="1" applyBorder="1" applyAlignment="1">
      <alignment horizontal="center"/>
    </xf>
    <xf numFmtId="9" fontId="13" fillId="0" borderId="1" xfId="166" applyNumberFormat="1" applyFont="1" applyBorder="1" applyAlignment="1">
      <alignment horizontal="center"/>
    </xf>
    <xf numFmtId="168" fontId="48" fillId="0" borderId="0" xfId="166" applyNumberFormat="1" applyFont="1" applyBorder="1" applyAlignment="1">
      <alignment horizontal="center"/>
    </xf>
    <xf numFmtId="168" fontId="13" fillId="0" borderId="0" xfId="166" applyNumberFormat="1" applyFont="1" applyBorder="1" applyAlignment="1"/>
    <xf numFmtId="168" fontId="13" fillId="0" borderId="0" xfId="166" applyNumberFormat="1" applyFont="1" applyBorder="1" applyAlignment="1">
      <alignment horizontal="right"/>
    </xf>
    <xf numFmtId="168" fontId="169" fillId="0" borderId="0" xfId="166" applyNumberFormat="1" applyFont="1" applyBorder="1" applyAlignment="1">
      <alignment horizontal="right"/>
    </xf>
    <xf numFmtId="183" fontId="13" fillId="0" borderId="0" xfId="166" applyNumberFormat="1" applyFont="1" applyBorder="1" applyAlignment="1">
      <alignment horizontal="center"/>
    </xf>
    <xf numFmtId="168" fontId="169" fillId="0" borderId="1" xfId="166" applyNumberFormat="1" applyFont="1" applyBorder="1" applyAlignment="1">
      <alignment horizontal="right"/>
    </xf>
    <xf numFmtId="0" fontId="13" fillId="0" borderId="2" xfId="166" applyFont="1" applyBorder="1" applyAlignment="1">
      <alignment horizontal="center"/>
    </xf>
    <xf numFmtId="165" fontId="16" fillId="17" borderId="17" xfId="127" applyNumberFormat="1" applyFont="1" applyFill="1" applyBorder="1" applyAlignment="1">
      <alignment horizontal="right"/>
    </xf>
    <xf numFmtId="165" fontId="16" fillId="17" borderId="7" xfId="127" applyNumberFormat="1" applyFont="1" applyFill="1" applyBorder="1" applyAlignment="1">
      <alignment horizontal="right"/>
    </xf>
    <xf numFmtId="182" fontId="41" fillId="27" borderId="24" xfId="166" applyNumberFormat="1" applyFont="1" applyFill="1" applyBorder="1" applyAlignment="1">
      <alignment horizontal="right"/>
    </xf>
    <xf numFmtId="182" fontId="41" fillId="27" borderId="2" xfId="2" applyNumberFormat="1" applyFont="1" applyFill="1" applyBorder="1" applyAlignment="1">
      <alignment horizontal="right"/>
    </xf>
    <xf numFmtId="182" fontId="41" fillId="27" borderId="6" xfId="2" applyNumberFormat="1" applyFont="1" applyFill="1" applyBorder="1" applyAlignment="1">
      <alignment horizontal="right"/>
    </xf>
    <xf numFmtId="182" fontId="41" fillId="27" borderId="25" xfId="2" applyNumberFormat="1" applyFont="1" applyFill="1" applyBorder="1" applyAlignment="1">
      <alignment horizontal="right"/>
    </xf>
    <xf numFmtId="179" fontId="0" fillId="0" borderId="0" xfId="0" applyNumberFormat="1"/>
    <xf numFmtId="44" fontId="44" fillId="0" borderId="0" xfId="78" applyFont="1"/>
    <xf numFmtId="44" fontId="0" fillId="0" borderId="0" xfId="2" applyNumberFormat="1" applyFont="1" applyAlignment="1">
      <alignment horizontal="center"/>
    </xf>
    <xf numFmtId="167" fontId="167" fillId="0" borderId="0" xfId="166" applyNumberFormat="1" applyFont="1" applyFill="1" applyBorder="1" applyAlignment="1"/>
    <xf numFmtId="183" fontId="8" fillId="0" borderId="0" xfId="67" applyNumberFormat="1" applyFont="1" applyFill="1" applyBorder="1"/>
    <xf numFmtId="164" fontId="48" fillId="0" borderId="0" xfId="2" applyNumberFormat="1" applyFont="1" applyBorder="1"/>
    <xf numFmtId="2" fontId="14" fillId="0" borderId="0" xfId="2" applyNumberFormat="1" applyFont="1" applyFill="1" applyBorder="1" applyAlignment="1"/>
    <xf numFmtId="2" fontId="14" fillId="0" borderId="0" xfId="2" applyNumberFormat="1" applyFont="1"/>
    <xf numFmtId="2" fontId="14" fillId="0" borderId="0" xfId="2" applyNumberFormat="1" applyFont="1" applyBorder="1"/>
    <xf numFmtId="177" fontId="169" fillId="0" borderId="0" xfId="67" applyNumberFormat="1" applyFont="1" applyBorder="1"/>
    <xf numFmtId="168" fontId="0" fillId="0" borderId="0" xfId="136" applyNumberFormat="1" applyFont="1" applyAlignment="1">
      <alignment horizontal="center"/>
    </xf>
    <xf numFmtId="167" fontId="173" fillId="0" borderId="0" xfId="166" applyNumberFormat="1" applyFont="1" applyFill="1" applyBorder="1" applyAlignment="1"/>
    <xf numFmtId="168" fontId="13" fillId="0" borderId="0" xfId="136" applyNumberFormat="1" applyFont="1"/>
    <xf numFmtId="1" fontId="13" fillId="0" borderId="0" xfId="136" applyNumberFormat="1" applyFont="1"/>
    <xf numFmtId="1" fontId="16" fillId="17" borderId="24" xfId="126" applyNumberFormat="1" applyFont="1" applyFill="1" applyBorder="1" applyAlignment="1">
      <alignment horizontal="right"/>
    </xf>
    <xf numFmtId="1" fontId="16" fillId="17" borderId="6" xfId="126" applyNumberFormat="1" applyFont="1" applyFill="1" applyBorder="1" applyAlignment="1">
      <alignment horizontal="right"/>
    </xf>
    <xf numFmtId="1" fontId="16" fillId="17" borderId="25" xfId="126" applyNumberFormat="1" applyFont="1" applyFill="1" applyBorder="1" applyAlignment="1">
      <alignment horizontal="right"/>
    </xf>
    <xf numFmtId="168" fontId="15" fillId="0" borderId="0" xfId="136" applyNumberFormat="1" applyFont="1" applyFill="1" applyBorder="1" applyAlignment="1"/>
    <xf numFmtId="168" fontId="15" fillId="0" borderId="46" xfId="136" applyNumberFormat="1" applyFont="1" applyFill="1" applyBorder="1" applyAlignment="1"/>
    <xf numFmtId="168" fontId="15" fillId="0" borderId="1" xfId="136" applyNumberFormat="1" applyFont="1" applyFill="1" applyBorder="1" applyAlignment="1"/>
    <xf numFmtId="168" fontId="18" fillId="0" borderId="0" xfId="136" applyNumberFormat="1" applyFont="1" applyFill="1" applyBorder="1" applyAlignment="1"/>
    <xf numFmtId="168" fontId="18" fillId="0" borderId="46" xfId="136" applyNumberFormat="1" applyFont="1" applyFill="1" applyBorder="1" applyAlignment="1"/>
    <xf numFmtId="172" fontId="18" fillId="0" borderId="0" xfId="67" applyNumberFormat="1" applyFont="1" applyFill="1" applyBorder="1" applyAlignment="1"/>
    <xf numFmtId="172" fontId="18" fillId="0" borderId="46" xfId="67" applyNumberFormat="1" applyFont="1" applyFill="1" applyBorder="1" applyAlignment="1"/>
    <xf numFmtId="168" fontId="18" fillId="0" borderId="1" xfId="136" applyNumberFormat="1" applyFont="1" applyFill="1" applyBorder="1" applyAlignment="1"/>
    <xf numFmtId="165" fontId="16" fillId="17" borderId="24" xfId="126" applyNumberFormat="1" applyFont="1" applyFill="1" applyBorder="1" applyAlignment="1">
      <alignment horizontal="right"/>
    </xf>
    <xf numFmtId="165" fontId="16" fillId="17" borderId="6" xfId="126" applyNumberFormat="1" applyFont="1" applyFill="1" applyBorder="1" applyAlignment="1">
      <alignment horizontal="right"/>
    </xf>
    <xf numFmtId="165" fontId="16" fillId="17" borderId="25" xfId="126" applyNumberFormat="1" applyFont="1" applyFill="1" applyBorder="1" applyAlignment="1">
      <alignment horizontal="right"/>
    </xf>
    <xf numFmtId="168" fontId="13" fillId="0" borderId="0" xfId="136" applyNumberFormat="1" applyFont="1" applyFill="1" applyBorder="1" applyAlignment="1"/>
    <xf numFmtId="168" fontId="13" fillId="0" borderId="46" xfId="136" applyNumberFormat="1" applyFont="1" applyFill="1" applyBorder="1" applyAlignment="1"/>
    <xf numFmtId="168" fontId="172" fillId="0" borderId="0" xfId="136" applyNumberFormat="1" applyFont="1" applyFill="1" applyBorder="1" applyAlignment="1">
      <alignment horizontal="right"/>
    </xf>
    <xf numFmtId="168" fontId="172" fillId="0" borderId="1" xfId="136" applyNumberFormat="1" applyFont="1" applyFill="1" applyBorder="1" applyAlignment="1">
      <alignment horizontal="right"/>
    </xf>
    <xf numFmtId="168" fontId="13" fillId="0" borderId="1" xfId="136" applyNumberFormat="1" applyFont="1" applyFill="1" applyBorder="1" applyAlignment="1"/>
    <xf numFmtId="168" fontId="161" fillId="0" borderId="0" xfId="136" applyNumberFormat="1" applyFont="1" applyFill="1" applyBorder="1" applyAlignment="1"/>
    <xf numFmtId="168" fontId="161" fillId="0" borderId="46" xfId="136" applyNumberFormat="1" applyFont="1" applyFill="1" applyBorder="1" applyAlignment="1"/>
    <xf numFmtId="173" fontId="14" fillId="0" borderId="0" xfId="166" applyNumberFormat="1" applyFont="1" applyFill="1" applyBorder="1"/>
    <xf numFmtId="223" fontId="63" fillId="0" borderId="1" xfId="2" applyNumberFormat="1" applyFont="1" applyFill="1" applyBorder="1"/>
    <xf numFmtId="223" fontId="63" fillId="0" borderId="0" xfId="2" applyNumberFormat="1" applyFont="1" applyFill="1" applyBorder="1"/>
    <xf numFmtId="168" fontId="15" fillId="0" borderId="92" xfId="136" applyNumberFormat="1" applyFont="1" applyFill="1" applyBorder="1"/>
    <xf numFmtId="181" fontId="13" fillId="0" borderId="1" xfId="2" applyNumberFormat="1" applyFont="1" applyFill="1" applyBorder="1"/>
    <xf numFmtId="169" fontId="13" fillId="0" borderId="0" xfId="2" applyNumberFormat="1" applyFont="1" applyBorder="1"/>
    <xf numFmtId="216" fontId="13" fillId="0" borderId="0" xfId="2" applyNumberFormat="1" applyFont="1" applyBorder="1"/>
    <xf numFmtId="174" fontId="13" fillId="0" borderId="7" xfId="2" applyNumberFormat="1" applyFont="1" applyFill="1" applyBorder="1"/>
    <xf numFmtId="174" fontId="13" fillId="0" borderId="20" xfId="2" applyNumberFormat="1" applyFont="1" applyFill="1" applyBorder="1"/>
    <xf numFmtId="174" fontId="13" fillId="0" borderId="46" xfId="2" applyNumberFormat="1" applyFont="1" applyFill="1" applyBorder="1"/>
    <xf numFmtId="168" fontId="43" fillId="0" borderId="0" xfId="136" applyNumberFormat="1" applyFont="1" applyFill="1" applyBorder="1" applyAlignment="1"/>
    <xf numFmtId="168" fontId="161" fillId="20" borderId="47" xfId="0" applyNumberFormat="1" applyFont="1" applyFill="1" applyBorder="1"/>
    <xf numFmtId="168" fontId="161" fillId="20" borderId="0" xfId="0" applyNumberFormat="1" applyFont="1" applyFill="1" applyBorder="1"/>
    <xf numFmtId="168" fontId="161" fillId="20" borderId="46" xfId="0" applyNumberFormat="1" applyFont="1" applyFill="1" applyBorder="1"/>
    <xf numFmtId="164" fontId="18" fillId="95" borderId="0" xfId="2" applyNumberFormat="1" applyFont="1" applyFill="1" applyBorder="1" applyAlignment="1"/>
    <xf numFmtId="164" fontId="18" fillId="95" borderId="46" xfId="2" applyNumberFormat="1" applyFont="1" applyFill="1" applyBorder="1" applyAlignment="1"/>
    <xf numFmtId="182" fontId="105" fillId="20" borderId="0" xfId="0" applyNumberFormat="1" applyFont="1" applyFill="1" applyBorder="1"/>
    <xf numFmtId="182" fontId="105" fillId="20" borderId="47" xfId="0" applyNumberFormat="1" applyFont="1" applyFill="1" applyBorder="1"/>
    <xf numFmtId="182" fontId="105" fillId="20" borderId="46" xfId="0" applyNumberFormat="1" applyFont="1" applyFill="1" applyBorder="1"/>
    <xf numFmtId="216" fontId="29" fillId="22" borderId="46" xfId="125" applyNumberFormat="1" applyFont="1" applyFill="1" applyBorder="1"/>
    <xf numFmtId="164" fontId="29" fillId="22" borderId="46" xfId="125" applyNumberFormat="1" applyFont="1" applyFill="1" applyBorder="1"/>
    <xf numFmtId="164" fontId="18" fillId="95" borderId="0" xfId="136" applyNumberFormat="1" applyFont="1" applyFill="1" applyBorder="1"/>
    <xf numFmtId="164" fontId="18" fillId="95" borderId="1" xfId="136" applyNumberFormat="1" applyFont="1" applyFill="1" applyBorder="1"/>
    <xf numFmtId="164" fontId="18" fillId="95" borderId="46" xfId="136" applyNumberFormat="1" applyFont="1" applyFill="1" applyBorder="1"/>
    <xf numFmtId="168" fontId="19" fillId="95" borderId="0" xfId="136" applyNumberFormat="1" applyFont="1" applyFill="1" applyBorder="1"/>
    <xf numFmtId="168" fontId="19" fillId="95" borderId="1" xfId="136" applyNumberFormat="1" applyFont="1" applyFill="1" applyBorder="1"/>
    <xf numFmtId="168" fontId="19" fillId="95" borderId="46" xfId="136" applyNumberFormat="1" applyFont="1" applyFill="1" applyBorder="1"/>
    <xf numFmtId="169" fontId="406" fillId="0" borderId="0" xfId="2" applyNumberFormat="1" applyFont="1" applyFill="1" applyBorder="1"/>
    <xf numFmtId="169" fontId="406" fillId="0" borderId="1" xfId="2" applyNumberFormat="1" applyFont="1" applyFill="1" applyBorder="1"/>
    <xf numFmtId="169" fontId="406" fillId="0" borderId="21" xfId="2" applyNumberFormat="1" applyFont="1" applyFill="1" applyBorder="1"/>
    <xf numFmtId="177" fontId="18" fillId="95" borderId="1" xfId="67" applyNumberFormat="1" applyFont="1" applyFill="1" applyBorder="1"/>
    <xf numFmtId="177" fontId="18" fillId="95" borderId="0" xfId="67" applyNumberFormat="1" applyFont="1" applyFill="1" applyBorder="1"/>
    <xf numFmtId="177" fontId="18" fillId="95" borderId="46" xfId="67" applyNumberFormat="1" applyFont="1" applyFill="1" applyBorder="1"/>
    <xf numFmtId="168" fontId="407" fillId="0" borderId="0" xfId="136" applyNumberFormat="1" applyFont="1" applyFill="1" applyBorder="1"/>
    <xf numFmtId="177" fontId="18" fillId="95" borderId="21" xfId="67" applyNumberFormat="1" applyFont="1" applyFill="1" applyBorder="1"/>
    <xf numFmtId="179" fontId="169" fillId="0" borderId="47" xfId="2" applyNumberFormat="1" applyFont="1" applyFill="1" applyBorder="1"/>
    <xf numFmtId="0" fontId="0" fillId="96" borderId="0" xfId="0" applyFill="1"/>
    <xf numFmtId="179" fontId="14" fillId="0" borderId="16" xfId="2" applyNumberFormat="1" applyFont="1" applyFill="1" applyBorder="1"/>
    <xf numFmtId="179" fontId="14" fillId="0" borderId="38" xfId="2" applyNumberFormat="1" applyFont="1" applyFill="1" applyBorder="1"/>
    <xf numFmtId="179" fontId="14" fillId="0" borderId="22" xfId="2" applyNumberFormat="1" applyFont="1" applyFill="1" applyBorder="1"/>
    <xf numFmtId="179" fontId="14" fillId="0" borderId="2" xfId="2" applyNumberFormat="1" applyFont="1" applyFill="1" applyBorder="1"/>
    <xf numFmtId="179" fontId="14" fillId="0" borderId="2" xfId="166" applyNumberFormat="1" applyFont="1" applyFill="1" applyBorder="1"/>
    <xf numFmtId="179" fontId="14" fillId="0" borderId="36" xfId="2" applyNumberFormat="1" applyFont="1" applyFill="1" applyBorder="1"/>
    <xf numFmtId="0" fontId="408" fillId="27" borderId="0" xfId="2" applyFont="1" applyFill="1" applyBorder="1"/>
    <xf numFmtId="1" fontId="16" fillId="17" borderId="20" xfId="126" applyNumberFormat="1" applyFont="1" applyFill="1" applyBorder="1" applyAlignment="1">
      <alignment horizontal="right"/>
    </xf>
    <xf numFmtId="168" fontId="15" fillId="0" borderId="47" xfId="136" applyNumberFormat="1" applyFont="1" applyFill="1" applyBorder="1" applyAlignment="1"/>
    <xf numFmtId="164" fontId="13" fillId="0" borderId="47" xfId="2" applyNumberFormat="1" applyFont="1" applyFill="1" applyBorder="1" applyAlignment="1"/>
    <xf numFmtId="164" fontId="48" fillId="0" borderId="47" xfId="2" applyNumberFormat="1" applyFont="1" applyFill="1" applyBorder="1" applyAlignment="1"/>
    <xf numFmtId="164" fontId="18" fillId="0" borderId="47" xfId="2" applyNumberFormat="1" applyFont="1" applyFill="1" applyBorder="1" applyAlignment="1"/>
    <xf numFmtId="169" fontId="18" fillId="0" borderId="47" xfId="2" applyNumberFormat="1" applyFont="1" applyFill="1" applyBorder="1" applyAlignment="1"/>
    <xf numFmtId="164" fontId="32" fillId="0" borderId="47" xfId="2" applyNumberFormat="1" applyFont="1" applyFill="1" applyBorder="1" applyAlignment="1"/>
    <xf numFmtId="179" fontId="27" fillId="0" borderId="47" xfId="2" applyNumberFormat="1" applyFont="1" applyFill="1" applyBorder="1"/>
    <xf numFmtId="168" fontId="21" fillId="0" borderId="47" xfId="136" applyNumberFormat="1" applyFont="1" applyFill="1" applyBorder="1"/>
    <xf numFmtId="177" fontId="409" fillId="22" borderId="0" xfId="67" applyNumberFormat="1" applyFont="1" applyFill="1" applyBorder="1"/>
    <xf numFmtId="177" fontId="28" fillId="0" borderId="92" xfId="67" applyNumberFormat="1" applyFont="1" applyFill="1" applyBorder="1"/>
    <xf numFmtId="183" fontId="13" fillId="0" borderId="47" xfId="67" applyNumberFormat="1" applyFont="1" applyBorder="1"/>
    <xf numFmtId="3" fontId="13" fillId="0" borderId="47" xfId="67" applyNumberFormat="1" applyFont="1" applyBorder="1"/>
    <xf numFmtId="3" fontId="13" fillId="0" borderId="46" xfId="2" applyNumberFormat="1" applyFont="1" applyBorder="1" applyAlignment="1">
      <alignment horizontal="right"/>
    </xf>
    <xf numFmtId="183" fontId="13" fillId="0" borderId="46" xfId="67" applyNumberFormat="1" applyFont="1" applyBorder="1" applyAlignment="1">
      <alignment horizontal="right"/>
    </xf>
    <xf numFmtId="9" fontId="13" fillId="0" borderId="47" xfId="67" applyNumberFormat="1" applyFont="1" applyBorder="1"/>
    <xf numFmtId="9" fontId="13" fillId="0" borderId="46" xfId="2" applyNumberFormat="1" applyFont="1" applyBorder="1" applyAlignment="1">
      <alignment horizontal="right"/>
    </xf>
    <xf numFmtId="168" fontId="13" fillId="0" borderId="46" xfId="2" applyNumberFormat="1" applyFont="1" applyBorder="1" applyAlignment="1">
      <alignment horizontal="right"/>
    </xf>
    <xf numFmtId="168" fontId="13" fillId="0" borderId="46" xfId="2" applyNumberFormat="1" applyFont="1" applyBorder="1" applyAlignment="1">
      <alignment horizontal="center"/>
    </xf>
    <xf numFmtId="183" fontId="48" fillId="0" borderId="47" xfId="67" applyNumberFormat="1" applyFont="1" applyBorder="1"/>
    <xf numFmtId="9" fontId="13" fillId="0" borderId="47" xfId="136" applyFont="1" applyBorder="1"/>
    <xf numFmtId="183" fontId="13" fillId="0" borderId="22" xfId="67" applyNumberFormat="1" applyFont="1" applyBorder="1"/>
    <xf numFmtId="183" fontId="13" fillId="0" borderId="92" xfId="67" applyNumberFormat="1" applyFont="1" applyBorder="1"/>
    <xf numFmtId="0" fontId="13" fillId="26" borderId="0" xfId="2" applyFont="1" applyFill="1" applyBorder="1"/>
    <xf numFmtId="0" fontId="13" fillId="26" borderId="24" xfId="2" applyFont="1" applyFill="1" applyBorder="1"/>
    <xf numFmtId="164" fontId="41" fillId="27" borderId="47" xfId="2" applyNumberFormat="1" applyFont="1" applyFill="1" applyBorder="1" applyAlignment="1">
      <alignment horizontal="right"/>
    </xf>
    <xf numFmtId="164" fontId="14" fillId="0" borderId="47" xfId="2" applyNumberFormat="1" applyFont="1" applyBorder="1"/>
    <xf numFmtId="179" fontId="27" fillId="0" borderId="47" xfId="2" applyNumberFormat="1" applyFont="1" applyBorder="1"/>
    <xf numFmtId="0" fontId="21" fillId="0" borderId="47" xfId="2" applyFont="1" applyBorder="1"/>
    <xf numFmtId="223" fontId="15" fillId="0" borderId="47" xfId="2" applyNumberFormat="1" applyFont="1" applyBorder="1"/>
    <xf numFmtId="168" fontId="32" fillId="0" borderId="47" xfId="2" applyNumberFormat="1" applyFont="1" applyBorder="1"/>
    <xf numFmtId="183" fontId="32" fillId="0" borderId="47" xfId="67" applyNumberFormat="1" applyFont="1" applyBorder="1"/>
    <xf numFmtId="183" fontId="142" fillId="0" borderId="47" xfId="67" applyNumberFormat="1" applyFont="1" applyBorder="1"/>
    <xf numFmtId="183" fontId="27" fillId="0" borderId="47" xfId="67" applyNumberFormat="1" applyFont="1" applyBorder="1"/>
    <xf numFmtId="168" fontId="15" fillId="0" borderId="47" xfId="136" applyNumberFormat="1" applyFont="1" applyBorder="1"/>
    <xf numFmtId="168" fontId="21" fillId="0" borderId="47" xfId="136" applyNumberFormat="1" applyFont="1" applyBorder="1"/>
    <xf numFmtId="183" fontId="13" fillId="0" borderId="47" xfId="67" applyNumberFormat="1" applyFont="1" applyFill="1" applyBorder="1" applyAlignment="1">
      <alignment horizontal="center"/>
    </xf>
    <xf numFmtId="44" fontId="13" fillId="0" borderId="47" xfId="78" applyFont="1" applyFill="1" applyBorder="1" applyAlignment="1">
      <alignment horizontal="center"/>
    </xf>
    <xf numFmtId="168" fontId="27" fillId="17" borderId="47" xfId="136" applyNumberFormat="1" applyFont="1" applyFill="1" applyBorder="1"/>
    <xf numFmtId="0" fontId="27" fillId="17" borderId="46" xfId="2" applyFont="1" applyFill="1" applyBorder="1"/>
    <xf numFmtId="168" fontId="27" fillId="0" borderId="47" xfId="136" applyNumberFormat="1" applyFont="1" applyFill="1" applyBorder="1"/>
    <xf numFmtId="0" fontId="27" fillId="0" borderId="46" xfId="2" applyFont="1" applyFill="1" applyBorder="1"/>
    <xf numFmtId="44" fontId="32" fillId="0" borderId="47" xfId="78" applyFont="1" applyBorder="1"/>
    <xf numFmtId="168" fontId="15" fillId="0" borderId="46" xfId="136" applyNumberFormat="1" applyFont="1" applyBorder="1"/>
    <xf numFmtId="9" fontId="21" fillId="0" borderId="47" xfId="136" applyNumberFormat="1" applyFont="1" applyBorder="1"/>
    <xf numFmtId="9" fontId="21" fillId="0" borderId="46" xfId="136" applyNumberFormat="1" applyFont="1" applyBorder="1"/>
    <xf numFmtId="9" fontId="15" fillId="0" borderId="47" xfId="136" applyFont="1" applyBorder="1"/>
    <xf numFmtId="9" fontId="13" fillId="0" borderId="46" xfId="136" applyFont="1" applyBorder="1"/>
    <xf numFmtId="168" fontId="27" fillId="0" borderId="47" xfId="136" applyNumberFormat="1" applyFont="1" applyBorder="1"/>
    <xf numFmtId="168" fontId="170" fillId="0" borderId="47" xfId="136" applyNumberFormat="1" applyFont="1" applyBorder="1"/>
    <xf numFmtId="168" fontId="124" fillId="0" borderId="47" xfId="136" applyNumberFormat="1" applyFont="1" applyBorder="1"/>
    <xf numFmtId="168" fontId="15" fillId="17" borderId="47" xfId="136" applyNumberFormat="1" applyFont="1" applyFill="1" applyBorder="1"/>
    <xf numFmtId="0" fontId="13" fillId="17" borderId="46" xfId="2" applyFont="1" applyFill="1" applyBorder="1"/>
    <xf numFmtId="0" fontId="13" fillId="0" borderId="46" xfId="2" applyFont="1" applyFill="1" applyBorder="1"/>
    <xf numFmtId="187" fontId="32" fillId="0" borderId="47" xfId="78" applyNumberFormat="1" applyFont="1" applyBorder="1"/>
    <xf numFmtId="168" fontId="19" fillId="0" borderId="47" xfId="136" applyNumberFormat="1" applyFont="1" applyBorder="1"/>
    <xf numFmtId="0" fontId="18" fillId="0" borderId="46" xfId="2" applyFont="1" applyBorder="1"/>
    <xf numFmtId="0" fontId="13" fillId="0" borderId="92" xfId="2" applyFont="1" applyBorder="1"/>
    <xf numFmtId="183" fontId="27" fillId="0" borderId="7" xfId="67" applyNumberFormat="1" applyFont="1" applyBorder="1"/>
    <xf numFmtId="37" fontId="27" fillId="0" borderId="17" xfId="2" applyNumberFormat="1" applyFont="1" applyBorder="1"/>
    <xf numFmtId="37" fontId="27" fillId="0" borderId="20" xfId="2" applyNumberFormat="1" applyFont="1" applyBorder="1"/>
    <xf numFmtId="168" fontId="15" fillId="26" borderId="0" xfId="136" applyNumberFormat="1" applyFont="1" applyFill="1" applyBorder="1"/>
    <xf numFmtId="177" fontId="32" fillId="0" borderId="47" xfId="67" applyNumberFormat="1" applyFont="1" applyBorder="1"/>
    <xf numFmtId="37" fontId="32" fillId="0" borderId="47" xfId="2" applyNumberFormat="1" applyFont="1" applyBorder="1"/>
    <xf numFmtId="37" fontId="32" fillId="0" borderId="46" xfId="2" applyNumberFormat="1" applyFont="1" applyBorder="1"/>
    <xf numFmtId="168" fontId="15" fillId="0" borderId="47" xfId="2" applyNumberFormat="1" applyFont="1" applyBorder="1"/>
    <xf numFmtId="44" fontId="32" fillId="0" borderId="46" xfId="78" applyFont="1" applyFill="1" applyBorder="1"/>
    <xf numFmtId="164" fontId="124" fillId="0" borderId="46" xfId="2" applyNumberFormat="1" applyFont="1" applyBorder="1"/>
    <xf numFmtId="179" fontId="32" fillId="0" borderId="47" xfId="2" applyNumberFormat="1" applyFont="1" applyBorder="1"/>
    <xf numFmtId="179" fontId="27" fillId="26" borderId="0" xfId="2" applyNumberFormat="1" applyFont="1" applyFill="1" applyBorder="1"/>
    <xf numFmtId="164" fontId="14" fillId="26" borderId="0" xfId="2" applyNumberFormat="1" applyFont="1" applyFill="1" applyBorder="1"/>
    <xf numFmtId="179" fontId="27" fillId="0" borderId="22" xfId="2" applyNumberFormat="1" applyFont="1" applyBorder="1"/>
    <xf numFmtId="168" fontId="32" fillId="0" borderId="7" xfId="136" applyNumberFormat="1" applyFont="1" applyBorder="1" applyAlignment="1"/>
    <xf numFmtId="0" fontId="32" fillId="0" borderId="17" xfId="2" applyFont="1" applyBorder="1" applyAlignment="1"/>
    <xf numFmtId="0" fontId="32" fillId="0" borderId="20" xfId="2" applyFont="1" applyBorder="1" applyAlignment="1"/>
    <xf numFmtId="177" fontId="27" fillId="0" borderId="47" xfId="67" applyNumberFormat="1" applyFont="1" applyBorder="1" applyAlignment="1"/>
    <xf numFmtId="177" fontId="27" fillId="0" borderId="46" xfId="67" applyNumberFormat="1" applyFont="1" applyBorder="1" applyAlignment="1"/>
    <xf numFmtId="223" fontId="15" fillId="0" borderId="47" xfId="67" applyNumberFormat="1" applyFont="1" applyFill="1" applyBorder="1" applyAlignment="1"/>
    <xf numFmtId="223" fontId="15" fillId="0" borderId="46" xfId="67" applyNumberFormat="1" applyFont="1" applyBorder="1" applyAlignment="1"/>
    <xf numFmtId="177" fontId="32" fillId="0" borderId="47" xfId="67" applyNumberFormat="1" applyFont="1" applyFill="1" applyBorder="1" applyAlignment="1"/>
    <xf numFmtId="43" fontId="32" fillId="0" borderId="46" xfId="2" applyNumberFormat="1" applyFont="1" applyBorder="1" applyAlignment="1"/>
    <xf numFmtId="168" fontId="32" fillId="0" borderId="47" xfId="136" applyNumberFormat="1" applyFont="1" applyBorder="1" applyAlignment="1"/>
    <xf numFmtId="0" fontId="32" fillId="0" borderId="46" xfId="2" applyFont="1" applyBorder="1" applyAlignment="1"/>
    <xf numFmtId="177" fontId="13" fillId="0" borderId="46" xfId="67" applyNumberFormat="1" applyFont="1" applyBorder="1" applyAlignment="1"/>
    <xf numFmtId="9" fontId="32" fillId="0" borderId="47" xfId="136" applyNumberFormat="1" applyFont="1" applyBorder="1" applyAlignment="1"/>
    <xf numFmtId="9" fontId="32" fillId="0" borderId="46" xfId="136" applyNumberFormat="1" applyFont="1" applyBorder="1" applyAlignment="1"/>
    <xf numFmtId="9" fontId="32" fillId="0" borderId="47" xfId="136" applyFont="1" applyFill="1" applyBorder="1" applyAlignment="1"/>
    <xf numFmtId="9" fontId="32" fillId="0" borderId="46" xfId="136" applyFont="1" applyFill="1" applyBorder="1" applyAlignment="1"/>
    <xf numFmtId="187" fontId="32" fillId="0" borderId="47" xfId="78" applyNumberFormat="1" applyFont="1" applyBorder="1" applyAlignment="1"/>
    <xf numFmtId="187" fontId="32" fillId="0" borderId="46" xfId="78" applyNumberFormat="1" applyFont="1" applyBorder="1" applyAlignment="1"/>
    <xf numFmtId="177" fontId="14" fillId="0" borderId="47" xfId="2" applyNumberFormat="1" applyFont="1" applyFill="1" applyBorder="1" applyAlignment="1"/>
    <xf numFmtId="224" fontId="14" fillId="0" borderId="47" xfId="2" applyNumberFormat="1" applyFont="1" applyFill="1" applyBorder="1" applyAlignment="1"/>
    <xf numFmtId="9" fontId="32" fillId="0" borderId="47" xfId="136" applyNumberFormat="1" applyFont="1" applyFill="1" applyBorder="1" applyAlignment="1"/>
    <xf numFmtId="9" fontId="32" fillId="0" borderId="46" xfId="136" applyNumberFormat="1" applyFont="1" applyFill="1" applyBorder="1" applyAlignment="1"/>
    <xf numFmtId="44" fontId="32" fillId="0" borderId="47" xfId="78" applyNumberFormat="1" applyFont="1" applyBorder="1" applyAlignment="1"/>
    <xf numFmtId="44" fontId="32" fillId="0" borderId="46" xfId="78" applyNumberFormat="1" applyFont="1" applyBorder="1" applyAlignment="1"/>
    <xf numFmtId="164" fontId="27" fillId="0" borderId="46" xfId="2" applyNumberFormat="1" applyFont="1" applyBorder="1"/>
    <xf numFmtId="174" fontId="13" fillId="0" borderId="47" xfId="2" applyNumberFormat="1" applyFont="1" applyFill="1" applyBorder="1"/>
    <xf numFmtId="175" fontId="15" fillId="0" borderId="17" xfId="2" applyNumberFormat="1" applyFont="1" applyFill="1" applyBorder="1"/>
    <xf numFmtId="168" fontId="43" fillId="0" borderId="46" xfId="136" applyNumberFormat="1" applyFont="1" applyFill="1" applyBorder="1" applyAlignment="1"/>
    <xf numFmtId="174" fontId="18" fillId="0" borderId="47" xfId="2" applyNumberFormat="1" applyFont="1" applyFill="1" applyBorder="1"/>
    <xf numFmtId="174" fontId="390" fillId="0" borderId="47" xfId="2" applyNumberFormat="1" applyFont="1" applyFill="1" applyBorder="1"/>
    <xf numFmtId="1" fontId="34" fillId="0" borderId="47" xfId="126" applyNumberFormat="1" applyFont="1" applyFill="1" applyBorder="1" applyAlignment="1">
      <alignment horizontal="right"/>
    </xf>
    <xf numFmtId="164" fontId="164" fillId="0" borderId="47" xfId="2" applyNumberFormat="1" applyFont="1" applyFill="1" applyBorder="1" applyAlignment="1"/>
    <xf numFmtId="164" fontId="47" fillId="0" borderId="47" xfId="2" applyNumberFormat="1" applyFont="1" applyFill="1" applyBorder="1" applyAlignment="1"/>
    <xf numFmtId="168" fontId="21" fillId="0" borderId="47" xfId="2" applyNumberFormat="1" applyFont="1" applyFill="1" applyBorder="1" applyAlignment="1"/>
    <xf numFmtId="168" fontId="13" fillId="0" borderId="47" xfId="136" applyNumberFormat="1" applyFont="1" applyFill="1" applyBorder="1" applyAlignment="1"/>
    <xf numFmtId="164" fontId="18" fillId="95" borderId="47" xfId="2" applyNumberFormat="1" applyFont="1" applyFill="1" applyBorder="1" applyAlignment="1"/>
    <xf numFmtId="168" fontId="18" fillId="0" borderId="47" xfId="136" applyNumberFormat="1" applyFont="1" applyFill="1" applyBorder="1" applyAlignment="1"/>
    <xf numFmtId="168" fontId="161" fillId="0" borderId="47" xfId="136" applyNumberFormat="1" applyFont="1" applyFill="1" applyBorder="1" applyAlignment="1"/>
    <xf numFmtId="171" fontId="13" fillId="0" borderId="47" xfId="2" applyNumberFormat="1" applyFont="1" applyFill="1" applyBorder="1" applyAlignment="1"/>
    <xf numFmtId="164" fontId="389" fillId="0" borderId="47" xfId="2" applyNumberFormat="1" applyFont="1" applyFill="1" applyBorder="1" applyAlignment="1"/>
    <xf numFmtId="172" fontId="18" fillId="0" borderId="47" xfId="67" applyNumberFormat="1" applyFont="1" applyFill="1" applyBorder="1" applyAlignment="1"/>
    <xf numFmtId="43" fontId="13" fillId="0" borderId="0" xfId="2" applyNumberFormat="1" applyFont="1" applyFill="1"/>
    <xf numFmtId="0" fontId="0" fillId="0" borderId="0" xfId="0" applyFill="1"/>
    <xf numFmtId="168" fontId="167" fillId="0" borderId="0" xfId="136" applyNumberFormat="1" applyFont="1" applyFill="1" applyBorder="1" applyAlignment="1"/>
    <xf numFmtId="0" fontId="8" fillId="0" borderId="0" xfId="3975"/>
    <xf numFmtId="9" fontId="32" fillId="0" borderId="0" xfId="136" applyFont="1" applyBorder="1"/>
    <xf numFmtId="0" fontId="13" fillId="0" borderId="94" xfId="2" applyFont="1" applyBorder="1"/>
    <xf numFmtId="0" fontId="32" fillId="0" borderId="94" xfId="2" applyFont="1" applyBorder="1"/>
    <xf numFmtId="0" fontId="27" fillId="0" borderId="94" xfId="2" applyFont="1" applyBorder="1"/>
    <xf numFmtId="164" fontId="29" fillId="22" borderId="92" xfId="125" applyNumberFormat="1" applyFont="1" applyFill="1" applyBorder="1"/>
    <xf numFmtId="177" fontId="48" fillId="0" borderId="46" xfId="67" applyNumberFormat="1" applyFont="1" applyBorder="1"/>
    <xf numFmtId="0" fontId="13" fillId="0" borderId="94" xfId="2" applyFont="1" applyFill="1" applyBorder="1"/>
    <xf numFmtId="0" fontId="48" fillId="0" borderId="94" xfId="2" applyFont="1" applyBorder="1"/>
    <xf numFmtId="183" fontId="32" fillId="0" borderId="94" xfId="67" applyNumberFormat="1" applyFont="1" applyBorder="1"/>
    <xf numFmtId="168" fontId="13" fillId="0" borderId="94" xfId="2" applyNumberFormat="1" applyFont="1" applyBorder="1"/>
    <xf numFmtId="177" fontId="13" fillId="0" borderId="94" xfId="67" applyNumberFormat="1" applyFont="1" applyBorder="1"/>
    <xf numFmtId="179" fontId="13" fillId="0" borderId="17" xfId="2" applyNumberFormat="1" applyFont="1" applyFill="1" applyBorder="1"/>
    <xf numFmtId="0" fontId="14" fillId="0" borderId="94" xfId="2" applyFont="1" applyBorder="1"/>
    <xf numFmtId="179" fontId="169" fillId="0" borderId="94" xfId="2" applyNumberFormat="1" applyFont="1" applyFill="1" applyBorder="1"/>
    <xf numFmtId="168" fontId="13" fillId="0" borderId="0" xfId="136" applyNumberFormat="1" applyFont="1"/>
    <xf numFmtId="1" fontId="13" fillId="0" borderId="0" xfId="136" applyNumberFormat="1" applyFont="1"/>
    <xf numFmtId="173" fontId="14" fillId="0" borderId="0" xfId="166" applyNumberFormat="1" applyFont="1" applyFill="1" applyBorder="1"/>
    <xf numFmtId="164" fontId="410" fillId="0" borderId="0" xfId="2" applyNumberFormat="1" applyFont="1" applyFill="1" applyBorder="1" applyAlignment="1"/>
    <xf numFmtId="164" fontId="410" fillId="0" borderId="21" xfId="2" applyNumberFormat="1" applyFont="1" applyFill="1" applyBorder="1" applyAlignment="1"/>
    <xf numFmtId="164" fontId="411" fillId="0" borderId="0" xfId="2" applyNumberFormat="1" applyFont="1" applyFill="1" applyBorder="1" applyAlignment="1"/>
    <xf numFmtId="164" fontId="411" fillId="0" borderId="1" xfId="2" applyNumberFormat="1" applyFont="1" applyFill="1" applyBorder="1" applyAlignment="1"/>
    <xf numFmtId="217" fontId="411" fillId="0" borderId="0" xfId="2" applyNumberFormat="1" applyFont="1" applyFill="1" applyBorder="1" applyAlignment="1"/>
    <xf numFmtId="217" fontId="411" fillId="0" borderId="21" xfId="2" applyNumberFormat="1" applyFont="1" applyFill="1" applyBorder="1" applyAlignment="1"/>
    <xf numFmtId="217" fontId="411" fillId="0" borderId="1" xfId="2" applyNumberFormat="1" applyFont="1" applyFill="1" applyBorder="1" applyAlignment="1"/>
    <xf numFmtId="217" fontId="411" fillId="0" borderId="47" xfId="2" applyNumberFormat="1" applyFont="1" applyFill="1" applyBorder="1" applyAlignment="1"/>
    <xf numFmtId="217" fontId="411" fillId="0" borderId="46" xfId="2" applyNumberFormat="1" applyFont="1" applyFill="1" applyBorder="1" applyAlignment="1"/>
    <xf numFmtId="168" fontId="411" fillId="0" borderId="0" xfId="136" applyNumberFormat="1" applyFont="1" applyFill="1" applyBorder="1" applyAlignment="1"/>
    <xf numFmtId="168" fontId="411" fillId="0" borderId="46" xfId="136" applyNumberFormat="1" applyFont="1" applyFill="1" applyBorder="1" applyAlignment="1"/>
    <xf numFmtId="168" fontId="411" fillId="0" borderId="1" xfId="136" applyNumberFormat="1" applyFont="1" applyFill="1" applyBorder="1" applyAlignment="1"/>
    <xf numFmtId="168" fontId="411" fillId="0" borderId="21" xfId="136" applyNumberFormat="1" applyFont="1" applyFill="1" applyBorder="1" applyAlignment="1"/>
    <xf numFmtId="168" fontId="411" fillId="0" borderId="47" xfId="136" applyNumberFormat="1" applyFont="1" applyFill="1" applyBorder="1" applyAlignment="1"/>
    <xf numFmtId="173" fontId="411" fillId="0" borderId="0" xfId="2" applyNumberFormat="1" applyFont="1" applyFill="1" applyBorder="1"/>
    <xf numFmtId="173" fontId="411" fillId="0" borderId="21" xfId="2" applyNumberFormat="1" applyFont="1" applyFill="1" applyBorder="1"/>
    <xf numFmtId="173" fontId="411" fillId="0" borderId="1" xfId="2" applyNumberFormat="1" applyFont="1" applyFill="1" applyBorder="1"/>
    <xf numFmtId="173" fontId="411" fillId="0" borderId="47" xfId="2" applyNumberFormat="1" applyFont="1" applyFill="1" applyBorder="1"/>
    <xf numFmtId="173" fontId="411" fillId="0" borderId="46" xfId="2" applyNumberFormat="1" applyFont="1" applyFill="1" applyBorder="1"/>
    <xf numFmtId="173" fontId="410" fillId="0" borderId="0" xfId="2" applyNumberFormat="1" applyFont="1" applyFill="1" applyBorder="1"/>
    <xf numFmtId="174" fontId="412" fillId="0" borderId="20" xfId="2" applyNumberFormat="1" applyFont="1" applyFill="1" applyBorder="1"/>
    <xf numFmtId="174" fontId="412" fillId="0" borderId="46" xfId="2" applyNumberFormat="1" applyFont="1" applyFill="1" applyBorder="1"/>
    <xf numFmtId="168" fontId="13" fillId="0" borderId="0" xfId="136" applyNumberFormat="1" applyFont="1" applyFill="1" applyBorder="1"/>
    <xf numFmtId="0" fontId="10" fillId="0" borderId="0" xfId="166" applyFont="1" applyFill="1" applyAlignment="1">
      <alignment vertical="center"/>
    </xf>
    <xf numFmtId="0" fontId="8" fillId="0" borderId="0" xfId="166" applyFont="1" applyBorder="1"/>
    <xf numFmtId="168" fontId="173" fillId="0" borderId="0" xfId="136" applyNumberFormat="1" applyFont="1" applyFill="1" applyBorder="1" applyAlignment="1"/>
    <xf numFmtId="0" fontId="13" fillId="0" borderId="0" xfId="166" applyFont="1"/>
    <xf numFmtId="1" fontId="29" fillId="0" borderId="92" xfId="126" applyNumberFormat="1" applyFont="1" applyFill="1" applyBorder="1" applyAlignment="1">
      <alignment horizontal="right"/>
    </xf>
    <xf numFmtId="1" fontId="29" fillId="0" borderId="46" xfId="126" applyNumberFormat="1" applyFont="1" applyFill="1" applyBorder="1" applyAlignment="1">
      <alignment horizontal="right"/>
    </xf>
    <xf numFmtId="164" fontId="13" fillId="0" borderId="46" xfId="166" applyNumberFormat="1" applyFont="1" applyFill="1" applyBorder="1" applyAlignment="1"/>
    <xf numFmtId="169" fontId="18" fillId="0" borderId="46" xfId="166" applyNumberFormat="1" applyFont="1" applyFill="1" applyBorder="1"/>
    <xf numFmtId="164" fontId="47" fillId="0" borderId="46" xfId="166" applyNumberFormat="1" applyFont="1" applyFill="1" applyBorder="1" applyAlignment="1"/>
    <xf numFmtId="168" fontId="15" fillId="0" borderId="46" xfId="166" applyNumberFormat="1" applyFont="1" applyFill="1" applyBorder="1" applyAlignment="1"/>
    <xf numFmtId="168" fontId="25" fillId="0" borderId="46" xfId="166" applyNumberFormat="1" applyFont="1" applyFill="1" applyBorder="1" applyAlignment="1"/>
    <xf numFmtId="164" fontId="48" fillId="0" borderId="46" xfId="166" applyNumberFormat="1" applyFont="1" applyFill="1" applyBorder="1" applyAlignment="1"/>
    <xf numFmtId="169" fontId="18" fillId="0" borderId="46" xfId="166" applyNumberFormat="1" applyFont="1" applyFill="1" applyBorder="1" applyAlignment="1"/>
    <xf numFmtId="164" fontId="25" fillId="0" borderId="46" xfId="166" applyNumberFormat="1" applyFont="1" applyFill="1" applyBorder="1" applyAlignment="1"/>
    <xf numFmtId="164" fontId="18" fillId="0" borderId="46" xfId="166" applyNumberFormat="1" applyFont="1" applyFill="1" applyBorder="1" applyAlignment="1"/>
    <xf numFmtId="173" fontId="13" fillId="0" borderId="0" xfId="166" applyNumberFormat="1" applyFont="1" applyFill="1" applyBorder="1"/>
    <xf numFmtId="169" fontId="18" fillId="0" borderId="0" xfId="166" applyNumberFormat="1" applyFont="1" applyFill="1" applyBorder="1"/>
    <xf numFmtId="164" fontId="18" fillId="95" borderId="20" xfId="166" applyNumberFormat="1" applyFont="1" applyFill="1" applyBorder="1" applyAlignment="1"/>
    <xf numFmtId="164" fontId="18" fillId="95" borderId="46" xfId="166" applyNumberFormat="1" applyFont="1" applyFill="1" applyBorder="1" applyAlignment="1"/>
    <xf numFmtId="164" fontId="13" fillId="0" borderId="92" xfId="166" applyNumberFormat="1" applyFont="1" applyFill="1" applyBorder="1" applyAlignment="1"/>
    <xf numFmtId="175" fontId="15" fillId="0" borderId="20" xfId="166" applyNumberFormat="1" applyFont="1" applyFill="1" applyBorder="1"/>
    <xf numFmtId="164" fontId="13" fillId="0" borderId="46" xfId="166" applyNumberFormat="1" applyFont="1" applyFill="1" applyBorder="1"/>
    <xf numFmtId="169" fontId="13" fillId="0" borderId="46" xfId="166" applyNumberFormat="1" applyFont="1" applyFill="1" applyBorder="1"/>
    <xf numFmtId="169" fontId="13" fillId="0" borderId="92" xfId="166" applyNumberFormat="1" applyFont="1" applyFill="1" applyBorder="1"/>
    <xf numFmtId="169" fontId="13" fillId="0" borderId="6" xfId="166" applyNumberFormat="1" applyFont="1" applyFill="1" applyBorder="1"/>
    <xf numFmtId="169" fontId="18" fillId="0" borderId="20" xfId="166" applyNumberFormat="1" applyFont="1" applyFill="1" applyBorder="1"/>
    <xf numFmtId="223" fontId="15" fillId="0" borderId="46" xfId="166" applyNumberFormat="1" applyFont="1" applyFill="1" applyBorder="1" applyAlignment="1"/>
    <xf numFmtId="173" fontId="18" fillId="0" borderId="46" xfId="166" applyNumberFormat="1" applyFont="1" applyFill="1" applyBorder="1"/>
    <xf numFmtId="43" fontId="14" fillId="0" borderId="92" xfId="166" applyNumberFormat="1" applyFont="1" applyFill="1" applyBorder="1" applyAlignment="1"/>
    <xf numFmtId="43" fontId="13" fillId="0" borderId="0" xfId="166" applyNumberFormat="1" applyFont="1"/>
    <xf numFmtId="0" fontId="8" fillId="0" borderId="0" xfId="166" applyFont="1"/>
    <xf numFmtId="9" fontId="168" fillId="0" borderId="0" xfId="2" applyNumberFormat="1" applyFont="1" applyFill="1" applyBorder="1" applyAlignment="1"/>
    <xf numFmtId="164" fontId="8" fillId="0" borderId="0" xfId="166" applyNumberFormat="1" applyFont="1"/>
    <xf numFmtId="0" fontId="18" fillId="0" borderId="46" xfId="166" applyFont="1" applyFill="1" applyBorder="1"/>
    <xf numFmtId="177" fontId="409" fillId="0" borderId="46" xfId="166" applyNumberFormat="1" applyFont="1" applyFill="1" applyBorder="1"/>
    <xf numFmtId="164" fontId="13" fillId="0" borderId="92" xfId="166" applyNumberFormat="1" applyFont="1" applyFill="1" applyBorder="1"/>
    <xf numFmtId="164" fontId="14" fillId="0" borderId="46" xfId="166" applyNumberFormat="1" applyFont="1" applyFill="1" applyBorder="1"/>
    <xf numFmtId="164" fontId="18" fillId="0" borderId="46" xfId="166" applyNumberFormat="1" applyFont="1" applyFill="1" applyBorder="1"/>
    <xf numFmtId="164" fontId="14" fillId="0" borderId="25" xfId="166" applyNumberFormat="1" applyFont="1" applyFill="1" applyBorder="1"/>
    <xf numFmtId="164" fontId="18" fillId="0" borderId="20" xfId="166" applyNumberFormat="1" applyFont="1" applyFill="1" applyBorder="1"/>
    <xf numFmtId="164" fontId="409" fillId="0" borderId="46" xfId="166" applyNumberFormat="1" applyFont="1" applyFill="1" applyBorder="1"/>
    <xf numFmtId="0" fontId="18" fillId="0" borderId="6" xfId="166" applyFont="1" applyFill="1" applyBorder="1"/>
    <xf numFmtId="43" fontId="18" fillId="0" borderId="17" xfId="166" applyNumberFormat="1" applyFont="1" applyFill="1" applyBorder="1"/>
    <xf numFmtId="0" fontId="18" fillId="0" borderId="0" xfId="166" applyFont="1" applyFill="1" applyBorder="1"/>
    <xf numFmtId="164" fontId="412" fillId="0" borderId="46" xfId="166" applyNumberFormat="1" applyFont="1" applyFill="1" applyBorder="1"/>
    <xf numFmtId="164" fontId="168" fillId="0" borderId="46" xfId="166" applyNumberFormat="1" applyFont="1" applyFill="1" applyBorder="1"/>
    <xf numFmtId="168" fontId="413" fillId="0" borderId="46" xfId="136" applyNumberFormat="1" applyFont="1" applyFill="1" applyBorder="1"/>
    <xf numFmtId="0" fontId="168" fillId="0" borderId="46" xfId="166" applyFont="1" applyFill="1" applyBorder="1"/>
    <xf numFmtId="179" fontId="168" fillId="0" borderId="46" xfId="166" applyNumberFormat="1" applyFont="1" applyFill="1" applyBorder="1"/>
    <xf numFmtId="180" fontId="14" fillId="0" borderId="25" xfId="166" applyNumberFormat="1" applyFont="1" applyFill="1" applyBorder="1"/>
    <xf numFmtId="164" fontId="13" fillId="0" borderId="0" xfId="166" applyNumberFormat="1" applyFont="1" applyFill="1" applyBorder="1"/>
    <xf numFmtId="0" fontId="13" fillId="0" borderId="0" xfId="166" applyFont="1" applyFill="1" applyBorder="1"/>
    <xf numFmtId="164" fontId="13" fillId="0" borderId="20" xfId="166" applyNumberFormat="1" applyFont="1" applyFill="1" applyBorder="1"/>
    <xf numFmtId="164" fontId="48" fillId="0" borderId="46" xfId="166" applyNumberFormat="1" applyFont="1" applyFill="1" applyBorder="1"/>
    <xf numFmtId="1" fontId="14" fillId="17" borderId="25" xfId="166" applyNumberFormat="1" applyFont="1" applyFill="1" applyBorder="1" applyAlignment="1">
      <alignment horizontal="right"/>
    </xf>
    <xf numFmtId="0" fontId="13" fillId="0" borderId="20" xfId="166" applyFont="1" applyFill="1" applyBorder="1"/>
    <xf numFmtId="183" fontId="13" fillId="0" borderId="46" xfId="166" applyNumberFormat="1" applyFont="1" applyBorder="1"/>
    <xf numFmtId="183" fontId="13" fillId="31" borderId="46" xfId="67" applyNumberFormat="1" applyFont="1" applyFill="1" applyBorder="1"/>
    <xf numFmtId="183" fontId="14" fillId="0" borderId="46" xfId="67" applyNumberFormat="1" applyFont="1" applyBorder="1"/>
    <xf numFmtId="183" fontId="168" fillId="31" borderId="46" xfId="67" applyNumberFormat="1" applyFont="1" applyFill="1" applyBorder="1"/>
    <xf numFmtId="10" fontId="13" fillId="0" borderId="46" xfId="166" applyNumberFormat="1" applyFont="1" applyBorder="1"/>
    <xf numFmtId="177" fontId="14" fillId="0" borderId="92" xfId="67" applyNumberFormat="1" applyFont="1" applyBorder="1"/>
    <xf numFmtId="177" fontId="14" fillId="0" borderId="0" xfId="67" applyNumberFormat="1" applyFont="1" applyBorder="1"/>
    <xf numFmtId="1" fontId="14" fillId="17" borderId="6" xfId="166" applyNumberFormat="1" applyFont="1" applyFill="1" applyBorder="1" applyAlignment="1">
      <alignment horizontal="right"/>
    </xf>
    <xf numFmtId="183" fontId="13" fillId="0" borderId="0" xfId="166" applyNumberFormat="1" applyFont="1"/>
    <xf numFmtId="183" fontId="48" fillId="0" borderId="0" xfId="166" applyNumberFormat="1" applyFont="1"/>
    <xf numFmtId="183" fontId="14" fillId="0" borderId="0" xfId="166" applyNumberFormat="1" applyFont="1"/>
    <xf numFmtId="219" fontId="13" fillId="0" borderId="0" xfId="166" applyNumberFormat="1" applyFont="1"/>
    <xf numFmtId="37" fontId="13" fillId="0" borderId="0" xfId="166" applyNumberFormat="1" applyFont="1" applyFill="1" applyAlignment="1">
      <alignment horizontal="center"/>
    </xf>
    <xf numFmtId="0" fontId="18" fillId="0" borderId="0" xfId="166" applyFont="1" applyAlignment="1">
      <alignment horizontal="center"/>
    </xf>
    <xf numFmtId="182" fontId="13" fillId="0" borderId="0" xfId="166" applyNumberFormat="1" applyFont="1"/>
    <xf numFmtId="0" fontId="13" fillId="0" borderId="47" xfId="2" applyFont="1" applyBorder="1"/>
    <xf numFmtId="168" fontId="13" fillId="0" borderId="47" xfId="2" applyNumberFormat="1" applyFont="1" applyBorder="1"/>
    <xf numFmtId="177" fontId="13" fillId="0" borderId="47" xfId="67" applyNumberFormat="1" applyFont="1" applyBorder="1"/>
    <xf numFmtId="169" fontId="13" fillId="0" borderId="47" xfId="2" applyNumberFormat="1" applyFont="1" applyBorder="1"/>
    <xf numFmtId="0" fontId="13" fillId="0" borderId="47" xfId="2" applyFont="1" applyFill="1" applyBorder="1"/>
    <xf numFmtId="0" fontId="48" fillId="0" borderId="47" xfId="2" applyFont="1" applyBorder="1"/>
    <xf numFmtId="0" fontId="27" fillId="0" borderId="47" xfId="2" applyFont="1" applyBorder="1"/>
    <xf numFmtId="37" fontId="13" fillId="0" borderId="46" xfId="166" applyNumberFormat="1" applyFont="1" applyFill="1" applyBorder="1"/>
    <xf numFmtId="41" fontId="18" fillId="0" borderId="46" xfId="166" applyNumberFormat="1" applyFont="1" applyFill="1" applyBorder="1"/>
    <xf numFmtId="180" fontId="13" fillId="0" borderId="46" xfId="166" applyNumberFormat="1" applyFont="1" applyFill="1" applyBorder="1"/>
    <xf numFmtId="180" fontId="18" fillId="0" borderId="46" xfId="166" applyNumberFormat="1" applyFont="1" applyFill="1" applyBorder="1"/>
    <xf numFmtId="180" fontId="14" fillId="0" borderId="28" xfId="166" applyNumberFormat="1" applyFont="1" applyFill="1" applyBorder="1"/>
    <xf numFmtId="180" fontId="414" fillId="0" borderId="46" xfId="166" applyNumberFormat="1" applyFont="1" applyFill="1" applyBorder="1"/>
    <xf numFmtId="180" fontId="14" fillId="0" borderId="46" xfId="166" applyNumberFormat="1" applyFont="1" applyFill="1" applyBorder="1"/>
    <xf numFmtId="180" fontId="23" fillId="0" borderId="46" xfId="166" applyNumberFormat="1" applyFont="1" applyFill="1" applyBorder="1"/>
    <xf numFmtId="180" fontId="14" fillId="0" borderId="92" xfId="166" applyNumberFormat="1" applyFont="1" applyFill="1" applyBorder="1"/>
    <xf numFmtId="180" fontId="14" fillId="0" borderId="17" xfId="166" applyNumberFormat="1" applyFont="1" applyFill="1" applyBorder="1"/>
    <xf numFmtId="37" fontId="23" fillId="0" borderId="0" xfId="166" applyNumberFormat="1" applyFont="1" applyFill="1" applyBorder="1"/>
    <xf numFmtId="0" fontId="18" fillId="0" borderId="0" xfId="166" applyFont="1"/>
    <xf numFmtId="177" fontId="13" fillId="0" borderId="46" xfId="67" applyNumberFormat="1" applyFont="1" applyFill="1" applyBorder="1"/>
    <xf numFmtId="177" fontId="18" fillId="0" borderId="46" xfId="67" applyNumberFormat="1" applyFont="1" applyFill="1" applyBorder="1"/>
    <xf numFmtId="177" fontId="13" fillId="0" borderId="6" xfId="67" applyNumberFormat="1" applyFont="1" applyBorder="1"/>
    <xf numFmtId="168" fontId="19" fillId="0" borderId="92" xfId="136" applyNumberFormat="1" applyFont="1" applyFill="1" applyBorder="1"/>
    <xf numFmtId="180" fontId="13" fillId="0" borderId="20" xfId="166" applyNumberFormat="1" applyFont="1" applyBorder="1"/>
    <xf numFmtId="180" fontId="13" fillId="0" borderId="92" xfId="166" applyNumberFormat="1" applyFont="1" applyBorder="1"/>
    <xf numFmtId="37" fontId="13" fillId="0" borderId="0" xfId="166" applyNumberFormat="1" applyFont="1" applyFill="1" applyBorder="1"/>
    <xf numFmtId="169" fontId="13" fillId="0" borderId="0" xfId="166" applyNumberFormat="1" applyFont="1" applyFill="1" applyBorder="1"/>
    <xf numFmtId="41" fontId="18" fillId="0" borderId="0" xfId="166" applyNumberFormat="1" applyFont="1" applyFill="1" applyBorder="1"/>
    <xf numFmtId="180" fontId="13" fillId="0" borderId="0" xfId="166" applyNumberFormat="1" applyFont="1" applyFill="1" applyBorder="1"/>
    <xf numFmtId="180" fontId="14" fillId="0" borderId="29" xfId="166" applyNumberFormat="1" applyFont="1" applyFill="1" applyBorder="1"/>
    <xf numFmtId="180" fontId="18" fillId="0" borderId="0" xfId="166" applyNumberFormat="1" applyFont="1" applyFill="1" applyBorder="1"/>
    <xf numFmtId="180" fontId="14" fillId="0" borderId="0" xfId="166" applyNumberFormat="1" applyFont="1" applyFill="1" applyBorder="1"/>
    <xf numFmtId="180" fontId="23" fillId="0" borderId="0" xfId="166" applyNumberFormat="1" applyFont="1" applyFill="1" applyBorder="1"/>
    <xf numFmtId="180" fontId="14" fillId="0" borderId="2" xfId="166" applyNumberFormat="1" applyFont="1" applyFill="1" applyBorder="1"/>
    <xf numFmtId="164" fontId="14" fillId="0" borderId="47" xfId="2" applyNumberFormat="1" applyFont="1" applyFill="1" applyBorder="1" applyAlignment="1"/>
    <xf numFmtId="164" fontId="14" fillId="0" borderId="46" xfId="2" applyNumberFormat="1" applyFont="1" applyFill="1" applyBorder="1" applyAlignment="1"/>
    <xf numFmtId="173" fontId="13" fillId="0" borderId="47" xfId="2" applyNumberFormat="1" applyFont="1" applyFill="1" applyBorder="1"/>
    <xf numFmtId="173" fontId="13" fillId="0" borderId="46" xfId="2" applyNumberFormat="1" applyFont="1" applyFill="1" applyBorder="1"/>
    <xf numFmtId="173" fontId="14" fillId="0" borderId="47" xfId="2" applyNumberFormat="1" applyFont="1" applyFill="1" applyBorder="1"/>
    <xf numFmtId="173" fontId="14" fillId="0" borderId="46" xfId="2" applyNumberFormat="1" applyFont="1" applyFill="1" applyBorder="1"/>
    <xf numFmtId="173" fontId="13" fillId="0" borderId="92" xfId="2" applyNumberFormat="1" applyFont="1" applyFill="1" applyBorder="1"/>
    <xf numFmtId="164" fontId="27" fillId="0" borderId="47" xfId="2" applyNumberFormat="1" applyFont="1" applyFill="1" applyBorder="1" applyAlignment="1"/>
    <xf numFmtId="164" fontId="27" fillId="0" borderId="46" xfId="2" applyNumberFormat="1" applyFont="1" applyFill="1" applyBorder="1" applyAlignment="1"/>
    <xf numFmtId="167" fontId="167" fillId="0" borderId="47" xfId="2" applyNumberFormat="1" applyFont="1" applyFill="1" applyBorder="1" applyAlignment="1"/>
    <xf numFmtId="167" fontId="167" fillId="0" borderId="0" xfId="2" applyNumberFormat="1" applyFont="1" applyFill="1" applyBorder="1" applyAlignment="1"/>
    <xf numFmtId="167" fontId="167" fillId="0" borderId="46" xfId="2" applyNumberFormat="1" applyFont="1" applyFill="1" applyBorder="1" applyAlignment="1"/>
    <xf numFmtId="164" fontId="14" fillId="0" borderId="46" xfId="166" applyNumberFormat="1" applyFont="1" applyFill="1" applyBorder="1" applyAlignment="1"/>
    <xf numFmtId="173" fontId="13" fillId="0" borderId="92" xfId="166" applyNumberFormat="1" applyFont="1" applyFill="1" applyBorder="1"/>
    <xf numFmtId="167" fontId="173" fillId="0" borderId="0" xfId="2" applyNumberFormat="1" applyFont="1" applyFill="1" applyBorder="1" applyAlignment="1"/>
    <xf numFmtId="167" fontId="14" fillId="0" borderId="46" xfId="166" applyNumberFormat="1" applyFont="1" applyFill="1" applyBorder="1" applyAlignment="1"/>
    <xf numFmtId="0" fontId="32" fillId="0" borderId="47" xfId="2" applyFont="1" applyBorder="1"/>
    <xf numFmtId="216" fontId="27" fillId="0" borderId="47" xfId="2" applyNumberFormat="1" applyFont="1" applyBorder="1"/>
    <xf numFmtId="179" fontId="27" fillId="0" borderId="20" xfId="2" applyNumberFormat="1" applyFont="1" applyFill="1" applyBorder="1"/>
    <xf numFmtId="179" fontId="173" fillId="0" borderId="17" xfId="2" applyNumberFormat="1" applyFont="1" applyFill="1" applyBorder="1"/>
    <xf numFmtId="177" fontId="169" fillId="0" borderId="1" xfId="67" applyNumberFormat="1" applyFont="1" applyFill="1" applyBorder="1"/>
    <xf numFmtId="177" fontId="169" fillId="0" borderId="46" xfId="67" applyNumberFormat="1" applyFont="1" applyFill="1" applyBorder="1"/>
    <xf numFmtId="9" fontId="21" fillId="0" borderId="0" xfId="136" applyFont="1" applyFill="1" applyBorder="1"/>
    <xf numFmtId="9" fontId="21" fillId="0" borderId="1" xfId="136" applyFont="1" applyFill="1" applyBorder="1"/>
    <xf numFmtId="9" fontId="21" fillId="0" borderId="46" xfId="136" applyFont="1" applyFill="1" applyBorder="1"/>
    <xf numFmtId="223" fontId="15" fillId="0" borderId="0" xfId="136" applyNumberFormat="1" applyFont="1" applyFill="1" applyBorder="1"/>
    <xf numFmtId="223" fontId="15" fillId="0" borderId="1" xfId="2" applyNumberFormat="1" applyFont="1" applyFill="1" applyBorder="1"/>
    <xf numFmtId="223" fontId="15" fillId="0" borderId="0" xfId="2" applyNumberFormat="1" applyFont="1" applyFill="1" applyBorder="1"/>
    <xf numFmtId="223" fontId="15" fillId="0" borderId="46" xfId="136" applyNumberFormat="1" applyFont="1" applyFill="1" applyBorder="1"/>
    <xf numFmtId="177" fontId="21" fillId="0" borderId="1" xfId="67" applyNumberFormat="1" applyFont="1" applyFill="1" applyBorder="1"/>
    <xf numFmtId="177" fontId="21" fillId="0" borderId="46" xfId="67" applyNumberFormat="1" applyFont="1" applyFill="1" applyBorder="1"/>
    <xf numFmtId="0" fontId="32" fillId="0" borderId="0" xfId="2" applyFont="1" applyFill="1" applyBorder="1"/>
    <xf numFmtId="0" fontId="32" fillId="0" borderId="46" xfId="2" applyFont="1" applyFill="1" applyBorder="1"/>
    <xf numFmtId="187" fontId="168" fillId="0" borderId="0" xfId="78" applyNumberFormat="1" applyFont="1" applyFill="1" applyBorder="1"/>
    <xf numFmtId="187" fontId="168" fillId="0" borderId="1" xfId="78" applyNumberFormat="1" applyFont="1" applyFill="1" applyBorder="1"/>
    <xf numFmtId="187" fontId="168" fillId="0" borderId="46" xfId="78" applyNumberFormat="1" applyFont="1" applyFill="1" applyBorder="1"/>
    <xf numFmtId="223" fontId="172" fillId="0" borderId="0" xfId="136" applyNumberFormat="1" applyFont="1" applyFill="1" applyBorder="1"/>
    <xf numFmtId="223" fontId="172" fillId="0" borderId="1" xfId="136" applyNumberFormat="1" applyFont="1" applyFill="1" applyBorder="1"/>
    <xf numFmtId="223" fontId="172" fillId="0" borderId="46" xfId="136" applyNumberFormat="1" applyFont="1" applyFill="1" applyBorder="1"/>
    <xf numFmtId="183" fontId="32" fillId="0" borderId="1" xfId="67" applyNumberFormat="1" applyFont="1" applyFill="1" applyBorder="1"/>
    <xf numFmtId="183" fontId="32" fillId="0" borderId="46" xfId="67" applyNumberFormat="1" applyFont="1" applyFill="1" applyBorder="1"/>
    <xf numFmtId="0" fontId="21" fillId="0" borderId="1" xfId="2" applyFont="1" applyFill="1" applyBorder="1"/>
    <xf numFmtId="0" fontId="21" fillId="0" borderId="0" xfId="2" applyFont="1" applyFill="1" applyBorder="1"/>
    <xf numFmtId="223" fontId="15" fillId="0" borderId="1" xfId="136" applyNumberFormat="1" applyFont="1" applyFill="1" applyBorder="1"/>
    <xf numFmtId="44" fontId="32" fillId="0" borderId="0" xfId="78" applyFont="1" applyFill="1" applyAlignment="1">
      <alignment horizontal="right"/>
    </xf>
    <xf numFmtId="177" fontId="32" fillId="0" borderId="0" xfId="67" applyNumberFormat="1" applyFont="1" applyFill="1" applyAlignment="1">
      <alignment horizontal="right"/>
    </xf>
    <xf numFmtId="177" fontId="32" fillId="0" borderId="46" xfId="67" applyNumberFormat="1" applyFont="1" applyFill="1" applyBorder="1" applyAlignment="1">
      <alignment horizontal="right"/>
    </xf>
    <xf numFmtId="177" fontId="409" fillId="0" borderId="1" xfId="67" applyNumberFormat="1" applyFont="1" applyBorder="1"/>
    <xf numFmtId="164" fontId="13" fillId="45" borderId="0" xfId="2" applyNumberFormat="1" applyFont="1" applyFill="1" applyBorder="1"/>
    <xf numFmtId="168" fontId="168" fillId="0" borderId="0" xfId="136" applyNumberFormat="1" applyFont="1" applyBorder="1"/>
    <xf numFmtId="177" fontId="8" fillId="0" borderId="0" xfId="67" applyNumberFormat="1" applyFont="1"/>
    <xf numFmtId="43" fontId="8" fillId="0" borderId="0" xfId="2" applyNumberFormat="1" applyFont="1"/>
    <xf numFmtId="173" fontId="18" fillId="0" borderId="0" xfId="166" applyNumberFormat="1" applyFont="1" applyFill="1" applyBorder="1"/>
    <xf numFmtId="0" fontId="8" fillId="97" borderId="0" xfId="14137" applyFont="1" applyFill="1" applyAlignment="1">
      <alignment vertical="top"/>
    </xf>
    <xf numFmtId="0" fontId="8" fillId="97" borderId="0" xfId="3975" applyFill="1" applyAlignment="1">
      <alignment vertical="top"/>
    </xf>
    <xf numFmtId="0" fontId="8" fillId="97" borderId="0" xfId="3975" applyFill="1"/>
    <xf numFmtId="0" fontId="13" fillId="97" borderId="0" xfId="14137" applyFont="1" applyFill="1" applyAlignment="1">
      <alignment horizontal="left" vertical="top"/>
    </xf>
    <xf numFmtId="0" fontId="8" fillId="97" borderId="0" xfId="3975" applyFont="1" applyFill="1" applyAlignment="1">
      <alignment vertical="top"/>
    </xf>
    <xf numFmtId="0" fontId="44" fillId="97" borderId="0" xfId="14137" applyFont="1" applyFill="1" applyAlignment="1">
      <alignment vertical="top"/>
    </xf>
    <xf numFmtId="0" fontId="0" fillId="97" borderId="0" xfId="0" applyFill="1" applyAlignment="1">
      <alignment vertical="top"/>
    </xf>
    <xf numFmtId="0" fontId="415" fillId="97" borderId="0" xfId="0" applyFont="1" applyFill="1" applyAlignment="1">
      <alignment vertical="top"/>
    </xf>
    <xf numFmtId="0" fontId="416" fillId="97" borderId="0" xfId="0" applyFont="1" applyFill="1" applyAlignment="1">
      <alignment vertical="top"/>
    </xf>
    <xf numFmtId="0" fontId="416" fillId="97" borderId="0" xfId="0" applyFont="1" applyFill="1" applyAlignment="1">
      <alignment vertical="top"/>
    </xf>
    <xf numFmtId="0" fontId="415" fillId="97" borderId="0" xfId="0" applyFont="1" applyFill="1" applyAlignment="1">
      <alignment vertical="top"/>
    </xf>
    <xf numFmtId="0" fontId="0" fillId="97" borderId="0" xfId="0" applyFill="1" applyAlignment="1">
      <alignment vertical="top"/>
    </xf>
    <xf numFmtId="0" fontId="0" fillId="97" borderId="99" xfId="0" applyFill="1" applyBorder="1" applyAlignment="1">
      <alignment vertical="top"/>
    </xf>
    <xf numFmtId="0" fontId="415" fillId="97" borderId="95" xfId="0" applyFont="1" applyFill="1" applyBorder="1" applyAlignment="1">
      <alignment vertical="top"/>
    </xf>
    <xf numFmtId="0" fontId="415" fillId="97" borderId="96" xfId="0" applyFont="1" applyFill="1" applyBorder="1" applyAlignment="1">
      <alignment vertical="top"/>
    </xf>
    <xf numFmtId="0" fontId="415" fillId="97" borderId="97" xfId="0" applyFont="1" applyFill="1" applyBorder="1" applyAlignment="1">
      <alignment vertical="top"/>
    </xf>
    <xf numFmtId="0" fontId="415" fillId="97" borderId="98" xfId="0" applyFont="1" applyFill="1" applyBorder="1" applyAlignment="1">
      <alignment vertical="top"/>
    </xf>
    <xf numFmtId="9" fontId="415" fillId="97" borderId="95" xfId="0" applyNumberFormat="1" applyFont="1" applyFill="1" applyBorder="1" applyAlignment="1">
      <alignment vertical="top"/>
    </xf>
    <xf numFmtId="3" fontId="415" fillId="97" borderId="95" xfId="0" applyNumberFormat="1" applyFont="1" applyFill="1" applyBorder="1" applyAlignment="1">
      <alignment vertical="top"/>
    </xf>
    <xf numFmtId="0" fontId="0" fillId="97" borderId="100" xfId="0" applyFill="1" applyBorder="1" applyAlignment="1">
      <alignment vertical="top"/>
    </xf>
    <xf numFmtId="2" fontId="8" fillId="0" borderId="0" xfId="3975" applyNumberFormat="1" applyAlignment="1">
      <alignment horizontal="left"/>
    </xf>
    <xf numFmtId="0" fontId="8" fillId="0" borderId="0" xfId="3975" applyNumberFormat="1" applyAlignment="1">
      <alignment horizontal="left"/>
    </xf>
    <xf numFmtId="1" fontId="8" fillId="0" borderId="0" xfId="3975" applyNumberFormat="1" applyAlignment="1">
      <alignment horizontal="left"/>
    </xf>
    <xf numFmtId="0" fontId="8" fillId="0" borderId="0" xfId="3975" applyFont="1"/>
    <xf numFmtId="368" fontId="8" fillId="0" borderId="0" xfId="3975" applyNumberFormat="1" applyAlignment="1">
      <alignment horizontal="left"/>
    </xf>
    <xf numFmtId="49" fontId="8" fillId="0" borderId="0" xfId="3975" applyNumberFormat="1"/>
  </cellXfs>
  <cellStyles count="14138">
    <cellStyle name="_x0004_" xfId="269"/>
    <cellStyle name="-" xfId="1"/>
    <cellStyle name=" 1" xfId="282"/>
    <cellStyle name=" 1 2" xfId="268"/>
    <cellStyle name=" Writer Import]_x000d__x000a_Display Dialog=No_x000d__x000a__x000d__x000a_[Horizontal Arrange]_x000d__x000a_Dimensions Interlocking=Yes_x000d__x000a_Sum Hierarchy=Yes_x000d__x000a_Generate" xfId="267"/>
    <cellStyle name="_x000a_386grabber=M" xfId="2"/>
    <cellStyle name="_x000a_386grabber=M 2" xfId="166"/>
    <cellStyle name="_x000a_386grabber=M 2 2" xfId="437"/>
    <cellStyle name="_x000a_386grabber=M 3" xfId="4892"/>
    <cellStyle name="_x000d__x000a_JournalTemplate=C:\COMFO\CTALK\JOURSTD.TPL_x000d__x000a_LbStateAddress=3 3 0 251 1 89 2 311_x000d__x000a_LbStateJou" xfId="266"/>
    <cellStyle name="# ###" xfId="265"/>
    <cellStyle name="$" xfId="441"/>
    <cellStyle name="$ &amp; ¢" xfId="442"/>
    <cellStyle name="$ 1 decimal" xfId="3"/>
    <cellStyle name="$ 2" xfId="264"/>
    <cellStyle name="$ 3" xfId="5024"/>
    <cellStyle name="$_AA - BenefitsBonus " xfId="283"/>
    <cellStyle name="$K" xfId="263"/>
    <cellStyle name="%" xfId="4"/>
    <cellStyle name="% 2" xfId="284"/>
    <cellStyle name="% 2 2" xfId="262"/>
    <cellStyle name="% 3" xfId="4894"/>
    <cellStyle name="% 3 2" xfId="4895"/>
    <cellStyle name="% 4" xfId="4896"/>
    <cellStyle name="% 4 2" xfId="4897"/>
    <cellStyle name="% 5" xfId="4898"/>
    <cellStyle name="% 5 2" xfId="4899"/>
    <cellStyle name="% 6" xfId="4900"/>
    <cellStyle name="% Growth" xfId="443"/>
    <cellStyle name="% of Revenues" xfId="444"/>
    <cellStyle name="%.00" xfId="445"/>
    <cellStyle name="******************************************" xfId="381"/>
    <cellStyle name="****************************************** 2" xfId="436"/>
    <cellStyle name="****************************************** 3" xfId="438"/>
    <cellStyle name="****************************************** 4" xfId="261"/>
    <cellStyle name="??" xfId="446"/>
    <cellStyle name="?? [0.00]_HELPDESK" xfId="447"/>
    <cellStyle name="?? [0]_??" xfId="448"/>
    <cellStyle name="?? 2" xfId="260"/>
    <cellStyle name="?? 3" xfId="272"/>
    <cellStyle name="?? 4" xfId="9277"/>
    <cellStyle name="?? 5" xfId="9529"/>
    <cellStyle name="?? 6" xfId="9564"/>
    <cellStyle name="?? 7" xfId="9566"/>
    <cellStyle name="?? 8" xfId="9568"/>
    <cellStyle name="?? 9" xfId="9570"/>
    <cellStyle name="???? [0.00]_HELPDESK" xfId="449"/>
    <cellStyle name="?????_VERA" xfId="450"/>
    <cellStyle name="????_HELPDESK" xfId="451"/>
    <cellStyle name="???[0]_~ME0858" xfId="259"/>
    <cellStyle name="???_~ME0858" xfId="258"/>
    <cellStyle name="??[0]_laroux" xfId="257"/>
    <cellStyle name="??_?.????" xfId="452"/>
    <cellStyle name="?@疾_2332JT3_2313COP2 " xfId="4901"/>
    <cellStyle name="?Q\?1@" xfId="5"/>
    <cellStyle name="?Q\?1@ 2" xfId="167"/>
    <cellStyle name="\" xfId="256"/>
    <cellStyle name="_%(SignOnly)" xfId="255"/>
    <cellStyle name="_%(SignOnly)_BLS2q_salesforce" xfId="254"/>
    <cellStyle name="_%(SignSpaceOnly)" xfId="253"/>
    <cellStyle name="_%(SignSpaceOnly)_BLS2q_salesforce" xfId="252"/>
    <cellStyle name="_2345" xfId="9278"/>
    <cellStyle name="_2345_Exhibit NB QoQ" xfId="9279"/>
    <cellStyle name="_2345_Exhibt NB MOM" xfId="9280"/>
    <cellStyle name="_2345_MBNB shipments_20080909" xfId="9281"/>
    <cellStyle name="_2345_MBNB shipments_20090309.wip" xfId="9282"/>
    <cellStyle name="_2345_MBNB shipments_Dec06_wip" xfId="9283"/>
    <cellStyle name="_2345_MBNB shipments_July07.wip" xfId="9284"/>
    <cellStyle name="_2345_NB-Mthly(0)" xfId="9285"/>
    <cellStyle name="_2345_TWN Top 4 MB 5 NB" xfId="9286"/>
    <cellStyle name="_2379-13" xfId="9287"/>
    <cellStyle name="_2379-13_Exhibit NB QoQ" xfId="9288"/>
    <cellStyle name="_2379-13_Exhibt NB MOM" xfId="9289"/>
    <cellStyle name="_2379-13_MBNB shipments_20080909" xfId="9290"/>
    <cellStyle name="_2379-13_MBNB shipments_20090309.wip" xfId="9291"/>
    <cellStyle name="_2379-13_MBNB shipments_Dec06_wip" xfId="9292"/>
    <cellStyle name="_2379-13_MBNB shipments_July07.wip" xfId="9293"/>
    <cellStyle name="_2379-13_NB-Mthly(0)" xfId="9294"/>
    <cellStyle name="_2379-13_TWN Top 4 MB 5 NB" xfId="9295"/>
    <cellStyle name="_2391_050503" xfId="9296"/>
    <cellStyle name="_2391_050503_Exhibit NB QoQ" xfId="9297"/>
    <cellStyle name="_2391_050503_Exhibt NB MOM" xfId="9298"/>
    <cellStyle name="_2391_050503_MBNB shipments_20080909" xfId="9299"/>
    <cellStyle name="_2391_050503_MBNB shipments_20090309.wip" xfId="9300"/>
    <cellStyle name="_2391_050503_MBNB shipments_Dec06_wip" xfId="9301"/>
    <cellStyle name="_2391_050503_MBNB shipments_July07.wip" xfId="9302"/>
    <cellStyle name="_2391_050503_NB-Mthly(0)" xfId="9303"/>
    <cellStyle name="_2391_050503_TWN Top 4 MB 5 NB" xfId="9304"/>
    <cellStyle name="_600-7R093-0000-C00 RevH Costed BOM 20060928" xfId="251"/>
    <cellStyle name="_600-7R162-0000-A00 Costed BOM 20070212" xfId="250"/>
    <cellStyle name="_960-10093-1900-001 EVGA RevC" xfId="249"/>
    <cellStyle name="_960-10093-1900-001 EVGA RevC20061024" xfId="248"/>
    <cellStyle name="_AA - BenefitsBonus " xfId="285"/>
    <cellStyle name="_AC_InterContinental" xfId="382"/>
    <cellStyle name="_Airquote - DELL chasis (FP)" xfId="247"/>
    <cellStyle name="_Airquote - DELL chasis (FP)_Lenovo PACK  Packing Proposal" xfId="246"/>
    <cellStyle name="_Airquote - DELL chasis (FP)_Lenovo Park Format_July 07 05" xfId="245"/>
    <cellStyle name="_Airquote - DELL chasis (FP)_Lenovo Park Format_July 07 05V2" xfId="244"/>
    <cellStyle name="_Alienware CBOM_PPV by SCM Update 070314" xfId="243"/>
    <cellStyle name="_Alienware SDSS#1175 CBOM - 1214" xfId="242"/>
    <cellStyle name="_Annaul model" xfId="9305"/>
    <cellStyle name="_asustek0613" xfId="9306"/>
    <cellStyle name="_asustek0613_Exhibit NB QoQ" xfId="9307"/>
    <cellStyle name="_asustek0613_Exhibt NB MOM" xfId="9308"/>
    <cellStyle name="_asustek0613_MBNB shipments_20080909" xfId="9309"/>
    <cellStyle name="_asustek0613_MBNB shipments_20090309.wip" xfId="9310"/>
    <cellStyle name="_asustek0613_MBNB shipments_Dec06_wip" xfId="9311"/>
    <cellStyle name="_asustek0613_MBNB shipments_July07.wip" xfId="9312"/>
    <cellStyle name="_asustek0613_NB-Mthly(0)" xfId="9313"/>
    <cellStyle name="_asustek0613_TWN Top 4 MB 5 NB" xfId="9314"/>
    <cellStyle name="_Balance Sheet July 9 IFRS Sept 18" xfId="241"/>
    <cellStyle name="_Balvenie Package shipment info.2" xfId="240"/>
    <cellStyle name="_Balvenie Package shipment info.2_Lenovo PACK  Packing Proposal" xfId="509"/>
    <cellStyle name="_Balvenie Package shipment info.2_Lenovo Park Format_July 07 05" xfId="682"/>
    <cellStyle name="_Balvenie Package shipment info.2_Lenovo Park Format_July 07 05V2" xfId="239"/>
    <cellStyle name="_BOM update - Supplier List (Purchase) 111102" xfId="238"/>
    <cellStyle name="_BOM update - Supplier List (Purchase) 111102_Lenovo PACK  Packing Proposal" xfId="237"/>
    <cellStyle name="_BOM update - Supplier List (Purchase) 111102_Lenovo Park Format_July 07 05" xfId="236"/>
    <cellStyle name="_BOM update - Supplier List (Purchase) 111102_Lenovo Park Format_July 07 05V2" xfId="235"/>
    <cellStyle name="_bom updated on 2002-11-10" xfId="234"/>
    <cellStyle name="_bom updated on 2002-11-10_Lenovo PACK  Packing Proposal" xfId="233"/>
    <cellStyle name="_bom updated on 2002-11-10_Lenovo Park Format_July 07 05" xfId="232"/>
    <cellStyle name="_bom updated on 2002-11-10_Lenovo Park Format_July 07 05V2" xfId="231"/>
    <cellStyle name="_bom updated on 2002-11-10-1" xfId="230"/>
    <cellStyle name="_bom updated on 2002-11-10-1_Lenovo PACK  Packing Proposal" xfId="229"/>
    <cellStyle name="_bom updated on 2002-11-10-1_Lenovo Park Format_July 07 05" xfId="228"/>
    <cellStyle name="_bom updated on 2002-11-10-1_Lenovo Park Format_July 07 05V2" xfId="227"/>
    <cellStyle name="_Book2" xfId="9315"/>
    <cellStyle name="_Book2_Exhibit NB QoQ" xfId="9316"/>
    <cellStyle name="_Book2_Exhibt NB MOM" xfId="9317"/>
    <cellStyle name="_Book2_MBNB shipments_20080909" xfId="9318"/>
    <cellStyle name="_Book2_MBNB shipments_20090309.wip" xfId="9319"/>
    <cellStyle name="_Book2_MBNB shipments_Dec06_wip" xfId="9320"/>
    <cellStyle name="_Book2_MBNB shipments_July07.wip" xfId="9321"/>
    <cellStyle name="_Book2_NB-Mthly(0)" xfId="9322"/>
    <cellStyle name="_Book2_TWN Top 4 MB 5 NB" xfId="9323"/>
    <cellStyle name="_Book7" xfId="9324"/>
    <cellStyle name="_Book7_Exhibit NB QoQ" xfId="9325"/>
    <cellStyle name="_Book7_Exhibt NB MOM" xfId="9326"/>
    <cellStyle name="_Book7_MBNB shipments_20080909" xfId="9327"/>
    <cellStyle name="_Book7_MBNB shipments_20090309.wip" xfId="9328"/>
    <cellStyle name="_Book7_MBNB shipments_Dec06_wip" xfId="9329"/>
    <cellStyle name="_Book7_MBNB shipments_July07.wip" xfId="9330"/>
    <cellStyle name="_Book7_NB-Mthly(0)" xfId="9331"/>
    <cellStyle name="_Book7_TWN Top 4 MB 5 NB" xfId="9332"/>
    <cellStyle name="_Budgetary Quote for VOIP Telephones" xfId="226"/>
    <cellStyle name="_Budgetary Quote for VOIP Telephones_Lenovo PACK  Packing Proposal" xfId="225"/>
    <cellStyle name="_Budgetary Quote for VOIP Telephones_Lenovo Park Format_July 07 05" xfId="224"/>
    <cellStyle name="_Budgetary Quote for VOIP Telephones_Lenovo Park Format_July 07 05V2" xfId="223"/>
    <cellStyle name="_By Technology, Market Share_Copy of Model2018_AAC_(WIP) " xfId="4902"/>
    <cellStyle name="_CFA10" xfId="602"/>
    <cellStyle name="_CFA4" xfId="603"/>
    <cellStyle name="_Chartered_Copy of Model2018_AAC_(WIP) " xfId="4903"/>
    <cellStyle name="_Chartered_Ichia Model2402_Modelware_Copy of Model2018_AAC_(WIP) " xfId="4904"/>
    <cellStyle name="_Chartered_Model_2402(New)_Modelware_Copy of Model2018_AAC_(WIP) " xfId="4905"/>
    <cellStyle name="_Chartered_Model_3311(New)_Copy of Model2018_AAC_(WIP) " xfId="4906"/>
    <cellStyle name="_Comma" xfId="222"/>
    <cellStyle name="_Comma_03 Contribution Analysis" xfId="221"/>
    <cellStyle name="_Comma_AA - BenefitsBonus " xfId="286"/>
    <cellStyle name="_Comma_BLS2q_salesforce" xfId="220"/>
    <cellStyle name="_Comma_Contribution of assets into USAi_02" xfId="219"/>
    <cellStyle name="_Comma_credit - newco_6_18" xfId="218"/>
    <cellStyle name="_Comma_CSC Cable makers 060502" xfId="217"/>
    <cellStyle name="_Comma_Final Pages 8-20" xfId="216"/>
    <cellStyle name="_Comma_Final Pages 8-20_BLS2q_salesforce" xfId="215"/>
    <cellStyle name="_Comma_further analysis on comparables" xfId="214"/>
    <cellStyle name="_Comma_further analysis on comparables_BLS2q_salesforce" xfId="213"/>
    <cellStyle name="_Comma_NBC-5 yearDCF-Final from Vivendi modified" xfId="212"/>
    <cellStyle name="_Comma_Training Model Shell" xfId="211"/>
    <cellStyle name="_Comma_Update 08-27-01-3" xfId="210"/>
    <cellStyle name="_Copy of Exhibit A QUOTE FORMAT_Rev1-0525_Jason-1 (Cost)" xfId="209"/>
    <cellStyle name="_Copy of Model2018_AAC_(WIP) " xfId="4907"/>
    <cellStyle name="_cost analysis" xfId="208"/>
    <cellStyle name="_Cost analysis template" xfId="207"/>
    <cellStyle name="_Cost analysis template_Lenovo PACK  Packing Proposal" xfId="206"/>
    <cellStyle name="_Cost analysis template_Lenovo Park Format_July 07 05" xfId="205"/>
    <cellStyle name="_Cost analysis template_Lenovo Park Format_July 07 05V2" xfId="204"/>
    <cellStyle name="_Cost Analysis Template-1" xfId="203"/>
    <cellStyle name="_Cost Analysis Template-1_Lenovo PACK  Packing Proposal" xfId="202"/>
    <cellStyle name="_Cost Analysis Template-1_Lenovo Park Format_July 07 05" xfId="201"/>
    <cellStyle name="_Cost Analysis Template-1_Lenovo Park Format_July 07 05V2" xfId="200"/>
    <cellStyle name="_Cost BOM" xfId="199"/>
    <cellStyle name="_Currency" xfId="198"/>
    <cellStyle name="_Currency_03 Contribution Analysis" xfId="197"/>
    <cellStyle name="_Currency_08 FB &amp; Milan IS" xfId="196"/>
    <cellStyle name="_Currency_AA - BenefitsBonus " xfId="287"/>
    <cellStyle name="_Currency_Basic LBO v06" xfId="195"/>
    <cellStyle name="_Currency_BLS2q_salesforce" xfId="194"/>
    <cellStyle name="_Currency_Contribution of assets into USAi_02" xfId="193"/>
    <cellStyle name="_Currency_credit - newco_6_18" xfId="192"/>
    <cellStyle name="_Currency_credit - newco_6_18_BLS2q_salesforce" xfId="191"/>
    <cellStyle name="_Currency_CSC Cable makers 060502" xfId="190"/>
    <cellStyle name="_Currency_Final Pages 8-20" xfId="189"/>
    <cellStyle name="_Currency_Final Pages 8-20_BLS2q_salesforce" xfId="188"/>
    <cellStyle name="_Currency_further analysis on comparables" xfId="685"/>
    <cellStyle name="_Currency_further analysis on comparables_BLS2q_salesforce" xfId="686"/>
    <cellStyle name="_Currency_merger_plans (Jason Cho) - solution" xfId="687"/>
    <cellStyle name="_Currency_MVL 2005-2007 IS v04" xfId="688"/>
    <cellStyle name="_Currency_NBC-5 yearDCF-Final from Vivendi modified" xfId="689"/>
    <cellStyle name="_Currency_Oakley Model v13" xfId="690"/>
    <cellStyle name="_Currency_Pirelli Valo" xfId="691"/>
    <cellStyle name="_Currency_Preliminary Model 30 06 00" xfId="692"/>
    <cellStyle name="_Currency_TK - Training Model" xfId="693"/>
    <cellStyle name="_Currency_Training Model Shell" xfId="694"/>
    <cellStyle name="_Currency_Training Model Shell_BLS2q_salesforce" xfId="695"/>
    <cellStyle name="_Currency_Update 08-27-01-3" xfId="696"/>
    <cellStyle name="_Currency_Update 08-27-01-3_BLS2q_salesforce" xfId="697"/>
    <cellStyle name="_Currency_Vison Ease v09" xfId="698"/>
    <cellStyle name="_Currency_Warrants Valuation Model" xfId="699"/>
    <cellStyle name="_CurrencySpace" xfId="700"/>
    <cellStyle name="_CurrencySpace_03 Contribution Analysis" xfId="701"/>
    <cellStyle name="_CurrencySpace_08 FB &amp; Milan IS" xfId="702"/>
    <cellStyle name="_CurrencySpace_AA - BenefitsBonus " xfId="288"/>
    <cellStyle name="_CurrencySpace_BLS2q_salesforce" xfId="703"/>
    <cellStyle name="_CurrencySpace_Contribution of assets into USAi_02" xfId="704"/>
    <cellStyle name="_CurrencySpace_credit - newco_6_18" xfId="705"/>
    <cellStyle name="_CurrencySpace_CSC Cable makers 060502" xfId="706"/>
    <cellStyle name="_CurrencySpace_Final Pages 8-20" xfId="707"/>
    <cellStyle name="_CurrencySpace_Final Pages 8-20_BLS2q_salesforce" xfId="708"/>
    <cellStyle name="_CurrencySpace_further analysis on comparables" xfId="709"/>
    <cellStyle name="_CurrencySpace_further analysis on comparables_BLS2q_salesforce" xfId="710"/>
    <cellStyle name="_CurrencySpace_NBC-5 yearDCF-Final from Vivendi modified" xfId="711"/>
    <cellStyle name="_CurrencySpace_NEP Model v20" xfId="712"/>
    <cellStyle name="_CurrencySpace_Oakley Model v13" xfId="713"/>
    <cellStyle name="_CurrencySpace_TK - Training Model" xfId="714"/>
    <cellStyle name="_CurrencySpace_Training Model Shell" xfId="715"/>
    <cellStyle name="_CurrencySpace_Update 08-27-01-3" xfId="716"/>
    <cellStyle name="_CurrencySpace_Vison Ease v09" xfId="717"/>
    <cellStyle name="_DA" xfId="453"/>
    <cellStyle name="_DDU AFR (DM-Miami,USA) --Douglas 070315" xfId="718"/>
    <cellStyle name="_DDU SHA by LCL ocean&amp;air -- Tina Zang061227FYI" xfId="719"/>
    <cellStyle name="_DELL Field Returns Inventory 01Mar04'2" xfId="720"/>
    <cellStyle name="_DELL Field Returns Inventory 01Mar04'2_Lenovo PACK  Packing Proposal" xfId="721"/>
    <cellStyle name="_DELL Field Returns Inventory 01Mar04'2_Lenovo Park Format_July 07 05" xfId="722"/>
    <cellStyle name="_DELL Field Returns Inventory 01Mar04'2_Lenovo Park Format_July 07 05V2" xfId="723"/>
    <cellStyle name="_Dell Fields Return Cost Estimaton - 20040308" xfId="724"/>
    <cellStyle name="_Dell Fields Return Cost Estimaton - 20040308_Lenovo PACK  Packing Proposal" xfId="725"/>
    <cellStyle name="_Dell Fields Return Cost Estimaton - 20040308_Lenovo Park Format_July 07 05" xfId="726"/>
    <cellStyle name="_Dell Fields Return Cost Estimaton - 20040308_Lenovo Park Format_July 07 05V2" xfId="727"/>
    <cellStyle name="_Dell Kookaburra L10 Costing_Rev01 (Nov 23,2007)" xfId="728"/>
    <cellStyle name="_Dell MB APCC EMF Bax (Nov 25)" xfId="729"/>
    <cellStyle name="_Dell MB APCC EMF Bax (Nov 25)_Lenovo PACK  Packing Proposal" xfId="730"/>
    <cellStyle name="_Dell MB APCC EMF Bax (Nov 25)_Lenovo Park Format_July 07 05" xfId="731"/>
    <cellStyle name="_Dell MB APCC EMF Bax (Nov 25)_Lenovo Park Format_July 07 05V2" xfId="732"/>
    <cellStyle name="_Dell MB to AMF Frt Pricing - 20040309" xfId="733"/>
    <cellStyle name="_Dell MB to AMF Frt Pricing - 20040309_Lenovo PACK  Packing Proposal" xfId="734"/>
    <cellStyle name="_Dell MB to AMF Frt Pricing - 20040309_Lenovo Park Format_July 07 05" xfId="735"/>
    <cellStyle name="_Dell MB to AMF Frt Pricing - 20040309_Lenovo Park Format_July 07 05V2" xfId="736"/>
    <cellStyle name="_Dell MB to AMF Pricing - 20040308" xfId="737"/>
    <cellStyle name="_Dell MB to AMF Pricing - 20040308_Lenovo PACK  Packing Proposal" xfId="738"/>
    <cellStyle name="_Dell MB to AMF Pricing - 20040308_Lenovo Park Format_July 07 05" xfId="739"/>
    <cellStyle name="_Dell MB to AMF Pricing - 20040308_Lenovo Park Format_July 07 05V2" xfId="740"/>
    <cellStyle name="_Dell Sneetch EE BOM COST0406-from GP-summary-revised" xfId="741"/>
    <cellStyle name="_DPA" xfId="454"/>
    <cellStyle name="_EBS Template" xfId="9333"/>
    <cellStyle name="_EBS Template_Exhibit NB QoQ" xfId="9334"/>
    <cellStyle name="_EBS Template_Exhibt NB MOM" xfId="9335"/>
    <cellStyle name="_EBS Template_MBNB shipments_20080909" xfId="9336"/>
    <cellStyle name="_EBS Template_MBNB shipments_20090309.wip" xfId="9337"/>
    <cellStyle name="_EBS Template_MBNB shipments_Dec06_wip" xfId="9338"/>
    <cellStyle name="_EBS Template_MBNB shipments_July07.wip" xfId="9339"/>
    <cellStyle name="_EBS Template_NB-Mthly(0)" xfId="9340"/>
    <cellStyle name="_EBS Template_TWN Top 4 MB 5 NB" xfId="9341"/>
    <cellStyle name="_EBS Template1" xfId="9342"/>
    <cellStyle name="_EBS Template1_Exhibit NB QoQ" xfId="9343"/>
    <cellStyle name="_EBS Template1_Exhibt NB MOM" xfId="9344"/>
    <cellStyle name="_EBS Template1_MBNB shipments_20080909" xfId="9345"/>
    <cellStyle name="_EBS Template1_MBNB shipments_20090309.wip" xfId="9346"/>
    <cellStyle name="_EBS Template1_MBNB shipments_Dec06_wip" xfId="9347"/>
    <cellStyle name="_EBS Template1_MBNB shipments_July07.wip" xfId="9348"/>
    <cellStyle name="_EBS Template1_NB-Mthly(0)" xfId="9349"/>
    <cellStyle name="_EBS Template1_TWN Top 4 MB 5 NB" xfId="9350"/>
    <cellStyle name="_EMC Koto DDP Durham - 20040707" xfId="742"/>
    <cellStyle name="_EMC Koto DDP Durham - 20040707_Lenovo PACK  Packing Proposal" xfId="743"/>
    <cellStyle name="_EMC Koto DDP Durham - 20040707_Lenovo Park Format_July 07 05" xfId="744"/>
    <cellStyle name="_EMC Koto DDP Durham - 20040707_Lenovo Park Format_July 07 05V2" xfId="745"/>
    <cellStyle name="_EPS" xfId="455"/>
    <cellStyle name="_EPS1" xfId="456"/>
    <cellStyle name="_Euro" xfId="746"/>
    <cellStyle name="_Euro_BLS2q_salesforce" xfId="747"/>
    <cellStyle name="_Exhibit NB QoQ" xfId="9351"/>
    <cellStyle name="_Exhibt NB MOM" xfId="9352"/>
    <cellStyle name="_freight  hub cost-7-281" xfId="748"/>
    <cellStyle name="_freight  hub cost-7-281_Lenovo PACK  Packing Proposal" xfId="749"/>
    <cellStyle name="_freight  hub cost-7-281_Lenovo Park Format_July 07 05" xfId="750"/>
    <cellStyle name="_freight  hub cost-7-281_Lenovo Park Format_July 07 05V2" xfId="751"/>
    <cellStyle name="_freight cost-7-12" xfId="752"/>
    <cellStyle name="_freight cost-7-12_Lenovo PACK  Packing Proposal" xfId="753"/>
    <cellStyle name="_freight cost-7-12_Lenovo Park Format_July 07 05" xfId="754"/>
    <cellStyle name="_freight cost-7-12_Lenovo Park Format_July 07 05V2" xfId="755"/>
    <cellStyle name="_GH4 360 Cost BOM-Apr-23-2008" xfId="756"/>
    <cellStyle name="_GMT_070822" xfId="4893"/>
    <cellStyle name="_Google Inc_Draft_112907_OPT for MSFT" xfId="383"/>
    <cellStyle name="—_GS_Cash " xfId="289"/>
    <cellStyle name="—_GS_Cash  2" xfId="4908"/>
    <cellStyle name="_HDD Quote Doumen Summary v2_0703013-billy add packing size" xfId="757"/>
    <cellStyle name="_Heading" xfId="758"/>
    <cellStyle name="_Heading_01 VU Liquidity 171202" xfId="759"/>
    <cellStyle name="_Heading_18 Management Projections" xfId="760"/>
    <cellStyle name="_Heading_20080616_Ownership Structure Walk-Up" xfId="761"/>
    <cellStyle name="_Heading_210302 VU Liquidity new figures" xfId="762"/>
    <cellStyle name="_Heading_prestemp" xfId="763"/>
    <cellStyle name="_Heading_Tribune Consolidated Model v578" xfId="764"/>
    <cellStyle name="_Headline" xfId="765"/>
    <cellStyle name="_Highlight" xfId="766"/>
    <cellStyle name="_Highlight 10" xfId="767"/>
    <cellStyle name="_Highlight 11" xfId="768"/>
    <cellStyle name="_Highlight 12" xfId="769"/>
    <cellStyle name="_Highlight 2" xfId="770"/>
    <cellStyle name="_Highlight 3" xfId="771"/>
    <cellStyle name="_Highlight 4" xfId="772"/>
    <cellStyle name="_Highlight 5" xfId="773"/>
    <cellStyle name="_Highlight 6" xfId="774"/>
    <cellStyle name="_Highlight 7" xfId="775"/>
    <cellStyle name="_Highlight 8" xfId="776"/>
    <cellStyle name="_Highlight 9" xfId="777"/>
    <cellStyle name="_HJF-6C0066" xfId="778"/>
    <cellStyle name="_HP bPC OFR (050912)" xfId="779"/>
    <cellStyle name="_Hub and Truck and  Ocean rate to Shanghai (Dazhong hub) 060920 revised- to Steven" xfId="780"/>
    <cellStyle name="_IBM ex DM (ORF_TFR)040719" xfId="781"/>
    <cellStyle name="_IBM ex DM (ORF_TFR)040719_Lenovo PACK  Packing Proposal" xfId="782"/>
    <cellStyle name="_IBM ex DM (ORF_TFR)040719_Lenovo Park Format_July 07 05" xfId="783"/>
    <cellStyle name="_IBM ex DM (ORF_TFR)040719_Lenovo Park Format_July 07 05V2" xfId="784"/>
    <cellStyle name="_IBM ex DM (ORF_TFR)040818" xfId="785"/>
    <cellStyle name="_IBM ex DM (ORF_TFR)040818_Lenovo PACK  Packing Proposal" xfId="786"/>
    <cellStyle name="_IBM ex DM (ORF_TFR)040818_Lenovo Park Format_July 07 05" xfId="787"/>
    <cellStyle name="_IBM ex DM (ORF_TFR)040818_Lenovo Park Format_July 07 05V2" xfId="788"/>
    <cellStyle name="_IBM Ocean Freight quoting - 20040714" xfId="789"/>
    <cellStyle name="_IBM Ocean Freight quoting - 20040714_Lenovo PACK  Packing Proposal" xfId="790"/>
    <cellStyle name="_IBM Ocean Freight quoting - 20040714_Lenovo Park Format_July 07 05" xfId="791"/>
    <cellStyle name="_IBM Ocean Freight quoting - 20040714_Lenovo Park Format_July 07 05V2" xfId="792"/>
    <cellStyle name="_IBM Ocean Freight quoting - 20040719" xfId="793"/>
    <cellStyle name="_IBM Ocean Freight quoting - 20040719_Lenovo PACK  Packing Proposal" xfId="794"/>
    <cellStyle name="_IBM Ocean Freight quoting - 20040719_Lenovo Park Format_July 07 05" xfId="795"/>
    <cellStyle name="_IBM Ocean Freight quoting - 20040719_Lenovo Park Format_July 07 05V2" xfId="796"/>
    <cellStyle name="_IBM Ocean Freight quoting - 20040728-40'HC" xfId="797"/>
    <cellStyle name="_IBM Ocean Freight quoting - 20040728-40'HC_Lenovo PACK  Packing Proposal" xfId="798"/>
    <cellStyle name="_IBM Ocean Freight quoting - 20040728-40'HC_Lenovo Park Format_July 07 05" xfId="799"/>
    <cellStyle name="_IBM Ocean Freight quoting - 20040728-40'HC_Lenovo Park Format_July 07 05V2" xfId="800"/>
    <cellStyle name="_Ichia Model2402_Modelware_Copy of Model2018_AAC_(WIP) " xfId="4909"/>
    <cellStyle name="_IE Model -- Connector Male WS (3.25.2008)" xfId="801"/>
    <cellStyle name="_IE Model -- -Control-V1 WS(5.8.2008)" xfId="802"/>
    <cellStyle name="_IE Model - Dell Sneeth MB 550K for 8Q (2508 components)" xfId="803"/>
    <cellStyle name="_IE Model -- D-Pad PCBA (3.25.2008)" xfId="804"/>
    <cellStyle name="_IE Model -- GH4 BoxBuild (Mar.25.2008)" xfId="805"/>
    <cellStyle name="_IE Model -- MB PCBA (3.25.2008)" xfId="806"/>
    <cellStyle name="_IE Model -- MB SMT(5.8.2008)" xfId="807"/>
    <cellStyle name="_IE Model -- MB WS (3.25.2008)" xfId="808"/>
    <cellStyle name="_IE Model -- MB WS(5.8.2008)" xfId="809"/>
    <cellStyle name="_IE Model -- Neck Connector Female WS (3.25.2008)" xfId="810"/>
    <cellStyle name="_IE Model -- PMD WS (3.25.2008)" xfId="811"/>
    <cellStyle name="_IE Model -- RJ-11 WS (3.25.2008)" xfId="812"/>
    <cellStyle name="_IE Model -- Slider PCBA (3.25.2008)" xfId="813"/>
    <cellStyle name="_IE Model -- Strum WS (3.25.2008)" xfId="814"/>
    <cellStyle name="_IE Model -- Synth PCBA(5.8.2008)" xfId="815"/>
    <cellStyle name="_IE Model -- Synth WS(5.8.2008)" xfId="816"/>
    <cellStyle name="_IE Model --Alienware 051101" xfId="817"/>
    <cellStyle name="_IE Model --Alienware 051102" xfId="818"/>
    <cellStyle name="_IE Model --Alienware 051103" xfId="819"/>
    <cellStyle name="_IE Model --Alienware 051104" xfId="820"/>
    <cellStyle name="_IE Model --AMD UVC project" xfId="821"/>
    <cellStyle name="_IE Model --Backplane 012907-001(Aug.21.07)" xfId="822"/>
    <cellStyle name="_IE Model --BB(5.8.2008)" xfId="823"/>
    <cellStyle name="_IE Model --Beibei SAS Backplane (July.25.07)" xfId="824"/>
    <cellStyle name="_IE Model --Control-V1 SMT(5.8.2008)" xfId="825"/>
    <cellStyle name="_IE Model --Cymbal WS(5.8.2008)" xfId="826"/>
    <cellStyle name="_IE Model --Dell heiden Mar. 1(150K per month)" xfId="827"/>
    <cellStyle name="_IE Model --Dell heiden(150K)" xfId="828"/>
    <cellStyle name="_IE Model --Dell Klammer motherboard (Jul 10, 07) Doug Edit" xfId="829"/>
    <cellStyle name="_IE Model --Dell Klammer motherboard (Jul 17, 07) Doug Edit" xfId="830"/>
    <cellStyle name="_IE Model --Dell Klammer motherboard(Apr.23,07)" xfId="831"/>
    <cellStyle name="_IE Model --Dell Kookaburra Backplane RevA (Nov 22, 2007)" xfId="832"/>
    <cellStyle name="_IE Model --Dell Kookaburra MB PCBA RevA (Nov 22,2007)" xfId="833"/>
    <cellStyle name="_IE Model --Dell Kookaburra Riser card RevA (Nov 22, 2007)" xfId="834"/>
    <cellStyle name="_IE Model --Dell Kookaburra SI RevA (Nov 22,2007)" xfId="835"/>
    <cellStyle name="_IE Model --Fan interface PCA  012513-501(Aug.22.07)" xfId="836"/>
    <cellStyle name="_IE Model --HP 7Seg (Apr.27,07)_Updated 070507" xfId="837"/>
    <cellStyle name="_IE Model --HP MB Performance(Aug.06.07)" xfId="838"/>
    <cellStyle name="_IE Model --HP MB Value(Aug.06.07)" xfId="839"/>
    <cellStyle name="_IE Model --HP ML150-G4" xfId="840"/>
    <cellStyle name="_IE Model --HP River Gunnison (Jun 21 07)" xfId="841"/>
    <cellStyle name="_IE Model --HP River MB Low (May.28.07)" xfId="842"/>
    <cellStyle name="_IE Model --HP River MB Mid-range (May.29.07)" xfId="843"/>
    <cellStyle name="_IE Model --IBM Backplane RevA (Nov 26, 2007)" xfId="844"/>
    <cellStyle name="_IE Model --IBM BeiBei MB PCBA RevA (Nov 26,2007)" xfId="845"/>
    <cellStyle name="_IE Model --IO Board 012404-501(Aug.21.07)" xfId="846"/>
    <cellStyle name="_IE Model --IO(Apr.27,07)_Updated 070507" xfId="847"/>
    <cellStyle name="_IE Model --Lenovo Beibei Plan A(July.25.07)" xfId="848"/>
    <cellStyle name="_IE Model --Lenovo Beibei Plan B(July.25.07)" xfId="849"/>
    <cellStyle name="_IE Model --Levono Jingjing(July.25.07)" xfId="850"/>
    <cellStyle name="_IE Model --Midi WS(5.8.2008)" xfId="851"/>
    <cellStyle name="_IE Model --Midplane012903-001(Aug.21.07)" xfId="852"/>
    <cellStyle name="_IE Model --NVD C55" xfId="853"/>
    <cellStyle name="_IE Model --NVD p162" xfId="854"/>
    <cellStyle name="_IE Model --NVD P280 (4)" xfId="855"/>
    <cellStyle name="_IE Model --NVD P492(20K per Month)" xfId="856"/>
    <cellStyle name="_IE Model --PMD WS(5.8.2008)" xfId="857"/>
    <cellStyle name="_IE Model --Power UID PCA1  012438-502(Aug.21.07)" xfId="858"/>
    <cellStyle name="_IE Model --Power UID PCA2  012438-501(Aug.22.07)" xfId="859"/>
    <cellStyle name="_IE Model --RFQ-P355" xfId="860"/>
    <cellStyle name="_IE Model --RFQ-P355 (3)" xfId="861"/>
    <cellStyle name="_IE Model --Wacom BB Rev A" xfId="862"/>
    <cellStyle name="_IE Model --Wacom Inverter Board Rev A" xfId="863"/>
    <cellStyle name="_IE Model --Wacom Main PCBA Rev A" xfId="864"/>
    <cellStyle name="_IE Model --Wacom OSD SW board Rev A" xfId="865"/>
    <cellStyle name="_IE Model --Wacom Power SW board Rev A" xfId="866"/>
    <cellStyle name="_IE Model --Wacom Sensor control Board Rev A" xfId="867"/>
    <cellStyle name="_IE Model --Wacom USB Connector Board Rev A" xfId="868"/>
    <cellStyle name="_IV6" xfId="604"/>
    <cellStyle name="_JapaneseCatalog" xfId="457"/>
    <cellStyle name="_Katana Freight count" xfId="869"/>
    <cellStyle name="_Katana Freight count_Lenovo PACK  Packing Proposal" xfId="870"/>
    <cellStyle name="_Katana Freight count_Lenovo Park Format_July 07 05" xfId="871"/>
    <cellStyle name="_Katana Freight count_Lenovo Park Format_July 07 05V2" xfId="872"/>
    <cellStyle name="_KN-Flex Quotes Database 030306" xfId="873"/>
    <cellStyle name="_Lenovo PACK  Packing Proposal" xfId="874"/>
    <cellStyle name="_Lenovo Park Format_July 07 05" xfId="875"/>
    <cellStyle name="_Lenovo Park Format_July 07 05V2" xfId="876"/>
    <cellStyle name="_Logistic Cost analysis (DM-SHA for Quanta) -- Stig 061018" xfId="877"/>
    <cellStyle name="_Logistic Cost analysis (FOB HK) -- Hill 061023" xfId="878"/>
    <cellStyle name="_Logistic Cost analysis (FOB HK) -- Hill 061023 (3)" xfId="879"/>
    <cellStyle name="_Logistic cost analysis 1221_DM" xfId="880"/>
    <cellStyle name="_Logistic Cost analysis template - updated" xfId="881"/>
    <cellStyle name="_MBNB shipments_20080909" xfId="9353"/>
    <cellStyle name="_MBNB shipments_20090309.wip" xfId="9354"/>
    <cellStyle name="_MBNB shipments_Dec06_wip" xfId="9355"/>
    <cellStyle name="_MBNB shipments_July07.wip" xfId="9356"/>
    <cellStyle name="_Metrics1" xfId="605"/>
    <cellStyle name="_Metrics11" xfId="606"/>
    <cellStyle name="_Metrics13" xfId="607"/>
    <cellStyle name="_Metrics3" xfId="608"/>
    <cellStyle name="_Metrics5" xfId="609"/>
    <cellStyle name="_Metrics7" xfId="610"/>
    <cellStyle name="_Metrics9" xfId="611"/>
    <cellStyle name="_Model_2402(New)_Modelware_Copy of Model2018_AAC_(WIP) " xfId="4910"/>
    <cellStyle name="_Model_3311(New)_Copy of Model2018_AAC_(WIP) " xfId="4911"/>
    <cellStyle name="_Model2394" xfId="9357"/>
    <cellStyle name="_Model2394_Exhibit NB QoQ" xfId="9358"/>
    <cellStyle name="_Model2394_Exhibt NB MOM" xfId="9359"/>
    <cellStyle name="_Model2394_MBNB shipments_20080909" xfId="9360"/>
    <cellStyle name="_Model2394_MBNB shipments_20090309.wip" xfId="9361"/>
    <cellStyle name="_Model2394_MBNB shipments_Dec06_wip" xfId="9362"/>
    <cellStyle name="_Model2394_MBNB shipments_July07.wip" xfId="9363"/>
    <cellStyle name="_Model2394_NB-Mthly(0)" xfId="9364"/>
    <cellStyle name="_Model2394_TWN Top 4 MB 5 NB" xfId="9365"/>
    <cellStyle name="_Model2401_2Q03result" xfId="9366"/>
    <cellStyle name="_Model2401_2Q03result_Exhibit NB QoQ" xfId="9367"/>
    <cellStyle name="_Model2401_2Q03result_Exhibt NB MOM" xfId="9368"/>
    <cellStyle name="_Model2401_2Q03result_MBNB shipments_20080909" xfId="9369"/>
    <cellStyle name="_Model2401_2Q03result_MBNB shipments_20090309.wip" xfId="9370"/>
    <cellStyle name="_Model2401_2Q03result_MBNB shipments_Dec06_wip" xfId="9371"/>
    <cellStyle name="_Model2401_2Q03result_MBNB shipments_July07.wip" xfId="9372"/>
    <cellStyle name="_Model2401_2Q03result_NB-Mthly(0)" xfId="9373"/>
    <cellStyle name="_Model2401_2Q03result_TWN Top 4 MB 5 NB" xfId="9374"/>
    <cellStyle name="_Model3008_08'03" xfId="9375"/>
    <cellStyle name="_Model3008_08'03_Exhibit NB QoQ" xfId="9376"/>
    <cellStyle name="_Model3008_08'03_Exhibt NB MOM" xfId="9377"/>
    <cellStyle name="_Model3008_08'03_MBNB shipments_20080909" xfId="9378"/>
    <cellStyle name="_Model3008_08'03_MBNB shipments_20090309.wip" xfId="9379"/>
    <cellStyle name="_Model3008_08'03_MBNB shipments_Dec06_wip" xfId="9380"/>
    <cellStyle name="_Model3008_08'03_MBNB shipments_July07.wip" xfId="9381"/>
    <cellStyle name="_Model3008_08'03_NB-Mthly(0)" xfId="9382"/>
    <cellStyle name="_Model3008_08'03_TWN Top 4 MB 5 NB" xfId="9383"/>
    <cellStyle name="_Model3019_08'03" xfId="9384"/>
    <cellStyle name="_Model3019_08'03_Exhibit NB QoQ" xfId="9385"/>
    <cellStyle name="_Model3019_08'03_Exhibt NB MOM" xfId="9386"/>
    <cellStyle name="_Model3019_08'03_MBNB shipments_20080909" xfId="9387"/>
    <cellStyle name="_Model3019_08'03_MBNB shipments_20090309.wip" xfId="9388"/>
    <cellStyle name="_Model3019_08'03_MBNB shipments_Dec06_wip" xfId="9389"/>
    <cellStyle name="_Model3019_08'03_MBNB shipments_July07.wip" xfId="9390"/>
    <cellStyle name="_Model3019_08'03_NB-Mthly(0)" xfId="9391"/>
    <cellStyle name="_Model3019_08'03_TWN Top 4 MB 5 NB" xfId="9392"/>
    <cellStyle name="_Model3059" xfId="9393"/>
    <cellStyle name="_Model3059_Exhibit NB QoQ" xfId="9394"/>
    <cellStyle name="_Model3059_Exhibt NB MOM" xfId="9395"/>
    <cellStyle name="_Model3059_MBNB shipments_20080909" xfId="9396"/>
    <cellStyle name="_Model3059_MBNB shipments_20090309.wip" xfId="9397"/>
    <cellStyle name="_Model3059_MBNB shipments_Dec06_wip" xfId="9398"/>
    <cellStyle name="_Model3059_MBNB shipments_July07.wip" xfId="9399"/>
    <cellStyle name="_Model3059_NB-Mthly(0)" xfId="9400"/>
    <cellStyle name="_Model3059_TWN Top 4 MB 5 NB" xfId="9401"/>
    <cellStyle name="_Monthly sales" xfId="9402"/>
    <cellStyle name="_Motherboard Pricing 20030722" xfId="882"/>
    <cellStyle name="_Motherboard Pricing 20030722_Lenovo PACK  Packing Proposal" xfId="883"/>
    <cellStyle name="_Motherboard Pricing 20030722_Lenovo Park Format_July 07 05" xfId="884"/>
    <cellStyle name="_Motherboard Pricing 20030722_Lenovo Park Format_July 07 05V2" xfId="885"/>
    <cellStyle name="_MOTO SLIC300MP FOB HK Transport Pricing Targe Vol (R2)" xfId="886"/>
    <cellStyle name="_MOTO SLIC300MP FOB HK Transport Pricing Targe Vol (R2)_Lenovo PACK  Packing Proposal" xfId="887"/>
    <cellStyle name="_MOTO SLIC300MP FOB HK Transport Pricing Targe Vol (R2)_Lenovo Park Format_July 07 05" xfId="888"/>
    <cellStyle name="_MOTO SLIC300MP FOB HK Transport Pricing Targe Vol (R2)_Lenovo Park Format_July 07 05V2" xfId="889"/>
    <cellStyle name="_MOTO SLIC300MP FOB HK Transport Pricing Targe Vol (R2)_Salcomp FCA HK Transport Pricing Dec11" xfId="890"/>
    <cellStyle name="_MOTO SLIC300MP FOB HK Transport Pricing Targe Vol (R2)_Salcomp FCA HK Transport Pricing Dec11_Lenovo PACK  Packing Proposal" xfId="891"/>
    <cellStyle name="_MOTO SLIC300MP FOB HK Transport Pricing Targe Vol (R2)_Salcomp FCA HK Transport Pricing Dec11_Lenovo Park Format_July 07 05" xfId="892"/>
    <cellStyle name="_MOTO SLIC300MP FOB HK Transport Pricing Targe Vol (R2)_Salcomp FCA HK Transport Pricing Dec11_Lenovo Park Format_July 07 05V2" xfId="893"/>
    <cellStyle name="_MOTO SLIC300MP FOB HK Transport Pricing(Target Volume)" xfId="894"/>
    <cellStyle name="_MOTO SLIC300MP FOB HK Transport Pricing(Target Volume)_Lenovo PACK  Packing Proposal" xfId="895"/>
    <cellStyle name="_MOTO SLIC300MP FOB HK Transport Pricing(Target Volume)_Lenovo Park Format_July 07 05" xfId="896"/>
    <cellStyle name="_MOTO SLIC300MP FOB HK Transport Pricing(Target Volume)_Lenovo Park Format_July 07 05V2" xfId="897"/>
    <cellStyle name="_MOTO SLIC300MP FOB HK Transport Pricing(Target Volume)_Salcomp FCA HK Transport Pricing Dec11" xfId="898"/>
    <cellStyle name="_MOTO SLIC300MP FOB HK Transport Pricing(Target Volume)_Salcomp FCA HK Transport Pricing Dec11_Lenovo PACK  Packing Proposal" xfId="899"/>
    <cellStyle name="_MOTO SLIC300MP FOB HK Transport Pricing(Target Volume)_Salcomp FCA HK Transport Pricing Dec11_Lenovo Park Format_July 07 05" xfId="900"/>
    <cellStyle name="_MOTO SLIC300MP FOB HK Transport Pricing(Target Volume)_Salcomp FCA HK Transport Pricing Dec11_Lenovo Park Format_July 07 05V2" xfId="901"/>
    <cellStyle name="_Mozart BOM-Cost_06Apr05" xfId="902"/>
    <cellStyle name="_Mozart BOM-Cost_06Apr05_Lenovo PARK BOM Zero cost 705_05V2" xfId="903"/>
    <cellStyle name="_Mozart BOM-Cost_06Apr05_Lenovo PARK BOM Zero cost 705_05V2_Lenovo Park Format_July 07 05" xfId="904"/>
    <cellStyle name="_Mozart BOM-Cost_06Apr05_Lenovo PARK BOM Zero cost 705_05V2_Lenovo Park Format_July 07 05V2" xfId="905"/>
    <cellStyle name="_Mozart BOM-Cost_06Apr05_Lenovo Park Format (proposed Evans)" xfId="906"/>
    <cellStyle name="_Mozart BOM-Cost_06Apr05_Lenovo Park Format (proposed Evans)_Lenovo Park Format_July 07 05" xfId="907"/>
    <cellStyle name="_Mozart BOM-Cost_06Apr05_Lenovo Park Format (proposed Evans)_Lenovo Park Format_July 07 05V2" xfId="908"/>
    <cellStyle name="_Mozart BOM-Cost_06Apr05_Lenovo Park Format_July 07 05" xfId="909"/>
    <cellStyle name="_Mozart BOM-Cost_06Apr05_Lenovo Park Format_July 07 05V2" xfId="910"/>
    <cellStyle name="_Multiple" xfId="911"/>
    <cellStyle name="_Multiple_02 Pfd Valuation" xfId="912"/>
    <cellStyle name="_Multiple_03 Contribution Analysis" xfId="913"/>
    <cellStyle name="_Multiple_20080605_182 NewCo Agreement Model_v36" xfId="914"/>
    <cellStyle name="_Multiple_20080616_Ownership Structure Walk-Up" xfId="915"/>
    <cellStyle name="_Multiple_AA - BenefitsBonus " xfId="290"/>
    <cellStyle name="_Multiple_Basic LBO v06" xfId="916"/>
    <cellStyle name="_Multiple_Contribution of assets into USAi_02" xfId="917"/>
    <cellStyle name="_Multiple_credit - newco_6_18" xfId="918"/>
    <cellStyle name="_Multiple_credit - newco_6_18_BLS2q_salesforce" xfId="919"/>
    <cellStyle name="_Multiple_CSC Cable makers 060502" xfId="920"/>
    <cellStyle name="_Multiple_Final Pages 8-20" xfId="921"/>
    <cellStyle name="_Multiple_further analysis on comparables" xfId="922"/>
    <cellStyle name="_Multiple_NBC-5 yearDCF-Final from Vivendi modified" xfId="923"/>
    <cellStyle name="_Multiple_Oakley Model v13" xfId="924"/>
    <cellStyle name="_Multiple_Training Model Shell" xfId="925"/>
    <cellStyle name="_Multiple_Training Model Shell_BLS2q_salesforce" xfId="926"/>
    <cellStyle name="_Multiple_Update 08-27-01-3" xfId="927"/>
    <cellStyle name="_Multiple_Update 08-27-01-3_BLS2q_salesforce" xfId="928"/>
    <cellStyle name="_Multiple_USA Ownership" xfId="929"/>
    <cellStyle name="_MultipleSpace" xfId="930"/>
    <cellStyle name="_MultipleSpace_02 Pfd Valuation" xfId="931"/>
    <cellStyle name="_MultipleSpace_03 Contribution Analysis" xfId="932"/>
    <cellStyle name="_MultipleSpace_20080605_182 NewCo Agreement Model_v36" xfId="933"/>
    <cellStyle name="_MultipleSpace_20080616_Ownership Structure Walk-Up" xfId="934"/>
    <cellStyle name="_MultipleSpace_AA - BenefitsBonus " xfId="291"/>
    <cellStyle name="_MultipleSpace_BLS2q_salesforce" xfId="935"/>
    <cellStyle name="_MultipleSpace_Contribution of assets into USAi_02" xfId="936"/>
    <cellStyle name="_MultipleSpace_credit - newco_6_18" xfId="937"/>
    <cellStyle name="_MultipleSpace_credit - newco_6_18_BLS2q_salesforce" xfId="938"/>
    <cellStyle name="_MultipleSpace_CSC Cable makers 060502" xfId="939"/>
    <cellStyle name="_MultipleSpace_EBITDA Multiple_3" xfId="940"/>
    <cellStyle name="_MultipleSpace_Final Pages 8-20" xfId="941"/>
    <cellStyle name="_MultipleSpace_Final Pages 8-20_BLS2q_salesforce" xfId="942"/>
    <cellStyle name="_MultipleSpace_further analysis on comparables" xfId="943"/>
    <cellStyle name="_MultipleSpace_further analysis on comparables_BLS2q_salesforce" xfId="944"/>
    <cellStyle name="_MultipleSpace_NBC-5 yearDCF-Final from Vivendi modified" xfId="945"/>
    <cellStyle name="_MultipleSpace_Training Model Shell" xfId="946"/>
    <cellStyle name="_MultipleSpace_Training Model Shell_BLS2q_salesforce" xfId="947"/>
    <cellStyle name="_MultipleSpace_Update 08-27-01-3" xfId="948"/>
    <cellStyle name="_MultipleSpace_Update 08-27-01-3_BLS2q_salesforce" xfId="949"/>
    <cellStyle name="_MultipleSpace_USA Ownership" xfId="950"/>
    <cellStyle name="_MultipleSpace_VU Valuation-top down approach 02" xfId="951"/>
    <cellStyle name="_MW_CFA" xfId="612"/>
    <cellStyle name="_MWAnalytics" xfId="458"/>
    <cellStyle name="_NB-Mthly(0)" xfId="9403"/>
    <cellStyle name="_Ocean Freight Request - HKG to Touyuan" xfId="952"/>
    <cellStyle name="_Ocean Freight RFQ - New Format" xfId="953"/>
    <cellStyle name="_Ocean Freight RFQ - New Lane Pair EX DGN 20050419" xfId="954"/>
    <cellStyle name="_ONL Considerations PR CY09 AOP 01-21-09 FINAL" xfId="955"/>
    <cellStyle name="_P456 COST BOM_Sep29th" xfId="956"/>
    <cellStyle name="_P50455 Costed BOM 20050922" xfId="957"/>
    <cellStyle name="_PACKAGE COST Lenovo Speyburn IV " xfId="958"/>
    <cellStyle name="_PACKAGE COST-Andes Lenovo 17L" xfId="959"/>
    <cellStyle name="_PACKAGE COST-HP Malibu DL580 G5" xfId="960"/>
    <cellStyle name="_PACKAGE COST-Lenovo 13LS" xfId="961"/>
    <cellStyle name="_PACKAGE COST-Lenovo 25LM" xfId="962"/>
    <cellStyle name="_PACKAGE COST-Martel- W-Handle" xfId="963"/>
    <cellStyle name="_PACKAGE COST-Martel- WO_Handle" xfId="964"/>
    <cellStyle name="_PACKAGE-ASSY COST Apollo" xfId="965"/>
    <cellStyle name="_PACKAGE-ASSY COST-Lenova Bluesky (2)" xfId="966"/>
    <cellStyle name="_Percent" xfId="967"/>
    <cellStyle name="_Percent_02 Pfd Valuation" xfId="968"/>
    <cellStyle name="_Percent_20080616_Ownership Structure Walk-Up" xfId="969"/>
    <cellStyle name="_Percent_AA - BenefitsBonus " xfId="292"/>
    <cellStyle name="_Percent_BLS2q_salesforce" xfId="970"/>
    <cellStyle name="_Percent_USA Ownership" xfId="971"/>
    <cellStyle name="_PercentSpace" xfId="972"/>
    <cellStyle name="_PercentSpace_02 Pfd Valuation" xfId="973"/>
    <cellStyle name="_PercentSpace_20080616_Ownership Structure Walk-Up" xfId="974"/>
    <cellStyle name="_PercentSpace_AA - BenefitsBonus " xfId="293"/>
    <cellStyle name="_PercentSpace_BLS2q_salesforce" xfId="975"/>
    <cellStyle name="_PercentSpace_USA Ownership" xfId="976"/>
    <cellStyle name="_PL VG au 9 juillet 2008" xfId="977"/>
    <cellStyle name="_PM93 Quote Summary Update 061024" xfId="978"/>
    <cellStyle name="_PPA 9Cegetel 30 juin (040808)" xfId="979"/>
    <cellStyle name="_Presentation ATVI" xfId="980"/>
    <cellStyle name="_quaterly model" xfId="9404"/>
    <cellStyle name="_quotation(IBM) to david new" xfId="981"/>
    <cellStyle name="_quotation(IBM) to david new_Lenovo PACK  Packing Proposal" xfId="982"/>
    <cellStyle name="_quotation(IBM) to david new_Lenovo Park Format_July 07 05" xfId="983"/>
    <cellStyle name="_quotation(IBM) to david new_Lenovo Park Format_July 07 05V2" xfId="984"/>
    <cellStyle name="_RFQ required by Makkah 1101 (3)" xfId="985"/>
    <cellStyle name="_RI valuation" xfId="9405"/>
    <cellStyle name="_ROE2" xfId="613"/>
    <cellStyle name="_ROE4" xfId="614"/>
    <cellStyle name="_ROE8" xfId="615"/>
    <cellStyle name="_RollDG Template 605" xfId="986"/>
    <cellStyle name="_RollDM Alienware PCBA only business_ELC DIP Cards 070314" xfId="987"/>
    <cellStyle name="_RollDM Dell MB Heiden $70 BOM_Revised with Roberto 070318_$4TC Goal Seek" xfId="988"/>
    <cellStyle name="_RollDM Dell Sneeth MB_Rev01 070405" xfId="989"/>
    <cellStyle name="_RollDM HP MSA50 PCBA Cost Model_Quote 500K Monthly Rev01 (Aug 29, 2007)" xfId="990"/>
    <cellStyle name="_RollDM HP Rivers MB Gunnison_9K-13K monthly 070622" xfId="991"/>
    <cellStyle name="_RollDM L10 Cost Model_Template 070712 Rev 1.2" xfId="992"/>
    <cellStyle name="_RollDM Nvidia Add-in Card-50329" xfId="993"/>
    <cellStyle name="_RollDM Nvidia Add-in Card-50330 rev b" xfId="994"/>
    <cellStyle name="_RollDM Nvidia P381" xfId="995"/>
    <cellStyle name="_RollDM Nvidia P492 Rev 1" xfId="996"/>
    <cellStyle name="_RollDM nVidia PM132 060929" xfId="997"/>
    <cellStyle name="_RollDM Nvidia PM93 960" xfId="998"/>
    <cellStyle name="_RollDM Nvidia PM93 960 EVGA ON OFF 061024 Revised 1.2" xfId="999"/>
    <cellStyle name="_RollDM PCBA Cost Model_Template 070802 Rev C_Single High Volume Model" xfId="1000"/>
    <cellStyle name="_RollDM Template 605" xfId="1001"/>
    <cellStyle name="_RRS1" xfId="6"/>
    <cellStyle name="_RRS1 2" xfId="294"/>
    <cellStyle name="_RRS1 3" xfId="4912"/>
    <cellStyle name="_RRS1 3 2" xfId="4913"/>
    <cellStyle name="_RRS1 4" xfId="4914"/>
    <cellStyle name="_RRS1 4 2" xfId="4915"/>
    <cellStyle name="_RRS1 5" xfId="4916"/>
    <cellStyle name="_RRS1 5 2" xfId="4917"/>
    <cellStyle name="_RRS1 6" xfId="4918"/>
    <cellStyle name="_RRS15" xfId="295"/>
    <cellStyle name="_RRS20" xfId="296"/>
    <cellStyle name="_RRS3" xfId="297"/>
    <cellStyle name="_RRS3 2" xfId="4919"/>
    <cellStyle name="_RRS3 3" xfId="4920"/>
    <cellStyle name="_RRS3 3 2" xfId="4921"/>
    <cellStyle name="_RRS3 4" xfId="4922"/>
    <cellStyle name="_RRS3 4 2" xfId="4923"/>
    <cellStyle name="_RRS3 5" xfId="4924"/>
    <cellStyle name="_RRS3 5 2" xfId="4925"/>
    <cellStyle name="_RRS3 6" xfId="4926"/>
    <cellStyle name="_RRS4" xfId="7"/>
    <cellStyle name="_RRS4 2" xfId="679"/>
    <cellStyle name="_RRS4 3" xfId="4927"/>
    <cellStyle name="_RRS4 3 2" xfId="4928"/>
    <cellStyle name="_RRS4 4" xfId="4929"/>
    <cellStyle name="_RRS4 4 2" xfId="4930"/>
    <cellStyle name="_RRS4 5" xfId="4931"/>
    <cellStyle name="_RRS4 5 2" xfId="4932"/>
    <cellStyle name="_RRS4 6" xfId="4933"/>
    <cellStyle name="_RRS6" xfId="298"/>
    <cellStyle name="_Salcomp FCA HK Transport Pricing Dec11" xfId="1002"/>
    <cellStyle name="_Salcomp FCA HK Transport Pricing Dec11_Lenovo PACK  Packing Proposal" xfId="1003"/>
    <cellStyle name="_Salcomp FCA HK Transport Pricing Dec11_Lenovo Park Format_July 07 05" xfId="1004"/>
    <cellStyle name="_Salcomp FCA HK Transport Pricing Dec11_Lenovo Park Format_July 07 05V2" xfId="1005"/>
    <cellStyle name="_Sheet2" xfId="1006"/>
    <cellStyle name="_Sheet2_Kuehne+Nagel Ocean Freight Rate Table 2005" xfId="1007"/>
    <cellStyle name="_Sheet2_Kuehne+Nagel Ocean Freight Rate Table1" xfId="1008"/>
    <cellStyle name="_SubHeading" xfId="1009"/>
    <cellStyle name="_SubHeading_01 VU Liquidity 171202" xfId="1010"/>
    <cellStyle name="_SubHeading_20080616_Ownership Structure Walk-Up" xfId="1011"/>
    <cellStyle name="_SubHeading_210302 VU Liquidity new figures" xfId="1012"/>
    <cellStyle name="_SubHeading_Contribution of assets into USAi_02" xfId="1013"/>
    <cellStyle name="_SubHeading_NBC-5 yearDCF-Final from Vivendi modified" xfId="1014"/>
    <cellStyle name="_SubHeading_prestemp" xfId="1015"/>
    <cellStyle name="_SubHeading_prestemp_USAi Warrants Valuation 1" xfId="1016"/>
    <cellStyle name="_SubHeading_Tribune Consolidated Model v578" xfId="1017"/>
    <cellStyle name="_SUMMARY " xfId="8"/>
    <cellStyle name="_SUMMARY  2" xfId="299"/>
    <cellStyle name="_SUMMARY  3" xfId="4934"/>
    <cellStyle name="_SUMMARY  3 2" xfId="4935"/>
    <cellStyle name="_SUMMARY  4" xfId="4936"/>
    <cellStyle name="_SUMMARY  4 2" xfId="4937"/>
    <cellStyle name="_SUMMARY  5" xfId="4938"/>
    <cellStyle name="_SUMMARY  5 2" xfId="4939"/>
    <cellStyle name="_SUMMARY  6" xfId="4940"/>
    <cellStyle name="_SY Earnings(Labor cost)" xfId="616"/>
    <cellStyle name="_Table" xfId="1018"/>
    <cellStyle name="_Table_02 Pfd Valuation" xfId="1019"/>
    <cellStyle name="_Table_03 Contribution Analysis" xfId="1020"/>
    <cellStyle name="_Table_20080616_Ownership Structure Walk-Up" xfId="1021"/>
    <cellStyle name="_Table_Contribution of assets into USAi_02" xfId="1022"/>
    <cellStyle name="_Table_NBC-5 yearDCF-Final from Vivendi modified" xfId="1023"/>
    <cellStyle name="_Table_USA Ownership" xfId="1024"/>
    <cellStyle name="_TableHead" xfId="1025"/>
    <cellStyle name="_TableHead_03 Contribution Analysis" xfId="1026"/>
    <cellStyle name="_TableHead_20080616_Ownership Structure Walk-Up" xfId="1027"/>
    <cellStyle name="_TableHead_Basic LBO v06" xfId="1028"/>
    <cellStyle name="_TableHead_Black Scholes Model" xfId="1029"/>
    <cellStyle name="_TableHeading" xfId="1030"/>
    <cellStyle name="_TableRowBorder" xfId="1031"/>
    <cellStyle name="_TableRowHead" xfId="1032"/>
    <cellStyle name="_TableRowHead_03 Contribution Analysis" xfId="1033"/>
    <cellStyle name="_TableRowHead_20080616_Ownership Structure Walk-Up" xfId="1034"/>
    <cellStyle name="_TableRowHead_Basic LBO v06" xfId="1035"/>
    <cellStyle name="_TableRowHeading" xfId="1036"/>
    <cellStyle name="_TableSuperHead" xfId="1037"/>
    <cellStyle name="_TableSuperHead_02 Pfd Valuation" xfId="1038"/>
    <cellStyle name="_TableSuperHead_03 Contribution Analysis" xfId="1039"/>
    <cellStyle name="_TableSuperHead_20080616_Ownership Structure Walk-Up" xfId="1040"/>
    <cellStyle name="_TableSuperHead_As the Market has Lower Implied Growth Expectations v2" xfId="1041"/>
    <cellStyle name="_TableSuperHead_Basic LBO v06" xfId="1042"/>
    <cellStyle name="_TableSuperHead_USA Ownership" xfId="1043"/>
    <cellStyle name="_TableSuperHeading" xfId="1044"/>
    <cellStyle name="_TableText" xfId="1045"/>
    <cellStyle name="_Taiwan" xfId="9406"/>
    <cellStyle name="_Transportation Charges from DM to Huizhou" xfId="1046"/>
    <cellStyle name="_Transportation Charges from DM to Huizhou_Lenovo PACK  Packing Proposal" xfId="1047"/>
    <cellStyle name="_Transportation Charges from DM to Huizhou_Lenovo Park Format_July 07 05" xfId="1048"/>
    <cellStyle name="_Transportation Charges from DM to Huizhou_Lenovo Park Format_July 07 05V2" xfId="1049"/>
    <cellStyle name="_Trt-KX864-CDC-DM-HK-Futian" xfId="1050"/>
    <cellStyle name="_Trt-KX864-CDC-DM-HK-Futian_Lenovo PACK  Packing Proposal" xfId="1051"/>
    <cellStyle name="_Trt-KX864-CDC-DM-HK-Futian_Lenovo Park Format_July 07 05" xfId="1052"/>
    <cellStyle name="_Trt-KX864-CDC-DM-HK-Futian_Lenovo Park Format_July 07 05V2" xfId="1053"/>
    <cellStyle name="_TWN Top 4 MB 5 NB" xfId="9407"/>
    <cellStyle name="_US GAAP" xfId="9408"/>
    <cellStyle name="_US GAAP_Copy of Model2018_AAC_(WIP) " xfId="4941"/>
    <cellStyle name="_US GAAP_Exhibit NB QoQ" xfId="9409"/>
    <cellStyle name="_US GAAP_Exhibt NB MOM" xfId="9410"/>
    <cellStyle name="_US GAAP_MBNB shipments_20080909" xfId="9411"/>
    <cellStyle name="_US GAAP_MBNB shipments_20090309.wip" xfId="9412"/>
    <cellStyle name="_US GAAP_MBNB shipments_Dec06_wip" xfId="9413"/>
    <cellStyle name="_US GAAP_MBNB shipments_July07.wip" xfId="9414"/>
    <cellStyle name="_US GAAP_NB-Mthly(0)" xfId="9415"/>
    <cellStyle name="_US GAAP_TWN Top 4 MB 5 NB" xfId="9416"/>
    <cellStyle name="_Valuation_ROC RI" xfId="9417"/>
    <cellStyle name="_WaterfrontRequote0525_DN_(JS)" xfId="1054"/>
    <cellStyle name="_Wireline Tel Forecast " xfId="9"/>
    <cellStyle name="_Wireline Tel Forecast  2" xfId="168"/>
    <cellStyle name="_XBOX 360 Drum BOM" xfId="1055"/>
    <cellStyle name="_XBOX MB repair &amp; refurbish freight cost" xfId="1056"/>
    <cellStyle name="_XBOX MB repair &amp; refurbish freight cost_Lenovo PACK  Packing Proposal" xfId="1057"/>
    <cellStyle name="_XBOX MB repair &amp; refurbish freight cost_Lenovo Park Format_July 07 05" xfId="1058"/>
    <cellStyle name="_XBOX MB repair &amp; refurbish freight cost_Lenovo Park Format_July 07 05V2" xfId="1059"/>
    <cellStyle name="_XBOX MB RR Transport Cost - Air  Express 040506R1" xfId="1060"/>
    <cellStyle name="_XBOX MB RR Transport Cost - Air  Express 040506R1_Lenovo PACK  Packing Proposal" xfId="1061"/>
    <cellStyle name="_XBOX MB RR Transport Cost - Air  Express 040506R1_Lenovo Park Format_July 07 05" xfId="1062"/>
    <cellStyle name="_XBOX MB RR Transport Cost - Air  Express 040506R1_Lenovo Park Format_July 07 05V2" xfId="1063"/>
    <cellStyle name="_XBOX MB RR Transport Cost - Air &amp; Express 040506R1" xfId="1064"/>
    <cellStyle name="_XBOX MB RR Transport Cost - Air &amp; Express 040506R1_Lenovo PACK  Packing Proposal" xfId="1065"/>
    <cellStyle name="_XBOX MB RR Transport Cost - Air &amp; Express 040506R1_Lenovo Park Format_July 07 05" xfId="1066"/>
    <cellStyle name="_XBOX MB RR Transport Cost - Air &amp; Express 040506R1_Lenovo Park Format_July 07 05V2" xfId="1067"/>
    <cellStyle name="_XBOX Total BI Q1'08 0310" xfId="1068"/>
    <cellStyle name="’Ê‰Ý [0.00]_GE 3 MINIMUM" xfId="10"/>
    <cellStyle name="’Ê‰Ý_GE 3 MINIMUM" xfId="11"/>
    <cellStyle name="“ú–{Œê" xfId="459"/>
    <cellStyle name="£ BP" xfId="12"/>
    <cellStyle name="£ BP 2" xfId="460"/>
    <cellStyle name="¤@¯ë_2311" xfId="9418"/>
    <cellStyle name="¤d¤À¦ì[0]_2311" xfId="9419"/>
    <cellStyle name="¤d¤À¦ì_2311" xfId="9420"/>
    <cellStyle name="¥ JY" xfId="13"/>
    <cellStyle name="¥ JY 2" xfId="461"/>
    <cellStyle name="¥ JY 3" xfId="9421"/>
    <cellStyle name="=C:\WINNT35\SYSTEM32\COMMAND.COM" xfId="14"/>
    <cellStyle name="=C:\WINNT35\SYSTEM32\COMMAND.COM 2" xfId="300"/>
    <cellStyle name="=C:\WINNT35\SYSTEM32\COMMAND.COM 3" xfId="4942"/>
    <cellStyle name="=C:\WINNT35\SYSTEM32\COMMAND.COM 3 2" xfId="4943"/>
    <cellStyle name="=C:\WINNT35\SYSTEM32\COMMAND.COM 4" xfId="4944"/>
    <cellStyle name="=C:\WINNT35\SYSTEM32\COMMAND.COM 4 2" xfId="4945"/>
    <cellStyle name="=C:\WINNT35\SYSTEM32\COMMAND.COM 5" xfId="4946"/>
    <cellStyle name="=C:\WINNT35\SYSTEM32\COMMAND.COM 5 2" xfId="4947"/>
    <cellStyle name="=C:\WINNT35\SYSTEM32\COMMAND.COM 6" xfId="4948"/>
    <cellStyle name="§Q\?1@" xfId="4949"/>
    <cellStyle name="•W€_Comparables" xfId="15"/>
    <cellStyle name="•W_EditLog" xfId="462"/>
    <cellStyle name="0" xfId="16"/>
    <cellStyle name="0%" xfId="17"/>
    <cellStyle name="0% 2" xfId="301"/>
    <cellStyle name="0% 3" xfId="4950"/>
    <cellStyle name="0% 3 2" xfId="4951"/>
    <cellStyle name="0% 4" xfId="4952"/>
    <cellStyle name="0% 4 2" xfId="4953"/>
    <cellStyle name="0% 5" xfId="4954"/>
    <cellStyle name="0% 5 2" xfId="4955"/>
    <cellStyle name="0% 6" xfId="4956"/>
    <cellStyle name="0,0_x000d__x000a_NA_x000d__x000a_" xfId="1069"/>
    <cellStyle name="0.0" xfId="18"/>
    <cellStyle name="0.0%" xfId="19"/>
    <cellStyle name="0.0_40050504 (pension)" xfId="464"/>
    <cellStyle name="0.00" xfId="20"/>
    <cellStyle name="0.00%" xfId="21"/>
    <cellStyle name="0.00_40050504 (pension)" xfId="465"/>
    <cellStyle name="0_40050504 (pension)" xfId="466"/>
    <cellStyle name="0_Capex &amp; Depreciation " xfId="22"/>
    <cellStyle name="0_Capex &amp; Depreciation _RRST1" xfId="302"/>
    <cellStyle name="0_Capex &amp; Depreciation _RRST20" xfId="4957"/>
    <cellStyle name="0_Capex &amp; Depreciation _RRST20 2" xfId="4958"/>
    <cellStyle name="0_Capex &amp; Depreciation _RRST25" xfId="4959"/>
    <cellStyle name="0_Capex &amp; Depreciation _RRST25 2" xfId="4960"/>
    <cellStyle name="0_ConsensusPanel_v20080325 (2)" xfId="617"/>
    <cellStyle name="0_Copy of Model2018_AAC_(WIP) " xfId="4961"/>
    <cellStyle name="0_geconsensusv1" xfId="618"/>
    <cellStyle name="0_Handset component data_Copy of Model2018_AAC_(WIP) " xfId="4962"/>
    <cellStyle name="0_IV2" xfId="619"/>
    <cellStyle name="0_IV6" xfId="620"/>
    <cellStyle name="0_Japan Pension Module Sumitomo Chemical" xfId="467"/>
    <cellStyle name="0_JapaneseCatalog" xfId="468"/>
    <cellStyle name="0_MB-Mthly(1)" xfId="9422"/>
    <cellStyle name="0_MB-Mthly(1)_Exhibit NB QoQ" xfId="9423"/>
    <cellStyle name="0_MB-Mthly(1)_Exhibt NB MOM" xfId="9424"/>
    <cellStyle name="0_MB-Mthly(1)_MBNB shipments_20080909" xfId="9425"/>
    <cellStyle name="0_MB-Mthly(1)_MBNB shipments_20090309.wip" xfId="9426"/>
    <cellStyle name="0_MB-Mthly(1)_MBNB shipments_Dec06_wip" xfId="9427"/>
    <cellStyle name="0_MB-Mthly(1)_MBNB shipments_July07.wip" xfId="9428"/>
    <cellStyle name="0_MB-Mthly(1)_NB-Mthly(0)" xfId="9429"/>
    <cellStyle name="0_ROE2" xfId="621"/>
    <cellStyle name="0_ROE4" xfId="622"/>
    <cellStyle name="0_SmartChart_B1035" xfId="303"/>
    <cellStyle name="0_SmartChart_B1200" xfId="304"/>
    <cellStyle name="0_SmartChart_C1035" xfId="305"/>
    <cellStyle name="0_SmartChart_O1200" xfId="306"/>
    <cellStyle name="0_TWN Top 4 MB 5 NB" xfId="9430"/>
    <cellStyle name="0_TWN Top 4 MB 5 NB_Exhibit NB QoQ" xfId="9431"/>
    <cellStyle name="0_TWN Top 4 MB 5 NB_Exhibt NB MOM" xfId="9432"/>
    <cellStyle name="0_TWN Top 4 MB 5 NB_MBNB shipments_20080909" xfId="9433"/>
    <cellStyle name="0_TWN Top 4 MB 5 NB_MBNB shipments_20090309.wip" xfId="9434"/>
    <cellStyle name="0_TWN Top 4 MB 5 NB_MBNB shipments_Dec06_wip" xfId="9435"/>
    <cellStyle name="0_TWN Top 4 MB 5 NB_MBNB shipments_July07.wip" xfId="9436"/>
    <cellStyle name="0_Valuing BP " xfId="23"/>
    <cellStyle name="0_Valuing BP _RRST1" xfId="307"/>
    <cellStyle name="0_Valuing BP _RRST20" xfId="4963"/>
    <cellStyle name="0_Valuing BP _RRST20 2" xfId="4964"/>
    <cellStyle name="0_Valuing BP _RRST25" xfId="4965"/>
    <cellStyle name="0_Valuing BP _RRST25 2" xfId="4966"/>
    <cellStyle name="0_Vendor revenues_Copy of Model2018_AAC_(WIP) " xfId="4967"/>
    <cellStyle name="0_Wireline Tel Forecast " xfId="24"/>
    <cellStyle name="0_WW NB DT PC &amp;TWN NB MB Qly" xfId="9437"/>
    <cellStyle name="0_WW NB DT PC &amp;TWN NB MB Qly_Exhibit NB QoQ" xfId="9438"/>
    <cellStyle name="0_WW NB DT PC &amp;TWN NB MB Qly_Exhibt NB MOM" xfId="9439"/>
    <cellStyle name="0_WW NB DT PC &amp;TWN NB MB Qly_MBNB shipments_20080909" xfId="9440"/>
    <cellStyle name="0_WW NB DT PC &amp;TWN NB MB Qly_MBNB shipments_20090309.wip" xfId="9441"/>
    <cellStyle name="0_WW NB DT PC &amp;TWN NB MB Qly_MBNB shipments_Dec06_wip" xfId="9442"/>
    <cellStyle name="0_WW NB DT PC &amp;TWN NB MB Qly_MBNB shipments_July07.wip" xfId="9443"/>
    <cellStyle name="0_Yardstick2012" xfId="623"/>
    <cellStyle name="0dp" xfId="1070"/>
    <cellStyle name="1,comma" xfId="25"/>
    <cellStyle name="1,comma 2" xfId="308"/>
    <cellStyle name="1,comma 3" xfId="4968"/>
    <cellStyle name="1,comma 3 2" xfId="4969"/>
    <cellStyle name="1,comma 4" xfId="4970"/>
    <cellStyle name="1,comma 4 2" xfId="4971"/>
    <cellStyle name="1,comma 5" xfId="4972"/>
    <cellStyle name="1,comma 5 2" xfId="4973"/>
    <cellStyle name="1,comma 6" xfId="4974"/>
    <cellStyle name="¹eºÐA²_AIAIC°AuCoE² " xfId="4975"/>
    <cellStyle name="20% - Accent1" xfId="26" builtinId="30" customBuiltin="1"/>
    <cellStyle name="20% - Accent1 10" xfId="1071"/>
    <cellStyle name="20% - Accent1 10 2" xfId="1072"/>
    <cellStyle name="20% - Accent1 10 3" xfId="1073"/>
    <cellStyle name="20% - Accent1 11" xfId="1074"/>
    <cellStyle name="20% - Accent1 11 2" xfId="1075"/>
    <cellStyle name="20% - Accent1 11 3" xfId="1076"/>
    <cellStyle name="20% - Accent1 12" xfId="1077"/>
    <cellStyle name="20% - Accent1 12 2" xfId="1078"/>
    <cellStyle name="20% - Accent1 12 3" xfId="1079"/>
    <cellStyle name="20% - Accent1 13" xfId="1080"/>
    <cellStyle name="20% - Accent1 13 2" xfId="1081"/>
    <cellStyle name="20% - Accent1 13 3" xfId="1082"/>
    <cellStyle name="20% - Accent1 14" xfId="1083"/>
    <cellStyle name="20% - Accent1 14 2" xfId="1084"/>
    <cellStyle name="20% - Accent1 14 3" xfId="1085"/>
    <cellStyle name="20% - Accent1 15" xfId="1086"/>
    <cellStyle name="20% - Accent1 15 2" xfId="1087"/>
    <cellStyle name="20% - Accent1 15 3" xfId="1088"/>
    <cellStyle name="20% - Accent1 16" xfId="1089"/>
    <cellStyle name="20% - Accent1 17" xfId="1090"/>
    <cellStyle name="20% - Accent1 18" xfId="1091"/>
    <cellStyle name="20% - Accent1 19" xfId="1092"/>
    <cellStyle name="20% - Accent1 2" xfId="385"/>
    <cellStyle name="20% - Accent1 2 10" xfId="1094"/>
    <cellStyle name="20% - Accent1 2 11" xfId="1095"/>
    <cellStyle name="20% - Accent1 2 12" xfId="1096"/>
    <cellStyle name="20% - Accent1 2 13" xfId="1097"/>
    <cellStyle name="20% - Accent1 2 14" xfId="1098"/>
    <cellStyle name="20% - Accent1 2 15" xfId="1099"/>
    <cellStyle name="20% - Accent1 2 16" xfId="1093"/>
    <cellStyle name="20% - Accent1 2 2" xfId="1100"/>
    <cellStyle name="20% - Accent1 2 3" xfId="1101"/>
    <cellStyle name="20% - Accent1 2 4" xfId="1102"/>
    <cellStyle name="20% - Accent1 2 5" xfId="1103"/>
    <cellStyle name="20% - Accent1 2 6" xfId="1104"/>
    <cellStyle name="20% - Accent1 2 7" xfId="1105"/>
    <cellStyle name="20% - Accent1 2 8" xfId="1106"/>
    <cellStyle name="20% - Accent1 2 9" xfId="1107"/>
    <cellStyle name="20% - Accent1 2_Display" xfId="1108"/>
    <cellStyle name="20% - Accent1 20" xfId="1109"/>
    <cellStyle name="20% - Accent1 3" xfId="1110"/>
    <cellStyle name="20% - Accent1 3 2" xfId="1111"/>
    <cellStyle name="20% - Accent1 3 3" xfId="1112"/>
    <cellStyle name="20% - Accent1 3 4" xfId="1113"/>
    <cellStyle name="20% - Accent1 3 5" xfId="1114"/>
    <cellStyle name="20% - Accent1 3 6" xfId="1115"/>
    <cellStyle name="20% - Accent1 3 7" xfId="1116"/>
    <cellStyle name="20% - Accent1 3 8" xfId="1117"/>
    <cellStyle name="20% - Accent1 3_Display" xfId="1118"/>
    <cellStyle name="20% - Accent1 4" xfId="1119"/>
    <cellStyle name="20% - Accent1 4 2" xfId="1120"/>
    <cellStyle name="20% - Accent1 4_Display" xfId="1121"/>
    <cellStyle name="20% - Accent1 5" xfId="1122"/>
    <cellStyle name="20% - Accent1 5 2" xfId="1123"/>
    <cellStyle name="20% - Accent1 5_Display" xfId="1124"/>
    <cellStyle name="20% - Accent1 6" xfId="1125"/>
    <cellStyle name="20% - Accent1 6 2" xfId="1126"/>
    <cellStyle name="20% - Accent1 6_Display" xfId="1127"/>
    <cellStyle name="20% - Accent1 7" xfId="1128"/>
    <cellStyle name="20% - Accent1 8" xfId="1129"/>
    <cellStyle name="20% - Accent1 9" xfId="1130"/>
    <cellStyle name="20% - Accent1 9 2" xfId="1131"/>
    <cellStyle name="20% - Accent1 9 3" xfId="1132"/>
    <cellStyle name="20% - Accent1 9 4" xfId="1133"/>
    <cellStyle name="20% - Accent2" xfId="27" builtinId="34" customBuiltin="1"/>
    <cellStyle name="20% - Accent2 10" xfId="1134"/>
    <cellStyle name="20% - Accent2 10 2" xfId="1135"/>
    <cellStyle name="20% - Accent2 10 3" xfId="1136"/>
    <cellStyle name="20% - Accent2 11" xfId="1137"/>
    <cellStyle name="20% - Accent2 11 2" xfId="1138"/>
    <cellStyle name="20% - Accent2 11 3" xfId="1139"/>
    <cellStyle name="20% - Accent2 12" xfId="1140"/>
    <cellStyle name="20% - Accent2 12 2" xfId="1141"/>
    <cellStyle name="20% - Accent2 12 3" xfId="1142"/>
    <cellStyle name="20% - Accent2 13" xfId="1143"/>
    <cellStyle name="20% - Accent2 13 2" xfId="1144"/>
    <cellStyle name="20% - Accent2 13 3" xfId="1145"/>
    <cellStyle name="20% - Accent2 14" xfId="1146"/>
    <cellStyle name="20% - Accent2 14 2" xfId="1147"/>
    <cellStyle name="20% - Accent2 14 3" xfId="1148"/>
    <cellStyle name="20% - Accent2 15" xfId="1149"/>
    <cellStyle name="20% - Accent2 15 2" xfId="1150"/>
    <cellStyle name="20% - Accent2 15 3" xfId="1151"/>
    <cellStyle name="20% - Accent2 16" xfId="1152"/>
    <cellStyle name="20% - Accent2 17" xfId="1153"/>
    <cellStyle name="20% - Accent2 18" xfId="1154"/>
    <cellStyle name="20% - Accent2 19" xfId="1155"/>
    <cellStyle name="20% - Accent2 2" xfId="386"/>
    <cellStyle name="20% - Accent2 2 10" xfId="1157"/>
    <cellStyle name="20% - Accent2 2 11" xfId="1158"/>
    <cellStyle name="20% - Accent2 2 12" xfId="1159"/>
    <cellStyle name="20% - Accent2 2 13" xfId="1160"/>
    <cellStyle name="20% - Accent2 2 14" xfId="1161"/>
    <cellStyle name="20% - Accent2 2 15" xfId="1162"/>
    <cellStyle name="20% - Accent2 2 16" xfId="1156"/>
    <cellStyle name="20% - Accent2 2 2" xfId="1163"/>
    <cellStyle name="20% - Accent2 2 3" xfId="1164"/>
    <cellStyle name="20% - Accent2 2 4" xfId="1165"/>
    <cellStyle name="20% - Accent2 2 5" xfId="1166"/>
    <cellStyle name="20% - Accent2 2 6" xfId="1167"/>
    <cellStyle name="20% - Accent2 2 7" xfId="1168"/>
    <cellStyle name="20% - Accent2 2 8" xfId="1169"/>
    <cellStyle name="20% - Accent2 2 9" xfId="1170"/>
    <cellStyle name="20% - Accent2 2_Display" xfId="1171"/>
    <cellStyle name="20% - Accent2 20" xfId="1172"/>
    <cellStyle name="20% - Accent2 3" xfId="1173"/>
    <cellStyle name="20% - Accent2 3 2" xfId="1174"/>
    <cellStyle name="20% - Accent2 3 3" xfId="1175"/>
    <cellStyle name="20% - Accent2 3 4" xfId="1176"/>
    <cellStyle name="20% - Accent2 3 5" xfId="1177"/>
    <cellStyle name="20% - Accent2 3 5 2" xfId="1178"/>
    <cellStyle name="20% - Accent2 3 6" xfId="1179"/>
    <cellStyle name="20% - Accent2 3 7" xfId="1180"/>
    <cellStyle name="20% - Accent2 3 8" xfId="1181"/>
    <cellStyle name="20% - Accent2 3 9" xfId="1182"/>
    <cellStyle name="20% - Accent2 3_Display" xfId="1183"/>
    <cellStyle name="20% - Accent2 4" xfId="1184"/>
    <cellStyle name="20% - Accent2 4 2" xfId="1185"/>
    <cellStyle name="20% - Accent2 4_Display" xfId="1186"/>
    <cellStyle name="20% - Accent2 5" xfId="1187"/>
    <cellStyle name="20% - Accent2 5 2" xfId="1188"/>
    <cellStyle name="20% - Accent2 5_Display" xfId="1189"/>
    <cellStyle name="20% - Accent2 6" xfId="1190"/>
    <cellStyle name="20% - Accent2 6 2" xfId="1191"/>
    <cellStyle name="20% - Accent2 6_Display" xfId="1192"/>
    <cellStyle name="20% - Accent2 7" xfId="1193"/>
    <cellStyle name="20% - Accent2 8" xfId="1194"/>
    <cellStyle name="20% - Accent2 9" xfId="1195"/>
    <cellStyle name="20% - Accent2 9 2" xfId="1196"/>
    <cellStyle name="20% - Accent2 9 2 2" xfId="1197"/>
    <cellStyle name="20% - Accent2 9 3" xfId="1198"/>
    <cellStyle name="20% - Accent2 9 4" xfId="1199"/>
    <cellStyle name="20% - Accent2 9 5" xfId="1200"/>
    <cellStyle name="20% - Accent3" xfId="28" builtinId="38" customBuiltin="1"/>
    <cellStyle name="20% - Accent3 10" xfId="1201"/>
    <cellStyle name="20% - Accent3 10 2" xfId="1202"/>
    <cellStyle name="20% - Accent3 10 3" xfId="1203"/>
    <cellStyle name="20% - Accent3 11" xfId="1204"/>
    <cellStyle name="20% - Accent3 11 2" xfId="1205"/>
    <cellStyle name="20% - Accent3 11 3" xfId="1206"/>
    <cellStyle name="20% - Accent3 12" xfId="1207"/>
    <cellStyle name="20% - Accent3 12 2" xfId="1208"/>
    <cellStyle name="20% - Accent3 12 3" xfId="1209"/>
    <cellStyle name="20% - Accent3 13" xfId="1210"/>
    <cellStyle name="20% - Accent3 13 2" xfId="1211"/>
    <cellStyle name="20% - Accent3 13 3" xfId="1212"/>
    <cellStyle name="20% - Accent3 14" xfId="1213"/>
    <cellStyle name="20% - Accent3 14 2" xfId="1214"/>
    <cellStyle name="20% - Accent3 14 3" xfId="1215"/>
    <cellStyle name="20% - Accent3 15" xfId="1216"/>
    <cellStyle name="20% - Accent3 15 2" xfId="1217"/>
    <cellStyle name="20% - Accent3 15 3" xfId="1218"/>
    <cellStyle name="20% - Accent3 16" xfId="1219"/>
    <cellStyle name="20% - Accent3 17" xfId="1220"/>
    <cellStyle name="20% - Accent3 18" xfId="1221"/>
    <cellStyle name="20% - Accent3 19" xfId="1222"/>
    <cellStyle name="20% - Accent3 2" xfId="387"/>
    <cellStyle name="20% - Accent3 2 10" xfId="1224"/>
    <cellStyle name="20% - Accent3 2 11" xfId="1225"/>
    <cellStyle name="20% - Accent3 2 12" xfId="1226"/>
    <cellStyle name="20% - Accent3 2 13" xfId="1227"/>
    <cellStyle name="20% - Accent3 2 14" xfId="1228"/>
    <cellStyle name="20% - Accent3 2 15" xfId="1229"/>
    <cellStyle name="20% - Accent3 2 16" xfId="1223"/>
    <cellStyle name="20% - Accent3 2 2" xfId="1230"/>
    <cellStyle name="20% - Accent3 2 3" xfId="1231"/>
    <cellStyle name="20% - Accent3 2 4" xfId="1232"/>
    <cellStyle name="20% - Accent3 2 5" xfId="1233"/>
    <cellStyle name="20% - Accent3 2 6" xfId="1234"/>
    <cellStyle name="20% - Accent3 2 7" xfId="1235"/>
    <cellStyle name="20% - Accent3 2 8" xfId="1236"/>
    <cellStyle name="20% - Accent3 2 9" xfId="1237"/>
    <cellStyle name="20% - Accent3 2_Display" xfId="1238"/>
    <cellStyle name="20% - Accent3 20" xfId="1239"/>
    <cellStyle name="20% - Accent3 3" xfId="1240"/>
    <cellStyle name="20% - Accent3 3 2" xfId="1241"/>
    <cellStyle name="20% - Accent3 3 3" xfId="1242"/>
    <cellStyle name="20% - Accent3 3 4" xfId="1243"/>
    <cellStyle name="20% - Accent3 3 5" xfId="1244"/>
    <cellStyle name="20% - Accent3 3 5 2" xfId="1245"/>
    <cellStyle name="20% - Accent3 3 6" xfId="1246"/>
    <cellStyle name="20% - Accent3 3 7" xfId="1247"/>
    <cellStyle name="20% - Accent3 3 8" xfId="1248"/>
    <cellStyle name="20% - Accent3 3 9" xfId="1249"/>
    <cellStyle name="20% - Accent3 3_Display" xfId="1250"/>
    <cellStyle name="20% - Accent3 4" xfId="1251"/>
    <cellStyle name="20% - Accent3 4 2" xfId="1252"/>
    <cellStyle name="20% - Accent3 4_Display" xfId="1253"/>
    <cellStyle name="20% - Accent3 5" xfId="1254"/>
    <cellStyle name="20% - Accent3 5 2" xfId="1255"/>
    <cellStyle name="20% - Accent3 5_Display" xfId="1256"/>
    <cellStyle name="20% - Accent3 6" xfId="1257"/>
    <cellStyle name="20% - Accent3 6 2" xfId="1258"/>
    <cellStyle name="20% - Accent3 6_Display" xfId="1259"/>
    <cellStyle name="20% - Accent3 7" xfId="1260"/>
    <cellStyle name="20% - Accent3 8" xfId="1261"/>
    <cellStyle name="20% - Accent3 9" xfId="1262"/>
    <cellStyle name="20% - Accent3 9 2" xfId="1263"/>
    <cellStyle name="20% - Accent3 9 2 2" xfId="1264"/>
    <cellStyle name="20% - Accent3 9 3" xfId="1265"/>
    <cellStyle name="20% - Accent3 9 4" xfId="1266"/>
    <cellStyle name="20% - Accent3 9 5" xfId="1267"/>
    <cellStyle name="20% - Accent4" xfId="29" builtinId="42" customBuiltin="1"/>
    <cellStyle name="20% - Accent4 10" xfId="1268"/>
    <cellStyle name="20% - Accent4 10 2" xfId="1269"/>
    <cellStyle name="20% - Accent4 10 3" xfId="1270"/>
    <cellStyle name="20% - Accent4 11" xfId="1271"/>
    <cellStyle name="20% - Accent4 11 2" xfId="1272"/>
    <cellStyle name="20% - Accent4 11 3" xfId="1273"/>
    <cellStyle name="20% - Accent4 12" xfId="1274"/>
    <cellStyle name="20% - Accent4 12 2" xfId="1275"/>
    <cellStyle name="20% - Accent4 12 3" xfId="1276"/>
    <cellStyle name="20% - Accent4 13" xfId="1277"/>
    <cellStyle name="20% - Accent4 13 2" xfId="1278"/>
    <cellStyle name="20% - Accent4 13 3" xfId="1279"/>
    <cellStyle name="20% - Accent4 14" xfId="1280"/>
    <cellStyle name="20% - Accent4 14 2" xfId="1281"/>
    <cellStyle name="20% - Accent4 14 3" xfId="1282"/>
    <cellStyle name="20% - Accent4 15" xfId="1283"/>
    <cellStyle name="20% - Accent4 15 2" xfId="1284"/>
    <cellStyle name="20% - Accent4 15 3" xfId="1285"/>
    <cellStyle name="20% - Accent4 16" xfId="1286"/>
    <cellStyle name="20% - Accent4 17" xfId="1287"/>
    <cellStyle name="20% - Accent4 18" xfId="1288"/>
    <cellStyle name="20% - Accent4 19" xfId="1289"/>
    <cellStyle name="20% - Accent4 2" xfId="388"/>
    <cellStyle name="20% - Accent4 2 10" xfId="1291"/>
    <cellStyle name="20% - Accent4 2 11" xfId="1292"/>
    <cellStyle name="20% - Accent4 2 12" xfId="1293"/>
    <cellStyle name="20% - Accent4 2 13" xfId="1294"/>
    <cellStyle name="20% - Accent4 2 14" xfId="1295"/>
    <cellStyle name="20% - Accent4 2 15" xfId="1296"/>
    <cellStyle name="20% - Accent4 2 16" xfId="1290"/>
    <cellStyle name="20% - Accent4 2 2" xfId="1297"/>
    <cellStyle name="20% - Accent4 2 3" xfId="1298"/>
    <cellStyle name="20% - Accent4 2 4" xfId="1299"/>
    <cellStyle name="20% - Accent4 2 5" xfId="1300"/>
    <cellStyle name="20% - Accent4 2 6" xfId="1301"/>
    <cellStyle name="20% - Accent4 2 7" xfId="1302"/>
    <cellStyle name="20% - Accent4 2 8" xfId="1303"/>
    <cellStyle name="20% - Accent4 2 9" xfId="1304"/>
    <cellStyle name="20% - Accent4 2_Display" xfId="1305"/>
    <cellStyle name="20% - Accent4 20" xfId="1306"/>
    <cellStyle name="20% - Accent4 3" xfId="1307"/>
    <cellStyle name="20% - Accent4 3 2" xfId="1308"/>
    <cellStyle name="20% - Accent4 3 3" xfId="1309"/>
    <cellStyle name="20% - Accent4 3 4" xfId="1310"/>
    <cellStyle name="20% - Accent4 3 5" xfId="1311"/>
    <cellStyle name="20% - Accent4 3 5 2" xfId="1312"/>
    <cellStyle name="20% - Accent4 3 6" xfId="1313"/>
    <cellStyle name="20% - Accent4 3 7" xfId="1314"/>
    <cellStyle name="20% - Accent4 3 8" xfId="1315"/>
    <cellStyle name="20% - Accent4 3 9" xfId="1316"/>
    <cellStyle name="20% - Accent4 3_Display" xfId="1317"/>
    <cellStyle name="20% - Accent4 4" xfId="1318"/>
    <cellStyle name="20% - Accent4 4 2" xfId="1319"/>
    <cellStyle name="20% - Accent4 4_Display" xfId="1320"/>
    <cellStyle name="20% - Accent4 5" xfId="1321"/>
    <cellStyle name="20% - Accent4 5 2" xfId="1322"/>
    <cellStyle name="20% - Accent4 5_Display" xfId="1323"/>
    <cellStyle name="20% - Accent4 6" xfId="1324"/>
    <cellStyle name="20% - Accent4 6 2" xfId="1325"/>
    <cellStyle name="20% - Accent4 6_Display" xfId="1326"/>
    <cellStyle name="20% - Accent4 7" xfId="1327"/>
    <cellStyle name="20% - Accent4 8" xfId="1328"/>
    <cellStyle name="20% - Accent4 9" xfId="1329"/>
    <cellStyle name="20% - Accent4 9 2" xfId="1330"/>
    <cellStyle name="20% - Accent4 9 2 2" xfId="1331"/>
    <cellStyle name="20% - Accent4 9 3" xfId="1332"/>
    <cellStyle name="20% - Accent4 9 4" xfId="1333"/>
    <cellStyle name="20% - Accent4 9 5" xfId="1334"/>
    <cellStyle name="20% - Accent5" xfId="30" builtinId="46" customBuiltin="1"/>
    <cellStyle name="20% - Accent5 10" xfId="1335"/>
    <cellStyle name="20% - Accent5 10 2" xfId="1336"/>
    <cellStyle name="20% - Accent5 10 3" xfId="1337"/>
    <cellStyle name="20% - Accent5 11" xfId="1338"/>
    <cellStyle name="20% - Accent5 11 2" xfId="1339"/>
    <cellStyle name="20% - Accent5 11 3" xfId="1340"/>
    <cellStyle name="20% - Accent5 12" xfId="1341"/>
    <cellStyle name="20% - Accent5 12 2" xfId="1342"/>
    <cellStyle name="20% - Accent5 12 3" xfId="1343"/>
    <cellStyle name="20% - Accent5 13" xfId="1344"/>
    <cellStyle name="20% - Accent5 13 2" xfId="1345"/>
    <cellStyle name="20% - Accent5 13 3" xfId="1346"/>
    <cellStyle name="20% - Accent5 14" xfId="1347"/>
    <cellStyle name="20% - Accent5 14 2" xfId="1348"/>
    <cellStyle name="20% - Accent5 14 3" xfId="1349"/>
    <cellStyle name="20% - Accent5 15" xfId="1350"/>
    <cellStyle name="20% - Accent5 15 2" xfId="1351"/>
    <cellStyle name="20% - Accent5 15 3" xfId="1352"/>
    <cellStyle name="20% - Accent5 16" xfId="1353"/>
    <cellStyle name="20% - Accent5 17" xfId="1354"/>
    <cellStyle name="20% - Accent5 18" xfId="1355"/>
    <cellStyle name="20% - Accent5 19" xfId="1356"/>
    <cellStyle name="20% - Accent5 2" xfId="389"/>
    <cellStyle name="20% - Accent5 2 10" xfId="1358"/>
    <cellStyle name="20% - Accent5 2 11" xfId="1359"/>
    <cellStyle name="20% - Accent5 2 12" xfId="1360"/>
    <cellStyle name="20% - Accent5 2 13" xfId="1361"/>
    <cellStyle name="20% - Accent5 2 14" xfId="1362"/>
    <cellStyle name="20% - Accent5 2 15" xfId="1363"/>
    <cellStyle name="20% - Accent5 2 16" xfId="1357"/>
    <cellStyle name="20% - Accent5 2 2" xfId="1364"/>
    <cellStyle name="20% - Accent5 2 3" xfId="1365"/>
    <cellStyle name="20% - Accent5 2 4" xfId="1366"/>
    <cellStyle name="20% - Accent5 2 5" xfId="1367"/>
    <cellStyle name="20% - Accent5 2 6" xfId="1368"/>
    <cellStyle name="20% - Accent5 2 7" xfId="1369"/>
    <cellStyle name="20% - Accent5 2 8" xfId="1370"/>
    <cellStyle name="20% - Accent5 2 9" xfId="1371"/>
    <cellStyle name="20% - Accent5 2_Display" xfId="1372"/>
    <cellStyle name="20% - Accent5 20" xfId="1373"/>
    <cellStyle name="20% - Accent5 3" xfId="1374"/>
    <cellStyle name="20% - Accent5 3 2" xfId="1375"/>
    <cellStyle name="20% - Accent5 3 3" xfId="1376"/>
    <cellStyle name="20% - Accent5 3 4" xfId="1377"/>
    <cellStyle name="20% - Accent5 3 5" xfId="1378"/>
    <cellStyle name="20% - Accent5 3 6" xfId="1379"/>
    <cellStyle name="20% - Accent5 3 7" xfId="1380"/>
    <cellStyle name="20% - Accent5 3 8" xfId="1381"/>
    <cellStyle name="20% - Accent5 3_Display" xfId="1382"/>
    <cellStyle name="20% - Accent5 4" xfId="1383"/>
    <cellStyle name="20% - Accent5 4 2" xfId="1384"/>
    <cellStyle name="20% - Accent5 4_Display" xfId="1385"/>
    <cellStyle name="20% - Accent5 5" xfId="1386"/>
    <cellStyle name="20% - Accent5 5 2" xfId="1387"/>
    <cellStyle name="20% - Accent5 5_Display" xfId="1388"/>
    <cellStyle name="20% - Accent5 6" xfId="1389"/>
    <cellStyle name="20% - Accent5 6 2" xfId="1390"/>
    <cellStyle name="20% - Accent5 6_Display" xfId="1391"/>
    <cellStyle name="20% - Accent5 7" xfId="1392"/>
    <cellStyle name="20% - Accent5 8" xfId="1393"/>
    <cellStyle name="20% - Accent5 9" xfId="1394"/>
    <cellStyle name="20% - Accent5 9 2" xfId="1395"/>
    <cellStyle name="20% - Accent5 9 3" xfId="1396"/>
    <cellStyle name="20% - Accent5 9 4" xfId="1397"/>
    <cellStyle name="20% - Accent6" xfId="31" builtinId="50" customBuiltin="1"/>
    <cellStyle name="20% - Accent6 10" xfId="1398"/>
    <cellStyle name="20% - Accent6 10 2" xfId="1399"/>
    <cellStyle name="20% - Accent6 10 3" xfId="1400"/>
    <cellStyle name="20% - Accent6 11" xfId="1401"/>
    <cellStyle name="20% - Accent6 11 2" xfId="1402"/>
    <cellStyle name="20% - Accent6 11 3" xfId="1403"/>
    <cellStyle name="20% - Accent6 12" xfId="1404"/>
    <cellStyle name="20% - Accent6 12 2" xfId="1405"/>
    <cellStyle name="20% - Accent6 12 3" xfId="1406"/>
    <cellStyle name="20% - Accent6 13" xfId="1407"/>
    <cellStyle name="20% - Accent6 13 2" xfId="1408"/>
    <cellStyle name="20% - Accent6 13 3" xfId="1409"/>
    <cellStyle name="20% - Accent6 14" xfId="1410"/>
    <cellStyle name="20% - Accent6 14 2" xfId="1411"/>
    <cellStyle name="20% - Accent6 14 3" xfId="1412"/>
    <cellStyle name="20% - Accent6 15" xfId="1413"/>
    <cellStyle name="20% - Accent6 15 2" xfId="1414"/>
    <cellStyle name="20% - Accent6 15 3" xfId="1415"/>
    <cellStyle name="20% - Accent6 16" xfId="1416"/>
    <cellStyle name="20% - Accent6 17" xfId="1417"/>
    <cellStyle name="20% - Accent6 18" xfId="1418"/>
    <cellStyle name="20% - Accent6 19" xfId="1419"/>
    <cellStyle name="20% - Accent6 2" xfId="390"/>
    <cellStyle name="20% - Accent6 2 10" xfId="1421"/>
    <cellStyle name="20% - Accent6 2 11" xfId="1422"/>
    <cellStyle name="20% - Accent6 2 12" xfId="1423"/>
    <cellStyle name="20% - Accent6 2 13" xfId="1424"/>
    <cellStyle name="20% - Accent6 2 14" xfId="1425"/>
    <cellStyle name="20% - Accent6 2 15" xfId="1426"/>
    <cellStyle name="20% - Accent6 2 16" xfId="1420"/>
    <cellStyle name="20% - Accent6 2 2" xfId="1427"/>
    <cellStyle name="20% - Accent6 2 3" xfId="1428"/>
    <cellStyle name="20% - Accent6 2 4" xfId="1429"/>
    <cellStyle name="20% - Accent6 2 5" xfId="1430"/>
    <cellStyle name="20% - Accent6 2 6" xfId="1431"/>
    <cellStyle name="20% - Accent6 2 7" xfId="1432"/>
    <cellStyle name="20% - Accent6 2 8" xfId="1433"/>
    <cellStyle name="20% - Accent6 2 9" xfId="1434"/>
    <cellStyle name="20% - Accent6 2_Display" xfId="1435"/>
    <cellStyle name="20% - Accent6 20" xfId="1436"/>
    <cellStyle name="20% - Accent6 3" xfId="1437"/>
    <cellStyle name="20% - Accent6 3 2" xfId="1438"/>
    <cellStyle name="20% - Accent6 3 3" xfId="1439"/>
    <cellStyle name="20% - Accent6 3 4" xfId="1440"/>
    <cellStyle name="20% - Accent6 3 5" xfId="1441"/>
    <cellStyle name="20% - Accent6 3 5 2" xfId="1442"/>
    <cellStyle name="20% - Accent6 3 6" xfId="1443"/>
    <cellStyle name="20% - Accent6 3 7" xfId="1444"/>
    <cellStyle name="20% - Accent6 3 8" xfId="1445"/>
    <cellStyle name="20% - Accent6 3 9" xfId="1446"/>
    <cellStyle name="20% - Accent6 3_Display" xfId="1447"/>
    <cellStyle name="20% - Accent6 4" xfId="1448"/>
    <cellStyle name="20% - Accent6 4 2" xfId="1449"/>
    <cellStyle name="20% - Accent6 4_Display" xfId="1450"/>
    <cellStyle name="20% - Accent6 5" xfId="1451"/>
    <cellStyle name="20% - Accent6 5 2" xfId="1452"/>
    <cellStyle name="20% - Accent6 5_Display" xfId="1453"/>
    <cellStyle name="20% - Accent6 6" xfId="1454"/>
    <cellStyle name="20% - Accent6 6 2" xfId="1455"/>
    <cellStyle name="20% - Accent6 6_Display" xfId="1456"/>
    <cellStyle name="20% - Accent6 7" xfId="1457"/>
    <cellStyle name="20% - Accent6 8" xfId="1458"/>
    <cellStyle name="20% - Accent6 9" xfId="1459"/>
    <cellStyle name="20% - Accent6 9 2" xfId="1460"/>
    <cellStyle name="20% - Accent6 9 2 2" xfId="1461"/>
    <cellStyle name="20% - Accent6 9 3" xfId="1462"/>
    <cellStyle name="20% - Accent6 9 4" xfId="1463"/>
    <cellStyle name="20% - Accent6 9 5" xfId="1464"/>
    <cellStyle name="20% - 强调文字颜色 1" xfId="1465"/>
    <cellStyle name="20% - 强调文字颜色 2" xfId="1466"/>
    <cellStyle name="20% - 强调文字颜色 3" xfId="1467"/>
    <cellStyle name="20% - 强调文字颜色 4" xfId="1468"/>
    <cellStyle name="20% - 强调文字颜色 5" xfId="1469"/>
    <cellStyle name="20% - 强调文字颜色 6" xfId="1470"/>
    <cellStyle name="20% - 輔色1" xfId="1471"/>
    <cellStyle name="20% - 輔色2" xfId="1472"/>
    <cellStyle name="20% - 輔色3" xfId="1473"/>
    <cellStyle name="20% - 輔色4" xfId="1474"/>
    <cellStyle name="20% - 輔色5" xfId="1475"/>
    <cellStyle name="20% - 輔色6" xfId="1476"/>
    <cellStyle name="3232" xfId="1477"/>
    <cellStyle name="³f¹ô [0]_2311" xfId="9444"/>
    <cellStyle name="³f¹ô[0]_pldt" xfId="1478"/>
    <cellStyle name="³f¹ô_2311" xfId="9445"/>
    <cellStyle name="40% - Accent1" xfId="32" builtinId="31" customBuiltin="1"/>
    <cellStyle name="40% - Accent1 10" xfId="1479"/>
    <cellStyle name="40% - Accent1 10 2" xfId="1480"/>
    <cellStyle name="40% - Accent1 10 3" xfId="1481"/>
    <cellStyle name="40% - Accent1 11" xfId="1482"/>
    <cellStyle name="40% - Accent1 11 2" xfId="1483"/>
    <cellStyle name="40% - Accent1 11 3" xfId="1484"/>
    <cellStyle name="40% - Accent1 12" xfId="1485"/>
    <cellStyle name="40% - Accent1 12 2" xfId="1486"/>
    <cellStyle name="40% - Accent1 12 3" xfId="1487"/>
    <cellStyle name="40% - Accent1 13" xfId="1488"/>
    <cellStyle name="40% - Accent1 13 2" xfId="1489"/>
    <cellStyle name="40% - Accent1 13 3" xfId="1490"/>
    <cellStyle name="40% - Accent1 14" xfId="1491"/>
    <cellStyle name="40% - Accent1 14 2" xfId="1492"/>
    <cellStyle name="40% - Accent1 14 3" xfId="1493"/>
    <cellStyle name="40% - Accent1 15" xfId="1494"/>
    <cellStyle name="40% - Accent1 15 2" xfId="1495"/>
    <cellStyle name="40% - Accent1 15 3" xfId="1496"/>
    <cellStyle name="40% - Accent1 16" xfId="1497"/>
    <cellStyle name="40% - Accent1 17" xfId="1498"/>
    <cellStyle name="40% - Accent1 18" xfId="1499"/>
    <cellStyle name="40% - Accent1 19" xfId="1500"/>
    <cellStyle name="40% - Accent1 2" xfId="391"/>
    <cellStyle name="40% - Accent1 2 10" xfId="1502"/>
    <cellStyle name="40% - Accent1 2 11" xfId="1503"/>
    <cellStyle name="40% - Accent1 2 12" xfId="1504"/>
    <cellStyle name="40% - Accent1 2 13" xfId="1505"/>
    <cellStyle name="40% - Accent1 2 14" xfId="1506"/>
    <cellStyle name="40% - Accent1 2 15" xfId="1507"/>
    <cellStyle name="40% - Accent1 2 16" xfId="1501"/>
    <cellStyle name="40% - Accent1 2 2" xfId="1508"/>
    <cellStyle name="40% - Accent1 2 3" xfId="1509"/>
    <cellStyle name="40% - Accent1 2 4" xfId="1510"/>
    <cellStyle name="40% - Accent1 2 5" xfId="1511"/>
    <cellStyle name="40% - Accent1 2 6" xfId="1512"/>
    <cellStyle name="40% - Accent1 2 7" xfId="1513"/>
    <cellStyle name="40% - Accent1 2 8" xfId="1514"/>
    <cellStyle name="40% - Accent1 2 9" xfId="1515"/>
    <cellStyle name="40% - Accent1 2_Display" xfId="1516"/>
    <cellStyle name="40% - Accent1 20" xfId="1517"/>
    <cellStyle name="40% - Accent1 3" xfId="1518"/>
    <cellStyle name="40% - Accent1 3 2" xfId="1519"/>
    <cellStyle name="40% - Accent1 3 3" xfId="1520"/>
    <cellStyle name="40% - Accent1 3 4" xfId="1521"/>
    <cellStyle name="40% - Accent1 3 5" xfId="1522"/>
    <cellStyle name="40% - Accent1 3 5 2" xfId="1523"/>
    <cellStyle name="40% - Accent1 3 6" xfId="1524"/>
    <cellStyle name="40% - Accent1 3 7" xfId="1525"/>
    <cellStyle name="40% - Accent1 3 8" xfId="1526"/>
    <cellStyle name="40% - Accent1 3 9" xfId="1527"/>
    <cellStyle name="40% - Accent1 3_Display" xfId="1528"/>
    <cellStyle name="40% - Accent1 4" xfId="1529"/>
    <cellStyle name="40% - Accent1 4 2" xfId="1530"/>
    <cellStyle name="40% - Accent1 4_Display" xfId="1531"/>
    <cellStyle name="40% - Accent1 5" xfId="1532"/>
    <cellStyle name="40% - Accent1 5 2" xfId="1533"/>
    <cellStyle name="40% - Accent1 5_Display" xfId="1534"/>
    <cellStyle name="40% - Accent1 6" xfId="1535"/>
    <cellStyle name="40% - Accent1 6 2" xfId="1536"/>
    <cellStyle name="40% - Accent1 6_Display" xfId="1537"/>
    <cellStyle name="40% - Accent1 7" xfId="1538"/>
    <cellStyle name="40% - Accent1 8" xfId="1539"/>
    <cellStyle name="40% - Accent1 9" xfId="1540"/>
    <cellStyle name="40% - Accent1 9 2" xfId="1541"/>
    <cellStyle name="40% - Accent1 9 2 2" xfId="1542"/>
    <cellStyle name="40% - Accent1 9 3" xfId="1543"/>
    <cellStyle name="40% - Accent1 9 4" xfId="1544"/>
    <cellStyle name="40% - Accent1 9 5" xfId="1545"/>
    <cellStyle name="40% - Accent2" xfId="33" builtinId="35" customBuiltin="1"/>
    <cellStyle name="40% - Accent2 10" xfId="1546"/>
    <cellStyle name="40% - Accent2 10 2" xfId="1547"/>
    <cellStyle name="40% - Accent2 10 3" xfId="1548"/>
    <cellStyle name="40% - Accent2 11" xfId="1549"/>
    <cellStyle name="40% - Accent2 11 2" xfId="1550"/>
    <cellStyle name="40% - Accent2 11 3" xfId="1551"/>
    <cellStyle name="40% - Accent2 12" xfId="1552"/>
    <cellStyle name="40% - Accent2 12 2" xfId="1553"/>
    <cellStyle name="40% - Accent2 12 3" xfId="1554"/>
    <cellStyle name="40% - Accent2 13" xfId="1555"/>
    <cellStyle name="40% - Accent2 13 2" xfId="1556"/>
    <cellStyle name="40% - Accent2 13 3" xfId="1557"/>
    <cellStyle name="40% - Accent2 14" xfId="1558"/>
    <cellStyle name="40% - Accent2 14 2" xfId="1559"/>
    <cellStyle name="40% - Accent2 14 3" xfId="1560"/>
    <cellStyle name="40% - Accent2 15" xfId="1561"/>
    <cellStyle name="40% - Accent2 15 2" xfId="1562"/>
    <cellStyle name="40% - Accent2 15 3" xfId="1563"/>
    <cellStyle name="40% - Accent2 16" xfId="1564"/>
    <cellStyle name="40% - Accent2 17" xfId="1565"/>
    <cellStyle name="40% - Accent2 18" xfId="1566"/>
    <cellStyle name="40% - Accent2 19" xfId="1567"/>
    <cellStyle name="40% - Accent2 2" xfId="392"/>
    <cellStyle name="40% - Accent2 2 10" xfId="1569"/>
    <cellStyle name="40% - Accent2 2 11" xfId="1570"/>
    <cellStyle name="40% - Accent2 2 12" xfId="1571"/>
    <cellStyle name="40% - Accent2 2 13" xfId="1572"/>
    <cellStyle name="40% - Accent2 2 14" xfId="1573"/>
    <cellStyle name="40% - Accent2 2 15" xfId="1574"/>
    <cellStyle name="40% - Accent2 2 16" xfId="1568"/>
    <cellStyle name="40% - Accent2 2 2" xfId="1575"/>
    <cellStyle name="40% - Accent2 2 3" xfId="1576"/>
    <cellStyle name="40% - Accent2 2 4" xfId="1577"/>
    <cellStyle name="40% - Accent2 2 5" xfId="1578"/>
    <cellStyle name="40% - Accent2 2 6" xfId="1579"/>
    <cellStyle name="40% - Accent2 2 7" xfId="1580"/>
    <cellStyle name="40% - Accent2 2 8" xfId="1581"/>
    <cellStyle name="40% - Accent2 2 9" xfId="1582"/>
    <cellStyle name="40% - Accent2 2_Display" xfId="1583"/>
    <cellStyle name="40% - Accent2 20" xfId="1584"/>
    <cellStyle name="40% - Accent2 3" xfId="1585"/>
    <cellStyle name="40% - Accent2 3 2" xfId="1586"/>
    <cellStyle name="40% - Accent2 3 3" xfId="1587"/>
    <cellStyle name="40% - Accent2 3 4" xfId="1588"/>
    <cellStyle name="40% - Accent2 3 5" xfId="1589"/>
    <cellStyle name="40% - Accent2 3 5 2" xfId="1590"/>
    <cellStyle name="40% - Accent2 3 6" xfId="1591"/>
    <cellStyle name="40% - Accent2 3 7" xfId="1592"/>
    <cellStyle name="40% - Accent2 3 8" xfId="1593"/>
    <cellStyle name="40% - Accent2 3 9" xfId="1594"/>
    <cellStyle name="40% - Accent2 3_Display" xfId="1595"/>
    <cellStyle name="40% - Accent2 4" xfId="1596"/>
    <cellStyle name="40% - Accent2 4 2" xfId="1597"/>
    <cellStyle name="40% - Accent2 4_Display" xfId="1598"/>
    <cellStyle name="40% - Accent2 5" xfId="1599"/>
    <cellStyle name="40% - Accent2 5 2" xfId="1600"/>
    <cellStyle name="40% - Accent2 5_Display" xfId="1601"/>
    <cellStyle name="40% - Accent2 6" xfId="1602"/>
    <cellStyle name="40% - Accent2 6 2" xfId="1603"/>
    <cellStyle name="40% - Accent2 6_Display" xfId="1604"/>
    <cellStyle name="40% - Accent2 7" xfId="1605"/>
    <cellStyle name="40% - Accent2 8" xfId="1606"/>
    <cellStyle name="40% - Accent2 9" xfId="1607"/>
    <cellStyle name="40% - Accent2 9 2" xfId="1608"/>
    <cellStyle name="40% - Accent2 9 2 2" xfId="1609"/>
    <cellStyle name="40% - Accent2 9 3" xfId="1610"/>
    <cellStyle name="40% - Accent2 9 4" xfId="1611"/>
    <cellStyle name="40% - Accent2 9 5" xfId="1612"/>
    <cellStyle name="40% - Accent3" xfId="34" builtinId="39" customBuiltin="1"/>
    <cellStyle name="40% - Accent3 10" xfId="1613"/>
    <cellStyle name="40% - Accent3 10 2" xfId="1614"/>
    <cellStyle name="40% - Accent3 10 3" xfId="1615"/>
    <cellStyle name="40% - Accent3 11" xfId="1616"/>
    <cellStyle name="40% - Accent3 11 2" xfId="1617"/>
    <cellStyle name="40% - Accent3 11 3" xfId="1618"/>
    <cellStyle name="40% - Accent3 12" xfId="1619"/>
    <cellStyle name="40% - Accent3 12 2" xfId="1620"/>
    <cellStyle name="40% - Accent3 12 3" xfId="1621"/>
    <cellStyle name="40% - Accent3 13" xfId="1622"/>
    <cellStyle name="40% - Accent3 13 2" xfId="1623"/>
    <cellStyle name="40% - Accent3 13 3" xfId="1624"/>
    <cellStyle name="40% - Accent3 14" xfId="1625"/>
    <cellStyle name="40% - Accent3 14 2" xfId="1626"/>
    <cellStyle name="40% - Accent3 14 3" xfId="1627"/>
    <cellStyle name="40% - Accent3 15" xfId="1628"/>
    <cellStyle name="40% - Accent3 15 2" xfId="1629"/>
    <cellStyle name="40% - Accent3 15 3" xfId="1630"/>
    <cellStyle name="40% - Accent3 16" xfId="1631"/>
    <cellStyle name="40% - Accent3 17" xfId="1632"/>
    <cellStyle name="40% - Accent3 18" xfId="1633"/>
    <cellStyle name="40% - Accent3 19" xfId="1634"/>
    <cellStyle name="40% - Accent3 2" xfId="393"/>
    <cellStyle name="40% - Accent3 2 10" xfId="1636"/>
    <cellStyle name="40% - Accent3 2 11" xfId="1637"/>
    <cellStyle name="40% - Accent3 2 12" xfId="1638"/>
    <cellStyle name="40% - Accent3 2 13" xfId="1639"/>
    <cellStyle name="40% - Accent3 2 14" xfId="1640"/>
    <cellStyle name="40% - Accent3 2 15" xfId="1641"/>
    <cellStyle name="40% - Accent3 2 16" xfId="1635"/>
    <cellStyle name="40% - Accent3 2 2" xfId="1642"/>
    <cellStyle name="40% - Accent3 2 3" xfId="1643"/>
    <cellStyle name="40% - Accent3 2 4" xfId="1644"/>
    <cellStyle name="40% - Accent3 2 5" xfId="1645"/>
    <cellStyle name="40% - Accent3 2 6" xfId="1646"/>
    <cellStyle name="40% - Accent3 2 7" xfId="1647"/>
    <cellStyle name="40% - Accent3 2 8" xfId="1648"/>
    <cellStyle name="40% - Accent3 2 9" xfId="1649"/>
    <cellStyle name="40% - Accent3 2_Display" xfId="1650"/>
    <cellStyle name="40% - Accent3 20" xfId="1651"/>
    <cellStyle name="40% - Accent3 3" xfId="1652"/>
    <cellStyle name="40% - Accent3 3 2" xfId="1653"/>
    <cellStyle name="40% - Accent3 3 3" xfId="1654"/>
    <cellStyle name="40% - Accent3 3 4" xfId="1655"/>
    <cellStyle name="40% - Accent3 3 5" xfId="1656"/>
    <cellStyle name="40% - Accent3 3 5 2" xfId="1657"/>
    <cellStyle name="40% - Accent3 3 6" xfId="1658"/>
    <cellStyle name="40% - Accent3 3 7" xfId="1659"/>
    <cellStyle name="40% - Accent3 3 8" xfId="1660"/>
    <cellStyle name="40% - Accent3 3 9" xfId="1661"/>
    <cellStyle name="40% - Accent3 3_Display" xfId="1662"/>
    <cellStyle name="40% - Accent3 4" xfId="1663"/>
    <cellStyle name="40% - Accent3 4 2" xfId="1664"/>
    <cellStyle name="40% - Accent3 4_Display" xfId="1665"/>
    <cellStyle name="40% - Accent3 5" xfId="1666"/>
    <cellStyle name="40% - Accent3 5 2" xfId="1667"/>
    <cellStyle name="40% - Accent3 5_Display" xfId="1668"/>
    <cellStyle name="40% - Accent3 6" xfId="1669"/>
    <cellStyle name="40% - Accent3 6 2" xfId="1670"/>
    <cellStyle name="40% - Accent3 6_Display" xfId="1671"/>
    <cellStyle name="40% - Accent3 7" xfId="1672"/>
    <cellStyle name="40% - Accent3 8" xfId="1673"/>
    <cellStyle name="40% - Accent3 9" xfId="1674"/>
    <cellStyle name="40% - Accent3 9 2" xfId="1675"/>
    <cellStyle name="40% - Accent3 9 2 2" xfId="1676"/>
    <cellStyle name="40% - Accent3 9 3" xfId="1677"/>
    <cellStyle name="40% - Accent3 9 4" xfId="1678"/>
    <cellStyle name="40% - Accent3 9 5" xfId="1679"/>
    <cellStyle name="40% - Accent4" xfId="35" builtinId="43" customBuiltin="1"/>
    <cellStyle name="40% - Accent4 10" xfId="1680"/>
    <cellStyle name="40% - Accent4 10 2" xfId="1681"/>
    <cellStyle name="40% - Accent4 10 3" xfId="1682"/>
    <cellStyle name="40% - Accent4 11" xfId="1683"/>
    <cellStyle name="40% - Accent4 11 2" xfId="1684"/>
    <cellStyle name="40% - Accent4 11 3" xfId="1685"/>
    <cellStyle name="40% - Accent4 12" xfId="1686"/>
    <cellStyle name="40% - Accent4 12 2" xfId="1687"/>
    <cellStyle name="40% - Accent4 12 3" xfId="1688"/>
    <cellStyle name="40% - Accent4 13" xfId="1689"/>
    <cellStyle name="40% - Accent4 13 2" xfId="1690"/>
    <cellStyle name="40% - Accent4 13 3" xfId="1691"/>
    <cellStyle name="40% - Accent4 14" xfId="1692"/>
    <cellStyle name="40% - Accent4 14 2" xfId="1693"/>
    <cellStyle name="40% - Accent4 14 3" xfId="1694"/>
    <cellStyle name="40% - Accent4 15" xfId="1695"/>
    <cellStyle name="40% - Accent4 15 2" xfId="1696"/>
    <cellStyle name="40% - Accent4 15 3" xfId="1697"/>
    <cellStyle name="40% - Accent4 16" xfId="1698"/>
    <cellStyle name="40% - Accent4 17" xfId="1699"/>
    <cellStyle name="40% - Accent4 18" xfId="1700"/>
    <cellStyle name="40% - Accent4 19" xfId="1701"/>
    <cellStyle name="40% - Accent4 2" xfId="394"/>
    <cellStyle name="40% - Accent4 2 10" xfId="1703"/>
    <cellStyle name="40% - Accent4 2 11" xfId="1704"/>
    <cellStyle name="40% - Accent4 2 12" xfId="1705"/>
    <cellStyle name="40% - Accent4 2 13" xfId="1706"/>
    <cellStyle name="40% - Accent4 2 14" xfId="1707"/>
    <cellStyle name="40% - Accent4 2 15" xfId="1708"/>
    <cellStyle name="40% - Accent4 2 16" xfId="1702"/>
    <cellStyle name="40% - Accent4 2 2" xfId="1709"/>
    <cellStyle name="40% - Accent4 2 3" xfId="1710"/>
    <cellStyle name="40% - Accent4 2 4" xfId="1711"/>
    <cellStyle name="40% - Accent4 2 5" xfId="1712"/>
    <cellStyle name="40% - Accent4 2 6" xfId="1713"/>
    <cellStyle name="40% - Accent4 2 7" xfId="1714"/>
    <cellStyle name="40% - Accent4 2 8" xfId="1715"/>
    <cellStyle name="40% - Accent4 2 9" xfId="1716"/>
    <cellStyle name="40% - Accent4 2_Display" xfId="1717"/>
    <cellStyle name="40% - Accent4 20" xfId="1718"/>
    <cellStyle name="40% - Accent4 3" xfId="1719"/>
    <cellStyle name="40% - Accent4 3 2" xfId="1720"/>
    <cellStyle name="40% - Accent4 3 3" xfId="1721"/>
    <cellStyle name="40% - Accent4 3 4" xfId="1722"/>
    <cellStyle name="40% - Accent4 3 5" xfId="1723"/>
    <cellStyle name="40% - Accent4 3 5 2" xfId="1724"/>
    <cellStyle name="40% - Accent4 3 6" xfId="1725"/>
    <cellStyle name="40% - Accent4 3 7" xfId="1726"/>
    <cellStyle name="40% - Accent4 3 8" xfId="1727"/>
    <cellStyle name="40% - Accent4 3 9" xfId="1728"/>
    <cellStyle name="40% - Accent4 3_Display" xfId="1729"/>
    <cellStyle name="40% - Accent4 4" xfId="1730"/>
    <cellStyle name="40% - Accent4 4 2" xfId="1731"/>
    <cellStyle name="40% - Accent4 4_Display" xfId="1732"/>
    <cellStyle name="40% - Accent4 5" xfId="1733"/>
    <cellStyle name="40% - Accent4 5 2" xfId="1734"/>
    <cellStyle name="40% - Accent4 5_Display" xfId="1735"/>
    <cellStyle name="40% - Accent4 6" xfId="1736"/>
    <cellStyle name="40% - Accent4 6 2" xfId="1737"/>
    <cellStyle name="40% - Accent4 6_Display" xfId="1738"/>
    <cellStyle name="40% - Accent4 7" xfId="1739"/>
    <cellStyle name="40% - Accent4 8" xfId="1740"/>
    <cellStyle name="40% - Accent4 9" xfId="1741"/>
    <cellStyle name="40% - Accent4 9 2" xfId="1742"/>
    <cellStyle name="40% - Accent4 9 2 2" xfId="1743"/>
    <cellStyle name="40% - Accent4 9 3" xfId="1744"/>
    <cellStyle name="40% - Accent4 9 4" xfId="1745"/>
    <cellStyle name="40% - Accent4 9 5" xfId="1746"/>
    <cellStyle name="40% - Accent5" xfId="36" builtinId="47" customBuiltin="1"/>
    <cellStyle name="40% - Accent5 10" xfId="1747"/>
    <cellStyle name="40% - Accent5 10 2" xfId="1748"/>
    <cellStyle name="40% - Accent5 10 3" xfId="1749"/>
    <cellStyle name="40% - Accent5 11" xfId="1750"/>
    <cellStyle name="40% - Accent5 11 2" xfId="1751"/>
    <cellStyle name="40% - Accent5 11 3" xfId="1752"/>
    <cellStyle name="40% - Accent5 12" xfId="1753"/>
    <cellStyle name="40% - Accent5 12 2" xfId="1754"/>
    <cellStyle name="40% - Accent5 12 3" xfId="1755"/>
    <cellStyle name="40% - Accent5 13" xfId="1756"/>
    <cellStyle name="40% - Accent5 13 2" xfId="1757"/>
    <cellStyle name="40% - Accent5 13 3" xfId="1758"/>
    <cellStyle name="40% - Accent5 14" xfId="1759"/>
    <cellStyle name="40% - Accent5 14 2" xfId="1760"/>
    <cellStyle name="40% - Accent5 14 3" xfId="1761"/>
    <cellStyle name="40% - Accent5 15" xfId="1762"/>
    <cellStyle name="40% - Accent5 15 2" xfId="1763"/>
    <cellStyle name="40% - Accent5 15 3" xfId="1764"/>
    <cellStyle name="40% - Accent5 16" xfId="1765"/>
    <cellStyle name="40% - Accent5 17" xfId="1766"/>
    <cellStyle name="40% - Accent5 18" xfId="1767"/>
    <cellStyle name="40% - Accent5 19" xfId="1768"/>
    <cellStyle name="40% - Accent5 2" xfId="395"/>
    <cellStyle name="40% - Accent5 2 10" xfId="1770"/>
    <cellStyle name="40% - Accent5 2 11" xfId="1771"/>
    <cellStyle name="40% - Accent5 2 12" xfId="1772"/>
    <cellStyle name="40% - Accent5 2 13" xfId="1773"/>
    <cellStyle name="40% - Accent5 2 14" xfId="1774"/>
    <cellStyle name="40% - Accent5 2 15" xfId="1775"/>
    <cellStyle name="40% - Accent5 2 16" xfId="1769"/>
    <cellStyle name="40% - Accent5 2 2" xfId="1776"/>
    <cellStyle name="40% - Accent5 2 3" xfId="1777"/>
    <cellStyle name="40% - Accent5 2 4" xfId="1778"/>
    <cellStyle name="40% - Accent5 2 5" xfId="1779"/>
    <cellStyle name="40% - Accent5 2 6" xfId="1780"/>
    <cellStyle name="40% - Accent5 2 7" xfId="1781"/>
    <cellStyle name="40% - Accent5 2 8" xfId="1782"/>
    <cellStyle name="40% - Accent5 2 9" xfId="1783"/>
    <cellStyle name="40% - Accent5 2_Display" xfId="1784"/>
    <cellStyle name="40% - Accent5 20" xfId="1785"/>
    <cellStyle name="40% - Accent5 3" xfId="1786"/>
    <cellStyle name="40% - Accent5 3 2" xfId="1787"/>
    <cellStyle name="40% - Accent5 3 3" xfId="1788"/>
    <cellStyle name="40% - Accent5 3 4" xfId="1789"/>
    <cellStyle name="40% - Accent5 3 5" xfId="1790"/>
    <cellStyle name="40% - Accent5 3 5 2" xfId="1791"/>
    <cellStyle name="40% - Accent5 3 6" xfId="1792"/>
    <cellStyle name="40% - Accent5 3 7" xfId="1793"/>
    <cellStyle name="40% - Accent5 3 8" xfId="1794"/>
    <cellStyle name="40% - Accent5 3 9" xfId="1795"/>
    <cellStyle name="40% - Accent5 3_Display" xfId="1796"/>
    <cellStyle name="40% - Accent5 4" xfId="1797"/>
    <cellStyle name="40% - Accent5 4 2" xfId="1798"/>
    <cellStyle name="40% - Accent5 4_Display" xfId="1799"/>
    <cellStyle name="40% - Accent5 5" xfId="1800"/>
    <cellStyle name="40% - Accent5 5 2" xfId="1801"/>
    <cellStyle name="40% - Accent5 5_Display" xfId="1802"/>
    <cellStyle name="40% - Accent5 6" xfId="1803"/>
    <cellStyle name="40% - Accent5 6 2" xfId="1804"/>
    <cellStyle name="40% - Accent5 6_Display" xfId="1805"/>
    <cellStyle name="40% - Accent5 7" xfId="1806"/>
    <cellStyle name="40% - Accent5 8" xfId="1807"/>
    <cellStyle name="40% - Accent5 9" xfId="1808"/>
    <cellStyle name="40% - Accent5 9 2" xfId="1809"/>
    <cellStyle name="40% - Accent5 9 2 2" xfId="1810"/>
    <cellStyle name="40% - Accent5 9 3" xfId="1811"/>
    <cellStyle name="40% - Accent5 9 4" xfId="1812"/>
    <cellStyle name="40% - Accent5 9 5" xfId="1813"/>
    <cellStyle name="40% - Accent6" xfId="37" builtinId="51" customBuiltin="1"/>
    <cellStyle name="40% - Accent6 10" xfId="1814"/>
    <cellStyle name="40% - Accent6 10 2" xfId="1815"/>
    <cellStyle name="40% - Accent6 10 3" xfId="1816"/>
    <cellStyle name="40% - Accent6 11" xfId="1817"/>
    <cellStyle name="40% - Accent6 11 2" xfId="1818"/>
    <cellStyle name="40% - Accent6 11 3" xfId="1819"/>
    <cellStyle name="40% - Accent6 12" xfId="1820"/>
    <cellStyle name="40% - Accent6 12 2" xfId="1821"/>
    <cellStyle name="40% - Accent6 12 3" xfId="1822"/>
    <cellStyle name="40% - Accent6 13" xfId="1823"/>
    <cellStyle name="40% - Accent6 13 2" xfId="1824"/>
    <cellStyle name="40% - Accent6 13 3" xfId="1825"/>
    <cellStyle name="40% - Accent6 14" xfId="1826"/>
    <cellStyle name="40% - Accent6 14 2" xfId="1827"/>
    <cellStyle name="40% - Accent6 14 3" xfId="1828"/>
    <cellStyle name="40% - Accent6 15" xfId="1829"/>
    <cellStyle name="40% - Accent6 15 2" xfId="1830"/>
    <cellStyle name="40% - Accent6 15 3" xfId="1831"/>
    <cellStyle name="40% - Accent6 16" xfId="1832"/>
    <cellStyle name="40% - Accent6 17" xfId="1833"/>
    <cellStyle name="40% - Accent6 18" xfId="1834"/>
    <cellStyle name="40% - Accent6 19" xfId="1835"/>
    <cellStyle name="40% - Accent6 2" xfId="396"/>
    <cellStyle name="40% - Accent6 2 10" xfId="1837"/>
    <cellStyle name="40% - Accent6 2 11" xfId="1838"/>
    <cellStyle name="40% - Accent6 2 12" xfId="1839"/>
    <cellStyle name="40% - Accent6 2 13" xfId="1840"/>
    <cellStyle name="40% - Accent6 2 14" xfId="1841"/>
    <cellStyle name="40% - Accent6 2 15" xfId="1842"/>
    <cellStyle name="40% - Accent6 2 16" xfId="1836"/>
    <cellStyle name="40% - Accent6 2 2" xfId="1843"/>
    <cellStyle name="40% - Accent6 2 3" xfId="1844"/>
    <cellStyle name="40% - Accent6 2 4" xfId="1845"/>
    <cellStyle name="40% - Accent6 2 5" xfId="1846"/>
    <cellStyle name="40% - Accent6 2 6" xfId="1847"/>
    <cellStyle name="40% - Accent6 2 7" xfId="1848"/>
    <cellStyle name="40% - Accent6 2 8" xfId="1849"/>
    <cellStyle name="40% - Accent6 2 9" xfId="1850"/>
    <cellStyle name="40% - Accent6 2_Display" xfId="1851"/>
    <cellStyle name="40% - Accent6 20" xfId="1852"/>
    <cellStyle name="40% - Accent6 3" xfId="1853"/>
    <cellStyle name="40% - Accent6 3 2" xfId="1854"/>
    <cellStyle name="40% - Accent6 3 3" xfId="1855"/>
    <cellStyle name="40% - Accent6 3 4" xfId="1856"/>
    <cellStyle name="40% - Accent6 3 5" xfId="1857"/>
    <cellStyle name="40% - Accent6 3 5 2" xfId="1858"/>
    <cellStyle name="40% - Accent6 3 6" xfId="1859"/>
    <cellStyle name="40% - Accent6 3 7" xfId="1860"/>
    <cellStyle name="40% - Accent6 3 8" xfId="1861"/>
    <cellStyle name="40% - Accent6 3 9" xfId="1862"/>
    <cellStyle name="40% - Accent6 3_Display" xfId="1863"/>
    <cellStyle name="40% - Accent6 4" xfId="1864"/>
    <cellStyle name="40% - Accent6 4 2" xfId="1865"/>
    <cellStyle name="40% - Accent6 4_Display" xfId="1866"/>
    <cellStyle name="40% - Accent6 5" xfId="1867"/>
    <cellStyle name="40% - Accent6 5 2" xfId="1868"/>
    <cellStyle name="40% - Accent6 5_Display" xfId="1869"/>
    <cellStyle name="40% - Accent6 6" xfId="1870"/>
    <cellStyle name="40% - Accent6 6 2" xfId="1871"/>
    <cellStyle name="40% - Accent6 6_Display" xfId="1872"/>
    <cellStyle name="40% - Accent6 7" xfId="1873"/>
    <cellStyle name="40% - Accent6 8" xfId="1874"/>
    <cellStyle name="40% - Accent6 9" xfId="1875"/>
    <cellStyle name="40% - Accent6 9 2" xfId="1876"/>
    <cellStyle name="40% - Accent6 9 2 2" xfId="1877"/>
    <cellStyle name="40% - Accent6 9 3" xfId="1878"/>
    <cellStyle name="40% - Accent6 9 4" xfId="1879"/>
    <cellStyle name="40% - Accent6 9 5" xfId="1880"/>
    <cellStyle name="40% - 强调文字颜色 1" xfId="1881"/>
    <cellStyle name="40% - 强调文字颜色 2" xfId="1882"/>
    <cellStyle name="40% - 强调文字颜色 3" xfId="1883"/>
    <cellStyle name="40% - 强调文字颜色 4" xfId="1884"/>
    <cellStyle name="40% - 强调文字颜色 5" xfId="1885"/>
    <cellStyle name="40% - 强调文字颜色 6" xfId="1886"/>
    <cellStyle name="40% - 輔色1" xfId="1887"/>
    <cellStyle name="40% - 輔色2" xfId="1888"/>
    <cellStyle name="40% - 輔色3" xfId="1889"/>
    <cellStyle name="40% - 輔色4" xfId="1890"/>
    <cellStyle name="40% - 輔色5" xfId="1891"/>
    <cellStyle name="40% - 輔色6" xfId="1892"/>
    <cellStyle name="60% - Accent1" xfId="38" builtinId="32" customBuiltin="1"/>
    <cellStyle name="60% - Accent1 10" xfId="1893"/>
    <cellStyle name="60% - Accent1 10 2" xfId="1894"/>
    <cellStyle name="60% - Accent1 10 3" xfId="1895"/>
    <cellStyle name="60% - Accent1 11" xfId="1896"/>
    <cellStyle name="60% - Accent1 11 2" xfId="1897"/>
    <cellStyle name="60% - Accent1 11 3" xfId="1898"/>
    <cellStyle name="60% - Accent1 12" xfId="1899"/>
    <cellStyle name="60% - Accent1 12 2" xfId="1900"/>
    <cellStyle name="60% - Accent1 12 3" xfId="1901"/>
    <cellStyle name="60% - Accent1 13" xfId="1902"/>
    <cellStyle name="60% - Accent1 13 2" xfId="1903"/>
    <cellStyle name="60% - Accent1 13 3" xfId="1904"/>
    <cellStyle name="60% - Accent1 14" xfId="1905"/>
    <cellStyle name="60% - Accent1 14 2" xfId="1906"/>
    <cellStyle name="60% - Accent1 14 3" xfId="1907"/>
    <cellStyle name="60% - Accent1 15" xfId="1908"/>
    <cellStyle name="60% - Accent1 15 2" xfId="1909"/>
    <cellStyle name="60% - Accent1 15 3" xfId="1910"/>
    <cellStyle name="60% - Accent1 16" xfId="1911"/>
    <cellStyle name="60% - Accent1 17" xfId="1912"/>
    <cellStyle name="60% - Accent1 18" xfId="1913"/>
    <cellStyle name="60% - Accent1 19" xfId="1914"/>
    <cellStyle name="60% - Accent1 2" xfId="397"/>
    <cellStyle name="60% - Accent1 2 10" xfId="1916"/>
    <cellStyle name="60% - Accent1 2 11" xfId="1917"/>
    <cellStyle name="60% - Accent1 2 12" xfId="1918"/>
    <cellStyle name="60% - Accent1 2 13" xfId="1919"/>
    <cellStyle name="60% - Accent1 2 14" xfId="1920"/>
    <cellStyle name="60% - Accent1 2 15" xfId="1921"/>
    <cellStyle name="60% - Accent1 2 16" xfId="1915"/>
    <cellStyle name="60% - Accent1 2 2" xfId="1922"/>
    <cellStyle name="60% - Accent1 2 3" xfId="1923"/>
    <cellStyle name="60% - Accent1 2 4" xfId="1924"/>
    <cellStyle name="60% - Accent1 2 5" xfId="1925"/>
    <cellStyle name="60% - Accent1 2 6" xfId="1926"/>
    <cellStyle name="60% - Accent1 2 7" xfId="1927"/>
    <cellStyle name="60% - Accent1 2 8" xfId="1928"/>
    <cellStyle name="60% - Accent1 2 9" xfId="1929"/>
    <cellStyle name="60% - Accent1 20" xfId="1930"/>
    <cellStyle name="60% - Accent1 3" xfId="1931"/>
    <cellStyle name="60% - Accent1 3 2" xfId="1932"/>
    <cellStyle name="60% - Accent1 3 3" xfId="1933"/>
    <cellStyle name="60% - Accent1 3 4" xfId="1934"/>
    <cellStyle name="60% - Accent1 3 5" xfId="1935"/>
    <cellStyle name="60% - Accent1 3 5 2" xfId="1936"/>
    <cellStyle name="60% - Accent1 3 6" xfId="1937"/>
    <cellStyle name="60% - Accent1 3 7" xfId="1938"/>
    <cellStyle name="60% - Accent1 3 8" xfId="1939"/>
    <cellStyle name="60% - Accent1 3 9" xfId="1940"/>
    <cellStyle name="60% - Accent1 4" xfId="1941"/>
    <cellStyle name="60% - Accent1 4 2" xfId="1942"/>
    <cellStyle name="60% - Accent1 5" xfId="1943"/>
    <cellStyle name="60% - Accent1 5 2" xfId="1944"/>
    <cellStyle name="60% - Accent1 6" xfId="1945"/>
    <cellStyle name="60% - Accent1 6 2" xfId="1946"/>
    <cellStyle name="60% - Accent1 7" xfId="1947"/>
    <cellStyle name="60% - Accent1 8" xfId="1948"/>
    <cellStyle name="60% - Accent1 9" xfId="1949"/>
    <cellStyle name="60% - Accent1 9 2" xfId="1950"/>
    <cellStyle name="60% - Accent1 9 2 2" xfId="1951"/>
    <cellStyle name="60% - Accent1 9 3" xfId="1952"/>
    <cellStyle name="60% - Accent1 9 4" xfId="1953"/>
    <cellStyle name="60% - Accent1 9 5" xfId="1954"/>
    <cellStyle name="60% - Accent2" xfId="39" builtinId="36" customBuiltin="1"/>
    <cellStyle name="60% - Accent2 10" xfId="1955"/>
    <cellStyle name="60% - Accent2 10 2" xfId="1956"/>
    <cellStyle name="60% - Accent2 10 3" xfId="1957"/>
    <cellStyle name="60% - Accent2 11" xfId="1958"/>
    <cellStyle name="60% - Accent2 11 2" xfId="1959"/>
    <cellStyle name="60% - Accent2 11 3" xfId="1960"/>
    <cellStyle name="60% - Accent2 12" xfId="1961"/>
    <cellStyle name="60% - Accent2 12 2" xfId="1962"/>
    <cellStyle name="60% - Accent2 12 3" xfId="1963"/>
    <cellStyle name="60% - Accent2 13" xfId="1964"/>
    <cellStyle name="60% - Accent2 13 2" xfId="1965"/>
    <cellStyle name="60% - Accent2 13 3" xfId="1966"/>
    <cellStyle name="60% - Accent2 14" xfId="1967"/>
    <cellStyle name="60% - Accent2 14 2" xfId="1968"/>
    <cellStyle name="60% - Accent2 14 3" xfId="1969"/>
    <cellStyle name="60% - Accent2 15" xfId="1970"/>
    <cellStyle name="60% - Accent2 15 2" xfId="1971"/>
    <cellStyle name="60% - Accent2 15 3" xfId="1972"/>
    <cellStyle name="60% - Accent2 16" xfId="1973"/>
    <cellStyle name="60% - Accent2 17" xfId="1974"/>
    <cellStyle name="60% - Accent2 18" xfId="1975"/>
    <cellStyle name="60% - Accent2 19" xfId="1976"/>
    <cellStyle name="60% - Accent2 2" xfId="398"/>
    <cellStyle name="60% - Accent2 2 10" xfId="1978"/>
    <cellStyle name="60% - Accent2 2 11" xfId="1979"/>
    <cellStyle name="60% - Accent2 2 12" xfId="1980"/>
    <cellStyle name="60% - Accent2 2 13" xfId="1981"/>
    <cellStyle name="60% - Accent2 2 14" xfId="1982"/>
    <cellStyle name="60% - Accent2 2 15" xfId="1983"/>
    <cellStyle name="60% - Accent2 2 16" xfId="1977"/>
    <cellStyle name="60% - Accent2 2 2" xfId="1984"/>
    <cellStyle name="60% - Accent2 2 3" xfId="1985"/>
    <cellStyle name="60% - Accent2 2 4" xfId="1986"/>
    <cellStyle name="60% - Accent2 2 5" xfId="1987"/>
    <cellStyle name="60% - Accent2 2 6" xfId="1988"/>
    <cellStyle name="60% - Accent2 2 7" xfId="1989"/>
    <cellStyle name="60% - Accent2 2 8" xfId="1990"/>
    <cellStyle name="60% - Accent2 2 9" xfId="1991"/>
    <cellStyle name="60% - Accent2 20" xfId="1992"/>
    <cellStyle name="60% - Accent2 3" xfId="1993"/>
    <cellStyle name="60% - Accent2 3 2" xfId="1994"/>
    <cellStyle name="60% - Accent2 3 3" xfId="1995"/>
    <cellStyle name="60% - Accent2 3 4" xfId="1996"/>
    <cellStyle name="60% - Accent2 3 5" xfId="1997"/>
    <cellStyle name="60% - Accent2 3 6" xfId="1998"/>
    <cellStyle name="60% - Accent2 3 7" xfId="1999"/>
    <cellStyle name="60% - Accent2 3 8" xfId="2000"/>
    <cellStyle name="60% - Accent2 4" xfId="2001"/>
    <cellStyle name="60% - Accent2 4 2" xfId="2002"/>
    <cellStyle name="60% - Accent2 5" xfId="2003"/>
    <cellStyle name="60% - Accent2 5 2" xfId="2004"/>
    <cellStyle name="60% - Accent2 6" xfId="2005"/>
    <cellStyle name="60% - Accent2 6 2" xfId="2006"/>
    <cellStyle name="60% - Accent2 7" xfId="2007"/>
    <cellStyle name="60% - Accent2 8" xfId="2008"/>
    <cellStyle name="60% - Accent2 9" xfId="2009"/>
    <cellStyle name="60% - Accent2 9 2" xfId="2010"/>
    <cellStyle name="60% - Accent2 9 3" xfId="2011"/>
    <cellStyle name="60% - Accent2 9 4" xfId="2012"/>
    <cellStyle name="60% - Accent3" xfId="40" builtinId="40" customBuiltin="1"/>
    <cellStyle name="60% - Accent3 10" xfId="2013"/>
    <cellStyle name="60% - Accent3 10 2" xfId="2014"/>
    <cellStyle name="60% - Accent3 10 3" xfId="2015"/>
    <cellStyle name="60% - Accent3 11" xfId="2016"/>
    <cellStyle name="60% - Accent3 11 2" xfId="2017"/>
    <cellStyle name="60% - Accent3 11 3" xfId="2018"/>
    <cellStyle name="60% - Accent3 12" xfId="2019"/>
    <cellStyle name="60% - Accent3 12 2" xfId="2020"/>
    <cellStyle name="60% - Accent3 12 3" xfId="2021"/>
    <cellStyle name="60% - Accent3 13" xfId="2022"/>
    <cellStyle name="60% - Accent3 13 2" xfId="2023"/>
    <cellStyle name="60% - Accent3 13 3" xfId="2024"/>
    <cellStyle name="60% - Accent3 14" xfId="2025"/>
    <cellStyle name="60% - Accent3 14 2" xfId="2026"/>
    <cellStyle name="60% - Accent3 14 3" xfId="2027"/>
    <cellStyle name="60% - Accent3 15" xfId="2028"/>
    <cellStyle name="60% - Accent3 15 2" xfId="2029"/>
    <cellStyle name="60% - Accent3 15 3" xfId="2030"/>
    <cellStyle name="60% - Accent3 16" xfId="2031"/>
    <cellStyle name="60% - Accent3 17" xfId="2032"/>
    <cellStyle name="60% - Accent3 18" xfId="2033"/>
    <cellStyle name="60% - Accent3 19" xfId="2034"/>
    <cellStyle name="60% - Accent3 2" xfId="399"/>
    <cellStyle name="60% - Accent3 2 10" xfId="2036"/>
    <cellStyle name="60% - Accent3 2 11" xfId="2037"/>
    <cellStyle name="60% - Accent3 2 12" xfId="2038"/>
    <cellStyle name="60% - Accent3 2 13" xfId="2039"/>
    <cellStyle name="60% - Accent3 2 14" xfId="2040"/>
    <cellStyle name="60% - Accent3 2 15" xfId="2041"/>
    <cellStyle name="60% - Accent3 2 16" xfId="2035"/>
    <cellStyle name="60% - Accent3 2 2" xfId="2042"/>
    <cellStyle name="60% - Accent3 2 3" xfId="2043"/>
    <cellStyle name="60% - Accent3 2 4" xfId="2044"/>
    <cellStyle name="60% - Accent3 2 5" xfId="2045"/>
    <cellStyle name="60% - Accent3 2 6" xfId="2046"/>
    <cellStyle name="60% - Accent3 2 7" xfId="2047"/>
    <cellStyle name="60% - Accent3 2 8" xfId="2048"/>
    <cellStyle name="60% - Accent3 2 9" xfId="2049"/>
    <cellStyle name="60% - Accent3 20" xfId="2050"/>
    <cellStyle name="60% - Accent3 3" xfId="2051"/>
    <cellStyle name="60% - Accent3 3 2" xfId="2052"/>
    <cellStyle name="60% - Accent3 3 3" xfId="2053"/>
    <cellStyle name="60% - Accent3 3 4" xfId="2054"/>
    <cellStyle name="60% - Accent3 3 5" xfId="2055"/>
    <cellStyle name="60% - Accent3 3 5 2" xfId="2056"/>
    <cellStyle name="60% - Accent3 3 6" xfId="2057"/>
    <cellStyle name="60% - Accent3 3 7" xfId="2058"/>
    <cellStyle name="60% - Accent3 3 8" xfId="2059"/>
    <cellStyle name="60% - Accent3 3 9" xfId="2060"/>
    <cellStyle name="60% - Accent3 4" xfId="2061"/>
    <cellStyle name="60% - Accent3 4 2" xfId="2062"/>
    <cellStyle name="60% - Accent3 5" xfId="2063"/>
    <cellStyle name="60% - Accent3 5 2" xfId="2064"/>
    <cellStyle name="60% - Accent3 6" xfId="2065"/>
    <cellStyle name="60% - Accent3 6 2" xfId="2066"/>
    <cellStyle name="60% - Accent3 7" xfId="2067"/>
    <cellStyle name="60% - Accent3 8" xfId="2068"/>
    <cellStyle name="60% - Accent3 9" xfId="2069"/>
    <cellStyle name="60% - Accent3 9 2" xfId="2070"/>
    <cellStyle name="60% - Accent3 9 2 2" xfId="2071"/>
    <cellStyle name="60% - Accent3 9 3" xfId="2072"/>
    <cellStyle name="60% - Accent3 9 4" xfId="2073"/>
    <cellStyle name="60% - Accent3 9 5" xfId="2074"/>
    <cellStyle name="60% - Accent4" xfId="41" builtinId="44" customBuiltin="1"/>
    <cellStyle name="60% - Accent4 10" xfId="2075"/>
    <cellStyle name="60% - Accent4 10 2" xfId="2076"/>
    <cellStyle name="60% - Accent4 10 3" xfId="2077"/>
    <cellStyle name="60% - Accent4 11" xfId="2078"/>
    <cellStyle name="60% - Accent4 11 2" xfId="2079"/>
    <cellStyle name="60% - Accent4 11 3" xfId="2080"/>
    <cellStyle name="60% - Accent4 12" xfId="2081"/>
    <cellStyle name="60% - Accent4 12 2" xfId="2082"/>
    <cellStyle name="60% - Accent4 12 3" xfId="2083"/>
    <cellStyle name="60% - Accent4 13" xfId="2084"/>
    <cellStyle name="60% - Accent4 13 2" xfId="2085"/>
    <cellStyle name="60% - Accent4 13 3" xfId="2086"/>
    <cellStyle name="60% - Accent4 14" xfId="2087"/>
    <cellStyle name="60% - Accent4 14 2" xfId="2088"/>
    <cellStyle name="60% - Accent4 14 3" xfId="2089"/>
    <cellStyle name="60% - Accent4 15" xfId="2090"/>
    <cellStyle name="60% - Accent4 15 2" xfId="2091"/>
    <cellStyle name="60% - Accent4 15 3" xfId="2092"/>
    <cellStyle name="60% - Accent4 16" xfId="2093"/>
    <cellStyle name="60% - Accent4 17" xfId="2094"/>
    <cellStyle name="60% - Accent4 18" xfId="2095"/>
    <cellStyle name="60% - Accent4 19" xfId="2096"/>
    <cellStyle name="60% - Accent4 2" xfId="400"/>
    <cellStyle name="60% - Accent4 2 10" xfId="2098"/>
    <cellStyle name="60% - Accent4 2 11" xfId="2099"/>
    <cellStyle name="60% - Accent4 2 12" xfId="2100"/>
    <cellStyle name="60% - Accent4 2 13" xfId="2101"/>
    <cellStyle name="60% - Accent4 2 14" xfId="2102"/>
    <cellStyle name="60% - Accent4 2 15" xfId="2103"/>
    <cellStyle name="60% - Accent4 2 16" xfId="2097"/>
    <cellStyle name="60% - Accent4 2 2" xfId="2104"/>
    <cellStyle name="60% - Accent4 2 3" xfId="2105"/>
    <cellStyle name="60% - Accent4 2 4" xfId="2106"/>
    <cellStyle name="60% - Accent4 2 5" xfId="2107"/>
    <cellStyle name="60% - Accent4 2 6" xfId="2108"/>
    <cellStyle name="60% - Accent4 2 7" xfId="2109"/>
    <cellStyle name="60% - Accent4 2 8" xfId="2110"/>
    <cellStyle name="60% - Accent4 2 9" xfId="2111"/>
    <cellStyle name="60% - Accent4 20" xfId="2112"/>
    <cellStyle name="60% - Accent4 3" xfId="2113"/>
    <cellStyle name="60% - Accent4 3 2" xfId="2114"/>
    <cellStyle name="60% - Accent4 3 3" xfId="2115"/>
    <cellStyle name="60% - Accent4 3 4" xfId="2116"/>
    <cellStyle name="60% - Accent4 3 5" xfId="2117"/>
    <cellStyle name="60% - Accent4 3 5 2" xfId="2118"/>
    <cellStyle name="60% - Accent4 3 6" xfId="2119"/>
    <cellStyle name="60% - Accent4 3 7" xfId="2120"/>
    <cellStyle name="60% - Accent4 3 8" xfId="2121"/>
    <cellStyle name="60% - Accent4 3 9" xfId="2122"/>
    <cellStyle name="60% - Accent4 4" xfId="2123"/>
    <cellStyle name="60% - Accent4 4 2" xfId="2124"/>
    <cellStyle name="60% - Accent4 5" xfId="2125"/>
    <cellStyle name="60% - Accent4 5 2" xfId="2126"/>
    <cellStyle name="60% - Accent4 6" xfId="2127"/>
    <cellStyle name="60% - Accent4 6 2" xfId="2128"/>
    <cellStyle name="60% - Accent4 7" xfId="2129"/>
    <cellStyle name="60% - Accent4 8" xfId="2130"/>
    <cellStyle name="60% - Accent4 9" xfId="2131"/>
    <cellStyle name="60% - Accent4 9 2" xfId="2132"/>
    <cellStyle name="60% - Accent4 9 2 2" xfId="2133"/>
    <cellStyle name="60% - Accent4 9 3" xfId="2134"/>
    <cellStyle name="60% - Accent4 9 4" xfId="2135"/>
    <cellStyle name="60% - Accent4 9 5" xfId="2136"/>
    <cellStyle name="60% - Accent5" xfId="42" builtinId="48" customBuiltin="1"/>
    <cellStyle name="60% - Accent5 10" xfId="2137"/>
    <cellStyle name="60% - Accent5 10 2" xfId="2138"/>
    <cellStyle name="60% - Accent5 10 3" xfId="2139"/>
    <cellStyle name="60% - Accent5 11" xfId="2140"/>
    <cellStyle name="60% - Accent5 11 2" xfId="2141"/>
    <cellStyle name="60% - Accent5 11 3" xfId="2142"/>
    <cellStyle name="60% - Accent5 12" xfId="2143"/>
    <cellStyle name="60% - Accent5 12 2" xfId="2144"/>
    <cellStyle name="60% - Accent5 12 3" xfId="2145"/>
    <cellStyle name="60% - Accent5 13" xfId="2146"/>
    <cellStyle name="60% - Accent5 13 2" xfId="2147"/>
    <cellStyle name="60% - Accent5 13 3" xfId="2148"/>
    <cellStyle name="60% - Accent5 14" xfId="2149"/>
    <cellStyle name="60% - Accent5 14 2" xfId="2150"/>
    <cellStyle name="60% - Accent5 14 3" xfId="2151"/>
    <cellStyle name="60% - Accent5 15" xfId="2152"/>
    <cellStyle name="60% - Accent5 15 2" xfId="2153"/>
    <cellStyle name="60% - Accent5 15 3" xfId="2154"/>
    <cellStyle name="60% - Accent5 16" xfId="2155"/>
    <cellStyle name="60% - Accent5 17" xfId="2156"/>
    <cellStyle name="60% - Accent5 18" xfId="2157"/>
    <cellStyle name="60% - Accent5 19" xfId="2158"/>
    <cellStyle name="60% - Accent5 2" xfId="401"/>
    <cellStyle name="60% - Accent5 2 10" xfId="2160"/>
    <cellStyle name="60% - Accent5 2 11" xfId="2161"/>
    <cellStyle name="60% - Accent5 2 12" xfId="2162"/>
    <cellStyle name="60% - Accent5 2 13" xfId="2163"/>
    <cellStyle name="60% - Accent5 2 14" xfId="2164"/>
    <cellStyle name="60% - Accent5 2 15" xfId="2165"/>
    <cellStyle name="60% - Accent5 2 16" xfId="2159"/>
    <cellStyle name="60% - Accent5 2 2" xfId="2166"/>
    <cellStyle name="60% - Accent5 2 3" xfId="2167"/>
    <cellStyle name="60% - Accent5 2 4" xfId="2168"/>
    <cellStyle name="60% - Accent5 2 5" xfId="2169"/>
    <cellStyle name="60% - Accent5 2 6" xfId="2170"/>
    <cellStyle name="60% - Accent5 2 7" xfId="2171"/>
    <cellStyle name="60% - Accent5 2 8" xfId="2172"/>
    <cellStyle name="60% - Accent5 2 9" xfId="2173"/>
    <cellStyle name="60% - Accent5 20" xfId="2174"/>
    <cellStyle name="60% - Accent5 3" xfId="2175"/>
    <cellStyle name="60% - Accent5 3 2" xfId="2176"/>
    <cellStyle name="60% - Accent5 3 3" xfId="2177"/>
    <cellStyle name="60% - Accent5 3 4" xfId="2178"/>
    <cellStyle name="60% - Accent5 3 5" xfId="2179"/>
    <cellStyle name="60% - Accent5 3 5 2" xfId="2180"/>
    <cellStyle name="60% - Accent5 3 6" xfId="2181"/>
    <cellStyle name="60% - Accent5 3 7" xfId="2182"/>
    <cellStyle name="60% - Accent5 3 8" xfId="2183"/>
    <cellStyle name="60% - Accent5 3 9" xfId="2184"/>
    <cellStyle name="60% - Accent5 4" xfId="2185"/>
    <cellStyle name="60% - Accent5 4 2" xfId="2186"/>
    <cellStyle name="60% - Accent5 5" xfId="2187"/>
    <cellStyle name="60% - Accent5 5 2" xfId="2188"/>
    <cellStyle name="60% - Accent5 6" xfId="2189"/>
    <cellStyle name="60% - Accent5 6 2" xfId="2190"/>
    <cellStyle name="60% - Accent5 7" xfId="2191"/>
    <cellStyle name="60% - Accent5 8" xfId="2192"/>
    <cellStyle name="60% - Accent5 9" xfId="2193"/>
    <cellStyle name="60% - Accent5 9 2" xfId="2194"/>
    <cellStyle name="60% - Accent5 9 2 2" xfId="2195"/>
    <cellStyle name="60% - Accent5 9 3" xfId="2196"/>
    <cellStyle name="60% - Accent5 9 4" xfId="2197"/>
    <cellStyle name="60% - Accent5 9 5" xfId="2198"/>
    <cellStyle name="60% - Accent6" xfId="43" builtinId="52" customBuiltin="1"/>
    <cellStyle name="60% - Accent6 10" xfId="2199"/>
    <cellStyle name="60% - Accent6 10 2" xfId="2200"/>
    <cellStyle name="60% - Accent6 10 3" xfId="2201"/>
    <cellStyle name="60% - Accent6 11" xfId="2202"/>
    <cellStyle name="60% - Accent6 11 2" xfId="2203"/>
    <cellStyle name="60% - Accent6 11 3" xfId="2204"/>
    <cellStyle name="60% - Accent6 12" xfId="2205"/>
    <cellStyle name="60% - Accent6 12 2" xfId="2206"/>
    <cellStyle name="60% - Accent6 12 3" xfId="2207"/>
    <cellStyle name="60% - Accent6 13" xfId="2208"/>
    <cellStyle name="60% - Accent6 13 2" xfId="2209"/>
    <cellStyle name="60% - Accent6 13 3" xfId="2210"/>
    <cellStyle name="60% - Accent6 14" xfId="2211"/>
    <cellStyle name="60% - Accent6 14 2" xfId="2212"/>
    <cellStyle name="60% - Accent6 14 3" xfId="2213"/>
    <cellStyle name="60% - Accent6 15" xfId="2214"/>
    <cellStyle name="60% - Accent6 15 2" xfId="2215"/>
    <cellStyle name="60% - Accent6 15 3" xfId="2216"/>
    <cellStyle name="60% - Accent6 16" xfId="2217"/>
    <cellStyle name="60% - Accent6 17" xfId="2218"/>
    <cellStyle name="60% - Accent6 18" xfId="2219"/>
    <cellStyle name="60% - Accent6 19" xfId="2220"/>
    <cellStyle name="60% - Accent6 2" xfId="402"/>
    <cellStyle name="60% - Accent6 2 10" xfId="2222"/>
    <cellStyle name="60% - Accent6 2 11" xfId="2223"/>
    <cellStyle name="60% - Accent6 2 12" xfId="2224"/>
    <cellStyle name="60% - Accent6 2 13" xfId="2225"/>
    <cellStyle name="60% - Accent6 2 14" xfId="2226"/>
    <cellStyle name="60% - Accent6 2 15" xfId="2227"/>
    <cellStyle name="60% - Accent6 2 16" xfId="2221"/>
    <cellStyle name="60% - Accent6 2 2" xfId="2228"/>
    <cellStyle name="60% - Accent6 2 3" xfId="2229"/>
    <cellStyle name="60% - Accent6 2 4" xfId="2230"/>
    <cellStyle name="60% - Accent6 2 5" xfId="2231"/>
    <cellStyle name="60% - Accent6 2 6" xfId="2232"/>
    <cellStyle name="60% - Accent6 2 7" xfId="2233"/>
    <cellStyle name="60% - Accent6 2 8" xfId="2234"/>
    <cellStyle name="60% - Accent6 2 9" xfId="2235"/>
    <cellStyle name="60% - Accent6 20" xfId="2236"/>
    <cellStyle name="60% - Accent6 3" xfId="2237"/>
    <cellStyle name="60% - Accent6 3 2" xfId="2238"/>
    <cellStyle name="60% - Accent6 3 3" xfId="2239"/>
    <cellStyle name="60% - Accent6 3 4" xfId="2240"/>
    <cellStyle name="60% - Accent6 3 5" xfId="2241"/>
    <cellStyle name="60% - Accent6 3 5 2" xfId="2242"/>
    <cellStyle name="60% - Accent6 3 6" xfId="2243"/>
    <cellStyle name="60% - Accent6 3 7" xfId="2244"/>
    <cellStyle name="60% - Accent6 3 8" xfId="2245"/>
    <cellStyle name="60% - Accent6 3 9" xfId="2246"/>
    <cellStyle name="60% - Accent6 4" xfId="2247"/>
    <cellStyle name="60% - Accent6 4 2" xfId="2248"/>
    <cellStyle name="60% - Accent6 5" xfId="2249"/>
    <cellStyle name="60% - Accent6 5 2" xfId="2250"/>
    <cellStyle name="60% - Accent6 6" xfId="2251"/>
    <cellStyle name="60% - Accent6 6 2" xfId="2252"/>
    <cellStyle name="60% - Accent6 7" xfId="2253"/>
    <cellStyle name="60% - Accent6 8" xfId="2254"/>
    <cellStyle name="60% - Accent6 9" xfId="2255"/>
    <cellStyle name="60% - Accent6 9 2" xfId="2256"/>
    <cellStyle name="60% - Accent6 9 2 2" xfId="2257"/>
    <cellStyle name="60% - Accent6 9 3" xfId="2258"/>
    <cellStyle name="60% - Accent6 9 4" xfId="2259"/>
    <cellStyle name="60% - Accent6 9 5" xfId="2260"/>
    <cellStyle name="60% - 强调文字颜色 1" xfId="2261"/>
    <cellStyle name="60% - 强调文字颜色 2" xfId="2262"/>
    <cellStyle name="60% - 强调文字颜色 3" xfId="2263"/>
    <cellStyle name="60% - 强调文字颜色 4" xfId="2264"/>
    <cellStyle name="60% - 强调文字颜色 5" xfId="2265"/>
    <cellStyle name="60% - 强调文字颜色 6" xfId="2266"/>
    <cellStyle name="60% - 輔色1" xfId="2267"/>
    <cellStyle name="60% - 輔色2" xfId="2268"/>
    <cellStyle name="60% - 輔色3" xfId="2269"/>
    <cellStyle name="60% - 輔色4" xfId="2270"/>
    <cellStyle name="60% - 輔色5" xfId="2271"/>
    <cellStyle name="60% - 輔色6" xfId="2272"/>
    <cellStyle name="752131" xfId="44"/>
    <cellStyle name="752131 2" xfId="469"/>
    <cellStyle name="A¨­￠￢￠O [0]_¨oCAuCoEⓒ÷ " xfId="4976"/>
    <cellStyle name="A¨­￠￢￠O_¨oCAuCoEⓒ÷ " xfId="4977"/>
    <cellStyle name="Accent1" xfId="45" builtinId="29" customBuiltin="1"/>
    <cellStyle name="Accent1 10" xfId="2273"/>
    <cellStyle name="Accent1 10 2" xfId="2274"/>
    <cellStyle name="Accent1 10 3" xfId="2275"/>
    <cellStyle name="Accent1 11" xfId="2276"/>
    <cellStyle name="Accent1 11 2" xfId="2277"/>
    <cellStyle name="Accent1 11 3" xfId="2278"/>
    <cellStyle name="Accent1 12" xfId="2279"/>
    <cellStyle name="Accent1 12 2" xfId="2280"/>
    <cellStyle name="Accent1 12 3" xfId="2281"/>
    <cellStyle name="Accent1 13" xfId="2282"/>
    <cellStyle name="Accent1 13 2" xfId="2283"/>
    <cellStyle name="Accent1 13 3" xfId="2284"/>
    <cellStyle name="Accent1 14" xfId="2285"/>
    <cellStyle name="Accent1 14 2" xfId="2286"/>
    <cellStyle name="Accent1 14 3" xfId="2287"/>
    <cellStyle name="Accent1 15" xfId="2288"/>
    <cellStyle name="Accent1 15 2" xfId="2289"/>
    <cellStyle name="Accent1 15 3" xfId="2290"/>
    <cellStyle name="Accent1 16" xfId="2291"/>
    <cellStyle name="Accent1 17" xfId="2292"/>
    <cellStyle name="Accent1 18" xfId="2293"/>
    <cellStyle name="Accent1 19" xfId="2294"/>
    <cellStyle name="Accent1 2" xfId="403"/>
    <cellStyle name="Accent1 2 10" xfId="2296"/>
    <cellStyle name="Accent1 2 11" xfId="2297"/>
    <cellStyle name="Accent1 2 12" xfId="2298"/>
    <cellStyle name="Accent1 2 13" xfId="2299"/>
    <cellStyle name="Accent1 2 14" xfId="2300"/>
    <cellStyle name="Accent1 2 15" xfId="2301"/>
    <cellStyle name="Accent1 2 16" xfId="2295"/>
    <cellStyle name="Accent1 2 2" xfId="2302"/>
    <cellStyle name="Accent1 2 3" xfId="2303"/>
    <cellStyle name="Accent1 2 4" xfId="2304"/>
    <cellStyle name="Accent1 2 5" xfId="2305"/>
    <cellStyle name="Accent1 2 6" xfId="2306"/>
    <cellStyle name="Accent1 2 7" xfId="2307"/>
    <cellStyle name="Accent1 2 8" xfId="2308"/>
    <cellStyle name="Accent1 2 9" xfId="2309"/>
    <cellStyle name="Accent1 20" xfId="2310"/>
    <cellStyle name="Accent1 3" xfId="2311"/>
    <cellStyle name="Accent1 3 2" xfId="2312"/>
    <cellStyle name="Accent1 3 3" xfId="2313"/>
    <cellStyle name="Accent1 3 4" xfId="2314"/>
    <cellStyle name="Accent1 3 5" xfId="2315"/>
    <cellStyle name="Accent1 3 5 2" xfId="2316"/>
    <cellStyle name="Accent1 3 6" xfId="2317"/>
    <cellStyle name="Accent1 3 7" xfId="2318"/>
    <cellStyle name="Accent1 3 8" xfId="2319"/>
    <cellStyle name="Accent1 3 9" xfId="2320"/>
    <cellStyle name="Accent1 4" xfId="2321"/>
    <cellStyle name="Accent1 4 2" xfId="2322"/>
    <cellStyle name="Accent1 5" xfId="2323"/>
    <cellStyle name="Accent1 5 2" xfId="2324"/>
    <cellStyle name="Accent1 6" xfId="2325"/>
    <cellStyle name="Accent1 6 2" xfId="2326"/>
    <cellStyle name="Accent1 7" xfId="2327"/>
    <cellStyle name="Accent1 8" xfId="2328"/>
    <cellStyle name="Accent1 9" xfId="2329"/>
    <cellStyle name="Accent1 9 2" xfId="2330"/>
    <cellStyle name="Accent1 9 2 2" xfId="2331"/>
    <cellStyle name="Accent1 9 3" xfId="2332"/>
    <cellStyle name="Accent1 9 4" xfId="2333"/>
    <cellStyle name="Accent1 9 5" xfId="2334"/>
    <cellStyle name="Accent2" xfId="46" builtinId="33" customBuiltin="1"/>
    <cellStyle name="Accent2 10" xfId="2335"/>
    <cellStyle name="Accent2 10 2" xfId="2336"/>
    <cellStyle name="Accent2 10 3" xfId="2337"/>
    <cellStyle name="Accent2 11" xfId="2338"/>
    <cellStyle name="Accent2 11 2" xfId="2339"/>
    <cellStyle name="Accent2 11 3" xfId="2340"/>
    <cellStyle name="Accent2 12" xfId="2341"/>
    <cellStyle name="Accent2 12 2" xfId="2342"/>
    <cellStyle name="Accent2 12 3" xfId="2343"/>
    <cellStyle name="Accent2 13" xfId="2344"/>
    <cellStyle name="Accent2 13 2" xfId="2345"/>
    <cellStyle name="Accent2 13 3" xfId="2346"/>
    <cellStyle name="Accent2 14" xfId="2347"/>
    <cellStyle name="Accent2 14 2" xfId="2348"/>
    <cellStyle name="Accent2 14 3" xfId="2349"/>
    <cellStyle name="Accent2 15" xfId="2350"/>
    <cellStyle name="Accent2 15 2" xfId="2351"/>
    <cellStyle name="Accent2 15 3" xfId="2352"/>
    <cellStyle name="Accent2 16" xfId="2353"/>
    <cellStyle name="Accent2 17" xfId="2354"/>
    <cellStyle name="Accent2 18" xfId="2355"/>
    <cellStyle name="Accent2 19" xfId="2356"/>
    <cellStyle name="Accent2 2" xfId="404"/>
    <cellStyle name="Accent2 2 10" xfId="2358"/>
    <cellStyle name="Accent2 2 11" xfId="2359"/>
    <cellStyle name="Accent2 2 12" xfId="2360"/>
    <cellStyle name="Accent2 2 13" xfId="2361"/>
    <cellStyle name="Accent2 2 14" xfId="2362"/>
    <cellStyle name="Accent2 2 15" xfId="2363"/>
    <cellStyle name="Accent2 2 16" xfId="2357"/>
    <cellStyle name="Accent2 2 2" xfId="2364"/>
    <cellStyle name="Accent2 2 3" xfId="2365"/>
    <cellStyle name="Accent2 2 4" xfId="2366"/>
    <cellStyle name="Accent2 2 5" xfId="2367"/>
    <cellStyle name="Accent2 2 6" xfId="2368"/>
    <cellStyle name="Accent2 2 7" xfId="2369"/>
    <cellStyle name="Accent2 2 8" xfId="2370"/>
    <cellStyle name="Accent2 2 9" xfId="2371"/>
    <cellStyle name="Accent2 20" xfId="2372"/>
    <cellStyle name="Accent2 3" xfId="2373"/>
    <cellStyle name="Accent2 3 2" xfId="2374"/>
    <cellStyle name="Accent2 3 3" xfId="2375"/>
    <cellStyle name="Accent2 3 4" xfId="2376"/>
    <cellStyle name="Accent2 3 5" xfId="2377"/>
    <cellStyle name="Accent2 3 5 2" xfId="2378"/>
    <cellStyle name="Accent2 3 6" xfId="2379"/>
    <cellStyle name="Accent2 3 7" xfId="2380"/>
    <cellStyle name="Accent2 3 8" xfId="2381"/>
    <cellStyle name="Accent2 3 9" xfId="2382"/>
    <cellStyle name="Accent2 4" xfId="2383"/>
    <cellStyle name="Accent2 4 2" xfId="2384"/>
    <cellStyle name="Accent2 5" xfId="2385"/>
    <cellStyle name="Accent2 5 2" xfId="2386"/>
    <cellStyle name="Accent2 6" xfId="2387"/>
    <cellStyle name="Accent2 6 2" xfId="2388"/>
    <cellStyle name="Accent2 7" xfId="2389"/>
    <cellStyle name="Accent2 8" xfId="2390"/>
    <cellStyle name="Accent2 9" xfId="2391"/>
    <cellStyle name="Accent2 9 2" xfId="2392"/>
    <cellStyle name="Accent2 9 2 2" xfId="2393"/>
    <cellStyle name="Accent2 9 3" xfId="2394"/>
    <cellStyle name="Accent2 9 4" xfId="2395"/>
    <cellStyle name="Accent2 9 5" xfId="2396"/>
    <cellStyle name="Accent3" xfId="47" builtinId="37" customBuiltin="1"/>
    <cellStyle name="Accent3 10" xfId="2397"/>
    <cellStyle name="Accent3 10 2" xfId="2398"/>
    <cellStyle name="Accent3 10 3" xfId="2399"/>
    <cellStyle name="Accent3 11" xfId="2400"/>
    <cellStyle name="Accent3 11 2" xfId="2401"/>
    <cellStyle name="Accent3 11 3" xfId="2402"/>
    <cellStyle name="Accent3 12" xfId="2403"/>
    <cellStyle name="Accent3 12 2" xfId="2404"/>
    <cellStyle name="Accent3 12 3" xfId="2405"/>
    <cellStyle name="Accent3 13" xfId="2406"/>
    <cellStyle name="Accent3 13 2" xfId="2407"/>
    <cellStyle name="Accent3 13 3" xfId="2408"/>
    <cellStyle name="Accent3 14" xfId="2409"/>
    <cellStyle name="Accent3 14 2" xfId="2410"/>
    <cellStyle name="Accent3 14 3" xfId="2411"/>
    <cellStyle name="Accent3 15" xfId="2412"/>
    <cellStyle name="Accent3 15 2" xfId="2413"/>
    <cellStyle name="Accent3 15 3" xfId="2414"/>
    <cellStyle name="Accent3 16" xfId="2415"/>
    <cellStyle name="Accent3 17" xfId="2416"/>
    <cellStyle name="Accent3 18" xfId="2417"/>
    <cellStyle name="Accent3 19" xfId="2418"/>
    <cellStyle name="Accent3 2" xfId="405"/>
    <cellStyle name="Accent3 2 10" xfId="2420"/>
    <cellStyle name="Accent3 2 11" xfId="2421"/>
    <cellStyle name="Accent3 2 12" xfId="2422"/>
    <cellStyle name="Accent3 2 13" xfId="2423"/>
    <cellStyle name="Accent3 2 14" xfId="2424"/>
    <cellStyle name="Accent3 2 15" xfId="2425"/>
    <cellStyle name="Accent3 2 16" xfId="2419"/>
    <cellStyle name="Accent3 2 2" xfId="2426"/>
    <cellStyle name="Accent3 2 3" xfId="2427"/>
    <cellStyle name="Accent3 2 4" xfId="2428"/>
    <cellStyle name="Accent3 2 5" xfId="2429"/>
    <cellStyle name="Accent3 2 6" xfId="2430"/>
    <cellStyle name="Accent3 2 7" xfId="2431"/>
    <cellStyle name="Accent3 2 8" xfId="2432"/>
    <cellStyle name="Accent3 2 9" xfId="2433"/>
    <cellStyle name="Accent3 20" xfId="2434"/>
    <cellStyle name="Accent3 3" xfId="2435"/>
    <cellStyle name="Accent3 3 2" xfId="2436"/>
    <cellStyle name="Accent3 3 3" xfId="2437"/>
    <cellStyle name="Accent3 3 4" xfId="2438"/>
    <cellStyle name="Accent3 3 5" xfId="2439"/>
    <cellStyle name="Accent3 3 5 2" xfId="2440"/>
    <cellStyle name="Accent3 3 6" xfId="2441"/>
    <cellStyle name="Accent3 3 7" xfId="2442"/>
    <cellStyle name="Accent3 3 8" xfId="2443"/>
    <cellStyle name="Accent3 3 9" xfId="2444"/>
    <cellStyle name="Accent3 4" xfId="2445"/>
    <cellStyle name="Accent3 4 2" xfId="2446"/>
    <cellStyle name="Accent3 5" xfId="2447"/>
    <cellStyle name="Accent3 5 2" xfId="2448"/>
    <cellStyle name="Accent3 6" xfId="2449"/>
    <cellStyle name="Accent3 6 2" xfId="2450"/>
    <cellStyle name="Accent3 7" xfId="2451"/>
    <cellStyle name="Accent3 8" xfId="2452"/>
    <cellStyle name="Accent3 9" xfId="2453"/>
    <cellStyle name="Accent3 9 2" xfId="2454"/>
    <cellStyle name="Accent3 9 2 2" xfId="2455"/>
    <cellStyle name="Accent3 9 3" xfId="2456"/>
    <cellStyle name="Accent3 9 4" xfId="2457"/>
    <cellStyle name="Accent3 9 5" xfId="2458"/>
    <cellStyle name="Accent4" xfId="48" builtinId="41" customBuiltin="1"/>
    <cellStyle name="Accent4 10" xfId="2459"/>
    <cellStyle name="Accent4 10 2" xfId="2460"/>
    <cellStyle name="Accent4 10 3" xfId="2461"/>
    <cellStyle name="Accent4 11" xfId="2462"/>
    <cellStyle name="Accent4 11 2" xfId="2463"/>
    <cellStyle name="Accent4 11 3" xfId="2464"/>
    <cellStyle name="Accent4 12" xfId="2465"/>
    <cellStyle name="Accent4 12 2" xfId="2466"/>
    <cellStyle name="Accent4 12 3" xfId="2467"/>
    <cellStyle name="Accent4 13" xfId="2468"/>
    <cellStyle name="Accent4 13 2" xfId="2469"/>
    <cellStyle name="Accent4 13 3" xfId="2470"/>
    <cellStyle name="Accent4 14" xfId="2471"/>
    <cellStyle name="Accent4 14 2" xfId="2472"/>
    <cellStyle name="Accent4 14 3" xfId="2473"/>
    <cellStyle name="Accent4 15" xfId="2474"/>
    <cellStyle name="Accent4 15 2" xfId="2475"/>
    <cellStyle name="Accent4 15 3" xfId="2476"/>
    <cellStyle name="Accent4 16" xfId="2477"/>
    <cellStyle name="Accent4 17" xfId="2478"/>
    <cellStyle name="Accent4 18" xfId="2479"/>
    <cellStyle name="Accent4 19" xfId="2480"/>
    <cellStyle name="Accent4 2" xfId="406"/>
    <cellStyle name="Accent4 2 10" xfId="2482"/>
    <cellStyle name="Accent4 2 11" xfId="2483"/>
    <cellStyle name="Accent4 2 12" xfId="2484"/>
    <cellStyle name="Accent4 2 13" xfId="2485"/>
    <cellStyle name="Accent4 2 14" xfId="2486"/>
    <cellStyle name="Accent4 2 15" xfId="2487"/>
    <cellStyle name="Accent4 2 16" xfId="2481"/>
    <cellStyle name="Accent4 2 2" xfId="2488"/>
    <cellStyle name="Accent4 2 3" xfId="2489"/>
    <cellStyle name="Accent4 2 4" xfId="2490"/>
    <cellStyle name="Accent4 2 5" xfId="2491"/>
    <cellStyle name="Accent4 2 6" xfId="2492"/>
    <cellStyle name="Accent4 2 7" xfId="2493"/>
    <cellStyle name="Accent4 2 8" xfId="2494"/>
    <cellStyle name="Accent4 2 9" xfId="2495"/>
    <cellStyle name="Accent4 20" xfId="2496"/>
    <cellStyle name="Accent4 3" xfId="2497"/>
    <cellStyle name="Accent4 3 2" xfId="2498"/>
    <cellStyle name="Accent4 3 3" xfId="2499"/>
    <cellStyle name="Accent4 3 4" xfId="2500"/>
    <cellStyle name="Accent4 3 5" xfId="2501"/>
    <cellStyle name="Accent4 3 5 2" xfId="2502"/>
    <cellStyle name="Accent4 3 6" xfId="2503"/>
    <cellStyle name="Accent4 3 7" xfId="2504"/>
    <cellStyle name="Accent4 3 8" xfId="2505"/>
    <cellStyle name="Accent4 3 9" xfId="2506"/>
    <cellStyle name="Accent4 4" xfId="2507"/>
    <cellStyle name="Accent4 4 2" xfId="2508"/>
    <cellStyle name="Accent4 5" xfId="2509"/>
    <cellStyle name="Accent4 5 2" xfId="2510"/>
    <cellStyle name="Accent4 6" xfId="2511"/>
    <cellStyle name="Accent4 6 2" xfId="2512"/>
    <cellStyle name="Accent4 7" xfId="2513"/>
    <cellStyle name="Accent4 8" xfId="2514"/>
    <cellStyle name="Accent4 9" xfId="2515"/>
    <cellStyle name="Accent4 9 2" xfId="2516"/>
    <cellStyle name="Accent4 9 2 2" xfId="2517"/>
    <cellStyle name="Accent4 9 3" xfId="2518"/>
    <cellStyle name="Accent4 9 4" xfId="2519"/>
    <cellStyle name="Accent4 9 5" xfId="2520"/>
    <cellStyle name="Accent5" xfId="49" builtinId="45" customBuiltin="1"/>
    <cellStyle name="Accent5 10" xfId="2521"/>
    <cellStyle name="Accent5 10 2" xfId="2522"/>
    <cellStyle name="Accent5 10 3" xfId="2523"/>
    <cellStyle name="Accent5 11" xfId="2524"/>
    <cellStyle name="Accent5 11 2" xfId="2525"/>
    <cellStyle name="Accent5 11 3" xfId="2526"/>
    <cellStyle name="Accent5 12" xfId="2527"/>
    <cellStyle name="Accent5 12 2" xfId="2528"/>
    <cellStyle name="Accent5 12 3" xfId="2529"/>
    <cellStyle name="Accent5 13" xfId="2530"/>
    <cellStyle name="Accent5 13 2" xfId="2531"/>
    <cellStyle name="Accent5 13 3" xfId="2532"/>
    <cellStyle name="Accent5 14" xfId="2533"/>
    <cellStyle name="Accent5 14 2" xfId="2534"/>
    <cellStyle name="Accent5 14 3" xfId="2535"/>
    <cellStyle name="Accent5 15" xfId="2536"/>
    <cellStyle name="Accent5 15 2" xfId="2537"/>
    <cellStyle name="Accent5 15 3" xfId="2538"/>
    <cellStyle name="Accent5 16" xfId="2539"/>
    <cellStyle name="Accent5 17" xfId="2540"/>
    <cellStyle name="Accent5 18" xfId="2541"/>
    <cellStyle name="Accent5 19" xfId="2542"/>
    <cellStyle name="Accent5 2" xfId="407"/>
    <cellStyle name="Accent5 2 10" xfId="2544"/>
    <cellStyle name="Accent5 2 11" xfId="2545"/>
    <cellStyle name="Accent5 2 12" xfId="2546"/>
    <cellStyle name="Accent5 2 13" xfId="2547"/>
    <cellStyle name="Accent5 2 14" xfId="2548"/>
    <cellStyle name="Accent5 2 15" xfId="2549"/>
    <cellStyle name="Accent5 2 16" xfId="2543"/>
    <cellStyle name="Accent5 2 2" xfId="2550"/>
    <cellStyle name="Accent5 2 3" xfId="2551"/>
    <cellStyle name="Accent5 2 4" xfId="2552"/>
    <cellStyle name="Accent5 2 5" xfId="2553"/>
    <cellStyle name="Accent5 2 6" xfId="2554"/>
    <cellStyle name="Accent5 2 7" xfId="2555"/>
    <cellStyle name="Accent5 2 8" xfId="2556"/>
    <cellStyle name="Accent5 2 9" xfId="2557"/>
    <cellStyle name="Accent5 20" xfId="2558"/>
    <cellStyle name="Accent5 3" xfId="2559"/>
    <cellStyle name="Accent5 3 2" xfId="2560"/>
    <cellStyle name="Accent5 3 3" xfId="2561"/>
    <cellStyle name="Accent5 3 4" xfId="2562"/>
    <cellStyle name="Accent5 3 5" xfId="2563"/>
    <cellStyle name="Accent5 3 6" xfId="2564"/>
    <cellStyle name="Accent5 3 7" xfId="2565"/>
    <cellStyle name="Accent5 3 8" xfId="2566"/>
    <cellStyle name="Accent5 4" xfId="2567"/>
    <cellStyle name="Accent5 4 2" xfId="2568"/>
    <cellStyle name="Accent5 5" xfId="2569"/>
    <cellStyle name="Accent5 5 2" xfId="2570"/>
    <cellStyle name="Accent5 6" xfId="2571"/>
    <cellStyle name="Accent5 6 2" xfId="2572"/>
    <cellStyle name="Accent5 7" xfId="2573"/>
    <cellStyle name="Accent5 8" xfId="2574"/>
    <cellStyle name="Accent5 9" xfId="2575"/>
    <cellStyle name="Accent5 9 2" xfId="2576"/>
    <cellStyle name="Accent5 9 3" xfId="2577"/>
    <cellStyle name="Accent5 9 4" xfId="2578"/>
    <cellStyle name="Accent6" xfId="50" builtinId="49" customBuiltin="1"/>
    <cellStyle name="Accent6 10" xfId="2579"/>
    <cellStyle name="Accent6 10 2" xfId="2580"/>
    <cellStyle name="Accent6 10 3" xfId="2581"/>
    <cellStyle name="Accent6 11" xfId="2582"/>
    <cellStyle name="Accent6 11 2" xfId="2583"/>
    <cellStyle name="Accent6 11 3" xfId="2584"/>
    <cellStyle name="Accent6 12" xfId="2585"/>
    <cellStyle name="Accent6 12 2" xfId="2586"/>
    <cellStyle name="Accent6 12 3" xfId="2587"/>
    <cellStyle name="Accent6 13" xfId="2588"/>
    <cellStyle name="Accent6 13 2" xfId="2589"/>
    <cellStyle name="Accent6 13 3" xfId="2590"/>
    <cellStyle name="Accent6 14" xfId="2591"/>
    <cellStyle name="Accent6 14 2" xfId="2592"/>
    <cellStyle name="Accent6 14 3" xfId="2593"/>
    <cellStyle name="Accent6 15" xfId="2594"/>
    <cellStyle name="Accent6 15 2" xfId="2595"/>
    <cellStyle name="Accent6 15 3" xfId="2596"/>
    <cellStyle name="Accent6 16" xfId="2597"/>
    <cellStyle name="Accent6 17" xfId="2598"/>
    <cellStyle name="Accent6 18" xfId="2599"/>
    <cellStyle name="Accent6 19" xfId="2600"/>
    <cellStyle name="Accent6 2" xfId="408"/>
    <cellStyle name="Accent6 2 10" xfId="2602"/>
    <cellStyle name="Accent6 2 11" xfId="2603"/>
    <cellStyle name="Accent6 2 12" xfId="2604"/>
    <cellStyle name="Accent6 2 13" xfId="2605"/>
    <cellStyle name="Accent6 2 14" xfId="2606"/>
    <cellStyle name="Accent6 2 15" xfId="2607"/>
    <cellStyle name="Accent6 2 16" xfId="2601"/>
    <cellStyle name="Accent6 2 2" xfId="2608"/>
    <cellStyle name="Accent6 2 3" xfId="2609"/>
    <cellStyle name="Accent6 2 4" xfId="2610"/>
    <cellStyle name="Accent6 2 5" xfId="2611"/>
    <cellStyle name="Accent6 2 6" xfId="2612"/>
    <cellStyle name="Accent6 2 7" xfId="2613"/>
    <cellStyle name="Accent6 2 8" xfId="2614"/>
    <cellStyle name="Accent6 2 9" xfId="2615"/>
    <cellStyle name="Accent6 20" xfId="2616"/>
    <cellStyle name="Accent6 3" xfId="2617"/>
    <cellStyle name="Accent6 3 2" xfId="2618"/>
    <cellStyle name="Accent6 3 3" xfId="2619"/>
    <cellStyle name="Accent6 3 4" xfId="2620"/>
    <cellStyle name="Accent6 3 5" xfId="2621"/>
    <cellStyle name="Accent6 3 5 2" xfId="2622"/>
    <cellStyle name="Accent6 3 6" xfId="2623"/>
    <cellStyle name="Accent6 3 7" xfId="2624"/>
    <cellStyle name="Accent6 3 8" xfId="2625"/>
    <cellStyle name="Accent6 3 9" xfId="2626"/>
    <cellStyle name="Accent6 4" xfId="2627"/>
    <cellStyle name="Accent6 4 2" xfId="2628"/>
    <cellStyle name="Accent6 5" xfId="2629"/>
    <cellStyle name="Accent6 5 2" xfId="2630"/>
    <cellStyle name="Accent6 6" xfId="2631"/>
    <cellStyle name="Accent6 6 2" xfId="2632"/>
    <cellStyle name="Accent6 7" xfId="2633"/>
    <cellStyle name="Accent6 8" xfId="2634"/>
    <cellStyle name="Accent6 9" xfId="2635"/>
    <cellStyle name="Accent6 9 2" xfId="2636"/>
    <cellStyle name="Accent6 9 2 2" xfId="2637"/>
    <cellStyle name="Accent6 9 3" xfId="2638"/>
    <cellStyle name="Accent6 9 4" xfId="2639"/>
    <cellStyle name="Accent6 9 5" xfId="2640"/>
    <cellStyle name="Accounting" xfId="2641"/>
    <cellStyle name="Acctg" xfId="51"/>
    <cellStyle name="Actual Date" xfId="2642"/>
    <cellStyle name="AeE­ [0]_¼oAa½CAu " xfId="4978"/>
    <cellStyle name="ÅëÈ­ [0]_cover " xfId="309"/>
    <cellStyle name="AeE­ [0]_INQUIRY ¿μ¾÷AßAø " xfId="4979"/>
    <cellStyle name="AeE­_¼oAa½CAu " xfId="4980"/>
    <cellStyle name="ÅëÈ­_cover " xfId="310"/>
    <cellStyle name="AeE­_INQUIRY ¿μ¾÷AßAø " xfId="4981"/>
    <cellStyle name="AeE¡ⓒ [0]_¨oCAuCoEⓒ÷ " xfId="4982"/>
    <cellStyle name="AeE¡ⓒ_¨oCAuCoEⓒ÷ " xfId="4983"/>
    <cellStyle name="AFE" xfId="409"/>
    <cellStyle name="ales" xfId="52"/>
    <cellStyle name="amount" xfId="2643"/>
    <cellStyle name="amount 10" xfId="2644"/>
    <cellStyle name="amount 11" xfId="2645"/>
    <cellStyle name="amount 12" xfId="2646"/>
    <cellStyle name="amount 2" xfId="2647"/>
    <cellStyle name="amount 3" xfId="2648"/>
    <cellStyle name="amount 4" xfId="2649"/>
    <cellStyle name="amount 5" xfId="2650"/>
    <cellStyle name="amount 6" xfId="2651"/>
    <cellStyle name="amount 7" xfId="2652"/>
    <cellStyle name="amount 8" xfId="2653"/>
    <cellStyle name="amount 9" xfId="2654"/>
    <cellStyle name="Analyst Name" xfId="9446"/>
    <cellStyle name="args.style" xfId="2655"/>
    <cellStyle name="args.style 2" xfId="2656"/>
    <cellStyle name="Arial 10" xfId="2657"/>
    <cellStyle name="Arial 12" xfId="2658"/>
    <cellStyle name="AÞ¸¶ [0]_¼oAa½CAu " xfId="4984"/>
    <cellStyle name="ÄÞ¸¶ [0]_cover " xfId="311"/>
    <cellStyle name="AÞ¸¶ [0]_INQUIRY ¿μ¾÷AßAø " xfId="4985"/>
    <cellStyle name="AÞ¸¶_¼oAa½CAu " xfId="4986"/>
    <cellStyle name="ÄÞ¸¶_cover " xfId="312"/>
    <cellStyle name="AÞ¸¶_INQUIRY ¿μ¾÷AßAø " xfId="4987"/>
    <cellStyle name="Availability" xfId="9447"/>
    <cellStyle name="AxeHor" xfId="2659"/>
    <cellStyle name="azert - Style1" xfId="2660"/>
    <cellStyle name="Background" xfId="9448"/>
    <cellStyle name="Bad" xfId="53" builtinId="27" customBuiltin="1"/>
    <cellStyle name="Bad 10" xfId="2661"/>
    <cellStyle name="Bad 10 2" xfId="2662"/>
    <cellStyle name="Bad 10 3" xfId="2663"/>
    <cellStyle name="Bad 11" xfId="2664"/>
    <cellStyle name="Bad 11 2" xfId="2665"/>
    <cellStyle name="Bad 11 3" xfId="2666"/>
    <cellStyle name="Bad 12" xfId="2667"/>
    <cellStyle name="Bad 12 2" xfId="2668"/>
    <cellStyle name="Bad 12 3" xfId="2669"/>
    <cellStyle name="Bad 13" xfId="2670"/>
    <cellStyle name="Bad 13 2" xfId="2671"/>
    <cellStyle name="Bad 13 3" xfId="2672"/>
    <cellStyle name="Bad 14" xfId="2673"/>
    <cellStyle name="Bad 14 2" xfId="2674"/>
    <cellStyle name="Bad 14 3" xfId="2675"/>
    <cellStyle name="Bad 15" xfId="2676"/>
    <cellStyle name="Bad 15 2" xfId="2677"/>
    <cellStyle name="Bad 15 3" xfId="2678"/>
    <cellStyle name="Bad 16" xfId="2679"/>
    <cellStyle name="Bad 17" xfId="2680"/>
    <cellStyle name="Bad 18" xfId="2681"/>
    <cellStyle name="Bad 19" xfId="2682"/>
    <cellStyle name="Bad 2" xfId="410"/>
    <cellStyle name="Bad 2 10" xfId="2684"/>
    <cellStyle name="Bad 2 11" xfId="2685"/>
    <cellStyle name="Bad 2 12" xfId="2686"/>
    <cellStyle name="Bad 2 13" xfId="2687"/>
    <cellStyle name="Bad 2 14" xfId="2688"/>
    <cellStyle name="Bad 2 15" xfId="2689"/>
    <cellStyle name="Bad 2 16" xfId="2683"/>
    <cellStyle name="Bad 2 2" xfId="2690"/>
    <cellStyle name="Bad 2 3" xfId="2691"/>
    <cellStyle name="Bad 2 4" xfId="2692"/>
    <cellStyle name="Bad 2 5" xfId="2693"/>
    <cellStyle name="Bad 2 6" xfId="2694"/>
    <cellStyle name="Bad 2 7" xfId="2695"/>
    <cellStyle name="Bad 2 8" xfId="2696"/>
    <cellStyle name="Bad 2 9" xfId="2697"/>
    <cellStyle name="Bad 20" xfId="2698"/>
    <cellStyle name="Bad 3" xfId="2699"/>
    <cellStyle name="Bad 3 2" xfId="2700"/>
    <cellStyle name="Bad 3 3" xfId="2701"/>
    <cellStyle name="Bad 3 4" xfId="2702"/>
    <cellStyle name="Bad 3 5" xfId="2703"/>
    <cellStyle name="Bad 3 5 2" xfId="2704"/>
    <cellStyle name="Bad 3 6" xfId="2705"/>
    <cellStyle name="Bad 3 7" xfId="2706"/>
    <cellStyle name="Bad 3 8" xfId="2707"/>
    <cellStyle name="Bad 3 9" xfId="2708"/>
    <cellStyle name="Bad 4" xfId="2709"/>
    <cellStyle name="Bad 4 2" xfId="2710"/>
    <cellStyle name="Bad 5" xfId="2711"/>
    <cellStyle name="Bad 5 2" xfId="2712"/>
    <cellStyle name="Bad 6" xfId="2713"/>
    <cellStyle name="Bad 6 2" xfId="2714"/>
    <cellStyle name="Bad 7" xfId="2715"/>
    <cellStyle name="Bad 8" xfId="2716"/>
    <cellStyle name="Bad 9" xfId="2717"/>
    <cellStyle name="Bad 9 2" xfId="2718"/>
    <cellStyle name="Bad 9 2 2" xfId="2719"/>
    <cellStyle name="Bad 9 3" xfId="2720"/>
    <cellStyle name="Bad 9 4" xfId="2721"/>
    <cellStyle name="Bad 9 5" xfId="2722"/>
    <cellStyle name="Balance Sheet" xfId="470"/>
    <cellStyle name="BalanceSheet" xfId="471"/>
    <cellStyle name="Band 2" xfId="54"/>
    <cellStyle name="Band 2 2" xfId="4988"/>
    <cellStyle name="bartitre" xfId="2723"/>
    <cellStyle name="bartotal" xfId="2724"/>
    <cellStyle name="Big head" xfId="2725"/>
    <cellStyle name="big-font" xfId="473"/>
    <cellStyle name="Blue" xfId="55"/>
    <cellStyle name="Blue 2" xfId="474"/>
    <cellStyle name="blue shading" xfId="2726"/>
    <cellStyle name="Blue Title" xfId="2727"/>
    <cellStyle name="BLuedashZero" xfId="9449"/>
    <cellStyle name="Bob" xfId="2728"/>
    <cellStyle name="Bob 1" xfId="2729"/>
    <cellStyle name="Bob 3" xfId="2730"/>
    <cellStyle name="bob_boite - choix table" xfId="2731"/>
    <cellStyle name="Bob2" xfId="2732"/>
    <cellStyle name="Body" xfId="475"/>
    <cellStyle name="Body text" xfId="2733"/>
    <cellStyle name="Body text 10" xfId="2734"/>
    <cellStyle name="Body text 11" xfId="2735"/>
    <cellStyle name="Body text 12" xfId="2736"/>
    <cellStyle name="Body text 2" xfId="2737"/>
    <cellStyle name="Body text 3" xfId="2738"/>
    <cellStyle name="Body text 4" xfId="2739"/>
    <cellStyle name="Body text 5" xfId="2740"/>
    <cellStyle name="Body text 6" xfId="2741"/>
    <cellStyle name="Body text 7" xfId="2742"/>
    <cellStyle name="Body text 8" xfId="2743"/>
    <cellStyle name="Body text 9" xfId="2744"/>
    <cellStyle name="Bold/Border" xfId="56"/>
    <cellStyle name="Border" xfId="2745"/>
    <cellStyle name="Border Heavy" xfId="2746"/>
    <cellStyle name="Border Thin" xfId="2747"/>
    <cellStyle name="Border, Bottom" xfId="476"/>
    <cellStyle name="Border, Left" xfId="477"/>
    <cellStyle name="Border, Left 2" xfId="5097"/>
    <cellStyle name="Border, Right" xfId="478"/>
    <cellStyle name="Border, Top" xfId="479"/>
    <cellStyle name="bottom-title" xfId="480"/>
    <cellStyle name="British Pound" xfId="2748"/>
    <cellStyle name="Bullet" xfId="57"/>
    <cellStyle name="Bullet 2" xfId="481"/>
    <cellStyle name="C?AØ_laroux_1ON" xfId="9450"/>
    <cellStyle name="c_HardInc" xfId="624"/>
    <cellStyle name="c_HardInc " xfId="58"/>
    <cellStyle name="c_HardInc _Catalog" xfId="482"/>
    <cellStyle name="c_HardInc _JapaneseCatalog" xfId="483"/>
    <cellStyle name="c_HardInc _RRST1" xfId="314"/>
    <cellStyle name="c_HardInc _RRST20" xfId="4989"/>
    <cellStyle name="c_HardInc _RRST20 2" xfId="4990"/>
    <cellStyle name="c_HardInc _RRST25" xfId="4991"/>
    <cellStyle name="c_HardInc _RRST25 2" xfId="4992"/>
    <cellStyle name="C¡IA¨ª_¡ic¨u¡A¨￢I¨￢¡Æ AN¡Æe " xfId="4993"/>
    <cellStyle name="C￥AØ_  FAB AIA¤  " xfId="4994"/>
    <cellStyle name="Ç¥ÁØ_»ç¾÷ºÎº° ÃÑ°è " xfId="4995"/>
    <cellStyle name="C￥AØ_≫c¾÷ºIº° AN°e " xfId="4996"/>
    <cellStyle name="Ç¥ÁØ_0N-HANDLING " xfId="4997"/>
    <cellStyle name="C￥AØ_¼±AoAc°i_1_³≫ºI°eE¹´e AßA¤A÷AI " xfId="4998"/>
    <cellStyle name="Ç¥ÁØ_5-1±¤°í " xfId="4999"/>
    <cellStyle name="C￥AØ_5-1±¤°i _6RCB1 " xfId="5000"/>
    <cellStyle name="Ç¥ÁØ_Áý°èÇ¥(2¿ù) " xfId="5001"/>
    <cellStyle name="C￥AØ_CoAo¹yAI °A¾×¿ⓒ½A " xfId="5002"/>
    <cellStyle name="Ç¥ÁØ_cover " xfId="315"/>
    <cellStyle name="C05_Style E Text" xfId="59"/>
    <cellStyle name="Calc Currency (0)" xfId="484"/>
    <cellStyle name="Calc Currency (0) 2" xfId="2750"/>
    <cellStyle name="Calc Currency (0) 3" xfId="2749"/>
    <cellStyle name="Calc Currency (2)" xfId="2751"/>
    <cellStyle name="Calc Currency (2) 2" xfId="2752"/>
    <cellStyle name="Calc Percent (0)" xfId="2753"/>
    <cellStyle name="Calc Percent (0) 2" xfId="2754"/>
    <cellStyle name="Calc Percent (1)" xfId="2755"/>
    <cellStyle name="Calc Percent (1) 2" xfId="2756"/>
    <cellStyle name="Calc Percent (2)" xfId="2757"/>
    <cellStyle name="Calc Percent (2) 2" xfId="2758"/>
    <cellStyle name="Calc Units (0)" xfId="2759"/>
    <cellStyle name="Calc Units (0) 2" xfId="2760"/>
    <cellStyle name="Calc Units (1)" xfId="2761"/>
    <cellStyle name="Calc Units (1) 2" xfId="2762"/>
    <cellStyle name="Calc Units (2)" xfId="2763"/>
    <cellStyle name="Calc Units (2) 2" xfId="2764"/>
    <cellStyle name="Calcul" xfId="2765"/>
    <cellStyle name="Calculation" xfId="60" builtinId="22" customBuiltin="1"/>
    <cellStyle name="Calculation 10" xfId="2766"/>
    <cellStyle name="Calculation 10 2" xfId="2767"/>
    <cellStyle name="Calculation 10 3" xfId="2768"/>
    <cellStyle name="Calculation 11" xfId="2769"/>
    <cellStyle name="Calculation 11 2" xfId="2770"/>
    <cellStyle name="Calculation 11 3" xfId="2771"/>
    <cellStyle name="Calculation 12" xfId="2772"/>
    <cellStyle name="Calculation 12 2" xfId="2773"/>
    <cellStyle name="Calculation 12 3" xfId="2774"/>
    <cellStyle name="Calculation 13" xfId="2775"/>
    <cellStyle name="Calculation 13 2" xfId="2776"/>
    <cellStyle name="Calculation 13 3" xfId="2777"/>
    <cellStyle name="Calculation 14" xfId="2778"/>
    <cellStyle name="Calculation 14 2" xfId="2779"/>
    <cellStyle name="Calculation 14 3" xfId="2780"/>
    <cellStyle name="Calculation 15" xfId="2781"/>
    <cellStyle name="Calculation 15 2" xfId="2782"/>
    <cellStyle name="Calculation 15 3" xfId="2783"/>
    <cellStyle name="Calculation 16" xfId="2784"/>
    <cellStyle name="Calculation 17" xfId="2785"/>
    <cellStyle name="Calculation 18" xfId="2786"/>
    <cellStyle name="Calculation 19" xfId="2787"/>
    <cellStyle name="Calculation 2" xfId="411"/>
    <cellStyle name="Calculation 2 10" xfId="2789"/>
    <cellStyle name="Calculation 2 11" xfId="2790"/>
    <cellStyle name="Calculation 2 12" xfId="2791"/>
    <cellStyle name="Calculation 2 13" xfId="2792"/>
    <cellStyle name="Calculation 2 14" xfId="2793"/>
    <cellStyle name="Calculation 2 15" xfId="2794"/>
    <cellStyle name="Calculation 2 16" xfId="2788"/>
    <cellStyle name="Calculation 2 2" xfId="2795"/>
    <cellStyle name="Calculation 2 3" xfId="2796"/>
    <cellStyle name="Calculation 2 4" xfId="2797"/>
    <cellStyle name="Calculation 2 5" xfId="2798"/>
    <cellStyle name="Calculation 2 6" xfId="2799"/>
    <cellStyle name="Calculation 2 7" xfId="2800"/>
    <cellStyle name="Calculation 2 8" xfId="2801"/>
    <cellStyle name="Calculation 2 9" xfId="2802"/>
    <cellStyle name="Calculation 20" xfId="2803"/>
    <cellStyle name="Calculation 3" xfId="2804"/>
    <cellStyle name="Calculation 3 2" xfId="2805"/>
    <cellStyle name="Calculation 3 3" xfId="2806"/>
    <cellStyle name="Calculation 3 4" xfId="2807"/>
    <cellStyle name="Calculation 3 5" xfId="2808"/>
    <cellStyle name="Calculation 3 5 2" xfId="2809"/>
    <cellStyle name="Calculation 3 6" xfId="2810"/>
    <cellStyle name="Calculation 3 7" xfId="2811"/>
    <cellStyle name="Calculation 3 8" xfId="2812"/>
    <cellStyle name="Calculation 3 9" xfId="2813"/>
    <cellStyle name="Calculation 4" xfId="2814"/>
    <cellStyle name="Calculation 4 2" xfId="2815"/>
    <cellStyle name="Calculation 5" xfId="2816"/>
    <cellStyle name="Calculation 5 2" xfId="2817"/>
    <cellStyle name="Calculation 6" xfId="2818"/>
    <cellStyle name="Calculation 6 2" xfId="2819"/>
    <cellStyle name="Calculation 7" xfId="2820"/>
    <cellStyle name="Calculation 8" xfId="2821"/>
    <cellStyle name="Calculation 9" xfId="2822"/>
    <cellStyle name="Calculation 9 2" xfId="2823"/>
    <cellStyle name="Calculation 9 2 2" xfId="2824"/>
    <cellStyle name="Calculation 9 3" xfId="2825"/>
    <cellStyle name="Calculation 9 4" xfId="2826"/>
    <cellStyle name="Calculation 9 5" xfId="2827"/>
    <cellStyle name="can" xfId="2828"/>
    <cellStyle name="Case" xfId="2829"/>
    <cellStyle name="CashFlow" xfId="485"/>
    <cellStyle name="category" xfId="2830"/>
    <cellStyle name="Centered Heading" xfId="2831"/>
    <cellStyle name="Centered Heading Notes" xfId="2832"/>
    <cellStyle name="Centré" xfId="2833"/>
    <cellStyle name="Cents" xfId="61"/>
    <cellStyle name="Cents 2" xfId="486"/>
    <cellStyle name="Cents 3" xfId="9451"/>
    <cellStyle name="Change" xfId="487"/>
    <cellStyle name="Change 2" xfId="2834"/>
    <cellStyle name="Changeable" xfId="62"/>
    <cellStyle name="ChartingText" xfId="2835"/>
    <cellStyle name="Check Cell" xfId="63" builtinId="23" customBuiltin="1"/>
    <cellStyle name="Check Cell 10" xfId="2836"/>
    <cellStyle name="Check Cell 10 2" xfId="2837"/>
    <cellStyle name="Check Cell 10 3" xfId="2838"/>
    <cellStyle name="Check Cell 11" xfId="2839"/>
    <cellStyle name="Check Cell 11 2" xfId="2840"/>
    <cellStyle name="Check Cell 11 3" xfId="2841"/>
    <cellStyle name="Check Cell 12" xfId="2842"/>
    <cellStyle name="Check Cell 12 2" xfId="2843"/>
    <cellStyle name="Check Cell 12 3" xfId="2844"/>
    <cellStyle name="Check Cell 13" xfId="2845"/>
    <cellStyle name="Check Cell 13 2" xfId="2846"/>
    <cellStyle name="Check Cell 13 3" xfId="2847"/>
    <cellStyle name="Check Cell 14" xfId="2848"/>
    <cellStyle name="Check Cell 14 2" xfId="2849"/>
    <cellStyle name="Check Cell 14 3" xfId="2850"/>
    <cellStyle name="Check Cell 15" xfId="2851"/>
    <cellStyle name="Check Cell 15 2" xfId="2852"/>
    <cellStyle name="Check Cell 15 3" xfId="2853"/>
    <cellStyle name="Check Cell 16" xfId="2854"/>
    <cellStyle name="Check Cell 17" xfId="2855"/>
    <cellStyle name="Check Cell 18" xfId="2856"/>
    <cellStyle name="Check Cell 19" xfId="2857"/>
    <cellStyle name="Check Cell 2" xfId="412"/>
    <cellStyle name="Check Cell 2 10" xfId="2859"/>
    <cellStyle name="Check Cell 2 11" xfId="2860"/>
    <cellStyle name="Check Cell 2 12" xfId="2861"/>
    <cellStyle name="Check Cell 2 13" xfId="2862"/>
    <cellStyle name="Check Cell 2 14" xfId="2863"/>
    <cellStyle name="Check Cell 2 15" xfId="2864"/>
    <cellStyle name="Check Cell 2 16" xfId="2858"/>
    <cellStyle name="Check Cell 2 2" xfId="2865"/>
    <cellStyle name="Check Cell 2 3" xfId="2866"/>
    <cellStyle name="Check Cell 2 4" xfId="2867"/>
    <cellStyle name="Check Cell 2 5" xfId="2868"/>
    <cellStyle name="Check Cell 2 6" xfId="2869"/>
    <cellStyle name="Check Cell 2 7" xfId="2870"/>
    <cellStyle name="Check Cell 2 8" xfId="2871"/>
    <cellStyle name="Check Cell 2 9" xfId="2872"/>
    <cellStyle name="Check Cell 20" xfId="2873"/>
    <cellStyle name="Check Cell 3" xfId="2874"/>
    <cellStyle name="Check Cell 3 2" xfId="2875"/>
    <cellStyle name="Check Cell 3 3" xfId="2876"/>
    <cellStyle name="Check Cell 3 4" xfId="2877"/>
    <cellStyle name="Check Cell 3 5" xfId="2878"/>
    <cellStyle name="Check Cell 3 6" xfId="2879"/>
    <cellStyle name="Check Cell 3 7" xfId="2880"/>
    <cellStyle name="Check Cell 3 8" xfId="2881"/>
    <cellStyle name="Check Cell 4" xfId="2882"/>
    <cellStyle name="Check Cell 4 2" xfId="2883"/>
    <cellStyle name="Check Cell 5" xfId="2884"/>
    <cellStyle name="Check Cell 5 2" xfId="2885"/>
    <cellStyle name="Check Cell 6" xfId="2886"/>
    <cellStyle name="Check Cell 6 2" xfId="2887"/>
    <cellStyle name="Check Cell 7" xfId="2888"/>
    <cellStyle name="Check Cell 8" xfId="2889"/>
    <cellStyle name="Check Cell 9" xfId="2890"/>
    <cellStyle name="Check Cell 9 2" xfId="2891"/>
    <cellStyle name="Check Cell 9 3" xfId="2892"/>
    <cellStyle name="Check Cell 9 4" xfId="2893"/>
    <cellStyle name="Colhead_left" xfId="64"/>
    <cellStyle name="ColHeading" xfId="9452"/>
    <cellStyle name="ColLevel_0" xfId="2894"/>
    <cellStyle name="ColumnAttributeAbovePrompt" xfId="2895"/>
    <cellStyle name="ColumnAttributePrompt" xfId="2896"/>
    <cellStyle name="ColumnAttributeValue" xfId="2897"/>
    <cellStyle name="ColumnHeaderNormal" xfId="2898"/>
    <cellStyle name="ColumnHeadingPrompt" xfId="2899"/>
    <cellStyle name="ColumnHeadings" xfId="65"/>
    <cellStyle name="ColumnHeadings2" xfId="66"/>
    <cellStyle name="ColumnHeadingValue" xfId="2900"/>
    <cellStyle name="Comma" xfId="67" builtinId="3"/>
    <cellStyle name="Comma  - Style1" xfId="68"/>
    <cellStyle name="Comma  - Style1 2" xfId="2901"/>
    <cellStyle name="Comma  - Style1 3" xfId="9453"/>
    <cellStyle name="Comma  - Style2" xfId="69"/>
    <cellStyle name="Comma  - Style2 2" xfId="489"/>
    <cellStyle name="Comma  - Style2 3" xfId="2902"/>
    <cellStyle name="Comma  - Style2 4" xfId="9454"/>
    <cellStyle name="Comma  - Style3" xfId="70"/>
    <cellStyle name="Comma  - Style3 2" xfId="490"/>
    <cellStyle name="Comma  - Style3 3" xfId="2903"/>
    <cellStyle name="Comma  - Style3 4" xfId="9455"/>
    <cellStyle name="Comma  - Style4" xfId="71"/>
    <cellStyle name="Comma  - Style4 2" xfId="491"/>
    <cellStyle name="Comma  - Style4 3" xfId="2904"/>
    <cellStyle name="Comma  - Style4 4" xfId="9456"/>
    <cellStyle name="Comma  - Style5" xfId="72"/>
    <cellStyle name="Comma  - Style5 2" xfId="492"/>
    <cellStyle name="Comma  - Style5 3" xfId="2905"/>
    <cellStyle name="Comma  - Style5 4" xfId="9457"/>
    <cellStyle name="Comma  - Style6" xfId="73"/>
    <cellStyle name="Comma  - Style6 2" xfId="493"/>
    <cellStyle name="Comma  - Style6 3" xfId="2906"/>
    <cellStyle name="Comma  - Style6 4" xfId="9458"/>
    <cellStyle name="Comma  - Style7" xfId="74"/>
    <cellStyle name="Comma  - Style7 2" xfId="494"/>
    <cellStyle name="Comma  - Style7 3" xfId="2907"/>
    <cellStyle name="Comma  - Style7 4" xfId="9459"/>
    <cellStyle name="Comma  - Style8" xfId="75"/>
    <cellStyle name="Comma  - Style8 2" xfId="495"/>
    <cellStyle name="Comma  - Style8 3" xfId="2908"/>
    <cellStyle name="Comma  - Style8 4" xfId="9460"/>
    <cellStyle name="Comma (1)" xfId="496"/>
    <cellStyle name="Comma [00]" xfId="2909"/>
    <cellStyle name="Comma [00] 2" xfId="2910"/>
    <cellStyle name="Comma [1]" xfId="497"/>
    <cellStyle name="Comma [1] 2" xfId="2911"/>
    <cellStyle name="Comma [2]" xfId="498"/>
    <cellStyle name="Comma 0" xfId="2912"/>
    <cellStyle name="Comma 0*" xfId="2913"/>
    <cellStyle name="Comma 0_- BP CONSO 2002-2012" xfId="2914"/>
    <cellStyle name="Comma 10" xfId="318"/>
    <cellStyle name="Comma 11" xfId="513"/>
    <cellStyle name="Comma 11 2" xfId="5003"/>
    <cellStyle name="Comma 12" xfId="652"/>
    <cellStyle name="Comma 13" xfId="432"/>
    <cellStyle name="Comma 14" xfId="661"/>
    <cellStyle name="Comma 15" xfId="635"/>
    <cellStyle name="Comma 15 2" xfId="5004"/>
    <cellStyle name="Comma 16" xfId="384"/>
    <cellStyle name="Comma 17" xfId="649"/>
    <cellStyle name="Comma 18" xfId="430"/>
    <cellStyle name="Comma 19" xfId="655"/>
    <cellStyle name="Comma 2" xfId="280"/>
    <cellStyle name="Comma 2 10" xfId="2915"/>
    <cellStyle name="Comma 2 10 2" xfId="2916"/>
    <cellStyle name="Comma 2 11" xfId="2917"/>
    <cellStyle name="Comma 2 11 2" xfId="2918"/>
    <cellStyle name="Comma 2 12" xfId="2919"/>
    <cellStyle name="Comma 2 12 2" xfId="2920"/>
    <cellStyle name="Comma 2 13" xfId="2921"/>
    <cellStyle name="Comma 2 13 2" xfId="2922"/>
    <cellStyle name="Comma 2 14" xfId="2923"/>
    <cellStyle name="Comma 2 14 2" xfId="2924"/>
    <cellStyle name="Comma 2 15" xfId="2925"/>
    <cellStyle name="Comma 2 16" xfId="2926"/>
    <cellStyle name="Comma 2 17" xfId="2927"/>
    <cellStyle name="Comma 2 18" xfId="276"/>
    <cellStyle name="Comma 2 2" xfId="319"/>
    <cellStyle name="Comma 2 2 10" xfId="9574"/>
    <cellStyle name="Comma 2 2 2" xfId="2929"/>
    <cellStyle name="Comma 2 2 2 2" xfId="2930"/>
    <cellStyle name="Comma 2 2 2 2 2" xfId="2931"/>
    <cellStyle name="Comma 2 2 2 3" xfId="2932"/>
    <cellStyle name="Comma 2 2 3" xfId="2933"/>
    <cellStyle name="Comma 2 2 4" xfId="2934"/>
    <cellStyle name="Comma 2 2 5" xfId="2928"/>
    <cellStyle name="Comma 2 2 6" xfId="5093"/>
    <cellStyle name="Comma 2 2 6 2" xfId="5857"/>
    <cellStyle name="Comma 2 2 6 2 2" xfId="7374"/>
    <cellStyle name="Comma 2 2 6 2 2 2" xfId="12229"/>
    <cellStyle name="Comma 2 2 6 2 3" xfId="8895"/>
    <cellStyle name="Comma 2 2 6 2 3 2" xfId="13748"/>
    <cellStyle name="Comma 2 2 6 2 4" xfId="10713"/>
    <cellStyle name="Comma 2 2 6 3" xfId="6616"/>
    <cellStyle name="Comma 2 2 6 3 2" xfId="11471"/>
    <cellStyle name="Comma 2 2 6 4" xfId="8137"/>
    <cellStyle name="Comma 2 2 6 4 2" xfId="12990"/>
    <cellStyle name="Comma 2 2 6 5" xfId="9955"/>
    <cellStyle name="Comma 2 2 7" xfId="5479"/>
    <cellStyle name="Comma 2 2 7 2" xfId="6996"/>
    <cellStyle name="Comma 2 2 7 2 2" xfId="11851"/>
    <cellStyle name="Comma 2 2 7 3" xfId="8517"/>
    <cellStyle name="Comma 2 2 7 3 2" xfId="13370"/>
    <cellStyle name="Comma 2 2 7 4" xfId="10335"/>
    <cellStyle name="Comma 2 2 8" xfId="6238"/>
    <cellStyle name="Comma 2 2 8 2" xfId="11093"/>
    <cellStyle name="Comma 2 2 9" xfId="7756"/>
    <cellStyle name="Comma 2 2 9 2" xfId="12610"/>
    <cellStyle name="Comma 2 3" xfId="2935"/>
    <cellStyle name="Comma 2 3 2" xfId="2936"/>
    <cellStyle name="Comma 2 3 2 2" xfId="2937"/>
    <cellStyle name="Comma 2 3 3" xfId="2938"/>
    <cellStyle name="Comma 2 3 4" xfId="2939"/>
    <cellStyle name="Comma 2 3 5" xfId="2940"/>
    <cellStyle name="Comma 2 3 6" xfId="2941"/>
    <cellStyle name="Comma 2 3 7" xfId="2942"/>
    <cellStyle name="Comma 2 4" xfId="2943"/>
    <cellStyle name="Comma 2 4 2" xfId="2944"/>
    <cellStyle name="Comma 2 4 3" xfId="2945"/>
    <cellStyle name="Comma 2 5" xfId="2946"/>
    <cellStyle name="Comma 2 5 2" xfId="2947"/>
    <cellStyle name="Comma 2 5 2 2" xfId="2948"/>
    <cellStyle name="Comma 2 5 3" xfId="2949"/>
    <cellStyle name="Comma 2 5 4" xfId="2950"/>
    <cellStyle name="Comma 2 5 5" xfId="2951"/>
    <cellStyle name="Comma 2 6" xfId="2952"/>
    <cellStyle name="Comma 2 6 2" xfId="2953"/>
    <cellStyle name="Comma 2 7" xfId="2954"/>
    <cellStyle name="Comma 2 7 2" xfId="2955"/>
    <cellStyle name="Comma 2 8" xfId="2956"/>
    <cellStyle name="Comma 2 8 2" xfId="2957"/>
    <cellStyle name="Comma 2 9" xfId="2958"/>
    <cellStyle name="Comma 2 9 2" xfId="2959"/>
    <cellStyle name="Comma 2_Cashflow Q1 CY09" xfId="2960"/>
    <cellStyle name="Comma 20" xfId="656"/>
    <cellStyle name="Comma 21" xfId="638"/>
    <cellStyle name="Comma 22" xfId="680"/>
    <cellStyle name="Comma 23" xfId="2961"/>
    <cellStyle name="Comma 23 2" xfId="5005"/>
    <cellStyle name="Comma 24" xfId="2962"/>
    <cellStyle name="Comma 24 2" xfId="5006"/>
    <cellStyle name="Comma 25" xfId="2963"/>
    <cellStyle name="Comma 25 2" xfId="5007"/>
    <cellStyle name="Comma 26" xfId="2964"/>
    <cellStyle name="Comma 26 2" xfId="5008"/>
    <cellStyle name="Comma 27" xfId="2965"/>
    <cellStyle name="Comma 28" xfId="2966"/>
    <cellStyle name="Comma 29" xfId="2967"/>
    <cellStyle name="Comma 3" xfId="320"/>
    <cellStyle name="Comma 3 2" xfId="321"/>
    <cellStyle name="Comma 3 2 2" xfId="2970"/>
    <cellStyle name="Comma 3 2 2 2" xfId="2971"/>
    <cellStyle name="Comma 3 2 2 3" xfId="2972"/>
    <cellStyle name="Comma 3 2 3" xfId="2973"/>
    <cellStyle name="Comma 3 2 4" xfId="2974"/>
    <cellStyle name="Comma 3 2 5" xfId="2969"/>
    <cellStyle name="Comma 3 3" xfId="2975"/>
    <cellStyle name="Comma 3 4" xfId="2976"/>
    <cellStyle name="Comma 3 4 2" xfId="2977"/>
    <cellStyle name="Comma 3 4 3" xfId="2978"/>
    <cellStyle name="Comma 3 5" xfId="2979"/>
    <cellStyle name="Comma 3 6" xfId="2968"/>
    <cellStyle name="Comma 30" xfId="2980"/>
    <cellStyle name="Comma 31" xfId="2981"/>
    <cellStyle name="Comma 32" xfId="2982"/>
    <cellStyle name="Comma 33" xfId="2983"/>
    <cellStyle name="Comma 34" xfId="2984"/>
    <cellStyle name="Comma 35" xfId="2985"/>
    <cellStyle name="Comma 36" xfId="2986"/>
    <cellStyle name="Comma 37" xfId="2987"/>
    <cellStyle name="Comma 38" xfId="2988"/>
    <cellStyle name="Comma 39" xfId="2989"/>
    <cellStyle name="Comma 4" xfId="322"/>
    <cellStyle name="Comma 4 2" xfId="2991"/>
    <cellStyle name="Comma 4 2 2" xfId="2992"/>
    <cellStyle name="Comma 4 3" xfId="2993"/>
    <cellStyle name="Comma 4 4" xfId="2990"/>
    <cellStyle name="Comma 40" xfId="2994"/>
    <cellStyle name="Comma 41" xfId="2995"/>
    <cellStyle name="Comma 42" xfId="2996"/>
    <cellStyle name="Comma 43" xfId="2997"/>
    <cellStyle name="Comma 44" xfId="2998"/>
    <cellStyle name="Comma 44 2" xfId="2999"/>
    <cellStyle name="Comma 45" xfId="3000"/>
    <cellStyle name="Comma 46" xfId="277"/>
    <cellStyle name="Comma 47" xfId="5073"/>
    <cellStyle name="Comma 5" xfId="317"/>
    <cellStyle name="Comma 5 2" xfId="3002"/>
    <cellStyle name="Comma 5 2 2" xfId="3003"/>
    <cellStyle name="Comma 5 2 2 2" xfId="3004"/>
    <cellStyle name="Comma 5 2 2 3" xfId="3005"/>
    <cellStyle name="Comma 5 2 3" xfId="3006"/>
    <cellStyle name="Comma 5 2 4" xfId="3007"/>
    <cellStyle name="Comma 5 3" xfId="3008"/>
    <cellStyle name="Comma 5 4" xfId="3001"/>
    <cellStyle name="Comma 6" xfId="313"/>
    <cellStyle name="Comma 6 2" xfId="3010"/>
    <cellStyle name="Comma 6 3" xfId="3011"/>
    <cellStyle name="Comma 6 4" xfId="3009"/>
    <cellStyle name="Comma 7" xfId="375"/>
    <cellStyle name="Comma 7 2" xfId="3012"/>
    <cellStyle name="Comma 8" xfId="316"/>
    <cellStyle name="Comma 8 2" xfId="3013"/>
    <cellStyle name="Comma 9" xfId="413"/>
    <cellStyle name="comma zerodec" xfId="3014"/>
    <cellStyle name="Comma0" xfId="3015"/>
    <cellStyle name="Comma0 2" xfId="3016"/>
    <cellStyle name="CommaU [0]" xfId="499"/>
    <cellStyle name="CommaU [1]" xfId="500"/>
    <cellStyle name="CommaU [2]" xfId="501"/>
    <cellStyle name="Comment" xfId="76"/>
    <cellStyle name="Comment 2" xfId="9461"/>
    <cellStyle name="Company" xfId="9462"/>
    <cellStyle name="CompanyName" xfId="77"/>
    <cellStyle name="CompanyName 2" xfId="502"/>
    <cellStyle name="Copied" xfId="503"/>
    <cellStyle name="Copied 2" xfId="3018"/>
    <cellStyle name="Copied 3" xfId="3017"/>
    <cellStyle name="Copy Decimal 0" xfId="3019"/>
    <cellStyle name="Copy Decimal 0 10" xfId="3020"/>
    <cellStyle name="Copy Decimal 0 11" xfId="3021"/>
    <cellStyle name="Copy Decimal 0 12" xfId="3022"/>
    <cellStyle name="Copy Decimal 0 2" xfId="3023"/>
    <cellStyle name="Copy Decimal 0 3" xfId="3024"/>
    <cellStyle name="Copy Decimal 0 4" xfId="3025"/>
    <cellStyle name="Copy Decimal 0 5" xfId="3026"/>
    <cellStyle name="Copy Decimal 0 6" xfId="3027"/>
    <cellStyle name="Copy Decimal 0 7" xfId="3028"/>
    <cellStyle name="Copy Decimal 0 8" xfId="3029"/>
    <cellStyle name="Copy Decimal 0 9" xfId="3030"/>
    <cellStyle name="Copy Decimal 0,00" xfId="3031"/>
    <cellStyle name="Copy Decimal 0,00 10" xfId="3032"/>
    <cellStyle name="Copy Decimal 0,00 11" xfId="3033"/>
    <cellStyle name="Copy Decimal 0,00 12" xfId="3034"/>
    <cellStyle name="Copy Decimal 0,00 2" xfId="3035"/>
    <cellStyle name="Copy Decimal 0,00 3" xfId="3036"/>
    <cellStyle name="Copy Decimal 0,00 4" xfId="3037"/>
    <cellStyle name="Copy Decimal 0,00 5" xfId="3038"/>
    <cellStyle name="Copy Decimal 0,00 6" xfId="3039"/>
    <cellStyle name="Copy Decimal 0,00 7" xfId="3040"/>
    <cellStyle name="Copy Decimal 0,00 8" xfId="3041"/>
    <cellStyle name="Copy Decimal 0,00 9" xfId="3042"/>
    <cellStyle name="Copy Decimal 0_Durchrechnung MEU" xfId="3043"/>
    <cellStyle name="Copy Percent 0" xfId="3044"/>
    <cellStyle name="Copy Percent 0 10" xfId="3045"/>
    <cellStyle name="Copy Percent 0 11" xfId="3046"/>
    <cellStyle name="Copy Percent 0 12" xfId="3047"/>
    <cellStyle name="Copy Percent 0 2" xfId="3048"/>
    <cellStyle name="Copy Percent 0 3" xfId="3049"/>
    <cellStyle name="Copy Percent 0 4" xfId="3050"/>
    <cellStyle name="Copy Percent 0 5" xfId="3051"/>
    <cellStyle name="Copy Percent 0 6" xfId="3052"/>
    <cellStyle name="Copy Percent 0 7" xfId="3053"/>
    <cellStyle name="Copy Percent 0 8" xfId="3054"/>
    <cellStyle name="Copy Percent 0 9" xfId="3055"/>
    <cellStyle name="Copy Percent 0,00" xfId="3056"/>
    <cellStyle name="Copy Percent 0,00 10" xfId="3057"/>
    <cellStyle name="Copy Percent 0,00 11" xfId="3058"/>
    <cellStyle name="Copy Percent 0,00 12" xfId="3059"/>
    <cellStyle name="Copy Percent 0,00 2" xfId="3060"/>
    <cellStyle name="Copy Percent 0,00 3" xfId="3061"/>
    <cellStyle name="Copy Percent 0,00 4" xfId="3062"/>
    <cellStyle name="Copy Percent 0,00 5" xfId="3063"/>
    <cellStyle name="Copy Percent 0,00 6" xfId="3064"/>
    <cellStyle name="Copy Percent 0,00 7" xfId="3065"/>
    <cellStyle name="Copy Percent 0,00 8" xfId="3066"/>
    <cellStyle name="Copy Percent 0,00 9" xfId="3067"/>
    <cellStyle name="Copy Percent 0_Form CC 1 2 4 June 05" xfId="3068"/>
    <cellStyle name="COST1" xfId="3069"/>
    <cellStyle name="Cur" xfId="3070"/>
    <cellStyle name="CurRatio" xfId="9463"/>
    <cellStyle name="Curren - Style7" xfId="9464"/>
    <cellStyle name="Curren - Style8" xfId="9465"/>
    <cellStyle name="Currency" xfId="78" builtinId="4"/>
    <cellStyle name="Currency (1)" xfId="504"/>
    <cellStyle name="Currency [00]" xfId="3071"/>
    <cellStyle name="Currency [00] 2" xfId="3072"/>
    <cellStyle name="Currency [1]" xfId="505"/>
    <cellStyle name="Currency [1] 2" xfId="3073"/>
    <cellStyle name="Currency [2]" xfId="506"/>
    <cellStyle name="Currency [2] 2" xfId="3074"/>
    <cellStyle name="Currency 0" xfId="3075"/>
    <cellStyle name="Currency 10" xfId="633"/>
    <cellStyle name="Currency 11" xfId="646"/>
    <cellStyle name="Currency 12" xfId="425"/>
    <cellStyle name="Currency 13" xfId="440"/>
    <cellStyle name="Currency 14" xfId="647"/>
    <cellStyle name="Currency 15" xfId="551"/>
    <cellStyle name="Currency 16" xfId="681"/>
    <cellStyle name="Currency 17" xfId="3076"/>
    <cellStyle name="Currency 18" xfId="3077"/>
    <cellStyle name="Currency 19" xfId="3078"/>
    <cellStyle name="Currency 19 2" xfId="3079"/>
    <cellStyle name="Currency 2" xfId="79"/>
    <cellStyle name="Currency 2 10" xfId="3080"/>
    <cellStyle name="Currency 2 11" xfId="3081"/>
    <cellStyle name="Currency 2 12" xfId="3082"/>
    <cellStyle name="Currency 2 13" xfId="3083"/>
    <cellStyle name="Currency 2 14" xfId="3084"/>
    <cellStyle name="Currency 2 15" xfId="3085"/>
    <cellStyle name="Currency 2 16" xfId="9466"/>
    <cellStyle name="Currency 2 2" xfId="169"/>
    <cellStyle name="Currency 2 2 2" xfId="3086"/>
    <cellStyle name="Currency 2 3" xfId="3087"/>
    <cellStyle name="Currency 2 4" xfId="3088"/>
    <cellStyle name="Currency 2 5" xfId="3089"/>
    <cellStyle name="Currency 2 6" xfId="3090"/>
    <cellStyle name="Currency 2 7" xfId="3091"/>
    <cellStyle name="Currency 2 8" xfId="3092"/>
    <cellStyle name="Currency 2 9" xfId="3093"/>
    <cellStyle name="Currency 20" xfId="3094"/>
    <cellStyle name="Currency 21" xfId="275"/>
    <cellStyle name="Currency 22" xfId="5066"/>
    <cellStyle name="Currency 3" xfId="80"/>
    <cellStyle name="Currency 3 2" xfId="170"/>
    <cellStyle name="Currency 3 3" xfId="9467"/>
    <cellStyle name="Currency 4" xfId="81"/>
    <cellStyle name="Currency 4 2" xfId="171"/>
    <cellStyle name="Currency 4 2 2" xfId="3095"/>
    <cellStyle name="Currency 4 3" xfId="323"/>
    <cellStyle name="Currency 4 3 2" xfId="3096"/>
    <cellStyle name="Currency 4 4" xfId="3097"/>
    <cellStyle name="Currency 4 5" xfId="274"/>
    <cellStyle name="Currency 5" xfId="82"/>
    <cellStyle name="Currency 5 2" xfId="172"/>
    <cellStyle name="Currency 6" xfId="651"/>
    <cellStyle name="Currency 6 2" xfId="5009"/>
    <cellStyle name="Currency 7" xfId="658"/>
    <cellStyle name="Currency 8" xfId="636"/>
    <cellStyle name="Currency 9" xfId="472"/>
    <cellStyle name="Currency(1)" xfId="507"/>
    <cellStyle name="Currency(1) 2" xfId="9468"/>
    <cellStyle name="Currency0" xfId="3098"/>
    <cellStyle name="Currency0 2" xfId="3099"/>
    <cellStyle name="Currency0 3" xfId="9469"/>
    <cellStyle name="Currency1" xfId="3100"/>
    <cellStyle name="Currency-Denomination" xfId="3101"/>
    <cellStyle name="current day" xfId="3102"/>
    <cellStyle name="CUS.Work.Area" xfId="9470"/>
    <cellStyle name="Cyndie" xfId="3103"/>
    <cellStyle name="C㯵rrency_㳔PC Data" xfId="9471"/>
    <cellStyle name="d_yield_AA - BenefitsBonus " xfId="324"/>
    <cellStyle name="DAILY_TITLE" xfId="3104"/>
    <cellStyle name="Dash" xfId="83"/>
    <cellStyle name="Dash 2" xfId="508"/>
    <cellStyle name="Data" xfId="3105"/>
    <cellStyle name="DataEntry" xfId="9472"/>
    <cellStyle name="DataEntry%" xfId="9473"/>
    <cellStyle name="DataEntry_Model2401" xfId="9474"/>
    <cellStyle name="Date" xfId="84"/>
    <cellStyle name="Date [mm-d-yyyy]" xfId="3107"/>
    <cellStyle name="Date [mmm-d-yyyy]" xfId="3108"/>
    <cellStyle name="Date [mmm-yyyy]" xfId="3109"/>
    <cellStyle name="Date 2" xfId="3110"/>
    <cellStyle name="Date 3" xfId="3106"/>
    <cellStyle name="Date 4" xfId="5086"/>
    <cellStyle name="Date Aligned" xfId="3111"/>
    <cellStyle name="Date dd-mmm" xfId="3112"/>
    <cellStyle name="Date dd-mmm-yy" xfId="3113"/>
    <cellStyle name="Date mmm-yy" xfId="3114"/>
    <cellStyle name="Date Short" xfId="3115"/>
    <cellStyle name="Date_- BP CONSO 2002-2012" xfId="3116"/>
    <cellStyle name="Date2" xfId="85"/>
    <cellStyle name="Date2 2" xfId="3117"/>
    <cellStyle name="Dates" xfId="510"/>
    <cellStyle name="DateYear" xfId="511"/>
    <cellStyle name="Dati" xfId="3118"/>
    <cellStyle name="Dati Dec" xfId="3119"/>
    <cellStyle name="DAVE" xfId="3120"/>
    <cellStyle name="Décalé" xfId="3121"/>
    <cellStyle name="Decimal" xfId="86"/>
    <cellStyle name="Decimal 0,0" xfId="3122"/>
    <cellStyle name="Decimal 0,00" xfId="3123"/>
    <cellStyle name="Decimal 0,0000" xfId="3124"/>
    <cellStyle name="decimal 1" xfId="87"/>
    <cellStyle name="Decimal 2" xfId="9475"/>
    <cellStyle name="Decimal 3" xfId="9555"/>
    <cellStyle name="Decimal 4" xfId="9554"/>
    <cellStyle name="Decimal 5" xfId="9556"/>
    <cellStyle name="Decimal 6" xfId="9553"/>
    <cellStyle name="Decimal 7" xfId="9558"/>
    <cellStyle name="Decimal_0dp" xfId="3125"/>
    <cellStyle name="default" xfId="3126"/>
    <cellStyle name="DELTA" xfId="3127"/>
    <cellStyle name="Derive" xfId="9476"/>
    <cellStyle name="Deviant" xfId="3128"/>
    <cellStyle name="Dezimal [+line]" xfId="3129"/>
    <cellStyle name="Dezimal [0]_Acquisition stats" xfId="3130"/>
    <cellStyle name="Dezimal_Acquisition stats" xfId="3131"/>
    <cellStyle name="DimDown" xfId="3132"/>
    <cellStyle name="DimDownBold" xfId="3133"/>
    <cellStyle name="DimDownTitle" xfId="3134"/>
    <cellStyle name="Dollar" xfId="88"/>
    <cellStyle name="Dollar (zero dec)" xfId="3136"/>
    <cellStyle name="Dollar 10" xfId="9562"/>
    <cellStyle name="Dollar 2" xfId="512"/>
    <cellStyle name="Dollar 3" xfId="3135"/>
    <cellStyle name="Dollar 4" xfId="5087"/>
    <cellStyle name="Dollar 5" xfId="9477"/>
    <cellStyle name="Dollar 6" xfId="9557"/>
    <cellStyle name="Dollar 7" xfId="9552"/>
    <cellStyle name="Dollar 8" xfId="9560"/>
    <cellStyle name="Dollar 9" xfId="9550"/>
    <cellStyle name="DollarAmount" xfId="3137"/>
    <cellStyle name="DollarAmountBorder" xfId="3138"/>
    <cellStyle name="DollarAmountBorderMed" xfId="3139"/>
    <cellStyle name="DollarAmountBtmBorderMed" xfId="3140"/>
    <cellStyle name="DollarAmtTopBorder" xfId="3141"/>
    <cellStyle name="Dollars" xfId="89"/>
    <cellStyle name="DollarWhole" xfId="514"/>
    <cellStyle name="Dotted" xfId="3142"/>
    <cellStyle name="Dotted Line" xfId="3143"/>
    <cellStyle name="Double" xfId="3144"/>
    <cellStyle name="Double Accounting" xfId="3145"/>
    <cellStyle name="DropDown" xfId="3146"/>
    <cellStyle name="Eingabe" xfId="3147"/>
    <cellStyle name="Eingabe 10" xfId="3148"/>
    <cellStyle name="Eingabe 11" xfId="3149"/>
    <cellStyle name="Eingabe 12" xfId="3150"/>
    <cellStyle name="Eingabe 2" xfId="3151"/>
    <cellStyle name="Eingabe 3" xfId="3152"/>
    <cellStyle name="Eingabe 4" xfId="3153"/>
    <cellStyle name="Eingabe 5" xfId="3154"/>
    <cellStyle name="Eingabe 6" xfId="3155"/>
    <cellStyle name="Eingabe 7" xfId="3156"/>
    <cellStyle name="Eingabe 8" xfId="3157"/>
    <cellStyle name="Eingabe 9" xfId="3158"/>
    <cellStyle name="Enter Currency (0)" xfId="3159"/>
    <cellStyle name="Enter Currency (0) 2" xfId="3160"/>
    <cellStyle name="Enter Currency (2)" xfId="3161"/>
    <cellStyle name="Enter Currency (2) 2" xfId="3162"/>
    <cellStyle name="Enter Units (0)" xfId="3163"/>
    <cellStyle name="Enter Units (0) 2" xfId="3164"/>
    <cellStyle name="Enter Units (1)" xfId="3165"/>
    <cellStyle name="Enter Units (1) 2" xfId="3166"/>
    <cellStyle name="Enter Units (2)" xfId="3167"/>
    <cellStyle name="Enter Units (2) 2" xfId="3168"/>
    <cellStyle name="Entered" xfId="515"/>
    <cellStyle name="Entered 2" xfId="3170"/>
    <cellStyle name="Entered 3" xfId="3169"/>
    <cellStyle name="Est - $" xfId="3171"/>
    <cellStyle name="Est - %" xfId="3172"/>
    <cellStyle name="Est 0,000.0" xfId="3173"/>
    <cellStyle name="Euro" xfId="3174"/>
    <cellStyle name="Euro 2" xfId="3175"/>
    <cellStyle name="Euro 3" xfId="3176"/>
    <cellStyle name="Euro 4" xfId="3177"/>
    <cellStyle name="Euro 5" xfId="3178"/>
    <cellStyle name="Euro 6" xfId="3179"/>
    <cellStyle name="Euro_Cashflow Q1 CY09" xfId="3180"/>
    <cellStyle name="Explanatory Text" xfId="90" builtinId="53" customBuiltin="1"/>
    <cellStyle name="Explanatory Text 10" xfId="3181"/>
    <cellStyle name="Explanatory Text 10 2" xfId="3182"/>
    <cellStyle name="Explanatory Text 10 3" xfId="3183"/>
    <cellStyle name="Explanatory Text 11" xfId="3184"/>
    <cellStyle name="Explanatory Text 11 2" xfId="3185"/>
    <cellStyle name="Explanatory Text 11 3" xfId="3186"/>
    <cellStyle name="Explanatory Text 12" xfId="3187"/>
    <cellStyle name="Explanatory Text 12 2" xfId="3188"/>
    <cellStyle name="Explanatory Text 12 3" xfId="3189"/>
    <cellStyle name="Explanatory Text 13" xfId="3190"/>
    <cellStyle name="Explanatory Text 13 2" xfId="3191"/>
    <cellStyle name="Explanatory Text 13 3" xfId="3192"/>
    <cellStyle name="Explanatory Text 14" xfId="3193"/>
    <cellStyle name="Explanatory Text 14 2" xfId="3194"/>
    <cellStyle name="Explanatory Text 14 3" xfId="3195"/>
    <cellStyle name="Explanatory Text 15" xfId="3196"/>
    <cellStyle name="Explanatory Text 15 2" xfId="3197"/>
    <cellStyle name="Explanatory Text 15 3" xfId="3198"/>
    <cellStyle name="Explanatory Text 16" xfId="3199"/>
    <cellStyle name="Explanatory Text 17" xfId="3200"/>
    <cellStyle name="Explanatory Text 18" xfId="3201"/>
    <cellStyle name="Explanatory Text 19" xfId="3202"/>
    <cellStyle name="Explanatory Text 2" xfId="414"/>
    <cellStyle name="Explanatory Text 2 10" xfId="3203"/>
    <cellStyle name="Explanatory Text 2 11" xfId="3204"/>
    <cellStyle name="Explanatory Text 2 12" xfId="3205"/>
    <cellStyle name="Explanatory Text 2 13" xfId="3206"/>
    <cellStyle name="Explanatory Text 2 14" xfId="3207"/>
    <cellStyle name="Explanatory Text 2 15" xfId="3208"/>
    <cellStyle name="Explanatory Text 2 2" xfId="3209"/>
    <cellStyle name="Explanatory Text 2 3" xfId="3210"/>
    <cellStyle name="Explanatory Text 2 4" xfId="3211"/>
    <cellStyle name="Explanatory Text 2 5" xfId="3212"/>
    <cellStyle name="Explanatory Text 2 6" xfId="3213"/>
    <cellStyle name="Explanatory Text 2 7" xfId="3214"/>
    <cellStyle name="Explanatory Text 2 8" xfId="3215"/>
    <cellStyle name="Explanatory Text 2 9" xfId="3216"/>
    <cellStyle name="Explanatory Text 3" xfId="3217"/>
    <cellStyle name="Explanatory Text 3 2" xfId="3218"/>
    <cellStyle name="Explanatory Text 3 3" xfId="3219"/>
    <cellStyle name="Explanatory Text 3 4" xfId="3220"/>
    <cellStyle name="Explanatory Text 3 5" xfId="3221"/>
    <cellStyle name="Explanatory Text 3 6" xfId="3222"/>
    <cellStyle name="Explanatory Text 3 7" xfId="3223"/>
    <cellStyle name="Explanatory Text 3 8" xfId="3224"/>
    <cellStyle name="Explanatory Text 4" xfId="3225"/>
    <cellStyle name="Explanatory Text 4 2" xfId="3226"/>
    <cellStyle name="Explanatory Text 5" xfId="3227"/>
    <cellStyle name="Explanatory Text 5 2" xfId="3228"/>
    <cellStyle name="Explanatory Text 6" xfId="3229"/>
    <cellStyle name="Explanatory Text 6 2" xfId="3230"/>
    <cellStyle name="Explanatory Text 7" xfId="3231"/>
    <cellStyle name="Explanatory Text 8" xfId="3232"/>
    <cellStyle name="Explanatory Text 9" xfId="3233"/>
    <cellStyle name="Explanatory Text 9 2" xfId="3234"/>
    <cellStyle name="Explanatory Text 9 3" xfId="3235"/>
    <cellStyle name="Explanatory Text 9 4" xfId="3236"/>
    <cellStyle name="Ezres [0]_Cable" xfId="3237"/>
    <cellStyle name="Ezres_Cable" xfId="3238"/>
    <cellStyle name="F H.T." xfId="3239"/>
    <cellStyle name="f‰H_x0010_‹Ëf‰h,ÿt$_x0018_è¸Wÿÿé&gt;Ëÿÿ÷Ç_x0001_" xfId="415"/>
    <cellStyle name="Fail" xfId="325"/>
    <cellStyle name="Fail 2" xfId="516"/>
    <cellStyle name="FF_EURO" xfId="3240"/>
    <cellStyle name="FieldName" xfId="91"/>
    <cellStyle name="FiscalPeriod" xfId="326"/>
    <cellStyle name="FiscalPeriod 2" xfId="517"/>
    <cellStyle name="Fixed" xfId="92"/>
    <cellStyle name="Fixed (1)" xfId="9479"/>
    <cellStyle name="Fixed [0]" xfId="3242"/>
    <cellStyle name="Fixed [2]" xfId="9480"/>
    <cellStyle name="Fixed 10" xfId="9563"/>
    <cellStyle name="Fixed 2" xfId="518"/>
    <cellStyle name="Fixed 2 2" xfId="3243"/>
    <cellStyle name="Fixed 3" xfId="3241"/>
    <cellStyle name="Fixed 3 2" xfId="9481"/>
    <cellStyle name="Fixed 4" xfId="5088"/>
    <cellStyle name="Fixed 5" xfId="9478"/>
    <cellStyle name="Fixed 6" xfId="9559"/>
    <cellStyle name="Fixed 7" xfId="9551"/>
    <cellStyle name="Fixed 8" xfId="9561"/>
    <cellStyle name="Fixed 9" xfId="9549"/>
    <cellStyle name="Fixed_1" xfId="9482"/>
    <cellStyle name="Footnote" xfId="93"/>
    <cellStyle name="Footnote 2" xfId="3244"/>
    <cellStyle name="Forecast Cell Column Heading" xfId="3245"/>
    <cellStyle name="format - Style1" xfId="3246"/>
    <cellStyle name="Formula" xfId="3247"/>
    <cellStyle name="g_rate_AA - BenefitsBonus " xfId="328"/>
    <cellStyle name="G02 Table Text" xfId="94"/>
    <cellStyle name="G04_Main head" xfId="95"/>
    <cellStyle name="G05 Tab Head Bold" xfId="96"/>
    <cellStyle name="G05 Tab Head Bold 2" xfId="329"/>
    <cellStyle name="G05 Tab Head Bold 3" xfId="5010"/>
    <cellStyle name="G05 Tab Head Bold 3 2" xfId="5011"/>
    <cellStyle name="G05 Tab Head Bold 4" xfId="5012"/>
    <cellStyle name="G05 Tab Head Bold 4 2" xfId="5013"/>
    <cellStyle name="G05 Tab Head Bold 5" xfId="5014"/>
    <cellStyle name="G05 Tab Head Bold 5 2" xfId="5015"/>
    <cellStyle name="G05 Tab Head Bold 6" xfId="5016"/>
    <cellStyle name="G05 Tab Head Light" xfId="97"/>
    <cellStyle name="G05 Tab Head Light 2" xfId="330"/>
    <cellStyle name="G05 Tab Head Light 3" xfId="5017"/>
    <cellStyle name="G05 Tab Head Light 3 2" xfId="5018"/>
    <cellStyle name="G05 Tab Head Light 4" xfId="5019"/>
    <cellStyle name="G05 Tab Head Light 4 2" xfId="5020"/>
    <cellStyle name="G05 Tab Head Light 5" xfId="5021"/>
    <cellStyle name="G05 Tab Head Light 5 2" xfId="5022"/>
    <cellStyle name="G05 Tab Head Light 6" xfId="5023"/>
    <cellStyle name="Geneva 9" xfId="3248"/>
    <cellStyle name="Giga" xfId="3249"/>
    <cellStyle name="Good" xfId="98" builtinId="26" customBuiltin="1"/>
    <cellStyle name="Good 10" xfId="3250"/>
    <cellStyle name="Good 10 2" xfId="3251"/>
    <cellStyle name="Good 10 3" xfId="3252"/>
    <cellStyle name="Good 11" xfId="3253"/>
    <cellStyle name="Good 11 2" xfId="3254"/>
    <cellStyle name="Good 11 3" xfId="3255"/>
    <cellStyle name="Good 12" xfId="3256"/>
    <cellStyle name="Good 12 2" xfId="3257"/>
    <cellStyle name="Good 12 3" xfId="3258"/>
    <cellStyle name="Good 13" xfId="3259"/>
    <cellStyle name="Good 13 2" xfId="3260"/>
    <cellStyle name="Good 13 3" xfId="3261"/>
    <cellStyle name="Good 14" xfId="3262"/>
    <cellStyle name="Good 14 2" xfId="3263"/>
    <cellStyle name="Good 14 3" xfId="3264"/>
    <cellStyle name="Good 15" xfId="3265"/>
    <cellStyle name="Good 15 2" xfId="3266"/>
    <cellStyle name="Good 15 3" xfId="3267"/>
    <cellStyle name="Good 16" xfId="3268"/>
    <cellStyle name="Good 17" xfId="3269"/>
    <cellStyle name="Good 18" xfId="3270"/>
    <cellStyle name="Good 19" xfId="3271"/>
    <cellStyle name="Good 2" xfId="416"/>
    <cellStyle name="Good 2 10" xfId="3273"/>
    <cellStyle name="Good 2 11" xfId="3274"/>
    <cellStyle name="Good 2 12" xfId="3275"/>
    <cellStyle name="Good 2 13" xfId="3276"/>
    <cellStyle name="Good 2 14" xfId="3277"/>
    <cellStyle name="Good 2 15" xfId="3278"/>
    <cellStyle name="Good 2 16" xfId="3272"/>
    <cellStyle name="Good 2 2" xfId="3279"/>
    <cellStyle name="Good 2 3" xfId="3280"/>
    <cellStyle name="Good 2 4" xfId="3281"/>
    <cellStyle name="Good 2 5" xfId="3282"/>
    <cellStyle name="Good 2 6" xfId="3283"/>
    <cellStyle name="Good 2 7" xfId="3284"/>
    <cellStyle name="Good 2 8" xfId="3285"/>
    <cellStyle name="Good 2 9" xfId="3286"/>
    <cellStyle name="Good 20" xfId="3287"/>
    <cellStyle name="Good 3" xfId="3288"/>
    <cellStyle name="Good 3 2" xfId="3289"/>
    <cellStyle name="Good 3 3" xfId="3290"/>
    <cellStyle name="Good 3 4" xfId="3291"/>
    <cellStyle name="Good 3 5" xfId="3292"/>
    <cellStyle name="Good 3 6" xfId="3293"/>
    <cellStyle name="Good 3 7" xfId="3294"/>
    <cellStyle name="Good 3 8" xfId="3295"/>
    <cellStyle name="Good 4" xfId="3296"/>
    <cellStyle name="Good 4 2" xfId="3297"/>
    <cellStyle name="Good 5" xfId="3298"/>
    <cellStyle name="Good 5 2" xfId="3299"/>
    <cellStyle name="Good 6" xfId="3300"/>
    <cellStyle name="Good 6 2" xfId="3301"/>
    <cellStyle name="Good 7" xfId="3302"/>
    <cellStyle name="Good 8" xfId="3303"/>
    <cellStyle name="Good 9" xfId="3304"/>
    <cellStyle name="Good 9 2" xfId="3305"/>
    <cellStyle name="Good 9 3" xfId="3306"/>
    <cellStyle name="Good 9 4" xfId="3307"/>
    <cellStyle name="Green" xfId="99"/>
    <cellStyle name="Green 2" xfId="519"/>
    <cellStyle name="Green 2 2" xfId="5098"/>
    <cellStyle name="Grey" xfId="100"/>
    <cellStyle name="Grey 2" xfId="173"/>
    <cellStyle name="Growth%" xfId="520"/>
    <cellStyle name="GrowthRate" xfId="521"/>
    <cellStyle name="Grün_Ausgabe" xfId="3308"/>
    <cellStyle name="hard no" xfId="101"/>
    <cellStyle name="hard no 2" xfId="174"/>
    <cellStyle name="Hard Percent" xfId="3309"/>
    <cellStyle name="hardno" xfId="102"/>
    <cellStyle name="HEADER" xfId="522"/>
    <cellStyle name="Header 2" xfId="3311"/>
    <cellStyle name="HEADER 3" xfId="3310"/>
    <cellStyle name="HEADER 4" xfId="5089"/>
    <cellStyle name="Header Total" xfId="3312"/>
    <cellStyle name="header_Balance Sheet July 9 IFRS Sept 18" xfId="3313"/>
    <cellStyle name="Header1" xfId="103"/>
    <cellStyle name="Header1 2" xfId="523"/>
    <cellStyle name="Header2" xfId="104"/>
    <cellStyle name="Header2 2" xfId="524"/>
    <cellStyle name="Header3" xfId="3314"/>
    <cellStyle name="Header4" xfId="3315"/>
    <cellStyle name="Header4 10" xfId="3316"/>
    <cellStyle name="Header4 11" xfId="3317"/>
    <cellStyle name="Header4 12" xfId="3318"/>
    <cellStyle name="Header4 2" xfId="3319"/>
    <cellStyle name="Header4 3" xfId="3320"/>
    <cellStyle name="Header4 4" xfId="3321"/>
    <cellStyle name="Header4 5" xfId="3322"/>
    <cellStyle name="Header4 6" xfId="3323"/>
    <cellStyle name="Header4 7" xfId="3324"/>
    <cellStyle name="Header4 8" xfId="3325"/>
    <cellStyle name="Header4 9" xfId="3326"/>
    <cellStyle name="Heading" xfId="3327"/>
    <cellStyle name="Heading 1" xfId="105" builtinId="16" customBuiltin="1"/>
    <cellStyle name="Heading 1 10" xfId="3328"/>
    <cellStyle name="Heading 1 10 2" xfId="3329"/>
    <cellStyle name="Heading 1 10 3" xfId="3330"/>
    <cellStyle name="Heading 1 10 4" xfId="3331"/>
    <cellStyle name="Heading 1 11" xfId="3332"/>
    <cellStyle name="Heading 1 11 2" xfId="3333"/>
    <cellStyle name="Heading 1 11 3" xfId="3334"/>
    <cellStyle name="Heading 1 11 4" xfId="3335"/>
    <cellStyle name="Heading 1 12" xfId="3336"/>
    <cellStyle name="Heading 1 12 2" xfId="3337"/>
    <cellStyle name="Heading 1 12 3" xfId="3338"/>
    <cellStyle name="Heading 1 12 4" xfId="3339"/>
    <cellStyle name="Heading 1 13" xfId="3340"/>
    <cellStyle name="Heading 1 13 2" xfId="3341"/>
    <cellStyle name="Heading 1 13 3" xfId="3342"/>
    <cellStyle name="Heading 1 13 4" xfId="3343"/>
    <cellStyle name="Heading 1 14" xfId="3344"/>
    <cellStyle name="Heading 1 14 2" xfId="3345"/>
    <cellStyle name="Heading 1 14 3" xfId="3346"/>
    <cellStyle name="Heading 1 14 4" xfId="3347"/>
    <cellStyle name="Heading 1 15" xfId="3348"/>
    <cellStyle name="Heading 1 15 2" xfId="3349"/>
    <cellStyle name="Heading 1 15 3" xfId="3350"/>
    <cellStyle name="Heading 1 15 4" xfId="3351"/>
    <cellStyle name="Heading 1 16" xfId="3352"/>
    <cellStyle name="Heading 1 17" xfId="3353"/>
    <cellStyle name="Heading 1 18" xfId="3354"/>
    <cellStyle name="Heading 1 19" xfId="3355"/>
    <cellStyle name="Heading 1 2" xfId="417"/>
    <cellStyle name="Heading 1 2 10" xfId="3357"/>
    <cellStyle name="Heading 1 2 10 2" xfId="3358"/>
    <cellStyle name="Heading 1 2 11" xfId="3359"/>
    <cellStyle name="Heading 1 2 12" xfId="3360"/>
    <cellStyle name="Heading 1 2 13" xfId="3361"/>
    <cellStyle name="Heading 1 2 14" xfId="3362"/>
    <cellStyle name="Heading 1 2 15" xfId="3363"/>
    <cellStyle name="Heading 1 2 16" xfId="3356"/>
    <cellStyle name="Heading 1 2 2" xfId="3364"/>
    <cellStyle name="Heading 1 2 3" xfId="3365"/>
    <cellStyle name="Heading 1 2 4" xfId="3366"/>
    <cellStyle name="Heading 1 2 5" xfId="3367"/>
    <cellStyle name="Heading 1 2 6" xfId="3368"/>
    <cellStyle name="Heading 1 2 7" xfId="3369"/>
    <cellStyle name="Heading 1 2 8" xfId="3370"/>
    <cellStyle name="Heading 1 2 9" xfId="3371"/>
    <cellStyle name="Heading 1 3" xfId="3372"/>
    <cellStyle name="Heading 1 3 2" xfId="3373"/>
    <cellStyle name="Heading 1 3 2 2" xfId="3374"/>
    <cellStyle name="Heading 1 3 2 3" xfId="3375"/>
    <cellStyle name="Heading 1 3 3" xfId="3376"/>
    <cellStyle name="Heading 1 3 4" xfId="3377"/>
    <cellStyle name="Heading 1 3 5" xfId="3378"/>
    <cellStyle name="Heading 1 3 5 2" xfId="3379"/>
    <cellStyle name="Heading 1 3 6" xfId="3380"/>
    <cellStyle name="Heading 1 3 7" xfId="3381"/>
    <cellStyle name="Heading 1 3 8" xfId="3382"/>
    <cellStyle name="Heading 1 3 9" xfId="3383"/>
    <cellStyle name="Heading 1 4" xfId="3384"/>
    <cellStyle name="Heading 1 4 2" xfId="3385"/>
    <cellStyle name="Heading 1 4 3" xfId="3386"/>
    <cellStyle name="Heading 1 5" xfId="3387"/>
    <cellStyle name="Heading 1 5 2" xfId="3388"/>
    <cellStyle name="Heading 1 5 3" xfId="3389"/>
    <cellStyle name="Heading 1 6" xfId="3390"/>
    <cellStyle name="Heading 1 6 2" xfId="3391"/>
    <cellStyle name="Heading 1 6 3" xfId="3392"/>
    <cellStyle name="Heading 1 7" xfId="3393"/>
    <cellStyle name="Heading 1 7 2" xfId="3394"/>
    <cellStyle name="Heading 1 7 3" xfId="3395"/>
    <cellStyle name="Heading 1 8" xfId="3396"/>
    <cellStyle name="Heading 1 8 2" xfId="3397"/>
    <cellStyle name="Heading 1 8 3" xfId="3398"/>
    <cellStyle name="Heading 1 9" xfId="3399"/>
    <cellStyle name="Heading 1 9 2" xfId="3400"/>
    <cellStyle name="Heading 1 9 2 2" xfId="3401"/>
    <cellStyle name="Heading 1 9 3" xfId="3402"/>
    <cellStyle name="Heading 1 9 4" xfId="3403"/>
    <cellStyle name="Heading 1 9 5" xfId="3404"/>
    <cellStyle name="Heading 10" xfId="3405"/>
    <cellStyle name="Heading 11" xfId="3406"/>
    <cellStyle name="Heading 12" xfId="3407"/>
    <cellStyle name="Heading 13" xfId="3408"/>
    <cellStyle name="Heading 14" xfId="3409"/>
    <cellStyle name="Heading 15" xfId="3410"/>
    <cellStyle name="Heading 2" xfId="106" builtinId="17" customBuiltin="1"/>
    <cellStyle name="Heading 2 10" xfId="3411"/>
    <cellStyle name="Heading 2 10 2" xfId="3412"/>
    <cellStyle name="Heading 2 10 3" xfId="3413"/>
    <cellStyle name="Heading 2 10 4" xfId="3414"/>
    <cellStyle name="Heading 2 11" xfId="3415"/>
    <cellStyle name="Heading 2 11 2" xfId="3416"/>
    <cellStyle name="Heading 2 11 3" xfId="3417"/>
    <cellStyle name="Heading 2 11 4" xfId="3418"/>
    <cellStyle name="Heading 2 12" xfId="3419"/>
    <cellStyle name="Heading 2 12 2" xfId="3420"/>
    <cellStyle name="Heading 2 12 3" xfId="3421"/>
    <cellStyle name="Heading 2 12 4" xfId="3422"/>
    <cellStyle name="Heading 2 13" xfId="3423"/>
    <cellStyle name="Heading 2 13 2" xfId="3424"/>
    <cellStyle name="Heading 2 13 3" xfId="3425"/>
    <cellStyle name="Heading 2 13 4" xfId="3426"/>
    <cellStyle name="Heading 2 14" xfId="3427"/>
    <cellStyle name="Heading 2 14 2" xfId="3428"/>
    <cellStyle name="Heading 2 14 3" xfId="3429"/>
    <cellStyle name="Heading 2 14 4" xfId="3430"/>
    <cellStyle name="Heading 2 15" xfId="3431"/>
    <cellStyle name="Heading 2 15 2" xfId="3432"/>
    <cellStyle name="Heading 2 15 3" xfId="3433"/>
    <cellStyle name="Heading 2 15 4" xfId="3434"/>
    <cellStyle name="Heading 2 16" xfId="3435"/>
    <cellStyle name="Heading 2 17" xfId="3436"/>
    <cellStyle name="Heading 2 18" xfId="3437"/>
    <cellStyle name="Heading 2 19" xfId="3438"/>
    <cellStyle name="Heading 2 2" xfId="418"/>
    <cellStyle name="Heading 2 2 10" xfId="3440"/>
    <cellStyle name="Heading 2 2 10 2" xfId="3441"/>
    <cellStyle name="Heading 2 2 11" xfId="3442"/>
    <cellStyle name="Heading 2 2 12" xfId="3443"/>
    <cellStyle name="Heading 2 2 13" xfId="3444"/>
    <cellStyle name="Heading 2 2 14" xfId="3445"/>
    <cellStyle name="Heading 2 2 15" xfId="3446"/>
    <cellStyle name="Heading 2 2 16" xfId="3439"/>
    <cellStyle name="Heading 2 2 2" xfId="3447"/>
    <cellStyle name="Heading 2 2 3" xfId="3448"/>
    <cellStyle name="Heading 2 2 4" xfId="3449"/>
    <cellStyle name="Heading 2 2 5" xfId="3450"/>
    <cellStyle name="Heading 2 2 6" xfId="3451"/>
    <cellStyle name="Heading 2 2 7" xfId="3452"/>
    <cellStyle name="Heading 2 2 8" xfId="3453"/>
    <cellStyle name="Heading 2 2 9" xfId="3454"/>
    <cellStyle name="Heading 2 3" xfId="3455"/>
    <cellStyle name="Heading 2 3 2" xfId="3456"/>
    <cellStyle name="Heading 2 3 2 2" xfId="3457"/>
    <cellStyle name="Heading 2 3 2 3" xfId="3458"/>
    <cellStyle name="Heading 2 3 3" xfId="3459"/>
    <cellStyle name="Heading 2 3 4" xfId="3460"/>
    <cellStyle name="Heading 2 3 5" xfId="3461"/>
    <cellStyle name="Heading 2 3 5 2" xfId="3462"/>
    <cellStyle name="Heading 2 3 6" xfId="3463"/>
    <cellStyle name="Heading 2 3 7" xfId="3464"/>
    <cellStyle name="Heading 2 3 8" xfId="3465"/>
    <cellStyle name="Heading 2 3 9" xfId="3466"/>
    <cellStyle name="Heading 2 4" xfId="3467"/>
    <cellStyle name="Heading 2 4 2" xfId="3468"/>
    <cellStyle name="Heading 2 4 3" xfId="3469"/>
    <cellStyle name="Heading 2 5" xfId="3470"/>
    <cellStyle name="Heading 2 5 2" xfId="3471"/>
    <cellStyle name="Heading 2 5 3" xfId="3472"/>
    <cellStyle name="Heading 2 6" xfId="3473"/>
    <cellStyle name="Heading 2 6 2" xfId="3474"/>
    <cellStyle name="Heading 2 6 3" xfId="3475"/>
    <cellStyle name="Heading 2 7" xfId="3476"/>
    <cellStyle name="Heading 2 7 2" xfId="3477"/>
    <cellStyle name="Heading 2 7 3" xfId="3478"/>
    <cellStyle name="Heading 2 8" xfId="3479"/>
    <cellStyle name="Heading 2 8 2" xfId="3480"/>
    <cellStyle name="Heading 2 8 3" xfId="3481"/>
    <cellStyle name="Heading 2 9" xfId="3482"/>
    <cellStyle name="Heading 2 9 2" xfId="3483"/>
    <cellStyle name="Heading 2 9 2 2" xfId="3484"/>
    <cellStyle name="Heading 2 9 3" xfId="3485"/>
    <cellStyle name="Heading 2 9 4" xfId="3486"/>
    <cellStyle name="Heading 2 9 5" xfId="3487"/>
    <cellStyle name="Heading 3" xfId="107" builtinId="18" customBuiltin="1"/>
    <cellStyle name="Heading 3 10" xfId="3488"/>
    <cellStyle name="Heading 3 10 2" xfId="3489"/>
    <cellStyle name="Heading 3 10 3" xfId="3490"/>
    <cellStyle name="Heading 3 10 4" xfId="3491"/>
    <cellStyle name="Heading 3 11" xfId="3492"/>
    <cellStyle name="Heading 3 11 2" xfId="3493"/>
    <cellStyle name="Heading 3 11 3" xfId="3494"/>
    <cellStyle name="Heading 3 11 4" xfId="3495"/>
    <cellStyle name="Heading 3 12" xfId="3496"/>
    <cellStyle name="Heading 3 12 2" xfId="3497"/>
    <cellStyle name="Heading 3 12 3" xfId="3498"/>
    <cellStyle name="Heading 3 12 4" xfId="3499"/>
    <cellStyle name="Heading 3 13" xfId="3500"/>
    <cellStyle name="Heading 3 13 2" xfId="3501"/>
    <cellStyle name="Heading 3 13 3" xfId="3502"/>
    <cellStyle name="Heading 3 13 4" xfId="3503"/>
    <cellStyle name="Heading 3 14" xfId="3504"/>
    <cellStyle name="Heading 3 14 2" xfId="3505"/>
    <cellStyle name="Heading 3 14 3" xfId="3506"/>
    <cellStyle name="Heading 3 14 4" xfId="3507"/>
    <cellStyle name="Heading 3 15" xfId="3508"/>
    <cellStyle name="Heading 3 15 2" xfId="3509"/>
    <cellStyle name="Heading 3 15 3" xfId="3510"/>
    <cellStyle name="Heading 3 15 4" xfId="3511"/>
    <cellStyle name="Heading 3 16" xfId="3512"/>
    <cellStyle name="Heading 3 17" xfId="3513"/>
    <cellStyle name="Heading 3 18" xfId="3514"/>
    <cellStyle name="Heading 3 19" xfId="3515"/>
    <cellStyle name="Heading 3 2" xfId="419"/>
    <cellStyle name="Heading 3 2 10" xfId="3517"/>
    <cellStyle name="Heading 3 2 10 2" xfId="3518"/>
    <cellStyle name="Heading 3 2 11" xfId="3519"/>
    <cellStyle name="Heading 3 2 12" xfId="3520"/>
    <cellStyle name="Heading 3 2 13" xfId="3521"/>
    <cellStyle name="Heading 3 2 14" xfId="3522"/>
    <cellStyle name="Heading 3 2 15" xfId="3523"/>
    <cellStyle name="Heading 3 2 16" xfId="3516"/>
    <cellStyle name="Heading 3 2 2" xfId="3524"/>
    <cellStyle name="Heading 3 2 3" xfId="3525"/>
    <cellStyle name="Heading 3 2 4" xfId="3526"/>
    <cellStyle name="Heading 3 2 5" xfId="3527"/>
    <cellStyle name="Heading 3 2 6" xfId="3528"/>
    <cellStyle name="Heading 3 2 7" xfId="3529"/>
    <cellStyle name="Heading 3 2 8" xfId="3530"/>
    <cellStyle name="Heading 3 2 9" xfId="3531"/>
    <cellStyle name="Heading 3 3" xfId="3532"/>
    <cellStyle name="Heading 3 3 2" xfId="3533"/>
    <cellStyle name="Heading 3 3 2 2" xfId="3534"/>
    <cellStyle name="Heading 3 3 2 3" xfId="3535"/>
    <cellStyle name="Heading 3 3 3" xfId="3536"/>
    <cellStyle name="Heading 3 3 4" xfId="3537"/>
    <cellStyle name="Heading 3 3 5" xfId="3538"/>
    <cellStyle name="Heading 3 3 5 2" xfId="3539"/>
    <cellStyle name="Heading 3 3 6" xfId="3540"/>
    <cellStyle name="Heading 3 3 7" xfId="3541"/>
    <cellStyle name="Heading 3 3 8" xfId="3542"/>
    <cellStyle name="Heading 3 3 9" xfId="3543"/>
    <cellStyle name="Heading 3 4" xfId="3544"/>
    <cellStyle name="Heading 3 4 2" xfId="3545"/>
    <cellStyle name="Heading 3 4 3" xfId="3546"/>
    <cellStyle name="Heading 3 5" xfId="3547"/>
    <cellStyle name="Heading 3 5 2" xfId="3548"/>
    <cellStyle name="Heading 3 5 3" xfId="3549"/>
    <cellStyle name="Heading 3 6" xfId="3550"/>
    <cellStyle name="Heading 3 6 2" xfId="3551"/>
    <cellStyle name="Heading 3 6 3" xfId="3552"/>
    <cellStyle name="Heading 3 7" xfId="3553"/>
    <cellStyle name="Heading 3 7 2" xfId="3554"/>
    <cellStyle name="Heading 3 7 3" xfId="3555"/>
    <cellStyle name="Heading 3 8" xfId="3556"/>
    <cellStyle name="Heading 3 8 2" xfId="3557"/>
    <cellStyle name="Heading 3 8 3" xfId="3558"/>
    <cellStyle name="Heading 3 9" xfId="3559"/>
    <cellStyle name="Heading 3 9 2" xfId="3560"/>
    <cellStyle name="Heading 3 9 2 2" xfId="3561"/>
    <cellStyle name="Heading 3 9 3" xfId="3562"/>
    <cellStyle name="Heading 3 9 4" xfId="3563"/>
    <cellStyle name="Heading 3 9 5" xfId="3564"/>
    <cellStyle name="Heading 4" xfId="108" builtinId="19" customBuiltin="1"/>
    <cellStyle name="Heading 4 10" xfId="3565"/>
    <cellStyle name="Heading 4 10 2" xfId="3566"/>
    <cellStyle name="Heading 4 10 3" xfId="3567"/>
    <cellStyle name="Heading 4 10 4" xfId="3568"/>
    <cellStyle name="Heading 4 11" xfId="3569"/>
    <cellStyle name="Heading 4 11 2" xfId="3570"/>
    <cellStyle name="Heading 4 11 3" xfId="3571"/>
    <cellStyle name="Heading 4 11 4" xfId="3572"/>
    <cellStyle name="Heading 4 12" xfId="3573"/>
    <cellStyle name="Heading 4 12 2" xfId="3574"/>
    <cellStyle name="Heading 4 12 3" xfId="3575"/>
    <cellStyle name="Heading 4 12 4" xfId="3576"/>
    <cellStyle name="Heading 4 13" xfId="3577"/>
    <cellStyle name="Heading 4 13 2" xfId="3578"/>
    <cellStyle name="Heading 4 13 3" xfId="3579"/>
    <cellStyle name="Heading 4 13 4" xfId="3580"/>
    <cellStyle name="Heading 4 14" xfId="3581"/>
    <cellStyle name="Heading 4 14 2" xfId="3582"/>
    <cellStyle name="Heading 4 14 3" xfId="3583"/>
    <cellStyle name="Heading 4 14 4" xfId="3584"/>
    <cellStyle name="Heading 4 15" xfId="3585"/>
    <cellStyle name="Heading 4 15 2" xfId="3586"/>
    <cellStyle name="Heading 4 15 3" xfId="3587"/>
    <cellStyle name="Heading 4 15 4" xfId="3588"/>
    <cellStyle name="Heading 4 16" xfId="3589"/>
    <cellStyle name="Heading 4 17" xfId="3590"/>
    <cellStyle name="Heading 4 18" xfId="3591"/>
    <cellStyle name="Heading 4 19" xfId="3592"/>
    <cellStyle name="Heading 4 2" xfId="420"/>
    <cellStyle name="Heading 4 2 10" xfId="3593"/>
    <cellStyle name="Heading 4 2 10 2" xfId="3594"/>
    <cellStyle name="Heading 4 2 11" xfId="3595"/>
    <cellStyle name="Heading 4 2 12" xfId="3596"/>
    <cellStyle name="Heading 4 2 13" xfId="3597"/>
    <cellStyle name="Heading 4 2 14" xfId="3598"/>
    <cellStyle name="Heading 4 2 15" xfId="3599"/>
    <cellStyle name="Heading 4 2 2" xfId="3600"/>
    <cellStyle name="Heading 4 2 3" xfId="3601"/>
    <cellStyle name="Heading 4 2 4" xfId="3602"/>
    <cellStyle name="Heading 4 2 5" xfId="3603"/>
    <cellStyle name="Heading 4 2 6" xfId="3604"/>
    <cellStyle name="Heading 4 2 7" xfId="3605"/>
    <cellStyle name="Heading 4 2 8" xfId="3606"/>
    <cellStyle name="Heading 4 2 9" xfId="3607"/>
    <cellStyle name="Heading 4 3" xfId="3608"/>
    <cellStyle name="Heading 4 3 2" xfId="3609"/>
    <cellStyle name="Heading 4 3 2 2" xfId="3610"/>
    <cellStyle name="Heading 4 3 2 3" xfId="3611"/>
    <cellStyle name="Heading 4 3 3" xfId="3612"/>
    <cellStyle name="Heading 4 3 4" xfId="3613"/>
    <cellStyle name="Heading 4 3 5" xfId="3614"/>
    <cellStyle name="Heading 4 3 5 2" xfId="3615"/>
    <cellStyle name="Heading 4 3 6" xfId="3616"/>
    <cellStyle name="Heading 4 3 7" xfId="3617"/>
    <cellStyle name="Heading 4 3 8" xfId="3618"/>
    <cellStyle name="Heading 4 3 9" xfId="3619"/>
    <cellStyle name="Heading 4 4" xfId="3620"/>
    <cellStyle name="Heading 4 4 2" xfId="3621"/>
    <cellStyle name="Heading 4 4 3" xfId="3622"/>
    <cellStyle name="Heading 4 5" xfId="3623"/>
    <cellStyle name="Heading 4 5 2" xfId="3624"/>
    <cellStyle name="Heading 4 5 3" xfId="3625"/>
    <cellStyle name="Heading 4 6" xfId="3626"/>
    <cellStyle name="Heading 4 6 2" xfId="3627"/>
    <cellStyle name="Heading 4 6 3" xfId="3628"/>
    <cellStyle name="Heading 4 7" xfId="3629"/>
    <cellStyle name="Heading 4 7 2" xfId="3630"/>
    <cellStyle name="Heading 4 7 3" xfId="3631"/>
    <cellStyle name="Heading 4 8" xfId="3632"/>
    <cellStyle name="Heading 4 8 2" xfId="3633"/>
    <cellStyle name="Heading 4 8 3" xfId="3634"/>
    <cellStyle name="Heading 4 9" xfId="3635"/>
    <cellStyle name="Heading 4 9 2" xfId="3636"/>
    <cellStyle name="Heading 4 9 2 2" xfId="3637"/>
    <cellStyle name="Heading 4 9 3" xfId="3638"/>
    <cellStyle name="Heading 4 9 4" xfId="3639"/>
    <cellStyle name="Heading 4 9 5" xfId="3640"/>
    <cellStyle name="Heading 5" xfId="3641"/>
    <cellStyle name="Heading 6" xfId="3642"/>
    <cellStyle name="Heading 7" xfId="3643"/>
    <cellStyle name="Heading 8" xfId="3644"/>
    <cellStyle name="Heading 9" xfId="3645"/>
    <cellStyle name="Heading I" xfId="3646"/>
    <cellStyle name="heading info" xfId="3647"/>
    <cellStyle name="Heading1" xfId="525"/>
    <cellStyle name="Heading1 2" xfId="3649"/>
    <cellStyle name="Heading1 3" xfId="3648"/>
    <cellStyle name="Heading2" xfId="526"/>
    <cellStyle name="Heading2 2" xfId="3651"/>
    <cellStyle name="Heading2 3" xfId="3650"/>
    <cellStyle name="HEADINGS" xfId="3652"/>
    <cellStyle name="HEADINGS 2" xfId="3653"/>
    <cellStyle name="HEADINGSTOP" xfId="3654"/>
    <cellStyle name="HEADINGSTOP 2" xfId="3655"/>
    <cellStyle name="Headline1" xfId="3656"/>
    <cellStyle name="Headline2" xfId="3657"/>
    <cellStyle name="Headline3" xfId="3658"/>
    <cellStyle name="Hidden" xfId="331"/>
    <cellStyle name="Hidden 2" xfId="527"/>
    <cellStyle name="Hidden Decimal 0,00" xfId="3659"/>
    <cellStyle name="HIGHLIGHT" xfId="528"/>
    <cellStyle name="HIGHLIGHT 2" xfId="3660"/>
    <cellStyle name="Hyperlink" xfId="109" builtinId="8"/>
    <cellStyle name="Hyperlink 2" xfId="332"/>
    <cellStyle name="Hyperlink 2 2" xfId="632"/>
    <cellStyle name="Id" xfId="3661"/>
    <cellStyle name="Income Statement" xfId="529"/>
    <cellStyle name="IncomeStatement" xfId="530"/>
    <cellStyle name="indicatif_nv" xfId="3662"/>
    <cellStyle name="Info_Main" xfId="9483"/>
    <cellStyle name="initial" xfId="3663"/>
    <cellStyle name="Input" xfId="110" builtinId="20" customBuiltin="1"/>
    <cellStyle name="Input [%]" xfId="3664"/>
    <cellStyle name="Input [%0]" xfId="3665"/>
    <cellStyle name="Input [%00]" xfId="3666"/>
    <cellStyle name="Input [0]" xfId="3667"/>
    <cellStyle name="Input [00]" xfId="3668"/>
    <cellStyle name="Input [yellow]" xfId="111"/>
    <cellStyle name="Input [yellow] 2" xfId="175"/>
    <cellStyle name="Input 10" xfId="639"/>
    <cellStyle name="Input 10 2" xfId="3670"/>
    <cellStyle name="Input 10 3" xfId="3671"/>
    <cellStyle name="Input 10 4" xfId="3672"/>
    <cellStyle name="Input 10 5" xfId="3669"/>
    <cellStyle name="Input 11" xfId="644"/>
    <cellStyle name="Input 11 2" xfId="3674"/>
    <cellStyle name="Input 11 3" xfId="3675"/>
    <cellStyle name="Input 11 4" xfId="3676"/>
    <cellStyle name="Input 11 5" xfId="3673"/>
    <cellStyle name="Input 12" xfId="641"/>
    <cellStyle name="Input 12 2" xfId="3678"/>
    <cellStyle name="Input 12 3" xfId="3679"/>
    <cellStyle name="Input 12 4" xfId="3680"/>
    <cellStyle name="Input 12 5" xfId="3677"/>
    <cellStyle name="Input 13" xfId="625"/>
    <cellStyle name="Input 13 2" xfId="3682"/>
    <cellStyle name="Input 13 3" xfId="3683"/>
    <cellStyle name="Input 13 4" xfId="3684"/>
    <cellStyle name="Input 13 5" xfId="3681"/>
    <cellStyle name="Input 14" xfId="3685"/>
    <cellStyle name="Input 14 2" xfId="3686"/>
    <cellStyle name="Input 14 3" xfId="3687"/>
    <cellStyle name="Input 14 4" xfId="3688"/>
    <cellStyle name="Input 15" xfId="3689"/>
    <cellStyle name="Input 15 2" xfId="3690"/>
    <cellStyle name="Input 15 3" xfId="3691"/>
    <cellStyle name="Input 15 4" xfId="3692"/>
    <cellStyle name="Input 16" xfId="3693"/>
    <cellStyle name="Input 17" xfId="3694"/>
    <cellStyle name="Input 18" xfId="3695"/>
    <cellStyle name="Input 19" xfId="3696"/>
    <cellStyle name="Input 2" xfId="421"/>
    <cellStyle name="Input 2 10" xfId="3698"/>
    <cellStyle name="Input 2 10 2" xfId="3699"/>
    <cellStyle name="Input 2 11" xfId="3700"/>
    <cellStyle name="Input 2 12" xfId="3701"/>
    <cellStyle name="Input 2 13" xfId="3702"/>
    <cellStyle name="Input 2 14" xfId="3703"/>
    <cellStyle name="Input 2 15" xfId="3704"/>
    <cellStyle name="Input 2 16" xfId="3697"/>
    <cellStyle name="Input 2 2" xfId="3705"/>
    <cellStyle name="Input 2 3" xfId="3706"/>
    <cellStyle name="Input 2 4" xfId="3707"/>
    <cellStyle name="Input 2 5" xfId="3708"/>
    <cellStyle name="Input 2 6" xfId="3709"/>
    <cellStyle name="Input 2 7" xfId="3710"/>
    <cellStyle name="Input 2 8" xfId="3711"/>
    <cellStyle name="Input 2 9" xfId="3712"/>
    <cellStyle name="Input 20" xfId="3713"/>
    <cellStyle name="Input 21" xfId="3714"/>
    <cellStyle name="Input 22" xfId="3715"/>
    <cellStyle name="Input 3" xfId="488"/>
    <cellStyle name="Input 3 10" xfId="3716"/>
    <cellStyle name="Input 3 2" xfId="3717"/>
    <cellStyle name="Input 3 3" xfId="3718"/>
    <cellStyle name="Input 3 4" xfId="3719"/>
    <cellStyle name="Input 3 5" xfId="3720"/>
    <cellStyle name="Input 3 6" xfId="3721"/>
    <cellStyle name="Input 3 7" xfId="3722"/>
    <cellStyle name="Input 3 8" xfId="3723"/>
    <cellStyle name="Input 3 9" xfId="3724"/>
    <cellStyle name="Input 4" xfId="650"/>
    <cellStyle name="Input 4 2" xfId="3726"/>
    <cellStyle name="Input 4 3" xfId="3727"/>
    <cellStyle name="Input 4 4" xfId="3725"/>
    <cellStyle name="Input 5" xfId="659"/>
    <cellStyle name="Input 5 2" xfId="3729"/>
    <cellStyle name="Input 5 3" xfId="3730"/>
    <cellStyle name="Input 5 4" xfId="3728"/>
    <cellStyle name="Input 6" xfId="634"/>
    <cellStyle name="Input 6 2" xfId="3732"/>
    <cellStyle name="Input 6 3" xfId="3733"/>
    <cellStyle name="Input 6 4" xfId="3731"/>
    <cellStyle name="Input 7" xfId="645"/>
    <cellStyle name="Input 7 2" xfId="3735"/>
    <cellStyle name="Input 7 3" xfId="3736"/>
    <cellStyle name="Input 7 4" xfId="3734"/>
    <cellStyle name="Input 8" xfId="422"/>
    <cellStyle name="Input 8 2" xfId="3738"/>
    <cellStyle name="Input 8 3" xfId="3739"/>
    <cellStyle name="Input 8 4" xfId="3737"/>
    <cellStyle name="Input 9" xfId="653"/>
    <cellStyle name="Input 9 2" xfId="3741"/>
    <cellStyle name="Input 9 3" xfId="3742"/>
    <cellStyle name="Input 9 4" xfId="3743"/>
    <cellStyle name="Input 9 5" xfId="3744"/>
    <cellStyle name="Input 9 6" xfId="3740"/>
    <cellStyle name="Input Cells" xfId="3745"/>
    <cellStyle name="Input Col_Heading" xfId="3746"/>
    <cellStyle name="Input Currency" xfId="3747"/>
    <cellStyle name="Input Decimal 0" xfId="3748"/>
    <cellStyle name="Input Decimal 0 10" xfId="3749"/>
    <cellStyle name="Input Decimal 0 11" xfId="3750"/>
    <cellStyle name="Input Decimal 0 12" xfId="3751"/>
    <cellStyle name="Input Decimal 0 2" xfId="3752"/>
    <cellStyle name="Input Decimal 0 3" xfId="3753"/>
    <cellStyle name="Input Decimal 0 4" xfId="3754"/>
    <cellStyle name="Input Decimal 0 5" xfId="3755"/>
    <cellStyle name="Input Decimal 0 6" xfId="3756"/>
    <cellStyle name="Input Decimal 0 7" xfId="3757"/>
    <cellStyle name="Input Decimal 0 8" xfId="3758"/>
    <cellStyle name="Input Decimal 0 9" xfId="3759"/>
    <cellStyle name="Input Decimal 0,00" xfId="3760"/>
    <cellStyle name="Input Decimal 0,00 10" xfId="3761"/>
    <cellStyle name="Input Decimal 0,00 11" xfId="3762"/>
    <cellStyle name="Input Decimal 0,00 12" xfId="3763"/>
    <cellStyle name="Input Decimal 0,00 2" xfId="3764"/>
    <cellStyle name="Input Decimal 0,00 3" xfId="3765"/>
    <cellStyle name="Input Decimal 0,00 4" xfId="3766"/>
    <cellStyle name="Input Decimal 0,00 5" xfId="3767"/>
    <cellStyle name="Input Decimal 0,00 6" xfId="3768"/>
    <cellStyle name="Input Decimal 0,00 7" xfId="3769"/>
    <cellStyle name="Input Decimal 0,00 8" xfId="3770"/>
    <cellStyle name="Input Decimal 0,00 9" xfId="3771"/>
    <cellStyle name="Input Decimal 0_7.2.3. CAPEX" xfId="3772"/>
    <cellStyle name="Input Normal" xfId="3773"/>
    <cellStyle name="Input Percent" xfId="3774"/>
    <cellStyle name="Input Percent 0" xfId="3775"/>
    <cellStyle name="Input Percent 0 10" xfId="3776"/>
    <cellStyle name="Input Percent 0 11" xfId="3777"/>
    <cellStyle name="Input Percent 0 12" xfId="3778"/>
    <cellStyle name="Input Percent 0 2" xfId="3779"/>
    <cellStyle name="Input Percent 0 3" xfId="3780"/>
    <cellStyle name="Input Percent 0 4" xfId="3781"/>
    <cellStyle name="Input Percent 0 5" xfId="3782"/>
    <cellStyle name="Input Percent 0 6" xfId="3783"/>
    <cellStyle name="Input Percent 0 7" xfId="3784"/>
    <cellStyle name="Input Percent 0 8" xfId="3785"/>
    <cellStyle name="Input Percent 0 9" xfId="3786"/>
    <cellStyle name="Input Percent 0,00" xfId="3787"/>
    <cellStyle name="Input Percent 0,00 10" xfId="3788"/>
    <cellStyle name="Input Percent 0,00 11" xfId="3789"/>
    <cellStyle name="Input Percent 0,00 12" xfId="3790"/>
    <cellStyle name="Input Percent 0,00 2" xfId="3791"/>
    <cellStyle name="Input Percent 0,00 3" xfId="3792"/>
    <cellStyle name="Input Percent 0,00 4" xfId="3793"/>
    <cellStyle name="Input Percent 0,00 5" xfId="3794"/>
    <cellStyle name="Input Percent 0,00 6" xfId="3795"/>
    <cellStyle name="Input Percent 0,00 7" xfId="3796"/>
    <cellStyle name="Input Percent 0,00 8" xfId="3797"/>
    <cellStyle name="Input Percent 0,00 9" xfId="3798"/>
    <cellStyle name="Input Percent 0_7.2.3. CAPEX" xfId="3799"/>
    <cellStyle name="Input Titles" xfId="3800"/>
    <cellStyle name="Input%" xfId="9484"/>
    <cellStyle name="InputBlueFont" xfId="112"/>
    <cellStyle name="InputDate" xfId="9485"/>
    <cellStyle name="InputDecimal" xfId="9486"/>
    <cellStyle name="InputDecimal 2" xfId="14129"/>
    <cellStyle name="InputDescriptions" xfId="9487"/>
    <cellStyle name="InputDetailDate" xfId="3801"/>
    <cellStyle name="InputDetailInt" xfId="3802"/>
    <cellStyle name="InputDetailPct" xfId="3803"/>
    <cellStyle name="InputHeading1" xfId="9488"/>
    <cellStyle name="InputLockedInt" xfId="3804"/>
    <cellStyle name="InputLockedPct" xfId="3805"/>
    <cellStyle name="InputValue" xfId="9489"/>
    <cellStyle name="Integer" xfId="113"/>
    <cellStyle name="Integer 2" xfId="531"/>
    <cellStyle name="Invisible" xfId="3806"/>
    <cellStyle name="Italic" xfId="532"/>
    <cellStyle name="Item" xfId="9490"/>
    <cellStyle name="ItemTypeClass" xfId="9491"/>
    <cellStyle name="Kilo" xfId="3807"/>
    <cellStyle name="kopregel" xfId="3808"/>
    <cellStyle name="KP_Normal" xfId="114"/>
    <cellStyle name="KPMG Heading 1" xfId="533"/>
    <cellStyle name="KPMG Heading 2" xfId="534"/>
    <cellStyle name="KPMG Heading 3" xfId="535"/>
    <cellStyle name="KPMG Heading 4" xfId="536"/>
    <cellStyle name="KPMG Normal" xfId="537"/>
    <cellStyle name="KPMG Normal Text" xfId="538"/>
    <cellStyle name="l]_x000d__x000a_Path=M:\RIOCEN01_x000d__x000a_Name=Carlos Emilio Brousse_x000d__x000a_DDEApps=nsf,nsg,nsh,ntf,ns2,ors,org_x000d__x000a_SmartIcons=Todos_x000d__x000a_" xfId="539"/>
    <cellStyle name="LB Style" xfId="3809"/>
    <cellStyle name="Lien hypertexte_PERSONAL" xfId="3810"/>
    <cellStyle name="LineItemPrompt" xfId="3811"/>
    <cellStyle name="LineItemValue" xfId="3812"/>
    <cellStyle name="Link Currency (0)" xfId="3813"/>
    <cellStyle name="Link Currency (0) 2" xfId="3814"/>
    <cellStyle name="Link Currency (2)" xfId="3815"/>
    <cellStyle name="Link Currency (2) 2" xfId="3816"/>
    <cellStyle name="Link Units (0)" xfId="3817"/>
    <cellStyle name="Link Units (0) 2" xfId="3818"/>
    <cellStyle name="Link Units (1)" xfId="3819"/>
    <cellStyle name="Link Units (1) 2" xfId="3820"/>
    <cellStyle name="Link Units (2)" xfId="3821"/>
    <cellStyle name="Link Units (2) 2" xfId="3822"/>
    <cellStyle name="Linked" xfId="3823"/>
    <cellStyle name="Linked Cell" xfId="115" builtinId="24" customBuiltin="1"/>
    <cellStyle name="Linked Cell 10" xfId="3824"/>
    <cellStyle name="Linked Cell 10 2" xfId="3825"/>
    <cellStyle name="Linked Cell 10 3" xfId="3826"/>
    <cellStyle name="Linked Cell 11" xfId="3827"/>
    <cellStyle name="Linked Cell 11 2" xfId="3828"/>
    <cellStyle name="Linked Cell 11 3" xfId="3829"/>
    <cellStyle name="Linked Cell 12" xfId="3830"/>
    <cellStyle name="Linked Cell 12 2" xfId="3831"/>
    <cellStyle name="Linked Cell 12 3" xfId="3832"/>
    <cellStyle name="Linked Cell 13" xfId="3833"/>
    <cellStyle name="Linked Cell 13 2" xfId="3834"/>
    <cellStyle name="Linked Cell 13 3" xfId="3835"/>
    <cellStyle name="Linked Cell 14" xfId="3836"/>
    <cellStyle name="Linked Cell 14 2" xfId="3837"/>
    <cellStyle name="Linked Cell 14 3" xfId="3838"/>
    <cellStyle name="Linked Cell 15" xfId="3839"/>
    <cellStyle name="Linked Cell 15 2" xfId="3840"/>
    <cellStyle name="Linked Cell 15 3" xfId="3841"/>
    <cellStyle name="Linked Cell 16" xfId="3842"/>
    <cellStyle name="Linked Cell 17" xfId="3843"/>
    <cellStyle name="Linked Cell 18" xfId="3844"/>
    <cellStyle name="Linked Cell 19" xfId="3845"/>
    <cellStyle name="Linked Cell 2" xfId="423"/>
    <cellStyle name="Linked Cell 2 10" xfId="3847"/>
    <cellStyle name="Linked Cell 2 11" xfId="3848"/>
    <cellStyle name="Linked Cell 2 12" xfId="3849"/>
    <cellStyle name="Linked Cell 2 13" xfId="3850"/>
    <cellStyle name="Linked Cell 2 14" xfId="3851"/>
    <cellStyle name="Linked Cell 2 15" xfId="3852"/>
    <cellStyle name="Linked Cell 2 16" xfId="3846"/>
    <cellStyle name="Linked Cell 2 2" xfId="3853"/>
    <cellStyle name="Linked Cell 2 3" xfId="3854"/>
    <cellStyle name="Linked Cell 2 4" xfId="3855"/>
    <cellStyle name="Linked Cell 2 5" xfId="3856"/>
    <cellStyle name="Linked Cell 2 6" xfId="3857"/>
    <cellStyle name="Linked Cell 2 7" xfId="3858"/>
    <cellStyle name="Linked Cell 2 8" xfId="3859"/>
    <cellStyle name="Linked Cell 2 9" xfId="3860"/>
    <cellStyle name="Linked Cell 3" xfId="3861"/>
    <cellStyle name="Linked Cell 3 2" xfId="3862"/>
    <cellStyle name="Linked Cell 3 3" xfId="3863"/>
    <cellStyle name="Linked Cell 3 4" xfId="3864"/>
    <cellStyle name="Linked Cell 3 5" xfId="3865"/>
    <cellStyle name="Linked Cell 3 5 2" xfId="3866"/>
    <cellStyle name="Linked Cell 3 6" xfId="3867"/>
    <cellStyle name="Linked Cell 3 7" xfId="3868"/>
    <cellStyle name="Linked Cell 3 8" xfId="3869"/>
    <cellStyle name="Linked Cell 3 9" xfId="3870"/>
    <cellStyle name="Linked Cell 4" xfId="3871"/>
    <cellStyle name="Linked Cell 4 2" xfId="3872"/>
    <cellStyle name="Linked Cell 5" xfId="3873"/>
    <cellStyle name="Linked Cell 5 2" xfId="3874"/>
    <cellStyle name="Linked Cell 6" xfId="3875"/>
    <cellStyle name="Linked Cell 6 2" xfId="3876"/>
    <cellStyle name="Linked Cell 7" xfId="3877"/>
    <cellStyle name="Linked Cell 8" xfId="3878"/>
    <cellStyle name="Linked Cell 9" xfId="3879"/>
    <cellStyle name="Linked Cell 9 2" xfId="3880"/>
    <cellStyle name="Linked Cell 9 2 2" xfId="3881"/>
    <cellStyle name="Linked Cell 9 3" xfId="3882"/>
    <cellStyle name="Linked Cell 9 4" xfId="3883"/>
    <cellStyle name="Linked Cell 9 5" xfId="3884"/>
    <cellStyle name="Linked Cells" xfId="3885"/>
    <cellStyle name="LTM Cell Column Heading" xfId="3886"/>
    <cellStyle name="m_AA - BenefitsBonus " xfId="333"/>
    <cellStyle name="Margins" xfId="540"/>
    <cellStyle name="Mega" xfId="3887"/>
    <cellStyle name="MetricLabel" xfId="334"/>
    <cellStyle name="MetricLabel 2" xfId="541"/>
    <cellStyle name="MetricLabelBlue" xfId="335"/>
    <cellStyle name="MetricLabelBlue 2" xfId="542"/>
    <cellStyle name="MetricValue" xfId="336"/>
    <cellStyle name="MetricValue 2" xfId="543"/>
    <cellStyle name="middle" xfId="544"/>
    <cellStyle name="middle-title" xfId="545"/>
    <cellStyle name="Millares [0]_pldt" xfId="3888"/>
    <cellStyle name="Millares_pldt" xfId="3889"/>
    <cellStyle name="Milliers [0]_!!!GO" xfId="3890"/>
    <cellStyle name="Milliers_!!!GO" xfId="3891"/>
    <cellStyle name="mm/dd/yy" xfId="546"/>
    <cellStyle name="Mon_Year" xfId="3892"/>
    <cellStyle name="Moneda [0]_pldt" xfId="3893"/>
    <cellStyle name="Moneda_Coste Fidelizacion" xfId="3894"/>
    <cellStyle name="Monétaire [0]_!!!GO" xfId="3895"/>
    <cellStyle name="Monétaire_!!!GO" xfId="3896"/>
    <cellStyle name="MonthYears" xfId="116"/>
    <cellStyle name="MonthYears 2" xfId="176"/>
    <cellStyle name="MS Sans Serif" xfId="3897"/>
    <cellStyle name="MS_English" xfId="3898"/>
    <cellStyle name="Multiple" xfId="547"/>
    <cellStyle name="Multiple 2" xfId="3899"/>
    <cellStyle name="Multiple 3" xfId="9492"/>
    <cellStyle name="Multiple Cell Column Heading" xfId="3900"/>
    <cellStyle name="NA is zero" xfId="3901"/>
    <cellStyle name="Neutral" xfId="117" builtinId="28" customBuiltin="1"/>
    <cellStyle name="Neutral 10" xfId="3902"/>
    <cellStyle name="Neutral 10 2" xfId="3903"/>
    <cellStyle name="Neutral 10 3" xfId="3904"/>
    <cellStyle name="Neutral 11" xfId="3905"/>
    <cellStyle name="Neutral 11 2" xfId="3906"/>
    <cellStyle name="Neutral 11 3" xfId="3907"/>
    <cellStyle name="Neutral 12" xfId="3908"/>
    <cellStyle name="Neutral 12 2" xfId="3909"/>
    <cellStyle name="Neutral 12 3" xfId="3910"/>
    <cellStyle name="Neutral 13" xfId="3911"/>
    <cellStyle name="Neutral 13 2" xfId="3912"/>
    <cellStyle name="Neutral 13 3" xfId="3913"/>
    <cellStyle name="Neutral 14" xfId="3914"/>
    <cellStyle name="Neutral 14 2" xfId="3915"/>
    <cellStyle name="Neutral 14 3" xfId="3916"/>
    <cellStyle name="Neutral 15" xfId="3917"/>
    <cellStyle name="Neutral 15 2" xfId="3918"/>
    <cellStyle name="Neutral 15 3" xfId="3919"/>
    <cellStyle name="Neutral 16" xfId="3920"/>
    <cellStyle name="Neutral 17" xfId="3921"/>
    <cellStyle name="Neutral 18" xfId="3922"/>
    <cellStyle name="Neutral 19" xfId="3923"/>
    <cellStyle name="Neutral 2" xfId="424"/>
    <cellStyle name="Neutral 2 10" xfId="3925"/>
    <cellStyle name="Neutral 2 11" xfId="3926"/>
    <cellStyle name="Neutral 2 12" xfId="3927"/>
    <cellStyle name="Neutral 2 13" xfId="3928"/>
    <cellStyle name="Neutral 2 14" xfId="3929"/>
    <cellStyle name="Neutral 2 15" xfId="3930"/>
    <cellStyle name="Neutral 2 16" xfId="3924"/>
    <cellStyle name="Neutral 2 2" xfId="3931"/>
    <cellStyle name="Neutral 2 3" xfId="3932"/>
    <cellStyle name="Neutral 2 4" xfId="3933"/>
    <cellStyle name="Neutral 2 5" xfId="3934"/>
    <cellStyle name="Neutral 2 6" xfId="3935"/>
    <cellStyle name="Neutral 2 7" xfId="3936"/>
    <cellStyle name="Neutral 2 8" xfId="3937"/>
    <cellStyle name="Neutral 2 9" xfId="3938"/>
    <cellStyle name="Neutral 20" xfId="3939"/>
    <cellStyle name="Neutral 3" xfId="3940"/>
    <cellStyle name="Neutral 3 2" xfId="3941"/>
    <cellStyle name="Neutral 3 3" xfId="3942"/>
    <cellStyle name="Neutral 3 4" xfId="3943"/>
    <cellStyle name="Neutral 3 5" xfId="3944"/>
    <cellStyle name="Neutral 3 5 2" xfId="3945"/>
    <cellStyle name="Neutral 3 6" xfId="3946"/>
    <cellStyle name="Neutral 3 7" xfId="3947"/>
    <cellStyle name="Neutral 3 8" xfId="3948"/>
    <cellStyle name="Neutral 3 9" xfId="3949"/>
    <cellStyle name="Neutral 4" xfId="3950"/>
    <cellStyle name="Neutral 4 2" xfId="3951"/>
    <cellStyle name="Neutral 5" xfId="3952"/>
    <cellStyle name="Neutral 5 2" xfId="3953"/>
    <cellStyle name="Neutral 6" xfId="3954"/>
    <cellStyle name="Neutral 6 2" xfId="3955"/>
    <cellStyle name="Neutral 7" xfId="3956"/>
    <cellStyle name="Neutral 8" xfId="3957"/>
    <cellStyle name="Neutral 9" xfId="3958"/>
    <cellStyle name="Neutral 9 2" xfId="3959"/>
    <cellStyle name="Neutral 9 2 2" xfId="3960"/>
    <cellStyle name="Neutral 9 3" xfId="3961"/>
    <cellStyle name="Neutral 9 4" xfId="3962"/>
    <cellStyle name="Neutral 9 5" xfId="3963"/>
    <cellStyle name="new style" xfId="3964"/>
    <cellStyle name="New Times Roman" xfId="3965"/>
    <cellStyle name="NewColumnHeaderNormal" xfId="3966"/>
    <cellStyle name="NewSectionHeaderNormal" xfId="3967"/>
    <cellStyle name="NewSectionHeaderNormal 2" xfId="3968"/>
    <cellStyle name="NewTitleNormal" xfId="3969"/>
    <cellStyle name="No Commas" xfId="626"/>
    <cellStyle name="no dec" xfId="118"/>
    <cellStyle name="nonmultiple" xfId="3970"/>
    <cellStyle name="NonPrint_Heading" xfId="3971"/>
    <cellStyle name="Norm੎੎" xfId="3972"/>
    <cellStyle name="Normal" xfId="0" builtinId="0"/>
    <cellStyle name="Normal - Style1" xfId="119"/>
    <cellStyle name="Normal - Style1 2" xfId="548"/>
    <cellStyle name="Normal - Style1 2 2" xfId="3974"/>
    <cellStyle name="Normal - Style1 3" xfId="3973"/>
    <cellStyle name="Normal - Style1 4" xfId="9493"/>
    <cellStyle name="Normal - Style2" xfId="3975"/>
    <cellStyle name="Normal - Style3" xfId="3976"/>
    <cellStyle name="Normal - Style4" xfId="3977"/>
    <cellStyle name="Normal - Style5" xfId="3978"/>
    <cellStyle name="Normal - Style6" xfId="3979"/>
    <cellStyle name="Normal - Style7" xfId="3980"/>
    <cellStyle name="Normal - Style8" xfId="3981"/>
    <cellStyle name="Normal [0]" xfId="3982"/>
    <cellStyle name="Normal [1]" xfId="3983"/>
    <cellStyle name="Normal [2]" xfId="3984"/>
    <cellStyle name="Normal [3]" xfId="3985"/>
    <cellStyle name="Normal 10" xfId="281"/>
    <cellStyle name="Normal 10 2" xfId="3986"/>
    <cellStyle name="Normal 11" xfId="372"/>
    <cellStyle name="Normal 11 2" xfId="3987"/>
    <cellStyle name="Normal 12" xfId="378"/>
    <cellStyle name="Normal 12 2" xfId="3989"/>
    <cellStyle name="Normal 12 3" xfId="3988"/>
    <cellStyle name="Normal 13" xfId="379"/>
    <cellStyle name="Normal 13 2" xfId="3991"/>
    <cellStyle name="Normal 13 3" xfId="3990"/>
    <cellStyle name="Normal 14" xfId="380"/>
    <cellStyle name="Normal 14 2" xfId="3993"/>
    <cellStyle name="Normal 14 3" xfId="3994"/>
    <cellStyle name="Normal 14 4" xfId="3995"/>
    <cellStyle name="Normal 14 5" xfId="3992"/>
    <cellStyle name="Normal 15" xfId="629"/>
    <cellStyle name="Normal 15 2" xfId="3997"/>
    <cellStyle name="Normal 15 3" xfId="3998"/>
    <cellStyle name="Normal 15 4" xfId="3999"/>
    <cellStyle name="Normal 15 5" xfId="3996"/>
    <cellStyle name="Normal 16" xfId="337"/>
    <cellStyle name="Normal 16 2" xfId="4000"/>
    <cellStyle name="Normal 17" xfId="663"/>
    <cellStyle name="Normal 17 2" xfId="4001"/>
    <cellStyle name="Normal 18" xfId="665"/>
    <cellStyle name="Normal 18 2" xfId="4003"/>
    <cellStyle name="Normal 18 3" xfId="4002"/>
    <cellStyle name="Normal 19" xfId="667"/>
    <cellStyle name="Normal 19 2" xfId="4004"/>
    <cellStyle name="Normal 2" xfId="120"/>
    <cellStyle name="Normal 2 10" xfId="4005"/>
    <cellStyle name="Normal 2 10 2" xfId="4006"/>
    <cellStyle name="Normal 2 10 2 2" xfId="4007"/>
    <cellStyle name="Normal 2 10 3" xfId="4008"/>
    <cellStyle name="Normal 2 10 4" xfId="4009"/>
    <cellStyle name="Normal 2 10 5" xfId="4010"/>
    <cellStyle name="Normal 2 11" xfId="4011"/>
    <cellStyle name="Normal 2 11 2" xfId="4012"/>
    <cellStyle name="Normal 2 11 3" xfId="4013"/>
    <cellStyle name="Normal 2 12" xfId="4014"/>
    <cellStyle name="Normal 2 12 2" xfId="4015"/>
    <cellStyle name="Normal 2 12 3" xfId="4016"/>
    <cellStyle name="Normal 2 13" xfId="4017"/>
    <cellStyle name="Normal 2 13 2" xfId="4018"/>
    <cellStyle name="Normal 2 14" xfId="4019"/>
    <cellStyle name="Normal 2 14 2" xfId="4020"/>
    <cellStyle name="Normal 2 15" xfId="4021"/>
    <cellStyle name="Normal 2 15 2" xfId="4022"/>
    <cellStyle name="Normal 2 16" xfId="4023"/>
    <cellStyle name="Normal 2 17" xfId="4024"/>
    <cellStyle name="Normal 2 18" xfId="4025"/>
    <cellStyle name="Normal 2 19" xfId="4026"/>
    <cellStyle name="Normal 2 2" xfId="177"/>
    <cellStyle name="Normal 2 2 2" xfId="4027"/>
    <cellStyle name="Normal 2 2 2 2" xfId="4028"/>
    <cellStyle name="Normal 2 2 3" xfId="4029"/>
    <cellStyle name="Normal 2 2 3 2" xfId="4030"/>
    <cellStyle name="Normal 2 2 4" xfId="4031"/>
    <cellStyle name="Normal 2 2 5" xfId="9495"/>
    <cellStyle name="Normal 2 20" xfId="273"/>
    <cellStyle name="Normal 2 21" xfId="9494"/>
    <cellStyle name="Normal 2 3" xfId="338"/>
    <cellStyle name="Normal 2 3 2" xfId="339"/>
    <cellStyle name="Normal 2 3 2 2" xfId="4034"/>
    <cellStyle name="Normal 2 3 2 3" xfId="4033"/>
    <cellStyle name="Normal 2 3 3" xfId="4035"/>
    <cellStyle name="Normal 2 3 4" xfId="4036"/>
    <cellStyle name="Normal 2 3 5" xfId="4037"/>
    <cellStyle name="Normal 2 3 6" xfId="4038"/>
    <cellStyle name="Normal 2 3 7" xfId="4039"/>
    <cellStyle name="Normal 2 3 8" xfId="4032"/>
    <cellStyle name="Normal 2 4" xfId="4040"/>
    <cellStyle name="Normal 2 4 2" xfId="4041"/>
    <cellStyle name="Normal 2 4 3" xfId="4042"/>
    <cellStyle name="Normal 2 5" xfId="4043"/>
    <cellStyle name="Normal 2 5 2" xfId="4044"/>
    <cellStyle name="Normal 2 5 3" xfId="4045"/>
    <cellStyle name="Normal 2 6" xfId="4046"/>
    <cellStyle name="Normal 2 6 2" xfId="4047"/>
    <cellStyle name="Normal 2 6 3" xfId="4048"/>
    <cellStyle name="Normal 2 7" xfId="4049"/>
    <cellStyle name="Normal 2 7 2" xfId="4050"/>
    <cellStyle name="Normal 2 7 3" xfId="4051"/>
    <cellStyle name="Normal 2 8" xfId="4052"/>
    <cellStyle name="Normal 2 8 2" xfId="4053"/>
    <cellStyle name="Normal 2 8 3" xfId="4054"/>
    <cellStyle name="Normal 2 9" xfId="4055"/>
    <cellStyle name="Normal 2 9 2" xfId="4056"/>
    <cellStyle name="Normal 2 9 2 2" xfId="4057"/>
    <cellStyle name="Normal 2 9 3" xfId="4058"/>
    <cellStyle name="Normal 2 9 4" xfId="4059"/>
    <cellStyle name="Normal 2 9 5" xfId="4060"/>
    <cellStyle name="Normal 20" xfId="668"/>
    <cellStyle name="Normal 20 2" xfId="4062"/>
    <cellStyle name="Normal 20 3" xfId="4061"/>
    <cellStyle name="Normal 21" xfId="669"/>
    <cellStyle name="Normal 21 2" xfId="4063"/>
    <cellStyle name="Normal 22" xfId="670"/>
    <cellStyle name="Normal 22 2" xfId="4064"/>
    <cellStyle name="Normal 23" xfId="671"/>
    <cellStyle name="Normal 23 2" xfId="4065"/>
    <cellStyle name="Normal 24" xfId="672"/>
    <cellStyle name="Normal 24 2" xfId="4066"/>
    <cellStyle name="Normal 25" xfId="673"/>
    <cellStyle name="Normal 25 2" xfId="4068"/>
    <cellStyle name="Normal 25 3" xfId="4891"/>
    <cellStyle name="Normal 25 4" xfId="4067"/>
    <cellStyle name="Normal 26" xfId="674"/>
    <cellStyle name="Normal 26 2" xfId="4069"/>
    <cellStyle name="Normal 27" xfId="677"/>
    <cellStyle name="Normal 27 2" xfId="5105"/>
    <cellStyle name="Normal 27 2 2" xfId="5864"/>
    <cellStyle name="Normal 27 2 2 2" xfId="7381"/>
    <cellStyle name="Normal 27 2 2 2 2" xfId="12236"/>
    <cellStyle name="Normal 27 2 2 3" xfId="8902"/>
    <cellStyle name="Normal 27 2 2 3 2" xfId="13755"/>
    <cellStyle name="Normal 27 2 2 4" xfId="10720"/>
    <cellStyle name="Normal 27 2 3" xfId="6623"/>
    <cellStyle name="Normal 27 2 3 2" xfId="11478"/>
    <cellStyle name="Normal 27 2 4" xfId="8144"/>
    <cellStyle name="Normal 27 2 4 2" xfId="12997"/>
    <cellStyle name="Normal 27 2 5" xfId="9962"/>
    <cellStyle name="Normal 27 3" xfId="5486"/>
    <cellStyle name="Normal 27 3 2" xfId="7003"/>
    <cellStyle name="Normal 27 3 2 2" xfId="11858"/>
    <cellStyle name="Normal 27 3 3" xfId="8524"/>
    <cellStyle name="Normal 27 3 3 2" xfId="13377"/>
    <cellStyle name="Normal 27 3 4" xfId="10342"/>
    <cellStyle name="Normal 27 4" xfId="6245"/>
    <cellStyle name="Normal 27 4 2" xfId="11100"/>
    <cellStyle name="Normal 27 5" xfId="7764"/>
    <cellStyle name="Normal 27 5 2" xfId="12617"/>
    <cellStyle name="Normal 27 6" xfId="9581"/>
    <cellStyle name="Normal 28" xfId="676"/>
    <cellStyle name="Normal 28 2" xfId="5104"/>
    <cellStyle name="Normal 28 2 2" xfId="5863"/>
    <cellStyle name="Normal 28 2 2 2" xfId="7380"/>
    <cellStyle name="Normal 28 2 2 2 2" xfId="12235"/>
    <cellStyle name="Normal 28 2 2 3" xfId="8901"/>
    <cellStyle name="Normal 28 2 2 3 2" xfId="13754"/>
    <cellStyle name="Normal 28 2 2 4" xfId="10719"/>
    <cellStyle name="Normal 28 2 3" xfId="6622"/>
    <cellStyle name="Normal 28 2 3 2" xfId="11477"/>
    <cellStyle name="Normal 28 2 4" xfId="8143"/>
    <cellStyle name="Normal 28 2 4 2" xfId="12996"/>
    <cellStyle name="Normal 28 2 5" xfId="9961"/>
    <cellStyle name="Normal 28 3" xfId="5485"/>
    <cellStyle name="Normal 28 3 2" xfId="7002"/>
    <cellStyle name="Normal 28 3 2 2" xfId="11857"/>
    <cellStyle name="Normal 28 3 3" xfId="8523"/>
    <cellStyle name="Normal 28 3 3 2" xfId="13376"/>
    <cellStyle name="Normal 28 3 4" xfId="10341"/>
    <cellStyle name="Normal 28 4" xfId="6244"/>
    <cellStyle name="Normal 28 4 2" xfId="11099"/>
    <cellStyle name="Normal 28 5" xfId="7763"/>
    <cellStyle name="Normal 28 5 2" xfId="12616"/>
    <cellStyle name="Normal 28 6" xfId="9580"/>
    <cellStyle name="Normal 29" xfId="678"/>
    <cellStyle name="Normal 3" xfId="121"/>
    <cellStyle name="Normal 3 2" xfId="178"/>
    <cellStyle name="Normal 3 2 2" xfId="340"/>
    <cellStyle name="Normal 3 2 2 2" xfId="4071"/>
    <cellStyle name="Normal 3 2 2 3" xfId="4070"/>
    <cellStyle name="Normal 3 2 3" xfId="4072"/>
    <cellStyle name="Normal 3 2 4" xfId="4073"/>
    <cellStyle name="Normal 3 3" xfId="435"/>
    <cellStyle name="Normal 3 4" xfId="675"/>
    <cellStyle name="Normal 3 4 2" xfId="4074"/>
    <cellStyle name="Normal 3 5" xfId="9496"/>
    <cellStyle name="Normal 3_Display" xfId="4075"/>
    <cellStyle name="Normal 30" xfId="187"/>
    <cellStyle name="Normal 31" xfId="278"/>
    <cellStyle name="Normal 31 2" xfId="5092"/>
    <cellStyle name="Normal 31 2 2" xfId="5856"/>
    <cellStyle name="Normal 31 2 2 2" xfId="7373"/>
    <cellStyle name="Normal 31 2 2 2 2" xfId="12228"/>
    <cellStyle name="Normal 31 2 2 3" xfId="8894"/>
    <cellStyle name="Normal 31 2 2 3 2" xfId="13747"/>
    <cellStyle name="Normal 31 2 2 4" xfId="10712"/>
    <cellStyle name="Normal 31 2 3" xfId="6615"/>
    <cellStyle name="Normal 31 2 3 2" xfId="11470"/>
    <cellStyle name="Normal 31 2 4" xfId="8136"/>
    <cellStyle name="Normal 31 2 4 2" xfId="12989"/>
    <cellStyle name="Normal 31 2 5" xfId="9954"/>
    <cellStyle name="Normal 31 3" xfId="5478"/>
    <cellStyle name="Normal 31 3 2" xfId="6995"/>
    <cellStyle name="Normal 31 3 2 2" xfId="11850"/>
    <cellStyle name="Normal 31 3 3" xfId="8516"/>
    <cellStyle name="Normal 31 3 3 2" xfId="13369"/>
    <cellStyle name="Normal 31 3 4" xfId="10334"/>
    <cellStyle name="Normal 31 4" xfId="6237"/>
    <cellStyle name="Normal 31 4 2" xfId="11092"/>
    <cellStyle name="Normal 31 5" xfId="7755"/>
    <cellStyle name="Normal 31 5 2" xfId="12609"/>
    <cellStyle name="Normal 31 6" xfId="9573"/>
    <cellStyle name="Normal 32" xfId="5075"/>
    <cellStyle name="Normal 32 2" xfId="5474"/>
    <cellStyle name="Normal 32 2 2" xfId="6233"/>
    <cellStyle name="Normal 32 2 2 2" xfId="7750"/>
    <cellStyle name="Normal 32 2 2 2 2" xfId="12605"/>
    <cellStyle name="Normal 32 2 2 3" xfId="9271"/>
    <cellStyle name="Normal 32 2 2 3 2" xfId="14124"/>
    <cellStyle name="Normal 32 2 2 4" xfId="11089"/>
    <cellStyle name="Normal 32 2 3" xfId="6992"/>
    <cellStyle name="Normal 32 2 3 2" xfId="11847"/>
    <cellStyle name="Normal 32 2 4" xfId="8513"/>
    <cellStyle name="Normal 32 2 4 2" xfId="13366"/>
    <cellStyle name="Normal 32 2 5" xfId="10331"/>
    <cellStyle name="Normal 32 3" xfId="5854"/>
    <cellStyle name="Normal 32 3 2" xfId="7371"/>
    <cellStyle name="Normal 32 3 2 2" xfId="12226"/>
    <cellStyle name="Normal 32 3 3" xfId="8892"/>
    <cellStyle name="Normal 32 3 3 2" xfId="13745"/>
    <cellStyle name="Normal 32 3 4" xfId="10710"/>
    <cellStyle name="Normal 32 4" xfId="6613"/>
    <cellStyle name="Normal 32 4 2" xfId="11468"/>
    <cellStyle name="Normal 32 5" xfId="8134"/>
    <cellStyle name="Normal 32 5 2" xfId="12987"/>
    <cellStyle name="Normal 32 6" xfId="9952"/>
    <cellStyle name="Normal 33" xfId="5091"/>
    <cellStyle name="Normal 34" xfId="5101"/>
    <cellStyle name="Normal 35" xfId="5477"/>
    <cellStyle name="Normal 36" xfId="6236"/>
    <cellStyle name="Normal 37" xfId="7753"/>
    <cellStyle name="Normal 38" xfId="7760"/>
    <cellStyle name="Normal 39" xfId="9275"/>
    <cellStyle name="Normal 4" xfId="122"/>
    <cellStyle name="Normal 4 10" xfId="4076"/>
    <cellStyle name="Normal 4 11" xfId="9497"/>
    <cellStyle name="Normal 4 11 2" xfId="14130"/>
    <cellStyle name="Normal 4 2" xfId="179"/>
    <cellStyle name="Normal 4 2 2" xfId="341"/>
    <cellStyle name="Normal 4 2 2 2" xfId="5094"/>
    <cellStyle name="Normal 4 2 2 2 2" xfId="5858"/>
    <cellStyle name="Normal 4 2 2 2 2 2" xfId="7375"/>
    <cellStyle name="Normal 4 2 2 2 2 2 2" xfId="12230"/>
    <cellStyle name="Normal 4 2 2 2 2 3" xfId="8896"/>
    <cellStyle name="Normal 4 2 2 2 2 3 2" xfId="13749"/>
    <cellStyle name="Normal 4 2 2 2 2 4" xfId="10714"/>
    <cellStyle name="Normal 4 2 2 2 3" xfId="6617"/>
    <cellStyle name="Normal 4 2 2 2 3 2" xfId="11472"/>
    <cellStyle name="Normal 4 2 2 2 4" xfId="8138"/>
    <cellStyle name="Normal 4 2 2 2 4 2" xfId="12991"/>
    <cellStyle name="Normal 4 2 2 2 5" xfId="9956"/>
    <cellStyle name="Normal 4 2 2 3" xfId="5480"/>
    <cellStyle name="Normal 4 2 2 3 2" xfId="6997"/>
    <cellStyle name="Normal 4 2 2 3 2 2" xfId="11852"/>
    <cellStyle name="Normal 4 2 2 3 3" xfId="8518"/>
    <cellStyle name="Normal 4 2 2 3 3 2" xfId="13371"/>
    <cellStyle name="Normal 4 2 2 3 4" xfId="10336"/>
    <cellStyle name="Normal 4 2 2 4" xfId="6239"/>
    <cellStyle name="Normal 4 2 2 4 2" xfId="11094"/>
    <cellStyle name="Normal 4 2 2 5" xfId="7757"/>
    <cellStyle name="Normal 4 2 2 5 2" xfId="12611"/>
    <cellStyle name="Normal 4 2 2 6" xfId="9575"/>
    <cellStyle name="Normal 4 2 3" xfId="4077"/>
    <cellStyle name="Normal 4 3" xfId="279"/>
    <cellStyle name="Normal 4 3 2" xfId="4078"/>
    <cellStyle name="Normal 4 4" xfId="4079"/>
    <cellStyle name="Normal 4 5" xfId="4080"/>
    <cellStyle name="Normal 4 5 2" xfId="4081"/>
    <cellStyle name="Normal 4 6" xfId="4082"/>
    <cellStyle name="Normal 4 7" xfId="4083"/>
    <cellStyle name="Normal 4 8" xfId="4084"/>
    <cellStyle name="Normal 4 9" xfId="4085"/>
    <cellStyle name="Normal 4_Display" xfId="4086"/>
    <cellStyle name="Normal 40" xfId="9276"/>
    <cellStyle name="Normal 41" xfId="9538"/>
    <cellStyle name="Normal 42" xfId="9565"/>
    <cellStyle name="Normal 43" xfId="9567"/>
    <cellStyle name="Normal 44" xfId="9569"/>
    <cellStyle name="Normal 45" xfId="9571"/>
    <cellStyle name="Normal 46" xfId="9572"/>
    <cellStyle name="Normal 47" xfId="14134"/>
    <cellStyle name="Normal 48" xfId="14136"/>
    <cellStyle name="Normal 49" xfId="9583"/>
    <cellStyle name="Normal 5" xfId="123"/>
    <cellStyle name="Normal 5 10" xfId="9498"/>
    <cellStyle name="Normal 5 10 2" xfId="14131"/>
    <cellStyle name="Normal 5 2" xfId="180"/>
    <cellStyle name="Normal 5 2 2" xfId="343"/>
    <cellStyle name="Normal 5 3" xfId="342"/>
    <cellStyle name="Normal 5 4" xfId="4087"/>
    <cellStyle name="Normal 5 5" xfId="4088"/>
    <cellStyle name="Normal 5 5 2" xfId="4089"/>
    <cellStyle name="Normal 5 6" xfId="4090"/>
    <cellStyle name="Normal 5 7" xfId="4091"/>
    <cellStyle name="Normal 5 8" xfId="4092"/>
    <cellStyle name="Normal 5 9" xfId="4093"/>
    <cellStyle name="Normal 5_Display" xfId="4094"/>
    <cellStyle name="Normal 6" xfId="186"/>
    <cellStyle name="Normal 6 2" xfId="344"/>
    <cellStyle name="Normal 6 3" xfId="9499"/>
    <cellStyle name="Normal 6_Display" xfId="4095"/>
    <cellStyle name="Normal 7" xfId="345"/>
    <cellStyle name="Normal 7 2" xfId="346"/>
    <cellStyle name="Normal 7 2 2" xfId="4096"/>
    <cellStyle name="Normal 7 2 3" xfId="4097"/>
    <cellStyle name="Normal 7 3" xfId="4098"/>
    <cellStyle name="Normal 7 3 2" xfId="4099"/>
    <cellStyle name="Normal 7 3 2 2" xfId="4100"/>
    <cellStyle name="Normal 7 3 2 3" xfId="4101"/>
    <cellStyle name="Normal 7 3 3" xfId="4102"/>
    <cellStyle name="Normal 7 3 4" xfId="4103"/>
    <cellStyle name="Normal 7 4" xfId="4104"/>
    <cellStyle name="Normal 7 5" xfId="4105"/>
    <cellStyle name="Normal 7 5 2" xfId="4106"/>
    <cellStyle name="Normal 7 5 3" xfId="4107"/>
    <cellStyle name="Normal 7 6" xfId="4108"/>
    <cellStyle name="Normal 7 7" xfId="4109"/>
    <cellStyle name="Normal 7 8" xfId="9500"/>
    <cellStyle name="Normal 74" xfId="347"/>
    <cellStyle name="Normal 74 2" xfId="348"/>
    <cellStyle name="Normal 8" xfId="349"/>
    <cellStyle name="Normal 8 2" xfId="4111"/>
    <cellStyle name="Normal 8 3" xfId="4110"/>
    <cellStyle name="Normal 9" xfId="350"/>
    <cellStyle name="Normal 9 2" xfId="4112"/>
    <cellStyle name="Normal Bold" xfId="124"/>
    <cellStyle name="Normal Bold 2" xfId="549"/>
    <cellStyle name="Normal Bold 3" xfId="4113"/>
    <cellStyle name="Normal Bold 4" xfId="9501"/>
    <cellStyle name="Normal millions" xfId="4114"/>
    <cellStyle name="Normal no decimal" xfId="4115"/>
    <cellStyle name="Normal Pct" xfId="4116"/>
    <cellStyle name="Normal thousands" xfId="4117"/>
    <cellStyle name="Normal two decimals" xfId="4118"/>
    <cellStyle name="Normal_AMCCBLSH" xfId="125"/>
    <cellStyle name="Normál_Book2000" xfId="4119"/>
    <cellStyle name="Normal_Book3" xfId="126"/>
    <cellStyle name="Normal_DisclaimerSheet Samples" xfId="14137"/>
    <cellStyle name="Normal_intc(1).o" xfId="127"/>
    <cellStyle name="normal1" xfId="4120"/>
    <cellStyle name="NormalCenter" xfId="4121"/>
    <cellStyle name="NormalGB" xfId="4122"/>
    <cellStyle name="NormalItalic" xfId="550"/>
    <cellStyle name="NormalItalic 2" xfId="4123"/>
    <cellStyle name="NormalLeft" xfId="4124"/>
    <cellStyle name="NormalLeftBorderMed" xfId="4125"/>
    <cellStyle name="NormalTopBorder" xfId="4126"/>
    <cellStyle name="NormalTopBorderMed" xfId="4127"/>
    <cellStyle name="NormalUnderln" xfId="4128"/>
    <cellStyle name="NOT" xfId="4129"/>
    <cellStyle name="Note" xfId="128" builtinId="10" customBuiltin="1"/>
    <cellStyle name="Note 10" xfId="4130"/>
    <cellStyle name="Note 10 2" xfId="4131"/>
    <cellStyle name="Note 10 3" xfId="4132"/>
    <cellStyle name="Note 11" xfId="4133"/>
    <cellStyle name="Note 11 2" xfId="4134"/>
    <cellStyle name="Note 11 3" xfId="4135"/>
    <cellStyle name="Note 12" xfId="4136"/>
    <cellStyle name="Note 12 2" xfId="4137"/>
    <cellStyle name="Note 12 3" xfId="4138"/>
    <cellStyle name="Note 13" xfId="4139"/>
    <cellStyle name="Note 13 2" xfId="4140"/>
    <cellStyle name="Note 13 3" xfId="4141"/>
    <cellStyle name="Note 14" xfId="4142"/>
    <cellStyle name="Note 14 2" xfId="4143"/>
    <cellStyle name="Note 14 3" xfId="4144"/>
    <cellStyle name="Note 15" xfId="4145"/>
    <cellStyle name="Note 15 2" xfId="4146"/>
    <cellStyle name="Note 15 3" xfId="4147"/>
    <cellStyle name="Note 16" xfId="4148"/>
    <cellStyle name="Note 17" xfId="4149"/>
    <cellStyle name="Note 18" xfId="4150"/>
    <cellStyle name="Note 19" xfId="4151"/>
    <cellStyle name="Note 2" xfId="426"/>
    <cellStyle name="Note 2 10" xfId="4153"/>
    <cellStyle name="Note 2 10 2" xfId="4154"/>
    <cellStyle name="Note 2 11" xfId="4155"/>
    <cellStyle name="Note 2 12" xfId="4156"/>
    <cellStyle name="Note 2 13" xfId="4157"/>
    <cellStyle name="Note 2 14" xfId="4158"/>
    <cellStyle name="Note 2 15" xfId="4159"/>
    <cellStyle name="Note 2 16" xfId="4160"/>
    <cellStyle name="Note 2 17" xfId="4152"/>
    <cellStyle name="Note 2 2" xfId="4161"/>
    <cellStyle name="Note 2 3" xfId="4162"/>
    <cellStyle name="Note 2 4" xfId="4163"/>
    <cellStyle name="Note 2 5" xfId="4164"/>
    <cellStyle name="Note 2 6" xfId="4165"/>
    <cellStyle name="Note 2 7" xfId="4166"/>
    <cellStyle name="Note 2 8" xfId="4167"/>
    <cellStyle name="Note 2 9" xfId="4168"/>
    <cellStyle name="Note 20" xfId="4169"/>
    <cellStyle name="Note 3" xfId="4170"/>
    <cellStyle name="Note 3 2" xfId="4171"/>
    <cellStyle name="Note 3 3" xfId="4172"/>
    <cellStyle name="Note 3 4" xfId="4173"/>
    <cellStyle name="Note 3 5" xfId="4174"/>
    <cellStyle name="Note 3 5 2" xfId="4175"/>
    <cellStyle name="Note 3 6" xfId="4176"/>
    <cellStyle name="Note 3 7" xfId="4177"/>
    <cellStyle name="Note 3 8" xfId="4178"/>
    <cellStyle name="Note 3 9" xfId="4179"/>
    <cellStyle name="Note 4" xfId="4180"/>
    <cellStyle name="Note 4 2" xfId="4181"/>
    <cellStyle name="Note 5" xfId="4182"/>
    <cellStyle name="Note 5 2" xfId="4183"/>
    <cellStyle name="Note 6" xfId="4184"/>
    <cellStyle name="Note 6 2" xfId="4185"/>
    <cellStyle name="Note 7" xfId="4186"/>
    <cellStyle name="Note 8" xfId="4187"/>
    <cellStyle name="Note 8 2" xfId="4188"/>
    <cellStyle name="Note 8 2 2" xfId="4189"/>
    <cellStyle name="Note 8 3" xfId="4190"/>
    <cellStyle name="Note 8 4" xfId="4191"/>
    <cellStyle name="Note 8 5" xfId="4192"/>
    <cellStyle name="Note 9" xfId="4193"/>
    <cellStyle name="Note 9 2" xfId="4194"/>
    <cellStyle name="Note 9 3" xfId="4195"/>
    <cellStyle name="Note 9 4" xfId="4196"/>
    <cellStyle name="Notes" xfId="4197"/>
    <cellStyle name="Notes 2" xfId="9502"/>
    <cellStyle name="Notes 2 2" xfId="14132"/>
    <cellStyle name="Notes 3" xfId="9584"/>
    <cellStyle name="NPPESalesPct" xfId="4198"/>
    <cellStyle name="num,nodecpts" xfId="9503"/>
    <cellStyle name="number" xfId="129"/>
    <cellStyle name="Number 2" xfId="4200"/>
    <cellStyle name="Number 3" xfId="4201"/>
    <cellStyle name="Number 4" xfId="4199"/>
    <cellStyle name="Number 5" xfId="9504"/>
    <cellStyle name="Number_Cashflow Q1 CY09" xfId="4202"/>
    <cellStyle name="Numbers" xfId="9505"/>
    <cellStyle name="Numbers [0]" xfId="9506"/>
    <cellStyle name="NumberTopBorder" xfId="4203"/>
    <cellStyle name="Numéro_Tab" xfId="4204"/>
    <cellStyle name="NWI%S" xfId="4205"/>
    <cellStyle name="OBI_ColHeader" xfId="4206"/>
    <cellStyle name="Œ…‹æØ‚è [0.00]_GE 3 MINIMUM" xfId="130"/>
    <cellStyle name="Œ…‹æØ‚è_GE 3 MINIMUM" xfId="131"/>
    <cellStyle name="Onedec_FT Valuation " xfId="132"/>
    <cellStyle name="OneDecimal" xfId="552"/>
    <cellStyle name="ore" xfId="4207"/>
    <cellStyle name="Other%" xfId="553"/>
    <cellStyle name="outh America" xfId="133"/>
    <cellStyle name="Output" xfId="134" builtinId="21" customBuiltin="1"/>
    <cellStyle name="Output 10" xfId="4208"/>
    <cellStyle name="Output 10 2" xfId="4209"/>
    <cellStyle name="Output 10 3" xfId="4210"/>
    <cellStyle name="Output 11" xfId="4211"/>
    <cellStyle name="Output 11 2" xfId="4212"/>
    <cellStyle name="Output 11 3" xfId="4213"/>
    <cellStyle name="Output 12" xfId="4214"/>
    <cellStyle name="Output 12 2" xfId="4215"/>
    <cellStyle name="Output 12 3" xfId="4216"/>
    <cellStyle name="Output 13" xfId="4217"/>
    <cellStyle name="Output 13 2" xfId="4218"/>
    <cellStyle name="Output 13 3" xfId="4219"/>
    <cellStyle name="Output 14" xfId="4220"/>
    <cellStyle name="Output 14 2" xfId="4221"/>
    <cellStyle name="Output 14 3" xfId="4222"/>
    <cellStyle name="Output 15" xfId="4223"/>
    <cellStyle name="Output 15 2" xfId="4224"/>
    <cellStyle name="Output 15 3" xfId="4225"/>
    <cellStyle name="Output 16" xfId="4226"/>
    <cellStyle name="Output 17" xfId="4227"/>
    <cellStyle name="Output 18" xfId="4228"/>
    <cellStyle name="Output 19" xfId="4229"/>
    <cellStyle name="Output 2" xfId="427"/>
    <cellStyle name="Output 2 10" xfId="4231"/>
    <cellStyle name="Output 2 11" xfId="4232"/>
    <cellStyle name="Output 2 12" xfId="4233"/>
    <cellStyle name="Output 2 13" xfId="4234"/>
    <cellStyle name="Output 2 14" xfId="4235"/>
    <cellStyle name="Output 2 15" xfId="4236"/>
    <cellStyle name="Output 2 16" xfId="4230"/>
    <cellStyle name="Output 2 2" xfId="4237"/>
    <cellStyle name="Output 2 3" xfId="4238"/>
    <cellStyle name="Output 2 4" xfId="4239"/>
    <cellStyle name="Output 2 5" xfId="4240"/>
    <cellStyle name="Output 2 6" xfId="4241"/>
    <cellStyle name="Output 2 7" xfId="4242"/>
    <cellStyle name="Output 2 8" xfId="4243"/>
    <cellStyle name="Output 2 9" xfId="4244"/>
    <cellStyle name="Output 20" xfId="4245"/>
    <cellStyle name="Output 3" xfId="4246"/>
    <cellStyle name="Output 3 2" xfId="4247"/>
    <cellStyle name="Output 3 3" xfId="4248"/>
    <cellStyle name="Output 3 4" xfId="4249"/>
    <cellStyle name="Output 3 5" xfId="4250"/>
    <cellStyle name="Output 3 5 2" xfId="4251"/>
    <cellStyle name="Output 3 6" xfId="4252"/>
    <cellStyle name="Output 3 7" xfId="4253"/>
    <cellStyle name="Output 3 8" xfId="4254"/>
    <cellStyle name="Output 3 9" xfId="4255"/>
    <cellStyle name="Output 4" xfId="4256"/>
    <cellStyle name="Output 4 2" xfId="4257"/>
    <cellStyle name="Output 5" xfId="4258"/>
    <cellStyle name="Output 5 2" xfId="4259"/>
    <cellStyle name="Output 6" xfId="4260"/>
    <cellStyle name="Output 6 2" xfId="4261"/>
    <cellStyle name="Output 7" xfId="4262"/>
    <cellStyle name="Output 8" xfId="4263"/>
    <cellStyle name="Output 9" xfId="4264"/>
    <cellStyle name="Output 9 2" xfId="4265"/>
    <cellStyle name="Output 9 2 2" xfId="4266"/>
    <cellStyle name="Output 9 3" xfId="4267"/>
    <cellStyle name="Output 9 4" xfId="4268"/>
    <cellStyle name="Output 9 5" xfId="4269"/>
    <cellStyle name="Output Amounts" xfId="4270"/>
    <cellStyle name="OUTPUT COLUMN HEADINGS" xfId="4271"/>
    <cellStyle name="Output Line Items" xfId="4272"/>
    <cellStyle name="OUTPUT REPORT HEADING" xfId="4273"/>
    <cellStyle name="OUTPUT REPORT TITLE" xfId="4274"/>
    <cellStyle name="Override" xfId="4275"/>
    <cellStyle name="Override 2" xfId="9507"/>
    <cellStyle name="p " xfId="135"/>
    <cellStyle name="Page Heading Large" xfId="4276"/>
    <cellStyle name="Page Heading Small" xfId="4277"/>
    <cellStyle name="Page Number" xfId="4278"/>
    <cellStyle name="paint" xfId="4279"/>
    <cellStyle name="Pass" xfId="351"/>
    <cellStyle name="Pass 2" xfId="554"/>
    <cellStyle name="Pec (2dec,fs)" xfId="9508"/>
    <cellStyle name="Pénznem [0]_Cable" xfId="4280"/>
    <cellStyle name="Pénznem_Cable" xfId="4281"/>
    <cellStyle name="per.style" xfId="4282"/>
    <cellStyle name="Percent" xfId="136" builtinId="5"/>
    <cellStyle name="Percent (1)" xfId="555"/>
    <cellStyle name="Percent [0]" xfId="4283"/>
    <cellStyle name="Percent [0] 2" xfId="4284"/>
    <cellStyle name="Percent [00]" xfId="4285"/>
    <cellStyle name="Percent [00] 2" xfId="4286"/>
    <cellStyle name="Percent [1]" xfId="4287"/>
    <cellStyle name="Percent [2]" xfId="137"/>
    <cellStyle name="Percent [2] 2" xfId="353"/>
    <cellStyle name="Percent [2] 3" xfId="5025"/>
    <cellStyle name="Percent [2] 3 2" xfId="5026"/>
    <cellStyle name="Percent [2] 4" xfId="5027"/>
    <cellStyle name="Percent [2] 4 2" xfId="5028"/>
    <cellStyle name="Percent [2] 5" xfId="5029"/>
    <cellStyle name="Percent [2] 5 2" xfId="5030"/>
    <cellStyle name="Percent [2] 6" xfId="5031"/>
    <cellStyle name="Percent 0" xfId="4288"/>
    <cellStyle name="Percent 0,00" xfId="4289"/>
    <cellStyle name="Percent 0_7.2.3. CAPEX" xfId="4290"/>
    <cellStyle name="Percent 10" xfId="354"/>
    <cellStyle name="Percent 11" xfId="463"/>
    <cellStyle name="Percent 11 2" xfId="5032"/>
    <cellStyle name="Percent 12" xfId="648"/>
    <cellStyle name="Percent 13" xfId="429"/>
    <cellStyle name="Percent 13 2" xfId="4291"/>
    <cellStyle name="Percent 14" xfId="654"/>
    <cellStyle name="Percent 15" xfId="657"/>
    <cellStyle name="Percent 15 2" xfId="5033"/>
    <cellStyle name="Percent 16" xfId="637"/>
    <cellStyle name="Percent 17" xfId="660"/>
    <cellStyle name="Percent 18" xfId="599"/>
    <cellStyle name="Percent 19" xfId="662"/>
    <cellStyle name="Percent 2" xfId="355"/>
    <cellStyle name="Percent 2 2" xfId="356"/>
    <cellStyle name="Percent 2 2 2" xfId="4292"/>
    <cellStyle name="Percent 2 2 3" xfId="5095"/>
    <cellStyle name="Percent 2 2 3 2" xfId="5859"/>
    <cellStyle name="Percent 2 2 3 2 2" xfId="7376"/>
    <cellStyle name="Percent 2 2 3 2 2 2" xfId="12231"/>
    <cellStyle name="Percent 2 2 3 2 3" xfId="8897"/>
    <cellStyle name="Percent 2 2 3 2 3 2" xfId="13750"/>
    <cellStyle name="Percent 2 2 3 2 4" xfId="10715"/>
    <cellStyle name="Percent 2 2 3 3" xfId="6618"/>
    <cellStyle name="Percent 2 2 3 3 2" xfId="11473"/>
    <cellStyle name="Percent 2 2 3 4" xfId="8139"/>
    <cellStyle name="Percent 2 2 3 4 2" xfId="12992"/>
    <cellStyle name="Percent 2 2 3 5" xfId="9957"/>
    <cellStyle name="Percent 2 2 4" xfId="5481"/>
    <cellStyle name="Percent 2 2 4 2" xfId="6998"/>
    <cellStyle name="Percent 2 2 4 2 2" xfId="11853"/>
    <cellStyle name="Percent 2 2 4 3" xfId="8519"/>
    <cellStyle name="Percent 2 2 4 3 2" xfId="13372"/>
    <cellStyle name="Percent 2 2 4 4" xfId="10337"/>
    <cellStyle name="Percent 2 2 5" xfId="6240"/>
    <cellStyle name="Percent 2 2 5 2" xfId="11095"/>
    <cellStyle name="Percent 2 2 6" xfId="7758"/>
    <cellStyle name="Percent 2 2 6 2" xfId="12612"/>
    <cellStyle name="Percent 2 2 7" xfId="9576"/>
    <cellStyle name="Percent 2 3" xfId="357"/>
    <cellStyle name="Percent 2 3 2" xfId="4293"/>
    <cellStyle name="Percent 2 3 3" xfId="5096"/>
    <cellStyle name="Percent 2 3 3 2" xfId="5860"/>
    <cellStyle name="Percent 2 3 3 2 2" xfId="7377"/>
    <cellStyle name="Percent 2 3 3 2 2 2" xfId="12232"/>
    <cellStyle name="Percent 2 3 3 2 3" xfId="8898"/>
    <cellStyle name="Percent 2 3 3 2 3 2" xfId="13751"/>
    <cellStyle name="Percent 2 3 3 2 4" xfId="10716"/>
    <cellStyle name="Percent 2 3 3 3" xfId="6619"/>
    <cellStyle name="Percent 2 3 3 3 2" xfId="11474"/>
    <cellStyle name="Percent 2 3 3 4" xfId="8140"/>
    <cellStyle name="Percent 2 3 3 4 2" xfId="12993"/>
    <cellStyle name="Percent 2 3 3 5" xfId="9958"/>
    <cellStyle name="Percent 2 3 4" xfId="5482"/>
    <cellStyle name="Percent 2 3 4 2" xfId="6999"/>
    <cellStyle name="Percent 2 3 4 2 2" xfId="11854"/>
    <cellStyle name="Percent 2 3 4 3" xfId="8520"/>
    <cellStyle name="Percent 2 3 4 3 2" xfId="13373"/>
    <cellStyle name="Percent 2 3 4 4" xfId="10338"/>
    <cellStyle name="Percent 2 3 5" xfId="6241"/>
    <cellStyle name="Percent 2 3 5 2" xfId="11096"/>
    <cellStyle name="Percent 2 3 6" xfId="7759"/>
    <cellStyle name="Percent 2 3 6 2" xfId="12613"/>
    <cellStyle name="Percent 2 3 7" xfId="9577"/>
    <cellStyle name="Percent 2 4" xfId="439"/>
    <cellStyle name="Percent 2 5" xfId="270"/>
    <cellStyle name="Percent 2 6" xfId="9509"/>
    <cellStyle name="Percent 20" xfId="664"/>
    <cellStyle name="Percent 21" xfId="666"/>
    <cellStyle name="Percent 22" xfId="643"/>
    <cellStyle name="Percent 22 2" xfId="5034"/>
    <cellStyle name="Percent 22 3" xfId="5103"/>
    <cellStyle name="Percent 22 3 2" xfId="5862"/>
    <cellStyle name="Percent 22 3 2 2" xfId="7379"/>
    <cellStyle name="Percent 22 3 2 2 2" xfId="12234"/>
    <cellStyle name="Percent 22 3 2 3" xfId="8900"/>
    <cellStyle name="Percent 22 3 2 3 2" xfId="13753"/>
    <cellStyle name="Percent 22 3 2 4" xfId="10718"/>
    <cellStyle name="Percent 22 3 3" xfId="6621"/>
    <cellStyle name="Percent 22 3 3 2" xfId="11476"/>
    <cellStyle name="Percent 22 3 4" xfId="8142"/>
    <cellStyle name="Percent 22 3 4 2" xfId="12995"/>
    <cellStyle name="Percent 22 3 5" xfId="9960"/>
    <cellStyle name="Percent 22 4" xfId="5484"/>
    <cellStyle name="Percent 22 4 2" xfId="7001"/>
    <cellStyle name="Percent 22 4 2 2" xfId="11856"/>
    <cellStyle name="Percent 22 4 3" xfId="8522"/>
    <cellStyle name="Percent 22 4 3 2" xfId="13375"/>
    <cellStyle name="Percent 22 4 4" xfId="10340"/>
    <cellStyle name="Percent 22 5" xfId="6243"/>
    <cellStyle name="Percent 22 5 2" xfId="11098"/>
    <cellStyle name="Percent 22 6" xfId="7762"/>
    <cellStyle name="Percent 22 6 2" xfId="12615"/>
    <cellStyle name="Percent 22 7" xfId="9579"/>
    <cellStyle name="Percent 23" xfId="642"/>
    <cellStyle name="Percent 23 2" xfId="5036"/>
    <cellStyle name="Percent 23 3" xfId="5035"/>
    <cellStyle name="Percent 23 4" xfId="5102"/>
    <cellStyle name="Percent 23 4 2" xfId="5861"/>
    <cellStyle name="Percent 23 4 2 2" xfId="7378"/>
    <cellStyle name="Percent 23 4 2 2 2" xfId="12233"/>
    <cellStyle name="Percent 23 4 2 3" xfId="8899"/>
    <cellStyle name="Percent 23 4 2 3 2" xfId="13752"/>
    <cellStyle name="Percent 23 4 2 4" xfId="10717"/>
    <cellStyle name="Percent 23 4 3" xfId="6620"/>
    <cellStyle name="Percent 23 4 3 2" xfId="11475"/>
    <cellStyle name="Percent 23 4 4" xfId="8141"/>
    <cellStyle name="Percent 23 4 4 2" xfId="12994"/>
    <cellStyle name="Percent 23 4 5" xfId="9959"/>
    <cellStyle name="Percent 23 5" xfId="5483"/>
    <cellStyle name="Percent 23 5 2" xfId="7000"/>
    <cellStyle name="Percent 23 5 2 2" xfId="11855"/>
    <cellStyle name="Percent 23 5 3" xfId="8521"/>
    <cellStyle name="Percent 23 5 3 2" xfId="13374"/>
    <cellStyle name="Percent 23 5 4" xfId="10339"/>
    <cellStyle name="Percent 23 6" xfId="6242"/>
    <cellStyle name="Percent 23 6 2" xfId="11097"/>
    <cellStyle name="Percent 23 7" xfId="7761"/>
    <cellStyle name="Percent 23 7 2" xfId="12614"/>
    <cellStyle name="Percent 23 8" xfId="9578"/>
    <cellStyle name="Percent 24" xfId="683"/>
    <cellStyle name="Percent 24 2" xfId="5037"/>
    <cellStyle name="Percent 25" xfId="5038"/>
    <cellStyle name="Percent 25 2" xfId="5039"/>
    <cellStyle name="Percent 26" xfId="5040"/>
    <cellStyle name="Percent 26 2" xfId="5041"/>
    <cellStyle name="Percent 27" xfId="5042"/>
    <cellStyle name="Percent 28" xfId="5043"/>
    <cellStyle name="Percent 29" xfId="5044"/>
    <cellStyle name="Percent 3" xfId="358"/>
    <cellStyle name="Percent 3 2" xfId="4295"/>
    <cellStyle name="Percent 3 2 2" xfId="4296"/>
    <cellStyle name="Percent 3 2 2 2" xfId="4297"/>
    <cellStyle name="Percent 3 2 2 3" xfId="4298"/>
    <cellStyle name="Percent 3 2 3" xfId="4299"/>
    <cellStyle name="Percent 3 2 4" xfId="4300"/>
    <cellStyle name="Percent 3 3" xfId="4301"/>
    <cellStyle name="Percent 3 4" xfId="4302"/>
    <cellStyle name="Percent 3 4 2" xfId="4303"/>
    <cellStyle name="Percent 3 4 3" xfId="4304"/>
    <cellStyle name="Percent 3 5" xfId="4305"/>
    <cellStyle name="Percent 3 6" xfId="4294"/>
    <cellStyle name="Percent 3 7" xfId="9510"/>
    <cellStyle name="Percent 30" xfId="271"/>
    <cellStyle name="Percent 31" xfId="4311"/>
    <cellStyle name="Percent 4" xfId="359"/>
    <cellStyle name="Percent 4 2" xfId="360"/>
    <cellStyle name="Percent 4 3" xfId="640"/>
    <cellStyle name="Percent 4 4" xfId="4306"/>
    <cellStyle name="Percent 5" xfId="352"/>
    <cellStyle name="Percent 5 2" xfId="4307"/>
    <cellStyle name="Percent 6" xfId="376"/>
    <cellStyle name="Percent 6 2" xfId="4308"/>
    <cellStyle name="Percent 7" xfId="327"/>
    <cellStyle name="Percent 7 2" xfId="4309"/>
    <cellStyle name="Percent 8" xfId="377"/>
    <cellStyle name="Percent 8 2" xfId="4310"/>
    <cellStyle name="Percent 9" xfId="428"/>
    <cellStyle name="Percent Hard" xfId="4312"/>
    <cellStyle name="Percent[1]" xfId="556"/>
    <cellStyle name="Percent0" xfId="557"/>
    <cellStyle name="Percent0Dec" xfId="4313"/>
    <cellStyle name="Percent1" xfId="558"/>
    <cellStyle name="Percent1 2" xfId="9511"/>
    <cellStyle name="Percent2" xfId="559"/>
    <cellStyle name="Percent2 2" xfId="9512"/>
    <cellStyle name="Percent2Dec" xfId="4314"/>
    <cellStyle name="percentage" xfId="560"/>
    <cellStyle name="percentage 2" xfId="4315"/>
    <cellStyle name="Percentage[1]" xfId="9513"/>
    <cellStyle name="PercentChange" xfId="9514"/>
    <cellStyle name="Percent-Input" xfId="561"/>
    <cellStyle name="Percento" xfId="4316"/>
    <cellStyle name="PercentPresentation" xfId="562"/>
    <cellStyle name="PercentSales" xfId="4317"/>
    <cellStyle name="PillarData" xfId="4318"/>
    <cellStyle name="PillarHeading" xfId="4319"/>
    <cellStyle name="PillarText" xfId="4320"/>
    <cellStyle name="PillarTotal" xfId="4321"/>
    <cellStyle name="POPS" xfId="563"/>
    <cellStyle name="Pourcentage_losses 2005 04" xfId="4322"/>
    <cellStyle name="Precent" xfId="4323"/>
    <cellStyle name="PrePop Currency (0)" xfId="4324"/>
    <cellStyle name="PrePop Currency (0) 2" xfId="4325"/>
    <cellStyle name="PrePop Currency (2)" xfId="4326"/>
    <cellStyle name="PrePop Currency (2) 2" xfId="4327"/>
    <cellStyle name="PrePop Units (0)" xfId="4328"/>
    <cellStyle name="PrePop Units (0) 2" xfId="4329"/>
    <cellStyle name="PrePop Units (1)" xfId="4330"/>
    <cellStyle name="PrePop Units (1) 2" xfId="4331"/>
    <cellStyle name="PrePop Units (2)" xfId="4332"/>
    <cellStyle name="PrePop Units (2) 2" xfId="4333"/>
    <cellStyle name="PresentationZero" xfId="564"/>
    <cellStyle name="price" xfId="565"/>
    <cellStyle name="Pricelist" xfId="4334"/>
    <cellStyle name="pricing" xfId="4335"/>
    <cellStyle name="pricing 2" xfId="4336"/>
    <cellStyle name="Product Title" xfId="4337"/>
    <cellStyle name="Product Title 10" xfId="4338"/>
    <cellStyle name="Product Title 11" xfId="4339"/>
    <cellStyle name="Product Title 12" xfId="4340"/>
    <cellStyle name="Product Title 2" xfId="4341"/>
    <cellStyle name="Product Title 3" xfId="4342"/>
    <cellStyle name="Product Title 4" xfId="4343"/>
    <cellStyle name="Product Title 5" xfId="4344"/>
    <cellStyle name="Product Title 6" xfId="4345"/>
    <cellStyle name="Product Title 7" xfId="4346"/>
    <cellStyle name="Product Title 8" xfId="4347"/>
    <cellStyle name="Product Title 9" xfId="4348"/>
    <cellStyle name="ProgramVariable" xfId="9515"/>
    <cellStyle name="ProtectedDates" xfId="138"/>
    <cellStyle name="Prozent +line" xfId="4349"/>
    <cellStyle name="Prozent(+line)" xfId="4350"/>
    <cellStyle name="Prozent_7.2.3. CAPEX" xfId="4351"/>
    <cellStyle name="PSChar" xfId="4352"/>
    <cellStyle name="PSDate" xfId="4353"/>
    <cellStyle name="PSDec" xfId="4354"/>
    <cellStyle name="PSHeading" xfId="4355"/>
    <cellStyle name="PSInt" xfId="4356"/>
    <cellStyle name="PSSpacer" xfId="4357"/>
    <cellStyle name="q_AA - BenefitsBonus " xfId="361"/>
    <cellStyle name="Ratio" xfId="9516"/>
    <cellStyle name="Ratios" xfId="9517"/>
    <cellStyle name="RatioX" xfId="9518"/>
    <cellStyle name="RED" xfId="139"/>
    <cellStyle name="Red font" xfId="4358"/>
    <cellStyle name="réel" xfId="4359"/>
    <cellStyle name="Ref Numbers" xfId="9519"/>
    <cellStyle name="Reference" xfId="4360"/>
    <cellStyle name="Reference (O%)" xfId="4361"/>
    <cellStyle name="Reference (O%) 10" xfId="4362"/>
    <cellStyle name="Reference (O%) 11" xfId="4363"/>
    <cellStyle name="Reference (O%) 12" xfId="4364"/>
    <cellStyle name="Reference (O%) 2" xfId="4365"/>
    <cellStyle name="Reference (O%) 3" xfId="4366"/>
    <cellStyle name="Reference (O%) 4" xfId="4367"/>
    <cellStyle name="Reference (O%) 5" xfId="4368"/>
    <cellStyle name="Reference (O%) 6" xfId="4369"/>
    <cellStyle name="Reference (O%) 7" xfId="4370"/>
    <cellStyle name="Reference (O%) 8" xfId="4371"/>
    <cellStyle name="Reference (O%) 9" xfId="4372"/>
    <cellStyle name="Reference [00]" xfId="4373"/>
    <cellStyle name="Reference [00] 10" xfId="4374"/>
    <cellStyle name="Reference [00] 11" xfId="4375"/>
    <cellStyle name="Reference [00] 12" xfId="4376"/>
    <cellStyle name="Reference [00] 2" xfId="4377"/>
    <cellStyle name="Reference [00] 3" xfId="4378"/>
    <cellStyle name="Reference [00] 4" xfId="4379"/>
    <cellStyle name="Reference [00] 5" xfId="4380"/>
    <cellStyle name="Reference [00] 6" xfId="4381"/>
    <cellStyle name="Reference [00] 7" xfId="4382"/>
    <cellStyle name="Reference [00] 8" xfId="4383"/>
    <cellStyle name="Reference [00] 9" xfId="4384"/>
    <cellStyle name="Reference 10" xfId="4385"/>
    <cellStyle name="Reference 11" xfId="4386"/>
    <cellStyle name="Reference 12" xfId="4387"/>
    <cellStyle name="Reference 2" xfId="4388"/>
    <cellStyle name="Reference 3" xfId="4389"/>
    <cellStyle name="Reference 4" xfId="4390"/>
    <cellStyle name="Reference 5" xfId="4391"/>
    <cellStyle name="Reference 6" xfId="4392"/>
    <cellStyle name="Reference 7" xfId="4393"/>
    <cellStyle name="Reference 8" xfId="4394"/>
    <cellStyle name="Reference 9" xfId="4395"/>
    <cellStyle name="Reference_Form CC 1 2 4 June 05" xfId="4396"/>
    <cellStyle name="regstoresfromspecstores" xfId="4397"/>
    <cellStyle name="Report" xfId="9520"/>
    <cellStyle name="ReportTitlePrompt" xfId="4398"/>
    <cellStyle name="ReportTitleValue" xfId="4399"/>
    <cellStyle name="Restruct" xfId="140"/>
    <cellStyle name="Restruct 2" xfId="566"/>
    <cellStyle name="Restruct 2 2" xfId="5099"/>
    <cellStyle name="RevList" xfId="567"/>
    <cellStyle name="RevList 2" xfId="4401"/>
    <cellStyle name="RevList 3" xfId="4400"/>
    <cellStyle name="Right" xfId="141"/>
    <cellStyle name="Role" xfId="9521"/>
    <cellStyle name="Row Ignore" xfId="4402"/>
    <cellStyle name="Row Ignore 10" xfId="4403"/>
    <cellStyle name="Row Ignore 11" xfId="4404"/>
    <cellStyle name="Row Ignore 12" xfId="4405"/>
    <cellStyle name="Row Ignore 2" xfId="4406"/>
    <cellStyle name="Row Ignore 3" xfId="4407"/>
    <cellStyle name="Row Ignore 4" xfId="4408"/>
    <cellStyle name="Row Ignore 5" xfId="4409"/>
    <cellStyle name="Row Ignore 6" xfId="4410"/>
    <cellStyle name="Row Ignore 7" xfId="4411"/>
    <cellStyle name="Row Ignore 8" xfId="4412"/>
    <cellStyle name="Row Ignore 9" xfId="4413"/>
    <cellStyle name="Row Title 1" xfId="4414"/>
    <cellStyle name="Row Title 2" xfId="4415"/>
    <cellStyle name="Row Title 3" xfId="4416"/>
    <cellStyle name="Row Total" xfId="4417"/>
    <cellStyle name="RowAcctAbovePrompt" xfId="4418"/>
    <cellStyle name="RowAcctSOBAbovePrompt" xfId="4419"/>
    <cellStyle name="RowAcctSOBValue" xfId="4420"/>
    <cellStyle name="RowAcctValue" xfId="4421"/>
    <cellStyle name="RowAttrAbovePrompt" xfId="4422"/>
    <cellStyle name="RowAttrValue" xfId="4423"/>
    <cellStyle name="RowColSetAbovePrompt" xfId="4424"/>
    <cellStyle name="RowColSetLeftPrompt" xfId="4425"/>
    <cellStyle name="RowColSetValue" xfId="4426"/>
    <cellStyle name="RowHeader_Indent3" xfId="4427"/>
    <cellStyle name="RowLeftPrompt" xfId="4428"/>
    <cellStyle name="RowLevel_0" xfId="4429"/>
    <cellStyle name="RRSInstruction" xfId="142"/>
    <cellStyle name="RRSInstruction 2" xfId="181"/>
    <cellStyle name="s_DCFLBO Code_Wireline Tel Forecast " xfId="143"/>
    <cellStyle name="s_HardInc " xfId="144"/>
    <cellStyle name="s_HardInc _Catalog" xfId="568"/>
    <cellStyle name="s_HardInc _JapaneseCatalog" xfId="569"/>
    <cellStyle name="s_HardInc _RRST1" xfId="362"/>
    <cellStyle name="s_HardInc _RRST20" xfId="5045"/>
    <cellStyle name="s_HardInc _RRST20 2" xfId="5046"/>
    <cellStyle name="s_HardInc _RRST25" xfId="5047"/>
    <cellStyle name="s_HardInc _RRST25 2" xfId="5048"/>
    <cellStyle name="s_Valuation " xfId="145"/>
    <cellStyle name="s_Valuation _Catalog" xfId="570"/>
    <cellStyle name="s_Valuation _JapaneseCatalog" xfId="571"/>
    <cellStyle name="s_Valuation _RRST1" xfId="363"/>
    <cellStyle name="s_Valuation _RRST20" xfId="5049"/>
    <cellStyle name="s_Valuation _RRST20 2" xfId="5050"/>
    <cellStyle name="s_Valuation _RRST25" xfId="5051"/>
    <cellStyle name="s_Valuation _RRST25 2" xfId="5052"/>
    <cellStyle name="Saisie" xfId="4430"/>
    <cellStyle name="Salomon Logo" xfId="4431"/>
    <cellStyle name="SampleUsingFormatMask" xfId="4432"/>
    <cellStyle name="SampleWithNoFormatMask" xfId="4433"/>
    <cellStyle name="ScripFactor" xfId="9522"/>
    <cellStyle name="SectionHeaderNormal" xfId="4434"/>
    <cellStyle name="SectionHeading" xfId="9523"/>
    <cellStyle name="Shade" xfId="9524"/>
    <cellStyle name="Shade on" xfId="4435"/>
    <cellStyle name="Shaded" xfId="572"/>
    <cellStyle name="Shaded 2" xfId="4436"/>
    <cellStyle name="SHADEDSTORES" xfId="4437"/>
    <cellStyle name="Shares" xfId="573"/>
    <cellStyle name="ShOut" xfId="4438"/>
    <cellStyle name="Simbolo" xfId="4439"/>
    <cellStyle name="single" xfId="4440"/>
    <cellStyle name="Single Accounting" xfId="4441"/>
    <cellStyle name="Single Cell Column Heading" xfId="4442"/>
    <cellStyle name="Source Line" xfId="9525"/>
    <cellStyle name="SPEC" xfId="9526"/>
    <cellStyle name="specstores" xfId="4443"/>
    <cellStyle name="ssp " xfId="146"/>
    <cellStyle name="Standaard_Residential" xfId="4444"/>
    <cellStyle name="Standard" xfId="4445"/>
    <cellStyle name="Standard 2" xfId="9527"/>
    <cellStyle name="Standard format" xfId="4446"/>
    <cellStyle name="Standard_GRPK2005_Q1 - YTD - v2" xfId="4447"/>
    <cellStyle name="STIL1 - Style1" xfId="4448"/>
    <cellStyle name="Style 1" xfId="147"/>
    <cellStyle name="Style 1 2" xfId="364"/>
    <cellStyle name="Style 1 2 2" xfId="4449"/>
    <cellStyle name="Style 1 3" xfId="4450"/>
    <cellStyle name="Style 1 3 2" xfId="5053"/>
    <cellStyle name="Style 1 4" xfId="4451"/>
    <cellStyle name="Style 1 4 2" xfId="5054"/>
    <cellStyle name="Style 1 5" xfId="5055"/>
    <cellStyle name="Style 1 5 2" xfId="5056"/>
    <cellStyle name="Style 1 6" xfId="5057"/>
    <cellStyle name="Style 1_Cashflow Q1 CY09" xfId="4452"/>
    <cellStyle name="Style 2" xfId="148"/>
    <cellStyle name="Style 2 2" xfId="182"/>
    <cellStyle name="Style 2 2 2" xfId="365"/>
    <cellStyle name="Style 2 3" xfId="5058"/>
    <cellStyle name="Style 2 3 2" xfId="5059"/>
    <cellStyle name="Style 2 4" xfId="5060"/>
    <cellStyle name="Style 2 4 2" xfId="5061"/>
    <cellStyle name="Style 2 5" xfId="5062"/>
    <cellStyle name="Style 2 5 2" xfId="5063"/>
    <cellStyle name="Style 2 6" xfId="5064"/>
    <cellStyle name="Style 2 7" xfId="4453"/>
    <cellStyle name="Style 24" xfId="574"/>
    <cellStyle name="Style 26" xfId="575"/>
    <cellStyle name="Style 27" xfId="576"/>
    <cellStyle name="Style 2B" xfId="4454"/>
    <cellStyle name="Style 3" xfId="149"/>
    <cellStyle name="Style 3 2" xfId="183"/>
    <cellStyle name="Style 3 2 2" xfId="366"/>
    <cellStyle name="Style 3 3" xfId="4455"/>
    <cellStyle name="Style 32" xfId="601"/>
    <cellStyle name="Style 4" xfId="150"/>
    <cellStyle name="Style 4 2" xfId="184"/>
    <cellStyle name="Style 4 2 2" xfId="367"/>
    <cellStyle name="Style 4 3" xfId="4456"/>
    <cellStyle name="Style 5" xfId="151"/>
    <cellStyle name="Style 5 2" xfId="368"/>
    <cellStyle name="Style 5 2 2" xfId="5065"/>
    <cellStyle name="Style 5 3" xfId="684"/>
    <cellStyle name="Style 5 3 2" xfId="5067"/>
    <cellStyle name="Style 5 4" xfId="5068"/>
    <cellStyle name="Style 5 4 2" xfId="5069"/>
    <cellStyle name="Style 5 5" xfId="5070"/>
    <cellStyle name="Style 5 5 2" xfId="5071"/>
    <cellStyle name="Style 5 6" xfId="5072"/>
    <cellStyle name="Style 6" xfId="369"/>
    <cellStyle name="Style 7" xfId="370"/>
    <cellStyle name="Style 8" xfId="371"/>
    <cellStyle name="STYLE1" xfId="577"/>
    <cellStyle name="STYLE2" xfId="578"/>
    <cellStyle name="SubDollar" xfId="579"/>
    <cellStyle name="SubGrowthRate" xfId="580"/>
    <cellStyle name="Subhead" xfId="581"/>
    <cellStyle name="Subscribers" xfId="582"/>
    <cellStyle name="SubScript" xfId="4457"/>
    <cellStyle name="SubTitle" xfId="4458"/>
    <cellStyle name="Subtotal" xfId="583"/>
    <cellStyle name="Subtotal 2" xfId="4459"/>
    <cellStyle name="Subtotal_left" xfId="152"/>
    <cellStyle name="SubVariable" xfId="584"/>
    <cellStyle name="summary info only" xfId="4460"/>
    <cellStyle name="Summe" xfId="4461"/>
    <cellStyle name="SuperScript" xfId="4462"/>
    <cellStyle name="Synopsis" xfId="9528"/>
    <cellStyle name="Synopsis 2" xfId="14133"/>
    <cellStyle name="Table Col Head" xfId="4463"/>
    <cellStyle name="Table Head" xfId="4464"/>
    <cellStyle name="Table Head Aligned" xfId="4465"/>
    <cellStyle name="Table Head Blue" xfId="4466"/>
    <cellStyle name="Table Head Green" xfId="4467"/>
    <cellStyle name="Table Head_Val_Sum_Graph" xfId="4468"/>
    <cellStyle name="Table Heading" xfId="585"/>
    <cellStyle name="Table Sub Head" xfId="4469"/>
    <cellStyle name="Table Text" xfId="4470"/>
    <cellStyle name="Table Title" xfId="586"/>
    <cellStyle name="Table Title 2" xfId="4471"/>
    <cellStyle name="Table Units" xfId="587"/>
    <cellStyle name="Table Units 2" xfId="4472"/>
    <cellStyle name="Table Units 3" xfId="5100"/>
    <cellStyle name="Table_Header" xfId="4473"/>
    <cellStyle name="TableName" xfId="588"/>
    <cellStyle name="TableName 2" xfId="9530"/>
    <cellStyle name="Tariff" xfId="4474"/>
    <cellStyle name="task" xfId="4475"/>
    <cellStyle name="TCAM" xfId="4476"/>
    <cellStyle name="TDM" xfId="4477"/>
    <cellStyle name="Testo" xfId="4478"/>
    <cellStyle name="Text" xfId="4479"/>
    <cellStyle name="Text 1" xfId="4480"/>
    <cellStyle name="Text 10" xfId="4481"/>
    <cellStyle name="Text 11" xfId="4482"/>
    <cellStyle name="Text 12" xfId="4483"/>
    <cellStyle name="Text 2" xfId="4484"/>
    <cellStyle name="Text 3" xfId="4485"/>
    <cellStyle name="Text 4" xfId="4486"/>
    <cellStyle name="Text 5" xfId="4487"/>
    <cellStyle name="Text 6" xfId="4488"/>
    <cellStyle name="Text 7" xfId="4489"/>
    <cellStyle name="Text 8" xfId="4490"/>
    <cellStyle name="Text 9" xfId="4491"/>
    <cellStyle name="Text Head 1" xfId="4492"/>
    <cellStyle name="Text Indent A" xfId="4493"/>
    <cellStyle name="Text Indent B" xfId="4494"/>
    <cellStyle name="Text Indent B 2" xfId="4495"/>
    <cellStyle name="Text Indent C" xfId="4496"/>
    <cellStyle name="Text Indent C 2" xfId="4497"/>
    <cellStyle name="Text Level 1" xfId="4498"/>
    <cellStyle name="Text Level 2" xfId="4499"/>
    <cellStyle name="Text Level 3" xfId="4500"/>
    <cellStyle name="Text Level 4" xfId="4501"/>
    <cellStyle name="Text Wrap" xfId="589"/>
    <cellStyle name="Text Wrap 2" xfId="4502"/>
    <cellStyle name="Text_Income statement 2005.06" xfId="4503"/>
    <cellStyle name="textbold" xfId="153"/>
    <cellStyle name="textbold 2" xfId="185"/>
    <cellStyle name="TextBold 3" xfId="4504"/>
    <cellStyle name="TextBold 3 2" xfId="5106"/>
    <cellStyle name="TextBold 3 2 2" xfId="5865"/>
    <cellStyle name="TextBold 3 2 2 2" xfId="7382"/>
    <cellStyle name="TextBold 3 2 2 2 2" xfId="12237"/>
    <cellStyle name="TextBold 3 2 2 3" xfId="8903"/>
    <cellStyle name="TextBold 3 2 2 3 2" xfId="13756"/>
    <cellStyle name="TextBold 3 2 2 4" xfId="10721"/>
    <cellStyle name="TextBold 3 2 3" xfId="6624"/>
    <cellStyle name="TextBold 3 2 3 2" xfId="11479"/>
    <cellStyle name="TextBold 3 2 4" xfId="8145"/>
    <cellStyle name="TextBold 3 2 4 2" xfId="12998"/>
    <cellStyle name="TextBold 3 2 5" xfId="9963"/>
    <cellStyle name="TextBold 3 3" xfId="5487"/>
    <cellStyle name="TextBold 3 3 2" xfId="7004"/>
    <cellStyle name="TextBold 3 3 2 2" xfId="11859"/>
    <cellStyle name="TextBold 3 3 3" xfId="8525"/>
    <cellStyle name="TextBold 3 3 3 2" xfId="13378"/>
    <cellStyle name="TextBold 3 3 4" xfId="10343"/>
    <cellStyle name="TextBold 3 4" xfId="6246"/>
    <cellStyle name="TextBold 3 4 2" xfId="11101"/>
    <cellStyle name="TextBold 3 5" xfId="7767"/>
    <cellStyle name="TextBold 3 5 2" xfId="12620"/>
    <cellStyle name="TextBold 3 6" xfId="9585"/>
    <cellStyle name="TextBold 4" xfId="5090"/>
    <cellStyle name="TextBold 4 2" xfId="5475"/>
    <cellStyle name="TextBold 4 2 2" xfId="6234"/>
    <cellStyle name="TextBold 4 2 2 2" xfId="7751"/>
    <cellStyle name="TextBold 4 2 2 2 2" xfId="12606"/>
    <cellStyle name="TextBold 4 2 2 3" xfId="9272"/>
    <cellStyle name="TextBold 4 2 2 3 2" xfId="14125"/>
    <cellStyle name="TextBold 4 2 2 4" xfId="11090"/>
    <cellStyle name="TextBold 4 2 3" xfId="6993"/>
    <cellStyle name="TextBold 4 2 3 2" xfId="11848"/>
    <cellStyle name="TextBold 4 2 4" xfId="8514"/>
    <cellStyle name="TextBold 4 2 4 2" xfId="13367"/>
    <cellStyle name="TextBold 4 2 5" xfId="10332"/>
    <cellStyle name="TextBold 4 3" xfId="5855"/>
    <cellStyle name="TextBold 4 3 2" xfId="7372"/>
    <cellStyle name="TextBold 4 3 2 2" xfId="12227"/>
    <cellStyle name="TextBold 4 3 3" xfId="8893"/>
    <cellStyle name="TextBold 4 3 3 2" xfId="13746"/>
    <cellStyle name="TextBold 4 3 4" xfId="10711"/>
    <cellStyle name="TextBold 4 4" xfId="6614"/>
    <cellStyle name="TextBold 4 4 2" xfId="11469"/>
    <cellStyle name="TextBold 4 5" xfId="8135"/>
    <cellStyle name="TextBold 4 5 2" xfId="12988"/>
    <cellStyle name="TextBold 4 6" xfId="9953"/>
    <cellStyle name="Text-fin statements" xfId="9531"/>
    <cellStyle name="TextItalic" xfId="4505"/>
    <cellStyle name="TextItalic 2" xfId="5107"/>
    <cellStyle name="TextItalic 2 2" xfId="5866"/>
    <cellStyle name="TextItalic 2 2 2" xfId="7383"/>
    <cellStyle name="TextItalic 2 2 2 2" xfId="12238"/>
    <cellStyle name="TextItalic 2 2 3" xfId="8904"/>
    <cellStyle name="TextItalic 2 2 3 2" xfId="13757"/>
    <cellStyle name="TextItalic 2 2 4" xfId="10722"/>
    <cellStyle name="TextItalic 2 3" xfId="6625"/>
    <cellStyle name="TextItalic 2 3 2" xfId="11480"/>
    <cellStyle name="TextItalic 2 4" xfId="8146"/>
    <cellStyle name="TextItalic 2 4 2" xfId="12999"/>
    <cellStyle name="TextItalic 2 5" xfId="9964"/>
    <cellStyle name="TextItalic 3" xfId="5488"/>
    <cellStyle name="TextItalic 3 2" xfId="7005"/>
    <cellStyle name="TextItalic 3 2 2" xfId="11860"/>
    <cellStyle name="TextItalic 3 3" xfId="8526"/>
    <cellStyle name="TextItalic 3 3 2" xfId="13379"/>
    <cellStyle name="TextItalic 3 4" xfId="10344"/>
    <cellStyle name="TextItalic 4" xfId="6247"/>
    <cellStyle name="TextItalic 4 2" xfId="11102"/>
    <cellStyle name="TextItalic 5" xfId="7768"/>
    <cellStyle name="TextItalic 5 2" xfId="12621"/>
    <cellStyle name="TextItalic 6" xfId="9586"/>
    <cellStyle name="TextNormal" xfId="4506"/>
    <cellStyle name="TextNormal 2" xfId="5108"/>
    <cellStyle name="TextNormal 2 2" xfId="5867"/>
    <cellStyle name="TextNormal 2 2 2" xfId="7384"/>
    <cellStyle name="TextNormal 2 2 2 2" xfId="12239"/>
    <cellStyle name="TextNormal 2 2 3" xfId="8905"/>
    <cellStyle name="TextNormal 2 2 3 2" xfId="13758"/>
    <cellStyle name="TextNormal 2 2 4" xfId="10723"/>
    <cellStyle name="TextNormal 2 3" xfId="6626"/>
    <cellStyle name="TextNormal 2 3 2" xfId="11481"/>
    <cellStyle name="TextNormal 2 4" xfId="8147"/>
    <cellStyle name="TextNormal 2 4 2" xfId="13000"/>
    <cellStyle name="TextNormal 2 5" xfId="9965"/>
    <cellStyle name="TextNormal 3" xfId="5489"/>
    <cellStyle name="TextNormal 3 2" xfId="7006"/>
    <cellStyle name="TextNormal 3 2 2" xfId="11861"/>
    <cellStyle name="TextNormal 3 3" xfId="8527"/>
    <cellStyle name="TextNormal 3 3 2" xfId="13380"/>
    <cellStyle name="TextNormal 3 4" xfId="10345"/>
    <cellStyle name="TextNormal 4" xfId="6248"/>
    <cellStyle name="TextNormal 4 2" xfId="11103"/>
    <cellStyle name="TextNormal 5" xfId="7769"/>
    <cellStyle name="TextNormal 5 2" xfId="12622"/>
    <cellStyle name="TextNormal 6" xfId="9587"/>
    <cellStyle name="TFCF" xfId="4507"/>
    <cellStyle name="TFCF 2" xfId="5109"/>
    <cellStyle name="TFCF 2 2" xfId="5868"/>
    <cellStyle name="TFCF 2 2 2" xfId="7385"/>
    <cellStyle name="TFCF 2 2 2 2" xfId="12240"/>
    <cellStyle name="TFCF 2 2 3" xfId="8906"/>
    <cellStyle name="TFCF 2 2 3 2" xfId="13759"/>
    <cellStyle name="TFCF 2 2 4" xfId="10724"/>
    <cellStyle name="TFCF 2 3" xfId="6627"/>
    <cellStyle name="TFCF 2 3 2" xfId="11482"/>
    <cellStyle name="TFCF 2 4" xfId="8148"/>
    <cellStyle name="TFCF 2 4 2" xfId="13001"/>
    <cellStyle name="TFCF 2 5" xfId="9966"/>
    <cellStyle name="TFCF 3" xfId="5490"/>
    <cellStyle name="TFCF 3 2" xfId="7007"/>
    <cellStyle name="TFCF 3 2 2" xfId="11862"/>
    <cellStyle name="TFCF 3 3" xfId="8528"/>
    <cellStyle name="TFCF 3 3 2" xfId="13381"/>
    <cellStyle name="TFCF 3 4" xfId="10346"/>
    <cellStyle name="TFCF 4" xfId="6249"/>
    <cellStyle name="TFCF 4 2" xfId="11104"/>
    <cellStyle name="TFCF 5" xfId="7770"/>
    <cellStyle name="TFCF 5 2" xfId="12623"/>
    <cellStyle name="TFCF 6" xfId="9588"/>
    <cellStyle name="Thousands" xfId="4508"/>
    <cellStyle name="Thousands 2" xfId="5110"/>
    <cellStyle name="Thousands 2 2" xfId="5869"/>
    <cellStyle name="Thousands 2 2 2" xfId="7386"/>
    <cellStyle name="Thousands 2 2 2 2" xfId="12241"/>
    <cellStyle name="Thousands 2 2 3" xfId="8907"/>
    <cellStyle name="Thousands 2 2 3 2" xfId="13760"/>
    <cellStyle name="Thousands 2 2 4" xfId="10725"/>
    <cellStyle name="Thousands 2 3" xfId="6628"/>
    <cellStyle name="Thousands 2 3 2" xfId="11483"/>
    <cellStyle name="Thousands 2 4" xfId="8149"/>
    <cellStyle name="Thousands 2 4 2" xfId="13002"/>
    <cellStyle name="Thousands 2 5" xfId="9967"/>
    <cellStyle name="Thousands 3" xfId="5491"/>
    <cellStyle name="Thousands 3 2" xfId="7008"/>
    <cellStyle name="Thousands 3 2 2" xfId="11863"/>
    <cellStyle name="Thousands 3 3" xfId="8529"/>
    <cellStyle name="Thousands 3 3 2" xfId="13382"/>
    <cellStyle name="Thousands 3 4" xfId="10347"/>
    <cellStyle name="Thousands 4" xfId="6250"/>
    <cellStyle name="Thousands 4 2" xfId="11105"/>
    <cellStyle name="Thousands 5" xfId="7771"/>
    <cellStyle name="Thousands 5 2" xfId="12624"/>
    <cellStyle name="Thousands 6" xfId="9589"/>
    <cellStyle name="Times 10" xfId="4509"/>
    <cellStyle name="Times 10 2" xfId="5111"/>
    <cellStyle name="Times 10 2 2" xfId="5870"/>
    <cellStyle name="Times 10 2 2 2" xfId="7387"/>
    <cellStyle name="Times 10 2 2 2 2" xfId="12242"/>
    <cellStyle name="Times 10 2 2 3" xfId="8908"/>
    <cellStyle name="Times 10 2 2 3 2" xfId="13761"/>
    <cellStyle name="Times 10 2 2 4" xfId="10726"/>
    <cellStyle name="Times 10 2 3" xfId="6629"/>
    <cellStyle name="Times 10 2 3 2" xfId="11484"/>
    <cellStyle name="Times 10 2 4" xfId="8150"/>
    <cellStyle name="Times 10 2 4 2" xfId="13003"/>
    <cellStyle name="Times 10 2 5" xfId="9968"/>
    <cellStyle name="Times 10 3" xfId="5492"/>
    <cellStyle name="Times 10 3 2" xfId="7009"/>
    <cellStyle name="Times 10 3 2 2" xfId="11864"/>
    <cellStyle name="Times 10 3 3" xfId="8530"/>
    <cellStyle name="Times 10 3 3 2" xfId="13383"/>
    <cellStyle name="Times 10 3 4" xfId="10348"/>
    <cellStyle name="Times 10 4" xfId="6251"/>
    <cellStyle name="Times 10 4 2" xfId="11106"/>
    <cellStyle name="Times 10 5" xfId="7772"/>
    <cellStyle name="Times 10 5 2" xfId="12625"/>
    <cellStyle name="Times 10 6" xfId="9590"/>
    <cellStyle name="Times 12" xfId="4510"/>
    <cellStyle name="Times 12 2" xfId="5112"/>
    <cellStyle name="Times 12 2 2" xfId="5871"/>
    <cellStyle name="Times 12 2 2 2" xfId="7388"/>
    <cellStyle name="Times 12 2 2 2 2" xfId="12243"/>
    <cellStyle name="Times 12 2 2 3" xfId="8909"/>
    <cellStyle name="Times 12 2 2 3 2" xfId="13762"/>
    <cellStyle name="Times 12 2 2 4" xfId="10727"/>
    <cellStyle name="Times 12 2 3" xfId="6630"/>
    <cellStyle name="Times 12 2 3 2" xfId="11485"/>
    <cellStyle name="Times 12 2 4" xfId="8151"/>
    <cellStyle name="Times 12 2 4 2" xfId="13004"/>
    <cellStyle name="Times 12 2 5" xfId="9969"/>
    <cellStyle name="Times 12 3" xfId="5493"/>
    <cellStyle name="Times 12 3 2" xfId="7010"/>
    <cellStyle name="Times 12 3 2 2" xfId="11865"/>
    <cellStyle name="Times 12 3 3" xfId="8531"/>
    <cellStyle name="Times 12 3 3 2" xfId="13384"/>
    <cellStyle name="Times 12 3 4" xfId="10349"/>
    <cellStyle name="Times 12 4" xfId="6252"/>
    <cellStyle name="Times 12 4 2" xfId="11107"/>
    <cellStyle name="Times 12 5" xfId="7773"/>
    <cellStyle name="Times 12 5 2" xfId="12626"/>
    <cellStyle name="Times 12 6" xfId="9591"/>
    <cellStyle name="Title" xfId="154" builtinId="15" customBuiltin="1"/>
    <cellStyle name="Title 10" xfId="4511"/>
    <cellStyle name="Title 10 2" xfId="4512"/>
    <cellStyle name="Title 10 2 2" xfId="5114"/>
    <cellStyle name="Title 10 2 2 2" xfId="5873"/>
    <cellStyle name="Title 10 2 2 2 2" xfId="7390"/>
    <cellStyle name="Title 10 2 2 2 2 2" xfId="12245"/>
    <cellStyle name="Title 10 2 2 2 3" xfId="8911"/>
    <cellStyle name="Title 10 2 2 2 3 2" xfId="13764"/>
    <cellStyle name="Title 10 2 2 2 4" xfId="10729"/>
    <cellStyle name="Title 10 2 2 3" xfId="6632"/>
    <cellStyle name="Title 10 2 2 3 2" xfId="11487"/>
    <cellStyle name="Title 10 2 2 4" xfId="8153"/>
    <cellStyle name="Title 10 2 2 4 2" xfId="13006"/>
    <cellStyle name="Title 10 2 2 5" xfId="9971"/>
    <cellStyle name="Title 10 2 3" xfId="5495"/>
    <cellStyle name="Title 10 2 3 2" xfId="7012"/>
    <cellStyle name="Title 10 2 3 2 2" xfId="11867"/>
    <cellStyle name="Title 10 2 3 3" xfId="8533"/>
    <cellStyle name="Title 10 2 3 3 2" xfId="13386"/>
    <cellStyle name="Title 10 2 3 4" xfId="10351"/>
    <cellStyle name="Title 10 2 4" xfId="6254"/>
    <cellStyle name="Title 10 2 4 2" xfId="11109"/>
    <cellStyle name="Title 10 2 5" xfId="7775"/>
    <cellStyle name="Title 10 2 5 2" xfId="12628"/>
    <cellStyle name="Title 10 2 6" xfId="9593"/>
    <cellStyle name="Title 10 3" xfId="4513"/>
    <cellStyle name="Title 10 3 2" xfId="5115"/>
    <cellStyle name="Title 10 3 2 2" xfId="5874"/>
    <cellStyle name="Title 10 3 2 2 2" xfId="7391"/>
    <cellStyle name="Title 10 3 2 2 2 2" xfId="12246"/>
    <cellStyle name="Title 10 3 2 2 3" xfId="8912"/>
    <cellStyle name="Title 10 3 2 2 3 2" xfId="13765"/>
    <cellStyle name="Title 10 3 2 2 4" xfId="10730"/>
    <cellStyle name="Title 10 3 2 3" xfId="6633"/>
    <cellStyle name="Title 10 3 2 3 2" xfId="11488"/>
    <cellStyle name="Title 10 3 2 4" xfId="8154"/>
    <cellStyle name="Title 10 3 2 4 2" xfId="13007"/>
    <cellStyle name="Title 10 3 2 5" xfId="9972"/>
    <cellStyle name="Title 10 3 3" xfId="5496"/>
    <cellStyle name="Title 10 3 3 2" xfId="7013"/>
    <cellStyle name="Title 10 3 3 2 2" xfId="11868"/>
    <cellStyle name="Title 10 3 3 3" xfId="8534"/>
    <cellStyle name="Title 10 3 3 3 2" xfId="13387"/>
    <cellStyle name="Title 10 3 3 4" xfId="10352"/>
    <cellStyle name="Title 10 3 4" xfId="6255"/>
    <cellStyle name="Title 10 3 4 2" xfId="11110"/>
    <cellStyle name="Title 10 3 5" xfId="7776"/>
    <cellStyle name="Title 10 3 5 2" xfId="12629"/>
    <cellStyle name="Title 10 3 6" xfId="9594"/>
    <cellStyle name="Title 10 4" xfId="4514"/>
    <cellStyle name="Title 10 4 2" xfId="5116"/>
    <cellStyle name="Title 10 4 2 2" xfId="5875"/>
    <cellStyle name="Title 10 4 2 2 2" xfId="7392"/>
    <cellStyle name="Title 10 4 2 2 2 2" xfId="12247"/>
    <cellStyle name="Title 10 4 2 2 3" xfId="8913"/>
    <cellStyle name="Title 10 4 2 2 3 2" xfId="13766"/>
    <cellStyle name="Title 10 4 2 2 4" xfId="10731"/>
    <cellStyle name="Title 10 4 2 3" xfId="6634"/>
    <cellStyle name="Title 10 4 2 3 2" xfId="11489"/>
    <cellStyle name="Title 10 4 2 4" xfId="8155"/>
    <cellStyle name="Title 10 4 2 4 2" xfId="13008"/>
    <cellStyle name="Title 10 4 2 5" xfId="9973"/>
    <cellStyle name="Title 10 4 3" xfId="5497"/>
    <cellStyle name="Title 10 4 3 2" xfId="7014"/>
    <cellStyle name="Title 10 4 3 2 2" xfId="11869"/>
    <cellStyle name="Title 10 4 3 3" xfId="8535"/>
    <cellStyle name="Title 10 4 3 3 2" xfId="13388"/>
    <cellStyle name="Title 10 4 3 4" xfId="10353"/>
    <cellStyle name="Title 10 4 4" xfId="6256"/>
    <cellStyle name="Title 10 4 4 2" xfId="11111"/>
    <cellStyle name="Title 10 4 5" xfId="7777"/>
    <cellStyle name="Title 10 4 5 2" xfId="12630"/>
    <cellStyle name="Title 10 4 6" xfId="9595"/>
    <cellStyle name="Title 10 5" xfId="5113"/>
    <cellStyle name="Title 10 5 2" xfId="5872"/>
    <cellStyle name="Title 10 5 2 2" xfId="7389"/>
    <cellStyle name="Title 10 5 2 2 2" xfId="12244"/>
    <cellStyle name="Title 10 5 2 3" xfId="8910"/>
    <cellStyle name="Title 10 5 2 3 2" xfId="13763"/>
    <cellStyle name="Title 10 5 2 4" xfId="10728"/>
    <cellStyle name="Title 10 5 3" xfId="6631"/>
    <cellStyle name="Title 10 5 3 2" xfId="11486"/>
    <cellStyle name="Title 10 5 4" xfId="8152"/>
    <cellStyle name="Title 10 5 4 2" xfId="13005"/>
    <cellStyle name="Title 10 5 5" xfId="9970"/>
    <cellStyle name="Title 10 6" xfId="5494"/>
    <cellStyle name="Title 10 6 2" xfId="7011"/>
    <cellStyle name="Title 10 6 2 2" xfId="11866"/>
    <cellStyle name="Title 10 6 3" xfId="8532"/>
    <cellStyle name="Title 10 6 3 2" xfId="13385"/>
    <cellStyle name="Title 10 6 4" xfId="10350"/>
    <cellStyle name="Title 10 7" xfId="6253"/>
    <cellStyle name="Title 10 7 2" xfId="11108"/>
    <cellStyle name="Title 10 8" xfId="7774"/>
    <cellStyle name="Title 10 8 2" xfId="12627"/>
    <cellStyle name="Title 10 9" xfId="9592"/>
    <cellStyle name="Title 11" xfId="4515"/>
    <cellStyle name="Title 11 2" xfId="4516"/>
    <cellStyle name="Title 11 2 2" xfId="5118"/>
    <cellStyle name="Title 11 2 2 2" xfId="5877"/>
    <cellStyle name="Title 11 2 2 2 2" xfId="7394"/>
    <cellStyle name="Title 11 2 2 2 2 2" xfId="12249"/>
    <cellStyle name="Title 11 2 2 2 3" xfId="8915"/>
    <cellStyle name="Title 11 2 2 2 3 2" xfId="13768"/>
    <cellStyle name="Title 11 2 2 2 4" xfId="10733"/>
    <cellStyle name="Title 11 2 2 3" xfId="6636"/>
    <cellStyle name="Title 11 2 2 3 2" xfId="11491"/>
    <cellStyle name="Title 11 2 2 4" xfId="8157"/>
    <cellStyle name="Title 11 2 2 4 2" xfId="13010"/>
    <cellStyle name="Title 11 2 2 5" xfId="9975"/>
    <cellStyle name="Title 11 2 3" xfId="5499"/>
    <cellStyle name="Title 11 2 3 2" xfId="7016"/>
    <cellStyle name="Title 11 2 3 2 2" xfId="11871"/>
    <cellStyle name="Title 11 2 3 3" xfId="8537"/>
    <cellStyle name="Title 11 2 3 3 2" xfId="13390"/>
    <cellStyle name="Title 11 2 3 4" xfId="10355"/>
    <cellStyle name="Title 11 2 4" xfId="6258"/>
    <cellStyle name="Title 11 2 4 2" xfId="11113"/>
    <cellStyle name="Title 11 2 5" xfId="7779"/>
    <cellStyle name="Title 11 2 5 2" xfId="12632"/>
    <cellStyle name="Title 11 2 6" xfId="9597"/>
    <cellStyle name="Title 11 3" xfId="4517"/>
    <cellStyle name="Title 11 3 2" xfId="5119"/>
    <cellStyle name="Title 11 3 2 2" xfId="5878"/>
    <cellStyle name="Title 11 3 2 2 2" xfId="7395"/>
    <cellStyle name="Title 11 3 2 2 2 2" xfId="12250"/>
    <cellStyle name="Title 11 3 2 2 3" xfId="8916"/>
    <cellStyle name="Title 11 3 2 2 3 2" xfId="13769"/>
    <cellStyle name="Title 11 3 2 2 4" xfId="10734"/>
    <cellStyle name="Title 11 3 2 3" xfId="6637"/>
    <cellStyle name="Title 11 3 2 3 2" xfId="11492"/>
    <cellStyle name="Title 11 3 2 4" xfId="8158"/>
    <cellStyle name="Title 11 3 2 4 2" xfId="13011"/>
    <cellStyle name="Title 11 3 2 5" xfId="9976"/>
    <cellStyle name="Title 11 3 3" xfId="5500"/>
    <cellStyle name="Title 11 3 3 2" xfId="7017"/>
    <cellStyle name="Title 11 3 3 2 2" xfId="11872"/>
    <cellStyle name="Title 11 3 3 3" xfId="8538"/>
    <cellStyle name="Title 11 3 3 3 2" xfId="13391"/>
    <cellStyle name="Title 11 3 3 4" xfId="10356"/>
    <cellStyle name="Title 11 3 4" xfId="6259"/>
    <cellStyle name="Title 11 3 4 2" xfId="11114"/>
    <cellStyle name="Title 11 3 5" xfId="7780"/>
    <cellStyle name="Title 11 3 5 2" xfId="12633"/>
    <cellStyle name="Title 11 3 6" xfId="9598"/>
    <cellStyle name="Title 11 4" xfId="4518"/>
    <cellStyle name="Title 11 4 2" xfId="5120"/>
    <cellStyle name="Title 11 4 2 2" xfId="5879"/>
    <cellStyle name="Title 11 4 2 2 2" xfId="7396"/>
    <cellStyle name="Title 11 4 2 2 2 2" xfId="12251"/>
    <cellStyle name="Title 11 4 2 2 3" xfId="8917"/>
    <cellStyle name="Title 11 4 2 2 3 2" xfId="13770"/>
    <cellStyle name="Title 11 4 2 2 4" xfId="10735"/>
    <cellStyle name="Title 11 4 2 3" xfId="6638"/>
    <cellStyle name="Title 11 4 2 3 2" xfId="11493"/>
    <cellStyle name="Title 11 4 2 4" xfId="8159"/>
    <cellStyle name="Title 11 4 2 4 2" xfId="13012"/>
    <cellStyle name="Title 11 4 2 5" xfId="9977"/>
    <cellStyle name="Title 11 4 3" xfId="5501"/>
    <cellStyle name="Title 11 4 3 2" xfId="7018"/>
    <cellStyle name="Title 11 4 3 2 2" xfId="11873"/>
    <cellStyle name="Title 11 4 3 3" xfId="8539"/>
    <cellStyle name="Title 11 4 3 3 2" xfId="13392"/>
    <cellStyle name="Title 11 4 3 4" xfId="10357"/>
    <cellStyle name="Title 11 4 4" xfId="6260"/>
    <cellStyle name="Title 11 4 4 2" xfId="11115"/>
    <cellStyle name="Title 11 4 5" xfId="7781"/>
    <cellStyle name="Title 11 4 5 2" xfId="12634"/>
    <cellStyle name="Title 11 4 6" xfId="9599"/>
    <cellStyle name="Title 11 5" xfId="5117"/>
    <cellStyle name="Title 11 5 2" xfId="5876"/>
    <cellStyle name="Title 11 5 2 2" xfId="7393"/>
    <cellStyle name="Title 11 5 2 2 2" xfId="12248"/>
    <cellStyle name="Title 11 5 2 3" xfId="8914"/>
    <cellStyle name="Title 11 5 2 3 2" xfId="13767"/>
    <cellStyle name="Title 11 5 2 4" xfId="10732"/>
    <cellStyle name="Title 11 5 3" xfId="6635"/>
    <cellStyle name="Title 11 5 3 2" xfId="11490"/>
    <cellStyle name="Title 11 5 4" xfId="8156"/>
    <cellStyle name="Title 11 5 4 2" xfId="13009"/>
    <cellStyle name="Title 11 5 5" xfId="9974"/>
    <cellStyle name="Title 11 6" xfId="5498"/>
    <cellStyle name="Title 11 6 2" xfId="7015"/>
    <cellStyle name="Title 11 6 2 2" xfId="11870"/>
    <cellStyle name="Title 11 6 3" xfId="8536"/>
    <cellStyle name="Title 11 6 3 2" xfId="13389"/>
    <cellStyle name="Title 11 6 4" xfId="10354"/>
    <cellStyle name="Title 11 7" xfId="6257"/>
    <cellStyle name="Title 11 7 2" xfId="11112"/>
    <cellStyle name="Title 11 8" xfId="7778"/>
    <cellStyle name="Title 11 8 2" xfId="12631"/>
    <cellStyle name="Title 11 9" xfId="9596"/>
    <cellStyle name="Title 12" xfId="4519"/>
    <cellStyle name="Title 12 2" xfId="4520"/>
    <cellStyle name="Title 12 2 2" xfId="5122"/>
    <cellStyle name="Title 12 2 2 2" xfId="5881"/>
    <cellStyle name="Title 12 2 2 2 2" xfId="7398"/>
    <cellStyle name="Title 12 2 2 2 2 2" xfId="12253"/>
    <cellStyle name="Title 12 2 2 2 3" xfId="8919"/>
    <cellStyle name="Title 12 2 2 2 3 2" xfId="13772"/>
    <cellStyle name="Title 12 2 2 2 4" xfId="10737"/>
    <cellStyle name="Title 12 2 2 3" xfId="6640"/>
    <cellStyle name="Title 12 2 2 3 2" xfId="11495"/>
    <cellStyle name="Title 12 2 2 4" xfId="8161"/>
    <cellStyle name="Title 12 2 2 4 2" xfId="13014"/>
    <cellStyle name="Title 12 2 2 5" xfId="9979"/>
    <cellStyle name="Title 12 2 3" xfId="5503"/>
    <cellStyle name="Title 12 2 3 2" xfId="7020"/>
    <cellStyle name="Title 12 2 3 2 2" xfId="11875"/>
    <cellStyle name="Title 12 2 3 3" xfId="8541"/>
    <cellStyle name="Title 12 2 3 3 2" xfId="13394"/>
    <cellStyle name="Title 12 2 3 4" xfId="10359"/>
    <cellStyle name="Title 12 2 4" xfId="6262"/>
    <cellStyle name="Title 12 2 4 2" xfId="11117"/>
    <cellStyle name="Title 12 2 5" xfId="7783"/>
    <cellStyle name="Title 12 2 5 2" xfId="12636"/>
    <cellStyle name="Title 12 2 6" xfId="9601"/>
    <cellStyle name="Title 12 3" xfId="4521"/>
    <cellStyle name="Title 12 3 2" xfId="5123"/>
    <cellStyle name="Title 12 3 2 2" xfId="5882"/>
    <cellStyle name="Title 12 3 2 2 2" xfId="7399"/>
    <cellStyle name="Title 12 3 2 2 2 2" xfId="12254"/>
    <cellStyle name="Title 12 3 2 2 3" xfId="8920"/>
    <cellStyle name="Title 12 3 2 2 3 2" xfId="13773"/>
    <cellStyle name="Title 12 3 2 2 4" xfId="10738"/>
    <cellStyle name="Title 12 3 2 3" xfId="6641"/>
    <cellStyle name="Title 12 3 2 3 2" xfId="11496"/>
    <cellStyle name="Title 12 3 2 4" xfId="8162"/>
    <cellStyle name="Title 12 3 2 4 2" xfId="13015"/>
    <cellStyle name="Title 12 3 2 5" xfId="9980"/>
    <cellStyle name="Title 12 3 3" xfId="5504"/>
    <cellStyle name="Title 12 3 3 2" xfId="7021"/>
    <cellStyle name="Title 12 3 3 2 2" xfId="11876"/>
    <cellStyle name="Title 12 3 3 3" xfId="8542"/>
    <cellStyle name="Title 12 3 3 3 2" xfId="13395"/>
    <cellStyle name="Title 12 3 3 4" xfId="10360"/>
    <cellStyle name="Title 12 3 4" xfId="6263"/>
    <cellStyle name="Title 12 3 4 2" xfId="11118"/>
    <cellStyle name="Title 12 3 5" xfId="7784"/>
    <cellStyle name="Title 12 3 5 2" xfId="12637"/>
    <cellStyle name="Title 12 3 6" xfId="9602"/>
    <cellStyle name="Title 12 4" xfId="4522"/>
    <cellStyle name="Title 12 4 2" xfId="5124"/>
    <cellStyle name="Title 12 4 2 2" xfId="5883"/>
    <cellStyle name="Title 12 4 2 2 2" xfId="7400"/>
    <cellStyle name="Title 12 4 2 2 2 2" xfId="12255"/>
    <cellStyle name="Title 12 4 2 2 3" xfId="8921"/>
    <cellStyle name="Title 12 4 2 2 3 2" xfId="13774"/>
    <cellStyle name="Title 12 4 2 2 4" xfId="10739"/>
    <cellStyle name="Title 12 4 2 3" xfId="6642"/>
    <cellStyle name="Title 12 4 2 3 2" xfId="11497"/>
    <cellStyle name="Title 12 4 2 4" xfId="8163"/>
    <cellStyle name="Title 12 4 2 4 2" xfId="13016"/>
    <cellStyle name="Title 12 4 2 5" xfId="9981"/>
    <cellStyle name="Title 12 4 3" xfId="5505"/>
    <cellStyle name="Title 12 4 3 2" xfId="7022"/>
    <cellStyle name="Title 12 4 3 2 2" xfId="11877"/>
    <cellStyle name="Title 12 4 3 3" xfId="8543"/>
    <cellStyle name="Title 12 4 3 3 2" xfId="13396"/>
    <cellStyle name="Title 12 4 3 4" xfId="10361"/>
    <cellStyle name="Title 12 4 4" xfId="6264"/>
    <cellStyle name="Title 12 4 4 2" xfId="11119"/>
    <cellStyle name="Title 12 4 5" xfId="7785"/>
    <cellStyle name="Title 12 4 5 2" xfId="12638"/>
    <cellStyle name="Title 12 4 6" xfId="9603"/>
    <cellStyle name="Title 12 5" xfId="5121"/>
    <cellStyle name="Title 12 5 2" xfId="5880"/>
    <cellStyle name="Title 12 5 2 2" xfId="7397"/>
    <cellStyle name="Title 12 5 2 2 2" xfId="12252"/>
    <cellStyle name="Title 12 5 2 3" xfId="8918"/>
    <cellStyle name="Title 12 5 2 3 2" xfId="13771"/>
    <cellStyle name="Title 12 5 2 4" xfId="10736"/>
    <cellStyle name="Title 12 5 3" xfId="6639"/>
    <cellStyle name="Title 12 5 3 2" xfId="11494"/>
    <cellStyle name="Title 12 5 4" xfId="8160"/>
    <cellStyle name="Title 12 5 4 2" xfId="13013"/>
    <cellStyle name="Title 12 5 5" xfId="9978"/>
    <cellStyle name="Title 12 6" xfId="5502"/>
    <cellStyle name="Title 12 6 2" xfId="7019"/>
    <cellStyle name="Title 12 6 2 2" xfId="11874"/>
    <cellStyle name="Title 12 6 3" xfId="8540"/>
    <cellStyle name="Title 12 6 3 2" xfId="13393"/>
    <cellStyle name="Title 12 6 4" xfId="10358"/>
    <cellStyle name="Title 12 7" xfId="6261"/>
    <cellStyle name="Title 12 7 2" xfId="11116"/>
    <cellStyle name="Title 12 8" xfId="7782"/>
    <cellStyle name="Title 12 8 2" xfId="12635"/>
    <cellStyle name="Title 12 9" xfId="9600"/>
    <cellStyle name="Title 13" xfId="4523"/>
    <cellStyle name="Title 13 2" xfId="4524"/>
    <cellStyle name="Title 13 2 2" xfId="5126"/>
    <cellStyle name="Title 13 2 2 2" xfId="5885"/>
    <cellStyle name="Title 13 2 2 2 2" xfId="7402"/>
    <cellStyle name="Title 13 2 2 2 2 2" xfId="12257"/>
    <cellStyle name="Title 13 2 2 2 3" xfId="8923"/>
    <cellStyle name="Title 13 2 2 2 3 2" xfId="13776"/>
    <cellStyle name="Title 13 2 2 2 4" xfId="10741"/>
    <cellStyle name="Title 13 2 2 3" xfId="6644"/>
    <cellStyle name="Title 13 2 2 3 2" xfId="11499"/>
    <cellStyle name="Title 13 2 2 4" xfId="8165"/>
    <cellStyle name="Title 13 2 2 4 2" xfId="13018"/>
    <cellStyle name="Title 13 2 2 5" xfId="9983"/>
    <cellStyle name="Title 13 2 3" xfId="5507"/>
    <cellStyle name="Title 13 2 3 2" xfId="7024"/>
    <cellStyle name="Title 13 2 3 2 2" xfId="11879"/>
    <cellStyle name="Title 13 2 3 3" xfId="8545"/>
    <cellStyle name="Title 13 2 3 3 2" xfId="13398"/>
    <cellStyle name="Title 13 2 3 4" xfId="10363"/>
    <cellStyle name="Title 13 2 4" xfId="6266"/>
    <cellStyle name="Title 13 2 4 2" xfId="11121"/>
    <cellStyle name="Title 13 2 5" xfId="7787"/>
    <cellStyle name="Title 13 2 5 2" xfId="12640"/>
    <cellStyle name="Title 13 2 6" xfId="9605"/>
    <cellStyle name="Title 13 3" xfId="4525"/>
    <cellStyle name="Title 13 3 2" xfId="5127"/>
    <cellStyle name="Title 13 3 2 2" xfId="5886"/>
    <cellStyle name="Title 13 3 2 2 2" xfId="7403"/>
    <cellStyle name="Title 13 3 2 2 2 2" xfId="12258"/>
    <cellStyle name="Title 13 3 2 2 3" xfId="8924"/>
    <cellStyle name="Title 13 3 2 2 3 2" xfId="13777"/>
    <cellStyle name="Title 13 3 2 2 4" xfId="10742"/>
    <cellStyle name="Title 13 3 2 3" xfId="6645"/>
    <cellStyle name="Title 13 3 2 3 2" xfId="11500"/>
    <cellStyle name="Title 13 3 2 4" xfId="8166"/>
    <cellStyle name="Title 13 3 2 4 2" xfId="13019"/>
    <cellStyle name="Title 13 3 2 5" xfId="9984"/>
    <cellStyle name="Title 13 3 3" xfId="5508"/>
    <cellStyle name="Title 13 3 3 2" xfId="7025"/>
    <cellStyle name="Title 13 3 3 2 2" xfId="11880"/>
    <cellStyle name="Title 13 3 3 3" xfId="8546"/>
    <cellStyle name="Title 13 3 3 3 2" xfId="13399"/>
    <cellStyle name="Title 13 3 3 4" xfId="10364"/>
    <cellStyle name="Title 13 3 4" xfId="6267"/>
    <cellStyle name="Title 13 3 4 2" xfId="11122"/>
    <cellStyle name="Title 13 3 5" xfId="7788"/>
    <cellStyle name="Title 13 3 5 2" xfId="12641"/>
    <cellStyle name="Title 13 3 6" xfId="9606"/>
    <cellStyle name="Title 13 4" xfId="4526"/>
    <cellStyle name="Title 13 4 2" xfId="5128"/>
    <cellStyle name="Title 13 4 2 2" xfId="5887"/>
    <cellStyle name="Title 13 4 2 2 2" xfId="7404"/>
    <cellStyle name="Title 13 4 2 2 2 2" xfId="12259"/>
    <cellStyle name="Title 13 4 2 2 3" xfId="8925"/>
    <cellStyle name="Title 13 4 2 2 3 2" xfId="13778"/>
    <cellStyle name="Title 13 4 2 2 4" xfId="10743"/>
    <cellStyle name="Title 13 4 2 3" xfId="6646"/>
    <cellStyle name="Title 13 4 2 3 2" xfId="11501"/>
    <cellStyle name="Title 13 4 2 4" xfId="8167"/>
    <cellStyle name="Title 13 4 2 4 2" xfId="13020"/>
    <cellStyle name="Title 13 4 2 5" xfId="9985"/>
    <cellStyle name="Title 13 4 3" xfId="5509"/>
    <cellStyle name="Title 13 4 3 2" xfId="7026"/>
    <cellStyle name="Title 13 4 3 2 2" xfId="11881"/>
    <cellStyle name="Title 13 4 3 3" xfId="8547"/>
    <cellStyle name="Title 13 4 3 3 2" xfId="13400"/>
    <cellStyle name="Title 13 4 3 4" xfId="10365"/>
    <cellStyle name="Title 13 4 4" xfId="6268"/>
    <cellStyle name="Title 13 4 4 2" xfId="11123"/>
    <cellStyle name="Title 13 4 5" xfId="7789"/>
    <cellStyle name="Title 13 4 5 2" xfId="12642"/>
    <cellStyle name="Title 13 4 6" xfId="9607"/>
    <cellStyle name="Title 13 5" xfId="5125"/>
    <cellStyle name="Title 13 5 2" xfId="5884"/>
    <cellStyle name="Title 13 5 2 2" xfId="7401"/>
    <cellStyle name="Title 13 5 2 2 2" xfId="12256"/>
    <cellStyle name="Title 13 5 2 3" xfId="8922"/>
    <cellStyle name="Title 13 5 2 3 2" xfId="13775"/>
    <cellStyle name="Title 13 5 2 4" xfId="10740"/>
    <cellStyle name="Title 13 5 3" xfId="6643"/>
    <cellStyle name="Title 13 5 3 2" xfId="11498"/>
    <cellStyle name="Title 13 5 4" xfId="8164"/>
    <cellStyle name="Title 13 5 4 2" xfId="13017"/>
    <cellStyle name="Title 13 5 5" xfId="9982"/>
    <cellStyle name="Title 13 6" xfId="5506"/>
    <cellStyle name="Title 13 6 2" xfId="7023"/>
    <cellStyle name="Title 13 6 2 2" xfId="11878"/>
    <cellStyle name="Title 13 6 3" xfId="8544"/>
    <cellStyle name="Title 13 6 3 2" xfId="13397"/>
    <cellStyle name="Title 13 6 4" xfId="10362"/>
    <cellStyle name="Title 13 7" xfId="6265"/>
    <cellStyle name="Title 13 7 2" xfId="11120"/>
    <cellStyle name="Title 13 8" xfId="7786"/>
    <cellStyle name="Title 13 8 2" xfId="12639"/>
    <cellStyle name="Title 13 9" xfId="9604"/>
    <cellStyle name="Title 14" xfId="4527"/>
    <cellStyle name="Title 14 2" xfId="4528"/>
    <cellStyle name="Title 14 2 2" xfId="5130"/>
    <cellStyle name="Title 14 2 2 2" xfId="5889"/>
    <cellStyle name="Title 14 2 2 2 2" xfId="7406"/>
    <cellStyle name="Title 14 2 2 2 2 2" xfId="12261"/>
    <cellStyle name="Title 14 2 2 2 3" xfId="8927"/>
    <cellStyle name="Title 14 2 2 2 3 2" xfId="13780"/>
    <cellStyle name="Title 14 2 2 2 4" xfId="10745"/>
    <cellStyle name="Title 14 2 2 3" xfId="6648"/>
    <cellStyle name="Title 14 2 2 3 2" xfId="11503"/>
    <cellStyle name="Title 14 2 2 4" xfId="8169"/>
    <cellStyle name="Title 14 2 2 4 2" xfId="13022"/>
    <cellStyle name="Title 14 2 2 5" xfId="9987"/>
    <cellStyle name="Title 14 2 3" xfId="5511"/>
    <cellStyle name="Title 14 2 3 2" xfId="7028"/>
    <cellStyle name="Title 14 2 3 2 2" xfId="11883"/>
    <cellStyle name="Title 14 2 3 3" xfId="8549"/>
    <cellStyle name="Title 14 2 3 3 2" xfId="13402"/>
    <cellStyle name="Title 14 2 3 4" xfId="10367"/>
    <cellStyle name="Title 14 2 4" xfId="6270"/>
    <cellStyle name="Title 14 2 4 2" xfId="11125"/>
    <cellStyle name="Title 14 2 5" xfId="7791"/>
    <cellStyle name="Title 14 2 5 2" xfId="12644"/>
    <cellStyle name="Title 14 2 6" xfId="9609"/>
    <cellStyle name="Title 14 3" xfId="4529"/>
    <cellStyle name="Title 14 3 2" xfId="5131"/>
    <cellStyle name="Title 14 3 2 2" xfId="5890"/>
    <cellStyle name="Title 14 3 2 2 2" xfId="7407"/>
    <cellStyle name="Title 14 3 2 2 2 2" xfId="12262"/>
    <cellStyle name="Title 14 3 2 2 3" xfId="8928"/>
    <cellStyle name="Title 14 3 2 2 3 2" xfId="13781"/>
    <cellStyle name="Title 14 3 2 2 4" xfId="10746"/>
    <cellStyle name="Title 14 3 2 3" xfId="6649"/>
    <cellStyle name="Title 14 3 2 3 2" xfId="11504"/>
    <cellStyle name="Title 14 3 2 4" xfId="8170"/>
    <cellStyle name="Title 14 3 2 4 2" xfId="13023"/>
    <cellStyle name="Title 14 3 2 5" xfId="9988"/>
    <cellStyle name="Title 14 3 3" xfId="5512"/>
    <cellStyle name="Title 14 3 3 2" xfId="7029"/>
    <cellStyle name="Title 14 3 3 2 2" xfId="11884"/>
    <cellStyle name="Title 14 3 3 3" xfId="8550"/>
    <cellStyle name="Title 14 3 3 3 2" xfId="13403"/>
    <cellStyle name="Title 14 3 3 4" xfId="10368"/>
    <cellStyle name="Title 14 3 4" xfId="6271"/>
    <cellStyle name="Title 14 3 4 2" xfId="11126"/>
    <cellStyle name="Title 14 3 5" xfId="7792"/>
    <cellStyle name="Title 14 3 5 2" xfId="12645"/>
    <cellStyle name="Title 14 3 6" xfId="9610"/>
    <cellStyle name="Title 14 4" xfId="4530"/>
    <cellStyle name="Title 14 4 2" xfId="5132"/>
    <cellStyle name="Title 14 4 2 2" xfId="5891"/>
    <cellStyle name="Title 14 4 2 2 2" xfId="7408"/>
    <cellStyle name="Title 14 4 2 2 2 2" xfId="12263"/>
    <cellStyle name="Title 14 4 2 2 3" xfId="8929"/>
    <cellStyle name="Title 14 4 2 2 3 2" xfId="13782"/>
    <cellStyle name="Title 14 4 2 2 4" xfId="10747"/>
    <cellStyle name="Title 14 4 2 3" xfId="6650"/>
    <cellStyle name="Title 14 4 2 3 2" xfId="11505"/>
    <cellStyle name="Title 14 4 2 4" xfId="8171"/>
    <cellStyle name="Title 14 4 2 4 2" xfId="13024"/>
    <cellStyle name="Title 14 4 2 5" xfId="9989"/>
    <cellStyle name="Title 14 4 3" xfId="5513"/>
    <cellStyle name="Title 14 4 3 2" xfId="7030"/>
    <cellStyle name="Title 14 4 3 2 2" xfId="11885"/>
    <cellStyle name="Title 14 4 3 3" xfId="8551"/>
    <cellStyle name="Title 14 4 3 3 2" xfId="13404"/>
    <cellStyle name="Title 14 4 3 4" xfId="10369"/>
    <cellStyle name="Title 14 4 4" xfId="6272"/>
    <cellStyle name="Title 14 4 4 2" xfId="11127"/>
    <cellStyle name="Title 14 4 5" xfId="7793"/>
    <cellStyle name="Title 14 4 5 2" xfId="12646"/>
    <cellStyle name="Title 14 4 6" xfId="9611"/>
    <cellStyle name="Title 14 5" xfId="5129"/>
    <cellStyle name="Title 14 5 2" xfId="5888"/>
    <cellStyle name="Title 14 5 2 2" xfId="7405"/>
    <cellStyle name="Title 14 5 2 2 2" xfId="12260"/>
    <cellStyle name="Title 14 5 2 3" xfId="8926"/>
    <cellStyle name="Title 14 5 2 3 2" xfId="13779"/>
    <cellStyle name="Title 14 5 2 4" xfId="10744"/>
    <cellStyle name="Title 14 5 3" xfId="6647"/>
    <cellStyle name="Title 14 5 3 2" xfId="11502"/>
    <cellStyle name="Title 14 5 4" xfId="8168"/>
    <cellStyle name="Title 14 5 4 2" xfId="13021"/>
    <cellStyle name="Title 14 5 5" xfId="9986"/>
    <cellStyle name="Title 14 6" xfId="5510"/>
    <cellStyle name="Title 14 6 2" xfId="7027"/>
    <cellStyle name="Title 14 6 2 2" xfId="11882"/>
    <cellStyle name="Title 14 6 3" xfId="8548"/>
    <cellStyle name="Title 14 6 3 2" xfId="13401"/>
    <cellStyle name="Title 14 6 4" xfId="10366"/>
    <cellStyle name="Title 14 7" xfId="6269"/>
    <cellStyle name="Title 14 7 2" xfId="11124"/>
    <cellStyle name="Title 14 8" xfId="7790"/>
    <cellStyle name="Title 14 8 2" xfId="12643"/>
    <cellStyle name="Title 14 9" xfId="9608"/>
    <cellStyle name="Title 15" xfId="4531"/>
    <cellStyle name="Title 15 2" xfId="4532"/>
    <cellStyle name="Title 15 2 2" xfId="5134"/>
    <cellStyle name="Title 15 2 2 2" xfId="5893"/>
    <cellStyle name="Title 15 2 2 2 2" xfId="7410"/>
    <cellStyle name="Title 15 2 2 2 2 2" xfId="12265"/>
    <cellStyle name="Title 15 2 2 2 3" xfId="8931"/>
    <cellStyle name="Title 15 2 2 2 3 2" xfId="13784"/>
    <cellStyle name="Title 15 2 2 2 4" xfId="10749"/>
    <cellStyle name="Title 15 2 2 3" xfId="6652"/>
    <cellStyle name="Title 15 2 2 3 2" xfId="11507"/>
    <cellStyle name="Title 15 2 2 4" xfId="8173"/>
    <cellStyle name="Title 15 2 2 4 2" xfId="13026"/>
    <cellStyle name="Title 15 2 2 5" xfId="9991"/>
    <cellStyle name="Title 15 2 3" xfId="5515"/>
    <cellStyle name="Title 15 2 3 2" xfId="7032"/>
    <cellStyle name="Title 15 2 3 2 2" xfId="11887"/>
    <cellStyle name="Title 15 2 3 3" xfId="8553"/>
    <cellStyle name="Title 15 2 3 3 2" xfId="13406"/>
    <cellStyle name="Title 15 2 3 4" xfId="10371"/>
    <cellStyle name="Title 15 2 4" xfId="6274"/>
    <cellStyle name="Title 15 2 4 2" xfId="11129"/>
    <cellStyle name="Title 15 2 5" xfId="7795"/>
    <cellStyle name="Title 15 2 5 2" xfId="12648"/>
    <cellStyle name="Title 15 2 6" xfId="9613"/>
    <cellStyle name="Title 15 3" xfId="4533"/>
    <cellStyle name="Title 15 3 2" xfId="5135"/>
    <cellStyle name="Title 15 3 2 2" xfId="5894"/>
    <cellStyle name="Title 15 3 2 2 2" xfId="7411"/>
    <cellStyle name="Title 15 3 2 2 2 2" xfId="12266"/>
    <cellStyle name="Title 15 3 2 2 3" xfId="8932"/>
    <cellStyle name="Title 15 3 2 2 3 2" xfId="13785"/>
    <cellStyle name="Title 15 3 2 2 4" xfId="10750"/>
    <cellStyle name="Title 15 3 2 3" xfId="6653"/>
    <cellStyle name="Title 15 3 2 3 2" xfId="11508"/>
    <cellStyle name="Title 15 3 2 4" xfId="8174"/>
    <cellStyle name="Title 15 3 2 4 2" xfId="13027"/>
    <cellStyle name="Title 15 3 2 5" xfId="9992"/>
    <cellStyle name="Title 15 3 3" xfId="5516"/>
    <cellStyle name="Title 15 3 3 2" xfId="7033"/>
    <cellStyle name="Title 15 3 3 2 2" xfId="11888"/>
    <cellStyle name="Title 15 3 3 3" xfId="8554"/>
    <cellStyle name="Title 15 3 3 3 2" xfId="13407"/>
    <cellStyle name="Title 15 3 3 4" xfId="10372"/>
    <cellStyle name="Title 15 3 4" xfId="6275"/>
    <cellStyle name="Title 15 3 4 2" xfId="11130"/>
    <cellStyle name="Title 15 3 5" xfId="7796"/>
    <cellStyle name="Title 15 3 5 2" xfId="12649"/>
    <cellStyle name="Title 15 3 6" xfId="9614"/>
    <cellStyle name="Title 15 4" xfId="4534"/>
    <cellStyle name="Title 15 4 2" xfId="5136"/>
    <cellStyle name="Title 15 4 2 2" xfId="5895"/>
    <cellStyle name="Title 15 4 2 2 2" xfId="7412"/>
    <cellStyle name="Title 15 4 2 2 2 2" xfId="12267"/>
    <cellStyle name="Title 15 4 2 2 3" xfId="8933"/>
    <cellStyle name="Title 15 4 2 2 3 2" xfId="13786"/>
    <cellStyle name="Title 15 4 2 2 4" xfId="10751"/>
    <cellStyle name="Title 15 4 2 3" xfId="6654"/>
    <cellStyle name="Title 15 4 2 3 2" xfId="11509"/>
    <cellStyle name="Title 15 4 2 4" xfId="8175"/>
    <cellStyle name="Title 15 4 2 4 2" xfId="13028"/>
    <cellStyle name="Title 15 4 2 5" xfId="9993"/>
    <cellStyle name="Title 15 4 3" xfId="5517"/>
    <cellStyle name="Title 15 4 3 2" xfId="7034"/>
    <cellStyle name="Title 15 4 3 2 2" xfId="11889"/>
    <cellStyle name="Title 15 4 3 3" xfId="8555"/>
    <cellStyle name="Title 15 4 3 3 2" xfId="13408"/>
    <cellStyle name="Title 15 4 3 4" xfId="10373"/>
    <cellStyle name="Title 15 4 4" xfId="6276"/>
    <cellStyle name="Title 15 4 4 2" xfId="11131"/>
    <cellStyle name="Title 15 4 5" xfId="7797"/>
    <cellStyle name="Title 15 4 5 2" xfId="12650"/>
    <cellStyle name="Title 15 4 6" xfId="9615"/>
    <cellStyle name="Title 15 5" xfId="5133"/>
    <cellStyle name="Title 15 5 2" xfId="5892"/>
    <cellStyle name="Title 15 5 2 2" xfId="7409"/>
    <cellStyle name="Title 15 5 2 2 2" xfId="12264"/>
    <cellStyle name="Title 15 5 2 3" xfId="8930"/>
    <cellStyle name="Title 15 5 2 3 2" xfId="13783"/>
    <cellStyle name="Title 15 5 2 4" xfId="10748"/>
    <cellStyle name="Title 15 5 3" xfId="6651"/>
    <cellStyle name="Title 15 5 3 2" xfId="11506"/>
    <cellStyle name="Title 15 5 4" xfId="8172"/>
    <cellStyle name="Title 15 5 4 2" xfId="13025"/>
    <cellStyle name="Title 15 5 5" xfId="9990"/>
    <cellStyle name="Title 15 6" xfId="5514"/>
    <cellStyle name="Title 15 6 2" xfId="7031"/>
    <cellStyle name="Title 15 6 2 2" xfId="11886"/>
    <cellStyle name="Title 15 6 3" xfId="8552"/>
    <cellStyle name="Title 15 6 3 2" xfId="13405"/>
    <cellStyle name="Title 15 6 4" xfId="10370"/>
    <cellStyle name="Title 15 7" xfId="6273"/>
    <cellStyle name="Title 15 7 2" xfId="11128"/>
    <cellStyle name="Title 15 8" xfId="7794"/>
    <cellStyle name="Title 15 8 2" xfId="12647"/>
    <cellStyle name="Title 15 9" xfId="9612"/>
    <cellStyle name="Title 16" xfId="4535"/>
    <cellStyle name="Title 16 2" xfId="5137"/>
    <cellStyle name="Title 16 2 2" xfId="5896"/>
    <cellStyle name="Title 16 2 2 2" xfId="7413"/>
    <cellStyle name="Title 16 2 2 2 2" xfId="12268"/>
    <cellStyle name="Title 16 2 2 3" xfId="8934"/>
    <cellStyle name="Title 16 2 2 3 2" xfId="13787"/>
    <cellStyle name="Title 16 2 2 4" xfId="10752"/>
    <cellStyle name="Title 16 2 3" xfId="6655"/>
    <cellStyle name="Title 16 2 3 2" xfId="11510"/>
    <cellStyle name="Title 16 2 4" xfId="8176"/>
    <cellStyle name="Title 16 2 4 2" xfId="13029"/>
    <cellStyle name="Title 16 2 5" xfId="9994"/>
    <cellStyle name="Title 16 3" xfId="5518"/>
    <cellStyle name="Title 16 3 2" xfId="7035"/>
    <cellStyle name="Title 16 3 2 2" xfId="11890"/>
    <cellStyle name="Title 16 3 3" xfId="8556"/>
    <cellStyle name="Title 16 3 3 2" xfId="13409"/>
    <cellStyle name="Title 16 3 4" xfId="10374"/>
    <cellStyle name="Title 16 4" xfId="6277"/>
    <cellStyle name="Title 16 4 2" xfId="11132"/>
    <cellStyle name="Title 16 5" xfId="7798"/>
    <cellStyle name="Title 16 5 2" xfId="12651"/>
    <cellStyle name="Title 16 6" xfId="9616"/>
    <cellStyle name="Title 17" xfId="4536"/>
    <cellStyle name="Title 17 2" xfId="5138"/>
    <cellStyle name="Title 17 2 2" xfId="5897"/>
    <cellStyle name="Title 17 2 2 2" xfId="7414"/>
    <cellStyle name="Title 17 2 2 2 2" xfId="12269"/>
    <cellStyle name="Title 17 2 2 3" xfId="8935"/>
    <cellStyle name="Title 17 2 2 3 2" xfId="13788"/>
    <cellStyle name="Title 17 2 2 4" xfId="10753"/>
    <cellStyle name="Title 17 2 3" xfId="6656"/>
    <cellStyle name="Title 17 2 3 2" xfId="11511"/>
    <cellStyle name="Title 17 2 4" xfId="8177"/>
    <cellStyle name="Title 17 2 4 2" xfId="13030"/>
    <cellStyle name="Title 17 2 5" xfId="9995"/>
    <cellStyle name="Title 17 3" xfId="5519"/>
    <cellStyle name="Title 17 3 2" xfId="7036"/>
    <cellStyle name="Title 17 3 2 2" xfId="11891"/>
    <cellStyle name="Title 17 3 3" xfId="8557"/>
    <cellStyle name="Title 17 3 3 2" xfId="13410"/>
    <cellStyle name="Title 17 3 4" xfId="10375"/>
    <cellStyle name="Title 17 4" xfId="6278"/>
    <cellStyle name="Title 17 4 2" xfId="11133"/>
    <cellStyle name="Title 17 5" xfId="7799"/>
    <cellStyle name="Title 17 5 2" xfId="12652"/>
    <cellStyle name="Title 17 6" xfId="9617"/>
    <cellStyle name="Title 18" xfId="4537"/>
    <cellStyle name="Title 18 2" xfId="5139"/>
    <cellStyle name="Title 18 2 2" xfId="5898"/>
    <cellStyle name="Title 18 2 2 2" xfId="7415"/>
    <cellStyle name="Title 18 2 2 2 2" xfId="12270"/>
    <cellStyle name="Title 18 2 2 3" xfId="8936"/>
    <cellStyle name="Title 18 2 2 3 2" xfId="13789"/>
    <cellStyle name="Title 18 2 2 4" xfId="10754"/>
    <cellStyle name="Title 18 2 3" xfId="6657"/>
    <cellStyle name="Title 18 2 3 2" xfId="11512"/>
    <cellStyle name="Title 18 2 4" xfId="8178"/>
    <cellStyle name="Title 18 2 4 2" xfId="13031"/>
    <cellStyle name="Title 18 2 5" xfId="9996"/>
    <cellStyle name="Title 18 3" xfId="5520"/>
    <cellStyle name="Title 18 3 2" xfId="7037"/>
    <cellStyle name="Title 18 3 2 2" xfId="11892"/>
    <cellStyle name="Title 18 3 3" xfId="8558"/>
    <cellStyle name="Title 18 3 3 2" xfId="13411"/>
    <cellStyle name="Title 18 3 4" xfId="10376"/>
    <cellStyle name="Title 18 4" xfId="6279"/>
    <cellStyle name="Title 18 4 2" xfId="11134"/>
    <cellStyle name="Title 18 5" xfId="7800"/>
    <cellStyle name="Title 18 5 2" xfId="12653"/>
    <cellStyle name="Title 18 6" xfId="9618"/>
    <cellStyle name="Title 19" xfId="4538"/>
    <cellStyle name="Title 19 2" xfId="5140"/>
    <cellStyle name="Title 19 2 2" xfId="5899"/>
    <cellStyle name="Title 19 2 2 2" xfId="7416"/>
    <cellStyle name="Title 19 2 2 2 2" xfId="12271"/>
    <cellStyle name="Title 19 2 2 3" xfId="8937"/>
    <cellStyle name="Title 19 2 2 3 2" xfId="13790"/>
    <cellStyle name="Title 19 2 2 4" xfId="10755"/>
    <cellStyle name="Title 19 2 3" xfId="6658"/>
    <cellStyle name="Title 19 2 3 2" xfId="11513"/>
    <cellStyle name="Title 19 2 4" xfId="8179"/>
    <cellStyle name="Title 19 2 4 2" xfId="13032"/>
    <cellStyle name="Title 19 2 5" xfId="9997"/>
    <cellStyle name="Title 19 3" xfId="5521"/>
    <cellStyle name="Title 19 3 2" xfId="7038"/>
    <cellStyle name="Title 19 3 2 2" xfId="11893"/>
    <cellStyle name="Title 19 3 3" xfId="8559"/>
    <cellStyle name="Title 19 3 3 2" xfId="13412"/>
    <cellStyle name="Title 19 3 4" xfId="10377"/>
    <cellStyle name="Title 19 4" xfId="6280"/>
    <cellStyle name="Title 19 4 2" xfId="11135"/>
    <cellStyle name="Title 19 5" xfId="7801"/>
    <cellStyle name="Title 19 5 2" xfId="12654"/>
    <cellStyle name="Title 19 6" xfId="9619"/>
    <cellStyle name="Title 2" xfId="431"/>
    <cellStyle name="Title 2 10" xfId="4540"/>
    <cellStyle name="Title 2 10 2" xfId="4541"/>
    <cellStyle name="Title 2 10 2 2" xfId="5143"/>
    <cellStyle name="Title 2 10 2 2 2" xfId="5902"/>
    <cellStyle name="Title 2 10 2 2 2 2" xfId="7419"/>
    <cellStyle name="Title 2 10 2 2 2 2 2" xfId="12274"/>
    <cellStyle name="Title 2 10 2 2 2 3" xfId="8940"/>
    <cellStyle name="Title 2 10 2 2 2 3 2" xfId="13793"/>
    <cellStyle name="Title 2 10 2 2 2 4" xfId="10758"/>
    <cellStyle name="Title 2 10 2 2 3" xfId="6661"/>
    <cellStyle name="Title 2 10 2 2 3 2" xfId="11516"/>
    <cellStyle name="Title 2 10 2 2 4" xfId="8182"/>
    <cellStyle name="Title 2 10 2 2 4 2" xfId="13035"/>
    <cellStyle name="Title 2 10 2 2 5" xfId="10000"/>
    <cellStyle name="Title 2 10 2 3" xfId="5524"/>
    <cellStyle name="Title 2 10 2 3 2" xfId="7041"/>
    <cellStyle name="Title 2 10 2 3 2 2" xfId="11896"/>
    <cellStyle name="Title 2 10 2 3 3" xfId="8562"/>
    <cellStyle name="Title 2 10 2 3 3 2" xfId="13415"/>
    <cellStyle name="Title 2 10 2 3 4" xfId="10380"/>
    <cellStyle name="Title 2 10 2 4" xfId="6283"/>
    <cellStyle name="Title 2 10 2 4 2" xfId="11138"/>
    <cellStyle name="Title 2 10 2 5" xfId="7804"/>
    <cellStyle name="Title 2 10 2 5 2" xfId="12657"/>
    <cellStyle name="Title 2 10 2 6" xfId="9622"/>
    <cellStyle name="Title 2 10 3" xfId="5142"/>
    <cellStyle name="Title 2 10 3 2" xfId="5901"/>
    <cellStyle name="Title 2 10 3 2 2" xfId="7418"/>
    <cellStyle name="Title 2 10 3 2 2 2" xfId="12273"/>
    <cellStyle name="Title 2 10 3 2 3" xfId="8939"/>
    <cellStyle name="Title 2 10 3 2 3 2" xfId="13792"/>
    <cellStyle name="Title 2 10 3 2 4" xfId="10757"/>
    <cellStyle name="Title 2 10 3 3" xfId="6660"/>
    <cellStyle name="Title 2 10 3 3 2" xfId="11515"/>
    <cellStyle name="Title 2 10 3 4" xfId="8181"/>
    <cellStyle name="Title 2 10 3 4 2" xfId="13034"/>
    <cellStyle name="Title 2 10 3 5" xfId="9999"/>
    <cellStyle name="Title 2 10 4" xfId="5523"/>
    <cellStyle name="Title 2 10 4 2" xfId="7040"/>
    <cellStyle name="Title 2 10 4 2 2" xfId="11895"/>
    <cellStyle name="Title 2 10 4 3" xfId="8561"/>
    <cellStyle name="Title 2 10 4 3 2" xfId="13414"/>
    <cellStyle name="Title 2 10 4 4" xfId="10379"/>
    <cellStyle name="Title 2 10 5" xfId="6282"/>
    <cellStyle name="Title 2 10 5 2" xfId="11137"/>
    <cellStyle name="Title 2 10 6" xfId="7803"/>
    <cellStyle name="Title 2 10 6 2" xfId="12656"/>
    <cellStyle name="Title 2 10 7" xfId="9621"/>
    <cellStyle name="Title 2 11" xfId="4542"/>
    <cellStyle name="Title 2 11 2" xfId="5144"/>
    <cellStyle name="Title 2 11 2 2" xfId="5903"/>
    <cellStyle name="Title 2 11 2 2 2" xfId="7420"/>
    <cellStyle name="Title 2 11 2 2 2 2" xfId="12275"/>
    <cellStyle name="Title 2 11 2 2 3" xfId="8941"/>
    <cellStyle name="Title 2 11 2 2 3 2" xfId="13794"/>
    <cellStyle name="Title 2 11 2 2 4" xfId="10759"/>
    <cellStyle name="Title 2 11 2 3" xfId="6662"/>
    <cellStyle name="Title 2 11 2 3 2" xfId="11517"/>
    <cellStyle name="Title 2 11 2 4" xfId="8183"/>
    <cellStyle name="Title 2 11 2 4 2" xfId="13036"/>
    <cellStyle name="Title 2 11 2 5" xfId="10001"/>
    <cellStyle name="Title 2 11 3" xfId="5525"/>
    <cellStyle name="Title 2 11 3 2" xfId="7042"/>
    <cellStyle name="Title 2 11 3 2 2" xfId="11897"/>
    <cellStyle name="Title 2 11 3 3" xfId="8563"/>
    <cellStyle name="Title 2 11 3 3 2" xfId="13416"/>
    <cellStyle name="Title 2 11 3 4" xfId="10381"/>
    <cellStyle name="Title 2 11 4" xfId="6284"/>
    <cellStyle name="Title 2 11 4 2" xfId="11139"/>
    <cellStyle name="Title 2 11 5" xfId="7805"/>
    <cellStyle name="Title 2 11 5 2" xfId="12658"/>
    <cellStyle name="Title 2 11 6" xfId="9623"/>
    <cellStyle name="Title 2 12" xfId="4543"/>
    <cellStyle name="Title 2 12 2" xfId="5145"/>
    <cellStyle name="Title 2 12 2 2" xfId="5904"/>
    <cellStyle name="Title 2 12 2 2 2" xfId="7421"/>
    <cellStyle name="Title 2 12 2 2 2 2" xfId="12276"/>
    <cellStyle name="Title 2 12 2 2 3" xfId="8942"/>
    <cellStyle name="Title 2 12 2 2 3 2" xfId="13795"/>
    <cellStyle name="Title 2 12 2 2 4" xfId="10760"/>
    <cellStyle name="Title 2 12 2 3" xfId="6663"/>
    <cellStyle name="Title 2 12 2 3 2" xfId="11518"/>
    <cellStyle name="Title 2 12 2 4" xfId="8184"/>
    <cellStyle name="Title 2 12 2 4 2" xfId="13037"/>
    <cellStyle name="Title 2 12 2 5" xfId="10002"/>
    <cellStyle name="Title 2 12 3" xfId="5526"/>
    <cellStyle name="Title 2 12 3 2" xfId="7043"/>
    <cellStyle name="Title 2 12 3 2 2" xfId="11898"/>
    <cellStyle name="Title 2 12 3 3" xfId="8564"/>
    <cellStyle name="Title 2 12 3 3 2" xfId="13417"/>
    <cellStyle name="Title 2 12 3 4" xfId="10382"/>
    <cellStyle name="Title 2 12 4" xfId="6285"/>
    <cellStyle name="Title 2 12 4 2" xfId="11140"/>
    <cellStyle name="Title 2 12 5" xfId="7806"/>
    <cellStyle name="Title 2 12 5 2" xfId="12659"/>
    <cellStyle name="Title 2 12 6" xfId="9624"/>
    <cellStyle name="Title 2 13" xfId="4544"/>
    <cellStyle name="Title 2 13 2" xfId="5146"/>
    <cellStyle name="Title 2 13 2 2" xfId="5905"/>
    <cellStyle name="Title 2 13 2 2 2" xfId="7422"/>
    <cellStyle name="Title 2 13 2 2 2 2" xfId="12277"/>
    <cellStyle name="Title 2 13 2 2 3" xfId="8943"/>
    <cellStyle name="Title 2 13 2 2 3 2" xfId="13796"/>
    <cellStyle name="Title 2 13 2 2 4" xfId="10761"/>
    <cellStyle name="Title 2 13 2 3" xfId="6664"/>
    <cellStyle name="Title 2 13 2 3 2" xfId="11519"/>
    <cellStyle name="Title 2 13 2 4" xfId="8185"/>
    <cellStyle name="Title 2 13 2 4 2" xfId="13038"/>
    <cellStyle name="Title 2 13 2 5" xfId="10003"/>
    <cellStyle name="Title 2 13 3" xfId="5527"/>
    <cellStyle name="Title 2 13 3 2" xfId="7044"/>
    <cellStyle name="Title 2 13 3 2 2" xfId="11899"/>
    <cellStyle name="Title 2 13 3 3" xfId="8565"/>
    <cellStyle name="Title 2 13 3 3 2" xfId="13418"/>
    <cellStyle name="Title 2 13 3 4" xfId="10383"/>
    <cellStyle name="Title 2 13 4" xfId="6286"/>
    <cellStyle name="Title 2 13 4 2" xfId="11141"/>
    <cellStyle name="Title 2 13 5" xfId="7807"/>
    <cellStyle name="Title 2 13 5 2" xfId="12660"/>
    <cellStyle name="Title 2 13 6" xfId="9625"/>
    <cellStyle name="Title 2 14" xfId="4545"/>
    <cellStyle name="Title 2 14 2" xfId="5147"/>
    <cellStyle name="Title 2 14 2 2" xfId="5906"/>
    <cellStyle name="Title 2 14 2 2 2" xfId="7423"/>
    <cellStyle name="Title 2 14 2 2 2 2" xfId="12278"/>
    <cellStyle name="Title 2 14 2 2 3" xfId="8944"/>
    <cellStyle name="Title 2 14 2 2 3 2" xfId="13797"/>
    <cellStyle name="Title 2 14 2 2 4" xfId="10762"/>
    <cellStyle name="Title 2 14 2 3" xfId="6665"/>
    <cellStyle name="Title 2 14 2 3 2" xfId="11520"/>
    <cellStyle name="Title 2 14 2 4" xfId="8186"/>
    <cellStyle name="Title 2 14 2 4 2" xfId="13039"/>
    <cellStyle name="Title 2 14 2 5" xfId="10004"/>
    <cellStyle name="Title 2 14 3" xfId="5528"/>
    <cellStyle name="Title 2 14 3 2" xfId="7045"/>
    <cellStyle name="Title 2 14 3 2 2" xfId="11900"/>
    <cellStyle name="Title 2 14 3 3" xfId="8566"/>
    <cellStyle name="Title 2 14 3 3 2" xfId="13419"/>
    <cellStyle name="Title 2 14 3 4" xfId="10384"/>
    <cellStyle name="Title 2 14 4" xfId="6287"/>
    <cellStyle name="Title 2 14 4 2" xfId="11142"/>
    <cellStyle name="Title 2 14 5" xfId="7808"/>
    <cellStyle name="Title 2 14 5 2" xfId="12661"/>
    <cellStyle name="Title 2 14 6" xfId="9626"/>
    <cellStyle name="Title 2 15" xfId="4546"/>
    <cellStyle name="Title 2 15 2" xfId="5148"/>
    <cellStyle name="Title 2 15 2 2" xfId="5907"/>
    <cellStyle name="Title 2 15 2 2 2" xfId="7424"/>
    <cellStyle name="Title 2 15 2 2 2 2" xfId="12279"/>
    <cellStyle name="Title 2 15 2 2 3" xfId="8945"/>
    <cellStyle name="Title 2 15 2 2 3 2" xfId="13798"/>
    <cellStyle name="Title 2 15 2 2 4" xfId="10763"/>
    <cellStyle name="Title 2 15 2 3" xfId="6666"/>
    <cellStyle name="Title 2 15 2 3 2" xfId="11521"/>
    <cellStyle name="Title 2 15 2 4" xfId="8187"/>
    <cellStyle name="Title 2 15 2 4 2" xfId="13040"/>
    <cellStyle name="Title 2 15 2 5" xfId="10005"/>
    <cellStyle name="Title 2 15 3" xfId="5529"/>
    <cellStyle name="Title 2 15 3 2" xfId="7046"/>
    <cellStyle name="Title 2 15 3 2 2" xfId="11901"/>
    <cellStyle name="Title 2 15 3 3" xfId="8567"/>
    <cellStyle name="Title 2 15 3 3 2" xfId="13420"/>
    <cellStyle name="Title 2 15 3 4" xfId="10385"/>
    <cellStyle name="Title 2 15 4" xfId="6288"/>
    <cellStyle name="Title 2 15 4 2" xfId="11143"/>
    <cellStyle name="Title 2 15 5" xfId="7809"/>
    <cellStyle name="Title 2 15 5 2" xfId="12662"/>
    <cellStyle name="Title 2 15 6" xfId="9627"/>
    <cellStyle name="Title 2 16" xfId="4539"/>
    <cellStyle name="Title 2 16 2" xfId="5141"/>
    <cellStyle name="Title 2 16 2 2" xfId="5900"/>
    <cellStyle name="Title 2 16 2 2 2" xfId="7417"/>
    <cellStyle name="Title 2 16 2 2 2 2" xfId="12272"/>
    <cellStyle name="Title 2 16 2 2 3" xfId="8938"/>
    <cellStyle name="Title 2 16 2 2 3 2" xfId="13791"/>
    <cellStyle name="Title 2 16 2 2 4" xfId="10756"/>
    <cellStyle name="Title 2 16 2 3" xfId="6659"/>
    <cellStyle name="Title 2 16 2 3 2" xfId="11514"/>
    <cellStyle name="Title 2 16 2 4" xfId="8180"/>
    <cellStyle name="Title 2 16 2 4 2" xfId="13033"/>
    <cellStyle name="Title 2 16 2 5" xfId="9998"/>
    <cellStyle name="Title 2 16 3" xfId="5522"/>
    <cellStyle name="Title 2 16 3 2" xfId="7039"/>
    <cellStyle name="Title 2 16 3 2 2" xfId="11894"/>
    <cellStyle name="Title 2 16 3 3" xfId="8560"/>
    <cellStyle name="Title 2 16 3 3 2" xfId="13413"/>
    <cellStyle name="Title 2 16 3 4" xfId="10378"/>
    <cellStyle name="Title 2 16 4" xfId="6281"/>
    <cellStyle name="Title 2 16 4 2" xfId="11136"/>
    <cellStyle name="Title 2 16 5" xfId="7802"/>
    <cellStyle name="Title 2 16 5 2" xfId="12655"/>
    <cellStyle name="Title 2 16 6" xfId="9620"/>
    <cellStyle name="Title 2 2" xfId="4547"/>
    <cellStyle name="Title 2 2 2" xfId="5149"/>
    <cellStyle name="Title 2 2 2 2" xfId="5908"/>
    <cellStyle name="Title 2 2 2 2 2" xfId="7425"/>
    <cellStyle name="Title 2 2 2 2 2 2" xfId="12280"/>
    <cellStyle name="Title 2 2 2 2 3" xfId="8946"/>
    <cellStyle name="Title 2 2 2 2 3 2" xfId="13799"/>
    <cellStyle name="Title 2 2 2 2 4" xfId="10764"/>
    <cellStyle name="Title 2 2 2 3" xfId="6667"/>
    <cellStyle name="Title 2 2 2 3 2" xfId="11522"/>
    <cellStyle name="Title 2 2 2 4" xfId="8188"/>
    <cellStyle name="Title 2 2 2 4 2" xfId="13041"/>
    <cellStyle name="Title 2 2 2 5" xfId="10006"/>
    <cellStyle name="Title 2 2 3" xfId="5530"/>
    <cellStyle name="Title 2 2 3 2" xfId="7047"/>
    <cellStyle name="Title 2 2 3 2 2" xfId="11902"/>
    <cellStyle name="Title 2 2 3 3" xfId="8568"/>
    <cellStyle name="Title 2 2 3 3 2" xfId="13421"/>
    <cellStyle name="Title 2 2 3 4" xfId="10386"/>
    <cellStyle name="Title 2 2 4" xfId="6289"/>
    <cellStyle name="Title 2 2 4 2" xfId="11144"/>
    <cellStyle name="Title 2 2 5" xfId="7810"/>
    <cellStyle name="Title 2 2 5 2" xfId="12663"/>
    <cellStyle name="Title 2 2 6" xfId="9628"/>
    <cellStyle name="Title 2 3" xfId="4548"/>
    <cellStyle name="Title 2 3 2" xfId="5150"/>
    <cellStyle name="Title 2 3 2 2" xfId="5909"/>
    <cellStyle name="Title 2 3 2 2 2" xfId="7426"/>
    <cellStyle name="Title 2 3 2 2 2 2" xfId="12281"/>
    <cellStyle name="Title 2 3 2 2 3" xfId="8947"/>
    <cellStyle name="Title 2 3 2 2 3 2" xfId="13800"/>
    <cellStyle name="Title 2 3 2 2 4" xfId="10765"/>
    <cellStyle name="Title 2 3 2 3" xfId="6668"/>
    <cellStyle name="Title 2 3 2 3 2" xfId="11523"/>
    <cellStyle name="Title 2 3 2 4" xfId="8189"/>
    <cellStyle name="Title 2 3 2 4 2" xfId="13042"/>
    <cellStyle name="Title 2 3 2 5" xfId="10007"/>
    <cellStyle name="Title 2 3 3" xfId="5531"/>
    <cellStyle name="Title 2 3 3 2" xfId="7048"/>
    <cellStyle name="Title 2 3 3 2 2" xfId="11903"/>
    <cellStyle name="Title 2 3 3 3" xfId="8569"/>
    <cellStyle name="Title 2 3 3 3 2" xfId="13422"/>
    <cellStyle name="Title 2 3 3 4" xfId="10387"/>
    <cellStyle name="Title 2 3 4" xfId="6290"/>
    <cellStyle name="Title 2 3 4 2" xfId="11145"/>
    <cellStyle name="Title 2 3 5" xfId="7811"/>
    <cellStyle name="Title 2 3 5 2" xfId="12664"/>
    <cellStyle name="Title 2 3 6" xfId="9629"/>
    <cellStyle name="Title 2 4" xfId="4549"/>
    <cellStyle name="Title 2 4 2" xfId="5151"/>
    <cellStyle name="Title 2 4 2 2" xfId="5910"/>
    <cellStyle name="Title 2 4 2 2 2" xfId="7427"/>
    <cellStyle name="Title 2 4 2 2 2 2" xfId="12282"/>
    <cellStyle name="Title 2 4 2 2 3" xfId="8948"/>
    <cellStyle name="Title 2 4 2 2 3 2" xfId="13801"/>
    <cellStyle name="Title 2 4 2 2 4" xfId="10766"/>
    <cellStyle name="Title 2 4 2 3" xfId="6669"/>
    <cellStyle name="Title 2 4 2 3 2" xfId="11524"/>
    <cellStyle name="Title 2 4 2 4" xfId="8190"/>
    <cellStyle name="Title 2 4 2 4 2" xfId="13043"/>
    <cellStyle name="Title 2 4 2 5" xfId="10008"/>
    <cellStyle name="Title 2 4 3" xfId="5532"/>
    <cellStyle name="Title 2 4 3 2" xfId="7049"/>
    <cellStyle name="Title 2 4 3 2 2" xfId="11904"/>
    <cellStyle name="Title 2 4 3 3" xfId="8570"/>
    <cellStyle name="Title 2 4 3 3 2" xfId="13423"/>
    <cellStyle name="Title 2 4 3 4" xfId="10388"/>
    <cellStyle name="Title 2 4 4" xfId="6291"/>
    <cellStyle name="Title 2 4 4 2" xfId="11146"/>
    <cellStyle name="Title 2 4 5" xfId="7812"/>
    <cellStyle name="Title 2 4 5 2" xfId="12665"/>
    <cellStyle name="Title 2 4 6" xfId="9630"/>
    <cellStyle name="Title 2 5" xfId="4550"/>
    <cellStyle name="Title 2 5 2" xfId="5152"/>
    <cellStyle name="Title 2 5 2 2" xfId="5911"/>
    <cellStyle name="Title 2 5 2 2 2" xfId="7428"/>
    <cellStyle name="Title 2 5 2 2 2 2" xfId="12283"/>
    <cellStyle name="Title 2 5 2 2 3" xfId="8949"/>
    <cellStyle name="Title 2 5 2 2 3 2" xfId="13802"/>
    <cellStyle name="Title 2 5 2 2 4" xfId="10767"/>
    <cellStyle name="Title 2 5 2 3" xfId="6670"/>
    <cellStyle name="Title 2 5 2 3 2" xfId="11525"/>
    <cellStyle name="Title 2 5 2 4" xfId="8191"/>
    <cellStyle name="Title 2 5 2 4 2" xfId="13044"/>
    <cellStyle name="Title 2 5 2 5" xfId="10009"/>
    <cellStyle name="Title 2 5 3" xfId="5533"/>
    <cellStyle name="Title 2 5 3 2" xfId="7050"/>
    <cellStyle name="Title 2 5 3 2 2" xfId="11905"/>
    <cellStyle name="Title 2 5 3 3" xfId="8571"/>
    <cellStyle name="Title 2 5 3 3 2" xfId="13424"/>
    <cellStyle name="Title 2 5 3 4" xfId="10389"/>
    <cellStyle name="Title 2 5 4" xfId="6292"/>
    <cellStyle name="Title 2 5 4 2" xfId="11147"/>
    <cellStyle name="Title 2 5 5" xfId="7813"/>
    <cellStyle name="Title 2 5 5 2" xfId="12666"/>
    <cellStyle name="Title 2 5 6" xfId="9631"/>
    <cellStyle name="Title 2 6" xfId="4551"/>
    <cellStyle name="Title 2 6 2" xfId="5153"/>
    <cellStyle name="Title 2 6 2 2" xfId="5912"/>
    <cellStyle name="Title 2 6 2 2 2" xfId="7429"/>
    <cellStyle name="Title 2 6 2 2 2 2" xfId="12284"/>
    <cellStyle name="Title 2 6 2 2 3" xfId="8950"/>
    <cellStyle name="Title 2 6 2 2 3 2" xfId="13803"/>
    <cellStyle name="Title 2 6 2 2 4" xfId="10768"/>
    <cellStyle name="Title 2 6 2 3" xfId="6671"/>
    <cellStyle name="Title 2 6 2 3 2" xfId="11526"/>
    <cellStyle name="Title 2 6 2 4" xfId="8192"/>
    <cellStyle name="Title 2 6 2 4 2" xfId="13045"/>
    <cellStyle name="Title 2 6 2 5" xfId="10010"/>
    <cellStyle name="Title 2 6 3" xfId="5534"/>
    <cellStyle name="Title 2 6 3 2" xfId="7051"/>
    <cellStyle name="Title 2 6 3 2 2" xfId="11906"/>
    <cellStyle name="Title 2 6 3 3" xfId="8572"/>
    <cellStyle name="Title 2 6 3 3 2" xfId="13425"/>
    <cellStyle name="Title 2 6 3 4" xfId="10390"/>
    <cellStyle name="Title 2 6 4" xfId="6293"/>
    <cellStyle name="Title 2 6 4 2" xfId="11148"/>
    <cellStyle name="Title 2 6 5" xfId="7814"/>
    <cellStyle name="Title 2 6 5 2" xfId="12667"/>
    <cellStyle name="Title 2 6 6" xfId="9632"/>
    <cellStyle name="Title 2 7" xfId="4552"/>
    <cellStyle name="Title 2 7 2" xfId="5154"/>
    <cellStyle name="Title 2 7 2 2" xfId="5913"/>
    <cellStyle name="Title 2 7 2 2 2" xfId="7430"/>
    <cellStyle name="Title 2 7 2 2 2 2" xfId="12285"/>
    <cellStyle name="Title 2 7 2 2 3" xfId="8951"/>
    <cellStyle name="Title 2 7 2 2 3 2" xfId="13804"/>
    <cellStyle name="Title 2 7 2 2 4" xfId="10769"/>
    <cellStyle name="Title 2 7 2 3" xfId="6672"/>
    <cellStyle name="Title 2 7 2 3 2" xfId="11527"/>
    <cellStyle name="Title 2 7 2 4" xfId="8193"/>
    <cellStyle name="Title 2 7 2 4 2" xfId="13046"/>
    <cellStyle name="Title 2 7 2 5" xfId="10011"/>
    <cellStyle name="Title 2 7 3" xfId="5535"/>
    <cellStyle name="Title 2 7 3 2" xfId="7052"/>
    <cellStyle name="Title 2 7 3 2 2" xfId="11907"/>
    <cellStyle name="Title 2 7 3 3" xfId="8573"/>
    <cellStyle name="Title 2 7 3 3 2" xfId="13426"/>
    <cellStyle name="Title 2 7 3 4" xfId="10391"/>
    <cellStyle name="Title 2 7 4" xfId="6294"/>
    <cellStyle name="Title 2 7 4 2" xfId="11149"/>
    <cellStyle name="Title 2 7 5" xfId="7815"/>
    <cellStyle name="Title 2 7 5 2" xfId="12668"/>
    <cellStyle name="Title 2 7 6" xfId="9633"/>
    <cellStyle name="Title 2 8" xfId="4553"/>
    <cellStyle name="Title 2 8 2" xfId="5155"/>
    <cellStyle name="Title 2 8 2 2" xfId="5914"/>
    <cellStyle name="Title 2 8 2 2 2" xfId="7431"/>
    <cellStyle name="Title 2 8 2 2 2 2" xfId="12286"/>
    <cellStyle name="Title 2 8 2 2 3" xfId="8952"/>
    <cellStyle name="Title 2 8 2 2 3 2" xfId="13805"/>
    <cellStyle name="Title 2 8 2 2 4" xfId="10770"/>
    <cellStyle name="Title 2 8 2 3" xfId="6673"/>
    <cellStyle name="Title 2 8 2 3 2" xfId="11528"/>
    <cellStyle name="Title 2 8 2 4" xfId="8194"/>
    <cellStyle name="Title 2 8 2 4 2" xfId="13047"/>
    <cellStyle name="Title 2 8 2 5" xfId="10012"/>
    <cellStyle name="Title 2 8 3" xfId="5536"/>
    <cellStyle name="Title 2 8 3 2" xfId="7053"/>
    <cellStyle name="Title 2 8 3 2 2" xfId="11908"/>
    <cellStyle name="Title 2 8 3 3" xfId="8574"/>
    <cellStyle name="Title 2 8 3 3 2" xfId="13427"/>
    <cellStyle name="Title 2 8 3 4" xfId="10392"/>
    <cellStyle name="Title 2 8 4" xfId="6295"/>
    <cellStyle name="Title 2 8 4 2" xfId="11150"/>
    <cellStyle name="Title 2 8 5" xfId="7816"/>
    <cellStyle name="Title 2 8 5 2" xfId="12669"/>
    <cellStyle name="Title 2 8 6" xfId="9634"/>
    <cellStyle name="Title 2 9" xfId="4554"/>
    <cellStyle name="Title 2 9 2" xfId="5156"/>
    <cellStyle name="Title 2 9 2 2" xfId="5915"/>
    <cellStyle name="Title 2 9 2 2 2" xfId="7432"/>
    <cellStyle name="Title 2 9 2 2 2 2" xfId="12287"/>
    <cellStyle name="Title 2 9 2 2 3" xfId="8953"/>
    <cellStyle name="Title 2 9 2 2 3 2" xfId="13806"/>
    <cellStyle name="Title 2 9 2 2 4" xfId="10771"/>
    <cellStyle name="Title 2 9 2 3" xfId="6674"/>
    <cellStyle name="Title 2 9 2 3 2" xfId="11529"/>
    <cellStyle name="Title 2 9 2 4" xfId="8195"/>
    <cellStyle name="Title 2 9 2 4 2" xfId="13048"/>
    <cellStyle name="Title 2 9 2 5" xfId="10013"/>
    <cellStyle name="Title 2 9 3" xfId="5537"/>
    <cellStyle name="Title 2 9 3 2" xfId="7054"/>
    <cellStyle name="Title 2 9 3 2 2" xfId="11909"/>
    <cellStyle name="Title 2 9 3 3" xfId="8575"/>
    <cellStyle name="Title 2 9 3 3 2" xfId="13428"/>
    <cellStyle name="Title 2 9 3 4" xfId="10393"/>
    <cellStyle name="Title 2 9 4" xfId="6296"/>
    <cellStyle name="Title 2 9 4 2" xfId="11151"/>
    <cellStyle name="Title 2 9 5" xfId="7817"/>
    <cellStyle name="Title 2 9 5 2" xfId="12670"/>
    <cellStyle name="Title 2 9 6" xfId="9635"/>
    <cellStyle name="Title 20" xfId="4555"/>
    <cellStyle name="Title 20 2" xfId="5157"/>
    <cellStyle name="Title 20 2 2" xfId="5916"/>
    <cellStyle name="Title 20 2 2 2" xfId="7433"/>
    <cellStyle name="Title 20 2 2 2 2" xfId="12288"/>
    <cellStyle name="Title 20 2 2 3" xfId="8954"/>
    <cellStyle name="Title 20 2 2 3 2" xfId="13807"/>
    <cellStyle name="Title 20 2 2 4" xfId="10772"/>
    <cellStyle name="Title 20 2 3" xfId="6675"/>
    <cellStyle name="Title 20 2 3 2" xfId="11530"/>
    <cellStyle name="Title 20 2 4" xfId="8196"/>
    <cellStyle name="Title 20 2 4 2" xfId="13049"/>
    <cellStyle name="Title 20 2 5" xfId="10014"/>
    <cellStyle name="Title 20 3" xfId="5538"/>
    <cellStyle name="Title 20 3 2" xfId="7055"/>
    <cellStyle name="Title 20 3 2 2" xfId="11910"/>
    <cellStyle name="Title 20 3 3" xfId="8576"/>
    <cellStyle name="Title 20 3 3 2" xfId="13429"/>
    <cellStyle name="Title 20 3 4" xfId="10394"/>
    <cellStyle name="Title 20 4" xfId="6297"/>
    <cellStyle name="Title 20 4 2" xfId="11152"/>
    <cellStyle name="Title 20 5" xfId="7818"/>
    <cellStyle name="Title 20 5 2" xfId="12671"/>
    <cellStyle name="Title 20 6" xfId="9636"/>
    <cellStyle name="Title 3" xfId="4556"/>
    <cellStyle name="Title 3 10" xfId="5158"/>
    <cellStyle name="Title 3 10 2" xfId="5917"/>
    <cellStyle name="Title 3 10 2 2" xfId="7434"/>
    <cellStyle name="Title 3 10 2 2 2" xfId="12289"/>
    <cellStyle name="Title 3 10 2 3" xfId="8955"/>
    <cellStyle name="Title 3 10 2 3 2" xfId="13808"/>
    <cellStyle name="Title 3 10 2 4" xfId="10773"/>
    <cellStyle name="Title 3 10 3" xfId="6676"/>
    <cellStyle name="Title 3 10 3 2" xfId="11531"/>
    <cellStyle name="Title 3 10 4" xfId="8197"/>
    <cellStyle name="Title 3 10 4 2" xfId="13050"/>
    <cellStyle name="Title 3 10 5" xfId="10015"/>
    <cellStyle name="Title 3 11" xfId="5539"/>
    <cellStyle name="Title 3 11 2" xfId="7056"/>
    <cellStyle name="Title 3 11 2 2" xfId="11911"/>
    <cellStyle name="Title 3 11 3" xfId="8577"/>
    <cellStyle name="Title 3 11 3 2" xfId="13430"/>
    <cellStyle name="Title 3 11 4" xfId="10395"/>
    <cellStyle name="Title 3 12" xfId="6298"/>
    <cellStyle name="Title 3 12 2" xfId="11153"/>
    <cellStyle name="Title 3 13" xfId="7819"/>
    <cellStyle name="Title 3 13 2" xfId="12672"/>
    <cellStyle name="Title 3 14" xfId="9637"/>
    <cellStyle name="Title 3 2" xfId="4557"/>
    <cellStyle name="Title 3 2 2" xfId="4558"/>
    <cellStyle name="Title 3 2 2 2" xfId="5160"/>
    <cellStyle name="Title 3 2 2 2 2" xfId="5919"/>
    <cellStyle name="Title 3 2 2 2 2 2" xfId="7436"/>
    <cellStyle name="Title 3 2 2 2 2 2 2" xfId="12291"/>
    <cellStyle name="Title 3 2 2 2 2 3" xfId="8957"/>
    <cellStyle name="Title 3 2 2 2 2 3 2" xfId="13810"/>
    <cellStyle name="Title 3 2 2 2 2 4" xfId="10775"/>
    <cellStyle name="Title 3 2 2 2 3" xfId="6678"/>
    <cellStyle name="Title 3 2 2 2 3 2" xfId="11533"/>
    <cellStyle name="Title 3 2 2 2 4" xfId="8199"/>
    <cellStyle name="Title 3 2 2 2 4 2" xfId="13052"/>
    <cellStyle name="Title 3 2 2 2 5" xfId="10017"/>
    <cellStyle name="Title 3 2 2 3" xfId="5541"/>
    <cellStyle name="Title 3 2 2 3 2" xfId="7058"/>
    <cellStyle name="Title 3 2 2 3 2 2" xfId="11913"/>
    <cellStyle name="Title 3 2 2 3 3" xfId="8579"/>
    <cellStyle name="Title 3 2 2 3 3 2" xfId="13432"/>
    <cellStyle name="Title 3 2 2 3 4" xfId="10397"/>
    <cellStyle name="Title 3 2 2 4" xfId="6300"/>
    <cellStyle name="Title 3 2 2 4 2" xfId="11155"/>
    <cellStyle name="Title 3 2 2 5" xfId="7821"/>
    <cellStyle name="Title 3 2 2 5 2" xfId="12674"/>
    <cellStyle name="Title 3 2 2 6" xfId="9639"/>
    <cellStyle name="Title 3 2 3" xfId="4559"/>
    <cellStyle name="Title 3 2 3 2" xfId="5161"/>
    <cellStyle name="Title 3 2 3 2 2" xfId="5920"/>
    <cellStyle name="Title 3 2 3 2 2 2" xfId="7437"/>
    <cellStyle name="Title 3 2 3 2 2 2 2" xfId="12292"/>
    <cellStyle name="Title 3 2 3 2 2 3" xfId="8958"/>
    <cellStyle name="Title 3 2 3 2 2 3 2" xfId="13811"/>
    <cellStyle name="Title 3 2 3 2 2 4" xfId="10776"/>
    <cellStyle name="Title 3 2 3 2 3" xfId="6679"/>
    <cellStyle name="Title 3 2 3 2 3 2" xfId="11534"/>
    <cellStyle name="Title 3 2 3 2 4" xfId="8200"/>
    <cellStyle name="Title 3 2 3 2 4 2" xfId="13053"/>
    <cellStyle name="Title 3 2 3 2 5" xfId="10018"/>
    <cellStyle name="Title 3 2 3 3" xfId="5542"/>
    <cellStyle name="Title 3 2 3 3 2" xfId="7059"/>
    <cellStyle name="Title 3 2 3 3 2 2" xfId="11914"/>
    <cellStyle name="Title 3 2 3 3 3" xfId="8580"/>
    <cellStyle name="Title 3 2 3 3 3 2" xfId="13433"/>
    <cellStyle name="Title 3 2 3 3 4" xfId="10398"/>
    <cellStyle name="Title 3 2 3 4" xfId="6301"/>
    <cellStyle name="Title 3 2 3 4 2" xfId="11156"/>
    <cellStyle name="Title 3 2 3 5" xfId="7822"/>
    <cellStyle name="Title 3 2 3 5 2" xfId="12675"/>
    <cellStyle name="Title 3 2 3 6" xfId="9640"/>
    <cellStyle name="Title 3 2 4" xfId="5159"/>
    <cellStyle name="Title 3 2 4 2" xfId="5918"/>
    <cellStyle name="Title 3 2 4 2 2" xfId="7435"/>
    <cellStyle name="Title 3 2 4 2 2 2" xfId="12290"/>
    <cellStyle name="Title 3 2 4 2 3" xfId="8956"/>
    <cellStyle name="Title 3 2 4 2 3 2" xfId="13809"/>
    <cellStyle name="Title 3 2 4 2 4" xfId="10774"/>
    <cellStyle name="Title 3 2 4 3" xfId="6677"/>
    <cellStyle name="Title 3 2 4 3 2" xfId="11532"/>
    <cellStyle name="Title 3 2 4 4" xfId="8198"/>
    <cellStyle name="Title 3 2 4 4 2" xfId="13051"/>
    <cellStyle name="Title 3 2 4 5" xfId="10016"/>
    <cellStyle name="Title 3 2 5" xfId="5540"/>
    <cellStyle name="Title 3 2 5 2" xfId="7057"/>
    <cellStyle name="Title 3 2 5 2 2" xfId="11912"/>
    <cellStyle name="Title 3 2 5 3" xfId="8578"/>
    <cellStyle name="Title 3 2 5 3 2" xfId="13431"/>
    <cellStyle name="Title 3 2 5 4" xfId="10396"/>
    <cellStyle name="Title 3 2 6" xfId="6299"/>
    <cellStyle name="Title 3 2 6 2" xfId="11154"/>
    <cellStyle name="Title 3 2 7" xfId="7820"/>
    <cellStyle name="Title 3 2 7 2" xfId="12673"/>
    <cellStyle name="Title 3 2 8" xfId="9638"/>
    <cellStyle name="Title 3 3" xfId="4560"/>
    <cellStyle name="Title 3 3 2" xfId="5162"/>
    <cellStyle name="Title 3 3 2 2" xfId="5921"/>
    <cellStyle name="Title 3 3 2 2 2" xfId="7438"/>
    <cellStyle name="Title 3 3 2 2 2 2" xfId="12293"/>
    <cellStyle name="Title 3 3 2 2 3" xfId="8959"/>
    <cellStyle name="Title 3 3 2 2 3 2" xfId="13812"/>
    <cellStyle name="Title 3 3 2 2 4" xfId="10777"/>
    <cellStyle name="Title 3 3 2 3" xfId="6680"/>
    <cellStyle name="Title 3 3 2 3 2" xfId="11535"/>
    <cellStyle name="Title 3 3 2 4" xfId="8201"/>
    <cellStyle name="Title 3 3 2 4 2" xfId="13054"/>
    <cellStyle name="Title 3 3 2 5" xfId="10019"/>
    <cellStyle name="Title 3 3 3" xfId="5543"/>
    <cellStyle name="Title 3 3 3 2" xfId="7060"/>
    <cellStyle name="Title 3 3 3 2 2" xfId="11915"/>
    <cellStyle name="Title 3 3 3 3" xfId="8581"/>
    <cellStyle name="Title 3 3 3 3 2" xfId="13434"/>
    <cellStyle name="Title 3 3 3 4" xfId="10399"/>
    <cellStyle name="Title 3 3 4" xfId="6302"/>
    <cellStyle name="Title 3 3 4 2" xfId="11157"/>
    <cellStyle name="Title 3 3 5" xfId="7823"/>
    <cellStyle name="Title 3 3 5 2" xfId="12676"/>
    <cellStyle name="Title 3 3 6" xfId="9641"/>
    <cellStyle name="Title 3 4" xfId="4561"/>
    <cellStyle name="Title 3 4 2" xfId="5163"/>
    <cellStyle name="Title 3 4 2 2" xfId="5922"/>
    <cellStyle name="Title 3 4 2 2 2" xfId="7439"/>
    <cellStyle name="Title 3 4 2 2 2 2" xfId="12294"/>
    <cellStyle name="Title 3 4 2 2 3" xfId="8960"/>
    <cellStyle name="Title 3 4 2 2 3 2" xfId="13813"/>
    <cellStyle name="Title 3 4 2 2 4" xfId="10778"/>
    <cellStyle name="Title 3 4 2 3" xfId="6681"/>
    <cellStyle name="Title 3 4 2 3 2" xfId="11536"/>
    <cellStyle name="Title 3 4 2 4" xfId="8202"/>
    <cellStyle name="Title 3 4 2 4 2" xfId="13055"/>
    <cellStyle name="Title 3 4 2 5" xfId="10020"/>
    <cellStyle name="Title 3 4 3" xfId="5544"/>
    <cellStyle name="Title 3 4 3 2" xfId="7061"/>
    <cellStyle name="Title 3 4 3 2 2" xfId="11916"/>
    <cellStyle name="Title 3 4 3 3" xfId="8582"/>
    <cellStyle name="Title 3 4 3 3 2" xfId="13435"/>
    <cellStyle name="Title 3 4 3 4" xfId="10400"/>
    <cellStyle name="Title 3 4 4" xfId="6303"/>
    <cellStyle name="Title 3 4 4 2" xfId="11158"/>
    <cellStyle name="Title 3 4 5" xfId="7824"/>
    <cellStyle name="Title 3 4 5 2" xfId="12677"/>
    <cellStyle name="Title 3 4 6" xfId="9642"/>
    <cellStyle name="Title 3 5" xfId="4562"/>
    <cellStyle name="Title 3 5 2" xfId="4563"/>
    <cellStyle name="Title 3 5 2 2" xfId="5165"/>
    <cellStyle name="Title 3 5 2 2 2" xfId="5924"/>
    <cellStyle name="Title 3 5 2 2 2 2" xfId="7441"/>
    <cellStyle name="Title 3 5 2 2 2 2 2" xfId="12296"/>
    <cellStyle name="Title 3 5 2 2 2 3" xfId="8962"/>
    <cellStyle name="Title 3 5 2 2 2 3 2" xfId="13815"/>
    <cellStyle name="Title 3 5 2 2 2 4" xfId="10780"/>
    <cellStyle name="Title 3 5 2 2 3" xfId="6683"/>
    <cellStyle name="Title 3 5 2 2 3 2" xfId="11538"/>
    <cellStyle name="Title 3 5 2 2 4" xfId="8204"/>
    <cellStyle name="Title 3 5 2 2 4 2" xfId="13057"/>
    <cellStyle name="Title 3 5 2 2 5" xfId="10022"/>
    <cellStyle name="Title 3 5 2 3" xfId="5546"/>
    <cellStyle name="Title 3 5 2 3 2" xfId="7063"/>
    <cellStyle name="Title 3 5 2 3 2 2" xfId="11918"/>
    <cellStyle name="Title 3 5 2 3 3" xfId="8584"/>
    <cellStyle name="Title 3 5 2 3 3 2" xfId="13437"/>
    <cellStyle name="Title 3 5 2 3 4" xfId="10402"/>
    <cellStyle name="Title 3 5 2 4" xfId="6305"/>
    <cellStyle name="Title 3 5 2 4 2" xfId="11160"/>
    <cellStyle name="Title 3 5 2 5" xfId="7826"/>
    <cellStyle name="Title 3 5 2 5 2" xfId="12679"/>
    <cellStyle name="Title 3 5 2 6" xfId="9644"/>
    <cellStyle name="Title 3 5 3" xfId="5164"/>
    <cellStyle name="Title 3 5 3 2" xfId="5923"/>
    <cellStyle name="Title 3 5 3 2 2" xfId="7440"/>
    <cellStyle name="Title 3 5 3 2 2 2" xfId="12295"/>
    <cellStyle name="Title 3 5 3 2 3" xfId="8961"/>
    <cellStyle name="Title 3 5 3 2 3 2" xfId="13814"/>
    <cellStyle name="Title 3 5 3 2 4" xfId="10779"/>
    <cellStyle name="Title 3 5 3 3" xfId="6682"/>
    <cellStyle name="Title 3 5 3 3 2" xfId="11537"/>
    <cellStyle name="Title 3 5 3 4" xfId="8203"/>
    <cellStyle name="Title 3 5 3 4 2" xfId="13056"/>
    <cellStyle name="Title 3 5 3 5" xfId="10021"/>
    <cellStyle name="Title 3 5 4" xfId="5545"/>
    <cellStyle name="Title 3 5 4 2" xfId="7062"/>
    <cellStyle name="Title 3 5 4 2 2" xfId="11917"/>
    <cellStyle name="Title 3 5 4 3" xfId="8583"/>
    <cellStyle name="Title 3 5 4 3 2" xfId="13436"/>
    <cellStyle name="Title 3 5 4 4" xfId="10401"/>
    <cellStyle name="Title 3 5 5" xfId="6304"/>
    <cellStyle name="Title 3 5 5 2" xfId="11159"/>
    <cellStyle name="Title 3 5 6" xfId="7825"/>
    <cellStyle name="Title 3 5 6 2" xfId="12678"/>
    <cellStyle name="Title 3 5 7" xfId="9643"/>
    <cellStyle name="Title 3 6" xfId="4564"/>
    <cellStyle name="Title 3 6 2" xfId="5166"/>
    <cellStyle name="Title 3 6 2 2" xfId="5925"/>
    <cellStyle name="Title 3 6 2 2 2" xfId="7442"/>
    <cellStyle name="Title 3 6 2 2 2 2" xfId="12297"/>
    <cellStyle name="Title 3 6 2 2 3" xfId="8963"/>
    <cellStyle name="Title 3 6 2 2 3 2" xfId="13816"/>
    <cellStyle name="Title 3 6 2 2 4" xfId="10781"/>
    <cellStyle name="Title 3 6 2 3" xfId="6684"/>
    <cellStyle name="Title 3 6 2 3 2" xfId="11539"/>
    <cellStyle name="Title 3 6 2 4" xfId="8205"/>
    <cellStyle name="Title 3 6 2 4 2" xfId="13058"/>
    <cellStyle name="Title 3 6 2 5" xfId="10023"/>
    <cellStyle name="Title 3 6 3" xfId="5547"/>
    <cellStyle name="Title 3 6 3 2" xfId="7064"/>
    <cellStyle name="Title 3 6 3 2 2" xfId="11919"/>
    <cellStyle name="Title 3 6 3 3" xfId="8585"/>
    <cellStyle name="Title 3 6 3 3 2" xfId="13438"/>
    <cellStyle name="Title 3 6 3 4" xfId="10403"/>
    <cellStyle name="Title 3 6 4" xfId="6306"/>
    <cellStyle name="Title 3 6 4 2" xfId="11161"/>
    <cellStyle name="Title 3 6 5" xfId="7827"/>
    <cellStyle name="Title 3 6 5 2" xfId="12680"/>
    <cellStyle name="Title 3 6 6" xfId="9645"/>
    <cellStyle name="Title 3 7" xfId="4565"/>
    <cellStyle name="Title 3 7 2" xfId="5167"/>
    <cellStyle name="Title 3 7 2 2" xfId="5926"/>
    <cellStyle name="Title 3 7 2 2 2" xfId="7443"/>
    <cellStyle name="Title 3 7 2 2 2 2" xfId="12298"/>
    <cellStyle name="Title 3 7 2 2 3" xfId="8964"/>
    <cellStyle name="Title 3 7 2 2 3 2" xfId="13817"/>
    <cellStyle name="Title 3 7 2 2 4" xfId="10782"/>
    <cellStyle name="Title 3 7 2 3" xfId="6685"/>
    <cellStyle name="Title 3 7 2 3 2" xfId="11540"/>
    <cellStyle name="Title 3 7 2 4" xfId="8206"/>
    <cellStyle name="Title 3 7 2 4 2" xfId="13059"/>
    <cellStyle name="Title 3 7 2 5" xfId="10024"/>
    <cellStyle name="Title 3 7 3" xfId="5548"/>
    <cellStyle name="Title 3 7 3 2" xfId="7065"/>
    <cellStyle name="Title 3 7 3 2 2" xfId="11920"/>
    <cellStyle name="Title 3 7 3 3" xfId="8586"/>
    <cellStyle name="Title 3 7 3 3 2" xfId="13439"/>
    <cellStyle name="Title 3 7 3 4" xfId="10404"/>
    <cellStyle name="Title 3 7 4" xfId="6307"/>
    <cellStyle name="Title 3 7 4 2" xfId="11162"/>
    <cellStyle name="Title 3 7 5" xfId="7828"/>
    <cellStyle name="Title 3 7 5 2" xfId="12681"/>
    <cellStyle name="Title 3 7 6" xfId="9646"/>
    <cellStyle name="Title 3 8" xfId="4566"/>
    <cellStyle name="Title 3 8 2" xfId="5168"/>
    <cellStyle name="Title 3 8 2 2" xfId="5927"/>
    <cellStyle name="Title 3 8 2 2 2" xfId="7444"/>
    <cellStyle name="Title 3 8 2 2 2 2" xfId="12299"/>
    <cellStyle name="Title 3 8 2 2 3" xfId="8965"/>
    <cellStyle name="Title 3 8 2 2 3 2" xfId="13818"/>
    <cellStyle name="Title 3 8 2 2 4" xfId="10783"/>
    <cellStyle name="Title 3 8 2 3" xfId="6686"/>
    <cellStyle name="Title 3 8 2 3 2" xfId="11541"/>
    <cellStyle name="Title 3 8 2 4" xfId="8207"/>
    <cellStyle name="Title 3 8 2 4 2" xfId="13060"/>
    <cellStyle name="Title 3 8 2 5" xfId="10025"/>
    <cellStyle name="Title 3 8 3" xfId="5549"/>
    <cellStyle name="Title 3 8 3 2" xfId="7066"/>
    <cellStyle name="Title 3 8 3 2 2" xfId="11921"/>
    <cellStyle name="Title 3 8 3 3" xfId="8587"/>
    <cellStyle name="Title 3 8 3 3 2" xfId="13440"/>
    <cellStyle name="Title 3 8 3 4" xfId="10405"/>
    <cellStyle name="Title 3 8 4" xfId="6308"/>
    <cellStyle name="Title 3 8 4 2" xfId="11163"/>
    <cellStyle name="Title 3 8 5" xfId="7829"/>
    <cellStyle name="Title 3 8 5 2" xfId="12682"/>
    <cellStyle name="Title 3 8 6" xfId="9647"/>
    <cellStyle name="Title 3 9" xfId="4567"/>
    <cellStyle name="Title 3 9 2" xfId="5169"/>
    <cellStyle name="Title 3 9 2 2" xfId="5928"/>
    <cellStyle name="Title 3 9 2 2 2" xfId="7445"/>
    <cellStyle name="Title 3 9 2 2 2 2" xfId="12300"/>
    <cellStyle name="Title 3 9 2 2 3" xfId="8966"/>
    <cellStyle name="Title 3 9 2 2 3 2" xfId="13819"/>
    <cellStyle name="Title 3 9 2 2 4" xfId="10784"/>
    <cellStyle name="Title 3 9 2 3" xfId="6687"/>
    <cellStyle name="Title 3 9 2 3 2" xfId="11542"/>
    <cellStyle name="Title 3 9 2 4" xfId="8208"/>
    <cellStyle name="Title 3 9 2 4 2" xfId="13061"/>
    <cellStyle name="Title 3 9 2 5" xfId="10026"/>
    <cellStyle name="Title 3 9 3" xfId="5550"/>
    <cellStyle name="Title 3 9 3 2" xfId="7067"/>
    <cellStyle name="Title 3 9 3 2 2" xfId="11922"/>
    <cellStyle name="Title 3 9 3 3" xfId="8588"/>
    <cellStyle name="Title 3 9 3 3 2" xfId="13441"/>
    <cellStyle name="Title 3 9 3 4" xfId="10406"/>
    <cellStyle name="Title 3 9 4" xfId="6309"/>
    <cellStyle name="Title 3 9 4 2" xfId="11164"/>
    <cellStyle name="Title 3 9 5" xfId="7830"/>
    <cellStyle name="Title 3 9 5 2" xfId="12683"/>
    <cellStyle name="Title 3 9 6" xfId="9648"/>
    <cellStyle name="Title 4" xfId="4568"/>
    <cellStyle name="Title 4 2" xfId="4569"/>
    <cellStyle name="Title 4 2 2" xfId="5171"/>
    <cellStyle name="Title 4 2 2 2" xfId="5930"/>
    <cellStyle name="Title 4 2 2 2 2" xfId="7447"/>
    <cellStyle name="Title 4 2 2 2 2 2" xfId="12302"/>
    <cellStyle name="Title 4 2 2 2 3" xfId="8968"/>
    <cellStyle name="Title 4 2 2 2 3 2" xfId="13821"/>
    <cellStyle name="Title 4 2 2 2 4" xfId="10786"/>
    <cellStyle name="Title 4 2 2 3" xfId="6689"/>
    <cellStyle name="Title 4 2 2 3 2" xfId="11544"/>
    <cellStyle name="Title 4 2 2 4" xfId="8210"/>
    <cellStyle name="Title 4 2 2 4 2" xfId="13063"/>
    <cellStyle name="Title 4 2 2 5" xfId="10028"/>
    <cellStyle name="Title 4 2 3" xfId="5552"/>
    <cellStyle name="Title 4 2 3 2" xfId="7069"/>
    <cellStyle name="Title 4 2 3 2 2" xfId="11924"/>
    <cellStyle name="Title 4 2 3 3" xfId="8590"/>
    <cellStyle name="Title 4 2 3 3 2" xfId="13443"/>
    <cellStyle name="Title 4 2 3 4" xfId="10408"/>
    <cellStyle name="Title 4 2 4" xfId="6311"/>
    <cellStyle name="Title 4 2 4 2" xfId="11166"/>
    <cellStyle name="Title 4 2 5" xfId="7832"/>
    <cellStyle name="Title 4 2 5 2" xfId="12685"/>
    <cellStyle name="Title 4 2 6" xfId="9650"/>
    <cellStyle name="Title 4 3" xfId="4570"/>
    <cellStyle name="Title 4 3 2" xfId="5172"/>
    <cellStyle name="Title 4 3 2 2" xfId="5931"/>
    <cellStyle name="Title 4 3 2 2 2" xfId="7448"/>
    <cellStyle name="Title 4 3 2 2 2 2" xfId="12303"/>
    <cellStyle name="Title 4 3 2 2 3" xfId="8969"/>
    <cellStyle name="Title 4 3 2 2 3 2" xfId="13822"/>
    <cellStyle name="Title 4 3 2 2 4" xfId="10787"/>
    <cellStyle name="Title 4 3 2 3" xfId="6690"/>
    <cellStyle name="Title 4 3 2 3 2" xfId="11545"/>
    <cellStyle name="Title 4 3 2 4" xfId="8211"/>
    <cellStyle name="Title 4 3 2 4 2" xfId="13064"/>
    <cellStyle name="Title 4 3 2 5" xfId="10029"/>
    <cellStyle name="Title 4 3 3" xfId="5553"/>
    <cellStyle name="Title 4 3 3 2" xfId="7070"/>
    <cellStyle name="Title 4 3 3 2 2" xfId="11925"/>
    <cellStyle name="Title 4 3 3 3" xfId="8591"/>
    <cellStyle name="Title 4 3 3 3 2" xfId="13444"/>
    <cellStyle name="Title 4 3 3 4" xfId="10409"/>
    <cellStyle name="Title 4 3 4" xfId="6312"/>
    <cellStyle name="Title 4 3 4 2" xfId="11167"/>
    <cellStyle name="Title 4 3 5" xfId="7833"/>
    <cellStyle name="Title 4 3 5 2" xfId="12686"/>
    <cellStyle name="Title 4 3 6" xfId="9651"/>
    <cellStyle name="Title 4 4" xfId="5170"/>
    <cellStyle name="Title 4 4 2" xfId="5929"/>
    <cellStyle name="Title 4 4 2 2" xfId="7446"/>
    <cellStyle name="Title 4 4 2 2 2" xfId="12301"/>
    <cellStyle name="Title 4 4 2 3" xfId="8967"/>
    <cellStyle name="Title 4 4 2 3 2" xfId="13820"/>
    <cellStyle name="Title 4 4 2 4" xfId="10785"/>
    <cellStyle name="Title 4 4 3" xfId="6688"/>
    <cellStyle name="Title 4 4 3 2" xfId="11543"/>
    <cellStyle name="Title 4 4 4" xfId="8209"/>
    <cellStyle name="Title 4 4 4 2" xfId="13062"/>
    <cellStyle name="Title 4 4 5" xfId="10027"/>
    <cellStyle name="Title 4 5" xfId="5551"/>
    <cellStyle name="Title 4 5 2" xfId="7068"/>
    <cellStyle name="Title 4 5 2 2" xfId="11923"/>
    <cellStyle name="Title 4 5 3" xfId="8589"/>
    <cellStyle name="Title 4 5 3 2" xfId="13442"/>
    <cellStyle name="Title 4 5 4" xfId="10407"/>
    <cellStyle name="Title 4 6" xfId="6310"/>
    <cellStyle name="Title 4 6 2" xfId="11165"/>
    <cellStyle name="Title 4 7" xfId="7831"/>
    <cellStyle name="Title 4 7 2" xfId="12684"/>
    <cellStyle name="Title 4 8" xfId="9649"/>
    <cellStyle name="Title 5" xfId="4571"/>
    <cellStyle name="Title 5 2" xfId="4572"/>
    <cellStyle name="Title 5 2 2" xfId="5174"/>
    <cellStyle name="Title 5 2 2 2" xfId="5933"/>
    <cellStyle name="Title 5 2 2 2 2" xfId="7450"/>
    <cellStyle name="Title 5 2 2 2 2 2" xfId="12305"/>
    <cellStyle name="Title 5 2 2 2 3" xfId="8971"/>
    <cellStyle name="Title 5 2 2 2 3 2" xfId="13824"/>
    <cellStyle name="Title 5 2 2 2 4" xfId="10789"/>
    <cellStyle name="Title 5 2 2 3" xfId="6692"/>
    <cellStyle name="Title 5 2 2 3 2" xfId="11547"/>
    <cellStyle name="Title 5 2 2 4" xfId="8213"/>
    <cellStyle name="Title 5 2 2 4 2" xfId="13066"/>
    <cellStyle name="Title 5 2 2 5" xfId="10031"/>
    <cellStyle name="Title 5 2 3" xfId="5555"/>
    <cellStyle name="Title 5 2 3 2" xfId="7072"/>
    <cellStyle name="Title 5 2 3 2 2" xfId="11927"/>
    <cellStyle name="Title 5 2 3 3" xfId="8593"/>
    <cellStyle name="Title 5 2 3 3 2" xfId="13446"/>
    <cellStyle name="Title 5 2 3 4" xfId="10411"/>
    <cellStyle name="Title 5 2 4" xfId="6314"/>
    <cellStyle name="Title 5 2 4 2" xfId="11169"/>
    <cellStyle name="Title 5 2 5" xfId="7835"/>
    <cellStyle name="Title 5 2 5 2" xfId="12688"/>
    <cellStyle name="Title 5 2 6" xfId="9653"/>
    <cellStyle name="Title 5 3" xfId="4573"/>
    <cellStyle name="Title 5 3 2" xfId="5175"/>
    <cellStyle name="Title 5 3 2 2" xfId="5934"/>
    <cellStyle name="Title 5 3 2 2 2" xfId="7451"/>
    <cellStyle name="Title 5 3 2 2 2 2" xfId="12306"/>
    <cellStyle name="Title 5 3 2 2 3" xfId="8972"/>
    <cellStyle name="Title 5 3 2 2 3 2" xfId="13825"/>
    <cellStyle name="Title 5 3 2 2 4" xfId="10790"/>
    <cellStyle name="Title 5 3 2 3" xfId="6693"/>
    <cellStyle name="Title 5 3 2 3 2" xfId="11548"/>
    <cellStyle name="Title 5 3 2 4" xfId="8214"/>
    <cellStyle name="Title 5 3 2 4 2" xfId="13067"/>
    <cellStyle name="Title 5 3 2 5" xfId="10032"/>
    <cellStyle name="Title 5 3 3" xfId="5556"/>
    <cellStyle name="Title 5 3 3 2" xfId="7073"/>
    <cellStyle name="Title 5 3 3 2 2" xfId="11928"/>
    <cellStyle name="Title 5 3 3 3" xfId="8594"/>
    <cellStyle name="Title 5 3 3 3 2" xfId="13447"/>
    <cellStyle name="Title 5 3 3 4" xfId="10412"/>
    <cellStyle name="Title 5 3 4" xfId="6315"/>
    <cellStyle name="Title 5 3 4 2" xfId="11170"/>
    <cellStyle name="Title 5 3 5" xfId="7836"/>
    <cellStyle name="Title 5 3 5 2" xfId="12689"/>
    <cellStyle name="Title 5 3 6" xfId="9654"/>
    <cellStyle name="Title 5 4" xfId="5173"/>
    <cellStyle name="Title 5 4 2" xfId="5932"/>
    <cellStyle name="Title 5 4 2 2" xfId="7449"/>
    <cellStyle name="Title 5 4 2 2 2" xfId="12304"/>
    <cellStyle name="Title 5 4 2 3" xfId="8970"/>
    <cellStyle name="Title 5 4 2 3 2" xfId="13823"/>
    <cellStyle name="Title 5 4 2 4" xfId="10788"/>
    <cellStyle name="Title 5 4 3" xfId="6691"/>
    <cellStyle name="Title 5 4 3 2" xfId="11546"/>
    <cellStyle name="Title 5 4 4" xfId="8212"/>
    <cellStyle name="Title 5 4 4 2" xfId="13065"/>
    <cellStyle name="Title 5 4 5" xfId="10030"/>
    <cellStyle name="Title 5 5" xfId="5554"/>
    <cellStyle name="Title 5 5 2" xfId="7071"/>
    <cellStyle name="Title 5 5 2 2" xfId="11926"/>
    <cellStyle name="Title 5 5 3" xfId="8592"/>
    <cellStyle name="Title 5 5 3 2" xfId="13445"/>
    <cellStyle name="Title 5 5 4" xfId="10410"/>
    <cellStyle name="Title 5 6" xfId="6313"/>
    <cellStyle name="Title 5 6 2" xfId="11168"/>
    <cellStyle name="Title 5 7" xfId="7834"/>
    <cellStyle name="Title 5 7 2" xfId="12687"/>
    <cellStyle name="Title 5 8" xfId="9652"/>
    <cellStyle name="Title 6" xfId="4574"/>
    <cellStyle name="Title 6 2" xfId="4575"/>
    <cellStyle name="Title 6 2 2" xfId="5177"/>
    <cellStyle name="Title 6 2 2 2" xfId="5936"/>
    <cellStyle name="Title 6 2 2 2 2" xfId="7453"/>
    <cellStyle name="Title 6 2 2 2 2 2" xfId="12308"/>
    <cellStyle name="Title 6 2 2 2 3" xfId="8974"/>
    <cellStyle name="Title 6 2 2 2 3 2" xfId="13827"/>
    <cellStyle name="Title 6 2 2 2 4" xfId="10792"/>
    <cellStyle name="Title 6 2 2 3" xfId="6695"/>
    <cellStyle name="Title 6 2 2 3 2" xfId="11550"/>
    <cellStyle name="Title 6 2 2 4" xfId="8216"/>
    <cellStyle name="Title 6 2 2 4 2" xfId="13069"/>
    <cellStyle name="Title 6 2 2 5" xfId="10034"/>
    <cellStyle name="Title 6 2 3" xfId="5558"/>
    <cellStyle name="Title 6 2 3 2" xfId="7075"/>
    <cellStyle name="Title 6 2 3 2 2" xfId="11930"/>
    <cellStyle name="Title 6 2 3 3" xfId="8596"/>
    <cellStyle name="Title 6 2 3 3 2" xfId="13449"/>
    <cellStyle name="Title 6 2 3 4" xfId="10414"/>
    <cellStyle name="Title 6 2 4" xfId="6317"/>
    <cellStyle name="Title 6 2 4 2" xfId="11172"/>
    <cellStyle name="Title 6 2 5" xfId="7838"/>
    <cellStyle name="Title 6 2 5 2" xfId="12691"/>
    <cellStyle name="Title 6 2 6" xfId="9656"/>
    <cellStyle name="Title 6 3" xfId="4576"/>
    <cellStyle name="Title 6 3 2" xfId="5178"/>
    <cellStyle name="Title 6 3 2 2" xfId="5937"/>
    <cellStyle name="Title 6 3 2 2 2" xfId="7454"/>
    <cellStyle name="Title 6 3 2 2 2 2" xfId="12309"/>
    <cellStyle name="Title 6 3 2 2 3" xfId="8975"/>
    <cellStyle name="Title 6 3 2 2 3 2" xfId="13828"/>
    <cellStyle name="Title 6 3 2 2 4" xfId="10793"/>
    <cellStyle name="Title 6 3 2 3" xfId="6696"/>
    <cellStyle name="Title 6 3 2 3 2" xfId="11551"/>
    <cellStyle name="Title 6 3 2 4" xfId="8217"/>
    <cellStyle name="Title 6 3 2 4 2" xfId="13070"/>
    <cellStyle name="Title 6 3 2 5" xfId="10035"/>
    <cellStyle name="Title 6 3 3" xfId="5559"/>
    <cellStyle name="Title 6 3 3 2" xfId="7076"/>
    <cellStyle name="Title 6 3 3 2 2" xfId="11931"/>
    <cellStyle name="Title 6 3 3 3" xfId="8597"/>
    <cellStyle name="Title 6 3 3 3 2" xfId="13450"/>
    <cellStyle name="Title 6 3 3 4" xfId="10415"/>
    <cellStyle name="Title 6 3 4" xfId="6318"/>
    <cellStyle name="Title 6 3 4 2" xfId="11173"/>
    <cellStyle name="Title 6 3 5" xfId="7839"/>
    <cellStyle name="Title 6 3 5 2" xfId="12692"/>
    <cellStyle name="Title 6 3 6" xfId="9657"/>
    <cellStyle name="Title 6 4" xfId="5176"/>
    <cellStyle name="Title 6 4 2" xfId="5935"/>
    <cellStyle name="Title 6 4 2 2" xfId="7452"/>
    <cellStyle name="Title 6 4 2 2 2" xfId="12307"/>
    <cellStyle name="Title 6 4 2 3" xfId="8973"/>
    <cellStyle name="Title 6 4 2 3 2" xfId="13826"/>
    <cellStyle name="Title 6 4 2 4" xfId="10791"/>
    <cellStyle name="Title 6 4 3" xfId="6694"/>
    <cellStyle name="Title 6 4 3 2" xfId="11549"/>
    <cellStyle name="Title 6 4 4" xfId="8215"/>
    <cellStyle name="Title 6 4 4 2" xfId="13068"/>
    <cellStyle name="Title 6 4 5" xfId="10033"/>
    <cellStyle name="Title 6 5" xfId="5557"/>
    <cellStyle name="Title 6 5 2" xfId="7074"/>
    <cellStyle name="Title 6 5 2 2" xfId="11929"/>
    <cellStyle name="Title 6 5 3" xfId="8595"/>
    <cellStyle name="Title 6 5 3 2" xfId="13448"/>
    <cellStyle name="Title 6 5 4" xfId="10413"/>
    <cellStyle name="Title 6 6" xfId="6316"/>
    <cellStyle name="Title 6 6 2" xfId="11171"/>
    <cellStyle name="Title 6 7" xfId="7837"/>
    <cellStyle name="Title 6 7 2" xfId="12690"/>
    <cellStyle name="Title 6 8" xfId="9655"/>
    <cellStyle name="Title 7" xfId="4577"/>
    <cellStyle name="Title 7 2" xfId="4578"/>
    <cellStyle name="Title 7 2 2" xfId="5180"/>
    <cellStyle name="Title 7 2 2 2" xfId="5939"/>
    <cellStyle name="Title 7 2 2 2 2" xfId="7456"/>
    <cellStyle name="Title 7 2 2 2 2 2" xfId="12311"/>
    <cellStyle name="Title 7 2 2 2 3" xfId="8977"/>
    <cellStyle name="Title 7 2 2 2 3 2" xfId="13830"/>
    <cellStyle name="Title 7 2 2 2 4" xfId="10795"/>
    <cellStyle name="Title 7 2 2 3" xfId="6698"/>
    <cellStyle name="Title 7 2 2 3 2" xfId="11553"/>
    <cellStyle name="Title 7 2 2 4" xfId="8219"/>
    <cellStyle name="Title 7 2 2 4 2" xfId="13072"/>
    <cellStyle name="Title 7 2 2 5" xfId="10037"/>
    <cellStyle name="Title 7 2 3" xfId="5561"/>
    <cellStyle name="Title 7 2 3 2" xfId="7078"/>
    <cellStyle name="Title 7 2 3 2 2" xfId="11933"/>
    <cellStyle name="Title 7 2 3 3" xfId="8599"/>
    <cellStyle name="Title 7 2 3 3 2" xfId="13452"/>
    <cellStyle name="Title 7 2 3 4" xfId="10417"/>
    <cellStyle name="Title 7 2 4" xfId="6320"/>
    <cellStyle name="Title 7 2 4 2" xfId="11175"/>
    <cellStyle name="Title 7 2 5" xfId="7841"/>
    <cellStyle name="Title 7 2 5 2" xfId="12694"/>
    <cellStyle name="Title 7 2 6" xfId="9659"/>
    <cellStyle name="Title 7 3" xfId="4579"/>
    <cellStyle name="Title 7 3 2" xfId="5181"/>
    <cellStyle name="Title 7 3 2 2" xfId="5940"/>
    <cellStyle name="Title 7 3 2 2 2" xfId="7457"/>
    <cellStyle name="Title 7 3 2 2 2 2" xfId="12312"/>
    <cellStyle name="Title 7 3 2 2 3" xfId="8978"/>
    <cellStyle name="Title 7 3 2 2 3 2" xfId="13831"/>
    <cellStyle name="Title 7 3 2 2 4" xfId="10796"/>
    <cellStyle name="Title 7 3 2 3" xfId="6699"/>
    <cellStyle name="Title 7 3 2 3 2" xfId="11554"/>
    <cellStyle name="Title 7 3 2 4" xfId="8220"/>
    <cellStyle name="Title 7 3 2 4 2" xfId="13073"/>
    <cellStyle name="Title 7 3 2 5" xfId="10038"/>
    <cellStyle name="Title 7 3 3" xfId="5562"/>
    <cellStyle name="Title 7 3 3 2" xfId="7079"/>
    <cellStyle name="Title 7 3 3 2 2" xfId="11934"/>
    <cellStyle name="Title 7 3 3 3" xfId="8600"/>
    <cellStyle name="Title 7 3 3 3 2" xfId="13453"/>
    <cellStyle name="Title 7 3 3 4" xfId="10418"/>
    <cellStyle name="Title 7 3 4" xfId="6321"/>
    <cellStyle name="Title 7 3 4 2" xfId="11176"/>
    <cellStyle name="Title 7 3 5" xfId="7842"/>
    <cellStyle name="Title 7 3 5 2" xfId="12695"/>
    <cellStyle name="Title 7 3 6" xfId="9660"/>
    <cellStyle name="Title 7 4" xfId="5179"/>
    <cellStyle name="Title 7 4 2" xfId="5938"/>
    <cellStyle name="Title 7 4 2 2" xfId="7455"/>
    <cellStyle name="Title 7 4 2 2 2" xfId="12310"/>
    <cellStyle name="Title 7 4 2 3" xfId="8976"/>
    <cellStyle name="Title 7 4 2 3 2" xfId="13829"/>
    <cellStyle name="Title 7 4 2 4" xfId="10794"/>
    <cellStyle name="Title 7 4 3" xfId="6697"/>
    <cellStyle name="Title 7 4 3 2" xfId="11552"/>
    <cellStyle name="Title 7 4 4" xfId="8218"/>
    <cellStyle name="Title 7 4 4 2" xfId="13071"/>
    <cellStyle name="Title 7 4 5" xfId="10036"/>
    <cellStyle name="Title 7 5" xfId="5560"/>
    <cellStyle name="Title 7 5 2" xfId="7077"/>
    <cellStyle name="Title 7 5 2 2" xfId="11932"/>
    <cellStyle name="Title 7 5 3" xfId="8598"/>
    <cellStyle name="Title 7 5 3 2" xfId="13451"/>
    <cellStyle name="Title 7 5 4" xfId="10416"/>
    <cellStyle name="Title 7 6" xfId="6319"/>
    <cellStyle name="Title 7 6 2" xfId="11174"/>
    <cellStyle name="Title 7 7" xfId="7840"/>
    <cellStyle name="Title 7 7 2" xfId="12693"/>
    <cellStyle name="Title 7 8" xfId="9658"/>
    <cellStyle name="Title 8" xfId="4580"/>
    <cellStyle name="Title 8 2" xfId="4581"/>
    <cellStyle name="Title 8 2 2" xfId="5183"/>
    <cellStyle name="Title 8 2 2 2" xfId="5942"/>
    <cellStyle name="Title 8 2 2 2 2" xfId="7459"/>
    <cellStyle name="Title 8 2 2 2 2 2" xfId="12314"/>
    <cellStyle name="Title 8 2 2 2 3" xfId="8980"/>
    <cellStyle name="Title 8 2 2 2 3 2" xfId="13833"/>
    <cellStyle name="Title 8 2 2 2 4" xfId="10798"/>
    <cellStyle name="Title 8 2 2 3" xfId="6701"/>
    <cellStyle name="Title 8 2 2 3 2" xfId="11556"/>
    <cellStyle name="Title 8 2 2 4" xfId="8222"/>
    <cellStyle name="Title 8 2 2 4 2" xfId="13075"/>
    <cellStyle name="Title 8 2 2 5" xfId="10040"/>
    <cellStyle name="Title 8 2 3" xfId="5564"/>
    <cellStyle name="Title 8 2 3 2" xfId="7081"/>
    <cellStyle name="Title 8 2 3 2 2" xfId="11936"/>
    <cellStyle name="Title 8 2 3 3" xfId="8602"/>
    <cellStyle name="Title 8 2 3 3 2" xfId="13455"/>
    <cellStyle name="Title 8 2 3 4" xfId="10420"/>
    <cellStyle name="Title 8 2 4" xfId="6323"/>
    <cellStyle name="Title 8 2 4 2" xfId="11178"/>
    <cellStyle name="Title 8 2 5" xfId="7844"/>
    <cellStyle name="Title 8 2 5 2" xfId="12697"/>
    <cellStyle name="Title 8 2 6" xfId="9662"/>
    <cellStyle name="Title 8 3" xfId="4582"/>
    <cellStyle name="Title 8 3 2" xfId="5184"/>
    <cellStyle name="Title 8 3 2 2" xfId="5943"/>
    <cellStyle name="Title 8 3 2 2 2" xfId="7460"/>
    <cellStyle name="Title 8 3 2 2 2 2" xfId="12315"/>
    <cellStyle name="Title 8 3 2 2 3" xfId="8981"/>
    <cellStyle name="Title 8 3 2 2 3 2" xfId="13834"/>
    <cellStyle name="Title 8 3 2 2 4" xfId="10799"/>
    <cellStyle name="Title 8 3 2 3" xfId="6702"/>
    <cellStyle name="Title 8 3 2 3 2" xfId="11557"/>
    <cellStyle name="Title 8 3 2 4" xfId="8223"/>
    <cellStyle name="Title 8 3 2 4 2" xfId="13076"/>
    <cellStyle name="Title 8 3 2 5" xfId="10041"/>
    <cellStyle name="Title 8 3 3" xfId="5565"/>
    <cellStyle name="Title 8 3 3 2" xfId="7082"/>
    <cellStyle name="Title 8 3 3 2 2" xfId="11937"/>
    <cellStyle name="Title 8 3 3 3" xfId="8603"/>
    <cellStyle name="Title 8 3 3 3 2" xfId="13456"/>
    <cellStyle name="Title 8 3 3 4" xfId="10421"/>
    <cellStyle name="Title 8 3 4" xfId="6324"/>
    <cellStyle name="Title 8 3 4 2" xfId="11179"/>
    <cellStyle name="Title 8 3 5" xfId="7845"/>
    <cellStyle name="Title 8 3 5 2" xfId="12698"/>
    <cellStyle name="Title 8 3 6" xfId="9663"/>
    <cellStyle name="Title 8 4" xfId="5182"/>
    <cellStyle name="Title 8 4 2" xfId="5941"/>
    <cellStyle name="Title 8 4 2 2" xfId="7458"/>
    <cellStyle name="Title 8 4 2 2 2" xfId="12313"/>
    <cellStyle name="Title 8 4 2 3" xfId="8979"/>
    <cellStyle name="Title 8 4 2 3 2" xfId="13832"/>
    <cellStyle name="Title 8 4 2 4" xfId="10797"/>
    <cellStyle name="Title 8 4 3" xfId="6700"/>
    <cellStyle name="Title 8 4 3 2" xfId="11555"/>
    <cellStyle name="Title 8 4 4" xfId="8221"/>
    <cellStyle name="Title 8 4 4 2" xfId="13074"/>
    <cellStyle name="Title 8 4 5" xfId="10039"/>
    <cellStyle name="Title 8 5" xfId="5563"/>
    <cellStyle name="Title 8 5 2" xfId="7080"/>
    <cellStyle name="Title 8 5 2 2" xfId="11935"/>
    <cellStyle name="Title 8 5 3" xfId="8601"/>
    <cellStyle name="Title 8 5 3 2" xfId="13454"/>
    <cellStyle name="Title 8 5 4" xfId="10419"/>
    <cellStyle name="Title 8 6" xfId="6322"/>
    <cellStyle name="Title 8 6 2" xfId="11177"/>
    <cellStyle name="Title 8 7" xfId="7843"/>
    <cellStyle name="Title 8 7 2" xfId="12696"/>
    <cellStyle name="Title 8 8" xfId="9661"/>
    <cellStyle name="Title 9" xfId="4583"/>
    <cellStyle name="Title 9 10" xfId="9664"/>
    <cellStyle name="Title 9 2" xfId="4584"/>
    <cellStyle name="Title 9 2 2" xfId="4585"/>
    <cellStyle name="Title 9 2 2 2" xfId="5187"/>
    <cellStyle name="Title 9 2 2 2 2" xfId="5946"/>
    <cellStyle name="Title 9 2 2 2 2 2" xfId="7463"/>
    <cellStyle name="Title 9 2 2 2 2 2 2" xfId="12318"/>
    <cellStyle name="Title 9 2 2 2 2 3" xfId="8984"/>
    <cellStyle name="Title 9 2 2 2 2 3 2" xfId="13837"/>
    <cellStyle name="Title 9 2 2 2 2 4" xfId="10802"/>
    <cellStyle name="Title 9 2 2 2 3" xfId="6705"/>
    <cellStyle name="Title 9 2 2 2 3 2" xfId="11560"/>
    <cellStyle name="Title 9 2 2 2 4" xfId="8226"/>
    <cellStyle name="Title 9 2 2 2 4 2" xfId="13079"/>
    <cellStyle name="Title 9 2 2 2 5" xfId="10044"/>
    <cellStyle name="Title 9 2 2 3" xfId="5568"/>
    <cellStyle name="Title 9 2 2 3 2" xfId="7085"/>
    <cellStyle name="Title 9 2 2 3 2 2" xfId="11940"/>
    <cellStyle name="Title 9 2 2 3 3" xfId="8606"/>
    <cellStyle name="Title 9 2 2 3 3 2" xfId="13459"/>
    <cellStyle name="Title 9 2 2 3 4" xfId="10424"/>
    <cellStyle name="Title 9 2 2 4" xfId="6327"/>
    <cellStyle name="Title 9 2 2 4 2" xfId="11182"/>
    <cellStyle name="Title 9 2 2 5" xfId="7848"/>
    <cellStyle name="Title 9 2 2 5 2" xfId="12701"/>
    <cellStyle name="Title 9 2 2 6" xfId="9666"/>
    <cellStyle name="Title 9 2 3" xfId="5186"/>
    <cellStyle name="Title 9 2 3 2" xfId="5945"/>
    <cellStyle name="Title 9 2 3 2 2" xfId="7462"/>
    <cellStyle name="Title 9 2 3 2 2 2" xfId="12317"/>
    <cellStyle name="Title 9 2 3 2 3" xfId="8983"/>
    <cellStyle name="Title 9 2 3 2 3 2" xfId="13836"/>
    <cellStyle name="Title 9 2 3 2 4" xfId="10801"/>
    <cellStyle name="Title 9 2 3 3" xfId="6704"/>
    <cellStyle name="Title 9 2 3 3 2" xfId="11559"/>
    <cellStyle name="Title 9 2 3 4" xfId="8225"/>
    <cellStyle name="Title 9 2 3 4 2" xfId="13078"/>
    <cellStyle name="Title 9 2 3 5" xfId="10043"/>
    <cellStyle name="Title 9 2 4" xfId="5567"/>
    <cellStyle name="Title 9 2 4 2" xfId="7084"/>
    <cellStyle name="Title 9 2 4 2 2" xfId="11939"/>
    <cellStyle name="Title 9 2 4 3" xfId="8605"/>
    <cellStyle name="Title 9 2 4 3 2" xfId="13458"/>
    <cellStyle name="Title 9 2 4 4" xfId="10423"/>
    <cellStyle name="Title 9 2 5" xfId="6326"/>
    <cellStyle name="Title 9 2 5 2" xfId="11181"/>
    <cellStyle name="Title 9 2 6" xfId="7847"/>
    <cellStyle name="Title 9 2 6 2" xfId="12700"/>
    <cellStyle name="Title 9 2 7" xfId="9665"/>
    <cellStyle name="Title 9 3" xfId="4586"/>
    <cellStyle name="Title 9 3 2" xfId="5188"/>
    <cellStyle name="Title 9 3 2 2" xfId="5947"/>
    <cellStyle name="Title 9 3 2 2 2" xfId="7464"/>
    <cellStyle name="Title 9 3 2 2 2 2" xfId="12319"/>
    <cellStyle name="Title 9 3 2 2 3" xfId="8985"/>
    <cellStyle name="Title 9 3 2 2 3 2" xfId="13838"/>
    <cellStyle name="Title 9 3 2 2 4" xfId="10803"/>
    <cellStyle name="Title 9 3 2 3" xfId="6706"/>
    <cellStyle name="Title 9 3 2 3 2" xfId="11561"/>
    <cellStyle name="Title 9 3 2 4" xfId="8227"/>
    <cellStyle name="Title 9 3 2 4 2" xfId="13080"/>
    <cellStyle name="Title 9 3 2 5" xfId="10045"/>
    <cellStyle name="Title 9 3 3" xfId="5569"/>
    <cellStyle name="Title 9 3 3 2" xfId="7086"/>
    <cellStyle name="Title 9 3 3 2 2" xfId="11941"/>
    <cellStyle name="Title 9 3 3 3" xfId="8607"/>
    <cellStyle name="Title 9 3 3 3 2" xfId="13460"/>
    <cellStyle name="Title 9 3 3 4" xfId="10425"/>
    <cellStyle name="Title 9 3 4" xfId="6328"/>
    <cellStyle name="Title 9 3 4 2" xfId="11183"/>
    <cellStyle name="Title 9 3 5" xfId="7849"/>
    <cellStyle name="Title 9 3 5 2" xfId="12702"/>
    <cellStyle name="Title 9 3 6" xfId="9667"/>
    <cellStyle name="Title 9 4" xfId="4587"/>
    <cellStyle name="Title 9 4 2" xfId="5189"/>
    <cellStyle name="Title 9 4 2 2" xfId="5948"/>
    <cellStyle name="Title 9 4 2 2 2" xfId="7465"/>
    <cellStyle name="Title 9 4 2 2 2 2" xfId="12320"/>
    <cellStyle name="Title 9 4 2 2 3" xfId="8986"/>
    <cellStyle name="Title 9 4 2 2 3 2" xfId="13839"/>
    <cellStyle name="Title 9 4 2 2 4" xfId="10804"/>
    <cellStyle name="Title 9 4 2 3" xfId="6707"/>
    <cellStyle name="Title 9 4 2 3 2" xfId="11562"/>
    <cellStyle name="Title 9 4 2 4" xfId="8228"/>
    <cellStyle name="Title 9 4 2 4 2" xfId="13081"/>
    <cellStyle name="Title 9 4 2 5" xfId="10046"/>
    <cellStyle name="Title 9 4 3" xfId="5570"/>
    <cellStyle name="Title 9 4 3 2" xfId="7087"/>
    <cellStyle name="Title 9 4 3 2 2" xfId="11942"/>
    <cellStyle name="Title 9 4 3 3" xfId="8608"/>
    <cellStyle name="Title 9 4 3 3 2" xfId="13461"/>
    <cellStyle name="Title 9 4 3 4" xfId="10426"/>
    <cellStyle name="Title 9 4 4" xfId="6329"/>
    <cellStyle name="Title 9 4 4 2" xfId="11184"/>
    <cellStyle name="Title 9 4 5" xfId="7850"/>
    <cellStyle name="Title 9 4 5 2" xfId="12703"/>
    <cellStyle name="Title 9 4 6" xfId="9668"/>
    <cellStyle name="Title 9 5" xfId="4588"/>
    <cellStyle name="Title 9 5 2" xfId="5190"/>
    <cellStyle name="Title 9 5 2 2" xfId="5949"/>
    <cellStyle name="Title 9 5 2 2 2" xfId="7466"/>
    <cellStyle name="Title 9 5 2 2 2 2" xfId="12321"/>
    <cellStyle name="Title 9 5 2 2 3" xfId="8987"/>
    <cellStyle name="Title 9 5 2 2 3 2" xfId="13840"/>
    <cellStyle name="Title 9 5 2 2 4" xfId="10805"/>
    <cellStyle name="Title 9 5 2 3" xfId="6708"/>
    <cellStyle name="Title 9 5 2 3 2" xfId="11563"/>
    <cellStyle name="Title 9 5 2 4" xfId="8229"/>
    <cellStyle name="Title 9 5 2 4 2" xfId="13082"/>
    <cellStyle name="Title 9 5 2 5" xfId="10047"/>
    <cellStyle name="Title 9 5 3" xfId="5571"/>
    <cellStyle name="Title 9 5 3 2" xfId="7088"/>
    <cellStyle name="Title 9 5 3 2 2" xfId="11943"/>
    <cellStyle name="Title 9 5 3 3" xfId="8609"/>
    <cellStyle name="Title 9 5 3 3 2" xfId="13462"/>
    <cellStyle name="Title 9 5 3 4" xfId="10427"/>
    <cellStyle name="Title 9 5 4" xfId="6330"/>
    <cellStyle name="Title 9 5 4 2" xfId="11185"/>
    <cellStyle name="Title 9 5 5" xfId="7851"/>
    <cellStyle name="Title 9 5 5 2" xfId="12704"/>
    <cellStyle name="Title 9 5 6" xfId="9669"/>
    <cellStyle name="Title 9 6" xfId="5185"/>
    <cellStyle name="Title 9 6 2" xfId="5944"/>
    <cellStyle name="Title 9 6 2 2" xfId="7461"/>
    <cellStyle name="Title 9 6 2 2 2" xfId="12316"/>
    <cellStyle name="Title 9 6 2 3" xfId="8982"/>
    <cellStyle name="Title 9 6 2 3 2" xfId="13835"/>
    <cellStyle name="Title 9 6 2 4" xfId="10800"/>
    <cellStyle name="Title 9 6 3" xfId="6703"/>
    <cellStyle name="Title 9 6 3 2" xfId="11558"/>
    <cellStyle name="Title 9 6 4" xfId="8224"/>
    <cellStyle name="Title 9 6 4 2" xfId="13077"/>
    <cellStyle name="Title 9 6 5" xfId="10042"/>
    <cellStyle name="Title 9 7" xfId="5566"/>
    <cellStyle name="Title 9 7 2" xfId="7083"/>
    <cellStyle name="Title 9 7 2 2" xfId="11938"/>
    <cellStyle name="Title 9 7 3" xfId="8604"/>
    <cellStyle name="Title 9 7 3 2" xfId="13457"/>
    <cellStyle name="Title 9 7 4" xfId="10422"/>
    <cellStyle name="Title 9 8" xfId="6325"/>
    <cellStyle name="Title 9 8 2" xfId="11180"/>
    <cellStyle name="Title 9 9" xfId="7846"/>
    <cellStyle name="Title 9 9 2" xfId="12699"/>
    <cellStyle name="Title Line" xfId="9532"/>
    <cellStyle name="title1" xfId="155"/>
    <cellStyle name="title2" xfId="156"/>
    <cellStyle name="TitleBar" xfId="9533"/>
    <cellStyle name="TitleII" xfId="590"/>
    <cellStyle name="TitleNormal" xfId="4589"/>
    <cellStyle name="TitleNormal 2" xfId="5191"/>
    <cellStyle name="TitleNormal 2 2" xfId="5950"/>
    <cellStyle name="TitleNormal 2 2 2" xfId="7467"/>
    <cellStyle name="TitleNormal 2 2 2 2" xfId="12322"/>
    <cellStyle name="TitleNormal 2 2 3" xfId="8988"/>
    <cellStyle name="TitleNormal 2 2 3 2" xfId="13841"/>
    <cellStyle name="TitleNormal 2 2 4" xfId="10806"/>
    <cellStyle name="TitleNormal 2 3" xfId="6709"/>
    <cellStyle name="TitleNormal 2 3 2" xfId="11564"/>
    <cellStyle name="TitleNormal 2 4" xfId="8230"/>
    <cellStyle name="TitleNormal 2 4 2" xfId="13083"/>
    <cellStyle name="TitleNormal 2 5" xfId="10048"/>
    <cellStyle name="TitleNormal 3" xfId="5572"/>
    <cellStyle name="TitleNormal 3 2" xfId="7089"/>
    <cellStyle name="TitleNormal 3 2 2" xfId="11944"/>
    <cellStyle name="TitleNormal 3 3" xfId="8610"/>
    <cellStyle name="TitleNormal 3 3 2" xfId="13463"/>
    <cellStyle name="TitleNormal 3 4" xfId="10428"/>
    <cellStyle name="TitleNormal 4" xfId="6331"/>
    <cellStyle name="TitleNormal 4 2" xfId="11186"/>
    <cellStyle name="TitleNormal 5" xfId="7852"/>
    <cellStyle name="TitleNormal 5 2" xfId="12705"/>
    <cellStyle name="TitleNormal 6" xfId="9670"/>
    <cellStyle name="Titles" xfId="157"/>
    <cellStyle name="Titles 2" xfId="9534"/>
    <cellStyle name="Titolo" xfId="4590"/>
    <cellStyle name="Titolo 2" xfId="5192"/>
    <cellStyle name="Titolo 2 2" xfId="5951"/>
    <cellStyle name="Titolo 2 2 2" xfId="7468"/>
    <cellStyle name="Titolo 2 2 2 2" xfId="12323"/>
    <cellStyle name="Titolo 2 2 3" xfId="8989"/>
    <cellStyle name="Titolo 2 2 3 2" xfId="13842"/>
    <cellStyle name="Titolo 2 2 4" xfId="10807"/>
    <cellStyle name="Titolo 2 3" xfId="6710"/>
    <cellStyle name="Titolo 2 3 2" xfId="11565"/>
    <cellStyle name="Titolo 2 4" xfId="8231"/>
    <cellStyle name="Titolo 2 4 2" xfId="13084"/>
    <cellStyle name="Titolo 2 5" xfId="10049"/>
    <cellStyle name="Titolo 3" xfId="5573"/>
    <cellStyle name="Titolo 3 2" xfId="7090"/>
    <cellStyle name="Titolo 3 2 2" xfId="11945"/>
    <cellStyle name="Titolo 3 3" xfId="8611"/>
    <cellStyle name="Titolo 3 3 2" xfId="13464"/>
    <cellStyle name="Titolo 3 4" xfId="10429"/>
    <cellStyle name="Titolo 4" xfId="6332"/>
    <cellStyle name="Titolo 4 2" xfId="11187"/>
    <cellStyle name="Titolo 5" xfId="7853"/>
    <cellStyle name="Titolo 5 2" xfId="12706"/>
    <cellStyle name="Titolo 6" xfId="9671"/>
    <cellStyle name="Titolo Riga" xfId="4591"/>
    <cellStyle name="Titolo Riga 2" xfId="4592"/>
    <cellStyle name="Titolo Riga 2 2" xfId="5194"/>
    <cellStyle name="Titolo Riga 2 2 2" xfId="5953"/>
    <cellStyle name="Titolo Riga 2 2 2 2" xfId="7470"/>
    <cellStyle name="Titolo Riga 2 2 2 2 2" xfId="12325"/>
    <cellStyle name="Titolo Riga 2 2 2 3" xfId="8991"/>
    <cellStyle name="Titolo Riga 2 2 2 3 2" xfId="13844"/>
    <cellStyle name="Titolo Riga 2 2 2 4" xfId="10809"/>
    <cellStyle name="Titolo Riga 2 2 3" xfId="6712"/>
    <cellStyle name="Titolo Riga 2 2 3 2" xfId="11567"/>
    <cellStyle name="Titolo Riga 2 2 4" xfId="8233"/>
    <cellStyle name="Titolo Riga 2 2 4 2" xfId="13086"/>
    <cellStyle name="Titolo Riga 2 2 5" xfId="10051"/>
    <cellStyle name="Titolo Riga 2 3" xfId="5575"/>
    <cellStyle name="Titolo Riga 2 3 2" xfId="7092"/>
    <cellStyle name="Titolo Riga 2 3 2 2" xfId="11947"/>
    <cellStyle name="Titolo Riga 2 3 3" xfId="8613"/>
    <cellStyle name="Titolo Riga 2 3 3 2" xfId="13466"/>
    <cellStyle name="Titolo Riga 2 3 4" xfId="10431"/>
    <cellStyle name="Titolo Riga 2 4" xfId="6334"/>
    <cellStyle name="Titolo Riga 2 4 2" xfId="11189"/>
    <cellStyle name="Titolo Riga 2 5" xfId="7855"/>
    <cellStyle name="Titolo Riga 2 5 2" xfId="12708"/>
    <cellStyle name="Titolo Riga 2 6" xfId="9673"/>
    <cellStyle name="Titolo Riga 3" xfId="5193"/>
    <cellStyle name="Titolo Riga 3 2" xfId="5952"/>
    <cellStyle name="Titolo Riga 3 2 2" xfId="7469"/>
    <cellStyle name="Titolo Riga 3 2 2 2" xfId="12324"/>
    <cellStyle name="Titolo Riga 3 2 3" xfId="8990"/>
    <cellStyle name="Titolo Riga 3 2 3 2" xfId="13843"/>
    <cellStyle name="Titolo Riga 3 2 4" xfId="10808"/>
    <cellStyle name="Titolo Riga 3 3" xfId="6711"/>
    <cellStyle name="Titolo Riga 3 3 2" xfId="11566"/>
    <cellStyle name="Titolo Riga 3 4" xfId="8232"/>
    <cellStyle name="Titolo Riga 3 4 2" xfId="13085"/>
    <cellStyle name="Titolo Riga 3 5" xfId="10050"/>
    <cellStyle name="Titolo Riga 4" xfId="5574"/>
    <cellStyle name="Titolo Riga 4 2" xfId="7091"/>
    <cellStyle name="Titolo Riga 4 2 2" xfId="11946"/>
    <cellStyle name="Titolo Riga 4 3" xfId="8612"/>
    <cellStyle name="Titolo Riga 4 3 2" xfId="13465"/>
    <cellStyle name="Titolo Riga 4 4" xfId="10430"/>
    <cellStyle name="Titolo Riga 5" xfId="6333"/>
    <cellStyle name="Titolo Riga 5 2" xfId="11188"/>
    <cellStyle name="Titolo Riga 6" xfId="7854"/>
    <cellStyle name="Titolo Riga 6 2" xfId="12707"/>
    <cellStyle name="Titolo Riga 7" xfId="9672"/>
    <cellStyle name="titre" xfId="4593"/>
    <cellStyle name="titre 10" xfId="9674"/>
    <cellStyle name="Titre 2" xfId="4594"/>
    <cellStyle name="Titre 2 2" xfId="5196"/>
    <cellStyle name="Titre 2 2 2" xfId="5955"/>
    <cellStyle name="Titre 2 2 2 2" xfId="7472"/>
    <cellStyle name="Titre 2 2 2 2 2" xfId="12327"/>
    <cellStyle name="Titre 2 2 2 3" xfId="8993"/>
    <cellStyle name="Titre 2 2 2 3 2" xfId="13846"/>
    <cellStyle name="Titre 2 2 2 4" xfId="10811"/>
    <cellStyle name="Titre 2 2 3" xfId="6714"/>
    <cellStyle name="Titre 2 2 3 2" xfId="11569"/>
    <cellStyle name="Titre 2 2 4" xfId="8235"/>
    <cellStyle name="Titre 2 2 4 2" xfId="13088"/>
    <cellStyle name="Titre 2 2 5" xfId="10053"/>
    <cellStyle name="Titre 2 3" xfId="5577"/>
    <cellStyle name="Titre 2 3 2" xfId="7094"/>
    <cellStyle name="Titre 2 3 2 2" xfId="11949"/>
    <cellStyle name="Titre 2 3 3" xfId="8615"/>
    <cellStyle name="Titre 2 3 3 2" xfId="13468"/>
    <cellStyle name="Titre 2 3 4" xfId="10433"/>
    <cellStyle name="Titre 2 4" xfId="6336"/>
    <cellStyle name="Titre 2 4 2" xfId="11191"/>
    <cellStyle name="Titre 2 5" xfId="7857"/>
    <cellStyle name="Titre 2 5 2" xfId="12710"/>
    <cellStyle name="Titre 2 6" xfId="9675"/>
    <cellStyle name="titre 3" xfId="5195"/>
    <cellStyle name="titre 3 2" xfId="5954"/>
    <cellStyle name="titre 3 2 2" xfId="7471"/>
    <cellStyle name="titre 3 2 2 2" xfId="12326"/>
    <cellStyle name="titre 3 2 3" xfId="8992"/>
    <cellStyle name="titre 3 2 3 2" xfId="13845"/>
    <cellStyle name="titre 3 2 4" xfId="10810"/>
    <cellStyle name="titre 3 3" xfId="6713"/>
    <cellStyle name="titre 3 3 2" xfId="11568"/>
    <cellStyle name="titre 3 4" xfId="8234"/>
    <cellStyle name="titre 3 4 2" xfId="13087"/>
    <cellStyle name="titre 3 5" xfId="10052"/>
    <cellStyle name="titre 4" xfId="5473"/>
    <cellStyle name="titre 4 2" xfId="6232"/>
    <cellStyle name="titre 4 2 2" xfId="7749"/>
    <cellStyle name="titre 4 2 2 2" xfId="12604"/>
    <cellStyle name="titre 4 2 3" xfId="9270"/>
    <cellStyle name="titre 4 2 3 2" xfId="14123"/>
    <cellStyle name="titre 4 2 4" xfId="11088"/>
    <cellStyle name="titre 4 3" xfId="6991"/>
    <cellStyle name="titre 4 3 2" xfId="11846"/>
    <cellStyle name="titre 4 4" xfId="8512"/>
    <cellStyle name="titre 4 4 2" xfId="13365"/>
    <cellStyle name="titre 4 5" xfId="10330"/>
    <cellStyle name="titre 5" xfId="5576"/>
    <cellStyle name="titre 5 2" xfId="7093"/>
    <cellStyle name="titre 5 2 2" xfId="11948"/>
    <cellStyle name="titre 5 3" xfId="8614"/>
    <cellStyle name="titre 5 3 2" xfId="13467"/>
    <cellStyle name="titre 5 4" xfId="10432"/>
    <cellStyle name="titre 6" xfId="6335"/>
    <cellStyle name="titre 6 2" xfId="11190"/>
    <cellStyle name="titre 7" xfId="7856"/>
    <cellStyle name="titre 7 2" xfId="12709"/>
    <cellStyle name="titre 8" xfId="7754"/>
    <cellStyle name="titre 8 2" xfId="12608"/>
    <cellStyle name="titre 9" xfId="7765"/>
    <cellStyle name="titre 9 2" xfId="12618"/>
    <cellStyle name="top" xfId="591"/>
    <cellStyle name="Top Line" xfId="158"/>
    <cellStyle name="Top Row" xfId="9535"/>
    <cellStyle name="Top_Border" xfId="4595"/>
    <cellStyle name="top-title" xfId="592"/>
    <cellStyle name="Tot" xfId="4596"/>
    <cellStyle name="Tot 10" xfId="4597"/>
    <cellStyle name="Tot 10 2" xfId="5198"/>
    <cellStyle name="Tot 10 2 2" xfId="5957"/>
    <cellStyle name="Tot 10 2 2 2" xfId="7474"/>
    <cellStyle name="Tot 10 2 2 2 2" xfId="12329"/>
    <cellStyle name="Tot 10 2 2 3" xfId="8995"/>
    <cellStyle name="Tot 10 2 2 3 2" xfId="13848"/>
    <cellStyle name="Tot 10 2 2 4" xfId="10813"/>
    <cellStyle name="Tot 10 2 3" xfId="6716"/>
    <cellStyle name="Tot 10 2 3 2" xfId="11571"/>
    <cellStyle name="Tot 10 2 4" xfId="8237"/>
    <cellStyle name="Tot 10 2 4 2" xfId="13090"/>
    <cellStyle name="Tot 10 2 5" xfId="10055"/>
    <cellStyle name="Tot 10 3" xfId="5579"/>
    <cellStyle name="Tot 10 3 2" xfId="7096"/>
    <cellStyle name="Tot 10 3 2 2" xfId="11951"/>
    <cellStyle name="Tot 10 3 3" xfId="8617"/>
    <cellStyle name="Tot 10 3 3 2" xfId="13470"/>
    <cellStyle name="Tot 10 3 4" xfId="10435"/>
    <cellStyle name="Tot 10 4" xfId="6338"/>
    <cellStyle name="Tot 10 4 2" xfId="11193"/>
    <cellStyle name="Tot 10 5" xfId="7859"/>
    <cellStyle name="Tot 10 5 2" xfId="12712"/>
    <cellStyle name="Tot 10 6" xfId="9677"/>
    <cellStyle name="Tot 11" xfId="4598"/>
    <cellStyle name="Tot 11 2" xfId="5199"/>
    <cellStyle name="Tot 11 2 2" xfId="5958"/>
    <cellStyle name="Tot 11 2 2 2" xfId="7475"/>
    <cellStyle name="Tot 11 2 2 2 2" xfId="12330"/>
    <cellStyle name="Tot 11 2 2 3" xfId="8996"/>
    <cellStyle name="Tot 11 2 2 3 2" xfId="13849"/>
    <cellStyle name="Tot 11 2 2 4" xfId="10814"/>
    <cellStyle name="Tot 11 2 3" xfId="6717"/>
    <cellStyle name="Tot 11 2 3 2" xfId="11572"/>
    <cellStyle name="Tot 11 2 4" xfId="8238"/>
    <cellStyle name="Tot 11 2 4 2" xfId="13091"/>
    <cellStyle name="Tot 11 2 5" xfId="10056"/>
    <cellStyle name="Tot 11 3" xfId="5580"/>
    <cellStyle name="Tot 11 3 2" xfId="7097"/>
    <cellStyle name="Tot 11 3 2 2" xfId="11952"/>
    <cellStyle name="Tot 11 3 3" xfId="8618"/>
    <cellStyle name="Tot 11 3 3 2" xfId="13471"/>
    <cellStyle name="Tot 11 3 4" xfId="10436"/>
    <cellStyle name="Tot 11 4" xfId="6339"/>
    <cellStyle name="Tot 11 4 2" xfId="11194"/>
    <cellStyle name="Tot 11 5" xfId="7860"/>
    <cellStyle name="Tot 11 5 2" xfId="12713"/>
    <cellStyle name="Tot 11 6" xfId="9678"/>
    <cellStyle name="Tot 12" xfId="4599"/>
    <cellStyle name="Tot 12 2" xfId="5200"/>
    <cellStyle name="Tot 12 2 2" xfId="5959"/>
    <cellStyle name="Tot 12 2 2 2" xfId="7476"/>
    <cellStyle name="Tot 12 2 2 2 2" xfId="12331"/>
    <cellStyle name="Tot 12 2 2 3" xfId="8997"/>
    <cellStyle name="Tot 12 2 2 3 2" xfId="13850"/>
    <cellStyle name="Tot 12 2 2 4" xfId="10815"/>
    <cellStyle name="Tot 12 2 3" xfId="6718"/>
    <cellStyle name="Tot 12 2 3 2" xfId="11573"/>
    <cellStyle name="Tot 12 2 4" xfId="8239"/>
    <cellStyle name="Tot 12 2 4 2" xfId="13092"/>
    <cellStyle name="Tot 12 2 5" xfId="10057"/>
    <cellStyle name="Tot 12 3" xfId="5581"/>
    <cellStyle name="Tot 12 3 2" xfId="7098"/>
    <cellStyle name="Tot 12 3 2 2" xfId="11953"/>
    <cellStyle name="Tot 12 3 3" xfId="8619"/>
    <cellStyle name="Tot 12 3 3 2" xfId="13472"/>
    <cellStyle name="Tot 12 3 4" xfId="10437"/>
    <cellStyle name="Tot 12 4" xfId="6340"/>
    <cellStyle name="Tot 12 4 2" xfId="11195"/>
    <cellStyle name="Tot 12 5" xfId="7861"/>
    <cellStyle name="Tot 12 5 2" xfId="12714"/>
    <cellStyle name="Tot 12 6" xfId="9679"/>
    <cellStyle name="Tot 13" xfId="5197"/>
    <cellStyle name="Tot 13 2" xfId="5956"/>
    <cellStyle name="Tot 13 2 2" xfId="7473"/>
    <cellStyle name="Tot 13 2 2 2" xfId="12328"/>
    <cellStyle name="Tot 13 2 3" xfId="8994"/>
    <cellStyle name="Tot 13 2 3 2" xfId="13847"/>
    <cellStyle name="Tot 13 2 4" xfId="10812"/>
    <cellStyle name="Tot 13 3" xfId="6715"/>
    <cellStyle name="Tot 13 3 2" xfId="11570"/>
    <cellStyle name="Tot 13 4" xfId="8236"/>
    <cellStyle name="Tot 13 4 2" xfId="13089"/>
    <cellStyle name="Tot 13 5" xfId="10054"/>
    <cellStyle name="Tot 14" xfId="5578"/>
    <cellStyle name="Tot 14 2" xfId="7095"/>
    <cellStyle name="Tot 14 2 2" xfId="11950"/>
    <cellStyle name="Tot 14 3" xfId="8616"/>
    <cellStyle name="Tot 14 3 2" xfId="13469"/>
    <cellStyle name="Tot 14 4" xfId="10434"/>
    <cellStyle name="Tot 15" xfId="6337"/>
    <cellStyle name="Tot 15 2" xfId="11192"/>
    <cellStyle name="Tot 16" xfId="7858"/>
    <cellStyle name="Tot 16 2" xfId="12711"/>
    <cellStyle name="Tot 17" xfId="9676"/>
    <cellStyle name="Tot 2" xfId="4600"/>
    <cellStyle name="Tot 2 2" xfId="5201"/>
    <cellStyle name="Tot 2 2 2" xfId="5960"/>
    <cellStyle name="Tot 2 2 2 2" xfId="7477"/>
    <cellStyle name="Tot 2 2 2 2 2" xfId="12332"/>
    <cellStyle name="Tot 2 2 2 3" xfId="8998"/>
    <cellStyle name="Tot 2 2 2 3 2" xfId="13851"/>
    <cellStyle name="Tot 2 2 2 4" xfId="10816"/>
    <cellStyle name="Tot 2 2 3" xfId="6719"/>
    <cellStyle name="Tot 2 2 3 2" xfId="11574"/>
    <cellStyle name="Tot 2 2 4" xfId="8240"/>
    <cellStyle name="Tot 2 2 4 2" xfId="13093"/>
    <cellStyle name="Tot 2 2 5" xfId="10058"/>
    <cellStyle name="Tot 2 3" xfId="5582"/>
    <cellStyle name="Tot 2 3 2" xfId="7099"/>
    <cellStyle name="Tot 2 3 2 2" xfId="11954"/>
    <cellStyle name="Tot 2 3 3" xfId="8620"/>
    <cellStyle name="Tot 2 3 3 2" xfId="13473"/>
    <cellStyle name="Tot 2 3 4" xfId="10438"/>
    <cellStyle name="Tot 2 4" xfId="6341"/>
    <cellStyle name="Tot 2 4 2" xfId="11196"/>
    <cellStyle name="Tot 2 5" xfId="7862"/>
    <cellStyle name="Tot 2 5 2" xfId="12715"/>
    <cellStyle name="Tot 2 6" xfId="9680"/>
    <cellStyle name="Tot 3" xfId="4601"/>
    <cellStyle name="Tot 3 2" xfId="5202"/>
    <cellStyle name="Tot 3 2 2" xfId="5961"/>
    <cellStyle name="Tot 3 2 2 2" xfId="7478"/>
    <cellStyle name="Tot 3 2 2 2 2" xfId="12333"/>
    <cellStyle name="Tot 3 2 2 3" xfId="8999"/>
    <cellStyle name="Tot 3 2 2 3 2" xfId="13852"/>
    <cellStyle name="Tot 3 2 2 4" xfId="10817"/>
    <cellStyle name="Tot 3 2 3" xfId="6720"/>
    <cellStyle name="Tot 3 2 3 2" xfId="11575"/>
    <cellStyle name="Tot 3 2 4" xfId="8241"/>
    <cellStyle name="Tot 3 2 4 2" xfId="13094"/>
    <cellStyle name="Tot 3 2 5" xfId="10059"/>
    <cellStyle name="Tot 3 3" xfId="5583"/>
    <cellStyle name="Tot 3 3 2" xfId="7100"/>
    <cellStyle name="Tot 3 3 2 2" xfId="11955"/>
    <cellStyle name="Tot 3 3 3" xfId="8621"/>
    <cellStyle name="Tot 3 3 3 2" xfId="13474"/>
    <cellStyle name="Tot 3 3 4" xfId="10439"/>
    <cellStyle name="Tot 3 4" xfId="6342"/>
    <cellStyle name="Tot 3 4 2" xfId="11197"/>
    <cellStyle name="Tot 3 5" xfId="7863"/>
    <cellStyle name="Tot 3 5 2" xfId="12716"/>
    <cellStyle name="Tot 3 6" xfId="9681"/>
    <cellStyle name="Tot 4" xfId="4602"/>
    <cellStyle name="Tot 4 2" xfId="5203"/>
    <cellStyle name="Tot 4 2 2" xfId="5962"/>
    <cellStyle name="Tot 4 2 2 2" xfId="7479"/>
    <cellStyle name="Tot 4 2 2 2 2" xfId="12334"/>
    <cellStyle name="Tot 4 2 2 3" xfId="9000"/>
    <cellStyle name="Tot 4 2 2 3 2" xfId="13853"/>
    <cellStyle name="Tot 4 2 2 4" xfId="10818"/>
    <cellStyle name="Tot 4 2 3" xfId="6721"/>
    <cellStyle name="Tot 4 2 3 2" xfId="11576"/>
    <cellStyle name="Tot 4 2 4" xfId="8242"/>
    <cellStyle name="Tot 4 2 4 2" xfId="13095"/>
    <cellStyle name="Tot 4 2 5" xfId="10060"/>
    <cellStyle name="Tot 4 3" xfId="5584"/>
    <cellStyle name="Tot 4 3 2" xfId="7101"/>
    <cellStyle name="Tot 4 3 2 2" xfId="11956"/>
    <cellStyle name="Tot 4 3 3" xfId="8622"/>
    <cellStyle name="Tot 4 3 3 2" xfId="13475"/>
    <cellStyle name="Tot 4 3 4" xfId="10440"/>
    <cellStyle name="Tot 4 4" xfId="6343"/>
    <cellStyle name="Tot 4 4 2" xfId="11198"/>
    <cellStyle name="Tot 4 5" xfId="7864"/>
    <cellStyle name="Tot 4 5 2" xfId="12717"/>
    <cellStyle name="Tot 4 6" xfId="9682"/>
    <cellStyle name="Tot 5" xfId="4603"/>
    <cellStyle name="Tot 5 2" xfId="5204"/>
    <cellStyle name="Tot 5 2 2" xfId="5963"/>
    <cellStyle name="Tot 5 2 2 2" xfId="7480"/>
    <cellStyle name="Tot 5 2 2 2 2" xfId="12335"/>
    <cellStyle name="Tot 5 2 2 3" xfId="9001"/>
    <cellStyle name="Tot 5 2 2 3 2" xfId="13854"/>
    <cellStyle name="Tot 5 2 2 4" xfId="10819"/>
    <cellStyle name="Tot 5 2 3" xfId="6722"/>
    <cellStyle name="Tot 5 2 3 2" xfId="11577"/>
    <cellStyle name="Tot 5 2 4" xfId="8243"/>
    <cellStyle name="Tot 5 2 4 2" xfId="13096"/>
    <cellStyle name="Tot 5 2 5" xfId="10061"/>
    <cellStyle name="Tot 5 3" xfId="5585"/>
    <cellStyle name="Tot 5 3 2" xfId="7102"/>
    <cellStyle name="Tot 5 3 2 2" xfId="11957"/>
    <cellStyle name="Tot 5 3 3" xfId="8623"/>
    <cellStyle name="Tot 5 3 3 2" xfId="13476"/>
    <cellStyle name="Tot 5 3 4" xfId="10441"/>
    <cellStyle name="Tot 5 4" xfId="6344"/>
    <cellStyle name="Tot 5 4 2" xfId="11199"/>
    <cellStyle name="Tot 5 5" xfId="7865"/>
    <cellStyle name="Tot 5 5 2" xfId="12718"/>
    <cellStyle name="Tot 5 6" xfId="9683"/>
    <cellStyle name="Tot 6" xfId="4604"/>
    <cellStyle name="Tot 6 2" xfId="5205"/>
    <cellStyle name="Tot 6 2 2" xfId="5964"/>
    <cellStyle name="Tot 6 2 2 2" xfId="7481"/>
    <cellStyle name="Tot 6 2 2 2 2" xfId="12336"/>
    <cellStyle name="Tot 6 2 2 3" xfId="9002"/>
    <cellStyle name="Tot 6 2 2 3 2" xfId="13855"/>
    <cellStyle name="Tot 6 2 2 4" xfId="10820"/>
    <cellStyle name="Tot 6 2 3" xfId="6723"/>
    <cellStyle name="Tot 6 2 3 2" xfId="11578"/>
    <cellStyle name="Tot 6 2 4" xfId="8244"/>
    <cellStyle name="Tot 6 2 4 2" xfId="13097"/>
    <cellStyle name="Tot 6 2 5" xfId="10062"/>
    <cellStyle name="Tot 6 3" xfId="5586"/>
    <cellStyle name="Tot 6 3 2" xfId="7103"/>
    <cellStyle name="Tot 6 3 2 2" xfId="11958"/>
    <cellStyle name="Tot 6 3 3" xfId="8624"/>
    <cellStyle name="Tot 6 3 3 2" xfId="13477"/>
    <cellStyle name="Tot 6 3 4" xfId="10442"/>
    <cellStyle name="Tot 6 4" xfId="6345"/>
    <cellStyle name="Tot 6 4 2" xfId="11200"/>
    <cellStyle name="Tot 6 5" xfId="7866"/>
    <cellStyle name="Tot 6 5 2" xfId="12719"/>
    <cellStyle name="Tot 6 6" xfId="9684"/>
    <cellStyle name="Tot 7" xfId="4605"/>
    <cellStyle name="Tot 7 2" xfId="5206"/>
    <cellStyle name="Tot 7 2 2" xfId="5965"/>
    <cellStyle name="Tot 7 2 2 2" xfId="7482"/>
    <cellStyle name="Tot 7 2 2 2 2" xfId="12337"/>
    <cellStyle name="Tot 7 2 2 3" xfId="9003"/>
    <cellStyle name="Tot 7 2 2 3 2" xfId="13856"/>
    <cellStyle name="Tot 7 2 2 4" xfId="10821"/>
    <cellStyle name="Tot 7 2 3" xfId="6724"/>
    <cellStyle name="Tot 7 2 3 2" xfId="11579"/>
    <cellStyle name="Tot 7 2 4" xfId="8245"/>
    <cellStyle name="Tot 7 2 4 2" xfId="13098"/>
    <cellStyle name="Tot 7 2 5" xfId="10063"/>
    <cellStyle name="Tot 7 3" xfId="5587"/>
    <cellStyle name="Tot 7 3 2" xfId="7104"/>
    <cellStyle name="Tot 7 3 2 2" xfId="11959"/>
    <cellStyle name="Tot 7 3 3" xfId="8625"/>
    <cellStyle name="Tot 7 3 3 2" xfId="13478"/>
    <cellStyle name="Tot 7 3 4" xfId="10443"/>
    <cellStyle name="Tot 7 4" xfId="6346"/>
    <cellStyle name="Tot 7 4 2" xfId="11201"/>
    <cellStyle name="Tot 7 5" xfId="7867"/>
    <cellStyle name="Tot 7 5 2" xfId="12720"/>
    <cellStyle name="Tot 7 6" xfId="9685"/>
    <cellStyle name="Tot 8" xfId="4606"/>
    <cellStyle name="Tot 8 2" xfId="5207"/>
    <cellStyle name="Tot 8 2 2" xfId="5966"/>
    <cellStyle name="Tot 8 2 2 2" xfId="7483"/>
    <cellStyle name="Tot 8 2 2 2 2" xfId="12338"/>
    <cellStyle name="Tot 8 2 2 3" xfId="9004"/>
    <cellStyle name="Tot 8 2 2 3 2" xfId="13857"/>
    <cellStyle name="Tot 8 2 2 4" xfId="10822"/>
    <cellStyle name="Tot 8 2 3" xfId="6725"/>
    <cellStyle name="Tot 8 2 3 2" xfId="11580"/>
    <cellStyle name="Tot 8 2 4" xfId="8246"/>
    <cellStyle name="Tot 8 2 4 2" xfId="13099"/>
    <cellStyle name="Tot 8 2 5" xfId="10064"/>
    <cellStyle name="Tot 8 3" xfId="5588"/>
    <cellStyle name="Tot 8 3 2" xfId="7105"/>
    <cellStyle name="Tot 8 3 2 2" xfId="11960"/>
    <cellStyle name="Tot 8 3 3" xfId="8626"/>
    <cellStyle name="Tot 8 3 3 2" xfId="13479"/>
    <cellStyle name="Tot 8 3 4" xfId="10444"/>
    <cellStyle name="Tot 8 4" xfId="6347"/>
    <cellStyle name="Tot 8 4 2" xfId="11202"/>
    <cellStyle name="Tot 8 5" xfId="7868"/>
    <cellStyle name="Tot 8 5 2" xfId="12721"/>
    <cellStyle name="Tot 8 6" xfId="9686"/>
    <cellStyle name="Tot 9" xfId="4607"/>
    <cellStyle name="Tot 9 2" xfId="5208"/>
    <cellStyle name="Tot 9 2 2" xfId="5967"/>
    <cellStyle name="Tot 9 2 2 2" xfId="7484"/>
    <cellStyle name="Tot 9 2 2 2 2" xfId="12339"/>
    <cellStyle name="Tot 9 2 2 3" xfId="9005"/>
    <cellStyle name="Tot 9 2 2 3 2" xfId="13858"/>
    <cellStyle name="Tot 9 2 2 4" xfId="10823"/>
    <cellStyle name="Tot 9 2 3" xfId="6726"/>
    <cellStyle name="Tot 9 2 3 2" xfId="11581"/>
    <cellStyle name="Tot 9 2 4" xfId="8247"/>
    <cellStyle name="Tot 9 2 4 2" xfId="13100"/>
    <cellStyle name="Tot 9 2 5" xfId="10065"/>
    <cellStyle name="Tot 9 3" xfId="5589"/>
    <cellStyle name="Tot 9 3 2" xfId="7106"/>
    <cellStyle name="Tot 9 3 2 2" xfId="11961"/>
    <cellStyle name="Tot 9 3 3" xfId="8627"/>
    <cellStyle name="Tot 9 3 3 2" xfId="13480"/>
    <cellStyle name="Tot 9 3 4" xfId="10445"/>
    <cellStyle name="Tot 9 4" xfId="6348"/>
    <cellStyle name="Tot 9 4 2" xfId="11203"/>
    <cellStyle name="Tot 9 5" xfId="7869"/>
    <cellStyle name="Tot 9 5 2" xfId="12722"/>
    <cellStyle name="Tot 9 6" xfId="9687"/>
    <cellStyle name="Tot Dec" xfId="4608"/>
    <cellStyle name="Tot Dec 10" xfId="4609"/>
    <cellStyle name="Tot Dec 10 2" xfId="5210"/>
    <cellStyle name="Tot Dec 10 2 2" xfId="5969"/>
    <cellStyle name="Tot Dec 10 2 2 2" xfId="7486"/>
    <cellStyle name="Tot Dec 10 2 2 2 2" xfId="12341"/>
    <cellStyle name="Tot Dec 10 2 2 3" xfId="9007"/>
    <cellStyle name="Tot Dec 10 2 2 3 2" xfId="13860"/>
    <cellStyle name="Tot Dec 10 2 2 4" xfId="10825"/>
    <cellStyle name="Tot Dec 10 2 3" xfId="6728"/>
    <cellStyle name="Tot Dec 10 2 3 2" xfId="11583"/>
    <cellStyle name="Tot Dec 10 2 4" xfId="8249"/>
    <cellStyle name="Tot Dec 10 2 4 2" xfId="13102"/>
    <cellStyle name="Tot Dec 10 2 5" xfId="10067"/>
    <cellStyle name="Tot Dec 10 3" xfId="5591"/>
    <cellStyle name="Tot Dec 10 3 2" xfId="7108"/>
    <cellStyle name="Tot Dec 10 3 2 2" xfId="11963"/>
    <cellStyle name="Tot Dec 10 3 3" xfId="8629"/>
    <cellStyle name="Tot Dec 10 3 3 2" xfId="13482"/>
    <cellStyle name="Tot Dec 10 3 4" xfId="10447"/>
    <cellStyle name="Tot Dec 10 4" xfId="6350"/>
    <cellStyle name="Tot Dec 10 4 2" xfId="11205"/>
    <cellStyle name="Tot Dec 10 5" xfId="7871"/>
    <cellStyle name="Tot Dec 10 5 2" xfId="12724"/>
    <cellStyle name="Tot Dec 10 6" xfId="9689"/>
    <cellStyle name="Tot Dec 11" xfId="4610"/>
    <cellStyle name="Tot Dec 11 2" xfId="5211"/>
    <cellStyle name="Tot Dec 11 2 2" xfId="5970"/>
    <cellStyle name="Tot Dec 11 2 2 2" xfId="7487"/>
    <cellStyle name="Tot Dec 11 2 2 2 2" xfId="12342"/>
    <cellStyle name="Tot Dec 11 2 2 3" xfId="9008"/>
    <cellStyle name="Tot Dec 11 2 2 3 2" xfId="13861"/>
    <cellStyle name="Tot Dec 11 2 2 4" xfId="10826"/>
    <cellStyle name="Tot Dec 11 2 3" xfId="6729"/>
    <cellStyle name="Tot Dec 11 2 3 2" xfId="11584"/>
    <cellStyle name="Tot Dec 11 2 4" xfId="8250"/>
    <cellStyle name="Tot Dec 11 2 4 2" xfId="13103"/>
    <cellStyle name="Tot Dec 11 2 5" xfId="10068"/>
    <cellStyle name="Tot Dec 11 3" xfId="5592"/>
    <cellStyle name="Tot Dec 11 3 2" xfId="7109"/>
    <cellStyle name="Tot Dec 11 3 2 2" xfId="11964"/>
    <cellStyle name="Tot Dec 11 3 3" xfId="8630"/>
    <cellStyle name="Tot Dec 11 3 3 2" xfId="13483"/>
    <cellStyle name="Tot Dec 11 3 4" xfId="10448"/>
    <cellStyle name="Tot Dec 11 4" xfId="6351"/>
    <cellStyle name="Tot Dec 11 4 2" xfId="11206"/>
    <cellStyle name="Tot Dec 11 5" xfId="7872"/>
    <cellStyle name="Tot Dec 11 5 2" xfId="12725"/>
    <cellStyle name="Tot Dec 11 6" xfId="9690"/>
    <cellStyle name="Tot Dec 12" xfId="4611"/>
    <cellStyle name="Tot Dec 12 2" xfId="5212"/>
    <cellStyle name="Tot Dec 12 2 2" xfId="5971"/>
    <cellStyle name="Tot Dec 12 2 2 2" xfId="7488"/>
    <cellStyle name="Tot Dec 12 2 2 2 2" xfId="12343"/>
    <cellStyle name="Tot Dec 12 2 2 3" xfId="9009"/>
    <cellStyle name="Tot Dec 12 2 2 3 2" xfId="13862"/>
    <cellStyle name="Tot Dec 12 2 2 4" xfId="10827"/>
    <cellStyle name="Tot Dec 12 2 3" xfId="6730"/>
    <cellStyle name="Tot Dec 12 2 3 2" xfId="11585"/>
    <cellStyle name="Tot Dec 12 2 4" xfId="8251"/>
    <cellStyle name="Tot Dec 12 2 4 2" xfId="13104"/>
    <cellStyle name="Tot Dec 12 2 5" xfId="10069"/>
    <cellStyle name="Tot Dec 12 3" xfId="5593"/>
    <cellStyle name="Tot Dec 12 3 2" xfId="7110"/>
    <cellStyle name="Tot Dec 12 3 2 2" xfId="11965"/>
    <cellStyle name="Tot Dec 12 3 3" xfId="8631"/>
    <cellStyle name="Tot Dec 12 3 3 2" xfId="13484"/>
    <cellStyle name="Tot Dec 12 3 4" xfId="10449"/>
    <cellStyle name="Tot Dec 12 4" xfId="6352"/>
    <cellStyle name="Tot Dec 12 4 2" xfId="11207"/>
    <cellStyle name="Tot Dec 12 5" xfId="7873"/>
    <cellStyle name="Tot Dec 12 5 2" xfId="12726"/>
    <cellStyle name="Tot Dec 12 6" xfId="9691"/>
    <cellStyle name="Tot Dec 13" xfId="5209"/>
    <cellStyle name="Tot Dec 13 2" xfId="5968"/>
    <cellStyle name="Tot Dec 13 2 2" xfId="7485"/>
    <cellStyle name="Tot Dec 13 2 2 2" xfId="12340"/>
    <cellStyle name="Tot Dec 13 2 3" xfId="9006"/>
    <cellStyle name="Tot Dec 13 2 3 2" xfId="13859"/>
    <cellStyle name="Tot Dec 13 2 4" xfId="10824"/>
    <cellStyle name="Tot Dec 13 3" xfId="6727"/>
    <cellStyle name="Tot Dec 13 3 2" xfId="11582"/>
    <cellStyle name="Tot Dec 13 4" xfId="8248"/>
    <cellStyle name="Tot Dec 13 4 2" xfId="13101"/>
    <cellStyle name="Tot Dec 13 5" xfId="10066"/>
    <cellStyle name="Tot Dec 14" xfId="5590"/>
    <cellStyle name="Tot Dec 14 2" xfId="7107"/>
    <cellStyle name="Tot Dec 14 2 2" xfId="11962"/>
    <cellStyle name="Tot Dec 14 3" xfId="8628"/>
    <cellStyle name="Tot Dec 14 3 2" xfId="13481"/>
    <cellStyle name="Tot Dec 14 4" xfId="10446"/>
    <cellStyle name="Tot Dec 15" xfId="6349"/>
    <cellStyle name="Tot Dec 15 2" xfId="11204"/>
    <cellStyle name="Tot Dec 16" xfId="7870"/>
    <cellStyle name="Tot Dec 16 2" xfId="12723"/>
    <cellStyle name="Tot Dec 17" xfId="9688"/>
    <cellStyle name="Tot Dec 2" xfId="4612"/>
    <cellStyle name="Tot Dec 2 2" xfId="5213"/>
    <cellStyle name="Tot Dec 2 2 2" xfId="5972"/>
    <cellStyle name="Tot Dec 2 2 2 2" xfId="7489"/>
    <cellStyle name="Tot Dec 2 2 2 2 2" xfId="12344"/>
    <cellStyle name="Tot Dec 2 2 2 3" xfId="9010"/>
    <cellStyle name="Tot Dec 2 2 2 3 2" xfId="13863"/>
    <cellStyle name="Tot Dec 2 2 2 4" xfId="10828"/>
    <cellStyle name="Tot Dec 2 2 3" xfId="6731"/>
    <cellStyle name="Tot Dec 2 2 3 2" xfId="11586"/>
    <cellStyle name="Tot Dec 2 2 4" xfId="8252"/>
    <cellStyle name="Tot Dec 2 2 4 2" xfId="13105"/>
    <cellStyle name="Tot Dec 2 2 5" xfId="10070"/>
    <cellStyle name="Tot Dec 2 3" xfId="5594"/>
    <cellStyle name="Tot Dec 2 3 2" xfId="7111"/>
    <cellStyle name="Tot Dec 2 3 2 2" xfId="11966"/>
    <cellStyle name="Tot Dec 2 3 3" xfId="8632"/>
    <cellStyle name="Tot Dec 2 3 3 2" xfId="13485"/>
    <cellStyle name="Tot Dec 2 3 4" xfId="10450"/>
    <cellStyle name="Tot Dec 2 4" xfId="6353"/>
    <cellStyle name="Tot Dec 2 4 2" xfId="11208"/>
    <cellStyle name="Tot Dec 2 5" xfId="7874"/>
    <cellStyle name="Tot Dec 2 5 2" xfId="12727"/>
    <cellStyle name="Tot Dec 2 6" xfId="9692"/>
    <cellStyle name="Tot Dec 3" xfId="4613"/>
    <cellStyle name="Tot Dec 3 2" xfId="5214"/>
    <cellStyle name="Tot Dec 3 2 2" xfId="5973"/>
    <cellStyle name="Tot Dec 3 2 2 2" xfId="7490"/>
    <cellStyle name="Tot Dec 3 2 2 2 2" xfId="12345"/>
    <cellStyle name="Tot Dec 3 2 2 3" xfId="9011"/>
    <cellStyle name="Tot Dec 3 2 2 3 2" xfId="13864"/>
    <cellStyle name="Tot Dec 3 2 2 4" xfId="10829"/>
    <cellStyle name="Tot Dec 3 2 3" xfId="6732"/>
    <cellStyle name="Tot Dec 3 2 3 2" xfId="11587"/>
    <cellStyle name="Tot Dec 3 2 4" xfId="8253"/>
    <cellStyle name="Tot Dec 3 2 4 2" xfId="13106"/>
    <cellStyle name="Tot Dec 3 2 5" xfId="10071"/>
    <cellStyle name="Tot Dec 3 3" xfId="5595"/>
    <cellStyle name="Tot Dec 3 3 2" xfId="7112"/>
    <cellStyle name="Tot Dec 3 3 2 2" xfId="11967"/>
    <cellStyle name="Tot Dec 3 3 3" xfId="8633"/>
    <cellStyle name="Tot Dec 3 3 3 2" xfId="13486"/>
    <cellStyle name="Tot Dec 3 3 4" xfId="10451"/>
    <cellStyle name="Tot Dec 3 4" xfId="6354"/>
    <cellStyle name="Tot Dec 3 4 2" xfId="11209"/>
    <cellStyle name="Tot Dec 3 5" xfId="7875"/>
    <cellStyle name="Tot Dec 3 5 2" xfId="12728"/>
    <cellStyle name="Tot Dec 3 6" xfId="9693"/>
    <cellStyle name="Tot Dec 4" xfId="4614"/>
    <cellStyle name="Tot Dec 4 2" xfId="5215"/>
    <cellStyle name="Tot Dec 4 2 2" xfId="5974"/>
    <cellStyle name="Tot Dec 4 2 2 2" xfId="7491"/>
    <cellStyle name="Tot Dec 4 2 2 2 2" xfId="12346"/>
    <cellStyle name="Tot Dec 4 2 2 3" xfId="9012"/>
    <cellStyle name="Tot Dec 4 2 2 3 2" xfId="13865"/>
    <cellStyle name="Tot Dec 4 2 2 4" xfId="10830"/>
    <cellStyle name="Tot Dec 4 2 3" xfId="6733"/>
    <cellStyle name="Tot Dec 4 2 3 2" xfId="11588"/>
    <cellStyle name="Tot Dec 4 2 4" xfId="8254"/>
    <cellStyle name="Tot Dec 4 2 4 2" xfId="13107"/>
    <cellStyle name="Tot Dec 4 2 5" xfId="10072"/>
    <cellStyle name="Tot Dec 4 3" xfId="5596"/>
    <cellStyle name="Tot Dec 4 3 2" xfId="7113"/>
    <cellStyle name="Tot Dec 4 3 2 2" xfId="11968"/>
    <cellStyle name="Tot Dec 4 3 3" xfId="8634"/>
    <cellStyle name="Tot Dec 4 3 3 2" xfId="13487"/>
    <cellStyle name="Tot Dec 4 3 4" xfId="10452"/>
    <cellStyle name="Tot Dec 4 4" xfId="6355"/>
    <cellStyle name="Tot Dec 4 4 2" xfId="11210"/>
    <cellStyle name="Tot Dec 4 5" xfId="7876"/>
    <cellStyle name="Tot Dec 4 5 2" xfId="12729"/>
    <cellStyle name="Tot Dec 4 6" xfId="9694"/>
    <cellStyle name="Tot Dec 5" xfId="4615"/>
    <cellStyle name="Tot Dec 5 2" xfId="5216"/>
    <cellStyle name="Tot Dec 5 2 2" xfId="5975"/>
    <cellStyle name="Tot Dec 5 2 2 2" xfId="7492"/>
    <cellStyle name="Tot Dec 5 2 2 2 2" xfId="12347"/>
    <cellStyle name="Tot Dec 5 2 2 3" xfId="9013"/>
    <cellStyle name="Tot Dec 5 2 2 3 2" xfId="13866"/>
    <cellStyle name="Tot Dec 5 2 2 4" xfId="10831"/>
    <cellStyle name="Tot Dec 5 2 3" xfId="6734"/>
    <cellStyle name="Tot Dec 5 2 3 2" xfId="11589"/>
    <cellStyle name="Tot Dec 5 2 4" xfId="8255"/>
    <cellStyle name="Tot Dec 5 2 4 2" xfId="13108"/>
    <cellStyle name="Tot Dec 5 2 5" xfId="10073"/>
    <cellStyle name="Tot Dec 5 3" xfId="5597"/>
    <cellStyle name="Tot Dec 5 3 2" xfId="7114"/>
    <cellStyle name="Tot Dec 5 3 2 2" xfId="11969"/>
    <cellStyle name="Tot Dec 5 3 3" xfId="8635"/>
    <cellStyle name="Tot Dec 5 3 3 2" xfId="13488"/>
    <cellStyle name="Tot Dec 5 3 4" xfId="10453"/>
    <cellStyle name="Tot Dec 5 4" xfId="6356"/>
    <cellStyle name="Tot Dec 5 4 2" xfId="11211"/>
    <cellStyle name="Tot Dec 5 5" xfId="7877"/>
    <cellStyle name="Tot Dec 5 5 2" xfId="12730"/>
    <cellStyle name="Tot Dec 5 6" xfId="9695"/>
    <cellStyle name="Tot Dec 6" xfId="4616"/>
    <cellStyle name="Tot Dec 6 2" xfId="5217"/>
    <cellStyle name="Tot Dec 6 2 2" xfId="5976"/>
    <cellStyle name="Tot Dec 6 2 2 2" xfId="7493"/>
    <cellStyle name="Tot Dec 6 2 2 2 2" xfId="12348"/>
    <cellStyle name="Tot Dec 6 2 2 3" xfId="9014"/>
    <cellStyle name="Tot Dec 6 2 2 3 2" xfId="13867"/>
    <cellStyle name="Tot Dec 6 2 2 4" xfId="10832"/>
    <cellStyle name="Tot Dec 6 2 3" xfId="6735"/>
    <cellStyle name="Tot Dec 6 2 3 2" xfId="11590"/>
    <cellStyle name="Tot Dec 6 2 4" xfId="8256"/>
    <cellStyle name="Tot Dec 6 2 4 2" xfId="13109"/>
    <cellStyle name="Tot Dec 6 2 5" xfId="10074"/>
    <cellStyle name="Tot Dec 6 3" xfId="5598"/>
    <cellStyle name="Tot Dec 6 3 2" xfId="7115"/>
    <cellStyle name="Tot Dec 6 3 2 2" xfId="11970"/>
    <cellStyle name="Tot Dec 6 3 3" xfId="8636"/>
    <cellStyle name="Tot Dec 6 3 3 2" xfId="13489"/>
    <cellStyle name="Tot Dec 6 3 4" xfId="10454"/>
    <cellStyle name="Tot Dec 6 4" xfId="6357"/>
    <cellStyle name="Tot Dec 6 4 2" xfId="11212"/>
    <cellStyle name="Tot Dec 6 5" xfId="7878"/>
    <cellStyle name="Tot Dec 6 5 2" xfId="12731"/>
    <cellStyle name="Tot Dec 6 6" xfId="9696"/>
    <cellStyle name="Tot Dec 7" xfId="4617"/>
    <cellStyle name="Tot Dec 7 2" xfId="5218"/>
    <cellStyle name="Tot Dec 7 2 2" xfId="5977"/>
    <cellStyle name="Tot Dec 7 2 2 2" xfId="7494"/>
    <cellStyle name="Tot Dec 7 2 2 2 2" xfId="12349"/>
    <cellStyle name="Tot Dec 7 2 2 3" xfId="9015"/>
    <cellStyle name="Tot Dec 7 2 2 3 2" xfId="13868"/>
    <cellStyle name="Tot Dec 7 2 2 4" xfId="10833"/>
    <cellStyle name="Tot Dec 7 2 3" xfId="6736"/>
    <cellStyle name="Tot Dec 7 2 3 2" xfId="11591"/>
    <cellStyle name="Tot Dec 7 2 4" xfId="8257"/>
    <cellStyle name="Tot Dec 7 2 4 2" xfId="13110"/>
    <cellStyle name="Tot Dec 7 2 5" xfId="10075"/>
    <cellStyle name="Tot Dec 7 3" xfId="5599"/>
    <cellStyle name="Tot Dec 7 3 2" xfId="7116"/>
    <cellStyle name="Tot Dec 7 3 2 2" xfId="11971"/>
    <cellStyle name="Tot Dec 7 3 3" xfId="8637"/>
    <cellStyle name="Tot Dec 7 3 3 2" xfId="13490"/>
    <cellStyle name="Tot Dec 7 3 4" xfId="10455"/>
    <cellStyle name="Tot Dec 7 4" xfId="6358"/>
    <cellStyle name="Tot Dec 7 4 2" xfId="11213"/>
    <cellStyle name="Tot Dec 7 5" xfId="7879"/>
    <cellStyle name="Tot Dec 7 5 2" xfId="12732"/>
    <cellStyle name="Tot Dec 7 6" xfId="9697"/>
    <cellStyle name="Tot Dec 8" xfId="4618"/>
    <cellStyle name="Tot Dec 8 2" xfId="5219"/>
    <cellStyle name="Tot Dec 8 2 2" xfId="5978"/>
    <cellStyle name="Tot Dec 8 2 2 2" xfId="7495"/>
    <cellStyle name="Tot Dec 8 2 2 2 2" xfId="12350"/>
    <cellStyle name="Tot Dec 8 2 2 3" xfId="9016"/>
    <cellStyle name="Tot Dec 8 2 2 3 2" xfId="13869"/>
    <cellStyle name="Tot Dec 8 2 2 4" xfId="10834"/>
    <cellStyle name="Tot Dec 8 2 3" xfId="6737"/>
    <cellStyle name="Tot Dec 8 2 3 2" xfId="11592"/>
    <cellStyle name="Tot Dec 8 2 4" xfId="8258"/>
    <cellStyle name="Tot Dec 8 2 4 2" xfId="13111"/>
    <cellStyle name="Tot Dec 8 2 5" xfId="10076"/>
    <cellStyle name="Tot Dec 8 3" xfId="5600"/>
    <cellStyle name="Tot Dec 8 3 2" xfId="7117"/>
    <cellStyle name="Tot Dec 8 3 2 2" xfId="11972"/>
    <cellStyle name="Tot Dec 8 3 3" xfId="8638"/>
    <cellStyle name="Tot Dec 8 3 3 2" xfId="13491"/>
    <cellStyle name="Tot Dec 8 3 4" xfId="10456"/>
    <cellStyle name="Tot Dec 8 4" xfId="6359"/>
    <cellStyle name="Tot Dec 8 4 2" xfId="11214"/>
    <cellStyle name="Tot Dec 8 5" xfId="7880"/>
    <cellStyle name="Tot Dec 8 5 2" xfId="12733"/>
    <cellStyle name="Tot Dec 8 6" xfId="9698"/>
    <cellStyle name="Tot Dec 9" xfId="4619"/>
    <cellStyle name="Tot Dec 9 2" xfId="5220"/>
    <cellStyle name="Tot Dec 9 2 2" xfId="5979"/>
    <cellStyle name="Tot Dec 9 2 2 2" xfId="7496"/>
    <cellStyle name="Tot Dec 9 2 2 2 2" xfId="12351"/>
    <cellStyle name="Tot Dec 9 2 2 3" xfId="9017"/>
    <cellStyle name="Tot Dec 9 2 2 3 2" xfId="13870"/>
    <cellStyle name="Tot Dec 9 2 2 4" xfId="10835"/>
    <cellStyle name="Tot Dec 9 2 3" xfId="6738"/>
    <cellStyle name="Tot Dec 9 2 3 2" xfId="11593"/>
    <cellStyle name="Tot Dec 9 2 4" xfId="8259"/>
    <cellStyle name="Tot Dec 9 2 4 2" xfId="13112"/>
    <cellStyle name="Tot Dec 9 2 5" xfId="10077"/>
    <cellStyle name="Tot Dec 9 3" xfId="5601"/>
    <cellStyle name="Tot Dec 9 3 2" xfId="7118"/>
    <cellStyle name="Tot Dec 9 3 2 2" xfId="11973"/>
    <cellStyle name="Tot Dec 9 3 3" xfId="8639"/>
    <cellStyle name="Tot Dec 9 3 3 2" xfId="13492"/>
    <cellStyle name="Tot Dec 9 3 4" xfId="10457"/>
    <cellStyle name="Tot Dec 9 4" xfId="6360"/>
    <cellStyle name="Tot Dec 9 4 2" xfId="11215"/>
    <cellStyle name="Tot Dec 9 5" xfId="7881"/>
    <cellStyle name="Tot Dec 9 5 2" xfId="12734"/>
    <cellStyle name="Tot Dec 9 6" xfId="9699"/>
    <cellStyle name="Total" xfId="159" builtinId="25" customBuiltin="1"/>
    <cellStyle name="Total 10" xfId="4620"/>
    <cellStyle name="Total 10 2" xfId="4621"/>
    <cellStyle name="Total 10 2 2" xfId="5222"/>
    <cellStyle name="Total 10 2 2 2" xfId="5981"/>
    <cellStyle name="Total 10 2 2 2 2" xfId="7498"/>
    <cellStyle name="Total 10 2 2 2 2 2" xfId="12353"/>
    <cellStyle name="Total 10 2 2 2 3" xfId="9019"/>
    <cellStyle name="Total 10 2 2 2 3 2" xfId="13872"/>
    <cellStyle name="Total 10 2 2 2 4" xfId="10837"/>
    <cellStyle name="Total 10 2 2 3" xfId="6740"/>
    <cellStyle name="Total 10 2 2 3 2" xfId="11595"/>
    <cellStyle name="Total 10 2 2 4" xfId="8261"/>
    <cellStyle name="Total 10 2 2 4 2" xfId="13114"/>
    <cellStyle name="Total 10 2 2 5" xfId="10079"/>
    <cellStyle name="Total 10 2 3" xfId="5603"/>
    <cellStyle name="Total 10 2 3 2" xfId="7120"/>
    <cellStyle name="Total 10 2 3 2 2" xfId="11975"/>
    <cellStyle name="Total 10 2 3 3" xfId="8641"/>
    <cellStyle name="Total 10 2 3 3 2" xfId="13494"/>
    <cellStyle name="Total 10 2 3 4" xfId="10459"/>
    <cellStyle name="Total 10 2 4" xfId="6362"/>
    <cellStyle name="Total 10 2 4 2" xfId="11217"/>
    <cellStyle name="Total 10 2 5" xfId="7883"/>
    <cellStyle name="Total 10 2 5 2" xfId="12736"/>
    <cellStyle name="Total 10 2 6" xfId="9701"/>
    <cellStyle name="Total 10 3" xfId="4622"/>
    <cellStyle name="Total 10 3 2" xfId="5223"/>
    <cellStyle name="Total 10 3 2 2" xfId="5982"/>
    <cellStyle name="Total 10 3 2 2 2" xfId="7499"/>
    <cellStyle name="Total 10 3 2 2 2 2" xfId="12354"/>
    <cellStyle name="Total 10 3 2 2 3" xfId="9020"/>
    <cellStyle name="Total 10 3 2 2 3 2" xfId="13873"/>
    <cellStyle name="Total 10 3 2 2 4" xfId="10838"/>
    <cellStyle name="Total 10 3 2 3" xfId="6741"/>
    <cellStyle name="Total 10 3 2 3 2" xfId="11596"/>
    <cellStyle name="Total 10 3 2 4" xfId="8262"/>
    <cellStyle name="Total 10 3 2 4 2" xfId="13115"/>
    <cellStyle name="Total 10 3 2 5" xfId="10080"/>
    <cellStyle name="Total 10 3 3" xfId="5604"/>
    <cellStyle name="Total 10 3 3 2" xfId="7121"/>
    <cellStyle name="Total 10 3 3 2 2" xfId="11976"/>
    <cellStyle name="Total 10 3 3 3" xfId="8642"/>
    <cellStyle name="Total 10 3 3 3 2" xfId="13495"/>
    <cellStyle name="Total 10 3 3 4" xfId="10460"/>
    <cellStyle name="Total 10 3 4" xfId="6363"/>
    <cellStyle name="Total 10 3 4 2" xfId="11218"/>
    <cellStyle name="Total 10 3 5" xfId="7884"/>
    <cellStyle name="Total 10 3 5 2" xfId="12737"/>
    <cellStyle name="Total 10 3 6" xfId="9702"/>
    <cellStyle name="Total 10 4" xfId="4623"/>
    <cellStyle name="Total 10 4 2" xfId="5224"/>
    <cellStyle name="Total 10 4 2 2" xfId="5983"/>
    <cellStyle name="Total 10 4 2 2 2" xfId="7500"/>
    <cellStyle name="Total 10 4 2 2 2 2" xfId="12355"/>
    <cellStyle name="Total 10 4 2 2 3" xfId="9021"/>
    <cellStyle name="Total 10 4 2 2 3 2" xfId="13874"/>
    <cellStyle name="Total 10 4 2 2 4" xfId="10839"/>
    <cellStyle name="Total 10 4 2 3" xfId="6742"/>
    <cellStyle name="Total 10 4 2 3 2" xfId="11597"/>
    <cellStyle name="Total 10 4 2 4" xfId="8263"/>
    <cellStyle name="Total 10 4 2 4 2" xfId="13116"/>
    <cellStyle name="Total 10 4 2 5" xfId="10081"/>
    <cellStyle name="Total 10 4 3" xfId="5605"/>
    <cellStyle name="Total 10 4 3 2" xfId="7122"/>
    <cellStyle name="Total 10 4 3 2 2" xfId="11977"/>
    <cellStyle name="Total 10 4 3 3" xfId="8643"/>
    <cellStyle name="Total 10 4 3 3 2" xfId="13496"/>
    <cellStyle name="Total 10 4 3 4" xfId="10461"/>
    <cellStyle name="Total 10 4 4" xfId="6364"/>
    <cellStyle name="Total 10 4 4 2" xfId="11219"/>
    <cellStyle name="Total 10 4 5" xfId="7885"/>
    <cellStyle name="Total 10 4 5 2" xfId="12738"/>
    <cellStyle name="Total 10 4 6" xfId="9703"/>
    <cellStyle name="Total 10 5" xfId="5221"/>
    <cellStyle name="Total 10 5 2" xfId="5980"/>
    <cellStyle name="Total 10 5 2 2" xfId="7497"/>
    <cellStyle name="Total 10 5 2 2 2" xfId="12352"/>
    <cellStyle name="Total 10 5 2 3" xfId="9018"/>
    <cellStyle name="Total 10 5 2 3 2" xfId="13871"/>
    <cellStyle name="Total 10 5 2 4" xfId="10836"/>
    <cellStyle name="Total 10 5 3" xfId="6739"/>
    <cellStyle name="Total 10 5 3 2" xfId="11594"/>
    <cellStyle name="Total 10 5 4" xfId="8260"/>
    <cellStyle name="Total 10 5 4 2" xfId="13113"/>
    <cellStyle name="Total 10 5 5" xfId="10078"/>
    <cellStyle name="Total 10 6" xfId="5602"/>
    <cellStyle name="Total 10 6 2" xfId="7119"/>
    <cellStyle name="Total 10 6 2 2" xfId="11974"/>
    <cellStyle name="Total 10 6 3" xfId="8640"/>
    <cellStyle name="Total 10 6 3 2" xfId="13493"/>
    <cellStyle name="Total 10 6 4" xfId="10458"/>
    <cellStyle name="Total 10 7" xfId="6361"/>
    <cellStyle name="Total 10 7 2" xfId="11216"/>
    <cellStyle name="Total 10 8" xfId="7882"/>
    <cellStyle name="Total 10 8 2" xfId="12735"/>
    <cellStyle name="Total 10 9" xfId="9700"/>
    <cellStyle name="Total 11" xfId="4624"/>
    <cellStyle name="Total 11 2" xfId="4625"/>
    <cellStyle name="Total 11 2 2" xfId="5226"/>
    <cellStyle name="Total 11 2 2 2" xfId="5985"/>
    <cellStyle name="Total 11 2 2 2 2" xfId="7502"/>
    <cellStyle name="Total 11 2 2 2 2 2" xfId="12357"/>
    <cellStyle name="Total 11 2 2 2 3" xfId="9023"/>
    <cellStyle name="Total 11 2 2 2 3 2" xfId="13876"/>
    <cellStyle name="Total 11 2 2 2 4" xfId="10841"/>
    <cellStyle name="Total 11 2 2 3" xfId="6744"/>
    <cellStyle name="Total 11 2 2 3 2" xfId="11599"/>
    <cellStyle name="Total 11 2 2 4" xfId="8265"/>
    <cellStyle name="Total 11 2 2 4 2" xfId="13118"/>
    <cellStyle name="Total 11 2 2 5" xfId="10083"/>
    <cellStyle name="Total 11 2 3" xfId="5607"/>
    <cellStyle name="Total 11 2 3 2" xfId="7124"/>
    <cellStyle name="Total 11 2 3 2 2" xfId="11979"/>
    <cellStyle name="Total 11 2 3 3" xfId="8645"/>
    <cellStyle name="Total 11 2 3 3 2" xfId="13498"/>
    <cellStyle name="Total 11 2 3 4" xfId="10463"/>
    <cellStyle name="Total 11 2 4" xfId="6366"/>
    <cellStyle name="Total 11 2 4 2" xfId="11221"/>
    <cellStyle name="Total 11 2 5" xfId="7887"/>
    <cellStyle name="Total 11 2 5 2" xfId="12740"/>
    <cellStyle name="Total 11 2 6" xfId="9705"/>
    <cellStyle name="Total 11 3" xfId="4626"/>
    <cellStyle name="Total 11 3 2" xfId="5227"/>
    <cellStyle name="Total 11 3 2 2" xfId="5986"/>
    <cellStyle name="Total 11 3 2 2 2" xfId="7503"/>
    <cellStyle name="Total 11 3 2 2 2 2" xfId="12358"/>
    <cellStyle name="Total 11 3 2 2 3" xfId="9024"/>
    <cellStyle name="Total 11 3 2 2 3 2" xfId="13877"/>
    <cellStyle name="Total 11 3 2 2 4" xfId="10842"/>
    <cellStyle name="Total 11 3 2 3" xfId="6745"/>
    <cellStyle name="Total 11 3 2 3 2" xfId="11600"/>
    <cellStyle name="Total 11 3 2 4" xfId="8266"/>
    <cellStyle name="Total 11 3 2 4 2" xfId="13119"/>
    <cellStyle name="Total 11 3 2 5" xfId="10084"/>
    <cellStyle name="Total 11 3 3" xfId="5608"/>
    <cellStyle name="Total 11 3 3 2" xfId="7125"/>
    <cellStyle name="Total 11 3 3 2 2" xfId="11980"/>
    <cellStyle name="Total 11 3 3 3" xfId="8646"/>
    <cellStyle name="Total 11 3 3 3 2" xfId="13499"/>
    <cellStyle name="Total 11 3 3 4" xfId="10464"/>
    <cellStyle name="Total 11 3 4" xfId="6367"/>
    <cellStyle name="Total 11 3 4 2" xfId="11222"/>
    <cellStyle name="Total 11 3 5" xfId="7888"/>
    <cellStyle name="Total 11 3 5 2" xfId="12741"/>
    <cellStyle name="Total 11 3 6" xfId="9706"/>
    <cellStyle name="Total 11 4" xfId="4627"/>
    <cellStyle name="Total 11 4 2" xfId="5228"/>
    <cellStyle name="Total 11 4 2 2" xfId="5987"/>
    <cellStyle name="Total 11 4 2 2 2" xfId="7504"/>
    <cellStyle name="Total 11 4 2 2 2 2" xfId="12359"/>
    <cellStyle name="Total 11 4 2 2 3" xfId="9025"/>
    <cellStyle name="Total 11 4 2 2 3 2" xfId="13878"/>
    <cellStyle name="Total 11 4 2 2 4" xfId="10843"/>
    <cellStyle name="Total 11 4 2 3" xfId="6746"/>
    <cellStyle name="Total 11 4 2 3 2" xfId="11601"/>
    <cellStyle name="Total 11 4 2 4" xfId="8267"/>
    <cellStyle name="Total 11 4 2 4 2" xfId="13120"/>
    <cellStyle name="Total 11 4 2 5" xfId="10085"/>
    <cellStyle name="Total 11 4 3" xfId="5609"/>
    <cellStyle name="Total 11 4 3 2" xfId="7126"/>
    <cellStyle name="Total 11 4 3 2 2" xfId="11981"/>
    <cellStyle name="Total 11 4 3 3" xfId="8647"/>
    <cellStyle name="Total 11 4 3 3 2" xfId="13500"/>
    <cellStyle name="Total 11 4 3 4" xfId="10465"/>
    <cellStyle name="Total 11 4 4" xfId="6368"/>
    <cellStyle name="Total 11 4 4 2" xfId="11223"/>
    <cellStyle name="Total 11 4 5" xfId="7889"/>
    <cellStyle name="Total 11 4 5 2" xfId="12742"/>
    <cellStyle name="Total 11 4 6" xfId="9707"/>
    <cellStyle name="Total 11 5" xfId="5225"/>
    <cellStyle name="Total 11 5 2" xfId="5984"/>
    <cellStyle name="Total 11 5 2 2" xfId="7501"/>
    <cellStyle name="Total 11 5 2 2 2" xfId="12356"/>
    <cellStyle name="Total 11 5 2 3" xfId="9022"/>
    <cellStyle name="Total 11 5 2 3 2" xfId="13875"/>
    <cellStyle name="Total 11 5 2 4" xfId="10840"/>
    <cellStyle name="Total 11 5 3" xfId="6743"/>
    <cellStyle name="Total 11 5 3 2" xfId="11598"/>
    <cellStyle name="Total 11 5 4" xfId="8264"/>
    <cellStyle name="Total 11 5 4 2" xfId="13117"/>
    <cellStyle name="Total 11 5 5" xfId="10082"/>
    <cellStyle name="Total 11 6" xfId="5606"/>
    <cellStyle name="Total 11 6 2" xfId="7123"/>
    <cellStyle name="Total 11 6 2 2" xfId="11978"/>
    <cellStyle name="Total 11 6 3" xfId="8644"/>
    <cellStyle name="Total 11 6 3 2" xfId="13497"/>
    <cellStyle name="Total 11 6 4" xfId="10462"/>
    <cellStyle name="Total 11 7" xfId="6365"/>
    <cellStyle name="Total 11 7 2" xfId="11220"/>
    <cellStyle name="Total 11 8" xfId="7886"/>
    <cellStyle name="Total 11 8 2" xfId="12739"/>
    <cellStyle name="Total 11 9" xfId="9704"/>
    <cellStyle name="Total 12" xfId="4628"/>
    <cellStyle name="Total 12 2" xfId="4629"/>
    <cellStyle name="Total 12 2 2" xfId="5230"/>
    <cellStyle name="Total 12 2 2 2" xfId="5989"/>
    <cellStyle name="Total 12 2 2 2 2" xfId="7506"/>
    <cellStyle name="Total 12 2 2 2 2 2" xfId="12361"/>
    <cellStyle name="Total 12 2 2 2 3" xfId="9027"/>
    <cellStyle name="Total 12 2 2 2 3 2" xfId="13880"/>
    <cellStyle name="Total 12 2 2 2 4" xfId="10845"/>
    <cellStyle name="Total 12 2 2 3" xfId="6748"/>
    <cellStyle name="Total 12 2 2 3 2" xfId="11603"/>
    <cellStyle name="Total 12 2 2 4" xfId="8269"/>
    <cellStyle name="Total 12 2 2 4 2" xfId="13122"/>
    <cellStyle name="Total 12 2 2 5" xfId="10087"/>
    <cellStyle name="Total 12 2 3" xfId="5611"/>
    <cellStyle name="Total 12 2 3 2" xfId="7128"/>
    <cellStyle name="Total 12 2 3 2 2" xfId="11983"/>
    <cellStyle name="Total 12 2 3 3" xfId="8649"/>
    <cellStyle name="Total 12 2 3 3 2" xfId="13502"/>
    <cellStyle name="Total 12 2 3 4" xfId="10467"/>
    <cellStyle name="Total 12 2 4" xfId="6370"/>
    <cellStyle name="Total 12 2 4 2" xfId="11225"/>
    <cellStyle name="Total 12 2 5" xfId="7891"/>
    <cellStyle name="Total 12 2 5 2" xfId="12744"/>
    <cellStyle name="Total 12 2 6" xfId="9709"/>
    <cellStyle name="Total 12 3" xfId="4630"/>
    <cellStyle name="Total 12 3 2" xfId="5231"/>
    <cellStyle name="Total 12 3 2 2" xfId="5990"/>
    <cellStyle name="Total 12 3 2 2 2" xfId="7507"/>
    <cellStyle name="Total 12 3 2 2 2 2" xfId="12362"/>
    <cellStyle name="Total 12 3 2 2 3" xfId="9028"/>
    <cellStyle name="Total 12 3 2 2 3 2" xfId="13881"/>
    <cellStyle name="Total 12 3 2 2 4" xfId="10846"/>
    <cellStyle name="Total 12 3 2 3" xfId="6749"/>
    <cellStyle name="Total 12 3 2 3 2" xfId="11604"/>
    <cellStyle name="Total 12 3 2 4" xfId="8270"/>
    <cellStyle name="Total 12 3 2 4 2" xfId="13123"/>
    <cellStyle name="Total 12 3 2 5" xfId="10088"/>
    <cellStyle name="Total 12 3 3" xfId="5612"/>
    <cellStyle name="Total 12 3 3 2" xfId="7129"/>
    <cellStyle name="Total 12 3 3 2 2" xfId="11984"/>
    <cellStyle name="Total 12 3 3 3" xfId="8650"/>
    <cellStyle name="Total 12 3 3 3 2" xfId="13503"/>
    <cellStyle name="Total 12 3 3 4" xfId="10468"/>
    <cellStyle name="Total 12 3 4" xfId="6371"/>
    <cellStyle name="Total 12 3 4 2" xfId="11226"/>
    <cellStyle name="Total 12 3 5" xfId="7892"/>
    <cellStyle name="Total 12 3 5 2" xfId="12745"/>
    <cellStyle name="Total 12 3 6" xfId="9710"/>
    <cellStyle name="Total 12 4" xfId="4631"/>
    <cellStyle name="Total 12 4 2" xfId="5232"/>
    <cellStyle name="Total 12 4 2 2" xfId="5991"/>
    <cellStyle name="Total 12 4 2 2 2" xfId="7508"/>
    <cellStyle name="Total 12 4 2 2 2 2" xfId="12363"/>
    <cellStyle name="Total 12 4 2 2 3" xfId="9029"/>
    <cellStyle name="Total 12 4 2 2 3 2" xfId="13882"/>
    <cellStyle name="Total 12 4 2 2 4" xfId="10847"/>
    <cellStyle name="Total 12 4 2 3" xfId="6750"/>
    <cellStyle name="Total 12 4 2 3 2" xfId="11605"/>
    <cellStyle name="Total 12 4 2 4" xfId="8271"/>
    <cellStyle name="Total 12 4 2 4 2" xfId="13124"/>
    <cellStyle name="Total 12 4 2 5" xfId="10089"/>
    <cellStyle name="Total 12 4 3" xfId="5613"/>
    <cellStyle name="Total 12 4 3 2" xfId="7130"/>
    <cellStyle name="Total 12 4 3 2 2" xfId="11985"/>
    <cellStyle name="Total 12 4 3 3" xfId="8651"/>
    <cellStyle name="Total 12 4 3 3 2" xfId="13504"/>
    <cellStyle name="Total 12 4 3 4" xfId="10469"/>
    <cellStyle name="Total 12 4 4" xfId="6372"/>
    <cellStyle name="Total 12 4 4 2" xfId="11227"/>
    <cellStyle name="Total 12 4 5" xfId="7893"/>
    <cellStyle name="Total 12 4 5 2" xfId="12746"/>
    <cellStyle name="Total 12 4 6" xfId="9711"/>
    <cellStyle name="Total 12 5" xfId="5229"/>
    <cellStyle name="Total 12 5 2" xfId="5988"/>
    <cellStyle name="Total 12 5 2 2" xfId="7505"/>
    <cellStyle name="Total 12 5 2 2 2" xfId="12360"/>
    <cellStyle name="Total 12 5 2 3" xfId="9026"/>
    <cellStyle name="Total 12 5 2 3 2" xfId="13879"/>
    <cellStyle name="Total 12 5 2 4" xfId="10844"/>
    <cellStyle name="Total 12 5 3" xfId="6747"/>
    <cellStyle name="Total 12 5 3 2" xfId="11602"/>
    <cellStyle name="Total 12 5 4" xfId="8268"/>
    <cellStyle name="Total 12 5 4 2" xfId="13121"/>
    <cellStyle name="Total 12 5 5" xfId="10086"/>
    <cellStyle name="Total 12 6" xfId="5610"/>
    <cellStyle name="Total 12 6 2" xfId="7127"/>
    <cellStyle name="Total 12 6 2 2" xfId="11982"/>
    <cellStyle name="Total 12 6 3" xfId="8648"/>
    <cellStyle name="Total 12 6 3 2" xfId="13501"/>
    <cellStyle name="Total 12 6 4" xfId="10466"/>
    <cellStyle name="Total 12 7" xfId="6369"/>
    <cellStyle name="Total 12 7 2" xfId="11224"/>
    <cellStyle name="Total 12 8" xfId="7890"/>
    <cellStyle name="Total 12 8 2" xfId="12743"/>
    <cellStyle name="Total 12 9" xfId="9708"/>
    <cellStyle name="Total 13" xfId="4632"/>
    <cellStyle name="Total 13 2" xfId="4633"/>
    <cellStyle name="Total 13 2 2" xfId="5234"/>
    <cellStyle name="Total 13 2 2 2" xfId="5993"/>
    <cellStyle name="Total 13 2 2 2 2" xfId="7510"/>
    <cellStyle name="Total 13 2 2 2 2 2" xfId="12365"/>
    <cellStyle name="Total 13 2 2 2 3" xfId="9031"/>
    <cellStyle name="Total 13 2 2 2 3 2" xfId="13884"/>
    <cellStyle name="Total 13 2 2 2 4" xfId="10849"/>
    <cellStyle name="Total 13 2 2 3" xfId="6752"/>
    <cellStyle name="Total 13 2 2 3 2" xfId="11607"/>
    <cellStyle name="Total 13 2 2 4" xfId="8273"/>
    <cellStyle name="Total 13 2 2 4 2" xfId="13126"/>
    <cellStyle name="Total 13 2 2 5" xfId="10091"/>
    <cellStyle name="Total 13 2 3" xfId="5615"/>
    <cellStyle name="Total 13 2 3 2" xfId="7132"/>
    <cellStyle name="Total 13 2 3 2 2" xfId="11987"/>
    <cellStyle name="Total 13 2 3 3" xfId="8653"/>
    <cellStyle name="Total 13 2 3 3 2" xfId="13506"/>
    <cellStyle name="Total 13 2 3 4" xfId="10471"/>
    <cellStyle name="Total 13 2 4" xfId="6374"/>
    <cellStyle name="Total 13 2 4 2" xfId="11229"/>
    <cellStyle name="Total 13 2 5" xfId="7895"/>
    <cellStyle name="Total 13 2 5 2" xfId="12748"/>
    <cellStyle name="Total 13 2 6" xfId="9713"/>
    <cellStyle name="Total 13 3" xfId="4634"/>
    <cellStyle name="Total 13 3 2" xfId="5235"/>
    <cellStyle name="Total 13 3 2 2" xfId="5994"/>
    <cellStyle name="Total 13 3 2 2 2" xfId="7511"/>
    <cellStyle name="Total 13 3 2 2 2 2" xfId="12366"/>
    <cellStyle name="Total 13 3 2 2 3" xfId="9032"/>
    <cellStyle name="Total 13 3 2 2 3 2" xfId="13885"/>
    <cellStyle name="Total 13 3 2 2 4" xfId="10850"/>
    <cellStyle name="Total 13 3 2 3" xfId="6753"/>
    <cellStyle name="Total 13 3 2 3 2" xfId="11608"/>
    <cellStyle name="Total 13 3 2 4" xfId="8274"/>
    <cellStyle name="Total 13 3 2 4 2" xfId="13127"/>
    <cellStyle name="Total 13 3 2 5" xfId="10092"/>
    <cellStyle name="Total 13 3 3" xfId="5616"/>
    <cellStyle name="Total 13 3 3 2" xfId="7133"/>
    <cellStyle name="Total 13 3 3 2 2" xfId="11988"/>
    <cellStyle name="Total 13 3 3 3" xfId="8654"/>
    <cellStyle name="Total 13 3 3 3 2" xfId="13507"/>
    <cellStyle name="Total 13 3 3 4" xfId="10472"/>
    <cellStyle name="Total 13 3 4" xfId="6375"/>
    <cellStyle name="Total 13 3 4 2" xfId="11230"/>
    <cellStyle name="Total 13 3 5" xfId="7896"/>
    <cellStyle name="Total 13 3 5 2" xfId="12749"/>
    <cellStyle name="Total 13 3 6" xfId="9714"/>
    <cellStyle name="Total 13 4" xfId="4635"/>
    <cellStyle name="Total 13 4 2" xfId="5236"/>
    <cellStyle name="Total 13 4 2 2" xfId="5995"/>
    <cellStyle name="Total 13 4 2 2 2" xfId="7512"/>
    <cellStyle name="Total 13 4 2 2 2 2" xfId="12367"/>
    <cellStyle name="Total 13 4 2 2 3" xfId="9033"/>
    <cellStyle name="Total 13 4 2 2 3 2" xfId="13886"/>
    <cellStyle name="Total 13 4 2 2 4" xfId="10851"/>
    <cellStyle name="Total 13 4 2 3" xfId="6754"/>
    <cellStyle name="Total 13 4 2 3 2" xfId="11609"/>
    <cellStyle name="Total 13 4 2 4" xfId="8275"/>
    <cellStyle name="Total 13 4 2 4 2" xfId="13128"/>
    <cellStyle name="Total 13 4 2 5" xfId="10093"/>
    <cellStyle name="Total 13 4 3" xfId="5617"/>
    <cellStyle name="Total 13 4 3 2" xfId="7134"/>
    <cellStyle name="Total 13 4 3 2 2" xfId="11989"/>
    <cellStyle name="Total 13 4 3 3" xfId="8655"/>
    <cellStyle name="Total 13 4 3 3 2" xfId="13508"/>
    <cellStyle name="Total 13 4 3 4" xfId="10473"/>
    <cellStyle name="Total 13 4 4" xfId="6376"/>
    <cellStyle name="Total 13 4 4 2" xfId="11231"/>
    <cellStyle name="Total 13 4 5" xfId="7897"/>
    <cellStyle name="Total 13 4 5 2" xfId="12750"/>
    <cellStyle name="Total 13 4 6" xfId="9715"/>
    <cellStyle name="Total 13 5" xfId="5233"/>
    <cellStyle name="Total 13 5 2" xfId="5992"/>
    <cellStyle name="Total 13 5 2 2" xfId="7509"/>
    <cellStyle name="Total 13 5 2 2 2" xfId="12364"/>
    <cellStyle name="Total 13 5 2 3" xfId="9030"/>
    <cellStyle name="Total 13 5 2 3 2" xfId="13883"/>
    <cellStyle name="Total 13 5 2 4" xfId="10848"/>
    <cellStyle name="Total 13 5 3" xfId="6751"/>
    <cellStyle name="Total 13 5 3 2" xfId="11606"/>
    <cellStyle name="Total 13 5 4" xfId="8272"/>
    <cellStyle name="Total 13 5 4 2" xfId="13125"/>
    <cellStyle name="Total 13 5 5" xfId="10090"/>
    <cellStyle name="Total 13 6" xfId="5614"/>
    <cellStyle name="Total 13 6 2" xfId="7131"/>
    <cellStyle name="Total 13 6 2 2" xfId="11986"/>
    <cellStyle name="Total 13 6 3" xfId="8652"/>
    <cellStyle name="Total 13 6 3 2" xfId="13505"/>
    <cellStyle name="Total 13 6 4" xfId="10470"/>
    <cellStyle name="Total 13 7" xfId="6373"/>
    <cellStyle name="Total 13 7 2" xfId="11228"/>
    <cellStyle name="Total 13 8" xfId="7894"/>
    <cellStyle name="Total 13 8 2" xfId="12747"/>
    <cellStyle name="Total 13 9" xfId="9712"/>
    <cellStyle name="Total 14" xfId="4636"/>
    <cellStyle name="Total 14 2" xfId="4637"/>
    <cellStyle name="Total 14 2 2" xfId="5238"/>
    <cellStyle name="Total 14 2 2 2" xfId="5997"/>
    <cellStyle name="Total 14 2 2 2 2" xfId="7514"/>
    <cellStyle name="Total 14 2 2 2 2 2" xfId="12369"/>
    <cellStyle name="Total 14 2 2 2 3" xfId="9035"/>
    <cellStyle name="Total 14 2 2 2 3 2" xfId="13888"/>
    <cellStyle name="Total 14 2 2 2 4" xfId="10853"/>
    <cellStyle name="Total 14 2 2 3" xfId="6756"/>
    <cellStyle name="Total 14 2 2 3 2" xfId="11611"/>
    <cellStyle name="Total 14 2 2 4" xfId="8277"/>
    <cellStyle name="Total 14 2 2 4 2" xfId="13130"/>
    <cellStyle name="Total 14 2 2 5" xfId="10095"/>
    <cellStyle name="Total 14 2 3" xfId="5619"/>
    <cellStyle name="Total 14 2 3 2" xfId="7136"/>
    <cellStyle name="Total 14 2 3 2 2" xfId="11991"/>
    <cellStyle name="Total 14 2 3 3" xfId="8657"/>
    <cellStyle name="Total 14 2 3 3 2" xfId="13510"/>
    <cellStyle name="Total 14 2 3 4" xfId="10475"/>
    <cellStyle name="Total 14 2 4" xfId="6378"/>
    <cellStyle name="Total 14 2 4 2" xfId="11233"/>
    <cellStyle name="Total 14 2 5" xfId="7899"/>
    <cellStyle name="Total 14 2 5 2" xfId="12752"/>
    <cellStyle name="Total 14 2 6" xfId="9717"/>
    <cellStyle name="Total 14 3" xfId="4638"/>
    <cellStyle name="Total 14 3 2" xfId="5239"/>
    <cellStyle name="Total 14 3 2 2" xfId="5998"/>
    <cellStyle name="Total 14 3 2 2 2" xfId="7515"/>
    <cellStyle name="Total 14 3 2 2 2 2" xfId="12370"/>
    <cellStyle name="Total 14 3 2 2 3" xfId="9036"/>
    <cellStyle name="Total 14 3 2 2 3 2" xfId="13889"/>
    <cellStyle name="Total 14 3 2 2 4" xfId="10854"/>
    <cellStyle name="Total 14 3 2 3" xfId="6757"/>
    <cellStyle name="Total 14 3 2 3 2" xfId="11612"/>
    <cellStyle name="Total 14 3 2 4" xfId="8278"/>
    <cellStyle name="Total 14 3 2 4 2" xfId="13131"/>
    <cellStyle name="Total 14 3 2 5" xfId="10096"/>
    <cellStyle name="Total 14 3 3" xfId="5620"/>
    <cellStyle name="Total 14 3 3 2" xfId="7137"/>
    <cellStyle name="Total 14 3 3 2 2" xfId="11992"/>
    <cellStyle name="Total 14 3 3 3" xfId="8658"/>
    <cellStyle name="Total 14 3 3 3 2" xfId="13511"/>
    <cellStyle name="Total 14 3 3 4" xfId="10476"/>
    <cellStyle name="Total 14 3 4" xfId="6379"/>
    <cellStyle name="Total 14 3 4 2" xfId="11234"/>
    <cellStyle name="Total 14 3 5" xfId="7900"/>
    <cellStyle name="Total 14 3 5 2" xfId="12753"/>
    <cellStyle name="Total 14 3 6" xfId="9718"/>
    <cellStyle name="Total 14 4" xfId="4639"/>
    <cellStyle name="Total 14 4 2" xfId="5240"/>
    <cellStyle name="Total 14 4 2 2" xfId="5999"/>
    <cellStyle name="Total 14 4 2 2 2" xfId="7516"/>
    <cellStyle name="Total 14 4 2 2 2 2" xfId="12371"/>
    <cellStyle name="Total 14 4 2 2 3" xfId="9037"/>
    <cellStyle name="Total 14 4 2 2 3 2" xfId="13890"/>
    <cellStyle name="Total 14 4 2 2 4" xfId="10855"/>
    <cellStyle name="Total 14 4 2 3" xfId="6758"/>
    <cellStyle name="Total 14 4 2 3 2" xfId="11613"/>
    <cellStyle name="Total 14 4 2 4" xfId="8279"/>
    <cellStyle name="Total 14 4 2 4 2" xfId="13132"/>
    <cellStyle name="Total 14 4 2 5" xfId="10097"/>
    <cellStyle name="Total 14 4 3" xfId="5621"/>
    <cellStyle name="Total 14 4 3 2" xfId="7138"/>
    <cellStyle name="Total 14 4 3 2 2" xfId="11993"/>
    <cellStyle name="Total 14 4 3 3" xfId="8659"/>
    <cellStyle name="Total 14 4 3 3 2" xfId="13512"/>
    <cellStyle name="Total 14 4 3 4" xfId="10477"/>
    <cellStyle name="Total 14 4 4" xfId="6380"/>
    <cellStyle name="Total 14 4 4 2" xfId="11235"/>
    <cellStyle name="Total 14 4 5" xfId="7901"/>
    <cellStyle name="Total 14 4 5 2" xfId="12754"/>
    <cellStyle name="Total 14 4 6" xfId="9719"/>
    <cellStyle name="Total 14 5" xfId="5237"/>
    <cellStyle name="Total 14 5 2" xfId="5996"/>
    <cellStyle name="Total 14 5 2 2" xfId="7513"/>
    <cellStyle name="Total 14 5 2 2 2" xfId="12368"/>
    <cellStyle name="Total 14 5 2 3" xfId="9034"/>
    <cellStyle name="Total 14 5 2 3 2" xfId="13887"/>
    <cellStyle name="Total 14 5 2 4" xfId="10852"/>
    <cellStyle name="Total 14 5 3" xfId="6755"/>
    <cellStyle name="Total 14 5 3 2" xfId="11610"/>
    <cellStyle name="Total 14 5 4" xfId="8276"/>
    <cellStyle name="Total 14 5 4 2" xfId="13129"/>
    <cellStyle name="Total 14 5 5" xfId="10094"/>
    <cellStyle name="Total 14 6" xfId="5618"/>
    <cellStyle name="Total 14 6 2" xfId="7135"/>
    <cellStyle name="Total 14 6 2 2" xfId="11990"/>
    <cellStyle name="Total 14 6 3" xfId="8656"/>
    <cellStyle name="Total 14 6 3 2" xfId="13509"/>
    <cellStyle name="Total 14 6 4" xfId="10474"/>
    <cellStyle name="Total 14 7" xfId="6377"/>
    <cellStyle name="Total 14 7 2" xfId="11232"/>
    <cellStyle name="Total 14 8" xfId="7898"/>
    <cellStyle name="Total 14 8 2" xfId="12751"/>
    <cellStyle name="Total 14 9" xfId="9716"/>
    <cellStyle name="Total 15" xfId="4640"/>
    <cellStyle name="Total 15 2" xfId="4641"/>
    <cellStyle name="Total 15 2 2" xfId="5242"/>
    <cellStyle name="Total 15 2 2 2" xfId="6001"/>
    <cellStyle name="Total 15 2 2 2 2" xfId="7518"/>
    <cellStyle name="Total 15 2 2 2 2 2" xfId="12373"/>
    <cellStyle name="Total 15 2 2 2 3" xfId="9039"/>
    <cellStyle name="Total 15 2 2 2 3 2" xfId="13892"/>
    <cellStyle name="Total 15 2 2 2 4" xfId="10857"/>
    <cellStyle name="Total 15 2 2 3" xfId="6760"/>
    <cellStyle name="Total 15 2 2 3 2" xfId="11615"/>
    <cellStyle name="Total 15 2 2 4" xfId="8281"/>
    <cellStyle name="Total 15 2 2 4 2" xfId="13134"/>
    <cellStyle name="Total 15 2 2 5" xfId="10099"/>
    <cellStyle name="Total 15 2 3" xfId="5623"/>
    <cellStyle name="Total 15 2 3 2" xfId="7140"/>
    <cellStyle name="Total 15 2 3 2 2" xfId="11995"/>
    <cellStyle name="Total 15 2 3 3" xfId="8661"/>
    <cellStyle name="Total 15 2 3 3 2" xfId="13514"/>
    <cellStyle name="Total 15 2 3 4" xfId="10479"/>
    <cellStyle name="Total 15 2 4" xfId="6382"/>
    <cellStyle name="Total 15 2 4 2" xfId="11237"/>
    <cellStyle name="Total 15 2 5" xfId="7903"/>
    <cellStyle name="Total 15 2 5 2" xfId="12756"/>
    <cellStyle name="Total 15 2 6" xfId="9721"/>
    <cellStyle name="Total 15 3" xfId="4642"/>
    <cellStyle name="Total 15 3 2" xfId="5243"/>
    <cellStyle name="Total 15 3 2 2" xfId="6002"/>
    <cellStyle name="Total 15 3 2 2 2" xfId="7519"/>
    <cellStyle name="Total 15 3 2 2 2 2" xfId="12374"/>
    <cellStyle name="Total 15 3 2 2 3" xfId="9040"/>
    <cellStyle name="Total 15 3 2 2 3 2" xfId="13893"/>
    <cellStyle name="Total 15 3 2 2 4" xfId="10858"/>
    <cellStyle name="Total 15 3 2 3" xfId="6761"/>
    <cellStyle name="Total 15 3 2 3 2" xfId="11616"/>
    <cellStyle name="Total 15 3 2 4" xfId="8282"/>
    <cellStyle name="Total 15 3 2 4 2" xfId="13135"/>
    <cellStyle name="Total 15 3 2 5" xfId="10100"/>
    <cellStyle name="Total 15 3 3" xfId="5624"/>
    <cellStyle name="Total 15 3 3 2" xfId="7141"/>
    <cellStyle name="Total 15 3 3 2 2" xfId="11996"/>
    <cellStyle name="Total 15 3 3 3" xfId="8662"/>
    <cellStyle name="Total 15 3 3 3 2" xfId="13515"/>
    <cellStyle name="Total 15 3 3 4" xfId="10480"/>
    <cellStyle name="Total 15 3 4" xfId="6383"/>
    <cellStyle name="Total 15 3 4 2" xfId="11238"/>
    <cellStyle name="Total 15 3 5" xfId="7904"/>
    <cellStyle name="Total 15 3 5 2" xfId="12757"/>
    <cellStyle name="Total 15 3 6" xfId="9722"/>
    <cellStyle name="Total 15 4" xfId="4643"/>
    <cellStyle name="Total 15 4 2" xfId="5244"/>
    <cellStyle name="Total 15 4 2 2" xfId="6003"/>
    <cellStyle name="Total 15 4 2 2 2" xfId="7520"/>
    <cellStyle name="Total 15 4 2 2 2 2" xfId="12375"/>
    <cellStyle name="Total 15 4 2 2 3" xfId="9041"/>
    <cellStyle name="Total 15 4 2 2 3 2" xfId="13894"/>
    <cellStyle name="Total 15 4 2 2 4" xfId="10859"/>
    <cellStyle name="Total 15 4 2 3" xfId="6762"/>
    <cellStyle name="Total 15 4 2 3 2" xfId="11617"/>
    <cellStyle name="Total 15 4 2 4" xfId="8283"/>
    <cellStyle name="Total 15 4 2 4 2" xfId="13136"/>
    <cellStyle name="Total 15 4 2 5" xfId="10101"/>
    <cellStyle name="Total 15 4 3" xfId="5625"/>
    <cellStyle name="Total 15 4 3 2" xfId="7142"/>
    <cellStyle name="Total 15 4 3 2 2" xfId="11997"/>
    <cellStyle name="Total 15 4 3 3" xfId="8663"/>
    <cellStyle name="Total 15 4 3 3 2" xfId="13516"/>
    <cellStyle name="Total 15 4 3 4" xfId="10481"/>
    <cellStyle name="Total 15 4 4" xfId="6384"/>
    <cellStyle name="Total 15 4 4 2" xfId="11239"/>
    <cellStyle name="Total 15 4 5" xfId="7905"/>
    <cellStyle name="Total 15 4 5 2" xfId="12758"/>
    <cellStyle name="Total 15 4 6" xfId="9723"/>
    <cellStyle name="Total 15 5" xfId="5241"/>
    <cellStyle name="Total 15 5 2" xfId="6000"/>
    <cellStyle name="Total 15 5 2 2" xfId="7517"/>
    <cellStyle name="Total 15 5 2 2 2" xfId="12372"/>
    <cellStyle name="Total 15 5 2 3" xfId="9038"/>
    <cellStyle name="Total 15 5 2 3 2" xfId="13891"/>
    <cellStyle name="Total 15 5 2 4" xfId="10856"/>
    <cellStyle name="Total 15 5 3" xfId="6759"/>
    <cellStyle name="Total 15 5 3 2" xfId="11614"/>
    <cellStyle name="Total 15 5 4" xfId="8280"/>
    <cellStyle name="Total 15 5 4 2" xfId="13133"/>
    <cellStyle name="Total 15 5 5" xfId="10098"/>
    <cellStyle name="Total 15 6" xfId="5622"/>
    <cellStyle name="Total 15 6 2" xfId="7139"/>
    <cellStyle name="Total 15 6 2 2" xfId="11994"/>
    <cellStyle name="Total 15 6 3" xfId="8660"/>
    <cellStyle name="Total 15 6 3 2" xfId="13513"/>
    <cellStyle name="Total 15 6 4" xfId="10478"/>
    <cellStyle name="Total 15 7" xfId="6381"/>
    <cellStyle name="Total 15 7 2" xfId="11236"/>
    <cellStyle name="Total 15 8" xfId="7902"/>
    <cellStyle name="Total 15 8 2" xfId="12755"/>
    <cellStyle name="Total 15 9" xfId="9720"/>
    <cellStyle name="Total 16" xfId="4644"/>
    <cellStyle name="Total 16 2" xfId="5245"/>
    <cellStyle name="Total 16 2 2" xfId="6004"/>
    <cellStyle name="Total 16 2 2 2" xfId="7521"/>
    <cellStyle name="Total 16 2 2 2 2" xfId="12376"/>
    <cellStyle name="Total 16 2 2 3" xfId="9042"/>
    <cellStyle name="Total 16 2 2 3 2" xfId="13895"/>
    <cellStyle name="Total 16 2 2 4" xfId="10860"/>
    <cellStyle name="Total 16 2 3" xfId="6763"/>
    <cellStyle name="Total 16 2 3 2" xfId="11618"/>
    <cellStyle name="Total 16 2 4" xfId="8284"/>
    <cellStyle name="Total 16 2 4 2" xfId="13137"/>
    <cellStyle name="Total 16 2 5" xfId="10102"/>
    <cellStyle name="Total 16 3" xfId="5626"/>
    <cellStyle name="Total 16 3 2" xfId="7143"/>
    <cellStyle name="Total 16 3 2 2" xfId="11998"/>
    <cellStyle name="Total 16 3 3" xfId="8664"/>
    <cellStyle name="Total 16 3 3 2" xfId="13517"/>
    <cellStyle name="Total 16 3 4" xfId="10482"/>
    <cellStyle name="Total 16 4" xfId="6385"/>
    <cellStyle name="Total 16 4 2" xfId="11240"/>
    <cellStyle name="Total 16 5" xfId="7906"/>
    <cellStyle name="Total 16 5 2" xfId="12759"/>
    <cellStyle name="Total 16 6" xfId="9724"/>
    <cellStyle name="Total 17" xfId="4645"/>
    <cellStyle name="Total 17 2" xfId="5246"/>
    <cellStyle name="Total 17 2 2" xfId="6005"/>
    <cellStyle name="Total 17 2 2 2" xfId="7522"/>
    <cellStyle name="Total 17 2 2 2 2" xfId="12377"/>
    <cellStyle name="Total 17 2 2 3" xfId="9043"/>
    <cellStyle name="Total 17 2 2 3 2" xfId="13896"/>
    <cellStyle name="Total 17 2 2 4" xfId="10861"/>
    <cellStyle name="Total 17 2 3" xfId="6764"/>
    <cellStyle name="Total 17 2 3 2" xfId="11619"/>
    <cellStyle name="Total 17 2 4" xfId="8285"/>
    <cellStyle name="Total 17 2 4 2" xfId="13138"/>
    <cellStyle name="Total 17 2 5" xfId="10103"/>
    <cellStyle name="Total 17 3" xfId="5627"/>
    <cellStyle name="Total 17 3 2" xfId="7144"/>
    <cellStyle name="Total 17 3 2 2" xfId="11999"/>
    <cellStyle name="Total 17 3 3" xfId="8665"/>
    <cellStyle name="Total 17 3 3 2" xfId="13518"/>
    <cellStyle name="Total 17 3 4" xfId="10483"/>
    <cellStyle name="Total 17 4" xfId="6386"/>
    <cellStyle name="Total 17 4 2" xfId="11241"/>
    <cellStyle name="Total 17 5" xfId="7907"/>
    <cellStyle name="Total 17 5 2" xfId="12760"/>
    <cellStyle name="Total 17 6" xfId="9725"/>
    <cellStyle name="Total 18" xfId="4646"/>
    <cellStyle name="Total 18 2" xfId="5247"/>
    <cellStyle name="Total 18 2 2" xfId="6006"/>
    <cellStyle name="Total 18 2 2 2" xfId="7523"/>
    <cellStyle name="Total 18 2 2 2 2" xfId="12378"/>
    <cellStyle name="Total 18 2 2 3" xfId="9044"/>
    <cellStyle name="Total 18 2 2 3 2" xfId="13897"/>
    <cellStyle name="Total 18 2 2 4" xfId="10862"/>
    <cellStyle name="Total 18 2 3" xfId="6765"/>
    <cellStyle name="Total 18 2 3 2" xfId="11620"/>
    <cellStyle name="Total 18 2 4" xfId="8286"/>
    <cellStyle name="Total 18 2 4 2" xfId="13139"/>
    <cellStyle name="Total 18 2 5" xfId="10104"/>
    <cellStyle name="Total 18 3" xfId="5628"/>
    <cellStyle name="Total 18 3 2" xfId="7145"/>
    <cellStyle name="Total 18 3 2 2" xfId="12000"/>
    <cellStyle name="Total 18 3 3" xfId="8666"/>
    <cellStyle name="Total 18 3 3 2" xfId="13519"/>
    <cellStyle name="Total 18 3 4" xfId="10484"/>
    <cellStyle name="Total 18 4" xfId="6387"/>
    <cellStyle name="Total 18 4 2" xfId="11242"/>
    <cellStyle name="Total 18 5" xfId="7908"/>
    <cellStyle name="Total 18 5 2" xfId="12761"/>
    <cellStyle name="Total 18 6" xfId="9726"/>
    <cellStyle name="Total 19" xfId="4647"/>
    <cellStyle name="Total 19 2" xfId="5248"/>
    <cellStyle name="Total 19 2 2" xfId="6007"/>
    <cellStyle name="Total 19 2 2 2" xfId="7524"/>
    <cellStyle name="Total 19 2 2 2 2" xfId="12379"/>
    <cellStyle name="Total 19 2 2 3" xfId="9045"/>
    <cellStyle name="Total 19 2 2 3 2" xfId="13898"/>
    <cellStyle name="Total 19 2 2 4" xfId="10863"/>
    <cellStyle name="Total 19 2 3" xfId="6766"/>
    <cellStyle name="Total 19 2 3 2" xfId="11621"/>
    <cellStyle name="Total 19 2 4" xfId="8287"/>
    <cellStyle name="Total 19 2 4 2" xfId="13140"/>
    <cellStyle name="Total 19 2 5" xfId="10105"/>
    <cellStyle name="Total 19 3" xfId="5629"/>
    <cellStyle name="Total 19 3 2" xfId="7146"/>
    <cellStyle name="Total 19 3 2 2" xfId="12001"/>
    <cellStyle name="Total 19 3 3" xfId="8667"/>
    <cellStyle name="Total 19 3 3 2" xfId="13520"/>
    <cellStyle name="Total 19 3 4" xfId="10485"/>
    <cellStyle name="Total 19 4" xfId="6388"/>
    <cellStyle name="Total 19 4 2" xfId="11243"/>
    <cellStyle name="Total 19 5" xfId="7909"/>
    <cellStyle name="Total 19 5 2" xfId="12762"/>
    <cellStyle name="Total 19 6" xfId="9727"/>
    <cellStyle name="Total 2" xfId="433"/>
    <cellStyle name="Total 2 10" xfId="4649"/>
    <cellStyle name="Total 2 10 2" xfId="4650"/>
    <cellStyle name="Total 2 10 2 2" xfId="5251"/>
    <cellStyle name="Total 2 10 2 2 2" xfId="6010"/>
    <cellStyle name="Total 2 10 2 2 2 2" xfId="7527"/>
    <cellStyle name="Total 2 10 2 2 2 2 2" xfId="12382"/>
    <cellStyle name="Total 2 10 2 2 2 3" xfId="9048"/>
    <cellStyle name="Total 2 10 2 2 2 3 2" xfId="13901"/>
    <cellStyle name="Total 2 10 2 2 2 4" xfId="10866"/>
    <cellStyle name="Total 2 10 2 2 3" xfId="6769"/>
    <cellStyle name="Total 2 10 2 2 3 2" xfId="11624"/>
    <cellStyle name="Total 2 10 2 2 4" xfId="8290"/>
    <cellStyle name="Total 2 10 2 2 4 2" xfId="13143"/>
    <cellStyle name="Total 2 10 2 2 5" xfId="10108"/>
    <cellStyle name="Total 2 10 2 3" xfId="5632"/>
    <cellStyle name="Total 2 10 2 3 2" xfId="7149"/>
    <cellStyle name="Total 2 10 2 3 2 2" xfId="12004"/>
    <cellStyle name="Total 2 10 2 3 3" xfId="8670"/>
    <cellStyle name="Total 2 10 2 3 3 2" xfId="13523"/>
    <cellStyle name="Total 2 10 2 3 4" xfId="10488"/>
    <cellStyle name="Total 2 10 2 4" xfId="6391"/>
    <cellStyle name="Total 2 10 2 4 2" xfId="11246"/>
    <cellStyle name="Total 2 10 2 5" xfId="7912"/>
    <cellStyle name="Total 2 10 2 5 2" xfId="12765"/>
    <cellStyle name="Total 2 10 2 6" xfId="9730"/>
    <cellStyle name="Total 2 10 3" xfId="5250"/>
    <cellStyle name="Total 2 10 3 2" xfId="6009"/>
    <cellStyle name="Total 2 10 3 2 2" xfId="7526"/>
    <cellStyle name="Total 2 10 3 2 2 2" xfId="12381"/>
    <cellStyle name="Total 2 10 3 2 3" xfId="9047"/>
    <cellStyle name="Total 2 10 3 2 3 2" xfId="13900"/>
    <cellStyle name="Total 2 10 3 2 4" xfId="10865"/>
    <cellStyle name="Total 2 10 3 3" xfId="6768"/>
    <cellStyle name="Total 2 10 3 3 2" xfId="11623"/>
    <cellStyle name="Total 2 10 3 4" xfId="8289"/>
    <cellStyle name="Total 2 10 3 4 2" xfId="13142"/>
    <cellStyle name="Total 2 10 3 5" xfId="10107"/>
    <cellStyle name="Total 2 10 4" xfId="5631"/>
    <cellStyle name="Total 2 10 4 2" xfId="7148"/>
    <cellStyle name="Total 2 10 4 2 2" xfId="12003"/>
    <cellStyle name="Total 2 10 4 3" xfId="8669"/>
    <cellStyle name="Total 2 10 4 3 2" xfId="13522"/>
    <cellStyle name="Total 2 10 4 4" xfId="10487"/>
    <cellStyle name="Total 2 10 5" xfId="6390"/>
    <cellStyle name="Total 2 10 5 2" xfId="11245"/>
    <cellStyle name="Total 2 10 6" xfId="7911"/>
    <cellStyle name="Total 2 10 6 2" xfId="12764"/>
    <cellStyle name="Total 2 10 7" xfId="9729"/>
    <cellStyle name="Total 2 11" xfId="4651"/>
    <cellStyle name="Total 2 11 2" xfId="5252"/>
    <cellStyle name="Total 2 11 2 2" xfId="6011"/>
    <cellStyle name="Total 2 11 2 2 2" xfId="7528"/>
    <cellStyle name="Total 2 11 2 2 2 2" xfId="12383"/>
    <cellStyle name="Total 2 11 2 2 3" xfId="9049"/>
    <cellStyle name="Total 2 11 2 2 3 2" xfId="13902"/>
    <cellStyle name="Total 2 11 2 2 4" xfId="10867"/>
    <cellStyle name="Total 2 11 2 3" xfId="6770"/>
    <cellStyle name="Total 2 11 2 3 2" xfId="11625"/>
    <cellStyle name="Total 2 11 2 4" xfId="8291"/>
    <cellStyle name="Total 2 11 2 4 2" xfId="13144"/>
    <cellStyle name="Total 2 11 2 5" xfId="10109"/>
    <cellStyle name="Total 2 11 3" xfId="5633"/>
    <cellStyle name="Total 2 11 3 2" xfId="7150"/>
    <cellStyle name="Total 2 11 3 2 2" xfId="12005"/>
    <cellStyle name="Total 2 11 3 3" xfId="8671"/>
    <cellStyle name="Total 2 11 3 3 2" xfId="13524"/>
    <cellStyle name="Total 2 11 3 4" xfId="10489"/>
    <cellStyle name="Total 2 11 4" xfId="6392"/>
    <cellStyle name="Total 2 11 4 2" xfId="11247"/>
    <cellStyle name="Total 2 11 5" xfId="7913"/>
    <cellStyle name="Total 2 11 5 2" xfId="12766"/>
    <cellStyle name="Total 2 11 6" xfId="9731"/>
    <cellStyle name="Total 2 12" xfId="4652"/>
    <cellStyle name="Total 2 12 2" xfId="5253"/>
    <cellStyle name="Total 2 12 2 2" xfId="6012"/>
    <cellStyle name="Total 2 12 2 2 2" xfId="7529"/>
    <cellStyle name="Total 2 12 2 2 2 2" xfId="12384"/>
    <cellStyle name="Total 2 12 2 2 3" xfId="9050"/>
    <cellStyle name="Total 2 12 2 2 3 2" xfId="13903"/>
    <cellStyle name="Total 2 12 2 2 4" xfId="10868"/>
    <cellStyle name="Total 2 12 2 3" xfId="6771"/>
    <cellStyle name="Total 2 12 2 3 2" xfId="11626"/>
    <cellStyle name="Total 2 12 2 4" xfId="8292"/>
    <cellStyle name="Total 2 12 2 4 2" xfId="13145"/>
    <cellStyle name="Total 2 12 2 5" xfId="10110"/>
    <cellStyle name="Total 2 12 3" xfId="5634"/>
    <cellStyle name="Total 2 12 3 2" xfId="7151"/>
    <cellStyle name="Total 2 12 3 2 2" xfId="12006"/>
    <cellStyle name="Total 2 12 3 3" xfId="8672"/>
    <cellStyle name="Total 2 12 3 3 2" xfId="13525"/>
    <cellStyle name="Total 2 12 3 4" xfId="10490"/>
    <cellStyle name="Total 2 12 4" xfId="6393"/>
    <cellStyle name="Total 2 12 4 2" xfId="11248"/>
    <cellStyle name="Total 2 12 5" xfId="7914"/>
    <cellStyle name="Total 2 12 5 2" xfId="12767"/>
    <cellStyle name="Total 2 12 6" xfId="9732"/>
    <cellStyle name="Total 2 13" xfId="4653"/>
    <cellStyle name="Total 2 13 2" xfId="5254"/>
    <cellStyle name="Total 2 13 2 2" xfId="6013"/>
    <cellStyle name="Total 2 13 2 2 2" xfId="7530"/>
    <cellStyle name="Total 2 13 2 2 2 2" xfId="12385"/>
    <cellStyle name="Total 2 13 2 2 3" xfId="9051"/>
    <cellStyle name="Total 2 13 2 2 3 2" xfId="13904"/>
    <cellStyle name="Total 2 13 2 2 4" xfId="10869"/>
    <cellStyle name="Total 2 13 2 3" xfId="6772"/>
    <cellStyle name="Total 2 13 2 3 2" xfId="11627"/>
    <cellStyle name="Total 2 13 2 4" xfId="8293"/>
    <cellStyle name="Total 2 13 2 4 2" xfId="13146"/>
    <cellStyle name="Total 2 13 2 5" xfId="10111"/>
    <cellStyle name="Total 2 13 3" xfId="5635"/>
    <cellStyle name="Total 2 13 3 2" xfId="7152"/>
    <cellStyle name="Total 2 13 3 2 2" xfId="12007"/>
    <cellStyle name="Total 2 13 3 3" xfId="8673"/>
    <cellStyle name="Total 2 13 3 3 2" xfId="13526"/>
    <cellStyle name="Total 2 13 3 4" xfId="10491"/>
    <cellStyle name="Total 2 13 4" xfId="6394"/>
    <cellStyle name="Total 2 13 4 2" xfId="11249"/>
    <cellStyle name="Total 2 13 5" xfId="7915"/>
    <cellStyle name="Total 2 13 5 2" xfId="12768"/>
    <cellStyle name="Total 2 13 6" xfId="9733"/>
    <cellStyle name="Total 2 14" xfId="4654"/>
    <cellStyle name="Total 2 14 2" xfId="5255"/>
    <cellStyle name="Total 2 14 2 2" xfId="6014"/>
    <cellStyle name="Total 2 14 2 2 2" xfId="7531"/>
    <cellStyle name="Total 2 14 2 2 2 2" xfId="12386"/>
    <cellStyle name="Total 2 14 2 2 3" xfId="9052"/>
    <cellStyle name="Total 2 14 2 2 3 2" xfId="13905"/>
    <cellStyle name="Total 2 14 2 2 4" xfId="10870"/>
    <cellStyle name="Total 2 14 2 3" xfId="6773"/>
    <cellStyle name="Total 2 14 2 3 2" xfId="11628"/>
    <cellStyle name="Total 2 14 2 4" xfId="8294"/>
    <cellStyle name="Total 2 14 2 4 2" xfId="13147"/>
    <cellStyle name="Total 2 14 2 5" xfId="10112"/>
    <cellStyle name="Total 2 14 3" xfId="5636"/>
    <cellStyle name="Total 2 14 3 2" xfId="7153"/>
    <cellStyle name="Total 2 14 3 2 2" xfId="12008"/>
    <cellStyle name="Total 2 14 3 3" xfId="8674"/>
    <cellStyle name="Total 2 14 3 3 2" xfId="13527"/>
    <cellStyle name="Total 2 14 3 4" xfId="10492"/>
    <cellStyle name="Total 2 14 4" xfId="6395"/>
    <cellStyle name="Total 2 14 4 2" xfId="11250"/>
    <cellStyle name="Total 2 14 5" xfId="7916"/>
    <cellStyle name="Total 2 14 5 2" xfId="12769"/>
    <cellStyle name="Total 2 14 6" xfId="9734"/>
    <cellStyle name="Total 2 15" xfId="4655"/>
    <cellStyle name="Total 2 15 2" xfId="5256"/>
    <cellStyle name="Total 2 15 2 2" xfId="6015"/>
    <cellStyle name="Total 2 15 2 2 2" xfId="7532"/>
    <cellStyle name="Total 2 15 2 2 2 2" xfId="12387"/>
    <cellStyle name="Total 2 15 2 2 3" xfId="9053"/>
    <cellStyle name="Total 2 15 2 2 3 2" xfId="13906"/>
    <cellStyle name="Total 2 15 2 2 4" xfId="10871"/>
    <cellStyle name="Total 2 15 2 3" xfId="6774"/>
    <cellStyle name="Total 2 15 2 3 2" xfId="11629"/>
    <cellStyle name="Total 2 15 2 4" xfId="8295"/>
    <cellStyle name="Total 2 15 2 4 2" xfId="13148"/>
    <cellStyle name="Total 2 15 2 5" xfId="10113"/>
    <cellStyle name="Total 2 15 3" xfId="5637"/>
    <cellStyle name="Total 2 15 3 2" xfId="7154"/>
    <cellStyle name="Total 2 15 3 2 2" xfId="12009"/>
    <cellStyle name="Total 2 15 3 3" xfId="8675"/>
    <cellStyle name="Total 2 15 3 3 2" xfId="13528"/>
    <cellStyle name="Total 2 15 3 4" xfId="10493"/>
    <cellStyle name="Total 2 15 4" xfId="6396"/>
    <cellStyle name="Total 2 15 4 2" xfId="11251"/>
    <cellStyle name="Total 2 15 5" xfId="7917"/>
    <cellStyle name="Total 2 15 5 2" xfId="12770"/>
    <cellStyle name="Total 2 15 6" xfId="9735"/>
    <cellStyle name="Total 2 16" xfId="4648"/>
    <cellStyle name="Total 2 16 2" xfId="5249"/>
    <cellStyle name="Total 2 16 2 2" xfId="6008"/>
    <cellStyle name="Total 2 16 2 2 2" xfId="7525"/>
    <cellStyle name="Total 2 16 2 2 2 2" xfId="12380"/>
    <cellStyle name="Total 2 16 2 2 3" xfId="9046"/>
    <cellStyle name="Total 2 16 2 2 3 2" xfId="13899"/>
    <cellStyle name="Total 2 16 2 2 4" xfId="10864"/>
    <cellStyle name="Total 2 16 2 3" xfId="6767"/>
    <cellStyle name="Total 2 16 2 3 2" xfId="11622"/>
    <cellStyle name="Total 2 16 2 4" xfId="8288"/>
    <cellStyle name="Total 2 16 2 4 2" xfId="13141"/>
    <cellStyle name="Total 2 16 2 5" xfId="10106"/>
    <cellStyle name="Total 2 16 3" xfId="5630"/>
    <cellStyle name="Total 2 16 3 2" xfId="7147"/>
    <cellStyle name="Total 2 16 3 2 2" xfId="12002"/>
    <cellStyle name="Total 2 16 3 3" xfId="8668"/>
    <cellStyle name="Total 2 16 3 3 2" xfId="13521"/>
    <cellStyle name="Total 2 16 3 4" xfId="10486"/>
    <cellStyle name="Total 2 16 4" xfId="6389"/>
    <cellStyle name="Total 2 16 4 2" xfId="11244"/>
    <cellStyle name="Total 2 16 5" xfId="7910"/>
    <cellStyle name="Total 2 16 5 2" xfId="12763"/>
    <cellStyle name="Total 2 16 6" xfId="9728"/>
    <cellStyle name="Total 2 2" xfId="4656"/>
    <cellStyle name="Total 2 2 2" xfId="5257"/>
    <cellStyle name="Total 2 2 2 2" xfId="6016"/>
    <cellStyle name="Total 2 2 2 2 2" xfId="7533"/>
    <cellStyle name="Total 2 2 2 2 2 2" xfId="12388"/>
    <cellStyle name="Total 2 2 2 2 3" xfId="9054"/>
    <cellStyle name="Total 2 2 2 2 3 2" xfId="13907"/>
    <cellStyle name="Total 2 2 2 2 4" xfId="10872"/>
    <cellStyle name="Total 2 2 2 3" xfId="6775"/>
    <cellStyle name="Total 2 2 2 3 2" xfId="11630"/>
    <cellStyle name="Total 2 2 2 4" xfId="8296"/>
    <cellStyle name="Total 2 2 2 4 2" xfId="13149"/>
    <cellStyle name="Total 2 2 2 5" xfId="10114"/>
    <cellStyle name="Total 2 2 3" xfId="5638"/>
    <cellStyle name="Total 2 2 3 2" xfId="7155"/>
    <cellStyle name="Total 2 2 3 2 2" xfId="12010"/>
    <cellStyle name="Total 2 2 3 3" xfId="8676"/>
    <cellStyle name="Total 2 2 3 3 2" xfId="13529"/>
    <cellStyle name="Total 2 2 3 4" xfId="10494"/>
    <cellStyle name="Total 2 2 4" xfId="6397"/>
    <cellStyle name="Total 2 2 4 2" xfId="11252"/>
    <cellStyle name="Total 2 2 5" xfId="7918"/>
    <cellStyle name="Total 2 2 5 2" xfId="12771"/>
    <cellStyle name="Total 2 2 6" xfId="9736"/>
    <cellStyle name="Total 2 3" xfId="4657"/>
    <cellStyle name="Total 2 3 2" xfId="5258"/>
    <cellStyle name="Total 2 3 2 2" xfId="6017"/>
    <cellStyle name="Total 2 3 2 2 2" xfId="7534"/>
    <cellStyle name="Total 2 3 2 2 2 2" xfId="12389"/>
    <cellStyle name="Total 2 3 2 2 3" xfId="9055"/>
    <cellStyle name="Total 2 3 2 2 3 2" xfId="13908"/>
    <cellStyle name="Total 2 3 2 2 4" xfId="10873"/>
    <cellStyle name="Total 2 3 2 3" xfId="6776"/>
    <cellStyle name="Total 2 3 2 3 2" xfId="11631"/>
    <cellStyle name="Total 2 3 2 4" xfId="8297"/>
    <cellStyle name="Total 2 3 2 4 2" xfId="13150"/>
    <cellStyle name="Total 2 3 2 5" xfId="10115"/>
    <cellStyle name="Total 2 3 3" xfId="5639"/>
    <cellStyle name="Total 2 3 3 2" xfId="7156"/>
    <cellStyle name="Total 2 3 3 2 2" xfId="12011"/>
    <cellStyle name="Total 2 3 3 3" xfId="8677"/>
    <cellStyle name="Total 2 3 3 3 2" xfId="13530"/>
    <cellStyle name="Total 2 3 3 4" xfId="10495"/>
    <cellStyle name="Total 2 3 4" xfId="6398"/>
    <cellStyle name="Total 2 3 4 2" xfId="11253"/>
    <cellStyle name="Total 2 3 5" xfId="7919"/>
    <cellStyle name="Total 2 3 5 2" xfId="12772"/>
    <cellStyle name="Total 2 3 6" xfId="9737"/>
    <cellStyle name="Total 2 4" xfId="4658"/>
    <cellStyle name="Total 2 4 2" xfId="5259"/>
    <cellStyle name="Total 2 4 2 2" xfId="6018"/>
    <cellStyle name="Total 2 4 2 2 2" xfId="7535"/>
    <cellStyle name="Total 2 4 2 2 2 2" xfId="12390"/>
    <cellStyle name="Total 2 4 2 2 3" xfId="9056"/>
    <cellStyle name="Total 2 4 2 2 3 2" xfId="13909"/>
    <cellStyle name="Total 2 4 2 2 4" xfId="10874"/>
    <cellStyle name="Total 2 4 2 3" xfId="6777"/>
    <cellStyle name="Total 2 4 2 3 2" xfId="11632"/>
    <cellStyle name="Total 2 4 2 4" xfId="8298"/>
    <cellStyle name="Total 2 4 2 4 2" xfId="13151"/>
    <cellStyle name="Total 2 4 2 5" xfId="10116"/>
    <cellStyle name="Total 2 4 3" xfId="5640"/>
    <cellStyle name="Total 2 4 3 2" xfId="7157"/>
    <cellStyle name="Total 2 4 3 2 2" xfId="12012"/>
    <cellStyle name="Total 2 4 3 3" xfId="8678"/>
    <cellStyle name="Total 2 4 3 3 2" xfId="13531"/>
    <cellStyle name="Total 2 4 3 4" xfId="10496"/>
    <cellStyle name="Total 2 4 4" xfId="6399"/>
    <cellStyle name="Total 2 4 4 2" xfId="11254"/>
    <cellStyle name="Total 2 4 5" xfId="7920"/>
    <cellStyle name="Total 2 4 5 2" xfId="12773"/>
    <cellStyle name="Total 2 4 6" xfId="9738"/>
    <cellStyle name="Total 2 5" xfId="4659"/>
    <cellStyle name="Total 2 5 2" xfId="5260"/>
    <cellStyle name="Total 2 5 2 2" xfId="6019"/>
    <cellStyle name="Total 2 5 2 2 2" xfId="7536"/>
    <cellStyle name="Total 2 5 2 2 2 2" xfId="12391"/>
    <cellStyle name="Total 2 5 2 2 3" xfId="9057"/>
    <cellStyle name="Total 2 5 2 2 3 2" xfId="13910"/>
    <cellStyle name="Total 2 5 2 2 4" xfId="10875"/>
    <cellStyle name="Total 2 5 2 3" xfId="6778"/>
    <cellStyle name="Total 2 5 2 3 2" xfId="11633"/>
    <cellStyle name="Total 2 5 2 4" xfId="8299"/>
    <cellStyle name="Total 2 5 2 4 2" xfId="13152"/>
    <cellStyle name="Total 2 5 2 5" xfId="10117"/>
    <cellStyle name="Total 2 5 3" xfId="5641"/>
    <cellStyle name="Total 2 5 3 2" xfId="7158"/>
    <cellStyle name="Total 2 5 3 2 2" xfId="12013"/>
    <cellStyle name="Total 2 5 3 3" xfId="8679"/>
    <cellStyle name="Total 2 5 3 3 2" xfId="13532"/>
    <cellStyle name="Total 2 5 3 4" xfId="10497"/>
    <cellStyle name="Total 2 5 4" xfId="6400"/>
    <cellStyle name="Total 2 5 4 2" xfId="11255"/>
    <cellStyle name="Total 2 5 5" xfId="7921"/>
    <cellStyle name="Total 2 5 5 2" xfId="12774"/>
    <cellStyle name="Total 2 5 6" xfId="9739"/>
    <cellStyle name="Total 2 6" xfId="4660"/>
    <cellStyle name="Total 2 6 2" xfId="5261"/>
    <cellStyle name="Total 2 6 2 2" xfId="6020"/>
    <cellStyle name="Total 2 6 2 2 2" xfId="7537"/>
    <cellStyle name="Total 2 6 2 2 2 2" xfId="12392"/>
    <cellStyle name="Total 2 6 2 2 3" xfId="9058"/>
    <cellStyle name="Total 2 6 2 2 3 2" xfId="13911"/>
    <cellStyle name="Total 2 6 2 2 4" xfId="10876"/>
    <cellStyle name="Total 2 6 2 3" xfId="6779"/>
    <cellStyle name="Total 2 6 2 3 2" xfId="11634"/>
    <cellStyle name="Total 2 6 2 4" xfId="8300"/>
    <cellStyle name="Total 2 6 2 4 2" xfId="13153"/>
    <cellStyle name="Total 2 6 2 5" xfId="10118"/>
    <cellStyle name="Total 2 6 3" xfId="5642"/>
    <cellStyle name="Total 2 6 3 2" xfId="7159"/>
    <cellStyle name="Total 2 6 3 2 2" xfId="12014"/>
    <cellStyle name="Total 2 6 3 3" xfId="8680"/>
    <cellStyle name="Total 2 6 3 3 2" xfId="13533"/>
    <cellStyle name="Total 2 6 3 4" xfId="10498"/>
    <cellStyle name="Total 2 6 4" xfId="6401"/>
    <cellStyle name="Total 2 6 4 2" xfId="11256"/>
    <cellStyle name="Total 2 6 5" xfId="7922"/>
    <cellStyle name="Total 2 6 5 2" xfId="12775"/>
    <cellStyle name="Total 2 6 6" xfId="9740"/>
    <cellStyle name="Total 2 7" xfId="4661"/>
    <cellStyle name="Total 2 7 2" xfId="5262"/>
    <cellStyle name="Total 2 7 2 2" xfId="6021"/>
    <cellStyle name="Total 2 7 2 2 2" xfId="7538"/>
    <cellStyle name="Total 2 7 2 2 2 2" xfId="12393"/>
    <cellStyle name="Total 2 7 2 2 3" xfId="9059"/>
    <cellStyle name="Total 2 7 2 2 3 2" xfId="13912"/>
    <cellStyle name="Total 2 7 2 2 4" xfId="10877"/>
    <cellStyle name="Total 2 7 2 3" xfId="6780"/>
    <cellStyle name="Total 2 7 2 3 2" xfId="11635"/>
    <cellStyle name="Total 2 7 2 4" xfId="8301"/>
    <cellStyle name="Total 2 7 2 4 2" xfId="13154"/>
    <cellStyle name="Total 2 7 2 5" xfId="10119"/>
    <cellStyle name="Total 2 7 3" xfId="5643"/>
    <cellStyle name="Total 2 7 3 2" xfId="7160"/>
    <cellStyle name="Total 2 7 3 2 2" xfId="12015"/>
    <cellStyle name="Total 2 7 3 3" xfId="8681"/>
    <cellStyle name="Total 2 7 3 3 2" xfId="13534"/>
    <cellStyle name="Total 2 7 3 4" xfId="10499"/>
    <cellStyle name="Total 2 7 4" xfId="6402"/>
    <cellStyle name="Total 2 7 4 2" xfId="11257"/>
    <cellStyle name="Total 2 7 5" xfId="7923"/>
    <cellStyle name="Total 2 7 5 2" xfId="12776"/>
    <cellStyle name="Total 2 7 6" xfId="9741"/>
    <cellStyle name="Total 2 8" xfId="4662"/>
    <cellStyle name="Total 2 8 2" xfId="5263"/>
    <cellStyle name="Total 2 8 2 2" xfId="6022"/>
    <cellStyle name="Total 2 8 2 2 2" xfId="7539"/>
    <cellStyle name="Total 2 8 2 2 2 2" xfId="12394"/>
    <cellStyle name="Total 2 8 2 2 3" xfId="9060"/>
    <cellStyle name="Total 2 8 2 2 3 2" xfId="13913"/>
    <cellStyle name="Total 2 8 2 2 4" xfId="10878"/>
    <cellStyle name="Total 2 8 2 3" xfId="6781"/>
    <cellStyle name="Total 2 8 2 3 2" xfId="11636"/>
    <cellStyle name="Total 2 8 2 4" xfId="8302"/>
    <cellStyle name="Total 2 8 2 4 2" xfId="13155"/>
    <cellStyle name="Total 2 8 2 5" xfId="10120"/>
    <cellStyle name="Total 2 8 3" xfId="5644"/>
    <cellStyle name="Total 2 8 3 2" xfId="7161"/>
    <cellStyle name="Total 2 8 3 2 2" xfId="12016"/>
    <cellStyle name="Total 2 8 3 3" xfId="8682"/>
    <cellStyle name="Total 2 8 3 3 2" xfId="13535"/>
    <cellStyle name="Total 2 8 3 4" xfId="10500"/>
    <cellStyle name="Total 2 8 4" xfId="6403"/>
    <cellStyle name="Total 2 8 4 2" xfId="11258"/>
    <cellStyle name="Total 2 8 5" xfId="7924"/>
    <cellStyle name="Total 2 8 5 2" xfId="12777"/>
    <cellStyle name="Total 2 8 6" xfId="9742"/>
    <cellStyle name="Total 2 9" xfId="4663"/>
    <cellStyle name="Total 2 9 2" xfId="5264"/>
    <cellStyle name="Total 2 9 2 2" xfId="6023"/>
    <cellStyle name="Total 2 9 2 2 2" xfId="7540"/>
    <cellStyle name="Total 2 9 2 2 2 2" xfId="12395"/>
    <cellStyle name="Total 2 9 2 2 3" xfId="9061"/>
    <cellStyle name="Total 2 9 2 2 3 2" xfId="13914"/>
    <cellStyle name="Total 2 9 2 2 4" xfId="10879"/>
    <cellStyle name="Total 2 9 2 3" xfId="6782"/>
    <cellStyle name="Total 2 9 2 3 2" xfId="11637"/>
    <cellStyle name="Total 2 9 2 4" xfId="8303"/>
    <cellStyle name="Total 2 9 2 4 2" xfId="13156"/>
    <cellStyle name="Total 2 9 2 5" xfId="10121"/>
    <cellStyle name="Total 2 9 3" xfId="5645"/>
    <cellStyle name="Total 2 9 3 2" xfId="7162"/>
    <cellStyle name="Total 2 9 3 2 2" xfId="12017"/>
    <cellStyle name="Total 2 9 3 3" xfId="8683"/>
    <cellStyle name="Total 2 9 3 3 2" xfId="13536"/>
    <cellStyle name="Total 2 9 3 4" xfId="10501"/>
    <cellStyle name="Total 2 9 4" xfId="6404"/>
    <cellStyle name="Total 2 9 4 2" xfId="11259"/>
    <cellStyle name="Total 2 9 5" xfId="7925"/>
    <cellStyle name="Total 2 9 5 2" xfId="12778"/>
    <cellStyle name="Total 2 9 6" xfId="9743"/>
    <cellStyle name="Total 20" xfId="4664"/>
    <cellStyle name="Total 20 2" xfId="5265"/>
    <cellStyle name="Total 20 2 2" xfId="6024"/>
    <cellStyle name="Total 20 2 2 2" xfId="7541"/>
    <cellStyle name="Total 20 2 2 2 2" xfId="12396"/>
    <cellStyle name="Total 20 2 2 3" xfId="9062"/>
    <cellStyle name="Total 20 2 2 3 2" xfId="13915"/>
    <cellStyle name="Total 20 2 2 4" xfId="10880"/>
    <cellStyle name="Total 20 2 3" xfId="6783"/>
    <cellStyle name="Total 20 2 3 2" xfId="11638"/>
    <cellStyle name="Total 20 2 4" xfId="8304"/>
    <cellStyle name="Total 20 2 4 2" xfId="13157"/>
    <cellStyle name="Total 20 2 5" xfId="10122"/>
    <cellStyle name="Total 20 3" xfId="5646"/>
    <cellStyle name="Total 20 3 2" xfId="7163"/>
    <cellStyle name="Total 20 3 2 2" xfId="12018"/>
    <cellStyle name="Total 20 3 3" xfId="8684"/>
    <cellStyle name="Total 20 3 3 2" xfId="13537"/>
    <cellStyle name="Total 20 3 4" xfId="10502"/>
    <cellStyle name="Total 20 4" xfId="6405"/>
    <cellStyle name="Total 20 4 2" xfId="11260"/>
    <cellStyle name="Total 20 5" xfId="7926"/>
    <cellStyle name="Total 20 5 2" xfId="12779"/>
    <cellStyle name="Total 20 6" xfId="9744"/>
    <cellStyle name="Total 3" xfId="4665"/>
    <cellStyle name="Total 3 10" xfId="5266"/>
    <cellStyle name="Total 3 10 2" xfId="6025"/>
    <cellStyle name="Total 3 10 2 2" xfId="7542"/>
    <cellStyle name="Total 3 10 2 2 2" xfId="12397"/>
    <cellStyle name="Total 3 10 2 3" xfId="9063"/>
    <cellStyle name="Total 3 10 2 3 2" xfId="13916"/>
    <cellStyle name="Total 3 10 2 4" xfId="10881"/>
    <cellStyle name="Total 3 10 3" xfId="6784"/>
    <cellStyle name="Total 3 10 3 2" xfId="11639"/>
    <cellStyle name="Total 3 10 4" xfId="8305"/>
    <cellStyle name="Total 3 10 4 2" xfId="13158"/>
    <cellStyle name="Total 3 10 5" xfId="10123"/>
    <cellStyle name="Total 3 11" xfId="5647"/>
    <cellStyle name="Total 3 11 2" xfId="7164"/>
    <cellStyle name="Total 3 11 2 2" xfId="12019"/>
    <cellStyle name="Total 3 11 3" xfId="8685"/>
    <cellStyle name="Total 3 11 3 2" xfId="13538"/>
    <cellStyle name="Total 3 11 4" xfId="10503"/>
    <cellStyle name="Total 3 12" xfId="6406"/>
    <cellStyle name="Total 3 12 2" xfId="11261"/>
    <cellStyle name="Total 3 13" xfId="7927"/>
    <cellStyle name="Total 3 13 2" xfId="12780"/>
    <cellStyle name="Total 3 14" xfId="9745"/>
    <cellStyle name="Total 3 2" xfId="4666"/>
    <cellStyle name="Total 3 2 2" xfId="4667"/>
    <cellStyle name="Total 3 2 2 2" xfId="5268"/>
    <cellStyle name="Total 3 2 2 2 2" xfId="6027"/>
    <cellStyle name="Total 3 2 2 2 2 2" xfId="7544"/>
    <cellStyle name="Total 3 2 2 2 2 2 2" xfId="12399"/>
    <cellStyle name="Total 3 2 2 2 2 3" xfId="9065"/>
    <cellStyle name="Total 3 2 2 2 2 3 2" xfId="13918"/>
    <cellStyle name="Total 3 2 2 2 2 4" xfId="10883"/>
    <cellStyle name="Total 3 2 2 2 3" xfId="6786"/>
    <cellStyle name="Total 3 2 2 2 3 2" xfId="11641"/>
    <cellStyle name="Total 3 2 2 2 4" xfId="8307"/>
    <cellStyle name="Total 3 2 2 2 4 2" xfId="13160"/>
    <cellStyle name="Total 3 2 2 2 5" xfId="10125"/>
    <cellStyle name="Total 3 2 2 3" xfId="5649"/>
    <cellStyle name="Total 3 2 2 3 2" xfId="7166"/>
    <cellStyle name="Total 3 2 2 3 2 2" xfId="12021"/>
    <cellStyle name="Total 3 2 2 3 3" xfId="8687"/>
    <cellStyle name="Total 3 2 2 3 3 2" xfId="13540"/>
    <cellStyle name="Total 3 2 2 3 4" xfId="10505"/>
    <cellStyle name="Total 3 2 2 4" xfId="6408"/>
    <cellStyle name="Total 3 2 2 4 2" xfId="11263"/>
    <cellStyle name="Total 3 2 2 5" xfId="7929"/>
    <cellStyle name="Total 3 2 2 5 2" xfId="12782"/>
    <cellStyle name="Total 3 2 2 6" xfId="9747"/>
    <cellStyle name="Total 3 2 3" xfId="4668"/>
    <cellStyle name="Total 3 2 3 2" xfId="5269"/>
    <cellStyle name="Total 3 2 3 2 2" xfId="6028"/>
    <cellStyle name="Total 3 2 3 2 2 2" xfId="7545"/>
    <cellStyle name="Total 3 2 3 2 2 2 2" xfId="12400"/>
    <cellStyle name="Total 3 2 3 2 2 3" xfId="9066"/>
    <cellStyle name="Total 3 2 3 2 2 3 2" xfId="13919"/>
    <cellStyle name="Total 3 2 3 2 2 4" xfId="10884"/>
    <cellStyle name="Total 3 2 3 2 3" xfId="6787"/>
    <cellStyle name="Total 3 2 3 2 3 2" xfId="11642"/>
    <cellStyle name="Total 3 2 3 2 4" xfId="8308"/>
    <cellStyle name="Total 3 2 3 2 4 2" xfId="13161"/>
    <cellStyle name="Total 3 2 3 2 5" xfId="10126"/>
    <cellStyle name="Total 3 2 3 3" xfId="5650"/>
    <cellStyle name="Total 3 2 3 3 2" xfId="7167"/>
    <cellStyle name="Total 3 2 3 3 2 2" xfId="12022"/>
    <cellStyle name="Total 3 2 3 3 3" xfId="8688"/>
    <cellStyle name="Total 3 2 3 3 3 2" xfId="13541"/>
    <cellStyle name="Total 3 2 3 3 4" xfId="10506"/>
    <cellStyle name="Total 3 2 3 4" xfId="6409"/>
    <cellStyle name="Total 3 2 3 4 2" xfId="11264"/>
    <cellStyle name="Total 3 2 3 5" xfId="7930"/>
    <cellStyle name="Total 3 2 3 5 2" xfId="12783"/>
    <cellStyle name="Total 3 2 3 6" xfId="9748"/>
    <cellStyle name="Total 3 2 4" xfId="5267"/>
    <cellStyle name="Total 3 2 4 2" xfId="6026"/>
    <cellStyle name="Total 3 2 4 2 2" xfId="7543"/>
    <cellStyle name="Total 3 2 4 2 2 2" xfId="12398"/>
    <cellStyle name="Total 3 2 4 2 3" xfId="9064"/>
    <cellStyle name="Total 3 2 4 2 3 2" xfId="13917"/>
    <cellStyle name="Total 3 2 4 2 4" xfId="10882"/>
    <cellStyle name="Total 3 2 4 3" xfId="6785"/>
    <cellStyle name="Total 3 2 4 3 2" xfId="11640"/>
    <cellStyle name="Total 3 2 4 4" xfId="8306"/>
    <cellStyle name="Total 3 2 4 4 2" xfId="13159"/>
    <cellStyle name="Total 3 2 4 5" xfId="10124"/>
    <cellStyle name="Total 3 2 5" xfId="5648"/>
    <cellStyle name="Total 3 2 5 2" xfId="7165"/>
    <cellStyle name="Total 3 2 5 2 2" xfId="12020"/>
    <cellStyle name="Total 3 2 5 3" xfId="8686"/>
    <cellStyle name="Total 3 2 5 3 2" xfId="13539"/>
    <cellStyle name="Total 3 2 5 4" xfId="10504"/>
    <cellStyle name="Total 3 2 6" xfId="6407"/>
    <cellStyle name="Total 3 2 6 2" xfId="11262"/>
    <cellStyle name="Total 3 2 7" xfId="7928"/>
    <cellStyle name="Total 3 2 7 2" xfId="12781"/>
    <cellStyle name="Total 3 2 8" xfId="9746"/>
    <cellStyle name="Total 3 3" xfId="4669"/>
    <cellStyle name="Total 3 3 2" xfId="5270"/>
    <cellStyle name="Total 3 3 2 2" xfId="6029"/>
    <cellStyle name="Total 3 3 2 2 2" xfId="7546"/>
    <cellStyle name="Total 3 3 2 2 2 2" xfId="12401"/>
    <cellStyle name="Total 3 3 2 2 3" xfId="9067"/>
    <cellStyle name="Total 3 3 2 2 3 2" xfId="13920"/>
    <cellStyle name="Total 3 3 2 2 4" xfId="10885"/>
    <cellStyle name="Total 3 3 2 3" xfId="6788"/>
    <cellStyle name="Total 3 3 2 3 2" xfId="11643"/>
    <cellStyle name="Total 3 3 2 4" xfId="8309"/>
    <cellStyle name="Total 3 3 2 4 2" xfId="13162"/>
    <cellStyle name="Total 3 3 2 5" xfId="10127"/>
    <cellStyle name="Total 3 3 3" xfId="5651"/>
    <cellStyle name="Total 3 3 3 2" xfId="7168"/>
    <cellStyle name="Total 3 3 3 2 2" xfId="12023"/>
    <cellStyle name="Total 3 3 3 3" xfId="8689"/>
    <cellStyle name="Total 3 3 3 3 2" xfId="13542"/>
    <cellStyle name="Total 3 3 3 4" xfId="10507"/>
    <cellStyle name="Total 3 3 4" xfId="6410"/>
    <cellStyle name="Total 3 3 4 2" xfId="11265"/>
    <cellStyle name="Total 3 3 5" xfId="7931"/>
    <cellStyle name="Total 3 3 5 2" xfId="12784"/>
    <cellStyle name="Total 3 3 6" xfId="9749"/>
    <cellStyle name="Total 3 4" xfId="4670"/>
    <cellStyle name="Total 3 4 2" xfId="5271"/>
    <cellStyle name="Total 3 4 2 2" xfId="6030"/>
    <cellStyle name="Total 3 4 2 2 2" xfId="7547"/>
    <cellStyle name="Total 3 4 2 2 2 2" xfId="12402"/>
    <cellStyle name="Total 3 4 2 2 3" xfId="9068"/>
    <cellStyle name="Total 3 4 2 2 3 2" xfId="13921"/>
    <cellStyle name="Total 3 4 2 2 4" xfId="10886"/>
    <cellStyle name="Total 3 4 2 3" xfId="6789"/>
    <cellStyle name="Total 3 4 2 3 2" xfId="11644"/>
    <cellStyle name="Total 3 4 2 4" xfId="8310"/>
    <cellStyle name="Total 3 4 2 4 2" xfId="13163"/>
    <cellStyle name="Total 3 4 2 5" xfId="10128"/>
    <cellStyle name="Total 3 4 3" xfId="5652"/>
    <cellStyle name="Total 3 4 3 2" xfId="7169"/>
    <cellStyle name="Total 3 4 3 2 2" xfId="12024"/>
    <cellStyle name="Total 3 4 3 3" xfId="8690"/>
    <cellStyle name="Total 3 4 3 3 2" xfId="13543"/>
    <cellStyle name="Total 3 4 3 4" xfId="10508"/>
    <cellStyle name="Total 3 4 4" xfId="6411"/>
    <cellStyle name="Total 3 4 4 2" xfId="11266"/>
    <cellStyle name="Total 3 4 5" xfId="7932"/>
    <cellStyle name="Total 3 4 5 2" xfId="12785"/>
    <cellStyle name="Total 3 4 6" xfId="9750"/>
    <cellStyle name="Total 3 5" xfId="4671"/>
    <cellStyle name="Total 3 5 2" xfId="4672"/>
    <cellStyle name="Total 3 5 2 2" xfId="5273"/>
    <cellStyle name="Total 3 5 2 2 2" xfId="6032"/>
    <cellStyle name="Total 3 5 2 2 2 2" xfId="7549"/>
    <cellStyle name="Total 3 5 2 2 2 2 2" xfId="12404"/>
    <cellStyle name="Total 3 5 2 2 2 3" xfId="9070"/>
    <cellStyle name="Total 3 5 2 2 2 3 2" xfId="13923"/>
    <cellStyle name="Total 3 5 2 2 2 4" xfId="10888"/>
    <cellStyle name="Total 3 5 2 2 3" xfId="6791"/>
    <cellStyle name="Total 3 5 2 2 3 2" xfId="11646"/>
    <cellStyle name="Total 3 5 2 2 4" xfId="8312"/>
    <cellStyle name="Total 3 5 2 2 4 2" xfId="13165"/>
    <cellStyle name="Total 3 5 2 2 5" xfId="10130"/>
    <cellStyle name="Total 3 5 2 3" xfId="5654"/>
    <cellStyle name="Total 3 5 2 3 2" xfId="7171"/>
    <cellStyle name="Total 3 5 2 3 2 2" xfId="12026"/>
    <cellStyle name="Total 3 5 2 3 3" xfId="8692"/>
    <cellStyle name="Total 3 5 2 3 3 2" xfId="13545"/>
    <cellStyle name="Total 3 5 2 3 4" xfId="10510"/>
    <cellStyle name="Total 3 5 2 4" xfId="6413"/>
    <cellStyle name="Total 3 5 2 4 2" xfId="11268"/>
    <cellStyle name="Total 3 5 2 5" xfId="7934"/>
    <cellStyle name="Total 3 5 2 5 2" xfId="12787"/>
    <cellStyle name="Total 3 5 2 6" xfId="9752"/>
    <cellStyle name="Total 3 5 3" xfId="5272"/>
    <cellStyle name="Total 3 5 3 2" xfId="6031"/>
    <cellStyle name="Total 3 5 3 2 2" xfId="7548"/>
    <cellStyle name="Total 3 5 3 2 2 2" xfId="12403"/>
    <cellStyle name="Total 3 5 3 2 3" xfId="9069"/>
    <cellStyle name="Total 3 5 3 2 3 2" xfId="13922"/>
    <cellStyle name="Total 3 5 3 2 4" xfId="10887"/>
    <cellStyle name="Total 3 5 3 3" xfId="6790"/>
    <cellStyle name="Total 3 5 3 3 2" xfId="11645"/>
    <cellStyle name="Total 3 5 3 4" xfId="8311"/>
    <cellStyle name="Total 3 5 3 4 2" xfId="13164"/>
    <cellStyle name="Total 3 5 3 5" xfId="10129"/>
    <cellStyle name="Total 3 5 4" xfId="5653"/>
    <cellStyle name="Total 3 5 4 2" xfId="7170"/>
    <cellStyle name="Total 3 5 4 2 2" xfId="12025"/>
    <cellStyle name="Total 3 5 4 3" xfId="8691"/>
    <cellStyle name="Total 3 5 4 3 2" xfId="13544"/>
    <cellStyle name="Total 3 5 4 4" xfId="10509"/>
    <cellStyle name="Total 3 5 5" xfId="6412"/>
    <cellStyle name="Total 3 5 5 2" xfId="11267"/>
    <cellStyle name="Total 3 5 6" xfId="7933"/>
    <cellStyle name="Total 3 5 6 2" xfId="12786"/>
    <cellStyle name="Total 3 5 7" xfId="9751"/>
    <cellStyle name="Total 3 6" xfId="4673"/>
    <cellStyle name="Total 3 6 2" xfId="5274"/>
    <cellStyle name="Total 3 6 2 2" xfId="6033"/>
    <cellStyle name="Total 3 6 2 2 2" xfId="7550"/>
    <cellStyle name="Total 3 6 2 2 2 2" xfId="12405"/>
    <cellStyle name="Total 3 6 2 2 3" xfId="9071"/>
    <cellStyle name="Total 3 6 2 2 3 2" xfId="13924"/>
    <cellStyle name="Total 3 6 2 2 4" xfId="10889"/>
    <cellStyle name="Total 3 6 2 3" xfId="6792"/>
    <cellStyle name="Total 3 6 2 3 2" xfId="11647"/>
    <cellStyle name="Total 3 6 2 4" xfId="8313"/>
    <cellStyle name="Total 3 6 2 4 2" xfId="13166"/>
    <cellStyle name="Total 3 6 2 5" xfId="10131"/>
    <cellStyle name="Total 3 6 3" xfId="5655"/>
    <cellStyle name="Total 3 6 3 2" xfId="7172"/>
    <cellStyle name="Total 3 6 3 2 2" xfId="12027"/>
    <cellStyle name="Total 3 6 3 3" xfId="8693"/>
    <cellStyle name="Total 3 6 3 3 2" xfId="13546"/>
    <cellStyle name="Total 3 6 3 4" xfId="10511"/>
    <cellStyle name="Total 3 6 4" xfId="6414"/>
    <cellStyle name="Total 3 6 4 2" xfId="11269"/>
    <cellStyle name="Total 3 6 5" xfId="7935"/>
    <cellStyle name="Total 3 6 5 2" xfId="12788"/>
    <cellStyle name="Total 3 6 6" xfId="9753"/>
    <cellStyle name="Total 3 7" xfId="4674"/>
    <cellStyle name="Total 3 7 2" xfId="5275"/>
    <cellStyle name="Total 3 7 2 2" xfId="6034"/>
    <cellStyle name="Total 3 7 2 2 2" xfId="7551"/>
    <cellStyle name="Total 3 7 2 2 2 2" xfId="12406"/>
    <cellStyle name="Total 3 7 2 2 3" xfId="9072"/>
    <cellStyle name="Total 3 7 2 2 3 2" xfId="13925"/>
    <cellStyle name="Total 3 7 2 2 4" xfId="10890"/>
    <cellStyle name="Total 3 7 2 3" xfId="6793"/>
    <cellStyle name="Total 3 7 2 3 2" xfId="11648"/>
    <cellStyle name="Total 3 7 2 4" xfId="8314"/>
    <cellStyle name="Total 3 7 2 4 2" xfId="13167"/>
    <cellStyle name="Total 3 7 2 5" xfId="10132"/>
    <cellStyle name="Total 3 7 3" xfId="5656"/>
    <cellStyle name="Total 3 7 3 2" xfId="7173"/>
    <cellStyle name="Total 3 7 3 2 2" xfId="12028"/>
    <cellStyle name="Total 3 7 3 3" xfId="8694"/>
    <cellStyle name="Total 3 7 3 3 2" xfId="13547"/>
    <cellStyle name="Total 3 7 3 4" xfId="10512"/>
    <cellStyle name="Total 3 7 4" xfId="6415"/>
    <cellStyle name="Total 3 7 4 2" xfId="11270"/>
    <cellStyle name="Total 3 7 5" xfId="7936"/>
    <cellStyle name="Total 3 7 5 2" xfId="12789"/>
    <cellStyle name="Total 3 7 6" xfId="9754"/>
    <cellStyle name="Total 3 8" xfId="4675"/>
    <cellStyle name="Total 3 8 2" xfId="5276"/>
    <cellStyle name="Total 3 8 2 2" xfId="6035"/>
    <cellStyle name="Total 3 8 2 2 2" xfId="7552"/>
    <cellStyle name="Total 3 8 2 2 2 2" xfId="12407"/>
    <cellStyle name="Total 3 8 2 2 3" xfId="9073"/>
    <cellStyle name="Total 3 8 2 2 3 2" xfId="13926"/>
    <cellStyle name="Total 3 8 2 2 4" xfId="10891"/>
    <cellStyle name="Total 3 8 2 3" xfId="6794"/>
    <cellStyle name="Total 3 8 2 3 2" xfId="11649"/>
    <cellStyle name="Total 3 8 2 4" xfId="8315"/>
    <cellStyle name="Total 3 8 2 4 2" xfId="13168"/>
    <cellStyle name="Total 3 8 2 5" xfId="10133"/>
    <cellStyle name="Total 3 8 3" xfId="5657"/>
    <cellStyle name="Total 3 8 3 2" xfId="7174"/>
    <cellStyle name="Total 3 8 3 2 2" xfId="12029"/>
    <cellStyle name="Total 3 8 3 3" xfId="8695"/>
    <cellStyle name="Total 3 8 3 3 2" xfId="13548"/>
    <cellStyle name="Total 3 8 3 4" xfId="10513"/>
    <cellStyle name="Total 3 8 4" xfId="6416"/>
    <cellStyle name="Total 3 8 4 2" xfId="11271"/>
    <cellStyle name="Total 3 8 5" xfId="7937"/>
    <cellStyle name="Total 3 8 5 2" xfId="12790"/>
    <cellStyle name="Total 3 8 6" xfId="9755"/>
    <cellStyle name="Total 3 9" xfId="4676"/>
    <cellStyle name="Total 3 9 2" xfId="5277"/>
    <cellStyle name="Total 3 9 2 2" xfId="6036"/>
    <cellStyle name="Total 3 9 2 2 2" xfId="7553"/>
    <cellStyle name="Total 3 9 2 2 2 2" xfId="12408"/>
    <cellStyle name="Total 3 9 2 2 3" xfId="9074"/>
    <cellStyle name="Total 3 9 2 2 3 2" xfId="13927"/>
    <cellStyle name="Total 3 9 2 2 4" xfId="10892"/>
    <cellStyle name="Total 3 9 2 3" xfId="6795"/>
    <cellStyle name="Total 3 9 2 3 2" xfId="11650"/>
    <cellStyle name="Total 3 9 2 4" xfId="8316"/>
    <cellStyle name="Total 3 9 2 4 2" xfId="13169"/>
    <cellStyle name="Total 3 9 2 5" xfId="10134"/>
    <cellStyle name="Total 3 9 3" xfId="5658"/>
    <cellStyle name="Total 3 9 3 2" xfId="7175"/>
    <cellStyle name="Total 3 9 3 2 2" xfId="12030"/>
    <cellStyle name="Total 3 9 3 3" xfId="8696"/>
    <cellStyle name="Total 3 9 3 3 2" xfId="13549"/>
    <cellStyle name="Total 3 9 3 4" xfId="10514"/>
    <cellStyle name="Total 3 9 4" xfId="6417"/>
    <cellStyle name="Total 3 9 4 2" xfId="11272"/>
    <cellStyle name="Total 3 9 5" xfId="7938"/>
    <cellStyle name="Total 3 9 5 2" xfId="12791"/>
    <cellStyle name="Total 3 9 6" xfId="9756"/>
    <cellStyle name="Total 4" xfId="4677"/>
    <cellStyle name="Total 4 2" xfId="4678"/>
    <cellStyle name="Total 4 2 2" xfId="5279"/>
    <cellStyle name="Total 4 2 2 2" xfId="6038"/>
    <cellStyle name="Total 4 2 2 2 2" xfId="7555"/>
    <cellStyle name="Total 4 2 2 2 2 2" xfId="12410"/>
    <cellStyle name="Total 4 2 2 2 3" xfId="9076"/>
    <cellStyle name="Total 4 2 2 2 3 2" xfId="13929"/>
    <cellStyle name="Total 4 2 2 2 4" xfId="10894"/>
    <cellStyle name="Total 4 2 2 3" xfId="6797"/>
    <cellStyle name="Total 4 2 2 3 2" xfId="11652"/>
    <cellStyle name="Total 4 2 2 4" xfId="8318"/>
    <cellStyle name="Total 4 2 2 4 2" xfId="13171"/>
    <cellStyle name="Total 4 2 2 5" xfId="10136"/>
    <cellStyle name="Total 4 2 3" xfId="5660"/>
    <cellStyle name="Total 4 2 3 2" xfId="7177"/>
    <cellStyle name="Total 4 2 3 2 2" xfId="12032"/>
    <cellStyle name="Total 4 2 3 3" xfId="8698"/>
    <cellStyle name="Total 4 2 3 3 2" xfId="13551"/>
    <cellStyle name="Total 4 2 3 4" xfId="10516"/>
    <cellStyle name="Total 4 2 4" xfId="6419"/>
    <cellStyle name="Total 4 2 4 2" xfId="11274"/>
    <cellStyle name="Total 4 2 5" xfId="7940"/>
    <cellStyle name="Total 4 2 5 2" xfId="12793"/>
    <cellStyle name="Total 4 2 6" xfId="9758"/>
    <cellStyle name="Total 4 3" xfId="4679"/>
    <cellStyle name="Total 4 3 2" xfId="5280"/>
    <cellStyle name="Total 4 3 2 2" xfId="6039"/>
    <cellStyle name="Total 4 3 2 2 2" xfId="7556"/>
    <cellStyle name="Total 4 3 2 2 2 2" xfId="12411"/>
    <cellStyle name="Total 4 3 2 2 3" xfId="9077"/>
    <cellStyle name="Total 4 3 2 2 3 2" xfId="13930"/>
    <cellStyle name="Total 4 3 2 2 4" xfId="10895"/>
    <cellStyle name="Total 4 3 2 3" xfId="6798"/>
    <cellStyle name="Total 4 3 2 3 2" xfId="11653"/>
    <cellStyle name="Total 4 3 2 4" xfId="8319"/>
    <cellStyle name="Total 4 3 2 4 2" xfId="13172"/>
    <cellStyle name="Total 4 3 2 5" xfId="10137"/>
    <cellStyle name="Total 4 3 3" xfId="5661"/>
    <cellStyle name="Total 4 3 3 2" xfId="7178"/>
    <cellStyle name="Total 4 3 3 2 2" xfId="12033"/>
    <cellStyle name="Total 4 3 3 3" xfId="8699"/>
    <cellStyle name="Total 4 3 3 3 2" xfId="13552"/>
    <cellStyle name="Total 4 3 3 4" xfId="10517"/>
    <cellStyle name="Total 4 3 4" xfId="6420"/>
    <cellStyle name="Total 4 3 4 2" xfId="11275"/>
    <cellStyle name="Total 4 3 5" xfId="7941"/>
    <cellStyle name="Total 4 3 5 2" xfId="12794"/>
    <cellStyle name="Total 4 3 6" xfId="9759"/>
    <cellStyle name="Total 4 4" xfId="5278"/>
    <cellStyle name="Total 4 4 2" xfId="6037"/>
    <cellStyle name="Total 4 4 2 2" xfId="7554"/>
    <cellStyle name="Total 4 4 2 2 2" xfId="12409"/>
    <cellStyle name="Total 4 4 2 3" xfId="9075"/>
    <cellStyle name="Total 4 4 2 3 2" xfId="13928"/>
    <cellStyle name="Total 4 4 2 4" xfId="10893"/>
    <cellStyle name="Total 4 4 3" xfId="6796"/>
    <cellStyle name="Total 4 4 3 2" xfId="11651"/>
    <cellStyle name="Total 4 4 4" xfId="8317"/>
    <cellStyle name="Total 4 4 4 2" xfId="13170"/>
    <cellStyle name="Total 4 4 5" xfId="10135"/>
    <cellStyle name="Total 4 5" xfId="5659"/>
    <cellStyle name="Total 4 5 2" xfId="7176"/>
    <cellStyle name="Total 4 5 2 2" xfId="12031"/>
    <cellStyle name="Total 4 5 3" xfId="8697"/>
    <cellStyle name="Total 4 5 3 2" xfId="13550"/>
    <cellStyle name="Total 4 5 4" xfId="10515"/>
    <cellStyle name="Total 4 6" xfId="6418"/>
    <cellStyle name="Total 4 6 2" xfId="11273"/>
    <cellStyle name="Total 4 7" xfId="7939"/>
    <cellStyle name="Total 4 7 2" xfId="12792"/>
    <cellStyle name="Total 4 8" xfId="9757"/>
    <cellStyle name="Total 5" xfId="4680"/>
    <cellStyle name="Total 5 2" xfId="4681"/>
    <cellStyle name="Total 5 2 2" xfId="5282"/>
    <cellStyle name="Total 5 2 2 2" xfId="6041"/>
    <cellStyle name="Total 5 2 2 2 2" xfId="7558"/>
    <cellStyle name="Total 5 2 2 2 2 2" xfId="12413"/>
    <cellStyle name="Total 5 2 2 2 3" xfId="9079"/>
    <cellStyle name="Total 5 2 2 2 3 2" xfId="13932"/>
    <cellStyle name="Total 5 2 2 2 4" xfId="10897"/>
    <cellStyle name="Total 5 2 2 3" xfId="6800"/>
    <cellStyle name="Total 5 2 2 3 2" xfId="11655"/>
    <cellStyle name="Total 5 2 2 4" xfId="8321"/>
    <cellStyle name="Total 5 2 2 4 2" xfId="13174"/>
    <cellStyle name="Total 5 2 2 5" xfId="10139"/>
    <cellStyle name="Total 5 2 3" xfId="5663"/>
    <cellStyle name="Total 5 2 3 2" xfId="7180"/>
    <cellStyle name="Total 5 2 3 2 2" xfId="12035"/>
    <cellStyle name="Total 5 2 3 3" xfId="8701"/>
    <cellStyle name="Total 5 2 3 3 2" xfId="13554"/>
    <cellStyle name="Total 5 2 3 4" xfId="10519"/>
    <cellStyle name="Total 5 2 4" xfId="6422"/>
    <cellStyle name="Total 5 2 4 2" xfId="11277"/>
    <cellStyle name="Total 5 2 5" xfId="7943"/>
    <cellStyle name="Total 5 2 5 2" xfId="12796"/>
    <cellStyle name="Total 5 2 6" xfId="9761"/>
    <cellStyle name="Total 5 3" xfId="4682"/>
    <cellStyle name="Total 5 3 2" xfId="5283"/>
    <cellStyle name="Total 5 3 2 2" xfId="6042"/>
    <cellStyle name="Total 5 3 2 2 2" xfId="7559"/>
    <cellStyle name="Total 5 3 2 2 2 2" xfId="12414"/>
    <cellStyle name="Total 5 3 2 2 3" xfId="9080"/>
    <cellStyle name="Total 5 3 2 2 3 2" xfId="13933"/>
    <cellStyle name="Total 5 3 2 2 4" xfId="10898"/>
    <cellStyle name="Total 5 3 2 3" xfId="6801"/>
    <cellStyle name="Total 5 3 2 3 2" xfId="11656"/>
    <cellStyle name="Total 5 3 2 4" xfId="8322"/>
    <cellStyle name="Total 5 3 2 4 2" xfId="13175"/>
    <cellStyle name="Total 5 3 2 5" xfId="10140"/>
    <cellStyle name="Total 5 3 3" xfId="5664"/>
    <cellStyle name="Total 5 3 3 2" xfId="7181"/>
    <cellStyle name="Total 5 3 3 2 2" xfId="12036"/>
    <cellStyle name="Total 5 3 3 3" xfId="8702"/>
    <cellStyle name="Total 5 3 3 3 2" xfId="13555"/>
    <cellStyle name="Total 5 3 3 4" xfId="10520"/>
    <cellStyle name="Total 5 3 4" xfId="6423"/>
    <cellStyle name="Total 5 3 4 2" xfId="11278"/>
    <cellStyle name="Total 5 3 5" xfId="7944"/>
    <cellStyle name="Total 5 3 5 2" xfId="12797"/>
    <cellStyle name="Total 5 3 6" xfId="9762"/>
    <cellStyle name="Total 5 4" xfId="5281"/>
    <cellStyle name="Total 5 4 2" xfId="6040"/>
    <cellStyle name="Total 5 4 2 2" xfId="7557"/>
    <cellStyle name="Total 5 4 2 2 2" xfId="12412"/>
    <cellStyle name="Total 5 4 2 3" xfId="9078"/>
    <cellStyle name="Total 5 4 2 3 2" xfId="13931"/>
    <cellStyle name="Total 5 4 2 4" xfId="10896"/>
    <cellStyle name="Total 5 4 3" xfId="6799"/>
    <cellStyle name="Total 5 4 3 2" xfId="11654"/>
    <cellStyle name="Total 5 4 4" xfId="8320"/>
    <cellStyle name="Total 5 4 4 2" xfId="13173"/>
    <cellStyle name="Total 5 4 5" xfId="10138"/>
    <cellStyle name="Total 5 5" xfId="5662"/>
    <cellStyle name="Total 5 5 2" xfId="7179"/>
    <cellStyle name="Total 5 5 2 2" xfId="12034"/>
    <cellStyle name="Total 5 5 3" xfId="8700"/>
    <cellStyle name="Total 5 5 3 2" xfId="13553"/>
    <cellStyle name="Total 5 5 4" xfId="10518"/>
    <cellStyle name="Total 5 6" xfId="6421"/>
    <cellStyle name="Total 5 6 2" xfId="11276"/>
    <cellStyle name="Total 5 7" xfId="7942"/>
    <cellStyle name="Total 5 7 2" xfId="12795"/>
    <cellStyle name="Total 5 8" xfId="9760"/>
    <cellStyle name="Total 6" xfId="4683"/>
    <cellStyle name="Total 6 2" xfId="4684"/>
    <cellStyle name="Total 6 2 2" xfId="5285"/>
    <cellStyle name="Total 6 2 2 2" xfId="6044"/>
    <cellStyle name="Total 6 2 2 2 2" xfId="7561"/>
    <cellStyle name="Total 6 2 2 2 2 2" xfId="12416"/>
    <cellStyle name="Total 6 2 2 2 3" xfId="9082"/>
    <cellStyle name="Total 6 2 2 2 3 2" xfId="13935"/>
    <cellStyle name="Total 6 2 2 2 4" xfId="10900"/>
    <cellStyle name="Total 6 2 2 3" xfId="6803"/>
    <cellStyle name="Total 6 2 2 3 2" xfId="11658"/>
    <cellStyle name="Total 6 2 2 4" xfId="8324"/>
    <cellStyle name="Total 6 2 2 4 2" xfId="13177"/>
    <cellStyle name="Total 6 2 2 5" xfId="10142"/>
    <cellStyle name="Total 6 2 3" xfId="5666"/>
    <cellStyle name="Total 6 2 3 2" xfId="7183"/>
    <cellStyle name="Total 6 2 3 2 2" xfId="12038"/>
    <cellStyle name="Total 6 2 3 3" xfId="8704"/>
    <cellStyle name="Total 6 2 3 3 2" xfId="13557"/>
    <cellStyle name="Total 6 2 3 4" xfId="10522"/>
    <cellStyle name="Total 6 2 4" xfId="6425"/>
    <cellStyle name="Total 6 2 4 2" xfId="11280"/>
    <cellStyle name="Total 6 2 5" xfId="7946"/>
    <cellStyle name="Total 6 2 5 2" xfId="12799"/>
    <cellStyle name="Total 6 2 6" xfId="9764"/>
    <cellStyle name="Total 6 3" xfId="4685"/>
    <cellStyle name="Total 6 3 2" xfId="5286"/>
    <cellStyle name="Total 6 3 2 2" xfId="6045"/>
    <cellStyle name="Total 6 3 2 2 2" xfId="7562"/>
    <cellStyle name="Total 6 3 2 2 2 2" xfId="12417"/>
    <cellStyle name="Total 6 3 2 2 3" xfId="9083"/>
    <cellStyle name="Total 6 3 2 2 3 2" xfId="13936"/>
    <cellStyle name="Total 6 3 2 2 4" xfId="10901"/>
    <cellStyle name="Total 6 3 2 3" xfId="6804"/>
    <cellStyle name="Total 6 3 2 3 2" xfId="11659"/>
    <cellStyle name="Total 6 3 2 4" xfId="8325"/>
    <cellStyle name="Total 6 3 2 4 2" xfId="13178"/>
    <cellStyle name="Total 6 3 2 5" xfId="10143"/>
    <cellStyle name="Total 6 3 3" xfId="5667"/>
    <cellStyle name="Total 6 3 3 2" xfId="7184"/>
    <cellStyle name="Total 6 3 3 2 2" xfId="12039"/>
    <cellStyle name="Total 6 3 3 3" xfId="8705"/>
    <cellStyle name="Total 6 3 3 3 2" xfId="13558"/>
    <cellStyle name="Total 6 3 3 4" xfId="10523"/>
    <cellStyle name="Total 6 3 4" xfId="6426"/>
    <cellStyle name="Total 6 3 4 2" xfId="11281"/>
    <cellStyle name="Total 6 3 5" xfId="7947"/>
    <cellStyle name="Total 6 3 5 2" xfId="12800"/>
    <cellStyle name="Total 6 3 6" xfId="9765"/>
    <cellStyle name="Total 6 4" xfId="5284"/>
    <cellStyle name="Total 6 4 2" xfId="6043"/>
    <cellStyle name="Total 6 4 2 2" xfId="7560"/>
    <cellStyle name="Total 6 4 2 2 2" xfId="12415"/>
    <cellStyle name="Total 6 4 2 3" xfId="9081"/>
    <cellStyle name="Total 6 4 2 3 2" xfId="13934"/>
    <cellStyle name="Total 6 4 2 4" xfId="10899"/>
    <cellStyle name="Total 6 4 3" xfId="6802"/>
    <cellStyle name="Total 6 4 3 2" xfId="11657"/>
    <cellStyle name="Total 6 4 4" xfId="8323"/>
    <cellStyle name="Total 6 4 4 2" xfId="13176"/>
    <cellStyle name="Total 6 4 5" xfId="10141"/>
    <cellStyle name="Total 6 5" xfId="5665"/>
    <cellStyle name="Total 6 5 2" xfId="7182"/>
    <cellStyle name="Total 6 5 2 2" xfId="12037"/>
    <cellStyle name="Total 6 5 3" xfId="8703"/>
    <cellStyle name="Total 6 5 3 2" xfId="13556"/>
    <cellStyle name="Total 6 5 4" xfId="10521"/>
    <cellStyle name="Total 6 6" xfId="6424"/>
    <cellStyle name="Total 6 6 2" xfId="11279"/>
    <cellStyle name="Total 6 7" xfId="7945"/>
    <cellStyle name="Total 6 7 2" xfId="12798"/>
    <cellStyle name="Total 6 8" xfId="9763"/>
    <cellStyle name="Total 7" xfId="4686"/>
    <cellStyle name="Total 7 2" xfId="4687"/>
    <cellStyle name="Total 7 2 2" xfId="5288"/>
    <cellStyle name="Total 7 2 2 2" xfId="6047"/>
    <cellStyle name="Total 7 2 2 2 2" xfId="7564"/>
    <cellStyle name="Total 7 2 2 2 2 2" xfId="12419"/>
    <cellStyle name="Total 7 2 2 2 3" xfId="9085"/>
    <cellStyle name="Total 7 2 2 2 3 2" xfId="13938"/>
    <cellStyle name="Total 7 2 2 2 4" xfId="10903"/>
    <cellStyle name="Total 7 2 2 3" xfId="6806"/>
    <cellStyle name="Total 7 2 2 3 2" xfId="11661"/>
    <cellStyle name="Total 7 2 2 4" xfId="8327"/>
    <cellStyle name="Total 7 2 2 4 2" xfId="13180"/>
    <cellStyle name="Total 7 2 2 5" xfId="10145"/>
    <cellStyle name="Total 7 2 3" xfId="5669"/>
    <cellStyle name="Total 7 2 3 2" xfId="7186"/>
    <cellStyle name="Total 7 2 3 2 2" xfId="12041"/>
    <cellStyle name="Total 7 2 3 3" xfId="8707"/>
    <cellStyle name="Total 7 2 3 3 2" xfId="13560"/>
    <cellStyle name="Total 7 2 3 4" xfId="10525"/>
    <cellStyle name="Total 7 2 4" xfId="6428"/>
    <cellStyle name="Total 7 2 4 2" xfId="11283"/>
    <cellStyle name="Total 7 2 5" xfId="7949"/>
    <cellStyle name="Total 7 2 5 2" xfId="12802"/>
    <cellStyle name="Total 7 2 6" xfId="9767"/>
    <cellStyle name="Total 7 3" xfId="4688"/>
    <cellStyle name="Total 7 3 2" xfId="5289"/>
    <cellStyle name="Total 7 3 2 2" xfId="6048"/>
    <cellStyle name="Total 7 3 2 2 2" xfId="7565"/>
    <cellStyle name="Total 7 3 2 2 2 2" xfId="12420"/>
    <cellStyle name="Total 7 3 2 2 3" xfId="9086"/>
    <cellStyle name="Total 7 3 2 2 3 2" xfId="13939"/>
    <cellStyle name="Total 7 3 2 2 4" xfId="10904"/>
    <cellStyle name="Total 7 3 2 3" xfId="6807"/>
    <cellStyle name="Total 7 3 2 3 2" xfId="11662"/>
    <cellStyle name="Total 7 3 2 4" xfId="8328"/>
    <cellStyle name="Total 7 3 2 4 2" xfId="13181"/>
    <cellStyle name="Total 7 3 2 5" xfId="10146"/>
    <cellStyle name="Total 7 3 3" xfId="5670"/>
    <cellStyle name="Total 7 3 3 2" xfId="7187"/>
    <cellStyle name="Total 7 3 3 2 2" xfId="12042"/>
    <cellStyle name="Total 7 3 3 3" xfId="8708"/>
    <cellStyle name="Total 7 3 3 3 2" xfId="13561"/>
    <cellStyle name="Total 7 3 3 4" xfId="10526"/>
    <cellStyle name="Total 7 3 4" xfId="6429"/>
    <cellStyle name="Total 7 3 4 2" xfId="11284"/>
    <cellStyle name="Total 7 3 5" xfId="7950"/>
    <cellStyle name="Total 7 3 5 2" xfId="12803"/>
    <cellStyle name="Total 7 3 6" xfId="9768"/>
    <cellStyle name="Total 7 4" xfId="5287"/>
    <cellStyle name="Total 7 4 2" xfId="6046"/>
    <cellStyle name="Total 7 4 2 2" xfId="7563"/>
    <cellStyle name="Total 7 4 2 2 2" xfId="12418"/>
    <cellStyle name="Total 7 4 2 3" xfId="9084"/>
    <cellStyle name="Total 7 4 2 3 2" xfId="13937"/>
    <cellStyle name="Total 7 4 2 4" xfId="10902"/>
    <cellStyle name="Total 7 4 3" xfId="6805"/>
    <cellStyle name="Total 7 4 3 2" xfId="11660"/>
    <cellStyle name="Total 7 4 4" xfId="8326"/>
    <cellStyle name="Total 7 4 4 2" xfId="13179"/>
    <cellStyle name="Total 7 4 5" xfId="10144"/>
    <cellStyle name="Total 7 5" xfId="5668"/>
    <cellStyle name="Total 7 5 2" xfId="7185"/>
    <cellStyle name="Total 7 5 2 2" xfId="12040"/>
    <cellStyle name="Total 7 5 3" xfId="8706"/>
    <cellStyle name="Total 7 5 3 2" xfId="13559"/>
    <cellStyle name="Total 7 5 4" xfId="10524"/>
    <cellStyle name="Total 7 6" xfId="6427"/>
    <cellStyle name="Total 7 6 2" xfId="11282"/>
    <cellStyle name="Total 7 7" xfId="7948"/>
    <cellStyle name="Total 7 7 2" xfId="12801"/>
    <cellStyle name="Total 7 8" xfId="9766"/>
    <cellStyle name="Total 8" xfId="4689"/>
    <cellStyle name="Total 8 2" xfId="4690"/>
    <cellStyle name="Total 8 2 2" xfId="5291"/>
    <cellStyle name="Total 8 2 2 2" xfId="6050"/>
    <cellStyle name="Total 8 2 2 2 2" xfId="7567"/>
    <cellStyle name="Total 8 2 2 2 2 2" xfId="12422"/>
    <cellStyle name="Total 8 2 2 2 3" xfId="9088"/>
    <cellStyle name="Total 8 2 2 2 3 2" xfId="13941"/>
    <cellStyle name="Total 8 2 2 2 4" xfId="10906"/>
    <cellStyle name="Total 8 2 2 3" xfId="6809"/>
    <cellStyle name="Total 8 2 2 3 2" xfId="11664"/>
    <cellStyle name="Total 8 2 2 4" xfId="8330"/>
    <cellStyle name="Total 8 2 2 4 2" xfId="13183"/>
    <cellStyle name="Total 8 2 2 5" xfId="10148"/>
    <cellStyle name="Total 8 2 3" xfId="5672"/>
    <cellStyle name="Total 8 2 3 2" xfId="7189"/>
    <cellStyle name="Total 8 2 3 2 2" xfId="12044"/>
    <cellStyle name="Total 8 2 3 3" xfId="8710"/>
    <cellStyle name="Total 8 2 3 3 2" xfId="13563"/>
    <cellStyle name="Total 8 2 3 4" xfId="10528"/>
    <cellStyle name="Total 8 2 4" xfId="6431"/>
    <cellStyle name="Total 8 2 4 2" xfId="11286"/>
    <cellStyle name="Total 8 2 5" xfId="7952"/>
    <cellStyle name="Total 8 2 5 2" xfId="12805"/>
    <cellStyle name="Total 8 2 6" xfId="9770"/>
    <cellStyle name="Total 8 3" xfId="4691"/>
    <cellStyle name="Total 8 3 2" xfId="5292"/>
    <cellStyle name="Total 8 3 2 2" xfId="6051"/>
    <cellStyle name="Total 8 3 2 2 2" xfId="7568"/>
    <cellStyle name="Total 8 3 2 2 2 2" xfId="12423"/>
    <cellStyle name="Total 8 3 2 2 3" xfId="9089"/>
    <cellStyle name="Total 8 3 2 2 3 2" xfId="13942"/>
    <cellStyle name="Total 8 3 2 2 4" xfId="10907"/>
    <cellStyle name="Total 8 3 2 3" xfId="6810"/>
    <cellStyle name="Total 8 3 2 3 2" xfId="11665"/>
    <cellStyle name="Total 8 3 2 4" xfId="8331"/>
    <cellStyle name="Total 8 3 2 4 2" xfId="13184"/>
    <cellStyle name="Total 8 3 2 5" xfId="10149"/>
    <cellStyle name="Total 8 3 3" xfId="5673"/>
    <cellStyle name="Total 8 3 3 2" xfId="7190"/>
    <cellStyle name="Total 8 3 3 2 2" xfId="12045"/>
    <cellStyle name="Total 8 3 3 3" xfId="8711"/>
    <cellStyle name="Total 8 3 3 3 2" xfId="13564"/>
    <cellStyle name="Total 8 3 3 4" xfId="10529"/>
    <cellStyle name="Total 8 3 4" xfId="6432"/>
    <cellStyle name="Total 8 3 4 2" xfId="11287"/>
    <cellStyle name="Total 8 3 5" xfId="7953"/>
    <cellStyle name="Total 8 3 5 2" xfId="12806"/>
    <cellStyle name="Total 8 3 6" xfId="9771"/>
    <cellStyle name="Total 8 4" xfId="5290"/>
    <cellStyle name="Total 8 4 2" xfId="6049"/>
    <cellStyle name="Total 8 4 2 2" xfId="7566"/>
    <cellStyle name="Total 8 4 2 2 2" xfId="12421"/>
    <cellStyle name="Total 8 4 2 3" xfId="9087"/>
    <cellStyle name="Total 8 4 2 3 2" xfId="13940"/>
    <cellStyle name="Total 8 4 2 4" xfId="10905"/>
    <cellStyle name="Total 8 4 3" xfId="6808"/>
    <cellStyle name="Total 8 4 3 2" xfId="11663"/>
    <cellStyle name="Total 8 4 4" xfId="8329"/>
    <cellStyle name="Total 8 4 4 2" xfId="13182"/>
    <cellStyle name="Total 8 4 5" xfId="10147"/>
    <cellStyle name="Total 8 5" xfId="5671"/>
    <cellStyle name="Total 8 5 2" xfId="7188"/>
    <cellStyle name="Total 8 5 2 2" xfId="12043"/>
    <cellStyle name="Total 8 5 3" xfId="8709"/>
    <cellStyle name="Total 8 5 3 2" xfId="13562"/>
    <cellStyle name="Total 8 5 4" xfId="10527"/>
    <cellStyle name="Total 8 6" xfId="6430"/>
    <cellStyle name="Total 8 6 2" xfId="11285"/>
    <cellStyle name="Total 8 7" xfId="7951"/>
    <cellStyle name="Total 8 7 2" xfId="12804"/>
    <cellStyle name="Total 8 8" xfId="9769"/>
    <cellStyle name="Total 9" xfId="4692"/>
    <cellStyle name="Total 9 10" xfId="9772"/>
    <cellStyle name="Total 9 2" xfId="4693"/>
    <cellStyle name="Total 9 2 2" xfId="4694"/>
    <cellStyle name="Total 9 2 2 2" xfId="5295"/>
    <cellStyle name="Total 9 2 2 2 2" xfId="6054"/>
    <cellStyle name="Total 9 2 2 2 2 2" xfId="7571"/>
    <cellStyle name="Total 9 2 2 2 2 2 2" xfId="12426"/>
    <cellStyle name="Total 9 2 2 2 2 3" xfId="9092"/>
    <cellStyle name="Total 9 2 2 2 2 3 2" xfId="13945"/>
    <cellStyle name="Total 9 2 2 2 2 4" xfId="10910"/>
    <cellStyle name="Total 9 2 2 2 3" xfId="6813"/>
    <cellStyle name="Total 9 2 2 2 3 2" xfId="11668"/>
    <cellStyle name="Total 9 2 2 2 4" xfId="8334"/>
    <cellStyle name="Total 9 2 2 2 4 2" xfId="13187"/>
    <cellStyle name="Total 9 2 2 2 5" xfId="10152"/>
    <cellStyle name="Total 9 2 2 3" xfId="5676"/>
    <cellStyle name="Total 9 2 2 3 2" xfId="7193"/>
    <cellStyle name="Total 9 2 2 3 2 2" xfId="12048"/>
    <cellStyle name="Total 9 2 2 3 3" xfId="8714"/>
    <cellStyle name="Total 9 2 2 3 3 2" xfId="13567"/>
    <cellStyle name="Total 9 2 2 3 4" xfId="10532"/>
    <cellStyle name="Total 9 2 2 4" xfId="6435"/>
    <cellStyle name="Total 9 2 2 4 2" xfId="11290"/>
    <cellStyle name="Total 9 2 2 5" xfId="7956"/>
    <cellStyle name="Total 9 2 2 5 2" xfId="12809"/>
    <cellStyle name="Total 9 2 2 6" xfId="9774"/>
    <cellStyle name="Total 9 2 3" xfId="5294"/>
    <cellStyle name="Total 9 2 3 2" xfId="6053"/>
    <cellStyle name="Total 9 2 3 2 2" xfId="7570"/>
    <cellStyle name="Total 9 2 3 2 2 2" xfId="12425"/>
    <cellStyle name="Total 9 2 3 2 3" xfId="9091"/>
    <cellStyle name="Total 9 2 3 2 3 2" xfId="13944"/>
    <cellStyle name="Total 9 2 3 2 4" xfId="10909"/>
    <cellStyle name="Total 9 2 3 3" xfId="6812"/>
    <cellStyle name="Total 9 2 3 3 2" xfId="11667"/>
    <cellStyle name="Total 9 2 3 4" xfId="8333"/>
    <cellStyle name="Total 9 2 3 4 2" xfId="13186"/>
    <cellStyle name="Total 9 2 3 5" xfId="10151"/>
    <cellStyle name="Total 9 2 4" xfId="5675"/>
    <cellStyle name="Total 9 2 4 2" xfId="7192"/>
    <cellStyle name="Total 9 2 4 2 2" xfId="12047"/>
    <cellStyle name="Total 9 2 4 3" xfId="8713"/>
    <cellStyle name="Total 9 2 4 3 2" xfId="13566"/>
    <cellStyle name="Total 9 2 4 4" xfId="10531"/>
    <cellStyle name="Total 9 2 5" xfId="6434"/>
    <cellStyle name="Total 9 2 5 2" xfId="11289"/>
    <cellStyle name="Total 9 2 6" xfId="7955"/>
    <cellStyle name="Total 9 2 6 2" xfId="12808"/>
    <cellStyle name="Total 9 2 7" xfId="9773"/>
    <cellStyle name="Total 9 3" xfId="4695"/>
    <cellStyle name="Total 9 3 2" xfId="5296"/>
    <cellStyle name="Total 9 3 2 2" xfId="6055"/>
    <cellStyle name="Total 9 3 2 2 2" xfId="7572"/>
    <cellStyle name="Total 9 3 2 2 2 2" xfId="12427"/>
    <cellStyle name="Total 9 3 2 2 3" xfId="9093"/>
    <cellStyle name="Total 9 3 2 2 3 2" xfId="13946"/>
    <cellStyle name="Total 9 3 2 2 4" xfId="10911"/>
    <cellStyle name="Total 9 3 2 3" xfId="6814"/>
    <cellStyle name="Total 9 3 2 3 2" xfId="11669"/>
    <cellStyle name="Total 9 3 2 4" xfId="8335"/>
    <cellStyle name="Total 9 3 2 4 2" xfId="13188"/>
    <cellStyle name="Total 9 3 2 5" xfId="10153"/>
    <cellStyle name="Total 9 3 3" xfId="5677"/>
    <cellStyle name="Total 9 3 3 2" xfId="7194"/>
    <cellStyle name="Total 9 3 3 2 2" xfId="12049"/>
    <cellStyle name="Total 9 3 3 3" xfId="8715"/>
    <cellStyle name="Total 9 3 3 3 2" xfId="13568"/>
    <cellStyle name="Total 9 3 3 4" xfId="10533"/>
    <cellStyle name="Total 9 3 4" xfId="6436"/>
    <cellStyle name="Total 9 3 4 2" xfId="11291"/>
    <cellStyle name="Total 9 3 5" xfId="7957"/>
    <cellStyle name="Total 9 3 5 2" xfId="12810"/>
    <cellStyle name="Total 9 3 6" xfId="9775"/>
    <cellStyle name="Total 9 4" xfId="4696"/>
    <cellStyle name="Total 9 4 2" xfId="5297"/>
    <cellStyle name="Total 9 4 2 2" xfId="6056"/>
    <cellStyle name="Total 9 4 2 2 2" xfId="7573"/>
    <cellStyle name="Total 9 4 2 2 2 2" xfId="12428"/>
    <cellStyle name="Total 9 4 2 2 3" xfId="9094"/>
    <cellStyle name="Total 9 4 2 2 3 2" xfId="13947"/>
    <cellStyle name="Total 9 4 2 2 4" xfId="10912"/>
    <cellStyle name="Total 9 4 2 3" xfId="6815"/>
    <cellStyle name="Total 9 4 2 3 2" xfId="11670"/>
    <cellStyle name="Total 9 4 2 4" xfId="8336"/>
    <cellStyle name="Total 9 4 2 4 2" xfId="13189"/>
    <cellStyle name="Total 9 4 2 5" xfId="10154"/>
    <cellStyle name="Total 9 4 3" xfId="5678"/>
    <cellStyle name="Total 9 4 3 2" xfId="7195"/>
    <cellStyle name="Total 9 4 3 2 2" xfId="12050"/>
    <cellStyle name="Total 9 4 3 3" xfId="8716"/>
    <cellStyle name="Total 9 4 3 3 2" xfId="13569"/>
    <cellStyle name="Total 9 4 3 4" xfId="10534"/>
    <cellStyle name="Total 9 4 4" xfId="6437"/>
    <cellStyle name="Total 9 4 4 2" xfId="11292"/>
    <cellStyle name="Total 9 4 5" xfId="7958"/>
    <cellStyle name="Total 9 4 5 2" xfId="12811"/>
    <cellStyle name="Total 9 4 6" xfId="9776"/>
    <cellStyle name="Total 9 5" xfId="4697"/>
    <cellStyle name="Total 9 5 2" xfId="5298"/>
    <cellStyle name="Total 9 5 2 2" xfId="6057"/>
    <cellStyle name="Total 9 5 2 2 2" xfId="7574"/>
    <cellStyle name="Total 9 5 2 2 2 2" xfId="12429"/>
    <cellStyle name="Total 9 5 2 2 3" xfId="9095"/>
    <cellStyle name="Total 9 5 2 2 3 2" xfId="13948"/>
    <cellStyle name="Total 9 5 2 2 4" xfId="10913"/>
    <cellStyle name="Total 9 5 2 3" xfId="6816"/>
    <cellStyle name="Total 9 5 2 3 2" xfId="11671"/>
    <cellStyle name="Total 9 5 2 4" xfId="8337"/>
    <cellStyle name="Total 9 5 2 4 2" xfId="13190"/>
    <cellStyle name="Total 9 5 2 5" xfId="10155"/>
    <cellStyle name="Total 9 5 3" xfId="5679"/>
    <cellStyle name="Total 9 5 3 2" xfId="7196"/>
    <cellStyle name="Total 9 5 3 2 2" xfId="12051"/>
    <cellStyle name="Total 9 5 3 3" xfId="8717"/>
    <cellStyle name="Total 9 5 3 3 2" xfId="13570"/>
    <cellStyle name="Total 9 5 3 4" xfId="10535"/>
    <cellStyle name="Total 9 5 4" xfId="6438"/>
    <cellStyle name="Total 9 5 4 2" xfId="11293"/>
    <cellStyle name="Total 9 5 5" xfId="7959"/>
    <cellStyle name="Total 9 5 5 2" xfId="12812"/>
    <cellStyle name="Total 9 5 6" xfId="9777"/>
    <cellStyle name="Total 9 6" xfId="5293"/>
    <cellStyle name="Total 9 6 2" xfId="6052"/>
    <cellStyle name="Total 9 6 2 2" xfId="7569"/>
    <cellStyle name="Total 9 6 2 2 2" xfId="12424"/>
    <cellStyle name="Total 9 6 2 3" xfId="9090"/>
    <cellStyle name="Total 9 6 2 3 2" xfId="13943"/>
    <cellStyle name="Total 9 6 2 4" xfId="10908"/>
    <cellStyle name="Total 9 6 3" xfId="6811"/>
    <cellStyle name="Total 9 6 3 2" xfId="11666"/>
    <cellStyle name="Total 9 6 4" xfId="8332"/>
    <cellStyle name="Total 9 6 4 2" xfId="13185"/>
    <cellStyle name="Total 9 6 5" xfId="10150"/>
    <cellStyle name="Total 9 7" xfId="5674"/>
    <cellStyle name="Total 9 7 2" xfId="7191"/>
    <cellStyle name="Total 9 7 2 2" xfId="12046"/>
    <cellStyle name="Total 9 7 3" xfId="8712"/>
    <cellStyle name="Total 9 7 3 2" xfId="13565"/>
    <cellStyle name="Total 9 7 4" xfId="10530"/>
    <cellStyle name="Total 9 8" xfId="6433"/>
    <cellStyle name="Total 9 8 2" xfId="11288"/>
    <cellStyle name="Total 9 9" xfId="7954"/>
    <cellStyle name="Total 9 9 2" xfId="12807"/>
    <cellStyle name="Total Data" xfId="4698"/>
    <cellStyle name="Total Data 2" xfId="5299"/>
    <cellStyle name="Total Data 2 2" xfId="6058"/>
    <cellStyle name="Total Data 2 2 2" xfId="7575"/>
    <cellStyle name="Total Data 2 2 2 2" xfId="12430"/>
    <cellStyle name="Total Data 2 2 3" xfId="9096"/>
    <cellStyle name="Total Data 2 2 3 2" xfId="13949"/>
    <cellStyle name="Total Data 2 2 4" xfId="10914"/>
    <cellStyle name="Total Data 2 3" xfId="6817"/>
    <cellStyle name="Total Data 2 3 2" xfId="11672"/>
    <cellStyle name="Total Data 2 4" xfId="8338"/>
    <cellStyle name="Total Data 2 4 2" xfId="13191"/>
    <cellStyle name="Total Data 2 5" xfId="10156"/>
    <cellStyle name="Total Data 3" xfId="5680"/>
    <cellStyle name="Total Data 3 2" xfId="7197"/>
    <cellStyle name="Total Data 3 2 2" xfId="12052"/>
    <cellStyle name="Total Data 3 3" xfId="8718"/>
    <cellStyle name="Total Data 3 3 2" xfId="13571"/>
    <cellStyle name="Total Data 3 4" xfId="10536"/>
    <cellStyle name="Total Data 4" xfId="6439"/>
    <cellStyle name="Total Data 4 2" xfId="11294"/>
    <cellStyle name="Total Data 5" xfId="7960"/>
    <cellStyle name="Total Data 5 2" xfId="12813"/>
    <cellStyle name="Total Data 6" xfId="9778"/>
    <cellStyle name="Total Row" xfId="9536"/>
    <cellStyle name="Totale" xfId="4699"/>
    <cellStyle name="Totale 10" xfId="4700"/>
    <cellStyle name="Totale 10 2" xfId="5301"/>
    <cellStyle name="Totale 10 2 2" xfId="6060"/>
    <cellStyle name="Totale 10 2 2 2" xfId="7577"/>
    <cellStyle name="Totale 10 2 2 2 2" xfId="12432"/>
    <cellStyle name="Totale 10 2 2 3" xfId="9098"/>
    <cellStyle name="Totale 10 2 2 3 2" xfId="13951"/>
    <cellStyle name="Totale 10 2 2 4" xfId="10916"/>
    <cellStyle name="Totale 10 2 3" xfId="6819"/>
    <cellStyle name="Totale 10 2 3 2" xfId="11674"/>
    <cellStyle name="Totale 10 2 4" xfId="8340"/>
    <cellStyle name="Totale 10 2 4 2" xfId="13193"/>
    <cellStyle name="Totale 10 2 5" xfId="10158"/>
    <cellStyle name="Totale 10 3" xfId="5682"/>
    <cellStyle name="Totale 10 3 2" xfId="7199"/>
    <cellStyle name="Totale 10 3 2 2" xfId="12054"/>
    <cellStyle name="Totale 10 3 3" xfId="8720"/>
    <cellStyle name="Totale 10 3 3 2" xfId="13573"/>
    <cellStyle name="Totale 10 3 4" xfId="10538"/>
    <cellStyle name="Totale 10 4" xfId="6441"/>
    <cellStyle name="Totale 10 4 2" xfId="11296"/>
    <cellStyle name="Totale 10 5" xfId="7962"/>
    <cellStyle name="Totale 10 5 2" xfId="12815"/>
    <cellStyle name="Totale 10 6" xfId="9780"/>
    <cellStyle name="Totale 11" xfId="4701"/>
    <cellStyle name="Totale 11 2" xfId="5302"/>
    <cellStyle name="Totale 11 2 2" xfId="6061"/>
    <cellStyle name="Totale 11 2 2 2" xfId="7578"/>
    <cellStyle name="Totale 11 2 2 2 2" xfId="12433"/>
    <cellStyle name="Totale 11 2 2 3" xfId="9099"/>
    <cellStyle name="Totale 11 2 2 3 2" xfId="13952"/>
    <cellStyle name="Totale 11 2 2 4" xfId="10917"/>
    <cellStyle name="Totale 11 2 3" xfId="6820"/>
    <cellStyle name="Totale 11 2 3 2" xfId="11675"/>
    <cellStyle name="Totale 11 2 4" xfId="8341"/>
    <cellStyle name="Totale 11 2 4 2" xfId="13194"/>
    <cellStyle name="Totale 11 2 5" xfId="10159"/>
    <cellStyle name="Totale 11 3" xfId="5683"/>
    <cellStyle name="Totale 11 3 2" xfId="7200"/>
    <cellStyle name="Totale 11 3 2 2" xfId="12055"/>
    <cellStyle name="Totale 11 3 3" xfId="8721"/>
    <cellStyle name="Totale 11 3 3 2" xfId="13574"/>
    <cellStyle name="Totale 11 3 4" xfId="10539"/>
    <cellStyle name="Totale 11 4" xfId="6442"/>
    <cellStyle name="Totale 11 4 2" xfId="11297"/>
    <cellStyle name="Totale 11 5" xfId="7963"/>
    <cellStyle name="Totale 11 5 2" xfId="12816"/>
    <cellStyle name="Totale 11 6" xfId="9781"/>
    <cellStyle name="Totale 12" xfId="4702"/>
    <cellStyle name="Totale 12 2" xfId="5303"/>
    <cellStyle name="Totale 12 2 2" xfId="6062"/>
    <cellStyle name="Totale 12 2 2 2" xfId="7579"/>
    <cellStyle name="Totale 12 2 2 2 2" xfId="12434"/>
    <cellStyle name="Totale 12 2 2 3" xfId="9100"/>
    <cellStyle name="Totale 12 2 2 3 2" xfId="13953"/>
    <cellStyle name="Totale 12 2 2 4" xfId="10918"/>
    <cellStyle name="Totale 12 2 3" xfId="6821"/>
    <cellStyle name="Totale 12 2 3 2" xfId="11676"/>
    <cellStyle name="Totale 12 2 4" xfId="8342"/>
    <cellStyle name="Totale 12 2 4 2" xfId="13195"/>
    <cellStyle name="Totale 12 2 5" xfId="10160"/>
    <cellStyle name="Totale 12 3" xfId="5684"/>
    <cellStyle name="Totale 12 3 2" xfId="7201"/>
    <cellStyle name="Totale 12 3 2 2" xfId="12056"/>
    <cellStyle name="Totale 12 3 3" xfId="8722"/>
    <cellStyle name="Totale 12 3 3 2" xfId="13575"/>
    <cellStyle name="Totale 12 3 4" xfId="10540"/>
    <cellStyle name="Totale 12 4" xfId="6443"/>
    <cellStyle name="Totale 12 4 2" xfId="11298"/>
    <cellStyle name="Totale 12 5" xfId="7964"/>
    <cellStyle name="Totale 12 5 2" xfId="12817"/>
    <cellStyle name="Totale 12 6" xfId="9782"/>
    <cellStyle name="Totale 13" xfId="5300"/>
    <cellStyle name="Totale 13 2" xfId="6059"/>
    <cellStyle name="Totale 13 2 2" xfId="7576"/>
    <cellStyle name="Totale 13 2 2 2" xfId="12431"/>
    <cellStyle name="Totale 13 2 3" xfId="9097"/>
    <cellStyle name="Totale 13 2 3 2" xfId="13950"/>
    <cellStyle name="Totale 13 2 4" xfId="10915"/>
    <cellStyle name="Totale 13 3" xfId="6818"/>
    <cellStyle name="Totale 13 3 2" xfId="11673"/>
    <cellStyle name="Totale 13 4" xfId="8339"/>
    <cellStyle name="Totale 13 4 2" xfId="13192"/>
    <cellStyle name="Totale 13 5" xfId="10157"/>
    <cellStyle name="Totale 14" xfId="5681"/>
    <cellStyle name="Totale 14 2" xfId="7198"/>
    <cellStyle name="Totale 14 2 2" xfId="12053"/>
    <cellStyle name="Totale 14 3" xfId="8719"/>
    <cellStyle name="Totale 14 3 2" xfId="13572"/>
    <cellStyle name="Totale 14 4" xfId="10537"/>
    <cellStyle name="Totale 15" xfId="6440"/>
    <cellStyle name="Totale 15 2" xfId="11295"/>
    <cellStyle name="Totale 16" xfId="7961"/>
    <cellStyle name="Totale 16 2" xfId="12814"/>
    <cellStyle name="Totale 17" xfId="9779"/>
    <cellStyle name="Totale 2" xfId="4703"/>
    <cellStyle name="Totale 2 2" xfId="5304"/>
    <cellStyle name="Totale 2 2 2" xfId="6063"/>
    <cellStyle name="Totale 2 2 2 2" xfId="7580"/>
    <cellStyle name="Totale 2 2 2 2 2" xfId="12435"/>
    <cellStyle name="Totale 2 2 2 3" xfId="9101"/>
    <cellStyle name="Totale 2 2 2 3 2" xfId="13954"/>
    <cellStyle name="Totale 2 2 2 4" xfId="10919"/>
    <cellStyle name="Totale 2 2 3" xfId="6822"/>
    <cellStyle name="Totale 2 2 3 2" xfId="11677"/>
    <cellStyle name="Totale 2 2 4" xfId="8343"/>
    <cellStyle name="Totale 2 2 4 2" xfId="13196"/>
    <cellStyle name="Totale 2 2 5" xfId="10161"/>
    <cellStyle name="Totale 2 3" xfId="5685"/>
    <cellStyle name="Totale 2 3 2" xfId="7202"/>
    <cellStyle name="Totale 2 3 2 2" xfId="12057"/>
    <cellStyle name="Totale 2 3 3" xfId="8723"/>
    <cellStyle name="Totale 2 3 3 2" xfId="13576"/>
    <cellStyle name="Totale 2 3 4" xfId="10541"/>
    <cellStyle name="Totale 2 4" xfId="6444"/>
    <cellStyle name="Totale 2 4 2" xfId="11299"/>
    <cellStyle name="Totale 2 5" xfId="7965"/>
    <cellStyle name="Totale 2 5 2" xfId="12818"/>
    <cellStyle name="Totale 2 6" xfId="9783"/>
    <cellStyle name="Totale 3" xfId="4704"/>
    <cellStyle name="Totale 3 2" xfId="5305"/>
    <cellStyle name="Totale 3 2 2" xfId="6064"/>
    <cellStyle name="Totale 3 2 2 2" xfId="7581"/>
    <cellStyle name="Totale 3 2 2 2 2" xfId="12436"/>
    <cellStyle name="Totale 3 2 2 3" xfId="9102"/>
    <cellStyle name="Totale 3 2 2 3 2" xfId="13955"/>
    <cellStyle name="Totale 3 2 2 4" xfId="10920"/>
    <cellStyle name="Totale 3 2 3" xfId="6823"/>
    <cellStyle name="Totale 3 2 3 2" xfId="11678"/>
    <cellStyle name="Totale 3 2 4" xfId="8344"/>
    <cellStyle name="Totale 3 2 4 2" xfId="13197"/>
    <cellStyle name="Totale 3 2 5" xfId="10162"/>
    <cellStyle name="Totale 3 3" xfId="5686"/>
    <cellStyle name="Totale 3 3 2" xfId="7203"/>
    <cellStyle name="Totale 3 3 2 2" xfId="12058"/>
    <cellStyle name="Totale 3 3 3" xfId="8724"/>
    <cellStyle name="Totale 3 3 3 2" xfId="13577"/>
    <cellStyle name="Totale 3 3 4" xfId="10542"/>
    <cellStyle name="Totale 3 4" xfId="6445"/>
    <cellStyle name="Totale 3 4 2" xfId="11300"/>
    <cellStyle name="Totale 3 5" xfId="7966"/>
    <cellStyle name="Totale 3 5 2" xfId="12819"/>
    <cellStyle name="Totale 3 6" xfId="9784"/>
    <cellStyle name="Totale 4" xfId="4705"/>
    <cellStyle name="Totale 4 2" xfId="5306"/>
    <cellStyle name="Totale 4 2 2" xfId="6065"/>
    <cellStyle name="Totale 4 2 2 2" xfId="7582"/>
    <cellStyle name="Totale 4 2 2 2 2" xfId="12437"/>
    <cellStyle name="Totale 4 2 2 3" xfId="9103"/>
    <cellStyle name="Totale 4 2 2 3 2" xfId="13956"/>
    <cellStyle name="Totale 4 2 2 4" xfId="10921"/>
    <cellStyle name="Totale 4 2 3" xfId="6824"/>
    <cellStyle name="Totale 4 2 3 2" xfId="11679"/>
    <cellStyle name="Totale 4 2 4" xfId="8345"/>
    <cellStyle name="Totale 4 2 4 2" xfId="13198"/>
    <cellStyle name="Totale 4 2 5" xfId="10163"/>
    <cellStyle name="Totale 4 3" xfId="5687"/>
    <cellStyle name="Totale 4 3 2" xfId="7204"/>
    <cellStyle name="Totale 4 3 2 2" xfId="12059"/>
    <cellStyle name="Totale 4 3 3" xfId="8725"/>
    <cellStyle name="Totale 4 3 3 2" xfId="13578"/>
    <cellStyle name="Totale 4 3 4" xfId="10543"/>
    <cellStyle name="Totale 4 4" xfId="6446"/>
    <cellStyle name="Totale 4 4 2" xfId="11301"/>
    <cellStyle name="Totale 4 5" xfId="7967"/>
    <cellStyle name="Totale 4 5 2" xfId="12820"/>
    <cellStyle name="Totale 4 6" xfId="9785"/>
    <cellStyle name="Totale 5" xfId="4706"/>
    <cellStyle name="Totale 5 2" xfId="5307"/>
    <cellStyle name="Totale 5 2 2" xfId="6066"/>
    <cellStyle name="Totale 5 2 2 2" xfId="7583"/>
    <cellStyle name="Totale 5 2 2 2 2" xfId="12438"/>
    <cellStyle name="Totale 5 2 2 3" xfId="9104"/>
    <cellStyle name="Totale 5 2 2 3 2" xfId="13957"/>
    <cellStyle name="Totale 5 2 2 4" xfId="10922"/>
    <cellStyle name="Totale 5 2 3" xfId="6825"/>
    <cellStyle name="Totale 5 2 3 2" xfId="11680"/>
    <cellStyle name="Totale 5 2 4" xfId="8346"/>
    <cellStyle name="Totale 5 2 4 2" xfId="13199"/>
    <cellStyle name="Totale 5 2 5" xfId="10164"/>
    <cellStyle name="Totale 5 3" xfId="5688"/>
    <cellStyle name="Totale 5 3 2" xfId="7205"/>
    <cellStyle name="Totale 5 3 2 2" xfId="12060"/>
    <cellStyle name="Totale 5 3 3" xfId="8726"/>
    <cellStyle name="Totale 5 3 3 2" xfId="13579"/>
    <cellStyle name="Totale 5 3 4" xfId="10544"/>
    <cellStyle name="Totale 5 4" xfId="6447"/>
    <cellStyle name="Totale 5 4 2" xfId="11302"/>
    <cellStyle name="Totale 5 5" xfId="7968"/>
    <cellStyle name="Totale 5 5 2" xfId="12821"/>
    <cellStyle name="Totale 5 6" xfId="9786"/>
    <cellStyle name="Totale 6" xfId="4707"/>
    <cellStyle name="Totale 6 2" xfId="5308"/>
    <cellStyle name="Totale 6 2 2" xfId="6067"/>
    <cellStyle name="Totale 6 2 2 2" xfId="7584"/>
    <cellStyle name="Totale 6 2 2 2 2" xfId="12439"/>
    <cellStyle name="Totale 6 2 2 3" xfId="9105"/>
    <cellStyle name="Totale 6 2 2 3 2" xfId="13958"/>
    <cellStyle name="Totale 6 2 2 4" xfId="10923"/>
    <cellStyle name="Totale 6 2 3" xfId="6826"/>
    <cellStyle name="Totale 6 2 3 2" xfId="11681"/>
    <cellStyle name="Totale 6 2 4" xfId="8347"/>
    <cellStyle name="Totale 6 2 4 2" xfId="13200"/>
    <cellStyle name="Totale 6 2 5" xfId="10165"/>
    <cellStyle name="Totale 6 3" xfId="5689"/>
    <cellStyle name="Totale 6 3 2" xfId="7206"/>
    <cellStyle name="Totale 6 3 2 2" xfId="12061"/>
    <cellStyle name="Totale 6 3 3" xfId="8727"/>
    <cellStyle name="Totale 6 3 3 2" xfId="13580"/>
    <cellStyle name="Totale 6 3 4" xfId="10545"/>
    <cellStyle name="Totale 6 4" xfId="6448"/>
    <cellStyle name="Totale 6 4 2" xfId="11303"/>
    <cellStyle name="Totale 6 5" xfId="7969"/>
    <cellStyle name="Totale 6 5 2" xfId="12822"/>
    <cellStyle name="Totale 6 6" xfId="9787"/>
    <cellStyle name="Totale 7" xfId="4708"/>
    <cellStyle name="Totale 7 2" xfId="5309"/>
    <cellStyle name="Totale 7 2 2" xfId="6068"/>
    <cellStyle name="Totale 7 2 2 2" xfId="7585"/>
    <cellStyle name="Totale 7 2 2 2 2" xfId="12440"/>
    <cellStyle name="Totale 7 2 2 3" xfId="9106"/>
    <cellStyle name="Totale 7 2 2 3 2" xfId="13959"/>
    <cellStyle name="Totale 7 2 2 4" xfId="10924"/>
    <cellStyle name="Totale 7 2 3" xfId="6827"/>
    <cellStyle name="Totale 7 2 3 2" xfId="11682"/>
    <cellStyle name="Totale 7 2 4" xfId="8348"/>
    <cellStyle name="Totale 7 2 4 2" xfId="13201"/>
    <cellStyle name="Totale 7 2 5" xfId="10166"/>
    <cellStyle name="Totale 7 3" xfId="5690"/>
    <cellStyle name="Totale 7 3 2" xfId="7207"/>
    <cellStyle name="Totale 7 3 2 2" xfId="12062"/>
    <cellStyle name="Totale 7 3 3" xfId="8728"/>
    <cellStyle name="Totale 7 3 3 2" xfId="13581"/>
    <cellStyle name="Totale 7 3 4" xfId="10546"/>
    <cellStyle name="Totale 7 4" xfId="6449"/>
    <cellStyle name="Totale 7 4 2" xfId="11304"/>
    <cellStyle name="Totale 7 5" xfId="7970"/>
    <cellStyle name="Totale 7 5 2" xfId="12823"/>
    <cellStyle name="Totale 7 6" xfId="9788"/>
    <cellStyle name="Totale 8" xfId="4709"/>
    <cellStyle name="Totale 8 2" xfId="5310"/>
    <cellStyle name="Totale 8 2 2" xfId="6069"/>
    <cellStyle name="Totale 8 2 2 2" xfId="7586"/>
    <cellStyle name="Totale 8 2 2 2 2" xfId="12441"/>
    <cellStyle name="Totale 8 2 2 3" xfId="9107"/>
    <cellStyle name="Totale 8 2 2 3 2" xfId="13960"/>
    <cellStyle name="Totale 8 2 2 4" xfId="10925"/>
    <cellStyle name="Totale 8 2 3" xfId="6828"/>
    <cellStyle name="Totale 8 2 3 2" xfId="11683"/>
    <cellStyle name="Totale 8 2 4" xfId="8349"/>
    <cellStyle name="Totale 8 2 4 2" xfId="13202"/>
    <cellStyle name="Totale 8 2 5" xfId="10167"/>
    <cellStyle name="Totale 8 3" xfId="5691"/>
    <cellStyle name="Totale 8 3 2" xfId="7208"/>
    <cellStyle name="Totale 8 3 2 2" xfId="12063"/>
    <cellStyle name="Totale 8 3 3" xfId="8729"/>
    <cellStyle name="Totale 8 3 3 2" xfId="13582"/>
    <cellStyle name="Totale 8 3 4" xfId="10547"/>
    <cellStyle name="Totale 8 4" xfId="6450"/>
    <cellStyle name="Totale 8 4 2" xfId="11305"/>
    <cellStyle name="Totale 8 5" xfId="7971"/>
    <cellStyle name="Totale 8 5 2" xfId="12824"/>
    <cellStyle name="Totale 8 6" xfId="9789"/>
    <cellStyle name="Totale 9" xfId="4710"/>
    <cellStyle name="Totale 9 2" xfId="5311"/>
    <cellStyle name="Totale 9 2 2" xfId="6070"/>
    <cellStyle name="Totale 9 2 2 2" xfId="7587"/>
    <cellStyle name="Totale 9 2 2 2 2" xfId="12442"/>
    <cellStyle name="Totale 9 2 2 3" xfId="9108"/>
    <cellStyle name="Totale 9 2 2 3 2" xfId="13961"/>
    <cellStyle name="Totale 9 2 2 4" xfId="10926"/>
    <cellStyle name="Totale 9 2 3" xfId="6829"/>
    <cellStyle name="Totale 9 2 3 2" xfId="11684"/>
    <cellStyle name="Totale 9 2 4" xfId="8350"/>
    <cellStyle name="Totale 9 2 4 2" xfId="13203"/>
    <cellStyle name="Totale 9 2 5" xfId="10168"/>
    <cellStyle name="Totale 9 3" xfId="5692"/>
    <cellStyle name="Totale 9 3 2" xfId="7209"/>
    <cellStyle name="Totale 9 3 2 2" xfId="12064"/>
    <cellStyle name="Totale 9 3 3" xfId="8730"/>
    <cellStyle name="Totale 9 3 3 2" xfId="13583"/>
    <cellStyle name="Totale 9 3 4" xfId="10548"/>
    <cellStyle name="Totale 9 4" xfId="6451"/>
    <cellStyle name="Totale 9 4 2" xfId="11306"/>
    <cellStyle name="Totale 9 5" xfId="7972"/>
    <cellStyle name="Totale 9 5 2" xfId="12825"/>
    <cellStyle name="Totale 9 6" xfId="9790"/>
    <cellStyle name="Totale Dec" xfId="4711"/>
    <cellStyle name="Totale Dec 10" xfId="4712"/>
    <cellStyle name="Totale Dec 10 2" xfId="5313"/>
    <cellStyle name="Totale Dec 10 2 2" xfId="6072"/>
    <cellStyle name="Totale Dec 10 2 2 2" xfId="7589"/>
    <cellStyle name="Totale Dec 10 2 2 2 2" xfId="12444"/>
    <cellStyle name="Totale Dec 10 2 2 3" xfId="9110"/>
    <cellStyle name="Totale Dec 10 2 2 3 2" xfId="13963"/>
    <cellStyle name="Totale Dec 10 2 2 4" xfId="10928"/>
    <cellStyle name="Totale Dec 10 2 3" xfId="6831"/>
    <cellStyle name="Totale Dec 10 2 3 2" xfId="11686"/>
    <cellStyle name="Totale Dec 10 2 4" xfId="8352"/>
    <cellStyle name="Totale Dec 10 2 4 2" xfId="13205"/>
    <cellStyle name="Totale Dec 10 2 5" xfId="10170"/>
    <cellStyle name="Totale Dec 10 3" xfId="5694"/>
    <cellStyle name="Totale Dec 10 3 2" xfId="7211"/>
    <cellStyle name="Totale Dec 10 3 2 2" xfId="12066"/>
    <cellStyle name="Totale Dec 10 3 3" xfId="8732"/>
    <cellStyle name="Totale Dec 10 3 3 2" xfId="13585"/>
    <cellStyle name="Totale Dec 10 3 4" xfId="10550"/>
    <cellStyle name="Totale Dec 10 4" xfId="6453"/>
    <cellStyle name="Totale Dec 10 4 2" xfId="11308"/>
    <cellStyle name="Totale Dec 10 5" xfId="7974"/>
    <cellStyle name="Totale Dec 10 5 2" xfId="12827"/>
    <cellStyle name="Totale Dec 10 6" xfId="9792"/>
    <cellStyle name="Totale Dec 11" xfId="4713"/>
    <cellStyle name="Totale Dec 11 2" xfId="5314"/>
    <cellStyle name="Totale Dec 11 2 2" xfId="6073"/>
    <cellStyle name="Totale Dec 11 2 2 2" xfId="7590"/>
    <cellStyle name="Totale Dec 11 2 2 2 2" xfId="12445"/>
    <cellStyle name="Totale Dec 11 2 2 3" xfId="9111"/>
    <cellStyle name="Totale Dec 11 2 2 3 2" xfId="13964"/>
    <cellStyle name="Totale Dec 11 2 2 4" xfId="10929"/>
    <cellStyle name="Totale Dec 11 2 3" xfId="6832"/>
    <cellStyle name="Totale Dec 11 2 3 2" xfId="11687"/>
    <cellStyle name="Totale Dec 11 2 4" xfId="8353"/>
    <cellStyle name="Totale Dec 11 2 4 2" xfId="13206"/>
    <cellStyle name="Totale Dec 11 2 5" xfId="10171"/>
    <cellStyle name="Totale Dec 11 3" xfId="5695"/>
    <cellStyle name="Totale Dec 11 3 2" xfId="7212"/>
    <cellStyle name="Totale Dec 11 3 2 2" xfId="12067"/>
    <cellStyle name="Totale Dec 11 3 3" xfId="8733"/>
    <cellStyle name="Totale Dec 11 3 3 2" xfId="13586"/>
    <cellStyle name="Totale Dec 11 3 4" xfId="10551"/>
    <cellStyle name="Totale Dec 11 4" xfId="6454"/>
    <cellStyle name="Totale Dec 11 4 2" xfId="11309"/>
    <cellStyle name="Totale Dec 11 5" xfId="7975"/>
    <cellStyle name="Totale Dec 11 5 2" xfId="12828"/>
    <cellStyle name="Totale Dec 11 6" xfId="9793"/>
    <cellStyle name="Totale Dec 12" xfId="4714"/>
    <cellStyle name="Totale Dec 12 2" xfId="5315"/>
    <cellStyle name="Totale Dec 12 2 2" xfId="6074"/>
    <cellStyle name="Totale Dec 12 2 2 2" xfId="7591"/>
    <cellStyle name="Totale Dec 12 2 2 2 2" xfId="12446"/>
    <cellStyle name="Totale Dec 12 2 2 3" xfId="9112"/>
    <cellStyle name="Totale Dec 12 2 2 3 2" xfId="13965"/>
    <cellStyle name="Totale Dec 12 2 2 4" xfId="10930"/>
    <cellStyle name="Totale Dec 12 2 3" xfId="6833"/>
    <cellStyle name="Totale Dec 12 2 3 2" xfId="11688"/>
    <cellStyle name="Totale Dec 12 2 4" xfId="8354"/>
    <cellStyle name="Totale Dec 12 2 4 2" xfId="13207"/>
    <cellStyle name="Totale Dec 12 2 5" xfId="10172"/>
    <cellStyle name="Totale Dec 12 3" xfId="5696"/>
    <cellStyle name="Totale Dec 12 3 2" xfId="7213"/>
    <cellStyle name="Totale Dec 12 3 2 2" xfId="12068"/>
    <cellStyle name="Totale Dec 12 3 3" xfId="8734"/>
    <cellStyle name="Totale Dec 12 3 3 2" xfId="13587"/>
    <cellStyle name="Totale Dec 12 3 4" xfId="10552"/>
    <cellStyle name="Totale Dec 12 4" xfId="6455"/>
    <cellStyle name="Totale Dec 12 4 2" xfId="11310"/>
    <cellStyle name="Totale Dec 12 5" xfId="7976"/>
    <cellStyle name="Totale Dec 12 5 2" xfId="12829"/>
    <cellStyle name="Totale Dec 12 6" xfId="9794"/>
    <cellStyle name="Totale Dec 13" xfId="5312"/>
    <cellStyle name="Totale Dec 13 2" xfId="6071"/>
    <cellStyle name="Totale Dec 13 2 2" xfId="7588"/>
    <cellStyle name="Totale Dec 13 2 2 2" xfId="12443"/>
    <cellStyle name="Totale Dec 13 2 3" xfId="9109"/>
    <cellStyle name="Totale Dec 13 2 3 2" xfId="13962"/>
    <cellStyle name="Totale Dec 13 2 4" xfId="10927"/>
    <cellStyle name="Totale Dec 13 3" xfId="6830"/>
    <cellStyle name="Totale Dec 13 3 2" xfId="11685"/>
    <cellStyle name="Totale Dec 13 4" xfId="8351"/>
    <cellStyle name="Totale Dec 13 4 2" xfId="13204"/>
    <cellStyle name="Totale Dec 13 5" xfId="10169"/>
    <cellStyle name="Totale Dec 14" xfId="5693"/>
    <cellStyle name="Totale Dec 14 2" xfId="7210"/>
    <cellStyle name="Totale Dec 14 2 2" xfId="12065"/>
    <cellStyle name="Totale Dec 14 3" xfId="8731"/>
    <cellStyle name="Totale Dec 14 3 2" xfId="13584"/>
    <cellStyle name="Totale Dec 14 4" xfId="10549"/>
    <cellStyle name="Totale Dec 15" xfId="6452"/>
    <cellStyle name="Totale Dec 15 2" xfId="11307"/>
    <cellStyle name="Totale Dec 16" xfId="7973"/>
    <cellStyle name="Totale Dec 16 2" xfId="12826"/>
    <cellStyle name="Totale Dec 17" xfId="9791"/>
    <cellStyle name="Totale Dec 2" xfId="4715"/>
    <cellStyle name="Totale Dec 2 2" xfId="5316"/>
    <cellStyle name="Totale Dec 2 2 2" xfId="6075"/>
    <cellStyle name="Totale Dec 2 2 2 2" xfId="7592"/>
    <cellStyle name="Totale Dec 2 2 2 2 2" xfId="12447"/>
    <cellStyle name="Totale Dec 2 2 2 3" xfId="9113"/>
    <cellStyle name="Totale Dec 2 2 2 3 2" xfId="13966"/>
    <cellStyle name="Totale Dec 2 2 2 4" xfId="10931"/>
    <cellStyle name="Totale Dec 2 2 3" xfId="6834"/>
    <cellStyle name="Totale Dec 2 2 3 2" xfId="11689"/>
    <cellStyle name="Totale Dec 2 2 4" xfId="8355"/>
    <cellStyle name="Totale Dec 2 2 4 2" xfId="13208"/>
    <cellStyle name="Totale Dec 2 2 5" xfId="10173"/>
    <cellStyle name="Totale Dec 2 3" xfId="5697"/>
    <cellStyle name="Totale Dec 2 3 2" xfId="7214"/>
    <cellStyle name="Totale Dec 2 3 2 2" xfId="12069"/>
    <cellStyle name="Totale Dec 2 3 3" xfId="8735"/>
    <cellStyle name="Totale Dec 2 3 3 2" xfId="13588"/>
    <cellStyle name="Totale Dec 2 3 4" xfId="10553"/>
    <cellStyle name="Totale Dec 2 4" xfId="6456"/>
    <cellStyle name="Totale Dec 2 4 2" xfId="11311"/>
    <cellStyle name="Totale Dec 2 5" xfId="7977"/>
    <cellStyle name="Totale Dec 2 5 2" xfId="12830"/>
    <cellStyle name="Totale Dec 2 6" xfId="9795"/>
    <cellStyle name="Totale Dec 3" xfId="4716"/>
    <cellStyle name="Totale Dec 3 2" xfId="5317"/>
    <cellStyle name="Totale Dec 3 2 2" xfId="6076"/>
    <cellStyle name="Totale Dec 3 2 2 2" xfId="7593"/>
    <cellStyle name="Totale Dec 3 2 2 2 2" xfId="12448"/>
    <cellStyle name="Totale Dec 3 2 2 3" xfId="9114"/>
    <cellStyle name="Totale Dec 3 2 2 3 2" xfId="13967"/>
    <cellStyle name="Totale Dec 3 2 2 4" xfId="10932"/>
    <cellStyle name="Totale Dec 3 2 3" xfId="6835"/>
    <cellStyle name="Totale Dec 3 2 3 2" xfId="11690"/>
    <cellStyle name="Totale Dec 3 2 4" xfId="8356"/>
    <cellStyle name="Totale Dec 3 2 4 2" xfId="13209"/>
    <cellStyle name="Totale Dec 3 2 5" xfId="10174"/>
    <cellStyle name="Totale Dec 3 3" xfId="5698"/>
    <cellStyle name="Totale Dec 3 3 2" xfId="7215"/>
    <cellStyle name="Totale Dec 3 3 2 2" xfId="12070"/>
    <cellStyle name="Totale Dec 3 3 3" xfId="8736"/>
    <cellStyle name="Totale Dec 3 3 3 2" xfId="13589"/>
    <cellStyle name="Totale Dec 3 3 4" xfId="10554"/>
    <cellStyle name="Totale Dec 3 4" xfId="6457"/>
    <cellStyle name="Totale Dec 3 4 2" xfId="11312"/>
    <cellStyle name="Totale Dec 3 5" xfId="7978"/>
    <cellStyle name="Totale Dec 3 5 2" xfId="12831"/>
    <cellStyle name="Totale Dec 3 6" xfId="9796"/>
    <cellStyle name="Totale Dec 4" xfId="4717"/>
    <cellStyle name="Totale Dec 4 2" xfId="5318"/>
    <cellStyle name="Totale Dec 4 2 2" xfId="6077"/>
    <cellStyle name="Totale Dec 4 2 2 2" xfId="7594"/>
    <cellStyle name="Totale Dec 4 2 2 2 2" xfId="12449"/>
    <cellStyle name="Totale Dec 4 2 2 3" xfId="9115"/>
    <cellStyle name="Totale Dec 4 2 2 3 2" xfId="13968"/>
    <cellStyle name="Totale Dec 4 2 2 4" xfId="10933"/>
    <cellStyle name="Totale Dec 4 2 3" xfId="6836"/>
    <cellStyle name="Totale Dec 4 2 3 2" xfId="11691"/>
    <cellStyle name="Totale Dec 4 2 4" xfId="8357"/>
    <cellStyle name="Totale Dec 4 2 4 2" xfId="13210"/>
    <cellStyle name="Totale Dec 4 2 5" xfId="10175"/>
    <cellStyle name="Totale Dec 4 3" xfId="5699"/>
    <cellStyle name="Totale Dec 4 3 2" xfId="7216"/>
    <cellStyle name="Totale Dec 4 3 2 2" xfId="12071"/>
    <cellStyle name="Totale Dec 4 3 3" xfId="8737"/>
    <cellStyle name="Totale Dec 4 3 3 2" xfId="13590"/>
    <cellStyle name="Totale Dec 4 3 4" xfId="10555"/>
    <cellStyle name="Totale Dec 4 4" xfId="6458"/>
    <cellStyle name="Totale Dec 4 4 2" xfId="11313"/>
    <cellStyle name="Totale Dec 4 5" xfId="7979"/>
    <cellStyle name="Totale Dec 4 5 2" xfId="12832"/>
    <cellStyle name="Totale Dec 4 6" xfId="9797"/>
    <cellStyle name="Totale Dec 5" xfId="4718"/>
    <cellStyle name="Totale Dec 5 2" xfId="5319"/>
    <cellStyle name="Totale Dec 5 2 2" xfId="6078"/>
    <cellStyle name="Totale Dec 5 2 2 2" xfId="7595"/>
    <cellStyle name="Totale Dec 5 2 2 2 2" xfId="12450"/>
    <cellStyle name="Totale Dec 5 2 2 3" xfId="9116"/>
    <cellStyle name="Totale Dec 5 2 2 3 2" xfId="13969"/>
    <cellStyle name="Totale Dec 5 2 2 4" xfId="10934"/>
    <cellStyle name="Totale Dec 5 2 3" xfId="6837"/>
    <cellStyle name="Totale Dec 5 2 3 2" xfId="11692"/>
    <cellStyle name="Totale Dec 5 2 4" xfId="8358"/>
    <cellStyle name="Totale Dec 5 2 4 2" xfId="13211"/>
    <cellStyle name="Totale Dec 5 2 5" xfId="10176"/>
    <cellStyle name="Totale Dec 5 3" xfId="5700"/>
    <cellStyle name="Totale Dec 5 3 2" xfId="7217"/>
    <cellStyle name="Totale Dec 5 3 2 2" xfId="12072"/>
    <cellStyle name="Totale Dec 5 3 3" xfId="8738"/>
    <cellStyle name="Totale Dec 5 3 3 2" xfId="13591"/>
    <cellStyle name="Totale Dec 5 3 4" xfId="10556"/>
    <cellStyle name="Totale Dec 5 4" xfId="6459"/>
    <cellStyle name="Totale Dec 5 4 2" xfId="11314"/>
    <cellStyle name="Totale Dec 5 5" xfId="7980"/>
    <cellStyle name="Totale Dec 5 5 2" xfId="12833"/>
    <cellStyle name="Totale Dec 5 6" xfId="9798"/>
    <cellStyle name="Totale Dec 6" xfId="4719"/>
    <cellStyle name="Totale Dec 6 2" xfId="5320"/>
    <cellStyle name="Totale Dec 6 2 2" xfId="6079"/>
    <cellStyle name="Totale Dec 6 2 2 2" xfId="7596"/>
    <cellStyle name="Totale Dec 6 2 2 2 2" xfId="12451"/>
    <cellStyle name="Totale Dec 6 2 2 3" xfId="9117"/>
    <cellStyle name="Totale Dec 6 2 2 3 2" xfId="13970"/>
    <cellStyle name="Totale Dec 6 2 2 4" xfId="10935"/>
    <cellStyle name="Totale Dec 6 2 3" xfId="6838"/>
    <cellStyle name="Totale Dec 6 2 3 2" xfId="11693"/>
    <cellStyle name="Totale Dec 6 2 4" xfId="8359"/>
    <cellStyle name="Totale Dec 6 2 4 2" xfId="13212"/>
    <cellStyle name="Totale Dec 6 2 5" xfId="10177"/>
    <cellStyle name="Totale Dec 6 3" xfId="5701"/>
    <cellStyle name="Totale Dec 6 3 2" xfId="7218"/>
    <cellStyle name="Totale Dec 6 3 2 2" xfId="12073"/>
    <cellStyle name="Totale Dec 6 3 3" xfId="8739"/>
    <cellStyle name="Totale Dec 6 3 3 2" xfId="13592"/>
    <cellStyle name="Totale Dec 6 3 4" xfId="10557"/>
    <cellStyle name="Totale Dec 6 4" xfId="6460"/>
    <cellStyle name="Totale Dec 6 4 2" xfId="11315"/>
    <cellStyle name="Totale Dec 6 5" xfId="7981"/>
    <cellStyle name="Totale Dec 6 5 2" xfId="12834"/>
    <cellStyle name="Totale Dec 6 6" xfId="9799"/>
    <cellStyle name="Totale Dec 7" xfId="4720"/>
    <cellStyle name="Totale Dec 7 2" xfId="5321"/>
    <cellStyle name="Totale Dec 7 2 2" xfId="6080"/>
    <cellStyle name="Totale Dec 7 2 2 2" xfId="7597"/>
    <cellStyle name="Totale Dec 7 2 2 2 2" xfId="12452"/>
    <cellStyle name="Totale Dec 7 2 2 3" xfId="9118"/>
    <cellStyle name="Totale Dec 7 2 2 3 2" xfId="13971"/>
    <cellStyle name="Totale Dec 7 2 2 4" xfId="10936"/>
    <cellStyle name="Totale Dec 7 2 3" xfId="6839"/>
    <cellStyle name="Totale Dec 7 2 3 2" xfId="11694"/>
    <cellStyle name="Totale Dec 7 2 4" xfId="8360"/>
    <cellStyle name="Totale Dec 7 2 4 2" xfId="13213"/>
    <cellStyle name="Totale Dec 7 2 5" xfId="10178"/>
    <cellStyle name="Totale Dec 7 3" xfId="5702"/>
    <cellStyle name="Totale Dec 7 3 2" xfId="7219"/>
    <cellStyle name="Totale Dec 7 3 2 2" xfId="12074"/>
    <cellStyle name="Totale Dec 7 3 3" xfId="8740"/>
    <cellStyle name="Totale Dec 7 3 3 2" xfId="13593"/>
    <cellStyle name="Totale Dec 7 3 4" xfId="10558"/>
    <cellStyle name="Totale Dec 7 4" xfId="6461"/>
    <cellStyle name="Totale Dec 7 4 2" xfId="11316"/>
    <cellStyle name="Totale Dec 7 5" xfId="7982"/>
    <cellStyle name="Totale Dec 7 5 2" xfId="12835"/>
    <cellStyle name="Totale Dec 7 6" xfId="9800"/>
    <cellStyle name="Totale Dec 8" xfId="4721"/>
    <cellStyle name="Totale Dec 8 2" xfId="5322"/>
    <cellStyle name="Totale Dec 8 2 2" xfId="6081"/>
    <cellStyle name="Totale Dec 8 2 2 2" xfId="7598"/>
    <cellStyle name="Totale Dec 8 2 2 2 2" xfId="12453"/>
    <cellStyle name="Totale Dec 8 2 2 3" xfId="9119"/>
    <cellStyle name="Totale Dec 8 2 2 3 2" xfId="13972"/>
    <cellStyle name="Totale Dec 8 2 2 4" xfId="10937"/>
    <cellStyle name="Totale Dec 8 2 3" xfId="6840"/>
    <cellStyle name="Totale Dec 8 2 3 2" xfId="11695"/>
    <cellStyle name="Totale Dec 8 2 4" xfId="8361"/>
    <cellStyle name="Totale Dec 8 2 4 2" xfId="13214"/>
    <cellStyle name="Totale Dec 8 2 5" xfId="10179"/>
    <cellStyle name="Totale Dec 8 3" xfId="5703"/>
    <cellStyle name="Totale Dec 8 3 2" xfId="7220"/>
    <cellStyle name="Totale Dec 8 3 2 2" xfId="12075"/>
    <cellStyle name="Totale Dec 8 3 3" xfId="8741"/>
    <cellStyle name="Totale Dec 8 3 3 2" xfId="13594"/>
    <cellStyle name="Totale Dec 8 3 4" xfId="10559"/>
    <cellStyle name="Totale Dec 8 4" xfId="6462"/>
    <cellStyle name="Totale Dec 8 4 2" xfId="11317"/>
    <cellStyle name="Totale Dec 8 5" xfId="7983"/>
    <cellStyle name="Totale Dec 8 5 2" xfId="12836"/>
    <cellStyle name="Totale Dec 8 6" xfId="9801"/>
    <cellStyle name="Totale Dec 9" xfId="4722"/>
    <cellStyle name="Totale Dec 9 2" xfId="5323"/>
    <cellStyle name="Totale Dec 9 2 2" xfId="6082"/>
    <cellStyle name="Totale Dec 9 2 2 2" xfId="7599"/>
    <cellStyle name="Totale Dec 9 2 2 2 2" xfId="12454"/>
    <cellStyle name="Totale Dec 9 2 2 3" xfId="9120"/>
    <cellStyle name="Totale Dec 9 2 2 3 2" xfId="13973"/>
    <cellStyle name="Totale Dec 9 2 2 4" xfId="10938"/>
    <cellStyle name="Totale Dec 9 2 3" xfId="6841"/>
    <cellStyle name="Totale Dec 9 2 3 2" xfId="11696"/>
    <cellStyle name="Totale Dec 9 2 4" xfId="8362"/>
    <cellStyle name="Totale Dec 9 2 4 2" xfId="13215"/>
    <cellStyle name="Totale Dec 9 2 5" xfId="10180"/>
    <cellStyle name="Totale Dec 9 3" xfId="5704"/>
    <cellStyle name="Totale Dec 9 3 2" xfId="7221"/>
    <cellStyle name="Totale Dec 9 3 2 2" xfId="12076"/>
    <cellStyle name="Totale Dec 9 3 3" xfId="8742"/>
    <cellStyle name="Totale Dec 9 3 3 2" xfId="13595"/>
    <cellStyle name="Totale Dec 9 3 4" xfId="10560"/>
    <cellStyle name="Totale Dec 9 4" xfId="6463"/>
    <cellStyle name="Totale Dec 9 4 2" xfId="11318"/>
    <cellStyle name="Totale Dec 9 5" xfId="7984"/>
    <cellStyle name="Totale Dec 9 5 2" xfId="12837"/>
    <cellStyle name="Totale Dec 9 6" xfId="9802"/>
    <cellStyle name="Totals" xfId="160"/>
    <cellStyle name="Undefiniert" xfId="4723"/>
    <cellStyle name="Undefiniert 2" xfId="5324"/>
    <cellStyle name="Undefiniert 2 2" xfId="6083"/>
    <cellStyle name="Undefiniert 2 2 2" xfId="7600"/>
    <cellStyle name="Undefiniert 2 2 2 2" xfId="12455"/>
    <cellStyle name="Undefiniert 2 2 3" xfId="9121"/>
    <cellStyle name="Undefiniert 2 2 3 2" xfId="13974"/>
    <cellStyle name="Undefiniert 2 2 4" xfId="10939"/>
    <cellStyle name="Undefiniert 2 3" xfId="6842"/>
    <cellStyle name="Undefiniert 2 3 2" xfId="11697"/>
    <cellStyle name="Undefiniert 2 4" xfId="8363"/>
    <cellStyle name="Undefiniert 2 4 2" xfId="13216"/>
    <cellStyle name="Undefiniert 2 5" xfId="10181"/>
    <cellStyle name="Undefiniert 3" xfId="5705"/>
    <cellStyle name="Undefiniert 3 2" xfId="7222"/>
    <cellStyle name="Undefiniert 3 2 2" xfId="12077"/>
    <cellStyle name="Undefiniert 3 3" xfId="8743"/>
    <cellStyle name="Undefiniert 3 3 2" xfId="13596"/>
    <cellStyle name="Undefiniert 3 4" xfId="10561"/>
    <cellStyle name="Undefiniert 4" xfId="6464"/>
    <cellStyle name="Undefiniert 4 2" xfId="11319"/>
    <cellStyle name="Undefiniert 5" xfId="7985"/>
    <cellStyle name="Undefiniert 5 2" xfId="12838"/>
    <cellStyle name="Undefiniert 6" xfId="9803"/>
    <cellStyle name="Underline" xfId="4724"/>
    <cellStyle name="underline 1 decimal" xfId="161"/>
    <cellStyle name="Underline 10" xfId="14128"/>
    <cellStyle name="Underline 11" xfId="9582"/>
    <cellStyle name="Underline 12" xfId="14135"/>
    <cellStyle name="Underline 2" xfId="5325"/>
    <cellStyle name="Underline 2 2" xfId="6084"/>
    <cellStyle name="Underline 2 2 2" xfId="7601"/>
    <cellStyle name="Underline 2 2 2 2" xfId="12456"/>
    <cellStyle name="Underline 2 2 3" xfId="9122"/>
    <cellStyle name="Underline 2 2 3 2" xfId="13975"/>
    <cellStyle name="Underline 2 2 4" xfId="10940"/>
    <cellStyle name="Underline 2 3" xfId="6843"/>
    <cellStyle name="Underline 2 3 2" xfId="11698"/>
    <cellStyle name="Underline 2 4" xfId="8364"/>
    <cellStyle name="Underline 2 4 2" xfId="13217"/>
    <cellStyle name="Underline 2 5" xfId="10182"/>
    <cellStyle name="Underline 3" xfId="5476"/>
    <cellStyle name="Underline 3 2" xfId="6235"/>
    <cellStyle name="Underline 3 2 2" xfId="7752"/>
    <cellStyle name="Underline 3 2 2 2" xfId="12607"/>
    <cellStyle name="Underline 3 2 3" xfId="9273"/>
    <cellStyle name="Underline 3 2 3 2" xfId="14126"/>
    <cellStyle name="Underline 3 2 4" xfId="11091"/>
    <cellStyle name="Underline 3 3" xfId="6994"/>
    <cellStyle name="Underline 3 3 2" xfId="11849"/>
    <cellStyle name="Underline 3 4" xfId="8515"/>
    <cellStyle name="Underline 3 4 2" xfId="13368"/>
    <cellStyle name="Underline 3 5" xfId="10333"/>
    <cellStyle name="Underline 4" xfId="5706"/>
    <cellStyle name="Underline 4 2" xfId="7223"/>
    <cellStyle name="Underline 4 2 2" xfId="12078"/>
    <cellStyle name="Underline 4 3" xfId="8744"/>
    <cellStyle name="Underline 4 3 2" xfId="13597"/>
    <cellStyle name="Underline 4 4" xfId="10562"/>
    <cellStyle name="Underline 5" xfId="6465"/>
    <cellStyle name="Underline 5 2" xfId="11320"/>
    <cellStyle name="Underline 6" xfId="7986"/>
    <cellStyle name="Underline 6 2" xfId="12839"/>
    <cellStyle name="Underline 7" xfId="9274"/>
    <cellStyle name="Underline 7 2" xfId="14127"/>
    <cellStyle name="Underline 8" xfId="7766"/>
    <cellStyle name="Underline 8 2" xfId="12619"/>
    <cellStyle name="Underline 9" xfId="9804"/>
    <cellStyle name="UnderlineNormal" xfId="593"/>
    <cellStyle name="UnderlineNormal 2" xfId="9537"/>
    <cellStyle name="Unprot" xfId="594"/>
    <cellStyle name="Unprot 2" xfId="4725"/>
    <cellStyle name="Unprot 2 2" xfId="5326"/>
    <cellStyle name="Unprot 2 2 2" xfId="6085"/>
    <cellStyle name="Unprot 2 2 2 2" xfId="7602"/>
    <cellStyle name="Unprot 2 2 2 2 2" xfId="12457"/>
    <cellStyle name="Unprot 2 2 2 3" xfId="9123"/>
    <cellStyle name="Unprot 2 2 2 3 2" xfId="13976"/>
    <cellStyle name="Unprot 2 2 2 4" xfId="10941"/>
    <cellStyle name="Unprot 2 2 3" xfId="6844"/>
    <cellStyle name="Unprot 2 2 3 2" xfId="11699"/>
    <cellStyle name="Unprot 2 2 4" xfId="8365"/>
    <cellStyle name="Unprot 2 2 4 2" xfId="13218"/>
    <cellStyle name="Unprot 2 2 5" xfId="10183"/>
    <cellStyle name="Unprot 2 3" xfId="5707"/>
    <cellStyle name="Unprot 2 3 2" xfId="7224"/>
    <cellStyle name="Unprot 2 3 2 2" xfId="12079"/>
    <cellStyle name="Unprot 2 3 3" xfId="8745"/>
    <cellStyle name="Unprot 2 3 3 2" xfId="13598"/>
    <cellStyle name="Unprot 2 3 4" xfId="10563"/>
    <cellStyle name="Unprot 2 4" xfId="6466"/>
    <cellStyle name="Unprot 2 4 2" xfId="11321"/>
    <cellStyle name="Unprot 2 5" xfId="7987"/>
    <cellStyle name="Unprot 2 5 2" xfId="12840"/>
    <cellStyle name="Unprot 2 6" xfId="9805"/>
    <cellStyle name="Unprot$" xfId="595"/>
    <cellStyle name="Unprot$ 2" xfId="4726"/>
    <cellStyle name="Unprot$ 2 2" xfId="5327"/>
    <cellStyle name="Unprot$ 2 2 2" xfId="6086"/>
    <cellStyle name="Unprot$ 2 2 2 2" xfId="7603"/>
    <cellStyle name="Unprot$ 2 2 2 2 2" xfId="12458"/>
    <cellStyle name="Unprot$ 2 2 2 3" xfId="9124"/>
    <cellStyle name="Unprot$ 2 2 2 3 2" xfId="13977"/>
    <cellStyle name="Unprot$ 2 2 2 4" xfId="10942"/>
    <cellStyle name="Unprot$ 2 2 3" xfId="6845"/>
    <cellStyle name="Unprot$ 2 2 3 2" xfId="11700"/>
    <cellStyle name="Unprot$ 2 2 4" xfId="8366"/>
    <cellStyle name="Unprot$ 2 2 4 2" xfId="13219"/>
    <cellStyle name="Unprot$ 2 2 5" xfId="10184"/>
    <cellStyle name="Unprot$ 2 3" xfId="5708"/>
    <cellStyle name="Unprot$ 2 3 2" xfId="7225"/>
    <cellStyle name="Unprot$ 2 3 2 2" xfId="12080"/>
    <cellStyle name="Unprot$ 2 3 3" xfId="8746"/>
    <cellStyle name="Unprot$ 2 3 3 2" xfId="13599"/>
    <cellStyle name="Unprot$ 2 3 4" xfId="10564"/>
    <cellStyle name="Unprot$ 2 4" xfId="6467"/>
    <cellStyle name="Unprot$ 2 4 2" xfId="11322"/>
    <cellStyle name="Unprot$ 2 5" xfId="7988"/>
    <cellStyle name="Unprot$ 2 5 2" xfId="12841"/>
    <cellStyle name="Unprot$ 2 6" xfId="9806"/>
    <cellStyle name="Unprot_All BOMS Metro" xfId="4727"/>
    <cellStyle name="Unprotect" xfId="596"/>
    <cellStyle name="Unprotect 2" xfId="4728"/>
    <cellStyle name="Unprotect 2 2" xfId="5328"/>
    <cellStyle name="Unprotect 2 2 2" xfId="6087"/>
    <cellStyle name="Unprotect 2 2 2 2" xfId="7604"/>
    <cellStyle name="Unprotect 2 2 2 2 2" xfId="12459"/>
    <cellStyle name="Unprotect 2 2 2 3" xfId="9125"/>
    <cellStyle name="Unprotect 2 2 2 3 2" xfId="13978"/>
    <cellStyle name="Unprotect 2 2 2 4" xfId="10943"/>
    <cellStyle name="Unprotect 2 2 3" xfId="6846"/>
    <cellStyle name="Unprotect 2 2 3 2" xfId="11701"/>
    <cellStyle name="Unprotect 2 2 4" xfId="8367"/>
    <cellStyle name="Unprotect 2 2 4 2" xfId="13220"/>
    <cellStyle name="Unprotect 2 2 5" xfId="10185"/>
    <cellStyle name="Unprotect 2 3" xfId="5709"/>
    <cellStyle name="Unprotect 2 3 2" xfId="7226"/>
    <cellStyle name="Unprotect 2 3 2 2" xfId="12081"/>
    <cellStyle name="Unprotect 2 3 3" xfId="8747"/>
    <cellStyle name="Unprotect 2 3 3 2" xfId="13600"/>
    <cellStyle name="Unprotect 2 3 4" xfId="10565"/>
    <cellStyle name="Unprotect 2 4" xfId="6468"/>
    <cellStyle name="Unprotect 2 4 2" xfId="11323"/>
    <cellStyle name="Unprotect 2 5" xfId="7989"/>
    <cellStyle name="Unprotect 2 5 2" xfId="12842"/>
    <cellStyle name="Unprotect 2 6" xfId="9807"/>
    <cellStyle name="Unprotected" xfId="597"/>
    <cellStyle name="UnProtectedCalc" xfId="162"/>
    <cellStyle name="UnProtectedCalc 2" xfId="5074"/>
    <cellStyle name="Upload Only" xfId="163"/>
    <cellStyle name="Upload Only 2" xfId="598"/>
    <cellStyle name="UploadThisRowValue" xfId="4729"/>
    <cellStyle name="UploadThisRowValue 2" xfId="5329"/>
    <cellStyle name="UploadThisRowValue 2 2" xfId="6088"/>
    <cellStyle name="UploadThisRowValue 2 2 2" xfId="7605"/>
    <cellStyle name="UploadThisRowValue 2 2 2 2" xfId="12460"/>
    <cellStyle name="UploadThisRowValue 2 2 3" xfId="9126"/>
    <cellStyle name="UploadThisRowValue 2 2 3 2" xfId="13979"/>
    <cellStyle name="UploadThisRowValue 2 2 4" xfId="10944"/>
    <cellStyle name="UploadThisRowValue 2 3" xfId="6847"/>
    <cellStyle name="UploadThisRowValue 2 3 2" xfId="11702"/>
    <cellStyle name="UploadThisRowValue 2 4" xfId="8368"/>
    <cellStyle name="UploadThisRowValue 2 4 2" xfId="13221"/>
    <cellStyle name="UploadThisRowValue 2 5" xfId="10186"/>
    <cellStyle name="UploadThisRowValue 3" xfId="5710"/>
    <cellStyle name="UploadThisRowValue 3 2" xfId="7227"/>
    <cellStyle name="UploadThisRowValue 3 2 2" xfId="12082"/>
    <cellStyle name="UploadThisRowValue 3 3" xfId="8748"/>
    <cellStyle name="UploadThisRowValue 3 3 2" xfId="13601"/>
    <cellStyle name="UploadThisRowValue 3 4" xfId="10566"/>
    <cellStyle name="UploadThisRowValue 4" xfId="6469"/>
    <cellStyle name="UploadThisRowValue 4 2" xfId="11324"/>
    <cellStyle name="UploadThisRowValue 5" xfId="7990"/>
    <cellStyle name="UploadThisRowValue 5 2" xfId="12843"/>
    <cellStyle name="UploadThisRowValue 6" xfId="9808"/>
    <cellStyle name="Use_1dp" xfId="9539"/>
    <cellStyle name="UseB_1dp" xfId="9540"/>
    <cellStyle name="User_Defined_A" xfId="4730"/>
    <cellStyle name="ViewDate" xfId="4731"/>
    <cellStyle name="ViewDate 2" xfId="5330"/>
    <cellStyle name="ViewDate 2 2" xfId="6089"/>
    <cellStyle name="ViewDate 2 2 2" xfId="7606"/>
    <cellStyle name="ViewDate 2 2 2 2" xfId="12461"/>
    <cellStyle name="ViewDate 2 2 3" xfId="9127"/>
    <cellStyle name="ViewDate 2 2 3 2" xfId="13980"/>
    <cellStyle name="ViewDate 2 2 4" xfId="10945"/>
    <cellStyle name="ViewDate 2 3" xfId="6848"/>
    <cellStyle name="ViewDate 2 3 2" xfId="11703"/>
    <cellStyle name="ViewDate 2 4" xfId="8369"/>
    <cellStyle name="ViewDate 2 4 2" xfId="13222"/>
    <cellStyle name="ViewDate 2 5" xfId="10187"/>
    <cellStyle name="ViewDate 3" xfId="5711"/>
    <cellStyle name="ViewDate 3 2" xfId="7228"/>
    <cellStyle name="ViewDate 3 2 2" xfId="12083"/>
    <cellStyle name="ViewDate 3 3" xfId="8749"/>
    <cellStyle name="ViewDate 3 3 2" xfId="13602"/>
    <cellStyle name="ViewDate 3 4" xfId="10567"/>
    <cellStyle name="ViewDate 4" xfId="6470"/>
    <cellStyle name="ViewDate 4 2" xfId="11325"/>
    <cellStyle name="ViewDate 5" xfId="7991"/>
    <cellStyle name="ViewDate 5 2" xfId="12844"/>
    <cellStyle name="ViewDate 6" xfId="9809"/>
    <cellStyle name="ViewDetailDate" xfId="4732"/>
    <cellStyle name="ViewDetailDate 2" xfId="5331"/>
    <cellStyle name="ViewDetailDate 2 2" xfId="6090"/>
    <cellStyle name="ViewDetailDate 2 2 2" xfId="7607"/>
    <cellStyle name="ViewDetailDate 2 2 2 2" xfId="12462"/>
    <cellStyle name="ViewDetailDate 2 2 3" xfId="9128"/>
    <cellStyle name="ViewDetailDate 2 2 3 2" xfId="13981"/>
    <cellStyle name="ViewDetailDate 2 2 4" xfId="10946"/>
    <cellStyle name="ViewDetailDate 2 3" xfId="6849"/>
    <cellStyle name="ViewDetailDate 2 3 2" xfId="11704"/>
    <cellStyle name="ViewDetailDate 2 4" xfId="8370"/>
    <cellStyle name="ViewDetailDate 2 4 2" xfId="13223"/>
    <cellStyle name="ViewDetailDate 2 5" xfId="10188"/>
    <cellStyle name="ViewDetailDate 3" xfId="5712"/>
    <cellStyle name="ViewDetailDate 3 2" xfId="7229"/>
    <cellStyle name="ViewDetailDate 3 2 2" xfId="12084"/>
    <cellStyle name="ViewDetailDate 3 3" xfId="8750"/>
    <cellStyle name="ViewDetailDate 3 3 2" xfId="13603"/>
    <cellStyle name="ViewDetailDate 3 4" xfId="10568"/>
    <cellStyle name="ViewDetailDate 4" xfId="6471"/>
    <cellStyle name="ViewDetailDate 4 2" xfId="11326"/>
    <cellStyle name="ViewDetailDate 5" xfId="7992"/>
    <cellStyle name="ViewDetailDate 5 2" xfId="12845"/>
    <cellStyle name="ViewDetailDate 6" xfId="9810"/>
    <cellStyle name="ViewDetailInt" xfId="4733"/>
    <cellStyle name="ViewDetailInt 2" xfId="5332"/>
    <cellStyle name="ViewDetailInt 2 2" xfId="6091"/>
    <cellStyle name="ViewDetailInt 2 2 2" xfId="7608"/>
    <cellStyle name="ViewDetailInt 2 2 2 2" xfId="12463"/>
    <cellStyle name="ViewDetailInt 2 2 3" xfId="9129"/>
    <cellStyle name="ViewDetailInt 2 2 3 2" xfId="13982"/>
    <cellStyle name="ViewDetailInt 2 2 4" xfId="10947"/>
    <cellStyle name="ViewDetailInt 2 3" xfId="6850"/>
    <cellStyle name="ViewDetailInt 2 3 2" xfId="11705"/>
    <cellStyle name="ViewDetailInt 2 4" xfId="8371"/>
    <cellStyle name="ViewDetailInt 2 4 2" xfId="13224"/>
    <cellStyle name="ViewDetailInt 2 5" xfId="10189"/>
    <cellStyle name="ViewDetailInt 3" xfId="5713"/>
    <cellStyle name="ViewDetailInt 3 2" xfId="7230"/>
    <cellStyle name="ViewDetailInt 3 2 2" xfId="12085"/>
    <cellStyle name="ViewDetailInt 3 3" xfId="8751"/>
    <cellStyle name="ViewDetailInt 3 3 2" xfId="13604"/>
    <cellStyle name="ViewDetailInt 3 4" xfId="10569"/>
    <cellStyle name="ViewDetailInt 4" xfId="6472"/>
    <cellStyle name="ViewDetailInt 4 2" xfId="11327"/>
    <cellStyle name="ViewDetailInt 5" xfId="7993"/>
    <cellStyle name="ViewDetailInt 5 2" xfId="12846"/>
    <cellStyle name="ViewDetailInt 6" xfId="9811"/>
    <cellStyle name="ViewDetailPct" xfId="4734"/>
    <cellStyle name="ViewDetailPct 2" xfId="5333"/>
    <cellStyle name="ViewDetailPct 2 2" xfId="6092"/>
    <cellStyle name="ViewDetailPct 2 2 2" xfId="7609"/>
    <cellStyle name="ViewDetailPct 2 2 2 2" xfId="12464"/>
    <cellStyle name="ViewDetailPct 2 2 3" xfId="9130"/>
    <cellStyle name="ViewDetailPct 2 2 3 2" xfId="13983"/>
    <cellStyle name="ViewDetailPct 2 2 4" xfId="10948"/>
    <cellStyle name="ViewDetailPct 2 3" xfId="6851"/>
    <cellStyle name="ViewDetailPct 2 3 2" xfId="11706"/>
    <cellStyle name="ViewDetailPct 2 4" xfId="8372"/>
    <cellStyle name="ViewDetailPct 2 4 2" xfId="13225"/>
    <cellStyle name="ViewDetailPct 2 5" xfId="10190"/>
    <cellStyle name="ViewDetailPct 3" xfId="5714"/>
    <cellStyle name="ViewDetailPct 3 2" xfId="7231"/>
    <cellStyle name="ViewDetailPct 3 2 2" xfId="12086"/>
    <cellStyle name="ViewDetailPct 3 3" xfId="8752"/>
    <cellStyle name="ViewDetailPct 3 3 2" xfId="13605"/>
    <cellStyle name="ViewDetailPct 3 4" xfId="10570"/>
    <cellStyle name="ViewDetailPct 4" xfId="6473"/>
    <cellStyle name="ViewDetailPct 4 2" xfId="11328"/>
    <cellStyle name="ViewDetailPct 5" xfId="7994"/>
    <cellStyle name="ViewDetailPct 5 2" xfId="12847"/>
    <cellStyle name="ViewDetailPct 6" xfId="9812"/>
    <cellStyle name="ViewGrndTotalInt" xfId="4735"/>
    <cellStyle name="ViewGrndTotalInt 10" xfId="4736"/>
    <cellStyle name="ViewGrndTotalInt 10 2" xfId="5335"/>
    <cellStyle name="ViewGrndTotalInt 10 2 2" xfId="6094"/>
    <cellStyle name="ViewGrndTotalInt 10 2 2 2" xfId="7611"/>
    <cellStyle name="ViewGrndTotalInt 10 2 2 2 2" xfId="12466"/>
    <cellStyle name="ViewGrndTotalInt 10 2 2 3" xfId="9132"/>
    <cellStyle name="ViewGrndTotalInt 10 2 2 3 2" xfId="13985"/>
    <cellStyle name="ViewGrndTotalInt 10 2 2 4" xfId="10950"/>
    <cellStyle name="ViewGrndTotalInt 10 2 3" xfId="6853"/>
    <cellStyle name="ViewGrndTotalInt 10 2 3 2" xfId="11708"/>
    <cellStyle name="ViewGrndTotalInt 10 2 4" xfId="8374"/>
    <cellStyle name="ViewGrndTotalInt 10 2 4 2" xfId="13227"/>
    <cellStyle name="ViewGrndTotalInt 10 2 5" xfId="10192"/>
    <cellStyle name="ViewGrndTotalInt 10 3" xfId="5716"/>
    <cellStyle name="ViewGrndTotalInt 10 3 2" xfId="7233"/>
    <cellStyle name="ViewGrndTotalInt 10 3 2 2" xfId="12088"/>
    <cellStyle name="ViewGrndTotalInt 10 3 3" xfId="8754"/>
    <cellStyle name="ViewGrndTotalInt 10 3 3 2" xfId="13607"/>
    <cellStyle name="ViewGrndTotalInt 10 3 4" xfId="10572"/>
    <cellStyle name="ViewGrndTotalInt 10 4" xfId="6475"/>
    <cellStyle name="ViewGrndTotalInt 10 4 2" xfId="11330"/>
    <cellStyle name="ViewGrndTotalInt 10 5" xfId="7996"/>
    <cellStyle name="ViewGrndTotalInt 10 5 2" xfId="12849"/>
    <cellStyle name="ViewGrndTotalInt 10 6" xfId="9814"/>
    <cellStyle name="ViewGrndTotalInt 11" xfId="4737"/>
    <cellStyle name="ViewGrndTotalInt 11 2" xfId="5336"/>
    <cellStyle name="ViewGrndTotalInt 11 2 2" xfId="6095"/>
    <cellStyle name="ViewGrndTotalInt 11 2 2 2" xfId="7612"/>
    <cellStyle name="ViewGrndTotalInt 11 2 2 2 2" xfId="12467"/>
    <cellStyle name="ViewGrndTotalInt 11 2 2 3" xfId="9133"/>
    <cellStyle name="ViewGrndTotalInt 11 2 2 3 2" xfId="13986"/>
    <cellStyle name="ViewGrndTotalInt 11 2 2 4" xfId="10951"/>
    <cellStyle name="ViewGrndTotalInt 11 2 3" xfId="6854"/>
    <cellStyle name="ViewGrndTotalInt 11 2 3 2" xfId="11709"/>
    <cellStyle name="ViewGrndTotalInt 11 2 4" xfId="8375"/>
    <cellStyle name="ViewGrndTotalInt 11 2 4 2" xfId="13228"/>
    <cellStyle name="ViewGrndTotalInt 11 2 5" xfId="10193"/>
    <cellStyle name="ViewGrndTotalInt 11 3" xfId="5717"/>
    <cellStyle name="ViewGrndTotalInt 11 3 2" xfId="7234"/>
    <cellStyle name="ViewGrndTotalInt 11 3 2 2" xfId="12089"/>
    <cellStyle name="ViewGrndTotalInt 11 3 3" xfId="8755"/>
    <cellStyle name="ViewGrndTotalInt 11 3 3 2" xfId="13608"/>
    <cellStyle name="ViewGrndTotalInt 11 3 4" xfId="10573"/>
    <cellStyle name="ViewGrndTotalInt 11 4" xfId="6476"/>
    <cellStyle name="ViewGrndTotalInt 11 4 2" xfId="11331"/>
    <cellStyle name="ViewGrndTotalInt 11 5" xfId="7997"/>
    <cellStyle name="ViewGrndTotalInt 11 5 2" xfId="12850"/>
    <cellStyle name="ViewGrndTotalInt 11 6" xfId="9815"/>
    <cellStyle name="ViewGrndTotalInt 12" xfId="4738"/>
    <cellStyle name="ViewGrndTotalInt 12 2" xfId="5337"/>
    <cellStyle name="ViewGrndTotalInt 12 2 2" xfId="6096"/>
    <cellStyle name="ViewGrndTotalInt 12 2 2 2" xfId="7613"/>
    <cellStyle name="ViewGrndTotalInt 12 2 2 2 2" xfId="12468"/>
    <cellStyle name="ViewGrndTotalInt 12 2 2 3" xfId="9134"/>
    <cellStyle name="ViewGrndTotalInt 12 2 2 3 2" xfId="13987"/>
    <cellStyle name="ViewGrndTotalInt 12 2 2 4" xfId="10952"/>
    <cellStyle name="ViewGrndTotalInt 12 2 3" xfId="6855"/>
    <cellStyle name="ViewGrndTotalInt 12 2 3 2" xfId="11710"/>
    <cellStyle name="ViewGrndTotalInt 12 2 4" xfId="8376"/>
    <cellStyle name="ViewGrndTotalInt 12 2 4 2" xfId="13229"/>
    <cellStyle name="ViewGrndTotalInt 12 2 5" xfId="10194"/>
    <cellStyle name="ViewGrndTotalInt 12 3" xfId="5718"/>
    <cellStyle name="ViewGrndTotalInt 12 3 2" xfId="7235"/>
    <cellStyle name="ViewGrndTotalInt 12 3 2 2" xfId="12090"/>
    <cellStyle name="ViewGrndTotalInt 12 3 3" xfId="8756"/>
    <cellStyle name="ViewGrndTotalInt 12 3 3 2" xfId="13609"/>
    <cellStyle name="ViewGrndTotalInt 12 3 4" xfId="10574"/>
    <cellStyle name="ViewGrndTotalInt 12 4" xfId="6477"/>
    <cellStyle name="ViewGrndTotalInt 12 4 2" xfId="11332"/>
    <cellStyle name="ViewGrndTotalInt 12 5" xfId="7998"/>
    <cellStyle name="ViewGrndTotalInt 12 5 2" xfId="12851"/>
    <cellStyle name="ViewGrndTotalInt 12 6" xfId="9816"/>
    <cellStyle name="ViewGrndTotalInt 13" xfId="5334"/>
    <cellStyle name="ViewGrndTotalInt 13 2" xfId="6093"/>
    <cellStyle name="ViewGrndTotalInt 13 2 2" xfId="7610"/>
    <cellStyle name="ViewGrndTotalInt 13 2 2 2" xfId="12465"/>
    <cellStyle name="ViewGrndTotalInt 13 2 3" xfId="9131"/>
    <cellStyle name="ViewGrndTotalInt 13 2 3 2" xfId="13984"/>
    <cellStyle name="ViewGrndTotalInt 13 2 4" xfId="10949"/>
    <cellStyle name="ViewGrndTotalInt 13 3" xfId="6852"/>
    <cellStyle name="ViewGrndTotalInt 13 3 2" xfId="11707"/>
    <cellStyle name="ViewGrndTotalInt 13 4" xfId="8373"/>
    <cellStyle name="ViewGrndTotalInt 13 4 2" xfId="13226"/>
    <cellStyle name="ViewGrndTotalInt 13 5" xfId="10191"/>
    <cellStyle name="ViewGrndTotalInt 14" xfId="5715"/>
    <cellStyle name="ViewGrndTotalInt 14 2" xfId="7232"/>
    <cellStyle name="ViewGrndTotalInt 14 2 2" xfId="12087"/>
    <cellStyle name="ViewGrndTotalInt 14 3" xfId="8753"/>
    <cellStyle name="ViewGrndTotalInt 14 3 2" xfId="13606"/>
    <cellStyle name="ViewGrndTotalInt 14 4" xfId="10571"/>
    <cellStyle name="ViewGrndTotalInt 15" xfId="6474"/>
    <cellStyle name="ViewGrndTotalInt 15 2" xfId="11329"/>
    <cellStyle name="ViewGrndTotalInt 16" xfId="7995"/>
    <cellStyle name="ViewGrndTotalInt 16 2" xfId="12848"/>
    <cellStyle name="ViewGrndTotalInt 17" xfId="9813"/>
    <cellStyle name="ViewGrndTotalInt 2" xfId="4739"/>
    <cellStyle name="ViewGrndTotalInt 2 2" xfId="5338"/>
    <cellStyle name="ViewGrndTotalInt 2 2 2" xfId="6097"/>
    <cellStyle name="ViewGrndTotalInt 2 2 2 2" xfId="7614"/>
    <cellStyle name="ViewGrndTotalInt 2 2 2 2 2" xfId="12469"/>
    <cellStyle name="ViewGrndTotalInt 2 2 2 3" xfId="9135"/>
    <cellStyle name="ViewGrndTotalInt 2 2 2 3 2" xfId="13988"/>
    <cellStyle name="ViewGrndTotalInt 2 2 2 4" xfId="10953"/>
    <cellStyle name="ViewGrndTotalInt 2 2 3" xfId="6856"/>
    <cellStyle name="ViewGrndTotalInt 2 2 3 2" xfId="11711"/>
    <cellStyle name="ViewGrndTotalInt 2 2 4" xfId="8377"/>
    <cellStyle name="ViewGrndTotalInt 2 2 4 2" xfId="13230"/>
    <cellStyle name="ViewGrndTotalInt 2 2 5" xfId="10195"/>
    <cellStyle name="ViewGrndTotalInt 2 3" xfId="5719"/>
    <cellStyle name="ViewGrndTotalInt 2 3 2" xfId="7236"/>
    <cellStyle name="ViewGrndTotalInt 2 3 2 2" xfId="12091"/>
    <cellStyle name="ViewGrndTotalInt 2 3 3" xfId="8757"/>
    <cellStyle name="ViewGrndTotalInt 2 3 3 2" xfId="13610"/>
    <cellStyle name="ViewGrndTotalInt 2 3 4" xfId="10575"/>
    <cellStyle name="ViewGrndTotalInt 2 4" xfId="6478"/>
    <cellStyle name="ViewGrndTotalInt 2 4 2" xfId="11333"/>
    <cellStyle name="ViewGrndTotalInt 2 5" xfId="7999"/>
    <cellStyle name="ViewGrndTotalInt 2 5 2" xfId="12852"/>
    <cellStyle name="ViewGrndTotalInt 2 6" xfId="9817"/>
    <cellStyle name="ViewGrndTotalInt 3" xfId="4740"/>
    <cellStyle name="ViewGrndTotalInt 3 2" xfId="5339"/>
    <cellStyle name="ViewGrndTotalInt 3 2 2" xfId="6098"/>
    <cellStyle name="ViewGrndTotalInt 3 2 2 2" xfId="7615"/>
    <cellStyle name="ViewGrndTotalInt 3 2 2 2 2" xfId="12470"/>
    <cellStyle name="ViewGrndTotalInt 3 2 2 3" xfId="9136"/>
    <cellStyle name="ViewGrndTotalInt 3 2 2 3 2" xfId="13989"/>
    <cellStyle name="ViewGrndTotalInt 3 2 2 4" xfId="10954"/>
    <cellStyle name="ViewGrndTotalInt 3 2 3" xfId="6857"/>
    <cellStyle name="ViewGrndTotalInt 3 2 3 2" xfId="11712"/>
    <cellStyle name="ViewGrndTotalInt 3 2 4" xfId="8378"/>
    <cellStyle name="ViewGrndTotalInt 3 2 4 2" xfId="13231"/>
    <cellStyle name="ViewGrndTotalInt 3 2 5" xfId="10196"/>
    <cellStyle name="ViewGrndTotalInt 3 3" xfId="5720"/>
    <cellStyle name="ViewGrndTotalInt 3 3 2" xfId="7237"/>
    <cellStyle name="ViewGrndTotalInt 3 3 2 2" xfId="12092"/>
    <cellStyle name="ViewGrndTotalInt 3 3 3" xfId="8758"/>
    <cellStyle name="ViewGrndTotalInt 3 3 3 2" xfId="13611"/>
    <cellStyle name="ViewGrndTotalInt 3 3 4" xfId="10576"/>
    <cellStyle name="ViewGrndTotalInt 3 4" xfId="6479"/>
    <cellStyle name="ViewGrndTotalInt 3 4 2" xfId="11334"/>
    <cellStyle name="ViewGrndTotalInt 3 5" xfId="8000"/>
    <cellStyle name="ViewGrndTotalInt 3 5 2" xfId="12853"/>
    <cellStyle name="ViewGrndTotalInt 3 6" xfId="9818"/>
    <cellStyle name="ViewGrndTotalInt 4" xfId="4741"/>
    <cellStyle name="ViewGrndTotalInt 4 2" xfId="5340"/>
    <cellStyle name="ViewGrndTotalInt 4 2 2" xfId="6099"/>
    <cellStyle name="ViewGrndTotalInt 4 2 2 2" xfId="7616"/>
    <cellStyle name="ViewGrndTotalInt 4 2 2 2 2" xfId="12471"/>
    <cellStyle name="ViewGrndTotalInt 4 2 2 3" xfId="9137"/>
    <cellStyle name="ViewGrndTotalInt 4 2 2 3 2" xfId="13990"/>
    <cellStyle name="ViewGrndTotalInt 4 2 2 4" xfId="10955"/>
    <cellStyle name="ViewGrndTotalInt 4 2 3" xfId="6858"/>
    <cellStyle name="ViewGrndTotalInt 4 2 3 2" xfId="11713"/>
    <cellStyle name="ViewGrndTotalInt 4 2 4" xfId="8379"/>
    <cellStyle name="ViewGrndTotalInt 4 2 4 2" xfId="13232"/>
    <cellStyle name="ViewGrndTotalInt 4 2 5" xfId="10197"/>
    <cellStyle name="ViewGrndTotalInt 4 3" xfId="5721"/>
    <cellStyle name="ViewGrndTotalInt 4 3 2" xfId="7238"/>
    <cellStyle name="ViewGrndTotalInt 4 3 2 2" xfId="12093"/>
    <cellStyle name="ViewGrndTotalInt 4 3 3" xfId="8759"/>
    <cellStyle name="ViewGrndTotalInt 4 3 3 2" xfId="13612"/>
    <cellStyle name="ViewGrndTotalInt 4 3 4" xfId="10577"/>
    <cellStyle name="ViewGrndTotalInt 4 4" xfId="6480"/>
    <cellStyle name="ViewGrndTotalInt 4 4 2" xfId="11335"/>
    <cellStyle name="ViewGrndTotalInt 4 5" xfId="8001"/>
    <cellStyle name="ViewGrndTotalInt 4 5 2" xfId="12854"/>
    <cellStyle name="ViewGrndTotalInt 4 6" xfId="9819"/>
    <cellStyle name="ViewGrndTotalInt 5" xfId="4742"/>
    <cellStyle name="ViewGrndTotalInt 5 2" xfId="5341"/>
    <cellStyle name="ViewGrndTotalInt 5 2 2" xfId="6100"/>
    <cellStyle name="ViewGrndTotalInt 5 2 2 2" xfId="7617"/>
    <cellStyle name="ViewGrndTotalInt 5 2 2 2 2" xfId="12472"/>
    <cellStyle name="ViewGrndTotalInt 5 2 2 3" xfId="9138"/>
    <cellStyle name="ViewGrndTotalInt 5 2 2 3 2" xfId="13991"/>
    <cellStyle name="ViewGrndTotalInt 5 2 2 4" xfId="10956"/>
    <cellStyle name="ViewGrndTotalInt 5 2 3" xfId="6859"/>
    <cellStyle name="ViewGrndTotalInt 5 2 3 2" xfId="11714"/>
    <cellStyle name="ViewGrndTotalInt 5 2 4" xfId="8380"/>
    <cellStyle name="ViewGrndTotalInt 5 2 4 2" xfId="13233"/>
    <cellStyle name="ViewGrndTotalInt 5 2 5" xfId="10198"/>
    <cellStyle name="ViewGrndTotalInt 5 3" xfId="5722"/>
    <cellStyle name="ViewGrndTotalInt 5 3 2" xfId="7239"/>
    <cellStyle name="ViewGrndTotalInt 5 3 2 2" xfId="12094"/>
    <cellStyle name="ViewGrndTotalInt 5 3 3" xfId="8760"/>
    <cellStyle name="ViewGrndTotalInt 5 3 3 2" xfId="13613"/>
    <cellStyle name="ViewGrndTotalInt 5 3 4" xfId="10578"/>
    <cellStyle name="ViewGrndTotalInt 5 4" xfId="6481"/>
    <cellStyle name="ViewGrndTotalInt 5 4 2" xfId="11336"/>
    <cellStyle name="ViewGrndTotalInt 5 5" xfId="8002"/>
    <cellStyle name="ViewGrndTotalInt 5 5 2" xfId="12855"/>
    <cellStyle name="ViewGrndTotalInt 5 6" xfId="9820"/>
    <cellStyle name="ViewGrndTotalInt 6" xfId="4743"/>
    <cellStyle name="ViewGrndTotalInt 6 2" xfId="5342"/>
    <cellStyle name="ViewGrndTotalInt 6 2 2" xfId="6101"/>
    <cellStyle name="ViewGrndTotalInt 6 2 2 2" xfId="7618"/>
    <cellStyle name="ViewGrndTotalInt 6 2 2 2 2" xfId="12473"/>
    <cellStyle name="ViewGrndTotalInt 6 2 2 3" xfId="9139"/>
    <cellStyle name="ViewGrndTotalInt 6 2 2 3 2" xfId="13992"/>
    <cellStyle name="ViewGrndTotalInt 6 2 2 4" xfId="10957"/>
    <cellStyle name="ViewGrndTotalInt 6 2 3" xfId="6860"/>
    <cellStyle name="ViewGrndTotalInt 6 2 3 2" xfId="11715"/>
    <cellStyle name="ViewGrndTotalInt 6 2 4" xfId="8381"/>
    <cellStyle name="ViewGrndTotalInt 6 2 4 2" xfId="13234"/>
    <cellStyle name="ViewGrndTotalInt 6 2 5" xfId="10199"/>
    <cellStyle name="ViewGrndTotalInt 6 3" xfId="5723"/>
    <cellStyle name="ViewGrndTotalInt 6 3 2" xfId="7240"/>
    <cellStyle name="ViewGrndTotalInt 6 3 2 2" xfId="12095"/>
    <cellStyle name="ViewGrndTotalInt 6 3 3" xfId="8761"/>
    <cellStyle name="ViewGrndTotalInt 6 3 3 2" xfId="13614"/>
    <cellStyle name="ViewGrndTotalInt 6 3 4" xfId="10579"/>
    <cellStyle name="ViewGrndTotalInt 6 4" xfId="6482"/>
    <cellStyle name="ViewGrndTotalInt 6 4 2" xfId="11337"/>
    <cellStyle name="ViewGrndTotalInt 6 5" xfId="8003"/>
    <cellStyle name="ViewGrndTotalInt 6 5 2" xfId="12856"/>
    <cellStyle name="ViewGrndTotalInt 6 6" xfId="9821"/>
    <cellStyle name="ViewGrndTotalInt 7" xfId="4744"/>
    <cellStyle name="ViewGrndTotalInt 7 2" xfId="5343"/>
    <cellStyle name="ViewGrndTotalInt 7 2 2" xfId="6102"/>
    <cellStyle name="ViewGrndTotalInt 7 2 2 2" xfId="7619"/>
    <cellStyle name="ViewGrndTotalInt 7 2 2 2 2" xfId="12474"/>
    <cellStyle name="ViewGrndTotalInt 7 2 2 3" xfId="9140"/>
    <cellStyle name="ViewGrndTotalInt 7 2 2 3 2" xfId="13993"/>
    <cellStyle name="ViewGrndTotalInt 7 2 2 4" xfId="10958"/>
    <cellStyle name="ViewGrndTotalInt 7 2 3" xfId="6861"/>
    <cellStyle name="ViewGrndTotalInt 7 2 3 2" xfId="11716"/>
    <cellStyle name="ViewGrndTotalInt 7 2 4" xfId="8382"/>
    <cellStyle name="ViewGrndTotalInt 7 2 4 2" xfId="13235"/>
    <cellStyle name="ViewGrndTotalInt 7 2 5" xfId="10200"/>
    <cellStyle name="ViewGrndTotalInt 7 3" xfId="5724"/>
    <cellStyle name="ViewGrndTotalInt 7 3 2" xfId="7241"/>
    <cellStyle name="ViewGrndTotalInt 7 3 2 2" xfId="12096"/>
    <cellStyle name="ViewGrndTotalInt 7 3 3" xfId="8762"/>
    <cellStyle name="ViewGrndTotalInt 7 3 3 2" xfId="13615"/>
    <cellStyle name="ViewGrndTotalInt 7 3 4" xfId="10580"/>
    <cellStyle name="ViewGrndTotalInt 7 4" xfId="6483"/>
    <cellStyle name="ViewGrndTotalInt 7 4 2" xfId="11338"/>
    <cellStyle name="ViewGrndTotalInt 7 5" xfId="8004"/>
    <cellStyle name="ViewGrndTotalInt 7 5 2" xfId="12857"/>
    <cellStyle name="ViewGrndTotalInt 7 6" xfId="9822"/>
    <cellStyle name="ViewGrndTotalInt 8" xfId="4745"/>
    <cellStyle name="ViewGrndTotalInt 8 2" xfId="5344"/>
    <cellStyle name="ViewGrndTotalInt 8 2 2" xfId="6103"/>
    <cellStyle name="ViewGrndTotalInt 8 2 2 2" xfId="7620"/>
    <cellStyle name="ViewGrndTotalInt 8 2 2 2 2" xfId="12475"/>
    <cellStyle name="ViewGrndTotalInt 8 2 2 3" xfId="9141"/>
    <cellStyle name="ViewGrndTotalInt 8 2 2 3 2" xfId="13994"/>
    <cellStyle name="ViewGrndTotalInt 8 2 2 4" xfId="10959"/>
    <cellStyle name="ViewGrndTotalInt 8 2 3" xfId="6862"/>
    <cellStyle name="ViewGrndTotalInt 8 2 3 2" xfId="11717"/>
    <cellStyle name="ViewGrndTotalInt 8 2 4" xfId="8383"/>
    <cellStyle name="ViewGrndTotalInt 8 2 4 2" xfId="13236"/>
    <cellStyle name="ViewGrndTotalInt 8 2 5" xfId="10201"/>
    <cellStyle name="ViewGrndTotalInt 8 3" xfId="5725"/>
    <cellStyle name="ViewGrndTotalInt 8 3 2" xfId="7242"/>
    <cellStyle name="ViewGrndTotalInt 8 3 2 2" xfId="12097"/>
    <cellStyle name="ViewGrndTotalInt 8 3 3" xfId="8763"/>
    <cellStyle name="ViewGrndTotalInt 8 3 3 2" xfId="13616"/>
    <cellStyle name="ViewGrndTotalInt 8 3 4" xfId="10581"/>
    <cellStyle name="ViewGrndTotalInt 8 4" xfId="6484"/>
    <cellStyle name="ViewGrndTotalInt 8 4 2" xfId="11339"/>
    <cellStyle name="ViewGrndTotalInt 8 5" xfId="8005"/>
    <cellStyle name="ViewGrndTotalInt 8 5 2" xfId="12858"/>
    <cellStyle name="ViewGrndTotalInt 8 6" xfId="9823"/>
    <cellStyle name="ViewGrndTotalInt 9" xfId="4746"/>
    <cellStyle name="ViewGrndTotalInt 9 2" xfId="5345"/>
    <cellStyle name="ViewGrndTotalInt 9 2 2" xfId="6104"/>
    <cellStyle name="ViewGrndTotalInt 9 2 2 2" xfId="7621"/>
    <cellStyle name="ViewGrndTotalInt 9 2 2 2 2" xfId="12476"/>
    <cellStyle name="ViewGrndTotalInt 9 2 2 3" xfId="9142"/>
    <cellStyle name="ViewGrndTotalInt 9 2 2 3 2" xfId="13995"/>
    <cellStyle name="ViewGrndTotalInt 9 2 2 4" xfId="10960"/>
    <cellStyle name="ViewGrndTotalInt 9 2 3" xfId="6863"/>
    <cellStyle name="ViewGrndTotalInt 9 2 3 2" xfId="11718"/>
    <cellStyle name="ViewGrndTotalInt 9 2 4" xfId="8384"/>
    <cellStyle name="ViewGrndTotalInt 9 2 4 2" xfId="13237"/>
    <cellStyle name="ViewGrndTotalInt 9 2 5" xfId="10202"/>
    <cellStyle name="ViewGrndTotalInt 9 3" xfId="5726"/>
    <cellStyle name="ViewGrndTotalInt 9 3 2" xfId="7243"/>
    <cellStyle name="ViewGrndTotalInt 9 3 2 2" xfId="12098"/>
    <cellStyle name="ViewGrndTotalInt 9 3 3" xfId="8764"/>
    <cellStyle name="ViewGrndTotalInt 9 3 3 2" xfId="13617"/>
    <cellStyle name="ViewGrndTotalInt 9 3 4" xfId="10582"/>
    <cellStyle name="ViewGrndTotalInt 9 4" xfId="6485"/>
    <cellStyle name="ViewGrndTotalInt 9 4 2" xfId="11340"/>
    <cellStyle name="ViewGrndTotalInt 9 5" xfId="8006"/>
    <cellStyle name="ViewGrndTotalInt 9 5 2" xfId="12859"/>
    <cellStyle name="ViewGrndTotalInt 9 6" xfId="9824"/>
    <cellStyle name="ViewGrndTotalPct" xfId="4747"/>
    <cellStyle name="ViewGrndTotalPct 10" xfId="4748"/>
    <cellStyle name="ViewGrndTotalPct 10 2" xfId="5347"/>
    <cellStyle name="ViewGrndTotalPct 10 2 2" xfId="6106"/>
    <cellStyle name="ViewGrndTotalPct 10 2 2 2" xfId="7623"/>
    <cellStyle name="ViewGrndTotalPct 10 2 2 2 2" xfId="12478"/>
    <cellStyle name="ViewGrndTotalPct 10 2 2 3" xfId="9144"/>
    <cellStyle name="ViewGrndTotalPct 10 2 2 3 2" xfId="13997"/>
    <cellStyle name="ViewGrndTotalPct 10 2 2 4" xfId="10962"/>
    <cellStyle name="ViewGrndTotalPct 10 2 3" xfId="6865"/>
    <cellStyle name="ViewGrndTotalPct 10 2 3 2" xfId="11720"/>
    <cellStyle name="ViewGrndTotalPct 10 2 4" xfId="8386"/>
    <cellStyle name="ViewGrndTotalPct 10 2 4 2" xfId="13239"/>
    <cellStyle name="ViewGrndTotalPct 10 2 5" xfId="10204"/>
    <cellStyle name="ViewGrndTotalPct 10 3" xfId="5728"/>
    <cellStyle name="ViewGrndTotalPct 10 3 2" xfId="7245"/>
    <cellStyle name="ViewGrndTotalPct 10 3 2 2" xfId="12100"/>
    <cellStyle name="ViewGrndTotalPct 10 3 3" xfId="8766"/>
    <cellStyle name="ViewGrndTotalPct 10 3 3 2" xfId="13619"/>
    <cellStyle name="ViewGrndTotalPct 10 3 4" xfId="10584"/>
    <cellStyle name="ViewGrndTotalPct 10 4" xfId="6487"/>
    <cellStyle name="ViewGrndTotalPct 10 4 2" xfId="11342"/>
    <cellStyle name="ViewGrndTotalPct 10 5" xfId="8008"/>
    <cellStyle name="ViewGrndTotalPct 10 5 2" xfId="12861"/>
    <cellStyle name="ViewGrndTotalPct 10 6" xfId="9826"/>
    <cellStyle name="ViewGrndTotalPct 11" xfId="4749"/>
    <cellStyle name="ViewGrndTotalPct 11 2" xfId="5348"/>
    <cellStyle name="ViewGrndTotalPct 11 2 2" xfId="6107"/>
    <cellStyle name="ViewGrndTotalPct 11 2 2 2" xfId="7624"/>
    <cellStyle name="ViewGrndTotalPct 11 2 2 2 2" xfId="12479"/>
    <cellStyle name="ViewGrndTotalPct 11 2 2 3" xfId="9145"/>
    <cellStyle name="ViewGrndTotalPct 11 2 2 3 2" xfId="13998"/>
    <cellStyle name="ViewGrndTotalPct 11 2 2 4" xfId="10963"/>
    <cellStyle name="ViewGrndTotalPct 11 2 3" xfId="6866"/>
    <cellStyle name="ViewGrndTotalPct 11 2 3 2" xfId="11721"/>
    <cellStyle name="ViewGrndTotalPct 11 2 4" xfId="8387"/>
    <cellStyle name="ViewGrndTotalPct 11 2 4 2" xfId="13240"/>
    <cellStyle name="ViewGrndTotalPct 11 2 5" xfId="10205"/>
    <cellStyle name="ViewGrndTotalPct 11 3" xfId="5729"/>
    <cellStyle name="ViewGrndTotalPct 11 3 2" xfId="7246"/>
    <cellStyle name="ViewGrndTotalPct 11 3 2 2" xfId="12101"/>
    <cellStyle name="ViewGrndTotalPct 11 3 3" xfId="8767"/>
    <cellStyle name="ViewGrndTotalPct 11 3 3 2" xfId="13620"/>
    <cellStyle name="ViewGrndTotalPct 11 3 4" xfId="10585"/>
    <cellStyle name="ViewGrndTotalPct 11 4" xfId="6488"/>
    <cellStyle name="ViewGrndTotalPct 11 4 2" xfId="11343"/>
    <cellStyle name="ViewGrndTotalPct 11 5" xfId="8009"/>
    <cellStyle name="ViewGrndTotalPct 11 5 2" xfId="12862"/>
    <cellStyle name="ViewGrndTotalPct 11 6" xfId="9827"/>
    <cellStyle name="ViewGrndTotalPct 12" xfId="4750"/>
    <cellStyle name="ViewGrndTotalPct 12 2" xfId="5349"/>
    <cellStyle name="ViewGrndTotalPct 12 2 2" xfId="6108"/>
    <cellStyle name="ViewGrndTotalPct 12 2 2 2" xfId="7625"/>
    <cellStyle name="ViewGrndTotalPct 12 2 2 2 2" xfId="12480"/>
    <cellStyle name="ViewGrndTotalPct 12 2 2 3" xfId="9146"/>
    <cellStyle name="ViewGrndTotalPct 12 2 2 3 2" xfId="13999"/>
    <cellStyle name="ViewGrndTotalPct 12 2 2 4" xfId="10964"/>
    <cellStyle name="ViewGrndTotalPct 12 2 3" xfId="6867"/>
    <cellStyle name="ViewGrndTotalPct 12 2 3 2" xfId="11722"/>
    <cellStyle name="ViewGrndTotalPct 12 2 4" xfId="8388"/>
    <cellStyle name="ViewGrndTotalPct 12 2 4 2" xfId="13241"/>
    <cellStyle name="ViewGrndTotalPct 12 2 5" xfId="10206"/>
    <cellStyle name="ViewGrndTotalPct 12 3" xfId="5730"/>
    <cellStyle name="ViewGrndTotalPct 12 3 2" xfId="7247"/>
    <cellStyle name="ViewGrndTotalPct 12 3 2 2" xfId="12102"/>
    <cellStyle name="ViewGrndTotalPct 12 3 3" xfId="8768"/>
    <cellStyle name="ViewGrndTotalPct 12 3 3 2" xfId="13621"/>
    <cellStyle name="ViewGrndTotalPct 12 3 4" xfId="10586"/>
    <cellStyle name="ViewGrndTotalPct 12 4" xfId="6489"/>
    <cellStyle name="ViewGrndTotalPct 12 4 2" xfId="11344"/>
    <cellStyle name="ViewGrndTotalPct 12 5" xfId="8010"/>
    <cellStyle name="ViewGrndTotalPct 12 5 2" xfId="12863"/>
    <cellStyle name="ViewGrndTotalPct 12 6" xfId="9828"/>
    <cellStyle name="ViewGrndTotalPct 13" xfId="5346"/>
    <cellStyle name="ViewGrndTotalPct 13 2" xfId="6105"/>
    <cellStyle name="ViewGrndTotalPct 13 2 2" xfId="7622"/>
    <cellStyle name="ViewGrndTotalPct 13 2 2 2" xfId="12477"/>
    <cellStyle name="ViewGrndTotalPct 13 2 3" xfId="9143"/>
    <cellStyle name="ViewGrndTotalPct 13 2 3 2" xfId="13996"/>
    <cellStyle name="ViewGrndTotalPct 13 2 4" xfId="10961"/>
    <cellStyle name="ViewGrndTotalPct 13 3" xfId="6864"/>
    <cellStyle name="ViewGrndTotalPct 13 3 2" xfId="11719"/>
    <cellStyle name="ViewGrndTotalPct 13 4" xfId="8385"/>
    <cellStyle name="ViewGrndTotalPct 13 4 2" xfId="13238"/>
    <cellStyle name="ViewGrndTotalPct 13 5" xfId="10203"/>
    <cellStyle name="ViewGrndTotalPct 14" xfId="5727"/>
    <cellStyle name="ViewGrndTotalPct 14 2" xfId="7244"/>
    <cellStyle name="ViewGrndTotalPct 14 2 2" xfId="12099"/>
    <cellStyle name="ViewGrndTotalPct 14 3" xfId="8765"/>
    <cellStyle name="ViewGrndTotalPct 14 3 2" xfId="13618"/>
    <cellStyle name="ViewGrndTotalPct 14 4" xfId="10583"/>
    <cellStyle name="ViewGrndTotalPct 15" xfId="6486"/>
    <cellStyle name="ViewGrndTotalPct 15 2" xfId="11341"/>
    <cellStyle name="ViewGrndTotalPct 16" xfId="8007"/>
    <cellStyle name="ViewGrndTotalPct 16 2" xfId="12860"/>
    <cellStyle name="ViewGrndTotalPct 17" xfId="9825"/>
    <cellStyle name="ViewGrndTotalPct 2" xfId="4751"/>
    <cellStyle name="ViewGrndTotalPct 2 2" xfId="5350"/>
    <cellStyle name="ViewGrndTotalPct 2 2 2" xfId="6109"/>
    <cellStyle name="ViewGrndTotalPct 2 2 2 2" xfId="7626"/>
    <cellStyle name="ViewGrndTotalPct 2 2 2 2 2" xfId="12481"/>
    <cellStyle name="ViewGrndTotalPct 2 2 2 3" xfId="9147"/>
    <cellStyle name="ViewGrndTotalPct 2 2 2 3 2" xfId="14000"/>
    <cellStyle name="ViewGrndTotalPct 2 2 2 4" xfId="10965"/>
    <cellStyle name="ViewGrndTotalPct 2 2 3" xfId="6868"/>
    <cellStyle name="ViewGrndTotalPct 2 2 3 2" xfId="11723"/>
    <cellStyle name="ViewGrndTotalPct 2 2 4" xfId="8389"/>
    <cellStyle name="ViewGrndTotalPct 2 2 4 2" xfId="13242"/>
    <cellStyle name="ViewGrndTotalPct 2 2 5" xfId="10207"/>
    <cellStyle name="ViewGrndTotalPct 2 3" xfId="5731"/>
    <cellStyle name="ViewGrndTotalPct 2 3 2" xfId="7248"/>
    <cellStyle name="ViewGrndTotalPct 2 3 2 2" xfId="12103"/>
    <cellStyle name="ViewGrndTotalPct 2 3 3" xfId="8769"/>
    <cellStyle name="ViewGrndTotalPct 2 3 3 2" xfId="13622"/>
    <cellStyle name="ViewGrndTotalPct 2 3 4" xfId="10587"/>
    <cellStyle name="ViewGrndTotalPct 2 4" xfId="6490"/>
    <cellStyle name="ViewGrndTotalPct 2 4 2" xfId="11345"/>
    <cellStyle name="ViewGrndTotalPct 2 5" xfId="8011"/>
    <cellStyle name="ViewGrndTotalPct 2 5 2" xfId="12864"/>
    <cellStyle name="ViewGrndTotalPct 2 6" xfId="9829"/>
    <cellStyle name="ViewGrndTotalPct 3" xfId="4752"/>
    <cellStyle name="ViewGrndTotalPct 3 2" xfId="5351"/>
    <cellStyle name="ViewGrndTotalPct 3 2 2" xfId="6110"/>
    <cellStyle name="ViewGrndTotalPct 3 2 2 2" xfId="7627"/>
    <cellStyle name="ViewGrndTotalPct 3 2 2 2 2" xfId="12482"/>
    <cellStyle name="ViewGrndTotalPct 3 2 2 3" xfId="9148"/>
    <cellStyle name="ViewGrndTotalPct 3 2 2 3 2" xfId="14001"/>
    <cellStyle name="ViewGrndTotalPct 3 2 2 4" xfId="10966"/>
    <cellStyle name="ViewGrndTotalPct 3 2 3" xfId="6869"/>
    <cellStyle name="ViewGrndTotalPct 3 2 3 2" xfId="11724"/>
    <cellStyle name="ViewGrndTotalPct 3 2 4" xfId="8390"/>
    <cellStyle name="ViewGrndTotalPct 3 2 4 2" xfId="13243"/>
    <cellStyle name="ViewGrndTotalPct 3 2 5" xfId="10208"/>
    <cellStyle name="ViewGrndTotalPct 3 3" xfId="5732"/>
    <cellStyle name="ViewGrndTotalPct 3 3 2" xfId="7249"/>
    <cellStyle name="ViewGrndTotalPct 3 3 2 2" xfId="12104"/>
    <cellStyle name="ViewGrndTotalPct 3 3 3" xfId="8770"/>
    <cellStyle name="ViewGrndTotalPct 3 3 3 2" xfId="13623"/>
    <cellStyle name="ViewGrndTotalPct 3 3 4" xfId="10588"/>
    <cellStyle name="ViewGrndTotalPct 3 4" xfId="6491"/>
    <cellStyle name="ViewGrndTotalPct 3 4 2" xfId="11346"/>
    <cellStyle name="ViewGrndTotalPct 3 5" xfId="8012"/>
    <cellStyle name="ViewGrndTotalPct 3 5 2" xfId="12865"/>
    <cellStyle name="ViewGrndTotalPct 3 6" xfId="9830"/>
    <cellStyle name="ViewGrndTotalPct 4" xfId="4753"/>
    <cellStyle name="ViewGrndTotalPct 4 2" xfId="5352"/>
    <cellStyle name="ViewGrndTotalPct 4 2 2" xfId="6111"/>
    <cellStyle name="ViewGrndTotalPct 4 2 2 2" xfId="7628"/>
    <cellStyle name="ViewGrndTotalPct 4 2 2 2 2" xfId="12483"/>
    <cellStyle name="ViewGrndTotalPct 4 2 2 3" xfId="9149"/>
    <cellStyle name="ViewGrndTotalPct 4 2 2 3 2" xfId="14002"/>
    <cellStyle name="ViewGrndTotalPct 4 2 2 4" xfId="10967"/>
    <cellStyle name="ViewGrndTotalPct 4 2 3" xfId="6870"/>
    <cellStyle name="ViewGrndTotalPct 4 2 3 2" xfId="11725"/>
    <cellStyle name="ViewGrndTotalPct 4 2 4" xfId="8391"/>
    <cellStyle name="ViewGrndTotalPct 4 2 4 2" xfId="13244"/>
    <cellStyle name="ViewGrndTotalPct 4 2 5" xfId="10209"/>
    <cellStyle name="ViewGrndTotalPct 4 3" xfId="5733"/>
    <cellStyle name="ViewGrndTotalPct 4 3 2" xfId="7250"/>
    <cellStyle name="ViewGrndTotalPct 4 3 2 2" xfId="12105"/>
    <cellStyle name="ViewGrndTotalPct 4 3 3" xfId="8771"/>
    <cellStyle name="ViewGrndTotalPct 4 3 3 2" xfId="13624"/>
    <cellStyle name="ViewGrndTotalPct 4 3 4" xfId="10589"/>
    <cellStyle name="ViewGrndTotalPct 4 4" xfId="6492"/>
    <cellStyle name="ViewGrndTotalPct 4 4 2" xfId="11347"/>
    <cellStyle name="ViewGrndTotalPct 4 5" xfId="8013"/>
    <cellStyle name="ViewGrndTotalPct 4 5 2" xfId="12866"/>
    <cellStyle name="ViewGrndTotalPct 4 6" xfId="9831"/>
    <cellStyle name="ViewGrndTotalPct 5" xfId="4754"/>
    <cellStyle name="ViewGrndTotalPct 5 2" xfId="5353"/>
    <cellStyle name="ViewGrndTotalPct 5 2 2" xfId="6112"/>
    <cellStyle name="ViewGrndTotalPct 5 2 2 2" xfId="7629"/>
    <cellStyle name="ViewGrndTotalPct 5 2 2 2 2" xfId="12484"/>
    <cellStyle name="ViewGrndTotalPct 5 2 2 3" xfId="9150"/>
    <cellStyle name="ViewGrndTotalPct 5 2 2 3 2" xfId="14003"/>
    <cellStyle name="ViewGrndTotalPct 5 2 2 4" xfId="10968"/>
    <cellStyle name="ViewGrndTotalPct 5 2 3" xfId="6871"/>
    <cellStyle name="ViewGrndTotalPct 5 2 3 2" xfId="11726"/>
    <cellStyle name="ViewGrndTotalPct 5 2 4" xfId="8392"/>
    <cellStyle name="ViewGrndTotalPct 5 2 4 2" xfId="13245"/>
    <cellStyle name="ViewGrndTotalPct 5 2 5" xfId="10210"/>
    <cellStyle name="ViewGrndTotalPct 5 3" xfId="5734"/>
    <cellStyle name="ViewGrndTotalPct 5 3 2" xfId="7251"/>
    <cellStyle name="ViewGrndTotalPct 5 3 2 2" xfId="12106"/>
    <cellStyle name="ViewGrndTotalPct 5 3 3" xfId="8772"/>
    <cellStyle name="ViewGrndTotalPct 5 3 3 2" xfId="13625"/>
    <cellStyle name="ViewGrndTotalPct 5 3 4" xfId="10590"/>
    <cellStyle name="ViewGrndTotalPct 5 4" xfId="6493"/>
    <cellStyle name="ViewGrndTotalPct 5 4 2" xfId="11348"/>
    <cellStyle name="ViewGrndTotalPct 5 5" xfId="8014"/>
    <cellStyle name="ViewGrndTotalPct 5 5 2" xfId="12867"/>
    <cellStyle name="ViewGrndTotalPct 5 6" xfId="9832"/>
    <cellStyle name="ViewGrndTotalPct 6" xfId="4755"/>
    <cellStyle name="ViewGrndTotalPct 6 2" xfId="5354"/>
    <cellStyle name="ViewGrndTotalPct 6 2 2" xfId="6113"/>
    <cellStyle name="ViewGrndTotalPct 6 2 2 2" xfId="7630"/>
    <cellStyle name="ViewGrndTotalPct 6 2 2 2 2" xfId="12485"/>
    <cellStyle name="ViewGrndTotalPct 6 2 2 3" xfId="9151"/>
    <cellStyle name="ViewGrndTotalPct 6 2 2 3 2" xfId="14004"/>
    <cellStyle name="ViewGrndTotalPct 6 2 2 4" xfId="10969"/>
    <cellStyle name="ViewGrndTotalPct 6 2 3" xfId="6872"/>
    <cellStyle name="ViewGrndTotalPct 6 2 3 2" xfId="11727"/>
    <cellStyle name="ViewGrndTotalPct 6 2 4" xfId="8393"/>
    <cellStyle name="ViewGrndTotalPct 6 2 4 2" xfId="13246"/>
    <cellStyle name="ViewGrndTotalPct 6 2 5" xfId="10211"/>
    <cellStyle name="ViewGrndTotalPct 6 3" xfId="5735"/>
    <cellStyle name="ViewGrndTotalPct 6 3 2" xfId="7252"/>
    <cellStyle name="ViewGrndTotalPct 6 3 2 2" xfId="12107"/>
    <cellStyle name="ViewGrndTotalPct 6 3 3" xfId="8773"/>
    <cellStyle name="ViewGrndTotalPct 6 3 3 2" xfId="13626"/>
    <cellStyle name="ViewGrndTotalPct 6 3 4" xfId="10591"/>
    <cellStyle name="ViewGrndTotalPct 6 4" xfId="6494"/>
    <cellStyle name="ViewGrndTotalPct 6 4 2" xfId="11349"/>
    <cellStyle name="ViewGrndTotalPct 6 5" xfId="8015"/>
    <cellStyle name="ViewGrndTotalPct 6 5 2" xfId="12868"/>
    <cellStyle name="ViewGrndTotalPct 6 6" xfId="9833"/>
    <cellStyle name="ViewGrndTotalPct 7" xfId="4756"/>
    <cellStyle name="ViewGrndTotalPct 7 2" xfId="5355"/>
    <cellStyle name="ViewGrndTotalPct 7 2 2" xfId="6114"/>
    <cellStyle name="ViewGrndTotalPct 7 2 2 2" xfId="7631"/>
    <cellStyle name="ViewGrndTotalPct 7 2 2 2 2" xfId="12486"/>
    <cellStyle name="ViewGrndTotalPct 7 2 2 3" xfId="9152"/>
    <cellStyle name="ViewGrndTotalPct 7 2 2 3 2" xfId="14005"/>
    <cellStyle name="ViewGrndTotalPct 7 2 2 4" xfId="10970"/>
    <cellStyle name="ViewGrndTotalPct 7 2 3" xfId="6873"/>
    <cellStyle name="ViewGrndTotalPct 7 2 3 2" xfId="11728"/>
    <cellStyle name="ViewGrndTotalPct 7 2 4" xfId="8394"/>
    <cellStyle name="ViewGrndTotalPct 7 2 4 2" xfId="13247"/>
    <cellStyle name="ViewGrndTotalPct 7 2 5" xfId="10212"/>
    <cellStyle name="ViewGrndTotalPct 7 3" xfId="5736"/>
    <cellStyle name="ViewGrndTotalPct 7 3 2" xfId="7253"/>
    <cellStyle name="ViewGrndTotalPct 7 3 2 2" xfId="12108"/>
    <cellStyle name="ViewGrndTotalPct 7 3 3" xfId="8774"/>
    <cellStyle name="ViewGrndTotalPct 7 3 3 2" xfId="13627"/>
    <cellStyle name="ViewGrndTotalPct 7 3 4" xfId="10592"/>
    <cellStyle name="ViewGrndTotalPct 7 4" xfId="6495"/>
    <cellStyle name="ViewGrndTotalPct 7 4 2" xfId="11350"/>
    <cellStyle name="ViewGrndTotalPct 7 5" xfId="8016"/>
    <cellStyle name="ViewGrndTotalPct 7 5 2" xfId="12869"/>
    <cellStyle name="ViewGrndTotalPct 7 6" xfId="9834"/>
    <cellStyle name="ViewGrndTotalPct 8" xfId="4757"/>
    <cellStyle name="ViewGrndTotalPct 8 2" xfId="5356"/>
    <cellStyle name="ViewGrndTotalPct 8 2 2" xfId="6115"/>
    <cellStyle name="ViewGrndTotalPct 8 2 2 2" xfId="7632"/>
    <cellStyle name="ViewGrndTotalPct 8 2 2 2 2" xfId="12487"/>
    <cellStyle name="ViewGrndTotalPct 8 2 2 3" xfId="9153"/>
    <cellStyle name="ViewGrndTotalPct 8 2 2 3 2" xfId="14006"/>
    <cellStyle name="ViewGrndTotalPct 8 2 2 4" xfId="10971"/>
    <cellStyle name="ViewGrndTotalPct 8 2 3" xfId="6874"/>
    <cellStyle name="ViewGrndTotalPct 8 2 3 2" xfId="11729"/>
    <cellStyle name="ViewGrndTotalPct 8 2 4" xfId="8395"/>
    <cellStyle name="ViewGrndTotalPct 8 2 4 2" xfId="13248"/>
    <cellStyle name="ViewGrndTotalPct 8 2 5" xfId="10213"/>
    <cellStyle name="ViewGrndTotalPct 8 3" xfId="5737"/>
    <cellStyle name="ViewGrndTotalPct 8 3 2" xfId="7254"/>
    <cellStyle name="ViewGrndTotalPct 8 3 2 2" xfId="12109"/>
    <cellStyle name="ViewGrndTotalPct 8 3 3" xfId="8775"/>
    <cellStyle name="ViewGrndTotalPct 8 3 3 2" xfId="13628"/>
    <cellStyle name="ViewGrndTotalPct 8 3 4" xfId="10593"/>
    <cellStyle name="ViewGrndTotalPct 8 4" xfId="6496"/>
    <cellStyle name="ViewGrndTotalPct 8 4 2" xfId="11351"/>
    <cellStyle name="ViewGrndTotalPct 8 5" xfId="8017"/>
    <cellStyle name="ViewGrndTotalPct 8 5 2" xfId="12870"/>
    <cellStyle name="ViewGrndTotalPct 8 6" xfId="9835"/>
    <cellStyle name="ViewGrndTotalPct 9" xfId="4758"/>
    <cellStyle name="ViewGrndTotalPct 9 2" xfId="5357"/>
    <cellStyle name="ViewGrndTotalPct 9 2 2" xfId="6116"/>
    <cellStyle name="ViewGrndTotalPct 9 2 2 2" xfId="7633"/>
    <cellStyle name="ViewGrndTotalPct 9 2 2 2 2" xfId="12488"/>
    <cellStyle name="ViewGrndTotalPct 9 2 2 3" xfId="9154"/>
    <cellStyle name="ViewGrndTotalPct 9 2 2 3 2" xfId="14007"/>
    <cellStyle name="ViewGrndTotalPct 9 2 2 4" xfId="10972"/>
    <cellStyle name="ViewGrndTotalPct 9 2 3" xfId="6875"/>
    <cellStyle name="ViewGrndTotalPct 9 2 3 2" xfId="11730"/>
    <cellStyle name="ViewGrndTotalPct 9 2 4" xfId="8396"/>
    <cellStyle name="ViewGrndTotalPct 9 2 4 2" xfId="13249"/>
    <cellStyle name="ViewGrndTotalPct 9 2 5" xfId="10214"/>
    <cellStyle name="ViewGrndTotalPct 9 3" xfId="5738"/>
    <cellStyle name="ViewGrndTotalPct 9 3 2" xfId="7255"/>
    <cellStyle name="ViewGrndTotalPct 9 3 2 2" xfId="12110"/>
    <cellStyle name="ViewGrndTotalPct 9 3 3" xfId="8776"/>
    <cellStyle name="ViewGrndTotalPct 9 3 3 2" xfId="13629"/>
    <cellStyle name="ViewGrndTotalPct 9 3 4" xfId="10594"/>
    <cellStyle name="ViewGrndTotalPct 9 4" xfId="6497"/>
    <cellStyle name="ViewGrndTotalPct 9 4 2" xfId="11352"/>
    <cellStyle name="ViewGrndTotalPct 9 5" xfId="8018"/>
    <cellStyle name="ViewGrndTotalPct 9 5 2" xfId="12871"/>
    <cellStyle name="ViewGrndTotalPct 9 6" xfId="9836"/>
    <cellStyle name="ViewHide" xfId="4759"/>
    <cellStyle name="ViewHide 2" xfId="5358"/>
    <cellStyle name="ViewHide 2 2" xfId="6117"/>
    <cellStyle name="ViewHide 2 2 2" xfId="7634"/>
    <cellStyle name="ViewHide 2 2 2 2" xfId="12489"/>
    <cellStyle name="ViewHide 2 2 3" xfId="9155"/>
    <cellStyle name="ViewHide 2 2 3 2" xfId="14008"/>
    <cellStyle name="ViewHide 2 2 4" xfId="10973"/>
    <cellStyle name="ViewHide 2 3" xfId="6876"/>
    <cellStyle name="ViewHide 2 3 2" xfId="11731"/>
    <cellStyle name="ViewHide 2 4" xfId="8397"/>
    <cellStyle name="ViewHide 2 4 2" xfId="13250"/>
    <cellStyle name="ViewHide 2 5" xfId="10215"/>
    <cellStyle name="ViewHide 3" xfId="5739"/>
    <cellStyle name="ViewHide 3 2" xfId="7256"/>
    <cellStyle name="ViewHide 3 2 2" xfId="12111"/>
    <cellStyle name="ViewHide 3 3" xfId="8777"/>
    <cellStyle name="ViewHide 3 3 2" xfId="13630"/>
    <cellStyle name="ViewHide 3 4" xfId="10595"/>
    <cellStyle name="ViewHide 4" xfId="6498"/>
    <cellStyle name="ViewHide 4 2" xfId="11353"/>
    <cellStyle name="ViewHide 5" xfId="8019"/>
    <cellStyle name="ViewHide 5 2" xfId="12872"/>
    <cellStyle name="ViewHide 6" xfId="9837"/>
    <cellStyle name="ViewTotal" xfId="4760"/>
    <cellStyle name="ViewTotal 2" xfId="5359"/>
    <cellStyle name="ViewTotal 2 2" xfId="6118"/>
    <cellStyle name="ViewTotal 2 2 2" xfId="7635"/>
    <cellStyle name="ViewTotal 2 2 2 2" xfId="12490"/>
    <cellStyle name="ViewTotal 2 2 3" xfId="9156"/>
    <cellStyle name="ViewTotal 2 2 3 2" xfId="14009"/>
    <cellStyle name="ViewTotal 2 2 4" xfId="10974"/>
    <cellStyle name="ViewTotal 2 3" xfId="6877"/>
    <cellStyle name="ViewTotal 2 3 2" xfId="11732"/>
    <cellStyle name="ViewTotal 2 4" xfId="8398"/>
    <cellStyle name="ViewTotal 2 4 2" xfId="13251"/>
    <cellStyle name="ViewTotal 2 5" xfId="10216"/>
    <cellStyle name="ViewTotal 3" xfId="5740"/>
    <cellStyle name="ViewTotal 3 2" xfId="7257"/>
    <cellStyle name="ViewTotal 3 2 2" xfId="12112"/>
    <cellStyle name="ViewTotal 3 3" xfId="8778"/>
    <cellStyle name="ViewTotal 3 3 2" xfId="13631"/>
    <cellStyle name="ViewTotal 3 4" xfId="10596"/>
    <cellStyle name="ViewTotal 4" xfId="6499"/>
    <cellStyle name="ViewTotal 4 2" xfId="11354"/>
    <cellStyle name="ViewTotal 5" xfId="8020"/>
    <cellStyle name="ViewTotal 5 2" xfId="12873"/>
    <cellStyle name="ViewTotal 6" xfId="9838"/>
    <cellStyle name="ViewTotalHide" xfId="4761"/>
    <cellStyle name="ViewTotalHide 2" xfId="5360"/>
    <cellStyle name="ViewTotalHide 2 2" xfId="6119"/>
    <cellStyle name="ViewTotalHide 2 2 2" xfId="7636"/>
    <cellStyle name="ViewTotalHide 2 2 2 2" xfId="12491"/>
    <cellStyle name="ViewTotalHide 2 2 3" xfId="9157"/>
    <cellStyle name="ViewTotalHide 2 2 3 2" xfId="14010"/>
    <cellStyle name="ViewTotalHide 2 2 4" xfId="10975"/>
    <cellStyle name="ViewTotalHide 2 3" xfId="6878"/>
    <cellStyle name="ViewTotalHide 2 3 2" xfId="11733"/>
    <cellStyle name="ViewTotalHide 2 4" xfId="8399"/>
    <cellStyle name="ViewTotalHide 2 4 2" xfId="13252"/>
    <cellStyle name="ViewTotalHide 2 5" xfId="10217"/>
    <cellStyle name="ViewTotalHide 3" xfId="5741"/>
    <cellStyle name="ViewTotalHide 3 2" xfId="7258"/>
    <cellStyle name="ViewTotalHide 3 2 2" xfId="12113"/>
    <cellStyle name="ViewTotalHide 3 3" xfId="8779"/>
    <cellStyle name="ViewTotalHide 3 3 2" xfId="13632"/>
    <cellStyle name="ViewTotalHide 3 4" xfId="10597"/>
    <cellStyle name="ViewTotalHide 4" xfId="6500"/>
    <cellStyle name="ViewTotalHide 4 2" xfId="11355"/>
    <cellStyle name="ViewTotalHide 5" xfId="8021"/>
    <cellStyle name="ViewTotalHide 5 2" xfId="12874"/>
    <cellStyle name="ViewTotalHide 6" xfId="9839"/>
    <cellStyle name="ViewTotalInt" xfId="4762"/>
    <cellStyle name="ViewTotalInt 2" xfId="5361"/>
    <cellStyle name="ViewTotalInt 2 2" xfId="6120"/>
    <cellStyle name="ViewTotalInt 2 2 2" xfId="7637"/>
    <cellStyle name="ViewTotalInt 2 2 2 2" xfId="12492"/>
    <cellStyle name="ViewTotalInt 2 2 3" xfId="9158"/>
    <cellStyle name="ViewTotalInt 2 2 3 2" xfId="14011"/>
    <cellStyle name="ViewTotalInt 2 2 4" xfId="10976"/>
    <cellStyle name="ViewTotalInt 2 3" xfId="6879"/>
    <cellStyle name="ViewTotalInt 2 3 2" xfId="11734"/>
    <cellStyle name="ViewTotalInt 2 4" xfId="8400"/>
    <cellStyle name="ViewTotalInt 2 4 2" xfId="13253"/>
    <cellStyle name="ViewTotalInt 2 5" xfId="10218"/>
    <cellStyle name="ViewTotalInt 3" xfId="5742"/>
    <cellStyle name="ViewTotalInt 3 2" xfId="7259"/>
    <cellStyle name="ViewTotalInt 3 2 2" xfId="12114"/>
    <cellStyle name="ViewTotalInt 3 3" xfId="8780"/>
    <cellStyle name="ViewTotalInt 3 3 2" xfId="13633"/>
    <cellStyle name="ViewTotalInt 3 4" xfId="10598"/>
    <cellStyle name="ViewTotalInt 4" xfId="6501"/>
    <cellStyle name="ViewTotalInt 4 2" xfId="11356"/>
    <cellStyle name="ViewTotalInt 5" xfId="8022"/>
    <cellStyle name="ViewTotalInt 5 2" xfId="12875"/>
    <cellStyle name="ViewTotalInt 6" xfId="9840"/>
    <cellStyle name="ViewTotalPct" xfId="4763"/>
    <cellStyle name="ViewTotalPct 2" xfId="5362"/>
    <cellStyle name="ViewTotalPct 2 2" xfId="6121"/>
    <cellStyle name="ViewTotalPct 2 2 2" xfId="7638"/>
    <cellStyle name="ViewTotalPct 2 2 2 2" xfId="12493"/>
    <cellStyle name="ViewTotalPct 2 2 3" xfId="9159"/>
    <cellStyle name="ViewTotalPct 2 2 3 2" xfId="14012"/>
    <cellStyle name="ViewTotalPct 2 2 4" xfId="10977"/>
    <cellStyle name="ViewTotalPct 2 3" xfId="6880"/>
    <cellStyle name="ViewTotalPct 2 3 2" xfId="11735"/>
    <cellStyle name="ViewTotalPct 2 4" xfId="8401"/>
    <cellStyle name="ViewTotalPct 2 4 2" xfId="13254"/>
    <cellStyle name="ViewTotalPct 2 5" xfId="10219"/>
    <cellStyle name="ViewTotalPct 3" xfId="5743"/>
    <cellStyle name="ViewTotalPct 3 2" xfId="7260"/>
    <cellStyle name="ViewTotalPct 3 2 2" xfId="12115"/>
    <cellStyle name="ViewTotalPct 3 3" xfId="8781"/>
    <cellStyle name="ViewTotalPct 3 3 2" xfId="13634"/>
    <cellStyle name="ViewTotalPct 3 4" xfId="10599"/>
    <cellStyle name="ViewTotalPct 4" xfId="6502"/>
    <cellStyle name="ViewTotalPct 4 2" xfId="11357"/>
    <cellStyle name="ViewTotalPct 5" xfId="8023"/>
    <cellStyle name="ViewTotalPct 5 2" xfId="12876"/>
    <cellStyle name="ViewTotalPct 6" xfId="9841"/>
    <cellStyle name="Währung [0]_Acquisition stats" xfId="4764"/>
    <cellStyle name="Währung_Acquisition stats" xfId="4765"/>
    <cellStyle name="Warning" xfId="4766"/>
    <cellStyle name="Warning 2" xfId="5363"/>
    <cellStyle name="Warning 2 2" xfId="6122"/>
    <cellStyle name="Warning 2 2 2" xfId="7639"/>
    <cellStyle name="Warning 2 2 2 2" xfId="12494"/>
    <cellStyle name="Warning 2 2 3" xfId="9160"/>
    <cellStyle name="Warning 2 2 3 2" xfId="14013"/>
    <cellStyle name="Warning 2 2 4" xfId="10978"/>
    <cellStyle name="Warning 2 3" xfId="6881"/>
    <cellStyle name="Warning 2 3 2" xfId="11736"/>
    <cellStyle name="Warning 2 4" xfId="8402"/>
    <cellStyle name="Warning 2 4 2" xfId="13255"/>
    <cellStyle name="Warning 2 5" xfId="10220"/>
    <cellStyle name="Warning 3" xfId="5744"/>
    <cellStyle name="Warning 3 2" xfId="7261"/>
    <cellStyle name="Warning 3 2 2" xfId="12116"/>
    <cellStyle name="Warning 3 3" xfId="8782"/>
    <cellStyle name="Warning 3 3 2" xfId="13635"/>
    <cellStyle name="Warning 3 4" xfId="10600"/>
    <cellStyle name="Warning 4" xfId="6503"/>
    <cellStyle name="Warning 4 2" xfId="11358"/>
    <cellStyle name="Warning 5" xfId="8024"/>
    <cellStyle name="Warning 5 2" xfId="12877"/>
    <cellStyle name="Warning 6" xfId="9842"/>
    <cellStyle name="Warning Text" xfId="164" builtinId="11" customBuiltin="1"/>
    <cellStyle name="Warning Text 10" xfId="4767"/>
    <cellStyle name="Warning Text 10 2" xfId="4768"/>
    <cellStyle name="Warning Text 10 2 2" xfId="5365"/>
    <cellStyle name="Warning Text 10 2 2 2" xfId="6124"/>
    <cellStyle name="Warning Text 10 2 2 2 2" xfId="7641"/>
    <cellStyle name="Warning Text 10 2 2 2 2 2" xfId="12496"/>
    <cellStyle name="Warning Text 10 2 2 2 3" xfId="9162"/>
    <cellStyle name="Warning Text 10 2 2 2 3 2" xfId="14015"/>
    <cellStyle name="Warning Text 10 2 2 2 4" xfId="10980"/>
    <cellStyle name="Warning Text 10 2 2 3" xfId="6883"/>
    <cellStyle name="Warning Text 10 2 2 3 2" xfId="11738"/>
    <cellStyle name="Warning Text 10 2 2 4" xfId="8404"/>
    <cellStyle name="Warning Text 10 2 2 4 2" xfId="13257"/>
    <cellStyle name="Warning Text 10 2 2 5" xfId="10222"/>
    <cellStyle name="Warning Text 10 2 3" xfId="5746"/>
    <cellStyle name="Warning Text 10 2 3 2" xfId="7263"/>
    <cellStyle name="Warning Text 10 2 3 2 2" xfId="12118"/>
    <cellStyle name="Warning Text 10 2 3 3" xfId="8784"/>
    <cellStyle name="Warning Text 10 2 3 3 2" xfId="13637"/>
    <cellStyle name="Warning Text 10 2 3 4" xfId="10602"/>
    <cellStyle name="Warning Text 10 2 4" xfId="6505"/>
    <cellStyle name="Warning Text 10 2 4 2" xfId="11360"/>
    <cellStyle name="Warning Text 10 2 5" xfId="8026"/>
    <cellStyle name="Warning Text 10 2 5 2" xfId="12879"/>
    <cellStyle name="Warning Text 10 2 6" xfId="9844"/>
    <cellStyle name="Warning Text 10 3" xfId="4769"/>
    <cellStyle name="Warning Text 10 3 2" xfId="5366"/>
    <cellStyle name="Warning Text 10 3 2 2" xfId="6125"/>
    <cellStyle name="Warning Text 10 3 2 2 2" xfId="7642"/>
    <cellStyle name="Warning Text 10 3 2 2 2 2" xfId="12497"/>
    <cellStyle name="Warning Text 10 3 2 2 3" xfId="9163"/>
    <cellStyle name="Warning Text 10 3 2 2 3 2" xfId="14016"/>
    <cellStyle name="Warning Text 10 3 2 2 4" xfId="10981"/>
    <cellStyle name="Warning Text 10 3 2 3" xfId="6884"/>
    <cellStyle name="Warning Text 10 3 2 3 2" xfId="11739"/>
    <cellStyle name="Warning Text 10 3 2 4" xfId="8405"/>
    <cellStyle name="Warning Text 10 3 2 4 2" xfId="13258"/>
    <cellStyle name="Warning Text 10 3 2 5" xfId="10223"/>
    <cellStyle name="Warning Text 10 3 3" xfId="5747"/>
    <cellStyle name="Warning Text 10 3 3 2" xfId="7264"/>
    <cellStyle name="Warning Text 10 3 3 2 2" xfId="12119"/>
    <cellStyle name="Warning Text 10 3 3 3" xfId="8785"/>
    <cellStyle name="Warning Text 10 3 3 3 2" xfId="13638"/>
    <cellStyle name="Warning Text 10 3 3 4" xfId="10603"/>
    <cellStyle name="Warning Text 10 3 4" xfId="6506"/>
    <cellStyle name="Warning Text 10 3 4 2" xfId="11361"/>
    <cellStyle name="Warning Text 10 3 5" xfId="8027"/>
    <cellStyle name="Warning Text 10 3 5 2" xfId="12880"/>
    <cellStyle name="Warning Text 10 3 6" xfId="9845"/>
    <cellStyle name="Warning Text 10 4" xfId="5364"/>
    <cellStyle name="Warning Text 10 4 2" xfId="6123"/>
    <cellStyle name="Warning Text 10 4 2 2" xfId="7640"/>
    <cellStyle name="Warning Text 10 4 2 2 2" xfId="12495"/>
    <cellStyle name="Warning Text 10 4 2 3" xfId="9161"/>
    <cellStyle name="Warning Text 10 4 2 3 2" xfId="14014"/>
    <cellStyle name="Warning Text 10 4 2 4" xfId="10979"/>
    <cellStyle name="Warning Text 10 4 3" xfId="6882"/>
    <cellStyle name="Warning Text 10 4 3 2" xfId="11737"/>
    <cellStyle name="Warning Text 10 4 4" xfId="8403"/>
    <cellStyle name="Warning Text 10 4 4 2" xfId="13256"/>
    <cellStyle name="Warning Text 10 4 5" xfId="10221"/>
    <cellStyle name="Warning Text 10 5" xfId="5745"/>
    <cellStyle name="Warning Text 10 5 2" xfId="7262"/>
    <cellStyle name="Warning Text 10 5 2 2" xfId="12117"/>
    <cellStyle name="Warning Text 10 5 3" xfId="8783"/>
    <cellStyle name="Warning Text 10 5 3 2" xfId="13636"/>
    <cellStyle name="Warning Text 10 5 4" xfId="10601"/>
    <cellStyle name="Warning Text 10 6" xfId="6504"/>
    <cellStyle name="Warning Text 10 6 2" xfId="11359"/>
    <cellStyle name="Warning Text 10 7" xfId="8025"/>
    <cellStyle name="Warning Text 10 7 2" xfId="12878"/>
    <cellStyle name="Warning Text 10 8" xfId="9843"/>
    <cellStyle name="Warning Text 11" xfId="4770"/>
    <cellStyle name="Warning Text 11 2" xfId="4771"/>
    <cellStyle name="Warning Text 11 2 2" xfId="5368"/>
    <cellStyle name="Warning Text 11 2 2 2" xfId="6127"/>
    <cellStyle name="Warning Text 11 2 2 2 2" xfId="7644"/>
    <cellStyle name="Warning Text 11 2 2 2 2 2" xfId="12499"/>
    <cellStyle name="Warning Text 11 2 2 2 3" xfId="9165"/>
    <cellStyle name="Warning Text 11 2 2 2 3 2" xfId="14018"/>
    <cellStyle name="Warning Text 11 2 2 2 4" xfId="10983"/>
    <cellStyle name="Warning Text 11 2 2 3" xfId="6886"/>
    <cellStyle name="Warning Text 11 2 2 3 2" xfId="11741"/>
    <cellStyle name="Warning Text 11 2 2 4" xfId="8407"/>
    <cellStyle name="Warning Text 11 2 2 4 2" xfId="13260"/>
    <cellStyle name="Warning Text 11 2 2 5" xfId="10225"/>
    <cellStyle name="Warning Text 11 2 3" xfId="5749"/>
    <cellStyle name="Warning Text 11 2 3 2" xfId="7266"/>
    <cellStyle name="Warning Text 11 2 3 2 2" xfId="12121"/>
    <cellStyle name="Warning Text 11 2 3 3" xfId="8787"/>
    <cellStyle name="Warning Text 11 2 3 3 2" xfId="13640"/>
    <cellStyle name="Warning Text 11 2 3 4" xfId="10605"/>
    <cellStyle name="Warning Text 11 2 4" xfId="6508"/>
    <cellStyle name="Warning Text 11 2 4 2" xfId="11363"/>
    <cellStyle name="Warning Text 11 2 5" xfId="8029"/>
    <cellStyle name="Warning Text 11 2 5 2" xfId="12882"/>
    <cellStyle name="Warning Text 11 2 6" xfId="9847"/>
    <cellStyle name="Warning Text 11 3" xfId="4772"/>
    <cellStyle name="Warning Text 11 3 2" xfId="5369"/>
    <cellStyle name="Warning Text 11 3 2 2" xfId="6128"/>
    <cellStyle name="Warning Text 11 3 2 2 2" xfId="7645"/>
    <cellStyle name="Warning Text 11 3 2 2 2 2" xfId="12500"/>
    <cellStyle name="Warning Text 11 3 2 2 3" xfId="9166"/>
    <cellStyle name="Warning Text 11 3 2 2 3 2" xfId="14019"/>
    <cellStyle name="Warning Text 11 3 2 2 4" xfId="10984"/>
    <cellStyle name="Warning Text 11 3 2 3" xfId="6887"/>
    <cellStyle name="Warning Text 11 3 2 3 2" xfId="11742"/>
    <cellStyle name="Warning Text 11 3 2 4" xfId="8408"/>
    <cellStyle name="Warning Text 11 3 2 4 2" xfId="13261"/>
    <cellStyle name="Warning Text 11 3 2 5" xfId="10226"/>
    <cellStyle name="Warning Text 11 3 3" xfId="5750"/>
    <cellStyle name="Warning Text 11 3 3 2" xfId="7267"/>
    <cellStyle name="Warning Text 11 3 3 2 2" xfId="12122"/>
    <cellStyle name="Warning Text 11 3 3 3" xfId="8788"/>
    <cellStyle name="Warning Text 11 3 3 3 2" xfId="13641"/>
    <cellStyle name="Warning Text 11 3 3 4" xfId="10606"/>
    <cellStyle name="Warning Text 11 3 4" xfId="6509"/>
    <cellStyle name="Warning Text 11 3 4 2" xfId="11364"/>
    <cellStyle name="Warning Text 11 3 5" xfId="8030"/>
    <cellStyle name="Warning Text 11 3 5 2" xfId="12883"/>
    <cellStyle name="Warning Text 11 3 6" xfId="9848"/>
    <cellStyle name="Warning Text 11 4" xfId="5367"/>
    <cellStyle name="Warning Text 11 4 2" xfId="6126"/>
    <cellStyle name="Warning Text 11 4 2 2" xfId="7643"/>
    <cellStyle name="Warning Text 11 4 2 2 2" xfId="12498"/>
    <cellStyle name="Warning Text 11 4 2 3" xfId="9164"/>
    <cellStyle name="Warning Text 11 4 2 3 2" xfId="14017"/>
    <cellStyle name="Warning Text 11 4 2 4" xfId="10982"/>
    <cellStyle name="Warning Text 11 4 3" xfId="6885"/>
    <cellStyle name="Warning Text 11 4 3 2" xfId="11740"/>
    <cellStyle name="Warning Text 11 4 4" xfId="8406"/>
    <cellStyle name="Warning Text 11 4 4 2" xfId="13259"/>
    <cellStyle name="Warning Text 11 4 5" xfId="10224"/>
    <cellStyle name="Warning Text 11 5" xfId="5748"/>
    <cellStyle name="Warning Text 11 5 2" xfId="7265"/>
    <cellStyle name="Warning Text 11 5 2 2" xfId="12120"/>
    <cellStyle name="Warning Text 11 5 3" xfId="8786"/>
    <cellStyle name="Warning Text 11 5 3 2" xfId="13639"/>
    <cellStyle name="Warning Text 11 5 4" xfId="10604"/>
    <cellStyle name="Warning Text 11 6" xfId="6507"/>
    <cellStyle name="Warning Text 11 6 2" xfId="11362"/>
    <cellStyle name="Warning Text 11 7" xfId="8028"/>
    <cellStyle name="Warning Text 11 7 2" xfId="12881"/>
    <cellStyle name="Warning Text 11 8" xfId="9846"/>
    <cellStyle name="Warning Text 12" xfId="4773"/>
    <cellStyle name="Warning Text 12 2" xfId="4774"/>
    <cellStyle name="Warning Text 12 2 2" xfId="5371"/>
    <cellStyle name="Warning Text 12 2 2 2" xfId="6130"/>
    <cellStyle name="Warning Text 12 2 2 2 2" xfId="7647"/>
    <cellStyle name="Warning Text 12 2 2 2 2 2" xfId="12502"/>
    <cellStyle name="Warning Text 12 2 2 2 3" xfId="9168"/>
    <cellStyle name="Warning Text 12 2 2 2 3 2" xfId="14021"/>
    <cellStyle name="Warning Text 12 2 2 2 4" xfId="10986"/>
    <cellStyle name="Warning Text 12 2 2 3" xfId="6889"/>
    <cellStyle name="Warning Text 12 2 2 3 2" xfId="11744"/>
    <cellStyle name="Warning Text 12 2 2 4" xfId="8410"/>
    <cellStyle name="Warning Text 12 2 2 4 2" xfId="13263"/>
    <cellStyle name="Warning Text 12 2 2 5" xfId="10228"/>
    <cellStyle name="Warning Text 12 2 3" xfId="5752"/>
    <cellStyle name="Warning Text 12 2 3 2" xfId="7269"/>
    <cellStyle name="Warning Text 12 2 3 2 2" xfId="12124"/>
    <cellStyle name="Warning Text 12 2 3 3" xfId="8790"/>
    <cellStyle name="Warning Text 12 2 3 3 2" xfId="13643"/>
    <cellStyle name="Warning Text 12 2 3 4" xfId="10608"/>
    <cellStyle name="Warning Text 12 2 4" xfId="6511"/>
    <cellStyle name="Warning Text 12 2 4 2" xfId="11366"/>
    <cellStyle name="Warning Text 12 2 5" xfId="8032"/>
    <cellStyle name="Warning Text 12 2 5 2" xfId="12885"/>
    <cellStyle name="Warning Text 12 2 6" xfId="9850"/>
    <cellStyle name="Warning Text 12 3" xfId="4775"/>
    <cellStyle name="Warning Text 12 3 2" xfId="5372"/>
    <cellStyle name="Warning Text 12 3 2 2" xfId="6131"/>
    <cellStyle name="Warning Text 12 3 2 2 2" xfId="7648"/>
    <cellStyle name="Warning Text 12 3 2 2 2 2" xfId="12503"/>
    <cellStyle name="Warning Text 12 3 2 2 3" xfId="9169"/>
    <cellStyle name="Warning Text 12 3 2 2 3 2" xfId="14022"/>
    <cellStyle name="Warning Text 12 3 2 2 4" xfId="10987"/>
    <cellStyle name="Warning Text 12 3 2 3" xfId="6890"/>
    <cellStyle name="Warning Text 12 3 2 3 2" xfId="11745"/>
    <cellStyle name="Warning Text 12 3 2 4" xfId="8411"/>
    <cellStyle name="Warning Text 12 3 2 4 2" xfId="13264"/>
    <cellStyle name="Warning Text 12 3 2 5" xfId="10229"/>
    <cellStyle name="Warning Text 12 3 3" xfId="5753"/>
    <cellStyle name="Warning Text 12 3 3 2" xfId="7270"/>
    <cellStyle name="Warning Text 12 3 3 2 2" xfId="12125"/>
    <cellStyle name="Warning Text 12 3 3 3" xfId="8791"/>
    <cellStyle name="Warning Text 12 3 3 3 2" xfId="13644"/>
    <cellStyle name="Warning Text 12 3 3 4" xfId="10609"/>
    <cellStyle name="Warning Text 12 3 4" xfId="6512"/>
    <cellStyle name="Warning Text 12 3 4 2" xfId="11367"/>
    <cellStyle name="Warning Text 12 3 5" xfId="8033"/>
    <cellStyle name="Warning Text 12 3 5 2" xfId="12886"/>
    <cellStyle name="Warning Text 12 3 6" xfId="9851"/>
    <cellStyle name="Warning Text 12 4" xfId="5370"/>
    <cellStyle name="Warning Text 12 4 2" xfId="6129"/>
    <cellStyle name="Warning Text 12 4 2 2" xfId="7646"/>
    <cellStyle name="Warning Text 12 4 2 2 2" xfId="12501"/>
    <cellStyle name="Warning Text 12 4 2 3" xfId="9167"/>
    <cellStyle name="Warning Text 12 4 2 3 2" xfId="14020"/>
    <cellStyle name="Warning Text 12 4 2 4" xfId="10985"/>
    <cellStyle name="Warning Text 12 4 3" xfId="6888"/>
    <cellStyle name="Warning Text 12 4 3 2" xfId="11743"/>
    <cellStyle name="Warning Text 12 4 4" xfId="8409"/>
    <cellStyle name="Warning Text 12 4 4 2" xfId="13262"/>
    <cellStyle name="Warning Text 12 4 5" xfId="10227"/>
    <cellStyle name="Warning Text 12 5" xfId="5751"/>
    <cellStyle name="Warning Text 12 5 2" xfId="7268"/>
    <cellStyle name="Warning Text 12 5 2 2" xfId="12123"/>
    <cellStyle name="Warning Text 12 5 3" xfId="8789"/>
    <cellStyle name="Warning Text 12 5 3 2" xfId="13642"/>
    <cellStyle name="Warning Text 12 5 4" xfId="10607"/>
    <cellStyle name="Warning Text 12 6" xfId="6510"/>
    <cellStyle name="Warning Text 12 6 2" xfId="11365"/>
    <cellStyle name="Warning Text 12 7" xfId="8031"/>
    <cellStyle name="Warning Text 12 7 2" xfId="12884"/>
    <cellStyle name="Warning Text 12 8" xfId="9849"/>
    <cellStyle name="Warning Text 13" xfId="4776"/>
    <cellStyle name="Warning Text 13 2" xfId="4777"/>
    <cellStyle name="Warning Text 13 2 2" xfId="5374"/>
    <cellStyle name="Warning Text 13 2 2 2" xfId="6133"/>
    <cellStyle name="Warning Text 13 2 2 2 2" xfId="7650"/>
    <cellStyle name="Warning Text 13 2 2 2 2 2" xfId="12505"/>
    <cellStyle name="Warning Text 13 2 2 2 3" xfId="9171"/>
    <cellStyle name="Warning Text 13 2 2 2 3 2" xfId="14024"/>
    <cellStyle name="Warning Text 13 2 2 2 4" xfId="10989"/>
    <cellStyle name="Warning Text 13 2 2 3" xfId="6892"/>
    <cellStyle name="Warning Text 13 2 2 3 2" xfId="11747"/>
    <cellStyle name="Warning Text 13 2 2 4" xfId="8413"/>
    <cellStyle name="Warning Text 13 2 2 4 2" xfId="13266"/>
    <cellStyle name="Warning Text 13 2 2 5" xfId="10231"/>
    <cellStyle name="Warning Text 13 2 3" xfId="5755"/>
    <cellStyle name="Warning Text 13 2 3 2" xfId="7272"/>
    <cellStyle name="Warning Text 13 2 3 2 2" xfId="12127"/>
    <cellStyle name="Warning Text 13 2 3 3" xfId="8793"/>
    <cellStyle name="Warning Text 13 2 3 3 2" xfId="13646"/>
    <cellStyle name="Warning Text 13 2 3 4" xfId="10611"/>
    <cellStyle name="Warning Text 13 2 4" xfId="6514"/>
    <cellStyle name="Warning Text 13 2 4 2" xfId="11369"/>
    <cellStyle name="Warning Text 13 2 5" xfId="8035"/>
    <cellStyle name="Warning Text 13 2 5 2" xfId="12888"/>
    <cellStyle name="Warning Text 13 2 6" xfId="9853"/>
    <cellStyle name="Warning Text 13 3" xfId="4778"/>
    <cellStyle name="Warning Text 13 3 2" xfId="5375"/>
    <cellStyle name="Warning Text 13 3 2 2" xfId="6134"/>
    <cellStyle name="Warning Text 13 3 2 2 2" xfId="7651"/>
    <cellStyle name="Warning Text 13 3 2 2 2 2" xfId="12506"/>
    <cellStyle name="Warning Text 13 3 2 2 3" xfId="9172"/>
    <cellStyle name="Warning Text 13 3 2 2 3 2" xfId="14025"/>
    <cellStyle name="Warning Text 13 3 2 2 4" xfId="10990"/>
    <cellStyle name="Warning Text 13 3 2 3" xfId="6893"/>
    <cellStyle name="Warning Text 13 3 2 3 2" xfId="11748"/>
    <cellStyle name="Warning Text 13 3 2 4" xfId="8414"/>
    <cellStyle name="Warning Text 13 3 2 4 2" xfId="13267"/>
    <cellStyle name="Warning Text 13 3 2 5" xfId="10232"/>
    <cellStyle name="Warning Text 13 3 3" xfId="5756"/>
    <cellStyle name="Warning Text 13 3 3 2" xfId="7273"/>
    <cellStyle name="Warning Text 13 3 3 2 2" xfId="12128"/>
    <cellStyle name="Warning Text 13 3 3 3" xfId="8794"/>
    <cellStyle name="Warning Text 13 3 3 3 2" xfId="13647"/>
    <cellStyle name="Warning Text 13 3 3 4" xfId="10612"/>
    <cellStyle name="Warning Text 13 3 4" xfId="6515"/>
    <cellStyle name="Warning Text 13 3 4 2" xfId="11370"/>
    <cellStyle name="Warning Text 13 3 5" xfId="8036"/>
    <cellStyle name="Warning Text 13 3 5 2" xfId="12889"/>
    <cellStyle name="Warning Text 13 3 6" xfId="9854"/>
    <cellStyle name="Warning Text 13 4" xfId="5373"/>
    <cellStyle name="Warning Text 13 4 2" xfId="6132"/>
    <cellStyle name="Warning Text 13 4 2 2" xfId="7649"/>
    <cellStyle name="Warning Text 13 4 2 2 2" xfId="12504"/>
    <cellStyle name="Warning Text 13 4 2 3" xfId="9170"/>
    <cellStyle name="Warning Text 13 4 2 3 2" xfId="14023"/>
    <cellStyle name="Warning Text 13 4 2 4" xfId="10988"/>
    <cellStyle name="Warning Text 13 4 3" xfId="6891"/>
    <cellStyle name="Warning Text 13 4 3 2" xfId="11746"/>
    <cellStyle name="Warning Text 13 4 4" xfId="8412"/>
    <cellStyle name="Warning Text 13 4 4 2" xfId="13265"/>
    <cellStyle name="Warning Text 13 4 5" xfId="10230"/>
    <cellStyle name="Warning Text 13 5" xfId="5754"/>
    <cellStyle name="Warning Text 13 5 2" xfId="7271"/>
    <cellStyle name="Warning Text 13 5 2 2" xfId="12126"/>
    <cellStyle name="Warning Text 13 5 3" xfId="8792"/>
    <cellStyle name="Warning Text 13 5 3 2" xfId="13645"/>
    <cellStyle name="Warning Text 13 5 4" xfId="10610"/>
    <cellStyle name="Warning Text 13 6" xfId="6513"/>
    <cellStyle name="Warning Text 13 6 2" xfId="11368"/>
    <cellStyle name="Warning Text 13 7" xfId="8034"/>
    <cellStyle name="Warning Text 13 7 2" xfId="12887"/>
    <cellStyle name="Warning Text 13 8" xfId="9852"/>
    <cellStyle name="Warning Text 14" xfId="4779"/>
    <cellStyle name="Warning Text 14 2" xfId="4780"/>
    <cellStyle name="Warning Text 14 2 2" xfId="5377"/>
    <cellStyle name="Warning Text 14 2 2 2" xfId="6136"/>
    <cellStyle name="Warning Text 14 2 2 2 2" xfId="7653"/>
    <cellStyle name="Warning Text 14 2 2 2 2 2" xfId="12508"/>
    <cellStyle name="Warning Text 14 2 2 2 3" xfId="9174"/>
    <cellStyle name="Warning Text 14 2 2 2 3 2" xfId="14027"/>
    <cellStyle name="Warning Text 14 2 2 2 4" xfId="10992"/>
    <cellStyle name="Warning Text 14 2 2 3" xfId="6895"/>
    <cellStyle name="Warning Text 14 2 2 3 2" xfId="11750"/>
    <cellStyle name="Warning Text 14 2 2 4" xfId="8416"/>
    <cellStyle name="Warning Text 14 2 2 4 2" xfId="13269"/>
    <cellStyle name="Warning Text 14 2 2 5" xfId="10234"/>
    <cellStyle name="Warning Text 14 2 3" xfId="5758"/>
    <cellStyle name="Warning Text 14 2 3 2" xfId="7275"/>
    <cellStyle name="Warning Text 14 2 3 2 2" xfId="12130"/>
    <cellStyle name="Warning Text 14 2 3 3" xfId="8796"/>
    <cellStyle name="Warning Text 14 2 3 3 2" xfId="13649"/>
    <cellStyle name="Warning Text 14 2 3 4" xfId="10614"/>
    <cellStyle name="Warning Text 14 2 4" xfId="6517"/>
    <cellStyle name="Warning Text 14 2 4 2" xfId="11372"/>
    <cellStyle name="Warning Text 14 2 5" xfId="8038"/>
    <cellStyle name="Warning Text 14 2 5 2" xfId="12891"/>
    <cellStyle name="Warning Text 14 2 6" xfId="9856"/>
    <cellStyle name="Warning Text 14 3" xfId="4781"/>
    <cellStyle name="Warning Text 14 3 2" xfId="5378"/>
    <cellStyle name="Warning Text 14 3 2 2" xfId="6137"/>
    <cellStyle name="Warning Text 14 3 2 2 2" xfId="7654"/>
    <cellStyle name="Warning Text 14 3 2 2 2 2" xfId="12509"/>
    <cellStyle name="Warning Text 14 3 2 2 3" xfId="9175"/>
    <cellStyle name="Warning Text 14 3 2 2 3 2" xfId="14028"/>
    <cellStyle name="Warning Text 14 3 2 2 4" xfId="10993"/>
    <cellStyle name="Warning Text 14 3 2 3" xfId="6896"/>
    <cellStyle name="Warning Text 14 3 2 3 2" xfId="11751"/>
    <cellStyle name="Warning Text 14 3 2 4" xfId="8417"/>
    <cellStyle name="Warning Text 14 3 2 4 2" xfId="13270"/>
    <cellStyle name="Warning Text 14 3 2 5" xfId="10235"/>
    <cellStyle name="Warning Text 14 3 3" xfId="5759"/>
    <cellStyle name="Warning Text 14 3 3 2" xfId="7276"/>
    <cellStyle name="Warning Text 14 3 3 2 2" xfId="12131"/>
    <cellStyle name="Warning Text 14 3 3 3" xfId="8797"/>
    <cellStyle name="Warning Text 14 3 3 3 2" xfId="13650"/>
    <cellStyle name="Warning Text 14 3 3 4" xfId="10615"/>
    <cellStyle name="Warning Text 14 3 4" xfId="6518"/>
    <cellStyle name="Warning Text 14 3 4 2" xfId="11373"/>
    <cellStyle name="Warning Text 14 3 5" xfId="8039"/>
    <cellStyle name="Warning Text 14 3 5 2" xfId="12892"/>
    <cellStyle name="Warning Text 14 3 6" xfId="9857"/>
    <cellStyle name="Warning Text 14 4" xfId="5376"/>
    <cellStyle name="Warning Text 14 4 2" xfId="6135"/>
    <cellStyle name="Warning Text 14 4 2 2" xfId="7652"/>
    <cellStyle name="Warning Text 14 4 2 2 2" xfId="12507"/>
    <cellStyle name="Warning Text 14 4 2 3" xfId="9173"/>
    <cellStyle name="Warning Text 14 4 2 3 2" xfId="14026"/>
    <cellStyle name="Warning Text 14 4 2 4" xfId="10991"/>
    <cellStyle name="Warning Text 14 4 3" xfId="6894"/>
    <cellStyle name="Warning Text 14 4 3 2" xfId="11749"/>
    <cellStyle name="Warning Text 14 4 4" xfId="8415"/>
    <cellStyle name="Warning Text 14 4 4 2" xfId="13268"/>
    <cellStyle name="Warning Text 14 4 5" xfId="10233"/>
    <cellStyle name="Warning Text 14 5" xfId="5757"/>
    <cellStyle name="Warning Text 14 5 2" xfId="7274"/>
    <cellStyle name="Warning Text 14 5 2 2" xfId="12129"/>
    <cellStyle name="Warning Text 14 5 3" xfId="8795"/>
    <cellStyle name="Warning Text 14 5 3 2" xfId="13648"/>
    <cellStyle name="Warning Text 14 5 4" xfId="10613"/>
    <cellStyle name="Warning Text 14 6" xfId="6516"/>
    <cellStyle name="Warning Text 14 6 2" xfId="11371"/>
    <cellStyle name="Warning Text 14 7" xfId="8037"/>
    <cellStyle name="Warning Text 14 7 2" xfId="12890"/>
    <cellStyle name="Warning Text 14 8" xfId="9855"/>
    <cellStyle name="Warning Text 15" xfId="4782"/>
    <cellStyle name="Warning Text 15 2" xfId="4783"/>
    <cellStyle name="Warning Text 15 2 2" xfId="5380"/>
    <cellStyle name="Warning Text 15 2 2 2" xfId="6139"/>
    <cellStyle name="Warning Text 15 2 2 2 2" xfId="7656"/>
    <cellStyle name="Warning Text 15 2 2 2 2 2" xfId="12511"/>
    <cellStyle name="Warning Text 15 2 2 2 3" xfId="9177"/>
    <cellStyle name="Warning Text 15 2 2 2 3 2" xfId="14030"/>
    <cellStyle name="Warning Text 15 2 2 2 4" xfId="10995"/>
    <cellStyle name="Warning Text 15 2 2 3" xfId="6898"/>
    <cellStyle name="Warning Text 15 2 2 3 2" xfId="11753"/>
    <cellStyle name="Warning Text 15 2 2 4" xfId="8419"/>
    <cellStyle name="Warning Text 15 2 2 4 2" xfId="13272"/>
    <cellStyle name="Warning Text 15 2 2 5" xfId="10237"/>
    <cellStyle name="Warning Text 15 2 3" xfId="5761"/>
    <cellStyle name="Warning Text 15 2 3 2" xfId="7278"/>
    <cellStyle name="Warning Text 15 2 3 2 2" xfId="12133"/>
    <cellStyle name="Warning Text 15 2 3 3" xfId="8799"/>
    <cellStyle name="Warning Text 15 2 3 3 2" xfId="13652"/>
    <cellStyle name="Warning Text 15 2 3 4" xfId="10617"/>
    <cellStyle name="Warning Text 15 2 4" xfId="6520"/>
    <cellStyle name="Warning Text 15 2 4 2" xfId="11375"/>
    <cellStyle name="Warning Text 15 2 5" xfId="8041"/>
    <cellStyle name="Warning Text 15 2 5 2" xfId="12894"/>
    <cellStyle name="Warning Text 15 2 6" xfId="9859"/>
    <cellStyle name="Warning Text 15 3" xfId="4784"/>
    <cellStyle name="Warning Text 15 3 2" xfId="5381"/>
    <cellStyle name="Warning Text 15 3 2 2" xfId="6140"/>
    <cellStyle name="Warning Text 15 3 2 2 2" xfId="7657"/>
    <cellStyle name="Warning Text 15 3 2 2 2 2" xfId="12512"/>
    <cellStyle name="Warning Text 15 3 2 2 3" xfId="9178"/>
    <cellStyle name="Warning Text 15 3 2 2 3 2" xfId="14031"/>
    <cellStyle name="Warning Text 15 3 2 2 4" xfId="10996"/>
    <cellStyle name="Warning Text 15 3 2 3" xfId="6899"/>
    <cellStyle name="Warning Text 15 3 2 3 2" xfId="11754"/>
    <cellStyle name="Warning Text 15 3 2 4" xfId="8420"/>
    <cellStyle name="Warning Text 15 3 2 4 2" xfId="13273"/>
    <cellStyle name="Warning Text 15 3 2 5" xfId="10238"/>
    <cellStyle name="Warning Text 15 3 3" xfId="5762"/>
    <cellStyle name="Warning Text 15 3 3 2" xfId="7279"/>
    <cellStyle name="Warning Text 15 3 3 2 2" xfId="12134"/>
    <cellStyle name="Warning Text 15 3 3 3" xfId="8800"/>
    <cellStyle name="Warning Text 15 3 3 3 2" xfId="13653"/>
    <cellStyle name="Warning Text 15 3 3 4" xfId="10618"/>
    <cellStyle name="Warning Text 15 3 4" xfId="6521"/>
    <cellStyle name="Warning Text 15 3 4 2" xfId="11376"/>
    <cellStyle name="Warning Text 15 3 5" xfId="8042"/>
    <cellStyle name="Warning Text 15 3 5 2" xfId="12895"/>
    <cellStyle name="Warning Text 15 3 6" xfId="9860"/>
    <cellStyle name="Warning Text 15 4" xfId="5379"/>
    <cellStyle name="Warning Text 15 4 2" xfId="6138"/>
    <cellStyle name="Warning Text 15 4 2 2" xfId="7655"/>
    <cellStyle name="Warning Text 15 4 2 2 2" xfId="12510"/>
    <cellStyle name="Warning Text 15 4 2 3" xfId="9176"/>
    <cellStyle name="Warning Text 15 4 2 3 2" xfId="14029"/>
    <cellStyle name="Warning Text 15 4 2 4" xfId="10994"/>
    <cellStyle name="Warning Text 15 4 3" xfId="6897"/>
    <cellStyle name="Warning Text 15 4 3 2" xfId="11752"/>
    <cellStyle name="Warning Text 15 4 4" xfId="8418"/>
    <cellStyle name="Warning Text 15 4 4 2" xfId="13271"/>
    <cellStyle name="Warning Text 15 4 5" xfId="10236"/>
    <cellStyle name="Warning Text 15 5" xfId="5760"/>
    <cellStyle name="Warning Text 15 5 2" xfId="7277"/>
    <cellStyle name="Warning Text 15 5 2 2" xfId="12132"/>
    <cellStyle name="Warning Text 15 5 3" xfId="8798"/>
    <cellStyle name="Warning Text 15 5 3 2" xfId="13651"/>
    <cellStyle name="Warning Text 15 5 4" xfId="10616"/>
    <cellStyle name="Warning Text 15 6" xfId="6519"/>
    <cellStyle name="Warning Text 15 6 2" xfId="11374"/>
    <cellStyle name="Warning Text 15 7" xfId="8040"/>
    <cellStyle name="Warning Text 15 7 2" xfId="12893"/>
    <cellStyle name="Warning Text 15 8" xfId="9858"/>
    <cellStyle name="Warning Text 16" xfId="4785"/>
    <cellStyle name="Warning Text 16 2" xfId="5382"/>
    <cellStyle name="Warning Text 16 2 2" xfId="6141"/>
    <cellStyle name="Warning Text 16 2 2 2" xfId="7658"/>
    <cellStyle name="Warning Text 16 2 2 2 2" xfId="12513"/>
    <cellStyle name="Warning Text 16 2 2 3" xfId="9179"/>
    <cellStyle name="Warning Text 16 2 2 3 2" xfId="14032"/>
    <cellStyle name="Warning Text 16 2 2 4" xfId="10997"/>
    <cellStyle name="Warning Text 16 2 3" xfId="6900"/>
    <cellStyle name="Warning Text 16 2 3 2" xfId="11755"/>
    <cellStyle name="Warning Text 16 2 4" xfId="8421"/>
    <cellStyle name="Warning Text 16 2 4 2" xfId="13274"/>
    <cellStyle name="Warning Text 16 2 5" xfId="10239"/>
    <cellStyle name="Warning Text 16 3" xfId="5763"/>
    <cellStyle name="Warning Text 16 3 2" xfId="7280"/>
    <cellStyle name="Warning Text 16 3 2 2" xfId="12135"/>
    <cellStyle name="Warning Text 16 3 3" xfId="8801"/>
    <cellStyle name="Warning Text 16 3 3 2" xfId="13654"/>
    <cellStyle name="Warning Text 16 3 4" xfId="10619"/>
    <cellStyle name="Warning Text 16 4" xfId="6522"/>
    <cellStyle name="Warning Text 16 4 2" xfId="11377"/>
    <cellStyle name="Warning Text 16 5" xfId="8043"/>
    <cellStyle name="Warning Text 16 5 2" xfId="12896"/>
    <cellStyle name="Warning Text 16 6" xfId="9861"/>
    <cellStyle name="Warning Text 17" xfId="4786"/>
    <cellStyle name="Warning Text 17 2" xfId="5383"/>
    <cellStyle name="Warning Text 17 2 2" xfId="6142"/>
    <cellStyle name="Warning Text 17 2 2 2" xfId="7659"/>
    <cellStyle name="Warning Text 17 2 2 2 2" xfId="12514"/>
    <cellStyle name="Warning Text 17 2 2 3" xfId="9180"/>
    <cellStyle name="Warning Text 17 2 2 3 2" xfId="14033"/>
    <cellStyle name="Warning Text 17 2 2 4" xfId="10998"/>
    <cellStyle name="Warning Text 17 2 3" xfId="6901"/>
    <cellStyle name="Warning Text 17 2 3 2" xfId="11756"/>
    <cellStyle name="Warning Text 17 2 4" xfId="8422"/>
    <cellStyle name="Warning Text 17 2 4 2" xfId="13275"/>
    <cellStyle name="Warning Text 17 2 5" xfId="10240"/>
    <cellStyle name="Warning Text 17 3" xfId="5764"/>
    <cellStyle name="Warning Text 17 3 2" xfId="7281"/>
    <cellStyle name="Warning Text 17 3 2 2" xfId="12136"/>
    <cellStyle name="Warning Text 17 3 3" xfId="8802"/>
    <cellStyle name="Warning Text 17 3 3 2" xfId="13655"/>
    <cellStyle name="Warning Text 17 3 4" xfId="10620"/>
    <cellStyle name="Warning Text 17 4" xfId="6523"/>
    <cellStyle name="Warning Text 17 4 2" xfId="11378"/>
    <cellStyle name="Warning Text 17 5" xfId="8044"/>
    <cellStyle name="Warning Text 17 5 2" xfId="12897"/>
    <cellStyle name="Warning Text 17 6" xfId="9862"/>
    <cellStyle name="Warning Text 18" xfId="4787"/>
    <cellStyle name="Warning Text 18 2" xfId="5384"/>
    <cellStyle name="Warning Text 18 2 2" xfId="6143"/>
    <cellStyle name="Warning Text 18 2 2 2" xfId="7660"/>
    <cellStyle name="Warning Text 18 2 2 2 2" xfId="12515"/>
    <cellStyle name="Warning Text 18 2 2 3" xfId="9181"/>
    <cellStyle name="Warning Text 18 2 2 3 2" xfId="14034"/>
    <cellStyle name="Warning Text 18 2 2 4" xfId="10999"/>
    <cellStyle name="Warning Text 18 2 3" xfId="6902"/>
    <cellStyle name="Warning Text 18 2 3 2" xfId="11757"/>
    <cellStyle name="Warning Text 18 2 4" xfId="8423"/>
    <cellStyle name="Warning Text 18 2 4 2" xfId="13276"/>
    <cellStyle name="Warning Text 18 2 5" xfId="10241"/>
    <cellStyle name="Warning Text 18 3" xfId="5765"/>
    <cellStyle name="Warning Text 18 3 2" xfId="7282"/>
    <cellStyle name="Warning Text 18 3 2 2" xfId="12137"/>
    <cellStyle name="Warning Text 18 3 3" xfId="8803"/>
    <cellStyle name="Warning Text 18 3 3 2" xfId="13656"/>
    <cellStyle name="Warning Text 18 3 4" xfId="10621"/>
    <cellStyle name="Warning Text 18 4" xfId="6524"/>
    <cellStyle name="Warning Text 18 4 2" xfId="11379"/>
    <cellStyle name="Warning Text 18 5" xfId="8045"/>
    <cellStyle name="Warning Text 18 5 2" xfId="12898"/>
    <cellStyle name="Warning Text 18 6" xfId="9863"/>
    <cellStyle name="Warning Text 19" xfId="4788"/>
    <cellStyle name="Warning Text 19 2" xfId="5385"/>
    <cellStyle name="Warning Text 19 2 2" xfId="6144"/>
    <cellStyle name="Warning Text 19 2 2 2" xfId="7661"/>
    <cellStyle name="Warning Text 19 2 2 2 2" xfId="12516"/>
    <cellStyle name="Warning Text 19 2 2 3" xfId="9182"/>
    <cellStyle name="Warning Text 19 2 2 3 2" xfId="14035"/>
    <cellStyle name="Warning Text 19 2 2 4" xfId="11000"/>
    <cellStyle name="Warning Text 19 2 3" xfId="6903"/>
    <cellStyle name="Warning Text 19 2 3 2" xfId="11758"/>
    <cellStyle name="Warning Text 19 2 4" xfId="8424"/>
    <cellStyle name="Warning Text 19 2 4 2" xfId="13277"/>
    <cellStyle name="Warning Text 19 2 5" xfId="10242"/>
    <cellStyle name="Warning Text 19 3" xfId="5766"/>
    <cellStyle name="Warning Text 19 3 2" xfId="7283"/>
    <cellStyle name="Warning Text 19 3 2 2" xfId="12138"/>
    <cellStyle name="Warning Text 19 3 3" xfId="8804"/>
    <cellStyle name="Warning Text 19 3 3 2" xfId="13657"/>
    <cellStyle name="Warning Text 19 3 4" xfId="10622"/>
    <cellStyle name="Warning Text 19 4" xfId="6525"/>
    <cellStyle name="Warning Text 19 4 2" xfId="11380"/>
    <cellStyle name="Warning Text 19 5" xfId="8046"/>
    <cellStyle name="Warning Text 19 5 2" xfId="12899"/>
    <cellStyle name="Warning Text 19 6" xfId="9864"/>
    <cellStyle name="Warning Text 2" xfId="434"/>
    <cellStyle name="Warning Text 2 10" xfId="4790"/>
    <cellStyle name="Warning Text 2 10 2" xfId="5387"/>
    <cellStyle name="Warning Text 2 10 2 2" xfId="6146"/>
    <cellStyle name="Warning Text 2 10 2 2 2" xfId="7663"/>
    <cellStyle name="Warning Text 2 10 2 2 2 2" xfId="12518"/>
    <cellStyle name="Warning Text 2 10 2 2 3" xfId="9184"/>
    <cellStyle name="Warning Text 2 10 2 2 3 2" xfId="14037"/>
    <cellStyle name="Warning Text 2 10 2 2 4" xfId="11002"/>
    <cellStyle name="Warning Text 2 10 2 3" xfId="6905"/>
    <cellStyle name="Warning Text 2 10 2 3 2" xfId="11760"/>
    <cellStyle name="Warning Text 2 10 2 4" xfId="8426"/>
    <cellStyle name="Warning Text 2 10 2 4 2" xfId="13279"/>
    <cellStyle name="Warning Text 2 10 2 5" xfId="10244"/>
    <cellStyle name="Warning Text 2 10 3" xfId="5768"/>
    <cellStyle name="Warning Text 2 10 3 2" xfId="7285"/>
    <cellStyle name="Warning Text 2 10 3 2 2" xfId="12140"/>
    <cellStyle name="Warning Text 2 10 3 3" xfId="8806"/>
    <cellStyle name="Warning Text 2 10 3 3 2" xfId="13659"/>
    <cellStyle name="Warning Text 2 10 3 4" xfId="10624"/>
    <cellStyle name="Warning Text 2 10 4" xfId="6527"/>
    <cellStyle name="Warning Text 2 10 4 2" xfId="11382"/>
    <cellStyle name="Warning Text 2 10 5" xfId="8048"/>
    <cellStyle name="Warning Text 2 10 5 2" xfId="12901"/>
    <cellStyle name="Warning Text 2 10 6" xfId="9866"/>
    <cellStyle name="Warning Text 2 11" xfId="4791"/>
    <cellStyle name="Warning Text 2 11 2" xfId="5388"/>
    <cellStyle name="Warning Text 2 11 2 2" xfId="6147"/>
    <cellStyle name="Warning Text 2 11 2 2 2" xfId="7664"/>
    <cellStyle name="Warning Text 2 11 2 2 2 2" xfId="12519"/>
    <cellStyle name="Warning Text 2 11 2 2 3" xfId="9185"/>
    <cellStyle name="Warning Text 2 11 2 2 3 2" xfId="14038"/>
    <cellStyle name="Warning Text 2 11 2 2 4" xfId="11003"/>
    <cellStyle name="Warning Text 2 11 2 3" xfId="6906"/>
    <cellStyle name="Warning Text 2 11 2 3 2" xfId="11761"/>
    <cellStyle name="Warning Text 2 11 2 4" xfId="8427"/>
    <cellStyle name="Warning Text 2 11 2 4 2" xfId="13280"/>
    <cellStyle name="Warning Text 2 11 2 5" xfId="10245"/>
    <cellStyle name="Warning Text 2 11 3" xfId="5769"/>
    <cellStyle name="Warning Text 2 11 3 2" xfId="7286"/>
    <cellStyle name="Warning Text 2 11 3 2 2" xfId="12141"/>
    <cellStyle name="Warning Text 2 11 3 3" xfId="8807"/>
    <cellStyle name="Warning Text 2 11 3 3 2" xfId="13660"/>
    <cellStyle name="Warning Text 2 11 3 4" xfId="10625"/>
    <cellStyle name="Warning Text 2 11 4" xfId="6528"/>
    <cellStyle name="Warning Text 2 11 4 2" xfId="11383"/>
    <cellStyle name="Warning Text 2 11 5" xfId="8049"/>
    <cellStyle name="Warning Text 2 11 5 2" xfId="12902"/>
    <cellStyle name="Warning Text 2 11 6" xfId="9867"/>
    <cellStyle name="Warning Text 2 12" xfId="4792"/>
    <cellStyle name="Warning Text 2 12 2" xfId="5389"/>
    <cellStyle name="Warning Text 2 12 2 2" xfId="6148"/>
    <cellStyle name="Warning Text 2 12 2 2 2" xfId="7665"/>
    <cellStyle name="Warning Text 2 12 2 2 2 2" xfId="12520"/>
    <cellStyle name="Warning Text 2 12 2 2 3" xfId="9186"/>
    <cellStyle name="Warning Text 2 12 2 2 3 2" xfId="14039"/>
    <cellStyle name="Warning Text 2 12 2 2 4" xfId="11004"/>
    <cellStyle name="Warning Text 2 12 2 3" xfId="6907"/>
    <cellStyle name="Warning Text 2 12 2 3 2" xfId="11762"/>
    <cellStyle name="Warning Text 2 12 2 4" xfId="8428"/>
    <cellStyle name="Warning Text 2 12 2 4 2" xfId="13281"/>
    <cellStyle name="Warning Text 2 12 2 5" xfId="10246"/>
    <cellStyle name="Warning Text 2 12 3" xfId="5770"/>
    <cellStyle name="Warning Text 2 12 3 2" xfId="7287"/>
    <cellStyle name="Warning Text 2 12 3 2 2" xfId="12142"/>
    <cellStyle name="Warning Text 2 12 3 3" xfId="8808"/>
    <cellStyle name="Warning Text 2 12 3 3 2" xfId="13661"/>
    <cellStyle name="Warning Text 2 12 3 4" xfId="10626"/>
    <cellStyle name="Warning Text 2 12 4" xfId="6529"/>
    <cellStyle name="Warning Text 2 12 4 2" xfId="11384"/>
    <cellStyle name="Warning Text 2 12 5" xfId="8050"/>
    <cellStyle name="Warning Text 2 12 5 2" xfId="12903"/>
    <cellStyle name="Warning Text 2 12 6" xfId="9868"/>
    <cellStyle name="Warning Text 2 13" xfId="4793"/>
    <cellStyle name="Warning Text 2 13 2" xfId="5390"/>
    <cellStyle name="Warning Text 2 13 2 2" xfId="6149"/>
    <cellStyle name="Warning Text 2 13 2 2 2" xfId="7666"/>
    <cellStyle name="Warning Text 2 13 2 2 2 2" xfId="12521"/>
    <cellStyle name="Warning Text 2 13 2 2 3" xfId="9187"/>
    <cellStyle name="Warning Text 2 13 2 2 3 2" xfId="14040"/>
    <cellStyle name="Warning Text 2 13 2 2 4" xfId="11005"/>
    <cellStyle name="Warning Text 2 13 2 3" xfId="6908"/>
    <cellStyle name="Warning Text 2 13 2 3 2" xfId="11763"/>
    <cellStyle name="Warning Text 2 13 2 4" xfId="8429"/>
    <cellStyle name="Warning Text 2 13 2 4 2" xfId="13282"/>
    <cellStyle name="Warning Text 2 13 2 5" xfId="10247"/>
    <cellStyle name="Warning Text 2 13 3" xfId="5771"/>
    <cellStyle name="Warning Text 2 13 3 2" xfId="7288"/>
    <cellStyle name="Warning Text 2 13 3 2 2" xfId="12143"/>
    <cellStyle name="Warning Text 2 13 3 3" xfId="8809"/>
    <cellStyle name="Warning Text 2 13 3 3 2" xfId="13662"/>
    <cellStyle name="Warning Text 2 13 3 4" xfId="10627"/>
    <cellStyle name="Warning Text 2 13 4" xfId="6530"/>
    <cellStyle name="Warning Text 2 13 4 2" xfId="11385"/>
    <cellStyle name="Warning Text 2 13 5" xfId="8051"/>
    <cellStyle name="Warning Text 2 13 5 2" xfId="12904"/>
    <cellStyle name="Warning Text 2 13 6" xfId="9869"/>
    <cellStyle name="Warning Text 2 14" xfId="4794"/>
    <cellStyle name="Warning Text 2 14 2" xfId="5391"/>
    <cellStyle name="Warning Text 2 14 2 2" xfId="6150"/>
    <cellStyle name="Warning Text 2 14 2 2 2" xfId="7667"/>
    <cellStyle name="Warning Text 2 14 2 2 2 2" xfId="12522"/>
    <cellStyle name="Warning Text 2 14 2 2 3" xfId="9188"/>
    <cellStyle name="Warning Text 2 14 2 2 3 2" xfId="14041"/>
    <cellStyle name="Warning Text 2 14 2 2 4" xfId="11006"/>
    <cellStyle name="Warning Text 2 14 2 3" xfId="6909"/>
    <cellStyle name="Warning Text 2 14 2 3 2" xfId="11764"/>
    <cellStyle name="Warning Text 2 14 2 4" xfId="8430"/>
    <cellStyle name="Warning Text 2 14 2 4 2" xfId="13283"/>
    <cellStyle name="Warning Text 2 14 2 5" xfId="10248"/>
    <cellStyle name="Warning Text 2 14 3" xfId="5772"/>
    <cellStyle name="Warning Text 2 14 3 2" xfId="7289"/>
    <cellStyle name="Warning Text 2 14 3 2 2" xfId="12144"/>
    <cellStyle name="Warning Text 2 14 3 3" xfId="8810"/>
    <cellStyle name="Warning Text 2 14 3 3 2" xfId="13663"/>
    <cellStyle name="Warning Text 2 14 3 4" xfId="10628"/>
    <cellStyle name="Warning Text 2 14 4" xfId="6531"/>
    <cellStyle name="Warning Text 2 14 4 2" xfId="11386"/>
    <cellStyle name="Warning Text 2 14 5" xfId="8052"/>
    <cellStyle name="Warning Text 2 14 5 2" xfId="12905"/>
    <cellStyle name="Warning Text 2 14 6" xfId="9870"/>
    <cellStyle name="Warning Text 2 15" xfId="4795"/>
    <cellStyle name="Warning Text 2 15 2" xfId="5392"/>
    <cellStyle name="Warning Text 2 15 2 2" xfId="6151"/>
    <cellStyle name="Warning Text 2 15 2 2 2" xfId="7668"/>
    <cellStyle name="Warning Text 2 15 2 2 2 2" xfId="12523"/>
    <cellStyle name="Warning Text 2 15 2 2 3" xfId="9189"/>
    <cellStyle name="Warning Text 2 15 2 2 3 2" xfId="14042"/>
    <cellStyle name="Warning Text 2 15 2 2 4" xfId="11007"/>
    <cellStyle name="Warning Text 2 15 2 3" xfId="6910"/>
    <cellStyle name="Warning Text 2 15 2 3 2" xfId="11765"/>
    <cellStyle name="Warning Text 2 15 2 4" xfId="8431"/>
    <cellStyle name="Warning Text 2 15 2 4 2" xfId="13284"/>
    <cellStyle name="Warning Text 2 15 2 5" xfId="10249"/>
    <cellStyle name="Warning Text 2 15 3" xfId="5773"/>
    <cellStyle name="Warning Text 2 15 3 2" xfId="7290"/>
    <cellStyle name="Warning Text 2 15 3 2 2" xfId="12145"/>
    <cellStyle name="Warning Text 2 15 3 3" xfId="8811"/>
    <cellStyle name="Warning Text 2 15 3 3 2" xfId="13664"/>
    <cellStyle name="Warning Text 2 15 3 4" xfId="10629"/>
    <cellStyle name="Warning Text 2 15 4" xfId="6532"/>
    <cellStyle name="Warning Text 2 15 4 2" xfId="11387"/>
    <cellStyle name="Warning Text 2 15 5" xfId="8053"/>
    <cellStyle name="Warning Text 2 15 5 2" xfId="12906"/>
    <cellStyle name="Warning Text 2 15 6" xfId="9871"/>
    <cellStyle name="Warning Text 2 16" xfId="4789"/>
    <cellStyle name="Warning Text 2 16 2" xfId="5386"/>
    <cellStyle name="Warning Text 2 16 2 2" xfId="6145"/>
    <cellStyle name="Warning Text 2 16 2 2 2" xfId="7662"/>
    <cellStyle name="Warning Text 2 16 2 2 2 2" xfId="12517"/>
    <cellStyle name="Warning Text 2 16 2 2 3" xfId="9183"/>
    <cellStyle name="Warning Text 2 16 2 2 3 2" xfId="14036"/>
    <cellStyle name="Warning Text 2 16 2 2 4" xfId="11001"/>
    <cellStyle name="Warning Text 2 16 2 3" xfId="6904"/>
    <cellStyle name="Warning Text 2 16 2 3 2" xfId="11759"/>
    <cellStyle name="Warning Text 2 16 2 4" xfId="8425"/>
    <cellStyle name="Warning Text 2 16 2 4 2" xfId="13278"/>
    <cellStyle name="Warning Text 2 16 2 5" xfId="10243"/>
    <cellStyle name="Warning Text 2 16 3" xfId="5767"/>
    <cellStyle name="Warning Text 2 16 3 2" xfId="7284"/>
    <cellStyle name="Warning Text 2 16 3 2 2" xfId="12139"/>
    <cellStyle name="Warning Text 2 16 3 3" xfId="8805"/>
    <cellStyle name="Warning Text 2 16 3 3 2" xfId="13658"/>
    <cellStyle name="Warning Text 2 16 3 4" xfId="10623"/>
    <cellStyle name="Warning Text 2 16 4" xfId="6526"/>
    <cellStyle name="Warning Text 2 16 4 2" xfId="11381"/>
    <cellStyle name="Warning Text 2 16 5" xfId="8047"/>
    <cellStyle name="Warning Text 2 16 5 2" xfId="12900"/>
    <cellStyle name="Warning Text 2 16 6" xfId="9865"/>
    <cellStyle name="Warning Text 2 2" xfId="4796"/>
    <cellStyle name="Warning Text 2 2 2" xfId="5393"/>
    <cellStyle name="Warning Text 2 2 2 2" xfId="6152"/>
    <cellStyle name="Warning Text 2 2 2 2 2" xfId="7669"/>
    <cellStyle name="Warning Text 2 2 2 2 2 2" xfId="12524"/>
    <cellStyle name="Warning Text 2 2 2 2 3" xfId="9190"/>
    <cellStyle name="Warning Text 2 2 2 2 3 2" xfId="14043"/>
    <cellStyle name="Warning Text 2 2 2 2 4" xfId="11008"/>
    <cellStyle name="Warning Text 2 2 2 3" xfId="6911"/>
    <cellStyle name="Warning Text 2 2 2 3 2" xfId="11766"/>
    <cellStyle name="Warning Text 2 2 2 4" xfId="8432"/>
    <cellStyle name="Warning Text 2 2 2 4 2" xfId="13285"/>
    <cellStyle name="Warning Text 2 2 2 5" xfId="10250"/>
    <cellStyle name="Warning Text 2 2 3" xfId="5774"/>
    <cellStyle name="Warning Text 2 2 3 2" xfId="7291"/>
    <cellStyle name="Warning Text 2 2 3 2 2" xfId="12146"/>
    <cellStyle name="Warning Text 2 2 3 3" xfId="8812"/>
    <cellStyle name="Warning Text 2 2 3 3 2" xfId="13665"/>
    <cellStyle name="Warning Text 2 2 3 4" xfId="10630"/>
    <cellStyle name="Warning Text 2 2 4" xfId="6533"/>
    <cellStyle name="Warning Text 2 2 4 2" xfId="11388"/>
    <cellStyle name="Warning Text 2 2 5" xfId="8054"/>
    <cellStyle name="Warning Text 2 2 5 2" xfId="12907"/>
    <cellStyle name="Warning Text 2 2 6" xfId="9872"/>
    <cellStyle name="Warning Text 2 3" xfId="4797"/>
    <cellStyle name="Warning Text 2 3 2" xfId="5394"/>
    <cellStyle name="Warning Text 2 3 2 2" xfId="6153"/>
    <cellStyle name="Warning Text 2 3 2 2 2" xfId="7670"/>
    <cellStyle name="Warning Text 2 3 2 2 2 2" xfId="12525"/>
    <cellStyle name="Warning Text 2 3 2 2 3" xfId="9191"/>
    <cellStyle name="Warning Text 2 3 2 2 3 2" xfId="14044"/>
    <cellStyle name="Warning Text 2 3 2 2 4" xfId="11009"/>
    <cellStyle name="Warning Text 2 3 2 3" xfId="6912"/>
    <cellStyle name="Warning Text 2 3 2 3 2" xfId="11767"/>
    <cellStyle name="Warning Text 2 3 2 4" xfId="8433"/>
    <cellStyle name="Warning Text 2 3 2 4 2" xfId="13286"/>
    <cellStyle name="Warning Text 2 3 2 5" xfId="10251"/>
    <cellStyle name="Warning Text 2 3 3" xfId="5775"/>
    <cellStyle name="Warning Text 2 3 3 2" xfId="7292"/>
    <cellStyle name="Warning Text 2 3 3 2 2" xfId="12147"/>
    <cellStyle name="Warning Text 2 3 3 3" xfId="8813"/>
    <cellStyle name="Warning Text 2 3 3 3 2" xfId="13666"/>
    <cellStyle name="Warning Text 2 3 3 4" xfId="10631"/>
    <cellStyle name="Warning Text 2 3 4" xfId="6534"/>
    <cellStyle name="Warning Text 2 3 4 2" xfId="11389"/>
    <cellStyle name="Warning Text 2 3 5" xfId="8055"/>
    <cellStyle name="Warning Text 2 3 5 2" xfId="12908"/>
    <cellStyle name="Warning Text 2 3 6" xfId="9873"/>
    <cellStyle name="Warning Text 2 4" xfId="4798"/>
    <cellStyle name="Warning Text 2 4 2" xfId="5395"/>
    <cellStyle name="Warning Text 2 4 2 2" xfId="6154"/>
    <cellStyle name="Warning Text 2 4 2 2 2" xfId="7671"/>
    <cellStyle name="Warning Text 2 4 2 2 2 2" xfId="12526"/>
    <cellStyle name="Warning Text 2 4 2 2 3" xfId="9192"/>
    <cellStyle name="Warning Text 2 4 2 2 3 2" xfId="14045"/>
    <cellStyle name="Warning Text 2 4 2 2 4" xfId="11010"/>
    <cellStyle name="Warning Text 2 4 2 3" xfId="6913"/>
    <cellStyle name="Warning Text 2 4 2 3 2" xfId="11768"/>
    <cellStyle name="Warning Text 2 4 2 4" xfId="8434"/>
    <cellStyle name="Warning Text 2 4 2 4 2" xfId="13287"/>
    <cellStyle name="Warning Text 2 4 2 5" xfId="10252"/>
    <cellStyle name="Warning Text 2 4 3" xfId="5776"/>
    <cellStyle name="Warning Text 2 4 3 2" xfId="7293"/>
    <cellStyle name="Warning Text 2 4 3 2 2" xfId="12148"/>
    <cellStyle name="Warning Text 2 4 3 3" xfId="8814"/>
    <cellStyle name="Warning Text 2 4 3 3 2" xfId="13667"/>
    <cellStyle name="Warning Text 2 4 3 4" xfId="10632"/>
    <cellStyle name="Warning Text 2 4 4" xfId="6535"/>
    <cellStyle name="Warning Text 2 4 4 2" xfId="11390"/>
    <cellStyle name="Warning Text 2 4 5" xfId="8056"/>
    <cellStyle name="Warning Text 2 4 5 2" xfId="12909"/>
    <cellStyle name="Warning Text 2 4 6" xfId="9874"/>
    <cellStyle name="Warning Text 2 5" xfId="4799"/>
    <cellStyle name="Warning Text 2 5 2" xfId="5396"/>
    <cellStyle name="Warning Text 2 5 2 2" xfId="6155"/>
    <cellStyle name="Warning Text 2 5 2 2 2" xfId="7672"/>
    <cellStyle name="Warning Text 2 5 2 2 2 2" xfId="12527"/>
    <cellStyle name="Warning Text 2 5 2 2 3" xfId="9193"/>
    <cellStyle name="Warning Text 2 5 2 2 3 2" xfId="14046"/>
    <cellStyle name="Warning Text 2 5 2 2 4" xfId="11011"/>
    <cellStyle name="Warning Text 2 5 2 3" xfId="6914"/>
    <cellStyle name="Warning Text 2 5 2 3 2" xfId="11769"/>
    <cellStyle name="Warning Text 2 5 2 4" xfId="8435"/>
    <cellStyle name="Warning Text 2 5 2 4 2" xfId="13288"/>
    <cellStyle name="Warning Text 2 5 2 5" xfId="10253"/>
    <cellStyle name="Warning Text 2 5 3" xfId="5777"/>
    <cellStyle name="Warning Text 2 5 3 2" xfId="7294"/>
    <cellStyle name="Warning Text 2 5 3 2 2" xfId="12149"/>
    <cellStyle name="Warning Text 2 5 3 3" xfId="8815"/>
    <cellStyle name="Warning Text 2 5 3 3 2" xfId="13668"/>
    <cellStyle name="Warning Text 2 5 3 4" xfId="10633"/>
    <cellStyle name="Warning Text 2 5 4" xfId="6536"/>
    <cellStyle name="Warning Text 2 5 4 2" xfId="11391"/>
    <cellStyle name="Warning Text 2 5 5" xfId="8057"/>
    <cellStyle name="Warning Text 2 5 5 2" xfId="12910"/>
    <cellStyle name="Warning Text 2 5 6" xfId="9875"/>
    <cellStyle name="Warning Text 2 6" xfId="4800"/>
    <cellStyle name="Warning Text 2 6 2" xfId="5397"/>
    <cellStyle name="Warning Text 2 6 2 2" xfId="6156"/>
    <cellStyle name="Warning Text 2 6 2 2 2" xfId="7673"/>
    <cellStyle name="Warning Text 2 6 2 2 2 2" xfId="12528"/>
    <cellStyle name="Warning Text 2 6 2 2 3" xfId="9194"/>
    <cellStyle name="Warning Text 2 6 2 2 3 2" xfId="14047"/>
    <cellStyle name="Warning Text 2 6 2 2 4" xfId="11012"/>
    <cellStyle name="Warning Text 2 6 2 3" xfId="6915"/>
    <cellStyle name="Warning Text 2 6 2 3 2" xfId="11770"/>
    <cellStyle name="Warning Text 2 6 2 4" xfId="8436"/>
    <cellStyle name="Warning Text 2 6 2 4 2" xfId="13289"/>
    <cellStyle name="Warning Text 2 6 2 5" xfId="10254"/>
    <cellStyle name="Warning Text 2 6 3" xfId="5778"/>
    <cellStyle name="Warning Text 2 6 3 2" xfId="7295"/>
    <cellStyle name="Warning Text 2 6 3 2 2" xfId="12150"/>
    <cellStyle name="Warning Text 2 6 3 3" xfId="8816"/>
    <cellStyle name="Warning Text 2 6 3 3 2" xfId="13669"/>
    <cellStyle name="Warning Text 2 6 3 4" xfId="10634"/>
    <cellStyle name="Warning Text 2 6 4" xfId="6537"/>
    <cellStyle name="Warning Text 2 6 4 2" xfId="11392"/>
    <cellStyle name="Warning Text 2 6 5" xfId="8058"/>
    <cellStyle name="Warning Text 2 6 5 2" xfId="12911"/>
    <cellStyle name="Warning Text 2 6 6" xfId="9876"/>
    <cellStyle name="Warning Text 2 7" xfId="4801"/>
    <cellStyle name="Warning Text 2 7 2" xfId="5398"/>
    <cellStyle name="Warning Text 2 7 2 2" xfId="6157"/>
    <cellStyle name="Warning Text 2 7 2 2 2" xfId="7674"/>
    <cellStyle name="Warning Text 2 7 2 2 2 2" xfId="12529"/>
    <cellStyle name="Warning Text 2 7 2 2 3" xfId="9195"/>
    <cellStyle name="Warning Text 2 7 2 2 3 2" xfId="14048"/>
    <cellStyle name="Warning Text 2 7 2 2 4" xfId="11013"/>
    <cellStyle name="Warning Text 2 7 2 3" xfId="6916"/>
    <cellStyle name="Warning Text 2 7 2 3 2" xfId="11771"/>
    <cellStyle name="Warning Text 2 7 2 4" xfId="8437"/>
    <cellStyle name="Warning Text 2 7 2 4 2" xfId="13290"/>
    <cellStyle name="Warning Text 2 7 2 5" xfId="10255"/>
    <cellStyle name="Warning Text 2 7 3" xfId="5779"/>
    <cellStyle name="Warning Text 2 7 3 2" xfId="7296"/>
    <cellStyle name="Warning Text 2 7 3 2 2" xfId="12151"/>
    <cellStyle name="Warning Text 2 7 3 3" xfId="8817"/>
    <cellStyle name="Warning Text 2 7 3 3 2" xfId="13670"/>
    <cellStyle name="Warning Text 2 7 3 4" xfId="10635"/>
    <cellStyle name="Warning Text 2 7 4" xfId="6538"/>
    <cellStyle name="Warning Text 2 7 4 2" xfId="11393"/>
    <cellStyle name="Warning Text 2 7 5" xfId="8059"/>
    <cellStyle name="Warning Text 2 7 5 2" xfId="12912"/>
    <cellStyle name="Warning Text 2 7 6" xfId="9877"/>
    <cellStyle name="Warning Text 2 8" xfId="4802"/>
    <cellStyle name="Warning Text 2 8 2" xfId="5399"/>
    <cellStyle name="Warning Text 2 8 2 2" xfId="6158"/>
    <cellStyle name="Warning Text 2 8 2 2 2" xfId="7675"/>
    <cellStyle name="Warning Text 2 8 2 2 2 2" xfId="12530"/>
    <cellStyle name="Warning Text 2 8 2 2 3" xfId="9196"/>
    <cellStyle name="Warning Text 2 8 2 2 3 2" xfId="14049"/>
    <cellStyle name="Warning Text 2 8 2 2 4" xfId="11014"/>
    <cellStyle name="Warning Text 2 8 2 3" xfId="6917"/>
    <cellStyle name="Warning Text 2 8 2 3 2" xfId="11772"/>
    <cellStyle name="Warning Text 2 8 2 4" xfId="8438"/>
    <cellStyle name="Warning Text 2 8 2 4 2" xfId="13291"/>
    <cellStyle name="Warning Text 2 8 2 5" xfId="10256"/>
    <cellStyle name="Warning Text 2 8 3" xfId="5780"/>
    <cellStyle name="Warning Text 2 8 3 2" xfId="7297"/>
    <cellStyle name="Warning Text 2 8 3 2 2" xfId="12152"/>
    <cellStyle name="Warning Text 2 8 3 3" xfId="8818"/>
    <cellStyle name="Warning Text 2 8 3 3 2" xfId="13671"/>
    <cellStyle name="Warning Text 2 8 3 4" xfId="10636"/>
    <cellStyle name="Warning Text 2 8 4" xfId="6539"/>
    <cellStyle name="Warning Text 2 8 4 2" xfId="11394"/>
    <cellStyle name="Warning Text 2 8 5" xfId="8060"/>
    <cellStyle name="Warning Text 2 8 5 2" xfId="12913"/>
    <cellStyle name="Warning Text 2 8 6" xfId="9878"/>
    <cellStyle name="Warning Text 2 9" xfId="4803"/>
    <cellStyle name="Warning Text 2 9 2" xfId="5400"/>
    <cellStyle name="Warning Text 2 9 2 2" xfId="6159"/>
    <cellStyle name="Warning Text 2 9 2 2 2" xfId="7676"/>
    <cellStyle name="Warning Text 2 9 2 2 2 2" xfId="12531"/>
    <cellStyle name="Warning Text 2 9 2 2 3" xfId="9197"/>
    <cellStyle name="Warning Text 2 9 2 2 3 2" xfId="14050"/>
    <cellStyle name="Warning Text 2 9 2 2 4" xfId="11015"/>
    <cellStyle name="Warning Text 2 9 2 3" xfId="6918"/>
    <cellStyle name="Warning Text 2 9 2 3 2" xfId="11773"/>
    <cellStyle name="Warning Text 2 9 2 4" xfId="8439"/>
    <cellStyle name="Warning Text 2 9 2 4 2" xfId="13292"/>
    <cellStyle name="Warning Text 2 9 2 5" xfId="10257"/>
    <cellStyle name="Warning Text 2 9 3" xfId="5781"/>
    <cellStyle name="Warning Text 2 9 3 2" xfId="7298"/>
    <cellStyle name="Warning Text 2 9 3 2 2" xfId="12153"/>
    <cellStyle name="Warning Text 2 9 3 3" xfId="8819"/>
    <cellStyle name="Warning Text 2 9 3 3 2" xfId="13672"/>
    <cellStyle name="Warning Text 2 9 3 4" xfId="10637"/>
    <cellStyle name="Warning Text 2 9 4" xfId="6540"/>
    <cellStyle name="Warning Text 2 9 4 2" xfId="11395"/>
    <cellStyle name="Warning Text 2 9 5" xfId="8061"/>
    <cellStyle name="Warning Text 2 9 5 2" xfId="12914"/>
    <cellStyle name="Warning Text 2 9 6" xfId="9879"/>
    <cellStyle name="Warning Text 20" xfId="4804"/>
    <cellStyle name="Warning Text 20 2" xfId="5401"/>
    <cellStyle name="Warning Text 20 2 2" xfId="6160"/>
    <cellStyle name="Warning Text 20 2 2 2" xfId="7677"/>
    <cellStyle name="Warning Text 20 2 2 2 2" xfId="12532"/>
    <cellStyle name="Warning Text 20 2 2 3" xfId="9198"/>
    <cellStyle name="Warning Text 20 2 2 3 2" xfId="14051"/>
    <cellStyle name="Warning Text 20 2 2 4" xfId="11016"/>
    <cellStyle name="Warning Text 20 2 3" xfId="6919"/>
    <cellStyle name="Warning Text 20 2 3 2" xfId="11774"/>
    <cellStyle name="Warning Text 20 2 4" xfId="8440"/>
    <cellStyle name="Warning Text 20 2 4 2" xfId="13293"/>
    <cellStyle name="Warning Text 20 2 5" xfId="10258"/>
    <cellStyle name="Warning Text 20 3" xfId="5782"/>
    <cellStyle name="Warning Text 20 3 2" xfId="7299"/>
    <cellStyle name="Warning Text 20 3 2 2" xfId="12154"/>
    <cellStyle name="Warning Text 20 3 3" xfId="8820"/>
    <cellStyle name="Warning Text 20 3 3 2" xfId="13673"/>
    <cellStyle name="Warning Text 20 3 4" xfId="10638"/>
    <cellStyle name="Warning Text 20 4" xfId="6541"/>
    <cellStyle name="Warning Text 20 4 2" xfId="11396"/>
    <cellStyle name="Warning Text 20 5" xfId="8062"/>
    <cellStyle name="Warning Text 20 5 2" xfId="12915"/>
    <cellStyle name="Warning Text 20 6" xfId="9880"/>
    <cellStyle name="Warning Text 3" xfId="4805"/>
    <cellStyle name="Warning Text 3 10" xfId="5783"/>
    <cellStyle name="Warning Text 3 10 2" xfId="7300"/>
    <cellStyle name="Warning Text 3 10 2 2" xfId="12155"/>
    <cellStyle name="Warning Text 3 10 3" xfId="8821"/>
    <cellStyle name="Warning Text 3 10 3 2" xfId="13674"/>
    <cellStyle name="Warning Text 3 10 4" xfId="10639"/>
    <cellStyle name="Warning Text 3 11" xfId="6542"/>
    <cellStyle name="Warning Text 3 11 2" xfId="11397"/>
    <cellStyle name="Warning Text 3 12" xfId="8063"/>
    <cellStyle name="Warning Text 3 12 2" xfId="12916"/>
    <cellStyle name="Warning Text 3 13" xfId="9881"/>
    <cellStyle name="Warning Text 3 2" xfId="4806"/>
    <cellStyle name="Warning Text 3 2 2" xfId="5403"/>
    <cellStyle name="Warning Text 3 2 2 2" xfId="6162"/>
    <cellStyle name="Warning Text 3 2 2 2 2" xfId="7679"/>
    <cellStyle name="Warning Text 3 2 2 2 2 2" xfId="12534"/>
    <cellStyle name="Warning Text 3 2 2 2 3" xfId="9200"/>
    <cellStyle name="Warning Text 3 2 2 2 3 2" xfId="14053"/>
    <cellStyle name="Warning Text 3 2 2 2 4" xfId="11018"/>
    <cellStyle name="Warning Text 3 2 2 3" xfId="6921"/>
    <cellStyle name="Warning Text 3 2 2 3 2" xfId="11776"/>
    <cellStyle name="Warning Text 3 2 2 4" xfId="8442"/>
    <cellStyle name="Warning Text 3 2 2 4 2" xfId="13295"/>
    <cellStyle name="Warning Text 3 2 2 5" xfId="10260"/>
    <cellStyle name="Warning Text 3 2 3" xfId="5784"/>
    <cellStyle name="Warning Text 3 2 3 2" xfId="7301"/>
    <cellStyle name="Warning Text 3 2 3 2 2" xfId="12156"/>
    <cellStyle name="Warning Text 3 2 3 3" xfId="8822"/>
    <cellStyle name="Warning Text 3 2 3 3 2" xfId="13675"/>
    <cellStyle name="Warning Text 3 2 3 4" xfId="10640"/>
    <cellStyle name="Warning Text 3 2 4" xfId="6543"/>
    <cellStyle name="Warning Text 3 2 4 2" xfId="11398"/>
    <cellStyle name="Warning Text 3 2 5" xfId="8064"/>
    <cellStyle name="Warning Text 3 2 5 2" xfId="12917"/>
    <cellStyle name="Warning Text 3 2 6" xfId="9882"/>
    <cellStyle name="Warning Text 3 3" xfId="4807"/>
    <cellStyle name="Warning Text 3 3 2" xfId="5404"/>
    <cellStyle name="Warning Text 3 3 2 2" xfId="6163"/>
    <cellStyle name="Warning Text 3 3 2 2 2" xfId="7680"/>
    <cellStyle name="Warning Text 3 3 2 2 2 2" xfId="12535"/>
    <cellStyle name="Warning Text 3 3 2 2 3" xfId="9201"/>
    <cellStyle name="Warning Text 3 3 2 2 3 2" xfId="14054"/>
    <cellStyle name="Warning Text 3 3 2 2 4" xfId="11019"/>
    <cellStyle name="Warning Text 3 3 2 3" xfId="6922"/>
    <cellStyle name="Warning Text 3 3 2 3 2" xfId="11777"/>
    <cellStyle name="Warning Text 3 3 2 4" xfId="8443"/>
    <cellStyle name="Warning Text 3 3 2 4 2" xfId="13296"/>
    <cellStyle name="Warning Text 3 3 2 5" xfId="10261"/>
    <cellStyle name="Warning Text 3 3 3" xfId="5785"/>
    <cellStyle name="Warning Text 3 3 3 2" xfId="7302"/>
    <cellStyle name="Warning Text 3 3 3 2 2" xfId="12157"/>
    <cellStyle name="Warning Text 3 3 3 3" xfId="8823"/>
    <cellStyle name="Warning Text 3 3 3 3 2" xfId="13676"/>
    <cellStyle name="Warning Text 3 3 3 4" xfId="10641"/>
    <cellStyle name="Warning Text 3 3 4" xfId="6544"/>
    <cellStyle name="Warning Text 3 3 4 2" xfId="11399"/>
    <cellStyle name="Warning Text 3 3 5" xfId="8065"/>
    <cellStyle name="Warning Text 3 3 5 2" xfId="12918"/>
    <cellStyle name="Warning Text 3 3 6" xfId="9883"/>
    <cellStyle name="Warning Text 3 4" xfId="4808"/>
    <cellStyle name="Warning Text 3 4 2" xfId="5405"/>
    <cellStyle name="Warning Text 3 4 2 2" xfId="6164"/>
    <cellStyle name="Warning Text 3 4 2 2 2" xfId="7681"/>
    <cellStyle name="Warning Text 3 4 2 2 2 2" xfId="12536"/>
    <cellStyle name="Warning Text 3 4 2 2 3" xfId="9202"/>
    <cellStyle name="Warning Text 3 4 2 2 3 2" xfId="14055"/>
    <cellStyle name="Warning Text 3 4 2 2 4" xfId="11020"/>
    <cellStyle name="Warning Text 3 4 2 3" xfId="6923"/>
    <cellStyle name="Warning Text 3 4 2 3 2" xfId="11778"/>
    <cellStyle name="Warning Text 3 4 2 4" xfId="8444"/>
    <cellStyle name="Warning Text 3 4 2 4 2" xfId="13297"/>
    <cellStyle name="Warning Text 3 4 2 5" xfId="10262"/>
    <cellStyle name="Warning Text 3 4 3" xfId="5786"/>
    <cellStyle name="Warning Text 3 4 3 2" xfId="7303"/>
    <cellStyle name="Warning Text 3 4 3 2 2" xfId="12158"/>
    <cellStyle name="Warning Text 3 4 3 3" xfId="8824"/>
    <cellStyle name="Warning Text 3 4 3 3 2" xfId="13677"/>
    <cellStyle name="Warning Text 3 4 3 4" xfId="10642"/>
    <cellStyle name="Warning Text 3 4 4" xfId="6545"/>
    <cellStyle name="Warning Text 3 4 4 2" xfId="11400"/>
    <cellStyle name="Warning Text 3 4 5" xfId="8066"/>
    <cellStyle name="Warning Text 3 4 5 2" xfId="12919"/>
    <cellStyle name="Warning Text 3 4 6" xfId="9884"/>
    <cellStyle name="Warning Text 3 5" xfId="4809"/>
    <cellStyle name="Warning Text 3 5 2" xfId="5406"/>
    <cellStyle name="Warning Text 3 5 2 2" xfId="6165"/>
    <cellStyle name="Warning Text 3 5 2 2 2" xfId="7682"/>
    <cellStyle name="Warning Text 3 5 2 2 2 2" xfId="12537"/>
    <cellStyle name="Warning Text 3 5 2 2 3" xfId="9203"/>
    <cellStyle name="Warning Text 3 5 2 2 3 2" xfId="14056"/>
    <cellStyle name="Warning Text 3 5 2 2 4" xfId="11021"/>
    <cellStyle name="Warning Text 3 5 2 3" xfId="6924"/>
    <cellStyle name="Warning Text 3 5 2 3 2" xfId="11779"/>
    <cellStyle name="Warning Text 3 5 2 4" xfId="8445"/>
    <cellStyle name="Warning Text 3 5 2 4 2" xfId="13298"/>
    <cellStyle name="Warning Text 3 5 2 5" xfId="10263"/>
    <cellStyle name="Warning Text 3 5 3" xfId="5787"/>
    <cellStyle name="Warning Text 3 5 3 2" xfId="7304"/>
    <cellStyle name="Warning Text 3 5 3 2 2" xfId="12159"/>
    <cellStyle name="Warning Text 3 5 3 3" xfId="8825"/>
    <cellStyle name="Warning Text 3 5 3 3 2" xfId="13678"/>
    <cellStyle name="Warning Text 3 5 3 4" xfId="10643"/>
    <cellStyle name="Warning Text 3 5 4" xfId="6546"/>
    <cellStyle name="Warning Text 3 5 4 2" xfId="11401"/>
    <cellStyle name="Warning Text 3 5 5" xfId="8067"/>
    <cellStyle name="Warning Text 3 5 5 2" xfId="12920"/>
    <cellStyle name="Warning Text 3 5 6" xfId="9885"/>
    <cellStyle name="Warning Text 3 6" xfId="4810"/>
    <cellStyle name="Warning Text 3 6 2" xfId="5407"/>
    <cellStyle name="Warning Text 3 6 2 2" xfId="6166"/>
    <cellStyle name="Warning Text 3 6 2 2 2" xfId="7683"/>
    <cellStyle name="Warning Text 3 6 2 2 2 2" xfId="12538"/>
    <cellStyle name="Warning Text 3 6 2 2 3" xfId="9204"/>
    <cellStyle name="Warning Text 3 6 2 2 3 2" xfId="14057"/>
    <cellStyle name="Warning Text 3 6 2 2 4" xfId="11022"/>
    <cellStyle name="Warning Text 3 6 2 3" xfId="6925"/>
    <cellStyle name="Warning Text 3 6 2 3 2" xfId="11780"/>
    <cellStyle name="Warning Text 3 6 2 4" xfId="8446"/>
    <cellStyle name="Warning Text 3 6 2 4 2" xfId="13299"/>
    <cellStyle name="Warning Text 3 6 2 5" xfId="10264"/>
    <cellStyle name="Warning Text 3 6 3" xfId="5788"/>
    <cellStyle name="Warning Text 3 6 3 2" xfId="7305"/>
    <cellStyle name="Warning Text 3 6 3 2 2" xfId="12160"/>
    <cellStyle name="Warning Text 3 6 3 3" xfId="8826"/>
    <cellStyle name="Warning Text 3 6 3 3 2" xfId="13679"/>
    <cellStyle name="Warning Text 3 6 3 4" xfId="10644"/>
    <cellStyle name="Warning Text 3 6 4" xfId="6547"/>
    <cellStyle name="Warning Text 3 6 4 2" xfId="11402"/>
    <cellStyle name="Warning Text 3 6 5" xfId="8068"/>
    <cellStyle name="Warning Text 3 6 5 2" xfId="12921"/>
    <cellStyle name="Warning Text 3 6 6" xfId="9886"/>
    <cellStyle name="Warning Text 3 7" xfId="4811"/>
    <cellStyle name="Warning Text 3 7 2" xfId="5408"/>
    <cellStyle name="Warning Text 3 7 2 2" xfId="6167"/>
    <cellStyle name="Warning Text 3 7 2 2 2" xfId="7684"/>
    <cellStyle name="Warning Text 3 7 2 2 2 2" xfId="12539"/>
    <cellStyle name="Warning Text 3 7 2 2 3" xfId="9205"/>
    <cellStyle name="Warning Text 3 7 2 2 3 2" xfId="14058"/>
    <cellStyle name="Warning Text 3 7 2 2 4" xfId="11023"/>
    <cellStyle name="Warning Text 3 7 2 3" xfId="6926"/>
    <cellStyle name="Warning Text 3 7 2 3 2" xfId="11781"/>
    <cellStyle name="Warning Text 3 7 2 4" xfId="8447"/>
    <cellStyle name="Warning Text 3 7 2 4 2" xfId="13300"/>
    <cellStyle name="Warning Text 3 7 2 5" xfId="10265"/>
    <cellStyle name="Warning Text 3 7 3" xfId="5789"/>
    <cellStyle name="Warning Text 3 7 3 2" xfId="7306"/>
    <cellStyle name="Warning Text 3 7 3 2 2" xfId="12161"/>
    <cellStyle name="Warning Text 3 7 3 3" xfId="8827"/>
    <cellStyle name="Warning Text 3 7 3 3 2" xfId="13680"/>
    <cellStyle name="Warning Text 3 7 3 4" xfId="10645"/>
    <cellStyle name="Warning Text 3 7 4" xfId="6548"/>
    <cellStyle name="Warning Text 3 7 4 2" xfId="11403"/>
    <cellStyle name="Warning Text 3 7 5" xfId="8069"/>
    <cellStyle name="Warning Text 3 7 5 2" xfId="12922"/>
    <cellStyle name="Warning Text 3 7 6" xfId="9887"/>
    <cellStyle name="Warning Text 3 8" xfId="4812"/>
    <cellStyle name="Warning Text 3 8 2" xfId="5409"/>
    <cellStyle name="Warning Text 3 8 2 2" xfId="6168"/>
    <cellStyle name="Warning Text 3 8 2 2 2" xfId="7685"/>
    <cellStyle name="Warning Text 3 8 2 2 2 2" xfId="12540"/>
    <cellStyle name="Warning Text 3 8 2 2 3" xfId="9206"/>
    <cellStyle name="Warning Text 3 8 2 2 3 2" xfId="14059"/>
    <cellStyle name="Warning Text 3 8 2 2 4" xfId="11024"/>
    <cellStyle name="Warning Text 3 8 2 3" xfId="6927"/>
    <cellStyle name="Warning Text 3 8 2 3 2" xfId="11782"/>
    <cellStyle name="Warning Text 3 8 2 4" xfId="8448"/>
    <cellStyle name="Warning Text 3 8 2 4 2" xfId="13301"/>
    <cellStyle name="Warning Text 3 8 2 5" xfId="10266"/>
    <cellStyle name="Warning Text 3 8 3" xfId="5790"/>
    <cellStyle name="Warning Text 3 8 3 2" xfId="7307"/>
    <cellStyle name="Warning Text 3 8 3 2 2" xfId="12162"/>
    <cellStyle name="Warning Text 3 8 3 3" xfId="8828"/>
    <cellStyle name="Warning Text 3 8 3 3 2" xfId="13681"/>
    <cellStyle name="Warning Text 3 8 3 4" xfId="10646"/>
    <cellStyle name="Warning Text 3 8 4" xfId="6549"/>
    <cellStyle name="Warning Text 3 8 4 2" xfId="11404"/>
    <cellStyle name="Warning Text 3 8 5" xfId="8070"/>
    <cellStyle name="Warning Text 3 8 5 2" xfId="12923"/>
    <cellStyle name="Warning Text 3 8 6" xfId="9888"/>
    <cellStyle name="Warning Text 3 9" xfId="5402"/>
    <cellStyle name="Warning Text 3 9 2" xfId="6161"/>
    <cellStyle name="Warning Text 3 9 2 2" xfId="7678"/>
    <cellStyle name="Warning Text 3 9 2 2 2" xfId="12533"/>
    <cellStyle name="Warning Text 3 9 2 3" xfId="9199"/>
    <cellStyle name="Warning Text 3 9 2 3 2" xfId="14052"/>
    <cellStyle name="Warning Text 3 9 2 4" xfId="11017"/>
    <cellStyle name="Warning Text 3 9 3" xfId="6920"/>
    <cellStyle name="Warning Text 3 9 3 2" xfId="11775"/>
    <cellStyle name="Warning Text 3 9 4" xfId="8441"/>
    <cellStyle name="Warning Text 3 9 4 2" xfId="13294"/>
    <cellStyle name="Warning Text 3 9 5" xfId="10259"/>
    <cellStyle name="Warning Text 4" xfId="4813"/>
    <cellStyle name="Warning Text 4 2" xfId="4814"/>
    <cellStyle name="Warning Text 4 2 2" xfId="5411"/>
    <cellStyle name="Warning Text 4 2 2 2" xfId="6170"/>
    <cellStyle name="Warning Text 4 2 2 2 2" xfId="7687"/>
    <cellStyle name="Warning Text 4 2 2 2 2 2" xfId="12542"/>
    <cellStyle name="Warning Text 4 2 2 2 3" xfId="9208"/>
    <cellStyle name="Warning Text 4 2 2 2 3 2" xfId="14061"/>
    <cellStyle name="Warning Text 4 2 2 2 4" xfId="11026"/>
    <cellStyle name="Warning Text 4 2 2 3" xfId="6929"/>
    <cellStyle name="Warning Text 4 2 2 3 2" xfId="11784"/>
    <cellStyle name="Warning Text 4 2 2 4" xfId="8450"/>
    <cellStyle name="Warning Text 4 2 2 4 2" xfId="13303"/>
    <cellStyle name="Warning Text 4 2 2 5" xfId="10268"/>
    <cellStyle name="Warning Text 4 2 3" xfId="5792"/>
    <cellStyle name="Warning Text 4 2 3 2" xfId="7309"/>
    <cellStyle name="Warning Text 4 2 3 2 2" xfId="12164"/>
    <cellStyle name="Warning Text 4 2 3 3" xfId="8830"/>
    <cellStyle name="Warning Text 4 2 3 3 2" xfId="13683"/>
    <cellStyle name="Warning Text 4 2 3 4" xfId="10648"/>
    <cellStyle name="Warning Text 4 2 4" xfId="6551"/>
    <cellStyle name="Warning Text 4 2 4 2" xfId="11406"/>
    <cellStyle name="Warning Text 4 2 5" xfId="8072"/>
    <cellStyle name="Warning Text 4 2 5 2" xfId="12925"/>
    <cellStyle name="Warning Text 4 2 6" xfId="9890"/>
    <cellStyle name="Warning Text 4 3" xfId="5410"/>
    <cellStyle name="Warning Text 4 3 2" xfId="6169"/>
    <cellStyle name="Warning Text 4 3 2 2" xfId="7686"/>
    <cellStyle name="Warning Text 4 3 2 2 2" xfId="12541"/>
    <cellStyle name="Warning Text 4 3 2 3" xfId="9207"/>
    <cellStyle name="Warning Text 4 3 2 3 2" xfId="14060"/>
    <cellStyle name="Warning Text 4 3 2 4" xfId="11025"/>
    <cellStyle name="Warning Text 4 3 3" xfId="6928"/>
    <cellStyle name="Warning Text 4 3 3 2" xfId="11783"/>
    <cellStyle name="Warning Text 4 3 4" xfId="8449"/>
    <cellStyle name="Warning Text 4 3 4 2" xfId="13302"/>
    <cellStyle name="Warning Text 4 3 5" xfId="10267"/>
    <cellStyle name="Warning Text 4 4" xfId="5791"/>
    <cellStyle name="Warning Text 4 4 2" xfId="7308"/>
    <cellStyle name="Warning Text 4 4 2 2" xfId="12163"/>
    <cellStyle name="Warning Text 4 4 3" xfId="8829"/>
    <cellStyle name="Warning Text 4 4 3 2" xfId="13682"/>
    <cellStyle name="Warning Text 4 4 4" xfId="10647"/>
    <cellStyle name="Warning Text 4 5" xfId="6550"/>
    <cellStyle name="Warning Text 4 5 2" xfId="11405"/>
    <cellStyle name="Warning Text 4 6" xfId="8071"/>
    <cellStyle name="Warning Text 4 6 2" xfId="12924"/>
    <cellStyle name="Warning Text 4 7" xfId="9889"/>
    <cellStyle name="Warning Text 5" xfId="4815"/>
    <cellStyle name="Warning Text 5 2" xfId="4816"/>
    <cellStyle name="Warning Text 5 2 2" xfId="5413"/>
    <cellStyle name="Warning Text 5 2 2 2" xfId="6172"/>
    <cellStyle name="Warning Text 5 2 2 2 2" xfId="7689"/>
    <cellStyle name="Warning Text 5 2 2 2 2 2" xfId="12544"/>
    <cellStyle name="Warning Text 5 2 2 2 3" xfId="9210"/>
    <cellStyle name="Warning Text 5 2 2 2 3 2" xfId="14063"/>
    <cellStyle name="Warning Text 5 2 2 2 4" xfId="11028"/>
    <cellStyle name="Warning Text 5 2 2 3" xfId="6931"/>
    <cellStyle name="Warning Text 5 2 2 3 2" xfId="11786"/>
    <cellStyle name="Warning Text 5 2 2 4" xfId="8452"/>
    <cellStyle name="Warning Text 5 2 2 4 2" xfId="13305"/>
    <cellStyle name="Warning Text 5 2 2 5" xfId="10270"/>
    <cellStyle name="Warning Text 5 2 3" xfId="5794"/>
    <cellStyle name="Warning Text 5 2 3 2" xfId="7311"/>
    <cellStyle name="Warning Text 5 2 3 2 2" xfId="12166"/>
    <cellStyle name="Warning Text 5 2 3 3" xfId="8832"/>
    <cellStyle name="Warning Text 5 2 3 3 2" xfId="13685"/>
    <cellStyle name="Warning Text 5 2 3 4" xfId="10650"/>
    <cellStyle name="Warning Text 5 2 4" xfId="6553"/>
    <cellStyle name="Warning Text 5 2 4 2" xfId="11408"/>
    <cellStyle name="Warning Text 5 2 5" xfId="8074"/>
    <cellStyle name="Warning Text 5 2 5 2" xfId="12927"/>
    <cellStyle name="Warning Text 5 2 6" xfId="9892"/>
    <cellStyle name="Warning Text 5 3" xfId="5412"/>
    <cellStyle name="Warning Text 5 3 2" xfId="6171"/>
    <cellStyle name="Warning Text 5 3 2 2" xfId="7688"/>
    <cellStyle name="Warning Text 5 3 2 2 2" xfId="12543"/>
    <cellStyle name="Warning Text 5 3 2 3" xfId="9209"/>
    <cellStyle name="Warning Text 5 3 2 3 2" xfId="14062"/>
    <cellStyle name="Warning Text 5 3 2 4" xfId="11027"/>
    <cellStyle name="Warning Text 5 3 3" xfId="6930"/>
    <cellStyle name="Warning Text 5 3 3 2" xfId="11785"/>
    <cellStyle name="Warning Text 5 3 4" xfId="8451"/>
    <cellStyle name="Warning Text 5 3 4 2" xfId="13304"/>
    <cellStyle name="Warning Text 5 3 5" xfId="10269"/>
    <cellStyle name="Warning Text 5 4" xfId="5793"/>
    <cellStyle name="Warning Text 5 4 2" xfId="7310"/>
    <cellStyle name="Warning Text 5 4 2 2" xfId="12165"/>
    <cellStyle name="Warning Text 5 4 3" xfId="8831"/>
    <cellStyle name="Warning Text 5 4 3 2" xfId="13684"/>
    <cellStyle name="Warning Text 5 4 4" xfId="10649"/>
    <cellStyle name="Warning Text 5 5" xfId="6552"/>
    <cellStyle name="Warning Text 5 5 2" xfId="11407"/>
    <cellStyle name="Warning Text 5 6" xfId="8073"/>
    <cellStyle name="Warning Text 5 6 2" xfId="12926"/>
    <cellStyle name="Warning Text 5 7" xfId="9891"/>
    <cellStyle name="Warning Text 6" xfId="4817"/>
    <cellStyle name="Warning Text 6 2" xfId="4818"/>
    <cellStyle name="Warning Text 6 2 2" xfId="5415"/>
    <cellStyle name="Warning Text 6 2 2 2" xfId="6174"/>
    <cellStyle name="Warning Text 6 2 2 2 2" xfId="7691"/>
    <cellStyle name="Warning Text 6 2 2 2 2 2" xfId="12546"/>
    <cellStyle name="Warning Text 6 2 2 2 3" xfId="9212"/>
    <cellStyle name="Warning Text 6 2 2 2 3 2" xfId="14065"/>
    <cellStyle name="Warning Text 6 2 2 2 4" xfId="11030"/>
    <cellStyle name="Warning Text 6 2 2 3" xfId="6933"/>
    <cellStyle name="Warning Text 6 2 2 3 2" xfId="11788"/>
    <cellStyle name="Warning Text 6 2 2 4" xfId="8454"/>
    <cellStyle name="Warning Text 6 2 2 4 2" xfId="13307"/>
    <cellStyle name="Warning Text 6 2 2 5" xfId="10272"/>
    <cellStyle name="Warning Text 6 2 3" xfId="5796"/>
    <cellStyle name="Warning Text 6 2 3 2" xfId="7313"/>
    <cellStyle name="Warning Text 6 2 3 2 2" xfId="12168"/>
    <cellStyle name="Warning Text 6 2 3 3" xfId="8834"/>
    <cellStyle name="Warning Text 6 2 3 3 2" xfId="13687"/>
    <cellStyle name="Warning Text 6 2 3 4" xfId="10652"/>
    <cellStyle name="Warning Text 6 2 4" xfId="6555"/>
    <cellStyle name="Warning Text 6 2 4 2" xfId="11410"/>
    <cellStyle name="Warning Text 6 2 5" xfId="8076"/>
    <cellStyle name="Warning Text 6 2 5 2" xfId="12929"/>
    <cellStyle name="Warning Text 6 2 6" xfId="9894"/>
    <cellStyle name="Warning Text 6 3" xfId="5414"/>
    <cellStyle name="Warning Text 6 3 2" xfId="6173"/>
    <cellStyle name="Warning Text 6 3 2 2" xfId="7690"/>
    <cellStyle name="Warning Text 6 3 2 2 2" xfId="12545"/>
    <cellStyle name="Warning Text 6 3 2 3" xfId="9211"/>
    <cellStyle name="Warning Text 6 3 2 3 2" xfId="14064"/>
    <cellStyle name="Warning Text 6 3 2 4" xfId="11029"/>
    <cellStyle name="Warning Text 6 3 3" xfId="6932"/>
    <cellStyle name="Warning Text 6 3 3 2" xfId="11787"/>
    <cellStyle name="Warning Text 6 3 4" xfId="8453"/>
    <cellStyle name="Warning Text 6 3 4 2" xfId="13306"/>
    <cellStyle name="Warning Text 6 3 5" xfId="10271"/>
    <cellStyle name="Warning Text 6 4" xfId="5795"/>
    <cellStyle name="Warning Text 6 4 2" xfId="7312"/>
    <cellStyle name="Warning Text 6 4 2 2" xfId="12167"/>
    <cellStyle name="Warning Text 6 4 3" xfId="8833"/>
    <cellStyle name="Warning Text 6 4 3 2" xfId="13686"/>
    <cellStyle name="Warning Text 6 4 4" xfId="10651"/>
    <cellStyle name="Warning Text 6 5" xfId="6554"/>
    <cellStyle name="Warning Text 6 5 2" xfId="11409"/>
    <cellStyle name="Warning Text 6 6" xfId="8075"/>
    <cellStyle name="Warning Text 6 6 2" xfId="12928"/>
    <cellStyle name="Warning Text 6 7" xfId="9893"/>
    <cellStyle name="Warning Text 7" xfId="4819"/>
    <cellStyle name="Warning Text 7 2" xfId="5416"/>
    <cellStyle name="Warning Text 7 2 2" xfId="6175"/>
    <cellStyle name="Warning Text 7 2 2 2" xfId="7692"/>
    <cellStyle name="Warning Text 7 2 2 2 2" xfId="12547"/>
    <cellStyle name="Warning Text 7 2 2 3" xfId="9213"/>
    <cellStyle name="Warning Text 7 2 2 3 2" xfId="14066"/>
    <cellStyle name="Warning Text 7 2 2 4" xfId="11031"/>
    <cellStyle name="Warning Text 7 2 3" xfId="6934"/>
    <cellStyle name="Warning Text 7 2 3 2" xfId="11789"/>
    <cellStyle name="Warning Text 7 2 4" xfId="8455"/>
    <cellStyle name="Warning Text 7 2 4 2" xfId="13308"/>
    <cellStyle name="Warning Text 7 2 5" xfId="10273"/>
    <cellStyle name="Warning Text 7 3" xfId="5797"/>
    <cellStyle name="Warning Text 7 3 2" xfId="7314"/>
    <cellStyle name="Warning Text 7 3 2 2" xfId="12169"/>
    <cellStyle name="Warning Text 7 3 3" xfId="8835"/>
    <cellStyle name="Warning Text 7 3 3 2" xfId="13688"/>
    <cellStyle name="Warning Text 7 3 4" xfId="10653"/>
    <cellStyle name="Warning Text 7 4" xfId="6556"/>
    <cellStyle name="Warning Text 7 4 2" xfId="11411"/>
    <cellStyle name="Warning Text 7 5" xfId="8077"/>
    <cellStyle name="Warning Text 7 5 2" xfId="12930"/>
    <cellStyle name="Warning Text 7 6" xfId="9895"/>
    <cellStyle name="Warning Text 8" xfId="4820"/>
    <cellStyle name="Warning Text 8 2" xfId="5417"/>
    <cellStyle name="Warning Text 8 2 2" xfId="6176"/>
    <cellStyle name="Warning Text 8 2 2 2" xfId="7693"/>
    <cellStyle name="Warning Text 8 2 2 2 2" xfId="12548"/>
    <cellStyle name="Warning Text 8 2 2 3" xfId="9214"/>
    <cellStyle name="Warning Text 8 2 2 3 2" xfId="14067"/>
    <cellStyle name="Warning Text 8 2 2 4" xfId="11032"/>
    <cellStyle name="Warning Text 8 2 3" xfId="6935"/>
    <cellStyle name="Warning Text 8 2 3 2" xfId="11790"/>
    <cellStyle name="Warning Text 8 2 4" xfId="8456"/>
    <cellStyle name="Warning Text 8 2 4 2" xfId="13309"/>
    <cellStyle name="Warning Text 8 2 5" xfId="10274"/>
    <cellStyle name="Warning Text 8 3" xfId="5798"/>
    <cellStyle name="Warning Text 8 3 2" xfId="7315"/>
    <cellStyle name="Warning Text 8 3 2 2" xfId="12170"/>
    <cellStyle name="Warning Text 8 3 3" xfId="8836"/>
    <cellStyle name="Warning Text 8 3 3 2" xfId="13689"/>
    <cellStyle name="Warning Text 8 3 4" xfId="10654"/>
    <cellStyle name="Warning Text 8 4" xfId="6557"/>
    <cellStyle name="Warning Text 8 4 2" xfId="11412"/>
    <cellStyle name="Warning Text 8 5" xfId="8078"/>
    <cellStyle name="Warning Text 8 5 2" xfId="12931"/>
    <cellStyle name="Warning Text 8 6" xfId="9896"/>
    <cellStyle name="Warning Text 9" xfId="4821"/>
    <cellStyle name="Warning Text 9 2" xfId="4822"/>
    <cellStyle name="Warning Text 9 2 2" xfId="5419"/>
    <cellStyle name="Warning Text 9 2 2 2" xfId="6178"/>
    <cellStyle name="Warning Text 9 2 2 2 2" xfId="7695"/>
    <cellStyle name="Warning Text 9 2 2 2 2 2" xfId="12550"/>
    <cellStyle name="Warning Text 9 2 2 2 3" xfId="9216"/>
    <cellStyle name="Warning Text 9 2 2 2 3 2" xfId="14069"/>
    <cellStyle name="Warning Text 9 2 2 2 4" xfId="11034"/>
    <cellStyle name="Warning Text 9 2 2 3" xfId="6937"/>
    <cellStyle name="Warning Text 9 2 2 3 2" xfId="11792"/>
    <cellStyle name="Warning Text 9 2 2 4" xfId="8458"/>
    <cellStyle name="Warning Text 9 2 2 4 2" xfId="13311"/>
    <cellStyle name="Warning Text 9 2 2 5" xfId="10276"/>
    <cellStyle name="Warning Text 9 2 3" xfId="5800"/>
    <cellStyle name="Warning Text 9 2 3 2" xfId="7317"/>
    <cellStyle name="Warning Text 9 2 3 2 2" xfId="12172"/>
    <cellStyle name="Warning Text 9 2 3 3" xfId="8838"/>
    <cellStyle name="Warning Text 9 2 3 3 2" xfId="13691"/>
    <cellStyle name="Warning Text 9 2 3 4" xfId="10656"/>
    <cellStyle name="Warning Text 9 2 4" xfId="6559"/>
    <cellStyle name="Warning Text 9 2 4 2" xfId="11414"/>
    <cellStyle name="Warning Text 9 2 5" xfId="8080"/>
    <cellStyle name="Warning Text 9 2 5 2" xfId="12933"/>
    <cellStyle name="Warning Text 9 2 6" xfId="9898"/>
    <cellStyle name="Warning Text 9 3" xfId="4823"/>
    <cellStyle name="Warning Text 9 3 2" xfId="5420"/>
    <cellStyle name="Warning Text 9 3 2 2" xfId="6179"/>
    <cellStyle name="Warning Text 9 3 2 2 2" xfId="7696"/>
    <cellStyle name="Warning Text 9 3 2 2 2 2" xfId="12551"/>
    <cellStyle name="Warning Text 9 3 2 2 3" xfId="9217"/>
    <cellStyle name="Warning Text 9 3 2 2 3 2" xfId="14070"/>
    <cellStyle name="Warning Text 9 3 2 2 4" xfId="11035"/>
    <cellStyle name="Warning Text 9 3 2 3" xfId="6938"/>
    <cellStyle name="Warning Text 9 3 2 3 2" xfId="11793"/>
    <cellStyle name="Warning Text 9 3 2 4" xfId="8459"/>
    <cellStyle name="Warning Text 9 3 2 4 2" xfId="13312"/>
    <cellStyle name="Warning Text 9 3 2 5" xfId="10277"/>
    <cellStyle name="Warning Text 9 3 3" xfId="5801"/>
    <cellStyle name="Warning Text 9 3 3 2" xfId="7318"/>
    <cellStyle name="Warning Text 9 3 3 2 2" xfId="12173"/>
    <cellStyle name="Warning Text 9 3 3 3" xfId="8839"/>
    <cellStyle name="Warning Text 9 3 3 3 2" xfId="13692"/>
    <cellStyle name="Warning Text 9 3 3 4" xfId="10657"/>
    <cellStyle name="Warning Text 9 3 4" xfId="6560"/>
    <cellStyle name="Warning Text 9 3 4 2" xfId="11415"/>
    <cellStyle name="Warning Text 9 3 5" xfId="8081"/>
    <cellStyle name="Warning Text 9 3 5 2" xfId="12934"/>
    <cellStyle name="Warning Text 9 3 6" xfId="9899"/>
    <cellStyle name="Warning Text 9 4" xfId="4824"/>
    <cellStyle name="Warning Text 9 4 2" xfId="5421"/>
    <cellStyle name="Warning Text 9 4 2 2" xfId="6180"/>
    <cellStyle name="Warning Text 9 4 2 2 2" xfId="7697"/>
    <cellStyle name="Warning Text 9 4 2 2 2 2" xfId="12552"/>
    <cellStyle name="Warning Text 9 4 2 2 3" xfId="9218"/>
    <cellStyle name="Warning Text 9 4 2 2 3 2" xfId="14071"/>
    <cellStyle name="Warning Text 9 4 2 2 4" xfId="11036"/>
    <cellStyle name="Warning Text 9 4 2 3" xfId="6939"/>
    <cellStyle name="Warning Text 9 4 2 3 2" xfId="11794"/>
    <cellStyle name="Warning Text 9 4 2 4" xfId="8460"/>
    <cellStyle name="Warning Text 9 4 2 4 2" xfId="13313"/>
    <cellStyle name="Warning Text 9 4 2 5" xfId="10278"/>
    <cellStyle name="Warning Text 9 4 3" xfId="5802"/>
    <cellStyle name="Warning Text 9 4 3 2" xfId="7319"/>
    <cellStyle name="Warning Text 9 4 3 2 2" xfId="12174"/>
    <cellStyle name="Warning Text 9 4 3 3" xfId="8840"/>
    <cellStyle name="Warning Text 9 4 3 3 2" xfId="13693"/>
    <cellStyle name="Warning Text 9 4 3 4" xfId="10658"/>
    <cellStyle name="Warning Text 9 4 4" xfId="6561"/>
    <cellStyle name="Warning Text 9 4 4 2" xfId="11416"/>
    <cellStyle name="Warning Text 9 4 5" xfId="8082"/>
    <cellStyle name="Warning Text 9 4 5 2" xfId="12935"/>
    <cellStyle name="Warning Text 9 4 6" xfId="9900"/>
    <cellStyle name="Warning Text 9 5" xfId="5418"/>
    <cellStyle name="Warning Text 9 5 2" xfId="6177"/>
    <cellStyle name="Warning Text 9 5 2 2" xfId="7694"/>
    <cellStyle name="Warning Text 9 5 2 2 2" xfId="12549"/>
    <cellStyle name="Warning Text 9 5 2 3" xfId="9215"/>
    <cellStyle name="Warning Text 9 5 2 3 2" xfId="14068"/>
    <cellStyle name="Warning Text 9 5 2 4" xfId="11033"/>
    <cellStyle name="Warning Text 9 5 3" xfId="6936"/>
    <cellStyle name="Warning Text 9 5 3 2" xfId="11791"/>
    <cellStyle name="Warning Text 9 5 4" xfId="8457"/>
    <cellStyle name="Warning Text 9 5 4 2" xfId="13310"/>
    <cellStyle name="Warning Text 9 5 5" xfId="10275"/>
    <cellStyle name="Warning Text 9 6" xfId="5799"/>
    <cellStyle name="Warning Text 9 6 2" xfId="7316"/>
    <cellStyle name="Warning Text 9 6 2 2" xfId="12171"/>
    <cellStyle name="Warning Text 9 6 3" xfId="8837"/>
    <cellStyle name="Warning Text 9 6 3 2" xfId="13690"/>
    <cellStyle name="Warning Text 9 6 4" xfId="10655"/>
    <cellStyle name="Warning Text 9 7" xfId="6558"/>
    <cellStyle name="Warning Text 9 7 2" xfId="11413"/>
    <cellStyle name="Warning Text 9 8" xfId="8079"/>
    <cellStyle name="Warning Text 9 8 2" xfId="12932"/>
    <cellStyle name="Warning Text 9 9" xfId="9897"/>
    <cellStyle name="web_ normal" xfId="4825"/>
    <cellStyle name="WholeNumber" xfId="627"/>
    <cellStyle name="Work in progress" xfId="4826"/>
    <cellStyle name="Work in progress 2" xfId="5422"/>
    <cellStyle name="Work in progress 2 2" xfId="6181"/>
    <cellStyle name="Work in progress 2 2 2" xfId="7698"/>
    <cellStyle name="Work in progress 2 2 2 2" xfId="12553"/>
    <cellStyle name="Work in progress 2 2 3" xfId="9219"/>
    <cellStyle name="Work in progress 2 2 3 2" xfId="14072"/>
    <cellStyle name="Work in progress 2 2 4" xfId="11037"/>
    <cellStyle name="Work in progress 2 3" xfId="6940"/>
    <cellStyle name="Work in progress 2 3 2" xfId="11795"/>
    <cellStyle name="Work in progress 2 4" xfId="8461"/>
    <cellStyle name="Work in progress 2 4 2" xfId="13314"/>
    <cellStyle name="Work in progress 2 5" xfId="10279"/>
    <cellStyle name="Work in progress 3" xfId="5803"/>
    <cellStyle name="Work in progress 3 2" xfId="7320"/>
    <cellStyle name="Work in progress 3 2 2" xfId="12175"/>
    <cellStyle name="Work in progress 3 3" xfId="8841"/>
    <cellStyle name="Work in progress 3 3 2" xfId="13694"/>
    <cellStyle name="Work in progress 3 4" xfId="10659"/>
    <cellStyle name="Work in progress 4" xfId="6562"/>
    <cellStyle name="Work in progress 4 2" xfId="11417"/>
    <cellStyle name="Work in progress 5" xfId="8083"/>
    <cellStyle name="Work in progress 5 2" xfId="12936"/>
    <cellStyle name="Work in progress 6" xfId="9901"/>
    <cellStyle name="x" xfId="4827"/>
    <cellStyle name="x 2" xfId="5423"/>
    <cellStyle name="x 2 2" xfId="6182"/>
    <cellStyle name="x 2 2 2" xfId="7699"/>
    <cellStyle name="x 2 2 2 2" xfId="12554"/>
    <cellStyle name="x 2 2 3" xfId="9220"/>
    <cellStyle name="x 2 2 3 2" xfId="14073"/>
    <cellStyle name="x 2 2 4" xfId="11038"/>
    <cellStyle name="x 2 3" xfId="6941"/>
    <cellStyle name="x 2 3 2" xfId="11796"/>
    <cellStyle name="x 2 4" xfId="8462"/>
    <cellStyle name="x 2 4 2" xfId="13315"/>
    <cellStyle name="x 2 5" xfId="10280"/>
    <cellStyle name="x 3" xfId="5804"/>
    <cellStyle name="x 3 2" xfId="7321"/>
    <cellStyle name="x 3 2 2" xfId="12176"/>
    <cellStyle name="x 3 3" xfId="8842"/>
    <cellStyle name="x 3 3 2" xfId="13695"/>
    <cellStyle name="x 3 4" xfId="10660"/>
    <cellStyle name="x 4" xfId="6563"/>
    <cellStyle name="x 4 2" xfId="11418"/>
    <cellStyle name="x 5" xfId="8084"/>
    <cellStyle name="x 5 2" xfId="12937"/>
    <cellStyle name="x 6" xfId="9902"/>
    <cellStyle name="Year" xfId="165"/>
    <cellStyle name="Year 2" xfId="373"/>
    <cellStyle name="Year 3" xfId="5076"/>
    <cellStyle name="Year 3 2" xfId="5077"/>
    <cellStyle name="Year 4" xfId="5078"/>
    <cellStyle name="Year 4 2" xfId="5079"/>
    <cellStyle name="Year 5" xfId="5080"/>
    <cellStyle name="Year 5 2" xfId="5081"/>
    <cellStyle name="Year 6" xfId="5082"/>
    <cellStyle name="Year 7" xfId="4828"/>
    <cellStyle name="Year 7 2" xfId="5424"/>
    <cellStyle name="Year 7 2 2" xfId="6183"/>
    <cellStyle name="Year 7 2 2 2" xfId="7700"/>
    <cellStyle name="Year 7 2 2 2 2" xfId="12555"/>
    <cellStyle name="Year 7 2 2 3" xfId="9221"/>
    <cellStyle name="Year 7 2 2 3 2" xfId="14074"/>
    <cellStyle name="Year 7 2 2 4" xfId="11039"/>
    <cellStyle name="Year 7 2 3" xfId="6942"/>
    <cellStyle name="Year 7 2 3 2" xfId="11797"/>
    <cellStyle name="Year 7 2 4" xfId="8463"/>
    <cellStyle name="Year 7 2 4 2" xfId="13316"/>
    <cellStyle name="Year 7 2 5" xfId="10281"/>
    <cellStyle name="Year 7 3" xfId="5805"/>
    <cellStyle name="Year 7 3 2" xfId="7322"/>
    <cellStyle name="Year 7 3 2 2" xfId="12177"/>
    <cellStyle name="Year 7 3 3" xfId="8843"/>
    <cellStyle name="Year 7 3 3 2" xfId="13696"/>
    <cellStyle name="Year 7 3 4" xfId="10661"/>
    <cellStyle name="Year 7 4" xfId="6564"/>
    <cellStyle name="Year 7 4 2" xfId="11419"/>
    <cellStyle name="Year 7 5" xfId="8085"/>
    <cellStyle name="Year 7 5 2" xfId="12938"/>
    <cellStyle name="Year 7 6" xfId="9903"/>
    <cellStyle name="Year_FT Valuation " xfId="9541"/>
    <cellStyle name="Years" xfId="600"/>
    <cellStyle name="Yellow" xfId="4829"/>
    <cellStyle name="Yellow 2" xfId="5425"/>
    <cellStyle name="Yellow 2 2" xfId="6184"/>
    <cellStyle name="Yellow 2 2 2" xfId="7701"/>
    <cellStyle name="Yellow 2 2 2 2" xfId="12556"/>
    <cellStyle name="Yellow 2 2 3" xfId="9222"/>
    <cellStyle name="Yellow 2 2 3 2" xfId="14075"/>
    <cellStyle name="Yellow 2 2 4" xfId="11040"/>
    <cellStyle name="Yellow 2 3" xfId="6943"/>
    <cellStyle name="Yellow 2 3 2" xfId="11798"/>
    <cellStyle name="Yellow 2 4" xfId="8464"/>
    <cellStyle name="Yellow 2 4 2" xfId="13317"/>
    <cellStyle name="Yellow 2 5" xfId="10282"/>
    <cellStyle name="Yellow 3" xfId="5806"/>
    <cellStyle name="Yellow 3 2" xfId="7323"/>
    <cellStyle name="Yellow 3 2 2" xfId="12178"/>
    <cellStyle name="Yellow 3 3" xfId="8844"/>
    <cellStyle name="Yellow 3 3 2" xfId="13697"/>
    <cellStyle name="Yellow 3 4" xfId="10662"/>
    <cellStyle name="Yellow 4" xfId="6565"/>
    <cellStyle name="Yellow 4 2" xfId="11420"/>
    <cellStyle name="Yellow 5" xfId="8086"/>
    <cellStyle name="Yellow 5 2" xfId="12939"/>
    <cellStyle name="Yellow 6" xfId="9904"/>
    <cellStyle name="Yen" xfId="4830"/>
    <cellStyle name="Yen 2" xfId="5426"/>
    <cellStyle name="Yen 2 2" xfId="6185"/>
    <cellStyle name="Yen 2 2 2" xfId="7702"/>
    <cellStyle name="Yen 2 2 2 2" xfId="12557"/>
    <cellStyle name="Yen 2 2 3" xfId="9223"/>
    <cellStyle name="Yen 2 2 3 2" xfId="14076"/>
    <cellStyle name="Yen 2 2 4" xfId="11041"/>
    <cellStyle name="Yen 2 3" xfId="6944"/>
    <cellStyle name="Yen 2 3 2" xfId="11799"/>
    <cellStyle name="Yen 2 4" xfId="8465"/>
    <cellStyle name="Yen 2 4 2" xfId="13318"/>
    <cellStyle name="Yen 2 5" xfId="10283"/>
    <cellStyle name="Yen 3" xfId="5807"/>
    <cellStyle name="Yen 3 2" xfId="7324"/>
    <cellStyle name="Yen 3 2 2" xfId="12179"/>
    <cellStyle name="Yen 3 3" xfId="8845"/>
    <cellStyle name="Yen 3 3 2" xfId="13698"/>
    <cellStyle name="Yen 3 4" xfId="10663"/>
    <cellStyle name="Yen 4" xfId="6566"/>
    <cellStyle name="Yen 4 2" xfId="11421"/>
    <cellStyle name="Yen 5" xfId="8087"/>
    <cellStyle name="Yen 5 2" xfId="12940"/>
    <cellStyle name="Yen 6" xfId="9905"/>
    <cellStyle name="똿뗦먛귟 [0.00]_laroux" xfId="4831"/>
    <cellStyle name="똿뗦먛귟_laroux" xfId="4832"/>
    <cellStyle name="믅됞 [0.00]_laroux" xfId="4833"/>
    <cellStyle name="믅됞_laroux" xfId="4834"/>
    <cellStyle name="백분율_95" xfId="4835"/>
    <cellStyle name="뷭?_BOOKSHIP" xfId="4836"/>
    <cellStyle name="쉼표_매출총괄(02)" xfId="628"/>
    <cellStyle name="쬞\?1@" xfId="374"/>
    <cellStyle name="콤마 [0]_   " xfId="5083"/>
    <cellStyle name="콤마_   " xfId="5084"/>
    <cellStyle name="통화 [0]_1202" xfId="4837"/>
    <cellStyle name="통화_1202" xfId="4838"/>
    <cellStyle name="표준_(정보부문)월별인원계획" xfId="4839"/>
    <cellStyle name="하이퍼링크_000727 IMT-2000 시설투자물량(4210) 4FA고려 필요 " xfId="5085"/>
    <cellStyle name="一般_Book2" xfId="9542"/>
    <cellStyle name="中等" xfId="4840"/>
    <cellStyle name="中等 2" xfId="5427"/>
    <cellStyle name="中等 2 2" xfId="6186"/>
    <cellStyle name="中等 2 2 2" xfId="7703"/>
    <cellStyle name="中等 2 2 2 2" xfId="12558"/>
    <cellStyle name="中等 2 2 3" xfId="9224"/>
    <cellStyle name="中等 2 2 3 2" xfId="14077"/>
    <cellStyle name="中等 2 2 4" xfId="11042"/>
    <cellStyle name="中等 2 3" xfId="6945"/>
    <cellStyle name="中等 2 3 2" xfId="11800"/>
    <cellStyle name="中等 2 4" xfId="8466"/>
    <cellStyle name="中等 2 4 2" xfId="13319"/>
    <cellStyle name="中等 2 5" xfId="10284"/>
    <cellStyle name="中等 3" xfId="5808"/>
    <cellStyle name="中等 3 2" xfId="7325"/>
    <cellStyle name="中等 3 2 2" xfId="12180"/>
    <cellStyle name="中等 3 3" xfId="8846"/>
    <cellStyle name="中等 3 3 2" xfId="13699"/>
    <cellStyle name="中等 3 4" xfId="10664"/>
    <cellStyle name="中等 4" xfId="6567"/>
    <cellStyle name="中等 4 2" xfId="11422"/>
    <cellStyle name="中等 5" xfId="8088"/>
    <cellStyle name="中等 5 2" xfId="12941"/>
    <cellStyle name="中等 6" xfId="9906"/>
    <cellStyle name="備註" xfId="4841"/>
    <cellStyle name="備註 2" xfId="5428"/>
    <cellStyle name="備註 2 2" xfId="6187"/>
    <cellStyle name="備註 2 2 2" xfId="7704"/>
    <cellStyle name="備註 2 2 2 2" xfId="12559"/>
    <cellStyle name="備註 2 2 3" xfId="9225"/>
    <cellStyle name="備註 2 2 3 2" xfId="14078"/>
    <cellStyle name="備註 2 2 4" xfId="11043"/>
    <cellStyle name="備註 2 3" xfId="6946"/>
    <cellStyle name="備註 2 3 2" xfId="11801"/>
    <cellStyle name="備註 2 4" xfId="8467"/>
    <cellStyle name="備註 2 4 2" xfId="13320"/>
    <cellStyle name="備註 2 5" xfId="10285"/>
    <cellStyle name="備註 3" xfId="5809"/>
    <cellStyle name="備註 3 2" xfId="7326"/>
    <cellStyle name="備註 3 2 2" xfId="12181"/>
    <cellStyle name="備註 3 3" xfId="8847"/>
    <cellStyle name="備註 3 3 2" xfId="13700"/>
    <cellStyle name="備註 3 4" xfId="10665"/>
    <cellStyle name="備註 4" xfId="6568"/>
    <cellStyle name="備註 4 2" xfId="11423"/>
    <cellStyle name="備註 5" xfId="8089"/>
    <cellStyle name="備註 5 2" xfId="12942"/>
    <cellStyle name="備註 6" xfId="9907"/>
    <cellStyle name="千位分隔[0]_BOM 3EC 37531 AAAA" xfId="4842"/>
    <cellStyle name="千位分隔_BOM 3EC 37531 AAAA" xfId="4843"/>
    <cellStyle name="千分位[0]_Book2" xfId="9543"/>
    <cellStyle name="千分位_Book2" xfId="9544"/>
    <cellStyle name="合計" xfId="4844"/>
    <cellStyle name="合計 2" xfId="5429"/>
    <cellStyle name="合計 2 2" xfId="6188"/>
    <cellStyle name="合計 2 2 2" xfId="7705"/>
    <cellStyle name="合計 2 2 2 2" xfId="12560"/>
    <cellStyle name="合計 2 2 3" xfId="9226"/>
    <cellStyle name="合計 2 2 3 2" xfId="14079"/>
    <cellStyle name="合計 2 2 4" xfId="11044"/>
    <cellStyle name="合計 2 3" xfId="6947"/>
    <cellStyle name="合計 2 3 2" xfId="11802"/>
    <cellStyle name="合計 2 4" xfId="8468"/>
    <cellStyle name="合計 2 4 2" xfId="13321"/>
    <cellStyle name="合計 2 5" xfId="10286"/>
    <cellStyle name="合計 3" xfId="5810"/>
    <cellStyle name="合計 3 2" xfId="7327"/>
    <cellStyle name="合計 3 2 2" xfId="12182"/>
    <cellStyle name="合計 3 3" xfId="8848"/>
    <cellStyle name="合計 3 3 2" xfId="13701"/>
    <cellStyle name="合計 3 4" xfId="10666"/>
    <cellStyle name="合計 4" xfId="6569"/>
    <cellStyle name="合計 4 2" xfId="11424"/>
    <cellStyle name="合計 5" xfId="8090"/>
    <cellStyle name="合計 5 2" xfId="12943"/>
    <cellStyle name="合計 6" xfId="9908"/>
    <cellStyle name="壞" xfId="4845"/>
    <cellStyle name="壞 2" xfId="5430"/>
    <cellStyle name="壞 2 2" xfId="6189"/>
    <cellStyle name="壞 2 2 2" xfId="7706"/>
    <cellStyle name="壞 2 2 2 2" xfId="12561"/>
    <cellStyle name="壞 2 2 3" xfId="9227"/>
    <cellStyle name="壞 2 2 3 2" xfId="14080"/>
    <cellStyle name="壞 2 2 4" xfId="11045"/>
    <cellStyle name="壞 2 3" xfId="6948"/>
    <cellStyle name="壞 2 3 2" xfId="11803"/>
    <cellStyle name="壞 2 4" xfId="8469"/>
    <cellStyle name="壞 2 4 2" xfId="13322"/>
    <cellStyle name="壞 2 5" xfId="10287"/>
    <cellStyle name="壞 3" xfId="5811"/>
    <cellStyle name="壞 3 2" xfId="7328"/>
    <cellStyle name="壞 3 2 2" xfId="12183"/>
    <cellStyle name="壞 3 3" xfId="8849"/>
    <cellStyle name="壞 3 3 2" xfId="13702"/>
    <cellStyle name="壞 3 4" xfId="10667"/>
    <cellStyle name="壞 4" xfId="6570"/>
    <cellStyle name="壞 4 2" xfId="11425"/>
    <cellStyle name="壞 5" xfId="8091"/>
    <cellStyle name="壞 5 2" xfId="12944"/>
    <cellStyle name="壞 6" xfId="9909"/>
    <cellStyle name="好" xfId="4846"/>
    <cellStyle name="好 2" xfId="5431"/>
    <cellStyle name="好 2 2" xfId="6190"/>
    <cellStyle name="好 2 2 2" xfId="7707"/>
    <cellStyle name="好 2 2 2 2" xfId="12562"/>
    <cellStyle name="好 2 2 3" xfId="9228"/>
    <cellStyle name="好 2 2 3 2" xfId="14081"/>
    <cellStyle name="好 2 2 4" xfId="11046"/>
    <cellStyle name="好 2 3" xfId="6949"/>
    <cellStyle name="好 2 3 2" xfId="11804"/>
    <cellStyle name="好 2 4" xfId="8470"/>
    <cellStyle name="好 2 4 2" xfId="13323"/>
    <cellStyle name="好 2 5" xfId="10288"/>
    <cellStyle name="好 3" xfId="5812"/>
    <cellStyle name="好 3 2" xfId="7329"/>
    <cellStyle name="好 3 2 2" xfId="12184"/>
    <cellStyle name="好 3 3" xfId="8850"/>
    <cellStyle name="好 3 3 2" xfId="13703"/>
    <cellStyle name="好 3 4" xfId="10668"/>
    <cellStyle name="好 4" xfId="6571"/>
    <cellStyle name="好 4 2" xfId="11426"/>
    <cellStyle name="好 5" xfId="8092"/>
    <cellStyle name="好 5 2" xfId="12945"/>
    <cellStyle name="好 6" xfId="9910"/>
    <cellStyle name="好_XBOX Total BI Q1'08 0310" xfId="4847"/>
    <cellStyle name="好_XBOX Total BI Q1'08 0310 2" xfId="5432"/>
    <cellStyle name="好_XBOX Total BI Q1'08 0310 2 2" xfId="6191"/>
    <cellStyle name="好_XBOX Total BI Q1'08 0310 2 2 2" xfId="7708"/>
    <cellStyle name="好_XBOX Total BI Q1'08 0310 2 2 2 2" xfId="12563"/>
    <cellStyle name="好_XBOX Total BI Q1'08 0310 2 2 3" xfId="9229"/>
    <cellStyle name="好_XBOX Total BI Q1'08 0310 2 2 3 2" xfId="14082"/>
    <cellStyle name="好_XBOX Total BI Q1'08 0310 2 2 4" xfId="11047"/>
    <cellStyle name="好_XBOX Total BI Q1'08 0310 2 3" xfId="6950"/>
    <cellStyle name="好_XBOX Total BI Q1'08 0310 2 3 2" xfId="11805"/>
    <cellStyle name="好_XBOX Total BI Q1'08 0310 2 4" xfId="8471"/>
    <cellStyle name="好_XBOX Total BI Q1'08 0310 2 4 2" xfId="13324"/>
    <cellStyle name="好_XBOX Total BI Q1'08 0310 2 5" xfId="10289"/>
    <cellStyle name="好_XBOX Total BI Q1'08 0310 3" xfId="5813"/>
    <cellStyle name="好_XBOX Total BI Q1'08 0310 3 2" xfId="7330"/>
    <cellStyle name="好_XBOX Total BI Q1'08 0310 3 2 2" xfId="12185"/>
    <cellStyle name="好_XBOX Total BI Q1'08 0310 3 3" xfId="8851"/>
    <cellStyle name="好_XBOX Total BI Q1'08 0310 3 3 2" xfId="13704"/>
    <cellStyle name="好_XBOX Total BI Q1'08 0310 3 4" xfId="10669"/>
    <cellStyle name="好_XBOX Total BI Q1'08 0310 4" xfId="6572"/>
    <cellStyle name="好_XBOX Total BI Q1'08 0310 4 2" xfId="11427"/>
    <cellStyle name="好_XBOX Total BI Q1'08 0310 5" xfId="8093"/>
    <cellStyle name="好_XBOX Total BI Q1'08 0310 5 2" xfId="12946"/>
    <cellStyle name="好_XBOX Total BI Q1'08 0310 6" xfId="9911"/>
    <cellStyle name="差" xfId="4848"/>
    <cellStyle name="差 2" xfId="5433"/>
    <cellStyle name="差 2 2" xfId="6192"/>
    <cellStyle name="差 2 2 2" xfId="7709"/>
    <cellStyle name="差 2 2 2 2" xfId="12564"/>
    <cellStyle name="差 2 2 3" xfId="9230"/>
    <cellStyle name="差 2 2 3 2" xfId="14083"/>
    <cellStyle name="差 2 2 4" xfId="11048"/>
    <cellStyle name="差 2 3" xfId="6951"/>
    <cellStyle name="差 2 3 2" xfId="11806"/>
    <cellStyle name="差 2 4" xfId="8472"/>
    <cellStyle name="差 2 4 2" xfId="13325"/>
    <cellStyle name="差 2 5" xfId="10290"/>
    <cellStyle name="差 3" xfId="5814"/>
    <cellStyle name="差 3 2" xfId="7331"/>
    <cellStyle name="差 3 2 2" xfId="12186"/>
    <cellStyle name="差 3 3" xfId="8852"/>
    <cellStyle name="差 3 3 2" xfId="13705"/>
    <cellStyle name="差 3 4" xfId="10670"/>
    <cellStyle name="差 4" xfId="6573"/>
    <cellStyle name="差 4 2" xfId="11428"/>
    <cellStyle name="差 5" xfId="8094"/>
    <cellStyle name="差 5 2" xfId="12947"/>
    <cellStyle name="差 6" xfId="9912"/>
    <cellStyle name="常规_BOM 3EC 37531 AAAA" xfId="4849"/>
    <cellStyle name="强调文字颜色 1" xfId="4850"/>
    <cellStyle name="强调文字颜色 1 2" xfId="5434"/>
    <cellStyle name="强调文字颜色 1 2 2" xfId="6193"/>
    <cellStyle name="强调文字颜色 1 2 2 2" xfId="7710"/>
    <cellStyle name="强调文字颜色 1 2 2 2 2" xfId="12565"/>
    <cellStyle name="强调文字颜色 1 2 2 3" xfId="9231"/>
    <cellStyle name="强调文字颜色 1 2 2 3 2" xfId="14084"/>
    <cellStyle name="强调文字颜色 1 2 2 4" xfId="11049"/>
    <cellStyle name="强调文字颜色 1 2 3" xfId="6952"/>
    <cellStyle name="强调文字颜色 1 2 3 2" xfId="11807"/>
    <cellStyle name="强调文字颜色 1 2 4" xfId="8473"/>
    <cellStyle name="强调文字颜色 1 2 4 2" xfId="13326"/>
    <cellStyle name="强调文字颜色 1 2 5" xfId="10291"/>
    <cellStyle name="强调文字颜色 1 3" xfId="5815"/>
    <cellStyle name="强调文字颜色 1 3 2" xfId="7332"/>
    <cellStyle name="强调文字颜色 1 3 2 2" xfId="12187"/>
    <cellStyle name="强调文字颜色 1 3 3" xfId="8853"/>
    <cellStyle name="强调文字颜色 1 3 3 2" xfId="13706"/>
    <cellStyle name="强调文字颜色 1 3 4" xfId="10671"/>
    <cellStyle name="强调文字颜色 1 4" xfId="6574"/>
    <cellStyle name="强调文字颜色 1 4 2" xfId="11429"/>
    <cellStyle name="强调文字颜色 1 5" xfId="8095"/>
    <cellStyle name="强调文字颜色 1 5 2" xfId="12948"/>
    <cellStyle name="强调文字颜色 1 6" xfId="9913"/>
    <cellStyle name="强调文字颜色 2" xfId="4851"/>
    <cellStyle name="强调文字颜色 2 2" xfId="5435"/>
    <cellStyle name="强调文字颜色 2 2 2" xfId="6194"/>
    <cellStyle name="强调文字颜色 2 2 2 2" xfId="7711"/>
    <cellStyle name="强调文字颜色 2 2 2 2 2" xfId="12566"/>
    <cellStyle name="强调文字颜色 2 2 2 3" xfId="9232"/>
    <cellStyle name="强调文字颜色 2 2 2 3 2" xfId="14085"/>
    <cellStyle name="强调文字颜色 2 2 2 4" xfId="11050"/>
    <cellStyle name="强调文字颜色 2 2 3" xfId="6953"/>
    <cellStyle name="强调文字颜色 2 2 3 2" xfId="11808"/>
    <cellStyle name="强调文字颜色 2 2 4" xfId="8474"/>
    <cellStyle name="强调文字颜色 2 2 4 2" xfId="13327"/>
    <cellStyle name="强调文字颜色 2 2 5" xfId="10292"/>
    <cellStyle name="强调文字颜色 2 3" xfId="5816"/>
    <cellStyle name="强调文字颜色 2 3 2" xfId="7333"/>
    <cellStyle name="强调文字颜色 2 3 2 2" xfId="12188"/>
    <cellStyle name="强调文字颜色 2 3 3" xfId="8854"/>
    <cellStyle name="强调文字颜色 2 3 3 2" xfId="13707"/>
    <cellStyle name="强调文字颜色 2 3 4" xfId="10672"/>
    <cellStyle name="强调文字颜色 2 4" xfId="6575"/>
    <cellStyle name="强调文字颜色 2 4 2" xfId="11430"/>
    <cellStyle name="强调文字颜色 2 5" xfId="8096"/>
    <cellStyle name="强调文字颜色 2 5 2" xfId="12949"/>
    <cellStyle name="强调文字颜色 2 6" xfId="9914"/>
    <cellStyle name="强调文字颜色 3" xfId="4852"/>
    <cellStyle name="强调文字颜色 3 2" xfId="5436"/>
    <cellStyle name="强调文字颜色 3 2 2" xfId="6195"/>
    <cellStyle name="强调文字颜色 3 2 2 2" xfId="7712"/>
    <cellStyle name="强调文字颜色 3 2 2 2 2" xfId="12567"/>
    <cellStyle name="强调文字颜色 3 2 2 3" xfId="9233"/>
    <cellStyle name="强调文字颜色 3 2 2 3 2" xfId="14086"/>
    <cellStyle name="强调文字颜色 3 2 2 4" xfId="11051"/>
    <cellStyle name="强调文字颜色 3 2 3" xfId="6954"/>
    <cellStyle name="强调文字颜色 3 2 3 2" xfId="11809"/>
    <cellStyle name="强调文字颜色 3 2 4" xfId="8475"/>
    <cellStyle name="强调文字颜色 3 2 4 2" xfId="13328"/>
    <cellStyle name="强调文字颜色 3 2 5" xfId="10293"/>
    <cellStyle name="强调文字颜色 3 3" xfId="5817"/>
    <cellStyle name="强调文字颜色 3 3 2" xfId="7334"/>
    <cellStyle name="强调文字颜色 3 3 2 2" xfId="12189"/>
    <cellStyle name="强调文字颜色 3 3 3" xfId="8855"/>
    <cellStyle name="强调文字颜色 3 3 3 2" xfId="13708"/>
    <cellStyle name="强调文字颜色 3 3 4" xfId="10673"/>
    <cellStyle name="强调文字颜色 3 4" xfId="6576"/>
    <cellStyle name="强调文字颜色 3 4 2" xfId="11431"/>
    <cellStyle name="强调文字颜色 3 5" xfId="8097"/>
    <cellStyle name="强调文字颜色 3 5 2" xfId="12950"/>
    <cellStyle name="强调文字颜色 3 6" xfId="9915"/>
    <cellStyle name="强调文字颜色 4" xfId="4853"/>
    <cellStyle name="强调文字颜色 4 2" xfId="5437"/>
    <cellStyle name="强调文字颜色 4 2 2" xfId="6196"/>
    <cellStyle name="强调文字颜色 4 2 2 2" xfId="7713"/>
    <cellStyle name="强调文字颜色 4 2 2 2 2" xfId="12568"/>
    <cellStyle name="强调文字颜色 4 2 2 3" xfId="9234"/>
    <cellStyle name="强调文字颜色 4 2 2 3 2" xfId="14087"/>
    <cellStyle name="强调文字颜色 4 2 2 4" xfId="11052"/>
    <cellStyle name="强调文字颜色 4 2 3" xfId="6955"/>
    <cellStyle name="强调文字颜色 4 2 3 2" xfId="11810"/>
    <cellStyle name="强调文字颜色 4 2 4" xfId="8476"/>
    <cellStyle name="强调文字颜色 4 2 4 2" xfId="13329"/>
    <cellStyle name="强调文字颜色 4 2 5" xfId="10294"/>
    <cellStyle name="强调文字颜色 4 3" xfId="5818"/>
    <cellStyle name="强调文字颜色 4 3 2" xfId="7335"/>
    <cellStyle name="强调文字颜色 4 3 2 2" xfId="12190"/>
    <cellStyle name="强调文字颜色 4 3 3" xfId="8856"/>
    <cellStyle name="强调文字颜色 4 3 3 2" xfId="13709"/>
    <cellStyle name="强调文字颜色 4 3 4" xfId="10674"/>
    <cellStyle name="强调文字颜色 4 4" xfId="6577"/>
    <cellStyle name="强调文字颜色 4 4 2" xfId="11432"/>
    <cellStyle name="强调文字颜色 4 5" xfId="8098"/>
    <cellStyle name="强调文字颜色 4 5 2" xfId="12951"/>
    <cellStyle name="强调文字颜色 4 6" xfId="9916"/>
    <cellStyle name="强调文字颜色 5" xfId="4854"/>
    <cellStyle name="强调文字颜色 5 2" xfId="5438"/>
    <cellStyle name="强调文字颜色 5 2 2" xfId="6197"/>
    <cellStyle name="强调文字颜色 5 2 2 2" xfId="7714"/>
    <cellStyle name="强调文字颜色 5 2 2 2 2" xfId="12569"/>
    <cellStyle name="强调文字颜色 5 2 2 3" xfId="9235"/>
    <cellStyle name="强调文字颜色 5 2 2 3 2" xfId="14088"/>
    <cellStyle name="强调文字颜色 5 2 2 4" xfId="11053"/>
    <cellStyle name="强调文字颜色 5 2 3" xfId="6956"/>
    <cellStyle name="强调文字颜色 5 2 3 2" xfId="11811"/>
    <cellStyle name="强调文字颜色 5 2 4" xfId="8477"/>
    <cellStyle name="强调文字颜色 5 2 4 2" xfId="13330"/>
    <cellStyle name="强调文字颜色 5 2 5" xfId="10295"/>
    <cellStyle name="强调文字颜色 5 3" xfId="5819"/>
    <cellStyle name="强调文字颜色 5 3 2" xfId="7336"/>
    <cellStyle name="强调文字颜色 5 3 2 2" xfId="12191"/>
    <cellStyle name="强调文字颜色 5 3 3" xfId="8857"/>
    <cellStyle name="强调文字颜色 5 3 3 2" xfId="13710"/>
    <cellStyle name="强调文字颜色 5 3 4" xfId="10675"/>
    <cellStyle name="强调文字颜色 5 4" xfId="6578"/>
    <cellStyle name="强调文字颜色 5 4 2" xfId="11433"/>
    <cellStyle name="强调文字颜色 5 5" xfId="8099"/>
    <cellStyle name="强调文字颜色 5 5 2" xfId="12952"/>
    <cellStyle name="强调文字颜色 5 6" xfId="9917"/>
    <cellStyle name="强调文字颜色 6" xfId="4855"/>
    <cellStyle name="强调文字颜色 6 2" xfId="5439"/>
    <cellStyle name="强调文字颜色 6 2 2" xfId="6198"/>
    <cellStyle name="强调文字颜色 6 2 2 2" xfId="7715"/>
    <cellStyle name="强调文字颜色 6 2 2 2 2" xfId="12570"/>
    <cellStyle name="强调文字颜色 6 2 2 3" xfId="9236"/>
    <cellStyle name="强调文字颜色 6 2 2 3 2" xfId="14089"/>
    <cellStyle name="强调文字颜色 6 2 2 4" xfId="11054"/>
    <cellStyle name="强调文字颜色 6 2 3" xfId="6957"/>
    <cellStyle name="强调文字颜色 6 2 3 2" xfId="11812"/>
    <cellStyle name="强调文字颜色 6 2 4" xfId="8478"/>
    <cellStyle name="强调文字颜色 6 2 4 2" xfId="13331"/>
    <cellStyle name="强调文字颜色 6 2 5" xfId="10296"/>
    <cellStyle name="强调文字颜色 6 3" xfId="5820"/>
    <cellStyle name="强调文字颜色 6 3 2" xfId="7337"/>
    <cellStyle name="强调文字颜色 6 3 2 2" xfId="12192"/>
    <cellStyle name="强调文字颜色 6 3 3" xfId="8858"/>
    <cellStyle name="强调文字颜色 6 3 3 2" xfId="13711"/>
    <cellStyle name="强调文字颜色 6 3 4" xfId="10676"/>
    <cellStyle name="强调文字颜色 6 4" xfId="6579"/>
    <cellStyle name="强调文字颜色 6 4 2" xfId="11434"/>
    <cellStyle name="强调文字颜色 6 5" xfId="8100"/>
    <cellStyle name="强调文字颜色 6 5 2" xfId="12953"/>
    <cellStyle name="强调文字颜色 6 6" xfId="9918"/>
    <cellStyle name="未定義" xfId="630"/>
    <cellStyle name="标题" xfId="4856"/>
    <cellStyle name="标题 1" xfId="4857"/>
    <cellStyle name="标题 1 2" xfId="5441"/>
    <cellStyle name="标题 1 2 2" xfId="6200"/>
    <cellStyle name="标题 1 2 2 2" xfId="7717"/>
    <cellStyle name="标题 1 2 2 2 2" xfId="12572"/>
    <cellStyle name="标题 1 2 2 3" xfId="9238"/>
    <cellStyle name="标题 1 2 2 3 2" xfId="14091"/>
    <cellStyle name="标题 1 2 2 4" xfId="11056"/>
    <cellStyle name="标题 1 2 3" xfId="6959"/>
    <cellStyle name="标题 1 2 3 2" xfId="11814"/>
    <cellStyle name="标题 1 2 4" xfId="8480"/>
    <cellStyle name="标题 1 2 4 2" xfId="13333"/>
    <cellStyle name="标题 1 2 5" xfId="10298"/>
    <cellStyle name="标题 1 3" xfId="5822"/>
    <cellStyle name="标题 1 3 2" xfId="7339"/>
    <cellStyle name="标题 1 3 2 2" xfId="12194"/>
    <cellStyle name="标题 1 3 3" xfId="8860"/>
    <cellStyle name="标题 1 3 3 2" xfId="13713"/>
    <cellStyle name="标题 1 3 4" xfId="10678"/>
    <cellStyle name="标题 1 4" xfId="6581"/>
    <cellStyle name="标题 1 4 2" xfId="11436"/>
    <cellStyle name="标题 1 5" xfId="8102"/>
    <cellStyle name="标题 1 5 2" xfId="12955"/>
    <cellStyle name="标题 1 6" xfId="9920"/>
    <cellStyle name="标题 2" xfId="4858"/>
    <cellStyle name="标题 2 2" xfId="5442"/>
    <cellStyle name="标题 2 2 2" xfId="6201"/>
    <cellStyle name="标题 2 2 2 2" xfId="7718"/>
    <cellStyle name="标题 2 2 2 2 2" xfId="12573"/>
    <cellStyle name="标题 2 2 2 3" xfId="9239"/>
    <cellStyle name="标题 2 2 2 3 2" xfId="14092"/>
    <cellStyle name="标题 2 2 2 4" xfId="11057"/>
    <cellStyle name="标题 2 2 3" xfId="6960"/>
    <cellStyle name="标题 2 2 3 2" xfId="11815"/>
    <cellStyle name="标题 2 2 4" xfId="8481"/>
    <cellStyle name="标题 2 2 4 2" xfId="13334"/>
    <cellStyle name="标题 2 2 5" xfId="10299"/>
    <cellStyle name="标题 2 3" xfId="5823"/>
    <cellStyle name="标题 2 3 2" xfId="7340"/>
    <cellStyle name="标题 2 3 2 2" xfId="12195"/>
    <cellStyle name="标题 2 3 3" xfId="8861"/>
    <cellStyle name="标题 2 3 3 2" xfId="13714"/>
    <cellStyle name="标题 2 3 4" xfId="10679"/>
    <cellStyle name="标题 2 4" xfId="6582"/>
    <cellStyle name="标题 2 4 2" xfId="11437"/>
    <cellStyle name="标题 2 5" xfId="8103"/>
    <cellStyle name="标题 2 5 2" xfId="12956"/>
    <cellStyle name="标题 2 6" xfId="9921"/>
    <cellStyle name="标题 3" xfId="4859"/>
    <cellStyle name="标题 3 2" xfId="5443"/>
    <cellStyle name="标题 3 2 2" xfId="6202"/>
    <cellStyle name="标题 3 2 2 2" xfId="7719"/>
    <cellStyle name="标题 3 2 2 2 2" xfId="12574"/>
    <cellStyle name="标题 3 2 2 3" xfId="9240"/>
    <cellStyle name="标题 3 2 2 3 2" xfId="14093"/>
    <cellStyle name="标题 3 2 2 4" xfId="11058"/>
    <cellStyle name="标题 3 2 3" xfId="6961"/>
    <cellStyle name="标题 3 2 3 2" xfId="11816"/>
    <cellStyle name="标题 3 2 4" xfId="8482"/>
    <cellStyle name="标题 3 2 4 2" xfId="13335"/>
    <cellStyle name="标题 3 2 5" xfId="10300"/>
    <cellStyle name="标题 3 3" xfId="5824"/>
    <cellStyle name="标题 3 3 2" xfId="7341"/>
    <cellStyle name="标题 3 3 2 2" xfId="12196"/>
    <cellStyle name="标题 3 3 3" xfId="8862"/>
    <cellStyle name="标题 3 3 3 2" xfId="13715"/>
    <cellStyle name="标题 3 3 4" xfId="10680"/>
    <cellStyle name="标题 3 4" xfId="6583"/>
    <cellStyle name="标题 3 4 2" xfId="11438"/>
    <cellStyle name="标题 3 5" xfId="8104"/>
    <cellStyle name="标题 3 5 2" xfId="12957"/>
    <cellStyle name="标题 3 6" xfId="9922"/>
    <cellStyle name="标题 4" xfId="4860"/>
    <cellStyle name="标题 4 2" xfId="5444"/>
    <cellStyle name="标题 4 2 2" xfId="6203"/>
    <cellStyle name="标题 4 2 2 2" xfId="7720"/>
    <cellStyle name="标题 4 2 2 2 2" xfId="12575"/>
    <cellStyle name="标题 4 2 2 3" xfId="9241"/>
    <cellStyle name="标题 4 2 2 3 2" xfId="14094"/>
    <cellStyle name="标题 4 2 2 4" xfId="11059"/>
    <cellStyle name="标题 4 2 3" xfId="6962"/>
    <cellStyle name="标题 4 2 3 2" xfId="11817"/>
    <cellStyle name="标题 4 2 4" xfId="8483"/>
    <cellStyle name="标题 4 2 4 2" xfId="13336"/>
    <cellStyle name="标题 4 2 5" xfId="10301"/>
    <cellStyle name="标题 4 3" xfId="5825"/>
    <cellStyle name="标题 4 3 2" xfId="7342"/>
    <cellStyle name="标题 4 3 2 2" xfId="12197"/>
    <cellStyle name="标题 4 3 3" xfId="8863"/>
    <cellStyle name="标题 4 3 3 2" xfId="13716"/>
    <cellStyle name="标题 4 3 4" xfId="10681"/>
    <cellStyle name="标题 4 4" xfId="6584"/>
    <cellStyle name="标题 4 4 2" xfId="11439"/>
    <cellStyle name="标题 4 5" xfId="8105"/>
    <cellStyle name="标题 4 5 2" xfId="12958"/>
    <cellStyle name="标题 4 6" xfId="9923"/>
    <cellStyle name="标题 5" xfId="5440"/>
    <cellStyle name="标题 5 2" xfId="6199"/>
    <cellStyle name="标题 5 2 2" xfId="7716"/>
    <cellStyle name="标题 5 2 2 2" xfId="12571"/>
    <cellStyle name="标题 5 2 3" xfId="9237"/>
    <cellStyle name="标题 5 2 3 2" xfId="14090"/>
    <cellStyle name="标题 5 2 4" xfId="11055"/>
    <cellStyle name="标题 5 3" xfId="6958"/>
    <cellStyle name="标题 5 3 2" xfId="11813"/>
    <cellStyle name="标题 5 4" xfId="8479"/>
    <cellStyle name="标题 5 4 2" xfId="13332"/>
    <cellStyle name="标题 5 5" xfId="10297"/>
    <cellStyle name="标题 6" xfId="5821"/>
    <cellStyle name="标题 6 2" xfId="7338"/>
    <cellStyle name="标题 6 2 2" xfId="12193"/>
    <cellStyle name="标题 6 3" xfId="8859"/>
    <cellStyle name="标题 6 3 2" xfId="13712"/>
    <cellStyle name="标题 6 4" xfId="10677"/>
    <cellStyle name="标题 7" xfId="6580"/>
    <cellStyle name="标题 7 2" xfId="11435"/>
    <cellStyle name="标题 8" xfId="8101"/>
    <cellStyle name="标题 8 2" xfId="12954"/>
    <cellStyle name="标题 9" xfId="9919"/>
    <cellStyle name="检查单元格" xfId="4861"/>
    <cellStyle name="检查单元格 2" xfId="5445"/>
    <cellStyle name="检查单元格 2 2" xfId="6204"/>
    <cellStyle name="检查单元格 2 2 2" xfId="7721"/>
    <cellStyle name="检查单元格 2 2 2 2" xfId="12576"/>
    <cellStyle name="检查单元格 2 2 3" xfId="9242"/>
    <cellStyle name="检查单元格 2 2 3 2" xfId="14095"/>
    <cellStyle name="检查单元格 2 2 4" xfId="11060"/>
    <cellStyle name="检查单元格 2 3" xfId="6963"/>
    <cellStyle name="检查单元格 2 3 2" xfId="11818"/>
    <cellStyle name="检查单元格 2 4" xfId="8484"/>
    <cellStyle name="检查单元格 2 4 2" xfId="13337"/>
    <cellStyle name="检查单元格 2 5" xfId="10302"/>
    <cellStyle name="检查单元格 3" xfId="5826"/>
    <cellStyle name="检查单元格 3 2" xfId="7343"/>
    <cellStyle name="检查单元格 3 2 2" xfId="12198"/>
    <cellStyle name="检查单元格 3 3" xfId="8864"/>
    <cellStyle name="检查单元格 3 3 2" xfId="13717"/>
    <cellStyle name="检查单元格 3 4" xfId="10682"/>
    <cellStyle name="检查单元格 4" xfId="6585"/>
    <cellStyle name="检查单元格 4 2" xfId="11440"/>
    <cellStyle name="检查单元格 5" xfId="8106"/>
    <cellStyle name="检查单元格 5 2" xfId="12959"/>
    <cellStyle name="检查单元格 6" xfId="9924"/>
    <cellStyle name="標準_5401a" xfId="631"/>
    <cellStyle name="標題" xfId="4862"/>
    <cellStyle name="標題 1" xfId="4863"/>
    <cellStyle name="標題 1 2" xfId="5447"/>
    <cellStyle name="標題 1 2 2" xfId="6206"/>
    <cellStyle name="標題 1 2 2 2" xfId="7723"/>
    <cellStyle name="標題 1 2 2 2 2" xfId="12578"/>
    <cellStyle name="標題 1 2 2 3" xfId="9244"/>
    <cellStyle name="標題 1 2 2 3 2" xfId="14097"/>
    <cellStyle name="標題 1 2 2 4" xfId="11062"/>
    <cellStyle name="標題 1 2 3" xfId="6965"/>
    <cellStyle name="標題 1 2 3 2" xfId="11820"/>
    <cellStyle name="標題 1 2 4" xfId="8486"/>
    <cellStyle name="標題 1 2 4 2" xfId="13339"/>
    <cellStyle name="標題 1 2 5" xfId="10304"/>
    <cellStyle name="標題 1 3" xfId="5828"/>
    <cellStyle name="標題 1 3 2" xfId="7345"/>
    <cellStyle name="標題 1 3 2 2" xfId="12200"/>
    <cellStyle name="標題 1 3 3" xfId="8866"/>
    <cellStyle name="標題 1 3 3 2" xfId="13719"/>
    <cellStyle name="標題 1 3 4" xfId="10684"/>
    <cellStyle name="標題 1 4" xfId="6587"/>
    <cellStyle name="標題 1 4 2" xfId="11442"/>
    <cellStyle name="標題 1 5" xfId="8108"/>
    <cellStyle name="標題 1 5 2" xfId="12961"/>
    <cellStyle name="標題 1 6" xfId="9926"/>
    <cellStyle name="標題 2" xfId="4864"/>
    <cellStyle name="標題 2 2" xfId="5448"/>
    <cellStyle name="標題 2 2 2" xfId="6207"/>
    <cellStyle name="標題 2 2 2 2" xfId="7724"/>
    <cellStyle name="標題 2 2 2 2 2" xfId="12579"/>
    <cellStyle name="標題 2 2 2 3" xfId="9245"/>
    <cellStyle name="標題 2 2 2 3 2" xfId="14098"/>
    <cellStyle name="標題 2 2 2 4" xfId="11063"/>
    <cellStyle name="標題 2 2 3" xfId="6966"/>
    <cellStyle name="標題 2 2 3 2" xfId="11821"/>
    <cellStyle name="標題 2 2 4" xfId="8487"/>
    <cellStyle name="標題 2 2 4 2" xfId="13340"/>
    <cellStyle name="標題 2 2 5" xfId="10305"/>
    <cellStyle name="標題 2 3" xfId="5829"/>
    <cellStyle name="標題 2 3 2" xfId="7346"/>
    <cellStyle name="標題 2 3 2 2" xfId="12201"/>
    <cellStyle name="標題 2 3 3" xfId="8867"/>
    <cellStyle name="標題 2 3 3 2" xfId="13720"/>
    <cellStyle name="標題 2 3 4" xfId="10685"/>
    <cellStyle name="標題 2 4" xfId="6588"/>
    <cellStyle name="標題 2 4 2" xfId="11443"/>
    <cellStyle name="標題 2 5" xfId="8109"/>
    <cellStyle name="標題 2 5 2" xfId="12962"/>
    <cellStyle name="標題 2 6" xfId="9927"/>
    <cellStyle name="標題 3" xfId="4865"/>
    <cellStyle name="標題 3 2" xfId="5449"/>
    <cellStyle name="標題 3 2 2" xfId="6208"/>
    <cellStyle name="標題 3 2 2 2" xfId="7725"/>
    <cellStyle name="標題 3 2 2 2 2" xfId="12580"/>
    <cellStyle name="標題 3 2 2 3" xfId="9246"/>
    <cellStyle name="標題 3 2 2 3 2" xfId="14099"/>
    <cellStyle name="標題 3 2 2 4" xfId="11064"/>
    <cellStyle name="標題 3 2 3" xfId="6967"/>
    <cellStyle name="標題 3 2 3 2" xfId="11822"/>
    <cellStyle name="標題 3 2 4" xfId="8488"/>
    <cellStyle name="標題 3 2 4 2" xfId="13341"/>
    <cellStyle name="標題 3 2 5" xfId="10306"/>
    <cellStyle name="標題 3 3" xfId="5830"/>
    <cellStyle name="標題 3 3 2" xfId="7347"/>
    <cellStyle name="標題 3 3 2 2" xfId="12202"/>
    <cellStyle name="標題 3 3 3" xfId="8868"/>
    <cellStyle name="標題 3 3 3 2" xfId="13721"/>
    <cellStyle name="標題 3 3 4" xfId="10686"/>
    <cellStyle name="標題 3 4" xfId="6589"/>
    <cellStyle name="標題 3 4 2" xfId="11444"/>
    <cellStyle name="標題 3 5" xfId="8110"/>
    <cellStyle name="標題 3 5 2" xfId="12963"/>
    <cellStyle name="標題 3 6" xfId="9928"/>
    <cellStyle name="標題 4" xfId="4866"/>
    <cellStyle name="標題 4 2" xfId="5450"/>
    <cellStyle name="標題 4 2 2" xfId="6209"/>
    <cellStyle name="標題 4 2 2 2" xfId="7726"/>
    <cellStyle name="標題 4 2 2 2 2" xfId="12581"/>
    <cellStyle name="標題 4 2 2 3" xfId="9247"/>
    <cellStyle name="標題 4 2 2 3 2" xfId="14100"/>
    <cellStyle name="標題 4 2 2 4" xfId="11065"/>
    <cellStyle name="標題 4 2 3" xfId="6968"/>
    <cellStyle name="標題 4 2 3 2" xfId="11823"/>
    <cellStyle name="標題 4 2 4" xfId="8489"/>
    <cellStyle name="標題 4 2 4 2" xfId="13342"/>
    <cellStyle name="標題 4 2 5" xfId="10307"/>
    <cellStyle name="標題 4 3" xfId="5831"/>
    <cellStyle name="標題 4 3 2" xfId="7348"/>
    <cellStyle name="標題 4 3 2 2" xfId="12203"/>
    <cellStyle name="標題 4 3 3" xfId="8869"/>
    <cellStyle name="標題 4 3 3 2" xfId="13722"/>
    <cellStyle name="標題 4 3 4" xfId="10687"/>
    <cellStyle name="標題 4 4" xfId="6590"/>
    <cellStyle name="標題 4 4 2" xfId="11445"/>
    <cellStyle name="標題 4 5" xfId="8111"/>
    <cellStyle name="標題 4 5 2" xfId="12964"/>
    <cellStyle name="標題 4 6" xfId="9929"/>
    <cellStyle name="標題 5" xfId="5446"/>
    <cellStyle name="標題 5 2" xfId="6205"/>
    <cellStyle name="標題 5 2 2" xfId="7722"/>
    <cellStyle name="標題 5 2 2 2" xfId="12577"/>
    <cellStyle name="標題 5 2 3" xfId="9243"/>
    <cellStyle name="標題 5 2 3 2" xfId="14096"/>
    <cellStyle name="標題 5 2 4" xfId="11061"/>
    <cellStyle name="標題 5 3" xfId="6964"/>
    <cellStyle name="標題 5 3 2" xfId="11819"/>
    <cellStyle name="標題 5 4" xfId="8485"/>
    <cellStyle name="標題 5 4 2" xfId="13338"/>
    <cellStyle name="標題 5 5" xfId="10303"/>
    <cellStyle name="標題 6" xfId="5827"/>
    <cellStyle name="標題 6 2" xfId="7344"/>
    <cellStyle name="標題 6 2 2" xfId="12199"/>
    <cellStyle name="標題 6 3" xfId="8865"/>
    <cellStyle name="標題 6 3 2" xfId="13718"/>
    <cellStyle name="標題 6 4" xfId="10683"/>
    <cellStyle name="標題 7" xfId="6586"/>
    <cellStyle name="標題 7 2" xfId="11441"/>
    <cellStyle name="標題 8" xfId="8107"/>
    <cellStyle name="標題 8 2" xfId="12960"/>
    <cellStyle name="標題 9" xfId="9925"/>
    <cellStyle name="檢查儲存格" xfId="4867"/>
    <cellStyle name="檢查儲存格 2" xfId="5451"/>
    <cellStyle name="檢查儲存格 2 2" xfId="6210"/>
    <cellStyle name="檢查儲存格 2 2 2" xfId="7727"/>
    <cellStyle name="檢查儲存格 2 2 2 2" xfId="12582"/>
    <cellStyle name="檢查儲存格 2 2 3" xfId="9248"/>
    <cellStyle name="檢查儲存格 2 2 3 2" xfId="14101"/>
    <cellStyle name="檢查儲存格 2 2 4" xfId="11066"/>
    <cellStyle name="檢查儲存格 2 3" xfId="6969"/>
    <cellStyle name="檢查儲存格 2 3 2" xfId="11824"/>
    <cellStyle name="檢查儲存格 2 4" xfId="8490"/>
    <cellStyle name="檢查儲存格 2 4 2" xfId="13343"/>
    <cellStyle name="檢查儲存格 2 5" xfId="10308"/>
    <cellStyle name="檢查儲存格 3" xfId="5832"/>
    <cellStyle name="檢查儲存格 3 2" xfId="7349"/>
    <cellStyle name="檢查儲存格 3 2 2" xfId="12204"/>
    <cellStyle name="檢查儲存格 3 3" xfId="8870"/>
    <cellStyle name="檢查儲存格 3 3 2" xfId="13723"/>
    <cellStyle name="檢查儲存格 3 4" xfId="10688"/>
    <cellStyle name="檢查儲存格 4" xfId="6591"/>
    <cellStyle name="檢查儲存格 4 2" xfId="11446"/>
    <cellStyle name="檢查儲存格 5" xfId="8112"/>
    <cellStyle name="檢查儲存格 5 2" xfId="12965"/>
    <cellStyle name="檢查儲存格 6" xfId="9930"/>
    <cellStyle name="汇总" xfId="4868"/>
    <cellStyle name="汇总 2" xfId="5452"/>
    <cellStyle name="汇总 2 2" xfId="6211"/>
    <cellStyle name="汇总 2 2 2" xfId="7728"/>
    <cellStyle name="汇总 2 2 2 2" xfId="12583"/>
    <cellStyle name="汇总 2 2 3" xfId="9249"/>
    <cellStyle name="汇总 2 2 3 2" xfId="14102"/>
    <cellStyle name="汇总 2 2 4" xfId="11067"/>
    <cellStyle name="汇总 2 3" xfId="6970"/>
    <cellStyle name="汇总 2 3 2" xfId="11825"/>
    <cellStyle name="汇总 2 4" xfId="8491"/>
    <cellStyle name="汇总 2 4 2" xfId="13344"/>
    <cellStyle name="汇总 2 5" xfId="10309"/>
    <cellStyle name="汇总 3" xfId="5833"/>
    <cellStyle name="汇总 3 2" xfId="7350"/>
    <cellStyle name="汇总 3 2 2" xfId="12205"/>
    <cellStyle name="汇总 3 3" xfId="8871"/>
    <cellStyle name="汇总 3 3 2" xfId="13724"/>
    <cellStyle name="汇总 3 4" xfId="10689"/>
    <cellStyle name="汇总 4" xfId="6592"/>
    <cellStyle name="汇总 4 2" xfId="11447"/>
    <cellStyle name="汇总 5" xfId="8113"/>
    <cellStyle name="汇总 5 2" xfId="12966"/>
    <cellStyle name="汇总 6" xfId="9931"/>
    <cellStyle name="注释" xfId="4869"/>
    <cellStyle name="注释 2" xfId="5453"/>
    <cellStyle name="注释 2 2" xfId="6212"/>
    <cellStyle name="注释 2 2 2" xfId="7729"/>
    <cellStyle name="注释 2 2 2 2" xfId="12584"/>
    <cellStyle name="注释 2 2 3" xfId="9250"/>
    <cellStyle name="注释 2 2 3 2" xfId="14103"/>
    <cellStyle name="注释 2 2 4" xfId="11068"/>
    <cellStyle name="注释 2 3" xfId="6971"/>
    <cellStyle name="注释 2 3 2" xfId="11826"/>
    <cellStyle name="注释 2 4" xfId="8492"/>
    <cellStyle name="注释 2 4 2" xfId="13345"/>
    <cellStyle name="注释 2 5" xfId="10310"/>
    <cellStyle name="注释 3" xfId="5834"/>
    <cellStyle name="注释 3 2" xfId="7351"/>
    <cellStyle name="注释 3 2 2" xfId="12206"/>
    <cellStyle name="注释 3 3" xfId="8872"/>
    <cellStyle name="注释 3 3 2" xfId="13725"/>
    <cellStyle name="注释 3 4" xfId="10690"/>
    <cellStyle name="注释 4" xfId="6593"/>
    <cellStyle name="注释 4 2" xfId="11448"/>
    <cellStyle name="注释 5" xfId="8114"/>
    <cellStyle name="注释 5 2" xfId="12967"/>
    <cellStyle name="注释 6" xfId="9932"/>
    <cellStyle name="百分比_Comp1-QSI,Liteon" xfId="9545"/>
    <cellStyle name="解释性文本" xfId="4870"/>
    <cellStyle name="解释性文本 2" xfId="5454"/>
    <cellStyle name="解释性文本 2 2" xfId="6213"/>
    <cellStyle name="解释性文本 2 2 2" xfId="7730"/>
    <cellStyle name="解释性文本 2 2 2 2" xfId="12585"/>
    <cellStyle name="解释性文本 2 2 3" xfId="9251"/>
    <cellStyle name="解释性文本 2 2 3 2" xfId="14104"/>
    <cellStyle name="解释性文本 2 2 4" xfId="11069"/>
    <cellStyle name="解释性文本 2 3" xfId="6972"/>
    <cellStyle name="解释性文本 2 3 2" xfId="11827"/>
    <cellStyle name="解释性文本 2 4" xfId="8493"/>
    <cellStyle name="解释性文本 2 4 2" xfId="13346"/>
    <cellStyle name="解释性文本 2 5" xfId="10311"/>
    <cellStyle name="解释性文本 3" xfId="5835"/>
    <cellStyle name="解释性文本 3 2" xfId="7352"/>
    <cellStyle name="解释性文本 3 2 2" xfId="12207"/>
    <cellStyle name="解释性文本 3 3" xfId="8873"/>
    <cellStyle name="解释性文本 3 3 2" xfId="13726"/>
    <cellStyle name="解释性文本 3 4" xfId="10691"/>
    <cellStyle name="解释性文本 4" xfId="6594"/>
    <cellStyle name="解释性文本 4 2" xfId="11449"/>
    <cellStyle name="解释性文本 5" xfId="8115"/>
    <cellStyle name="解释性文本 5 2" xfId="12968"/>
    <cellStyle name="解释性文本 6" xfId="9933"/>
    <cellStyle name="計算方式" xfId="4871"/>
    <cellStyle name="計算方式 2" xfId="5455"/>
    <cellStyle name="計算方式 2 2" xfId="6214"/>
    <cellStyle name="計算方式 2 2 2" xfId="7731"/>
    <cellStyle name="計算方式 2 2 2 2" xfId="12586"/>
    <cellStyle name="計算方式 2 2 3" xfId="9252"/>
    <cellStyle name="計算方式 2 2 3 2" xfId="14105"/>
    <cellStyle name="計算方式 2 2 4" xfId="11070"/>
    <cellStyle name="計算方式 2 3" xfId="6973"/>
    <cellStyle name="計算方式 2 3 2" xfId="11828"/>
    <cellStyle name="計算方式 2 4" xfId="8494"/>
    <cellStyle name="計算方式 2 4 2" xfId="13347"/>
    <cellStyle name="計算方式 2 5" xfId="10312"/>
    <cellStyle name="計算方式 3" xfId="5836"/>
    <cellStyle name="計算方式 3 2" xfId="7353"/>
    <cellStyle name="計算方式 3 2 2" xfId="12208"/>
    <cellStyle name="計算方式 3 3" xfId="8874"/>
    <cellStyle name="計算方式 3 3 2" xfId="13727"/>
    <cellStyle name="計算方式 3 4" xfId="10692"/>
    <cellStyle name="計算方式 4" xfId="6595"/>
    <cellStyle name="計算方式 4 2" xfId="11450"/>
    <cellStyle name="計算方式 5" xfId="8116"/>
    <cellStyle name="計算方式 5 2" xfId="12969"/>
    <cellStyle name="計算方式 6" xfId="9934"/>
    <cellStyle name="說明文字" xfId="4872"/>
    <cellStyle name="說明文字 2" xfId="5456"/>
    <cellStyle name="說明文字 2 2" xfId="6215"/>
    <cellStyle name="說明文字 2 2 2" xfId="7732"/>
    <cellStyle name="說明文字 2 2 2 2" xfId="12587"/>
    <cellStyle name="說明文字 2 2 3" xfId="9253"/>
    <cellStyle name="說明文字 2 2 3 2" xfId="14106"/>
    <cellStyle name="說明文字 2 2 4" xfId="11071"/>
    <cellStyle name="說明文字 2 3" xfId="6974"/>
    <cellStyle name="說明文字 2 3 2" xfId="11829"/>
    <cellStyle name="說明文字 2 4" xfId="8495"/>
    <cellStyle name="說明文字 2 4 2" xfId="13348"/>
    <cellStyle name="說明文字 2 5" xfId="10313"/>
    <cellStyle name="說明文字 3" xfId="5837"/>
    <cellStyle name="說明文字 3 2" xfId="7354"/>
    <cellStyle name="說明文字 3 2 2" xfId="12209"/>
    <cellStyle name="說明文字 3 3" xfId="8875"/>
    <cellStyle name="說明文字 3 3 2" xfId="13728"/>
    <cellStyle name="說明文字 3 4" xfId="10693"/>
    <cellStyle name="說明文字 4" xfId="6596"/>
    <cellStyle name="說明文字 4 2" xfId="11451"/>
    <cellStyle name="說明文字 5" xfId="8117"/>
    <cellStyle name="說明文字 5 2" xfId="12970"/>
    <cellStyle name="說明文字 6" xfId="9935"/>
    <cellStyle name="警告文字" xfId="4873"/>
    <cellStyle name="警告文字 2" xfId="5457"/>
    <cellStyle name="警告文字 2 2" xfId="6216"/>
    <cellStyle name="警告文字 2 2 2" xfId="7733"/>
    <cellStyle name="警告文字 2 2 2 2" xfId="12588"/>
    <cellStyle name="警告文字 2 2 3" xfId="9254"/>
    <cellStyle name="警告文字 2 2 3 2" xfId="14107"/>
    <cellStyle name="警告文字 2 2 4" xfId="11072"/>
    <cellStyle name="警告文字 2 3" xfId="6975"/>
    <cellStyle name="警告文字 2 3 2" xfId="11830"/>
    <cellStyle name="警告文字 2 4" xfId="8496"/>
    <cellStyle name="警告文字 2 4 2" xfId="13349"/>
    <cellStyle name="警告文字 2 5" xfId="10314"/>
    <cellStyle name="警告文字 3" xfId="5838"/>
    <cellStyle name="警告文字 3 2" xfId="7355"/>
    <cellStyle name="警告文字 3 2 2" xfId="12210"/>
    <cellStyle name="警告文字 3 3" xfId="8876"/>
    <cellStyle name="警告文字 3 3 2" xfId="13729"/>
    <cellStyle name="警告文字 3 4" xfId="10694"/>
    <cellStyle name="警告文字 4" xfId="6597"/>
    <cellStyle name="警告文字 4 2" xfId="11452"/>
    <cellStyle name="警告文字 5" xfId="8118"/>
    <cellStyle name="警告文字 5 2" xfId="12971"/>
    <cellStyle name="警告文字 6" xfId="9936"/>
    <cellStyle name="警告文本" xfId="4874"/>
    <cellStyle name="警告文本 2" xfId="5458"/>
    <cellStyle name="警告文本 2 2" xfId="6217"/>
    <cellStyle name="警告文本 2 2 2" xfId="7734"/>
    <cellStyle name="警告文本 2 2 2 2" xfId="12589"/>
    <cellStyle name="警告文本 2 2 3" xfId="9255"/>
    <cellStyle name="警告文本 2 2 3 2" xfId="14108"/>
    <cellStyle name="警告文本 2 2 4" xfId="11073"/>
    <cellStyle name="警告文本 2 3" xfId="6976"/>
    <cellStyle name="警告文本 2 3 2" xfId="11831"/>
    <cellStyle name="警告文本 2 4" xfId="8497"/>
    <cellStyle name="警告文本 2 4 2" xfId="13350"/>
    <cellStyle name="警告文本 2 5" xfId="10315"/>
    <cellStyle name="警告文本 3" xfId="5839"/>
    <cellStyle name="警告文本 3 2" xfId="7356"/>
    <cellStyle name="警告文本 3 2 2" xfId="12211"/>
    <cellStyle name="警告文本 3 3" xfId="8877"/>
    <cellStyle name="警告文本 3 3 2" xfId="13730"/>
    <cellStyle name="警告文本 3 4" xfId="10695"/>
    <cellStyle name="警告文本 4" xfId="6598"/>
    <cellStyle name="警告文本 4 2" xfId="11453"/>
    <cellStyle name="警告文本 5" xfId="8119"/>
    <cellStyle name="警告文本 5 2" xfId="12972"/>
    <cellStyle name="警告文本 6" xfId="9937"/>
    <cellStyle name="计算" xfId="4875"/>
    <cellStyle name="计算 2" xfId="5459"/>
    <cellStyle name="计算 2 2" xfId="6218"/>
    <cellStyle name="计算 2 2 2" xfId="7735"/>
    <cellStyle name="计算 2 2 2 2" xfId="12590"/>
    <cellStyle name="计算 2 2 3" xfId="9256"/>
    <cellStyle name="计算 2 2 3 2" xfId="14109"/>
    <cellStyle name="计算 2 2 4" xfId="11074"/>
    <cellStyle name="计算 2 3" xfId="6977"/>
    <cellStyle name="计算 2 3 2" xfId="11832"/>
    <cellStyle name="计算 2 4" xfId="8498"/>
    <cellStyle name="计算 2 4 2" xfId="13351"/>
    <cellStyle name="计算 2 5" xfId="10316"/>
    <cellStyle name="计算 3" xfId="5840"/>
    <cellStyle name="计算 3 2" xfId="7357"/>
    <cellStyle name="计算 3 2 2" xfId="12212"/>
    <cellStyle name="计算 3 3" xfId="8878"/>
    <cellStyle name="计算 3 3 2" xfId="13731"/>
    <cellStyle name="计算 3 4" xfId="10696"/>
    <cellStyle name="计算 4" xfId="6599"/>
    <cellStyle name="计算 4 2" xfId="11454"/>
    <cellStyle name="计算 5" xfId="8120"/>
    <cellStyle name="计算 5 2" xfId="12973"/>
    <cellStyle name="计算 6" xfId="9938"/>
    <cellStyle name="貨幣 [0]_Book2" xfId="9546"/>
    <cellStyle name="貨幣_Book2" xfId="9547"/>
    <cellStyle name="货币[0]_BOM 3EC 37531 AAAA" xfId="4876"/>
    <cellStyle name="货币_BOM 3EC 37531 AAAA" xfId="4877"/>
    <cellStyle name="超連結_Comp-Global" xfId="9548"/>
    <cellStyle name="輔色1" xfId="4878"/>
    <cellStyle name="輔色1 2" xfId="5460"/>
    <cellStyle name="輔色1 2 2" xfId="6219"/>
    <cellStyle name="輔色1 2 2 2" xfId="7736"/>
    <cellStyle name="輔色1 2 2 2 2" xfId="12591"/>
    <cellStyle name="輔色1 2 2 3" xfId="9257"/>
    <cellStyle name="輔色1 2 2 3 2" xfId="14110"/>
    <cellStyle name="輔色1 2 2 4" xfId="11075"/>
    <cellStyle name="輔色1 2 3" xfId="6978"/>
    <cellStyle name="輔色1 2 3 2" xfId="11833"/>
    <cellStyle name="輔色1 2 4" xfId="8499"/>
    <cellStyle name="輔色1 2 4 2" xfId="13352"/>
    <cellStyle name="輔色1 2 5" xfId="10317"/>
    <cellStyle name="輔色1 3" xfId="5841"/>
    <cellStyle name="輔色1 3 2" xfId="7358"/>
    <cellStyle name="輔色1 3 2 2" xfId="12213"/>
    <cellStyle name="輔色1 3 3" xfId="8879"/>
    <cellStyle name="輔色1 3 3 2" xfId="13732"/>
    <cellStyle name="輔色1 3 4" xfId="10697"/>
    <cellStyle name="輔色1 4" xfId="6600"/>
    <cellStyle name="輔色1 4 2" xfId="11455"/>
    <cellStyle name="輔色1 5" xfId="8121"/>
    <cellStyle name="輔色1 5 2" xfId="12974"/>
    <cellStyle name="輔色1 6" xfId="9939"/>
    <cellStyle name="輔色2" xfId="4879"/>
    <cellStyle name="輔色2 2" xfId="5461"/>
    <cellStyle name="輔色2 2 2" xfId="6220"/>
    <cellStyle name="輔色2 2 2 2" xfId="7737"/>
    <cellStyle name="輔色2 2 2 2 2" xfId="12592"/>
    <cellStyle name="輔色2 2 2 3" xfId="9258"/>
    <cellStyle name="輔色2 2 2 3 2" xfId="14111"/>
    <cellStyle name="輔色2 2 2 4" xfId="11076"/>
    <cellStyle name="輔色2 2 3" xfId="6979"/>
    <cellStyle name="輔色2 2 3 2" xfId="11834"/>
    <cellStyle name="輔色2 2 4" xfId="8500"/>
    <cellStyle name="輔色2 2 4 2" xfId="13353"/>
    <cellStyle name="輔色2 2 5" xfId="10318"/>
    <cellStyle name="輔色2 3" xfId="5842"/>
    <cellStyle name="輔色2 3 2" xfId="7359"/>
    <cellStyle name="輔色2 3 2 2" xfId="12214"/>
    <cellStyle name="輔色2 3 3" xfId="8880"/>
    <cellStyle name="輔色2 3 3 2" xfId="13733"/>
    <cellStyle name="輔色2 3 4" xfId="10698"/>
    <cellStyle name="輔色2 4" xfId="6601"/>
    <cellStyle name="輔色2 4 2" xfId="11456"/>
    <cellStyle name="輔色2 5" xfId="8122"/>
    <cellStyle name="輔色2 5 2" xfId="12975"/>
    <cellStyle name="輔色2 6" xfId="9940"/>
    <cellStyle name="輔色3" xfId="4880"/>
    <cellStyle name="輔色3 2" xfId="5462"/>
    <cellStyle name="輔色3 2 2" xfId="6221"/>
    <cellStyle name="輔色3 2 2 2" xfId="7738"/>
    <cellStyle name="輔色3 2 2 2 2" xfId="12593"/>
    <cellStyle name="輔色3 2 2 3" xfId="9259"/>
    <cellStyle name="輔色3 2 2 3 2" xfId="14112"/>
    <cellStyle name="輔色3 2 2 4" xfId="11077"/>
    <cellStyle name="輔色3 2 3" xfId="6980"/>
    <cellStyle name="輔色3 2 3 2" xfId="11835"/>
    <cellStyle name="輔色3 2 4" xfId="8501"/>
    <cellStyle name="輔色3 2 4 2" xfId="13354"/>
    <cellStyle name="輔色3 2 5" xfId="10319"/>
    <cellStyle name="輔色3 3" xfId="5843"/>
    <cellStyle name="輔色3 3 2" xfId="7360"/>
    <cellStyle name="輔色3 3 2 2" xfId="12215"/>
    <cellStyle name="輔色3 3 3" xfId="8881"/>
    <cellStyle name="輔色3 3 3 2" xfId="13734"/>
    <cellStyle name="輔色3 3 4" xfId="10699"/>
    <cellStyle name="輔色3 4" xfId="6602"/>
    <cellStyle name="輔色3 4 2" xfId="11457"/>
    <cellStyle name="輔色3 5" xfId="8123"/>
    <cellStyle name="輔色3 5 2" xfId="12976"/>
    <cellStyle name="輔色3 6" xfId="9941"/>
    <cellStyle name="輔色4" xfId="4881"/>
    <cellStyle name="輔色4 2" xfId="5463"/>
    <cellStyle name="輔色4 2 2" xfId="6222"/>
    <cellStyle name="輔色4 2 2 2" xfId="7739"/>
    <cellStyle name="輔色4 2 2 2 2" xfId="12594"/>
    <cellStyle name="輔色4 2 2 3" xfId="9260"/>
    <cellStyle name="輔色4 2 2 3 2" xfId="14113"/>
    <cellStyle name="輔色4 2 2 4" xfId="11078"/>
    <cellStyle name="輔色4 2 3" xfId="6981"/>
    <cellStyle name="輔色4 2 3 2" xfId="11836"/>
    <cellStyle name="輔色4 2 4" xfId="8502"/>
    <cellStyle name="輔色4 2 4 2" xfId="13355"/>
    <cellStyle name="輔色4 2 5" xfId="10320"/>
    <cellStyle name="輔色4 3" xfId="5844"/>
    <cellStyle name="輔色4 3 2" xfId="7361"/>
    <cellStyle name="輔色4 3 2 2" xfId="12216"/>
    <cellStyle name="輔色4 3 3" xfId="8882"/>
    <cellStyle name="輔色4 3 3 2" xfId="13735"/>
    <cellStyle name="輔色4 3 4" xfId="10700"/>
    <cellStyle name="輔色4 4" xfId="6603"/>
    <cellStyle name="輔色4 4 2" xfId="11458"/>
    <cellStyle name="輔色4 5" xfId="8124"/>
    <cellStyle name="輔色4 5 2" xfId="12977"/>
    <cellStyle name="輔色4 6" xfId="9942"/>
    <cellStyle name="輔色5" xfId="4882"/>
    <cellStyle name="輔色5 2" xfId="5464"/>
    <cellStyle name="輔色5 2 2" xfId="6223"/>
    <cellStyle name="輔色5 2 2 2" xfId="7740"/>
    <cellStyle name="輔色5 2 2 2 2" xfId="12595"/>
    <cellStyle name="輔色5 2 2 3" xfId="9261"/>
    <cellStyle name="輔色5 2 2 3 2" xfId="14114"/>
    <cellStyle name="輔色5 2 2 4" xfId="11079"/>
    <cellStyle name="輔色5 2 3" xfId="6982"/>
    <cellStyle name="輔色5 2 3 2" xfId="11837"/>
    <cellStyle name="輔色5 2 4" xfId="8503"/>
    <cellStyle name="輔色5 2 4 2" xfId="13356"/>
    <cellStyle name="輔色5 2 5" xfId="10321"/>
    <cellStyle name="輔色5 3" xfId="5845"/>
    <cellStyle name="輔色5 3 2" xfId="7362"/>
    <cellStyle name="輔色5 3 2 2" xfId="12217"/>
    <cellStyle name="輔色5 3 3" xfId="8883"/>
    <cellStyle name="輔色5 3 3 2" xfId="13736"/>
    <cellStyle name="輔色5 3 4" xfId="10701"/>
    <cellStyle name="輔色5 4" xfId="6604"/>
    <cellStyle name="輔色5 4 2" xfId="11459"/>
    <cellStyle name="輔色5 5" xfId="8125"/>
    <cellStyle name="輔色5 5 2" xfId="12978"/>
    <cellStyle name="輔色5 6" xfId="9943"/>
    <cellStyle name="輔色6" xfId="4883"/>
    <cellStyle name="輔色6 2" xfId="5465"/>
    <cellStyle name="輔色6 2 2" xfId="6224"/>
    <cellStyle name="輔色6 2 2 2" xfId="7741"/>
    <cellStyle name="輔色6 2 2 2 2" xfId="12596"/>
    <cellStyle name="輔色6 2 2 3" xfId="9262"/>
    <cellStyle name="輔色6 2 2 3 2" xfId="14115"/>
    <cellStyle name="輔色6 2 2 4" xfId="11080"/>
    <cellStyle name="輔色6 2 3" xfId="6983"/>
    <cellStyle name="輔色6 2 3 2" xfId="11838"/>
    <cellStyle name="輔色6 2 4" xfId="8504"/>
    <cellStyle name="輔色6 2 4 2" xfId="13357"/>
    <cellStyle name="輔色6 2 5" xfId="10322"/>
    <cellStyle name="輔色6 3" xfId="5846"/>
    <cellStyle name="輔色6 3 2" xfId="7363"/>
    <cellStyle name="輔色6 3 2 2" xfId="12218"/>
    <cellStyle name="輔色6 3 3" xfId="8884"/>
    <cellStyle name="輔色6 3 3 2" xfId="13737"/>
    <cellStyle name="輔色6 3 4" xfId="10702"/>
    <cellStyle name="輔色6 4" xfId="6605"/>
    <cellStyle name="輔色6 4 2" xfId="11460"/>
    <cellStyle name="輔色6 5" xfId="8126"/>
    <cellStyle name="輔色6 5 2" xfId="12979"/>
    <cellStyle name="輔色6 6" xfId="9944"/>
    <cellStyle name="輸入" xfId="4884"/>
    <cellStyle name="輸入 2" xfId="5466"/>
    <cellStyle name="輸入 2 2" xfId="6225"/>
    <cellStyle name="輸入 2 2 2" xfId="7742"/>
    <cellStyle name="輸入 2 2 2 2" xfId="12597"/>
    <cellStyle name="輸入 2 2 3" xfId="9263"/>
    <cellStyle name="輸入 2 2 3 2" xfId="14116"/>
    <cellStyle name="輸入 2 2 4" xfId="11081"/>
    <cellStyle name="輸入 2 3" xfId="6984"/>
    <cellStyle name="輸入 2 3 2" xfId="11839"/>
    <cellStyle name="輸入 2 4" xfId="8505"/>
    <cellStyle name="輸入 2 4 2" xfId="13358"/>
    <cellStyle name="輸入 2 5" xfId="10323"/>
    <cellStyle name="輸入 3" xfId="5847"/>
    <cellStyle name="輸入 3 2" xfId="7364"/>
    <cellStyle name="輸入 3 2 2" xfId="12219"/>
    <cellStyle name="輸入 3 3" xfId="8885"/>
    <cellStyle name="輸入 3 3 2" xfId="13738"/>
    <cellStyle name="輸入 3 4" xfId="10703"/>
    <cellStyle name="輸入 4" xfId="6606"/>
    <cellStyle name="輸入 4 2" xfId="11461"/>
    <cellStyle name="輸入 5" xfId="8127"/>
    <cellStyle name="輸入 5 2" xfId="12980"/>
    <cellStyle name="輸入 6" xfId="9945"/>
    <cellStyle name="輸出" xfId="4885"/>
    <cellStyle name="輸出 2" xfId="5467"/>
    <cellStyle name="輸出 2 2" xfId="6226"/>
    <cellStyle name="輸出 2 2 2" xfId="7743"/>
    <cellStyle name="輸出 2 2 2 2" xfId="12598"/>
    <cellStyle name="輸出 2 2 3" xfId="9264"/>
    <cellStyle name="輸出 2 2 3 2" xfId="14117"/>
    <cellStyle name="輸出 2 2 4" xfId="11082"/>
    <cellStyle name="輸出 2 3" xfId="6985"/>
    <cellStyle name="輸出 2 3 2" xfId="11840"/>
    <cellStyle name="輸出 2 4" xfId="8506"/>
    <cellStyle name="輸出 2 4 2" xfId="13359"/>
    <cellStyle name="輸出 2 5" xfId="10324"/>
    <cellStyle name="輸出 3" xfId="5848"/>
    <cellStyle name="輸出 3 2" xfId="7365"/>
    <cellStyle name="輸出 3 2 2" xfId="12220"/>
    <cellStyle name="輸出 3 3" xfId="8886"/>
    <cellStyle name="輸出 3 3 2" xfId="13739"/>
    <cellStyle name="輸出 3 4" xfId="10704"/>
    <cellStyle name="輸出 4" xfId="6607"/>
    <cellStyle name="輸出 4 2" xfId="11462"/>
    <cellStyle name="輸出 5" xfId="8128"/>
    <cellStyle name="輸出 5 2" xfId="12981"/>
    <cellStyle name="輸出 6" xfId="9946"/>
    <cellStyle name="输入" xfId="4886"/>
    <cellStyle name="输入 2" xfId="5468"/>
    <cellStyle name="输入 2 2" xfId="6227"/>
    <cellStyle name="输入 2 2 2" xfId="7744"/>
    <cellStyle name="输入 2 2 2 2" xfId="12599"/>
    <cellStyle name="输入 2 2 3" xfId="9265"/>
    <cellStyle name="输入 2 2 3 2" xfId="14118"/>
    <cellStyle name="输入 2 2 4" xfId="11083"/>
    <cellStyle name="输入 2 3" xfId="6986"/>
    <cellStyle name="输入 2 3 2" xfId="11841"/>
    <cellStyle name="输入 2 4" xfId="8507"/>
    <cellStyle name="输入 2 4 2" xfId="13360"/>
    <cellStyle name="输入 2 5" xfId="10325"/>
    <cellStyle name="输入 3" xfId="5849"/>
    <cellStyle name="输入 3 2" xfId="7366"/>
    <cellStyle name="输入 3 2 2" xfId="12221"/>
    <cellStyle name="输入 3 3" xfId="8887"/>
    <cellStyle name="输入 3 3 2" xfId="13740"/>
    <cellStyle name="输入 3 4" xfId="10705"/>
    <cellStyle name="输入 4" xfId="6608"/>
    <cellStyle name="输入 4 2" xfId="11463"/>
    <cellStyle name="输入 5" xfId="8129"/>
    <cellStyle name="输入 5 2" xfId="12982"/>
    <cellStyle name="输入 6" xfId="9947"/>
    <cellStyle name="输出" xfId="4887"/>
    <cellStyle name="输出 2" xfId="5469"/>
    <cellStyle name="输出 2 2" xfId="6228"/>
    <cellStyle name="输出 2 2 2" xfId="7745"/>
    <cellStyle name="输出 2 2 2 2" xfId="12600"/>
    <cellStyle name="输出 2 2 3" xfId="9266"/>
    <cellStyle name="输出 2 2 3 2" xfId="14119"/>
    <cellStyle name="输出 2 2 4" xfId="11084"/>
    <cellStyle name="输出 2 3" xfId="6987"/>
    <cellStyle name="输出 2 3 2" xfId="11842"/>
    <cellStyle name="输出 2 4" xfId="8508"/>
    <cellStyle name="输出 2 4 2" xfId="13361"/>
    <cellStyle name="输出 2 5" xfId="10326"/>
    <cellStyle name="输出 3" xfId="5850"/>
    <cellStyle name="输出 3 2" xfId="7367"/>
    <cellStyle name="输出 3 2 2" xfId="12222"/>
    <cellStyle name="输出 3 3" xfId="8888"/>
    <cellStyle name="输出 3 3 2" xfId="13741"/>
    <cellStyle name="输出 3 4" xfId="10706"/>
    <cellStyle name="输出 4" xfId="6609"/>
    <cellStyle name="输出 4 2" xfId="11464"/>
    <cellStyle name="输出 5" xfId="8130"/>
    <cellStyle name="输出 5 2" xfId="12983"/>
    <cellStyle name="输出 6" xfId="9948"/>
    <cellStyle name="适中" xfId="4888"/>
    <cellStyle name="适中 2" xfId="5470"/>
    <cellStyle name="适中 2 2" xfId="6229"/>
    <cellStyle name="适中 2 2 2" xfId="7746"/>
    <cellStyle name="适中 2 2 2 2" xfId="12601"/>
    <cellStyle name="适中 2 2 3" xfId="9267"/>
    <cellStyle name="适中 2 2 3 2" xfId="14120"/>
    <cellStyle name="适中 2 2 4" xfId="11085"/>
    <cellStyle name="适中 2 3" xfId="6988"/>
    <cellStyle name="适中 2 3 2" xfId="11843"/>
    <cellStyle name="适中 2 4" xfId="8509"/>
    <cellStyle name="适中 2 4 2" xfId="13362"/>
    <cellStyle name="适中 2 5" xfId="10327"/>
    <cellStyle name="适中 3" xfId="5851"/>
    <cellStyle name="适中 3 2" xfId="7368"/>
    <cellStyle name="适中 3 2 2" xfId="12223"/>
    <cellStyle name="适中 3 3" xfId="8889"/>
    <cellStyle name="适中 3 3 2" xfId="13742"/>
    <cellStyle name="适中 3 4" xfId="10707"/>
    <cellStyle name="适中 4" xfId="6610"/>
    <cellStyle name="适中 4 2" xfId="11465"/>
    <cellStyle name="适中 5" xfId="8131"/>
    <cellStyle name="适中 5 2" xfId="12984"/>
    <cellStyle name="适中 6" xfId="9949"/>
    <cellStyle name="連結的儲存格" xfId="4889"/>
    <cellStyle name="連結的儲存格 2" xfId="5471"/>
    <cellStyle name="連結的儲存格 2 2" xfId="6230"/>
    <cellStyle name="連結的儲存格 2 2 2" xfId="7747"/>
    <cellStyle name="連結的儲存格 2 2 2 2" xfId="12602"/>
    <cellStyle name="連結的儲存格 2 2 3" xfId="9268"/>
    <cellStyle name="連結的儲存格 2 2 3 2" xfId="14121"/>
    <cellStyle name="連結的儲存格 2 2 4" xfId="11086"/>
    <cellStyle name="連結的儲存格 2 3" xfId="6989"/>
    <cellStyle name="連結的儲存格 2 3 2" xfId="11844"/>
    <cellStyle name="連結的儲存格 2 4" xfId="8510"/>
    <cellStyle name="連結的儲存格 2 4 2" xfId="13363"/>
    <cellStyle name="連結的儲存格 2 5" xfId="10328"/>
    <cellStyle name="連結的儲存格 3" xfId="5852"/>
    <cellStyle name="連結的儲存格 3 2" xfId="7369"/>
    <cellStyle name="連結的儲存格 3 2 2" xfId="12224"/>
    <cellStyle name="連結的儲存格 3 3" xfId="8890"/>
    <cellStyle name="連結的儲存格 3 3 2" xfId="13743"/>
    <cellStyle name="連結的儲存格 3 4" xfId="10708"/>
    <cellStyle name="連結的儲存格 4" xfId="6611"/>
    <cellStyle name="連結的儲存格 4 2" xfId="11466"/>
    <cellStyle name="連結的儲存格 5" xfId="8132"/>
    <cellStyle name="連結的儲存格 5 2" xfId="12985"/>
    <cellStyle name="連結的儲存格 6" xfId="9950"/>
    <cellStyle name="链接单元格" xfId="4890"/>
    <cellStyle name="链接单元格 2" xfId="5472"/>
    <cellStyle name="链接单元格 2 2" xfId="6231"/>
    <cellStyle name="链接单元格 2 2 2" xfId="7748"/>
    <cellStyle name="链接单元格 2 2 2 2" xfId="12603"/>
    <cellStyle name="链接单元格 2 2 3" xfId="9269"/>
    <cellStyle name="链接单元格 2 2 3 2" xfId="14122"/>
    <cellStyle name="链接单元格 2 2 4" xfId="11087"/>
    <cellStyle name="链接单元格 2 3" xfId="6990"/>
    <cellStyle name="链接单元格 2 3 2" xfId="11845"/>
    <cellStyle name="链接单元格 2 4" xfId="8511"/>
    <cellStyle name="链接单元格 2 4 2" xfId="13364"/>
    <cellStyle name="链接单元格 2 5" xfId="10329"/>
    <cellStyle name="链接单元格 3" xfId="5853"/>
    <cellStyle name="链接单元格 3 2" xfId="7370"/>
    <cellStyle name="链接单元格 3 2 2" xfId="12225"/>
    <cellStyle name="链接单元格 3 3" xfId="8891"/>
    <cellStyle name="链接单元格 3 3 2" xfId="13744"/>
    <cellStyle name="链接单元格 3 4" xfId="10709"/>
    <cellStyle name="链接单元格 4" xfId="6612"/>
    <cellStyle name="链接单元格 4 2" xfId="11467"/>
    <cellStyle name="链接单元格 5" xfId="8133"/>
    <cellStyle name="链接单元格 5 2" xfId="12986"/>
    <cellStyle name="链接单元格 6" xfId="995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008000"/>
      <color rgb="FFFFFF99"/>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1711</v>
        <stp/>
        <stp>7ffec9a6-e2b2-433a-81ef-4aeba24f7eb8</stp>
        <tr r="BF10" s="1"/>
      </tp>
      <tp t="s">
        <v xml:space="preserve">              Manual Calculation              </v>
        <stp/>
        <stp>0fbc7ea4-0115-48c1-92c0-98579c6e3238</stp>
        <tr r="BT10" s="1"/>
      </tp>
      <tp t="s">
        <v xml:space="preserve">               $      0.08               </v>
        <stp/>
        <stp>12b29f5d-e79e-4ea8-9eca-ce6adc523d2d</stp>
        <tr r="BH104" s="1"/>
      </tp>
      <tp t="s">
        <v xml:space="preserve">             Manual Calculation             </v>
        <stp/>
        <stp>d88ea447-6343-444f-8635-54b19a8662f2</stp>
        <tr r="AW10" s="1"/>
      </tp>
      <tp t="s">
        <v xml:space="preserve">                $     (0.04)               </v>
        <stp/>
        <stp>6cd430c1-a730-406e-a0ce-6ac98da2f9a7</stp>
        <tr r="BD104" s="1"/>
      </tp>
      <tp t="s">
        <v xml:space="preserve">               $     (0.17)              </v>
        <stp/>
        <stp>fe8b10df-cbf7-4460-879e-6eeeccdab085</stp>
        <tr r="AJ104" s="1"/>
      </tp>
      <tp>
        <v>0.38100000000000001</v>
        <stp/>
        <stp>b9e4971c-b7c4-464b-9e0f-d40e5e097fb2</stp>
        <tr r="BI22" s="1"/>
      </tp>
      <tp t="s">
        <v xml:space="preserve">             Manual Calculation             </v>
        <stp/>
        <stp>df8207c2-9256-4ca8-83e0-3dc1e94b0ab7</stp>
        <tr r="AS10" s="1"/>
      </tp>
      <tp t="s">
        <v xml:space="preserve">             Manual Calculation             </v>
        <stp/>
        <stp>d81fafe4-cdea-43e0-bdd2-0d3d000b444f</stp>
        <tr r="AN10" s="1"/>
      </tp>
      <tp t="s">
        <v xml:space="preserve">               $      0.05               </v>
        <stp/>
        <stp>da59bbd6-dff1-4403-8d7d-b9e9f1ba0a45</stp>
        <tr r="BC104" s="1"/>
      </tp>
      <tp>
        <v>0.33</v>
        <stp/>
        <stp>8bc507cd-4f89-4993-bcc7-1cbf095adab3</stp>
        <tr r="BA22" s="1"/>
      </tp>
      <tp t="s">
        <v>Manual Calculation</v>
        <stp/>
        <stp>15f4377d-6df7-4ec9-a344-4a71e740de6f</stp>
        <tr r="AT22" s="1"/>
      </tp>
      <tp t="s">
        <v xml:space="preserve">             Manual Calculation             </v>
        <stp/>
        <stp>072af246-252b-4bd9-94c2-a0fcac9eb544</stp>
        <tr r="AU10" s="1"/>
      </tp>
      <tp>
        <v>983</v>
        <stp/>
        <stp>bc82cf66-37c2-46fc-b19f-0a6b98087923</stp>
        <tr r="AZ10" s="1"/>
      </tp>
      <tp t="s">
        <v>Manual Calculation</v>
        <stp/>
        <stp>742cb9c4-c1a9-4a8a-8588-62cea89f8123</stp>
        <tr r="BU22" s="1"/>
      </tp>
      <tp t="s">
        <v>Manual Calculation</v>
        <stp/>
        <stp>ec30b690-f728-428c-a430-29350f0e409d</stp>
        <tr r="AV22" s="1"/>
      </tp>
      <tp t="s">
        <v xml:space="preserve">             Manual Calculation             </v>
        <stp/>
        <stp>2b0de030-37ea-4ac1-ab48-1d97b876e507</stp>
        <tr r="AM10" s="1"/>
      </tp>
      <tp t="s">
        <v xml:space="preserve">               $     (0.12)              </v>
        <stp/>
        <stp>b96d4572-dded-434b-84d5-16145a3524e4</stp>
        <tr r="AK104" s="1"/>
      </tp>
      <tp>
        <v>0.38</v>
        <stp/>
        <stp>63adb87b-d1e0-446c-8203-e69fee620bb1</stp>
        <tr r="CA22" s="1"/>
      </tp>
      <tp t="s">
        <v>Manual Calculation</v>
        <stp/>
        <stp>d5c01e90-2012-49e8-ac2b-2b34ce514b15</stp>
        <tr r="BO22" s="1"/>
      </tp>
      <tp t="s">
        <v xml:space="preserve">              Manual Calculation              </v>
        <stp/>
        <stp>c4db06c3-4596-44be-a8fb-9745e8ca94a8</stp>
        <tr r="BR10" s="1"/>
      </tp>
      <tp t="s">
        <v xml:space="preserve">               $       0.38               </v>
        <stp/>
        <stp>09172268-1ee0-4f86-9322-c69e2728510b</stp>
        <tr r="BZ104" s="1"/>
      </tp>
      <tp t="s">
        <v>Manual Calculation</v>
        <stp/>
        <stp>63e4f5ca-7204-4c86-9b92-90b2ea8a9a3a</stp>
        <tr r="AX22" s="1"/>
      </tp>
      <tp t="s">
        <v xml:space="preserve">               $     (0.17)              </v>
        <stp/>
        <stp>869ee0aa-b2ae-4f8c-a0ab-89fd8c7a024f</stp>
        <tr r="AS104" s="1"/>
      </tp>
      <tp t="s">
        <v>Manual Calculation</v>
        <stp/>
        <stp>32bd95b8-0f07-49d9-b5d2-9c5b26bb011a</stp>
        <tr r="AQ22" s="1"/>
      </tp>
      <tp t="s">
        <v xml:space="preserve">               $     (0.00)              </v>
        <stp/>
        <stp>3c892bbd-b5bd-48d3-a98a-1feb66e3c674</stp>
        <tr r="BA104" s="1"/>
      </tp>
      <tp t="s">
        <v xml:space="preserve">             Manual Calculation             </v>
        <stp/>
        <stp>2d859bde-a5ca-4733-b24a-09161487bc96</stp>
        <tr r="AO10" s="1"/>
      </tp>
      <tp t="s">
        <v xml:space="preserve">             Manual Calculation             </v>
        <stp/>
        <stp>ec0f7721-ab88-4b7e-ab8f-730ce22f1f76</stp>
        <tr r="AL10" s="1"/>
      </tp>
      <tp t="s">
        <v xml:space="preserve">              Manual Calculation              </v>
        <stp/>
        <stp>bc0b2e4a-d191-41df-a498-3309c961e886</stp>
        <tr r="BX10" s="1"/>
      </tp>
      <tp>
        <v>983</v>
        <stp/>
        <stp>6ceaca82-b505-4732-8b68-a0bfcb588950</stp>
        <tr r="BD10" s="1"/>
      </tp>
      <tp t="s">
        <v xml:space="preserve">               $      0.00               </v>
        <stp/>
        <stp>f1df6c49-e738-491e-a936-9f60dfb11ae6</stp>
        <tr r="AN104" s="1"/>
      </tp>
      <tp t="s">
        <v xml:space="preserve">               $      0.08               </v>
        <stp/>
        <stp>1bca3d09-509d-41ea-b728-ffc85ee1cc5a</stp>
        <tr r="BB104" s="1"/>
      </tp>
      <tp t="s">
        <v>Manual Calculation</v>
        <stp/>
        <stp>271c76d5-b89a-4b26-9233-8055cba564e1</stp>
        <tr r="AR22" s="1"/>
      </tp>
      <tp t="s">
        <v xml:space="preserve">             Manual Calculation             </v>
        <stp/>
        <stp>9a50942d-6849-4b25-9be7-62930c11bb62</stp>
        <tr r="AT10" s="1"/>
      </tp>
      <tp t="s">
        <v>Manual Calculation</v>
        <stp/>
        <stp>3735d6bb-ed64-469a-8232-efc3d38afcd4</stp>
        <tr r="AS22" s="1"/>
      </tp>
      <tp>
        <v>0.35</v>
        <stp/>
        <stp>7eb05dc5-e229-4eec-8066-fe7b0ea3d003</stp>
        <tr r="BC22" s="1"/>
      </tp>
      <tp>
        <v>1383</v>
        <stp/>
        <stp>3fa2e369-b132-455b-b213-32a59ac5f626</stp>
        <tr r="BH10" s="1"/>
      </tp>
      <tp t="s">
        <v>Manual Calculation</v>
        <stp/>
        <stp>c6c2677a-311f-41fa-87c5-9d817f3a908c</stp>
        <tr r="BT22" s="1"/>
      </tp>
      <tp t="s">
        <v>Manual Calculation</v>
        <stp/>
        <stp>f2d29abf-b551-4fe4-9ad2-dbccb0d701d8</stp>
        <tr r="AY22" s="1"/>
      </tp>
      <tp t="s">
        <v xml:space="preserve">             Manual Calculation             </v>
        <stp/>
        <stp>712645fa-3851-49d7-ac5c-77b048ede8a2</stp>
        <tr r="AR10" s="1"/>
      </tp>
      <tp t="s">
        <v xml:space="preserve">               $      0.03               </v>
        <stp/>
        <stp>16fe982e-6d68-41f8-8ec2-eccf1501f61c</stp>
        <tr r="AO104" s="1"/>
      </tp>
      <tp t="s">
        <v xml:space="preserve">               $      0.17               </v>
        <stp/>
        <stp>3d1be136-4a46-47d1-9934-ef75e0f52685</stp>
        <tr r="BJ104" s="1"/>
      </tp>
      <tp>
        <v>5256.3</v>
        <stp/>
        <stp>f7400ea5-60da-4d6d-8478-8b5b8403bbee</stp>
        <tr r="BY10" s="1"/>
      </tp>
      <tp t="s">
        <v xml:space="preserve">              Manual Calculation              </v>
        <stp/>
        <stp>d85c5121-97ae-4545-a968-70786d95dceb</stp>
        <tr r="BV104" s="1"/>
      </tp>
      <tp t="s">
        <v xml:space="preserve">              Manual Calculation              </v>
        <stp/>
        <stp>9be607ab-30e0-4b93-9dbb-461585771018</stp>
        <tr r="BN10" s="1"/>
      </tp>
      <tp t="s">
        <v xml:space="preserve">              Manual Calculation              </v>
        <stp/>
        <stp>c40ad9ad-6c2f-4b64-b220-a0d89971707a</stp>
        <tr r="BU10" s="1"/>
      </tp>
      <tp t="s">
        <v>N/A</v>
        <stp/>
        <stp>62c70219-e833-4676-9f46-1f37b4d151d0</stp>
        <tr r="BM22" s="1"/>
      </tp>
      <tp t="s">
        <v xml:space="preserve">             Manual Calculation             </v>
        <stp/>
        <stp>5a95f8af-4120-4e41-a10c-c5dd9d86f9e7</stp>
        <tr r="AY10" s="1"/>
      </tp>
      <tp t="s">
        <v>Manual Calculation</v>
        <stp/>
        <stp>47a2ab2e-2776-4a9d-ba3f-321a846e3242</stp>
        <tr r="BV22" s="1"/>
      </tp>
      <tp t="s">
        <v xml:space="preserve">               $       0.53               </v>
        <stp/>
        <stp>054ea57b-27b7-461b-a235-a5ee5a4d63f7</stp>
        <tr r="CA104" s="1"/>
      </tp>
      <tp>
        <v>0.36</v>
        <stp/>
        <stp>22190844-a86c-4140-9e04-0cb0f535a9a4</stp>
        <tr r="BE22" s="1"/>
      </tp>
      <tp>
        <v>1545</v>
        <stp/>
        <stp>52ce38ac-84fe-48f7-ad5f-36405bf73a6e</stp>
        <tr r="BG10" s="1"/>
      </tp>
      <tp>
        <v>0.33</v>
        <stp/>
        <stp>6c81b347-d1cb-425b-b0b5-2d730c01a5ee</stp>
        <tr r="AZ22" s="1"/>
      </tp>
      <tp t="s">
        <v xml:space="preserve">               $      0.04               </v>
        <stp/>
        <stp>f34916f4-b710-4e3c-869d-b320f0d2a8d0</stp>
        <tr r="AP104" s="1"/>
      </tp>
      <tp t="s">
        <v>Manual Calculation</v>
        <stp/>
        <stp>ff316545-fe7d-4dae-8504-4a41fe392bc2</stp>
        <tr r="AO22" s="1"/>
      </tp>
      <tp t="s">
        <v>Manual Calculation</v>
        <stp/>
        <stp>c7b3d510-cde6-410f-85cf-ce6ff24a35bc</stp>
        <tr r="BS22" s="1"/>
      </tp>
      <tp>
        <v>1156</v>
        <stp/>
        <stp>3eca47d9-bd49-4b79-b0b8-5c9a583b06f2</stp>
        <tr r="BA10" s="1"/>
      </tp>
      <tp t="s">
        <v xml:space="preserve">             Manual Calculation             </v>
        <stp/>
        <stp>94b0e910-3dbe-4c0d-a707-6ba1679ad9be</stp>
        <tr r="AK10" s="1"/>
      </tp>
      <tp t="s">
        <v xml:space="preserve">               $     (0.02)              </v>
        <stp/>
        <stp>1d8a266d-a5b1-4926-99e7-551c050c6f1e</stp>
        <tr r="AY104" s="1"/>
      </tp>
      <tp t="s">
        <v xml:space="preserve">              Manual Calculation              </v>
        <stp/>
        <stp>5dd0f8e0-2a9a-416e-82fb-f9d92eb6378d</stp>
        <tr r="BV10" s="1"/>
      </tp>
      <tp t="s">
        <v xml:space="preserve">              Manual Calculation              </v>
        <stp/>
        <stp>415fb27e-6dee-4166-952c-dc1becacf667</stp>
        <tr r="BS10" s="1"/>
      </tp>
      <tp>
        <v>0.34</v>
        <stp/>
        <stp>b6b9a454-265e-4e43-9910-a283bfef9af9</stp>
        <tr r="BB22" s="1"/>
      </tp>
      <tp t="s">
        <v xml:space="preserve">             Manual Calculation             </v>
        <stp/>
        <stp>067a5617-9fb1-4b48-b524-b0120a4b3e95</stp>
        <tr r="AP10" s="1"/>
      </tp>
      <tp>
        <v>1507</v>
        <stp/>
        <stp>e2ea3318-bab8-4c36-b650-4a9486ed107c</stp>
        <tr r="BB10" s="1"/>
      </tp>
      <tp t="s">
        <v>Manual Calculation</v>
        <stp/>
        <stp>6401de02-da0e-4544-a7c6-c4a0ef4c3704</stp>
        <tr r="AP22" s="1"/>
      </tp>
      <tp t="s">
        <v>Manual Calculation</v>
        <stp/>
        <stp>52a53bdc-73c6-4ab8-9012-b33ae560a0ba</stp>
        <tr r="BW22" s="1"/>
      </tp>
      <tp t="s">
        <v xml:space="preserve">               $      0.09               </v>
        <stp/>
        <stp>4ee1e505-626c-4597-a8de-4963acd1f618</stp>
        <tr r="BE104" s="1"/>
      </tp>
      <tp>
        <v>5927</v>
        <stp/>
        <stp>4f052f7e-b331-407f-bf3c-0e4b08197353</stp>
        <tr r="BZ10" s="1"/>
      </tp>
      <tp t="s">
        <v xml:space="preserve">               $     (0.04)              </v>
        <stp/>
        <stp>06b87b10-f90c-44cb-9483-7a04efc6b68d</stp>
        <tr r="AZ104" s="1"/>
      </tp>
      <tp t="s">
        <v>Manual Calculation</v>
        <stp/>
        <stp>67036ede-95e2-4386-8a97-87b5e22cd815</stp>
        <tr r="AN22" s="1"/>
      </tp>
      <tp t="s">
        <v xml:space="preserve">               $      0.01               </v>
        <stp/>
        <stp>71587afe-1bff-4a40-b685-fa658580ed1b</stp>
        <tr r="AQ104" s="1"/>
      </tp>
      <tp t="s">
        <v xml:space="preserve">               $     (0.05)              </v>
        <stp/>
        <stp>b01d0c18-23da-442e-ad98-7a9d4174f7d6</stp>
        <tr r="AR104" s="1"/>
      </tp>
      <tp>
        <v>6422.3</v>
        <stp/>
        <stp>c927e201-3360-467d-b25e-8ec6e4bbebb5</stp>
        <tr r="CA10" s="1"/>
      </tp>
      <tp t="s">
        <v>Manual Calculation</v>
        <stp/>
        <stp>1d3ecd5c-046f-4455-93aa-3b1dce5bf9a9</stp>
        <tr r="BR22" s="1"/>
      </tp>
      <tp t="s">
        <v xml:space="preserve">              Manual Calculation              </v>
        <stp/>
        <stp>d9e3bfd0-a92c-4232-81ef-25fafd613b52</stp>
        <tr r="BX104" s="1"/>
      </tp>
      <tp>
        <v>1836</v>
        <stp/>
        <stp>c00f24f9-aa59-4a56-b488-365ececfdc2a</stp>
        <tr r="BJ10" s="1"/>
      </tp>
      <tp>
        <v>0.36499999999999999</v>
        <stp/>
        <stp>038b7338-6498-4a33-9586-9f8566b6b689</stp>
        <tr r="BZ22" s="1"/>
      </tp>
      <tp>
        <v>0.377</v>
        <stp/>
        <stp>c3fa87de-9735-4ae7-aee4-29704474c935</stp>
        <tr r="BG22" s="1"/>
      </tp>
      <tp t="s">
        <v xml:space="preserve">               N/A               </v>
        <stp/>
        <stp>a8c3339e-1cb6-482d-bdea-de05961fd3bc</stp>
        <tr r="BK10" s="1"/>
      </tp>
      <tp t="s">
        <v xml:space="preserve">              Manual Calculation              </v>
        <stp/>
        <stp>f2ccc120-04e1-418e-a671-c222d906d606</stp>
        <tr r="BW104" s="1"/>
      </tp>
      <tp>
        <v>0.39200000000000002</v>
        <stp/>
        <stp>913e7710-a92c-4ff9-8502-870dd61ab3b2</stp>
        <tr r="BK22" s="1"/>
      </tp>
      <tp t="s">
        <v xml:space="preserve">              Manual Calculation              </v>
        <stp/>
        <stp>f4ae468f-155e-4fa6-8ca2-c55ef50dc87f</stp>
        <tr r="BP10" s="1"/>
      </tp>
      <tp t="s">
        <v xml:space="preserve">               $     (0.10)              </v>
        <stp/>
        <stp>5f77fc7c-62cb-4021-a87c-0943a1317adb</stp>
        <tr r="AU104" s="1"/>
      </tp>
      <tp t="s">
        <v xml:space="preserve">             Manual Calculation             </v>
        <stp/>
        <stp>3216da61-bbe4-4d19-8841-d0a6ec4ec30c</stp>
        <tr r="AX10" s="1"/>
      </tp>
      <tp t="s">
        <v xml:space="preserve">             Manual Calculation             </v>
        <stp/>
        <stp>0edebb71-f8c8-4525-997a-915ee8575659</stp>
        <tr r="AI10" s="1"/>
      </tp>
      <tp t="s">
        <v xml:space="preserve">               $      0.00               </v>
        <stp/>
        <stp>7973cb8b-57da-48f8-a149-d8cab1a1b6ed</stp>
        <tr r="AX104" s="1"/>
      </tp>
      <tp t="s">
        <v xml:space="preserve">               $      0.02               </v>
        <stp/>
        <stp>4239aae5-8b0c-4511-8f3b-199a39116744</stp>
        <tr r="AL104" s="1"/>
      </tp>
      <tp t="s">
        <v xml:space="preserve">               $      0.14               </v>
        <stp/>
        <stp>55040b6b-2d62-432e-a185-ef1a438bf3fd</stp>
        <tr r="BF104" s="1"/>
      </tp>
      <tp t="s">
        <v>Manual Calculation</v>
        <stp/>
        <stp>a95eb6ef-7562-4223-a238-9057eaf236fe</stp>
        <tr r="CB22" s="1"/>
      </tp>
      <tp t="s">
        <v>Manual Calculation</v>
        <stp/>
        <stp>774280e6-9a63-47a6-9055-0a06a468e71b</stp>
        <tr r="AU22" s="1"/>
      </tp>
      <tp t="s">
        <v xml:space="preserve">              Manual Calculation              </v>
        <stp/>
        <stp>ae0d79fa-777a-44b5-8d1c-10c38fdaaf2a</stp>
        <tr r="BQ10" s="1"/>
      </tp>
      <tp>
        <v>0.33</v>
        <stp/>
        <stp>71afc0dd-6b7b-476d-aee5-4717559d0d05</stp>
        <tr r="BD22" s="1"/>
      </tp>
      <tp>
        <v>1571</v>
        <stp/>
        <stp>0f196ced-7894-4027-ac14-e42fb167ca21</stp>
        <tr r="BI10" s="1"/>
      </tp>
      <tp t="s">
        <v>Manual Calculation</v>
        <stp/>
        <stp>e9379ce8-d08b-4368-a60e-96dbf28d6bc0</stp>
        <tr r="AW22" s="1"/>
      </tp>
      <tp t="s">
        <v>Manual Calculation</v>
        <stp/>
        <stp>cf59467f-4f41-4207-be50-3f066f67974a</stp>
        <tr r="BP22" s="1"/>
      </tp>
      <tp t="s">
        <v xml:space="preserve">             Manual Calculation             </v>
        <stp/>
        <stp>07e60421-dd1e-4e7e-b059-cc1d2f6aecc1</stp>
        <tr r="AV10" s="1"/>
      </tp>
      <tp>
        <v>1402</v>
        <stp/>
        <stp>5c5e4a32-5110-40d1-bd12-333dac5a15a7</stp>
        <tr r="BC10" s="1"/>
      </tp>
      <tp t="s">
        <v xml:space="preserve">               $     (0.13)              </v>
        <stp/>
        <stp>83660978-aee1-455f-a672-ded52466c99d</stp>
        <tr r="AV104" s="1"/>
      </tp>
      <tp t="s">
        <v xml:space="preserve">               $      0.12               </v>
        <stp/>
        <stp>45ac6057-ab0e-4d04-8423-1a67de95a5ca</stp>
        <tr r="BI104" s="1"/>
      </tp>
      <tp t="s">
        <v>Manual Calculation</v>
        <stp/>
        <stp>c96e436b-6652-4da4-9f20-8291dc03284e</stp>
        <tr r="BX22" s="1"/>
      </tp>
      <tp t="s">
        <v xml:space="preserve">              Manual Calculation              </v>
        <stp/>
        <stp>02e219b1-44f9-4d05-b0f1-6fe418436f1d</stp>
        <tr r="BO10" s="1"/>
      </tp>
      <tp>
        <v>0.34299999999999997</v>
        <stp/>
        <stp>15e853e2-f810-47ad-9caf-f69c26dd6111</stp>
        <tr r="BY22" s="1"/>
      </tp>
      <tp>
        <v>0.36700000000000005</v>
        <stp/>
        <stp>5233b428-6e10-4ab6-8011-8682b1ea6d3c</stp>
        <tr r="BF22" s="1"/>
      </tp>
      <tp t="s">
        <v xml:space="preserve">             Manual Calculation             </v>
        <stp/>
        <stp>c4b46e22-6979-40ef-accd-c786527f72cd</stp>
        <tr r="AQ10" s="1"/>
      </tp>
      <tp>
        <v>0.38500000000000001</v>
        <stp/>
        <stp>283faf0b-253f-4c25-8eec-79469c7f931a</stp>
        <tr r="BJ22" s="1"/>
      </tp>
      <tp t="s">
        <v>Manual Calculation</v>
        <stp/>
        <stp>e012d404-1c41-4456-95d7-db47367b0f36</stp>
        <tr r="BQ22" s="1"/>
      </tp>
      <tp>
        <v>0.37799999999999995</v>
        <stp/>
        <stp>e7f1a666-c406-40ac-a6b9-81e340f55753</stp>
        <tr r="BH22" s="1"/>
      </tp>
      <tp t="s">
        <v xml:space="preserve">               $      0.14               </v>
        <stp/>
        <stp>57d98b8b-659b-4e2e-b5d9-5f95e01fea5d</stp>
        <tr r="BK104" s="1"/>
      </tp>
      <tp>
        <v>1427</v>
        <stp/>
        <stp>18fe7190-f8dc-4b4a-8e13-f90f02f3ca94</stp>
        <tr r="BE10" s="1"/>
      </tp>
      <tp t="s">
        <v xml:space="preserve">               $       0.13               </v>
        <stp/>
        <stp>2086bb3f-df4e-42e9-b68c-11e335095fc5</stp>
        <tr r="BY104" s="1"/>
      </tp>
      <tp t="s">
        <v xml:space="preserve">              Manual Calculation              </v>
        <stp/>
        <stp>bc0c717c-dccb-4679-8b18-f9c5ea097327</stp>
        <tr r="BM10" s="1"/>
      </tp>
      <tp t="s">
        <v xml:space="preserve">              Manual Calculation              </v>
        <stp/>
        <stp>16ec8d61-919c-4610-9d92-021c86d300ec</stp>
        <tr r="BW10" s="1"/>
      </tp>
      <tp t="s">
        <v>Manual Calculation</v>
        <stp/>
        <stp>effba30d-399d-49ea-b9f5-5e7cf3617a48</stp>
        <tr r="BN22" s="1"/>
      </tp>
      <tp t="s">
        <v xml:space="preserve">               $     (0.08)              </v>
        <stp/>
        <stp>e4a9805b-e017-4e2c-8f08-606552a71fdc</stp>
        <tr r="AW104" s="1"/>
      </tp>
      <tp t="s">
        <v xml:space="preserve">               $      0.06               </v>
        <stp/>
        <stp>06d3621a-25ad-4f47-b93c-77edf28a0a38</stp>
        <tr r="AM104" s="1"/>
      </tp>
      <tp t="s">
        <v xml:space="preserve">             Manual Calculation             </v>
        <stp/>
        <stp>90b5aff8-a371-467f-a39a-fcbdee127876</stp>
        <tr r="AJ10" s="1"/>
      </tp>
      <tp t="s">
        <v xml:space="preserve">               $     (0.12)              </v>
        <stp/>
        <stp>725acb09-8572-4a62-a874-b59e99d127be</stp>
        <tr r="AT104" s="1"/>
      </tp>
      <tp t="s">
        <v xml:space="preserve">             Manual Calculation             </v>
        <stp/>
        <stp>6cb0caf2-b9a1-4e7f-afb1-e8fc73885867</stp>
        <tr r="AH10" s="1"/>
      </tp>
      <tp t="s">
        <v xml:space="preserve">               $      0.10               </v>
        <stp/>
        <stp>5cca6190-8be1-414f-92c5-854ac8aa7527</stp>
        <tr r="BG104" s="1"/>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externalLinks/externalLink1.xml" Type="http://schemas.openxmlformats.org/officeDocument/2006/relationships/externalLink"/>
<Relationship Id="rId12" Target="externalLinks/externalLink2.xml" Type="http://schemas.openxmlformats.org/officeDocument/2006/relationships/externalLink"/>
<Relationship Id="rId13" Target="theme/theme1.xml" Type="http://schemas.openxmlformats.org/officeDocument/2006/relationships/theme"/>
<Relationship Id="rId14" Target="styles.xml" Type="http://schemas.openxmlformats.org/officeDocument/2006/relationships/styles"/>
<Relationship Id="rId15" Target="sharedStrings.xml" Type="http://schemas.openxmlformats.org/officeDocument/2006/relationships/sharedStrings"/>
<Relationship Id="rId16" Target="calcChain.xml" Type="http://schemas.openxmlformats.org/officeDocument/2006/relationships/calcChain"/>
<Relationship Id="rId17" Target="../customXml/item1.xml" Type="http://schemas.openxmlformats.org/officeDocument/2006/relationships/customXml"/>
<Relationship Id="rId18" Target="../customXml/item2.xml" Type="http://schemas.openxmlformats.org/officeDocument/2006/relationships/customXml"/>
<Relationship Id="rId19" Target="volatileDependencies.xml" Type="http://schemas.openxmlformats.org/officeDocument/2006/relationships/volatileDependencies"/>
<Relationship Id="rId2" Target="worksheets/sheet2.xml" Type="http://schemas.openxmlformats.org/officeDocument/2006/relationships/worksheet"/>
<Relationship Id="rId20"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v>#REF!</c:v>
          </c:tx>
          <c:spPr>
            <a:solidFill>
              <a:srgbClr val="137CB1"/>
            </a:solidFill>
            <a:ln w="25400">
              <a:noFill/>
            </a:ln>
          </c:spPr>
          <c:invertIfNegative val="0"/>
          <c:cat>
            <c:numLit>
              <c:formatCode>General</c:formatCode>
              <c:ptCount val="1"/>
              <c:pt idx="0">
                <c:v>1</c:v>
              </c:pt>
            </c:numLit>
          </c:cat>
          <c:val>
            <c:numLit>
              <c:formatCode>General</c:formatCode>
              <c:ptCount val="1"/>
              <c:pt idx="0">
                <c:v>1</c:v>
              </c:pt>
            </c:numLit>
          </c:val>
        </c:ser>
        <c:ser>
          <c:idx val="1"/>
          <c:order val="1"/>
          <c:tx>
            <c:v>#REF!</c:v>
          </c:tx>
          <c:spPr>
            <a:solidFill>
              <a:srgbClr val="EACC80"/>
            </a:solidFill>
            <a:ln w="25400">
              <a:noFill/>
            </a:ln>
          </c:spPr>
          <c:invertIfNegative val="0"/>
          <c:cat>
            <c:numLit>
              <c:formatCode>General</c:formatCode>
              <c:ptCount val="1"/>
              <c:pt idx="0">
                <c:v>1</c:v>
              </c:pt>
            </c:numLit>
          </c:cat>
          <c:val>
            <c:numLit>
              <c:formatCode>General</c:formatCode>
              <c:ptCount val="1"/>
              <c:pt idx="0">
                <c:v>1</c:v>
              </c:pt>
            </c:numLit>
          </c:val>
        </c:ser>
        <c:ser>
          <c:idx val="2"/>
          <c:order val="2"/>
          <c:tx>
            <c:v>#REF!</c:v>
          </c:tx>
          <c:spPr>
            <a:solidFill>
              <a:srgbClr val="4AAC6B"/>
            </a:solidFill>
            <a:ln w="25400">
              <a:noFill/>
            </a:ln>
          </c:spPr>
          <c:invertIfNegative val="0"/>
          <c:cat>
            <c:numLit>
              <c:formatCode>General</c:formatCode>
              <c:ptCount val="1"/>
              <c:pt idx="0">
                <c:v>1</c:v>
              </c:pt>
            </c:numLit>
          </c:cat>
          <c:val>
            <c:numLit>
              <c:formatCode>General</c:formatCode>
              <c:ptCount val="1"/>
              <c:pt idx="0">
                <c:v>1</c:v>
              </c:pt>
            </c:numLit>
          </c:val>
        </c:ser>
        <c:ser>
          <c:idx val="3"/>
          <c:order val="3"/>
          <c:tx>
            <c:v>#REF!</c:v>
          </c:tx>
          <c:spPr>
            <a:solidFill>
              <a:srgbClr val="A8D7E2"/>
            </a:solidFill>
            <a:ln w="25400">
              <a:noFill/>
            </a:ln>
          </c:spPr>
          <c:invertIfNegative val="0"/>
          <c:cat>
            <c:numLit>
              <c:formatCode>General</c:formatCode>
              <c:ptCount val="1"/>
              <c:pt idx="0">
                <c:v>1</c:v>
              </c:pt>
            </c:numLit>
          </c:cat>
          <c:val>
            <c:numLit>
              <c:formatCode>General</c:formatCode>
              <c:ptCount val="1"/>
              <c:pt idx="0">
                <c:v>1</c:v>
              </c:pt>
            </c:numLit>
          </c:val>
        </c:ser>
        <c:ser>
          <c:idx val="4"/>
          <c:order val="4"/>
          <c:tx>
            <c:v>#REF!</c:v>
          </c:tx>
          <c:spPr>
            <a:solidFill>
              <a:srgbClr val="E58061"/>
            </a:solidFill>
            <a:ln w="25400">
              <a:noFill/>
            </a:ln>
          </c:spPr>
          <c:invertIfNegative val="0"/>
          <c:cat>
            <c:numLit>
              <c:formatCode>General</c:formatCode>
              <c:ptCount val="1"/>
              <c:pt idx="0">
                <c:v>1</c:v>
              </c:pt>
            </c:numLit>
          </c:cat>
          <c:val>
            <c:numLit>
              <c:formatCode>General</c:formatCode>
              <c:ptCount val="1"/>
              <c:pt idx="0">
                <c:v>1</c:v>
              </c:pt>
            </c:numLit>
          </c:val>
        </c:ser>
        <c:dLbls>
          <c:showLegendKey val="0"/>
          <c:showVal val="0"/>
          <c:showCatName val="0"/>
          <c:showSerName val="0"/>
          <c:showPercent val="0"/>
          <c:showBubbleSize val="0"/>
        </c:dLbls>
        <c:gapWidth val="150"/>
        <c:overlap val="100"/>
        <c:axId val="133869952"/>
        <c:axId val="133871872"/>
      </c:barChart>
      <c:catAx>
        <c:axId val="133869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200" b="1" i="0" u="none" strike="noStrike" baseline="0">
                <a:solidFill>
                  <a:srgbClr val="000000"/>
                </a:solidFill>
                <a:latin typeface="Arial"/>
                <a:ea typeface="Arial"/>
                <a:cs typeface="Arial"/>
              </a:defRPr>
            </a:pPr>
            <a:endParaRPr lang="en-US"/>
          </a:p>
        </c:txPr>
        <c:crossAx val="133871872"/>
        <c:crosses val="autoZero"/>
        <c:auto val="1"/>
        <c:lblAlgn val="ctr"/>
        <c:lblOffset val="100"/>
        <c:tickLblSkip val="1"/>
        <c:tickMarkSkip val="1"/>
        <c:noMultiLvlLbl val="0"/>
      </c:catAx>
      <c:valAx>
        <c:axId val="133871872"/>
        <c:scaling>
          <c:orientation val="minMax"/>
        </c:scaling>
        <c:delete val="0"/>
        <c:axPos val="l"/>
        <c:majorGridlines>
          <c:spPr>
            <a:ln w="3175">
              <a:solidFill>
                <a:srgbClr val="FFFFFF"/>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200" b="1" i="0" u="none" strike="noStrike" baseline="0">
                <a:solidFill>
                  <a:srgbClr val="000000"/>
                </a:solidFill>
                <a:latin typeface="Arial"/>
                <a:ea typeface="Arial"/>
                <a:cs typeface="Arial"/>
              </a:defRPr>
            </a:pPr>
            <a:endParaRPr lang="en-US"/>
          </a:p>
        </c:txPr>
        <c:crossAx val="133869952"/>
        <c:crosses val="autoZero"/>
        <c:crossBetween val="between"/>
      </c:valAx>
      <c:spPr>
        <a:noFill/>
        <a:ln w="25400">
          <a:noFill/>
        </a:ln>
      </c:spPr>
    </c:plotArea>
    <c:legend>
      <c:legendPos val="r"/>
      <c:layout>
        <c:manualLayout>
          <c:xMode val="edge"/>
          <c:yMode val="edge"/>
          <c:x val="0.21739130434782608"/>
          <c:y val="0"/>
          <c:w val="0.62608695652173918"/>
          <c:h val="0"/>
        </c:manualLayout>
      </c:layout>
      <c:overlay val="0"/>
      <c:spPr>
        <a:solidFill>
          <a:srgbClr val="FFFFFF"/>
        </a:solidFill>
        <a:ln w="3175">
          <a:solidFill>
            <a:srgbClr val="000000"/>
          </a:solidFill>
          <a:prstDash val="solid"/>
        </a:ln>
      </c:spPr>
      <c:txPr>
        <a:bodyPr/>
        <a:lstStyle/>
        <a:p>
          <a:pPr>
            <a:defRPr sz="59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4.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5.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6.xml.rels><?xml version="1.0" encoding="UTF-8" standalone="yes"?>
<Relationships xmlns="http://schemas.openxmlformats.org/package/2006/relationships">
<Relationship Id="rId1" Target="../charts/chart1.xml" Type="http://schemas.openxmlformats.org/officeDocument/2006/relationships/chart"/>
<Relationship Id="rId2"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177</xdr:row>
      <xdr:rowOff>0</xdr:rowOff>
    </xdr:from>
    <xdr:to>
      <xdr:col>7</xdr:col>
      <xdr:colOff>390525</xdr:colOff>
      <xdr:row>200</xdr:row>
      <xdr:rowOff>104775</xdr:rowOff>
    </xdr:to>
    <xdr:pic>
      <xdr:nvPicPr>
        <xdr:cNvPr id="6885377" name="Picture 1" descr="C:\Users\vinayakr\AppData\Local\Temp\MercuryPriceRatingHistoryChart\AMD.O_2018_04_25_18_42_21.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2891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0</xdr:row>
      <xdr:rowOff>57150</xdr:rowOff>
    </xdr:from>
    <xdr:to>
      <xdr:col>1</xdr:col>
      <xdr:colOff>1813672</xdr:colOff>
      <xdr:row>0</xdr:row>
      <xdr:rowOff>771525</xdr:rowOff>
    </xdr:to>
    <xdr:pic>
      <xdr:nvPicPr>
        <xdr:cNvPr id="6510029" name="rrimg0" descr="AMD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7390" t="-22643" r="-18115" b="-18867"/>
        <a:stretch>
          <a:fillRect/>
        </a:stretch>
      </xdr:blipFill>
      <xdr:spPr bwMode="auto">
        <a:xfrm>
          <a:off x="152400" y="57150"/>
          <a:ext cx="1781175" cy="714375"/>
        </a:xfrm>
        <a:prstGeom prst="rect">
          <a:avLst/>
        </a:prstGeom>
        <a:solidFill>
          <a:srgbClr xmlns:mc="http://schemas.openxmlformats.org/markup-compatibility/2006" xmlns:a14="http://schemas.microsoft.com/office/drawing/2010/main" val="000000" mc:Ignorable="a14" a14:legacySpreadsheetColorIndex="8"/>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0</xdr:row>
      <xdr:rowOff>57150</xdr:rowOff>
    </xdr:from>
    <xdr:to>
      <xdr:col>1</xdr:col>
      <xdr:colOff>1819275</xdr:colOff>
      <xdr:row>0</xdr:row>
      <xdr:rowOff>771525</xdr:rowOff>
    </xdr:to>
    <xdr:pic>
      <xdr:nvPicPr>
        <xdr:cNvPr id="5844559" name="rrimg0" descr="AMD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7390" t="-22643" r="-18115" b="-18867"/>
        <a:stretch>
          <a:fillRect/>
        </a:stretch>
      </xdr:blipFill>
      <xdr:spPr bwMode="auto">
        <a:xfrm>
          <a:off x="152400" y="57150"/>
          <a:ext cx="1781175" cy="714375"/>
        </a:xfrm>
        <a:prstGeom prst="rect">
          <a:avLst/>
        </a:prstGeom>
        <a:solidFill>
          <a:srgbClr xmlns:mc="http://schemas.openxmlformats.org/markup-compatibility/2006" xmlns:a14="http://schemas.microsoft.com/office/drawing/2010/main" val="000000" mc:Ignorable="a14" a14:legacySpreadsheetColorIndex="8"/>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0</xdr:row>
      <xdr:rowOff>57150</xdr:rowOff>
    </xdr:from>
    <xdr:to>
      <xdr:col>1</xdr:col>
      <xdr:colOff>1819275</xdr:colOff>
      <xdr:row>0</xdr:row>
      <xdr:rowOff>771525</xdr:rowOff>
    </xdr:to>
    <xdr:pic>
      <xdr:nvPicPr>
        <xdr:cNvPr id="5878394" name="rrimg0" descr="AMD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7390" t="-22643" r="-18115" b="-18867"/>
        <a:stretch>
          <a:fillRect/>
        </a:stretch>
      </xdr:blipFill>
      <xdr:spPr bwMode="auto">
        <a:xfrm>
          <a:off x="152400" y="57150"/>
          <a:ext cx="1781175" cy="714375"/>
        </a:xfrm>
        <a:prstGeom prst="rect">
          <a:avLst/>
        </a:prstGeom>
        <a:solidFill>
          <a:srgbClr xmlns:mc="http://schemas.openxmlformats.org/markup-compatibility/2006" xmlns:a14="http://schemas.microsoft.com/office/drawing/2010/main" val="000000" mc:Ignorable="a14" a14:legacySpreadsheetColorIndex="8"/>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38100</xdr:colOff>
      <xdr:row>0</xdr:row>
      <xdr:rowOff>57150</xdr:rowOff>
    </xdr:from>
    <xdr:to>
      <xdr:col>1</xdr:col>
      <xdr:colOff>1819275</xdr:colOff>
      <xdr:row>0</xdr:row>
      <xdr:rowOff>771525</xdr:rowOff>
    </xdr:to>
    <xdr:pic>
      <xdr:nvPicPr>
        <xdr:cNvPr id="5594936" name="rrimg0" descr="AMD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7390" t="-22643" r="-18115" b="-18867"/>
        <a:stretch>
          <a:fillRect/>
        </a:stretch>
      </xdr:blipFill>
      <xdr:spPr bwMode="auto">
        <a:xfrm>
          <a:off x="152400" y="57150"/>
          <a:ext cx="1781175" cy="714375"/>
        </a:xfrm>
        <a:prstGeom prst="rect">
          <a:avLst/>
        </a:prstGeom>
        <a:solidFill>
          <a:srgbClr xmlns:mc="http://schemas.openxmlformats.org/markup-compatibility/2006" xmlns:a14="http://schemas.microsoft.com/office/drawing/2010/main" val="000000" mc:Ignorable="a14" a14:legacySpreadsheetColorIndex="8"/>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27</xdr:col>
      <xdr:colOff>0</xdr:colOff>
      <xdr:row>206</xdr:row>
      <xdr:rowOff>0</xdr:rowOff>
    </xdr:from>
    <xdr:to>
      <xdr:col>36</xdr:col>
      <xdr:colOff>333375</xdr:colOff>
      <xdr:row>206</xdr:row>
      <xdr:rowOff>0</xdr:rowOff>
    </xdr:to>
    <xdr:graphicFrame macro="">
      <xdr:nvGraphicFramePr>
        <xdr:cNvPr id="794041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38100</xdr:colOff>
      <xdr:row>0</xdr:row>
      <xdr:rowOff>57150</xdr:rowOff>
    </xdr:from>
    <xdr:to>
      <xdr:col>1</xdr:col>
      <xdr:colOff>1819275</xdr:colOff>
      <xdr:row>0</xdr:row>
      <xdr:rowOff>771525</xdr:rowOff>
    </xdr:to>
    <xdr:pic>
      <xdr:nvPicPr>
        <xdr:cNvPr id="7940420" name="rrimg0" descr="AMD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17390" t="-22643" r="-18115" b="-18867"/>
        <a:stretch>
          <a:fillRect/>
        </a:stretch>
      </xdr:blipFill>
      <xdr:spPr bwMode="auto">
        <a:xfrm>
          <a:off x="152400" y="57150"/>
          <a:ext cx="1781175" cy="714375"/>
        </a:xfrm>
        <a:prstGeom prst="rect">
          <a:avLst/>
        </a:prstGeom>
        <a:solidFill>
          <a:srgbClr xmlns:mc="http://schemas.openxmlformats.org/markup-compatibility/2006" xmlns:a14="http://schemas.microsoft.com/office/drawing/2010/main" val="000000" mc:Ignorable="a14" a14:legacySpreadsheetColorIndex="8"/>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Inputs"/>
      <sheetName val="Good 12-00 (2)"/>
      <sheetName val="Good 11-36"/>
      <sheetName val="Good 11-50"/>
      <sheetName val="Sheet3 (5)"/>
      <sheetName val="FX"/>
      <sheetName val="Summary"/>
      <sheetName val="Floater Demand"/>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Model"/>
      <sheetName val="Sheet4"/>
      <sheetName val="ForeignStake"/>
      <sheetName val="WP Detail "/>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 val="Charts"/>
      <sheetName val="Pension"/>
      <sheetName val="Walk"/>
      <sheetName val="Chart 6"/>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cenario"/>
      <sheetName val="Sheet1"/>
      <sheetName val="GWP"/>
      <sheetName val="ImportantDisclosures"/>
      <sheetName val="IndexInformation"/>
      <sheetName val="Income"/>
      <sheetName val="Euro vs. PM"/>
      <sheetName val="Ruble"/>
      <sheetName val="MS_IRI_Methodology"/>
      <sheetName val="MARKET_SHARE ($)_RAW_DATA"/>
      <sheetName val="NEXXUS_RAW_DATA"/>
      <sheetName val="HAIR_CARE_MARKET SHARE ROLL-UP"/>
      <sheetName val="TOTAL_ACV_DOLLAR_SALES"/>
      <sheetName val="Income Statement"/>
      <sheetName val="Margins"/>
      <sheetName val="Comps"/>
      <sheetName val="Switches"/>
      <sheetName val="TimeSeries"/>
      <sheetName val="Valuation Analyzer"/>
      <sheetName val="SSB Nielsen Sales"/>
      <sheetName val="EBITDA"/>
      <sheetName val="GWP-WLine"/>
      <sheetName val="TS_Stnd_Dev_Band"/>
      <sheetName val="Print "/>
      <sheetName val="Lookup"/>
      <sheetName val="Input"/>
      <sheetName val="99 cons YTD"/>
      <sheetName val="KPN"/>
      <sheetName val="Realizations vs Average"/>
      <sheetName val="summary"/>
      <sheetName val="B"/>
      <sheetName val="Ratios"/>
      <sheetName val="C"/>
      <sheetName val="rev change analysis"/>
      <sheetName val="Oil Consumption – barre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3.xml" Type="http://schemas.openxmlformats.org/officeDocument/2006/relationships/drawing"/>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4.xml" Type="http://schemas.openxmlformats.org/officeDocument/2006/relationships/drawing"/>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5.xml" Type="http://schemas.openxmlformats.org/officeDocument/2006/relationships/drawing"/>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drawing6.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2"/>
  <sheetViews>
    <sheetView workbookViewId="0"/>
  </sheetViews>
  <sheetFormatPr defaultRowHeight="12.75"/>
  <sheetData>
    <row r="1" spans="1:2">
      <c r="A1" s="338"/>
      <c r="B1" t="s">
        <v>170</v>
      </c>
    </row>
    <row r="2" spans="1:2"/>
  </sheetData>
  <phoneticPr fontId="31"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94"/>
  <sheetViews>
    <sheetView showGridLines="0" tabSelected="1" workbookViewId="0">
      <selection activeCell="Z1" sqref="Z1"/>
    </sheetView>
  </sheetViews>
  <sheetFormatPr defaultRowHeight="12.75"/>
  <cols>
    <col min="1" max="1" width="25.7109375" style="2229" customWidth="1"/>
    <col min="2" max="5" width="9.140625" style="2229"/>
    <col min="6" max="6" width="18.7109375" style="2229" customWidth="1"/>
    <col min="7" max="256" width="9.140625" style="2229"/>
    <col min="257" max="257" width="100.7109375" style="2229" customWidth="1"/>
    <col min="258" max="512" width="9.140625" style="2229"/>
    <col min="513" max="513" width="100.7109375" style="2229" customWidth="1"/>
    <col min="514" max="768" width="9.140625" style="2229"/>
    <col min="769" max="769" width="100.7109375" style="2229" customWidth="1"/>
    <col min="770" max="1024" width="9.140625" style="2229"/>
    <col min="1025" max="1025" width="100.7109375" style="2229" customWidth="1"/>
    <col min="1026" max="1280" width="9.140625" style="2229"/>
    <col min="1281" max="1281" width="100.7109375" style="2229" customWidth="1"/>
    <col min="1282" max="1536" width="9.140625" style="2229"/>
    <col min="1537" max="1537" width="100.7109375" style="2229" customWidth="1"/>
    <col min="1538" max="1792" width="9.140625" style="2229"/>
    <col min="1793" max="1793" width="100.7109375" style="2229" customWidth="1"/>
    <col min="1794" max="2048" width="9.140625" style="2229"/>
    <col min="2049" max="2049" width="100.7109375" style="2229" customWidth="1"/>
    <col min="2050" max="2304" width="9.140625" style="2229"/>
    <col min="2305" max="2305" width="100.7109375" style="2229" customWidth="1"/>
    <col min="2306" max="2560" width="9.140625" style="2229"/>
    <col min="2561" max="2561" width="100.7109375" style="2229" customWidth="1"/>
    <col min="2562" max="2816" width="9.140625" style="2229"/>
    <col min="2817" max="2817" width="100.7109375" style="2229" customWidth="1"/>
    <col min="2818" max="3072" width="9.140625" style="2229"/>
    <col min="3073" max="3073" width="100.7109375" style="2229" customWidth="1"/>
    <col min="3074" max="3328" width="9.140625" style="2229"/>
    <col min="3329" max="3329" width="100.7109375" style="2229" customWidth="1"/>
    <col min="3330" max="3584" width="9.140625" style="2229"/>
    <col min="3585" max="3585" width="100.7109375" style="2229" customWidth="1"/>
    <col min="3586" max="3840" width="9.140625" style="2229"/>
    <col min="3841" max="3841" width="100.7109375" style="2229" customWidth="1"/>
    <col min="3842" max="4096" width="9.140625" style="2229"/>
    <col min="4097" max="4097" width="100.7109375" style="2229" customWidth="1"/>
    <col min="4098" max="4352" width="9.140625" style="2229"/>
    <col min="4353" max="4353" width="100.7109375" style="2229" customWidth="1"/>
    <col min="4354" max="4608" width="9.140625" style="2229"/>
    <col min="4609" max="4609" width="100.7109375" style="2229" customWidth="1"/>
    <col min="4610" max="4864" width="9.140625" style="2229"/>
    <col min="4865" max="4865" width="100.7109375" style="2229" customWidth="1"/>
    <col min="4866" max="5120" width="9.140625" style="2229"/>
    <col min="5121" max="5121" width="100.7109375" style="2229" customWidth="1"/>
    <col min="5122" max="5376" width="9.140625" style="2229"/>
    <col min="5377" max="5377" width="100.7109375" style="2229" customWidth="1"/>
    <col min="5378" max="5632" width="9.140625" style="2229"/>
    <col min="5633" max="5633" width="100.7109375" style="2229" customWidth="1"/>
    <col min="5634" max="5888" width="9.140625" style="2229"/>
    <col min="5889" max="5889" width="100.7109375" style="2229" customWidth="1"/>
    <col min="5890" max="6144" width="9.140625" style="2229"/>
    <col min="6145" max="6145" width="100.7109375" style="2229" customWidth="1"/>
    <col min="6146" max="6400" width="9.140625" style="2229"/>
    <col min="6401" max="6401" width="100.7109375" style="2229" customWidth="1"/>
    <col min="6402" max="6656" width="9.140625" style="2229"/>
    <col min="6657" max="6657" width="100.7109375" style="2229" customWidth="1"/>
    <col min="6658" max="6912" width="9.140625" style="2229"/>
    <col min="6913" max="6913" width="100.7109375" style="2229" customWidth="1"/>
    <col min="6914" max="7168" width="9.140625" style="2229"/>
    <col min="7169" max="7169" width="100.7109375" style="2229" customWidth="1"/>
    <col min="7170" max="7424" width="9.140625" style="2229"/>
    <col min="7425" max="7425" width="100.7109375" style="2229" customWidth="1"/>
    <col min="7426" max="7680" width="9.140625" style="2229"/>
    <col min="7681" max="7681" width="100.7109375" style="2229" customWidth="1"/>
    <col min="7682" max="7936" width="9.140625" style="2229"/>
    <col min="7937" max="7937" width="100.7109375" style="2229" customWidth="1"/>
    <col min="7938" max="8192" width="9.140625" style="2229"/>
    <col min="8193" max="8193" width="100.7109375" style="2229" customWidth="1"/>
    <col min="8194" max="8448" width="9.140625" style="2229"/>
    <col min="8449" max="8449" width="100.7109375" style="2229" customWidth="1"/>
    <col min="8450" max="8704" width="9.140625" style="2229"/>
    <col min="8705" max="8705" width="100.7109375" style="2229" customWidth="1"/>
    <col min="8706" max="8960" width="9.140625" style="2229"/>
    <col min="8961" max="8961" width="100.7109375" style="2229" customWidth="1"/>
    <col min="8962" max="9216" width="9.140625" style="2229"/>
    <col min="9217" max="9217" width="100.7109375" style="2229" customWidth="1"/>
    <col min="9218" max="9472" width="9.140625" style="2229"/>
    <col min="9473" max="9473" width="100.7109375" style="2229" customWidth="1"/>
    <col min="9474" max="9728" width="9.140625" style="2229"/>
    <col min="9729" max="9729" width="100.7109375" style="2229" customWidth="1"/>
    <col min="9730" max="9984" width="9.140625" style="2229"/>
    <col min="9985" max="9985" width="100.7109375" style="2229" customWidth="1"/>
    <col min="9986" max="10240" width="9.140625" style="2229"/>
    <col min="10241" max="10241" width="100.7109375" style="2229" customWidth="1"/>
    <col min="10242" max="10496" width="9.140625" style="2229"/>
    <col min="10497" max="10497" width="100.7109375" style="2229" customWidth="1"/>
    <col min="10498" max="10752" width="9.140625" style="2229"/>
    <col min="10753" max="10753" width="100.7109375" style="2229" customWidth="1"/>
    <col min="10754" max="11008" width="9.140625" style="2229"/>
    <col min="11009" max="11009" width="100.7109375" style="2229" customWidth="1"/>
    <col min="11010" max="11264" width="9.140625" style="2229"/>
    <col min="11265" max="11265" width="100.7109375" style="2229" customWidth="1"/>
    <col min="11266" max="11520" width="9.140625" style="2229"/>
    <col min="11521" max="11521" width="100.7109375" style="2229" customWidth="1"/>
    <col min="11522" max="11776" width="9.140625" style="2229"/>
    <col min="11777" max="11777" width="100.7109375" style="2229" customWidth="1"/>
    <col min="11778" max="12032" width="9.140625" style="2229"/>
    <col min="12033" max="12033" width="100.7109375" style="2229" customWidth="1"/>
    <col min="12034" max="12288" width="9.140625" style="2229"/>
    <col min="12289" max="12289" width="100.7109375" style="2229" customWidth="1"/>
    <col min="12290" max="12544" width="9.140625" style="2229"/>
    <col min="12545" max="12545" width="100.7109375" style="2229" customWidth="1"/>
    <col min="12546" max="12800" width="9.140625" style="2229"/>
    <col min="12801" max="12801" width="100.7109375" style="2229" customWidth="1"/>
    <col min="12802" max="13056" width="9.140625" style="2229"/>
    <col min="13057" max="13057" width="100.7109375" style="2229" customWidth="1"/>
    <col min="13058" max="13312" width="9.140625" style="2229"/>
    <col min="13313" max="13313" width="100.7109375" style="2229" customWidth="1"/>
    <col min="13314" max="13568" width="9.140625" style="2229"/>
    <col min="13569" max="13569" width="100.7109375" style="2229" customWidth="1"/>
    <col min="13570" max="13824" width="9.140625" style="2229"/>
    <col min="13825" max="13825" width="100.7109375" style="2229" customWidth="1"/>
    <col min="13826" max="14080" width="9.140625" style="2229"/>
    <col min="14081" max="14081" width="100.7109375" style="2229" customWidth="1"/>
    <col min="14082" max="14336" width="9.140625" style="2229"/>
    <col min="14337" max="14337" width="100.7109375" style="2229" customWidth="1"/>
    <col min="14338" max="14592" width="9.140625" style="2229"/>
    <col min="14593" max="14593" width="100.7109375" style="2229" customWidth="1"/>
    <col min="14594" max="14848" width="9.140625" style="2229"/>
    <col min="14849" max="14849" width="100.7109375" style="2229" customWidth="1"/>
    <col min="14850" max="15104" width="9.140625" style="2229"/>
    <col min="15105" max="15105" width="100.7109375" style="2229" customWidth="1"/>
    <col min="15106" max="15360" width="9.140625" style="2229"/>
    <col min="15361" max="15361" width="100.7109375" style="2229" customWidth="1"/>
    <col min="15362" max="15616" width="9.140625" style="2229"/>
    <col min="15617" max="15617" width="100.7109375" style="2229" customWidth="1"/>
    <col min="15618" max="15872" width="9.140625" style="2229"/>
    <col min="15873" max="15873" width="100.7109375" style="2229" customWidth="1"/>
    <col min="15874" max="16128" width="9.140625" style="2229"/>
    <col min="16129" max="16129" width="100.7109375" style="2229" customWidth="1"/>
    <col min="16130" max="16384" width="9.140625" style="2229"/>
  </cols>
  <sheetData>
    <row r="1" spans="1:8" ht="30" customHeight="1">
      <c r="A1" s="2227"/>
      <c r="B1" s="2228"/>
      <c r="C1" s="2228"/>
      <c r="D1" s="2228"/>
      <c r="E1" s="2228"/>
      <c r="F1" s="2228"/>
      <c r="G1" s="2228"/>
      <c r="H1" s="2228"/>
    </row>
    <row r="2" spans="1:8" ht="14.25">
      <c r="A2" s="2230" t="s">
        <v>660</v>
      </c>
      <c r="B2" s="2228"/>
      <c r="C2" s="2228"/>
      <c r="D2" s="2228"/>
      <c r="E2" s="2228"/>
      <c r="F2" s="2228"/>
      <c r="G2" s="2228"/>
      <c r="H2" s="2228"/>
    </row>
    <row r="3" spans="1:8" ht="14.25">
      <c r="A3" s="2230" t="s">
        <v>661</v>
      </c>
      <c r="B3" s="2228"/>
      <c r="C3" s="2228"/>
      <c r="D3" s="2228"/>
      <c r="E3" s="2228"/>
      <c r="F3" s="2228"/>
      <c r="G3" s="2228"/>
      <c r="H3" s="2228"/>
    </row>
    <row r="4" spans="1:8" ht="14.25">
      <c r="A4" s="2230" t="s">
        <v>272</v>
      </c>
      <c r="B4" s="2228"/>
      <c r="C4" s="2228"/>
      <c r="D4" s="2228"/>
      <c r="E4" s="2228"/>
      <c r="F4" s="2228"/>
      <c r="G4" s="2228"/>
      <c r="H4" s="2228"/>
    </row>
    <row r="5" spans="1:8" ht="14.25">
      <c r="A5" s="2230" t="s">
        <v>662</v>
      </c>
      <c r="B5" s="2228"/>
      <c r="C5" s="2228"/>
      <c r="D5" s="2228"/>
      <c r="E5" s="2228"/>
      <c r="F5" s="2228"/>
      <c r="G5" s="2228"/>
      <c r="H5" s="2228"/>
    </row>
    <row r="6" spans="1:8" ht="14.25">
      <c r="A6" s="2230"/>
      <c r="B6" s="2228"/>
      <c r="C6" s="2228"/>
      <c r="D6" s="2228"/>
      <c r="E6" s="2228"/>
      <c r="F6" s="2228"/>
      <c r="G6" s="2228"/>
      <c r="H6" s="2228"/>
    </row>
    <row r="7" spans="1:8">
      <c r="A7" s="2227" t="s">
        <v>663</v>
      </c>
      <c r="B7" s="2228"/>
      <c r="C7" s="2228"/>
      <c r="D7" s="2228"/>
      <c r="E7" s="2228"/>
      <c r="F7" s="2228"/>
      <c r="G7" s="2228"/>
      <c r="H7" s="2228"/>
    </row>
    <row r="8" spans="1:8">
      <c r="A8" s="2227" t="s">
        <v>664</v>
      </c>
      <c r="B8" s="2228"/>
      <c r="C8" s="2228"/>
      <c r="D8" s="2228"/>
      <c r="E8" s="2228"/>
      <c r="F8" s="2228"/>
      <c r="G8" s="2228"/>
      <c r="H8" s="2228"/>
    </row>
    <row r="9" spans="1:8">
      <c r="A9" s="2227"/>
      <c r="B9" s="2228"/>
      <c r="C9" s="2228"/>
      <c r="D9" s="2228"/>
      <c r="E9" s="2228"/>
      <c r="F9" s="2228"/>
      <c r="G9" s="2228"/>
      <c r="H9" s="2228"/>
    </row>
    <row r="10" spans="1:8">
      <c r="A10" s="2231" t="s">
        <v>665</v>
      </c>
      <c r="B10" s="2228"/>
      <c r="C10" s="2228"/>
      <c r="D10" s="2228"/>
      <c r="E10" s="2228"/>
      <c r="F10" s="2228"/>
      <c r="G10" s="2228"/>
      <c r="H10" s="2228"/>
    </row>
    <row r="11" spans="1:8">
      <c r="A11" s="2231" t="s">
        <v>666</v>
      </c>
      <c r="B11" s="2228"/>
      <c r="C11" s="2228"/>
      <c r="D11" s="2228"/>
      <c r="E11" s="2228"/>
      <c r="F11" s="2228"/>
      <c r="G11" s="2228"/>
      <c r="H11" s="2228"/>
    </row>
    <row r="12" spans="1:8">
      <c r="A12" s="2231" t="s">
        <v>667</v>
      </c>
      <c r="B12" s="2228"/>
      <c r="C12" s="2228"/>
      <c r="D12" s="2228"/>
      <c r="E12" s="2228"/>
      <c r="F12" s="2228"/>
      <c r="G12" s="2228"/>
      <c r="H12" s="2228"/>
    </row>
    <row r="13" spans="1:8">
      <c r="A13" s="2231" t="s">
        <v>668</v>
      </c>
      <c r="B13" s="2228"/>
      <c r="C13" s="2228"/>
      <c r="D13" s="2228"/>
      <c r="E13" s="2228"/>
      <c r="F13" s="2228"/>
      <c r="G13" s="2228"/>
      <c r="H13" s="2228"/>
    </row>
    <row r="14" spans="1:8">
      <c r="A14" s="2231" t="s">
        <v>669</v>
      </c>
      <c r="B14" s="2228"/>
      <c r="C14" s="2228"/>
      <c r="D14" s="2228"/>
      <c r="E14" s="2228"/>
      <c r="F14" s="2228"/>
      <c r="G14" s="2228"/>
      <c r="H14" s="2228"/>
    </row>
    <row r="15" spans="1:8">
      <c r="A15" s="2231" t="s">
        <v>670</v>
      </c>
      <c r="B15" s="2228"/>
      <c r="C15" s="2228"/>
      <c r="D15" s="2228"/>
      <c r="E15" s="2228"/>
      <c r="F15" s="2228"/>
      <c r="G15" s="2228"/>
      <c r="H15" s="2228"/>
    </row>
    <row r="16" spans="1:8">
      <c r="A16" s="2231"/>
      <c r="B16" s="2228"/>
      <c r="C16" s="2228"/>
      <c r="D16" s="2228"/>
      <c r="E16" s="2228"/>
      <c r="F16" s="2228"/>
      <c r="G16" s="2228"/>
      <c r="H16" s="2228"/>
    </row>
    <row r="17" spans="1:8">
      <c r="A17" s="2231" t="s">
        <v>657</v>
      </c>
      <c r="B17" s="2228"/>
      <c r="C17" s="2228"/>
      <c r="D17" s="2228"/>
      <c r="E17" s="2228"/>
      <c r="F17" s="2228"/>
      <c r="G17" s="2228"/>
      <c r="H17" s="2228"/>
    </row>
    <row r="18" spans="1:8">
      <c r="A18" s="2231"/>
      <c r="B18" s="2228"/>
      <c r="C18" s="2228"/>
      <c r="D18" s="2228"/>
      <c r="E18" s="2228"/>
      <c r="F18" s="2228"/>
      <c r="G18" s="2228"/>
      <c r="H18" s="2228"/>
    </row>
    <row r="19" spans="1:8">
      <c r="A19" s="2231" t="s">
        <v>658</v>
      </c>
      <c r="B19" s="2228"/>
      <c r="C19" s="2228"/>
      <c r="D19" s="2228"/>
      <c r="E19" s="2228"/>
      <c r="F19" s="2228"/>
      <c r="G19" s="2228"/>
      <c r="H19" s="2228"/>
    </row>
    <row r="20" spans="1:8">
      <c r="A20" s="2227"/>
      <c r="B20" s="2228"/>
      <c r="C20" s="2228"/>
      <c r="D20" s="2228"/>
      <c r="E20" s="2228"/>
      <c r="F20" s="2228"/>
      <c r="G20" s="2228"/>
      <c r="H20" s="2228"/>
    </row>
    <row r="21" spans="1:8">
      <c r="A21" s="2232" t="s">
        <v>659</v>
      </c>
      <c r="B21" s="2228"/>
      <c r="C21" s="2228"/>
      <c r="D21" s="2228"/>
      <c r="E21" s="2228"/>
      <c r="F21" s="2228"/>
      <c r="G21" s="2228"/>
      <c r="H21" s="2228"/>
    </row>
    <row r="22" spans="1:8">
      <c r="A22" s="2233"/>
      <c r="B22" s="2233"/>
      <c r="C22" s="2233"/>
      <c r="D22" s="2233"/>
      <c r="E22" s="2233"/>
      <c r="F22" s="2233"/>
      <c r="G22" s="2233"/>
      <c r="H22" s="2233"/>
    </row>
    <row r="23" spans="1:8">
      <c r="A23" s="2234" t="s">
        <v>950</v>
      </c>
      <c r="B23" s="2233"/>
      <c r="C23" s="2233"/>
      <c r="D23" s="2233"/>
      <c r="E23" s="2233"/>
      <c r="F23" s="2233"/>
      <c r="G23" s="2233"/>
      <c r="H23" s="2233"/>
    </row>
    <row r="24" spans="1:8">
      <c r="A24" s="2234" t="s">
        <v>951</v>
      </c>
      <c r="B24" s="2233"/>
      <c r="C24" s="2233"/>
      <c r="D24" s="2233"/>
      <c r="E24" s="2233"/>
      <c r="F24" s="2233"/>
      <c r="G24" s="2233"/>
      <c r="H24" s="2233"/>
    </row>
    <row r="25" spans="1:8">
      <c r="A25" s="2234" t="s">
        <v>952</v>
      </c>
      <c r="B25" s="2233"/>
      <c r="C25" s="2233"/>
      <c r="D25" s="2233"/>
      <c r="E25" s="2233"/>
      <c r="F25" s="2233"/>
      <c r="G25" s="2233"/>
      <c r="H25" s="2233"/>
    </row>
    <row r="26" spans="1:8">
      <c r="A26" s="2234" t="s">
        <v>953</v>
      </c>
      <c r="B26" s="2233"/>
      <c r="C26" s="2233"/>
      <c r="D26" s="2233"/>
      <c r="E26" s="2233"/>
      <c r="F26" s="2233"/>
      <c r="G26" s="2233"/>
      <c r="H26" s="2233"/>
    </row>
    <row r="27" spans="1:8">
      <c r="A27" s="2233"/>
      <c r="B27" s="2233"/>
      <c r="C27" s="2233"/>
      <c r="D27" s="2233"/>
      <c r="E27" s="2233"/>
      <c r="F27" s="2233"/>
      <c r="G27" s="2233"/>
      <c r="H27" s="2233"/>
    </row>
    <row r="28" spans="1:8">
      <c r="A28" s="2233"/>
      <c r="B28" s="2233"/>
      <c r="C28" s="2233"/>
      <c r="D28" s="2233"/>
      <c r="E28" s="2233"/>
      <c r="F28" s="2233"/>
      <c r="G28" s="2233"/>
      <c r="H28" s="2233"/>
    </row>
    <row r="29" spans="1:8">
      <c r="A29" s="2234" t="s">
        <v>945</v>
      </c>
      <c r="B29" s="2233"/>
      <c r="C29" s="2233"/>
      <c r="D29" s="2233"/>
      <c r="E29" s="2233"/>
      <c r="F29" s="2233"/>
      <c r="G29" s="2233"/>
      <c r="H29" s="2233"/>
    </row>
    <row r="30" spans="1:8">
      <c r="A30" s="2234" t="s">
        <v>946</v>
      </c>
      <c r="B30" s="2233"/>
      <c r="C30" s="2233"/>
      <c r="D30" s="2233"/>
      <c r="E30" s="2233"/>
      <c r="F30" s="2233"/>
      <c r="G30" s="2233"/>
      <c r="H30" s="2233"/>
    </row>
    <row r="31" spans="1:8">
      <c r="A31" s="2234" t="s">
        <v>947</v>
      </c>
      <c r="B31" s="2233"/>
      <c r="C31" s="2233"/>
      <c r="D31" s="2233"/>
      <c r="E31" s="2233"/>
      <c r="F31" s="2233"/>
      <c r="G31" s="2233"/>
      <c r="H31" s="2233"/>
    </row>
    <row r="32" spans="1:8">
      <c r="A32" s="2234" t="s">
        <v>948</v>
      </c>
      <c r="B32" s="2233"/>
      <c r="C32" s="2233"/>
      <c r="D32" s="2233"/>
      <c r="E32" s="2233"/>
      <c r="F32" s="2233"/>
      <c r="G32" s="2233"/>
      <c r="H32" s="2233"/>
    </row>
    <row r="33" spans="1:8">
      <c r="A33" s="2234" t="s">
        <v>949</v>
      </c>
      <c r="B33" s="2233"/>
      <c r="C33" s="2233"/>
      <c r="D33" s="2233"/>
      <c r="E33" s="2233"/>
      <c r="F33" s="2233"/>
      <c r="G33" s="2233"/>
      <c r="H33" s="2233"/>
    </row>
    <row r="34" spans="1:8">
      <c r="A34" s="2233"/>
      <c r="B34" s="2233"/>
      <c r="C34" s="2233"/>
      <c r="D34" s="2233"/>
      <c r="E34" s="2233"/>
      <c r="F34" s="2233"/>
      <c r="G34" s="2233"/>
      <c r="H34" s="2233"/>
    </row>
    <row r="35" spans="1:8">
      <c r="A35" s="2234" t="s">
        <v>941</v>
      </c>
      <c r="B35" s="2233"/>
      <c r="C35" s="2233"/>
      <c r="D35" s="2233"/>
      <c r="E35" s="2233"/>
      <c r="F35" s="2233"/>
      <c r="G35" s="2233"/>
      <c r="H35" s="2233"/>
    </row>
    <row r="36" spans="1:8">
      <c r="A36" s="2234" t="s">
        <v>942</v>
      </c>
      <c r="B36" s="2233"/>
      <c r="C36" s="2233"/>
      <c r="D36" s="2233"/>
      <c r="E36" s="2233"/>
      <c r="F36" s="2233"/>
      <c r="G36" s="2233"/>
      <c r="H36" s="2233"/>
    </row>
    <row r="37" spans="1:8">
      <c r="A37" s="2234" t="s">
        <v>943</v>
      </c>
      <c r="B37" s="2233"/>
      <c r="C37" s="2233"/>
      <c r="D37" s="2233"/>
      <c r="E37" s="2233"/>
      <c r="F37" s="2233"/>
      <c r="G37" s="2233"/>
      <c r="H37" s="2233"/>
    </row>
    <row r="38" spans="1:8">
      <c r="A38" s="2234" t="s">
        <v>944</v>
      </c>
      <c r="B38" s="2233"/>
      <c r="C38" s="2233"/>
      <c r="D38" s="2233"/>
      <c r="E38" s="2233"/>
      <c r="F38" s="2233"/>
      <c r="G38" s="2233"/>
      <c r="H38" s="2233"/>
    </row>
    <row r="39" spans="1:8">
      <c r="A39" s="2233"/>
      <c r="B39" s="2233"/>
      <c r="C39" s="2233"/>
      <c r="D39" s="2233"/>
      <c r="E39" s="2233"/>
      <c r="F39" s="2233"/>
      <c r="G39" s="2233"/>
      <c r="H39" s="2233"/>
    </row>
    <row r="40" spans="1:8">
      <c r="A40" s="2234" t="s">
        <v>935</v>
      </c>
      <c r="B40" s="2233"/>
      <c r="C40" s="2233"/>
      <c r="D40" s="2233"/>
      <c r="E40" s="2233"/>
      <c r="F40" s="2233"/>
      <c r="G40" s="2233"/>
      <c r="H40" s="2233"/>
    </row>
    <row r="41" spans="1:8">
      <c r="A41" s="2234" t="s">
        <v>936</v>
      </c>
      <c r="B41" s="2233"/>
      <c r="C41" s="2233"/>
      <c r="D41" s="2233"/>
      <c r="E41" s="2233"/>
      <c r="F41" s="2233"/>
      <c r="G41" s="2233"/>
      <c r="H41" s="2233"/>
    </row>
    <row r="42" spans="1:8">
      <c r="A42" s="2234" t="s">
        <v>937</v>
      </c>
      <c r="B42" s="2233"/>
      <c r="C42" s="2233"/>
      <c r="D42" s="2233"/>
      <c r="E42" s="2233"/>
      <c r="F42" s="2233"/>
      <c r="G42" s="2233"/>
      <c r="H42" s="2233"/>
    </row>
    <row r="43" spans="1:8">
      <c r="A43" s="2234" t="s">
        <v>938</v>
      </c>
      <c r="B43" s="2233"/>
      <c r="C43" s="2233"/>
      <c r="D43" s="2233"/>
      <c r="E43" s="2233"/>
      <c r="F43" s="2233"/>
      <c r="G43" s="2233"/>
      <c r="H43" s="2233"/>
    </row>
    <row r="44" spans="1:8">
      <c r="A44" s="2234" t="s">
        <v>939</v>
      </c>
      <c r="B44" s="2233"/>
      <c r="C44" s="2233"/>
      <c r="D44" s="2233"/>
      <c r="E44" s="2233"/>
      <c r="F44" s="2233"/>
      <c r="G44" s="2233"/>
      <c r="H44" s="2233"/>
    </row>
    <row r="45" spans="1:8">
      <c r="A45" s="2234" t="s">
        <v>940</v>
      </c>
      <c r="B45" s="2233"/>
      <c r="C45" s="2233"/>
      <c r="D45" s="2233"/>
      <c r="E45" s="2233"/>
      <c r="F45" s="2233"/>
      <c r="G45" s="2233"/>
      <c r="H45" s="2233"/>
    </row>
    <row r="46" spans="1:8">
      <c r="A46" s="2233"/>
      <c r="B46" s="2233"/>
      <c r="C46" s="2233"/>
      <c r="D46" s="2233"/>
      <c r="E46" s="2233"/>
      <c r="F46" s="2233"/>
      <c r="G46" s="2233"/>
      <c r="H46" s="2233"/>
    </row>
    <row r="47" spans="1:8" ht="15.75">
      <c r="A47" s="2235" t="s">
        <v>671</v>
      </c>
      <c r="B47" s="2233"/>
      <c r="C47" s="2233"/>
      <c r="D47" s="2233"/>
      <c r="E47" s="2233"/>
      <c r="F47" s="2233"/>
      <c r="G47" s="2233"/>
      <c r="H47" s="2233"/>
    </row>
    <row r="48" spans="1:8">
      <c r="A48" s="2233"/>
      <c r="B48" s="2233"/>
      <c r="C48" s="2233"/>
      <c r="D48" s="2233"/>
      <c r="E48" s="2233"/>
      <c r="F48" s="2233"/>
      <c r="G48" s="2233"/>
      <c r="H48" s="2233"/>
    </row>
    <row r="49" spans="1:8">
      <c r="A49" s="2234" t="s">
        <v>931</v>
      </c>
      <c r="B49" s="2233"/>
      <c r="C49" s="2233"/>
      <c r="D49" s="2233"/>
      <c r="E49" s="2233"/>
      <c r="F49" s="2233"/>
      <c r="G49" s="2233"/>
      <c r="H49" s="2233"/>
    </row>
    <row r="50" spans="1:8">
      <c r="A50" s="2234" t="s">
        <v>932</v>
      </c>
      <c r="B50" s="2233"/>
      <c r="C50" s="2233"/>
      <c r="D50" s="2233"/>
      <c r="E50" s="2233"/>
      <c r="F50" s="2233"/>
      <c r="G50" s="2233"/>
      <c r="H50" s="2233"/>
    </row>
    <row r="51" spans="1:8">
      <c r="A51" s="2234" t="s">
        <v>933</v>
      </c>
      <c r="B51" s="2233"/>
      <c r="C51" s="2233"/>
      <c r="D51" s="2233"/>
      <c r="E51" s="2233"/>
      <c r="F51" s="2233"/>
      <c r="G51" s="2233"/>
      <c r="H51" s="2233"/>
    </row>
    <row r="52" spans="1:8">
      <c r="A52" s="2234" t="s">
        <v>934</v>
      </c>
      <c r="B52" s="2233"/>
      <c r="C52" s="2233"/>
      <c r="D52" s="2233"/>
      <c r="E52" s="2233"/>
      <c r="F52" s="2233"/>
      <c r="G52" s="2233"/>
      <c r="H52" s="2233"/>
    </row>
    <row r="53" spans="1:8">
      <c r="A53" s="2233"/>
      <c r="B53" s="2233"/>
      <c r="C53" s="2233"/>
      <c r="D53" s="2233"/>
      <c r="E53" s="2233"/>
      <c r="F53" s="2233"/>
      <c r="G53" s="2233"/>
      <c r="H53" s="2233"/>
    </row>
    <row r="54" spans="1:8">
      <c r="A54" s="2234" t="s">
        <v>672</v>
      </c>
      <c r="B54" s="2233"/>
      <c r="C54" s="2233"/>
      <c r="D54" s="2233"/>
      <c r="E54" s="2233"/>
      <c r="F54" s="2233"/>
      <c r="G54" s="2233"/>
      <c r="H54" s="2233"/>
    </row>
    <row r="55" spans="1:8">
      <c r="A55" s="2233"/>
      <c r="B55" s="2233"/>
      <c r="C55" s="2233"/>
      <c r="D55" s="2233"/>
      <c r="E55" s="2233"/>
      <c r="F55" s="2233"/>
      <c r="G55" s="2233"/>
      <c r="H55" s="2233"/>
    </row>
    <row r="56" spans="1:8" ht="15.75">
      <c r="A56" s="2235" t="s">
        <v>673</v>
      </c>
      <c r="B56" s="2233"/>
      <c r="C56" s="2233"/>
      <c r="D56" s="2233"/>
      <c r="E56" s="2233"/>
      <c r="F56" s="2233"/>
      <c r="G56" s="2233"/>
      <c r="H56" s="2233"/>
    </row>
    <row r="57" spans="1:8">
      <c r="A57" s="2233"/>
      <c r="B57" s="2233"/>
      <c r="C57" s="2233"/>
      <c r="D57" s="2233"/>
      <c r="E57" s="2233"/>
      <c r="F57" s="2233"/>
      <c r="G57" s="2233"/>
      <c r="H57" s="2233"/>
    </row>
    <row r="58" spans="1:8">
      <c r="A58" s="2234" t="s">
        <v>929</v>
      </c>
      <c r="B58" s="2233"/>
      <c r="C58" s="2233"/>
      <c r="D58" s="2233"/>
      <c r="E58" s="2233"/>
      <c r="F58" s="2233"/>
      <c r="G58" s="2233"/>
      <c r="H58" s="2233"/>
    </row>
    <row r="59" spans="1:8">
      <c r="A59" s="2234" t="s">
        <v>930</v>
      </c>
      <c r="B59" s="2233"/>
      <c r="C59" s="2233"/>
      <c r="D59" s="2233"/>
      <c r="E59" s="2233"/>
      <c r="F59" s="2233"/>
      <c r="G59" s="2233"/>
      <c r="H59" s="2233"/>
    </row>
    <row r="60" spans="1:8">
      <c r="A60" s="2233"/>
      <c r="B60" s="2233"/>
      <c r="C60" s="2233"/>
      <c r="D60" s="2233"/>
      <c r="E60" s="2233"/>
      <c r="F60" s="2233"/>
      <c r="G60" s="2233"/>
      <c r="H60" s="2233"/>
    </row>
    <row r="61" spans="1:8" ht="15.75">
      <c r="A61" s="2235" t="s">
        <v>674</v>
      </c>
      <c r="B61" s="2233"/>
      <c r="C61" s="2233"/>
      <c r="D61" s="2233"/>
      <c r="E61" s="2233"/>
      <c r="F61" s="2233"/>
      <c r="G61" s="2233"/>
      <c r="H61" s="2233"/>
    </row>
    <row r="62" spans="1:8">
      <c r="A62" s="2233"/>
      <c r="B62" s="2233"/>
      <c r="C62" s="2233"/>
      <c r="D62" s="2233"/>
      <c r="E62" s="2233"/>
      <c r="F62" s="2233"/>
      <c r="G62" s="2233"/>
      <c r="H62" s="2233"/>
    </row>
    <row r="63" spans="1:8">
      <c r="A63" s="2234" t="s">
        <v>927</v>
      </c>
      <c r="B63" s="2233"/>
      <c r="C63" s="2233"/>
      <c r="D63" s="2233"/>
      <c r="E63" s="2233"/>
      <c r="F63" s="2233"/>
      <c r="G63" s="2233"/>
      <c r="H63" s="2233"/>
    </row>
    <row r="64" spans="1:8">
      <c r="A64" s="2234" t="s">
        <v>928</v>
      </c>
      <c r="B64" s="2233"/>
      <c r="C64" s="2233"/>
      <c r="D64" s="2233"/>
      <c r="E64" s="2233"/>
      <c r="F64" s="2233"/>
      <c r="G64" s="2233"/>
      <c r="H64" s="2233"/>
    </row>
    <row r="65" spans="1:8">
      <c r="A65" s="2233"/>
      <c r="B65" s="2233"/>
      <c r="C65" s="2233"/>
      <c r="D65" s="2233"/>
      <c r="E65" s="2233"/>
      <c r="F65" s="2233"/>
      <c r="G65" s="2233"/>
      <c r="H65" s="2233"/>
    </row>
    <row r="66" spans="1:8">
      <c r="A66" s="2234" t="s">
        <v>925</v>
      </c>
      <c r="B66" s="2233"/>
      <c r="C66" s="2233"/>
      <c r="D66" s="2233"/>
      <c r="E66" s="2233"/>
      <c r="F66" s="2233"/>
      <c r="G66" s="2233"/>
      <c r="H66" s="2233"/>
    </row>
    <row r="67" spans="1:8">
      <c r="A67" s="2234" t="s">
        <v>926</v>
      </c>
      <c r="B67" s="2233"/>
      <c r="C67" s="2233"/>
      <c r="D67" s="2233"/>
      <c r="E67" s="2233"/>
      <c r="F67" s="2233"/>
      <c r="G67" s="2233"/>
      <c r="H67" s="2233"/>
    </row>
    <row r="68" spans="1:8">
      <c r="A68" s="2233"/>
      <c r="B68" s="2233"/>
      <c r="C68" s="2233"/>
      <c r="D68" s="2233"/>
      <c r="E68" s="2233"/>
      <c r="F68" s="2233"/>
      <c r="G68" s="2233"/>
      <c r="H68" s="2233"/>
    </row>
    <row r="69" spans="1:8">
      <c r="A69" s="2234" t="s">
        <v>923</v>
      </c>
      <c r="B69" s="2233"/>
      <c r="C69" s="2233"/>
      <c r="D69" s="2233"/>
      <c r="E69" s="2233"/>
      <c r="F69" s="2233"/>
      <c r="G69" s="2233"/>
      <c r="H69" s="2233"/>
    </row>
    <row r="70" spans="1:8">
      <c r="A70" s="2234" t="s">
        <v>924</v>
      </c>
      <c r="B70" s="2233"/>
      <c r="C70" s="2233"/>
      <c r="D70" s="2233"/>
      <c r="E70" s="2233"/>
      <c r="F70" s="2233"/>
      <c r="G70" s="2233"/>
      <c r="H70" s="2233"/>
    </row>
    <row r="71" spans="1:8">
      <c r="A71" s="2233"/>
      <c r="B71" s="2233"/>
      <c r="C71" s="2233"/>
      <c r="D71" s="2233"/>
      <c r="E71" s="2233"/>
      <c r="F71" s="2233"/>
      <c r="G71" s="2233"/>
      <c r="H71" s="2233"/>
    </row>
    <row r="72" spans="1:8">
      <c r="A72" s="2234" t="s">
        <v>921</v>
      </c>
      <c r="B72" s="2233"/>
      <c r="C72" s="2233"/>
      <c r="D72" s="2233"/>
      <c r="E72" s="2233"/>
      <c r="F72" s="2233"/>
      <c r="G72" s="2233"/>
      <c r="H72" s="2233"/>
    </row>
    <row r="73" spans="1:8">
      <c r="A73" s="2234" t="s">
        <v>922</v>
      </c>
      <c r="B73" s="2233"/>
      <c r="C73" s="2233"/>
      <c r="D73" s="2233"/>
      <c r="E73" s="2233"/>
      <c r="F73" s="2233"/>
      <c r="G73" s="2233"/>
      <c r="H73" s="2233"/>
    </row>
    <row r="74" spans="1:8">
      <c r="A74" s="2233"/>
      <c r="B74" s="2233"/>
      <c r="C74" s="2233"/>
      <c r="D74" s="2233"/>
      <c r="E74" s="2233"/>
      <c r="F74" s="2233"/>
      <c r="G74" s="2233"/>
      <c r="H74" s="2233"/>
    </row>
    <row r="75" spans="1:8">
      <c r="A75" s="2234" t="s">
        <v>918</v>
      </c>
      <c r="B75" s="2233"/>
      <c r="C75" s="2233"/>
      <c r="D75" s="2233"/>
      <c r="E75" s="2233"/>
      <c r="F75" s="2233"/>
      <c r="G75" s="2233"/>
      <c r="H75" s="2233"/>
    </row>
    <row r="76" spans="1:8">
      <c r="A76" s="2234" t="s">
        <v>919</v>
      </c>
      <c r="B76" s="2233"/>
      <c r="C76" s="2233"/>
      <c r="D76" s="2233"/>
      <c r="E76" s="2233"/>
      <c r="F76" s="2233"/>
      <c r="G76" s="2233"/>
      <c r="H76" s="2233"/>
    </row>
    <row r="77" spans="1:8">
      <c r="A77" s="2234" t="s">
        <v>920</v>
      </c>
      <c r="B77" s="2233"/>
      <c r="C77" s="2233"/>
      <c r="D77" s="2233"/>
      <c r="E77" s="2233"/>
      <c r="F77" s="2233"/>
      <c r="G77" s="2233"/>
      <c r="H77" s="2233"/>
    </row>
    <row r="78" spans="1:8">
      <c r="A78" s="2233"/>
      <c r="B78" s="2233"/>
      <c r="C78" s="2233"/>
      <c r="D78" s="2233"/>
      <c r="E78" s="2233"/>
      <c r="F78" s="2233"/>
      <c r="G78" s="2233"/>
      <c r="H78" s="2233"/>
    </row>
    <row r="79" spans="1:8">
      <c r="A79" s="2234" t="s">
        <v>675</v>
      </c>
      <c r="B79" s="2233"/>
      <c r="C79" s="2233"/>
      <c r="D79" s="2233"/>
      <c r="E79" s="2233"/>
      <c r="F79" s="2233"/>
      <c r="G79" s="2233"/>
      <c r="H79" s="2233"/>
    </row>
    <row r="80" spans="1:8">
      <c r="A80" s="2233"/>
      <c r="B80" s="2233"/>
      <c r="C80" s="2233"/>
      <c r="D80" s="2233"/>
      <c r="E80" s="2233"/>
      <c r="F80" s="2233"/>
      <c r="G80" s="2233"/>
      <c r="H80" s="2233"/>
    </row>
    <row r="81" spans="1:8">
      <c r="A81" s="2234" t="s">
        <v>913</v>
      </c>
      <c r="B81" s="2233"/>
      <c r="C81" s="2233"/>
      <c r="D81" s="2233"/>
      <c r="E81" s="2233"/>
      <c r="F81" s="2233"/>
      <c r="G81" s="2233"/>
      <c r="H81" s="2233"/>
    </row>
    <row r="82" spans="1:8">
      <c r="A82" s="2234" t="s">
        <v>914</v>
      </c>
      <c r="B82" s="2233"/>
      <c r="C82" s="2233"/>
      <c r="D82" s="2233"/>
      <c r="E82" s="2233"/>
      <c r="F82" s="2233"/>
      <c r="G82" s="2233"/>
      <c r="H82" s="2233"/>
    </row>
    <row r="83" spans="1:8">
      <c r="A83" s="2234" t="s">
        <v>915</v>
      </c>
      <c r="B83" s="2233"/>
      <c r="C83" s="2233"/>
      <c r="D83" s="2233"/>
      <c r="E83" s="2233"/>
      <c r="F83" s="2233"/>
      <c r="G83" s="2233"/>
      <c r="H83" s="2233"/>
    </row>
    <row r="84" spans="1:8">
      <c r="A84" s="2234" t="s">
        <v>916</v>
      </c>
      <c r="B84" s="2233"/>
      <c r="C84" s="2233"/>
      <c r="D84" s="2233"/>
      <c r="E84" s="2233"/>
      <c r="F84" s="2233"/>
      <c r="G84" s="2233"/>
      <c r="H84" s="2233"/>
    </row>
    <row r="85" spans="1:8">
      <c r="A85" s="2234" t="s">
        <v>917</v>
      </c>
      <c r="B85" s="2233"/>
      <c r="C85" s="2233"/>
      <c r="D85" s="2233"/>
      <c r="E85" s="2233"/>
      <c r="F85" s="2233"/>
      <c r="G85" s="2233"/>
      <c r="H85" s="2233"/>
    </row>
    <row r="86" spans="1:8">
      <c r="A86" s="2234" t="s">
        <v>800</v>
      </c>
      <c r="B86" s="2233"/>
      <c r="C86" s="2233"/>
      <c r="D86" s="2233"/>
      <c r="E86" s="2233"/>
      <c r="F86" s="2233"/>
      <c r="G86" s="2233"/>
      <c r="H86" s="2233"/>
    </row>
    <row r="87" spans="1:8">
      <c r="A87" s="2233"/>
      <c r="B87" s="2233"/>
      <c r="C87" s="2233"/>
      <c r="D87" s="2233"/>
      <c r="E87" s="2233"/>
      <c r="F87" s="2233"/>
      <c r="G87" s="2233"/>
      <c r="H87" s="2233"/>
    </row>
    <row r="88" spans="1:8">
      <c r="A88" s="2234" t="s">
        <v>906</v>
      </c>
      <c r="B88" s="2233"/>
      <c r="C88" s="2233"/>
      <c r="D88" s="2233"/>
      <c r="E88" s="2233"/>
      <c r="F88" s="2233"/>
      <c r="G88" s="2233"/>
      <c r="H88" s="2233"/>
    </row>
    <row r="89" spans="1:8">
      <c r="A89" s="2234" t="s">
        <v>907</v>
      </c>
      <c r="B89" s="2233"/>
      <c r="C89" s="2233"/>
      <c r="D89" s="2233"/>
      <c r="E89" s="2233"/>
      <c r="F89" s="2233"/>
      <c r="G89" s="2233"/>
      <c r="H89" s="2233"/>
    </row>
    <row r="90" spans="1:8">
      <c r="A90" s="2234" t="s">
        <v>908</v>
      </c>
      <c r="B90" s="2233"/>
      <c r="C90" s="2233"/>
      <c r="D90" s="2233"/>
      <c r="E90" s="2233"/>
      <c r="F90" s="2233"/>
      <c r="G90" s="2233"/>
      <c r="H90" s="2233"/>
    </row>
    <row r="91" spans="1:8">
      <c r="A91" s="2234" t="s">
        <v>909</v>
      </c>
      <c r="B91" s="2233"/>
      <c r="C91" s="2233"/>
      <c r="D91" s="2233"/>
      <c r="E91" s="2233"/>
      <c r="F91" s="2233"/>
      <c r="G91" s="2233"/>
      <c r="H91" s="2233"/>
    </row>
    <row r="92" spans="1:8">
      <c r="A92" s="2234" t="s">
        <v>910</v>
      </c>
      <c r="B92" s="2233"/>
      <c r="C92" s="2233"/>
      <c r="D92" s="2233"/>
      <c r="E92" s="2233"/>
      <c r="F92" s="2233"/>
      <c r="G92" s="2233"/>
      <c r="H92" s="2233"/>
    </row>
    <row r="93" spans="1:8">
      <c r="A93" s="2234" t="s">
        <v>911</v>
      </c>
      <c r="B93" s="2233"/>
      <c r="C93" s="2233"/>
      <c r="D93" s="2233"/>
      <c r="E93" s="2233"/>
      <c r="F93" s="2233"/>
      <c r="G93" s="2233"/>
      <c r="H93" s="2233"/>
    </row>
    <row r="94" spans="1:8">
      <c r="A94" s="2234" t="s">
        <v>912</v>
      </c>
      <c r="B94" s="2233"/>
      <c r="C94" s="2233"/>
      <c r="D94" s="2233"/>
      <c r="E94" s="2233"/>
      <c r="F94" s="2233"/>
      <c r="G94" s="2233"/>
      <c r="H94" s="2233"/>
    </row>
    <row r="95" spans="1:8">
      <c r="A95" s="2233"/>
      <c r="B95" s="2233"/>
      <c r="C95" s="2233"/>
      <c r="D95" s="2233"/>
      <c r="E95" s="2233"/>
      <c r="F95" s="2233"/>
      <c r="G95" s="2233"/>
      <c r="H95" s="2233"/>
    </row>
    <row r="96" spans="1:8">
      <c r="A96" s="2234" t="s">
        <v>904</v>
      </c>
      <c r="B96" s="2233"/>
      <c r="C96" s="2233"/>
      <c r="D96" s="2233"/>
      <c r="E96" s="2233"/>
      <c r="F96" s="2233"/>
      <c r="G96" s="2233"/>
      <c r="H96" s="2233"/>
    </row>
    <row r="97" spans="1:8">
      <c r="A97" s="2234" t="s">
        <v>905</v>
      </c>
      <c r="B97" s="2233"/>
      <c r="C97" s="2233"/>
      <c r="D97" s="2233"/>
      <c r="E97" s="2233"/>
      <c r="F97" s="2233"/>
      <c r="G97" s="2233"/>
      <c r="H97" s="2233"/>
    </row>
    <row r="98" spans="1:8">
      <c r="A98" s="2233"/>
      <c r="B98" s="2233"/>
      <c r="C98" s="2233"/>
      <c r="D98" s="2233"/>
      <c r="E98" s="2233"/>
      <c r="F98" s="2233"/>
      <c r="G98" s="2233"/>
      <c r="H98" s="2233"/>
    </row>
    <row r="99" spans="1:8" ht="15.75">
      <c r="A99" s="2235" t="s">
        <v>676</v>
      </c>
      <c r="B99" s="2233"/>
      <c r="C99" s="2233"/>
      <c r="D99" s="2233"/>
      <c r="E99" s="2233"/>
      <c r="F99" s="2233"/>
      <c r="G99" s="2233"/>
      <c r="H99" s="2233"/>
    </row>
    <row r="100" spans="1:8">
      <c r="A100" s="2233"/>
      <c r="B100" s="2233"/>
      <c r="C100" s="2233"/>
      <c r="D100" s="2233"/>
      <c r="E100" s="2233"/>
      <c r="F100" s="2233"/>
      <c r="G100" s="2233"/>
      <c r="H100" s="2233"/>
    </row>
    <row r="101" spans="1:8">
      <c r="A101" s="2234" t="s">
        <v>895</v>
      </c>
      <c r="B101" s="2233"/>
      <c r="C101" s="2233"/>
      <c r="D101" s="2233"/>
      <c r="E101" s="2233"/>
      <c r="F101" s="2233"/>
      <c r="G101" s="2233"/>
      <c r="H101" s="2233"/>
    </row>
    <row r="102" spans="1:8">
      <c r="A102" s="2234" t="s">
        <v>896</v>
      </c>
      <c r="B102" s="2233"/>
      <c r="C102" s="2233"/>
      <c r="D102" s="2233"/>
      <c r="E102" s="2233"/>
      <c r="F102" s="2233"/>
      <c r="G102" s="2233"/>
      <c r="H102" s="2233"/>
    </row>
    <row r="103" spans="1:8">
      <c r="A103" s="2234" t="s">
        <v>897</v>
      </c>
      <c r="B103" s="2233"/>
      <c r="C103" s="2233"/>
      <c r="D103" s="2233"/>
      <c r="E103" s="2233"/>
      <c r="F103" s="2233"/>
      <c r="G103" s="2233"/>
      <c r="H103" s="2233"/>
    </row>
    <row r="104" spans="1:8">
      <c r="A104" s="2234" t="s">
        <v>898</v>
      </c>
      <c r="B104" s="2233"/>
      <c r="C104" s="2233"/>
      <c r="D104" s="2233"/>
      <c r="E104" s="2233"/>
      <c r="F104" s="2233"/>
      <c r="G104" s="2233"/>
      <c r="H104" s="2233"/>
    </row>
    <row r="105" spans="1:8">
      <c r="A105" s="2234" t="s">
        <v>899</v>
      </c>
      <c r="B105" s="2233"/>
      <c r="C105" s="2233"/>
      <c r="D105" s="2233"/>
      <c r="E105" s="2233"/>
      <c r="F105" s="2233"/>
      <c r="G105" s="2233"/>
      <c r="H105" s="2233"/>
    </row>
    <row r="106" spans="1:8">
      <c r="A106" s="2234" t="s">
        <v>900</v>
      </c>
      <c r="B106" s="2233"/>
      <c r="C106" s="2233"/>
      <c r="D106" s="2233"/>
      <c r="E106" s="2233"/>
      <c r="F106" s="2233"/>
      <c r="G106" s="2233"/>
      <c r="H106" s="2233"/>
    </row>
    <row r="107" spans="1:8">
      <c r="A107" s="2234" t="s">
        <v>901</v>
      </c>
      <c r="B107" s="2233"/>
      <c r="C107" s="2233"/>
      <c r="D107" s="2233"/>
      <c r="E107" s="2233"/>
      <c r="F107" s="2233"/>
      <c r="G107" s="2233"/>
      <c r="H107" s="2233"/>
    </row>
    <row r="108" spans="1:8">
      <c r="A108" s="2234" t="s">
        <v>902</v>
      </c>
      <c r="B108" s="2233"/>
      <c r="C108" s="2233"/>
      <c r="D108" s="2233"/>
      <c r="E108" s="2233"/>
      <c r="F108" s="2233"/>
      <c r="G108" s="2233"/>
      <c r="H108" s="2233"/>
    </row>
    <row r="109" spans="1:8">
      <c r="A109" s="2234" t="s">
        <v>903</v>
      </c>
      <c r="B109" s="2233"/>
      <c r="C109" s="2233"/>
      <c r="D109" s="2233"/>
      <c r="E109" s="2233"/>
      <c r="F109" s="2233"/>
      <c r="G109" s="2233"/>
      <c r="H109" s="2233"/>
    </row>
    <row r="110" spans="1:8">
      <c r="A110" s="2233"/>
      <c r="B110" s="2233"/>
      <c r="C110" s="2233"/>
      <c r="D110" s="2233"/>
      <c r="E110" s="2233"/>
      <c r="F110" s="2233"/>
      <c r="G110" s="2233"/>
      <c r="H110" s="2233"/>
    </row>
    <row r="111" spans="1:8" ht="15.75">
      <c r="A111" s="2236" t="s">
        <v>677</v>
      </c>
      <c r="B111" s="2236"/>
      <c r="C111" s="2236"/>
      <c r="D111" s="2236"/>
      <c r="E111" s="2236"/>
      <c r="F111" s="2236"/>
      <c r="G111" s="2236"/>
      <c r="H111" s="2236"/>
    </row>
    <row r="112" spans="1:8">
      <c r="A112" s="2237" t="s">
        <v>678</v>
      </c>
      <c r="B112" s="2237"/>
      <c r="C112" s="2237"/>
      <c r="D112" s="2237"/>
      <c r="E112" s="2237"/>
      <c r="F112" s="2237"/>
      <c r="G112" s="2237"/>
      <c r="H112" s="2237"/>
    </row>
    <row r="113" spans="1:8">
      <c r="A113" s="2238"/>
      <c r="B113" s="2238"/>
      <c r="C113" s="2238"/>
      <c r="D113" s="2238"/>
      <c r="E113" s="2238"/>
      <c r="F113" s="2238"/>
      <c r="G113" s="2238"/>
      <c r="H113" s="2238"/>
    </row>
    <row r="114" spans="1:8">
      <c r="A114" s="2237" t="s">
        <v>893</v>
      </c>
      <c r="B114" s="2237"/>
      <c r="C114" s="2237"/>
      <c r="D114" s="2237"/>
      <c r="E114" s="2237"/>
      <c r="F114" s="2237"/>
      <c r="G114" s="2237"/>
      <c r="H114" s="2237"/>
    </row>
    <row r="115" spans="1:8">
      <c r="A115" s="2234" t="s">
        <v>894</v>
      </c>
      <c r="B115" s="2234"/>
      <c r="C115" s="2234"/>
      <c r="D115" s="2234"/>
      <c r="E115" s="2234"/>
      <c r="F115" s="2234"/>
      <c r="G115" s="2234"/>
      <c r="H115" s="2234"/>
    </row>
    <row r="116" spans="1:8">
      <c r="A116" s="2238"/>
      <c r="B116" s="2238"/>
      <c r="C116" s="2238"/>
      <c r="D116" s="2238"/>
      <c r="E116" s="2238"/>
      <c r="F116" s="2238"/>
      <c r="G116" s="2238"/>
      <c r="H116" s="2238"/>
    </row>
    <row r="117" spans="1:8">
      <c r="A117" s="2237" t="s">
        <v>886</v>
      </c>
      <c r="B117" s="2237"/>
      <c r="C117" s="2237"/>
      <c r="D117" s="2237"/>
      <c r="E117" s="2237"/>
      <c r="F117" s="2237"/>
      <c r="G117" s="2237"/>
      <c r="H117" s="2237"/>
    </row>
    <row r="118" spans="1:8">
      <c r="A118" s="2234" t="s">
        <v>887</v>
      </c>
      <c r="B118" s="2234"/>
      <c r="C118" s="2234"/>
      <c r="D118" s="2234"/>
      <c r="E118" s="2234"/>
      <c r="F118" s="2234"/>
      <c r="G118" s="2234"/>
      <c r="H118" s="2234"/>
    </row>
    <row r="119" spans="1:8">
      <c r="A119" s="2234" t="s">
        <v>888</v>
      </c>
      <c r="B119" s="2234"/>
      <c r="C119" s="2234"/>
      <c r="D119" s="2234"/>
      <c r="E119" s="2234"/>
      <c r="F119" s="2234"/>
      <c r="G119" s="2234"/>
      <c r="H119" s="2234"/>
    </row>
    <row r="120" spans="1:8">
      <c r="A120" s="2234" t="s">
        <v>889</v>
      </c>
      <c r="B120" s="2234"/>
      <c r="C120" s="2234"/>
      <c r="D120" s="2234"/>
      <c r="E120" s="2234"/>
      <c r="F120" s="2234"/>
      <c r="G120" s="2234"/>
      <c r="H120" s="2234"/>
    </row>
    <row r="121" spans="1:8">
      <c r="A121" s="2234" t="s">
        <v>890</v>
      </c>
      <c r="B121" s="2234"/>
      <c r="C121" s="2234"/>
      <c r="D121" s="2234"/>
      <c r="E121" s="2234"/>
      <c r="F121" s="2234"/>
      <c r="G121" s="2234"/>
      <c r="H121" s="2234"/>
    </row>
    <row r="122" spans="1:8">
      <c r="A122" s="2234" t="s">
        <v>891</v>
      </c>
      <c r="B122" s="2234"/>
      <c r="C122" s="2234"/>
      <c r="D122" s="2234"/>
      <c r="E122" s="2234"/>
      <c r="F122" s="2234"/>
      <c r="G122" s="2234"/>
      <c r="H122" s="2234"/>
    </row>
    <row r="123" spans="1:8">
      <c r="A123" s="2234" t="s">
        <v>892</v>
      </c>
      <c r="B123" s="2234"/>
      <c r="C123" s="2234"/>
      <c r="D123" s="2234"/>
      <c r="E123" s="2234"/>
      <c r="F123" s="2234"/>
      <c r="G123" s="2234"/>
      <c r="H123" s="2234"/>
    </row>
    <row r="124" spans="1:8">
      <c r="A124" s="2239"/>
      <c r="B124" s="2239"/>
      <c r="C124" s="2239"/>
      <c r="D124" s="2239"/>
      <c r="E124" s="2239"/>
      <c r="F124" s="2239"/>
      <c r="G124" s="2239"/>
      <c r="H124" s="2239"/>
    </row>
    <row r="125" spans="1:8">
      <c r="A125" s="2240"/>
      <c r="B125" s="2241" t="s">
        <v>679</v>
      </c>
      <c r="C125" s="2242"/>
      <c r="D125" s="2241" t="s">
        <v>680</v>
      </c>
      <c r="E125" s="2243"/>
      <c r="F125" s="2242"/>
      <c r="G125" s="2241" t="s">
        <v>681</v>
      </c>
      <c r="H125" s="2242"/>
    </row>
    <row r="126" spans="1:8">
      <c r="A126" s="2240" t="s">
        <v>682</v>
      </c>
      <c r="B126" s="2240" t="s">
        <v>188</v>
      </c>
      <c r="C126" s="2240" t="s">
        <v>477</v>
      </c>
      <c r="D126" s="2240" t="s">
        <v>188</v>
      </c>
      <c r="E126" s="2240" t="s">
        <v>683</v>
      </c>
      <c r="F126" s="2240" t="s">
        <v>684</v>
      </c>
      <c r="G126" s="2240" t="s">
        <v>188</v>
      </c>
      <c r="H126" s="2240" t="s">
        <v>685</v>
      </c>
    </row>
    <row r="127" spans="1:8">
      <c r="A127" s="2240" t="s">
        <v>686</v>
      </c>
      <c r="B127" s="2240">
        <v>1189</v>
      </c>
      <c r="C127" s="2244">
        <v>0.38</v>
      </c>
      <c r="D127" s="2240">
        <v>315</v>
      </c>
      <c r="E127" s="2244">
        <v>0.41</v>
      </c>
      <c r="F127" s="2244">
        <v>0.26</v>
      </c>
      <c r="G127" s="2240">
        <v>555</v>
      </c>
      <c r="H127" s="2244">
        <v>0.39</v>
      </c>
    </row>
    <row r="128" spans="1:8">
      <c r="A128" s="2240" t="s">
        <v>687</v>
      </c>
      <c r="B128" s="2240">
        <v>1355</v>
      </c>
      <c r="C128" s="2244">
        <v>0.43</v>
      </c>
      <c r="D128" s="2240">
        <v>364</v>
      </c>
      <c r="E128" s="2244">
        <v>0.47</v>
      </c>
      <c r="F128" s="2244">
        <v>0.27</v>
      </c>
      <c r="G128" s="2240">
        <v>644</v>
      </c>
      <c r="H128" s="2244">
        <v>0.45</v>
      </c>
    </row>
    <row r="129" spans="1:8">
      <c r="A129" s="2240" t="s">
        <v>688</v>
      </c>
      <c r="B129" s="2240">
        <v>53</v>
      </c>
      <c r="C129" s="2244">
        <v>0.02</v>
      </c>
      <c r="D129" s="2240">
        <v>4</v>
      </c>
      <c r="E129" s="2244">
        <v>0.01</v>
      </c>
      <c r="F129" s="2244">
        <v>0.08</v>
      </c>
      <c r="G129" s="2240">
        <v>7</v>
      </c>
      <c r="H129" s="2244">
        <v>0</v>
      </c>
    </row>
    <row r="130" spans="1:8">
      <c r="A130" s="2240" t="s">
        <v>689</v>
      </c>
      <c r="B130" s="2240">
        <v>545</v>
      </c>
      <c r="C130" s="2244">
        <v>0.17</v>
      </c>
      <c r="D130" s="2240">
        <v>84</v>
      </c>
      <c r="E130" s="2244">
        <v>0.11</v>
      </c>
      <c r="F130" s="2244">
        <v>0.15</v>
      </c>
      <c r="G130" s="2240">
        <v>214</v>
      </c>
      <c r="H130" s="2244">
        <v>0.15</v>
      </c>
    </row>
    <row r="131" spans="1:8">
      <c r="A131" s="2240" t="s">
        <v>487</v>
      </c>
      <c r="B131" s="2245">
        <v>3142</v>
      </c>
      <c r="C131" s="2240"/>
      <c r="D131" s="2240">
        <v>767</v>
      </c>
      <c r="E131" s="2240"/>
      <c r="F131" s="2240"/>
      <c r="G131" s="2240">
        <v>1420</v>
      </c>
      <c r="H131" s="2240"/>
    </row>
    <row r="132" spans="1:8">
      <c r="A132" s="2246"/>
      <c r="B132" s="2246"/>
      <c r="C132" s="2246"/>
      <c r="D132" s="2246"/>
      <c r="E132" s="2246"/>
      <c r="F132" s="2246"/>
      <c r="G132" s="2246"/>
      <c r="H132" s="2246"/>
    </row>
    <row r="133" spans="1:8">
      <c r="A133" s="2237" t="s">
        <v>882</v>
      </c>
      <c r="B133" s="2237"/>
      <c r="C133" s="2237"/>
      <c r="D133" s="2237"/>
      <c r="E133" s="2237"/>
      <c r="F133" s="2237"/>
      <c r="G133" s="2237"/>
      <c r="H133" s="2237"/>
    </row>
    <row r="134" spans="1:8">
      <c r="A134" s="2234" t="s">
        <v>883</v>
      </c>
      <c r="B134" s="2234"/>
      <c r="C134" s="2234"/>
      <c r="D134" s="2234"/>
      <c r="E134" s="2234"/>
      <c r="F134" s="2234"/>
      <c r="G134" s="2234"/>
      <c r="H134" s="2234"/>
    </row>
    <row r="135" spans="1:8">
      <c r="A135" s="2234" t="s">
        <v>884</v>
      </c>
      <c r="B135" s="2234"/>
      <c r="C135" s="2234"/>
      <c r="D135" s="2234"/>
      <c r="E135" s="2234"/>
      <c r="F135" s="2234"/>
      <c r="G135" s="2234"/>
      <c r="H135" s="2234"/>
    </row>
    <row r="136" spans="1:8">
      <c r="A136" s="2234" t="s">
        <v>885</v>
      </c>
      <c r="B136" s="2234"/>
      <c r="C136" s="2234"/>
      <c r="D136" s="2234"/>
      <c r="E136" s="2234"/>
      <c r="F136" s="2234"/>
      <c r="G136" s="2234"/>
      <c r="H136" s="2234"/>
    </row>
    <row r="137" spans="1:8">
      <c r="A137" s="2233"/>
      <c r="B137" s="2233"/>
      <c r="C137" s="2233"/>
      <c r="D137" s="2233"/>
      <c r="E137" s="2233"/>
      <c r="F137" s="2233"/>
      <c r="G137" s="2233"/>
      <c r="H137" s="2233"/>
    </row>
    <row r="138" spans="1:8" ht="15.75">
      <c r="A138" s="2235" t="s">
        <v>690</v>
      </c>
      <c r="B138" s="2233"/>
      <c r="C138" s="2233"/>
      <c r="D138" s="2233"/>
      <c r="E138" s="2233"/>
      <c r="F138" s="2233"/>
      <c r="G138" s="2233"/>
      <c r="H138" s="2233"/>
    </row>
    <row r="139" spans="1:8">
      <c r="A139" s="2233"/>
      <c r="B139" s="2233"/>
      <c r="C139" s="2233"/>
      <c r="D139" s="2233"/>
      <c r="E139" s="2233"/>
      <c r="F139" s="2233"/>
      <c r="G139" s="2233"/>
      <c r="H139" s="2233"/>
    </row>
    <row r="140" spans="1:8">
      <c r="A140" s="2234" t="s">
        <v>880</v>
      </c>
      <c r="B140" s="2233"/>
      <c r="C140" s="2233"/>
      <c r="D140" s="2233"/>
      <c r="E140" s="2233"/>
      <c r="F140" s="2233"/>
      <c r="G140" s="2233"/>
      <c r="H140" s="2233"/>
    </row>
    <row r="141" spans="1:8">
      <c r="A141" s="2234" t="s">
        <v>881</v>
      </c>
      <c r="B141" s="2233"/>
      <c r="C141" s="2233"/>
      <c r="D141" s="2233"/>
      <c r="E141" s="2233"/>
      <c r="F141" s="2233"/>
      <c r="G141" s="2233"/>
      <c r="H141" s="2233"/>
    </row>
    <row r="142" spans="1:8">
      <c r="A142" s="2233"/>
      <c r="B142" s="2233"/>
      <c r="C142" s="2233"/>
      <c r="D142" s="2233"/>
      <c r="E142" s="2233"/>
      <c r="F142" s="2233"/>
      <c r="G142" s="2233"/>
      <c r="H142" s="2233"/>
    </row>
    <row r="143" spans="1:8">
      <c r="A143" s="2234" t="s">
        <v>877</v>
      </c>
      <c r="B143" s="2233"/>
      <c r="C143" s="2233"/>
      <c r="D143" s="2233"/>
      <c r="E143" s="2233"/>
      <c r="F143" s="2233"/>
      <c r="G143" s="2233"/>
      <c r="H143" s="2233"/>
    </row>
    <row r="144" spans="1:8">
      <c r="A144" s="2234" t="s">
        <v>878</v>
      </c>
      <c r="B144" s="2233"/>
      <c r="C144" s="2233"/>
      <c r="D144" s="2233"/>
      <c r="E144" s="2233"/>
      <c r="F144" s="2233"/>
      <c r="G144" s="2233"/>
      <c r="H144" s="2233"/>
    </row>
    <row r="145" spans="1:8">
      <c r="A145" s="2234" t="s">
        <v>879</v>
      </c>
      <c r="B145" s="2233"/>
      <c r="C145" s="2233"/>
      <c r="D145" s="2233"/>
      <c r="E145" s="2233"/>
      <c r="F145" s="2233"/>
      <c r="G145" s="2233"/>
      <c r="H145" s="2233"/>
    </row>
    <row r="146" spans="1:8">
      <c r="A146" s="2233"/>
      <c r="B146" s="2233"/>
      <c r="C146" s="2233"/>
      <c r="D146" s="2233"/>
      <c r="E146" s="2233"/>
      <c r="F146" s="2233"/>
      <c r="G146" s="2233"/>
      <c r="H146" s="2233"/>
    </row>
    <row r="147" spans="1:8">
      <c r="A147" s="2234" t="s">
        <v>874</v>
      </c>
      <c r="B147" s="2233"/>
      <c r="C147" s="2233"/>
      <c r="D147" s="2233"/>
      <c r="E147" s="2233"/>
      <c r="F147" s="2233"/>
      <c r="G147" s="2233"/>
      <c r="H147" s="2233"/>
    </row>
    <row r="148" spans="1:8">
      <c r="A148" s="2234" t="s">
        <v>875</v>
      </c>
      <c r="B148" s="2233"/>
      <c r="C148" s="2233"/>
      <c r="D148" s="2233"/>
      <c r="E148" s="2233"/>
      <c r="F148" s="2233"/>
      <c r="G148" s="2233"/>
      <c r="H148" s="2233"/>
    </row>
    <row r="149" spans="1:8">
      <c r="A149" s="2234" t="s">
        <v>876</v>
      </c>
      <c r="B149" s="2233"/>
      <c r="C149" s="2233"/>
      <c r="D149" s="2233"/>
      <c r="E149" s="2233"/>
      <c r="F149" s="2233"/>
      <c r="G149" s="2233"/>
      <c r="H149" s="2233"/>
    </row>
    <row r="150" spans="1:8">
      <c r="A150" s="2233"/>
      <c r="B150" s="2233"/>
      <c r="C150" s="2233"/>
      <c r="D150" s="2233"/>
      <c r="E150" s="2233"/>
      <c r="F150" s="2233"/>
      <c r="G150" s="2233"/>
      <c r="H150" s="2233"/>
    </row>
    <row r="151" spans="1:8">
      <c r="A151" s="2234" t="s">
        <v>871</v>
      </c>
      <c r="B151" s="2233"/>
      <c r="C151" s="2233"/>
      <c r="D151" s="2233"/>
      <c r="E151" s="2233"/>
      <c r="F151" s="2233"/>
      <c r="G151" s="2233"/>
      <c r="H151" s="2233"/>
    </row>
    <row r="152" spans="1:8">
      <c r="A152" s="2234" t="s">
        <v>872</v>
      </c>
      <c r="B152" s="2233"/>
      <c r="C152" s="2233"/>
      <c r="D152" s="2233"/>
      <c r="E152" s="2233"/>
      <c r="F152" s="2233"/>
      <c r="G152" s="2233"/>
      <c r="H152" s="2233"/>
    </row>
    <row r="153" spans="1:8">
      <c r="A153" s="2234" t="s">
        <v>873</v>
      </c>
      <c r="B153" s="2233"/>
      <c r="C153" s="2233"/>
      <c r="D153" s="2233"/>
      <c r="E153" s="2233"/>
      <c r="F153" s="2233"/>
      <c r="G153" s="2233"/>
      <c r="H153" s="2233"/>
    </row>
    <row r="154" spans="1:8">
      <c r="A154" s="2233"/>
      <c r="B154" s="2233"/>
      <c r="C154" s="2233"/>
      <c r="D154" s="2233"/>
      <c r="E154" s="2233"/>
      <c r="F154" s="2233"/>
      <c r="G154" s="2233"/>
      <c r="H154" s="2233"/>
    </row>
    <row r="155" spans="1:8">
      <c r="A155" s="2234" t="s">
        <v>869</v>
      </c>
      <c r="B155" s="2233"/>
      <c r="C155" s="2233"/>
      <c r="D155" s="2233"/>
      <c r="E155" s="2233"/>
      <c r="F155" s="2233"/>
      <c r="G155" s="2233"/>
      <c r="H155" s="2233"/>
    </row>
    <row r="156" spans="1:8">
      <c r="A156" s="2234" t="s">
        <v>870</v>
      </c>
      <c r="B156" s="2233"/>
      <c r="C156" s="2233"/>
      <c r="D156" s="2233"/>
      <c r="E156" s="2233"/>
      <c r="F156" s="2233"/>
      <c r="G156" s="2233"/>
      <c r="H156" s="2233"/>
    </row>
    <row r="157" spans="1:8">
      <c r="A157" s="2233"/>
      <c r="B157" s="2233"/>
      <c r="C157" s="2233"/>
      <c r="D157" s="2233"/>
      <c r="E157" s="2233"/>
      <c r="F157" s="2233"/>
      <c r="G157" s="2233"/>
      <c r="H157" s="2233"/>
    </row>
    <row r="158" spans="1:8" ht="15.75">
      <c r="A158" s="2235" t="s">
        <v>691</v>
      </c>
      <c r="B158" s="2233"/>
      <c r="C158" s="2233"/>
      <c r="D158" s="2233"/>
      <c r="E158" s="2233"/>
      <c r="F158" s="2233"/>
      <c r="G158" s="2233"/>
      <c r="H158" s="2233"/>
    </row>
    <row r="159" spans="1:8">
      <c r="A159" s="2233"/>
      <c r="B159" s="2233"/>
      <c r="C159" s="2233"/>
      <c r="D159" s="2233"/>
      <c r="E159" s="2233"/>
      <c r="F159" s="2233"/>
      <c r="G159" s="2233"/>
      <c r="H159" s="2233"/>
    </row>
    <row r="160" spans="1:8">
      <c r="A160" s="2234" t="s">
        <v>867</v>
      </c>
      <c r="B160" s="2233"/>
      <c r="C160" s="2233"/>
      <c r="D160" s="2233"/>
      <c r="E160" s="2233"/>
      <c r="F160" s="2233"/>
      <c r="G160" s="2233"/>
      <c r="H160" s="2233"/>
    </row>
    <row r="161" spans="1:8">
      <c r="A161" s="2234" t="s">
        <v>868</v>
      </c>
      <c r="B161" s="2233"/>
      <c r="C161" s="2233"/>
      <c r="D161" s="2233"/>
      <c r="E161" s="2233"/>
      <c r="F161" s="2233"/>
      <c r="G161" s="2233"/>
      <c r="H161" s="2233"/>
    </row>
    <row r="162" spans="1:8">
      <c r="A162" s="2233"/>
      <c r="B162" s="2233"/>
      <c r="C162" s="2233"/>
      <c r="D162" s="2233"/>
      <c r="E162" s="2233"/>
      <c r="F162" s="2233"/>
      <c r="G162" s="2233"/>
      <c r="H162" s="2233"/>
    </row>
    <row r="163" spans="1:8">
      <c r="A163" s="2234" t="s">
        <v>865</v>
      </c>
      <c r="B163" s="2233"/>
      <c r="C163" s="2233"/>
      <c r="D163" s="2233"/>
      <c r="E163" s="2233"/>
      <c r="F163" s="2233"/>
      <c r="G163" s="2233"/>
      <c r="H163" s="2233"/>
    </row>
    <row r="164" spans="1:8">
      <c r="A164" s="2234" t="s">
        <v>866</v>
      </c>
      <c r="B164" s="2233"/>
      <c r="C164" s="2233"/>
      <c r="D164" s="2233"/>
      <c r="E164" s="2233"/>
      <c r="F164" s="2233"/>
      <c r="G164" s="2233"/>
      <c r="H164" s="2233"/>
    </row>
    <row r="165" spans="1:8">
      <c r="A165" s="2233"/>
      <c r="B165" s="2233"/>
      <c r="C165" s="2233"/>
      <c r="D165" s="2233"/>
      <c r="E165" s="2233"/>
      <c r="F165" s="2233"/>
      <c r="G165" s="2233"/>
      <c r="H165" s="2233"/>
    </row>
    <row r="166" spans="1:8">
      <c r="A166" s="2234" t="s">
        <v>863</v>
      </c>
      <c r="B166" s="2233"/>
      <c r="C166" s="2233"/>
      <c r="D166" s="2233"/>
      <c r="E166" s="2233"/>
      <c r="F166" s="2233"/>
      <c r="G166" s="2233"/>
      <c r="H166" s="2233"/>
    </row>
    <row r="167" spans="1:8">
      <c r="A167" s="2234" t="s">
        <v>864</v>
      </c>
      <c r="B167" s="2233"/>
      <c r="C167" s="2233"/>
      <c r="D167" s="2233"/>
      <c r="E167" s="2233"/>
      <c r="F167" s="2233"/>
      <c r="G167" s="2233"/>
      <c r="H167" s="2233"/>
    </row>
    <row r="168" spans="1:8">
      <c r="A168" s="2233"/>
      <c r="B168" s="2233"/>
      <c r="C168" s="2233"/>
      <c r="D168" s="2233"/>
      <c r="E168" s="2233"/>
      <c r="F168" s="2233"/>
      <c r="G168" s="2233"/>
      <c r="H168" s="2233"/>
    </row>
    <row r="169" spans="1:8">
      <c r="A169" s="2234" t="s">
        <v>860</v>
      </c>
      <c r="B169" s="2233"/>
      <c r="C169" s="2233"/>
      <c r="D169" s="2233"/>
      <c r="E169" s="2233"/>
      <c r="F169" s="2233"/>
      <c r="G169" s="2233"/>
      <c r="H169" s="2233"/>
    </row>
    <row r="170" spans="1:8">
      <c r="A170" s="2234" t="s">
        <v>861</v>
      </c>
      <c r="B170" s="2233"/>
      <c r="C170" s="2233"/>
      <c r="D170" s="2233"/>
      <c r="E170" s="2233"/>
      <c r="F170" s="2233"/>
      <c r="G170" s="2233"/>
      <c r="H170" s="2233"/>
    </row>
    <row r="171" spans="1:8">
      <c r="A171" s="2234" t="s">
        <v>862</v>
      </c>
      <c r="B171" s="2233"/>
      <c r="C171" s="2233"/>
      <c r="D171" s="2233"/>
      <c r="E171" s="2233"/>
      <c r="F171" s="2233"/>
      <c r="G171" s="2233"/>
      <c r="H171" s="2233"/>
    </row>
    <row r="172" spans="1:8">
      <c r="A172" s="2233"/>
      <c r="B172" s="2233"/>
      <c r="C172" s="2233"/>
      <c r="D172" s="2233"/>
      <c r="E172" s="2233"/>
      <c r="F172" s="2233"/>
      <c r="G172" s="2233"/>
      <c r="H172" s="2233"/>
    </row>
    <row r="173" spans="1:8">
      <c r="A173" s="2233"/>
      <c r="B173" s="2233"/>
      <c r="C173" s="2233"/>
      <c r="D173" s="2233"/>
      <c r="E173" s="2233"/>
      <c r="F173" s="2233"/>
      <c r="G173" s="2233"/>
      <c r="H173" s="2233"/>
    </row>
    <row r="174" spans="1:8">
      <c r="A174" s="2234" t="s">
        <v>692</v>
      </c>
      <c r="B174" s="2233"/>
      <c r="C174" s="2233"/>
      <c r="D174" s="2233"/>
      <c r="E174" s="2233"/>
      <c r="F174" s="2233"/>
      <c r="G174" s="2233"/>
      <c r="H174" s="2233"/>
    </row>
    <row r="175" spans="1:8">
      <c r="A175" s="2233"/>
      <c r="B175" s="2233"/>
      <c r="C175" s="2233"/>
      <c r="D175" s="2233"/>
      <c r="E175" s="2233"/>
      <c r="F175" s="2233"/>
      <c r="G175" s="2233"/>
      <c r="H175" s="2233"/>
    </row>
    <row r="176" spans="1:8" ht="15.75">
      <c r="A176" s="2235" t="s">
        <v>693</v>
      </c>
      <c r="B176" s="2233"/>
      <c r="C176" s="2233"/>
      <c r="D176" s="2233"/>
      <c r="E176" s="2233"/>
      <c r="F176" s="2233"/>
      <c r="G176" s="2233"/>
      <c r="H176" s="2233"/>
    </row>
    <row r="177" spans="1:8">
      <c r="A177" s="2233"/>
      <c r="B177" s="2233"/>
      <c r="C177" s="2233"/>
      <c r="D177" s="2233"/>
      <c r="E177" s="2233"/>
      <c r="F177" s="2233"/>
      <c r="G177" s="2233"/>
      <c r="H177" s="2233"/>
    </row>
    <row r="178" spans="1:8">
      <c r="A178" s="2233"/>
      <c r="B178" s="2233"/>
      <c r="C178" s="2233"/>
      <c r="D178" s="2233"/>
      <c r="E178" s="2233"/>
      <c r="F178" s="2233"/>
      <c r="G178" s="2233"/>
      <c r="H178" s="2233"/>
    </row>
    <row r="179" spans="1:8">
      <c r="A179" s="2233"/>
      <c r="B179" s="2233"/>
      <c r="C179" s="2233"/>
      <c r="D179" s="2233"/>
      <c r="E179" s="2233"/>
      <c r="F179" s="2233"/>
      <c r="G179" s="2233"/>
      <c r="H179" s="2233"/>
    </row>
    <row r="180" spans="1:8">
      <c r="A180" s="2233"/>
      <c r="B180" s="2233"/>
      <c r="C180" s="2233"/>
      <c r="D180" s="2233"/>
      <c r="E180" s="2233"/>
      <c r="F180" s="2233"/>
      <c r="G180" s="2233"/>
      <c r="H180" s="2233"/>
    </row>
    <row r="181" spans="1:8">
      <c r="A181" s="2233"/>
      <c r="B181" s="2233"/>
      <c r="C181" s="2233"/>
      <c r="D181" s="2233"/>
      <c r="E181" s="2233"/>
      <c r="F181" s="2233"/>
      <c r="G181" s="2233"/>
      <c r="H181" s="2233"/>
    </row>
    <row r="182" spans="1:8">
      <c r="A182" s="2233"/>
      <c r="B182" s="2233"/>
      <c r="C182" s="2233"/>
      <c r="D182" s="2233"/>
      <c r="E182" s="2233"/>
      <c r="F182" s="2233"/>
      <c r="G182" s="2233"/>
      <c r="H182" s="2233"/>
    </row>
    <row r="183" spans="1:8">
      <c r="A183" s="2233"/>
      <c r="B183" s="2233"/>
      <c r="C183" s="2233"/>
      <c r="D183" s="2233"/>
      <c r="E183" s="2233"/>
      <c r="F183" s="2233"/>
      <c r="G183" s="2233"/>
      <c r="H183" s="2233"/>
    </row>
    <row r="184" spans="1:8">
      <c r="A184" s="2233"/>
      <c r="B184" s="2233"/>
      <c r="C184" s="2233"/>
      <c r="D184" s="2233"/>
      <c r="E184" s="2233"/>
      <c r="F184" s="2233"/>
      <c r="G184" s="2233"/>
      <c r="H184" s="2233"/>
    </row>
    <row r="185" spans="1:8">
      <c r="A185" s="2233"/>
      <c r="B185" s="2233"/>
      <c r="C185" s="2233"/>
      <c r="D185" s="2233"/>
      <c r="E185" s="2233"/>
      <c r="F185" s="2233"/>
      <c r="G185" s="2233"/>
      <c r="H185" s="2233"/>
    </row>
    <row r="186" spans="1:8">
      <c r="A186" s="2233"/>
      <c r="B186" s="2233"/>
      <c r="C186" s="2233"/>
      <c r="D186" s="2233"/>
      <c r="E186" s="2233"/>
      <c r="F186" s="2233"/>
      <c r="G186" s="2233"/>
      <c r="H186" s="2233"/>
    </row>
    <row r="187" spans="1:8">
      <c r="A187" s="2233"/>
      <c r="B187" s="2233"/>
      <c r="C187" s="2233"/>
      <c r="D187" s="2233"/>
      <c r="E187" s="2233"/>
      <c r="F187" s="2233"/>
      <c r="G187" s="2233"/>
      <c r="H187" s="2233"/>
    </row>
    <row r="188" spans="1:8">
      <c r="A188" s="2233"/>
      <c r="B188" s="2233"/>
      <c r="C188" s="2233"/>
      <c r="D188" s="2233"/>
      <c r="E188" s="2233"/>
      <c r="F188" s="2233"/>
      <c r="G188" s="2233"/>
      <c r="H188" s="2233"/>
    </row>
    <row r="189" spans="1:8">
      <c r="A189" s="2233"/>
      <c r="B189" s="2233"/>
      <c r="C189" s="2233"/>
      <c r="D189" s="2233"/>
      <c r="E189" s="2233"/>
      <c r="F189" s="2233"/>
      <c r="G189" s="2233"/>
      <c r="H189" s="2233"/>
    </row>
    <row r="190" spans="1:8">
      <c r="A190" s="2233"/>
      <c r="B190" s="2233"/>
      <c r="C190" s="2233"/>
      <c r="D190" s="2233"/>
      <c r="E190" s="2233"/>
      <c r="F190" s="2233"/>
      <c r="G190" s="2233"/>
      <c r="H190" s="2233"/>
    </row>
    <row r="191" spans="1:8">
      <c r="A191" s="2233"/>
      <c r="B191" s="2233"/>
      <c r="C191" s="2233"/>
      <c r="D191" s="2233"/>
      <c r="E191" s="2233"/>
      <c r="F191" s="2233"/>
      <c r="G191" s="2233"/>
      <c r="H191" s="2233"/>
    </row>
    <row r="192" spans="1:8">
      <c r="A192" s="2233"/>
      <c r="B192" s="2233"/>
      <c r="C192" s="2233"/>
      <c r="D192" s="2233"/>
      <c r="E192" s="2233"/>
      <c r="F192" s="2233"/>
      <c r="G192" s="2233"/>
      <c r="H192" s="2233"/>
    </row>
    <row r="193" spans="1:8">
      <c r="A193" s="2233"/>
      <c r="B193" s="2233"/>
      <c r="C193" s="2233"/>
      <c r="D193" s="2233"/>
      <c r="E193" s="2233"/>
      <c r="F193" s="2233"/>
      <c r="G193" s="2233"/>
      <c r="H193" s="2233"/>
    </row>
    <row r="194" spans="1:8">
      <c r="A194" s="2233"/>
      <c r="B194" s="2233"/>
      <c r="C194" s="2233"/>
      <c r="D194" s="2233"/>
      <c r="E194" s="2233"/>
      <c r="F194" s="2233"/>
      <c r="G194" s="2233"/>
      <c r="H194" s="2233"/>
    </row>
    <row r="195" spans="1:8">
      <c r="A195" s="2233"/>
      <c r="B195" s="2233"/>
      <c r="C195" s="2233"/>
      <c r="D195" s="2233"/>
      <c r="E195" s="2233"/>
      <c r="F195" s="2233"/>
      <c r="G195" s="2233"/>
      <c r="H195" s="2233"/>
    </row>
    <row r="196" spans="1:8">
      <c r="A196" s="2233"/>
      <c r="B196" s="2233"/>
      <c r="C196" s="2233"/>
      <c r="D196" s="2233"/>
      <c r="E196" s="2233"/>
      <c r="F196" s="2233"/>
      <c r="G196" s="2233"/>
      <c r="H196" s="2233"/>
    </row>
    <row r="197" spans="1:8">
      <c r="A197" s="2233"/>
      <c r="B197" s="2233"/>
      <c r="C197" s="2233"/>
      <c r="D197" s="2233"/>
      <c r="E197" s="2233"/>
      <c r="F197" s="2233"/>
      <c r="G197" s="2233"/>
      <c r="H197" s="2233"/>
    </row>
    <row r="198" spans="1:8">
      <c r="A198" s="2233"/>
      <c r="B198" s="2233"/>
      <c r="C198" s="2233"/>
      <c r="D198" s="2233"/>
      <c r="E198" s="2233"/>
      <c r="F198" s="2233"/>
      <c r="G198" s="2233"/>
      <c r="H198" s="2233"/>
    </row>
    <row r="199" spans="1:8">
      <c r="A199" s="2233"/>
      <c r="B199" s="2233"/>
      <c r="C199" s="2233"/>
      <c r="D199" s="2233"/>
      <c r="E199" s="2233"/>
      <c r="F199" s="2233"/>
      <c r="G199" s="2233"/>
      <c r="H199" s="2233"/>
    </row>
    <row r="200" spans="1:8">
      <c r="A200" s="2233"/>
      <c r="B200" s="2233"/>
      <c r="C200" s="2233"/>
      <c r="D200" s="2233"/>
      <c r="E200" s="2233"/>
      <c r="F200" s="2233"/>
      <c r="G200" s="2233"/>
      <c r="H200" s="2233"/>
    </row>
    <row r="201" spans="1:8">
      <c r="A201" s="2233"/>
      <c r="B201" s="2233"/>
      <c r="C201" s="2233"/>
      <c r="D201" s="2233"/>
      <c r="E201" s="2233"/>
      <c r="F201" s="2233"/>
      <c r="G201" s="2233"/>
      <c r="H201" s="2233"/>
    </row>
    <row r="202" spans="1:8">
      <c r="A202" s="2233"/>
      <c r="B202" s="2233"/>
      <c r="C202" s="2233"/>
      <c r="D202" s="2233"/>
      <c r="E202" s="2233"/>
      <c r="F202" s="2233"/>
      <c r="G202" s="2233"/>
      <c r="H202" s="2233"/>
    </row>
    <row r="203" spans="1:8" ht="15.75">
      <c r="A203" s="2235" t="s">
        <v>694</v>
      </c>
      <c r="B203" s="2233"/>
      <c r="C203" s="2233"/>
      <c r="D203" s="2233"/>
      <c r="E203" s="2233"/>
      <c r="F203" s="2233"/>
      <c r="G203" s="2233"/>
      <c r="H203" s="2233"/>
    </row>
    <row r="204" spans="1:8">
      <c r="A204" s="2233"/>
      <c r="B204" s="2233"/>
      <c r="C204" s="2233"/>
      <c r="D204" s="2233"/>
      <c r="E204" s="2233"/>
      <c r="F204" s="2233"/>
      <c r="G204" s="2233"/>
      <c r="H204" s="2233"/>
    </row>
    <row r="205" spans="1:8">
      <c r="A205" s="2234" t="s">
        <v>855</v>
      </c>
      <c r="B205" s="2233"/>
      <c r="C205" s="2233"/>
      <c r="D205" s="2233"/>
      <c r="E205" s="2233"/>
      <c r="F205" s="2233"/>
      <c r="G205" s="2233"/>
      <c r="H205" s="2233"/>
    </row>
    <row r="206" spans="1:8">
      <c r="A206" s="2234" t="s">
        <v>856</v>
      </c>
      <c r="B206" s="2233"/>
      <c r="C206" s="2233"/>
      <c r="D206" s="2233"/>
      <c r="E206" s="2233"/>
      <c r="F206" s="2233"/>
      <c r="G206" s="2233"/>
      <c r="H206" s="2233"/>
    </row>
    <row r="207" spans="1:8">
      <c r="A207" s="2234" t="s">
        <v>857</v>
      </c>
      <c r="B207" s="2233"/>
      <c r="C207" s="2233"/>
      <c r="D207" s="2233"/>
      <c r="E207" s="2233"/>
      <c r="F207" s="2233"/>
      <c r="G207" s="2233"/>
      <c r="H207" s="2233"/>
    </row>
    <row r="208" spans="1:8">
      <c r="A208" s="2234" t="s">
        <v>858</v>
      </c>
      <c r="B208" s="2233"/>
      <c r="C208" s="2233"/>
      <c r="D208" s="2233"/>
      <c r="E208" s="2233"/>
      <c r="F208" s="2233"/>
      <c r="G208" s="2233"/>
      <c r="H208" s="2233"/>
    </row>
    <row r="209" spans="1:8">
      <c r="A209" s="2234" t="s">
        <v>859</v>
      </c>
      <c r="B209" s="2233"/>
      <c r="C209" s="2233"/>
      <c r="D209" s="2233"/>
      <c r="E209" s="2233"/>
      <c r="F209" s="2233"/>
      <c r="G209" s="2233"/>
      <c r="H209" s="2233"/>
    </row>
    <row r="210" spans="1:8">
      <c r="A210" s="2233"/>
      <c r="B210" s="2233"/>
      <c r="C210" s="2233"/>
      <c r="D210" s="2233"/>
      <c r="E210" s="2233"/>
      <c r="F210" s="2233"/>
      <c r="G210" s="2233"/>
      <c r="H210" s="2233"/>
    </row>
    <row r="211" spans="1:8">
      <c r="A211" s="2234" t="s">
        <v>852</v>
      </c>
      <c r="B211" s="2233"/>
      <c r="C211" s="2233"/>
      <c r="D211" s="2233"/>
      <c r="E211" s="2233"/>
      <c r="F211" s="2233"/>
      <c r="G211" s="2233"/>
      <c r="H211" s="2233"/>
    </row>
    <row r="212" spans="1:8">
      <c r="A212" s="2234" t="s">
        <v>853</v>
      </c>
      <c r="B212" s="2233"/>
      <c r="C212" s="2233"/>
      <c r="D212" s="2233"/>
      <c r="E212" s="2233"/>
      <c r="F212" s="2233"/>
      <c r="G212" s="2233"/>
      <c r="H212" s="2233"/>
    </row>
    <row r="213" spans="1:8">
      <c r="A213" s="2234" t="s">
        <v>854</v>
      </c>
      <c r="B213" s="2233"/>
      <c r="C213" s="2233"/>
      <c r="D213" s="2233"/>
      <c r="E213" s="2233"/>
      <c r="F213" s="2233"/>
      <c r="G213" s="2233"/>
      <c r="H213" s="2233"/>
    </row>
    <row r="214" spans="1:8" ht="15.75">
      <c r="A214" s="2235" t="s">
        <v>695</v>
      </c>
      <c r="B214" s="2233"/>
      <c r="C214" s="2233"/>
      <c r="D214" s="2233"/>
      <c r="E214" s="2233"/>
      <c r="F214" s="2233"/>
      <c r="G214" s="2233"/>
      <c r="H214" s="2233"/>
    </row>
    <row r="215" spans="1:8">
      <c r="A215" s="2233"/>
      <c r="B215" s="2233"/>
      <c r="C215" s="2233"/>
      <c r="D215" s="2233"/>
      <c r="E215" s="2233"/>
      <c r="F215" s="2233"/>
      <c r="G215" s="2233"/>
      <c r="H215" s="2233"/>
    </row>
    <row r="216" spans="1:8">
      <c r="A216" s="2234" t="s">
        <v>850</v>
      </c>
      <c r="B216" s="2233"/>
      <c r="C216" s="2233"/>
      <c r="D216" s="2233"/>
      <c r="E216" s="2233"/>
      <c r="F216" s="2233"/>
      <c r="G216" s="2233"/>
      <c r="H216" s="2233"/>
    </row>
    <row r="217" spans="1:8">
      <c r="A217" s="2234" t="s">
        <v>851</v>
      </c>
      <c r="B217" s="2233"/>
      <c r="C217" s="2233"/>
      <c r="D217" s="2233"/>
      <c r="E217" s="2233"/>
      <c r="F217" s="2233"/>
      <c r="G217" s="2233"/>
      <c r="H217" s="2233"/>
    </row>
    <row r="218" spans="1:8">
      <c r="A218" s="2233"/>
      <c r="B218" s="2233"/>
      <c r="C218" s="2233"/>
      <c r="D218" s="2233"/>
      <c r="E218" s="2233"/>
      <c r="F218" s="2233"/>
      <c r="G218" s="2233"/>
      <c r="H218" s="2233"/>
    </row>
    <row r="219" spans="1:8">
      <c r="A219" s="2234" t="s">
        <v>843</v>
      </c>
      <c r="B219" s="2233"/>
      <c r="C219" s="2233"/>
      <c r="D219" s="2233"/>
      <c r="E219" s="2233"/>
      <c r="F219" s="2233"/>
      <c r="G219" s="2233"/>
      <c r="H219" s="2233"/>
    </row>
    <row r="220" spans="1:8">
      <c r="A220" s="2234" t="s">
        <v>844</v>
      </c>
      <c r="B220" s="2233"/>
      <c r="C220" s="2233"/>
      <c r="D220" s="2233"/>
      <c r="E220" s="2233"/>
      <c r="F220" s="2233"/>
      <c r="G220" s="2233"/>
      <c r="H220" s="2233"/>
    </row>
    <row r="221" spans="1:8">
      <c r="A221" s="2234" t="s">
        <v>845</v>
      </c>
      <c r="B221" s="2233"/>
      <c r="C221" s="2233"/>
      <c r="D221" s="2233"/>
      <c r="E221" s="2233"/>
      <c r="F221" s="2233"/>
      <c r="G221" s="2233"/>
      <c r="H221" s="2233"/>
    </row>
    <row r="222" spans="1:8">
      <c r="A222" s="2234" t="s">
        <v>846</v>
      </c>
      <c r="B222" s="2233"/>
      <c r="C222" s="2233"/>
      <c r="D222" s="2233"/>
      <c r="E222" s="2233"/>
      <c r="F222" s="2233"/>
      <c r="G222" s="2233"/>
      <c r="H222" s="2233"/>
    </row>
    <row r="223" spans="1:8">
      <c r="A223" s="2234" t="s">
        <v>847</v>
      </c>
      <c r="B223" s="2233"/>
      <c r="C223" s="2233"/>
      <c r="D223" s="2233"/>
      <c r="E223" s="2233"/>
      <c r="F223" s="2233"/>
      <c r="G223" s="2233"/>
      <c r="H223" s="2233"/>
    </row>
    <row r="224" spans="1:8">
      <c r="A224" s="2234" t="s">
        <v>848</v>
      </c>
      <c r="B224" s="2233"/>
      <c r="C224" s="2233"/>
      <c r="D224" s="2233"/>
      <c r="E224" s="2233"/>
      <c r="F224" s="2233"/>
      <c r="G224" s="2233"/>
      <c r="H224" s="2233"/>
    </row>
    <row r="225" spans="1:8">
      <c r="A225" s="2234" t="s">
        <v>849</v>
      </c>
      <c r="B225" s="2233"/>
      <c r="C225" s="2233"/>
      <c r="D225" s="2233"/>
      <c r="E225" s="2233"/>
      <c r="F225" s="2233"/>
      <c r="G225" s="2233"/>
      <c r="H225" s="2233"/>
    </row>
    <row r="226" spans="1:8">
      <c r="A226" s="2233"/>
      <c r="B226" s="2233"/>
      <c r="C226" s="2233"/>
      <c r="D226" s="2233"/>
      <c r="E226" s="2233"/>
      <c r="F226" s="2233"/>
      <c r="G226" s="2233"/>
      <c r="H226" s="2233"/>
    </row>
    <row r="227" spans="1:8">
      <c r="A227" s="2234" t="s">
        <v>840</v>
      </c>
      <c r="B227" s="2233"/>
      <c r="C227" s="2233"/>
      <c r="D227" s="2233"/>
      <c r="E227" s="2233"/>
      <c r="F227" s="2233"/>
      <c r="G227" s="2233"/>
      <c r="H227" s="2233"/>
    </row>
    <row r="228" spans="1:8">
      <c r="A228" s="2234" t="s">
        <v>841</v>
      </c>
      <c r="B228" s="2233"/>
      <c r="C228" s="2233"/>
      <c r="D228" s="2233"/>
      <c r="E228" s="2233"/>
      <c r="F228" s="2233"/>
      <c r="G228" s="2233"/>
      <c r="H228" s="2233"/>
    </row>
    <row r="229" spans="1:8">
      <c r="A229" s="2234" t="s">
        <v>842</v>
      </c>
      <c r="B229" s="2233"/>
      <c r="C229" s="2233"/>
      <c r="D229" s="2233"/>
      <c r="E229" s="2233"/>
      <c r="F229" s="2233"/>
      <c r="G229" s="2233"/>
      <c r="H229" s="2233"/>
    </row>
    <row r="230" spans="1:8">
      <c r="A230" s="2233"/>
      <c r="B230" s="2233"/>
      <c r="C230" s="2233"/>
      <c r="D230" s="2233"/>
      <c r="E230" s="2233"/>
      <c r="F230" s="2233"/>
      <c r="G230" s="2233"/>
      <c r="H230" s="2233"/>
    </row>
    <row r="231" spans="1:8">
      <c r="A231" s="2234" t="s">
        <v>835</v>
      </c>
      <c r="B231" s="2233"/>
      <c r="C231" s="2233"/>
      <c r="D231" s="2233"/>
      <c r="E231" s="2233"/>
      <c r="F231" s="2233"/>
      <c r="G231" s="2233"/>
      <c r="H231" s="2233"/>
    </row>
    <row r="232" spans="1:8">
      <c r="A232" s="2234" t="s">
        <v>836</v>
      </c>
      <c r="B232" s="2233"/>
      <c r="C232" s="2233"/>
      <c r="D232" s="2233"/>
      <c r="E232" s="2233"/>
      <c r="F232" s="2233"/>
      <c r="G232" s="2233"/>
      <c r="H232" s="2233"/>
    </row>
    <row r="233" spans="1:8">
      <c r="A233" s="2234" t="s">
        <v>837</v>
      </c>
      <c r="B233" s="2233"/>
      <c r="C233" s="2233"/>
      <c r="D233" s="2233"/>
      <c r="E233" s="2233"/>
      <c r="F233" s="2233"/>
      <c r="G233" s="2233"/>
      <c r="H233" s="2233"/>
    </row>
    <row r="234" spans="1:8">
      <c r="A234" s="2234" t="s">
        <v>838</v>
      </c>
      <c r="B234" s="2233"/>
      <c r="C234" s="2233"/>
      <c r="D234" s="2233"/>
      <c r="E234" s="2233"/>
      <c r="F234" s="2233"/>
      <c r="G234" s="2233"/>
      <c r="H234" s="2233"/>
    </row>
    <row r="235" spans="1:8">
      <c r="A235" s="2234" t="s">
        <v>839</v>
      </c>
      <c r="B235" s="2233"/>
      <c r="C235" s="2233"/>
      <c r="D235" s="2233"/>
      <c r="E235" s="2233"/>
      <c r="F235" s="2233"/>
      <c r="G235" s="2233"/>
      <c r="H235" s="2233"/>
    </row>
    <row r="236" spans="1:8">
      <c r="A236" s="2233"/>
      <c r="B236" s="2233"/>
      <c r="C236" s="2233"/>
      <c r="D236" s="2233"/>
      <c r="E236" s="2233"/>
      <c r="F236" s="2233"/>
      <c r="G236" s="2233"/>
      <c r="H236" s="2233"/>
    </row>
    <row r="237" spans="1:8">
      <c r="A237" s="2234" t="s">
        <v>829</v>
      </c>
      <c r="B237" s="2233"/>
      <c r="C237" s="2233"/>
      <c r="D237" s="2233"/>
      <c r="E237" s="2233"/>
      <c r="F237" s="2233"/>
      <c r="G237" s="2233"/>
      <c r="H237" s="2233"/>
    </row>
    <row r="238" spans="1:8">
      <c r="A238" s="2234" t="s">
        <v>830</v>
      </c>
      <c r="B238" s="2233"/>
      <c r="C238" s="2233"/>
      <c r="D238" s="2233"/>
      <c r="E238" s="2233"/>
      <c r="F238" s="2233"/>
      <c r="G238" s="2233"/>
      <c r="H238" s="2233"/>
    </row>
    <row r="239" spans="1:8">
      <c r="A239" s="2234" t="s">
        <v>831</v>
      </c>
      <c r="B239" s="2233"/>
      <c r="C239" s="2233"/>
      <c r="D239" s="2233"/>
      <c r="E239" s="2233"/>
      <c r="F239" s="2233"/>
      <c r="G239" s="2233"/>
      <c r="H239" s="2233"/>
    </row>
    <row r="240" spans="1:8">
      <c r="A240" s="2234" t="s">
        <v>832</v>
      </c>
      <c r="B240" s="2233"/>
      <c r="C240" s="2233"/>
      <c r="D240" s="2233"/>
      <c r="E240" s="2233"/>
      <c r="F240" s="2233"/>
      <c r="G240" s="2233"/>
      <c r="H240" s="2233"/>
    </row>
    <row r="241" spans="1:8">
      <c r="A241" s="2234" t="s">
        <v>833</v>
      </c>
      <c r="B241" s="2233"/>
      <c r="C241" s="2233"/>
      <c r="D241" s="2233"/>
      <c r="E241" s="2233"/>
      <c r="F241" s="2233"/>
      <c r="G241" s="2233"/>
      <c r="H241" s="2233"/>
    </row>
    <row r="242" spans="1:8">
      <c r="A242" s="2234" t="s">
        <v>834</v>
      </c>
      <c r="B242" s="2233"/>
      <c r="C242" s="2233"/>
      <c r="D242" s="2233"/>
      <c r="E242" s="2233"/>
      <c r="F242" s="2233"/>
      <c r="G242" s="2233"/>
      <c r="H242" s="2233"/>
    </row>
    <row r="243" spans="1:8">
      <c r="A243" s="2233"/>
      <c r="B243" s="2233"/>
      <c r="C243" s="2233"/>
      <c r="D243" s="2233"/>
      <c r="E243" s="2233"/>
      <c r="F243" s="2233"/>
      <c r="G243" s="2233"/>
      <c r="H243" s="2233"/>
    </row>
    <row r="244" spans="1:8">
      <c r="A244" s="2234" t="s">
        <v>819</v>
      </c>
      <c r="B244" s="2233"/>
      <c r="C244" s="2233"/>
      <c r="D244" s="2233"/>
      <c r="E244" s="2233"/>
      <c r="F244" s="2233"/>
      <c r="G244" s="2233"/>
      <c r="H244" s="2233"/>
    </row>
    <row r="245" spans="1:8">
      <c r="A245" s="2234" t="s">
        <v>820</v>
      </c>
      <c r="B245" s="2233"/>
      <c r="C245" s="2233"/>
      <c r="D245" s="2233"/>
      <c r="E245" s="2233"/>
      <c r="F245" s="2233"/>
      <c r="G245" s="2233"/>
      <c r="H245" s="2233"/>
    </row>
    <row r="246" spans="1:8">
      <c r="A246" s="2234" t="s">
        <v>821</v>
      </c>
      <c r="B246" s="2233"/>
      <c r="C246" s="2233"/>
      <c r="D246" s="2233"/>
      <c r="E246" s="2233"/>
      <c r="F246" s="2233"/>
      <c r="G246" s="2233"/>
      <c r="H246" s="2233"/>
    </row>
    <row r="247" spans="1:8">
      <c r="A247" s="2234" t="s">
        <v>822</v>
      </c>
      <c r="B247" s="2233"/>
      <c r="C247" s="2233"/>
      <c r="D247" s="2233"/>
      <c r="E247" s="2233"/>
      <c r="F247" s="2233"/>
      <c r="G247" s="2233"/>
      <c r="H247" s="2233"/>
    </row>
    <row r="248" spans="1:8">
      <c r="A248" s="2234" t="s">
        <v>823</v>
      </c>
      <c r="B248" s="2233"/>
      <c r="C248" s="2233"/>
      <c r="D248" s="2233"/>
      <c r="E248" s="2233"/>
      <c r="F248" s="2233"/>
      <c r="G248" s="2233"/>
      <c r="H248" s="2233"/>
    </row>
    <row r="249" spans="1:8">
      <c r="A249" s="2234" t="s">
        <v>824</v>
      </c>
      <c r="B249" s="2233"/>
      <c r="C249" s="2233"/>
      <c r="D249" s="2233"/>
      <c r="E249" s="2233"/>
      <c r="F249" s="2233"/>
      <c r="G249" s="2233"/>
      <c r="H249" s="2233"/>
    </row>
    <row r="250" spans="1:8">
      <c r="A250" s="2234" t="s">
        <v>825</v>
      </c>
      <c r="B250" s="2233"/>
      <c r="C250" s="2233"/>
      <c r="D250" s="2233"/>
      <c r="E250" s="2233"/>
      <c r="F250" s="2233"/>
      <c r="G250" s="2233"/>
      <c r="H250" s="2233"/>
    </row>
    <row r="251" spans="1:8">
      <c r="A251" s="2234" t="s">
        <v>826</v>
      </c>
      <c r="B251" s="2233"/>
      <c r="C251" s="2233"/>
      <c r="D251" s="2233"/>
      <c r="E251" s="2233"/>
      <c r="F251" s="2233"/>
      <c r="G251" s="2233"/>
      <c r="H251" s="2233"/>
    </row>
    <row r="252" spans="1:8">
      <c r="A252" s="2234" t="s">
        <v>827</v>
      </c>
      <c r="B252" s="2233"/>
      <c r="C252" s="2233"/>
      <c r="D252" s="2233"/>
      <c r="E252" s="2233"/>
      <c r="F252" s="2233"/>
      <c r="G252" s="2233"/>
      <c r="H252" s="2233"/>
    </row>
    <row r="253" spans="1:8">
      <c r="A253" s="2234" t="s">
        <v>828</v>
      </c>
      <c r="B253" s="2233"/>
      <c r="C253" s="2233"/>
      <c r="D253" s="2233"/>
      <c r="E253" s="2233"/>
      <c r="F253" s="2233"/>
      <c r="G253" s="2233"/>
      <c r="H253" s="2233"/>
    </row>
    <row r="254" spans="1:8">
      <c r="A254" s="2233"/>
      <c r="B254" s="2233"/>
      <c r="C254" s="2233"/>
      <c r="D254" s="2233"/>
      <c r="E254" s="2233"/>
      <c r="F254" s="2233"/>
      <c r="G254" s="2233"/>
      <c r="H254" s="2233"/>
    </row>
    <row r="255" spans="1:8">
      <c r="A255" s="2234" t="s">
        <v>817</v>
      </c>
      <c r="B255" s="2233"/>
      <c r="C255" s="2233"/>
      <c r="D255" s="2233"/>
      <c r="E255" s="2233"/>
      <c r="F255" s="2233"/>
      <c r="G255" s="2233"/>
      <c r="H255" s="2233"/>
    </row>
    <row r="256" spans="1:8">
      <c r="A256" s="2234" t="s">
        <v>818</v>
      </c>
      <c r="B256" s="2233"/>
      <c r="C256" s="2233"/>
      <c r="D256" s="2233"/>
      <c r="E256" s="2233"/>
      <c r="F256" s="2233"/>
      <c r="G256" s="2233"/>
      <c r="H256" s="2233"/>
    </row>
    <row r="257" spans="1:8">
      <c r="A257" s="2233"/>
      <c r="B257" s="2233"/>
      <c r="C257" s="2233"/>
      <c r="D257" s="2233"/>
      <c r="E257" s="2233"/>
      <c r="F257" s="2233"/>
      <c r="G257" s="2233"/>
      <c r="H257" s="2233"/>
    </row>
    <row r="258" spans="1:8">
      <c r="A258" s="2234" t="s">
        <v>801</v>
      </c>
      <c r="B258" s="2233"/>
      <c r="C258" s="2233"/>
      <c r="D258" s="2233"/>
      <c r="E258" s="2233"/>
      <c r="F258" s="2233"/>
      <c r="G258" s="2233"/>
      <c r="H258" s="2233"/>
    </row>
    <row r="259" spans="1:8">
      <c r="A259" s="2234" t="s">
        <v>802</v>
      </c>
      <c r="B259" s="2233"/>
      <c r="C259" s="2233"/>
      <c r="D259" s="2233"/>
      <c r="E259" s="2233"/>
      <c r="F259" s="2233"/>
      <c r="G259" s="2233"/>
      <c r="H259" s="2233"/>
    </row>
    <row r="260" spans="1:8">
      <c r="A260" s="2234" t="s">
        <v>803</v>
      </c>
      <c r="B260" s="2233"/>
      <c r="C260" s="2233"/>
      <c r="D260" s="2233"/>
      <c r="E260" s="2233"/>
      <c r="F260" s="2233"/>
      <c r="G260" s="2233"/>
      <c r="H260" s="2233"/>
    </row>
    <row r="261" spans="1:8">
      <c r="A261" s="2234" t="s">
        <v>804</v>
      </c>
      <c r="B261" s="2233"/>
      <c r="C261" s="2233"/>
      <c r="D261" s="2233"/>
      <c r="E261" s="2233"/>
      <c r="F261" s="2233"/>
      <c r="G261" s="2233"/>
      <c r="H261" s="2233"/>
    </row>
    <row r="262" spans="1:8">
      <c r="A262" s="2234" t="s">
        <v>805</v>
      </c>
      <c r="B262" s="2233"/>
      <c r="C262" s="2233"/>
      <c r="D262" s="2233"/>
      <c r="E262" s="2233"/>
      <c r="F262" s="2233"/>
      <c r="G262" s="2233"/>
      <c r="H262" s="2233"/>
    </row>
    <row r="263" spans="1:8">
      <c r="A263" s="2234" t="s">
        <v>806</v>
      </c>
      <c r="B263" s="2233"/>
      <c r="C263" s="2233"/>
      <c r="D263" s="2233"/>
      <c r="E263" s="2233"/>
      <c r="F263" s="2233"/>
      <c r="G263" s="2233"/>
      <c r="H263" s="2233"/>
    </row>
    <row r="264" spans="1:8">
      <c r="A264" s="2234" t="s">
        <v>807</v>
      </c>
      <c r="B264" s="2233"/>
      <c r="C264" s="2233"/>
      <c r="D264" s="2233"/>
      <c r="E264" s="2233"/>
      <c r="F264" s="2233"/>
      <c r="G264" s="2233"/>
      <c r="H264" s="2233"/>
    </row>
    <row r="265" spans="1:8">
      <c r="A265" s="2234" t="s">
        <v>808</v>
      </c>
      <c r="B265" s="2233"/>
      <c r="C265" s="2233"/>
      <c r="D265" s="2233"/>
      <c r="E265" s="2233"/>
      <c r="F265" s="2233"/>
      <c r="G265" s="2233"/>
      <c r="H265" s="2233"/>
    </row>
    <row r="266" spans="1:8">
      <c r="A266" s="2234" t="s">
        <v>809</v>
      </c>
      <c r="B266" s="2233"/>
      <c r="C266" s="2233"/>
      <c r="D266" s="2233"/>
      <c r="E266" s="2233"/>
      <c r="F266" s="2233"/>
      <c r="G266" s="2233"/>
      <c r="H266" s="2233"/>
    </row>
    <row r="267" spans="1:8">
      <c r="A267" s="2234" t="s">
        <v>810</v>
      </c>
      <c r="B267" s="2233"/>
      <c r="C267" s="2233"/>
      <c r="D267" s="2233"/>
      <c r="E267" s="2233"/>
      <c r="F267" s="2233"/>
      <c r="G267" s="2233"/>
      <c r="H267" s="2233"/>
    </row>
    <row r="268" spans="1:8">
      <c r="A268" s="2234" t="s">
        <v>811</v>
      </c>
      <c r="B268" s="2233"/>
      <c r="C268" s="2233"/>
      <c r="D268" s="2233"/>
      <c r="E268" s="2233"/>
      <c r="F268" s="2233"/>
      <c r="G268" s="2233"/>
      <c r="H268" s="2233"/>
    </row>
    <row r="269" spans="1:8">
      <c r="A269" s="2234" t="s">
        <v>812</v>
      </c>
      <c r="B269" s="2233"/>
      <c r="C269" s="2233"/>
      <c r="D269" s="2233"/>
      <c r="E269" s="2233"/>
      <c r="F269" s="2233"/>
      <c r="G269" s="2233"/>
      <c r="H269" s="2233"/>
    </row>
    <row r="270" spans="1:8">
      <c r="A270" s="2234" t="s">
        <v>813</v>
      </c>
      <c r="B270" s="2233"/>
      <c r="C270" s="2233"/>
      <c r="D270" s="2233"/>
      <c r="E270" s="2233"/>
      <c r="F270" s="2233"/>
      <c r="G270" s="2233"/>
      <c r="H270" s="2233"/>
    </row>
    <row r="271" spans="1:8">
      <c r="A271" s="2234" t="s">
        <v>814</v>
      </c>
      <c r="B271" s="2233"/>
      <c r="C271" s="2233"/>
      <c r="D271" s="2233"/>
      <c r="E271" s="2233"/>
      <c r="F271" s="2233"/>
      <c r="G271" s="2233"/>
      <c r="H271" s="2233"/>
    </row>
    <row r="272" spans="1:8">
      <c r="A272" s="2234" t="s">
        <v>815</v>
      </c>
      <c r="B272" s="2233"/>
      <c r="C272" s="2233"/>
      <c r="D272" s="2233"/>
      <c r="E272" s="2233"/>
      <c r="F272" s="2233"/>
      <c r="G272" s="2233"/>
      <c r="H272" s="2233"/>
    </row>
    <row r="273" spans="1:8">
      <c r="A273" s="2234" t="s">
        <v>816</v>
      </c>
      <c r="B273" s="2233"/>
      <c r="C273" s="2233"/>
      <c r="D273" s="2233"/>
      <c r="E273" s="2233"/>
      <c r="F273" s="2233"/>
      <c r="G273" s="2233"/>
      <c r="H273" s="2233"/>
    </row>
    <row r="274" spans="1:8">
      <c r="A274" s="2233"/>
      <c r="B274" s="2233"/>
      <c r="C274" s="2233"/>
      <c r="D274" s="2233"/>
      <c r="E274" s="2233"/>
      <c r="F274" s="2233"/>
      <c r="G274" s="2233"/>
      <c r="H274" s="2233"/>
    </row>
    <row r="275" spans="1:8">
      <c r="A275" s="2234" t="s">
        <v>794</v>
      </c>
      <c r="B275" s="2233"/>
      <c r="C275" s="2233"/>
      <c r="D275" s="2233"/>
      <c r="E275" s="2233"/>
      <c r="F275" s="2233"/>
      <c r="G275" s="2233"/>
      <c r="H275" s="2233"/>
    </row>
    <row r="276" spans="1:8">
      <c r="A276" s="2234" t="s">
        <v>795</v>
      </c>
      <c r="B276" s="2233"/>
      <c r="C276" s="2233"/>
      <c r="D276" s="2233"/>
      <c r="E276" s="2233"/>
      <c r="F276" s="2233"/>
      <c r="G276" s="2233"/>
      <c r="H276" s="2233"/>
    </row>
    <row r="277" spans="1:8">
      <c r="A277" s="2234" t="s">
        <v>796</v>
      </c>
      <c r="B277" s="2233"/>
      <c r="C277" s="2233"/>
      <c r="D277" s="2233"/>
      <c r="E277" s="2233"/>
      <c r="F277" s="2233"/>
      <c r="G277" s="2233"/>
      <c r="H277" s="2233"/>
    </row>
    <row r="278" spans="1:8">
      <c r="A278" s="2234" t="s">
        <v>797</v>
      </c>
      <c r="B278" s="2233"/>
      <c r="C278" s="2233"/>
      <c r="D278" s="2233"/>
      <c r="E278" s="2233"/>
      <c r="F278" s="2233"/>
      <c r="G278" s="2233"/>
      <c r="H278" s="2233"/>
    </row>
    <row r="279" spans="1:8">
      <c r="A279" s="2234" t="s">
        <v>798</v>
      </c>
      <c r="B279" s="2233"/>
      <c r="C279" s="2233"/>
      <c r="D279" s="2233"/>
      <c r="E279" s="2233"/>
      <c r="F279" s="2233"/>
      <c r="G279" s="2233"/>
      <c r="H279" s="2233"/>
    </row>
    <row r="280" spans="1:8">
      <c r="A280" s="2234" t="s">
        <v>799</v>
      </c>
      <c r="B280" s="2233"/>
      <c r="C280" s="2233"/>
      <c r="D280" s="2233"/>
      <c r="E280" s="2233"/>
      <c r="F280" s="2233"/>
      <c r="G280" s="2233"/>
      <c r="H280" s="2233"/>
    </row>
    <row r="281" spans="1:8">
      <c r="A281" s="2234" t="s">
        <v>800</v>
      </c>
      <c r="B281" s="2233"/>
      <c r="C281" s="2233"/>
      <c r="D281" s="2233"/>
      <c r="E281" s="2233"/>
      <c r="F281" s="2233"/>
      <c r="G281" s="2233"/>
      <c r="H281" s="2233"/>
    </row>
    <row r="282" spans="1:8">
      <c r="A282" s="2233"/>
      <c r="B282" s="2233"/>
      <c r="C282" s="2233"/>
      <c r="D282" s="2233"/>
      <c r="E282" s="2233"/>
      <c r="F282" s="2233"/>
      <c r="G282" s="2233"/>
      <c r="H282" s="2233"/>
    </row>
    <row r="283" spans="1:8">
      <c r="A283" s="2234" t="s">
        <v>785</v>
      </c>
      <c r="B283" s="2233"/>
      <c r="C283" s="2233"/>
      <c r="D283" s="2233"/>
      <c r="E283" s="2233"/>
      <c r="F283" s="2233"/>
      <c r="G283" s="2233"/>
      <c r="H283" s="2233"/>
    </row>
    <row r="284" spans="1:8">
      <c r="A284" s="2234" t="s">
        <v>786</v>
      </c>
      <c r="B284" s="2233"/>
      <c r="C284" s="2233"/>
      <c r="D284" s="2233"/>
      <c r="E284" s="2233"/>
      <c r="F284" s="2233"/>
      <c r="G284" s="2233"/>
      <c r="H284" s="2233"/>
    </row>
    <row r="285" spans="1:8">
      <c r="A285" s="2234" t="s">
        <v>787</v>
      </c>
      <c r="B285" s="2233"/>
      <c r="C285" s="2233"/>
      <c r="D285" s="2233"/>
      <c r="E285" s="2233"/>
      <c r="F285" s="2233"/>
      <c r="G285" s="2233"/>
      <c r="H285" s="2233"/>
    </row>
    <row r="286" spans="1:8">
      <c r="A286" s="2234" t="s">
        <v>788</v>
      </c>
      <c r="B286" s="2233"/>
      <c r="C286" s="2233"/>
      <c r="D286" s="2233"/>
      <c r="E286" s="2233"/>
      <c r="F286" s="2233"/>
      <c r="G286" s="2233"/>
      <c r="H286" s="2233"/>
    </row>
    <row r="287" spans="1:8">
      <c r="A287" s="2234" t="s">
        <v>789</v>
      </c>
      <c r="B287" s="2233"/>
      <c r="C287" s="2233"/>
      <c r="D287" s="2233"/>
      <c r="E287" s="2233"/>
      <c r="F287" s="2233"/>
      <c r="G287" s="2233"/>
      <c r="H287" s="2233"/>
    </row>
    <row r="288" spans="1:8">
      <c r="A288" s="2234" t="s">
        <v>790</v>
      </c>
      <c r="B288" s="2233"/>
      <c r="C288" s="2233"/>
      <c r="D288" s="2233"/>
      <c r="E288" s="2233"/>
      <c r="F288" s="2233"/>
      <c r="G288" s="2233"/>
      <c r="H288" s="2233"/>
    </row>
    <row r="289" spans="1:8">
      <c r="A289" s="2234" t="s">
        <v>791</v>
      </c>
      <c r="B289" s="2233"/>
      <c r="C289" s="2233"/>
      <c r="D289" s="2233"/>
      <c r="E289" s="2233"/>
      <c r="F289" s="2233"/>
      <c r="G289" s="2233"/>
      <c r="H289" s="2233"/>
    </row>
    <row r="290" spans="1:8">
      <c r="A290" s="2234" t="s">
        <v>792</v>
      </c>
      <c r="B290" s="2233"/>
      <c r="C290" s="2233"/>
      <c r="D290" s="2233"/>
      <c r="E290" s="2233"/>
      <c r="F290" s="2233"/>
      <c r="G290" s="2233"/>
      <c r="H290" s="2233"/>
    </row>
    <row r="291" spans="1:8">
      <c r="A291" s="2234" t="s">
        <v>793</v>
      </c>
      <c r="B291" s="2233"/>
      <c r="C291" s="2233"/>
      <c r="D291" s="2233"/>
      <c r="E291" s="2233"/>
      <c r="F291" s="2233"/>
      <c r="G291" s="2233"/>
      <c r="H291" s="2233"/>
    </row>
    <row r="292" spans="1:8">
      <c r="A292" s="2233"/>
      <c r="B292" s="2233"/>
      <c r="C292" s="2233"/>
      <c r="D292" s="2233"/>
      <c r="E292" s="2233"/>
      <c r="F292" s="2233"/>
      <c r="G292" s="2233"/>
      <c r="H292" s="2233"/>
    </row>
    <row r="293" spans="1:8">
      <c r="A293" s="2234" t="s">
        <v>778</v>
      </c>
      <c r="B293" s="2233"/>
      <c r="C293" s="2233"/>
      <c r="D293" s="2233"/>
      <c r="E293" s="2233"/>
      <c r="F293" s="2233"/>
      <c r="G293" s="2233"/>
      <c r="H293" s="2233"/>
    </row>
    <row r="294" spans="1:8">
      <c r="A294" s="2234" t="s">
        <v>779</v>
      </c>
      <c r="B294" s="2233"/>
      <c r="C294" s="2233"/>
      <c r="D294" s="2233"/>
      <c r="E294" s="2233"/>
      <c r="F294" s="2233"/>
      <c r="G294" s="2233"/>
      <c r="H294" s="2233"/>
    </row>
    <row r="295" spans="1:8">
      <c r="A295" s="2234" t="s">
        <v>780</v>
      </c>
      <c r="B295" s="2233"/>
      <c r="C295" s="2233"/>
      <c r="D295" s="2233"/>
      <c r="E295" s="2233"/>
      <c r="F295" s="2233"/>
      <c r="G295" s="2233"/>
      <c r="H295" s="2233"/>
    </row>
    <row r="296" spans="1:8">
      <c r="A296" s="2234" t="s">
        <v>781</v>
      </c>
      <c r="B296" s="2233"/>
      <c r="C296" s="2233"/>
      <c r="D296" s="2233"/>
      <c r="E296" s="2233"/>
      <c r="F296" s="2233"/>
      <c r="G296" s="2233"/>
      <c r="H296" s="2233"/>
    </row>
    <row r="297" spans="1:8">
      <c r="A297" s="2234" t="s">
        <v>782</v>
      </c>
      <c r="B297" s="2233"/>
      <c r="C297" s="2233"/>
      <c r="D297" s="2233"/>
      <c r="E297" s="2233"/>
      <c r="F297" s="2233"/>
      <c r="G297" s="2233"/>
      <c r="H297" s="2233"/>
    </row>
    <row r="298" spans="1:8">
      <c r="A298" s="2234" t="s">
        <v>783</v>
      </c>
      <c r="B298" s="2233"/>
      <c r="C298" s="2233"/>
      <c r="D298" s="2233"/>
      <c r="E298" s="2233"/>
      <c r="F298" s="2233"/>
      <c r="G298" s="2233"/>
      <c r="H298" s="2233"/>
    </row>
    <row r="299" spans="1:8">
      <c r="A299" s="2234" t="s">
        <v>784</v>
      </c>
      <c r="B299" s="2233"/>
      <c r="C299" s="2233"/>
      <c r="D299" s="2233"/>
      <c r="E299" s="2233"/>
      <c r="F299" s="2233"/>
      <c r="G299" s="2233"/>
      <c r="H299" s="2233"/>
    </row>
    <row r="300" spans="1:8">
      <c r="A300" s="2233"/>
      <c r="B300" s="2233"/>
      <c r="C300" s="2233"/>
      <c r="D300" s="2233"/>
      <c r="E300" s="2233"/>
      <c r="F300" s="2233"/>
      <c r="G300" s="2233"/>
      <c r="H300" s="2233"/>
    </row>
    <row r="301" spans="1:8">
      <c r="A301" s="2234" t="s">
        <v>775</v>
      </c>
      <c r="B301" s="2233"/>
      <c r="C301" s="2233"/>
      <c r="D301" s="2233"/>
      <c r="E301" s="2233"/>
      <c r="F301" s="2233"/>
      <c r="G301" s="2233"/>
      <c r="H301" s="2233"/>
    </row>
    <row r="302" spans="1:8">
      <c r="A302" s="2234" t="s">
        <v>776</v>
      </c>
      <c r="B302" s="2233"/>
      <c r="C302" s="2233"/>
      <c r="D302" s="2233"/>
      <c r="E302" s="2233"/>
      <c r="F302" s="2233"/>
      <c r="G302" s="2233"/>
      <c r="H302" s="2233"/>
    </row>
    <row r="303" spans="1:8">
      <c r="A303" s="2234" t="s">
        <v>777</v>
      </c>
      <c r="B303" s="2233"/>
      <c r="C303" s="2233"/>
      <c r="D303" s="2233"/>
      <c r="E303" s="2233"/>
      <c r="F303" s="2233"/>
      <c r="G303" s="2233"/>
      <c r="H303" s="2233"/>
    </row>
    <row r="304" spans="1:8">
      <c r="A304" s="2233"/>
      <c r="B304" s="2233"/>
      <c r="C304" s="2233"/>
      <c r="D304" s="2233"/>
      <c r="E304" s="2233"/>
      <c r="F304" s="2233"/>
      <c r="G304" s="2233"/>
      <c r="H304" s="2233"/>
    </row>
    <row r="305" spans="1:8">
      <c r="A305" s="2234" t="s">
        <v>773</v>
      </c>
      <c r="B305" s="2233"/>
      <c r="C305" s="2233"/>
      <c r="D305" s="2233"/>
      <c r="E305" s="2233"/>
      <c r="F305" s="2233"/>
      <c r="G305" s="2233"/>
      <c r="H305" s="2233"/>
    </row>
    <row r="306" spans="1:8">
      <c r="A306" s="2234" t="s">
        <v>774</v>
      </c>
      <c r="B306" s="2233"/>
      <c r="C306" s="2233"/>
      <c r="D306" s="2233"/>
      <c r="E306" s="2233"/>
      <c r="F306" s="2233"/>
      <c r="G306" s="2233"/>
      <c r="H306" s="2233"/>
    </row>
    <row r="307" spans="1:8">
      <c r="A307" s="2233"/>
      <c r="B307" s="2233"/>
      <c r="C307" s="2233"/>
      <c r="D307" s="2233"/>
      <c r="E307" s="2233"/>
      <c r="F307" s="2233"/>
      <c r="G307" s="2233"/>
      <c r="H307" s="2233"/>
    </row>
    <row r="308" spans="1:8">
      <c r="A308" s="2234" t="s">
        <v>760</v>
      </c>
      <c r="B308" s="2233"/>
      <c r="C308" s="2233"/>
      <c r="D308" s="2233"/>
      <c r="E308" s="2233"/>
      <c r="F308" s="2233"/>
      <c r="G308" s="2233"/>
      <c r="H308" s="2233"/>
    </row>
    <row r="309" spans="1:8">
      <c r="A309" s="2234" t="s">
        <v>761</v>
      </c>
      <c r="B309" s="2233"/>
      <c r="C309" s="2233"/>
      <c r="D309" s="2233"/>
      <c r="E309" s="2233"/>
      <c r="F309" s="2233"/>
      <c r="G309" s="2233"/>
      <c r="H309" s="2233"/>
    </row>
    <row r="310" spans="1:8">
      <c r="A310" s="2234" t="s">
        <v>762</v>
      </c>
      <c r="B310" s="2233"/>
      <c r="C310" s="2233"/>
      <c r="D310" s="2233"/>
      <c r="E310" s="2233"/>
      <c r="F310" s="2233"/>
      <c r="G310" s="2233"/>
      <c r="H310" s="2233"/>
    </row>
    <row r="311" spans="1:8">
      <c r="A311" s="2234" t="s">
        <v>763</v>
      </c>
      <c r="B311" s="2233"/>
      <c r="C311" s="2233"/>
      <c r="D311" s="2233"/>
      <c r="E311" s="2233"/>
      <c r="F311" s="2233"/>
      <c r="G311" s="2233"/>
      <c r="H311" s="2233"/>
    </row>
    <row r="312" spans="1:8">
      <c r="A312" s="2234" t="s">
        <v>764</v>
      </c>
      <c r="B312" s="2233"/>
      <c r="C312" s="2233"/>
      <c r="D312" s="2233"/>
      <c r="E312" s="2233"/>
      <c r="F312" s="2233"/>
      <c r="G312" s="2233"/>
      <c r="H312" s="2233"/>
    </row>
    <row r="313" spans="1:8">
      <c r="A313" s="2234" t="s">
        <v>765</v>
      </c>
      <c r="B313" s="2233"/>
      <c r="C313" s="2233"/>
      <c r="D313" s="2233"/>
      <c r="E313" s="2233"/>
      <c r="F313" s="2233"/>
      <c r="G313" s="2233"/>
      <c r="H313" s="2233"/>
    </row>
    <row r="314" spans="1:8">
      <c r="A314" s="2234" t="s">
        <v>766</v>
      </c>
      <c r="B314" s="2233"/>
      <c r="C314" s="2233"/>
      <c r="D314" s="2233"/>
      <c r="E314" s="2233"/>
      <c r="F314" s="2233"/>
      <c r="G314" s="2233"/>
      <c r="H314" s="2233"/>
    </row>
    <row r="315" spans="1:8">
      <c r="A315" s="2234" t="s">
        <v>767</v>
      </c>
      <c r="B315" s="2233"/>
      <c r="C315" s="2233"/>
      <c r="D315" s="2233"/>
      <c r="E315" s="2233"/>
      <c r="F315" s="2233"/>
      <c r="G315" s="2233"/>
      <c r="H315" s="2233"/>
    </row>
    <row r="316" spans="1:8">
      <c r="A316" s="2234" t="s">
        <v>768</v>
      </c>
      <c r="B316" s="2233"/>
      <c r="C316" s="2233"/>
      <c r="D316" s="2233"/>
      <c r="E316" s="2233"/>
      <c r="F316" s="2233"/>
      <c r="G316" s="2233"/>
      <c r="H316" s="2233"/>
    </row>
    <row r="317" spans="1:8">
      <c r="A317" s="2234" t="s">
        <v>769</v>
      </c>
      <c r="B317" s="2233"/>
      <c r="C317" s="2233"/>
      <c r="D317" s="2233"/>
      <c r="E317" s="2233"/>
      <c r="F317" s="2233"/>
      <c r="G317" s="2233"/>
      <c r="H317" s="2233"/>
    </row>
    <row r="318" spans="1:8">
      <c r="A318" s="2234" t="s">
        <v>770</v>
      </c>
      <c r="B318" s="2233"/>
      <c r="C318" s="2233"/>
      <c r="D318" s="2233"/>
      <c r="E318" s="2233"/>
      <c r="F318" s="2233"/>
      <c r="G318" s="2233"/>
      <c r="H318" s="2233"/>
    </row>
    <row r="319" spans="1:8">
      <c r="A319" s="2234" t="s">
        <v>771</v>
      </c>
      <c r="B319" s="2233"/>
      <c r="C319" s="2233"/>
      <c r="D319" s="2233"/>
      <c r="E319" s="2233"/>
      <c r="F319" s="2233"/>
      <c r="G319" s="2233"/>
      <c r="H319" s="2233"/>
    </row>
    <row r="320" spans="1:8">
      <c r="A320" s="2234" t="s">
        <v>772</v>
      </c>
      <c r="B320" s="2233"/>
      <c r="C320" s="2233"/>
      <c r="D320" s="2233"/>
      <c r="E320" s="2233"/>
      <c r="F320" s="2233"/>
      <c r="G320" s="2233"/>
      <c r="H320" s="2233"/>
    </row>
    <row r="321" spans="1:8">
      <c r="A321" s="2233"/>
      <c r="B321" s="2233"/>
      <c r="C321" s="2233"/>
      <c r="D321" s="2233"/>
      <c r="E321" s="2233"/>
      <c r="F321" s="2233"/>
      <c r="G321" s="2233"/>
      <c r="H321" s="2233"/>
    </row>
    <row r="322" spans="1:8">
      <c r="A322" s="2234" t="s">
        <v>752</v>
      </c>
      <c r="B322" s="2233"/>
      <c r="C322" s="2233"/>
      <c r="D322" s="2233"/>
      <c r="E322" s="2233"/>
      <c r="F322" s="2233"/>
      <c r="G322" s="2233"/>
      <c r="H322" s="2233"/>
    </row>
    <row r="323" spans="1:8">
      <c r="A323" s="2234" t="s">
        <v>753</v>
      </c>
      <c r="B323" s="2233"/>
      <c r="C323" s="2233"/>
      <c r="D323" s="2233"/>
      <c r="E323" s="2233"/>
      <c r="F323" s="2233"/>
      <c r="G323" s="2233"/>
      <c r="H323" s="2233"/>
    </row>
    <row r="324" spans="1:8">
      <c r="A324" s="2234" t="s">
        <v>754</v>
      </c>
      <c r="B324" s="2233"/>
      <c r="C324" s="2233"/>
      <c r="D324" s="2233"/>
      <c r="E324" s="2233"/>
      <c r="F324" s="2233"/>
      <c r="G324" s="2233"/>
      <c r="H324" s="2233"/>
    </row>
    <row r="325" spans="1:8">
      <c r="A325" s="2234" t="s">
        <v>755</v>
      </c>
      <c r="B325" s="2233"/>
      <c r="C325" s="2233"/>
      <c r="D325" s="2233"/>
      <c r="E325" s="2233"/>
      <c r="F325" s="2233"/>
      <c r="G325" s="2233"/>
      <c r="H325" s="2233"/>
    </row>
    <row r="326" spans="1:8">
      <c r="A326" s="2234" t="s">
        <v>756</v>
      </c>
      <c r="B326" s="2233"/>
      <c r="C326" s="2233"/>
      <c r="D326" s="2233"/>
      <c r="E326" s="2233"/>
      <c r="F326" s="2233"/>
      <c r="G326" s="2233"/>
      <c r="H326" s="2233"/>
    </row>
    <row r="327" spans="1:8">
      <c r="A327" s="2234" t="s">
        <v>757</v>
      </c>
      <c r="B327" s="2233"/>
      <c r="C327" s="2233"/>
      <c r="D327" s="2233"/>
      <c r="E327" s="2233"/>
      <c r="F327" s="2233"/>
      <c r="G327" s="2233"/>
      <c r="H327" s="2233"/>
    </row>
    <row r="328" spans="1:8">
      <c r="A328" s="2234" t="s">
        <v>758</v>
      </c>
      <c r="B328" s="2233"/>
      <c r="C328" s="2233"/>
      <c r="D328" s="2233"/>
      <c r="E328" s="2233"/>
      <c r="F328" s="2233"/>
      <c r="G328" s="2233"/>
      <c r="H328" s="2233"/>
    </row>
    <row r="329" spans="1:8">
      <c r="A329" s="2234" t="s">
        <v>759</v>
      </c>
      <c r="B329" s="2233"/>
      <c r="C329" s="2233"/>
      <c r="D329" s="2233"/>
      <c r="E329" s="2233"/>
      <c r="F329" s="2233"/>
      <c r="G329" s="2233"/>
      <c r="H329" s="2233"/>
    </row>
    <row r="330" spans="1:8">
      <c r="A330" s="2233"/>
      <c r="B330" s="2233"/>
      <c r="C330" s="2233"/>
      <c r="D330" s="2233"/>
      <c r="E330" s="2233"/>
      <c r="F330" s="2233"/>
      <c r="G330" s="2233"/>
      <c r="H330" s="2233"/>
    </row>
    <row r="331" spans="1:8">
      <c r="A331" s="2234" t="s">
        <v>717</v>
      </c>
      <c r="B331" s="2233"/>
      <c r="C331" s="2233"/>
      <c r="D331" s="2233"/>
      <c r="E331" s="2233"/>
      <c r="F331" s="2233"/>
      <c r="G331" s="2233"/>
      <c r="H331" s="2233"/>
    </row>
    <row r="332" spans="1:8">
      <c r="A332" s="2234" t="s">
        <v>718</v>
      </c>
      <c r="B332" s="2233"/>
      <c r="C332" s="2233"/>
      <c r="D332" s="2233"/>
      <c r="E332" s="2233"/>
      <c r="F332" s="2233"/>
      <c r="G332" s="2233"/>
      <c r="H332" s="2233"/>
    </row>
    <row r="333" spans="1:8">
      <c r="A333" s="2234" t="s">
        <v>719</v>
      </c>
      <c r="B333" s="2233"/>
      <c r="C333" s="2233"/>
      <c r="D333" s="2233"/>
      <c r="E333" s="2233"/>
      <c r="F333" s="2233"/>
      <c r="G333" s="2233"/>
      <c r="H333" s="2233"/>
    </row>
    <row r="334" spans="1:8">
      <c r="A334" s="2234" t="s">
        <v>720</v>
      </c>
      <c r="B334" s="2233"/>
      <c r="C334" s="2233"/>
      <c r="D334" s="2233"/>
      <c r="E334" s="2233"/>
      <c r="F334" s="2233"/>
      <c r="G334" s="2233"/>
      <c r="H334" s="2233"/>
    </row>
    <row r="335" spans="1:8">
      <c r="A335" s="2234" t="s">
        <v>721</v>
      </c>
      <c r="B335" s="2233"/>
      <c r="C335" s="2233"/>
      <c r="D335" s="2233"/>
      <c r="E335" s="2233"/>
      <c r="F335" s="2233"/>
      <c r="G335" s="2233"/>
      <c r="H335" s="2233"/>
    </row>
    <row r="336" spans="1:8">
      <c r="A336" s="2234" t="s">
        <v>722</v>
      </c>
      <c r="B336" s="2233"/>
      <c r="C336" s="2233"/>
      <c r="D336" s="2233"/>
      <c r="E336" s="2233"/>
      <c r="F336" s="2233"/>
      <c r="G336" s="2233"/>
      <c r="H336" s="2233"/>
    </row>
    <row r="337" spans="1:8">
      <c r="A337" s="2234" t="s">
        <v>723</v>
      </c>
      <c r="B337" s="2233"/>
      <c r="C337" s="2233"/>
      <c r="D337" s="2233"/>
      <c r="E337" s="2233"/>
      <c r="F337" s="2233"/>
      <c r="G337" s="2233"/>
      <c r="H337" s="2233"/>
    </row>
    <row r="338" spans="1:8">
      <c r="A338" s="2234" t="s">
        <v>724</v>
      </c>
      <c r="B338" s="2233"/>
      <c r="C338" s="2233"/>
      <c r="D338" s="2233"/>
      <c r="E338" s="2233"/>
      <c r="F338" s="2233"/>
      <c r="G338" s="2233"/>
      <c r="H338" s="2233"/>
    </row>
    <row r="339" spans="1:8">
      <c r="A339" s="2234" t="s">
        <v>725</v>
      </c>
      <c r="B339" s="2233"/>
      <c r="C339" s="2233"/>
      <c r="D339" s="2233"/>
      <c r="E339" s="2233"/>
      <c r="F339" s="2233"/>
      <c r="G339" s="2233"/>
      <c r="H339" s="2233"/>
    </row>
    <row r="340" spans="1:8">
      <c r="A340" s="2234" t="s">
        <v>726</v>
      </c>
      <c r="B340" s="2233"/>
      <c r="C340" s="2233"/>
      <c r="D340" s="2233"/>
      <c r="E340" s="2233"/>
      <c r="F340" s="2233"/>
      <c r="G340" s="2233"/>
      <c r="H340" s="2233"/>
    </row>
    <row r="341" spans="1:8">
      <c r="A341" s="2234" t="s">
        <v>727</v>
      </c>
      <c r="B341" s="2233"/>
      <c r="C341" s="2233"/>
      <c r="D341" s="2233"/>
      <c r="E341" s="2233"/>
      <c r="F341" s="2233"/>
      <c r="G341" s="2233"/>
      <c r="H341" s="2233"/>
    </row>
    <row r="342" spans="1:8">
      <c r="A342" s="2234" t="s">
        <v>728</v>
      </c>
      <c r="B342" s="2233"/>
      <c r="C342" s="2233"/>
      <c r="D342" s="2233"/>
      <c r="E342" s="2233"/>
      <c r="F342" s="2233"/>
      <c r="G342" s="2233"/>
      <c r="H342" s="2233"/>
    </row>
    <row r="343" spans="1:8">
      <c r="A343" s="2234" t="s">
        <v>729</v>
      </c>
      <c r="B343" s="2233"/>
      <c r="C343" s="2233"/>
      <c r="D343" s="2233"/>
      <c r="E343" s="2233"/>
      <c r="F343" s="2233"/>
      <c r="G343" s="2233"/>
      <c r="H343" s="2233"/>
    </row>
    <row r="344" spans="1:8">
      <c r="A344" s="2234" t="s">
        <v>730</v>
      </c>
      <c r="B344" s="2233"/>
      <c r="C344" s="2233"/>
      <c r="D344" s="2233"/>
      <c r="E344" s="2233"/>
      <c r="F344" s="2233"/>
      <c r="G344" s="2233"/>
      <c r="H344" s="2233"/>
    </row>
    <row r="345" spans="1:8">
      <c r="A345" s="2234" t="s">
        <v>731</v>
      </c>
      <c r="B345" s="2233"/>
      <c r="C345" s="2233"/>
      <c r="D345" s="2233"/>
      <c r="E345" s="2233"/>
      <c r="F345" s="2233"/>
      <c r="G345" s="2233"/>
      <c r="H345" s="2233"/>
    </row>
    <row r="346" spans="1:8">
      <c r="A346" s="2234" t="s">
        <v>732</v>
      </c>
      <c r="B346" s="2233"/>
      <c r="C346" s="2233"/>
      <c r="D346" s="2233"/>
      <c r="E346" s="2233"/>
      <c r="F346" s="2233"/>
      <c r="G346" s="2233"/>
      <c r="H346" s="2233"/>
    </row>
    <row r="347" spans="1:8">
      <c r="A347" s="2234" t="s">
        <v>733</v>
      </c>
      <c r="B347" s="2233"/>
      <c r="C347" s="2233"/>
      <c r="D347" s="2233"/>
      <c r="E347" s="2233"/>
      <c r="F347" s="2233"/>
      <c r="G347" s="2233"/>
      <c r="H347" s="2233"/>
    </row>
    <row r="348" spans="1:8">
      <c r="A348" s="2234" t="s">
        <v>734</v>
      </c>
      <c r="B348" s="2233"/>
      <c r="C348" s="2233"/>
      <c r="D348" s="2233"/>
      <c r="E348" s="2233"/>
      <c r="F348" s="2233"/>
      <c r="G348" s="2233"/>
      <c r="H348" s="2233"/>
    </row>
    <row r="349" spans="1:8">
      <c r="A349" s="2234" t="s">
        <v>735</v>
      </c>
      <c r="B349" s="2233"/>
      <c r="C349" s="2233"/>
      <c r="D349" s="2233"/>
      <c r="E349" s="2233"/>
      <c r="F349" s="2233"/>
      <c r="G349" s="2233"/>
      <c r="H349" s="2233"/>
    </row>
    <row r="350" spans="1:8">
      <c r="A350" s="2234" t="s">
        <v>736</v>
      </c>
      <c r="B350" s="2233"/>
      <c r="C350" s="2233"/>
      <c r="D350" s="2233"/>
      <c r="E350" s="2233"/>
      <c r="F350" s="2233"/>
      <c r="G350" s="2233"/>
      <c r="H350" s="2233"/>
    </row>
    <row r="351" spans="1:8">
      <c r="A351" s="2234" t="s">
        <v>737</v>
      </c>
      <c r="B351" s="2233"/>
      <c r="C351" s="2233"/>
      <c r="D351" s="2233"/>
      <c r="E351" s="2233"/>
      <c r="F351" s="2233"/>
      <c r="G351" s="2233"/>
      <c r="H351" s="2233"/>
    </row>
    <row r="352" spans="1:8">
      <c r="A352" s="2234" t="s">
        <v>738</v>
      </c>
      <c r="B352" s="2233"/>
      <c r="C352" s="2233"/>
      <c r="D352" s="2233"/>
      <c r="E352" s="2233"/>
      <c r="F352" s="2233"/>
      <c r="G352" s="2233"/>
      <c r="H352" s="2233"/>
    </row>
    <row r="353" spans="1:8">
      <c r="A353" s="2234" t="s">
        <v>739</v>
      </c>
      <c r="B353" s="2233"/>
      <c r="C353" s="2233"/>
      <c r="D353" s="2233"/>
      <c r="E353" s="2233"/>
      <c r="F353" s="2233"/>
      <c r="G353" s="2233"/>
      <c r="H353" s="2233"/>
    </row>
    <row r="354" spans="1:8">
      <c r="A354" s="2234" t="s">
        <v>740</v>
      </c>
      <c r="B354" s="2233"/>
      <c r="C354" s="2233"/>
      <c r="D354" s="2233"/>
      <c r="E354" s="2233"/>
      <c r="F354" s="2233"/>
      <c r="G354" s="2233"/>
      <c r="H354" s="2233"/>
    </row>
    <row r="355" spans="1:8">
      <c r="A355" s="2234" t="s">
        <v>741</v>
      </c>
      <c r="B355" s="2233"/>
      <c r="C355" s="2233"/>
      <c r="D355" s="2233"/>
      <c r="E355" s="2233"/>
      <c r="F355" s="2233"/>
      <c r="G355" s="2233"/>
      <c r="H355" s="2233"/>
    </row>
    <row r="356" spans="1:8">
      <c r="A356" s="2234" t="s">
        <v>742</v>
      </c>
      <c r="B356" s="2233"/>
      <c r="C356" s="2233"/>
      <c r="D356" s="2233"/>
      <c r="E356" s="2233"/>
      <c r="F356" s="2233"/>
      <c r="G356" s="2233"/>
      <c r="H356" s="2233"/>
    </row>
    <row r="357" spans="1:8">
      <c r="A357" s="2234" t="s">
        <v>743</v>
      </c>
      <c r="B357" s="2233"/>
      <c r="C357" s="2233"/>
      <c r="D357" s="2233"/>
      <c r="E357" s="2233"/>
      <c r="F357" s="2233"/>
      <c r="G357" s="2233"/>
      <c r="H357" s="2233"/>
    </row>
    <row r="358" spans="1:8">
      <c r="A358" s="2234" t="s">
        <v>744</v>
      </c>
      <c r="B358" s="2233"/>
      <c r="C358" s="2233"/>
      <c r="D358" s="2233"/>
      <c r="E358" s="2233"/>
      <c r="F358" s="2233"/>
      <c r="G358" s="2233"/>
      <c r="H358" s="2233"/>
    </row>
    <row r="359" spans="1:8">
      <c r="A359" s="2234" t="s">
        <v>745</v>
      </c>
      <c r="B359" s="2233"/>
      <c r="C359" s="2233"/>
      <c r="D359" s="2233"/>
      <c r="E359" s="2233"/>
      <c r="F359" s="2233"/>
      <c r="G359" s="2233"/>
      <c r="H359" s="2233"/>
    </row>
    <row r="360" spans="1:8">
      <c r="A360" s="2234" t="s">
        <v>746</v>
      </c>
      <c r="B360" s="2233"/>
      <c r="C360" s="2233"/>
      <c r="D360" s="2233"/>
      <c r="E360" s="2233"/>
      <c r="F360" s="2233"/>
      <c r="G360" s="2233"/>
      <c r="H360" s="2233"/>
    </row>
    <row r="361" spans="1:8">
      <c r="A361" s="2234" t="s">
        <v>747</v>
      </c>
      <c r="B361" s="2233"/>
      <c r="C361" s="2233"/>
      <c r="D361" s="2233"/>
      <c r="E361" s="2233"/>
      <c r="F361" s="2233"/>
      <c r="G361" s="2233"/>
      <c r="H361" s="2233"/>
    </row>
    <row r="362" spans="1:8">
      <c r="A362" s="2234" t="s">
        <v>748</v>
      </c>
      <c r="B362" s="2233"/>
      <c r="C362" s="2233"/>
      <c r="D362" s="2233"/>
      <c r="E362" s="2233"/>
      <c r="F362" s="2233"/>
      <c r="G362" s="2233"/>
      <c r="H362" s="2233"/>
    </row>
    <row r="363" spans="1:8">
      <c r="A363" s="2234" t="s">
        <v>749</v>
      </c>
      <c r="B363" s="2233"/>
      <c r="C363" s="2233"/>
      <c r="D363" s="2233"/>
      <c r="E363" s="2233"/>
      <c r="F363" s="2233"/>
      <c r="G363" s="2233"/>
      <c r="H363" s="2233"/>
    </row>
    <row r="364" spans="1:8">
      <c r="A364" s="2234" t="s">
        <v>750</v>
      </c>
      <c r="B364" s="2233"/>
      <c r="C364" s="2233"/>
      <c r="D364" s="2233"/>
      <c r="E364" s="2233"/>
      <c r="F364" s="2233"/>
      <c r="G364" s="2233"/>
      <c r="H364" s="2233"/>
    </row>
    <row r="365" spans="1:8">
      <c r="A365" s="2234" t="s">
        <v>751</v>
      </c>
      <c r="B365" s="2233"/>
      <c r="C365" s="2233"/>
      <c r="D365" s="2233"/>
      <c r="E365" s="2233"/>
      <c r="F365" s="2233"/>
      <c r="G365" s="2233"/>
      <c r="H365" s="2233"/>
    </row>
    <row r="366" spans="1:8">
      <c r="A366" s="2233"/>
      <c r="B366" s="2233"/>
      <c r="C366" s="2233"/>
      <c r="D366" s="2233"/>
      <c r="E366" s="2233"/>
      <c r="F366" s="2233"/>
      <c r="G366" s="2233"/>
      <c r="H366" s="2233"/>
    </row>
    <row r="367" spans="1:8">
      <c r="A367" s="2234" t="s">
        <v>709</v>
      </c>
      <c r="B367" s="2233"/>
      <c r="C367" s="2233"/>
      <c r="D367" s="2233"/>
      <c r="E367" s="2233"/>
      <c r="F367" s="2233"/>
      <c r="G367" s="2233"/>
      <c r="H367" s="2233"/>
    </row>
    <row r="368" spans="1:8">
      <c r="A368" s="2234" t="s">
        <v>713</v>
      </c>
      <c r="B368" s="2233"/>
      <c r="C368" s="2233"/>
      <c r="D368" s="2233"/>
      <c r="E368" s="2233"/>
      <c r="F368" s="2233"/>
      <c r="G368" s="2233"/>
      <c r="H368" s="2233"/>
    </row>
    <row r="369" spans="1:8">
      <c r="A369" s="2234" t="s">
        <v>714</v>
      </c>
      <c r="B369" s="2233"/>
      <c r="C369" s="2233"/>
      <c r="D369" s="2233"/>
      <c r="E369" s="2233"/>
      <c r="F369" s="2233"/>
      <c r="G369" s="2233"/>
      <c r="H369" s="2233"/>
    </row>
    <row r="370" spans="1:8">
      <c r="A370" s="2234" t="s">
        <v>715</v>
      </c>
      <c r="B370" s="2233"/>
      <c r="C370" s="2233"/>
      <c r="D370" s="2233"/>
      <c r="E370" s="2233"/>
      <c r="F370" s="2233"/>
      <c r="G370" s="2233"/>
      <c r="H370" s="2233"/>
    </row>
    <row r="371" spans="1:8">
      <c r="A371" s="2234" t="s">
        <v>716</v>
      </c>
      <c r="B371" s="2233"/>
      <c r="C371" s="2233"/>
      <c r="D371" s="2233"/>
      <c r="E371" s="2233"/>
      <c r="F371" s="2233"/>
      <c r="G371" s="2233"/>
      <c r="H371" s="2233"/>
    </row>
    <row r="372" spans="1:8">
      <c r="A372" s="2233"/>
      <c r="B372" s="2233"/>
      <c r="C372" s="2233"/>
      <c r="D372" s="2233"/>
      <c r="E372" s="2233"/>
      <c r="F372" s="2233"/>
      <c r="G372" s="2233"/>
      <c r="H372" s="2233"/>
    </row>
    <row r="373" spans="1:8">
      <c r="A373" s="2234" t="s">
        <v>709</v>
      </c>
      <c r="B373" s="2233"/>
      <c r="C373" s="2233"/>
      <c r="D373" s="2233"/>
      <c r="E373" s="2233"/>
      <c r="F373" s="2233"/>
      <c r="G373" s="2233"/>
      <c r="H373" s="2233"/>
    </row>
    <row r="374" spans="1:8">
      <c r="A374" s="2234" t="s">
        <v>710</v>
      </c>
      <c r="B374" s="2233"/>
      <c r="C374" s="2233"/>
      <c r="D374" s="2233"/>
      <c r="E374" s="2233"/>
      <c r="F374" s="2233"/>
      <c r="G374" s="2233"/>
      <c r="H374" s="2233"/>
    </row>
    <row r="375" spans="1:8">
      <c r="A375" s="2234" t="s">
        <v>711</v>
      </c>
      <c r="B375" s="2233"/>
      <c r="C375" s="2233"/>
      <c r="D375" s="2233"/>
      <c r="E375" s="2233"/>
      <c r="F375" s="2233"/>
      <c r="G375" s="2233"/>
      <c r="H375" s="2233"/>
    </row>
    <row r="376" spans="1:8">
      <c r="A376" s="2234" t="s">
        <v>712</v>
      </c>
      <c r="B376" s="2233"/>
      <c r="C376" s="2233"/>
      <c r="D376" s="2233"/>
      <c r="E376" s="2233"/>
      <c r="F376" s="2233"/>
      <c r="G376" s="2233"/>
      <c r="H376" s="2233"/>
    </row>
    <row r="377" spans="1:8">
      <c r="A377" s="2233"/>
      <c r="B377" s="2233"/>
      <c r="C377" s="2233"/>
      <c r="D377" s="2233"/>
      <c r="E377" s="2233"/>
      <c r="F377" s="2233"/>
      <c r="G377" s="2233"/>
      <c r="H377" s="2233"/>
    </row>
    <row r="378" spans="1:8">
      <c r="A378" s="2234" t="s">
        <v>703</v>
      </c>
      <c r="B378" s="2233"/>
      <c r="C378" s="2233"/>
      <c r="D378" s="2233"/>
      <c r="E378" s="2233"/>
      <c r="F378" s="2233"/>
      <c r="G378" s="2233"/>
      <c r="H378" s="2233"/>
    </row>
    <row r="379" spans="1:8">
      <c r="A379" s="2234" t="s">
        <v>704</v>
      </c>
      <c r="B379" s="2233"/>
      <c r="C379" s="2233"/>
      <c r="D379" s="2233"/>
      <c r="E379" s="2233"/>
      <c r="F379" s="2233"/>
      <c r="G379" s="2233"/>
      <c r="H379" s="2233"/>
    </row>
    <row r="380" spans="1:8">
      <c r="A380" s="2234" t="s">
        <v>705</v>
      </c>
      <c r="B380" s="2233"/>
      <c r="C380" s="2233"/>
      <c r="D380" s="2233"/>
      <c r="E380" s="2233"/>
      <c r="F380" s="2233"/>
      <c r="G380" s="2233"/>
      <c r="H380" s="2233"/>
    </row>
    <row r="381" spans="1:8">
      <c r="A381" s="2234" t="s">
        <v>706</v>
      </c>
      <c r="B381" s="2233"/>
      <c r="C381" s="2233"/>
      <c r="D381" s="2233"/>
      <c r="E381" s="2233"/>
      <c r="F381" s="2233"/>
      <c r="G381" s="2233"/>
      <c r="H381" s="2233"/>
    </row>
    <row r="382" spans="1:8">
      <c r="A382" s="2234" t="s">
        <v>707</v>
      </c>
      <c r="B382" s="2233"/>
      <c r="C382" s="2233"/>
      <c r="D382" s="2233"/>
      <c r="E382" s="2233"/>
      <c r="F382" s="2233"/>
      <c r="G382" s="2233"/>
      <c r="H382" s="2233"/>
    </row>
    <row r="383" spans="1:8">
      <c r="A383" s="2234" t="s">
        <v>708</v>
      </c>
      <c r="B383" s="2233"/>
      <c r="C383" s="2233"/>
      <c r="D383" s="2233"/>
      <c r="E383" s="2233"/>
      <c r="F383" s="2233"/>
      <c r="G383" s="2233"/>
      <c r="H383" s="2233"/>
    </row>
    <row r="384" spans="1:8">
      <c r="A384" s="2233"/>
      <c r="B384" s="2233"/>
      <c r="C384" s="2233"/>
      <c r="D384" s="2233"/>
      <c r="E384" s="2233"/>
      <c r="F384" s="2233"/>
      <c r="G384" s="2233"/>
      <c r="H384" s="2233"/>
    </row>
    <row r="385" spans="1:8">
      <c r="A385" s="2234" t="s">
        <v>698</v>
      </c>
      <c r="B385" s="2233"/>
      <c r="C385" s="2233"/>
      <c r="D385" s="2233"/>
      <c r="E385" s="2233"/>
      <c r="F385" s="2233"/>
      <c r="G385" s="2233"/>
      <c r="H385" s="2233"/>
    </row>
    <row r="386" spans="1:8">
      <c r="A386" s="2234" t="s">
        <v>699</v>
      </c>
      <c r="B386" s="2233"/>
      <c r="C386" s="2233"/>
      <c r="D386" s="2233"/>
      <c r="E386" s="2233"/>
      <c r="F386" s="2233"/>
      <c r="G386" s="2233"/>
      <c r="H386" s="2233"/>
    </row>
    <row r="387" spans="1:8">
      <c r="A387" s="2234" t="s">
        <v>700</v>
      </c>
      <c r="B387" s="2233"/>
      <c r="C387" s="2233"/>
      <c r="D387" s="2233"/>
      <c r="E387" s="2233"/>
      <c r="F387" s="2233"/>
      <c r="G387" s="2233"/>
      <c r="H387" s="2233"/>
    </row>
    <row r="388" spans="1:8">
      <c r="A388" s="2234" t="s">
        <v>701</v>
      </c>
      <c r="B388" s="2233"/>
      <c r="C388" s="2233"/>
      <c r="D388" s="2233"/>
      <c r="E388" s="2233"/>
      <c r="F388" s="2233"/>
      <c r="G388" s="2233"/>
      <c r="H388" s="2233"/>
    </row>
    <row r="389" spans="1:8">
      <c r="A389" s="2234" t="s">
        <v>702</v>
      </c>
      <c r="B389" s="2233"/>
      <c r="C389" s="2233"/>
      <c r="D389" s="2233"/>
      <c r="E389" s="2233"/>
      <c r="F389" s="2233"/>
      <c r="G389" s="2233"/>
      <c r="H389" s="2233"/>
    </row>
    <row r="390" spans="1:8">
      <c r="A390" s="2233"/>
      <c r="B390" s="2233"/>
      <c r="C390" s="2233"/>
      <c r="D390" s="2233"/>
      <c r="E390" s="2233"/>
      <c r="F390" s="2233"/>
      <c r="G390" s="2233"/>
      <c r="H390" s="2233"/>
    </row>
    <row r="391" spans="1:8">
      <c r="A391" s="2234" t="s">
        <v>696</v>
      </c>
      <c r="B391" s="2233"/>
      <c r="C391" s="2233"/>
      <c r="D391" s="2233"/>
      <c r="E391" s="2233"/>
      <c r="F391" s="2233"/>
      <c r="G391" s="2233"/>
      <c r="H391" s="2233"/>
    </row>
    <row r="392" spans="1:8">
      <c r="A392" s="2234" t="s">
        <v>697</v>
      </c>
      <c r="B392" s="2233"/>
      <c r="C392" s="2233"/>
      <c r="D392" s="2233"/>
      <c r="E392" s="2233"/>
      <c r="F392" s="2233"/>
      <c r="G392" s="2233"/>
      <c r="H392" s="2233"/>
    </row>
    <row r="394" spans="1:8">
      <c r="A394" s="2229" t="s">
        <v>954</v>
      </c>
    </row>
  </sheetData>
  <mergeCells count="12">
    <mergeCell ref="A132:H132"/>
    <mergeCell ref="A133:H133"/>
    <mergeCell ref="B125:C125"/>
    <mergeCell ref="D125:F125"/>
    <mergeCell ref="G125:H125"/>
    <mergeCell ref="A111:H111"/>
    <mergeCell ref="A112:H112"/>
    <mergeCell ref="A113:H113"/>
    <mergeCell ref="A114:H114"/>
    <mergeCell ref="A116:H116"/>
    <mergeCell ref="A117:H117"/>
    <mergeCell ref="A124:H124"/>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17"/>
    <pageSetUpPr fitToPage="1"/>
  </sheetPr>
  <dimension ref="A1:CJ162"/>
  <sheetViews>
    <sheetView showGridLines="0" zoomScale="80" zoomScaleNormal="80" workbookViewId="0">
      <pane xSplit="3" ySplit="7" topLeftCell="AZ8" activePane="bottomRight" state="frozenSplit"/>
      <selection pane="topRight" activeCell="AB1" sqref="AB1"/>
      <selection pane="bottomLeft" activeCell="A8" sqref="A8"/>
      <selection pane="bottomRight" activeCell="B6" sqref="B6"/>
    </sheetView>
  </sheetViews>
  <sheetFormatPr defaultRowHeight="14.25" customHeight="1" outlineLevelRow="1" outlineLevelCol="1"/>
  <cols>
    <col min="1" max="1" width="1.7109375" customWidth="1"/>
    <col min="2" max="2" width="51.5703125" customWidth="1"/>
    <col min="3" max="3" width="1.7109375" customWidth="1"/>
    <col min="4" max="27" width="11.42578125" hidden="1" customWidth="1" outlineLevel="1"/>
    <col min="28" max="28" width="11.42578125" hidden="1" customWidth="1" outlineLevel="1" collapsed="1"/>
    <col min="29" max="31" width="11.42578125" hidden="1" customWidth="1" outlineLevel="1"/>
    <col min="32" max="32" width="11.42578125" hidden="1" customWidth="1" outlineLevel="1" collapsed="1"/>
    <col min="33" max="35" width="11.42578125" hidden="1" customWidth="1" outlineLevel="1"/>
    <col min="36" max="36" width="11.42578125" hidden="1" customWidth="1" outlineLevel="1" collapsed="1"/>
    <col min="37" max="43" width="11.42578125" hidden="1" customWidth="1" outlineLevel="1"/>
    <col min="44" max="44" width="11.42578125" hidden="1" customWidth="1" outlineLevel="1" collapsed="1"/>
    <col min="45" max="51" width="11.42578125" hidden="1" customWidth="1" outlineLevel="1"/>
    <col min="52" max="52" width="11.42578125" customWidth="1" collapsed="1"/>
    <col min="53" max="63" width="11.42578125" customWidth="1"/>
    <col min="64" max="64" width="2.7109375" customWidth="1"/>
    <col min="65" max="69" width="11.42578125" hidden="1" customWidth="1" outlineLevel="1"/>
    <col min="70" max="70" width="11.42578125" hidden="1" customWidth="1" outlineLevel="1" collapsed="1"/>
    <col min="71" max="71" width="11.42578125" hidden="1" customWidth="1" outlineLevel="1"/>
    <col min="72" max="76" width="11.42578125" hidden="1" customWidth="1" outlineLevel="1" collapsed="1"/>
    <col min="77" max="77" width="11.42578125" customWidth="1" collapsed="1"/>
    <col min="78" max="79" width="11.42578125" customWidth="1"/>
    <col min="80" max="80" width="11.42578125" hidden="1" customWidth="1" outlineLevel="1"/>
    <col min="81" max="81" width="14.28515625" customWidth="1" collapsed="1"/>
    <col min="82" max="82" width="11.42578125" style="333" customWidth="1"/>
    <col min="83" max="83" width="52.28515625" bestFit="1" customWidth="1"/>
  </cols>
  <sheetData>
    <row r="1" spans="1:88" ht="67.5" customHeight="1">
      <c r="A1" s="5"/>
      <c r="B1" s="303"/>
      <c r="C1" s="1"/>
      <c r="D1" s="2"/>
      <c r="E1" s="1"/>
      <c r="F1" s="2"/>
      <c r="G1" s="1"/>
      <c r="H1" s="2"/>
      <c r="I1" s="1"/>
      <c r="J1" s="2"/>
      <c r="K1" s="1"/>
      <c r="L1" s="2"/>
      <c r="M1" s="1"/>
      <c r="N1" s="2"/>
      <c r="O1" s="1"/>
      <c r="P1" s="2"/>
      <c r="Q1" s="1"/>
      <c r="R1" s="2"/>
      <c r="S1" s="1"/>
      <c r="T1" s="2"/>
      <c r="U1" s="1"/>
      <c r="V1" s="2"/>
      <c r="W1" s="1"/>
      <c r="X1" s="2"/>
      <c r="Y1" s="1"/>
      <c r="Z1" s="2"/>
      <c r="AA1" s="1"/>
      <c r="AB1" s="2"/>
      <c r="AC1" s="1"/>
      <c r="AD1" s="2"/>
      <c r="AE1" s="1"/>
      <c r="AF1" s="2"/>
      <c r="AG1" s="1"/>
      <c r="AH1" s="2"/>
      <c r="AI1" s="1"/>
      <c r="AJ1" s="2"/>
      <c r="AK1" s="1"/>
      <c r="AL1" s="2"/>
      <c r="AM1" s="1"/>
      <c r="AN1" s="2"/>
      <c r="AO1" s="1"/>
      <c r="AP1" s="1"/>
      <c r="AQ1" s="1"/>
      <c r="AR1" s="2"/>
      <c r="AS1" s="1"/>
      <c r="AT1" s="1"/>
      <c r="AU1" s="1"/>
      <c r="AV1" s="2"/>
      <c r="AW1" s="1"/>
      <c r="AX1" s="1"/>
      <c r="AY1" s="1"/>
      <c r="AZ1" s="1"/>
      <c r="BA1" s="1"/>
      <c r="BB1" s="1"/>
      <c r="BC1" s="1"/>
      <c r="BD1" s="1"/>
      <c r="BE1" s="1"/>
      <c r="BF1" s="1"/>
      <c r="BG1" s="1"/>
      <c r="BH1" s="1"/>
      <c r="BI1" s="1"/>
      <c r="BJ1" s="1"/>
      <c r="BK1" s="1"/>
      <c r="BL1" s="2"/>
      <c r="BM1" s="2"/>
      <c r="BN1" s="1"/>
      <c r="BO1" s="2"/>
      <c r="BP1" s="1"/>
      <c r="BQ1" s="2"/>
      <c r="BR1" s="1"/>
      <c r="BS1" s="2"/>
      <c r="BT1" s="1"/>
      <c r="BU1" s="1"/>
      <c r="BV1" s="1"/>
      <c r="BW1" s="1"/>
      <c r="BX1" s="1"/>
      <c r="BY1" s="2"/>
      <c r="BZ1" s="1"/>
      <c r="CA1" s="1"/>
      <c r="CB1" s="2069"/>
      <c r="CC1" s="1"/>
      <c r="CD1" s="859"/>
    </row>
    <row r="2" spans="1:88" ht="18" customHeight="1">
      <c r="A2" s="1"/>
      <c r="B2" s="4" t="s">
        <v>233</v>
      </c>
      <c r="C2" s="4"/>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071"/>
      <c r="AL2" s="1"/>
      <c r="AM2" s="1"/>
      <c r="AN2" s="1"/>
      <c r="AO2" s="1071"/>
      <c r="AP2" s="1"/>
      <c r="AQ2" s="1"/>
      <c r="AR2" s="1"/>
      <c r="AS2" s="1071"/>
      <c r="AT2" s="1"/>
      <c r="AU2" s="1"/>
      <c r="AV2" s="1"/>
      <c r="AW2" s="1071"/>
      <c r="AX2" s="6"/>
      <c r="AY2" s="1"/>
      <c r="AZ2" s="2027"/>
      <c r="BA2" s="2027"/>
      <c r="BB2" s="2027"/>
      <c r="BC2" s="2027"/>
      <c r="BD2" s="2027"/>
      <c r="BE2" s="2027"/>
      <c r="BF2" s="2027"/>
      <c r="BG2" s="2027"/>
      <c r="BH2" s="1836"/>
      <c r="BI2" s="1836"/>
      <c r="BJ2" s="1836"/>
      <c r="BK2" s="1836"/>
      <c r="BL2" s="190"/>
      <c r="BM2" s="190"/>
      <c r="BN2" s="190"/>
      <c r="BO2" s="190"/>
      <c r="BP2" s="190"/>
      <c r="BQ2" s="190"/>
      <c r="BR2" s="1837"/>
      <c r="BS2" s="1044"/>
      <c r="BT2" s="1044"/>
      <c r="BU2" s="1044"/>
      <c r="BV2" s="1044"/>
      <c r="BW2" s="1044"/>
      <c r="BX2" s="1044"/>
      <c r="BY2" s="190"/>
      <c r="BZ2" s="190"/>
      <c r="CA2" s="190"/>
      <c r="CB2" s="2070"/>
      <c r="CC2" s="1"/>
      <c r="CD2" s="190"/>
    </row>
    <row r="3" spans="1:88" ht="14.25" customHeight="1">
      <c r="A3" s="1"/>
      <c r="B3" s="412" t="s">
        <v>238</v>
      </c>
      <c r="C3" s="1"/>
      <c r="D3" s="5"/>
      <c r="E3" s="5"/>
      <c r="F3" s="5"/>
      <c r="G3" s="5"/>
      <c r="H3" s="5"/>
      <c r="I3" s="5"/>
      <c r="J3" s="5"/>
      <c r="K3" s="5"/>
      <c r="L3" s="5"/>
      <c r="M3" s="5"/>
      <c r="N3" s="5"/>
      <c r="O3" s="5"/>
      <c r="P3" s="5"/>
      <c r="Q3" s="5"/>
      <c r="R3" s="5"/>
      <c r="S3" s="5"/>
      <c r="T3" s="5"/>
      <c r="U3" s="5"/>
      <c r="V3" s="5"/>
      <c r="W3" s="5"/>
      <c r="X3" s="5"/>
      <c r="Y3" s="5"/>
      <c r="Z3" s="5"/>
      <c r="AA3" s="5"/>
      <c r="AB3" s="5"/>
      <c r="AC3" s="5"/>
      <c r="AD3" s="5"/>
      <c r="AE3" s="1"/>
      <c r="AF3" s="1"/>
      <c r="AG3" s="1"/>
      <c r="AH3" s="1"/>
      <c r="AI3" s="1"/>
      <c r="AJ3" s="1"/>
      <c r="AK3" s="6"/>
      <c r="AL3" s="1021"/>
      <c r="AM3" s="1"/>
      <c r="AN3" s="1"/>
      <c r="AO3" s="6"/>
      <c r="AP3" s="1"/>
      <c r="AQ3" s="1"/>
      <c r="AR3" s="1"/>
      <c r="AS3" s="6"/>
      <c r="AT3" s="1"/>
      <c r="AU3" s="1"/>
      <c r="AV3" s="1"/>
      <c r="AW3" s="6"/>
      <c r="AX3" s="1456"/>
      <c r="AY3" s="1704"/>
      <c r="AZ3" s="1704"/>
      <c r="BA3" s="1704"/>
      <c r="BB3" s="1704"/>
      <c r="BC3" s="1704"/>
      <c r="BD3" s="1704" t="s">
        <v>373</v>
      </c>
      <c r="BE3" s="1704"/>
      <c r="BF3" s="1704"/>
      <c r="BG3" s="1704"/>
      <c r="BH3" s="1704"/>
      <c r="BI3" s="1704"/>
      <c r="BJ3" s="1704"/>
      <c r="BK3" s="1704"/>
      <c r="BL3" s="1"/>
      <c r="BM3" s="1"/>
      <c r="BN3" s="1"/>
      <c r="BO3" s="1"/>
      <c r="BP3" s="1"/>
      <c r="BQ3" s="1"/>
      <c r="BR3" s="1023"/>
      <c r="BS3" s="1024"/>
      <c r="BT3" s="1024"/>
      <c r="BU3" s="1024"/>
      <c r="BV3" s="1024"/>
      <c r="BW3" s="1024"/>
      <c r="BX3" s="1024"/>
      <c r="BY3" s="1844"/>
      <c r="BZ3" s="1844"/>
      <c r="CA3" s="1844"/>
      <c r="CB3" s="2071"/>
      <c r="CC3" s="1"/>
      <c r="CD3" s="190"/>
    </row>
    <row r="4" spans="1:88" ht="14.25" customHeight="1">
      <c r="A4" s="7"/>
      <c r="B4" s="8" t="s">
        <v>489</v>
      </c>
      <c r="C4" s="9"/>
      <c r="D4" s="16" t="s">
        <v>279</v>
      </c>
      <c r="E4" s="17" t="s">
        <v>280</v>
      </c>
      <c r="F4" s="17" t="s">
        <v>281</v>
      </c>
      <c r="G4" s="18" t="s">
        <v>282</v>
      </c>
      <c r="H4" s="16" t="s">
        <v>283</v>
      </c>
      <c r="I4" s="17" t="s">
        <v>284</v>
      </c>
      <c r="J4" s="17" t="s">
        <v>285</v>
      </c>
      <c r="K4" s="18" t="s">
        <v>286</v>
      </c>
      <c r="L4" s="16" t="s">
        <v>287</v>
      </c>
      <c r="M4" s="17" t="s">
        <v>288</v>
      </c>
      <c r="N4" s="17" t="s">
        <v>289</v>
      </c>
      <c r="O4" s="18" t="s">
        <v>290</v>
      </c>
      <c r="P4" s="16" t="s">
        <v>291</v>
      </c>
      <c r="Q4" s="17" t="s">
        <v>292</v>
      </c>
      <c r="R4" s="17" t="s">
        <v>293</v>
      </c>
      <c r="S4" s="18" t="s">
        <v>294</v>
      </c>
      <c r="T4" s="16" t="s">
        <v>295</v>
      </c>
      <c r="U4" s="17" t="s">
        <v>296</v>
      </c>
      <c r="V4" s="17" t="s">
        <v>297</v>
      </c>
      <c r="W4" s="18" t="s">
        <v>298</v>
      </c>
      <c r="X4" s="16" t="s">
        <v>299</v>
      </c>
      <c r="Y4" s="17" t="s">
        <v>300</v>
      </c>
      <c r="Z4" s="17" t="s">
        <v>301</v>
      </c>
      <c r="AA4" s="18" t="s">
        <v>302</v>
      </c>
      <c r="AB4" s="16" t="s">
        <v>303</v>
      </c>
      <c r="AC4" s="17" t="s">
        <v>304</v>
      </c>
      <c r="AD4" s="17" t="s">
        <v>305</v>
      </c>
      <c r="AE4" s="18" t="s">
        <v>306</v>
      </c>
      <c r="AF4" s="16" t="s">
        <v>388</v>
      </c>
      <c r="AG4" s="17" t="s">
        <v>404</v>
      </c>
      <c r="AH4" s="17" t="s">
        <v>461</v>
      </c>
      <c r="AI4" s="18" t="s">
        <v>463</v>
      </c>
      <c r="AJ4" s="17" t="s">
        <v>492</v>
      </c>
      <c r="AK4" s="17" t="s">
        <v>495</v>
      </c>
      <c r="AL4" s="17" t="s">
        <v>506</v>
      </c>
      <c r="AM4" s="18" t="s">
        <v>510</v>
      </c>
      <c r="AN4" s="17" t="s">
        <v>514</v>
      </c>
      <c r="AO4" s="17" t="s">
        <v>516</v>
      </c>
      <c r="AP4" s="17" t="s">
        <v>526</v>
      </c>
      <c r="AQ4" s="17" t="s">
        <v>556</v>
      </c>
      <c r="AR4" s="16" t="s">
        <v>586</v>
      </c>
      <c r="AS4" s="17" t="s">
        <v>587</v>
      </c>
      <c r="AT4" s="17" t="s">
        <v>592</v>
      </c>
      <c r="AU4" s="18" t="s">
        <v>595</v>
      </c>
      <c r="AV4" s="17" t="s">
        <v>599</v>
      </c>
      <c r="AW4" s="17" t="s">
        <v>603</v>
      </c>
      <c r="AX4" s="17" t="s">
        <v>623</v>
      </c>
      <c r="AY4" s="17" t="s">
        <v>636</v>
      </c>
      <c r="AZ4" s="1693" t="s">
        <v>602</v>
      </c>
      <c r="BA4" s="1694" t="s">
        <v>639</v>
      </c>
      <c r="BB4" s="1848" t="s">
        <v>648</v>
      </c>
      <c r="BC4" s="1694" t="s">
        <v>650</v>
      </c>
      <c r="BD4" s="1847" t="s">
        <v>626</v>
      </c>
      <c r="BE4" s="1848" t="s">
        <v>627</v>
      </c>
      <c r="BF4" s="1848" t="s">
        <v>628</v>
      </c>
      <c r="BG4" s="1849" t="s">
        <v>629</v>
      </c>
      <c r="BH4" s="1847" t="s">
        <v>640</v>
      </c>
      <c r="BI4" s="1848" t="s">
        <v>641</v>
      </c>
      <c r="BJ4" s="1848" t="s">
        <v>642</v>
      </c>
      <c r="BK4" s="1849" t="s">
        <v>643</v>
      </c>
      <c r="BL4" s="7"/>
      <c r="BM4" s="7"/>
      <c r="BN4" s="7"/>
      <c r="BO4" s="7"/>
      <c r="BP4" s="7"/>
      <c r="BQ4" s="7"/>
      <c r="BR4" s="914"/>
      <c r="BS4" s="913"/>
      <c r="BT4" s="1077"/>
      <c r="BU4" s="1077"/>
      <c r="BV4" s="1077"/>
      <c r="BW4" s="1077"/>
      <c r="BX4" s="1077"/>
      <c r="BY4" s="1846"/>
      <c r="BZ4" s="2044"/>
      <c r="CA4" s="2044"/>
      <c r="CB4" s="2072"/>
      <c r="CC4" s="2025"/>
      <c r="CD4" s="69"/>
    </row>
    <row r="5" spans="1:88" ht="14.25" customHeight="1">
      <c r="A5" s="7"/>
      <c r="B5" s="11"/>
      <c r="C5" s="12"/>
      <c r="D5" s="579">
        <v>38442</v>
      </c>
      <c r="E5" s="580">
        <v>38533</v>
      </c>
      <c r="F5" s="580">
        <v>38625</v>
      </c>
      <c r="G5" s="581">
        <v>38717</v>
      </c>
      <c r="H5" s="866">
        <v>38807</v>
      </c>
      <c r="I5" s="867">
        <v>38898</v>
      </c>
      <c r="J5" s="867">
        <v>38990</v>
      </c>
      <c r="K5" s="868">
        <v>39082</v>
      </c>
      <c r="L5" s="866">
        <v>39172</v>
      </c>
      <c r="M5" s="867">
        <v>39263</v>
      </c>
      <c r="N5" s="867">
        <v>39355</v>
      </c>
      <c r="O5" s="868">
        <v>39447</v>
      </c>
      <c r="P5" s="866">
        <v>39538</v>
      </c>
      <c r="Q5" s="867">
        <v>39629</v>
      </c>
      <c r="R5" s="867">
        <v>39721</v>
      </c>
      <c r="S5" s="868">
        <v>39813</v>
      </c>
      <c r="T5" s="866">
        <v>39903</v>
      </c>
      <c r="U5" s="867">
        <v>39994</v>
      </c>
      <c r="V5" s="867">
        <v>40086</v>
      </c>
      <c r="W5" s="868">
        <v>40178</v>
      </c>
      <c r="X5" s="866">
        <v>40268</v>
      </c>
      <c r="Y5" s="867">
        <v>40359</v>
      </c>
      <c r="Z5" s="867">
        <v>40451</v>
      </c>
      <c r="AA5" s="868">
        <v>40543</v>
      </c>
      <c r="AB5" s="866">
        <v>40633</v>
      </c>
      <c r="AC5" s="867">
        <v>40724</v>
      </c>
      <c r="AD5" s="867">
        <v>40816</v>
      </c>
      <c r="AE5" s="868">
        <v>40908</v>
      </c>
      <c r="AF5" s="866">
        <v>40999</v>
      </c>
      <c r="AG5" s="867">
        <v>41090</v>
      </c>
      <c r="AH5" s="867">
        <v>41182</v>
      </c>
      <c r="AI5" s="868">
        <v>41274</v>
      </c>
      <c r="AJ5" s="867">
        <v>41364</v>
      </c>
      <c r="AK5" s="867">
        <v>41455</v>
      </c>
      <c r="AL5" s="867">
        <v>41547</v>
      </c>
      <c r="AM5" s="868">
        <v>41639</v>
      </c>
      <c r="AN5" s="867">
        <v>41729</v>
      </c>
      <c r="AO5" s="867">
        <v>41820</v>
      </c>
      <c r="AP5" s="867">
        <v>41912</v>
      </c>
      <c r="AQ5" s="867">
        <v>42004</v>
      </c>
      <c r="AR5" s="866">
        <v>42094</v>
      </c>
      <c r="AS5" s="867">
        <v>42185</v>
      </c>
      <c r="AT5" s="867">
        <v>42277</v>
      </c>
      <c r="AU5" s="868">
        <v>42369</v>
      </c>
      <c r="AV5" s="867">
        <v>42460</v>
      </c>
      <c r="AW5" s="867">
        <v>42551</v>
      </c>
      <c r="AX5" s="867">
        <v>42643</v>
      </c>
      <c r="AY5" s="867">
        <v>42735</v>
      </c>
      <c r="AZ5" s="1700">
        <v>42825</v>
      </c>
      <c r="BA5" s="1701">
        <v>42916</v>
      </c>
      <c r="BB5" s="1859">
        <v>43008</v>
      </c>
      <c r="BC5" s="1701">
        <v>43100</v>
      </c>
      <c r="BD5" s="1858">
        <v>43190</v>
      </c>
      <c r="BE5" s="1859">
        <v>43281</v>
      </c>
      <c r="BF5" s="1859">
        <v>43373</v>
      </c>
      <c r="BG5" s="1860">
        <v>43465</v>
      </c>
      <c r="BH5" s="1858">
        <v>43555</v>
      </c>
      <c r="BI5" s="1859">
        <v>43646</v>
      </c>
      <c r="BJ5" s="1859">
        <v>43738</v>
      </c>
      <c r="BK5" s="1860">
        <v>43830</v>
      </c>
      <c r="BL5" s="7"/>
      <c r="BM5" s="7"/>
      <c r="BN5" s="7"/>
      <c r="BO5" s="1412"/>
      <c r="BP5" s="1412"/>
      <c r="BQ5" s="1412"/>
      <c r="BR5" s="1412"/>
      <c r="BS5" s="1412"/>
      <c r="BT5" s="1412"/>
      <c r="BU5" s="1412"/>
      <c r="BV5" s="1412"/>
      <c r="BW5" s="1412"/>
      <c r="BX5" s="1412"/>
      <c r="BY5" s="1845"/>
      <c r="BZ5" s="2043"/>
      <c r="CA5" s="2043"/>
      <c r="CB5" s="2072"/>
      <c r="CC5" s="7"/>
      <c r="CD5" s="13"/>
    </row>
    <row r="6" spans="1:88" ht="14.25" customHeight="1">
      <c r="A6" s="7"/>
      <c r="B6" s="20"/>
      <c r="C6" s="13"/>
      <c r="D6" s="16" t="s">
        <v>307</v>
      </c>
      <c r="E6" s="17" t="s">
        <v>308</v>
      </c>
      <c r="F6" s="17" t="s">
        <v>309</v>
      </c>
      <c r="G6" s="17" t="s">
        <v>310</v>
      </c>
      <c r="H6" s="16" t="s">
        <v>311</v>
      </c>
      <c r="I6" s="17" t="s">
        <v>312</v>
      </c>
      <c r="J6" s="17" t="s">
        <v>313</v>
      </c>
      <c r="K6" s="18" t="s">
        <v>314</v>
      </c>
      <c r="L6" s="16" t="s">
        <v>315</v>
      </c>
      <c r="M6" s="17" t="s">
        <v>316</v>
      </c>
      <c r="N6" s="17" t="s">
        <v>317</v>
      </c>
      <c r="O6" s="18" t="s">
        <v>318</v>
      </c>
      <c r="P6" s="16" t="s">
        <v>319</v>
      </c>
      <c r="Q6" s="17" t="s">
        <v>320</v>
      </c>
      <c r="R6" s="17" t="s">
        <v>321</v>
      </c>
      <c r="S6" s="18" t="s">
        <v>322</v>
      </c>
      <c r="T6" s="16" t="s">
        <v>323</v>
      </c>
      <c r="U6" s="17" t="s">
        <v>324</v>
      </c>
      <c r="V6" s="17" t="s">
        <v>325</v>
      </c>
      <c r="W6" s="18" t="s">
        <v>326</v>
      </c>
      <c r="X6" s="16" t="s">
        <v>327</v>
      </c>
      <c r="Y6" s="17" t="s">
        <v>328</v>
      </c>
      <c r="Z6" s="17" t="s">
        <v>329</v>
      </c>
      <c r="AA6" s="18" t="s">
        <v>330</v>
      </c>
      <c r="AB6" s="16" t="s">
        <v>331</v>
      </c>
      <c r="AC6" s="17" t="s">
        <v>332</v>
      </c>
      <c r="AD6" s="17" t="s">
        <v>333</v>
      </c>
      <c r="AE6" s="18" t="s">
        <v>334</v>
      </c>
      <c r="AF6" s="16" t="s">
        <v>389</v>
      </c>
      <c r="AG6" s="17" t="s">
        <v>403</v>
      </c>
      <c r="AH6" s="17" t="s">
        <v>462</v>
      </c>
      <c r="AI6" s="18" t="s">
        <v>464</v>
      </c>
      <c r="AJ6" s="17" t="s">
        <v>493</v>
      </c>
      <c r="AK6" s="17" t="s">
        <v>494</v>
      </c>
      <c r="AL6" s="17" t="s">
        <v>507</v>
      </c>
      <c r="AM6" s="18" t="s">
        <v>511</v>
      </c>
      <c r="AN6" s="17" t="s">
        <v>515</v>
      </c>
      <c r="AO6" s="17" t="s">
        <v>528</v>
      </c>
      <c r="AP6" s="17" t="s">
        <v>527</v>
      </c>
      <c r="AQ6" s="17" t="s">
        <v>557</v>
      </c>
      <c r="AR6" s="16" t="s">
        <v>590</v>
      </c>
      <c r="AS6" s="17" t="s">
        <v>591</v>
      </c>
      <c r="AT6" s="17" t="s">
        <v>593</v>
      </c>
      <c r="AU6" s="18" t="s">
        <v>596</v>
      </c>
      <c r="AV6" s="17" t="s">
        <v>600</v>
      </c>
      <c r="AW6" s="17" t="s">
        <v>603</v>
      </c>
      <c r="AX6" s="17" t="s">
        <v>624</v>
      </c>
      <c r="AY6" s="17" t="s">
        <v>633</v>
      </c>
      <c r="AZ6" s="1693" t="s">
        <v>637</v>
      </c>
      <c r="BA6" s="1694" t="s">
        <v>639</v>
      </c>
      <c r="BB6" s="1848" t="s">
        <v>648</v>
      </c>
      <c r="BC6" s="1694" t="s">
        <v>651</v>
      </c>
      <c r="BD6" s="1847" t="s">
        <v>654</v>
      </c>
      <c r="BE6" s="1848" t="s">
        <v>630</v>
      </c>
      <c r="BF6" s="1848" t="s">
        <v>631</v>
      </c>
      <c r="BG6" s="1849" t="s">
        <v>632</v>
      </c>
      <c r="BH6" s="1847" t="s">
        <v>644</v>
      </c>
      <c r="BI6" s="1848" t="s">
        <v>645</v>
      </c>
      <c r="BJ6" s="1848" t="s">
        <v>646</v>
      </c>
      <c r="BK6" s="1849" t="s">
        <v>647</v>
      </c>
      <c r="BL6" s="2030"/>
      <c r="BM6" s="16" t="s">
        <v>335</v>
      </c>
      <c r="BN6" s="17" t="s">
        <v>336</v>
      </c>
      <c r="BO6" s="17" t="s">
        <v>337</v>
      </c>
      <c r="BP6" s="17" t="s">
        <v>338</v>
      </c>
      <c r="BQ6" s="17" t="s">
        <v>339</v>
      </c>
      <c r="BR6" s="17" t="s">
        <v>340</v>
      </c>
      <c r="BS6" s="17" t="s">
        <v>341</v>
      </c>
      <c r="BT6" s="17" t="s">
        <v>465</v>
      </c>
      <c r="BU6" s="1848" t="s">
        <v>512</v>
      </c>
      <c r="BV6" s="1848" t="s">
        <v>594</v>
      </c>
      <c r="BW6" s="1848" t="s">
        <v>597</v>
      </c>
      <c r="BX6" s="1848" t="s">
        <v>634</v>
      </c>
      <c r="BY6" s="1848" t="s">
        <v>653</v>
      </c>
      <c r="BZ6" s="1848" t="s">
        <v>342</v>
      </c>
      <c r="CA6" s="1848" t="s">
        <v>343</v>
      </c>
      <c r="CB6" s="1849" t="s">
        <v>652</v>
      </c>
      <c r="CC6" s="2140"/>
      <c r="CD6" s="13"/>
    </row>
    <row r="7" spans="1:88" s="280" customFormat="1" ht="14.25" hidden="1" customHeight="1">
      <c r="A7" s="285"/>
      <c r="B7" s="424" t="s">
        <v>402</v>
      </c>
      <c r="C7" s="425"/>
      <c r="D7" s="869"/>
      <c r="E7" s="869"/>
      <c r="F7" s="869"/>
      <c r="G7" s="870"/>
      <c r="H7" s="869"/>
      <c r="I7" s="869"/>
      <c r="J7" s="869"/>
      <c r="K7" s="870"/>
      <c r="L7" s="869"/>
      <c r="M7" s="869"/>
      <c r="N7" s="869"/>
      <c r="O7" s="870"/>
      <c r="P7" s="869"/>
      <c r="Q7" s="869"/>
      <c r="R7" s="869"/>
      <c r="S7" s="870"/>
      <c r="T7" s="869"/>
      <c r="U7" s="869"/>
      <c r="V7" s="869"/>
      <c r="W7" s="870"/>
      <c r="X7" s="869"/>
      <c r="Y7" s="869"/>
      <c r="Z7" s="869"/>
      <c r="AA7" s="870"/>
      <c r="AB7" s="869">
        <v>14</v>
      </c>
      <c r="AC7" s="869">
        <v>13</v>
      </c>
      <c r="AD7" s="869">
        <v>13</v>
      </c>
      <c r="AE7" s="870">
        <v>13</v>
      </c>
      <c r="AF7" s="869">
        <v>13</v>
      </c>
      <c r="AG7" s="869">
        <v>13</v>
      </c>
      <c r="AH7" s="869">
        <v>13</v>
      </c>
      <c r="AI7" s="869">
        <v>13</v>
      </c>
      <c r="AJ7" s="872">
        <v>13</v>
      </c>
      <c r="AK7" s="873">
        <v>13</v>
      </c>
      <c r="AL7" s="873">
        <v>13</v>
      </c>
      <c r="AM7" s="869">
        <v>13</v>
      </c>
      <c r="AN7" s="872">
        <v>13</v>
      </c>
      <c r="AO7" s="873">
        <v>13</v>
      </c>
      <c r="AP7" s="873">
        <v>13</v>
      </c>
      <c r="AQ7" s="869">
        <v>13</v>
      </c>
      <c r="AR7" s="872"/>
      <c r="AS7" s="873"/>
      <c r="AT7" s="873"/>
      <c r="AU7" s="870"/>
      <c r="AV7" s="872"/>
      <c r="AW7" s="873"/>
      <c r="AX7" s="873"/>
      <c r="AY7" s="873"/>
      <c r="AZ7" s="872"/>
      <c r="BA7" s="873"/>
      <c r="BB7" s="873"/>
      <c r="BC7" s="873"/>
      <c r="BD7" s="2014"/>
      <c r="BE7" s="871"/>
      <c r="BF7" s="871"/>
      <c r="BG7" s="1644"/>
      <c r="BH7" s="2014"/>
      <c r="BI7" s="871"/>
      <c r="BJ7" s="871"/>
      <c r="BK7" s="1644"/>
      <c r="BL7" s="2031"/>
      <c r="BM7" s="874"/>
      <c r="BN7" s="869"/>
      <c r="BO7" s="869"/>
      <c r="BP7" s="869"/>
      <c r="BQ7" s="869"/>
      <c r="BR7" s="869">
        <v>52</v>
      </c>
      <c r="BS7" s="869">
        <f>+SUM(AB7:AE7)</f>
        <v>53</v>
      </c>
      <c r="BT7" s="869">
        <f>+SUM(AF7:AI7)</f>
        <v>52</v>
      </c>
      <c r="BU7" s="869">
        <f>+SUM(AJ7:AM7)</f>
        <v>52</v>
      </c>
      <c r="BV7" s="869">
        <v>52</v>
      </c>
      <c r="BW7" s="869">
        <v>52</v>
      </c>
      <c r="BX7" s="869"/>
      <c r="BY7" s="869"/>
      <c r="BZ7" s="869"/>
      <c r="CA7" s="869"/>
      <c r="CB7" s="2073"/>
      <c r="CC7" s="2190"/>
      <c r="CD7" s="555"/>
      <c r="CE7"/>
      <c r="CF7"/>
      <c r="CG7"/>
      <c r="CH7"/>
      <c r="CI7"/>
      <c r="CJ7"/>
    </row>
    <row r="8" spans="1:88" s="280" customFormat="1" ht="14.25" customHeight="1">
      <c r="A8" s="285"/>
      <c r="B8" s="332"/>
      <c r="C8" s="394"/>
      <c r="D8" s="871"/>
      <c r="E8" s="871"/>
      <c r="F8" s="871"/>
      <c r="G8" s="875"/>
      <c r="H8" s="871"/>
      <c r="I8" s="871"/>
      <c r="J8" s="871"/>
      <c r="K8" s="875"/>
      <c r="L8" s="871"/>
      <c r="M8" s="871"/>
      <c r="N8" s="871"/>
      <c r="O8" s="875"/>
      <c r="P8" s="871"/>
      <c r="Q8" s="871"/>
      <c r="R8" s="871"/>
      <c r="S8" s="875"/>
      <c r="T8" s="871"/>
      <c r="U8" s="871"/>
      <c r="V8" s="871"/>
      <c r="W8" s="875"/>
      <c r="X8" s="871"/>
      <c r="Y8" s="871"/>
      <c r="Z8" s="871"/>
      <c r="AA8" s="875"/>
      <c r="AB8" s="871"/>
      <c r="AC8" s="871"/>
      <c r="AD8" s="871"/>
      <c r="AE8" s="875"/>
      <c r="AF8" s="871"/>
      <c r="AG8" s="871"/>
      <c r="AH8" s="871"/>
      <c r="AI8" s="871"/>
      <c r="AJ8" s="876"/>
      <c r="AK8" s="871"/>
      <c r="AL8" s="871"/>
      <c r="AM8" s="871"/>
      <c r="AN8" s="876"/>
      <c r="AO8" s="871"/>
      <c r="AP8" s="871"/>
      <c r="AQ8" s="871"/>
      <c r="AR8" s="876"/>
      <c r="AS8" s="871"/>
      <c r="AT8" s="871"/>
      <c r="AU8" s="1486"/>
      <c r="AV8" s="876"/>
      <c r="AW8" s="871"/>
      <c r="AX8" s="871"/>
      <c r="AY8" s="1492"/>
      <c r="AZ8" s="876"/>
      <c r="BA8" s="871"/>
      <c r="BB8" s="871"/>
      <c r="BC8" s="871"/>
      <c r="BD8" s="2014"/>
      <c r="BE8" s="871"/>
      <c r="BF8" s="871"/>
      <c r="BG8" s="1644"/>
      <c r="BH8" s="2014"/>
      <c r="BI8" s="871"/>
      <c r="BJ8" s="871"/>
      <c r="BK8" s="1644"/>
      <c r="BL8" s="2031"/>
      <c r="BM8" s="876"/>
      <c r="BN8" s="871"/>
      <c r="BO8" s="871"/>
      <c r="BP8" s="871"/>
      <c r="BQ8" s="871"/>
      <c r="BR8" s="871"/>
      <c r="BS8" s="871"/>
      <c r="BT8" s="871"/>
      <c r="BU8" s="871"/>
      <c r="BV8" s="871"/>
      <c r="BW8" s="871"/>
      <c r="BX8" s="871"/>
      <c r="BY8" s="871"/>
      <c r="BZ8" s="871"/>
      <c r="CA8" s="871"/>
      <c r="CB8" s="2074"/>
      <c r="CC8" s="2190"/>
      <c r="CD8" s="555"/>
      <c r="CE8"/>
      <c r="CF8"/>
      <c r="CG8"/>
      <c r="CH8"/>
      <c r="CI8"/>
      <c r="CJ8"/>
    </row>
    <row r="9" spans="1:88" s="114" customFormat="1" ht="14.25" customHeight="1">
      <c r="A9" s="115"/>
      <c r="B9" s="329" t="s">
        <v>399</v>
      </c>
      <c r="C9" s="489"/>
      <c r="D9" s="877">
        <v>1226.6279999999999</v>
      </c>
      <c r="E9" s="877">
        <v>1259.9179999999999</v>
      </c>
      <c r="F9" s="877">
        <v>1522.7550000000001</v>
      </c>
      <c r="G9" s="878">
        <f>5848-SUM(D9:F9)</f>
        <v>1838.6990000000001</v>
      </c>
      <c r="H9" s="877">
        <v>1332.1579999999999</v>
      </c>
      <c r="I9" s="877">
        <v>1216.367</v>
      </c>
      <c r="J9" s="877">
        <v>1327.6220000000001</v>
      </c>
      <c r="K9" s="878">
        <f>5649-SUM(H9:J9)</f>
        <v>1772.8530000000001</v>
      </c>
      <c r="L9" s="877">
        <v>1233</v>
      </c>
      <c r="M9" s="877">
        <v>1378</v>
      </c>
      <c r="N9" s="877">
        <v>1632</v>
      </c>
      <c r="O9" s="878">
        <f>6013-SUM(L9:N9)</f>
        <v>1770</v>
      </c>
      <c r="P9" s="877">
        <v>1487</v>
      </c>
      <c r="Q9" s="877">
        <v>1362</v>
      </c>
      <c r="R9" s="877">
        <v>1797</v>
      </c>
      <c r="S9" s="878">
        <f>5808-SUM(P9:R9)</f>
        <v>1162</v>
      </c>
      <c r="T9" s="877">
        <v>1177</v>
      </c>
      <c r="U9" s="877">
        <v>1184</v>
      </c>
      <c r="V9" s="877">
        <v>1396</v>
      </c>
      <c r="W9" s="878">
        <f>5403-V9-U9-T9</f>
        <v>1646</v>
      </c>
      <c r="X9" s="877">
        <v>1574</v>
      </c>
      <c r="Y9" s="877">
        <v>1653</v>
      </c>
      <c r="Z9" s="877">
        <v>1618</v>
      </c>
      <c r="AA9" s="878">
        <f>6494-Z9-Y9-X9</f>
        <v>1649</v>
      </c>
      <c r="AB9" s="877">
        <v>1613</v>
      </c>
      <c r="AC9" s="877">
        <v>1574</v>
      </c>
      <c r="AD9" s="877">
        <v>1690</v>
      </c>
      <c r="AE9" s="879">
        <v>1691</v>
      </c>
      <c r="AF9" s="877">
        <v>1585</v>
      </c>
      <c r="AG9" s="877">
        <v>1413</v>
      </c>
      <c r="AH9" s="877">
        <v>1269</v>
      </c>
      <c r="AI9" s="877">
        <v>1155</v>
      </c>
      <c r="AJ9" s="1004">
        <v>1088</v>
      </c>
      <c r="AK9" s="877">
        <v>1161</v>
      </c>
      <c r="AL9" s="877">
        <v>1461</v>
      </c>
      <c r="AM9" s="877">
        <v>1589</v>
      </c>
      <c r="AN9" s="1004">
        <v>1397</v>
      </c>
      <c r="AO9" s="877">
        <v>1441</v>
      </c>
      <c r="AP9" s="877">
        <v>1429</v>
      </c>
      <c r="AQ9" s="877">
        <v>1239</v>
      </c>
      <c r="AR9" s="1004">
        <v>1030</v>
      </c>
      <c r="AS9" s="877">
        <v>942</v>
      </c>
      <c r="AT9" s="877">
        <v>1061</v>
      </c>
      <c r="AU9" s="879">
        <v>958</v>
      </c>
      <c r="AV9" s="1004">
        <v>832</v>
      </c>
      <c r="AW9" s="877">
        <v>1027</v>
      </c>
      <c r="AX9" s="877">
        <v>1307</v>
      </c>
      <c r="AY9" s="879">
        <v>1106</v>
      </c>
      <c r="AZ9" s="1004">
        <v>984</v>
      </c>
      <c r="BA9" s="877">
        <v>1222</v>
      </c>
      <c r="BB9" s="877">
        <v>1643</v>
      </c>
      <c r="BC9" s="879">
        <v>1480</v>
      </c>
      <c r="BD9" s="1004">
        <v>1647</v>
      </c>
      <c r="BE9" s="2184">
        <f>'BU-Segment'!BE45</f>
        <v>1728.5245498721738</v>
      </c>
      <c r="BF9" s="2184">
        <f>'BU-Segment'!BF45</f>
        <v>1730.3582323215753</v>
      </c>
      <c r="BG9" s="2185">
        <f>'BU-Segment'!BG45</f>
        <v>1625.3408422465081</v>
      </c>
      <c r="BH9" s="2183">
        <f>'BU-Segment'!BH45</f>
        <v>1549.1452351355256</v>
      </c>
      <c r="BI9" s="2184">
        <f>'BU-Segment'!BI45</f>
        <v>1635.4643929356052</v>
      </c>
      <c r="BJ9" s="2184">
        <f>'BU-Segment'!BJ45</f>
        <v>1716.5157688386405</v>
      </c>
      <c r="BK9" s="2185">
        <f>'BU-Segment'!BK45</f>
        <v>1702.8435645146208</v>
      </c>
      <c r="BL9" s="2032"/>
      <c r="BM9" s="938">
        <f>SUM(D9:G9)</f>
        <v>5848</v>
      </c>
      <c r="BN9" s="880">
        <f>SUM(H9:K9)</f>
        <v>5649</v>
      </c>
      <c r="BO9" s="880">
        <f>SUM(L9:O9)</f>
        <v>6013</v>
      </c>
      <c r="BP9" s="880">
        <f>SUM(P9:S9)</f>
        <v>5808</v>
      </c>
      <c r="BQ9" s="880">
        <f>SUM(T9:W9)</f>
        <v>5403</v>
      </c>
      <c r="BR9" s="880">
        <f>SUM(X9:AA9)</f>
        <v>6494</v>
      </c>
      <c r="BS9" s="880">
        <f>SUM(AB9:AE9)</f>
        <v>6568</v>
      </c>
      <c r="BT9" s="880">
        <f>SUM(AF9:AI9)</f>
        <v>5422</v>
      </c>
      <c r="BU9" s="880">
        <f>SUM(AJ9:AM9)</f>
        <v>5299</v>
      </c>
      <c r="BV9" s="880">
        <f>SUM(AN9:AQ9)</f>
        <v>5506</v>
      </c>
      <c r="BW9" s="880">
        <f>+SUM(AR9:AU9)</f>
        <v>3991</v>
      </c>
      <c r="BX9" s="880">
        <f>+SUM(AV9:AY9)</f>
        <v>4272</v>
      </c>
      <c r="BY9" s="2188">
        <f>SUM(AZ9:BC9)</f>
        <v>5329</v>
      </c>
      <c r="BZ9" s="2188">
        <f>SUM(BD9:BG9)</f>
        <v>6731.2236244402575</v>
      </c>
      <c r="CA9" s="2188">
        <f>SUM(BH9:BK9)</f>
        <v>6603.9689614243925</v>
      </c>
      <c r="CB9" s="2189">
        <f>CA9*(1+CB12)</f>
        <v>6603.9689614243925</v>
      </c>
      <c r="CC9" s="2191"/>
      <c r="CD9" s="314"/>
      <c r="CE9"/>
      <c r="CF9"/>
      <c r="CG9"/>
      <c r="CH9"/>
      <c r="CI9"/>
      <c r="CJ9"/>
    </row>
    <row r="10" spans="1:88" ht="14.25" hidden="1" customHeight="1" outlineLevel="1">
      <c r="A10" s="7"/>
      <c r="B10" s="411" t="s">
        <v>346</v>
      </c>
      <c r="C10" s="24"/>
      <c r="D10" s="2046">
        <f t="shared" ref="D10:AE10" si="0">D9</f>
        <v>1226.6279999999999</v>
      </c>
      <c r="E10" s="2046">
        <f t="shared" si="0"/>
        <v>1259.9179999999999</v>
      </c>
      <c r="F10" s="2046">
        <f t="shared" si="0"/>
        <v>1522.7550000000001</v>
      </c>
      <c r="G10" s="2047">
        <f t="shared" si="0"/>
        <v>1838.6990000000001</v>
      </c>
      <c r="H10" s="2046">
        <f t="shared" si="0"/>
        <v>1332.1579999999999</v>
      </c>
      <c r="I10" s="2046">
        <f t="shared" si="0"/>
        <v>1216.367</v>
      </c>
      <c r="J10" s="2046">
        <f t="shared" si="0"/>
        <v>1327.6220000000001</v>
      </c>
      <c r="K10" s="2047">
        <f t="shared" si="0"/>
        <v>1772.8530000000001</v>
      </c>
      <c r="L10" s="2046">
        <f t="shared" si="0"/>
        <v>1233</v>
      </c>
      <c r="M10" s="2046">
        <f t="shared" si="0"/>
        <v>1378</v>
      </c>
      <c r="N10" s="2046">
        <f t="shared" si="0"/>
        <v>1632</v>
      </c>
      <c r="O10" s="2047">
        <f t="shared" si="0"/>
        <v>1770</v>
      </c>
      <c r="P10" s="2046">
        <f t="shared" si="0"/>
        <v>1487</v>
      </c>
      <c r="Q10" s="2046">
        <f t="shared" si="0"/>
        <v>1362</v>
      </c>
      <c r="R10" s="2046">
        <f t="shared" si="0"/>
        <v>1797</v>
      </c>
      <c r="S10" s="2047">
        <f t="shared" si="0"/>
        <v>1162</v>
      </c>
      <c r="T10" s="2046">
        <f t="shared" si="0"/>
        <v>1177</v>
      </c>
      <c r="U10" s="2046">
        <f t="shared" si="0"/>
        <v>1184</v>
      </c>
      <c r="V10" s="2046">
        <f t="shared" si="0"/>
        <v>1396</v>
      </c>
      <c r="W10" s="2047">
        <f t="shared" si="0"/>
        <v>1646</v>
      </c>
      <c r="X10" s="2046">
        <f t="shared" si="0"/>
        <v>1574</v>
      </c>
      <c r="Y10" s="2046">
        <f t="shared" si="0"/>
        <v>1653</v>
      </c>
      <c r="Z10" s="2046">
        <f t="shared" si="0"/>
        <v>1618</v>
      </c>
      <c r="AA10" s="2047">
        <f t="shared" si="0"/>
        <v>1649</v>
      </c>
      <c r="AB10" s="2046">
        <f t="shared" si="0"/>
        <v>1613</v>
      </c>
      <c r="AC10" s="2046">
        <f t="shared" si="0"/>
        <v>1574</v>
      </c>
      <c r="AD10" s="2046">
        <f t="shared" si="0"/>
        <v>1690</v>
      </c>
      <c r="AE10" s="2047">
        <f t="shared" si="0"/>
        <v>1691</v>
      </c>
      <c r="AF10" s="2046">
        <f>AF9</f>
        <v>1585</v>
      </c>
      <c r="AG10" s="2046">
        <v>1413</v>
      </c>
      <c r="AH10" s="2048" t="str">
        <f>_xll.ThomsonONEAddinShim.SpreadsheetFormulas.TF($B$3,"TF.ES.SALES.PrevMean(period=3QCY2012,sdate=0D,scale=6)")</f>
        <v xml:space="preserve">             Manual Calculation             </v>
      </c>
      <c r="AI10" s="2048" t="str">
        <f>_xll.ThomsonONEAddinShim.SpreadsheetFormulas.TF($B$3,"TF.ES.SALES.PrevMean(period=4QCY2012,sdate=0D,scale=6)")</f>
        <v xml:space="preserve">             Manual Calculation             </v>
      </c>
      <c r="AJ10" s="2049" t="str">
        <f>_xll.ThomsonONEAddinShim.SpreadsheetFormulas.TF($B$3,"TF.ES.SALES.PrevMean(period=1QCY2013,sdate=0D,scale=6)")</f>
        <v xml:space="preserve">             Manual Calculation             </v>
      </c>
      <c r="AK10" s="2048" t="str">
        <f>_xll.ThomsonONEAddinShim.SpreadsheetFormulas.TF($B$3,"TF.ES.SALES.PrevMean(period=2QCY2013,sdate=0D,scale=6)")</f>
        <v xml:space="preserve">             Manual Calculation             </v>
      </c>
      <c r="AL10" s="2050" t="str">
        <f>_xll.ThomsonONEAddinShim.SpreadsheetFormulas.TF($B$3,"TF.es.sales.prevmean(period=3QCY2013,sdate=0d,scale=6)")</f>
        <v xml:space="preserve">             Manual Calculation             </v>
      </c>
      <c r="AM10" s="2051" t="str">
        <f>_xll.ThomsonONEAddinShim.SpreadsheetFormulas.TF($B$3,"TF.es.sales.prevmean(period=4QCY2013,sdate=0d,scale=6)")</f>
        <v xml:space="preserve">             Manual Calculation             </v>
      </c>
      <c r="AN10" s="2052" t="str">
        <f>_xll.ThomsonONEAddinShim.SpreadsheetFormulas.TF($B$3,"TF.es.sales.prevmean(period=1QCY2014,sdate=0d,scale=6)")</f>
        <v xml:space="preserve">             Manual Calculation             </v>
      </c>
      <c r="AO10" s="2050" t="str">
        <f>_xll.ThomsonONEAddinShim.SpreadsheetFormulas.TF($B$3,"TF.es.sales.prevmean(period=2QCY2014,sdate=0d,scale=6)")</f>
        <v xml:space="preserve">             Manual Calculation             </v>
      </c>
      <c r="AP10" s="2050" t="str">
        <f>_xll.ThomsonONEAddinShim.SpreadsheetFormulas.TF($B$3,"TF.es.sales.prevmean(period=3QCY2014,sdate=0d,scale=6)")</f>
        <v xml:space="preserve">             Manual Calculation             </v>
      </c>
      <c r="AQ10" s="2050" t="str">
        <f>_xll.ThomsonONEAddinShim.SpreadsheetFormulas.TF($B$3,"TF.es.sales.prevmean(period=4QCY2014,sdate=0d,scale=6)")</f>
        <v xml:space="preserve">             Manual Calculation             </v>
      </c>
      <c r="AR10" s="2052" t="str">
        <f>_xll.ThomsonONEAddinShim.SpreadsheetFormulas.TF($B$3,"TF.es.sales.prevmean(period=1QCY2015,sdate=0d,scale=6)")</f>
        <v xml:space="preserve">             Manual Calculation             </v>
      </c>
      <c r="AS10" s="2050" t="str">
        <f>_xll.ThomsonONEAddinShim.SpreadsheetFormulas.TF($B$3,"TF.es.sales.prevmean(period=2QCY2015,sdate=0d,scale=6)")</f>
        <v xml:space="preserve">             Manual Calculation             </v>
      </c>
      <c r="AT10" s="2050" t="str">
        <f>_xll.ThomsonONEAddinShim.SpreadsheetFormulas.TF($B$3,"TF.es.sales.prevmean(period=3QCY2015,sdate=0d,scale=6)")</f>
        <v xml:space="preserve">             Manual Calculation             </v>
      </c>
      <c r="AU10" s="2051" t="str">
        <f>_xll.ThomsonONEAddinShim.SpreadsheetFormulas.TF($B$3,"TF.es.sales.prevmean(period=4QCY2015,sdate=0d,scale=6)")</f>
        <v xml:space="preserve">             Manual Calculation             </v>
      </c>
      <c r="AV10" s="2052" t="str">
        <f>_xll.ThomsonONEAddinShim.SpreadsheetFormulas.TF($B$3,"TF.es.sales.prevmean(period=1QCY2016,sdate=0d,scale=6)")</f>
        <v xml:space="preserve">             Manual Calculation             </v>
      </c>
      <c r="AW10" s="2050" t="str">
        <f>_xll.ThomsonONEAddinShim.SpreadsheetFormulas.TF($B$3,"TF.es.sales.prevmean(period=2QCY2016,sdate=0d,scale=6)")</f>
        <v xml:space="preserve">             Manual Calculation             </v>
      </c>
      <c r="AX10" s="2050" t="str">
        <f>_xll.ThomsonONEAddinShim.SpreadsheetFormulas.TF($B$3,"TF.es.sales.prevmean(period=3QCY2016,sdate=0d,scale=6)")</f>
        <v xml:space="preserve">             Manual Calculation             </v>
      </c>
      <c r="AY10" s="2051" t="str">
        <f>_xll.ThomsonONEAddinShim.SpreadsheetFormulas.TF($B$3,"TF.es.sales.prevmean(period=4QCY2016,sdate=0d,scale=6)")</f>
        <v xml:space="preserve">             Manual Calculation             </v>
      </c>
      <c r="AZ10" s="2052">
        <f>_xll.ThomsonONEAddinShim.SpreadsheetFormulas.TF($B$3,"TF.es.sales.prevmean(period=1QCY2017,sdate=0d,scale=6)")</f>
        <v>983</v>
      </c>
      <c r="BA10" s="2050">
        <f>_xll.ThomsonONEAddinShim.SpreadsheetFormulas.TF($B$3,"TF.es.sales.prevmean(period=2QCY2017,sdate=0d,scale=6)")</f>
        <v>1156</v>
      </c>
      <c r="BB10" s="2050">
        <f>_xll.ThomsonONEAddinShim.SpreadsheetFormulas.TF($B$3,"TF.es.sales.prevmean(period=3QCY2017,sdate=0d,scale=6)")</f>
        <v>1507</v>
      </c>
      <c r="BC10" s="2051">
        <f>_xll.ThomsonONEAddinShim.SpreadsheetFormulas.TF($B$3,"TF.es.sales.prevmean(period=4QCY2017,sdate=0d,scale=6)")</f>
        <v>1402</v>
      </c>
      <c r="BD10" s="2052">
        <f>_xll.ThomsonONEAddinShim.SpreadsheetFormulas.TF($B$3,"TF.es.sales.prevmean(period=1QCY2017,sdate=0d,scale=6)")</f>
        <v>983</v>
      </c>
      <c r="BE10" s="2050">
        <f>_xll.ThomsonONEAddinShim.SpreadsheetFormulas.TF($B$3,"TF.es.sales.prevmean(period=2QCY2018,sdate=0d,scale=6)")</f>
        <v>1427</v>
      </c>
      <c r="BF10" s="2050">
        <f>_xll.ThomsonONEAddinShim.SpreadsheetFormulas.TF($B$3,"TF.es.sales.prevmean(period=3QCY2018,sdate=0d,scale=6)")</f>
        <v>1711</v>
      </c>
      <c r="BG10" s="2054">
        <f>_xll.ThomsonONEAddinShim.SpreadsheetFormulas.TF($B$3,"TF.es.sales.prevmean(period=4QCY2018,sdate=0d,scale=6)")</f>
        <v>1545</v>
      </c>
      <c r="BH10" s="2053">
        <f>_xll.ThomsonONEAddinShim.SpreadsheetFormulas.TF($B$3,"TF.es.sales.prevmean(period=1QCY2019,sdate=0d,scale=6)")</f>
        <v>1383</v>
      </c>
      <c r="BI10" s="2050">
        <f>_xll.ThomsonONEAddinShim.SpreadsheetFormulas.TF($B$3,"TF.es.sales.prevmean(period=2QCY2019,sdate=0d,scale=6)")</f>
        <v>1571</v>
      </c>
      <c r="BJ10" s="2050">
        <f>_xll.ThomsonONEAddinShim.SpreadsheetFormulas.TF($B$3,"TF.es.sales.prevmean(period=3QCY2019,sdate=0d,scale=6)")</f>
        <v>1836</v>
      </c>
      <c r="BK10" s="2054" t="str">
        <f>_xll.ThomsonONEAddinShim.SpreadsheetFormulas.TF($B$3,"TF.es.sales.prevmean(period=4QCY2019,sdate=0d,scale=6)")</f>
        <v xml:space="preserve">               N/A               </v>
      </c>
      <c r="BL10" s="244"/>
      <c r="BM10" s="2046" t="str">
        <f>_xll.ThomsonONEAddinShim.SpreadsheetFormulas.TF($B$3,"TF.es.sales.prevmean(period=FY2005,sdate=0d,scale=6)")</f>
        <v xml:space="preserve">              Manual Calculation              </v>
      </c>
      <c r="BN10" s="2046" t="str">
        <f>_xll.ThomsonONEAddinShim.SpreadsheetFormulas.TF($B$3,"TF.es.sales.prevmean(period=FY2006,sdate=0d,scale=6)")</f>
        <v xml:space="preserve">              Manual Calculation              </v>
      </c>
      <c r="BO10" s="2046" t="str">
        <f>_xll.ThomsonONEAddinShim.SpreadsheetFormulas.TF($B$3,"TF.es.sales.prevmean(period=FY2007,sdate=0d,scale=6)")</f>
        <v xml:space="preserve">              Manual Calculation              </v>
      </c>
      <c r="BP10" s="2046" t="str">
        <f>_xll.ThomsonONEAddinShim.SpreadsheetFormulas.TF($B$3,"TF.es.sales.prevmean(period=FY2008,sdate=0d,scale=6)")</f>
        <v xml:space="preserve">              Manual Calculation              </v>
      </c>
      <c r="BQ10" s="2046" t="str">
        <f>_xll.ThomsonONEAddinShim.SpreadsheetFormulas.TF($B$3,"TF.es.sales.prevmean(period=FY2009,sdate=0d,scale=6)")</f>
        <v xml:space="preserve">              Manual Calculation              </v>
      </c>
      <c r="BR10" s="2046" t="str">
        <f>_xll.ThomsonONEAddinShim.SpreadsheetFormulas.TF($B$3,"TF.es.sales.prevmean(period=FY2010,sdate=0d,scale=6)")</f>
        <v xml:space="preserve">              Manual Calculation              </v>
      </c>
      <c r="BS10" s="2046" t="str">
        <f>_xll.ThomsonONEAddinShim.SpreadsheetFormulas.TF($B$3,"TF.es.sales.prevmean(period=FY2011,sdate=0d,scale=6)")</f>
        <v xml:space="preserve">              Manual Calculation              </v>
      </c>
      <c r="BT10" s="2046" t="str">
        <f>_xll.ThomsonONEAddinShim.SpreadsheetFormulas.TF($B$3,"TF.es.sales.prevmean(period=FY2012,sdate=0d,scale=6)")</f>
        <v xml:space="preserve">              Manual Calculation              </v>
      </c>
      <c r="BU10" s="2046" t="str">
        <f>_xll.ThomsonONEAddinShim.SpreadsheetFormulas.TF($B$3,"TF.es.sales.prevmean(period=FY2013,sdate=0d,scale=6)")</f>
        <v xml:space="preserve">              Manual Calculation              </v>
      </c>
      <c r="BV10" s="2046" t="str">
        <f>_xll.ThomsonONEAddinShim.SpreadsheetFormulas.TF($B$3,"TF.es.sales.prevmean(period=FY2014,sdate=0d,scale=6)")</f>
        <v xml:space="preserve">              Manual Calculation              </v>
      </c>
      <c r="BW10" s="2046" t="str">
        <f>_xll.ThomsonONEAddinShim.SpreadsheetFormulas.TF($B$3,"TF.es.sales.prevmean(period=FY2015,sdate=0d,scale=6)")</f>
        <v xml:space="preserve">              Manual Calculation              </v>
      </c>
      <c r="BX10" s="2046" t="str">
        <f>_xll.ThomsonONEAddinShim.SpreadsheetFormulas.TF($B$3,"TF.es.sales.prevmean(period=FY2016,sdate=0d,scale=6)")</f>
        <v xml:space="preserve">              Manual Calculation              </v>
      </c>
      <c r="BY10" s="2046">
        <f>_xll.ThomsonONEAddinShim.SpreadsheetFormulas.TF($B$3,"TF.es.sales.prevmean(period=FY2017,sdate=0d,scale=6)")</f>
        <v>5256.3</v>
      </c>
      <c r="BZ10" s="2046">
        <f>_xll.ThomsonONEAddinShim.SpreadsheetFormulas.TF($B$3,"TF.es.sales.prevmean(period=FY2018,sdate=0d,scale=6)")</f>
        <v>5927</v>
      </c>
      <c r="CA10" s="2046">
        <f>_xll.ThomsonONEAddinShim.SpreadsheetFormulas.TF($B$3,"TF.es.sales.prevmean(period=FY2019,sdate=0d,scale=6)")</f>
        <v>6422.3</v>
      </c>
      <c r="CB10" s="2075"/>
      <c r="CC10" s="2191"/>
      <c r="CD10" s="13"/>
    </row>
    <row r="11" spans="1:88" ht="14.25" customHeight="1" collapsed="1">
      <c r="A11" s="7"/>
      <c r="B11" s="30" t="s">
        <v>390</v>
      </c>
      <c r="C11" s="31"/>
      <c r="D11" s="32"/>
      <c r="E11" s="32">
        <f t="shared" ref="E11:W11" si="1">E9/D9-1</f>
        <v>2.7139442438946393E-2</v>
      </c>
      <c r="F11" s="32">
        <f t="shared" si="1"/>
        <v>0.20861437014154904</v>
      </c>
      <c r="G11" s="33">
        <f t="shared" si="1"/>
        <v>0.207481833912875</v>
      </c>
      <c r="H11" s="32">
        <f t="shared" si="1"/>
        <v>-0.27548881029467043</v>
      </c>
      <c r="I11" s="32">
        <f t="shared" si="1"/>
        <v>-8.6919869865286215E-2</v>
      </c>
      <c r="J11" s="32">
        <f t="shared" si="1"/>
        <v>9.1464993706669162E-2</v>
      </c>
      <c r="K11" s="33">
        <f t="shared" si="1"/>
        <v>0.33535976354715413</v>
      </c>
      <c r="L11" s="32">
        <f t="shared" si="1"/>
        <v>-0.30451086469098121</v>
      </c>
      <c r="M11" s="32">
        <f t="shared" si="1"/>
        <v>0.11759935117599341</v>
      </c>
      <c r="N11" s="32">
        <f t="shared" si="1"/>
        <v>0.1843251088534108</v>
      </c>
      <c r="O11" s="33">
        <f t="shared" si="1"/>
        <v>8.4558823529411686E-2</v>
      </c>
      <c r="P11" s="32">
        <f t="shared" si="1"/>
        <v>-0.15988700564971747</v>
      </c>
      <c r="Q11" s="32">
        <f t="shared" si="1"/>
        <v>-8.4061869535978495E-2</v>
      </c>
      <c r="R11" s="32">
        <f t="shared" si="1"/>
        <v>0.3193832599118942</v>
      </c>
      <c r="S11" s="33">
        <f t="shared" si="1"/>
        <v>-0.35336672231496935</v>
      </c>
      <c r="T11" s="32">
        <f t="shared" si="1"/>
        <v>1.2908777969018903E-2</v>
      </c>
      <c r="U11" s="32">
        <f t="shared" si="1"/>
        <v>5.9473237043330407E-3</v>
      </c>
      <c r="V11" s="32">
        <f t="shared" si="1"/>
        <v>0.17905405405405395</v>
      </c>
      <c r="W11" s="33">
        <f t="shared" si="1"/>
        <v>0.1790830945558739</v>
      </c>
      <c r="X11" s="32">
        <f t="shared" ref="X11:AP11" si="2">X9/W9-1</f>
        <v>-4.3742405832320808E-2</v>
      </c>
      <c r="Y11" s="32">
        <f t="shared" si="2"/>
        <v>5.0190597204574416E-2</v>
      </c>
      <c r="Z11" s="32">
        <f t="shared" si="2"/>
        <v>-2.1173623714458523E-2</v>
      </c>
      <c r="AA11" s="33">
        <f t="shared" si="2"/>
        <v>1.9159456118664986E-2</v>
      </c>
      <c r="AB11" s="32">
        <f t="shared" si="2"/>
        <v>-2.1831412977562192E-2</v>
      </c>
      <c r="AC11" s="32">
        <f>AC9/AB9-1</f>
        <v>-2.4178549287042772E-2</v>
      </c>
      <c r="AD11" s="32">
        <f>AD9/AC9-1</f>
        <v>7.369758576874208E-2</v>
      </c>
      <c r="AE11" s="33">
        <f t="shared" si="2"/>
        <v>5.9171597633134176E-4</v>
      </c>
      <c r="AF11" s="32">
        <f t="shared" si="2"/>
        <v>-6.2684801892371356E-2</v>
      </c>
      <c r="AG11" s="32">
        <f t="shared" si="2"/>
        <v>-0.10851735015772868</v>
      </c>
      <c r="AH11" s="32">
        <f t="shared" si="2"/>
        <v>-0.10191082802547768</v>
      </c>
      <c r="AI11" s="32">
        <f>AI9/AH9-1</f>
        <v>-8.9834515366430279E-2</v>
      </c>
      <c r="AJ11" s="34">
        <f t="shared" si="2"/>
        <v>-5.8008658008657954E-2</v>
      </c>
      <c r="AK11" s="32">
        <f t="shared" si="2"/>
        <v>6.7095588235294157E-2</v>
      </c>
      <c r="AL11" s="32">
        <f t="shared" si="2"/>
        <v>0.25839793281653756</v>
      </c>
      <c r="AM11" s="32">
        <f>AM9/AL9-1</f>
        <v>8.7611225188227282E-2</v>
      </c>
      <c r="AN11" s="1852">
        <f t="shared" si="2"/>
        <v>-0.12083071113908117</v>
      </c>
      <c r="AO11" s="1850">
        <f t="shared" si="2"/>
        <v>3.1496062992125928E-2</v>
      </c>
      <c r="AP11" s="32">
        <f t="shared" si="2"/>
        <v>-8.3275503122831607E-3</v>
      </c>
      <c r="AQ11" s="32">
        <f>AQ9/AP9-1</f>
        <v>-0.13296011196641011</v>
      </c>
      <c r="AR11" s="34">
        <f>AR9/AQ9-1</f>
        <v>-0.16868442292171104</v>
      </c>
      <c r="AS11" s="32">
        <f>AS9/AR9-1</f>
        <v>-8.5436893203883479E-2</v>
      </c>
      <c r="AT11" s="32">
        <f>AT9/AS9-1</f>
        <v>0.12632696390658182</v>
      </c>
      <c r="AU11" s="33">
        <f>AU9/AT9-1</f>
        <v>-9.7078228086710627E-2</v>
      </c>
      <c r="AV11" s="34">
        <f t="shared" ref="AV11:AW11" si="3">AV9/AU9-1</f>
        <v>-0.13152400835073064</v>
      </c>
      <c r="AW11" s="32">
        <f t="shared" si="3"/>
        <v>0.234375</v>
      </c>
      <c r="AX11" s="32">
        <f>AX9/AW9-1</f>
        <v>0.27263875365141188</v>
      </c>
      <c r="AY11" s="33">
        <f>AY9/AX9-1</f>
        <v>-0.15378729915837797</v>
      </c>
      <c r="AZ11" s="1697">
        <f t="shared" ref="AZ11:BD11" si="4">AZ9/AY9-1</f>
        <v>-0.11030741410488243</v>
      </c>
      <c r="BA11" s="1696">
        <f t="shared" si="4"/>
        <v>0.24186991869918706</v>
      </c>
      <c r="BB11" s="1850">
        <f t="shared" si="4"/>
        <v>0.34451718494271688</v>
      </c>
      <c r="BC11" s="33">
        <f>BC9/BB9-1</f>
        <v>-9.920876445526472E-2</v>
      </c>
      <c r="BD11" s="1852">
        <f t="shared" si="4"/>
        <v>0.11283783783783785</v>
      </c>
      <c r="BE11" s="1850">
        <f t="shared" ref="BE11" si="5">BE9/BD9-1</f>
        <v>4.9498815951532382E-2</v>
      </c>
      <c r="BF11" s="1850">
        <f t="shared" ref="BF11" si="6">BF9/BE9-1</f>
        <v>1.06083679837643E-3</v>
      </c>
      <c r="BG11" s="1851">
        <f t="shared" ref="BG11" si="7">BG9/BF9-1</f>
        <v>-6.06911263306259E-2</v>
      </c>
      <c r="BH11" s="1913">
        <f t="shared" ref="BH11" si="8">BH9/BG9-1</f>
        <v>-4.6879771387315139E-2</v>
      </c>
      <c r="BI11" s="1850">
        <f t="shared" ref="BI11" si="9">BI9/BH9-1</f>
        <v>5.5720506923631508E-2</v>
      </c>
      <c r="BJ11" s="1850">
        <f t="shared" ref="BJ11" si="10">BJ9/BI9-1</f>
        <v>4.9558630718673502E-2</v>
      </c>
      <c r="BK11" s="1851">
        <f t="shared" ref="BK11" si="11">BK9/BJ9-1</f>
        <v>-7.9650910129827057E-3</v>
      </c>
      <c r="BL11" s="244"/>
      <c r="BM11" s="35"/>
      <c r="BN11" s="35"/>
      <c r="BO11" s="35"/>
      <c r="BP11" s="35"/>
      <c r="BQ11" s="35"/>
      <c r="BR11" s="35"/>
      <c r="BS11" s="35"/>
      <c r="BT11" s="35"/>
      <c r="BU11" s="35"/>
      <c r="BV11" s="35"/>
      <c r="BW11" s="35"/>
      <c r="BX11" s="35"/>
      <c r="BY11" s="35"/>
      <c r="BZ11" s="35"/>
      <c r="CA11" s="35"/>
      <c r="CB11" s="1650"/>
      <c r="CC11" s="2191"/>
      <c r="CD11" s="13"/>
    </row>
    <row r="12" spans="1:88" ht="14.25" customHeight="1">
      <c r="A12" s="7"/>
      <c r="B12" s="30" t="s">
        <v>391</v>
      </c>
      <c r="C12" s="31"/>
      <c r="D12" s="32"/>
      <c r="E12" s="32"/>
      <c r="F12" s="32"/>
      <c r="G12" s="33"/>
      <c r="H12" s="32">
        <f t="shared" ref="H12:W12" si="12">H9/D9-1</f>
        <v>8.6032603201622537E-2</v>
      </c>
      <c r="I12" s="32">
        <f t="shared" si="12"/>
        <v>-3.4566535282454791E-2</v>
      </c>
      <c r="J12" s="32">
        <f t="shared" si="12"/>
        <v>-0.12814471139480743</v>
      </c>
      <c r="K12" s="33">
        <f t="shared" si="12"/>
        <v>-3.5811190412351368E-2</v>
      </c>
      <c r="L12" s="32">
        <f t="shared" si="12"/>
        <v>-7.4434113671201119E-2</v>
      </c>
      <c r="M12" s="32">
        <f t="shared" si="12"/>
        <v>0.13288177005788548</v>
      </c>
      <c r="N12" s="32">
        <f t="shared" si="12"/>
        <v>0.22926555902207091</v>
      </c>
      <c r="O12" s="33">
        <f t="shared" si="12"/>
        <v>-1.6092704809705927E-3</v>
      </c>
      <c r="P12" s="32">
        <f t="shared" si="12"/>
        <v>0.20600162206001627</v>
      </c>
      <c r="Q12" s="32">
        <f t="shared" si="12"/>
        <v>-1.1611030478954953E-2</v>
      </c>
      <c r="R12" s="32">
        <f t="shared" si="12"/>
        <v>0.10110294117647056</v>
      </c>
      <c r="S12" s="33">
        <f t="shared" si="12"/>
        <v>-0.34350282485875705</v>
      </c>
      <c r="T12" s="32">
        <f t="shared" si="12"/>
        <v>-0.20847343644922667</v>
      </c>
      <c r="U12" s="32">
        <f t="shared" si="12"/>
        <v>-0.13069016152716595</v>
      </c>
      <c r="V12" s="32">
        <f t="shared" si="12"/>
        <v>-0.22314969393433504</v>
      </c>
      <c r="W12" s="33">
        <f t="shared" si="12"/>
        <v>0.41652323580034434</v>
      </c>
      <c r="X12" s="32">
        <f>X9/T9-1</f>
        <v>0.33729821580288877</v>
      </c>
      <c r="Y12" s="32">
        <f>Y9/U9-1</f>
        <v>0.39611486486486491</v>
      </c>
      <c r="Z12" s="32">
        <f>Z9/V9-1</f>
        <v>0.15902578796561606</v>
      </c>
      <c r="AA12" s="33">
        <f>AA9/W9-1</f>
        <v>1.8226002430132837E-3</v>
      </c>
      <c r="AB12" s="32">
        <f t="shared" ref="AB12:AP12" si="13">AB9/X9-1</f>
        <v>2.4777636594663255E-2</v>
      </c>
      <c r="AC12" s="32">
        <f>AC9/Y9-1</f>
        <v>-4.7791893526920703E-2</v>
      </c>
      <c r="AD12" s="32">
        <f>AD9/Z9-1</f>
        <v>4.4499381953028383E-2</v>
      </c>
      <c r="AE12" s="33">
        <f>AE9/AA9-1</f>
        <v>2.5469981807155762E-2</v>
      </c>
      <c r="AF12" s="32">
        <f t="shared" si="13"/>
        <v>-1.7358958462492247E-2</v>
      </c>
      <c r="AG12" s="32">
        <f t="shared" si="13"/>
        <v>-0.102287166454892</v>
      </c>
      <c r="AH12" s="32">
        <f t="shared" si="13"/>
        <v>-0.24911242603550299</v>
      </c>
      <c r="AI12" s="32">
        <f t="shared" si="13"/>
        <v>-0.31697220579538732</v>
      </c>
      <c r="AJ12" s="34">
        <f t="shared" si="13"/>
        <v>-0.31356466876971612</v>
      </c>
      <c r="AK12" s="32">
        <f t="shared" si="13"/>
        <v>-0.17834394904458595</v>
      </c>
      <c r="AL12" s="32">
        <f t="shared" si="13"/>
        <v>0.15130023640661938</v>
      </c>
      <c r="AM12" s="32">
        <f>AM9/AI9-1</f>
        <v>0.37575757575757573</v>
      </c>
      <c r="AN12" s="1852">
        <f t="shared" si="13"/>
        <v>0.28400735294117641</v>
      </c>
      <c r="AO12" s="1850">
        <f t="shared" si="13"/>
        <v>0.24117140396210157</v>
      </c>
      <c r="AP12" s="32">
        <f t="shared" si="13"/>
        <v>-2.1902806297056765E-2</v>
      </c>
      <c r="AQ12" s="32">
        <f>AQ9/AM9-1</f>
        <v>-0.22026431718061679</v>
      </c>
      <c r="AR12" s="34">
        <f>AR9/AN9-1</f>
        <v>-0.26270579813886896</v>
      </c>
      <c r="AS12" s="32">
        <f>AS9/AO9-1</f>
        <v>-0.34628730048577372</v>
      </c>
      <c r="AT12" s="32">
        <f>AT9/AP9-1</f>
        <v>-0.25752274317704693</v>
      </c>
      <c r="AU12" s="33">
        <f>AU9/AQ9-1</f>
        <v>-0.22679580306698954</v>
      </c>
      <c r="AV12" s="34">
        <f t="shared" ref="AV12:AW12" si="14">AV9/AR9-1</f>
        <v>-0.19223300970873791</v>
      </c>
      <c r="AW12" s="32">
        <f t="shared" si="14"/>
        <v>9.0233545647558477E-2</v>
      </c>
      <c r="AX12" s="32">
        <f>AX9/AT9-1</f>
        <v>0.23185673892554193</v>
      </c>
      <c r="AY12" s="33">
        <f>AY9/AU9-1</f>
        <v>0.15448851774530281</v>
      </c>
      <c r="AZ12" s="1697">
        <f t="shared" ref="AZ12:BD12" si="15">AZ9/AV9-1</f>
        <v>0.18269230769230771</v>
      </c>
      <c r="BA12" s="1696">
        <f t="shared" si="15"/>
        <v>0.18987341772151889</v>
      </c>
      <c r="BB12" s="1850">
        <f t="shared" si="15"/>
        <v>0.25707727620504972</v>
      </c>
      <c r="BC12" s="33">
        <f>BC9/AY9-1</f>
        <v>0.33815551537070521</v>
      </c>
      <c r="BD12" s="1852">
        <f t="shared" si="15"/>
        <v>0.67378048780487809</v>
      </c>
      <c r="BE12" s="1850">
        <f t="shared" ref="BE12" si="16">BE9/BA9-1</f>
        <v>0.41450454163025685</v>
      </c>
      <c r="BF12" s="1850">
        <f t="shared" ref="BF12" si="17">BF9/BB9-1</f>
        <v>5.3169952721591862E-2</v>
      </c>
      <c r="BG12" s="1851">
        <f t="shared" ref="BG12" si="18">BG9/BC9-1</f>
        <v>9.8203271788181112E-2</v>
      </c>
      <c r="BH12" s="1913">
        <f t="shared" ref="BH12" si="19">BH9/BD9-1</f>
        <v>-5.9413943451411266E-2</v>
      </c>
      <c r="BI12" s="1850">
        <f t="shared" ref="BI12" si="20">BI9/BE9-1</f>
        <v>-5.3837914505437845E-2</v>
      </c>
      <c r="BJ12" s="1850">
        <f t="shared" ref="BJ12" si="21">BJ9/BF9-1</f>
        <v>-7.9997674610781111E-3</v>
      </c>
      <c r="BK12" s="1851">
        <f t="shared" ref="BK12" si="22">BK9/BG9-1</f>
        <v>4.7683981263271669E-2</v>
      </c>
      <c r="BL12" s="244"/>
      <c r="BM12" s="32"/>
      <c r="BN12" s="32">
        <f t="shared" ref="BN12:BU12" si="23">BN9/BM9-1</f>
        <v>-3.4028727770177847E-2</v>
      </c>
      <c r="BO12" s="32">
        <f t="shared" si="23"/>
        <v>6.4436183395291113E-2</v>
      </c>
      <c r="BP12" s="32">
        <f t="shared" si="23"/>
        <v>-3.4092798935639435E-2</v>
      </c>
      <c r="BQ12" s="32">
        <f t="shared" si="23"/>
        <v>-6.973140495867769E-2</v>
      </c>
      <c r="BR12" s="32">
        <f t="shared" si="23"/>
        <v>0.20192485656116976</v>
      </c>
      <c r="BS12" s="32">
        <f t="shared" si="23"/>
        <v>1.1395133969818394E-2</v>
      </c>
      <c r="BT12" s="32">
        <f t="shared" si="23"/>
        <v>-0.17448233861144946</v>
      </c>
      <c r="BU12" s="1850">
        <f t="shared" si="23"/>
        <v>-2.2685355957211328E-2</v>
      </c>
      <c r="BV12" s="1850">
        <f t="shared" ref="BV12:CA12" si="24">BV9/BU9-1</f>
        <v>3.9063974334780038E-2</v>
      </c>
      <c r="BW12" s="1850">
        <f t="shared" si="24"/>
        <v>-0.27515437704322554</v>
      </c>
      <c r="BX12" s="1850">
        <f t="shared" si="24"/>
        <v>7.0408418942620843E-2</v>
      </c>
      <c r="BY12" s="1850">
        <f t="shared" si="24"/>
        <v>0.24742509363295873</v>
      </c>
      <c r="BZ12" s="1850">
        <f t="shared" si="24"/>
        <v>0.26313072329522558</v>
      </c>
      <c r="CA12" s="1850">
        <f t="shared" si="24"/>
        <v>-1.8905130792835179E-2</v>
      </c>
      <c r="CB12" s="1881">
        <v>0</v>
      </c>
      <c r="CC12" s="2191"/>
      <c r="CD12" s="13"/>
    </row>
    <row r="13" spans="1:88" ht="14.25" customHeight="1">
      <c r="A13" s="7"/>
      <c r="B13" s="21"/>
      <c r="C13" s="22"/>
      <c r="D13" s="37"/>
      <c r="E13" s="37"/>
      <c r="F13" s="37"/>
      <c r="G13" s="38"/>
      <c r="H13" s="37"/>
      <c r="I13" s="37"/>
      <c r="J13" s="37"/>
      <c r="K13" s="38"/>
      <c r="L13" s="37"/>
      <c r="M13" s="37"/>
      <c r="N13" s="37"/>
      <c r="O13" s="38"/>
      <c r="P13" s="37"/>
      <c r="Q13" s="37"/>
      <c r="R13" s="37"/>
      <c r="S13" s="38"/>
      <c r="T13" s="37"/>
      <c r="U13" s="37"/>
      <c r="V13" s="37"/>
      <c r="W13" s="38"/>
      <c r="X13" s="37"/>
      <c r="Y13" s="37"/>
      <c r="Z13" s="37"/>
      <c r="AA13" s="38"/>
      <c r="AB13" s="37"/>
      <c r="AC13" s="37"/>
      <c r="AD13" s="37"/>
      <c r="AE13" s="38"/>
      <c r="AF13" s="37"/>
      <c r="AG13" s="37"/>
      <c r="AH13" s="37"/>
      <c r="AI13" s="37"/>
      <c r="AJ13" s="920"/>
      <c r="AK13" s="37"/>
      <c r="AL13" s="37"/>
      <c r="AM13" s="37"/>
      <c r="AN13" s="920"/>
      <c r="AO13" s="37"/>
      <c r="AP13" s="37"/>
      <c r="AQ13" s="37"/>
      <c r="AR13" s="920"/>
      <c r="AS13" s="37"/>
      <c r="AT13" s="37"/>
      <c r="AU13" s="38"/>
      <c r="AV13" s="920"/>
      <c r="AW13" s="37"/>
      <c r="AX13" s="37"/>
      <c r="AY13" s="38"/>
      <c r="AZ13" s="920"/>
      <c r="BA13" s="37"/>
      <c r="BB13" s="37"/>
      <c r="BC13" s="38"/>
      <c r="BD13" s="920"/>
      <c r="BE13" s="37"/>
      <c r="BF13" s="37"/>
      <c r="BG13" s="1640"/>
      <c r="BH13" s="1917"/>
      <c r="BI13" s="37"/>
      <c r="BJ13" s="37"/>
      <c r="BK13" s="1640"/>
      <c r="BL13" s="244"/>
      <c r="BM13" s="39"/>
      <c r="BN13" s="39"/>
      <c r="BO13" s="39"/>
      <c r="BP13" s="39"/>
      <c r="BQ13" s="39"/>
      <c r="BR13" s="39"/>
      <c r="BS13" s="39"/>
      <c r="BT13" s="39"/>
      <c r="BU13" s="39"/>
      <c r="BV13" s="39"/>
      <c r="BW13" s="39"/>
      <c r="BX13" s="39"/>
      <c r="BY13" s="39"/>
      <c r="BZ13" s="39"/>
      <c r="CA13" s="39"/>
      <c r="CB13" s="2076"/>
      <c r="CC13" s="2191"/>
      <c r="CD13" s="13"/>
    </row>
    <row r="14" spans="1:88" ht="14.25" customHeight="1">
      <c r="A14" s="7"/>
      <c r="B14" s="21" t="s">
        <v>172</v>
      </c>
      <c r="C14" s="22"/>
      <c r="D14" s="25">
        <v>807.44899999999996</v>
      </c>
      <c r="E14" s="25">
        <v>765.95399999999995</v>
      </c>
      <c r="F14" s="25">
        <v>896.26099999999997</v>
      </c>
      <c r="G14" s="359">
        <f>3456-SUM(D14:F14)</f>
        <v>986.33600000000024</v>
      </c>
      <c r="H14" s="25">
        <v>553.34</v>
      </c>
      <c r="I14" s="25">
        <v>526.05899999999997</v>
      </c>
      <c r="J14" s="25">
        <v>645.26400000000001</v>
      </c>
      <c r="K14" s="359">
        <f>2856-SUM(H14:J14)</f>
        <v>1131.337</v>
      </c>
      <c r="L14" s="25">
        <v>886</v>
      </c>
      <c r="M14" s="25">
        <v>917</v>
      </c>
      <c r="N14" s="25">
        <v>963</v>
      </c>
      <c r="O14" s="359">
        <f>3751-SUM(L14:N14)</f>
        <v>985</v>
      </c>
      <c r="P14" s="25">
        <v>866</v>
      </c>
      <c r="Q14" s="25">
        <v>851</v>
      </c>
      <c r="R14" s="25">
        <v>881</v>
      </c>
      <c r="S14" s="359">
        <f>3488-SUM(P14:R14)</f>
        <v>890</v>
      </c>
      <c r="T14" s="25">
        <v>666</v>
      </c>
      <c r="U14" s="25">
        <v>743</v>
      </c>
      <c r="V14" s="25">
        <v>811</v>
      </c>
      <c r="W14" s="359">
        <f>3131-V14-U14-T14</f>
        <v>911</v>
      </c>
      <c r="X14" s="25">
        <v>833</v>
      </c>
      <c r="Y14" s="25">
        <v>915</v>
      </c>
      <c r="Z14" s="25">
        <v>879</v>
      </c>
      <c r="AA14" s="359">
        <f>3533-Z14-Y14-X14</f>
        <v>906</v>
      </c>
      <c r="AB14" s="25">
        <v>922</v>
      </c>
      <c r="AC14" s="25">
        <v>854</v>
      </c>
      <c r="AD14" s="25">
        <v>934</v>
      </c>
      <c r="AE14" s="26">
        <v>918</v>
      </c>
      <c r="AF14" s="25">
        <v>1558</v>
      </c>
      <c r="AG14" s="25">
        <v>775</v>
      </c>
      <c r="AH14" s="25">
        <v>877</v>
      </c>
      <c r="AI14" s="25">
        <v>977</v>
      </c>
      <c r="AJ14" s="582">
        <v>643</v>
      </c>
      <c r="AK14" s="25">
        <v>702</v>
      </c>
      <c r="AL14" s="25">
        <v>940</v>
      </c>
      <c r="AM14" s="25">
        <v>1036</v>
      </c>
      <c r="AN14" s="582">
        <v>910</v>
      </c>
      <c r="AO14" s="25">
        <v>943</v>
      </c>
      <c r="AP14" s="25">
        <v>935</v>
      </c>
      <c r="AQ14" s="25">
        <v>879</v>
      </c>
      <c r="AR14" s="582">
        <v>704</v>
      </c>
      <c r="AS14" s="25">
        <v>710</v>
      </c>
      <c r="AT14" s="25">
        <v>822</v>
      </c>
      <c r="AU14" s="26">
        <v>675</v>
      </c>
      <c r="AV14" s="582">
        <v>563</v>
      </c>
      <c r="AW14" s="25">
        <v>708</v>
      </c>
      <c r="AX14" s="25">
        <v>1248</v>
      </c>
      <c r="AY14" s="26">
        <v>755</v>
      </c>
      <c r="AZ14" s="582">
        <v>653</v>
      </c>
      <c r="BA14" s="25">
        <v>818</v>
      </c>
      <c r="BB14" s="25">
        <v>1070</v>
      </c>
      <c r="BC14" s="26">
        <v>965</v>
      </c>
      <c r="BD14" s="582">
        <v>1050</v>
      </c>
      <c r="BE14" s="27">
        <f t="shared" ref="BE14:BG14" si="25">BE9*(1-BE21)</f>
        <v>1088.9704664194694</v>
      </c>
      <c r="BF14" s="27">
        <f t="shared" si="25"/>
        <v>1090.1256863625924</v>
      </c>
      <c r="BG14" s="1639">
        <f t="shared" si="25"/>
        <v>1023.9647306153001</v>
      </c>
      <c r="BH14" s="1914">
        <f t="shared" ref="BH14:BK14" si="26">BH9*(1-BH21)</f>
        <v>975.96149813538113</v>
      </c>
      <c r="BI14" s="27">
        <f t="shared" si="26"/>
        <v>1013.9879236200752</v>
      </c>
      <c r="BJ14" s="27">
        <f t="shared" si="26"/>
        <v>1064.239776679957</v>
      </c>
      <c r="BK14" s="1639">
        <f t="shared" si="26"/>
        <v>1055.7630099990649</v>
      </c>
      <c r="BL14" s="244"/>
      <c r="BM14" s="27">
        <f>SUM(D14:G14)</f>
        <v>3456</v>
      </c>
      <c r="BN14" s="27">
        <f>SUM(H14:K14)</f>
        <v>2856</v>
      </c>
      <c r="BO14" s="27">
        <f>SUM(L14:O14)</f>
        <v>3751</v>
      </c>
      <c r="BP14" s="27">
        <f>SUM(P14:S14)</f>
        <v>3488</v>
      </c>
      <c r="BQ14" s="27">
        <f>SUM(T14:W14)</f>
        <v>3131</v>
      </c>
      <c r="BR14" s="27">
        <f>SUM(X14:AA14)</f>
        <v>3533</v>
      </c>
      <c r="BS14" s="27">
        <f>SUM(AB14:AE14)</f>
        <v>3628</v>
      </c>
      <c r="BT14" s="27">
        <f>SUM(AF14:AI14)</f>
        <v>4187</v>
      </c>
      <c r="BU14" s="27">
        <f>SUM(AJ14:AM14)</f>
        <v>3321</v>
      </c>
      <c r="BV14" s="27">
        <f>SUM(AN14:AQ14)</f>
        <v>3667</v>
      </c>
      <c r="BW14" s="27">
        <f>+SUM(AR14:AU14)</f>
        <v>2911</v>
      </c>
      <c r="BX14" s="27">
        <f t="shared" ref="BX14:BX17" si="27">+SUM(AV14:AY14)</f>
        <v>3274</v>
      </c>
      <c r="BY14" s="27">
        <f t="shared" ref="BY14:BY18" si="28">SUM(AZ14:BC14)</f>
        <v>3506</v>
      </c>
      <c r="BZ14" s="27">
        <f>SUM(BD14:BG14)</f>
        <v>4253.060883397362</v>
      </c>
      <c r="CA14" s="27">
        <f>SUM(BH14:BK14)</f>
        <v>4109.9522084344781</v>
      </c>
      <c r="CB14" s="2075">
        <f>+CB18+CB16</f>
        <v>4109.952208434479</v>
      </c>
      <c r="CC14" s="2191"/>
      <c r="CD14" s="13"/>
    </row>
    <row r="15" spans="1:88" ht="14.25" customHeight="1">
      <c r="A15" s="7"/>
      <c r="B15" s="21" t="s">
        <v>558</v>
      </c>
      <c r="C15" s="22"/>
      <c r="D15" s="25"/>
      <c r="E15" s="25"/>
      <c r="F15" s="25"/>
      <c r="G15" s="359"/>
      <c r="H15" s="25"/>
      <c r="I15" s="25"/>
      <c r="J15" s="25"/>
      <c r="K15" s="359"/>
      <c r="L15" s="25"/>
      <c r="M15" s="25"/>
      <c r="N15" s="25"/>
      <c r="O15" s="359"/>
      <c r="P15" s="25"/>
      <c r="Q15" s="25"/>
      <c r="R15" s="25"/>
      <c r="S15" s="359"/>
      <c r="T15" s="25"/>
      <c r="U15" s="25"/>
      <c r="V15" s="25"/>
      <c r="W15" s="359"/>
      <c r="X15" s="25"/>
      <c r="Y15" s="25"/>
      <c r="Z15" s="25"/>
      <c r="AA15" s="359"/>
      <c r="AB15" s="25"/>
      <c r="AC15" s="25"/>
      <c r="AD15" s="25"/>
      <c r="AE15" s="26"/>
      <c r="AF15" s="25"/>
      <c r="AG15" s="25"/>
      <c r="AH15" s="25"/>
      <c r="AI15" s="25"/>
      <c r="AJ15" s="582"/>
      <c r="AK15" s="25"/>
      <c r="AL15" s="25"/>
      <c r="AM15" s="25"/>
      <c r="AN15" s="582">
        <v>1</v>
      </c>
      <c r="AO15" s="25"/>
      <c r="AP15" s="25">
        <v>0</v>
      </c>
      <c r="AQ15" s="25"/>
      <c r="AR15" s="582">
        <v>1</v>
      </c>
      <c r="AS15" s="25">
        <v>1</v>
      </c>
      <c r="AT15" s="25">
        <v>0</v>
      </c>
      <c r="AU15" s="26">
        <v>1</v>
      </c>
      <c r="AV15" s="582">
        <v>1</v>
      </c>
      <c r="AW15" s="25">
        <v>0</v>
      </c>
      <c r="AX15" s="25">
        <v>0</v>
      </c>
      <c r="AY15" s="26">
        <v>1</v>
      </c>
      <c r="AZ15" s="582">
        <v>0</v>
      </c>
      <c r="BA15" s="25">
        <v>1</v>
      </c>
      <c r="BB15" s="25">
        <v>1</v>
      </c>
      <c r="BC15" s="26">
        <v>0</v>
      </c>
      <c r="BD15" s="582">
        <v>1</v>
      </c>
      <c r="BE15" s="1110">
        <f t="shared" ref="BE15:BK15" si="29">BD15</f>
        <v>1</v>
      </c>
      <c r="BF15" s="1110">
        <f t="shared" si="29"/>
        <v>1</v>
      </c>
      <c r="BG15" s="1645">
        <f t="shared" si="29"/>
        <v>1</v>
      </c>
      <c r="BH15" s="2015">
        <f t="shared" si="29"/>
        <v>1</v>
      </c>
      <c r="BI15" s="1110">
        <f t="shared" si="29"/>
        <v>1</v>
      </c>
      <c r="BJ15" s="1110">
        <f t="shared" si="29"/>
        <v>1</v>
      </c>
      <c r="BK15" s="1645">
        <f t="shared" si="29"/>
        <v>1</v>
      </c>
      <c r="BL15" s="244"/>
      <c r="BM15" s="27">
        <f>SUM(D15:G15)</f>
        <v>0</v>
      </c>
      <c r="BN15" s="27">
        <f>SUM(H15:K15)</f>
        <v>0</v>
      </c>
      <c r="BO15" s="27">
        <f>SUM(L15:O15)</f>
        <v>0</v>
      </c>
      <c r="BP15" s="27">
        <f>SUM(P15:S15)</f>
        <v>0</v>
      </c>
      <c r="BQ15" s="27">
        <f>SUM(T15:W15)</f>
        <v>0</v>
      </c>
      <c r="BR15" s="27">
        <f>SUM(X15:AA15)</f>
        <v>0</v>
      </c>
      <c r="BS15" s="27">
        <f>SUM(AB15:AE15)</f>
        <v>0</v>
      </c>
      <c r="BT15" s="27">
        <f>SUM(AF15:AI15)</f>
        <v>0</v>
      </c>
      <c r="BU15" s="27">
        <f>SUM(AJ15:AM15)</f>
        <v>0</v>
      </c>
      <c r="BV15" s="27">
        <f>SUM(AN15:AQ15)</f>
        <v>1</v>
      </c>
      <c r="BW15" s="27">
        <f>+SUM(AR15:AU15)</f>
        <v>3</v>
      </c>
      <c r="BX15" s="27">
        <f t="shared" si="27"/>
        <v>2</v>
      </c>
      <c r="BY15" s="27">
        <f t="shared" si="28"/>
        <v>2</v>
      </c>
      <c r="BZ15" s="27">
        <f>SUM(BD15:BG15)</f>
        <v>4</v>
      </c>
      <c r="CA15" s="27">
        <f>SUM(BH15:BK15)</f>
        <v>4</v>
      </c>
      <c r="CB15" s="2075">
        <f>CA15</f>
        <v>4</v>
      </c>
      <c r="CC15" s="2191"/>
      <c r="CD15" s="13"/>
    </row>
    <row r="16" spans="1:88" s="423" customFormat="1" ht="14.25" customHeight="1">
      <c r="A16" s="415"/>
      <c r="B16" s="428" t="s">
        <v>425</v>
      </c>
      <c r="C16" s="862"/>
      <c r="D16" s="863">
        <v>0</v>
      </c>
      <c r="E16" s="863">
        <v>0</v>
      </c>
      <c r="F16" s="863">
        <v>0</v>
      </c>
      <c r="G16" s="864">
        <v>0</v>
      </c>
      <c r="H16" s="863">
        <v>2</v>
      </c>
      <c r="I16" s="863">
        <v>2</v>
      </c>
      <c r="J16" s="863">
        <v>1.6419999999999999</v>
      </c>
      <c r="K16" s="864">
        <f>62+2</f>
        <v>64</v>
      </c>
      <c r="L16" s="863">
        <f>29+2</f>
        <v>31</v>
      </c>
      <c r="M16" s="863">
        <f>2+2</f>
        <v>4</v>
      </c>
      <c r="N16" s="863">
        <v>0</v>
      </c>
      <c r="O16" s="864">
        <v>0</v>
      </c>
      <c r="P16" s="863">
        <v>0</v>
      </c>
      <c r="Q16" s="863">
        <v>0</v>
      </c>
      <c r="R16" s="863">
        <v>-191</v>
      </c>
      <c r="S16" s="864">
        <v>227</v>
      </c>
      <c r="T16" s="863">
        <f>-64-34</f>
        <v>-98</v>
      </c>
      <c r="U16" s="863">
        <f>-98-20</f>
        <v>-118</v>
      </c>
      <c r="V16" s="863">
        <f>-9-49</f>
        <v>-58</v>
      </c>
      <c r="W16" s="864">
        <v>-56</v>
      </c>
      <c r="X16" s="863">
        <v>-69</v>
      </c>
      <c r="Y16" s="863">
        <v>0</v>
      </c>
      <c r="Z16" s="863">
        <v>0</v>
      </c>
      <c r="AA16" s="864">
        <v>0</v>
      </c>
      <c r="AB16" s="863">
        <f>24+5</f>
        <v>29</v>
      </c>
      <c r="AC16" s="863">
        <v>0</v>
      </c>
      <c r="AD16" s="863">
        <v>0</v>
      </c>
      <c r="AE16" s="864">
        <v>0</v>
      </c>
      <c r="AF16" s="863">
        <v>703</v>
      </c>
      <c r="AG16" s="863">
        <v>5</v>
      </c>
      <c r="AH16" s="863">
        <v>100</v>
      </c>
      <c r="AI16" s="863">
        <v>273</v>
      </c>
      <c r="AJ16" s="921">
        <v>0</v>
      </c>
      <c r="AK16" s="863">
        <v>0</v>
      </c>
      <c r="AL16" s="863">
        <v>0</v>
      </c>
      <c r="AM16" s="863">
        <v>0</v>
      </c>
      <c r="AN16" s="921">
        <v>0</v>
      </c>
      <c r="AO16" s="863">
        <v>0</v>
      </c>
      <c r="AP16" s="863">
        <v>0</v>
      </c>
      <c r="AQ16" s="863">
        <v>58</v>
      </c>
      <c r="AR16" s="921">
        <v>0</v>
      </c>
      <c r="AS16" s="863">
        <v>33</v>
      </c>
      <c r="AT16" s="863">
        <v>0</v>
      </c>
      <c r="AU16" s="864">
        <v>0</v>
      </c>
      <c r="AV16" s="921">
        <v>0</v>
      </c>
      <c r="AW16" s="863">
        <v>0</v>
      </c>
      <c r="AX16" s="863">
        <v>340</v>
      </c>
      <c r="AY16" s="864">
        <v>0</v>
      </c>
      <c r="AZ16" s="921">
        <v>0</v>
      </c>
      <c r="BA16" s="863">
        <v>0</v>
      </c>
      <c r="BB16" s="863">
        <v>0</v>
      </c>
      <c r="BC16" s="864">
        <v>0</v>
      </c>
      <c r="BD16" s="921">
        <v>0</v>
      </c>
      <c r="BE16" s="863">
        <v>0</v>
      </c>
      <c r="BF16" s="863">
        <v>0</v>
      </c>
      <c r="BG16" s="1638">
        <v>0</v>
      </c>
      <c r="BH16" s="2016">
        <v>0</v>
      </c>
      <c r="BI16" s="863">
        <v>0</v>
      </c>
      <c r="BJ16" s="863">
        <v>0</v>
      </c>
      <c r="BK16" s="1638">
        <v>0</v>
      </c>
      <c r="BL16" s="575"/>
      <c r="BM16" s="485">
        <f>SUM(D16:G16)</f>
        <v>0</v>
      </c>
      <c r="BN16" s="485">
        <f>SUM(H16:K16)</f>
        <v>69.641999999999996</v>
      </c>
      <c r="BO16" s="485">
        <f>SUM(L16:O16)</f>
        <v>35</v>
      </c>
      <c r="BP16" s="485">
        <f>SUM(P16:S16)</f>
        <v>36</v>
      </c>
      <c r="BQ16" s="485">
        <f>SUM(T16:W16)</f>
        <v>-330</v>
      </c>
      <c r="BR16" s="485">
        <f>SUM(X16:AA16)</f>
        <v>-69</v>
      </c>
      <c r="BS16" s="485">
        <f>SUM(AB16:AE16)</f>
        <v>29</v>
      </c>
      <c r="BT16" s="485">
        <f>SUM(AF16:AI16)</f>
        <v>1081</v>
      </c>
      <c r="BU16" s="485">
        <f>SUM(AJ16:AM16)</f>
        <v>0</v>
      </c>
      <c r="BV16" s="485">
        <f>SUM(AN16:AQ16)</f>
        <v>58</v>
      </c>
      <c r="BW16" s="485">
        <f>+SUM(AR16:AU16)</f>
        <v>33</v>
      </c>
      <c r="BX16" s="485">
        <f t="shared" si="27"/>
        <v>340</v>
      </c>
      <c r="BY16" s="1653">
        <f t="shared" si="28"/>
        <v>0</v>
      </c>
      <c r="BZ16" s="1653">
        <f>SUM(BD16:BG16)</f>
        <v>0</v>
      </c>
      <c r="CA16" s="1653">
        <f>SUM(BH16:BK16)</f>
        <v>0</v>
      </c>
      <c r="CB16" s="2077">
        <f>CA16</f>
        <v>0</v>
      </c>
      <c r="CC16" s="2191"/>
      <c r="CD16" s="440"/>
      <c r="CE16"/>
      <c r="CF16"/>
      <c r="CG16"/>
      <c r="CH16"/>
      <c r="CI16"/>
      <c r="CJ16"/>
    </row>
    <row r="17" spans="1:88" s="423" customFormat="1" ht="14.25" customHeight="1">
      <c r="A17" s="415"/>
      <c r="B17" s="101" t="s">
        <v>609</v>
      </c>
      <c r="C17" s="862"/>
      <c r="D17" s="27">
        <f t="shared" ref="D17:AW17" si="30">D14-D15-D16</f>
        <v>807.44899999999996</v>
      </c>
      <c r="E17" s="27">
        <f t="shared" si="30"/>
        <v>765.95399999999995</v>
      </c>
      <c r="F17" s="27">
        <f t="shared" si="30"/>
        <v>896.26099999999997</v>
      </c>
      <c r="G17" s="28">
        <f t="shared" si="30"/>
        <v>986.33600000000024</v>
      </c>
      <c r="H17" s="27">
        <f t="shared" si="30"/>
        <v>551.34</v>
      </c>
      <c r="I17" s="27">
        <f t="shared" si="30"/>
        <v>524.05899999999997</v>
      </c>
      <c r="J17" s="27">
        <f t="shared" si="30"/>
        <v>643.62199999999996</v>
      </c>
      <c r="K17" s="28">
        <f t="shared" si="30"/>
        <v>1067.337</v>
      </c>
      <c r="L17" s="27">
        <f t="shared" si="30"/>
        <v>855</v>
      </c>
      <c r="M17" s="27">
        <f t="shared" si="30"/>
        <v>913</v>
      </c>
      <c r="N17" s="27">
        <f t="shared" si="30"/>
        <v>963</v>
      </c>
      <c r="O17" s="28">
        <f t="shared" si="30"/>
        <v>985</v>
      </c>
      <c r="P17" s="27">
        <f t="shared" si="30"/>
        <v>866</v>
      </c>
      <c r="Q17" s="27">
        <f t="shared" si="30"/>
        <v>851</v>
      </c>
      <c r="R17" s="27">
        <f t="shared" si="30"/>
        <v>1072</v>
      </c>
      <c r="S17" s="28">
        <f t="shared" si="30"/>
        <v>663</v>
      </c>
      <c r="T17" s="27">
        <f t="shared" si="30"/>
        <v>764</v>
      </c>
      <c r="U17" s="27">
        <f t="shared" si="30"/>
        <v>861</v>
      </c>
      <c r="V17" s="27">
        <f t="shared" si="30"/>
        <v>869</v>
      </c>
      <c r="W17" s="28">
        <f t="shared" si="30"/>
        <v>967</v>
      </c>
      <c r="X17" s="27">
        <f t="shared" si="30"/>
        <v>902</v>
      </c>
      <c r="Y17" s="27">
        <f t="shared" si="30"/>
        <v>915</v>
      </c>
      <c r="Z17" s="27">
        <f t="shared" si="30"/>
        <v>879</v>
      </c>
      <c r="AA17" s="28">
        <f t="shared" si="30"/>
        <v>906</v>
      </c>
      <c r="AB17" s="27">
        <f t="shared" si="30"/>
        <v>893</v>
      </c>
      <c r="AC17" s="27">
        <f t="shared" si="30"/>
        <v>854</v>
      </c>
      <c r="AD17" s="27">
        <f t="shared" si="30"/>
        <v>934</v>
      </c>
      <c r="AE17" s="28">
        <f t="shared" si="30"/>
        <v>918</v>
      </c>
      <c r="AF17" s="27">
        <f t="shared" si="30"/>
        <v>855</v>
      </c>
      <c r="AG17" s="27">
        <f t="shared" si="30"/>
        <v>770</v>
      </c>
      <c r="AH17" s="27">
        <f t="shared" si="30"/>
        <v>777</v>
      </c>
      <c r="AI17" s="27">
        <f t="shared" si="30"/>
        <v>704</v>
      </c>
      <c r="AJ17" s="29">
        <f t="shared" si="30"/>
        <v>643</v>
      </c>
      <c r="AK17" s="27">
        <f t="shared" si="30"/>
        <v>702</v>
      </c>
      <c r="AL17" s="27">
        <f t="shared" si="30"/>
        <v>940</v>
      </c>
      <c r="AM17" s="27">
        <f t="shared" si="30"/>
        <v>1036</v>
      </c>
      <c r="AN17" s="29">
        <f t="shared" si="30"/>
        <v>909</v>
      </c>
      <c r="AO17" s="27">
        <f t="shared" si="30"/>
        <v>943</v>
      </c>
      <c r="AP17" s="27">
        <f t="shared" si="30"/>
        <v>935</v>
      </c>
      <c r="AQ17" s="28">
        <f t="shared" si="30"/>
        <v>821</v>
      </c>
      <c r="AR17" s="27">
        <f t="shared" si="30"/>
        <v>703</v>
      </c>
      <c r="AS17" s="27">
        <f t="shared" si="30"/>
        <v>676</v>
      </c>
      <c r="AT17" s="27">
        <f t="shared" si="30"/>
        <v>822</v>
      </c>
      <c r="AU17" s="28">
        <f t="shared" si="30"/>
        <v>674</v>
      </c>
      <c r="AV17" s="29">
        <f t="shared" si="30"/>
        <v>562</v>
      </c>
      <c r="AW17" s="27">
        <f t="shared" si="30"/>
        <v>708</v>
      </c>
      <c r="AX17" s="27">
        <f>AX14-AX15-AX16</f>
        <v>908</v>
      </c>
      <c r="AY17" s="28">
        <f t="shared" ref="AY17:BA17" si="31">AY14-AY15-AY16</f>
        <v>754</v>
      </c>
      <c r="AZ17" s="29">
        <f t="shared" si="31"/>
        <v>653</v>
      </c>
      <c r="BA17" s="27">
        <f t="shared" si="31"/>
        <v>817</v>
      </c>
      <c r="BB17" s="27">
        <f t="shared" ref="BB17:BD17" si="32">BB14-BB15-BB16</f>
        <v>1069</v>
      </c>
      <c r="BC17" s="28">
        <f t="shared" si="32"/>
        <v>965</v>
      </c>
      <c r="BD17" s="29">
        <f t="shared" si="32"/>
        <v>1049</v>
      </c>
      <c r="BE17" s="27">
        <f t="shared" ref="BE17:BG17" si="33">BE14-BE15-BE16</f>
        <v>1087.9704664194694</v>
      </c>
      <c r="BF17" s="27">
        <f t="shared" si="33"/>
        <v>1089.1256863625924</v>
      </c>
      <c r="BG17" s="1639">
        <f t="shared" si="33"/>
        <v>1022.9647306153001</v>
      </c>
      <c r="BH17" s="1914">
        <f t="shared" ref="BH17:BK17" si="34">BH14-BH15-BH16</f>
        <v>974.96149813538113</v>
      </c>
      <c r="BI17" s="27">
        <f t="shared" si="34"/>
        <v>1012.9879236200752</v>
      </c>
      <c r="BJ17" s="27">
        <f t="shared" si="34"/>
        <v>1063.239776679957</v>
      </c>
      <c r="BK17" s="1639">
        <f t="shared" si="34"/>
        <v>1054.7630099990649</v>
      </c>
      <c r="BL17" s="575"/>
      <c r="BM17" s="27">
        <f>SUM(D17:G17)</f>
        <v>3456</v>
      </c>
      <c r="BN17" s="27">
        <f>SUM(H17:K17)</f>
        <v>2786.3579999999997</v>
      </c>
      <c r="BO17" s="27">
        <f>SUM(L17:O17)</f>
        <v>3716</v>
      </c>
      <c r="BP17" s="27">
        <f>SUM(P17:S17)</f>
        <v>3452</v>
      </c>
      <c r="BQ17" s="27">
        <f>SUM(T17:W17)</f>
        <v>3461</v>
      </c>
      <c r="BR17" s="27">
        <f>SUM(X17:AA17)</f>
        <v>3602</v>
      </c>
      <c r="BS17" s="27">
        <f>SUM(AB17:AE17)</f>
        <v>3599</v>
      </c>
      <c r="BT17" s="27">
        <f>SUM(AF17:AI17)</f>
        <v>3106</v>
      </c>
      <c r="BU17" s="27">
        <f>SUM(AJ17:AM17)</f>
        <v>3321</v>
      </c>
      <c r="BV17" s="27">
        <f>SUM(AN17:AQ17)</f>
        <v>3608</v>
      </c>
      <c r="BW17" s="27">
        <f>+SUM(AR17:AU17)</f>
        <v>2875</v>
      </c>
      <c r="BX17" s="27">
        <f t="shared" si="27"/>
        <v>2932</v>
      </c>
      <c r="BY17" s="27">
        <f t="shared" ref="BY17" si="35">SUM(AZ17:BC17)</f>
        <v>3504</v>
      </c>
      <c r="BZ17" s="27">
        <f>SUM(BD17:BG17)</f>
        <v>4249.060883397362</v>
      </c>
      <c r="CA17" s="27">
        <f>SUM(BH17:BK17)</f>
        <v>4105.9522084344781</v>
      </c>
      <c r="CB17" s="2075">
        <f t="shared" ref="CB17" si="36">CB16+CB14-CB15</f>
        <v>4105.952208434479</v>
      </c>
      <c r="CC17" s="2191"/>
      <c r="CD17" s="440"/>
      <c r="CE17"/>
      <c r="CF17"/>
      <c r="CG17"/>
      <c r="CH17"/>
      <c r="CI17"/>
      <c r="CJ17"/>
    </row>
    <row r="18" spans="1:88" s="405" customFormat="1" ht="14.25" customHeight="1">
      <c r="A18" s="7"/>
      <c r="B18" s="21" t="s">
        <v>0</v>
      </c>
      <c r="C18" s="22"/>
      <c r="D18" s="27">
        <f t="shared" ref="D18:AW18" si="37">+D14-D16</f>
        <v>807.44899999999996</v>
      </c>
      <c r="E18" s="27">
        <f t="shared" si="37"/>
        <v>765.95399999999995</v>
      </c>
      <c r="F18" s="27">
        <f t="shared" si="37"/>
        <v>896.26099999999997</v>
      </c>
      <c r="G18" s="28">
        <f t="shared" si="37"/>
        <v>986.33600000000024</v>
      </c>
      <c r="H18" s="27">
        <f t="shared" si="37"/>
        <v>551.34</v>
      </c>
      <c r="I18" s="27">
        <f t="shared" si="37"/>
        <v>524.05899999999997</v>
      </c>
      <c r="J18" s="27">
        <f t="shared" si="37"/>
        <v>643.62199999999996</v>
      </c>
      <c r="K18" s="28">
        <f t="shared" si="37"/>
        <v>1067.337</v>
      </c>
      <c r="L18" s="27">
        <f t="shared" si="37"/>
        <v>855</v>
      </c>
      <c r="M18" s="27">
        <f t="shared" si="37"/>
        <v>913</v>
      </c>
      <c r="N18" s="27">
        <f t="shared" si="37"/>
        <v>963</v>
      </c>
      <c r="O18" s="28">
        <f t="shared" si="37"/>
        <v>985</v>
      </c>
      <c r="P18" s="27">
        <f t="shared" si="37"/>
        <v>866</v>
      </c>
      <c r="Q18" s="27">
        <f t="shared" si="37"/>
        <v>851</v>
      </c>
      <c r="R18" s="27">
        <f t="shared" si="37"/>
        <v>1072</v>
      </c>
      <c r="S18" s="28">
        <f t="shared" si="37"/>
        <v>663</v>
      </c>
      <c r="T18" s="27">
        <f t="shared" si="37"/>
        <v>764</v>
      </c>
      <c r="U18" s="27">
        <f t="shared" si="37"/>
        <v>861</v>
      </c>
      <c r="V18" s="27">
        <f t="shared" si="37"/>
        <v>869</v>
      </c>
      <c r="W18" s="28">
        <f t="shared" si="37"/>
        <v>967</v>
      </c>
      <c r="X18" s="27">
        <f t="shared" si="37"/>
        <v>902</v>
      </c>
      <c r="Y18" s="27">
        <f t="shared" si="37"/>
        <v>915</v>
      </c>
      <c r="Z18" s="27">
        <f t="shared" si="37"/>
        <v>879</v>
      </c>
      <c r="AA18" s="28">
        <f t="shared" si="37"/>
        <v>906</v>
      </c>
      <c r="AB18" s="27">
        <f t="shared" si="37"/>
        <v>893</v>
      </c>
      <c r="AC18" s="27">
        <f t="shared" si="37"/>
        <v>854</v>
      </c>
      <c r="AD18" s="27">
        <f t="shared" si="37"/>
        <v>934</v>
      </c>
      <c r="AE18" s="28">
        <f t="shared" si="37"/>
        <v>918</v>
      </c>
      <c r="AF18" s="27">
        <f t="shared" si="37"/>
        <v>855</v>
      </c>
      <c r="AG18" s="27">
        <f t="shared" si="37"/>
        <v>770</v>
      </c>
      <c r="AH18" s="27">
        <f t="shared" si="37"/>
        <v>777</v>
      </c>
      <c r="AI18" s="27">
        <f t="shared" si="37"/>
        <v>704</v>
      </c>
      <c r="AJ18" s="29">
        <f t="shared" si="37"/>
        <v>643</v>
      </c>
      <c r="AK18" s="27">
        <f t="shared" si="37"/>
        <v>702</v>
      </c>
      <c r="AL18" s="27">
        <f t="shared" si="37"/>
        <v>940</v>
      </c>
      <c r="AM18" s="27">
        <f t="shared" si="37"/>
        <v>1036</v>
      </c>
      <c r="AN18" s="29">
        <f t="shared" si="37"/>
        <v>910</v>
      </c>
      <c r="AO18" s="27">
        <f t="shared" si="37"/>
        <v>943</v>
      </c>
      <c r="AP18" s="27">
        <f t="shared" si="37"/>
        <v>935</v>
      </c>
      <c r="AQ18" s="28">
        <f t="shared" si="37"/>
        <v>821</v>
      </c>
      <c r="AR18" s="27">
        <f t="shared" si="37"/>
        <v>704</v>
      </c>
      <c r="AS18" s="27">
        <f t="shared" si="37"/>
        <v>677</v>
      </c>
      <c r="AT18" s="27">
        <f t="shared" si="37"/>
        <v>822</v>
      </c>
      <c r="AU18" s="28">
        <f t="shared" si="37"/>
        <v>675</v>
      </c>
      <c r="AV18" s="29">
        <f t="shared" si="37"/>
        <v>563</v>
      </c>
      <c r="AW18" s="27">
        <f t="shared" si="37"/>
        <v>708</v>
      </c>
      <c r="AX18" s="27">
        <f>+AX14-AX16</f>
        <v>908</v>
      </c>
      <c r="AY18" s="28">
        <f t="shared" ref="AY18:BA18" si="38">+AY14-AY16</f>
        <v>755</v>
      </c>
      <c r="AZ18" s="29">
        <f t="shared" si="38"/>
        <v>653</v>
      </c>
      <c r="BA18" s="27">
        <f t="shared" si="38"/>
        <v>818</v>
      </c>
      <c r="BB18" s="27">
        <f t="shared" ref="BB18:BD18" si="39">+BB14-BB16</f>
        <v>1070</v>
      </c>
      <c r="BC18" s="28">
        <f t="shared" si="39"/>
        <v>965</v>
      </c>
      <c r="BD18" s="29">
        <f t="shared" si="39"/>
        <v>1050</v>
      </c>
      <c r="BE18" s="27">
        <f t="shared" ref="BE18:BG18" si="40">+BE14-BE16</f>
        <v>1088.9704664194694</v>
      </c>
      <c r="BF18" s="27">
        <f t="shared" si="40"/>
        <v>1090.1256863625924</v>
      </c>
      <c r="BG18" s="1639">
        <f t="shared" si="40"/>
        <v>1023.9647306153001</v>
      </c>
      <c r="BH18" s="1914">
        <f t="shared" ref="BH18:BK18" si="41">+BH14-BH16</f>
        <v>975.96149813538113</v>
      </c>
      <c r="BI18" s="27">
        <f t="shared" si="41"/>
        <v>1013.9879236200752</v>
      </c>
      <c r="BJ18" s="27">
        <f t="shared" si="41"/>
        <v>1064.239776679957</v>
      </c>
      <c r="BK18" s="1639">
        <f t="shared" si="41"/>
        <v>1055.7630099990649</v>
      </c>
      <c r="BL18" s="244"/>
      <c r="BM18" s="27">
        <f t="shared" ref="BM18:BU18" si="42">BM14-BM16</f>
        <v>3456</v>
      </c>
      <c r="BN18" s="27">
        <f t="shared" si="42"/>
        <v>2786.3580000000002</v>
      </c>
      <c r="BO18" s="27">
        <f t="shared" si="42"/>
        <v>3716</v>
      </c>
      <c r="BP18" s="27">
        <f t="shared" si="42"/>
        <v>3452</v>
      </c>
      <c r="BQ18" s="27">
        <f t="shared" si="42"/>
        <v>3461</v>
      </c>
      <c r="BR18" s="27">
        <f t="shared" si="42"/>
        <v>3602</v>
      </c>
      <c r="BS18" s="27">
        <f t="shared" si="42"/>
        <v>3599</v>
      </c>
      <c r="BT18" s="27">
        <f t="shared" si="42"/>
        <v>3106</v>
      </c>
      <c r="BU18" s="27">
        <f t="shared" si="42"/>
        <v>3321</v>
      </c>
      <c r="BV18" s="27">
        <f>SUM(AN18:AQ18)</f>
        <v>3609</v>
      </c>
      <c r="BW18" s="27">
        <f>+SUM(AR18:AU18)</f>
        <v>2878</v>
      </c>
      <c r="BX18" s="27">
        <f>+SUM(AV18:AY18)</f>
        <v>2934</v>
      </c>
      <c r="BY18" s="27">
        <f t="shared" si="28"/>
        <v>3506</v>
      </c>
      <c r="BZ18" s="27">
        <f>SUM(BD18:BG18)</f>
        <v>4253.060883397362</v>
      </c>
      <c r="CA18" s="27">
        <f>SUM(BH18:BK18)</f>
        <v>4109.9522084344781</v>
      </c>
      <c r="CB18" s="2075">
        <f>+CB9*(1-CB26)</f>
        <v>4109.952208434479</v>
      </c>
      <c r="CC18" s="2191"/>
      <c r="CD18" s="13"/>
      <c r="CE18"/>
      <c r="CF18"/>
      <c r="CG18"/>
      <c r="CH18"/>
      <c r="CI18"/>
      <c r="CJ18"/>
    </row>
    <row r="19" spans="1:88" ht="14.25" customHeight="1">
      <c r="A19" s="7"/>
      <c r="B19" s="21"/>
      <c r="C19" s="22"/>
      <c r="D19" s="37"/>
      <c r="E19" s="37"/>
      <c r="F19" s="41"/>
      <c r="G19" s="38"/>
      <c r="H19" s="37"/>
      <c r="I19" s="37"/>
      <c r="J19" s="41"/>
      <c r="K19" s="38"/>
      <c r="L19" s="37"/>
      <c r="M19" s="37"/>
      <c r="N19" s="41"/>
      <c r="O19" s="38"/>
      <c r="P19" s="37"/>
      <c r="Q19" s="37"/>
      <c r="R19" s="41"/>
      <c r="S19" s="38"/>
      <c r="T19" s="37"/>
      <c r="U19" s="37"/>
      <c r="V19" s="41"/>
      <c r="W19" s="38"/>
      <c r="X19" s="37"/>
      <c r="Y19" s="37"/>
      <c r="Z19" s="41"/>
      <c r="AA19" s="38"/>
      <c r="AB19" s="37"/>
      <c r="AC19" s="37"/>
      <c r="AD19" s="41"/>
      <c r="AE19" s="38"/>
      <c r="AF19" s="37"/>
      <c r="AG19" s="37"/>
      <c r="AH19" s="37"/>
      <c r="AI19" s="37"/>
      <c r="AJ19" s="647"/>
      <c r="AK19" s="37"/>
      <c r="AL19" s="37"/>
      <c r="AM19" s="37"/>
      <c r="AN19" s="1857"/>
      <c r="AO19" s="37"/>
      <c r="AP19" s="37"/>
      <c r="AQ19" s="37"/>
      <c r="AR19" s="647"/>
      <c r="AS19" s="37"/>
      <c r="AT19" s="37"/>
      <c r="AU19" s="38"/>
      <c r="AV19" s="647"/>
      <c r="AW19" s="37"/>
      <c r="AX19" s="37"/>
      <c r="AY19" s="38"/>
      <c r="AZ19" s="1699"/>
      <c r="BA19" s="37"/>
      <c r="BB19" s="37"/>
      <c r="BC19" s="38"/>
      <c r="BD19" s="1857"/>
      <c r="BE19" s="37"/>
      <c r="BF19" s="37"/>
      <c r="BG19" s="1640"/>
      <c r="BH19" s="1917"/>
      <c r="BI19" s="37"/>
      <c r="BJ19" s="37"/>
      <c r="BK19" s="1640"/>
      <c r="BL19" s="244"/>
      <c r="BM19" s="39"/>
      <c r="BN19" s="39"/>
      <c r="BO19" s="39"/>
      <c r="BP19" s="39"/>
      <c r="BQ19" s="39"/>
      <c r="BR19" s="39"/>
      <c r="BS19" s="39"/>
      <c r="BT19" s="39"/>
      <c r="BU19" s="39"/>
      <c r="BV19" s="39"/>
      <c r="BW19" s="39"/>
      <c r="BX19" s="39"/>
      <c r="BY19" s="39"/>
      <c r="BZ19" s="39"/>
      <c r="CA19" s="39"/>
      <c r="CB19" s="2076"/>
      <c r="CC19" s="2191"/>
      <c r="CD19" s="13"/>
    </row>
    <row r="20" spans="1:88" ht="14.25" customHeight="1">
      <c r="A20" s="7"/>
      <c r="B20" s="42" t="s">
        <v>173</v>
      </c>
      <c r="C20" s="43"/>
      <c r="D20" s="45">
        <f t="shared" ref="D20:AI20" si="43">D9-D14</f>
        <v>419.17899999999997</v>
      </c>
      <c r="E20" s="45">
        <f t="shared" si="43"/>
        <v>493.96399999999994</v>
      </c>
      <c r="F20" s="45">
        <f t="shared" si="43"/>
        <v>626.49400000000014</v>
      </c>
      <c r="G20" s="46">
        <f t="shared" si="43"/>
        <v>852.36299999999983</v>
      </c>
      <c r="H20" s="45">
        <f t="shared" si="43"/>
        <v>778.81799999999987</v>
      </c>
      <c r="I20" s="45">
        <f t="shared" si="43"/>
        <v>690.30799999999999</v>
      </c>
      <c r="J20" s="45">
        <f t="shared" si="43"/>
        <v>682.35800000000006</v>
      </c>
      <c r="K20" s="46">
        <f t="shared" si="43"/>
        <v>641.51600000000008</v>
      </c>
      <c r="L20" s="45">
        <f t="shared" si="43"/>
        <v>347</v>
      </c>
      <c r="M20" s="45">
        <f t="shared" si="43"/>
        <v>461</v>
      </c>
      <c r="N20" s="45">
        <f t="shared" si="43"/>
        <v>669</v>
      </c>
      <c r="O20" s="46">
        <f t="shared" si="43"/>
        <v>785</v>
      </c>
      <c r="P20" s="45">
        <f t="shared" si="43"/>
        <v>621</v>
      </c>
      <c r="Q20" s="45">
        <f t="shared" si="43"/>
        <v>511</v>
      </c>
      <c r="R20" s="45">
        <f t="shared" si="43"/>
        <v>916</v>
      </c>
      <c r="S20" s="46">
        <f t="shared" si="43"/>
        <v>272</v>
      </c>
      <c r="T20" s="45">
        <f t="shared" si="43"/>
        <v>511</v>
      </c>
      <c r="U20" s="45">
        <f t="shared" si="43"/>
        <v>441</v>
      </c>
      <c r="V20" s="45">
        <f t="shared" si="43"/>
        <v>585</v>
      </c>
      <c r="W20" s="46">
        <f t="shared" si="43"/>
        <v>735</v>
      </c>
      <c r="X20" s="45">
        <f t="shared" si="43"/>
        <v>741</v>
      </c>
      <c r="Y20" s="45">
        <f t="shared" si="43"/>
        <v>738</v>
      </c>
      <c r="Z20" s="45">
        <f t="shared" si="43"/>
        <v>739</v>
      </c>
      <c r="AA20" s="46">
        <f t="shared" si="43"/>
        <v>743</v>
      </c>
      <c r="AB20" s="45">
        <f t="shared" si="43"/>
        <v>691</v>
      </c>
      <c r="AC20" s="45">
        <f t="shared" si="43"/>
        <v>720</v>
      </c>
      <c r="AD20" s="45">
        <f t="shared" si="43"/>
        <v>756</v>
      </c>
      <c r="AE20" s="46">
        <f t="shared" si="43"/>
        <v>773</v>
      </c>
      <c r="AF20" s="45">
        <f t="shared" si="43"/>
        <v>27</v>
      </c>
      <c r="AG20" s="45">
        <f t="shared" si="43"/>
        <v>638</v>
      </c>
      <c r="AH20" s="45">
        <f t="shared" si="43"/>
        <v>392</v>
      </c>
      <c r="AI20" s="45">
        <f t="shared" si="43"/>
        <v>178</v>
      </c>
      <c r="AJ20" s="44">
        <f t="shared" ref="AJ20:AX20" si="44">AJ9-AJ14</f>
        <v>445</v>
      </c>
      <c r="AK20" s="45">
        <f t="shared" si="44"/>
        <v>459</v>
      </c>
      <c r="AL20" s="45">
        <f t="shared" si="44"/>
        <v>521</v>
      </c>
      <c r="AM20" s="45">
        <f t="shared" si="44"/>
        <v>553</v>
      </c>
      <c r="AN20" s="44">
        <f t="shared" si="44"/>
        <v>487</v>
      </c>
      <c r="AO20" s="45">
        <f t="shared" si="44"/>
        <v>498</v>
      </c>
      <c r="AP20" s="45">
        <f t="shared" si="44"/>
        <v>494</v>
      </c>
      <c r="AQ20" s="45">
        <f t="shared" si="44"/>
        <v>360</v>
      </c>
      <c r="AR20" s="44">
        <f t="shared" si="44"/>
        <v>326</v>
      </c>
      <c r="AS20" s="45">
        <f t="shared" si="44"/>
        <v>232</v>
      </c>
      <c r="AT20" s="45">
        <f t="shared" si="44"/>
        <v>239</v>
      </c>
      <c r="AU20" s="46">
        <f t="shared" si="44"/>
        <v>283</v>
      </c>
      <c r="AV20" s="44">
        <f t="shared" si="44"/>
        <v>269</v>
      </c>
      <c r="AW20" s="45">
        <f t="shared" si="44"/>
        <v>319</v>
      </c>
      <c r="AX20" s="45">
        <f t="shared" si="44"/>
        <v>59</v>
      </c>
      <c r="AY20" s="46">
        <f t="shared" ref="AY20:BA20" si="45">AY9-AY14</f>
        <v>351</v>
      </c>
      <c r="AZ20" s="44">
        <f t="shared" si="45"/>
        <v>331</v>
      </c>
      <c r="BA20" s="45">
        <f t="shared" si="45"/>
        <v>404</v>
      </c>
      <c r="BB20" s="45">
        <f t="shared" ref="BB20:BD20" si="46">BB9-BB14</f>
        <v>573</v>
      </c>
      <c r="BC20" s="46">
        <f t="shared" si="46"/>
        <v>515</v>
      </c>
      <c r="BD20" s="44">
        <f t="shared" si="46"/>
        <v>597</v>
      </c>
      <c r="BE20" s="45">
        <f t="shared" ref="BE20:BG20" si="47">BE9-BE14</f>
        <v>639.55408345270439</v>
      </c>
      <c r="BF20" s="45">
        <f t="shared" si="47"/>
        <v>640.23254595898288</v>
      </c>
      <c r="BG20" s="2175">
        <f t="shared" si="47"/>
        <v>601.376111631208</v>
      </c>
      <c r="BH20" s="2174">
        <f t="shared" ref="BH20:BK20" si="48">BH9-BH14</f>
        <v>573.18373700014445</v>
      </c>
      <c r="BI20" s="45">
        <f t="shared" si="48"/>
        <v>621.47646931553004</v>
      </c>
      <c r="BJ20" s="45">
        <f t="shared" si="48"/>
        <v>652.27599215868349</v>
      </c>
      <c r="BK20" s="2175">
        <f t="shared" si="48"/>
        <v>647.08055451555583</v>
      </c>
      <c r="BL20" s="244"/>
      <c r="BM20" s="45">
        <f t="shared" ref="BM20:BU20" si="49">BM9-BM14</f>
        <v>2392</v>
      </c>
      <c r="BN20" s="45">
        <f t="shared" si="49"/>
        <v>2793</v>
      </c>
      <c r="BO20" s="45">
        <f t="shared" si="49"/>
        <v>2262</v>
      </c>
      <c r="BP20" s="45">
        <f t="shared" si="49"/>
        <v>2320</v>
      </c>
      <c r="BQ20" s="45">
        <f t="shared" si="49"/>
        <v>2272</v>
      </c>
      <c r="BR20" s="45">
        <f t="shared" si="49"/>
        <v>2961</v>
      </c>
      <c r="BS20" s="45">
        <f t="shared" si="49"/>
        <v>2940</v>
      </c>
      <c r="BT20" s="45">
        <f t="shared" si="49"/>
        <v>1235</v>
      </c>
      <c r="BU20" s="45">
        <f t="shared" si="49"/>
        <v>1978</v>
      </c>
      <c r="BV20" s="45">
        <f>SUM(AN20:AQ20)</f>
        <v>1839</v>
      </c>
      <c r="BW20" s="45">
        <f>+SUM(AR20:AU20)</f>
        <v>1080</v>
      </c>
      <c r="BX20" s="45">
        <f t="shared" ref="BX20" si="50">+SUM(AV20:AY20)</f>
        <v>998</v>
      </c>
      <c r="BY20" s="45">
        <f>SUM(AZ20:BC20)</f>
        <v>1823</v>
      </c>
      <c r="BZ20" s="45">
        <f>SUM(BD20:BG20)</f>
        <v>2478.1627410428955</v>
      </c>
      <c r="CA20" s="45">
        <f>SUM(BH20:BK20)</f>
        <v>2494.0167529899136</v>
      </c>
      <c r="CB20" s="2186">
        <f>CB9-CB14</f>
        <v>2494.0167529899136</v>
      </c>
      <c r="CC20" s="2191"/>
      <c r="CD20" s="13"/>
    </row>
    <row r="21" spans="1:88" ht="14.25" customHeight="1">
      <c r="A21" s="7"/>
      <c r="B21" s="30" t="s">
        <v>161</v>
      </c>
      <c r="C21" s="31"/>
      <c r="D21" s="32">
        <f t="shared" ref="D21:AX21" si="51">D20/D9</f>
        <v>0.34173278288119951</v>
      </c>
      <c r="E21" s="32">
        <f t="shared" si="51"/>
        <v>0.39206043567914733</v>
      </c>
      <c r="F21" s="32">
        <f t="shared" si="51"/>
        <v>0.4114214039684651</v>
      </c>
      <c r="G21" s="33">
        <f t="shared" si="51"/>
        <v>0.46356853405587312</v>
      </c>
      <c r="H21" s="32">
        <f t="shared" si="51"/>
        <v>0.5846288503315672</v>
      </c>
      <c r="I21" s="32">
        <f t="shared" si="51"/>
        <v>0.56751621837817046</v>
      </c>
      <c r="J21" s="32">
        <f t="shared" si="51"/>
        <v>0.5139700908843029</v>
      </c>
      <c r="K21" s="33">
        <f t="shared" si="51"/>
        <v>0.36185515663171175</v>
      </c>
      <c r="L21" s="32">
        <f t="shared" si="51"/>
        <v>0.28142741281427414</v>
      </c>
      <c r="M21" s="32">
        <f t="shared" si="51"/>
        <v>0.33454281567489114</v>
      </c>
      <c r="N21" s="32">
        <f t="shared" si="51"/>
        <v>0.40992647058823528</v>
      </c>
      <c r="O21" s="33">
        <f t="shared" si="51"/>
        <v>0.44350282485875708</v>
      </c>
      <c r="P21" s="32">
        <f t="shared" si="51"/>
        <v>0.41761936785474107</v>
      </c>
      <c r="Q21" s="32">
        <f t="shared" si="51"/>
        <v>0.37518355359765049</v>
      </c>
      <c r="R21" s="32">
        <f t="shared" si="51"/>
        <v>0.50973845297718423</v>
      </c>
      <c r="S21" s="33">
        <f t="shared" si="51"/>
        <v>0.23407917383820998</v>
      </c>
      <c r="T21" s="32">
        <f t="shared" si="51"/>
        <v>0.43415463041631264</v>
      </c>
      <c r="U21" s="32">
        <f t="shared" si="51"/>
        <v>0.37246621621621623</v>
      </c>
      <c r="V21" s="32">
        <f t="shared" si="51"/>
        <v>0.41905444126074498</v>
      </c>
      <c r="W21" s="33">
        <f t="shared" si="51"/>
        <v>0.44653705953827461</v>
      </c>
      <c r="X21" s="32">
        <f t="shared" si="51"/>
        <v>0.47077509529860229</v>
      </c>
      <c r="Y21" s="32">
        <f t="shared" si="51"/>
        <v>0.44646098003629764</v>
      </c>
      <c r="Z21" s="32">
        <f t="shared" si="51"/>
        <v>0.45673671199011123</v>
      </c>
      <c r="AA21" s="33">
        <f t="shared" si="51"/>
        <v>0.45057610673135234</v>
      </c>
      <c r="AB21" s="32">
        <f t="shared" si="51"/>
        <v>0.42839429634221948</v>
      </c>
      <c r="AC21" s="32">
        <f t="shared" si="51"/>
        <v>0.45743329097839897</v>
      </c>
      <c r="AD21" s="32">
        <f t="shared" si="51"/>
        <v>0.44733727810650886</v>
      </c>
      <c r="AE21" s="33">
        <f t="shared" si="51"/>
        <v>0.45712596096984032</v>
      </c>
      <c r="AF21" s="32">
        <f t="shared" si="51"/>
        <v>1.7034700315457414E-2</v>
      </c>
      <c r="AG21" s="32">
        <f t="shared" si="51"/>
        <v>0.45152158527954706</v>
      </c>
      <c r="AH21" s="32">
        <f t="shared" si="51"/>
        <v>0.30890464933018125</v>
      </c>
      <c r="AI21" s="32">
        <f t="shared" si="51"/>
        <v>0.15411255411255412</v>
      </c>
      <c r="AJ21" s="34">
        <f t="shared" si="51"/>
        <v>0.40900735294117646</v>
      </c>
      <c r="AK21" s="32">
        <f t="shared" si="51"/>
        <v>0.39534883720930231</v>
      </c>
      <c r="AL21" s="32">
        <f t="shared" si="51"/>
        <v>0.35660506502395617</v>
      </c>
      <c r="AM21" s="32">
        <f t="shared" si="51"/>
        <v>0.34801762114537443</v>
      </c>
      <c r="AN21" s="1852">
        <f t="shared" si="51"/>
        <v>0.34860415175375803</v>
      </c>
      <c r="AO21" s="1850">
        <f t="shared" si="51"/>
        <v>0.34559333795975017</v>
      </c>
      <c r="AP21" s="32">
        <f t="shared" si="51"/>
        <v>0.3456962911126662</v>
      </c>
      <c r="AQ21" s="32">
        <f t="shared" si="51"/>
        <v>0.29055690072639223</v>
      </c>
      <c r="AR21" s="34">
        <f t="shared" si="51"/>
        <v>0.31650485436893205</v>
      </c>
      <c r="AS21" s="32">
        <f t="shared" si="51"/>
        <v>0.24628450106157113</v>
      </c>
      <c r="AT21" s="32">
        <f t="shared" si="51"/>
        <v>0.22525918944392084</v>
      </c>
      <c r="AU21" s="33">
        <f t="shared" si="51"/>
        <v>0.29540709812108562</v>
      </c>
      <c r="AV21" s="34">
        <f t="shared" si="51"/>
        <v>0.32331730769230771</v>
      </c>
      <c r="AW21" s="1696">
        <f t="shared" si="51"/>
        <v>0.31061343719571566</v>
      </c>
      <c r="AX21" s="32">
        <f t="shared" si="51"/>
        <v>4.5141545524100997E-2</v>
      </c>
      <c r="AY21" s="33">
        <f t="shared" ref="AY21:BA21" si="52">AY20/AY9</f>
        <v>0.31735985533453887</v>
      </c>
      <c r="AZ21" s="1697">
        <f t="shared" si="52"/>
        <v>0.3363821138211382</v>
      </c>
      <c r="BA21" s="1696">
        <f t="shared" si="52"/>
        <v>0.33060556464811786</v>
      </c>
      <c r="BB21" s="1850">
        <f t="shared" ref="BB21:BD21" si="53">BB20/BB9</f>
        <v>0.34875228241022521</v>
      </c>
      <c r="BC21" s="33">
        <f t="shared" si="53"/>
        <v>0.34797297297297297</v>
      </c>
      <c r="BD21" s="1852">
        <f t="shared" si="53"/>
        <v>0.36247723132969034</v>
      </c>
      <c r="BE21" s="1880">
        <v>0.37</v>
      </c>
      <c r="BF21" s="1880">
        <f t="shared" ref="BF21:BK21" si="54">BE21</f>
        <v>0.37</v>
      </c>
      <c r="BG21" s="1881">
        <v>0.37</v>
      </c>
      <c r="BH21" s="1879">
        <f t="shared" si="54"/>
        <v>0.37</v>
      </c>
      <c r="BI21" s="1880">
        <v>0.38</v>
      </c>
      <c r="BJ21" s="1880">
        <f t="shared" si="54"/>
        <v>0.38</v>
      </c>
      <c r="BK21" s="1881">
        <f t="shared" si="54"/>
        <v>0.38</v>
      </c>
      <c r="BL21" s="244"/>
      <c r="BM21" s="32">
        <f t="shared" ref="BM21:BY21" si="55">BM20/BM9</f>
        <v>0.40902872777017785</v>
      </c>
      <c r="BN21" s="32">
        <f t="shared" si="55"/>
        <v>0.49442379182156132</v>
      </c>
      <c r="BO21" s="32">
        <f t="shared" si="55"/>
        <v>0.37618493264593383</v>
      </c>
      <c r="BP21" s="32">
        <f t="shared" si="55"/>
        <v>0.39944903581267216</v>
      </c>
      <c r="BQ21" s="32">
        <f t="shared" si="55"/>
        <v>0.42050712567092358</v>
      </c>
      <c r="BR21" s="32">
        <f t="shared" si="55"/>
        <v>0.45595934708962121</v>
      </c>
      <c r="BS21" s="32">
        <f t="shared" si="55"/>
        <v>0.4476248477466504</v>
      </c>
      <c r="BT21" s="32">
        <f t="shared" si="55"/>
        <v>0.22777572851346367</v>
      </c>
      <c r="BU21" s="1850">
        <f t="shared" si="55"/>
        <v>0.37327797697678805</v>
      </c>
      <c r="BV21" s="1850">
        <f t="shared" ref="BV21:BX21" si="56">BV20/BV9</f>
        <v>0.33399927351979658</v>
      </c>
      <c r="BW21" s="1850">
        <f t="shared" si="56"/>
        <v>0.27060886995740419</v>
      </c>
      <c r="BX21" s="1850">
        <f t="shared" si="56"/>
        <v>0.23361423220973782</v>
      </c>
      <c r="BY21" s="1850">
        <f t="shared" si="55"/>
        <v>0.34209044848939762</v>
      </c>
      <c r="BZ21" s="1850">
        <f t="shared" ref="BZ21:CB21" si="57">BZ20/BZ9</f>
        <v>0.36815932426386588</v>
      </c>
      <c r="CA21" s="1850">
        <f t="shared" si="57"/>
        <v>0.3776542209023323</v>
      </c>
      <c r="CB21" s="1851">
        <f t="shared" si="57"/>
        <v>0.3776542209023323</v>
      </c>
      <c r="CC21" s="2191"/>
      <c r="CD21" s="13"/>
    </row>
    <row r="22" spans="1:88" ht="14.25" hidden="1" customHeight="1" outlineLevel="1">
      <c r="A22" s="7"/>
      <c r="B22" s="693" t="s">
        <v>517</v>
      </c>
      <c r="C22" s="31"/>
      <c r="D22" s="32"/>
      <c r="E22" s="32"/>
      <c r="F22" s="32"/>
      <c r="G22" s="33"/>
      <c r="H22" s="32"/>
      <c r="I22" s="32"/>
      <c r="J22" s="32"/>
      <c r="K22" s="33"/>
      <c r="L22" s="32"/>
      <c r="M22" s="32"/>
      <c r="N22" s="32"/>
      <c r="O22" s="33"/>
      <c r="P22" s="32"/>
      <c r="Q22" s="32"/>
      <c r="R22" s="32"/>
      <c r="S22" s="33"/>
      <c r="T22" s="32"/>
      <c r="U22" s="32"/>
      <c r="V22" s="32"/>
      <c r="W22" s="33"/>
      <c r="X22" s="32"/>
      <c r="Y22" s="32"/>
      <c r="Z22" s="32"/>
      <c r="AA22" s="33"/>
      <c r="AB22" s="32"/>
      <c r="AC22" s="32"/>
      <c r="AD22" s="32"/>
      <c r="AE22" s="33"/>
      <c r="AF22" s="32"/>
      <c r="AG22" s="32"/>
      <c r="AH22" s="32"/>
      <c r="AI22" s="33"/>
      <c r="AJ22" s="32"/>
      <c r="AK22" s="32"/>
      <c r="AL22" s="32"/>
      <c r="AM22" s="33"/>
      <c r="AN22" s="2055" t="str">
        <f>_xll.ThomsonONEAddinShim.SpreadsheetFormulas.TF($B$3,"TF.ES.GPM.Mean(period=#1)",,"1QCY2014")</f>
        <v>Manual Calculation</v>
      </c>
      <c r="AO22" s="2055" t="str">
        <f>_xll.ThomsonONEAddinShim.SpreadsheetFormulas.TF($B$3,"TF.ES.GPM.Mean(period=#1)",,"2QCY2014")</f>
        <v>Manual Calculation</v>
      </c>
      <c r="AP22" s="2055" t="str">
        <f>_xll.ThomsonONEAddinShim.SpreadsheetFormulas.TF($B$3,"TF.ES.GPM.Mean(period=#1)",,"3QCY2014")</f>
        <v>Manual Calculation</v>
      </c>
      <c r="AQ22" s="2055" t="str">
        <f>_xll.ThomsonONEAddinShim.SpreadsheetFormulas.TF($B$3,"TF.ES.GPM.Mean(period=#1)",,"4QCY2014")</f>
        <v>Manual Calculation</v>
      </c>
      <c r="AR22" s="2057" t="str">
        <f>_xll.ThomsonONEAddinShim.SpreadsheetFormulas.TF($B$3,"TF.ES.GPM.Mean(period=#1)",,"1QCY2015")</f>
        <v>Manual Calculation</v>
      </c>
      <c r="AS22" s="2055" t="str">
        <f>_xll.ThomsonONEAddinShim.SpreadsheetFormulas.TF($B$3,"TF.ES.GPM.Mean(period=#1)",,"2QCY2015")</f>
        <v>Manual Calculation</v>
      </c>
      <c r="AT22" s="2055" t="str">
        <f>_xll.ThomsonONEAddinShim.SpreadsheetFormulas.TF($B$3,"TF.ES.GPM.Mean(period=#1)",,"3QCY2015")</f>
        <v>Manual Calculation</v>
      </c>
      <c r="AU22" s="2058" t="str">
        <f>_xll.ThomsonONEAddinShim.SpreadsheetFormulas.TF($B$3,"TF.ES.GPM.Mean(period=#1)",,"4QCY2015")</f>
        <v>Manual Calculation</v>
      </c>
      <c r="AV22" s="2057" t="str">
        <f>_xll.ThomsonONEAddinShim.SpreadsheetFormulas.TF($B$3,"TF.ES.GPM.Mean(period=#1)",,"1QCY2016")</f>
        <v>Manual Calculation</v>
      </c>
      <c r="AW22" s="2055" t="str">
        <f>_xll.ThomsonONEAddinShim.SpreadsheetFormulas.TF($B$3,"TF.ES.GPM.Mean(period=#1)",,"2QCY2016")</f>
        <v>Manual Calculation</v>
      </c>
      <c r="AX22" s="2055" t="str">
        <f>_xll.ThomsonONEAddinShim.SpreadsheetFormulas.TF($B$3,"TF.ES.GPM.Mean(period=#1)",,"3QCY2016")</f>
        <v>Manual Calculation</v>
      </c>
      <c r="AY22" s="2058" t="str">
        <f>_xll.ThomsonONEAddinShim.SpreadsheetFormulas.TF($B$3,"TF.ES.GPM.Mean(period=#1)",,"4QCY2016")</f>
        <v>Manual Calculation</v>
      </c>
      <c r="AZ22" s="2057">
        <f>_xll.ThomsonONEAddinShim.SpreadsheetFormulas.TF($B$3,"TF.ES.GPM.Mean(period=#1)",,"1QCY2017")</f>
        <v>0.33</v>
      </c>
      <c r="BA22" s="2055">
        <f>_xll.ThomsonONEAddinShim.SpreadsheetFormulas.TF($B$3,"TF.ES.GPM.Mean(period=#1)",,"2QCY2017")</f>
        <v>0.33</v>
      </c>
      <c r="BB22" s="2055">
        <f>_xll.ThomsonONEAddinShim.SpreadsheetFormulas.TF($B$3,"TF.ES.GPM.Mean(period=#1)",,"3QCY2017")</f>
        <v>0.34</v>
      </c>
      <c r="BC22" s="2058">
        <f>_xll.ThomsonONEAddinShim.SpreadsheetFormulas.TF($B$3,"TF.ES.GPM.Mean(period=#1)",,"4QCY2017")</f>
        <v>0.35</v>
      </c>
      <c r="BD22" s="2057">
        <f>_xll.ThomsonONEAddinShim.SpreadsheetFormulas.TF($B$3,"TF.ES.GPM.Mean(period=#1)",,"1QCY2017")</f>
        <v>0.33</v>
      </c>
      <c r="BE22" s="2055">
        <f>_xll.ThomsonONEAddinShim.SpreadsheetFormulas.TF($B$3,"TF.ES.GPM.Mean(period=#1)",,"2QCY2018")</f>
        <v>0.36</v>
      </c>
      <c r="BF22" s="2055">
        <f>_xll.ThomsonONEAddinShim.SpreadsheetFormulas.TF($B$3,"TF.ES.GPM.Mean(period=#1)",,"3QCY2018")</f>
        <v>0.36700000000000005</v>
      </c>
      <c r="BG22" s="2056">
        <f>_xll.ThomsonONEAddinShim.SpreadsheetFormulas.TF($B$3,"TF.ES.GPM.Mean(period=#1)",,"4QCY2018")</f>
        <v>0.377</v>
      </c>
      <c r="BH22" s="2059">
        <f>_xll.ThomsonONEAddinShim.SpreadsheetFormulas.TF($B$3,"TF.ES.GPM.Mean(period=#1)",,"1QCY2019")</f>
        <v>0.37799999999999995</v>
      </c>
      <c r="BI22" s="2055">
        <f>_xll.ThomsonONEAddinShim.SpreadsheetFormulas.TF($B$3,"TF.ES.GPM.Mean(period=#1)",,"2QCY2019")</f>
        <v>0.38100000000000001</v>
      </c>
      <c r="BJ22" s="2055">
        <f>_xll.ThomsonONEAddinShim.SpreadsheetFormulas.TF($B$3,"TF.ES.GPM.Mean(period=#1)",,"3QCY2019")</f>
        <v>0.38500000000000001</v>
      </c>
      <c r="BK22" s="2056">
        <f>_xll.ThomsonONEAddinShim.SpreadsheetFormulas.TF($B$3,"TF.ES.GPM.Mean(period=#1)",,"4QCY2019")</f>
        <v>0.39200000000000002</v>
      </c>
      <c r="BL22" s="244"/>
      <c r="BM22" s="2055" t="str">
        <f>_xll.ThomsonONEAddinShim.SpreadsheetFormulas.TF($B$3,"TF.ES.GPM.Mean(period=#1)",,"FY2005")</f>
        <v>N/A</v>
      </c>
      <c r="BN22" s="2055" t="str">
        <f>_xll.ThomsonONEAddinShim.SpreadsheetFormulas.TF($B$3,"TF.ES.GPM.Mean(period=#1)",,"FY2006")</f>
        <v>Manual Calculation</v>
      </c>
      <c r="BO22" s="2055" t="str">
        <f>_xll.ThomsonONEAddinShim.SpreadsheetFormulas.TF($B$3,"TF.ES.GPM.Mean(period=#1)",,"FY2007")</f>
        <v>Manual Calculation</v>
      </c>
      <c r="BP22" s="2055" t="str">
        <f>_xll.ThomsonONEAddinShim.SpreadsheetFormulas.TF($B$3,"TF.ES.GPM.Mean(period=#1)",,"FY2008")</f>
        <v>Manual Calculation</v>
      </c>
      <c r="BQ22" s="2055" t="str">
        <f>_xll.ThomsonONEAddinShim.SpreadsheetFormulas.TF($B$3,"TF.ES.GPM.Mean(period=#1)",,"FY2009")</f>
        <v>Manual Calculation</v>
      </c>
      <c r="BR22" s="2055" t="str">
        <f>_xll.ThomsonONEAddinShim.SpreadsheetFormulas.TF($B$3,"TF.ES.GPM.Mean(period=#1)",,"FY2010")</f>
        <v>Manual Calculation</v>
      </c>
      <c r="BS22" s="2055" t="str">
        <f>_xll.ThomsonONEAddinShim.SpreadsheetFormulas.TF($B$3,"TF.ES.GPM.Mean(period=#1)",,"FY2011")</f>
        <v>Manual Calculation</v>
      </c>
      <c r="BT22" s="2055" t="str">
        <f>_xll.ThomsonONEAddinShim.SpreadsheetFormulas.TF($B$3,"TF.ES.GPM.Mean(period=#1)",,"FY2012")</f>
        <v>Manual Calculation</v>
      </c>
      <c r="BU22" s="2055" t="str">
        <f>_xll.ThomsonONEAddinShim.SpreadsheetFormulas.TF($B$3,"TF.ES.GPM.Mean(period=#1)",,"FY2013")</f>
        <v>Manual Calculation</v>
      </c>
      <c r="BV22" s="2055" t="str">
        <f>_xll.ThomsonONEAddinShim.SpreadsheetFormulas.TF($B$3,"TF.ES.GPM.Mean(period=#1)",,"FY2014")</f>
        <v>Manual Calculation</v>
      </c>
      <c r="BW22" s="2055" t="str">
        <f>_xll.ThomsonONEAddinShim.SpreadsheetFormulas.TF($B$3,"TF.ES.GPM.Mean(period=#1)",,"FY2015")</f>
        <v>Manual Calculation</v>
      </c>
      <c r="BX22" s="2055" t="str">
        <f>_xll.ThomsonONEAddinShim.SpreadsheetFormulas.TF($B$3,"TF.ES.GPM.Mean(period=#1)",,"FY2016")</f>
        <v>Manual Calculation</v>
      </c>
      <c r="BY22" s="2055">
        <f>_xll.ThomsonONEAddinShim.SpreadsheetFormulas.TF($B$3,"TF.ES.GPM.Mean(period=#1)",,"FY2017")</f>
        <v>0.34299999999999997</v>
      </c>
      <c r="BZ22" s="2055">
        <f>_xll.ThomsonONEAddinShim.SpreadsheetFormulas.TF($B$3,"TF.ES.GPM.Mean(period=#1)",,"FY2018")</f>
        <v>0.36499999999999999</v>
      </c>
      <c r="CA22" s="2055">
        <f>_xll.ThomsonONEAddinShim.SpreadsheetFormulas.TF($B$3,"TF.ES.GPM.Mean(period=#1)",,"FY2019")</f>
        <v>0.38</v>
      </c>
      <c r="CB22" s="1851" t="str">
        <f>_xll.ThomsonONEAddinShim.SpreadsheetFormulas.TF($B$3,"TF.ES.GPM.Mean(period=#1)",,"4QCY2016")</f>
        <v>Manual Calculation</v>
      </c>
      <c r="CC22" s="2191"/>
      <c r="CD22" s="13"/>
    </row>
    <row r="23" spans="1:88" ht="14.25" customHeight="1" collapsed="1">
      <c r="A23" s="7"/>
      <c r="B23" s="42" t="s">
        <v>607</v>
      </c>
      <c r="C23" s="31"/>
      <c r="D23" s="45">
        <f t="shared" ref="D23:AV23" si="58">+D9-D17</f>
        <v>419.17899999999997</v>
      </c>
      <c r="E23" s="45">
        <f t="shared" si="58"/>
        <v>493.96399999999994</v>
      </c>
      <c r="F23" s="45">
        <f t="shared" si="58"/>
        <v>626.49400000000014</v>
      </c>
      <c r="G23" s="46">
        <f t="shared" si="58"/>
        <v>852.36299999999983</v>
      </c>
      <c r="H23" s="45">
        <f t="shared" si="58"/>
        <v>780.81799999999987</v>
      </c>
      <c r="I23" s="45">
        <f t="shared" si="58"/>
        <v>692.30799999999999</v>
      </c>
      <c r="J23" s="45">
        <f t="shared" si="58"/>
        <v>684.00000000000011</v>
      </c>
      <c r="K23" s="46">
        <f t="shared" si="58"/>
        <v>705.51600000000008</v>
      </c>
      <c r="L23" s="45">
        <f t="shared" si="58"/>
        <v>378</v>
      </c>
      <c r="M23" s="45">
        <f t="shared" si="58"/>
        <v>465</v>
      </c>
      <c r="N23" s="45">
        <f t="shared" si="58"/>
        <v>669</v>
      </c>
      <c r="O23" s="46">
        <f t="shared" si="58"/>
        <v>785</v>
      </c>
      <c r="P23" s="45">
        <f t="shared" si="58"/>
        <v>621</v>
      </c>
      <c r="Q23" s="45">
        <f t="shared" si="58"/>
        <v>511</v>
      </c>
      <c r="R23" s="45">
        <f t="shared" si="58"/>
        <v>725</v>
      </c>
      <c r="S23" s="46">
        <f t="shared" si="58"/>
        <v>499</v>
      </c>
      <c r="T23" s="45">
        <f t="shared" si="58"/>
        <v>413</v>
      </c>
      <c r="U23" s="45">
        <f t="shared" si="58"/>
        <v>323</v>
      </c>
      <c r="V23" s="45">
        <f t="shared" si="58"/>
        <v>527</v>
      </c>
      <c r="W23" s="46">
        <f t="shared" si="58"/>
        <v>679</v>
      </c>
      <c r="X23" s="45">
        <f t="shared" si="58"/>
        <v>672</v>
      </c>
      <c r="Y23" s="45">
        <f t="shared" si="58"/>
        <v>738</v>
      </c>
      <c r="Z23" s="45">
        <f t="shared" si="58"/>
        <v>739</v>
      </c>
      <c r="AA23" s="46">
        <f t="shared" si="58"/>
        <v>743</v>
      </c>
      <c r="AB23" s="45">
        <f t="shared" si="58"/>
        <v>720</v>
      </c>
      <c r="AC23" s="45">
        <f t="shared" si="58"/>
        <v>720</v>
      </c>
      <c r="AD23" s="45">
        <f t="shared" si="58"/>
        <v>756</v>
      </c>
      <c r="AE23" s="46">
        <f t="shared" si="58"/>
        <v>773</v>
      </c>
      <c r="AF23" s="45">
        <f t="shared" si="58"/>
        <v>730</v>
      </c>
      <c r="AG23" s="45">
        <f t="shared" si="58"/>
        <v>643</v>
      </c>
      <c r="AH23" s="45">
        <f t="shared" si="58"/>
        <v>492</v>
      </c>
      <c r="AI23" s="46">
        <f t="shared" si="58"/>
        <v>451</v>
      </c>
      <c r="AJ23" s="45">
        <f t="shared" si="58"/>
        <v>445</v>
      </c>
      <c r="AK23" s="45">
        <f t="shared" si="58"/>
        <v>459</v>
      </c>
      <c r="AL23" s="45">
        <f t="shared" si="58"/>
        <v>521</v>
      </c>
      <c r="AM23" s="46">
        <f t="shared" si="58"/>
        <v>553</v>
      </c>
      <c r="AN23" s="45">
        <f t="shared" si="58"/>
        <v>488</v>
      </c>
      <c r="AO23" s="45">
        <f t="shared" si="58"/>
        <v>498</v>
      </c>
      <c r="AP23" s="45">
        <f>+AP9-AP17</f>
        <v>494</v>
      </c>
      <c r="AQ23" s="46">
        <f t="shared" si="58"/>
        <v>418</v>
      </c>
      <c r="AR23" s="45">
        <f t="shared" si="58"/>
        <v>327</v>
      </c>
      <c r="AS23" s="45">
        <f>+AS9-AS17</f>
        <v>266</v>
      </c>
      <c r="AT23" s="45">
        <f t="shared" si="58"/>
        <v>239</v>
      </c>
      <c r="AU23" s="46">
        <f t="shared" si="58"/>
        <v>284</v>
      </c>
      <c r="AV23" s="45">
        <f t="shared" si="58"/>
        <v>270</v>
      </c>
      <c r="AW23" s="45">
        <f>+AW9-AW17</f>
        <v>319</v>
      </c>
      <c r="AX23" s="45">
        <f>+AX9-AX17</f>
        <v>399</v>
      </c>
      <c r="AY23" s="46">
        <f t="shared" ref="AY23:AZ23" si="59">+AY9-AY17</f>
        <v>352</v>
      </c>
      <c r="AZ23" s="45">
        <f t="shared" si="59"/>
        <v>331</v>
      </c>
      <c r="BA23" s="45">
        <f>+BA9-BA17</f>
        <v>405</v>
      </c>
      <c r="BB23" s="45">
        <f>+BB9-BB17</f>
        <v>574</v>
      </c>
      <c r="BC23" s="46">
        <f t="shared" ref="BC23:BD23" si="60">+BC9-BC17</f>
        <v>515</v>
      </c>
      <c r="BD23" s="45">
        <f t="shared" si="60"/>
        <v>598</v>
      </c>
      <c r="BE23" s="45">
        <f t="shared" ref="BE23:BG23" si="61">+BE9-BE17</f>
        <v>640.55408345270439</v>
      </c>
      <c r="BF23" s="45">
        <f t="shared" si="61"/>
        <v>641.23254595898288</v>
      </c>
      <c r="BG23" s="2175">
        <f t="shared" si="61"/>
        <v>602.376111631208</v>
      </c>
      <c r="BH23" s="2174">
        <f t="shared" ref="BH23:BK23" si="62">+BH9-BH17</f>
        <v>574.18373700014445</v>
      </c>
      <c r="BI23" s="45">
        <f t="shared" si="62"/>
        <v>622.47646931553004</v>
      </c>
      <c r="BJ23" s="45">
        <f t="shared" si="62"/>
        <v>653.27599215868349</v>
      </c>
      <c r="BK23" s="2175">
        <f t="shared" si="62"/>
        <v>648.08055451555583</v>
      </c>
      <c r="BL23" s="244"/>
      <c r="BM23" s="45">
        <f t="shared" ref="BM23:BX23" si="63">+BM9-BM17</f>
        <v>2392</v>
      </c>
      <c r="BN23" s="45">
        <f t="shared" si="63"/>
        <v>2862.6420000000003</v>
      </c>
      <c r="BO23" s="45">
        <f t="shared" si="63"/>
        <v>2297</v>
      </c>
      <c r="BP23" s="45">
        <f t="shared" si="63"/>
        <v>2356</v>
      </c>
      <c r="BQ23" s="45">
        <f t="shared" si="63"/>
        <v>1942</v>
      </c>
      <c r="BR23" s="45">
        <f t="shared" si="63"/>
        <v>2892</v>
      </c>
      <c r="BS23" s="45">
        <f t="shared" si="63"/>
        <v>2969</v>
      </c>
      <c r="BT23" s="45">
        <f t="shared" si="63"/>
        <v>2316</v>
      </c>
      <c r="BU23" s="45">
        <f t="shared" si="63"/>
        <v>1978</v>
      </c>
      <c r="BV23" s="45">
        <f t="shared" si="63"/>
        <v>1898</v>
      </c>
      <c r="BW23" s="45">
        <f t="shared" si="63"/>
        <v>1116</v>
      </c>
      <c r="BX23" s="45">
        <f t="shared" si="63"/>
        <v>1340</v>
      </c>
      <c r="BY23" s="45">
        <f t="shared" ref="BY23" si="64">+BY9-BY17</f>
        <v>1825</v>
      </c>
      <c r="BZ23" s="45">
        <f t="shared" ref="BZ23:CB23" si="65">+BZ9-BZ17</f>
        <v>2482.1627410428955</v>
      </c>
      <c r="CA23" s="45">
        <f t="shared" si="65"/>
        <v>2498.0167529899145</v>
      </c>
      <c r="CB23" s="2186">
        <f t="shared" si="65"/>
        <v>2498.0167529899136</v>
      </c>
      <c r="CC23" s="2191"/>
      <c r="CD23" s="13"/>
    </row>
    <row r="24" spans="1:88" ht="14.25" customHeight="1">
      <c r="A24" s="7"/>
      <c r="B24" s="30" t="s">
        <v>608</v>
      </c>
      <c r="C24" s="31"/>
      <c r="D24" s="32">
        <f t="shared" ref="D24:AV24" si="66">D23/D9</f>
        <v>0.34173278288119951</v>
      </c>
      <c r="E24" s="32">
        <f t="shared" si="66"/>
        <v>0.39206043567914733</v>
      </c>
      <c r="F24" s="32">
        <f t="shared" si="66"/>
        <v>0.4114214039684651</v>
      </c>
      <c r="G24" s="33">
        <f t="shared" si="66"/>
        <v>0.46356853405587312</v>
      </c>
      <c r="H24" s="32">
        <f t="shared" si="66"/>
        <v>0.5861301737481589</v>
      </c>
      <c r="I24" s="32">
        <f t="shared" si="66"/>
        <v>0.56916045897331979</v>
      </c>
      <c r="J24" s="32">
        <f t="shared" si="66"/>
        <v>0.51520688870777986</v>
      </c>
      <c r="K24" s="33">
        <f t="shared" si="66"/>
        <v>0.39795516041093087</v>
      </c>
      <c r="L24" s="32">
        <f t="shared" si="66"/>
        <v>0.30656934306569344</v>
      </c>
      <c r="M24" s="32">
        <f t="shared" si="66"/>
        <v>0.33744557329462987</v>
      </c>
      <c r="N24" s="32">
        <f t="shared" si="66"/>
        <v>0.40992647058823528</v>
      </c>
      <c r="O24" s="33">
        <f t="shared" si="66"/>
        <v>0.44350282485875708</v>
      </c>
      <c r="P24" s="32">
        <f t="shared" si="66"/>
        <v>0.41761936785474107</v>
      </c>
      <c r="Q24" s="32">
        <f t="shared" si="66"/>
        <v>0.37518355359765049</v>
      </c>
      <c r="R24" s="32">
        <f t="shared" si="66"/>
        <v>0.40345019476905952</v>
      </c>
      <c r="S24" s="33">
        <f t="shared" si="66"/>
        <v>0.42943201376936319</v>
      </c>
      <c r="T24" s="32">
        <f t="shared" si="66"/>
        <v>0.35089209855564996</v>
      </c>
      <c r="U24" s="32">
        <f t="shared" si="66"/>
        <v>0.27280405405405406</v>
      </c>
      <c r="V24" s="32">
        <f t="shared" si="66"/>
        <v>0.37750716332378226</v>
      </c>
      <c r="W24" s="33">
        <f t="shared" si="66"/>
        <v>0.41251518833535844</v>
      </c>
      <c r="X24" s="32">
        <f t="shared" si="66"/>
        <v>0.42693773824650572</v>
      </c>
      <c r="Y24" s="32">
        <f t="shared" si="66"/>
        <v>0.44646098003629764</v>
      </c>
      <c r="Z24" s="32">
        <f t="shared" si="66"/>
        <v>0.45673671199011123</v>
      </c>
      <c r="AA24" s="33">
        <f t="shared" si="66"/>
        <v>0.45057610673135234</v>
      </c>
      <c r="AB24" s="32">
        <f t="shared" si="66"/>
        <v>0.4463732176069436</v>
      </c>
      <c r="AC24" s="32">
        <f t="shared" si="66"/>
        <v>0.45743329097839897</v>
      </c>
      <c r="AD24" s="32">
        <f t="shared" si="66"/>
        <v>0.44733727810650886</v>
      </c>
      <c r="AE24" s="33">
        <f t="shared" si="66"/>
        <v>0.45712596096984032</v>
      </c>
      <c r="AF24" s="32">
        <f t="shared" si="66"/>
        <v>0.4605678233438486</v>
      </c>
      <c r="AG24" s="32">
        <f t="shared" si="66"/>
        <v>0.45506015569709835</v>
      </c>
      <c r="AH24" s="32">
        <f t="shared" si="66"/>
        <v>0.38770685579196218</v>
      </c>
      <c r="AI24" s="33">
        <f t="shared" si="66"/>
        <v>0.39047619047619048</v>
      </c>
      <c r="AJ24" s="32">
        <f t="shared" si="66"/>
        <v>0.40900735294117646</v>
      </c>
      <c r="AK24" s="32">
        <f t="shared" si="66"/>
        <v>0.39534883720930231</v>
      </c>
      <c r="AL24" s="32">
        <f t="shared" si="66"/>
        <v>0.35660506502395617</v>
      </c>
      <c r="AM24" s="33">
        <f t="shared" si="66"/>
        <v>0.34801762114537443</v>
      </c>
      <c r="AN24" s="1850">
        <f t="shared" si="66"/>
        <v>0.34931997136721549</v>
      </c>
      <c r="AO24" s="1850">
        <f t="shared" si="66"/>
        <v>0.34559333795975017</v>
      </c>
      <c r="AP24" s="32">
        <f t="shared" si="66"/>
        <v>0.3456962911126662</v>
      </c>
      <c r="AQ24" s="33">
        <f t="shared" si="66"/>
        <v>0.33736884584342214</v>
      </c>
      <c r="AR24" s="32">
        <f t="shared" si="66"/>
        <v>0.31747572815533981</v>
      </c>
      <c r="AS24" s="32">
        <f t="shared" si="66"/>
        <v>0.28237791932059447</v>
      </c>
      <c r="AT24" s="32">
        <f t="shared" si="66"/>
        <v>0.22525918944392084</v>
      </c>
      <c r="AU24" s="33">
        <f t="shared" si="66"/>
        <v>0.29645093945720252</v>
      </c>
      <c r="AV24" s="32">
        <f t="shared" si="66"/>
        <v>0.32451923076923078</v>
      </c>
      <c r="AW24" s="1696">
        <f>AW23/AW9</f>
        <v>0.31061343719571566</v>
      </c>
      <c r="AX24" s="32">
        <f t="shared" ref="AX24" si="67">AX23/AX9</f>
        <v>0.30527926549349654</v>
      </c>
      <c r="AY24" s="33">
        <f t="shared" ref="AY24:AZ24" si="68">AY23/AY9</f>
        <v>0.31826401446654612</v>
      </c>
      <c r="AZ24" s="1696">
        <f t="shared" si="68"/>
        <v>0.3363821138211382</v>
      </c>
      <c r="BA24" s="1696">
        <f>BA23/BA9</f>
        <v>0.33142389525368249</v>
      </c>
      <c r="BB24" s="1850">
        <f>BB23/BB9</f>
        <v>0.34936092513694461</v>
      </c>
      <c r="BC24" s="33">
        <f t="shared" ref="BC24:BD24" si="69">BC23/BC9</f>
        <v>0.34797297297297297</v>
      </c>
      <c r="BD24" s="1850">
        <f t="shared" si="69"/>
        <v>0.36308439587128111</v>
      </c>
      <c r="BE24" s="1850">
        <f t="shared" ref="BE24:BG24" si="70">BE23/BE9</f>
        <v>0.37057852808632313</v>
      </c>
      <c r="BF24" s="1850">
        <f t="shared" si="70"/>
        <v>0.37057791501281118</v>
      </c>
      <c r="BG24" s="1851">
        <f t="shared" si="70"/>
        <v>0.37061525556609887</v>
      </c>
      <c r="BH24" s="1913">
        <f t="shared" ref="BH24:BK24" si="71">BH23/BH9</f>
        <v>0.37064551726805167</v>
      </c>
      <c r="BI24" s="1850">
        <f t="shared" si="71"/>
        <v>0.38061144712432721</v>
      </c>
      <c r="BJ24" s="1850">
        <f t="shared" si="71"/>
        <v>0.38058257548118923</v>
      </c>
      <c r="BK24" s="1851">
        <f t="shared" si="71"/>
        <v>0.38058725300482021</v>
      </c>
      <c r="BL24" s="244"/>
      <c r="BM24" s="32">
        <f t="shared" ref="BM24:BX24" si="72">BM23/BM9</f>
        <v>0.40902872777017785</v>
      </c>
      <c r="BN24" s="32">
        <f t="shared" si="72"/>
        <v>0.50675199150292094</v>
      </c>
      <c r="BO24" s="32">
        <f t="shared" si="72"/>
        <v>0.38200565441543322</v>
      </c>
      <c r="BP24" s="32">
        <f t="shared" si="72"/>
        <v>0.40564738292011021</v>
      </c>
      <c r="BQ24" s="32">
        <f t="shared" si="72"/>
        <v>0.35942994632611514</v>
      </c>
      <c r="BR24" s="32">
        <f t="shared" si="72"/>
        <v>0.44533415460425008</v>
      </c>
      <c r="BS24" s="32">
        <f t="shared" si="72"/>
        <v>0.45204019488428743</v>
      </c>
      <c r="BT24" s="32">
        <f t="shared" si="72"/>
        <v>0.42714865363334564</v>
      </c>
      <c r="BU24" s="1850">
        <f t="shared" si="72"/>
        <v>0.37327797697678805</v>
      </c>
      <c r="BV24" s="1850">
        <f t="shared" si="72"/>
        <v>0.34471485652015982</v>
      </c>
      <c r="BW24" s="1850">
        <f t="shared" si="72"/>
        <v>0.27962916562265094</v>
      </c>
      <c r="BX24" s="1850">
        <f t="shared" si="72"/>
        <v>0.31367041198501872</v>
      </c>
      <c r="BY24" s="1850">
        <f t="shared" ref="BY24:BZ24" si="73">BY23/BY9</f>
        <v>0.34246575342465752</v>
      </c>
      <c r="BZ24" s="1850">
        <f t="shared" si="73"/>
        <v>0.36875356986068081</v>
      </c>
      <c r="CA24" s="1850">
        <f t="shared" ref="CA24:CB24" si="74">CA23/CA9</f>
        <v>0.3782599172681641</v>
      </c>
      <c r="CB24" s="1851">
        <f t="shared" si="74"/>
        <v>0.37825991726816399</v>
      </c>
      <c r="CC24" s="2191"/>
      <c r="CD24" s="13"/>
    </row>
    <row r="25" spans="1:88" ht="14.25" customHeight="1">
      <c r="A25" s="7"/>
      <c r="B25" s="42" t="s">
        <v>1</v>
      </c>
      <c r="C25" s="43"/>
      <c r="D25" s="45">
        <f t="shared" ref="D25:AI25" si="75">D9-D18</f>
        <v>419.17899999999997</v>
      </c>
      <c r="E25" s="45">
        <f t="shared" si="75"/>
        <v>493.96399999999994</v>
      </c>
      <c r="F25" s="45">
        <f t="shared" si="75"/>
        <v>626.49400000000014</v>
      </c>
      <c r="G25" s="46">
        <f t="shared" si="75"/>
        <v>852.36299999999983</v>
      </c>
      <c r="H25" s="45">
        <f t="shared" si="75"/>
        <v>780.81799999999987</v>
      </c>
      <c r="I25" s="45">
        <f t="shared" si="75"/>
        <v>692.30799999999999</v>
      </c>
      <c r="J25" s="45">
        <f t="shared" si="75"/>
        <v>684.00000000000011</v>
      </c>
      <c r="K25" s="46">
        <f t="shared" si="75"/>
        <v>705.51600000000008</v>
      </c>
      <c r="L25" s="45">
        <f t="shared" si="75"/>
        <v>378</v>
      </c>
      <c r="M25" s="45">
        <f t="shared" si="75"/>
        <v>465</v>
      </c>
      <c r="N25" s="45">
        <f t="shared" si="75"/>
        <v>669</v>
      </c>
      <c r="O25" s="46">
        <f t="shared" si="75"/>
        <v>785</v>
      </c>
      <c r="P25" s="45">
        <f t="shared" si="75"/>
        <v>621</v>
      </c>
      <c r="Q25" s="45">
        <f t="shared" si="75"/>
        <v>511</v>
      </c>
      <c r="R25" s="45">
        <f t="shared" si="75"/>
        <v>725</v>
      </c>
      <c r="S25" s="46">
        <f t="shared" si="75"/>
        <v>499</v>
      </c>
      <c r="T25" s="45">
        <f t="shared" si="75"/>
        <v>413</v>
      </c>
      <c r="U25" s="45">
        <f t="shared" si="75"/>
        <v>323</v>
      </c>
      <c r="V25" s="45">
        <f t="shared" si="75"/>
        <v>527</v>
      </c>
      <c r="W25" s="46">
        <f t="shared" si="75"/>
        <v>679</v>
      </c>
      <c r="X25" s="45">
        <f t="shared" si="75"/>
        <v>672</v>
      </c>
      <c r="Y25" s="45">
        <f t="shared" si="75"/>
        <v>738</v>
      </c>
      <c r="Z25" s="45">
        <f t="shared" si="75"/>
        <v>739</v>
      </c>
      <c r="AA25" s="46">
        <f t="shared" si="75"/>
        <v>743</v>
      </c>
      <c r="AB25" s="45">
        <f t="shared" si="75"/>
        <v>720</v>
      </c>
      <c r="AC25" s="45">
        <f t="shared" si="75"/>
        <v>720</v>
      </c>
      <c r="AD25" s="45">
        <f t="shared" si="75"/>
        <v>756</v>
      </c>
      <c r="AE25" s="46">
        <f t="shared" si="75"/>
        <v>773</v>
      </c>
      <c r="AF25" s="45">
        <f t="shared" si="75"/>
        <v>730</v>
      </c>
      <c r="AG25" s="45">
        <f t="shared" si="75"/>
        <v>643</v>
      </c>
      <c r="AH25" s="45">
        <f t="shared" si="75"/>
        <v>492</v>
      </c>
      <c r="AI25" s="45">
        <f t="shared" si="75"/>
        <v>451</v>
      </c>
      <c r="AJ25" s="44">
        <f t="shared" ref="AJ25:AX25" si="76">AJ9-AJ18</f>
        <v>445</v>
      </c>
      <c r="AK25" s="45">
        <f t="shared" si="76"/>
        <v>459</v>
      </c>
      <c r="AL25" s="45">
        <f t="shared" si="76"/>
        <v>521</v>
      </c>
      <c r="AM25" s="45">
        <f t="shared" si="76"/>
        <v>553</v>
      </c>
      <c r="AN25" s="44">
        <f t="shared" si="76"/>
        <v>487</v>
      </c>
      <c r="AO25" s="45">
        <f t="shared" si="76"/>
        <v>498</v>
      </c>
      <c r="AP25" s="45">
        <f t="shared" si="76"/>
        <v>494</v>
      </c>
      <c r="AQ25" s="45">
        <f t="shared" si="76"/>
        <v>418</v>
      </c>
      <c r="AR25" s="44">
        <f t="shared" si="76"/>
        <v>326</v>
      </c>
      <c r="AS25" s="45">
        <f t="shared" si="76"/>
        <v>265</v>
      </c>
      <c r="AT25" s="45">
        <f t="shared" si="76"/>
        <v>239</v>
      </c>
      <c r="AU25" s="46">
        <f t="shared" si="76"/>
        <v>283</v>
      </c>
      <c r="AV25" s="44">
        <f t="shared" si="76"/>
        <v>269</v>
      </c>
      <c r="AW25" s="45">
        <f t="shared" si="76"/>
        <v>319</v>
      </c>
      <c r="AX25" s="45">
        <f t="shared" si="76"/>
        <v>399</v>
      </c>
      <c r="AY25" s="46">
        <f t="shared" ref="AY25:BA25" si="77">AY9-AY18</f>
        <v>351</v>
      </c>
      <c r="AZ25" s="44">
        <f t="shared" si="77"/>
        <v>331</v>
      </c>
      <c r="BA25" s="45">
        <f t="shared" si="77"/>
        <v>404</v>
      </c>
      <c r="BB25" s="45">
        <f t="shared" ref="BB25:BD25" si="78">BB9-BB18</f>
        <v>573</v>
      </c>
      <c r="BC25" s="46">
        <f t="shared" si="78"/>
        <v>515</v>
      </c>
      <c r="BD25" s="44">
        <f t="shared" si="78"/>
        <v>597</v>
      </c>
      <c r="BE25" s="45">
        <f t="shared" ref="BE25:BG25" si="79">BE9-BE18</f>
        <v>639.55408345270439</v>
      </c>
      <c r="BF25" s="45">
        <f t="shared" si="79"/>
        <v>640.23254595898288</v>
      </c>
      <c r="BG25" s="2175">
        <f t="shared" si="79"/>
        <v>601.376111631208</v>
      </c>
      <c r="BH25" s="2174">
        <f t="shared" ref="BH25:BK25" si="80">BH9-BH18</f>
        <v>573.18373700014445</v>
      </c>
      <c r="BI25" s="45">
        <f t="shared" si="80"/>
        <v>621.47646931553004</v>
      </c>
      <c r="BJ25" s="45">
        <f t="shared" si="80"/>
        <v>652.27599215868349</v>
      </c>
      <c r="BK25" s="2175">
        <f t="shared" si="80"/>
        <v>647.08055451555583</v>
      </c>
      <c r="BL25" s="244"/>
      <c r="BM25" s="45">
        <f t="shared" ref="BM25:BU25" si="81">BM9-BM18</f>
        <v>2392</v>
      </c>
      <c r="BN25" s="45">
        <f t="shared" si="81"/>
        <v>2862.6419999999998</v>
      </c>
      <c r="BO25" s="45">
        <f t="shared" si="81"/>
        <v>2297</v>
      </c>
      <c r="BP25" s="45">
        <f t="shared" si="81"/>
        <v>2356</v>
      </c>
      <c r="BQ25" s="45">
        <f t="shared" si="81"/>
        <v>1942</v>
      </c>
      <c r="BR25" s="45">
        <f t="shared" si="81"/>
        <v>2892</v>
      </c>
      <c r="BS25" s="45">
        <f t="shared" si="81"/>
        <v>2969</v>
      </c>
      <c r="BT25" s="45">
        <f t="shared" si="81"/>
        <v>2316</v>
      </c>
      <c r="BU25" s="45">
        <f t="shared" si="81"/>
        <v>1978</v>
      </c>
      <c r="BV25" s="45">
        <f>SUM(AN25:AQ25)</f>
        <v>1897</v>
      </c>
      <c r="BW25" s="45">
        <f>+SUM(AR25:AU25)</f>
        <v>1113</v>
      </c>
      <c r="BX25" s="45">
        <f t="shared" ref="BX25" si="82">+SUM(AV25:AY25)</f>
        <v>1338</v>
      </c>
      <c r="BY25" s="45">
        <f>SUM(AZ25:BC25)</f>
        <v>1823</v>
      </c>
      <c r="BZ25" s="45">
        <f>SUM(BD25:BG25)</f>
        <v>2478.1627410428955</v>
      </c>
      <c r="CA25" s="45">
        <f>SUM(BH25:BK25)</f>
        <v>2494.0167529899136</v>
      </c>
      <c r="CB25" s="2186">
        <f>CB9*CB26</f>
        <v>2494.0167529899136</v>
      </c>
      <c r="CC25" s="2174"/>
      <c r="CD25" s="860"/>
    </row>
    <row r="26" spans="1:88" ht="14.25" customHeight="1">
      <c r="A26" s="7"/>
      <c r="B26" s="30" t="s">
        <v>2</v>
      </c>
      <c r="C26" s="31"/>
      <c r="D26" s="32">
        <f t="shared" ref="D26:AI26" si="83">D25/D9</f>
        <v>0.34173278288119951</v>
      </c>
      <c r="E26" s="32">
        <f t="shared" si="83"/>
        <v>0.39206043567914733</v>
      </c>
      <c r="F26" s="32">
        <f t="shared" si="83"/>
        <v>0.4114214039684651</v>
      </c>
      <c r="G26" s="33">
        <f t="shared" si="83"/>
        <v>0.46356853405587312</v>
      </c>
      <c r="H26" s="32">
        <f t="shared" si="83"/>
        <v>0.5861301737481589</v>
      </c>
      <c r="I26" s="32">
        <f t="shared" si="83"/>
        <v>0.56916045897331979</v>
      </c>
      <c r="J26" s="32">
        <f t="shared" si="83"/>
        <v>0.51520688870777986</v>
      </c>
      <c r="K26" s="33">
        <f t="shared" si="83"/>
        <v>0.39795516041093087</v>
      </c>
      <c r="L26" s="32">
        <f t="shared" si="83"/>
        <v>0.30656934306569344</v>
      </c>
      <c r="M26" s="32">
        <f t="shared" si="83"/>
        <v>0.33744557329462987</v>
      </c>
      <c r="N26" s="32">
        <f t="shared" si="83"/>
        <v>0.40992647058823528</v>
      </c>
      <c r="O26" s="33">
        <f t="shared" si="83"/>
        <v>0.44350282485875708</v>
      </c>
      <c r="P26" s="32">
        <f t="shared" si="83"/>
        <v>0.41761936785474107</v>
      </c>
      <c r="Q26" s="32">
        <f t="shared" si="83"/>
        <v>0.37518355359765049</v>
      </c>
      <c r="R26" s="32">
        <f t="shared" si="83"/>
        <v>0.40345019476905952</v>
      </c>
      <c r="S26" s="33">
        <f t="shared" si="83"/>
        <v>0.42943201376936319</v>
      </c>
      <c r="T26" s="32">
        <f t="shared" si="83"/>
        <v>0.35089209855564996</v>
      </c>
      <c r="U26" s="32">
        <f t="shared" si="83"/>
        <v>0.27280405405405406</v>
      </c>
      <c r="V26" s="32">
        <f t="shared" si="83"/>
        <v>0.37750716332378226</v>
      </c>
      <c r="W26" s="33">
        <f t="shared" si="83"/>
        <v>0.41251518833535844</v>
      </c>
      <c r="X26" s="32">
        <f t="shared" si="83"/>
        <v>0.42693773824650572</v>
      </c>
      <c r="Y26" s="32">
        <f t="shared" si="83"/>
        <v>0.44646098003629764</v>
      </c>
      <c r="Z26" s="32">
        <f t="shared" si="83"/>
        <v>0.45673671199011123</v>
      </c>
      <c r="AA26" s="33">
        <f t="shared" si="83"/>
        <v>0.45057610673135234</v>
      </c>
      <c r="AB26" s="32">
        <f t="shared" si="83"/>
        <v>0.4463732176069436</v>
      </c>
      <c r="AC26" s="32">
        <f t="shared" si="83"/>
        <v>0.45743329097839897</v>
      </c>
      <c r="AD26" s="32">
        <f t="shared" si="83"/>
        <v>0.44733727810650886</v>
      </c>
      <c r="AE26" s="33">
        <f t="shared" si="83"/>
        <v>0.45712596096984032</v>
      </c>
      <c r="AF26" s="32">
        <f t="shared" si="83"/>
        <v>0.4605678233438486</v>
      </c>
      <c r="AG26" s="32">
        <f t="shared" si="83"/>
        <v>0.45506015569709835</v>
      </c>
      <c r="AH26" s="32">
        <f t="shared" si="83"/>
        <v>0.38770685579196218</v>
      </c>
      <c r="AI26" s="32">
        <f t="shared" si="83"/>
        <v>0.39047619047619048</v>
      </c>
      <c r="AJ26" s="34">
        <f t="shared" ref="AJ26:AX26" si="84">AJ25/AJ9</f>
        <v>0.40900735294117646</v>
      </c>
      <c r="AK26" s="32">
        <f t="shared" si="84"/>
        <v>0.39534883720930231</v>
      </c>
      <c r="AL26" s="32">
        <f t="shared" si="84"/>
        <v>0.35660506502395617</v>
      </c>
      <c r="AM26" s="32">
        <f t="shared" si="84"/>
        <v>0.34801762114537443</v>
      </c>
      <c r="AN26" s="1852">
        <f t="shared" si="84"/>
        <v>0.34860415175375803</v>
      </c>
      <c r="AO26" s="1850">
        <f t="shared" si="84"/>
        <v>0.34559333795975017</v>
      </c>
      <c r="AP26" s="32">
        <f t="shared" si="84"/>
        <v>0.3456962911126662</v>
      </c>
      <c r="AQ26" s="32">
        <f t="shared" si="84"/>
        <v>0.33736884584342214</v>
      </c>
      <c r="AR26" s="34">
        <f t="shared" si="84"/>
        <v>0.31650485436893205</v>
      </c>
      <c r="AS26" s="32">
        <f t="shared" si="84"/>
        <v>0.28131634819532908</v>
      </c>
      <c r="AT26" s="32">
        <f t="shared" si="84"/>
        <v>0.22525918944392084</v>
      </c>
      <c r="AU26" s="33">
        <f t="shared" si="84"/>
        <v>0.29540709812108562</v>
      </c>
      <c r="AV26" s="34">
        <f t="shared" si="84"/>
        <v>0.32331730769230771</v>
      </c>
      <c r="AW26" s="1696">
        <f t="shared" si="84"/>
        <v>0.31061343719571566</v>
      </c>
      <c r="AX26" s="32">
        <f t="shared" si="84"/>
        <v>0.30527926549349654</v>
      </c>
      <c r="AY26" s="33">
        <f t="shared" ref="AY26:BA26" si="85">AY25/AY9</f>
        <v>0.31735985533453887</v>
      </c>
      <c r="AZ26" s="1697">
        <f t="shared" si="85"/>
        <v>0.3363821138211382</v>
      </c>
      <c r="BA26" s="1696">
        <f t="shared" si="85"/>
        <v>0.33060556464811786</v>
      </c>
      <c r="BB26" s="1850">
        <f t="shared" ref="BB26:BD26" si="86">BB25/BB9</f>
        <v>0.34875228241022521</v>
      </c>
      <c r="BC26" s="33">
        <f t="shared" si="86"/>
        <v>0.34797297297297297</v>
      </c>
      <c r="BD26" s="1852">
        <f t="shared" si="86"/>
        <v>0.36247723132969034</v>
      </c>
      <c r="BE26" s="1850">
        <f t="shared" ref="BE26:BG26" si="87">BE25/BE9</f>
        <v>0.37000000000000005</v>
      </c>
      <c r="BF26" s="1850">
        <f t="shared" si="87"/>
        <v>0.37</v>
      </c>
      <c r="BG26" s="1851">
        <f t="shared" si="87"/>
        <v>0.37</v>
      </c>
      <c r="BH26" s="1913">
        <f t="shared" ref="BH26:BK26" si="88">BH25/BH9</f>
        <v>0.37</v>
      </c>
      <c r="BI26" s="1850">
        <f t="shared" si="88"/>
        <v>0.38</v>
      </c>
      <c r="BJ26" s="1850">
        <f t="shared" si="88"/>
        <v>0.38000000000000006</v>
      </c>
      <c r="BK26" s="1851">
        <f t="shared" si="88"/>
        <v>0.37999999999999995</v>
      </c>
      <c r="BL26" s="244"/>
      <c r="BM26" s="32">
        <f t="shared" ref="BM26:BY26" si="89">BM25/BM9</f>
        <v>0.40902872777017785</v>
      </c>
      <c r="BN26" s="32">
        <f t="shared" si="89"/>
        <v>0.50675199150292083</v>
      </c>
      <c r="BO26" s="32">
        <f t="shared" si="89"/>
        <v>0.38200565441543322</v>
      </c>
      <c r="BP26" s="32">
        <f t="shared" si="89"/>
        <v>0.40564738292011021</v>
      </c>
      <c r="BQ26" s="32">
        <f t="shared" si="89"/>
        <v>0.35942994632611514</v>
      </c>
      <c r="BR26" s="32">
        <f t="shared" si="89"/>
        <v>0.44533415460425008</v>
      </c>
      <c r="BS26" s="32">
        <f t="shared" si="89"/>
        <v>0.45204019488428743</v>
      </c>
      <c r="BT26" s="32">
        <f t="shared" si="89"/>
        <v>0.42714865363334564</v>
      </c>
      <c r="BU26" s="1850">
        <f t="shared" si="89"/>
        <v>0.37327797697678805</v>
      </c>
      <c r="BV26" s="1850">
        <f t="shared" ref="BV26:BX26" si="90">BV25/BV9</f>
        <v>0.34453323646930623</v>
      </c>
      <c r="BW26" s="1850">
        <f t="shared" si="90"/>
        <v>0.27887747431721371</v>
      </c>
      <c r="BX26" s="1850">
        <f t="shared" si="90"/>
        <v>0.31320224719101125</v>
      </c>
      <c r="BY26" s="1850">
        <f t="shared" si="89"/>
        <v>0.34209044848939762</v>
      </c>
      <c r="BZ26" s="1850">
        <f t="shared" ref="BZ26:CA26" si="91">BZ25/BZ9</f>
        <v>0.36815932426386588</v>
      </c>
      <c r="CA26" s="1850">
        <f t="shared" si="91"/>
        <v>0.3776542209023323</v>
      </c>
      <c r="CB26" s="1881">
        <f>CA26</f>
        <v>0.3776542209023323</v>
      </c>
      <c r="CC26" s="2191"/>
      <c r="CD26" s="13"/>
    </row>
    <row r="27" spans="1:88" ht="14.25" customHeight="1">
      <c r="A27" s="7"/>
      <c r="B27" s="21"/>
      <c r="C27" s="22"/>
      <c r="D27" s="37"/>
      <c r="E27" s="37"/>
      <c r="F27" s="37"/>
      <c r="G27" s="38"/>
      <c r="H27" s="37"/>
      <c r="I27" s="37"/>
      <c r="J27" s="37"/>
      <c r="K27" s="38"/>
      <c r="L27" s="37"/>
      <c r="M27" s="37"/>
      <c r="N27" s="37"/>
      <c r="O27" s="38"/>
      <c r="P27" s="37"/>
      <c r="Q27" s="37"/>
      <c r="R27" s="37"/>
      <c r="S27" s="38"/>
      <c r="T27" s="37"/>
      <c r="U27" s="37"/>
      <c r="V27" s="37"/>
      <c r="W27" s="38"/>
      <c r="X27" s="37"/>
      <c r="Y27" s="37"/>
      <c r="Z27" s="37"/>
      <c r="AA27" s="38"/>
      <c r="AB27" s="37"/>
      <c r="AC27" s="37"/>
      <c r="AD27" s="37"/>
      <c r="AE27" s="38"/>
      <c r="AF27" s="37"/>
      <c r="AG27" s="37"/>
      <c r="AH27" s="650"/>
      <c r="AI27" s="892"/>
      <c r="AJ27" s="893"/>
      <c r="AK27" s="37"/>
      <c r="AL27" s="650"/>
      <c r="AM27" s="892"/>
      <c r="AN27" s="893"/>
      <c r="AO27" s="37"/>
      <c r="AP27" s="650"/>
      <c r="AQ27" s="892" t="s">
        <v>373</v>
      </c>
      <c r="AR27" s="893"/>
      <c r="AS27" s="37"/>
      <c r="AT27" s="650"/>
      <c r="AU27" s="1113"/>
      <c r="AV27" s="893"/>
      <c r="AW27" s="37"/>
      <c r="AX27" s="650"/>
      <c r="AY27" s="1113"/>
      <c r="AZ27" s="893"/>
      <c r="BA27" s="37"/>
      <c r="BB27" s="37"/>
      <c r="BC27" s="1113"/>
      <c r="BD27" s="893"/>
      <c r="BE27" s="37"/>
      <c r="BF27" s="37"/>
      <c r="BG27" s="1640"/>
      <c r="BH27" s="1917"/>
      <c r="BI27" s="37"/>
      <c r="BJ27" s="37"/>
      <c r="BK27" s="1640"/>
      <c r="BL27" s="244"/>
      <c r="BM27" s="39"/>
      <c r="BN27" s="39"/>
      <c r="BO27" s="39"/>
      <c r="BP27" s="39"/>
      <c r="BQ27" s="39"/>
      <c r="BR27" s="39"/>
      <c r="BS27" s="39"/>
      <c r="BT27" s="39"/>
      <c r="BU27" s="39"/>
      <c r="BV27" s="39"/>
      <c r="BW27" s="39"/>
      <c r="BX27" s="39"/>
      <c r="BY27" s="39"/>
      <c r="BZ27" s="39"/>
      <c r="CA27" s="39"/>
      <c r="CB27" s="2076"/>
      <c r="CC27" s="2191"/>
      <c r="CD27" s="13"/>
    </row>
    <row r="28" spans="1:88" ht="14.25" customHeight="1">
      <c r="A28" s="1664"/>
      <c r="B28" s="69" t="s">
        <v>174</v>
      </c>
      <c r="C28" s="22"/>
      <c r="D28" s="25">
        <v>253.12200000000001</v>
      </c>
      <c r="E28" s="25">
        <v>272.584</v>
      </c>
      <c r="F28" s="25">
        <v>289.01799999999997</v>
      </c>
      <c r="G28" s="359">
        <f>1144-SUM(D28:F28)</f>
        <v>329.27600000000007</v>
      </c>
      <c r="H28" s="25">
        <v>264.17599999999999</v>
      </c>
      <c r="I28" s="25">
        <v>278.67399999999998</v>
      </c>
      <c r="J28" s="25">
        <v>277.38</v>
      </c>
      <c r="K28" s="359">
        <f>1205-SUM(H28:J28)</f>
        <v>384.7700000000001</v>
      </c>
      <c r="L28" s="25">
        <v>432</v>
      </c>
      <c r="M28" s="25">
        <v>475</v>
      </c>
      <c r="N28" s="25">
        <v>467</v>
      </c>
      <c r="O28" s="359">
        <f>1847-SUM(L28:N28)</f>
        <v>473</v>
      </c>
      <c r="P28" s="25">
        <v>478</v>
      </c>
      <c r="Q28" s="25">
        <v>467</v>
      </c>
      <c r="R28" s="25">
        <v>438</v>
      </c>
      <c r="S28" s="359">
        <f>1848-SUM(P28:R28)</f>
        <v>465</v>
      </c>
      <c r="T28" s="25">
        <v>444</v>
      </c>
      <c r="U28" s="25">
        <v>425</v>
      </c>
      <c r="V28" s="25">
        <v>420</v>
      </c>
      <c r="W28" s="359">
        <f>1721-V28-U28-T28</f>
        <v>432</v>
      </c>
      <c r="X28" s="25">
        <v>323</v>
      </c>
      <c r="Y28" s="25">
        <v>371</v>
      </c>
      <c r="Z28" s="25">
        <v>359</v>
      </c>
      <c r="AA28" s="359">
        <f>1405-Z28-Y28-X28</f>
        <v>352</v>
      </c>
      <c r="AB28" s="25">
        <v>367</v>
      </c>
      <c r="AC28" s="25">
        <v>367</v>
      </c>
      <c r="AD28" s="25">
        <v>361</v>
      </c>
      <c r="AE28" s="26">
        <v>358</v>
      </c>
      <c r="AF28" s="25">
        <v>368</v>
      </c>
      <c r="AG28" s="25">
        <v>345</v>
      </c>
      <c r="AH28" s="25">
        <v>328</v>
      </c>
      <c r="AI28" s="25">
        <v>313</v>
      </c>
      <c r="AJ28" s="582">
        <v>312</v>
      </c>
      <c r="AK28" s="25">
        <v>308</v>
      </c>
      <c r="AL28" s="25">
        <v>288</v>
      </c>
      <c r="AM28" s="25">
        <v>293</v>
      </c>
      <c r="AN28" s="582">
        <v>279</v>
      </c>
      <c r="AO28" s="25">
        <v>277</v>
      </c>
      <c r="AP28" s="25">
        <v>278</v>
      </c>
      <c r="AQ28" s="25">
        <v>238</v>
      </c>
      <c r="AR28" s="582">
        <v>242</v>
      </c>
      <c r="AS28" s="25">
        <v>235</v>
      </c>
      <c r="AT28" s="25">
        <v>241</v>
      </c>
      <c r="AU28" s="25">
        <v>229</v>
      </c>
      <c r="AV28" s="582">
        <v>242</v>
      </c>
      <c r="AW28" s="25">
        <v>243</v>
      </c>
      <c r="AX28" s="25">
        <v>259</v>
      </c>
      <c r="AY28" s="26">
        <v>264</v>
      </c>
      <c r="AZ28" s="582">
        <v>266</v>
      </c>
      <c r="BA28" s="25">
        <v>279</v>
      </c>
      <c r="BB28" s="25">
        <v>315</v>
      </c>
      <c r="BC28" s="26">
        <v>300</v>
      </c>
      <c r="BD28" s="582">
        <v>343</v>
      </c>
      <c r="BE28" s="1884">
        <v>350</v>
      </c>
      <c r="BF28" s="1884">
        <v>370</v>
      </c>
      <c r="BG28" s="1884">
        <v>375</v>
      </c>
      <c r="BH28" s="1885">
        <v>380</v>
      </c>
      <c r="BI28" s="1884">
        <v>385</v>
      </c>
      <c r="BJ28" s="1884">
        <v>385</v>
      </c>
      <c r="BK28" s="1886">
        <v>390</v>
      </c>
      <c r="BL28" s="244"/>
      <c r="BM28" s="27">
        <f>SUM(D28:G28)</f>
        <v>1144</v>
      </c>
      <c r="BN28" s="27">
        <f>SUM(H28:K28)</f>
        <v>1205</v>
      </c>
      <c r="BO28" s="27">
        <f>SUM(L28:O28)</f>
        <v>1847</v>
      </c>
      <c r="BP28" s="27">
        <f>SUM(P28:S28)</f>
        <v>1848</v>
      </c>
      <c r="BQ28" s="27">
        <f>SUM(T28:W28)</f>
        <v>1721</v>
      </c>
      <c r="BR28" s="27">
        <f>SUM(X28:AA28)</f>
        <v>1405</v>
      </c>
      <c r="BS28" s="27">
        <f>SUM(AB28:AE28)</f>
        <v>1453</v>
      </c>
      <c r="BT28" s="27">
        <f>SUM(AF28:AI28)</f>
        <v>1354</v>
      </c>
      <c r="BU28" s="27">
        <f>SUM(AJ28:AM28)</f>
        <v>1201</v>
      </c>
      <c r="BV28" s="27">
        <f>SUM(AN28:AQ28)</f>
        <v>1072</v>
      </c>
      <c r="BW28" s="27">
        <f>+SUM(AR28:AU28)</f>
        <v>947</v>
      </c>
      <c r="BX28" s="27">
        <f t="shared" ref="BX28" si="92">+SUM(AV28:AY28)</f>
        <v>1008</v>
      </c>
      <c r="BY28" s="1491">
        <f>SUM(AZ28:BC28)</f>
        <v>1160</v>
      </c>
      <c r="BZ28" s="1491">
        <f>SUM(BD28:BG28)</f>
        <v>1438</v>
      </c>
      <c r="CA28" s="1491">
        <f>SUM(BH28:BK28)</f>
        <v>1540</v>
      </c>
      <c r="CB28" s="2075">
        <f>CB35+CB32</f>
        <v>1540</v>
      </c>
      <c r="CC28" s="2191"/>
      <c r="CD28" s="860"/>
    </row>
    <row r="29" spans="1:88" ht="14.25" customHeight="1">
      <c r="A29" s="1664"/>
      <c r="B29" s="1652" t="s">
        <v>625</v>
      </c>
      <c r="C29" s="31"/>
      <c r="D29" s="32">
        <f t="shared" ref="D29:AI29" si="93">D28/D9</f>
        <v>0.20635596122051675</v>
      </c>
      <c r="E29" s="32">
        <f t="shared" si="93"/>
        <v>0.21635058789540274</v>
      </c>
      <c r="F29" s="32">
        <f t="shared" si="93"/>
        <v>0.18979940962269043</v>
      </c>
      <c r="G29" s="33">
        <f t="shared" si="93"/>
        <v>0.17908096975089455</v>
      </c>
      <c r="H29" s="32">
        <f t="shared" si="93"/>
        <v>0.19830680745076787</v>
      </c>
      <c r="I29" s="32">
        <f t="shared" si="93"/>
        <v>0.22910355180632161</v>
      </c>
      <c r="J29" s="32">
        <f t="shared" si="93"/>
        <v>0.20892995144702331</v>
      </c>
      <c r="K29" s="33">
        <f t="shared" si="93"/>
        <v>0.21703435084578365</v>
      </c>
      <c r="L29" s="32">
        <f t="shared" si="93"/>
        <v>0.35036496350364965</v>
      </c>
      <c r="M29" s="32">
        <f t="shared" si="93"/>
        <v>0.3447024673439768</v>
      </c>
      <c r="N29" s="32">
        <f t="shared" si="93"/>
        <v>0.28615196078431371</v>
      </c>
      <c r="O29" s="33">
        <f t="shared" si="93"/>
        <v>0.26723163841807912</v>
      </c>
      <c r="P29" s="32">
        <f t="shared" si="93"/>
        <v>0.32145258910558172</v>
      </c>
      <c r="Q29" s="32">
        <f t="shared" si="93"/>
        <v>0.34287812041116006</v>
      </c>
      <c r="R29" s="32">
        <f t="shared" si="93"/>
        <v>0.24373956594323873</v>
      </c>
      <c r="S29" s="33">
        <f t="shared" si="93"/>
        <v>0.40017211703958694</v>
      </c>
      <c r="T29" s="32">
        <f t="shared" si="93"/>
        <v>0.37723024638912489</v>
      </c>
      <c r="U29" s="32">
        <f t="shared" si="93"/>
        <v>0.35895270270270269</v>
      </c>
      <c r="V29" s="32">
        <f t="shared" si="93"/>
        <v>0.3008595988538682</v>
      </c>
      <c r="W29" s="33">
        <f t="shared" si="93"/>
        <v>0.26245443499392468</v>
      </c>
      <c r="X29" s="32">
        <f t="shared" si="93"/>
        <v>0.20520965692503176</v>
      </c>
      <c r="Y29" s="32">
        <f t="shared" si="93"/>
        <v>0.22444041137326073</v>
      </c>
      <c r="Z29" s="32">
        <f t="shared" si="93"/>
        <v>0.2218788627935723</v>
      </c>
      <c r="AA29" s="33">
        <f t="shared" si="93"/>
        <v>0.21346270466949666</v>
      </c>
      <c r="AB29" s="32">
        <f t="shared" si="93"/>
        <v>0.22752634841909486</v>
      </c>
      <c r="AC29" s="32">
        <f t="shared" si="93"/>
        <v>0.23316391359593391</v>
      </c>
      <c r="AD29" s="32">
        <f t="shared" si="93"/>
        <v>0.21360946745562129</v>
      </c>
      <c r="AE29" s="33">
        <f t="shared" si="93"/>
        <v>0.21170904790065051</v>
      </c>
      <c r="AF29" s="32">
        <f t="shared" si="93"/>
        <v>0.23217665615141955</v>
      </c>
      <c r="AG29" s="327">
        <f t="shared" si="93"/>
        <v>0.24416135881104034</v>
      </c>
      <c r="AH29" s="327">
        <f t="shared" si="93"/>
        <v>0.25847123719464143</v>
      </c>
      <c r="AI29" s="327">
        <f t="shared" si="93"/>
        <v>0.27099567099567101</v>
      </c>
      <c r="AJ29" s="326">
        <f t="shared" ref="AJ29:AX29" si="94">AJ28/AJ9</f>
        <v>0.28676470588235292</v>
      </c>
      <c r="AK29" s="327">
        <f t="shared" si="94"/>
        <v>0.26528854435831178</v>
      </c>
      <c r="AL29" s="327">
        <f t="shared" si="94"/>
        <v>0.1971252566735113</v>
      </c>
      <c r="AM29" s="327">
        <f t="shared" si="94"/>
        <v>0.18439269981120202</v>
      </c>
      <c r="AN29" s="326">
        <f t="shared" si="94"/>
        <v>0.19971367215461705</v>
      </c>
      <c r="AO29" s="327">
        <f t="shared" si="94"/>
        <v>0.19222761970853575</v>
      </c>
      <c r="AP29" s="327">
        <f t="shared" si="94"/>
        <v>0.19454163750874737</v>
      </c>
      <c r="AQ29" s="327">
        <f t="shared" si="94"/>
        <v>0.19209039548022599</v>
      </c>
      <c r="AR29" s="326">
        <f t="shared" si="94"/>
        <v>0.23495145631067962</v>
      </c>
      <c r="AS29" s="327">
        <f t="shared" si="94"/>
        <v>0.2494692144373673</v>
      </c>
      <c r="AT29" s="327">
        <f t="shared" si="94"/>
        <v>0.22714420358152687</v>
      </c>
      <c r="AU29" s="328">
        <f t="shared" si="94"/>
        <v>0.23903966597077245</v>
      </c>
      <c r="AV29" s="326">
        <f t="shared" si="94"/>
        <v>0.29086538461538464</v>
      </c>
      <c r="AW29" s="327">
        <f t="shared" si="94"/>
        <v>0.23661148977604674</v>
      </c>
      <c r="AX29" s="327">
        <f t="shared" si="94"/>
        <v>0.19816373374139251</v>
      </c>
      <c r="AY29" s="328">
        <f t="shared" ref="AY29:BA29" si="95">AY28/AY9</f>
        <v>0.23869801084990958</v>
      </c>
      <c r="AZ29" s="326">
        <f t="shared" si="95"/>
        <v>0.27032520325203252</v>
      </c>
      <c r="BA29" s="327">
        <f t="shared" si="95"/>
        <v>0.22831423895253683</v>
      </c>
      <c r="BB29" s="327">
        <f t="shared" ref="BB29:BD29" si="96">BB28/BB9</f>
        <v>0.19172245891661593</v>
      </c>
      <c r="BC29" s="328">
        <f t="shared" si="96"/>
        <v>0.20270270270270271</v>
      </c>
      <c r="BD29" s="326">
        <f t="shared" si="96"/>
        <v>0.20825743776563449</v>
      </c>
      <c r="BE29" s="327">
        <f t="shared" ref="BE29:BG29" si="97">BE28/BE9</f>
        <v>0.20248483021307559</v>
      </c>
      <c r="BF29" s="327">
        <f t="shared" si="97"/>
        <v>0.21382855474012505</v>
      </c>
      <c r="BG29" s="1646">
        <f t="shared" si="97"/>
        <v>0.23072083728707868</v>
      </c>
      <c r="BH29" s="2017">
        <f t="shared" ref="BH29:BK29" si="98">BH28/BH9</f>
        <v>0.24529656185964774</v>
      </c>
      <c r="BI29" s="327">
        <f t="shared" si="98"/>
        <v>0.23540714286597067</v>
      </c>
      <c r="BJ29" s="327">
        <f t="shared" si="98"/>
        <v>0.22429156025783739</v>
      </c>
      <c r="BK29" s="1646">
        <f t="shared" si="98"/>
        <v>0.22902867187988918</v>
      </c>
      <c r="BL29" s="244"/>
      <c r="BM29" s="32">
        <f t="shared" ref="BM29:BY29" si="99">BM28/BM9</f>
        <v>0.19562243502051985</v>
      </c>
      <c r="BN29" s="32">
        <f t="shared" si="99"/>
        <v>0.21331209063551071</v>
      </c>
      <c r="BO29" s="32">
        <f t="shared" si="99"/>
        <v>0.30716780309329783</v>
      </c>
      <c r="BP29" s="32">
        <f t="shared" si="99"/>
        <v>0.31818181818181818</v>
      </c>
      <c r="BQ29" s="32">
        <f t="shared" si="99"/>
        <v>0.31852674440125855</v>
      </c>
      <c r="BR29" s="32">
        <f t="shared" si="99"/>
        <v>0.21635355712965815</v>
      </c>
      <c r="BS29" s="32">
        <f t="shared" si="99"/>
        <v>0.22122411693057248</v>
      </c>
      <c r="BT29" s="32">
        <f t="shared" si="99"/>
        <v>0.24972334931759499</v>
      </c>
      <c r="BU29" s="1850">
        <f t="shared" si="99"/>
        <v>0.2266465370824684</v>
      </c>
      <c r="BV29" s="1850">
        <f t="shared" ref="BV29:BX29" si="100">BV28/BV9</f>
        <v>0.19469669451507446</v>
      </c>
      <c r="BW29" s="1850">
        <f t="shared" si="100"/>
        <v>0.23728388874968678</v>
      </c>
      <c r="BX29" s="1850">
        <f t="shared" si="100"/>
        <v>0.23595505617977527</v>
      </c>
      <c r="BY29" s="327">
        <f t="shared" si="99"/>
        <v>0.21767686245074122</v>
      </c>
      <c r="BZ29" s="327">
        <f t="shared" ref="BZ29:CB29" si="101">BZ28/BZ9</f>
        <v>0.2136312920549536</v>
      </c>
      <c r="CA29" s="327">
        <f t="shared" si="101"/>
        <v>0.23319310084519862</v>
      </c>
      <c r="CB29" s="2078">
        <f t="shared" si="101"/>
        <v>0.23319310084519862</v>
      </c>
      <c r="CC29" s="2191"/>
      <c r="CD29" s="13"/>
    </row>
    <row r="30" spans="1:88" ht="14.25" hidden="1" customHeight="1" outlineLevel="1">
      <c r="A30" s="1664"/>
      <c r="B30" s="293" t="s">
        <v>437</v>
      </c>
      <c r="C30" s="31"/>
      <c r="D30" s="32"/>
      <c r="E30" s="32">
        <f t="shared" ref="E30:AJ30" si="102">(E28/D28-1)/E11</f>
        <v>2.8330657498334793</v>
      </c>
      <c r="F30" s="32">
        <f t="shared" si="102"/>
        <v>0.28900057140618379</v>
      </c>
      <c r="G30" s="33">
        <f t="shared" si="102"/>
        <v>0.6713472682717142</v>
      </c>
      <c r="H30" s="32">
        <f t="shared" si="102"/>
        <v>0.71765703697161765</v>
      </c>
      <c r="I30" s="32">
        <f t="shared" si="102"/>
        <v>-0.63138704684853675</v>
      </c>
      <c r="J30" s="32">
        <f t="shared" si="102"/>
        <v>-5.0767165518262845E-2</v>
      </c>
      <c r="K30" s="33">
        <f t="shared" si="102"/>
        <v>1.1544569531815403</v>
      </c>
      <c r="L30" s="32">
        <f t="shared" si="102"/>
        <v>-0.40310106887397645</v>
      </c>
      <c r="M30" s="32">
        <f t="shared" si="102"/>
        <v>0.8464080459770118</v>
      </c>
      <c r="N30" s="32">
        <f t="shared" si="102"/>
        <v>-9.1371736427683273E-2</v>
      </c>
      <c r="O30" s="33">
        <f t="shared" si="102"/>
        <v>0.15194116004096581</v>
      </c>
      <c r="P30" s="32">
        <f t="shared" si="102"/>
        <v>-6.6114344197998762E-2</v>
      </c>
      <c r="Q30" s="32">
        <f t="shared" si="102"/>
        <v>0.2737573221757319</v>
      </c>
      <c r="R30" s="32">
        <f t="shared" si="102"/>
        <v>-0.19443254817987163</v>
      </c>
      <c r="S30" s="33">
        <f t="shared" si="102"/>
        <v>-0.1744472009491965</v>
      </c>
      <c r="T30" s="32">
        <f t="shared" si="102"/>
        <v>-3.4984946236559225</v>
      </c>
      <c r="U30" s="32">
        <f t="shared" si="102"/>
        <v>-7.1953024453024579</v>
      </c>
      <c r="V30" s="32">
        <f t="shared" si="102"/>
        <v>-6.5704772475027554E-2</v>
      </c>
      <c r="W30" s="33">
        <f t="shared" si="102"/>
        <v>0.1595428571428566</v>
      </c>
      <c r="X30" s="32">
        <f t="shared" si="102"/>
        <v>5.7681970164609</v>
      </c>
      <c r="Y30" s="32">
        <f t="shared" si="102"/>
        <v>2.9608496296586528</v>
      </c>
      <c r="Z30" s="32">
        <f t="shared" si="102"/>
        <v>1.527608779360804</v>
      </c>
      <c r="AA30" s="33">
        <f t="shared" si="102"/>
        <v>-1.0177015005840635</v>
      </c>
      <c r="AB30" s="32">
        <f t="shared" si="102"/>
        <v>-1.9519412878787894</v>
      </c>
      <c r="AC30" s="32">
        <f t="shared" si="102"/>
        <v>0</v>
      </c>
      <c r="AD30" s="32">
        <f t="shared" si="102"/>
        <v>-0.22183594851075844</v>
      </c>
      <c r="AE30" s="33">
        <f t="shared" si="102"/>
        <v>-14.044321329640399</v>
      </c>
      <c r="AF30" s="32">
        <f t="shared" si="102"/>
        <v>-0.44560978180668342</v>
      </c>
      <c r="AG30" s="32">
        <f t="shared" si="102"/>
        <v>0.57594476744186063</v>
      </c>
      <c r="AH30" s="32">
        <f t="shared" si="102"/>
        <v>0.48351449275362307</v>
      </c>
      <c r="AI30" s="32">
        <f t="shared" si="102"/>
        <v>0.50906611039794647</v>
      </c>
      <c r="AJ30" s="1005">
        <f t="shared" si="102"/>
        <v>5.5076057412618194E-2</v>
      </c>
      <c r="AK30" s="32">
        <f t="shared" ref="AK30:BD30" si="103">(AK28/AJ28-1)/AK11</f>
        <v>-0.19107832806462866</v>
      </c>
      <c r="AL30" s="32">
        <f t="shared" si="103"/>
        <v>-0.2512987012987013</v>
      </c>
      <c r="AM30" s="32">
        <f t="shared" si="103"/>
        <v>0.19816080729166713</v>
      </c>
      <c r="AN30" s="1005">
        <f t="shared" si="103"/>
        <v>0.39544226393629167</v>
      </c>
      <c r="AO30" s="1850">
        <f t="shared" si="103"/>
        <v>-0.22759856630824277</v>
      </c>
      <c r="AP30" s="32">
        <f t="shared" si="103"/>
        <v>-0.43351383874850069</v>
      </c>
      <c r="AQ30" s="32">
        <f t="shared" si="103"/>
        <v>1.0821658462703518</v>
      </c>
      <c r="AR30" s="1005">
        <f t="shared" si="103"/>
        <v>-9.9634112018012602E-2</v>
      </c>
      <c r="AS30" s="32">
        <f t="shared" si="103"/>
        <v>0.33856123215627371</v>
      </c>
      <c r="AT30" s="32">
        <f t="shared" si="103"/>
        <v>0.20210978008224581</v>
      </c>
      <c r="AU30" s="33">
        <f t="shared" si="103"/>
        <v>0.5129114128026433</v>
      </c>
      <c r="AV30" s="1005">
        <f t="shared" si="103"/>
        <v>-0.43162126568240139</v>
      </c>
      <c r="AW30" s="1696">
        <f t="shared" si="103"/>
        <v>1.7630853994490773E-2</v>
      </c>
      <c r="AX30" s="32">
        <f t="shared" si="103"/>
        <v>0.24150499706055234</v>
      </c>
      <c r="AY30" s="33">
        <f t="shared" si="103"/>
        <v>-0.12553064791870736</v>
      </c>
      <c r="AZ30" s="1005">
        <f t="shared" si="103"/>
        <v>-6.8678589170392407E-2</v>
      </c>
      <c r="BA30" s="1696">
        <f t="shared" si="103"/>
        <v>0.20205977127693187</v>
      </c>
      <c r="BB30" s="1850">
        <f t="shared" si="103"/>
        <v>0.37453068730365519</v>
      </c>
      <c r="BC30" s="33">
        <f t="shared" si="103"/>
        <v>0.4799883143441433</v>
      </c>
      <c r="BD30" s="1005">
        <f t="shared" si="103"/>
        <v>1.2702594810379237</v>
      </c>
      <c r="BE30" s="1850">
        <f t="shared" ref="BE30" si="104">(BE28/BD28-1)/BE11</f>
        <v>0.41229598876242107</v>
      </c>
      <c r="BF30" s="1850">
        <f t="shared" ref="BF30" si="105">(BF28/BE28-1)/BF11</f>
        <v>53.865832360182182</v>
      </c>
      <c r="BG30" s="1851">
        <f t="shared" ref="BG30" si="106">(BG28/BF28-1)/BG11</f>
        <v>-0.22266045022622064</v>
      </c>
      <c r="BH30" s="1913">
        <f t="shared" ref="BH30" si="107">(BH28/BG28-1)/BH11</f>
        <v>-0.2844154939062094</v>
      </c>
      <c r="BI30" s="1850">
        <f t="shared" ref="BI30" si="108">(BI28/BH28-1)/BI11</f>
        <v>0.23614097328431999</v>
      </c>
      <c r="BJ30" s="1850">
        <f t="shared" ref="BJ30" si="109">(BJ28/BI28-1)/BJ11</f>
        <v>0</v>
      </c>
      <c r="BK30" s="1851">
        <f t="shared" ref="BK30" si="110">(BK28/BJ28-1)/BK11</f>
        <v>-1.6304914740892087</v>
      </c>
      <c r="BL30" s="244"/>
      <c r="BM30" s="32"/>
      <c r="BN30" s="32">
        <f t="shared" ref="BN30:BZ30" si="111">(BN28/BM28-1)/BN12</f>
        <v>-1.5669606775134413</v>
      </c>
      <c r="BO30" s="32">
        <f t="shared" si="111"/>
        <v>8.2683370571337509</v>
      </c>
      <c r="BP30" s="32">
        <f t="shared" si="111"/>
        <v>-1.5880729462413472E-2</v>
      </c>
      <c r="BQ30" s="32">
        <f t="shared" si="111"/>
        <v>0.98553791887125242</v>
      </c>
      <c r="BR30" s="32">
        <f t="shared" si="111"/>
        <v>-0.90931934250491697</v>
      </c>
      <c r="BS30" s="32">
        <f t="shared" si="111"/>
        <v>2.9980956045012741</v>
      </c>
      <c r="BT30" s="32">
        <f t="shared" si="111"/>
        <v>0.39049736418242798</v>
      </c>
      <c r="BU30" s="1850">
        <f t="shared" si="111"/>
        <v>4.9811218791656238</v>
      </c>
      <c r="BV30" s="1850">
        <f t="shared" ref="BV30:BX30" si="112">(BV28/BU28-1)/BV12</f>
        <v>-2.7496047979340972</v>
      </c>
      <c r="BW30" s="1850">
        <f t="shared" si="112"/>
        <v>0.42377838530121659</v>
      </c>
      <c r="BX30" s="1850">
        <f t="shared" si="112"/>
        <v>0.91486131518524694</v>
      </c>
      <c r="BY30" s="1654">
        <f t="shared" si="111"/>
        <v>0.6094517277109518</v>
      </c>
      <c r="BZ30" s="1654">
        <f t="shared" si="111"/>
        <v>0.91078369493518452</v>
      </c>
      <c r="CA30" s="2100">
        <v>0</v>
      </c>
      <c r="CB30" s="2079"/>
      <c r="CC30" s="2191"/>
      <c r="CD30" s="13"/>
    </row>
    <row r="31" spans="1:88" ht="14.25" hidden="1" customHeight="1" outlineLevel="1">
      <c r="A31" s="7"/>
      <c r="B31" s="30" t="s">
        <v>558</v>
      </c>
      <c r="C31" s="31"/>
      <c r="D31" s="32"/>
      <c r="E31" s="32"/>
      <c r="F31" s="32"/>
      <c r="G31" s="33"/>
      <c r="H31" s="32"/>
      <c r="I31" s="32"/>
      <c r="J31" s="32"/>
      <c r="K31" s="33"/>
      <c r="L31" s="32"/>
      <c r="M31" s="32"/>
      <c r="N31" s="32"/>
      <c r="O31" s="33"/>
      <c r="P31" s="32"/>
      <c r="Q31" s="32"/>
      <c r="R31" s="32"/>
      <c r="S31" s="33"/>
      <c r="T31" s="32"/>
      <c r="U31" s="32"/>
      <c r="V31" s="32"/>
      <c r="W31" s="33"/>
      <c r="X31" s="32"/>
      <c r="Y31" s="32"/>
      <c r="Z31" s="32"/>
      <c r="AA31" s="33"/>
      <c r="AB31" s="32"/>
      <c r="AC31" s="32"/>
      <c r="AD31" s="32"/>
      <c r="AE31" s="33"/>
      <c r="AF31" s="32"/>
      <c r="AG31" s="32"/>
      <c r="AH31" s="32"/>
      <c r="AI31" s="32"/>
      <c r="AJ31" s="646"/>
      <c r="AK31" s="32"/>
      <c r="AL31" s="32"/>
      <c r="AM31" s="32"/>
      <c r="AN31" s="582">
        <v>15</v>
      </c>
      <c r="AO31" s="25"/>
      <c r="AP31" s="25"/>
      <c r="AQ31" s="25">
        <v>10</v>
      </c>
      <c r="AR31" s="582">
        <v>10</v>
      </c>
      <c r="AS31" s="25">
        <v>10</v>
      </c>
      <c r="AT31" s="25">
        <v>10</v>
      </c>
      <c r="AU31" s="25">
        <v>9</v>
      </c>
      <c r="AV31" s="582">
        <v>9</v>
      </c>
      <c r="AW31" s="25">
        <v>10</v>
      </c>
      <c r="AX31" s="25">
        <v>15</v>
      </c>
      <c r="AY31" s="26">
        <v>15</v>
      </c>
      <c r="AZ31" s="582">
        <v>14</v>
      </c>
      <c r="BA31" s="25">
        <v>14</v>
      </c>
      <c r="BB31" s="25">
        <v>16</v>
      </c>
      <c r="BC31" s="26">
        <v>12</v>
      </c>
      <c r="BD31" s="582">
        <v>21</v>
      </c>
      <c r="BE31" s="1884">
        <v>16</v>
      </c>
      <c r="BF31" s="1884">
        <f>BE31</f>
        <v>16</v>
      </c>
      <c r="BG31" s="1886">
        <f>BF31</f>
        <v>16</v>
      </c>
      <c r="BH31" s="1885">
        <f t="shared" ref="BH31" si="113">BG31</f>
        <v>16</v>
      </c>
      <c r="BI31" s="1884">
        <f>BH31</f>
        <v>16</v>
      </c>
      <c r="BJ31" s="1884">
        <f>BI31</f>
        <v>16</v>
      </c>
      <c r="BK31" s="1886">
        <f t="shared" ref="BK31" si="114">BJ31</f>
        <v>16</v>
      </c>
      <c r="BL31" s="244"/>
      <c r="BM31" s="32"/>
      <c r="BN31" s="32"/>
      <c r="BO31" s="32"/>
      <c r="BP31" s="32"/>
      <c r="BQ31" s="32"/>
      <c r="BR31" s="32"/>
      <c r="BS31" s="32"/>
      <c r="BT31" s="32"/>
      <c r="BU31" s="1850"/>
      <c r="BV31" s="1850">
        <f>SUM(AN31:AQ31)</f>
        <v>25</v>
      </c>
      <c r="BW31" s="1850">
        <f>+SUM(AR31:AU31)</f>
        <v>39</v>
      </c>
      <c r="BX31" s="1850">
        <f t="shared" ref="BX31:BX32" si="115">+SUM(AV31:AY31)</f>
        <v>49</v>
      </c>
      <c r="BY31" s="1491">
        <f t="shared" ref="BY31:BY32" si="116">SUM(AZ31:BC31)</f>
        <v>56</v>
      </c>
      <c r="BZ31" s="1491">
        <f>SUM(BD31:BG31)</f>
        <v>69</v>
      </c>
      <c r="CA31" s="1491">
        <f>SUM(BH31:BK31)</f>
        <v>64</v>
      </c>
      <c r="CB31" s="2075">
        <f t="shared" ref="CB31:CB32" si="117">CA31</f>
        <v>64</v>
      </c>
      <c r="CC31" s="2191"/>
      <c r="CD31" s="13"/>
    </row>
    <row r="32" spans="1:88" s="423" customFormat="1" ht="14.25" hidden="1" customHeight="1" outlineLevel="1">
      <c r="A32" s="415"/>
      <c r="B32" s="428" t="s">
        <v>425</v>
      </c>
      <c r="C32" s="862"/>
      <c r="D32" s="863">
        <v>0</v>
      </c>
      <c r="E32" s="863">
        <v>0</v>
      </c>
      <c r="F32" s="863">
        <v>0</v>
      </c>
      <c r="G32" s="864">
        <v>0</v>
      </c>
      <c r="H32" s="863">
        <v>0</v>
      </c>
      <c r="I32" s="863">
        <v>0</v>
      </c>
      <c r="J32" s="863">
        <v>0</v>
      </c>
      <c r="K32" s="864">
        <v>0</v>
      </c>
      <c r="L32" s="863">
        <v>0</v>
      </c>
      <c r="M32" s="863">
        <v>0</v>
      </c>
      <c r="N32" s="863">
        <v>0</v>
      </c>
      <c r="O32" s="864">
        <v>0</v>
      </c>
      <c r="P32" s="863">
        <v>0</v>
      </c>
      <c r="Q32" s="863">
        <v>0</v>
      </c>
      <c r="R32" s="863">
        <v>0</v>
      </c>
      <c r="S32" s="864">
        <v>0</v>
      </c>
      <c r="T32" s="863">
        <v>0</v>
      </c>
      <c r="U32" s="863">
        <v>0</v>
      </c>
      <c r="V32" s="863">
        <v>0</v>
      </c>
      <c r="W32" s="864">
        <v>131</v>
      </c>
      <c r="X32" s="863">
        <v>0</v>
      </c>
      <c r="Y32" s="863">
        <v>0</v>
      </c>
      <c r="Z32" s="863">
        <v>0</v>
      </c>
      <c r="AA32" s="864">
        <v>0</v>
      </c>
      <c r="AB32" s="863">
        <f>AA32</f>
        <v>0</v>
      </c>
      <c r="AC32" s="863">
        <v>0</v>
      </c>
      <c r="AD32" s="863">
        <v>0</v>
      </c>
      <c r="AE32" s="864">
        <v>0</v>
      </c>
      <c r="AF32" s="863">
        <f>AE32</f>
        <v>0</v>
      </c>
      <c r="AG32" s="485">
        <f>AF32</f>
        <v>0</v>
      </c>
      <c r="AH32" s="485">
        <f>AG32</f>
        <v>0</v>
      </c>
      <c r="AI32" s="485">
        <f>AH32</f>
        <v>0</v>
      </c>
      <c r="AJ32" s="488">
        <f>AI32</f>
        <v>0</v>
      </c>
      <c r="AK32" s="485">
        <f t="shared" ref="AK32:AQ32" si="118">AJ32</f>
        <v>0</v>
      </c>
      <c r="AL32" s="485">
        <f t="shared" si="118"/>
        <v>0</v>
      </c>
      <c r="AM32" s="485">
        <f t="shared" si="118"/>
        <v>0</v>
      </c>
      <c r="AN32" s="488">
        <f>AM32</f>
        <v>0</v>
      </c>
      <c r="AO32" s="485">
        <f t="shared" si="118"/>
        <v>0</v>
      </c>
      <c r="AP32" s="485">
        <f t="shared" si="118"/>
        <v>0</v>
      </c>
      <c r="AQ32" s="485">
        <f t="shared" si="118"/>
        <v>0</v>
      </c>
      <c r="AR32" s="488">
        <v>0</v>
      </c>
      <c r="AS32" s="485">
        <v>0</v>
      </c>
      <c r="AT32" s="485">
        <v>0</v>
      </c>
      <c r="AU32" s="487">
        <v>0</v>
      </c>
      <c r="AV32" s="488">
        <v>0</v>
      </c>
      <c r="AW32" s="485">
        <v>0</v>
      </c>
      <c r="AX32" s="485">
        <v>0</v>
      </c>
      <c r="AY32" s="487">
        <v>0</v>
      </c>
      <c r="AZ32" s="488">
        <v>0</v>
      </c>
      <c r="BA32" s="485">
        <v>0</v>
      </c>
      <c r="BB32" s="485">
        <v>0</v>
      </c>
      <c r="BC32" s="487">
        <v>0</v>
      </c>
      <c r="BD32" s="488">
        <v>0</v>
      </c>
      <c r="BE32" s="863">
        <v>0</v>
      </c>
      <c r="BF32" s="863">
        <v>0</v>
      </c>
      <c r="BG32" s="1638">
        <v>0</v>
      </c>
      <c r="BH32" s="2016">
        <v>0</v>
      </c>
      <c r="BI32" s="863">
        <v>0</v>
      </c>
      <c r="BJ32" s="863">
        <v>0</v>
      </c>
      <c r="BK32" s="1638">
        <v>0</v>
      </c>
      <c r="BL32" s="575"/>
      <c r="BM32" s="485">
        <f>SUM(D32:G32)</f>
        <v>0</v>
      </c>
      <c r="BN32" s="485">
        <f>SUM(H32:K32)</f>
        <v>0</v>
      </c>
      <c r="BO32" s="485">
        <f>SUM(L32:O32)</f>
        <v>0</v>
      </c>
      <c r="BP32" s="485">
        <f>SUM(P32:S32)</f>
        <v>0</v>
      </c>
      <c r="BQ32" s="485">
        <f>SUM(T32:W32)</f>
        <v>131</v>
      </c>
      <c r="BR32" s="485">
        <f>SUM(X32:AA32)</f>
        <v>0</v>
      </c>
      <c r="BS32" s="485">
        <f>SUM(AB32:AE32)</f>
        <v>0</v>
      </c>
      <c r="BT32" s="485">
        <f>SUM(AF32:AI32)</f>
        <v>0</v>
      </c>
      <c r="BU32" s="485">
        <f>SUM(AJ32:AM32)</f>
        <v>0</v>
      </c>
      <c r="BV32" s="485">
        <f t="shared" ref="BV32" si="119">SUM(AW32:AZ32)</f>
        <v>0</v>
      </c>
      <c r="BW32" s="485">
        <f>SUM(AR32:AU32)</f>
        <v>0</v>
      </c>
      <c r="BX32" s="485">
        <f t="shared" si="115"/>
        <v>0</v>
      </c>
      <c r="BY32" s="1653">
        <f t="shared" si="116"/>
        <v>0</v>
      </c>
      <c r="BZ32" s="1653">
        <f>SUM(BD32:BG32)</f>
        <v>0</v>
      </c>
      <c r="CA32" s="1653">
        <f>SUM(BH32:BK32)</f>
        <v>0</v>
      </c>
      <c r="CB32" s="2080">
        <f t="shared" si="117"/>
        <v>0</v>
      </c>
      <c r="CC32" s="2191"/>
      <c r="CD32" s="440"/>
      <c r="CE32"/>
      <c r="CF32"/>
      <c r="CG32"/>
      <c r="CH32"/>
      <c r="CI32"/>
      <c r="CJ32"/>
    </row>
    <row r="33" spans="1:88" s="423" customFormat="1" ht="14.25" hidden="1" customHeight="1" outlineLevel="1">
      <c r="A33" s="415"/>
      <c r="B33" s="101" t="s">
        <v>610</v>
      </c>
      <c r="C33" s="862"/>
      <c r="D33" s="27">
        <f t="shared" ref="D33:AP33" si="120">+D28-D31-D32</f>
        <v>253.12200000000001</v>
      </c>
      <c r="E33" s="27">
        <f t="shared" si="120"/>
        <v>272.584</v>
      </c>
      <c r="F33" s="27">
        <f t="shared" si="120"/>
        <v>289.01799999999997</v>
      </c>
      <c r="G33" s="28">
        <f t="shared" si="120"/>
        <v>329.27600000000007</v>
      </c>
      <c r="H33" s="27">
        <f t="shared" si="120"/>
        <v>264.17599999999999</v>
      </c>
      <c r="I33" s="27">
        <f t="shared" si="120"/>
        <v>278.67399999999998</v>
      </c>
      <c r="J33" s="27">
        <f t="shared" si="120"/>
        <v>277.38</v>
      </c>
      <c r="K33" s="28">
        <f t="shared" si="120"/>
        <v>384.7700000000001</v>
      </c>
      <c r="L33" s="27">
        <f t="shared" si="120"/>
        <v>432</v>
      </c>
      <c r="M33" s="27">
        <f t="shared" si="120"/>
        <v>475</v>
      </c>
      <c r="N33" s="27">
        <f t="shared" si="120"/>
        <v>467</v>
      </c>
      <c r="O33" s="28">
        <f t="shared" si="120"/>
        <v>473</v>
      </c>
      <c r="P33" s="27">
        <f t="shared" si="120"/>
        <v>478</v>
      </c>
      <c r="Q33" s="27">
        <f t="shared" si="120"/>
        <v>467</v>
      </c>
      <c r="R33" s="27">
        <f t="shared" si="120"/>
        <v>438</v>
      </c>
      <c r="S33" s="28">
        <f t="shared" si="120"/>
        <v>465</v>
      </c>
      <c r="T33" s="27">
        <f t="shared" si="120"/>
        <v>444</v>
      </c>
      <c r="U33" s="27">
        <f t="shared" si="120"/>
        <v>425</v>
      </c>
      <c r="V33" s="27">
        <f t="shared" si="120"/>
        <v>420</v>
      </c>
      <c r="W33" s="28">
        <f t="shared" si="120"/>
        <v>301</v>
      </c>
      <c r="X33" s="27">
        <f t="shared" si="120"/>
        <v>323</v>
      </c>
      <c r="Y33" s="27">
        <f t="shared" si="120"/>
        <v>371</v>
      </c>
      <c r="Z33" s="27">
        <f t="shared" si="120"/>
        <v>359</v>
      </c>
      <c r="AA33" s="28">
        <f t="shared" si="120"/>
        <v>352</v>
      </c>
      <c r="AB33" s="27">
        <f t="shared" si="120"/>
        <v>367</v>
      </c>
      <c r="AC33" s="27">
        <f t="shared" si="120"/>
        <v>367</v>
      </c>
      <c r="AD33" s="27">
        <f t="shared" si="120"/>
        <v>361</v>
      </c>
      <c r="AE33" s="28">
        <f t="shared" si="120"/>
        <v>358</v>
      </c>
      <c r="AF33" s="27">
        <f t="shared" si="120"/>
        <v>368</v>
      </c>
      <c r="AG33" s="27">
        <f t="shared" si="120"/>
        <v>345</v>
      </c>
      <c r="AH33" s="27">
        <f t="shared" si="120"/>
        <v>328</v>
      </c>
      <c r="AI33" s="27">
        <f t="shared" si="120"/>
        <v>313</v>
      </c>
      <c r="AJ33" s="29">
        <f t="shared" si="120"/>
        <v>312</v>
      </c>
      <c r="AK33" s="27">
        <f t="shared" si="120"/>
        <v>308</v>
      </c>
      <c r="AL33" s="27">
        <f t="shared" si="120"/>
        <v>288</v>
      </c>
      <c r="AM33" s="27">
        <f t="shared" si="120"/>
        <v>293</v>
      </c>
      <c r="AN33" s="29">
        <f t="shared" si="120"/>
        <v>264</v>
      </c>
      <c r="AO33" s="27">
        <f t="shared" si="120"/>
        <v>277</v>
      </c>
      <c r="AP33" s="27">
        <f t="shared" si="120"/>
        <v>278</v>
      </c>
      <c r="AQ33" s="27">
        <f>+AQ28-AQ31-AQ32</f>
        <v>228</v>
      </c>
      <c r="AR33" s="29">
        <f t="shared" ref="AR33:AW33" si="121">+AR28-AR31-AR32</f>
        <v>232</v>
      </c>
      <c r="AS33" s="27">
        <f t="shared" si="121"/>
        <v>225</v>
      </c>
      <c r="AT33" s="27">
        <f t="shared" si="121"/>
        <v>231</v>
      </c>
      <c r="AU33" s="28">
        <f t="shared" si="121"/>
        <v>220</v>
      </c>
      <c r="AV33" s="29">
        <f t="shared" si="121"/>
        <v>233</v>
      </c>
      <c r="AW33" s="27">
        <f t="shared" si="121"/>
        <v>233</v>
      </c>
      <c r="AX33" s="27">
        <f>+AX28-AX31-AX32</f>
        <v>244</v>
      </c>
      <c r="AY33" s="28">
        <f t="shared" ref="AY33:BA33" si="122">+AY28-AY31-AY32</f>
        <v>249</v>
      </c>
      <c r="AZ33" s="29">
        <f t="shared" si="122"/>
        <v>252</v>
      </c>
      <c r="BA33" s="27">
        <f t="shared" si="122"/>
        <v>265</v>
      </c>
      <c r="BB33" s="27">
        <f t="shared" ref="BB33:BD33" si="123">+BB28-BB31-BB32</f>
        <v>299</v>
      </c>
      <c r="BC33" s="28">
        <f t="shared" si="123"/>
        <v>288</v>
      </c>
      <c r="BD33" s="29">
        <f t="shared" si="123"/>
        <v>322</v>
      </c>
      <c r="BE33" s="27">
        <f t="shared" ref="BE33:BG33" si="124">+BE28-BE31-BE32</f>
        <v>334</v>
      </c>
      <c r="BF33" s="27">
        <f t="shared" si="124"/>
        <v>354</v>
      </c>
      <c r="BG33" s="1639">
        <f t="shared" si="124"/>
        <v>359</v>
      </c>
      <c r="BH33" s="1914">
        <f t="shared" ref="BH33:BK33" si="125">+BH28-BH31-BH32</f>
        <v>364</v>
      </c>
      <c r="BI33" s="27">
        <f t="shared" si="125"/>
        <v>369</v>
      </c>
      <c r="BJ33" s="27">
        <f t="shared" si="125"/>
        <v>369</v>
      </c>
      <c r="BK33" s="1639">
        <f t="shared" si="125"/>
        <v>374</v>
      </c>
      <c r="BL33" s="575"/>
      <c r="BM33" s="27">
        <f>SUM(D33:G33)</f>
        <v>1144</v>
      </c>
      <c r="BN33" s="27">
        <f>SUM(H33:K33)</f>
        <v>1205</v>
      </c>
      <c r="BO33" s="27">
        <f>SUM(L33:O33)</f>
        <v>1847</v>
      </c>
      <c r="BP33" s="27">
        <f>SUM(P33:S33)</f>
        <v>1848</v>
      </c>
      <c r="BQ33" s="27">
        <f>SUM(T33:W33)</f>
        <v>1590</v>
      </c>
      <c r="BR33" s="27">
        <f>SUM(X33:AA33)</f>
        <v>1405</v>
      </c>
      <c r="BS33" s="27">
        <f>SUM(AB33:AE33)</f>
        <v>1453</v>
      </c>
      <c r="BT33" s="27">
        <f>SUM(AF33:AI33)</f>
        <v>1354</v>
      </c>
      <c r="BU33" s="27">
        <f>SUM(AJ33:AM33)</f>
        <v>1201</v>
      </c>
      <c r="BV33" s="27">
        <f>SUM(AN33:AQ33)</f>
        <v>1047</v>
      </c>
      <c r="BW33" s="27">
        <f>+SUM(AR33:AU33)</f>
        <v>908</v>
      </c>
      <c r="BX33" s="27">
        <f t="shared" ref="BX33:BZ33" si="126">+BX28-BX31-BX32</f>
        <v>959</v>
      </c>
      <c r="BY33" s="1491">
        <f t="shared" si="126"/>
        <v>1104</v>
      </c>
      <c r="BZ33" s="1491">
        <f t="shared" si="126"/>
        <v>1369</v>
      </c>
      <c r="CA33" s="1491">
        <f t="shared" ref="CA33" si="127">+CA28-CA31-CA32</f>
        <v>1476</v>
      </c>
      <c r="CB33" s="2075">
        <f>CB35-CB31</f>
        <v>1476</v>
      </c>
      <c r="CC33" s="2191"/>
      <c r="CD33" s="440"/>
      <c r="CE33"/>
      <c r="CF33"/>
      <c r="CG33"/>
      <c r="CH33"/>
      <c r="CI33"/>
      <c r="CJ33"/>
    </row>
    <row r="34" spans="1:88" s="423" customFormat="1" ht="14.25" hidden="1" customHeight="1" outlineLevel="1">
      <c r="A34" s="415"/>
      <c r="B34" s="30" t="s">
        <v>436</v>
      </c>
      <c r="C34" s="862"/>
      <c r="D34" s="1493">
        <f t="shared" ref="D34:AV34" si="128">D33/D9</f>
        <v>0.20635596122051675</v>
      </c>
      <c r="E34" s="1493">
        <f t="shared" si="128"/>
        <v>0.21635058789540274</v>
      </c>
      <c r="F34" s="1493">
        <f t="shared" si="128"/>
        <v>0.18979940962269043</v>
      </c>
      <c r="G34" s="1495">
        <f t="shared" si="128"/>
        <v>0.17908096975089455</v>
      </c>
      <c r="H34" s="1493">
        <f t="shared" si="128"/>
        <v>0.19830680745076787</v>
      </c>
      <c r="I34" s="1493">
        <f t="shared" si="128"/>
        <v>0.22910355180632161</v>
      </c>
      <c r="J34" s="1493">
        <f t="shared" si="128"/>
        <v>0.20892995144702331</v>
      </c>
      <c r="K34" s="1495">
        <f t="shared" si="128"/>
        <v>0.21703435084578365</v>
      </c>
      <c r="L34" s="1493">
        <f t="shared" si="128"/>
        <v>0.35036496350364965</v>
      </c>
      <c r="M34" s="1493">
        <f t="shared" si="128"/>
        <v>0.3447024673439768</v>
      </c>
      <c r="N34" s="1493">
        <f t="shared" si="128"/>
        <v>0.28615196078431371</v>
      </c>
      <c r="O34" s="1495">
        <f t="shared" si="128"/>
        <v>0.26723163841807912</v>
      </c>
      <c r="P34" s="1493">
        <f t="shared" si="128"/>
        <v>0.32145258910558172</v>
      </c>
      <c r="Q34" s="1493">
        <f t="shared" si="128"/>
        <v>0.34287812041116006</v>
      </c>
      <c r="R34" s="1493">
        <f t="shared" si="128"/>
        <v>0.24373956594323873</v>
      </c>
      <c r="S34" s="1495">
        <f t="shared" si="128"/>
        <v>0.40017211703958694</v>
      </c>
      <c r="T34" s="1493">
        <f t="shared" si="128"/>
        <v>0.37723024638912489</v>
      </c>
      <c r="U34" s="1493">
        <f t="shared" si="128"/>
        <v>0.35895270270270269</v>
      </c>
      <c r="V34" s="1493">
        <f t="shared" si="128"/>
        <v>0.3008595988538682</v>
      </c>
      <c r="W34" s="1495">
        <f t="shared" si="128"/>
        <v>0.18286755771567437</v>
      </c>
      <c r="X34" s="1493">
        <f t="shared" si="128"/>
        <v>0.20520965692503176</v>
      </c>
      <c r="Y34" s="1493">
        <f t="shared" si="128"/>
        <v>0.22444041137326073</v>
      </c>
      <c r="Z34" s="1493">
        <f t="shared" si="128"/>
        <v>0.2218788627935723</v>
      </c>
      <c r="AA34" s="1495">
        <f t="shared" si="128"/>
        <v>0.21346270466949666</v>
      </c>
      <c r="AB34" s="1493">
        <f t="shared" si="128"/>
        <v>0.22752634841909486</v>
      </c>
      <c r="AC34" s="1493">
        <f t="shared" si="128"/>
        <v>0.23316391359593391</v>
      </c>
      <c r="AD34" s="1493">
        <f t="shared" si="128"/>
        <v>0.21360946745562129</v>
      </c>
      <c r="AE34" s="1495">
        <f t="shared" si="128"/>
        <v>0.21170904790065051</v>
      </c>
      <c r="AF34" s="1493">
        <f t="shared" si="128"/>
        <v>0.23217665615141955</v>
      </c>
      <c r="AG34" s="1493">
        <f t="shared" si="128"/>
        <v>0.24416135881104034</v>
      </c>
      <c r="AH34" s="1493">
        <f t="shared" si="128"/>
        <v>0.25847123719464143</v>
      </c>
      <c r="AI34" s="1493">
        <f t="shared" si="128"/>
        <v>0.27099567099567101</v>
      </c>
      <c r="AJ34" s="1494">
        <f t="shared" si="128"/>
        <v>0.28676470588235292</v>
      </c>
      <c r="AK34" s="1493">
        <f t="shared" si="128"/>
        <v>0.26528854435831178</v>
      </c>
      <c r="AL34" s="1493">
        <f t="shared" si="128"/>
        <v>0.1971252566735113</v>
      </c>
      <c r="AM34" s="1493">
        <f t="shared" si="128"/>
        <v>0.18439269981120202</v>
      </c>
      <c r="AN34" s="1865">
        <f t="shared" si="128"/>
        <v>0.1889763779527559</v>
      </c>
      <c r="AO34" s="1861">
        <f t="shared" si="128"/>
        <v>0.19222761970853575</v>
      </c>
      <c r="AP34" s="1493">
        <f t="shared" si="128"/>
        <v>0.19454163750874737</v>
      </c>
      <c r="AQ34" s="1493">
        <f t="shared" si="128"/>
        <v>0.18401937046004843</v>
      </c>
      <c r="AR34" s="1494">
        <f t="shared" si="128"/>
        <v>0.22524271844660193</v>
      </c>
      <c r="AS34" s="1493">
        <f t="shared" si="128"/>
        <v>0.23885350318471338</v>
      </c>
      <c r="AT34" s="1493">
        <f t="shared" si="128"/>
        <v>0.2177191328934967</v>
      </c>
      <c r="AU34" s="1495">
        <f t="shared" si="128"/>
        <v>0.22964509394572025</v>
      </c>
      <c r="AV34" s="1494">
        <f t="shared" si="128"/>
        <v>0.28004807692307693</v>
      </c>
      <c r="AW34" s="32">
        <f>AW33/AW9</f>
        <v>0.22687439143135346</v>
      </c>
      <c r="AX34" s="1493">
        <f t="shared" ref="AX34" si="129">AX33/AX9</f>
        <v>0.18668706962509563</v>
      </c>
      <c r="AY34" s="1495">
        <f t="shared" ref="AY34:AZ34" si="130">AY33/AY9</f>
        <v>0.22513562386980107</v>
      </c>
      <c r="AZ34" s="1703">
        <f t="shared" si="130"/>
        <v>0.25609756097560976</v>
      </c>
      <c r="BA34" s="1696">
        <f>BA33/BA9</f>
        <v>0.21685761047463176</v>
      </c>
      <c r="BB34" s="1850">
        <f>BB33/BB9</f>
        <v>0.18198417528910529</v>
      </c>
      <c r="BC34" s="1495">
        <f t="shared" ref="BC34:BD34" si="131">BC33/BC9</f>
        <v>0.19459459459459461</v>
      </c>
      <c r="BD34" s="1865">
        <f t="shared" si="131"/>
        <v>0.1955069823922283</v>
      </c>
      <c r="BE34" s="1861">
        <f t="shared" ref="BE34:BG34" si="132">BE33/BE9</f>
        <v>0.19322838083190641</v>
      </c>
      <c r="BF34" s="1861">
        <f t="shared" si="132"/>
        <v>0.20458191453514668</v>
      </c>
      <c r="BG34" s="1862">
        <f t="shared" si="132"/>
        <v>0.22087674822949666</v>
      </c>
      <c r="BH34" s="2018">
        <f t="shared" ref="BH34:BK34" si="133">BH33/BH9</f>
        <v>0.23496828557082047</v>
      </c>
      <c r="BI34" s="1861">
        <f t="shared" si="133"/>
        <v>0.22562398887673552</v>
      </c>
      <c r="BJ34" s="1861">
        <f t="shared" si="133"/>
        <v>0.21497035255881036</v>
      </c>
      <c r="BK34" s="1862">
        <f t="shared" si="133"/>
        <v>0.21963262380276552</v>
      </c>
      <c r="BL34" s="575"/>
      <c r="BM34" s="34">
        <f t="shared" ref="BM34:BX34" si="134">BM33/BM9</f>
        <v>0.19562243502051985</v>
      </c>
      <c r="BN34" s="32">
        <f t="shared" si="134"/>
        <v>0.21331209063551071</v>
      </c>
      <c r="BO34" s="32">
        <f t="shared" si="134"/>
        <v>0.30716780309329783</v>
      </c>
      <c r="BP34" s="32">
        <f t="shared" si="134"/>
        <v>0.31818181818181818</v>
      </c>
      <c r="BQ34" s="32">
        <f t="shared" si="134"/>
        <v>0.29428095502498614</v>
      </c>
      <c r="BR34" s="32">
        <f t="shared" si="134"/>
        <v>0.21635355712965815</v>
      </c>
      <c r="BS34" s="32">
        <f t="shared" si="134"/>
        <v>0.22122411693057248</v>
      </c>
      <c r="BT34" s="32">
        <f t="shared" si="134"/>
        <v>0.24972334931759499</v>
      </c>
      <c r="BU34" s="1850">
        <f t="shared" si="134"/>
        <v>0.2266465370824684</v>
      </c>
      <c r="BV34" s="1850">
        <f t="shared" si="134"/>
        <v>0.19015619324373412</v>
      </c>
      <c r="BW34" s="1850">
        <f t="shared" si="134"/>
        <v>0.22751190177900277</v>
      </c>
      <c r="BX34" s="1850">
        <f t="shared" si="134"/>
        <v>0.22448501872659177</v>
      </c>
      <c r="BY34" s="1850">
        <f t="shared" ref="BY34" si="135">BY33/BY9</f>
        <v>0.20716832426346407</v>
      </c>
      <c r="BZ34" s="1850">
        <f t="shared" ref="BZ34:CB34" si="136">BZ33/BZ9</f>
        <v>0.20338055550989673</v>
      </c>
      <c r="CA34" s="1850">
        <f t="shared" si="136"/>
        <v>0.22350195899189168</v>
      </c>
      <c r="CB34" s="1851">
        <f t="shared" si="136"/>
        <v>0.22350195899189168</v>
      </c>
      <c r="CC34" s="2191"/>
      <c r="CD34" s="440"/>
      <c r="CE34"/>
      <c r="CF34"/>
      <c r="CG34"/>
      <c r="CH34"/>
      <c r="CI34"/>
      <c r="CJ34"/>
    </row>
    <row r="35" spans="1:88" ht="14.25" hidden="1" customHeight="1" outlineLevel="1">
      <c r="A35" s="7"/>
      <c r="B35" s="21" t="s">
        <v>3</v>
      </c>
      <c r="C35" s="22"/>
      <c r="D35" s="27">
        <f t="shared" ref="D35:AM35" si="137">D28-D32</f>
        <v>253.12200000000001</v>
      </c>
      <c r="E35" s="27">
        <f t="shared" si="137"/>
        <v>272.584</v>
      </c>
      <c r="F35" s="27">
        <f t="shared" si="137"/>
        <v>289.01799999999997</v>
      </c>
      <c r="G35" s="28">
        <f t="shared" si="137"/>
        <v>329.27600000000007</v>
      </c>
      <c r="H35" s="27">
        <f t="shared" si="137"/>
        <v>264.17599999999999</v>
      </c>
      <c r="I35" s="27">
        <f t="shared" si="137"/>
        <v>278.67399999999998</v>
      </c>
      <c r="J35" s="27">
        <f t="shared" si="137"/>
        <v>277.38</v>
      </c>
      <c r="K35" s="28">
        <f t="shared" si="137"/>
        <v>384.7700000000001</v>
      </c>
      <c r="L35" s="27">
        <f t="shared" si="137"/>
        <v>432</v>
      </c>
      <c r="M35" s="27">
        <f t="shared" si="137"/>
        <v>475</v>
      </c>
      <c r="N35" s="27">
        <f t="shared" si="137"/>
        <v>467</v>
      </c>
      <c r="O35" s="28">
        <f t="shared" si="137"/>
        <v>473</v>
      </c>
      <c r="P35" s="27">
        <f t="shared" si="137"/>
        <v>478</v>
      </c>
      <c r="Q35" s="27">
        <f t="shared" si="137"/>
        <v>467</v>
      </c>
      <c r="R35" s="27">
        <f t="shared" si="137"/>
        <v>438</v>
      </c>
      <c r="S35" s="28">
        <f t="shared" si="137"/>
        <v>465</v>
      </c>
      <c r="T35" s="27">
        <f t="shared" si="137"/>
        <v>444</v>
      </c>
      <c r="U35" s="27">
        <f t="shared" si="137"/>
        <v>425</v>
      </c>
      <c r="V35" s="27">
        <f t="shared" si="137"/>
        <v>420</v>
      </c>
      <c r="W35" s="28">
        <f t="shared" si="137"/>
        <v>301</v>
      </c>
      <c r="X35" s="27">
        <f t="shared" si="137"/>
        <v>323</v>
      </c>
      <c r="Y35" s="27">
        <f t="shared" si="137"/>
        <v>371</v>
      </c>
      <c r="Z35" s="27">
        <f t="shared" si="137"/>
        <v>359</v>
      </c>
      <c r="AA35" s="28">
        <f t="shared" si="137"/>
        <v>352</v>
      </c>
      <c r="AB35" s="27">
        <f t="shared" si="137"/>
        <v>367</v>
      </c>
      <c r="AC35" s="27">
        <f t="shared" si="137"/>
        <v>367</v>
      </c>
      <c r="AD35" s="27">
        <f t="shared" si="137"/>
        <v>361</v>
      </c>
      <c r="AE35" s="28">
        <f t="shared" si="137"/>
        <v>358</v>
      </c>
      <c r="AF35" s="27">
        <f t="shared" si="137"/>
        <v>368</v>
      </c>
      <c r="AG35" s="27">
        <f t="shared" si="137"/>
        <v>345</v>
      </c>
      <c r="AH35" s="27">
        <f t="shared" si="137"/>
        <v>328</v>
      </c>
      <c r="AI35" s="27">
        <f t="shared" si="137"/>
        <v>313</v>
      </c>
      <c r="AJ35" s="29">
        <f t="shared" si="137"/>
        <v>312</v>
      </c>
      <c r="AK35" s="27">
        <f t="shared" si="137"/>
        <v>308</v>
      </c>
      <c r="AL35" s="27">
        <f t="shared" si="137"/>
        <v>288</v>
      </c>
      <c r="AM35" s="27">
        <f t="shared" si="137"/>
        <v>293</v>
      </c>
      <c r="AN35" s="29">
        <f t="shared" ref="AN35:AU35" si="138">AN28-AN32</f>
        <v>279</v>
      </c>
      <c r="AO35" s="27">
        <f t="shared" si="138"/>
        <v>277</v>
      </c>
      <c r="AP35" s="27">
        <f t="shared" si="138"/>
        <v>278</v>
      </c>
      <c r="AQ35" s="27">
        <f t="shared" si="138"/>
        <v>238</v>
      </c>
      <c r="AR35" s="29">
        <f t="shared" si="138"/>
        <v>242</v>
      </c>
      <c r="AS35" s="27">
        <f t="shared" si="138"/>
        <v>235</v>
      </c>
      <c r="AT35" s="27">
        <f t="shared" si="138"/>
        <v>241</v>
      </c>
      <c r="AU35" s="28">
        <f t="shared" si="138"/>
        <v>229</v>
      </c>
      <c r="AV35" s="29">
        <f t="shared" ref="AV35:AY35" si="139">AV28-AV32</f>
        <v>242</v>
      </c>
      <c r="AW35" s="27">
        <f t="shared" si="139"/>
        <v>243</v>
      </c>
      <c r="AX35" s="27">
        <f t="shared" si="139"/>
        <v>259</v>
      </c>
      <c r="AY35" s="28">
        <f t="shared" si="139"/>
        <v>264</v>
      </c>
      <c r="AZ35" s="29">
        <f t="shared" ref="AZ35:BA35" si="140">AZ28-AZ32</f>
        <v>266</v>
      </c>
      <c r="BA35" s="27">
        <f t="shared" si="140"/>
        <v>279</v>
      </c>
      <c r="BB35" s="27">
        <f t="shared" ref="BB35:BD35" si="141">BB28-BB32</f>
        <v>315</v>
      </c>
      <c r="BC35" s="28">
        <f t="shared" si="141"/>
        <v>300</v>
      </c>
      <c r="BD35" s="29">
        <f t="shared" si="141"/>
        <v>343</v>
      </c>
      <c r="BE35" s="27">
        <f t="shared" ref="BE35:BG35" si="142">BE28-BE32</f>
        <v>350</v>
      </c>
      <c r="BF35" s="27">
        <f t="shared" si="142"/>
        <v>370</v>
      </c>
      <c r="BG35" s="1639">
        <f t="shared" si="142"/>
        <v>375</v>
      </c>
      <c r="BH35" s="1914">
        <f t="shared" ref="BH35:BK35" si="143">BH28-BH32</f>
        <v>380</v>
      </c>
      <c r="BI35" s="27">
        <f t="shared" si="143"/>
        <v>385</v>
      </c>
      <c r="BJ35" s="27">
        <f t="shared" si="143"/>
        <v>385</v>
      </c>
      <c r="BK35" s="1639">
        <f t="shared" si="143"/>
        <v>390</v>
      </c>
      <c r="BL35" s="244"/>
      <c r="BM35" s="27">
        <f t="shared" ref="BM35:BY35" si="144">BM28-BM32</f>
        <v>1144</v>
      </c>
      <c r="BN35" s="27">
        <f t="shared" si="144"/>
        <v>1205</v>
      </c>
      <c r="BO35" s="27">
        <f t="shared" si="144"/>
        <v>1847</v>
      </c>
      <c r="BP35" s="27">
        <f t="shared" si="144"/>
        <v>1848</v>
      </c>
      <c r="BQ35" s="27">
        <f t="shared" si="144"/>
        <v>1590</v>
      </c>
      <c r="BR35" s="27">
        <f t="shared" si="144"/>
        <v>1405</v>
      </c>
      <c r="BS35" s="27">
        <f t="shared" si="144"/>
        <v>1453</v>
      </c>
      <c r="BT35" s="27">
        <f t="shared" si="144"/>
        <v>1354</v>
      </c>
      <c r="BU35" s="27">
        <f t="shared" si="144"/>
        <v>1201</v>
      </c>
      <c r="BV35" s="27">
        <f t="shared" ref="BV35:BX35" si="145">BV28-BV32</f>
        <v>1072</v>
      </c>
      <c r="BW35" s="27">
        <f t="shared" si="145"/>
        <v>947</v>
      </c>
      <c r="BX35" s="27">
        <f t="shared" si="145"/>
        <v>1008</v>
      </c>
      <c r="BY35" s="27">
        <f t="shared" si="144"/>
        <v>1160</v>
      </c>
      <c r="BZ35" s="27">
        <f t="shared" ref="BZ35:CA35" si="146">BZ28-BZ32</f>
        <v>1438</v>
      </c>
      <c r="CA35" s="27">
        <f t="shared" si="146"/>
        <v>1540</v>
      </c>
      <c r="CB35" s="2075">
        <f>CB9*CB36</f>
        <v>1540</v>
      </c>
      <c r="CC35" s="2191"/>
      <c r="CD35" s="13"/>
    </row>
    <row r="36" spans="1:88" ht="14.25" hidden="1" customHeight="1" outlineLevel="1">
      <c r="A36" s="7"/>
      <c r="B36" s="30" t="s">
        <v>436</v>
      </c>
      <c r="C36" s="31"/>
      <c r="D36" s="32">
        <f t="shared" ref="D36:AI36" si="147">D35/D9</f>
        <v>0.20635596122051675</v>
      </c>
      <c r="E36" s="32">
        <f t="shared" si="147"/>
        <v>0.21635058789540274</v>
      </c>
      <c r="F36" s="32">
        <f t="shared" si="147"/>
        <v>0.18979940962269043</v>
      </c>
      <c r="G36" s="33">
        <f t="shared" si="147"/>
        <v>0.17908096975089455</v>
      </c>
      <c r="H36" s="32">
        <f t="shared" si="147"/>
        <v>0.19830680745076787</v>
      </c>
      <c r="I36" s="32">
        <f t="shared" si="147"/>
        <v>0.22910355180632161</v>
      </c>
      <c r="J36" s="32">
        <f t="shared" si="147"/>
        <v>0.20892995144702331</v>
      </c>
      <c r="K36" s="33">
        <f t="shared" si="147"/>
        <v>0.21703435084578365</v>
      </c>
      <c r="L36" s="32">
        <f t="shared" si="147"/>
        <v>0.35036496350364965</v>
      </c>
      <c r="M36" s="32">
        <f t="shared" si="147"/>
        <v>0.3447024673439768</v>
      </c>
      <c r="N36" s="32">
        <f t="shared" si="147"/>
        <v>0.28615196078431371</v>
      </c>
      <c r="O36" s="33">
        <f t="shared" si="147"/>
        <v>0.26723163841807912</v>
      </c>
      <c r="P36" s="32">
        <f t="shared" si="147"/>
        <v>0.32145258910558172</v>
      </c>
      <c r="Q36" s="32">
        <f t="shared" si="147"/>
        <v>0.34287812041116006</v>
      </c>
      <c r="R36" s="32">
        <f t="shared" si="147"/>
        <v>0.24373956594323873</v>
      </c>
      <c r="S36" s="33">
        <f t="shared" si="147"/>
        <v>0.40017211703958694</v>
      </c>
      <c r="T36" s="32">
        <f t="shared" si="147"/>
        <v>0.37723024638912489</v>
      </c>
      <c r="U36" s="32">
        <f t="shared" si="147"/>
        <v>0.35895270270270269</v>
      </c>
      <c r="V36" s="32">
        <f t="shared" si="147"/>
        <v>0.3008595988538682</v>
      </c>
      <c r="W36" s="33">
        <f t="shared" si="147"/>
        <v>0.18286755771567437</v>
      </c>
      <c r="X36" s="32">
        <f t="shared" si="147"/>
        <v>0.20520965692503176</v>
      </c>
      <c r="Y36" s="32">
        <f t="shared" si="147"/>
        <v>0.22444041137326073</v>
      </c>
      <c r="Z36" s="32">
        <f t="shared" si="147"/>
        <v>0.2218788627935723</v>
      </c>
      <c r="AA36" s="33">
        <f t="shared" si="147"/>
        <v>0.21346270466949666</v>
      </c>
      <c r="AB36" s="32">
        <f t="shared" si="147"/>
        <v>0.22752634841909486</v>
      </c>
      <c r="AC36" s="32">
        <f t="shared" si="147"/>
        <v>0.23316391359593391</v>
      </c>
      <c r="AD36" s="32">
        <f t="shared" si="147"/>
        <v>0.21360946745562129</v>
      </c>
      <c r="AE36" s="33">
        <f t="shared" si="147"/>
        <v>0.21170904790065051</v>
      </c>
      <c r="AF36" s="32">
        <f t="shared" si="147"/>
        <v>0.23217665615141955</v>
      </c>
      <c r="AG36" s="32">
        <f t="shared" si="147"/>
        <v>0.24416135881104034</v>
      </c>
      <c r="AH36" s="32">
        <f t="shared" si="147"/>
        <v>0.25847123719464143</v>
      </c>
      <c r="AI36" s="32">
        <f t="shared" si="147"/>
        <v>0.27099567099567101</v>
      </c>
      <c r="AJ36" s="34">
        <f t="shared" ref="AJ36:AX36" si="148">AJ35/AJ9</f>
        <v>0.28676470588235292</v>
      </c>
      <c r="AK36" s="32">
        <f t="shared" si="148"/>
        <v>0.26528854435831178</v>
      </c>
      <c r="AL36" s="32">
        <f t="shared" si="148"/>
        <v>0.1971252566735113</v>
      </c>
      <c r="AM36" s="32">
        <f t="shared" si="148"/>
        <v>0.18439269981120202</v>
      </c>
      <c r="AN36" s="1852">
        <f t="shared" si="148"/>
        <v>0.19971367215461705</v>
      </c>
      <c r="AO36" s="1850">
        <f t="shared" si="148"/>
        <v>0.19222761970853575</v>
      </c>
      <c r="AP36" s="32">
        <f t="shared" si="148"/>
        <v>0.19454163750874737</v>
      </c>
      <c r="AQ36" s="32">
        <f t="shared" si="148"/>
        <v>0.19209039548022599</v>
      </c>
      <c r="AR36" s="34">
        <f t="shared" si="148"/>
        <v>0.23495145631067962</v>
      </c>
      <c r="AS36" s="32">
        <f t="shared" si="148"/>
        <v>0.2494692144373673</v>
      </c>
      <c r="AT36" s="32">
        <f t="shared" si="148"/>
        <v>0.22714420358152687</v>
      </c>
      <c r="AU36" s="33">
        <f t="shared" si="148"/>
        <v>0.23903966597077245</v>
      </c>
      <c r="AV36" s="34">
        <f t="shared" si="148"/>
        <v>0.29086538461538464</v>
      </c>
      <c r="AW36" s="32">
        <f t="shared" si="148"/>
        <v>0.23661148977604674</v>
      </c>
      <c r="AX36" s="32">
        <f t="shared" si="148"/>
        <v>0.19816373374139251</v>
      </c>
      <c r="AY36" s="33">
        <f t="shared" ref="AY36:BA36" si="149">AY35/AY9</f>
        <v>0.23869801084990958</v>
      </c>
      <c r="AZ36" s="1697">
        <f t="shared" si="149"/>
        <v>0.27032520325203252</v>
      </c>
      <c r="BA36" s="1696">
        <f t="shared" si="149"/>
        <v>0.22831423895253683</v>
      </c>
      <c r="BB36" s="1850">
        <f t="shared" ref="BB36:BD36" si="150">BB35/BB9</f>
        <v>0.19172245891661593</v>
      </c>
      <c r="BC36" s="33">
        <f t="shared" si="150"/>
        <v>0.20270270270270271</v>
      </c>
      <c r="BD36" s="1852">
        <f t="shared" si="150"/>
        <v>0.20825743776563449</v>
      </c>
      <c r="BE36" s="1850">
        <f t="shared" ref="BE36:BG36" si="151">BE35/BE9</f>
        <v>0.20248483021307559</v>
      </c>
      <c r="BF36" s="1850">
        <f t="shared" si="151"/>
        <v>0.21382855474012505</v>
      </c>
      <c r="BG36" s="1851">
        <f t="shared" si="151"/>
        <v>0.23072083728707868</v>
      </c>
      <c r="BH36" s="1913">
        <f t="shared" ref="BH36:BK36" si="152">BH35/BH9</f>
        <v>0.24529656185964774</v>
      </c>
      <c r="BI36" s="1850">
        <f t="shared" si="152"/>
        <v>0.23540714286597067</v>
      </c>
      <c r="BJ36" s="1850">
        <f t="shared" si="152"/>
        <v>0.22429156025783739</v>
      </c>
      <c r="BK36" s="1851">
        <f t="shared" si="152"/>
        <v>0.22902867187988918</v>
      </c>
      <c r="BL36" s="244"/>
      <c r="BM36" s="32">
        <f t="shared" ref="BM36:BY36" si="153">BM35/BM9</f>
        <v>0.19562243502051985</v>
      </c>
      <c r="BN36" s="32">
        <f t="shared" si="153"/>
        <v>0.21331209063551071</v>
      </c>
      <c r="BO36" s="32">
        <f t="shared" si="153"/>
        <v>0.30716780309329783</v>
      </c>
      <c r="BP36" s="32">
        <f t="shared" si="153"/>
        <v>0.31818181818181818</v>
      </c>
      <c r="BQ36" s="32">
        <f t="shared" si="153"/>
        <v>0.29428095502498614</v>
      </c>
      <c r="BR36" s="32">
        <f t="shared" si="153"/>
        <v>0.21635355712965815</v>
      </c>
      <c r="BS36" s="32">
        <f t="shared" si="153"/>
        <v>0.22122411693057248</v>
      </c>
      <c r="BT36" s="32">
        <f t="shared" si="153"/>
        <v>0.24972334931759499</v>
      </c>
      <c r="BU36" s="1850">
        <f t="shared" si="153"/>
        <v>0.2266465370824684</v>
      </c>
      <c r="BV36" s="1850">
        <f t="shared" ref="BV36:BX36" si="154">BV35/BV9</f>
        <v>0.19469669451507446</v>
      </c>
      <c r="BW36" s="1850">
        <f t="shared" si="154"/>
        <v>0.23728388874968678</v>
      </c>
      <c r="BX36" s="1850">
        <f t="shared" si="154"/>
        <v>0.23595505617977527</v>
      </c>
      <c r="BY36" s="1850">
        <f t="shared" si="153"/>
        <v>0.21767686245074122</v>
      </c>
      <c r="BZ36" s="1850">
        <f t="shared" ref="BZ36:CA36" si="155">BZ35/BZ9</f>
        <v>0.2136312920549536</v>
      </c>
      <c r="CA36" s="1850">
        <f t="shared" si="155"/>
        <v>0.23319310084519862</v>
      </c>
      <c r="CB36" s="1881">
        <f>CA36</f>
        <v>0.23319310084519862</v>
      </c>
      <c r="CC36" s="2191"/>
      <c r="CD36" s="13"/>
    </row>
    <row r="37" spans="1:88" ht="14.25" customHeight="1" collapsed="1">
      <c r="A37" s="7"/>
      <c r="B37" s="47"/>
      <c r="C37" s="48"/>
      <c r="D37" s="37"/>
      <c r="E37" s="37"/>
      <c r="F37" s="37"/>
      <c r="G37" s="38"/>
      <c r="H37" s="37"/>
      <c r="I37" s="37"/>
      <c r="J37" s="37"/>
      <c r="K37" s="38"/>
      <c r="L37" s="37"/>
      <c r="M37" s="37"/>
      <c r="N37" s="37"/>
      <c r="O37" s="38"/>
      <c r="P37" s="37"/>
      <c r="Q37" s="37"/>
      <c r="R37" s="37"/>
      <c r="S37" s="38"/>
      <c r="T37" s="37"/>
      <c r="U37" s="37"/>
      <c r="V37" s="37"/>
      <c r="W37" s="38"/>
      <c r="X37" s="37"/>
      <c r="Y37" s="37"/>
      <c r="Z37" s="37"/>
      <c r="AA37" s="38"/>
      <c r="AB37" s="37"/>
      <c r="AC37" s="37"/>
      <c r="AD37" s="37"/>
      <c r="AE37" s="38"/>
      <c r="AF37" s="37"/>
      <c r="AG37" s="37"/>
      <c r="AH37" s="37"/>
      <c r="AI37" s="37"/>
      <c r="AJ37" s="645"/>
      <c r="AK37" s="37"/>
      <c r="AL37" s="37"/>
      <c r="AM37" s="37"/>
      <c r="AN37" s="645"/>
      <c r="AO37" s="37"/>
      <c r="AP37" s="37"/>
      <c r="AQ37" s="37"/>
      <c r="AR37" s="645"/>
      <c r="AS37" s="37"/>
      <c r="AT37" s="37"/>
      <c r="AU37" s="38"/>
      <c r="AV37" s="645"/>
      <c r="AW37" s="37"/>
      <c r="AX37" s="37"/>
      <c r="AY37" s="38"/>
      <c r="AZ37" s="645"/>
      <c r="BA37" s="37"/>
      <c r="BB37" s="37"/>
      <c r="BC37" s="38"/>
      <c r="BD37" s="645"/>
      <c r="BE37" s="37"/>
      <c r="BF37" s="37"/>
      <c r="BG37" s="1640"/>
      <c r="BH37" s="1917"/>
      <c r="BI37" s="37"/>
      <c r="BJ37" s="37"/>
      <c r="BK37" s="1640"/>
      <c r="BL37" s="244"/>
      <c r="BM37" s="39"/>
      <c r="BN37" s="39"/>
      <c r="BO37" s="39"/>
      <c r="BP37" s="39"/>
      <c r="BQ37" s="39"/>
      <c r="BR37" s="39"/>
      <c r="BS37" s="39"/>
      <c r="BT37" s="39"/>
      <c r="BU37" s="39"/>
      <c r="BV37" s="39"/>
      <c r="BW37" s="39"/>
      <c r="BX37" s="39"/>
      <c r="BY37" s="39"/>
      <c r="BZ37" s="39"/>
      <c r="CA37" s="39"/>
      <c r="CB37" s="2076"/>
      <c r="CC37" s="2191"/>
      <c r="CD37" s="13"/>
    </row>
    <row r="38" spans="1:88" ht="14.25" customHeight="1">
      <c r="A38" s="7"/>
      <c r="B38" s="21" t="s">
        <v>175</v>
      </c>
      <c r="C38" s="22"/>
      <c r="D38" s="25">
        <v>211.714</v>
      </c>
      <c r="E38" s="25">
        <v>228.511</v>
      </c>
      <c r="F38" s="25">
        <v>258.74799999999999</v>
      </c>
      <c r="G38" s="359">
        <f>1016-SUM(D38:F38)</f>
        <v>317.02700000000004</v>
      </c>
      <c r="H38" s="25">
        <v>256.04199999999997</v>
      </c>
      <c r="I38" s="25">
        <v>309.52499999999998</v>
      </c>
      <c r="J38" s="25">
        <v>285.80599999999998</v>
      </c>
      <c r="K38" s="359">
        <f>1140-SUM(H38:J38)</f>
        <v>288.62699999999995</v>
      </c>
      <c r="L38" s="25">
        <v>335</v>
      </c>
      <c r="M38" s="25">
        <v>365</v>
      </c>
      <c r="N38" s="25">
        <v>352</v>
      </c>
      <c r="O38" s="359">
        <f>1373-SUM(L38:N38)</f>
        <v>321</v>
      </c>
      <c r="P38" s="25">
        <v>337</v>
      </c>
      <c r="Q38" s="25">
        <v>335</v>
      </c>
      <c r="R38" s="25">
        <v>315</v>
      </c>
      <c r="S38" s="359">
        <f>1304-SUM(P38:R38)</f>
        <v>317</v>
      </c>
      <c r="T38" s="25">
        <v>287</v>
      </c>
      <c r="U38" s="25">
        <v>247</v>
      </c>
      <c r="V38" s="25">
        <v>221</v>
      </c>
      <c r="W38" s="359">
        <f>994-V38-U38-T38</f>
        <v>239</v>
      </c>
      <c r="X38" s="25">
        <v>219</v>
      </c>
      <c r="Y38" s="25">
        <v>229</v>
      </c>
      <c r="Z38" s="25">
        <v>236</v>
      </c>
      <c r="AA38" s="359">
        <f>934-Z38-Y38-X38</f>
        <v>250</v>
      </c>
      <c r="AB38" s="25">
        <v>261</v>
      </c>
      <c r="AC38" s="25">
        <v>239</v>
      </c>
      <c r="AD38" s="25">
        <v>249</v>
      </c>
      <c r="AE38" s="26">
        <v>243</v>
      </c>
      <c r="AF38" s="25">
        <v>230</v>
      </c>
      <c r="AG38" s="25">
        <v>212</v>
      </c>
      <c r="AH38" s="25">
        <v>188</v>
      </c>
      <c r="AI38" s="25">
        <v>193</v>
      </c>
      <c r="AJ38" s="582">
        <v>179</v>
      </c>
      <c r="AK38" s="25">
        <v>171</v>
      </c>
      <c r="AL38" s="25">
        <v>155</v>
      </c>
      <c r="AM38" s="25">
        <v>169</v>
      </c>
      <c r="AN38" s="582">
        <v>156</v>
      </c>
      <c r="AO38" s="25">
        <v>154</v>
      </c>
      <c r="AP38" s="25">
        <v>150</v>
      </c>
      <c r="AQ38" s="25">
        <v>144</v>
      </c>
      <c r="AR38" s="582">
        <v>131</v>
      </c>
      <c r="AS38" s="25">
        <v>134</v>
      </c>
      <c r="AT38" s="25">
        <v>108</v>
      </c>
      <c r="AU38" s="26">
        <v>109</v>
      </c>
      <c r="AV38" s="582">
        <v>105</v>
      </c>
      <c r="AW38" s="25">
        <v>117</v>
      </c>
      <c r="AX38" s="25">
        <v>117</v>
      </c>
      <c r="AY38" s="26">
        <v>121</v>
      </c>
      <c r="AZ38" s="582">
        <v>121</v>
      </c>
      <c r="BA38" s="25">
        <v>125</v>
      </c>
      <c r="BB38" s="25">
        <v>132</v>
      </c>
      <c r="BC38" s="26">
        <v>133</v>
      </c>
      <c r="BD38" s="582">
        <v>134</v>
      </c>
      <c r="BE38" s="1884">
        <v>138</v>
      </c>
      <c r="BF38" s="1884">
        <f t="shared" ref="BF38" si="156">BE38</f>
        <v>138</v>
      </c>
      <c r="BG38" s="1886">
        <v>138</v>
      </c>
      <c r="BH38" s="1885">
        <f>BG38</f>
        <v>138</v>
      </c>
      <c r="BI38" s="1884">
        <f>BH38</f>
        <v>138</v>
      </c>
      <c r="BJ38" s="1884">
        <f>BI38</f>
        <v>138</v>
      </c>
      <c r="BK38" s="1886">
        <f>BJ38</f>
        <v>138</v>
      </c>
      <c r="BL38" s="244"/>
      <c r="BM38" s="27">
        <f>SUM(D38:G38)</f>
        <v>1016</v>
      </c>
      <c r="BN38" s="27">
        <f>SUM(H38:K38)</f>
        <v>1140</v>
      </c>
      <c r="BO38" s="27">
        <f>SUM(L38:O38)</f>
        <v>1373</v>
      </c>
      <c r="BP38" s="27">
        <f>SUM(P38:S38)</f>
        <v>1304</v>
      </c>
      <c r="BQ38" s="27">
        <f>SUM(T38:W38)</f>
        <v>994</v>
      </c>
      <c r="BR38" s="27">
        <f>SUM(X38:AA38)</f>
        <v>934</v>
      </c>
      <c r="BS38" s="27">
        <f>SUM(AB38:AE38)</f>
        <v>992</v>
      </c>
      <c r="BT38" s="27">
        <f>SUM(AF38:AI38)</f>
        <v>823</v>
      </c>
      <c r="BU38" s="27">
        <f>SUM(AJ38:AM38)</f>
        <v>674</v>
      </c>
      <c r="BV38" s="27">
        <f>SUM(AN38:AQ38)</f>
        <v>604</v>
      </c>
      <c r="BW38" s="27">
        <f>+SUM(AR38:AU38)</f>
        <v>482</v>
      </c>
      <c r="BX38" s="27">
        <f t="shared" ref="BX38" si="157">+SUM(AV38:AY38)</f>
        <v>460</v>
      </c>
      <c r="BY38" s="1491">
        <f>SUM(AZ38:BC38)</f>
        <v>511</v>
      </c>
      <c r="BZ38" s="1491">
        <f>SUM(BD38:BG38)</f>
        <v>548</v>
      </c>
      <c r="CA38" s="1491">
        <f>SUM(BH38:BK38)</f>
        <v>552</v>
      </c>
      <c r="CB38" s="2075">
        <f>CB45+CB42</f>
        <v>552</v>
      </c>
      <c r="CC38" s="2191"/>
      <c r="CD38" s="860"/>
    </row>
    <row r="39" spans="1:88" ht="14.25" customHeight="1">
      <c r="A39" s="7"/>
      <c r="B39" s="30" t="s">
        <v>436</v>
      </c>
      <c r="C39" s="31"/>
      <c r="D39" s="32">
        <f t="shared" ref="D39:AI39" si="158">D38/D9</f>
        <v>0.17259837538357189</v>
      </c>
      <c r="E39" s="32">
        <f t="shared" si="158"/>
        <v>0.18136973993545613</v>
      </c>
      <c r="F39" s="32">
        <f t="shared" si="158"/>
        <v>0.16992096561823797</v>
      </c>
      <c r="G39" s="33">
        <f t="shared" si="158"/>
        <v>0.17241919422374191</v>
      </c>
      <c r="H39" s="32">
        <f t="shared" si="158"/>
        <v>0.19220092511548931</v>
      </c>
      <c r="I39" s="32">
        <f t="shared" si="158"/>
        <v>0.25446678510679754</v>
      </c>
      <c r="J39" s="32">
        <f t="shared" si="158"/>
        <v>0.21527663747663112</v>
      </c>
      <c r="K39" s="33">
        <f t="shared" si="158"/>
        <v>0.16280368423101066</v>
      </c>
      <c r="L39" s="32">
        <f t="shared" si="158"/>
        <v>0.27169505271695055</v>
      </c>
      <c r="M39" s="32">
        <f t="shared" si="158"/>
        <v>0.26487663280116108</v>
      </c>
      <c r="N39" s="32">
        <f t="shared" si="158"/>
        <v>0.21568627450980393</v>
      </c>
      <c r="O39" s="33">
        <f t="shared" si="158"/>
        <v>0.18135593220338983</v>
      </c>
      <c r="P39" s="32">
        <f t="shared" si="158"/>
        <v>0.22663080026899798</v>
      </c>
      <c r="Q39" s="32">
        <f t="shared" si="158"/>
        <v>0.24596182085168869</v>
      </c>
      <c r="R39" s="32">
        <f t="shared" si="158"/>
        <v>0.17529215358931552</v>
      </c>
      <c r="S39" s="33">
        <f t="shared" si="158"/>
        <v>0.2728055077452668</v>
      </c>
      <c r="T39" s="32">
        <f t="shared" si="158"/>
        <v>0.24384027187765506</v>
      </c>
      <c r="U39" s="32">
        <f t="shared" si="158"/>
        <v>0.20861486486486486</v>
      </c>
      <c r="V39" s="32">
        <f t="shared" si="158"/>
        <v>0.15830945558739254</v>
      </c>
      <c r="W39" s="33">
        <f t="shared" si="158"/>
        <v>0.14520048602673147</v>
      </c>
      <c r="X39" s="32">
        <f t="shared" si="158"/>
        <v>0.13913595933926304</v>
      </c>
      <c r="Y39" s="32">
        <f t="shared" si="158"/>
        <v>0.13853599516031459</v>
      </c>
      <c r="Z39" s="32">
        <f t="shared" si="158"/>
        <v>0.14585908529048208</v>
      </c>
      <c r="AA39" s="33">
        <f t="shared" si="158"/>
        <v>0.15160703456640387</v>
      </c>
      <c r="AB39" s="32">
        <f t="shared" si="158"/>
        <v>0.16181029138251704</v>
      </c>
      <c r="AC39" s="32">
        <f t="shared" si="158"/>
        <v>0.15184243964421856</v>
      </c>
      <c r="AD39" s="32">
        <f t="shared" si="158"/>
        <v>0.14733727810650887</v>
      </c>
      <c r="AE39" s="33">
        <f t="shared" si="158"/>
        <v>0.14370195150798346</v>
      </c>
      <c r="AF39" s="32">
        <f t="shared" si="158"/>
        <v>0.14511041009463724</v>
      </c>
      <c r="AG39" s="32">
        <f t="shared" si="158"/>
        <v>0.15003538570417552</v>
      </c>
      <c r="AH39" s="32">
        <f t="shared" si="158"/>
        <v>0.14814814814814814</v>
      </c>
      <c r="AI39" s="32">
        <f t="shared" si="158"/>
        <v>0.16709956709956711</v>
      </c>
      <c r="AJ39" s="34">
        <f t="shared" ref="AJ39:AX39" si="159">AJ38/AJ9</f>
        <v>0.16452205882352941</v>
      </c>
      <c r="AK39" s="32">
        <f t="shared" si="159"/>
        <v>0.14728682170542637</v>
      </c>
      <c r="AL39" s="32">
        <f t="shared" si="159"/>
        <v>0.10609171800136892</v>
      </c>
      <c r="AM39" s="32">
        <f t="shared" si="159"/>
        <v>0.10635619886721208</v>
      </c>
      <c r="AN39" s="1852">
        <f t="shared" si="159"/>
        <v>0.11166785969935576</v>
      </c>
      <c r="AO39" s="1850">
        <f t="shared" si="159"/>
        <v>0.10687022900763359</v>
      </c>
      <c r="AP39" s="32">
        <f t="shared" si="159"/>
        <v>0.10496850944716585</v>
      </c>
      <c r="AQ39" s="32">
        <f t="shared" si="159"/>
        <v>0.11622276029055691</v>
      </c>
      <c r="AR39" s="34">
        <f t="shared" si="159"/>
        <v>0.12718446601941746</v>
      </c>
      <c r="AS39" s="32">
        <f t="shared" si="159"/>
        <v>0.14225053078556263</v>
      </c>
      <c r="AT39" s="32">
        <f t="shared" si="159"/>
        <v>0.10179076343072573</v>
      </c>
      <c r="AU39" s="33">
        <f t="shared" si="159"/>
        <v>0.11377870563674322</v>
      </c>
      <c r="AV39" s="34">
        <f t="shared" si="159"/>
        <v>0.12620192307692307</v>
      </c>
      <c r="AW39" s="32">
        <f t="shared" si="159"/>
        <v>0.11392405063291139</v>
      </c>
      <c r="AX39" s="32">
        <f t="shared" si="159"/>
        <v>8.9517980107115536E-2</v>
      </c>
      <c r="AY39" s="33">
        <f t="shared" ref="AY39:BA39" si="160">AY38/AY9</f>
        <v>0.10940325497287523</v>
      </c>
      <c r="AZ39" s="1697">
        <f t="shared" si="160"/>
        <v>0.12296747967479675</v>
      </c>
      <c r="BA39" s="1696">
        <f t="shared" si="160"/>
        <v>0.10229132569558101</v>
      </c>
      <c r="BB39" s="1850">
        <f t="shared" ref="BB39:BD39" si="161">BB38/BB9</f>
        <v>8.0340839926962879E-2</v>
      </c>
      <c r="BC39" s="33">
        <f t="shared" si="161"/>
        <v>8.9864864864864863E-2</v>
      </c>
      <c r="BD39" s="1852">
        <f t="shared" si="161"/>
        <v>8.1360048573163327E-2</v>
      </c>
      <c r="BE39" s="1850">
        <f t="shared" ref="BE39:BG39" si="162">BE38/BE9</f>
        <v>7.9836875912584079E-2</v>
      </c>
      <c r="BF39" s="1850">
        <f t="shared" si="162"/>
        <v>7.9752271767938532E-2</v>
      </c>
      <c r="BG39" s="1851">
        <f t="shared" si="162"/>
        <v>8.490526812164495E-2</v>
      </c>
      <c r="BH39" s="1913">
        <f t="shared" ref="BH39:BK39" si="163">BH38/BH9</f>
        <v>8.908138299113523E-2</v>
      </c>
      <c r="BI39" s="1850">
        <f t="shared" si="163"/>
        <v>8.4379703157153124E-2</v>
      </c>
      <c r="BJ39" s="1850">
        <f t="shared" si="163"/>
        <v>8.0395416404107939E-2</v>
      </c>
      <c r="BK39" s="1851">
        <f t="shared" si="163"/>
        <v>8.104091466519156E-2</v>
      </c>
      <c r="BL39" s="244"/>
      <c r="BM39" s="32">
        <f t="shared" ref="BM39:BU39" si="164">BM38/BM9</f>
        <v>0.17373461012311903</v>
      </c>
      <c r="BN39" s="32">
        <f t="shared" si="164"/>
        <v>0.20180562931492299</v>
      </c>
      <c r="BO39" s="32">
        <f t="shared" si="164"/>
        <v>0.2283385997006486</v>
      </c>
      <c r="BP39" s="32">
        <f t="shared" si="164"/>
        <v>0.22451790633608815</v>
      </c>
      <c r="BQ39" s="32">
        <f t="shared" si="164"/>
        <v>0.18397186748102906</v>
      </c>
      <c r="BR39" s="32">
        <f t="shared" si="164"/>
        <v>0.1438250692947336</v>
      </c>
      <c r="BS39" s="32">
        <f t="shared" si="164"/>
        <v>0.15103532277710111</v>
      </c>
      <c r="BT39" s="32">
        <f t="shared" si="164"/>
        <v>0.15178900774621912</v>
      </c>
      <c r="BU39" s="1850">
        <f t="shared" si="164"/>
        <v>0.12719381015285902</v>
      </c>
      <c r="BV39" s="1850">
        <f>BV38/BV9</f>
        <v>0.10969851071558299</v>
      </c>
      <c r="BW39" s="1850">
        <f t="shared" ref="BW39:BX39" si="165">BW38/BW9</f>
        <v>0.12077173640691556</v>
      </c>
      <c r="BX39" s="1850">
        <f t="shared" si="165"/>
        <v>0.10767790262172285</v>
      </c>
      <c r="BY39" s="327">
        <f>BY38/BY9</f>
        <v>9.5890410958904104E-2</v>
      </c>
      <c r="BZ39" s="327">
        <f t="shared" ref="BZ39:CB39" si="166">BZ38/BZ9</f>
        <v>8.1411646763640183E-2</v>
      </c>
      <c r="CA39" s="327">
        <f t="shared" si="166"/>
        <v>8.3586098484772497E-2</v>
      </c>
      <c r="CB39" s="2078">
        <f t="shared" si="166"/>
        <v>8.3586098484772497E-2</v>
      </c>
      <c r="CC39" s="2191"/>
      <c r="CD39" s="13"/>
    </row>
    <row r="40" spans="1:88" ht="14.25" hidden="1" customHeight="1" outlineLevel="1">
      <c r="A40" s="7"/>
      <c r="B40" s="30" t="s">
        <v>437</v>
      </c>
      <c r="C40" s="31"/>
      <c r="D40" s="32"/>
      <c r="E40" s="32">
        <f t="shared" ref="E40:AJ40" si="167">(E38/D38-1)/E11</f>
        <v>2.9233527522789018</v>
      </c>
      <c r="F40" s="32">
        <f t="shared" si="167"/>
        <v>0.63428927499729604</v>
      </c>
      <c r="G40" s="33">
        <f t="shared" si="167"/>
        <v>1.0855629475485824</v>
      </c>
      <c r="H40" s="32">
        <f t="shared" si="167"/>
        <v>0.69826908336664428</v>
      </c>
      <c r="I40" s="32">
        <f t="shared" si="167"/>
        <v>-2.4031754660000257</v>
      </c>
      <c r="J40" s="32">
        <f t="shared" si="167"/>
        <v>-0.83781037473602749</v>
      </c>
      <c r="K40" s="33">
        <f t="shared" si="167"/>
        <v>2.9432068770411164E-2</v>
      </c>
      <c r="L40" s="32">
        <f t="shared" si="167"/>
        <v>-0.52762509664703272</v>
      </c>
      <c r="M40" s="32">
        <f t="shared" si="167"/>
        <v>0.76150283067421609</v>
      </c>
      <c r="N40" s="32">
        <f t="shared" si="167"/>
        <v>-0.19322618919210416</v>
      </c>
      <c r="O40" s="33">
        <f t="shared" si="167"/>
        <v>-1.0415019762845854</v>
      </c>
      <c r="P40" s="32">
        <f t="shared" si="167"/>
        <v>-0.3117466398071399</v>
      </c>
      <c r="Q40" s="32">
        <f t="shared" si="167"/>
        <v>7.059940652818969E-2</v>
      </c>
      <c r="R40" s="32">
        <f t="shared" si="167"/>
        <v>-0.18692743180648469</v>
      </c>
      <c r="S40" s="33">
        <f t="shared" si="167"/>
        <v>-1.7967754030746096E-2</v>
      </c>
      <c r="T40" s="32">
        <f t="shared" si="167"/>
        <v>-7.3312302839116859</v>
      </c>
      <c r="U40" s="32">
        <f t="shared" si="167"/>
        <v>-23.43454454952716</v>
      </c>
      <c r="V40" s="32">
        <f t="shared" si="167"/>
        <v>-0.58788480635551177</v>
      </c>
      <c r="W40" s="33">
        <f t="shared" si="167"/>
        <v>0.4548054298642531</v>
      </c>
      <c r="X40" s="32">
        <f t="shared" si="167"/>
        <v>1.9130636913063677</v>
      </c>
      <c r="Y40" s="32">
        <f t="shared" si="167"/>
        <v>0.90977400150280396</v>
      </c>
      <c r="Z40" s="32">
        <f t="shared" si="167"/>
        <v>-1.443668122270743</v>
      </c>
      <c r="AA40" s="33">
        <f t="shared" si="167"/>
        <v>3.0962274466921902</v>
      </c>
      <c r="AB40" s="32">
        <f t="shared" si="167"/>
        <v>-2.015444444444443</v>
      </c>
      <c r="AC40" s="32">
        <f t="shared" si="167"/>
        <v>3.4861970724039715</v>
      </c>
      <c r="AD40" s="32">
        <f t="shared" si="167"/>
        <v>0.56773914298081063</v>
      </c>
      <c r="AE40" s="33">
        <f t="shared" si="167"/>
        <v>-40.722891566266327</v>
      </c>
      <c r="AF40" s="32">
        <f t="shared" si="167"/>
        <v>0.85344359034086492</v>
      </c>
      <c r="AG40" s="32">
        <f t="shared" si="167"/>
        <v>0.72118301314459066</v>
      </c>
      <c r="AH40" s="32">
        <f t="shared" si="167"/>
        <v>1.1108490566037736</v>
      </c>
      <c r="AI40" s="32">
        <f t="shared" si="167"/>
        <v>-0.29605263157894807</v>
      </c>
      <c r="AJ40" s="1005">
        <f t="shared" si="167"/>
        <v>1.2504833346222275</v>
      </c>
      <c r="AK40" s="32">
        <f t="shared" ref="AK40:BD40" si="168">(AK38/AJ38-1)/AK11</f>
        <v>-0.66610545649345576</v>
      </c>
      <c r="AL40" s="32">
        <f t="shared" si="168"/>
        <v>-0.3621052631578946</v>
      </c>
      <c r="AM40" s="32">
        <f t="shared" si="168"/>
        <v>1.0309475806451609</v>
      </c>
      <c r="AN40" s="1005">
        <f t="shared" si="168"/>
        <v>0.63661858974358942</v>
      </c>
      <c r="AO40" s="1850">
        <f t="shared" si="168"/>
        <v>-0.40705128205128133</v>
      </c>
      <c r="AP40" s="32">
        <f t="shared" si="168"/>
        <v>3.1190476190476111</v>
      </c>
      <c r="AQ40" s="32">
        <f t="shared" si="168"/>
        <v>0.30084210526315808</v>
      </c>
      <c r="AR40" s="1005">
        <f t="shared" si="168"/>
        <v>0.53518740031897938</v>
      </c>
      <c r="AS40" s="32">
        <f t="shared" si="168"/>
        <v>-0.26804302567661265</v>
      </c>
      <c r="AT40" s="32">
        <f t="shared" si="168"/>
        <v>-1.535933776495672</v>
      </c>
      <c r="AU40" s="33">
        <f t="shared" si="168"/>
        <v>-9.5379359942467185E-2</v>
      </c>
      <c r="AV40" s="1005">
        <f t="shared" si="168"/>
        <v>0.2790155817678755</v>
      </c>
      <c r="AW40" s="1696">
        <f t="shared" si="168"/>
        <v>0.48761904761904779</v>
      </c>
      <c r="AX40" s="1696">
        <f t="shared" si="168"/>
        <v>0</v>
      </c>
      <c r="AY40" s="33">
        <f t="shared" si="168"/>
        <v>-0.22230726708338713</v>
      </c>
      <c r="AZ40" s="1005">
        <f t="shared" si="168"/>
        <v>0</v>
      </c>
      <c r="BA40" s="1696">
        <f t="shared" si="168"/>
        <v>0.13667615806653191</v>
      </c>
      <c r="BB40" s="1850">
        <f t="shared" si="168"/>
        <v>0.16254631828978636</v>
      </c>
      <c r="BC40" s="33">
        <f t="shared" si="168"/>
        <v>-7.6361777282022647E-2</v>
      </c>
      <c r="BD40" s="1005">
        <f t="shared" si="168"/>
        <v>6.6633649993247071E-2</v>
      </c>
      <c r="BE40" s="1850">
        <f t="shared" ref="BE40" si="169">(BE38/BD38-1)/BE11</f>
        <v>0.60305980445846774</v>
      </c>
      <c r="BF40" s="1850">
        <f t="shared" ref="BF40" si="170">(BF38/BE38-1)/BF11</f>
        <v>0</v>
      </c>
      <c r="BG40" s="1851">
        <f t="shared" ref="BG40" si="171">(BG38/BF38-1)/BG11</f>
        <v>0</v>
      </c>
      <c r="BH40" s="1913">
        <f t="shared" ref="BH40" si="172">(BH38/BG38-1)/BH11</f>
        <v>0</v>
      </c>
      <c r="BI40" s="1850">
        <f t="shared" ref="BI40" si="173">(BI38/BH38-1)/BI11</f>
        <v>0</v>
      </c>
      <c r="BJ40" s="1850">
        <f t="shared" ref="BJ40" si="174">(BJ38/BI38-1)/BJ11</f>
        <v>0</v>
      </c>
      <c r="BK40" s="1851">
        <f t="shared" ref="BK40" si="175">(BK38/BJ38-1)/BK11</f>
        <v>0</v>
      </c>
      <c r="BL40" s="244"/>
      <c r="BM40" s="32"/>
      <c r="BN40" s="32">
        <f t="shared" ref="BN40:BU40" si="176">(BN38/BM38-1)/BN12</f>
        <v>-3.5865943892691798</v>
      </c>
      <c r="BO40" s="32">
        <f t="shared" si="176"/>
        <v>3.1719129554655927</v>
      </c>
      <c r="BP40" s="32">
        <f t="shared" si="176"/>
        <v>1.4740624944486875</v>
      </c>
      <c r="BQ40" s="32">
        <f t="shared" si="176"/>
        <v>3.4092251760963408</v>
      </c>
      <c r="BR40" s="32">
        <f t="shared" si="176"/>
        <v>-0.29893384136164342</v>
      </c>
      <c r="BS40" s="32">
        <f t="shared" si="176"/>
        <v>5.4495630534173971</v>
      </c>
      <c r="BT40" s="32">
        <f t="shared" si="176"/>
        <v>0.97639053087879324</v>
      </c>
      <c r="BU40" s="1850">
        <f t="shared" si="176"/>
        <v>7.9806972310306463</v>
      </c>
      <c r="BV40" s="1850"/>
      <c r="BW40" s="1850"/>
      <c r="BX40" s="1850"/>
      <c r="BY40" s="1655"/>
      <c r="BZ40" s="1655"/>
      <c r="CA40" s="1655"/>
      <c r="CB40" s="2079"/>
      <c r="CC40" s="2191"/>
      <c r="CD40" s="13"/>
    </row>
    <row r="41" spans="1:88" ht="14.25" customHeight="1" collapsed="1">
      <c r="A41" s="7"/>
      <c r="B41" s="30" t="s">
        <v>558</v>
      </c>
      <c r="C41" s="48"/>
      <c r="D41" s="37"/>
      <c r="E41" s="37"/>
      <c r="F41" s="41"/>
      <c r="G41" s="38"/>
      <c r="H41" s="37"/>
      <c r="I41" s="37"/>
      <c r="J41" s="41"/>
      <c r="K41" s="38"/>
      <c r="L41" s="37"/>
      <c r="M41" s="37"/>
      <c r="N41" s="41"/>
      <c r="O41" s="38"/>
      <c r="P41" s="37"/>
      <c r="Q41" s="37"/>
      <c r="R41" s="41"/>
      <c r="S41" s="38"/>
      <c r="T41" s="37"/>
      <c r="U41" s="37"/>
      <c r="V41" s="41"/>
      <c r="W41" s="38"/>
      <c r="X41" s="37"/>
      <c r="Y41" s="37"/>
      <c r="Z41" s="41"/>
      <c r="AA41" s="38"/>
      <c r="AB41" s="37"/>
      <c r="AC41" s="37"/>
      <c r="AD41" s="41"/>
      <c r="AE41" s="38"/>
      <c r="AF41" s="37"/>
      <c r="AG41" s="37"/>
      <c r="AH41" s="37"/>
      <c r="AI41" s="37"/>
      <c r="AJ41" s="645"/>
      <c r="AK41" s="37"/>
      <c r="AL41" s="37"/>
      <c r="AM41" s="37"/>
      <c r="AN41" s="582">
        <v>12</v>
      </c>
      <c r="AO41" s="25"/>
      <c r="AP41" s="25"/>
      <c r="AQ41" s="26">
        <v>6</v>
      </c>
      <c r="AR41" s="582">
        <v>6</v>
      </c>
      <c r="AS41" s="25">
        <v>6</v>
      </c>
      <c r="AT41" s="25">
        <v>3</v>
      </c>
      <c r="AU41" s="26">
        <v>6</v>
      </c>
      <c r="AV41" s="582">
        <v>6</v>
      </c>
      <c r="AW41" s="25">
        <v>8</v>
      </c>
      <c r="AX41" s="25">
        <v>8</v>
      </c>
      <c r="AY41" s="26">
        <v>13</v>
      </c>
      <c r="AZ41" s="582">
        <v>9</v>
      </c>
      <c r="BA41" s="25">
        <v>9</v>
      </c>
      <c r="BB41" s="25">
        <v>12</v>
      </c>
      <c r="BC41" s="26">
        <v>9</v>
      </c>
      <c r="BD41" s="582">
        <v>10</v>
      </c>
      <c r="BE41" s="1884">
        <v>12</v>
      </c>
      <c r="BF41" s="1884">
        <f t="shared" ref="BF41:BK41" si="177">BE41</f>
        <v>12</v>
      </c>
      <c r="BG41" s="1886">
        <f t="shared" si="177"/>
        <v>12</v>
      </c>
      <c r="BH41" s="1885">
        <f t="shared" si="177"/>
        <v>12</v>
      </c>
      <c r="BI41" s="1884">
        <f t="shared" si="177"/>
        <v>12</v>
      </c>
      <c r="BJ41" s="1884">
        <f t="shared" si="177"/>
        <v>12</v>
      </c>
      <c r="BK41" s="1886">
        <f t="shared" si="177"/>
        <v>12</v>
      </c>
      <c r="BL41" s="244"/>
      <c r="BM41" s="32"/>
      <c r="BN41" s="32"/>
      <c r="BO41" s="32"/>
      <c r="BP41" s="32"/>
      <c r="BQ41" s="32"/>
      <c r="BR41" s="32"/>
      <c r="BS41" s="32"/>
      <c r="BT41" s="32"/>
      <c r="BU41" s="1850"/>
      <c r="BV41" s="1850">
        <f>SUM(AN41:AQ41)</f>
        <v>18</v>
      </c>
      <c r="BW41" s="1850">
        <f>+SUM(AR41:AU41)</f>
        <v>21</v>
      </c>
      <c r="BX41" s="1850">
        <f>+SUM(AV41:AY41)</f>
        <v>35</v>
      </c>
      <c r="BY41" s="1491">
        <f>SUM(AZ41:BC41)</f>
        <v>39</v>
      </c>
      <c r="BZ41" s="1491">
        <f>SUM(BD41:BG41)</f>
        <v>46</v>
      </c>
      <c r="CA41" s="1491">
        <f>SUM(BH41:BK41)</f>
        <v>48</v>
      </c>
      <c r="CB41" s="2075">
        <f>CA41</f>
        <v>48</v>
      </c>
      <c r="CC41" s="2191"/>
      <c r="CD41" s="13"/>
    </row>
    <row r="42" spans="1:88" ht="14.25" hidden="1" customHeight="1" outlineLevel="1">
      <c r="A42" s="7"/>
      <c r="B42" s="101" t="s">
        <v>425</v>
      </c>
      <c r="C42" s="24"/>
      <c r="D42" s="25">
        <v>0</v>
      </c>
      <c r="E42" s="25">
        <v>0</v>
      </c>
      <c r="F42" s="25">
        <v>0</v>
      </c>
      <c r="G42" s="26">
        <v>0</v>
      </c>
      <c r="H42" s="25">
        <v>0</v>
      </c>
      <c r="I42" s="25">
        <v>0</v>
      </c>
      <c r="J42" s="25">
        <v>0</v>
      </c>
      <c r="K42" s="26">
        <v>0</v>
      </c>
      <c r="L42" s="25">
        <v>0</v>
      </c>
      <c r="M42" s="25">
        <v>0</v>
      </c>
      <c r="N42" s="25">
        <v>0</v>
      </c>
      <c r="O42" s="26">
        <v>0</v>
      </c>
      <c r="P42" s="25">
        <v>0</v>
      </c>
      <c r="Q42" s="25">
        <v>0</v>
      </c>
      <c r="R42" s="25">
        <v>0</v>
      </c>
      <c r="S42" s="26">
        <v>0</v>
      </c>
      <c r="T42" s="25">
        <v>0</v>
      </c>
      <c r="U42" s="25">
        <v>0</v>
      </c>
      <c r="V42" s="25">
        <v>0</v>
      </c>
      <c r="W42" s="26">
        <v>30</v>
      </c>
      <c r="X42" s="25">
        <v>0</v>
      </c>
      <c r="Y42" s="25">
        <v>0</v>
      </c>
      <c r="Z42" s="25">
        <v>0</v>
      </c>
      <c r="AA42" s="26">
        <v>0</v>
      </c>
      <c r="AB42" s="25">
        <v>0</v>
      </c>
      <c r="AC42" s="25">
        <v>0</v>
      </c>
      <c r="AD42" s="25">
        <v>0</v>
      </c>
      <c r="AE42" s="26">
        <v>0</v>
      </c>
      <c r="AF42" s="25">
        <v>0</v>
      </c>
      <c r="AG42" s="25">
        <v>0</v>
      </c>
      <c r="AH42" s="25">
        <v>0</v>
      </c>
      <c r="AI42" s="25">
        <v>0</v>
      </c>
      <c r="AJ42" s="488">
        <v>0</v>
      </c>
      <c r="AK42" s="485">
        <v>0</v>
      </c>
      <c r="AL42" s="485">
        <v>0</v>
      </c>
      <c r="AM42" s="485">
        <v>0</v>
      </c>
      <c r="AN42" s="488">
        <v>0</v>
      </c>
      <c r="AO42" s="485">
        <v>0</v>
      </c>
      <c r="AP42" s="485">
        <v>0</v>
      </c>
      <c r="AQ42" s="485">
        <v>0</v>
      </c>
      <c r="AR42" s="488">
        <v>0</v>
      </c>
      <c r="AS42" s="485">
        <v>0</v>
      </c>
      <c r="AT42" s="485">
        <v>0</v>
      </c>
      <c r="AU42" s="487">
        <v>0</v>
      </c>
      <c r="AV42" s="488">
        <v>0</v>
      </c>
      <c r="AW42" s="485">
        <v>0</v>
      </c>
      <c r="AX42" s="485">
        <v>0</v>
      </c>
      <c r="AY42" s="487">
        <v>0</v>
      </c>
      <c r="AZ42" s="488">
        <v>0</v>
      </c>
      <c r="BA42" s="485">
        <v>0</v>
      </c>
      <c r="BB42" s="485">
        <v>0</v>
      </c>
      <c r="BC42" s="487">
        <v>0</v>
      </c>
      <c r="BD42" s="488">
        <v>0</v>
      </c>
      <c r="BE42" s="863">
        <v>0</v>
      </c>
      <c r="BF42" s="863">
        <v>0</v>
      </c>
      <c r="BG42" s="1638">
        <v>0</v>
      </c>
      <c r="BH42" s="2016">
        <v>0</v>
      </c>
      <c r="BI42" s="863">
        <v>0</v>
      </c>
      <c r="BJ42" s="863">
        <v>0</v>
      </c>
      <c r="BK42" s="1638">
        <v>0</v>
      </c>
      <c r="BL42" s="244"/>
      <c r="BM42" s="27">
        <f>SUM(D42:G42)</f>
        <v>0</v>
      </c>
      <c r="BN42" s="27">
        <f>SUM(H42:K42)</f>
        <v>0</v>
      </c>
      <c r="BO42" s="27">
        <f>SUM(L42:O42)</f>
        <v>0</v>
      </c>
      <c r="BP42" s="27">
        <f>SUM(P42:S42)</f>
        <v>0</v>
      </c>
      <c r="BQ42" s="27">
        <f>SUM(T42:W42)</f>
        <v>30</v>
      </c>
      <c r="BR42" s="27">
        <f>SUM(X42:AA42)</f>
        <v>0</v>
      </c>
      <c r="BS42" s="27">
        <f>SUM(AB42:AE42)</f>
        <v>0</v>
      </c>
      <c r="BT42" s="27">
        <f>SUM(AF42:AI42)</f>
        <v>0</v>
      </c>
      <c r="BU42" s="27">
        <f>SUM(AJ42:AM42)</f>
        <v>0</v>
      </c>
      <c r="BV42" s="27">
        <f>SUM(AN42:AR42)</f>
        <v>0</v>
      </c>
      <c r="BW42" s="27">
        <f>SUM(AR42:AU42)</f>
        <v>0</v>
      </c>
      <c r="BX42" s="27">
        <f t="shared" ref="BX42" si="178">+SUM(AV42:AY42)</f>
        <v>0</v>
      </c>
      <c r="BY42" s="1491">
        <f>SUM(AZ42:BC42)</f>
        <v>0</v>
      </c>
      <c r="BZ42" s="1491">
        <f>SUM(BD42:BG42)</f>
        <v>0</v>
      </c>
      <c r="CA42" s="1491">
        <f>SUM(BH42:BK42)</f>
        <v>0</v>
      </c>
      <c r="CB42" s="2075">
        <f>CA42</f>
        <v>0</v>
      </c>
      <c r="CC42" s="2191"/>
      <c r="CD42" s="13"/>
    </row>
    <row r="43" spans="1:88" ht="14.25" hidden="1" customHeight="1" outlineLevel="1">
      <c r="A43" s="7"/>
      <c r="B43" s="101" t="s">
        <v>611</v>
      </c>
      <c r="C43" s="24"/>
      <c r="D43" s="27">
        <f t="shared" ref="D43:AI43" si="179">+D38-D42-D41</f>
        <v>211.714</v>
      </c>
      <c r="E43" s="27">
        <f t="shared" si="179"/>
        <v>228.511</v>
      </c>
      <c r="F43" s="27">
        <f t="shared" si="179"/>
        <v>258.74799999999999</v>
      </c>
      <c r="G43" s="28">
        <f t="shared" si="179"/>
        <v>317.02700000000004</v>
      </c>
      <c r="H43" s="27">
        <f t="shared" si="179"/>
        <v>256.04199999999997</v>
      </c>
      <c r="I43" s="27">
        <f t="shared" si="179"/>
        <v>309.52499999999998</v>
      </c>
      <c r="J43" s="27">
        <f t="shared" si="179"/>
        <v>285.80599999999998</v>
      </c>
      <c r="K43" s="28">
        <f t="shared" si="179"/>
        <v>288.62699999999995</v>
      </c>
      <c r="L43" s="27">
        <f t="shared" si="179"/>
        <v>335</v>
      </c>
      <c r="M43" s="27">
        <f t="shared" si="179"/>
        <v>365</v>
      </c>
      <c r="N43" s="27">
        <f t="shared" si="179"/>
        <v>352</v>
      </c>
      <c r="O43" s="28">
        <f t="shared" si="179"/>
        <v>321</v>
      </c>
      <c r="P43" s="27">
        <f t="shared" si="179"/>
        <v>337</v>
      </c>
      <c r="Q43" s="27">
        <f t="shared" si="179"/>
        <v>335</v>
      </c>
      <c r="R43" s="27">
        <f t="shared" si="179"/>
        <v>315</v>
      </c>
      <c r="S43" s="28">
        <f t="shared" si="179"/>
        <v>317</v>
      </c>
      <c r="T43" s="27">
        <f t="shared" si="179"/>
        <v>287</v>
      </c>
      <c r="U43" s="27">
        <f t="shared" si="179"/>
        <v>247</v>
      </c>
      <c r="V43" s="27">
        <f t="shared" si="179"/>
        <v>221</v>
      </c>
      <c r="W43" s="28">
        <f t="shared" si="179"/>
        <v>209</v>
      </c>
      <c r="X43" s="27">
        <f t="shared" si="179"/>
        <v>219</v>
      </c>
      <c r="Y43" s="27">
        <f t="shared" si="179"/>
        <v>229</v>
      </c>
      <c r="Z43" s="27">
        <f t="shared" si="179"/>
        <v>236</v>
      </c>
      <c r="AA43" s="28">
        <f t="shared" si="179"/>
        <v>250</v>
      </c>
      <c r="AB43" s="27">
        <f t="shared" si="179"/>
        <v>261</v>
      </c>
      <c r="AC43" s="27">
        <f t="shared" si="179"/>
        <v>239</v>
      </c>
      <c r="AD43" s="27">
        <f t="shared" si="179"/>
        <v>249</v>
      </c>
      <c r="AE43" s="28">
        <f t="shared" si="179"/>
        <v>243</v>
      </c>
      <c r="AF43" s="27">
        <f t="shared" si="179"/>
        <v>230</v>
      </c>
      <c r="AG43" s="27">
        <f t="shared" si="179"/>
        <v>212</v>
      </c>
      <c r="AH43" s="27">
        <f t="shared" si="179"/>
        <v>188</v>
      </c>
      <c r="AI43" s="28">
        <f t="shared" si="179"/>
        <v>193</v>
      </c>
      <c r="AJ43" s="27">
        <f t="shared" ref="AJ43:BG43" si="180">+AJ38-AJ42-AJ41</f>
        <v>179</v>
      </c>
      <c r="AK43" s="27">
        <f t="shared" si="180"/>
        <v>171</v>
      </c>
      <c r="AL43" s="27">
        <f t="shared" si="180"/>
        <v>155</v>
      </c>
      <c r="AM43" s="28">
        <f t="shared" si="180"/>
        <v>169</v>
      </c>
      <c r="AN43" s="27">
        <f t="shared" si="180"/>
        <v>144</v>
      </c>
      <c r="AO43" s="27">
        <f t="shared" si="180"/>
        <v>154</v>
      </c>
      <c r="AP43" s="27">
        <f t="shared" si="180"/>
        <v>150</v>
      </c>
      <c r="AQ43" s="28">
        <f t="shared" si="180"/>
        <v>138</v>
      </c>
      <c r="AR43" s="27">
        <f t="shared" si="180"/>
        <v>125</v>
      </c>
      <c r="AS43" s="27">
        <f t="shared" si="180"/>
        <v>128</v>
      </c>
      <c r="AT43" s="27">
        <f t="shared" si="180"/>
        <v>105</v>
      </c>
      <c r="AU43" s="28">
        <f t="shared" si="180"/>
        <v>103</v>
      </c>
      <c r="AV43" s="27">
        <f t="shared" si="180"/>
        <v>99</v>
      </c>
      <c r="AW43" s="27">
        <f t="shared" si="180"/>
        <v>109</v>
      </c>
      <c r="AX43" s="27">
        <f t="shared" si="180"/>
        <v>109</v>
      </c>
      <c r="AY43" s="28">
        <f t="shared" ref="AY43:BA43" si="181">+AY38-AY42-AY41</f>
        <v>108</v>
      </c>
      <c r="AZ43" s="27">
        <f t="shared" si="181"/>
        <v>112</v>
      </c>
      <c r="BA43" s="27">
        <f t="shared" si="181"/>
        <v>116</v>
      </c>
      <c r="BB43" s="27">
        <f t="shared" ref="BB43:BD43" si="182">+BB38-BB42-BB41</f>
        <v>120</v>
      </c>
      <c r="BC43" s="28">
        <f t="shared" si="182"/>
        <v>124</v>
      </c>
      <c r="BD43" s="27">
        <f t="shared" si="182"/>
        <v>124</v>
      </c>
      <c r="BE43" s="27">
        <f t="shared" si="180"/>
        <v>126</v>
      </c>
      <c r="BF43" s="27">
        <f t="shared" si="180"/>
        <v>126</v>
      </c>
      <c r="BG43" s="1639">
        <f t="shared" si="180"/>
        <v>126</v>
      </c>
      <c r="BH43" s="1914">
        <f t="shared" ref="BH43:BK43" si="183">+BH38-BH42-BH41</f>
        <v>126</v>
      </c>
      <c r="BI43" s="27">
        <f t="shared" si="183"/>
        <v>126</v>
      </c>
      <c r="BJ43" s="27">
        <f t="shared" si="183"/>
        <v>126</v>
      </c>
      <c r="BK43" s="1639">
        <f t="shared" si="183"/>
        <v>126</v>
      </c>
      <c r="BL43" s="244"/>
      <c r="BM43" s="27">
        <f t="shared" ref="BM43:BU43" si="184">+BM38-BM42-BM41</f>
        <v>1016</v>
      </c>
      <c r="BN43" s="27">
        <f t="shared" si="184"/>
        <v>1140</v>
      </c>
      <c r="BO43" s="27">
        <f t="shared" si="184"/>
        <v>1373</v>
      </c>
      <c r="BP43" s="27">
        <f t="shared" si="184"/>
        <v>1304</v>
      </c>
      <c r="BQ43" s="27">
        <f t="shared" si="184"/>
        <v>964</v>
      </c>
      <c r="BR43" s="27">
        <f t="shared" si="184"/>
        <v>934</v>
      </c>
      <c r="BS43" s="27">
        <f t="shared" si="184"/>
        <v>992</v>
      </c>
      <c r="BT43" s="27">
        <f t="shared" si="184"/>
        <v>823</v>
      </c>
      <c r="BU43" s="27">
        <f t="shared" si="184"/>
        <v>674</v>
      </c>
      <c r="BV43" s="27">
        <f>+BV38-BV42-BV41</f>
        <v>586</v>
      </c>
      <c r="BW43" s="27">
        <f>+BW38-BW42-BW41</f>
        <v>461</v>
      </c>
      <c r="BX43" s="27">
        <f>+BX38-BX42-BX41</f>
        <v>425</v>
      </c>
      <c r="BY43" s="27">
        <f>+BY38-BY42-BY41</f>
        <v>472</v>
      </c>
      <c r="BZ43" s="27">
        <f t="shared" ref="BZ43:CA43" si="185">+BZ38-BZ42-BZ41</f>
        <v>502</v>
      </c>
      <c r="CA43" s="27">
        <f t="shared" si="185"/>
        <v>504</v>
      </c>
      <c r="CB43" s="2075">
        <f>CB45-CB41</f>
        <v>504</v>
      </c>
      <c r="CC43" s="2191"/>
      <c r="CD43" s="13"/>
    </row>
    <row r="44" spans="1:88" ht="14.25" hidden="1" customHeight="1" outlineLevel="1">
      <c r="A44" s="7"/>
      <c r="B44" s="30" t="s">
        <v>436</v>
      </c>
      <c r="C44" s="24"/>
      <c r="D44" s="32">
        <f t="shared" ref="D44:AV44" si="186">+D43/D9</f>
        <v>0.17259837538357189</v>
      </c>
      <c r="E44" s="32">
        <f t="shared" si="186"/>
        <v>0.18136973993545613</v>
      </c>
      <c r="F44" s="32">
        <f t="shared" si="186"/>
        <v>0.16992096561823797</v>
      </c>
      <c r="G44" s="33">
        <f t="shared" si="186"/>
        <v>0.17241919422374191</v>
      </c>
      <c r="H44" s="32">
        <f t="shared" si="186"/>
        <v>0.19220092511548931</v>
      </c>
      <c r="I44" s="32">
        <f t="shared" si="186"/>
        <v>0.25446678510679754</v>
      </c>
      <c r="J44" s="32">
        <f t="shared" si="186"/>
        <v>0.21527663747663112</v>
      </c>
      <c r="K44" s="33">
        <f t="shared" si="186"/>
        <v>0.16280368423101066</v>
      </c>
      <c r="L44" s="32">
        <f t="shared" si="186"/>
        <v>0.27169505271695055</v>
      </c>
      <c r="M44" s="32">
        <f t="shared" si="186"/>
        <v>0.26487663280116108</v>
      </c>
      <c r="N44" s="32">
        <f t="shared" si="186"/>
        <v>0.21568627450980393</v>
      </c>
      <c r="O44" s="33">
        <f t="shared" si="186"/>
        <v>0.18135593220338983</v>
      </c>
      <c r="P44" s="32">
        <f t="shared" si="186"/>
        <v>0.22663080026899798</v>
      </c>
      <c r="Q44" s="32">
        <f t="shared" si="186"/>
        <v>0.24596182085168869</v>
      </c>
      <c r="R44" s="32">
        <f t="shared" si="186"/>
        <v>0.17529215358931552</v>
      </c>
      <c r="S44" s="33">
        <f t="shared" si="186"/>
        <v>0.2728055077452668</v>
      </c>
      <c r="T44" s="32">
        <f t="shared" si="186"/>
        <v>0.24384027187765506</v>
      </c>
      <c r="U44" s="32">
        <f t="shared" si="186"/>
        <v>0.20861486486486486</v>
      </c>
      <c r="V44" s="32">
        <f t="shared" si="186"/>
        <v>0.15830945558739254</v>
      </c>
      <c r="W44" s="33">
        <f t="shared" si="186"/>
        <v>0.12697448359659783</v>
      </c>
      <c r="X44" s="32">
        <f t="shared" si="186"/>
        <v>0.13913595933926304</v>
      </c>
      <c r="Y44" s="32">
        <f t="shared" si="186"/>
        <v>0.13853599516031459</v>
      </c>
      <c r="Z44" s="32">
        <f t="shared" si="186"/>
        <v>0.14585908529048208</v>
      </c>
      <c r="AA44" s="33">
        <f t="shared" si="186"/>
        <v>0.15160703456640387</v>
      </c>
      <c r="AB44" s="32">
        <f t="shared" si="186"/>
        <v>0.16181029138251704</v>
      </c>
      <c r="AC44" s="32">
        <f t="shared" si="186"/>
        <v>0.15184243964421856</v>
      </c>
      <c r="AD44" s="32">
        <f t="shared" si="186"/>
        <v>0.14733727810650887</v>
      </c>
      <c r="AE44" s="33">
        <f t="shared" si="186"/>
        <v>0.14370195150798346</v>
      </c>
      <c r="AF44" s="32">
        <f t="shared" si="186"/>
        <v>0.14511041009463724</v>
      </c>
      <c r="AG44" s="32">
        <f t="shared" si="186"/>
        <v>0.15003538570417552</v>
      </c>
      <c r="AH44" s="32">
        <f t="shared" si="186"/>
        <v>0.14814814814814814</v>
      </c>
      <c r="AI44" s="33">
        <f t="shared" si="186"/>
        <v>0.16709956709956711</v>
      </c>
      <c r="AJ44" s="32">
        <f t="shared" si="186"/>
        <v>0.16452205882352941</v>
      </c>
      <c r="AK44" s="32">
        <f t="shared" si="186"/>
        <v>0.14728682170542637</v>
      </c>
      <c r="AL44" s="32">
        <f t="shared" si="186"/>
        <v>0.10609171800136892</v>
      </c>
      <c r="AM44" s="33">
        <f t="shared" si="186"/>
        <v>0.10635619886721208</v>
      </c>
      <c r="AN44" s="1850">
        <f t="shared" si="186"/>
        <v>0.10307802433786686</v>
      </c>
      <c r="AO44" s="1850">
        <f t="shared" si="186"/>
        <v>0.10687022900763359</v>
      </c>
      <c r="AP44" s="32">
        <f t="shared" si="186"/>
        <v>0.10496850944716585</v>
      </c>
      <c r="AQ44" s="33">
        <f t="shared" si="186"/>
        <v>0.11138014527845036</v>
      </c>
      <c r="AR44" s="32">
        <f t="shared" si="186"/>
        <v>0.12135922330097088</v>
      </c>
      <c r="AS44" s="32">
        <f t="shared" si="186"/>
        <v>0.13588110403397027</v>
      </c>
      <c r="AT44" s="32">
        <f t="shared" si="186"/>
        <v>9.8963242224316683E-2</v>
      </c>
      <c r="AU44" s="33">
        <f t="shared" si="186"/>
        <v>0.10751565762004175</v>
      </c>
      <c r="AV44" s="32">
        <f t="shared" si="186"/>
        <v>0.11899038461538461</v>
      </c>
      <c r="AW44" s="1696">
        <f>+AW43/AW9</f>
        <v>0.10613437195715676</v>
      </c>
      <c r="AX44" s="1696">
        <f t="shared" ref="AX44" si="187">+AX43/AX9</f>
        <v>8.339709257842387E-2</v>
      </c>
      <c r="AY44" s="33">
        <f t="shared" ref="AY44:AZ44" si="188">+AY43/AY9</f>
        <v>9.7649186256781192E-2</v>
      </c>
      <c r="AZ44" s="1696">
        <f t="shared" si="188"/>
        <v>0.11382113821138211</v>
      </c>
      <c r="BA44" s="1696">
        <f>+BA43/BA9</f>
        <v>9.4926350245499183E-2</v>
      </c>
      <c r="BB44" s="1850">
        <f>+BB43/BB9</f>
        <v>7.3037127206329891E-2</v>
      </c>
      <c r="BC44" s="33">
        <f t="shared" ref="BC44:BD44" si="189">+BC43/BC9</f>
        <v>8.3783783783783788E-2</v>
      </c>
      <c r="BD44" s="1850">
        <f t="shared" si="189"/>
        <v>7.5288403157255615E-2</v>
      </c>
      <c r="BE44" s="1850">
        <f t="shared" ref="BE44:BG44" si="190">+BE43/BE9</f>
        <v>7.2894538876707202E-2</v>
      </c>
      <c r="BF44" s="1850">
        <f t="shared" si="190"/>
        <v>7.2817291614204749E-2</v>
      </c>
      <c r="BG44" s="1851">
        <f t="shared" si="190"/>
        <v>7.7522201328458426E-2</v>
      </c>
      <c r="BH44" s="1913">
        <f t="shared" ref="BH44:BK44" si="191">+BH43/BH9</f>
        <v>8.1335175774514781E-2</v>
      </c>
      <c r="BI44" s="1850">
        <f t="shared" si="191"/>
        <v>7.7042337665226765E-2</v>
      </c>
      <c r="BJ44" s="1850">
        <f t="shared" si="191"/>
        <v>7.3404510629837688E-2</v>
      </c>
      <c r="BK44" s="1851">
        <f t="shared" si="191"/>
        <v>7.3993878607348809E-2</v>
      </c>
      <c r="BL44" s="244"/>
      <c r="BM44" s="32">
        <f t="shared" ref="BM44:BX44" si="192">+BM43/BM9</f>
        <v>0.17373461012311903</v>
      </c>
      <c r="BN44" s="32">
        <f t="shared" si="192"/>
        <v>0.20180562931492299</v>
      </c>
      <c r="BO44" s="32">
        <f t="shared" si="192"/>
        <v>0.2283385997006486</v>
      </c>
      <c r="BP44" s="32">
        <f t="shared" si="192"/>
        <v>0.22451790633608815</v>
      </c>
      <c r="BQ44" s="32">
        <f t="shared" si="192"/>
        <v>0.17841939663150103</v>
      </c>
      <c r="BR44" s="32">
        <f t="shared" si="192"/>
        <v>0.1438250692947336</v>
      </c>
      <c r="BS44" s="32">
        <f t="shared" si="192"/>
        <v>0.15103532277710111</v>
      </c>
      <c r="BT44" s="32">
        <f t="shared" si="192"/>
        <v>0.15178900774621912</v>
      </c>
      <c r="BU44" s="1850">
        <f t="shared" si="192"/>
        <v>0.12719381015285902</v>
      </c>
      <c r="BV44" s="1850">
        <f t="shared" si="192"/>
        <v>0.10642934980021794</v>
      </c>
      <c r="BW44" s="1850">
        <f t="shared" si="192"/>
        <v>0.11550989726885492</v>
      </c>
      <c r="BX44" s="1850">
        <f t="shared" si="192"/>
        <v>9.9485018726591753E-2</v>
      </c>
      <c r="BY44" s="1850">
        <f t="shared" ref="BY44:BZ44" si="193">+BY43/BY9</f>
        <v>8.8571964721336091E-2</v>
      </c>
      <c r="BZ44" s="1850">
        <f t="shared" si="193"/>
        <v>7.4577822400268917E-2</v>
      </c>
      <c r="CA44" s="1850">
        <f t="shared" ref="CA44:CB44" si="194">+CA43/CA9</f>
        <v>7.6317742094792279E-2</v>
      </c>
      <c r="CB44" s="1851">
        <f t="shared" si="194"/>
        <v>7.6317742094792279E-2</v>
      </c>
      <c r="CC44" s="2191"/>
      <c r="CD44" s="13"/>
    </row>
    <row r="45" spans="1:88" ht="14.25" hidden="1" customHeight="1" outlineLevel="1">
      <c r="A45" s="7"/>
      <c r="B45" s="21" t="s">
        <v>438</v>
      </c>
      <c r="C45" s="22"/>
      <c r="D45" s="27">
        <f t="shared" ref="D45:AM45" si="195">D38-D42</f>
        <v>211.714</v>
      </c>
      <c r="E45" s="27">
        <f t="shared" si="195"/>
        <v>228.511</v>
      </c>
      <c r="F45" s="27">
        <f t="shared" si="195"/>
        <v>258.74799999999999</v>
      </c>
      <c r="G45" s="28">
        <f t="shared" si="195"/>
        <v>317.02700000000004</v>
      </c>
      <c r="H45" s="27">
        <f t="shared" si="195"/>
        <v>256.04199999999997</v>
      </c>
      <c r="I45" s="27">
        <f t="shared" si="195"/>
        <v>309.52499999999998</v>
      </c>
      <c r="J45" s="27">
        <f t="shared" si="195"/>
        <v>285.80599999999998</v>
      </c>
      <c r="K45" s="28">
        <f t="shared" si="195"/>
        <v>288.62699999999995</v>
      </c>
      <c r="L45" s="27">
        <f t="shared" si="195"/>
        <v>335</v>
      </c>
      <c r="M45" s="27">
        <f t="shared" si="195"/>
        <v>365</v>
      </c>
      <c r="N45" s="27">
        <f t="shared" si="195"/>
        <v>352</v>
      </c>
      <c r="O45" s="28">
        <f t="shared" si="195"/>
        <v>321</v>
      </c>
      <c r="P45" s="27">
        <f t="shared" si="195"/>
        <v>337</v>
      </c>
      <c r="Q45" s="27">
        <f t="shared" si="195"/>
        <v>335</v>
      </c>
      <c r="R45" s="27">
        <f t="shared" si="195"/>
        <v>315</v>
      </c>
      <c r="S45" s="28">
        <f t="shared" si="195"/>
        <v>317</v>
      </c>
      <c r="T45" s="27">
        <f t="shared" si="195"/>
        <v>287</v>
      </c>
      <c r="U45" s="27">
        <f t="shared" si="195"/>
        <v>247</v>
      </c>
      <c r="V45" s="27">
        <f t="shared" si="195"/>
        <v>221</v>
      </c>
      <c r="W45" s="28">
        <f t="shared" si="195"/>
        <v>209</v>
      </c>
      <c r="X45" s="27">
        <f t="shared" si="195"/>
        <v>219</v>
      </c>
      <c r="Y45" s="27">
        <f t="shared" si="195"/>
        <v>229</v>
      </c>
      <c r="Z45" s="27">
        <f t="shared" si="195"/>
        <v>236</v>
      </c>
      <c r="AA45" s="28">
        <f t="shared" si="195"/>
        <v>250</v>
      </c>
      <c r="AB45" s="27">
        <f t="shared" si="195"/>
        <v>261</v>
      </c>
      <c r="AC45" s="27">
        <f t="shared" si="195"/>
        <v>239</v>
      </c>
      <c r="AD45" s="27">
        <f t="shared" si="195"/>
        <v>249</v>
      </c>
      <c r="AE45" s="28">
        <f t="shared" si="195"/>
        <v>243</v>
      </c>
      <c r="AF45" s="27">
        <f t="shared" si="195"/>
        <v>230</v>
      </c>
      <c r="AG45" s="27">
        <f t="shared" si="195"/>
        <v>212</v>
      </c>
      <c r="AH45" s="27">
        <f t="shared" si="195"/>
        <v>188</v>
      </c>
      <c r="AI45" s="28">
        <f t="shared" si="195"/>
        <v>193</v>
      </c>
      <c r="AJ45" s="27">
        <f t="shared" si="195"/>
        <v>179</v>
      </c>
      <c r="AK45" s="27">
        <f t="shared" si="195"/>
        <v>171</v>
      </c>
      <c r="AL45" s="27">
        <f t="shared" si="195"/>
        <v>155</v>
      </c>
      <c r="AM45" s="28">
        <f t="shared" si="195"/>
        <v>169</v>
      </c>
      <c r="AN45" s="27">
        <f t="shared" ref="AN45:AU45" si="196">AN38-AN42</f>
        <v>156</v>
      </c>
      <c r="AO45" s="27">
        <f t="shared" si="196"/>
        <v>154</v>
      </c>
      <c r="AP45" s="27">
        <f t="shared" si="196"/>
        <v>150</v>
      </c>
      <c r="AQ45" s="28">
        <f t="shared" si="196"/>
        <v>144</v>
      </c>
      <c r="AR45" s="27">
        <f>AR38-AR42</f>
        <v>131</v>
      </c>
      <c r="AS45" s="27">
        <f t="shared" si="196"/>
        <v>134</v>
      </c>
      <c r="AT45" s="27">
        <f t="shared" si="196"/>
        <v>108</v>
      </c>
      <c r="AU45" s="28">
        <f t="shared" si="196"/>
        <v>109</v>
      </c>
      <c r="AV45" s="27">
        <f t="shared" ref="AV45:AY45" si="197">AV38-AV42</f>
        <v>105</v>
      </c>
      <c r="AW45" s="27">
        <f t="shared" si="197"/>
        <v>117</v>
      </c>
      <c r="AX45" s="27">
        <f t="shared" si="197"/>
        <v>117</v>
      </c>
      <c r="AY45" s="28">
        <f t="shared" si="197"/>
        <v>121</v>
      </c>
      <c r="AZ45" s="27">
        <f t="shared" ref="AZ45:BA45" si="198">AZ38-AZ42</f>
        <v>121</v>
      </c>
      <c r="BA45" s="27">
        <f t="shared" si="198"/>
        <v>125</v>
      </c>
      <c r="BB45" s="27">
        <f t="shared" ref="BB45:BD45" si="199">BB38-BB42</f>
        <v>132</v>
      </c>
      <c r="BC45" s="28">
        <f t="shared" si="199"/>
        <v>133</v>
      </c>
      <c r="BD45" s="27">
        <f t="shared" si="199"/>
        <v>134</v>
      </c>
      <c r="BE45" s="27">
        <f t="shared" ref="BE45:BG45" si="200">BE38-BE42</f>
        <v>138</v>
      </c>
      <c r="BF45" s="27">
        <f t="shared" si="200"/>
        <v>138</v>
      </c>
      <c r="BG45" s="1639">
        <f t="shared" si="200"/>
        <v>138</v>
      </c>
      <c r="BH45" s="1914">
        <f t="shared" ref="BH45:BK45" si="201">BH38-BH42</f>
        <v>138</v>
      </c>
      <c r="BI45" s="27">
        <f t="shared" si="201"/>
        <v>138</v>
      </c>
      <c r="BJ45" s="27">
        <f t="shared" si="201"/>
        <v>138</v>
      </c>
      <c r="BK45" s="1639">
        <f t="shared" si="201"/>
        <v>138</v>
      </c>
      <c r="BL45" s="244"/>
      <c r="BM45" s="27">
        <f>BM38-BM42</f>
        <v>1016</v>
      </c>
      <c r="BN45" s="27">
        <f t="shared" ref="BN45:BT45" si="202">BN38-BN42</f>
        <v>1140</v>
      </c>
      <c r="BO45" s="27">
        <f t="shared" si="202"/>
        <v>1373</v>
      </c>
      <c r="BP45" s="27">
        <f t="shared" si="202"/>
        <v>1304</v>
      </c>
      <c r="BQ45" s="27">
        <f t="shared" si="202"/>
        <v>964</v>
      </c>
      <c r="BR45" s="27">
        <f t="shared" si="202"/>
        <v>934</v>
      </c>
      <c r="BS45" s="27">
        <f t="shared" si="202"/>
        <v>992</v>
      </c>
      <c r="BT45" s="27">
        <f t="shared" si="202"/>
        <v>823</v>
      </c>
      <c r="BU45" s="27">
        <f>BU38-BU42</f>
        <v>674</v>
      </c>
      <c r="BV45" s="27">
        <f>BV38-BV42</f>
        <v>604</v>
      </c>
      <c r="BW45" s="27">
        <f t="shared" ref="BW45:BX45" si="203">BW38-BW42</f>
        <v>482</v>
      </c>
      <c r="BX45" s="27">
        <f t="shared" si="203"/>
        <v>460</v>
      </c>
      <c r="BY45" s="27">
        <f>BY38-BY42</f>
        <v>511</v>
      </c>
      <c r="BZ45" s="27">
        <f t="shared" ref="BZ45:CA45" si="204">BZ38-BZ42</f>
        <v>548</v>
      </c>
      <c r="CA45" s="27">
        <f t="shared" si="204"/>
        <v>552</v>
      </c>
      <c r="CB45" s="2075">
        <f>CB9*CB46</f>
        <v>552</v>
      </c>
      <c r="CC45" s="2191"/>
      <c r="CD45" s="13"/>
    </row>
    <row r="46" spans="1:88" ht="14.25" hidden="1" customHeight="1" outlineLevel="1">
      <c r="A46" s="7"/>
      <c r="B46" s="30" t="s">
        <v>436</v>
      </c>
      <c r="C46" s="31"/>
      <c r="D46" s="32">
        <f t="shared" ref="D46:AI46" si="205">D45/D9</f>
        <v>0.17259837538357189</v>
      </c>
      <c r="E46" s="32">
        <f t="shared" si="205"/>
        <v>0.18136973993545613</v>
      </c>
      <c r="F46" s="32">
        <f t="shared" si="205"/>
        <v>0.16992096561823797</v>
      </c>
      <c r="G46" s="33">
        <f t="shared" si="205"/>
        <v>0.17241919422374191</v>
      </c>
      <c r="H46" s="32">
        <f t="shared" si="205"/>
        <v>0.19220092511548931</v>
      </c>
      <c r="I46" s="32">
        <f t="shared" si="205"/>
        <v>0.25446678510679754</v>
      </c>
      <c r="J46" s="32">
        <f t="shared" si="205"/>
        <v>0.21527663747663112</v>
      </c>
      <c r="K46" s="33">
        <f t="shared" si="205"/>
        <v>0.16280368423101066</v>
      </c>
      <c r="L46" s="32">
        <f t="shared" si="205"/>
        <v>0.27169505271695055</v>
      </c>
      <c r="M46" s="32">
        <f t="shared" si="205"/>
        <v>0.26487663280116108</v>
      </c>
      <c r="N46" s="32">
        <f t="shared" si="205"/>
        <v>0.21568627450980393</v>
      </c>
      <c r="O46" s="33">
        <f t="shared" si="205"/>
        <v>0.18135593220338983</v>
      </c>
      <c r="P46" s="32">
        <f t="shared" si="205"/>
        <v>0.22663080026899798</v>
      </c>
      <c r="Q46" s="32">
        <f t="shared" si="205"/>
        <v>0.24596182085168869</v>
      </c>
      <c r="R46" s="32">
        <f t="shared" si="205"/>
        <v>0.17529215358931552</v>
      </c>
      <c r="S46" s="33">
        <f t="shared" si="205"/>
        <v>0.2728055077452668</v>
      </c>
      <c r="T46" s="32">
        <f t="shared" si="205"/>
        <v>0.24384027187765506</v>
      </c>
      <c r="U46" s="32">
        <f t="shared" si="205"/>
        <v>0.20861486486486486</v>
      </c>
      <c r="V46" s="32">
        <f t="shared" si="205"/>
        <v>0.15830945558739254</v>
      </c>
      <c r="W46" s="33">
        <f t="shared" si="205"/>
        <v>0.12697448359659783</v>
      </c>
      <c r="X46" s="32">
        <f t="shared" si="205"/>
        <v>0.13913595933926304</v>
      </c>
      <c r="Y46" s="32">
        <f t="shared" si="205"/>
        <v>0.13853599516031459</v>
      </c>
      <c r="Z46" s="32">
        <f t="shared" si="205"/>
        <v>0.14585908529048208</v>
      </c>
      <c r="AA46" s="33">
        <f t="shared" si="205"/>
        <v>0.15160703456640387</v>
      </c>
      <c r="AB46" s="32">
        <f t="shared" si="205"/>
        <v>0.16181029138251704</v>
      </c>
      <c r="AC46" s="32">
        <f t="shared" si="205"/>
        <v>0.15184243964421856</v>
      </c>
      <c r="AD46" s="32">
        <f t="shared" si="205"/>
        <v>0.14733727810650887</v>
      </c>
      <c r="AE46" s="33">
        <f t="shared" si="205"/>
        <v>0.14370195150798346</v>
      </c>
      <c r="AF46" s="32">
        <f t="shared" si="205"/>
        <v>0.14511041009463724</v>
      </c>
      <c r="AG46" s="32">
        <f t="shared" si="205"/>
        <v>0.15003538570417552</v>
      </c>
      <c r="AH46" s="32">
        <f t="shared" si="205"/>
        <v>0.14814814814814814</v>
      </c>
      <c r="AI46" s="32">
        <f t="shared" si="205"/>
        <v>0.16709956709956711</v>
      </c>
      <c r="AJ46" s="34">
        <f t="shared" ref="AJ46:AX46" si="206">AJ45/AJ9</f>
        <v>0.16452205882352941</v>
      </c>
      <c r="AK46" s="32">
        <f t="shared" si="206"/>
        <v>0.14728682170542637</v>
      </c>
      <c r="AL46" s="32">
        <f t="shared" si="206"/>
        <v>0.10609171800136892</v>
      </c>
      <c r="AM46" s="32">
        <f t="shared" si="206"/>
        <v>0.10635619886721208</v>
      </c>
      <c r="AN46" s="1852">
        <f t="shared" si="206"/>
        <v>0.11166785969935576</v>
      </c>
      <c r="AO46" s="1850">
        <f t="shared" si="206"/>
        <v>0.10687022900763359</v>
      </c>
      <c r="AP46" s="32">
        <f t="shared" si="206"/>
        <v>0.10496850944716585</v>
      </c>
      <c r="AQ46" s="32">
        <f t="shared" si="206"/>
        <v>0.11622276029055691</v>
      </c>
      <c r="AR46" s="34">
        <f t="shared" si="206"/>
        <v>0.12718446601941746</v>
      </c>
      <c r="AS46" s="32">
        <f t="shared" si="206"/>
        <v>0.14225053078556263</v>
      </c>
      <c r="AT46" s="32">
        <f t="shared" si="206"/>
        <v>0.10179076343072573</v>
      </c>
      <c r="AU46" s="33">
        <f t="shared" si="206"/>
        <v>0.11377870563674322</v>
      </c>
      <c r="AV46" s="34">
        <f t="shared" si="206"/>
        <v>0.12620192307692307</v>
      </c>
      <c r="AW46" s="1696">
        <f t="shared" si="206"/>
        <v>0.11392405063291139</v>
      </c>
      <c r="AX46" s="1696">
        <f t="shared" si="206"/>
        <v>8.9517980107115536E-2</v>
      </c>
      <c r="AY46" s="33">
        <f t="shared" ref="AY46:BA46" si="207">AY45/AY9</f>
        <v>0.10940325497287523</v>
      </c>
      <c r="AZ46" s="1697">
        <f t="shared" si="207"/>
        <v>0.12296747967479675</v>
      </c>
      <c r="BA46" s="1696">
        <f t="shared" si="207"/>
        <v>0.10229132569558101</v>
      </c>
      <c r="BB46" s="1850">
        <f t="shared" ref="BB46:BD46" si="208">BB45/BB9</f>
        <v>8.0340839926962879E-2</v>
      </c>
      <c r="BC46" s="33">
        <f t="shared" si="208"/>
        <v>8.9864864864864863E-2</v>
      </c>
      <c r="BD46" s="1852">
        <f t="shared" si="208"/>
        <v>8.1360048573163327E-2</v>
      </c>
      <c r="BE46" s="1850">
        <f t="shared" ref="BE46:BG46" si="209">BE45/BE9</f>
        <v>7.9836875912584079E-2</v>
      </c>
      <c r="BF46" s="1850">
        <f t="shared" si="209"/>
        <v>7.9752271767938532E-2</v>
      </c>
      <c r="BG46" s="1851">
        <f t="shared" si="209"/>
        <v>8.490526812164495E-2</v>
      </c>
      <c r="BH46" s="1913">
        <f t="shared" ref="BH46:BK46" si="210">BH45/BH9</f>
        <v>8.908138299113523E-2</v>
      </c>
      <c r="BI46" s="1850">
        <f t="shared" si="210"/>
        <v>8.4379703157153124E-2</v>
      </c>
      <c r="BJ46" s="1850">
        <f t="shared" si="210"/>
        <v>8.0395416404107939E-2</v>
      </c>
      <c r="BK46" s="1851">
        <f t="shared" si="210"/>
        <v>8.104091466519156E-2</v>
      </c>
      <c r="BL46" s="244"/>
      <c r="BM46" s="32">
        <f t="shared" ref="BM46:BY46" si="211">BM45/BM9</f>
        <v>0.17373461012311903</v>
      </c>
      <c r="BN46" s="32">
        <f t="shared" si="211"/>
        <v>0.20180562931492299</v>
      </c>
      <c r="BO46" s="32">
        <f t="shared" si="211"/>
        <v>0.2283385997006486</v>
      </c>
      <c r="BP46" s="32">
        <f t="shared" si="211"/>
        <v>0.22451790633608815</v>
      </c>
      <c r="BQ46" s="32">
        <f t="shared" si="211"/>
        <v>0.17841939663150103</v>
      </c>
      <c r="BR46" s="32">
        <f t="shared" si="211"/>
        <v>0.1438250692947336</v>
      </c>
      <c r="BS46" s="32">
        <f t="shared" si="211"/>
        <v>0.15103532277710111</v>
      </c>
      <c r="BT46" s="32">
        <f t="shared" si="211"/>
        <v>0.15178900774621912</v>
      </c>
      <c r="BU46" s="1850">
        <f t="shared" si="211"/>
        <v>0.12719381015285902</v>
      </c>
      <c r="BV46" s="1850">
        <f t="shared" ref="BV46:BX46" si="212">BV45/BV9</f>
        <v>0.10969851071558299</v>
      </c>
      <c r="BW46" s="1850">
        <f t="shared" si="212"/>
        <v>0.12077173640691556</v>
      </c>
      <c r="BX46" s="1850">
        <f t="shared" si="212"/>
        <v>0.10767790262172285</v>
      </c>
      <c r="BY46" s="1850">
        <f t="shared" si="211"/>
        <v>9.5890410958904104E-2</v>
      </c>
      <c r="BZ46" s="1850">
        <f t="shared" ref="BZ46:CA46" si="213">BZ45/BZ9</f>
        <v>8.1411646763640183E-2</v>
      </c>
      <c r="CA46" s="1850">
        <f t="shared" si="213"/>
        <v>8.3586098484772497E-2</v>
      </c>
      <c r="CB46" s="1881">
        <f>CA46</f>
        <v>8.3586098484772497E-2</v>
      </c>
      <c r="CC46" s="2191"/>
      <c r="CD46" s="13"/>
    </row>
    <row r="47" spans="1:88" ht="6" hidden="1" customHeight="1" outlineLevel="1">
      <c r="A47" s="7"/>
      <c r="B47" s="30"/>
      <c r="C47" s="31"/>
      <c r="D47" s="32"/>
      <c r="E47" s="32"/>
      <c r="F47" s="32"/>
      <c r="G47" s="33"/>
      <c r="H47" s="32"/>
      <c r="I47" s="32"/>
      <c r="J47" s="32"/>
      <c r="K47" s="33"/>
      <c r="L47" s="32"/>
      <c r="M47" s="32"/>
      <c r="N47" s="32"/>
      <c r="O47" s="33"/>
      <c r="P47" s="32"/>
      <c r="Q47" s="32"/>
      <c r="R47" s="32"/>
      <c r="S47" s="33"/>
      <c r="T47" s="32"/>
      <c r="U47" s="32"/>
      <c r="V47" s="32"/>
      <c r="W47" s="33"/>
      <c r="X47" s="32"/>
      <c r="Y47" s="32"/>
      <c r="Z47" s="32"/>
      <c r="AA47" s="33"/>
      <c r="AB47" s="32"/>
      <c r="AC47" s="32"/>
      <c r="AD47" s="32"/>
      <c r="AE47" s="33"/>
      <c r="AF47" s="32"/>
      <c r="AG47" s="32"/>
      <c r="AH47" s="32"/>
      <c r="AI47" s="32"/>
      <c r="AJ47" s="34"/>
      <c r="AK47" s="32"/>
      <c r="AL47" s="32"/>
      <c r="AM47" s="32"/>
      <c r="AN47" s="1852"/>
      <c r="AO47" s="1850"/>
      <c r="AP47" s="32"/>
      <c r="AQ47" s="32"/>
      <c r="AR47" s="34"/>
      <c r="AS47" s="32"/>
      <c r="AT47" s="32"/>
      <c r="AU47" s="33"/>
      <c r="AV47" s="34"/>
      <c r="AW47" s="1696"/>
      <c r="AX47" s="1696"/>
      <c r="AY47" s="33"/>
      <c r="AZ47" s="1697"/>
      <c r="BA47" s="1696"/>
      <c r="BB47" s="1850"/>
      <c r="BC47" s="33"/>
      <c r="BD47" s="1852"/>
      <c r="BE47" s="1850"/>
      <c r="BF47" s="1850"/>
      <c r="BG47" s="1851"/>
      <c r="BH47" s="1913"/>
      <c r="BI47" s="1850"/>
      <c r="BJ47" s="1850"/>
      <c r="BK47" s="1851"/>
      <c r="BL47" s="244"/>
      <c r="BM47" s="32"/>
      <c r="BN47" s="32"/>
      <c r="BO47" s="32"/>
      <c r="BP47" s="32"/>
      <c r="BQ47" s="32"/>
      <c r="BR47" s="32"/>
      <c r="BS47" s="32"/>
      <c r="BT47" s="32"/>
      <c r="BU47" s="1850"/>
      <c r="BV47" s="1850"/>
      <c r="BW47" s="1850"/>
      <c r="BX47" s="1850"/>
      <c r="BY47" s="1850"/>
      <c r="BZ47" s="1850"/>
      <c r="CA47" s="1850"/>
      <c r="CB47" s="1851"/>
      <c r="CC47" s="2191"/>
      <c r="CD47" s="13"/>
    </row>
    <row r="48" spans="1:88" ht="14.25" customHeight="1" collapsed="1">
      <c r="A48" s="7"/>
      <c r="B48" s="21" t="s">
        <v>426</v>
      </c>
      <c r="C48" s="22"/>
      <c r="D48" s="27">
        <f t="shared" ref="D48:AC48" si="214">SUM(D49:D51)</f>
        <v>0</v>
      </c>
      <c r="E48" s="27">
        <f t="shared" si="214"/>
        <v>0</v>
      </c>
      <c r="F48" s="27">
        <f t="shared" si="214"/>
        <v>0</v>
      </c>
      <c r="G48" s="28">
        <f t="shared" si="214"/>
        <v>0</v>
      </c>
      <c r="H48" s="27">
        <f t="shared" si="214"/>
        <v>0</v>
      </c>
      <c r="I48" s="27">
        <f t="shared" si="214"/>
        <v>0</v>
      </c>
      <c r="J48" s="27">
        <f t="shared" si="214"/>
        <v>0</v>
      </c>
      <c r="K48" s="28">
        <f t="shared" si="214"/>
        <v>495</v>
      </c>
      <c r="L48" s="27">
        <f t="shared" si="214"/>
        <v>84</v>
      </c>
      <c r="M48" s="27">
        <f t="shared" si="214"/>
        <v>78</v>
      </c>
      <c r="N48" s="27">
        <f t="shared" si="214"/>
        <v>76</v>
      </c>
      <c r="O48" s="28">
        <f t="shared" si="214"/>
        <v>1669</v>
      </c>
      <c r="P48" s="27">
        <f t="shared" si="214"/>
        <v>40</v>
      </c>
      <c r="Q48" s="27">
        <f t="shared" si="214"/>
        <v>278</v>
      </c>
      <c r="R48" s="27">
        <f t="shared" si="214"/>
        <v>41</v>
      </c>
      <c r="S48" s="28">
        <f t="shared" si="214"/>
        <v>764</v>
      </c>
      <c r="T48" s="27">
        <f t="shared" si="214"/>
        <v>78</v>
      </c>
      <c r="U48" s="27">
        <f t="shared" si="214"/>
        <v>18</v>
      </c>
      <c r="V48" s="27">
        <f t="shared" si="214"/>
        <v>21</v>
      </c>
      <c r="W48" s="28">
        <f t="shared" si="214"/>
        <v>-1224</v>
      </c>
      <c r="X48" s="27">
        <f t="shared" si="214"/>
        <v>17</v>
      </c>
      <c r="Y48" s="27">
        <f t="shared" si="214"/>
        <v>13</v>
      </c>
      <c r="Z48" s="27">
        <f>SUM(Z49:Z51)</f>
        <v>16</v>
      </c>
      <c r="AA48" s="28">
        <f t="shared" si="214"/>
        <v>-272</v>
      </c>
      <c r="AB48" s="27">
        <f t="shared" si="214"/>
        <v>9</v>
      </c>
      <c r="AC48" s="27">
        <f t="shared" si="214"/>
        <v>9</v>
      </c>
      <c r="AD48" s="27">
        <f t="shared" ref="AD48:AJ48" si="215">SUM(AD49:AD51)</f>
        <v>8</v>
      </c>
      <c r="AE48" s="28">
        <f t="shared" si="215"/>
        <v>101</v>
      </c>
      <c r="AF48" s="27">
        <f t="shared" si="215"/>
        <v>9</v>
      </c>
      <c r="AG48" s="27">
        <f t="shared" si="215"/>
        <v>4</v>
      </c>
      <c r="AH48" s="27">
        <f t="shared" si="215"/>
        <v>7</v>
      </c>
      <c r="AI48" s="27">
        <f t="shared" si="215"/>
        <v>94</v>
      </c>
      <c r="AJ48" s="29">
        <f t="shared" si="215"/>
        <v>52</v>
      </c>
      <c r="AK48" s="27">
        <f t="shared" ref="AK48:AQ48" si="216">SUM(AK49:AK51)</f>
        <v>9</v>
      </c>
      <c r="AL48" s="27">
        <f t="shared" si="216"/>
        <v>-17</v>
      </c>
      <c r="AM48" s="27">
        <f t="shared" si="216"/>
        <v>-44</v>
      </c>
      <c r="AN48" s="29">
        <f t="shared" si="216"/>
        <v>3</v>
      </c>
      <c r="AO48" s="27">
        <f>SUM(AO49:AO51)</f>
        <v>4</v>
      </c>
      <c r="AP48" s="27">
        <f>SUM(AP49:AP51)</f>
        <v>3</v>
      </c>
      <c r="AQ48" s="27">
        <f t="shared" si="216"/>
        <v>308</v>
      </c>
      <c r="AR48" s="29">
        <f>SUM(AR49:AR51)</f>
        <v>90</v>
      </c>
      <c r="AS48" s="27">
        <f>SUM(AS49:AS51)</f>
        <v>0</v>
      </c>
      <c r="AT48" s="27">
        <f>SUM(AT49:AT51)</f>
        <v>48</v>
      </c>
      <c r="AU48" s="28">
        <f>SUM(AU49:AU51)</f>
        <v>-6</v>
      </c>
      <c r="AV48" s="29">
        <f t="shared" ref="AV48" si="217">SUM(AV49:AV51)</f>
        <v>-10</v>
      </c>
      <c r="AW48" s="27">
        <f>SUM(AW49:AW51)</f>
        <v>-33</v>
      </c>
      <c r="AX48" s="27">
        <f>SUM(AX49:AX51)</f>
        <v>-24</v>
      </c>
      <c r="AY48" s="28">
        <f>SUM(AY49:AY51)</f>
        <v>-31</v>
      </c>
      <c r="AZ48" s="29">
        <f t="shared" ref="AZ48:BG48" si="218">SUM(AZ49:AZ51)</f>
        <v>-27</v>
      </c>
      <c r="BA48" s="27">
        <f>SUM(BA49:BA51)</f>
        <v>-25</v>
      </c>
      <c r="BB48" s="27">
        <f>SUM(BB49:BB51)</f>
        <v>0</v>
      </c>
      <c r="BC48" s="28">
        <f>SUM(BC49:BC51)</f>
        <v>0</v>
      </c>
      <c r="BD48" s="29">
        <f t="shared" ref="BD48" si="219">SUM(BD49:BD51)</f>
        <v>0</v>
      </c>
      <c r="BE48" s="27">
        <f t="shared" si="218"/>
        <v>0</v>
      </c>
      <c r="BF48" s="27">
        <f t="shared" si="218"/>
        <v>-15</v>
      </c>
      <c r="BG48" s="1639">
        <f t="shared" si="218"/>
        <v>-15</v>
      </c>
      <c r="BH48" s="1914">
        <f t="shared" ref="BH48:BK48" si="220">SUM(BH49:BH51)</f>
        <v>-15</v>
      </c>
      <c r="BI48" s="27">
        <f t="shared" si="220"/>
        <v>-15</v>
      </c>
      <c r="BJ48" s="27">
        <f t="shared" si="220"/>
        <v>-10</v>
      </c>
      <c r="BK48" s="1639">
        <f t="shared" si="220"/>
        <v>-10</v>
      </c>
      <c r="BL48" s="244"/>
      <c r="BM48" s="27">
        <f>SUM(D48:G48)</f>
        <v>0</v>
      </c>
      <c r="BN48" s="27">
        <f>SUM(H48:K48)</f>
        <v>495</v>
      </c>
      <c r="BO48" s="27">
        <f>SUM(L48:O48)</f>
        <v>1907</v>
      </c>
      <c r="BP48" s="27">
        <f>SUM(P48:S48)</f>
        <v>1123</v>
      </c>
      <c r="BQ48" s="27">
        <f>SUM(T48:W48)</f>
        <v>-1107</v>
      </c>
      <c r="BR48" s="27">
        <f>SUM(X48:AA48)</f>
        <v>-226</v>
      </c>
      <c r="BS48" s="27">
        <f>SUM(AB48:AE48)</f>
        <v>127</v>
      </c>
      <c r="BT48" s="27">
        <f>SUM(AF48:AI48)</f>
        <v>114</v>
      </c>
      <c r="BU48" s="27">
        <f>SUM(AJ48:AM48)</f>
        <v>0</v>
      </c>
      <c r="BV48" s="27">
        <f>SUM(AN48:AQ48)</f>
        <v>318</v>
      </c>
      <c r="BW48" s="27">
        <f t="shared" ref="BW48:BW53" si="221">+SUM(AR48:AU48)</f>
        <v>132</v>
      </c>
      <c r="BX48" s="27">
        <f t="shared" ref="BX48:BX53" si="222">+SUM(AV48:AY48)</f>
        <v>-98</v>
      </c>
      <c r="BY48" s="1491">
        <f t="shared" ref="BY48:BY53" si="223">SUM(AZ48:BC48)</f>
        <v>-52</v>
      </c>
      <c r="BZ48" s="1491">
        <f>SUM(BD48:BG48)</f>
        <v>-30</v>
      </c>
      <c r="CA48" s="1491">
        <f>SUM(BH48:BK48)</f>
        <v>-50</v>
      </c>
      <c r="CB48" s="2075">
        <f t="shared" ref="CB48:CB51" si="224">CA48</f>
        <v>-50</v>
      </c>
      <c r="CC48" s="2191"/>
      <c r="CD48" s="13"/>
    </row>
    <row r="49" spans="1:88" ht="14.25" customHeight="1">
      <c r="A49" s="7"/>
      <c r="B49" s="101" t="s">
        <v>239</v>
      </c>
      <c r="C49" s="24"/>
      <c r="D49" s="25">
        <v>0</v>
      </c>
      <c r="E49" s="25">
        <v>0</v>
      </c>
      <c r="F49" s="25">
        <v>0</v>
      </c>
      <c r="G49" s="359">
        <v>0</v>
      </c>
      <c r="H49" s="25">
        <v>0</v>
      </c>
      <c r="I49" s="25">
        <v>0</v>
      </c>
      <c r="J49" s="25">
        <v>0</v>
      </c>
      <c r="K49" s="359">
        <f>79-SUM(H49:J49)</f>
        <v>79</v>
      </c>
      <c r="L49" s="25">
        <v>84</v>
      </c>
      <c r="M49" s="25">
        <v>78</v>
      </c>
      <c r="N49" s="25">
        <v>76</v>
      </c>
      <c r="O49" s="359">
        <f>299-SUM(L49:N49)</f>
        <v>61</v>
      </c>
      <c r="P49" s="25">
        <v>40</v>
      </c>
      <c r="Q49" s="25">
        <v>37</v>
      </c>
      <c r="R49" s="25">
        <v>30</v>
      </c>
      <c r="S49" s="359">
        <f>137-SUM(P49:R49)</f>
        <v>30</v>
      </c>
      <c r="T49" s="25">
        <v>18</v>
      </c>
      <c r="U49" s="25">
        <v>17</v>
      </c>
      <c r="V49" s="25">
        <v>17</v>
      </c>
      <c r="W49" s="359">
        <f>70-V49-U49-T49</f>
        <v>18</v>
      </c>
      <c r="X49" s="25">
        <v>17</v>
      </c>
      <c r="Y49" s="25">
        <v>17</v>
      </c>
      <c r="Z49" s="25">
        <v>0</v>
      </c>
      <c r="AA49" s="359">
        <f>61-Z49-Y49-X49</f>
        <v>27</v>
      </c>
      <c r="AB49" s="25">
        <v>9</v>
      </c>
      <c r="AC49" s="25">
        <v>9</v>
      </c>
      <c r="AD49" s="25">
        <v>0</v>
      </c>
      <c r="AE49" s="26">
        <v>3</v>
      </c>
      <c r="AF49" s="25">
        <v>1</v>
      </c>
      <c r="AG49" s="25">
        <v>4</v>
      </c>
      <c r="AH49" s="25">
        <v>4</v>
      </c>
      <c r="AI49" s="25">
        <v>4</v>
      </c>
      <c r="AJ49" s="582">
        <v>5</v>
      </c>
      <c r="AK49" s="25">
        <v>4</v>
      </c>
      <c r="AL49" s="25">
        <v>5</v>
      </c>
      <c r="AM49" s="25">
        <v>4</v>
      </c>
      <c r="AN49" s="582">
        <v>3</v>
      </c>
      <c r="AO49" s="25">
        <v>4</v>
      </c>
      <c r="AP49" s="25">
        <v>3</v>
      </c>
      <c r="AQ49" s="25">
        <v>4</v>
      </c>
      <c r="AR49" s="582">
        <v>3</v>
      </c>
      <c r="AS49" s="25">
        <v>0</v>
      </c>
      <c r="AT49" s="25">
        <v>0</v>
      </c>
      <c r="AU49" s="26"/>
      <c r="AV49" s="582">
        <v>0</v>
      </c>
      <c r="AW49" s="25">
        <v>0</v>
      </c>
      <c r="AX49" s="25">
        <v>0</v>
      </c>
      <c r="AY49" s="26">
        <v>0</v>
      </c>
      <c r="AZ49" s="582">
        <v>0</v>
      </c>
      <c r="BA49" s="25">
        <v>0</v>
      </c>
      <c r="BB49" s="25">
        <v>0</v>
      </c>
      <c r="BC49" s="26">
        <v>0</v>
      </c>
      <c r="BD49" s="582">
        <v>0</v>
      </c>
      <c r="BE49" s="25">
        <v>0</v>
      </c>
      <c r="BF49" s="25">
        <v>0</v>
      </c>
      <c r="BG49" s="1642">
        <v>0</v>
      </c>
      <c r="BH49" s="1916">
        <v>0</v>
      </c>
      <c r="BI49" s="25">
        <v>0</v>
      </c>
      <c r="BJ49" s="25">
        <v>0</v>
      </c>
      <c r="BK49" s="1642">
        <v>0</v>
      </c>
      <c r="BL49" s="244"/>
      <c r="BM49" s="27">
        <f>SUM(D49:G49)</f>
        <v>0</v>
      </c>
      <c r="BN49" s="27">
        <f>SUM(H49:K49)</f>
        <v>79</v>
      </c>
      <c r="BO49" s="27">
        <f>SUM(L49:O49)</f>
        <v>299</v>
      </c>
      <c r="BP49" s="27">
        <f>SUM(P49:S49)</f>
        <v>137</v>
      </c>
      <c r="BQ49" s="27">
        <f>SUM(T49:W49)</f>
        <v>70</v>
      </c>
      <c r="BR49" s="27">
        <f>SUM(X49:AA49)</f>
        <v>61</v>
      </c>
      <c r="BS49" s="27">
        <f>SUM(AB49:AE49)</f>
        <v>21</v>
      </c>
      <c r="BT49" s="27">
        <f>SUM(AF49:AI49)</f>
        <v>13</v>
      </c>
      <c r="BU49" s="27">
        <f>SUM(AJ49:AM49)</f>
        <v>18</v>
      </c>
      <c r="BV49" s="27">
        <f>SUM(AN49:AQ49)</f>
        <v>14</v>
      </c>
      <c r="BW49" s="27">
        <f t="shared" si="221"/>
        <v>3</v>
      </c>
      <c r="BX49" s="27">
        <f t="shared" si="222"/>
        <v>0</v>
      </c>
      <c r="BY49" s="1491">
        <f t="shared" si="223"/>
        <v>0</v>
      </c>
      <c r="BZ49" s="1491">
        <f>SUM(BD49:BG49)</f>
        <v>0</v>
      </c>
      <c r="CA49" s="1491">
        <f>SUM(BH49:BK49)</f>
        <v>0</v>
      </c>
      <c r="CB49" s="2075">
        <f t="shared" si="224"/>
        <v>0</v>
      </c>
      <c r="CC49" s="2191"/>
      <c r="CD49" s="13"/>
    </row>
    <row r="50" spans="1:88" ht="14.25" customHeight="1">
      <c r="A50" s="7"/>
      <c r="B50" s="101" t="s">
        <v>606</v>
      </c>
      <c r="C50" s="24"/>
      <c r="D50" s="25">
        <v>0</v>
      </c>
      <c r="E50" s="25">
        <v>0</v>
      </c>
      <c r="F50" s="25">
        <v>0</v>
      </c>
      <c r="G50" s="26">
        <v>0</v>
      </c>
      <c r="H50" s="25">
        <v>0</v>
      </c>
      <c r="I50" s="25">
        <v>0</v>
      </c>
      <c r="J50" s="25">
        <v>0</v>
      </c>
      <c r="K50" s="26">
        <v>0</v>
      </c>
      <c r="L50" s="25">
        <v>0</v>
      </c>
      <c r="M50" s="25">
        <v>0</v>
      </c>
      <c r="N50" s="25">
        <v>0</v>
      </c>
      <c r="O50" s="26">
        <v>0</v>
      </c>
      <c r="P50" s="25">
        <v>0</v>
      </c>
      <c r="Q50" s="25">
        <v>31</v>
      </c>
      <c r="R50" s="25">
        <v>9</v>
      </c>
      <c r="S50" s="359">
        <f>90-SUM(P50:R50)</f>
        <v>50</v>
      </c>
      <c r="T50" s="25">
        <v>60</v>
      </c>
      <c r="U50" s="25">
        <v>1</v>
      </c>
      <c r="V50" s="25">
        <v>4</v>
      </c>
      <c r="W50" s="359">
        <f>65-V50-U50-T50</f>
        <v>0</v>
      </c>
      <c r="X50" s="25">
        <v>0</v>
      </c>
      <c r="Y50" s="25">
        <v>-4</v>
      </c>
      <c r="Z50" s="25">
        <v>16</v>
      </c>
      <c r="AA50" s="359">
        <f>-4-Z50-Y50-X50</f>
        <v>-16</v>
      </c>
      <c r="AB50" s="25">
        <v>0</v>
      </c>
      <c r="AC50" s="25">
        <v>0</v>
      </c>
      <c r="AD50" s="25">
        <v>8</v>
      </c>
      <c r="AE50" s="26">
        <v>98</v>
      </c>
      <c r="AF50" s="25">
        <v>8</v>
      </c>
      <c r="AG50" s="25">
        <v>0</v>
      </c>
      <c r="AH50" s="25">
        <v>3</v>
      </c>
      <c r="AI50" s="25">
        <v>90</v>
      </c>
      <c r="AJ50" s="582">
        <v>47</v>
      </c>
      <c r="AK50" s="25">
        <v>5</v>
      </c>
      <c r="AL50" s="25">
        <v>-22</v>
      </c>
      <c r="AM50" s="25">
        <v>0</v>
      </c>
      <c r="AN50" s="582">
        <v>0</v>
      </c>
      <c r="AO50" s="25">
        <v>0</v>
      </c>
      <c r="AP50" s="25">
        <v>0</v>
      </c>
      <c r="AQ50" s="25">
        <v>71</v>
      </c>
      <c r="AR50" s="582">
        <v>87</v>
      </c>
      <c r="AS50" s="25">
        <v>0</v>
      </c>
      <c r="AT50" s="25">
        <v>48</v>
      </c>
      <c r="AU50" s="26">
        <v>-6</v>
      </c>
      <c r="AV50" s="582">
        <v>-3</v>
      </c>
      <c r="AW50" s="25">
        <v>-7</v>
      </c>
      <c r="AX50" s="25">
        <v>0</v>
      </c>
      <c r="AY50" s="1642">
        <v>0</v>
      </c>
      <c r="AZ50" s="25">
        <v>0</v>
      </c>
      <c r="BA50" s="25">
        <v>0</v>
      </c>
      <c r="BB50" s="25">
        <v>0</v>
      </c>
      <c r="BC50" s="1642">
        <v>0</v>
      </c>
      <c r="BD50" s="25">
        <v>0</v>
      </c>
      <c r="BE50" s="25">
        <v>0</v>
      </c>
      <c r="BF50" s="25">
        <v>0</v>
      </c>
      <c r="BG50" s="1642"/>
      <c r="BH50" s="1916">
        <v>0</v>
      </c>
      <c r="BI50" s="25">
        <v>0</v>
      </c>
      <c r="BJ50" s="25">
        <v>0</v>
      </c>
      <c r="BK50" s="1642"/>
      <c r="BL50" s="244"/>
      <c r="BM50" s="27">
        <f>SUM(D50:G50)</f>
        <v>0</v>
      </c>
      <c r="BN50" s="27">
        <f>SUM(H50:K50)</f>
        <v>0</v>
      </c>
      <c r="BO50" s="27">
        <f>SUM(L50:O50)</f>
        <v>0</v>
      </c>
      <c r="BP50" s="27">
        <f>SUM(P50:S50)</f>
        <v>90</v>
      </c>
      <c r="BQ50" s="27">
        <f>SUM(T50:W50)</f>
        <v>65</v>
      </c>
      <c r="BR50" s="27">
        <f>SUM(X50:AA50)</f>
        <v>-4</v>
      </c>
      <c r="BS50" s="27">
        <f>SUM(AB50:AE50)</f>
        <v>106</v>
      </c>
      <c r="BT50" s="27">
        <f>SUM(AF50:AI50)</f>
        <v>101</v>
      </c>
      <c r="BU50" s="27">
        <f>SUM(AJ50:AM50)</f>
        <v>30</v>
      </c>
      <c r="BV50" s="27">
        <f>SUM(AN50:AQ50)</f>
        <v>71</v>
      </c>
      <c r="BW50" s="27">
        <f t="shared" si="221"/>
        <v>129</v>
      </c>
      <c r="BX50" s="27">
        <f t="shared" si="222"/>
        <v>-10</v>
      </c>
      <c r="BY50" s="1491">
        <f t="shared" si="223"/>
        <v>0</v>
      </c>
      <c r="BZ50" s="1491">
        <f>SUM(BD50:BG50)</f>
        <v>0</v>
      </c>
      <c r="CA50" s="1491">
        <f>SUM(BH50:BK50)</f>
        <v>0</v>
      </c>
      <c r="CB50" s="2075">
        <f t="shared" si="224"/>
        <v>0</v>
      </c>
      <c r="CC50" s="2191"/>
      <c r="CD50" s="13"/>
    </row>
    <row r="51" spans="1:88" ht="14.25" customHeight="1">
      <c r="A51" s="7"/>
      <c r="B51" s="101" t="s">
        <v>605</v>
      </c>
      <c r="C51" s="24"/>
      <c r="D51" s="25">
        <v>0</v>
      </c>
      <c r="E51" s="25">
        <v>0</v>
      </c>
      <c r="F51" s="25">
        <v>0</v>
      </c>
      <c r="G51" s="26">
        <v>0</v>
      </c>
      <c r="H51" s="25">
        <v>0</v>
      </c>
      <c r="I51" s="25">
        <v>0</v>
      </c>
      <c r="J51" s="25">
        <v>0</v>
      </c>
      <c r="K51" s="359">
        <f>416-SUM(H51:J51)</f>
        <v>416</v>
      </c>
      <c r="L51" s="25">
        <v>0</v>
      </c>
      <c r="M51" s="25">
        <v>0</v>
      </c>
      <c r="N51" s="25">
        <v>0</v>
      </c>
      <c r="O51" s="359">
        <f>1608-SUM(L51:N51)</f>
        <v>1608</v>
      </c>
      <c r="P51" s="25"/>
      <c r="Q51" s="25">
        <f>403-193</f>
        <v>210</v>
      </c>
      <c r="R51" s="25">
        <f>2</f>
        <v>2</v>
      </c>
      <c r="S51" s="359">
        <f>1089-193-SUM(P51:R51)</f>
        <v>684</v>
      </c>
      <c r="T51" s="25">
        <v>0</v>
      </c>
      <c r="U51" s="25">
        <v>0</v>
      </c>
      <c r="V51" s="25">
        <v>0</v>
      </c>
      <c r="W51" s="359">
        <f>-1242-V51-U51-T51</f>
        <v>-1242</v>
      </c>
      <c r="X51" s="25">
        <v>0</v>
      </c>
      <c r="Y51" s="25">
        <v>0</v>
      </c>
      <c r="Z51" s="25">
        <v>0</v>
      </c>
      <c r="AA51" s="359">
        <f>-283-Z51-Y51-X51</f>
        <v>-283</v>
      </c>
      <c r="AB51" s="25">
        <v>0</v>
      </c>
      <c r="AC51" s="25">
        <v>0</v>
      </c>
      <c r="AD51" s="25">
        <v>0</v>
      </c>
      <c r="AE51" s="26">
        <v>0</v>
      </c>
      <c r="AF51" s="25">
        <v>0</v>
      </c>
      <c r="AG51" s="25">
        <v>0</v>
      </c>
      <c r="AH51" s="25">
        <v>0</v>
      </c>
      <c r="AI51" s="25">
        <v>0</v>
      </c>
      <c r="AJ51" s="582">
        <v>0</v>
      </c>
      <c r="AK51" s="25">
        <v>0</v>
      </c>
      <c r="AL51" s="25">
        <v>0</v>
      </c>
      <c r="AM51" s="25">
        <v>-48</v>
      </c>
      <c r="AN51" s="582">
        <v>0</v>
      </c>
      <c r="AO51" s="25">
        <v>0</v>
      </c>
      <c r="AP51" s="25">
        <v>0</v>
      </c>
      <c r="AQ51" s="25">
        <v>233</v>
      </c>
      <c r="AR51" s="582">
        <v>0</v>
      </c>
      <c r="AS51" s="25">
        <v>0</v>
      </c>
      <c r="AT51" s="25">
        <v>0</v>
      </c>
      <c r="AU51" s="26"/>
      <c r="AV51" s="582">
        <v>-7</v>
      </c>
      <c r="AW51" s="25">
        <v>-26</v>
      </c>
      <c r="AX51" s="25">
        <v>-24</v>
      </c>
      <c r="AY51" s="1642">
        <v>-31</v>
      </c>
      <c r="AZ51" s="25">
        <v>-27</v>
      </c>
      <c r="BA51" s="25">
        <v>-25</v>
      </c>
      <c r="BB51" s="25">
        <v>0</v>
      </c>
      <c r="BC51" s="1642">
        <v>0</v>
      </c>
      <c r="BD51" s="25">
        <v>0</v>
      </c>
      <c r="BE51" s="1882">
        <v>0</v>
      </c>
      <c r="BF51" s="1882">
        <v>-15</v>
      </c>
      <c r="BG51" s="1883">
        <v>-15</v>
      </c>
      <c r="BH51" s="2019">
        <v>-15</v>
      </c>
      <c r="BI51" s="1882">
        <v>-15</v>
      </c>
      <c r="BJ51" s="1882">
        <v>-10</v>
      </c>
      <c r="BK51" s="1883">
        <v>-10</v>
      </c>
      <c r="BL51" s="244"/>
      <c r="BM51" s="27">
        <f>SUM(D51:G51)</f>
        <v>0</v>
      </c>
      <c r="BN51" s="27">
        <f>SUM(H51:K51)</f>
        <v>416</v>
      </c>
      <c r="BO51" s="27">
        <f>SUM(L51:O51)</f>
        <v>1608</v>
      </c>
      <c r="BP51" s="27">
        <f>SUM(P51:S51)</f>
        <v>896</v>
      </c>
      <c r="BQ51" s="27">
        <f>SUM(T51:W51)</f>
        <v>-1242</v>
      </c>
      <c r="BR51" s="27">
        <f>SUM(X51:AA51)</f>
        <v>-283</v>
      </c>
      <c r="BS51" s="27">
        <f>SUM(AB51:AE51)</f>
        <v>0</v>
      </c>
      <c r="BT51" s="27">
        <f>SUM(AF51:AI51)</f>
        <v>0</v>
      </c>
      <c r="BU51" s="27">
        <f>SUM(AJ51:AM51)</f>
        <v>-48</v>
      </c>
      <c r="BV51" s="27">
        <f>SUM(AN51:AQ51)</f>
        <v>233</v>
      </c>
      <c r="BW51" s="27">
        <f t="shared" si="221"/>
        <v>0</v>
      </c>
      <c r="BX51" s="27">
        <f t="shared" si="222"/>
        <v>-88</v>
      </c>
      <c r="BY51" s="1491">
        <f t="shared" si="223"/>
        <v>-52</v>
      </c>
      <c r="BZ51" s="1491">
        <f>SUM(BD51:BG51)</f>
        <v>-30</v>
      </c>
      <c r="CA51" s="1491">
        <f>SUM(BH51:BK51)</f>
        <v>-50</v>
      </c>
      <c r="CB51" s="2075">
        <f t="shared" si="224"/>
        <v>-50</v>
      </c>
      <c r="CC51" s="2191"/>
      <c r="CD51" s="13"/>
    </row>
    <row r="52" spans="1:88" ht="14.25" customHeight="1">
      <c r="A52" s="7"/>
      <c r="B52" s="21" t="s">
        <v>612</v>
      </c>
      <c r="C52" s="24"/>
      <c r="D52" s="27">
        <f t="shared" ref="D52:AU52" si="225">+D53</f>
        <v>0</v>
      </c>
      <c r="E52" s="27">
        <f t="shared" si="225"/>
        <v>0</v>
      </c>
      <c r="F52" s="27">
        <f t="shared" si="225"/>
        <v>0</v>
      </c>
      <c r="G52" s="28">
        <f t="shared" si="225"/>
        <v>0</v>
      </c>
      <c r="H52" s="27">
        <f t="shared" si="225"/>
        <v>0</v>
      </c>
      <c r="I52" s="27">
        <f t="shared" si="225"/>
        <v>0</v>
      </c>
      <c r="J52" s="27">
        <f t="shared" si="225"/>
        <v>0</v>
      </c>
      <c r="K52" s="28">
        <f t="shared" si="225"/>
        <v>0</v>
      </c>
      <c r="L52" s="27">
        <f t="shared" si="225"/>
        <v>0</v>
      </c>
      <c r="M52" s="27">
        <f t="shared" si="225"/>
        <v>0</v>
      </c>
      <c r="N52" s="27">
        <f t="shared" si="225"/>
        <v>0</v>
      </c>
      <c r="O52" s="28">
        <f t="shared" si="225"/>
        <v>0</v>
      </c>
      <c r="P52" s="27">
        <f t="shared" si="225"/>
        <v>0</v>
      </c>
      <c r="Q52" s="27">
        <f t="shared" si="225"/>
        <v>0</v>
      </c>
      <c r="R52" s="27">
        <f t="shared" si="225"/>
        <v>0</v>
      </c>
      <c r="S52" s="28">
        <f t="shared" si="225"/>
        <v>0</v>
      </c>
      <c r="T52" s="27">
        <f t="shared" si="225"/>
        <v>0</v>
      </c>
      <c r="U52" s="27">
        <f t="shared" si="225"/>
        <v>0</v>
      </c>
      <c r="V52" s="27">
        <f t="shared" si="225"/>
        <v>0</v>
      </c>
      <c r="W52" s="28">
        <f t="shared" si="225"/>
        <v>0</v>
      </c>
      <c r="X52" s="27">
        <f t="shared" si="225"/>
        <v>0</v>
      </c>
      <c r="Y52" s="27">
        <f t="shared" si="225"/>
        <v>0</v>
      </c>
      <c r="Z52" s="27">
        <f t="shared" si="225"/>
        <v>0</v>
      </c>
      <c r="AA52" s="28">
        <f t="shared" si="225"/>
        <v>0</v>
      </c>
      <c r="AB52" s="27">
        <f t="shared" si="225"/>
        <v>0</v>
      </c>
      <c r="AC52" s="27">
        <f t="shared" si="225"/>
        <v>0</v>
      </c>
      <c r="AD52" s="27">
        <f t="shared" si="225"/>
        <v>0</v>
      </c>
      <c r="AE52" s="28">
        <f t="shared" si="225"/>
        <v>0</v>
      </c>
      <c r="AF52" s="27">
        <f t="shared" si="225"/>
        <v>0</v>
      </c>
      <c r="AG52" s="27">
        <f t="shared" si="225"/>
        <v>0</v>
      </c>
      <c r="AH52" s="27">
        <f t="shared" si="225"/>
        <v>0</v>
      </c>
      <c r="AI52" s="27">
        <f t="shared" si="225"/>
        <v>0</v>
      </c>
      <c r="AJ52" s="29">
        <f t="shared" si="225"/>
        <v>0</v>
      </c>
      <c r="AK52" s="27">
        <f t="shared" si="225"/>
        <v>0</v>
      </c>
      <c r="AL52" s="27">
        <f t="shared" si="225"/>
        <v>0</v>
      </c>
      <c r="AM52" s="27">
        <f t="shared" si="225"/>
        <v>0</v>
      </c>
      <c r="AN52" s="29">
        <f>+AN53</f>
        <v>14</v>
      </c>
      <c r="AO52" s="27">
        <f t="shared" si="225"/>
        <v>0</v>
      </c>
      <c r="AP52" s="27">
        <f t="shared" si="225"/>
        <v>0</v>
      </c>
      <c r="AQ52" s="27">
        <f t="shared" si="225"/>
        <v>0</v>
      </c>
      <c r="AR52" s="29">
        <f t="shared" si="225"/>
        <v>0</v>
      </c>
      <c r="AS52" s="27">
        <f t="shared" si="225"/>
        <v>0</v>
      </c>
      <c r="AT52" s="27">
        <f t="shared" si="225"/>
        <v>0</v>
      </c>
      <c r="AU52" s="28">
        <f t="shared" si="225"/>
        <v>0</v>
      </c>
      <c r="AV52" s="27">
        <f t="shared" ref="AV52:BA52" si="226">+AV51</f>
        <v>-7</v>
      </c>
      <c r="AW52" s="27">
        <f t="shared" si="226"/>
        <v>-26</v>
      </c>
      <c r="AX52" s="27">
        <f t="shared" si="226"/>
        <v>-24</v>
      </c>
      <c r="AY52" s="1639">
        <f t="shared" si="226"/>
        <v>-31</v>
      </c>
      <c r="AZ52" s="27">
        <f t="shared" si="226"/>
        <v>-27</v>
      </c>
      <c r="BA52" s="27">
        <f t="shared" si="226"/>
        <v>-25</v>
      </c>
      <c r="BB52" s="27">
        <f t="shared" ref="BB52:BD52" si="227">+BB51</f>
        <v>0</v>
      </c>
      <c r="BC52" s="1639">
        <f t="shared" si="227"/>
        <v>0</v>
      </c>
      <c r="BD52" s="27">
        <f t="shared" si="227"/>
        <v>0</v>
      </c>
      <c r="BE52" s="27">
        <f t="shared" ref="BE52:BK52" si="228">+BE53</f>
        <v>0</v>
      </c>
      <c r="BF52" s="27">
        <f t="shared" si="228"/>
        <v>-15</v>
      </c>
      <c r="BG52" s="1639">
        <f t="shared" si="228"/>
        <v>-15</v>
      </c>
      <c r="BH52" s="1914">
        <f t="shared" si="228"/>
        <v>-15</v>
      </c>
      <c r="BI52" s="27">
        <f t="shared" si="228"/>
        <v>-15</v>
      </c>
      <c r="BJ52" s="27">
        <f t="shared" si="228"/>
        <v>-10</v>
      </c>
      <c r="BK52" s="1639">
        <f t="shared" si="228"/>
        <v>-10</v>
      </c>
      <c r="BL52" s="244"/>
      <c r="BM52" s="27">
        <f t="shared" ref="BM52:BX52" si="229">+BM53</f>
        <v>0</v>
      </c>
      <c r="BN52" s="27">
        <f t="shared" si="229"/>
        <v>0</v>
      </c>
      <c r="BO52" s="27">
        <f t="shared" si="229"/>
        <v>0</v>
      </c>
      <c r="BP52" s="27">
        <f t="shared" si="229"/>
        <v>0</v>
      </c>
      <c r="BQ52" s="27">
        <f t="shared" si="229"/>
        <v>0</v>
      </c>
      <c r="BR52" s="27">
        <f t="shared" si="229"/>
        <v>0</v>
      </c>
      <c r="BS52" s="27">
        <f t="shared" si="229"/>
        <v>0</v>
      </c>
      <c r="BT52" s="27">
        <f t="shared" si="229"/>
        <v>0</v>
      </c>
      <c r="BU52" s="27">
        <f t="shared" si="229"/>
        <v>0</v>
      </c>
      <c r="BV52" s="27">
        <f t="shared" si="229"/>
        <v>14</v>
      </c>
      <c r="BW52" s="27">
        <f t="shared" si="229"/>
        <v>0</v>
      </c>
      <c r="BX52" s="27">
        <f t="shared" si="229"/>
        <v>-88</v>
      </c>
      <c r="BY52" s="27">
        <f t="shared" ref="BY52:CB52" si="230">+BY53</f>
        <v>-52</v>
      </c>
      <c r="BZ52" s="27">
        <f t="shared" si="230"/>
        <v>-30</v>
      </c>
      <c r="CA52" s="27">
        <f t="shared" si="230"/>
        <v>-50</v>
      </c>
      <c r="CB52" s="2075">
        <f t="shared" si="230"/>
        <v>-50</v>
      </c>
      <c r="CC52" s="2191"/>
      <c r="CD52" s="13"/>
    </row>
    <row r="53" spans="1:88" s="405" customFormat="1" ht="14.25" customHeight="1">
      <c r="A53" s="7"/>
      <c r="B53" s="21" t="s">
        <v>4</v>
      </c>
      <c r="C53" s="22"/>
      <c r="D53" s="25">
        <v>0</v>
      </c>
      <c r="E53" s="25">
        <v>0</v>
      </c>
      <c r="F53" s="25">
        <v>0</v>
      </c>
      <c r="G53" s="26">
        <v>0</v>
      </c>
      <c r="H53" s="25">
        <v>0</v>
      </c>
      <c r="I53" s="25">
        <v>0</v>
      </c>
      <c r="J53" s="25">
        <v>0</v>
      </c>
      <c r="K53" s="26">
        <v>0</v>
      </c>
      <c r="L53" s="25">
        <v>0</v>
      </c>
      <c r="M53" s="25">
        <v>0</v>
      </c>
      <c r="N53" s="25">
        <v>0</v>
      </c>
      <c r="O53" s="26">
        <v>0</v>
      </c>
      <c r="P53" s="25">
        <v>0</v>
      </c>
      <c r="Q53" s="25">
        <v>0</v>
      </c>
      <c r="R53" s="25">
        <v>0</v>
      </c>
      <c r="S53" s="26">
        <v>0</v>
      </c>
      <c r="T53" s="25">
        <v>0</v>
      </c>
      <c r="U53" s="25">
        <v>0</v>
      </c>
      <c r="V53" s="25">
        <v>0</v>
      </c>
      <c r="W53" s="26">
        <v>0</v>
      </c>
      <c r="X53" s="25">
        <v>0</v>
      </c>
      <c r="Y53" s="25">
        <v>0</v>
      </c>
      <c r="Z53" s="25">
        <v>0</v>
      </c>
      <c r="AA53" s="26">
        <v>0</v>
      </c>
      <c r="AB53" s="25">
        <v>0</v>
      </c>
      <c r="AC53" s="25">
        <v>0</v>
      </c>
      <c r="AD53" s="25">
        <v>0</v>
      </c>
      <c r="AE53" s="26">
        <v>0</v>
      </c>
      <c r="AF53" s="25">
        <v>0</v>
      </c>
      <c r="AG53" s="25">
        <v>0</v>
      </c>
      <c r="AH53" s="25">
        <v>0</v>
      </c>
      <c r="AI53" s="25">
        <v>0</v>
      </c>
      <c r="AJ53" s="582">
        <v>0</v>
      </c>
      <c r="AK53" s="25">
        <v>0</v>
      </c>
      <c r="AL53" s="25">
        <v>0</v>
      </c>
      <c r="AM53" s="25">
        <v>0</v>
      </c>
      <c r="AN53" s="582">
        <v>14</v>
      </c>
      <c r="AO53" s="25">
        <v>0</v>
      </c>
      <c r="AP53" s="25">
        <v>0</v>
      </c>
      <c r="AQ53" s="25">
        <v>0</v>
      </c>
      <c r="AR53" s="582">
        <v>0</v>
      </c>
      <c r="AS53" s="25">
        <v>0</v>
      </c>
      <c r="AT53" s="25">
        <v>0</v>
      </c>
      <c r="AU53" s="26">
        <v>0</v>
      </c>
      <c r="AV53" s="25">
        <f t="shared" ref="AV53:AW53" si="231">+AV52</f>
        <v>-7</v>
      </c>
      <c r="AW53" s="25">
        <f t="shared" si="231"/>
        <v>-26</v>
      </c>
      <c r="AX53" s="25">
        <f>+AX52</f>
        <v>-24</v>
      </c>
      <c r="AY53" s="1642">
        <f>+AY52</f>
        <v>-31</v>
      </c>
      <c r="AZ53" s="25">
        <f t="shared" ref="AZ53:BA53" si="232">+AZ52</f>
        <v>-27</v>
      </c>
      <c r="BA53" s="25">
        <f t="shared" si="232"/>
        <v>-25</v>
      </c>
      <c r="BB53" s="25">
        <v>0</v>
      </c>
      <c r="BC53" s="1642">
        <f>+BC52</f>
        <v>0</v>
      </c>
      <c r="BD53" s="25">
        <f t="shared" ref="BD53" si="233">+BD52</f>
        <v>0</v>
      </c>
      <c r="BE53" s="27">
        <f t="shared" ref="BE53:BG53" si="234">BE51</f>
        <v>0</v>
      </c>
      <c r="BF53" s="27">
        <f t="shared" si="234"/>
        <v>-15</v>
      </c>
      <c r="BG53" s="1639">
        <f t="shared" si="234"/>
        <v>-15</v>
      </c>
      <c r="BH53" s="1914">
        <f t="shared" ref="BH53:BJ53" si="235">BH51</f>
        <v>-15</v>
      </c>
      <c r="BI53" s="27">
        <f t="shared" si="235"/>
        <v>-15</v>
      </c>
      <c r="BJ53" s="27">
        <f t="shared" si="235"/>
        <v>-10</v>
      </c>
      <c r="BK53" s="1639">
        <f>BK51</f>
        <v>-10</v>
      </c>
      <c r="BL53" s="244"/>
      <c r="BM53" s="27">
        <f>SUM(D53:G53)</f>
        <v>0</v>
      </c>
      <c r="BN53" s="27">
        <f>SUM(H53:K53)</f>
        <v>0</v>
      </c>
      <c r="BO53" s="27">
        <f>SUM(L53:O53)</f>
        <v>0</v>
      </c>
      <c r="BP53" s="27">
        <f>SUM(P53:S53)</f>
        <v>0</v>
      </c>
      <c r="BQ53" s="27">
        <f>SUM(T53:W53)</f>
        <v>0</v>
      </c>
      <c r="BR53" s="27">
        <f>SUM(X53:AA53)</f>
        <v>0</v>
      </c>
      <c r="BS53" s="27">
        <f>SUM(AB53:AE53)</f>
        <v>0</v>
      </c>
      <c r="BT53" s="27">
        <f>SUM(AF53:AI53)</f>
        <v>0</v>
      </c>
      <c r="BU53" s="27">
        <f>SUM(AJ53:AM53)</f>
        <v>0</v>
      </c>
      <c r="BV53" s="27">
        <f>SUM(AN53:AQ53)</f>
        <v>14</v>
      </c>
      <c r="BW53" s="27">
        <f t="shared" si="221"/>
        <v>0</v>
      </c>
      <c r="BX53" s="27">
        <f t="shared" si="222"/>
        <v>-88</v>
      </c>
      <c r="BY53" s="1491">
        <f t="shared" si="223"/>
        <v>-52</v>
      </c>
      <c r="BZ53" s="1491">
        <f>SUM(BD53:BG53)</f>
        <v>-30</v>
      </c>
      <c r="CA53" s="1491">
        <f>SUM(BH53:BK53)</f>
        <v>-50</v>
      </c>
      <c r="CB53" s="2075">
        <f>CA53</f>
        <v>-50</v>
      </c>
      <c r="CC53" s="2191"/>
      <c r="CD53" s="13"/>
      <c r="CE53"/>
      <c r="CF53"/>
      <c r="CG53"/>
      <c r="CH53"/>
      <c r="CI53"/>
      <c r="CJ53"/>
    </row>
    <row r="54" spans="1:88" ht="14.25" customHeight="1">
      <c r="A54" s="7"/>
      <c r="B54" s="21"/>
      <c r="C54" s="22"/>
      <c r="D54" s="37"/>
      <c r="E54" s="37"/>
      <c r="F54" s="37"/>
      <c r="G54" s="38"/>
      <c r="H54" s="37"/>
      <c r="I54" s="37"/>
      <c r="J54" s="37"/>
      <c r="K54" s="38"/>
      <c r="L54" s="37"/>
      <c r="M54" s="37"/>
      <c r="N54" s="37"/>
      <c r="O54" s="38"/>
      <c r="P54" s="37"/>
      <c r="Q54" s="37"/>
      <c r="R54" s="37"/>
      <c r="S54" s="38"/>
      <c r="T54" s="37"/>
      <c r="U54" s="37"/>
      <c r="V54" s="37"/>
      <c r="W54" s="38"/>
      <c r="X54" s="37"/>
      <c r="Y54" s="37"/>
      <c r="Z54" s="37"/>
      <c r="AA54" s="38"/>
      <c r="AB54" s="37"/>
      <c r="AC54" s="37"/>
      <c r="AD54" s="37"/>
      <c r="AE54" s="38"/>
      <c r="AF54" s="37"/>
      <c r="AG54" s="37"/>
      <c r="AH54" s="37"/>
      <c r="AI54" s="37"/>
      <c r="AJ54" s="645"/>
      <c r="AK54" s="37"/>
      <c r="AL54" s="37"/>
      <c r="AM54" s="37"/>
      <c r="AN54" s="645"/>
      <c r="AO54" s="37"/>
      <c r="AP54" s="37"/>
      <c r="AQ54" s="37"/>
      <c r="AR54" s="645"/>
      <c r="AS54" s="37"/>
      <c r="AT54" s="37"/>
      <c r="AU54" s="38"/>
      <c r="AV54" s="645"/>
      <c r="AW54" s="37"/>
      <c r="AX54" s="37"/>
      <c r="AY54" s="1640"/>
      <c r="AZ54" s="37"/>
      <c r="BA54" s="37"/>
      <c r="BB54" s="37"/>
      <c r="BC54" s="1640"/>
      <c r="BD54" s="37"/>
      <c r="BE54" s="37"/>
      <c r="BF54" s="37"/>
      <c r="BG54" s="1640"/>
      <c r="BH54" s="1917"/>
      <c r="BI54" s="37"/>
      <c r="BJ54" s="37"/>
      <c r="BK54" s="1640"/>
      <c r="BL54" s="244"/>
      <c r="BM54" s="37"/>
      <c r="BN54" s="37"/>
      <c r="BO54" s="37"/>
      <c r="BP54" s="37"/>
      <c r="BQ54" s="37"/>
      <c r="BR54" s="37"/>
      <c r="BS54" s="37"/>
      <c r="BT54" s="37"/>
      <c r="BU54" s="37"/>
      <c r="BV54" s="37"/>
      <c r="BW54" s="37"/>
      <c r="BX54" s="37"/>
      <c r="BY54" s="37"/>
      <c r="BZ54" s="37"/>
      <c r="CA54" s="37"/>
      <c r="CB54" s="2081"/>
      <c r="CC54" s="2191"/>
      <c r="CD54" s="13"/>
    </row>
    <row r="55" spans="1:88" s="423" customFormat="1" ht="14.25" customHeight="1">
      <c r="A55" s="415"/>
      <c r="B55" s="416" t="s">
        <v>22</v>
      </c>
      <c r="C55" s="417"/>
      <c r="D55" s="485">
        <f t="shared" ref="D55:AI55" si="236">D28+D38+D48</f>
        <v>464.83600000000001</v>
      </c>
      <c r="E55" s="485">
        <f t="shared" si="236"/>
        <v>501.09500000000003</v>
      </c>
      <c r="F55" s="485">
        <f t="shared" si="236"/>
        <v>547.76599999999996</v>
      </c>
      <c r="G55" s="487">
        <f t="shared" si="236"/>
        <v>646.30300000000011</v>
      </c>
      <c r="H55" s="485">
        <f t="shared" si="236"/>
        <v>520.21799999999996</v>
      </c>
      <c r="I55" s="485">
        <f t="shared" si="236"/>
        <v>588.19899999999996</v>
      </c>
      <c r="J55" s="485">
        <f t="shared" si="236"/>
        <v>563.18599999999992</v>
      </c>
      <c r="K55" s="487">
        <f t="shared" si="236"/>
        <v>1168.3969999999999</v>
      </c>
      <c r="L55" s="485">
        <f t="shared" si="236"/>
        <v>851</v>
      </c>
      <c r="M55" s="485">
        <f t="shared" si="236"/>
        <v>918</v>
      </c>
      <c r="N55" s="485">
        <f t="shared" si="236"/>
        <v>895</v>
      </c>
      <c r="O55" s="487">
        <f t="shared" si="236"/>
        <v>2463</v>
      </c>
      <c r="P55" s="485">
        <f t="shared" si="236"/>
        <v>855</v>
      </c>
      <c r="Q55" s="485">
        <f t="shared" si="236"/>
        <v>1080</v>
      </c>
      <c r="R55" s="485">
        <f t="shared" si="236"/>
        <v>794</v>
      </c>
      <c r="S55" s="487">
        <f t="shared" si="236"/>
        <v>1546</v>
      </c>
      <c r="T55" s="485">
        <f t="shared" si="236"/>
        <v>809</v>
      </c>
      <c r="U55" s="485">
        <f t="shared" si="236"/>
        <v>690</v>
      </c>
      <c r="V55" s="485">
        <f t="shared" si="236"/>
        <v>662</v>
      </c>
      <c r="W55" s="487">
        <f t="shared" si="236"/>
        <v>-553</v>
      </c>
      <c r="X55" s="485">
        <f t="shared" si="236"/>
        <v>559</v>
      </c>
      <c r="Y55" s="485">
        <f t="shared" si="236"/>
        <v>613</v>
      </c>
      <c r="Z55" s="485">
        <f t="shared" si="236"/>
        <v>611</v>
      </c>
      <c r="AA55" s="487">
        <f t="shared" si="236"/>
        <v>330</v>
      </c>
      <c r="AB55" s="485">
        <f t="shared" si="236"/>
        <v>637</v>
      </c>
      <c r="AC55" s="485">
        <f t="shared" si="236"/>
        <v>615</v>
      </c>
      <c r="AD55" s="485">
        <f t="shared" si="236"/>
        <v>618</v>
      </c>
      <c r="AE55" s="487">
        <f t="shared" si="236"/>
        <v>702</v>
      </c>
      <c r="AF55" s="485">
        <f t="shared" si="236"/>
        <v>607</v>
      </c>
      <c r="AG55" s="485">
        <f t="shared" si="236"/>
        <v>561</v>
      </c>
      <c r="AH55" s="485">
        <f t="shared" si="236"/>
        <v>523</v>
      </c>
      <c r="AI55" s="487">
        <f t="shared" si="236"/>
        <v>600</v>
      </c>
      <c r="AJ55" s="485">
        <f t="shared" ref="AJ55:AV55" si="237">AJ28+AJ38+AJ48</f>
        <v>543</v>
      </c>
      <c r="AK55" s="485">
        <f t="shared" si="237"/>
        <v>488</v>
      </c>
      <c r="AL55" s="485">
        <f t="shared" si="237"/>
        <v>426</v>
      </c>
      <c r="AM55" s="485">
        <f t="shared" si="237"/>
        <v>418</v>
      </c>
      <c r="AN55" s="488">
        <f t="shared" si="237"/>
        <v>438</v>
      </c>
      <c r="AO55" s="485">
        <f t="shared" si="237"/>
        <v>435</v>
      </c>
      <c r="AP55" s="485">
        <f t="shared" si="237"/>
        <v>431</v>
      </c>
      <c r="AQ55" s="487">
        <f t="shared" si="237"/>
        <v>690</v>
      </c>
      <c r="AR55" s="485">
        <f t="shared" si="237"/>
        <v>463</v>
      </c>
      <c r="AS55" s="485">
        <f t="shared" si="237"/>
        <v>369</v>
      </c>
      <c r="AT55" s="485">
        <f t="shared" si="237"/>
        <v>397</v>
      </c>
      <c r="AU55" s="487">
        <f t="shared" si="237"/>
        <v>332</v>
      </c>
      <c r="AV55" s="485">
        <f t="shared" si="237"/>
        <v>337</v>
      </c>
      <c r="AW55" s="485">
        <f>AW28+AW38+AW48</f>
        <v>327</v>
      </c>
      <c r="AX55" s="485">
        <f>AX28+AX38+AX48</f>
        <v>352</v>
      </c>
      <c r="AY55" s="487">
        <f t="shared" ref="AY55:AZ55" si="238">AY28+AY38+AY48</f>
        <v>354</v>
      </c>
      <c r="AZ55" s="485">
        <f t="shared" si="238"/>
        <v>360</v>
      </c>
      <c r="BA55" s="485">
        <f>BA28+BA38+BA48</f>
        <v>379</v>
      </c>
      <c r="BB55" s="485">
        <f>BB28+BB38+BB48</f>
        <v>447</v>
      </c>
      <c r="BC55" s="487">
        <f t="shared" ref="BC55:BD55" si="239">BC28+BC38+BC48</f>
        <v>433</v>
      </c>
      <c r="BD55" s="485">
        <f t="shared" si="239"/>
        <v>477</v>
      </c>
      <c r="BE55" s="485">
        <f t="shared" ref="BE55:BG55" si="240">BE28+BE38+BE48</f>
        <v>488</v>
      </c>
      <c r="BF55" s="485">
        <f t="shared" si="240"/>
        <v>493</v>
      </c>
      <c r="BG55" s="1647">
        <f t="shared" si="240"/>
        <v>498</v>
      </c>
      <c r="BH55" s="1915">
        <f t="shared" ref="BH55:BK55" si="241">BH28+BH38+BH48</f>
        <v>503</v>
      </c>
      <c r="BI55" s="485">
        <f t="shared" si="241"/>
        <v>508</v>
      </c>
      <c r="BJ55" s="485">
        <f t="shared" si="241"/>
        <v>513</v>
      </c>
      <c r="BK55" s="1647">
        <f t="shared" si="241"/>
        <v>518</v>
      </c>
      <c r="BL55" s="575"/>
      <c r="BM55" s="485">
        <f t="shared" ref="BM55:BY55" si="242">BM28+BM38+BM48</f>
        <v>2160</v>
      </c>
      <c r="BN55" s="485">
        <f t="shared" si="242"/>
        <v>2840</v>
      </c>
      <c r="BO55" s="485">
        <f t="shared" si="242"/>
        <v>5127</v>
      </c>
      <c r="BP55" s="485">
        <f t="shared" si="242"/>
        <v>4275</v>
      </c>
      <c r="BQ55" s="485">
        <f t="shared" si="242"/>
        <v>1608</v>
      </c>
      <c r="BR55" s="485">
        <f t="shared" si="242"/>
        <v>2113</v>
      </c>
      <c r="BS55" s="485">
        <f t="shared" si="242"/>
        <v>2572</v>
      </c>
      <c r="BT55" s="485">
        <f t="shared" si="242"/>
        <v>2291</v>
      </c>
      <c r="BU55" s="485">
        <f t="shared" si="242"/>
        <v>1875</v>
      </c>
      <c r="BV55" s="485">
        <f t="shared" ref="BV55:BX55" si="243">BV28+BV38+BV48</f>
        <v>1994</v>
      </c>
      <c r="BW55" s="485">
        <f t="shared" si="243"/>
        <v>1561</v>
      </c>
      <c r="BX55" s="485">
        <f t="shared" si="243"/>
        <v>1370</v>
      </c>
      <c r="BY55" s="485">
        <f t="shared" si="242"/>
        <v>1619</v>
      </c>
      <c r="BZ55" s="485">
        <f t="shared" ref="BZ55:CB55" si="244">BZ28+BZ38+BZ48</f>
        <v>1956</v>
      </c>
      <c r="CA55" s="485">
        <f t="shared" si="244"/>
        <v>2042</v>
      </c>
      <c r="CB55" s="2080">
        <f t="shared" si="244"/>
        <v>2042</v>
      </c>
      <c r="CC55" s="2191"/>
      <c r="CD55" s="1838"/>
      <c r="CE55"/>
      <c r="CF55"/>
      <c r="CG55"/>
      <c r="CH55"/>
      <c r="CI55"/>
      <c r="CJ55"/>
    </row>
    <row r="56" spans="1:88" s="423" customFormat="1" ht="14.25" customHeight="1">
      <c r="A56" s="415"/>
      <c r="B56" s="42" t="s">
        <v>613</v>
      </c>
      <c r="C56" s="417"/>
      <c r="D56" s="490">
        <f t="shared" ref="D56:AI56" si="245">+D33+D43+D52</f>
        <v>464.83600000000001</v>
      </c>
      <c r="E56" s="490">
        <f t="shared" si="245"/>
        <v>501.09500000000003</v>
      </c>
      <c r="F56" s="490">
        <f t="shared" si="245"/>
        <v>547.76599999999996</v>
      </c>
      <c r="G56" s="491">
        <f t="shared" si="245"/>
        <v>646.30300000000011</v>
      </c>
      <c r="H56" s="490">
        <f t="shared" si="245"/>
        <v>520.21799999999996</v>
      </c>
      <c r="I56" s="490">
        <f t="shared" si="245"/>
        <v>588.19899999999996</v>
      </c>
      <c r="J56" s="490">
        <f t="shared" si="245"/>
        <v>563.18599999999992</v>
      </c>
      <c r="K56" s="491">
        <f t="shared" si="245"/>
        <v>673.39700000000005</v>
      </c>
      <c r="L56" s="490">
        <f t="shared" si="245"/>
        <v>767</v>
      </c>
      <c r="M56" s="490">
        <f t="shared" si="245"/>
        <v>840</v>
      </c>
      <c r="N56" s="490">
        <f t="shared" si="245"/>
        <v>819</v>
      </c>
      <c r="O56" s="491">
        <f t="shared" si="245"/>
        <v>794</v>
      </c>
      <c r="P56" s="490">
        <f t="shared" si="245"/>
        <v>815</v>
      </c>
      <c r="Q56" s="490">
        <f t="shared" si="245"/>
        <v>802</v>
      </c>
      <c r="R56" s="490">
        <f t="shared" si="245"/>
        <v>753</v>
      </c>
      <c r="S56" s="491">
        <f t="shared" si="245"/>
        <v>782</v>
      </c>
      <c r="T56" s="490">
        <f t="shared" si="245"/>
        <v>731</v>
      </c>
      <c r="U56" s="490">
        <f t="shared" si="245"/>
        <v>672</v>
      </c>
      <c r="V56" s="490">
        <f t="shared" si="245"/>
        <v>641</v>
      </c>
      <c r="W56" s="491">
        <f t="shared" si="245"/>
        <v>510</v>
      </c>
      <c r="X56" s="490">
        <f t="shared" si="245"/>
        <v>542</v>
      </c>
      <c r="Y56" s="490">
        <f t="shared" si="245"/>
        <v>600</v>
      </c>
      <c r="Z56" s="490">
        <f t="shared" si="245"/>
        <v>595</v>
      </c>
      <c r="AA56" s="491">
        <f t="shared" si="245"/>
        <v>602</v>
      </c>
      <c r="AB56" s="490">
        <f t="shared" si="245"/>
        <v>628</v>
      </c>
      <c r="AC56" s="490">
        <f t="shared" si="245"/>
        <v>606</v>
      </c>
      <c r="AD56" s="490">
        <f t="shared" si="245"/>
        <v>610</v>
      </c>
      <c r="AE56" s="491">
        <f t="shared" si="245"/>
        <v>601</v>
      </c>
      <c r="AF56" s="490">
        <f t="shared" si="245"/>
        <v>598</v>
      </c>
      <c r="AG56" s="490">
        <f t="shared" si="245"/>
        <v>557</v>
      </c>
      <c r="AH56" s="490">
        <f t="shared" si="245"/>
        <v>516</v>
      </c>
      <c r="AI56" s="491">
        <f t="shared" si="245"/>
        <v>506</v>
      </c>
      <c r="AJ56" s="490">
        <f t="shared" ref="AJ56:AV56" si="246">+AJ33+AJ43+AJ52</f>
        <v>491</v>
      </c>
      <c r="AK56" s="490">
        <f t="shared" si="246"/>
        <v>479</v>
      </c>
      <c r="AL56" s="490">
        <f t="shared" si="246"/>
        <v>443</v>
      </c>
      <c r="AM56" s="491">
        <f t="shared" si="246"/>
        <v>462</v>
      </c>
      <c r="AN56" s="490">
        <f t="shared" si="246"/>
        <v>422</v>
      </c>
      <c r="AO56" s="490">
        <f t="shared" si="246"/>
        <v>431</v>
      </c>
      <c r="AP56" s="490">
        <f t="shared" si="246"/>
        <v>428</v>
      </c>
      <c r="AQ56" s="491">
        <f t="shared" si="246"/>
        <v>366</v>
      </c>
      <c r="AR56" s="490">
        <f t="shared" si="246"/>
        <v>357</v>
      </c>
      <c r="AS56" s="490">
        <f t="shared" si="246"/>
        <v>353</v>
      </c>
      <c r="AT56" s="490">
        <f t="shared" si="246"/>
        <v>336</v>
      </c>
      <c r="AU56" s="491">
        <f t="shared" si="246"/>
        <v>323</v>
      </c>
      <c r="AV56" s="490">
        <f t="shared" si="246"/>
        <v>325</v>
      </c>
      <c r="AW56" s="490">
        <f>+AW33+AW43+AW52</f>
        <v>316</v>
      </c>
      <c r="AX56" s="490">
        <f t="shared" ref="AX56" si="247">+AX33+AX43+AX52</f>
        <v>329</v>
      </c>
      <c r="AY56" s="491">
        <f t="shared" ref="AY56:AZ56" si="248">+AY33+AY43+AY52</f>
        <v>326</v>
      </c>
      <c r="AZ56" s="490">
        <f t="shared" si="248"/>
        <v>337</v>
      </c>
      <c r="BA56" s="490">
        <f>+BA33+BA43+BA52</f>
        <v>356</v>
      </c>
      <c r="BB56" s="490">
        <f>+BB33+BB43+BB52</f>
        <v>419</v>
      </c>
      <c r="BC56" s="491">
        <f t="shared" ref="BC56:BD56" si="249">+BC33+BC43+BC52</f>
        <v>412</v>
      </c>
      <c r="BD56" s="490">
        <f t="shared" si="249"/>
        <v>446</v>
      </c>
      <c r="BE56" s="45">
        <f t="shared" ref="BE56:BG56" si="250">+BE33+BE43+BE52</f>
        <v>460</v>
      </c>
      <c r="BF56" s="45">
        <f t="shared" si="250"/>
        <v>465</v>
      </c>
      <c r="BG56" s="2175">
        <f t="shared" si="250"/>
        <v>470</v>
      </c>
      <c r="BH56" s="2174">
        <f t="shared" ref="BH56:BK56" si="251">+BH33+BH43+BH52</f>
        <v>475</v>
      </c>
      <c r="BI56" s="45">
        <f t="shared" si="251"/>
        <v>480</v>
      </c>
      <c r="BJ56" s="45">
        <f t="shared" si="251"/>
        <v>485</v>
      </c>
      <c r="BK56" s="2175">
        <f t="shared" si="251"/>
        <v>490</v>
      </c>
      <c r="BL56" s="575"/>
      <c r="BM56" s="45">
        <f t="shared" ref="BM56:BW56" si="252">+BM33+BM43+BM52</f>
        <v>2160</v>
      </c>
      <c r="BN56" s="45">
        <f t="shared" si="252"/>
        <v>2345</v>
      </c>
      <c r="BO56" s="45">
        <f t="shared" si="252"/>
        <v>3220</v>
      </c>
      <c r="BP56" s="45">
        <f t="shared" si="252"/>
        <v>3152</v>
      </c>
      <c r="BQ56" s="45">
        <f t="shared" si="252"/>
        <v>2554</v>
      </c>
      <c r="BR56" s="45">
        <f t="shared" si="252"/>
        <v>2339</v>
      </c>
      <c r="BS56" s="45">
        <f t="shared" si="252"/>
        <v>2445</v>
      </c>
      <c r="BT56" s="45">
        <f t="shared" si="252"/>
        <v>2177</v>
      </c>
      <c r="BU56" s="45">
        <f t="shared" si="252"/>
        <v>1875</v>
      </c>
      <c r="BV56" s="45">
        <f>+BV33+BV43+BV52</f>
        <v>1647</v>
      </c>
      <c r="BW56" s="45">
        <f t="shared" si="252"/>
        <v>1369</v>
      </c>
      <c r="BX56" s="45">
        <f>+BX33+BX43+BX52</f>
        <v>1296</v>
      </c>
      <c r="BY56" s="45">
        <f>+BY33+BY43+BY52</f>
        <v>1524</v>
      </c>
      <c r="BZ56" s="45">
        <f t="shared" ref="BZ56:CB56" si="253">+BZ33+BZ43+BZ52</f>
        <v>1841</v>
      </c>
      <c r="CA56" s="45">
        <f t="shared" si="253"/>
        <v>1930</v>
      </c>
      <c r="CB56" s="2186">
        <f t="shared" si="253"/>
        <v>1930</v>
      </c>
      <c r="CC56" s="2191"/>
      <c r="CD56" s="440"/>
      <c r="CE56"/>
      <c r="CF56"/>
      <c r="CG56"/>
      <c r="CH56"/>
      <c r="CI56"/>
      <c r="CJ56"/>
    </row>
    <row r="57" spans="1:88" s="114" customFormat="1" ht="14.25" customHeight="1">
      <c r="A57" s="115"/>
      <c r="B57" s="329" t="s">
        <v>5</v>
      </c>
      <c r="C57" s="489"/>
      <c r="D57" s="490">
        <f t="shared" ref="D57:AI57" si="254">D35+D45+D53</f>
        <v>464.83600000000001</v>
      </c>
      <c r="E57" s="490">
        <f t="shared" si="254"/>
        <v>501.09500000000003</v>
      </c>
      <c r="F57" s="490">
        <f t="shared" si="254"/>
        <v>547.76599999999996</v>
      </c>
      <c r="G57" s="491">
        <f t="shared" si="254"/>
        <v>646.30300000000011</v>
      </c>
      <c r="H57" s="490">
        <f t="shared" si="254"/>
        <v>520.21799999999996</v>
      </c>
      <c r="I57" s="490">
        <f t="shared" si="254"/>
        <v>588.19899999999996</v>
      </c>
      <c r="J57" s="490">
        <f t="shared" si="254"/>
        <v>563.18599999999992</v>
      </c>
      <c r="K57" s="491">
        <f t="shared" si="254"/>
        <v>673.39700000000005</v>
      </c>
      <c r="L57" s="490">
        <f t="shared" si="254"/>
        <v>767</v>
      </c>
      <c r="M57" s="490">
        <f t="shared" si="254"/>
        <v>840</v>
      </c>
      <c r="N57" s="490">
        <f t="shared" si="254"/>
        <v>819</v>
      </c>
      <c r="O57" s="491">
        <f t="shared" si="254"/>
        <v>794</v>
      </c>
      <c r="P57" s="490">
        <f t="shared" si="254"/>
        <v>815</v>
      </c>
      <c r="Q57" s="490">
        <f t="shared" si="254"/>
        <v>802</v>
      </c>
      <c r="R57" s="490">
        <f t="shared" si="254"/>
        <v>753</v>
      </c>
      <c r="S57" s="491">
        <f t="shared" si="254"/>
        <v>782</v>
      </c>
      <c r="T57" s="490">
        <f t="shared" si="254"/>
        <v>731</v>
      </c>
      <c r="U57" s="490">
        <f t="shared" si="254"/>
        <v>672</v>
      </c>
      <c r="V57" s="490">
        <f t="shared" si="254"/>
        <v>641</v>
      </c>
      <c r="W57" s="491">
        <f t="shared" si="254"/>
        <v>510</v>
      </c>
      <c r="X57" s="490">
        <f t="shared" si="254"/>
        <v>542</v>
      </c>
      <c r="Y57" s="490">
        <f t="shared" si="254"/>
        <v>600</v>
      </c>
      <c r="Z57" s="490">
        <f t="shared" si="254"/>
        <v>595</v>
      </c>
      <c r="AA57" s="491">
        <f t="shared" si="254"/>
        <v>602</v>
      </c>
      <c r="AB57" s="490">
        <f t="shared" si="254"/>
        <v>628</v>
      </c>
      <c r="AC57" s="490">
        <f t="shared" si="254"/>
        <v>606</v>
      </c>
      <c r="AD57" s="490">
        <f t="shared" si="254"/>
        <v>610</v>
      </c>
      <c r="AE57" s="491">
        <f t="shared" si="254"/>
        <v>601</v>
      </c>
      <c r="AF57" s="490">
        <f t="shared" si="254"/>
        <v>598</v>
      </c>
      <c r="AG57" s="490">
        <f t="shared" si="254"/>
        <v>557</v>
      </c>
      <c r="AH57" s="490">
        <f t="shared" si="254"/>
        <v>516</v>
      </c>
      <c r="AI57" s="491">
        <f t="shared" si="254"/>
        <v>506</v>
      </c>
      <c r="AJ57" s="490">
        <f t="shared" ref="AJ57:AX57" si="255">AJ35+AJ45+AJ53</f>
        <v>491</v>
      </c>
      <c r="AK57" s="490">
        <f t="shared" si="255"/>
        <v>479</v>
      </c>
      <c r="AL57" s="490">
        <f t="shared" si="255"/>
        <v>443</v>
      </c>
      <c r="AM57" s="490">
        <f t="shared" si="255"/>
        <v>462</v>
      </c>
      <c r="AN57" s="492">
        <f t="shared" si="255"/>
        <v>449</v>
      </c>
      <c r="AO57" s="490">
        <f t="shared" si="255"/>
        <v>431</v>
      </c>
      <c r="AP57" s="490">
        <f t="shared" si="255"/>
        <v>428</v>
      </c>
      <c r="AQ57" s="490">
        <f t="shared" si="255"/>
        <v>382</v>
      </c>
      <c r="AR57" s="492">
        <f t="shared" si="255"/>
        <v>373</v>
      </c>
      <c r="AS57" s="490">
        <f t="shared" si="255"/>
        <v>369</v>
      </c>
      <c r="AT57" s="490">
        <f t="shared" si="255"/>
        <v>349</v>
      </c>
      <c r="AU57" s="491">
        <f t="shared" si="255"/>
        <v>338</v>
      </c>
      <c r="AV57" s="492">
        <f t="shared" si="255"/>
        <v>340</v>
      </c>
      <c r="AW57" s="490">
        <f t="shared" si="255"/>
        <v>334</v>
      </c>
      <c r="AX57" s="490">
        <f t="shared" si="255"/>
        <v>352</v>
      </c>
      <c r="AY57" s="491">
        <f t="shared" ref="AY57:BA57" si="256">AY35+AY45+AY53</f>
        <v>354</v>
      </c>
      <c r="AZ57" s="492">
        <f t="shared" si="256"/>
        <v>360</v>
      </c>
      <c r="BA57" s="490">
        <f t="shared" si="256"/>
        <v>379</v>
      </c>
      <c r="BB57" s="490">
        <f t="shared" ref="BB57:BD57" si="257">BB35+BB45+BB53</f>
        <v>447</v>
      </c>
      <c r="BC57" s="491">
        <f t="shared" si="257"/>
        <v>433</v>
      </c>
      <c r="BD57" s="492">
        <f t="shared" si="257"/>
        <v>477</v>
      </c>
      <c r="BE57" s="490">
        <f t="shared" ref="BE57:BG57" si="258">BE35+BE45+BE53</f>
        <v>488</v>
      </c>
      <c r="BF57" s="490">
        <f t="shared" si="258"/>
        <v>493</v>
      </c>
      <c r="BG57" s="2182">
        <f t="shared" si="258"/>
        <v>498</v>
      </c>
      <c r="BH57" s="2181">
        <f t="shared" ref="BH57:BK57" si="259">BH35+BH45+BH53</f>
        <v>503</v>
      </c>
      <c r="BI57" s="490">
        <f t="shared" si="259"/>
        <v>508</v>
      </c>
      <c r="BJ57" s="490">
        <f t="shared" si="259"/>
        <v>513</v>
      </c>
      <c r="BK57" s="2182">
        <f t="shared" si="259"/>
        <v>518</v>
      </c>
      <c r="BL57" s="317"/>
      <c r="BM57" s="490">
        <f t="shared" ref="BM57:BY57" si="260">BM35+BM45+BM53</f>
        <v>2160</v>
      </c>
      <c r="BN57" s="490">
        <f t="shared" si="260"/>
        <v>2345</v>
      </c>
      <c r="BO57" s="490">
        <f t="shared" si="260"/>
        <v>3220</v>
      </c>
      <c r="BP57" s="490">
        <f t="shared" si="260"/>
        <v>3152</v>
      </c>
      <c r="BQ57" s="490">
        <f t="shared" si="260"/>
        <v>2554</v>
      </c>
      <c r="BR57" s="490">
        <f t="shared" si="260"/>
        <v>2339</v>
      </c>
      <c r="BS57" s="490">
        <f t="shared" si="260"/>
        <v>2445</v>
      </c>
      <c r="BT57" s="490">
        <f t="shared" si="260"/>
        <v>2177</v>
      </c>
      <c r="BU57" s="490">
        <f t="shared" si="260"/>
        <v>1875</v>
      </c>
      <c r="BV57" s="490">
        <f t="shared" ref="BV57:BX57" si="261">BV35+BV45+BV53</f>
        <v>1690</v>
      </c>
      <c r="BW57" s="490">
        <f t="shared" si="261"/>
        <v>1429</v>
      </c>
      <c r="BX57" s="490">
        <f t="shared" si="261"/>
        <v>1380</v>
      </c>
      <c r="BY57" s="490">
        <f t="shared" si="260"/>
        <v>1619</v>
      </c>
      <c r="BZ57" s="490">
        <f t="shared" ref="BZ57:CB57" si="262">BZ35+BZ45+BZ53</f>
        <v>1956</v>
      </c>
      <c r="CA57" s="490">
        <f t="shared" si="262"/>
        <v>2042</v>
      </c>
      <c r="CB57" s="2186">
        <f t="shared" si="262"/>
        <v>2042</v>
      </c>
      <c r="CC57" s="2191"/>
      <c r="CD57" s="1508"/>
      <c r="CE57"/>
      <c r="CF57"/>
      <c r="CG57"/>
      <c r="CH57"/>
      <c r="CI57"/>
      <c r="CJ57"/>
    </row>
    <row r="58" spans="1:88" ht="14.25" customHeight="1">
      <c r="A58" s="7"/>
      <c r="B58" s="21"/>
      <c r="C58" s="22"/>
      <c r="D58" s="37"/>
      <c r="E58" s="37"/>
      <c r="F58" s="37"/>
      <c r="G58" s="38"/>
      <c r="H58" s="37"/>
      <c r="I58" s="37"/>
      <c r="J58" s="37"/>
      <c r="K58" s="38"/>
      <c r="L58" s="37"/>
      <c r="M58" s="37"/>
      <c r="N58" s="37"/>
      <c r="O58" s="38"/>
      <c r="P58" s="37"/>
      <c r="Q58" s="37"/>
      <c r="R58" s="37"/>
      <c r="S58" s="38"/>
      <c r="T58" s="37"/>
      <c r="U58" s="37"/>
      <c r="V58" s="37"/>
      <c r="W58" s="38"/>
      <c r="X58" s="37"/>
      <c r="Y58" s="37"/>
      <c r="Z58" s="37"/>
      <c r="AA58" s="38"/>
      <c r="AB58" s="37"/>
      <c r="AC58" s="37"/>
      <c r="AD58" s="37"/>
      <c r="AE58" s="38"/>
      <c r="AF58" s="37"/>
      <c r="AG58" s="37"/>
      <c r="AH58" s="37"/>
      <c r="AI58" s="37"/>
      <c r="AJ58" s="645"/>
      <c r="AK58" s="37"/>
      <c r="AL58" s="37"/>
      <c r="AM58" s="1072"/>
      <c r="AN58" s="645"/>
      <c r="AO58" s="37"/>
      <c r="AP58" s="37"/>
      <c r="AQ58" s="1072"/>
      <c r="AR58" s="645"/>
      <c r="AS58" s="37"/>
      <c r="AT58" s="37"/>
      <c r="AU58" s="1487"/>
      <c r="AV58" s="645"/>
      <c r="AW58" s="37"/>
      <c r="AX58" s="37"/>
      <c r="AY58" s="1487"/>
      <c r="AZ58" s="645"/>
      <c r="BA58" s="37"/>
      <c r="BB58" s="37"/>
      <c r="BC58" s="1487"/>
      <c r="BD58" s="645"/>
      <c r="BE58" s="37"/>
      <c r="BF58" s="37"/>
      <c r="BG58" s="1640"/>
      <c r="BH58" s="1917"/>
      <c r="BI58" s="37"/>
      <c r="BJ58" s="37"/>
      <c r="BK58" s="1640"/>
      <c r="BL58" s="244"/>
      <c r="BM58" s="37"/>
      <c r="BN58" s="37"/>
      <c r="BO58" s="37"/>
      <c r="BP58" s="37"/>
      <c r="BQ58" s="37"/>
      <c r="BR58" s="37"/>
      <c r="BS58" s="37"/>
      <c r="BT58" s="37"/>
      <c r="BU58" s="37"/>
      <c r="BV58" s="37"/>
      <c r="BW58" s="37"/>
      <c r="BX58" s="37"/>
      <c r="BY58" s="37"/>
      <c r="BZ58" s="41" t="s">
        <v>373</v>
      </c>
      <c r="CA58" s="41"/>
      <c r="CB58" s="2081"/>
      <c r="CC58" s="2191"/>
      <c r="CD58" s="13"/>
    </row>
    <row r="59" spans="1:88" ht="14.25" customHeight="1">
      <c r="A59" s="7"/>
      <c r="B59" s="42" t="s">
        <v>176</v>
      </c>
      <c r="C59" s="43"/>
      <c r="D59" s="45">
        <f t="shared" ref="D59:AI59" si="263">D20-D55</f>
        <v>-45.657000000000039</v>
      </c>
      <c r="E59" s="45">
        <f t="shared" si="263"/>
        <v>-7.1310000000000855</v>
      </c>
      <c r="F59" s="45">
        <f t="shared" si="263"/>
        <v>78.728000000000179</v>
      </c>
      <c r="G59" s="46">
        <f t="shared" si="263"/>
        <v>206.05999999999972</v>
      </c>
      <c r="H59" s="45">
        <f t="shared" si="263"/>
        <v>258.59999999999991</v>
      </c>
      <c r="I59" s="45">
        <f t="shared" si="263"/>
        <v>102.10900000000004</v>
      </c>
      <c r="J59" s="45">
        <f t="shared" si="263"/>
        <v>119.17200000000014</v>
      </c>
      <c r="K59" s="46">
        <f t="shared" si="263"/>
        <v>-526.88099999999986</v>
      </c>
      <c r="L59" s="45">
        <f t="shared" si="263"/>
        <v>-504</v>
      </c>
      <c r="M59" s="45">
        <f t="shared" si="263"/>
        <v>-457</v>
      </c>
      <c r="N59" s="45">
        <f t="shared" si="263"/>
        <v>-226</v>
      </c>
      <c r="O59" s="46">
        <f t="shared" si="263"/>
        <v>-1678</v>
      </c>
      <c r="P59" s="45">
        <f t="shared" si="263"/>
        <v>-234</v>
      </c>
      <c r="Q59" s="45">
        <f t="shared" si="263"/>
        <v>-569</v>
      </c>
      <c r="R59" s="45">
        <f t="shared" si="263"/>
        <v>122</v>
      </c>
      <c r="S59" s="46">
        <f t="shared" si="263"/>
        <v>-1274</v>
      </c>
      <c r="T59" s="45">
        <f t="shared" si="263"/>
        <v>-298</v>
      </c>
      <c r="U59" s="45">
        <f t="shared" si="263"/>
        <v>-249</v>
      </c>
      <c r="V59" s="45">
        <f t="shared" si="263"/>
        <v>-77</v>
      </c>
      <c r="W59" s="46">
        <f t="shared" si="263"/>
        <v>1288</v>
      </c>
      <c r="X59" s="45">
        <f t="shared" si="263"/>
        <v>182</v>
      </c>
      <c r="Y59" s="45">
        <f t="shared" si="263"/>
        <v>125</v>
      </c>
      <c r="Z59" s="45">
        <f t="shared" si="263"/>
        <v>128</v>
      </c>
      <c r="AA59" s="46">
        <f t="shared" si="263"/>
        <v>413</v>
      </c>
      <c r="AB59" s="45">
        <f t="shared" si="263"/>
        <v>54</v>
      </c>
      <c r="AC59" s="45">
        <f t="shared" si="263"/>
        <v>105</v>
      </c>
      <c r="AD59" s="45">
        <f t="shared" si="263"/>
        <v>138</v>
      </c>
      <c r="AE59" s="46">
        <f t="shared" si="263"/>
        <v>71</v>
      </c>
      <c r="AF59" s="45">
        <f t="shared" si="263"/>
        <v>-580</v>
      </c>
      <c r="AG59" s="45">
        <f t="shared" si="263"/>
        <v>77</v>
      </c>
      <c r="AH59" s="45">
        <f t="shared" si="263"/>
        <v>-131</v>
      </c>
      <c r="AI59" s="45">
        <f t="shared" si="263"/>
        <v>-422</v>
      </c>
      <c r="AJ59" s="44">
        <f t="shared" ref="AJ59:AX59" si="264">AJ20-AJ55</f>
        <v>-98</v>
      </c>
      <c r="AK59" s="45">
        <f t="shared" si="264"/>
        <v>-29</v>
      </c>
      <c r="AL59" s="45">
        <f t="shared" si="264"/>
        <v>95</v>
      </c>
      <c r="AM59" s="45">
        <f t="shared" si="264"/>
        <v>135</v>
      </c>
      <c r="AN59" s="44">
        <f t="shared" si="264"/>
        <v>49</v>
      </c>
      <c r="AO59" s="45">
        <f t="shared" si="264"/>
        <v>63</v>
      </c>
      <c r="AP59" s="45">
        <f t="shared" si="264"/>
        <v>63</v>
      </c>
      <c r="AQ59" s="45">
        <f t="shared" si="264"/>
        <v>-330</v>
      </c>
      <c r="AR59" s="44">
        <f t="shared" si="264"/>
        <v>-137</v>
      </c>
      <c r="AS59" s="45">
        <f t="shared" si="264"/>
        <v>-137</v>
      </c>
      <c r="AT59" s="45">
        <f t="shared" si="264"/>
        <v>-158</v>
      </c>
      <c r="AU59" s="46">
        <f t="shared" si="264"/>
        <v>-49</v>
      </c>
      <c r="AV59" s="44">
        <f t="shared" si="264"/>
        <v>-68</v>
      </c>
      <c r="AW59" s="45">
        <f t="shared" si="264"/>
        <v>-8</v>
      </c>
      <c r="AX59" s="45">
        <f t="shared" si="264"/>
        <v>-293</v>
      </c>
      <c r="AY59" s="46">
        <f t="shared" ref="AY59:BA59" si="265">AY20-AY55</f>
        <v>-3</v>
      </c>
      <c r="AZ59" s="44">
        <f t="shared" si="265"/>
        <v>-29</v>
      </c>
      <c r="BA59" s="45">
        <f t="shared" si="265"/>
        <v>25</v>
      </c>
      <c r="BB59" s="45">
        <f t="shared" ref="BB59:BD59" si="266">BB20-BB55</f>
        <v>126</v>
      </c>
      <c r="BC59" s="46">
        <f t="shared" si="266"/>
        <v>82</v>
      </c>
      <c r="BD59" s="44">
        <f t="shared" si="266"/>
        <v>120</v>
      </c>
      <c r="BE59" s="45">
        <f t="shared" ref="BE59:BG59" si="267">BE20-BE55</f>
        <v>151.55408345270439</v>
      </c>
      <c r="BF59" s="45">
        <f t="shared" si="267"/>
        <v>147.23254595898288</v>
      </c>
      <c r="BG59" s="2175">
        <f t="shared" si="267"/>
        <v>103.376111631208</v>
      </c>
      <c r="BH59" s="2174">
        <f t="shared" ref="BH59:BK59" si="268">BH20-BH55</f>
        <v>70.183737000144447</v>
      </c>
      <c r="BI59" s="45">
        <f t="shared" si="268"/>
        <v>113.47646931553004</v>
      </c>
      <c r="BJ59" s="45">
        <f t="shared" si="268"/>
        <v>139.27599215868349</v>
      </c>
      <c r="BK59" s="2175">
        <f t="shared" si="268"/>
        <v>129.08055451555583</v>
      </c>
      <c r="BL59" s="244"/>
      <c r="BM59" s="45">
        <f t="shared" ref="BM59:BY59" si="269">BM20-BM55</f>
        <v>232</v>
      </c>
      <c r="BN59" s="45">
        <f t="shared" si="269"/>
        <v>-47</v>
      </c>
      <c r="BO59" s="45">
        <f t="shared" si="269"/>
        <v>-2865</v>
      </c>
      <c r="BP59" s="45">
        <f t="shared" si="269"/>
        <v>-1955</v>
      </c>
      <c r="BQ59" s="45">
        <f t="shared" si="269"/>
        <v>664</v>
      </c>
      <c r="BR59" s="45">
        <f t="shared" si="269"/>
        <v>848</v>
      </c>
      <c r="BS59" s="45">
        <f t="shared" si="269"/>
        <v>368</v>
      </c>
      <c r="BT59" s="45">
        <f t="shared" si="269"/>
        <v>-1056</v>
      </c>
      <c r="BU59" s="45">
        <f t="shared" si="269"/>
        <v>103</v>
      </c>
      <c r="BV59" s="45">
        <f t="shared" ref="BV59:BX59" si="270">BV20-BV55</f>
        <v>-155</v>
      </c>
      <c r="BW59" s="45">
        <f t="shared" si="270"/>
        <v>-481</v>
      </c>
      <c r="BX59" s="45">
        <f t="shared" si="270"/>
        <v>-372</v>
      </c>
      <c r="BY59" s="45">
        <f t="shared" si="269"/>
        <v>204</v>
      </c>
      <c r="BZ59" s="45">
        <f t="shared" ref="BZ59:CB59" si="271">BZ20-BZ55</f>
        <v>522.1627410428955</v>
      </c>
      <c r="CA59" s="45">
        <f t="shared" si="271"/>
        <v>452.01675298991358</v>
      </c>
      <c r="CB59" s="2186">
        <f t="shared" si="271"/>
        <v>452.01675298991358</v>
      </c>
      <c r="CC59" s="2191"/>
      <c r="CD59" s="13"/>
    </row>
    <row r="60" spans="1:88" ht="14.25" customHeight="1">
      <c r="A60" s="7"/>
      <c r="B60" s="30" t="s">
        <v>177</v>
      </c>
      <c r="C60" s="31"/>
      <c r="D60" s="32">
        <f t="shared" ref="D60:AI60" si="272">D59/D9</f>
        <v>-3.7221553722889128E-2</v>
      </c>
      <c r="E60" s="32">
        <f t="shared" si="272"/>
        <v>-5.6598921517115293E-3</v>
      </c>
      <c r="F60" s="32">
        <f t="shared" si="272"/>
        <v>5.1701028727536714E-2</v>
      </c>
      <c r="G60" s="33">
        <f t="shared" si="272"/>
        <v>0.11206837008123663</v>
      </c>
      <c r="H60" s="32">
        <f t="shared" si="272"/>
        <v>0.19412111776531008</v>
      </c>
      <c r="I60" s="32">
        <f t="shared" si="272"/>
        <v>8.3945881465051289E-2</v>
      </c>
      <c r="J60" s="32">
        <f t="shared" si="272"/>
        <v>8.9763501960648542E-2</v>
      </c>
      <c r="K60" s="33">
        <f t="shared" si="272"/>
        <v>-0.2971938451749806</v>
      </c>
      <c r="L60" s="32">
        <f t="shared" si="272"/>
        <v>-0.40875912408759124</v>
      </c>
      <c r="M60" s="32">
        <f t="shared" si="272"/>
        <v>-0.3316400580551524</v>
      </c>
      <c r="N60" s="32">
        <f t="shared" si="272"/>
        <v>-0.13848039215686275</v>
      </c>
      <c r="O60" s="33">
        <f t="shared" si="272"/>
        <v>-0.94802259887005647</v>
      </c>
      <c r="P60" s="32">
        <f t="shared" si="272"/>
        <v>-0.15736381977135172</v>
      </c>
      <c r="Q60" s="32">
        <f t="shared" si="272"/>
        <v>-0.41776798825256978</v>
      </c>
      <c r="R60" s="32">
        <f t="shared" si="272"/>
        <v>6.7890929326655539E-2</v>
      </c>
      <c r="S60" s="33">
        <f t="shared" si="272"/>
        <v>-1.0963855421686748</v>
      </c>
      <c r="T60" s="32">
        <f t="shared" si="272"/>
        <v>-0.25318606627017842</v>
      </c>
      <c r="U60" s="32">
        <f t="shared" si="272"/>
        <v>-0.21030405405405406</v>
      </c>
      <c r="V60" s="32">
        <f t="shared" si="272"/>
        <v>-5.515759312320917E-2</v>
      </c>
      <c r="W60" s="33">
        <f t="shared" si="272"/>
        <v>0.78250303766707174</v>
      </c>
      <c r="X60" s="32">
        <f t="shared" si="272"/>
        <v>0.1156289707750953</v>
      </c>
      <c r="Y60" s="32">
        <f t="shared" si="272"/>
        <v>7.5620084694494855E-2</v>
      </c>
      <c r="Z60" s="32">
        <f t="shared" si="272"/>
        <v>7.9110012360939425E-2</v>
      </c>
      <c r="AA60" s="33">
        <f t="shared" si="272"/>
        <v>0.25045482110369921</v>
      </c>
      <c r="AB60" s="32">
        <f t="shared" si="272"/>
        <v>3.3477991320520768E-2</v>
      </c>
      <c r="AC60" s="32">
        <f t="shared" si="272"/>
        <v>6.6709021601016522E-2</v>
      </c>
      <c r="AD60" s="32">
        <f t="shared" si="272"/>
        <v>8.1656804733727814E-2</v>
      </c>
      <c r="AE60" s="33">
        <f t="shared" si="272"/>
        <v>4.1986989946777055E-2</v>
      </c>
      <c r="AF60" s="32">
        <f t="shared" si="272"/>
        <v>-0.36593059936908517</v>
      </c>
      <c r="AG60" s="32">
        <f t="shared" si="272"/>
        <v>5.449398443029016E-2</v>
      </c>
      <c r="AH60" s="32">
        <f t="shared" si="272"/>
        <v>-0.10323089046493301</v>
      </c>
      <c r="AI60" s="32">
        <f t="shared" si="272"/>
        <v>-0.36536796536796534</v>
      </c>
      <c r="AJ60" s="34">
        <f t="shared" ref="AJ60:AX60" si="273">AJ59/AJ9</f>
        <v>-9.0073529411764705E-2</v>
      </c>
      <c r="AK60" s="32">
        <f t="shared" si="273"/>
        <v>-2.4978466838931956E-2</v>
      </c>
      <c r="AL60" s="32">
        <f t="shared" si="273"/>
        <v>6.5023956194387403E-2</v>
      </c>
      <c r="AM60" s="32">
        <f t="shared" si="273"/>
        <v>8.4959093769666455E-2</v>
      </c>
      <c r="AN60" s="1852">
        <f t="shared" si="273"/>
        <v>3.5075161059413031E-2</v>
      </c>
      <c r="AO60" s="1850">
        <f t="shared" si="273"/>
        <v>4.3719639139486469E-2</v>
      </c>
      <c r="AP60" s="32">
        <f t="shared" si="273"/>
        <v>4.4086773967809655E-2</v>
      </c>
      <c r="AQ60" s="32">
        <f t="shared" si="273"/>
        <v>-0.26634382566585957</v>
      </c>
      <c r="AR60" s="34">
        <f t="shared" si="273"/>
        <v>-0.13300970873786408</v>
      </c>
      <c r="AS60" s="32">
        <f t="shared" si="273"/>
        <v>-0.14543524416135881</v>
      </c>
      <c r="AT60" s="32">
        <f t="shared" si="273"/>
        <v>-0.14891611687087652</v>
      </c>
      <c r="AU60" s="33">
        <f t="shared" si="273"/>
        <v>-5.1148225469728602E-2</v>
      </c>
      <c r="AV60" s="34">
        <f t="shared" si="273"/>
        <v>-8.1730769230769232E-2</v>
      </c>
      <c r="AW60" s="32">
        <f t="shared" si="273"/>
        <v>-7.7896786757546254E-3</v>
      </c>
      <c r="AX60" s="32">
        <f t="shared" si="273"/>
        <v>-0.22417750573833206</v>
      </c>
      <c r="AY60" s="33">
        <f t="shared" ref="AY60:BA60" si="274">AY59/AY9</f>
        <v>-2.7124773960216998E-3</v>
      </c>
      <c r="AZ60" s="1697">
        <f t="shared" si="274"/>
        <v>-2.9471544715447155E-2</v>
      </c>
      <c r="BA60" s="1696">
        <f t="shared" si="274"/>
        <v>2.0458265139116204E-2</v>
      </c>
      <c r="BB60" s="1850">
        <f t="shared" ref="BB60:BD60" si="275">BB59/BB9</f>
        <v>7.6688983566646385E-2</v>
      </c>
      <c r="BC60" s="33">
        <f t="shared" si="275"/>
        <v>5.5405405405405408E-2</v>
      </c>
      <c r="BD60" s="1852">
        <f t="shared" si="275"/>
        <v>7.2859744990892539E-2</v>
      </c>
      <c r="BE60" s="1850">
        <f t="shared" ref="BE60:BG60" si="276">BE59/BE9</f>
        <v>8.7678293874340382E-2</v>
      </c>
      <c r="BF60" s="1850">
        <f t="shared" si="276"/>
        <v>8.5087898684103644E-2</v>
      </c>
      <c r="BG60" s="1851">
        <f t="shared" si="276"/>
        <v>6.3602728082759533E-2</v>
      </c>
      <c r="BH60" s="1913">
        <f t="shared" ref="BH60:BK60" si="277">BH59/BH9</f>
        <v>4.5304814169992581E-2</v>
      </c>
      <c r="BI60" s="1850">
        <f t="shared" si="277"/>
        <v>6.9384860841784191E-2</v>
      </c>
      <c r="BJ60" s="1850">
        <f t="shared" si="277"/>
        <v>8.1138778149946605E-2</v>
      </c>
      <c r="BK60" s="1851">
        <f t="shared" si="277"/>
        <v>7.58029435031215E-2</v>
      </c>
      <c r="BL60" s="244"/>
      <c r="BM60" s="32">
        <f t="shared" ref="BM60:BY60" si="278">BM59/BM9</f>
        <v>3.9671682626538987E-2</v>
      </c>
      <c r="BN60" s="32">
        <f t="shared" si="278"/>
        <v>-8.3200566471941934E-3</v>
      </c>
      <c r="BO60" s="32">
        <f t="shared" si="278"/>
        <v>-0.47646765341759523</v>
      </c>
      <c r="BP60" s="32">
        <f t="shared" si="278"/>
        <v>-0.33660468319559228</v>
      </c>
      <c r="BQ60" s="32">
        <f t="shared" si="278"/>
        <v>0.12289468813622062</v>
      </c>
      <c r="BR60" s="32">
        <f t="shared" si="278"/>
        <v>0.13058207576224207</v>
      </c>
      <c r="BS60" s="32">
        <f t="shared" si="278"/>
        <v>5.6029232643118147E-2</v>
      </c>
      <c r="BT60" s="32">
        <f t="shared" si="278"/>
        <v>-0.1947620804131317</v>
      </c>
      <c r="BU60" s="1850">
        <f t="shared" si="278"/>
        <v>1.9437629741460651E-2</v>
      </c>
      <c r="BV60" s="1850">
        <f t="shared" ref="BV60:BX60" si="279">BV59/BV9</f>
        <v>-2.8151107882310206E-2</v>
      </c>
      <c r="BW60" s="1850">
        <f t="shared" si="279"/>
        <v>-0.12052117263843648</v>
      </c>
      <c r="BX60" s="1850">
        <f t="shared" si="279"/>
        <v>-8.7078651685393263E-2</v>
      </c>
      <c r="BY60" s="1850">
        <f t="shared" si="278"/>
        <v>3.8281103396509662E-2</v>
      </c>
      <c r="BZ60" s="1850">
        <f t="shared" ref="BZ60:CB60" si="280">BZ59/BZ9</f>
        <v>7.7573227421383811E-2</v>
      </c>
      <c r="CA60" s="1850">
        <f t="shared" si="280"/>
        <v>6.844622614525725E-2</v>
      </c>
      <c r="CB60" s="1851">
        <f t="shared" si="280"/>
        <v>6.844622614525725E-2</v>
      </c>
      <c r="CC60" s="2191"/>
      <c r="CD60" s="13"/>
    </row>
    <row r="61" spans="1:88" ht="14.25" customHeight="1">
      <c r="A61" s="7"/>
      <c r="B61" s="42" t="s">
        <v>614</v>
      </c>
      <c r="C61" s="31"/>
      <c r="D61" s="1496">
        <f t="shared" ref="D61:AI61" si="281">+D23-D56</f>
        <v>-45.657000000000039</v>
      </c>
      <c r="E61" s="1496">
        <f t="shared" si="281"/>
        <v>-7.1310000000000855</v>
      </c>
      <c r="F61" s="1496">
        <f t="shared" si="281"/>
        <v>78.728000000000179</v>
      </c>
      <c r="G61" s="1497">
        <f t="shared" si="281"/>
        <v>206.05999999999972</v>
      </c>
      <c r="H61" s="1496">
        <f t="shared" si="281"/>
        <v>260.59999999999991</v>
      </c>
      <c r="I61" s="1496">
        <f t="shared" si="281"/>
        <v>104.10900000000004</v>
      </c>
      <c r="J61" s="1496">
        <f t="shared" si="281"/>
        <v>120.81400000000019</v>
      </c>
      <c r="K61" s="1497">
        <f t="shared" si="281"/>
        <v>32.119000000000028</v>
      </c>
      <c r="L61" s="1496">
        <f t="shared" si="281"/>
        <v>-389</v>
      </c>
      <c r="M61" s="1496">
        <f t="shared" si="281"/>
        <v>-375</v>
      </c>
      <c r="N61" s="1496">
        <f t="shared" si="281"/>
        <v>-150</v>
      </c>
      <c r="O61" s="1497">
        <f t="shared" si="281"/>
        <v>-9</v>
      </c>
      <c r="P61" s="1496">
        <f t="shared" si="281"/>
        <v>-194</v>
      </c>
      <c r="Q61" s="1496">
        <f t="shared" si="281"/>
        <v>-291</v>
      </c>
      <c r="R61" s="1496">
        <f t="shared" si="281"/>
        <v>-28</v>
      </c>
      <c r="S61" s="1497">
        <f t="shared" si="281"/>
        <v>-283</v>
      </c>
      <c r="T61" s="1496">
        <f t="shared" si="281"/>
        <v>-318</v>
      </c>
      <c r="U61" s="1496">
        <f t="shared" si="281"/>
        <v>-349</v>
      </c>
      <c r="V61" s="1496">
        <f t="shared" si="281"/>
        <v>-114</v>
      </c>
      <c r="W61" s="1497">
        <f t="shared" si="281"/>
        <v>169</v>
      </c>
      <c r="X61" s="1496">
        <f t="shared" si="281"/>
        <v>130</v>
      </c>
      <c r="Y61" s="1496">
        <f t="shared" si="281"/>
        <v>138</v>
      </c>
      <c r="Z61" s="1496">
        <f t="shared" si="281"/>
        <v>144</v>
      </c>
      <c r="AA61" s="1497">
        <f t="shared" si="281"/>
        <v>141</v>
      </c>
      <c r="AB61" s="1496">
        <f t="shared" si="281"/>
        <v>92</v>
      </c>
      <c r="AC61" s="1496">
        <f t="shared" si="281"/>
        <v>114</v>
      </c>
      <c r="AD61" s="1496">
        <f t="shared" si="281"/>
        <v>146</v>
      </c>
      <c r="AE61" s="1497">
        <f t="shared" si="281"/>
        <v>172</v>
      </c>
      <c r="AF61" s="1496">
        <f t="shared" si="281"/>
        <v>132</v>
      </c>
      <c r="AG61" s="1496">
        <f t="shared" si="281"/>
        <v>86</v>
      </c>
      <c r="AH61" s="1496">
        <f t="shared" si="281"/>
        <v>-24</v>
      </c>
      <c r="AI61" s="1496">
        <f t="shared" si="281"/>
        <v>-55</v>
      </c>
      <c r="AJ61" s="1498">
        <f t="shared" ref="AJ61:AV61" si="282">+AJ23-AJ56</f>
        <v>-46</v>
      </c>
      <c r="AK61" s="1496">
        <f t="shared" si="282"/>
        <v>-20</v>
      </c>
      <c r="AL61" s="1496">
        <f>+AL23-AL56</f>
        <v>78</v>
      </c>
      <c r="AM61" s="1496">
        <f t="shared" si="282"/>
        <v>91</v>
      </c>
      <c r="AN61" s="1498">
        <f t="shared" si="282"/>
        <v>66</v>
      </c>
      <c r="AO61" s="1496">
        <f t="shared" si="282"/>
        <v>67</v>
      </c>
      <c r="AP61" s="1496">
        <f t="shared" si="282"/>
        <v>66</v>
      </c>
      <c r="AQ61" s="1496">
        <f t="shared" si="282"/>
        <v>52</v>
      </c>
      <c r="AR61" s="1498">
        <f t="shared" si="282"/>
        <v>-30</v>
      </c>
      <c r="AS61" s="1496">
        <f t="shared" si="282"/>
        <v>-87</v>
      </c>
      <c r="AT61" s="1496">
        <f t="shared" si="282"/>
        <v>-97</v>
      </c>
      <c r="AU61" s="1497">
        <f t="shared" si="282"/>
        <v>-39</v>
      </c>
      <c r="AV61" s="1498">
        <f t="shared" si="282"/>
        <v>-55</v>
      </c>
      <c r="AW61" s="45">
        <f t="shared" ref="AW61:BB61" si="283">+AW23-AW56</f>
        <v>3</v>
      </c>
      <c r="AX61" s="1496">
        <f t="shared" si="283"/>
        <v>70</v>
      </c>
      <c r="AY61" s="1497">
        <f t="shared" si="283"/>
        <v>26</v>
      </c>
      <c r="AZ61" s="1498">
        <f t="shared" si="283"/>
        <v>-6</v>
      </c>
      <c r="BA61" s="45">
        <f t="shared" si="283"/>
        <v>49</v>
      </c>
      <c r="BB61" s="45">
        <f t="shared" si="283"/>
        <v>155</v>
      </c>
      <c r="BC61" s="1497">
        <f t="shared" ref="BC61:BD61" si="284">+BC23-BC56</f>
        <v>103</v>
      </c>
      <c r="BD61" s="1498">
        <f t="shared" si="284"/>
        <v>152</v>
      </c>
      <c r="BE61" s="45">
        <f t="shared" ref="BE61:BG61" si="285">+BE23-BE56</f>
        <v>180.55408345270439</v>
      </c>
      <c r="BF61" s="45">
        <f t="shared" si="285"/>
        <v>176.23254595898288</v>
      </c>
      <c r="BG61" s="2175">
        <f t="shared" si="285"/>
        <v>132.376111631208</v>
      </c>
      <c r="BH61" s="2174">
        <f t="shared" ref="BH61:BK61" si="286">+BH23-BH56</f>
        <v>99.183737000144447</v>
      </c>
      <c r="BI61" s="45">
        <f t="shared" si="286"/>
        <v>142.47646931553004</v>
      </c>
      <c r="BJ61" s="45">
        <f t="shared" si="286"/>
        <v>168.27599215868349</v>
      </c>
      <c r="BK61" s="2175">
        <f t="shared" si="286"/>
        <v>158.08055451555583</v>
      </c>
      <c r="BL61" s="244"/>
      <c r="BM61" s="45">
        <f t="shared" ref="BM61:BW61" si="287">+BM23-BM56</f>
        <v>232</v>
      </c>
      <c r="BN61" s="45">
        <f t="shared" si="287"/>
        <v>517.64200000000028</v>
      </c>
      <c r="BO61" s="45">
        <f t="shared" si="287"/>
        <v>-923</v>
      </c>
      <c r="BP61" s="45">
        <f t="shared" si="287"/>
        <v>-796</v>
      </c>
      <c r="BQ61" s="45">
        <f t="shared" si="287"/>
        <v>-612</v>
      </c>
      <c r="BR61" s="45">
        <f t="shared" si="287"/>
        <v>553</v>
      </c>
      <c r="BS61" s="45">
        <f t="shared" si="287"/>
        <v>524</v>
      </c>
      <c r="BT61" s="45">
        <f t="shared" si="287"/>
        <v>139</v>
      </c>
      <c r="BU61" s="45">
        <f t="shared" si="287"/>
        <v>103</v>
      </c>
      <c r="BV61" s="45">
        <f t="shared" si="287"/>
        <v>251</v>
      </c>
      <c r="BW61" s="45">
        <f t="shared" si="287"/>
        <v>-253</v>
      </c>
      <c r="BX61" s="45">
        <f>+BX23-BX56</f>
        <v>44</v>
      </c>
      <c r="BY61" s="45">
        <f t="shared" ref="BY61" si="288">+BY23-BY56</f>
        <v>301</v>
      </c>
      <c r="BZ61" s="45">
        <f t="shared" ref="BZ61:CB61" si="289">+BZ23-BZ56</f>
        <v>641.1627410428955</v>
      </c>
      <c r="CA61" s="45">
        <f t="shared" si="289"/>
        <v>568.01675298991449</v>
      </c>
      <c r="CB61" s="2186">
        <f t="shared" si="289"/>
        <v>568.01675298991358</v>
      </c>
      <c r="CC61" s="2191"/>
      <c r="CD61" s="13"/>
    </row>
    <row r="62" spans="1:88" ht="14.25" customHeight="1">
      <c r="A62" s="7"/>
      <c r="B62" s="30" t="s">
        <v>615</v>
      </c>
      <c r="C62" s="31"/>
      <c r="D62" s="32">
        <f t="shared" ref="D62:AI62" si="290">D61/D9</f>
        <v>-3.7221553722889128E-2</v>
      </c>
      <c r="E62" s="32">
        <f t="shared" si="290"/>
        <v>-5.6598921517115293E-3</v>
      </c>
      <c r="F62" s="32">
        <f t="shared" si="290"/>
        <v>5.1701028727536714E-2</v>
      </c>
      <c r="G62" s="33">
        <f t="shared" si="290"/>
        <v>0.11206837008123663</v>
      </c>
      <c r="H62" s="32">
        <f t="shared" si="290"/>
        <v>0.19562244118190178</v>
      </c>
      <c r="I62" s="32">
        <f t="shared" si="290"/>
        <v>8.5590122060200613E-2</v>
      </c>
      <c r="J62" s="32">
        <f t="shared" si="290"/>
        <v>9.1000299784125438E-2</v>
      </c>
      <c r="K62" s="33">
        <f t="shared" si="290"/>
        <v>1.8117125334136574E-2</v>
      </c>
      <c r="L62" s="32">
        <f t="shared" si="290"/>
        <v>-0.31549067315490675</v>
      </c>
      <c r="M62" s="32">
        <f t="shared" si="290"/>
        <v>-0.27213352685050796</v>
      </c>
      <c r="N62" s="32">
        <f t="shared" si="290"/>
        <v>-9.1911764705882359E-2</v>
      </c>
      <c r="O62" s="33">
        <f t="shared" si="290"/>
        <v>-5.084745762711864E-3</v>
      </c>
      <c r="P62" s="32">
        <f t="shared" si="290"/>
        <v>-0.1304640215198386</v>
      </c>
      <c r="Q62" s="32">
        <f t="shared" si="290"/>
        <v>-0.21365638766519823</v>
      </c>
      <c r="R62" s="32">
        <f t="shared" si="290"/>
        <v>-1.5581524763494713E-2</v>
      </c>
      <c r="S62" s="33">
        <f t="shared" si="290"/>
        <v>-0.24354561101549052</v>
      </c>
      <c r="T62" s="32">
        <f t="shared" si="290"/>
        <v>-0.27017841971112999</v>
      </c>
      <c r="U62" s="32">
        <f t="shared" si="290"/>
        <v>-0.29476351351351349</v>
      </c>
      <c r="V62" s="32">
        <f t="shared" si="290"/>
        <v>-8.1661891117478513E-2</v>
      </c>
      <c r="W62" s="33">
        <f t="shared" si="290"/>
        <v>0.10267314702308628</v>
      </c>
      <c r="X62" s="32">
        <f t="shared" si="290"/>
        <v>8.2592121982210928E-2</v>
      </c>
      <c r="Y62" s="32">
        <f t="shared" si="290"/>
        <v>8.3484573502722328E-2</v>
      </c>
      <c r="Z62" s="32">
        <f t="shared" si="290"/>
        <v>8.8998763906056863E-2</v>
      </c>
      <c r="AA62" s="33">
        <f t="shared" si="290"/>
        <v>8.550636749545179E-2</v>
      </c>
      <c r="AB62" s="32">
        <f t="shared" si="290"/>
        <v>5.7036577805331681E-2</v>
      </c>
      <c r="AC62" s="32">
        <f t="shared" si="290"/>
        <v>7.2426937738246502E-2</v>
      </c>
      <c r="AD62" s="32">
        <f t="shared" si="290"/>
        <v>8.6390532544378701E-2</v>
      </c>
      <c r="AE62" s="33">
        <f t="shared" si="290"/>
        <v>0.10171496156120639</v>
      </c>
      <c r="AF62" s="32">
        <f t="shared" si="290"/>
        <v>8.3280757097791799E-2</v>
      </c>
      <c r="AG62" s="32">
        <f t="shared" si="290"/>
        <v>6.0863411181882522E-2</v>
      </c>
      <c r="AH62" s="32">
        <f t="shared" si="290"/>
        <v>-1.8912529550827423E-2</v>
      </c>
      <c r="AI62" s="32">
        <f t="shared" si="290"/>
        <v>-4.7619047619047616E-2</v>
      </c>
      <c r="AJ62" s="34">
        <f t="shared" ref="AJ62:AX62" si="291">AJ61/AJ9</f>
        <v>-4.2279411764705885E-2</v>
      </c>
      <c r="AK62" s="32">
        <f t="shared" si="291"/>
        <v>-1.7226528854435832E-2</v>
      </c>
      <c r="AL62" s="32">
        <f t="shared" si="291"/>
        <v>5.3388090349075976E-2</v>
      </c>
      <c r="AM62" s="32">
        <f t="shared" si="291"/>
        <v>5.7268722466960353E-2</v>
      </c>
      <c r="AN62" s="1852">
        <f t="shared" si="291"/>
        <v>4.7244094488188976E-2</v>
      </c>
      <c r="AO62" s="1850">
        <f t="shared" si="291"/>
        <v>4.6495489243580844E-2</v>
      </c>
      <c r="AP62" s="32">
        <f t="shared" si="291"/>
        <v>4.6186144156752977E-2</v>
      </c>
      <c r="AQ62" s="32">
        <f t="shared" si="291"/>
        <v>4.1969330104923326E-2</v>
      </c>
      <c r="AR62" s="34">
        <f t="shared" si="291"/>
        <v>-2.9126213592233011E-2</v>
      </c>
      <c r="AS62" s="32">
        <f t="shared" si="291"/>
        <v>-9.2356687898089165E-2</v>
      </c>
      <c r="AT62" s="32">
        <f t="shared" si="291"/>
        <v>-9.1423185673892557E-2</v>
      </c>
      <c r="AU62" s="33">
        <f t="shared" si="291"/>
        <v>-4.07098121085595E-2</v>
      </c>
      <c r="AV62" s="34">
        <f t="shared" si="291"/>
        <v>-6.6105769230769232E-2</v>
      </c>
      <c r="AW62" s="32">
        <f t="shared" si="291"/>
        <v>2.9211295034079843E-3</v>
      </c>
      <c r="AX62" s="32">
        <f t="shared" si="291"/>
        <v>5.355776587605203E-2</v>
      </c>
      <c r="AY62" s="33">
        <f t="shared" ref="AY62:BA62" si="292">AY61/AY9</f>
        <v>2.3508137432188065E-2</v>
      </c>
      <c r="AZ62" s="1697">
        <f t="shared" si="292"/>
        <v>-6.0975609756097563E-3</v>
      </c>
      <c r="BA62" s="1696">
        <f t="shared" si="292"/>
        <v>4.0098199672667756E-2</v>
      </c>
      <c r="BB62" s="1850">
        <f t="shared" ref="BB62:BD62" si="293">BB61/BB9</f>
        <v>9.4339622641509441E-2</v>
      </c>
      <c r="BC62" s="33">
        <f t="shared" si="293"/>
        <v>6.9594594594594592E-2</v>
      </c>
      <c r="BD62" s="1852">
        <f t="shared" si="293"/>
        <v>9.2289010321797205E-2</v>
      </c>
      <c r="BE62" s="1850">
        <f t="shared" ref="BE62:BG62" si="294">BE61/BE9</f>
        <v>0.10445560837770951</v>
      </c>
      <c r="BF62" s="1850">
        <f t="shared" si="294"/>
        <v>0.10184743405562696</v>
      </c>
      <c r="BG62" s="1851">
        <f t="shared" si="294"/>
        <v>8.1445139499626937E-2</v>
      </c>
      <c r="BH62" s="1913">
        <f t="shared" ref="BH62:BK62" si="295">BH61/BH9</f>
        <v>6.402481494349202E-2</v>
      </c>
      <c r="BI62" s="1850">
        <f t="shared" si="295"/>
        <v>8.7116827447272893E-2</v>
      </c>
      <c r="BJ62" s="1850">
        <f t="shared" si="295"/>
        <v>9.8033467104433059E-2</v>
      </c>
      <c r="BK62" s="1851">
        <f t="shared" si="295"/>
        <v>9.2833280642908134E-2</v>
      </c>
      <c r="BL62" s="244"/>
      <c r="BM62" s="32">
        <f t="shared" ref="BM62:BX62" si="296">BM61/BM9</f>
        <v>3.9671682626538987E-2</v>
      </c>
      <c r="BN62" s="32">
        <f t="shared" si="296"/>
        <v>9.1634271552487212E-2</v>
      </c>
      <c r="BO62" s="32">
        <f t="shared" si="296"/>
        <v>-0.15350074837851321</v>
      </c>
      <c r="BP62" s="32">
        <f t="shared" si="296"/>
        <v>-0.13705234159779614</v>
      </c>
      <c r="BQ62" s="32">
        <f t="shared" si="296"/>
        <v>-0.11327040533037201</v>
      </c>
      <c r="BR62" s="32">
        <f t="shared" si="296"/>
        <v>8.5155528179858331E-2</v>
      </c>
      <c r="BS62" s="32">
        <f t="shared" si="296"/>
        <v>7.9780755176613885E-2</v>
      </c>
      <c r="BT62" s="32">
        <f t="shared" si="296"/>
        <v>2.5636296569531539E-2</v>
      </c>
      <c r="BU62" s="1850">
        <f t="shared" si="296"/>
        <v>1.9437629741460651E-2</v>
      </c>
      <c r="BV62" s="1850">
        <f t="shared" si="296"/>
        <v>4.5586632764257173E-2</v>
      </c>
      <c r="BW62" s="1850">
        <f t="shared" si="296"/>
        <v>-6.3392633425206721E-2</v>
      </c>
      <c r="BX62" s="1850">
        <f t="shared" si="296"/>
        <v>1.0299625468164793E-2</v>
      </c>
      <c r="BY62" s="1850">
        <f t="shared" ref="BY62" si="297">BY61/BY9</f>
        <v>5.648339275661475E-2</v>
      </c>
      <c r="BZ62" s="1850">
        <f t="shared" ref="BZ62:CB62" si="298">BZ61/BZ9</f>
        <v>9.5252033926626845E-2</v>
      </c>
      <c r="CA62" s="1850">
        <f t="shared" si="298"/>
        <v>8.6011420754376233E-2</v>
      </c>
      <c r="CB62" s="1851">
        <f t="shared" si="298"/>
        <v>8.6011420754376094E-2</v>
      </c>
      <c r="CC62" s="2191"/>
      <c r="CD62" s="13"/>
    </row>
    <row r="63" spans="1:88" ht="14.25" customHeight="1">
      <c r="A63" s="7"/>
      <c r="B63" s="42" t="s">
        <v>6</v>
      </c>
      <c r="C63" s="43"/>
      <c r="D63" s="45">
        <f t="shared" ref="D63:AI63" si="299">D25-D57</f>
        <v>-45.657000000000039</v>
      </c>
      <c r="E63" s="45">
        <f t="shared" si="299"/>
        <v>-7.1310000000000855</v>
      </c>
      <c r="F63" s="45">
        <f t="shared" si="299"/>
        <v>78.728000000000179</v>
      </c>
      <c r="G63" s="46">
        <f t="shared" si="299"/>
        <v>206.05999999999972</v>
      </c>
      <c r="H63" s="45">
        <f t="shared" si="299"/>
        <v>260.59999999999991</v>
      </c>
      <c r="I63" s="45">
        <f t="shared" si="299"/>
        <v>104.10900000000004</v>
      </c>
      <c r="J63" s="45">
        <f t="shared" si="299"/>
        <v>120.81400000000019</v>
      </c>
      <c r="K63" s="46">
        <f t="shared" si="299"/>
        <v>32.119000000000028</v>
      </c>
      <c r="L63" s="45">
        <f t="shared" si="299"/>
        <v>-389</v>
      </c>
      <c r="M63" s="45">
        <f t="shared" si="299"/>
        <v>-375</v>
      </c>
      <c r="N63" s="45">
        <f t="shared" si="299"/>
        <v>-150</v>
      </c>
      <c r="O63" s="46">
        <f t="shared" si="299"/>
        <v>-9</v>
      </c>
      <c r="P63" s="45">
        <f t="shared" si="299"/>
        <v>-194</v>
      </c>
      <c r="Q63" s="45">
        <f t="shared" si="299"/>
        <v>-291</v>
      </c>
      <c r="R63" s="45">
        <f t="shared" si="299"/>
        <v>-28</v>
      </c>
      <c r="S63" s="46">
        <f t="shared" si="299"/>
        <v>-283</v>
      </c>
      <c r="T63" s="45">
        <f t="shared" si="299"/>
        <v>-318</v>
      </c>
      <c r="U63" s="45">
        <f t="shared" si="299"/>
        <v>-349</v>
      </c>
      <c r="V63" s="45">
        <f t="shared" si="299"/>
        <v>-114</v>
      </c>
      <c r="W63" s="46">
        <f t="shared" si="299"/>
        <v>169</v>
      </c>
      <c r="X63" s="45">
        <f t="shared" si="299"/>
        <v>130</v>
      </c>
      <c r="Y63" s="45">
        <f t="shared" si="299"/>
        <v>138</v>
      </c>
      <c r="Z63" s="45">
        <f t="shared" si="299"/>
        <v>144</v>
      </c>
      <c r="AA63" s="46">
        <f t="shared" si="299"/>
        <v>141</v>
      </c>
      <c r="AB63" s="45">
        <f t="shared" si="299"/>
        <v>92</v>
      </c>
      <c r="AC63" s="45">
        <f t="shared" si="299"/>
        <v>114</v>
      </c>
      <c r="AD63" s="45">
        <f t="shared" si="299"/>
        <v>146</v>
      </c>
      <c r="AE63" s="46">
        <f t="shared" si="299"/>
        <v>172</v>
      </c>
      <c r="AF63" s="45">
        <f t="shared" si="299"/>
        <v>132</v>
      </c>
      <c r="AG63" s="45">
        <f t="shared" si="299"/>
        <v>86</v>
      </c>
      <c r="AH63" s="45">
        <f t="shared" si="299"/>
        <v>-24</v>
      </c>
      <c r="AI63" s="45">
        <f t="shared" si="299"/>
        <v>-55</v>
      </c>
      <c r="AJ63" s="44">
        <f t="shared" ref="AJ63:AX63" si="300">AJ25-AJ57</f>
        <v>-46</v>
      </c>
      <c r="AK63" s="45">
        <f t="shared" si="300"/>
        <v>-20</v>
      </c>
      <c r="AL63" s="45">
        <f t="shared" si="300"/>
        <v>78</v>
      </c>
      <c r="AM63" s="45">
        <f t="shared" si="300"/>
        <v>91</v>
      </c>
      <c r="AN63" s="44">
        <f t="shared" si="300"/>
        <v>38</v>
      </c>
      <c r="AO63" s="45">
        <f t="shared" si="300"/>
        <v>67</v>
      </c>
      <c r="AP63" s="45">
        <f>AP25-AP57</f>
        <v>66</v>
      </c>
      <c r="AQ63" s="45">
        <f t="shared" si="300"/>
        <v>36</v>
      </c>
      <c r="AR63" s="44">
        <f t="shared" si="300"/>
        <v>-47</v>
      </c>
      <c r="AS63" s="45">
        <f t="shared" si="300"/>
        <v>-104</v>
      </c>
      <c r="AT63" s="45">
        <f t="shared" si="300"/>
        <v>-110</v>
      </c>
      <c r="AU63" s="46">
        <f t="shared" si="300"/>
        <v>-55</v>
      </c>
      <c r="AV63" s="44">
        <f t="shared" si="300"/>
        <v>-71</v>
      </c>
      <c r="AW63" s="45">
        <f t="shared" si="300"/>
        <v>-15</v>
      </c>
      <c r="AX63" s="45">
        <f t="shared" si="300"/>
        <v>47</v>
      </c>
      <c r="AY63" s="46">
        <f t="shared" ref="AY63:BA63" si="301">AY25-AY57</f>
        <v>-3</v>
      </c>
      <c r="AZ63" s="44">
        <f t="shared" si="301"/>
        <v>-29</v>
      </c>
      <c r="BA63" s="45">
        <f t="shared" si="301"/>
        <v>25</v>
      </c>
      <c r="BB63" s="45">
        <f t="shared" ref="BB63:BD63" si="302">BB25-BB57</f>
        <v>126</v>
      </c>
      <c r="BC63" s="46">
        <f t="shared" si="302"/>
        <v>82</v>
      </c>
      <c r="BD63" s="44">
        <f t="shared" si="302"/>
        <v>120</v>
      </c>
      <c r="BE63" s="45">
        <f t="shared" ref="BE63:BG63" si="303">BE25-BE57</f>
        <v>151.55408345270439</v>
      </c>
      <c r="BF63" s="45">
        <f t="shared" si="303"/>
        <v>147.23254595898288</v>
      </c>
      <c r="BG63" s="2175">
        <f t="shared" si="303"/>
        <v>103.376111631208</v>
      </c>
      <c r="BH63" s="2174">
        <f t="shared" ref="BH63:BK63" si="304">BH25-BH57</f>
        <v>70.183737000144447</v>
      </c>
      <c r="BI63" s="45">
        <f t="shared" si="304"/>
        <v>113.47646931553004</v>
      </c>
      <c r="BJ63" s="45">
        <f t="shared" si="304"/>
        <v>139.27599215868349</v>
      </c>
      <c r="BK63" s="2175">
        <f t="shared" si="304"/>
        <v>129.08055451555583</v>
      </c>
      <c r="BL63" s="244"/>
      <c r="BM63" s="45">
        <f t="shared" ref="BM63:BU63" si="305">BM25-BM57</f>
        <v>232</v>
      </c>
      <c r="BN63" s="45">
        <f t="shared" si="305"/>
        <v>517.64199999999983</v>
      </c>
      <c r="BO63" s="45">
        <f t="shared" si="305"/>
        <v>-923</v>
      </c>
      <c r="BP63" s="45">
        <f t="shared" si="305"/>
        <v>-796</v>
      </c>
      <c r="BQ63" s="45">
        <f t="shared" si="305"/>
        <v>-612</v>
      </c>
      <c r="BR63" s="45">
        <f t="shared" si="305"/>
        <v>553</v>
      </c>
      <c r="BS63" s="45">
        <f t="shared" si="305"/>
        <v>524</v>
      </c>
      <c r="BT63" s="45">
        <f t="shared" si="305"/>
        <v>139</v>
      </c>
      <c r="BU63" s="45">
        <f t="shared" si="305"/>
        <v>103</v>
      </c>
      <c r="BV63" s="45">
        <f>BV25-BV57</f>
        <v>207</v>
      </c>
      <c r="BW63" s="45">
        <f t="shared" ref="BW63:BX63" si="306">BW25-BW57</f>
        <v>-316</v>
      </c>
      <c r="BX63" s="45">
        <f t="shared" si="306"/>
        <v>-42</v>
      </c>
      <c r="BY63" s="45">
        <f>BY25-BY57</f>
        <v>204</v>
      </c>
      <c r="BZ63" s="45">
        <f t="shared" ref="BZ63:CB63" si="307">BZ25-BZ57</f>
        <v>522.1627410428955</v>
      </c>
      <c r="CA63" s="45">
        <f t="shared" si="307"/>
        <v>452.01675298991358</v>
      </c>
      <c r="CB63" s="2186">
        <f t="shared" si="307"/>
        <v>452.01675298991358</v>
      </c>
      <c r="CC63" s="2191"/>
      <c r="CD63" s="1507"/>
    </row>
    <row r="64" spans="1:88" ht="14.25" customHeight="1">
      <c r="A64" s="7"/>
      <c r="B64" s="30" t="s">
        <v>439</v>
      </c>
      <c r="C64" s="31"/>
      <c r="D64" s="32">
        <f t="shared" ref="D64:AI64" si="308">D63/D9</f>
        <v>-3.7221553722889128E-2</v>
      </c>
      <c r="E64" s="32">
        <f t="shared" si="308"/>
        <v>-5.6598921517115293E-3</v>
      </c>
      <c r="F64" s="32">
        <f t="shared" si="308"/>
        <v>5.1701028727536714E-2</v>
      </c>
      <c r="G64" s="33">
        <f t="shared" si="308"/>
        <v>0.11206837008123663</v>
      </c>
      <c r="H64" s="32">
        <f t="shared" si="308"/>
        <v>0.19562244118190178</v>
      </c>
      <c r="I64" s="32">
        <f t="shared" si="308"/>
        <v>8.5590122060200613E-2</v>
      </c>
      <c r="J64" s="32">
        <f t="shared" si="308"/>
        <v>9.1000299784125438E-2</v>
      </c>
      <c r="K64" s="33">
        <f t="shared" si="308"/>
        <v>1.8117125334136574E-2</v>
      </c>
      <c r="L64" s="32">
        <f t="shared" si="308"/>
        <v>-0.31549067315490675</v>
      </c>
      <c r="M64" s="32">
        <f t="shared" si="308"/>
        <v>-0.27213352685050796</v>
      </c>
      <c r="N64" s="32">
        <f t="shared" si="308"/>
        <v>-9.1911764705882359E-2</v>
      </c>
      <c r="O64" s="33">
        <f t="shared" si="308"/>
        <v>-5.084745762711864E-3</v>
      </c>
      <c r="P64" s="32">
        <f t="shared" si="308"/>
        <v>-0.1304640215198386</v>
      </c>
      <c r="Q64" s="32">
        <f t="shared" si="308"/>
        <v>-0.21365638766519823</v>
      </c>
      <c r="R64" s="32">
        <f t="shared" si="308"/>
        <v>-1.5581524763494713E-2</v>
      </c>
      <c r="S64" s="33">
        <f t="shared" si="308"/>
        <v>-0.24354561101549052</v>
      </c>
      <c r="T64" s="32">
        <f t="shared" si="308"/>
        <v>-0.27017841971112999</v>
      </c>
      <c r="U64" s="32">
        <f t="shared" si="308"/>
        <v>-0.29476351351351349</v>
      </c>
      <c r="V64" s="32">
        <f t="shared" si="308"/>
        <v>-8.1661891117478513E-2</v>
      </c>
      <c r="W64" s="33">
        <f t="shared" si="308"/>
        <v>0.10267314702308628</v>
      </c>
      <c r="X64" s="32">
        <f t="shared" si="308"/>
        <v>8.2592121982210928E-2</v>
      </c>
      <c r="Y64" s="32">
        <f t="shared" si="308"/>
        <v>8.3484573502722328E-2</v>
      </c>
      <c r="Z64" s="32">
        <f t="shared" si="308"/>
        <v>8.8998763906056863E-2</v>
      </c>
      <c r="AA64" s="33">
        <f t="shared" si="308"/>
        <v>8.550636749545179E-2</v>
      </c>
      <c r="AB64" s="32">
        <f t="shared" si="308"/>
        <v>5.7036577805331681E-2</v>
      </c>
      <c r="AC64" s="32">
        <f t="shared" si="308"/>
        <v>7.2426937738246502E-2</v>
      </c>
      <c r="AD64" s="32">
        <f t="shared" si="308"/>
        <v>8.6390532544378701E-2</v>
      </c>
      <c r="AE64" s="33">
        <f t="shared" si="308"/>
        <v>0.10171496156120639</v>
      </c>
      <c r="AF64" s="32">
        <f t="shared" si="308"/>
        <v>8.3280757097791799E-2</v>
      </c>
      <c r="AG64" s="32">
        <f t="shared" si="308"/>
        <v>6.0863411181882522E-2</v>
      </c>
      <c r="AH64" s="32">
        <f t="shared" si="308"/>
        <v>-1.8912529550827423E-2</v>
      </c>
      <c r="AI64" s="32">
        <f t="shared" si="308"/>
        <v>-4.7619047619047616E-2</v>
      </c>
      <c r="AJ64" s="34">
        <f t="shared" ref="AJ64:AX64" si="309">AJ63/AJ9</f>
        <v>-4.2279411764705885E-2</v>
      </c>
      <c r="AK64" s="32">
        <f t="shared" si="309"/>
        <v>-1.7226528854435832E-2</v>
      </c>
      <c r="AL64" s="32">
        <f t="shared" si="309"/>
        <v>5.3388090349075976E-2</v>
      </c>
      <c r="AM64" s="32">
        <f t="shared" si="309"/>
        <v>5.7268722466960353E-2</v>
      </c>
      <c r="AN64" s="1852">
        <f t="shared" si="309"/>
        <v>2.7201145311381531E-2</v>
      </c>
      <c r="AO64" s="1850">
        <f t="shared" si="309"/>
        <v>4.6495489243580844E-2</v>
      </c>
      <c r="AP64" s="32">
        <f t="shared" si="309"/>
        <v>4.6186144156752977E-2</v>
      </c>
      <c r="AQ64" s="32">
        <f t="shared" si="309"/>
        <v>2.9055690072639227E-2</v>
      </c>
      <c r="AR64" s="34">
        <f t="shared" si="309"/>
        <v>-4.5631067961165048E-2</v>
      </c>
      <c r="AS64" s="32">
        <f t="shared" si="309"/>
        <v>-0.11040339702760085</v>
      </c>
      <c r="AT64" s="32">
        <f t="shared" si="309"/>
        <v>-0.10367577756833177</v>
      </c>
      <c r="AU64" s="33">
        <f t="shared" si="309"/>
        <v>-5.7411273486430062E-2</v>
      </c>
      <c r="AV64" s="34">
        <f t="shared" si="309"/>
        <v>-8.5336538461538464E-2</v>
      </c>
      <c r="AW64" s="32">
        <f t="shared" si="309"/>
        <v>-1.4605647517039922E-2</v>
      </c>
      <c r="AX64" s="32">
        <f t="shared" si="309"/>
        <v>3.5960214231063506E-2</v>
      </c>
      <c r="AY64" s="33">
        <f t="shared" ref="AY64:BA64" si="310">AY63/AY9</f>
        <v>-2.7124773960216998E-3</v>
      </c>
      <c r="AZ64" s="1697">
        <f t="shared" si="310"/>
        <v>-2.9471544715447155E-2</v>
      </c>
      <c r="BA64" s="1696">
        <f t="shared" si="310"/>
        <v>2.0458265139116204E-2</v>
      </c>
      <c r="BB64" s="1850">
        <f t="shared" ref="BB64:BD64" si="311">BB63/BB9</f>
        <v>7.6688983566646385E-2</v>
      </c>
      <c r="BC64" s="33">
        <f t="shared" si="311"/>
        <v>5.5405405405405408E-2</v>
      </c>
      <c r="BD64" s="1852">
        <f t="shared" si="311"/>
        <v>7.2859744990892539E-2</v>
      </c>
      <c r="BE64" s="1850">
        <f t="shared" ref="BE64:BG64" si="312">BE63/BE9</f>
        <v>8.7678293874340382E-2</v>
      </c>
      <c r="BF64" s="1850">
        <f t="shared" si="312"/>
        <v>8.5087898684103644E-2</v>
      </c>
      <c r="BG64" s="1851">
        <f t="shared" si="312"/>
        <v>6.3602728082759533E-2</v>
      </c>
      <c r="BH64" s="1913">
        <f t="shared" ref="BH64:BK64" si="313">BH63/BH9</f>
        <v>4.5304814169992581E-2</v>
      </c>
      <c r="BI64" s="1850">
        <f t="shared" si="313"/>
        <v>6.9384860841784191E-2</v>
      </c>
      <c r="BJ64" s="1850">
        <f t="shared" si="313"/>
        <v>8.1138778149946605E-2</v>
      </c>
      <c r="BK64" s="1851">
        <f t="shared" si="313"/>
        <v>7.58029435031215E-2</v>
      </c>
      <c r="BL64" s="244"/>
      <c r="BM64" s="32">
        <f t="shared" ref="BM64:BY64" si="314">BM63/BM9</f>
        <v>3.9671682626538987E-2</v>
      </c>
      <c r="BN64" s="32">
        <f t="shared" si="314"/>
        <v>9.1634271552487129E-2</v>
      </c>
      <c r="BO64" s="32">
        <f t="shared" si="314"/>
        <v>-0.15350074837851321</v>
      </c>
      <c r="BP64" s="32">
        <f t="shared" si="314"/>
        <v>-0.13705234159779614</v>
      </c>
      <c r="BQ64" s="32">
        <f t="shared" si="314"/>
        <v>-0.11327040533037201</v>
      </c>
      <c r="BR64" s="32">
        <f t="shared" si="314"/>
        <v>8.5155528179858331E-2</v>
      </c>
      <c r="BS64" s="32">
        <f t="shared" si="314"/>
        <v>7.9780755176613885E-2</v>
      </c>
      <c r="BT64" s="32">
        <f t="shared" si="314"/>
        <v>2.5636296569531539E-2</v>
      </c>
      <c r="BU64" s="1850">
        <f t="shared" si="314"/>
        <v>1.9437629741460651E-2</v>
      </c>
      <c r="BV64" s="1850">
        <f t="shared" ref="BV64:BX64" si="315">BV63/BV9</f>
        <v>3.759535052669815E-2</v>
      </c>
      <c r="BW64" s="1850">
        <f t="shared" si="315"/>
        <v>-7.9178150839388631E-2</v>
      </c>
      <c r="BX64" s="1850">
        <f t="shared" si="315"/>
        <v>-9.8314606741573031E-3</v>
      </c>
      <c r="BY64" s="1850">
        <f t="shared" si="314"/>
        <v>3.8281103396509662E-2</v>
      </c>
      <c r="BZ64" s="1850">
        <f t="shared" ref="BZ64:CB64" si="316">BZ63/BZ9</f>
        <v>7.7573227421383811E-2</v>
      </c>
      <c r="CA64" s="1850">
        <f t="shared" si="316"/>
        <v>6.844622614525725E-2</v>
      </c>
      <c r="CB64" s="1851">
        <f t="shared" si="316"/>
        <v>6.844622614525725E-2</v>
      </c>
      <c r="CC64" s="2191"/>
      <c r="CD64" s="13"/>
    </row>
    <row r="65" spans="1:88" ht="17.25" customHeight="1">
      <c r="A65" s="7"/>
      <c r="B65" s="21"/>
      <c r="C65" s="22"/>
      <c r="D65" s="37"/>
      <c r="E65" s="37"/>
      <c r="F65" s="37"/>
      <c r="G65" s="38"/>
      <c r="H65" s="37"/>
      <c r="I65" s="37"/>
      <c r="J65" s="37"/>
      <c r="K65" s="38"/>
      <c r="L65" s="37"/>
      <c r="M65" s="37"/>
      <c r="N65" s="37"/>
      <c r="O65" s="38"/>
      <c r="P65" s="37"/>
      <c r="Q65" s="37"/>
      <c r="R65" s="37"/>
      <c r="S65" s="38"/>
      <c r="T65" s="37"/>
      <c r="U65" s="37"/>
      <c r="V65" s="37"/>
      <c r="W65" s="38"/>
      <c r="X65" s="37"/>
      <c r="Y65" s="37"/>
      <c r="Z65" s="37"/>
      <c r="AA65" s="38"/>
      <c r="AB65" s="37"/>
      <c r="AC65" s="37"/>
      <c r="AD65" s="37"/>
      <c r="AE65" s="38"/>
      <c r="AF65" s="37"/>
      <c r="AG65" s="37"/>
      <c r="AH65" s="37"/>
      <c r="AI65" s="37"/>
      <c r="AJ65" s="645"/>
      <c r="AK65" s="37"/>
      <c r="AL65" s="37"/>
      <c r="AM65" s="37"/>
      <c r="AN65" s="645"/>
      <c r="AO65" s="37"/>
      <c r="AP65" s="37"/>
      <c r="AQ65" s="37"/>
      <c r="AR65" s="645"/>
      <c r="AS65" s="37"/>
      <c r="AT65" s="37"/>
      <c r="AU65" s="38"/>
      <c r="AV65" s="645"/>
      <c r="AW65" s="37"/>
      <c r="AX65" s="37"/>
      <c r="AY65" s="38"/>
      <c r="AZ65" s="645"/>
      <c r="BA65" s="37"/>
      <c r="BB65" s="37"/>
      <c r="BC65" s="38"/>
      <c r="BD65" s="645"/>
      <c r="BE65" s="37"/>
      <c r="BF65" s="37"/>
      <c r="BG65" s="1640"/>
      <c r="BH65" s="1917"/>
      <c r="BI65" s="37"/>
      <c r="BJ65" s="37"/>
      <c r="BK65" s="1640"/>
      <c r="BL65" s="244"/>
      <c r="BM65" s="37"/>
      <c r="BN65" s="37"/>
      <c r="BO65" s="37"/>
      <c r="BP65" s="37"/>
      <c r="BQ65" s="37"/>
      <c r="BR65" s="37"/>
      <c r="BS65" s="37"/>
      <c r="BT65" s="37"/>
      <c r="BU65" s="37"/>
      <c r="BV65" s="37"/>
      <c r="BW65" s="37"/>
      <c r="BX65" s="37"/>
      <c r="BY65" s="37"/>
      <c r="BZ65" s="37"/>
      <c r="CA65" s="37"/>
      <c r="CB65" s="2081"/>
      <c r="CC65" s="2191"/>
      <c r="CD65" s="13"/>
    </row>
    <row r="66" spans="1:88" s="423" customFormat="1" ht="14.25" customHeight="1">
      <c r="A66" s="415"/>
      <c r="B66" s="416" t="s">
        <v>452</v>
      </c>
      <c r="C66" s="417"/>
      <c r="D66" s="485">
        <f t="shared" ref="D66:AJ66" si="317">D67+D68+D69</f>
        <v>26.582000000000001</v>
      </c>
      <c r="E66" s="485">
        <f t="shared" si="317"/>
        <v>15.349999999999998</v>
      </c>
      <c r="F66" s="485">
        <f t="shared" si="317"/>
        <v>-3.3339999999999961</v>
      </c>
      <c r="G66" s="487">
        <f t="shared" si="317"/>
        <v>-112.59800000000001</v>
      </c>
      <c r="H66" s="485">
        <f t="shared" si="317"/>
        <v>-38.803000000000004</v>
      </c>
      <c r="I66" s="485">
        <f t="shared" si="317"/>
        <v>5.0389999999999979</v>
      </c>
      <c r="J66" s="485">
        <f t="shared" si="317"/>
        <v>-5.5690000000000026</v>
      </c>
      <c r="K66" s="487">
        <f t="shared" si="317"/>
        <v>-56.667000000000002</v>
      </c>
      <c r="L66" s="485">
        <f t="shared" si="317"/>
        <v>-84</v>
      </c>
      <c r="M66" s="485">
        <f t="shared" si="317"/>
        <v>-111</v>
      </c>
      <c r="N66" s="485">
        <f t="shared" si="317"/>
        <v>-143</v>
      </c>
      <c r="O66" s="487">
        <f t="shared" si="317"/>
        <v>-153</v>
      </c>
      <c r="P66" s="485">
        <f t="shared" si="317"/>
        <v>-87</v>
      </c>
      <c r="Q66" s="485">
        <f t="shared" si="317"/>
        <v>-125</v>
      </c>
      <c r="R66" s="485">
        <f t="shared" si="317"/>
        <v>-100</v>
      </c>
      <c r="S66" s="487">
        <f t="shared" si="317"/>
        <v>-77</v>
      </c>
      <c r="T66" s="485">
        <f t="shared" si="317"/>
        <v>0</v>
      </c>
      <c r="U66" s="485">
        <f t="shared" si="317"/>
        <v>-96</v>
      </c>
      <c r="V66" s="485">
        <f t="shared" si="317"/>
        <v>-63</v>
      </c>
      <c r="W66" s="487">
        <f t="shared" si="317"/>
        <v>-97</v>
      </c>
      <c r="X66" s="485">
        <f t="shared" si="317"/>
        <v>75</v>
      </c>
      <c r="Y66" s="485">
        <f t="shared" si="317"/>
        <v>-173</v>
      </c>
      <c r="Z66" s="485">
        <f t="shared" si="317"/>
        <v>-245</v>
      </c>
      <c r="AA66" s="487">
        <f t="shared" si="317"/>
        <v>4</v>
      </c>
      <c r="AB66" s="485">
        <f t="shared" si="317"/>
        <v>458</v>
      </c>
      <c r="AC66" s="485">
        <f t="shared" si="317"/>
        <v>-41</v>
      </c>
      <c r="AD66" s="485">
        <f t="shared" si="317"/>
        <v>-46</v>
      </c>
      <c r="AE66" s="487">
        <f t="shared" si="317"/>
        <v>-248</v>
      </c>
      <c r="AF66" s="485">
        <f t="shared" si="317"/>
        <v>-42</v>
      </c>
      <c r="AG66" s="485">
        <f t="shared" si="317"/>
        <v>-46</v>
      </c>
      <c r="AH66" s="485">
        <f t="shared" si="317"/>
        <v>-26</v>
      </c>
      <c r="AI66" s="485">
        <f t="shared" si="317"/>
        <v>-47</v>
      </c>
      <c r="AJ66" s="488">
        <f t="shared" si="317"/>
        <v>-46</v>
      </c>
      <c r="AK66" s="485">
        <f t="shared" ref="AK66:AW66" si="318">AK67+AK68+AK69</f>
        <v>-42</v>
      </c>
      <c r="AL66" s="485">
        <f t="shared" si="318"/>
        <v>-44</v>
      </c>
      <c r="AM66" s="485">
        <f t="shared" si="318"/>
        <v>-45</v>
      </c>
      <c r="AN66" s="488">
        <f>AN67+AN68+AN69</f>
        <v>-67</v>
      </c>
      <c r="AO66" s="485">
        <f>AO67+AO68+AO69</f>
        <v>-95</v>
      </c>
      <c r="AP66" s="485">
        <f>AP67+AP68+AP69</f>
        <v>-44</v>
      </c>
      <c r="AQ66" s="485">
        <f t="shared" si="318"/>
        <v>-37</v>
      </c>
      <c r="AR66" s="488">
        <f t="shared" si="318"/>
        <v>-40</v>
      </c>
      <c r="AS66" s="485">
        <f t="shared" si="318"/>
        <v>-43</v>
      </c>
      <c r="AT66" s="485">
        <f t="shared" si="318"/>
        <v>-39</v>
      </c>
      <c r="AU66" s="487">
        <f t="shared" si="318"/>
        <v>-43</v>
      </c>
      <c r="AV66" s="488">
        <f t="shared" si="318"/>
        <v>-40</v>
      </c>
      <c r="AW66" s="485">
        <f t="shared" si="318"/>
        <v>109</v>
      </c>
      <c r="AX66" s="485">
        <f>AX67+AX68+AX69</f>
        <v>-104</v>
      </c>
      <c r="AY66" s="487">
        <f t="shared" ref="AY66:BA66" si="319">AY67+AY68+AY69</f>
        <v>-41</v>
      </c>
      <c r="AZ66" s="488">
        <f t="shared" si="319"/>
        <v>-37</v>
      </c>
      <c r="BA66" s="485">
        <f t="shared" si="319"/>
        <v>-35</v>
      </c>
      <c r="BB66" s="485">
        <f t="shared" ref="BB66:BD66" si="320">BB67+BB68+BB69</f>
        <v>-34</v>
      </c>
      <c r="BC66" s="487">
        <f t="shared" si="320"/>
        <v>-29</v>
      </c>
      <c r="BD66" s="488">
        <f t="shared" si="320"/>
        <v>-30</v>
      </c>
      <c r="BE66" s="485">
        <f t="shared" ref="BE66:BG66" si="321">BE67+BE68+BE69+BE70</f>
        <v>-22.246799169936384</v>
      </c>
      <c r="BF66" s="485">
        <f t="shared" si="321"/>
        <v>-22.246799169936384</v>
      </c>
      <c r="BG66" s="1647">
        <f t="shared" si="321"/>
        <v>-22.246799169936384</v>
      </c>
      <c r="BH66" s="1915">
        <f t="shared" ref="BH66:BK66" si="322">BH67+BH68+BH69+BH70</f>
        <v>-21.246799169936384</v>
      </c>
      <c r="BI66" s="485">
        <f t="shared" si="322"/>
        <v>-20.246799169936384</v>
      </c>
      <c r="BJ66" s="485">
        <f t="shared" si="322"/>
        <v>-19.246799169936384</v>
      </c>
      <c r="BK66" s="1647">
        <f t="shared" si="322"/>
        <v>-18.246799169936384</v>
      </c>
      <c r="BL66" s="865"/>
      <c r="BM66" s="485">
        <f t="shared" ref="BM66:BT66" si="323">BM67+BM68+BM69</f>
        <v>-74</v>
      </c>
      <c r="BN66" s="485">
        <f t="shared" si="323"/>
        <v>-96</v>
      </c>
      <c r="BO66" s="485">
        <f t="shared" si="323"/>
        <v>-491</v>
      </c>
      <c r="BP66" s="485">
        <f t="shared" si="323"/>
        <v>-389</v>
      </c>
      <c r="BQ66" s="485">
        <f t="shared" si="323"/>
        <v>-256</v>
      </c>
      <c r="BR66" s="485">
        <f t="shared" si="323"/>
        <v>-339</v>
      </c>
      <c r="BS66" s="485">
        <f t="shared" si="323"/>
        <v>123</v>
      </c>
      <c r="BT66" s="485">
        <f t="shared" si="323"/>
        <v>-161</v>
      </c>
      <c r="BU66" s="485">
        <f>BU67+BU68+BU69</f>
        <v>-177</v>
      </c>
      <c r="BV66" s="485">
        <f>SUM(AN66:AQ66)</f>
        <v>-243</v>
      </c>
      <c r="BW66" s="485">
        <f>+SUM(AR66:AU66)</f>
        <v>-165</v>
      </c>
      <c r="BX66" s="485">
        <f>BX67+BX68+BX69</f>
        <v>-76</v>
      </c>
      <c r="BY66" s="1653">
        <f t="shared" ref="BY66:BY70" si="324">SUM(AZ66:BC66)</f>
        <v>-135</v>
      </c>
      <c r="BZ66" s="1653">
        <f>SUM(BD66:BG66)</f>
        <v>-96.740397509809142</v>
      </c>
      <c r="CA66" s="1653">
        <f>SUM(BH66:BK66)</f>
        <v>-78.987196679745537</v>
      </c>
      <c r="CB66" s="2080">
        <f t="shared" ref="CB66" si="325">CB67+CB68+CB69</f>
        <v>-78.987196679745537</v>
      </c>
      <c r="CC66" s="2191"/>
      <c r="CD66" s="440"/>
      <c r="CE66"/>
      <c r="CF66"/>
      <c r="CG66"/>
      <c r="CH66"/>
      <c r="CI66"/>
      <c r="CJ66"/>
    </row>
    <row r="67" spans="1:88" ht="14.25" hidden="1" customHeight="1" outlineLevel="1">
      <c r="A67" s="7"/>
      <c r="B67" s="23" t="s">
        <v>427</v>
      </c>
      <c r="C67" s="24"/>
      <c r="D67" s="25">
        <v>6.8849999999999998</v>
      </c>
      <c r="E67" s="25">
        <v>7.194</v>
      </c>
      <c r="F67" s="25">
        <v>9.51</v>
      </c>
      <c r="G67" s="359">
        <f>37-SUM(D67:F67)</f>
        <v>13.411000000000001</v>
      </c>
      <c r="H67" s="25">
        <v>28.161999999999999</v>
      </c>
      <c r="I67" s="25">
        <v>35.308</v>
      </c>
      <c r="J67" s="25">
        <v>31.187999999999999</v>
      </c>
      <c r="K67" s="359">
        <f>116-SUM(H67:J67)</f>
        <v>21.341999999999999</v>
      </c>
      <c r="L67" s="25">
        <v>16</v>
      </c>
      <c r="M67" s="25">
        <v>19</v>
      </c>
      <c r="N67" s="25">
        <v>19</v>
      </c>
      <c r="O67" s="359">
        <f>73-SUM(L67:N67)</f>
        <v>19</v>
      </c>
      <c r="P67" s="25">
        <v>15</v>
      </c>
      <c r="Q67" s="25">
        <v>10</v>
      </c>
      <c r="R67" s="25">
        <v>7</v>
      </c>
      <c r="S67" s="359">
        <f>39-SUM(P67:R67)</f>
        <v>7</v>
      </c>
      <c r="T67" s="25">
        <v>3</v>
      </c>
      <c r="U67" s="25">
        <v>6</v>
      </c>
      <c r="V67" s="25">
        <v>4</v>
      </c>
      <c r="W67" s="359">
        <f>16-V67-U67-T67</f>
        <v>3</v>
      </c>
      <c r="X67" s="25">
        <v>3</v>
      </c>
      <c r="Y67" s="25">
        <v>3</v>
      </c>
      <c r="Z67" s="25">
        <v>3</v>
      </c>
      <c r="AA67" s="359">
        <f>11-Z67-Y67-X67</f>
        <v>2</v>
      </c>
      <c r="AB67" s="25">
        <v>3</v>
      </c>
      <c r="AC67" s="25">
        <v>2</v>
      </c>
      <c r="AD67" s="25">
        <v>3</v>
      </c>
      <c r="AE67" s="26">
        <v>2</v>
      </c>
      <c r="AF67" s="25">
        <v>2</v>
      </c>
      <c r="AG67" s="25">
        <v>2</v>
      </c>
      <c r="AH67" s="25">
        <v>2</v>
      </c>
      <c r="AI67" s="25">
        <v>2</v>
      </c>
      <c r="AJ67" s="582">
        <v>1</v>
      </c>
      <c r="AK67" s="25">
        <v>2</v>
      </c>
      <c r="AL67" s="25">
        <v>1</v>
      </c>
      <c r="AM67" s="25">
        <v>1</v>
      </c>
      <c r="AN67" s="582">
        <v>1</v>
      </c>
      <c r="AO67" s="25">
        <v>0</v>
      </c>
      <c r="AP67" s="25">
        <v>1</v>
      </c>
      <c r="AQ67" s="25">
        <v>1</v>
      </c>
      <c r="AR67" s="582">
        <v>0</v>
      </c>
      <c r="AS67" s="25">
        <v>0</v>
      </c>
      <c r="AT67" s="25">
        <v>0</v>
      </c>
      <c r="AU67" s="26"/>
      <c r="AV67" s="582">
        <v>0</v>
      </c>
      <c r="AW67" s="25">
        <v>0</v>
      </c>
      <c r="AX67" s="25">
        <v>0</v>
      </c>
      <c r="AY67" s="26"/>
      <c r="AZ67" s="582">
        <v>0</v>
      </c>
      <c r="BA67" s="25">
        <v>0</v>
      </c>
      <c r="BB67" s="25">
        <v>0</v>
      </c>
      <c r="BC67" s="26"/>
      <c r="BD67" s="582">
        <v>0</v>
      </c>
      <c r="BE67" s="1882">
        <v>1.0432008300636191</v>
      </c>
      <c r="BF67" s="1882">
        <v>1.0432008300636191</v>
      </c>
      <c r="BG67" s="1883">
        <v>1.0432008300636191</v>
      </c>
      <c r="BH67" s="2019">
        <v>1.0432008300636191</v>
      </c>
      <c r="BI67" s="1882">
        <v>1.0432008300636191</v>
      </c>
      <c r="BJ67" s="1882">
        <v>1.0432008300636191</v>
      </c>
      <c r="BK67" s="1883">
        <v>1.0432008300636191</v>
      </c>
      <c r="BL67" s="244"/>
      <c r="BM67" s="27">
        <f>SUM(D67:G67)</f>
        <v>37</v>
      </c>
      <c r="BN67" s="27">
        <f>SUM(H67:K67)</f>
        <v>116</v>
      </c>
      <c r="BO67" s="27">
        <f>SUM(L67:O67)</f>
        <v>73</v>
      </c>
      <c r="BP67" s="27">
        <f>SUM(P67:S67)</f>
        <v>39</v>
      </c>
      <c r="BQ67" s="27">
        <f>SUM(T67:W67)</f>
        <v>16</v>
      </c>
      <c r="BR67" s="27">
        <f>SUM(X67:AA67)</f>
        <v>11</v>
      </c>
      <c r="BS67" s="27">
        <f>SUM(AB67:AE67)</f>
        <v>10</v>
      </c>
      <c r="BT67" s="27">
        <f>SUM(AF67:AI67)</f>
        <v>8</v>
      </c>
      <c r="BU67" s="27">
        <f>SUM(AJ67:AM67)</f>
        <v>5</v>
      </c>
      <c r="BV67" s="27">
        <f>SUM(AN67:AQ67)</f>
        <v>3</v>
      </c>
      <c r="BW67" s="27">
        <f>+SUM(AR67:AU67)</f>
        <v>0</v>
      </c>
      <c r="BX67" s="27">
        <f t="shared" ref="BX67:BX69" si="326">+SUM(AV67:AY67)</f>
        <v>0</v>
      </c>
      <c r="BY67" s="1491">
        <f t="shared" si="324"/>
        <v>0</v>
      </c>
      <c r="BZ67" s="1491">
        <f>SUM(BD67:BG67)</f>
        <v>3.129602490190857</v>
      </c>
      <c r="CA67" s="1491">
        <f>SUM(BH67:BK67)</f>
        <v>4.1728033202544763</v>
      </c>
      <c r="CB67" s="2082">
        <f>CA67</f>
        <v>4.1728033202544763</v>
      </c>
      <c r="CC67" s="2191"/>
      <c r="CD67" s="13"/>
    </row>
    <row r="68" spans="1:88" ht="14.25" hidden="1" customHeight="1" outlineLevel="1">
      <c r="A68" s="7"/>
      <c r="B68" s="23" t="s">
        <v>365</v>
      </c>
      <c r="C68" s="24"/>
      <c r="D68" s="25">
        <v>-24.245000000000001</v>
      </c>
      <c r="E68" s="25">
        <v>-25.652999999999999</v>
      </c>
      <c r="F68" s="25">
        <v>-30.614999999999998</v>
      </c>
      <c r="G68" s="359">
        <f>-105-SUM(D68:F68)</f>
        <v>-24.487000000000009</v>
      </c>
      <c r="H68" s="25">
        <v>-23.247</v>
      </c>
      <c r="I68" s="25">
        <v>-17.859000000000002</v>
      </c>
      <c r="J68" s="25">
        <v>-17.637</v>
      </c>
      <c r="K68" s="359">
        <f>-126-SUM(H68:J68)</f>
        <v>-67.257000000000005</v>
      </c>
      <c r="L68" s="25">
        <v>-78</v>
      </c>
      <c r="M68" s="25">
        <v>-99</v>
      </c>
      <c r="N68" s="25">
        <v>-95</v>
      </c>
      <c r="O68" s="359">
        <f>-367-SUM(L68:N68)</f>
        <v>-95</v>
      </c>
      <c r="P68" s="25">
        <v>-101</v>
      </c>
      <c r="Q68" s="25">
        <v>-101</v>
      </c>
      <c r="R68" s="25">
        <v>-94</v>
      </c>
      <c r="S68" s="359">
        <f>-391-SUM(P68:R68)</f>
        <v>-95</v>
      </c>
      <c r="T68" s="25">
        <v>-97</v>
      </c>
      <c r="U68" s="25">
        <v>-108</v>
      </c>
      <c r="V68" s="25">
        <v>-114</v>
      </c>
      <c r="W68" s="359">
        <f>-438-V68-U68-T68</f>
        <v>-119</v>
      </c>
      <c r="X68" s="25">
        <v>-49</v>
      </c>
      <c r="Y68" s="25">
        <v>-55</v>
      </c>
      <c r="Z68" s="25">
        <v>-56</v>
      </c>
      <c r="AA68" s="359">
        <f>-199-Z68-Y68-X68</f>
        <v>-39</v>
      </c>
      <c r="AB68" s="25">
        <v>-48</v>
      </c>
      <c r="AC68" s="25">
        <v>-47</v>
      </c>
      <c r="AD68" s="25">
        <v>-42</v>
      </c>
      <c r="AE68" s="26">
        <v>-43</v>
      </c>
      <c r="AF68" s="25">
        <v>-43</v>
      </c>
      <c r="AG68" s="25">
        <v>-43</v>
      </c>
      <c r="AH68" s="25">
        <v>-44</v>
      </c>
      <c r="AI68" s="25">
        <v>-45</v>
      </c>
      <c r="AJ68" s="582">
        <v>-44</v>
      </c>
      <c r="AK68" s="25">
        <v>-42</v>
      </c>
      <c r="AL68" s="25">
        <v>-47</v>
      </c>
      <c r="AM68" s="25">
        <v>-44</v>
      </c>
      <c r="AN68" s="582">
        <v>-47</v>
      </c>
      <c r="AO68" s="25">
        <v>-46</v>
      </c>
      <c r="AP68" s="25">
        <v>-43</v>
      </c>
      <c r="AQ68" s="25">
        <v>-41</v>
      </c>
      <c r="AR68" s="582">
        <v>-40</v>
      </c>
      <c r="AS68" s="25">
        <v>-40</v>
      </c>
      <c r="AT68" s="25">
        <v>-39</v>
      </c>
      <c r="AU68" s="26">
        <v>-41</v>
      </c>
      <c r="AV68" s="582">
        <v>-40</v>
      </c>
      <c r="AW68" s="25">
        <v>-41</v>
      </c>
      <c r="AX68" s="25">
        <v>-41</v>
      </c>
      <c r="AY68" s="26">
        <v>-34</v>
      </c>
      <c r="AZ68" s="582">
        <v>-32</v>
      </c>
      <c r="BA68" s="25">
        <v>-32</v>
      </c>
      <c r="BB68" s="25">
        <v>-31</v>
      </c>
      <c r="BC68" s="26">
        <v>-31</v>
      </c>
      <c r="BD68" s="582">
        <v>-31</v>
      </c>
      <c r="BE68" s="1882">
        <f>-(BS!BD27+BS!BD37)*7%/4</f>
        <v>-24.290000000000003</v>
      </c>
      <c r="BF68" s="1882">
        <f>-(BS!BE27+BS!BE37)*7%/4</f>
        <v>-24.290000000000003</v>
      </c>
      <c r="BG68" s="1882">
        <f>-(BS!BF27+BS!BF37)*7%/4</f>
        <v>-24.290000000000003</v>
      </c>
      <c r="BH68" s="1882">
        <f>BG68+1</f>
        <v>-23.290000000000003</v>
      </c>
      <c r="BI68" s="1882">
        <f t="shared" ref="BI68:BK68" si="327">BH68+1</f>
        <v>-22.290000000000003</v>
      </c>
      <c r="BJ68" s="1882">
        <f t="shared" si="327"/>
        <v>-21.290000000000003</v>
      </c>
      <c r="BK68" s="1882">
        <f t="shared" si="327"/>
        <v>-20.290000000000003</v>
      </c>
      <c r="BL68" s="244"/>
      <c r="BM68" s="27">
        <f>SUM(D68:G68)</f>
        <v>-105</v>
      </c>
      <c r="BN68" s="27">
        <f>SUM(H68:K68)</f>
        <v>-126</v>
      </c>
      <c r="BO68" s="27">
        <f>SUM(L68:O68)</f>
        <v>-367</v>
      </c>
      <c r="BP68" s="27">
        <f>SUM(P68:S68)</f>
        <v>-391</v>
      </c>
      <c r="BQ68" s="27">
        <f>SUM(T68:W68)</f>
        <v>-438</v>
      </c>
      <c r="BR68" s="27">
        <f>SUM(X68:AA68)</f>
        <v>-199</v>
      </c>
      <c r="BS68" s="27">
        <f>SUM(AB68:AE68)</f>
        <v>-180</v>
      </c>
      <c r="BT68" s="27">
        <f>SUM(AF68:AI68)</f>
        <v>-175</v>
      </c>
      <c r="BU68" s="27">
        <f>SUM(AJ68:AM68)</f>
        <v>-177</v>
      </c>
      <c r="BV68" s="27">
        <f>SUM(AN68:AQ68)</f>
        <v>-177</v>
      </c>
      <c r="BW68" s="27">
        <f>+SUM(AR68:AU68)</f>
        <v>-160</v>
      </c>
      <c r="BX68" s="27">
        <f t="shared" si="326"/>
        <v>-156</v>
      </c>
      <c r="BY68" s="1491">
        <f t="shared" si="324"/>
        <v>-126</v>
      </c>
      <c r="BZ68" s="1491">
        <f>SUM(BD68:BG68)</f>
        <v>-103.87000000000002</v>
      </c>
      <c r="CA68" s="1491">
        <f>SUM(BH68:BK68)</f>
        <v>-87.160000000000011</v>
      </c>
      <c r="CB68" s="2075">
        <f t="shared" ref="CB68:CB69" si="328">CA68</f>
        <v>-87.160000000000011</v>
      </c>
      <c r="CC68" s="2191"/>
      <c r="CD68" s="13"/>
    </row>
    <row r="69" spans="1:88" ht="14.25" hidden="1" customHeight="1" outlineLevel="1">
      <c r="A69" s="7"/>
      <c r="B69" s="23" t="s">
        <v>431</v>
      </c>
      <c r="C69" s="24"/>
      <c r="D69" s="25">
        <f>-2.911+46.853</f>
        <v>43.942</v>
      </c>
      <c r="E69" s="25">
        <f>-4.096+37.905</f>
        <v>33.808999999999997</v>
      </c>
      <c r="F69" s="25">
        <f>-3.456+21.227</f>
        <v>17.771000000000001</v>
      </c>
      <c r="G69" s="359">
        <f>-24-107+125-SUM(D69:F69)</f>
        <v>-101.52200000000001</v>
      </c>
      <c r="H69" s="25">
        <f>-19.128-6.347-18.243</f>
        <v>-43.718000000000004</v>
      </c>
      <c r="I69" s="25">
        <f>7.24-7.183-12.467</f>
        <v>-12.41</v>
      </c>
      <c r="J69" s="25">
        <f>-1.975-6.941-10.204</f>
        <v>-19.12</v>
      </c>
      <c r="K69" s="359">
        <f>-13-28-45-SUM(H69:J69)</f>
        <v>-10.751999999999995</v>
      </c>
      <c r="L69" s="25">
        <f>2-8-16</f>
        <v>-22</v>
      </c>
      <c r="M69" s="25">
        <f>-9-13-9</f>
        <v>-31</v>
      </c>
      <c r="N69" s="25">
        <f>-1-9-57</f>
        <v>-67</v>
      </c>
      <c r="O69" s="359">
        <f>-7-35-155-SUM(L69:N69)</f>
        <v>-77</v>
      </c>
      <c r="P69" s="25">
        <v>-1</v>
      </c>
      <c r="Q69" s="25">
        <v>-34</v>
      </c>
      <c r="R69" s="25">
        <v>-13</v>
      </c>
      <c r="S69" s="359">
        <f>-37-SUM(P69:R69)</f>
        <v>11</v>
      </c>
      <c r="T69" s="25">
        <v>94</v>
      </c>
      <c r="U69" s="25">
        <v>6</v>
      </c>
      <c r="V69" s="25">
        <v>47</v>
      </c>
      <c r="W69" s="359">
        <f>166-V69-U69-T69</f>
        <v>19</v>
      </c>
      <c r="X69" s="25">
        <f>304-183</f>
        <v>121</v>
      </c>
      <c r="Y69" s="25">
        <f>-1-120</f>
        <v>-121</v>
      </c>
      <c r="Z69" s="25">
        <f>-6-186</f>
        <v>-192</v>
      </c>
      <c r="AA69" s="359">
        <f>311-462-Z69-Y69-X69</f>
        <v>41</v>
      </c>
      <c r="AB69" s="25">
        <f>11+492</f>
        <v>503</v>
      </c>
      <c r="AC69" s="25">
        <v>4</v>
      </c>
      <c r="AD69" s="25">
        <v>-7</v>
      </c>
      <c r="AE69" s="26">
        <v>-207</v>
      </c>
      <c r="AF69" s="25">
        <v>-1</v>
      </c>
      <c r="AG69" s="25">
        <v>-5</v>
      </c>
      <c r="AH69" s="25">
        <v>16</v>
      </c>
      <c r="AI69" s="25">
        <v>-4</v>
      </c>
      <c r="AJ69" s="582">
        <v>-3</v>
      </c>
      <c r="AK69" s="25">
        <v>-2</v>
      </c>
      <c r="AL69" s="25">
        <v>2</v>
      </c>
      <c r="AM69" s="25">
        <v>-2</v>
      </c>
      <c r="AN69" s="582">
        <v>-21</v>
      </c>
      <c r="AO69" s="25">
        <v>-49</v>
      </c>
      <c r="AP69" s="25">
        <v>-2</v>
      </c>
      <c r="AQ69" s="25">
        <v>3</v>
      </c>
      <c r="AR69" s="582">
        <v>0</v>
      </c>
      <c r="AS69" s="25">
        <v>-3</v>
      </c>
      <c r="AT69" s="25">
        <v>0</v>
      </c>
      <c r="AU69" s="26">
        <v>-2</v>
      </c>
      <c r="AV69" s="582">
        <v>0</v>
      </c>
      <c r="AW69" s="25">
        <v>150</v>
      </c>
      <c r="AX69" s="25">
        <v>-63</v>
      </c>
      <c r="AY69" s="26">
        <v>-7</v>
      </c>
      <c r="AZ69" s="582">
        <v>-5</v>
      </c>
      <c r="BA69" s="25">
        <v>-3</v>
      </c>
      <c r="BB69" s="25">
        <v>-3</v>
      </c>
      <c r="BC69" s="26">
        <v>2</v>
      </c>
      <c r="BD69" s="582">
        <v>1</v>
      </c>
      <c r="BE69" s="25">
        <f>BD69</f>
        <v>1</v>
      </c>
      <c r="BF69" s="25">
        <f t="shared" ref="BF69:BG70" si="329">BE69</f>
        <v>1</v>
      </c>
      <c r="BG69" s="1642">
        <f t="shared" si="329"/>
        <v>1</v>
      </c>
      <c r="BH69" s="1916">
        <f>BG69</f>
        <v>1</v>
      </c>
      <c r="BI69" s="25">
        <f t="shared" ref="BI69:BI70" si="330">BH69</f>
        <v>1</v>
      </c>
      <c r="BJ69" s="25">
        <f t="shared" ref="BJ69:BJ70" si="331">BI69</f>
        <v>1</v>
      </c>
      <c r="BK69" s="1642">
        <f t="shared" ref="BK69:BK70" si="332">BJ69</f>
        <v>1</v>
      </c>
      <c r="BL69" s="244"/>
      <c r="BM69" s="27">
        <f>SUM(D69:G69)</f>
        <v>-6</v>
      </c>
      <c r="BN69" s="27">
        <f>SUM(H69:K69)</f>
        <v>-86</v>
      </c>
      <c r="BO69" s="27">
        <f>SUM(L69:O69)</f>
        <v>-197</v>
      </c>
      <c r="BP69" s="27">
        <f>SUM(P69:S69)</f>
        <v>-37</v>
      </c>
      <c r="BQ69" s="27">
        <f>SUM(T69:W69)</f>
        <v>166</v>
      </c>
      <c r="BR69" s="27">
        <f>SUM(X69:AA69)</f>
        <v>-151</v>
      </c>
      <c r="BS69" s="27">
        <f>SUM(AB69:AE69)</f>
        <v>293</v>
      </c>
      <c r="BT69" s="27">
        <f>SUM(AF69:AI69)</f>
        <v>6</v>
      </c>
      <c r="BU69" s="27">
        <f>SUM(AJ69:AM69)</f>
        <v>-5</v>
      </c>
      <c r="BV69" s="27">
        <f>SUM(AN69:AQ69)</f>
        <v>-69</v>
      </c>
      <c r="BW69" s="27">
        <f>+SUM(AR69:AU69)</f>
        <v>-5</v>
      </c>
      <c r="BX69" s="27">
        <f t="shared" si="326"/>
        <v>80</v>
      </c>
      <c r="BY69" s="1491">
        <f t="shared" si="324"/>
        <v>-9</v>
      </c>
      <c r="BZ69" s="1491">
        <f>SUM(BD69:BG69)</f>
        <v>4</v>
      </c>
      <c r="CA69" s="1491">
        <f>SUM(BH69:BK69)</f>
        <v>4</v>
      </c>
      <c r="CB69" s="2075">
        <f t="shared" si="328"/>
        <v>4</v>
      </c>
      <c r="CC69" s="2191"/>
      <c r="CD69" s="13"/>
    </row>
    <row r="70" spans="1:88" s="405" customFormat="1" ht="14.25" hidden="1" customHeight="1" outlineLevel="1">
      <c r="A70" s="7"/>
      <c r="B70" s="23" t="s">
        <v>513</v>
      </c>
      <c r="C70" s="22"/>
      <c r="D70" s="25">
        <v>0</v>
      </c>
      <c r="E70" s="25">
        <v>0</v>
      </c>
      <c r="F70" s="25">
        <v>0</v>
      </c>
      <c r="G70" s="26">
        <v>0</v>
      </c>
      <c r="H70" s="25">
        <v>0</v>
      </c>
      <c r="I70" s="25">
        <v>0</v>
      </c>
      <c r="J70" s="25">
        <v>0</v>
      </c>
      <c r="K70" s="26">
        <v>0</v>
      </c>
      <c r="L70" s="25">
        <v>0</v>
      </c>
      <c r="M70" s="25">
        <v>0</v>
      </c>
      <c r="N70" s="25">
        <v>0</v>
      </c>
      <c r="O70" s="26">
        <v>0</v>
      </c>
      <c r="P70" s="25">
        <v>0</v>
      </c>
      <c r="Q70" s="25">
        <v>0</v>
      </c>
      <c r="R70" s="25">
        <v>0</v>
      </c>
      <c r="S70" s="26">
        <v>0</v>
      </c>
      <c r="T70" s="25">
        <v>0</v>
      </c>
      <c r="U70" s="25">
        <v>0</v>
      </c>
      <c r="V70" s="25">
        <v>0</v>
      </c>
      <c r="W70" s="26">
        <v>0</v>
      </c>
      <c r="X70" s="25">
        <v>0</v>
      </c>
      <c r="Y70" s="25">
        <v>0</v>
      </c>
      <c r="Z70" s="25">
        <v>0</v>
      </c>
      <c r="AA70" s="26">
        <v>0</v>
      </c>
      <c r="AB70" s="25">
        <v>0</v>
      </c>
      <c r="AC70" s="25">
        <v>0</v>
      </c>
      <c r="AD70" s="25">
        <v>0</v>
      </c>
      <c r="AE70" s="26">
        <v>0</v>
      </c>
      <c r="AF70" s="25">
        <v>0</v>
      </c>
      <c r="AG70" s="25">
        <v>0</v>
      </c>
      <c r="AH70" s="25">
        <v>0</v>
      </c>
      <c r="AI70" s="25">
        <v>0</v>
      </c>
      <c r="AJ70" s="582">
        <v>0</v>
      </c>
      <c r="AK70" s="25">
        <v>0</v>
      </c>
      <c r="AL70" s="25">
        <v>0</v>
      </c>
      <c r="AM70" s="25">
        <v>0</v>
      </c>
      <c r="AN70" s="582">
        <v>15</v>
      </c>
      <c r="AO70" s="25">
        <v>49</v>
      </c>
      <c r="AP70" s="25">
        <v>0</v>
      </c>
      <c r="AQ70" s="25">
        <v>0</v>
      </c>
      <c r="AR70" s="582">
        <v>0</v>
      </c>
      <c r="AS70" s="25">
        <v>0</v>
      </c>
      <c r="AT70" s="25">
        <v>0</v>
      </c>
      <c r="AU70" s="26">
        <v>13</v>
      </c>
      <c r="AV70" s="582">
        <v>0</v>
      </c>
      <c r="AW70" s="25">
        <v>0</v>
      </c>
      <c r="AX70" s="25">
        <f>61+1+4</f>
        <v>66</v>
      </c>
      <c r="AY70" s="26">
        <v>14</v>
      </c>
      <c r="AZ70" s="582">
        <f>4+6+2</f>
        <v>12</v>
      </c>
      <c r="BA70" s="25">
        <f>3+5</f>
        <v>8</v>
      </c>
      <c r="BB70" s="25">
        <f>2+6</f>
        <v>8</v>
      </c>
      <c r="BC70" s="26">
        <v>6</v>
      </c>
      <c r="BD70" s="582">
        <f>1+6+1</f>
        <v>8</v>
      </c>
      <c r="BE70" s="25">
        <v>0</v>
      </c>
      <c r="BF70" s="25">
        <f t="shared" si="329"/>
        <v>0</v>
      </c>
      <c r="BG70" s="1642">
        <f t="shared" si="329"/>
        <v>0</v>
      </c>
      <c r="BH70" s="1916">
        <v>0</v>
      </c>
      <c r="BI70" s="25">
        <f t="shared" si="330"/>
        <v>0</v>
      </c>
      <c r="BJ70" s="25">
        <f t="shared" si="331"/>
        <v>0</v>
      </c>
      <c r="BK70" s="1642">
        <f t="shared" si="332"/>
        <v>0</v>
      </c>
      <c r="BL70" s="244"/>
      <c r="BM70" s="27">
        <f>SUM(D70:G70)</f>
        <v>0</v>
      </c>
      <c r="BN70" s="27">
        <f>SUM(H70:K70)</f>
        <v>0</v>
      </c>
      <c r="BO70" s="27">
        <f>SUM(L70:O70)</f>
        <v>0</v>
      </c>
      <c r="BP70" s="27">
        <f>SUM(P70:S70)</f>
        <v>0</v>
      </c>
      <c r="BQ70" s="27">
        <f>SUM(T70:W70)</f>
        <v>0</v>
      </c>
      <c r="BR70" s="27">
        <f>SUM(X70:AA70)</f>
        <v>0</v>
      </c>
      <c r="BS70" s="27">
        <f>SUM(AB70:AE70)</f>
        <v>0</v>
      </c>
      <c r="BT70" s="27">
        <f>SUM(AF70:AI70)</f>
        <v>0</v>
      </c>
      <c r="BU70" s="27">
        <f>SUM(AJ70:AM70)</f>
        <v>0</v>
      </c>
      <c r="BV70" s="27">
        <f>SUM(AN70:AQ70)</f>
        <v>64</v>
      </c>
      <c r="BW70" s="27">
        <f>+SUM(AR70:AU70)</f>
        <v>13</v>
      </c>
      <c r="BX70" s="27">
        <f>+SUM(AV70:AY70)</f>
        <v>80</v>
      </c>
      <c r="BY70" s="1491">
        <f t="shared" si="324"/>
        <v>34</v>
      </c>
      <c r="BZ70" s="1491">
        <f>SUM(BD70:BG70)</f>
        <v>8</v>
      </c>
      <c r="CA70" s="1491">
        <f>SUM(BH70:BK70)</f>
        <v>0</v>
      </c>
      <c r="CB70" s="2083">
        <f>CA70</f>
        <v>0</v>
      </c>
      <c r="CC70" s="2191"/>
      <c r="CD70" s="13"/>
      <c r="CE70"/>
      <c r="CF70"/>
      <c r="CG70"/>
      <c r="CH70"/>
      <c r="CI70"/>
      <c r="CJ70"/>
    </row>
    <row r="71" spans="1:88" ht="14.25" hidden="1" customHeight="1" outlineLevel="1">
      <c r="A71" s="7"/>
      <c r="B71" s="23"/>
      <c r="C71" s="24"/>
      <c r="D71" s="25"/>
      <c r="E71" s="25"/>
      <c r="F71" s="25"/>
      <c r="G71" s="26"/>
      <c r="H71" s="25"/>
      <c r="I71" s="25"/>
      <c r="J71" s="25"/>
      <c r="K71" s="26"/>
      <c r="L71" s="25"/>
      <c r="M71" s="25"/>
      <c r="N71" s="25"/>
      <c r="O71" s="26"/>
      <c r="P71" s="25"/>
      <c r="Q71" s="25"/>
      <c r="R71" s="25"/>
      <c r="S71" s="26"/>
      <c r="T71" s="25"/>
      <c r="U71" s="25"/>
      <c r="V71" s="25"/>
      <c r="W71" s="26"/>
      <c r="X71" s="25"/>
      <c r="Y71" s="25"/>
      <c r="Z71" s="25"/>
      <c r="AA71" s="26"/>
      <c r="AB71" s="25"/>
      <c r="AC71" s="25"/>
      <c r="AD71" s="25"/>
      <c r="AE71" s="26"/>
      <c r="AF71" s="25"/>
      <c r="AG71" s="25"/>
      <c r="AH71" s="25"/>
      <c r="AI71" s="25"/>
      <c r="AJ71" s="582"/>
      <c r="AK71" s="25"/>
      <c r="AL71" s="25"/>
      <c r="AM71" s="25"/>
      <c r="AN71" s="582"/>
      <c r="AO71" s="25"/>
      <c r="AP71" s="25"/>
      <c r="AQ71" s="25"/>
      <c r="AR71" s="582"/>
      <c r="AS71" s="25"/>
      <c r="AT71" s="25"/>
      <c r="AU71" s="26"/>
      <c r="AV71" s="582"/>
      <c r="AW71" s="25"/>
      <c r="AX71" s="25"/>
      <c r="AY71" s="26"/>
      <c r="AZ71" s="582"/>
      <c r="BA71" s="25"/>
      <c r="BB71" s="25"/>
      <c r="BC71" s="26"/>
      <c r="BD71" s="582"/>
      <c r="BE71" s="25"/>
      <c r="BF71" s="25"/>
      <c r="BG71" s="1642"/>
      <c r="BH71" s="1916"/>
      <c r="BI71" s="25"/>
      <c r="BJ71" s="25"/>
      <c r="BK71" s="1642"/>
      <c r="BL71" s="244"/>
      <c r="BM71" s="27"/>
      <c r="BN71" s="27"/>
      <c r="BO71" s="27"/>
      <c r="BP71" s="27"/>
      <c r="BQ71" s="27"/>
      <c r="BR71" s="27"/>
      <c r="BS71" s="27"/>
      <c r="BT71" s="27"/>
      <c r="BU71" s="27"/>
      <c r="BV71" s="27"/>
      <c r="BW71" s="27"/>
      <c r="BX71" s="27"/>
      <c r="BY71" s="334"/>
      <c r="BZ71" s="334"/>
      <c r="CA71" s="334"/>
      <c r="CB71" s="2075"/>
      <c r="CC71" s="2191"/>
      <c r="CD71" s="13"/>
    </row>
    <row r="72" spans="1:88" ht="14.25" hidden="1" customHeight="1" outlineLevel="1">
      <c r="A72" s="7"/>
      <c r="B72" s="21" t="s">
        <v>616</v>
      </c>
      <c r="C72" s="24"/>
      <c r="D72" s="27">
        <f t="shared" ref="D72:AQ72" si="333">+SUM(D67:D70)</f>
        <v>26.582000000000001</v>
      </c>
      <c r="E72" s="27">
        <f t="shared" si="333"/>
        <v>15.349999999999998</v>
      </c>
      <c r="F72" s="27">
        <f t="shared" si="333"/>
        <v>-3.3339999999999961</v>
      </c>
      <c r="G72" s="28">
        <f t="shared" si="333"/>
        <v>-112.59800000000001</v>
      </c>
      <c r="H72" s="27">
        <f t="shared" si="333"/>
        <v>-38.803000000000004</v>
      </c>
      <c r="I72" s="27">
        <f t="shared" si="333"/>
        <v>5.0389999999999979</v>
      </c>
      <c r="J72" s="27">
        <f t="shared" si="333"/>
        <v>-5.5690000000000026</v>
      </c>
      <c r="K72" s="28">
        <f t="shared" si="333"/>
        <v>-56.667000000000002</v>
      </c>
      <c r="L72" s="27">
        <f t="shared" si="333"/>
        <v>-84</v>
      </c>
      <c r="M72" s="27">
        <f t="shared" si="333"/>
        <v>-111</v>
      </c>
      <c r="N72" s="27">
        <f t="shared" si="333"/>
        <v>-143</v>
      </c>
      <c r="O72" s="28">
        <f t="shared" si="333"/>
        <v>-153</v>
      </c>
      <c r="P72" s="27">
        <f t="shared" si="333"/>
        <v>-87</v>
      </c>
      <c r="Q72" s="27">
        <f t="shared" si="333"/>
        <v>-125</v>
      </c>
      <c r="R72" s="27">
        <f t="shared" si="333"/>
        <v>-100</v>
      </c>
      <c r="S72" s="28">
        <f t="shared" si="333"/>
        <v>-77</v>
      </c>
      <c r="T72" s="27">
        <f t="shared" si="333"/>
        <v>0</v>
      </c>
      <c r="U72" s="27">
        <f t="shared" si="333"/>
        <v>-96</v>
      </c>
      <c r="V72" s="27">
        <f t="shared" si="333"/>
        <v>-63</v>
      </c>
      <c r="W72" s="28">
        <f t="shared" si="333"/>
        <v>-97</v>
      </c>
      <c r="X72" s="27">
        <f t="shared" si="333"/>
        <v>75</v>
      </c>
      <c r="Y72" s="27">
        <f t="shared" si="333"/>
        <v>-173</v>
      </c>
      <c r="Z72" s="27">
        <f t="shared" si="333"/>
        <v>-245</v>
      </c>
      <c r="AA72" s="28">
        <f t="shared" si="333"/>
        <v>4</v>
      </c>
      <c r="AB72" s="27">
        <f t="shared" si="333"/>
        <v>458</v>
      </c>
      <c r="AC72" s="27">
        <f t="shared" si="333"/>
        <v>-41</v>
      </c>
      <c r="AD72" s="27">
        <f t="shared" si="333"/>
        <v>-46</v>
      </c>
      <c r="AE72" s="28">
        <f t="shared" si="333"/>
        <v>-248</v>
      </c>
      <c r="AF72" s="27">
        <f t="shared" si="333"/>
        <v>-42</v>
      </c>
      <c r="AG72" s="27">
        <f t="shared" si="333"/>
        <v>-46</v>
      </c>
      <c r="AH72" s="27">
        <f t="shared" si="333"/>
        <v>-26</v>
      </c>
      <c r="AI72" s="1639">
        <f t="shared" si="333"/>
        <v>-47</v>
      </c>
      <c r="AJ72" s="27">
        <f t="shared" si="333"/>
        <v>-46</v>
      </c>
      <c r="AK72" s="27">
        <f t="shared" si="333"/>
        <v>-42</v>
      </c>
      <c r="AL72" s="27">
        <f t="shared" si="333"/>
        <v>-44</v>
      </c>
      <c r="AM72" s="1639">
        <f t="shared" si="333"/>
        <v>-45</v>
      </c>
      <c r="AN72" s="27">
        <f t="shared" si="333"/>
        <v>-52</v>
      </c>
      <c r="AO72" s="27">
        <f t="shared" si="333"/>
        <v>-46</v>
      </c>
      <c r="AP72" s="27">
        <f t="shared" si="333"/>
        <v>-44</v>
      </c>
      <c r="AQ72" s="27">
        <f t="shared" si="333"/>
        <v>-37</v>
      </c>
      <c r="AR72" s="29">
        <f>+SUM(AR67:AR70)</f>
        <v>-40</v>
      </c>
      <c r="AS72" s="27">
        <f t="shared" ref="AS72" si="334">+SUM(AS67:AS70)</f>
        <v>-43</v>
      </c>
      <c r="AT72" s="27">
        <f t="shared" ref="AT72:AW72" si="335">+AT66+AT70</f>
        <v>-39</v>
      </c>
      <c r="AU72" s="28">
        <f t="shared" si="335"/>
        <v>-30</v>
      </c>
      <c r="AV72" s="29">
        <f t="shared" si="335"/>
        <v>-40</v>
      </c>
      <c r="AW72" s="27">
        <f t="shared" si="335"/>
        <v>109</v>
      </c>
      <c r="AX72" s="27">
        <f>+AX66+AX70</f>
        <v>-38</v>
      </c>
      <c r="AY72" s="28">
        <f t="shared" ref="AY72:BA72" si="336">+AY66+AY70</f>
        <v>-27</v>
      </c>
      <c r="AZ72" s="29">
        <f t="shared" si="336"/>
        <v>-25</v>
      </c>
      <c r="BA72" s="27">
        <f t="shared" si="336"/>
        <v>-27</v>
      </c>
      <c r="BB72" s="27">
        <f t="shared" ref="BB72:BD72" si="337">+BB66+BB70</f>
        <v>-26</v>
      </c>
      <c r="BC72" s="28">
        <f t="shared" si="337"/>
        <v>-23</v>
      </c>
      <c r="BD72" s="29">
        <f t="shared" si="337"/>
        <v>-22</v>
      </c>
      <c r="BE72" s="27">
        <f t="shared" ref="BE72:BK72" si="338">BE66+BE70</f>
        <v>-22.246799169936384</v>
      </c>
      <c r="BF72" s="27">
        <f t="shared" si="338"/>
        <v>-22.246799169936384</v>
      </c>
      <c r="BG72" s="1639">
        <f t="shared" si="338"/>
        <v>-22.246799169936384</v>
      </c>
      <c r="BH72" s="1914">
        <f t="shared" si="338"/>
        <v>-21.246799169936384</v>
      </c>
      <c r="BI72" s="27">
        <f t="shared" si="338"/>
        <v>-20.246799169936384</v>
      </c>
      <c r="BJ72" s="27">
        <f t="shared" si="338"/>
        <v>-19.246799169936384</v>
      </c>
      <c r="BK72" s="1639">
        <f t="shared" si="338"/>
        <v>-18.246799169936384</v>
      </c>
      <c r="BL72" s="244"/>
      <c r="BM72" s="27">
        <f>SUM(D72:G72)</f>
        <v>-74</v>
      </c>
      <c r="BN72" s="27">
        <f>SUM(H72:K72)</f>
        <v>-96.000000000000014</v>
      </c>
      <c r="BO72" s="27">
        <f>SUM(L72:O72)</f>
        <v>-491</v>
      </c>
      <c r="BP72" s="27">
        <f>SUM(P72:S72)</f>
        <v>-389</v>
      </c>
      <c r="BQ72" s="27">
        <f>SUM(T72:W72)</f>
        <v>-256</v>
      </c>
      <c r="BR72" s="27">
        <f>SUM(X72:AA72)</f>
        <v>-339</v>
      </c>
      <c r="BS72" s="27">
        <f>SUM(AB72:AE72)</f>
        <v>123</v>
      </c>
      <c r="BT72" s="27">
        <f>SUM(AF72:AI72)</f>
        <v>-161</v>
      </c>
      <c r="BU72" s="27">
        <f>SUM(AJ72:AM72)</f>
        <v>-177</v>
      </c>
      <c r="BV72" s="27">
        <f t="shared" ref="BV72:BX72" si="339">BV66+BV70</f>
        <v>-179</v>
      </c>
      <c r="BW72" s="27">
        <f t="shared" si="339"/>
        <v>-152</v>
      </c>
      <c r="BX72" s="27">
        <f t="shared" si="339"/>
        <v>4</v>
      </c>
      <c r="BY72" s="27">
        <f>BY66+BY70</f>
        <v>-101</v>
      </c>
      <c r="BZ72" s="27">
        <f>BZ66+BZ70</f>
        <v>-88.740397509809142</v>
      </c>
      <c r="CA72" s="27">
        <f t="shared" ref="CA72" si="340">CA66+CA70</f>
        <v>-78.987196679745537</v>
      </c>
      <c r="CB72" s="2075">
        <f>CB66+CB70</f>
        <v>-78.987196679745537</v>
      </c>
      <c r="CC72" s="2191"/>
      <c r="CD72" s="13"/>
    </row>
    <row r="73" spans="1:88" s="405" customFormat="1" ht="14.25" hidden="1" customHeight="1" outlineLevel="1">
      <c r="A73" s="7"/>
      <c r="B73" s="21" t="s">
        <v>7</v>
      </c>
      <c r="C73" s="22"/>
      <c r="D73" s="27">
        <f t="shared" ref="D73:AQ73" si="341">+D67+D68+D69+D70</f>
        <v>26.582000000000001</v>
      </c>
      <c r="E73" s="27">
        <f t="shared" si="341"/>
        <v>15.349999999999998</v>
      </c>
      <c r="F73" s="27">
        <f t="shared" si="341"/>
        <v>-3.3339999999999961</v>
      </c>
      <c r="G73" s="28">
        <f t="shared" si="341"/>
        <v>-112.59800000000001</v>
      </c>
      <c r="H73" s="27">
        <f t="shared" si="341"/>
        <v>-38.803000000000004</v>
      </c>
      <c r="I73" s="27">
        <f t="shared" si="341"/>
        <v>5.0389999999999979</v>
      </c>
      <c r="J73" s="27">
        <f t="shared" si="341"/>
        <v>-5.5690000000000026</v>
      </c>
      <c r="K73" s="28">
        <f t="shared" si="341"/>
        <v>-56.667000000000002</v>
      </c>
      <c r="L73" s="27">
        <f t="shared" si="341"/>
        <v>-84</v>
      </c>
      <c r="M73" s="27">
        <f t="shared" si="341"/>
        <v>-111</v>
      </c>
      <c r="N73" s="27">
        <f t="shared" si="341"/>
        <v>-143</v>
      </c>
      <c r="O73" s="28">
        <f t="shared" si="341"/>
        <v>-153</v>
      </c>
      <c r="P73" s="27">
        <f t="shared" si="341"/>
        <v>-87</v>
      </c>
      <c r="Q73" s="27">
        <f t="shared" si="341"/>
        <v>-125</v>
      </c>
      <c r="R73" s="27">
        <f t="shared" si="341"/>
        <v>-100</v>
      </c>
      <c r="S73" s="28">
        <f t="shared" si="341"/>
        <v>-77</v>
      </c>
      <c r="T73" s="27">
        <f t="shared" si="341"/>
        <v>0</v>
      </c>
      <c r="U73" s="27">
        <f t="shared" si="341"/>
        <v>-96</v>
      </c>
      <c r="V73" s="27">
        <f t="shared" si="341"/>
        <v>-63</v>
      </c>
      <c r="W73" s="28">
        <f t="shared" si="341"/>
        <v>-97</v>
      </c>
      <c r="X73" s="27">
        <f t="shared" si="341"/>
        <v>75</v>
      </c>
      <c r="Y73" s="27">
        <f t="shared" si="341"/>
        <v>-173</v>
      </c>
      <c r="Z73" s="27">
        <f t="shared" si="341"/>
        <v>-245</v>
      </c>
      <c r="AA73" s="28">
        <f t="shared" si="341"/>
        <v>4</v>
      </c>
      <c r="AB73" s="27">
        <f t="shared" si="341"/>
        <v>458</v>
      </c>
      <c r="AC73" s="27">
        <f t="shared" si="341"/>
        <v>-41</v>
      </c>
      <c r="AD73" s="27">
        <f t="shared" si="341"/>
        <v>-46</v>
      </c>
      <c r="AE73" s="28">
        <f t="shared" si="341"/>
        <v>-248</v>
      </c>
      <c r="AF73" s="27">
        <f t="shared" si="341"/>
        <v>-42</v>
      </c>
      <c r="AG73" s="27">
        <f t="shared" si="341"/>
        <v>-46</v>
      </c>
      <c r="AH73" s="27">
        <f t="shared" si="341"/>
        <v>-26</v>
      </c>
      <c r="AI73" s="1639">
        <f t="shared" si="341"/>
        <v>-47</v>
      </c>
      <c r="AJ73" s="27">
        <f t="shared" si="341"/>
        <v>-46</v>
      </c>
      <c r="AK73" s="27">
        <f t="shared" si="341"/>
        <v>-42</v>
      </c>
      <c r="AL73" s="27">
        <f t="shared" si="341"/>
        <v>-44</v>
      </c>
      <c r="AM73" s="1639">
        <f t="shared" si="341"/>
        <v>-45</v>
      </c>
      <c r="AN73" s="27">
        <f t="shared" si="341"/>
        <v>-52</v>
      </c>
      <c r="AO73" s="27">
        <f t="shared" si="341"/>
        <v>-46</v>
      </c>
      <c r="AP73" s="27">
        <f t="shared" si="341"/>
        <v>-44</v>
      </c>
      <c r="AQ73" s="27">
        <f t="shared" si="341"/>
        <v>-37</v>
      </c>
      <c r="AR73" s="29">
        <f>+AR67+AR68+AR69+AR70</f>
        <v>-40</v>
      </c>
      <c r="AS73" s="27">
        <f t="shared" ref="AS73:AW73" si="342">+AS67+AS68+AS69+AS70</f>
        <v>-43</v>
      </c>
      <c r="AT73" s="27">
        <f t="shared" si="342"/>
        <v>-39</v>
      </c>
      <c r="AU73" s="28">
        <f t="shared" si="342"/>
        <v>-30</v>
      </c>
      <c r="AV73" s="29">
        <f t="shared" si="342"/>
        <v>-40</v>
      </c>
      <c r="AW73" s="27">
        <f t="shared" si="342"/>
        <v>109</v>
      </c>
      <c r="AX73" s="27">
        <f>+AX66+AX70</f>
        <v>-38</v>
      </c>
      <c r="AY73" s="28">
        <f t="shared" ref="AY73:BA73" si="343">+AY67+AY68+AY69+AY70</f>
        <v>-27</v>
      </c>
      <c r="AZ73" s="29">
        <f t="shared" si="343"/>
        <v>-25</v>
      </c>
      <c r="BA73" s="27">
        <f t="shared" si="343"/>
        <v>-27</v>
      </c>
      <c r="BB73" s="27">
        <f t="shared" ref="BB73:BK73" si="344">+BB67+BB68+BB69+BB70</f>
        <v>-26</v>
      </c>
      <c r="BC73" s="28">
        <f t="shared" si="344"/>
        <v>-23</v>
      </c>
      <c r="BD73" s="29">
        <f t="shared" si="344"/>
        <v>-22</v>
      </c>
      <c r="BE73" s="27">
        <f t="shared" si="344"/>
        <v>-22.246799169936384</v>
      </c>
      <c r="BF73" s="27">
        <f t="shared" si="344"/>
        <v>-22.246799169936384</v>
      </c>
      <c r="BG73" s="1639">
        <f t="shared" si="344"/>
        <v>-22.246799169936384</v>
      </c>
      <c r="BH73" s="1914">
        <f t="shared" si="344"/>
        <v>-21.246799169936384</v>
      </c>
      <c r="BI73" s="27">
        <f t="shared" si="344"/>
        <v>-20.246799169936384</v>
      </c>
      <c r="BJ73" s="27">
        <f t="shared" si="344"/>
        <v>-19.246799169936384</v>
      </c>
      <c r="BK73" s="1639">
        <f t="shared" si="344"/>
        <v>-18.246799169936384</v>
      </c>
      <c r="BL73" s="244"/>
      <c r="BM73" s="27">
        <f t="shared" ref="BM73:BU73" si="345">+BM67+BM68+BM69</f>
        <v>-74</v>
      </c>
      <c r="BN73" s="27">
        <f t="shared" si="345"/>
        <v>-96</v>
      </c>
      <c r="BO73" s="27">
        <f t="shared" si="345"/>
        <v>-491</v>
      </c>
      <c r="BP73" s="27">
        <f t="shared" si="345"/>
        <v>-389</v>
      </c>
      <c r="BQ73" s="27">
        <f t="shared" si="345"/>
        <v>-256</v>
      </c>
      <c r="BR73" s="27">
        <f t="shared" si="345"/>
        <v>-339</v>
      </c>
      <c r="BS73" s="27">
        <f t="shared" si="345"/>
        <v>123</v>
      </c>
      <c r="BT73" s="27">
        <f t="shared" si="345"/>
        <v>-161</v>
      </c>
      <c r="BU73" s="27">
        <f t="shared" si="345"/>
        <v>-177</v>
      </c>
      <c r="BV73" s="27">
        <f t="shared" ref="BV73:BY73" si="346">+BV67+BV68+BV69+BV70</f>
        <v>-179</v>
      </c>
      <c r="BW73" s="27">
        <f t="shared" si="346"/>
        <v>-152</v>
      </c>
      <c r="BX73" s="27">
        <f t="shared" si="346"/>
        <v>4</v>
      </c>
      <c r="BY73" s="27">
        <f t="shared" si="346"/>
        <v>-101</v>
      </c>
      <c r="BZ73" s="27">
        <f>+BZ67+BZ68+BZ69+BZ70</f>
        <v>-88.740397509809156</v>
      </c>
      <c r="CA73" s="27">
        <f t="shared" ref="CA73" si="347">+CA67+CA68+CA69+CA70</f>
        <v>-78.987196679745537</v>
      </c>
      <c r="CB73" s="2075">
        <f>CB72</f>
        <v>-78.987196679745537</v>
      </c>
      <c r="CC73" s="2191"/>
      <c r="CD73" s="13"/>
      <c r="CE73"/>
      <c r="CF73"/>
      <c r="CG73"/>
      <c r="CH73"/>
      <c r="CI73"/>
      <c r="CJ73"/>
    </row>
    <row r="74" spans="1:88" ht="14.25" hidden="1" customHeight="1" outlineLevel="1">
      <c r="A74" s="7"/>
      <c r="B74" s="23"/>
      <c r="C74" s="24"/>
      <c r="D74" s="37"/>
      <c r="E74" s="37"/>
      <c r="F74" s="41"/>
      <c r="G74" s="38"/>
      <c r="H74" s="37"/>
      <c r="I74" s="37"/>
      <c r="J74" s="41"/>
      <c r="K74" s="38"/>
      <c r="L74" s="37"/>
      <c r="M74" s="37"/>
      <c r="N74" s="41"/>
      <c r="O74" s="38"/>
      <c r="P74" s="37"/>
      <c r="Q74" s="37"/>
      <c r="R74" s="41"/>
      <c r="S74" s="38"/>
      <c r="T74" s="37"/>
      <c r="U74" s="37"/>
      <c r="V74" s="41"/>
      <c r="W74" s="38"/>
      <c r="X74" s="37"/>
      <c r="Y74" s="37"/>
      <c r="Z74" s="41"/>
      <c r="AA74" s="38"/>
      <c r="AB74" s="37"/>
      <c r="AC74" s="37"/>
      <c r="AD74" s="41"/>
      <c r="AE74" s="38"/>
      <c r="AF74" s="37"/>
      <c r="AG74" s="50"/>
      <c r="AH74" s="50"/>
      <c r="AI74" s="50"/>
      <c r="AJ74" s="647"/>
      <c r="AK74" s="50"/>
      <c r="AL74" s="50"/>
      <c r="AM74" s="50"/>
      <c r="AN74" s="1857"/>
      <c r="AO74" s="1853"/>
      <c r="AP74" s="50"/>
      <c r="AQ74" s="50"/>
      <c r="AR74" s="647"/>
      <c r="AS74" s="50"/>
      <c r="AT74" s="50"/>
      <c r="AU74" s="51"/>
      <c r="AV74" s="647"/>
      <c r="AW74" s="50"/>
      <c r="AX74" s="50"/>
      <c r="AY74" s="51"/>
      <c r="AZ74" s="1699"/>
      <c r="BA74" s="1698"/>
      <c r="BB74" s="1853"/>
      <c r="BC74" s="51"/>
      <c r="BD74" s="1857"/>
      <c r="BE74" s="1853"/>
      <c r="BF74" s="1853"/>
      <c r="BG74" s="1854"/>
      <c r="BH74" s="2020"/>
      <c r="BI74" s="1853"/>
      <c r="BJ74" s="1853"/>
      <c r="BK74" s="1854"/>
      <c r="BL74" s="244"/>
      <c r="BM74" s="37"/>
      <c r="BN74" s="37"/>
      <c r="BO74" s="37"/>
      <c r="BP74" s="37"/>
      <c r="BQ74" s="37"/>
      <c r="BR74" s="37"/>
      <c r="BS74" s="37"/>
      <c r="BT74" s="37"/>
      <c r="BU74" s="37"/>
      <c r="BV74" s="37"/>
      <c r="BW74" s="37"/>
      <c r="BX74" s="37"/>
      <c r="BY74" s="39"/>
      <c r="BZ74" s="39"/>
      <c r="CA74" s="39"/>
      <c r="CB74" s="2076"/>
      <c r="CC74" s="2191"/>
      <c r="CD74" s="13"/>
    </row>
    <row r="75" spans="1:88" ht="14.25" customHeight="1" collapsed="1">
      <c r="A75" s="7"/>
      <c r="B75" s="42" t="s">
        <v>433</v>
      </c>
      <c r="C75" s="43"/>
      <c r="D75" s="45">
        <f t="shared" ref="D75:AX75" si="348">D59+D66</f>
        <v>-19.075000000000038</v>
      </c>
      <c r="E75" s="45">
        <f t="shared" si="348"/>
        <v>8.2189999999999124</v>
      </c>
      <c r="F75" s="45">
        <f t="shared" si="348"/>
        <v>75.394000000000176</v>
      </c>
      <c r="G75" s="46">
        <f t="shared" si="348"/>
        <v>93.461999999999705</v>
      </c>
      <c r="H75" s="45">
        <f t="shared" si="348"/>
        <v>219.79699999999991</v>
      </c>
      <c r="I75" s="45">
        <f t="shared" si="348"/>
        <v>107.14800000000004</v>
      </c>
      <c r="J75" s="45">
        <f t="shared" si="348"/>
        <v>113.60300000000014</v>
      </c>
      <c r="K75" s="46">
        <f t="shared" si="348"/>
        <v>-583.54799999999989</v>
      </c>
      <c r="L75" s="45">
        <f t="shared" si="348"/>
        <v>-588</v>
      </c>
      <c r="M75" s="45">
        <f t="shared" si="348"/>
        <v>-568</v>
      </c>
      <c r="N75" s="45">
        <f t="shared" si="348"/>
        <v>-369</v>
      </c>
      <c r="O75" s="46">
        <f t="shared" si="348"/>
        <v>-1831</v>
      </c>
      <c r="P75" s="45">
        <f t="shared" si="348"/>
        <v>-321</v>
      </c>
      <c r="Q75" s="45">
        <f t="shared" si="348"/>
        <v>-694</v>
      </c>
      <c r="R75" s="45">
        <f t="shared" si="348"/>
        <v>22</v>
      </c>
      <c r="S75" s="46">
        <f t="shared" si="348"/>
        <v>-1351</v>
      </c>
      <c r="T75" s="45">
        <f t="shared" si="348"/>
        <v>-298</v>
      </c>
      <c r="U75" s="45">
        <f t="shared" si="348"/>
        <v>-345</v>
      </c>
      <c r="V75" s="45">
        <f t="shared" si="348"/>
        <v>-140</v>
      </c>
      <c r="W75" s="46">
        <f t="shared" si="348"/>
        <v>1191</v>
      </c>
      <c r="X75" s="45">
        <f t="shared" si="348"/>
        <v>257</v>
      </c>
      <c r="Y75" s="45">
        <f t="shared" si="348"/>
        <v>-48</v>
      </c>
      <c r="Z75" s="45">
        <f t="shared" si="348"/>
        <v>-117</v>
      </c>
      <c r="AA75" s="46">
        <f t="shared" si="348"/>
        <v>417</v>
      </c>
      <c r="AB75" s="45">
        <f t="shared" si="348"/>
        <v>512</v>
      </c>
      <c r="AC75" s="45">
        <f t="shared" si="348"/>
        <v>64</v>
      </c>
      <c r="AD75" s="45">
        <f t="shared" si="348"/>
        <v>92</v>
      </c>
      <c r="AE75" s="46">
        <f t="shared" si="348"/>
        <v>-177</v>
      </c>
      <c r="AF75" s="45">
        <f t="shared" si="348"/>
        <v>-622</v>
      </c>
      <c r="AG75" s="45">
        <f t="shared" si="348"/>
        <v>31</v>
      </c>
      <c r="AH75" s="45">
        <f t="shared" si="348"/>
        <v>-157</v>
      </c>
      <c r="AI75" s="45">
        <f t="shared" si="348"/>
        <v>-469</v>
      </c>
      <c r="AJ75" s="44">
        <f t="shared" si="348"/>
        <v>-144</v>
      </c>
      <c r="AK75" s="45">
        <f t="shared" si="348"/>
        <v>-71</v>
      </c>
      <c r="AL75" s="45">
        <f t="shared" si="348"/>
        <v>51</v>
      </c>
      <c r="AM75" s="45">
        <f t="shared" si="348"/>
        <v>90</v>
      </c>
      <c r="AN75" s="44">
        <f t="shared" si="348"/>
        <v>-18</v>
      </c>
      <c r="AO75" s="45">
        <f t="shared" si="348"/>
        <v>-32</v>
      </c>
      <c r="AP75" s="45">
        <f t="shared" si="348"/>
        <v>19</v>
      </c>
      <c r="AQ75" s="45">
        <f t="shared" si="348"/>
        <v>-367</v>
      </c>
      <c r="AR75" s="44">
        <f t="shared" si="348"/>
        <v>-177</v>
      </c>
      <c r="AS75" s="45">
        <f t="shared" si="348"/>
        <v>-180</v>
      </c>
      <c r="AT75" s="45">
        <f t="shared" si="348"/>
        <v>-197</v>
      </c>
      <c r="AU75" s="46">
        <f t="shared" si="348"/>
        <v>-92</v>
      </c>
      <c r="AV75" s="44">
        <f t="shared" si="348"/>
        <v>-108</v>
      </c>
      <c r="AW75" s="45">
        <f t="shared" si="348"/>
        <v>101</v>
      </c>
      <c r="AX75" s="45">
        <f t="shared" si="348"/>
        <v>-397</v>
      </c>
      <c r="AY75" s="46">
        <f t="shared" ref="AY75:BA75" si="349">AY59+AY66</f>
        <v>-44</v>
      </c>
      <c r="AZ75" s="44">
        <f t="shared" si="349"/>
        <v>-66</v>
      </c>
      <c r="BA75" s="45">
        <f t="shared" si="349"/>
        <v>-10</v>
      </c>
      <c r="BB75" s="45">
        <f t="shared" ref="BB75:BD75" si="350">BB59+BB66</f>
        <v>92</v>
      </c>
      <c r="BC75" s="46">
        <f t="shared" si="350"/>
        <v>53</v>
      </c>
      <c r="BD75" s="44">
        <f t="shared" si="350"/>
        <v>90</v>
      </c>
      <c r="BE75" s="45">
        <f t="shared" ref="BE75:BG75" si="351">BE59+BE66</f>
        <v>129.30728428276799</v>
      </c>
      <c r="BF75" s="45">
        <f t="shared" si="351"/>
        <v>124.9857467890465</v>
      </c>
      <c r="BG75" s="2175">
        <f t="shared" si="351"/>
        <v>81.129312461271624</v>
      </c>
      <c r="BH75" s="2174">
        <f t="shared" ref="BH75:BK75" si="352">BH59+BH66</f>
        <v>48.936937830208066</v>
      </c>
      <c r="BI75" s="45">
        <f t="shared" si="352"/>
        <v>93.229670145593659</v>
      </c>
      <c r="BJ75" s="45">
        <f t="shared" si="352"/>
        <v>120.02919298874711</v>
      </c>
      <c r="BK75" s="2175">
        <f t="shared" si="352"/>
        <v>110.83375534561945</v>
      </c>
      <c r="BL75" s="244"/>
      <c r="BM75" s="45">
        <f t="shared" ref="BM75:BY75" si="353">BM59+BM66</f>
        <v>158</v>
      </c>
      <c r="BN75" s="45">
        <f t="shared" si="353"/>
        <v>-143</v>
      </c>
      <c r="BO75" s="45">
        <f t="shared" si="353"/>
        <v>-3356</v>
      </c>
      <c r="BP75" s="45">
        <f t="shared" si="353"/>
        <v>-2344</v>
      </c>
      <c r="BQ75" s="45">
        <f t="shared" si="353"/>
        <v>408</v>
      </c>
      <c r="BR75" s="45">
        <f t="shared" si="353"/>
        <v>509</v>
      </c>
      <c r="BS75" s="45">
        <f t="shared" si="353"/>
        <v>491</v>
      </c>
      <c r="BT75" s="45">
        <f t="shared" si="353"/>
        <v>-1217</v>
      </c>
      <c r="BU75" s="45">
        <f t="shared" si="353"/>
        <v>-74</v>
      </c>
      <c r="BV75" s="45">
        <f t="shared" ref="BV75:BX75" si="354">BV59+BV66</f>
        <v>-398</v>
      </c>
      <c r="BW75" s="45">
        <f t="shared" si="354"/>
        <v>-646</v>
      </c>
      <c r="BX75" s="45">
        <f t="shared" si="354"/>
        <v>-448</v>
      </c>
      <c r="BY75" s="45">
        <f t="shared" si="353"/>
        <v>69</v>
      </c>
      <c r="BZ75" s="45">
        <f t="shared" ref="BZ75:CB75" si="355">BZ59+BZ66</f>
        <v>425.42234353308635</v>
      </c>
      <c r="CA75" s="45">
        <f t="shared" si="355"/>
        <v>373.02955631016806</v>
      </c>
      <c r="CB75" s="2186">
        <f t="shared" si="355"/>
        <v>373.02955631016806</v>
      </c>
      <c r="CC75" s="2191"/>
      <c r="CD75" s="13"/>
    </row>
    <row r="76" spans="1:88" ht="14.25" customHeight="1">
      <c r="A76" s="7"/>
      <c r="B76" s="42" t="s">
        <v>617</v>
      </c>
      <c r="C76" s="43"/>
      <c r="D76" s="45">
        <f t="shared" ref="D76:AV76" si="356">+D61+D72</f>
        <v>-19.075000000000038</v>
      </c>
      <c r="E76" s="45">
        <f t="shared" si="356"/>
        <v>8.2189999999999124</v>
      </c>
      <c r="F76" s="45">
        <f t="shared" si="356"/>
        <v>75.394000000000176</v>
      </c>
      <c r="G76" s="46">
        <f t="shared" si="356"/>
        <v>93.461999999999705</v>
      </c>
      <c r="H76" s="45">
        <f t="shared" si="356"/>
        <v>221.79699999999991</v>
      </c>
      <c r="I76" s="45">
        <f t="shared" si="356"/>
        <v>109.14800000000004</v>
      </c>
      <c r="J76" s="45">
        <f t="shared" si="356"/>
        <v>115.24500000000019</v>
      </c>
      <c r="K76" s="46">
        <f t="shared" si="356"/>
        <v>-24.547999999999973</v>
      </c>
      <c r="L76" s="45">
        <f t="shared" si="356"/>
        <v>-473</v>
      </c>
      <c r="M76" s="45">
        <f t="shared" si="356"/>
        <v>-486</v>
      </c>
      <c r="N76" s="45">
        <f t="shared" si="356"/>
        <v>-293</v>
      </c>
      <c r="O76" s="46">
        <f t="shared" si="356"/>
        <v>-162</v>
      </c>
      <c r="P76" s="45">
        <f t="shared" si="356"/>
        <v>-281</v>
      </c>
      <c r="Q76" s="45">
        <f t="shared" si="356"/>
        <v>-416</v>
      </c>
      <c r="R76" s="45">
        <f t="shared" si="356"/>
        <v>-128</v>
      </c>
      <c r="S76" s="46">
        <f t="shared" si="356"/>
        <v>-360</v>
      </c>
      <c r="T76" s="45">
        <f t="shared" si="356"/>
        <v>-318</v>
      </c>
      <c r="U76" s="45">
        <f t="shared" si="356"/>
        <v>-445</v>
      </c>
      <c r="V76" s="45">
        <f t="shared" si="356"/>
        <v>-177</v>
      </c>
      <c r="W76" s="46">
        <f t="shared" si="356"/>
        <v>72</v>
      </c>
      <c r="X76" s="45">
        <f t="shared" si="356"/>
        <v>205</v>
      </c>
      <c r="Y76" s="45">
        <f t="shared" si="356"/>
        <v>-35</v>
      </c>
      <c r="Z76" s="45">
        <f t="shared" si="356"/>
        <v>-101</v>
      </c>
      <c r="AA76" s="46">
        <f t="shared" si="356"/>
        <v>145</v>
      </c>
      <c r="AB76" s="45">
        <f t="shared" si="356"/>
        <v>550</v>
      </c>
      <c r="AC76" s="45">
        <f t="shared" si="356"/>
        <v>73</v>
      </c>
      <c r="AD76" s="45">
        <f t="shared" si="356"/>
        <v>100</v>
      </c>
      <c r="AE76" s="46">
        <f t="shared" si="356"/>
        <v>-76</v>
      </c>
      <c r="AF76" s="45">
        <f t="shared" si="356"/>
        <v>90</v>
      </c>
      <c r="AG76" s="45">
        <f t="shared" si="356"/>
        <v>40</v>
      </c>
      <c r="AH76" s="45">
        <f t="shared" si="356"/>
        <v>-50</v>
      </c>
      <c r="AI76" s="45">
        <f t="shared" si="356"/>
        <v>-102</v>
      </c>
      <c r="AJ76" s="44">
        <f t="shared" si="356"/>
        <v>-92</v>
      </c>
      <c r="AK76" s="45">
        <f t="shared" si="356"/>
        <v>-62</v>
      </c>
      <c r="AL76" s="45">
        <f t="shared" si="356"/>
        <v>34</v>
      </c>
      <c r="AM76" s="45">
        <f t="shared" si="356"/>
        <v>46</v>
      </c>
      <c r="AN76" s="44">
        <f t="shared" si="356"/>
        <v>14</v>
      </c>
      <c r="AO76" s="45">
        <f>+AO61+AO72</f>
        <v>21</v>
      </c>
      <c r="AP76" s="45">
        <f t="shared" si="356"/>
        <v>22</v>
      </c>
      <c r="AQ76" s="45">
        <f t="shared" si="356"/>
        <v>15</v>
      </c>
      <c r="AR76" s="44">
        <f t="shared" si="356"/>
        <v>-70</v>
      </c>
      <c r="AS76" s="45">
        <f t="shared" si="356"/>
        <v>-130</v>
      </c>
      <c r="AT76" s="45">
        <f t="shared" si="356"/>
        <v>-136</v>
      </c>
      <c r="AU76" s="46">
        <f t="shared" si="356"/>
        <v>-69</v>
      </c>
      <c r="AV76" s="44">
        <f t="shared" si="356"/>
        <v>-95</v>
      </c>
      <c r="AW76" s="45">
        <f>+AW61+AW68</f>
        <v>-38</v>
      </c>
      <c r="AX76" s="45">
        <f t="shared" ref="AX76" si="357">+AX61+AX72</f>
        <v>32</v>
      </c>
      <c r="AY76" s="46">
        <f t="shared" ref="AY76:BA76" si="358">+AY61+AY72</f>
        <v>-1</v>
      </c>
      <c r="AZ76" s="44">
        <f t="shared" si="358"/>
        <v>-31</v>
      </c>
      <c r="BA76" s="45">
        <f t="shared" si="358"/>
        <v>22</v>
      </c>
      <c r="BB76" s="45">
        <f t="shared" ref="BB76:BD76" si="359">+BB61+BB72</f>
        <v>129</v>
      </c>
      <c r="BC76" s="46">
        <f t="shared" si="359"/>
        <v>80</v>
      </c>
      <c r="BD76" s="44">
        <f t="shared" si="359"/>
        <v>130</v>
      </c>
      <c r="BE76" s="45">
        <f t="shared" ref="BE76:BG76" si="360">+BE61+BE72</f>
        <v>158.30728428276799</v>
      </c>
      <c r="BF76" s="45">
        <f t="shared" si="360"/>
        <v>153.98574678904649</v>
      </c>
      <c r="BG76" s="2175">
        <f t="shared" si="360"/>
        <v>110.12931246127162</v>
      </c>
      <c r="BH76" s="2174">
        <f t="shared" ref="BH76:BK76" si="361">+BH61+BH72</f>
        <v>77.936937830208066</v>
      </c>
      <c r="BI76" s="45">
        <f t="shared" si="361"/>
        <v>122.22967014559366</v>
      </c>
      <c r="BJ76" s="45">
        <f t="shared" si="361"/>
        <v>149.0291929887471</v>
      </c>
      <c r="BK76" s="2175">
        <f t="shared" si="361"/>
        <v>139.83375534561944</v>
      </c>
      <c r="BL76" s="244"/>
      <c r="BM76" s="45">
        <f t="shared" ref="BM76:BW76" si="362">+BM61+BM72</f>
        <v>158</v>
      </c>
      <c r="BN76" s="45">
        <f t="shared" si="362"/>
        <v>421.64200000000028</v>
      </c>
      <c r="BO76" s="45">
        <f t="shared" si="362"/>
        <v>-1414</v>
      </c>
      <c r="BP76" s="45">
        <f t="shared" si="362"/>
        <v>-1185</v>
      </c>
      <c r="BQ76" s="45">
        <f t="shared" si="362"/>
        <v>-868</v>
      </c>
      <c r="BR76" s="45">
        <f t="shared" si="362"/>
        <v>214</v>
      </c>
      <c r="BS76" s="45">
        <f t="shared" si="362"/>
        <v>647</v>
      </c>
      <c r="BT76" s="45">
        <f t="shared" si="362"/>
        <v>-22</v>
      </c>
      <c r="BU76" s="45">
        <f t="shared" si="362"/>
        <v>-74</v>
      </c>
      <c r="BV76" s="45">
        <f>+BV61+BV72</f>
        <v>72</v>
      </c>
      <c r="BW76" s="45">
        <f t="shared" si="362"/>
        <v>-405</v>
      </c>
      <c r="BX76" s="45">
        <f>+BX61+BX72</f>
        <v>48</v>
      </c>
      <c r="BY76" s="45">
        <f t="shared" ref="BY76" si="363">+BY61+BY72</f>
        <v>200</v>
      </c>
      <c r="BZ76" s="45">
        <f t="shared" ref="BZ76:CB76" si="364">+BZ61+BZ72</f>
        <v>552.4223435330864</v>
      </c>
      <c r="CA76" s="45">
        <f t="shared" si="364"/>
        <v>489.02955631016897</v>
      </c>
      <c r="CB76" s="2186">
        <f t="shared" si="364"/>
        <v>489.02955631016806</v>
      </c>
      <c r="CC76" s="2191"/>
      <c r="CD76" s="13"/>
    </row>
    <row r="77" spans="1:88" ht="14.25" customHeight="1">
      <c r="A77" s="7"/>
      <c r="B77" s="42" t="s">
        <v>8</v>
      </c>
      <c r="C77" s="43"/>
      <c r="D77" s="45">
        <f t="shared" ref="D77:AM77" si="365">D63+D73</f>
        <v>-19.075000000000038</v>
      </c>
      <c r="E77" s="45">
        <f t="shared" si="365"/>
        <v>8.2189999999999124</v>
      </c>
      <c r="F77" s="45">
        <f t="shared" si="365"/>
        <v>75.394000000000176</v>
      </c>
      <c r="G77" s="46">
        <f t="shared" si="365"/>
        <v>93.461999999999705</v>
      </c>
      <c r="H77" s="45">
        <f t="shared" si="365"/>
        <v>221.79699999999991</v>
      </c>
      <c r="I77" s="45">
        <f t="shared" si="365"/>
        <v>109.14800000000004</v>
      </c>
      <c r="J77" s="45">
        <f t="shared" si="365"/>
        <v>115.24500000000019</v>
      </c>
      <c r="K77" s="46">
        <f t="shared" si="365"/>
        <v>-24.547999999999973</v>
      </c>
      <c r="L77" s="45">
        <f t="shared" si="365"/>
        <v>-473</v>
      </c>
      <c r="M77" s="45">
        <f t="shared" si="365"/>
        <v>-486</v>
      </c>
      <c r="N77" s="45">
        <f t="shared" si="365"/>
        <v>-293</v>
      </c>
      <c r="O77" s="46">
        <f t="shared" si="365"/>
        <v>-162</v>
      </c>
      <c r="P77" s="45">
        <f t="shared" si="365"/>
        <v>-281</v>
      </c>
      <c r="Q77" s="45">
        <f t="shared" si="365"/>
        <v>-416</v>
      </c>
      <c r="R77" s="45">
        <f t="shared" si="365"/>
        <v>-128</v>
      </c>
      <c r="S77" s="46">
        <f t="shared" si="365"/>
        <v>-360</v>
      </c>
      <c r="T77" s="45">
        <f t="shared" si="365"/>
        <v>-318</v>
      </c>
      <c r="U77" s="45">
        <f t="shared" si="365"/>
        <v>-445</v>
      </c>
      <c r="V77" s="45">
        <f t="shared" si="365"/>
        <v>-177</v>
      </c>
      <c r="W77" s="46">
        <f t="shared" si="365"/>
        <v>72</v>
      </c>
      <c r="X77" s="45">
        <f t="shared" si="365"/>
        <v>205</v>
      </c>
      <c r="Y77" s="45">
        <f t="shared" si="365"/>
        <v>-35</v>
      </c>
      <c r="Z77" s="45">
        <f t="shared" si="365"/>
        <v>-101</v>
      </c>
      <c r="AA77" s="46">
        <f t="shared" si="365"/>
        <v>145</v>
      </c>
      <c r="AB77" s="45">
        <f t="shared" si="365"/>
        <v>550</v>
      </c>
      <c r="AC77" s="45">
        <f t="shared" si="365"/>
        <v>73</v>
      </c>
      <c r="AD77" s="45">
        <f t="shared" si="365"/>
        <v>100</v>
      </c>
      <c r="AE77" s="46">
        <f t="shared" si="365"/>
        <v>-76</v>
      </c>
      <c r="AF77" s="45">
        <f t="shared" si="365"/>
        <v>90</v>
      </c>
      <c r="AG77" s="45">
        <f t="shared" si="365"/>
        <v>40</v>
      </c>
      <c r="AH77" s="45">
        <f t="shared" si="365"/>
        <v>-50</v>
      </c>
      <c r="AI77" s="45">
        <f t="shared" si="365"/>
        <v>-102</v>
      </c>
      <c r="AJ77" s="44">
        <f t="shared" si="365"/>
        <v>-92</v>
      </c>
      <c r="AK77" s="45">
        <f t="shared" si="365"/>
        <v>-62</v>
      </c>
      <c r="AL77" s="45">
        <f t="shared" si="365"/>
        <v>34</v>
      </c>
      <c r="AM77" s="45">
        <f t="shared" si="365"/>
        <v>46</v>
      </c>
      <c r="AN77" s="44">
        <f t="shared" ref="AN77:AV77" si="366">AN63+AN73+AN70</f>
        <v>1</v>
      </c>
      <c r="AO77" s="45">
        <f>AO63+AO73</f>
        <v>21</v>
      </c>
      <c r="AP77" s="45">
        <f t="shared" si="366"/>
        <v>22</v>
      </c>
      <c r="AQ77" s="45">
        <f t="shared" si="366"/>
        <v>-1</v>
      </c>
      <c r="AR77" s="44">
        <f t="shared" si="366"/>
        <v>-87</v>
      </c>
      <c r="AS77" s="45">
        <f t="shared" si="366"/>
        <v>-147</v>
      </c>
      <c r="AT77" s="45">
        <f t="shared" si="366"/>
        <v>-149</v>
      </c>
      <c r="AU77" s="46">
        <f t="shared" si="366"/>
        <v>-72</v>
      </c>
      <c r="AV77" s="45">
        <f t="shared" si="366"/>
        <v>-111</v>
      </c>
      <c r="AW77" s="45">
        <f>AW63+AW73+AW70</f>
        <v>94</v>
      </c>
      <c r="AX77" s="45">
        <f>AX63+AX73+AX70</f>
        <v>75</v>
      </c>
      <c r="AY77" s="46">
        <f t="shared" ref="AY77:AZ77" si="367">AY63+AY73+AY70</f>
        <v>-16</v>
      </c>
      <c r="AZ77" s="45">
        <f t="shared" si="367"/>
        <v>-42</v>
      </c>
      <c r="BA77" s="45">
        <f>BA63+BA73+BA70</f>
        <v>6</v>
      </c>
      <c r="BB77" s="45">
        <f>BB63+BB73+BB70</f>
        <v>108</v>
      </c>
      <c r="BC77" s="46">
        <f t="shared" ref="BC77:BD77" si="368">BC63+BC73+BC70</f>
        <v>65</v>
      </c>
      <c r="BD77" s="45">
        <f t="shared" si="368"/>
        <v>106</v>
      </c>
      <c r="BE77" s="45">
        <f t="shared" ref="BE77:BG77" si="369">BE63+BE73+BE70</f>
        <v>129.30728428276799</v>
      </c>
      <c r="BF77" s="45">
        <f t="shared" si="369"/>
        <v>124.9857467890465</v>
      </c>
      <c r="BG77" s="2175">
        <f t="shared" si="369"/>
        <v>81.129312461271624</v>
      </c>
      <c r="BH77" s="2174">
        <f t="shared" ref="BH77:BK77" si="370">BH63+BH73+BH70</f>
        <v>48.936937830208066</v>
      </c>
      <c r="BI77" s="45">
        <f t="shared" si="370"/>
        <v>93.229670145593659</v>
      </c>
      <c r="BJ77" s="45">
        <f t="shared" si="370"/>
        <v>120.02919298874711</v>
      </c>
      <c r="BK77" s="2175">
        <f t="shared" si="370"/>
        <v>110.83375534561945</v>
      </c>
      <c r="BL77" s="244"/>
      <c r="BM77" s="45">
        <f t="shared" ref="BM77:BY77" si="371">BM63+BM73+BM70</f>
        <v>158</v>
      </c>
      <c r="BN77" s="45">
        <f t="shared" si="371"/>
        <v>421.64199999999983</v>
      </c>
      <c r="BO77" s="45">
        <f t="shared" si="371"/>
        <v>-1414</v>
      </c>
      <c r="BP77" s="45">
        <f t="shared" si="371"/>
        <v>-1185</v>
      </c>
      <c r="BQ77" s="45">
        <f t="shared" si="371"/>
        <v>-868</v>
      </c>
      <c r="BR77" s="45">
        <f t="shared" si="371"/>
        <v>214</v>
      </c>
      <c r="BS77" s="45">
        <f t="shared" si="371"/>
        <v>647</v>
      </c>
      <c r="BT77" s="45">
        <f t="shared" si="371"/>
        <v>-22</v>
      </c>
      <c r="BU77" s="45">
        <f t="shared" si="371"/>
        <v>-74</v>
      </c>
      <c r="BV77" s="45">
        <f t="shared" ref="BV77:BX77" si="372">BV63+BV73+BV70</f>
        <v>92</v>
      </c>
      <c r="BW77" s="45">
        <f t="shared" si="372"/>
        <v>-455</v>
      </c>
      <c r="BX77" s="45">
        <f t="shared" si="372"/>
        <v>42</v>
      </c>
      <c r="BY77" s="45">
        <f t="shared" si="371"/>
        <v>137</v>
      </c>
      <c r="BZ77" s="45">
        <f t="shared" ref="BZ77:CB77" si="373">BZ63+BZ73+BZ70</f>
        <v>441.42234353308635</v>
      </c>
      <c r="CA77" s="45">
        <f t="shared" si="373"/>
        <v>373.02955631016806</v>
      </c>
      <c r="CB77" s="2186">
        <f t="shared" si="373"/>
        <v>373.02955631016806</v>
      </c>
      <c r="CC77" s="2191"/>
      <c r="CD77" s="13"/>
    </row>
    <row r="78" spans="1:88" ht="14.25" customHeight="1">
      <c r="A78" s="7"/>
      <c r="B78" s="30"/>
      <c r="C78" s="31"/>
      <c r="D78" s="32"/>
      <c r="E78" s="32"/>
      <c r="F78" s="32"/>
      <c r="G78" s="33"/>
      <c r="H78" s="32"/>
      <c r="I78" s="32"/>
      <c r="J78" s="32"/>
      <c r="K78" s="33"/>
      <c r="L78" s="32"/>
      <c r="M78" s="32"/>
      <c r="N78" s="32"/>
      <c r="O78" s="33"/>
      <c r="P78" s="32"/>
      <c r="Q78" s="32"/>
      <c r="R78" s="32"/>
      <c r="S78" s="33"/>
      <c r="T78" s="32"/>
      <c r="U78" s="32"/>
      <c r="V78" s="32"/>
      <c r="W78" s="33"/>
      <c r="X78" s="32"/>
      <c r="Y78" s="32"/>
      <c r="Z78" s="32"/>
      <c r="AA78" s="33"/>
      <c r="AB78" s="32"/>
      <c r="AC78" s="32"/>
      <c r="AD78" s="32"/>
      <c r="AE78" s="33"/>
      <c r="AF78" s="32"/>
      <c r="AG78" s="32"/>
      <c r="AH78" s="32"/>
      <c r="AI78" s="32"/>
      <c r="AJ78" s="34"/>
      <c r="AK78" s="32"/>
      <c r="AL78" s="32"/>
      <c r="AM78" s="32"/>
      <c r="AN78" s="1852"/>
      <c r="AO78" s="1850"/>
      <c r="AP78" s="32"/>
      <c r="AQ78" s="32"/>
      <c r="AR78" s="34"/>
      <c r="AS78" s="32"/>
      <c r="AT78" s="32"/>
      <c r="AU78" s="33"/>
      <c r="AV78" s="34"/>
      <c r="AW78" s="32"/>
      <c r="AX78" s="32"/>
      <c r="AY78" s="33"/>
      <c r="AZ78" s="1697"/>
      <c r="BA78" s="1696"/>
      <c r="BB78" s="1850"/>
      <c r="BC78" s="33"/>
      <c r="BD78" s="1852"/>
      <c r="BE78" s="1850"/>
      <c r="BF78" s="1850"/>
      <c r="BG78" s="1851"/>
      <c r="BH78" s="1913"/>
      <c r="BI78" s="1850"/>
      <c r="BJ78" s="1850"/>
      <c r="BK78" s="1851"/>
      <c r="BL78" s="244"/>
      <c r="BM78" s="32"/>
      <c r="BN78" s="32"/>
      <c r="BO78" s="32"/>
      <c r="BP78" s="32"/>
      <c r="BQ78" s="32"/>
      <c r="BR78" s="32"/>
      <c r="BS78" s="32"/>
      <c r="BT78" s="32"/>
      <c r="BU78" s="1850"/>
      <c r="BV78" s="1850"/>
      <c r="BW78" s="1850"/>
      <c r="BX78" s="1850"/>
      <c r="BY78" s="1850"/>
      <c r="BZ78" s="1850"/>
      <c r="CA78" s="1850"/>
      <c r="CB78" s="1851"/>
      <c r="CC78" s="2191"/>
      <c r="CD78" s="13"/>
    </row>
    <row r="79" spans="1:88" ht="14.25" customHeight="1">
      <c r="A79" s="7"/>
      <c r="B79" s="21" t="s">
        <v>434</v>
      </c>
      <c r="C79" s="22"/>
      <c r="D79" s="25">
        <v>-1.6519999999999999</v>
      </c>
      <c r="E79" s="25">
        <v>-3.1</v>
      </c>
      <c r="F79" s="25">
        <v>-0.60599999999999998</v>
      </c>
      <c r="G79" s="359">
        <f>-7-SUM(D79:F79)</f>
        <v>-1.6420000000000003</v>
      </c>
      <c r="H79" s="25">
        <v>35.273000000000003</v>
      </c>
      <c r="I79" s="25">
        <v>18.300999999999998</v>
      </c>
      <c r="J79" s="25">
        <v>-20.852</v>
      </c>
      <c r="K79" s="359">
        <f>23-SUM(H79:J79)</f>
        <v>-9.7219999999999942</v>
      </c>
      <c r="L79" s="25">
        <v>23</v>
      </c>
      <c r="M79" s="25">
        <v>32</v>
      </c>
      <c r="N79" s="25">
        <v>27</v>
      </c>
      <c r="O79" s="359">
        <f>23-SUM(L79:N79)</f>
        <v>-59</v>
      </c>
      <c r="P79" s="25">
        <v>0</v>
      </c>
      <c r="Q79" s="25">
        <v>0</v>
      </c>
      <c r="R79" s="25">
        <v>-1</v>
      </c>
      <c r="S79" s="359">
        <f>68-SUM(P79:R79)</f>
        <v>69</v>
      </c>
      <c r="T79" s="25">
        <v>116</v>
      </c>
      <c r="U79" s="25">
        <v>-10</v>
      </c>
      <c r="V79" s="25">
        <v>-5</v>
      </c>
      <c r="W79" s="359">
        <f>112-V79-U79-T79</f>
        <v>11</v>
      </c>
      <c r="X79" s="25">
        <v>0</v>
      </c>
      <c r="Y79" s="25">
        <v>-5</v>
      </c>
      <c r="Z79" s="25">
        <v>1</v>
      </c>
      <c r="AA79" s="359">
        <f>38-Z79-Y79-X79</f>
        <v>42</v>
      </c>
      <c r="AB79" s="25">
        <v>2</v>
      </c>
      <c r="AC79" s="25">
        <v>3</v>
      </c>
      <c r="AD79" s="25">
        <v>-5</v>
      </c>
      <c r="AE79" s="26">
        <v>-4</v>
      </c>
      <c r="AF79" s="25">
        <v>-32</v>
      </c>
      <c r="AG79" s="25">
        <v>-6</v>
      </c>
      <c r="AH79" s="25">
        <v>0</v>
      </c>
      <c r="AI79" s="25">
        <v>4</v>
      </c>
      <c r="AJ79" s="582">
        <v>2</v>
      </c>
      <c r="AK79" s="25">
        <v>3</v>
      </c>
      <c r="AL79" s="25">
        <v>3</v>
      </c>
      <c r="AM79" s="25">
        <v>1</v>
      </c>
      <c r="AN79" s="582">
        <v>2</v>
      </c>
      <c r="AO79" s="25">
        <v>4</v>
      </c>
      <c r="AP79" s="25">
        <v>2</v>
      </c>
      <c r="AQ79" s="25">
        <v>-3</v>
      </c>
      <c r="AR79" s="582">
        <v>3</v>
      </c>
      <c r="AS79" s="25">
        <v>1</v>
      </c>
      <c r="AT79" s="25">
        <v>0</v>
      </c>
      <c r="AU79" s="26">
        <v>10</v>
      </c>
      <c r="AV79" s="582">
        <v>1</v>
      </c>
      <c r="AW79" s="25">
        <v>29</v>
      </c>
      <c r="AX79" s="25">
        <v>4</v>
      </c>
      <c r="AY79" s="26">
        <v>5</v>
      </c>
      <c r="AZ79" s="582">
        <v>5</v>
      </c>
      <c r="BA79" s="25">
        <v>3</v>
      </c>
      <c r="BB79" s="25">
        <v>19</v>
      </c>
      <c r="BC79" s="26">
        <v>-8</v>
      </c>
      <c r="BD79" s="582">
        <v>8</v>
      </c>
      <c r="BE79" s="1882">
        <f t="shared" ref="BE79:BG79" si="374">BE75*BE80</f>
        <v>12.930728428276801</v>
      </c>
      <c r="BF79" s="1882">
        <f t="shared" si="374"/>
        <v>12.498574678904651</v>
      </c>
      <c r="BG79" s="1883">
        <f t="shared" si="374"/>
        <v>8.1129312461271628</v>
      </c>
      <c r="BH79" s="2019">
        <f>BH75*BH80</f>
        <v>4.8936937830208072</v>
      </c>
      <c r="BI79" s="1882">
        <f t="shared" ref="BI79:BK79" si="375">BI75*BI80</f>
        <v>9.3229670145593655</v>
      </c>
      <c r="BJ79" s="1882">
        <f t="shared" si="375"/>
        <v>12.002919298874712</v>
      </c>
      <c r="BK79" s="1883">
        <f t="shared" si="375"/>
        <v>11.083375534561945</v>
      </c>
      <c r="BL79" s="244"/>
      <c r="BM79" s="27">
        <f>SUM(D79:G79)</f>
        <v>-7</v>
      </c>
      <c r="BN79" s="27">
        <f>SUM(H79:K79)</f>
        <v>23</v>
      </c>
      <c r="BO79" s="27">
        <f>SUM(L79:O79)</f>
        <v>23</v>
      </c>
      <c r="BP79" s="27">
        <f>SUM(P79:S79)</f>
        <v>68</v>
      </c>
      <c r="BQ79" s="27">
        <f>SUM(T79:W79)</f>
        <v>112</v>
      </c>
      <c r="BR79" s="27">
        <f>SUM(X79:AA79)</f>
        <v>38</v>
      </c>
      <c r="BS79" s="27">
        <f>SUM(AB79:AE79)</f>
        <v>-4</v>
      </c>
      <c r="BT79" s="27">
        <f>SUM(AF79:AI79)</f>
        <v>-34</v>
      </c>
      <c r="BU79" s="27">
        <f>SUM(AJ79:AM79)</f>
        <v>9</v>
      </c>
      <c r="BV79" s="27">
        <f>SUM(AN79:AQ79)</f>
        <v>5</v>
      </c>
      <c r="BW79" s="27">
        <f>+SUM(AR79:AU79)</f>
        <v>14</v>
      </c>
      <c r="BX79" s="27">
        <f t="shared" ref="BX79" si="376">+SUM(AV79:AY79)</f>
        <v>39</v>
      </c>
      <c r="BY79" s="1491">
        <f t="shared" ref="BY79" si="377">SUM(AZ79:BC79)</f>
        <v>19</v>
      </c>
      <c r="BZ79" s="1491">
        <f>SUM(BD79:BG79)</f>
        <v>41.542234353308615</v>
      </c>
      <c r="CA79" s="1491">
        <f>SUM(BH79:BK79)</f>
        <v>37.302955631016829</v>
      </c>
      <c r="CB79" s="2075">
        <f>CA79</f>
        <v>37.302955631016829</v>
      </c>
      <c r="CC79" s="2191"/>
      <c r="CD79" s="13"/>
    </row>
    <row r="80" spans="1:88" ht="14.25" customHeight="1">
      <c r="A80" s="7"/>
      <c r="B80" s="30" t="s">
        <v>435</v>
      </c>
      <c r="C80" s="31"/>
      <c r="D80" s="52">
        <f t="shared" ref="D80:AX80" si="378">D79/D75</f>
        <v>8.6605504587155782E-2</v>
      </c>
      <c r="E80" s="32">
        <f t="shared" si="378"/>
        <v>-0.37717483878817776</v>
      </c>
      <c r="F80" s="32">
        <f t="shared" si="378"/>
        <v>-8.0377748892484623E-3</v>
      </c>
      <c r="G80" s="33">
        <f t="shared" si="378"/>
        <v>-1.7568637521131643E-2</v>
      </c>
      <c r="H80" s="52">
        <f t="shared" si="378"/>
        <v>0.16047989735983664</v>
      </c>
      <c r="I80" s="32">
        <f t="shared" si="378"/>
        <v>0.17080113487885906</v>
      </c>
      <c r="J80" s="32">
        <f t="shared" si="378"/>
        <v>-0.18355149071767449</v>
      </c>
      <c r="K80" s="33">
        <f t="shared" si="378"/>
        <v>1.666015477732765E-2</v>
      </c>
      <c r="L80" s="52">
        <f t="shared" si="378"/>
        <v>-3.9115646258503403E-2</v>
      </c>
      <c r="M80" s="32">
        <f t="shared" si="378"/>
        <v>-5.6338028169014086E-2</v>
      </c>
      <c r="N80" s="32">
        <f t="shared" si="378"/>
        <v>-7.3170731707317069E-2</v>
      </c>
      <c r="O80" s="33">
        <f t="shared" si="378"/>
        <v>3.2222829055161113E-2</v>
      </c>
      <c r="P80" s="52">
        <f t="shared" si="378"/>
        <v>0</v>
      </c>
      <c r="Q80" s="32">
        <f t="shared" si="378"/>
        <v>0</v>
      </c>
      <c r="R80" s="32">
        <f t="shared" si="378"/>
        <v>-4.5454545454545456E-2</v>
      </c>
      <c r="S80" s="33">
        <f t="shared" si="378"/>
        <v>-5.1073279052553662E-2</v>
      </c>
      <c r="T80" s="52">
        <f t="shared" si="378"/>
        <v>-0.38926174496644295</v>
      </c>
      <c r="U80" s="32">
        <f t="shared" si="378"/>
        <v>2.8985507246376812E-2</v>
      </c>
      <c r="V80" s="32">
        <f t="shared" si="378"/>
        <v>3.5714285714285712E-2</v>
      </c>
      <c r="W80" s="33">
        <f t="shared" si="378"/>
        <v>9.2359361880772466E-3</v>
      </c>
      <c r="X80" s="52">
        <f t="shared" si="378"/>
        <v>0</v>
      </c>
      <c r="Y80" s="32">
        <f t="shared" si="378"/>
        <v>0.10416666666666667</v>
      </c>
      <c r="Z80" s="32">
        <f t="shared" si="378"/>
        <v>-8.5470085470085479E-3</v>
      </c>
      <c r="AA80" s="33">
        <f t="shared" si="378"/>
        <v>0.10071942446043165</v>
      </c>
      <c r="AB80" s="52">
        <f t="shared" si="378"/>
        <v>3.90625E-3</v>
      </c>
      <c r="AC80" s="32">
        <f t="shared" si="378"/>
        <v>4.6875E-2</v>
      </c>
      <c r="AD80" s="32">
        <f t="shared" si="378"/>
        <v>-5.434782608695652E-2</v>
      </c>
      <c r="AE80" s="33">
        <f t="shared" si="378"/>
        <v>2.2598870056497175E-2</v>
      </c>
      <c r="AF80" s="52">
        <f t="shared" si="378"/>
        <v>5.1446945337620578E-2</v>
      </c>
      <c r="AG80" s="32">
        <f t="shared" si="378"/>
        <v>-0.19354838709677419</v>
      </c>
      <c r="AH80" s="32">
        <f t="shared" si="378"/>
        <v>0</v>
      </c>
      <c r="AI80" s="32">
        <f t="shared" si="378"/>
        <v>-8.5287846481876331E-3</v>
      </c>
      <c r="AJ80" s="34">
        <f t="shared" si="378"/>
        <v>-1.3888888888888888E-2</v>
      </c>
      <c r="AK80" s="32">
        <f t="shared" si="378"/>
        <v>-4.2253521126760563E-2</v>
      </c>
      <c r="AL80" s="32">
        <f t="shared" si="378"/>
        <v>5.8823529411764705E-2</v>
      </c>
      <c r="AM80" s="32">
        <f t="shared" si="378"/>
        <v>1.1111111111111112E-2</v>
      </c>
      <c r="AN80" s="1852">
        <f t="shared" si="378"/>
        <v>-0.1111111111111111</v>
      </c>
      <c r="AO80" s="1850">
        <f t="shared" si="378"/>
        <v>-0.125</v>
      </c>
      <c r="AP80" s="32">
        <f t="shared" si="378"/>
        <v>0.10526315789473684</v>
      </c>
      <c r="AQ80" s="32">
        <f t="shared" si="378"/>
        <v>8.1743869209809257E-3</v>
      </c>
      <c r="AR80" s="34">
        <f t="shared" si="378"/>
        <v>-1.6949152542372881E-2</v>
      </c>
      <c r="AS80" s="32">
        <f t="shared" si="378"/>
        <v>-5.5555555555555558E-3</v>
      </c>
      <c r="AT80" s="32">
        <f t="shared" si="378"/>
        <v>0</v>
      </c>
      <c r="AU80" s="33">
        <f t="shared" si="378"/>
        <v>-0.10869565217391304</v>
      </c>
      <c r="AV80" s="34">
        <f t="shared" si="378"/>
        <v>-9.2592592592592587E-3</v>
      </c>
      <c r="AW80" s="32">
        <f t="shared" si="378"/>
        <v>0.28712871287128711</v>
      </c>
      <c r="AX80" s="32">
        <f t="shared" si="378"/>
        <v>-1.0075566750629723E-2</v>
      </c>
      <c r="AY80" s="33">
        <f t="shared" ref="AY80:BA80" si="379">AY79/AY75</f>
        <v>-0.11363636363636363</v>
      </c>
      <c r="AZ80" s="1697">
        <f t="shared" si="379"/>
        <v>-7.575757575757576E-2</v>
      </c>
      <c r="BA80" s="1696">
        <f t="shared" si="379"/>
        <v>-0.3</v>
      </c>
      <c r="BB80" s="1850">
        <f t="shared" ref="BB80:BD80" si="380">BB79/BB75</f>
        <v>0.20652173913043478</v>
      </c>
      <c r="BC80" s="33">
        <f t="shared" si="380"/>
        <v>-0.15094339622641509</v>
      </c>
      <c r="BD80" s="1852">
        <f t="shared" si="380"/>
        <v>8.8888888888888892E-2</v>
      </c>
      <c r="BE80" s="1866">
        <v>0.1</v>
      </c>
      <c r="BF80" s="1866">
        <v>0.1</v>
      </c>
      <c r="BG80" s="1867">
        <v>0.1</v>
      </c>
      <c r="BH80" s="2021">
        <v>0.1</v>
      </c>
      <c r="BI80" s="1866">
        <v>0.1</v>
      </c>
      <c r="BJ80" s="1866">
        <v>0.1</v>
      </c>
      <c r="BK80" s="1867">
        <v>0.1</v>
      </c>
      <c r="BL80" s="244"/>
      <c r="BM80" s="32">
        <f t="shared" ref="BM80:BY80" si="381">BM79/BM75</f>
        <v>-4.4303797468354431E-2</v>
      </c>
      <c r="BN80" s="32">
        <f t="shared" si="381"/>
        <v>-0.16083916083916083</v>
      </c>
      <c r="BO80" s="32">
        <f t="shared" si="381"/>
        <v>-6.8533969010727055E-3</v>
      </c>
      <c r="BP80" s="32">
        <f t="shared" si="381"/>
        <v>-2.9010238907849831E-2</v>
      </c>
      <c r="BQ80" s="32">
        <f t="shared" si="381"/>
        <v>0.27450980392156865</v>
      </c>
      <c r="BR80" s="32">
        <f t="shared" si="381"/>
        <v>7.4656188605108059E-2</v>
      </c>
      <c r="BS80" s="32">
        <f t="shared" si="381"/>
        <v>-8.1466395112016286E-3</v>
      </c>
      <c r="BT80" s="32">
        <f t="shared" si="381"/>
        <v>2.7937551355792935E-2</v>
      </c>
      <c r="BU80" s="1850">
        <f t="shared" si="381"/>
        <v>-0.12162162162162163</v>
      </c>
      <c r="BV80" s="1850">
        <f t="shared" ref="BV80:BX80" si="382">BV79/BV75</f>
        <v>-1.2562814070351759E-2</v>
      </c>
      <c r="BW80" s="1850">
        <f t="shared" si="382"/>
        <v>-2.1671826625386997E-2</v>
      </c>
      <c r="BX80" s="1850">
        <f t="shared" si="382"/>
        <v>-8.7053571428571425E-2</v>
      </c>
      <c r="BY80" s="1656">
        <f t="shared" si="381"/>
        <v>0.27536231884057971</v>
      </c>
      <c r="BZ80" s="1656">
        <f t="shared" ref="BZ80:CB80" si="383">BZ79/BZ75</f>
        <v>9.7649394736310444E-2</v>
      </c>
      <c r="CA80" s="1656">
        <f t="shared" si="383"/>
        <v>0.10000000000000006</v>
      </c>
      <c r="CB80" s="1651">
        <f t="shared" si="383"/>
        <v>0.10000000000000006</v>
      </c>
      <c r="CC80" s="2191"/>
      <c r="CD80" s="13"/>
    </row>
    <row r="81" spans="1:88" ht="14.25" customHeight="1">
      <c r="A81" s="7"/>
      <c r="B81" s="23"/>
      <c r="C81" s="24"/>
      <c r="D81" s="25"/>
      <c r="E81" s="25"/>
      <c r="F81" s="25"/>
      <c r="G81" s="26"/>
      <c r="H81" s="25"/>
      <c r="I81" s="25"/>
      <c r="J81" s="25"/>
      <c r="K81" s="26"/>
      <c r="L81" s="25"/>
      <c r="M81" s="25"/>
      <c r="N81" s="25"/>
      <c r="O81" s="26"/>
      <c r="P81" s="25"/>
      <c r="Q81" s="25"/>
      <c r="R81" s="25"/>
      <c r="S81" s="26"/>
      <c r="T81" s="25"/>
      <c r="U81" s="25"/>
      <c r="V81" s="25"/>
      <c r="W81" s="26"/>
      <c r="X81" s="25"/>
      <c r="Y81" s="25"/>
      <c r="Z81" s="25"/>
      <c r="AA81" s="26"/>
      <c r="AB81" s="25"/>
      <c r="AC81" s="25"/>
      <c r="AD81" s="25"/>
      <c r="AE81" s="26"/>
      <c r="AF81" s="25"/>
      <c r="AG81" s="27"/>
      <c r="AH81" s="27"/>
      <c r="AI81" s="27"/>
      <c r="AJ81" s="29"/>
      <c r="AK81" s="27"/>
      <c r="AL81" s="27"/>
      <c r="AM81" s="27"/>
      <c r="AN81" s="29"/>
      <c r="AO81" s="27"/>
      <c r="AP81" s="27"/>
      <c r="AQ81" s="27"/>
      <c r="AR81" s="29"/>
      <c r="AS81" s="27"/>
      <c r="AT81" s="27"/>
      <c r="AU81" s="28"/>
      <c r="AV81" s="29"/>
      <c r="AW81" s="27"/>
      <c r="AX81" s="27"/>
      <c r="AY81" s="28"/>
      <c r="AZ81" s="29"/>
      <c r="BA81" s="27"/>
      <c r="BB81" s="27"/>
      <c r="BC81" s="28"/>
      <c r="BD81" s="29"/>
      <c r="BE81" s="27"/>
      <c r="BF81" s="27"/>
      <c r="BG81" s="1639"/>
      <c r="BH81" s="1914"/>
      <c r="BI81" s="27"/>
      <c r="BJ81" s="27"/>
      <c r="BK81" s="1639"/>
      <c r="BL81" s="244"/>
      <c r="BM81" s="27"/>
      <c r="BN81" s="27"/>
      <c r="BO81" s="27"/>
      <c r="BP81" s="27"/>
      <c r="BQ81" s="27"/>
      <c r="BR81" s="27"/>
      <c r="BS81" s="27"/>
      <c r="BT81" s="27"/>
      <c r="BU81" s="27"/>
      <c r="BV81" s="27"/>
      <c r="BW81" s="27"/>
      <c r="BX81" s="27"/>
      <c r="BY81" s="27"/>
      <c r="BZ81" s="27"/>
      <c r="CA81" s="27"/>
      <c r="CB81" s="2075"/>
      <c r="CC81" s="2191"/>
      <c r="CD81" s="13"/>
    </row>
    <row r="82" spans="1:88" ht="14.25" hidden="1" customHeight="1" outlineLevel="1">
      <c r="A82" s="7"/>
      <c r="B82" s="101" t="s">
        <v>432</v>
      </c>
      <c r="C82" s="24"/>
      <c r="D82" s="25">
        <v>0</v>
      </c>
      <c r="E82" s="25">
        <v>0</v>
      </c>
      <c r="F82" s="25">
        <v>0</v>
      </c>
      <c r="G82" s="26">
        <v>0</v>
      </c>
      <c r="H82" s="25">
        <v>0</v>
      </c>
      <c r="I82" s="25">
        <v>0</v>
      </c>
      <c r="J82" s="25">
        <v>0</v>
      </c>
      <c r="K82" s="26">
        <v>0</v>
      </c>
      <c r="L82" s="25">
        <v>0</v>
      </c>
      <c r="M82" s="25">
        <v>0</v>
      </c>
      <c r="N82" s="25">
        <v>0</v>
      </c>
      <c r="O82" s="26">
        <v>0</v>
      </c>
      <c r="P82" s="25">
        <v>0</v>
      </c>
      <c r="Q82" s="25">
        <v>0</v>
      </c>
      <c r="R82" s="25">
        <v>0</v>
      </c>
      <c r="S82" s="26">
        <v>0</v>
      </c>
      <c r="T82" s="25">
        <v>114</v>
      </c>
      <c r="U82" s="25">
        <v>0</v>
      </c>
      <c r="V82" s="25">
        <v>0</v>
      </c>
      <c r="W82" s="26">
        <v>0</v>
      </c>
      <c r="X82" s="25">
        <v>0</v>
      </c>
      <c r="Y82" s="25">
        <v>0</v>
      </c>
      <c r="Z82" s="25">
        <v>0</v>
      </c>
      <c r="AA82" s="26">
        <v>47</v>
      </c>
      <c r="AB82" s="25">
        <v>0</v>
      </c>
      <c r="AC82" s="25">
        <v>0</v>
      </c>
      <c r="AD82" s="25">
        <v>0</v>
      </c>
      <c r="AE82" s="26">
        <v>0</v>
      </c>
      <c r="AF82" s="25">
        <v>-36</v>
      </c>
      <c r="AG82" s="25">
        <v>0</v>
      </c>
      <c r="AH82" s="27">
        <f>IF(AH75&lt;0,(AH16+AH32+AH42)*0%,(AH16+AH32+AH42)*AH80)</f>
        <v>0</v>
      </c>
      <c r="AI82" s="27">
        <f>IF(AI75&lt;0,(AI16+AI32+AI42)*0%,(AI16+AI32+AI42)*AI80)</f>
        <v>0</v>
      </c>
      <c r="AJ82" s="29">
        <f>IF(AJ75&lt;0,(AJ16+AJ32+AJ42)*0%,(AJ16+AJ32+AJ42)*AJ80)</f>
        <v>0</v>
      </c>
      <c r="AK82" s="25">
        <v>0</v>
      </c>
      <c r="AL82" s="27">
        <f t="shared" ref="AL82:AV82" si="384">IF(AL75&lt;0,(AL16+AL32+AL42)*0%,(AL16+AL32+AL42)*AL80)</f>
        <v>0</v>
      </c>
      <c r="AM82" s="1639">
        <f t="shared" si="384"/>
        <v>0</v>
      </c>
      <c r="AN82" s="27">
        <f t="shared" si="384"/>
        <v>0</v>
      </c>
      <c r="AO82" s="25">
        <f t="shared" si="384"/>
        <v>0</v>
      </c>
      <c r="AP82" s="27">
        <f t="shared" si="384"/>
        <v>0</v>
      </c>
      <c r="AQ82" s="27">
        <f t="shared" si="384"/>
        <v>0</v>
      </c>
      <c r="AR82" s="29">
        <f t="shared" si="384"/>
        <v>0</v>
      </c>
      <c r="AS82" s="25">
        <f t="shared" si="384"/>
        <v>0</v>
      </c>
      <c r="AT82" s="27">
        <f t="shared" si="384"/>
        <v>0</v>
      </c>
      <c r="AU82" s="28">
        <f t="shared" si="384"/>
        <v>0</v>
      </c>
      <c r="AV82" s="29">
        <f t="shared" si="384"/>
        <v>0</v>
      </c>
      <c r="AW82" s="25">
        <v>27</v>
      </c>
      <c r="AX82" s="25">
        <f>-1</f>
        <v>-1</v>
      </c>
      <c r="AY82" s="28">
        <f t="shared" ref="AY82:AZ82" si="385">IF(AY75&lt;0,(AY16+AY32+AY42)*0%,(AY16+AY32+AY42)*AY80)</f>
        <v>0</v>
      </c>
      <c r="AZ82" s="29">
        <f t="shared" si="385"/>
        <v>0</v>
      </c>
      <c r="BA82" s="25">
        <v>0</v>
      </c>
      <c r="BB82" s="25">
        <v>0</v>
      </c>
      <c r="BC82" s="28">
        <f t="shared" ref="BC82:BD82" si="386">IF(BC75&lt;0,(BC16+BC32+BC42)*0%,(BC16+BC32+BC42)*BC80)</f>
        <v>0</v>
      </c>
      <c r="BD82" s="29">
        <f t="shared" si="386"/>
        <v>0</v>
      </c>
      <c r="BE82" s="27">
        <f t="shared" ref="BE82:BG82" si="387">IF(BE75&lt;0,(BE16+BE32+BE42)*0%,(BE16+BE32+BE42)*BE80)</f>
        <v>0</v>
      </c>
      <c r="BF82" s="27">
        <f t="shared" si="387"/>
        <v>0</v>
      </c>
      <c r="BG82" s="1639">
        <f t="shared" si="387"/>
        <v>0</v>
      </c>
      <c r="BH82" s="1914">
        <f t="shared" ref="BH82:BK82" si="388">IF(BH75&lt;0,(BH16+BH32+BH42)*0%,(BH16+BH32+BH42)*BH80)</f>
        <v>0</v>
      </c>
      <c r="BI82" s="27">
        <f t="shared" si="388"/>
        <v>0</v>
      </c>
      <c r="BJ82" s="27">
        <f t="shared" si="388"/>
        <v>0</v>
      </c>
      <c r="BK82" s="1639">
        <f t="shared" si="388"/>
        <v>0</v>
      </c>
      <c r="BL82" s="244"/>
      <c r="BM82" s="27">
        <f>SUM(D82:G82)</f>
        <v>0</v>
      </c>
      <c r="BN82" s="27">
        <f>SUM(H82:K82)</f>
        <v>0</v>
      </c>
      <c r="BO82" s="27">
        <f>SUM(L82:O82)</f>
        <v>0</v>
      </c>
      <c r="BP82" s="27">
        <f>SUM(P82:S82)</f>
        <v>0</v>
      </c>
      <c r="BQ82" s="27">
        <f>SUM(T82:W82)</f>
        <v>114</v>
      </c>
      <c r="BR82" s="27">
        <f>SUM(X82:AA82)</f>
        <v>47</v>
      </c>
      <c r="BS82" s="27">
        <f>SUM(AB82:AE82)</f>
        <v>0</v>
      </c>
      <c r="BT82" s="27">
        <f>SUM(AF82:AI82)</f>
        <v>-36</v>
      </c>
      <c r="BU82" s="27">
        <f>SUM(AJ82:AM82)</f>
        <v>0</v>
      </c>
      <c r="BV82" s="27">
        <f>SUM(AN82:AQ82)</f>
        <v>0</v>
      </c>
      <c r="BW82" s="27">
        <f>+SUM(AR82:AU82)</f>
        <v>0</v>
      </c>
      <c r="BX82" s="27">
        <f t="shared" ref="BX82" si="389">+SUM(AV82:AY82)</f>
        <v>26</v>
      </c>
      <c r="BY82" s="1491">
        <f t="shared" ref="BY82" si="390">SUM(AZ82:BC82)</f>
        <v>0</v>
      </c>
      <c r="BZ82" s="1491">
        <f>SUM(BD82:BG82)</f>
        <v>0</v>
      </c>
      <c r="CA82" s="1491">
        <f>SUM(BH82:BK82)</f>
        <v>0</v>
      </c>
      <c r="CB82" s="2075">
        <f>CA82</f>
        <v>0</v>
      </c>
      <c r="CC82" s="2191"/>
      <c r="CD82" s="13"/>
    </row>
    <row r="83" spans="1:88" ht="14.25" hidden="1" customHeight="1" outlineLevel="1">
      <c r="A83" s="7"/>
      <c r="B83" s="416" t="s">
        <v>620</v>
      </c>
      <c r="C83" s="24"/>
      <c r="D83" s="25"/>
      <c r="E83" s="25"/>
      <c r="F83" s="25"/>
      <c r="G83" s="26"/>
      <c r="H83" s="25"/>
      <c r="I83" s="25"/>
      <c r="J83" s="25"/>
      <c r="K83" s="26"/>
      <c r="L83" s="25"/>
      <c r="M83" s="25"/>
      <c r="N83" s="25"/>
      <c r="O83" s="26"/>
      <c r="P83" s="25"/>
      <c r="Q83" s="25"/>
      <c r="R83" s="25"/>
      <c r="S83" s="26"/>
      <c r="T83" s="25"/>
      <c r="U83" s="25"/>
      <c r="V83" s="25"/>
      <c r="W83" s="26"/>
      <c r="X83" s="25"/>
      <c r="Y83" s="25"/>
      <c r="Z83" s="25"/>
      <c r="AA83" s="26"/>
      <c r="AB83" s="25"/>
      <c r="AC83" s="25"/>
      <c r="AD83" s="25"/>
      <c r="AE83" s="26"/>
      <c r="AF83" s="25"/>
      <c r="AG83" s="25"/>
      <c r="AH83" s="27"/>
      <c r="AI83" s="27"/>
      <c r="AJ83" s="29"/>
      <c r="AK83" s="25"/>
      <c r="AL83" s="27">
        <f t="shared" ref="AL83:AV83" si="391">AL79-AL82</f>
        <v>3</v>
      </c>
      <c r="AM83" s="1639">
        <f t="shared" si="391"/>
        <v>1</v>
      </c>
      <c r="AN83" s="27">
        <f t="shared" si="391"/>
        <v>2</v>
      </c>
      <c r="AO83" s="27">
        <f t="shared" si="391"/>
        <v>4</v>
      </c>
      <c r="AP83" s="27">
        <f t="shared" si="391"/>
        <v>2</v>
      </c>
      <c r="AQ83" s="27">
        <f t="shared" si="391"/>
        <v>-3</v>
      </c>
      <c r="AR83" s="29">
        <f t="shared" si="391"/>
        <v>3</v>
      </c>
      <c r="AS83" s="27">
        <f t="shared" si="391"/>
        <v>1</v>
      </c>
      <c r="AT83" s="27">
        <f t="shared" si="391"/>
        <v>0</v>
      </c>
      <c r="AU83" s="28">
        <f t="shared" si="391"/>
        <v>10</v>
      </c>
      <c r="AV83" s="29">
        <f t="shared" si="391"/>
        <v>1</v>
      </c>
      <c r="AW83" s="1491">
        <f>AW79-AW82</f>
        <v>2</v>
      </c>
      <c r="AX83" s="27">
        <f>AX79-AX82</f>
        <v>5</v>
      </c>
      <c r="AY83" s="28">
        <f t="shared" ref="AY83:AZ83" si="392">AY79-AY82</f>
        <v>5</v>
      </c>
      <c r="AZ83" s="29">
        <f t="shared" si="392"/>
        <v>5</v>
      </c>
      <c r="BA83" s="1491">
        <f>BA79-BA82</f>
        <v>3</v>
      </c>
      <c r="BB83" s="1491">
        <f>BB79-BB82</f>
        <v>19</v>
      </c>
      <c r="BC83" s="28">
        <f t="shared" ref="BC83:BD83" si="393">BC79-BC82</f>
        <v>-8</v>
      </c>
      <c r="BD83" s="29">
        <f t="shared" si="393"/>
        <v>8</v>
      </c>
      <c r="BE83" s="27">
        <f t="shared" ref="BE83:BK83" si="394">BE76*BE84</f>
        <v>15.830728428276799</v>
      </c>
      <c r="BF83" s="27">
        <f t="shared" si="394"/>
        <v>15.39857467890465</v>
      </c>
      <c r="BG83" s="1639">
        <f t="shared" si="394"/>
        <v>11.012931246127163</v>
      </c>
      <c r="BH83" s="1914">
        <f t="shared" si="394"/>
        <v>7.7936937830208066</v>
      </c>
      <c r="BI83" s="27">
        <f t="shared" si="394"/>
        <v>12.222967014559366</v>
      </c>
      <c r="BJ83" s="27">
        <f t="shared" si="394"/>
        <v>14.902919298874711</v>
      </c>
      <c r="BK83" s="1639">
        <f t="shared" si="394"/>
        <v>13.983375534561944</v>
      </c>
      <c r="BL83" s="244"/>
      <c r="BM83" s="27">
        <f t="shared" ref="BM83" si="395">BM79-BM82</f>
        <v>-7</v>
      </c>
      <c r="BN83" s="27">
        <f t="shared" ref="BN83" si="396">BN79-BN82</f>
        <v>23</v>
      </c>
      <c r="BO83" s="27">
        <f t="shared" ref="BO83" si="397">BO79-BO82</f>
        <v>23</v>
      </c>
      <c r="BP83" s="27">
        <f t="shared" ref="BP83" si="398">BP79-BP82</f>
        <v>68</v>
      </c>
      <c r="BQ83" s="27">
        <f t="shared" ref="BQ83" si="399">BQ79-BQ82</f>
        <v>-2</v>
      </c>
      <c r="BR83" s="27">
        <f t="shared" ref="BR83" si="400">BR79-BR82</f>
        <v>-9</v>
      </c>
      <c r="BS83" s="27">
        <f t="shared" ref="BS83" si="401">BS79-BS82</f>
        <v>-4</v>
      </c>
      <c r="BT83" s="27">
        <f t="shared" ref="BT83" si="402">BT79-BT82</f>
        <v>2</v>
      </c>
      <c r="BU83" s="27">
        <f t="shared" ref="BU83:BX83" si="403">BU79-BU82</f>
        <v>9</v>
      </c>
      <c r="BV83" s="27">
        <f t="shared" si="403"/>
        <v>5</v>
      </c>
      <c r="BW83" s="27">
        <f t="shared" si="403"/>
        <v>14</v>
      </c>
      <c r="BX83" s="27">
        <f t="shared" si="403"/>
        <v>13</v>
      </c>
      <c r="BY83" s="1491">
        <f t="shared" ref="BY83" si="404">BY79-BY82</f>
        <v>19</v>
      </c>
      <c r="BZ83" s="1491">
        <f>SUM(BD83:BG83)</f>
        <v>50.242234353308618</v>
      </c>
      <c r="CA83" s="1491">
        <f>SUM(BH83:BK83)</f>
        <v>48.902955631016823</v>
      </c>
      <c r="CB83" s="2075">
        <f>CB84*CB76</f>
        <v>48.902955631016731</v>
      </c>
      <c r="CC83" s="2191"/>
      <c r="CD83" s="13"/>
    </row>
    <row r="84" spans="1:88" ht="14.25" hidden="1" customHeight="1" outlineLevel="1">
      <c r="A84" s="7"/>
      <c r="B84" s="30" t="s">
        <v>621</v>
      </c>
      <c r="C84" s="24"/>
      <c r="D84" s="25"/>
      <c r="E84" s="25"/>
      <c r="F84" s="25"/>
      <c r="G84" s="26"/>
      <c r="H84" s="25"/>
      <c r="I84" s="25"/>
      <c r="J84" s="25"/>
      <c r="K84" s="26"/>
      <c r="L84" s="25"/>
      <c r="M84" s="25"/>
      <c r="N84" s="25"/>
      <c r="O84" s="26"/>
      <c r="P84" s="25"/>
      <c r="Q84" s="25"/>
      <c r="R84" s="25"/>
      <c r="S84" s="26"/>
      <c r="T84" s="25"/>
      <c r="U84" s="25"/>
      <c r="V84" s="25"/>
      <c r="W84" s="26"/>
      <c r="X84" s="25"/>
      <c r="Y84" s="25"/>
      <c r="Z84" s="25"/>
      <c r="AA84" s="26"/>
      <c r="AB84" s="25"/>
      <c r="AC84" s="25"/>
      <c r="AD84" s="25"/>
      <c r="AE84" s="26"/>
      <c r="AF84" s="25"/>
      <c r="AG84" s="25"/>
      <c r="AH84" s="27"/>
      <c r="AI84" s="27"/>
      <c r="AJ84" s="29"/>
      <c r="AK84" s="25"/>
      <c r="AL84" s="27"/>
      <c r="AM84" s="1639"/>
      <c r="AN84" s="27"/>
      <c r="AO84" s="25"/>
      <c r="AP84" s="27"/>
      <c r="AQ84" s="27"/>
      <c r="AR84" s="29">
        <f t="shared" ref="AR84:AV84" si="405">AR83/AR76</f>
        <v>-4.2857142857142858E-2</v>
      </c>
      <c r="AS84" s="27">
        <f t="shared" si="405"/>
        <v>-7.6923076923076927E-3</v>
      </c>
      <c r="AT84" s="27">
        <f t="shared" si="405"/>
        <v>0</v>
      </c>
      <c r="AU84" s="28">
        <f t="shared" si="405"/>
        <v>-0.14492753623188406</v>
      </c>
      <c r="AV84" s="29">
        <f t="shared" si="405"/>
        <v>-1.0526315789473684E-2</v>
      </c>
      <c r="AW84" s="27">
        <f>AW83/AW76</f>
        <v>-5.2631578947368418E-2</v>
      </c>
      <c r="AX84" s="27">
        <f t="shared" ref="AX84" si="406">AX83/AX76</f>
        <v>0.15625</v>
      </c>
      <c r="AY84" s="28">
        <f t="shared" ref="AY84:AZ84" si="407">AY83/AY76</f>
        <v>-5</v>
      </c>
      <c r="AZ84" s="29">
        <f t="shared" si="407"/>
        <v>-0.16129032258064516</v>
      </c>
      <c r="BA84" s="27">
        <f>BA83/BA76</f>
        <v>0.13636363636363635</v>
      </c>
      <c r="BB84" s="27">
        <f>BB83/BB76</f>
        <v>0.14728682170542637</v>
      </c>
      <c r="BC84" s="28">
        <f t="shared" ref="BC84:BD84" si="408">BC83/BC76</f>
        <v>-0.1</v>
      </c>
      <c r="BD84" s="29">
        <f t="shared" si="408"/>
        <v>6.1538461538461542E-2</v>
      </c>
      <c r="BE84" s="1866">
        <v>0.1</v>
      </c>
      <c r="BF84" s="1866">
        <v>0.1</v>
      </c>
      <c r="BG84" s="1866">
        <v>0.1</v>
      </c>
      <c r="BH84" s="2021">
        <v>0.1</v>
      </c>
      <c r="BI84" s="1866">
        <v>0.1</v>
      </c>
      <c r="BJ84" s="1866">
        <v>0.1</v>
      </c>
      <c r="BK84" s="1867">
        <v>0.1</v>
      </c>
      <c r="BL84" s="244"/>
      <c r="BM84" s="27">
        <f t="shared" ref="BM84" si="409">BM83/BM76</f>
        <v>-4.4303797468354431E-2</v>
      </c>
      <c r="BN84" s="27">
        <f t="shared" ref="BN84" si="410">BN83/BN76</f>
        <v>5.4548645533414569E-2</v>
      </c>
      <c r="BO84" s="27">
        <f t="shared" ref="BO84" si="411">BO83/BO76</f>
        <v>-1.6265912305516265E-2</v>
      </c>
      <c r="BP84" s="27">
        <f t="shared" ref="BP84" si="412">BP83/BP76</f>
        <v>-5.7383966244725741E-2</v>
      </c>
      <c r="BQ84" s="27">
        <f t="shared" ref="BQ84" si="413">BQ83/BQ76</f>
        <v>2.304147465437788E-3</v>
      </c>
      <c r="BR84" s="27">
        <f t="shared" ref="BR84" si="414">BR83/BR76</f>
        <v>-4.2056074766355138E-2</v>
      </c>
      <c r="BS84" s="27">
        <f t="shared" ref="BS84" si="415">BS83/BS76</f>
        <v>-6.1823802163833074E-3</v>
      </c>
      <c r="BT84" s="27">
        <f t="shared" ref="BT84" si="416">BT83/BT76</f>
        <v>-9.0909090909090912E-2</v>
      </c>
      <c r="BU84" s="27">
        <f t="shared" ref="BU84:BX84" si="417">BU83/BU76</f>
        <v>-0.12162162162162163</v>
      </c>
      <c r="BV84" s="27">
        <f t="shared" si="417"/>
        <v>6.9444444444444448E-2</v>
      </c>
      <c r="BW84" s="27">
        <f t="shared" si="417"/>
        <v>-3.4567901234567898E-2</v>
      </c>
      <c r="BX84" s="27">
        <f t="shared" si="417"/>
        <v>0.27083333333333331</v>
      </c>
      <c r="BY84" s="1491">
        <f t="shared" ref="BY84:BZ84" si="418">BY83/BY76</f>
        <v>9.5000000000000001E-2</v>
      </c>
      <c r="BZ84" s="1491">
        <f t="shared" si="418"/>
        <v>9.0948954077378741E-2</v>
      </c>
      <c r="CA84" s="1491">
        <f t="shared" ref="CA84" si="419">CA83/CA76</f>
        <v>9.9999999999999853E-2</v>
      </c>
      <c r="CB84" s="1862">
        <f>CA84</f>
        <v>9.9999999999999853E-2</v>
      </c>
      <c r="CC84" s="2191"/>
      <c r="CD84" s="13"/>
    </row>
    <row r="85" spans="1:88" s="423" customFormat="1" ht="14.25" hidden="1" customHeight="1" outlineLevel="1">
      <c r="A85" s="415"/>
      <c r="B85" s="416" t="s">
        <v>9</v>
      </c>
      <c r="C85" s="417"/>
      <c r="D85" s="485">
        <f>D79-D82</f>
        <v>-1.6519999999999999</v>
      </c>
      <c r="E85" s="485">
        <f t="shared" ref="E85:AM85" si="420">E79-E82</f>
        <v>-3.1</v>
      </c>
      <c r="F85" s="485">
        <f t="shared" si="420"/>
        <v>-0.60599999999999998</v>
      </c>
      <c r="G85" s="487">
        <f t="shared" si="420"/>
        <v>-1.6420000000000003</v>
      </c>
      <c r="H85" s="485">
        <f t="shared" si="420"/>
        <v>35.273000000000003</v>
      </c>
      <c r="I85" s="485">
        <f t="shared" si="420"/>
        <v>18.300999999999998</v>
      </c>
      <c r="J85" s="485">
        <f t="shared" si="420"/>
        <v>-20.852</v>
      </c>
      <c r="K85" s="487">
        <f t="shared" si="420"/>
        <v>-9.7219999999999942</v>
      </c>
      <c r="L85" s="485">
        <f t="shared" si="420"/>
        <v>23</v>
      </c>
      <c r="M85" s="485">
        <f t="shared" si="420"/>
        <v>32</v>
      </c>
      <c r="N85" s="485">
        <f t="shared" si="420"/>
        <v>27</v>
      </c>
      <c r="O85" s="487">
        <f t="shared" si="420"/>
        <v>-59</v>
      </c>
      <c r="P85" s="485">
        <f t="shared" si="420"/>
        <v>0</v>
      </c>
      <c r="Q85" s="485">
        <f t="shared" si="420"/>
        <v>0</v>
      </c>
      <c r="R85" s="485">
        <f t="shared" si="420"/>
        <v>-1</v>
      </c>
      <c r="S85" s="487">
        <f t="shared" si="420"/>
        <v>69</v>
      </c>
      <c r="T85" s="485">
        <f t="shared" si="420"/>
        <v>2</v>
      </c>
      <c r="U85" s="485">
        <f t="shared" si="420"/>
        <v>-10</v>
      </c>
      <c r="V85" s="485">
        <f t="shared" si="420"/>
        <v>-5</v>
      </c>
      <c r="W85" s="487">
        <f t="shared" si="420"/>
        <v>11</v>
      </c>
      <c r="X85" s="485">
        <f t="shared" si="420"/>
        <v>0</v>
      </c>
      <c r="Y85" s="485">
        <f t="shared" si="420"/>
        <v>-5</v>
      </c>
      <c r="Z85" s="485">
        <f t="shared" si="420"/>
        <v>1</v>
      </c>
      <c r="AA85" s="487">
        <f t="shared" si="420"/>
        <v>-5</v>
      </c>
      <c r="AB85" s="485">
        <f t="shared" si="420"/>
        <v>2</v>
      </c>
      <c r="AC85" s="485">
        <f t="shared" si="420"/>
        <v>3</v>
      </c>
      <c r="AD85" s="485">
        <f t="shared" si="420"/>
        <v>-5</v>
      </c>
      <c r="AE85" s="487">
        <f t="shared" si="420"/>
        <v>-4</v>
      </c>
      <c r="AF85" s="485">
        <f t="shared" si="420"/>
        <v>4</v>
      </c>
      <c r="AG85" s="485">
        <f t="shared" si="420"/>
        <v>-6</v>
      </c>
      <c r="AH85" s="485">
        <f t="shared" si="420"/>
        <v>0</v>
      </c>
      <c r="AI85" s="485">
        <f t="shared" si="420"/>
        <v>4</v>
      </c>
      <c r="AJ85" s="488">
        <f t="shared" si="420"/>
        <v>2</v>
      </c>
      <c r="AK85" s="485">
        <f t="shared" si="420"/>
        <v>3</v>
      </c>
      <c r="AL85" s="485">
        <f t="shared" si="420"/>
        <v>3</v>
      </c>
      <c r="AM85" s="485">
        <f t="shared" si="420"/>
        <v>1</v>
      </c>
      <c r="AN85" s="488">
        <f t="shared" ref="AN85:AU85" si="421">AN79-AN82</f>
        <v>2</v>
      </c>
      <c r="AO85" s="485">
        <f t="shared" si="421"/>
        <v>4</v>
      </c>
      <c r="AP85" s="485">
        <f t="shared" si="421"/>
        <v>2</v>
      </c>
      <c r="AQ85" s="485">
        <f t="shared" si="421"/>
        <v>-3</v>
      </c>
      <c r="AR85" s="488">
        <f t="shared" si="421"/>
        <v>3</v>
      </c>
      <c r="AS85" s="485">
        <f t="shared" si="421"/>
        <v>1</v>
      </c>
      <c r="AT85" s="485">
        <f t="shared" si="421"/>
        <v>0</v>
      </c>
      <c r="AU85" s="487">
        <f t="shared" si="421"/>
        <v>10</v>
      </c>
      <c r="AV85" s="488">
        <f t="shared" ref="AV85" si="422">AV79-AV82</f>
        <v>1</v>
      </c>
      <c r="AW85" s="485">
        <f>AW79-AW82</f>
        <v>2</v>
      </c>
      <c r="AX85" s="485">
        <f t="shared" ref="AX85" si="423">AX79-AX82</f>
        <v>5</v>
      </c>
      <c r="AY85" s="487">
        <f t="shared" ref="AY85:AZ85" si="424">AY79-AY82</f>
        <v>5</v>
      </c>
      <c r="AZ85" s="488">
        <f t="shared" si="424"/>
        <v>5</v>
      </c>
      <c r="BA85" s="485">
        <f>BA79-BA82</f>
        <v>3</v>
      </c>
      <c r="BB85" s="485">
        <f>BB79-BB82</f>
        <v>19</v>
      </c>
      <c r="BC85" s="487">
        <f t="shared" ref="BC85:BD85" si="425">BC79-BC82</f>
        <v>-8</v>
      </c>
      <c r="BD85" s="488">
        <f t="shared" si="425"/>
        <v>8</v>
      </c>
      <c r="BE85" s="485">
        <f t="shared" ref="BE85:BG85" si="426">BE79-BE82</f>
        <v>12.930728428276801</v>
      </c>
      <c r="BF85" s="485">
        <f t="shared" si="426"/>
        <v>12.498574678904651</v>
      </c>
      <c r="BG85" s="1647">
        <f t="shared" si="426"/>
        <v>8.1129312461271628</v>
      </c>
      <c r="BH85" s="1915">
        <f t="shared" ref="BH85:BK85" si="427">BH79-BH82</f>
        <v>4.8936937830208072</v>
      </c>
      <c r="BI85" s="485">
        <f t="shared" si="427"/>
        <v>9.3229670145593655</v>
      </c>
      <c r="BJ85" s="485">
        <f t="shared" si="427"/>
        <v>12.002919298874712</v>
      </c>
      <c r="BK85" s="1647">
        <f t="shared" si="427"/>
        <v>11.083375534561945</v>
      </c>
      <c r="BL85" s="575"/>
      <c r="BM85" s="485">
        <f>BM79-BM82</f>
        <v>-7</v>
      </c>
      <c r="BN85" s="485">
        <f t="shared" ref="BN85:BY85" si="428">BN79-BN82</f>
        <v>23</v>
      </c>
      <c r="BO85" s="485">
        <f t="shared" si="428"/>
        <v>23</v>
      </c>
      <c r="BP85" s="485">
        <f t="shared" si="428"/>
        <v>68</v>
      </c>
      <c r="BQ85" s="485">
        <f t="shared" si="428"/>
        <v>-2</v>
      </c>
      <c r="BR85" s="485">
        <f t="shared" si="428"/>
        <v>-9</v>
      </c>
      <c r="BS85" s="485">
        <f t="shared" si="428"/>
        <v>-4</v>
      </c>
      <c r="BT85" s="485">
        <f t="shared" si="428"/>
        <v>2</v>
      </c>
      <c r="BU85" s="485">
        <f t="shared" si="428"/>
        <v>9</v>
      </c>
      <c r="BV85" s="485">
        <f t="shared" ref="BV85:BX85" si="429">BV79-BV82</f>
        <v>5</v>
      </c>
      <c r="BW85" s="485">
        <f t="shared" si="429"/>
        <v>14</v>
      </c>
      <c r="BX85" s="485">
        <f t="shared" si="429"/>
        <v>13</v>
      </c>
      <c r="BY85" s="485">
        <f t="shared" si="428"/>
        <v>19</v>
      </c>
      <c r="BZ85" s="485">
        <f t="shared" ref="BZ85:CB85" si="430">BZ79-BZ82</f>
        <v>41.542234353308615</v>
      </c>
      <c r="CA85" s="485">
        <f t="shared" si="430"/>
        <v>37.302955631016829</v>
      </c>
      <c r="CB85" s="2080">
        <f t="shared" si="430"/>
        <v>37.302955631016829</v>
      </c>
      <c r="CC85" s="2191"/>
      <c r="CD85" s="440"/>
      <c r="CE85"/>
      <c r="CF85"/>
      <c r="CG85"/>
      <c r="CH85"/>
      <c r="CI85"/>
      <c r="CJ85"/>
    </row>
    <row r="86" spans="1:88" ht="14.25" hidden="1" customHeight="1" outlineLevel="1">
      <c r="A86" s="7"/>
      <c r="B86" s="30" t="s">
        <v>10</v>
      </c>
      <c r="C86" s="31"/>
      <c r="D86" s="32">
        <f t="shared" ref="D86:AU86" si="431">D85/D77</f>
        <v>8.6605504587155782E-2</v>
      </c>
      <c r="E86" s="32">
        <f t="shared" si="431"/>
        <v>-0.37717483878817776</v>
      </c>
      <c r="F86" s="32">
        <f t="shared" si="431"/>
        <v>-8.0377748892484623E-3</v>
      </c>
      <c r="G86" s="33">
        <f t="shared" si="431"/>
        <v>-1.7568637521131643E-2</v>
      </c>
      <c r="H86" s="32">
        <f t="shared" si="431"/>
        <v>0.15903280928055843</v>
      </c>
      <c r="I86" s="32">
        <f t="shared" si="431"/>
        <v>0.16767141862425322</v>
      </c>
      <c r="J86" s="32">
        <f t="shared" si="431"/>
        <v>-0.18093626621545375</v>
      </c>
      <c r="K86" s="33">
        <f t="shared" si="431"/>
        <v>0.39604041062408363</v>
      </c>
      <c r="L86" s="32">
        <f t="shared" si="431"/>
        <v>-4.8625792811839326E-2</v>
      </c>
      <c r="M86" s="32">
        <f t="shared" si="431"/>
        <v>-6.584362139917696E-2</v>
      </c>
      <c r="N86" s="32">
        <f t="shared" si="431"/>
        <v>-9.2150170648464161E-2</v>
      </c>
      <c r="O86" s="33">
        <f t="shared" si="431"/>
        <v>0.36419753086419754</v>
      </c>
      <c r="P86" s="32">
        <f t="shared" si="431"/>
        <v>0</v>
      </c>
      <c r="Q86" s="32">
        <f t="shared" si="431"/>
        <v>0</v>
      </c>
      <c r="R86" s="32">
        <f t="shared" si="431"/>
        <v>7.8125E-3</v>
      </c>
      <c r="S86" s="33">
        <f t="shared" si="431"/>
        <v>-0.19166666666666668</v>
      </c>
      <c r="T86" s="32">
        <f t="shared" si="431"/>
        <v>-6.2893081761006293E-3</v>
      </c>
      <c r="U86" s="32">
        <f t="shared" si="431"/>
        <v>2.247191011235955E-2</v>
      </c>
      <c r="V86" s="32">
        <f t="shared" si="431"/>
        <v>2.8248587570621469E-2</v>
      </c>
      <c r="W86" s="33">
        <f t="shared" si="431"/>
        <v>0.15277777777777779</v>
      </c>
      <c r="X86" s="32">
        <f t="shared" si="431"/>
        <v>0</v>
      </c>
      <c r="Y86" s="32">
        <f t="shared" si="431"/>
        <v>0.14285714285714285</v>
      </c>
      <c r="Z86" s="32">
        <f t="shared" si="431"/>
        <v>-9.9009900990099011E-3</v>
      </c>
      <c r="AA86" s="33">
        <f t="shared" si="431"/>
        <v>-3.4482758620689655E-2</v>
      </c>
      <c r="AB86" s="32">
        <f t="shared" si="431"/>
        <v>3.6363636363636364E-3</v>
      </c>
      <c r="AC86" s="32">
        <f t="shared" si="431"/>
        <v>4.1095890410958902E-2</v>
      </c>
      <c r="AD86" s="32">
        <f t="shared" si="431"/>
        <v>-0.05</v>
      </c>
      <c r="AE86" s="33">
        <f t="shared" si="431"/>
        <v>5.2631578947368418E-2</v>
      </c>
      <c r="AF86" s="32">
        <f t="shared" si="431"/>
        <v>4.4444444444444446E-2</v>
      </c>
      <c r="AG86" s="32">
        <f t="shared" si="431"/>
        <v>-0.15</v>
      </c>
      <c r="AH86" s="32">
        <f t="shared" si="431"/>
        <v>0</v>
      </c>
      <c r="AI86" s="32">
        <f t="shared" si="431"/>
        <v>-3.9215686274509803E-2</v>
      </c>
      <c r="AJ86" s="34">
        <f t="shared" si="431"/>
        <v>-2.1739130434782608E-2</v>
      </c>
      <c r="AK86" s="32">
        <f t="shared" si="431"/>
        <v>-4.8387096774193547E-2</v>
      </c>
      <c r="AL86" s="32">
        <f t="shared" si="431"/>
        <v>8.8235294117647065E-2</v>
      </c>
      <c r="AM86" s="32">
        <f t="shared" si="431"/>
        <v>2.1739130434782608E-2</v>
      </c>
      <c r="AN86" s="1852">
        <f t="shared" si="431"/>
        <v>2</v>
      </c>
      <c r="AO86" s="1850">
        <f t="shared" si="431"/>
        <v>0.19047619047619047</v>
      </c>
      <c r="AP86" s="32">
        <f t="shared" si="431"/>
        <v>9.0909090909090912E-2</v>
      </c>
      <c r="AQ86" s="32">
        <f t="shared" si="431"/>
        <v>3</v>
      </c>
      <c r="AR86" s="34">
        <f t="shared" si="431"/>
        <v>-3.4482758620689655E-2</v>
      </c>
      <c r="AS86" s="32">
        <f t="shared" si="431"/>
        <v>-6.8027210884353739E-3</v>
      </c>
      <c r="AT86" s="32">
        <f t="shared" si="431"/>
        <v>0</v>
      </c>
      <c r="AU86" s="33">
        <f t="shared" si="431"/>
        <v>-0.1388888888888889</v>
      </c>
      <c r="AV86" s="34">
        <f t="shared" ref="AV86:AY86" si="432">AV85/AV77</f>
        <v>-9.0090090090090089E-3</v>
      </c>
      <c r="AW86" s="32">
        <f t="shared" si="432"/>
        <v>2.1276595744680851E-2</v>
      </c>
      <c r="AX86" s="32">
        <f t="shared" si="432"/>
        <v>6.6666666666666666E-2</v>
      </c>
      <c r="AY86" s="33">
        <f t="shared" si="432"/>
        <v>-0.3125</v>
      </c>
      <c r="AZ86" s="1697">
        <f t="shared" ref="AZ86:BA86" si="433">AZ85/AZ77</f>
        <v>-0.11904761904761904</v>
      </c>
      <c r="BA86" s="1696">
        <f t="shared" si="433"/>
        <v>0.5</v>
      </c>
      <c r="BB86" s="1850">
        <f t="shared" ref="BB86:BD86" si="434">BB85/BB77</f>
        <v>0.17592592592592593</v>
      </c>
      <c r="BC86" s="33">
        <f t="shared" si="434"/>
        <v>-0.12307692307692308</v>
      </c>
      <c r="BD86" s="1852">
        <f t="shared" si="434"/>
        <v>7.5471698113207544E-2</v>
      </c>
      <c r="BE86" s="1850">
        <f t="shared" ref="BE86:BG86" si="435">BE85/BE77</f>
        <v>0.1</v>
      </c>
      <c r="BF86" s="1850">
        <f t="shared" si="435"/>
        <v>0.1</v>
      </c>
      <c r="BG86" s="1851">
        <f t="shared" si="435"/>
        <v>0.1</v>
      </c>
      <c r="BH86" s="1913">
        <f t="shared" ref="BH86:BK86" si="436">BH85/BH77</f>
        <v>0.1</v>
      </c>
      <c r="BI86" s="1850">
        <f t="shared" si="436"/>
        <v>9.9999999999999992E-2</v>
      </c>
      <c r="BJ86" s="1850">
        <f t="shared" si="436"/>
        <v>0.1</v>
      </c>
      <c r="BK86" s="1851">
        <f t="shared" si="436"/>
        <v>0.1</v>
      </c>
      <c r="BL86" s="244"/>
      <c r="BM86" s="32">
        <f t="shared" ref="BM86:BY86" si="437">BM85/BM77</f>
        <v>-4.4303797468354431E-2</v>
      </c>
      <c r="BN86" s="32">
        <f t="shared" si="437"/>
        <v>5.4548645533414625E-2</v>
      </c>
      <c r="BO86" s="32">
        <f t="shared" si="437"/>
        <v>-1.6265912305516265E-2</v>
      </c>
      <c r="BP86" s="32">
        <f t="shared" si="437"/>
        <v>-5.7383966244725741E-2</v>
      </c>
      <c r="BQ86" s="32">
        <f t="shared" si="437"/>
        <v>2.304147465437788E-3</v>
      </c>
      <c r="BR86" s="32">
        <f t="shared" si="437"/>
        <v>-4.2056074766355138E-2</v>
      </c>
      <c r="BS86" s="32">
        <f t="shared" si="437"/>
        <v>-6.1823802163833074E-3</v>
      </c>
      <c r="BT86" s="32">
        <f t="shared" si="437"/>
        <v>-9.0909090909090912E-2</v>
      </c>
      <c r="BU86" s="1850">
        <f t="shared" si="437"/>
        <v>-0.12162162162162163</v>
      </c>
      <c r="BV86" s="1850">
        <f t="shared" ref="BV86:BX86" si="438">BV85/BV77</f>
        <v>5.434782608695652E-2</v>
      </c>
      <c r="BW86" s="1850">
        <f t="shared" si="438"/>
        <v>-3.0769230769230771E-2</v>
      </c>
      <c r="BX86" s="1850">
        <f t="shared" si="438"/>
        <v>0.30952380952380953</v>
      </c>
      <c r="BY86" s="1850">
        <f t="shared" si="437"/>
        <v>0.13868613138686131</v>
      </c>
      <c r="BZ86" s="1850">
        <f t="shared" ref="BZ86:CB86" si="439">BZ85/BZ77</f>
        <v>9.4109949262672202E-2</v>
      </c>
      <c r="CA86" s="1850">
        <f t="shared" si="439"/>
        <v>0.10000000000000006</v>
      </c>
      <c r="CB86" s="1851">
        <f t="shared" si="439"/>
        <v>0.10000000000000006</v>
      </c>
      <c r="CC86" s="2191"/>
      <c r="CD86" s="13"/>
    </row>
    <row r="87" spans="1:88" ht="14.25" hidden="1" customHeight="1" outlineLevel="1">
      <c r="A87" s="7"/>
      <c r="B87" s="21"/>
      <c r="C87" s="22"/>
      <c r="D87" s="37"/>
      <c r="E87" s="37"/>
      <c r="F87" s="53"/>
      <c r="G87" s="38"/>
      <c r="H87" s="37"/>
      <c r="I87" s="37"/>
      <c r="J87" s="53"/>
      <c r="K87" s="38"/>
      <c r="L87" s="37"/>
      <c r="M87" s="37"/>
      <c r="N87" s="53"/>
      <c r="O87" s="38"/>
      <c r="P87" s="37"/>
      <c r="Q87" s="37"/>
      <c r="R87" s="53"/>
      <c r="S87" s="38"/>
      <c r="T87" s="37"/>
      <c r="U87" s="37"/>
      <c r="V87" s="53"/>
      <c r="W87" s="38"/>
      <c r="X87" s="37"/>
      <c r="Y87" s="37"/>
      <c r="Z87" s="53"/>
      <c r="AA87" s="38"/>
      <c r="AB87" s="37"/>
      <c r="AC87" s="37"/>
      <c r="AD87" s="53"/>
      <c r="AE87" s="38"/>
      <c r="AF87" s="37"/>
      <c r="AG87" s="37"/>
      <c r="AH87" s="37"/>
      <c r="AI87" s="53"/>
      <c r="AJ87" s="648"/>
      <c r="AK87" s="37"/>
      <c r="AL87" s="37"/>
      <c r="AM87" s="53"/>
      <c r="AN87" s="648"/>
      <c r="AO87" s="37"/>
      <c r="AP87" s="37"/>
      <c r="AQ87" s="53"/>
      <c r="AR87" s="648"/>
      <c r="AS87" s="37"/>
      <c r="AT87" s="37"/>
      <c r="AU87" s="54"/>
      <c r="AV87" s="648"/>
      <c r="AW87" s="37"/>
      <c r="AX87" s="37"/>
      <c r="AY87" s="54"/>
      <c r="AZ87" s="648"/>
      <c r="BA87" s="37"/>
      <c r="BB87" s="37"/>
      <c r="BC87" s="54"/>
      <c r="BD87" s="648"/>
      <c r="BE87" s="53"/>
      <c r="BF87" s="53"/>
      <c r="BG87" s="1648"/>
      <c r="BH87" s="2022"/>
      <c r="BI87" s="53"/>
      <c r="BJ87" s="53"/>
      <c r="BK87" s="1648"/>
      <c r="BL87" s="244"/>
      <c r="BM87" s="37"/>
      <c r="BN87" s="37"/>
      <c r="BO87" s="37"/>
      <c r="BP87" s="37"/>
      <c r="BQ87" s="37"/>
      <c r="BR87" s="37"/>
      <c r="BS87" s="37"/>
      <c r="BT87" s="37"/>
      <c r="BU87" s="37"/>
      <c r="BV87" s="37"/>
      <c r="BW87" s="37"/>
      <c r="BX87" s="37"/>
      <c r="BY87" s="37"/>
      <c r="BZ87" s="37"/>
      <c r="CA87" s="37"/>
      <c r="CB87" s="2081"/>
      <c r="CC87" s="2191"/>
      <c r="CD87" s="13"/>
    </row>
    <row r="88" spans="1:88" ht="14.25" customHeight="1" collapsed="1">
      <c r="A88" s="7"/>
      <c r="B88" s="42" t="s">
        <v>440</v>
      </c>
      <c r="C88" s="43"/>
      <c r="D88" s="45">
        <f t="shared" ref="D88:AU88" si="440">D75-D79</f>
        <v>-17.423000000000037</v>
      </c>
      <c r="E88" s="45">
        <f t="shared" si="440"/>
        <v>11.318999999999912</v>
      </c>
      <c r="F88" s="45">
        <f t="shared" si="440"/>
        <v>76.000000000000171</v>
      </c>
      <c r="G88" s="46">
        <f t="shared" si="440"/>
        <v>95.103999999999701</v>
      </c>
      <c r="H88" s="45">
        <f t="shared" si="440"/>
        <v>184.52399999999992</v>
      </c>
      <c r="I88" s="45">
        <f t="shared" si="440"/>
        <v>88.847000000000037</v>
      </c>
      <c r="J88" s="45">
        <f t="shared" si="440"/>
        <v>134.45500000000013</v>
      </c>
      <c r="K88" s="46">
        <f t="shared" si="440"/>
        <v>-573.82599999999991</v>
      </c>
      <c r="L88" s="45">
        <f t="shared" si="440"/>
        <v>-611</v>
      </c>
      <c r="M88" s="45">
        <f t="shared" si="440"/>
        <v>-600</v>
      </c>
      <c r="N88" s="45">
        <f t="shared" si="440"/>
        <v>-396</v>
      </c>
      <c r="O88" s="46">
        <f t="shared" si="440"/>
        <v>-1772</v>
      </c>
      <c r="P88" s="45">
        <f t="shared" si="440"/>
        <v>-321</v>
      </c>
      <c r="Q88" s="45">
        <f t="shared" si="440"/>
        <v>-694</v>
      </c>
      <c r="R88" s="45">
        <f t="shared" si="440"/>
        <v>23</v>
      </c>
      <c r="S88" s="46">
        <f t="shared" si="440"/>
        <v>-1420</v>
      </c>
      <c r="T88" s="45">
        <f t="shared" si="440"/>
        <v>-414</v>
      </c>
      <c r="U88" s="45">
        <f t="shared" si="440"/>
        <v>-335</v>
      </c>
      <c r="V88" s="45">
        <f t="shared" si="440"/>
        <v>-135</v>
      </c>
      <c r="W88" s="46">
        <f t="shared" si="440"/>
        <v>1180</v>
      </c>
      <c r="X88" s="45">
        <f t="shared" si="440"/>
        <v>257</v>
      </c>
      <c r="Y88" s="45">
        <f t="shared" si="440"/>
        <v>-43</v>
      </c>
      <c r="Z88" s="45">
        <f t="shared" si="440"/>
        <v>-118</v>
      </c>
      <c r="AA88" s="46">
        <f t="shared" si="440"/>
        <v>375</v>
      </c>
      <c r="AB88" s="45">
        <f t="shared" si="440"/>
        <v>510</v>
      </c>
      <c r="AC88" s="45">
        <f t="shared" si="440"/>
        <v>61</v>
      </c>
      <c r="AD88" s="45">
        <f t="shared" si="440"/>
        <v>97</v>
      </c>
      <c r="AE88" s="46">
        <f t="shared" si="440"/>
        <v>-173</v>
      </c>
      <c r="AF88" s="45">
        <f t="shared" si="440"/>
        <v>-590</v>
      </c>
      <c r="AG88" s="45">
        <f t="shared" si="440"/>
        <v>37</v>
      </c>
      <c r="AH88" s="45">
        <f t="shared" si="440"/>
        <v>-157</v>
      </c>
      <c r="AI88" s="46">
        <f t="shared" si="440"/>
        <v>-473</v>
      </c>
      <c r="AJ88" s="45">
        <f t="shared" si="440"/>
        <v>-146</v>
      </c>
      <c r="AK88" s="45">
        <f t="shared" si="440"/>
        <v>-74</v>
      </c>
      <c r="AL88" s="45">
        <f t="shared" si="440"/>
        <v>48</v>
      </c>
      <c r="AM88" s="46">
        <f t="shared" si="440"/>
        <v>89</v>
      </c>
      <c r="AN88" s="45">
        <f t="shared" si="440"/>
        <v>-20</v>
      </c>
      <c r="AO88" s="45">
        <f t="shared" si="440"/>
        <v>-36</v>
      </c>
      <c r="AP88" s="45">
        <f t="shared" si="440"/>
        <v>17</v>
      </c>
      <c r="AQ88" s="46">
        <f t="shared" si="440"/>
        <v>-364</v>
      </c>
      <c r="AR88" s="45">
        <f t="shared" si="440"/>
        <v>-180</v>
      </c>
      <c r="AS88" s="45">
        <f t="shared" si="440"/>
        <v>-181</v>
      </c>
      <c r="AT88" s="45">
        <f t="shared" si="440"/>
        <v>-197</v>
      </c>
      <c r="AU88" s="46">
        <f t="shared" si="440"/>
        <v>-102</v>
      </c>
      <c r="AV88" s="45">
        <f t="shared" ref="AV88:AY88" si="441">AV75-AV79</f>
        <v>-109</v>
      </c>
      <c r="AW88" s="45">
        <f>AW75-AW79</f>
        <v>72</v>
      </c>
      <c r="AX88" s="45">
        <f t="shared" ref="AX88" si="442">AX75-AX79</f>
        <v>-401</v>
      </c>
      <c r="AY88" s="46">
        <f t="shared" si="441"/>
        <v>-49</v>
      </c>
      <c r="AZ88" s="45">
        <f t="shared" ref="AZ88" si="443">AZ75-AZ79</f>
        <v>-71</v>
      </c>
      <c r="BA88" s="45">
        <f>BA75-BA79</f>
        <v>-13</v>
      </c>
      <c r="BB88" s="45">
        <f>BB75-BB79</f>
        <v>73</v>
      </c>
      <c r="BC88" s="46">
        <f t="shared" ref="BC88:BD88" si="444">BC75-BC79</f>
        <v>61</v>
      </c>
      <c r="BD88" s="45">
        <f t="shared" si="444"/>
        <v>82</v>
      </c>
      <c r="BE88" s="45">
        <f t="shared" ref="BE88:BG88" si="445">BE75-BE79</f>
        <v>116.37655585449119</v>
      </c>
      <c r="BF88" s="45">
        <f t="shared" si="445"/>
        <v>112.48717211014186</v>
      </c>
      <c r="BG88" s="2175">
        <f t="shared" si="445"/>
        <v>73.016381215144463</v>
      </c>
      <c r="BH88" s="2174">
        <f t="shared" ref="BH88:BK88" si="446">BH75-BH79</f>
        <v>44.043244047187258</v>
      </c>
      <c r="BI88" s="45">
        <f t="shared" si="446"/>
        <v>83.906703131034291</v>
      </c>
      <c r="BJ88" s="45">
        <f t="shared" si="446"/>
        <v>108.0262736898724</v>
      </c>
      <c r="BK88" s="2175">
        <f t="shared" si="446"/>
        <v>99.750379811057513</v>
      </c>
      <c r="BL88" s="244"/>
      <c r="BM88" s="45">
        <f t="shared" ref="BM88:BY88" si="447">BM75-BM79</f>
        <v>165</v>
      </c>
      <c r="BN88" s="45">
        <f t="shared" si="447"/>
        <v>-166</v>
      </c>
      <c r="BO88" s="45">
        <f t="shared" si="447"/>
        <v>-3379</v>
      </c>
      <c r="BP88" s="45">
        <f t="shared" si="447"/>
        <v>-2412</v>
      </c>
      <c r="BQ88" s="45">
        <f t="shared" si="447"/>
        <v>296</v>
      </c>
      <c r="BR88" s="45">
        <f t="shared" si="447"/>
        <v>471</v>
      </c>
      <c r="BS88" s="45">
        <f t="shared" si="447"/>
        <v>495</v>
      </c>
      <c r="BT88" s="45">
        <f t="shared" si="447"/>
        <v>-1183</v>
      </c>
      <c r="BU88" s="45">
        <f t="shared" si="447"/>
        <v>-83</v>
      </c>
      <c r="BV88" s="45">
        <f t="shared" ref="BV88:BX88" si="448">BV75-BV79</f>
        <v>-403</v>
      </c>
      <c r="BW88" s="45">
        <f t="shared" si="448"/>
        <v>-660</v>
      </c>
      <c r="BX88" s="45">
        <f t="shared" si="448"/>
        <v>-487</v>
      </c>
      <c r="BY88" s="45">
        <f t="shared" si="447"/>
        <v>50</v>
      </c>
      <c r="BZ88" s="45">
        <f t="shared" ref="BZ88:CB88" si="449">BZ75-BZ79</f>
        <v>383.88010917977772</v>
      </c>
      <c r="CA88" s="45">
        <f t="shared" si="449"/>
        <v>335.72660067915126</v>
      </c>
      <c r="CB88" s="2186">
        <f t="shared" si="449"/>
        <v>335.72660067915126</v>
      </c>
      <c r="CC88" s="2191"/>
      <c r="CD88" s="13"/>
    </row>
    <row r="89" spans="1:88" ht="14.25" customHeight="1">
      <c r="A89" s="7"/>
      <c r="B89" s="21" t="s">
        <v>619</v>
      </c>
      <c r="C89" s="43"/>
      <c r="D89" s="27">
        <f t="shared" ref="D89:AV89" si="450">+D90-D88</f>
        <v>-1.652000000000001</v>
      </c>
      <c r="E89" s="27">
        <f t="shared" si="450"/>
        <v>-3.0999999999999996</v>
      </c>
      <c r="F89" s="27">
        <f t="shared" si="450"/>
        <v>-0.60599999999999454</v>
      </c>
      <c r="G89" s="28">
        <f t="shared" si="450"/>
        <v>-1.6419999999999959</v>
      </c>
      <c r="H89" s="27">
        <f t="shared" si="450"/>
        <v>37.272999999999996</v>
      </c>
      <c r="I89" s="27">
        <f t="shared" si="450"/>
        <v>20.301000000000002</v>
      </c>
      <c r="J89" s="27">
        <f t="shared" si="450"/>
        <v>-19.209999999999937</v>
      </c>
      <c r="K89" s="28">
        <f t="shared" si="450"/>
        <v>549.27799999999991</v>
      </c>
      <c r="L89" s="27">
        <f t="shared" si="450"/>
        <v>138</v>
      </c>
      <c r="M89" s="27">
        <f t="shared" si="450"/>
        <v>114</v>
      </c>
      <c r="N89" s="27">
        <f t="shared" si="450"/>
        <v>103</v>
      </c>
      <c r="O89" s="28">
        <f t="shared" si="450"/>
        <v>1610</v>
      </c>
      <c r="P89" s="27">
        <f t="shared" si="450"/>
        <v>10</v>
      </c>
      <c r="Q89" s="27">
        <f t="shared" si="450"/>
        <v>-216</v>
      </c>
      <c r="R89" s="27">
        <f t="shared" si="450"/>
        <v>-301</v>
      </c>
      <c r="S89" s="28">
        <f t="shared" si="450"/>
        <v>1050</v>
      </c>
      <c r="T89" s="27">
        <f t="shared" si="450"/>
        <v>96</v>
      </c>
      <c r="U89" s="27">
        <f t="shared" si="450"/>
        <v>-110</v>
      </c>
      <c r="V89" s="27">
        <f t="shared" si="450"/>
        <v>-42</v>
      </c>
      <c r="W89" s="28">
        <f t="shared" si="450"/>
        <v>-1111</v>
      </c>
      <c r="X89" s="27">
        <f t="shared" si="450"/>
        <v>-52</v>
      </c>
      <c r="Y89" s="27">
        <f t="shared" si="450"/>
        <v>8</v>
      </c>
      <c r="Z89" s="27">
        <f t="shared" si="450"/>
        <v>17</v>
      </c>
      <c r="AA89" s="28">
        <f t="shared" si="450"/>
        <v>-230</v>
      </c>
      <c r="AB89" s="27">
        <f t="shared" si="450"/>
        <v>40</v>
      </c>
      <c r="AC89" s="27">
        <f t="shared" si="450"/>
        <v>12</v>
      </c>
      <c r="AD89" s="27">
        <f t="shared" si="450"/>
        <v>3</v>
      </c>
      <c r="AE89" s="28">
        <f t="shared" si="450"/>
        <v>93</v>
      </c>
      <c r="AF89" s="27">
        <f t="shared" si="450"/>
        <v>680</v>
      </c>
      <c r="AG89" s="27">
        <f t="shared" si="450"/>
        <v>3</v>
      </c>
      <c r="AH89" s="27">
        <f t="shared" si="450"/>
        <v>107</v>
      </c>
      <c r="AI89" s="28">
        <f t="shared" si="450"/>
        <v>371</v>
      </c>
      <c r="AJ89" s="27">
        <f t="shared" si="450"/>
        <v>54</v>
      </c>
      <c r="AK89" s="27">
        <f t="shared" si="450"/>
        <v>12</v>
      </c>
      <c r="AL89" s="27">
        <f t="shared" si="450"/>
        <v>-17</v>
      </c>
      <c r="AM89" s="28">
        <f t="shared" si="450"/>
        <v>-44</v>
      </c>
      <c r="AN89" s="27">
        <f t="shared" si="450"/>
        <v>32</v>
      </c>
      <c r="AO89" s="27">
        <f>AO83-AO69</f>
        <v>53</v>
      </c>
      <c r="AP89" s="27">
        <f t="shared" si="450"/>
        <v>3</v>
      </c>
      <c r="AQ89" s="28">
        <f t="shared" si="450"/>
        <v>382</v>
      </c>
      <c r="AR89" s="27">
        <f t="shared" si="450"/>
        <v>107</v>
      </c>
      <c r="AS89" s="27">
        <f t="shared" si="450"/>
        <v>50</v>
      </c>
      <c r="AT89" s="27">
        <f t="shared" si="450"/>
        <v>61</v>
      </c>
      <c r="AU89" s="28">
        <f t="shared" si="450"/>
        <v>23</v>
      </c>
      <c r="AV89" s="27">
        <f t="shared" si="450"/>
        <v>13</v>
      </c>
      <c r="AW89" s="27">
        <f>+AW90-AW88</f>
        <v>-112</v>
      </c>
      <c r="AX89" s="27">
        <f t="shared" ref="AX89" si="451">+AX90-AX88</f>
        <v>428</v>
      </c>
      <c r="AY89" s="28">
        <f t="shared" ref="AY89:AZ89" si="452">+AY90-AY88</f>
        <v>41</v>
      </c>
      <c r="AZ89" s="27">
        <f t="shared" si="452"/>
        <v>33</v>
      </c>
      <c r="BA89" s="27">
        <f>+BA90-BA88</f>
        <v>32</v>
      </c>
      <c r="BB89" s="27">
        <f>+BB90-BB88</f>
        <v>37</v>
      </c>
      <c r="BC89" s="28">
        <f t="shared" ref="BC89:BD89" si="453">+BC90-BC88</f>
        <v>27</v>
      </c>
      <c r="BD89" s="27">
        <f t="shared" si="453"/>
        <v>39</v>
      </c>
      <c r="BE89" s="27">
        <f t="shared" ref="BE89:BG89" si="454">+BE90-BE88</f>
        <v>26.100000000000023</v>
      </c>
      <c r="BF89" s="27">
        <f t="shared" si="454"/>
        <v>26.09999999999998</v>
      </c>
      <c r="BG89" s="1639">
        <f t="shared" si="454"/>
        <v>26.099999999999994</v>
      </c>
      <c r="BH89" s="1914">
        <f t="shared" ref="BH89:BK89" si="455">+BH90-BH88</f>
        <v>26.100000000000009</v>
      </c>
      <c r="BI89" s="27">
        <f t="shared" si="455"/>
        <v>26.100000000000009</v>
      </c>
      <c r="BJ89" s="27">
        <f t="shared" si="455"/>
        <v>26.099999999999994</v>
      </c>
      <c r="BK89" s="1639">
        <f t="shared" si="455"/>
        <v>26.09999999999998</v>
      </c>
      <c r="BL89" s="244"/>
      <c r="BM89" s="27">
        <f t="shared" ref="BM89:BX89" si="456">+BM90-BM88</f>
        <v>0</v>
      </c>
      <c r="BN89" s="27">
        <f t="shared" si="456"/>
        <v>564.64200000000028</v>
      </c>
      <c r="BO89" s="27">
        <f t="shared" si="456"/>
        <v>1942</v>
      </c>
      <c r="BP89" s="27">
        <f t="shared" si="456"/>
        <v>475</v>
      </c>
      <c r="BQ89" s="27">
        <f t="shared" si="456"/>
        <v>-1165</v>
      </c>
      <c r="BR89" s="27">
        <f t="shared" si="456"/>
        <v>-248</v>
      </c>
      <c r="BS89" s="27">
        <f t="shared" si="456"/>
        <v>152</v>
      </c>
      <c r="BT89" s="27">
        <f t="shared" si="456"/>
        <v>1159</v>
      </c>
      <c r="BU89" s="27">
        <f t="shared" si="456"/>
        <v>0</v>
      </c>
      <c r="BV89" s="27">
        <f t="shared" si="456"/>
        <v>470</v>
      </c>
      <c r="BW89" s="27">
        <f t="shared" si="456"/>
        <v>241</v>
      </c>
      <c r="BX89" s="27">
        <f t="shared" si="456"/>
        <v>512</v>
      </c>
      <c r="BY89" s="27">
        <f t="shared" ref="BY89:BZ89" si="457">+BY90-BY88</f>
        <v>129</v>
      </c>
      <c r="BZ89" s="27">
        <f t="shared" si="457"/>
        <v>117.29999999999973</v>
      </c>
      <c r="CA89" s="27">
        <f t="shared" ref="CA89:CB89" si="458">+CA90-CA88</f>
        <v>104.40000000000089</v>
      </c>
      <c r="CB89" s="2075">
        <f t="shared" si="458"/>
        <v>104.40000000000009</v>
      </c>
      <c r="CC89" s="2191"/>
      <c r="CD89" s="13"/>
    </row>
    <row r="90" spans="1:88" ht="14.25" customHeight="1">
      <c r="A90" s="7"/>
      <c r="B90" s="42" t="s">
        <v>618</v>
      </c>
      <c r="C90" s="43"/>
      <c r="D90" s="45">
        <f t="shared" ref="D90:AT90" si="459">+D76-D83+D94</f>
        <v>-19.075000000000038</v>
      </c>
      <c r="E90" s="45">
        <f t="shared" si="459"/>
        <v>8.2189999999999124</v>
      </c>
      <c r="F90" s="45">
        <f t="shared" si="459"/>
        <v>75.394000000000176</v>
      </c>
      <c r="G90" s="46">
        <f t="shared" si="459"/>
        <v>93.461999999999705</v>
      </c>
      <c r="H90" s="45">
        <f t="shared" si="459"/>
        <v>221.79699999999991</v>
      </c>
      <c r="I90" s="45">
        <f t="shared" si="459"/>
        <v>109.14800000000004</v>
      </c>
      <c r="J90" s="45">
        <f t="shared" si="459"/>
        <v>115.24500000000019</v>
      </c>
      <c r="K90" s="46">
        <f t="shared" si="459"/>
        <v>-24.547999999999973</v>
      </c>
      <c r="L90" s="45">
        <f t="shared" si="459"/>
        <v>-473</v>
      </c>
      <c r="M90" s="45">
        <f t="shared" si="459"/>
        <v>-486</v>
      </c>
      <c r="N90" s="45">
        <f t="shared" si="459"/>
        <v>-293</v>
      </c>
      <c r="O90" s="46">
        <f t="shared" si="459"/>
        <v>-162</v>
      </c>
      <c r="P90" s="45">
        <f t="shared" si="459"/>
        <v>-311</v>
      </c>
      <c r="Q90" s="45">
        <f t="shared" si="459"/>
        <v>-910</v>
      </c>
      <c r="R90" s="45">
        <f t="shared" si="459"/>
        <v>-278</v>
      </c>
      <c r="S90" s="46">
        <f t="shared" si="459"/>
        <v>-370</v>
      </c>
      <c r="T90" s="45">
        <f t="shared" si="459"/>
        <v>-318</v>
      </c>
      <c r="U90" s="45">
        <f t="shared" si="459"/>
        <v>-445</v>
      </c>
      <c r="V90" s="45">
        <f t="shared" si="459"/>
        <v>-177</v>
      </c>
      <c r="W90" s="46">
        <f t="shared" si="459"/>
        <v>69</v>
      </c>
      <c r="X90" s="45">
        <f t="shared" si="459"/>
        <v>205</v>
      </c>
      <c r="Y90" s="45">
        <f t="shared" si="459"/>
        <v>-35</v>
      </c>
      <c r="Z90" s="45">
        <f t="shared" si="459"/>
        <v>-101</v>
      </c>
      <c r="AA90" s="46">
        <f t="shared" si="459"/>
        <v>145</v>
      </c>
      <c r="AB90" s="45">
        <f t="shared" si="459"/>
        <v>550</v>
      </c>
      <c r="AC90" s="45">
        <f t="shared" si="459"/>
        <v>73</v>
      </c>
      <c r="AD90" s="45">
        <f t="shared" si="459"/>
        <v>100</v>
      </c>
      <c r="AE90" s="46">
        <f t="shared" si="459"/>
        <v>-80</v>
      </c>
      <c r="AF90" s="45">
        <f t="shared" si="459"/>
        <v>90</v>
      </c>
      <c r="AG90" s="45">
        <f t="shared" si="459"/>
        <v>40</v>
      </c>
      <c r="AH90" s="45">
        <f t="shared" si="459"/>
        <v>-50</v>
      </c>
      <c r="AI90" s="46">
        <f t="shared" si="459"/>
        <v>-102</v>
      </c>
      <c r="AJ90" s="45">
        <f t="shared" si="459"/>
        <v>-92</v>
      </c>
      <c r="AK90" s="45">
        <f t="shared" si="459"/>
        <v>-62</v>
      </c>
      <c r="AL90" s="45">
        <f t="shared" si="459"/>
        <v>31</v>
      </c>
      <c r="AM90" s="46">
        <f t="shared" si="459"/>
        <v>45</v>
      </c>
      <c r="AN90" s="45">
        <f t="shared" si="459"/>
        <v>12</v>
      </c>
      <c r="AO90" s="45">
        <f>+AO76-AO83+AO94</f>
        <v>17</v>
      </c>
      <c r="AP90" s="45">
        <f t="shared" si="459"/>
        <v>20</v>
      </c>
      <c r="AQ90" s="46">
        <f t="shared" si="459"/>
        <v>18</v>
      </c>
      <c r="AR90" s="45">
        <f t="shared" si="459"/>
        <v>-73</v>
      </c>
      <c r="AS90" s="45">
        <f t="shared" si="459"/>
        <v>-131</v>
      </c>
      <c r="AT90" s="45">
        <f t="shared" si="459"/>
        <v>-136</v>
      </c>
      <c r="AU90" s="46">
        <f>+AU76-AU83+AU94</f>
        <v>-79</v>
      </c>
      <c r="AV90" s="45">
        <f>+AV76-AV83+AV94</f>
        <v>-96</v>
      </c>
      <c r="AW90" s="45">
        <f>+AW76-AW83</f>
        <v>-40</v>
      </c>
      <c r="AX90" s="45">
        <f>+AX76-AX83</f>
        <v>27</v>
      </c>
      <c r="AY90" s="46">
        <f>+AY76-AY83+AY94</f>
        <v>-8</v>
      </c>
      <c r="AZ90" s="45">
        <f>+AZ76-AZ83+AZ94</f>
        <v>-38</v>
      </c>
      <c r="BA90" s="45">
        <f>+BA76-BA83</f>
        <v>19</v>
      </c>
      <c r="BB90" s="45">
        <f>+BB76-BB83</f>
        <v>110</v>
      </c>
      <c r="BC90" s="46">
        <f>+BC76-BC83+BC94</f>
        <v>88</v>
      </c>
      <c r="BD90" s="45">
        <f>+BD76-BD83+BD94</f>
        <v>121</v>
      </c>
      <c r="BE90" s="45">
        <f t="shared" ref="BE90:BG90" si="460">+BE76-BE83</f>
        <v>142.47655585449121</v>
      </c>
      <c r="BF90" s="45">
        <f t="shared" si="460"/>
        <v>138.58717211014184</v>
      </c>
      <c r="BG90" s="2175">
        <f t="shared" si="460"/>
        <v>99.116381215144457</v>
      </c>
      <c r="BH90" s="2174">
        <f t="shared" ref="BH90:BK90" si="461">+BH76-BH83</f>
        <v>70.143244047187267</v>
      </c>
      <c r="BI90" s="45">
        <f t="shared" si="461"/>
        <v>110.0067031310343</v>
      </c>
      <c r="BJ90" s="45">
        <f t="shared" si="461"/>
        <v>134.12627368987239</v>
      </c>
      <c r="BK90" s="2175">
        <f t="shared" si="461"/>
        <v>125.85037981105749</v>
      </c>
      <c r="BL90" s="244"/>
      <c r="BM90" s="45">
        <f t="shared" ref="BM90:BW90" si="462">+BM76-BM83+BM94</f>
        <v>165</v>
      </c>
      <c r="BN90" s="45">
        <f t="shared" si="462"/>
        <v>398.64200000000028</v>
      </c>
      <c r="BO90" s="45">
        <f t="shared" si="462"/>
        <v>-1437</v>
      </c>
      <c r="BP90" s="45">
        <f t="shared" si="462"/>
        <v>-1937</v>
      </c>
      <c r="BQ90" s="45">
        <f t="shared" si="462"/>
        <v>-869</v>
      </c>
      <c r="BR90" s="45">
        <f t="shared" si="462"/>
        <v>223</v>
      </c>
      <c r="BS90" s="45">
        <f t="shared" si="462"/>
        <v>647</v>
      </c>
      <c r="BT90" s="45">
        <f t="shared" si="462"/>
        <v>-24</v>
      </c>
      <c r="BU90" s="45">
        <f t="shared" si="462"/>
        <v>-83</v>
      </c>
      <c r="BV90" s="45">
        <f>+BV76-BV83+BV94</f>
        <v>67</v>
      </c>
      <c r="BW90" s="45">
        <f t="shared" si="462"/>
        <v>-419</v>
      </c>
      <c r="BX90" s="45">
        <f>+BX76-BX83+BX94</f>
        <v>25</v>
      </c>
      <c r="BY90" s="45">
        <f>SUM(AZ90:BC90)</f>
        <v>179</v>
      </c>
      <c r="BZ90" s="45">
        <f>SUM(BD90:BG90)</f>
        <v>501.18010917977745</v>
      </c>
      <c r="CA90" s="45">
        <f t="shared" ref="CA90:CB90" si="463">+CA76-CA83+CA94</f>
        <v>440.12660067915215</v>
      </c>
      <c r="CB90" s="2186">
        <f t="shared" si="463"/>
        <v>440.12660067915135</v>
      </c>
      <c r="CC90" s="2191"/>
      <c r="CD90" s="13"/>
    </row>
    <row r="91" spans="1:88" s="423" customFormat="1" ht="14.25" customHeight="1">
      <c r="A91" s="415"/>
      <c r="B91" s="21" t="s">
        <v>442</v>
      </c>
      <c r="C91" s="417"/>
      <c r="D91" s="27">
        <f t="shared" ref="D91:AM91" si="464">+D92-D88</f>
        <v>0</v>
      </c>
      <c r="E91" s="27">
        <f t="shared" si="464"/>
        <v>0</v>
      </c>
      <c r="F91" s="27">
        <f t="shared" si="464"/>
        <v>0</v>
      </c>
      <c r="G91" s="28">
        <f t="shared" si="464"/>
        <v>0</v>
      </c>
      <c r="H91" s="27">
        <f t="shared" si="464"/>
        <v>2</v>
      </c>
      <c r="I91" s="27">
        <f t="shared" si="464"/>
        <v>2</v>
      </c>
      <c r="J91" s="27">
        <f t="shared" si="464"/>
        <v>1.6420000000000528</v>
      </c>
      <c r="K91" s="28">
        <f t="shared" si="464"/>
        <v>558.99999999999989</v>
      </c>
      <c r="L91" s="27">
        <f t="shared" si="464"/>
        <v>115</v>
      </c>
      <c r="M91" s="27">
        <f t="shared" si="464"/>
        <v>82</v>
      </c>
      <c r="N91" s="27">
        <f t="shared" si="464"/>
        <v>76</v>
      </c>
      <c r="O91" s="28">
        <f t="shared" si="464"/>
        <v>1669</v>
      </c>
      <c r="P91" s="27">
        <f t="shared" si="464"/>
        <v>40</v>
      </c>
      <c r="Q91" s="27">
        <f t="shared" si="464"/>
        <v>278</v>
      </c>
      <c r="R91" s="27">
        <f t="shared" si="464"/>
        <v>-150</v>
      </c>
      <c r="S91" s="28">
        <f t="shared" si="464"/>
        <v>991</v>
      </c>
      <c r="T91" s="27">
        <f t="shared" si="464"/>
        <v>94</v>
      </c>
      <c r="U91" s="27">
        <f t="shared" si="464"/>
        <v>-100</v>
      </c>
      <c r="V91" s="27">
        <f t="shared" si="464"/>
        <v>-37</v>
      </c>
      <c r="W91" s="28">
        <f t="shared" si="464"/>
        <v>-1119</v>
      </c>
      <c r="X91" s="27">
        <f t="shared" si="464"/>
        <v>-52</v>
      </c>
      <c r="Y91" s="27">
        <f t="shared" si="464"/>
        <v>13</v>
      </c>
      <c r="Z91" s="27">
        <f t="shared" si="464"/>
        <v>16</v>
      </c>
      <c r="AA91" s="28">
        <f t="shared" si="464"/>
        <v>-225</v>
      </c>
      <c r="AB91" s="27">
        <f t="shared" si="464"/>
        <v>38</v>
      </c>
      <c r="AC91" s="27">
        <f t="shared" si="464"/>
        <v>9</v>
      </c>
      <c r="AD91" s="27">
        <f t="shared" si="464"/>
        <v>8</v>
      </c>
      <c r="AE91" s="28">
        <f t="shared" si="464"/>
        <v>101</v>
      </c>
      <c r="AF91" s="27">
        <f t="shared" si="464"/>
        <v>676</v>
      </c>
      <c r="AG91" s="27">
        <f t="shared" si="464"/>
        <v>9</v>
      </c>
      <c r="AH91" s="27">
        <f t="shared" si="464"/>
        <v>107</v>
      </c>
      <c r="AI91" s="28">
        <f t="shared" si="464"/>
        <v>367</v>
      </c>
      <c r="AJ91" s="27">
        <f t="shared" si="464"/>
        <v>52</v>
      </c>
      <c r="AK91" s="27">
        <f t="shared" si="464"/>
        <v>9</v>
      </c>
      <c r="AL91" s="27">
        <f t="shared" si="464"/>
        <v>-17</v>
      </c>
      <c r="AM91" s="28">
        <f t="shared" si="464"/>
        <v>-44</v>
      </c>
      <c r="AN91" s="27">
        <f>+AN92-AN88</f>
        <v>19</v>
      </c>
      <c r="AO91" s="27">
        <f>AO85-AO69</f>
        <v>53</v>
      </c>
      <c r="AP91" s="27">
        <f t="shared" ref="AP91:AQ91" si="465">+AP92-AP88</f>
        <v>3</v>
      </c>
      <c r="AQ91" s="28">
        <f t="shared" si="465"/>
        <v>366</v>
      </c>
      <c r="AR91" s="27">
        <f t="shared" ref="AR91:AV91" si="466">+AR92-AR88-AR70</f>
        <v>90</v>
      </c>
      <c r="AS91" s="27">
        <f t="shared" si="466"/>
        <v>33</v>
      </c>
      <c r="AT91" s="27">
        <f t="shared" si="466"/>
        <v>48</v>
      </c>
      <c r="AU91" s="28">
        <f t="shared" si="466"/>
        <v>7</v>
      </c>
      <c r="AV91" s="27">
        <f t="shared" si="466"/>
        <v>-3</v>
      </c>
      <c r="AW91" s="27">
        <f>+AW92-AW88-AW70</f>
        <v>20</v>
      </c>
      <c r="AX91" s="27">
        <f>+AX92-AX88-AX70</f>
        <v>405</v>
      </c>
      <c r="AY91" s="28">
        <f t="shared" ref="AY91:AZ91" si="467">+AY92-AY88-AY70</f>
        <v>14</v>
      </c>
      <c r="AZ91" s="27">
        <f t="shared" si="467"/>
        <v>12</v>
      </c>
      <c r="BA91" s="27">
        <f>+BA92-BA88-BA70</f>
        <v>8</v>
      </c>
      <c r="BB91" s="27">
        <f>+BB92-BB88-BB70</f>
        <v>8</v>
      </c>
      <c r="BC91" s="28">
        <f t="shared" ref="BC91:BK91" si="468">+BC92-BC88-BC70</f>
        <v>6</v>
      </c>
      <c r="BD91" s="27">
        <f t="shared" si="468"/>
        <v>8</v>
      </c>
      <c r="BE91" s="27">
        <f t="shared" si="468"/>
        <v>0</v>
      </c>
      <c r="BF91" s="27">
        <f t="shared" si="468"/>
        <v>0</v>
      </c>
      <c r="BG91" s="1639">
        <f t="shared" si="468"/>
        <v>0</v>
      </c>
      <c r="BH91" s="1914">
        <f t="shared" si="468"/>
        <v>0</v>
      </c>
      <c r="BI91" s="27">
        <f t="shared" si="468"/>
        <v>0</v>
      </c>
      <c r="BJ91" s="27">
        <f t="shared" si="468"/>
        <v>0</v>
      </c>
      <c r="BK91" s="1639">
        <f t="shared" si="468"/>
        <v>0</v>
      </c>
      <c r="BL91" s="575"/>
      <c r="BM91" s="485">
        <f t="shared" ref="BM91:BU91" si="469">+BM92-BM88</f>
        <v>0</v>
      </c>
      <c r="BN91" s="485">
        <f t="shared" si="469"/>
        <v>564.64199999999983</v>
      </c>
      <c r="BO91" s="485">
        <f t="shared" si="469"/>
        <v>1942</v>
      </c>
      <c r="BP91" s="485">
        <f t="shared" si="469"/>
        <v>1159</v>
      </c>
      <c r="BQ91" s="485">
        <f t="shared" si="469"/>
        <v>-1162</v>
      </c>
      <c r="BR91" s="485">
        <f t="shared" si="469"/>
        <v>-248</v>
      </c>
      <c r="BS91" s="485">
        <f t="shared" si="469"/>
        <v>156</v>
      </c>
      <c r="BT91" s="485">
        <f t="shared" si="469"/>
        <v>1159</v>
      </c>
      <c r="BU91" s="485">
        <f t="shared" si="469"/>
        <v>0</v>
      </c>
      <c r="BV91" s="485">
        <f t="shared" ref="BV91:BX91" si="470">+BV92-BV88-BV70</f>
        <v>426</v>
      </c>
      <c r="BW91" s="485">
        <f t="shared" si="470"/>
        <v>178</v>
      </c>
      <c r="BX91" s="485">
        <f t="shared" si="470"/>
        <v>436</v>
      </c>
      <c r="BY91" s="27">
        <f t="shared" ref="BY91:CB91" si="471">+BY92-BY88-BY70</f>
        <v>34</v>
      </c>
      <c r="BZ91" s="27">
        <f t="shared" si="471"/>
        <v>8</v>
      </c>
      <c r="CA91" s="27">
        <f t="shared" si="471"/>
        <v>0</v>
      </c>
      <c r="CB91" s="2075">
        <f t="shared" si="471"/>
        <v>0</v>
      </c>
      <c r="CC91" s="2191"/>
      <c r="CD91" s="440"/>
      <c r="CE91"/>
      <c r="CF91"/>
      <c r="CG91"/>
      <c r="CH91"/>
      <c r="CI91"/>
      <c r="CJ91"/>
    </row>
    <row r="92" spans="1:88" ht="14.25" customHeight="1">
      <c r="A92" s="7"/>
      <c r="B92" s="42" t="s">
        <v>441</v>
      </c>
      <c r="C92" s="43"/>
      <c r="D92" s="45">
        <f t="shared" ref="D92:AN92" si="472">+D77-D85</f>
        <v>-17.423000000000037</v>
      </c>
      <c r="E92" s="45">
        <f t="shared" si="472"/>
        <v>11.318999999999912</v>
      </c>
      <c r="F92" s="45">
        <f t="shared" si="472"/>
        <v>76.000000000000171</v>
      </c>
      <c r="G92" s="46">
        <f t="shared" si="472"/>
        <v>95.103999999999701</v>
      </c>
      <c r="H92" s="45">
        <f t="shared" si="472"/>
        <v>186.52399999999992</v>
      </c>
      <c r="I92" s="45">
        <f t="shared" si="472"/>
        <v>90.847000000000037</v>
      </c>
      <c r="J92" s="45">
        <f t="shared" si="472"/>
        <v>136.09700000000018</v>
      </c>
      <c r="K92" s="46">
        <f t="shared" si="472"/>
        <v>-14.825999999999979</v>
      </c>
      <c r="L92" s="45">
        <f t="shared" si="472"/>
        <v>-496</v>
      </c>
      <c r="M92" s="45">
        <f t="shared" si="472"/>
        <v>-518</v>
      </c>
      <c r="N92" s="45">
        <f t="shared" si="472"/>
        <v>-320</v>
      </c>
      <c r="O92" s="46">
        <f t="shared" si="472"/>
        <v>-103</v>
      </c>
      <c r="P92" s="45">
        <f t="shared" si="472"/>
        <v>-281</v>
      </c>
      <c r="Q92" s="45">
        <f t="shared" si="472"/>
        <v>-416</v>
      </c>
      <c r="R92" s="45">
        <f t="shared" si="472"/>
        <v>-127</v>
      </c>
      <c r="S92" s="46">
        <f t="shared" si="472"/>
        <v>-429</v>
      </c>
      <c r="T92" s="45">
        <f t="shared" si="472"/>
        <v>-320</v>
      </c>
      <c r="U92" s="45">
        <f t="shared" si="472"/>
        <v>-435</v>
      </c>
      <c r="V92" s="45">
        <f t="shared" si="472"/>
        <v>-172</v>
      </c>
      <c r="W92" s="46">
        <f t="shared" si="472"/>
        <v>61</v>
      </c>
      <c r="X92" s="45">
        <f t="shared" si="472"/>
        <v>205</v>
      </c>
      <c r="Y92" s="45">
        <f t="shared" si="472"/>
        <v>-30</v>
      </c>
      <c r="Z92" s="45">
        <f t="shared" si="472"/>
        <v>-102</v>
      </c>
      <c r="AA92" s="46">
        <f t="shared" si="472"/>
        <v>150</v>
      </c>
      <c r="AB92" s="45">
        <f t="shared" si="472"/>
        <v>548</v>
      </c>
      <c r="AC92" s="45">
        <f t="shared" si="472"/>
        <v>70</v>
      </c>
      <c r="AD92" s="45">
        <f t="shared" si="472"/>
        <v>105</v>
      </c>
      <c r="AE92" s="46">
        <f t="shared" si="472"/>
        <v>-72</v>
      </c>
      <c r="AF92" s="45">
        <f t="shared" si="472"/>
        <v>86</v>
      </c>
      <c r="AG92" s="45">
        <f t="shared" si="472"/>
        <v>46</v>
      </c>
      <c r="AH92" s="45">
        <f t="shared" si="472"/>
        <v>-50</v>
      </c>
      <c r="AI92" s="46">
        <f t="shared" si="472"/>
        <v>-106</v>
      </c>
      <c r="AJ92" s="45">
        <f t="shared" si="472"/>
        <v>-94</v>
      </c>
      <c r="AK92" s="45">
        <f t="shared" si="472"/>
        <v>-65</v>
      </c>
      <c r="AL92" s="45">
        <f t="shared" si="472"/>
        <v>31</v>
      </c>
      <c r="AM92" s="45">
        <f t="shared" si="472"/>
        <v>45</v>
      </c>
      <c r="AN92" s="44">
        <f t="shared" si="472"/>
        <v>-1</v>
      </c>
      <c r="AO92" s="45">
        <f>AO91+AO88</f>
        <v>17</v>
      </c>
      <c r="AP92" s="45">
        <f t="shared" ref="AP92:AU92" si="473">+AP77-AP85</f>
        <v>20</v>
      </c>
      <c r="AQ92" s="45">
        <f t="shared" si="473"/>
        <v>2</v>
      </c>
      <c r="AR92" s="44">
        <f t="shared" si="473"/>
        <v>-90</v>
      </c>
      <c r="AS92" s="45">
        <f t="shared" si="473"/>
        <v>-148</v>
      </c>
      <c r="AT92" s="45">
        <f t="shared" si="473"/>
        <v>-149</v>
      </c>
      <c r="AU92" s="46">
        <f t="shared" si="473"/>
        <v>-82</v>
      </c>
      <c r="AV92" s="45">
        <f t="shared" ref="AV92:AW92" si="474">+AV77-AV85</f>
        <v>-112</v>
      </c>
      <c r="AW92" s="45">
        <f t="shared" si="474"/>
        <v>92</v>
      </c>
      <c r="AX92" s="45">
        <f>+AX77-AX85</f>
        <v>70</v>
      </c>
      <c r="AY92" s="46">
        <f t="shared" ref="AY92:BA92" si="475">+AY77-AY85</f>
        <v>-21</v>
      </c>
      <c r="AZ92" s="45">
        <f t="shared" si="475"/>
        <v>-47</v>
      </c>
      <c r="BA92" s="45">
        <f t="shared" si="475"/>
        <v>3</v>
      </c>
      <c r="BB92" s="45">
        <f t="shared" ref="BB92:BD92" si="476">+BB77-BB85</f>
        <v>89</v>
      </c>
      <c r="BC92" s="46">
        <f t="shared" si="476"/>
        <v>73</v>
      </c>
      <c r="BD92" s="45">
        <f t="shared" si="476"/>
        <v>98</v>
      </c>
      <c r="BE92" s="45">
        <f t="shared" ref="BE92:BG92" si="477">+BE77-BE85</f>
        <v>116.37655585449119</v>
      </c>
      <c r="BF92" s="45">
        <f t="shared" si="477"/>
        <v>112.48717211014186</v>
      </c>
      <c r="BG92" s="2175">
        <f t="shared" si="477"/>
        <v>73.016381215144463</v>
      </c>
      <c r="BH92" s="2174">
        <f t="shared" ref="BH92:BK92" si="478">+BH77-BH85</f>
        <v>44.043244047187258</v>
      </c>
      <c r="BI92" s="45">
        <f t="shared" si="478"/>
        <v>83.906703131034291</v>
      </c>
      <c r="BJ92" s="45">
        <f t="shared" si="478"/>
        <v>108.0262736898724</v>
      </c>
      <c r="BK92" s="2175">
        <f t="shared" si="478"/>
        <v>99.750379811057513</v>
      </c>
      <c r="BL92" s="244"/>
      <c r="BM92" s="45">
        <f t="shared" ref="BM92:BY92" si="479">+BM77-BM85</f>
        <v>165</v>
      </c>
      <c r="BN92" s="45">
        <f t="shared" si="479"/>
        <v>398.64199999999983</v>
      </c>
      <c r="BO92" s="45">
        <f t="shared" si="479"/>
        <v>-1437</v>
      </c>
      <c r="BP92" s="45">
        <f t="shared" si="479"/>
        <v>-1253</v>
      </c>
      <c r="BQ92" s="45">
        <f t="shared" si="479"/>
        <v>-866</v>
      </c>
      <c r="BR92" s="45">
        <f t="shared" si="479"/>
        <v>223</v>
      </c>
      <c r="BS92" s="45">
        <f t="shared" si="479"/>
        <v>651</v>
      </c>
      <c r="BT92" s="45">
        <f t="shared" si="479"/>
        <v>-24</v>
      </c>
      <c r="BU92" s="45">
        <f t="shared" si="479"/>
        <v>-83</v>
      </c>
      <c r="BV92" s="45">
        <f t="shared" ref="BV92:BX92" si="480">+BV77-BV85</f>
        <v>87</v>
      </c>
      <c r="BW92" s="45">
        <f t="shared" si="480"/>
        <v>-469</v>
      </c>
      <c r="BX92" s="45">
        <f t="shared" si="480"/>
        <v>29</v>
      </c>
      <c r="BY92" s="45">
        <f t="shared" si="479"/>
        <v>118</v>
      </c>
      <c r="BZ92" s="45">
        <f t="shared" ref="BZ92:CB92" si="481">+BZ77-BZ85</f>
        <v>399.88010917977772</v>
      </c>
      <c r="CA92" s="45">
        <f t="shared" si="481"/>
        <v>335.72660067915126</v>
      </c>
      <c r="CB92" s="2186">
        <f t="shared" si="481"/>
        <v>335.72660067915126</v>
      </c>
      <c r="CC92" s="2191"/>
      <c r="CD92" s="13"/>
    </row>
    <row r="93" spans="1:88" ht="14.25" customHeight="1">
      <c r="A93" s="7"/>
      <c r="B93" s="30"/>
      <c r="C93" s="31"/>
      <c r="D93" s="32"/>
      <c r="E93" s="32"/>
      <c r="F93" s="32"/>
      <c r="G93" s="33"/>
      <c r="H93" s="32"/>
      <c r="I93" s="32"/>
      <c r="J93" s="32"/>
      <c r="K93" s="33"/>
      <c r="L93" s="32"/>
      <c r="M93" s="32"/>
      <c r="N93" s="32"/>
      <c r="O93" s="33"/>
      <c r="P93" s="32"/>
      <c r="Q93" s="32"/>
      <c r="R93" s="32"/>
      <c r="S93" s="33"/>
      <c r="T93" s="32"/>
      <c r="U93" s="32"/>
      <c r="V93" s="32"/>
      <c r="W93" s="33"/>
      <c r="X93" s="32"/>
      <c r="Y93" s="32"/>
      <c r="Z93" s="32"/>
      <c r="AA93" s="33"/>
      <c r="AB93" s="32"/>
      <c r="AC93" s="32"/>
      <c r="AD93" s="32"/>
      <c r="AE93" s="33"/>
      <c r="AF93" s="32"/>
      <c r="AG93" s="32"/>
      <c r="AH93" s="32"/>
      <c r="AI93" s="32"/>
      <c r="AJ93" s="34"/>
      <c r="AK93" s="32"/>
      <c r="AL93" s="32"/>
      <c r="AM93" s="32"/>
      <c r="AN93" s="1852"/>
      <c r="AO93" s="1127"/>
      <c r="AP93" s="32"/>
      <c r="AQ93" s="32"/>
      <c r="AR93" s="34"/>
      <c r="AS93" s="1127"/>
      <c r="AT93" s="32"/>
      <c r="AU93" s="33"/>
      <c r="AV93" s="34"/>
      <c r="AW93" s="1127"/>
      <c r="AX93" s="32"/>
      <c r="AY93" s="33"/>
      <c r="AZ93" s="1697"/>
      <c r="BA93" s="1127"/>
      <c r="BB93" s="1127"/>
      <c r="BC93" s="33"/>
      <c r="BD93" s="1852"/>
      <c r="BE93" s="1850"/>
      <c r="BF93" s="1850"/>
      <c r="BG93" s="1851"/>
      <c r="BH93" s="1913"/>
      <c r="BI93" s="1850"/>
      <c r="BJ93" s="1850"/>
      <c r="BK93" s="1851"/>
      <c r="BL93" s="244"/>
      <c r="BM93" s="32"/>
      <c r="BN93" s="32"/>
      <c r="BO93" s="32"/>
      <c r="BP93" s="32"/>
      <c r="BQ93" s="32"/>
      <c r="BR93" s="32"/>
      <c r="BS93" s="32"/>
      <c r="BT93" s="32"/>
      <c r="BU93" s="1850"/>
      <c r="BV93" s="1850"/>
      <c r="BW93" s="1850"/>
      <c r="BX93" s="1850"/>
      <c r="BY93" s="1850"/>
      <c r="BZ93" s="1850"/>
      <c r="CA93" s="1850"/>
      <c r="CB93" s="1851"/>
      <c r="CC93" s="2191"/>
      <c r="CD93" s="13"/>
    </row>
    <row r="94" spans="1:88" s="423" customFormat="1" ht="14.25" customHeight="1">
      <c r="A94" s="415"/>
      <c r="B94" s="416" t="s">
        <v>604</v>
      </c>
      <c r="C94" s="417"/>
      <c r="D94" s="863">
        <v>0</v>
      </c>
      <c r="E94" s="863">
        <v>0</v>
      </c>
      <c r="F94" s="863">
        <v>0</v>
      </c>
      <c r="G94" s="864">
        <v>0</v>
      </c>
      <c r="H94" s="863">
        <v>0</v>
      </c>
      <c r="I94" s="863">
        <v>0</v>
      </c>
      <c r="J94" s="863">
        <v>0</v>
      </c>
      <c r="K94" s="864">
        <v>0</v>
      </c>
      <c r="L94" s="863">
        <v>0</v>
      </c>
      <c r="M94" s="863">
        <v>0</v>
      </c>
      <c r="N94" s="863">
        <v>0</v>
      </c>
      <c r="O94" s="864">
        <v>0</v>
      </c>
      <c r="P94" s="863">
        <v>-30</v>
      </c>
      <c r="Q94" s="863">
        <v>-494</v>
      </c>
      <c r="R94" s="863">
        <v>-150</v>
      </c>
      <c r="S94" s="864">
        <v>-10</v>
      </c>
      <c r="T94" s="863">
        <v>0</v>
      </c>
      <c r="U94" s="863">
        <v>0</v>
      </c>
      <c r="V94" s="863">
        <v>0</v>
      </c>
      <c r="W94" s="864">
        <v>-3</v>
      </c>
      <c r="X94" s="863">
        <v>0</v>
      </c>
      <c r="Y94" s="863">
        <v>0</v>
      </c>
      <c r="Z94" s="863">
        <v>0</v>
      </c>
      <c r="AA94" s="864">
        <v>0</v>
      </c>
      <c r="AB94" s="863">
        <v>0</v>
      </c>
      <c r="AC94" s="863">
        <v>0</v>
      </c>
      <c r="AD94" s="863">
        <v>0</v>
      </c>
      <c r="AE94" s="864">
        <v>-4</v>
      </c>
      <c r="AF94" s="863">
        <v>0</v>
      </c>
      <c r="AG94" s="485">
        <v>0</v>
      </c>
      <c r="AH94" s="485">
        <v>0</v>
      </c>
      <c r="AI94" s="485">
        <v>0</v>
      </c>
      <c r="AJ94" s="488">
        <v>0</v>
      </c>
      <c r="AK94" s="485">
        <v>0</v>
      </c>
      <c r="AL94" s="485">
        <v>0</v>
      </c>
      <c r="AM94" s="485">
        <v>0</v>
      </c>
      <c r="AN94" s="488">
        <v>0</v>
      </c>
      <c r="AO94" s="485">
        <v>0</v>
      </c>
      <c r="AP94" s="485">
        <v>0</v>
      </c>
      <c r="AQ94" s="485">
        <v>0</v>
      </c>
      <c r="AR94" s="1522">
        <v>0</v>
      </c>
      <c r="AS94" s="1523">
        <v>0</v>
      </c>
      <c r="AT94" s="1523">
        <v>0</v>
      </c>
      <c r="AU94" s="1524">
        <v>0</v>
      </c>
      <c r="AV94" s="1522">
        <v>0</v>
      </c>
      <c r="AW94" s="1523">
        <v>-3</v>
      </c>
      <c r="AX94" s="1523">
        <v>-5</v>
      </c>
      <c r="AY94" s="1524">
        <v>-2</v>
      </c>
      <c r="AZ94" s="1522">
        <v>-2</v>
      </c>
      <c r="BA94" s="1523">
        <v>-3</v>
      </c>
      <c r="BB94" s="1523">
        <v>-2</v>
      </c>
      <c r="BC94" s="1524">
        <v>0</v>
      </c>
      <c r="BD94" s="1522">
        <v>-1</v>
      </c>
      <c r="BE94" s="1523">
        <v>0</v>
      </c>
      <c r="BF94" s="1523">
        <v>0</v>
      </c>
      <c r="BG94" s="1643">
        <v>0</v>
      </c>
      <c r="BH94" s="2023">
        <v>0</v>
      </c>
      <c r="BI94" s="1523">
        <v>0</v>
      </c>
      <c r="BJ94" s="1523">
        <v>0</v>
      </c>
      <c r="BK94" s="1643">
        <v>0</v>
      </c>
      <c r="BL94" s="575"/>
      <c r="BM94" s="485">
        <f>SUM(D94:G94)</f>
        <v>0</v>
      </c>
      <c r="BN94" s="485">
        <f>SUM(H94:K94)</f>
        <v>0</v>
      </c>
      <c r="BO94" s="485">
        <f>SUM(L94:O94)</f>
        <v>0</v>
      </c>
      <c r="BP94" s="485">
        <f>SUM(P94:S94)</f>
        <v>-684</v>
      </c>
      <c r="BQ94" s="485">
        <f>SUM(T94:W94)</f>
        <v>-3</v>
      </c>
      <c r="BR94" s="485">
        <f>SUM(X94:AA94)</f>
        <v>0</v>
      </c>
      <c r="BS94" s="485">
        <f>SUM(AB94:AE94)</f>
        <v>-4</v>
      </c>
      <c r="BT94" s="485">
        <f>SUM(AF94:AI94)</f>
        <v>0</v>
      </c>
      <c r="BU94" s="485">
        <f>SUM(AJ94:AM94)</f>
        <v>0</v>
      </c>
      <c r="BV94" s="485">
        <f>SUM(AN94:AQ94)</f>
        <v>0</v>
      </c>
      <c r="BW94" s="485">
        <f>+SUM(AR94:AU94)</f>
        <v>0</v>
      </c>
      <c r="BX94" s="485">
        <f t="shared" ref="BX94" si="482">+SUM(AV94:AY94)</f>
        <v>-10</v>
      </c>
      <c r="BY94" s="1653">
        <f t="shared" ref="BY94" si="483">SUM(AZ94:BC94)</f>
        <v>-7</v>
      </c>
      <c r="BZ94" s="1653">
        <f>SUM(BD94:BG94)</f>
        <v>-1</v>
      </c>
      <c r="CA94" s="1653">
        <f>SUM(BH94:BK94)</f>
        <v>0</v>
      </c>
      <c r="CB94" s="2077">
        <v>0</v>
      </c>
      <c r="CC94" s="2191"/>
      <c r="CD94" s="440"/>
      <c r="CE94"/>
      <c r="CF94"/>
      <c r="CG94"/>
      <c r="CH94"/>
      <c r="CI94"/>
      <c r="CJ94"/>
    </row>
    <row r="95" spans="1:88" ht="14.25" customHeight="1">
      <c r="A95" s="7"/>
      <c r="B95" s="42" t="s">
        <v>178</v>
      </c>
      <c r="C95" s="43"/>
      <c r="D95" s="45">
        <f t="shared" ref="D95:AU95" si="484">D88+D94</f>
        <v>-17.423000000000037</v>
      </c>
      <c r="E95" s="45">
        <f t="shared" si="484"/>
        <v>11.318999999999912</v>
      </c>
      <c r="F95" s="45">
        <f t="shared" si="484"/>
        <v>76.000000000000171</v>
      </c>
      <c r="G95" s="46">
        <f t="shared" si="484"/>
        <v>95.103999999999701</v>
      </c>
      <c r="H95" s="45">
        <f t="shared" si="484"/>
        <v>184.52399999999992</v>
      </c>
      <c r="I95" s="45">
        <f t="shared" si="484"/>
        <v>88.847000000000037</v>
      </c>
      <c r="J95" s="45">
        <f t="shared" si="484"/>
        <v>134.45500000000013</v>
      </c>
      <c r="K95" s="46">
        <f t="shared" si="484"/>
        <v>-573.82599999999991</v>
      </c>
      <c r="L95" s="45">
        <f t="shared" si="484"/>
        <v>-611</v>
      </c>
      <c r="M95" s="45">
        <f t="shared" si="484"/>
        <v>-600</v>
      </c>
      <c r="N95" s="45">
        <f t="shared" si="484"/>
        <v>-396</v>
      </c>
      <c r="O95" s="46">
        <f t="shared" si="484"/>
        <v>-1772</v>
      </c>
      <c r="P95" s="45">
        <f t="shared" si="484"/>
        <v>-351</v>
      </c>
      <c r="Q95" s="45">
        <f t="shared" si="484"/>
        <v>-1188</v>
      </c>
      <c r="R95" s="45">
        <f t="shared" si="484"/>
        <v>-127</v>
      </c>
      <c r="S95" s="46">
        <f t="shared" si="484"/>
        <v>-1430</v>
      </c>
      <c r="T95" s="45">
        <f t="shared" si="484"/>
        <v>-414</v>
      </c>
      <c r="U95" s="45">
        <f t="shared" si="484"/>
        <v>-335</v>
      </c>
      <c r="V95" s="45">
        <f t="shared" si="484"/>
        <v>-135</v>
      </c>
      <c r="W95" s="46">
        <f t="shared" si="484"/>
        <v>1177</v>
      </c>
      <c r="X95" s="45">
        <f t="shared" si="484"/>
        <v>257</v>
      </c>
      <c r="Y95" s="45">
        <f t="shared" si="484"/>
        <v>-43</v>
      </c>
      <c r="Z95" s="45">
        <f t="shared" si="484"/>
        <v>-118</v>
      </c>
      <c r="AA95" s="46">
        <f t="shared" si="484"/>
        <v>375</v>
      </c>
      <c r="AB95" s="45">
        <f t="shared" si="484"/>
        <v>510</v>
      </c>
      <c r="AC95" s="45">
        <f t="shared" si="484"/>
        <v>61</v>
      </c>
      <c r="AD95" s="45">
        <f t="shared" si="484"/>
        <v>97</v>
      </c>
      <c r="AE95" s="46">
        <f t="shared" si="484"/>
        <v>-177</v>
      </c>
      <c r="AF95" s="45">
        <f t="shared" si="484"/>
        <v>-590</v>
      </c>
      <c r="AG95" s="45">
        <f t="shared" si="484"/>
        <v>37</v>
      </c>
      <c r="AH95" s="45">
        <f t="shared" si="484"/>
        <v>-157</v>
      </c>
      <c r="AI95" s="45">
        <f t="shared" si="484"/>
        <v>-473</v>
      </c>
      <c r="AJ95" s="44">
        <f t="shared" si="484"/>
        <v>-146</v>
      </c>
      <c r="AK95" s="45">
        <f t="shared" si="484"/>
        <v>-74</v>
      </c>
      <c r="AL95" s="45">
        <f t="shared" si="484"/>
        <v>48</v>
      </c>
      <c r="AM95" s="45">
        <f t="shared" si="484"/>
        <v>89</v>
      </c>
      <c r="AN95" s="44">
        <f t="shared" si="484"/>
        <v>-20</v>
      </c>
      <c r="AO95" s="45">
        <f t="shared" si="484"/>
        <v>-36</v>
      </c>
      <c r="AP95" s="45">
        <f t="shared" si="484"/>
        <v>17</v>
      </c>
      <c r="AQ95" s="45">
        <f t="shared" si="484"/>
        <v>-364</v>
      </c>
      <c r="AR95" s="44">
        <f t="shared" si="484"/>
        <v>-180</v>
      </c>
      <c r="AS95" s="45">
        <f t="shared" si="484"/>
        <v>-181</v>
      </c>
      <c r="AT95" s="45">
        <f t="shared" si="484"/>
        <v>-197</v>
      </c>
      <c r="AU95" s="46">
        <f t="shared" si="484"/>
        <v>-102</v>
      </c>
      <c r="AV95" s="44">
        <f t="shared" ref="AV95:AY95" si="485">AV88+AV94</f>
        <v>-109</v>
      </c>
      <c r="AW95" s="45">
        <f t="shared" si="485"/>
        <v>69</v>
      </c>
      <c r="AX95" s="45">
        <f t="shared" si="485"/>
        <v>-406</v>
      </c>
      <c r="AY95" s="46">
        <f t="shared" si="485"/>
        <v>-51</v>
      </c>
      <c r="AZ95" s="44">
        <f t="shared" ref="AZ95:BA95" si="486">AZ88+AZ94</f>
        <v>-73</v>
      </c>
      <c r="BA95" s="45">
        <f t="shared" si="486"/>
        <v>-16</v>
      </c>
      <c r="BB95" s="45">
        <f t="shared" ref="BB95:BD95" si="487">BB88+BB94</f>
        <v>71</v>
      </c>
      <c r="BC95" s="46">
        <f t="shared" si="487"/>
        <v>61</v>
      </c>
      <c r="BD95" s="44">
        <f t="shared" si="487"/>
        <v>81</v>
      </c>
      <c r="BE95" s="45">
        <f t="shared" ref="BE95:BG95" si="488">BE88+BE94</f>
        <v>116.37655585449119</v>
      </c>
      <c r="BF95" s="45">
        <f t="shared" si="488"/>
        <v>112.48717211014186</v>
      </c>
      <c r="BG95" s="2175">
        <f t="shared" si="488"/>
        <v>73.016381215144463</v>
      </c>
      <c r="BH95" s="2174">
        <f t="shared" ref="BH95:BK95" si="489">BH88+BH94</f>
        <v>44.043244047187258</v>
      </c>
      <c r="BI95" s="45">
        <f t="shared" si="489"/>
        <v>83.906703131034291</v>
      </c>
      <c r="BJ95" s="45">
        <f t="shared" si="489"/>
        <v>108.0262736898724</v>
      </c>
      <c r="BK95" s="2175">
        <f t="shared" si="489"/>
        <v>99.750379811057513</v>
      </c>
      <c r="BL95" s="244"/>
      <c r="BM95" s="45">
        <f t="shared" ref="BM95:BY95" si="490">BM88+BM94</f>
        <v>165</v>
      </c>
      <c r="BN95" s="45">
        <f t="shared" si="490"/>
        <v>-166</v>
      </c>
      <c r="BO95" s="45">
        <f t="shared" si="490"/>
        <v>-3379</v>
      </c>
      <c r="BP95" s="45">
        <f t="shared" si="490"/>
        <v>-3096</v>
      </c>
      <c r="BQ95" s="45">
        <f t="shared" si="490"/>
        <v>293</v>
      </c>
      <c r="BR95" s="45">
        <f t="shared" si="490"/>
        <v>471</v>
      </c>
      <c r="BS95" s="45">
        <f t="shared" si="490"/>
        <v>491</v>
      </c>
      <c r="BT95" s="45">
        <f t="shared" si="490"/>
        <v>-1183</v>
      </c>
      <c r="BU95" s="45">
        <f t="shared" si="490"/>
        <v>-83</v>
      </c>
      <c r="BV95" s="45">
        <f t="shared" ref="BV95:BX95" si="491">BV88+BV94</f>
        <v>-403</v>
      </c>
      <c r="BW95" s="45">
        <f t="shared" si="491"/>
        <v>-660</v>
      </c>
      <c r="BX95" s="45">
        <f t="shared" si="491"/>
        <v>-497</v>
      </c>
      <c r="BY95" s="45">
        <f t="shared" si="490"/>
        <v>43</v>
      </c>
      <c r="BZ95" s="45">
        <f t="shared" ref="BZ95:CB95" si="492">BZ88+BZ94</f>
        <v>382.88010917977772</v>
      </c>
      <c r="CA95" s="45">
        <f t="shared" si="492"/>
        <v>335.72660067915126</v>
      </c>
      <c r="CB95" s="2186">
        <f t="shared" si="492"/>
        <v>335.72660067915126</v>
      </c>
      <c r="CC95" s="2191"/>
      <c r="CD95" s="13"/>
    </row>
    <row r="96" spans="1:88" ht="14.25" customHeight="1">
      <c r="A96" s="7"/>
      <c r="B96" s="30" t="s">
        <v>11</v>
      </c>
      <c r="C96" s="31"/>
      <c r="D96" s="32">
        <f t="shared" ref="D96:AI96" si="493">D95/D9</f>
        <v>-1.4203980342858665E-2</v>
      </c>
      <c r="E96" s="32">
        <f t="shared" si="493"/>
        <v>8.9839180010126956E-3</v>
      </c>
      <c r="F96" s="32">
        <f t="shared" si="493"/>
        <v>4.9909538960633958E-2</v>
      </c>
      <c r="G96" s="33">
        <f t="shared" si="493"/>
        <v>5.1723528429612295E-2</v>
      </c>
      <c r="H96" s="32">
        <f t="shared" si="493"/>
        <v>0.13851510106158574</v>
      </c>
      <c r="I96" s="32">
        <f t="shared" si="493"/>
        <v>7.304292207861611E-2</v>
      </c>
      <c r="J96" s="32">
        <f t="shared" si="493"/>
        <v>0.1012750617269073</v>
      </c>
      <c r="K96" s="33">
        <f t="shared" si="493"/>
        <v>-0.32367376200959691</v>
      </c>
      <c r="L96" s="32">
        <f t="shared" si="493"/>
        <v>-0.49553933495539337</v>
      </c>
      <c r="M96" s="32">
        <f t="shared" si="493"/>
        <v>-0.43541364296081275</v>
      </c>
      <c r="N96" s="32">
        <f t="shared" si="493"/>
        <v>-0.24264705882352941</v>
      </c>
      <c r="O96" s="33">
        <f t="shared" si="493"/>
        <v>-1.0011299435028249</v>
      </c>
      <c r="P96" s="32">
        <f t="shared" si="493"/>
        <v>-0.23604572965702758</v>
      </c>
      <c r="Q96" s="32">
        <f t="shared" si="493"/>
        <v>-0.8722466960352423</v>
      </c>
      <c r="R96" s="32">
        <f t="shared" si="493"/>
        <v>-7.0673344462993878E-2</v>
      </c>
      <c r="S96" s="33">
        <f t="shared" si="493"/>
        <v>-1.2306368330464716</v>
      </c>
      <c r="T96" s="32">
        <f t="shared" si="493"/>
        <v>-0.35174171622769751</v>
      </c>
      <c r="U96" s="32">
        <f t="shared" si="493"/>
        <v>-0.2829391891891892</v>
      </c>
      <c r="V96" s="32">
        <f t="shared" si="493"/>
        <v>-9.6704871060171921E-2</v>
      </c>
      <c r="W96" s="33">
        <f t="shared" si="493"/>
        <v>0.71506682867557714</v>
      </c>
      <c r="X96" s="32">
        <f t="shared" si="493"/>
        <v>0.16327827191867852</v>
      </c>
      <c r="Y96" s="32">
        <f t="shared" si="493"/>
        <v>-2.601330913490623E-2</v>
      </c>
      <c r="Z96" s="32">
        <f t="shared" si="493"/>
        <v>-7.2929542645241041E-2</v>
      </c>
      <c r="AA96" s="33">
        <f t="shared" si="493"/>
        <v>0.22741055184960582</v>
      </c>
      <c r="AB96" s="32">
        <f t="shared" si="493"/>
        <v>0.31618102913825169</v>
      </c>
      <c r="AC96" s="32">
        <f t="shared" si="493"/>
        <v>3.8754764930114358E-2</v>
      </c>
      <c r="AD96" s="32">
        <f t="shared" si="493"/>
        <v>5.7396449704142011E-2</v>
      </c>
      <c r="AE96" s="33">
        <f t="shared" si="493"/>
        <v>-0.10467179183914843</v>
      </c>
      <c r="AF96" s="32">
        <f t="shared" si="493"/>
        <v>-0.37223974763406942</v>
      </c>
      <c r="AG96" s="32">
        <f t="shared" si="493"/>
        <v>2.6185421089879687E-2</v>
      </c>
      <c r="AH96" s="32">
        <f t="shared" si="493"/>
        <v>-0.12371946414499606</v>
      </c>
      <c r="AI96" s="32">
        <f t="shared" si="493"/>
        <v>-0.40952380952380951</v>
      </c>
      <c r="AJ96" s="34">
        <f t="shared" ref="AJ96:AX96" si="494">AJ95/AJ9</f>
        <v>-0.13419117647058823</v>
      </c>
      <c r="AK96" s="32">
        <f t="shared" si="494"/>
        <v>-6.3738156761412576E-2</v>
      </c>
      <c r="AL96" s="32">
        <f t="shared" si="494"/>
        <v>3.2854209445585217E-2</v>
      </c>
      <c r="AM96" s="32">
        <f t="shared" si="494"/>
        <v>5.6010069225928258E-2</v>
      </c>
      <c r="AN96" s="1852">
        <f t="shared" si="494"/>
        <v>-1.4316392269148175E-2</v>
      </c>
      <c r="AO96" s="1850">
        <f t="shared" si="494"/>
        <v>-2.4982650936849409E-2</v>
      </c>
      <c r="AP96" s="32">
        <f t="shared" si="494"/>
        <v>1.1896431070678797E-2</v>
      </c>
      <c r="AQ96" s="32">
        <f t="shared" si="494"/>
        <v>-0.29378531073446329</v>
      </c>
      <c r="AR96" s="34">
        <f t="shared" si="494"/>
        <v>-0.17475728155339806</v>
      </c>
      <c r="AS96" s="32">
        <f t="shared" si="494"/>
        <v>-0.19214437367303611</v>
      </c>
      <c r="AT96" s="32">
        <f t="shared" si="494"/>
        <v>-0.18567389255419417</v>
      </c>
      <c r="AU96" s="33">
        <f t="shared" si="494"/>
        <v>-0.10647181628392484</v>
      </c>
      <c r="AV96" s="34">
        <f t="shared" si="494"/>
        <v>-0.13100961538461539</v>
      </c>
      <c r="AW96" s="32">
        <f t="shared" si="494"/>
        <v>6.718597857838364E-2</v>
      </c>
      <c r="AX96" s="32">
        <f t="shared" si="494"/>
        <v>-0.31063504208110176</v>
      </c>
      <c r="AY96" s="33">
        <f t="shared" ref="AY96:BA96" si="495">AY95/AY9</f>
        <v>-4.6112115732368897E-2</v>
      </c>
      <c r="AZ96" s="1697">
        <f t="shared" si="495"/>
        <v>-7.41869918699187E-2</v>
      </c>
      <c r="BA96" s="1696">
        <f t="shared" si="495"/>
        <v>-1.3093289689034371E-2</v>
      </c>
      <c r="BB96" s="1850">
        <f t="shared" ref="BB96:BD96" si="496">BB95/BB9</f>
        <v>4.3213633597078513E-2</v>
      </c>
      <c r="BC96" s="33">
        <f t="shared" si="496"/>
        <v>4.1216216216216219E-2</v>
      </c>
      <c r="BD96" s="1852">
        <f t="shared" si="496"/>
        <v>4.9180327868852458E-2</v>
      </c>
      <c r="BE96" s="1850">
        <f t="shared" ref="BE96:BG96" si="497">BE95/BE9</f>
        <v>6.7327106151369012E-2</v>
      </c>
      <c r="BF96" s="1850">
        <f t="shared" si="497"/>
        <v>6.500802551112253E-2</v>
      </c>
      <c r="BG96" s="1851">
        <f t="shared" si="497"/>
        <v>4.4923734959015076E-2</v>
      </c>
      <c r="BH96" s="1913">
        <f t="shared" ref="BH96:BK96" si="498">BH95/BH9</f>
        <v>2.8430674573474819E-2</v>
      </c>
      <c r="BI96" s="1850">
        <f t="shared" si="498"/>
        <v>5.1304512341246694E-2</v>
      </c>
      <c r="BJ96" s="1850">
        <f t="shared" si="498"/>
        <v>6.2933458375952336E-2</v>
      </c>
      <c r="BK96" s="1851">
        <f t="shared" si="498"/>
        <v>5.8578710276002602E-2</v>
      </c>
      <c r="BL96" s="244"/>
      <c r="BM96" s="32">
        <f t="shared" ref="BM96:BY96" si="499">BM95/BM9</f>
        <v>2.8214774281805747E-2</v>
      </c>
      <c r="BN96" s="32">
        <f t="shared" si="499"/>
        <v>-2.9385731987962471E-2</v>
      </c>
      <c r="BO96" s="32">
        <f t="shared" si="499"/>
        <v>-0.56194911026110095</v>
      </c>
      <c r="BP96" s="32">
        <f t="shared" si="499"/>
        <v>-0.53305785123966942</v>
      </c>
      <c r="BQ96" s="32">
        <f t="shared" si="499"/>
        <v>5.4229131963723858E-2</v>
      </c>
      <c r="BR96" s="32">
        <f t="shared" si="499"/>
        <v>7.2528487834924549E-2</v>
      </c>
      <c r="BS96" s="32">
        <f t="shared" si="499"/>
        <v>7.4756394640682094E-2</v>
      </c>
      <c r="BT96" s="32">
        <f t="shared" si="499"/>
        <v>-0.21818517152342309</v>
      </c>
      <c r="BU96" s="1850">
        <f t="shared" si="499"/>
        <v>-1.5663332704283828E-2</v>
      </c>
      <c r="BV96" s="1850">
        <f t="shared" ref="BV96:BX96" si="500">BV95/BV9</f>
        <v>-7.3192880494006532E-2</v>
      </c>
      <c r="BW96" s="1850">
        <f t="shared" si="500"/>
        <v>-0.16537208719619143</v>
      </c>
      <c r="BX96" s="1850">
        <f t="shared" si="500"/>
        <v>-0.11633895131086143</v>
      </c>
      <c r="BY96" s="1850">
        <f t="shared" si="499"/>
        <v>8.0690561080878215E-3</v>
      </c>
      <c r="BZ96" s="1850">
        <f t="shared" ref="BZ96:CB96" si="501">BZ95/BZ9</f>
        <v>5.6881204747021984E-2</v>
      </c>
      <c r="CA96" s="1850">
        <f t="shared" si="501"/>
        <v>5.0837095486096787E-2</v>
      </c>
      <c r="CB96" s="1851">
        <f t="shared" si="501"/>
        <v>5.0837095486096787E-2</v>
      </c>
      <c r="CC96" s="2191"/>
      <c r="CD96" s="13"/>
    </row>
    <row r="97" spans="1:82" ht="14.25" hidden="1" customHeight="1" outlineLevel="1">
      <c r="A97" s="7"/>
      <c r="B97" s="30"/>
      <c r="C97" s="31"/>
      <c r="D97" s="32"/>
      <c r="E97" s="32"/>
      <c r="F97" s="32"/>
      <c r="G97" s="33"/>
      <c r="H97" s="32"/>
      <c r="I97" s="32"/>
      <c r="J97" s="32"/>
      <c r="K97" s="33"/>
      <c r="L97" s="32"/>
      <c r="M97" s="32"/>
      <c r="N97" s="32"/>
      <c r="O97" s="33"/>
      <c r="P97" s="32"/>
      <c r="Q97" s="32"/>
      <c r="R97" s="32"/>
      <c r="S97" s="33"/>
      <c r="T97" s="32"/>
      <c r="U97" s="32"/>
      <c r="V97" s="32"/>
      <c r="W97" s="33"/>
      <c r="X97" s="32"/>
      <c r="Y97" s="32"/>
      <c r="Z97" s="32"/>
      <c r="AA97" s="33"/>
      <c r="AB97" s="32"/>
      <c r="AC97" s="32"/>
      <c r="AD97" s="32"/>
      <c r="AE97" s="33"/>
      <c r="AF97" s="32"/>
      <c r="AG97" s="32"/>
      <c r="AH97" s="32"/>
      <c r="AI97" s="32"/>
      <c r="AJ97" s="34"/>
      <c r="AK97" s="32"/>
      <c r="AL97" s="32"/>
      <c r="AM97" s="32"/>
      <c r="AN97" s="1852"/>
      <c r="AO97" s="1850"/>
      <c r="AP97" s="32"/>
      <c r="AQ97" s="32"/>
      <c r="AR97" s="34"/>
      <c r="AS97" s="32"/>
      <c r="AT97" s="32"/>
      <c r="AU97" s="33"/>
      <c r="AV97" s="34"/>
      <c r="AW97" s="32"/>
      <c r="AX97" s="32"/>
      <c r="AY97" s="33"/>
      <c r="AZ97" s="1697"/>
      <c r="BA97" s="1696"/>
      <c r="BB97" s="1850"/>
      <c r="BC97" s="33"/>
      <c r="BD97" s="1852"/>
      <c r="BE97" s="1850"/>
      <c r="BF97" s="1850"/>
      <c r="BG97" s="1851"/>
      <c r="BH97" s="1913"/>
      <c r="BI97" s="1850"/>
      <c r="BJ97" s="1850"/>
      <c r="BK97" s="1851"/>
      <c r="BL97" s="244"/>
      <c r="BM97" s="32"/>
      <c r="BN97" s="32"/>
      <c r="BO97" s="32"/>
      <c r="BP97" s="32"/>
      <c r="BQ97" s="32"/>
      <c r="BR97" s="32"/>
      <c r="BS97" s="32"/>
      <c r="BT97" s="32"/>
      <c r="BU97" s="1850"/>
      <c r="BV97" s="1850"/>
      <c r="BW97" s="1850"/>
      <c r="BX97" s="1850"/>
      <c r="BY97" s="1850"/>
      <c r="BZ97" s="1850"/>
      <c r="CA97" s="1850"/>
      <c r="CB97" s="1851"/>
      <c r="CC97" s="2191"/>
      <c r="CD97" s="13"/>
    </row>
    <row r="98" spans="1:82" ht="14.25" hidden="1" customHeight="1" outlineLevel="1">
      <c r="A98" s="7"/>
      <c r="B98" s="332" t="s">
        <v>193</v>
      </c>
      <c r="C98" s="43"/>
      <c r="D98" s="334">
        <f>SUM(D99:D100)</f>
        <v>0</v>
      </c>
      <c r="E98" s="334">
        <f>SUM(E99:E100)</f>
        <v>0</v>
      </c>
      <c r="F98" s="334">
        <f>SUM(F99:F100)</f>
        <v>0</v>
      </c>
      <c r="G98" s="335">
        <f>SUM(G99:G100)</f>
        <v>0</v>
      </c>
      <c r="H98" s="334">
        <f t="shared" ref="H98:V98" si="502">SUM(H99:H100)</f>
        <v>0</v>
      </c>
      <c r="I98" s="334">
        <f t="shared" si="502"/>
        <v>0</v>
      </c>
      <c r="J98" s="334">
        <f t="shared" si="502"/>
        <v>0</v>
      </c>
      <c r="K98" s="335">
        <f t="shared" si="502"/>
        <v>0</v>
      </c>
      <c r="L98" s="334">
        <f t="shared" si="502"/>
        <v>0</v>
      </c>
      <c r="M98" s="334">
        <f t="shared" si="502"/>
        <v>0</v>
      </c>
      <c r="N98" s="334">
        <f t="shared" si="502"/>
        <v>0</v>
      </c>
      <c r="O98" s="335">
        <f t="shared" si="502"/>
        <v>35</v>
      </c>
      <c r="P98" s="334">
        <f t="shared" si="502"/>
        <v>13</v>
      </c>
      <c r="Q98" s="334">
        <f t="shared" si="502"/>
        <v>7</v>
      </c>
      <c r="R98" s="334">
        <f t="shared" si="502"/>
        <v>7</v>
      </c>
      <c r="S98" s="335">
        <f t="shared" si="502"/>
        <v>6</v>
      </c>
      <c r="T98" s="334">
        <f t="shared" si="502"/>
        <v>2</v>
      </c>
      <c r="U98" s="334">
        <f t="shared" si="502"/>
        <v>-5</v>
      </c>
      <c r="V98" s="334">
        <f t="shared" si="502"/>
        <v>-7</v>
      </c>
      <c r="W98" s="335">
        <f>SUM(W99:W100)</f>
        <v>-14</v>
      </c>
      <c r="X98" s="334">
        <f t="shared" ref="X98:AJ98" si="503">SUM(X99:X100)</f>
        <v>0</v>
      </c>
      <c r="Y98" s="334">
        <f t="shared" si="503"/>
        <v>0</v>
      </c>
      <c r="Z98" s="334">
        <f t="shared" si="503"/>
        <v>0</v>
      </c>
      <c r="AA98" s="335">
        <f>SUM(AA99:AA100)</f>
        <v>0</v>
      </c>
      <c r="AB98" s="334">
        <f t="shared" si="503"/>
        <v>0</v>
      </c>
      <c r="AC98" s="334">
        <f t="shared" si="503"/>
        <v>0</v>
      </c>
      <c r="AD98" s="334">
        <f t="shared" si="503"/>
        <v>0</v>
      </c>
      <c r="AE98" s="335">
        <f>SUM(AE99:AE100)</f>
        <v>0</v>
      </c>
      <c r="AF98" s="334">
        <f>SUM(AF99:AF100)</f>
        <v>0</v>
      </c>
      <c r="AG98" s="334">
        <f t="shared" si="503"/>
        <v>0</v>
      </c>
      <c r="AH98" s="334">
        <f t="shared" si="503"/>
        <v>0</v>
      </c>
      <c r="AI98" s="334">
        <f t="shared" si="503"/>
        <v>0</v>
      </c>
      <c r="AJ98" s="336">
        <f t="shared" si="503"/>
        <v>0</v>
      </c>
      <c r="AK98" s="334">
        <f t="shared" ref="AK98:AQ98" si="504">SUM(AK99:AK100)</f>
        <v>0</v>
      </c>
      <c r="AL98" s="334">
        <f t="shared" si="504"/>
        <v>0</v>
      </c>
      <c r="AM98" s="334">
        <f t="shared" si="504"/>
        <v>0</v>
      </c>
      <c r="AN98" s="336">
        <f t="shared" si="504"/>
        <v>0</v>
      </c>
      <c r="AO98" s="334">
        <f>SUM(AO99:AO100)</f>
        <v>0</v>
      </c>
      <c r="AP98" s="334">
        <f>SUM(AP99:AP100)</f>
        <v>0</v>
      </c>
      <c r="AQ98" s="334">
        <f t="shared" si="504"/>
        <v>0</v>
      </c>
      <c r="AR98" s="336">
        <f>SUM(AR99:AR100)</f>
        <v>0</v>
      </c>
      <c r="AS98" s="334">
        <f>SUM(AS99:AS100)</f>
        <v>0</v>
      </c>
      <c r="AT98" s="334">
        <f>SUM(AT99:AT100)</f>
        <v>0</v>
      </c>
      <c r="AU98" s="335">
        <f>SUM(AU99:AU100)</f>
        <v>0</v>
      </c>
      <c r="AV98" s="336">
        <f t="shared" ref="AV98:AW98" si="505">SUM(AV99:AV100)</f>
        <v>0</v>
      </c>
      <c r="AW98" s="334">
        <f t="shared" si="505"/>
        <v>0</v>
      </c>
      <c r="AX98" s="334">
        <f>SUM(AX99:AX100)</f>
        <v>0</v>
      </c>
      <c r="AY98" s="335">
        <f>SUM(AY99:AY100)</f>
        <v>0</v>
      </c>
      <c r="AZ98" s="336">
        <f t="shared" ref="AZ98:BA98" si="506">SUM(AZ99:AZ100)</f>
        <v>0</v>
      </c>
      <c r="BA98" s="334">
        <f t="shared" si="506"/>
        <v>0</v>
      </c>
      <c r="BB98" s="334">
        <f t="shared" ref="BB98" si="507">SUM(BB99:BB100)</f>
        <v>0</v>
      </c>
      <c r="BC98" s="335">
        <f>SUM(BC99:BC100)</f>
        <v>0</v>
      </c>
      <c r="BD98" s="336">
        <f t="shared" ref="BD98" si="508">SUM(BD99:BD100)</f>
        <v>0</v>
      </c>
      <c r="BE98" s="334">
        <f t="shared" ref="BE98:BG98" si="509">SUM(BE99:BE100)</f>
        <v>0</v>
      </c>
      <c r="BF98" s="334">
        <f t="shared" si="509"/>
        <v>0</v>
      </c>
      <c r="BG98" s="1649">
        <f t="shared" si="509"/>
        <v>0</v>
      </c>
      <c r="BH98" s="1918">
        <f t="shared" ref="BH98:BK98" si="510">SUM(BH99:BH100)</f>
        <v>0</v>
      </c>
      <c r="BI98" s="334">
        <f t="shared" si="510"/>
        <v>0</v>
      </c>
      <c r="BJ98" s="334">
        <f t="shared" si="510"/>
        <v>0</v>
      </c>
      <c r="BK98" s="1649">
        <f t="shared" si="510"/>
        <v>0</v>
      </c>
      <c r="BL98" s="244"/>
      <c r="BM98" s="334">
        <f>SUM(D98:G98)</f>
        <v>0</v>
      </c>
      <c r="BN98" s="334">
        <f>SUM(H98:K98)</f>
        <v>0</v>
      </c>
      <c r="BO98" s="334">
        <f>SUM(L98:O98)</f>
        <v>35</v>
      </c>
      <c r="BP98" s="334">
        <f>SUM(P98:S98)</f>
        <v>33</v>
      </c>
      <c r="BQ98" s="334">
        <f>SUM(T98:W98)</f>
        <v>-24</v>
      </c>
      <c r="BR98" s="334">
        <f>SUM(X98:AA98)</f>
        <v>0</v>
      </c>
      <c r="BS98" s="334">
        <f>SUM(AB98:AE98)</f>
        <v>0</v>
      </c>
      <c r="BT98" s="334">
        <f>SUM(AF98:AI98)</f>
        <v>0</v>
      </c>
      <c r="BU98" s="334">
        <f>SUM(AJ98:AM98)</f>
        <v>0</v>
      </c>
      <c r="BV98" s="334">
        <f t="shared" ref="BV98:BZ98" si="511">SUM(BV99:BV100)</f>
        <v>0</v>
      </c>
      <c r="BW98" s="334">
        <f t="shared" si="511"/>
        <v>0</v>
      </c>
      <c r="BX98" s="334">
        <f t="shared" si="511"/>
        <v>0</v>
      </c>
      <c r="BY98" s="334">
        <f t="shared" si="511"/>
        <v>0</v>
      </c>
      <c r="BZ98" s="334">
        <f t="shared" si="511"/>
        <v>0</v>
      </c>
      <c r="CA98" s="334">
        <f t="shared" ref="CA98" si="512">SUM(CA99:CA100)</f>
        <v>0</v>
      </c>
      <c r="CB98" s="2075">
        <f>SUM(CB99:CB100)</f>
        <v>0</v>
      </c>
      <c r="CC98" s="2191"/>
      <c r="CD98" s="13"/>
    </row>
    <row r="99" spans="1:82" ht="14.25" hidden="1" customHeight="1" outlineLevel="1">
      <c r="A99" s="7"/>
      <c r="B99" s="337" t="s">
        <v>267</v>
      </c>
      <c r="C99" s="31"/>
      <c r="D99" s="25">
        <v>0</v>
      </c>
      <c r="E99" s="25">
        <v>0</v>
      </c>
      <c r="F99" s="25">
        <v>0</v>
      </c>
      <c r="G99" s="26">
        <v>0</v>
      </c>
      <c r="H99" s="25">
        <v>0</v>
      </c>
      <c r="I99" s="25">
        <v>0</v>
      </c>
      <c r="J99" s="25">
        <v>0</v>
      </c>
      <c r="K99" s="26">
        <v>0</v>
      </c>
      <c r="L99" s="25">
        <v>0</v>
      </c>
      <c r="M99" s="25">
        <v>0</v>
      </c>
      <c r="N99" s="25">
        <v>0</v>
      </c>
      <c r="O99" s="359">
        <f>35-SUM(L99:N99)</f>
        <v>35</v>
      </c>
      <c r="P99" s="25">
        <v>13</v>
      </c>
      <c r="Q99" s="25">
        <v>7</v>
      </c>
      <c r="R99" s="25">
        <v>7</v>
      </c>
      <c r="S99" s="359">
        <f>33-SUM(P99:R99)</f>
        <v>6</v>
      </c>
      <c r="T99" s="25">
        <v>-6</v>
      </c>
      <c r="U99" s="25">
        <v>-25</v>
      </c>
      <c r="V99" s="25">
        <v>-29</v>
      </c>
      <c r="W99" s="359">
        <f>-83-SUM(S99:U99)</f>
        <v>-58</v>
      </c>
      <c r="X99" s="25">
        <v>0</v>
      </c>
      <c r="Y99" s="25">
        <v>0</v>
      </c>
      <c r="Z99" s="25">
        <v>0</v>
      </c>
      <c r="AA99" s="26">
        <v>0</v>
      </c>
      <c r="AB99" s="25">
        <v>0</v>
      </c>
      <c r="AC99" s="25">
        <v>0</v>
      </c>
      <c r="AD99" s="25">
        <v>0</v>
      </c>
      <c r="AE99" s="26">
        <v>0</v>
      </c>
      <c r="AF99" s="25">
        <v>0</v>
      </c>
      <c r="AG99" s="25">
        <v>0</v>
      </c>
      <c r="AH99" s="25">
        <v>0</v>
      </c>
      <c r="AI99" s="25">
        <v>0</v>
      </c>
      <c r="AJ99" s="582">
        <v>0</v>
      </c>
      <c r="AK99" s="25">
        <v>0</v>
      </c>
      <c r="AL99" s="25">
        <v>0</v>
      </c>
      <c r="AM99" s="25">
        <v>0</v>
      </c>
      <c r="AN99" s="582">
        <v>0</v>
      </c>
      <c r="AO99" s="25">
        <v>0</v>
      </c>
      <c r="AP99" s="25">
        <v>0</v>
      </c>
      <c r="AQ99" s="25">
        <v>0</v>
      </c>
      <c r="AR99" s="582">
        <v>0</v>
      </c>
      <c r="AS99" s="25">
        <v>0</v>
      </c>
      <c r="AT99" s="25">
        <v>0</v>
      </c>
      <c r="AU99" s="26">
        <v>0</v>
      </c>
      <c r="AV99" s="582">
        <v>0</v>
      </c>
      <c r="AW99" s="25">
        <v>0</v>
      </c>
      <c r="AX99" s="25">
        <v>0</v>
      </c>
      <c r="AY99" s="26">
        <v>0</v>
      </c>
      <c r="AZ99" s="582">
        <v>0</v>
      </c>
      <c r="BA99" s="25">
        <v>0</v>
      </c>
      <c r="BB99" s="25">
        <v>0</v>
      </c>
      <c r="BC99" s="26">
        <v>0</v>
      </c>
      <c r="BD99" s="582">
        <v>0</v>
      </c>
      <c r="BE99" s="25">
        <v>0</v>
      </c>
      <c r="BF99" s="25">
        <v>0</v>
      </c>
      <c r="BG99" s="1642">
        <v>0</v>
      </c>
      <c r="BH99" s="1916">
        <v>0</v>
      </c>
      <c r="BI99" s="25">
        <v>0</v>
      </c>
      <c r="BJ99" s="25">
        <v>0</v>
      </c>
      <c r="BK99" s="1642">
        <v>0</v>
      </c>
      <c r="BL99" s="244"/>
      <c r="BM99" s="27">
        <f>SUM(D99:G99)</f>
        <v>0</v>
      </c>
      <c r="BN99" s="27">
        <f>SUM(H99:K99)</f>
        <v>0</v>
      </c>
      <c r="BO99" s="27">
        <f>SUM(L99:O99)</f>
        <v>35</v>
      </c>
      <c r="BP99" s="27">
        <f>SUM(P99:S99)</f>
        <v>33</v>
      </c>
      <c r="BQ99" s="27">
        <f>SUM(T99:W99)</f>
        <v>-118</v>
      </c>
      <c r="BR99" s="27">
        <f>SUM(X99:AA99)</f>
        <v>0</v>
      </c>
      <c r="BS99" s="27">
        <f>SUM(AB99:AE99)</f>
        <v>0</v>
      </c>
      <c r="BT99" s="27">
        <f>SUM(AF99:AI99)</f>
        <v>0</v>
      </c>
      <c r="BU99" s="27">
        <f>SUM(AJ99:AM99)</f>
        <v>0</v>
      </c>
      <c r="BV99" s="27">
        <f t="shared" ref="BV99:BX100" si="513">BU99</f>
        <v>0</v>
      </c>
      <c r="BW99" s="27">
        <f t="shared" si="513"/>
        <v>0</v>
      </c>
      <c r="BX99" s="27">
        <f t="shared" si="513"/>
        <v>0</v>
      </c>
      <c r="BY99" s="27">
        <f t="shared" ref="BY99:CB100" si="514">BX99</f>
        <v>0</v>
      </c>
      <c r="BZ99" s="27">
        <f t="shared" si="514"/>
        <v>0</v>
      </c>
      <c r="CA99" s="27">
        <f t="shared" si="514"/>
        <v>0</v>
      </c>
      <c r="CB99" s="2075">
        <f t="shared" si="514"/>
        <v>0</v>
      </c>
      <c r="CC99" s="2191"/>
      <c r="CD99" s="13"/>
    </row>
    <row r="100" spans="1:82" ht="14.25" hidden="1" customHeight="1" outlineLevel="1">
      <c r="A100" s="7"/>
      <c r="B100" s="337" t="s">
        <v>268</v>
      </c>
      <c r="C100" s="31"/>
      <c r="D100" s="25">
        <v>0</v>
      </c>
      <c r="E100" s="25">
        <v>0</v>
      </c>
      <c r="F100" s="25">
        <v>0</v>
      </c>
      <c r="G100" s="26">
        <v>0</v>
      </c>
      <c r="H100" s="25">
        <v>0</v>
      </c>
      <c r="I100" s="25">
        <v>0</v>
      </c>
      <c r="J100" s="25">
        <v>0</v>
      </c>
      <c r="K100" s="26">
        <v>0</v>
      </c>
      <c r="L100" s="25">
        <v>0</v>
      </c>
      <c r="M100" s="25">
        <v>0</v>
      </c>
      <c r="N100" s="25">
        <v>0</v>
      </c>
      <c r="O100" s="26">
        <v>0</v>
      </c>
      <c r="P100" s="25">
        <v>0</v>
      </c>
      <c r="Q100" s="25">
        <v>0</v>
      </c>
      <c r="R100" s="25">
        <v>0</v>
      </c>
      <c r="S100" s="26">
        <v>0</v>
      </c>
      <c r="T100" s="25">
        <v>8</v>
      </c>
      <c r="U100" s="25">
        <v>20</v>
      </c>
      <c r="V100" s="25">
        <v>22</v>
      </c>
      <c r="W100" s="359">
        <f>72-SUM(S100:U100)</f>
        <v>44</v>
      </c>
      <c r="X100" s="25">
        <v>0</v>
      </c>
      <c r="Y100" s="25">
        <v>0</v>
      </c>
      <c r="Z100" s="25">
        <v>0</v>
      </c>
      <c r="AA100" s="26">
        <v>0</v>
      </c>
      <c r="AB100" s="25">
        <v>0</v>
      </c>
      <c r="AC100" s="25">
        <v>0</v>
      </c>
      <c r="AD100" s="25">
        <v>0</v>
      </c>
      <c r="AE100" s="26">
        <v>0</v>
      </c>
      <c r="AF100" s="25">
        <v>0</v>
      </c>
      <c r="AG100" s="25">
        <v>0</v>
      </c>
      <c r="AH100" s="25">
        <v>0</v>
      </c>
      <c r="AI100" s="25">
        <v>0</v>
      </c>
      <c r="AJ100" s="582">
        <v>0</v>
      </c>
      <c r="AK100" s="25">
        <v>0</v>
      </c>
      <c r="AL100" s="25">
        <v>0</v>
      </c>
      <c r="AM100" s="25">
        <v>0</v>
      </c>
      <c r="AN100" s="582">
        <v>0</v>
      </c>
      <c r="AO100" s="25">
        <v>0</v>
      </c>
      <c r="AP100" s="25">
        <v>0</v>
      </c>
      <c r="AQ100" s="25">
        <v>0</v>
      </c>
      <c r="AR100" s="582">
        <v>0</v>
      </c>
      <c r="AS100" s="25">
        <v>0</v>
      </c>
      <c r="AT100" s="25">
        <v>0</v>
      </c>
      <c r="AU100" s="26">
        <v>0</v>
      </c>
      <c r="AV100" s="582">
        <v>0</v>
      </c>
      <c r="AW100" s="25">
        <v>0</v>
      </c>
      <c r="AX100" s="25">
        <v>0</v>
      </c>
      <c r="AY100" s="26">
        <v>0</v>
      </c>
      <c r="AZ100" s="582">
        <v>0</v>
      </c>
      <c r="BA100" s="25">
        <v>0</v>
      </c>
      <c r="BB100" s="25">
        <v>0</v>
      </c>
      <c r="BC100" s="26">
        <v>0</v>
      </c>
      <c r="BD100" s="582">
        <v>0</v>
      </c>
      <c r="BE100" s="25">
        <v>0</v>
      </c>
      <c r="BF100" s="25">
        <v>0</v>
      </c>
      <c r="BG100" s="1642">
        <v>0</v>
      </c>
      <c r="BH100" s="1916">
        <v>0</v>
      </c>
      <c r="BI100" s="25">
        <v>0</v>
      </c>
      <c r="BJ100" s="25">
        <v>0</v>
      </c>
      <c r="BK100" s="1642">
        <v>0</v>
      </c>
      <c r="BL100" s="244"/>
      <c r="BM100" s="27">
        <f>SUM(D100:G100)</f>
        <v>0</v>
      </c>
      <c r="BN100" s="27">
        <f>SUM(H100:K100)</f>
        <v>0</v>
      </c>
      <c r="BO100" s="27">
        <f>SUM(L100:O100)</f>
        <v>0</v>
      </c>
      <c r="BP100" s="27">
        <f>SUM(P100:S100)</f>
        <v>0</v>
      </c>
      <c r="BQ100" s="27">
        <f>SUM(T100:W100)</f>
        <v>94</v>
      </c>
      <c r="BR100" s="27">
        <f>SUM(X100:AA100)</f>
        <v>0</v>
      </c>
      <c r="BS100" s="27">
        <f>SUM(AB100:AE100)</f>
        <v>0</v>
      </c>
      <c r="BT100" s="27">
        <f>SUM(AF100:AI100)</f>
        <v>0</v>
      </c>
      <c r="BU100" s="27">
        <f>SUM(AJ100:AM100)</f>
        <v>0</v>
      </c>
      <c r="BV100" s="27">
        <f t="shared" si="513"/>
        <v>0</v>
      </c>
      <c r="BW100" s="27">
        <f t="shared" si="513"/>
        <v>0</v>
      </c>
      <c r="BX100" s="27">
        <f t="shared" si="513"/>
        <v>0</v>
      </c>
      <c r="BY100" s="27">
        <f t="shared" si="514"/>
        <v>0</v>
      </c>
      <c r="BZ100" s="27">
        <f t="shared" si="514"/>
        <v>0</v>
      </c>
      <c r="CA100" s="27">
        <f t="shared" si="514"/>
        <v>0</v>
      </c>
      <c r="CB100" s="2075">
        <f t="shared" si="514"/>
        <v>0</v>
      </c>
      <c r="CC100" s="2191"/>
      <c r="CD100" s="13"/>
    </row>
    <row r="101" spans="1:82" ht="14.25" hidden="1" customHeight="1" outlineLevel="1">
      <c r="A101" s="7"/>
      <c r="B101" s="42" t="s">
        <v>194</v>
      </c>
      <c r="C101" s="43"/>
      <c r="D101" s="45">
        <f>D95-D98</f>
        <v>-17.423000000000037</v>
      </c>
      <c r="E101" s="45">
        <f>E95-E98</f>
        <v>11.318999999999912</v>
      </c>
      <c r="F101" s="45">
        <f>F95-F98</f>
        <v>76.000000000000171</v>
      </c>
      <c r="G101" s="46">
        <f>G95-G98</f>
        <v>95.103999999999701</v>
      </c>
      <c r="H101" s="45">
        <f t="shared" ref="H101:V101" si="515">H95-H98</f>
        <v>184.52399999999992</v>
      </c>
      <c r="I101" s="45">
        <f t="shared" si="515"/>
        <v>88.847000000000037</v>
      </c>
      <c r="J101" s="45">
        <f t="shared" si="515"/>
        <v>134.45500000000013</v>
      </c>
      <c r="K101" s="46">
        <f t="shared" si="515"/>
        <v>-573.82599999999991</v>
      </c>
      <c r="L101" s="45">
        <f t="shared" si="515"/>
        <v>-611</v>
      </c>
      <c r="M101" s="45">
        <f t="shared" si="515"/>
        <v>-600</v>
      </c>
      <c r="N101" s="45">
        <f t="shared" si="515"/>
        <v>-396</v>
      </c>
      <c r="O101" s="46">
        <f t="shared" si="515"/>
        <v>-1807</v>
      </c>
      <c r="P101" s="45">
        <f t="shared" si="515"/>
        <v>-364</v>
      </c>
      <c r="Q101" s="45">
        <f t="shared" si="515"/>
        <v>-1195</v>
      </c>
      <c r="R101" s="45">
        <f t="shared" si="515"/>
        <v>-134</v>
      </c>
      <c r="S101" s="46">
        <f t="shared" si="515"/>
        <v>-1436</v>
      </c>
      <c r="T101" s="45">
        <f t="shared" si="515"/>
        <v>-416</v>
      </c>
      <c r="U101" s="45">
        <f t="shared" si="515"/>
        <v>-330</v>
      </c>
      <c r="V101" s="45">
        <f t="shared" si="515"/>
        <v>-128</v>
      </c>
      <c r="W101" s="46">
        <f>W95-W98</f>
        <v>1191</v>
      </c>
      <c r="X101" s="45">
        <f t="shared" ref="X101:AJ101" si="516">X95-X98</f>
        <v>257</v>
      </c>
      <c r="Y101" s="45">
        <f t="shared" si="516"/>
        <v>-43</v>
      </c>
      <c r="Z101" s="45">
        <f t="shared" si="516"/>
        <v>-118</v>
      </c>
      <c r="AA101" s="46">
        <f t="shared" si="516"/>
        <v>375</v>
      </c>
      <c r="AB101" s="45">
        <f t="shared" si="516"/>
        <v>510</v>
      </c>
      <c r="AC101" s="45">
        <f t="shared" si="516"/>
        <v>61</v>
      </c>
      <c r="AD101" s="45">
        <f t="shared" si="516"/>
        <v>97</v>
      </c>
      <c r="AE101" s="46">
        <f>AE95-AE98</f>
        <v>-177</v>
      </c>
      <c r="AF101" s="45">
        <f>AF95-AF98</f>
        <v>-590</v>
      </c>
      <c r="AG101" s="45">
        <f t="shared" si="516"/>
        <v>37</v>
      </c>
      <c r="AH101" s="45">
        <f t="shared" si="516"/>
        <v>-157</v>
      </c>
      <c r="AI101" s="45">
        <f t="shared" si="516"/>
        <v>-473</v>
      </c>
      <c r="AJ101" s="44">
        <f t="shared" si="516"/>
        <v>-146</v>
      </c>
      <c r="AK101" s="45">
        <f t="shared" ref="AK101:AQ101" si="517">AK95-AK98</f>
        <v>-74</v>
      </c>
      <c r="AL101" s="45">
        <f t="shared" si="517"/>
        <v>48</v>
      </c>
      <c r="AM101" s="45">
        <f t="shared" si="517"/>
        <v>89</v>
      </c>
      <c r="AN101" s="44">
        <f>AN95-AN98</f>
        <v>-20</v>
      </c>
      <c r="AO101" s="45">
        <f>AO95-AO98</f>
        <v>-36</v>
      </c>
      <c r="AP101" s="45">
        <f>AP95-AP98</f>
        <v>17</v>
      </c>
      <c r="AQ101" s="45">
        <f t="shared" si="517"/>
        <v>-364</v>
      </c>
      <c r="AR101" s="44">
        <f>AR95-AR98</f>
        <v>-180</v>
      </c>
      <c r="AS101" s="45">
        <f>AS95-AS98</f>
        <v>-181</v>
      </c>
      <c r="AT101" s="45">
        <f>AT95-AT98</f>
        <v>-197</v>
      </c>
      <c r="AU101" s="46">
        <f>AU95-AU98</f>
        <v>-102</v>
      </c>
      <c r="AV101" s="44">
        <f t="shared" ref="AV101:AW101" si="518">AV95-AV98</f>
        <v>-109</v>
      </c>
      <c r="AW101" s="45">
        <f t="shared" si="518"/>
        <v>69</v>
      </c>
      <c r="AX101" s="45">
        <f>AX95-AX98</f>
        <v>-406</v>
      </c>
      <c r="AY101" s="46">
        <f>AY95-AY98</f>
        <v>-51</v>
      </c>
      <c r="AZ101" s="44">
        <f t="shared" ref="AZ101:BA101" si="519">AZ95-AZ98</f>
        <v>-73</v>
      </c>
      <c r="BA101" s="45">
        <f t="shared" si="519"/>
        <v>-16</v>
      </c>
      <c r="BB101" s="45">
        <f t="shared" ref="BB101" si="520">BB95-BB98</f>
        <v>71</v>
      </c>
      <c r="BC101" s="46">
        <f>BC95-BC98</f>
        <v>61</v>
      </c>
      <c r="BD101" s="44">
        <f t="shared" ref="BD101" si="521">BD95-BD98</f>
        <v>81</v>
      </c>
      <c r="BE101" s="45">
        <f t="shared" ref="BE101:BG101" si="522">BE95-BE98</f>
        <v>116.37655585449119</v>
      </c>
      <c r="BF101" s="45">
        <f t="shared" si="522"/>
        <v>112.48717211014186</v>
      </c>
      <c r="BG101" s="2175">
        <f t="shared" si="522"/>
        <v>73.016381215144463</v>
      </c>
      <c r="BH101" s="2174">
        <f t="shared" ref="BH101:BK101" si="523">BH95-BH98</f>
        <v>44.043244047187258</v>
      </c>
      <c r="BI101" s="45">
        <f t="shared" si="523"/>
        <v>83.906703131034291</v>
      </c>
      <c r="BJ101" s="45">
        <f t="shared" si="523"/>
        <v>108.0262736898724</v>
      </c>
      <c r="BK101" s="2175">
        <f t="shared" si="523"/>
        <v>99.750379811057513</v>
      </c>
      <c r="BL101" s="244"/>
      <c r="BM101" s="45">
        <f t="shared" ref="BM101:BS101" si="524">BM95-BM98</f>
        <v>165</v>
      </c>
      <c r="BN101" s="45">
        <f t="shared" si="524"/>
        <v>-166</v>
      </c>
      <c r="BO101" s="45">
        <f t="shared" si="524"/>
        <v>-3414</v>
      </c>
      <c r="BP101" s="45">
        <f t="shared" si="524"/>
        <v>-3129</v>
      </c>
      <c r="BQ101" s="45">
        <f t="shared" si="524"/>
        <v>317</v>
      </c>
      <c r="BR101" s="45">
        <f t="shared" si="524"/>
        <v>471</v>
      </c>
      <c r="BS101" s="45">
        <f t="shared" si="524"/>
        <v>491</v>
      </c>
      <c r="BT101" s="45">
        <f t="shared" ref="BT101:BY101" si="525">BT95-BT98</f>
        <v>-1183</v>
      </c>
      <c r="BU101" s="45">
        <f>BU95-BU98</f>
        <v>-83</v>
      </c>
      <c r="BV101" s="45">
        <f t="shared" ref="BV101:BX101" si="526">BV95-BV98</f>
        <v>-403</v>
      </c>
      <c r="BW101" s="45">
        <f t="shared" si="526"/>
        <v>-660</v>
      </c>
      <c r="BX101" s="45">
        <f t="shared" si="526"/>
        <v>-497</v>
      </c>
      <c r="BY101" s="45">
        <f t="shared" si="525"/>
        <v>43</v>
      </c>
      <c r="BZ101" s="45">
        <f t="shared" ref="BZ101:CB101" si="527">BZ95-BZ98</f>
        <v>382.88010917977772</v>
      </c>
      <c r="CA101" s="45">
        <f t="shared" si="527"/>
        <v>335.72660067915126</v>
      </c>
      <c r="CB101" s="2186">
        <f t="shared" si="527"/>
        <v>335.72660067915126</v>
      </c>
      <c r="CC101" s="2191"/>
      <c r="CD101" s="13"/>
    </row>
    <row r="102" spans="1:82" ht="14.25" customHeight="1" collapsed="1">
      <c r="A102" s="7"/>
      <c r="B102" s="30"/>
      <c r="C102" s="31"/>
      <c r="D102" s="308"/>
      <c r="E102" s="309"/>
      <c r="F102" s="309"/>
      <c r="G102" s="310"/>
      <c r="H102" s="308"/>
      <c r="I102" s="309"/>
      <c r="J102" s="309"/>
      <c r="K102" s="310"/>
      <c r="L102" s="308"/>
      <c r="M102" s="309"/>
      <c r="N102" s="309"/>
      <c r="O102" s="310"/>
      <c r="P102" s="308"/>
      <c r="Q102" s="309"/>
      <c r="R102" s="309"/>
      <c r="S102" s="310"/>
      <c r="T102" s="308"/>
      <c r="U102" s="309"/>
      <c r="V102" s="309"/>
      <c r="W102" s="310"/>
      <c r="X102" s="308"/>
      <c r="Y102" s="309"/>
      <c r="Z102" s="309"/>
      <c r="AA102" s="310"/>
      <c r="AB102" s="308"/>
      <c r="AC102" s="309"/>
      <c r="AD102" s="309"/>
      <c r="AE102" s="310"/>
      <c r="AF102" s="308"/>
      <c r="AG102" s="35"/>
      <c r="AH102" s="35"/>
      <c r="AI102" s="56"/>
      <c r="AJ102" s="36"/>
      <c r="AK102" s="35"/>
      <c r="AL102" s="35"/>
      <c r="AM102" s="56"/>
      <c r="AN102" s="36"/>
      <c r="AO102" s="35"/>
      <c r="AP102" s="35"/>
      <c r="AQ102" s="56"/>
      <c r="AR102" s="36"/>
      <c r="AS102" s="35"/>
      <c r="AT102" s="35"/>
      <c r="AU102" s="57"/>
      <c r="AV102" s="36"/>
      <c r="AW102" s="35"/>
      <c r="AX102" s="35"/>
      <c r="AY102" s="57"/>
      <c r="AZ102" s="36"/>
      <c r="BA102" s="35"/>
      <c r="BB102" s="35"/>
      <c r="BC102" s="57"/>
      <c r="BD102" s="36"/>
      <c r="BE102" s="1855"/>
      <c r="BF102" s="1855"/>
      <c r="BG102" s="1856"/>
      <c r="BH102" s="2024"/>
      <c r="BI102" s="1855"/>
      <c r="BJ102" s="1855"/>
      <c r="BK102" s="1856"/>
      <c r="BL102" s="244"/>
      <c r="BM102" s="35"/>
      <c r="BN102" s="35"/>
      <c r="BO102" s="35"/>
      <c r="BP102" s="35"/>
      <c r="BQ102" s="35"/>
      <c r="BR102" s="35"/>
      <c r="BS102" s="35"/>
      <c r="BT102" s="35"/>
      <c r="BU102" s="35"/>
      <c r="BV102" s="35"/>
      <c r="BW102" s="35"/>
      <c r="BX102" s="35"/>
      <c r="BY102" s="35"/>
      <c r="BZ102" s="35"/>
      <c r="CA102" s="35"/>
      <c r="CB102" s="35"/>
      <c r="CC102" s="2191"/>
      <c r="CD102" s="13"/>
    </row>
    <row r="103" spans="1:82" ht="14.25" customHeight="1">
      <c r="A103" s="7"/>
      <c r="B103" s="21" t="s">
        <v>12</v>
      </c>
      <c r="C103" s="22"/>
      <c r="D103" s="59">
        <f t="shared" ref="D103:AX103" si="528">D101/D110</f>
        <v>-4.4324648860147087E-2</v>
      </c>
      <c r="E103" s="59">
        <f t="shared" si="528"/>
        <v>2.7897244287583674E-2</v>
      </c>
      <c r="F103" s="59">
        <f t="shared" si="528"/>
        <v>0.17129424068193178</v>
      </c>
      <c r="G103" s="60">
        <f t="shared" si="528"/>
        <v>0.21040707964601704</v>
      </c>
      <c r="H103" s="59">
        <f t="shared" si="528"/>
        <v>0.37253041431299772</v>
      </c>
      <c r="I103" s="59">
        <f t="shared" si="528"/>
        <v>0.17763147372125021</v>
      </c>
      <c r="J103" s="59">
        <f t="shared" si="528"/>
        <v>0.27065736394160728</v>
      </c>
      <c r="K103" s="60">
        <f t="shared" si="528"/>
        <v>-1.0806516007532956</v>
      </c>
      <c r="L103" s="59">
        <f t="shared" si="528"/>
        <v>-1.1129326047358834</v>
      </c>
      <c r="M103" s="59">
        <f t="shared" si="528"/>
        <v>-1.0869565217391304</v>
      </c>
      <c r="N103" s="59">
        <f t="shared" si="528"/>
        <v>-0.71480144404332135</v>
      </c>
      <c r="O103" s="60">
        <f t="shared" si="528"/>
        <v>-3.1208981001727114</v>
      </c>
      <c r="P103" s="59">
        <f t="shared" si="528"/>
        <v>-0.60066006600660071</v>
      </c>
      <c r="Q103" s="59">
        <f t="shared" si="528"/>
        <v>-1.9686985172981879</v>
      </c>
      <c r="R103" s="59">
        <f t="shared" si="528"/>
        <v>-0.22039473684210525</v>
      </c>
      <c r="S103" s="60">
        <f t="shared" si="528"/>
        <v>-2.3579638752052543</v>
      </c>
      <c r="T103" s="59">
        <f t="shared" si="528"/>
        <v>-0.66453674121405748</v>
      </c>
      <c r="U103" s="59">
        <f t="shared" si="528"/>
        <v>-0.49475262368815592</v>
      </c>
      <c r="V103" s="59">
        <f t="shared" si="528"/>
        <v>-0.18443804034582131</v>
      </c>
      <c r="W103" s="60">
        <f t="shared" si="528"/>
        <v>1.5056890012642226</v>
      </c>
      <c r="X103" s="59">
        <f t="shared" si="528"/>
        <v>0.34084880636604775</v>
      </c>
      <c r="Y103" s="59">
        <f t="shared" si="528"/>
        <v>-6.0648801128349791E-2</v>
      </c>
      <c r="Z103" s="59">
        <f t="shared" si="528"/>
        <v>-0.16549789621318373</v>
      </c>
      <c r="AA103" s="60">
        <f t="shared" si="528"/>
        <v>0.51159618008185537</v>
      </c>
      <c r="AB103" s="59">
        <f t="shared" si="528"/>
        <v>0.66753926701570676</v>
      </c>
      <c r="AC103" s="59">
        <f t="shared" si="528"/>
        <v>8.2099596231493946E-2</v>
      </c>
      <c r="AD103" s="59">
        <f t="shared" si="528"/>
        <v>0.13090418353576247</v>
      </c>
      <c r="AE103" s="60">
        <f t="shared" si="528"/>
        <v>-0.24180327868852458</v>
      </c>
      <c r="AF103" s="59">
        <f t="shared" si="528"/>
        <v>-0.80381471389645776</v>
      </c>
      <c r="AG103" s="59">
        <f t="shared" si="528"/>
        <v>4.900662251655629E-2</v>
      </c>
      <c r="AH103" s="59">
        <f t="shared" si="528"/>
        <v>-0.21073825503355706</v>
      </c>
      <c r="AI103" s="59">
        <f t="shared" si="528"/>
        <v>-0.63319946452476572</v>
      </c>
      <c r="AJ103" s="58">
        <f t="shared" si="528"/>
        <v>-0.19492656875834447</v>
      </c>
      <c r="AK103" s="59">
        <f t="shared" si="528"/>
        <v>-9.8404255319148939E-2</v>
      </c>
      <c r="AL103" s="59">
        <f t="shared" si="528"/>
        <v>6.2827225130890049E-2</v>
      </c>
      <c r="AM103" s="59">
        <f t="shared" si="528"/>
        <v>0.11618798955613577</v>
      </c>
      <c r="AN103" s="58">
        <f t="shared" si="528"/>
        <v>-2.6281208935611037E-2</v>
      </c>
      <c r="AO103" s="59">
        <f t="shared" si="528"/>
        <v>-4.712041884816754E-2</v>
      </c>
      <c r="AP103" s="59">
        <f t="shared" si="528"/>
        <v>2.1656050955414011E-2</v>
      </c>
      <c r="AQ103" s="59">
        <f t="shared" si="528"/>
        <v>-0.46907216494845361</v>
      </c>
      <c r="AR103" s="58">
        <f t="shared" si="528"/>
        <v>-0.23166023166023167</v>
      </c>
      <c r="AS103" s="59">
        <f t="shared" si="528"/>
        <v>-0.2326478149100257</v>
      </c>
      <c r="AT103" s="59">
        <f t="shared" si="528"/>
        <v>-0.25095541401273885</v>
      </c>
      <c r="AU103" s="60">
        <f t="shared" si="528"/>
        <v>-0.12895069532237674</v>
      </c>
      <c r="AV103" s="58">
        <f t="shared" si="528"/>
        <v>-0.13745271122320302</v>
      </c>
      <c r="AW103" s="59">
        <f t="shared" si="528"/>
        <v>8.4043848964677217E-2</v>
      </c>
      <c r="AX103" s="59">
        <f t="shared" si="528"/>
        <v>-0.498159509202454</v>
      </c>
      <c r="AY103" s="60">
        <f t="shared" ref="AY103:BA103" si="529">AY101/AY110</f>
        <v>-5.4779806659505909E-2</v>
      </c>
      <c r="AZ103" s="58">
        <f t="shared" si="529"/>
        <v>-7.7742279020234298E-2</v>
      </c>
      <c r="BA103" s="59">
        <f t="shared" si="529"/>
        <v>-1.6931216931216932E-2</v>
      </c>
      <c r="BB103" s="59">
        <f t="shared" ref="BB103:BD103" si="530">BB101/BB110</f>
        <v>6.8138195777351251E-2</v>
      </c>
      <c r="BC103" s="60">
        <f t="shared" si="530"/>
        <v>5.8823529411764705E-2</v>
      </c>
      <c r="BD103" s="58">
        <f t="shared" si="530"/>
        <v>7.795957651588066E-2</v>
      </c>
      <c r="BE103" s="59">
        <f t="shared" ref="BE103:BG103" si="531">BE101/BE110</f>
        <v>0.1117930411666582</v>
      </c>
      <c r="BF103" s="59">
        <f t="shared" si="531"/>
        <v>0.10784963768949363</v>
      </c>
      <c r="BG103" s="2177">
        <f t="shared" si="531"/>
        <v>6.9872135134109531E-2</v>
      </c>
      <c r="BH103" s="2176">
        <f t="shared" ref="BH103:BK103" si="532">BH101/BH110</f>
        <v>4.2066135670665958E-2</v>
      </c>
      <c r="BI103" s="59">
        <f t="shared" si="532"/>
        <v>7.9987324243121341E-2</v>
      </c>
      <c r="BJ103" s="59">
        <f t="shared" si="532"/>
        <v>0.10278427563260932</v>
      </c>
      <c r="BK103" s="2177">
        <f t="shared" si="532"/>
        <v>9.472970542360637E-2</v>
      </c>
      <c r="BL103" s="244"/>
      <c r="BM103" s="59">
        <f t="shared" ref="BM103:BU103" si="533">BM101/BM110</f>
        <v>0.38949611595653461</v>
      </c>
      <c r="BN103" s="59">
        <f t="shared" si="533"/>
        <v>-0.32818095818954823</v>
      </c>
      <c r="BO103" s="59">
        <f t="shared" si="533"/>
        <v>-6.1128021486123547</v>
      </c>
      <c r="BP103" s="59">
        <f t="shared" si="533"/>
        <v>-5.1506172839506172</v>
      </c>
      <c r="BQ103" s="59">
        <f t="shared" si="533"/>
        <v>0.45644348452123829</v>
      </c>
      <c r="BR103" s="59">
        <f t="shared" si="533"/>
        <v>0.64764523891371606</v>
      </c>
      <c r="BS103" s="59">
        <f t="shared" si="533"/>
        <v>0.65906040268456378</v>
      </c>
      <c r="BT103" s="59">
        <f t="shared" si="533"/>
        <v>-1.5873867829587387</v>
      </c>
      <c r="BU103" s="59">
        <f t="shared" si="533"/>
        <v>-0.10953480699439129</v>
      </c>
      <c r="BV103" s="59">
        <f>+SUM(AN103:AQ103)</f>
        <v>-0.52081774177681817</v>
      </c>
      <c r="BW103" s="59">
        <f>+SUM(AR103:AU103)</f>
        <v>-0.84421415590537285</v>
      </c>
      <c r="BX103" s="59">
        <f t="shared" ref="BX103" si="534">+SUM(AV103:AY103)</f>
        <v>-0.60634817812048569</v>
      </c>
      <c r="BY103" s="59">
        <f>+SUM(AZ103:BC103)</f>
        <v>3.2288229237664723E-2</v>
      </c>
      <c r="BZ103" s="59">
        <f>+SUM(BD103:BG103)</f>
        <v>0.36747439050614206</v>
      </c>
      <c r="CA103" s="59">
        <f>+SUM(BH103:BK103)</f>
        <v>0.319567440970003</v>
      </c>
      <c r="CB103" s="2084">
        <f>CB101/CB109</f>
        <v>0.34222895074327347</v>
      </c>
      <c r="CC103" s="2191"/>
      <c r="CD103" s="13"/>
    </row>
    <row r="104" spans="1:82" ht="14.25" hidden="1" customHeight="1" outlineLevel="1">
      <c r="A104" s="7"/>
      <c r="B104" s="411" t="s">
        <v>347</v>
      </c>
      <c r="C104" s="43"/>
      <c r="D104" s="61"/>
      <c r="E104" s="61"/>
      <c r="F104" s="61"/>
      <c r="G104" s="62"/>
      <c r="H104" s="61"/>
      <c r="I104" s="61"/>
      <c r="J104" s="61"/>
      <c r="K104" s="62"/>
      <c r="L104" s="61"/>
      <c r="M104" s="61"/>
      <c r="N104" s="61"/>
      <c r="O104" s="62"/>
      <c r="P104" s="61"/>
      <c r="Q104" s="61"/>
      <c r="R104" s="61"/>
      <c r="S104" s="62"/>
      <c r="T104" s="61"/>
      <c r="U104" s="61"/>
      <c r="V104" s="61"/>
      <c r="W104" s="62"/>
      <c r="X104" s="61"/>
      <c r="Y104" s="61"/>
      <c r="Z104" s="61"/>
      <c r="AA104" s="62"/>
      <c r="AB104" s="61"/>
      <c r="AC104" s="61"/>
      <c r="AD104" s="61"/>
      <c r="AE104" s="62"/>
      <c r="AF104" s="413"/>
      <c r="AG104" s="413"/>
      <c r="AH104" s="413"/>
      <c r="AI104" s="414"/>
      <c r="AJ104" s="2060" t="str">
        <f>_xll.ThomsonONEAddinShim.SpreadsheetFormulas.TF($B$3,"TF.ES.EPS.Mean(period=1QCY2013)")</f>
        <v xml:space="preserve">               $     (0.17)              </v>
      </c>
      <c r="AK104" s="2060" t="str">
        <f>_xll.ThomsonONEAddinShim.SpreadsheetFormulas.TF($B$3,"TF.ES.EPS.Mean(period=2QCY2013)")</f>
        <v xml:space="preserve">               $     (0.12)              </v>
      </c>
      <c r="AL104" s="2060" t="str">
        <f>_xll.ThomsonONEAddinShim.SpreadsheetFormulas.TF($B$3,"TF.ES.EPS.Mean(period=3QCY2013)")</f>
        <v xml:space="preserve">               $      0.02               </v>
      </c>
      <c r="AM104" s="2061" t="str">
        <f>_xll.ThomsonONEAddinShim.SpreadsheetFormulas.TF($B$3,"TF.ES.EPS.Mean(period=4QCY2013)")</f>
        <v xml:space="preserve">               $      0.06               </v>
      </c>
      <c r="AN104" s="2060" t="str">
        <f>_xll.ThomsonONEAddinShim.SpreadsheetFormulas.TF($B$3,"TF.ES.EPS.Mean(period=1QCY2014)")</f>
        <v xml:space="preserve">               $      0.00               </v>
      </c>
      <c r="AO104" s="2060" t="str">
        <f>_xll.ThomsonONEAddinShim.SpreadsheetFormulas.TF($B$3,"TF.ES.EPS.Mean(period=2QCY2014)")</f>
        <v xml:space="preserve">               $      0.03               </v>
      </c>
      <c r="AP104" s="2060" t="str">
        <f>_xll.ThomsonONEAddinShim.SpreadsheetFormulas.TF($B$3,"TF.ES.EPS.Mean(period=3QCY2014)")</f>
        <v xml:space="preserve">               $      0.04               </v>
      </c>
      <c r="AQ104" s="2060" t="str">
        <f>_xll.ThomsonONEAddinShim.SpreadsheetFormulas.TF($B$3,"TF.ES.EPS.Mean(period=4QCY2014)")</f>
        <v xml:space="preserve">               $      0.01               </v>
      </c>
      <c r="AR104" s="2062" t="str">
        <f>_xll.ThomsonONEAddinShim.SpreadsheetFormulas.TF($B$3,"TF.ES.EPS.Mean(period=1QCY2015)")</f>
        <v xml:space="preserve">               $     (0.05)              </v>
      </c>
      <c r="AS104" s="2060" t="str">
        <f>_xll.ThomsonONEAddinShim.SpreadsheetFormulas.TF($B$3,"TF.ES.EPS.Mean(period=2QCY2015)")</f>
        <v xml:space="preserve">               $     (0.17)              </v>
      </c>
      <c r="AT104" s="2060" t="str">
        <f>_xll.ThomsonONEAddinShim.SpreadsheetFormulas.TF($B$3,"TF.ES.EPS.Mean(period=3QCY2015)")</f>
        <v xml:space="preserve">               $     (0.12)              </v>
      </c>
      <c r="AU104" s="2061" t="str">
        <f>_xll.ThomsonONEAddinShim.SpreadsheetFormulas.TF($B$3,"TF.ES.EPS.Mean(period=4QCY2015)")</f>
        <v xml:space="preserve">               $     (0.10)              </v>
      </c>
      <c r="AV104" s="2062" t="str">
        <f>_xll.ThomsonONEAddinShim.SpreadsheetFormulas.TF($B$3,"TF.ES.EPS.Mean(period=1QCY2016)")</f>
        <v xml:space="preserve">               $     (0.13)              </v>
      </c>
      <c r="AW104" s="2060" t="str">
        <f>_xll.ThomsonONEAddinShim.SpreadsheetFormulas.TF($B$3,"TF.ES.EPS.Mean(period=2QCY2016)")</f>
        <v xml:space="preserve">               $     (0.08)              </v>
      </c>
      <c r="AX104" s="2060" t="str">
        <f>_xll.ThomsonONEAddinShim.SpreadsheetFormulas.TF($B$3,"TF.ES.EPS.Mean(period=3QCY2016)")</f>
        <v xml:space="preserve">               $      0.00               </v>
      </c>
      <c r="AY104" s="2061" t="str">
        <f>_xll.ThomsonONEAddinShim.SpreadsheetFormulas.TF($B$3,"TF.ES.EPS.Mean(period=4QCY2016)")</f>
        <v xml:space="preserve">               $     (0.02)              </v>
      </c>
      <c r="AZ104" s="2062" t="str">
        <f>_xll.ThomsonONEAddinShim.SpreadsheetFormulas.TF($B$3,"TF.ES.EPS.Mean(period=1QCY2017)")</f>
        <v xml:space="preserve">               $     (0.04)              </v>
      </c>
      <c r="BA104" s="2060" t="str">
        <f>_xll.ThomsonONEAddinShim.SpreadsheetFormulas.TF($B$3,"TF.ES.EPS.Mean(period=2QCY2017)")</f>
        <v xml:space="preserve">               $     (0.00)              </v>
      </c>
      <c r="BB104" s="2060" t="str">
        <f>_xll.ThomsonONEAddinShim.SpreadsheetFormulas.TF($B$3,"TF.ES.EPS.Mean(period=3QCY2017)")</f>
        <v xml:space="preserve">               $      0.08               </v>
      </c>
      <c r="BC104" s="2061" t="str">
        <f>_xll.ThomsonONEAddinShim.SpreadsheetFormulas.TF($B$3,"TF.ES.EPS.Mean(period=4QCY2017)")</f>
        <v xml:space="preserve">               $      0.05               </v>
      </c>
      <c r="BD104" s="2062" t="str">
        <f>_xll.ThomsonONEAddinShim.SpreadsheetFormulas.TF($B$3,"TF.ES.EPS.Mean(period=1QCY2017)")</f>
        <v xml:space="preserve">                $     (0.04)               </v>
      </c>
      <c r="BE104" s="2060" t="str">
        <f>_xll.ThomsonONEAddinShim.SpreadsheetFormulas.TF($B$3,"TF.ES.EPS.Mean(period=2QCY2018)")</f>
        <v xml:space="preserve">               $      0.09               </v>
      </c>
      <c r="BF104" s="2060" t="str">
        <f>_xll.ThomsonONEAddinShim.SpreadsheetFormulas.TF($B$3,"TF.ES.EPS.Mean(period=3QCY2018)")</f>
        <v xml:space="preserve">               $      0.14               </v>
      </c>
      <c r="BG104" s="2064" t="str">
        <f>_xll.ThomsonONEAddinShim.SpreadsheetFormulas.TF($B$3,"TF.ES.EPS.Mean(period=4QCY2018)")</f>
        <v xml:space="preserve">               $      0.10               </v>
      </c>
      <c r="BH104" s="2063" t="str">
        <f>_xll.ThomsonONEAddinShim.SpreadsheetFormulas.TF($B$3,"TF.ES.EPS.Mean(period=1QCY2019)")</f>
        <v xml:space="preserve">               $      0.08               </v>
      </c>
      <c r="BI104" s="2060" t="str">
        <f>_xll.ThomsonONEAddinShim.SpreadsheetFormulas.TF($B$3,"TF.ES.EPS.Mean(period=2QCY2019)")</f>
        <v xml:space="preserve">               $      0.12               </v>
      </c>
      <c r="BJ104" s="2060" t="str">
        <f>_xll.ThomsonONEAddinShim.SpreadsheetFormulas.TF($B$3,"TF.ES.EPS.Mean(period=3QCY2019)")</f>
        <v xml:space="preserve">               $      0.17               </v>
      </c>
      <c r="BK104" s="2064" t="str">
        <f>_xll.ThomsonONEAddinShim.SpreadsheetFormulas.TF($B$3,"TF.ES.EPS.Mean(period=4QCY2019)")</f>
        <v xml:space="preserve">               $      0.14               </v>
      </c>
      <c r="BL104" s="244"/>
      <c r="BM104" s="61"/>
      <c r="BN104" s="61"/>
      <c r="BO104" s="61"/>
      <c r="BP104" s="61"/>
      <c r="BQ104" s="61"/>
      <c r="BR104" s="61"/>
      <c r="BS104" s="61"/>
      <c r="BT104" s="61" t="s">
        <v>373</v>
      </c>
      <c r="BU104" s="61"/>
      <c r="BV104" s="2065" t="str">
        <f>_xll.ThomsonONEAddinShim.SpreadsheetFormulas.TF($B$3,"TF.ES.EPS.Mean(period=FY2014)")</f>
        <v xml:space="preserve">              Manual Calculation              </v>
      </c>
      <c r="BW104" s="2065" t="str">
        <f>_xll.ThomsonONEAddinShim.SpreadsheetFormulas.TF($B$3,"TF.ES.EPS.Mean(period=FY2015)")</f>
        <v xml:space="preserve">              Manual Calculation              </v>
      </c>
      <c r="BX104" s="2065" t="str">
        <f>_xll.ThomsonONEAddinShim.SpreadsheetFormulas.TF($B$3,"TF.ES.EPS.Mean(period=FY2016)")</f>
        <v xml:space="preserve">              Manual Calculation              </v>
      </c>
      <c r="BY104" s="2065" t="str">
        <f>_xll.ThomsonONEAddinShim.SpreadsheetFormulas.TF($B$3,"TF.ES.EPS.Mean(period=FY2017)")</f>
        <v xml:space="preserve">               $       0.13               </v>
      </c>
      <c r="BZ104" s="2065" t="str">
        <f>_xll.ThomsonONEAddinShim.SpreadsheetFormulas.TF($B$3,"TF.ES.EPS.Mean(period=FY2018)")</f>
        <v xml:space="preserve">               $       0.38               </v>
      </c>
      <c r="CA104" s="2065" t="str">
        <f>_xll.ThomsonONEAddinShim.SpreadsheetFormulas.TF($B$3,"TF.ES.EPS.Mean(period=FY2019)")</f>
        <v xml:space="preserve">               $       0.53               </v>
      </c>
      <c r="CB104" s="2045"/>
      <c r="CC104" s="2191"/>
      <c r="CD104" s="13"/>
    </row>
    <row r="105" spans="1:82" ht="14.25" customHeight="1" collapsed="1">
      <c r="A105" s="7"/>
      <c r="B105" s="42" t="s">
        <v>622</v>
      </c>
      <c r="C105" s="43"/>
      <c r="D105" s="61">
        <f>+D90/D109</f>
        <v>-4.8527387763720689E-2</v>
      </c>
      <c r="E105" s="61">
        <f t="shared" ref="E105:AU105" si="535">+E90/E109</f>
        <v>2.0785809303666317E-2</v>
      </c>
      <c r="F105" s="61">
        <f t="shared" si="535"/>
        <v>0.1889455547898006</v>
      </c>
      <c r="G105" s="62">
        <f t="shared" si="535"/>
        <v>0.22684951456310609</v>
      </c>
      <c r="H105" s="61">
        <f t="shared" si="535"/>
        <v>0.47792837441820357</v>
      </c>
      <c r="I105" s="61">
        <f t="shared" si="535"/>
        <v>0.22526060746149457</v>
      </c>
      <c r="J105" s="61">
        <f t="shared" si="535"/>
        <v>0.23696823768174388</v>
      </c>
      <c r="K105" s="62">
        <f t="shared" si="535"/>
        <v>-4.6229755178907671E-2</v>
      </c>
      <c r="L105" s="61">
        <f t="shared" si="535"/>
        <v>-0.86156648451730422</v>
      </c>
      <c r="M105" s="61">
        <f t="shared" si="535"/>
        <v>-0.88043478260869568</v>
      </c>
      <c r="N105" s="61">
        <f t="shared" si="535"/>
        <v>-0.52888086642599275</v>
      </c>
      <c r="O105" s="62">
        <f t="shared" si="535"/>
        <v>-0.27979274611398963</v>
      </c>
      <c r="P105" s="61">
        <f t="shared" si="535"/>
        <v>-0.51320132013201325</v>
      </c>
      <c r="Q105" s="61">
        <f t="shared" si="535"/>
        <v>-1.4991762767710048</v>
      </c>
      <c r="R105" s="61">
        <f t="shared" si="535"/>
        <v>-0.45723684210526316</v>
      </c>
      <c r="S105" s="62">
        <f t="shared" si="535"/>
        <v>-0.60755336617405586</v>
      </c>
      <c r="T105" s="61">
        <f t="shared" si="535"/>
        <v>-0.50798722044728439</v>
      </c>
      <c r="U105" s="61">
        <f t="shared" si="535"/>
        <v>-0.66716641679160416</v>
      </c>
      <c r="V105" s="61">
        <f t="shared" si="535"/>
        <v>-0.25504322766570603</v>
      </c>
      <c r="W105" s="62">
        <f t="shared" si="535"/>
        <v>9.7872340425531917E-2</v>
      </c>
      <c r="X105" s="61">
        <f t="shared" si="535"/>
        <v>0.28995756718528998</v>
      </c>
      <c r="Y105" s="61">
        <f t="shared" si="535"/>
        <v>-4.9365303244005641E-2</v>
      </c>
      <c r="Z105" s="61">
        <f t="shared" si="535"/>
        <v>-0.14165497896213183</v>
      </c>
      <c r="AA105" s="62">
        <f t="shared" si="535"/>
        <v>0.20393811533052039</v>
      </c>
      <c r="AB105" s="61">
        <f t="shared" si="535"/>
        <v>0.76388888888888884</v>
      </c>
      <c r="AC105" s="61">
        <f t="shared" si="535"/>
        <v>0.10082872928176796</v>
      </c>
      <c r="AD105" s="61">
        <f t="shared" si="535"/>
        <v>0.13717421124828533</v>
      </c>
      <c r="AE105" s="62">
        <f t="shared" si="535"/>
        <v>-0.10928961748633879</v>
      </c>
      <c r="AF105" s="61">
        <f t="shared" si="535"/>
        <v>0.1226158038147139</v>
      </c>
      <c r="AG105" s="61">
        <f t="shared" si="535"/>
        <v>5.4127198917456022E-2</v>
      </c>
      <c r="AH105" s="61">
        <f t="shared" si="535"/>
        <v>-6.7114093959731544E-2</v>
      </c>
      <c r="AI105" s="62">
        <f t="shared" si="535"/>
        <v>-0.13654618473895583</v>
      </c>
      <c r="AJ105" s="61">
        <f t="shared" si="535"/>
        <v>-0.12283044058744993</v>
      </c>
      <c r="AK105" s="61">
        <f t="shared" si="535"/>
        <v>-8.2446808510638292E-2</v>
      </c>
      <c r="AL105" s="61">
        <f t="shared" si="535"/>
        <v>4.0951122853368563E-2</v>
      </c>
      <c r="AM105" s="62">
        <f t="shared" si="535"/>
        <v>5.9288537549407112E-2</v>
      </c>
      <c r="AN105" s="61">
        <f t="shared" si="535"/>
        <v>1.5768725361366621E-2</v>
      </c>
      <c r="AO105" s="61">
        <f t="shared" si="535"/>
        <v>2.2251308900523559E-2</v>
      </c>
      <c r="AP105" s="61">
        <f t="shared" si="535"/>
        <v>2.5974025974025976E-2</v>
      </c>
      <c r="AQ105" s="62">
        <f t="shared" si="535"/>
        <v>2.3195876288659795E-2</v>
      </c>
      <c r="AR105" s="61">
        <f t="shared" si="535"/>
        <v>-9.3951093951093953E-2</v>
      </c>
      <c r="AS105" s="61">
        <f t="shared" si="535"/>
        <v>-0.16838046272493573</v>
      </c>
      <c r="AT105" s="61">
        <f t="shared" si="535"/>
        <v>-0.17324840764331209</v>
      </c>
      <c r="AU105" s="62">
        <f t="shared" si="535"/>
        <v>-9.9873577749683945E-2</v>
      </c>
      <c r="AV105" s="61">
        <f t="shared" ref="AV105:AY105" si="536">+AV90/AV111</f>
        <v>-0.12105926860025221</v>
      </c>
      <c r="AW105" s="61">
        <f t="shared" si="536"/>
        <v>-4.8721071863580996E-2</v>
      </c>
      <c r="AX105" s="61">
        <f t="shared" si="536"/>
        <v>3.3128834355828224E-2</v>
      </c>
      <c r="AY105" s="62">
        <f t="shared" si="536"/>
        <v>-8.5929108485499461E-3</v>
      </c>
      <c r="AZ105" s="61">
        <f>+AZ90/AZ111</f>
        <v>-4.0468583599574018E-2</v>
      </c>
      <c r="BA105" s="61">
        <f>+BA90/BA111</f>
        <v>1.8339768339768341E-2</v>
      </c>
      <c r="BB105" s="61">
        <f>+BB90/BB111</f>
        <v>9.6237970253718289E-2</v>
      </c>
      <c r="BC105" s="62">
        <f t="shared" ref="BC105" si="537">+BC90/BC111</f>
        <v>7.7396657871591903E-2</v>
      </c>
      <c r="BD105" s="61">
        <f>+BD90/BD111</f>
        <v>0.10614035087719298</v>
      </c>
      <c r="BE105" s="61">
        <f t="shared" ref="BE105:BG105" si="538">+BE90/BE111</f>
        <v>0.12476055679027251</v>
      </c>
      <c r="BF105" s="61">
        <f t="shared" si="538"/>
        <v>0.1211426329634107</v>
      </c>
      <c r="BG105" s="2179">
        <f t="shared" si="538"/>
        <v>8.6488988843930595E-2</v>
      </c>
      <c r="BH105" s="2178">
        <f t="shared" ref="BH105:BK105" si="539">+BH90/BH111</f>
        <v>6.1100386800685774E-2</v>
      </c>
      <c r="BI105" s="61">
        <f t="shared" si="539"/>
        <v>9.5658002722638524E-2</v>
      </c>
      <c r="BJ105" s="61">
        <f t="shared" si="539"/>
        <v>0.11642905702245868</v>
      </c>
      <c r="BK105" s="2179">
        <f t="shared" si="539"/>
        <v>0.10905578839779678</v>
      </c>
      <c r="BL105" s="244"/>
      <c r="BM105" s="61">
        <f t="shared" ref="BM105:BU105" si="540">+BM90/BM109</f>
        <v>0.41262481900774983</v>
      </c>
      <c r="BN105" s="61">
        <f t="shared" si="540"/>
        <v>0.81109203073116798</v>
      </c>
      <c r="BO105" s="61">
        <f t="shared" si="540"/>
        <v>-2.5729632945389436</v>
      </c>
      <c r="BP105" s="61">
        <f t="shared" si="540"/>
        <v>-3.1884773662551442</v>
      </c>
      <c r="BQ105" s="61">
        <f t="shared" si="540"/>
        <v>-1.2912332838038634</v>
      </c>
      <c r="BR105" s="61">
        <f t="shared" si="540"/>
        <v>0.31408450704225355</v>
      </c>
      <c r="BS105" s="61">
        <f t="shared" si="540"/>
        <v>0.89087779690189328</v>
      </c>
      <c r="BT105" s="61">
        <f t="shared" si="540"/>
        <v>-3.2377740303541312E-2</v>
      </c>
      <c r="BU105" s="61">
        <f t="shared" si="540"/>
        <v>-0.11004308916141863</v>
      </c>
      <c r="BV105" s="61">
        <f>+BV90/BV109</f>
        <v>8.7267990882448715E-2</v>
      </c>
      <c r="BW105" s="61">
        <f t="shared" ref="BW105:BX105" si="541">+BW90/BW109</f>
        <v>-0.5352922389013095</v>
      </c>
      <c r="BX105" s="61">
        <f t="shared" si="541"/>
        <v>3.0003000300030003E-2</v>
      </c>
      <c r="BY105" s="61">
        <f>+BY90/BY111</f>
        <v>0.16827262044653349</v>
      </c>
      <c r="BZ105" s="61">
        <f t="shared" ref="BZ105" si="542">+BZ90/BZ111</f>
        <v>0.43847778580907915</v>
      </c>
      <c r="CA105" s="61">
        <f t="shared" ref="CA105" si="543">+CA90/CA111</f>
        <v>0.38238627339630943</v>
      </c>
      <c r="CB105" s="2045">
        <f>+CB90/CB111</f>
        <v>0.38172298411027872</v>
      </c>
      <c r="CC105" s="2191"/>
      <c r="CD105" s="13"/>
    </row>
    <row r="106" spans="1:82" ht="14.25" customHeight="1">
      <c r="A106" s="7"/>
      <c r="B106" s="63" t="s">
        <v>13</v>
      </c>
      <c r="C106" s="64"/>
      <c r="D106" s="66">
        <f>D92/D111</f>
        <v>-4.4324648860147087E-2</v>
      </c>
      <c r="E106" s="66">
        <f t="shared" ref="E106:AZ106" si="544">E92/E111</f>
        <v>2.7897244287583674E-2</v>
      </c>
      <c r="F106" s="66">
        <f t="shared" si="544"/>
        <v>0.17129424068193178</v>
      </c>
      <c r="G106" s="67">
        <f t="shared" si="544"/>
        <v>0.21040707964601704</v>
      </c>
      <c r="H106" s="66">
        <f t="shared" si="544"/>
        <v>0.3765681591517504</v>
      </c>
      <c r="I106" s="66">
        <f t="shared" si="544"/>
        <v>0.18163006621669181</v>
      </c>
      <c r="J106" s="66">
        <f t="shared" si="544"/>
        <v>0.27396270321193661</v>
      </c>
      <c r="K106" s="67">
        <f t="shared" si="544"/>
        <v>-2.792090395480222E-2</v>
      </c>
      <c r="L106" s="66">
        <f t="shared" si="544"/>
        <v>-0.90346083788706744</v>
      </c>
      <c r="M106" s="66">
        <f t="shared" si="544"/>
        <v>-0.93840579710144922</v>
      </c>
      <c r="N106" s="66">
        <f t="shared" si="544"/>
        <v>-0.57761732851985559</v>
      </c>
      <c r="O106" s="67">
        <f t="shared" si="544"/>
        <v>-0.17789291882556132</v>
      </c>
      <c r="P106" s="66">
        <f t="shared" si="544"/>
        <v>-0.4636963696369637</v>
      </c>
      <c r="Q106" s="66">
        <f t="shared" si="544"/>
        <v>-0.68533772652388802</v>
      </c>
      <c r="R106" s="66">
        <f t="shared" si="544"/>
        <v>-0.20888157894736842</v>
      </c>
      <c r="S106" s="67">
        <f t="shared" si="544"/>
        <v>-0.70443349753694584</v>
      </c>
      <c r="T106" s="66">
        <f t="shared" si="544"/>
        <v>-0.51118210862619806</v>
      </c>
      <c r="U106" s="66">
        <f t="shared" si="544"/>
        <v>-0.65217391304347827</v>
      </c>
      <c r="V106" s="66">
        <f t="shared" si="544"/>
        <v>-0.2478386167146974</v>
      </c>
      <c r="W106" s="67">
        <f t="shared" si="544"/>
        <v>7.7117572692793929E-2</v>
      </c>
      <c r="X106" s="66">
        <f t="shared" si="544"/>
        <v>0.27188328912466841</v>
      </c>
      <c r="Y106" s="66">
        <f t="shared" si="544"/>
        <v>-4.2313117066290547E-2</v>
      </c>
      <c r="Z106" s="66">
        <f t="shared" si="544"/>
        <v>-0.14305750350631136</v>
      </c>
      <c r="AA106" s="67">
        <f t="shared" si="544"/>
        <v>0.20463847203274216</v>
      </c>
      <c r="AB106" s="66">
        <f t="shared" si="544"/>
        <v>0.7172774869109948</v>
      </c>
      <c r="AC106" s="66">
        <f t="shared" si="544"/>
        <v>9.4212651413189769E-2</v>
      </c>
      <c r="AD106" s="66">
        <f t="shared" si="544"/>
        <v>0.1417004048582996</v>
      </c>
      <c r="AE106" s="67">
        <f t="shared" si="544"/>
        <v>-9.8360655737704916E-2</v>
      </c>
      <c r="AF106" s="66">
        <f t="shared" si="544"/>
        <v>0.11716621253405994</v>
      </c>
      <c r="AG106" s="66">
        <f t="shared" si="544"/>
        <v>6.0927152317880796E-2</v>
      </c>
      <c r="AH106" s="66">
        <f t="shared" si="544"/>
        <v>-6.7114093959731544E-2</v>
      </c>
      <c r="AI106" s="67">
        <f t="shared" si="544"/>
        <v>-0.14190093708165996</v>
      </c>
      <c r="AJ106" s="66">
        <f t="shared" si="544"/>
        <v>-0.12550066755674233</v>
      </c>
      <c r="AK106" s="66">
        <f t="shared" si="544"/>
        <v>-8.6436170212765964E-2</v>
      </c>
      <c r="AL106" s="66">
        <f t="shared" si="544"/>
        <v>4.0575916230366493E-2</v>
      </c>
      <c r="AM106" s="66">
        <f t="shared" si="544"/>
        <v>5.87467362924282E-2</v>
      </c>
      <c r="AN106" s="65">
        <f t="shared" si="544"/>
        <v>-1.3140604467805519E-3</v>
      </c>
      <c r="AO106" s="66">
        <f t="shared" si="544"/>
        <v>2.2251308900523559E-2</v>
      </c>
      <c r="AP106" s="66">
        <f t="shared" si="544"/>
        <v>2.5477707006369428E-2</v>
      </c>
      <c r="AQ106" s="66">
        <f t="shared" si="544"/>
        <v>2.5773195876288659E-3</v>
      </c>
      <c r="AR106" s="65">
        <f t="shared" si="544"/>
        <v>-0.11583011583011583</v>
      </c>
      <c r="AS106" s="66">
        <f t="shared" si="544"/>
        <v>-0.19023136246786632</v>
      </c>
      <c r="AT106" s="66">
        <f t="shared" si="544"/>
        <v>-0.18980891719745224</v>
      </c>
      <c r="AU106" s="67">
        <f t="shared" si="544"/>
        <v>-0.10366624525916561</v>
      </c>
      <c r="AV106" s="66">
        <f t="shared" si="544"/>
        <v>-0.14123581336696092</v>
      </c>
      <c r="AW106" s="66">
        <f t="shared" si="544"/>
        <v>0.11205846528623629</v>
      </c>
      <c r="AX106" s="66">
        <f t="shared" si="544"/>
        <v>8.5889570552147243E-2</v>
      </c>
      <c r="AY106" s="67">
        <f t="shared" si="544"/>
        <v>-2.2556390977443608E-2</v>
      </c>
      <c r="AZ106" s="66">
        <f t="shared" si="544"/>
        <v>-5.0053248136315232E-2</v>
      </c>
      <c r="BA106" s="66">
        <f>BA92/BA111</f>
        <v>2.8957528957528956E-3</v>
      </c>
      <c r="BB106" s="66">
        <f>BB92/BB111</f>
        <v>7.7865266841644798E-2</v>
      </c>
      <c r="BC106" s="67">
        <f>BC92/BC109</f>
        <v>7.5647668393782383E-2</v>
      </c>
      <c r="BD106" s="66">
        <f>BD92/BD109</f>
        <v>0.1012396694214876</v>
      </c>
      <c r="BE106" s="66">
        <f t="shared" ref="BE106:BG106" si="545">BE92/BE111</f>
        <v>0.10190591580953694</v>
      </c>
      <c r="BF106" s="66">
        <f t="shared" si="545"/>
        <v>9.8327947648725392E-2</v>
      </c>
      <c r="BG106" s="2180">
        <f t="shared" si="545"/>
        <v>6.3714119733982957E-2</v>
      </c>
      <c r="BH106" s="65">
        <f t="shared" ref="BH106:BK106" si="546">BH92/BH111</f>
        <v>3.8365195163055102E-2</v>
      </c>
      <c r="BI106" s="66">
        <f t="shared" si="546"/>
        <v>7.2962350548725477E-2</v>
      </c>
      <c r="BJ106" s="66">
        <f t="shared" si="546"/>
        <v>9.3772807022458673E-2</v>
      </c>
      <c r="BK106" s="2180">
        <f t="shared" si="546"/>
        <v>8.6438803995717087E-2</v>
      </c>
      <c r="BL106" s="244"/>
      <c r="BM106" s="66">
        <f t="shared" ref="BM106:BU106" si="547">BM92/BM110</f>
        <v>0.38949611595653461</v>
      </c>
      <c r="BN106" s="66">
        <f t="shared" si="547"/>
        <v>0.78811273213613153</v>
      </c>
      <c r="BO106" s="66">
        <f t="shared" si="547"/>
        <v>-2.5729632945389436</v>
      </c>
      <c r="BP106" s="66">
        <f t="shared" si="547"/>
        <v>-2.062551440329218</v>
      </c>
      <c r="BQ106" s="66">
        <f t="shared" si="547"/>
        <v>-1.2469402447804177</v>
      </c>
      <c r="BR106" s="66">
        <f t="shared" si="547"/>
        <v>0.30663458233069785</v>
      </c>
      <c r="BS106" s="66">
        <f t="shared" si="547"/>
        <v>0.87382550335570475</v>
      </c>
      <c r="BT106" s="66">
        <f t="shared" si="547"/>
        <v>-3.2203958403220392E-2</v>
      </c>
      <c r="BU106" s="66">
        <f t="shared" si="547"/>
        <v>-0.10953480699439129</v>
      </c>
      <c r="BV106" s="66">
        <f>BV92/BV109</f>
        <v>0.11331813741452296</v>
      </c>
      <c r="BW106" s="66">
        <f>BW92/BW109</f>
        <v>-0.59916959437879269</v>
      </c>
      <c r="BX106" s="66">
        <f>BX92/BX109</f>
        <v>3.48034803480348E-2</v>
      </c>
      <c r="BY106" s="66">
        <f>BY92/BY111</f>
        <v>0.1109283196239718</v>
      </c>
      <c r="BZ106" s="66">
        <f>BZ92/BZ111</f>
        <v>0.34985136411179152</v>
      </c>
      <c r="CA106" s="66">
        <f>CA92/CA111</f>
        <v>0.29168253751446677</v>
      </c>
      <c r="CB106" s="2187">
        <f>CB92/CB111</f>
        <v>0.29117658341643649</v>
      </c>
      <c r="CC106" s="2191"/>
      <c r="CD106" s="13"/>
    </row>
    <row r="107" spans="1:82" ht="14.25" customHeight="1">
      <c r="A107" s="7"/>
      <c r="B107" s="69"/>
      <c r="C107" s="69"/>
      <c r="D107" s="59"/>
      <c r="E107" s="59"/>
      <c r="F107" s="59"/>
      <c r="G107" s="59"/>
      <c r="H107" s="59"/>
      <c r="I107" s="59"/>
      <c r="J107" s="59"/>
      <c r="K107" s="59"/>
      <c r="L107" s="59"/>
      <c r="M107" s="59"/>
      <c r="N107" s="59"/>
      <c r="O107" s="59"/>
      <c r="P107" s="59"/>
      <c r="Q107" s="59"/>
      <c r="R107" s="59"/>
      <c r="S107" s="59"/>
      <c r="T107" s="59"/>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1868"/>
      <c r="BA107" s="1868"/>
      <c r="BB107" s="1868"/>
      <c r="BC107" s="2045"/>
      <c r="BD107" s="2045"/>
      <c r="BE107" s="2045"/>
      <c r="BF107" s="2045"/>
      <c r="BG107" s="2045"/>
      <c r="BH107" s="2045"/>
      <c r="BI107" s="2045"/>
      <c r="BJ107" s="2045"/>
      <c r="BK107" s="2045"/>
      <c r="BL107" s="2045"/>
      <c r="BM107" s="2045"/>
      <c r="BN107" s="2045"/>
      <c r="BO107" s="2045"/>
      <c r="BP107" s="2045"/>
      <c r="BQ107" s="2045"/>
      <c r="BR107" s="2045"/>
      <c r="BS107" s="2045"/>
      <c r="BT107" s="2045"/>
      <c r="BU107" s="2045"/>
      <c r="BV107" s="2045"/>
      <c r="BW107" s="2045"/>
      <c r="BX107" s="2045"/>
      <c r="BY107" s="2045"/>
      <c r="BZ107" s="2045"/>
      <c r="CA107" s="2045"/>
      <c r="CB107" s="2084"/>
      <c r="CC107" s="1501"/>
      <c r="CD107" s="13"/>
    </row>
    <row r="108" spans="1:82" ht="14.25" customHeight="1">
      <c r="A108" s="7"/>
      <c r="B108" s="117"/>
      <c r="C108" s="69"/>
      <c r="D108" s="39"/>
      <c r="E108" s="39"/>
      <c r="F108" s="39"/>
      <c r="G108" s="39"/>
      <c r="H108" s="39"/>
      <c r="I108" s="39"/>
      <c r="J108" s="39"/>
      <c r="K108" s="39"/>
      <c r="L108" s="39"/>
      <c r="M108" s="39"/>
      <c r="N108" s="39"/>
      <c r="O108" s="39"/>
      <c r="P108" s="39"/>
      <c r="Q108" s="39"/>
      <c r="R108" s="39"/>
      <c r="S108" s="39"/>
      <c r="T108" s="39"/>
      <c r="U108" s="39"/>
      <c r="V108" s="39"/>
      <c r="W108" s="39"/>
      <c r="X108" s="39"/>
      <c r="Y108" s="39"/>
      <c r="Z108" s="39"/>
      <c r="AA108" s="39"/>
      <c r="AB108" s="39"/>
      <c r="AC108" s="39"/>
      <c r="AD108" s="39"/>
      <c r="AE108" s="39"/>
      <c r="AF108" s="39"/>
      <c r="AG108" s="39"/>
      <c r="AH108" s="39"/>
      <c r="AI108" s="39"/>
      <c r="AJ108" s="39"/>
      <c r="AK108" s="39"/>
      <c r="AL108" s="39"/>
      <c r="AM108" s="39"/>
      <c r="AN108" s="39"/>
      <c r="AO108" s="39"/>
      <c r="AP108" s="39"/>
      <c r="AQ108" s="39"/>
      <c r="AR108" s="39"/>
      <c r="AS108" s="39"/>
      <c r="AT108" s="39"/>
      <c r="AU108" s="39"/>
      <c r="AV108" s="39"/>
      <c r="AW108" s="39"/>
      <c r="AX108" s="39"/>
      <c r="AY108" s="39"/>
      <c r="AZ108" s="39"/>
      <c r="BA108" s="39"/>
      <c r="BB108" s="39"/>
      <c r="BC108" s="39"/>
      <c r="BD108" s="39"/>
      <c r="BE108" s="347"/>
      <c r="BF108" s="347"/>
      <c r="BG108" s="347"/>
      <c r="BH108" s="347"/>
      <c r="BI108" s="347"/>
      <c r="BJ108" s="347"/>
      <c r="BK108" s="347"/>
      <c r="BL108" s="39"/>
      <c r="BM108" s="39"/>
      <c r="BN108" s="39"/>
      <c r="BO108" s="39"/>
      <c r="BP108" s="39"/>
      <c r="BQ108" s="39"/>
      <c r="BR108" s="39"/>
      <c r="BS108" s="39"/>
      <c r="BT108" s="39"/>
      <c r="BU108" s="39"/>
      <c r="BV108" s="39"/>
      <c r="BW108" s="39"/>
      <c r="BX108" s="39"/>
      <c r="BY108" s="347"/>
      <c r="BZ108" s="347"/>
      <c r="CA108" s="347"/>
      <c r="CB108" s="2226"/>
      <c r="CC108" s="1501"/>
      <c r="CD108" s="13"/>
    </row>
    <row r="109" spans="1:82" ht="14.25" customHeight="1">
      <c r="A109" s="7"/>
      <c r="B109" s="72" t="s">
        <v>14</v>
      </c>
      <c r="C109" s="73"/>
      <c r="D109" s="74">
        <v>393.077</v>
      </c>
      <c r="E109" s="75">
        <v>395.41399999999999</v>
      </c>
      <c r="F109" s="75">
        <v>399.02499999999998</v>
      </c>
      <c r="G109" s="76">
        <v>412</v>
      </c>
      <c r="H109" s="74">
        <v>464.08</v>
      </c>
      <c r="I109" s="75">
        <v>484.541</v>
      </c>
      <c r="J109" s="75">
        <v>486.33100000000002</v>
      </c>
      <c r="K109" s="76">
        <v>531</v>
      </c>
      <c r="L109" s="74">
        <v>549</v>
      </c>
      <c r="M109" s="75">
        <v>552</v>
      </c>
      <c r="N109" s="75">
        <v>554</v>
      </c>
      <c r="O109" s="76">
        <v>579</v>
      </c>
      <c r="P109" s="74">
        <v>606</v>
      </c>
      <c r="Q109" s="75">
        <v>607</v>
      </c>
      <c r="R109" s="75">
        <v>608</v>
      </c>
      <c r="S109" s="76">
        <v>609</v>
      </c>
      <c r="T109" s="74">
        <v>626</v>
      </c>
      <c r="U109" s="75">
        <v>667</v>
      </c>
      <c r="V109" s="75">
        <v>694</v>
      </c>
      <c r="W109" s="76">
        <v>705</v>
      </c>
      <c r="X109" s="74">
        <v>707</v>
      </c>
      <c r="Y109" s="75">
        <v>709</v>
      </c>
      <c r="Z109" s="75">
        <v>713</v>
      </c>
      <c r="AA109" s="76">
        <v>711</v>
      </c>
      <c r="AB109" s="74">
        <v>720</v>
      </c>
      <c r="AC109" s="75">
        <v>724</v>
      </c>
      <c r="AD109" s="75">
        <v>729</v>
      </c>
      <c r="AE109" s="76">
        <v>732</v>
      </c>
      <c r="AF109" s="74">
        <v>734</v>
      </c>
      <c r="AG109" s="883">
        <v>739</v>
      </c>
      <c r="AH109" s="883">
        <v>745</v>
      </c>
      <c r="AI109" s="882">
        <v>747</v>
      </c>
      <c r="AJ109" s="1150">
        <v>749</v>
      </c>
      <c r="AK109" s="883">
        <v>752</v>
      </c>
      <c r="AL109" s="883">
        <v>757</v>
      </c>
      <c r="AM109" s="882">
        <v>759</v>
      </c>
      <c r="AN109" s="883">
        <v>761</v>
      </c>
      <c r="AO109" s="883">
        <v>764</v>
      </c>
      <c r="AP109" s="883">
        <v>770</v>
      </c>
      <c r="AQ109" s="882">
        <v>776</v>
      </c>
      <c r="AR109" s="883">
        <v>777</v>
      </c>
      <c r="AS109" s="883">
        <v>778</v>
      </c>
      <c r="AT109" s="883">
        <v>785</v>
      </c>
      <c r="AU109" s="882">
        <v>791</v>
      </c>
      <c r="AV109" s="883">
        <v>793</v>
      </c>
      <c r="AW109" s="883">
        <v>794</v>
      </c>
      <c r="AX109" s="883">
        <v>815</v>
      </c>
      <c r="AY109" s="882">
        <v>931</v>
      </c>
      <c r="AZ109" s="1150">
        <v>939</v>
      </c>
      <c r="BA109" s="883">
        <v>945</v>
      </c>
      <c r="BB109" s="883">
        <v>957</v>
      </c>
      <c r="BC109" s="2066">
        <v>965</v>
      </c>
      <c r="BD109" s="1150">
        <v>968</v>
      </c>
      <c r="BE109" s="77">
        <f t="shared" ref="BE109:BK109" si="548">BD109+(BE110-BD110)</f>
        <v>970</v>
      </c>
      <c r="BF109" s="77">
        <f t="shared" si="548"/>
        <v>972</v>
      </c>
      <c r="BG109" s="1876">
        <f t="shared" si="548"/>
        <v>974</v>
      </c>
      <c r="BH109" s="1875">
        <f t="shared" si="548"/>
        <v>976</v>
      </c>
      <c r="BI109" s="77">
        <f t="shared" si="548"/>
        <v>978</v>
      </c>
      <c r="BJ109" s="77">
        <f t="shared" si="548"/>
        <v>980</v>
      </c>
      <c r="BK109" s="1876">
        <f t="shared" si="548"/>
        <v>982</v>
      </c>
      <c r="BL109" s="19"/>
      <c r="BM109" s="77">
        <f>AVERAGE(D109:G109)</f>
        <v>399.87900000000002</v>
      </c>
      <c r="BN109" s="77">
        <f>AVERAGE(H109:K109)</f>
        <v>491.488</v>
      </c>
      <c r="BO109" s="77">
        <f>AVERAGE(L109:O109)</f>
        <v>558.5</v>
      </c>
      <c r="BP109" s="77">
        <f>AVERAGE(P109:S109)</f>
        <v>607.5</v>
      </c>
      <c r="BQ109" s="77">
        <f>AVERAGE(T109:W109)</f>
        <v>673</v>
      </c>
      <c r="BR109" s="77">
        <f>AVERAGE(X109:AA109)</f>
        <v>710</v>
      </c>
      <c r="BS109" s="77">
        <f>AVERAGE(AB109:AE109)</f>
        <v>726.25</v>
      </c>
      <c r="BT109" s="77">
        <f>AVERAGE(AF109:AI109)</f>
        <v>741.25</v>
      </c>
      <c r="BU109" s="77">
        <f>AVERAGE(AJ109:AM109)</f>
        <v>754.25</v>
      </c>
      <c r="BV109" s="77">
        <f>AVERAGE(AN109:AQ109)</f>
        <v>767.75</v>
      </c>
      <c r="BW109" s="77">
        <f>AVERAGE(AR109:AU109)</f>
        <v>782.75</v>
      </c>
      <c r="BX109" s="77">
        <f>AVERAGE(AV109:AY109)</f>
        <v>833.25</v>
      </c>
      <c r="BY109" s="77">
        <f>AVERAGE(AZ109:BC109)</f>
        <v>951.5</v>
      </c>
      <c r="BZ109" s="77">
        <f>AVERAGE(BD109:BG109)</f>
        <v>971</v>
      </c>
      <c r="CA109" s="77">
        <f>AVERAGE(BH109:BK109)</f>
        <v>979</v>
      </c>
      <c r="CB109" s="2086">
        <f>CA109+2</f>
        <v>981</v>
      </c>
      <c r="CC109" s="2191"/>
      <c r="CD109" s="13"/>
    </row>
    <row r="110" spans="1:82" ht="14.25" customHeight="1">
      <c r="A110" s="7"/>
      <c r="B110" s="21" t="s">
        <v>15</v>
      </c>
      <c r="C110" s="22"/>
      <c r="D110" s="82">
        <v>393.077</v>
      </c>
      <c r="E110" s="82">
        <v>405.73899999999998</v>
      </c>
      <c r="F110" s="82">
        <v>443.68099999999998</v>
      </c>
      <c r="G110" s="26">
        <v>452</v>
      </c>
      <c r="H110" s="82">
        <v>495.32600000000002</v>
      </c>
      <c r="I110" s="82">
        <v>500.17599999999999</v>
      </c>
      <c r="J110" s="82">
        <v>496.77199999999999</v>
      </c>
      <c r="K110" s="26">
        <v>531</v>
      </c>
      <c r="L110" s="82">
        <v>549</v>
      </c>
      <c r="M110" s="82">
        <v>552</v>
      </c>
      <c r="N110" s="82">
        <v>554</v>
      </c>
      <c r="O110" s="26">
        <v>579</v>
      </c>
      <c r="P110" s="82">
        <v>606</v>
      </c>
      <c r="Q110" s="82">
        <v>607</v>
      </c>
      <c r="R110" s="82">
        <v>608</v>
      </c>
      <c r="S110" s="26">
        <v>609</v>
      </c>
      <c r="T110" s="82">
        <v>626</v>
      </c>
      <c r="U110" s="82">
        <v>667</v>
      </c>
      <c r="V110" s="82">
        <v>694</v>
      </c>
      <c r="W110" s="26">
        <v>791</v>
      </c>
      <c r="X110" s="82">
        <v>754</v>
      </c>
      <c r="Y110" s="82">
        <v>709</v>
      </c>
      <c r="Z110" s="82">
        <v>713</v>
      </c>
      <c r="AA110" s="26">
        <v>733</v>
      </c>
      <c r="AB110" s="82">
        <v>764</v>
      </c>
      <c r="AC110" s="82">
        <v>743</v>
      </c>
      <c r="AD110" s="82">
        <v>741</v>
      </c>
      <c r="AE110" s="26">
        <v>732</v>
      </c>
      <c r="AF110" s="82">
        <v>734</v>
      </c>
      <c r="AG110" s="88">
        <v>755</v>
      </c>
      <c r="AH110" s="88">
        <v>745</v>
      </c>
      <c r="AI110" s="89">
        <v>747</v>
      </c>
      <c r="AJ110" s="90">
        <v>749</v>
      </c>
      <c r="AK110" s="88">
        <v>752</v>
      </c>
      <c r="AL110" s="88">
        <v>764</v>
      </c>
      <c r="AM110" s="89">
        <v>766</v>
      </c>
      <c r="AN110" s="88">
        <v>761</v>
      </c>
      <c r="AO110" s="88">
        <v>764</v>
      </c>
      <c r="AP110" s="88">
        <v>785</v>
      </c>
      <c r="AQ110" s="89">
        <v>776</v>
      </c>
      <c r="AR110" s="88">
        <v>777</v>
      </c>
      <c r="AS110" s="88">
        <v>778</v>
      </c>
      <c r="AT110" s="88">
        <v>785</v>
      </c>
      <c r="AU110" s="89">
        <v>791</v>
      </c>
      <c r="AV110" s="88">
        <v>793</v>
      </c>
      <c r="AW110" s="88">
        <v>821</v>
      </c>
      <c r="AX110" s="88">
        <v>815</v>
      </c>
      <c r="AY110" s="89">
        <v>931</v>
      </c>
      <c r="AZ110" s="2012">
        <v>939</v>
      </c>
      <c r="BA110" s="88">
        <v>945</v>
      </c>
      <c r="BB110" s="88">
        <v>1042</v>
      </c>
      <c r="BC110" s="2067">
        <v>1037</v>
      </c>
      <c r="BD110" s="2012">
        <v>1039</v>
      </c>
      <c r="BE110" s="84">
        <f t="shared" ref="BE110:BK110" si="549">BD110+(BE111-BD111)</f>
        <v>1041</v>
      </c>
      <c r="BF110" s="84">
        <f t="shared" si="549"/>
        <v>1043</v>
      </c>
      <c r="BG110" s="1877">
        <f t="shared" si="549"/>
        <v>1045</v>
      </c>
      <c r="BH110" s="2009">
        <f t="shared" si="549"/>
        <v>1047</v>
      </c>
      <c r="BI110" s="84">
        <f t="shared" si="549"/>
        <v>1049</v>
      </c>
      <c r="BJ110" s="84">
        <f t="shared" si="549"/>
        <v>1051</v>
      </c>
      <c r="BK110" s="1877">
        <f t="shared" si="549"/>
        <v>1053</v>
      </c>
      <c r="BL110" s="19"/>
      <c r="BM110" s="84">
        <f>AVERAGE(D110:G110)</f>
        <v>423.62425000000002</v>
      </c>
      <c r="BN110" s="84">
        <f>AVERAGE(H110:K110)</f>
        <v>505.81849999999997</v>
      </c>
      <c r="BO110" s="84">
        <f>AVERAGE(L110:O110)</f>
        <v>558.5</v>
      </c>
      <c r="BP110" s="84">
        <f>AVERAGE(P110:S110)</f>
        <v>607.5</v>
      </c>
      <c r="BQ110" s="84">
        <f>AVERAGE(T110:W110)</f>
        <v>694.5</v>
      </c>
      <c r="BR110" s="84">
        <f>AVERAGE(X110:AA110)</f>
        <v>727.25</v>
      </c>
      <c r="BS110" s="84">
        <f>AVERAGE(AB110:AE110)</f>
        <v>745</v>
      </c>
      <c r="BT110" s="84">
        <f>AVERAGE(AF110:AI110)</f>
        <v>745.25</v>
      </c>
      <c r="BU110" s="84">
        <f>AVERAGE(AJ110:AM110)</f>
        <v>757.75</v>
      </c>
      <c r="BV110" s="84">
        <f>AVERAGE(AN110:AQ110)</f>
        <v>771.5</v>
      </c>
      <c r="BW110" s="84">
        <f>AVERAGE(AR110:AU110)</f>
        <v>782.75</v>
      </c>
      <c r="BX110" s="84">
        <f>AVERAGE(AV110:AY110)</f>
        <v>840</v>
      </c>
      <c r="BY110" s="84">
        <f>AVERAGE(AZ110:BC110)</f>
        <v>990.75</v>
      </c>
      <c r="BZ110" s="84">
        <f>AVERAGE(BD110:BG110)</f>
        <v>1042</v>
      </c>
      <c r="CA110" s="84">
        <f>AVERAGE(BH110:BK110)</f>
        <v>1050</v>
      </c>
      <c r="CB110" s="2087">
        <f>CA110+2</f>
        <v>1052</v>
      </c>
      <c r="CC110" s="2191"/>
      <c r="CD110" s="13"/>
    </row>
    <row r="111" spans="1:82" ht="14.25" customHeight="1">
      <c r="A111" s="7"/>
      <c r="B111" s="21" t="s">
        <v>638</v>
      </c>
      <c r="C111" s="22"/>
      <c r="D111" s="82">
        <f t="shared" ref="D111:AX111" si="550">D110</f>
        <v>393.077</v>
      </c>
      <c r="E111" s="82">
        <f t="shared" si="550"/>
        <v>405.73899999999998</v>
      </c>
      <c r="F111" s="82">
        <f t="shared" si="550"/>
        <v>443.68099999999998</v>
      </c>
      <c r="G111" s="26">
        <f t="shared" si="550"/>
        <v>452</v>
      </c>
      <c r="H111" s="82">
        <f t="shared" si="550"/>
        <v>495.32600000000002</v>
      </c>
      <c r="I111" s="82">
        <f t="shared" si="550"/>
        <v>500.17599999999999</v>
      </c>
      <c r="J111" s="82">
        <f t="shared" si="550"/>
        <v>496.77199999999999</v>
      </c>
      <c r="K111" s="26">
        <f t="shared" si="550"/>
        <v>531</v>
      </c>
      <c r="L111" s="82">
        <f t="shared" si="550"/>
        <v>549</v>
      </c>
      <c r="M111" s="82">
        <f t="shared" si="550"/>
        <v>552</v>
      </c>
      <c r="N111" s="82">
        <f t="shared" si="550"/>
        <v>554</v>
      </c>
      <c r="O111" s="26">
        <f t="shared" si="550"/>
        <v>579</v>
      </c>
      <c r="P111" s="82">
        <f t="shared" si="550"/>
        <v>606</v>
      </c>
      <c r="Q111" s="82">
        <f t="shared" si="550"/>
        <v>607</v>
      </c>
      <c r="R111" s="82">
        <f t="shared" si="550"/>
        <v>608</v>
      </c>
      <c r="S111" s="26">
        <f t="shared" si="550"/>
        <v>609</v>
      </c>
      <c r="T111" s="82">
        <f t="shared" si="550"/>
        <v>626</v>
      </c>
      <c r="U111" s="82">
        <f t="shared" si="550"/>
        <v>667</v>
      </c>
      <c r="V111" s="82">
        <f t="shared" si="550"/>
        <v>694</v>
      </c>
      <c r="W111" s="26">
        <f t="shared" si="550"/>
        <v>791</v>
      </c>
      <c r="X111" s="82">
        <f t="shared" si="550"/>
        <v>754</v>
      </c>
      <c r="Y111" s="82">
        <f t="shared" si="550"/>
        <v>709</v>
      </c>
      <c r="Z111" s="82">
        <f t="shared" si="550"/>
        <v>713</v>
      </c>
      <c r="AA111" s="26">
        <f t="shared" si="550"/>
        <v>733</v>
      </c>
      <c r="AB111" s="79">
        <f t="shared" si="550"/>
        <v>764</v>
      </c>
      <c r="AC111" s="79">
        <f t="shared" si="550"/>
        <v>743</v>
      </c>
      <c r="AD111" s="79">
        <f t="shared" si="550"/>
        <v>741</v>
      </c>
      <c r="AE111" s="28">
        <f t="shared" si="550"/>
        <v>732</v>
      </c>
      <c r="AF111" s="79">
        <f t="shared" si="550"/>
        <v>734</v>
      </c>
      <c r="AG111" s="84">
        <f t="shared" si="550"/>
        <v>755</v>
      </c>
      <c r="AH111" s="84">
        <f t="shared" si="550"/>
        <v>745</v>
      </c>
      <c r="AI111" s="85">
        <f t="shared" si="550"/>
        <v>747</v>
      </c>
      <c r="AJ111" s="1151">
        <f t="shared" si="550"/>
        <v>749</v>
      </c>
      <c r="AK111" s="84">
        <f t="shared" si="550"/>
        <v>752</v>
      </c>
      <c r="AL111" s="84">
        <f t="shared" si="550"/>
        <v>764</v>
      </c>
      <c r="AM111" s="85">
        <f t="shared" si="550"/>
        <v>766</v>
      </c>
      <c r="AN111" s="84">
        <f t="shared" si="550"/>
        <v>761</v>
      </c>
      <c r="AO111" s="84">
        <f t="shared" si="550"/>
        <v>764</v>
      </c>
      <c r="AP111" s="84">
        <f t="shared" si="550"/>
        <v>785</v>
      </c>
      <c r="AQ111" s="85">
        <f t="shared" si="550"/>
        <v>776</v>
      </c>
      <c r="AR111" s="84">
        <f t="shared" si="550"/>
        <v>777</v>
      </c>
      <c r="AS111" s="84">
        <f t="shared" si="550"/>
        <v>778</v>
      </c>
      <c r="AT111" s="84">
        <f t="shared" si="550"/>
        <v>785</v>
      </c>
      <c r="AU111" s="85">
        <f t="shared" si="550"/>
        <v>791</v>
      </c>
      <c r="AV111" s="84">
        <f t="shared" si="550"/>
        <v>793</v>
      </c>
      <c r="AW111" s="84">
        <f t="shared" si="550"/>
        <v>821</v>
      </c>
      <c r="AX111" s="84">
        <f t="shared" si="550"/>
        <v>815</v>
      </c>
      <c r="AY111" s="85">
        <f>AY110</f>
        <v>931</v>
      </c>
      <c r="AZ111" s="2013">
        <f>AZ110</f>
        <v>939</v>
      </c>
      <c r="BA111" s="88">
        <v>1036</v>
      </c>
      <c r="BB111" s="88">
        <v>1143</v>
      </c>
      <c r="BC111" s="2067">
        <v>1137</v>
      </c>
      <c r="BD111" s="2013">
        <v>1140</v>
      </c>
      <c r="BE111" s="84">
        <f t="shared" ref="BE111:BK111" si="551">BD111+2</f>
        <v>1142</v>
      </c>
      <c r="BF111" s="84">
        <f t="shared" si="551"/>
        <v>1144</v>
      </c>
      <c r="BG111" s="1877">
        <f t="shared" si="551"/>
        <v>1146</v>
      </c>
      <c r="BH111" s="2009">
        <f t="shared" si="551"/>
        <v>1148</v>
      </c>
      <c r="BI111" s="84">
        <f t="shared" si="551"/>
        <v>1150</v>
      </c>
      <c r="BJ111" s="84">
        <f t="shared" si="551"/>
        <v>1152</v>
      </c>
      <c r="BK111" s="1877">
        <f t="shared" si="551"/>
        <v>1154</v>
      </c>
      <c r="BL111" s="19"/>
      <c r="BM111" s="84"/>
      <c r="BN111" s="84"/>
      <c r="BO111" s="84"/>
      <c r="BP111" s="84"/>
      <c r="BQ111" s="84"/>
      <c r="BR111" s="84"/>
      <c r="BS111" s="84"/>
      <c r="BT111" s="84"/>
      <c r="BU111" s="84"/>
      <c r="BV111" s="84">
        <f>BV110</f>
        <v>771.5</v>
      </c>
      <c r="BW111" s="84">
        <f>BW110</f>
        <v>782.75</v>
      </c>
      <c r="BX111" s="84">
        <f>BX110</f>
        <v>840</v>
      </c>
      <c r="BY111" s="84">
        <f>AVERAGE(AZ111:BC111)</f>
        <v>1063.75</v>
      </c>
      <c r="BZ111" s="84">
        <f>AVERAGE(BD111:BG111)</f>
        <v>1143</v>
      </c>
      <c r="CA111" s="84">
        <f>AVERAGE(BH111:BK111)</f>
        <v>1151</v>
      </c>
      <c r="CB111" s="2087">
        <f>CA111+2</f>
        <v>1153</v>
      </c>
      <c r="CC111" s="2191"/>
      <c r="CD111" s="13"/>
    </row>
    <row r="112" spans="1:82" ht="14.25" customHeight="1">
      <c r="A112" s="7"/>
      <c r="B112" s="63"/>
      <c r="C112" s="64"/>
      <c r="D112" s="123"/>
      <c r="E112" s="123"/>
      <c r="F112" s="123"/>
      <c r="G112" s="493"/>
      <c r="H112" s="123"/>
      <c r="I112" s="123"/>
      <c r="J112" s="123"/>
      <c r="K112" s="493"/>
      <c r="L112" s="123"/>
      <c r="M112" s="123"/>
      <c r="N112" s="123"/>
      <c r="O112" s="493"/>
      <c r="P112" s="123"/>
      <c r="Q112" s="123"/>
      <c r="R112" s="123"/>
      <c r="S112" s="493"/>
      <c r="T112" s="123"/>
      <c r="U112" s="123"/>
      <c r="V112" s="123"/>
      <c r="W112" s="493"/>
      <c r="X112" s="123"/>
      <c r="Y112" s="123"/>
      <c r="Z112" s="123"/>
      <c r="AA112" s="493"/>
      <c r="AB112" s="123"/>
      <c r="AC112" s="123"/>
      <c r="AD112" s="123"/>
      <c r="AE112" s="493"/>
      <c r="AF112" s="123"/>
      <c r="AG112" s="494"/>
      <c r="AH112" s="494"/>
      <c r="AI112" s="493"/>
      <c r="AJ112" s="881"/>
      <c r="AK112" s="494"/>
      <c r="AL112" s="494"/>
      <c r="AM112" s="493"/>
      <c r="AN112" s="494"/>
      <c r="AO112" s="494"/>
      <c r="AP112" s="494"/>
      <c r="AQ112" s="493"/>
      <c r="AR112" s="494"/>
      <c r="AS112" s="494"/>
      <c r="AT112" s="494"/>
      <c r="AU112" s="493"/>
      <c r="AV112" s="494"/>
      <c r="AW112" s="494"/>
      <c r="AX112" s="494"/>
      <c r="AY112" s="493"/>
      <c r="AZ112" s="881"/>
      <c r="BA112" s="494"/>
      <c r="BB112" s="494"/>
      <c r="BC112" s="1692"/>
      <c r="BD112" s="881"/>
      <c r="BE112" s="494"/>
      <c r="BF112" s="494"/>
      <c r="BG112" s="1692"/>
      <c r="BH112" s="881"/>
      <c r="BI112" s="494"/>
      <c r="BJ112" s="494"/>
      <c r="BK112" s="1692"/>
      <c r="BL112" s="19"/>
      <c r="BM112" s="881"/>
      <c r="BN112" s="494"/>
      <c r="BO112" s="494"/>
      <c r="BP112" s="494"/>
      <c r="BQ112" s="494"/>
      <c r="BR112" s="494"/>
      <c r="BS112" s="494"/>
      <c r="BT112" s="494"/>
      <c r="BU112" s="494"/>
      <c r="BV112" s="494"/>
      <c r="BW112" s="494"/>
      <c r="BX112" s="494"/>
      <c r="BY112" s="494"/>
      <c r="BZ112" s="494"/>
      <c r="CA112" s="494"/>
      <c r="CB112" s="2088"/>
      <c r="CC112" s="2191"/>
      <c r="CD112" s="13"/>
    </row>
    <row r="113" spans="1:82" ht="14.25" customHeight="1">
      <c r="A113" s="7"/>
      <c r="B113" s="30" t="s">
        <v>16</v>
      </c>
      <c r="C113" s="31"/>
      <c r="D113" s="86">
        <f t="shared" ref="D113:AU113" si="552">D110/D109</f>
        <v>1</v>
      </c>
      <c r="E113" s="86">
        <f t="shared" si="552"/>
        <v>1.0261118726195835</v>
      </c>
      <c r="F113" s="86">
        <f t="shared" si="552"/>
        <v>1.1119127874193346</v>
      </c>
      <c r="G113" s="87">
        <f t="shared" si="552"/>
        <v>1.0970873786407767</v>
      </c>
      <c r="H113" s="86">
        <f t="shared" si="552"/>
        <v>1.0673289088088262</v>
      </c>
      <c r="I113" s="86">
        <f t="shared" si="552"/>
        <v>1.0322676512410713</v>
      </c>
      <c r="J113" s="86">
        <f t="shared" si="552"/>
        <v>1.0214689172600553</v>
      </c>
      <c r="K113" s="87">
        <f t="shared" si="552"/>
        <v>1</v>
      </c>
      <c r="L113" s="86">
        <f t="shared" si="552"/>
        <v>1</v>
      </c>
      <c r="M113" s="86">
        <f t="shared" si="552"/>
        <v>1</v>
      </c>
      <c r="N113" s="86">
        <f t="shared" si="552"/>
        <v>1</v>
      </c>
      <c r="O113" s="87">
        <f t="shared" si="552"/>
        <v>1</v>
      </c>
      <c r="P113" s="86">
        <f t="shared" si="552"/>
        <v>1</v>
      </c>
      <c r="Q113" s="86">
        <f t="shared" si="552"/>
        <v>1</v>
      </c>
      <c r="R113" s="86">
        <f t="shared" si="552"/>
        <v>1</v>
      </c>
      <c r="S113" s="87">
        <f t="shared" si="552"/>
        <v>1</v>
      </c>
      <c r="T113" s="86">
        <f t="shared" si="552"/>
        <v>1</v>
      </c>
      <c r="U113" s="86">
        <f t="shared" si="552"/>
        <v>1</v>
      </c>
      <c r="V113" s="86">
        <f t="shared" si="552"/>
        <v>1</v>
      </c>
      <c r="W113" s="87">
        <f t="shared" si="552"/>
        <v>1.1219858156028368</v>
      </c>
      <c r="X113" s="86">
        <f t="shared" si="552"/>
        <v>1.0664780763790664</v>
      </c>
      <c r="Y113" s="86">
        <f t="shared" si="552"/>
        <v>1</v>
      </c>
      <c r="Z113" s="86">
        <f t="shared" si="552"/>
        <v>1</v>
      </c>
      <c r="AA113" s="87">
        <f t="shared" si="552"/>
        <v>1.030942334739803</v>
      </c>
      <c r="AB113" s="86">
        <f t="shared" si="552"/>
        <v>1.0611111111111111</v>
      </c>
      <c r="AC113" s="86">
        <f t="shared" si="552"/>
        <v>1.0262430939226519</v>
      </c>
      <c r="AD113" s="86">
        <f t="shared" si="552"/>
        <v>1.0164609053497942</v>
      </c>
      <c r="AE113" s="87">
        <f t="shared" si="552"/>
        <v>1</v>
      </c>
      <c r="AF113" s="86">
        <f t="shared" si="552"/>
        <v>1</v>
      </c>
      <c r="AG113" s="86">
        <f t="shared" si="552"/>
        <v>1.0216508795669823</v>
      </c>
      <c r="AH113" s="86">
        <f t="shared" si="552"/>
        <v>1</v>
      </c>
      <c r="AI113" s="87">
        <f t="shared" si="552"/>
        <v>1</v>
      </c>
      <c r="AJ113" s="86">
        <f t="shared" si="552"/>
        <v>1</v>
      </c>
      <c r="AK113" s="86">
        <f>AK110/AK109</f>
        <v>1</v>
      </c>
      <c r="AL113" s="86">
        <f t="shared" si="552"/>
        <v>1.0092470277410832</v>
      </c>
      <c r="AM113" s="87">
        <f>AM110/AM109</f>
        <v>1.0092226613965745</v>
      </c>
      <c r="AN113" s="86">
        <f>AN110/AN109</f>
        <v>1</v>
      </c>
      <c r="AO113" s="86">
        <f>AO110/AO109</f>
        <v>1</v>
      </c>
      <c r="AP113" s="86">
        <f>AP110/AP109</f>
        <v>1.0194805194805194</v>
      </c>
      <c r="AQ113" s="87">
        <f t="shared" si="552"/>
        <v>1</v>
      </c>
      <c r="AR113" s="86">
        <f t="shared" si="552"/>
        <v>1</v>
      </c>
      <c r="AS113" s="86">
        <f t="shared" si="552"/>
        <v>1</v>
      </c>
      <c r="AT113" s="86">
        <f t="shared" si="552"/>
        <v>1</v>
      </c>
      <c r="AU113" s="87">
        <f t="shared" si="552"/>
        <v>1</v>
      </c>
      <c r="AV113" s="86">
        <f t="shared" ref="AV113:AY113" si="553">AV110/AV109</f>
        <v>1</v>
      </c>
      <c r="AW113" s="86">
        <f t="shared" si="553"/>
        <v>1.0340050377833754</v>
      </c>
      <c r="AX113" s="86">
        <f t="shared" si="553"/>
        <v>1</v>
      </c>
      <c r="AY113" s="87">
        <f t="shared" si="553"/>
        <v>1</v>
      </c>
      <c r="AZ113" s="86">
        <f t="shared" ref="AZ113:BA113" si="554">AZ110/AZ109</f>
        <v>1</v>
      </c>
      <c r="BA113" s="86">
        <f t="shared" si="554"/>
        <v>1</v>
      </c>
      <c r="BB113" s="86">
        <f t="shared" ref="BB113" si="555">BB110/BB109</f>
        <v>1.0888192267502612</v>
      </c>
      <c r="BC113" s="87">
        <f t="shared" ref="BC113:BD113" si="556">BC110/BC109</f>
        <v>1.0746113989637305</v>
      </c>
      <c r="BD113" s="86">
        <f t="shared" si="556"/>
        <v>1.0733471074380165</v>
      </c>
      <c r="BE113" s="86">
        <f t="shared" ref="BE113:BG113" si="557">BE110/BE109</f>
        <v>1.0731958762886598</v>
      </c>
      <c r="BF113" s="86">
        <f t="shared" si="557"/>
        <v>1.073045267489712</v>
      </c>
      <c r="BG113" s="87">
        <f t="shared" si="557"/>
        <v>1.0728952772073923</v>
      </c>
      <c r="BH113" s="86">
        <f t="shared" ref="BH113:BK113" si="558">BH110/BH109</f>
        <v>1.0727459016393444</v>
      </c>
      <c r="BI113" s="86">
        <f t="shared" si="558"/>
        <v>1.072597137014315</v>
      </c>
      <c r="BJ113" s="86">
        <f t="shared" si="558"/>
        <v>1.0724489795918368</v>
      </c>
      <c r="BK113" s="87">
        <f t="shared" si="558"/>
        <v>1.0723014256619146</v>
      </c>
      <c r="BL113" s="19"/>
      <c r="BM113" s="86">
        <f t="shared" ref="BM113:BY113" si="559">BM110/BM109</f>
        <v>1.0593810877790533</v>
      </c>
      <c r="BN113" s="86">
        <f t="shared" si="559"/>
        <v>1.0291573751546323</v>
      </c>
      <c r="BO113" s="86">
        <f t="shared" si="559"/>
        <v>1</v>
      </c>
      <c r="BP113" s="86">
        <f t="shared" si="559"/>
        <v>1</v>
      </c>
      <c r="BQ113" s="86">
        <f t="shared" si="559"/>
        <v>1.0319465081723627</v>
      </c>
      <c r="BR113" s="86">
        <f t="shared" si="559"/>
        <v>1.0242957746478873</v>
      </c>
      <c r="BS113" s="86">
        <f t="shared" si="559"/>
        <v>1.0258175559380378</v>
      </c>
      <c r="BT113" s="86">
        <f t="shared" si="559"/>
        <v>1.0053962900505902</v>
      </c>
      <c r="BU113" s="86">
        <f t="shared" si="559"/>
        <v>1.0046403712296983</v>
      </c>
      <c r="BV113" s="86">
        <f t="shared" si="559"/>
        <v>1.0048844024747638</v>
      </c>
      <c r="BW113" s="86">
        <f t="shared" si="559"/>
        <v>1</v>
      </c>
      <c r="BX113" s="86">
        <f t="shared" si="559"/>
        <v>1.008100810081008</v>
      </c>
      <c r="BY113" s="2010">
        <f t="shared" si="559"/>
        <v>1.0412506568575932</v>
      </c>
      <c r="BZ113" s="2010">
        <f t="shared" ref="BZ113:CB113" si="560">BZ110/BZ109</f>
        <v>1.0731204943357364</v>
      </c>
      <c r="CA113" s="2010">
        <f t="shared" si="560"/>
        <v>1.0725229826353422</v>
      </c>
      <c r="CB113" s="2089">
        <f t="shared" si="560"/>
        <v>1.0723751274209989</v>
      </c>
      <c r="CC113" s="2191"/>
      <c r="CD113" s="13"/>
    </row>
    <row r="114" spans="1:82" ht="14.25" customHeight="1">
      <c r="A114" s="7"/>
      <c r="B114" s="21"/>
      <c r="C114" s="22"/>
      <c r="D114" s="39"/>
      <c r="E114" s="39"/>
      <c r="F114" s="39"/>
      <c r="G114" s="40"/>
      <c r="H114" s="39"/>
      <c r="I114" s="39"/>
      <c r="J114" s="39"/>
      <c r="K114" s="40"/>
      <c r="L114" s="39"/>
      <c r="M114" s="39"/>
      <c r="N114" s="39"/>
      <c r="O114" s="40"/>
      <c r="P114" s="39"/>
      <c r="Q114" s="39"/>
      <c r="R114" s="39"/>
      <c r="S114" s="40"/>
      <c r="T114" s="39"/>
      <c r="U114" s="39"/>
      <c r="V114" s="39"/>
      <c r="W114" s="40"/>
      <c r="X114" s="39"/>
      <c r="Y114" s="39"/>
      <c r="Z114" s="39"/>
      <c r="AA114" s="40"/>
      <c r="AB114" s="39"/>
      <c r="AC114" s="39"/>
      <c r="AD114" s="39"/>
      <c r="AE114" s="40"/>
      <c r="AF114" s="39"/>
      <c r="AG114" s="39"/>
      <c r="AH114" s="39"/>
      <c r="AI114" s="40"/>
      <c r="AJ114" s="39"/>
      <c r="AK114" s="39"/>
      <c r="AL114" s="39"/>
      <c r="AM114" s="40"/>
      <c r="AN114" s="39"/>
      <c r="AO114" s="39"/>
      <c r="AP114" s="39"/>
      <c r="AQ114" s="40"/>
      <c r="AR114" s="39"/>
      <c r="AS114" s="39"/>
      <c r="AT114" s="39"/>
      <c r="AU114" s="40"/>
      <c r="AV114" s="39"/>
      <c r="AW114" s="39"/>
      <c r="AX114" s="39"/>
      <c r="AY114" s="40"/>
      <c r="AZ114" s="39"/>
      <c r="BA114" s="39"/>
      <c r="BB114" s="39"/>
      <c r="BC114" s="40"/>
      <c r="BD114" s="39"/>
      <c r="BE114" s="39"/>
      <c r="BF114" s="39"/>
      <c r="BG114" s="40"/>
      <c r="BH114" s="39"/>
      <c r="BI114" s="39"/>
      <c r="BJ114" s="39"/>
      <c r="BK114" s="40"/>
      <c r="BL114" s="19"/>
      <c r="BM114" s="39"/>
      <c r="BN114" s="39"/>
      <c r="BO114" s="39"/>
      <c r="BP114" s="39"/>
      <c r="BQ114" s="39"/>
      <c r="BR114" s="39"/>
      <c r="BS114" s="39"/>
      <c r="BT114" s="39"/>
      <c r="BU114" s="39"/>
      <c r="BV114" s="39"/>
      <c r="BW114" s="39"/>
      <c r="BX114" s="39"/>
      <c r="BY114" s="39"/>
      <c r="BZ114" s="39"/>
      <c r="CA114" s="39"/>
      <c r="CB114" s="2076"/>
      <c r="CC114" s="2191"/>
      <c r="CD114" s="13"/>
    </row>
    <row r="115" spans="1:82" ht="14.25" customHeight="1">
      <c r="A115" s="7"/>
      <c r="B115" s="21" t="s">
        <v>17</v>
      </c>
      <c r="C115" s="22"/>
      <c r="D115" s="82">
        <v>396.33249999999998</v>
      </c>
      <c r="E115" s="82">
        <v>401.96405700000003</v>
      </c>
      <c r="F115" s="82">
        <v>435.52671900000001</v>
      </c>
      <c r="G115" s="26">
        <v>435.52671900000001</v>
      </c>
      <c r="H115" s="82">
        <v>483.39070600000002</v>
      </c>
      <c r="I115" s="82">
        <v>485.56360799999999</v>
      </c>
      <c r="J115" s="82">
        <v>487.12038000000001</v>
      </c>
      <c r="K115" s="26">
        <v>547</v>
      </c>
      <c r="L115" s="82">
        <v>550</v>
      </c>
      <c r="M115" s="82">
        <v>553</v>
      </c>
      <c r="N115" s="82">
        <v>555</v>
      </c>
      <c r="O115" s="26">
        <v>606</v>
      </c>
      <c r="P115" s="82">
        <v>606</v>
      </c>
      <c r="Q115" s="82">
        <v>607</v>
      </c>
      <c r="R115" s="82">
        <v>608</v>
      </c>
      <c r="S115" s="26">
        <v>609</v>
      </c>
      <c r="T115" s="82">
        <v>667</v>
      </c>
      <c r="U115" s="82">
        <v>668</v>
      </c>
      <c r="V115" s="82">
        <v>670</v>
      </c>
      <c r="W115" s="26">
        <v>671</v>
      </c>
      <c r="X115" s="82">
        <v>673</v>
      </c>
      <c r="Y115" s="82">
        <v>674</v>
      </c>
      <c r="Z115" s="82">
        <v>681</v>
      </c>
      <c r="AA115" s="26">
        <v>683</v>
      </c>
      <c r="AB115" s="82">
        <v>687</v>
      </c>
      <c r="AC115" s="82">
        <v>691</v>
      </c>
      <c r="AD115" s="82">
        <v>697</v>
      </c>
      <c r="AE115" s="26">
        <v>732</v>
      </c>
      <c r="AF115" s="79">
        <f>AF110</f>
        <v>734</v>
      </c>
      <c r="AG115" s="25">
        <v>716</v>
      </c>
      <c r="AH115" s="25">
        <v>721</v>
      </c>
      <c r="AI115" s="26">
        <v>713</v>
      </c>
      <c r="AJ115" s="29">
        <f>+AJ110</f>
        <v>749</v>
      </c>
      <c r="AK115" s="25">
        <v>720</v>
      </c>
      <c r="AL115" s="27">
        <f t="shared" ref="AL115:AU115" si="561">+AL110</f>
        <v>764</v>
      </c>
      <c r="AM115" s="28">
        <f t="shared" si="561"/>
        <v>766</v>
      </c>
      <c r="AN115" s="29">
        <f t="shared" si="561"/>
        <v>761</v>
      </c>
      <c r="AO115" s="27">
        <f t="shared" si="561"/>
        <v>764</v>
      </c>
      <c r="AP115" s="27">
        <f t="shared" si="561"/>
        <v>785</v>
      </c>
      <c r="AQ115" s="28">
        <f t="shared" si="561"/>
        <v>776</v>
      </c>
      <c r="AR115" s="29">
        <f t="shared" si="561"/>
        <v>777</v>
      </c>
      <c r="AS115" s="27">
        <f t="shared" si="561"/>
        <v>778</v>
      </c>
      <c r="AT115" s="27">
        <f t="shared" si="561"/>
        <v>785</v>
      </c>
      <c r="AU115" s="28">
        <f t="shared" si="561"/>
        <v>791</v>
      </c>
      <c r="AV115" s="29">
        <f t="shared" ref="AV115:AY115" si="562">+AV110</f>
        <v>793</v>
      </c>
      <c r="AW115" s="27">
        <f t="shared" si="562"/>
        <v>821</v>
      </c>
      <c r="AX115" s="27">
        <f t="shared" si="562"/>
        <v>815</v>
      </c>
      <c r="AY115" s="28">
        <f t="shared" si="562"/>
        <v>931</v>
      </c>
      <c r="AZ115" s="29">
        <f t="shared" ref="AZ115:BA115" si="563">+AZ110</f>
        <v>939</v>
      </c>
      <c r="BA115" s="27">
        <f t="shared" si="563"/>
        <v>945</v>
      </c>
      <c r="BB115" s="27">
        <f t="shared" ref="BB115" si="564">+BB110</f>
        <v>1042</v>
      </c>
      <c r="BC115" s="28">
        <f t="shared" ref="BC115:BD115" si="565">+BC110</f>
        <v>1037</v>
      </c>
      <c r="BD115" s="29">
        <f t="shared" si="565"/>
        <v>1039</v>
      </c>
      <c r="BE115" s="27">
        <f t="shared" ref="BE115:BG115" si="566">+BE110</f>
        <v>1041</v>
      </c>
      <c r="BF115" s="27">
        <f t="shared" si="566"/>
        <v>1043</v>
      </c>
      <c r="BG115" s="28">
        <f t="shared" si="566"/>
        <v>1045</v>
      </c>
      <c r="BH115" s="27">
        <f t="shared" ref="BH115:BK115" si="567">+BH110</f>
        <v>1047</v>
      </c>
      <c r="BI115" s="27">
        <f t="shared" si="567"/>
        <v>1049</v>
      </c>
      <c r="BJ115" s="27">
        <f t="shared" si="567"/>
        <v>1051</v>
      </c>
      <c r="BK115" s="28">
        <f t="shared" si="567"/>
        <v>1053</v>
      </c>
      <c r="BL115" s="19"/>
      <c r="BM115" s="27">
        <f t="shared" ref="BM115:BT115" si="568">AB115</f>
        <v>687</v>
      </c>
      <c r="BN115" s="27">
        <f t="shared" si="568"/>
        <v>691</v>
      </c>
      <c r="BO115" s="27">
        <f t="shared" si="568"/>
        <v>697</v>
      </c>
      <c r="BP115" s="27">
        <f t="shared" si="568"/>
        <v>732</v>
      </c>
      <c r="BQ115" s="27">
        <f t="shared" si="568"/>
        <v>734</v>
      </c>
      <c r="BR115" s="27">
        <f t="shared" si="568"/>
        <v>716</v>
      </c>
      <c r="BS115" s="27">
        <f t="shared" si="568"/>
        <v>721</v>
      </c>
      <c r="BT115" s="27">
        <f t="shared" si="568"/>
        <v>713</v>
      </c>
      <c r="BU115" s="27">
        <f>AM115</f>
        <v>766</v>
      </c>
      <c r="BV115" s="27">
        <f>BU115+(CFS!BV49)/IS!BV118</f>
        <v>766.50409577819789</v>
      </c>
      <c r="BW115" s="27">
        <f>BV115+(CFS!BW49)/IS!BW118</f>
        <v>767.11257900781391</v>
      </c>
      <c r="BX115" s="27">
        <f>BW115+(CFS!BX49)/IS!BX118</f>
        <v>847.84739983466898</v>
      </c>
      <c r="BY115" s="331">
        <f>BY110</f>
        <v>990.75</v>
      </c>
      <c r="BZ115" s="331">
        <f t="shared" ref="BZ115:CB115" si="569">BZ110</f>
        <v>1042</v>
      </c>
      <c r="CA115" s="331">
        <f t="shared" si="569"/>
        <v>1050</v>
      </c>
      <c r="CB115" s="2082">
        <f t="shared" si="569"/>
        <v>1052</v>
      </c>
      <c r="CC115" s="2191"/>
      <c r="CD115" s="13"/>
    </row>
    <row r="116" spans="1:82" ht="14.25" customHeight="1">
      <c r="A116" s="7"/>
      <c r="B116" s="21"/>
      <c r="C116" s="22"/>
      <c r="D116" s="82"/>
      <c r="E116" s="88"/>
      <c r="F116" s="88"/>
      <c r="G116" s="89"/>
      <c r="H116" s="82"/>
      <c r="I116" s="88"/>
      <c r="J116" s="88"/>
      <c r="K116" s="89"/>
      <c r="L116" s="82"/>
      <c r="M116" s="88"/>
      <c r="N116" s="88"/>
      <c r="O116" s="89"/>
      <c r="P116" s="82"/>
      <c r="Q116" s="88"/>
      <c r="R116" s="88"/>
      <c r="S116" s="89"/>
      <c r="T116" s="82"/>
      <c r="U116" s="88"/>
      <c r="V116" s="88"/>
      <c r="W116" s="89"/>
      <c r="X116" s="82"/>
      <c r="Y116" s="88"/>
      <c r="Z116" s="88"/>
      <c r="AA116" s="89"/>
      <c r="AB116" s="82"/>
      <c r="AC116" s="88"/>
      <c r="AD116" s="88"/>
      <c r="AE116" s="89"/>
      <c r="AF116" s="82"/>
      <c r="AG116" s="88"/>
      <c r="AH116" s="88"/>
      <c r="AI116" s="89"/>
      <c r="AJ116" s="90"/>
      <c r="AK116" s="88"/>
      <c r="AL116" s="88"/>
      <c r="AM116" s="89"/>
      <c r="AN116" s="90"/>
      <c r="AO116" s="88"/>
      <c r="AP116" s="88"/>
      <c r="AQ116" s="89"/>
      <c r="AR116" s="90"/>
      <c r="AS116" s="88"/>
      <c r="AT116" s="88"/>
      <c r="AU116" s="89"/>
      <c r="AV116" s="90"/>
      <c r="AW116" s="88"/>
      <c r="AX116" s="88"/>
      <c r="AY116" s="89"/>
      <c r="AZ116" s="90"/>
      <c r="BA116" s="88"/>
      <c r="BB116" s="88"/>
      <c r="BC116" s="89"/>
      <c r="BD116" s="90"/>
      <c r="BE116" s="88"/>
      <c r="BF116" s="88"/>
      <c r="BG116" s="89"/>
      <c r="BH116" s="88"/>
      <c r="BI116" s="88"/>
      <c r="BJ116" s="88"/>
      <c r="BK116" s="89"/>
      <c r="BL116" s="19"/>
      <c r="BM116" s="39"/>
      <c r="BN116" s="39"/>
      <c r="BO116" s="39"/>
      <c r="BP116" s="39"/>
      <c r="BQ116" s="39"/>
      <c r="BR116" s="39"/>
      <c r="BS116" s="39"/>
      <c r="BT116" s="39"/>
      <c r="BU116" s="39"/>
      <c r="BV116" s="39"/>
      <c r="BW116" s="39"/>
      <c r="BX116" s="39"/>
      <c r="BY116" s="39"/>
      <c r="BZ116" s="39"/>
      <c r="CA116" s="39"/>
      <c r="CB116" s="2076"/>
      <c r="CC116" s="2191"/>
      <c r="CD116" s="13"/>
    </row>
    <row r="117" spans="1:82" ht="14.25" customHeight="1">
      <c r="A117" s="7"/>
      <c r="B117" s="21" t="s">
        <v>18</v>
      </c>
      <c r="C117" s="22"/>
      <c r="D117" s="82">
        <v>0</v>
      </c>
      <c r="E117" s="82">
        <v>0</v>
      </c>
      <c r="F117" s="82">
        <v>0</v>
      </c>
      <c r="G117" s="83">
        <v>0</v>
      </c>
      <c r="H117" s="82">
        <v>0</v>
      </c>
      <c r="I117" s="82">
        <v>0</v>
      </c>
      <c r="J117" s="82">
        <v>0</v>
      </c>
      <c r="K117" s="83">
        <v>0</v>
      </c>
      <c r="L117" s="82">
        <v>0</v>
      </c>
      <c r="M117" s="82">
        <v>0</v>
      </c>
      <c r="N117" s="82">
        <v>0</v>
      </c>
      <c r="O117" s="83">
        <v>0</v>
      </c>
      <c r="P117" s="82">
        <v>0</v>
      </c>
      <c r="Q117" s="82">
        <v>0</v>
      </c>
      <c r="R117" s="82">
        <v>0</v>
      </c>
      <c r="S117" s="83">
        <v>0</v>
      </c>
      <c r="T117" s="82">
        <v>0</v>
      </c>
      <c r="U117" s="82">
        <v>0</v>
      </c>
      <c r="V117" s="82">
        <v>0</v>
      </c>
      <c r="W117" s="83">
        <v>0</v>
      </c>
      <c r="X117" s="82">
        <v>0</v>
      </c>
      <c r="Y117" s="82">
        <v>0</v>
      </c>
      <c r="Z117" s="82">
        <v>0</v>
      </c>
      <c r="AA117" s="83">
        <v>0</v>
      </c>
      <c r="AB117" s="82">
        <v>0</v>
      </c>
      <c r="AC117" s="82">
        <v>0</v>
      </c>
      <c r="AD117" s="82">
        <v>0</v>
      </c>
      <c r="AE117" s="83">
        <v>0</v>
      </c>
      <c r="AF117" s="82">
        <v>0</v>
      </c>
      <c r="AG117" s="82">
        <v>0</v>
      </c>
      <c r="AH117" s="82">
        <v>0</v>
      </c>
      <c r="AI117" s="83">
        <v>0</v>
      </c>
      <c r="AJ117" s="81">
        <v>0</v>
      </c>
      <c r="AK117" s="82">
        <v>0</v>
      </c>
      <c r="AL117" s="82">
        <v>0</v>
      </c>
      <c r="AM117" s="83">
        <v>0</v>
      </c>
      <c r="AN117" s="81">
        <v>0</v>
      </c>
      <c r="AO117" s="82">
        <v>0</v>
      </c>
      <c r="AP117" s="82">
        <v>0</v>
      </c>
      <c r="AQ117" s="83">
        <v>0</v>
      </c>
      <c r="AR117" s="81">
        <v>0</v>
      </c>
      <c r="AS117" s="82">
        <v>0</v>
      </c>
      <c r="AT117" s="82">
        <v>0</v>
      </c>
      <c r="AU117" s="83">
        <v>0</v>
      </c>
      <c r="AV117" s="81">
        <v>0</v>
      </c>
      <c r="AW117" s="82">
        <v>0</v>
      </c>
      <c r="AX117" s="82">
        <v>0</v>
      </c>
      <c r="AY117" s="83">
        <v>0</v>
      </c>
      <c r="AZ117" s="81">
        <v>0</v>
      </c>
      <c r="BA117" s="82">
        <v>0</v>
      </c>
      <c r="BB117" s="82">
        <v>0</v>
      </c>
      <c r="BC117" s="83">
        <v>0</v>
      </c>
      <c r="BD117" s="81">
        <v>0</v>
      </c>
      <c r="BE117" s="82">
        <v>0</v>
      </c>
      <c r="BF117" s="82">
        <v>0</v>
      </c>
      <c r="BG117" s="83">
        <v>0</v>
      </c>
      <c r="BH117" s="82">
        <v>0</v>
      </c>
      <c r="BI117" s="82">
        <v>0</v>
      </c>
      <c r="BJ117" s="82">
        <v>0</v>
      </c>
      <c r="BK117" s="83">
        <v>0</v>
      </c>
      <c r="BL117" s="19"/>
      <c r="BM117" s="27">
        <f>SUM(D117:G117)</f>
        <v>0</v>
      </c>
      <c r="BN117" s="27">
        <f>SUM(H117:K117)</f>
        <v>0</v>
      </c>
      <c r="BO117" s="27">
        <f>SUM(L117:O117)</f>
        <v>0</v>
      </c>
      <c r="BP117" s="27">
        <f>SUM(P117:S117)</f>
        <v>0</v>
      </c>
      <c r="BQ117" s="27">
        <f>SUM(T117:W117)</f>
        <v>0</v>
      </c>
      <c r="BR117" s="27">
        <f>SUM(X117:AA117)</f>
        <v>0</v>
      </c>
      <c r="BS117" s="27">
        <f>SUM(AB117:AE117)</f>
        <v>0</v>
      </c>
      <c r="BT117" s="27">
        <f>SUM(AF117:AI117)</f>
        <v>0</v>
      </c>
      <c r="BU117" s="27">
        <f>SUM(AJ117:AM117)</f>
        <v>0</v>
      </c>
      <c r="BV117" s="27">
        <f t="shared" ref="BV117:CB117" si="570">BU117*(1+BV121)</f>
        <v>0</v>
      </c>
      <c r="BW117" s="27">
        <f t="shared" si="570"/>
        <v>0</v>
      </c>
      <c r="BX117" s="27">
        <f t="shared" si="570"/>
        <v>0</v>
      </c>
      <c r="BY117" s="79">
        <f t="shared" si="570"/>
        <v>0</v>
      </c>
      <c r="BZ117" s="79">
        <f t="shared" si="570"/>
        <v>0</v>
      </c>
      <c r="CA117" s="79">
        <f t="shared" si="570"/>
        <v>0</v>
      </c>
      <c r="CB117" s="2090">
        <f t="shared" si="570"/>
        <v>0</v>
      </c>
      <c r="CC117" s="2191"/>
      <c r="CD117" s="13"/>
    </row>
    <row r="118" spans="1:82" ht="14.25" customHeight="1">
      <c r="A118" s="7"/>
      <c r="B118" s="21" t="s">
        <v>19</v>
      </c>
      <c r="C118" s="22"/>
      <c r="D118" s="91"/>
      <c r="E118" s="91"/>
      <c r="F118" s="92"/>
      <c r="G118" s="93"/>
      <c r="H118" s="91"/>
      <c r="I118" s="91"/>
      <c r="J118" s="92"/>
      <c r="K118" s="93"/>
      <c r="L118" s="91"/>
      <c r="M118" s="91"/>
      <c r="N118" s="92"/>
      <c r="O118" s="93"/>
      <c r="P118" s="91"/>
      <c r="Q118" s="91"/>
      <c r="R118" s="92"/>
      <c r="S118" s="93"/>
      <c r="T118" s="91"/>
      <c r="U118" s="91"/>
      <c r="V118" s="92"/>
      <c r="W118" s="93"/>
      <c r="X118" s="91"/>
      <c r="Y118" s="91"/>
      <c r="Z118" s="92"/>
      <c r="AA118" s="93"/>
      <c r="AB118" s="91"/>
      <c r="AC118" s="331"/>
      <c r="AD118" s="331"/>
      <c r="AE118" s="406"/>
      <c r="AF118" s="27">
        <v>6</v>
      </c>
      <c r="AG118" s="27">
        <f t="shared" ref="AG118:AP118" si="571">AF118*((1+AG119)^(1/4))</f>
        <v>6.2133484580497331</v>
      </c>
      <c r="AH118" s="27">
        <f t="shared" si="571"/>
        <v>6.4342831768581652</v>
      </c>
      <c r="AI118" s="28">
        <f t="shared" si="571"/>
        <v>6.6630739092645026</v>
      </c>
      <c r="AJ118" s="29">
        <f t="shared" si="571"/>
        <v>6.9</v>
      </c>
      <c r="AK118" s="27">
        <f>AJ118*((1+AK119)^(1/4))</f>
        <v>7.1453507267571927</v>
      </c>
      <c r="AL118" s="27">
        <f t="shared" si="571"/>
        <v>7.3994256533868903</v>
      </c>
      <c r="AM118" s="28">
        <f>AL118*((1+AM119)^(1/4))</f>
        <v>7.6625349956541786</v>
      </c>
      <c r="AN118" s="29">
        <f t="shared" si="571"/>
        <v>7.9350000000000014</v>
      </c>
      <c r="AO118" s="27">
        <f>AN118*((1+AO119)^(1/4))</f>
        <v>8.2171533357707727</v>
      </c>
      <c r="AP118" s="27">
        <f t="shared" si="571"/>
        <v>8.5093395013949245</v>
      </c>
      <c r="AQ118" s="28">
        <f>AP118*((1+AQ119)^(1/4))</f>
        <v>8.8119152450023055</v>
      </c>
      <c r="AR118" s="29">
        <f>AQ118*((1+AR119)^(1/4))</f>
        <v>9.1252500000000012</v>
      </c>
      <c r="AS118" s="27">
        <f>AR118*((1+AS119)^(1/4))</f>
        <v>9.4497263361363881</v>
      </c>
      <c r="AT118" s="27">
        <f>AS118*((1+AT119)^(1/4))</f>
        <v>9.7857404266041623</v>
      </c>
      <c r="AU118" s="28">
        <f>AT118*((1+AU119)^(1/4))</f>
        <v>10.13370253175265</v>
      </c>
      <c r="AV118" s="29">
        <f t="shared" ref="AV118:AW118" si="572">AU118*((1+AV119)^(1/4))</f>
        <v>10.494037500000001</v>
      </c>
      <c r="AW118" s="27">
        <f t="shared" si="572"/>
        <v>10.867185286556847</v>
      </c>
      <c r="AX118" s="27">
        <f>AW118*((1+AX119)^(1/4))</f>
        <v>11.253601490594788</v>
      </c>
      <c r="AY118" s="28">
        <f>AX118*((1+AY119)^(1/4))</f>
        <v>11.65375791151555</v>
      </c>
      <c r="AZ118" s="29">
        <f t="shared" ref="AZ118:BD118" si="573">AY118*((1+AZ119)^(1/4))</f>
        <v>12.068143125000002</v>
      </c>
      <c r="BA118" s="27">
        <f t="shared" si="573"/>
        <v>12.497263079540375</v>
      </c>
      <c r="BB118" s="27">
        <f t="shared" si="573"/>
        <v>12.941641714184007</v>
      </c>
      <c r="BC118" s="28">
        <f t="shared" ref="BC118" si="574">BB118*((1+BC119)^(1/4))</f>
        <v>13.401821598242883</v>
      </c>
      <c r="BD118" s="29">
        <f t="shared" si="573"/>
        <v>13.878364593750003</v>
      </c>
      <c r="BE118" s="27">
        <f t="shared" ref="BE118" si="575">BD118*((1+BE119)^(1/4))</f>
        <v>14.371852541471432</v>
      </c>
      <c r="BF118" s="27">
        <f t="shared" ref="BF118" si="576">BE118*((1+BF119)^(1/4))</f>
        <v>14.882887971311609</v>
      </c>
      <c r="BG118" s="28">
        <f t="shared" ref="BG118" si="577">BF118*((1+BG119)^(1/4))</f>
        <v>15.412094837979316</v>
      </c>
      <c r="BH118" s="27">
        <f t="shared" ref="BH118" si="578">BG118*((1+BH119)^(1/4))</f>
        <v>15.960119282812505</v>
      </c>
      <c r="BI118" s="27">
        <f t="shared" ref="BI118" si="579">BH118*((1+BI119)^(1/4))</f>
        <v>16.527630422692148</v>
      </c>
      <c r="BJ118" s="27">
        <f t="shared" ref="BJ118" si="580">BI118*((1+BJ119)^(1/4))</f>
        <v>17.11532116700835</v>
      </c>
      <c r="BK118" s="28">
        <f t="shared" ref="BK118" si="581">BJ118*((1+BK119)^(1/4))</f>
        <v>17.723909063676214</v>
      </c>
      <c r="BL118" s="19"/>
      <c r="BM118" s="79">
        <f t="shared" ref="BM118:BT118" si="582">AB118</f>
        <v>0</v>
      </c>
      <c r="BN118" s="79">
        <f t="shared" si="582"/>
        <v>0</v>
      </c>
      <c r="BO118" s="79">
        <f t="shared" si="582"/>
        <v>0</v>
      </c>
      <c r="BP118" s="79">
        <f t="shared" si="582"/>
        <v>0</v>
      </c>
      <c r="BQ118" s="79">
        <f t="shared" si="582"/>
        <v>6</v>
      </c>
      <c r="BR118" s="79">
        <f t="shared" si="582"/>
        <v>6.2133484580497331</v>
      </c>
      <c r="BS118" s="79">
        <f t="shared" si="582"/>
        <v>6.4342831768581652</v>
      </c>
      <c r="BT118" s="79">
        <f t="shared" si="582"/>
        <v>6.6630739092645026</v>
      </c>
      <c r="BU118" s="79">
        <f>AM118</f>
        <v>7.6625349956541786</v>
      </c>
      <c r="BV118" s="79">
        <f t="shared" ref="BV118:CB118" si="583">BU118*((1+BV119)^(1/4))</f>
        <v>7.9350000000000014</v>
      </c>
      <c r="BW118" s="79">
        <f t="shared" si="583"/>
        <v>8.2171533357707727</v>
      </c>
      <c r="BX118" s="79">
        <f t="shared" si="583"/>
        <v>8.5093395013949245</v>
      </c>
      <c r="BY118" s="79">
        <f t="shared" si="583"/>
        <v>8.8119152450023055</v>
      </c>
      <c r="BZ118" s="79">
        <f t="shared" si="583"/>
        <v>9.1252500000000012</v>
      </c>
      <c r="CA118" s="79">
        <f t="shared" si="583"/>
        <v>9.4497263361363881</v>
      </c>
      <c r="CB118" s="2090">
        <f t="shared" si="583"/>
        <v>9.7857404266041623</v>
      </c>
      <c r="CC118" s="2191"/>
      <c r="CD118" s="13"/>
    </row>
    <row r="119" spans="1:82" ht="14.25" customHeight="1">
      <c r="A119" s="7"/>
      <c r="B119" s="30" t="s">
        <v>20</v>
      </c>
      <c r="C119" s="31"/>
      <c r="D119" s="94"/>
      <c r="E119" s="95"/>
      <c r="F119" s="95"/>
      <c r="G119" s="96"/>
      <c r="H119" s="94"/>
      <c r="I119" s="95"/>
      <c r="J119" s="95"/>
      <c r="K119" s="96"/>
      <c r="L119" s="94"/>
      <c r="M119" s="95"/>
      <c r="N119" s="95"/>
      <c r="O119" s="96"/>
      <c r="P119" s="94"/>
      <c r="Q119" s="95"/>
      <c r="R119" s="95"/>
      <c r="S119" s="96"/>
      <c r="T119" s="94"/>
      <c r="U119" s="95"/>
      <c r="V119" s="95"/>
      <c r="W119" s="96"/>
      <c r="X119" s="94"/>
      <c r="Y119" s="95"/>
      <c r="Z119" s="95"/>
      <c r="AA119" s="96"/>
      <c r="AB119" s="94"/>
      <c r="AC119" s="32"/>
      <c r="AD119" s="32"/>
      <c r="AE119" s="96"/>
      <c r="AF119" s="32"/>
      <c r="AG119" s="32">
        <v>0.15</v>
      </c>
      <c r="AH119" s="32">
        <v>0.15</v>
      </c>
      <c r="AI119" s="33">
        <v>0.15</v>
      </c>
      <c r="AJ119" s="32">
        <v>0.15</v>
      </c>
      <c r="AK119" s="32">
        <v>0.15</v>
      </c>
      <c r="AL119" s="32">
        <v>0.15</v>
      </c>
      <c r="AM119" s="33">
        <v>0.15</v>
      </c>
      <c r="AN119" s="32">
        <v>0.15</v>
      </c>
      <c r="AO119" s="32">
        <v>0.15</v>
      </c>
      <c r="AP119" s="32">
        <v>0.15</v>
      </c>
      <c r="AQ119" s="33">
        <v>0.15</v>
      </c>
      <c r="AR119" s="32">
        <v>0.15</v>
      </c>
      <c r="AS119" s="32">
        <v>0.15</v>
      </c>
      <c r="AT119" s="32">
        <v>0.15</v>
      </c>
      <c r="AU119" s="33">
        <v>0.15</v>
      </c>
      <c r="AV119" s="32">
        <v>0.15</v>
      </c>
      <c r="AW119" s="32">
        <v>0.15</v>
      </c>
      <c r="AX119" s="32">
        <v>0.15</v>
      </c>
      <c r="AY119" s="33">
        <v>0.15</v>
      </c>
      <c r="AZ119" s="1696">
        <v>0.15</v>
      </c>
      <c r="BA119" s="1696">
        <v>0.15</v>
      </c>
      <c r="BB119" s="1850">
        <v>0.15</v>
      </c>
      <c r="BC119" s="33">
        <v>0.15</v>
      </c>
      <c r="BD119" s="1850">
        <v>0.15</v>
      </c>
      <c r="BE119" s="32">
        <v>0.15</v>
      </c>
      <c r="BF119" s="32">
        <v>0.15</v>
      </c>
      <c r="BG119" s="33">
        <v>0.15</v>
      </c>
      <c r="BH119" s="1850">
        <v>0.15</v>
      </c>
      <c r="BI119" s="1850">
        <v>0.15</v>
      </c>
      <c r="BJ119" s="1850">
        <v>0.15</v>
      </c>
      <c r="BK119" s="33">
        <v>0.15</v>
      </c>
      <c r="BL119" s="19"/>
      <c r="BM119" s="97"/>
      <c r="BN119" s="97"/>
      <c r="BO119" s="97"/>
      <c r="BP119" s="97"/>
      <c r="BQ119" s="97"/>
      <c r="BR119" s="97"/>
      <c r="BS119" s="97"/>
      <c r="BT119" s="97"/>
      <c r="BU119" s="97"/>
      <c r="BV119" s="97">
        <v>0.15</v>
      </c>
      <c r="BW119" s="97">
        <v>0.15</v>
      </c>
      <c r="BX119" s="97">
        <v>0.15</v>
      </c>
      <c r="BY119" s="1878">
        <v>0.15</v>
      </c>
      <c r="BZ119" s="1878">
        <v>0.15</v>
      </c>
      <c r="CA119" s="1878">
        <v>0.15</v>
      </c>
      <c r="CB119" s="2011">
        <v>0.15</v>
      </c>
      <c r="CC119" s="2191"/>
      <c r="CD119" s="13"/>
    </row>
    <row r="120" spans="1:82" ht="14.25" customHeight="1">
      <c r="A120" s="7"/>
      <c r="B120" s="21"/>
      <c r="C120" s="22"/>
      <c r="D120" s="39"/>
      <c r="E120" s="39"/>
      <c r="F120" s="39"/>
      <c r="G120" s="40"/>
      <c r="H120" s="39"/>
      <c r="I120" s="39"/>
      <c r="J120" s="39"/>
      <c r="K120" s="40"/>
      <c r="L120" s="39"/>
      <c r="M120" s="39"/>
      <c r="N120" s="39"/>
      <c r="O120" s="40"/>
      <c r="P120" s="39"/>
      <c r="Q120" s="39"/>
      <c r="R120" s="39"/>
      <c r="S120" s="40"/>
      <c r="T120" s="39"/>
      <c r="U120" s="39"/>
      <c r="V120" s="39"/>
      <c r="W120" s="40"/>
      <c r="X120" s="39"/>
      <c r="Y120" s="39"/>
      <c r="Z120" s="39"/>
      <c r="AA120" s="40"/>
      <c r="AB120" s="39"/>
      <c r="AC120" s="39"/>
      <c r="AD120" s="39"/>
      <c r="AE120" s="40"/>
      <c r="AF120" s="49"/>
      <c r="AG120" s="39"/>
      <c r="AH120" s="39"/>
      <c r="AI120" s="40"/>
      <c r="AJ120" s="49"/>
      <c r="AK120" s="39"/>
      <c r="AL120" s="39"/>
      <c r="AM120" s="40"/>
      <c r="AN120" s="49"/>
      <c r="AO120" s="39"/>
      <c r="AP120" s="39"/>
      <c r="AQ120" s="40"/>
      <c r="AR120" s="49"/>
      <c r="AS120" s="39"/>
      <c r="AT120" s="39"/>
      <c r="AU120" s="40"/>
      <c r="AV120" s="49"/>
      <c r="AW120" s="39"/>
      <c r="AX120" s="39"/>
      <c r="AY120" s="40"/>
      <c r="AZ120" s="49"/>
      <c r="BA120" s="39"/>
      <c r="BB120" s="39"/>
      <c r="BC120" s="40"/>
      <c r="BD120" s="49"/>
      <c r="BE120" s="39"/>
      <c r="BF120" s="39"/>
      <c r="BG120" s="40"/>
      <c r="BH120" s="39"/>
      <c r="BI120" s="39"/>
      <c r="BJ120" s="39"/>
      <c r="BK120" s="40"/>
      <c r="BL120" s="19"/>
      <c r="BM120" s="39"/>
      <c r="BN120" s="39"/>
      <c r="BO120" s="39"/>
      <c r="BP120" s="39"/>
      <c r="BQ120" s="39"/>
      <c r="BR120" s="39"/>
      <c r="BS120" s="39"/>
      <c r="BT120" s="39"/>
      <c r="BU120" s="39"/>
      <c r="BV120" s="39"/>
      <c r="BW120" s="39"/>
      <c r="BX120" s="39"/>
      <c r="BY120" s="39"/>
      <c r="BZ120" s="39"/>
      <c r="CA120" s="39"/>
      <c r="CB120" s="2076"/>
      <c r="CC120" s="2191"/>
      <c r="CD120" s="13"/>
    </row>
    <row r="121" spans="1:82" ht="14.25" customHeight="1">
      <c r="A121" s="7"/>
      <c r="B121" s="21" t="s">
        <v>21</v>
      </c>
      <c r="C121" s="22"/>
      <c r="D121" s="97">
        <v>0.35</v>
      </c>
      <c r="E121" s="97">
        <v>0.35</v>
      </c>
      <c r="F121" s="97">
        <v>0.35</v>
      </c>
      <c r="G121" s="98">
        <v>0.35</v>
      </c>
      <c r="H121" s="97">
        <v>0.35</v>
      </c>
      <c r="I121" s="97">
        <v>0.35</v>
      </c>
      <c r="J121" s="97">
        <v>0.35</v>
      </c>
      <c r="K121" s="98">
        <v>0.35</v>
      </c>
      <c r="L121" s="97">
        <v>0.35</v>
      </c>
      <c r="M121" s="97">
        <v>0.35</v>
      </c>
      <c r="N121" s="97">
        <v>0.35</v>
      </c>
      <c r="O121" s="98">
        <v>0.35</v>
      </c>
      <c r="P121" s="97">
        <v>0.35</v>
      </c>
      <c r="Q121" s="97">
        <v>0.35</v>
      </c>
      <c r="R121" s="97">
        <v>0.35</v>
      </c>
      <c r="S121" s="98">
        <v>0.35</v>
      </c>
      <c r="T121" s="97">
        <v>0.35</v>
      </c>
      <c r="U121" s="97">
        <v>0.35</v>
      </c>
      <c r="V121" s="97">
        <v>0.35</v>
      </c>
      <c r="W121" s="98">
        <v>0.35</v>
      </c>
      <c r="X121" s="97">
        <v>0.35</v>
      </c>
      <c r="Y121" s="97">
        <v>0.35</v>
      </c>
      <c r="Z121" s="97">
        <v>0.35</v>
      </c>
      <c r="AA121" s="98">
        <v>0.35</v>
      </c>
      <c r="AB121" s="97">
        <v>0.35</v>
      </c>
      <c r="AC121" s="97">
        <v>0.35</v>
      </c>
      <c r="AD121" s="97">
        <v>0.35</v>
      </c>
      <c r="AE121" s="98">
        <v>0.35</v>
      </c>
      <c r="AF121" s="99">
        <v>0.35</v>
      </c>
      <c r="AG121" s="97">
        <v>0.35</v>
      </c>
      <c r="AH121" s="97">
        <v>0.35</v>
      </c>
      <c r="AI121" s="98">
        <v>0.35</v>
      </c>
      <c r="AJ121" s="99">
        <v>0.35</v>
      </c>
      <c r="AK121" s="97">
        <v>0.35</v>
      </c>
      <c r="AL121" s="97">
        <v>0.35</v>
      </c>
      <c r="AM121" s="98">
        <v>0.35</v>
      </c>
      <c r="AN121" s="99">
        <v>0.35</v>
      </c>
      <c r="AO121" s="97">
        <v>0.35</v>
      </c>
      <c r="AP121" s="97">
        <v>0.35</v>
      </c>
      <c r="AQ121" s="98">
        <v>0.35</v>
      </c>
      <c r="AR121" s="99">
        <v>0.35</v>
      </c>
      <c r="AS121" s="97">
        <v>0.35</v>
      </c>
      <c r="AT121" s="97">
        <v>0.35</v>
      </c>
      <c r="AU121" s="98">
        <v>0.35</v>
      </c>
      <c r="AV121" s="99">
        <v>0.35</v>
      </c>
      <c r="AW121" s="97">
        <v>0.35</v>
      </c>
      <c r="AX121" s="97">
        <v>0.35</v>
      </c>
      <c r="AY121" s="98">
        <v>0.35</v>
      </c>
      <c r="AZ121" s="99">
        <v>0.35</v>
      </c>
      <c r="BA121" s="97">
        <v>0.35</v>
      </c>
      <c r="BB121" s="97">
        <v>0.35</v>
      </c>
      <c r="BC121" s="98">
        <v>0.35</v>
      </c>
      <c r="BD121" s="99">
        <v>0.35</v>
      </c>
      <c r="BE121" s="97">
        <v>0.35</v>
      </c>
      <c r="BF121" s="97">
        <v>0.35</v>
      </c>
      <c r="BG121" s="98">
        <v>0.35</v>
      </c>
      <c r="BH121" s="97">
        <v>0.35</v>
      </c>
      <c r="BI121" s="97">
        <v>0.35</v>
      </c>
      <c r="BJ121" s="97">
        <v>0.35</v>
      </c>
      <c r="BK121" s="98">
        <v>0.35</v>
      </c>
      <c r="BL121" s="19"/>
      <c r="BM121" s="97">
        <v>0.35</v>
      </c>
      <c r="BN121" s="97">
        <v>0.35</v>
      </c>
      <c r="BO121" s="97">
        <v>0.35</v>
      </c>
      <c r="BP121" s="97">
        <v>0.35</v>
      </c>
      <c r="BQ121" s="97">
        <v>0.35</v>
      </c>
      <c r="BR121" s="97">
        <v>0.35</v>
      </c>
      <c r="BS121" s="97">
        <v>0.35</v>
      </c>
      <c r="BT121" s="97">
        <v>0.35</v>
      </c>
      <c r="BU121" s="97">
        <v>0.35</v>
      </c>
      <c r="BV121" s="97">
        <v>0.35</v>
      </c>
      <c r="BW121" s="97">
        <v>0.35</v>
      </c>
      <c r="BX121" s="97">
        <v>0.35</v>
      </c>
      <c r="BY121" s="100">
        <v>0.35</v>
      </c>
      <c r="BZ121" s="100">
        <v>0.35</v>
      </c>
      <c r="CA121" s="100">
        <v>0.35</v>
      </c>
      <c r="CB121" s="1681">
        <v>0.35</v>
      </c>
      <c r="CC121" s="2191"/>
      <c r="CD121" s="13"/>
    </row>
    <row r="122" spans="1:82" ht="14.25" customHeight="1">
      <c r="A122" s="7"/>
      <c r="B122" s="30"/>
      <c r="C122" s="31"/>
      <c r="D122" s="39"/>
      <c r="E122" s="39"/>
      <c r="F122" s="39"/>
      <c r="G122" s="40"/>
      <c r="H122" s="39"/>
      <c r="I122" s="39"/>
      <c r="J122" s="39"/>
      <c r="K122" s="40"/>
      <c r="L122" s="39"/>
      <c r="M122" s="39"/>
      <c r="N122" s="39"/>
      <c r="O122" s="40"/>
      <c r="P122" s="39"/>
      <c r="Q122" s="39"/>
      <c r="R122" s="39"/>
      <c r="S122" s="40"/>
      <c r="T122" s="39"/>
      <c r="U122" s="39"/>
      <c r="V122" s="39"/>
      <c r="W122" s="40"/>
      <c r="X122" s="39"/>
      <c r="Y122" s="39"/>
      <c r="Z122" s="39"/>
      <c r="AA122" s="40"/>
      <c r="AB122" s="39"/>
      <c r="AC122" s="39"/>
      <c r="AD122" s="39"/>
      <c r="AE122" s="40"/>
      <c r="AF122" s="49"/>
      <c r="AG122" s="39"/>
      <c r="AH122" s="39"/>
      <c r="AI122" s="40"/>
      <c r="AJ122" s="49"/>
      <c r="AK122" s="39"/>
      <c r="AL122" s="39"/>
      <c r="AM122" s="40"/>
      <c r="AN122" s="49"/>
      <c r="AO122" s="39"/>
      <c r="AP122" s="39"/>
      <c r="AQ122" s="40"/>
      <c r="AR122" s="49"/>
      <c r="AS122" s="39"/>
      <c r="AT122" s="39"/>
      <c r="AU122" s="40"/>
      <c r="AV122" s="49"/>
      <c r="AW122" s="39"/>
      <c r="AX122" s="39"/>
      <c r="AY122" s="40"/>
      <c r="AZ122" s="49"/>
      <c r="BA122" s="39"/>
      <c r="BB122" s="39"/>
      <c r="BC122" s="40"/>
      <c r="BD122" s="49"/>
      <c r="BE122" s="39"/>
      <c r="BF122" s="39"/>
      <c r="BG122" s="40"/>
      <c r="BH122" s="39"/>
      <c r="BI122" s="39"/>
      <c r="BJ122" s="39"/>
      <c r="BK122" s="40"/>
      <c r="BL122" s="19"/>
      <c r="BM122" s="39"/>
      <c r="BN122" s="39"/>
      <c r="BO122" s="39"/>
      <c r="BP122" s="39"/>
      <c r="BQ122" s="39"/>
      <c r="BR122" s="39"/>
      <c r="BS122" s="39"/>
      <c r="BT122" s="39"/>
      <c r="BU122" s="39"/>
      <c r="BV122" s="39"/>
      <c r="BW122" s="39"/>
      <c r="BX122" s="39"/>
      <c r="BY122" s="39"/>
      <c r="BZ122" s="39"/>
      <c r="CA122" s="39"/>
      <c r="CB122" s="2076"/>
      <c r="CC122" s="2191"/>
      <c r="CD122" s="13"/>
    </row>
    <row r="123" spans="1:82" ht="14.25" customHeight="1">
      <c r="A123" s="7"/>
      <c r="B123" s="101" t="s">
        <v>22</v>
      </c>
      <c r="C123" s="102"/>
      <c r="D123" s="104">
        <f t="shared" ref="D123:AI123" si="584">D28+D38+D48</f>
        <v>464.83600000000001</v>
      </c>
      <c r="E123" s="104">
        <f t="shared" si="584"/>
        <v>501.09500000000003</v>
      </c>
      <c r="F123" s="104">
        <f t="shared" si="584"/>
        <v>547.76599999999996</v>
      </c>
      <c r="G123" s="105">
        <f t="shared" si="584"/>
        <v>646.30300000000011</v>
      </c>
      <c r="H123" s="104">
        <f t="shared" si="584"/>
        <v>520.21799999999996</v>
      </c>
      <c r="I123" s="104">
        <f t="shared" si="584"/>
        <v>588.19899999999996</v>
      </c>
      <c r="J123" s="104">
        <f t="shared" si="584"/>
        <v>563.18599999999992</v>
      </c>
      <c r="K123" s="105">
        <f t="shared" si="584"/>
        <v>1168.3969999999999</v>
      </c>
      <c r="L123" s="104">
        <f t="shared" si="584"/>
        <v>851</v>
      </c>
      <c r="M123" s="104">
        <f t="shared" si="584"/>
        <v>918</v>
      </c>
      <c r="N123" s="104">
        <f t="shared" si="584"/>
        <v>895</v>
      </c>
      <c r="O123" s="105">
        <f t="shared" si="584"/>
        <v>2463</v>
      </c>
      <c r="P123" s="104">
        <f t="shared" si="584"/>
        <v>855</v>
      </c>
      <c r="Q123" s="104">
        <f t="shared" si="584"/>
        <v>1080</v>
      </c>
      <c r="R123" s="104">
        <f t="shared" si="584"/>
        <v>794</v>
      </c>
      <c r="S123" s="105">
        <f t="shared" si="584"/>
        <v>1546</v>
      </c>
      <c r="T123" s="104">
        <f t="shared" si="584"/>
        <v>809</v>
      </c>
      <c r="U123" s="104">
        <f t="shared" si="584"/>
        <v>690</v>
      </c>
      <c r="V123" s="104">
        <f t="shared" si="584"/>
        <v>662</v>
      </c>
      <c r="W123" s="105">
        <f t="shared" si="584"/>
        <v>-553</v>
      </c>
      <c r="X123" s="104">
        <f t="shared" si="584"/>
        <v>559</v>
      </c>
      <c r="Y123" s="104">
        <f t="shared" si="584"/>
        <v>613</v>
      </c>
      <c r="Z123" s="104">
        <f t="shared" si="584"/>
        <v>611</v>
      </c>
      <c r="AA123" s="105">
        <f t="shared" si="584"/>
        <v>330</v>
      </c>
      <c r="AB123" s="104">
        <f t="shared" si="584"/>
        <v>637</v>
      </c>
      <c r="AC123" s="104">
        <f t="shared" si="584"/>
        <v>615</v>
      </c>
      <c r="AD123" s="104">
        <f t="shared" si="584"/>
        <v>618</v>
      </c>
      <c r="AE123" s="105">
        <f t="shared" si="584"/>
        <v>702</v>
      </c>
      <c r="AF123" s="103">
        <f t="shared" si="584"/>
        <v>607</v>
      </c>
      <c r="AG123" s="104">
        <f t="shared" si="584"/>
        <v>561</v>
      </c>
      <c r="AH123" s="104">
        <f t="shared" si="584"/>
        <v>523</v>
      </c>
      <c r="AI123" s="105">
        <f t="shared" si="584"/>
        <v>600</v>
      </c>
      <c r="AJ123" s="103">
        <f t="shared" ref="AJ123:BD123" si="585">AJ28+AJ38+AJ48</f>
        <v>543</v>
      </c>
      <c r="AK123" s="104">
        <f t="shared" si="585"/>
        <v>488</v>
      </c>
      <c r="AL123" s="104">
        <f t="shared" si="585"/>
        <v>426</v>
      </c>
      <c r="AM123" s="105">
        <f t="shared" si="585"/>
        <v>418</v>
      </c>
      <c r="AN123" s="103">
        <f t="shared" si="585"/>
        <v>438</v>
      </c>
      <c r="AO123" s="104">
        <f t="shared" si="585"/>
        <v>435</v>
      </c>
      <c r="AP123" s="104">
        <f t="shared" si="585"/>
        <v>431</v>
      </c>
      <c r="AQ123" s="105">
        <f t="shared" si="585"/>
        <v>690</v>
      </c>
      <c r="AR123" s="103">
        <f t="shared" si="585"/>
        <v>463</v>
      </c>
      <c r="AS123" s="104">
        <f t="shared" si="585"/>
        <v>369</v>
      </c>
      <c r="AT123" s="104">
        <f t="shared" si="585"/>
        <v>397</v>
      </c>
      <c r="AU123" s="105">
        <f t="shared" si="585"/>
        <v>332</v>
      </c>
      <c r="AV123" s="103">
        <f t="shared" si="585"/>
        <v>337</v>
      </c>
      <c r="AW123" s="104">
        <f t="shared" si="585"/>
        <v>327</v>
      </c>
      <c r="AX123" s="104">
        <f t="shared" ref="AX123:BA123" si="586">AX28+AX38+AX48</f>
        <v>352</v>
      </c>
      <c r="AY123" s="105">
        <f t="shared" si="586"/>
        <v>354</v>
      </c>
      <c r="AZ123" s="103">
        <f t="shared" si="586"/>
        <v>360</v>
      </c>
      <c r="BA123" s="104">
        <f t="shared" si="586"/>
        <v>379</v>
      </c>
      <c r="BB123" s="104">
        <f t="shared" ref="BB123" si="587">BB28+BB38+BB48</f>
        <v>447</v>
      </c>
      <c r="BC123" s="105">
        <f t="shared" si="585"/>
        <v>433</v>
      </c>
      <c r="BD123" s="103">
        <f t="shared" si="585"/>
        <v>477</v>
      </c>
      <c r="BE123" s="104">
        <f t="shared" ref="BE123:BG123" si="588">BE28+BE38+BE48</f>
        <v>488</v>
      </c>
      <c r="BF123" s="104">
        <f t="shared" si="588"/>
        <v>493</v>
      </c>
      <c r="BG123" s="105">
        <f t="shared" si="588"/>
        <v>498</v>
      </c>
      <c r="BH123" s="104">
        <f t="shared" ref="BH123:BK123" si="589">BH28+BH38+BH48</f>
        <v>503</v>
      </c>
      <c r="BI123" s="104">
        <f t="shared" si="589"/>
        <v>508</v>
      </c>
      <c r="BJ123" s="104">
        <f t="shared" si="589"/>
        <v>513</v>
      </c>
      <c r="BK123" s="105">
        <f t="shared" si="589"/>
        <v>518</v>
      </c>
      <c r="BL123" s="19"/>
      <c r="BM123" s="104">
        <f t="shared" ref="BM123:BY123" si="590">BM28+BM38+BM48</f>
        <v>2160</v>
      </c>
      <c r="BN123" s="104">
        <f t="shared" si="590"/>
        <v>2840</v>
      </c>
      <c r="BO123" s="104">
        <f t="shared" si="590"/>
        <v>5127</v>
      </c>
      <c r="BP123" s="104">
        <f t="shared" si="590"/>
        <v>4275</v>
      </c>
      <c r="BQ123" s="104">
        <f t="shared" si="590"/>
        <v>1608</v>
      </c>
      <c r="BR123" s="104">
        <f t="shared" si="590"/>
        <v>2113</v>
      </c>
      <c r="BS123" s="104">
        <f t="shared" si="590"/>
        <v>2572</v>
      </c>
      <c r="BT123" s="104">
        <f t="shared" si="590"/>
        <v>2291</v>
      </c>
      <c r="BU123" s="104">
        <f t="shared" si="590"/>
        <v>1875</v>
      </c>
      <c r="BV123" s="104">
        <f t="shared" si="590"/>
        <v>1994</v>
      </c>
      <c r="BW123" s="104">
        <f t="shared" si="590"/>
        <v>1561</v>
      </c>
      <c r="BX123" s="104">
        <f t="shared" si="590"/>
        <v>1370</v>
      </c>
      <c r="BY123" s="104">
        <f t="shared" si="590"/>
        <v>1619</v>
      </c>
      <c r="BZ123" s="104">
        <f t="shared" ref="BZ123:CB123" si="591">BZ28+BZ38+BZ48</f>
        <v>1956</v>
      </c>
      <c r="CA123" s="104">
        <f t="shared" si="591"/>
        <v>2042</v>
      </c>
      <c r="CB123" s="2091">
        <f t="shared" si="591"/>
        <v>2042</v>
      </c>
      <c r="CC123" s="2191"/>
      <c r="CD123" s="13"/>
    </row>
    <row r="124" spans="1:82" ht="14.25" customHeight="1">
      <c r="A124" s="7"/>
      <c r="B124" s="106" t="s">
        <v>23</v>
      </c>
      <c r="C124" s="107"/>
      <c r="D124" s="109">
        <f t="shared" ref="D124:AI124" si="592">D14+D28+D38+D48</f>
        <v>1272.2849999999999</v>
      </c>
      <c r="E124" s="109">
        <f t="shared" si="592"/>
        <v>1267.049</v>
      </c>
      <c r="F124" s="109">
        <f t="shared" si="592"/>
        <v>1444.027</v>
      </c>
      <c r="G124" s="110">
        <f t="shared" si="592"/>
        <v>1632.6390000000004</v>
      </c>
      <c r="H124" s="109">
        <f t="shared" si="592"/>
        <v>1073.558</v>
      </c>
      <c r="I124" s="109">
        <f t="shared" si="592"/>
        <v>1114.2579999999998</v>
      </c>
      <c r="J124" s="109">
        <f t="shared" si="592"/>
        <v>1208.45</v>
      </c>
      <c r="K124" s="110">
        <f t="shared" si="592"/>
        <v>2299.7339999999999</v>
      </c>
      <c r="L124" s="109">
        <f t="shared" si="592"/>
        <v>1737</v>
      </c>
      <c r="M124" s="109">
        <f t="shared" si="592"/>
        <v>1835</v>
      </c>
      <c r="N124" s="109">
        <f t="shared" si="592"/>
        <v>1858</v>
      </c>
      <c r="O124" s="110">
        <f t="shared" si="592"/>
        <v>3448</v>
      </c>
      <c r="P124" s="109">
        <f t="shared" si="592"/>
        <v>1721</v>
      </c>
      <c r="Q124" s="109">
        <f t="shared" si="592"/>
        <v>1931</v>
      </c>
      <c r="R124" s="109">
        <f t="shared" si="592"/>
        <v>1675</v>
      </c>
      <c r="S124" s="110">
        <f t="shared" si="592"/>
        <v>2436</v>
      </c>
      <c r="T124" s="109">
        <f t="shared" si="592"/>
        <v>1475</v>
      </c>
      <c r="U124" s="109">
        <f t="shared" si="592"/>
        <v>1433</v>
      </c>
      <c r="V124" s="109">
        <f t="shared" si="592"/>
        <v>1473</v>
      </c>
      <c r="W124" s="110">
        <f t="shared" si="592"/>
        <v>358</v>
      </c>
      <c r="X124" s="109">
        <f t="shared" si="592"/>
        <v>1392</v>
      </c>
      <c r="Y124" s="109">
        <f t="shared" si="592"/>
        <v>1528</v>
      </c>
      <c r="Z124" s="109">
        <f t="shared" si="592"/>
        <v>1490</v>
      </c>
      <c r="AA124" s="110">
        <f t="shared" si="592"/>
        <v>1236</v>
      </c>
      <c r="AB124" s="109">
        <f t="shared" si="592"/>
        <v>1559</v>
      </c>
      <c r="AC124" s="109">
        <f t="shared" si="592"/>
        <v>1469</v>
      </c>
      <c r="AD124" s="109">
        <f t="shared" si="592"/>
        <v>1552</v>
      </c>
      <c r="AE124" s="110">
        <f t="shared" si="592"/>
        <v>1620</v>
      </c>
      <c r="AF124" s="108">
        <f t="shared" si="592"/>
        <v>2165</v>
      </c>
      <c r="AG124" s="109">
        <f t="shared" si="592"/>
        <v>1336</v>
      </c>
      <c r="AH124" s="109">
        <f t="shared" si="592"/>
        <v>1400</v>
      </c>
      <c r="AI124" s="110">
        <f t="shared" si="592"/>
        <v>1577</v>
      </c>
      <c r="AJ124" s="108">
        <f t="shared" ref="AJ124:BD124" si="593">AJ14+AJ28+AJ38+AJ48</f>
        <v>1186</v>
      </c>
      <c r="AK124" s="109">
        <f t="shared" si="593"/>
        <v>1190</v>
      </c>
      <c r="AL124" s="109">
        <f t="shared" si="593"/>
        <v>1366</v>
      </c>
      <c r="AM124" s="110">
        <f t="shared" si="593"/>
        <v>1454</v>
      </c>
      <c r="AN124" s="108">
        <f t="shared" si="593"/>
        <v>1348</v>
      </c>
      <c r="AO124" s="109">
        <f t="shared" si="593"/>
        <v>1378</v>
      </c>
      <c r="AP124" s="109">
        <f t="shared" si="593"/>
        <v>1366</v>
      </c>
      <c r="AQ124" s="110">
        <f t="shared" si="593"/>
        <v>1569</v>
      </c>
      <c r="AR124" s="108">
        <f t="shared" si="593"/>
        <v>1167</v>
      </c>
      <c r="AS124" s="109">
        <f t="shared" si="593"/>
        <v>1079</v>
      </c>
      <c r="AT124" s="109">
        <f t="shared" si="593"/>
        <v>1219</v>
      </c>
      <c r="AU124" s="110">
        <f t="shared" si="593"/>
        <v>1007</v>
      </c>
      <c r="AV124" s="108">
        <f t="shared" si="593"/>
        <v>900</v>
      </c>
      <c r="AW124" s="109">
        <f t="shared" si="593"/>
        <v>1035</v>
      </c>
      <c r="AX124" s="109">
        <f t="shared" ref="AX124:BA124" si="594">AX14+AX28+AX38+AX48</f>
        <v>1600</v>
      </c>
      <c r="AY124" s="110">
        <f t="shared" si="594"/>
        <v>1109</v>
      </c>
      <c r="AZ124" s="108">
        <f t="shared" si="594"/>
        <v>1013</v>
      </c>
      <c r="BA124" s="109">
        <f t="shared" si="594"/>
        <v>1197</v>
      </c>
      <c r="BB124" s="109">
        <f t="shared" ref="BB124" si="595">BB14+BB28+BB38+BB48</f>
        <v>1517</v>
      </c>
      <c r="BC124" s="110">
        <f t="shared" si="593"/>
        <v>1398</v>
      </c>
      <c r="BD124" s="108">
        <f t="shared" si="593"/>
        <v>1527</v>
      </c>
      <c r="BE124" s="109">
        <f t="shared" ref="BE124:BG124" si="596">BE14+BE28+BE38+BE48</f>
        <v>1576.9704664194694</v>
      </c>
      <c r="BF124" s="109">
        <f t="shared" si="596"/>
        <v>1583.1256863625924</v>
      </c>
      <c r="BG124" s="110">
        <f t="shared" si="596"/>
        <v>1521.9647306153001</v>
      </c>
      <c r="BH124" s="109">
        <f t="shared" ref="BH124:BK124" si="597">BH14+BH28+BH38+BH48</f>
        <v>1478.9614981353811</v>
      </c>
      <c r="BI124" s="109">
        <f t="shared" si="597"/>
        <v>1521.9879236200752</v>
      </c>
      <c r="BJ124" s="109">
        <f t="shared" si="597"/>
        <v>1577.239776679957</v>
      </c>
      <c r="BK124" s="110">
        <f t="shared" si="597"/>
        <v>1573.7630099990649</v>
      </c>
      <c r="BL124" s="19"/>
      <c r="BM124" s="109">
        <f t="shared" ref="BM124:BY124" si="598">BM14+BM28+BM38+BM48</f>
        <v>5616</v>
      </c>
      <c r="BN124" s="109">
        <f t="shared" si="598"/>
        <v>5696</v>
      </c>
      <c r="BO124" s="109">
        <f t="shared" si="598"/>
        <v>8878</v>
      </c>
      <c r="BP124" s="109">
        <f t="shared" si="598"/>
        <v>7763</v>
      </c>
      <c r="BQ124" s="109">
        <f t="shared" si="598"/>
        <v>4739</v>
      </c>
      <c r="BR124" s="109">
        <f t="shared" si="598"/>
        <v>5646</v>
      </c>
      <c r="BS124" s="109">
        <f t="shared" si="598"/>
        <v>6200</v>
      </c>
      <c r="BT124" s="109">
        <f t="shared" si="598"/>
        <v>6478</v>
      </c>
      <c r="BU124" s="109">
        <f t="shared" si="598"/>
        <v>5196</v>
      </c>
      <c r="BV124" s="109">
        <f t="shared" si="598"/>
        <v>5661</v>
      </c>
      <c r="BW124" s="109">
        <f t="shared" si="598"/>
        <v>4472</v>
      </c>
      <c r="BX124" s="109">
        <f t="shared" si="598"/>
        <v>4644</v>
      </c>
      <c r="BY124" s="109">
        <f t="shared" si="598"/>
        <v>5125</v>
      </c>
      <c r="BZ124" s="109">
        <f t="shared" ref="BZ124:CB124" si="599">BZ14+BZ28+BZ38+BZ48</f>
        <v>6209.060883397362</v>
      </c>
      <c r="CA124" s="109">
        <f t="shared" si="599"/>
        <v>6151.9522084344781</v>
      </c>
      <c r="CB124" s="2092">
        <f t="shared" si="599"/>
        <v>6151.952208434479</v>
      </c>
      <c r="CC124" s="2191"/>
      <c r="CD124" s="13"/>
    </row>
    <row r="125" spans="1:82" ht="14.25" customHeight="1">
      <c r="A125" s="13"/>
      <c r="B125" s="1499"/>
      <c r="C125" s="1499"/>
      <c r="D125" s="104"/>
      <c r="E125" s="104"/>
      <c r="F125" s="104"/>
      <c r="G125" s="104"/>
      <c r="H125" s="104"/>
      <c r="I125" s="104"/>
      <c r="J125" s="104"/>
      <c r="K125" s="104"/>
      <c r="L125" s="104"/>
      <c r="M125" s="104"/>
      <c r="N125" s="104"/>
      <c r="O125" s="104"/>
      <c r="P125" s="104"/>
      <c r="Q125" s="104"/>
      <c r="R125" s="104"/>
      <c r="S125" s="104"/>
      <c r="T125" s="104"/>
      <c r="U125" s="104"/>
      <c r="V125" s="104"/>
      <c r="W125" s="104"/>
      <c r="X125" s="104"/>
      <c r="Y125" s="104"/>
      <c r="Z125" s="104"/>
      <c r="AA125" s="104"/>
      <c r="AB125" s="104"/>
      <c r="AC125" s="104"/>
      <c r="AD125" s="104"/>
      <c r="AE125" s="104"/>
      <c r="AF125" s="104"/>
      <c r="AG125" s="104"/>
      <c r="AH125" s="104"/>
      <c r="AI125" s="1500"/>
      <c r="AJ125" s="104"/>
      <c r="AK125" s="104"/>
      <c r="AL125" s="104"/>
      <c r="AM125" s="1500"/>
      <c r="AN125" s="104"/>
      <c r="AO125" s="104"/>
      <c r="AP125" s="1500"/>
      <c r="AQ125" s="1500"/>
      <c r="AR125" s="104"/>
      <c r="AS125" s="104"/>
      <c r="AT125" s="104"/>
      <c r="AU125" s="1500"/>
      <c r="AV125" s="104"/>
      <c r="AW125" s="104"/>
      <c r="AX125" s="104"/>
      <c r="AY125" s="1500"/>
      <c r="AZ125" s="104"/>
      <c r="BA125" s="104"/>
      <c r="BB125" s="104"/>
      <c r="BC125" s="1500"/>
      <c r="BD125" s="104"/>
      <c r="BE125" s="104"/>
      <c r="BF125" s="104"/>
      <c r="BG125" s="1500"/>
      <c r="BH125" s="104"/>
      <c r="BI125" s="104"/>
      <c r="BJ125" s="104"/>
      <c r="BK125" s="1500"/>
      <c r="BL125" s="13"/>
      <c r="BM125" s="1500"/>
      <c r="BN125" s="1500"/>
      <c r="BO125" s="1500"/>
      <c r="BP125" s="1500"/>
      <c r="BQ125" s="1500"/>
      <c r="BR125" s="1500"/>
      <c r="BS125" s="1500"/>
      <c r="BT125" s="1500"/>
      <c r="BU125" s="1500"/>
      <c r="BV125" s="1500"/>
      <c r="BW125" s="1500"/>
      <c r="BX125" s="1500"/>
      <c r="BY125" s="104"/>
      <c r="BZ125" s="104"/>
      <c r="CA125" s="104"/>
      <c r="CB125" s="2093"/>
      <c r="CC125" s="1501"/>
      <c r="CD125" s="13"/>
    </row>
    <row r="126" spans="1:82" ht="14.25" customHeight="1">
      <c r="A126" s="7"/>
      <c r="B126" s="8" t="s">
        <v>541</v>
      </c>
      <c r="C126" s="68"/>
      <c r="D126" s="1141"/>
      <c r="E126" s="1141"/>
      <c r="F126" s="1141"/>
      <c r="G126" s="1141"/>
      <c r="H126" s="1141"/>
      <c r="I126" s="1141"/>
      <c r="J126" s="1141"/>
      <c r="K126" s="1141"/>
      <c r="L126" s="1141"/>
      <c r="M126" s="1141"/>
      <c r="N126" s="1141"/>
      <c r="O126" s="1141"/>
      <c r="P126" s="1141"/>
      <c r="Q126" s="1141"/>
      <c r="R126" s="1141"/>
      <c r="S126" s="1141"/>
      <c r="T126" s="1141"/>
      <c r="U126" s="1141"/>
      <c r="V126" s="1141"/>
      <c r="W126" s="1141"/>
      <c r="X126" s="1141"/>
      <c r="Y126" s="1141"/>
      <c r="Z126" s="1141"/>
      <c r="AA126" s="1141"/>
      <c r="AB126" s="1141"/>
      <c r="AC126" s="1141"/>
      <c r="AD126" s="1141"/>
      <c r="AE126" s="1142"/>
      <c r="AF126" s="624"/>
      <c r="AG126" s="624"/>
      <c r="AH126" s="624"/>
      <c r="AI126" s="624"/>
      <c r="AJ126" s="1147"/>
      <c r="AK126" s="624"/>
      <c r="AL126" s="624"/>
      <c r="AM126" s="1143"/>
      <c r="AN126" s="1147"/>
      <c r="AO126" s="624"/>
      <c r="AP126" s="624"/>
      <c r="AQ126" s="1143"/>
      <c r="AR126" s="1147"/>
      <c r="AS126" s="624"/>
      <c r="AT126" s="624"/>
      <c r="AU126" s="1143"/>
      <c r="AV126" s="1147"/>
      <c r="AW126" s="624"/>
      <c r="AX126" s="624"/>
      <c r="AY126" s="1143"/>
      <c r="AZ126" s="1147"/>
      <c r="BA126" s="624"/>
      <c r="BB126" s="624"/>
      <c r="BC126" s="1143"/>
      <c r="BD126" s="624"/>
      <c r="BE126" s="624"/>
      <c r="BF126" s="624"/>
      <c r="BG126" s="1143"/>
      <c r="BH126" s="624"/>
      <c r="BI126" s="624"/>
      <c r="BJ126" s="624"/>
      <c r="BK126" s="1143"/>
      <c r="BL126" s="19"/>
      <c r="BM126" s="39"/>
      <c r="BN126" s="39"/>
      <c r="BO126" s="39"/>
      <c r="BP126" s="39"/>
      <c r="BQ126" s="39"/>
      <c r="BR126" s="39"/>
      <c r="BS126" s="39"/>
      <c r="BT126" s="1141"/>
      <c r="BU126" s="1141"/>
      <c r="BV126" s="1141"/>
      <c r="BW126" s="1141"/>
      <c r="BX126" s="1141"/>
      <c r="BY126" s="1502"/>
      <c r="BZ126" s="1502"/>
      <c r="CA126" s="1502"/>
      <c r="CB126" s="2094"/>
      <c r="CC126" s="2191"/>
      <c r="CD126" s="13"/>
    </row>
    <row r="127" spans="1:82" ht="14.25" customHeight="1">
      <c r="A127" s="7"/>
      <c r="B127" s="1144" t="s">
        <v>542</v>
      </c>
      <c r="C127" s="1128"/>
      <c r="D127" s="1129"/>
      <c r="E127" s="1129"/>
      <c r="F127" s="1129"/>
      <c r="G127" s="1129"/>
      <c r="H127" s="1129"/>
      <c r="I127" s="1129"/>
      <c r="J127" s="1129"/>
      <c r="K127" s="1129"/>
      <c r="L127" s="1129"/>
      <c r="M127" s="1129"/>
      <c r="N127" s="1129"/>
      <c r="O127" s="1129"/>
      <c r="P127" s="1129"/>
      <c r="Q127" s="1129"/>
      <c r="R127" s="1129"/>
      <c r="S127" s="1129"/>
      <c r="T127" s="1129"/>
      <c r="U127" s="1129"/>
      <c r="V127" s="1129"/>
      <c r="W127" s="1129"/>
      <c r="X127" s="1129"/>
      <c r="Y127" s="1129"/>
      <c r="Z127" s="1129"/>
      <c r="AA127" s="1129"/>
      <c r="AB127" s="1129"/>
      <c r="AC127" s="1129"/>
      <c r="AD127" s="1129"/>
      <c r="AE127" s="1130"/>
      <c r="AF127" s="1131"/>
      <c r="AG127" s="1131"/>
      <c r="AH127" s="1131"/>
      <c r="AI127" s="1131"/>
      <c r="AJ127" s="29">
        <f t="shared" ref="AJ127:AQ127" si="600">AJ20</f>
        <v>445</v>
      </c>
      <c r="AK127" s="27">
        <f t="shared" si="600"/>
        <v>459</v>
      </c>
      <c r="AL127" s="27">
        <f t="shared" si="600"/>
        <v>521</v>
      </c>
      <c r="AM127" s="28">
        <f t="shared" si="600"/>
        <v>553</v>
      </c>
      <c r="AN127" s="29">
        <f t="shared" si="600"/>
        <v>487</v>
      </c>
      <c r="AO127" s="27">
        <f t="shared" si="600"/>
        <v>498</v>
      </c>
      <c r="AP127" s="27">
        <f t="shared" si="600"/>
        <v>494</v>
      </c>
      <c r="AQ127" s="28">
        <f t="shared" si="600"/>
        <v>360</v>
      </c>
      <c r="AR127" s="29">
        <f t="shared" ref="AR127:BG127" si="601">AR20</f>
        <v>326</v>
      </c>
      <c r="AS127" s="27">
        <f t="shared" si="601"/>
        <v>232</v>
      </c>
      <c r="AT127" s="27">
        <f t="shared" si="601"/>
        <v>239</v>
      </c>
      <c r="AU127" s="28">
        <f t="shared" si="601"/>
        <v>283</v>
      </c>
      <c r="AV127" s="29">
        <f t="shared" si="601"/>
        <v>269</v>
      </c>
      <c r="AW127" s="27">
        <f t="shared" si="601"/>
        <v>319</v>
      </c>
      <c r="AX127" s="27">
        <f t="shared" si="601"/>
        <v>59</v>
      </c>
      <c r="AY127" s="28">
        <f t="shared" si="601"/>
        <v>351</v>
      </c>
      <c r="AZ127" s="29">
        <f t="shared" si="601"/>
        <v>331</v>
      </c>
      <c r="BA127" s="27">
        <f t="shared" ref="BA127:BB127" si="602">BA20</f>
        <v>404</v>
      </c>
      <c r="BB127" s="27">
        <f t="shared" si="602"/>
        <v>573</v>
      </c>
      <c r="BC127" s="28">
        <f t="shared" ref="BC127" si="603">BC20</f>
        <v>515</v>
      </c>
      <c r="BD127" s="29">
        <f t="shared" ref="BD127" si="604">BD20</f>
        <v>597</v>
      </c>
      <c r="BE127" s="27">
        <f t="shared" si="601"/>
        <v>639.55408345270439</v>
      </c>
      <c r="BF127" s="27">
        <f t="shared" si="601"/>
        <v>640.23254595898288</v>
      </c>
      <c r="BG127" s="28">
        <f t="shared" si="601"/>
        <v>601.376111631208</v>
      </c>
      <c r="BH127" s="29">
        <f t="shared" ref="BH127:BK127" si="605">BH20</f>
        <v>573.18373700014445</v>
      </c>
      <c r="BI127" s="27">
        <f t="shared" si="605"/>
        <v>621.47646931553004</v>
      </c>
      <c r="BJ127" s="27">
        <f t="shared" si="605"/>
        <v>652.27599215868349</v>
      </c>
      <c r="BK127" s="28">
        <f t="shared" si="605"/>
        <v>647.08055451555583</v>
      </c>
      <c r="BL127" s="1503"/>
      <c r="BM127" s="27">
        <f t="shared" ref="BM127:BY127" si="606">BM20</f>
        <v>2392</v>
      </c>
      <c r="BN127" s="27">
        <f t="shared" si="606"/>
        <v>2793</v>
      </c>
      <c r="BO127" s="27">
        <f t="shared" si="606"/>
        <v>2262</v>
      </c>
      <c r="BP127" s="27">
        <f t="shared" si="606"/>
        <v>2320</v>
      </c>
      <c r="BQ127" s="27">
        <f t="shared" si="606"/>
        <v>2272</v>
      </c>
      <c r="BR127" s="27">
        <f t="shared" si="606"/>
        <v>2961</v>
      </c>
      <c r="BS127" s="27">
        <f t="shared" si="606"/>
        <v>2940</v>
      </c>
      <c r="BT127" s="27">
        <f t="shared" si="606"/>
        <v>1235</v>
      </c>
      <c r="BU127" s="27">
        <f t="shared" si="606"/>
        <v>1978</v>
      </c>
      <c r="BV127" s="27">
        <f t="shared" si="606"/>
        <v>1839</v>
      </c>
      <c r="BW127" s="27">
        <f t="shared" si="606"/>
        <v>1080</v>
      </c>
      <c r="BX127" s="27">
        <f t="shared" si="606"/>
        <v>998</v>
      </c>
      <c r="BY127" s="27">
        <f t="shared" si="606"/>
        <v>1823</v>
      </c>
      <c r="BZ127" s="27">
        <f t="shared" ref="BZ127:CB127" si="607">BZ20</f>
        <v>2478.1627410428955</v>
      </c>
      <c r="CA127" s="27">
        <f t="shared" si="607"/>
        <v>2494.0167529899136</v>
      </c>
      <c r="CB127" s="2075">
        <f t="shared" si="607"/>
        <v>2494.0167529899136</v>
      </c>
      <c r="CC127" s="2191"/>
      <c r="CD127" s="13"/>
    </row>
    <row r="128" spans="1:82" ht="14.25" customHeight="1">
      <c r="A128" s="7"/>
      <c r="B128" s="1144" t="s">
        <v>552</v>
      </c>
      <c r="C128" s="1128"/>
      <c r="D128" s="1129"/>
      <c r="E128" s="1129"/>
      <c r="F128" s="1129"/>
      <c r="G128" s="1129"/>
      <c r="H128" s="1129"/>
      <c r="I128" s="1129"/>
      <c r="J128" s="1129"/>
      <c r="K128" s="1129"/>
      <c r="L128" s="1129"/>
      <c r="M128" s="1129"/>
      <c r="N128" s="1129"/>
      <c r="O128" s="1129"/>
      <c r="P128" s="1129"/>
      <c r="Q128" s="1129"/>
      <c r="R128" s="1129"/>
      <c r="S128" s="1129"/>
      <c r="T128" s="1129"/>
      <c r="U128" s="1129"/>
      <c r="V128" s="1129"/>
      <c r="W128" s="1129"/>
      <c r="X128" s="1129"/>
      <c r="Y128" s="1129"/>
      <c r="Z128" s="1129"/>
      <c r="AA128" s="1129"/>
      <c r="AB128" s="1129"/>
      <c r="AC128" s="1129"/>
      <c r="AD128" s="1129"/>
      <c r="AE128" s="1130"/>
      <c r="AF128" s="1131"/>
      <c r="AG128" s="1131"/>
      <c r="AH128" s="1131"/>
      <c r="AI128" s="1131"/>
      <c r="AJ128" s="29">
        <f t="shared" ref="AJ128:AQ128" si="608">AJ16+AJ15</f>
        <v>0</v>
      </c>
      <c r="AK128" s="27">
        <f t="shared" si="608"/>
        <v>0</v>
      </c>
      <c r="AL128" s="27">
        <f t="shared" si="608"/>
        <v>0</v>
      </c>
      <c r="AM128" s="28">
        <f t="shared" si="608"/>
        <v>0</v>
      </c>
      <c r="AN128" s="29">
        <f t="shared" si="608"/>
        <v>1</v>
      </c>
      <c r="AO128" s="27">
        <f t="shared" si="608"/>
        <v>0</v>
      </c>
      <c r="AP128" s="27">
        <f t="shared" si="608"/>
        <v>0</v>
      </c>
      <c r="AQ128" s="28">
        <f t="shared" si="608"/>
        <v>58</v>
      </c>
      <c r="AR128" s="29">
        <f t="shared" ref="AR128:BG128" si="609">AR16+AR15</f>
        <v>1</v>
      </c>
      <c r="AS128" s="27">
        <f t="shared" si="609"/>
        <v>34</v>
      </c>
      <c r="AT128" s="27">
        <f t="shared" si="609"/>
        <v>0</v>
      </c>
      <c r="AU128" s="28">
        <f t="shared" si="609"/>
        <v>1</v>
      </c>
      <c r="AV128" s="29">
        <f t="shared" si="609"/>
        <v>1</v>
      </c>
      <c r="AW128" s="27">
        <f t="shared" si="609"/>
        <v>0</v>
      </c>
      <c r="AX128" s="27">
        <f t="shared" si="609"/>
        <v>340</v>
      </c>
      <c r="AY128" s="28">
        <f t="shared" si="609"/>
        <v>1</v>
      </c>
      <c r="AZ128" s="29">
        <f t="shared" si="609"/>
        <v>0</v>
      </c>
      <c r="BA128" s="27">
        <f t="shared" ref="BA128:BB128" si="610">BA16+BA15</f>
        <v>1</v>
      </c>
      <c r="BB128" s="27">
        <f t="shared" si="610"/>
        <v>1</v>
      </c>
      <c r="BC128" s="28">
        <f t="shared" ref="BC128" si="611">BC16+BC15</f>
        <v>0</v>
      </c>
      <c r="BD128" s="29">
        <f t="shared" ref="BD128" si="612">BD16+BD15</f>
        <v>1</v>
      </c>
      <c r="BE128" s="27">
        <f t="shared" si="609"/>
        <v>1</v>
      </c>
      <c r="BF128" s="27">
        <f t="shared" si="609"/>
        <v>1</v>
      </c>
      <c r="BG128" s="28">
        <f t="shared" si="609"/>
        <v>1</v>
      </c>
      <c r="BH128" s="29">
        <f t="shared" ref="BH128:BK128" si="613">BH16+BH15</f>
        <v>1</v>
      </c>
      <c r="BI128" s="27">
        <f t="shared" si="613"/>
        <v>1</v>
      </c>
      <c r="BJ128" s="27">
        <f t="shared" si="613"/>
        <v>1</v>
      </c>
      <c r="BK128" s="28">
        <f t="shared" si="613"/>
        <v>1</v>
      </c>
      <c r="BL128" s="1503"/>
      <c r="BM128" s="27">
        <f t="shared" ref="BM128:BU128" si="614">BM16</f>
        <v>0</v>
      </c>
      <c r="BN128" s="27">
        <f t="shared" si="614"/>
        <v>69.641999999999996</v>
      </c>
      <c r="BO128" s="27">
        <f t="shared" si="614"/>
        <v>35</v>
      </c>
      <c r="BP128" s="27">
        <f t="shared" si="614"/>
        <v>36</v>
      </c>
      <c r="BQ128" s="27">
        <f t="shared" si="614"/>
        <v>-330</v>
      </c>
      <c r="BR128" s="27">
        <f t="shared" si="614"/>
        <v>-69</v>
      </c>
      <c r="BS128" s="27">
        <f t="shared" si="614"/>
        <v>29</v>
      </c>
      <c r="BT128" s="27">
        <f t="shared" si="614"/>
        <v>1081</v>
      </c>
      <c r="BU128" s="27">
        <f t="shared" si="614"/>
        <v>0</v>
      </c>
      <c r="BV128" s="27">
        <f>BV16+BV15</f>
        <v>59</v>
      </c>
      <c r="BW128" s="27">
        <f>BW16+BW15</f>
        <v>36</v>
      </c>
      <c r="BX128" s="27">
        <f>BX16+BX15</f>
        <v>342</v>
      </c>
      <c r="BY128" s="27">
        <f t="shared" ref="BY128" si="615">BY16+BY15</f>
        <v>2</v>
      </c>
      <c r="BZ128" s="27">
        <f>BZ16+BZ15</f>
        <v>4</v>
      </c>
      <c r="CA128" s="27">
        <f>CA16+CA15</f>
        <v>4</v>
      </c>
      <c r="CB128" s="2075">
        <f t="shared" ref="CB128" si="616">CB16+CB15</f>
        <v>4</v>
      </c>
      <c r="CC128" s="2191"/>
      <c r="CD128" s="13"/>
    </row>
    <row r="129" spans="1:88" ht="14.25" customHeight="1">
      <c r="A129" s="7"/>
      <c r="B129" s="1144" t="s">
        <v>543</v>
      </c>
      <c r="C129" s="1128"/>
      <c r="D129" s="1129"/>
      <c r="E129" s="1129"/>
      <c r="F129" s="1129"/>
      <c r="G129" s="1129"/>
      <c r="H129" s="1129"/>
      <c r="I129" s="1129"/>
      <c r="J129" s="1129"/>
      <c r="K129" s="1129"/>
      <c r="L129" s="1129"/>
      <c r="M129" s="1129"/>
      <c r="N129" s="1129"/>
      <c r="O129" s="1129"/>
      <c r="P129" s="1129"/>
      <c r="Q129" s="1129"/>
      <c r="R129" s="1129"/>
      <c r="S129" s="1129"/>
      <c r="T129" s="1129"/>
      <c r="U129" s="1129"/>
      <c r="V129" s="1129"/>
      <c r="W129" s="1129"/>
      <c r="X129" s="1129"/>
      <c r="Y129" s="1129"/>
      <c r="Z129" s="1129"/>
      <c r="AA129" s="1129"/>
      <c r="AB129" s="1129"/>
      <c r="AC129" s="1129"/>
      <c r="AD129" s="1129"/>
      <c r="AE129" s="1130"/>
      <c r="AF129" s="1131"/>
      <c r="AG129" s="1131"/>
      <c r="AH129" s="1131"/>
      <c r="AI129" s="1131"/>
      <c r="AJ129" s="29">
        <f t="shared" ref="AJ129:AQ129" si="617">AJ127+AJ128</f>
        <v>445</v>
      </c>
      <c r="AK129" s="27">
        <f t="shared" si="617"/>
        <v>459</v>
      </c>
      <c r="AL129" s="27">
        <f t="shared" si="617"/>
        <v>521</v>
      </c>
      <c r="AM129" s="28">
        <f t="shared" si="617"/>
        <v>553</v>
      </c>
      <c r="AN129" s="29">
        <f t="shared" si="617"/>
        <v>488</v>
      </c>
      <c r="AO129" s="27">
        <f t="shared" si="617"/>
        <v>498</v>
      </c>
      <c r="AP129" s="27">
        <f t="shared" si="617"/>
        <v>494</v>
      </c>
      <c r="AQ129" s="28">
        <f t="shared" si="617"/>
        <v>418</v>
      </c>
      <c r="AR129" s="29">
        <f t="shared" ref="AR129:BG129" si="618">AR127+AR128</f>
        <v>327</v>
      </c>
      <c r="AS129" s="27">
        <f t="shared" si="618"/>
        <v>266</v>
      </c>
      <c r="AT129" s="27">
        <f t="shared" si="618"/>
        <v>239</v>
      </c>
      <c r="AU129" s="28">
        <f t="shared" si="618"/>
        <v>284</v>
      </c>
      <c r="AV129" s="29">
        <f t="shared" si="618"/>
        <v>270</v>
      </c>
      <c r="AW129" s="27">
        <f t="shared" si="618"/>
        <v>319</v>
      </c>
      <c r="AX129" s="27">
        <f t="shared" si="618"/>
        <v>399</v>
      </c>
      <c r="AY129" s="28">
        <f t="shared" si="618"/>
        <v>352</v>
      </c>
      <c r="AZ129" s="29">
        <f t="shared" si="618"/>
        <v>331</v>
      </c>
      <c r="BA129" s="27">
        <f t="shared" ref="BA129:BB129" si="619">BA127+BA128</f>
        <v>405</v>
      </c>
      <c r="BB129" s="27">
        <f t="shared" si="619"/>
        <v>574</v>
      </c>
      <c r="BC129" s="28">
        <f t="shared" ref="BC129" si="620">BC127+BC128</f>
        <v>515</v>
      </c>
      <c r="BD129" s="29">
        <f t="shared" ref="BD129" si="621">BD127+BD128</f>
        <v>598</v>
      </c>
      <c r="BE129" s="27">
        <f t="shared" si="618"/>
        <v>640.55408345270439</v>
      </c>
      <c r="BF129" s="27">
        <f t="shared" si="618"/>
        <v>641.23254595898288</v>
      </c>
      <c r="BG129" s="28">
        <f t="shared" si="618"/>
        <v>602.376111631208</v>
      </c>
      <c r="BH129" s="29">
        <f t="shared" ref="BH129:BK129" si="622">BH127+BH128</f>
        <v>574.18373700014445</v>
      </c>
      <c r="BI129" s="27">
        <f t="shared" si="622"/>
        <v>622.47646931553004</v>
      </c>
      <c r="BJ129" s="27">
        <f t="shared" si="622"/>
        <v>653.27599215868349</v>
      </c>
      <c r="BK129" s="28">
        <f t="shared" si="622"/>
        <v>648.08055451555583</v>
      </c>
      <c r="BL129" s="1503"/>
      <c r="BM129" s="27">
        <f t="shared" ref="BM129:BT129" si="623">BM127+BM128</f>
        <v>2392</v>
      </c>
      <c r="BN129" s="27">
        <f t="shared" si="623"/>
        <v>2862.6419999999998</v>
      </c>
      <c r="BO129" s="27">
        <f t="shared" si="623"/>
        <v>2297</v>
      </c>
      <c r="BP129" s="27">
        <f t="shared" si="623"/>
        <v>2356</v>
      </c>
      <c r="BQ129" s="27">
        <f t="shared" si="623"/>
        <v>1942</v>
      </c>
      <c r="BR129" s="27">
        <f t="shared" si="623"/>
        <v>2892</v>
      </c>
      <c r="BS129" s="27">
        <f t="shared" si="623"/>
        <v>2969</v>
      </c>
      <c r="BT129" s="27">
        <f t="shared" si="623"/>
        <v>2316</v>
      </c>
      <c r="BU129" s="27">
        <f t="shared" ref="BU129:BZ129" si="624">BU127+BU128</f>
        <v>1978</v>
      </c>
      <c r="BV129" s="27">
        <f t="shared" si="624"/>
        <v>1898</v>
      </c>
      <c r="BW129" s="27">
        <f t="shared" si="624"/>
        <v>1116</v>
      </c>
      <c r="BX129" s="27">
        <f t="shared" si="624"/>
        <v>1340</v>
      </c>
      <c r="BY129" s="27">
        <f t="shared" si="624"/>
        <v>1825</v>
      </c>
      <c r="BZ129" s="27">
        <f t="shared" si="624"/>
        <v>2482.1627410428955</v>
      </c>
      <c r="CA129" s="27">
        <f t="shared" ref="CA129:CB129" si="625">CA127+CA128</f>
        <v>2498.0167529899136</v>
      </c>
      <c r="CB129" s="2075">
        <f t="shared" si="625"/>
        <v>2498.0167529899136</v>
      </c>
      <c r="CC129" s="2191"/>
      <c r="CD129" s="13"/>
    </row>
    <row r="130" spans="1:88" s="1140" customFormat="1" ht="14.25" customHeight="1">
      <c r="A130" s="1136"/>
      <c r="B130" s="1145" t="s">
        <v>544</v>
      </c>
      <c r="C130" s="1135"/>
      <c r="D130" s="1137"/>
      <c r="E130" s="1137"/>
      <c r="F130" s="1137"/>
      <c r="G130" s="1137"/>
      <c r="H130" s="1137"/>
      <c r="I130" s="1137"/>
      <c r="J130" s="1137"/>
      <c r="K130" s="1137"/>
      <c r="L130" s="1137"/>
      <c r="M130" s="1137"/>
      <c r="N130" s="1137"/>
      <c r="O130" s="1137"/>
      <c r="P130" s="1137"/>
      <c r="Q130" s="1137"/>
      <c r="R130" s="1137"/>
      <c r="S130" s="1137"/>
      <c r="T130" s="1137"/>
      <c r="U130" s="1137"/>
      <c r="V130" s="1137"/>
      <c r="W130" s="1137"/>
      <c r="X130" s="1137"/>
      <c r="Y130" s="1137"/>
      <c r="Z130" s="1137"/>
      <c r="AA130" s="1137"/>
      <c r="AB130" s="1137"/>
      <c r="AC130" s="1137"/>
      <c r="AD130" s="1137"/>
      <c r="AE130" s="1138"/>
      <c r="AF130" s="1139"/>
      <c r="AG130" s="1139"/>
      <c r="AH130" s="1139"/>
      <c r="AI130" s="1139"/>
      <c r="AJ130" s="1149">
        <f t="shared" ref="AJ130:AQ130" si="626">AJ129/AJ9</f>
        <v>0.40900735294117646</v>
      </c>
      <c r="AK130" s="1133">
        <f t="shared" si="626"/>
        <v>0.39534883720930231</v>
      </c>
      <c r="AL130" s="1133">
        <f t="shared" si="626"/>
        <v>0.35660506502395617</v>
      </c>
      <c r="AM130" s="1134">
        <f t="shared" si="626"/>
        <v>0.34801762114537443</v>
      </c>
      <c r="AN130" s="1149">
        <f t="shared" si="626"/>
        <v>0.34931997136721549</v>
      </c>
      <c r="AO130" s="1133">
        <f t="shared" si="626"/>
        <v>0.34559333795975017</v>
      </c>
      <c r="AP130" s="1133">
        <f t="shared" si="626"/>
        <v>0.3456962911126662</v>
      </c>
      <c r="AQ130" s="1134">
        <f t="shared" si="626"/>
        <v>0.33736884584342214</v>
      </c>
      <c r="AR130" s="1149">
        <f t="shared" ref="AR130:BG130" si="627">AR129/AR9</f>
        <v>0.31747572815533981</v>
      </c>
      <c r="AS130" s="1133">
        <f t="shared" si="627"/>
        <v>0.28237791932059447</v>
      </c>
      <c r="AT130" s="1133">
        <f t="shared" si="627"/>
        <v>0.22525918944392084</v>
      </c>
      <c r="AU130" s="1134">
        <f t="shared" si="627"/>
        <v>0.29645093945720252</v>
      </c>
      <c r="AV130" s="1149">
        <f t="shared" si="627"/>
        <v>0.32451923076923078</v>
      </c>
      <c r="AW130" s="1133">
        <f t="shared" si="627"/>
        <v>0.31061343719571566</v>
      </c>
      <c r="AX130" s="1133">
        <f t="shared" si="627"/>
        <v>0.30527926549349654</v>
      </c>
      <c r="AY130" s="1134">
        <f t="shared" si="627"/>
        <v>0.31826401446654612</v>
      </c>
      <c r="AZ130" s="1149">
        <f t="shared" si="627"/>
        <v>0.3363821138211382</v>
      </c>
      <c r="BA130" s="1133">
        <f t="shared" ref="BA130:BB130" si="628">BA129/BA9</f>
        <v>0.33142389525368249</v>
      </c>
      <c r="BB130" s="1133">
        <f t="shared" si="628"/>
        <v>0.34936092513694461</v>
      </c>
      <c r="BC130" s="1134">
        <f t="shared" ref="BC130" si="629">BC129/BC9</f>
        <v>0.34797297297297297</v>
      </c>
      <c r="BD130" s="1149">
        <f t="shared" ref="BD130" si="630">BD129/BD9</f>
        <v>0.36308439587128111</v>
      </c>
      <c r="BE130" s="1133">
        <f t="shared" si="627"/>
        <v>0.37057852808632313</v>
      </c>
      <c r="BF130" s="1133">
        <f t="shared" si="627"/>
        <v>0.37057791501281118</v>
      </c>
      <c r="BG130" s="1134">
        <f t="shared" si="627"/>
        <v>0.37061525556609887</v>
      </c>
      <c r="BH130" s="1149">
        <f t="shared" ref="BH130:BK130" si="631">BH129/BH9</f>
        <v>0.37064551726805167</v>
      </c>
      <c r="BI130" s="1133">
        <f t="shared" si="631"/>
        <v>0.38061144712432721</v>
      </c>
      <c r="BJ130" s="1133">
        <f t="shared" si="631"/>
        <v>0.38058257548118923</v>
      </c>
      <c r="BK130" s="1134">
        <f t="shared" si="631"/>
        <v>0.38058725300482021</v>
      </c>
      <c r="BL130" s="1504"/>
      <c r="BM130" s="1133">
        <f t="shared" ref="BM130:BY130" si="632">BM129/BM9</f>
        <v>0.40902872777017785</v>
      </c>
      <c r="BN130" s="1133">
        <f t="shared" si="632"/>
        <v>0.50675199150292083</v>
      </c>
      <c r="BO130" s="1133">
        <f t="shared" si="632"/>
        <v>0.38200565441543322</v>
      </c>
      <c r="BP130" s="1133">
        <f t="shared" si="632"/>
        <v>0.40564738292011021</v>
      </c>
      <c r="BQ130" s="1133">
        <f t="shared" si="632"/>
        <v>0.35942994632611514</v>
      </c>
      <c r="BR130" s="1133">
        <f t="shared" si="632"/>
        <v>0.44533415460425008</v>
      </c>
      <c r="BS130" s="1133">
        <f t="shared" si="632"/>
        <v>0.45204019488428743</v>
      </c>
      <c r="BT130" s="1133">
        <f t="shared" si="632"/>
        <v>0.42714865363334564</v>
      </c>
      <c r="BU130" s="1133">
        <f t="shared" si="632"/>
        <v>0.37327797697678805</v>
      </c>
      <c r="BV130" s="1133">
        <f t="shared" si="632"/>
        <v>0.34471485652015982</v>
      </c>
      <c r="BW130" s="1133">
        <f t="shared" si="632"/>
        <v>0.27962916562265094</v>
      </c>
      <c r="BX130" s="1133">
        <f t="shared" si="632"/>
        <v>0.31367041198501872</v>
      </c>
      <c r="BY130" s="1133">
        <f t="shared" si="632"/>
        <v>0.34246575342465752</v>
      </c>
      <c r="BZ130" s="1133">
        <f t="shared" ref="BZ130:CB130" si="633">BZ129/BZ9</f>
        <v>0.36875356986068081</v>
      </c>
      <c r="CA130" s="1133">
        <f t="shared" si="633"/>
        <v>0.37825991726816399</v>
      </c>
      <c r="CB130" s="2095">
        <f t="shared" si="633"/>
        <v>0.37825991726816399</v>
      </c>
      <c r="CC130" s="2191"/>
      <c r="CD130" s="290"/>
      <c r="CE130"/>
      <c r="CF130"/>
      <c r="CG130"/>
      <c r="CH130"/>
      <c r="CI130"/>
      <c r="CJ130"/>
    </row>
    <row r="131" spans="1:88" ht="14.25" customHeight="1">
      <c r="A131" s="7"/>
      <c r="B131" s="119"/>
      <c r="C131" s="69"/>
      <c r="D131" s="39"/>
      <c r="E131" s="39"/>
      <c r="F131" s="39"/>
      <c r="G131" s="39"/>
      <c r="H131" s="39"/>
      <c r="I131" s="39"/>
      <c r="J131" s="39"/>
      <c r="K131" s="39"/>
      <c r="L131" s="39"/>
      <c r="M131" s="39"/>
      <c r="N131" s="39"/>
      <c r="O131" s="39"/>
      <c r="P131" s="39"/>
      <c r="Q131" s="39"/>
      <c r="R131" s="39"/>
      <c r="S131" s="39"/>
      <c r="T131" s="39"/>
      <c r="U131" s="39"/>
      <c r="V131" s="39"/>
      <c r="W131" s="39"/>
      <c r="X131" s="39"/>
      <c r="Y131" s="39"/>
      <c r="Z131" s="39"/>
      <c r="AA131" s="39"/>
      <c r="AB131" s="39"/>
      <c r="AC131" s="39"/>
      <c r="AD131" s="39"/>
      <c r="AE131" s="55"/>
      <c r="AF131" s="347"/>
      <c r="AG131" s="347"/>
      <c r="AH131" s="347"/>
      <c r="AI131" s="347"/>
      <c r="AJ131" s="1148"/>
      <c r="AK131" s="347"/>
      <c r="AL131" s="347"/>
      <c r="AM131" s="1146"/>
      <c r="AN131" s="1148"/>
      <c r="AO131" s="347"/>
      <c r="AP131" s="347"/>
      <c r="AQ131" s="1146"/>
      <c r="AR131" s="1148"/>
      <c r="AS131" s="347"/>
      <c r="AT131" s="347"/>
      <c r="AU131" s="1146"/>
      <c r="AV131" s="1148"/>
      <c r="AW131" s="347"/>
      <c r="AX131" s="347"/>
      <c r="AY131" s="1146"/>
      <c r="AZ131" s="1148"/>
      <c r="BA131" s="347"/>
      <c r="BB131" s="347"/>
      <c r="BC131" s="1146"/>
      <c r="BD131" s="1148"/>
      <c r="BE131" s="347"/>
      <c r="BF131" s="347"/>
      <c r="BG131" s="1146"/>
      <c r="BH131" s="1148"/>
      <c r="BI131" s="347"/>
      <c r="BJ131" s="347"/>
      <c r="BK131" s="1146"/>
      <c r="BL131" s="19"/>
      <c r="BM131" s="347"/>
      <c r="BN131" s="347"/>
      <c r="BO131" s="347"/>
      <c r="BP131" s="347"/>
      <c r="BQ131" s="347"/>
      <c r="BR131" s="347"/>
      <c r="BS131" s="347"/>
      <c r="BT131" s="347"/>
      <c r="BU131" s="347"/>
      <c r="BV131" s="347"/>
      <c r="BW131" s="347"/>
      <c r="BX131" s="347"/>
      <c r="BY131" s="347"/>
      <c r="BZ131" s="347"/>
      <c r="CA131" s="347"/>
      <c r="CB131" s="2096"/>
      <c r="CC131" s="2191"/>
      <c r="CD131" s="13"/>
    </row>
    <row r="132" spans="1:88" ht="14.25" customHeight="1">
      <c r="A132" s="7"/>
      <c r="B132" s="1144" t="s">
        <v>545</v>
      </c>
      <c r="C132" s="1128"/>
      <c r="D132" s="1129"/>
      <c r="E132" s="1129"/>
      <c r="F132" s="1129"/>
      <c r="G132" s="1129"/>
      <c r="H132" s="1129"/>
      <c r="I132" s="1129"/>
      <c r="J132" s="1129"/>
      <c r="K132" s="1129"/>
      <c r="L132" s="1129"/>
      <c r="M132" s="1129"/>
      <c r="N132" s="1129"/>
      <c r="O132" s="1129"/>
      <c r="P132" s="1129"/>
      <c r="Q132" s="1129"/>
      <c r="R132" s="1129"/>
      <c r="S132" s="1129"/>
      <c r="T132" s="1129"/>
      <c r="U132" s="1129"/>
      <c r="V132" s="1129"/>
      <c r="W132" s="1129"/>
      <c r="X132" s="1129"/>
      <c r="Y132" s="1129"/>
      <c r="Z132" s="1129"/>
      <c r="AA132" s="1129"/>
      <c r="AB132" s="1129"/>
      <c r="AC132" s="1129"/>
      <c r="AD132" s="1129"/>
      <c r="AE132" s="1130"/>
      <c r="AF132" s="1131"/>
      <c r="AG132" s="1131"/>
      <c r="AH132" s="1131"/>
      <c r="AI132" s="1131"/>
      <c r="AJ132" s="29">
        <f t="shared" ref="AJ132:AQ132" si="634">AJ55</f>
        <v>543</v>
      </c>
      <c r="AK132" s="27">
        <f t="shared" si="634"/>
        <v>488</v>
      </c>
      <c r="AL132" s="27">
        <f t="shared" si="634"/>
        <v>426</v>
      </c>
      <c r="AM132" s="28">
        <f t="shared" si="634"/>
        <v>418</v>
      </c>
      <c r="AN132" s="29">
        <f t="shared" si="634"/>
        <v>438</v>
      </c>
      <c r="AO132" s="27">
        <f t="shared" si="634"/>
        <v>435</v>
      </c>
      <c r="AP132" s="27">
        <f t="shared" si="634"/>
        <v>431</v>
      </c>
      <c r="AQ132" s="28">
        <f t="shared" si="634"/>
        <v>690</v>
      </c>
      <c r="AR132" s="29">
        <f t="shared" ref="AR132:BG132" si="635">AR55</f>
        <v>463</v>
      </c>
      <c r="AS132" s="27">
        <f t="shared" si="635"/>
        <v>369</v>
      </c>
      <c r="AT132" s="27">
        <f t="shared" si="635"/>
        <v>397</v>
      </c>
      <c r="AU132" s="28">
        <f t="shared" si="635"/>
        <v>332</v>
      </c>
      <c r="AV132" s="29">
        <f t="shared" si="635"/>
        <v>337</v>
      </c>
      <c r="AW132" s="27">
        <f t="shared" si="635"/>
        <v>327</v>
      </c>
      <c r="AX132" s="27">
        <f t="shared" si="635"/>
        <v>352</v>
      </c>
      <c r="AY132" s="28">
        <f t="shared" si="635"/>
        <v>354</v>
      </c>
      <c r="AZ132" s="29">
        <f t="shared" si="635"/>
        <v>360</v>
      </c>
      <c r="BA132" s="27">
        <f t="shared" ref="BA132:BB132" si="636">BA55</f>
        <v>379</v>
      </c>
      <c r="BB132" s="27">
        <f t="shared" si="636"/>
        <v>447</v>
      </c>
      <c r="BC132" s="28">
        <f t="shared" ref="BC132" si="637">BC55</f>
        <v>433</v>
      </c>
      <c r="BD132" s="29">
        <f t="shared" ref="BD132" si="638">BD55</f>
        <v>477</v>
      </c>
      <c r="BE132" s="27">
        <f t="shared" si="635"/>
        <v>488</v>
      </c>
      <c r="BF132" s="27">
        <f t="shared" si="635"/>
        <v>493</v>
      </c>
      <c r="BG132" s="28">
        <f t="shared" si="635"/>
        <v>498</v>
      </c>
      <c r="BH132" s="29">
        <f t="shared" ref="BH132:BK132" si="639">BH55</f>
        <v>503</v>
      </c>
      <c r="BI132" s="27">
        <f t="shared" si="639"/>
        <v>508</v>
      </c>
      <c r="BJ132" s="27">
        <f t="shared" si="639"/>
        <v>513</v>
      </c>
      <c r="BK132" s="28">
        <f t="shared" si="639"/>
        <v>518</v>
      </c>
      <c r="BL132" s="1503"/>
      <c r="BM132" s="27">
        <f t="shared" ref="BM132:BY132" si="640">BM55</f>
        <v>2160</v>
      </c>
      <c r="BN132" s="27">
        <f t="shared" si="640"/>
        <v>2840</v>
      </c>
      <c r="BO132" s="27">
        <f t="shared" si="640"/>
        <v>5127</v>
      </c>
      <c r="BP132" s="27">
        <f t="shared" si="640"/>
        <v>4275</v>
      </c>
      <c r="BQ132" s="27">
        <f t="shared" si="640"/>
        <v>1608</v>
      </c>
      <c r="BR132" s="27">
        <f t="shared" si="640"/>
        <v>2113</v>
      </c>
      <c r="BS132" s="27">
        <f t="shared" si="640"/>
        <v>2572</v>
      </c>
      <c r="BT132" s="27">
        <f t="shared" si="640"/>
        <v>2291</v>
      </c>
      <c r="BU132" s="27">
        <f t="shared" si="640"/>
        <v>1875</v>
      </c>
      <c r="BV132" s="27">
        <f t="shared" ref="BV132:BW132" si="641">BV55</f>
        <v>1994</v>
      </c>
      <c r="BW132" s="27">
        <f t="shared" si="641"/>
        <v>1561</v>
      </c>
      <c r="BX132" s="27">
        <f t="shared" si="640"/>
        <v>1370</v>
      </c>
      <c r="BY132" s="27">
        <f t="shared" si="640"/>
        <v>1619</v>
      </c>
      <c r="BZ132" s="27">
        <f t="shared" ref="BZ132:CB132" si="642">BZ55</f>
        <v>1956</v>
      </c>
      <c r="CA132" s="27">
        <f t="shared" si="642"/>
        <v>2042</v>
      </c>
      <c r="CB132" s="2075">
        <f t="shared" si="642"/>
        <v>2042</v>
      </c>
      <c r="CC132" s="2191"/>
      <c r="CD132" s="13"/>
    </row>
    <row r="133" spans="1:88" ht="14.25" customHeight="1">
      <c r="A133" s="7"/>
      <c r="B133" s="1144" t="s">
        <v>551</v>
      </c>
      <c r="C133" s="1128"/>
      <c r="D133" s="1129"/>
      <c r="E133" s="1129"/>
      <c r="F133" s="1129"/>
      <c r="G133" s="1129"/>
      <c r="H133" s="1129"/>
      <c r="I133" s="1129"/>
      <c r="J133" s="1129"/>
      <c r="K133" s="1129"/>
      <c r="L133" s="1129"/>
      <c r="M133" s="1129"/>
      <c r="N133" s="1129"/>
      <c r="O133" s="1129"/>
      <c r="P133" s="1129"/>
      <c r="Q133" s="1129"/>
      <c r="R133" s="1129"/>
      <c r="S133" s="1129"/>
      <c r="T133" s="1129"/>
      <c r="U133" s="1129"/>
      <c r="V133" s="1129"/>
      <c r="W133" s="1129"/>
      <c r="X133" s="1129"/>
      <c r="Y133" s="1129"/>
      <c r="Z133" s="1129"/>
      <c r="AA133" s="1129"/>
      <c r="AB133" s="1129"/>
      <c r="AC133" s="1129"/>
      <c r="AD133" s="1129"/>
      <c r="AE133" s="1130"/>
      <c r="AF133" s="1131"/>
      <c r="AG133" s="1131"/>
      <c r="AH133" s="1131"/>
      <c r="AI133" s="1131"/>
      <c r="AJ133" s="29">
        <f t="shared" ref="AJ133:AQ133" si="643">SUM(AJ49:AJ51)+AJ31+AJ41-AJ52</f>
        <v>52</v>
      </c>
      <c r="AK133" s="27">
        <f t="shared" si="643"/>
        <v>9</v>
      </c>
      <c r="AL133" s="27">
        <f t="shared" si="643"/>
        <v>-17</v>
      </c>
      <c r="AM133" s="28">
        <f t="shared" si="643"/>
        <v>-44</v>
      </c>
      <c r="AN133" s="29">
        <f t="shared" si="643"/>
        <v>16</v>
      </c>
      <c r="AO133" s="27">
        <f t="shared" si="643"/>
        <v>4</v>
      </c>
      <c r="AP133" s="27">
        <f t="shared" si="643"/>
        <v>3</v>
      </c>
      <c r="AQ133" s="28">
        <f t="shared" si="643"/>
        <v>324</v>
      </c>
      <c r="AR133" s="29">
        <f t="shared" ref="AR133:BG133" si="644">SUM(AR49:AR51)+AR31+AR41-AR52</f>
        <v>106</v>
      </c>
      <c r="AS133" s="27">
        <f t="shared" si="644"/>
        <v>16</v>
      </c>
      <c r="AT133" s="27">
        <f t="shared" si="644"/>
        <v>61</v>
      </c>
      <c r="AU133" s="28">
        <f t="shared" si="644"/>
        <v>9</v>
      </c>
      <c r="AV133" s="27">
        <f t="shared" si="644"/>
        <v>12</v>
      </c>
      <c r="AW133" s="27">
        <f t="shared" si="644"/>
        <v>11</v>
      </c>
      <c r="AX133" s="27">
        <f t="shared" si="644"/>
        <v>23</v>
      </c>
      <c r="AY133" s="28">
        <f t="shared" si="644"/>
        <v>28</v>
      </c>
      <c r="AZ133" s="27">
        <f t="shared" si="644"/>
        <v>23</v>
      </c>
      <c r="BA133" s="27">
        <f t="shared" ref="BA133:BB133" si="645">SUM(BA49:BA51)+BA31+BA41-BA52</f>
        <v>23</v>
      </c>
      <c r="BB133" s="27">
        <f t="shared" si="645"/>
        <v>28</v>
      </c>
      <c r="BC133" s="28">
        <f t="shared" ref="BC133" si="646">SUM(BC49:BC51)+BC31+BC41-BC52</f>
        <v>21</v>
      </c>
      <c r="BD133" s="29">
        <f t="shared" ref="BD133" si="647">SUM(BD49:BD51)+BD31+BD41-BD52</f>
        <v>31</v>
      </c>
      <c r="BE133" s="27">
        <f t="shared" si="644"/>
        <v>28</v>
      </c>
      <c r="BF133" s="27">
        <f t="shared" si="644"/>
        <v>28</v>
      </c>
      <c r="BG133" s="28">
        <f t="shared" si="644"/>
        <v>28</v>
      </c>
      <c r="BH133" s="29">
        <f t="shared" ref="BH133:BK133" si="648">SUM(BH49:BH51)+BH31+BH41-BH52</f>
        <v>28</v>
      </c>
      <c r="BI133" s="27">
        <f t="shared" si="648"/>
        <v>28</v>
      </c>
      <c r="BJ133" s="27">
        <f t="shared" si="648"/>
        <v>28</v>
      </c>
      <c r="BK133" s="28">
        <f t="shared" si="648"/>
        <v>28</v>
      </c>
      <c r="BL133" s="1503"/>
      <c r="BM133" s="27">
        <f t="shared" ref="BM133:BU133" si="649">SUM(BM49:BM53)+BM31+BM41</f>
        <v>0</v>
      </c>
      <c r="BN133" s="27">
        <f t="shared" si="649"/>
        <v>495</v>
      </c>
      <c r="BO133" s="27">
        <f t="shared" si="649"/>
        <v>1907</v>
      </c>
      <c r="BP133" s="27">
        <f t="shared" si="649"/>
        <v>1123</v>
      </c>
      <c r="BQ133" s="27">
        <f t="shared" si="649"/>
        <v>-1107</v>
      </c>
      <c r="BR133" s="27">
        <f t="shared" si="649"/>
        <v>-226</v>
      </c>
      <c r="BS133" s="27">
        <f t="shared" si="649"/>
        <v>127</v>
      </c>
      <c r="BT133" s="27">
        <f t="shared" si="649"/>
        <v>114</v>
      </c>
      <c r="BU133" s="27">
        <f t="shared" si="649"/>
        <v>0</v>
      </c>
      <c r="BV133" s="27">
        <f t="shared" ref="BV133:BW133" si="650">SUM(BV49:BV51)+BV31+BV41-BV52</f>
        <v>347</v>
      </c>
      <c r="BW133" s="27">
        <f t="shared" si="650"/>
        <v>192</v>
      </c>
      <c r="BX133" s="27">
        <f t="shared" ref="BX133" si="651">SUM(BX49:BX51)+BX31+BX41-BX52</f>
        <v>74</v>
      </c>
      <c r="BY133" s="27">
        <f>SUM(BY49:BY51)+BY31+BY41-BY52</f>
        <v>95</v>
      </c>
      <c r="BZ133" s="27">
        <f>SUM(BZ49:BZ51)+BZ31+BZ41-BZ52</f>
        <v>115</v>
      </c>
      <c r="CA133" s="27">
        <f>SUM(CA49:CA51)+CA31+CA41-CA52</f>
        <v>112</v>
      </c>
      <c r="CB133" s="2075">
        <f t="shared" ref="CB133" si="652">SUM(CB49:CB51)+CB31+CB41-CB52</f>
        <v>112</v>
      </c>
      <c r="CC133" s="2191"/>
      <c r="CD133" s="13"/>
    </row>
    <row r="134" spans="1:88" ht="14.25" customHeight="1">
      <c r="A134" s="7"/>
      <c r="B134" s="1144" t="s">
        <v>546</v>
      </c>
      <c r="C134" s="1128"/>
      <c r="D134" s="1129"/>
      <c r="E134" s="1129"/>
      <c r="F134" s="1129"/>
      <c r="G134" s="1129"/>
      <c r="H134" s="1129"/>
      <c r="I134" s="1129"/>
      <c r="J134" s="1129"/>
      <c r="K134" s="1129"/>
      <c r="L134" s="1129"/>
      <c r="M134" s="1129"/>
      <c r="N134" s="1129"/>
      <c r="O134" s="1129"/>
      <c r="P134" s="1129"/>
      <c r="Q134" s="1129"/>
      <c r="R134" s="1129"/>
      <c r="S134" s="1129"/>
      <c r="T134" s="1129"/>
      <c r="U134" s="1129"/>
      <c r="V134" s="1129"/>
      <c r="W134" s="1129"/>
      <c r="X134" s="1129"/>
      <c r="Y134" s="1129"/>
      <c r="Z134" s="1129"/>
      <c r="AA134" s="1129"/>
      <c r="AB134" s="1129"/>
      <c r="AC134" s="1129"/>
      <c r="AD134" s="1129"/>
      <c r="AE134" s="1130"/>
      <c r="AF134" s="1131"/>
      <c r="AG134" s="1131"/>
      <c r="AH134" s="1131"/>
      <c r="AI134" s="1131"/>
      <c r="AJ134" s="29">
        <f t="shared" ref="AJ134:AQ134" si="653">AJ132-AJ133</f>
        <v>491</v>
      </c>
      <c r="AK134" s="27">
        <f t="shared" si="653"/>
        <v>479</v>
      </c>
      <c r="AL134" s="27">
        <f t="shared" si="653"/>
        <v>443</v>
      </c>
      <c r="AM134" s="28">
        <f t="shared" si="653"/>
        <v>462</v>
      </c>
      <c r="AN134" s="29">
        <f t="shared" si="653"/>
        <v>422</v>
      </c>
      <c r="AO134" s="27">
        <f t="shared" si="653"/>
        <v>431</v>
      </c>
      <c r="AP134" s="27">
        <f t="shared" si="653"/>
        <v>428</v>
      </c>
      <c r="AQ134" s="28">
        <f t="shared" si="653"/>
        <v>366</v>
      </c>
      <c r="AR134" s="29">
        <f t="shared" ref="AR134:BG134" si="654">AR132-AR133</f>
        <v>357</v>
      </c>
      <c r="AS134" s="27">
        <f t="shared" si="654"/>
        <v>353</v>
      </c>
      <c r="AT134" s="27">
        <f t="shared" si="654"/>
        <v>336</v>
      </c>
      <c r="AU134" s="28">
        <f t="shared" si="654"/>
        <v>323</v>
      </c>
      <c r="AV134" s="29">
        <f t="shared" si="654"/>
        <v>325</v>
      </c>
      <c r="AW134" s="27">
        <f t="shared" si="654"/>
        <v>316</v>
      </c>
      <c r="AX134" s="27">
        <f t="shared" si="654"/>
        <v>329</v>
      </c>
      <c r="AY134" s="28">
        <f t="shared" si="654"/>
        <v>326</v>
      </c>
      <c r="AZ134" s="29">
        <f t="shared" si="654"/>
        <v>337</v>
      </c>
      <c r="BA134" s="27">
        <f t="shared" ref="BA134:BB134" si="655">BA132-BA133</f>
        <v>356</v>
      </c>
      <c r="BB134" s="27">
        <f t="shared" si="655"/>
        <v>419</v>
      </c>
      <c r="BC134" s="28">
        <f t="shared" ref="BC134" si="656">BC132-BC133</f>
        <v>412</v>
      </c>
      <c r="BD134" s="29">
        <f t="shared" ref="BD134" si="657">BD132-BD133</f>
        <v>446</v>
      </c>
      <c r="BE134" s="27">
        <f t="shared" si="654"/>
        <v>460</v>
      </c>
      <c r="BF134" s="27">
        <f t="shared" si="654"/>
        <v>465</v>
      </c>
      <c r="BG134" s="28">
        <f t="shared" si="654"/>
        <v>470</v>
      </c>
      <c r="BH134" s="29">
        <f t="shared" ref="BH134:BK134" si="658">BH132-BH133</f>
        <v>475</v>
      </c>
      <c r="BI134" s="27">
        <f t="shared" si="658"/>
        <v>480</v>
      </c>
      <c r="BJ134" s="27">
        <f t="shared" si="658"/>
        <v>485</v>
      </c>
      <c r="BK134" s="28">
        <f t="shared" si="658"/>
        <v>490</v>
      </c>
      <c r="BL134" s="1503"/>
      <c r="BM134" s="27">
        <f t="shared" ref="BM134:BT134" si="659">BM132-BM133</f>
        <v>2160</v>
      </c>
      <c r="BN134" s="27">
        <f t="shared" si="659"/>
        <v>2345</v>
      </c>
      <c r="BO134" s="27">
        <f t="shared" si="659"/>
        <v>3220</v>
      </c>
      <c r="BP134" s="27">
        <f t="shared" si="659"/>
        <v>3152</v>
      </c>
      <c r="BQ134" s="27">
        <f t="shared" si="659"/>
        <v>2715</v>
      </c>
      <c r="BR134" s="27">
        <f t="shared" si="659"/>
        <v>2339</v>
      </c>
      <c r="BS134" s="27">
        <f t="shared" si="659"/>
        <v>2445</v>
      </c>
      <c r="BT134" s="27">
        <f t="shared" si="659"/>
        <v>2177</v>
      </c>
      <c r="BU134" s="27">
        <f t="shared" ref="BU134:BZ134" si="660">BU132-BU133</f>
        <v>1875</v>
      </c>
      <c r="BV134" s="27">
        <f t="shared" ref="BV134:BW134" si="661">BV132-BV133</f>
        <v>1647</v>
      </c>
      <c r="BW134" s="27">
        <f t="shared" si="661"/>
        <v>1369</v>
      </c>
      <c r="BX134" s="27">
        <f t="shared" si="660"/>
        <v>1296</v>
      </c>
      <c r="BY134" s="27">
        <f t="shared" si="660"/>
        <v>1524</v>
      </c>
      <c r="BZ134" s="27">
        <f t="shared" si="660"/>
        <v>1841</v>
      </c>
      <c r="CA134" s="27">
        <f t="shared" ref="CA134:CB134" si="662">CA132-CA133</f>
        <v>1930</v>
      </c>
      <c r="CB134" s="2075">
        <f t="shared" si="662"/>
        <v>1930</v>
      </c>
      <c r="CC134" s="2191"/>
      <c r="CD134" s="13"/>
    </row>
    <row r="135" spans="1:88" ht="14.25" customHeight="1">
      <c r="A135" s="7"/>
      <c r="B135" s="1144" t="s">
        <v>547</v>
      </c>
      <c r="C135" s="1128"/>
      <c r="D135" s="1129"/>
      <c r="E135" s="1129"/>
      <c r="F135" s="1129"/>
      <c r="G135" s="1129"/>
      <c r="H135" s="1129"/>
      <c r="I135" s="1129"/>
      <c r="J135" s="1129"/>
      <c r="K135" s="1129"/>
      <c r="L135" s="1129"/>
      <c r="M135" s="1129"/>
      <c r="N135" s="1129"/>
      <c r="O135" s="1129"/>
      <c r="P135" s="1129"/>
      <c r="Q135" s="1129"/>
      <c r="R135" s="1129"/>
      <c r="S135" s="1129"/>
      <c r="T135" s="1129"/>
      <c r="U135" s="1129"/>
      <c r="V135" s="1129"/>
      <c r="W135" s="1129"/>
      <c r="X135" s="1129"/>
      <c r="Y135" s="1129"/>
      <c r="Z135" s="1129"/>
      <c r="AA135" s="1129"/>
      <c r="AB135" s="1129"/>
      <c r="AC135" s="1129"/>
      <c r="AD135" s="1129"/>
      <c r="AE135" s="1130"/>
      <c r="AF135" s="1131"/>
      <c r="AG135" s="1131"/>
      <c r="AH135" s="1131"/>
      <c r="AI135" s="1131"/>
      <c r="AJ135" s="29">
        <f t="shared" ref="AJ135:AQ135" si="663">AJ129-AJ134</f>
        <v>-46</v>
      </c>
      <c r="AK135" s="27">
        <f t="shared" si="663"/>
        <v>-20</v>
      </c>
      <c r="AL135" s="27">
        <f t="shared" si="663"/>
        <v>78</v>
      </c>
      <c r="AM135" s="28">
        <f t="shared" si="663"/>
        <v>91</v>
      </c>
      <c r="AN135" s="29">
        <f t="shared" si="663"/>
        <v>66</v>
      </c>
      <c r="AO135" s="27">
        <f t="shared" si="663"/>
        <v>67</v>
      </c>
      <c r="AP135" s="27">
        <f t="shared" si="663"/>
        <v>66</v>
      </c>
      <c r="AQ135" s="28">
        <f t="shared" si="663"/>
        <v>52</v>
      </c>
      <c r="AR135" s="29">
        <f t="shared" ref="AR135:BG135" si="664">AR129-AR134</f>
        <v>-30</v>
      </c>
      <c r="AS135" s="27">
        <f t="shared" si="664"/>
        <v>-87</v>
      </c>
      <c r="AT135" s="27">
        <f t="shared" si="664"/>
        <v>-97</v>
      </c>
      <c r="AU135" s="28">
        <f t="shared" si="664"/>
        <v>-39</v>
      </c>
      <c r="AV135" s="29">
        <f t="shared" si="664"/>
        <v>-55</v>
      </c>
      <c r="AW135" s="27">
        <f t="shared" si="664"/>
        <v>3</v>
      </c>
      <c r="AX135" s="27">
        <f t="shared" si="664"/>
        <v>70</v>
      </c>
      <c r="AY135" s="28">
        <f t="shared" si="664"/>
        <v>26</v>
      </c>
      <c r="AZ135" s="29">
        <f t="shared" si="664"/>
        <v>-6</v>
      </c>
      <c r="BA135" s="27">
        <f t="shared" ref="BA135:BB135" si="665">BA129-BA134</f>
        <v>49</v>
      </c>
      <c r="BB135" s="27">
        <f t="shared" si="665"/>
        <v>155</v>
      </c>
      <c r="BC135" s="28">
        <f t="shared" ref="BC135" si="666">BC129-BC134</f>
        <v>103</v>
      </c>
      <c r="BD135" s="29">
        <f t="shared" ref="BD135" si="667">BD129-BD134</f>
        <v>152</v>
      </c>
      <c r="BE135" s="27">
        <f t="shared" si="664"/>
        <v>180.55408345270439</v>
      </c>
      <c r="BF135" s="27">
        <f t="shared" si="664"/>
        <v>176.23254595898288</v>
      </c>
      <c r="BG135" s="28">
        <f t="shared" si="664"/>
        <v>132.376111631208</v>
      </c>
      <c r="BH135" s="29">
        <f t="shared" ref="BH135:BK135" si="668">BH129-BH134</f>
        <v>99.183737000144447</v>
      </c>
      <c r="BI135" s="27">
        <f t="shared" si="668"/>
        <v>142.47646931553004</v>
      </c>
      <c r="BJ135" s="27">
        <f t="shared" si="668"/>
        <v>168.27599215868349</v>
      </c>
      <c r="BK135" s="28">
        <f t="shared" si="668"/>
        <v>158.08055451555583</v>
      </c>
      <c r="BL135" s="1503"/>
      <c r="BM135" s="27">
        <f t="shared" ref="BM135:BT135" si="669">BM129-BM134</f>
        <v>232</v>
      </c>
      <c r="BN135" s="27">
        <f t="shared" si="669"/>
        <v>517.64199999999983</v>
      </c>
      <c r="BO135" s="27">
        <f t="shared" si="669"/>
        <v>-923</v>
      </c>
      <c r="BP135" s="27">
        <f t="shared" si="669"/>
        <v>-796</v>
      </c>
      <c r="BQ135" s="27">
        <f t="shared" si="669"/>
        <v>-773</v>
      </c>
      <c r="BR135" s="27">
        <f t="shared" si="669"/>
        <v>553</v>
      </c>
      <c r="BS135" s="27">
        <f t="shared" si="669"/>
        <v>524</v>
      </c>
      <c r="BT135" s="27">
        <f t="shared" si="669"/>
        <v>139</v>
      </c>
      <c r="BU135" s="27">
        <f t="shared" ref="BU135:BZ135" si="670">BU129-BU134</f>
        <v>103</v>
      </c>
      <c r="BV135" s="27">
        <f t="shared" ref="BV135:BW135" si="671">BV129-BV134</f>
        <v>251</v>
      </c>
      <c r="BW135" s="27">
        <f t="shared" si="671"/>
        <v>-253</v>
      </c>
      <c r="BX135" s="27">
        <f t="shared" si="670"/>
        <v>44</v>
      </c>
      <c r="BY135" s="27">
        <f t="shared" si="670"/>
        <v>301</v>
      </c>
      <c r="BZ135" s="27">
        <f t="shared" si="670"/>
        <v>641.1627410428955</v>
      </c>
      <c r="CA135" s="27">
        <f t="shared" ref="CA135:CB135" si="672">CA129-CA134</f>
        <v>568.01675298991358</v>
      </c>
      <c r="CB135" s="2075">
        <f t="shared" si="672"/>
        <v>568.01675298991358</v>
      </c>
      <c r="CC135" s="2191"/>
      <c r="CD135" s="13"/>
    </row>
    <row r="136" spans="1:88" ht="14.25" customHeight="1">
      <c r="A136" s="7"/>
      <c r="B136" s="1144"/>
      <c r="C136" s="1128"/>
      <c r="D136" s="1129"/>
      <c r="E136" s="1129"/>
      <c r="F136" s="1129"/>
      <c r="G136" s="1129"/>
      <c r="H136" s="1129"/>
      <c r="I136" s="1129"/>
      <c r="J136" s="1129"/>
      <c r="K136" s="1129"/>
      <c r="L136" s="1129"/>
      <c r="M136" s="1129"/>
      <c r="N136" s="1129"/>
      <c r="O136" s="1129"/>
      <c r="P136" s="1129"/>
      <c r="Q136" s="1129"/>
      <c r="R136" s="1129"/>
      <c r="S136" s="1129"/>
      <c r="T136" s="1129"/>
      <c r="U136" s="1129"/>
      <c r="V136" s="1129"/>
      <c r="W136" s="1129"/>
      <c r="X136" s="1129"/>
      <c r="Y136" s="1129"/>
      <c r="Z136" s="1129"/>
      <c r="AA136" s="1129"/>
      <c r="AB136" s="1129"/>
      <c r="AC136" s="1129"/>
      <c r="AD136" s="1129"/>
      <c r="AE136" s="1130"/>
      <c r="AF136" s="1131"/>
      <c r="AG136" s="1131"/>
      <c r="AH136" s="1131"/>
      <c r="AI136" s="1131"/>
      <c r="AJ136" s="29"/>
      <c r="AK136" s="27"/>
      <c r="AL136" s="27"/>
      <c r="AM136" s="28"/>
      <c r="AN136" s="27"/>
      <c r="AO136" s="27"/>
      <c r="AP136" s="27"/>
      <c r="AQ136" s="28"/>
      <c r="AR136" s="27"/>
      <c r="AS136" s="27"/>
      <c r="AT136" s="27"/>
      <c r="AU136" s="28"/>
      <c r="AV136" s="29"/>
      <c r="AW136" s="27"/>
      <c r="AX136" s="27"/>
      <c r="AY136" s="28"/>
      <c r="AZ136" s="29"/>
      <c r="BA136" s="27"/>
      <c r="BB136" s="27"/>
      <c r="BC136" s="28"/>
      <c r="BD136" s="29"/>
      <c r="BE136" s="27"/>
      <c r="BF136" s="27"/>
      <c r="BG136" s="28"/>
      <c r="BH136" s="29"/>
      <c r="BI136" s="27"/>
      <c r="BJ136" s="27"/>
      <c r="BK136" s="28"/>
      <c r="BL136" s="1503"/>
      <c r="BM136" s="27"/>
      <c r="BN136" s="27"/>
      <c r="BO136" s="27"/>
      <c r="BP136" s="27"/>
      <c r="BQ136" s="27"/>
      <c r="BR136" s="27"/>
      <c r="BS136" s="27"/>
      <c r="BT136" s="27"/>
      <c r="BU136" s="27"/>
      <c r="BV136" s="27"/>
      <c r="BW136" s="27"/>
      <c r="BX136" s="27"/>
      <c r="BY136" s="27"/>
      <c r="BZ136" s="27"/>
      <c r="CA136" s="27"/>
      <c r="CB136" s="2075"/>
      <c r="CC136" s="2191"/>
      <c r="CD136" s="13"/>
    </row>
    <row r="137" spans="1:88" ht="14.25" customHeight="1">
      <c r="A137" s="7"/>
      <c r="B137" s="1144" t="s">
        <v>548</v>
      </c>
      <c r="C137" s="1128"/>
      <c r="D137" s="1129"/>
      <c r="E137" s="1129"/>
      <c r="F137" s="1129"/>
      <c r="G137" s="1129"/>
      <c r="H137" s="1129"/>
      <c r="I137" s="1129"/>
      <c r="J137" s="1129"/>
      <c r="K137" s="1129"/>
      <c r="L137" s="1129"/>
      <c r="M137" s="1129"/>
      <c r="N137" s="1129"/>
      <c r="O137" s="1129"/>
      <c r="P137" s="1129"/>
      <c r="Q137" s="1129"/>
      <c r="R137" s="1129"/>
      <c r="S137" s="1129"/>
      <c r="T137" s="1129"/>
      <c r="U137" s="1129"/>
      <c r="V137" s="1129"/>
      <c r="W137" s="1129"/>
      <c r="X137" s="1129"/>
      <c r="Y137" s="1129"/>
      <c r="Z137" s="1129"/>
      <c r="AA137" s="1129"/>
      <c r="AB137" s="1129"/>
      <c r="AC137" s="1129"/>
      <c r="AD137" s="1129"/>
      <c r="AE137" s="1130"/>
      <c r="AF137" s="1131"/>
      <c r="AG137" s="1131"/>
      <c r="AH137" s="1131"/>
      <c r="AI137" s="1131"/>
      <c r="AJ137" s="29">
        <f t="shared" ref="AJ137:AQ137" si="673">AJ66</f>
        <v>-46</v>
      </c>
      <c r="AK137" s="27">
        <f t="shared" si="673"/>
        <v>-42</v>
      </c>
      <c r="AL137" s="27">
        <f t="shared" si="673"/>
        <v>-44</v>
      </c>
      <c r="AM137" s="28">
        <f t="shared" si="673"/>
        <v>-45</v>
      </c>
      <c r="AN137" s="29">
        <f t="shared" si="673"/>
        <v>-67</v>
      </c>
      <c r="AO137" s="27">
        <f t="shared" si="673"/>
        <v>-95</v>
      </c>
      <c r="AP137" s="27">
        <f t="shared" si="673"/>
        <v>-44</v>
      </c>
      <c r="AQ137" s="28">
        <f t="shared" si="673"/>
        <v>-37</v>
      </c>
      <c r="AR137" s="29">
        <f t="shared" ref="AR137:BG137" si="674">AR66</f>
        <v>-40</v>
      </c>
      <c r="AS137" s="27">
        <f t="shared" si="674"/>
        <v>-43</v>
      </c>
      <c r="AT137" s="27">
        <f t="shared" si="674"/>
        <v>-39</v>
      </c>
      <c r="AU137" s="28">
        <f t="shared" si="674"/>
        <v>-43</v>
      </c>
      <c r="AV137" s="29">
        <f t="shared" si="674"/>
        <v>-40</v>
      </c>
      <c r="AW137" s="27">
        <f t="shared" si="674"/>
        <v>109</v>
      </c>
      <c r="AX137" s="27">
        <f t="shared" si="674"/>
        <v>-104</v>
      </c>
      <c r="AY137" s="28">
        <f t="shared" si="674"/>
        <v>-41</v>
      </c>
      <c r="AZ137" s="29">
        <f t="shared" si="674"/>
        <v>-37</v>
      </c>
      <c r="BA137" s="27">
        <f t="shared" ref="BA137" si="675">BA66</f>
        <v>-35</v>
      </c>
      <c r="BB137" s="27">
        <f t="shared" ref="BB137" si="676">BB66</f>
        <v>-34</v>
      </c>
      <c r="BC137" s="28">
        <f t="shared" ref="BC137" si="677">BC66</f>
        <v>-29</v>
      </c>
      <c r="BD137" s="29">
        <f t="shared" ref="BD137" si="678">BD66</f>
        <v>-30</v>
      </c>
      <c r="BE137" s="27">
        <f t="shared" si="674"/>
        <v>-22.246799169936384</v>
      </c>
      <c r="BF137" s="27">
        <f t="shared" si="674"/>
        <v>-22.246799169936384</v>
      </c>
      <c r="BG137" s="28">
        <f t="shared" si="674"/>
        <v>-22.246799169936384</v>
      </c>
      <c r="BH137" s="29">
        <f t="shared" ref="BH137:BK137" si="679">BH66</f>
        <v>-21.246799169936384</v>
      </c>
      <c r="BI137" s="27">
        <f t="shared" si="679"/>
        <v>-20.246799169936384</v>
      </c>
      <c r="BJ137" s="27">
        <f t="shared" si="679"/>
        <v>-19.246799169936384</v>
      </c>
      <c r="BK137" s="28">
        <f t="shared" si="679"/>
        <v>-18.246799169936384</v>
      </c>
      <c r="BL137" s="1503"/>
      <c r="BM137" s="27">
        <f t="shared" ref="BM137:BY137" si="680">BM66</f>
        <v>-74</v>
      </c>
      <c r="BN137" s="27">
        <f t="shared" si="680"/>
        <v>-96</v>
      </c>
      <c r="BO137" s="27">
        <f t="shared" si="680"/>
        <v>-491</v>
      </c>
      <c r="BP137" s="27">
        <f t="shared" si="680"/>
        <v>-389</v>
      </c>
      <c r="BQ137" s="27">
        <f t="shared" si="680"/>
        <v>-256</v>
      </c>
      <c r="BR137" s="27">
        <f t="shared" si="680"/>
        <v>-339</v>
      </c>
      <c r="BS137" s="27">
        <f t="shared" si="680"/>
        <v>123</v>
      </c>
      <c r="BT137" s="27">
        <f t="shared" si="680"/>
        <v>-161</v>
      </c>
      <c r="BU137" s="27">
        <f t="shared" si="680"/>
        <v>-177</v>
      </c>
      <c r="BV137" s="27">
        <f t="shared" ref="BV137:BW137" si="681">BV66</f>
        <v>-243</v>
      </c>
      <c r="BW137" s="27">
        <f t="shared" si="681"/>
        <v>-165</v>
      </c>
      <c r="BX137" s="27">
        <f t="shared" si="680"/>
        <v>-76</v>
      </c>
      <c r="BY137" s="27">
        <f t="shared" si="680"/>
        <v>-135</v>
      </c>
      <c r="BZ137" s="27">
        <f t="shared" ref="BZ137:CB137" si="682">BZ66</f>
        <v>-96.740397509809142</v>
      </c>
      <c r="CA137" s="27">
        <f t="shared" si="682"/>
        <v>-78.987196679745537</v>
      </c>
      <c r="CB137" s="2075">
        <f t="shared" si="682"/>
        <v>-78.987196679745537</v>
      </c>
      <c r="CC137" s="2191"/>
      <c r="CD137" s="13"/>
    </row>
    <row r="138" spans="1:88" ht="14.25" customHeight="1">
      <c r="A138" s="7"/>
      <c r="B138" s="1144" t="s">
        <v>550</v>
      </c>
      <c r="C138" s="1128"/>
      <c r="D138" s="1129"/>
      <c r="E138" s="1129"/>
      <c r="F138" s="1129"/>
      <c r="G138" s="1129"/>
      <c r="H138" s="1129"/>
      <c r="I138" s="1129"/>
      <c r="J138" s="1129"/>
      <c r="K138" s="1129"/>
      <c r="L138" s="1129"/>
      <c r="M138" s="1129"/>
      <c r="N138" s="1129"/>
      <c r="O138" s="1129"/>
      <c r="P138" s="1129"/>
      <c r="Q138" s="1129"/>
      <c r="R138" s="1129"/>
      <c r="S138" s="1129"/>
      <c r="T138" s="1129"/>
      <c r="U138" s="1129"/>
      <c r="V138" s="1129"/>
      <c r="W138" s="1129"/>
      <c r="X138" s="1129"/>
      <c r="Y138" s="1129"/>
      <c r="Z138" s="1129"/>
      <c r="AA138" s="1129"/>
      <c r="AB138" s="1129"/>
      <c r="AC138" s="1129"/>
      <c r="AD138" s="1129"/>
      <c r="AE138" s="1130"/>
      <c r="AF138" s="1131"/>
      <c r="AG138" s="1131"/>
      <c r="AH138" s="1131"/>
      <c r="AI138" s="1131"/>
      <c r="AJ138" s="29">
        <f t="shared" ref="AJ138:AQ138" si="683">-AJ70-AJ94</f>
        <v>0</v>
      </c>
      <c r="AK138" s="27">
        <f t="shared" si="683"/>
        <v>0</v>
      </c>
      <c r="AL138" s="27">
        <f t="shared" si="683"/>
        <v>0</v>
      </c>
      <c r="AM138" s="28">
        <f t="shared" si="683"/>
        <v>0</v>
      </c>
      <c r="AN138" s="29">
        <f t="shared" si="683"/>
        <v>-15</v>
      </c>
      <c r="AO138" s="27">
        <f t="shared" si="683"/>
        <v>-49</v>
      </c>
      <c r="AP138" s="27">
        <f t="shared" si="683"/>
        <v>0</v>
      </c>
      <c r="AQ138" s="28">
        <f t="shared" si="683"/>
        <v>0</v>
      </c>
      <c r="AR138" s="29">
        <f t="shared" ref="AR138:BG138" si="684">-AR70-AR94</f>
        <v>0</v>
      </c>
      <c r="AS138" s="27">
        <f t="shared" si="684"/>
        <v>0</v>
      </c>
      <c r="AT138" s="27">
        <f t="shared" si="684"/>
        <v>0</v>
      </c>
      <c r="AU138" s="28">
        <f t="shared" si="684"/>
        <v>-13</v>
      </c>
      <c r="AV138" s="29">
        <f t="shared" si="684"/>
        <v>0</v>
      </c>
      <c r="AW138" s="27">
        <f>AW69</f>
        <v>150</v>
      </c>
      <c r="AX138" s="27">
        <f t="shared" si="684"/>
        <v>-61</v>
      </c>
      <c r="AY138" s="28">
        <f t="shared" si="684"/>
        <v>-12</v>
      </c>
      <c r="AZ138" s="29">
        <f t="shared" si="684"/>
        <v>-10</v>
      </c>
      <c r="BA138" s="27">
        <f t="shared" ref="BA138" si="685">-BA70-BA94</f>
        <v>-5</v>
      </c>
      <c r="BB138" s="27">
        <f t="shared" ref="BB138" si="686">-BB70-BB94</f>
        <v>-6</v>
      </c>
      <c r="BC138" s="28">
        <f t="shared" ref="BC138" si="687">-BC70-BC94</f>
        <v>-6</v>
      </c>
      <c r="BD138" s="29">
        <f t="shared" ref="BD138" si="688">-BD70-BD94</f>
        <v>-7</v>
      </c>
      <c r="BE138" s="27">
        <f t="shared" si="684"/>
        <v>0</v>
      </c>
      <c r="BF138" s="27">
        <f t="shared" si="684"/>
        <v>0</v>
      </c>
      <c r="BG138" s="28">
        <f t="shared" si="684"/>
        <v>0</v>
      </c>
      <c r="BH138" s="29">
        <f t="shared" ref="BH138:BK138" si="689">-BH70-BH94</f>
        <v>0</v>
      </c>
      <c r="BI138" s="27">
        <f t="shared" si="689"/>
        <v>0</v>
      </c>
      <c r="BJ138" s="27">
        <f t="shared" si="689"/>
        <v>0</v>
      </c>
      <c r="BK138" s="28">
        <f t="shared" si="689"/>
        <v>0</v>
      </c>
      <c r="BL138" s="1503"/>
      <c r="BM138" s="27">
        <f t="shared" ref="BM138:BU138" si="690">-BM70</f>
        <v>0</v>
      </c>
      <c r="BN138" s="27">
        <f t="shared" si="690"/>
        <v>0</v>
      </c>
      <c r="BO138" s="27">
        <f t="shared" si="690"/>
        <v>0</v>
      </c>
      <c r="BP138" s="27">
        <f t="shared" si="690"/>
        <v>0</v>
      </c>
      <c r="BQ138" s="27">
        <f t="shared" si="690"/>
        <v>0</v>
      </c>
      <c r="BR138" s="27">
        <f t="shared" si="690"/>
        <v>0</v>
      </c>
      <c r="BS138" s="27">
        <f t="shared" si="690"/>
        <v>0</v>
      </c>
      <c r="BT138" s="27">
        <f t="shared" si="690"/>
        <v>0</v>
      </c>
      <c r="BU138" s="27">
        <f t="shared" si="690"/>
        <v>0</v>
      </c>
      <c r="BV138" s="27">
        <f t="shared" ref="BV138:BW138" si="691">-BV70-BV94</f>
        <v>-64</v>
      </c>
      <c r="BW138" s="27">
        <f t="shared" si="691"/>
        <v>-13</v>
      </c>
      <c r="BX138" s="27">
        <f>-BX70-BX94</f>
        <v>-70</v>
      </c>
      <c r="BY138" s="27">
        <f t="shared" ref="BY138" si="692">-BY70-BY94</f>
        <v>-27</v>
      </c>
      <c r="BZ138" s="27">
        <f t="shared" ref="BZ138" si="693">-BZ70-BZ94</f>
        <v>-7</v>
      </c>
      <c r="CA138" s="27">
        <f t="shared" ref="CA138:CB138" si="694">-CA70-CA94</f>
        <v>0</v>
      </c>
      <c r="CB138" s="2075">
        <f t="shared" si="694"/>
        <v>0</v>
      </c>
      <c r="CC138" s="2191"/>
      <c r="CD138" s="13"/>
    </row>
    <row r="139" spans="1:88" ht="14.25" customHeight="1">
      <c r="A139" s="7"/>
      <c r="B139" s="1144" t="s">
        <v>553</v>
      </c>
      <c r="C139" s="1128"/>
      <c r="D139" s="1129"/>
      <c r="E139" s="1129"/>
      <c r="F139" s="1129"/>
      <c r="G139" s="1129"/>
      <c r="H139" s="1129"/>
      <c r="I139" s="1129"/>
      <c r="J139" s="1129"/>
      <c r="K139" s="1129"/>
      <c r="L139" s="1129"/>
      <c r="M139" s="1129"/>
      <c r="N139" s="1129"/>
      <c r="O139" s="1129"/>
      <c r="P139" s="1129"/>
      <c r="Q139" s="1129"/>
      <c r="R139" s="1129"/>
      <c r="S139" s="1129"/>
      <c r="T139" s="1129"/>
      <c r="U139" s="1129"/>
      <c r="V139" s="1129"/>
      <c r="W139" s="1129"/>
      <c r="X139" s="1129"/>
      <c r="Y139" s="1129"/>
      <c r="Z139" s="1129"/>
      <c r="AA139" s="1129"/>
      <c r="AB139" s="1129"/>
      <c r="AC139" s="1129"/>
      <c r="AD139" s="1129"/>
      <c r="AE139" s="1130"/>
      <c r="AF139" s="1131"/>
      <c r="AG139" s="1131"/>
      <c r="AH139" s="1131"/>
      <c r="AI139" s="1131"/>
      <c r="AJ139" s="29">
        <f t="shared" ref="AJ139:AQ139" si="695">AJ137-AJ138</f>
        <v>-46</v>
      </c>
      <c r="AK139" s="27">
        <f t="shared" si="695"/>
        <v>-42</v>
      </c>
      <c r="AL139" s="27">
        <f t="shared" si="695"/>
        <v>-44</v>
      </c>
      <c r="AM139" s="28">
        <f t="shared" si="695"/>
        <v>-45</v>
      </c>
      <c r="AN139" s="29">
        <f t="shared" si="695"/>
        <v>-52</v>
      </c>
      <c r="AO139" s="27">
        <f t="shared" si="695"/>
        <v>-46</v>
      </c>
      <c r="AP139" s="27">
        <f t="shared" si="695"/>
        <v>-44</v>
      </c>
      <c r="AQ139" s="28">
        <f t="shared" si="695"/>
        <v>-37</v>
      </c>
      <c r="AR139" s="29">
        <f t="shared" ref="AR139:AZ139" si="696">AR137-AR138</f>
        <v>-40</v>
      </c>
      <c r="AS139" s="27">
        <f t="shared" si="696"/>
        <v>-43</v>
      </c>
      <c r="AT139" s="27">
        <f t="shared" si="696"/>
        <v>-39</v>
      </c>
      <c r="AU139" s="28">
        <f t="shared" si="696"/>
        <v>-30</v>
      </c>
      <c r="AV139" s="29">
        <f t="shared" si="696"/>
        <v>-40</v>
      </c>
      <c r="AW139" s="27">
        <f t="shared" si="696"/>
        <v>-41</v>
      </c>
      <c r="AX139" s="27">
        <f t="shared" si="696"/>
        <v>-43</v>
      </c>
      <c r="AY139" s="28">
        <f t="shared" si="696"/>
        <v>-29</v>
      </c>
      <c r="AZ139" s="29">
        <f t="shared" si="696"/>
        <v>-27</v>
      </c>
      <c r="BA139" s="27">
        <f t="shared" ref="BA139" si="697">BA137-BA138</f>
        <v>-30</v>
      </c>
      <c r="BB139" s="27">
        <f>BB137-BB138-BB94</f>
        <v>-26</v>
      </c>
      <c r="BC139" s="28">
        <f t="shared" ref="BC139" si="698">BC137-BC138</f>
        <v>-23</v>
      </c>
      <c r="BD139" s="29">
        <f t="shared" ref="BD139" si="699">BD137-BD138</f>
        <v>-23</v>
      </c>
      <c r="BE139" s="27">
        <f t="shared" ref="BE139:BG139" si="700">BE137+BE138</f>
        <v>-22.246799169936384</v>
      </c>
      <c r="BF139" s="27">
        <f t="shared" si="700"/>
        <v>-22.246799169936384</v>
      </c>
      <c r="BG139" s="28">
        <f t="shared" si="700"/>
        <v>-22.246799169936384</v>
      </c>
      <c r="BH139" s="29">
        <f t="shared" ref="BH139:BK139" si="701">BH137+BH138</f>
        <v>-21.246799169936384</v>
      </c>
      <c r="BI139" s="27">
        <f t="shared" si="701"/>
        <v>-20.246799169936384</v>
      </c>
      <c r="BJ139" s="27">
        <f t="shared" si="701"/>
        <v>-19.246799169936384</v>
      </c>
      <c r="BK139" s="28">
        <f t="shared" si="701"/>
        <v>-18.246799169936384</v>
      </c>
      <c r="BL139" s="1503"/>
      <c r="BM139" s="27">
        <f t="shared" ref="BM139:BT139" si="702">BM137-BM138</f>
        <v>-74</v>
      </c>
      <c r="BN139" s="27">
        <f t="shared" si="702"/>
        <v>-96</v>
      </c>
      <c r="BO139" s="27">
        <f t="shared" si="702"/>
        <v>-491</v>
      </c>
      <c r="BP139" s="27">
        <f t="shared" si="702"/>
        <v>-389</v>
      </c>
      <c r="BQ139" s="27">
        <f t="shared" si="702"/>
        <v>-256</v>
      </c>
      <c r="BR139" s="27">
        <f t="shared" si="702"/>
        <v>-339</v>
      </c>
      <c r="BS139" s="27">
        <f t="shared" si="702"/>
        <v>123</v>
      </c>
      <c r="BT139" s="27">
        <f t="shared" si="702"/>
        <v>-161</v>
      </c>
      <c r="BU139" s="27">
        <f t="shared" ref="BU139:BZ139" si="703">BU137-BU138</f>
        <v>-177</v>
      </c>
      <c r="BV139" s="27">
        <f t="shared" ref="BV139:BW139" si="704">BV137-BV138</f>
        <v>-179</v>
      </c>
      <c r="BW139" s="27">
        <f t="shared" si="704"/>
        <v>-152</v>
      </c>
      <c r="BX139" s="27">
        <f t="shared" si="703"/>
        <v>-6</v>
      </c>
      <c r="BY139" s="27">
        <f t="shared" ref="BY139" si="705">BY137+BY138</f>
        <v>-162</v>
      </c>
      <c r="BZ139" s="27">
        <f t="shared" si="703"/>
        <v>-89.740397509809142</v>
      </c>
      <c r="CA139" s="27">
        <f t="shared" ref="CA139" si="706">CA137-CA138</f>
        <v>-78.987196679745537</v>
      </c>
      <c r="CB139" s="2075">
        <f t="shared" ref="CB139" si="707">CB137+CB138</f>
        <v>-78.987196679745537</v>
      </c>
      <c r="CC139" s="2191"/>
      <c r="CD139" s="13"/>
    </row>
    <row r="140" spans="1:88" ht="14.25" customHeight="1">
      <c r="A140" s="7"/>
      <c r="B140" s="1144" t="s">
        <v>434</v>
      </c>
      <c r="C140" s="1128"/>
      <c r="D140" s="1129"/>
      <c r="E140" s="1129"/>
      <c r="F140" s="1129"/>
      <c r="G140" s="1129"/>
      <c r="H140" s="1129"/>
      <c r="I140" s="1129"/>
      <c r="J140" s="1129"/>
      <c r="K140" s="1129"/>
      <c r="L140" s="1129"/>
      <c r="M140" s="1129"/>
      <c r="N140" s="1129"/>
      <c r="O140" s="1129"/>
      <c r="P140" s="1129"/>
      <c r="Q140" s="1129"/>
      <c r="R140" s="1129"/>
      <c r="S140" s="1129"/>
      <c r="T140" s="1129"/>
      <c r="U140" s="1129"/>
      <c r="V140" s="1129"/>
      <c r="W140" s="1129"/>
      <c r="X140" s="1129"/>
      <c r="Y140" s="1129"/>
      <c r="Z140" s="1129"/>
      <c r="AA140" s="1129"/>
      <c r="AB140" s="1129"/>
      <c r="AC140" s="1129"/>
      <c r="AD140" s="1129"/>
      <c r="AE140" s="1130"/>
      <c r="AF140" s="1131"/>
      <c r="AG140" s="1131"/>
      <c r="AH140" s="1131"/>
      <c r="AI140" s="1131"/>
      <c r="AJ140" s="29">
        <f t="shared" ref="AJ140:AQ140" si="708">AJ85</f>
        <v>2</v>
      </c>
      <c r="AK140" s="27">
        <f t="shared" si="708"/>
        <v>3</v>
      </c>
      <c r="AL140" s="27">
        <f t="shared" si="708"/>
        <v>3</v>
      </c>
      <c r="AM140" s="28">
        <f t="shared" si="708"/>
        <v>1</v>
      </c>
      <c r="AN140" s="29">
        <f t="shared" si="708"/>
        <v>2</v>
      </c>
      <c r="AO140" s="27">
        <f t="shared" si="708"/>
        <v>4</v>
      </c>
      <c r="AP140" s="27">
        <f t="shared" si="708"/>
        <v>2</v>
      </c>
      <c r="AQ140" s="28">
        <f t="shared" si="708"/>
        <v>-3</v>
      </c>
      <c r="AR140" s="29">
        <f t="shared" ref="AR140:BG140" si="709">AR85</f>
        <v>3</v>
      </c>
      <c r="AS140" s="27">
        <f t="shared" si="709"/>
        <v>1</v>
      </c>
      <c r="AT140" s="27">
        <f t="shared" si="709"/>
        <v>0</v>
      </c>
      <c r="AU140" s="28">
        <f t="shared" si="709"/>
        <v>10</v>
      </c>
      <c r="AV140" s="29">
        <f t="shared" si="709"/>
        <v>1</v>
      </c>
      <c r="AW140" s="27">
        <f t="shared" si="709"/>
        <v>2</v>
      </c>
      <c r="AX140" s="27">
        <f t="shared" si="709"/>
        <v>5</v>
      </c>
      <c r="AY140" s="28">
        <f t="shared" si="709"/>
        <v>5</v>
      </c>
      <c r="AZ140" s="29">
        <f t="shared" si="709"/>
        <v>5</v>
      </c>
      <c r="BA140" s="27">
        <f t="shared" ref="BA140" si="710">BA85</f>
        <v>3</v>
      </c>
      <c r="BB140" s="27">
        <f t="shared" ref="BB140" si="711">BB85</f>
        <v>19</v>
      </c>
      <c r="BC140" s="28">
        <f t="shared" ref="BC140" si="712">BC85</f>
        <v>-8</v>
      </c>
      <c r="BD140" s="29">
        <f t="shared" ref="BD140" si="713">BD85</f>
        <v>8</v>
      </c>
      <c r="BE140" s="27">
        <f t="shared" si="709"/>
        <v>12.930728428276801</v>
      </c>
      <c r="BF140" s="27">
        <f t="shared" si="709"/>
        <v>12.498574678904651</v>
      </c>
      <c r="BG140" s="28">
        <f t="shared" si="709"/>
        <v>8.1129312461271628</v>
      </c>
      <c r="BH140" s="29">
        <f t="shared" ref="BH140:BK140" si="714">BH85</f>
        <v>4.8936937830208072</v>
      </c>
      <c r="BI140" s="27">
        <f t="shared" si="714"/>
        <v>9.3229670145593655</v>
      </c>
      <c r="BJ140" s="27">
        <f t="shared" si="714"/>
        <v>12.002919298874712</v>
      </c>
      <c r="BK140" s="28">
        <f t="shared" si="714"/>
        <v>11.083375534561945</v>
      </c>
      <c r="BL140" s="1503"/>
      <c r="BM140" s="27">
        <f t="shared" ref="BM140:BT140" si="715">BM79</f>
        <v>-7</v>
      </c>
      <c r="BN140" s="27">
        <f t="shared" si="715"/>
        <v>23</v>
      </c>
      <c r="BO140" s="27">
        <f t="shared" si="715"/>
        <v>23</v>
      </c>
      <c r="BP140" s="27">
        <f t="shared" si="715"/>
        <v>68</v>
      </c>
      <c r="BQ140" s="27">
        <f t="shared" si="715"/>
        <v>112</v>
      </c>
      <c r="BR140" s="27">
        <f t="shared" si="715"/>
        <v>38</v>
      </c>
      <c r="BS140" s="27">
        <f t="shared" si="715"/>
        <v>-4</v>
      </c>
      <c r="BT140" s="27">
        <f t="shared" si="715"/>
        <v>-34</v>
      </c>
      <c r="BU140" s="27">
        <f>BU79</f>
        <v>9</v>
      </c>
      <c r="BV140" s="27">
        <f t="shared" ref="BV140:BW140" si="716">BV85</f>
        <v>5</v>
      </c>
      <c r="BW140" s="27">
        <f t="shared" si="716"/>
        <v>14</v>
      </c>
      <c r="BX140" s="27">
        <f>BX85</f>
        <v>13</v>
      </c>
      <c r="BY140" s="27">
        <f t="shared" ref="BY140" si="717">BY85</f>
        <v>19</v>
      </c>
      <c r="BZ140" s="27">
        <f t="shared" ref="BZ140" si="718">BZ85</f>
        <v>41.542234353308615</v>
      </c>
      <c r="CA140" s="27">
        <f t="shared" ref="CA140:CB140" si="719">CA85</f>
        <v>37.302955631016829</v>
      </c>
      <c r="CB140" s="2075">
        <f t="shared" si="719"/>
        <v>37.302955631016829</v>
      </c>
      <c r="CC140" s="2191"/>
      <c r="CD140" s="13"/>
    </row>
    <row r="141" spans="1:88" ht="14.25" customHeight="1">
      <c r="A141" s="7"/>
      <c r="B141" s="1144" t="s">
        <v>549</v>
      </c>
      <c r="C141" s="1128"/>
      <c r="D141" s="1129"/>
      <c r="E141" s="1129"/>
      <c r="F141" s="1129"/>
      <c r="G141" s="1129"/>
      <c r="H141" s="1129"/>
      <c r="I141" s="1129"/>
      <c r="J141" s="1129"/>
      <c r="K141" s="1129"/>
      <c r="L141" s="1129"/>
      <c r="M141" s="1129"/>
      <c r="N141" s="1129"/>
      <c r="O141" s="1129"/>
      <c r="P141" s="1129"/>
      <c r="Q141" s="1129"/>
      <c r="R141" s="1129"/>
      <c r="S141" s="1129"/>
      <c r="T141" s="1129"/>
      <c r="U141" s="1129"/>
      <c r="V141" s="1129"/>
      <c r="W141" s="1129"/>
      <c r="X141" s="1129"/>
      <c r="Y141" s="1129"/>
      <c r="Z141" s="1129"/>
      <c r="AA141" s="1129"/>
      <c r="AB141" s="1129"/>
      <c r="AC141" s="1129"/>
      <c r="AD141" s="1129"/>
      <c r="AE141" s="1130"/>
      <c r="AF141" s="1131"/>
      <c r="AG141" s="1131"/>
      <c r="AH141" s="1131"/>
      <c r="AI141" s="1131"/>
      <c r="AJ141" s="29">
        <f>AJ135+AJ139</f>
        <v>-92</v>
      </c>
      <c r="AK141" s="27">
        <f>AK135+AK139</f>
        <v>-62</v>
      </c>
      <c r="AL141" s="27">
        <f t="shared" ref="AL141" si="720">AL135+AL139-AL140</f>
        <v>31</v>
      </c>
      <c r="AM141" s="28">
        <f t="shared" ref="AM141" si="721">AM135+AM139-AM140</f>
        <v>45</v>
      </c>
      <c r="AN141" s="29">
        <f t="shared" ref="AN141" si="722">AN135+AN139-AN140</f>
        <v>12</v>
      </c>
      <c r="AO141" s="27">
        <f t="shared" ref="AO141" si="723">AO135+AO139-AO140</f>
        <v>17</v>
      </c>
      <c r="AP141" s="27">
        <f t="shared" ref="AP141" si="724">AP135+AP139-AP140</f>
        <v>20</v>
      </c>
      <c r="AQ141" s="28">
        <f t="shared" ref="AQ141" si="725">AQ135+AQ139-AQ140</f>
        <v>18</v>
      </c>
      <c r="AR141" s="29">
        <f t="shared" ref="AR141" si="726">AR135+AR139-AR140</f>
        <v>-73</v>
      </c>
      <c r="AS141" s="27">
        <f t="shared" ref="AS141" si="727">AS135+AS139-AS140</f>
        <v>-131</v>
      </c>
      <c r="AT141" s="27">
        <f t="shared" ref="AT141" si="728">AT135+AT139-AT140</f>
        <v>-136</v>
      </c>
      <c r="AU141" s="28">
        <f t="shared" ref="AU141" si="729">AU135+AU139-AU140</f>
        <v>-79</v>
      </c>
      <c r="AV141" s="29">
        <f t="shared" ref="AV141" si="730">AV135+AV139-AV140</f>
        <v>-96</v>
      </c>
      <c r="AW141" s="27">
        <f t="shared" ref="AW141" si="731">AW135+AW139-AW140</f>
        <v>-40</v>
      </c>
      <c r="AX141" s="27">
        <f t="shared" ref="AX141" si="732">AX135+AX139-AX140</f>
        <v>22</v>
      </c>
      <c r="AY141" s="28">
        <f t="shared" ref="AY141" si="733">AY135+AY139-AY140</f>
        <v>-8</v>
      </c>
      <c r="AZ141" s="29">
        <f t="shared" ref="AZ141" si="734">AZ135+AZ139-AZ140</f>
        <v>-38</v>
      </c>
      <c r="BA141" s="27">
        <f t="shared" ref="BA141" si="735">BA135+BA139-BA140</f>
        <v>16</v>
      </c>
      <c r="BB141" s="27">
        <f>BB135+BB139-BB140</f>
        <v>110</v>
      </c>
      <c r="BC141" s="28">
        <f t="shared" ref="BC141" si="736">BC135+BC139-BC140</f>
        <v>88</v>
      </c>
      <c r="BD141" s="29">
        <f t="shared" ref="BD141" si="737">BD135+BD139-BD140</f>
        <v>121</v>
      </c>
      <c r="BE141" s="27">
        <f t="shared" ref="BE141" si="738">BE135+BE139-BE140</f>
        <v>145.37655585449119</v>
      </c>
      <c r="BF141" s="27">
        <f t="shared" ref="BF141" si="739">BF135+BF139-BF140</f>
        <v>141.48717211014184</v>
      </c>
      <c r="BG141" s="28">
        <f t="shared" ref="BG141:BJ141" si="740">BG135+BG139-BG140</f>
        <v>102.01638121514446</v>
      </c>
      <c r="BH141" s="29">
        <f t="shared" si="740"/>
        <v>73.043244047187258</v>
      </c>
      <c r="BI141" s="27">
        <f t="shared" si="740"/>
        <v>112.90670313103429</v>
      </c>
      <c r="BJ141" s="27">
        <f t="shared" si="740"/>
        <v>137.0262736898724</v>
      </c>
      <c r="BK141" s="28">
        <f t="shared" ref="BK141" si="741">BK135+BK139-BK140</f>
        <v>128.75037981105748</v>
      </c>
      <c r="BL141" s="1503"/>
      <c r="BM141" s="27">
        <f t="shared" ref="BM141:BT141" si="742">BM135+BM139-BM140</f>
        <v>165</v>
      </c>
      <c r="BN141" s="27">
        <f t="shared" si="742"/>
        <v>398.64199999999983</v>
      </c>
      <c r="BO141" s="27">
        <f t="shared" si="742"/>
        <v>-1437</v>
      </c>
      <c r="BP141" s="27">
        <f t="shared" si="742"/>
        <v>-1253</v>
      </c>
      <c r="BQ141" s="27">
        <f t="shared" si="742"/>
        <v>-1141</v>
      </c>
      <c r="BR141" s="27">
        <f t="shared" si="742"/>
        <v>176</v>
      </c>
      <c r="BS141" s="27">
        <f t="shared" si="742"/>
        <v>651</v>
      </c>
      <c r="BT141" s="27">
        <f t="shared" si="742"/>
        <v>12</v>
      </c>
      <c r="BU141" s="27">
        <f>BU135+BU139-BU140</f>
        <v>-83</v>
      </c>
      <c r="BV141" s="27">
        <f t="shared" ref="BV141:BW141" si="743">BV135+BV139-BV140</f>
        <v>67</v>
      </c>
      <c r="BW141" s="27">
        <f t="shared" si="743"/>
        <v>-419</v>
      </c>
      <c r="BX141" s="27">
        <f>BX135+BX139-BX140</f>
        <v>25</v>
      </c>
      <c r="BY141" s="27">
        <f t="shared" ref="BY141" si="744">BY135+BY139-BY140</f>
        <v>120</v>
      </c>
      <c r="BZ141" s="27">
        <f t="shared" ref="BZ141" si="745">BZ135+BZ139-BZ140</f>
        <v>509.88010917977778</v>
      </c>
      <c r="CA141" s="27">
        <f t="shared" ref="CA141:CB141" si="746">CA135+CA139-CA140</f>
        <v>451.72660067915126</v>
      </c>
      <c r="CB141" s="2075">
        <f t="shared" si="746"/>
        <v>451.72660067915126</v>
      </c>
      <c r="CC141" s="2191"/>
      <c r="CD141" s="13"/>
    </row>
    <row r="142" spans="1:88" ht="14.25" customHeight="1">
      <c r="A142" s="7"/>
      <c r="B142" s="1144"/>
      <c r="C142" s="1128"/>
      <c r="D142" s="1129"/>
      <c r="E142" s="1129"/>
      <c r="F142" s="1129"/>
      <c r="G142" s="1129"/>
      <c r="H142" s="1129"/>
      <c r="I142" s="1129"/>
      <c r="J142" s="1129"/>
      <c r="K142" s="1129"/>
      <c r="L142" s="1129"/>
      <c r="M142" s="1129"/>
      <c r="N142" s="1129"/>
      <c r="O142" s="1129"/>
      <c r="P142" s="1129"/>
      <c r="Q142" s="1129"/>
      <c r="R142" s="1129"/>
      <c r="S142" s="1129"/>
      <c r="T142" s="1129"/>
      <c r="U142" s="1129"/>
      <c r="V142" s="1129"/>
      <c r="W142" s="1129"/>
      <c r="X142" s="1129"/>
      <c r="Y142" s="1129"/>
      <c r="Z142" s="1129"/>
      <c r="AA142" s="1129"/>
      <c r="AB142" s="1129"/>
      <c r="AC142" s="1129"/>
      <c r="AD142" s="1129"/>
      <c r="AE142" s="1130"/>
      <c r="AF142" s="1131"/>
      <c r="AG142" s="1131"/>
      <c r="AH142" s="1131"/>
      <c r="AI142" s="1131"/>
      <c r="AJ142" s="29"/>
      <c r="AK142" s="27"/>
      <c r="AL142" s="27"/>
      <c r="AM142" s="28"/>
      <c r="AN142" s="29"/>
      <c r="AO142" s="27"/>
      <c r="AP142" s="27"/>
      <c r="AQ142" s="28"/>
      <c r="AR142" s="29"/>
      <c r="AS142" s="27"/>
      <c r="AT142" s="27"/>
      <c r="AU142" s="28"/>
      <c r="AV142" s="29"/>
      <c r="AW142" s="27"/>
      <c r="AX142" s="27"/>
      <c r="AY142" s="28"/>
      <c r="AZ142" s="29"/>
      <c r="BA142" s="27"/>
      <c r="BB142" s="27"/>
      <c r="BC142" s="28"/>
      <c r="BD142" s="29"/>
      <c r="BE142" s="27"/>
      <c r="BF142" s="27"/>
      <c r="BG142" s="28"/>
      <c r="BH142" s="29"/>
      <c r="BI142" s="27"/>
      <c r="BJ142" s="27"/>
      <c r="BK142" s="28"/>
      <c r="BL142" s="1503"/>
      <c r="BM142" s="27"/>
      <c r="BN142" s="27"/>
      <c r="BO142" s="27"/>
      <c r="BP142" s="27"/>
      <c r="BQ142" s="27"/>
      <c r="BR142" s="27"/>
      <c r="BS142" s="27"/>
      <c r="BT142" s="27"/>
      <c r="BU142" s="27"/>
      <c r="BV142" s="27"/>
      <c r="BW142" s="27"/>
      <c r="BX142" s="27"/>
      <c r="BY142" s="27"/>
      <c r="BZ142" s="27"/>
      <c r="CA142" s="27"/>
      <c r="CB142" s="2075"/>
      <c r="CC142" s="2191"/>
      <c r="CD142" s="13"/>
    </row>
    <row r="143" spans="1:88" ht="14.25" customHeight="1">
      <c r="A143" s="7"/>
      <c r="B143" s="1163" t="s">
        <v>554</v>
      </c>
      <c r="C143" s="1164"/>
      <c r="D143" s="1165"/>
      <c r="E143" s="1165"/>
      <c r="F143" s="1165"/>
      <c r="G143" s="1165"/>
      <c r="H143" s="1165"/>
      <c r="I143" s="1165"/>
      <c r="J143" s="1165"/>
      <c r="K143" s="1165"/>
      <c r="L143" s="1165"/>
      <c r="M143" s="1165"/>
      <c r="N143" s="1165"/>
      <c r="O143" s="1165"/>
      <c r="P143" s="1165"/>
      <c r="Q143" s="1165"/>
      <c r="R143" s="1165"/>
      <c r="S143" s="1165"/>
      <c r="T143" s="1165"/>
      <c r="U143" s="1165"/>
      <c r="V143" s="1165"/>
      <c r="W143" s="1165"/>
      <c r="X143" s="1165"/>
      <c r="Y143" s="1165"/>
      <c r="Z143" s="1165"/>
      <c r="AA143" s="1165"/>
      <c r="AB143" s="1165"/>
      <c r="AC143" s="1165"/>
      <c r="AD143" s="1165"/>
      <c r="AE143" s="1166"/>
      <c r="AF143" s="1167"/>
      <c r="AG143" s="1167"/>
      <c r="AH143" s="1167"/>
      <c r="AI143" s="1167"/>
      <c r="AJ143" s="1169">
        <f>AJ141/AJ109</f>
        <v>-0.12283044058744993</v>
      </c>
      <c r="AK143" s="1168">
        <f t="shared" ref="AK143:AZ143" si="747">AK141/AK110</f>
        <v>-8.2446808510638292E-2</v>
      </c>
      <c r="AL143" s="1168">
        <f t="shared" si="747"/>
        <v>4.0575916230366493E-2</v>
      </c>
      <c r="AM143" s="1170">
        <f t="shared" si="747"/>
        <v>5.87467362924282E-2</v>
      </c>
      <c r="AN143" s="1169">
        <f t="shared" si="747"/>
        <v>1.5768725361366621E-2</v>
      </c>
      <c r="AO143" s="1168">
        <f t="shared" si="747"/>
        <v>2.2251308900523559E-2</v>
      </c>
      <c r="AP143" s="1168">
        <f t="shared" si="747"/>
        <v>2.5477707006369428E-2</v>
      </c>
      <c r="AQ143" s="1170">
        <f t="shared" si="747"/>
        <v>2.3195876288659795E-2</v>
      </c>
      <c r="AR143" s="1169">
        <f t="shared" si="747"/>
        <v>-9.3951093951093953E-2</v>
      </c>
      <c r="AS143" s="1168">
        <f t="shared" si="747"/>
        <v>-0.16838046272493573</v>
      </c>
      <c r="AT143" s="1168">
        <f t="shared" si="747"/>
        <v>-0.17324840764331209</v>
      </c>
      <c r="AU143" s="1170">
        <f t="shared" si="747"/>
        <v>-9.9873577749683945E-2</v>
      </c>
      <c r="AV143" s="1169">
        <f t="shared" si="747"/>
        <v>-0.12105926860025221</v>
      </c>
      <c r="AW143" s="1168">
        <f t="shared" si="747"/>
        <v>-4.8721071863580996E-2</v>
      </c>
      <c r="AX143" s="1168">
        <f t="shared" si="747"/>
        <v>2.6993865030674847E-2</v>
      </c>
      <c r="AY143" s="1170">
        <f t="shared" si="747"/>
        <v>-8.5929108485499461E-3</v>
      </c>
      <c r="AZ143" s="1169">
        <f t="shared" si="747"/>
        <v>-4.0468583599574018E-2</v>
      </c>
      <c r="BA143" s="1168">
        <f>BA141/BA110</f>
        <v>1.6931216931216932E-2</v>
      </c>
      <c r="BB143" s="1168">
        <f>BB141/BB111</f>
        <v>9.6237970253718289E-2</v>
      </c>
      <c r="BC143" s="1170">
        <f>BC141/BC111</f>
        <v>7.7396657871591903E-2</v>
      </c>
      <c r="BD143" s="1169">
        <f>BD141/BD111</f>
        <v>0.10614035087719298</v>
      </c>
      <c r="BE143" s="1168">
        <f t="shared" ref="BE143:BG143" si="748">BE141/BE111</f>
        <v>0.12729996134368757</v>
      </c>
      <c r="BF143" s="1168">
        <f t="shared" si="748"/>
        <v>0.12367759799837573</v>
      </c>
      <c r="BG143" s="1170">
        <f t="shared" si="748"/>
        <v>8.9019529856147001E-2</v>
      </c>
      <c r="BH143" s="1169">
        <f t="shared" ref="BH143:BK143" si="749">BH141/BH111</f>
        <v>6.3626519204866949E-2</v>
      </c>
      <c r="BI143" s="1168">
        <f t="shared" si="749"/>
        <v>9.8179741853073293E-2</v>
      </c>
      <c r="BJ143" s="1168">
        <f t="shared" si="749"/>
        <v>0.11894641813356979</v>
      </c>
      <c r="BK143" s="1170">
        <f t="shared" si="749"/>
        <v>0.11156878666469452</v>
      </c>
      <c r="BL143" s="1505"/>
      <c r="BM143" s="1168">
        <f t="shared" ref="BM143:BX143" si="750">BM141/BM110</f>
        <v>0.38949611595653461</v>
      </c>
      <c r="BN143" s="1168">
        <f t="shared" si="750"/>
        <v>0.78811273213613153</v>
      </c>
      <c r="BO143" s="1168">
        <f t="shared" si="750"/>
        <v>-2.5729632945389436</v>
      </c>
      <c r="BP143" s="1168">
        <f t="shared" si="750"/>
        <v>-2.062551440329218</v>
      </c>
      <c r="BQ143" s="1168">
        <f t="shared" si="750"/>
        <v>-1.6429085673146149</v>
      </c>
      <c r="BR143" s="1168">
        <f t="shared" si="750"/>
        <v>0.2420075627363355</v>
      </c>
      <c r="BS143" s="1168">
        <f t="shared" si="750"/>
        <v>0.87382550335570475</v>
      </c>
      <c r="BT143" s="1168">
        <f t="shared" si="750"/>
        <v>1.6101979201610196E-2</v>
      </c>
      <c r="BU143" s="1168">
        <f t="shared" si="750"/>
        <v>-0.10953480699439129</v>
      </c>
      <c r="BV143" s="1168">
        <f t="shared" si="750"/>
        <v>8.6843810758263126E-2</v>
      </c>
      <c r="BW143" s="1168">
        <f t="shared" si="750"/>
        <v>-0.5352922389013095</v>
      </c>
      <c r="BX143" s="1168">
        <f t="shared" si="750"/>
        <v>2.976190476190476E-2</v>
      </c>
      <c r="BY143" s="1168">
        <f t="shared" ref="BY143:CB143" si="751">BY141/BY111</f>
        <v>0.11280846063454759</v>
      </c>
      <c r="BZ143" s="1168">
        <f t="shared" si="751"/>
        <v>0.44608933436550985</v>
      </c>
      <c r="CA143" s="1168">
        <f t="shared" si="751"/>
        <v>0.39246446627206888</v>
      </c>
      <c r="CB143" s="2097">
        <f t="shared" si="751"/>
        <v>0.39178369529848334</v>
      </c>
      <c r="CC143" s="2191"/>
      <c r="CD143" s="13"/>
    </row>
    <row r="144" spans="1:88" ht="14.25" customHeight="1">
      <c r="A144" s="7"/>
      <c r="B144" s="1128"/>
      <c r="C144" s="1128"/>
      <c r="D144" s="1129"/>
      <c r="E144" s="1129"/>
      <c r="F144" s="1129"/>
      <c r="G144" s="1129"/>
      <c r="H144" s="1129"/>
      <c r="I144" s="1129"/>
      <c r="J144" s="1129"/>
      <c r="K144" s="1129"/>
      <c r="L144" s="1129"/>
      <c r="M144" s="1129"/>
      <c r="N144" s="1129"/>
      <c r="O144" s="1129"/>
      <c r="P144" s="1129"/>
      <c r="Q144" s="1129"/>
      <c r="R144" s="1129"/>
      <c r="S144" s="1129"/>
      <c r="T144" s="1129"/>
      <c r="U144" s="1129"/>
      <c r="V144" s="1129"/>
      <c r="W144" s="1129"/>
      <c r="X144" s="1129"/>
      <c r="Y144" s="1129"/>
      <c r="Z144" s="1129"/>
      <c r="AA144" s="1129"/>
      <c r="AB144" s="1129"/>
      <c r="AC144" s="1129"/>
      <c r="AD144" s="1129"/>
      <c r="AE144" s="1130"/>
      <c r="AF144" s="1131"/>
      <c r="AG144" s="1131"/>
      <c r="AH144" s="1131"/>
      <c r="AI144" s="1131"/>
      <c r="AJ144" s="1131"/>
      <c r="AK144" s="1131"/>
      <c r="AL144" s="1131"/>
      <c r="AM144" s="1131"/>
      <c r="AN144" s="1131"/>
      <c r="AO144" s="1131"/>
      <c r="AP144" s="1131"/>
      <c r="AQ144" s="1131"/>
      <c r="AR144" s="1131"/>
      <c r="AS144" s="1131"/>
      <c r="AT144" s="1131"/>
      <c r="AU144" s="1131"/>
      <c r="AV144" s="1131"/>
      <c r="AW144" s="1131"/>
      <c r="AX144" s="1131"/>
      <c r="AY144" s="1131"/>
      <c r="AZ144" s="1131"/>
      <c r="BA144" s="1131"/>
      <c r="BB144" s="1131"/>
      <c r="BC144" s="1131"/>
      <c r="BD144" s="1131"/>
      <c r="BE144" s="1131"/>
      <c r="BF144" s="1131"/>
      <c r="BG144" s="1131"/>
      <c r="BH144" s="1131"/>
      <c r="BI144" s="1131"/>
      <c r="BJ144" s="1131"/>
      <c r="BK144" s="1131"/>
      <c r="BL144" s="1132"/>
      <c r="BM144" s="1129"/>
      <c r="BN144" s="1129"/>
      <c r="BO144" s="1129"/>
      <c r="BP144" s="1129"/>
      <c r="BQ144" s="1129"/>
      <c r="BR144" s="1129"/>
      <c r="BS144" s="1129"/>
      <c r="BT144" s="1129"/>
      <c r="BU144" s="1129"/>
      <c r="BV144" s="1129"/>
      <c r="BW144" s="1129"/>
      <c r="BX144" s="1129"/>
      <c r="BY144" s="1131"/>
      <c r="BZ144" s="1131"/>
      <c r="CA144" s="1131"/>
      <c r="CB144" s="2085"/>
      <c r="CC144" s="1501"/>
      <c r="CD144" s="13"/>
    </row>
    <row r="145" spans="1:82" ht="14.25" customHeight="1">
      <c r="A145" s="7"/>
      <c r="B145" s="7"/>
      <c r="C145" s="7"/>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7"/>
      <c r="AD145" s="7"/>
      <c r="AE145" s="10"/>
      <c r="AF145" s="7"/>
      <c r="AG145" s="7"/>
      <c r="AH145" s="7"/>
      <c r="AI145" s="7"/>
      <c r="AJ145" s="324"/>
      <c r="AK145" s="324"/>
      <c r="AL145" s="324"/>
      <c r="AM145" s="324"/>
      <c r="AN145" s="324"/>
      <c r="AO145" s="324"/>
      <c r="AP145" s="324"/>
      <c r="AQ145" s="324"/>
      <c r="AR145" s="324"/>
      <c r="AS145" s="324"/>
      <c r="AT145" s="324"/>
      <c r="AU145" s="324"/>
      <c r="AV145" s="324"/>
      <c r="AW145" s="324"/>
      <c r="AX145" s="324"/>
      <c r="AY145" s="324"/>
      <c r="AZ145" s="324"/>
      <c r="BA145" s="324"/>
      <c r="BB145" s="324"/>
      <c r="BC145" s="324"/>
      <c r="BD145" s="324"/>
      <c r="BE145" s="324"/>
      <c r="BF145" s="324"/>
      <c r="BG145" s="324"/>
      <c r="BH145" s="324"/>
      <c r="BI145" s="324"/>
      <c r="BJ145" s="324"/>
      <c r="BK145" s="324"/>
      <c r="BL145" s="7"/>
      <c r="BM145" s="10">
        <v>0.41262481900774983</v>
      </c>
      <c r="BN145" s="7">
        <v>0.81109203073116798</v>
      </c>
      <c r="BO145" s="7">
        <v>-2.5729632945389436</v>
      </c>
      <c r="BP145" s="7">
        <v>-3.1884773662551442</v>
      </c>
      <c r="BQ145" s="7">
        <v>-1.2912332838038634</v>
      </c>
      <c r="BR145" s="7">
        <v>0.31408450704225355</v>
      </c>
      <c r="BS145" s="7">
        <v>0.89087779690189328</v>
      </c>
      <c r="BT145" s="7">
        <v>-3.2377740303541312E-2</v>
      </c>
      <c r="BU145" s="7">
        <v>-0.11004308916141863</v>
      </c>
      <c r="BV145" s="7"/>
      <c r="BW145" s="7"/>
      <c r="BX145" s="7"/>
      <c r="BY145" s="324"/>
      <c r="BZ145" s="324"/>
      <c r="CA145" s="324"/>
      <c r="CB145" s="2098"/>
      <c r="CC145" s="7"/>
      <c r="CD145" s="13"/>
    </row>
    <row r="146" spans="1:82" ht="14.25" customHeight="1">
      <c r="A146" s="7"/>
      <c r="B146" s="7"/>
      <c r="C146" s="7"/>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7"/>
      <c r="AD146" s="7"/>
      <c r="AE146" s="7"/>
      <c r="AF146" s="7"/>
      <c r="AG146" s="7"/>
      <c r="AH146" s="7"/>
      <c r="AI146" s="7"/>
      <c r="AJ146" s="7"/>
      <c r="AK146" s="7"/>
      <c r="AL146" s="7"/>
      <c r="AM146" s="7"/>
      <c r="AN146" s="1840"/>
      <c r="AO146" s="1840"/>
      <c r="AP146" s="1840"/>
      <c r="AQ146" s="1840"/>
      <c r="AR146" s="1840"/>
      <c r="AS146" s="1840"/>
      <c r="AT146" s="1840"/>
      <c r="AU146" s="1840"/>
      <c r="AV146" s="1840"/>
      <c r="AW146" s="1840"/>
      <c r="AX146" s="1840"/>
      <c r="AY146" s="1841"/>
      <c r="AZ146" s="1839"/>
      <c r="BA146" s="1839"/>
      <c r="BB146" s="1839"/>
      <c r="BC146" s="1839"/>
      <c r="BD146" s="1839"/>
      <c r="BE146" s="1839"/>
      <c r="BF146" s="1839"/>
      <c r="BG146" s="1839"/>
      <c r="BH146" s="1839"/>
      <c r="BI146" s="1839"/>
      <c r="BJ146" s="1839"/>
      <c r="BK146" s="1839"/>
      <c r="BL146" s="13"/>
      <c r="BM146" s="69"/>
      <c r="BN146" s="13"/>
      <c r="BO146" s="13"/>
      <c r="BP146" s="13"/>
      <c r="BQ146" s="13"/>
      <c r="BR146" s="13"/>
      <c r="BS146" s="13"/>
      <c r="BT146" s="13"/>
      <c r="BU146" s="13"/>
      <c r="BV146" s="13"/>
      <c r="BW146" s="13"/>
      <c r="BX146" s="13"/>
      <c r="BY146" s="13"/>
      <c r="BZ146" s="13"/>
      <c r="CA146" s="13"/>
      <c r="CB146" s="2072"/>
      <c r="CC146" s="7"/>
      <c r="CD146" s="13"/>
    </row>
    <row r="147" spans="1:82" ht="14.2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324"/>
      <c r="AK147" s="324"/>
      <c r="AL147" s="324"/>
      <c r="AM147" s="324"/>
      <c r="AN147" s="1840"/>
      <c r="AO147" s="1840"/>
      <c r="AP147" s="1840"/>
      <c r="AQ147" s="1840"/>
      <c r="AR147" s="1840"/>
      <c r="AS147" s="1840"/>
      <c r="AT147" s="1840"/>
      <c r="AU147" s="1840"/>
      <c r="AV147" s="1840"/>
      <c r="AW147" s="1840"/>
      <c r="AX147" s="1840"/>
      <c r="AY147" s="1840"/>
      <c r="AZ147" s="1840"/>
      <c r="BA147" s="1840"/>
      <c r="BB147" s="1840"/>
      <c r="BC147" s="1840"/>
      <c r="BD147" s="1840"/>
      <c r="BE147" s="1840"/>
      <c r="BF147" s="1840"/>
      <c r="BG147" s="1840"/>
      <c r="BH147" s="1840"/>
      <c r="BI147" s="1840"/>
      <c r="BJ147" s="1840"/>
      <c r="BK147" s="1840"/>
      <c r="BL147" s="13"/>
      <c r="BM147" s="69"/>
      <c r="BN147" s="69"/>
      <c r="BO147" s="69"/>
      <c r="BP147" s="69"/>
      <c r="BQ147" s="69"/>
      <c r="BR147" s="69"/>
      <c r="BS147" s="69"/>
      <c r="BT147" s="69"/>
      <c r="BU147" s="69"/>
      <c r="BV147" s="69"/>
      <c r="BW147" s="69"/>
      <c r="BX147" s="69"/>
      <c r="BY147" s="7"/>
      <c r="BZ147" s="7"/>
      <c r="CA147" s="7"/>
      <c r="CB147" s="2072"/>
      <c r="CC147" s="10"/>
      <c r="CD147" s="69"/>
    </row>
    <row r="148" spans="1:82" ht="14.25" customHeight="1">
      <c r="A148" s="7"/>
      <c r="B148" s="115"/>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1840"/>
      <c r="AO148" s="1840"/>
      <c r="AP148" s="1840"/>
      <c r="AQ148" s="1840"/>
      <c r="AR148" s="1840"/>
      <c r="AS148" s="1840"/>
      <c r="AT148" s="1840"/>
      <c r="AU148" s="1840"/>
      <c r="AV148" s="1840"/>
      <c r="AW148" s="1840"/>
      <c r="AX148" s="1840"/>
      <c r="AY148" s="1840"/>
      <c r="AZ148" s="1840"/>
      <c r="BA148" s="1840"/>
      <c r="BB148" s="1840"/>
      <c r="BC148" s="1840"/>
      <c r="BD148" s="1840"/>
      <c r="BE148" s="1840"/>
      <c r="BF148" s="1840"/>
      <c r="BG148" s="1840"/>
      <c r="BH148" s="1840"/>
      <c r="BI148" s="1840"/>
      <c r="BJ148" s="1840"/>
      <c r="BK148" s="1840"/>
      <c r="BL148" s="7"/>
      <c r="BM148" s="10"/>
      <c r="BN148" s="10"/>
      <c r="BO148" s="10"/>
      <c r="BP148" s="10"/>
      <c r="BQ148" s="10"/>
      <c r="BR148" s="10"/>
      <c r="BS148" s="10"/>
      <c r="BT148" s="10"/>
      <c r="BU148" s="10"/>
      <c r="BV148" s="10"/>
      <c r="BW148" s="10"/>
      <c r="BX148" s="10"/>
      <c r="BY148" s="7"/>
      <c r="BZ148" s="7"/>
      <c r="CA148" s="7"/>
      <c r="CB148" s="2072"/>
      <c r="CC148" s="10"/>
      <c r="CD148" s="69"/>
    </row>
    <row r="149" spans="1:82" ht="14.2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1840"/>
      <c r="AO149" s="1840"/>
      <c r="AP149" s="1840"/>
      <c r="AQ149" s="1840"/>
      <c r="AR149" s="1840"/>
      <c r="AS149" s="1840"/>
      <c r="AT149" s="1840"/>
      <c r="AU149" s="1840"/>
      <c r="AV149" s="1840"/>
      <c r="AW149" s="1840"/>
      <c r="AX149" s="1840"/>
      <c r="AY149" s="1840"/>
      <c r="AZ149" s="1840"/>
      <c r="BA149" s="1840"/>
      <c r="BB149" s="1840"/>
      <c r="BC149" s="1840"/>
      <c r="BD149" s="1840"/>
      <c r="BE149" s="1840"/>
      <c r="BF149" s="1840"/>
      <c r="BG149" s="1840"/>
      <c r="BH149" s="1840"/>
      <c r="BI149" s="1840"/>
      <c r="BJ149" s="1840"/>
      <c r="BK149" s="1840"/>
      <c r="BL149" s="7"/>
      <c r="BM149" s="10"/>
      <c r="BN149" s="10"/>
      <c r="BO149" s="10"/>
      <c r="BP149" s="10"/>
      <c r="BQ149" s="10"/>
      <c r="BR149" s="10"/>
      <c r="BS149" s="10"/>
      <c r="BT149" s="10"/>
      <c r="BU149" s="10"/>
      <c r="BV149" s="10"/>
      <c r="BW149" s="10"/>
      <c r="BX149" s="10"/>
      <c r="BY149" s="7"/>
      <c r="BZ149" s="7"/>
      <c r="CA149" s="7"/>
      <c r="CB149" s="2072"/>
      <c r="CC149" s="10"/>
      <c r="CD149" s="69"/>
    </row>
    <row r="150" spans="1:82" ht="14.2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c r="AU150" s="7"/>
      <c r="AV150" s="7"/>
      <c r="AW150" s="7"/>
      <c r="AX150" s="7"/>
      <c r="AY150" s="7"/>
      <c r="AZ150" s="7"/>
      <c r="BA150" s="7"/>
      <c r="BB150" s="7"/>
      <c r="BC150" s="7"/>
      <c r="BD150" s="7"/>
      <c r="BE150" s="7"/>
      <c r="BF150" s="7"/>
      <c r="BG150" s="7"/>
      <c r="BH150" s="7"/>
      <c r="BI150" s="7"/>
      <c r="BJ150" s="7"/>
      <c r="BK150" s="7"/>
      <c r="BL150" s="7"/>
      <c r="BM150" s="10"/>
      <c r="BN150" s="10"/>
      <c r="BO150" s="10"/>
      <c r="BP150" s="10"/>
      <c r="BQ150" s="10"/>
      <c r="BR150" s="10"/>
      <c r="BS150" s="10"/>
      <c r="BT150" s="10"/>
      <c r="BU150" s="10"/>
      <c r="BV150" s="10"/>
      <c r="BW150" s="10"/>
      <c r="BX150" s="10"/>
      <c r="BY150" s="7"/>
      <c r="BZ150" s="7"/>
      <c r="CA150" s="7"/>
      <c r="CB150" s="2072"/>
      <c r="CC150" s="10"/>
      <c r="CD150" s="69"/>
    </row>
    <row r="151" spans="1:82" ht="14.2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c r="AU151" s="7"/>
      <c r="AV151" s="7"/>
      <c r="AW151" s="7"/>
      <c r="AX151" s="7"/>
      <c r="AY151" s="7"/>
      <c r="AZ151" s="7"/>
      <c r="BA151" s="7"/>
      <c r="BB151" s="7"/>
      <c r="BC151" s="7"/>
      <c r="BD151" s="7"/>
      <c r="BE151" s="7"/>
      <c r="BF151" s="7"/>
      <c r="BG151" s="7"/>
      <c r="BH151" s="7"/>
      <c r="BI151" s="7"/>
      <c r="BJ151" s="7"/>
      <c r="BK151" s="7"/>
      <c r="BL151" s="7"/>
      <c r="BM151" s="10"/>
      <c r="BN151" s="10"/>
      <c r="BO151" s="10"/>
      <c r="BP151" s="10"/>
      <c r="BQ151" s="10"/>
      <c r="BR151" s="10"/>
      <c r="BS151" s="10"/>
      <c r="BT151" s="10"/>
      <c r="BU151" s="10"/>
      <c r="BV151" s="10"/>
      <c r="BW151" s="10"/>
      <c r="BX151" s="10"/>
      <c r="BY151" s="7"/>
      <c r="BZ151" s="7"/>
      <c r="CA151" s="7"/>
      <c r="CB151" s="2072"/>
      <c r="CC151" s="10"/>
      <c r="CD151" s="69"/>
    </row>
    <row r="152" spans="1:82" ht="14.2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c r="AU152" s="7"/>
      <c r="AV152" s="7"/>
      <c r="AW152" s="7"/>
      <c r="AX152" s="7"/>
      <c r="AY152" s="7"/>
      <c r="AZ152" s="7"/>
      <c r="BA152" s="7"/>
      <c r="BB152" s="7"/>
      <c r="BC152" s="7"/>
      <c r="BD152" s="7"/>
      <c r="BE152" s="7"/>
      <c r="BF152" s="7"/>
      <c r="BG152" s="7"/>
      <c r="BH152" s="7"/>
      <c r="BI152" s="7"/>
      <c r="BJ152" s="7"/>
      <c r="BK152" s="7"/>
      <c r="BL152" s="7"/>
      <c r="BM152" s="10"/>
      <c r="BN152" s="10"/>
      <c r="BO152" s="10"/>
      <c r="BP152" s="10"/>
      <c r="BQ152" s="10"/>
      <c r="BR152" s="10"/>
      <c r="BS152" s="10"/>
      <c r="BT152" s="10"/>
      <c r="BU152" s="10"/>
      <c r="BV152" s="10"/>
      <c r="BW152" s="10"/>
      <c r="BX152" s="10"/>
      <c r="BY152" s="7"/>
      <c r="BZ152" s="7"/>
      <c r="CA152" s="7"/>
      <c r="CB152" s="2072"/>
      <c r="CC152" s="10"/>
      <c r="CD152" s="69"/>
    </row>
    <row r="153" spans="1:82" ht="14.2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c r="AU153" s="7"/>
      <c r="AV153" s="7"/>
      <c r="AW153" s="7"/>
      <c r="AX153" s="7"/>
      <c r="AY153" s="7"/>
      <c r="AZ153" s="7"/>
      <c r="BA153" s="7"/>
      <c r="BB153" s="7"/>
      <c r="BC153" s="7"/>
      <c r="BD153" s="7"/>
      <c r="BE153" s="7"/>
      <c r="BF153" s="7"/>
      <c r="BG153" s="7"/>
      <c r="BH153" s="7"/>
      <c r="BI153" s="7"/>
      <c r="BJ153" s="7"/>
      <c r="BK153" s="7"/>
      <c r="BL153" s="7"/>
      <c r="BM153" s="10"/>
      <c r="BN153" s="10"/>
      <c r="BO153" s="10"/>
      <c r="BP153" s="10"/>
      <c r="BQ153" s="10"/>
      <c r="BR153" s="10"/>
      <c r="BS153" s="10"/>
      <c r="BT153" s="10"/>
      <c r="BU153" s="10"/>
      <c r="BV153" s="10"/>
      <c r="BW153" s="10"/>
      <c r="BX153" s="10"/>
      <c r="BY153" s="7"/>
      <c r="BZ153" s="7"/>
      <c r="CA153" s="7"/>
      <c r="CB153" s="2072"/>
      <c r="CC153" s="10"/>
      <c r="CD153" s="69"/>
    </row>
    <row r="154" spans="1:82" ht="14.2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c r="AU154" s="7"/>
      <c r="AV154" s="7"/>
      <c r="AW154" s="7"/>
      <c r="AX154" s="7"/>
      <c r="AY154" s="7"/>
      <c r="AZ154" s="7"/>
      <c r="BA154" s="7"/>
      <c r="BB154" s="7"/>
      <c r="BC154" s="7"/>
      <c r="BD154" s="7"/>
      <c r="BE154" s="7"/>
      <c r="BF154" s="7"/>
      <c r="BG154" s="7"/>
      <c r="BH154" s="7"/>
      <c r="BI154" s="7"/>
      <c r="BJ154" s="7"/>
      <c r="BK154" s="7"/>
      <c r="BL154" s="7"/>
      <c r="BM154" s="10"/>
      <c r="BN154" s="10"/>
      <c r="BO154" s="10"/>
      <c r="BP154" s="10"/>
      <c r="BQ154" s="10"/>
      <c r="BR154" s="10"/>
      <c r="BS154" s="10"/>
      <c r="BT154" s="10"/>
      <c r="BU154" s="10"/>
      <c r="BV154" s="10"/>
      <c r="BW154" s="10"/>
      <c r="BX154" s="10"/>
      <c r="BY154" s="7"/>
      <c r="BZ154" s="7"/>
      <c r="CA154" s="7"/>
      <c r="CB154" s="2072"/>
      <c r="CC154" s="10"/>
      <c r="CD154" s="69"/>
    </row>
    <row r="155" spans="1:82" ht="14.2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c r="AU155" s="7"/>
      <c r="AV155" s="7"/>
      <c r="AW155" s="7"/>
      <c r="AX155" s="7"/>
      <c r="AY155" s="7"/>
      <c r="AZ155" s="7"/>
      <c r="BA155" s="7"/>
      <c r="BB155" s="7"/>
      <c r="BC155" s="7"/>
      <c r="BD155" s="7"/>
      <c r="BE155" s="7"/>
      <c r="BF155" s="7"/>
      <c r="BG155" s="7"/>
      <c r="BH155" s="7"/>
      <c r="BI155" s="7"/>
      <c r="BJ155" s="7"/>
      <c r="BK155" s="7"/>
      <c r="BL155" s="7"/>
      <c r="BM155" s="10"/>
      <c r="BN155" s="10"/>
      <c r="BO155" s="10"/>
      <c r="BP155" s="10"/>
      <c r="BQ155" s="10"/>
      <c r="BR155" s="10"/>
      <c r="BS155" s="10"/>
      <c r="BT155" s="10"/>
      <c r="BU155" s="10"/>
      <c r="BV155" s="10"/>
      <c r="BW155" s="10"/>
      <c r="BX155" s="10"/>
      <c r="BY155" s="7"/>
      <c r="BZ155" s="7"/>
      <c r="CA155" s="7"/>
      <c r="CB155" s="2072"/>
      <c r="CC155" s="10"/>
      <c r="CD155" s="69"/>
    </row>
    <row r="156" spans="1:82" ht="14.25" customHeight="1">
      <c r="CD156"/>
    </row>
    <row r="157" spans="1:82" ht="14.25" customHeight="1">
      <c r="A157" s="7"/>
      <c r="B157" s="112" t="s">
        <v>65</v>
      </c>
      <c r="C157" s="112"/>
      <c r="D157" s="113" t="s">
        <v>71</v>
      </c>
      <c r="E157" s="113" t="s">
        <v>71</v>
      </c>
      <c r="F157" s="113" t="s">
        <v>71</v>
      </c>
      <c r="G157" s="113" t="s">
        <v>71</v>
      </c>
      <c r="H157" s="113" t="s">
        <v>71</v>
      </c>
      <c r="I157" s="113" t="s">
        <v>71</v>
      </c>
      <c r="J157" s="113" t="s">
        <v>71</v>
      </c>
      <c r="K157" s="113" t="s">
        <v>71</v>
      </c>
      <c r="L157" s="113" t="s">
        <v>71</v>
      </c>
      <c r="M157" s="113" t="s">
        <v>71</v>
      </c>
      <c r="N157" s="113" t="s">
        <v>71</v>
      </c>
      <c r="O157" s="113" t="s">
        <v>71</v>
      </c>
      <c r="P157" s="113" t="s">
        <v>71</v>
      </c>
      <c r="Q157" s="113" t="s">
        <v>71</v>
      </c>
      <c r="R157" s="113" t="s">
        <v>71</v>
      </c>
      <c r="S157" s="113" t="s">
        <v>71</v>
      </c>
      <c r="T157" s="113" t="s">
        <v>71</v>
      </c>
      <c r="U157" s="113" t="s">
        <v>71</v>
      </c>
      <c r="V157" s="113" t="s">
        <v>71</v>
      </c>
      <c r="W157" s="113" t="s">
        <v>71</v>
      </c>
      <c r="X157" s="113" t="s">
        <v>71</v>
      </c>
      <c r="Y157" s="113" t="s">
        <v>71</v>
      </c>
      <c r="Z157" s="113" t="s">
        <v>71</v>
      </c>
      <c r="AA157" s="113" t="s">
        <v>71</v>
      </c>
      <c r="AB157" s="113" t="s">
        <v>71</v>
      </c>
      <c r="AC157" s="113" t="e">
        <f t="shared" ref="AC157:AM157" si="752">VLOOKUP(AC156,ValidDateTable,4,FALSE)</f>
        <v>#NAME?</v>
      </c>
      <c r="AD157" s="113" t="e">
        <f t="shared" si="752"/>
        <v>#NAME?</v>
      </c>
      <c r="AE157" s="113" t="e">
        <f t="shared" si="752"/>
        <v>#NAME?</v>
      </c>
      <c r="AF157" s="113" t="e">
        <f t="shared" si="752"/>
        <v>#NAME?</v>
      </c>
      <c r="AG157" s="113" t="e">
        <f t="shared" si="752"/>
        <v>#NAME?</v>
      </c>
      <c r="AH157" s="113" t="e">
        <f t="shared" si="752"/>
        <v>#NAME?</v>
      </c>
      <c r="AI157" s="113" t="e">
        <f t="shared" si="752"/>
        <v>#NAME?</v>
      </c>
      <c r="AJ157" s="113" t="e">
        <f t="shared" si="752"/>
        <v>#NAME?</v>
      </c>
      <c r="AK157" s="113" t="e">
        <f t="shared" si="752"/>
        <v>#NAME?</v>
      </c>
      <c r="AL157" s="113" t="e">
        <f t="shared" si="752"/>
        <v>#NAME?</v>
      </c>
      <c r="AM157" s="113" t="e">
        <f t="shared" si="752"/>
        <v>#NAME?</v>
      </c>
      <c r="AN157" s="113" t="e">
        <f t="shared" ref="AN157:AU157" si="753">VLOOKUP(AN156,ValidDateTable,4,FALSE)</f>
        <v>#NAME?</v>
      </c>
      <c r="AO157" s="113" t="e">
        <f t="shared" si="753"/>
        <v>#NAME?</v>
      </c>
      <c r="AP157" s="113" t="e">
        <f t="shared" si="753"/>
        <v>#NAME?</v>
      </c>
      <c r="AQ157" s="113" t="e">
        <f t="shared" si="753"/>
        <v>#NAME?</v>
      </c>
      <c r="AR157" s="113" t="e">
        <f>VLOOKUP(AR156,ValidDateTable,4,FALSE)</f>
        <v>#NAME?</v>
      </c>
      <c r="AS157" s="113" t="e">
        <f t="shared" si="753"/>
        <v>#NAME?</v>
      </c>
      <c r="AT157" s="113" t="e">
        <f t="shared" si="753"/>
        <v>#NAME?</v>
      </c>
      <c r="AU157" s="113" t="e">
        <f t="shared" si="753"/>
        <v>#NAME?</v>
      </c>
      <c r="AV157" s="113" t="e">
        <f t="shared" ref="AV157:AY157" si="754">VLOOKUP(AV156,ValidDateTable,4,FALSE)</f>
        <v>#NAME?</v>
      </c>
      <c r="AW157" s="113" t="e">
        <f t="shared" si="754"/>
        <v>#NAME?</v>
      </c>
      <c r="AX157" s="113" t="e">
        <f t="shared" si="754"/>
        <v>#NAME?</v>
      </c>
      <c r="AY157" s="113" t="e">
        <f t="shared" si="754"/>
        <v>#NAME?</v>
      </c>
      <c r="AZ157" s="113" t="e">
        <f t="shared" ref="AZ157:BC157" si="755">VLOOKUP(AZ156,ValidDateTable,4,FALSE)</f>
        <v>#NAME?</v>
      </c>
      <c r="BA157" s="113" t="e">
        <f t="shared" si="755"/>
        <v>#NAME?</v>
      </c>
      <c r="BB157" s="113" t="e">
        <f t="shared" ref="BB157" si="756">VLOOKUP(BB156,ValidDateTable,4,FALSE)</f>
        <v>#NAME?</v>
      </c>
      <c r="BC157" s="113" t="e">
        <f t="shared" si="755"/>
        <v>#NAME?</v>
      </c>
      <c r="BD157" s="113" t="e">
        <f t="shared" ref="BD157:BG157" si="757">VLOOKUP(BD156,ValidDateTable,4,FALSE)</f>
        <v>#NAME?</v>
      </c>
      <c r="BE157" s="113" t="e">
        <f t="shared" si="757"/>
        <v>#NAME?</v>
      </c>
      <c r="BF157" s="113" t="e">
        <f t="shared" si="757"/>
        <v>#NAME?</v>
      </c>
      <c r="BG157" s="113" t="e">
        <f t="shared" si="757"/>
        <v>#NAME?</v>
      </c>
      <c r="BH157" s="113" t="e">
        <f t="shared" ref="BH157:BK157" si="758">VLOOKUP(BH156,ValidDateTable,4,FALSE)</f>
        <v>#NAME?</v>
      </c>
      <c r="BI157" s="113" t="e">
        <f t="shared" si="758"/>
        <v>#NAME?</v>
      </c>
      <c r="BJ157" s="113" t="e">
        <f t="shared" si="758"/>
        <v>#NAME?</v>
      </c>
      <c r="BK157" s="113" t="e">
        <f t="shared" si="758"/>
        <v>#NAME?</v>
      </c>
      <c r="BL157" s="7"/>
      <c r="BM157" s="10" t="e">
        <f>VLOOKUP(BM156,ValidDateTable,4,FALSE)</f>
        <v>#NAME?</v>
      </c>
      <c r="BN157" s="7" t="e">
        <f>VLOOKUP(BN156,ValidDateTable,4,FALSE)</f>
        <v>#NAME?</v>
      </c>
      <c r="BO157" s="7" t="e">
        <f>VLOOKUP(BO156,ValidDateTable,4,FALSE)</f>
        <v>#NAME?</v>
      </c>
      <c r="BP157" s="7" t="e">
        <f>VLOOKUP(BP156,ValidDateTable,4,FALSE)</f>
        <v>#NAME?</v>
      </c>
      <c r="BQ157" s="7" t="e">
        <f>VLOOKUP(BQ156,ValidDateTable,4,FALSE)</f>
        <v>#NAME?</v>
      </c>
      <c r="BR157" s="7" t="e">
        <f t="shared" ref="BR157:CA157" si="759">VLOOKUP(BR156,ValidDateTable,4,FALSE)</f>
        <v>#NAME?</v>
      </c>
      <c r="BS157" s="7" t="e">
        <f t="shared" si="759"/>
        <v>#NAME?</v>
      </c>
      <c r="BT157" s="7" t="e">
        <f t="shared" si="759"/>
        <v>#NAME?</v>
      </c>
      <c r="BU157" s="7" t="e">
        <f t="shared" si="759"/>
        <v>#NAME?</v>
      </c>
      <c r="BV157" s="7" t="e">
        <f t="shared" si="759"/>
        <v>#NAME?</v>
      </c>
      <c r="BW157" s="7" t="e">
        <f t="shared" si="759"/>
        <v>#NAME?</v>
      </c>
      <c r="BX157" s="7" t="e">
        <f t="shared" si="759"/>
        <v>#NAME?</v>
      </c>
      <c r="BY157" s="7" t="e">
        <f t="shared" si="759"/>
        <v>#NAME?</v>
      </c>
      <c r="BZ157" s="7" t="e">
        <f t="shared" si="759"/>
        <v>#NAME?</v>
      </c>
      <c r="CA157" s="7" t="e">
        <f t="shared" si="759"/>
        <v>#NAME?</v>
      </c>
      <c r="CB157" s="2072" t="e">
        <f t="shared" ref="CB157" si="760">VLOOKUP(CB156,ValidDateTable,4,FALSE)</f>
        <v>#NAME?</v>
      </c>
      <c r="CC157" s="7"/>
      <c r="CD157" s="13"/>
    </row>
    <row r="158" spans="1:82" ht="14.25" customHeight="1">
      <c r="A158" s="7"/>
      <c r="B158" s="112" t="s">
        <v>66</v>
      </c>
      <c r="C158" s="112"/>
      <c r="D158" s="7">
        <v>2005</v>
      </c>
      <c r="E158" s="7">
        <v>2005</v>
      </c>
      <c r="F158" s="7">
        <v>2005</v>
      </c>
      <c r="G158" s="7">
        <v>2005</v>
      </c>
      <c r="H158" s="7">
        <v>2006</v>
      </c>
      <c r="I158" s="7">
        <v>2006</v>
      </c>
      <c r="J158" s="7">
        <v>2006</v>
      </c>
      <c r="K158" s="7">
        <v>2006</v>
      </c>
      <c r="L158" s="7">
        <v>2007</v>
      </c>
      <c r="M158" s="7">
        <v>2007</v>
      </c>
      <c r="N158" s="7">
        <v>2007</v>
      </c>
      <c r="O158" s="7">
        <v>2007</v>
      </c>
      <c r="P158" s="7">
        <v>2008</v>
      </c>
      <c r="Q158" s="7">
        <v>2008</v>
      </c>
      <c r="R158" s="7">
        <v>2008</v>
      </c>
      <c r="S158" s="7">
        <v>2008</v>
      </c>
      <c r="T158" s="7">
        <v>2009</v>
      </c>
      <c r="U158" s="7">
        <v>2009</v>
      </c>
      <c r="V158" s="7">
        <v>2009</v>
      </c>
      <c r="W158" s="7">
        <v>2009</v>
      </c>
      <c r="X158" s="7">
        <v>2010</v>
      </c>
      <c r="Y158" s="7">
        <v>2010</v>
      </c>
      <c r="Z158" s="7">
        <v>2010</v>
      </c>
      <c r="AA158" s="7">
        <v>2010</v>
      </c>
      <c r="AB158" s="7">
        <v>2011</v>
      </c>
      <c r="AC158" s="7">
        <v>2011</v>
      </c>
      <c r="AD158" s="7">
        <v>2011</v>
      </c>
      <c r="AE158" s="7">
        <v>2011</v>
      </c>
      <c r="AF158" s="7">
        <v>2012</v>
      </c>
      <c r="AG158" s="7">
        <v>2012</v>
      </c>
      <c r="AH158" s="7">
        <v>2012</v>
      </c>
      <c r="AI158" s="7">
        <v>2012</v>
      </c>
      <c r="AJ158" s="7">
        <v>2013</v>
      </c>
      <c r="AK158" s="7">
        <v>2013</v>
      </c>
      <c r="AL158" s="7">
        <v>2013</v>
      </c>
      <c r="AM158" s="7">
        <v>2013</v>
      </c>
      <c r="AN158" s="7">
        <v>2014</v>
      </c>
      <c r="AO158" s="7">
        <v>2014</v>
      </c>
      <c r="AP158" s="7">
        <v>2014</v>
      </c>
      <c r="AQ158" s="7">
        <v>2014</v>
      </c>
      <c r="AR158" s="7">
        <v>2015</v>
      </c>
      <c r="AS158" s="7">
        <v>2015</v>
      </c>
      <c r="AT158" s="7">
        <v>2015</v>
      </c>
      <c r="AU158" s="7">
        <v>2015</v>
      </c>
      <c r="AV158" s="7">
        <v>2016</v>
      </c>
      <c r="AW158" s="7">
        <v>2016</v>
      </c>
      <c r="AX158" s="7">
        <v>2016</v>
      </c>
      <c r="AY158" s="7">
        <v>2016</v>
      </c>
      <c r="AZ158" s="7">
        <v>2017</v>
      </c>
      <c r="BA158" s="7">
        <v>2017</v>
      </c>
      <c r="BB158" s="7">
        <v>2017</v>
      </c>
      <c r="BC158" s="7">
        <v>2017</v>
      </c>
      <c r="BD158" s="7">
        <v>2018</v>
      </c>
      <c r="BE158" s="7">
        <v>2018</v>
      </c>
      <c r="BF158" s="7">
        <v>2018</v>
      </c>
      <c r="BG158" s="7">
        <v>2018</v>
      </c>
      <c r="BH158" s="7">
        <v>2019</v>
      </c>
      <c r="BI158" s="7">
        <v>2019</v>
      </c>
      <c r="BJ158" s="7">
        <v>2019</v>
      </c>
      <c r="BK158" s="7">
        <v>2019</v>
      </c>
      <c r="BL158" s="7"/>
      <c r="BM158" s="10"/>
      <c r="BN158" s="7"/>
      <c r="BO158" s="7"/>
      <c r="BP158" s="7"/>
      <c r="BQ158" s="7"/>
      <c r="BR158" s="7"/>
      <c r="BS158" s="7"/>
      <c r="BT158" s="7"/>
      <c r="BU158" s="7"/>
      <c r="BV158" s="7"/>
      <c r="BW158" s="7"/>
      <c r="BX158" s="7"/>
      <c r="BY158" s="7"/>
      <c r="BZ158" s="7"/>
      <c r="CA158" s="7"/>
      <c r="CB158" s="2072"/>
      <c r="CC158" s="7"/>
      <c r="CD158" s="13"/>
    </row>
    <row r="159" spans="1:82" ht="14.25" customHeight="1">
      <c r="A159" s="7"/>
      <c r="B159" s="112" t="s">
        <v>67</v>
      </c>
      <c r="C159" s="112"/>
      <c r="D159" s="7">
        <v>1</v>
      </c>
      <c r="E159" s="7">
        <v>2</v>
      </c>
      <c r="F159" s="7">
        <v>3</v>
      </c>
      <c r="G159" s="7">
        <v>4</v>
      </c>
      <c r="H159" s="7">
        <v>1</v>
      </c>
      <c r="I159" s="7">
        <v>2</v>
      </c>
      <c r="J159" s="7">
        <v>3</v>
      </c>
      <c r="K159" s="7">
        <v>4</v>
      </c>
      <c r="L159" s="7">
        <v>1</v>
      </c>
      <c r="M159" s="7">
        <v>2</v>
      </c>
      <c r="N159" s="7">
        <v>3</v>
      </c>
      <c r="O159" s="7">
        <v>4</v>
      </c>
      <c r="P159" s="7">
        <v>1</v>
      </c>
      <c r="Q159" s="7">
        <v>2</v>
      </c>
      <c r="R159" s="7">
        <v>3</v>
      </c>
      <c r="S159" s="7">
        <v>4</v>
      </c>
      <c r="T159" s="7">
        <v>1</v>
      </c>
      <c r="U159" s="7">
        <v>2</v>
      </c>
      <c r="V159" s="7">
        <v>3</v>
      </c>
      <c r="W159" s="7">
        <v>4</v>
      </c>
      <c r="X159" s="7">
        <v>1</v>
      </c>
      <c r="Y159" s="7">
        <v>2</v>
      </c>
      <c r="Z159" s="7">
        <v>3</v>
      </c>
      <c r="AA159" s="7">
        <v>4</v>
      </c>
      <c r="AB159" s="7">
        <v>1</v>
      </c>
      <c r="AC159" s="7">
        <v>2</v>
      </c>
      <c r="AD159" s="7">
        <v>3</v>
      </c>
      <c r="AE159" s="7">
        <v>4</v>
      </c>
      <c r="AF159" s="7">
        <v>1</v>
      </c>
      <c r="AG159" s="7">
        <v>2</v>
      </c>
      <c r="AH159" s="7">
        <v>3</v>
      </c>
      <c r="AI159" s="7">
        <v>4</v>
      </c>
      <c r="AJ159" s="7">
        <v>1</v>
      </c>
      <c r="AK159" s="7">
        <v>2</v>
      </c>
      <c r="AL159" s="7">
        <v>3</v>
      </c>
      <c r="AM159" s="7">
        <v>4</v>
      </c>
      <c r="AN159" s="7">
        <v>1</v>
      </c>
      <c r="AO159" s="7">
        <v>2</v>
      </c>
      <c r="AP159" s="7">
        <v>3</v>
      </c>
      <c r="AQ159" s="7">
        <v>4</v>
      </c>
      <c r="AR159" s="7">
        <v>1</v>
      </c>
      <c r="AS159" s="7">
        <v>2</v>
      </c>
      <c r="AT159" s="7">
        <v>3</v>
      </c>
      <c r="AU159" s="7">
        <v>4</v>
      </c>
      <c r="AV159" s="7">
        <v>1</v>
      </c>
      <c r="AW159" s="7">
        <v>2</v>
      </c>
      <c r="AX159" s="7">
        <v>3</v>
      </c>
      <c r="AY159" s="7">
        <v>4</v>
      </c>
      <c r="AZ159" s="7">
        <v>1</v>
      </c>
      <c r="BA159" s="7">
        <v>2</v>
      </c>
      <c r="BB159" s="7">
        <v>2</v>
      </c>
      <c r="BC159" s="7">
        <v>4</v>
      </c>
      <c r="BD159" s="7">
        <v>1</v>
      </c>
      <c r="BE159" s="7">
        <v>2</v>
      </c>
      <c r="BF159" s="7">
        <v>3</v>
      </c>
      <c r="BG159" s="7">
        <v>4</v>
      </c>
      <c r="BH159" s="7">
        <v>1</v>
      </c>
      <c r="BI159" s="7">
        <v>2</v>
      </c>
      <c r="BJ159" s="7">
        <v>3</v>
      </c>
      <c r="BK159" s="7">
        <v>4</v>
      </c>
      <c r="BL159" s="7"/>
      <c r="BM159" s="10"/>
      <c r="BN159" s="7"/>
      <c r="BO159" s="7"/>
      <c r="BP159" s="7"/>
      <c r="BQ159" s="7"/>
      <c r="BR159" s="7"/>
      <c r="BS159" s="7"/>
      <c r="BT159" s="7"/>
      <c r="BU159" s="7"/>
      <c r="BV159" s="7"/>
      <c r="BW159" s="7"/>
      <c r="BX159" s="7"/>
      <c r="BY159" s="7"/>
      <c r="BZ159" s="7"/>
      <c r="CA159" s="7"/>
      <c r="CB159" s="2072"/>
      <c r="CC159" s="7"/>
      <c r="CD159" s="13"/>
    </row>
    <row r="160" spans="1:82" ht="14.25" customHeight="1" outlineLevel="1">
      <c r="A160" s="7"/>
      <c r="B160" s="112" t="s">
        <v>68</v>
      </c>
      <c r="C160" s="112"/>
      <c r="D160" s="7">
        <v>2005</v>
      </c>
      <c r="E160" s="7">
        <v>2005</v>
      </c>
      <c r="F160" s="7">
        <v>2005</v>
      </c>
      <c r="G160" s="7">
        <v>2005</v>
      </c>
      <c r="H160" s="7">
        <v>2006</v>
      </c>
      <c r="I160" s="7">
        <v>2006</v>
      </c>
      <c r="J160" s="7">
        <v>2006</v>
      </c>
      <c r="K160" s="7">
        <v>2006</v>
      </c>
      <c r="L160" s="7">
        <v>2007</v>
      </c>
      <c r="M160" s="7">
        <v>2007</v>
      </c>
      <c r="N160" s="7">
        <v>2007</v>
      </c>
      <c r="O160" s="7">
        <v>2007</v>
      </c>
      <c r="P160" s="7">
        <v>2008</v>
      </c>
      <c r="Q160" s="7">
        <v>2008</v>
      </c>
      <c r="R160" s="7">
        <v>2008</v>
      </c>
      <c r="S160" s="7">
        <v>2008</v>
      </c>
      <c r="T160" s="7">
        <v>2009</v>
      </c>
      <c r="U160" s="7">
        <v>2009</v>
      </c>
      <c r="V160" s="7">
        <v>2009</v>
      </c>
      <c r="W160" s="7">
        <v>2009</v>
      </c>
      <c r="X160" s="7">
        <v>2010</v>
      </c>
      <c r="Y160" s="7">
        <v>2010</v>
      </c>
      <c r="Z160" s="7">
        <v>2010</v>
      </c>
      <c r="AA160" s="7">
        <v>2010</v>
      </c>
      <c r="AB160" s="7">
        <v>2011</v>
      </c>
      <c r="AC160" s="7">
        <v>2011</v>
      </c>
      <c r="AD160" s="7">
        <v>2011</v>
      </c>
      <c r="AE160" s="7">
        <v>2011</v>
      </c>
      <c r="AF160" s="7">
        <v>2012</v>
      </c>
      <c r="AG160" s="7">
        <v>2012</v>
      </c>
      <c r="AH160" s="7">
        <v>2012</v>
      </c>
      <c r="AI160" s="7">
        <v>2012</v>
      </c>
      <c r="AJ160" s="7">
        <v>2013</v>
      </c>
      <c r="AK160" s="7">
        <v>2013</v>
      </c>
      <c r="AL160" s="7">
        <v>2013</v>
      </c>
      <c r="AM160" s="7">
        <v>2013</v>
      </c>
      <c r="AN160" s="7">
        <v>2013</v>
      </c>
      <c r="AO160" s="7"/>
      <c r="AP160" s="7"/>
      <c r="AQ160" s="7"/>
      <c r="AR160" s="7"/>
      <c r="AS160" s="7"/>
      <c r="AT160" s="7"/>
      <c r="AU160" s="7"/>
      <c r="AV160" s="7"/>
      <c r="AW160" s="7"/>
      <c r="AX160" s="7"/>
      <c r="AY160" s="7"/>
      <c r="AZ160" s="7"/>
      <c r="BA160" s="7"/>
      <c r="BB160" s="7"/>
      <c r="BC160" s="7"/>
      <c r="BD160" s="7"/>
      <c r="BE160" s="7"/>
      <c r="BF160" s="7"/>
      <c r="BG160" s="7"/>
      <c r="BH160" s="7"/>
      <c r="BI160" s="7"/>
      <c r="BJ160" s="7"/>
      <c r="BK160" s="7"/>
      <c r="BL160" s="7"/>
      <c r="BM160" s="10"/>
      <c r="BN160" s="7"/>
      <c r="BO160" s="7"/>
      <c r="BP160" s="7"/>
      <c r="BQ160" s="7"/>
      <c r="BR160" s="7"/>
      <c r="BS160" s="7"/>
      <c r="BT160" s="7"/>
      <c r="BU160" s="7"/>
      <c r="BV160" s="7"/>
      <c r="BW160" s="7"/>
      <c r="BX160" s="7"/>
      <c r="BY160" s="7"/>
      <c r="BZ160" s="7"/>
      <c r="CA160" s="7"/>
      <c r="CB160" s="2072"/>
      <c r="CC160" s="7"/>
      <c r="CD160" s="13"/>
    </row>
    <row r="161" spans="1:82" ht="14.25" customHeight="1" outlineLevel="1">
      <c r="A161" s="7"/>
      <c r="B161" s="112" t="s">
        <v>69</v>
      </c>
      <c r="C161" s="112"/>
      <c r="D161" s="7">
        <v>1</v>
      </c>
      <c r="E161" s="7">
        <v>2</v>
      </c>
      <c r="F161" s="7">
        <v>3</v>
      </c>
      <c r="G161" s="7">
        <v>4</v>
      </c>
      <c r="H161" s="7">
        <v>1</v>
      </c>
      <c r="I161" s="7">
        <v>2</v>
      </c>
      <c r="J161" s="7">
        <v>3</v>
      </c>
      <c r="K161" s="7">
        <v>4</v>
      </c>
      <c r="L161" s="7">
        <v>1</v>
      </c>
      <c r="M161" s="7">
        <v>2</v>
      </c>
      <c r="N161" s="7">
        <v>3</v>
      </c>
      <c r="O161" s="7">
        <v>4</v>
      </c>
      <c r="P161" s="7">
        <v>1</v>
      </c>
      <c r="Q161" s="7">
        <v>2</v>
      </c>
      <c r="R161" s="7">
        <v>3</v>
      </c>
      <c r="S161" s="7">
        <v>4</v>
      </c>
      <c r="T161" s="7">
        <v>1</v>
      </c>
      <c r="U161" s="7">
        <v>2</v>
      </c>
      <c r="V161" s="7">
        <v>3</v>
      </c>
      <c r="W161" s="7">
        <v>4</v>
      </c>
      <c r="X161" s="7">
        <v>1</v>
      </c>
      <c r="Y161" s="7">
        <v>2</v>
      </c>
      <c r="Z161" s="7">
        <v>3</v>
      </c>
      <c r="AA161" s="7">
        <v>4</v>
      </c>
      <c r="AB161" s="7">
        <v>1</v>
      </c>
      <c r="AC161" s="7">
        <v>2</v>
      </c>
      <c r="AD161" s="7">
        <v>3</v>
      </c>
      <c r="AE161" s="7">
        <v>4</v>
      </c>
      <c r="AF161" s="7">
        <v>1</v>
      </c>
      <c r="AG161" s="7">
        <v>2</v>
      </c>
      <c r="AH161" s="7">
        <v>3</v>
      </c>
      <c r="AI161" s="7">
        <v>4</v>
      </c>
      <c r="AJ161" s="7">
        <v>1</v>
      </c>
      <c r="AK161" s="7">
        <v>2</v>
      </c>
      <c r="AL161" s="7">
        <v>3</v>
      </c>
      <c r="AM161" s="7">
        <v>4</v>
      </c>
      <c r="AN161" s="7">
        <v>1</v>
      </c>
      <c r="AO161" s="7"/>
      <c r="AP161" s="7"/>
      <c r="AQ161" s="7"/>
      <c r="AR161" s="7"/>
      <c r="AS161" s="7"/>
      <c r="AT161" s="7"/>
      <c r="AU161" s="7"/>
      <c r="AV161" s="7"/>
      <c r="AW161" s="7"/>
      <c r="AX161" s="7"/>
      <c r="AY161" s="7"/>
      <c r="AZ161" s="7"/>
      <c r="BA161" s="7"/>
      <c r="BB161" s="7"/>
      <c r="BC161" s="7"/>
      <c r="BD161" s="7"/>
      <c r="BE161" s="7"/>
      <c r="BF161" s="7"/>
      <c r="BG161" s="7"/>
      <c r="BH161" s="7"/>
      <c r="BI161" s="7"/>
      <c r="BJ161" s="7"/>
      <c r="BK161" s="7"/>
      <c r="BL161" s="7"/>
      <c r="BM161" s="10"/>
      <c r="BN161" s="7"/>
      <c r="BO161" s="7"/>
      <c r="BP161" s="7"/>
      <c r="BQ161" s="7"/>
      <c r="BR161" s="7"/>
      <c r="BS161" s="7"/>
      <c r="BT161" s="7"/>
      <c r="BU161" s="7"/>
      <c r="BV161" s="7"/>
      <c r="BW161" s="7"/>
      <c r="BX161" s="7"/>
      <c r="BY161" s="7"/>
      <c r="BZ161" s="7"/>
      <c r="CA161" s="7"/>
      <c r="CB161" s="2072"/>
      <c r="CC161" s="7"/>
      <c r="CD161" s="13"/>
    </row>
    <row r="162" spans="1:82" ht="14.2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5"/>
      <c r="BN162" s="1"/>
      <c r="BO162" s="1"/>
      <c r="BP162" s="1"/>
      <c r="BQ162" s="1"/>
      <c r="BR162" s="1"/>
      <c r="BS162" s="1"/>
      <c r="BT162" s="1"/>
      <c r="BU162" s="1"/>
      <c r="BV162" s="1"/>
      <c r="BW162" s="1"/>
      <c r="BX162" s="1"/>
      <c r="BY162" s="1"/>
      <c r="BZ162" s="1"/>
      <c r="CA162" s="1"/>
      <c r="CB162" s="2099"/>
      <c r="CC162" s="1"/>
      <c r="CD162" s="190"/>
    </row>
  </sheetData>
  <phoneticPr fontId="31" type="noConversion"/>
  <pageMargins left="0" right="0" top="0" bottom="0" header="0" footer="0"/>
  <pageSetup paperSize="5" scale="58" orientation="landscape" r:id="rId1"/>
  <headerFooter alignWithMargins="0"/>
  <rowBreaks count="1" manualBreakCount="1">
    <brk id="113" max="52" man="1"/>
  </rowBreaks>
  <ignoredErrors>
    <ignoredError sqref="BW157:CA162 BQ157 BW152:CA155 BW146:CA147" formula="1"/>
    <ignoredError sqref="N86:W88 AB102:AD103 BL98:BL101 X95 X94:AB94 BM102:BS103 AC86:AC88 K49:K51 AB99:AB100 B86:B87 X102:AA103 AC98:AD100 BM86:BS88 AB86:AB87 B106:C106 S50 O99 BY95:BY96 BY98:BY101 BM95:BS96 X98:AB98 AD86:AD87 C99:C100 AJ103 BT98:BT101 M86:M87 C94:K94 C91:C92 AE48 B98:V98 C86:L88 AG103 BT103 T94:V94 B102:V103 C95:V96 B96 AC94:AD96 AG98:AH101 AJ98:AJ101 B101:V101 X99:AA101 BM98:BS101 AB101:AD101" formulaRange="1"/>
    <ignoredError sqref="BR157:BV162 X162:AL162 AI153:AL155 BQ158:BQ162 BQ152:BV155 X86:AA88 Y95:AB96 X96 AG96 AC145:AD147 B27 C80:AD80 BY86:BY88 X32:AD32 BR74 AG39:AH39 C42:V42 C29:AD30 B85:C85 X42:AD42 B63 AC65:AD66 BL67:BL69 BT37:BT40 BN40:BS40 BT28:BT30 BU37:BU39 B54 BU9 BL35:BL40 BL102:BL103 D11:AD13 BT95:BU96 BY29 AH95:AH96 BT86:BU88 AJ95:AJ96 BL94:BL96 BL106 AJ65 BU68 BY27 BU28:BU29 AB145:AB147 BM4:BQ4 D3:AD3 BY11 AG32:AH32 BU13 BL79:BT80 AG42:AH42 AJ82 B37 C82 BS21:BT21 C79 BT102:BU102 AG11:AH13 S65:AA66 C3:C6 BU79 B13 C32:V32 AE146:AE147 X145:AA147 AJ42 B65 BL32:BU32 AG57:AH57 B74 BO54:BT55 C74:AD75 AB88 AH59:AH60 BL73 AB65 B73:C73 AG60 BN54 C59:AD60 BL21 C20:AD21 BM20:BQ21 AJ102 C27:C28 D27:AD27 BN27:BS30 BT27:BU27 B77:L77 BL18 B18:C18 BM9:BS9 AJ86:AJ88 AJ32 BM13:BT14 BL91:BL92 C39:AD40 D37:AD37 AJ63 B6 AJ77 BM29 BM69:BP69 BM37:BS39 BQ68:BS68 BY37 BM27 N77:AC77 C35:C38 B35 BY74:BY75 D48:Y48 D65:I66 AA48:AC48 BU49:BU51 D63:AD63 BN49:BP51 J65:R65 BU74:BU75 BT74 BO59:BT60 AJ29 BL59:BM60 BN60 BL74:BQ75 BS74:BS75 BM63:BS63 AG51:AH51 BM65:BU65 AJ51 BQ48:BT51 AG77:AH77 AG37:AH37 AG63:AH63 AG65:AH65 AH82 AG102:AH102 AG29:AH29 AG86:AH88 AJ11:AJ12 AF145:AH147 X152:AH155 BL4:BL6 BL153:BL155 BU60 X159:AL159 BL25:BL30 B25:C26 BL57:BN57 AJ57 B57:AD57 BP57:BT57 BU54 C63:C69 BL63:BL65 C45:C46 BL45:BL46 BY57 BY55 BY102 B53:C53 BL53 C9:C14 BL10:BL14 BL77 BM5:BN5 C16 BL16:BU16 BL42:BU42 BL48:BL51 C54:AD55 AJ54:AJ55 BL54:BM55 AG54:AH55 BY59:BY60 AJ59:AJ60 AG74:AH75 AJ74:AJ75 BL85:BL88 BL82:BU82 C48:C51 BY13 BY65 BY54 BM11:BS11 BL157:BL162" formula="1" formulaRange="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B2"/>
  <sheetViews>
    <sheetView workbookViewId="0"/>
  </sheetViews>
  <sheetFormatPr defaultRowHeight="12.75"/>
  <sheetData>
    <row r="1" spans="1:54">
      <c r="A1" t="s">
        <v>536</v>
      </c>
    </row>
    <row r="2" spans="1:54">
      <c r="A2" s="286" t="s">
        <v>379</v>
      </c>
      <c r="B2" s="286" t="s">
        <v>185</v>
      </c>
      <c r="C2" s="286" t="s">
        <v>380</v>
      </c>
      <c r="D2" s="286" t="s">
        <v>185</v>
      </c>
      <c r="E2" s="286" t="s">
        <v>534</v>
      </c>
      <c r="F2" s="286" t="s">
        <v>649</v>
      </c>
      <c r="G2" s="286" t="s">
        <v>383</v>
      </c>
      <c r="H2" s="286" t="s">
        <v>185</v>
      </c>
      <c r="I2" s="286" t="s">
        <v>378</v>
      </c>
      <c r="J2" s="286" t="s">
        <v>185</v>
      </c>
      <c r="K2" s="286" t="s">
        <v>162</v>
      </c>
      <c r="L2" s="286" t="s">
        <v>180</v>
      </c>
      <c r="M2" s="286" t="s">
        <v>382</v>
      </c>
      <c r="N2" s="286" t="s">
        <v>185</v>
      </c>
      <c r="O2" s="286" t="s">
        <v>276</v>
      </c>
      <c r="P2" s="286" t="s">
        <v>185</v>
      </c>
      <c r="Q2" s="286" t="s">
        <v>231</v>
      </c>
      <c r="R2" s="286" t="s">
        <v>397</v>
      </c>
      <c r="S2" s="286" t="s">
        <v>232</v>
      </c>
      <c r="T2" s="286" t="s">
        <v>70</v>
      </c>
      <c r="U2" s="286" t="s">
        <v>211</v>
      </c>
      <c r="V2" s="286" t="s">
        <v>185</v>
      </c>
      <c r="W2" s="286" t="s">
        <v>376</v>
      </c>
      <c r="X2" s="286" t="s">
        <v>185</v>
      </c>
      <c r="Y2" s="286" t="s">
        <v>273</v>
      </c>
      <c r="Z2" s="286" t="s">
        <v>185</v>
      </c>
      <c r="AA2" s="286" t="s">
        <v>381</v>
      </c>
      <c r="AB2" s="286" t="s">
        <v>185</v>
      </c>
      <c r="AC2" s="286" t="s">
        <v>210</v>
      </c>
      <c r="AD2" s="286" t="s">
        <v>185</v>
      </c>
      <c r="AE2" s="286" t="s">
        <v>230</v>
      </c>
      <c r="AF2" s="286" t="s">
        <v>501</v>
      </c>
      <c r="AG2" s="286" t="s">
        <v>183</v>
      </c>
      <c r="AH2" s="286" t="s">
        <v>185</v>
      </c>
      <c r="AI2" s="286" t="s">
        <v>275</v>
      </c>
      <c r="AJ2" s="286" t="s">
        <v>185</v>
      </c>
      <c r="AK2" s="286" t="s">
        <v>163</v>
      </c>
      <c r="AL2" s="286" t="s">
        <v>70</v>
      </c>
      <c r="AM2" s="286" t="s">
        <v>533</v>
      </c>
      <c r="AN2" s="286" t="s">
        <v>397</v>
      </c>
      <c r="AO2" s="286" t="s">
        <v>164</v>
      </c>
      <c r="AP2" s="286" t="s">
        <v>181</v>
      </c>
      <c r="AQ2" s="286" t="s">
        <v>535</v>
      </c>
      <c r="AR2" s="286" t="s">
        <v>70</v>
      </c>
      <c r="AS2" s="286" t="s">
        <v>184</v>
      </c>
      <c r="AT2" s="286" t="s">
        <v>185</v>
      </c>
      <c r="AU2" s="286" t="s">
        <v>377</v>
      </c>
      <c r="AV2" s="286" t="s">
        <v>185</v>
      </c>
      <c r="AW2" s="1112" t="s">
        <v>182</v>
      </c>
      <c r="AX2" s="1112" t="s">
        <v>185</v>
      </c>
      <c r="AY2" s="1112" t="s">
        <v>274</v>
      </c>
      <c r="AZ2" s="1112" t="s">
        <v>185</v>
      </c>
      <c r="BA2" s="1112" t="s">
        <v>209</v>
      </c>
      <c r="BB2" s="1112" t="s">
        <v>185</v>
      </c>
    </row>
  </sheetData>
  <phoneticPr fontId="31"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pageSetUpPr fitToPage="1"/>
  </sheetPr>
  <dimension ref="A1:CJ192"/>
  <sheetViews>
    <sheetView showGridLines="0" zoomScale="80" zoomScaleNormal="80" workbookViewId="0">
      <pane xSplit="3" ySplit="6" topLeftCell="AZ7" activePane="bottomRight" state="frozen"/>
      <selection activeCell="AW63" sqref="AW63"/>
      <selection pane="topRight" activeCell="AW63" sqref="AW63"/>
      <selection pane="bottomLeft" activeCell="AW63" sqref="AW63"/>
      <selection pane="bottomRight" activeCell="B3" sqref="B3"/>
    </sheetView>
  </sheetViews>
  <sheetFormatPr defaultRowHeight="14.25" customHeight="1" outlineLevelRow="1" outlineLevelCol="1"/>
  <cols>
    <col min="1" max="1" width="1.7109375" customWidth="1"/>
    <col min="2" max="2" width="51.85546875" style="723" customWidth="1"/>
    <col min="3" max="3" width="1.7109375" customWidth="1"/>
    <col min="4" max="23" width="11.42578125" hidden="1" customWidth="1" outlineLevel="1"/>
    <col min="24" max="24" width="11.42578125" hidden="1" customWidth="1" outlineLevel="1" collapsed="1"/>
    <col min="25" max="31" width="11.42578125" hidden="1" customWidth="1" outlineLevel="1"/>
    <col min="32" max="32" width="11.42578125" hidden="1" customWidth="1" outlineLevel="1" collapsed="1"/>
    <col min="33" max="35" width="11.42578125" hidden="1" customWidth="1" outlineLevel="1"/>
    <col min="36" max="36" width="11.42578125" hidden="1" customWidth="1" outlineLevel="1" collapsed="1"/>
    <col min="37" max="39" width="11.42578125" hidden="1" customWidth="1" outlineLevel="1"/>
    <col min="40" max="40" width="11.42578125" hidden="1" customWidth="1" outlineLevel="1" collapsed="1"/>
    <col min="41" max="43" width="11.42578125" hidden="1" customWidth="1" outlineLevel="1"/>
    <col min="44" max="44" width="11.42578125" hidden="1" customWidth="1" outlineLevel="1" collapsed="1"/>
    <col min="45" max="51" width="11.42578125" hidden="1" customWidth="1" outlineLevel="1"/>
    <col min="52" max="52" width="11.42578125" customWidth="1" collapsed="1"/>
    <col min="53" max="63" width="11.42578125" customWidth="1"/>
    <col min="64" max="64" width="2.7109375" customWidth="1"/>
    <col min="65" max="69" width="11.42578125" hidden="1" customWidth="1" outlineLevel="1"/>
    <col min="70" max="70" width="11.42578125" hidden="1" customWidth="1" outlineLevel="1" collapsed="1"/>
    <col min="71" max="71" width="11.42578125" hidden="1" customWidth="1" outlineLevel="1"/>
    <col min="72" max="76" width="11.42578125" hidden="1" customWidth="1" outlineLevel="1" collapsed="1"/>
    <col min="77" max="79" width="11.42578125" customWidth="1" collapsed="1"/>
    <col min="80" max="80" width="11.42578125" hidden="1" customWidth="1" outlineLevel="1"/>
    <col min="81" max="81" width="11.42578125" customWidth="1" collapsed="1"/>
    <col min="82" max="82" width="11.42578125" customWidth="1"/>
    <col min="88" max="88" width="9.5703125" bestFit="1" customWidth="1"/>
  </cols>
  <sheetData>
    <row r="1" spans="1:82" ht="67.5" customHeight="1">
      <c r="A1" s="5"/>
      <c r="B1" s="722"/>
      <c r="C1" s="1"/>
      <c r="D1" s="2"/>
      <c r="E1" s="1"/>
      <c r="F1" s="2"/>
      <c r="G1" s="1"/>
      <c r="H1" s="2"/>
      <c r="I1" s="1"/>
      <c r="J1" s="2"/>
      <c r="K1" s="1"/>
      <c r="L1" s="2"/>
      <c r="M1" s="1"/>
      <c r="N1" s="2"/>
      <c r="O1" s="1"/>
      <c r="P1" s="2"/>
      <c r="Q1" s="1"/>
      <c r="R1" s="2"/>
      <c r="S1" s="1"/>
      <c r="T1" s="2"/>
      <c r="U1" s="1"/>
      <c r="V1" s="2"/>
      <c r="W1" s="1"/>
      <c r="X1" s="2"/>
      <c r="Y1" s="1"/>
      <c r="Z1" s="2"/>
      <c r="AA1" s="1"/>
      <c r="AB1" s="2"/>
      <c r="AC1" s="1"/>
      <c r="AD1" s="2"/>
      <c r="AE1" s="1"/>
      <c r="AF1" s="2"/>
      <c r="AG1" s="1"/>
      <c r="AH1" s="2"/>
      <c r="AI1" s="1"/>
      <c r="AJ1" s="2"/>
      <c r="AK1" s="1"/>
      <c r="AL1" s="2"/>
      <c r="AM1" s="1"/>
      <c r="AN1" s="2"/>
      <c r="AO1" s="1"/>
      <c r="AP1" s="1"/>
      <c r="AQ1" s="1"/>
      <c r="AR1" s="2"/>
      <c r="AS1" s="1"/>
      <c r="AT1" s="1"/>
      <c r="AU1" s="1"/>
      <c r="AV1" s="2"/>
      <c r="AW1" s="1"/>
      <c r="AX1" s="1"/>
      <c r="AY1" s="1"/>
      <c r="AZ1" s="1"/>
      <c r="BA1" s="1"/>
      <c r="BB1" s="1"/>
      <c r="BC1" s="1"/>
      <c r="BD1" s="1"/>
      <c r="BE1" s="1"/>
      <c r="BF1" s="1"/>
      <c r="BG1" s="1"/>
      <c r="BH1" s="1"/>
      <c r="BI1" s="1"/>
      <c r="BJ1" s="1"/>
      <c r="BK1" s="1"/>
      <c r="BL1" s="2"/>
      <c r="BM1" s="2"/>
      <c r="BN1" s="1"/>
      <c r="BO1" s="2"/>
      <c r="BP1" s="1"/>
      <c r="BQ1" s="2"/>
      <c r="BR1" s="1"/>
      <c r="BS1" s="2"/>
      <c r="BT1" s="1"/>
      <c r="BU1" s="1"/>
      <c r="BV1" s="1"/>
      <c r="BW1" s="1"/>
      <c r="BX1" s="1"/>
      <c r="BY1" s="1"/>
      <c r="BZ1" s="1"/>
      <c r="CA1" s="1"/>
      <c r="CB1" s="2069"/>
      <c r="CC1" s="1"/>
      <c r="CD1" s="1"/>
    </row>
    <row r="2" spans="1:82" ht="18" customHeight="1">
      <c r="A2" s="1"/>
      <c r="B2" s="4" t="s">
        <v>233</v>
      </c>
      <c r="C2" s="4"/>
      <c r="D2" s="1"/>
      <c r="E2" s="1"/>
      <c r="F2" s="1"/>
      <c r="G2" s="5"/>
      <c r="H2" s="1"/>
      <c r="I2" s="1"/>
      <c r="J2" s="1"/>
      <c r="K2" s="325"/>
      <c r="L2" s="1"/>
      <c r="M2" s="1"/>
      <c r="N2" s="1"/>
      <c r="O2" s="325"/>
      <c r="P2" s="1"/>
      <c r="Q2" s="1"/>
      <c r="R2" s="1"/>
      <c r="S2" s="325"/>
      <c r="T2" s="1"/>
      <c r="U2" s="1"/>
      <c r="V2" s="1"/>
      <c r="W2" s="325"/>
      <c r="X2" s="1"/>
      <c r="Y2" s="1"/>
      <c r="Z2" s="1"/>
      <c r="AA2" s="1"/>
      <c r="AB2" s="1"/>
      <c r="AC2" s="1"/>
      <c r="AD2" s="1"/>
      <c r="AE2" s="1"/>
      <c r="AF2" s="1"/>
      <c r="AG2" s="1"/>
      <c r="AH2" s="1"/>
      <c r="AI2" s="325"/>
      <c r="AJ2" s="325"/>
      <c r="AK2" s="1"/>
      <c r="AL2" s="1"/>
      <c r="AM2" s="325"/>
      <c r="AN2" s="325"/>
      <c r="AO2" s="1"/>
      <c r="AP2" s="1"/>
      <c r="AQ2" s="325"/>
      <c r="AR2" s="325"/>
      <c r="AS2" s="1"/>
      <c r="AT2" s="1"/>
      <c r="AU2" s="325"/>
      <c r="AV2" s="325"/>
      <c r="AW2" s="1"/>
      <c r="AX2" s="325"/>
      <c r="AY2" s="1"/>
      <c r="AZ2" s="1"/>
      <c r="BA2" s="1"/>
      <c r="BB2" s="325"/>
      <c r="BC2" s="1"/>
      <c r="BD2" s="6"/>
      <c r="BE2" s="2225"/>
      <c r="BF2" s="1"/>
      <c r="BG2" s="1"/>
      <c r="BH2" s="1"/>
      <c r="BI2" s="1"/>
      <c r="BJ2" s="1"/>
      <c r="BK2" s="1"/>
      <c r="BL2" s="1"/>
      <c r="BM2" s="1"/>
      <c r="BN2" s="1"/>
      <c r="BO2" s="1"/>
      <c r="BP2" s="1"/>
      <c r="BQ2" s="1"/>
      <c r="BR2" s="1"/>
      <c r="BS2" s="1"/>
      <c r="BT2" s="1"/>
      <c r="BU2" s="1"/>
      <c r="BV2" s="1"/>
      <c r="BW2" s="1"/>
      <c r="BX2" s="1"/>
      <c r="BY2" s="1"/>
      <c r="BZ2" s="1"/>
      <c r="CA2" s="1"/>
      <c r="CB2" s="2099"/>
      <c r="CC2" s="1"/>
      <c r="CD2" s="1"/>
    </row>
    <row r="3" spans="1:82" ht="14.25" customHeight="1">
      <c r="A3" s="1"/>
      <c r="B3" s="822"/>
      <c r="C3" s="1"/>
      <c r="D3" s="1"/>
      <c r="E3" s="1"/>
      <c r="F3" s="1"/>
      <c r="G3" s="5"/>
      <c r="H3" s="1"/>
      <c r="I3" s="1"/>
      <c r="J3" s="1"/>
      <c r="K3" s="1"/>
      <c r="L3" s="1"/>
      <c r="M3" s="1"/>
      <c r="N3" s="1"/>
      <c r="O3" s="1"/>
      <c r="P3" s="1"/>
      <c r="Q3" s="1"/>
      <c r="R3" s="1"/>
      <c r="S3" s="1"/>
      <c r="T3" s="1"/>
      <c r="U3" s="1"/>
      <c r="V3" s="1"/>
      <c r="W3" s="1"/>
      <c r="X3" s="1"/>
      <c r="Y3" s="1"/>
      <c r="Z3" s="1"/>
      <c r="AA3" s="1"/>
      <c r="AB3" s="1"/>
      <c r="AC3" s="1"/>
      <c r="AD3" s="1"/>
      <c r="AE3" s="1"/>
      <c r="AF3" s="1"/>
      <c r="AG3" s="1"/>
      <c r="AH3" s="6"/>
      <c r="AI3" s="6"/>
      <c r="AJ3" s="1"/>
      <c r="AK3" s="1"/>
      <c r="AL3" s="1"/>
      <c r="AM3" s="6"/>
      <c r="AN3" s="1"/>
      <c r="AO3" s="1"/>
      <c r="AP3" s="6"/>
      <c r="AQ3" s="6"/>
      <c r="AR3" s="6"/>
      <c r="AS3" s="6"/>
      <c r="AT3" s="6"/>
      <c r="AU3" s="6"/>
      <c r="AV3" s="6"/>
      <c r="AW3" s="6"/>
      <c r="AX3" s="6"/>
      <c r="AY3" s="6"/>
      <c r="AZ3" s="6"/>
      <c r="BA3" s="6"/>
      <c r="BB3" s="6"/>
      <c r="BC3" s="6"/>
      <c r="BD3" s="6"/>
      <c r="BE3" s="6"/>
      <c r="BF3" s="6"/>
      <c r="BG3" s="6"/>
      <c r="BH3" s="6"/>
      <c r="BI3" s="6"/>
      <c r="BJ3" s="6"/>
      <c r="BK3" s="6"/>
      <c r="BL3" s="1"/>
      <c r="BM3" s="1"/>
      <c r="BN3" s="1"/>
      <c r="BO3" s="1"/>
      <c r="BP3" s="1"/>
      <c r="BQ3" s="1"/>
      <c r="BR3" s="1"/>
      <c r="BS3" s="1"/>
      <c r="BT3" s="1"/>
      <c r="BU3" s="1"/>
      <c r="BV3" s="1"/>
      <c r="BW3" s="1"/>
      <c r="BX3" s="1"/>
      <c r="BY3" s="1"/>
      <c r="BZ3" s="1"/>
      <c r="CA3" s="1"/>
      <c r="CB3" s="2101"/>
      <c r="CC3" s="1"/>
      <c r="CD3" s="1"/>
    </row>
    <row r="4" spans="1:82" ht="14.25" customHeight="1">
      <c r="A4" s="7"/>
      <c r="B4" s="724" t="s">
        <v>234</v>
      </c>
      <c r="C4" s="9"/>
      <c r="D4" s="469" t="str">
        <f>IS!D4</f>
        <v>C1Q05A</v>
      </c>
      <c r="E4" s="469" t="str">
        <f>IS!E4</f>
        <v>C2Q05A</v>
      </c>
      <c r="F4" s="469" t="str">
        <f>IS!F4</f>
        <v>C3Q05A</v>
      </c>
      <c r="G4" s="470" t="str">
        <f>IS!G4</f>
        <v>C4Q05A</v>
      </c>
      <c r="H4" s="468" t="str">
        <f>IS!H4</f>
        <v>C1Q06A</v>
      </c>
      <c r="I4" s="469" t="str">
        <f>IS!I4</f>
        <v>C2Q06A</v>
      </c>
      <c r="J4" s="469" t="str">
        <f>IS!J4</f>
        <v>C3Q06A</v>
      </c>
      <c r="K4" s="470" t="str">
        <f>IS!K4</f>
        <v>C4Q06A</v>
      </c>
      <c r="L4" s="468" t="str">
        <f>IS!L4</f>
        <v>C1Q07A</v>
      </c>
      <c r="M4" s="469" t="str">
        <f>IS!M4</f>
        <v>C2Q07A</v>
      </c>
      <c r="N4" s="469" t="str">
        <f>IS!N4</f>
        <v>C3Q07A</v>
      </c>
      <c r="O4" s="470" t="str">
        <f>IS!O4</f>
        <v>C4Q07A</v>
      </c>
      <c r="P4" s="468" t="str">
        <f>IS!P4</f>
        <v>C1Q08A</v>
      </c>
      <c r="Q4" s="469" t="str">
        <f>IS!Q4</f>
        <v>C2Q08A</v>
      </c>
      <c r="R4" s="469" t="str">
        <f>IS!R4</f>
        <v>C3Q08A</v>
      </c>
      <c r="S4" s="470" t="str">
        <f>IS!S4</f>
        <v>C4Q08A</v>
      </c>
      <c r="T4" s="468" t="str">
        <f>IS!T4</f>
        <v>C1Q09A</v>
      </c>
      <c r="U4" s="469" t="str">
        <f>IS!U4</f>
        <v>C2Q09A</v>
      </c>
      <c r="V4" s="469" t="str">
        <f>IS!V4</f>
        <v>C3Q09A</v>
      </c>
      <c r="W4" s="470" t="str">
        <f>IS!W4</f>
        <v>C4Q09A</v>
      </c>
      <c r="X4" s="468" t="str">
        <f>IS!X4</f>
        <v>C1Q10A</v>
      </c>
      <c r="Y4" s="469" t="str">
        <f>IS!Y4</f>
        <v>C2Q10A</v>
      </c>
      <c r="Z4" s="469" t="str">
        <f>IS!Z4</f>
        <v>C3Q10A</v>
      </c>
      <c r="AA4" s="470" t="str">
        <f>IS!AA4</f>
        <v>C4Q10A</v>
      </c>
      <c r="AB4" s="468" t="str">
        <f>IS!AB4</f>
        <v>C1Q11A</v>
      </c>
      <c r="AC4" s="469" t="str">
        <f>IS!AC4</f>
        <v>C2Q11A</v>
      </c>
      <c r="AD4" s="469" t="str">
        <f>IS!AD4</f>
        <v>C3Q11A</v>
      </c>
      <c r="AE4" s="470" t="str">
        <f>IS!AE4</f>
        <v>C4Q11A</v>
      </c>
      <c r="AF4" s="468" t="str">
        <f>IS!AF4</f>
        <v>C1Q12A</v>
      </c>
      <c r="AG4" s="469" t="str">
        <f>IS!AG4</f>
        <v>C2Q12A</v>
      </c>
      <c r="AH4" s="469" t="str">
        <f>IS!AH4</f>
        <v>C3Q12A</v>
      </c>
      <c r="AI4" s="470" t="str">
        <f>IS!AI4</f>
        <v>C4Q12A</v>
      </c>
      <c r="AJ4" s="468" t="str">
        <f>IS!AJ4</f>
        <v>C1Q13A</v>
      </c>
      <c r="AK4" s="469" t="str">
        <f>IS!AK4</f>
        <v>C2Q13A</v>
      </c>
      <c r="AL4" s="469" t="str">
        <f>IS!AL4</f>
        <v>C3Q13A</v>
      </c>
      <c r="AM4" s="470" t="str">
        <f>IS!AM4</f>
        <v>C4Q13A</v>
      </c>
      <c r="AN4" s="468" t="str">
        <f>IS!AN4</f>
        <v>C1Q14A</v>
      </c>
      <c r="AO4" s="469" t="str">
        <f>IS!AO4</f>
        <v>C2Q14A</v>
      </c>
      <c r="AP4" s="469" t="str">
        <f>IS!AP4</f>
        <v>C3Q14A</v>
      </c>
      <c r="AQ4" s="470" t="str">
        <f>IS!AQ4</f>
        <v>C4Q14A</v>
      </c>
      <c r="AR4" s="468" t="str">
        <f>IS!AR4</f>
        <v>C1Q15A</v>
      </c>
      <c r="AS4" s="469" t="str">
        <f>IS!AS4</f>
        <v>C2Q15A</v>
      </c>
      <c r="AT4" s="469" t="str">
        <f>IS!AT4</f>
        <v>C3Q15A</v>
      </c>
      <c r="AU4" s="470" t="str">
        <f>IS!AU4</f>
        <v>C4Q15A</v>
      </c>
      <c r="AV4" s="468" t="str">
        <f>IS!AV4</f>
        <v>C1Q16A</v>
      </c>
      <c r="AW4" s="469" t="str">
        <f>IS!AW4</f>
        <v>C2Q16A</v>
      </c>
      <c r="AX4" s="469" t="str">
        <f>IS!AX4</f>
        <v>C3Q16A</v>
      </c>
      <c r="AY4" s="470" t="str">
        <f>IS!AY4</f>
        <v>C4Q16A</v>
      </c>
      <c r="AZ4" s="469" t="str">
        <f>IS!AZ4</f>
        <v>C1Q17A</v>
      </c>
      <c r="BA4" s="469" t="str">
        <f>IS!BA4</f>
        <v>C2Q17A</v>
      </c>
      <c r="BB4" s="469" t="str">
        <f>IS!BB4</f>
        <v>C3Q17A</v>
      </c>
      <c r="BC4" s="470" t="str">
        <f>IS!BC4</f>
        <v>C4Q17A</v>
      </c>
      <c r="BD4" s="469" t="str">
        <f>IS!BD4</f>
        <v>C1Q18A</v>
      </c>
      <c r="BE4" s="469" t="str">
        <f>IS!BE4</f>
        <v>C2Q18E</v>
      </c>
      <c r="BF4" s="469" t="str">
        <f>IS!BF4</f>
        <v>C3Q18E</v>
      </c>
      <c r="BG4" s="470" t="str">
        <f>IS!BG4</f>
        <v>C4Q18E</v>
      </c>
      <c r="BH4" s="469" t="str">
        <f>IS!BH4</f>
        <v>C1Q19A</v>
      </c>
      <c r="BI4" s="469" t="str">
        <f>IS!BI4</f>
        <v>C2Q19E</v>
      </c>
      <c r="BJ4" s="469" t="str">
        <f>IS!BJ4</f>
        <v>C3Q19E</v>
      </c>
      <c r="BK4" s="470" t="str">
        <f>IS!BK4</f>
        <v>C4Q19E</v>
      </c>
      <c r="BL4" s="7"/>
      <c r="BM4" s="7"/>
      <c r="BN4" s="7"/>
      <c r="BO4" s="7"/>
      <c r="BP4" s="7"/>
      <c r="BQ4" s="7"/>
      <c r="BR4" s="7"/>
      <c r="BS4" s="7"/>
      <c r="BT4" s="7"/>
      <c r="BU4" s="7"/>
      <c r="BV4" s="7"/>
      <c r="BW4" s="7"/>
      <c r="BX4" s="7"/>
      <c r="BY4" s="7"/>
      <c r="BZ4" s="7"/>
      <c r="CA4" s="7"/>
      <c r="CB4" s="2072"/>
      <c r="CC4" s="10"/>
      <c r="CD4" s="10"/>
    </row>
    <row r="5" spans="1:82" ht="14.25" customHeight="1">
      <c r="A5" s="7"/>
      <c r="B5" s="725" t="s">
        <v>190</v>
      </c>
      <c r="C5" s="12"/>
      <c r="D5" s="469">
        <f>IS!D5</f>
        <v>38442</v>
      </c>
      <c r="E5" s="469">
        <f>IS!E5</f>
        <v>38533</v>
      </c>
      <c r="F5" s="469">
        <f>IS!F5</f>
        <v>38625</v>
      </c>
      <c r="G5" s="470">
        <f>IS!G5</f>
        <v>38717</v>
      </c>
      <c r="H5" s="468">
        <f>IS!H5</f>
        <v>38807</v>
      </c>
      <c r="I5" s="469">
        <f>IS!I5</f>
        <v>38898</v>
      </c>
      <c r="J5" s="469">
        <f>IS!J5</f>
        <v>38990</v>
      </c>
      <c r="K5" s="470">
        <f>IS!K5</f>
        <v>39082</v>
      </c>
      <c r="L5" s="468">
        <f>IS!L5</f>
        <v>39172</v>
      </c>
      <c r="M5" s="469">
        <f>IS!M5</f>
        <v>39263</v>
      </c>
      <c r="N5" s="469">
        <f>IS!N5</f>
        <v>39355</v>
      </c>
      <c r="O5" s="470">
        <f>IS!O5</f>
        <v>39447</v>
      </c>
      <c r="P5" s="468">
        <f>IS!P5</f>
        <v>39538</v>
      </c>
      <c r="Q5" s="469">
        <f>IS!Q5</f>
        <v>39629</v>
      </c>
      <c r="R5" s="469">
        <f>IS!R5</f>
        <v>39721</v>
      </c>
      <c r="S5" s="470">
        <f>IS!S5</f>
        <v>39813</v>
      </c>
      <c r="T5" s="468">
        <f>IS!T5</f>
        <v>39903</v>
      </c>
      <c r="U5" s="469">
        <f>IS!U5</f>
        <v>39994</v>
      </c>
      <c r="V5" s="469">
        <f>IS!V5</f>
        <v>40086</v>
      </c>
      <c r="W5" s="470">
        <f>IS!W5</f>
        <v>40178</v>
      </c>
      <c r="X5" s="468">
        <f>IS!X5</f>
        <v>40268</v>
      </c>
      <c r="Y5" s="469">
        <f>IS!Y5</f>
        <v>40359</v>
      </c>
      <c r="Z5" s="469">
        <f>IS!Z5</f>
        <v>40451</v>
      </c>
      <c r="AA5" s="470">
        <f>IS!AA5</f>
        <v>40543</v>
      </c>
      <c r="AB5" s="468">
        <f>IS!AB5</f>
        <v>40633</v>
      </c>
      <c r="AC5" s="469">
        <f>IS!AC5</f>
        <v>40724</v>
      </c>
      <c r="AD5" s="469">
        <f>IS!AD5</f>
        <v>40816</v>
      </c>
      <c r="AE5" s="470">
        <f>IS!AE5</f>
        <v>40908</v>
      </c>
      <c r="AF5" s="468">
        <f>IS!AF5</f>
        <v>40999</v>
      </c>
      <c r="AG5" s="469">
        <f>IS!AG5</f>
        <v>41090</v>
      </c>
      <c r="AH5" s="469">
        <f>IS!AH5</f>
        <v>41182</v>
      </c>
      <c r="AI5" s="470">
        <f>IS!AI5</f>
        <v>41274</v>
      </c>
      <c r="AJ5" s="468">
        <f>IS!AJ5</f>
        <v>41364</v>
      </c>
      <c r="AK5" s="469">
        <f>IS!AK5</f>
        <v>41455</v>
      </c>
      <c r="AL5" s="469">
        <f>IS!AL5</f>
        <v>41547</v>
      </c>
      <c r="AM5" s="470">
        <f>IS!AM5</f>
        <v>41639</v>
      </c>
      <c r="AN5" s="468">
        <f>IS!AN5</f>
        <v>41729</v>
      </c>
      <c r="AO5" s="469">
        <f>IS!AO5</f>
        <v>41820</v>
      </c>
      <c r="AP5" s="469">
        <f>IS!AP5</f>
        <v>41912</v>
      </c>
      <c r="AQ5" s="470">
        <f>IS!AQ5</f>
        <v>42004</v>
      </c>
      <c r="AR5" s="468">
        <f>IS!AR5</f>
        <v>42094</v>
      </c>
      <c r="AS5" s="469">
        <f>IS!AS5</f>
        <v>42185</v>
      </c>
      <c r="AT5" s="469">
        <f>IS!AT5</f>
        <v>42277</v>
      </c>
      <c r="AU5" s="470">
        <f>IS!AU5</f>
        <v>42369</v>
      </c>
      <c r="AV5" s="468">
        <f>IS!AV5</f>
        <v>42460</v>
      </c>
      <c r="AW5" s="469">
        <f>IS!AW5</f>
        <v>42551</v>
      </c>
      <c r="AX5" s="469">
        <f>IS!AX5</f>
        <v>42643</v>
      </c>
      <c r="AY5" s="470">
        <f>IS!AY5</f>
        <v>42735</v>
      </c>
      <c r="AZ5" s="469">
        <f>IS!AZ5</f>
        <v>42825</v>
      </c>
      <c r="BA5" s="469">
        <f>IS!BA5</f>
        <v>42916</v>
      </c>
      <c r="BB5" s="469">
        <f>IS!BB5</f>
        <v>43008</v>
      </c>
      <c r="BC5" s="470">
        <f>IS!BC5</f>
        <v>43100</v>
      </c>
      <c r="BD5" s="469">
        <f>IS!BD5</f>
        <v>43190</v>
      </c>
      <c r="BE5" s="469">
        <f>IS!BE5</f>
        <v>43281</v>
      </c>
      <c r="BF5" s="469">
        <f>IS!BF5</f>
        <v>43373</v>
      </c>
      <c r="BG5" s="470">
        <f>IS!BG5</f>
        <v>43465</v>
      </c>
      <c r="BH5" s="469">
        <f>IS!BH5</f>
        <v>43555</v>
      </c>
      <c r="BI5" s="469">
        <f>IS!BI5</f>
        <v>43646</v>
      </c>
      <c r="BJ5" s="469">
        <f>IS!BJ5</f>
        <v>43738</v>
      </c>
      <c r="BK5" s="470">
        <f>IS!BK5</f>
        <v>43830</v>
      </c>
      <c r="BL5" s="20"/>
      <c r="BM5" s="7"/>
      <c r="BN5" s="7"/>
      <c r="BO5" s="1462"/>
      <c r="BP5" s="7"/>
      <c r="BQ5" s="7"/>
      <c r="BR5" s="7"/>
      <c r="BS5" s="7"/>
      <c r="BT5" s="7"/>
      <c r="BU5" s="7"/>
      <c r="BV5" s="7"/>
      <c r="BW5" s="7"/>
      <c r="BX5" s="7"/>
      <c r="BY5" s="7"/>
      <c r="BZ5" s="7"/>
      <c r="CA5" s="7"/>
      <c r="CB5" s="2072"/>
      <c r="CC5" s="7"/>
      <c r="CD5" s="7"/>
    </row>
    <row r="6" spans="1:82" ht="14.25" customHeight="1">
      <c r="A6" s="7"/>
      <c r="B6" s="823"/>
      <c r="C6" s="191"/>
      <c r="D6" s="17" t="str">
        <f>IS!D6</f>
        <v>F1Q05A</v>
      </c>
      <c r="E6" s="17" t="str">
        <f>IS!E6</f>
        <v>F2Q05A</v>
      </c>
      <c r="F6" s="17" t="str">
        <f>IS!F6</f>
        <v>F3Q05A</v>
      </c>
      <c r="G6" s="18" t="str">
        <f>IS!G6</f>
        <v>F4Q05A</v>
      </c>
      <c r="H6" s="16" t="str">
        <f>IS!H6</f>
        <v>F1Q06A</v>
      </c>
      <c r="I6" s="17" t="str">
        <f>IS!I6</f>
        <v>F2Q06A</v>
      </c>
      <c r="J6" s="17" t="str">
        <f>IS!J6</f>
        <v>F3Q06A</v>
      </c>
      <c r="K6" s="18" t="str">
        <f>IS!K6</f>
        <v>F4Q06A</v>
      </c>
      <c r="L6" s="16" t="str">
        <f>IS!L6</f>
        <v>F1Q07A</v>
      </c>
      <c r="M6" s="17" t="str">
        <f>IS!M6</f>
        <v>F2Q07A</v>
      </c>
      <c r="N6" s="17" t="str">
        <f>IS!N6</f>
        <v>F3Q07A</v>
      </c>
      <c r="O6" s="18" t="str">
        <f>IS!O6</f>
        <v>F4Q07A</v>
      </c>
      <c r="P6" s="16" t="str">
        <f>IS!P6</f>
        <v>F1Q08A</v>
      </c>
      <c r="Q6" s="17" t="str">
        <f>IS!Q6</f>
        <v>F2Q08A</v>
      </c>
      <c r="R6" s="17" t="str">
        <f>IS!R6</f>
        <v>F3Q08A</v>
      </c>
      <c r="S6" s="18" t="str">
        <f>IS!S6</f>
        <v>F4Q08A</v>
      </c>
      <c r="T6" s="16" t="str">
        <f>IS!T6</f>
        <v>F1Q09A</v>
      </c>
      <c r="U6" s="17" t="str">
        <f>IS!U6</f>
        <v>F2Q09A</v>
      </c>
      <c r="V6" s="17" t="str">
        <f>IS!V6</f>
        <v>F3Q09A</v>
      </c>
      <c r="W6" s="18" t="str">
        <f>IS!W6</f>
        <v>F4Q09A</v>
      </c>
      <c r="X6" s="16" t="str">
        <f>IS!X6</f>
        <v>F1Q10A</v>
      </c>
      <c r="Y6" s="17" t="str">
        <f>IS!Y6</f>
        <v>F2Q10A</v>
      </c>
      <c r="Z6" s="17" t="str">
        <f>IS!Z6</f>
        <v>F3Q10A</v>
      </c>
      <c r="AA6" s="18" t="str">
        <f>IS!AA6</f>
        <v>F4Q10A</v>
      </c>
      <c r="AB6" s="16" t="str">
        <f>IS!AB6</f>
        <v>F1Q11A</v>
      </c>
      <c r="AC6" s="17" t="str">
        <f>IS!AC6</f>
        <v>F2Q11A</v>
      </c>
      <c r="AD6" s="17" t="str">
        <f>IS!AD6</f>
        <v>F3Q11A</v>
      </c>
      <c r="AE6" s="18" t="str">
        <f>IS!AE6</f>
        <v>F4Q11A</v>
      </c>
      <c r="AF6" s="16" t="str">
        <f>IS!AF6</f>
        <v>F1Q12A</v>
      </c>
      <c r="AG6" s="17" t="str">
        <f>IS!AG6</f>
        <v>F2Q12A</v>
      </c>
      <c r="AH6" s="17" t="str">
        <f>IS!AH6</f>
        <v>F3Q12A</v>
      </c>
      <c r="AI6" s="18" t="str">
        <f>IS!AI6</f>
        <v>F4Q12A</v>
      </c>
      <c r="AJ6" s="16" t="str">
        <f>IS!AJ6</f>
        <v>F1Q13A</v>
      </c>
      <c r="AK6" s="17" t="str">
        <f>IS!AK6</f>
        <v>F2Q13A</v>
      </c>
      <c r="AL6" s="17" t="str">
        <f>IS!AL6</f>
        <v>F3Q13A</v>
      </c>
      <c r="AM6" s="18" t="str">
        <f>IS!AM6</f>
        <v>F4Q13A</v>
      </c>
      <c r="AN6" s="16" t="str">
        <f>IS!AN6</f>
        <v>F1Q14A</v>
      </c>
      <c r="AO6" s="17" t="str">
        <f>IS!AO6</f>
        <v>F2Q14A</v>
      </c>
      <c r="AP6" s="17" t="str">
        <f>IS!AP6</f>
        <v>F3Q14A</v>
      </c>
      <c r="AQ6" s="18" t="str">
        <f>IS!AQ6</f>
        <v>F4Q14A</v>
      </c>
      <c r="AR6" s="16" t="str">
        <f>IS!AR6</f>
        <v>F1Q15A</v>
      </c>
      <c r="AS6" s="17" t="str">
        <f>IS!AS6</f>
        <v>F2Q15A</v>
      </c>
      <c r="AT6" s="17" t="str">
        <f>IS!AT6</f>
        <v>F3Q15A</v>
      </c>
      <c r="AU6" s="18" t="str">
        <f>IS!AU6</f>
        <v>F4Q15A</v>
      </c>
      <c r="AV6" s="16" t="str">
        <f>IS!AV6</f>
        <v>F1Q16A</v>
      </c>
      <c r="AW6" s="17" t="str">
        <f>IS!AW6</f>
        <v>C2Q16A</v>
      </c>
      <c r="AX6" s="17" t="str">
        <f>IS!AX6</f>
        <v>F3Q16A</v>
      </c>
      <c r="AY6" s="18" t="str">
        <f>IS!AY6</f>
        <v>F4Q16A</v>
      </c>
      <c r="AZ6" s="17" t="str">
        <f>IS!AZ6</f>
        <v>F1Q17A</v>
      </c>
      <c r="BA6" s="1694" t="str">
        <f>IS!BA6</f>
        <v>C2Q17A</v>
      </c>
      <c r="BB6" s="17" t="str">
        <f>IS!BB6</f>
        <v>C3Q17A</v>
      </c>
      <c r="BC6" s="18" t="str">
        <f>IS!BC6</f>
        <v>F4Q17A</v>
      </c>
      <c r="BD6" s="17" t="str">
        <f>IS!BD6</f>
        <v>F1Q18A</v>
      </c>
      <c r="BE6" s="17" t="str">
        <f>IS!BE6</f>
        <v>F2Q18E</v>
      </c>
      <c r="BF6" s="17" t="str">
        <f>IS!BF6</f>
        <v>F3Q18E</v>
      </c>
      <c r="BG6" s="18" t="str">
        <f>IS!BG6</f>
        <v>F4Q18E</v>
      </c>
      <c r="BH6" s="1848" t="str">
        <f>IS!BH6</f>
        <v>F1Q19E</v>
      </c>
      <c r="BI6" s="1848" t="str">
        <f>IS!BI6</f>
        <v>F2Q19E</v>
      </c>
      <c r="BJ6" s="1848" t="str">
        <f>IS!BJ6</f>
        <v>F3Q19E</v>
      </c>
      <c r="BK6" s="1849" t="str">
        <f>IS!BK6</f>
        <v>F4Q19E</v>
      </c>
      <c r="BL6" s="2030"/>
      <c r="BM6" s="16" t="str">
        <f>IS!BM6</f>
        <v>FY2005A</v>
      </c>
      <c r="BN6" s="17" t="str">
        <f>IS!BN6</f>
        <v>FY2006A</v>
      </c>
      <c r="BO6" s="17" t="str">
        <f>IS!BO6</f>
        <v>FY2007A</v>
      </c>
      <c r="BP6" s="17" t="str">
        <f>IS!BP6</f>
        <v>FY2008A</v>
      </c>
      <c r="BQ6" s="1848" t="str">
        <f>IS!BQ6</f>
        <v>FY2009A</v>
      </c>
      <c r="BR6" s="1848" t="str">
        <f>IS!BR6</f>
        <v>FY2010A</v>
      </c>
      <c r="BS6" s="17" t="str">
        <f>IS!BS6</f>
        <v>FY2011A</v>
      </c>
      <c r="BT6" s="1848" t="str">
        <f>IS!BT6</f>
        <v>FY2012A</v>
      </c>
      <c r="BU6" s="1848" t="str">
        <f>IS!BU6</f>
        <v>FY2013A</v>
      </c>
      <c r="BV6" s="1848" t="str">
        <f>IS!BV6</f>
        <v>FY2014A</v>
      </c>
      <c r="BW6" s="1848" t="str">
        <f>IS!BW6</f>
        <v>FY2015A</v>
      </c>
      <c r="BX6" s="1848" t="str">
        <f>IS!BX6</f>
        <v>FY2016A</v>
      </c>
      <c r="BY6" s="1848" t="str">
        <f>IS!BY6</f>
        <v>FY2017A</v>
      </c>
      <c r="BZ6" s="1848" t="str">
        <f>IS!BZ6</f>
        <v>FY2018E</v>
      </c>
      <c r="CA6" s="1848" t="str">
        <f>IS!CA6</f>
        <v>FY2019E</v>
      </c>
      <c r="CB6" s="1912" t="str">
        <f>IS!CB6</f>
        <v>FY2020E</v>
      </c>
      <c r="CC6" s="2140"/>
      <c r="CD6" s="13"/>
    </row>
    <row r="7" spans="1:82" ht="14.25" customHeight="1">
      <c r="A7" s="7"/>
      <c r="B7" s="824" t="s">
        <v>92</v>
      </c>
      <c r="C7" s="116"/>
      <c r="D7" s="119"/>
      <c r="E7" s="117"/>
      <c r="F7" s="117"/>
      <c r="G7" s="118"/>
      <c r="H7" s="119"/>
      <c r="I7" s="117"/>
      <c r="J7" s="117"/>
      <c r="K7" s="118"/>
      <c r="L7" s="119"/>
      <c r="M7" s="117"/>
      <c r="N7" s="117"/>
      <c r="O7" s="118"/>
      <c r="P7" s="119"/>
      <c r="Q7" s="117"/>
      <c r="R7" s="117"/>
      <c r="S7" s="118"/>
      <c r="T7" s="119"/>
      <c r="U7" s="117"/>
      <c r="V7" s="117"/>
      <c r="W7" s="118"/>
      <c r="X7" s="119"/>
      <c r="Y7" s="117"/>
      <c r="Z7" s="39"/>
      <c r="AA7" s="117"/>
      <c r="AB7" s="119"/>
      <c r="AC7" s="117"/>
      <c r="AD7" s="117"/>
      <c r="AE7" s="118"/>
      <c r="AF7" s="119"/>
      <c r="AG7" s="117"/>
      <c r="AH7" s="117"/>
      <c r="AI7" s="118"/>
      <c r="AJ7" s="119"/>
      <c r="AK7" s="117"/>
      <c r="AL7" s="117"/>
      <c r="AM7" s="118"/>
      <c r="AN7" s="119"/>
      <c r="AO7" s="117"/>
      <c r="AP7" s="117"/>
      <c r="AQ7" s="118"/>
      <c r="AR7" s="119"/>
      <c r="AS7" s="117"/>
      <c r="AT7" s="117"/>
      <c r="AU7" s="118"/>
      <c r="AV7" s="119"/>
      <c r="AW7" s="117"/>
      <c r="AX7" s="117"/>
      <c r="AY7" s="118"/>
      <c r="AZ7" s="117"/>
      <c r="BA7" s="117"/>
      <c r="BB7" s="117"/>
      <c r="BC7" s="118"/>
      <c r="BD7" s="117"/>
      <c r="BE7" s="117"/>
      <c r="BF7" s="117"/>
      <c r="BG7" s="118"/>
      <c r="BH7" s="117"/>
      <c r="BI7" s="117"/>
      <c r="BJ7" s="117"/>
      <c r="BK7" s="118"/>
      <c r="BL7" s="19"/>
      <c r="BM7" s="120"/>
      <c r="BN7" s="117"/>
      <c r="BO7" s="117"/>
      <c r="BP7" s="117"/>
      <c r="BQ7" s="117"/>
      <c r="BR7" s="117"/>
      <c r="BS7" s="117"/>
      <c r="BT7" s="117"/>
      <c r="BU7" s="117"/>
      <c r="BV7" s="117"/>
      <c r="BW7" s="117"/>
      <c r="BX7" s="117"/>
      <c r="BY7" s="117"/>
      <c r="BZ7" s="117"/>
      <c r="CA7" s="117"/>
      <c r="CB7" s="2102"/>
      <c r="CC7" s="2140"/>
      <c r="CD7" s="13"/>
    </row>
    <row r="8" spans="1:82" ht="14.25" customHeight="1">
      <c r="A8" s="7"/>
      <c r="B8" s="825" t="s">
        <v>93</v>
      </c>
      <c r="C8" s="24"/>
      <c r="D8" s="49">
        <v>661.98400000000004</v>
      </c>
      <c r="E8" s="39">
        <v>711.221</v>
      </c>
      <c r="F8" s="39">
        <v>806.11500000000001</v>
      </c>
      <c r="G8" s="40">
        <v>633.06700000000001</v>
      </c>
      <c r="H8" s="49">
        <v>828.62599999999998</v>
      </c>
      <c r="I8" s="39">
        <v>688.65700000000004</v>
      </c>
      <c r="J8" s="39">
        <v>1384.5260000000001</v>
      </c>
      <c r="K8" s="40">
        <v>1380</v>
      </c>
      <c r="L8" s="49">
        <v>991</v>
      </c>
      <c r="M8" s="39">
        <v>1304</v>
      </c>
      <c r="N8" s="39">
        <v>1096</v>
      </c>
      <c r="O8" s="40">
        <v>1432</v>
      </c>
      <c r="P8" s="49">
        <v>1404</v>
      </c>
      <c r="Q8" s="39">
        <v>1310</v>
      </c>
      <c r="R8" s="39">
        <v>1108</v>
      </c>
      <c r="S8" s="40">
        <v>933</v>
      </c>
      <c r="T8" s="49">
        <v>2402</v>
      </c>
      <c r="U8" s="39">
        <v>1979</v>
      </c>
      <c r="V8" s="39">
        <v>1847</v>
      </c>
      <c r="W8" s="40">
        <v>1657</v>
      </c>
      <c r="X8" s="39">
        <v>642</v>
      </c>
      <c r="Y8" s="39">
        <v>1084</v>
      </c>
      <c r="Z8" s="39">
        <v>620</v>
      </c>
      <c r="AA8" s="39">
        <v>606</v>
      </c>
      <c r="AB8" s="339">
        <v>602</v>
      </c>
      <c r="AC8" s="39">
        <v>554</v>
      </c>
      <c r="AD8" s="39">
        <v>625</v>
      </c>
      <c r="AE8" s="39">
        <v>869</v>
      </c>
      <c r="AF8" s="339">
        <v>1193</v>
      </c>
      <c r="AG8" s="39">
        <v>1015</v>
      </c>
      <c r="AH8" s="39">
        <v>776</v>
      </c>
      <c r="AI8" s="40">
        <v>549</v>
      </c>
      <c r="AJ8" s="82">
        <v>441</v>
      </c>
      <c r="AK8" s="39">
        <v>334</v>
      </c>
      <c r="AL8" s="39">
        <v>543</v>
      </c>
      <c r="AM8" s="40">
        <v>869</v>
      </c>
      <c r="AN8" s="82">
        <v>554</v>
      </c>
      <c r="AO8" s="39">
        <v>503</v>
      </c>
      <c r="AP8" s="39">
        <v>640</v>
      </c>
      <c r="AQ8" s="40">
        <v>805</v>
      </c>
      <c r="AR8" s="82">
        <v>677</v>
      </c>
      <c r="AS8" s="39">
        <v>829</v>
      </c>
      <c r="AT8" s="39">
        <v>755</v>
      </c>
      <c r="AU8" s="40">
        <v>785</v>
      </c>
      <c r="AV8" s="82">
        <v>716</v>
      </c>
      <c r="AW8" s="39">
        <v>957</v>
      </c>
      <c r="AX8" s="39">
        <v>1258</v>
      </c>
      <c r="AY8" s="40">
        <v>1264</v>
      </c>
      <c r="AZ8" s="82">
        <v>722</v>
      </c>
      <c r="BA8" s="39">
        <v>760</v>
      </c>
      <c r="BB8" s="39">
        <v>879</v>
      </c>
      <c r="BC8" s="40">
        <v>1185</v>
      </c>
      <c r="BD8" s="82">
        <v>1045</v>
      </c>
      <c r="BE8" s="1129">
        <f>BD8+CFS!BE60</f>
        <v>1175.4116601618136</v>
      </c>
      <c r="BF8" s="104">
        <f>BE8+CFS!BF60</f>
        <v>1321.55054594116</v>
      </c>
      <c r="BG8" s="105">
        <f>BF8+CFS!BG60</f>
        <v>1449.8981177399837</v>
      </c>
      <c r="BH8" s="1129">
        <f>BG8+CFS!BH60</f>
        <v>1619.2365541236691</v>
      </c>
      <c r="BI8" s="1129">
        <f>BH8+CFS!BI60</f>
        <v>1733.9256624607945</v>
      </c>
      <c r="BJ8" s="104">
        <f>BI8+CFS!BJ60</f>
        <v>1819.1713108402362</v>
      </c>
      <c r="BK8" s="105">
        <f>BJ8+CFS!BK60</f>
        <v>1963.6684532005058</v>
      </c>
      <c r="BL8" s="19"/>
      <c r="BM8" s="104">
        <f t="shared" ref="BM8:BM14" si="0">G8</f>
        <v>633.06700000000001</v>
      </c>
      <c r="BN8" s="104">
        <f t="shared" ref="BN8:BN14" si="1">K8</f>
        <v>1380</v>
      </c>
      <c r="BO8" s="104">
        <f t="shared" ref="BO8:BO14" si="2">O8</f>
        <v>1432</v>
      </c>
      <c r="BP8" s="104">
        <f t="shared" ref="BP8:BP14" si="3">S8</f>
        <v>933</v>
      </c>
      <c r="BQ8" s="104">
        <f t="shared" ref="BQ8:BQ14" si="4">W8</f>
        <v>1657</v>
      </c>
      <c r="BR8" s="104">
        <f t="shared" ref="BR8:BR14" si="5">AA8</f>
        <v>606</v>
      </c>
      <c r="BS8" s="104">
        <f t="shared" ref="BS8:BS14" si="6">AE8</f>
        <v>869</v>
      </c>
      <c r="BT8" s="104">
        <f t="shared" ref="BT8:BT14" si="7">AI8</f>
        <v>549</v>
      </c>
      <c r="BU8" s="104">
        <f t="shared" ref="BU8:BU14" si="8">AM8</f>
        <v>869</v>
      </c>
      <c r="BV8" s="104">
        <f t="shared" ref="BV8:BV14" si="9">AQ8</f>
        <v>805</v>
      </c>
      <c r="BW8" s="104">
        <f t="shared" ref="BW8:BW14" si="10">AU8</f>
        <v>785</v>
      </c>
      <c r="BX8" s="104">
        <f t="shared" ref="BX8:BX14" si="11">AY8</f>
        <v>1264</v>
      </c>
      <c r="BY8" s="104">
        <f>BC8</f>
        <v>1185</v>
      </c>
      <c r="BZ8" s="104">
        <f t="shared" ref="BZ8:BZ14" si="12">BG8</f>
        <v>1449.8981177399837</v>
      </c>
      <c r="CA8" s="104">
        <f>BK8</f>
        <v>1963.6684532005058</v>
      </c>
      <c r="CB8" s="2091">
        <f>CA8+CFS!CB60</f>
        <v>2306.282844430516</v>
      </c>
      <c r="CC8" s="2143"/>
      <c r="CD8" s="1873"/>
    </row>
    <row r="9" spans="1:82" ht="14.25" customHeight="1">
      <c r="A9" s="7"/>
      <c r="B9" s="825" t="s">
        <v>240</v>
      </c>
      <c r="C9" s="24"/>
      <c r="D9" s="81">
        <v>422.82499999999999</v>
      </c>
      <c r="E9" s="82">
        <v>508.84300000000002</v>
      </c>
      <c r="F9" s="82">
        <v>536.05200000000002</v>
      </c>
      <c r="G9" s="83">
        <v>1002.742</v>
      </c>
      <c r="H9" s="81">
        <f>1636.912+167.125</f>
        <v>1804.037</v>
      </c>
      <c r="I9" s="82">
        <v>1841.405</v>
      </c>
      <c r="J9" s="82">
        <v>972.37699999999995</v>
      </c>
      <c r="K9" s="83">
        <v>161</v>
      </c>
      <c r="L9" s="81">
        <v>176</v>
      </c>
      <c r="M9" s="82">
        <v>290</v>
      </c>
      <c r="N9" s="82">
        <v>432</v>
      </c>
      <c r="O9" s="83">
        <v>457</v>
      </c>
      <c r="P9" s="81">
        <v>349</v>
      </c>
      <c r="Q9" s="82">
        <v>257</v>
      </c>
      <c r="R9" s="82">
        <v>233</v>
      </c>
      <c r="S9" s="83">
        <v>163</v>
      </c>
      <c r="T9" s="81">
        <v>317</v>
      </c>
      <c r="U9" s="82">
        <v>535</v>
      </c>
      <c r="V9" s="82">
        <v>664</v>
      </c>
      <c r="W9" s="83">
        <v>1019</v>
      </c>
      <c r="X9" s="82">
        <v>1290</v>
      </c>
      <c r="Y9" s="82">
        <v>812</v>
      </c>
      <c r="Z9" s="82">
        <v>1106</v>
      </c>
      <c r="AA9" s="83">
        <v>1183</v>
      </c>
      <c r="AB9" s="340">
        <v>1143</v>
      </c>
      <c r="AC9" s="82">
        <v>1307</v>
      </c>
      <c r="AD9" s="82">
        <v>1182</v>
      </c>
      <c r="AE9" s="83">
        <v>896</v>
      </c>
      <c r="AF9" s="340">
        <v>351</v>
      </c>
      <c r="AG9" s="82">
        <v>564</v>
      </c>
      <c r="AH9" s="82">
        <v>524</v>
      </c>
      <c r="AI9" s="83">
        <v>453</v>
      </c>
      <c r="AJ9" s="82">
        <v>562</v>
      </c>
      <c r="AK9" s="82">
        <v>634</v>
      </c>
      <c r="AL9" s="82">
        <v>517</v>
      </c>
      <c r="AM9" s="83">
        <v>228</v>
      </c>
      <c r="AN9" s="82">
        <v>348</v>
      </c>
      <c r="AO9" s="82">
        <v>445</v>
      </c>
      <c r="AP9" s="82">
        <v>298</v>
      </c>
      <c r="AQ9" s="83">
        <v>235</v>
      </c>
      <c r="AR9" s="82">
        <v>229</v>
      </c>
      <c r="AS9" s="82">
        <v>0</v>
      </c>
      <c r="AT9" s="82">
        <v>0</v>
      </c>
      <c r="AU9" s="83">
        <v>0</v>
      </c>
      <c r="AV9" s="82">
        <v>0</v>
      </c>
      <c r="AW9" s="82">
        <v>0</v>
      </c>
      <c r="AX9" s="82">
        <v>0</v>
      </c>
      <c r="AY9" s="83">
        <v>0</v>
      </c>
      <c r="AZ9" s="82">
        <v>221</v>
      </c>
      <c r="BA9" s="82">
        <v>84</v>
      </c>
      <c r="BB9" s="82">
        <v>0</v>
      </c>
      <c r="BC9" s="83">
        <v>0</v>
      </c>
      <c r="BD9" s="82">
        <v>0</v>
      </c>
      <c r="BE9" s="1121">
        <f>BD9-CFS!BE34-CFS!BE35</f>
        <v>0</v>
      </c>
      <c r="BF9" s="79">
        <f>BE9-CFS!BF34-CFS!BF35</f>
        <v>0</v>
      </c>
      <c r="BG9" s="80">
        <f>BF9-CFS!BG34-CFS!BG35</f>
        <v>0</v>
      </c>
      <c r="BH9" s="1121">
        <f>BG9-CFS!BH34-CFS!BH35</f>
        <v>0</v>
      </c>
      <c r="BI9" s="1121">
        <f>BH9-CFS!BI34-CFS!BI35</f>
        <v>0</v>
      </c>
      <c r="BJ9" s="79">
        <f>BI9-CFS!BJ34-CFS!BJ35</f>
        <v>0</v>
      </c>
      <c r="BK9" s="80">
        <f>BJ9-CFS!BK34-CFS!BK35</f>
        <v>0</v>
      </c>
      <c r="BL9" s="121"/>
      <c r="BM9" s="79">
        <f t="shared" si="0"/>
        <v>1002.742</v>
      </c>
      <c r="BN9" s="79">
        <f t="shared" si="1"/>
        <v>161</v>
      </c>
      <c r="BO9" s="79">
        <f t="shared" si="2"/>
        <v>457</v>
      </c>
      <c r="BP9" s="79">
        <f t="shared" si="3"/>
        <v>163</v>
      </c>
      <c r="BQ9" s="79">
        <f t="shared" si="4"/>
        <v>1019</v>
      </c>
      <c r="BR9" s="79">
        <f t="shared" si="5"/>
        <v>1183</v>
      </c>
      <c r="BS9" s="79">
        <f t="shared" si="6"/>
        <v>896</v>
      </c>
      <c r="BT9" s="79">
        <f t="shared" si="7"/>
        <v>453</v>
      </c>
      <c r="BU9" s="79">
        <f t="shared" si="8"/>
        <v>228</v>
      </c>
      <c r="BV9" s="79">
        <f t="shared" si="9"/>
        <v>235</v>
      </c>
      <c r="BW9" s="79">
        <f t="shared" si="10"/>
        <v>0</v>
      </c>
      <c r="BX9" s="79">
        <f t="shared" si="11"/>
        <v>0</v>
      </c>
      <c r="BY9" s="79">
        <f t="shared" ref="BY9:BY14" si="13">BC9</f>
        <v>0</v>
      </c>
      <c r="BZ9" s="79">
        <f t="shared" si="12"/>
        <v>0</v>
      </c>
      <c r="CA9" s="79">
        <f t="shared" ref="CA9:CA14" si="14">BK9</f>
        <v>0</v>
      </c>
      <c r="CB9" s="2090">
        <f>CA9</f>
        <v>0</v>
      </c>
      <c r="CC9" s="2143"/>
      <c r="CD9" s="1873"/>
    </row>
    <row r="10" spans="1:82" ht="14.25" customHeight="1">
      <c r="A10" s="7"/>
      <c r="B10" s="825" t="s">
        <v>213</v>
      </c>
      <c r="C10" s="24"/>
      <c r="D10" s="81">
        <v>0</v>
      </c>
      <c r="E10" s="82">
        <v>0</v>
      </c>
      <c r="F10" s="82">
        <v>0</v>
      </c>
      <c r="G10" s="83">
        <v>0</v>
      </c>
      <c r="H10" s="81">
        <v>0</v>
      </c>
      <c r="I10" s="82">
        <v>0</v>
      </c>
      <c r="J10" s="82">
        <v>0</v>
      </c>
      <c r="K10" s="83">
        <v>0</v>
      </c>
      <c r="L10" s="81">
        <v>0</v>
      </c>
      <c r="M10" s="82">
        <v>0</v>
      </c>
      <c r="N10" s="82">
        <v>0</v>
      </c>
      <c r="O10" s="83">
        <v>0</v>
      </c>
      <c r="P10" s="81">
        <v>0</v>
      </c>
      <c r="Q10" s="82">
        <v>0</v>
      </c>
      <c r="R10" s="82">
        <v>0</v>
      </c>
      <c r="S10" s="83">
        <v>0</v>
      </c>
      <c r="T10" s="81">
        <v>0</v>
      </c>
      <c r="U10" s="82">
        <v>0</v>
      </c>
      <c r="V10" s="82">
        <v>0</v>
      </c>
      <c r="W10" s="83">
        <v>0</v>
      </c>
      <c r="X10" s="82">
        <v>0</v>
      </c>
      <c r="Y10" s="82">
        <v>0</v>
      </c>
      <c r="Z10" s="82">
        <v>0</v>
      </c>
      <c r="AA10" s="83">
        <v>0</v>
      </c>
      <c r="AB10" s="340">
        <v>0</v>
      </c>
      <c r="AC10" s="82">
        <v>0</v>
      </c>
      <c r="AD10" s="82">
        <v>0</v>
      </c>
      <c r="AE10" s="83">
        <v>0</v>
      </c>
      <c r="AF10" s="340">
        <v>0</v>
      </c>
      <c r="AG10" s="82">
        <v>0</v>
      </c>
      <c r="AH10" s="82">
        <v>0</v>
      </c>
      <c r="AI10" s="83">
        <v>0</v>
      </c>
      <c r="AJ10" s="82">
        <v>0</v>
      </c>
      <c r="AK10" s="82">
        <v>0</v>
      </c>
      <c r="AL10" s="82">
        <v>0</v>
      </c>
      <c r="AM10" s="83">
        <v>0</v>
      </c>
      <c r="AN10" s="82">
        <v>0</v>
      </c>
      <c r="AO10" s="82">
        <v>0</v>
      </c>
      <c r="AP10" s="82">
        <v>0</v>
      </c>
      <c r="AQ10" s="83">
        <v>0</v>
      </c>
      <c r="AR10" s="82">
        <v>0</v>
      </c>
      <c r="AS10" s="82">
        <v>0</v>
      </c>
      <c r="AT10" s="82">
        <v>0</v>
      </c>
      <c r="AU10" s="83">
        <v>0</v>
      </c>
      <c r="AV10" s="82">
        <v>0</v>
      </c>
      <c r="AW10" s="82">
        <v>0</v>
      </c>
      <c r="AX10" s="82">
        <v>0</v>
      </c>
      <c r="AY10" s="83">
        <v>0</v>
      </c>
      <c r="AZ10" s="82">
        <v>0</v>
      </c>
      <c r="BA10" s="82">
        <v>0</v>
      </c>
      <c r="BB10" s="82">
        <v>0</v>
      </c>
      <c r="BC10" s="83">
        <v>0</v>
      </c>
      <c r="BD10" s="82">
        <v>0</v>
      </c>
      <c r="BE10" s="1121">
        <f>BD10+CFS!BE36+CFS!BE37</f>
        <v>0</v>
      </c>
      <c r="BF10" s="1121">
        <f>BE10+CFS!BF36+CFS!BF37</f>
        <v>0</v>
      </c>
      <c r="BG10" s="1476">
        <f>BF10+CFS!BG36+CFS!BG37</f>
        <v>0</v>
      </c>
      <c r="BH10" s="1121">
        <f>BG10+CFS!BH36+CFS!BH37</f>
        <v>0</v>
      </c>
      <c r="BI10" s="1121">
        <f>BH10+CFS!BI36+CFS!BI37</f>
        <v>0</v>
      </c>
      <c r="BJ10" s="1121">
        <f>BI10+CFS!BJ36+CFS!BJ37</f>
        <v>0</v>
      </c>
      <c r="BK10" s="1476">
        <f>BJ10+CFS!BK36+CFS!BK37</f>
        <v>0</v>
      </c>
      <c r="BL10" s="121"/>
      <c r="BM10" s="79">
        <f t="shared" si="0"/>
        <v>0</v>
      </c>
      <c r="BN10" s="79">
        <f t="shared" si="1"/>
        <v>0</v>
      </c>
      <c r="BO10" s="79">
        <f t="shared" si="2"/>
        <v>0</v>
      </c>
      <c r="BP10" s="79">
        <f t="shared" si="3"/>
        <v>0</v>
      </c>
      <c r="BQ10" s="79">
        <f t="shared" si="4"/>
        <v>0</v>
      </c>
      <c r="BR10" s="79">
        <f t="shared" si="5"/>
        <v>0</v>
      </c>
      <c r="BS10" s="79">
        <f t="shared" si="6"/>
        <v>0</v>
      </c>
      <c r="BT10" s="79">
        <f t="shared" si="7"/>
        <v>0</v>
      </c>
      <c r="BU10" s="79">
        <f t="shared" si="8"/>
        <v>0</v>
      </c>
      <c r="BV10" s="79">
        <f t="shared" si="9"/>
        <v>0</v>
      </c>
      <c r="BW10" s="79">
        <f t="shared" si="10"/>
        <v>0</v>
      </c>
      <c r="BX10" s="79">
        <f t="shared" si="11"/>
        <v>0</v>
      </c>
      <c r="BY10" s="79">
        <f t="shared" si="13"/>
        <v>0</v>
      </c>
      <c r="BZ10" s="79">
        <f t="shared" si="12"/>
        <v>0</v>
      </c>
      <c r="CA10" s="79">
        <f t="shared" si="14"/>
        <v>0</v>
      </c>
      <c r="CB10" s="2090">
        <f>CA10+CFS!CB36+CFS!CB37</f>
        <v>0</v>
      </c>
      <c r="CC10" s="2143"/>
      <c r="CD10" s="1873"/>
    </row>
    <row r="11" spans="1:82" ht="14.25" customHeight="1">
      <c r="A11" s="7"/>
      <c r="B11" s="825" t="s">
        <v>94</v>
      </c>
      <c r="C11" s="24"/>
      <c r="D11" s="81">
        <v>698.30799999999999</v>
      </c>
      <c r="E11" s="82">
        <v>735.68700000000001</v>
      </c>
      <c r="F11" s="82">
        <v>861.79899999999998</v>
      </c>
      <c r="G11" s="83">
        <v>805.53099999999995</v>
      </c>
      <c r="H11" s="81">
        <v>819.96299999999997</v>
      </c>
      <c r="I11" s="82">
        <v>571.53899999999999</v>
      </c>
      <c r="J11" s="82">
        <v>688.02300000000002</v>
      </c>
      <c r="K11" s="83">
        <v>1140</v>
      </c>
      <c r="L11" s="81">
        <v>667</v>
      </c>
      <c r="M11" s="82">
        <v>648</v>
      </c>
      <c r="N11" s="82">
        <v>682</v>
      </c>
      <c r="O11" s="83">
        <v>640</v>
      </c>
      <c r="P11" s="81">
        <v>538</v>
      </c>
      <c r="Q11" s="82">
        <v>437</v>
      </c>
      <c r="R11" s="82">
        <v>620</v>
      </c>
      <c r="S11" s="83">
        <v>320</v>
      </c>
      <c r="T11" s="81">
        <v>414</v>
      </c>
      <c r="U11" s="82">
        <v>366</v>
      </c>
      <c r="V11" s="82">
        <v>572</v>
      </c>
      <c r="W11" s="83">
        <v>745</v>
      </c>
      <c r="X11" s="82">
        <v>675</v>
      </c>
      <c r="Y11" s="82">
        <v>725</v>
      </c>
      <c r="Z11" s="82">
        <v>765</v>
      </c>
      <c r="AA11" s="82">
        <v>968</v>
      </c>
      <c r="AB11" s="341">
        <v>797</v>
      </c>
      <c r="AC11" s="82">
        <v>759</v>
      </c>
      <c r="AD11" s="82">
        <v>908</v>
      </c>
      <c r="AE11" s="82">
        <v>919</v>
      </c>
      <c r="AF11" s="341">
        <v>962</v>
      </c>
      <c r="AG11" s="82">
        <v>744</v>
      </c>
      <c r="AH11" s="82">
        <v>683</v>
      </c>
      <c r="AI11" s="83">
        <v>630</v>
      </c>
      <c r="AJ11" s="81">
        <v>645</v>
      </c>
      <c r="AK11" s="82">
        <v>670</v>
      </c>
      <c r="AL11" s="82">
        <v>873</v>
      </c>
      <c r="AM11" s="83">
        <v>832</v>
      </c>
      <c r="AN11" s="81">
        <v>840</v>
      </c>
      <c r="AO11" s="82">
        <v>872</v>
      </c>
      <c r="AP11" s="82">
        <v>973</v>
      </c>
      <c r="AQ11" s="83">
        <v>818</v>
      </c>
      <c r="AR11" s="81">
        <v>771</v>
      </c>
      <c r="AS11" s="82">
        <v>687</v>
      </c>
      <c r="AT11" s="82">
        <v>648</v>
      </c>
      <c r="AU11" s="83">
        <v>533</v>
      </c>
      <c r="AV11" s="81">
        <v>508</v>
      </c>
      <c r="AW11" s="82">
        <v>671</v>
      </c>
      <c r="AX11" s="82">
        <v>640</v>
      </c>
      <c r="AY11" s="83">
        <v>311</v>
      </c>
      <c r="AZ11" s="81">
        <v>494</v>
      </c>
      <c r="BA11" s="82">
        <v>614</v>
      </c>
      <c r="BB11" s="82">
        <v>771</v>
      </c>
      <c r="BC11" s="83">
        <v>400</v>
      </c>
      <c r="BD11" s="81">
        <v>738</v>
      </c>
      <c r="BE11" s="1121">
        <f t="shared" ref="BE11:BG11" si="15">BE50/360*BE56*4</f>
        <v>672.2039916169565</v>
      </c>
      <c r="BF11" s="1121">
        <f t="shared" si="15"/>
        <v>672.91709034727933</v>
      </c>
      <c r="BG11" s="1476">
        <f t="shared" si="15"/>
        <v>632.07699420697543</v>
      </c>
      <c r="BH11" s="1121">
        <f t="shared" ref="BH11:BK11" si="16">BH50/360*BH56*4</f>
        <v>602.44536921937106</v>
      </c>
      <c r="BI11" s="1121">
        <f t="shared" si="16"/>
        <v>636.01393058606868</v>
      </c>
      <c r="BJ11" s="1121">
        <f t="shared" si="16"/>
        <v>667.53391010391579</v>
      </c>
      <c r="BK11" s="1476">
        <f t="shared" si="16"/>
        <v>662.21694175568587</v>
      </c>
      <c r="BL11" s="121"/>
      <c r="BM11" s="79">
        <f t="shared" si="0"/>
        <v>805.53099999999995</v>
      </c>
      <c r="BN11" s="79">
        <f t="shared" si="1"/>
        <v>1140</v>
      </c>
      <c r="BO11" s="79">
        <f t="shared" si="2"/>
        <v>640</v>
      </c>
      <c r="BP11" s="79">
        <f t="shared" si="3"/>
        <v>320</v>
      </c>
      <c r="BQ11" s="79">
        <f t="shared" si="4"/>
        <v>745</v>
      </c>
      <c r="BR11" s="79">
        <f t="shared" si="5"/>
        <v>968</v>
      </c>
      <c r="BS11" s="79">
        <f t="shared" si="6"/>
        <v>919</v>
      </c>
      <c r="BT11" s="79">
        <f t="shared" si="7"/>
        <v>630</v>
      </c>
      <c r="BU11" s="79">
        <f t="shared" si="8"/>
        <v>832</v>
      </c>
      <c r="BV11" s="79">
        <f t="shared" si="9"/>
        <v>818</v>
      </c>
      <c r="BW11" s="79">
        <f t="shared" si="10"/>
        <v>533</v>
      </c>
      <c r="BX11" s="79">
        <f t="shared" si="11"/>
        <v>311</v>
      </c>
      <c r="BY11" s="79">
        <f t="shared" si="13"/>
        <v>400</v>
      </c>
      <c r="BZ11" s="79">
        <f t="shared" si="12"/>
        <v>632.07699420697543</v>
      </c>
      <c r="CA11" s="79">
        <f t="shared" si="14"/>
        <v>662.21694175568587</v>
      </c>
      <c r="CB11" s="2103">
        <f>CB56*CB50/360</f>
        <v>662.21694175568587</v>
      </c>
      <c r="CC11" s="2143"/>
      <c r="CD11" s="1873"/>
    </row>
    <row r="12" spans="1:82" ht="14.25" customHeight="1">
      <c r="A12" s="7"/>
      <c r="B12" s="825" t="s">
        <v>130</v>
      </c>
      <c r="C12" s="24"/>
      <c r="D12" s="81">
        <v>846.15200000000004</v>
      </c>
      <c r="E12" s="82">
        <v>911.16300000000001</v>
      </c>
      <c r="F12" s="82">
        <v>931.76300000000003</v>
      </c>
      <c r="G12" s="83">
        <v>388.63099999999997</v>
      </c>
      <c r="H12" s="81">
        <v>337.21600000000001</v>
      </c>
      <c r="I12" s="82">
        <v>405.28500000000003</v>
      </c>
      <c r="J12" s="82">
        <v>465.71600000000001</v>
      </c>
      <c r="K12" s="83">
        <v>814</v>
      </c>
      <c r="L12" s="81">
        <v>938</v>
      </c>
      <c r="M12" s="82">
        <v>892</v>
      </c>
      <c r="N12" s="82">
        <v>839</v>
      </c>
      <c r="O12" s="83">
        <v>821</v>
      </c>
      <c r="P12" s="81">
        <v>785</v>
      </c>
      <c r="Q12" s="82">
        <v>791</v>
      </c>
      <c r="R12" s="82">
        <v>844</v>
      </c>
      <c r="S12" s="83">
        <v>656</v>
      </c>
      <c r="T12" s="81">
        <v>539</v>
      </c>
      <c r="U12" s="82">
        <v>493</v>
      </c>
      <c r="V12" s="82">
        <v>515</v>
      </c>
      <c r="W12" s="83">
        <v>567</v>
      </c>
      <c r="X12" s="82">
        <v>577</v>
      </c>
      <c r="Y12" s="82">
        <v>581</v>
      </c>
      <c r="Z12" s="82">
        <v>622</v>
      </c>
      <c r="AA12" s="82">
        <v>632</v>
      </c>
      <c r="AB12" s="341">
        <v>648</v>
      </c>
      <c r="AC12" s="82">
        <v>642</v>
      </c>
      <c r="AD12" s="82">
        <v>540</v>
      </c>
      <c r="AE12" s="82">
        <v>476</v>
      </c>
      <c r="AF12" s="341">
        <v>585</v>
      </c>
      <c r="AG12" s="82">
        <v>833</v>
      </c>
      <c r="AH12" s="82">
        <v>744</v>
      </c>
      <c r="AI12" s="83">
        <v>562</v>
      </c>
      <c r="AJ12" s="81">
        <v>613</v>
      </c>
      <c r="AK12" s="82">
        <v>711</v>
      </c>
      <c r="AL12" s="82">
        <v>922</v>
      </c>
      <c r="AM12" s="83">
        <v>884</v>
      </c>
      <c r="AN12" s="81">
        <v>869</v>
      </c>
      <c r="AO12" s="82">
        <v>960</v>
      </c>
      <c r="AP12" s="82">
        <v>897</v>
      </c>
      <c r="AQ12" s="83">
        <v>685</v>
      </c>
      <c r="AR12" s="81">
        <v>688</v>
      </c>
      <c r="AS12" s="82">
        <v>799</v>
      </c>
      <c r="AT12" s="82">
        <v>761</v>
      </c>
      <c r="AU12" s="83">
        <v>678</v>
      </c>
      <c r="AV12" s="81">
        <v>675</v>
      </c>
      <c r="AW12" s="82">
        <v>743</v>
      </c>
      <c r="AX12" s="82">
        <v>772</v>
      </c>
      <c r="AY12" s="83">
        <v>751</v>
      </c>
      <c r="AZ12" s="81">
        <v>839</v>
      </c>
      <c r="BA12" s="82">
        <v>833</v>
      </c>
      <c r="BB12" s="82">
        <v>794</v>
      </c>
      <c r="BC12" s="83">
        <v>739</v>
      </c>
      <c r="BD12" s="81">
        <v>715</v>
      </c>
      <c r="BE12" s="1121">
        <f t="shared" ref="BE12:BG12" si="17">BE52/360*BE57*4</f>
        <v>725.9803109463129</v>
      </c>
      <c r="BF12" s="1121">
        <f t="shared" si="17"/>
        <v>726.75045757506155</v>
      </c>
      <c r="BG12" s="1476">
        <f t="shared" si="17"/>
        <v>739.53008322216124</v>
      </c>
      <c r="BH12" s="1121">
        <f t="shared" ref="BH12:BK12" si="18">BH52/360*BH57*4</f>
        <v>704.86108198666409</v>
      </c>
      <c r="BI12" s="1121">
        <f t="shared" si="18"/>
        <v>675.99194908005006</v>
      </c>
      <c r="BJ12" s="1121">
        <f t="shared" si="18"/>
        <v>709.49318445330459</v>
      </c>
      <c r="BK12" s="1476">
        <f t="shared" si="18"/>
        <v>703.84200666604329</v>
      </c>
      <c r="BL12" s="121"/>
      <c r="BM12" s="79">
        <f t="shared" si="0"/>
        <v>388.63099999999997</v>
      </c>
      <c r="BN12" s="79">
        <f t="shared" si="1"/>
        <v>814</v>
      </c>
      <c r="BO12" s="79">
        <f t="shared" si="2"/>
        <v>821</v>
      </c>
      <c r="BP12" s="79">
        <f t="shared" si="3"/>
        <v>656</v>
      </c>
      <c r="BQ12" s="79">
        <f t="shared" si="4"/>
        <v>567</v>
      </c>
      <c r="BR12" s="79">
        <f t="shared" si="5"/>
        <v>632</v>
      </c>
      <c r="BS12" s="79">
        <f t="shared" si="6"/>
        <v>476</v>
      </c>
      <c r="BT12" s="79">
        <f t="shared" si="7"/>
        <v>562</v>
      </c>
      <c r="BU12" s="79">
        <f t="shared" si="8"/>
        <v>884</v>
      </c>
      <c r="BV12" s="79">
        <f t="shared" si="9"/>
        <v>685</v>
      </c>
      <c r="BW12" s="79">
        <f t="shared" si="10"/>
        <v>678</v>
      </c>
      <c r="BX12" s="79">
        <f t="shared" si="11"/>
        <v>751</v>
      </c>
      <c r="BY12" s="79">
        <f t="shared" si="13"/>
        <v>739</v>
      </c>
      <c r="BZ12" s="79">
        <f t="shared" si="12"/>
        <v>739.53008322216124</v>
      </c>
      <c r="CA12" s="79">
        <f t="shared" si="14"/>
        <v>703.84200666604329</v>
      </c>
      <c r="CB12" s="2103">
        <f>CB52*CB57/360</f>
        <v>713.61759009196066</v>
      </c>
      <c r="CC12" s="2143"/>
      <c r="CD12" s="1873"/>
    </row>
    <row r="13" spans="1:82" ht="14.25" customHeight="1">
      <c r="A13" s="7"/>
      <c r="B13" s="825" t="s">
        <v>263</v>
      </c>
      <c r="C13" s="24"/>
      <c r="D13" s="81">
        <v>76.498999999999995</v>
      </c>
      <c r="E13" s="82">
        <v>71.656000000000006</v>
      </c>
      <c r="F13" s="82">
        <v>54.231999999999999</v>
      </c>
      <c r="G13" s="83">
        <v>92.605999999999995</v>
      </c>
      <c r="H13" s="81">
        <v>104.98</v>
      </c>
      <c r="I13" s="82">
        <v>90.322999999999993</v>
      </c>
      <c r="J13" s="82">
        <v>74.980999999999995</v>
      </c>
      <c r="K13" s="83">
        <v>25</v>
      </c>
      <c r="L13" s="81">
        <v>71</v>
      </c>
      <c r="M13" s="82">
        <v>54</v>
      </c>
      <c r="N13" s="82">
        <v>62</v>
      </c>
      <c r="O13" s="83">
        <v>64</v>
      </c>
      <c r="P13" s="81">
        <v>105</v>
      </c>
      <c r="Q13" s="82">
        <v>20</v>
      </c>
      <c r="R13" s="82">
        <v>20</v>
      </c>
      <c r="S13" s="83">
        <v>28</v>
      </c>
      <c r="T13" s="81">
        <v>45</v>
      </c>
      <c r="U13" s="82">
        <v>38</v>
      </c>
      <c r="V13" s="82">
        <v>41</v>
      </c>
      <c r="W13" s="83">
        <v>9</v>
      </c>
      <c r="X13" s="82">
        <v>0</v>
      </c>
      <c r="Y13" s="82">
        <v>0</v>
      </c>
      <c r="Z13" s="82">
        <v>0</v>
      </c>
      <c r="AA13" s="83">
        <v>0</v>
      </c>
      <c r="AB13" s="340">
        <v>0</v>
      </c>
      <c r="AC13" s="82">
        <v>0</v>
      </c>
      <c r="AD13" s="82">
        <v>0</v>
      </c>
      <c r="AE13" s="83">
        <v>0</v>
      </c>
      <c r="AF13" s="340">
        <v>0</v>
      </c>
      <c r="AG13" s="82">
        <v>0</v>
      </c>
      <c r="AH13" s="82">
        <v>0</v>
      </c>
      <c r="AI13" s="83">
        <v>0</v>
      </c>
      <c r="AJ13" s="82">
        <v>0</v>
      </c>
      <c r="AK13" s="82">
        <v>0</v>
      </c>
      <c r="AL13" s="82">
        <v>0</v>
      </c>
      <c r="AM13" s="83">
        <v>0</v>
      </c>
      <c r="AN13" s="82">
        <v>0</v>
      </c>
      <c r="AO13" s="82">
        <v>0</v>
      </c>
      <c r="AP13" s="82">
        <v>0</v>
      </c>
      <c r="AQ13" s="83">
        <v>0</v>
      </c>
      <c r="AR13" s="82">
        <v>0</v>
      </c>
      <c r="AS13" s="82">
        <v>0</v>
      </c>
      <c r="AT13" s="82">
        <v>0</v>
      </c>
      <c r="AU13" s="83">
        <v>0</v>
      </c>
      <c r="AV13" s="82">
        <v>0</v>
      </c>
      <c r="AW13" s="82">
        <v>0</v>
      </c>
      <c r="AX13" s="82">
        <v>0</v>
      </c>
      <c r="AY13" s="83">
        <v>0</v>
      </c>
      <c r="AZ13" s="82">
        <v>0</v>
      </c>
      <c r="BA13" s="82">
        <v>0</v>
      </c>
      <c r="BB13" s="82">
        <v>0</v>
      </c>
      <c r="BC13" s="83">
        <v>0</v>
      </c>
      <c r="BD13" s="82">
        <v>0</v>
      </c>
      <c r="BE13" s="1121">
        <f t="shared" ref="BE13" si="19">BD13</f>
        <v>0</v>
      </c>
      <c r="BF13" s="1121">
        <f t="shared" ref="BF13" si="20">BE13</f>
        <v>0</v>
      </c>
      <c r="BG13" s="1476">
        <f t="shared" ref="BG13" si="21">BF13</f>
        <v>0</v>
      </c>
      <c r="BH13" s="1121">
        <f t="shared" ref="BH13" si="22">BG13</f>
        <v>0</v>
      </c>
      <c r="BI13" s="1121">
        <f t="shared" ref="BI13" si="23">BH13</f>
        <v>0</v>
      </c>
      <c r="BJ13" s="1121">
        <f t="shared" ref="BJ13" si="24">BI13</f>
        <v>0</v>
      </c>
      <c r="BK13" s="1476">
        <f t="shared" ref="BK13" si="25">BJ13</f>
        <v>0</v>
      </c>
      <c r="BL13" s="121"/>
      <c r="BM13" s="79">
        <f t="shared" si="0"/>
        <v>92.605999999999995</v>
      </c>
      <c r="BN13" s="79">
        <f t="shared" si="1"/>
        <v>25</v>
      </c>
      <c r="BO13" s="79">
        <f t="shared" si="2"/>
        <v>64</v>
      </c>
      <c r="BP13" s="79">
        <f t="shared" si="3"/>
        <v>28</v>
      </c>
      <c r="BQ13" s="79">
        <f t="shared" si="4"/>
        <v>9</v>
      </c>
      <c r="BR13" s="79">
        <f t="shared" si="5"/>
        <v>0</v>
      </c>
      <c r="BS13" s="79">
        <f t="shared" si="6"/>
        <v>0</v>
      </c>
      <c r="BT13" s="79">
        <f t="shared" si="7"/>
        <v>0</v>
      </c>
      <c r="BU13" s="79">
        <f t="shared" si="8"/>
        <v>0</v>
      </c>
      <c r="BV13" s="79">
        <f t="shared" si="9"/>
        <v>0</v>
      </c>
      <c r="BW13" s="79">
        <f t="shared" si="10"/>
        <v>0</v>
      </c>
      <c r="BX13" s="79">
        <f t="shared" si="11"/>
        <v>0</v>
      </c>
      <c r="BY13" s="79">
        <f t="shared" si="13"/>
        <v>0</v>
      </c>
      <c r="BZ13" s="79">
        <f t="shared" si="12"/>
        <v>0</v>
      </c>
      <c r="CA13" s="79">
        <f t="shared" si="14"/>
        <v>0</v>
      </c>
      <c r="CB13" s="2090">
        <f>CA13</f>
        <v>0</v>
      </c>
      <c r="CC13" s="2143"/>
      <c r="CD13" s="1873"/>
    </row>
    <row r="14" spans="1:82" ht="14.25" customHeight="1">
      <c r="A14" s="7"/>
      <c r="B14" s="826" t="s">
        <v>241</v>
      </c>
      <c r="C14" s="122"/>
      <c r="D14" s="81">
        <v>421.70600000000002</v>
      </c>
      <c r="E14" s="82">
        <v>309.49099999999999</v>
      </c>
      <c r="F14" s="82">
        <f>263.878+8.564</f>
        <v>272.44200000000001</v>
      </c>
      <c r="G14" s="83">
        <f>334.016+143.286+158.957</f>
        <v>636.25900000000001</v>
      </c>
      <c r="H14" s="81">
        <f>283.171+38.86</f>
        <v>322.03100000000001</v>
      </c>
      <c r="I14" s="82">
        <f>287.598+20.725</f>
        <v>308.32300000000004</v>
      </c>
      <c r="J14" s="82">
        <f>305.045+21.193</f>
        <v>326.238</v>
      </c>
      <c r="K14" s="83">
        <v>443</v>
      </c>
      <c r="L14" s="81">
        <f>331+13</f>
        <v>344</v>
      </c>
      <c r="M14" s="82">
        <f>393+17</f>
        <v>410</v>
      </c>
      <c r="N14" s="82">
        <v>432</v>
      </c>
      <c r="O14" s="83">
        <v>402</v>
      </c>
      <c r="P14" s="81">
        <v>332</v>
      </c>
      <c r="Q14" s="82">
        <f>244+372</f>
        <v>616</v>
      </c>
      <c r="R14" s="82">
        <f>240+232</f>
        <v>472</v>
      </c>
      <c r="S14" s="83">
        <v>279</v>
      </c>
      <c r="T14" s="81">
        <v>254</v>
      </c>
      <c r="U14" s="82">
        <v>302</v>
      </c>
      <c r="V14" s="82">
        <v>279</v>
      </c>
      <c r="W14" s="83">
        <v>278</v>
      </c>
      <c r="X14" s="82">
        <v>147</v>
      </c>
      <c r="Y14" s="82">
        <v>111</v>
      </c>
      <c r="Z14" s="82">
        <v>99</v>
      </c>
      <c r="AA14" s="82">
        <v>205</v>
      </c>
      <c r="AB14" s="341">
        <v>221</v>
      </c>
      <c r="AC14" s="82">
        <v>176</v>
      </c>
      <c r="AD14" s="82">
        <v>157</v>
      </c>
      <c r="AE14" s="82">
        <v>69</v>
      </c>
      <c r="AF14" s="341">
        <v>104</v>
      </c>
      <c r="AG14" s="82">
        <v>77</v>
      </c>
      <c r="AH14" s="82">
        <v>88</v>
      </c>
      <c r="AI14" s="83">
        <v>71</v>
      </c>
      <c r="AJ14" s="81">
        <v>77</v>
      </c>
      <c r="AK14" s="82">
        <v>109</v>
      </c>
      <c r="AL14" s="82">
        <v>84</v>
      </c>
      <c r="AM14" s="83">
        <v>71</v>
      </c>
      <c r="AN14" s="81">
        <v>79</v>
      </c>
      <c r="AO14" s="82">
        <v>152</v>
      </c>
      <c r="AP14" s="82">
        <v>212</v>
      </c>
      <c r="AQ14" s="83">
        <v>193</v>
      </c>
      <c r="AR14" s="81">
        <f>44+88</f>
        <v>132</v>
      </c>
      <c r="AS14" s="82">
        <f>19+117</f>
        <v>136</v>
      </c>
      <c r="AT14" s="82">
        <f>20+63+219</f>
        <v>302</v>
      </c>
      <c r="AU14" s="83">
        <f>43+33+248</f>
        <v>324</v>
      </c>
      <c r="AV14" s="81">
        <f>26+49+252</f>
        <v>327</v>
      </c>
      <c r="AW14" s="82">
        <f>12+68+55</f>
        <v>135</v>
      </c>
      <c r="AX14" s="82">
        <f>13+63+78</f>
        <v>154</v>
      </c>
      <c r="AY14" s="83">
        <f>109+63+32</f>
        <v>204</v>
      </c>
      <c r="AZ14" s="81">
        <f>118+73+31</f>
        <v>222</v>
      </c>
      <c r="BA14" s="82">
        <f>10+68+142</f>
        <v>220</v>
      </c>
      <c r="BB14" s="82">
        <f>26+72+157</f>
        <v>255</v>
      </c>
      <c r="BC14" s="83">
        <v>298</v>
      </c>
      <c r="BD14" s="81">
        <f>18+67+168</f>
        <v>253</v>
      </c>
      <c r="BE14" s="1121">
        <f t="shared" ref="BE14:BG14" si="26">BE54*BE56</f>
        <v>345.70490997443477</v>
      </c>
      <c r="BF14" s="1121">
        <f t="shared" si="26"/>
        <v>346.07164646431511</v>
      </c>
      <c r="BG14" s="1476">
        <f t="shared" si="26"/>
        <v>325.06816844930165</v>
      </c>
      <c r="BH14" s="1121">
        <f t="shared" ref="BH14:BK14" si="27">BH54*BH56</f>
        <v>309.82904702710516</v>
      </c>
      <c r="BI14" s="1121">
        <f t="shared" si="27"/>
        <v>327.09287858712105</v>
      </c>
      <c r="BJ14" s="1121">
        <f t="shared" si="27"/>
        <v>343.30315376772813</v>
      </c>
      <c r="BK14" s="1476">
        <f t="shared" si="27"/>
        <v>340.56871290292418</v>
      </c>
      <c r="BL14" s="121"/>
      <c r="BM14" s="123">
        <f t="shared" si="0"/>
        <v>636.25900000000001</v>
      </c>
      <c r="BN14" s="123">
        <f t="shared" si="1"/>
        <v>443</v>
      </c>
      <c r="BO14" s="123">
        <f t="shared" si="2"/>
        <v>402</v>
      </c>
      <c r="BP14" s="123">
        <f t="shared" si="3"/>
        <v>279</v>
      </c>
      <c r="BQ14" s="123">
        <f t="shared" si="4"/>
        <v>278</v>
      </c>
      <c r="BR14" s="123">
        <f t="shared" si="5"/>
        <v>205</v>
      </c>
      <c r="BS14" s="123">
        <f t="shared" si="6"/>
        <v>69</v>
      </c>
      <c r="BT14" s="123">
        <f t="shared" si="7"/>
        <v>71</v>
      </c>
      <c r="BU14" s="123">
        <f t="shared" si="8"/>
        <v>71</v>
      </c>
      <c r="BV14" s="123">
        <f t="shared" si="9"/>
        <v>193</v>
      </c>
      <c r="BW14" s="123">
        <f t="shared" si="10"/>
        <v>324</v>
      </c>
      <c r="BX14" s="123">
        <f t="shared" si="11"/>
        <v>204</v>
      </c>
      <c r="BY14" s="123">
        <f t="shared" si="13"/>
        <v>298</v>
      </c>
      <c r="BZ14" s="123">
        <f t="shared" si="12"/>
        <v>325.06816844930165</v>
      </c>
      <c r="CA14" s="123">
        <f t="shared" si="14"/>
        <v>340.56871290292418</v>
      </c>
      <c r="CB14" s="2104">
        <f>CB54*CB56</f>
        <v>340.56871290292418</v>
      </c>
      <c r="CC14" s="2143"/>
      <c r="CD14" s="1873"/>
    </row>
    <row r="15" spans="1:82" ht="14.25" customHeight="1">
      <c r="A15" s="7"/>
      <c r="B15" s="827" t="s">
        <v>95</v>
      </c>
      <c r="C15" s="125"/>
      <c r="D15" s="128">
        <f t="shared" ref="D15:AA15" si="28">SUM(D8:D14)</f>
        <v>3127.4740000000002</v>
      </c>
      <c r="E15" s="126">
        <f t="shared" si="28"/>
        <v>3248.0610000000001</v>
      </c>
      <c r="F15" s="126">
        <f t="shared" si="28"/>
        <v>3462.4029999999998</v>
      </c>
      <c r="G15" s="127">
        <f t="shared" si="28"/>
        <v>3558.8360000000002</v>
      </c>
      <c r="H15" s="128">
        <f t="shared" si="28"/>
        <v>4216.8530000000001</v>
      </c>
      <c r="I15" s="126">
        <f t="shared" si="28"/>
        <v>3905.5319999999992</v>
      </c>
      <c r="J15" s="126">
        <f t="shared" si="28"/>
        <v>3911.8610000000003</v>
      </c>
      <c r="K15" s="127">
        <f t="shared" si="28"/>
        <v>3963</v>
      </c>
      <c r="L15" s="128">
        <f t="shared" si="28"/>
        <v>3187</v>
      </c>
      <c r="M15" s="126">
        <f t="shared" si="28"/>
        <v>3598</v>
      </c>
      <c r="N15" s="126">
        <f t="shared" si="28"/>
        <v>3543</v>
      </c>
      <c r="O15" s="127">
        <f t="shared" si="28"/>
        <v>3816</v>
      </c>
      <c r="P15" s="128">
        <f t="shared" si="28"/>
        <v>3513</v>
      </c>
      <c r="Q15" s="126">
        <f t="shared" si="28"/>
        <v>3431</v>
      </c>
      <c r="R15" s="126">
        <f t="shared" si="28"/>
        <v>3297</v>
      </c>
      <c r="S15" s="127">
        <f t="shared" si="28"/>
        <v>2379</v>
      </c>
      <c r="T15" s="128">
        <f t="shared" si="28"/>
        <v>3971</v>
      </c>
      <c r="U15" s="126">
        <f t="shared" si="28"/>
        <v>3713</v>
      </c>
      <c r="V15" s="126">
        <f t="shared" si="28"/>
        <v>3918</v>
      </c>
      <c r="W15" s="127">
        <f t="shared" si="28"/>
        <v>4275</v>
      </c>
      <c r="X15" s="126">
        <f t="shared" si="28"/>
        <v>3331</v>
      </c>
      <c r="Y15" s="126">
        <f t="shared" si="28"/>
        <v>3313</v>
      </c>
      <c r="Z15" s="126">
        <f t="shared" si="28"/>
        <v>3212</v>
      </c>
      <c r="AA15" s="127">
        <f t="shared" si="28"/>
        <v>3594</v>
      </c>
      <c r="AB15" s="128">
        <f t="shared" ref="AB15:AM15" si="29">SUM(AB8:AB14)</f>
        <v>3411</v>
      </c>
      <c r="AC15" s="126">
        <f>SUM(AC8:AC14)</f>
        <v>3438</v>
      </c>
      <c r="AD15" s="126">
        <f>SUM(AD8:AD14)</f>
        <v>3412</v>
      </c>
      <c r="AE15" s="127">
        <f>SUM(AE8:AE14)</f>
        <v>3229</v>
      </c>
      <c r="AF15" s="128">
        <f t="shared" si="29"/>
        <v>3195</v>
      </c>
      <c r="AG15" s="126">
        <f t="shared" si="29"/>
        <v>3233</v>
      </c>
      <c r="AH15" s="126">
        <f t="shared" si="29"/>
        <v>2815</v>
      </c>
      <c r="AI15" s="127">
        <f t="shared" si="29"/>
        <v>2265</v>
      </c>
      <c r="AJ15" s="128">
        <f t="shared" si="29"/>
        <v>2338</v>
      </c>
      <c r="AK15" s="126">
        <f t="shared" si="29"/>
        <v>2458</v>
      </c>
      <c r="AL15" s="126">
        <f t="shared" si="29"/>
        <v>2939</v>
      </c>
      <c r="AM15" s="127">
        <f t="shared" si="29"/>
        <v>2884</v>
      </c>
      <c r="AN15" s="128">
        <f t="shared" ref="AN15:AU15" si="30">SUM(AN8:AN14)</f>
        <v>2690</v>
      </c>
      <c r="AO15" s="126">
        <f t="shared" si="30"/>
        <v>2932</v>
      </c>
      <c r="AP15" s="126">
        <f t="shared" si="30"/>
        <v>3020</v>
      </c>
      <c r="AQ15" s="127">
        <f t="shared" si="30"/>
        <v>2736</v>
      </c>
      <c r="AR15" s="128">
        <f t="shared" si="30"/>
        <v>2497</v>
      </c>
      <c r="AS15" s="126">
        <f>SUM(AS8:AS14)</f>
        <v>2451</v>
      </c>
      <c r="AT15" s="126">
        <f t="shared" si="30"/>
        <v>2466</v>
      </c>
      <c r="AU15" s="127">
        <f t="shared" si="30"/>
        <v>2320</v>
      </c>
      <c r="AV15" s="128">
        <f t="shared" ref="AV15:AY15" si="31">SUM(AV8:AV14)</f>
        <v>2226</v>
      </c>
      <c r="AW15" s="126">
        <f t="shared" si="31"/>
        <v>2506</v>
      </c>
      <c r="AX15" s="126">
        <f t="shared" si="31"/>
        <v>2824</v>
      </c>
      <c r="AY15" s="127">
        <f t="shared" si="31"/>
        <v>2530</v>
      </c>
      <c r="AZ15" s="128">
        <f t="shared" ref="AZ15:BC15" si="32">SUM(AZ8:AZ14)</f>
        <v>2498</v>
      </c>
      <c r="BA15" s="126">
        <f t="shared" si="32"/>
        <v>2511</v>
      </c>
      <c r="BB15" s="126">
        <f t="shared" si="32"/>
        <v>2699</v>
      </c>
      <c r="BC15" s="127">
        <f t="shared" si="32"/>
        <v>2622</v>
      </c>
      <c r="BD15" s="128">
        <f t="shared" ref="BD15" si="33">SUM(BD8:BD14)</f>
        <v>2751</v>
      </c>
      <c r="BE15" s="1470">
        <f t="shared" ref="BE15:BG15" si="34">SUM(BE8:BE14)</f>
        <v>2919.3008726995181</v>
      </c>
      <c r="BF15" s="1470">
        <f t="shared" si="34"/>
        <v>3067.2897403278162</v>
      </c>
      <c r="BG15" s="1479">
        <f t="shared" si="34"/>
        <v>3146.5733636184218</v>
      </c>
      <c r="BH15" s="1470">
        <f t="shared" ref="BH15:BK15" si="35">SUM(BH8:BH14)</f>
        <v>3236.372052356809</v>
      </c>
      <c r="BI15" s="1470">
        <f t="shared" si="35"/>
        <v>3373.024420714034</v>
      </c>
      <c r="BJ15" s="1470">
        <f t="shared" si="35"/>
        <v>3539.5015591651845</v>
      </c>
      <c r="BK15" s="1479">
        <f t="shared" si="35"/>
        <v>3670.2961145251593</v>
      </c>
      <c r="BL15" s="121"/>
      <c r="BM15" s="129">
        <f t="shared" ref="BM15:BS15" si="36">SUM(BM8:BM14)</f>
        <v>3558.8360000000002</v>
      </c>
      <c r="BN15" s="129">
        <f t="shared" si="36"/>
        <v>3963</v>
      </c>
      <c r="BO15" s="129">
        <f t="shared" si="36"/>
        <v>3816</v>
      </c>
      <c r="BP15" s="129">
        <f t="shared" si="36"/>
        <v>2379</v>
      </c>
      <c r="BQ15" s="129">
        <f t="shared" si="36"/>
        <v>4275</v>
      </c>
      <c r="BR15" s="129">
        <f t="shared" si="36"/>
        <v>3594</v>
      </c>
      <c r="BS15" s="129">
        <f t="shared" si="36"/>
        <v>3229</v>
      </c>
      <c r="BT15" s="129">
        <f t="shared" ref="BT15:BY15" si="37">SUM(BT8:BT14)</f>
        <v>2265</v>
      </c>
      <c r="BU15" s="129">
        <f t="shared" si="37"/>
        <v>2884</v>
      </c>
      <c r="BV15" s="129">
        <f>SUM(BV8:BV14)</f>
        <v>2736</v>
      </c>
      <c r="BW15" s="129">
        <f t="shared" si="37"/>
        <v>2320</v>
      </c>
      <c r="BX15" s="129">
        <f>SUM(BX8:BX14)</f>
        <v>2530</v>
      </c>
      <c r="BY15" s="129">
        <f t="shared" si="37"/>
        <v>2622</v>
      </c>
      <c r="BZ15" s="129">
        <f t="shared" ref="BZ15:CB15" si="38">SUM(BZ8:BZ14)</f>
        <v>3146.5733636184218</v>
      </c>
      <c r="CA15" s="129">
        <f t="shared" si="38"/>
        <v>3670.2961145251593</v>
      </c>
      <c r="CB15" s="2105">
        <f t="shared" si="38"/>
        <v>4022.686089181087</v>
      </c>
      <c r="CC15" s="2143"/>
      <c r="CD15" s="1873"/>
    </row>
    <row r="16" spans="1:82" ht="14.25" customHeight="1">
      <c r="A16" s="7"/>
      <c r="B16" s="828"/>
      <c r="C16" s="22"/>
      <c r="D16" s="81"/>
      <c r="E16" s="82"/>
      <c r="F16" s="82"/>
      <c r="G16" s="83"/>
      <c r="H16" s="81"/>
      <c r="I16" s="82"/>
      <c r="J16" s="82"/>
      <c r="K16" s="83"/>
      <c r="L16" s="81"/>
      <c r="M16" s="82"/>
      <c r="N16" s="82"/>
      <c r="O16" s="83"/>
      <c r="P16" s="81"/>
      <c r="Q16" s="82"/>
      <c r="R16" s="82"/>
      <c r="S16" s="83"/>
      <c r="T16" s="81"/>
      <c r="U16" s="82"/>
      <c r="V16" s="82"/>
      <c r="W16" s="83"/>
      <c r="X16" s="82"/>
      <c r="Y16" s="82"/>
      <c r="Z16" s="131"/>
      <c r="AA16" s="131"/>
      <c r="AB16" s="132"/>
      <c r="AC16" s="82"/>
      <c r="AD16" s="131"/>
      <c r="AE16" s="131"/>
      <c r="AF16" s="132"/>
      <c r="AG16" s="131"/>
      <c r="AH16" s="131"/>
      <c r="AI16" s="133"/>
      <c r="AJ16" s="132"/>
      <c r="AK16" s="131"/>
      <c r="AL16" s="131"/>
      <c r="AM16" s="133"/>
      <c r="AN16" s="132"/>
      <c r="AO16" s="131"/>
      <c r="AP16" s="131"/>
      <c r="AQ16" s="133"/>
      <c r="AR16" s="132"/>
      <c r="AS16" s="131"/>
      <c r="AT16" s="131"/>
      <c r="AU16" s="133"/>
      <c r="AV16" s="132"/>
      <c r="AW16" s="131"/>
      <c r="AX16" s="131"/>
      <c r="AY16" s="133"/>
      <c r="AZ16" s="132"/>
      <c r="BA16" s="131"/>
      <c r="BB16" s="131"/>
      <c r="BC16" s="133"/>
      <c r="BD16" s="132"/>
      <c r="BE16" s="1471"/>
      <c r="BF16" s="1471"/>
      <c r="BG16" s="1480"/>
      <c r="BH16" s="1471"/>
      <c r="BI16" s="1471"/>
      <c r="BJ16" s="1471"/>
      <c r="BK16" s="1480"/>
      <c r="BL16" s="121"/>
      <c r="BM16" s="82"/>
      <c r="BN16" s="82"/>
      <c r="BO16" s="82"/>
      <c r="BP16" s="82"/>
      <c r="BQ16" s="82"/>
      <c r="BR16" s="82"/>
      <c r="BS16" s="82"/>
      <c r="BT16" s="82"/>
      <c r="BU16" s="82"/>
      <c r="BV16" s="82"/>
      <c r="BW16" s="82"/>
      <c r="BX16" s="82"/>
      <c r="BY16" s="82"/>
      <c r="BZ16" s="82"/>
      <c r="CA16" s="82"/>
      <c r="CB16" s="2106"/>
      <c r="CC16" s="2143"/>
      <c r="CD16" s="1873"/>
    </row>
    <row r="17" spans="1:82" ht="14.25" customHeight="1">
      <c r="A17" s="7"/>
      <c r="B17" s="825" t="s">
        <v>96</v>
      </c>
      <c r="C17" s="24"/>
      <c r="D17" s="81">
        <v>4316.5479999999998</v>
      </c>
      <c r="E17" s="82">
        <v>4145.4830000000002</v>
      </c>
      <c r="F17" s="82">
        <v>4321.384</v>
      </c>
      <c r="G17" s="83">
        <v>2701</v>
      </c>
      <c r="H17" s="81">
        <v>2874.8870000000002</v>
      </c>
      <c r="I17" s="82">
        <v>3163.181</v>
      </c>
      <c r="J17" s="82">
        <v>3403.8789999999999</v>
      </c>
      <c r="K17" s="83">
        <v>3987</v>
      </c>
      <c r="L17" s="81">
        <v>4405</v>
      </c>
      <c r="M17" s="82">
        <v>4575</v>
      </c>
      <c r="N17" s="82">
        <v>4725</v>
      </c>
      <c r="O17" s="83">
        <v>4720</v>
      </c>
      <c r="P17" s="81">
        <v>4765</v>
      </c>
      <c r="Q17" s="82">
        <v>4599</v>
      </c>
      <c r="R17" s="82">
        <v>4440</v>
      </c>
      <c r="S17" s="83">
        <v>4296</v>
      </c>
      <c r="T17" s="81">
        <v>4137</v>
      </c>
      <c r="U17" s="82">
        <v>4042</v>
      </c>
      <c r="V17" s="82">
        <v>3895</v>
      </c>
      <c r="W17" s="83">
        <v>3809</v>
      </c>
      <c r="X17" s="82">
        <v>789</v>
      </c>
      <c r="Y17" s="82">
        <v>755</v>
      </c>
      <c r="Z17" s="82">
        <v>723</v>
      </c>
      <c r="AA17" s="82">
        <v>700</v>
      </c>
      <c r="AB17" s="341">
        <v>676</v>
      </c>
      <c r="AC17" s="82">
        <v>686</v>
      </c>
      <c r="AD17" s="82">
        <v>697</v>
      </c>
      <c r="AE17" s="82">
        <v>726</v>
      </c>
      <c r="AF17" s="341">
        <v>715</v>
      </c>
      <c r="AG17" s="82">
        <v>707</v>
      </c>
      <c r="AH17" s="82">
        <v>685</v>
      </c>
      <c r="AI17" s="83">
        <v>658</v>
      </c>
      <c r="AJ17" s="81">
        <v>411</v>
      </c>
      <c r="AK17" s="82">
        <v>402</v>
      </c>
      <c r="AL17" s="82">
        <v>358</v>
      </c>
      <c r="AM17" s="83">
        <v>346</v>
      </c>
      <c r="AN17" s="81">
        <v>337</v>
      </c>
      <c r="AO17" s="82">
        <v>329</v>
      </c>
      <c r="AP17" s="82">
        <v>328</v>
      </c>
      <c r="AQ17" s="83">
        <v>302</v>
      </c>
      <c r="AR17" s="81">
        <v>297</v>
      </c>
      <c r="AS17" s="82">
        <v>289</v>
      </c>
      <c r="AT17" s="82">
        <v>194</v>
      </c>
      <c r="AU17" s="83">
        <v>188</v>
      </c>
      <c r="AV17" s="81">
        <v>176</v>
      </c>
      <c r="AW17" s="82">
        <v>169</v>
      </c>
      <c r="AX17" s="82">
        <v>161</v>
      </c>
      <c r="AY17" s="83">
        <v>164</v>
      </c>
      <c r="AZ17" s="81">
        <v>180</v>
      </c>
      <c r="BA17" s="82">
        <v>200</v>
      </c>
      <c r="BB17" s="82">
        <v>236</v>
      </c>
      <c r="BC17" s="83">
        <v>261</v>
      </c>
      <c r="BD17" s="81">
        <v>290</v>
      </c>
      <c r="BE17" s="1121">
        <f>CFS!BE76</f>
        <v>276</v>
      </c>
      <c r="BF17" s="1121">
        <f>CFS!BF76</f>
        <v>262</v>
      </c>
      <c r="BG17" s="1476">
        <f>CFS!BG76</f>
        <v>248</v>
      </c>
      <c r="BH17" s="1121">
        <f>CFS!BH76</f>
        <v>234</v>
      </c>
      <c r="BI17" s="1121">
        <f>CFS!BI76</f>
        <v>220</v>
      </c>
      <c r="BJ17" s="1121">
        <f>CFS!BJ76</f>
        <v>206</v>
      </c>
      <c r="BK17" s="1476">
        <f>CFS!BK76</f>
        <v>192</v>
      </c>
      <c r="BL17" s="121"/>
      <c r="BM17" s="79">
        <f t="shared" ref="BM17:BM23" si="39">G17</f>
        <v>2701</v>
      </c>
      <c r="BN17" s="79">
        <f t="shared" ref="BN17:BN23" si="40">K17</f>
        <v>3987</v>
      </c>
      <c r="BO17" s="79">
        <f t="shared" ref="BO17:BO23" si="41">O17</f>
        <v>4720</v>
      </c>
      <c r="BP17" s="79">
        <f t="shared" ref="BP17:BP23" si="42">S17</f>
        <v>4296</v>
      </c>
      <c r="BQ17" s="79">
        <f t="shared" ref="BQ17:BQ23" si="43">W17</f>
        <v>3809</v>
      </c>
      <c r="BR17" s="79">
        <f t="shared" ref="BR17:BR23" si="44">AA17</f>
        <v>700</v>
      </c>
      <c r="BS17" s="79">
        <f t="shared" ref="BS17:BS23" si="45">AE17</f>
        <v>726</v>
      </c>
      <c r="BT17" s="79">
        <f t="shared" ref="BT17:BT23" si="46">AI17</f>
        <v>658</v>
      </c>
      <c r="BU17" s="79">
        <f t="shared" ref="BU17:BU23" si="47">AM17</f>
        <v>346</v>
      </c>
      <c r="BV17" s="79">
        <f t="shared" ref="BV17:BV23" si="48">AQ17</f>
        <v>302</v>
      </c>
      <c r="BW17" s="79">
        <f t="shared" ref="BW17:BW23" si="49">AU17</f>
        <v>188</v>
      </c>
      <c r="BX17" s="79">
        <f t="shared" ref="BX17:BX23" si="50">AY17</f>
        <v>164</v>
      </c>
      <c r="BY17" s="79">
        <f t="shared" ref="BY17:BY23" si="51">BC17</f>
        <v>261</v>
      </c>
      <c r="BZ17" s="79">
        <f t="shared" ref="BZ17:BZ23" si="52">BG17</f>
        <v>248</v>
      </c>
      <c r="CA17" s="79">
        <f t="shared" ref="CA17:CA23" si="53">BK17</f>
        <v>192</v>
      </c>
      <c r="CB17" s="2090">
        <f>CFS!CB76</f>
        <v>266.17953442136582</v>
      </c>
      <c r="CC17" s="2143"/>
      <c r="CD17" s="1873"/>
    </row>
    <row r="18" spans="1:82" ht="14.25" customHeight="1">
      <c r="A18" s="7"/>
      <c r="B18" s="825" t="s">
        <v>242</v>
      </c>
      <c r="C18" s="24"/>
      <c r="D18" s="81">
        <v>0</v>
      </c>
      <c r="E18" s="82">
        <v>0</v>
      </c>
      <c r="F18" s="82">
        <v>0</v>
      </c>
      <c r="G18" s="83">
        <v>0</v>
      </c>
      <c r="H18" s="81">
        <v>0</v>
      </c>
      <c r="I18" s="82">
        <v>0</v>
      </c>
      <c r="J18" s="82">
        <v>0</v>
      </c>
      <c r="K18" s="83">
        <v>0</v>
      </c>
      <c r="L18" s="81">
        <v>0</v>
      </c>
      <c r="M18" s="82">
        <v>0</v>
      </c>
      <c r="N18" s="82">
        <v>0</v>
      </c>
      <c r="O18" s="83">
        <v>0</v>
      </c>
      <c r="P18" s="81">
        <v>0</v>
      </c>
      <c r="Q18" s="82">
        <v>0</v>
      </c>
      <c r="R18" s="82">
        <v>0</v>
      </c>
      <c r="S18" s="83">
        <v>0</v>
      </c>
      <c r="T18" s="81">
        <v>0</v>
      </c>
      <c r="U18" s="82">
        <v>0</v>
      </c>
      <c r="V18" s="82">
        <v>0</v>
      </c>
      <c r="W18" s="83">
        <v>0</v>
      </c>
      <c r="X18" s="82">
        <v>0</v>
      </c>
      <c r="Y18" s="82">
        <v>0</v>
      </c>
      <c r="Z18" s="82">
        <v>0</v>
      </c>
      <c r="AA18" s="83">
        <v>0</v>
      </c>
      <c r="AB18" s="340">
        <v>0</v>
      </c>
      <c r="AC18" s="82">
        <v>0</v>
      </c>
      <c r="AD18" s="82">
        <v>50</v>
      </c>
      <c r="AE18" s="83">
        <v>149</v>
      </c>
      <c r="AF18" s="340">
        <v>169</v>
      </c>
      <c r="AG18" s="82">
        <v>180</v>
      </c>
      <c r="AH18" s="82">
        <v>180</v>
      </c>
      <c r="AI18" s="83">
        <v>181</v>
      </c>
      <c r="AJ18" s="82">
        <v>180</v>
      </c>
      <c r="AK18" s="82">
        <v>149</v>
      </c>
      <c r="AL18" s="82">
        <v>121</v>
      </c>
      <c r="AM18" s="83">
        <v>90</v>
      </c>
      <c r="AN18" s="82">
        <v>80</v>
      </c>
      <c r="AO18" s="82">
        <v>0</v>
      </c>
      <c r="AP18" s="82">
        <v>0</v>
      </c>
      <c r="AQ18" s="83">
        <v>0</v>
      </c>
      <c r="AR18" s="82">
        <v>0</v>
      </c>
      <c r="AS18" s="82">
        <v>0</v>
      </c>
      <c r="AT18" s="82">
        <v>0</v>
      </c>
      <c r="AU18" s="83">
        <v>0</v>
      </c>
      <c r="AV18" s="82">
        <v>0</v>
      </c>
      <c r="AW18" s="82">
        <v>0</v>
      </c>
      <c r="AX18" s="82">
        <v>0</v>
      </c>
      <c r="AY18" s="83">
        <v>0</v>
      </c>
      <c r="AZ18" s="82">
        <v>0</v>
      </c>
      <c r="BA18" s="82">
        <v>0</v>
      </c>
      <c r="BB18" s="82">
        <v>0</v>
      </c>
      <c r="BC18" s="83">
        <v>0</v>
      </c>
      <c r="BD18" s="82">
        <v>0</v>
      </c>
      <c r="BE18" s="1121">
        <f t="shared" ref="BE18:BE19" si="54">BD18</f>
        <v>0</v>
      </c>
      <c r="BF18" s="1121">
        <f t="shared" ref="BF18:BF19" si="55">BE18</f>
        <v>0</v>
      </c>
      <c r="BG18" s="1476">
        <f t="shared" ref="BG18:BG19" si="56">BF18</f>
        <v>0</v>
      </c>
      <c r="BH18" s="1121">
        <f t="shared" ref="BH18:BH19" si="57">BG18</f>
        <v>0</v>
      </c>
      <c r="BI18" s="1121">
        <f t="shared" ref="BI18:BI19" si="58">BH18</f>
        <v>0</v>
      </c>
      <c r="BJ18" s="1121">
        <f t="shared" ref="BJ18:BJ19" si="59">BI18</f>
        <v>0</v>
      </c>
      <c r="BK18" s="1476">
        <f t="shared" ref="BK18:BK19" si="60">BJ18</f>
        <v>0</v>
      </c>
      <c r="BL18" s="121"/>
      <c r="BM18" s="79">
        <f t="shared" si="39"/>
        <v>0</v>
      </c>
      <c r="BN18" s="79">
        <f t="shared" si="40"/>
        <v>0</v>
      </c>
      <c r="BO18" s="79">
        <f t="shared" si="41"/>
        <v>0</v>
      </c>
      <c r="BP18" s="79">
        <f t="shared" si="42"/>
        <v>0</v>
      </c>
      <c r="BQ18" s="79">
        <f t="shared" si="43"/>
        <v>0</v>
      </c>
      <c r="BR18" s="79">
        <f t="shared" si="44"/>
        <v>0</v>
      </c>
      <c r="BS18" s="79">
        <f t="shared" si="45"/>
        <v>149</v>
      </c>
      <c r="BT18" s="79">
        <f t="shared" si="46"/>
        <v>181</v>
      </c>
      <c r="BU18" s="79">
        <f t="shared" si="47"/>
        <v>90</v>
      </c>
      <c r="BV18" s="79">
        <f t="shared" si="48"/>
        <v>0</v>
      </c>
      <c r="BW18" s="79">
        <f t="shared" si="49"/>
        <v>0</v>
      </c>
      <c r="BX18" s="79">
        <f t="shared" si="50"/>
        <v>0</v>
      </c>
      <c r="BY18" s="79">
        <f t="shared" si="51"/>
        <v>0</v>
      </c>
      <c r="BZ18" s="79">
        <f t="shared" si="52"/>
        <v>0</v>
      </c>
      <c r="CA18" s="79">
        <f t="shared" si="53"/>
        <v>0</v>
      </c>
      <c r="CB18" s="2090">
        <f t="shared" ref="CB18:CB19" si="61">CA18</f>
        <v>0</v>
      </c>
      <c r="CC18" s="2143"/>
      <c r="CD18" s="1873"/>
    </row>
    <row r="19" spans="1:82" ht="14.25" customHeight="1">
      <c r="A19" s="7"/>
      <c r="B19" s="825" t="s">
        <v>245</v>
      </c>
      <c r="C19" s="24"/>
      <c r="D19" s="81">
        <v>0</v>
      </c>
      <c r="E19" s="82">
        <v>0</v>
      </c>
      <c r="F19" s="82">
        <v>0</v>
      </c>
      <c r="G19" s="83">
        <v>0</v>
      </c>
      <c r="H19" s="81">
        <v>0</v>
      </c>
      <c r="I19" s="82">
        <v>0</v>
      </c>
      <c r="J19" s="82">
        <v>0</v>
      </c>
      <c r="K19" s="83">
        <v>0</v>
      </c>
      <c r="L19" s="81">
        <v>0</v>
      </c>
      <c r="M19" s="82">
        <v>0</v>
      </c>
      <c r="N19" s="82">
        <v>0</v>
      </c>
      <c r="O19" s="83">
        <v>0</v>
      </c>
      <c r="P19" s="81">
        <v>0</v>
      </c>
      <c r="Q19" s="82">
        <v>0</v>
      </c>
      <c r="R19" s="82">
        <v>0</v>
      </c>
      <c r="S19" s="83">
        <v>0</v>
      </c>
      <c r="T19" s="81">
        <v>0</v>
      </c>
      <c r="U19" s="82">
        <v>0</v>
      </c>
      <c r="V19" s="82">
        <v>0</v>
      </c>
      <c r="W19" s="83">
        <v>0</v>
      </c>
      <c r="X19" s="82">
        <v>270</v>
      </c>
      <c r="Y19" s="82">
        <v>148</v>
      </c>
      <c r="Z19" s="82">
        <v>0</v>
      </c>
      <c r="AA19" s="83">
        <v>0</v>
      </c>
      <c r="AB19" s="340">
        <v>486</v>
      </c>
      <c r="AC19" s="82">
        <v>486</v>
      </c>
      <c r="AD19" s="82">
        <v>486</v>
      </c>
      <c r="AE19" s="83">
        <v>278</v>
      </c>
      <c r="AF19" s="340">
        <v>0</v>
      </c>
      <c r="AG19" s="82">
        <v>0</v>
      </c>
      <c r="AH19" s="82">
        <v>0</v>
      </c>
      <c r="AI19" s="83">
        <v>0</v>
      </c>
      <c r="AJ19" s="82">
        <v>0</v>
      </c>
      <c r="AK19" s="82">
        <v>0</v>
      </c>
      <c r="AL19" s="82">
        <v>0</v>
      </c>
      <c r="AM19" s="83">
        <v>0</v>
      </c>
      <c r="AN19" s="82">
        <v>0</v>
      </c>
      <c r="AO19" s="82">
        <v>0</v>
      </c>
      <c r="AP19" s="82">
        <v>0</v>
      </c>
      <c r="AQ19" s="83">
        <v>0</v>
      </c>
      <c r="AR19" s="82">
        <v>0</v>
      </c>
      <c r="AS19" s="82">
        <v>0</v>
      </c>
      <c r="AT19" s="82">
        <v>0</v>
      </c>
      <c r="AU19" s="83">
        <v>0</v>
      </c>
      <c r="AV19" s="82">
        <v>0</v>
      </c>
      <c r="AW19" s="82">
        <v>0</v>
      </c>
      <c r="AX19" s="82">
        <v>60</v>
      </c>
      <c r="AY19" s="83">
        <v>0</v>
      </c>
      <c r="AZ19" s="82">
        <v>0</v>
      </c>
      <c r="BA19" s="82">
        <v>0</v>
      </c>
      <c r="BB19" s="82">
        <v>0</v>
      </c>
      <c r="BC19" s="83">
        <v>0</v>
      </c>
      <c r="BD19" s="82">
        <v>0</v>
      </c>
      <c r="BE19" s="1121">
        <f t="shared" si="54"/>
        <v>0</v>
      </c>
      <c r="BF19" s="1121">
        <f t="shared" si="55"/>
        <v>0</v>
      </c>
      <c r="BG19" s="1476">
        <f t="shared" si="56"/>
        <v>0</v>
      </c>
      <c r="BH19" s="1121">
        <f t="shared" si="57"/>
        <v>0</v>
      </c>
      <c r="BI19" s="1121">
        <f t="shared" si="58"/>
        <v>0</v>
      </c>
      <c r="BJ19" s="1121">
        <f t="shared" si="59"/>
        <v>0</v>
      </c>
      <c r="BK19" s="1476">
        <f t="shared" si="60"/>
        <v>0</v>
      </c>
      <c r="BL19" s="121"/>
      <c r="BM19" s="79">
        <f t="shared" si="39"/>
        <v>0</v>
      </c>
      <c r="BN19" s="79">
        <f t="shared" si="40"/>
        <v>0</v>
      </c>
      <c r="BO19" s="79">
        <f t="shared" si="41"/>
        <v>0</v>
      </c>
      <c r="BP19" s="79">
        <f t="shared" si="42"/>
        <v>0</v>
      </c>
      <c r="BQ19" s="79">
        <f t="shared" si="43"/>
        <v>0</v>
      </c>
      <c r="BR19" s="79">
        <f t="shared" si="44"/>
        <v>0</v>
      </c>
      <c r="BS19" s="79">
        <f t="shared" si="45"/>
        <v>278</v>
      </c>
      <c r="BT19" s="79">
        <f t="shared" si="46"/>
        <v>0</v>
      </c>
      <c r="BU19" s="79">
        <f t="shared" si="47"/>
        <v>0</v>
      </c>
      <c r="BV19" s="79">
        <f t="shared" si="48"/>
        <v>0</v>
      </c>
      <c r="BW19" s="79">
        <f t="shared" si="49"/>
        <v>0</v>
      </c>
      <c r="BX19" s="79">
        <f t="shared" si="50"/>
        <v>0</v>
      </c>
      <c r="BY19" s="79">
        <f t="shared" si="51"/>
        <v>0</v>
      </c>
      <c r="BZ19" s="79">
        <f t="shared" si="52"/>
        <v>0</v>
      </c>
      <c r="CA19" s="79">
        <f t="shared" si="53"/>
        <v>0</v>
      </c>
      <c r="CB19" s="2090">
        <f t="shared" si="61"/>
        <v>0</v>
      </c>
      <c r="CC19" s="2143"/>
      <c r="CD19" s="1873"/>
    </row>
    <row r="20" spans="1:82" ht="14.25" customHeight="1">
      <c r="A20" s="7"/>
      <c r="B20" s="825" t="s">
        <v>189</v>
      </c>
      <c r="C20" s="24"/>
      <c r="D20" s="81">
        <v>0</v>
      </c>
      <c r="E20" s="82">
        <v>0</v>
      </c>
      <c r="F20" s="82">
        <v>0</v>
      </c>
      <c r="G20" s="83">
        <v>0</v>
      </c>
      <c r="H20" s="81">
        <v>0</v>
      </c>
      <c r="I20" s="82">
        <v>0</v>
      </c>
      <c r="J20" s="82">
        <v>0</v>
      </c>
      <c r="K20" s="83">
        <v>0</v>
      </c>
      <c r="L20" s="81">
        <v>0</v>
      </c>
      <c r="M20" s="82">
        <v>0</v>
      </c>
      <c r="N20" s="82">
        <v>0</v>
      </c>
      <c r="O20" s="83">
        <v>0</v>
      </c>
      <c r="P20" s="81">
        <v>0</v>
      </c>
      <c r="Q20" s="82">
        <v>0</v>
      </c>
      <c r="R20" s="82">
        <v>0</v>
      </c>
      <c r="S20" s="83">
        <v>0</v>
      </c>
      <c r="T20" s="81">
        <v>0</v>
      </c>
      <c r="U20" s="82">
        <v>0</v>
      </c>
      <c r="V20" s="82">
        <v>0</v>
      </c>
      <c r="W20" s="83">
        <v>0</v>
      </c>
      <c r="X20" s="82">
        <v>0</v>
      </c>
      <c r="Y20" s="82">
        <v>0</v>
      </c>
      <c r="Z20" s="82">
        <v>0</v>
      </c>
      <c r="AA20" s="82">
        <v>0</v>
      </c>
      <c r="AB20" s="341">
        <v>0</v>
      </c>
      <c r="AC20" s="82">
        <v>0</v>
      </c>
      <c r="AD20" s="82">
        <v>0</v>
      </c>
      <c r="AE20" s="82">
        <v>0</v>
      </c>
      <c r="AF20" s="341">
        <v>0</v>
      </c>
      <c r="AG20" s="82">
        <v>0</v>
      </c>
      <c r="AH20" s="82">
        <v>0</v>
      </c>
      <c r="AI20" s="83">
        <v>0</v>
      </c>
      <c r="AJ20" s="81">
        <v>0</v>
      </c>
      <c r="AK20" s="82">
        <v>0</v>
      </c>
      <c r="AL20" s="82">
        <v>0</v>
      </c>
      <c r="AM20" s="83">
        <v>0</v>
      </c>
      <c r="AN20" s="81">
        <v>0</v>
      </c>
      <c r="AO20" s="82">
        <v>0</v>
      </c>
      <c r="AP20" s="82">
        <v>0</v>
      </c>
      <c r="AQ20" s="83">
        <v>0</v>
      </c>
      <c r="AR20" s="81">
        <v>0</v>
      </c>
      <c r="AS20" s="82">
        <v>0</v>
      </c>
      <c r="AT20" s="82">
        <v>0</v>
      </c>
      <c r="AU20" s="83">
        <v>0</v>
      </c>
      <c r="AV20" s="81">
        <v>0</v>
      </c>
      <c r="AW20" s="82">
        <v>0</v>
      </c>
      <c r="AX20" s="82">
        <v>0</v>
      </c>
      <c r="AY20" s="83">
        <v>0</v>
      </c>
      <c r="AZ20" s="81">
        <v>0</v>
      </c>
      <c r="BA20" s="82">
        <v>0</v>
      </c>
      <c r="BB20" s="82">
        <v>0</v>
      </c>
      <c r="BC20" s="83">
        <v>0</v>
      </c>
      <c r="BD20" s="81">
        <v>0</v>
      </c>
      <c r="BE20" s="1121">
        <f>BD20+CFS!BE38</f>
        <v>0</v>
      </c>
      <c r="BF20" s="1121">
        <f>BE20+CFS!BF38</f>
        <v>0</v>
      </c>
      <c r="BG20" s="1476">
        <f>BF20+CFS!BG38</f>
        <v>0</v>
      </c>
      <c r="BH20" s="1121">
        <f>BG20+CFS!BH38</f>
        <v>0</v>
      </c>
      <c r="BI20" s="1121">
        <f>BH20+CFS!BI38</f>
        <v>0</v>
      </c>
      <c r="BJ20" s="1121">
        <f>BI20+CFS!BJ38</f>
        <v>0</v>
      </c>
      <c r="BK20" s="1476">
        <f>BJ20+CFS!BK38</f>
        <v>0</v>
      </c>
      <c r="BL20" s="121"/>
      <c r="BM20" s="79">
        <f t="shared" si="39"/>
        <v>0</v>
      </c>
      <c r="BN20" s="79">
        <f t="shared" si="40"/>
        <v>0</v>
      </c>
      <c r="BO20" s="79">
        <f t="shared" si="41"/>
        <v>0</v>
      </c>
      <c r="BP20" s="79">
        <f t="shared" si="42"/>
        <v>0</v>
      </c>
      <c r="BQ20" s="79">
        <f t="shared" si="43"/>
        <v>0</v>
      </c>
      <c r="BR20" s="79">
        <f t="shared" si="44"/>
        <v>0</v>
      </c>
      <c r="BS20" s="79">
        <f t="shared" si="45"/>
        <v>0</v>
      </c>
      <c r="BT20" s="79">
        <f t="shared" si="46"/>
        <v>0</v>
      </c>
      <c r="BU20" s="79">
        <f t="shared" si="47"/>
        <v>0</v>
      </c>
      <c r="BV20" s="79">
        <f t="shared" si="48"/>
        <v>0</v>
      </c>
      <c r="BW20" s="79">
        <f t="shared" si="49"/>
        <v>0</v>
      </c>
      <c r="BX20" s="79">
        <f t="shared" si="50"/>
        <v>0</v>
      </c>
      <c r="BY20" s="79">
        <f t="shared" si="51"/>
        <v>0</v>
      </c>
      <c r="BZ20" s="79">
        <f t="shared" si="52"/>
        <v>0</v>
      </c>
      <c r="CA20" s="79">
        <f t="shared" si="53"/>
        <v>0</v>
      </c>
      <c r="CB20" s="2090">
        <f>CA20+CFS!CB38</f>
        <v>0</v>
      </c>
      <c r="CC20" s="2143"/>
      <c r="CD20" s="1873"/>
    </row>
    <row r="21" spans="1:82" ht="14.25" customHeight="1">
      <c r="A21" s="7"/>
      <c r="B21" s="825" t="s">
        <v>243</v>
      </c>
      <c r="C21" s="24"/>
      <c r="D21" s="81">
        <v>0</v>
      </c>
      <c r="E21" s="82">
        <v>0</v>
      </c>
      <c r="F21" s="82">
        <v>0</v>
      </c>
      <c r="G21" s="83">
        <v>0</v>
      </c>
      <c r="H21" s="81">
        <v>0</v>
      </c>
      <c r="I21" s="82">
        <v>0</v>
      </c>
      <c r="J21" s="82">
        <v>0</v>
      </c>
      <c r="K21" s="83">
        <v>1207</v>
      </c>
      <c r="L21" s="81">
        <v>1136</v>
      </c>
      <c r="M21" s="82">
        <v>1065</v>
      </c>
      <c r="N21" s="82">
        <v>994</v>
      </c>
      <c r="O21" s="83">
        <v>587</v>
      </c>
      <c r="P21" s="81">
        <v>537</v>
      </c>
      <c r="Q21" s="82">
        <v>253</v>
      </c>
      <c r="R21" s="82">
        <v>224</v>
      </c>
      <c r="S21" s="83">
        <v>168</v>
      </c>
      <c r="T21" s="81">
        <v>150</v>
      </c>
      <c r="U21" s="82">
        <v>133</v>
      </c>
      <c r="V21" s="82">
        <v>116</v>
      </c>
      <c r="W21" s="83">
        <v>98</v>
      </c>
      <c r="X21" s="82">
        <v>81</v>
      </c>
      <c r="Y21" s="82">
        <v>64</v>
      </c>
      <c r="Z21" s="82">
        <v>48</v>
      </c>
      <c r="AA21" s="82">
        <v>37</v>
      </c>
      <c r="AB21" s="341">
        <v>28</v>
      </c>
      <c r="AC21" s="82">
        <v>19</v>
      </c>
      <c r="AD21" s="82">
        <v>11</v>
      </c>
      <c r="AE21" s="82">
        <v>0</v>
      </c>
      <c r="AF21" s="341">
        <v>109</v>
      </c>
      <c r="AG21" s="82">
        <v>105</v>
      </c>
      <c r="AH21" s="82">
        <v>100</v>
      </c>
      <c r="AI21" s="83">
        <v>96</v>
      </c>
      <c r="AJ21" s="81">
        <v>92</v>
      </c>
      <c r="AK21" s="82">
        <v>87</v>
      </c>
      <c r="AL21" s="82">
        <v>82</v>
      </c>
      <c r="AM21" s="83">
        <v>78</v>
      </c>
      <c r="AN21" s="81">
        <v>75</v>
      </c>
      <c r="AO21" s="82">
        <v>72</v>
      </c>
      <c r="AP21" s="82">
        <v>69</v>
      </c>
      <c r="AQ21" s="83">
        <v>65</v>
      </c>
      <c r="AR21" s="81">
        <v>0</v>
      </c>
      <c r="AS21" s="82">
        <v>0</v>
      </c>
      <c r="AT21" s="82">
        <v>0</v>
      </c>
      <c r="AU21" s="83">
        <v>0</v>
      </c>
      <c r="AV21" s="81">
        <v>0</v>
      </c>
      <c r="AW21" s="82">
        <v>0</v>
      </c>
      <c r="AX21" s="82">
        <v>0</v>
      </c>
      <c r="AY21" s="83">
        <v>0</v>
      </c>
      <c r="AZ21" s="81">
        <v>0</v>
      </c>
      <c r="BA21" s="82">
        <v>0</v>
      </c>
      <c r="BB21" s="82">
        <v>0</v>
      </c>
      <c r="BC21" s="83">
        <v>0</v>
      </c>
      <c r="BD21" s="81">
        <v>0</v>
      </c>
      <c r="BE21" s="1121">
        <f t="shared" ref="BE21:BE23" si="62">BD21</f>
        <v>0</v>
      </c>
      <c r="BF21" s="1121">
        <f t="shared" ref="BF21:BF23" si="63">BE21</f>
        <v>0</v>
      </c>
      <c r="BG21" s="1476">
        <f t="shared" ref="BG21:BG23" si="64">BF21</f>
        <v>0</v>
      </c>
      <c r="BH21" s="1121">
        <f t="shared" ref="BH21:BH23" si="65">BG21</f>
        <v>0</v>
      </c>
      <c r="BI21" s="1121">
        <f t="shared" ref="BI21:BI23" si="66">BH21</f>
        <v>0</v>
      </c>
      <c r="BJ21" s="1121">
        <f t="shared" ref="BJ21:BJ23" si="67">BI21</f>
        <v>0</v>
      </c>
      <c r="BK21" s="1476">
        <f t="shared" ref="BK21:BK23" si="68">BJ21</f>
        <v>0</v>
      </c>
      <c r="BL21" s="121"/>
      <c r="BM21" s="79">
        <f t="shared" si="39"/>
        <v>0</v>
      </c>
      <c r="BN21" s="79">
        <f t="shared" si="40"/>
        <v>1207</v>
      </c>
      <c r="BO21" s="79">
        <f t="shared" si="41"/>
        <v>587</v>
      </c>
      <c r="BP21" s="79">
        <f t="shared" si="42"/>
        <v>168</v>
      </c>
      <c r="BQ21" s="79">
        <f t="shared" si="43"/>
        <v>98</v>
      </c>
      <c r="BR21" s="79">
        <f t="shared" si="44"/>
        <v>37</v>
      </c>
      <c r="BS21" s="79">
        <f t="shared" si="45"/>
        <v>0</v>
      </c>
      <c r="BT21" s="79">
        <f t="shared" si="46"/>
        <v>96</v>
      </c>
      <c r="BU21" s="79">
        <f t="shared" si="47"/>
        <v>78</v>
      </c>
      <c r="BV21" s="79">
        <f t="shared" si="48"/>
        <v>65</v>
      </c>
      <c r="BW21" s="79">
        <f t="shared" si="49"/>
        <v>0</v>
      </c>
      <c r="BX21" s="79">
        <f t="shared" si="50"/>
        <v>0</v>
      </c>
      <c r="BY21" s="79">
        <f t="shared" si="51"/>
        <v>0</v>
      </c>
      <c r="BZ21" s="79">
        <f t="shared" si="52"/>
        <v>0</v>
      </c>
      <c r="CA21" s="79">
        <f t="shared" si="53"/>
        <v>0</v>
      </c>
      <c r="CB21" s="2090">
        <f t="shared" ref="CB21:CB23" si="69">CA21</f>
        <v>0</v>
      </c>
      <c r="CC21" s="2143"/>
      <c r="CD21" s="1873"/>
    </row>
    <row r="22" spans="1:82" ht="14.25" customHeight="1">
      <c r="A22" s="7"/>
      <c r="B22" s="825" t="s">
        <v>97</v>
      </c>
      <c r="C22" s="24"/>
      <c r="D22" s="81">
        <v>0</v>
      </c>
      <c r="E22" s="82">
        <v>0</v>
      </c>
      <c r="F22" s="82">
        <v>0</v>
      </c>
      <c r="G22" s="83">
        <v>0</v>
      </c>
      <c r="H22" s="81">
        <v>0</v>
      </c>
      <c r="I22" s="82">
        <v>0</v>
      </c>
      <c r="J22" s="82">
        <v>0</v>
      </c>
      <c r="K22" s="83">
        <v>3217</v>
      </c>
      <c r="L22" s="81">
        <v>3186</v>
      </c>
      <c r="M22" s="82">
        <v>3180</v>
      </c>
      <c r="N22" s="82">
        <v>3165</v>
      </c>
      <c r="O22" s="83">
        <v>1907</v>
      </c>
      <c r="P22" s="81">
        <v>1907</v>
      </c>
      <c r="Q22" s="82">
        <v>945</v>
      </c>
      <c r="R22" s="82">
        <v>945</v>
      </c>
      <c r="S22" s="83">
        <v>323</v>
      </c>
      <c r="T22" s="81">
        <v>323</v>
      </c>
      <c r="U22" s="82">
        <v>323</v>
      </c>
      <c r="V22" s="82">
        <v>323</v>
      </c>
      <c r="W22" s="83">
        <v>323</v>
      </c>
      <c r="X22" s="82">
        <v>323</v>
      </c>
      <c r="Y22" s="82">
        <v>323</v>
      </c>
      <c r="Z22" s="82">
        <v>323</v>
      </c>
      <c r="AA22" s="82">
        <v>323</v>
      </c>
      <c r="AB22" s="341">
        <v>323</v>
      </c>
      <c r="AC22" s="82">
        <v>323</v>
      </c>
      <c r="AD22" s="82">
        <v>323</v>
      </c>
      <c r="AE22" s="82">
        <v>323</v>
      </c>
      <c r="AF22" s="341">
        <v>553</v>
      </c>
      <c r="AG22" s="82">
        <v>553</v>
      </c>
      <c r="AH22" s="82">
        <v>553</v>
      </c>
      <c r="AI22" s="83">
        <v>553</v>
      </c>
      <c r="AJ22" s="81">
        <v>553</v>
      </c>
      <c r="AK22" s="82">
        <v>553</v>
      </c>
      <c r="AL22" s="82">
        <v>553</v>
      </c>
      <c r="AM22" s="83">
        <v>553</v>
      </c>
      <c r="AN22" s="81">
        <v>553</v>
      </c>
      <c r="AO22" s="82">
        <v>553</v>
      </c>
      <c r="AP22" s="82">
        <v>553</v>
      </c>
      <c r="AQ22" s="83">
        <v>320</v>
      </c>
      <c r="AR22" s="81">
        <v>320</v>
      </c>
      <c r="AS22" s="82">
        <v>320</v>
      </c>
      <c r="AT22" s="82">
        <v>283</v>
      </c>
      <c r="AU22" s="83">
        <v>278</v>
      </c>
      <c r="AV22" s="81">
        <v>278</v>
      </c>
      <c r="AW22" s="82">
        <v>289</v>
      </c>
      <c r="AX22" s="82">
        <v>289</v>
      </c>
      <c r="AY22" s="83">
        <v>289</v>
      </c>
      <c r="AZ22" s="81">
        <v>289</v>
      </c>
      <c r="BA22" s="82">
        <v>289</v>
      </c>
      <c r="BB22" s="82">
        <v>289</v>
      </c>
      <c r="BC22" s="83">
        <v>289</v>
      </c>
      <c r="BD22" s="81">
        <v>289</v>
      </c>
      <c r="BE22" s="1121">
        <f t="shared" si="62"/>
        <v>289</v>
      </c>
      <c r="BF22" s="1121">
        <f t="shared" si="63"/>
        <v>289</v>
      </c>
      <c r="BG22" s="1476">
        <f t="shared" si="64"/>
        <v>289</v>
      </c>
      <c r="BH22" s="1121">
        <f t="shared" si="65"/>
        <v>289</v>
      </c>
      <c r="BI22" s="1121">
        <f t="shared" si="66"/>
        <v>289</v>
      </c>
      <c r="BJ22" s="1121">
        <f t="shared" si="67"/>
        <v>289</v>
      </c>
      <c r="BK22" s="1476">
        <f t="shared" si="68"/>
        <v>289</v>
      </c>
      <c r="BL22" s="121"/>
      <c r="BM22" s="79">
        <f t="shared" si="39"/>
        <v>0</v>
      </c>
      <c r="BN22" s="79">
        <f t="shared" si="40"/>
        <v>3217</v>
      </c>
      <c r="BO22" s="79">
        <f t="shared" si="41"/>
        <v>1907</v>
      </c>
      <c r="BP22" s="79">
        <f t="shared" si="42"/>
        <v>323</v>
      </c>
      <c r="BQ22" s="79">
        <f t="shared" si="43"/>
        <v>323</v>
      </c>
      <c r="BR22" s="79">
        <f t="shared" si="44"/>
        <v>323</v>
      </c>
      <c r="BS22" s="79">
        <f t="shared" si="45"/>
        <v>323</v>
      </c>
      <c r="BT22" s="79">
        <f t="shared" si="46"/>
        <v>553</v>
      </c>
      <c r="BU22" s="79">
        <f t="shared" si="47"/>
        <v>553</v>
      </c>
      <c r="BV22" s="79">
        <f t="shared" si="48"/>
        <v>320</v>
      </c>
      <c r="BW22" s="79">
        <f t="shared" si="49"/>
        <v>278</v>
      </c>
      <c r="BX22" s="79">
        <f t="shared" si="50"/>
        <v>289</v>
      </c>
      <c r="BY22" s="79">
        <f t="shared" si="51"/>
        <v>289</v>
      </c>
      <c r="BZ22" s="79">
        <f t="shared" si="52"/>
        <v>289</v>
      </c>
      <c r="CA22" s="79">
        <f t="shared" si="53"/>
        <v>289</v>
      </c>
      <c r="CB22" s="2090">
        <f t="shared" si="69"/>
        <v>289</v>
      </c>
      <c r="CC22" s="2143"/>
      <c r="CD22" s="1873"/>
    </row>
    <row r="23" spans="1:82" ht="14.25" customHeight="1">
      <c r="A23" s="7"/>
      <c r="B23" s="825" t="s">
        <v>244</v>
      </c>
      <c r="C23" s="24"/>
      <c r="D23" s="81">
        <v>377.75200000000001</v>
      </c>
      <c r="E23" s="82">
        <v>379.01799999999997</v>
      </c>
      <c r="F23" s="82">
        <v>376.16899999999998</v>
      </c>
      <c r="G23" s="83">
        <f>303.294+3.307+721.342</f>
        <v>1027.943</v>
      </c>
      <c r="H23" s="81">
        <f>252.066+7.91+700.329</f>
        <v>960.30499999999995</v>
      </c>
      <c r="I23" s="82">
        <f>299.535+6.663+686.984</f>
        <v>993.18200000000002</v>
      </c>
      <c r="J23" s="82">
        <f>386.839+5.416+671.249</f>
        <v>1063.5039999999999</v>
      </c>
      <c r="K23" s="83">
        <f>371+402</f>
        <v>773</v>
      </c>
      <c r="L23" s="81">
        <f>5+345+448</f>
        <v>798</v>
      </c>
      <c r="M23" s="82">
        <f>2+326+478</f>
        <v>806</v>
      </c>
      <c r="N23" s="82">
        <v>507</v>
      </c>
      <c r="O23" s="83">
        <v>520</v>
      </c>
      <c r="P23" s="81">
        <v>486</v>
      </c>
      <c r="Q23" s="82">
        <v>556</v>
      </c>
      <c r="R23" s="82">
        <v>535</v>
      </c>
      <c r="S23" s="83">
        <v>506</v>
      </c>
      <c r="T23" s="81">
        <v>471</v>
      </c>
      <c r="U23" s="82">
        <v>472</v>
      </c>
      <c r="V23" s="82">
        <v>495</v>
      </c>
      <c r="W23" s="83">
        <v>573</v>
      </c>
      <c r="X23" s="82">
        <v>438</v>
      </c>
      <c r="Y23" s="82">
        <v>352</v>
      </c>
      <c r="Z23" s="82">
        <v>289</v>
      </c>
      <c r="AA23" s="83">
        <v>310</v>
      </c>
      <c r="AB23" s="340">
        <v>285</v>
      </c>
      <c r="AC23" s="82">
        <v>272</v>
      </c>
      <c r="AD23" s="82">
        <v>257</v>
      </c>
      <c r="AE23" s="83">
        <v>249</v>
      </c>
      <c r="AF23" s="340">
        <v>247</v>
      </c>
      <c r="AG23" s="82">
        <v>263</v>
      </c>
      <c r="AH23" s="82">
        <v>279</v>
      </c>
      <c r="AI23" s="83">
        <v>247</v>
      </c>
      <c r="AJ23" s="82">
        <v>223</v>
      </c>
      <c r="AK23" s="82">
        <v>248</v>
      </c>
      <c r="AL23" s="82">
        <v>264</v>
      </c>
      <c r="AM23" s="83">
        <v>386</v>
      </c>
      <c r="AN23" s="82">
        <v>373</v>
      </c>
      <c r="AO23" s="82">
        <v>360</v>
      </c>
      <c r="AP23" s="82">
        <v>355</v>
      </c>
      <c r="AQ23" s="83">
        <v>344</v>
      </c>
      <c r="AR23" s="82">
        <v>314</v>
      </c>
      <c r="AS23" s="82">
        <v>321</v>
      </c>
      <c r="AT23" s="82">
        <v>286</v>
      </c>
      <c r="AU23" s="83">
        <v>323</v>
      </c>
      <c r="AV23" s="82">
        <v>301</v>
      </c>
      <c r="AW23" s="82">
        <f>290+62</f>
        <v>352</v>
      </c>
      <c r="AX23" s="82">
        <v>282</v>
      </c>
      <c r="AY23" s="83">
        <f>59+279</f>
        <v>338</v>
      </c>
      <c r="AZ23" s="82">
        <f>58+274</f>
        <v>332</v>
      </c>
      <c r="BA23" s="82">
        <f>58+312</f>
        <v>370</v>
      </c>
      <c r="BB23" s="82">
        <f>57+305</f>
        <v>362</v>
      </c>
      <c r="BC23" s="83">
        <v>368</v>
      </c>
      <c r="BD23" s="82">
        <f>57+376</f>
        <v>433</v>
      </c>
      <c r="BE23" s="1121">
        <f t="shared" si="62"/>
        <v>433</v>
      </c>
      <c r="BF23" s="1121">
        <f t="shared" si="63"/>
        <v>433</v>
      </c>
      <c r="BG23" s="1476">
        <f t="shared" si="64"/>
        <v>433</v>
      </c>
      <c r="BH23" s="1121">
        <f t="shared" si="65"/>
        <v>433</v>
      </c>
      <c r="BI23" s="1121">
        <f t="shared" si="66"/>
        <v>433</v>
      </c>
      <c r="BJ23" s="1121">
        <f t="shared" si="67"/>
        <v>433</v>
      </c>
      <c r="BK23" s="1476">
        <f t="shared" si="68"/>
        <v>433</v>
      </c>
      <c r="BL23" s="121"/>
      <c r="BM23" s="79">
        <f t="shared" si="39"/>
        <v>1027.943</v>
      </c>
      <c r="BN23" s="79">
        <f t="shared" si="40"/>
        <v>773</v>
      </c>
      <c r="BO23" s="79">
        <f t="shared" si="41"/>
        <v>520</v>
      </c>
      <c r="BP23" s="79">
        <f t="shared" si="42"/>
        <v>506</v>
      </c>
      <c r="BQ23" s="79">
        <f t="shared" si="43"/>
        <v>573</v>
      </c>
      <c r="BR23" s="79">
        <f t="shared" si="44"/>
        <v>310</v>
      </c>
      <c r="BS23" s="79">
        <f t="shared" si="45"/>
        <v>249</v>
      </c>
      <c r="BT23" s="79">
        <f t="shared" si="46"/>
        <v>247</v>
      </c>
      <c r="BU23" s="79">
        <f t="shared" si="47"/>
        <v>386</v>
      </c>
      <c r="BV23" s="79">
        <f t="shared" si="48"/>
        <v>344</v>
      </c>
      <c r="BW23" s="79">
        <f t="shared" si="49"/>
        <v>323</v>
      </c>
      <c r="BX23" s="79">
        <f t="shared" si="50"/>
        <v>338</v>
      </c>
      <c r="BY23" s="79">
        <f t="shared" si="51"/>
        <v>368</v>
      </c>
      <c r="BZ23" s="79">
        <f t="shared" si="52"/>
        <v>433</v>
      </c>
      <c r="CA23" s="79">
        <f t="shared" si="53"/>
        <v>433</v>
      </c>
      <c r="CB23" s="2090">
        <f t="shared" si="69"/>
        <v>433</v>
      </c>
      <c r="CC23" s="2143"/>
      <c r="CD23" s="1873"/>
    </row>
    <row r="24" spans="1:82" ht="14.25" customHeight="1">
      <c r="A24" s="7"/>
      <c r="B24" s="829" t="s">
        <v>98</v>
      </c>
      <c r="C24" s="134"/>
      <c r="D24" s="137">
        <f t="shared" ref="D24:AM24" si="70">SUM(D17:D23)+D15</f>
        <v>7821.7740000000003</v>
      </c>
      <c r="E24" s="135">
        <f t="shared" si="70"/>
        <v>7772.5619999999999</v>
      </c>
      <c r="F24" s="135">
        <f t="shared" si="70"/>
        <v>8159.9560000000001</v>
      </c>
      <c r="G24" s="136">
        <f t="shared" si="70"/>
        <v>7287.7790000000005</v>
      </c>
      <c r="H24" s="137">
        <f t="shared" si="70"/>
        <v>8052.0450000000001</v>
      </c>
      <c r="I24" s="135">
        <f t="shared" si="70"/>
        <v>8061.8949999999995</v>
      </c>
      <c r="J24" s="135">
        <f t="shared" si="70"/>
        <v>8379.2440000000006</v>
      </c>
      <c r="K24" s="136">
        <f t="shared" si="70"/>
        <v>13147</v>
      </c>
      <c r="L24" s="137">
        <f t="shared" si="70"/>
        <v>12712</v>
      </c>
      <c r="M24" s="135">
        <f t="shared" si="70"/>
        <v>13224</v>
      </c>
      <c r="N24" s="135">
        <f t="shared" si="70"/>
        <v>12934</v>
      </c>
      <c r="O24" s="136">
        <f t="shared" si="70"/>
        <v>11550</v>
      </c>
      <c r="P24" s="137">
        <f t="shared" si="70"/>
        <v>11208</v>
      </c>
      <c r="Q24" s="135">
        <f t="shared" si="70"/>
        <v>9784</v>
      </c>
      <c r="R24" s="135">
        <f t="shared" si="70"/>
        <v>9441</v>
      </c>
      <c r="S24" s="136">
        <f t="shared" si="70"/>
        <v>7672</v>
      </c>
      <c r="T24" s="137">
        <f t="shared" si="70"/>
        <v>9052</v>
      </c>
      <c r="U24" s="135">
        <f t="shared" si="70"/>
        <v>8683</v>
      </c>
      <c r="V24" s="135">
        <f t="shared" si="70"/>
        <v>8747</v>
      </c>
      <c r="W24" s="136">
        <f t="shared" si="70"/>
        <v>9078</v>
      </c>
      <c r="X24" s="135">
        <f t="shared" si="70"/>
        <v>5232</v>
      </c>
      <c r="Y24" s="135">
        <f t="shared" si="70"/>
        <v>4955</v>
      </c>
      <c r="Z24" s="135">
        <f t="shared" si="70"/>
        <v>4595</v>
      </c>
      <c r="AA24" s="136">
        <f t="shared" si="70"/>
        <v>4964</v>
      </c>
      <c r="AB24" s="137">
        <f t="shared" si="70"/>
        <v>5209</v>
      </c>
      <c r="AC24" s="135">
        <f t="shared" si="70"/>
        <v>5224</v>
      </c>
      <c r="AD24" s="135">
        <f t="shared" si="70"/>
        <v>5236</v>
      </c>
      <c r="AE24" s="136">
        <f t="shared" si="70"/>
        <v>4954</v>
      </c>
      <c r="AF24" s="137">
        <f t="shared" si="70"/>
        <v>4988</v>
      </c>
      <c r="AG24" s="135">
        <f t="shared" si="70"/>
        <v>5041</v>
      </c>
      <c r="AH24" s="135">
        <f t="shared" si="70"/>
        <v>4612</v>
      </c>
      <c r="AI24" s="136">
        <f t="shared" si="70"/>
        <v>4000</v>
      </c>
      <c r="AJ24" s="137">
        <f t="shared" si="70"/>
        <v>3797</v>
      </c>
      <c r="AK24" s="135">
        <f t="shared" si="70"/>
        <v>3897</v>
      </c>
      <c r="AL24" s="135">
        <f t="shared" si="70"/>
        <v>4317</v>
      </c>
      <c r="AM24" s="136">
        <f t="shared" si="70"/>
        <v>4337</v>
      </c>
      <c r="AN24" s="137">
        <f t="shared" ref="AN24:AU24" si="71">SUM(AN17:AN23)+AN15</f>
        <v>4108</v>
      </c>
      <c r="AO24" s="135">
        <f t="shared" si="71"/>
        <v>4246</v>
      </c>
      <c r="AP24" s="135">
        <f t="shared" si="71"/>
        <v>4325</v>
      </c>
      <c r="AQ24" s="136">
        <f t="shared" si="71"/>
        <v>3767</v>
      </c>
      <c r="AR24" s="137">
        <f t="shared" si="71"/>
        <v>3428</v>
      </c>
      <c r="AS24" s="135">
        <f>SUM(AS17:AS23)+AS15</f>
        <v>3381</v>
      </c>
      <c r="AT24" s="135">
        <f t="shared" si="71"/>
        <v>3229</v>
      </c>
      <c r="AU24" s="136">
        <f t="shared" si="71"/>
        <v>3109</v>
      </c>
      <c r="AV24" s="137">
        <f t="shared" ref="AV24:AW24" si="72">SUM(AV17:AV23)+AV15</f>
        <v>2981</v>
      </c>
      <c r="AW24" s="135">
        <f t="shared" si="72"/>
        <v>3316</v>
      </c>
      <c r="AX24" s="135">
        <f t="shared" ref="AX24" si="73">SUM(AX17:AX23)+AX15</f>
        <v>3616</v>
      </c>
      <c r="AY24" s="136">
        <f t="shared" ref="AY24" si="74">SUM(AY17:AY23)+AY15</f>
        <v>3321</v>
      </c>
      <c r="AZ24" s="137">
        <f t="shared" ref="AZ24" si="75">SUM(AZ17:AZ23)+AZ15</f>
        <v>3299</v>
      </c>
      <c r="BA24" s="135">
        <f t="shared" ref="BA24" si="76">SUM(BA17:BA23)+BA15</f>
        <v>3370</v>
      </c>
      <c r="BB24" s="135">
        <f t="shared" ref="BB24:BD24" si="77">SUM(BB17:BB23)+BB15</f>
        <v>3586</v>
      </c>
      <c r="BC24" s="136">
        <f t="shared" si="77"/>
        <v>3540</v>
      </c>
      <c r="BD24" s="137">
        <f t="shared" si="77"/>
        <v>3763</v>
      </c>
      <c r="BE24" s="1472">
        <f t="shared" ref="BE24:BG24" si="78">SUM(BE17:BE23)+BE15</f>
        <v>3917.3008726995181</v>
      </c>
      <c r="BF24" s="1472">
        <f t="shared" si="78"/>
        <v>4051.2897403278162</v>
      </c>
      <c r="BG24" s="1481">
        <f t="shared" si="78"/>
        <v>4116.5733636184214</v>
      </c>
      <c r="BH24" s="1472">
        <f t="shared" ref="BH24:BK24" si="79">SUM(BH17:BH23)+BH15</f>
        <v>4192.372052356809</v>
      </c>
      <c r="BI24" s="1472">
        <f t="shared" si="79"/>
        <v>4315.024420714034</v>
      </c>
      <c r="BJ24" s="1472">
        <f t="shared" si="79"/>
        <v>4467.5015591651845</v>
      </c>
      <c r="BK24" s="1481">
        <f t="shared" si="79"/>
        <v>4584.2961145251593</v>
      </c>
      <c r="BL24" s="121"/>
      <c r="BM24" s="135">
        <f t="shared" ref="BM24:BY24" si="80">SUM(BM17:BM23)+BM15</f>
        <v>7287.7790000000005</v>
      </c>
      <c r="BN24" s="135">
        <f t="shared" si="80"/>
        <v>13147</v>
      </c>
      <c r="BO24" s="135">
        <f t="shared" si="80"/>
        <v>11550</v>
      </c>
      <c r="BP24" s="135">
        <f t="shared" si="80"/>
        <v>7672</v>
      </c>
      <c r="BQ24" s="135">
        <f t="shared" si="80"/>
        <v>9078</v>
      </c>
      <c r="BR24" s="135">
        <f t="shared" si="80"/>
        <v>4964</v>
      </c>
      <c r="BS24" s="135">
        <f t="shared" si="80"/>
        <v>4954</v>
      </c>
      <c r="BT24" s="135">
        <f t="shared" si="80"/>
        <v>4000</v>
      </c>
      <c r="BU24" s="135">
        <f t="shared" si="80"/>
        <v>4337</v>
      </c>
      <c r="BV24" s="135">
        <f>SUM(BV17:BV23)+BV15</f>
        <v>3767</v>
      </c>
      <c r="BW24" s="135">
        <f t="shared" si="80"/>
        <v>3109</v>
      </c>
      <c r="BX24" s="135">
        <f>SUM(BX17:BX23)+BX15</f>
        <v>3321</v>
      </c>
      <c r="BY24" s="135">
        <f t="shared" si="80"/>
        <v>3540</v>
      </c>
      <c r="BZ24" s="135">
        <f t="shared" ref="BZ24:CA24" si="81">SUM(BZ17:BZ23)+BZ15</f>
        <v>4116.5733636184214</v>
      </c>
      <c r="CA24" s="135">
        <f t="shared" si="81"/>
        <v>4584.2961145251593</v>
      </c>
      <c r="CB24" s="2107">
        <f t="shared" ref="CB24" si="82">SUM(CB17:CB23)+CB15</f>
        <v>5010.8656236024526</v>
      </c>
      <c r="CC24" s="2143"/>
      <c r="CD24" s="1873"/>
    </row>
    <row r="25" spans="1:82" ht="14.25" customHeight="1">
      <c r="A25" s="7"/>
      <c r="B25" s="830"/>
      <c r="C25" s="73"/>
      <c r="D25" s="74"/>
      <c r="E25" s="75"/>
      <c r="F25" s="75"/>
      <c r="G25" s="76"/>
      <c r="H25" s="74"/>
      <c r="I25" s="75"/>
      <c r="J25" s="75"/>
      <c r="K25" s="76"/>
      <c r="L25" s="74"/>
      <c r="M25" s="75"/>
      <c r="N25" s="75"/>
      <c r="O25" s="76"/>
      <c r="P25" s="74"/>
      <c r="Q25" s="75"/>
      <c r="R25" s="75"/>
      <c r="S25" s="76"/>
      <c r="T25" s="74"/>
      <c r="U25" s="75"/>
      <c r="V25" s="75"/>
      <c r="W25" s="76"/>
      <c r="X25" s="75"/>
      <c r="Y25" s="75"/>
      <c r="Z25" s="75"/>
      <c r="AA25" s="75"/>
      <c r="AB25" s="74"/>
      <c r="AC25" s="75"/>
      <c r="AD25" s="75"/>
      <c r="AE25" s="75"/>
      <c r="AF25" s="74"/>
      <c r="AG25" s="75"/>
      <c r="AH25" s="75"/>
      <c r="AI25" s="76"/>
      <c r="AJ25" s="74"/>
      <c r="AK25" s="75"/>
      <c r="AL25" s="75"/>
      <c r="AM25" s="76"/>
      <c r="AN25" s="74"/>
      <c r="AO25" s="75"/>
      <c r="AP25" s="75"/>
      <c r="AQ25" s="76"/>
      <c r="AR25" s="74"/>
      <c r="AS25" s="75"/>
      <c r="AT25" s="75"/>
      <c r="AU25" s="76"/>
      <c r="AV25" s="74"/>
      <c r="AW25" s="75"/>
      <c r="AX25" s="75"/>
      <c r="AY25" s="76"/>
      <c r="AZ25" s="74"/>
      <c r="BA25" s="75"/>
      <c r="BB25" s="75"/>
      <c r="BC25" s="76"/>
      <c r="BD25" s="74"/>
      <c r="BE25" s="1473"/>
      <c r="BF25" s="1473"/>
      <c r="BG25" s="1482"/>
      <c r="BH25" s="1473"/>
      <c r="BI25" s="1473"/>
      <c r="BJ25" s="1473"/>
      <c r="BK25" s="1482"/>
      <c r="BL25" s="121"/>
      <c r="BM25" s="75"/>
      <c r="BN25" s="75"/>
      <c r="BO25" s="75"/>
      <c r="BP25" s="75"/>
      <c r="BQ25" s="75"/>
      <c r="BR25" s="75"/>
      <c r="BS25" s="75"/>
      <c r="BT25" s="75"/>
      <c r="BU25" s="75"/>
      <c r="BV25" s="75"/>
      <c r="BW25" s="75"/>
      <c r="BX25" s="75"/>
      <c r="BY25" s="75"/>
      <c r="BZ25" s="75"/>
      <c r="CA25" s="75"/>
      <c r="CB25" s="2108"/>
      <c r="CC25" s="2143"/>
      <c r="CD25" s="1873"/>
    </row>
    <row r="26" spans="1:82" ht="14.25" customHeight="1">
      <c r="A26" s="7"/>
      <c r="B26" s="824" t="s">
        <v>99</v>
      </c>
      <c r="C26" s="116"/>
      <c r="D26" s="81"/>
      <c r="E26" s="82"/>
      <c r="F26" s="82"/>
      <c r="G26" s="83"/>
      <c r="H26" s="81"/>
      <c r="I26" s="82"/>
      <c r="J26" s="82"/>
      <c r="K26" s="83"/>
      <c r="L26" s="81"/>
      <c r="M26" s="82"/>
      <c r="N26" s="82"/>
      <c r="O26" s="83"/>
      <c r="P26" s="81"/>
      <c r="Q26" s="82"/>
      <c r="R26" s="82"/>
      <c r="S26" s="83"/>
      <c r="T26" s="81"/>
      <c r="U26" s="82"/>
      <c r="V26" s="82"/>
      <c r="W26" s="83"/>
      <c r="X26" s="82"/>
      <c r="Y26" s="82"/>
      <c r="Z26" s="82"/>
      <c r="AA26" s="82"/>
      <c r="AB26" s="81"/>
      <c r="AC26" s="82"/>
      <c r="AD26" s="82"/>
      <c r="AE26" s="82"/>
      <c r="AF26" s="81"/>
      <c r="AG26" s="82"/>
      <c r="AH26" s="82"/>
      <c r="AI26" s="83"/>
      <c r="AJ26" s="81"/>
      <c r="AK26" s="82"/>
      <c r="AL26" s="82"/>
      <c r="AM26" s="83"/>
      <c r="AN26" s="81"/>
      <c r="AO26" s="82"/>
      <c r="AP26" s="82"/>
      <c r="AQ26" s="83"/>
      <c r="AR26" s="81"/>
      <c r="AS26" s="82"/>
      <c r="AT26" s="82"/>
      <c r="AU26" s="83"/>
      <c r="AV26" s="81"/>
      <c r="AW26" s="82"/>
      <c r="AX26" s="82"/>
      <c r="AY26" s="83"/>
      <c r="AZ26" s="81"/>
      <c r="BA26" s="82"/>
      <c r="BB26" s="82"/>
      <c r="BC26" s="83"/>
      <c r="BD26" s="81"/>
      <c r="BE26" s="1121"/>
      <c r="BF26" s="1121"/>
      <c r="BG26" s="1476"/>
      <c r="BH26" s="1121"/>
      <c r="BI26" s="1121"/>
      <c r="BJ26" s="1121"/>
      <c r="BK26" s="1476"/>
      <c r="BL26" s="121"/>
      <c r="BM26" s="82"/>
      <c r="BN26" s="82"/>
      <c r="BO26" s="82"/>
      <c r="BP26" s="82"/>
      <c r="BQ26" s="82"/>
      <c r="BR26" s="82"/>
      <c r="BS26" s="82"/>
      <c r="BT26" s="82"/>
      <c r="BU26" s="82"/>
      <c r="BV26" s="82"/>
      <c r="BW26" s="82"/>
      <c r="BX26" s="82"/>
      <c r="BY26" s="82"/>
      <c r="BZ26" s="82"/>
      <c r="CA26" s="82"/>
      <c r="CB26" s="2106"/>
      <c r="CC26" s="2143"/>
      <c r="CD26" s="1873"/>
    </row>
    <row r="27" spans="1:82" ht="14.25" customHeight="1">
      <c r="A27" s="7"/>
      <c r="B27" s="825" t="s">
        <v>248</v>
      </c>
      <c r="C27" s="24"/>
      <c r="D27" s="82">
        <f>228.085+20</f>
        <v>248.08500000000001</v>
      </c>
      <c r="E27" s="82">
        <f>224.233+30+50.412</f>
        <v>304.64499999999998</v>
      </c>
      <c r="F27" s="82">
        <f>184.872+40+75.656</f>
        <v>300.52800000000002</v>
      </c>
      <c r="G27" s="83">
        <v>43.223999999999997</v>
      </c>
      <c r="H27" s="82">
        <v>42.408000000000001</v>
      </c>
      <c r="I27" s="82">
        <v>45.139000000000003</v>
      </c>
      <c r="J27" s="82">
        <v>44.95</v>
      </c>
      <c r="K27" s="83">
        <v>125</v>
      </c>
      <c r="L27" s="82">
        <v>182</v>
      </c>
      <c r="M27" s="82">
        <v>219</v>
      </c>
      <c r="N27" s="82">
        <v>218</v>
      </c>
      <c r="O27" s="83">
        <v>238</v>
      </c>
      <c r="P27" s="82">
        <v>262</v>
      </c>
      <c r="Q27" s="82">
        <v>246</v>
      </c>
      <c r="R27" s="82">
        <v>266</v>
      </c>
      <c r="S27" s="83">
        <v>286</v>
      </c>
      <c r="T27" s="82">
        <v>281</v>
      </c>
      <c r="U27" s="82">
        <v>289</v>
      </c>
      <c r="V27" s="82">
        <v>295</v>
      </c>
      <c r="W27" s="83">
        <v>308</v>
      </c>
      <c r="X27" s="82">
        <v>3</v>
      </c>
      <c r="Y27" s="82">
        <v>3</v>
      </c>
      <c r="Z27" s="82">
        <v>3</v>
      </c>
      <c r="AA27" s="82">
        <v>4</v>
      </c>
      <c r="AB27" s="341">
        <v>4</v>
      </c>
      <c r="AC27" s="82">
        <v>4</v>
      </c>
      <c r="AD27" s="82">
        <v>489</v>
      </c>
      <c r="AE27" s="82">
        <v>489</v>
      </c>
      <c r="AF27" s="341">
        <v>490</v>
      </c>
      <c r="AG27" s="82">
        <v>489</v>
      </c>
      <c r="AH27" s="82">
        <v>5</v>
      </c>
      <c r="AI27" s="83">
        <v>5</v>
      </c>
      <c r="AJ27" s="81">
        <v>5</v>
      </c>
      <c r="AK27" s="82">
        <v>5</v>
      </c>
      <c r="AL27" s="82">
        <v>5</v>
      </c>
      <c r="AM27" s="83">
        <v>60</v>
      </c>
      <c r="AN27" s="81">
        <v>60</v>
      </c>
      <c r="AO27" s="82">
        <v>101</v>
      </c>
      <c r="AP27" s="82">
        <v>102</v>
      </c>
      <c r="AQ27" s="83">
        <v>177</v>
      </c>
      <c r="AR27" s="81">
        <v>235</v>
      </c>
      <c r="AS27" s="82">
        <v>235</v>
      </c>
      <c r="AT27" s="82">
        <v>230</v>
      </c>
      <c r="AU27" s="83">
        <v>230</v>
      </c>
      <c r="AV27" s="81">
        <v>230</v>
      </c>
      <c r="AW27" s="82">
        <v>226</v>
      </c>
      <c r="AX27" s="82">
        <v>0</v>
      </c>
      <c r="AY27" s="83">
        <v>0</v>
      </c>
      <c r="AZ27" s="81">
        <v>0</v>
      </c>
      <c r="BA27" s="82">
        <v>0</v>
      </c>
      <c r="BB27" s="82">
        <v>0</v>
      </c>
      <c r="BC27" s="83">
        <v>70</v>
      </c>
      <c r="BD27" s="81">
        <v>223</v>
      </c>
      <c r="BE27" s="1121">
        <f t="shared" ref="BE27:BK27" si="83">BD27</f>
        <v>223</v>
      </c>
      <c r="BF27" s="1121">
        <f t="shared" si="83"/>
        <v>223</v>
      </c>
      <c r="BG27" s="1476">
        <f t="shared" si="83"/>
        <v>223</v>
      </c>
      <c r="BH27" s="1121">
        <f t="shared" si="83"/>
        <v>223</v>
      </c>
      <c r="BI27" s="1121">
        <f t="shared" si="83"/>
        <v>223</v>
      </c>
      <c r="BJ27" s="1121">
        <f t="shared" si="83"/>
        <v>223</v>
      </c>
      <c r="BK27" s="1476">
        <f t="shared" si="83"/>
        <v>223</v>
      </c>
      <c r="BL27" s="121"/>
      <c r="BM27" s="79">
        <f t="shared" ref="BM27:BM34" si="84">G27</f>
        <v>43.223999999999997</v>
      </c>
      <c r="BN27" s="79">
        <f t="shared" ref="BN27:BN34" si="85">K27</f>
        <v>125</v>
      </c>
      <c r="BO27" s="79">
        <f t="shared" ref="BO27:BO34" si="86">O27</f>
        <v>238</v>
      </c>
      <c r="BP27" s="79">
        <f t="shared" ref="BP27:BP34" si="87">S27</f>
        <v>286</v>
      </c>
      <c r="BQ27" s="79">
        <f t="shared" ref="BQ27:BQ34" si="88">W27</f>
        <v>308</v>
      </c>
      <c r="BR27" s="79">
        <f t="shared" ref="BR27:BR34" si="89">AA27</f>
        <v>4</v>
      </c>
      <c r="BS27" s="79">
        <f t="shared" ref="BS27:BS34" si="90">AE27</f>
        <v>489</v>
      </c>
      <c r="BT27" s="79">
        <f t="shared" ref="BT27:BT34" si="91">AI27</f>
        <v>5</v>
      </c>
      <c r="BU27" s="79">
        <f t="shared" ref="BU27:BU34" si="92">AM27</f>
        <v>60</v>
      </c>
      <c r="BV27" s="79">
        <f t="shared" ref="BV27:BV34" si="93">AQ27</f>
        <v>177</v>
      </c>
      <c r="BW27" s="79">
        <f t="shared" ref="BW27:BW34" si="94">AU27</f>
        <v>230</v>
      </c>
      <c r="BX27" s="79">
        <f t="shared" ref="BX27:BX34" si="95">AY27</f>
        <v>0</v>
      </c>
      <c r="BY27" s="79">
        <f t="shared" ref="BY27:BY34" si="96">BC27</f>
        <v>70</v>
      </c>
      <c r="BZ27" s="79">
        <f t="shared" ref="BZ27:BZ34" si="97">BG27</f>
        <v>223</v>
      </c>
      <c r="CA27" s="79">
        <f t="shared" ref="CA27:CA34" si="98">BK27</f>
        <v>223</v>
      </c>
      <c r="CB27" s="2090">
        <f>CA27+CFS!CB45</f>
        <v>223</v>
      </c>
      <c r="CC27" s="2143"/>
      <c r="CD27" s="1873"/>
    </row>
    <row r="28" spans="1:82" ht="14.25" customHeight="1">
      <c r="A28" s="7"/>
      <c r="B28" s="825" t="s">
        <v>100</v>
      </c>
      <c r="C28" s="24"/>
      <c r="D28" s="81">
        <f>679.362+31.235</f>
        <v>710.59699999999998</v>
      </c>
      <c r="E28" s="82">
        <f>726.056+31.218</f>
        <v>757.274</v>
      </c>
      <c r="F28" s="82">
        <f>901.708+39.943</f>
        <v>941.65099999999995</v>
      </c>
      <c r="G28" s="83">
        <f>622.61+233.224</f>
        <v>855.83400000000006</v>
      </c>
      <c r="H28" s="81">
        <f>600.544+246.634</f>
        <v>847.178</v>
      </c>
      <c r="I28" s="82">
        <f>662.711+43.743</f>
        <v>706.45400000000006</v>
      </c>
      <c r="J28" s="82">
        <f>865.06+36.289</f>
        <v>901.34899999999993</v>
      </c>
      <c r="K28" s="83">
        <v>1338</v>
      </c>
      <c r="L28" s="81">
        <f>1362+3</f>
        <v>1365</v>
      </c>
      <c r="M28" s="82">
        <f>980+5</f>
        <v>985</v>
      </c>
      <c r="N28" s="82">
        <v>1064</v>
      </c>
      <c r="O28" s="83">
        <v>992</v>
      </c>
      <c r="P28" s="81">
        <v>944</v>
      </c>
      <c r="Q28" s="82">
        <v>800</v>
      </c>
      <c r="R28" s="82">
        <v>737</v>
      </c>
      <c r="S28" s="83">
        <v>631</v>
      </c>
      <c r="T28" s="81">
        <v>497</v>
      </c>
      <c r="U28" s="82">
        <v>571</v>
      </c>
      <c r="V28" s="82">
        <v>589</v>
      </c>
      <c r="W28" s="83">
        <v>647</v>
      </c>
      <c r="X28" s="82">
        <v>434</v>
      </c>
      <c r="Y28" s="82">
        <v>409</v>
      </c>
      <c r="Z28" s="82">
        <v>464</v>
      </c>
      <c r="AA28" s="83">
        <v>376</v>
      </c>
      <c r="AB28" s="341">
        <v>411</v>
      </c>
      <c r="AC28" s="82">
        <v>455</v>
      </c>
      <c r="AD28" s="82">
        <v>467</v>
      </c>
      <c r="AE28" s="83">
        <v>363</v>
      </c>
      <c r="AF28" s="341">
        <v>527</v>
      </c>
      <c r="AG28" s="82">
        <v>471</v>
      </c>
      <c r="AH28" s="82">
        <v>412</v>
      </c>
      <c r="AI28" s="83">
        <v>278</v>
      </c>
      <c r="AJ28" s="81">
        <v>301</v>
      </c>
      <c r="AK28" s="82">
        <v>402</v>
      </c>
      <c r="AL28" s="82">
        <v>574</v>
      </c>
      <c r="AM28" s="83">
        <v>519</v>
      </c>
      <c r="AN28" s="81">
        <v>483</v>
      </c>
      <c r="AO28" s="82">
        <v>511</v>
      </c>
      <c r="AP28" s="82">
        <v>498</v>
      </c>
      <c r="AQ28" s="83">
        <v>421</v>
      </c>
      <c r="AR28" s="81">
        <v>381</v>
      </c>
      <c r="AS28" s="82">
        <v>454</v>
      </c>
      <c r="AT28" s="82">
        <v>388</v>
      </c>
      <c r="AU28" s="83">
        <v>279</v>
      </c>
      <c r="AV28" s="81">
        <v>324</v>
      </c>
      <c r="AW28" s="82">
        <v>616</v>
      </c>
      <c r="AX28" s="82">
        <v>582</v>
      </c>
      <c r="AY28" s="83">
        <v>440</v>
      </c>
      <c r="AZ28" s="81">
        <v>529</v>
      </c>
      <c r="BA28" s="82">
        <v>483</v>
      </c>
      <c r="BB28" s="82">
        <v>472</v>
      </c>
      <c r="BC28" s="83">
        <v>384</v>
      </c>
      <c r="BD28" s="81">
        <v>456</v>
      </c>
      <c r="BE28" s="1121">
        <f t="shared" ref="BE28:BG28" si="99">BE53/360*BE57*4</f>
        <v>472.92431684502662</v>
      </c>
      <c r="BF28" s="1121">
        <f t="shared" si="99"/>
        <v>473.42601236318291</v>
      </c>
      <c r="BG28" s="1476">
        <f t="shared" si="99"/>
        <v>444.69325443864454</v>
      </c>
      <c r="BH28" s="1121">
        <f t="shared" ref="BH28:BK28" si="100">BH53/360*BH57*4</f>
        <v>455.44869912984456</v>
      </c>
      <c r="BI28" s="1121">
        <f t="shared" si="100"/>
        <v>473.19436435603512</v>
      </c>
      <c r="BJ28" s="1121">
        <f t="shared" si="100"/>
        <v>496.64522911731325</v>
      </c>
      <c r="BK28" s="1476">
        <f t="shared" si="100"/>
        <v>492.6894046662303</v>
      </c>
      <c r="BL28" s="121"/>
      <c r="BM28" s="79">
        <f t="shared" si="84"/>
        <v>855.83400000000006</v>
      </c>
      <c r="BN28" s="79">
        <f t="shared" si="85"/>
        <v>1338</v>
      </c>
      <c r="BO28" s="79">
        <f t="shared" si="86"/>
        <v>992</v>
      </c>
      <c r="BP28" s="79">
        <f t="shared" si="87"/>
        <v>631</v>
      </c>
      <c r="BQ28" s="79">
        <f t="shared" si="88"/>
        <v>647</v>
      </c>
      <c r="BR28" s="79">
        <f t="shared" si="89"/>
        <v>376</v>
      </c>
      <c r="BS28" s="79">
        <f t="shared" si="90"/>
        <v>363</v>
      </c>
      <c r="BT28" s="79">
        <f t="shared" si="91"/>
        <v>278</v>
      </c>
      <c r="BU28" s="79">
        <f t="shared" si="92"/>
        <v>519</v>
      </c>
      <c r="BV28" s="79">
        <f t="shared" si="93"/>
        <v>421</v>
      </c>
      <c r="BW28" s="79">
        <f t="shared" si="94"/>
        <v>279</v>
      </c>
      <c r="BX28" s="79">
        <f t="shared" si="95"/>
        <v>440</v>
      </c>
      <c r="BY28" s="79">
        <f t="shared" si="96"/>
        <v>384</v>
      </c>
      <c r="BZ28" s="79">
        <f t="shared" si="97"/>
        <v>444.69325443864454</v>
      </c>
      <c r="CA28" s="79">
        <f t="shared" si="98"/>
        <v>492.6894046662303</v>
      </c>
      <c r="CB28" s="2109">
        <f>CB53/360*CB57</f>
        <v>499.53231306437249</v>
      </c>
      <c r="CC28" s="2143"/>
      <c r="CD28" s="1873"/>
    </row>
    <row r="29" spans="1:82" ht="14.25" customHeight="1">
      <c r="A29" s="7"/>
      <c r="B29" s="825" t="s">
        <v>249</v>
      </c>
      <c r="C29" s="24"/>
      <c r="D29" s="82">
        <v>0</v>
      </c>
      <c r="E29" s="82">
        <v>0</v>
      </c>
      <c r="F29" s="82">
        <v>0</v>
      </c>
      <c r="G29" s="83">
        <v>0</v>
      </c>
      <c r="H29" s="82">
        <v>0</v>
      </c>
      <c r="I29" s="82">
        <v>0</v>
      </c>
      <c r="J29" s="82">
        <v>0</v>
      </c>
      <c r="K29" s="83">
        <v>0</v>
      </c>
      <c r="L29" s="82">
        <v>0</v>
      </c>
      <c r="M29" s="82">
        <v>0</v>
      </c>
      <c r="N29" s="82">
        <v>0</v>
      </c>
      <c r="O29" s="83">
        <v>0</v>
      </c>
      <c r="P29" s="82">
        <v>0</v>
      </c>
      <c r="Q29" s="82">
        <v>0</v>
      </c>
      <c r="R29" s="82">
        <v>0</v>
      </c>
      <c r="S29" s="83">
        <v>0</v>
      </c>
      <c r="T29" s="82">
        <v>0</v>
      </c>
      <c r="U29" s="82">
        <v>0</v>
      </c>
      <c r="V29" s="82">
        <v>0</v>
      </c>
      <c r="W29" s="83">
        <v>0</v>
      </c>
      <c r="X29" s="82">
        <v>182</v>
      </c>
      <c r="Y29" s="82">
        <v>213</v>
      </c>
      <c r="Z29" s="82">
        <v>216</v>
      </c>
      <c r="AA29" s="82">
        <v>205</v>
      </c>
      <c r="AB29" s="341">
        <v>127</v>
      </c>
      <c r="AC29" s="82">
        <v>117</v>
      </c>
      <c r="AD29" s="82">
        <v>151</v>
      </c>
      <c r="AE29" s="82">
        <v>177</v>
      </c>
      <c r="AF29" s="341">
        <v>560</v>
      </c>
      <c r="AG29" s="82">
        <v>661</v>
      </c>
      <c r="AH29" s="82">
        <v>448</v>
      </c>
      <c r="AI29" s="83">
        <v>454</v>
      </c>
      <c r="AJ29" s="81">
        <v>379</v>
      </c>
      <c r="AK29" s="82">
        <v>414</v>
      </c>
      <c r="AL29" s="82">
        <v>495</v>
      </c>
      <c r="AM29" s="83">
        <v>364</v>
      </c>
      <c r="AN29" s="81">
        <v>213</v>
      </c>
      <c r="AO29" s="82">
        <v>295</v>
      </c>
      <c r="AP29" s="82">
        <v>317</v>
      </c>
      <c r="AQ29" s="83">
        <v>212</v>
      </c>
      <c r="AR29" s="81">
        <v>121</v>
      </c>
      <c r="AS29" s="82">
        <v>197</v>
      </c>
      <c r="AT29" s="82">
        <v>226</v>
      </c>
      <c r="AU29" s="83">
        <v>245</v>
      </c>
      <c r="AV29" s="81">
        <v>233</v>
      </c>
      <c r="AW29" s="82">
        <v>94</v>
      </c>
      <c r="AX29" s="82">
        <f>144+284</f>
        <v>428</v>
      </c>
      <c r="AY29" s="83">
        <f>128+255</f>
        <v>383</v>
      </c>
      <c r="AZ29" s="81">
        <v>329</v>
      </c>
      <c r="BA29" s="82">
        <v>374</v>
      </c>
      <c r="BB29" s="82">
        <v>444</v>
      </c>
      <c r="BC29" s="83">
        <v>412</v>
      </c>
      <c r="BD29" s="81">
        <v>374</v>
      </c>
      <c r="BE29" s="1121">
        <f>BD29+CFS!BE28</f>
        <v>374</v>
      </c>
      <c r="BF29" s="1121">
        <f>BE29+CFS!BF28</f>
        <v>374</v>
      </c>
      <c r="BG29" s="1476">
        <f>BF29+CFS!BG28</f>
        <v>374</v>
      </c>
      <c r="BH29" s="1121">
        <f>BG29+CFS!BH28</f>
        <v>374</v>
      </c>
      <c r="BI29" s="1121">
        <f>BH29+CFS!BI28</f>
        <v>374</v>
      </c>
      <c r="BJ29" s="1121">
        <f>BI29+CFS!BJ28</f>
        <v>374</v>
      </c>
      <c r="BK29" s="1476">
        <f>BJ29+CFS!BK28</f>
        <v>374</v>
      </c>
      <c r="BL29" s="121"/>
      <c r="BM29" s="79">
        <f t="shared" si="84"/>
        <v>0</v>
      </c>
      <c r="BN29" s="79">
        <f t="shared" si="85"/>
        <v>0</v>
      </c>
      <c r="BO29" s="79">
        <f t="shared" si="86"/>
        <v>0</v>
      </c>
      <c r="BP29" s="79">
        <f t="shared" si="87"/>
        <v>0</v>
      </c>
      <c r="BQ29" s="79">
        <f t="shared" si="88"/>
        <v>0</v>
      </c>
      <c r="BR29" s="79">
        <f t="shared" si="89"/>
        <v>205</v>
      </c>
      <c r="BS29" s="79">
        <f t="shared" si="90"/>
        <v>177</v>
      </c>
      <c r="BT29" s="79">
        <f t="shared" si="91"/>
        <v>454</v>
      </c>
      <c r="BU29" s="79">
        <f t="shared" si="92"/>
        <v>364</v>
      </c>
      <c r="BV29" s="79">
        <f t="shared" si="93"/>
        <v>212</v>
      </c>
      <c r="BW29" s="79">
        <f t="shared" si="94"/>
        <v>245</v>
      </c>
      <c r="BX29" s="79">
        <f t="shared" si="95"/>
        <v>383</v>
      </c>
      <c r="BY29" s="79">
        <f t="shared" si="96"/>
        <v>412</v>
      </c>
      <c r="BZ29" s="79">
        <f t="shared" si="97"/>
        <v>374</v>
      </c>
      <c r="CA29" s="79">
        <f t="shared" si="98"/>
        <v>374</v>
      </c>
      <c r="CB29" s="2090">
        <f>CA29+CFS!CB48</f>
        <v>374</v>
      </c>
      <c r="CC29" s="2143"/>
      <c r="CD29" s="1873"/>
    </row>
    <row r="30" spans="1:82" ht="14.25" customHeight="1">
      <c r="A30" s="7"/>
      <c r="B30" s="825" t="s">
        <v>101</v>
      </c>
      <c r="C30" s="24"/>
      <c r="D30" s="82">
        <f>189.072+440.622+3.522</f>
        <v>633.21600000000001</v>
      </c>
      <c r="E30" s="82">
        <f>163.063+454.221+7.375</f>
        <v>624.65899999999999</v>
      </c>
      <c r="F30" s="82">
        <f>232.446+390.213+4.118+8.564</f>
        <v>635.34100000000001</v>
      </c>
      <c r="G30" s="83">
        <f>226.874+388.998</f>
        <v>615.87199999999996</v>
      </c>
      <c r="H30" s="82">
        <f>258.791+403.116</f>
        <v>661.90699999999993</v>
      </c>
      <c r="I30" s="82">
        <f>161.547+429.843</f>
        <v>591.39</v>
      </c>
      <c r="J30" s="82">
        <f>147.25+473.477</f>
        <v>620.72699999999998</v>
      </c>
      <c r="K30" s="83">
        <f>177+716</f>
        <v>893</v>
      </c>
      <c r="L30" s="82">
        <f>160+719</f>
        <v>879</v>
      </c>
      <c r="M30" s="82">
        <f>192+768</f>
        <v>960</v>
      </c>
      <c r="N30" s="82">
        <f>198+833</f>
        <v>1031</v>
      </c>
      <c r="O30" s="83">
        <f>183+815</f>
        <v>998</v>
      </c>
      <c r="P30" s="82">
        <f>151+946</f>
        <v>1097</v>
      </c>
      <c r="Q30" s="82">
        <f>160+730</f>
        <v>890</v>
      </c>
      <c r="R30" s="82">
        <f>143+850</f>
        <v>993</v>
      </c>
      <c r="S30" s="83">
        <f>162+785</f>
        <v>947</v>
      </c>
      <c r="T30" s="82">
        <f>147+684</f>
        <v>831</v>
      </c>
      <c r="U30" s="82">
        <f>162+642</f>
        <v>804</v>
      </c>
      <c r="V30" s="82">
        <f>176+605</f>
        <v>781</v>
      </c>
      <c r="W30" s="83">
        <v>795</v>
      </c>
      <c r="X30" s="82">
        <v>674</v>
      </c>
      <c r="Y30" s="82">
        <v>663</v>
      </c>
      <c r="Z30" s="82">
        <v>601</v>
      </c>
      <c r="AA30" s="82">
        <v>698</v>
      </c>
      <c r="AB30" s="341">
        <v>605</v>
      </c>
      <c r="AC30" s="82">
        <v>575</v>
      </c>
      <c r="AD30" s="82">
        <v>590</v>
      </c>
      <c r="AE30" s="82">
        <v>550</v>
      </c>
      <c r="AF30" s="341">
        <v>556</v>
      </c>
      <c r="AG30" s="82">
        <v>548</v>
      </c>
      <c r="AH30" s="82">
        <v>534</v>
      </c>
      <c r="AI30" s="83">
        <v>489</v>
      </c>
      <c r="AJ30" s="81">
        <v>461</v>
      </c>
      <c r="AK30" s="82">
        <v>475</v>
      </c>
      <c r="AL30" s="82">
        <v>528</v>
      </c>
      <c r="AM30" s="83">
        <v>530</v>
      </c>
      <c r="AN30" s="81">
        <v>482</v>
      </c>
      <c r="AO30" s="82">
        <v>480</v>
      </c>
      <c r="AP30" s="82">
        <v>555</v>
      </c>
      <c r="AQ30" s="83">
        <v>558</v>
      </c>
      <c r="AR30" s="81">
        <v>494</v>
      </c>
      <c r="AS30" s="82">
        <v>462</v>
      </c>
      <c r="AT30" s="82">
        <v>408</v>
      </c>
      <c r="AU30" s="83">
        <v>472</v>
      </c>
      <c r="AV30" s="81">
        <v>347</v>
      </c>
      <c r="AW30" s="82">
        <v>392</v>
      </c>
      <c r="AX30" s="82">
        <v>384</v>
      </c>
      <c r="AY30" s="83">
        <v>391</v>
      </c>
      <c r="AZ30" s="81">
        <v>385</v>
      </c>
      <c r="BA30" s="82">
        <v>430</v>
      </c>
      <c r="BB30" s="82">
        <v>460</v>
      </c>
      <c r="BC30" s="83">
        <v>541</v>
      </c>
      <c r="BD30" s="81">
        <v>485</v>
      </c>
      <c r="BE30" s="1121">
        <f t="shared" ref="BE30:BE34" si="101">BD30</f>
        <v>485</v>
      </c>
      <c r="BF30" s="79">
        <f t="shared" ref="BF30:BF34" si="102">BE30</f>
        <v>485</v>
      </c>
      <c r="BG30" s="80">
        <f t="shared" ref="BG30:BG34" si="103">BF30</f>
        <v>485</v>
      </c>
      <c r="BH30" s="1121">
        <f t="shared" ref="BH30:BH34" si="104">BG30</f>
        <v>485</v>
      </c>
      <c r="BI30" s="1121">
        <f t="shared" ref="BI30:BI34" si="105">BH30</f>
        <v>485</v>
      </c>
      <c r="BJ30" s="79">
        <f t="shared" ref="BJ30:BJ34" si="106">BI30</f>
        <v>485</v>
      </c>
      <c r="BK30" s="80">
        <f t="shared" ref="BK30:BK34" si="107">BJ30</f>
        <v>485</v>
      </c>
      <c r="BL30" s="121"/>
      <c r="BM30" s="79">
        <f t="shared" si="84"/>
        <v>615.87199999999996</v>
      </c>
      <c r="BN30" s="79">
        <f t="shared" si="85"/>
        <v>893</v>
      </c>
      <c r="BO30" s="79">
        <f t="shared" si="86"/>
        <v>998</v>
      </c>
      <c r="BP30" s="79">
        <f t="shared" si="87"/>
        <v>947</v>
      </c>
      <c r="BQ30" s="79">
        <f t="shared" si="88"/>
        <v>795</v>
      </c>
      <c r="BR30" s="79">
        <f t="shared" si="89"/>
        <v>698</v>
      </c>
      <c r="BS30" s="79">
        <f t="shared" si="90"/>
        <v>550</v>
      </c>
      <c r="BT30" s="79">
        <f t="shared" si="91"/>
        <v>489</v>
      </c>
      <c r="BU30" s="79">
        <f t="shared" si="92"/>
        <v>530</v>
      </c>
      <c r="BV30" s="79">
        <f t="shared" si="93"/>
        <v>558</v>
      </c>
      <c r="BW30" s="79">
        <f t="shared" si="94"/>
        <v>472</v>
      </c>
      <c r="BX30" s="79">
        <f t="shared" si="95"/>
        <v>391</v>
      </c>
      <c r="BY30" s="79">
        <f t="shared" si="96"/>
        <v>541</v>
      </c>
      <c r="BZ30" s="79">
        <f t="shared" si="97"/>
        <v>485</v>
      </c>
      <c r="CA30" s="79">
        <f t="shared" si="98"/>
        <v>485</v>
      </c>
      <c r="CB30" s="2090">
        <f t="shared" ref="CB30:CB34" si="108">CA30</f>
        <v>485</v>
      </c>
      <c r="CC30" s="2143"/>
      <c r="CD30" s="1873"/>
    </row>
    <row r="31" spans="1:82" ht="14.25" customHeight="1">
      <c r="A31" s="7"/>
      <c r="B31" s="825" t="s">
        <v>214</v>
      </c>
      <c r="C31" s="24"/>
      <c r="D31" s="82">
        <v>144.59</v>
      </c>
      <c r="E31" s="82">
        <v>148.625</v>
      </c>
      <c r="F31" s="82">
        <v>163.65199999999999</v>
      </c>
      <c r="G31" s="83">
        <v>141.898</v>
      </c>
      <c r="H31" s="82">
        <v>194.94</v>
      </c>
      <c r="I31" s="82">
        <v>189.99199999999999</v>
      </c>
      <c r="J31" s="82">
        <v>115.571</v>
      </c>
      <c r="K31" s="83">
        <v>78</v>
      </c>
      <c r="L31" s="82">
        <v>181</v>
      </c>
      <c r="M31" s="82">
        <v>92</v>
      </c>
      <c r="N31" s="82">
        <v>71</v>
      </c>
      <c r="O31" s="83">
        <v>101</v>
      </c>
      <c r="P31" s="82">
        <v>92</v>
      </c>
      <c r="Q31" s="82">
        <v>80</v>
      </c>
      <c r="R31" s="82">
        <v>65</v>
      </c>
      <c r="S31" s="83">
        <v>50</v>
      </c>
      <c r="T31" s="82">
        <v>87</v>
      </c>
      <c r="U31" s="82">
        <v>87</v>
      </c>
      <c r="V31" s="82">
        <v>127</v>
      </c>
      <c r="W31" s="83">
        <v>138</v>
      </c>
      <c r="X31" s="82">
        <v>149</v>
      </c>
      <c r="Y31" s="82">
        <v>148</v>
      </c>
      <c r="Z31" s="82">
        <v>151</v>
      </c>
      <c r="AA31" s="82">
        <v>143</v>
      </c>
      <c r="AB31" s="341">
        <v>165</v>
      </c>
      <c r="AC31" s="82">
        <v>132</v>
      </c>
      <c r="AD31" s="82">
        <v>131</v>
      </c>
      <c r="AE31" s="82">
        <v>123</v>
      </c>
      <c r="AF31" s="341">
        <v>137</v>
      </c>
      <c r="AG31" s="82">
        <v>126</v>
      </c>
      <c r="AH31" s="82">
        <v>110</v>
      </c>
      <c r="AI31" s="83">
        <v>108</v>
      </c>
      <c r="AJ31" s="81">
        <v>132</v>
      </c>
      <c r="AK31" s="82">
        <v>129</v>
      </c>
      <c r="AL31" s="82">
        <v>139</v>
      </c>
      <c r="AM31" s="83">
        <v>145</v>
      </c>
      <c r="AN31" s="81">
        <v>146</v>
      </c>
      <c r="AO31" s="82">
        <v>118</v>
      </c>
      <c r="AP31" s="82">
        <v>94</v>
      </c>
      <c r="AQ31" s="83">
        <v>72</v>
      </c>
      <c r="AR31" s="81">
        <v>61</v>
      </c>
      <c r="AS31" s="82">
        <v>51</v>
      </c>
      <c r="AT31" s="82">
        <v>60</v>
      </c>
      <c r="AU31" s="83">
        <v>53</v>
      </c>
      <c r="AV31" s="81">
        <v>43</v>
      </c>
      <c r="AW31" s="82">
        <v>42</v>
      </c>
      <c r="AX31" s="82">
        <v>54</v>
      </c>
      <c r="AY31" s="83">
        <v>63</v>
      </c>
      <c r="AZ31" s="81">
        <v>62</v>
      </c>
      <c r="BA31" s="82">
        <v>72</v>
      </c>
      <c r="BB31" s="82">
        <v>72</v>
      </c>
      <c r="BC31" s="83">
        <v>22</v>
      </c>
      <c r="BD31" s="81">
        <v>0</v>
      </c>
      <c r="BE31" s="1121">
        <f t="shared" si="101"/>
        <v>0</v>
      </c>
      <c r="BF31" s="79">
        <f t="shared" si="102"/>
        <v>0</v>
      </c>
      <c r="BG31" s="80">
        <f t="shared" si="103"/>
        <v>0</v>
      </c>
      <c r="BH31" s="1121">
        <f t="shared" si="104"/>
        <v>0</v>
      </c>
      <c r="BI31" s="1121">
        <f t="shared" si="105"/>
        <v>0</v>
      </c>
      <c r="BJ31" s="79">
        <f t="shared" si="106"/>
        <v>0</v>
      </c>
      <c r="BK31" s="80">
        <f t="shared" si="107"/>
        <v>0</v>
      </c>
      <c r="BL31" s="121"/>
      <c r="BM31" s="79">
        <f t="shared" si="84"/>
        <v>141.898</v>
      </c>
      <c r="BN31" s="79">
        <f t="shared" si="85"/>
        <v>78</v>
      </c>
      <c r="BO31" s="79">
        <f t="shared" si="86"/>
        <v>101</v>
      </c>
      <c r="BP31" s="79">
        <f t="shared" si="87"/>
        <v>50</v>
      </c>
      <c r="BQ31" s="79">
        <f t="shared" si="88"/>
        <v>138</v>
      </c>
      <c r="BR31" s="79">
        <f t="shared" si="89"/>
        <v>143</v>
      </c>
      <c r="BS31" s="79">
        <f t="shared" si="90"/>
        <v>123</v>
      </c>
      <c r="BT31" s="79">
        <f t="shared" si="91"/>
        <v>108</v>
      </c>
      <c r="BU31" s="79">
        <f t="shared" si="92"/>
        <v>145</v>
      </c>
      <c r="BV31" s="79">
        <f t="shared" si="93"/>
        <v>72</v>
      </c>
      <c r="BW31" s="79">
        <f t="shared" si="94"/>
        <v>53</v>
      </c>
      <c r="BX31" s="79">
        <f t="shared" si="95"/>
        <v>63</v>
      </c>
      <c r="BY31" s="79">
        <f t="shared" si="96"/>
        <v>22</v>
      </c>
      <c r="BZ31" s="79">
        <f t="shared" si="97"/>
        <v>0</v>
      </c>
      <c r="CA31" s="79">
        <f t="shared" si="98"/>
        <v>0</v>
      </c>
      <c r="CB31" s="2090">
        <f t="shared" si="108"/>
        <v>0</v>
      </c>
      <c r="CC31" s="2143"/>
      <c r="CD31" s="1873"/>
    </row>
    <row r="32" spans="1:82" ht="14.25" customHeight="1">
      <c r="A32" s="7"/>
      <c r="B32" s="825" t="s">
        <v>250</v>
      </c>
      <c r="C32" s="24"/>
      <c r="D32" s="82">
        <v>0</v>
      </c>
      <c r="E32" s="82">
        <v>0</v>
      </c>
      <c r="F32" s="82">
        <v>0</v>
      </c>
      <c r="G32" s="83">
        <v>0</v>
      </c>
      <c r="H32" s="82">
        <v>0</v>
      </c>
      <c r="I32" s="82">
        <v>0</v>
      </c>
      <c r="J32" s="82">
        <v>0</v>
      </c>
      <c r="K32" s="83">
        <v>0</v>
      </c>
      <c r="L32" s="82">
        <v>0</v>
      </c>
      <c r="M32" s="82">
        <v>0</v>
      </c>
      <c r="N32" s="82">
        <v>0</v>
      </c>
      <c r="O32" s="83">
        <v>0</v>
      </c>
      <c r="P32" s="82">
        <v>0</v>
      </c>
      <c r="Q32" s="82">
        <v>60</v>
      </c>
      <c r="R32" s="82">
        <v>94</v>
      </c>
      <c r="S32" s="83">
        <v>86</v>
      </c>
      <c r="T32" s="82">
        <v>134</v>
      </c>
      <c r="U32" s="82">
        <v>89</v>
      </c>
      <c r="V32" s="82">
        <v>125</v>
      </c>
      <c r="W32" s="83">
        <v>171</v>
      </c>
      <c r="X32" s="82">
        <v>154</v>
      </c>
      <c r="Y32" s="82">
        <v>159</v>
      </c>
      <c r="Z32" s="82">
        <v>209</v>
      </c>
      <c r="AA32" s="82">
        <v>229</v>
      </c>
      <c r="AB32" s="341">
        <v>34</v>
      </c>
      <c r="AC32" s="82">
        <v>0</v>
      </c>
      <c r="AD32" s="82">
        <v>0</v>
      </c>
      <c r="AE32" s="82">
        <v>0</v>
      </c>
      <c r="AF32" s="341">
        <v>0</v>
      </c>
      <c r="AG32" s="82">
        <v>0</v>
      </c>
      <c r="AH32" s="82">
        <v>0</v>
      </c>
      <c r="AI32" s="83">
        <v>0</v>
      </c>
      <c r="AJ32" s="81">
        <v>0</v>
      </c>
      <c r="AK32" s="82">
        <v>0</v>
      </c>
      <c r="AL32" s="82">
        <v>0</v>
      </c>
      <c r="AM32" s="83">
        <v>0</v>
      </c>
      <c r="AN32" s="81">
        <v>0</v>
      </c>
      <c r="AO32" s="82">
        <v>0</v>
      </c>
      <c r="AP32" s="82">
        <v>0</v>
      </c>
      <c r="AQ32" s="83">
        <v>0</v>
      </c>
      <c r="AR32" s="81">
        <v>0</v>
      </c>
      <c r="AS32" s="82">
        <v>0</v>
      </c>
      <c r="AT32" s="82">
        <v>0</v>
      </c>
      <c r="AU32" s="83">
        <v>0</v>
      </c>
      <c r="AV32" s="81">
        <v>0</v>
      </c>
      <c r="AW32" s="82">
        <v>0</v>
      </c>
      <c r="AX32" s="82">
        <v>0</v>
      </c>
      <c r="AY32" s="83">
        <v>0</v>
      </c>
      <c r="AZ32" s="81">
        <v>0</v>
      </c>
      <c r="BA32" s="82">
        <v>42</v>
      </c>
      <c r="BB32" s="82">
        <v>0</v>
      </c>
      <c r="BC32" s="83">
        <v>0</v>
      </c>
      <c r="BD32" s="81">
        <v>0</v>
      </c>
      <c r="BE32" s="1121">
        <f t="shared" si="101"/>
        <v>0</v>
      </c>
      <c r="BF32" s="79">
        <f t="shared" si="102"/>
        <v>0</v>
      </c>
      <c r="BG32" s="80">
        <f t="shared" si="103"/>
        <v>0</v>
      </c>
      <c r="BH32" s="1121">
        <f t="shared" si="104"/>
        <v>0</v>
      </c>
      <c r="BI32" s="1121">
        <f t="shared" si="105"/>
        <v>0</v>
      </c>
      <c r="BJ32" s="79">
        <f t="shared" si="106"/>
        <v>0</v>
      </c>
      <c r="BK32" s="80">
        <f t="shared" si="107"/>
        <v>0</v>
      </c>
      <c r="BL32" s="121"/>
      <c r="BM32" s="79">
        <f t="shared" si="84"/>
        <v>0</v>
      </c>
      <c r="BN32" s="79">
        <f t="shared" si="85"/>
        <v>0</v>
      </c>
      <c r="BO32" s="79">
        <f t="shared" si="86"/>
        <v>0</v>
      </c>
      <c r="BP32" s="79">
        <f t="shared" si="87"/>
        <v>86</v>
      </c>
      <c r="BQ32" s="79">
        <f t="shared" si="88"/>
        <v>171</v>
      </c>
      <c r="BR32" s="79">
        <f t="shared" si="89"/>
        <v>229</v>
      </c>
      <c r="BS32" s="79">
        <f t="shared" si="90"/>
        <v>0</v>
      </c>
      <c r="BT32" s="79">
        <f t="shared" si="91"/>
        <v>0</v>
      </c>
      <c r="BU32" s="79">
        <f t="shared" si="92"/>
        <v>0</v>
      </c>
      <c r="BV32" s="79">
        <f t="shared" si="93"/>
        <v>0</v>
      </c>
      <c r="BW32" s="79">
        <f t="shared" si="94"/>
        <v>0</v>
      </c>
      <c r="BX32" s="79">
        <f t="shared" si="95"/>
        <v>0</v>
      </c>
      <c r="BY32" s="79">
        <f t="shared" si="96"/>
        <v>0</v>
      </c>
      <c r="BZ32" s="79">
        <f t="shared" si="97"/>
        <v>0</v>
      </c>
      <c r="CA32" s="79">
        <f t="shared" si="98"/>
        <v>0</v>
      </c>
      <c r="CB32" s="2090">
        <f t="shared" si="108"/>
        <v>0</v>
      </c>
      <c r="CC32" s="2143"/>
      <c r="CD32" s="1873"/>
    </row>
    <row r="33" spans="1:82" ht="14.25" customHeight="1">
      <c r="A33" s="7"/>
      <c r="B33" s="825" t="s">
        <v>217</v>
      </c>
      <c r="C33" s="24"/>
      <c r="D33" s="82">
        <v>19.779</v>
      </c>
      <c r="E33" s="82">
        <v>17.971</v>
      </c>
      <c r="F33" s="82">
        <v>12.244999999999999</v>
      </c>
      <c r="G33" s="83">
        <v>3.3260000000000001</v>
      </c>
      <c r="H33" s="82">
        <v>33.871000000000002</v>
      </c>
      <c r="I33" s="82">
        <v>45.567</v>
      </c>
      <c r="J33" s="82">
        <v>17.79</v>
      </c>
      <c r="K33" s="83">
        <v>169</v>
      </c>
      <c r="L33" s="82">
        <v>62</v>
      </c>
      <c r="M33" s="82">
        <v>69</v>
      </c>
      <c r="N33" s="82">
        <v>106</v>
      </c>
      <c r="O33" s="83">
        <v>72</v>
      </c>
      <c r="P33" s="82">
        <v>116</v>
      </c>
      <c r="Q33" s="82">
        <v>19</v>
      </c>
      <c r="R33" s="82">
        <v>27</v>
      </c>
      <c r="S33" s="83">
        <v>23</v>
      </c>
      <c r="T33" s="82">
        <v>32</v>
      </c>
      <c r="U33" s="82">
        <v>34</v>
      </c>
      <c r="V33" s="82">
        <v>14</v>
      </c>
      <c r="W33" s="83">
        <v>0</v>
      </c>
      <c r="X33" s="82">
        <v>0</v>
      </c>
      <c r="Y33" s="82">
        <v>0</v>
      </c>
      <c r="Z33" s="82">
        <v>0</v>
      </c>
      <c r="AA33" s="82">
        <v>0</v>
      </c>
      <c r="AB33" s="341">
        <v>0</v>
      </c>
      <c r="AC33" s="82">
        <v>0</v>
      </c>
      <c r="AD33" s="82">
        <v>0</v>
      </c>
      <c r="AE33" s="82">
        <v>0</v>
      </c>
      <c r="AF33" s="341">
        <v>0</v>
      </c>
      <c r="AG33" s="82">
        <v>0</v>
      </c>
      <c r="AH33" s="82">
        <v>0</v>
      </c>
      <c r="AI33" s="83">
        <v>0</v>
      </c>
      <c r="AJ33" s="81">
        <v>0</v>
      </c>
      <c r="AK33" s="82">
        <v>0</v>
      </c>
      <c r="AL33" s="82">
        <v>0</v>
      </c>
      <c r="AM33" s="83">
        <v>0</v>
      </c>
      <c r="AN33" s="81">
        <v>0</v>
      </c>
      <c r="AO33" s="82">
        <v>0</v>
      </c>
      <c r="AP33" s="82">
        <v>0</v>
      </c>
      <c r="AQ33" s="83">
        <v>0</v>
      </c>
      <c r="AR33" s="81">
        <v>0</v>
      </c>
      <c r="AS33" s="82">
        <v>0</v>
      </c>
      <c r="AT33" s="82">
        <v>0</v>
      </c>
      <c r="AU33" s="83">
        <v>0</v>
      </c>
      <c r="AV33" s="81">
        <v>0</v>
      </c>
      <c r="AW33" s="82">
        <v>0</v>
      </c>
      <c r="AX33" s="82">
        <v>0</v>
      </c>
      <c r="AY33" s="83">
        <v>0</v>
      </c>
      <c r="AZ33" s="81">
        <v>0</v>
      </c>
      <c r="BA33" s="82">
        <v>0</v>
      </c>
      <c r="BB33" s="82">
        <v>0</v>
      </c>
      <c r="BC33" s="83">
        <v>0</v>
      </c>
      <c r="BD33" s="81">
        <v>0</v>
      </c>
      <c r="BE33" s="1121">
        <f t="shared" si="101"/>
        <v>0</v>
      </c>
      <c r="BF33" s="79">
        <f t="shared" si="102"/>
        <v>0</v>
      </c>
      <c r="BG33" s="80">
        <f t="shared" si="103"/>
        <v>0</v>
      </c>
      <c r="BH33" s="1121">
        <f t="shared" si="104"/>
        <v>0</v>
      </c>
      <c r="BI33" s="1121">
        <f t="shared" si="105"/>
        <v>0</v>
      </c>
      <c r="BJ33" s="79">
        <f t="shared" si="106"/>
        <v>0</v>
      </c>
      <c r="BK33" s="80">
        <f t="shared" si="107"/>
        <v>0</v>
      </c>
      <c r="BL33" s="121"/>
      <c r="BM33" s="79">
        <f t="shared" si="84"/>
        <v>3.3260000000000001</v>
      </c>
      <c r="BN33" s="79">
        <f t="shared" si="85"/>
        <v>169</v>
      </c>
      <c r="BO33" s="79">
        <f t="shared" si="86"/>
        <v>72</v>
      </c>
      <c r="BP33" s="79">
        <f t="shared" si="87"/>
        <v>23</v>
      </c>
      <c r="BQ33" s="79">
        <f t="shared" si="88"/>
        <v>0</v>
      </c>
      <c r="BR33" s="79">
        <f t="shared" si="89"/>
        <v>0</v>
      </c>
      <c r="BS33" s="79">
        <f t="shared" si="90"/>
        <v>0</v>
      </c>
      <c r="BT33" s="79">
        <f t="shared" si="91"/>
        <v>0</v>
      </c>
      <c r="BU33" s="79">
        <f t="shared" si="92"/>
        <v>0</v>
      </c>
      <c r="BV33" s="79">
        <f t="shared" si="93"/>
        <v>0</v>
      </c>
      <c r="BW33" s="79">
        <f t="shared" si="94"/>
        <v>0</v>
      </c>
      <c r="BX33" s="79">
        <f t="shared" si="95"/>
        <v>0</v>
      </c>
      <c r="BY33" s="79">
        <f t="shared" si="96"/>
        <v>0</v>
      </c>
      <c r="BZ33" s="79">
        <f t="shared" si="97"/>
        <v>0</v>
      </c>
      <c r="CA33" s="79">
        <f t="shared" si="98"/>
        <v>0</v>
      </c>
      <c r="CB33" s="2090">
        <f t="shared" si="108"/>
        <v>0</v>
      </c>
      <c r="CC33" s="2143"/>
      <c r="CD33" s="1873"/>
    </row>
    <row r="34" spans="1:82" ht="14.25" customHeight="1">
      <c r="A34" s="7"/>
      <c r="B34" s="826" t="s">
        <v>247</v>
      </c>
      <c r="C34" s="122"/>
      <c r="D34" s="348">
        <f>128.21+18.997</f>
        <v>147.20699999999999</v>
      </c>
      <c r="E34" s="348">
        <f>124.433+20.077</f>
        <v>144.51000000000002</v>
      </c>
      <c r="F34" s="348">
        <f>137.583+21.355</f>
        <v>158.93799999999999</v>
      </c>
      <c r="G34" s="172">
        <v>161.80699999999999</v>
      </c>
      <c r="H34" s="348">
        <v>168.22</v>
      </c>
      <c r="I34" s="348">
        <v>175.947</v>
      </c>
      <c r="J34" s="348">
        <v>191.82400000000001</v>
      </c>
      <c r="K34" s="172">
        <v>249</v>
      </c>
      <c r="L34" s="348">
        <v>242</v>
      </c>
      <c r="M34" s="348">
        <v>151</v>
      </c>
      <c r="N34" s="348">
        <v>212</v>
      </c>
      <c r="O34" s="172">
        <f>198+26</f>
        <v>224</v>
      </c>
      <c r="P34" s="348">
        <v>227</v>
      </c>
      <c r="Q34" s="348">
        <f>350+23</f>
        <v>373</v>
      </c>
      <c r="R34" s="348">
        <f>199+11</f>
        <v>210</v>
      </c>
      <c r="S34" s="172">
        <v>203</v>
      </c>
      <c r="T34" s="348">
        <v>217</v>
      </c>
      <c r="U34" s="348">
        <v>148</v>
      </c>
      <c r="V34" s="348">
        <v>145</v>
      </c>
      <c r="W34" s="172">
        <v>151</v>
      </c>
      <c r="X34" s="348">
        <v>49</v>
      </c>
      <c r="Y34" s="348">
        <v>35</v>
      </c>
      <c r="Z34" s="348">
        <v>21</v>
      </c>
      <c r="AA34" s="348">
        <v>19</v>
      </c>
      <c r="AB34" s="349">
        <v>29</v>
      </c>
      <c r="AC34" s="348">
        <v>29</v>
      </c>
      <c r="AD34" s="348">
        <v>27</v>
      </c>
      <c r="AE34" s="348">
        <v>72</v>
      </c>
      <c r="AF34" s="349">
        <v>77</v>
      </c>
      <c r="AG34" s="348">
        <v>57</v>
      </c>
      <c r="AH34" s="348">
        <v>46</v>
      </c>
      <c r="AI34" s="172">
        <v>63</v>
      </c>
      <c r="AJ34" s="1006">
        <f>43</f>
        <v>43</v>
      </c>
      <c r="AK34" s="348">
        <v>26</v>
      </c>
      <c r="AL34" s="348">
        <v>21</v>
      </c>
      <c r="AM34" s="172">
        <v>0</v>
      </c>
      <c r="AN34" s="1006">
        <v>0</v>
      </c>
      <c r="AO34" s="348"/>
      <c r="AP34" s="348">
        <v>0</v>
      </c>
      <c r="AQ34" s="172">
        <v>0</v>
      </c>
      <c r="AR34" s="1006">
        <v>0</v>
      </c>
      <c r="AS34" s="348">
        <v>0</v>
      </c>
      <c r="AT34" s="348">
        <v>137</v>
      </c>
      <c r="AU34" s="172">
        <v>124</v>
      </c>
      <c r="AV34" s="1006">
        <v>151</v>
      </c>
      <c r="AW34" s="348">
        <f>61+150</f>
        <v>211</v>
      </c>
      <c r="AX34" s="348">
        <v>25</v>
      </c>
      <c r="AY34" s="172">
        <v>69</v>
      </c>
      <c r="AZ34" s="1006">
        <v>67</v>
      </c>
      <c r="BA34" s="348">
        <v>48</v>
      </c>
      <c r="BB34" s="348">
        <f>73+70</f>
        <v>143</v>
      </c>
      <c r="BC34" s="172">
        <v>57</v>
      </c>
      <c r="BD34" s="1006">
        <v>159</v>
      </c>
      <c r="BE34" s="1474">
        <f t="shared" si="101"/>
        <v>159</v>
      </c>
      <c r="BF34" s="123">
        <f t="shared" si="102"/>
        <v>159</v>
      </c>
      <c r="BG34" s="124">
        <f t="shared" si="103"/>
        <v>159</v>
      </c>
      <c r="BH34" s="1474">
        <f t="shared" si="104"/>
        <v>159</v>
      </c>
      <c r="BI34" s="1474">
        <f t="shared" si="105"/>
        <v>159</v>
      </c>
      <c r="BJ34" s="123">
        <f t="shared" si="106"/>
        <v>159</v>
      </c>
      <c r="BK34" s="124">
        <f t="shared" si="107"/>
        <v>159</v>
      </c>
      <c r="BL34" s="121"/>
      <c r="BM34" s="123">
        <f t="shared" si="84"/>
        <v>161.80699999999999</v>
      </c>
      <c r="BN34" s="123">
        <f t="shared" si="85"/>
        <v>249</v>
      </c>
      <c r="BO34" s="123">
        <f t="shared" si="86"/>
        <v>224</v>
      </c>
      <c r="BP34" s="123">
        <f t="shared" si="87"/>
        <v>203</v>
      </c>
      <c r="BQ34" s="123">
        <f t="shared" si="88"/>
        <v>151</v>
      </c>
      <c r="BR34" s="123">
        <f t="shared" si="89"/>
        <v>19</v>
      </c>
      <c r="BS34" s="123">
        <f t="shared" si="90"/>
        <v>72</v>
      </c>
      <c r="BT34" s="123">
        <f t="shared" si="91"/>
        <v>63</v>
      </c>
      <c r="BU34" s="123">
        <f t="shared" si="92"/>
        <v>0</v>
      </c>
      <c r="BV34" s="123">
        <f t="shared" si="93"/>
        <v>0</v>
      </c>
      <c r="BW34" s="123">
        <f t="shared" si="94"/>
        <v>124</v>
      </c>
      <c r="BX34" s="123">
        <f t="shared" si="95"/>
        <v>69</v>
      </c>
      <c r="BY34" s="123">
        <f t="shared" si="96"/>
        <v>57</v>
      </c>
      <c r="BZ34" s="123">
        <f t="shared" si="97"/>
        <v>159</v>
      </c>
      <c r="CA34" s="123">
        <f t="shared" si="98"/>
        <v>159</v>
      </c>
      <c r="CB34" s="2104">
        <f t="shared" si="108"/>
        <v>159</v>
      </c>
      <c r="CC34" s="2143"/>
      <c r="CD34" s="1873"/>
    </row>
    <row r="35" spans="1:82" ht="14.25" customHeight="1">
      <c r="A35" s="7"/>
      <c r="B35" s="824" t="s">
        <v>102</v>
      </c>
      <c r="C35" s="138"/>
      <c r="D35" s="142">
        <f t="shared" ref="D35:AM35" si="109">SUM(D27:D34)</f>
        <v>1903.4740000000002</v>
      </c>
      <c r="E35" s="126">
        <f t="shared" si="109"/>
        <v>1997.684</v>
      </c>
      <c r="F35" s="126">
        <f t="shared" si="109"/>
        <v>2212.355</v>
      </c>
      <c r="G35" s="127">
        <f t="shared" si="109"/>
        <v>1821.961</v>
      </c>
      <c r="H35" s="128">
        <f t="shared" si="109"/>
        <v>1948.5240000000001</v>
      </c>
      <c r="I35" s="126">
        <f t="shared" si="109"/>
        <v>1754.489</v>
      </c>
      <c r="J35" s="126">
        <f t="shared" si="109"/>
        <v>1892.2109999999998</v>
      </c>
      <c r="K35" s="127">
        <f t="shared" si="109"/>
        <v>2852</v>
      </c>
      <c r="L35" s="128">
        <f t="shared" si="109"/>
        <v>2911</v>
      </c>
      <c r="M35" s="126">
        <f t="shared" si="109"/>
        <v>2476</v>
      </c>
      <c r="N35" s="126">
        <f t="shared" si="109"/>
        <v>2702</v>
      </c>
      <c r="O35" s="127">
        <f t="shared" si="109"/>
        <v>2625</v>
      </c>
      <c r="P35" s="128">
        <f t="shared" si="109"/>
        <v>2738</v>
      </c>
      <c r="Q35" s="126">
        <f t="shared" si="109"/>
        <v>2468</v>
      </c>
      <c r="R35" s="126">
        <f t="shared" si="109"/>
        <v>2392</v>
      </c>
      <c r="S35" s="127">
        <f t="shared" si="109"/>
        <v>2226</v>
      </c>
      <c r="T35" s="128">
        <f t="shared" si="109"/>
        <v>2079</v>
      </c>
      <c r="U35" s="126">
        <f t="shared" si="109"/>
        <v>2022</v>
      </c>
      <c r="V35" s="126">
        <f t="shared" si="109"/>
        <v>2076</v>
      </c>
      <c r="W35" s="127">
        <f t="shared" si="109"/>
        <v>2210</v>
      </c>
      <c r="X35" s="126">
        <f t="shared" si="109"/>
        <v>1645</v>
      </c>
      <c r="Y35" s="126">
        <f t="shared" si="109"/>
        <v>1630</v>
      </c>
      <c r="Z35" s="126">
        <f t="shared" si="109"/>
        <v>1665</v>
      </c>
      <c r="AA35" s="127">
        <f t="shared" si="109"/>
        <v>1674</v>
      </c>
      <c r="AB35" s="128">
        <f t="shared" si="109"/>
        <v>1375</v>
      </c>
      <c r="AC35" s="126">
        <f t="shared" si="109"/>
        <v>1312</v>
      </c>
      <c r="AD35" s="126">
        <f t="shared" si="109"/>
        <v>1855</v>
      </c>
      <c r="AE35" s="127">
        <f t="shared" si="109"/>
        <v>1774</v>
      </c>
      <c r="AF35" s="128">
        <f t="shared" si="109"/>
        <v>2347</v>
      </c>
      <c r="AG35" s="126">
        <f t="shared" si="109"/>
        <v>2352</v>
      </c>
      <c r="AH35" s="126">
        <f t="shared" si="109"/>
        <v>1555</v>
      </c>
      <c r="AI35" s="127">
        <f t="shared" si="109"/>
        <v>1397</v>
      </c>
      <c r="AJ35" s="128">
        <f t="shared" si="109"/>
        <v>1321</v>
      </c>
      <c r="AK35" s="126">
        <f t="shared" si="109"/>
        <v>1451</v>
      </c>
      <c r="AL35" s="126">
        <f t="shared" si="109"/>
        <v>1762</v>
      </c>
      <c r="AM35" s="127">
        <f t="shared" si="109"/>
        <v>1618</v>
      </c>
      <c r="AN35" s="128">
        <f t="shared" ref="AN35:AU35" si="110">SUM(AN27:AN34)</f>
        <v>1384</v>
      </c>
      <c r="AO35" s="126">
        <f t="shared" si="110"/>
        <v>1505</v>
      </c>
      <c r="AP35" s="126">
        <f t="shared" si="110"/>
        <v>1566</v>
      </c>
      <c r="AQ35" s="127">
        <f t="shared" si="110"/>
        <v>1440</v>
      </c>
      <c r="AR35" s="128">
        <f t="shared" si="110"/>
        <v>1292</v>
      </c>
      <c r="AS35" s="126">
        <f>SUM(AS27:AS34)</f>
        <v>1399</v>
      </c>
      <c r="AT35" s="126">
        <f t="shared" si="110"/>
        <v>1449</v>
      </c>
      <c r="AU35" s="127">
        <f t="shared" si="110"/>
        <v>1403</v>
      </c>
      <c r="AV35" s="128">
        <f t="shared" ref="AV35:AY35" si="111">SUM(AV27:AV34)</f>
        <v>1328</v>
      </c>
      <c r="AW35" s="126">
        <f t="shared" si="111"/>
        <v>1581</v>
      </c>
      <c r="AX35" s="126">
        <f t="shared" si="111"/>
        <v>1473</v>
      </c>
      <c r="AY35" s="127">
        <f t="shared" si="111"/>
        <v>1346</v>
      </c>
      <c r="AZ35" s="128">
        <f t="shared" ref="AZ35:BC35" si="112">SUM(AZ27:AZ34)</f>
        <v>1372</v>
      </c>
      <c r="BA35" s="126">
        <f t="shared" si="112"/>
        <v>1449</v>
      </c>
      <c r="BB35" s="126">
        <f t="shared" si="112"/>
        <v>1591</v>
      </c>
      <c r="BC35" s="127">
        <f t="shared" si="112"/>
        <v>1486</v>
      </c>
      <c r="BD35" s="128">
        <f t="shared" ref="BD35" si="113">SUM(BD27:BD34)</f>
        <v>1697</v>
      </c>
      <c r="BE35" s="1470">
        <f t="shared" ref="BE35:BG35" si="114">SUM(BE27:BE34)</f>
        <v>1713.9243168450266</v>
      </c>
      <c r="BF35" s="126">
        <f t="shared" si="114"/>
        <v>1714.426012363183</v>
      </c>
      <c r="BG35" s="127">
        <f t="shared" si="114"/>
        <v>1685.6932544386445</v>
      </c>
      <c r="BH35" s="1470">
        <f t="shared" ref="BH35:BK35" si="115">SUM(BH27:BH34)</f>
        <v>1696.4486991298445</v>
      </c>
      <c r="BI35" s="1470">
        <f t="shared" si="115"/>
        <v>1714.1943643560351</v>
      </c>
      <c r="BJ35" s="126">
        <f t="shared" si="115"/>
        <v>1737.6452291173132</v>
      </c>
      <c r="BK35" s="127">
        <f t="shared" si="115"/>
        <v>1733.6894046662303</v>
      </c>
      <c r="BL35" s="121"/>
      <c r="BM35" s="129">
        <f t="shared" ref="BM35:BS35" si="116">SUM(BM27:BM34)</f>
        <v>1821.961</v>
      </c>
      <c r="BN35" s="129">
        <f t="shared" si="116"/>
        <v>2852</v>
      </c>
      <c r="BO35" s="129">
        <f t="shared" si="116"/>
        <v>2625</v>
      </c>
      <c r="BP35" s="129">
        <f t="shared" si="116"/>
        <v>2226</v>
      </c>
      <c r="BQ35" s="129">
        <f t="shared" si="116"/>
        <v>2210</v>
      </c>
      <c r="BR35" s="129">
        <f t="shared" si="116"/>
        <v>1674</v>
      </c>
      <c r="BS35" s="129">
        <f t="shared" si="116"/>
        <v>1774</v>
      </c>
      <c r="BT35" s="129">
        <f t="shared" ref="BT35:BY35" si="117">SUM(BT27:BT34)</f>
        <v>1397</v>
      </c>
      <c r="BU35" s="129">
        <f t="shared" si="117"/>
        <v>1618</v>
      </c>
      <c r="BV35" s="129">
        <f>SUM(BV27:BV34)</f>
        <v>1440</v>
      </c>
      <c r="BW35" s="129">
        <f t="shared" si="117"/>
        <v>1403</v>
      </c>
      <c r="BX35" s="129">
        <f>SUM(BX27:BX34)</f>
        <v>1346</v>
      </c>
      <c r="BY35" s="129">
        <f t="shared" si="117"/>
        <v>1486</v>
      </c>
      <c r="BZ35" s="129">
        <f t="shared" ref="BZ35:CB35" si="118">SUM(BZ27:BZ34)</f>
        <v>1685.6932544386445</v>
      </c>
      <c r="CA35" s="129">
        <f t="shared" si="118"/>
        <v>1733.6894046662303</v>
      </c>
      <c r="CB35" s="2105">
        <f t="shared" si="118"/>
        <v>1740.5323130643724</v>
      </c>
      <c r="CC35" s="2143"/>
      <c r="CD35" s="1873"/>
    </row>
    <row r="36" spans="1:82" ht="14.25" customHeight="1">
      <c r="A36" s="7"/>
      <c r="B36" s="828"/>
      <c r="C36" s="22"/>
      <c r="D36" s="81"/>
      <c r="E36" s="82"/>
      <c r="F36" s="82"/>
      <c r="G36" s="83"/>
      <c r="H36" s="81"/>
      <c r="I36" s="82"/>
      <c r="J36" s="82"/>
      <c r="K36" s="83"/>
      <c r="L36" s="81"/>
      <c r="M36" s="82"/>
      <c r="N36" s="82"/>
      <c r="O36" s="83"/>
      <c r="P36" s="81"/>
      <c r="Q36" s="82"/>
      <c r="R36" s="82"/>
      <c r="S36" s="83"/>
      <c r="T36" s="81"/>
      <c r="U36" s="82"/>
      <c r="V36" s="82"/>
      <c r="W36" s="83"/>
      <c r="X36" s="82"/>
      <c r="Y36" s="82"/>
      <c r="Z36" s="82"/>
      <c r="AA36" s="82"/>
      <c r="AB36" s="81"/>
      <c r="AC36" s="82"/>
      <c r="AD36" s="82"/>
      <c r="AE36" s="82"/>
      <c r="AF36" s="81"/>
      <c r="AG36" s="82"/>
      <c r="AH36" s="82"/>
      <c r="AI36" s="83"/>
      <c r="AJ36" s="81"/>
      <c r="AK36" s="82"/>
      <c r="AL36" s="82"/>
      <c r="AM36" s="83"/>
      <c r="AN36" s="81"/>
      <c r="AO36" s="82"/>
      <c r="AP36" s="82"/>
      <c r="AQ36" s="83"/>
      <c r="AR36" s="81"/>
      <c r="AS36" s="82"/>
      <c r="AT36" s="82"/>
      <c r="AU36" s="83"/>
      <c r="AV36" s="81"/>
      <c r="AW36" s="82"/>
      <c r="AX36" s="82"/>
      <c r="AY36" s="83"/>
      <c r="AZ36" s="81"/>
      <c r="BA36" s="82"/>
      <c r="BB36" s="82"/>
      <c r="BC36" s="83"/>
      <c r="BD36" s="81"/>
      <c r="BE36" s="1121"/>
      <c r="BF36" s="82"/>
      <c r="BG36" s="83"/>
      <c r="BH36" s="1121"/>
      <c r="BI36" s="1121"/>
      <c r="BJ36" s="82"/>
      <c r="BK36" s="83"/>
      <c r="BL36" s="121"/>
      <c r="BM36" s="82"/>
      <c r="BN36" s="82"/>
      <c r="BO36" s="82"/>
      <c r="BP36" s="82"/>
      <c r="BQ36" s="82"/>
      <c r="BR36" s="82"/>
      <c r="BS36" s="82"/>
      <c r="BT36" s="82"/>
      <c r="BU36" s="82"/>
      <c r="BV36" s="82"/>
      <c r="BW36" s="82"/>
      <c r="BX36" s="82"/>
      <c r="BY36" s="82"/>
      <c r="BZ36" s="82"/>
      <c r="CA36" s="82"/>
      <c r="CB36" s="2106"/>
      <c r="CC36" s="2143"/>
      <c r="CD36" s="1873"/>
    </row>
    <row r="37" spans="1:82" ht="14.25" customHeight="1">
      <c r="A37" s="7"/>
      <c r="B37" s="825" t="s">
        <v>179</v>
      </c>
      <c r="C37" s="24"/>
      <c r="D37" s="81">
        <f>1602.046+20</f>
        <v>1622.046</v>
      </c>
      <c r="E37" s="82">
        <f>1581.584+10</f>
        <v>1591.5840000000001</v>
      </c>
      <c r="F37" s="82">
        <v>1708.8720000000001</v>
      </c>
      <c r="G37" s="83">
        <v>1327.0650000000001</v>
      </c>
      <c r="H37" s="81">
        <v>615.87400000000002</v>
      </c>
      <c r="I37" s="82">
        <v>647.10900000000004</v>
      </c>
      <c r="J37" s="82">
        <v>644.35699999999997</v>
      </c>
      <c r="K37" s="83">
        <v>3672</v>
      </c>
      <c r="L37" s="81">
        <v>3659</v>
      </c>
      <c r="M37" s="82">
        <v>5318</v>
      </c>
      <c r="N37" s="82">
        <v>5117</v>
      </c>
      <c r="O37" s="83">
        <v>5031</v>
      </c>
      <c r="P37" s="81">
        <v>5025</v>
      </c>
      <c r="Q37" s="82">
        <v>4955</v>
      </c>
      <c r="R37" s="82">
        <v>4874</v>
      </c>
      <c r="S37" s="83">
        <v>4490</v>
      </c>
      <c r="T37" s="81">
        <v>5282</v>
      </c>
      <c r="U37" s="82">
        <v>5243</v>
      </c>
      <c r="V37" s="82">
        <v>5275</v>
      </c>
      <c r="W37" s="83">
        <v>4252</v>
      </c>
      <c r="X37" s="82">
        <v>2601</v>
      </c>
      <c r="Y37" s="82">
        <v>2418</v>
      </c>
      <c r="Z37" s="82">
        <v>2185</v>
      </c>
      <c r="AA37" s="83">
        <v>2188</v>
      </c>
      <c r="AB37" s="340">
        <v>2192</v>
      </c>
      <c r="AC37" s="82">
        <v>2195</v>
      </c>
      <c r="AD37" s="82">
        <v>1571</v>
      </c>
      <c r="AE37" s="83">
        <v>1527</v>
      </c>
      <c r="AF37" s="340">
        <v>1529</v>
      </c>
      <c r="AG37" s="82">
        <v>1532</v>
      </c>
      <c r="AH37" s="82">
        <v>2035</v>
      </c>
      <c r="AI37" s="83">
        <v>2037</v>
      </c>
      <c r="AJ37" s="82">
        <v>2039</v>
      </c>
      <c r="AK37" s="82">
        <v>2042</v>
      </c>
      <c r="AL37" s="82">
        <v>2044</v>
      </c>
      <c r="AM37" s="83">
        <v>1998</v>
      </c>
      <c r="AN37" s="82">
        <v>2078</v>
      </c>
      <c r="AO37" s="82">
        <v>2109</v>
      </c>
      <c r="AP37" s="82">
        <v>2106</v>
      </c>
      <c r="AQ37" s="83">
        <v>2035</v>
      </c>
      <c r="AR37" s="82">
        <v>2033</v>
      </c>
      <c r="AS37" s="82">
        <v>2034</v>
      </c>
      <c r="AT37" s="82">
        <v>2030</v>
      </c>
      <c r="AU37" s="83">
        <v>2032</v>
      </c>
      <c r="AV37" s="82">
        <v>2006</v>
      </c>
      <c r="AW37" s="82">
        <v>2012</v>
      </c>
      <c r="AX37" s="82">
        <v>1632</v>
      </c>
      <c r="AY37" s="83">
        <v>1435</v>
      </c>
      <c r="AZ37" s="82">
        <v>1408</v>
      </c>
      <c r="BA37" s="82">
        <v>1375</v>
      </c>
      <c r="BB37" s="82">
        <v>1356</v>
      </c>
      <c r="BC37" s="83">
        <v>1325</v>
      </c>
      <c r="BD37" s="82">
        <v>1165</v>
      </c>
      <c r="BE37" s="1121">
        <f t="shared" ref="BE37" si="119">+BD37</f>
        <v>1165</v>
      </c>
      <c r="BF37" s="79">
        <f>+BE37</f>
        <v>1165</v>
      </c>
      <c r="BG37" s="80">
        <f t="shared" ref="BG37" si="120">+BF37</f>
        <v>1165</v>
      </c>
      <c r="BH37" s="1121">
        <f t="shared" ref="BH37" si="121">+BG37</f>
        <v>1165</v>
      </c>
      <c r="BI37" s="1121">
        <f t="shared" ref="BI37" si="122">+BH37</f>
        <v>1165</v>
      </c>
      <c r="BJ37" s="79">
        <f t="shared" ref="BJ37" si="123">+BI37</f>
        <v>1165</v>
      </c>
      <c r="BK37" s="80">
        <f t="shared" ref="BK37" si="124">+BJ37</f>
        <v>1165</v>
      </c>
      <c r="BL37" s="121"/>
      <c r="BM37" s="79">
        <f>G37</f>
        <v>1327.0650000000001</v>
      </c>
      <c r="BN37" s="79">
        <f>K37</f>
        <v>3672</v>
      </c>
      <c r="BO37" s="79">
        <f>O37</f>
        <v>5031</v>
      </c>
      <c r="BP37" s="79">
        <f>S37</f>
        <v>4490</v>
      </c>
      <c r="BQ37" s="79">
        <f>W37</f>
        <v>4252</v>
      </c>
      <c r="BR37" s="79">
        <f>AA37</f>
        <v>2188</v>
      </c>
      <c r="BS37" s="79">
        <f>AE37</f>
        <v>1527</v>
      </c>
      <c r="BT37" s="79">
        <f>AI37</f>
        <v>2037</v>
      </c>
      <c r="BU37" s="79">
        <f>AM37</f>
        <v>1998</v>
      </c>
      <c r="BV37" s="79">
        <f>AQ37</f>
        <v>2035</v>
      </c>
      <c r="BW37" s="79">
        <f>AU37</f>
        <v>2032</v>
      </c>
      <c r="BX37" s="79">
        <f>AY37</f>
        <v>1435</v>
      </c>
      <c r="BY37" s="79">
        <f t="shared" ref="BY37:BY40" si="125">BC37</f>
        <v>1325</v>
      </c>
      <c r="BZ37" s="79">
        <f>BG37</f>
        <v>1165</v>
      </c>
      <c r="CA37" s="79">
        <f t="shared" ref="CA37:CA42" si="126">BK37</f>
        <v>1165</v>
      </c>
      <c r="CB37" s="2090">
        <f>CA37+CFS!CB46+CFS!CB47</f>
        <v>1165</v>
      </c>
      <c r="CC37" s="2143"/>
      <c r="CD37" s="1873"/>
    </row>
    <row r="38" spans="1:82" ht="14.25" customHeight="1">
      <c r="A38" s="7"/>
      <c r="B38" s="825" t="s">
        <v>216</v>
      </c>
      <c r="C38" s="24"/>
      <c r="D38" s="81">
        <v>85.209000000000003</v>
      </c>
      <c r="E38" s="82">
        <v>68.131</v>
      </c>
      <c r="F38" s="82">
        <v>50.63</v>
      </c>
      <c r="G38" s="83">
        <v>92.605999999999995</v>
      </c>
      <c r="H38" s="81">
        <v>104.98</v>
      </c>
      <c r="I38" s="82">
        <v>90.322999999999993</v>
      </c>
      <c r="J38" s="82">
        <v>75.861000000000004</v>
      </c>
      <c r="K38" s="83">
        <v>31</v>
      </c>
      <c r="L38" s="81">
        <v>43</v>
      </c>
      <c r="M38" s="82">
        <v>56</v>
      </c>
      <c r="N38" s="82">
        <v>32</v>
      </c>
      <c r="O38" s="83">
        <v>6</v>
      </c>
      <c r="P38" s="81">
        <v>4</v>
      </c>
      <c r="Q38" s="82">
        <v>3</v>
      </c>
      <c r="R38" s="82">
        <v>4</v>
      </c>
      <c r="S38" s="83">
        <v>91</v>
      </c>
      <c r="T38" s="81">
        <v>219</v>
      </c>
      <c r="U38" s="82">
        <v>221</v>
      </c>
      <c r="V38" s="82">
        <v>243</v>
      </c>
      <c r="W38" s="83">
        <v>197</v>
      </c>
      <c r="X38" s="82">
        <v>1</v>
      </c>
      <c r="Y38" s="82">
        <v>1</v>
      </c>
      <c r="Z38" s="82">
        <v>0</v>
      </c>
      <c r="AA38" s="82">
        <v>0</v>
      </c>
      <c r="AB38" s="341">
        <v>0</v>
      </c>
      <c r="AC38" s="82">
        <v>0</v>
      </c>
      <c r="AD38" s="82">
        <v>0</v>
      </c>
      <c r="AE38" s="82">
        <v>0</v>
      </c>
      <c r="AF38" s="341">
        <v>0</v>
      </c>
      <c r="AG38" s="82">
        <v>0</v>
      </c>
      <c r="AH38" s="82">
        <v>0</v>
      </c>
      <c r="AI38" s="83">
        <v>0</v>
      </c>
      <c r="AJ38" s="81">
        <v>0</v>
      </c>
      <c r="AK38" s="82">
        <v>0</v>
      </c>
      <c r="AL38" s="82">
        <v>0</v>
      </c>
      <c r="AM38" s="83">
        <v>0</v>
      </c>
      <c r="AN38" s="81">
        <v>0</v>
      </c>
      <c r="AO38" s="82">
        <v>0</v>
      </c>
      <c r="AP38" s="82">
        <v>0</v>
      </c>
      <c r="AQ38" s="83">
        <v>0</v>
      </c>
      <c r="AR38" s="81">
        <v>0</v>
      </c>
      <c r="AS38" s="82">
        <v>0</v>
      </c>
      <c r="AT38" s="82">
        <v>0</v>
      </c>
      <c r="AU38" s="83">
        <v>0</v>
      </c>
      <c r="AV38" s="81">
        <v>0</v>
      </c>
      <c r="AW38" s="82">
        <v>0</v>
      </c>
      <c r="AX38" s="82">
        <v>0</v>
      </c>
      <c r="AY38" s="83">
        <v>0</v>
      </c>
      <c r="AZ38" s="81">
        <v>0</v>
      </c>
      <c r="BA38" s="82">
        <v>0</v>
      </c>
      <c r="BB38" s="82">
        <v>0</v>
      </c>
      <c r="BC38" s="83">
        <v>0</v>
      </c>
      <c r="BD38" s="81">
        <v>0</v>
      </c>
      <c r="BE38" s="1121">
        <f t="shared" ref="BE38:BE39" si="127">BD38</f>
        <v>0</v>
      </c>
      <c r="BF38" s="79">
        <f t="shared" ref="BF38:BF39" si="128">BE38</f>
        <v>0</v>
      </c>
      <c r="BG38" s="80">
        <f t="shared" ref="BG38:BG39" si="129">BF38</f>
        <v>0</v>
      </c>
      <c r="BH38" s="1121">
        <f t="shared" ref="BH38:BH39" si="130">BG38</f>
        <v>0</v>
      </c>
      <c r="BI38" s="1121">
        <f t="shared" ref="BI38:BI39" si="131">BH38</f>
        <v>0</v>
      </c>
      <c r="BJ38" s="79">
        <f t="shared" ref="BJ38:BJ39" si="132">BI38</f>
        <v>0</v>
      </c>
      <c r="BK38" s="80">
        <f t="shared" ref="BK38:BK39" si="133">BJ38</f>
        <v>0</v>
      </c>
      <c r="BL38" s="121"/>
      <c r="BM38" s="79">
        <f>G38</f>
        <v>92.605999999999995</v>
      </c>
      <c r="BN38" s="79">
        <f>K38</f>
        <v>31</v>
      </c>
      <c r="BO38" s="79">
        <f>O38</f>
        <v>6</v>
      </c>
      <c r="BP38" s="79">
        <f>S38</f>
        <v>91</v>
      </c>
      <c r="BQ38" s="79">
        <f>W38</f>
        <v>197</v>
      </c>
      <c r="BR38" s="79">
        <f>AA38</f>
        <v>0</v>
      </c>
      <c r="BS38" s="79">
        <f>AE38</f>
        <v>0</v>
      </c>
      <c r="BT38" s="79">
        <f>AI38</f>
        <v>0</v>
      </c>
      <c r="BU38" s="79">
        <f>AM38</f>
        <v>0</v>
      </c>
      <c r="BV38" s="79">
        <f>AQ38</f>
        <v>0</v>
      </c>
      <c r="BW38" s="79">
        <f>AU38</f>
        <v>0</v>
      </c>
      <c r="BX38" s="79">
        <f>AY38</f>
        <v>0</v>
      </c>
      <c r="BY38" s="79">
        <f t="shared" si="125"/>
        <v>0</v>
      </c>
      <c r="BZ38" s="79">
        <f>BG38</f>
        <v>0</v>
      </c>
      <c r="CA38" s="79">
        <f t="shared" si="126"/>
        <v>0</v>
      </c>
      <c r="CB38" s="2090">
        <f t="shared" ref="CB38:CB39" si="134">CA38</f>
        <v>0</v>
      </c>
      <c r="CC38" s="2143"/>
      <c r="CD38" s="1873"/>
    </row>
    <row r="39" spans="1:82" ht="14.25" customHeight="1">
      <c r="A39" s="7"/>
      <c r="B39" s="825" t="s">
        <v>215</v>
      </c>
      <c r="C39" s="24"/>
      <c r="D39" s="81">
        <v>488.03500000000003</v>
      </c>
      <c r="E39" s="82">
        <v>462.31400000000002</v>
      </c>
      <c r="F39" s="82">
        <v>436.80200000000002</v>
      </c>
      <c r="G39" s="83">
        <v>459.322</v>
      </c>
      <c r="H39" s="81">
        <v>428.07400000000001</v>
      </c>
      <c r="I39" s="82">
        <v>450.28899999999999</v>
      </c>
      <c r="J39" s="82">
        <v>482.20400000000001</v>
      </c>
      <c r="K39" s="83">
        <v>517</v>
      </c>
      <c r="L39" s="81">
        <v>591</v>
      </c>
      <c r="M39" s="82">
        <v>610</v>
      </c>
      <c r="N39" s="82">
        <v>650</v>
      </c>
      <c r="O39" s="83">
        <v>633</v>
      </c>
      <c r="P39" s="81">
        <v>615</v>
      </c>
      <c r="Q39" s="82">
        <v>695</v>
      </c>
      <c r="R39" s="82">
        <v>657</v>
      </c>
      <c r="S39" s="83">
        <v>569</v>
      </c>
      <c r="T39" s="81">
        <v>546</v>
      </c>
      <c r="U39" s="82">
        <v>577</v>
      </c>
      <c r="V39" s="82">
        <v>645</v>
      </c>
      <c r="W39" s="83">
        <v>695</v>
      </c>
      <c r="X39" s="82">
        <v>189</v>
      </c>
      <c r="Y39" s="82">
        <v>154</v>
      </c>
      <c r="Z39" s="82">
        <f>102+29</f>
        <v>131</v>
      </c>
      <c r="AA39" s="82">
        <f>82+7</f>
        <v>89</v>
      </c>
      <c r="AB39" s="341">
        <v>84</v>
      </c>
      <c r="AC39" s="82">
        <v>76</v>
      </c>
      <c r="AD39" s="82">
        <v>66</v>
      </c>
      <c r="AE39" s="82">
        <v>63</v>
      </c>
      <c r="AF39" s="341">
        <v>60</v>
      </c>
      <c r="AG39" s="82">
        <v>40</v>
      </c>
      <c r="AH39" s="82">
        <v>33</v>
      </c>
      <c r="AI39" s="83">
        <v>28</v>
      </c>
      <c r="AJ39" s="81">
        <v>22</v>
      </c>
      <c r="AK39" s="82">
        <v>45</v>
      </c>
      <c r="AL39" s="82">
        <v>77</v>
      </c>
      <c r="AM39" s="83">
        <v>177</v>
      </c>
      <c r="AN39" s="81">
        <v>135</v>
      </c>
      <c r="AO39" s="82">
        <v>131</v>
      </c>
      <c r="AP39" s="82">
        <v>118</v>
      </c>
      <c r="AQ39" s="83">
        <v>105</v>
      </c>
      <c r="AR39" s="81">
        <v>86</v>
      </c>
      <c r="AS39" s="82">
        <v>89</v>
      </c>
      <c r="AT39" s="82">
        <v>86</v>
      </c>
      <c r="AU39" s="83">
        <v>86</v>
      </c>
      <c r="AV39" s="81">
        <v>150</v>
      </c>
      <c r="AW39" s="82">
        <v>136</v>
      </c>
      <c r="AX39" s="82">
        <v>126</v>
      </c>
      <c r="AY39" s="83">
        <v>124</v>
      </c>
      <c r="AZ39" s="81">
        <v>110</v>
      </c>
      <c r="BA39" s="82">
        <v>129</v>
      </c>
      <c r="BB39" s="82">
        <v>119</v>
      </c>
      <c r="BC39" s="83">
        <v>118</v>
      </c>
      <c r="BD39" s="81">
        <v>186</v>
      </c>
      <c r="BE39" s="1121">
        <f t="shared" si="127"/>
        <v>186</v>
      </c>
      <c r="BF39" s="79">
        <f t="shared" si="128"/>
        <v>186</v>
      </c>
      <c r="BG39" s="80">
        <f t="shared" si="129"/>
        <v>186</v>
      </c>
      <c r="BH39" s="1121">
        <f t="shared" si="130"/>
        <v>186</v>
      </c>
      <c r="BI39" s="1121">
        <f t="shared" si="131"/>
        <v>186</v>
      </c>
      <c r="BJ39" s="79">
        <f t="shared" si="132"/>
        <v>186</v>
      </c>
      <c r="BK39" s="80">
        <f t="shared" si="133"/>
        <v>186</v>
      </c>
      <c r="BL39" s="121"/>
      <c r="BM39" s="79">
        <f>G39</f>
        <v>459.322</v>
      </c>
      <c r="BN39" s="79">
        <f>K39</f>
        <v>517</v>
      </c>
      <c r="BO39" s="79">
        <f>O39</f>
        <v>633</v>
      </c>
      <c r="BP39" s="79">
        <f>S39</f>
        <v>569</v>
      </c>
      <c r="BQ39" s="79">
        <f>W39</f>
        <v>695</v>
      </c>
      <c r="BR39" s="79">
        <f>AA39</f>
        <v>89</v>
      </c>
      <c r="BS39" s="79">
        <f>AE39</f>
        <v>63</v>
      </c>
      <c r="BT39" s="79">
        <f>AI39</f>
        <v>28</v>
      </c>
      <c r="BU39" s="79">
        <f>AM39</f>
        <v>177</v>
      </c>
      <c r="BV39" s="79">
        <f>AQ39</f>
        <v>105</v>
      </c>
      <c r="BW39" s="79">
        <f>AU39</f>
        <v>86</v>
      </c>
      <c r="BX39" s="79">
        <f>AY39</f>
        <v>124</v>
      </c>
      <c r="BY39" s="79">
        <f t="shared" si="125"/>
        <v>118</v>
      </c>
      <c r="BZ39" s="79">
        <f>BG39</f>
        <v>186</v>
      </c>
      <c r="CA39" s="79">
        <f t="shared" si="126"/>
        <v>186</v>
      </c>
      <c r="CB39" s="2090">
        <f t="shared" si="134"/>
        <v>186</v>
      </c>
      <c r="CC39" s="2143"/>
      <c r="CD39" s="1873"/>
    </row>
    <row r="40" spans="1:82" ht="14.25" customHeight="1">
      <c r="A40" s="7"/>
      <c r="B40" s="825" t="s">
        <v>262</v>
      </c>
      <c r="C40" s="24"/>
      <c r="D40" s="81">
        <v>788.31299999999999</v>
      </c>
      <c r="E40" s="82">
        <v>806.24</v>
      </c>
      <c r="F40" s="82">
        <v>777.05200000000002</v>
      </c>
      <c r="G40" s="83">
        <v>234.988</v>
      </c>
      <c r="H40" s="81">
        <v>244.672</v>
      </c>
      <c r="I40" s="82">
        <v>267.09500000000003</v>
      </c>
      <c r="J40" s="82">
        <v>272.11599999999999</v>
      </c>
      <c r="K40" s="83">
        <v>290</v>
      </c>
      <c r="L40" s="81">
        <v>303</v>
      </c>
      <c r="M40" s="82">
        <v>292</v>
      </c>
      <c r="N40" s="82">
        <v>308</v>
      </c>
      <c r="O40" s="83">
        <v>265</v>
      </c>
      <c r="P40" s="81">
        <v>189</v>
      </c>
      <c r="Q40" s="82">
        <v>189</v>
      </c>
      <c r="R40" s="82">
        <v>175</v>
      </c>
      <c r="S40" s="83">
        <v>169</v>
      </c>
      <c r="T40" s="81">
        <v>1089</v>
      </c>
      <c r="U40" s="82">
        <v>1085</v>
      </c>
      <c r="V40" s="82">
        <v>1077</v>
      </c>
      <c r="W40" s="83">
        <v>1076</v>
      </c>
      <c r="X40" s="82">
        <v>0</v>
      </c>
      <c r="Y40" s="82">
        <v>0</v>
      </c>
      <c r="Z40" s="82">
        <v>0</v>
      </c>
      <c r="AA40" s="82">
        <v>0</v>
      </c>
      <c r="AB40" s="341">
        <v>0</v>
      </c>
      <c r="AC40" s="82">
        <v>0</v>
      </c>
      <c r="AD40" s="82">
        <v>0</v>
      </c>
      <c r="AE40" s="82">
        <v>0</v>
      </c>
      <c r="AF40" s="341">
        <v>0</v>
      </c>
      <c r="AG40" s="82">
        <v>0</v>
      </c>
      <c r="AH40" s="82">
        <v>0</v>
      </c>
      <c r="AI40" s="83">
        <v>0</v>
      </c>
      <c r="AJ40" s="81">
        <v>0</v>
      </c>
      <c r="AK40" s="82">
        <v>0</v>
      </c>
      <c r="AL40" s="82">
        <v>0</v>
      </c>
      <c r="AM40" s="83">
        <v>0</v>
      </c>
      <c r="AN40" s="81">
        <v>0</v>
      </c>
      <c r="AO40" s="82">
        <v>0</v>
      </c>
      <c r="AP40" s="82">
        <v>0</v>
      </c>
      <c r="AQ40" s="83">
        <v>0</v>
      </c>
      <c r="AR40" s="81">
        <v>0</v>
      </c>
      <c r="AS40" s="82">
        <v>0</v>
      </c>
      <c r="AT40" s="82">
        <v>0</v>
      </c>
      <c r="AU40" s="83">
        <v>0</v>
      </c>
      <c r="AV40" s="81">
        <v>0</v>
      </c>
      <c r="AW40" s="82">
        <v>0</v>
      </c>
      <c r="AX40" s="82">
        <v>0</v>
      </c>
      <c r="AY40" s="83">
        <v>0</v>
      </c>
      <c r="AZ40" s="81">
        <v>0</v>
      </c>
      <c r="BA40" s="82">
        <v>0</v>
      </c>
      <c r="BB40" s="82">
        <v>0</v>
      </c>
      <c r="BC40" s="83">
        <v>0</v>
      </c>
      <c r="BD40" s="81">
        <v>0</v>
      </c>
      <c r="BE40" s="1121">
        <f>BD40+CFS!BE50</f>
        <v>0</v>
      </c>
      <c r="BF40" s="79">
        <f>BE40+CFS!BF50</f>
        <v>0</v>
      </c>
      <c r="BG40" s="80">
        <f>BF40+CFS!BG50</f>
        <v>0</v>
      </c>
      <c r="BH40" s="1121">
        <f>BG40+CFS!BH50</f>
        <v>0</v>
      </c>
      <c r="BI40" s="1121">
        <f>BH40+CFS!BI50</f>
        <v>0</v>
      </c>
      <c r="BJ40" s="79">
        <f>BI40+CFS!BJ50</f>
        <v>0</v>
      </c>
      <c r="BK40" s="80">
        <f>BJ40+CFS!BK50</f>
        <v>0</v>
      </c>
      <c r="BL40" s="121"/>
      <c r="BM40" s="79">
        <f>G40</f>
        <v>234.988</v>
      </c>
      <c r="BN40" s="79">
        <f>K40</f>
        <v>290</v>
      </c>
      <c r="BO40" s="79">
        <f>O40</f>
        <v>265</v>
      </c>
      <c r="BP40" s="79">
        <f>S40</f>
        <v>169</v>
      </c>
      <c r="BQ40" s="79">
        <f>W40</f>
        <v>1076</v>
      </c>
      <c r="BR40" s="79">
        <f>AA40</f>
        <v>0</v>
      </c>
      <c r="BS40" s="79">
        <f>AE40</f>
        <v>0</v>
      </c>
      <c r="BT40" s="79">
        <f>AI40</f>
        <v>0</v>
      </c>
      <c r="BU40" s="79">
        <f>AM40</f>
        <v>0</v>
      </c>
      <c r="BV40" s="79">
        <f>AQ40</f>
        <v>0</v>
      </c>
      <c r="BW40" s="79">
        <f>AU40</f>
        <v>0</v>
      </c>
      <c r="BX40" s="79">
        <f>AY40</f>
        <v>0</v>
      </c>
      <c r="BY40" s="79">
        <f t="shared" si="125"/>
        <v>0</v>
      </c>
      <c r="BZ40" s="79">
        <f>BG40</f>
        <v>0</v>
      </c>
      <c r="CA40" s="79">
        <f t="shared" si="126"/>
        <v>0</v>
      </c>
      <c r="CB40" s="2090">
        <f>CA40+CFS!CB50</f>
        <v>0</v>
      </c>
      <c r="CC40" s="2143"/>
      <c r="CD40" s="1873"/>
    </row>
    <row r="41" spans="1:82" ht="14.25" customHeight="1">
      <c r="A41" s="7"/>
      <c r="B41" s="828"/>
      <c r="C41" s="22"/>
      <c r="D41" s="81"/>
      <c r="E41" s="82"/>
      <c r="F41" s="82"/>
      <c r="G41" s="83"/>
      <c r="H41" s="81"/>
      <c r="I41" s="82"/>
      <c r="J41" s="82"/>
      <c r="K41" s="83"/>
      <c r="L41" s="81"/>
      <c r="M41" s="82"/>
      <c r="N41" s="82"/>
      <c r="O41" s="83"/>
      <c r="P41" s="81"/>
      <c r="Q41" s="82"/>
      <c r="R41" s="82"/>
      <c r="S41" s="83"/>
      <c r="T41" s="81"/>
      <c r="U41" s="82"/>
      <c r="V41" s="82"/>
      <c r="W41" s="83"/>
      <c r="X41" s="82"/>
      <c r="Y41" s="82"/>
      <c r="Z41" s="82"/>
      <c r="AA41" s="82"/>
      <c r="AB41" s="341"/>
      <c r="AC41" s="82"/>
      <c r="AD41" s="82"/>
      <c r="AE41" s="82"/>
      <c r="AF41" s="341"/>
      <c r="AG41" s="82"/>
      <c r="AH41" s="82"/>
      <c r="AI41" s="83"/>
      <c r="AJ41" s="81"/>
      <c r="AK41" s="82"/>
      <c r="AL41" s="82"/>
      <c r="AM41" s="83"/>
      <c r="AN41" s="81"/>
      <c r="AO41" s="82"/>
      <c r="AP41" s="82"/>
      <c r="AQ41" s="83"/>
      <c r="AR41" s="81"/>
      <c r="AS41" s="82"/>
      <c r="AT41" s="82"/>
      <c r="AU41" s="83"/>
      <c r="AV41" s="81"/>
      <c r="AW41" s="82"/>
      <c r="AX41" s="82"/>
      <c r="AY41" s="83"/>
      <c r="AZ41" s="81"/>
      <c r="BA41" s="82"/>
      <c r="BB41" s="82"/>
      <c r="BC41" s="83"/>
      <c r="BD41" s="81"/>
      <c r="BE41" s="1121"/>
      <c r="BF41" s="82"/>
      <c r="BG41" s="83"/>
      <c r="BH41" s="1121"/>
      <c r="BI41" s="1121"/>
      <c r="BJ41" s="82"/>
      <c r="BK41" s="83"/>
      <c r="BL41" s="121"/>
      <c r="BM41" s="82"/>
      <c r="BN41" s="82"/>
      <c r="BO41" s="82"/>
      <c r="BP41" s="82"/>
      <c r="BQ41" s="82"/>
      <c r="BR41" s="82"/>
      <c r="BS41" s="82"/>
      <c r="BT41" s="82"/>
      <c r="BU41" s="82"/>
      <c r="BV41" s="82"/>
      <c r="BW41" s="82"/>
      <c r="BX41" s="82"/>
      <c r="BY41" s="82"/>
      <c r="BZ41" s="82"/>
      <c r="CA41" s="82"/>
      <c r="CB41" s="2106"/>
      <c r="CC41" s="2143"/>
      <c r="CD41" s="1873"/>
    </row>
    <row r="42" spans="1:82" ht="14.25" customHeight="1">
      <c r="A42" s="7"/>
      <c r="B42" s="824" t="s">
        <v>103</v>
      </c>
      <c r="C42" s="138"/>
      <c r="D42" s="141">
        <v>2934.6970000000001</v>
      </c>
      <c r="E42" s="139">
        <v>2846.6089999999999</v>
      </c>
      <c r="F42" s="139">
        <v>2974.2449999999999</v>
      </c>
      <c r="G42" s="140">
        <v>3351.837</v>
      </c>
      <c r="H42" s="141">
        <v>4709.9210000000003</v>
      </c>
      <c r="I42" s="139">
        <v>4852.59</v>
      </c>
      <c r="J42" s="139">
        <v>5012.4949999999999</v>
      </c>
      <c r="K42" s="140">
        <v>5785</v>
      </c>
      <c r="L42" s="141">
        <v>5205</v>
      </c>
      <c r="M42" s="139">
        <v>4472</v>
      </c>
      <c r="N42" s="139">
        <v>4125</v>
      </c>
      <c r="O42" s="140">
        <v>2990</v>
      </c>
      <c r="P42" s="141">
        <v>2637</v>
      </c>
      <c r="Q42" s="139">
        <v>1474</v>
      </c>
      <c r="R42" s="139">
        <v>1339</v>
      </c>
      <c r="S42" s="140">
        <v>127</v>
      </c>
      <c r="T42" s="141">
        <v>-163</v>
      </c>
      <c r="U42" s="139">
        <v>-465</v>
      </c>
      <c r="V42" s="139">
        <v>-569</v>
      </c>
      <c r="W42" s="140">
        <v>648</v>
      </c>
      <c r="X42" s="139">
        <v>796</v>
      </c>
      <c r="Y42" s="139">
        <v>752</v>
      </c>
      <c r="Z42" s="139">
        <v>614</v>
      </c>
      <c r="AA42" s="139">
        <v>1013</v>
      </c>
      <c r="AB42" s="342">
        <v>1558</v>
      </c>
      <c r="AC42" s="139">
        <v>1641</v>
      </c>
      <c r="AD42" s="139">
        <v>1744</v>
      </c>
      <c r="AE42" s="139">
        <v>1590</v>
      </c>
      <c r="AF42" s="342">
        <v>1052</v>
      </c>
      <c r="AG42" s="139">
        <v>1117</v>
      </c>
      <c r="AH42" s="139">
        <v>989</v>
      </c>
      <c r="AI42" s="140">
        <v>538</v>
      </c>
      <c r="AJ42" s="141">
        <v>415</v>
      </c>
      <c r="AK42" s="139">
        <v>359</v>
      </c>
      <c r="AL42" s="139">
        <v>434</v>
      </c>
      <c r="AM42" s="140">
        <v>544</v>
      </c>
      <c r="AN42" s="141">
        <v>511</v>
      </c>
      <c r="AO42" s="139">
        <v>501</v>
      </c>
      <c r="AP42" s="139">
        <v>535</v>
      </c>
      <c r="AQ42" s="140">
        <v>187</v>
      </c>
      <c r="AR42" s="141">
        <v>17</v>
      </c>
      <c r="AS42" s="139">
        <v>-141</v>
      </c>
      <c r="AT42" s="139">
        <v>-336</v>
      </c>
      <c r="AU42" s="140">
        <v>-412</v>
      </c>
      <c r="AV42" s="141">
        <v>-503</v>
      </c>
      <c r="AW42" s="139">
        <v>-413</v>
      </c>
      <c r="AX42" s="139">
        <v>385</v>
      </c>
      <c r="AY42" s="140">
        <v>416</v>
      </c>
      <c r="AZ42" s="141">
        <v>409</v>
      </c>
      <c r="BA42" s="139">
        <v>417</v>
      </c>
      <c r="BB42" s="139">
        <v>520</v>
      </c>
      <c r="BC42" s="140">
        <v>611</v>
      </c>
      <c r="BD42" s="141">
        <v>715</v>
      </c>
      <c r="BE42" s="1475">
        <f t="shared" ref="BE42:BG42" si="135">BE71</f>
        <v>852.37655585449102</v>
      </c>
      <c r="BF42" s="129">
        <f t="shared" si="135"/>
        <v>985.86372796463274</v>
      </c>
      <c r="BG42" s="130">
        <f t="shared" si="135"/>
        <v>1079.8801091797768</v>
      </c>
      <c r="BH42" s="1475">
        <f t="shared" ref="BH42:BK42" si="136">BH71</f>
        <v>1144.9233532269636</v>
      </c>
      <c r="BI42" s="1475">
        <f t="shared" si="136"/>
        <v>1249.8300563579978</v>
      </c>
      <c r="BJ42" s="129">
        <f t="shared" si="136"/>
        <v>1378.85633004787</v>
      </c>
      <c r="BK42" s="130">
        <f t="shared" si="136"/>
        <v>1499.6067098589274</v>
      </c>
      <c r="BL42" s="121"/>
      <c r="BM42" s="79">
        <f>G42</f>
        <v>3351.837</v>
      </c>
      <c r="BN42" s="79">
        <f>K42</f>
        <v>5785</v>
      </c>
      <c r="BO42" s="79">
        <f>O42</f>
        <v>2990</v>
      </c>
      <c r="BP42" s="79">
        <f>S42</f>
        <v>127</v>
      </c>
      <c r="BQ42" s="79">
        <f>W42</f>
        <v>648</v>
      </c>
      <c r="BR42" s="79">
        <f>AA42</f>
        <v>1013</v>
      </c>
      <c r="BS42" s="79">
        <f>AE42</f>
        <v>1590</v>
      </c>
      <c r="BT42" s="79">
        <f>AI42</f>
        <v>538</v>
      </c>
      <c r="BU42" s="79">
        <f>AM42</f>
        <v>544</v>
      </c>
      <c r="BV42" s="79">
        <f>AQ42</f>
        <v>187</v>
      </c>
      <c r="BW42" s="79">
        <f>AU42</f>
        <v>-412</v>
      </c>
      <c r="BX42" s="79">
        <f>AY42</f>
        <v>416</v>
      </c>
      <c r="BY42" s="79">
        <f>BC42</f>
        <v>611</v>
      </c>
      <c r="BZ42" s="79">
        <f>BG42</f>
        <v>1079.8801091797768</v>
      </c>
      <c r="CA42" s="79">
        <f t="shared" si="126"/>
        <v>1499.6067098589274</v>
      </c>
      <c r="CB42" s="2090">
        <f>CB71</f>
        <v>1919.3333105380789</v>
      </c>
      <c r="CC42" s="2143"/>
      <c r="CD42" s="1873"/>
    </row>
    <row r="43" spans="1:82" ht="14.25" customHeight="1">
      <c r="A43" s="7"/>
      <c r="B43" s="831"/>
      <c r="C43" s="22"/>
      <c r="D43" s="81"/>
      <c r="E43" s="82"/>
      <c r="F43" s="82"/>
      <c r="G43" s="82"/>
      <c r="H43" s="81"/>
      <c r="I43" s="82"/>
      <c r="J43" s="82"/>
      <c r="K43" s="82"/>
      <c r="L43" s="81"/>
      <c r="M43" s="82"/>
      <c r="N43" s="82"/>
      <c r="O43" s="82"/>
      <c r="P43" s="81"/>
      <c r="Q43" s="82"/>
      <c r="R43" s="82"/>
      <c r="S43" s="82"/>
      <c r="T43" s="81"/>
      <c r="U43" s="82"/>
      <c r="V43" s="82"/>
      <c r="W43" s="82"/>
      <c r="X43" s="81"/>
      <c r="Y43" s="82"/>
      <c r="Z43" s="82"/>
      <c r="AA43" s="82"/>
      <c r="AB43" s="81"/>
      <c r="AC43" s="82"/>
      <c r="AD43" s="82"/>
      <c r="AE43" s="82"/>
      <c r="AF43" s="81"/>
      <c r="AG43" s="82"/>
      <c r="AH43" s="82"/>
      <c r="AI43" s="83"/>
      <c r="AJ43" s="81"/>
      <c r="AK43" s="82"/>
      <c r="AL43" s="82"/>
      <c r="AM43" s="83"/>
      <c r="AN43" s="81"/>
      <c r="AO43" s="82"/>
      <c r="AP43" s="82"/>
      <c r="AQ43" s="83"/>
      <c r="AR43" s="81"/>
      <c r="AS43" s="82"/>
      <c r="AT43" s="82"/>
      <c r="AU43" s="83"/>
      <c r="AV43" s="81"/>
      <c r="AW43" s="82"/>
      <c r="AX43" s="82"/>
      <c r="AY43" s="83"/>
      <c r="AZ43" s="81"/>
      <c r="BA43" s="82"/>
      <c r="BB43" s="82"/>
      <c r="BC43" s="83"/>
      <c r="BD43" s="1121"/>
      <c r="BE43" s="1121"/>
      <c r="BF43" s="82"/>
      <c r="BG43" s="83"/>
      <c r="BH43" s="1121"/>
      <c r="BI43" s="1121"/>
      <c r="BJ43" s="82"/>
      <c r="BK43" s="83"/>
      <c r="BL43" s="121"/>
      <c r="BM43" s="82"/>
      <c r="BN43" s="82"/>
      <c r="BO43" s="82"/>
      <c r="BP43" s="82"/>
      <c r="BQ43" s="82"/>
      <c r="BR43" s="82"/>
      <c r="BS43" s="82"/>
      <c r="BT43" s="82"/>
      <c r="BU43" s="82"/>
      <c r="BV43" s="82"/>
      <c r="BW43" s="82"/>
      <c r="BX43" s="82"/>
      <c r="BY43" s="82"/>
      <c r="BZ43" s="82"/>
      <c r="CA43" s="82"/>
      <c r="CB43" s="2106"/>
      <c r="CC43" s="2143"/>
      <c r="CD43" s="1873"/>
    </row>
    <row r="44" spans="1:82" ht="14.25" customHeight="1">
      <c r="A44" s="7"/>
      <c r="B44" s="829" t="s">
        <v>104</v>
      </c>
      <c r="C44" s="143"/>
      <c r="D44" s="137">
        <f>D42+D35+SUM(D37:D40)</f>
        <v>7821.7740000000003</v>
      </c>
      <c r="E44" s="135">
        <f t="shared" ref="E44:AJ44" si="137">E42+E35+SUM(E37:E40)</f>
        <v>7772.5619999999999</v>
      </c>
      <c r="F44" s="135">
        <f t="shared" si="137"/>
        <v>8159.9560000000001</v>
      </c>
      <c r="G44" s="136">
        <f t="shared" si="137"/>
        <v>7287.7789999999995</v>
      </c>
      <c r="H44" s="137">
        <f t="shared" si="137"/>
        <v>8052.045000000001</v>
      </c>
      <c r="I44" s="135">
        <f t="shared" si="137"/>
        <v>8061.8949999999995</v>
      </c>
      <c r="J44" s="135">
        <f t="shared" si="137"/>
        <v>8379.2440000000006</v>
      </c>
      <c r="K44" s="136">
        <f t="shared" si="137"/>
        <v>13147</v>
      </c>
      <c r="L44" s="137">
        <f t="shared" si="137"/>
        <v>12712</v>
      </c>
      <c r="M44" s="135">
        <f t="shared" si="137"/>
        <v>13224</v>
      </c>
      <c r="N44" s="135">
        <f t="shared" si="137"/>
        <v>12934</v>
      </c>
      <c r="O44" s="136">
        <f t="shared" si="137"/>
        <v>11550</v>
      </c>
      <c r="P44" s="137">
        <f t="shared" si="137"/>
        <v>11208</v>
      </c>
      <c r="Q44" s="135">
        <f t="shared" si="137"/>
        <v>9784</v>
      </c>
      <c r="R44" s="135">
        <f t="shared" si="137"/>
        <v>9441</v>
      </c>
      <c r="S44" s="136">
        <f t="shared" si="137"/>
        <v>7672</v>
      </c>
      <c r="T44" s="137">
        <f t="shared" si="137"/>
        <v>9052</v>
      </c>
      <c r="U44" s="135">
        <f t="shared" si="137"/>
        <v>8683</v>
      </c>
      <c r="V44" s="135">
        <f t="shared" si="137"/>
        <v>8747</v>
      </c>
      <c r="W44" s="136">
        <f t="shared" si="137"/>
        <v>9078</v>
      </c>
      <c r="X44" s="135">
        <f t="shared" si="137"/>
        <v>5232</v>
      </c>
      <c r="Y44" s="135">
        <f t="shared" si="137"/>
        <v>4955</v>
      </c>
      <c r="Z44" s="135">
        <f t="shared" si="137"/>
        <v>4595</v>
      </c>
      <c r="AA44" s="136">
        <f t="shared" si="137"/>
        <v>4964</v>
      </c>
      <c r="AB44" s="137">
        <f t="shared" si="137"/>
        <v>5209</v>
      </c>
      <c r="AC44" s="135">
        <f t="shared" si="137"/>
        <v>5224</v>
      </c>
      <c r="AD44" s="135">
        <f t="shared" si="137"/>
        <v>5236</v>
      </c>
      <c r="AE44" s="136">
        <f>AE42+AE35+SUM(AE37:AE40)</f>
        <v>4954</v>
      </c>
      <c r="AF44" s="137">
        <f>AF42+AF35+SUM(AF37:AF40)</f>
        <v>4988</v>
      </c>
      <c r="AG44" s="135">
        <f t="shared" si="137"/>
        <v>5041</v>
      </c>
      <c r="AH44" s="135">
        <f t="shared" si="137"/>
        <v>4612</v>
      </c>
      <c r="AI44" s="136">
        <f t="shared" si="137"/>
        <v>4000</v>
      </c>
      <c r="AJ44" s="137">
        <f t="shared" si="137"/>
        <v>3797</v>
      </c>
      <c r="AK44" s="135">
        <f t="shared" ref="AK44:AQ44" si="138">AK42+AK35+SUM(AK37:AK40)</f>
        <v>3897</v>
      </c>
      <c r="AL44" s="135">
        <f t="shared" si="138"/>
        <v>4317</v>
      </c>
      <c r="AM44" s="136">
        <f t="shared" si="138"/>
        <v>4337</v>
      </c>
      <c r="AN44" s="137">
        <f t="shared" si="138"/>
        <v>4108</v>
      </c>
      <c r="AO44" s="135">
        <f>AO42+AO35+SUM(AO37:AO40)</f>
        <v>4246</v>
      </c>
      <c r="AP44" s="135">
        <f>AP42+AP35+SUM(AP37:AP40)</f>
        <v>4325</v>
      </c>
      <c r="AQ44" s="136">
        <f t="shared" si="138"/>
        <v>3767</v>
      </c>
      <c r="AR44" s="137">
        <f>AR42+AR35+SUM(AR37:AR40)</f>
        <v>3428</v>
      </c>
      <c r="AS44" s="135">
        <f>AS42+AS35+SUM(AS37:AS40)</f>
        <v>3381</v>
      </c>
      <c r="AT44" s="135">
        <f>AT42+AT35+SUM(AT37:AT40)</f>
        <v>3229</v>
      </c>
      <c r="AU44" s="136">
        <f>AU42+AU35+SUM(AU37:AU40)</f>
        <v>3109</v>
      </c>
      <c r="AV44" s="137">
        <f t="shared" ref="AV44:AW44" si="139">AV42+AV35+SUM(AV37:AV40)</f>
        <v>2981</v>
      </c>
      <c r="AW44" s="135">
        <f t="shared" si="139"/>
        <v>3316</v>
      </c>
      <c r="AX44" s="135">
        <f>AX42+AX35+SUM(AX37:AX40)</f>
        <v>3616</v>
      </c>
      <c r="AY44" s="136">
        <f>AY42+AY35+SUM(AY37:AY40)</f>
        <v>3321</v>
      </c>
      <c r="AZ44" s="137">
        <f t="shared" ref="AZ44:BA44" si="140">AZ42+AZ35+SUM(AZ37:AZ40)</f>
        <v>3299</v>
      </c>
      <c r="BA44" s="135">
        <f t="shared" si="140"/>
        <v>3370</v>
      </c>
      <c r="BB44" s="135">
        <f>BB42+BB35+SUM(BB37:BB40)</f>
        <v>3586</v>
      </c>
      <c r="BC44" s="136">
        <f>BC42+BC35+SUM(BC37:BC40)</f>
        <v>3540</v>
      </c>
      <c r="BD44" s="1472">
        <f t="shared" ref="BD44:BG44" si="141">BD42+BD35+SUM(BD37:BD40)</f>
        <v>3763</v>
      </c>
      <c r="BE44" s="1472">
        <f t="shared" si="141"/>
        <v>3917.3008726995176</v>
      </c>
      <c r="BF44" s="135">
        <f t="shared" si="141"/>
        <v>4051.2897403278157</v>
      </c>
      <c r="BG44" s="136">
        <f t="shared" si="141"/>
        <v>4116.5733636184214</v>
      </c>
      <c r="BH44" s="1472">
        <f t="shared" ref="BH44:BK44" si="142">BH42+BH35+SUM(BH37:BH40)</f>
        <v>4192.3720523568081</v>
      </c>
      <c r="BI44" s="1472">
        <f t="shared" si="142"/>
        <v>4315.0244207140331</v>
      </c>
      <c r="BJ44" s="135">
        <f t="shared" si="142"/>
        <v>4467.5015591651827</v>
      </c>
      <c r="BK44" s="136">
        <f t="shared" si="142"/>
        <v>4584.2961145251575</v>
      </c>
      <c r="BL44" s="121"/>
      <c r="BM44" s="135">
        <f t="shared" ref="BM44:BY44" si="143">BM42+BM35+SUM(BM37:BM40)</f>
        <v>7287.7789999999995</v>
      </c>
      <c r="BN44" s="135">
        <f t="shared" si="143"/>
        <v>13147</v>
      </c>
      <c r="BO44" s="135">
        <f t="shared" si="143"/>
        <v>11550</v>
      </c>
      <c r="BP44" s="135">
        <f t="shared" si="143"/>
        <v>7672</v>
      </c>
      <c r="BQ44" s="135">
        <f t="shared" si="143"/>
        <v>9078</v>
      </c>
      <c r="BR44" s="135">
        <f t="shared" si="143"/>
        <v>4964</v>
      </c>
      <c r="BS44" s="135">
        <f t="shared" si="143"/>
        <v>4954</v>
      </c>
      <c r="BT44" s="135">
        <f t="shared" si="143"/>
        <v>4000</v>
      </c>
      <c r="BU44" s="135">
        <f t="shared" si="143"/>
        <v>4337</v>
      </c>
      <c r="BV44" s="135">
        <f>BV42+BV35+SUM(BV37:BV40)</f>
        <v>3767</v>
      </c>
      <c r="BW44" s="135">
        <f t="shared" si="143"/>
        <v>3109</v>
      </c>
      <c r="BX44" s="135">
        <f>BX42+BX35+SUM(BX37:BX40)</f>
        <v>3321</v>
      </c>
      <c r="BY44" s="135">
        <f t="shared" si="143"/>
        <v>3540</v>
      </c>
      <c r="BZ44" s="135">
        <f t="shared" ref="BZ44:CB44" si="144">BZ42+BZ35+SUM(BZ37:BZ40)</f>
        <v>4116.5733636184214</v>
      </c>
      <c r="CA44" s="135">
        <f t="shared" si="144"/>
        <v>4584.2961145251575</v>
      </c>
      <c r="CB44" s="2107">
        <f t="shared" si="144"/>
        <v>5010.8656236024508</v>
      </c>
      <c r="CC44" s="2143"/>
      <c r="CD44" s="1873"/>
    </row>
    <row r="45" spans="1:82" ht="14.25" customHeight="1">
      <c r="A45" s="7"/>
      <c r="B45" s="832"/>
      <c r="C45" s="69"/>
      <c r="D45" s="117"/>
      <c r="E45" s="117"/>
      <c r="F45" s="117"/>
      <c r="G45" s="117"/>
      <c r="H45" s="117"/>
      <c r="I45" s="117"/>
      <c r="J45" s="117"/>
      <c r="K45" s="117"/>
      <c r="L45" s="117"/>
      <c r="M45" s="117"/>
      <c r="N45" s="117"/>
      <c r="O45" s="117"/>
      <c r="P45" s="117"/>
      <c r="Q45" s="117"/>
      <c r="R45" s="117"/>
      <c r="S45" s="117"/>
      <c r="T45" s="117"/>
      <c r="U45" s="117"/>
      <c r="V45" s="117"/>
      <c r="W45" s="117"/>
      <c r="X45" s="70"/>
      <c r="Y45" s="117"/>
      <c r="Z45" s="70"/>
      <c r="AA45" s="70"/>
      <c r="AB45" s="144"/>
      <c r="AC45" s="117"/>
      <c r="AD45" s="70"/>
      <c r="AE45" s="70"/>
      <c r="AF45" s="144"/>
      <c r="AG45" s="70"/>
      <c r="AH45" s="70"/>
      <c r="AI45" s="144"/>
      <c r="AJ45" s="144"/>
      <c r="AK45" s="70"/>
      <c r="AL45" s="70"/>
      <c r="AM45" s="144"/>
      <c r="AN45" s="144"/>
      <c r="AO45" s="70"/>
      <c r="AP45" s="70"/>
      <c r="AQ45" s="144"/>
      <c r="AR45" s="144"/>
      <c r="AS45" s="70"/>
      <c r="AT45" s="70"/>
      <c r="AU45" s="144"/>
      <c r="AV45" s="144"/>
      <c r="AW45" s="70"/>
      <c r="AX45" s="70"/>
      <c r="AY45" s="144"/>
      <c r="AZ45" s="70"/>
      <c r="BA45" s="70"/>
      <c r="BB45" s="70"/>
      <c r="BC45" s="144"/>
      <c r="BD45" s="70"/>
      <c r="BE45" s="70"/>
      <c r="BF45" s="144"/>
      <c r="BG45" s="144"/>
      <c r="BH45" s="70"/>
      <c r="BI45" s="70"/>
      <c r="BJ45" s="144"/>
      <c r="BK45" s="144"/>
      <c r="BL45" s="13"/>
      <c r="BM45" s="117"/>
      <c r="BN45" s="117"/>
      <c r="BO45" s="117"/>
      <c r="BP45" s="117"/>
      <c r="BQ45" s="117"/>
      <c r="BR45" s="117"/>
      <c r="BS45" s="117"/>
      <c r="BT45" s="117"/>
      <c r="BU45" s="117"/>
      <c r="BV45" s="117"/>
      <c r="BW45" s="117"/>
      <c r="BX45" s="117"/>
      <c r="BY45" s="117"/>
      <c r="BZ45" s="117"/>
      <c r="CA45" s="117"/>
      <c r="CB45" s="2110"/>
      <c r="CC45" s="1873"/>
      <c r="CD45" s="1873"/>
    </row>
    <row r="46" spans="1:82" ht="14.25" customHeight="1">
      <c r="A46" s="7"/>
      <c r="B46" s="833" t="s">
        <v>105</v>
      </c>
      <c r="C46" s="146"/>
      <c r="D46" s="149">
        <f t="shared" ref="D46:AJ46" si="145">IF(ROUND(D44,4)=ROUND(D24,4),0,D44-D24)</f>
        <v>0</v>
      </c>
      <c r="E46" s="147">
        <f t="shared" si="145"/>
        <v>0</v>
      </c>
      <c r="F46" s="147">
        <f t="shared" si="145"/>
        <v>0</v>
      </c>
      <c r="G46" s="148">
        <f t="shared" si="145"/>
        <v>0</v>
      </c>
      <c r="H46" s="149">
        <f t="shared" si="145"/>
        <v>0</v>
      </c>
      <c r="I46" s="147">
        <f t="shared" si="145"/>
        <v>0</v>
      </c>
      <c r="J46" s="147">
        <f t="shared" si="145"/>
        <v>0</v>
      </c>
      <c r="K46" s="148">
        <f t="shared" si="145"/>
        <v>0</v>
      </c>
      <c r="L46" s="149">
        <f t="shared" si="145"/>
        <v>0</v>
      </c>
      <c r="M46" s="147">
        <f t="shared" si="145"/>
        <v>0</v>
      </c>
      <c r="N46" s="147">
        <f t="shared" si="145"/>
        <v>0</v>
      </c>
      <c r="O46" s="148">
        <f t="shared" si="145"/>
        <v>0</v>
      </c>
      <c r="P46" s="149">
        <f t="shared" si="145"/>
        <v>0</v>
      </c>
      <c r="Q46" s="147">
        <f t="shared" si="145"/>
        <v>0</v>
      </c>
      <c r="R46" s="147">
        <f t="shared" si="145"/>
        <v>0</v>
      </c>
      <c r="S46" s="148">
        <f t="shared" si="145"/>
        <v>0</v>
      </c>
      <c r="T46" s="149">
        <f t="shared" si="145"/>
        <v>0</v>
      </c>
      <c r="U46" s="147">
        <f t="shared" si="145"/>
        <v>0</v>
      </c>
      <c r="V46" s="147">
        <f t="shared" si="145"/>
        <v>0</v>
      </c>
      <c r="W46" s="148">
        <f t="shared" si="145"/>
        <v>0</v>
      </c>
      <c r="X46" s="147">
        <f t="shared" si="145"/>
        <v>0</v>
      </c>
      <c r="Y46" s="147">
        <f t="shared" si="145"/>
        <v>0</v>
      </c>
      <c r="Z46" s="147">
        <f t="shared" si="145"/>
        <v>0</v>
      </c>
      <c r="AA46" s="147">
        <f t="shared" si="145"/>
        <v>0</v>
      </c>
      <c r="AB46" s="149">
        <f t="shared" si="145"/>
        <v>0</v>
      </c>
      <c r="AC46" s="147">
        <f t="shared" si="145"/>
        <v>0</v>
      </c>
      <c r="AD46" s="147">
        <f t="shared" si="145"/>
        <v>0</v>
      </c>
      <c r="AE46" s="147">
        <f>IF(ROUND(AE44,4)=ROUND(AE24,4),0,AE44-AE24)</f>
        <v>0</v>
      </c>
      <c r="AF46" s="149">
        <f>IF(ROUND(AF44,4)=ROUND(AF24,4),0,AF44-AF24)</f>
        <v>0</v>
      </c>
      <c r="AG46" s="147">
        <f t="shared" si="145"/>
        <v>0</v>
      </c>
      <c r="AH46" s="147">
        <f t="shared" si="145"/>
        <v>0</v>
      </c>
      <c r="AI46" s="148">
        <f t="shared" si="145"/>
        <v>0</v>
      </c>
      <c r="AJ46" s="149">
        <f t="shared" si="145"/>
        <v>0</v>
      </c>
      <c r="AK46" s="147">
        <f t="shared" ref="AK46:AT46" si="146">IF(ROUND(AK44,4)=ROUND(AK24,4),0,AK44-AK24)</f>
        <v>0</v>
      </c>
      <c r="AL46" s="147">
        <f t="shared" si="146"/>
        <v>0</v>
      </c>
      <c r="AM46" s="148">
        <f t="shared" si="146"/>
        <v>0</v>
      </c>
      <c r="AN46" s="149">
        <f t="shared" si="146"/>
        <v>0</v>
      </c>
      <c r="AO46" s="147">
        <f>IF(ROUND(AO44,4)=ROUND(AO24,4),0,AO44-AO24)</f>
        <v>0</v>
      </c>
      <c r="AP46" s="147">
        <f>IF(ROUND(AP44,4)=ROUND(AP24,4),0,AP44-AP24)</f>
        <v>0</v>
      </c>
      <c r="AQ46" s="148">
        <f t="shared" si="146"/>
        <v>0</v>
      </c>
      <c r="AR46" s="149">
        <f>IF(ROUND(AR44,4)=ROUND(AR24,4),0,AR44-AR24)</f>
        <v>0</v>
      </c>
      <c r="AS46" s="147">
        <f>IF(ROUND(AS44,4)=ROUND(AS24,4),0,AS44-AS24)</f>
        <v>0</v>
      </c>
      <c r="AT46" s="147">
        <f t="shared" si="146"/>
        <v>0</v>
      </c>
      <c r="AU46" s="148">
        <f>IF(ROUND(AU44,4)=ROUND(AU24,4),0,AU44-AU24)</f>
        <v>0</v>
      </c>
      <c r="AV46" s="149">
        <f t="shared" ref="AV46:AX46" si="147">IF(ROUND(AV44,4)=ROUND(AV24,4),0,AV44-AV24)</f>
        <v>0</v>
      </c>
      <c r="AW46" s="147">
        <f t="shared" si="147"/>
        <v>0</v>
      </c>
      <c r="AX46" s="147">
        <f t="shared" si="147"/>
        <v>0</v>
      </c>
      <c r="AY46" s="148">
        <f>IF(ROUND(AY44,4)=ROUND(AY24,4),0,AY44-AY24)</f>
        <v>0</v>
      </c>
      <c r="AZ46" s="147">
        <f t="shared" ref="AZ46:BC46" si="148">IF(ROUND(AZ44,4)=ROUND(AZ24,4),0,AZ44-AZ24)</f>
        <v>0</v>
      </c>
      <c r="BA46" s="147">
        <f t="shared" si="148"/>
        <v>0</v>
      </c>
      <c r="BB46" s="147">
        <f t="shared" si="148"/>
        <v>0</v>
      </c>
      <c r="BC46" s="148">
        <f t="shared" si="148"/>
        <v>0</v>
      </c>
      <c r="BD46" s="147">
        <f t="shared" ref="BD46:BG46" si="149">IF(ROUND(BD44,4)=ROUND(BD24,4),0,BD44-BD24)</f>
        <v>0</v>
      </c>
      <c r="BE46" s="147">
        <f t="shared" si="149"/>
        <v>0</v>
      </c>
      <c r="BF46" s="147">
        <f t="shared" si="149"/>
        <v>0</v>
      </c>
      <c r="BG46" s="148">
        <f t="shared" si="149"/>
        <v>0</v>
      </c>
      <c r="BH46" s="147">
        <f t="shared" ref="BH46:BK46" si="150">IF(ROUND(BH44,4)=ROUND(BH24,4),0,BH44-BH24)</f>
        <v>0</v>
      </c>
      <c r="BI46" s="147">
        <f t="shared" si="150"/>
        <v>0</v>
      </c>
      <c r="BJ46" s="147">
        <f t="shared" si="150"/>
        <v>0</v>
      </c>
      <c r="BK46" s="148">
        <f t="shared" si="150"/>
        <v>0</v>
      </c>
      <c r="BL46" s="19"/>
      <c r="BM46" s="147">
        <f t="shared" ref="BM46:BY46" si="151">IF(ROUND(BM44,4)=ROUND(BM24,4),0,BM44-BM24)</f>
        <v>0</v>
      </c>
      <c r="BN46" s="147">
        <f t="shared" si="151"/>
        <v>0</v>
      </c>
      <c r="BO46" s="147">
        <f t="shared" si="151"/>
        <v>0</v>
      </c>
      <c r="BP46" s="147">
        <f t="shared" si="151"/>
        <v>0</v>
      </c>
      <c r="BQ46" s="147">
        <f t="shared" si="151"/>
        <v>0</v>
      </c>
      <c r="BR46" s="147">
        <f t="shared" si="151"/>
        <v>0</v>
      </c>
      <c r="BS46" s="147">
        <f t="shared" si="151"/>
        <v>0</v>
      </c>
      <c r="BT46" s="147">
        <f t="shared" si="151"/>
        <v>0</v>
      </c>
      <c r="BU46" s="147">
        <f t="shared" si="151"/>
        <v>0</v>
      </c>
      <c r="BV46" s="147">
        <f>IF(ROUND(BV44,4)=ROUND(BV24,4),0,BV44-BV24)</f>
        <v>0</v>
      </c>
      <c r="BW46" s="147">
        <f t="shared" si="151"/>
        <v>0</v>
      </c>
      <c r="BX46" s="147">
        <f>IF(ROUND(BX44,4)=ROUND(BX24,4),0,BX44-BX24)</f>
        <v>0</v>
      </c>
      <c r="BY46" s="147">
        <f t="shared" si="151"/>
        <v>0</v>
      </c>
      <c r="BZ46" s="147">
        <f t="shared" ref="BZ46:CB46" si="152">IF(ROUND(BZ44,4)=ROUND(BZ24,4),0,BZ44-BZ24)</f>
        <v>0</v>
      </c>
      <c r="CA46" s="147">
        <f t="shared" si="152"/>
        <v>0</v>
      </c>
      <c r="CB46" s="1922">
        <f t="shared" si="152"/>
        <v>0</v>
      </c>
      <c r="CC46" s="1122"/>
      <c r="CD46" s="1873"/>
    </row>
    <row r="47" spans="1:82" ht="14.25" customHeight="1">
      <c r="A47" s="7"/>
      <c r="B47" s="834"/>
      <c r="C47" s="69"/>
      <c r="D47" s="70"/>
      <c r="E47" s="70"/>
      <c r="F47" s="70"/>
      <c r="G47" s="70"/>
      <c r="H47" s="70"/>
      <c r="I47" s="70"/>
      <c r="J47" s="70"/>
      <c r="K47" s="70"/>
      <c r="L47" s="70"/>
      <c r="M47" s="70"/>
      <c r="N47" s="70"/>
      <c r="O47" s="70"/>
      <c r="P47" s="70"/>
      <c r="Q47" s="70"/>
      <c r="R47" s="70"/>
      <c r="S47" s="70"/>
      <c r="T47" s="70"/>
      <c r="U47" s="70"/>
      <c r="V47" s="70"/>
      <c r="W47" s="70"/>
      <c r="X47" s="70"/>
      <c r="Y47" s="70"/>
      <c r="Z47" s="150"/>
      <c r="AA47" s="150"/>
      <c r="AB47" s="150"/>
      <c r="AC47" s="150"/>
      <c r="AD47" s="150"/>
      <c r="AE47" s="150"/>
      <c r="AF47" s="150"/>
      <c r="AG47" s="150"/>
      <c r="AH47" s="150"/>
      <c r="AI47" s="151"/>
      <c r="AJ47" s="150"/>
      <c r="AK47" s="150"/>
      <c r="AL47" s="150"/>
      <c r="AM47" s="151"/>
      <c r="AN47" s="150"/>
      <c r="AO47" s="150"/>
      <c r="AP47" s="150"/>
      <c r="AQ47" s="151"/>
      <c r="AR47" s="150"/>
      <c r="AS47" s="150"/>
      <c r="AT47" s="150"/>
      <c r="AU47" s="151"/>
      <c r="AV47" s="150"/>
      <c r="AW47" s="150"/>
      <c r="AX47" s="150"/>
      <c r="AY47" s="151"/>
      <c r="AZ47" s="150"/>
      <c r="BA47" s="150"/>
      <c r="BB47" s="151"/>
      <c r="BC47" s="151"/>
      <c r="BD47" s="150"/>
      <c r="BE47" s="150"/>
      <c r="BF47" s="151"/>
      <c r="BG47" s="151"/>
      <c r="BH47" s="150"/>
      <c r="BI47" s="150"/>
      <c r="BJ47" s="151"/>
      <c r="BK47" s="151"/>
      <c r="BL47" s="13"/>
      <c r="BM47" s="117"/>
      <c r="BN47" s="117"/>
      <c r="BO47" s="117"/>
      <c r="BP47" s="117"/>
      <c r="BQ47" s="117"/>
      <c r="BR47" s="152"/>
      <c r="BS47" s="152"/>
      <c r="BT47" s="152"/>
      <c r="BU47" s="152"/>
      <c r="BV47" s="152"/>
      <c r="BW47" s="152"/>
      <c r="BX47" s="152"/>
      <c r="BY47" s="152"/>
      <c r="BZ47" s="152"/>
      <c r="CA47" s="152"/>
      <c r="CB47" s="2111"/>
      <c r="CC47" s="7"/>
      <c r="CD47" s="7"/>
    </row>
    <row r="48" spans="1:82" ht="14.25" customHeight="1">
      <c r="A48" s="7"/>
      <c r="B48" s="835"/>
      <c r="C48" s="69"/>
      <c r="D48" s="70"/>
      <c r="E48" s="70"/>
      <c r="F48" s="70"/>
      <c r="G48" s="70"/>
      <c r="H48" s="70"/>
      <c r="I48" s="70"/>
      <c r="J48" s="70"/>
      <c r="K48" s="70"/>
      <c r="L48" s="70"/>
      <c r="M48" s="70"/>
      <c r="N48" s="70"/>
      <c r="O48" s="70"/>
      <c r="P48" s="70"/>
      <c r="Q48" s="70"/>
      <c r="R48" s="70"/>
      <c r="S48" s="70"/>
      <c r="T48" s="70"/>
      <c r="U48" s="70"/>
      <c r="V48" s="70"/>
      <c r="W48" s="70"/>
      <c r="X48" s="70"/>
      <c r="Y48" s="70"/>
      <c r="Z48" s="70"/>
      <c r="AA48" s="150"/>
      <c r="AB48" s="70"/>
      <c r="AC48" s="70"/>
      <c r="AD48" s="70"/>
      <c r="AE48" s="150"/>
      <c r="AF48" s="70"/>
      <c r="AG48" s="70"/>
      <c r="AH48" s="70"/>
      <c r="AI48" s="153"/>
      <c r="AJ48" s="70"/>
      <c r="AK48" s="70"/>
      <c r="AL48" s="70"/>
      <c r="AM48" s="153"/>
      <c r="AN48" s="70"/>
      <c r="AO48" s="70"/>
      <c r="AP48" s="70"/>
      <c r="AQ48" s="153"/>
      <c r="AR48" s="70"/>
      <c r="AS48" s="70"/>
      <c r="AT48" s="70"/>
      <c r="AU48" s="153"/>
      <c r="AV48" s="70"/>
      <c r="AW48" s="70"/>
      <c r="AX48" s="70"/>
      <c r="AY48" s="153"/>
      <c r="AZ48" s="70"/>
      <c r="BA48" s="70"/>
      <c r="BB48" s="153"/>
      <c r="BC48" s="153"/>
      <c r="BD48" s="70"/>
      <c r="BE48" s="70"/>
      <c r="BF48" s="153"/>
      <c r="BG48" s="153"/>
      <c r="BH48" s="70"/>
      <c r="BI48" s="70"/>
      <c r="BJ48" s="153"/>
      <c r="BK48" s="153"/>
      <c r="BL48" s="13"/>
      <c r="BM48" s="117"/>
      <c r="BN48" s="117"/>
      <c r="BO48" s="117"/>
      <c r="BP48" s="117"/>
      <c r="BQ48" s="117"/>
      <c r="BR48" s="117"/>
      <c r="BS48" s="117"/>
      <c r="BT48" s="117"/>
      <c r="BU48" s="117"/>
      <c r="BV48" s="117"/>
      <c r="BW48" s="117"/>
      <c r="BX48" s="117"/>
      <c r="BY48" s="117"/>
      <c r="BZ48" s="117"/>
      <c r="CA48" s="117"/>
      <c r="CB48" s="2112"/>
      <c r="CC48" s="7"/>
      <c r="CD48" s="7"/>
    </row>
    <row r="49" spans="1:82" ht="14.25" customHeight="1">
      <c r="A49" s="7"/>
      <c r="B49" s="836" t="s">
        <v>106</v>
      </c>
      <c r="C49" s="155"/>
      <c r="D49" s="16" t="str">
        <f t="shared" ref="D49:K49" si="153">D6</f>
        <v>F1Q05A</v>
      </c>
      <c r="E49" s="17" t="str">
        <f t="shared" si="153"/>
        <v>F2Q05A</v>
      </c>
      <c r="F49" s="17" t="str">
        <f t="shared" si="153"/>
        <v>F3Q05A</v>
      </c>
      <c r="G49" s="18" t="str">
        <f t="shared" si="153"/>
        <v>F4Q05A</v>
      </c>
      <c r="H49" s="16" t="str">
        <f t="shared" si="153"/>
        <v>F1Q06A</v>
      </c>
      <c r="I49" s="17" t="str">
        <f t="shared" si="153"/>
        <v>F2Q06A</v>
      </c>
      <c r="J49" s="17" t="str">
        <f t="shared" si="153"/>
        <v>F3Q06A</v>
      </c>
      <c r="K49" s="18" t="str">
        <f t="shared" si="153"/>
        <v>F4Q06A</v>
      </c>
      <c r="L49" s="16" t="str">
        <f t="shared" ref="L49:W49" si="154">L6</f>
        <v>F1Q07A</v>
      </c>
      <c r="M49" s="17" t="str">
        <f t="shared" si="154"/>
        <v>F2Q07A</v>
      </c>
      <c r="N49" s="17" t="str">
        <f t="shared" si="154"/>
        <v>F3Q07A</v>
      </c>
      <c r="O49" s="18" t="str">
        <f t="shared" si="154"/>
        <v>F4Q07A</v>
      </c>
      <c r="P49" s="16" t="str">
        <f t="shared" si="154"/>
        <v>F1Q08A</v>
      </c>
      <c r="Q49" s="17" t="str">
        <f t="shared" si="154"/>
        <v>F2Q08A</v>
      </c>
      <c r="R49" s="17" t="str">
        <f t="shared" si="154"/>
        <v>F3Q08A</v>
      </c>
      <c r="S49" s="18" t="str">
        <f t="shared" si="154"/>
        <v>F4Q08A</v>
      </c>
      <c r="T49" s="16" t="str">
        <f t="shared" si="154"/>
        <v>F1Q09A</v>
      </c>
      <c r="U49" s="17" t="str">
        <f t="shared" si="154"/>
        <v>F2Q09A</v>
      </c>
      <c r="V49" s="17" t="str">
        <f t="shared" si="154"/>
        <v>F3Q09A</v>
      </c>
      <c r="W49" s="18" t="str">
        <f t="shared" si="154"/>
        <v>F4Q09A</v>
      </c>
      <c r="X49" s="16" t="str">
        <f>X6</f>
        <v>F1Q10A</v>
      </c>
      <c r="Y49" s="17" t="str">
        <f t="shared" ref="Y49:AJ49" si="155">Y6</f>
        <v>F2Q10A</v>
      </c>
      <c r="Z49" s="17" t="str">
        <f t="shared" si="155"/>
        <v>F3Q10A</v>
      </c>
      <c r="AA49" s="18" t="str">
        <f t="shared" si="155"/>
        <v>F4Q10A</v>
      </c>
      <c r="AB49" s="16" t="str">
        <f>AB6</f>
        <v>F1Q11A</v>
      </c>
      <c r="AC49" s="17" t="str">
        <f t="shared" si="155"/>
        <v>F2Q11A</v>
      </c>
      <c r="AD49" s="17" t="str">
        <f t="shared" si="155"/>
        <v>F3Q11A</v>
      </c>
      <c r="AE49" s="18" t="str">
        <f>AE6</f>
        <v>F4Q11A</v>
      </c>
      <c r="AF49" s="16" t="str">
        <f>AF6</f>
        <v>F1Q12A</v>
      </c>
      <c r="AG49" s="17" t="str">
        <f t="shared" si="155"/>
        <v>F2Q12A</v>
      </c>
      <c r="AH49" s="17" t="str">
        <f t="shared" si="155"/>
        <v>F3Q12A</v>
      </c>
      <c r="AI49" s="18" t="str">
        <f t="shared" si="155"/>
        <v>F4Q12A</v>
      </c>
      <c r="AJ49" s="16" t="str">
        <f t="shared" si="155"/>
        <v>F1Q13A</v>
      </c>
      <c r="AK49" s="17" t="str">
        <f t="shared" ref="AK49:AQ49" si="156">AK6</f>
        <v>F2Q13A</v>
      </c>
      <c r="AL49" s="17" t="str">
        <f t="shared" si="156"/>
        <v>F3Q13A</v>
      </c>
      <c r="AM49" s="18" t="str">
        <f t="shared" si="156"/>
        <v>F4Q13A</v>
      </c>
      <c r="AN49" s="16" t="str">
        <f t="shared" si="156"/>
        <v>F1Q14A</v>
      </c>
      <c r="AO49" s="17" t="str">
        <f>AO6</f>
        <v>F2Q14A</v>
      </c>
      <c r="AP49" s="17" t="str">
        <f t="shared" si="156"/>
        <v>F3Q14A</v>
      </c>
      <c r="AQ49" s="18" t="str">
        <f t="shared" si="156"/>
        <v>F4Q14A</v>
      </c>
      <c r="AR49" s="16" t="str">
        <f>AR6</f>
        <v>F1Q15A</v>
      </c>
      <c r="AS49" s="17" t="str">
        <f>AS6</f>
        <v>F2Q15A</v>
      </c>
      <c r="AT49" s="17" t="str">
        <f>AT6</f>
        <v>F3Q15A</v>
      </c>
      <c r="AU49" s="18" t="str">
        <f>AU6</f>
        <v>F4Q15A</v>
      </c>
      <c r="AV49" s="16" t="str">
        <f t="shared" ref="AV49:AW49" si="157">AV6</f>
        <v>F1Q16A</v>
      </c>
      <c r="AW49" s="17" t="str">
        <f t="shared" si="157"/>
        <v>C2Q16A</v>
      </c>
      <c r="AX49" s="17" t="str">
        <f>AX6</f>
        <v>F3Q16A</v>
      </c>
      <c r="AY49" s="18" t="str">
        <f>AY6</f>
        <v>F4Q16A</v>
      </c>
      <c r="AZ49" s="1693" t="str">
        <f t="shared" ref="AZ49:BC49" si="158">AZ6</f>
        <v>F1Q17A</v>
      </c>
      <c r="BA49" s="1694" t="str">
        <f t="shared" si="158"/>
        <v>C2Q17A</v>
      </c>
      <c r="BB49" s="1694" t="str">
        <f t="shared" si="158"/>
        <v>C3Q17A</v>
      </c>
      <c r="BC49" s="1694" t="str">
        <f t="shared" si="158"/>
        <v>F4Q17A</v>
      </c>
      <c r="BD49" s="1693" t="str">
        <f t="shared" ref="BD49:BG49" si="159">BD6</f>
        <v>F1Q18A</v>
      </c>
      <c r="BE49" s="1694" t="str">
        <f t="shared" si="159"/>
        <v>F2Q18E</v>
      </c>
      <c r="BF49" s="1694" t="str">
        <f t="shared" si="159"/>
        <v>F3Q18E</v>
      </c>
      <c r="BG49" s="1695" t="str">
        <f t="shared" si="159"/>
        <v>F4Q18E</v>
      </c>
      <c r="BH49" s="1847" t="str">
        <f t="shared" ref="BH49:BK49" si="160">BH6</f>
        <v>F1Q19E</v>
      </c>
      <c r="BI49" s="1848" t="str">
        <f t="shared" si="160"/>
        <v>F2Q19E</v>
      </c>
      <c r="BJ49" s="1848" t="str">
        <f t="shared" si="160"/>
        <v>F3Q19E</v>
      </c>
      <c r="BK49" s="1849" t="str">
        <f t="shared" si="160"/>
        <v>F4Q19E</v>
      </c>
      <c r="BL49" s="19"/>
      <c r="BM49" s="16" t="str">
        <f t="shared" ref="BM49:BS49" si="161">BM6</f>
        <v>FY2005A</v>
      </c>
      <c r="BN49" s="17" t="str">
        <f t="shared" si="161"/>
        <v>FY2006A</v>
      </c>
      <c r="BO49" s="17" t="str">
        <f t="shared" si="161"/>
        <v>FY2007A</v>
      </c>
      <c r="BP49" s="17" t="str">
        <f t="shared" si="161"/>
        <v>FY2008A</v>
      </c>
      <c r="BQ49" s="17" t="str">
        <f t="shared" si="161"/>
        <v>FY2009A</v>
      </c>
      <c r="BR49" s="17" t="str">
        <f t="shared" si="161"/>
        <v>FY2010A</v>
      </c>
      <c r="BS49" s="17" t="str">
        <f t="shared" si="161"/>
        <v>FY2011A</v>
      </c>
      <c r="BT49" s="1848" t="str">
        <f t="shared" ref="BT49:BY49" si="162">BT6</f>
        <v>FY2012A</v>
      </c>
      <c r="BU49" s="1848" t="str">
        <f t="shared" si="162"/>
        <v>FY2013A</v>
      </c>
      <c r="BV49" s="1848" t="str">
        <f>BV6</f>
        <v>FY2014A</v>
      </c>
      <c r="BW49" s="1848" t="str">
        <f t="shared" si="162"/>
        <v>FY2015A</v>
      </c>
      <c r="BX49" s="1848" t="str">
        <f t="shared" si="162"/>
        <v>FY2016A</v>
      </c>
      <c r="BY49" s="1848" t="str">
        <f t="shared" si="162"/>
        <v>FY2017A</v>
      </c>
      <c r="BZ49" s="1848" t="str">
        <f t="shared" ref="BZ49:CB49" si="163">BZ6</f>
        <v>FY2018E</v>
      </c>
      <c r="CA49" s="1848" t="str">
        <f t="shared" si="163"/>
        <v>FY2019E</v>
      </c>
      <c r="CB49" s="1849" t="str">
        <f t="shared" si="163"/>
        <v>FY2020E</v>
      </c>
      <c r="CC49" s="20"/>
      <c r="CD49" s="13"/>
    </row>
    <row r="50" spans="1:82" ht="14.25" customHeight="1">
      <c r="A50" s="7"/>
      <c r="B50" s="828" t="s">
        <v>107</v>
      </c>
      <c r="C50" s="22"/>
      <c r="D50" s="78">
        <f t="shared" ref="D50:AD50" si="164">D11/(D56*4)*360</f>
        <v>51.23616940099199</v>
      </c>
      <c r="E50" s="79">
        <f t="shared" si="164"/>
        <v>52.552491511352329</v>
      </c>
      <c r="F50" s="79">
        <f>F11/(F56*4)*360</f>
        <v>50.935252223765474</v>
      </c>
      <c r="G50" s="80">
        <f t="shared" si="164"/>
        <v>39.428851595611896</v>
      </c>
      <c r="H50" s="78">
        <f t="shared" si="164"/>
        <v>55.396334368746054</v>
      </c>
      <c r="I50" s="79">
        <f t="shared" si="164"/>
        <v>42.28864314799727</v>
      </c>
      <c r="J50" s="79">
        <f t="shared" si="164"/>
        <v>46.641340682814835</v>
      </c>
      <c r="K50" s="80">
        <f t="shared" si="164"/>
        <v>57.872818558560688</v>
      </c>
      <c r="L50" s="78">
        <f t="shared" si="164"/>
        <v>48.686131386861319</v>
      </c>
      <c r="M50" s="79">
        <f t="shared" si="164"/>
        <v>42.322206095791003</v>
      </c>
      <c r="N50" s="79">
        <f t="shared" si="164"/>
        <v>37.610294117647058</v>
      </c>
      <c r="O50" s="80">
        <f t="shared" si="164"/>
        <v>32.542372881355931</v>
      </c>
      <c r="P50" s="78">
        <f t="shared" si="164"/>
        <v>32.562205783456626</v>
      </c>
      <c r="Q50" s="79">
        <f t="shared" si="164"/>
        <v>28.876651982378853</v>
      </c>
      <c r="R50" s="79">
        <f t="shared" si="164"/>
        <v>31.051752921535893</v>
      </c>
      <c r="S50" s="80">
        <f t="shared" si="164"/>
        <v>24.784853700516347</v>
      </c>
      <c r="T50" s="78">
        <f t="shared" si="164"/>
        <v>31.656754460492778</v>
      </c>
      <c r="U50" s="79">
        <f t="shared" si="164"/>
        <v>27.820945945945944</v>
      </c>
      <c r="V50" s="79">
        <f t="shared" si="164"/>
        <v>36.876790830945559</v>
      </c>
      <c r="W50" s="80">
        <f t="shared" si="164"/>
        <v>40.735115431348724</v>
      </c>
      <c r="X50" s="78">
        <f t="shared" si="164"/>
        <v>38.595933926302415</v>
      </c>
      <c r="Y50" s="79">
        <f t="shared" si="164"/>
        <v>39.473684210526315</v>
      </c>
      <c r="Z50" s="79">
        <f t="shared" si="164"/>
        <v>42.552533992583434</v>
      </c>
      <c r="AA50" s="80">
        <f t="shared" si="164"/>
        <v>52.832019405700429</v>
      </c>
      <c r="AB50" s="78">
        <f t="shared" si="164"/>
        <v>44.469931804091757</v>
      </c>
      <c r="AC50" s="346">
        <f t="shared" si="164"/>
        <v>43.398983481575605</v>
      </c>
      <c r="AD50" s="79">
        <f t="shared" si="164"/>
        <v>48.355029585798817</v>
      </c>
      <c r="AE50" s="80">
        <f t="shared" ref="AE50:AJ50" si="165">AE11/(AE56*4)*360</f>
        <v>48.911886457717323</v>
      </c>
      <c r="AF50" s="78">
        <f t="shared" si="165"/>
        <v>54.624605678233436</v>
      </c>
      <c r="AG50" s="346">
        <f t="shared" si="165"/>
        <v>47.388535031847134</v>
      </c>
      <c r="AH50" s="346">
        <f t="shared" si="165"/>
        <v>48.439716312056738</v>
      </c>
      <c r="AI50" s="346">
        <f t="shared" si="165"/>
        <v>49.090909090909086</v>
      </c>
      <c r="AJ50" s="78">
        <f t="shared" si="165"/>
        <v>53.354779411764703</v>
      </c>
      <c r="AK50" s="346">
        <f t="shared" ref="AK50:AP50" si="166">AK11/(AK56*4)*360</f>
        <v>51.937984496124038</v>
      </c>
      <c r="AL50" s="346">
        <f t="shared" si="166"/>
        <v>53.7782340862423</v>
      </c>
      <c r="AM50" s="346">
        <f t="shared" si="166"/>
        <v>47.123977344241659</v>
      </c>
      <c r="AN50" s="78">
        <f t="shared" si="166"/>
        <v>54.115962777380105</v>
      </c>
      <c r="AO50" s="346">
        <f t="shared" si="166"/>
        <v>54.462179042331719</v>
      </c>
      <c r="AP50" s="346">
        <f t="shared" si="166"/>
        <v>61.28061581525543</v>
      </c>
      <c r="AQ50" s="1114">
        <f>AQ11/(AQ56*4)*360</f>
        <v>59.418886198547213</v>
      </c>
      <c r="AR50" s="78">
        <f>AR11/(AR56*4)*360</f>
        <v>67.368932038834956</v>
      </c>
      <c r="AS50" s="346">
        <f t="shared" ref="AS50:AT50" si="167">AS11/(AS56*4)*360</f>
        <v>65.636942675159233</v>
      </c>
      <c r="AT50" s="346">
        <f t="shared" si="167"/>
        <v>54.9670122525919</v>
      </c>
      <c r="AU50" s="1114">
        <f>AU11/(AU56*4)*360</f>
        <v>50.07306889352818</v>
      </c>
      <c r="AV50" s="78">
        <f>AV11/(AV56*4)*360</f>
        <v>54.95192307692308</v>
      </c>
      <c r="AW50" s="346">
        <f t="shared" ref="AW50:AX50" si="168">AW11/(AW56*4)*360</f>
        <v>58.802336903602729</v>
      </c>
      <c r="AX50" s="346">
        <f t="shared" si="168"/>
        <v>44.070390206579958</v>
      </c>
      <c r="AY50" s="1114">
        <f>AY11/(AY56*4)*360</f>
        <v>25.307414104882458</v>
      </c>
      <c r="AZ50" s="1786">
        <f>AZ11/(AZ56*4)*360</f>
        <v>45.182926829268297</v>
      </c>
      <c r="BA50" s="346">
        <f t="shared" ref="BA50:BB50" si="169">BA11/(BA56*4)*360</f>
        <v>45.220949263502455</v>
      </c>
      <c r="BB50" s="346">
        <f t="shared" si="169"/>
        <v>42.233718807060256</v>
      </c>
      <c r="BC50" s="1114">
        <f>BC11/(BC56*4)*360</f>
        <v>24.324324324324326</v>
      </c>
      <c r="BD50" s="1786">
        <f>BD11/(BD56*4)*360</f>
        <v>40.327868852459019</v>
      </c>
      <c r="BE50" s="1889">
        <v>35</v>
      </c>
      <c r="BF50" s="1889">
        <f t="shared" ref="BF50:BK50" si="170">BE50</f>
        <v>35</v>
      </c>
      <c r="BG50" s="1891">
        <f t="shared" si="170"/>
        <v>35</v>
      </c>
      <c r="BH50" s="1890">
        <f t="shared" si="170"/>
        <v>35</v>
      </c>
      <c r="BI50" s="1889">
        <f t="shared" si="170"/>
        <v>35</v>
      </c>
      <c r="BJ50" s="1889">
        <f t="shared" si="170"/>
        <v>35</v>
      </c>
      <c r="BK50" s="1891">
        <f t="shared" si="170"/>
        <v>35</v>
      </c>
      <c r="BL50" s="121"/>
      <c r="BM50" s="156">
        <f t="shared" ref="BM50:BT50" si="171">BM11/BM56*360</f>
        <v>49.588091655266759</v>
      </c>
      <c r="BN50" s="156">
        <f t="shared" si="171"/>
        <v>72.650026553372271</v>
      </c>
      <c r="BO50" s="156">
        <f t="shared" si="171"/>
        <v>38.31697987693331</v>
      </c>
      <c r="BP50" s="156">
        <f t="shared" si="171"/>
        <v>19.834710743801654</v>
      </c>
      <c r="BQ50" s="156">
        <f t="shared" si="171"/>
        <v>49.639089394780676</v>
      </c>
      <c r="BR50" s="79">
        <f t="shared" si="171"/>
        <v>53.661841700030799</v>
      </c>
      <c r="BS50" s="79">
        <f t="shared" si="171"/>
        <v>50.371498172959811</v>
      </c>
      <c r="BT50" s="79">
        <f t="shared" si="171"/>
        <v>41.829583179638512</v>
      </c>
      <c r="BU50" s="79">
        <f t="shared" ref="BU50:BZ50" si="172">BU11/BU56*360</f>
        <v>56.523872428760143</v>
      </c>
      <c r="BV50" s="79">
        <f t="shared" si="172"/>
        <v>53.483472575372325</v>
      </c>
      <c r="BW50" s="79">
        <f t="shared" si="172"/>
        <v>48.078175895765476</v>
      </c>
      <c r="BX50" s="79">
        <f t="shared" si="172"/>
        <v>26.207865168539325</v>
      </c>
      <c r="BY50" s="79">
        <f t="shared" si="172"/>
        <v>27.021955338712704</v>
      </c>
      <c r="BZ50" s="79">
        <f t="shared" si="172"/>
        <v>33.804807358993834</v>
      </c>
      <c r="CA50" s="79">
        <f t="shared" ref="CA50" si="173">CA11/CA56*360</f>
        <v>36.099215551223224</v>
      </c>
      <c r="CB50" s="2113">
        <f t="shared" ref="CB50" si="174">CA50</f>
        <v>36.099215551223224</v>
      </c>
      <c r="CC50" s="20"/>
      <c r="CD50" s="13"/>
    </row>
    <row r="51" spans="1:82" ht="14.25" customHeight="1">
      <c r="A51" s="7"/>
      <c r="B51" s="828" t="s">
        <v>108</v>
      </c>
      <c r="C51" s="22"/>
      <c r="D51" s="78">
        <f t="shared" ref="D51:BK51" si="175">360/D52</f>
        <v>3.8170399644508315</v>
      </c>
      <c r="E51" s="79">
        <f t="shared" si="175"/>
        <v>3.3625333776722712</v>
      </c>
      <c r="F51" s="79">
        <f>360/F52</f>
        <v>3.8475921452128916</v>
      </c>
      <c r="G51" s="80">
        <f t="shared" si="175"/>
        <v>10.151902447308633</v>
      </c>
      <c r="H51" s="78">
        <f t="shared" si="175"/>
        <v>6.5636268741696719</v>
      </c>
      <c r="I51" s="79">
        <f t="shared" si="175"/>
        <v>5.1919908212739179</v>
      </c>
      <c r="J51" s="79">
        <f t="shared" si="175"/>
        <v>5.5421243848182149</v>
      </c>
      <c r="K51" s="80">
        <f t="shared" si="175"/>
        <v>5.559395577395577</v>
      </c>
      <c r="L51" s="78">
        <f t="shared" si="175"/>
        <v>3.7782515991471213</v>
      </c>
      <c r="M51" s="79">
        <f t="shared" si="175"/>
        <v>4.1121076233183853</v>
      </c>
      <c r="N51" s="79">
        <f t="shared" si="175"/>
        <v>4.5911799761620982</v>
      </c>
      <c r="O51" s="80">
        <f t="shared" si="175"/>
        <v>4.7990255785627287</v>
      </c>
      <c r="P51" s="78">
        <f t="shared" si="175"/>
        <v>4.4127388535031846</v>
      </c>
      <c r="Q51" s="79">
        <f t="shared" si="175"/>
        <v>4.3034134007585338</v>
      </c>
      <c r="R51" s="79">
        <f t="shared" si="175"/>
        <v>4.1753554502369665</v>
      </c>
      <c r="S51" s="80">
        <f t="shared" si="175"/>
        <v>5.4268292682926838</v>
      </c>
      <c r="T51" s="78">
        <f t="shared" si="175"/>
        <v>4.9424860853432282</v>
      </c>
      <c r="U51" s="79">
        <f t="shared" si="175"/>
        <v>6.028397565922921</v>
      </c>
      <c r="V51" s="79">
        <f t="shared" si="175"/>
        <v>6.2990291262135916</v>
      </c>
      <c r="W51" s="80">
        <f t="shared" si="175"/>
        <v>6.4268077601410933</v>
      </c>
      <c r="X51" s="78">
        <f t="shared" si="175"/>
        <v>5.7746967071057194</v>
      </c>
      <c r="Y51" s="79">
        <f t="shared" si="175"/>
        <v>6.2994836488812398</v>
      </c>
      <c r="Z51" s="79">
        <f t="shared" si="175"/>
        <v>5.652733118971061</v>
      </c>
      <c r="AA51" s="80">
        <f t="shared" si="175"/>
        <v>5.7341772151898738</v>
      </c>
      <c r="AB51" s="78">
        <f t="shared" si="175"/>
        <v>5.6913580246913584</v>
      </c>
      <c r="AC51" s="79">
        <f t="shared" si="175"/>
        <v>5.3208722741433032</v>
      </c>
      <c r="AD51" s="79">
        <f t="shared" si="175"/>
        <v>6.9185185185185185</v>
      </c>
      <c r="AE51" s="80">
        <f t="shared" si="175"/>
        <v>7.7142857142857144</v>
      </c>
      <c r="AF51" s="78">
        <f t="shared" si="175"/>
        <v>10.652991452991452</v>
      </c>
      <c r="AG51" s="79">
        <f t="shared" si="175"/>
        <v>3.7214885954381747</v>
      </c>
      <c r="AH51" s="79">
        <f t="shared" si="175"/>
        <v>4.71505376344086</v>
      </c>
      <c r="AI51" s="79">
        <f t="shared" si="175"/>
        <v>6.9537366548042705</v>
      </c>
      <c r="AJ51" s="78">
        <f t="shared" si="175"/>
        <v>4.1957585644371944</v>
      </c>
      <c r="AK51" s="79">
        <f t="shared" si="175"/>
        <v>3.9493670886075951</v>
      </c>
      <c r="AL51" s="79">
        <f t="shared" si="175"/>
        <v>4.0780911062906728</v>
      </c>
      <c r="AM51" s="79">
        <f t="shared" si="175"/>
        <v>4.6877828054298645</v>
      </c>
      <c r="AN51" s="78">
        <f t="shared" si="175"/>
        <v>4.1887226697353279</v>
      </c>
      <c r="AO51" s="79">
        <f t="shared" si="175"/>
        <v>3.9291666666666671</v>
      </c>
      <c r="AP51" s="79">
        <f t="shared" si="175"/>
        <v>4.1694537346711256</v>
      </c>
      <c r="AQ51" s="80">
        <f t="shared" si="175"/>
        <v>5.1328467153284674</v>
      </c>
      <c r="AR51" s="78">
        <f t="shared" si="175"/>
        <v>4.0930232558139537</v>
      </c>
      <c r="AS51" s="79">
        <f t="shared" si="175"/>
        <v>3.5544430538172715</v>
      </c>
      <c r="AT51" s="79">
        <f t="shared" si="175"/>
        <v>4.3206307490144544</v>
      </c>
      <c r="AU51" s="80">
        <f t="shared" si="175"/>
        <v>3.9823008849557517</v>
      </c>
      <c r="AV51" s="78">
        <f t="shared" si="175"/>
        <v>3.3362962962962963</v>
      </c>
      <c r="AW51" s="79">
        <f t="shared" si="175"/>
        <v>3.8115746971736204</v>
      </c>
      <c r="AX51" s="79">
        <f t="shared" si="175"/>
        <v>6.4663212435233159</v>
      </c>
      <c r="AY51" s="80">
        <f t="shared" si="175"/>
        <v>4.0213049267643139</v>
      </c>
      <c r="AZ51" s="78">
        <f t="shared" si="175"/>
        <v>3.1132300357568532</v>
      </c>
      <c r="BA51" s="79">
        <f t="shared" si="175"/>
        <v>3.9279711884753907</v>
      </c>
      <c r="BB51" s="79">
        <f t="shared" si="175"/>
        <v>5.3904282115869018</v>
      </c>
      <c r="BC51" s="80">
        <f t="shared" si="175"/>
        <v>5.2232746955345064</v>
      </c>
      <c r="BD51" s="78">
        <f t="shared" si="175"/>
        <v>5.8741258741258742</v>
      </c>
      <c r="BE51" s="79">
        <f t="shared" si="175"/>
        <v>6</v>
      </c>
      <c r="BF51" s="79">
        <f t="shared" si="175"/>
        <v>6</v>
      </c>
      <c r="BG51" s="1705">
        <f t="shared" si="175"/>
        <v>5.5384615384615383</v>
      </c>
      <c r="BH51" s="78">
        <f t="shared" si="175"/>
        <v>5.5384615384615383</v>
      </c>
      <c r="BI51" s="79">
        <f t="shared" si="175"/>
        <v>6</v>
      </c>
      <c r="BJ51" s="79">
        <f t="shared" si="175"/>
        <v>6</v>
      </c>
      <c r="BK51" s="1705">
        <f t="shared" si="175"/>
        <v>6</v>
      </c>
      <c r="BL51" s="121"/>
      <c r="BM51" s="79">
        <f t="shared" ref="BM51:BT51" si="176">360/BM52</f>
        <v>8.7709357571747386</v>
      </c>
      <c r="BN51" s="79">
        <f t="shared" si="176"/>
        <v>3.4605365016323919</v>
      </c>
      <c r="BO51" s="79">
        <f t="shared" si="176"/>
        <v>4.5062319590209068</v>
      </c>
      <c r="BP51" s="79">
        <f t="shared" si="176"/>
        <v>5.2442365519545602</v>
      </c>
      <c r="BQ51" s="79">
        <f t="shared" si="176"/>
        <v>5.4464013916068703</v>
      </c>
      <c r="BR51" s="79">
        <f t="shared" si="176"/>
        <v>5.5136119299462454</v>
      </c>
      <c r="BS51" s="79">
        <f t="shared" si="176"/>
        <v>7.5174398526533901</v>
      </c>
      <c r="BT51" s="79">
        <f t="shared" si="176"/>
        <v>7.3481207039438399</v>
      </c>
      <c r="BU51" s="79">
        <f t="shared" ref="BU51:CB51" si="177">360/BU52</f>
        <v>3.7053244901754168</v>
      </c>
      <c r="BV51" s="79">
        <f t="shared" si="177"/>
        <v>5.2799520047995196</v>
      </c>
      <c r="BW51" s="79">
        <f t="shared" si="177"/>
        <v>4.234695114559341</v>
      </c>
      <c r="BX51" s="79">
        <f t="shared" si="177"/>
        <v>4.2998011783375585</v>
      </c>
      <c r="BY51" s="79">
        <f t="shared" si="177"/>
        <v>4.6792592729901568</v>
      </c>
      <c r="BZ51" s="79">
        <f t="shared" si="177"/>
        <v>5.6722503527222479</v>
      </c>
      <c r="CA51" s="79">
        <f t="shared" si="177"/>
        <v>5.7593202094483793</v>
      </c>
      <c r="CB51" s="2114">
        <f t="shared" si="177"/>
        <v>5.7593202094483793</v>
      </c>
      <c r="CC51" s="20"/>
      <c r="CD51" s="13"/>
    </row>
    <row r="52" spans="1:82" ht="14.25" customHeight="1">
      <c r="A52" s="7"/>
      <c r="B52" s="828" t="s">
        <v>109</v>
      </c>
      <c r="C52" s="22"/>
      <c r="D52" s="78">
        <f t="shared" ref="D52:AD52" si="178">(D12/D57)*90</f>
        <v>94.313919516898281</v>
      </c>
      <c r="E52" s="79">
        <f t="shared" si="178"/>
        <v>107.06213427960427</v>
      </c>
      <c r="F52" s="79">
        <f>(F12/F57)*90</f>
        <v>93.565010638642107</v>
      </c>
      <c r="G52" s="80">
        <f t="shared" si="178"/>
        <v>35.46133366317359</v>
      </c>
      <c r="H52" s="78">
        <f t="shared" si="178"/>
        <v>54.847724726208114</v>
      </c>
      <c r="I52" s="79">
        <f t="shared" si="178"/>
        <v>69.337564797864886</v>
      </c>
      <c r="J52" s="79">
        <f t="shared" si="178"/>
        <v>64.957040839098426</v>
      </c>
      <c r="K52" s="80">
        <f t="shared" si="178"/>
        <v>64.75524092290803</v>
      </c>
      <c r="L52" s="78">
        <f t="shared" si="178"/>
        <v>95.282167042889398</v>
      </c>
      <c r="M52" s="79">
        <f t="shared" si="178"/>
        <v>87.54634678298801</v>
      </c>
      <c r="N52" s="79">
        <f t="shared" si="178"/>
        <v>78.411214953271028</v>
      </c>
      <c r="O52" s="80">
        <f t="shared" si="178"/>
        <v>75.015228426395936</v>
      </c>
      <c r="P52" s="78">
        <f t="shared" si="178"/>
        <v>81.581986143187066</v>
      </c>
      <c r="Q52" s="79">
        <f t="shared" si="178"/>
        <v>83.65452408930669</v>
      </c>
      <c r="R52" s="79">
        <f t="shared" si="178"/>
        <v>86.220204313280362</v>
      </c>
      <c r="S52" s="80">
        <f t="shared" si="178"/>
        <v>66.337078651685388</v>
      </c>
      <c r="T52" s="78">
        <f t="shared" si="178"/>
        <v>72.837837837837839</v>
      </c>
      <c r="U52" s="79">
        <f t="shared" si="178"/>
        <v>59.717362045760431</v>
      </c>
      <c r="V52" s="79">
        <f t="shared" si="178"/>
        <v>57.151664611590633</v>
      </c>
      <c r="W52" s="80">
        <f t="shared" si="178"/>
        <v>56.015367727771682</v>
      </c>
      <c r="X52" s="78">
        <f t="shared" si="178"/>
        <v>62.34093637454982</v>
      </c>
      <c r="Y52" s="79">
        <f t="shared" si="178"/>
        <v>57.147540983606554</v>
      </c>
      <c r="Z52" s="79">
        <f t="shared" si="178"/>
        <v>63.68600682593857</v>
      </c>
      <c r="AA52" s="80">
        <f t="shared" si="178"/>
        <v>62.781456953642383</v>
      </c>
      <c r="AB52" s="78">
        <f t="shared" si="178"/>
        <v>63.253796095444685</v>
      </c>
      <c r="AC52" s="346">
        <f t="shared" si="178"/>
        <v>67.658079625292729</v>
      </c>
      <c r="AD52" s="79">
        <f t="shared" si="178"/>
        <v>52.034261241970022</v>
      </c>
      <c r="AE52" s="80">
        <f t="shared" ref="AE52:AJ52" si="179">(AE12/AE57)*90</f>
        <v>46.666666666666664</v>
      </c>
      <c r="AF52" s="78">
        <f t="shared" si="179"/>
        <v>33.793324775353021</v>
      </c>
      <c r="AG52" s="346">
        <f t="shared" si="179"/>
        <v>96.735483870967755</v>
      </c>
      <c r="AH52" s="346">
        <f t="shared" si="179"/>
        <v>76.35119726339795</v>
      </c>
      <c r="AI52" s="346">
        <f t="shared" si="179"/>
        <v>51.770726714431937</v>
      </c>
      <c r="AJ52" s="78">
        <f t="shared" si="179"/>
        <v>85.800933125972008</v>
      </c>
      <c r="AK52" s="346">
        <f t="shared" ref="AK52:AP52" si="180">(AK12/AK57)*90</f>
        <v>91.153846153846146</v>
      </c>
      <c r="AL52" s="346">
        <f t="shared" si="180"/>
        <v>88.276595744680847</v>
      </c>
      <c r="AM52" s="346">
        <f t="shared" si="180"/>
        <v>76.795366795366789</v>
      </c>
      <c r="AN52" s="78">
        <f t="shared" si="180"/>
        <v>85.945054945054949</v>
      </c>
      <c r="AO52" s="346">
        <f t="shared" si="180"/>
        <v>91.622481442205711</v>
      </c>
      <c r="AP52" s="346">
        <f t="shared" si="180"/>
        <v>86.342245989304814</v>
      </c>
      <c r="AQ52" s="1115">
        <f>(AQ12/AQ57)*90</f>
        <v>70.136518771331055</v>
      </c>
      <c r="AR52" s="78">
        <f>(AR12/AR57)*90</f>
        <v>87.954545454545453</v>
      </c>
      <c r="AS52" s="346">
        <f t="shared" ref="AS52:AT52" si="181">(AS12/AS57)*90</f>
        <v>101.28169014084507</v>
      </c>
      <c r="AT52" s="346">
        <f t="shared" si="181"/>
        <v>83.321167883211686</v>
      </c>
      <c r="AU52" s="1115">
        <f>(AU12/AU57)*90</f>
        <v>90.4</v>
      </c>
      <c r="AV52" s="78">
        <f>(AV12/AV57)*90</f>
        <v>107.90408525754884</v>
      </c>
      <c r="AW52" s="346">
        <f t="shared" ref="AW52:AX52" si="182">(AW12/AW57)*90</f>
        <v>94.449152542372886</v>
      </c>
      <c r="AX52" s="346">
        <f t="shared" si="182"/>
        <v>55.673076923076927</v>
      </c>
      <c r="AY52" s="1115">
        <f>(AY12/AY57)*90</f>
        <v>89.523178807947019</v>
      </c>
      <c r="AZ52" s="1786">
        <f>(AZ12/AZ57)*90</f>
        <v>115.63552833078101</v>
      </c>
      <c r="BA52" s="346">
        <f t="shared" ref="BA52:BB52" si="183">(BA12/BA57)*90</f>
        <v>91.650366748166249</v>
      </c>
      <c r="BB52" s="346">
        <f t="shared" si="183"/>
        <v>66.785046728971963</v>
      </c>
      <c r="BC52" s="1115">
        <f>(BC12/BC57)*90</f>
        <v>68.92227979274611</v>
      </c>
      <c r="BD52" s="1786">
        <f>(BD12/BD57)*90</f>
        <v>61.285714285714285</v>
      </c>
      <c r="BE52" s="1889">
        <v>60</v>
      </c>
      <c r="BF52" s="1889">
        <v>60</v>
      </c>
      <c r="BG52" s="1891">
        <v>65</v>
      </c>
      <c r="BH52" s="1890">
        <f>BG52</f>
        <v>65</v>
      </c>
      <c r="BI52" s="1889">
        <v>60</v>
      </c>
      <c r="BJ52" s="1889">
        <f>BI52</f>
        <v>60</v>
      </c>
      <c r="BK52" s="1891">
        <f>BJ52</f>
        <v>60</v>
      </c>
      <c r="BL52" s="121"/>
      <c r="BM52" s="79">
        <f t="shared" ref="BM52:BT52" si="184">(BM12/BM57)*365</f>
        <v>41.044651331018514</v>
      </c>
      <c r="BN52" s="79">
        <f t="shared" si="184"/>
        <v>104.03011204481793</v>
      </c>
      <c r="BO52" s="79">
        <f t="shared" si="184"/>
        <v>79.889362836576908</v>
      </c>
      <c r="BP52" s="79">
        <f t="shared" si="184"/>
        <v>68.646788990825698</v>
      </c>
      <c r="BQ52" s="79">
        <f t="shared" si="184"/>
        <v>66.09869051421272</v>
      </c>
      <c r="BR52" s="79">
        <f t="shared" si="184"/>
        <v>65.292952165298615</v>
      </c>
      <c r="BS52" s="79">
        <f t="shared" si="184"/>
        <v>47.888643880926132</v>
      </c>
      <c r="BT52" s="79">
        <f t="shared" si="184"/>
        <v>48.992118461905903</v>
      </c>
      <c r="BU52" s="79">
        <f t="shared" ref="BU52:BZ52" si="185">(BU12/BU57)*365</f>
        <v>97.157482685937978</v>
      </c>
      <c r="BV52" s="79">
        <f t="shared" si="185"/>
        <v>68.182437960185439</v>
      </c>
      <c r="BW52" s="79">
        <f t="shared" si="185"/>
        <v>85.012023359670209</v>
      </c>
      <c r="BX52" s="79">
        <f t="shared" si="185"/>
        <v>83.724801466096523</v>
      </c>
      <c r="BY52" s="79">
        <f t="shared" si="185"/>
        <v>76.935253850541926</v>
      </c>
      <c r="BZ52" s="79">
        <f t="shared" si="185"/>
        <v>63.466874276313888</v>
      </c>
      <c r="CA52" s="79">
        <f t="shared" ref="CA52" si="186">(CA12/CA57)*365</f>
        <v>62.507377070197727</v>
      </c>
      <c r="CB52" s="2113">
        <f t="shared" ref="CB52:CB54" si="187">CA52</f>
        <v>62.507377070197727</v>
      </c>
      <c r="CC52" s="20"/>
      <c r="CD52" s="13"/>
    </row>
    <row r="53" spans="1:82" ht="14.25" customHeight="1">
      <c r="A53" s="7"/>
      <c r="B53" s="828" t="s">
        <v>110</v>
      </c>
      <c r="C53" s="22"/>
      <c r="D53" s="78">
        <f t="shared" ref="D53:AD53" si="188">(D28/D57)*90</f>
        <v>79.20466803476134</v>
      </c>
      <c r="E53" s="79">
        <f t="shared" si="188"/>
        <v>88.980095410429357</v>
      </c>
      <c r="F53" s="79">
        <f>(F28/F57)*90</f>
        <v>94.557935690607977</v>
      </c>
      <c r="G53" s="80">
        <f t="shared" si="188"/>
        <v>78.092110599227837</v>
      </c>
      <c r="H53" s="78">
        <f t="shared" si="188"/>
        <v>137.79235189937469</v>
      </c>
      <c r="I53" s="79">
        <f t="shared" si="188"/>
        <v>120.86260286393734</v>
      </c>
      <c r="J53" s="79">
        <f t="shared" si="188"/>
        <v>125.71817116715017</v>
      </c>
      <c r="K53" s="80">
        <f t="shared" si="188"/>
        <v>106.44043286836725</v>
      </c>
      <c r="L53" s="78">
        <f t="shared" si="188"/>
        <v>138.65688487584652</v>
      </c>
      <c r="M53" s="79">
        <f t="shared" si="188"/>
        <v>96.673936750272617</v>
      </c>
      <c r="N53" s="79">
        <f t="shared" si="188"/>
        <v>99.439252336448604</v>
      </c>
      <c r="O53" s="80">
        <f t="shared" si="188"/>
        <v>90.63959390862945</v>
      </c>
      <c r="P53" s="78">
        <f t="shared" si="188"/>
        <v>98.106235565819858</v>
      </c>
      <c r="Q53" s="79">
        <f t="shared" si="188"/>
        <v>84.6063454759107</v>
      </c>
      <c r="R53" s="79">
        <f t="shared" si="188"/>
        <v>75.289443813847896</v>
      </c>
      <c r="S53" s="80">
        <f t="shared" si="188"/>
        <v>63.80898876404494</v>
      </c>
      <c r="T53" s="78">
        <f t="shared" si="188"/>
        <v>67.162162162162161</v>
      </c>
      <c r="U53" s="79">
        <f t="shared" si="188"/>
        <v>69.165545087483181</v>
      </c>
      <c r="V53" s="79">
        <f t="shared" si="188"/>
        <v>65.363748458692967</v>
      </c>
      <c r="W53" s="80">
        <f t="shared" si="188"/>
        <v>63.918770581778261</v>
      </c>
      <c r="X53" s="78">
        <f t="shared" si="188"/>
        <v>46.890756302521012</v>
      </c>
      <c r="Y53" s="79">
        <f t="shared" si="188"/>
        <v>40.229508196721312</v>
      </c>
      <c r="Z53" s="79">
        <f t="shared" si="188"/>
        <v>47.508532423208194</v>
      </c>
      <c r="AA53" s="80">
        <f t="shared" si="188"/>
        <v>37.350993377483448</v>
      </c>
      <c r="AB53" s="78">
        <f t="shared" si="188"/>
        <v>40.119305856832973</v>
      </c>
      <c r="AC53" s="346">
        <f t="shared" si="188"/>
        <v>47.950819672131153</v>
      </c>
      <c r="AD53" s="79">
        <f t="shared" si="188"/>
        <v>45</v>
      </c>
      <c r="AE53" s="80">
        <f t="shared" ref="AE53:AJ53" si="189">(AE28/AE57)*90</f>
        <v>35.588235294117645</v>
      </c>
      <c r="AF53" s="78">
        <f t="shared" si="189"/>
        <v>30.442875481386391</v>
      </c>
      <c r="AG53" s="346">
        <f t="shared" si="189"/>
        <v>54.696774193548393</v>
      </c>
      <c r="AH53" s="346">
        <f t="shared" si="189"/>
        <v>42.280501710376278</v>
      </c>
      <c r="AI53" s="346">
        <f t="shared" si="189"/>
        <v>25.609007164790174</v>
      </c>
      <c r="AJ53" s="78">
        <f t="shared" si="189"/>
        <v>42.13063763608087</v>
      </c>
      <c r="AK53" s="346">
        <f t="shared" ref="AK53:AP53" si="190">(AK28/AK57)*90</f>
        <v>51.538461538461533</v>
      </c>
      <c r="AL53" s="346">
        <f t="shared" si="190"/>
        <v>54.957446808510646</v>
      </c>
      <c r="AM53" s="346">
        <f t="shared" si="190"/>
        <v>45.086872586872595</v>
      </c>
      <c r="AN53" s="78">
        <f t="shared" si="190"/>
        <v>47.769230769230766</v>
      </c>
      <c r="AO53" s="346">
        <f t="shared" si="190"/>
        <v>48.769883351007422</v>
      </c>
      <c r="AP53" s="346">
        <f t="shared" si="190"/>
        <v>47.935828877005342</v>
      </c>
      <c r="AQ53" s="1115">
        <f>(AQ28/AQ57)*90</f>
        <v>43.105802047781573</v>
      </c>
      <c r="AR53" s="78">
        <f>(AR28/AR57)*90</f>
        <v>48.70738636363636</v>
      </c>
      <c r="AS53" s="346">
        <f t="shared" ref="AS53:AT53" si="191">(AS28/AS57)*90</f>
        <v>57.549295774647888</v>
      </c>
      <c r="AT53" s="346">
        <f t="shared" si="191"/>
        <v>42.481751824817515</v>
      </c>
      <c r="AU53" s="1115">
        <f>(AU28/AU57)*90</f>
        <v>37.200000000000003</v>
      </c>
      <c r="AV53" s="78">
        <f>(AV28/AV57)*90</f>
        <v>51.793960923623452</v>
      </c>
      <c r="AW53" s="346">
        <f t="shared" ref="AW53:AX53" si="192">(AW28/AW57)*90</f>
        <v>78.305084745762713</v>
      </c>
      <c r="AX53" s="346">
        <f t="shared" si="192"/>
        <v>41.971153846153847</v>
      </c>
      <c r="AY53" s="1115">
        <f>(AY28/AY57)*90</f>
        <v>52.450331125827816</v>
      </c>
      <c r="AZ53" s="1786">
        <f>(AZ28/AZ57)*90</f>
        <v>72.909647779479329</v>
      </c>
      <c r="BA53" s="346">
        <f t="shared" ref="BA53:BB53" si="193">(BA28/BA57)*90</f>
        <v>53.141809290953546</v>
      </c>
      <c r="BB53" s="346">
        <f t="shared" si="193"/>
        <v>39.700934579439256</v>
      </c>
      <c r="BC53" s="1115">
        <f>(BC28/BC57)*90</f>
        <v>35.813471502590673</v>
      </c>
      <c r="BD53" s="1786">
        <f>(BD28/BD57)*90</f>
        <v>39.085714285714282</v>
      </c>
      <c r="BE53" s="1889">
        <f t="shared" ref="BE53:BK53" si="194">BD53</f>
        <v>39.085714285714282</v>
      </c>
      <c r="BF53" s="1889">
        <f t="shared" si="194"/>
        <v>39.085714285714282</v>
      </c>
      <c r="BG53" s="1891">
        <f t="shared" si="194"/>
        <v>39.085714285714282</v>
      </c>
      <c r="BH53" s="1890">
        <v>42</v>
      </c>
      <c r="BI53" s="1889">
        <f t="shared" si="194"/>
        <v>42</v>
      </c>
      <c r="BJ53" s="1889">
        <f t="shared" si="194"/>
        <v>42</v>
      </c>
      <c r="BK53" s="1891">
        <f t="shared" si="194"/>
        <v>42</v>
      </c>
      <c r="BL53" s="121"/>
      <c r="BM53" s="79">
        <f t="shared" ref="BM53:BT53" si="195">(BM28/BM57)*365</f>
        <v>90.387560763888885</v>
      </c>
      <c r="BN53" s="79">
        <f t="shared" si="195"/>
        <v>170.99789915966386</v>
      </c>
      <c r="BO53" s="79">
        <f t="shared" si="195"/>
        <v>96.528925619834709</v>
      </c>
      <c r="BP53" s="79">
        <f t="shared" si="195"/>
        <v>66.030676605504595</v>
      </c>
      <c r="BQ53" s="79">
        <f t="shared" si="195"/>
        <v>75.424784413925266</v>
      </c>
      <c r="BR53" s="79">
        <f t="shared" si="195"/>
        <v>38.845174073025753</v>
      </c>
      <c r="BS53" s="79">
        <f t="shared" si="195"/>
        <v>36.520121278941566</v>
      </c>
      <c r="BT53" s="79">
        <f t="shared" si="195"/>
        <v>24.234535466921422</v>
      </c>
      <c r="BU53" s="79">
        <f t="shared" ref="BU53:BZ53" si="196">(BU28/BU57)*365</f>
        <v>57.041553748870825</v>
      </c>
      <c r="BV53" s="79">
        <f t="shared" si="196"/>
        <v>41.90482683392419</v>
      </c>
      <c r="BW53" s="79">
        <f t="shared" si="196"/>
        <v>34.982823771899689</v>
      </c>
      <c r="BX53" s="79">
        <f t="shared" si="196"/>
        <v>49.053145998778248</v>
      </c>
      <c r="BY53" s="79">
        <f t="shared" si="196"/>
        <v>39.977181973759272</v>
      </c>
      <c r="BZ53" s="79">
        <f t="shared" si="196"/>
        <v>38.163817147251592</v>
      </c>
      <c r="CA53" s="79">
        <f t="shared" ref="CA53" si="197">(CA28/CA57)*365</f>
        <v>43.755163949138407</v>
      </c>
      <c r="CB53" s="2113">
        <f t="shared" si="187"/>
        <v>43.755163949138407</v>
      </c>
      <c r="CC53" s="20"/>
      <c r="CD53" s="13"/>
    </row>
    <row r="54" spans="1:82" ht="14.25" customHeight="1">
      <c r="A54" s="7"/>
      <c r="B54" s="828" t="s">
        <v>374</v>
      </c>
      <c r="C54" s="22"/>
      <c r="D54" s="95">
        <f t="shared" ref="D54:AD54" si="198">D14/D56</f>
        <v>0.34379290216756836</v>
      </c>
      <c r="E54" s="95">
        <f t="shared" si="198"/>
        <v>0.24564376411798228</v>
      </c>
      <c r="F54" s="95">
        <f>F14/F56</f>
        <v>0.17891387649359219</v>
      </c>
      <c r="G54" s="96">
        <f t="shared" si="198"/>
        <v>0.34603760593767657</v>
      </c>
      <c r="H54" s="95">
        <f t="shared" si="198"/>
        <v>0.24173634058422502</v>
      </c>
      <c r="I54" s="95">
        <f t="shared" si="198"/>
        <v>0.25347859650911281</v>
      </c>
      <c r="J54" s="95">
        <f t="shared" si="198"/>
        <v>0.24573108912024658</v>
      </c>
      <c r="K54" s="96">
        <f t="shared" si="198"/>
        <v>0.24987971365928252</v>
      </c>
      <c r="L54" s="95">
        <f t="shared" si="198"/>
        <v>0.27899432278994324</v>
      </c>
      <c r="M54" s="95">
        <f t="shared" si="198"/>
        <v>0.29753265602322204</v>
      </c>
      <c r="N54" s="95">
        <f t="shared" si="198"/>
        <v>0.26470588235294118</v>
      </c>
      <c r="O54" s="96">
        <f t="shared" si="198"/>
        <v>0.22711864406779661</v>
      </c>
      <c r="P54" s="95">
        <f t="shared" si="198"/>
        <v>0.22326832548755884</v>
      </c>
      <c r="Q54" s="95">
        <f t="shared" si="198"/>
        <v>0.45227606461086639</v>
      </c>
      <c r="R54" s="95">
        <f t="shared" si="198"/>
        <v>0.26265998887033948</v>
      </c>
      <c r="S54" s="96">
        <f t="shared" si="198"/>
        <v>0.24010327022375216</v>
      </c>
      <c r="T54" s="95">
        <f t="shared" si="198"/>
        <v>0.21580288870008496</v>
      </c>
      <c r="U54" s="95">
        <f t="shared" si="198"/>
        <v>0.25506756756756754</v>
      </c>
      <c r="V54" s="95">
        <f t="shared" si="198"/>
        <v>0.19985673352435529</v>
      </c>
      <c r="W54" s="96">
        <f t="shared" si="198"/>
        <v>0.16889428918590524</v>
      </c>
      <c r="X54" s="95">
        <f t="shared" si="198"/>
        <v>9.3392630241423122E-2</v>
      </c>
      <c r="Y54" s="95">
        <f t="shared" si="198"/>
        <v>6.7150635208711437E-2</v>
      </c>
      <c r="Z54" s="95">
        <f t="shared" si="198"/>
        <v>6.1186650185414089E-2</v>
      </c>
      <c r="AA54" s="96">
        <f t="shared" si="198"/>
        <v>0.12431776834445118</v>
      </c>
      <c r="AB54" s="95">
        <f t="shared" si="198"/>
        <v>0.1370117792932424</v>
      </c>
      <c r="AC54" s="95">
        <f t="shared" si="198"/>
        <v>0.11181702668360864</v>
      </c>
      <c r="AD54" s="95">
        <f t="shared" si="198"/>
        <v>9.2899408284023668E-2</v>
      </c>
      <c r="AE54" s="96">
        <f t="shared" ref="AE54:AJ54" si="199">AE14/AE56</f>
        <v>4.0804257835600238E-2</v>
      </c>
      <c r="AF54" s="95">
        <f t="shared" si="199"/>
        <v>6.5615141955835968E-2</v>
      </c>
      <c r="AG54" s="95">
        <f t="shared" si="199"/>
        <v>5.449398443029016E-2</v>
      </c>
      <c r="AH54" s="95">
        <f t="shared" si="199"/>
        <v>6.9345941686367221E-2</v>
      </c>
      <c r="AI54" s="96">
        <f t="shared" si="199"/>
        <v>6.1471861471861469E-2</v>
      </c>
      <c r="AJ54" s="95">
        <f t="shared" si="199"/>
        <v>7.077205882352941E-2</v>
      </c>
      <c r="AK54" s="95">
        <f t="shared" ref="AK54:AP54" si="200">AK14/AK56</f>
        <v>9.3884582256675286E-2</v>
      </c>
      <c r="AL54" s="95">
        <f t="shared" si="200"/>
        <v>5.7494866529774126E-2</v>
      </c>
      <c r="AM54" s="96">
        <f t="shared" si="200"/>
        <v>4.4682190056639398E-2</v>
      </c>
      <c r="AN54" s="95">
        <f t="shared" si="200"/>
        <v>5.654974946313529E-2</v>
      </c>
      <c r="AO54" s="95">
        <f t="shared" si="200"/>
        <v>0.1054823039555864</v>
      </c>
      <c r="AP54" s="95">
        <f t="shared" si="200"/>
        <v>0.14835549335199441</v>
      </c>
      <c r="AQ54" s="96">
        <f>AQ14/AQ56</f>
        <v>0.15577078288942695</v>
      </c>
      <c r="AR54" s="95">
        <f>AR14/AR56</f>
        <v>0.12815533980582525</v>
      </c>
      <c r="AS54" s="95">
        <f t="shared" ref="AS54:AT54" si="201">AS14/AS56</f>
        <v>0.14437367303609341</v>
      </c>
      <c r="AT54" s="95">
        <f t="shared" si="201"/>
        <v>0.28463713477851083</v>
      </c>
      <c r="AU54" s="96">
        <f>AU14/AU56</f>
        <v>0.33820459290187893</v>
      </c>
      <c r="AV54" s="95">
        <f>AV14/AV56</f>
        <v>0.39302884615384615</v>
      </c>
      <c r="AW54" s="95">
        <f t="shared" ref="AW54:AX54" si="202">AW14/AW56</f>
        <v>0.1314508276533593</v>
      </c>
      <c r="AX54" s="95">
        <f t="shared" si="202"/>
        <v>0.11782708492731446</v>
      </c>
      <c r="AY54" s="96">
        <f>AY14/AY56</f>
        <v>0.18444846292947559</v>
      </c>
      <c r="AZ54" s="157">
        <f>AZ14/AZ56</f>
        <v>0.22560975609756098</v>
      </c>
      <c r="BA54" s="95">
        <f t="shared" ref="BA54:BB54" si="203">BA14/BA56</f>
        <v>0.18003273322422259</v>
      </c>
      <c r="BB54" s="95">
        <f t="shared" si="203"/>
        <v>0.155203895313451</v>
      </c>
      <c r="BC54" s="96">
        <f>BC14/BC56</f>
        <v>0.20135135135135135</v>
      </c>
      <c r="BD54" s="157">
        <f>BD14/BD56</f>
        <v>0.15361262902246509</v>
      </c>
      <c r="BE54" s="1892">
        <v>0.2</v>
      </c>
      <c r="BF54" s="1892">
        <v>0.2</v>
      </c>
      <c r="BG54" s="1894">
        <v>0.2</v>
      </c>
      <c r="BH54" s="1893">
        <v>0.2</v>
      </c>
      <c r="BI54" s="1892">
        <v>0.2</v>
      </c>
      <c r="BJ54" s="1892">
        <v>0.2</v>
      </c>
      <c r="BK54" s="1894">
        <v>0.2</v>
      </c>
      <c r="BL54" s="158"/>
      <c r="BM54" s="95">
        <f t="shared" ref="BM54:BT54" si="204">BM14/BM56</f>
        <v>0.10879941860465117</v>
      </c>
      <c r="BN54" s="95">
        <f t="shared" si="204"/>
        <v>7.8420959461851653E-2</v>
      </c>
      <c r="BO54" s="95">
        <f t="shared" si="204"/>
        <v>6.6855147181107605E-2</v>
      </c>
      <c r="BP54" s="95">
        <f t="shared" si="204"/>
        <v>4.8037190082644628E-2</v>
      </c>
      <c r="BQ54" s="95">
        <f t="shared" si="204"/>
        <v>5.145289653895984E-2</v>
      </c>
      <c r="BR54" s="95">
        <f t="shared" si="204"/>
        <v>3.1567600862334462E-2</v>
      </c>
      <c r="BS54" s="95">
        <f t="shared" si="204"/>
        <v>1.0505481120584652E-2</v>
      </c>
      <c r="BT54" s="95">
        <f t="shared" si="204"/>
        <v>1.3094798967170786E-2</v>
      </c>
      <c r="BU54" s="95">
        <f t="shared" ref="BU54:BZ54" si="205">BU14/BU56</f>
        <v>1.3398754481977731E-2</v>
      </c>
      <c r="BV54" s="95">
        <f t="shared" si="205"/>
        <v>3.5052669814747549E-2</v>
      </c>
      <c r="BW54" s="95">
        <f t="shared" si="205"/>
        <v>8.1182660987221253E-2</v>
      </c>
      <c r="BX54" s="95">
        <f t="shared" si="205"/>
        <v>4.7752808988764044E-2</v>
      </c>
      <c r="BY54" s="95">
        <f t="shared" si="205"/>
        <v>5.5920435353724901E-2</v>
      </c>
      <c r="BZ54" s="95">
        <f t="shared" si="205"/>
        <v>4.8292581941419763E-2</v>
      </c>
      <c r="CA54" s="95">
        <f t="shared" ref="CA54" si="206">CA14/CA56</f>
        <v>5.1570307930318894E-2</v>
      </c>
      <c r="CB54" s="2115">
        <f t="shared" si="187"/>
        <v>5.1570307930318894E-2</v>
      </c>
      <c r="CC54" s="20"/>
      <c r="CD54" s="13"/>
    </row>
    <row r="55" spans="1:82" ht="14.25" customHeight="1">
      <c r="A55" s="7"/>
      <c r="B55" s="828"/>
      <c r="C55" s="22"/>
      <c r="D55" s="119"/>
      <c r="E55" s="117"/>
      <c r="F55" s="117"/>
      <c r="G55" s="117"/>
      <c r="H55" s="119"/>
      <c r="I55" s="117"/>
      <c r="J55" s="117"/>
      <c r="K55" s="117"/>
      <c r="L55" s="119"/>
      <c r="M55" s="117"/>
      <c r="N55" s="117"/>
      <c r="O55" s="117"/>
      <c r="P55" s="119"/>
      <c r="Q55" s="117"/>
      <c r="R55" s="117"/>
      <c r="S55" s="117"/>
      <c r="T55" s="119"/>
      <c r="U55" s="117"/>
      <c r="V55" s="117"/>
      <c r="W55" s="117"/>
      <c r="X55" s="119"/>
      <c r="Y55" s="117"/>
      <c r="Z55" s="117"/>
      <c r="AA55" s="117"/>
      <c r="AB55" s="119"/>
      <c r="AC55" s="69"/>
      <c r="AD55" s="117"/>
      <c r="AE55" s="117"/>
      <c r="AF55" s="119"/>
      <c r="AG55" s="69"/>
      <c r="AH55" s="117"/>
      <c r="AI55" s="118"/>
      <c r="AJ55" s="119"/>
      <c r="AK55" s="69"/>
      <c r="AL55" s="117"/>
      <c r="AM55" s="118"/>
      <c r="AN55" s="119"/>
      <c r="AO55" s="69"/>
      <c r="AP55" s="117"/>
      <c r="AQ55" s="118"/>
      <c r="AR55" s="119"/>
      <c r="AS55" s="69"/>
      <c r="AT55" s="117"/>
      <c r="AU55" s="118"/>
      <c r="AV55" s="119"/>
      <c r="AW55" s="117"/>
      <c r="AX55" s="117"/>
      <c r="AY55" s="118"/>
      <c r="AZ55" s="21"/>
      <c r="BA55" s="117"/>
      <c r="BB55" s="117"/>
      <c r="BC55" s="118"/>
      <c r="BD55" s="21"/>
      <c r="BE55" s="117"/>
      <c r="BF55" s="117"/>
      <c r="BG55" s="1706"/>
      <c r="BH55" s="119"/>
      <c r="BI55" s="117"/>
      <c r="BJ55" s="117"/>
      <c r="BK55" s="1706"/>
      <c r="BL55" s="19"/>
      <c r="BM55" s="117"/>
      <c r="BN55" s="117"/>
      <c r="BO55" s="117"/>
      <c r="BP55" s="117"/>
      <c r="BQ55" s="117"/>
      <c r="BR55" s="117"/>
      <c r="BS55" s="117"/>
      <c r="BT55" s="117"/>
      <c r="BU55" s="117"/>
      <c r="BV55" s="117"/>
      <c r="BW55" s="117"/>
      <c r="BX55" s="117"/>
      <c r="BY55" s="117"/>
      <c r="BZ55" s="117"/>
      <c r="CA55" s="117"/>
      <c r="CB55" s="2116"/>
      <c r="CC55" s="20"/>
      <c r="CD55" s="13"/>
    </row>
    <row r="56" spans="1:82" ht="14.25" customHeight="1">
      <c r="A56" s="7"/>
      <c r="B56" s="828" t="s">
        <v>357</v>
      </c>
      <c r="C56" s="22"/>
      <c r="D56" s="161">
        <f>IS!D9</f>
        <v>1226.6279999999999</v>
      </c>
      <c r="E56" s="159">
        <f>IS!E9</f>
        <v>1259.9179999999999</v>
      </c>
      <c r="F56" s="159">
        <f>IS!F9</f>
        <v>1522.7550000000001</v>
      </c>
      <c r="G56" s="159">
        <f>IS!G9</f>
        <v>1838.6990000000001</v>
      </c>
      <c r="H56" s="161">
        <f>IS!H9</f>
        <v>1332.1579999999999</v>
      </c>
      <c r="I56" s="159">
        <f>IS!I9</f>
        <v>1216.367</v>
      </c>
      <c r="J56" s="159">
        <f>IS!J9</f>
        <v>1327.6220000000001</v>
      </c>
      <c r="K56" s="159">
        <f>IS!K9</f>
        <v>1772.8530000000001</v>
      </c>
      <c r="L56" s="161">
        <f>IS!L9</f>
        <v>1233</v>
      </c>
      <c r="M56" s="159">
        <f>IS!M9</f>
        <v>1378</v>
      </c>
      <c r="N56" s="159">
        <f>IS!N9</f>
        <v>1632</v>
      </c>
      <c r="O56" s="159">
        <f>IS!O9</f>
        <v>1770</v>
      </c>
      <c r="P56" s="161">
        <f>IS!P9</f>
        <v>1487</v>
      </c>
      <c r="Q56" s="159">
        <f>IS!Q9</f>
        <v>1362</v>
      </c>
      <c r="R56" s="159">
        <f>IS!R9</f>
        <v>1797</v>
      </c>
      <c r="S56" s="159">
        <f>IS!S9</f>
        <v>1162</v>
      </c>
      <c r="T56" s="161">
        <f>IS!T9</f>
        <v>1177</v>
      </c>
      <c r="U56" s="159">
        <f>IS!U9</f>
        <v>1184</v>
      </c>
      <c r="V56" s="159">
        <f>IS!V9</f>
        <v>1396</v>
      </c>
      <c r="W56" s="159">
        <f>IS!W9</f>
        <v>1646</v>
      </c>
      <c r="X56" s="161">
        <f>IS!X9</f>
        <v>1574</v>
      </c>
      <c r="Y56" s="159">
        <f>IS!Y9</f>
        <v>1653</v>
      </c>
      <c r="Z56" s="159">
        <f>IS!Z9</f>
        <v>1618</v>
      </c>
      <c r="AA56" s="159">
        <f>IS!AA9</f>
        <v>1649</v>
      </c>
      <c r="AB56" s="161">
        <f>IS!AB9</f>
        <v>1613</v>
      </c>
      <c r="AC56" s="159">
        <f>IS!AC9</f>
        <v>1574</v>
      </c>
      <c r="AD56" s="159">
        <f>IS!AD9</f>
        <v>1690</v>
      </c>
      <c r="AE56" s="159">
        <f>IS!AE9</f>
        <v>1691</v>
      </c>
      <c r="AF56" s="161">
        <f>IS!AF9</f>
        <v>1585</v>
      </c>
      <c r="AG56" s="159">
        <f>IS!AG9</f>
        <v>1413</v>
      </c>
      <c r="AH56" s="159">
        <f>IS!AH9</f>
        <v>1269</v>
      </c>
      <c r="AI56" s="160">
        <f>IS!AI9</f>
        <v>1155</v>
      </c>
      <c r="AJ56" s="161">
        <f>IS!AJ9</f>
        <v>1088</v>
      </c>
      <c r="AK56" s="159">
        <f>IS!AK9</f>
        <v>1161</v>
      </c>
      <c r="AL56" s="159">
        <f>IS!AL9</f>
        <v>1461</v>
      </c>
      <c r="AM56" s="160">
        <f>IS!AM9</f>
        <v>1589</v>
      </c>
      <c r="AN56" s="161">
        <f>IS!AN9</f>
        <v>1397</v>
      </c>
      <c r="AO56" s="159">
        <f>IS!AO9</f>
        <v>1441</v>
      </c>
      <c r="AP56" s="159">
        <f>IS!AP9</f>
        <v>1429</v>
      </c>
      <c r="AQ56" s="160">
        <f>IS!AQ9</f>
        <v>1239</v>
      </c>
      <c r="AR56" s="161">
        <f>IS!AR9</f>
        <v>1030</v>
      </c>
      <c r="AS56" s="159">
        <f>IS!AS9</f>
        <v>942</v>
      </c>
      <c r="AT56" s="159">
        <f>IS!AT9</f>
        <v>1061</v>
      </c>
      <c r="AU56" s="160">
        <f>IS!AU9</f>
        <v>958</v>
      </c>
      <c r="AV56" s="161">
        <f>IS!AV9</f>
        <v>832</v>
      </c>
      <c r="AW56" s="159">
        <f>IS!AW9</f>
        <v>1027</v>
      </c>
      <c r="AX56" s="159">
        <f>IS!AX9</f>
        <v>1307</v>
      </c>
      <c r="AY56" s="160">
        <f>IS!AY9</f>
        <v>1106</v>
      </c>
      <c r="AZ56" s="161">
        <f>IS!AZ9</f>
        <v>984</v>
      </c>
      <c r="BA56" s="159">
        <f>IS!BA9</f>
        <v>1222</v>
      </c>
      <c r="BB56" s="159">
        <f>IS!BB9</f>
        <v>1643</v>
      </c>
      <c r="BC56" s="160">
        <f>IS!BC9</f>
        <v>1480</v>
      </c>
      <c r="BD56" s="161">
        <f>IS!BD9</f>
        <v>1647</v>
      </c>
      <c r="BE56" s="159">
        <f>IS!BE9</f>
        <v>1728.5245498721738</v>
      </c>
      <c r="BF56" s="159">
        <f>IS!BF9</f>
        <v>1730.3582323215753</v>
      </c>
      <c r="BG56" s="1707">
        <f>IS!BG9</f>
        <v>1625.3408422465081</v>
      </c>
      <c r="BH56" s="161">
        <f>IS!BH9</f>
        <v>1549.1452351355256</v>
      </c>
      <c r="BI56" s="159">
        <f>IS!BI9</f>
        <v>1635.4643929356052</v>
      </c>
      <c r="BJ56" s="159">
        <f>IS!BJ9</f>
        <v>1716.5157688386405</v>
      </c>
      <c r="BK56" s="1707">
        <f>IS!BK9</f>
        <v>1702.8435645146208</v>
      </c>
      <c r="BL56" s="19"/>
      <c r="BM56" s="159">
        <f>IS!BM9</f>
        <v>5848</v>
      </c>
      <c r="BN56" s="159">
        <f>IS!BN9</f>
        <v>5649</v>
      </c>
      <c r="BO56" s="159">
        <f>IS!BO9</f>
        <v>6013</v>
      </c>
      <c r="BP56" s="159">
        <f>IS!BP9</f>
        <v>5808</v>
      </c>
      <c r="BQ56" s="159">
        <f>IS!BQ9</f>
        <v>5403</v>
      </c>
      <c r="BR56" s="159">
        <f>IS!BR9</f>
        <v>6494</v>
      </c>
      <c r="BS56" s="159">
        <f>IS!BS9</f>
        <v>6568</v>
      </c>
      <c r="BT56" s="159">
        <f>IS!BT9</f>
        <v>5422</v>
      </c>
      <c r="BU56" s="159">
        <f>IS!BU9</f>
        <v>5299</v>
      </c>
      <c r="BV56" s="159">
        <f>IS!BV9</f>
        <v>5506</v>
      </c>
      <c r="BW56" s="159">
        <f>IS!BW9</f>
        <v>3991</v>
      </c>
      <c r="BX56" s="159">
        <f>IS!BX9</f>
        <v>4272</v>
      </c>
      <c r="BY56" s="159">
        <f>IS!BY9</f>
        <v>5329</v>
      </c>
      <c r="BZ56" s="159">
        <f>IS!BZ9</f>
        <v>6731.2236244402575</v>
      </c>
      <c r="CA56" s="159">
        <f>IS!CA9</f>
        <v>6603.9689614243925</v>
      </c>
      <c r="CB56" s="2117">
        <f>IS!CB9</f>
        <v>6603.9689614243925</v>
      </c>
      <c r="CC56" s="20"/>
      <c r="CD56" s="13"/>
    </row>
    <row r="57" spans="1:82" ht="14.25" customHeight="1">
      <c r="A57" s="7"/>
      <c r="B57" s="831" t="s">
        <v>358</v>
      </c>
      <c r="C57" s="64"/>
      <c r="D57" s="164">
        <f>IS!D14</f>
        <v>807.44899999999996</v>
      </c>
      <c r="E57" s="162">
        <f>IS!E14</f>
        <v>765.95399999999995</v>
      </c>
      <c r="F57" s="162">
        <f>IS!F14</f>
        <v>896.26099999999997</v>
      </c>
      <c r="G57" s="162">
        <f>IS!G14</f>
        <v>986.33600000000024</v>
      </c>
      <c r="H57" s="164">
        <f>IS!H14</f>
        <v>553.34</v>
      </c>
      <c r="I57" s="162">
        <f>IS!I14</f>
        <v>526.05899999999997</v>
      </c>
      <c r="J57" s="162">
        <f>IS!J14</f>
        <v>645.26400000000001</v>
      </c>
      <c r="K57" s="162">
        <f>IS!K14</f>
        <v>1131.337</v>
      </c>
      <c r="L57" s="164">
        <f>IS!L14</f>
        <v>886</v>
      </c>
      <c r="M57" s="162">
        <f>IS!M14</f>
        <v>917</v>
      </c>
      <c r="N57" s="162">
        <f>IS!N14</f>
        <v>963</v>
      </c>
      <c r="O57" s="162">
        <f>IS!O14</f>
        <v>985</v>
      </c>
      <c r="P57" s="164">
        <f>IS!P14</f>
        <v>866</v>
      </c>
      <c r="Q57" s="162">
        <f>IS!Q14</f>
        <v>851</v>
      </c>
      <c r="R57" s="162">
        <f>IS!R14</f>
        <v>881</v>
      </c>
      <c r="S57" s="162">
        <f>IS!S14</f>
        <v>890</v>
      </c>
      <c r="T57" s="164">
        <f>IS!T14</f>
        <v>666</v>
      </c>
      <c r="U57" s="162">
        <f>IS!U14</f>
        <v>743</v>
      </c>
      <c r="V57" s="162">
        <f>IS!V14</f>
        <v>811</v>
      </c>
      <c r="W57" s="162">
        <f>IS!W14</f>
        <v>911</v>
      </c>
      <c r="X57" s="164">
        <f>IS!X14</f>
        <v>833</v>
      </c>
      <c r="Y57" s="162">
        <f>IS!Y14</f>
        <v>915</v>
      </c>
      <c r="Z57" s="162">
        <f>IS!Z14</f>
        <v>879</v>
      </c>
      <c r="AA57" s="162">
        <f>IS!AA14</f>
        <v>906</v>
      </c>
      <c r="AB57" s="164">
        <f>IS!AB14</f>
        <v>922</v>
      </c>
      <c r="AC57" s="162">
        <f>IS!AC14</f>
        <v>854</v>
      </c>
      <c r="AD57" s="162">
        <f>IS!AD14</f>
        <v>934</v>
      </c>
      <c r="AE57" s="162">
        <f>IS!AE14</f>
        <v>918</v>
      </c>
      <c r="AF57" s="164">
        <f>IS!AF14</f>
        <v>1558</v>
      </c>
      <c r="AG57" s="162">
        <f>IS!AG14</f>
        <v>775</v>
      </c>
      <c r="AH57" s="162">
        <f>IS!AH14</f>
        <v>877</v>
      </c>
      <c r="AI57" s="163">
        <f>IS!AI14</f>
        <v>977</v>
      </c>
      <c r="AJ57" s="164">
        <f>IS!AJ14</f>
        <v>643</v>
      </c>
      <c r="AK57" s="162">
        <f>IS!AK14</f>
        <v>702</v>
      </c>
      <c r="AL57" s="162">
        <f>IS!AL14</f>
        <v>940</v>
      </c>
      <c r="AM57" s="163">
        <f>IS!AM14</f>
        <v>1036</v>
      </c>
      <c r="AN57" s="164">
        <f>IS!AN14</f>
        <v>910</v>
      </c>
      <c r="AO57" s="162">
        <f>IS!AO14</f>
        <v>943</v>
      </c>
      <c r="AP57" s="162">
        <f>IS!AP14</f>
        <v>935</v>
      </c>
      <c r="AQ57" s="163">
        <f>IS!AQ14</f>
        <v>879</v>
      </c>
      <c r="AR57" s="164">
        <f>IS!AR14</f>
        <v>704</v>
      </c>
      <c r="AS57" s="162">
        <f>IS!AS14</f>
        <v>710</v>
      </c>
      <c r="AT57" s="162">
        <f>IS!AT14</f>
        <v>822</v>
      </c>
      <c r="AU57" s="163">
        <f>IS!AU14</f>
        <v>675</v>
      </c>
      <c r="AV57" s="164">
        <f>IS!AV14</f>
        <v>563</v>
      </c>
      <c r="AW57" s="162">
        <f>IS!AW14</f>
        <v>708</v>
      </c>
      <c r="AX57" s="162">
        <f>IS!AX14</f>
        <v>1248</v>
      </c>
      <c r="AY57" s="163">
        <f>IS!AY14</f>
        <v>755</v>
      </c>
      <c r="AZ57" s="164">
        <f>IS!AZ14</f>
        <v>653</v>
      </c>
      <c r="BA57" s="162">
        <f>IS!BA14</f>
        <v>818</v>
      </c>
      <c r="BB57" s="162">
        <f>IS!BB14</f>
        <v>1070</v>
      </c>
      <c r="BC57" s="163">
        <f>IS!BC14</f>
        <v>965</v>
      </c>
      <c r="BD57" s="164">
        <f>IS!BD14</f>
        <v>1050</v>
      </c>
      <c r="BE57" s="162">
        <f>IS!BE14</f>
        <v>1088.9704664194694</v>
      </c>
      <c r="BF57" s="162">
        <f>IS!BF14</f>
        <v>1090.1256863625924</v>
      </c>
      <c r="BG57" s="1708">
        <f>IS!BG14</f>
        <v>1023.9647306153001</v>
      </c>
      <c r="BH57" s="164">
        <f>IS!BH14</f>
        <v>975.96149813538113</v>
      </c>
      <c r="BI57" s="162">
        <f>IS!BI14</f>
        <v>1013.9879236200752</v>
      </c>
      <c r="BJ57" s="162">
        <f>IS!BJ14</f>
        <v>1064.239776679957</v>
      </c>
      <c r="BK57" s="1708">
        <f>IS!BK14</f>
        <v>1055.7630099990649</v>
      </c>
      <c r="BL57" s="19"/>
      <c r="BM57" s="162">
        <f>IS!BM14</f>
        <v>3456</v>
      </c>
      <c r="BN57" s="162">
        <f>IS!BN14</f>
        <v>2856</v>
      </c>
      <c r="BO57" s="162">
        <f>IS!BO14</f>
        <v>3751</v>
      </c>
      <c r="BP57" s="162">
        <f>IS!BP14</f>
        <v>3488</v>
      </c>
      <c r="BQ57" s="162">
        <f>IS!BQ14</f>
        <v>3131</v>
      </c>
      <c r="BR57" s="162">
        <f>IS!BR14</f>
        <v>3533</v>
      </c>
      <c r="BS57" s="162">
        <f>IS!BS14</f>
        <v>3628</v>
      </c>
      <c r="BT57" s="162">
        <f>IS!BT14</f>
        <v>4187</v>
      </c>
      <c r="BU57" s="162">
        <f>IS!BU14</f>
        <v>3321</v>
      </c>
      <c r="BV57" s="162">
        <f>IS!BV14</f>
        <v>3667</v>
      </c>
      <c r="BW57" s="162">
        <f>IS!BW14</f>
        <v>2911</v>
      </c>
      <c r="BX57" s="162">
        <f>IS!BX14</f>
        <v>3274</v>
      </c>
      <c r="BY57" s="162">
        <f>IS!BY14</f>
        <v>3506</v>
      </c>
      <c r="BZ57" s="162">
        <f>IS!BZ14</f>
        <v>4253.060883397362</v>
      </c>
      <c r="CA57" s="162">
        <f>IS!CA14</f>
        <v>4109.9522084344781</v>
      </c>
      <c r="CB57" s="2117">
        <f>IS!CB14</f>
        <v>4109.952208434479</v>
      </c>
      <c r="CC57" s="20"/>
      <c r="CD57" s="13"/>
    </row>
    <row r="58" spans="1:82" ht="14.25" customHeight="1">
      <c r="A58" s="7"/>
      <c r="B58" s="837"/>
      <c r="C58" s="69"/>
      <c r="D58" s="69"/>
      <c r="E58" s="69"/>
      <c r="F58" s="69"/>
      <c r="G58" s="69"/>
      <c r="H58" s="69"/>
      <c r="I58" s="69"/>
      <c r="J58" s="69"/>
      <c r="K58" s="69"/>
      <c r="L58" s="69"/>
      <c r="M58" s="69"/>
      <c r="N58" s="69"/>
      <c r="O58" s="69"/>
      <c r="P58" s="69"/>
      <c r="Q58" s="69"/>
      <c r="R58" s="69"/>
      <c r="S58" s="69"/>
      <c r="T58" s="69"/>
      <c r="U58" s="69"/>
      <c r="V58" s="69"/>
      <c r="W58" s="69"/>
      <c r="X58" s="69"/>
      <c r="Y58" s="69"/>
      <c r="Z58" s="69"/>
      <c r="AA58" s="69"/>
      <c r="AB58" s="69"/>
      <c r="AC58" s="69"/>
      <c r="AD58" s="69"/>
      <c r="AE58" s="69"/>
      <c r="AF58" s="69"/>
      <c r="AG58" s="69"/>
      <c r="AH58" s="69"/>
      <c r="AI58" s="69"/>
      <c r="AJ58" s="69"/>
      <c r="AK58" s="69"/>
      <c r="AL58" s="69"/>
      <c r="AM58" s="69"/>
      <c r="AN58" s="69"/>
      <c r="AO58" s="69"/>
      <c r="AP58" s="69"/>
      <c r="AQ58" s="69"/>
      <c r="AR58" s="69"/>
      <c r="AS58" s="69"/>
      <c r="AT58" s="69"/>
      <c r="AU58" s="69"/>
      <c r="AV58" s="69"/>
      <c r="AW58" s="69"/>
      <c r="AX58" s="69"/>
      <c r="AY58" s="69"/>
      <c r="AZ58" s="69"/>
      <c r="BA58" s="69"/>
      <c r="BB58" s="69"/>
      <c r="BC58" s="69"/>
      <c r="BD58" s="69"/>
      <c r="BE58" s="69"/>
      <c r="BF58" s="69"/>
      <c r="BG58" s="69"/>
      <c r="BH58" s="69"/>
      <c r="BI58" s="69"/>
      <c r="BJ58" s="69"/>
      <c r="BK58" s="69"/>
      <c r="BL58" s="13"/>
      <c r="BM58" s="69"/>
      <c r="BN58" s="69"/>
      <c r="BO58" s="69"/>
      <c r="BP58" s="69"/>
      <c r="BQ58" s="69"/>
      <c r="BR58" s="69"/>
      <c r="BS58" s="69"/>
      <c r="BT58" s="69"/>
      <c r="BU58" s="69"/>
      <c r="BV58" s="69"/>
      <c r="BW58" s="69"/>
      <c r="BX58" s="69"/>
      <c r="BY58" s="69"/>
      <c r="BZ58" s="69"/>
      <c r="CA58" s="69"/>
      <c r="CB58" s="165"/>
      <c r="CC58" s="7"/>
      <c r="CD58" s="7"/>
    </row>
    <row r="59" spans="1:82" ht="14.25" customHeight="1">
      <c r="A59" s="7"/>
      <c r="B59" s="835"/>
      <c r="C59" s="69"/>
      <c r="D59" s="69"/>
      <c r="E59" s="69"/>
      <c r="F59" s="69"/>
      <c r="G59" s="69"/>
      <c r="H59" s="69"/>
      <c r="I59" s="69"/>
      <c r="J59" s="69"/>
      <c r="K59" s="69"/>
      <c r="L59" s="69"/>
      <c r="M59" s="69"/>
      <c r="N59" s="69"/>
      <c r="O59" s="69"/>
      <c r="P59" s="69"/>
      <c r="Q59" s="69"/>
      <c r="R59" s="69"/>
      <c r="S59" s="69"/>
      <c r="T59" s="69"/>
      <c r="U59" s="69"/>
      <c r="V59" s="69"/>
      <c r="W59" s="69"/>
      <c r="X59" s="69"/>
      <c r="Y59" s="69"/>
      <c r="Z59" s="69"/>
      <c r="AA59" s="69"/>
      <c r="AB59" s="69"/>
      <c r="AC59" s="69"/>
      <c r="AD59" s="69"/>
      <c r="AE59" s="69"/>
      <c r="AF59" s="69"/>
      <c r="AG59" s="69"/>
      <c r="AH59" s="69"/>
      <c r="AI59" s="71"/>
      <c r="AJ59" s="69"/>
      <c r="AK59" s="69"/>
      <c r="AL59" s="69"/>
      <c r="AM59" s="71"/>
      <c r="AN59" s="69"/>
      <c r="AO59" s="69"/>
      <c r="AP59" s="69"/>
      <c r="AQ59" s="71"/>
      <c r="AR59" s="69"/>
      <c r="AS59" s="69"/>
      <c r="AT59" s="69"/>
      <c r="AU59" s="71"/>
      <c r="AV59" s="69"/>
      <c r="AW59" s="69"/>
      <c r="AX59" s="69"/>
      <c r="AY59" s="71"/>
      <c r="AZ59" s="69"/>
      <c r="BA59" s="69"/>
      <c r="BB59" s="71"/>
      <c r="BC59" s="71"/>
      <c r="BD59" s="69"/>
      <c r="BE59" s="69"/>
      <c r="BF59" s="71"/>
      <c r="BG59" s="71"/>
      <c r="BH59" s="69"/>
      <c r="BI59" s="69"/>
      <c r="BJ59" s="71"/>
      <c r="BK59" s="71"/>
      <c r="BL59" s="13"/>
      <c r="BM59" s="69"/>
      <c r="BN59" s="69"/>
      <c r="BO59" s="69"/>
      <c r="BP59" s="69"/>
      <c r="BQ59" s="69"/>
      <c r="BR59" s="69"/>
      <c r="BS59" s="69"/>
      <c r="BT59" s="69"/>
      <c r="BU59" s="69"/>
      <c r="BV59" s="69"/>
      <c r="BW59" s="69"/>
      <c r="BX59" s="69"/>
      <c r="BY59" s="69"/>
      <c r="BZ59" s="69"/>
      <c r="CA59" s="69"/>
      <c r="CB59" s="478"/>
      <c r="CC59" s="7"/>
      <c r="CD59" s="7"/>
    </row>
    <row r="60" spans="1:82" ht="14.25" customHeight="1">
      <c r="A60" s="7"/>
      <c r="B60" s="836" t="s">
        <v>111</v>
      </c>
      <c r="C60" s="155"/>
      <c r="D60" s="16" t="str">
        <f t="shared" ref="D60:AA60" si="207">D49</f>
        <v>F1Q05A</v>
      </c>
      <c r="E60" s="17" t="str">
        <f t="shared" si="207"/>
        <v>F2Q05A</v>
      </c>
      <c r="F60" s="17" t="str">
        <f t="shared" si="207"/>
        <v>F3Q05A</v>
      </c>
      <c r="G60" s="18" t="str">
        <f t="shared" si="207"/>
        <v>F4Q05A</v>
      </c>
      <c r="H60" s="16" t="str">
        <f t="shared" si="207"/>
        <v>F1Q06A</v>
      </c>
      <c r="I60" s="17" t="str">
        <f t="shared" si="207"/>
        <v>F2Q06A</v>
      </c>
      <c r="J60" s="17" t="str">
        <f t="shared" si="207"/>
        <v>F3Q06A</v>
      </c>
      <c r="K60" s="18" t="str">
        <f t="shared" si="207"/>
        <v>F4Q06A</v>
      </c>
      <c r="L60" s="16" t="str">
        <f t="shared" si="207"/>
        <v>F1Q07A</v>
      </c>
      <c r="M60" s="17" t="str">
        <f t="shared" si="207"/>
        <v>F2Q07A</v>
      </c>
      <c r="N60" s="17" t="str">
        <f t="shared" si="207"/>
        <v>F3Q07A</v>
      </c>
      <c r="O60" s="18" t="str">
        <f t="shared" si="207"/>
        <v>F4Q07A</v>
      </c>
      <c r="P60" s="16" t="str">
        <f t="shared" si="207"/>
        <v>F1Q08A</v>
      </c>
      <c r="Q60" s="17" t="str">
        <f t="shared" si="207"/>
        <v>F2Q08A</v>
      </c>
      <c r="R60" s="17" t="str">
        <f t="shared" si="207"/>
        <v>F3Q08A</v>
      </c>
      <c r="S60" s="18" t="str">
        <f t="shared" si="207"/>
        <v>F4Q08A</v>
      </c>
      <c r="T60" s="16" t="str">
        <f t="shared" si="207"/>
        <v>F1Q09A</v>
      </c>
      <c r="U60" s="17" t="str">
        <f t="shared" si="207"/>
        <v>F2Q09A</v>
      </c>
      <c r="V60" s="17" t="str">
        <f t="shared" si="207"/>
        <v>F3Q09A</v>
      </c>
      <c r="W60" s="18" t="str">
        <f t="shared" si="207"/>
        <v>F4Q09A</v>
      </c>
      <c r="X60" s="16" t="str">
        <f t="shared" si="207"/>
        <v>F1Q10A</v>
      </c>
      <c r="Y60" s="17" t="str">
        <f t="shared" si="207"/>
        <v>F2Q10A</v>
      </c>
      <c r="Z60" s="17" t="str">
        <f t="shared" si="207"/>
        <v>F3Q10A</v>
      </c>
      <c r="AA60" s="18" t="str">
        <f t="shared" si="207"/>
        <v>F4Q10A</v>
      </c>
      <c r="AB60" s="17" t="str">
        <f>AB49</f>
        <v>F1Q11A</v>
      </c>
      <c r="AC60" s="17" t="str">
        <f t="shared" ref="AC60:AJ60" si="208">AC49</f>
        <v>F2Q11A</v>
      </c>
      <c r="AD60" s="17" t="str">
        <f t="shared" si="208"/>
        <v>F3Q11A</v>
      </c>
      <c r="AE60" s="18" t="str">
        <f t="shared" si="208"/>
        <v>F4Q11A</v>
      </c>
      <c r="AF60" s="17" t="str">
        <f>AF49</f>
        <v>F1Q12A</v>
      </c>
      <c r="AG60" s="17" t="str">
        <f t="shared" si="208"/>
        <v>F2Q12A</v>
      </c>
      <c r="AH60" s="17" t="str">
        <f t="shared" si="208"/>
        <v>F3Q12A</v>
      </c>
      <c r="AI60" s="18" t="str">
        <f t="shared" si="208"/>
        <v>F4Q12A</v>
      </c>
      <c r="AJ60" s="16" t="str">
        <f t="shared" si="208"/>
        <v>F1Q13A</v>
      </c>
      <c r="AK60" s="17" t="str">
        <f t="shared" ref="AK60:AU60" si="209">AK49</f>
        <v>F2Q13A</v>
      </c>
      <c r="AL60" s="17" t="str">
        <f t="shared" si="209"/>
        <v>F3Q13A</v>
      </c>
      <c r="AM60" s="18" t="str">
        <f t="shared" si="209"/>
        <v>F4Q13A</v>
      </c>
      <c r="AN60" s="16" t="str">
        <f t="shared" si="209"/>
        <v>F1Q14A</v>
      </c>
      <c r="AO60" s="17" t="str">
        <f>AO49</f>
        <v>F2Q14A</v>
      </c>
      <c r="AP60" s="17" t="str">
        <f t="shared" si="209"/>
        <v>F3Q14A</v>
      </c>
      <c r="AQ60" s="18" t="str">
        <f t="shared" si="209"/>
        <v>F4Q14A</v>
      </c>
      <c r="AR60" s="16" t="str">
        <f t="shared" si="209"/>
        <v>F1Q15A</v>
      </c>
      <c r="AS60" s="17" t="str">
        <f t="shared" si="209"/>
        <v>F2Q15A</v>
      </c>
      <c r="AT60" s="17" t="str">
        <f t="shared" si="209"/>
        <v>F3Q15A</v>
      </c>
      <c r="AU60" s="18" t="str">
        <f t="shared" si="209"/>
        <v>F4Q15A</v>
      </c>
      <c r="AV60" s="16" t="str">
        <f t="shared" ref="AV60:AY60" si="210">AV49</f>
        <v>F1Q16A</v>
      </c>
      <c r="AW60" s="17" t="str">
        <f t="shared" si="210"/>
        <v>C2Q16A</v>
      </c>
      <c r="AX60" s="17" t="str">
        <f t="shared" si="210"/>
        <v>F3Q16A</v>
      </c>
      <c r="AY60" s="18" t="str">
        <f t="shared" si="210"/>
        <v>F4Q16A</v>
      </c>
      <c r="AZ60" s="17" t="str">
        <f t="shared" ref="AZ60:BC60" si="211">AZ49</f>
        <v>F1Q17A</v>
      </c>
      <c r="BA60" s="1694" t="str">
        <f t="shared" si="211"/>
        <v>C2Q17A</v>
      </c>
      <c r="BB60" s="17" t="str">
        <f t="shared" si="211"/>
        <v>C3Q17A</v>
      </c>
      <c r="BC60" s="18" t="str">
        <f t="shared" si="211"/>
        <v>F4Q17A</v>
      </c>
      <c r="BD60" s="17" t="str">
        <f t="shared" ref="BD60:BG60" si="212">BD49</f>
        <v>F1Q18A</v>
      </c>
      <c r="BE60" s="17" t="str">
        <f t="shared" si="212"/>
        <v>F2Q18E</v>
      </c>
      <c r="BF60" s="17" t="str">
        <f t="shared" si="212"/>
        <v>F3Q18E</v>
      </c>
      <c r="BG60" s="18" t="str">
        <f t="shared" si="212"/>
        <v>F4Q18E</v>
      </c>
      <c r="BH60" s="1848" t="str">
        <f t="shared" ref="BH60:BK60" si="213">BH49</f>
        <v>F1Q19E</v>
      </c>
      <c r="BI60" s="1848" t="str">
        <f t="shared" si="213"/>
        <v>F2Q19E</v>
      </c>
      <c r="BJ60" s="1848" t="str">
        <f t="shared" si="213"/>
        <v>F3Q19E</v>
      </c>
      <c r="BK60" s="1849" t="str">
        <f t="shared" si="213"/>
        <v>F4Q19E</v>
      </c>
      <c r="BL60" s="19"/>
      <c r="BM60" s="16" t="str">
        <f t="shared" ref="BM60:BS60" si="214">BM49</f>
        <v>FY2005A</v>
      </c>
      <c r="BN60" s="17" t="str">
        <f t="shared" si="214"/>
        <v>FY2006A</v>
      </c>
      <c r="BO60" s="17" t="str">
        <f t="shared" si="214"/>
        <v>FY2007A</v>
      </c>
      <c r="BP60" s="17" t="str">
        <f t="shared" si="214"/>
        <v>FY2008A</v>
      </c>
      <c r="BQ60" s="17" t="str">
        <f t="shared" si="214"/>
        <v>FY2009A</v>
      </c>
      <c r="BR60" s="17" t="str">
        <f t="shared" si="214"/>
        <v>FY2010A</v>
      </c>
      <c r="BS60" s="17" t="str">
        <f t="shared" si="214"/>
        <v>FY2011A</v>
      </c>
      <c r="BT60" s="1848" t="str">
        <f t="shared" ref="BT60:BY60" si="215">BT49</f>
        <v>FY2012A</v>
      </c>
      <c r="BU60" s="1848" t="str">
        <f t="shared" si="215"/>
        <v>FY2013A</v>
      </c>
      <c r="BV60" s="1848" t="str">
        <f>BV49</f>
        <v>FY2014A</v>
      </c>
      <c r="BW60" s="1848" t="str">
        <f t="shared" si="215"/>
        <v>FY2015A</v>
      </c>
      <c r="BX60" s="1848" t="str">
        <f t="shared" si="215"/>
        <v>FY2016A</v>
      </c>
      <c r="BY60" s="1848" t="str">
        <f t="shared" si="215"/>
        <v>FY2017A</v>
      </c>
      <c r="BZ60" s="1848" t="str">
        <f t="shared" ref="BZ60:CB60" si="216">BZ49</f>
        <v>FY2018E</v>
      </c>
      <c r="CA60" s="1848" t="str">
        <f t="shared" si="216"/>
        <v>FY2019E</v>
      </c>
      <c r="CB60" s="1849" t="str">
        <f t="shared" si="216"/>
        <v>FY2020E</v>
      </c>
      <c r="CC60" s="20"/>
      <c r="CD60" s="13"/>
    </row>
    <row r="61" spans="1:82" ht="14.25" customHeight="1">
      <c r="A61" s="7"/>
      <c r="B61" s="838" t="s">
        <v>112</v>
      </c>
      <c r="C61" s="166"/>
      <c r="D61" s="74">
        <v>0</v>
      </c>
      <c r="E61" s="75">
        <v>0</v>
      </c>
      <c r="F61" s="75">
        <v>0</v>
      </c>
      <c r="G61" s="76">
        <v>0</v>
      </c>
      <c r="H61" s="74">
        <v>0</v>
      </c>
      <c r="I61" s="75">
        <v>0</v>
      </c>
      <c r="J61" s="75">
        <v>0</v>
      </c>
      <c r="K61" s="76">
        <v>0</v>
      </c>
      <c r="L61" s="74">
        <v>0</v>
      </c>
      <c r="M61" s="75">
        <v>0</v>
      </c>
      <c r="N61" s="75">
        <v>0</v>
      </c>
      <c r="O61" s="76">
        <v>0</v>
      </c>
      <c r="P61" s="74">
        <v>0</v>
      </c>
      <c r="Q61" s="75">
        <v>0</v>
      </c>
      <c r="R61" s="75">
        <v>0</v>
      </c>
      <c r="S61" s="76">
        <v>0</v>
      </c>
      <c r="T61" s="74">
        <v>0</v>
      </c>
      <c r="U61" s="75">
        <v>0</v>
      </c>
      <c r="V61" s="75">
        <v>0</v>
      </c>
      <c r="W61" s="76">
        <v>0</v>
      </c>
      <c r="X61" s="75">
        <v>0</v>
      </c>
      <c r="Y61" s="75">
        <v>0</v>
      </c>
      <c r="Z61" s="75">
        <v>0</v>
      </c>
      <c r="AA61" s="76">
        <v>0</v>
      </c>
      <c r="AB61" s="82">
        <v>0</v>
      </c>
      <c r="AC61" s="75">
        <v>0</v>
      </c>
      <c r="AD61" s="75">
        <v>0</v>
      </c>
      <c r="AE61" s="76">
        <v>0</v>
      </c>
      <c r="AF61" s="82">
        <v>0</v>
      </c>
      <c r="AG61" s="82">
        <v>0</v>
      </c>
      <c r="AH61" s="82">
        <v>0</v>
      </c>
      <c r="AI61" s="76">
        <v>0</v>
      </c>
      <c r="AJ61" s="82">
        <v>0</v>
      </c>
      <c r="AK61" s="82">
        <v>0</v>
      </c>
      <c r="AL61" s="82">
        <v>0</v>
      </c>
      <c r="AM61" s="76">
        <v>0</v>
      </c>
      <c r="AN61" s="82">
        <v>0</v>
      </c>
      <c r="AO61" s="82">
        <v>0</v>
      </c>
      <c r="AP61" s="82">
        <v>0</v>
      </c>
      <c r="AQ61" s="76">
        <v>0</v>
      </c>
      <c r="AR61" s="82">
        <v>0</v>
      </c>
      <c r="AS61" s="82">
        <v>0</v>
      </c>
      <c r="AT61" s="82">
        <v>0</v>
      </c>
      <c r="AU61" s="76">
        <v>0</v>
      </c>
      <c r="AV61" s="82">
        <v>0</v>
      </c>
      <c r="AW61" s="82">
        <v>0</v>
      </c>
      <c r="AX61" s="82">
        <v>0</v>
      </c>
      <c r="AY61" s="76">
        <v>0</v>
      </c>
      <c r="AZ61" s="82">
        <v>0</v>
      </c>
      <c r="BA61" s="82">
        <v>0</v>
      </c>
      <c r="BB61" s="82">
        <f t="shared" ref="BB61" si="217">BA61</f>
        <v>0</v>
      </c>
      <c r="BC61" s="76">
        <v>0</v>
      </c>
      <c r="BD61" s="82">
        <v>0</v>
      </c>
      <c r="BE61" s="82">
        <f t="shared" ref="BE61" si="218">BD61</f>
        <v>0</v>
      </c>
      <c r="BF61" s="156">
        <f t="shared" ref="BF61" si="219">BE61</f>
        <v>0</v>
      </c>
      <c r="BG61" s="167">
        <f t="shared" ref="BG61" si="220">BF61</f>
        <v>0</v>
      </c>
      <c r="BH61" s="82">
        <f t="shared" ref="BH61" si="221">BG61</f>
        <v>0</v>
      </c>
      <c r="BI61" s="82">
        <f t="shared" ref="BI61" si="222">BH61</f>
        <v>0</v>
      </c>
      <c r="BJ61" s="156">
        <f t="shared" ref="BJ61" si="223">BI61</f>
        <v>0</v>
      </c>
      <c r="BK61" s="167">
        <f t="shared" ref="BK61" si="224">BJ61</f>
        <v>0</v>
      </c>
      <c r="BL61" s="19"/>
      <c r="BM61" s="156">
        <f>G61</f>
        <v>0</v>
      </c>
      <c r="BN61" s="156">
        <f>K61</f>
        <v>0</v>
      </c>
      <c r="BO61" s="156">
        <f>O61</f>
        <v>0</v>
      </c>
      <c r="BP61" s="156">
        <f>S61</f>
        <v>0</v>
      </c>
      <c r="BQ61" s="156">
        <f>W61</f>
        <v>0</v>
      </c>
      <c r="BR61" s="79">
        <f>AA61</f>
        <v>0</v>
      </c>
      <c r="BS61" s="79">
        <f>AE61</f>
        <v>0</v>
      </c>
      <c r="BT61" s="79">
        <f>AI61</f>
        <v>0</v>
      </c>
      <c r="BU61" s="79">
        <f>AM61</f>
        <v>0</v>
      </c>
      <c r="BV61" s="79">
        <f>AQ61</f>
        <v>0</v>
      </c>
      <c r="BW61" s="79">
        <f>AU61</f>
        <v>0</v>
      </c>
      <c r="BX61" s="79">
        <f>AY61</f>
        <v>0</v>
      </c>
      <c r="BY61" s="79">
        <f>BC61</f>
        <v>0</v>
      </c>
      <c r="BZ61" s="79">
        <f>BG61</f>
        <v>0</v>
      </c>
      <c r="CA61" s="79">
        <f>BK61</f>
        <v>0</v>
      </c>
      <c r="CB61" s="2090">
        <f>CA61</f>
        <v>0</v>
      </c>
      <c r="CC61" s="20"/>
      <c r="CD61" s="13"/>
    </row>
    <row r="62" spans="1:82" ht="14.25" customHeight="1">
      <c r="A62" s="7"/>
      <c r="B62" s="839" t="s">
        <v>113</v>
      </c>
      <c r="C62" s="102"/>
      <c r="D62" s="81">
        <v>3.9470000000000001</v>
      </c>
      <c r="E62" s="82">
        <v>3.9630000000000001</v>
      </c>
      <c r="F62" s="82">
        <v>4.0199999999999996</v>
      </c>
      <c r="G62" s="83">
        <v>4.3550000000000004</v>
      </c>
      <c r="H62" s="81">
        <v>4.8319999999999999</v>
      </c>
      <c r="I62" s="82">
        <v>4.8559999999999999</v>
      </c>
      <c r="J62" s="82">
        <v>4.8710000000000004</v>
      </c>
      <c r="K62" s="83">
        <v>5</v>
      </c>
      <c r="L62" s="81">
        <v>6</v>
      </c>
      <c r="M62" s="82">
        <v>6</v>
      </c>
      <c r="N62" s="82">
        <v>6</v>
      </c>
      <c r="O62" s="83">
        <v>6</v>
      </c>
      <c r="P62" s="81">
        <v>6</v>
      </c>
      <c r="Q62" s="82">
        <v>6</v>
      </c>
      <c r="R62" s="82">
        <v>6</v>
      </c>
      <c r="S62" s="83">
        <v>6</v>
      </c>
      <c r="T62" s="81">
        <v>7</v>
      </c>
      <c r="U62" s="82">
        <v>7</v>
      </c>
      <c r="V62" s="82">
        <v>7</v>
      </c>
      <c r="W62" s="83">
        <v>7</v>
      </c>
      <c r="X62" s="82">
        <v>7</v>
      </c>
      <c r="Y62" s="82">
        <v>7</v>
      </c>
      <c r="Z62" s="82">
        <v>7</v>
      </c>
      <c r="AA62" s="83">
        <v>7</v>
      </c>
      <c r="AB62" s="82">
        <v>7</v>
      </c>
      <c r="AC62" s="82">
        <v>7</v>
      </c>
      <c r="AD62" s="82">
        <v>7</v>
      </c>
      <c r="AE62" s="83">
        <v>7</v>
      </c>
      <c r="AF62" s="82">
        <v>7</v>
      </c>
      <c r="AG62" s="82">
        <v>7</v>
      </c>
      <c r="AH62" s="82">
        <v>7</v>
      </c>
      <c r="AI62" s="83">
        <v>7</v>
      </c>
      <c r="AJ62" s="82">
        <v>7</v>
      </c>
      <c r="AK62" s="82">
        <v>7</v>
      </c>
      <c r="AL62" s="82">
        <v>7</v>
      </c>
      <c r="AM62" s="83">
        <v>7</v>
      </c>
      <c r="AN62" s="82">
        <v>8</v>
      </c>
      <c r="AO62" s="82">
        <v>8</v>
      </c>
      <c r="AP62" s="82">
        <v>8</v>
      </c>
      <c r="AQ62" s="83">
        <v>8</v>
      </c>
      <c r="AR62" s="82">
        <v>8</v>
      </c>
      <c r="AS62" s="82">
        <v>8</v>
      </c>
      <c r="AT62" s="82">
        <v>8</v>
      </c>
      <c r="AU62" s="83">
        <v>8</v>
      </c>
      <c r="AV62" s="82">
        <v>8</v>
      </c>
      <c r="AW62" s="82">
        <v>8</v>
      </c>
      <c r="AX62" s="82">
        <v>9</v>
      </c>
      <c r="AY62" s="83">
        <v>9</v>
      </c>
      <c r="AZ62" s="82">
        <v>9</v>
      </c>
      <c r="BA62" s="82">
        <v>9</v>
      </c>
      <c r="BB62" s="82">
        <v>10</v>
      </c>
      <c r="BC62" s="83">
        <v>9</v>
      </c>
      <c r="BD62" s="82">
        <v>10</v>
      </c>
      <c r="BE62" s="1121">
        <f>BD62+CFS!BE49+CFS!BE51</f>
        <v>10</v>
      </c>
      <c r="BF62" s="79">
        <f>BE62+CFS!BF49+CFS!BF51</f>
        <v>10</v>
      </c>
      <c r="BG62" s="80">
        <f>BF62+CFS!BG49+CFS!BG51</f>
        <v>10</v>
      </c>
      <c r="BH62" s="1121">
        <f>BG62+CFS!BH49+CFS!BH51</f>
        <v>10</v>
      </c>
      <c r="BI62" s="1121">
        <f>BH62+CFS!BI49+CFS!BI51</f>
        <v>10</v>
      </c>
      <c r="BJ62" s="79">
        <f>BI62+CFS!BJ49+CFS!BJ51</f>
        <v>10</v>
      </c>
      <c r="BK62" s="80">
        <f>BJ62+CFS!BK49+CFS!BK51</f>
        <v>10</v>
      </c>
      <c r="BL62" s="19"/>
      <c r="BM62" s="79">
        <f>G62</f>
        <v>4.3550000000000004</v>
      </c>
      <c r="BN62" s="79">
        <f>K62</f>
        <v>5</v>
      </c>
      <c r="BO62" s="79">
        <f>O62</f>
        <v>6</v>
      </c>
      <c r="BP62" s="79">
        <f>S62</f>
        <v>6</v>
      </c>
      <c r="BQ62" s="79">
        <f>W62</f>
        <v>7</v>
      </c>
      <c r="BR62" s="79">
        <f>AA62</f>
        <v>7</v>
      </c>
      <c r="BS62" s="79">
        <f>AE62</f>
        <v>7</v>
      </c>
      <c r="BT62" s="79">
        <f>AI62</f>
        <v>7</v>
      </c>
      <c r="BU62" s="79">
        <f>AM62</f>
        <v>7</v>
      </c>
      <c r="BV62" s="79">
        <f>AQ62</f>
        <v>8</v>
      </c>
      <c r="BW62" s="79">
        <f>AU62</f>
        <v>8</v>
      </c>
      <c r="BX62" s="79">
        <f>+AY62</f>
        <v>9</v>
      </c>
      <c r="BY62" s="2222">
        <f>+BC62</f>
        <v>9</v>
      </c>
      <c r="BZ62" s="79">
        <f>+BG62</f>
        <v>10</v>
      </c>
      <c r="CA62" s="79">
        <f t="shared" ref="CA62:CA64" si="225">BK62</f>
        <v>10</v>
      </c>
      <c r="CB62" s="2090">
        <f>CA62+CFS!CB49+CFS!CB51</f>
        <v>10</v>
      </c>
      <c r="CC62" s="20"/>
      <c r="CD62" s="13"/>
    </row>
    <row r="63" spans="1:82" ht="14.25" customHeight="1">
      <c r="A63" s="7"/>
      <c r="B63" s="839" t="s">
        <v>375</v>
      </c>
      <c r="C63" s="102"/>
      <c r="D63" s="81">
        <v>0</v>
      </c>
      <c r="E63" s="82">
        <v>0</v>
      </c>
      <c r="F63" s="82">
        <v>0</v>
      </c>
      <c r="G63" s="83">
        <v>0</v>
      </c>
      <c r="H63" s="81">
        <v>0</v>
      </c>
      <c r="I63" s="82">
        <v>0</v>
      </c>
      <c r="J63" s="82">
        <v>0</v>
      </c>
      <c r="K63" s="83">
        <v>0</v>
      </c>
      <c r="L63" s="81">
        <v>0</v>
      </c>
      <c r="M63" s="82">
        <v>0</v>
      </c>
      <c r="N63" s="82">
        <v>0</v>
      </c>
      <c r="O63" s="83">
        <v>0</v>
      </c>
      <c r="P63" s="81">
        <v>0</v>
      </c>
      <c r="Q63" s="82">
        <v>0</v>
      </c>
      <c r="R63" s="82">
        <v>0</v>
      </c>
      <c r="S63" s="83">
        <v>0</v>
      </c>
      <c r="T63" s="81">
        <v>0</v>
      </c>
      <c r="U63" s="82">
        <v>0</v>
      </c>
      <c r="V63" s="82">
        <v>0</v>
      </c>
      <c r="W63" s="83">
        <v>0</v>
      </c>
      <c r="X63" s="82">
        <v>0</v>
      </c>
      <c r="Y63" s="82">
        <v>0</v>
      </c>
      <c r="Z63" s="82">
        <v>0</v>
      </c>
      <c r="AA63" s="83">
        <v>0</v>
      </c>
      <c r="AB63" s="82">
        <v>0</v>
      </c>
      <c r="AC63" s="82">
        <v>0</v>
      </c>
      <c r="AD63" s="82">
        <v>0</v>
      </c>
      <c r="AE63" s="83">
        <v>0</v>
      </c>
      <c r="AF63" s="82">
        <v>0</v>
      </c>
      <c r="AG63" s="82">
        <v>0</v>
      </c>
      <c r="AH63" s="82">
        <v>0</v>
      </c>
      <c r="AI63" s="83">
        <v>0</v>
      </c>
      <c r="AJ63" s="82">
        <v>0</v>
      </c>
      <c r="AK63" s="82">
        <v>0</v>
      </c>
      <c r="AL63" s="82">
        <v>0</v>
      </c>
      <c r="AM63" s="83">
        <v>0</v>
      </c>
      <c r="AN63" s="82">
        <v>0</v>
      </c>
      <c r="AO63" s="82">
        <v>0</v>
      </c>
      <c r="AP63" s="82">
        <v>0</v>
      </c>
      <c r="AQ63" s="83">
        <v>0</v>
      </c>
      <c r="AR63" s="82">
        <v>0</v>
      </c>
      <c r="AS63" s="82">
        <v>0</v>
      </c>
      <c r="AT63" s="82">
        <v>0</v>
      </c>
      <c r="AU63" s="83">
        <v>0</v>
      </c>
      <c r="AV63" s="82">
        <v>0</v>
      </c>
      <c r="AW63" s="82">
        <v>0</v>
      </c>
      <c r="AX63" s="82">
        <v>0</v>
      </c>
      <c r="AY63" s="83">
        <v>0</v>
      </c>
      <c r="AZ63" s="82">
        <v>0</v>
      </c>
      <c r="BA63" s="82">
        <v>0</v>
      </c>
      <c r="BB63" s="82">
        <v>0</v>
      </c>
      <c r="BC63" s="83">
        <v>0</v>
      </c>
      <c r="BD63" s="82">
        <v>0</v>
      </c>
      <c r="BE63" s="1121">
        <v>0</v>
      </c>
      <c r="BF63" s="79">
        <v>0</v>
      </c>
      <c r="BG63" s="80">
        <v>0</v>
      </c>
      <c r="BH63" s="1121">
        <v>0</v>
      </c>
      <c r="BI63" s="1121">
        <v>0</v>
      </c>
      <c r="BJ63" s="79">
        <v>0</v>
      </c>
      <c r="BK63" s="80">
        <v>0</v>
      </c>
      <c r="BL63" s="19"/>
      <c r="BM63" s="79">
        <f>G63</f>
        <v>0</v>
      </c>
      <c r="BN63" s="79">
        <f>K63</f>
        <v>0</v>
      </c>
      <c r="BO63" s="79">
        <f>O63</f>
        <v>0</v>
      </c>
      <c r="BP63" s="79">
        <f>S63</f>
        <v>0</v>
      </c>
      <c r="BQ63" s="79">
        <f>W63</f>
        <v>0</v>
      </c>
      <c r="BR63" s="79">
        <f>AA63</f>
        <v>0</v>
      </c>
      <c r="BS63" s="79">
        <f>AE63</f>
        <v>0</v>
      </c>
      <c r="BT63" s="79">
        <f>AI63</f>
        <v>0</v>
      </c>
      <c r="BU63" s="79">
        <f>AM63</f>
        <v>0</v>
      </c>
      <c r="BV63" s="79">
        <f>AQ63</f>
        <v>0</v>
      </c>
      <c r="BW63" s="79">
        <f>AU63</f>
        <v>0</v>
      </c>
      <c r="BX63" s="79">
        <f>AY63</f>
        <v>0</v>
      </c>
      <c r="BY63" s="2222">
        <f t="shared" ref="BY63:BY64" si="226">BC63</f>
        <v>0</v>
      </c>
      <c r="BZ63" s="79">
        <f>BG63</f>
        <v>0</v>
      </c>
      <c r="CA63" s="79">
        <f t="shared" si="225"/>
        <v>0</v>
      </c>
      <c r="CB63" s="2090">
        <f>CA63</f>
        <v>0</v>
      </c>
      <c r="CC63" s="20"/>
      <c r="CD63" s="13"/>
    </row>
    <row r="64" spans="1:82" ht="14.25" customHeight="1">
      <c r="A64" s="7"/>
      <c r="B64" s="839" t="s">
        <v>114</v>
      </c>
      <c r="C64" s="102"/>
      <c r="D64" s="81">
        <v>2443.1610000000001</v>
      </c>
      <c r="E64" s="82">
        <v>2460.5149999999999</v>
      </c>
      <c r="F64" s="82">
        <v>2528.2190000000001</v>
      </c>
      <c r="G64" s="83">
        <v>2800.306</v>
      </c>
      <c r="H64" s="81">
        <v>3959.3780000000002</v>
      </c>
      <c r="I64" s="82">
        <v>4011.482</v>
      </c>
      <c r="J64" s="82">
        <v>4051.2910000000002</v>
      </c>
      <c r="K64" s="83">
        <v>5409</v>
      </c>
      <c r="L64" s="81">
        <v>5465</v>
      </c>
      <c r="M64" s="82">
        <v>5331</v>
      </c>
      <c r="N64" s="82">
        <v>5375</v>
      </c>
      <c r="O64" s="83">
        <v>6016</v>
      </c>
      <c r="P64" s="81">
        <v>6037</v>
      </c>
      <c r="Q64" s="82">
        <v>6058</v>
      </c>
      <c r="R64" s="82">
        <v>6078</v>
      </c>
      <c r="S64" s="83">
        <v>6361</v>
      </c>
      <c r="T64" s="81">
        <v>6477</v>
      </c>
      <c r="U64" s="82">
        <v>6495</v>
      </c>
      <c r="V64" s="82">
        <v>6510</v>
      </c>
      <c r="W64" s="83">
        <v>6524</v>
      </c>
      <c r="X64" s="82">
        <v>6548</v>
      </c>
      <c r="Y64" s="82">
        <v>6562</v>
      </c>
      <c r="Z64" s="82">
        <v>6540</v>
      </c>
      <c r="AA64" s="83">
        <v>6575</v>
      </c>
      <c r="AB64" s="82">
        <v>6611</v>
      </c>
      <c r="AC64" s="82">
        <v>6637</v>
      </c>
      <c r="AD64" s="82">
        <v>6652</v>
      </c>
      <c r="AE64" s="83">
        <v>6672</v>
      </c>
      <c r="AF64" s="82">
        <v>6722</v>
      </c>
      <c r="AG64" s="82">
        <v>6752</v>
      </c>
      <c r="AH64" s="82">
        <v>6780</v>
      </c>
      <c r="AI64" s="83">
        <v>6803</v>
      </c>
      <c r="AJ64" s="82">
        <v>6827</v>
      </c>
      <c r="AK64" s="82">
        <v>6848</v>
      </c>
      <c r="AL64" s="82">
        <v>6872</v>
      </c>
      <c r="AM64" s="83">
        <v>6894</v>
      </c>
      <c r="AN64" s="82">
        <v>6883</v>
      </c>
      <c r="AO64" s="82">
        <v>6905</v>
      </c>
      <c r="AP64" s="82">
        <v>6928</v>
      </c>
      <c r="AQ64" s="83">
        <v>6949</v>
      </c>
      <c r="AR64" s="82">
        <v>6967</v>
      </c>
      <c r="AS64" s="82">
        <v>6984</v>
      </c>
      <c r="AT64" s="82">
        <v>6997</v>
      </c>
      <c r="AU64" s="83">
        <v>7017</v>
      </c>
      <c r="AV64" s="82">
        <v>7033</v>
      </c>
      <c r="AW64" s="82">
        <v>7053</v>
      </c>
      <c r="AX64" s="82">
        <v>8258</v>
      </c>
      <c r="AY64" s="83">
        <v>8334</v>
      </c>
      <c r="AZ64" s="82">
        <v>8379</v>
      </c>
      <c r="BA64" s="82">
        <v>8405</v>
      </c>
      <c r="BB64" s="82">
        <v>8437</v>
      </c>
      <c r="BC64" s="83">
        <v>8464</v>
      </c>
      <c r="BD64" s="82">
        <v>8502</v>
      </c>
      <c r="BE64" s="1121">
        <f>BD64+CFS!BE11</f>
        <v>8523</v>
      </c>
      <c r="BF64" s="79">
        <f>BE64+CFS!BF11</f>
        <v>8544</v>
      </c>
      <c r="BG64" s="80">
        <f>BF64+CFS!BG11</f>
        <v>8565</v>
      </c>
      <c r="BH64" s="1121">
        <f>BG64+CFS!BH11</f>
        <v>8586</v>
      </c>
      <c r="BI64" s="1121">
        <f>BH64+CFS!BI11</f>
        <v>8607</v>
      </c>
      <c r="BJ64" s="79">
        <f>BI64+CFS!BJ11</f>
        <v>8628</v>
      </c>
      <c r="BK64" s="80">
        <f>BJ64+CFS!BK11</f>
        <v>8649</v>
      </c>
      <c r="BL64" s="19"/>
      <c r="BM64" s="79">
        <f>G64</f>
        <v>2800.306</v>
      </c>
      <c r="BN64" s="79">
        <f>K64</f>
        <v>5409</v>
      </c>
      <c r="BO64" s="79">
        <f>O64</f>
        <v>6016</v>
      </c>
      <c r="BP64" s="79">
        <f>S64</f>
        <v>6361</v>
      </c>
      <c r="BQ64" s="79">
        <f>W64</f>
        <v>6524</v>
      </c>
      <c r="BR64" s="79">
        <f>AA64</f>
        <v>6575</v>
      </c>
      <c r="BS64" s="79">
        <f>AE64</f>
        <v>6672</v>
      </c>
      <c r="BT64" s="79">
        <f>AI64</f>
        <v>6803</v>
      </c>
      <c r="BU64" s="79">
        <f>AM64</f>
        <v>6894</v>
      </c>
      <c r="BV64" s="79">
        <f>AQ64</f>
        <v>6949</v>
      </c>
      <c r="BW64" s="79">
        <f>AU64</f>
        <v>7017</v>
      </c>
      <c r="BX64" s="79">
        <f>AY64</f>
        <v>8334</v>
      </c>
      <c r="BY64" s="79">
        <f t="shared" si="226"/>
        <v>8464</v>
      </c>
      <c r="BZ64" s="79">
        <f>BG64</f>
        <v>8565</v>
      </c>
      <c r="CA64" s="79">
        <f t="shared" si="225"/>
        <v>8649</v>
      </c>
      <c r="CB64" s="2090">
        <f>CA64+CFS!CB11</f>
        <v>8733</v>
      </c>
      <c r="CC64" s="20"/>
      <c r="CD64" s="13"/>
    </row>
    <row r="65" spans="1:82" ht="14.25" customHeight="1">
      <c r="A65" s="7"/>
      <c r="B65" s="840" t="s">
        <v>356</v>
      </c>
      <c r="C65" s="168"/>
      <c r="D65" s="171">
        <f t="shared" ref="D65:AA65" si="227">SUM(D61:D64)</f>
        <v>2447.1080000000002</v>
      </c>
      <c r="E65" s="169">
        <f t="shared" si="227"/>
        <v>2464.4780000000001</v>
      </c>
      <c r="F65" s="169">
        <f t="shared" si="227"/>
        <v>2532.239</v>
      </c>
      <c r="G65" s="170">
        <f t="shared" si="227"/>
        <v>2804.6610000000001</v>
      </c>
      <c r="H65" s="171">
        <f t="shared" si="227"/>
        <v>3964.21</v>
      </c>
      <c r="I65" s="169">
        <f t="shared" si="227"/>
        <v>4016.3380000000002</v>
      </c>
      <c r="J65" s="169">
        <f t="shared" si="227"/>
        <v>4056.1620000000003</v>
      </c>
      <c r="K65" s="170">
        <f t="shared" si="227"/>
        <v>5414</v>
      </c>
      <c r="L65" s="171">
        <f t="shared" si="227"/>
        <v>5471</v>
      </c>
      <c r="M65" s="169">
        <f t="shared" si="227"/>
        <v>5337</v>
      </c>
      <c r="N65" s="169">
        <f t="shared" si="227"/>
        <v>5381</v>
      </c>
      <c r="O65" s="170">
        <f t="shared" si="227"/>
        <v>6022</v>
      </c>
      <c r="P65" s="171">
        <f t="shared" si="227"/>
        <v>6043</v>
      </c>
      <c r="Q65" s="169">
        <f t="shared" si="227"/>
        <v>6064</v>
      </c>
      <c r="R65" s="169">
        <f t="shared" si="227"/>
        <v>6084</v>
      </c>
      <c r="S65" s="170">
        <f t="shared" si="227"/>
        <v>6367</v>
      </c>
      <c r="T65" s="171">
        <f t="shared" si="227"/>
        <v>6484</v>
      </c>
      <c r="U65" s="169">
        <f t="shared" si="227"/>
        <v>6502</v>
      </c>
      <c r="V65" s="169">
        <f t="shared" si="227"/>
        <v>6517</v>
      </c>
      <c r="W65" s="170">
        <f t="shared" si="227"/>
        <v>6531</v>
      </c>
      <c r="X65" s="169">
        <f t="shared" si="227"/>
        <v>6555</v>
      </c>
      <c r="Y65" s="169">
        <f t="shared" si="227"/>
        <v>6569</v>
      </c>
      <c r="Z65" s="169">
        <f t="shared" si="227"/>
        <v>6547</v>
      </c>
      <c r="AA65" s="170">
        <f t="shared" si="227"/>
        <v>6582</v>
      </c>
      <c r="AB65" s="169">
        <f t="shared" ref="AB65:AM65" si="228">SUM(AB61:AB64)</f>
        <v>6618</v>
      </c>
      <c r="AC65" s="169">
        <f t="shared" si="228"/>
        <v>6644</v>
      </c>
      <c r="AD65" s="169">
        <f t="shared" si="228"/>
        <v>6659</v>
      </c>
      <c r="AE65" s="170">
        <f t="shared" si="228"/>
        <v>6679</v>
      </c>
      <c r="AF65" s="169">
        <f t="shared" si="228"/>
        <v>6729</v>
      </c>
      <c r="AG65" s="169">
        <f t="shared" si="228"/>
        <v>6759</v>
      </c>
      <c r="AH65" s="169">
        <f t="shared" si="228"/>
        <v>6787</v>
      </c>
      <c r="AI65" s="170">
        <f t="shared" si="228"/>
        <v>6810</v>
      </c>
      <c r="AJ65" s="169">
        <f t="shared" si="228"/>
        <v>6834</v>
      </c>
      <c r="AK65" s="169">
        <f t="shared" si="228"/>
        <v>6855</v>
      </c>
      <c r="AL65" s="169">
        <f t="shared" si="228"/>
        <v>6879</v>
      </c>
      <c r="AM65" s="170">
        <f t="shared" si="228"/>
        <v>6901</v>
      </c>
      <c r="AN65" s="169">
        <f t="shared" ref="AN65:AT65" si="229">SUM(AN61:AN64)</f>
        <v>6891</v>
      </c>
      <c r="AO65" s="169">
        <f t="shared" si="229"/>
        <v>6913</v>
      </c>
      <c r="AP65" s="169">
        <f t="shared" si="229"/>
        <v>6936</v>
      </c>
      <c r="AQ65" s="170">
        <f t="shared" si="229"/>
        <v>6957</v>
      </c>
      <c r="AR65" s="169">
        <f t="shared" si="229"/>
        <v>6975</v>
      </c>
      <c r="AS65" s="169">
        <f t="shared" si="229"/>
        <v>6992</v>
      </c>
      <c r="AT65" s="169">
        <f t="shared" si="229"/>
        <v>7005</v>
      </c>
      <c r="AU65" s="170">
        <f>SUM(AU61:AU64)</f>
        <v>7025</v>
      </c>
      <c r="AV65" s="169">
        <f t="shared" ref="AV65:AX65" si="230">SUM(AV61:AV64)</f>
        <v>7041</v>
      </c>
      <c r="AW65" s="169">
        <f t="shared" si="230"/>
        <v>7061</v>
      </c>
      <c r="AX65" s="169">
        <f t="shared" si="230"/>
        <v>8267</v>
      </c>
      <c r="AY65" s="170">
        <f>SUM(AY61:AY64)</f>
        <v>8343</v>
      </c>
      <c r="AZ65" s="169">
        <f t="shared" ref="AZ65:BA65" si="231">SUM(AZ61:AZ64)</f>
        <v>8388</v>
      </c>
      <c r="BA65" s="169">
        <f t="shared" si="231"/>
        <v>8414</v>
      </c>
      <c r="BB65" s="169">
        <f t="shared" ref="BB65" si="232">SUM(BB61:BB64)</f>
        <v>8447</v>
      </c>
      <c r="BC65" s="170">
        <f>SUM(BC61:BC64)</f>
        <v>8473</v>
      </c>
      <c r="BD65" s="169">
        <f t="shared" ref="BD65" si="233">SUM(BD61:BD64)</f>
        <v>8512</v>
      </c>
      <c r="BE65" s="1477">
        <f t="shared" ref="BE65:BG65" si="234">SUM(BE61:BE64)</f>
        <v>8533</v>
      </c>
      <c r="BF65" s="169">
        <f t="shared" si="234"/>
        <v>8554</v>
      </c>
      <c r="BG65" s="170">
        <f t="shared" si="234"/>
        <v>8575</v>
      </c>
      <c r="BH65" s="1477">
        <f t="shared" ref="BH65:BK65" si="235">SUM(BH61:BH64)</f>
        <v>8596</v>
      </c>
      <c r="BI65" s="1477">
        <f t="shared" si="235"/>
        <v>8617</v>
      </c>
      <c r="BJ65" s="169">
        <f t="shared" si="235"/>
        <v>8638</v>
      </c>
      <c r="BK65" s="170">
        <f t="shared" si="235"/>
        <v>8659</v>
      </c>
      <c r="BL65" s="19"/>
      <c r="BM65" s="169">
        <f t="shared" ref="BM65:BS65" si="236">SUM(BM61:BM64)</f>
        <v>2804.6610000000001</v>
      </c>
      <c r="BN65" s="169">
        <f t="shared" si="236"/>
        <v>5414</v>
      </c>
      <c r="BO65" s="169">
        <f t="shared" si="236"/>
        <v>6022</v>
      </c>
      <c r="BP65" s="169">
        <f t="shared" si="236"/>
        <v>6367</v>
      </c>
      <c r="BQ65" s="169">
        <f t="shared" si="236"/>
        <v>6531</v>
      </c>
      <c r="BR65" s="169">
        <f t="shared" si="236"/>
        <v>6582</v>
      </c>
      <c r="BS65" s="169">
        <f t="shared" si="236"/>
        <v>6679</v>
      </c>
      <c r="BT65" s="169">
        <f t="shared" ref="BT65:BY65" si="237">SUM(BT61:BT64)</f>
        <v>6810</v>
      </c>
      <c r="BU65" s="169">
        <f>SUM(BU61:BU64)</f>
        <v>6901</v>
      </c>
      <c r="BV65" s="169">
        <f>SUM(BV61:BV64)</f>
        <v>6957</v>
      </c>
      <c r="BW65" s="169">
        <f>SUM(BW61:BW64)</f>
        <v>7025</v>
      </c>
      <c r="BX65" s="169">
        <f>SUM(BX61:BX64)</f>
        <v>8343</v>
      </c>
      <c r="BY65" s="169">
        <f t="shared" si="237"/>
        <v>8473</v>
      </c>
      <c r="BZ65" s="169">
        <f t="shared" ref="BZ65:CB65" si="238">SUM(BZ61:BZ64)</f>
        <v>8575</v>
      </c>
      <c r="CA65" s="169">
        <f t="shared" si="238"/>
        <v>8659</v>
      </c>
      <c r="CB65" s="2118">
        <f t="shared" si="238"/>
        <v>8743</v>
      </c>
      <c r="CC65" s="20"/>
      <c r="CD65" s="13"/>
    </row>
    <row r="66" spans="1:82" ht="14.25" customHeight="1">
      <c r="A66" s="7"/>
      <c r="B66" s="825"/>
      <c r="C66" s="24"/>
      <c r="D66" s="78"/>
      <c r="E66" s="79"/>
      <c r="F66" s="79"/>
      <c r="G66" s="80"/>
      <c r="H66" s="78"/>
      <c r="I66" s="79"/>
      <c r="J66" s="79"/>
      <c r="K66" s="80"/>
      <c r="L66" s="78"/>
      <c r="M66" s="79"/>
      <c r="N66" s="79"/>
      <c r="O66" s="80"/>
      <c r="P66" s="78"/>
      <c r="Q66" s="79"/>
      <c r="R66" s="79"/>
      <c r="S66" s="80"/>
      <c r="T66" s="78"/>
      <c r="U66" s="79"/>
      <c r="V66" s="79"/>
      <c r="W66" s="80"/>
      <c r="X66" s="79"/>
      <c r="Y66" s="79"/>
      <c r="Z66" s="79"/>
      <c r="AA66" s="80"/>
      <c r="AB66" s="79"/>
      <c r="AC66" s="79"/>
      <c r="AD66" s="79"/>
      <c r="AE66" s="80"/>
      <c r="AF66" s="79"/>
      <c r="AG66" s="79"/>
      <c r="AH66" s="79"/>
      <c r="AI66" s="80"/>
      <c r="AJ66" s="79"/>
      <c r="AK66" s="79"/>
      <c r="AL66" s="79"/>
      <c r="AM66" s="80"/>
      <c r="AN66" s="79"/>
      <c r="AO66" s="79"/>
      <c r="AP66" s="79"/>
      <c r="AQ66" s="80"/>
      <c r="AR66" s="79"/>
      <c r="AS66" s="79"/>
      <c r="AT66" s="79"/>
      <c r="AU66" s="80"/>
      <c r="AV66" s="79"/>
      <c r="AW66" s="79"/>
      <c r="AX66" s="79"/>
      <c r="AY66" s="80"/>
      <c r="AZ66" s="79"/>
      <c r="BA66" s="79"/>
      <c r="BB66" s="79"/>
      <c r="BC66" s="80"/>
      <c r="BD66" s="79"/>
      <c r="BE66" s="1121"/>
      <c r="BF66" s="79"/>
      <c r="BG66" s="80"/>
      <c r="BH66" s="1121"/>
      <c r="BI66" s="1121"/>
      <c r="BJ66" s="79"/>
      <c r="BK66" s="80"/>
      <c r="BL66" s="19"/>
      <c r="BM66" s="79"/>
      <c r="BN66" s="79"/>
      <c r="BO66" s="79"/>
      <c r="BP66" s="79"/>
      <c r="BQ66" s="79"/>
      <c r="BR66" s="79"/>
      <c r="BS66" s="79"/>
      <c r="BT66" s="79"/>
      <c r="BU66" s="79"/>
      <c r="BV66" s="79"/>
      <c r="BW66" s="79"/>
      <c r="BX66" s="79"/>
      <c r="BY66" s="79"/>
      <c r="BZ66" s="79"/>
      <c r="CA66" s="79"/>
      <c r="CB66" s="2090"/>
      <c r="CC66" s="20"/>
      <c r="CD66" s="13"/>
    </row>
    <row r="67" spans="1:82" ht="14.25" customHeight="1">
      <c r="A67" s="7"/>
      <c r="B67" s="839" t="s">
        <v>115</v>
      </c>
      <c r="C67" s="102"/>
      <c r="D67" s="81">
        <v>0</v>
      </c>
      <c r="E67" s="82">
        <v>0</v>
      </c>
      <c r="F67" s="82">
        <v>0</v>
      </c>
      <c r="G67" s="83">
        <v>0</v>
      </c>
      <c r="H67" s="81">
        <v>0</v>
      </c>
      <c r="I67" s="82">
        <v>0</v>
      </c>
      <c r="J67" s="82">
        <v>0</v>
      </c>
      <c r="K67" s="83">
        <v>0</v>
      </c>
      <c r="L67" s="81">
        <v>0</v>
      </c>
      <c r="M67" s="82">
        <v>0</v>
      </c>
      <c r="N67" s="82">
        <v>0</v>
      </c>
      <c r="O67" s="83">
        <v>0</v>
      </c>
      <c r="P67" s="81">
        <v>0</v>
      </c>
      <c r="Q67" s="82">
        <v>0</v>
      </c>
      <c r="R67" s="82">
        <v>0</v>
      </c>
      <c r="S67" s="83">
        <v>0</v>
      </c>
      <c r="T67" s="81">
        <v>0</v>
      </c>
      <c r="U67" s="82">
        <v>0</v>
      </c>
      <c r="V67" s="82">
        <v>0</v>
      </c>
      <c r="W67" s="83">
        <v>0</v>
      </c>
      <c r="X67" s="82">
        <v>0</v>
      </c>
      <c r="Y67" s="82">
        <v>0</v>
      </c>
      <c r="Z67" s="82">
        <v>0</v>
      </c>
      <c r="AA67" s="83">
        <v>0</v>
      </c>
      <c r="AB67" s="82">
        <v>0</v>
      </c>
      <c r="AC67" s="82">
        <f>AB67</f>
        <v>0</v>
      </c>
      <c r="AD67" s="82">
        <v>0</v>
      </c>
      <c r="AE67" s="83">
        <v>0</v>
      </c>
      <c r="AF67" s="82">
        <v>0</v>
      </c>
      <c r="AG67" s="82">
        <v>0</v>
      </c>
      <c r="AH67" s="82">
        <v>0</v>
      </c>
      <c r="AI67" s="83">
        <v>0</v>
      </c>
      <c r="AJ67" s="82">
        <v>0</v>
      </c>
      <c r="AK67" s="82">
        <v>0</v>
      </c>
      <c r="AL67" s="82">
        <v>0</v>
      </c>
      <c r="AM67" s="83">
        <v>0</v>
      </c>
      <c r="AN67" s="82">
        <v>0</v>
      </c>
      <c r="AO67" s="82">
        <v>0</v>
      </c>
      <c r="AP67" s="82">
        <v>0</v>
      </c>
      <c r="AQ67" s="83">
        <v>0</v>
      </c>
      <c r="AR67" s="82">
        <v>0</v>
      </c>
      <c r="AS67" s="82">
        <v>0</v>
      </c>
      <c r="AT67" s="82">
        <v>0</v>
      </c>
      <c r="AU67" s="83">
        <v>0</v>
      </c>
      <c r="AV67" s="82">
        <v>0</v>
      </c>
      <c r="AW67" s="82">
        <v>0</v>
      </c>
      <c r="AX67" s="82">
        <v>0</v>
      </c>
      <c r="AY67" s="83">
        <v>0</v>
      </c>
      <c r="AZ67" s="82">
        <v>0</v>
      </c>
      <c r="BA67" s="82">
        <v>0</v>
      </c>
      <c r="BB67" s="82">
        <f t="shared" ref="BB67" si="239">BA67</f>
        <v>0</v>
      </c>
      <c r="BC67" s="83">
        <v>0</v>
      </c>
      <c r="BD67" s="82">
        <v>0</v>
      </c>
      <c r="BE67" s="1121">
        <f t="shared" ref="BE67:BE68" si="240">BD67</f>
        <v>0</v>
      </c>
      <c r="BF67" s="79">
        <f t="shared" ref="BF67:BF68" si="241">BE67</f>
        <v>0</v>
      </c>
      <c r="BG67" s="80">
        <f t="shared" ref="BG67:BG68" si="242">BF67</f>
        <v>0</v>
      </c>
      <c r="BH67" s="1121">
        <f t="shared" ref="BH67:BH68" si="243">BG67</f>
        <v>0</v>
      </c>
      <c r="BI67" s="1121">
        <f t="shared" ref="BI67:BI68" si="244">BH67</f>
        <v>0</v>
      </c>
      <c r="BJ67" s="79">
        <f t="shared" ref="BJ67:BJ68" si="245">BI67</f>
        <v>0</v>
      </c>
      <c r="BK67" s="80">
        <f t="shared" ref="BK67:BK68" si="246">BJ67</f>
        <v>0</v>
      </c>
      <c r="BL67" s="19"/>
      <c r="BM67" s="79">
        <f>G67</f>
        <v>0</v>
      </c>
      <c r="BN67" s="79">
        <f>K67</f>
        <v>0</v>
      </c>
      <c r="BO67" s="79">
        <f>O67</f>
        <v>0</v>
      </c>
      <c r="BP67" s="79">
        <f>S67</f>
        <v>0</v>
      </c>
      <c r="BQ67" s="79">
        <f>W67</f>
        <v>0</v>
      </c>
      <c r="BR67" s="79">
        <f>AA67</f>
        <v>0</v>
      </c>
      <c r="BS67" s="79">
        <f>AE67</f>
        <v>0</v>
      </c>
      <c r="BT67" s="79">
        <f>AI67</f>
        <v>0</v>
      </c>
      <c r="BU67" s="79">
        <f>AM67</f>
        <v>0</v>
      </c>
      <c r="BV67" s="79">
        <f>AQ67</f>
        <v>0</v>
      </c>
      <c r="BW67" s="79">
        <f>AU67</f>
        <v>0</v>
      </c>
      <c r="BX67" s="79">
        <f>AY67</f>
        <v>0</v>
      </c>
      <c r="BY67" s="79">
        <f t="shared" ref="BY67:BY70" si="247">BC67</f>
        <v>0</v>
      </c>
      <c r="BZ67" s="79">
        <f>BG67</f>
        <v>0</v>
      </c>
      <c r="CA67" s="79">
        <f t="shared" ref="CA67:CA70" si="248">BK67</f>
        <v>0</v>
      </c>
      <c r="CB67" s="2090">
        <f t="shared" ref="CB67:CB68" si="249">CA67</f>
        <v>0</v>
      </c>
      <c r="CC67" s="20"/>
      <c r="CD67" s="13"/>
    </row>
    <row r="68" spans="1:82" ht="14.25" customHeight="1">
      <c r="A68" s="7"/>
      <c r="B68" s="839" t="s">
        <v>246</v>
      </c>
      <c r="C68" s="102"/>
      <c r="D68" s="81">
        <v>-91.028999999999996</v>
      </c>
      <c r="E68" s="82">
        <v>-90.176000000000002</v>
      </c>
      <c r="F68" s="82">
        <v>-89.715000000000003</v>
      </c>
      <c r="G68" s="83">
        <v>-90.138000000000005</v>
      </c>
      <c r="H68" s="81">
        <v>-89.757999999999996</v>
      </c>
      <c r="I68" s="82">
        <v>-89.697999999999993</v>
      </c>
      <c r="J68" s="82">
        <v>-92.611999999999995</v>
      </c>
      <c r="K68" s="83">
        <v>-93</v>
      </c>
      <c r="L68" s="81">
        <v>-93</v>
      </c>
      <c r="M68" s="82">
        <v>-94</v>
      </c>
      <c r="N68" s="82">
        <v>-95</v>
      </c>
      <c r="O68" s="83">
        <v>-95</v>
      </c>
      <c r="P68" s="81">
        <v>-96</v>
      </c>
      <c r="Q68" s="82">
        <v>-96</v>
      </c>
      <c r="R68" s="82">
        <v>-97</v>
      </c>
      <c r="S68" s="83">
        <v>-97</v>
      </c>
      <c r="T68" s="81">
        <v>-97</v>
      </c>
      <c r="U68" s="82">
        <v>-97</v>
      </c>
      <c r="V68" s="82">
        <v>-98</v>
      </c>
      <c r="W68" s="83">
        <v>-98</v>
      </c>
      <c r="X68" s="82">
        <v>-99</v>
      </c>
      <c r="Y68" s="82">
        <v>-99</v>
      </c>
      <c r="Z68" s="82">
        <v>-102</v>
      </c>
      <c r="AA68" s="83">
        <v>-102</v>
      </c>
      <c r="AB68" s="82">
        <v>-104</v>
      </c>
      <c r="AC68" s="82">
        <v>-106</v>
      </c>
      <c r="AD68" s="82">
        <v>-107</v>
      </c>
      <c r="AE68" s="83">
        <v>-107</v>
      </c>
      <c r="AF68" s="82">
        <v>-107</v>
      </c>
      <c r="AG68" s="82">
        <v>-108</v>
      </c>
      <c r="AH68" s="82">
        <v>-109</v>
      </c>
      <c r="AI68" s="83">
        <v>-109</v>
      </c>
      <c r="AJ68" s="82">
        <v>-109</v>
      </c>
      <c r="AK68" s="82">
        <v>-110</v>
      </c>
      <c r="AL68" s="82">
        <v>-111</v>
      </c>
      <c r="AM68" s="83">
        <v>-112</v>
      </c>
      <c r="AN68" s="82">
        <v>-114</v>
      </c>
      <c r="AO68" s="82">
        <v>-114</v>
      </c>
      <c r="AP68" s="82">
        <v>-118</v>
      </c>
      <c r="AQ68" s="83">
        <v>-119</v>
      </c>
      <c r="AR68" s="82">
        <v>-120</v>
      </c>
      <c r="AS68" s="82">
        <v>-121</v>
      </c>
      <c r="AT68" s="82">
        <v>-122</v>
      </c>
      <c r="AU68" s="83">
        <v>-123</v>
      </c>
      <c r="AV68" s="82">
        <v>-123</v>
      </c>
      <c r="AW68" s="82">
        <v>-125</v>
      </c>
      <c r="AX68" s="82">
        <v>-127</v>
      </c>
      <c r="AY68" s="83">
        <v>-119</v>
      </c>
      <c r="AZ68" s="82">
        <v>-99</v>
      </c>
      <c r="BA68" s="82">
        <v>-105</v>
      </c>
      <c r="BB68" s="82">
        <v>-108</v>
      </c>
      <c r="BC68" s="83">
        <v>-108</v>
      </c>
      <c r="BD68" s="82">
        <v>-108</v>
      </c>
      <c r="BE68" s="1121">
        <f t="shared" si="240"/>
        <v>-108</v>
      </c>
      <c r="BF68" s="79">
        <f t="shared" si="241"/>
        <v>-108</v>
      </c>
      <c r="BG68" s="80">
        <f t="shared" si="242"/>
        <v>-108</v>
      </c>
      <c r="BH68" s="1121">
        <f t="shared" si="243"/>
        <v>-108</v>
      </c>
      <c r="BI68" s="1121">
        <f t="shared" si="244"/>
        <v>-108</v>
      </c>
      <c r="BJ68" s="79">
        <f t="shared" si="245"/>
        <v>-108</v>
      </c>
      <c r="BK68" s="80">
        <f t="shared" si="246"/>
        <v>-108</v>
      </c>
      <c r="BL68" s="19"/>
      <c r="BM68" s="79">
        <f>G68</f>
        <v>-90.138000000000005</v>
      </c>
      <c r="BN68" s="79">
        <f>K68</f>
        <v>-93</v>
      </c>
      <c r="BO68" s="79">
        <f>O68</f>
        <v>-95</v>
      </c>
      <c r="BP68" s="79">
        <f>S68</f>
        <v>-97</v>
      </c>
      <c r="BQ68" s="79">
        <f>W68</f>
        <v>-98</v>
      </c>
      <c r="BR68" s="79">
        <f>AA68</f>
        <v>-102</v>
      </c>
      <c r="BS68" s="79">
        <f>AE68</f>
        <v>-107</v>
      </c>
      <c r="BT68" s="79">
        <f>AI68</f>
        <v>-109</v>
      </c>
      <c r="BU68" s="79">
        <f>AM68</f>
        <v>-112</v>
      </c>
      <c r="BV68" s="79">
        <f>AQ68</f>
        <v>-119</v>
      </c>
      <c r="BW68" s="79">
        <f>AU68</f>
        <v>-123</v>
      </c>
      <c r="BX68" s="79">
        <f>AY68</f>
        <v>-119</v>
      </c>
      <c r="BY68" s="79">
        <f t="shared" si="247"/>
        <v>-108</v>
      </c>
      <c r="BZ68" s="79">
        <f>BG68</f>
        <v>-108</v>
      </c>
      <c r="CA68" s="79">
        <f t="shared" si="248"/>
        <v>-108</v>
      </c>
      <c r="CB68" s="2090">
        <f t="shared" si="249"/>
        <v>-108</v>
      </c>
      <c r="CC68" s="20"/>
      <c r="CD68" s="13"/>
    </row>
    <row r="69" spans="1:82" ht="14.25" customHeight="1">
      <c r="A69" s="7"/>
      <c r="B69" s="839" t="s">
        <v>116</v>
      </c>
      <c r="C69" s="102"/>
      <c r="D69" s="81">
        <v>290.91699999999997</v>
      </c>
      <c r="E69" s="82">
        <v>302.20800000000003</v>
      </c>
      <c r="F69" s="82">
        <v>378.06700000000001</v>
      </c>
      <c r="G69" s="83">
        <v>473.678</v>
      </c>
      <c r="H69" s="81">
        <v>658.26199999999994</v>
      </c>
      <c r="I69" s="82">
        <v>747.16</v>
      </c>
      <c r="J69" s="82">
        <v>881.63199999999995</v>
      </c>
      <c r="K69" s="83">
        <v>308</v>
      </c>
      <c r="L69" s="81">
        <v>-332</v>
      </c>
      <c r="M69" s="82">
        <v>-932</v>
      </c>
      <c r="N69" s="82">
        <v>-1328</v>
      </c>
      <c r="O69" s="83">
        <v>-3100</v>
      </c>
      <c r="P69" s="81">
        <v>-3458</v>
      </c>
      <c r="Q69" s="82">
        <v>-4647</v>
      </c>
      <c r="R69" s="82">
        <v>-4774</v>
      </c>
      <c r="S69" s="83">
        <v>-6251</v>
      </c>
      <c r="T69" s="81">
        <v>-6667</v>
      </c>
      <c r="U69" s="82">
        <v>-6997</v>
      </c>
      <c r="V69" s="82">
        <v>-7125</v>
      </c>
      <c r="W69" s="83">
        <v>-5939</v>
      </c>
      <c r="X69" s="82">
        <v>-5682</v>
      </c>
      <c r="Y69" s="82">
        <v>-5725</v>
      </c>
      <c r="Z69" s="82">
        <v>-5843</v>
      </c>
      <c r="AA69" s="83">
        <v>-5468</v>
      </c>
      <c r="AB69" s="82">
        <v>-4958</v>
      </c>
      <c r="AC69" s="82">
        <v>-4897</v>
      </c>
      <c r="AD69" s="82">
        <v>-4800</v>
      </c>
      <c r="AE69" s="83">
        <v>-4977</v>
      </c>
      <c r="AF69" s="82">
        <v>-5567</v>
      </c>
      <c r="AG69" s="82">
        <v>-5530</v>
      </c>
      <c r="AH69" s="82">
        <v>-5687</v>
      </c>
      <c r="AI69" s="83">
        <v>-6160</v>
      </c>
      <c r="AJ69" s="82">
        <v>-6306</v>
      </c>
      <c r="AK69" s="82">
        <v>-6380</v>
      </c>
      <c r="AL69" s="82">
        <v>-6332</v>
      </c>
      <c r="AM69" s="83">
        <v>-6243</v>
      </c>
      <c r="AN69" s="82">
        <v>-6263</v>
      </c>
      <c r="AO69" s="82">
        <v>-6299</v>
      </c>
      <c r="AP69" s="82">
        <v>-6282</v>
      </c>
      <c r="AQ69" s="83">
        <v>-6646</v>
      </c>
      <c r="AR69" s="82">
        <v>-6826</v>
      </c>
      <c r="AS69" s="82">
        <v>-7007</v>
      </c>
      <c r="AT69" s="82">
        <v>-7204</v>
      </c>
      <c r="AU69" s="83">
        <v>-7306</v>
      </c>
      <c r="AV69" s="82">
        <v>-7415</v>
      </c>
      <c r="AW69" s="82">
        <v>-7346</v>
      </c>
      <c r="AX69" s="82">
        <v>-7752</v>
      </c>
      <c r="AY69" s="83">
        <v>-7803</v>
      </c>
      <c r="AZ69" s="82">
        <v>-7876</v>
      </c>
      <c r="BA69" s="82">
        <v>-7892</v>
      </c>
      <c r="BB69" s="82">
        <v>-7821</v>
      </c>
      <c r="BC69" s="83">
        <v>-7760</v>
      </c>
      <c r="BD69" s="82">
        <v>-7692</v>
      </c>
      <c r="BE69" s="1121">
        <f>BD69-BE67+IS!BE88+CFS!BE52+CFS!BE47</f>
        <v>-7575.623444145509</v>
      </c>
      <c r="BF69" s="79">
        <f>BE69-BF67+IS!BF88+CFS!BF52+CFS!BF47</f>
        <v>-7463.1362720353673</v>
      </c>
      <c r="BG69" s="80">
        <f>BF69-BG67+IS!BG88+CFS!BG52+CFS!BG47</f>
        <v>-7390.1198908202232</v>
      </c>
      <c r="BH69" s="1121">
        <f>BG69-BH67+IS!BH88+CFS!BH52+CFS!BH47</f>
        <v>-7346.0766467730364</v>
      </c>
      <c r="BI69" s="1121">
        <f>BH69-BI67+IS!BI88+CFS!BI52+CFS!BI47</f>
        <v>-7262.1699436420022</v>
      </c>
      <c r="BJ69" s="79">
        <f>BI69-BJ67+IS!BJ88+CFS!BJ52+CFS!BJ47</f>
        <v>-7154.14366995213</v>
      </c>
      <c r="BK69" s="80">
        <f>BJ69-BK67+IS!BK88+CFS!BK52+CFS!BK47</f>
        <v>-7054.3932901410726</v>
      </c>
      <c r="BL69" s="19"/>
      <c r="BM69" s="79">
        <f>G69</f>
        <v>473.678</v>
      </c>
      <c r="BN69" s="79">
        <f>K69</f>
        <v>308</v>
      </c>
      <c r="BO69" s="79">
        <f>O69</f>
        <v>-3100</v>
      </c>
      <c r="BP69" s="79">
        <f>S69</f>
        <v>-6251</v>
      </c>
      <c r="BQ69" s="79">
        <f>W69</f>
        <v>-5939</v>
      </c>
      <c r="BR69" s="79">
        <f>AA69</f>
        <v>-5468</v>
      </c>
      <c r="BS69" s="79">
        <f>AE69</f>
        <v>-4977</v>
      </c>
      <c r="BT69" s="79">
        <f>AI69</f>
        <v>-6160</v>
      </c>
      <c r="BU69" s="79">
        <f>AM69</f>
        <v>-6243</v>
      </c>
      <c r="BV69" s="79">
        <f>AQ69</f>
        <v>-6646</v>
      </c>
      <c r="BW69" s="79">
        <f>AU69</f>
        <v>-7306</v>
      </c>
      <c r="BX69" s="79">
        <f>AY69</f>
        <v>-7803</v>
      </c>
      <c r="BY69" s="79">
        <f t="shared" si="247"/>
        <v>-7760</v>
      </c>
      <c r="BZ69" s="79">
        <f>BG69</f>
        <v>-7390.1198908202232</v>
      </c>
      <c r="CA69" s="79">
        <f t="shared" si="248"/>
        <v>-7054.3932901410726</v>
      </c>
      <c r="CB69" s="2090">
        <f>CA69-CB67+IS!CB88+CFS!CB52+CFS!CB47</f>
        <v>-6718.6666894619211</v>
      </c>
      <c r="CC69" s="20"/>
      <c r="CD69" s="13"/>
    </row>
    <row r="70" spans="1:82" ht="14.25" customHeight="1">
      <c r="A70" s="7"/>
      <c r="B70" s="839" t="s">
        <v>117</v>
      </c>
      <c r="C70" s="102"/>
      <c r="D70" s="81">
        <v>287.70100000000002</v>
      </c>
      <c r="E70" s="82">
        <v>170.09899999999999</v>
      </c>
      <c r="F70" s="82">
        <v>153.654</v>
      </c>
      <c r="G70" s="172">
        <v>163.636</v>
      </c>
      <c r="H70" s="81">
        <v>177.20699999999999</v>
      </c>
      <c r="I70" s="82">
        <v>178.79</v>
      </c>
      <c r="J70" s="82">
        <v>167.31299999999999</v>
      </c>
      <c r="K70" s="172">
        <v>156</v>
      </c>
      <c r="L70" s="81">
        <v>159</v>
      </c>
      <c r="M70" s="82">
        <v>161</v>
      </c>
      <c r="N70" s="82">
        <v>167</v>
      </c>
      <c r="O70" s="172">
        <v>163</v>
      </c>
      <c r="P70" s="81">
        <v>148</v>
      </c>
      <c r="Q70" s="82">
        <v>153</v>
      </c>
      <c r="R70" s="82">
        <v>126</v>
      </c>
      <c r="S70" s="172">
        <v>108</v>
      </c>
      <c r="T70" s="81">
        <v>117</v>
      </c>
      <c r="U70" s="82">
        <v>127</v>
      </c>
      <c r="V70" s="82">
        <v>137</v>
      </c>
      <c r="W70" s="172">
        <v>154</v>
      </c>
      <c r="X70" s="82">
        <v>22</v>
      </c>
      <c r="Y70" s="82">
        <v>7</v>
      </c>
      <c r="Z70" s="82">
        <v>12</v>
      </c>
      <c r="AA70" s="83">
        <v>1</v>
      </c>
      <c r="AB70" s="348">
        <v>2</v>
      </c>
      <c r="AC70" s="82">
        <v>0</v>
      </c>
      <c r="AD70" s="82">
        <v>-8</v>
      </c>
      <c r="AE70" s="83">
        <v>-5</v>
      </c>
      <c r="AF70" s="348">
        <v>-3</v>
      </c>
      <c r="AG70" s="82">
        <v>-4</v>
      </c>
      <c r="AH70" s="82">
        <v>-2</v>
      </c>
      <c r="AI70" s="172">
        <v>-3</v>
      </c>
      <c r="AJ70" s="82">
        <v>-4</v>
      </c>
      <c r="AK70" s="82">
        <v>-6</v>
      </c>
      <c r="AL70" s="82">
        <v>-2</v>
      </c>
      <c r="AM70" s="172">
        <v>-2</v>
      </c>
      <c r="AN70" s="82">
        <v>-3</v>
      </c>
      <c r="AO70" s="82">
        <v>1</v>
      </c>
      <c r="AP70" s="82">
        <v>-1</v>
      </c>
      <c r="AQ70" s="172">
        <v>-5</v>
      </c>
      <c r="AR70" s="82">
        <v>-12</v>
      </c>
      <c r="AS70" s="82">
        <v>-5</v>
      </c>
      <c r="AT70" s="82">
        <v>-15</v>
      </c>
      <c r="AU70" s="172">
        <v>-8</v>
      </c>
      <c r="AV70" s="82">
        <v>-6</v>
      </c>
      <c r="AW70" s="82">
        <v>-3</v>
      </c>
      <c r="AX70" s="82">
        <v>-3</v>
      </c>
      <c r="AY70" s="172">
        <v>-5</v>
      </c>
      <c r="AZ70" s="82">
        <v>-4</v>
      </c>
      <c r="BA70" s="82">
        <v>0</v>
      </c>
      <c r="BB70" s="82">
        <v>2</v>
      </c>
      <c r="BC70" s="172">
        <v>6</v>
      </c>
      <c r="BD70" s="82">
        <v>3</v>
      </c>
      <c r="BE70" s="1121">
        <f>BD70+CFS!BE13+CFS!BE14+CFS!BE15+CFS!BE16+CFS!BE17+CFS!BE39+CFS!BE56+CFS!BE29+CFS!BE53</f>
        <v>3</v>
      </c>
      <c r="BF70" s="123">
        <f>BE70+CFS!BF13+CFS!BF14+CFS!BF15+CFS!BF16+CFS!BF17+CFS!BF39+CFS!BF56+CFS!BF29+CFS!BF53</f>
        <v>3</v>
      </c>
      <c r="BG70" s="124">
        <f>BF70+CFS!BG13+CFS!BG14+CFS!BG15+CFS!BG16+CFS!BG17+CFS!BG39+CFS!BG56+CFS!BG29+CFS!BG53</f>
        <v>3</v>
      </c>
      <c r="BH70" s="1121">
        <f>BG70+CFS!BH13+CFS!BH14+CFS!BH15+CFS!BH16+CFS!BH17+CFS!BH39+CFS!BH56+CFS!BH29+CFS!BH53</f>
        <v>3</v>
      </c>
      <c r="BI70" s="1121">
        <f>BH70+CFS!BI13+CFS!BI14+CFS!BI15+CFS!BI16+CFS!BI17+CFS!BI39+CFS!BI56+CFS!BI29+CFS!BI53</f>
        <v>3</v>
      </c>
      <c r="BJ70" s="123">
        <f>BI70+CFS!BJ13+CFS!BJ14+CFS!BJ15+CFS!BJ16+CFS!BJ17+CFS!BJ39+CFS!BJ56+CFS!BJ29+CFS!BJ53</f>
        <v>3</v>
      </c>
      <c r="BK70" s="124">
        <f>BJ70+CFS!BK13+CFS!BK14+CFS!BK15+CFS!BK16+CFS!BK17+CFS!BK39+CFS!BK56+CFS!BK29+CFS!BK53</f>
        <v>3</v>
      </c>
      <c r="BL70" s="19"/>
      <c r="BM70" s="79">
        <f>G70</f>
        <v>163.636</v>
      </c>
      <c r="BN70" s="79">
        <f>K70</f>
        <v>156</v>
      </c>
      <c r="BO70" s="79">
        <f>O70</f>
        <v>163</v>
      </c>
      <c r="BP70" s="79">
        <f>S70</f>
        <v>108</v>
      </c>
      <c r="BQ70" s="79">
        <f>W70</f>
        <v>154</v>
      </c>
      <c r="BR70" s="79">
        <f>AA70</f>
        <v>1</v>
      </c>
      <c r="BS70" s="79">
        <f>AE70</f>
        <v>-5</v>
      </c>
      <c r="BT70" s="79">
        <f>AI70</f>
        <v>-3</v>
      </c>
      <c r="BU70" s="79">
        <f>AM70</f>
        <v>-2</v>
      </c>
      <c r="BV70" s="79">
        <f>AQ70</f>
        <v>-5</v>
      </c>
      <c r="BW70" s="79">
        <f>AU70</f>
        <v>-8</v>
      </c>
      <c r="BX70" s="79">
        <f>AY70</f>
        <v>-5</v>
      </c>
      <c r="BY70" s="2222">
        <f t="shared" si="247"/>
        <v>6</v>
      </c>
      <c r="BZ70" s="79">
        <f>BG70</f>
        <v>3</v>
      </c>
      <c r="CA70" s="79">
        <f t="shared" si="248"/>
        <v>3</v>
      </c>
      <c r="CB70" s="2090">
        <f>CA70+CFS!CB13+CFS!CB14+CFS!CB15+CFS!CB16+CFS!CB17+CFS!CB39+CFS!CB56+CFS!CB29+CFS!CB53</f>
        <v>3</v>
      </c>
      <c r="CC70" s="20"/>
      <c r="CD70" s="13"/>
    </row>
    <row r="71" spans="1:82" ht="14.25" customHeight="1">
      <c r="A71" s="7"/>
      <c r="B71" s="829" t="s">
        <v>103</v>
      </c>
      <c r="C71" s="143"/>
      <c r="D71" s="137">
        <f t="shared" ref="D71:AF71" si="250">D65+SUM(D68:D70)</f>
        <v>2934.6970000000001</v>
      </c>
      <c r="E71" s="135">
        <f t="shared" si="250"/>
        <v>2846.6089999999999</v>
      </c>
      <c r="F71" s="135">
        <f t="shared" si="250"/>
        <v>2974.2449999999999</v>
      </c>
      <c r="G71" s="136">
        <f t="shared" si="250"/>
        <v>3351.837</v>
      </c>
      <c r="H71" s="137">
        <f t="shared" si="250"/>
        <v>4709.9210000000003</v>
      </c>
      <c r="I71" s="135">
        <f t="shared" si="250"/>
        <v>4852.59</v>
      </c>
      <c r="J71" s="135">
        <f t="shared" si="250"/>
        <v>5012.4949999999999</v>
      </c>
      <c r="K71" s="136">
        <f t="shared" si="250"/>
        <v>5785</v>
      </c>
      <c r="L71" s="137">
        <f t="shared" si="250"/>
        <v>5205</v>
      </c>
      <c r="M71" s="135">
        <f t="shared" si="250"/>
        <v>4472</v>
      </c>
      <c r="N71" s="135">
        <f t="shared" si="250"/>
        <v>4125</v>
      </c>
      <c r="O71" s="136">
        <f t="shared" si="250"/>
        <v>2990</v>
      </c>
      <c r="P71" s="137">
        <f t="shared" si="250"/>
        <v>2637</v>
      </c>
      <c r="Q71" s="135">
        <f t="shared" si="250"/>
        <v>1474</v>
      </c>
      <c r="R71" s="135">
        <f t="shared" si="250"/>
        <v>1339</v>
      </c>
      <c r="S71" s="136">
        <f t="shared" si="250"/>
        <v>127</v>
      </c>
      <c r="T71" s="137">
        <f t="shared" si="250"/>
        <v>-163</v>
      </c>
      <c r="U71" s="135">
        <f t="shared" si="250"/>
        <v>-465</v>
      </c>
      <c r="V71" s="135">
        <f t="shared" si="250"/>
        <v>-569</v>
      </c>
      <c r="W71" s="136">
        <f t="shared" si="250"/>
        <v>648</v>
      </c>
      <c r="X71" s="137">
        <f t="shared" si="250"/>
        <v>796</v>
      </c>
      <c r="Y71" s="135">
        <f t="shared" si="250"/>
        <v>752</v>
      </c>
      <c r="Z71" s="135">
        <f t="shared" si="250"/>
        <v>614</v>
      </c>
      <c r="AA71" s="136">
        <f t="shared" si="250"/>
        <v>1013</v>
      </c>
      <c r="AB71" s="135">
        <f t="shared" si="250"/>
        <v>1558</v>
      </c>
      <c r="AC71" s="135">
        <f t="shared" si="250"/>
        <v>1641</v>
      </c>
      <c r="AD71" s="135">
        <f>AD65+SUM(AD68:AD70)</f>
        <v>1744</v>
      </c>
      <c r="AE71" s="136">
        <f t="shared" si="250"/>
        <v>1590</v>
      </c>
      <c r="AF71" s="135">
        <f t="shared" si="250"/>
        <v>1052</v>
      </c>
      <c r="AG71" s="135">
        <f t="shared" ref="AG71:AM71" si="251">AG65+SUM(AG68:AG70)</f>
        <v>1117</v>
      </c>
      <c r="AH71" s="135">
        <f t="shared" si="251"/>
        <v>989</v>
      </c>
      <c r="AI71" s="136">
        <f t="shared" si="251"/>
        <v>538</v>
      </c>
      <c r="AJ71" s="135">
        <f t="shared" si="251"/>
        <v>415</v>
      </c>
      <c r="AK71" s="135">
        <f t="shared" si="251"/>
        <v>359</v>
      </c>
      <c r="AL71" s="135">
        <f t="shared" si="251"/>
        <v>434</v>
      </c>
      <c r="AM71" s="136">
        <f t="shared" si="251"/>
        <v>544</v>
      </c>
      <c r="AN71" s="135">
        <f t="shared" ref="AN71:AT71" si="252">AN65+SUM(AN68:AN70)</f>
        <v>511</v>
      </c>
      <c r="AO71" s="135">
        <f t="shared" si="252"/>
        <v>501</v>
      </c>
      <c r="AP71" s="135">
        <f t="shared" si="252"/>
        <v>535</v>
      </c>
      <c r="AQ71" s="136">
        <f t="shared" si="252"/>
        <v>187</v>
      </c>
      <c r="AR71" s="135">
        <f t="shared" si="252"/>
        <v>17</v>
      </c>
      <c r="AS71" s="135">
        <f t="shared" si="252"/>
        <v>-141</v>
      </c>
      <c r="AT71" s="135">
        <f t="shared" si="252"/>
        <v>-336</v>
      </c>
      <c r="AU71" s="136">
        <f>AU65+SUM(AU68:AU70)</f>
        <v>-412</v>
      </c>
      <c r="AV71" s="135">
        <f t="shared" ref="AV71:AX71" si="253">AV65+SUM(AV68:AV70)</f>
        <v>-503</v>
      </c>
      <c r="AW71" s="135">
        <f t="shared" si="253"/>
        <v>-413</v>
      </c>
      <c r="AX71" s="135">
        <f t="shared" si="253"/>
        <v>385</v>
      </c>
      <c r="AY71" s="136">
        <f>AY65+SUM(AY68:AY70)</f>
        <v>416</v>
      </c>
      <c r="AZ71" s="135">
        <f t="shared" ref="AZ71:BA71" si="254">AZ65+SUM(AZ68:AZ70)</f>
        <v>409</v>
      </c>
      <c r="BA71" s="135">
        <f t="shared" si="254"/>
        <v>417</v>
      </c>
      <c r="BB71" s="135">
        <f t="shared" ref="BB71:BC71" si="255">BB65+SUM(BB68:BB70)</f>
        <v>520</v>
      </c>
      <c r="BC71" s="136">
        <f t="shared" si="255"/>
        <v>611</v>
      </c>
      <c r="BD71" s="1472">
        <f t="shared" ref="BD71:BG71" si="256">BD65+SUM(BD68:BD70)</f>
        <v>715</v>
      </c>
      <c r="BE71" s="1472">
        <f t="shared" si="256"/>
        <v>852.37655585449102</v>
      </c>
      <c r="BF71" s="135">
        <f t="shared" si="256"/>
        <v>985.86372796463274</v>
      </c>
      <c r="BG71" s="136">
        <f t="shared" si="256"/>
        <v>1079.8801091797768</v>
      </c>
      <c r="BH71" s="1472">
        <f t="shared" ref="BH71:BK71" si="257">BH65+SUM(BH68:BH70)</f>
        <v>1144.9233532269636</v>
      </c>
      <c r="BI71" s="1472">
        <f t="shared" si="257"/>
        <v>1249.8300563579978</v>
      </c>
      <c r="BJ71" s="135">
        <f t="shared" si="257"/>
        <v>1378.85633004787</v>
      </c>
      <c r="BK71" s="136">
        <f t="shared" si="257"/>
        <v>1499.6067098589274</v>
      </c>
      <c r="BL71" s="19"/>
      <c r="BM71" s="135">
        <f t="shared" ref="BM71:BY71" si="258">BM65+SUM(BM68:BM70)</f>
        <v>3351.837</v>
      </c>
      <c r="BN71" s="135">
        <f t="shared" si="258"/>
        <v>5785</v>
      </c>
      <c r="BO71" s="135">
        <f t="shared" si="258"/>
        <v>2990</v>
      </c>
      <c r="BP71" s="135">
        <f t="shared" si="258"/>
        <v>127</v>
      </c>
      <c r="BQ71" s="135">
        <f t="shared" si="258"/>
        <v>648</v>
      </c>
      <c r="BR71" s="135">
        <f t="shared" si="258"/>
        <v>1013</v>
      </c>
      <c r="BS71" s="135">
        <f t="shared" si="258"/>
        <v>1590</v>
      </c>
      <c r="BT71" s="135">
        <f t="shared" si="258"/>
        <v>538</v>
      </c>
      <c r="BU71" s="135">
        <f>BU65+SUM(BU68:BU70)</f>
        <v>544</v>
      </c>
      <c r="BV71" s="135">
        <f>BV65+SUM(BV68:BV70)</f>
        <v>187</v>
      </c>
      <c r="BW71" s="135">
        <f t="shared" si="258"/>
        <v>-412</v>
      </c>
      <c r="BX71" s="135">
        <f t="shared" si="258"/>
        <v>416</v>
      </c>
      <c r="BY71" s="135">
        <f t="shared" si="258"/>
        <v>611</v>
      </c>
      <c r="BZ71" s="135">
        <f t="shared" ref="BZ71:CB71" si="259">BZ65+SUM(BZ68:BZ70)</f>
        <v>1079.8801091797768</v>
      </c>
      <c r="CA71" s="135">
        <f t="shared" si="259"/>
        <v>1499.6067098589274</v>
      </c>
      <c r="CB71" s="2107">
        <f t="shared" si="259"/>
        <v>1919.3333105380789</v>
      </c>
      <c r="CC71" s="20"/>
      <c r="CD71" s="13"/>
    </row>
    <row r="72" spans="1:82" ht="14.25" customHeight="1">
      <c r="A72" s="7"/>
      <c r="B72" s="841"/>
      <c r="C72" s="173"/>
      <c r="D72" s="79"/>
      <c r="E72" s="79"/>
      <c r="F72" s="79"/>
      <c r="G72" s="174"/>
      <c r="H72" s="79"/>
      <c r="I72" s="79"/>
      <c r="J72" s="79"/>
      <c r="K72" s="79"/>
      <c r="L72" s="79"/>
      <c r="M72" s="79"/>
      <c r="N72" s="79"/>
      <c r="O72" s="79"/>
      <c r="P72" s="79"/>
      <c r="Q72" s="79"/>
      <c r="R72" s="79"/>
      <c r="S72" s="79"/>
      <c r="T72" s="79"/>
      <c r="U72" s="79"/>
      <c r="V72" s="79"/>
      <c r="W72" s="79"/>
      <c r="X72" s="79"/>
      <c r="Y72" s="79"/>
      <c r="Z72" s="79"/>
      <c r="AA72" s="174"/>
      <c r="AB72" s="79"/>
      <c r="AC72" s="79"/>
      <c r="AD72" s="79"/>
      <c r="AE72" s="174"/>
      <c r="AF72" s="79"/>
      <c r="AG72" s="79"/>
      <c r="AH72" s="79"/>
      <c r="AI72" s="174"/>
      <c r="AJ72" s="79"/>
      <c r="AK72" s="79"/>
      <c r="AL72" s="79"/>
      <c r="AM72" s="174"/>
      <c r="AN72" s="79"/>
      <c r="AO72" s="79"/>
      <c r="AP72" s="79"/>
      <c r="AQ72" s="174"/>
      <c r="AR72" s="79"/>
      <c r="AS72" s="79"/>
      <c r="AT72" s="79"/>
      <c r="AU72" s="174"/>
      <c r="AV72" s="79"/>
      <c r="AW72" s="79"/>
      <c r="AX72" s="79"/>
      <c r="AY72" s="174"/>
      <c r="AZ72" s="79"/>
      <c r="BA72" s="79"/>
      <c r="BB72" s="79"/>
      <c r="BC72" s="174"/>
      <c r="BD72" s="79"/>
      <c r="BE72" s="79"/>
      <c r="BF72" s="174"/>
      <c r="BG72" s="174"/>
      <c r="BH72" s="79"/>
      <c r="BI72" s="79"/>
      <c r="BJ72" s="174"/>
      <c r="BK72" s="174"/>
      <c r="BL72" s="13"/>
      <c r="BM72" s="79"/>
      <c r="BN72" s="79"/>
      <c r="BO72" s="79"/>
      <c r="BP72" s="79"/>
      <c r="BQ72" s="79"/>
      <c r="BR72" s="79"/>
      <c r="BS72" s="79"/>
      <c r="BT72" s="79"/>
      <c r="BU72" s="79"/>
      <c r="BV72" s="79"/>
      <c r="BW72" s="79"/>
      <c r="BX72" s="79"/>
      <c r="BY72" s="79"/>
      <c r="BZ72" s="79"/>
      <c r="CA72" s="79"/>
      <c r="CB72" s="2119"/>
      <c r="CC72" s="7"/>
      <c r="CD72" s="7"/>
    </row>
    <row r="73" spans="1:82" ht="14.25" customHeight="1">
      <c r="A73" s="7"/>
      <c r="B73" s="830" t="s">
        <v>118</v>
      </c>
      <c r="C73" s="73"/>
      <c r="D73" s="175">
        <f t="shared" ref="D73:AA73" si="260">D42</f>
        <v>2934.6970000000001</v>
      </c>
      <c r="E73" s="175">
        <f t="shared" si="260"/>
        <v>2846.6089999999999</v>
      </c>
      <c r="F73" s="175">
        <f t="shared" si="260"/>
        <v>2974.2449999999999</v>
      </c>
      <c r="G73" s="176">
        <f t="shared" si="260"/>
        <v>3351.837</v>
      </c>
      <c r="H73" s="175">
        <f t="shared" si="260"/>
        <v>4709.9210000000003</v>
      </c>
      <c r="I73" s="175">
        <f t="shared" si="260"/>
        <v>4852.59</v>
      </c>
      <c r="J73" s="175">
        <f t="shared" si="260"/>
        <v>5012.4949999999999</v>
      </c>
      <c r="K73" s="175">
        <f t="shared" si="260"/>
        <v>5785</v>
      </c>
      <c r="L73" s="175">
        <f t="shared" si="260"/>
        <v>5205</v>
      </c>
      <c r="M73" s="175">
        <f t="shared" si="260"/>
        <v>4472</v>
      </c>
      <c r="N73" s="175">
        <f t="shared" si="260"/>
        <v>4125</v>
      </c>
      <c r="O73" s="175">
        <f t="shared" si="260"/>
        <v>2990</v>
      </c>
      <c r="P73" s="175">
        <f t="shared" si="260"/>
        <v>2637</v>
      </c>
      <c r="Q73" s="175">
        <f t="shared" si="260"/>
        <v>1474</v>
      </c>
      <c r="R73" s="175">
        <f t="shared" si="260"/>
        <v>1339</v>
      </c>
      <c r="S73" s="175">
        <f t="shared" si="260"/>
        <v>127</v>
      </c>
      <c r="T73" s="175">
        <f t="shared" si="260"/>
        <v>-163</v>
      </c>
      <c r="U73" s="175">
        <f t="shared" si="260"/>
        <v>-465</v>
      </c>
      <c r="V73" s="175">
        <f t="shared" si="260"/>
        <v>-569</v>
      </c>
      <c r="W73" s="175">
        <f t="shared" si="260"/>
        <v>648</v>
      </c>
      <c r="X73" s="177">
        <f t="shared" si="260"/>
        <v>796</v>
      </c>
      <c r="Y73" s="175">
        <f t="shared" si="260"/>
        <v>752</v>
      </c>
      <c r="Z73" s="175">
        <f t="shared" si="260"/>
        <v>614</v>
      </c>
      <c r="AA73" s="178">
        <f t="shared" si="260"/>
        <v>1013</v>
      </c>
      <c r="AB73" s="175">
        <f>AB42</f>
        <v>1558</v>
      </c>
      <c r="AC73" s="175">
        <f t="shared" ref="AC73:AJ73" si="261">AC42</f>
        <v>1641</v>
      </c>
      <c r="AD73" s="175">
        <f t="shared" si="261"/>
        <v>1744</v>
      </c>
      <c r="AE73" s="178">
        <f t="shared" si="261"/>
        <v>1590</v>
      </c>
      <c r="AF73" s="175">
        <f>AF42</f>
        <v>1052</v>
      </c>
      <c r="AG73" s="175">
        <f t="shared" si="261"/>
        <v>1117</v>
      </c>
      <c r="AH73" s="175">
        <f t="shared" si="261"/>
        <v>989</v>
      </c>
      <c r="AI73" s="176">
        <f t="shared" si="261"/>
        <v>538</v>
      </c>
      <c r="AJ73" s="175">
        <f t="shared" si="261"/>
        <v>415</v>
      </c>
      <c r="AK73" s="175">
        <f>AK42</f>
        <v>359</v>
      </c>
      <c r="AL73" s="175">
        <f>AL42</f>
        <v>434</v>
      </c>
      <c r="AM73" s="176">
        <f>AM42</f>
        <v>544</v>
      </c>
      <c r="AN73" s="175">
        <f>AN42</f>
        <v>511</v>
      </c>
      <c r="AO73" s="175">
        <f t="shared" ref="AO73:AT73" si="262">AO42</f>
        <v>501</v>
      </c>
      <c r="AP73" s="175">
        <f t="shared" si="262"/>
        <v>535</v>
      </c>
      <c r="AQ73" s="176">
        <f t="shared" si="262"/>
        <v>187</v>
      </c>
      <c r="AR73" s="175">
        <f t="shared" si="262"/>
        <v>17</v>
      </c>
      <c r="AS73" s="175">
        <f t="shared" si="262"/>
        <v>-141</v>
      </c>
      <c r="AT73" s="175">
        <f t="shared" si="262"/>
        <v>-336</v>
      </c>
      <c r="AU73" s="176">
        <f>AU42</f>
        <v>-412</v>
      </c>
      <c r="AV73" s="175">
        <f t="shared" ref="AV73:AX73" si="263">AV42</f>
        <v>-503</v>
      </c>
      <c r="AW73" s="175">
        <f t="shared" si="263"/>
        <v>-413</v>
      </c>
      <c r="AX73" s="175">
        <f t="shared" si="263"/>
        <v>385</v>
      </c>
      <c r="AY73" s="176">
        <f>AY42</f>
        <v>416</v>
      </c>
      <c r="AZ73" s="175">
        <f t="shared" ref="AZ73" si="264">AZ42</f>
        <v>409</v>
      </c>
      <c r="BA73" s="175">
        <f t="shared" ref="BA73:BC73" si="265">BA42</f>
        <v>417</v>
      </c>
      <c r="BB73" s="175">
        <f t="shared" si="265"/>
        <v>520</v>
      </c>
      <c r="BC73" s="176">
        <f t="shared" si="265"/>
        <v>611</v>
      </c>
      <c r="BD73" s="175">
        <f t="shared" ref="BD73:BG73" si="266">BD42</f>
        <v>715</v>
      </c>
      <c r="BE73" s="175">
        <f t="shared" si="266"/>
        <v>852.37655585449102</v>
      </c>
      <c r="BF73" s="230">
        <f t="shared" si="266"/>
        <v>985.86372796463274</v>
      </c>
      <c r="BG73" s="176">
        <f t="shared" si="266"/>
        <v>1079.8801091797768</v>
      </c>
      <c r="BH73" s="175">
        <f t="shared" ref="BH73:BK73" si="267">BH42</f>
        <v>1144.9233532269636</v>
      </c>
      <c r="BI73" s="175">
        <f t="shared" si="267"/>
        <v>1249.8300563579978</v>
      </c>
      <c r="BJ73" s="230">
        <f t="shared" si="267"/>
        <v>1378.85633004787</v>
      </c>
      <c r="BK73" s="176">
        <f t="shared" si="267"/>
        <v>1499.6067098589274</v>
      </c>
      <c r="BL73" s="179"/>
      <c r="BM73" s="175">
        <f>G73</f>
        <v>3351.837</v>
      </c>
      <c r="BN73" s="175">
        <f>K73</f>
        <v>5785</v>
      </c>
      <c r="BO73" s="175">
        <f>O73</f>
        <v>2990</v>
      </c>
      <c r="BP73" s="175">
        <f>S73</f>
        <v>127</v>
      </c>
      <c r="BQ73" s="175">
        <f>W73</f>
        <v>648</v>
      </c>
      <c r="BR73" s="175">
        <f>AA73</f>
        <v>1013</v>
      </c>
      <c r="BS73" s="175">
        <f>AE73</f>
        <v>1590</v>
      </c>
      <c r="BT73" s="175">
        <f>AI73</f>
        <v>538</v>
      </c>
      <c r="BU73" s="175">
        <f>AM73</f>
        <v>544</v>
      </c>
      <c r="BV73" s="175">
        <f t="shared" ref="BV73:BY73" si="268">BV42</f>
        <v>187</v>
      </c>
      <c r="BW73" s="175">
        <f>BW42</f>
        <v>-412</v>
      </c>
      <c r="BX73" s="175">
        <f t="shared" si="268"/>
        <v>416</v>
      </c>
      <c r="BY73" s="175">
        <f t="shared" si="268"/>
        <v>611</v>
      </c>
      <c r="BZ73" s="175">
        <f t="shared" ref="BZ73:CB73" si="269">BZ42</f>
        <v>1079.8801091797768</v>
      </c>
      <c r="CA73" s="175">
        <f t="shared" si="269"/>
        <v>1499.6067098589274</v>
      </c>
      <c r="CB73" s="178">
        <f t="shared" si="269"/>
        <v>1919.3333105380789</v>
      </c>
      <c r="CC73" s="20"/>
      <c r="CD73" s="13"/>
    </row>
    <row r="74" spans="1:82" ht="14.25" customHeight="1">
      <c r="A74" s="7"/>
      <c r="B74" s="833" t="s">
        <v>105</v>
      </c>
      <c r="C74" s="146"/>
      <c r="D74" s="147">
        <f t="shared" ref="D74:AA74" si="270">ROUND(D73,4)-ROUND(D71,4)</f>
        <v>0</v>
      </c>
      <c r="E74" s="147">
        <f t="shared" si="270"/>
        <v>0</v>
      </c>
      <c r="F74" s="147">
        <f t="shared" si="270"/>
        <v>0</v>
      </c>
      <c r="G74" s="148">
        <f t="shared" si="270"/>
        <v>0</v>
      </c>
      <c r="H74" s="147">
        <f t="shared" si="270"/>
        <v>0</v>
      </c>
      <c r="I74" s="147">
        <f t="shared" si="270"/>
        <v>0</v>
      </c>
      <c r="J74" s="147">
        <f t="shared" si="270"/>
        <v>0</v>
      </c>
      <c r="K74" s="148">
        <f t="shared" si="270"/>
        <v>0</v>
      </c>
      <c r="L74" s="147">
        <f t="shared" si="270"/>
        <v>0</v>
      </c>
      <c r="M74" s="147">
        <f t="shared" si="270"/>
        <v>0</v>
      </c>
      <c r="N74" s="147">
        <f t="shared" si="270"/>
        <v>0</v>
      </c>
      <c r="O74" s="148">
        <f t="shared" si="270"/>
        <v>0</v>
      </c>
      <c r="P74" s="147">
        <f t="shared" si="270"/>
        <v>0</v>
      </c>
      <c r="Q74" s="147">
        <f t="shared" si="270"/>
        <v>0</v>
      </c>
      <c r="R74" s="147">
        <f t="shared" si="270"/>
        <v>0</v>
      </c>
      <c r="S74" s="148">
        <f t="shared" si="270"/>
        <v>0</v>
      </c>
      <c r="T74" s="147">
        <f t="shared" si="270"/>
        <v>0</v>
      </c>
      <c r="U74" s="147">
        <f t="shared" si="270"/>
        <v>0</v>
      </c>
      <c r="V74" s="147">
        <f t="shared" si="270"/>
        <v>0</v>
      </c>
      <c r="W74" s="148">
        <f t="shared" si="270"/>
        <v>0</v>
      </c>
      <c r="X74" s="147">
        <f t="shared" si="270"/>
        <v>0</v>
      </c>
      <c r="Y74" s="147">
        <f t="shared" si="270"/>
        <v>0</v>
      </c>
      <c r="Z74" s="180">
        <f t="shared" si="270"/>
        <v>0</v>
      </c>
      <c r="AA74" s="147">
        <f t="shared" si="270"/>
        <v>0</v>
      </c>
      <c r="AB74" s="149">
        <f t="shared" ref="AB74:AM74" si="271">ROUND(AB73,4)-ROUND(AB71,4)</f>
        <v>0</v>
      </c>
      <c r="AC74" s="180">
        <f t="shared" si="271"/>
        <v>0</v>
      </c>
      <c r="AD74" s="180">
        <f t="shared" si="271"/>
        <v>0</v>
      </c>
      <c r="AE74" s="147">
        <f t="shared" si="271"/>
        <v>0</v>
      </c>
      <c r="AF74" s="149">
        <f t="shared" si="271"/>
        <v>0</v>
      </c>
      <c r="AG74" s="147">
        <f t="shared" si="271"/>
        <v>0</v>
      </c>
      <c r="AH74" s="147">
        <f t="shared" si="271"/>
        <v>0</v>
      </c>
      <c r="AI74" s="148">
        <f t="shared" si="271"/>
        <v>0</v>
      </c>
      <c r="AJ74" s="149">
        <f t="shared" si="271"/>
        <v>0</v>
      </c>
      <c r="AK74" s="147">
        <f t="shared" si="271"/>
        <v>0</v>
      </c>
      <c r="AL74" s="147">
        <f t="shared" si="271"/>
        <v>0</v>
      </c>
      <c r="AM74" s="148">
        <f t="shared" si="271"/>
        <v>0</v>
      </c>
      <c r="AN74" s="149">
        <f t="shared" ref="AN74:AT74" si="272">ROUND(AN73,4)-ROUND(AN71,4)</f>
        <v>0</v>
      </c>
      <c r="AO74" s="147">
        <f t="shared" si="272"/>
        <v>0</v>
      </c>
      <c r="AP74" s="147">
        <f t="shared" si="272"/>
        <v>0</v>
      </c>
      <c r="AQ74" s="148">
        <f t="shared" si="272"/>
        <v>0</v>
      </c>
      <c r="AR74" s="149">
        <f t="shared" si="272"/>
        <v>0</v>
      </c>
      <c r="AS74" s="147">
        <f t="shared" si="272"/>
        <v>0</v>
      </c>
      <c r="AT74" s="147">
        <f t="shared" si="272"/>
        <v>0</v>
      </c>
      <c r="AU74" s="148">
        <f>ROUND(AU73,4)-ROUND(AU71,4)</f>
        <v>0</v>
      </c>
      <c r="AV74" s="149">
        <f t="shared" ref="AV74:AX74" si="273">ROUND(AV73,4)-ROUND(AV71,4)</f>
        <v>0</v>
      </c>
      <c r="AW74" s="147">
        <f t="shared" si="273"/>
        <v>0</v>
      </c>
      <c r="AX74" s="147">
        <f t="shared" si="273"/>
        <v>0</v>
      </c>
      <c r="AY74" s="148">
        <f>ROUND(AY73,4)-ROUND(AY71,4)</f>
        <v>0</v>
      </c>
      <c r="AZ74" s="147">
        <f t="shared" ref="AZ74" si="274">ROUND(AZ73,4)-ROUND(AZ71,4)</f>
        <v>0</v>
      </c>
      <c r="BA74" s="147">
        <f t="shared" ref="BA74:BC74" si="275">ROUND(BA73,4)-ROUND(BA71,4)</f>
        <v>0</v>
      </c>
      <c r="BB74" s="147">
        <f t="shared" si="275"/>
        <v>0</v>
      </c>
      <c r="BC74" s="148">
        <f t="shared" si="275"/>
        <v>0</v>
      </c>
      <c r="BD74" s="147">
        <f t="shared" ref="BD74:BG74" si="276">ROUND(BD73,4)-ROUND(BD71,4)</f>
        <v>0</v>
      </c>
      <c r="BE74" s="147">
        <f t="shared" si="276"/>
        <v>0</v>
      </c>
      <c r="BF74" s="147">
        <f t="shared" si="276"/>
        <v>0</v>
      </c>
      <c r="BG74" s="148">
        <f t="shared" si="276"/>
        <v>0</v>
      </c>
      <c r="BH74" s="147">
        <f t="shared" ref="BH74:BK74" si="277">ROUND(BH73,4)-ROUND(BH71,4)</f>
        <v>0</v>
      </c>
      <c r="BI74" s="147">
        <f t="shared" si="277"/>
        <v>0</v>
      </c>
      <c r="BJ74" s="147">
        <f t="shared" si="277"/>
        <v>0</v>
      </c>
      <c r="BK74" s="148">
        <f t="shared" si="277"/>
        <v>0</v>
      </c>
      <c r="BL74" s="179"/>
      <c r="BM74" s="147">
        <f t="shared" ref="BM74:BS74" si="278">ROUND(BM73,4)-ROUND(BM71,4)</f>
        <v>0</v>
      </c>
      <c r="BN74" s="147">
        <f t="shared" si="278"/>
        <v>0</v>
      </c>
      <c r="BO74" s="147">
        <f t="shared" si="278"/>
        <v>0</v>
      </c>
      <c r="BP74" s="147">
        <f t="shared" si="278"/>
        <v>0</v>
      </c>
      <c r="BQ74" s="147">
        <f t="shared" si="278"/>
        <v>0</v>
      </c>
      <c r="BR74" s="147">
        <f t="shared" si="278"/>
        <v>0</v>
      </c>
      <c r="BS74" s="147">
        <f t="shared" si="278"/>
        <v>0</v>
      </c>
      <c r="BT74" s="147">
        <f t="shared" ref="BT74:BY74" si="279">ROUND(BT73,4)-ROUND(BT71,4)</f>
        <v>0</v>
      </c>
      <c r="BU74" s="147">
        <f t="shared" si="279"/>
        <v>0</v>
      </c>
      <c r="BV74" s="147">
        <f t="shared" si="279"/>
        <v>0</v>
      </c>
      <c r="BW74" s="147">
        <f>ROUND(BW73,4)-ROUND(BW71,4)</f>
        <v>0</v>
      </c>
      <c r="BX74" s="147">
        <f t="shared" si="279"/>
        <v>0</v>
      </c>
      <c r="BY74" s="147">
        <f t="shared" si="279"/>
        <v>0</v>
      </c>
      <c r="BZ74" s="147">
        <f t="shared" ref="BZ74:CB74" si="280">ROUND(BZ73,4)-ROUND(BZ71,4)</f>
        <v>0</v>
      </c>
      <c r="CA74" s="147">
        <f t="shared" si="280"/>
        <v>0</v>
      </c>
      <c r="CB74" s="148">
        <f t="shared" si="280"/>
        <v>0</v>
      </c>
      <c r="CC74" s="20"/>
      <c r="CD74" s="13"/>
    </row>
    <row r="75" spans="1:82" ht="14.25" customHeight="1">
      <c r="A75" s="7"/>
      <c r="B75" s="834"/>
      <c r="C75" s="69"/>
      <c r="D75" s="69"/>
      <c r="E75" s="69"/>
      <c r="F75" s="69"/>
      <c r="G75" s="69"/>
      <c r="H75" s="69"/>
      <c r="I75" s="69"/>
      <c r="J75" s="69"/>
      <c r="K75" s="69"/>
      <c r="L75" s="69"/>
      <c r="M75" s="69"/>
      <c r="N75" s="69"/>
      <c r="O75" s="69"/>
      <c r="P75" s="69"/>
      <c r="Q75" s="69"/>
      <c r="R75" s="69"/>
      <c r="S75" s="69"/>
      <c r="T75" s="69"/>
      <c r="U75" s="69"/>
      <c r="V75" s="69"/>
      <c r="W75" s="69"/>
      <c r="X75" s="69"/>
      <c r="Y75" s="69"/>
      <c r="Z75" s="69"/>
      <c r="AA75" s="69"/>
      <c r="AB75" s="69"/>
      <c r="AC75" s="69"/>
      <c r="AD75" s="69"/>
      <c r="AE75" s="69"/>
      <c r="AF75" s="69"/>
      <c r="AG75" s="702"/>
      <c r="AH75" s="703"/>
      <c r="AI75" s="68"/>
      <c r="AJ75" s="69"/>
      <c r="AK75" s="702"/>
      <c r="AL75" s="69"/>
      <c r="AM75" s="68"/>
      <c r="AN75" s="69"/>
      <c r="AO75" s="702"/>
      <c r="AP75" s="69"/>
      <c r="AQ75" s="68"/>
      <c r="AR75" s="69"/>
      <c r="AS75" s="702"/>
      <c r="AT75" s="69"/>
      <c r="AU75" s="68"/>
      <c r="AV75" s="69"/>
      <c r="AW75" s="702"/>
      <c r="AX75" s="69"/>
      <c r="AY75" s="68"/>
      <c r="AZ75" s="702"/>
      <c r="BA75" s="702"/>
      <c r="BB75" s="68"/>
      <c r="BC75" s="68"/>
      <c r="BD75" s="702"/>
      <c r="BE75" s="702"/>
      <c r="BF75" s="68"/>
      <c r="BG75" s="68"/>
      <c r="BH75" s="702"/>
      <c r="BI75" s="702"/>
      <c r="BJ75" s="68"/>
      <c r="BK75" s="68"/>
      <c r="BL75" s="7"/>
      <c r="BM75" s="69"/>
      <c r="BN75" s="69"/>
      <c r="BO75" s="69"/>
      <c r="BP75" s="69"/>
      <c r="BQ75" s="69"/>
      <c r="BR75" s="69"/>
      <c r="BS75" s="69"/>
      <c r="BT75" s="69"/>
      <c r="BU75" s="69"/>
      <c r="BV75" s="69"/>
      <c r="BW75" s="69"/>
      <c r="BX75" s="69"/>
      <c r="BY75" s="69"/>
      <c r="BZ75" s="69"/>
      <c r="CA75" s="69"/>
      <c r="CB75" s="2120"/>
      <c r="CC75" s="7"/>
      <c r="CD75" s="7"/>
    </row>
    <row r="76" spans="1:82" ht="14.25" customHeight="1">
      <c r="A76" s="7"/>
      <c r="B76" s="835"/>
      <c r="C76" s="69"/>
      <c r="D76" s="181"/>
      <c r="E76" s="181"/>
      <c r="F76" s="69"/>
      <c r="G76" s="69"/>
      <c r="H76" s="181"/>
      <c r="I76" s="181"/>
      <c r="J76" s="69"/>
      <c r="K76" s="69"/>
      <c r="L76" s="181"/>
      <c r="M76" s="181"/>
      <c r="N76" s="69"/>
      <c r="O76" s="69"/>
      <c r="P76" s="181"/>
      <c r="Q76" s="181"/>
      <c r="R76" s="69"/>
      <c r="S76" s="69"/>
      <c r="T76" s="181"/>
      <c r="U76" s="181"/>
      <c r="V76" s="69"/>
      <c r="W76" s="69"/>
      <c r="X76" s="69"/>
      <c r="Y76" s="69"/>
      <c r="Z76" s="69"/>
      <c r="AA76" s="69"/>
      <c r="AB76" s="69"/>
      <c r="AC76" s="69"/>
      <c r="AD76" s="69"/>
      <c r="AE76" s="69"/>
      <c r="AF76" s="69"/>
      <c r="AG76" s="460"/>
      <c r="AH76" s="69"/>
      <c r="AI76" s="916"/>
      <c r="AJ76" s="69"/>
      <c r="AK76" s="69"/>
      <c r="AL76" s="69"/>
      <c r="AM76" s="916"/>
      <c r="AN76" s="69"/>
      <c r="AO76" s="69"/>
      <c r="AP76" s="69"/>
      <c r="AQ76" s="916"/>
      <c r="AR76" s="69"/>
      <c r="AS76" s="69"/>
      <c r="AT76" s="69"/>
      <c r="AU76" s="916"/>
      <c r="AV76" s="69"/>
      <c r="AW76" s="69"/>
      <c r="AX76" s="69"/>
      <c r="AY76" s="916"/>
      <c r="AZ76" s="69"/>
      <c r="BA76" s="69"/>
      <c r="BB76" s="71"/>
      <c r="BC76" s="71"/>
      <c r="BD76" s="69"/>
      <c r="BE76" s="69"/>
      <c r="BF76" s="71"/>
      <c r="BG76" s="71"/>
      <c r="BH76" s="69"/>
      <c r="BI76" s="69"/>
      <c r="BJ76" s="71"/>
      <c r="BK76" s="71"/>
      <c r="BL76" s="7"/>
      <c r="BM76" s="69"/>
      <c r="BN76" s="69"/>
      <c r="BO76" s="69"/>
      <c r="BP76" s="69"/>
      <c r="BQ76" s="69"/>
      <c r="BR76" s="69"/>
      <c r="BS76" s="69"/>
      <c r="BT76" s="69"/>
      <c r="BU76" s="69"/>
      <c r="BV76" s="69"/>
      <c r="BW76" s="69"/>
      <c r="BX76" s="69"/>
      <c r="BY76" s="69"/>
      <c r="BZ76" s="69"/>
      <c r="CA76" s="69"/>
      <c r="CB76" s="2120"/>
      <c r="CC76" s="7"/>
      <c r="CD76" s="7"/>
    </row>
    <row r="77" spans="1:82" ht="14.25" customHeight="1">
      <c r="A77" s="7"/>
      <c r="B77" s="836" t="s">
        <v>119</v>
      </c>
      <c r="C77" s="155"/>
      <c r="D77" s="16" t="str">
        <f t="shared" ref="D77:AA77" si="281">D60</f>
        <v>F1Q05A</v>
      </c>
      <c r="E77" s="17" t="str">
        <f t="shared" si="281"/>
        <v>F2Q05A</v>
      </c>
      <c r="F77" s="17" t="str">
        <f t="shared" si="281"/>
        <v>F3Q05A</v>
      </c>
      <c r="G77" s="18" t="str">
        <f t="shared" si="281"/>
        <v>F4Q05A</v>
      </c>
      <c r="H77" s="16" t="str">
        <f t="shared" si="281"/>
        <v>F1Q06A</v>
      </c>
      <c r="I77" s="17" t="str">
        <f t="shared" si="281"/>
        <v>F2Q06A</v>
      </c>
      <c r="J77" s="17" t="str">
        <f t="shared" si="281"/>
        <v>F3Q06A</v>
      </c>
      <c r="K77" s="18" t="str">
        <f t="shared" si="281"/>
        <v>F4Q06A</v>
      </c>
      <c r="L77" s="16" t="str">
        <f t="shared" si="281"/>
        <v>F1Q07A</v>
      </c>
      <c r="M77" s="17" t="str">
        <f t="shared" si="281"/>
        <v>F2Q07A</v>
      </c>
      <c r="N77" s="17" t="str">
        <f t="shared" si="281"/>
        <v>F3Q07A</v>
      </c>
      <c r="O77" s="18" t="str">
        <f t="shared" si="281"/>
        <v>F4Q07A</v>
      </c>
      <c r="P77" s="16" t="str">
        <f t="shared" si="281"/>
        <v>F1Q08A</v>
      </c>
      <c r="Q77" s="17" t="str">
        <f t="shared" si="281"/>
        <v>F2Q08A</v>
      </c>
      <c r="R77" s="17" t="str">
        <f t="shared" si="281"/>
        <v>F3Q08A</v>
      </c>
      <c r="S77" s="18" t="str">
        <f t="shared" si="281"/>
        <v>F4Q08A</v>
      </c>
      <c r="T77" s="16" t="str">
        <f t="shared" si="281"/>
        <v>F1Q09A</v>
      </c>
      <c r="U77" s="17" t="str">
        <f t="shared" si="281"/>
        <v>F2Q09A</v>
      </c>
      <c r="V77" s="17" t="str">
        <f t="shared" si="281"/>
        <v>F3Q09A</v>
      </c>
      <c r="W77" s="18" t="str">
        <f t="shared" si="281"/>
        <v>F4Q09A</v>
      </c>
      <c r="X77" s="16" t="str">
        <f t="shared" si="281"/>
        <v>F1Q10A</v>
      </c>
      <c r="Y77" s="17" t="str">
        <f t="shared" si="281"/>
        <v>F2Q10A</v>
      </c>
      <c r="Z77" s="17" t="str">
        <f t="shared" si="281"/>
        <v>F3Q10A</v>
      </c>
      <c r="AA77" s="18" t="str">
        <f t="shared" si="281"/>
        <v>F4Q10A</v>
      </c>
      <c r="AB77" s="16" t="str">
        <f>AB60</f>
        <v>F1Q11A</v>
      </c>
      <c r="AC77" s="17" t="str">
        <f t="shared" ref="AC77:AL77" si="282">AC60</f>
        <v>F2Q11A</v>
      </c>
      <c r="AD77" s="17" t="str">
        <f t="shared" si="282"/>
        <v>F3Q11A</v>
      </c>
      <c r="AE77" s="18" t="str">
        <f t="shared" si="282"/>
        <v>F4Q11A</v>
      </c>
      <c r="AF77" s="16" t="str">
        <f>AF60</f>
        <v>F1Q12A</v>
      </c>
      <c r="AG77" s="17" t="str">
        <f t="shared" si="282"/>
        <v>F2Q12A</v>
      </c>
      <c r="AH77" s="17" t="str">
        <f t="shared" si="282"/>
        <v>F3Q12A</v>
      </c>
      <c r="AI77" s="18" t="str">
        <f t="shared" si="282"/>
        <v>F4Q12A</v>
      </c>
      <c r="AJ77" s="16" t="str">
        <f t="shared" si="282"/>
        <v>F1Q13A</v>
      </c>
      <c r="AK77" s="17" t="str">
        <f t="shared" si="282"/>
        <v>F2Q13A</v>
      </c>
      <c r="AL77" s="17" t="str">
        <f t="shared" si="282"/>
        <v>F3Q13A</v>
      </c>
      <c r="AM77" s="18" t="str">
        <f t="shared" ref="AM77:AU77" si="283">AM60</f>
        <v>F4Q13A</v>
      </c>
      <c r="AN77" s="16" t="str">
        <f t="shared" si="283"/>
        <v>F1Q14A</v>
      </c>
      <c r="AO77" s="17" t="str">
        <f t="shared" si="283"/>
        <v>F2Q14A</v>
      </c>
      <c r="AP77" s="17" t="str">
        <f t="shared" si="283"/>
        <v>F3Q14A</v>
      </c>
      <c r="AQ77" s="18" t="str">
        <f t="shared" si="283"/>
        <v>F4Q14A</v>
      </c>
      <c r="AR77" s="16" t="str">
        <f t="shared" si="283"/>
        <v>F1Q15A</v>
      </c>
      <c r="AS77" s="17" t="str">
        <f t="shared" si="283"/>
        <v>F2Q15A</v>
      </c>
      <c r="AT77" s="17" t="str">
        <f t="shared" si="283"/>
        <v>F3Q15A</v>
      </c>
      <c r="AU77" s="18" t="str">
        <f t="shared" si="283"/>
        <v>F4Q15A</v>
      </c>
      <c r="AV77" s="16" t="str">
        <f t="shared" ref="AV77:AY77" si="284">AV60</f>
        <v>F1Q16A</v>
      </c>
      <c r="AW77" s="17" t="str">
        <f t="shared" si="284"/>
        <v>C2Q16A</v>
      </c>
      <c r="AX77" s="17" t="str">
        <f t="shared" si="284"/>
        <v>F3Q16A</v>
      </c>
      <c r="AY77" s="18" t="str">
        <f t="shared" si="284"/>
        <v>F4Q16A</v>
      </c>
      <c r="AZ77" s="17" t="str">
        <f t="shared" ref="AZ77:BC77" si="285">AZ60</f>
        <v>F1Q17A</v>
      </c>
      <c r="BA77" s="17" t="str">
        <f t="shared" si="285"/>
        <v>C2Q17A</v>
      </c>
      <c r="BB77" s="17" t="str">
        <f t="shared" si="285"/>
        <v>C3Q17A</v>
      </c>
      <c r="BC77" s="18" t="str">
        <f t="shared" si="285"/>
        <v>F4Q17A</v>
      </c>
      <c r="BD77" s="17" t="str">
        <f t="shared" ref="BD77:BG77" si="286">BD60</f>
        <v>F1Q18A</v>
      </c>
      <c r="BE77" s="17" t="str">
        <f t="shared" si="286"/>
        <v>F2Q18E</v>
      </c>
      <c r="BF77" s="17" t="str">
        <f t="shared" si="286"/>
        <v>F3Q18E</v>
      </c>
      <c r="BG77" s="18" t="str">
        <f t="shared" si="286"/>
        <v>F4Q18E</v>
      </c>
      <c r="BH77" s="1848" t="str">
        <f t="shared" ref="BH77:BK77" si="287">BH60</f>
        <v>F1Q19E</v>
      </c>
      <c r="BI77" s="1848" t="str">
        <f t="shared" si="287"/>
        <v>F2Q19E</v>
      </c>
      <c r="BJ77" s="1848" t="str">
        <f t="shared" si="287"/>
        <v>F3Q19E</v>
      </c>
      <c r="BK77" s="1849" t="str">
        <f t="shared" si="287"/>
        <v>F4Q19E</v>
      </c>
      <c r="BL77" s="19"/>
      <c r="BM77" s="16" t="str">
        <f t="shared" ref="BM77:BS77" si="288">BM60</f>
        <v>FY2005A</v>
      </c>
      <c r="BN77" s="17" t="str">
        <f t="shared" si="288"/>
        <v>FY2006A</v>
      </c>
      <c r="BO77" s="17" t="str">
        <f t="shared" si="288"/>
        <v>FY2007A</v>
      </c>
      <c r="BP77" s="17" t="str">
        <f t="shared" si="288"/>
        <v>FY2008A</v>
      </c>
      <c r="BQ77" s="17" t="str">
        <f t="shared" si="288"/>
        <v>FY2009A</v>
      </c>
      <c r="BR77" s="17" t="str">
        <f t="shared" si="288"/>
        <v>FY2010A</v>
      </c>
      <c r="BS77" s="17" t="str">
        <f t="shared" si="288"/>
        <v>FY2011A</v>
      </c>
      <c r="BT77" s="1848" t="str">
        <f t="shared" ref="BT77:BY77" si="289">BT60</f>
        <v>FY2012A</v>
      </c>
      <c r="BU77" s="1848" t="str">
        <f t="shared" si="289"/>
        <v>FY2013A</v>
      </c>
      <c r="BV77" s="1848" t="str">
        <f>BV60</f>
        <v>FY2014A</v>
      </c>
      <c r="BW77" s="1848" t="str">
        <f t="shared" si="289"/>
        <v>FY2015A</v>
      </c>
      <c r="BX77" s="1848" t="str">
        <f t="shared" si="289"/>
        <v>FY2016A</v>
      </c>
      <c r="BY77" s="1848" t="str">
        <f t="shared" si="289"/>
        <v>FY2017A</v>
      </c>
      <c r="BZ77" s="1848" t="str">
        <f t="shared" ref="BZ77:CB77" si="290">BZ60</f>
        <v>FY2018E</v>
      </c>
      <c r="CA77" s="1848" t="str">
        <f t="shared" si="290"/>
        <v>FY2019E</v>
      </c>
      <c r="CB77" s="1849" t="str">
        <f t="shared" si="290"/>
        <v>FY2020E</v>
      </c>
      <c r="CC77" s="20"/>
      <c r="CD77" s="13"/>
    </row>
    <row r="78" spans="1:82" ht="14.25" customHeight="1">
      <c r="A78" s="7"/>
      <c r="B78" s="828" t="s">
        <v>355</v>
      </c>
      <c r="C78" s="22"/>
      <c r="D78" s="182">
        <f>IS!D110</f>
        <v>393.077</v>
      </c>
      <c r="E78" s="182">
        <f>IS!E110</f>
        <v>405.73899999999998</v>
      </c>
      <c r="F78" s="182">
        <f>IS!F110</f>
        <v>443.68099999999998</v>
      </c>
      <c r="G78" s="183">
        <f>IS!G110</f>
        <v>452</v>
      </c>
      <c r="H78" s="182">
        <f>IS!H110</f>
        <v>495.32600000000002</v>
      </c>
      <c r="I78" s="182">
        <f>IS!I110</f>
        <v>500.17599999999999</v>
      </c>
      <c r="J78" s="182">
        <f>IS!J110</f>
        <v>496.77199999999999</v>
      </c>
      <c r="K78" s="183">
        <f>IS!K110</f>
        <v>531</v>
      </c>
      <c r="L78" s="182">
        <f>IS!L110</f>
        <v>549</v>
      </c>
      <c r="M78" s="182">
        <f>IS!M110</f>
        <v>552</v>
      </c>
      <c r="N78" s="182">
        <f>IS!N110</f>
        <v>554</v>
      </c>
      <c r="O78" s="183">
        <f>IS!O110</f>
        <v>579</v>
      </c>
      <c r="P78" s="182">
        <f>IS!P110</f>
        <v>606</v>
      </c>
      <c r="Q78" s="182">
        <f>IS!Q110</f>
        <v>607</v>
      </c>
      <c r="R78" s="182">
        <f>IS!R110</f>
        <v>608</v>
      </c>
      <c r="S78" s="183">
        <f>IS!S110</f>
        <v>609</v>
      </c>
      <c r="T78" s="182">
        <f>IS!T110</f>
        <v>626</v>
      </c>
      <c r="U78" s="182">
        <f>IS!U110</f>
        <v>667</v>
      </c>
      <c r="V78" s="182">
        <f>IS!V110</f>
        <v>694</v>
      </c>
      <c r="W78" s="183">
        <f>IS!W110</f>
        <v>791</v>
      </c>
      <c r="X78" s="182">
        <f>IS!X110</f>
        <v>754</v>
      </c>
      <c r="Y78" s="182">
        <f>IS!Y110</f>
        <v>709</v>
      </c>
      <c r="Z78" s="182">
        <f>IS!Z110</f>
        <v>713</v>
      </c>
      <c r="AA78" s="183">
        <f>IS!AA110</f>
        <v>733</v>
      </c>
      <c r="AB78" s="182">
        <f>IS!AB110</f>
        <v>764</v>
      </c>
      <c r="AC78" s="182">
        <f>IS!AC110</f>
        <v>743</v>
      </c>
      <c r="AD78" s="182">
        <f>IS!AD110</f>
        <v>741</v>
      </c>
      <c r="AE78" s="183">
        <f>IS!AE110</f>
        <v>732</v>
      </c>
      <c r="AF78" s="182">
        <f>IS!AF110</f>
        <v>734</v>
      </c>
      <c r="AG78" s="182">
        <f>IS!AG110</f>
        <v>755</v>
      </c>
      <c r="AH78" s="182">
        <f>IS!AH110</f>
        <v>745</v>
      </c>
      <c r="AI78" s="183">
        <f>IS!AI110</f>
        <v>747</v>
      </c>
      <c r="AJ78" s="182">
        <f>IS!AJ110</f>
        <v>749</v>
      </c>
      <c r="AK78" s="182">
        <f>IS!AK110</f>
        <v>752</v>
      </c>
      <c r="AL78" s="182">
        <f>IS!AL110</f>
        <v>764</v>
      </c>
      <c r="AM78" s="183">
        <f>IS!AM110</f>
        <v>766</v>
      </c>
      <c r="AN78" s="182">
        <f>IS!AN110</f>
        <v>761</v>
      </c>
      <c r="AO78" s="182">
        <f>IS!AO110</f>
        <v>764</v>
      </c>
      <c r="AP78" s="182">
        <f>IS!AP110</f>
        <v>785</v>
      </c>
      <c r="AQ78" s="183">
        <f>IS!AQ110</f>
        <v>776</v>
      </c>
      <c r="AR78" s="182">
        <f>IS!AR110</f>
        <v>777</v>
      </c>
      <c r="AS78" s="182">
        <f>IS!AS110</f>
        <v>778</v>
      </c>
      <c r="AT78" s="182">
        <f>IS!AT110</f>
        <v>785</v>
      </c>
      <c r="AU78" s="183">
        <f>IS!AU110</f>
        <v>791</v>
      </c>
      <c r="AV78" s="182">
        <f>IS!AV110</f>
        <v>793</v>
      </c>
      <c r="AW78" s="182">
        <f>IS!AW110</f>
        <v>821</v>
      </c>
      <c r="AX78" s="182">
        <f>IS!AX110</f>
        <v>815</v>
      </c>
      <c r="AY78" s="183">
        <f>IS!AY110</f>
        <v>931</v>
      </c>
      <c r="AZ78" s="182">
        <f>IS!AZ110</f>
        <v>939</v>
      </c>
      <c r="BA78" s="182">
        <f>IS!BA110</f>
        <v>945</v>
      </c>
      <c r="BB78" s="182">
        <f>IS!BB110</f>
        <v>1042</v>
      </c>
      <c r="BC78" s="183">
        <f>IS!BC110</f>
        <v>1037</v>
      </c>
      <c r="BD78" s="182">
        <f>IS!BD110</f>
        <v>1039</v>
      </c>
      <c r="BE78" s="182">
        <f>IS!BE110</f>
        <v>1041</v>
      </c>
      <c r="BF78" s="182">
        <f>IS!BF110</f>
        <v>1043</v>
      </c>
      <c r="BG78" s="183">
        <f>IS!BG110</f>
        <v>1045</v>
      </c>
      <c r="BH78" s="182">
        <f>IS!BH110</f>
        <v>1047</v>
      </c>
      <c r="BI78" s="182">
        <f>IS!BI110</f>
        <v>1049</v>
      </c>
      <c r="BJ78" s="182">
        <f>IS!BJ110</f>
        <v>1051</v>
      </c>
      <c r="BK78" s="183">
        <f>IS!BK110</f>
        <v>1053</v>
      </c>
      <c r="BL78" s="19"/>
      <c r="BM78" s="79">
        <f>IS!BM110</f>
        <v>423.62425000000002</v>
      </c>
      <c r="BN78" s="79">
        <f>IS!BN110</f>
        <v>505.81849999999997</v>
      </c>
      <c r="BO78" s="79">
        <f>IS!BO110</f>
        <v>558.5</v>
      </c>
      <c r="BP78" s="79">
        <f>IS!BP110</f>
        <v>607.5</v>
      </c>
      <c r="BQ78" s="79">
        <f>IS!BQ110</f>
        <v>694.5</v>
      </c>
      <c r="BR78" s="79">
        <f>IS!BR110</f>
        <v>727.25</v>
      </c>
      <c r="BS78" s="79">
        <f>IS!BS110</f>
        <v>745</v>
      </c>
      <c r="BT78" s="79">
        <f>IS!BT110</f>
        <v>745.25</v>
      </c>
      <c r="BU78" s="79">
        <f>IS!BU110</f>
        <v>757.75</v>
      </c>
      <c r="BV78" s="79">
        <f>IS!BV110</f>
        <v>771.5</v>
      </c>
      <c r="BW78" s="79">
        <f>IS!BW110</f>
        <v>782.75</v>
      </c>
      <c r="BX78" s="79">
        <f>IS!BX110</f>
        <v>840</v>
      </c>
      <c r="BY78" s="79">
        <f>IS!BY110</f>
        <v>990.75</v>
      </c>
      <c r="BZ78" s="79">
        <f>IS!BZ110</f>
        <v>1042</v>
      </c>
      <c r="CA78" s="79">
        <f>IS!CA110</f>
        <v>1050</v>
      </c>
      <c r="CB78" s="2121">
        <f>IS!CB110</f>
        <v>1052</v>
      </c>
      <c r="CC78" s="20"/>
      <c r="CD78" s="13"/>
    </row>
    <row r="79" spans="1:82" ht="14.25" customHeight="1">
      <c r="A79" s="7"/>
      <c r="B79" s="828"/>
      <c r="C79" s="22"/>
      <c r="D79" s="182"/>
      <c r="E79" s="182"/>
      <c r="F79" s="182"/>
      <c r="G79" s="183"/>
      <c r="H79" s="182"/>
      <c r="I79" s="182"/>
      <c r="J79" s="182"/>
      <c r="K79" s="183"/>
      <c r="L79" s="182"/>
      <c r="M79" s="182"/>
      <c r="N79" s="182"/>
      <c r="O79" s="183"/>
      <c r="P79" s="182"/>
      <c r="Q79" s="182"/>
      <c r="R79" s="182"/>
      <c r="S79" s="183"/>
      <c r="T79" s="182"/>
      <c r="U79" s="182"/>
      <c r="V79" s="182"/>
      <c r="W79" s="183"/>
      <c r="X79" s="182"/>
      <c r="Y79" s="182"/>
      <c r="Z79" s="182"/>
      <c r="AA79" s="183"/>
      <c r="AB79" s="182"/>
      <c r="AC79" s="182"/>
      <c r="AD79" s="182"/>
      <c r="AE79" s="183"/>
      <c r="AF79" s="182"/>
      <c r="AG79" s="182"/>
      <c r="AH79" s="182"/>
      <c r="AI79" s="183"/>
      <c r="AJ79" s="182"/>
      <c r="AK79" s="182"/>
      <c r="AL79" s="182"/>
      <c r="AM79" s="183"/>
      <c r="AN79" s="182"/>
      <c r="AO79" s="182"/>
      <c r="AP79" s="182"/>
      <c r="AQ79" s="183"/>
      <c r="AR79" s="182"/>
      <c r="AS79" s="182"/>
      <c r="AT79" s="182"/>
      <c r="AU79" s="183"/>
      <c r="AV79" s="182"/>
      <c r="AW79" s="182"/>
      <c r="AX79" s="182"/>
      <c r="AY79" s="183"/>
      <c r="AZ79" s="182"/>
      <c r="BA79" s="182"/>
      <c r="BB79" s="182"/>
      <c r="BC79" s="183"/>
      <c r="BD79" s="182"/>
      <c r="BE79" s="182"/>
      <c r="BF79" s="182"/>
      <c r="BG79" s="183"/>
      <c r="BH79" s="182"/>
      <c r="BI79" s="182"/>
      <c r="BJ79" s="182"/>
      <c r="BK79" s="183"/>
      <c r="BL79" s="19"/>
      <c r="BM79" s="79"/>
      <c r="BN79" s="79"/>
      <c r="BO79" s="79"/>
      <c r="BP79" s="79"/>
      <c r="BQ79" s="79"/>
      <c r="BR79" s="79"/>
      <c r="BS79" s="79"/>
      <c r="BT79" s="79"/>
      <c r="BU79" s="79"/>
      <c r="BV79" s="79"/>
      <c r="BW79" s="79"/>
      <c r="BX79" s="79"/>
      <c r="BY79" s="79"/>
      <c r="BZ79" s="79"/>
      <c r="CA79" s="79"/>
      <c r="CB79" s="2090"/>
      <c r="CC79" s="20"/>
      <c r="CD79" s="13"/>
    </row>
    <row r="80" spans="1:82" ht="14.25" customHeight="1">
      <c r="A80" s="7"/>
      <c r="B80" s="842" t="s">
        <v>352</v>
      </c>
      <c r="C80" s="22"/>
      <c r="D80" s="182"/>
      <c r="E80" s="182"/>
      <c r="F80" s="182"/>
      <c r="G80" s="183"/>
      <c r="H80" s="182"/>
      <c r="I80" s="182"/>
      <c r="J80" s="182"/>
      <c r="K80" s="183"/>
      <c r="L80" s="182"/>
      <c r="M80" s="182"/>
      <c r="N80" s="182"/>
      <c r="O80" s="183"/>
      <c r="P80" s="182"/>
      <c r="Q80" s="182"/>
      <c r="R80" s="182"/>
      <c r="S80" s="183"/>
      <c r="T80" s="182"/>
      <c r="U80" s="182"/>
      <c r="V80" s="182"/>
      <c r="W80" s="183"/>
      <c r="X80" s="182"/>
      <c r="Y80" s="182"/>
      <c r="Z80" s="182"/>
      <c r="AA80" s="183"/>
      <c r="AB80" s="182"/>
      <c r="AC80" s="182"/>
      <c r="AD80" s="182"/>
      <c r="AE80" s="183"/>
      <c r="AF80" s="182"/>
      <c r="AG80" s="182"/>
      <c r="AH80" s="182"/>
      <c r="AI80" s="183"/>
      <c r="AJ80" s="182"/>
      <c r="AK80" s="182"/>
      <c r="AL80" s="182"/>
      <c r="AM80" s="183"/>
      <c r="AN80" s="182"/>
      <c r="AO80" s="182"/>
      <c r="AP80" s="182"/>
      <c r="AQ80" s="183"/>
      <c r="AR80" s="182"/>
      <c r="AS80" s="182"/>
      <c r="AT80" s="182"/>
      <c r="AU80" s="183"/>
      <c r="AV80" s="182"/>
      <c r="AW80" s="182"/>
      <c r="AX80" s="182"/>
      <c r="AY80" s="183"/>
      <c r="AZ80" s="182"/>
      <c r="BA80" s="182"/>
      <c r="BB80" s="182"/>
      <c r="BC80" s="183"/>
      <c r="BD80" s="182"/>
      <c r="BE80" s="182"/>
      <c r="BF80" s="182"/>
      <c r="BG80" s="183"/>
      <c r="BH80" s="182"/>
      <c r="BI80" s="182"/>
      <c r="BJ80" s="182"/>
      <c r="BK80" s="183"/>
      <c r="BL80" s="19"/>
      <c r="BM80" s="79"/>
      <c r="BN80" s="79"/>
      <c r="BO80" s="79"/>
      <c r="BP80" s="79"/>
      <c r="BQ80" s="79"/>
      <c r="BR80" s="79"/>
      <c r="BS80" s="79"/>
      <c r="BT80" s="79"/>
      <c r="BU80" s="79"/>
      <c r="BV80" s="79"/>
      <c r="BW80" s="79"/>
      <c r="BX80" s="79"/>
      <c r="BY80" s="79"/>
      <c r="BZ80" s="79"/>
      <c r="CA80" s="79"/>
      <c r="CB80" s="2090"/>
      <c r="CC80" s="20"/>
      <c r="CD80" s="13"/>
    </row>
    <row r="81" spans="1:88" ht="14.25" customHeight="1">
      <c r="A81" s="7"/>
      <c r="B81" s="839" t="s">
        <v>348</v>
      </c>
      <c r="C81" s="22"/>
      <c r="D81" s="182">
        <f>+D8</f>
        <v>661.98400000000004</v>
      </c>
      <c r="E81" s="182">
        <f t="shared" ref="E81:AL81" si="291">+E8</f>
        <v>711.221</v>
      </c>
      <c r="F81" s="182">
        <f t="shared" si="291"/>
        <v>806.11500000000001</v>
      </c>
      <c r="G81" s="183">
        <f t="shared" si="291"/>
        <v>633.06700000000001</v>
      </c>
      <c r="H81" s="182">
        <f t="shared" si="291"/>
        <v>828.62599999999998</v>
      </c>
      <c r="I81" s="182">
        <f t="shared" si="291"/>
        <v>688.65700000000004</v>
      </c>
      <c r="J81" s="182">
        <f t="shared" si="291"/>
        <v>1384.5260000000001</v>
      </c>
      <c r="K81" s="183">
        <f t="shared" si="291"/>
        <v>1380</v>
      </c>
      <c r="L81" s="182">
        <f t="shared" si="291"/>
        <v>991</v>
      </c>
      <c r="M81" s="182">
        <f t="shared" si="291"/>
        <v>1304</v>
      </c>
      <c r="N81" s="182">
        <f t="shared" si="291"/>
        <v>1096</v>
      </c>
      <c r="O81" s="183">
        <f t="shared" si="291"/>
        <v>1432</v>
      </c>
      <c r="P81" s="182">
        <f t="shared" si="291"/>
        <v>1404</v>
      </c>
      <c r="Q81" s="182">
        <f t="shared" si="291"/>
        <v>1310</v>
      </c>
      <c r="R81" s="182">
        <f t="shared" si="291"/>
        <v>1108</v>
      </c>
      <c r="S81" s="183">
        <f t="shared" si="291"/>
        <v>933</v>
      </c>
      <c r="T81" s="182">
        <f t="shared" si="291"/>
        <v>2402</v>
      </c>
      <c r="U81" s="182">
        <f t="shared" si="291"/>
        <v>1979</v>
      </c>
      <c r="V81" s="182">
        <f t="shared" si="291"/>
        <v>1847</v>
      </c>
      <c r="W81" s="183">
        <f t="shared" si="291"/>
        <v>1657</v>
      </c>
      <c r="X81" s="182">
        <f t="shared" si="291"/>
        <v>642</v>
      </c>
      <c r="Y81" s="182">
        <f t="shared" si="291"/>
        <v>1084</v>
      </c>
      <c r="Z81" s="182">
        <f t="shared" si="291"/>
        <v>620</v>
      </c>
      <c r="AA81" s="183">
        <f>+AA8</f>
        <v>606</v>
      </c>
      <c r="AB81" s="182">
        <f t="shared" si="291"/>
        <v>602</v>
      </c>
      <c r="AC81" s="182">
        <f t="shared" si="291"/>
        <v>554</v>
      </c>
      <c r="AD81" s="182">
        <f t="shared" si="291"/>
        <v>625</v>
      </c>
      <c r="AE81" s="183">
        <f t="shared" si="291"/>
        <v>869</v>
      </c>
      <c r="AF81" s="182">
        <f t="shared" si="291"/>
        <v>1193</v>
      </c>
      <c r="AG81" s="182">
        <f t="shared" si="291"/>
        <v>1015</v>
      </c>
      <c r="AH81" s="182">
        <f t="shared" si="291"/>
        <v>776</v>
      </c>
      <c r="AI81" s="183">
        <f t="shared" si="291"/>
        <v>549</v>
      </c>
      <c r="AJ81" s="182">
        <f t="shared" si="291"/>
        <v>441</v>
      </c>
      <c r="AK81" s="182">
        <f t="shared" si="291"/>
        <v>334</v>
      </c>
      <c r="AL81" s="182">
        <f t="shared" si="291"/>
        <v>543</v>
      </c>
      <c r="AM81" s="183">
        <f t="shared" ref="AM81:AP82" si="292">+AM8</f>
        <v>869</v>
      </c>
      <c r="AN81" s="182">
        <f t="shared" si="292"/>
        <v>554</v>
      </c>
      <c r="AO81" s="182">
        <f t="shared" si="292"/>
        <v>503</v>
      </c>
      <c r="AP81" s="182">
        <f t="shared" si="292"/>
        <v>640</v>
      </c>
      <c r="AQ81" s="183">
        <f t="shared" ref="AQ81:AU82" si="293">+AQ8</f>
        <v>805</v>
      </c>
      <c r="AR81" s="182">
        <f t="shared" si="293"/>
        <v>677</v>
      </c>
      <c r="AS81" s="182">
        <f t="shared" si="293"/>
        <v>829</v>
      </c>
      <c r="AT81" s="182">
        <f t="shared" si="293"/>
        <v>755</v>
      </c>
      <c r="AU81" s="183">
        <f t="shared" si="293"/>
        <v>785</v>
      </c>
      <c r="AV81" s="182">
        <f t="shared" ref="AV81:AY81" si="294">+AV8</f>
        <v>716</v>
      </c>
      <c r="AW81" s="182">
        <f t="shared" si="294"/>
        <v>957</v>
      </c>
      <c r="AX81" s="182">
        <f t="shared" si="294"/>
        <v>1258</v>
      </c>
      <c r="AY81" s="183">
        <f t="shared" si="294"/>
        <v>1264</v>
      </c>
      <c r="AZ81" s="182">
        <f t="shared" ref="AZ81:BC81" si="295">+AZ8</f>
        <v>722</v>
      </c>
      <c r="BA81" s="182">
        <f t="shared" si="295"/>
        <v>760</v>
      </c>
      <c r="BB81" s="182">
        <f t="shared" si="295"/>
        <v>879</v>
      </c>
      <c r="BC81" s="183">
        <f t="shared" si="295"/>
        <v>1185</v>
      </c>
      <c r="BD81" s="182">
        <f t="shared" ref="BD81:BG81" si="296">+BD8</f>
        <v>1045</v>
      </c>
      <c r="BE81" s="182">
        <f t="shared" si="296"/>
        <v>1175.4116601618136</v>
      </c>
      <c r="BF81" s="182">
        <f t="shared" si="296"/>
        <v>1321.55054594116</v>
      </c>
      <c r="BG81" s="183">
        <f t="shared" si="296"/>
        <v>1449.8981177399837</v>
      </c>
      <c r="BH81" s="182">
        <f t="shared" ref="BH81:BK81" si="297">+BH8</f>
        <v>1619.2365541236691</v>
      </c>
      <c r="BI81" s="182">
        <f t="shared" si="297"/>
        <v>1733.9256624607945</v>
      </c>
      <c r="BJ81" s="182">
        <f t="shared" si="297"/>
        <v>1819.1713108402362</v>
      </c>
      <c r="BK81" s="183">
        <f t="shared" si="297"/>
        <v>1963.6684532005058</v>
      </c>
      <c r="BL81" s="19"/>
      <c r="BM81" s="79"/>
      <c r="BN81" s="79"/>
      <c r="BO81" s="79">
        <f t="shared" ref="BO81:BY81" si="298">+BO8</f>
        <v>1432</v>
      </c>
      <c r="BP81" s="79">
        <f t="shared" si="298"/>
        <v>933</v>
      </c>
      <c r="BQ81" s="79">
        <f t="shared" si="298"/>
        <v>1657</v>
      </c>
      <c r="BR81" s="79">
        <f t="shared" si="298"/>
        <v>606</v>
      </c>
      <c r="BS81" s="79">
        <f t="shared" si="298"/>
        <v>869</v>
      </c>
      <c r="BT81" s="79">
        <f t="shared" si="298"/>
        <v>549</v>
      </c>
      <c r="BU81" s="79">
        <f t="shared" si="298"/>
        <v>869</v>
      </c>
      <c r="BV81" s="79">
        <f t="shared" si="298"/>
        <v>805</v>
      </c>
      <c r="BW81" s="79">
        <f t="shared" si="298"/>
        <v>785</v>
      </c>
      <c r="BX81" s="79">
        <f t="shared" si="298"/>
        <v>1264</v>
      </c>
      <c r="BY81" s="79">
        <f t="shared" si="298"/>
        <v>1185</v>
      </c>
      <c r="BZ81" s="79">
        <f t="shared" ref="BZ81:CA81" si="299">+BZ8</f>
        <v>1449.8981177399837</v>
      </c>
      <c r="CA81" s="79">
        <f t="shared" si="299"/>
        <v>1963.6684532005058</v>
      </c>
      <c r="CB81" s="2090">
        <f t="shared" ref="CB81" si="300">+CB8</f>
        <v>2306.282844430516</v>
      </c>
      <c r="CC81" s="20"/>
      <c r="CD81" s="13"/>
    </row>
    <row r="82" spans="1:88" ht="14.25" customHeight="1">
      <c r="A82" s="7"/>
      <c r="B82" s="839" t="s">
        <v>349</v>
      </c>
      <c r="C82" s="22"/>
      <c r="D82" s="182">
        <f>+D9</f>
        <v>422.82499999999999</v>
      </c>
      <c r="E82" s="182">
        <f t="shared" ref="E82:AL82" si="301">+E9</f>
        <v>508.84300000000002</v>
      </c>
      <c r="F82" s="182">
        <f t="shared" si="301"/>
        <v>536.05200000000002</v>
      </c>
      <c r="G82" s="183">
        <f t="shared" si="301"/>
        <v>1002.742</v>
      </c>
      <c r="H82" s="182">
        <f t="shared" si="301"/>
        <v>1804.037</v>
      </c>
      <c r="I82" s="182">
        <f t="shared" si="301"/>
        <v>1841.405</v>
      </c>
      <c r="J82" s="182">
        <f t="shared" si="301"/>
        <v>972.37699999999995</v>
      </c>
      <c r="K82" s="183">
        <f t="shared" si="301"/>
        <v>161</v>
      </c>
      <c r="L82" s="182">
        <f t="shared" si="301"/>
        <v>176</v>
      </c>
      <c r="M82" s="182">
        <f t="shared" si="301"/>
        <v>290</v>
      </c>
      <c r="N82" s="182">
        <f t="shared" si="301"/>
        <v>432</v>
      </c>
      <c r="O82" s="183">
        <f t="shared" si="301"/>
        <v>457</v>
      </c>
      <c r="P82" s="182">
        <f t="shared" si="301"/>
        <v>349</v>
      </c>
      <c r="Q82" s="182">
        <f t="shared" si="301"/>
        <v>257</v>
      </c>
      <c r="R82" s="182">
        <f t="shared" si="301"/>
        <v>233</v>
      </c>
      <c r="S82" s="183">
        <f t="shared" si="301"/>
        <v>163</v>
      </c>
      <c r="T82" s="182">
        <f t="shared" si="301"/>
        <v>317</v>
      </c>
      <c r="U82" s="182">
        <f t="shared" si="301"/>
        <v>535</v>
      </c>
      <c r="V82" s="182">
        <f t="shared" si="301"/>
        <v>664</v>
      </c>
      <c r="W82" s="183">
        <f t="shared" si="301"/>
        <v>1019</v>
      </c>
      <c r="X82" s="182">
        <f t="shared" si="301"/>
        <v>1290</v>
      </c>
      <c r="Y82" s="182">
        <f t="shared" si="301"/>
        <v>812</v>
      </c>
      <c r="Z82" s="182">
        <f t="shared" si="301"/>
        <v>1106</v>
      </c>
      <c r="AA82" s="183">
        <f t="shared" si="301"/>
        <v>1183</v>
      </c>
      <c r="AB82" s="182">
        <f t="shared" si="301"/>
        <v>1143</v>
      </c>
      <c r="AC82" s="182">
        <f t="shared" si="301"/>
        <v>1307</v>
      </c>
      <c r="AD82" s="182">
        <f t="shared" si="301"/>
        <v>1182</v>
      </c>
      <c r="AE82" s="183">
        <f t="shared" si="301"/>
        <v>896</v>
      </c>
      <c r="AF82" s="182">
        <f t="shared" si="301"/>
        <v>351</v>
      </c>
      <c r="AG82" s="182">
        <f t="shared" si="301"/>
        <v>564</v>
      </c>
      <c r="AH82" s="182">
        <f t="shared" si="301"/>
        <v>524</v>
      </c>
      <c r="AI82" s="183">
        <f t="shared" si="301"/>
        <v>453</v>
      </c>
      <c r="AJ82" s="182">
        <f t="shared" si="301"/>
        <v>562</v>
      </c>
      <c r="AK82" s="182">
        <f t="shared" si="301"/>
        <v>634</v>
      </c>
      <c r="AL82" s="182">
        <f t="shared" si="301"/>
        <v>517</v>
      </c>
      <c r="AM82" s="183">
        <f t="shared" si="292"/>
        <v>228</v>
      </c>
      <c r="AN82" s="182">
        <f t="shared" si="292"/>
        <v>348</v>
      </c>
      <c r="AO82" s="182">
        <f t="shared" si="292"/>
        <v>445</v>
      </c>
      <c r="AP82" s="182">
        <f t="shared" si="292"/>
        <v>298</v>
      </c>
      <c r="AQ82" s="183">
        <f t="shared" si="293"/>
        <v>235</v>
      </c>
      <c r="AR82" s="182">
        <f t="shared" si="293"/>
        <v>229</v>
      </c>
      <c r="AS82" s="182">
        <f t="shared" si="293"/>
        <v>0</v>
      </c>
      <c r="AT82" s="182">
        <f t="shared" si="293"/>
        <v>0</v>
      </c>
      <c r="AU82" s="183">
        <f t="shared" si="293"/>
        <v>0</v>
      </c>
      <c r="AV82" s="182">
        <f t="shared" ref="AV82:AY82" si="302">+AV9</f>
        <v>0</v>
      </c>
      <c r="AW82" s="182">
        <f t="shared" si="302"/>
        <v>0</v>
      </c>
      <c r="AX82" s="182">
        <f t="shared" si="302"/>
        <v>0</v>
      </c>
      <c r="AY82" s="183">
        <f t="shared" si="302"/>
        <v>0</v>
      </c>
      <c r="AZ82" s="182">
        <f t="shared" ref="AZ82:BC82" si="303">+AZ9</f>
        <v>221</v>
      </c>
      <c r="BA82" s="182">
        <f t="shared" si="303"/>
        <v>84</v>
      </c>
      <c r="BB82" s="182">
        <f t="shared" si="303"/>
        <v>0</v>
      </c>
      <c r="BC82" s="183">
        <f t="shared" si="303"/>
        <v>0</v>
      </c>
      <c r="BD82" s="182">
        <f t="shared" ref="BD82:BG82" si="304">+BD9</f>
        <v>0</v>
      </c>
      <c r="BE82" s="182">
        <f t="shared" si="304"/>
        <v>0</v>
      </c>
      <c r="BF82" s="182">
        <f t="shared" si="304"/>
        <v>0</v>
      </c>
      <c r="BG82" s="183">
        <f t="shared" si="304"/>
        <v>0</v>
      </c>
      <c r="BH82" s="182">
        <f t="shared" ref="BH82:BK82" si="305">+BH9</f>
        <v>0</v>
      </c>
      <c r="BI82" s="182">
        <f t="shared" si="305"/>
        <v>0</v>
      </c>
      <c r="BJ82" s="182">
        <f t="shared" si="305"/>
        <v>0</v>
      </c>
      <c r="BK82" s="183">
        <f t="shared" si="305"/>
        <v>0</v>
      </c>
      <c r="BL82" s="19"/>
      <c r="BM82" s="79"/>
      <c r="BN82" s="79"/>
      <c r="BO82" s="79">
        <f t="shared" ref="BO82:BY82" si="306">+BO9</f>
        <v>457</v>
      </c>
      <c r="BP82" s="79">
        <f t="shared" si="306"/>
        <v>163</v>
      </c>
      <c r="BQ82" s="79">
        <f t="shared" si="306"/>
        <v>1019</v>
      </c>
      <c r="BR82" s="79">
        <f t="shared" si="306"/>
        <v>1183</v>
      </c>
      <c r="BS82" s="79">
        <f t="shared" si="306"/>
        <v>896</v>
      </c>
      <c r="BT82" s="79">
        <f t="shared" si="306"/>
        <v>453</v>
      </c>
      <c r="BU82" s="79">
        <f t="shared" si="306"/>
        <v>228</v>
      </c>
      <c r="BV82" s="79">
        <f t="shared" si="306"/>
        <v>235</v>
      </c>
      <c r="BW82" s="79">
        <f t="shared" si="306"/>
        <v>0</v>
      </c>
      <c r="BX82" s="79">
        <f t="shared" si="306"/>
        <v>0</v>
      </c>
      <c r="BY82" s="79">
        <f t="shared" si="306"/>
        <v>0</v>
      </c>
      <c r="BZ82" s="79">
        <f t="shared" ref="BZ82:CA82" si="307">+BZ9</f>
        <v>0</v>
      </c>
      <c r="CA82" s="79">
        <f t="shared" si="307"/>
        <v>0</v>
      </c>
      <c r="CB82" s="2090">
        <f t="shared" ref="CB82" si="308">+CB9</f>
        <v>0</v>
      </c>
      <c r="CC82" s="20"/>
      <c r="CD82" s="13"/>
    </row>
    <row r="83" spans="1:88" s="423" customFormat="1" ht="14.25" customHeight="1">
      <c r="A83" s="415"/>
      <c r="B83" s="843" t="s">
        <v>350</v>
      </c>
      <c r="C83" s="417"/>
      <c r="D83" s="418">
        <f>+D18</f>
        <v>0</v>
      </c>
      <c r="E83" s="418">
        <f t="shared" ref="E83:AL83" si="309">+E18</f>
        <v>0</v>
      </c>
      <c r="F83" s="418">
        <f t="shared" si="309"/>
        <v>0</v>
      </c>
      <c r="G83" s="419">
        <f t="shared" si="309"/>
        <v>0</v>
      </c>
      <c r="H83" s="418">
        <f t="shared" si="309"/>
        <v>0</v>
      </c>
      <c r="I83" s="418">
        <f t="shared" si="309"/>
        <v>0</v>
      </c>
      <c r="J83" s="418">
        <f t="shared" si="309"/>
        <v>0</v>
      </c>
      <c r="K83" s="419">
        <f t="shared" si="309"/>
        <v>0</v>
      </c>
      <c r="L83" s="418">
        <f t="shared" si="309"/>
        <v>0</v>
      </c>
      <c r="M83" s="418">
        <f t="shared" si="309"/>
        <v>0</v>
      </c>
      <c r="N83" s="418">
        <f t="shared" si="309"/>
        <v>0</v>
      </c>
      <c r="O83" s="419">
        <f t="shared" si="309"/>
        <v>0</v>
      </c>
      <c r="P83" s="418">
        <f t="shared" si="309"/>
        <v>0</v>
      </c>
      <c r="Q83" s="418">
        <f t="shared" si="309"/>
        <v>0</v>
      </c>
      <c r="R83" s="418">
        <f t="shared" si="309"/>
        <v>0</v>
      </c>
      <c r="S83" s="419">
        <f t="shared" si="309"/>
        <v>0</v>
      </c>
      <c r="T83" s="418">
        <f t="shared" si="309"/>
        <v>0</v>
      </c>
      <c r="U83" s="418">
        <f t="shared" si="309"/>
        <v>0</v>
      </c>
      <c r="V83" s="418">
        <f t="shared" si="309"/>
        <v>0</v>
      </c>
      <c r="W83" s="419">
        <f t="shared" si="309"/>
        <v>0</v>
      </c>
      <c r="X83" s="418">
        <f t="shared" si="309"/>
        <v>0</v>
      </c>
      <c r="Y83" s="418">
        <f t="shared" si="309"/>
        <v>0</v>
      </c>
      <c r="Z83" s="418">
        <f t="shared" si="309"/>
        <v>0</v>
      </c>
      <c r="AA83" s="419">
        <f t="shared" si="309"/>
        <v>0</v>
      </c>
      <c r="AB83" s="418">
        <f t="shared" si="309"/>
        <v>0</v>
      </c>
      <c r="AC83" s="418">
        <f t="shared" si="309"/>
        <v>0</v>
      </c>
      <c r="AD83" s="418">
        <f t="shared" si="309"/>
        <v>50</v>
      </c>
      <c r="AE83" s="419">
        <f t="shared" si="309"/>
        <v>149</v>
      </c>
      <c r="AF83" s="418">
        <f t="shared" si="309"/>
        <v>169</v>
      </c>
      <c r="AG83" s="418">
        <f t="shared" si="309"/>
        <v>180</v>
      </c>
      <c r="AH83" s="418">
        <f t="shared" si="309"/>
        <v>180</v>
      </c>
      <c r="AI83" s="419">
        <f t="shared" si="309"/>
        <v>181</v>
      </c>
      <c r="AJ83" s="418">
        <f t="shared" si="309"/>
        <v>180</v>
      </c>
      <c r="AK83" s="418">
        <f t="shared" si="309"/>
        <v>149</v>
      </c>
      <c r="AL83" s="418">
        <f t="shared" si="309"/>
        <v>121</v>
      </c>
      <c r="AM83" s="419">
        <f t="shared" ref="AM83:AU83" si="310">+AM18</f>
        <v>90</v>
      </c>
      <c r="AN83" s="418">
        <f t="shared" si="310"/>
        <v>80</v>
      </c>
      <c r="AO83" s="418">
        <f t="shared" si="310"/>
        <v>0</v>
      </c>
      <c r="AP83" s="418">
        <f t="shared" si="310"/>
        <v>0</v>
      </c>
      <c r="AQ83" s="419">
        <f t="shared" si="310"/>
        <v>0</v>
      </c>
      <c r="AR83" s="418">
        <f t="shared" si="310"/>
        <v>0</v>
      </c>
      <c r="AS83" s="418">
        <f t="shared" si="310"/>
        <v>0</v>
      </c>
      <c r="AT83" s="418">
        <f t="shared" si="310"/>
        <v>0</v>
      </c>
      <c r="AU83" s="419">
        <f t="shared" si="310"/>
        <v>0</v>
      </c>
      <c r="AV83" s="418">
        <f t="shared" ref="AV83:AY83" si="311">+AV18</f>
        <v>0</v>
      </c>
      <c r="AW83" s="418">
        <f t="shared" si="311"/>
        <v>0</v>
      </c>
      <c r="AX83" s="418">
        <f t="shared" si="311"/>
        <v>0</v>
      </c>
      <c r="AY83" s="419">
        <f t="shared" si="311"/>
        <v>0</v>
      </c>
      <c r="AZ83" s="418">
        <f t="shared" ref="AZ83:BC83" si="312">+AZ18</f>
        <v>0</v>
      </c>
      <c r="BA83" s="418">
        <f t="shared" si="312"/>
        <v>0</v>
      </c>
      <c r="BB83" s="418">
        <f t="shared" si="312"/>
        <v>0</v>
      </c>
      <c r="BC83" s="419">
        <f t="shared" si="312"/>
        <v>0</v>
      </c>
      <c r="BD83" s="418">
        <f t="shared" ref="BD83:BG83" si="313">+BD18</f>
        <v>0</v>
      </c>
      <c r="BE83" s="418">
        <f t="shared" si="313"/>
        <v>0</v>
      </c>
      <c r="BF83" s="418">
        <f t="shared" si="313"/>
        <v>0</v>
      </c>
      <c r="BG83" s="419">
        <f t="shared" si="313"/>
        <v>0</v>
      </c>
      <c r="BH83" s="418">
        <f t="shared" ref="BH83:BK83" si="314">+BH18</f>
        <v>0</v>
      </c>
      <c r="BI83" s="418">
        <f t="shared" si="314"/>
        <v>0</v>
      </c>
      <c r="BJ83" s="418">
        <f t="shared" si="314"/>
        <v>0</v>
      </c>
      <c r="BK83" s="419">
        <f t="shared" si="314"/>
        <v>0</v>
      </c>
      <c r="BL83" s="420"/>
      <c r="BM83" s="421"/>
      <c r="BN83" s="421"/>
      <c r="BO83" s="421">
        <f t="shared" ref="BO83:BY83" si="315">+BO18</f>
        <v>0</v>
      </c>
      <c r="BP83" s="421">
        <f t="shared" si="315"/>
        <v>0</v>
      </c>
      <c r="BQ83" s="421">
        <f t="shared" si="315"/>
        <v>0</v>
      </c>
      <c r="BR83" s="421">
        <f t="shared" si="315"/>
        <v>0</v>
      </c>
      <c r="BS83" s="421">
        <f t="shared" si="315"/>
        <v>149</v>
      </c>
      <c r="BT83" s="421">
        <f t="shared" si="315"/>
        <v>181</v>
      </c>
      <c r="BU83" s="421">
        <f t="shared" si="315"/>
        <v>90</v>
      </c>
      <c r="BV83" s="421">
        <f t="shared" si="315"/>
        <v>0</v>
      </c>
      <c r="BW83" s="421">
        <f t="shared" si="315"/>
        <v>0</v>
      </c>
      <c r="BX83" s="421">
        <f t="shared" si="315"/>
        <v>0</v>
      </c>
      <c r="BY83" s="421">
        <f t="shared" si="315"/>
        <v>0</v>
      </c>
      <c r="BZ83" s="421">
        <f t="shared" ref="BZ83:CA83" si="316">+BZ18</f>
        <v>0</v>
      </c>
      <c r="CA83" s="421">
        <f t="shared" si="316"/>
        <v>0</v>
      </c>
      <c r="CB83" s="2122">
        <f t="shared" ref="CB83" si="317">+CB18</f>
        <v>0</v>
      </c>
      <c r="CC83" s="422"/>
      <c r="CD83" s="440"/>
      <c r="CE83"/>
      <c r="CF83"/>
      <c r="CG83"/>
      <c r="CH83"/>
      <c r="CI83"/>
      <c r="CJ83"/>
    </row>
    <row r="84" spans="1:88" ht="14.25" customHeight="1">
      <c r="A84" s="7"/>
      <c r="B84" s="828" t="s">
        <v>351</v>
      </c>
      <c r="C84" s="22"/>
      <c r="D84" s="182">
        <f>+SUM(D81:D83)</f>
        <v>1084.809</v>
      </c>
      <c r="E84" s="182">
        <f t="shared" ref="E84:AM84" si="318">+SUM(E81:E83)</f>
        <v>1220.0640000000001</v>
      </c>
      <c r="F84" s="182">
        <f t="shared" si="318"/>
        <v>1342.1669999999999</v>
      </c>
      <c r="G84" s="183">
        <f t="shared" si="318"/>
        <v>1635.809</v>
      </c>
      <c r="H84" s="182">
        <f t="shared" si="318"/>
        <v>2632.663</v>
      </c>
      <c r="I84" s="182">
        <f t="shared" si="318"/>
        <v>2530.0619999999999</v>
      </c>
      <c r="J84" s="182">
        <f t="shared" si="318"/>
        <v>2356.9030000000002</v>
      </c>
      <c r="K84" s="183">
        <f t="shared" si="318"/>
        <v>1541</v>
      </c>
      <c r="L84" s="182">
        <f t="shared" si="318"/>
        <v>1167</v>
      </c>
      <c r="M84" s="182">
        <f t="shared" si="318"/>
        <v>1594</v>
      </c>
      <c r="N84" s="182">
        <f t="shared" si="318"/>
        <v>1528</v>
      </c>
      <c r="O84" s="183">
        <f t="shared" si="318"/>
        <v>1889</v>
      </c>
      <c r="P84" s="182">
        <f t="shared" si="318"/>
        <v>1753</v>
      </c>
      <c r="Q84" s="182">
        <f t="shared" si="318"/>
        <v>1567</v>
      </c>
      <c r="R84" s="182">
        <f t="shared" si="318"/>
        <v>1341</v>
      </c>
      <c r="S84" s="183">
        <f t="shared" si="318"/>
        <v>1096</v>
      </c>
      <c r="T84" s="182">
        <f t="shared" si="318"/>
        <v>2719</v>
      </c>
      <c r="U84" s="182">
        <f t="shared" si="318"/>
        <v>2514</v>
      </c>
      <c r="V84" s="182">
        <f t="shared" si="318"/>
        <v>2511</v>
      </c>
      <c r="W84" s="183">
        <f t="shared" si="318"/>
        <v>2676</v>
      </c>
      <c r="X84" s="182">
        <f t="shared" si="318"/>
        <v>1932</v>
      </c>
      <c r="Y84" s="182">
        <f t="shared" si="318"/>
        <v>1896</v>
      </c>
      <c r="Z84" s="182">
        <f t="shared" si="318"/>
        <v>1726</v>
      </c>
      <c r="AA84" s="183">
        <f t="shared" si="318"/>
        <v>1789</v>
      </c>
      <c r="AB84" s="182">
        <f t="shared" si="318"/>
        <v>1745</v>
      </c>
      <c r="AC84" s="182">
        <f t="shared" si="318"/>
        <v>1861</v>
      </c>
      <c r="AD84" s="182">
        <f t="shared" si="318"/>
        <v>1857</v>
      </c>
      <c r="AE84" s="183">
        <f t="shared" si="318"/>
        <v>1914</v>
      </c>
      <c r="AF84" s="182">
        <f t="shared" si="318"/>
        <v>1713</v>
      </c>
      <c r="AG84" s="182">
        <f t="shared" si="318"/>
        <v>1759</v>
      </c>
      <c r="AH84" s="182">
        <f t="shared" si="318"/>
        <v>1480</v>
      </c>
      <c r="AI84" s="183">
        <f t="shared" si="318"/>
        <v>1183</v>
      </c>
      <c r="AJ84" s="458">
        <f t="shared" si="318"/>
        <v>1183</v>
      </c>
      <c r="AK84" s="458">
        <f t="shared" si="318"/>
        <v>1117</v>
      </c>
      <c r="AL84" s="458">
        <f t="shared" si="318"/>
        <v>1181</v>
      </c>
      <c r="AM84" s="183">
        <f t="shared" si="318"/>
        <v>1187</v>
      </c>
      <c r="AN84" s="458">
        <f t="shared" ref="AN84:AU84" si="319">+SUM(AN81:AN83)</f>
        <v>982</v>
      </c>
      <c r="AO84" s="458">
        <f t="shared" si="319"/>
        <v>948</v>
      </c>
      <c r="AP84" s="458">
        <f t="shared" si="319"/>
        <v>938</v>
      </c>
      <c r="AQ84" s="183">
        <f t="shared" si="319"/>
        <v>1040</v>
      </c>
      <c r="AR84" s="458">
        <f>+SUM(AR81:AR83)</f>
        <v>906</v>
      </c>
      <c r="AS84" s="458">
        <f t="shared" si="319"/>
        <v>829</v>
      </c>
      <c r="AT84" s="458">
        <f t="shared" si="319"/>
        <v>755</v>
      </c>
      <c r="AU84" s="183">
        <f t="shared" si="319"/>
        <v>785</v>
      </c>
      <c r="AV84" s="458">
        <f>+SUM(AV81:AV83)</f>
        <v>716</v>
      </c>
      <c r="AW84" s="458">
        <f t="shared" ref="AW84:AY84" si="320">+SUM(AW81:AW83)</f>
        <v>957</v>
      </c>
      <c r="AX84" s="458">
        <f t="shared" si="320"/>
        <v>1258</v>
      </c>
      <c r="AY84" s="183">
        <f t="shared" si="320"/>
        <v>1264</v>
      </c>
      <c r="AZ84" s="458">
        <f t="shared" ref="AZ84:BC84" si="321">+SUM(AZ81:AZ83)</f>
        <v>943</v>
      </c>
      <c r="BA84" s="458">
        <f t="shared" si="321"/>
        <v>844</v>
      </c>
      <c r="BB84" s="458">
        <f t="shared" si="321"/>
        <v>879</v>
      </c>
      <c r="BC84" s="459">
        <f t="shared" si="321"/>
        <v>1185</v>
      </c>
      <c r="BD84" s="458">
        <f t="shared" ref="BD84:BG84" si="322">+SUM(BD81:BD83)</f>
        <v>1045</v>
      </c>
      <c r="BE84" s="458">
        <f t="shared" si="322"/>
        <v>1175.4116601618136</v>
      </c>
      <c r="BF84" s="458">
        <f t="shared" si="322"/>
        <v>1321.55054594116</v>
      </c>
      <c r="BG84" s="459">
        <f t="shared" si="322"/>
        <v>1449.8981177399837</v>
      </c>
      <c r="BH84" s="458">
        <f t="shared" ref="BH84:BK84" si="323">+SUM(BH81:BH83)</f>
        <v>1619.2365541236691</v>
      </c>
      <c r="BI84" s="458">
        <f t="shared" si="323"/>
        <v>1733.9256624607945</v>
      </c>
      <c r="BJ84" s="458">
        <f t="shared" si="323"/>
        <v>1819.1713108402362</v>
      </c>
      <c r="BK84" s="459">
        <f t="shared" si="323"/>
        <v>1963.6684532005058</v>
      </c>
      <c r="BL84" s="19"/>
      <c r="BM84" s="79"/>
      <c r="BN84" s="79"/>
      <c r="BO84" s="79">
        <f t="shared" ref="BO84:BY84" si="324">+SUM(BO81:BO83)</f>
        <v>1889</v>
      </c>
      <c r="BP84" s="79">
        <f t="shared" si="324"/>
        <v>1096</v>
      </c>
      <c r="BQ84" s="79">
        <f t="shared" si="324"/>
        <v>2676</v>
      </c>
      <c r="BR84" s="79">
        <f t="shared" si="324"/>
        <v>1789</v>
      </c>
      <c r="BS84" s="79">
        <f t="shared" si="324"/>
        <v>1914</v>
      </c>
      <c r="BT84" s="79">
        <f t="shared" si="324"/>
        <v>1183</v>
      </c>
      <c r="BU84" s="79">
        <f t="shared" si="324"/>
        <v>1187</v>
      </c>
      <c r="BV84" s="79">
        <f t="shared" si="324"/>
        <v>1040</v>
      </c>
      <c r="BW84" s="79">
        <f t="shared" si="324"/>
        <v>785</v>
      </c>
      <c r="BX84" s="79">
        <f t="shared" si="324"/>
        <v>1264</v>
      </c>
      <c r="BY84" s="79">
        <f t="shared" si="324"/>
        <v>1185</v>
      </c>
      <c r="BZ84" s="79">
        <f t="shared" ref="BZ84:CA84" si="325">+SUM(BZ81:BZ83)</f>
        <v>1449.8981177399837</v>
      </c>
      <c r="CA84" s="79">
        <f t="shared" si="325"/>
        <v>1963.6684532005058</v>
      </c>
      <c r="CB84" s="2090">
        <f t="shared" ref="CB84" si="326">+SUM(CB81:CB83)</f>
        <v>2306.282844430516</v>
      </c>
      <c r="CC84" s="20"/>
      <c r="CD84" s="13"/>
    </row>
    <row r="85" spans="1:88" ht="14.25" customHeight="1">
      <c r="A85" s="7"/>
      <c r="B85" s="828"/>
      <c r="C85" s="22"/>
      <c r="D85" s="182"/>
      <c r="E85" s="182"/>
      <c r="F85" s="182"/>
      <c r="G85" s="183"/>
      <c r="H85" s="182"/>
      <c r="I85" s="182"/>
      <c r="J85" s="182"/>
      <c r="K85" s="183"/>
      <c r="L85" s="182"/>
      <c r="M85" s="182"/>
      <c r="N85" s="182"/>
      <c r="O85" s="183"/>
      <c r="P85" s="182"/>
      <c r="Q85" s="182"/>
      <c r="R85" s="182"/>
      <c r="S85" s="183"/>
      <c r="T85" s="182"/>
      <c r="U85" s="182"/>
      <c r="V85" s="182"/>
      <c r="W85" s="183"/>
      <c r="X85" s="182"/>
      <c r="Y85" s="182"/>
      <c r="Z85" s="182"/>
      <c r="AA85" s="183"/>
      <c r="AB85" s="182"/>
      <c r="AC85" s="182"/>
      <c r="AD85" s="182"/>
      <c r="AE85" s="183"/>
      <c r="AF85" s="182"/>
      <c r="AG85" s="182"/>
      <c r="AH85" s="182"/>
      <c r="AI85" s="183"/>
      <c r="AJ85" s="182"/>
      <c r="AK85" s="182"/>
      <c r="AL85" s="182"/>
      <c r="AM85" s="183"/>
      <c r="AN85" s="182"/>
      <c r="AO85" s="182"/>
      <c r="AP85" s="182"/>
      <c r="AQ85" s="183"/>
      <c r="AR85" s="182"/>
      <c r="AS85" s="182"/>
      <c r="AT85" s="182"/>
      <c r="AU85" s="183"/>
      <c r="AV85" s="182"/>
      <c r="AW85" s="182"/>
      <c r="AX85" s="182"/>
      <c r="AY85" s="183"/>
      <c r="AZ85" s="182"/>
      <c r="BA85" s="182"/>
      <c r="BB85" s="182"/>
      <c r="BC85" s="183"/>
      <c r="BD85" s="182"/>
      <c r="BE85" s="182"/>
      <c r="BF85" s="182"/>
      <c r="BG85" s="183"/>
      <c r="BH85" s="182"/>
      <c r="BI85" s="182"/>
      <c r="BJ85" s="182"/>
      <c r="BK85" s="183"/>
      <c r="BL85" s="19"/>
      <c r="BM85" s="79"/>
      <c r="BN85" s="79"/>
      <c r="BO85" s="79"/>
      <c r="BP85" s="79"/>
      <c r="BQ85" s="79"/>
      <c r="BR85" s="79"/>
      <c r="BS85" s="79"/>
      <c r="BT85" s="79"/>
      <c r="BU85" s="79"/>
      <c r="BV85" s="79"/>
      <c r="BW85" s="79"/>
      <c r="BX85" s="79"/>
      <c r="BY85" s="79"/>
      <c r="BZ85" s="79"/>
      <c r="CA85" s="79"/>
      <c r="CB85" s="2090"/>
      <c r="CC85" s="20"/>
      <c r="CD85" s="13"/>
    </row>
    <row r="86" spans="1:88" ht="14.25" customHeight="1">
      <c r="A86" s="7"/>
      <c r="B86" s="828"/>
      <c r="C86" s="22"/>
      <c r="D86" s="182"/>
      <c r="E86" s="182"/>
      <c r="F86" s="182"/>
      <c r="G86" s="183"/>
      <c r="H86" s="182"/>
      <c r="I86" s="182"/>
      <c r="J86" s="182"/>
      <c r="K86" s="183"/>
      <c r="L86" s="182"/>
      <c r="M86" s="182"/>
      <c r="N86" s="182"/>
      <c r="O86" s="183"/>
      <c r="P86" s="182"/>
      <c r="Q86" s="182"/>
      <c r="R86" s="182"/>
      <c r="S86" s="183"/>
      <c r="T86" s="182"/>
      <c r="U86" s="182"/>
      <c r="V86" s="182"/>
      <c r="W86" s="183"/>
      <c r="X86" s="182"/>
      <c r="Y86" s="182"/>
      <c r="Z86" s="182"/>
      <c r="AA86" s="183"/>
      <c r="AB86" s="182"/>
      <c r="AC86" s="182"/>
      <c r="AD86" s="182"/>
      <c r="AE86" s="183"/>
      <c r="AF86" s="182"/>
      <c r="AG86" s="182"/>
      <c r="AH86" s="182"/>
      <c r="AI86" s="183"/>
      <c r="AJ86" s="182"/>
      <c r="AK86" s="182"/>
      <c r="AL86" s="182"/>
      <c r="AM86" s="183"/>
      <c r="AN86" s="182"/>
      <c r="AO86" s="182"/>
      <c r="AP86" s="182"/>
      <c r="AQ86" s="183"/>
      <c r="AR86" s="182"/>
      <c r="AS86" s="182"/>
      <c r="AT86" s="182"/>
      <c r="AU86" s="183"/>
      <c r="AV86" s="182"/>
      <c r="AW86" s="182"/>
      <c r="AX86" s="182"/>
      <c r="AY86" s="183"/>
      <c r="AZ86" s="182"/>
      <c r="BA86" s="182"/>
      <c r="BB86" s="182"/>
      <c r="BC86" s="183"/>
      <c r="BD86" s="182"/>
      <c r="BE86" s="182"/>
      <c r="BF86" s="182"/>
      <c r="BG86" s="183"/>
      <c r="BH86" s="182"/>
      <c r="BI86" s="182"/>
      <c r="BJ86" s="182"/>
      <c r="BK86" s="183"/>
      <c r="BL86" s="19"/>
      <c r="BM86" s="79"/>
      <c r="BN86" s="79"/>
      <c r="BO86" s="79"/>
      <c r="BP86" s="79"/>
      <c r="BQ86" s="79"/>
      <c r="BR86" s="79"/>
      <c r="BS86" s="79"/>
      <c r="BT86" s="79"/>
      <c r="BU86" s="79"/>
      <c r="BV86" s="79"/>
      <c r="BW86" s="79"/>
      <c r="BX86" s="79"/>
      <c r="BY86" s="79"/>
      <c r="BZ86" s="79"/>
      <c r="CA86" s="79"/>
      <c r="CB86" s="2090"/>
      <c r="CC86" s="20"/>
      <c r="CD86" s="13"/>
    </row>
    <row r="87" spans="1:88" s="423" customFormat="1" ht="14.25" customHeight="1">
      <c r="A87" s="415"/>
      <c r="B87" s="844" t="s">
        <v>598</v>
      </c>
      <c r="C87" s="417"/>
      <c r="D87" s="418"/>
      <c r="E87" s="418"/>
      <c r="F87" s="418"/>
      <c r="G87" s="419"/>
      <c r="H87" s="418"/>
      <c r="I87" s="418"/>
      <c r="J87" s="418"/>
      <c r="K87" s="419"/>
      <c r="L87" s="418"/>
      <c r="M87" s="418"/>
      <c r="N87" s="418"/>
      <c r="O87" s="419"/>
      <c r="P87" s="418"/>
      <c r="Q87" s="418"/>
      <c r="R87" s="418"/>
      <c r="S87" s="419"/>
      <c r="T87" s="418"/>
      <c r="U87" s="418"/>
      <c r="V87" s="418"/>
      <c r="W87" s="419"/>
      <c r="X87" s="418"/>
      <c r="Y87" s="418"/>
      <c r="Z87" s="418"/>
      <c r="AA87" s="419"/>
      <c r="AB87" s="418"/>
      <c r="AC87" s="418"/>
      <c r="AD87" s="418"/>
      <c r="AE87" s="419"/>
      <c r="AF87" s="418"/>
      <c r="AG87" s="418"/>
      <c r="AH87" s="418"/>
      <c r="AI87" s="419"/>
      <c r="AJ87" s="418"/>
      <c r="AK87" s="418"/>
      <c r="AL87" s="418"/>
      <c r="AM87" s="419"/>
      <c r="AN87" s="418"/>
      <c r="AO87" s="418"/>
      <c r="AP87" s="418"/>
      <c r="AQ87" s="419"/>
      <c r="AR87" s="418"/>
      <c r="AS87" s="418"/>
      <c r="AT87" s="418"/>
      <c r="AU87" s="419"/>
      <c r="AV87" s="418"/>
      <c r="AW87" s="418"/>
      <c r="AX87" s="418"/>
      <c r="AY87" s="419"/>
      <c r="AZ87" s="418"/>
      <c r="BA87" s="418"/>
      <c r="BB87" s="418"/>
      <c r="BC87" s="419"/>
      <c r="BD87" s="418"/>
      <c r="BE87" s="418"/>
      <c r="BF87" s="418"/>
      <c r="BG87" s="419"/>
      <c r="BH87" s="418"/>
      <c r="BI87" s="418"/>
      <c r="BJ87" s="418"/>
      <c r="BK87" s="419"/>
      <c r="BL87" s="420"/>
      <c r="BM87" s="421"/>
      <c r="BN87" s="421"/>
      <c r="BO87" s="421">
        <f>BO37+BO27</f>
        <v>5269</v>
      </c>
      <c r="BP87" s="421">
        <f t="shared" ref="BP87:BY87" si="327">BP37+BP27</f>
        <v>4776</v>
      </c>
      <c r="BQ87" s="421">
        <f t="shared" si="327"/>
        <v>4560</v>
      </c>
      <c r="BR87" s="421">
        <f t="shared" si="327"/>
        <v>2192</v>
      </c>
      <c r="BS87" s="421">
        <f t="shared" si="327"/>
        <v>2016</v>
      </c>
      <c r="BT87" s="421">
        <f t="shared" si="327"/>
        <v>2042</v>
      </c>
      <c r="BU87" s="421">
        <f t="shared" si="327"/>
        <v>2058</v>
      </c>
      <c r="BV87" s="421">
        <f t="shared" si="327"/>
        <v>2212</v>
      </c>
      <c r="BW87" s="421">
        <f t="shared" si="327"/>
        <v>2262</v>
      </c>
      <c r="BX87" s="421">
        <f t="shared" si="327"/>
        <v>1435</v>
      </c>
      <c r="BY87" s="421">
        <f t="shared" si="327"/>
        <v>1395</v>
      </c>
      <c r="BZ87" s="421">
        <f t="shared" ref="BZ87:CA87" si="328">BZ37+BZ27</f>
        <v>1388</v>
      </c>
      <c r="CA87" s="421">
        <f t="shared" si="328"/>
        <v>1388</v>
      </c>
      <c r="CB87" s="2122">
        <f t="shared" ref="CB87" si="329">CB37+CB27</f>
        <v>1388</v>
      </c>
      <c r="CC87" s="422"/>
      <c r="CD87" s="440"/>
      <c r="CE87"/>
      <c r="CF87"/>
      <c r="CG87"/>
      <c r="CH87"/>
      <c r="CI87"/>
      <c r="CJ87"/>
    </row>
    <row r="88" spans="1:88" s="423" customFormat="1" ht="14.25" customHeight="1">
      <c r="A88" s="415"/>
      <c r="B88" s="828" t="s">
        <v>483</v>
      </c>
      <c r="C88" s="417"/>
      <c r="D88" s="182"/>
      <c r="E88" s="182"/>
      <c r="F88" s="182"/>
      <c r="G88" s="183"/>
      <c r="H88" s="182"/>
      <c r="I88" s="182"/>
      <c r="J88" s="182"/>
      <c r="K88" s="183"/>
      <c r="L88" s="182"/>
      <c r="M88" s="182"/>
      <c r="N88" s="182"/>
      <c r="O88" s="183"/>
      <c r="P88" s="182"/>
      <c r="Q88" s="182"/>
      <c r="R88" s="182"/>
      <c r="S88" s="183"/>
      <c r="T88" s="182"/>
      <c r="U88" s="182"/>
      <c r="V88" s="182"/>
      <c r="W88" s="183"/>
      <c r="X88" s="182"/>
      <c r="Y88" s="182"/>
      <c r="Z88" s="182"/>
      <c r="AA88" s="183"/>
      <c r="AB88" s="182">
        <f>+AB121</f>
        <v>2290</v>
      </c>
      <c r="AC88" s="182">
        <f t="shared" ref="AC88:AL88" si="330">+AC121</f>
        <v>2296</v>
      </c>
      <c r="AD88" s="182">
        <f t="shared" si="330"/>
        <v>2146</v>
      </c>
      <c r="AE88" s="183">
        <f t="shared" si="330"/>
        <v>2091</v>
      </c>
      <c r="AF88" s="182">
        <f t="shared" si="330"/>
        <v>2095</v>
      </c>
      <c r="AG88" s="182">
        <f t="shared" si="330"/>
        <v>2095</v>
      </c>
      <c r="AH88" s="182">
        <f t="shared" si="330"/>
        <v>2110</v>
      </c>
      <c r="AI88" s="183">
        <f t="shared" si="330"/>
        <v>2110</v>
      </c>
      <c r="AJ88" s="182">
        <f t="shared" si="330"/>
        <v>2260</v>
      </c>
      <c r="AK88" s="182">
        <f t="shared" si="330"/>
        <v>2260</v>
      </c>
      <c r="AL88" s="182">
        <f t="shared" si="330"/>
        <v>2260</v>
      </c>
      <c r="AM88" s="183">
        <f t="shared" ref="AM88:AU88" si="331">+AM121</f>
        <v>2260</v>
      </c>
      <c r="AN88" s="182">
        <f t="shared" si="331"/>
        <v>2260</v>
      </c>
      <c r="AO88" s="182">
        <f t="shared" si="331"/>
        <v>2260</v>
      </c>
      <c r="AP88" s="182">
        <f t="shared" si="331"/>
        <v>2260</v>
      </c>
      <c r="AQ88" s="183">
        <f t="shared" si="331"/>
        <v>2260</v>
      </c>
      <c r="AR88" s="182">
        <f t="shared" si="331"/>
        <v>2268</v>
      </c>
      <c r="AS88" s="182">
        <f t="shared" si="331"/>
        <v>2269</v>
      </c>
      <c r="AT88" s="182">
        <f t="shared" si="331"/>
        <v>2260</v>
      </c>
      <c r="AU88" s="183">
        <f t="shared" si="331"/>
        <v>2237</v>
      </c>
      <c r="AV88" s="182">
        <f t="shared" ref="AV88:AY88" si="332">+AV121</f>
        <v>2236</v>
      </c>
      <c r="AW88" s="182">
        <f t="shared" si="332"/>
        <v>2238</v>
      </c>
      <c r="AX88" s="182">
        <f t="shared" si="332"/>
        <v>2260</v>
      </c>
      <c r="AY88" s="183">
        <f t="shared" si="332"/>
        <v>1435</v>
      </c>
      <c r="AZ88" s="182">
        <f t="shared" ref="AZ88:BC88" si="333">+AZ121</f>
        <v>1435</v>
      </c>
      <c r="BA88" s="182">
        <f t="shared" si="333"/>
        <v>1435</v>
      </c>
      <c r="BB88" s="182">
        <f>BB27+BB37</f>
        <v>1356</v>
      </c>
      <c r="BC88" s="183">
        <f t="shared" si="333"/>
        <v>1435</v>
      </c>
      <c r="BD88" s="182">
        <f t="shared" ref="BD88:BG88" si="334">+BD121</f>
        <v>1435</v>
      </c>
      <c r="BE88" s="182">
        <f t="shared" si="334"/>
        <v>1435</v>
      </c>
      <c r="BF88" s="182">
        <f t="shared" si="334"/>
        <v>1435</v>
      </c>
      <c r="BG88" s="183">
        <f t="shared" si="334"/>
        <v>1435</v>
      </c>
      <c r="BH88" s="182">
        <f t="shared" ref="BH88:BK88" si="335">+BH121</f>
        <v>1435</v>
      </c>
      <c r="BI88" s="182">
        <f t="shared" si="335"/>
        <v>1435</v>
      </c>
      <c r="BJ88" s="182">
        <f t="shared" si="335"/>
        <v>1435</v>
      </c>
      <c r="BK88" s="183">
        <f t="shared" si="335"/>
        <v>1435</v>
      </c>
      <c r="BL88" s="420"/>
      <c r="BM88" s="421"/>
      <c r="BN88" s="421"/>
      <c r="BO88" s="79">
        <f>+AA88</f>
        <v>0</v>
      </c>
      <c r="BP88" s="79">
        <f>+AB88</f>
        <v>2290</v>
      </c>
      <c r="BQ88" s="79">
        <f>+AC88</f>
        <v>2296</v>
      </c>
      <c r="BR88" s="79">
        <f>+AD88</f>
        <v>2146</v>
      </c>
      <c r="BS88" s="79">
        <f>+AE88</f>
        <v>2091</v>
      </c>
      <c r="BT88" s="79">
        <f>+AI88</f>
        <v>2110</v>
      </c>
      <c r="BU88" s="79">
        <f>+AM88</f>
        <v>2260</v>
      </c>
      <c r="BV88" s="79">
        <f>+AQ88</f>
        <v>2260</v>
      </c>
      <c r="BW88" s="79">
        <f t="shared" ref="BW88:CB88" si="336">+BW121</f>
        <v>2262</v>
      </c>
      <c r="BX88" s="79">
        <f t="shared" si="336"/>
        <v>1768</v>
      </c>
      <c r="BY88" s="79">
        <f t="shared" si="336"/>
        <v>1435</v>
      </c>
      <c r="BZ88" s="79">
        <f t="shared" si="336"/>
        <v>1435</v>
      </c>
      <c r="CA88" s="79">
        <f t="shared" si="336"/>
        <v>1435</v>
      </c>
      <c r="CB88" s="2090">
        <f t="shared" si="336"/>
        <v>1435</v>
      </c>
      <c r="CC88" s="422"/>
      <c r="CD88" s="440"/>
      <c r="CE88"/>
      <c r="CF88"/>
      <c r="CG88"/>
      <c r="CH88"/>
      <c r="CI88"/>
      <c r="CJ88"/>
    </row>
    <row r="89" spans="1:88" s="423" customFormat="1" ht="14.25" customHeight="1">
      <c r="A89" s="415"/>
      <c r="B89" s="844"/>
      <c r="C89" s="417"/>
      <c r="D89" s="418"/>
      <c r="E89" s="418"/>
      <c r="F89" s="418"/>
      <c r="G89" s="419"/>
      <c r="H89" s="418"/>
      <c r="I89" s="418"/>
      <c r="J89" s="418"/>
      <c r="K89" s="419"/>
      <c r="L89" s="418"/>
      <c r="M89" s="418"/>
      <c r="N89" s="418"/>
      <c r="O89" s="419"/>
      <c r="P89" s="418"/>
      <c r="Q89" s="418"/>
      <c r="R89" s="418"/>
      <c r="S89" s="419"/>
      <c r="T89" s="418"/>
      <c r="U89" s="418"/>
      <c r="V89" s="418"/>
      <c r="W89" s="419"/>
      <c r="X89" s="418"/>
      <c r="Y89" s="418"/>
      <c r="Z89" s="418"/>
      <c r="AA89" s="419"/>
      <c r="AB89" s="418"/>
      <c r="AC89" s="418"/>
      <c r="AD89" s="418"/>
      <c r="AE89" s="419"/>
      <c r="AF89" s="418"/>
      <c r="AG89" s="418"/>
      <c r="AH89" s="418"/>
      <c r="AI89" s="419"/>
      <c r="AJ89" s="418"/>
      <c r="AK89" s="418"/>
      <c r="AL89" s="418"/>
      <c r="AM89" s="419"/>
      <c r="AN89" s="418"/>
      <c r="AO89" s="418"/>
      <c r="AP89" s="418"/>
      <c r="AQ89" s="419"/>
      <c r="AR89" s="418"/>
      <c r="AS89" s="418"/>
      <c r="AT89" s="418"/>
      <c r="AU89" s="419"/>
      <c r="AV89" s="418"/>
      <c r="AW89" s="418"/>
      <c r="AX89" s="418"/>
      <c r="AY89" s="419"/>
      <c r="AZ89" s="418"/>
      <c r="BA89" s="418"/>
      <c r="BB89" s="418"/>
      <c r="BC89" s="419"/>
      <c r="BD89" s="418"/>
      <c r="BE89" s="418"/>
      <c r="BF89" s="418"/>
      <c r="BG89" s="419"/>
      <c r="BH89" s="418"/>
      <c r="BI89" s="418"/>
      <c r="BJ89" s="418"/>
      <c r="BK89" s="419"/>
      <c r="BL89" s="420"/>
      <c r="BM89" s="421"/>
      <c r="BN89" s="421"/>
      <c r="BO89" s="421"/>
      <c r="BP89" s="421"/>
      <c r="BQ89" s="421"/>
      <c r="BR89" s="79"/>
      <c r="BS89" s="79"/>
      <c r="BT89" s="79"/>
      <c r="BU89" s="79"/>
      <c r="BV89" s="79"/>
      <c r="BW89" s="79"/>
      <c r="BX89" s="79"/>
      <c r="BY89" s="79"/>
      <c r="BZ89" s="79"/>
      <c r="CA89" s="79"/>
      <c r="CB89" s="2090"/>
      <c r="CC89" s="422"/>
      <c r="CD89" s="440"/>
      <c r="CE89"/>
      <c r="CF89"/>
      <c r="CG89"/>
      <c r="CH89"/>
      <c r="CI89"/>
      <c r="CJ89"/>
    </row>
    <row r="90" spans="1:88" ht="14.25" customHeight="1">
      <c r="A90" s="7"/>
      <c r="B90" s="845" t="s">
        <v>447</v>
      </c>
      <c r="C90" s="22"/>
      <c r="D90" s="182">
        <f t="shared" ref="D90:AL90" si="337">+D88-D84</f>
        <v>-1084.809</v>
      </c>
      <c r="E90" s="182">
        <f t="shared" si="337"/>
        <v>-1220.0640000000001</v>
      </c>
      <c r="F90" s="182">
        <f t="shared" si="337"/>
        <v>-1342.1669999999999</v>
      </c>
      <c r="G90" s="183">
        <f t="shared" si="337"/>
        <v>-1635.809</v>
      </c>
      <c r="H90" s="182">
        <f t="shared" si="337"/>
        <v>-2632.663</v>
      </c>
      <c r="I90" s="182">
        <f t="shared" si="337"/>
        <v>-2530.0619999999999</v>
      </c>
      <c r="J90" s="182">
        <f t="shared" si="337"/>
        <v>-2356.9030000000002</v>
      </c>
      <c r="K90" s="183">
        <f t="shared" si="337"/>
        <v>-1541</v>
      </c>
      <c r="L90" s="182">
        <f t="shared" si="337"/>
        <v>-1167</v>
      </c>
      <c r="M90" s="182">
        <f t="shared" si="337"/>
        <v>-1594</v>
      </c>
      <c r="N90" s="182">
        <f t="shared" si="337"/>
        <v>-1528</v>
      </c>
      <c r="O90" s="183">
        <f t="shared" si="337"/>
        <v>-1889</v>
      </c>
      <c r="P90" s="182">
        <f t="shared" si="337"/>
        <v>-1753</v>
      </c>
      <c r="Q90" s="182">
        <f t="shared" si="337"/>
        <v>-1567</v>
      </c>
      <c r="R90" s="182">
        <f t="shared" si="337"/>
        <v>-1341</v>
      </c>
      <c r="S90" s="183">
        <f t="shared" si="337"/>
        <v>-1096</v>
      </c>
      <c r="T90" s="182">
        <f t="shared" si="337"/>
        <v>-2719</v>
      </c>
      <c r="U90" s="182">
        <f t="shared" si="337"/>
        <v>-2514</v>
      </c>
      <c r="V90" s="182">
        <f t="shared" si="337"/>
        <v>-2511</v>
      </c>
      <c r="W90" s="183">
        <f t="shared" si="337"/>
        <v>-2676</v>
      </c>
      <c r="X90" s="182">
        <f t="shared" si="337"/>
        <v>-1932</v>
      </c>
      <c r="Y90" s="182">
        <f t="shared" si="337"/>
        <v>-1896</v>
      </c>
      <c r="Z90" s="182">
        <f t="shared" si="337"/>
        <v>-1726</v>
      </c>
      <c r="AA90" s="183">
        <f t="shared" si="337"/>
        <v>-1789</v>
      </c>
      <c r="AB90" s="182">
        <f t="shared" si="337"/>
        <v>545</v>
      </c>
      <c r="AC90" s="182">
        <f t="shared" si="337"/>
        <v>435</v>
      </c>
      <c r="AD90" s="182">
        <f t="shared" si="337"/>
        <v>289</v>
      </c>
      <c r="AE90" s="183">
        <f t="shared" si="337"/>
        <v>177</v>
      </c>
      <c r="AF90" s="182">
        <f t="shared" si="337"/>
        <v>382</v>
      </c>
      <c r="AG90" s="182">
        <f t="shared" si="337"/>
        <v>336</v>
      </c>
      <c r="AH90" s="182">
        <f t="shared" si="337"/>
        <v>630</v>
      </c>
      <c r="AI90" s="183">
        <f t="shared" si="337"/>
        <v>927</v>
      </c>
      <c r="AJ90" s="182">
        <f t="shared" si="337"/>
        <v>1077</v>
      </c>
      <c r="AK90" s="182">
        <f t="shared" si="337"/>
        <v>1143</v>
      </c>
      <c r="AL90" s="182">
        <f t="shared" si="337"/>
        <v>1079</v>
      </c>
      <c r="AM90" s="183">
        <f t="shared" ref="AM90:AU90" si="338">+AM88-AM84</f>
        <v>1073</v>
      </c>
      <c r="AN90" s="182">
        <f t="shared" si="338"/>
        <v>1278</v>
      </c>
      <c r="AO90" s="182">
        <f t="shared" si="338"/>
        <v>1312</v>
      </c>
      <c r="AP90" s="182">
        <f t="shared" si="338"/>
        <v>1322</v>
      </c>
      <c r="AQ90" s="183">
        <f t="shared" si="338"/>
        <v>1220</v>
      </c>
      <c r="AR90" s="182">
        <f>+AR88-AR84</f>
        <v>1362</v>
      </c>
      <c r="AS90" s="182">
        <f t="shared" si="338"/>
        <v>1440</v>
      </c>
      <c r="AT90" s="182">
        <f t="shared" si="338"/>
        <v>1505</v>
      </c>
      <c r="AU90" s="183">
        <f t="shared" si="338"/>
        <v>1452</v>
      </c>
      <c r="AV90" s="182">
        <f>+AV88-AV84</f>
        <v>1520</v>
      </c>
      <c r="AW90" s="182">
        <f t="shared" ref="AW90:AY90" si="339">+AW88-AW84</f>
        <v>1281</v>
      </c>
      <c r="AX90" s="182">
        <f t="shared" si="339"/>
        <v>1002</v>
      </c>
      <c r="AY90" s="183">
        <f t="shared" si="339"/>
        <v>171</v>
      </c>
      <c r="AZ90" s="182">
        <f t="shared" ref="AZ90:BC90" si="340">+AZ88-AZ84</f>
        <v>492</v>
      </c>
      <c r="BA90" s="182">
        <f t="shared" si="340"/>
        <v>591</v>
      </c>
      <c r="BB90" s="182">
        <f t="shared" si="340"/>
        <v>477</v>
      </c>
      <c r="BC90" s="183">
        <f t="shared" si="340"/>
        <v>250</v>
      </c>
      <c r="BD90" s="182">
        <f t="shared" ref="BD90:BG90" si="341">+BD88-BD84</f>
        <v>390</v>
      </c>
      <c r="BE90" s="182">
        <f t="shared" si="341"/>
        <v>259.58833983818636</v>
      </c>
      <c r="BF90" s="182">
        <f t="shared" si="341"/>
        <v>113.44945405884005</v>
      </c>
      <c r="BG90" s="183">
        <f t="shared" si="341"/>
        <v>-14.898117739983718</v>
      </c>
      <c r="BH90" s="182">
        <f t="shared" ref="BH90:BK90" si="342">+BH88-BH84</f>
        <v>-184.23655412366907</v>
      </c>
      <c r="BI90" s="182">
        <f t="shared" si="342"/>
        <v>-298.92566246079446</v>
      </c>
      <c r="BJ90" s="182">
        <f t="shared" si="342"/>
        <v>-384.17131084023617</v>
      </c>
      <c r="BK90" s="183">
        <f t="shared" si="342"/>
        <v>-528.66845320050584</v>
      </c>
      <c r="BL90" s="19"/>
      <c r="BM90" s="79"/>
      <c r="BN90" s="79"/>
      <c r="BO90" s="79"/>
      <c r="BP90" s="79"/>
      <c r="BQ90" s="79"/>
      <c r="BR90" s="79"/>
      <c r="BS90" s="79">
        <f>+AE90</f>
        <v>177</v>
      </c>
      <c r="BT90" s="79">
        <f>+AI90</f>
        <v>927</v>
      </c>
      <c r="BU90" s="79">
        <f>+AM90</f>
        <v>1073</v>
      </c>
      <c r="BV90" s="79">
        <f>+AQ90</f>
        <v>1220</v>
      </c>
      <c r="BW90" s="79">
        <f t="shared" ref="BW90:CB90" si="343">+BW88-BW84</f>
        <v>1477</v>
      </c>
      <c r="BX90" s="79">
        <f t="shared" si="343"/>
        <v>504</v>
      </c>
      <c r="BY90" s="79">
        <f t="shared" si="343"/>
        <v>250</v>
      </c>
      <c r="BZ90" s="79">
        <f t="shared" si="343"/>
        <v>-14.898117739983718</v>
      </c>
      <c r="CA90" s="79">
        <f t="shared" si="343"/>
        <v>-528.66845320050584</v>
      </c>
      <c r="CB90" s="2090">
        <f t="shared" si="343"/>
        <v>-871.28284443051598</v>
      </c>
      <c r="CC90" s="20"/>
      <c r="CD90" s="13"/>
    </row>
    <row r="91" spans="1:88" s="280" customFormat="1" ht="14.25" customHeight="1">
      <c r="A91" s="285"/>
      <c r="B91" s="828" t="s">
        <v>460</v>
      </c>
      <c r="C91" s="22"/>
      <c r="D91" s="429">
        <f t="shared" ref="D91:AM91" si="344">-D90/D78</f>
        <v>2.759787522546473</v>
      </c>
      <c r="E91" s="429">
        <f t="shared" si="344"/>
        <v>3.0070168260877068</v>
      </c>
      <c r="F91" s="429">
        <f t="shared" si="344"/>
        <v>3.0250720675440235</v>
      </c>
      <c r="G91" s="430">
        <f t="shared" si="344"/>
        <v>3.6190464601769912</v>
      </c>
      <c r="H91" s="429">
        <f t="shared" si="344"/>
        <v>5.3150107202125465</v>
      </c>
      <c r="I91" s="429">
        <f t="shared" si="344"/>
        <v>5.0583434631009885</v>
      </c>
      <c r="J91" s="429">
        <f t="shared" si="344"/>
        <v>4.7444360793281435</v>
      </c>
      <c r="K91" s="430">
        <f t="shared" si="344"/>
        <v>2.9020715630885121</v>
      </c>
      <c r="L91" s="429">
        <f t="shared" si="344"/>
        <v>2.1256830601092895</v>
      </c>
      <c r="M91" s="429">
        <f t="shared" si="344"/>
        <v>2.88768115942029</v>
      </c>
      <c r="N91" s="429">
        <f t="shared" si="344"/>
        <v>2.7581227436823106</v>
      </c>
      <c r="O91" s="430">
        <f t="shared" si="344"/>
        <v>3.2625215889464596</v>
      </c>
      <c r="P91" s="429">
        <f t="shared" si="344"/>
        <v>2.8927392739273929</v>
      </c>
      <c r="Q91" s="429">
        <f t="shared" si="344"/>
        <v>2.5815485996705108</v>
      </c>
      <c r="R91" s="429">
        <f t="shared" si="344"/>
        <v>2.205592105263158</v>
      </c>
      <c r="S91" s="430">
        <f t="shared" si="344"/>
        <v>1.7996715927750411</v>
      </c>
      <c r="T91" s="429">
        <f t="shared" si="344"/>
        <v>4.3434504792332271</v>
      </c>
      <c r="U91" s="429">
        <f t="shared" si="344"/>
        <v>3.7691154422788604</v>
      </c>
      <c r="V91" s="429">
        <f t="shared" si="344"/>
        <v>3.6181556195965419</v>
      </c>
      <c r="W91" s="430">
        <f t="shared" si="344"/>
        <v>3.3830594184576483</v>
      </c>
      <c r="X91" s="429">
        <f t="shared" si="344"/>
        <v>2.5623342175066313</v>
      </c>
      <c r="Y91" s="429">
        <f t="shared" si="344"/>
        <v>2.6741889985895626</v>
      </c>
      <c r="Z91" s="429">
        <f t="shared" si="344"/>
        <v>2.4207573632538568</v>
      </c>
      <c r="AA91" s="430">
        <f t="shared" si="344"/>
        <v>2.4406548431105048</v>
      </c>
      <c r="AB91" s="429">
        <f t="shared" si="344"/>
        <v>-0.71335078534031415</v>
      </c>
      <c r="AC91" s="429">
        <f t="shared" si="344"/>
        <v>-0.58546433378196505</v>
      </c>
      <c r="AD91" s="429">
        <f t="shared" si="344"/>
        <v>-0.39001349527665319</v>
      </c>
      <c r="AE91" s="430">
        <f t="shared" si="344"/>
        <v>-0.24180327868852458</v>
      </c>
      <c r="AF91" s="429">
        <f t="shared" si="344"/>
        <v>-0.52043596730245234</v>
      </c>
      <c r="AG91" s="429">
        <f>-AG90/AG78</f>
        <v>-0.44503311258278144</v>
      </c>
      <c r="AH91" s="429">
        <f>-AH90/AH78</f>
        <v>-0.84563758389261745</v>
      </c>
      <c r="AI91" s="430">
        <f t="shared" si="344"/>
        <v>-1.2409638554216869</v>
      </c>
      <c r="AJ91" s="429">
        <f t="shared" si="344"/>
        <v>-1.4379172229639519</v>
      </c>
      <c r="AK91" s="429">
        <f t="shared" si="344"/>
        <v>-1.5199468085106382</v>
      </c>
      <c r="AL91" s="429">
        <f t="shared" si="344"/>
        <v>-1.412303664921466</v>
      </c>
      <c r="AM91" s="430">
        <f t="shared" si="344"/>
        <v>-1.4007832898172323</v>
      </c>
      <c r="AN91" s="429">
        <f t="shared" ref="AN91:AU91" si="345">-AN90/AN78</f>
        <v>-1.6793692509855453</v>
      </c>
      <c r="AO91" s="429">
        <f t="shared" si="345"/>
        <v>-1.7172774869109948</v>
      </c>
      <c r="AP91" s="429">
        <f t="shared" si="345"/>
        <v>-1.6840764331210192</v>
      </c>
      <c r="AQ91" s="430">
        <f t="shared" si="345"/>
        <v>-1.5721649484536082</v>
      </c>
      <c r="AR91" s="429">
        <f>-AR90/AR78</f>
        <v>-1.7528957528957529</v>
      </c>
      <c r="AS91" s="429">
        <f t="shared" si="345"/>
        <v>-1.8508997429305913</v>
      </c>
      <c r="AT91" s="429">
        <f t="shared" si="345"/>
        <v>-1.9171974522292994</v>
      </c>
      <c r="AU91" s="430">
        <f t="shared" si="345"/>
        <v>-1.8356510745891277</v>
      </c>
      <c r="AV91" s="429">
        <f>-AV90/AV78</f>
        <v>-1.9167717528373267</v>
      </c>
      <c r="AW91" s="429">
        <f t="shared" ref="AW91:AY91" si="346">-AW90/AW78</f>
        <v>-1.5602923264311814</v>
      </c>
      <c r="AX91" s="429">
        <f t="shared" si="346"/>
        <v>-1.2294478527607362</v>
      </c>
      <c r="AY91" s="430">
        <f t="shared" si="346"/>
        <v>-0.18367346938775511</v>
      </c>
      <c r="AZ91" s="429">
        <f t="shared" ref="AZ91:BC91" si="347">-AZ90/AZ78</f>
        <v>-0.52396166134185307</v>
      </c>
      <c r="BA91" s="429">
        <f t="shared" si="347"/>
        <v>-0.6253968253968254</v>
      </c>
      <c r="BB91" s="429">
        <f t="shared" si="347"/>
        <v>-0.45777351247600767</v>
      </c>
      <c r="BC91" s="430">
        <f t="shared" si="347"/>
        <v>-0.24108003857280616</v>
      </c>
      <c r="BD91" s="429">
        <f t="shared" ref="BD91:BG91" si="348">-BD90/BD78</f>
        <v>-0.37536092396535131</v>
      </c>
      <c r="BE91" s="429">
        <f t="shared" si="348"/>
        <v>-0.2493643994603135</v>
      </c>
      <c r="BF91" s="429">
        <f t="shared" si="348"/>
        <v>-0.10877224741978911</v>
      </c>
      <c r="BG91" s="430">
        <f t="shared" si="348"/>
        <v>1.4256571999984419E-2</v>
      </c>
      <c r="BH91" s="429">
        <f t="shared" ref="BH91:BK91" si="349">-BH90/BH78</f>
        <v>0.17596614529481286</v>
      </c>
      <c r="BI91" s="429">
        <f t="shared" si="349"/>
        <v>0.28496249996262579</v>
      </c>
      <c r="BJ91" s="429">
        <f t="shared" si="349"/>
        <v>0.36552931573761765</v>
      </c>
      <c r="BK91" s="430">
        <f t="shared" si="349"/>
        <v>0.50205930978205682</v>
      </c>
      <c r="BL91" s="399"/>
      <c r="BM91" s="433"/>
      <c r="BN91" s="433"/>
      <c r="BO91" s="433"/>
      <c r="BP91" s="433"/>
      <c r="BQ91" s="433"/>
      <c r="BR91" s="79"/>
      <c r="BS91" s="703">
        <f>+AE91</f>
        <v>-0.24180327868852458</v>
      </c>
      <c r="BT91" s="79">
        <f>+AI91</f>
        <v>-1.2409638554216869</v>
      </c>
      <c r="BU91" s="79">
        <f>+AM91</f>
        <v>-1.4007832898172323</v>
      </c>
      <c r="BV91" s="79">
        <f>+AQ91</f>
        <v>-1.5721649484536082</v>
      </c>
      <c r="BW91" s="79">
        <f t="shared" ref="BW91:CB91" si="350">-BW90/BW78</f>
        <v>-1.8869370808048547</v>
      </c>
      <c r="BX91" s="79">
        <f t="shared" si="350"/>
        <v>-0.6</v>
      </c>
      <c r="BY91" s="79">
        <f t="shared" si="350"/>
        <v>-0.25233409033560433</v>
      </c>
      <c r="BZ91" s="79">
        <f t="shared" si="350"/>
        <v>1.4297617792690709E-2</v>
      </c>
      <c r="CA91" s="79">
        <f t="shared" si="350"/>
        <v>0.50349376495286269</v>
      </c>
      <c r="CB91" s="2090">
        <f t="shared" si="350"/>
        <v>0.82821563158794298</v>
      </c>
      <c r="CC91" s="318"/>
      <c r="CD91" s="555"/>
      <c r="CE91"/>
      <c r="CF91"/>
      <c r="CG91"/>
      <c r="CH91"/>
      <c r="CI91"/>
      <c r="CJ91"/>
    </row>
    <row r="92" spans="1:88" ht="14.25" customHeight="1">
      <c r="A92" s="7"/>
      <c r="B92" s="828"/>
      <c r="C92" s="22"/>
      <c r="D92" s="182"/>
      <c r="E92" s="182"/>
      <c r="F92" s="182"/>
      <c r="G92" s="183"/>
      <c r="H92" s="182"/>
      <c r="I92" s="182"/>
      <c r="J92" s="182"/>
      <c r="K92" s="183"/>
      <c r="L92" s="182"/>
      <c r="M92" s="182"/>
      <c r="N92" s="182"/>
      <c r="O92" s="183"/>
      <c r="P92" s="182"/>
      <c r="Q92" s="182"/>
      <c r="R92" s="182"/>
      <c r="S92" s="183"/>
      <c r="T92" s="182"/>
      <c r="U92" s="182"/>
      <c r="V92" s="182"/>
      <c r="W92" s="183"/>
      <c r="X92" s="182"/>
      <c r="Y92" s="182"/>
      <c r="Z92" s="182"/>
      <c r="AA92" s="183"/>
      <c r="AB92" s="182"/>
      <c r="AC92" s="182"/>
      <c r="AD92" s="182"/>
      <c r="AE92" s="183"/>
      <c r="AF92" s="182"/>
      <c r="AG92" s="182"/>
      <c r="AH92" s="182"/>
      <c r="AI92" s="183"/>
      <c r="AJ92" s="182"/>
      <c r="AK92" s="182"/>
      <c r="AL92" s="182"/>
      <c r="AM92" s="183"/>
      <c r="AN92" s="182"/>
      <c r="AO92" s="182"/>
      <c r="AP92" s="182"/>
      <c r="AQ92" s="183"/>
      <c r="AR92" s="182"/>
      <c r="AS92" s="182"/>
      <c r="AT92" s="182"/>
      <c r="AU92" s="183"/>
      <c r="AV92" s="182"/>
      <c r="AW92" s="182"/>
      <c r="AX92" s="182"/>
      <c r="AY92" s="183"/>
      <c r="AZ92" s="182"/>
      <c r="BA92" s="182"/>
      <c r="BB92" s="182"/>
      <c r="BC92" s="183"/>
      <c r="BD92" s="182"/>
      <c r="BE92" s="182"/>
      <c r="BF92" s="182"/>
      <c r="BG92" s="183"/>
      <c r="BH92" s="182"/>
      <c r="BI92" s="182"/>
      <c r="BJ92" s="182"/>
      <c r="BK92" s="183"/>
      <c r="BL92" s="19"/>
      <c r="BM92" s="79"/>
      <c r="BN92" s="79"/>
      <c r="BO92" s="79"/>
      <c r="BP92" s="79"/>
      <c r="BQ92" s="79"/>
      <c r="BR92" s="79"/>
      <c r="BS92" s="79"/>
      <c r="BT92" s="79"/>
      <c r="BU92" s="79"/>
      <c r="BV92" s="79"/>
      <c r="BW92" s="79"/>
      <c r="BX92" s="79"/>
      <c r="BY92" s="79"/>
      <c r="BZ92" s="79"/>
      <c r="CA92" s="79"/>
      <c r="CB92" s="2090"/>
      <c r="CC92" s="20"/>
      <c r="CD92" s="13"/>
    </row>
    <row r="93" spans="1:88" ht="14.25" customHeight="1">
      <c r="A93" s="7"/>
      <c r="B93" s="842" t="s">
        <v>354</v>
      </c>
      <c r="C93" s="22"/>
      <c r="D93" s="182"/>
      <c r="E93" s="182"/>
      <c r="F93" s="182"/>
      <c r="G93" s="183"/>
      <c r="H93" s="182"/>
      <c r="I93" s="182"/>
      <c r="J93" s="182"/>
      <c r="K93" s="183"/>
      <c r="L93" s="182"/>
      <c r="M93" s="182"/>
      <c r="N93" s="182"/>
      <c r="O93" s="183"/>
      <c r="P93" s="182"/>
      <c r="Q93" s="182"/>
      <c r="R93" s="182"/>
      <c r="S93" s="183"/>
      <c r="T93" s="182"/>
      <c r="U93" s="182"/>
      <c r="V93" s="182"/>
      <c r="W93" s="183"/>
      <c r="X93" s="182"/>
      <c r="Y93" s="182"/>
      <c r="Z93" s="182"/>
      <c r="AA93" s="183"/>
      <c r="AB93" s="182"/>
      <c r="AC93" s="182"/>
      <c r="AD93" s="182"/>
      <c r="AE93" s="183"/>
      <c r="AF93" s="182"/>
      <c r="AG93" s="182"/>
      <c r="AH93" s="182"/>
      <c r="AI93" s="183"/>
      <c r="AJ93" s="182"/>
      <c r="AK93" s="182"/>
      <c r="AL93" s="182"/>
      <c r="AM93" s="183"/>
      <c r="AN93" s="182"/>
      <c r="AO93" s="182"/>
      <c r="AP93" s="182"/>
      <c r="AQ93" s="183"/>
      <c r="AR93" s="182"/>
      <c r="AS93" s="182"/>
      <c r="AT93" s="182"/>
      <c r="AU93" s="183"/>
      <c r="AV93" s="182"/>
      <c r="AW93" s="182"/>
      <c r="AX93" s="182"/>
      <c r="AY93" s="183"/>
      <c r="AZ93" s="182"/>
      <c r="BA93" s="182"/>
      <c r="BB93" s="182"/>
      <c r="BC93" s="183"/>
      <c r="BD93" s="182"/>
      <c r="BE93" s="182"/>
      <c r="BF93" s="182"/>
      <c r="BG93" s="183"/>
      <c r="BH93" s="182"/>
      <c r="BI93" s="182"/>
      <c r="BJ93" s="182"/>
      <c r="BK93" s="183"/>
      <c r="BL93" s="19"/>
      <c r="BM93" s="79"/>
      <c r="BN93" s="79"/>
      <c r="BO93" s="79"/>
      <c r="BP93" s="79"/>
      <c r="BQ93" s="79"/>
      <c r="BR93" s="79"/>
      <c r="BS93" s="79"/>
      <c r="BT93" s="79"/>
      <c r="BU93" s="79"/>
      <c r="BV93" s="79"/>
      <c r="BW93" s="79"/>
      <c r="BX93" s="79"/>
      <c r="BY93" s="79"/>
      <c r="BZ93" s="79"/>
      <c r="CA93" s="79"/>
      <c r="CB93" s="2090"/>
      <c r="CC93" s="20"/>
      <c r="CD93" s="13"/>
    </row>
    <row r="94" spans="1:88" ht="14.25" customHeight="1">
      <c r="A94" s="7"/>
      <c r="B94" s="845" t="s">
        <v>353</v>
      </c>
      <c r="C94" s="22"/>
      <c r="D94" s="182">
        <f>+D42</f>
        <v>2934.6970000000001</v>
      </c>
      <c r="E94" s="182">
        <f t="shared" ref="E94:AL94" si="351">+E42</f>
        <v>2846.6089999999999</v>
      </c>
      <c r="F94" s="182">
        <f t="shared" si="351"/>
        <v>2974.2449999999999</v>
      </c>
      <c r="G94" s="183">
        <f t="shared" si="351"/>
        <v>3351.837</v>
      </c>
      <c r="H94" s="182">
        <f t="shared" si="351"/>
        <v>4709.9210000000003</v>
      </c>
      <c r="I94" s="182">
        <f t="shared" si="351"/>
        <v>4852.59</v>
      </c>
      <c r="J94" s="182">
        <f t="shared" si="351"/>
        <v>5012.4949999999999</v>
      </c>
      <c r="K94" s="183">
        <f t="shared" si="351"/>
        <v>5785</v>
      </c>
      <c r="L94" s="182">
        <f t="shared" si="351"/>
        <v>5205</v>
      </c>
      <c r="M94" s="182">
        <f t="shared" si="351"/>
        <v>4472</v>
      </c>
      <c r="N94" s="182">
        <f t="shared" si="351"/>
        <v>4125</v>
      </c>
      <c r="O94" s="183">
        <f t="shared" si="351"/>
        <v>2990</v>
      </c>
      <c r="P94" s="182">
        <f t="shared" si="351"/>
        <v>2637</v>
      </c>
      <c r="Q94" s="182">
        <f t="shared" si="351"/>
        <v>1474</v>
      </c>
      <c r="R94" s="182">
        <f t="shared" si="351"/>
        <v>1339</v>
      </c>
      <c r="S94" s="183">
        <f t="shared" si="351"/>
        <v>127</v>
      </c>
      <c r="T94" s="182">
        <f t="shared" si="351"/>
        <v>-163</v>
      </c>
      <c r="U94" s="182">
        <f t="shared" si="351"/>
        <v>-465</v>
      </c>
      <c r="V94" s="182">
        <f t="shared" si="351"/>
        <v>-569</v>
      </c>
      <c r="W94" s="183">
        <f t="shared" si="351"/>
        <v>648</v>
      </c>
      <c r="X94" s="182">
        <f t="shared" si="351"/>
        <v>796</v>
      </c>
      <c r="Y94" s="182">
        <f t="shared" si="351"/>
        <v>752</v>
      </c>
      <c r="Z94" s="182">
        <f t="shared" si="351"/>
        <v>614</v>
      </c>
      <c r="AA94" s="183">
        <f t="shared" si="351"/>
        <v>1013</v>
      </c>
      <c r="AB94" s="182">
        <f t="shared" si="351"/>
        <v>1558</v>
      </c>
      <c r="AC94" s="182">
        <f t="shared" si="351"/>
        <v>1641</v>
      </c>
      <c r="AD94" s="182">
        <f t="shared" si="351"/>
        <v>1744</v>
      </c>
      <c r="AE94" s="183">
        <f t="shared" si="351"/>
        <v>1590</v>
      </c>
      <c r="AF94" s="182">
        <f>+AF42</f>
        <v>1052</v>
      </c>
      <c r="AG94" s="182">
        <f>+AG42</f>
        <v>1117</v>
      </c>
      <c r="AH94" s="182">
        <f t="shared" si="351"/>
        <v>989</v>
      </c>
      <c r="AI94" s="183">
        <f t="shared" si="351"/>
        <v>538</v>
      </c>
      <c r="AJ94" s="182">
        <f t="shared" si="351"/>
        <v>415</v>
      </c>
      <c r="AK94" s="182">
        <f t="shared" si="351"/>
        <v>359</v>
      </c>
      <c r="AL94" s="182">
        <f t="shared" si="351"/>
        <v>434</v>
      </c>
      <c r="AM94" s="183">
        <f t="shared" ref="AM94:AU94" si="352">+AM42</f>
        <v>544</v>
      </c>
      <c r="AN94" s="182">
        <f t="shared" si="352"/>
        <v>511</v>
      </c>
      <c r="AO94" s="182">
        <f t="shared" si="352"/>
        <v>501</v>
      </c>
      <c r="AP94" s="182">
        <f t="shared" si="352"/>
        <v>535</v>
      </c>
      <c r="AQ94" s="183">
        <f t="shared" si="352"/>
        <v>187</v>
      </c>
      <c r="AR94" s="182">
        <f t="shared" si="352"/>
        <v>17</v>
      </c>
      <c r="AS94" s="182">
        <f t="shared" si="352"/>
        <v>-141</v>
      </c>
      <c r="AT94" s="182">
        <f t="shared" si="352"/>
        <v>-336</v>
      </c>
      <c r="AU94" s="183">
        <f t="shared" si="352"/>
        <v>-412</v>
      </c>
      <c r="AV94" s="182">
        <f t="shared" ref="AV94:AY94" si="353">+AV42</f>
        <v>-503</v>
      </c>
      <c r="AW94" s="182">
        <f t="shared" si="353"/>
        <v>-413</v>
      </c>
      <c r="AX94" s="182">
        <f t="shared" si="353"/>
        <v>385</v>
      </c>
      <c r="AY94" s="183">
        <f t="shared" si="353"/>
        <v>416</v>
      </c>
      <c r="AZ94" s="182">
        <f t="shared" ref="AZ94:BC94" si="354">+AZ42</f>
        <v>409</v>
      </c>
      <c r="BA94" s="182">
        <f t="shared" si="354"/>
        <v>417</v>
      </c>
      <c r="BB94" s="182">
        <f t="shared" si="354"/>
        <v>520</v>
      </c>
      <c r="BC94" s="183">
        <f t="shared" si="354"/>
        <v>611</v>
      </c>
      <c r="BD94" s="182">
        <f t="shared" ref="BD94:BG94" si="355">+BD42</f>
        <v>715</v>
      </c>
      <c r="BE94" s="182">
        <f t="shared" si="355"/>
        <v>852.37655585449102</v>
      </c>
      <c r="BF94" s="182">
        <f t="shared" si="355"/>
        <v>985.86372796463274</v>
      </c>
      <c r="BG94" s="183">
        <f t="shared" si="355"/>
        <v>1079.8801091797768</v>
      </c>
      <c r="BH94" s="182">
        <f t="shared" ref="BH94:BK94" si="356">+BH42</f>
        <v>1144.9233532269636</v>
      </c>
      <c r="BI94" s="182">
        <f t="shared" si="356"/>
        <v>1249.8300563579978</v>
      </c>
      <c r="BJ94" s="182">
        <f t="shared" si="356"/>
        <v>1378.85633004787</v>
      </c>
      <c r="BK94" s="183">
        <f t="shared" si="356"/>
        <v>1499.6067098589274</v>
      </c>
      <c r="BL94" s="19"/>
      <c r="BM94" s="79"/>
      <c r="BN94" s="79"/>
      <c r="BO94" s="79"/>
      <c r="BP94" s="79"/>
      <c r="BQ94" s="79"/>
      <c r="BR94" s="79"/>
      <c r="BS94" s="79"/>
      <c r="BT94" s="79"/>
      <c r="BU94" s="79"/>
      <c r="BV94" s="79"/>
      <c r="BW94" s="79"/>
      <c r="BX94" s="79"/>
      <c r="BY94" s="79"/>
      <c r="BZ94" s="79"/>
      <c r="CA94" s="79"/>
      <c r="CB94" s="2090"/>
      <c r="CC94" s="20"/>
      <c r="CD94" s="13"/>
    </row>
    <row r="95" spans="1:88" ht="14.25" customHeight="1">
      <c r="A95" s="7"/>
      <c r="B95" s="828" t="s">
        <v>450</v>
      </c>
      <c r="C95" s="22"/>
      <c r="D95" s="429">
        <f t="shared" ref="D95:AL95" si="357">D42/D78</f>
        <v>7.4659595957026239</v>
      </c>
      <c r="E95" s="429">
        <f t="shared" si="357"/>
        <v>7.0158624140149213</v>
      </c>
      <c r="F95" s="429">
        <f t="shared" si="357"/>
        <v>6.7035663010135664</v>
      </c>
      <c r="G95" s="430">
        <f t="shared" si="357"/>
        <v>7.4155685840707966</v>
      </c>
      <c r="H95" s="429">
        <f t="shared" si="357"/>
        <v>9.5087296043413829</v>
      </c>
      <c r="I95" s="429">
        <f t="shared" si="357"/>
        <v>9.7017649787274891</v>
      </c>
      <c r="J95" s="429">
        <f t="shared" si="357"/>
        <v>10.090131891491469</v>
      </c>
      <c r="K95" s="430">
        <f t="shared" si="357"/>
        <v>10.894538606403014</v>
      </c>
      <c r="L95" s="429">
        <f t="shared" si="357"/>
        <v>9.4808743169398912</v>
      </c>
      <c r="M95" s="429">
        <f t="shared" si="357"/>
        <v>8.1014492753623184</v>
      </c>
      <c r="N95" s="429">
        <f t="shared" si="357"/>
        <v>7.4458483754512637</v>
      </c>
      <c r="O95" s="430">
        <f t="shared" si="357"/>
        <v>5.1640759930915374</v>
      </c>
      <c r="P95" s="429">
        <f t="shared" si="357"/>
        <v>4.3514851485148514</v>
      </c>
      <c r="Q95" s="429">
        <f t="shared" si="357"/>
        <v>2.4283360790774298</v>
      </c>
      <c r="R95" s="429">
        <f t="shared" si="357"/>
        <v>2.2023026315789473</v>
      </c>
      <c r="S95" s="430">
        <f t="shared" si="357"/>
        <v>0.20853858784893267</v>
      </c>
      <c r="T95" s="429">
        <f t="shared" si="357"/>
        <v>-0.26038338658146964</v>
      </c>
      <c r="U95" s="429">
        <f t="shared" si="357"/>
        <v>-0.69715142428785604</v>
      </c>
      <c r="V95" s="429">
        <f t="shared" si="357"/>
        <v>-0.81988472622478381</v>
      </c>
      <c r="W95" s="430">
        <f t="shared" si="357"/>
        <v>0.81921618204804048</v>
      </c>
      <c r="X95" s="429">
        <f t="shared" si="357"/>
        <v>1.0557029177718833</v>
      </c>
      <c r="Y95" s="429">
        <f t="shared" si="357"/>
        <v>1.0606488011283497</v>
      </c>
      <c r="Z95" s="429">
        <f t="shared" si="357"/>
        <v>0.86115007012622724</v>
      </c>
      <c r="AA95" s="430">
        <f t="shared" si="357"/>
        <v>1.3819918144611187</v>
      </c>
      <c r="AB95" s="429">
        <f t="shared" si="357"/>
        <v>2.0392670157068062</v>
      </c>
      <c r="AC95" s="429">
        <f t="shared" si="357"/>
        <v>2.208613728129206</v>
      </c>
      <c r="AD95" s="429">
        <f t="shared" si="357"/>
        <v>2.3535762483130904</v>
      </c>
      <c r="AE95" s="430">
        <f t="shared" si="357"/>
        <v>2.1721311475409837</v>
      </c>
      <c r="AF95" s="429">
        <f t="shared" si="357"/>
        <v>1.4332425068119892</v>
      </c>
      <c r="AG95" s="429">
        <f t="shared" si="357"/>
        <v>1.4794701986754968</v>
      </c>
      <c r="AH95" s="429">
        <f t="shared" si="357"/>
        <v>1.32751677852349</v>
      </c>
      <c r="AI95" s="430">
        <f t="shared" si="357"/>
        <v>0.72021419009370813</v>
      </c>
      <c r="AJ95" s="429">
        <f t="shared" si="357"/>
        <v>0.55407209612817088</v>
      </c>
      <c r="AK95" s="429">
        <f t="shared" si="357"/>
        <v>0.47739361702127658</v>
      </c>
      <c r="AL95" s="429">
        <f t="shared" si="357"/>
        <v>0.56806282722513091</v>
      </c>
      <c r="AM95" s="430">
        <f t="shared" ref="AM95:AU95" si="358">AM42/AM78</f>
        <v>0.71018276762402088</v>
      </c>
      <c r="AN95" s="429">
        <f t="shared" si="358"/>
        <v>0.67148488830486197</v>
      </c>
      <c r="AO95" s="429">
        <f t="shared" si="358"/>
        <v>0.65575916230366493</v>
      </c>
      <c r="AP95" s="429">
        <f t="shared" si="358"/>
        <v>0.68152866242038213</v>
      </c>
      <c r="AQ95" s="430">
        <f t="shared" si="358"/>
        <v>0.24097938144329897</v>
      </c>
      <c r="AR95" s="429">
        <f t="shared" si="358"/>
        <v>2.1879021879021878E-2</v>
      </c>
      <c r="AS95" s="429">
        <f t="shared" si="358"/>
        <v>-0.18123393316195371</v>
      </c>
      <c r="AT95" s="429">
        <f t="shared" si="358"/>
        <v>-0.42802547770700639</v>
      </c>
      <c r="AU95" s="430">
        <f t="shared" si="358"/>
        <v>-0.52085967130214916</v>
      </c>
      <c r="AV95" s="429">
        <f t="shared" ref="AV95:AY95" si="359">AV42/AV78</f>
        <v>-0.6343001261034048</v>
      </c>
      <c r="AW95" s="429">
        <f t="shared" si="359"/>
        <v>-0.50304506699147378</v>
      </c>
      <c r="AX95" s="429">
        <f t="shared" si="359"/>
        <v>0.47239263803680981</v>
      </c>
      <c r="AY95" s="430">
        <f t="shared" si="359"/>
        <v>0.44683136412459723</v>
      </c>
      <c r="AZ95" s="429">
        <f t="shared" ref="AZ95:BC95" si="360">AZ42/AZ78</f>
        <v>0.43556975505857293</v>
      </c>
      <c r="BA95" s="429">
        <f t="shared" si="360"/>
        <v>0.44126984126984126</v>
      </c>
      <c r="BB95" s="429">
        <f t="shared" si="360"/>
        <v>0.49904030710172742</v>
      </c>
      <c r="BC95" s="430">
        <f t="shared" si="360"/>
        <v>0.58919961427193823</v>
      </c>
      <c r="BD95" s="429">
        <f t="shared" ref="BD95:BG95" si="361">BD42/BD78</f>
        <v>0.68816169393647741</v>
      </c>
      <c r="BE95" s="429">
        <f t="shared" si="361"/>
        <v>0.81880552915897309</v>
      </c>
      <c r="BF95" s="429">
        <f t="shared" si="361"/>
        <v>0.94521929814442263</v>
      </c>
      <c r="BG95" s="430">
        <f t="shared" si="361"/>
        <v>1.0333780949088773</v>
      </c>
      <c r="BH95" s="429">
        <f t="shared" ref="BH95:BK95" si="362">BH42/BH78</f>
        <v>1.0935275580009203</v>
      </c>
      <c r="BI95" s="429">
        <f t="shared" si="362"/>
        <v>1.191449052772162</v>
      </c>
      <c r="BJ95" s="429">
        <f t="shared" si="362"/>
        <v>1.311947031444215</v>
      </c>
      <c r="BK95" s="430">
        <f t="shared" si="362"/>
        <v>1.4241279295906244</v>
      </c>
      <c r="BL95" s="431"/>
      <c r="BM95" s="432">
        <f t="shared" ref="BM95:BY95" si="363">BM42/BM78</f>
        <v>7.9122878352691091</v>
      </c>
      <c r="BN95" s="432">
        <f t="shared" si="363"/>
        <v>11.436908693533352</v>
      </c>
      <c r="BO95" s="432">
        <f t="shared" si="363"/>
        <v>5.3536257833482539</v>
      </c>
      <c r="BP95" s="432">
        <f t="shared" si="363"/>
        <v>0.20905349794238684</v>
      </c>
      <c r="BQ95" s="432">
        <f t="shared" si="363"/>
        <v>0.93304535637149033</v>
      </c>
      <c r="BR95" s="432">
        <f t="shared" si="363"/>
        <v>1.392918528704022</v>
      </c>
      <c r="BS95" s="432">
        <f>BS42/BS78</f>
        <v>2.1342281879194629</v>
      </c>
      <c r="BT95" s="432">
        <f t="shared" si="363"/>
        <v>0.72190540087219057</v>
      </c>
      <c r="BU95" s="432">
        <f t="shared" si="363"/>
        <v>0.71791487957769717</v>
      </c>
      <c r="BV95" s="432">
        <f>BV42/BV78</f>
        <v>0.2423849643551523</v>
      </c>
      <c r="BW95" s="432">
        <f t="shared" si="363"/>
        <v>-0.52634940913446182</v>
      </c>
      <c r="BX95" s="432">
        <f t="shared" si="363"/>
        <v>0.49523809523809526</v>
      </c>
      <c r="BY95" s="432">
        <f t="shared" si="363"/>
        <v>0.61670451678021698</v>
      </c>
      <c r="BZ95" s="432">
        <f t="shared" ref="BZ95:CA95" si="364">BZ42/BZ78</f>
        <v>1.0363532717656208</v>
      </c>
      <c r="CA95" s="432">
        <f t="shared" si="364"/>
        <v>1.4281968665323117</v>
      </c>
      <c r="CB95" s="1887">
        <f t="shared" ref="CB95" si="365">CB42/CB78</f>
        <v>1.8244613218042576</v>
      </c>
      <c r="CC95" s="861"/>
      <c r="CD95" s="1874"/>
    </row>
    <row r="96" spans="1:88" ht="14.25" customHeight="1">
      <c r="A96" s="7"/>
      <c r="B96" s="845"/>
      <c r="C96" s="22"/>
      <c r="D96" s="182"/>
      <c r="E96" s="182"/>
      <c r="F96" s="182"/>
      <c r="G96" s="183"/>
      <c r="H96" s="182"/>
      <c r="I96" s="182"/>
      <c r="J96" s="182"/>
      <c r="K96" s="183"/>
      <c r="L96" s="182"/>
      <c r="M96" s="182"/>
      <c r="N96" s="182"/>
      <c r="O96" s="183"/>
      <c r="P96" s="182"/>
      <c r="Q96" s="182"/>
      <c r="R96" s="182"/>
      <c r="S96" s="183"/>
      <c r="T96" s="182"/>
      <c r="U96" s="182"/>
      <c r="V96" s="182"/>
      <c r="W96" s="183"/>
      <c r="X96" s="182"/>
      <c r="Y96" s="182"/>
      <c r="Z96" s="182"/>
      <c r="AA96" s="183"/>
      <c r="AB96" s="182"/>
      <c r="AC96" s="182"/>
      <c r="AD96" s="182"/>
      <c r="AE96" s="183"/>
      <c r="AF96" s="182"/>
      <c r="AG96" s="182"/>
      <c r="AH96" s="182"/>
      <c r="AI96" s="183"/>
      <c r="AJ96" s="182"/>
      <c r="AK96" s="182"/>
      <c r="AL96" s="182"/>
      <c r="AM96" s="183"/>
      <c r="AN96" s="182"/>
      <c r="AO96" s="182"/>
      <c r="AP96" s="182"/>
      <c r="AQ96" s="183"/>
      <c r="AR96" s="182"/>
      <c r="AS96" s="182"/>
      <c r="AT96" s="182"/>
      <c r="AU96" s="183"/>
      <c r="AV96" s="182"/>
      <c r="AW96" s="182"/>
      <c r="AX96" s="182"/>
      <c r="AY96" s="183"/>
      <c r="AZ96" s="182"/>
      <c r="BA96" s="182"/>
      <c r="BB96" s="182"/>
      <c r="BC96" s="183"/>
      <c r="BD96" s="182"/>
      <c r="BE96" s="182"/>
      <c r="BF96" s="182"/>
      <c r="BG96" s="183"/>
      <c r="BH96" s="182"/>
      <c r="BI96" s="182"/>
      <c r="BJ96" s="182"/>
      <c r="BK96" s="183"/>
      <c r="BL96" s="19"/>
      <c r="BM96" s="79"/>
      <c r="BN96" s="79"/>
      <c r="BO96" s="79"/>
      <c r="BP96" s="79"/>
      <c r="BQ96" s="79"/>
      <c r="BR96" s="79"/>
      <c r="BS96" s="79"/>
      <c r="BT96" s="79"/>
      <c r="BU96" s="79"/>
      <c r="BV96" s="79"/>
      <c r="BW96" s="79"/>
      <c r="BX96" s="79"/>
      <c r="BY96" s="79"/>
      <c r="BZ96" s="79"/>
      <c r="CA96" s="79"/>
      <c r="CB96" s="2090"/>
      <c r="CC96" s="20"/>
      <c r="CD96" s="13"/>
    </row>
    <row r="97" spans="1:88" ht="14.25" customHeight="1">
      <c r="A97" s="7"/>
      <c r="B97" s="828" t="s">
        <v>448</v>
      </c>
      <c r="C97" s="22"/>
      <c r="D97" s="182">
        <f t="shared" ref="D97:AL97" si="366">(D42-(D22+D21))</f>
        <v>2934.6970000000001</v>
      </c>
      <c r="E97" s="182">
        <f t="shared" si="366"/>
        <v>2846.6089999999999</v>
      </c>
      <c r="F97" s="182">
        <f t="shared" si="366"/>
        <v>2974.2449999999999</v>
      </c>
      <c r="G97" s="183">
        <f t="shared" si="366"/>
        <v>3351.837</v>
      </c>
      <c r="H97" s="182">
        <f t="shared" si="366"/>
        <v>4709.9210000000003</v>
      </c>
      <c r="I97" s="182">
        <f t="shared" si="366"/>
        <v>4852.59</v>
      </c>
      <c r="J97" s="182">
        <f t="shared" si="366"/>
        <v>5012.4949999999999</v>
      </c>
      <c r="K97" s="183">
        <f t="shared" si="366"/>
        <v>1361</v>
      </c>
      <c r="L97" s="182">
        <f t="shared" si="366"/>
        <v>883</v>
      </c>
      <c r="M97" s="182">
        <f t="shared" si="366"/>
        <v>227</v>
      </c>
      <c r="N97" s="182">
        <f t="shared" si="366"/>
        <v>-34</v>
      </c>
      <c r="O97" s="183">
        <f t="shared" si="366"/>
        <v>496</v>
      </c>
      <c r="P97" s="182">
        <f t="shared" si="366"/>
        <v>193</v>
      </c>
      <c r="Q97" s="182">
        <f t="shared" si="366"/>
        <v>276</v>
      </c>
      <c r="R97" s="182">
        <f t="shared" si="366"/>
        <v>170</v>
      </c>
      <c r="S97" s="183">
        <f t="shared" si="366"/>
        <v>-364</v>
      </c>
      <c r="T97" s="182">
        <f t="shared" si="366"/>
        <v>-636</v>
      </c>
      <c r="U97" s="182">
        <f t="shared" si="366"/>
        <v>-921</v>
      </c>
      <c r="V97" s="182">
        <f t="shared" si="366"/>
        <v>-1008</v>
      </c>
      <c r="W97" s="183">
        <f t="shared" si="366"/>
        <v>227</v>
      </c>
      <c r="X97" s="182">
        <f t="shared" si="366"/>
        <v>392</v>
      </c>
      <c r="Y97" s="182">
        <f t="shared" si="366"/>
        <v>365</v>
      </c>
      <c r="Z97" s="182">
        <f t="shared" si="366"/>
        <v>243</v>
      </c>
      <c r="AA97" s="183">
        <f t="shared" si="366"/>
        <v>653</v>
      </c>
      <c r="AB97" s="182">
        <f t="shared" si="366"/>
        <v>1207</v>
      </c>
      <c r="AC97" s="182">
        <f t="shared" si="366"/>
        <v>1299</v>
      </c>
      <c r="AD97" s="182">
        <f t="shared" si="366"/>
        <v>1410</v>
      </c>
      <c r="AE97" s="183">
        <f t="shared" si="366"/>
        <v>1267</v>
      </c>
      <c r="AF97" s="182">
        <f>(AF42-(AF22+AF21))</f>
        <v>390</v>
      </c>
      <c r="AG97" s="182">
        <f t="shared" si="366"/>
        <v>459</v>
      </c>
      <c r="AH97" s="182">
        <f t="shared" si="366"/>
        <v>336</v>
      </c>
      <c r="AI97" s="183">
        <f t="shared" si="366"/>
        <v>-111</v>
      </c>
      <c r="AJ97" s="182">
        <f t="shared" si="366"/>
        <v>-230</v>
      </c>
      <c r="AK97" s="182">
        <f t="shared" si="366"/>
        <v>-281</v>
      </c>
      <c r="AL97" s="182">
        <f t="shared" si="366"/>
        <v>-201</v>
      </c>
      <c r="AM97" s="183">
        <f t="shared" ref="AM97:AU97" si="367">(AM42-(AM22+AM21))</f>
        <v>-87</v>
      </c>
      <c r="AN97" s="182">
        <f t="shared" si="367"/>
        <v>-117</v>
      </c>
      <c r="AO97" s="182">
        <f t="shared" si="367"/>
        <v>-124</v>
      </c>
      <c r="AP97" s="182">
        <f t="shared" si="367"/>
        <v>-87</v>
      </c>
      <c r="AQ97" s="183">
        <f t="shared" si="367"/>
        <v>-198</v>
      </c>
      <c r="AR97" s="182">
        <f t="shared" si="367"/>
        <v>-303</v>
      </c>
      <c r="AS97" s="182">
        <f t="shared" si="367"/>
        <v>-461</v>
      </c>
      <c r="AT97" s="182">
        <f t="shared" si="367"/>
        <v>-619</v>
      </c>
      <c r="AU97" s="183">
        <f t="shared" si="367"/>
        <v>-690</v>
      </c>
      <c r="AV97" s="182">
        <f t="shared" ref="AV97:AY97" si="368">(AV42-(AV22+AV21))</f>
        <v>-781</v>
      </c>
      <c r="AW97" s="182">
        <f t="shared" si="368"/>
        <v>-702</v>
      </c>
      <c r="AX97" s="182">
        <f t="shared" si="368"/>
        <v>96</v>
      </c>
      <c r="AY97" s="183">
        <f t="shared" si="368"/>
        <v>127</v>
      </c>
      <c r="AZ97" s="182">
        <f t="shared" ref="AZ97:BC97" si="369">(AZ42-(AZ22+AZ21))</f>
        <v>120</v>
      </c>
      <c r="BA97" s="182">
        <f t="shared" si="369"/>
        <v>128</v>
      </c>
      <c r="BB97" s="182">
        <f t="shared" si="369"/>
        <v>231</v>
      </c>
      <c r="BC97" s="183">
        <f t="shared" si="369"/>
        <v>322</v>
      </c>
      <c r="BD97" s="182">
        <f t="shared" ref="BD97:BG97" si="370">(BD42-(BD22+BD21))</f>
        <v>426</v>
      </c>
      <c r="BE97" s="182">
        <f t="shared" si="370"/>
        <v>563.37655585449102</v>
      </c>
      <c r="BF97" s="182">
        <f t="shared" si="370"/>
        <v>696.86372796463274</v>
      </c>
      <c r="BG97" s="183">
        <f t="shared" si="370"/>
        <v>790.88010917977681</v>
      </c>
      <c r="BH97" s="182">
        <f t="shared" ref="BH97:BK97" si="371">(BH42-(BH22+BH21))</f>
        <v>855.92335322696363</v>
      </c>
      <c r="BI97" s="182">
        <f t="shared" si="371"/>
        <v>960.83005635799782</v>
      </c>
      <c r="BJ97" s="182">
        <f t="shared" si="371"/>
        <v>1089.85633004787</v>
      </c>
      <c r="BK97" s="183">
        <f t="shared" si="371"/>
        <v>1210.6067098589274</v>
      </c>
      <c r="BL97" s="19"/>
      <c r="BM97" s="184">
        <f t="shared" ref="BM97:BU97" si="372">(BM42-(BM22+BM21))</f>
        <v>3351.837</v>
      </c>
      <c r="BN97" s="184">
        <f t="shared" si="372"/>
        <v>1361</v>
      </c>
      <c r="BO97" s="184">
        <f t="shared" si="372"/>
        <v>496</v>
      </c>
      <c r="BP97" s="184">
        <f t="shared" si="372"/>
        <v>-364</v>
      </c>
      <c r="BQ97" s="184">
        <f t="shared" si="372"/>
        <v>227</v>
      </c>
      <c r="BR97" s="184">
        <f t="shared" si="372"/>
        <v>653</v>
      </c>
      <c r="BS97" s="184">
        <f t="shared" si="372"/>
        <v>1267</v>
      </c>
      <c r="BT97" s="184">
        <f t="shared" si="372"/>
        <v>-111</v>
      </c>
      <c r="BU97" s="184">
        <f t="shared" si="372"/>
        <v>-87</v>
      </c>
      <c r="BV97" s="184">
        <f t="shared" ref="BV97:BY97" si="373">(BV42-(BV21+BV23))</f>
        <v>-222</v>
      </c>
      <c r="BW97" s="184">
        <f t="shared" si="373"/>
        <v>-735</v>
      </c>
      <c r="BX97" s="184">
        <f t="shared" si="373"/>
        <v>78</v>
      </c>
      <c r="BY97" s="184">
        <f t="shared" si="373"/>
        <v>243</v>
      </c>
      <c r="BZ97" s="184">
        <f t="shared" ref="BZ97:CA97" si="374">(BZ42-(BZ21+BZ23))</f>
        <v>646.88010917977681</v>
      </c>
      <c r="CA97" s="184">
        <f t="shared" si="374"/>
        <v>1066.6067098589274</v>
      </c>
      <c r="CB97" s="1888">
        <f t="shared" ref="CB97" si="375">(CB42-(CB21+CB23))</f>
        <v>1486.3333105380789</v>
      </c>
      <c r="CC97" s="20"/>
      <c r="CD97" s="13"/>
    </row>
    <row r="98" spans="1:88" ht="14.25" customHeight="1">
      <c r="A98" s="7"/>
      <c r="B98" s="828" t="s">
        <v>449</v>
      </c>
      <c r="C98" s="22"/>
      <c r="D98" s="429">
        <f t="shared" ref="D98:AM98" si="376">D97/D78</f>
        <v>7.4659595957026239</v>
      </c>
      <c r="E98" s="429">
        <f t="shared" si="376"/>
        <v>7.0158624140149213</v>
      </c>
      <c r="F98" s="429">
        <f t="shared" si="376"/>
        <v>6.7035663010135664</v>
      </c>
      <c r="G98" s="430">
        <f t="shared" si="376"/>
        <v>7.4155685840707966</v>
      </c>
      <c r="H98" s="429">
        <f t="shared" si="376"/>
        <v>9.5087296043413829</v>
      </c>
      <c r="I98" s="429">
        <f t="shared" si="376"/>
        <v>9.7017649787274891</v>
      </c>
      <c r="J98" s="429">
        <f t="shared" si="376"/>
        <v>10.090131891491469</v>
      </c>
      <c r="K98" s="430">
        <f t="shared" si="376"/>
        <v>2.5630885122410545</v>
      </c>
      <c r="L98" s="429">
        <f t="shared" si="376"/>
        <v>1.6083788706739526</v>
      </c>
      <c r="M98" s="429">
        <f t="shared" si="376"/>
        <v>0.41123188405797101</v>
      </c>
      <c r="N98" s="429">
        <f t="shared" si="376"/>
        <v>-6.1371841155234655E-2</v>
      </c>
      <c r="O98" s="430">
        <f t="shared" si="376"/>
        <v>0.85664939550949915</v>
      </c>
      <c r="P98" s="429">
        <f t="shared" si="376"/>
        <v>0.31848184818481851</v>
      </c>
      <c r="Q98" s="429">
        <f t="shared" si="376"/>
        <v>0.45469522240527183</v>
      </c>
      <c r="R98" s="429">
        <f t="shared" si="376"/>
        <v>0.27960526315789475</v>
      </c>
      <c r="S98" s="430">
        <f t="shared" si="376"/>
        <v>-0.5977011494252874</v>
      </c>
      <c r="T98" s="429">
        <f t="shared" si="376"/>
        <v>-1.0159744408945688</v>
      </c>
      <c r="U98" s="429">
        <f t="shared" si="376"/>
        <v>-1.3808095952023989</v>
      </c>
      <c r="V98" s="429">
        <f t="shared" si="376"/>
        <v>-1.4524495677233429</v>
      </c>
      <c r="W98" s="430">
        <f t="shared" si="376"/>
        <v>0.28697850821744625</v>
      </c>
      <c r="X98" s="429">
        <f t="shared" si="376"/>
        <v>0.519893899204244</v>
      </c>
      <c r="Y98" s="429">
        <f t="shared" si="376"/>
        <v>0.51480959097320167</v>
      </c>
      <c r="Z98" s="429">
        <f t="shared" si="376"/>
        <v>0.34081346423562414</v>
      </c>
      <c r="AA98" s="430">
        <f t="shared" si="376"/>
        <v>0.89085948158253747</v>
      </c>
      <c r="AB98" s="429">
        <f t="shared" si="376"/>
        <v>1.5798429319371727</v>
      </c>
      <c r="AC98" s="429">
        <f t="shared" si="376"/>
        <v>1.7483176312247646</v>
      </c>
      <c r="AD98" s="429">
        <f t="shared" si="376"/>
        <v>1.902834008097166</v>
      </c>
      <c r="AE98" s="430">
        <f t="shared" si="376"/>
        <v>1.7308743169398908</v>
      </c>
      <c r="AF98" s="429">
        <f t="shared" si="376"/>
        <v>0.53133514986376018</v>
      </c>
      <c r="AG98" s="429">
        <f t="shared" si="376"/>
        <v>0.60794701986754962</v>
      </c>
      <c r="AH98" s="429">
        <f t="shared" si="376"/>
        <v>0.45100671140939597</v>
      </c>
      <c r="AI98" s="430">
        <f t="shared" si="376"/>
        <v>-0.14859437751004015</v>
      </c>
      <c r="AJ98" s="429">
        <f t="shared" si="376"/>
        <v>-0.30707610146862485</v>
      </c>
      <c r="AK98" s="429">
        <f t="shared" si="376"/>
        <v>-0.37367021276595747</v>
      </c>
      <c r="AL98" s="429">
        <f t="shared" si="376"/>
        <v>-0.26308900523560208</v>
      </c>
      <c r="AM98" s="430">
        <f t="shared" si="376"/>
        <v>-0.11357702349869452</v>
      </c>
      <c r="AN98" s="429">
        <f t="shared" ref="AN98:AU98" si="377">AN97/AN78</f>
        <v>-0.15374507227332457</v>
      </c>
      <c r="AO98" s="429">
        <f t="shared" si="377"/>
        <v>-0.16230366492146597</v>
      </c>
      <c r="AP98" s="429">
        <f t="shared" si="377"/>
        <v>-0.11082802547770701</v>
      </c>
      <c r="AQ98" s="430">
        <f t="shared" si="377"/>
        <v>-0.25515463917525771</v>
      </c>
      <c r="AR98" s="429">
        <f t="shared" si="377"/>
        <v>-0.38996138996138996</v>
      </c>
      <c r="AS98" s="429">
        <f t="shared" si="377"/>
        <v>-0.59254498714652959</v>
      </c>
      <c r="AT98" s="429">
        <f t="shared" si="377"/>
        <v>-0.7885350318471338</v>
      </c>
      <c r="AU98" s="430">
        <f t="shared" si="377"/>
        <v>-0.87231352718078381</v>
      </c>
      <c r="AV98" s="429">
        <f t="shared" ref="AV98:AY98" si="378">AV97/AV78</f>
        <v>-0.98486759142496849</v>
      </c>
      <c r="AW98" s="429">
        <f t="shared" si="378"/>
        <v>-0.85505481120584648</v>
      </c>
      <c r="AX98" s="429">
        <f t="shared" si="378"/>
        <v>0.11779141104294479</v>
      </c>
      <c r="AY98" s="430">
        <f t="shared" si="378"/>
        <v>0.13641245972073041</v>
      </c>
      <c r="AZ98" s="429">
        <f t="shared" ref="AZ98:BC98" si="379">AZ97/AZ78</f>
        <v>0.12779552715654952</v>
      </c>
      <c r="BA98" s="429">
        <f t="shared" si="379"/>
        <v>0.13544973544973546</v>
      </c>
      <c r="BB98" s="429">
        <f t="shared" si="379"/>
        <v>0.22168905950095968</v>
      </c>
      <c r="BC98" s="430">
        <f t="shared" si="379"/>
        <v>0.31051108968177432</v>
      </c>
      <c r="BD98" s="429">
        <f t="shared" ref="BD98:BG98" si="380">BD97/BD78</f>
        <v>0.41000962463907603</v>
      </c>
      <c r="BE98" s="429">
        <f t="shared" si="380"/>
        <v>0.54118785384677326</v>
      </c>
      <c r="BF98" s="429">
        <f t="shared" si="380"/>
        <v>0.66813396736781661</v>
      </c>
      <c r="BG98" s="430">
        <f t="shared" si="380"/>
        <v>0.75682307098543233</v>
      </c>
      <c r="BH98" s="429">
        <f t="shared" ref="BH98:BK98" si="381">BH97/BH78</f>
        <v>0.81750081492546667</v>
      </c>
      <c r="BI98" s="429">
        <f t="shared" si="381"/>
        <v>0.91594857612773861</v>
      </c>
      <c r="BJ98" s="429">
        <f t="shared" si="381"/>
        <v>1.0369708183138628</v>
      </c>
      <c r="BK98" s="430">
        <f t="shared" si="381"/>
        <v>1.1496739884700165</v>
      </c>
      <c r="BL98" s="431"/>
      <c r="BM98" s="432">
        <f t="shared" ref="BM98:BY98" si="382">BM97/BM78</f>
        <v>7.9122878352691091</v>
      </c>
      <c r="BN98" s="432">
        <f t="shared" si="382"/>
        <v>2.6906884584094888</v>
      </c>
      <c r="BO98" s="432">
        <f t="shared" si="382"/>
        <v>0.88809310653536255</v>
      </c>
      <c r="BP98" s="432">
        <f t="shared" si="382"/>
        <v>-0.59917695473251031</v>
      </c>
      <c r="BQ98" s="432">
        <f t="shared" si="382"/>
        <v>0.32685385169186465</v>
      </c>
      <c r="BR98" s="432">
        <f t="shared" si="382"/>
        <v>0.89790305947060844</v>
      </c>
      <c r="BS98" s="432">
        <f t="shared" si="382"/>
        <v>1.7006711409395974</v>
      </c>
      <c r="BT98" s="432">
        <f t="shared" si="382"/>
        <v>-0.14894330761489433</v>
      </c>
      <c r="BU98" s="432">
        <f t="shared" si="382"/>
        <v>-0.11481359287363907</v>
      </c>
      <c r="BV98" s="432">
        <f t="shared" si="382"/>
        <v>-0.28775113415424497</v>
      </c>
      <c r="BW98" s="432">
        <f t="shared" si="382"/>
        <v>-0.93899712551900349</v>
      </c>
      <c r="BX98" s="432">
        <f t="shared" si="382"/>
        <v>9.285714285714286E-2</v>
      </c>
      <c r="BY98" s="432">
        <f t="shared" si="382"/>
        <v>0.24526873580620742</v>
      </c>
      <c r="BZ98" s="432">
        <f t="shared" ref="BZ98:CA98" si="383">BZ97/BZ78</f>
        <v>0.62080624681360541</v>
      </c>
      <c r="CA98" s="432">
        <f t="shared" si="383"/>
        <v>1.0158159141513594</v>
      </c>
      <c r="CB98" s="1887">
        <f t="shared" ref="CB98" si="384">CB97/CB78</f>
        <v>1.4128643636293525</v>
      </c>
      <c r="CC98" s="861"/>
      <c r="CD98" s="1874"/>
    </row>
    <row r="99" spans="1:88" ht="14.25" customHeight="1">
      <c r="A99" s="7"/>
      <c r="B99" s="828"/>
      <c r="C99" s="22"/>
      <c r="D99" s="182"/>
      <c r="E99" s="182"/>
      <c r="F99" s="182"/>
      <c r="G99" s="183"/>
      <c r="H99" s="182"/>
      <c r="I99" s="182"/>
      <c r="J99" s="182"/>
      <c r="K99" s="183"/>
      <c r="L99" s="182"/>
      <c r="M99" s="182"/>
      <c r="N99" s="182"/>
      <c r="O99" s="183"/>
      <c r="P99" s="182"/>
      <c r="Q99" s="182"/>
      <c r="R99" s="182"/>
      <c r="S99" s="183"/>
      <c r="T99" s="182"/>
      <c r="U99" s="182"/>
      <c r="V99" s="182"/>
      <c r="W99" s="183"/>
      <c r="X99" s="182"/>
      <c r="Y99" s="182"/>
      <c r="Z99" s="182"/>
      <c r="AA99" s="183"/>
      <c r="AB99" s="182"/>
      <c r="AC99" s="182"/>
      <c r="AD99" s="182"/>
      <c r="AE99" s="183"/>
      <c r="AF99" s="182"/>
      <c r="AG99" s="182"/>
      <c r="AH99" s="182"/>
      <c r="AI99" s="183"/>
      <c r="AJ99" s="182"/>
      <c r="AK99" s="182"/>
      <c r="AL99" s="182"/>
      <c r="AM99" s="183"/>
      <c r="AN99" s="182"/>
      <c r="AO99" s="182"/>
      <c r="AP99" s="182"/>
      <c r="AQ99" s="183"/>
      <c r="AR99" s="182"/>
      <c r="AS99" s="182"/>
      <c r="AT99" s="182"/>
      <c r="AU99" s="183"/>
      <c r="AV99" s="182"/>
      <c r="AW99" s="182"/>
      <c r="AX99" s="182"/>
      <c r="AY99" s="183"/>
      <c r="AZ99" s="182"/>
      <c r="BA99" s="182"/>
      <c r="BB99" s="182"/>
      <c r="BC99" s="183"/>
      <c r="BD99" s="182"/>
      <c r="BE99" s="182"/>
      <c r="BF99" s="182"/>
      <c r="BG99" s="183"/>
      <c r="BH99" s="182"/>
      <c r="BI99" s="182"/>
      <c r="BJ99" s="182"/>
      <c r="BK99" s="183"/>
      <c r="BL99" s="19"/>
      <c r="BM99" s="184"/>
      <c r="BN99" s="184"/>
      <c r="BO99" s="184"/>
      <c r="BP99" s="184"/>
      <c r="BQ99" s="184"/>
      <c r="BR99" s="184"/>
      <c r="BS99" s="184"/>
      <c r="BT99" s="184"/>
      <c r="BU99" s="184"/>
      <c r="BV99" s="184"/>
      <c r="BW99" s="184"/>
      <c r="BX99" s="184"/>
      <c r="BY99" s="184"/>
      <c r="BZ99" s="184"/>
      <c r="CA99" s="184"/>
      <c r="CB99" s="1888"/>
      <c r="CC99" s="20"/>
      <c r="CD99" s="13"/>
    </row>
    <row r="100" spans="1:88" ht="14.25" customHeight="1">
      <c r="A100" s="7"/>
      <c r="B100" s="842" t="s">
        <v>212</v>
      </c>
      <c r="C100" s="22"/>
      <c r="D100" s="182"/>
      <c r="E100" s="182"/>
      <c r="F100" s="182"/>
      <c r="G100" s="183"/>
      <c r="H100" s="182"/>
      <c r="I100" s="182"/>
      <c r="J100" s="182"/>
      <c r="K100" s="183"/>
      <c r="L100" s="182"/>
      <c r="M100" s="182"/>
      <c r="N100" s="182"/>
      <c r="O100" s="183"/>
      <c r="P100" s="182"/>
      <c r="Q100" s="182"/>
      <c r="R100" s="182"/>
      <c r="S100" s="183"/>
      <c r="T100" s="182"/>
      <c r="U100" s="182"/>
      <c r="V100" s="182"/>
      <c r="W100" s="183"/>
      <c r="X100" s="182"/>
      <c r="Y100" s="182"/>
      <c r="Z100" s="182"/>
      <c r="AA100" s="183"/>
      <c r="AB100" s="182"/>
      <c r="AC100" s="182"/>
      <c r="AD100" s="182"/>
      <c r="AE100" s="183"/>
      <c r="AF100" s="182"/>
      <c r="AG100" s="182"/>
      <c r="AH100" s="182"/>
      <c r="AI100" s="183"/>
      <c r="AJ100" s="182"/>
      <c r="AK100" s="182"/>
      <c r="AL100" s="182"/>
      <c r="AM100" s="183"/>
      <c r="AN100" s="182"/>
      <c r="AO100" s="182"/>
      <c r="AP100" s="182"/>
      <c r="AQ100" s="183"/>
      <c r="AR100" s="182"/>
      <c r="AS100" s="182"/>
      <c r="AT100" s="182"/>
      <c r="AU100" s="183"/>
      <c r="AV100" s="182"/>
      <c r="AW100" s="182"/>
      <c r="AX100" s="182"/>
      <c r="AY100" s="183"/>
      <c r="AZ100" s="182"/>
      <c r="BA100" s="182"/>
      <c r="BB100" s="182"/>
      <c r="BC100" s="183"/>
      <c r="BD100" s="182"/>
      <c r="BE100" s="182"/>
      <c r="BF100" s="182"/>
      <c r="BG100" s="183"/>
      <c r="BH100" s="182"/>
      <c r="BI100" s="182"/>
      <c r="BJ100" s="182"/>
      <c r="BK100" s="183"/>
      <c r="BL100" s="19"/>
      <c r="BM100" s="184"/>
      <c r="BN100" s="184"/>
      <c r="BO100" s="184"/>
      <c r="BP100" s="184"/>
      <c r="BQ100" s="184"/>
      <c r="BR100" s="184"/>
      <c r="BS100" s="184"/>
      <c r="BT100" s="184"/>
      <c r="BU100" s="184"/>
      <c r="BV100" s="184"/>
      <c r="BW100" s="184"/>
      <c r="BX100" s="184"/>
      <c r="BY100" s="184"/>
      <c r="BZ100" s="184"/>
      <c r="CA100" s="184"/>
      <c r="CB100" s="1888"/>
      <c r="CC100" s="20"/>
      <c r="CD100" s="13"/>
    </row>
    <row r="101" spans="1:88" ht="14.25" customHeight="1">
      <c r="A101" s="7"/>
      <c r="B101" s="846" t="s">
        <v>120</v>
      </c>
      <c r="C101" s="425"/>
      <c r="D101" s="426">
        <f t="shared" ref="D101:AL101" si="385">D15-D35</f>
        <v>1224</v>
      </c>
      <c r="E101" s="426">
        <f t="shared" si="385"/>
        <v>1250.3770000000002</v>
      </c>
      <c r="F101" s="426">
        <f t="shared" si="385"/>
        <v>1250.0479999999998</v>
      </c>
      <c r="G101" s="427">
        <f t="shared" si="385"/>
        <v>1736.8750000000002</v>
      </c>
      <c r="H101" s="426">
        <f t="shared" si="385"/>
        <v>2268.3289999999997</v>
      </c>
      <c r="I101" s="426">
        <f t="shared" si="385"/>
        <v>2151.0429999999992</v>
      </c>
      <c r="J101" s="426">
        <f t="shared" si="385"/>
        <v>2019.6500000000005</v>
      </c>
      <c r="K101" s="427">
        <f t="shared" si="385"/>
        <v>1111</v>
      </c>
      <c r="L101" s="426">
        <f t="shared" si="385"/>
        <v>276</v>
      </c>
      <c r="M101" s="426">
        <f t="shared" si="385"/>
        <v>1122</v>
      </c>
      <c r="N101" s="426">
        <f t="shared" si="385"/>
        <v>841</v>
      </c>
      <c r="O101" s="427">
        <f t="shared" si="385"/>
        <v>1191</v>
      </c>
      <c r="P101" s="426">
        <f t="shared" si="385"/>
        <v>775</v>
      </c>
      <c r="Q101" s="426">
        <f t="shared" si="385"/>
        <v>963</v>
      </c>
      <c r="R101" s="426">
        <f t="shared" si="385"/>
        <v>905</v>
      </c>
      <c r="S101" s="427">
        <f t="shared" si="385"/>
        <v>153</v>
      </c>
      <c r="T101" s="426">
        <f t="shared" si="385"/>
        <v>1892</v>
      </c>
      <c r="U101" s="426">
        <f t="shared" si="385"/>
        <v>1691</v>
      </c>
      <c r="V101" s="426">
        <f t="shared" si="385"/>
        <v>1842</v>
      </c>
      <c r="W101" s="427">
        <f t="shared" si="385"/>
        <v>2065</v>
      </c>
      <c r="X101" s="426">
        <f t="shared" si="385"/>
        <v>1686</v>
      </c>
      <c r="Y101" s="426">
        <f t="shared" si="385"/>
        <v>1683</v>
      </c>
      <c r="Z101" s="426">
        <f t="shared" si="385"/>
        <v>1547</v>
      </c>
      <c r="AA101" s="427">
        <f t="shared" si="385"/>
        <v>1920</v>
      </c>
      <c r="AB101" s="426">
        <f t="shared" si="385"/>
        <v>2036</v>
      </c>
      <c r="AC101" s="426">
        <f t="shared" si="385"/>
        <v>2126</v>
      </c>
      <c r="AD101" s="426">
        <f t="shared" si="385"/>
        <v>1557</v>
      </c>
      <c r="AE101" s="427">
        <f>AE15-AE35</f>
        <v>1455</v>
      </c>
      <c r="AF101" s="426">
        <f>AF15-AF35</f>
        <v>848</v>
      </c>
      <c r="AG101" s="426">
        <f t="shared" si="385"/>
        <v>881</v>
      </c>
      <c r="AH101" s="426">
        <f t="shared" si="385"/>
        <v>1260</v>
      </c>
      <c r="AI101" s="427">
        <f t="shared" si="385"/>
        <v>868</v>
      </c>
      <c r="AJ101" s="426">
        <f t="shared" si="385"/>
        <v>1017</v>
      </c>
      <c r="AK101" s="426">
        <f t="shared" si="385"/>
        <v>1007</v>
      </c>
      <c r="AL101" s="426">
        <f t="shared" si="385"/>
        <v>1177</v>
      </c>
      <c r="AM101" s="427">
        <f t="shared" ref="AM101:AU101" si="386">AM15-AM35</f>
        <v>1266</v>
      </c>
      <c r="AN101" s="426">
        <f t="shared" si="386"/>
        <v>1306</v>
      </c>
      <c r="AO101" s="426">
        <f t="shared" si="386"/>
        <v>1427</v>
      </c>
      <c r="AP101" s="426">
        <f t="shared" si="386"/>
        <v>1454</v>
      </c>
      <c r="AQ101" s="427">
        <f t="shared" si="386"/>
        <v>1296</v>
      </c>
      <c r="AR101" s="426">
        <f t="shared" si="386"/>
        <v>1205</v>
      </c>
      <c r="AS101" s="426">
        <f t="shared" si="386"/>
        <v>1052</v>
      </c>
      <c r="AT101" s="426">
        <f t="shared" si="386"/>
        <v>1017</v>
      </c>
      <c r="AU101" s="427">
        <f t="shared" si="386"/>
        <v>917</v>
      </c>
      <c r="AV101" s="426">
        <f t="shared" ref="AV101:AY101" si="387">AV15-AV35</f>
        <v>898</v>
      </c>
      <c r="AW101" s="426">
        <f t="shared" si="387"/>
        <v>925</v>
      </c>
      <c r="AX101" s="426">
        <f t="shared" si="387"/>
        <v>1351</v>
      </c>
      <c r="AY101" s="427">
        <f t="shared" si="387"/>
        <v>1184</v>
      </c>
      <c r="AZ101" s="426">
        <f t="shared" ref="AZ101:BC101" si="388">AZ15-AZ35</f>
        <v>1126</v>
      </c>
      <c r="BA101" s="426">
        <f t="shared" si="388"/>
        <v>1062</v>
      </c>
      <c r="BB101" s="426">
        <f t="shared" si="388"/>
        <v>1108</v>
      </c>
      <c r="BC101" s="427">
        <f t="shared" si="388"/>
        <v>1136</v>
      </c>
      <c r="BD101" s="426">
        <f t="shared" ref="BD101:BG101" si="389">BD15-BD35</f>
        <v>1054</v>
      </c>
      <c r="BE101" s="426">
        <f t="shared" si="389"/>
        <v>1205.3765558544915</v>
      </c>
      <c r="BF101" s="426">
        <f t="shared" si="389"/>
        <v>1352.8637279646332</v>
      </c>
      <c r="BG101" s="427">
        <f t="shared" si="389"/>
        <v>1460.8801091797773</v>
      </c>
      <c r="BH101" s="426">
        <f t="shared" ref="BH101:BK101" si="390">BH15-BH35</f>
        <v>1539.9233532269645</v>
      </c>
      <c r="BI101" s="426">
        <f t="shared" si="390"/>
        <v>1658.830056357999</v>
      </c>
      <c r="BJ101" s="426">
        <f t="shared" si="390"/>
        <v>1801.8563300478713</v>
      </c>
      <c r="BK101" s="427">
        <f t="shared" si="390"/>
        <v>1936.606709858929</v>
      </c>
      <c r="BL101" s="19"/>
      <c r="BM101" s="185">
        <f t="shared" ref="BM101:BY101" si="391">BM15-BM35</f>
        <v>1736.8750000000002</v>
      </c>
      <c r="BN101" s="185">
        <f t="shared" si="391"/>
        <v>1111</v>
      </c>
      <c r="BO101" s="185">
        <f t="shared" si="391"/>
        <v>1191</v>
      </c>
      <c r="BP101" s="185">
        <f t="shared" si="391"/>
        <v>153</v>
      </c>
      <c r="BQ101" s="185">
        <f t="shared" si="391"/>
        <v>2065</v>
      </c>
      <c r="BR101" s="185">
        <f t="shared" si="391"/>
        <v>1920</v>
      </c>
      <c r="BS101" s="185">
        <f t="shared" si="391"/>
        <v>1455</v>
      </c>
      <c r="BT101" s="185">
        <f t="shared" si="391"/>
        <v>868</v>
      </c>
      <c r="BU101" s="185">
        <f t="shared" si="391"/>
        <v>1266</v>
      </c>
      <c r="BV101" s="185">
        <f>BV15-BV35</f>
        <v>1296</v>
      </c>
      <c r="BW101" s="185">
        <f t="shared" si="391"/>
        <v>917</v>
      </c>
      <c r="BX101" s="185">
        <f>BX15-BX35</f>
        <v>1184</v>
      </c>
      <c r="BY101" s="185">
        <f t="shared" si="391"/>
        <v>1136</v>
      </c>
      <c r="BZ101" s="185">
        <f t="shared" ref="BZ101:CA101" si="392">BZ15-BZ35</f>
        <v>1460.8801091797773</v>
      </c>
      <c r="CA101" s="185">
        <f t="shared" si="392"/>
        <v>1936.606709858929</v>
      </c>
      <c r="CB101" s="2033">
        <f t="shared" ref="CB101" si="393">CB15-CB35</f>
        <v>2282.1537761167147</v>
      </c>
      <c r="CC101" s="20"/>
      <c r="CD101" s="13"/>
    </row>
    <row r="102" spans="1:88" ht="14.25" customHeight="1">
      <c r="A102" s="7"/>
      <c r="B102" s="84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c r="AQ102" s="7"/>
      <c r="AR102" s="7"/>
      <c r="AS102" s="7"/>
      <c r="AT102" s="7"/>
      <c r="AU102" s="7"/>
      <c r="AV102" s="7"/>
      <c r="AW102" s="7"/>
      <c r="AX102" s="7"/>
      <c r="AY102" s="7"/>
      <c r="AZ102" s="7"/>
      <c r="BA102" s="7"/>
      <c r="BB102" s="69"/>
      <c r="BC102" s="13"/>
      <c r="BD102" s="7"/>
      <c r="BE102" s="7"/>
      <c r="BF102" s="69"/>
      <c r="BG102" s="13"/>
      <c r="BH102" s="7"/>
      <c r="BI102" s="7"/>
      <c r="BJ102" s="69"/>
      <c r="BK102" s="13"/>
      <c r="BL102" s="7"/>
      <c r="BM102" s="7"/>
      <c r="BN102" s="7"/>
      <c r="BO102" s="7"/>
      <c r="BP102" s="7"/>
      <c r="BQ102" s="7"/>
      <c r="BR102" s="7"/>
      <c r="BS102" s="7"/>
      <c r="BT102" s="7"/>
      <c r="BU102" s="7"/>
      <c r="BV102" s="7"/>
      <c r="BW102" s="7"/>
      <c r="BX102" s="7"/>
      <c r="BY102" s="7"/>
      <c r="BZ102" s="7"/>
      <c r="CA102" s="7"/>
      <c r="CB102" s="2072"/>
      <c r="CC102" s="7"/>
      <c r="CD102" s="7"/>
    </row>
    <row r="103" spans="1:88" ht="14.25" customHeight="1">
      <c r="A103" s="7"/>
      <c r="B103" s="84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c r="AQ103" s="7"/>
      <c r="AR103" s="7"/>
      <c r="AS103" s="7"/>
      <c r="AT103" s="7"/>
      <c r="AU103" s="7"/>
      <c r="AV103" s="7"/>
      <c r="AW103" s="7"/>
      <c r="AX103" s="7"/>
      <c r="AY103" s="7"/>
      <c r="AZ103" s="7"/>
      <c r="BA103" s="7"/>
      <c r="BB103" s="69"/>
      <c r="BC103" s="13"/>
      <c r="BD103" s="7"/>
      <c r="BE103" s="7"/>
      <c r="BF103" s="69"/>
      <c r="BG103" s="13"/>
      <c r="BH103" s="7"/>
      <c r="BI103" s="7"/>
      <c r="BJ103" s="69"/>
      <c r="BK103" s="13"/>
      <c r="BL103" s="7"/>
      <c r="BM103" s="7"/>
      <c r="BN103" s="7"/>
      <c r="BO103" s="7"/>
      <c r="BP103" s="7"/>
      <c r="BQ103" s="7"/>
      <c r="BR103" s="7"/>
      <c r="BS103" s="7"/>
      <c r="BT103" s="7"/>
      <c r="BU103" s="7"/>
      <c r="BV103" s="7"/>
      <c r="BW103" s="7"/>
      <c r="BX103" s="7"/>
      <c r="BY103" s="7"/>
      <c r="BZ103" s="7"/>
      <c r="CA103" s="7"/>
      <c r="CB103" s="2072"/>
      <c r="CC103" s="7"/>
      <c r="CD103" s="7"/>
    </row>
    <row r="104" spans="1:88" ht="14.25" customHeight="1">
      <c r="A104" s="7"/>
      <c r="B104" s="848" t="s">
        <v>367</v>
      </c>
      <c r="C104" s="434"/>
      <c r="D104" s="568" t="str">
        <f>+D$6</f>
        <v>F1Q05A</v>
      </c>
      <c r="E104" s="568" t="str">
        <f t="shared" ref="E104:BK104" si="394">+E$6</f>
        <v>F2Q05A</v>
      </c>
      <c r="F104" s="568" t="str">
        <f t="shared" si="394"/>
        <v>F3Q05A</v>
      </c>
      <c r="G104" s="569" t="str">
        <f t="shared" si="394"/>
        <v>F4Q05A</v>
      </c>
      <c r="H104" s="568" t="str">
        <f t="shared" si="394"/>
        <v>F1Q06A</v>
      </c>
      <c r="I104" s="568" t="str">
        <f t="shared" si="394"/>
        <v>F2Q06A</v>
      </c>
      <c r="J104" s="568" t="str">
        <f t="shared" si="394"/>
        <v>F3Q06A</v>
      </c>
      <c r="K104" s="569" t="str">
        <f t="shared" si="394"/>
        <v>F4Q06A</v>
      </c>
      <c r="L104" s="568" t="str">
        <f t="shared" si="394"/>
        <v>F1Q07A</v>
      </c>
      <c r="M104" s="568" t="str">
        <f t="shared" si="394"/>
        <v>F2Q07A</v>
      </c>
      <c r="N104" s="568" t="str">
        <f t="shared" si="394"/>
        <v>F3Q07A</v>
      </c>
      <c r="O104" s="569" t="str">
        <f t="shared" si="394"/>
        <v>F4Q07A</v>
      </c>
      <c r="P104" s="568" t="str">
        <f t="shared" si="394"/>
        <v>F1Q08A</v>
      </c>
      <c r="Q104" s="568" t="str">
        <f t="shared" si="394"/>
        <v>F2Q08A</v>
      </c>
      <c r="R104" s="568" t="str">
        <f t="shared" si="394"/>
        <v>F3Q08A</v>
      </c>
      <c r="S104" s="569" t="str">
        <f t="shared" si="394"/>
        <v>F4Q08A</v>
      </c>
      <c r="T104" s="568" t="str">
        <f t="shared" si="394"/>
        <v>F1Q09A</v>
      </c>
      <c r="U104" s="568" t="str">
        <f t="shared" si="394"/>
        <v>F2Q09A</v>
      </c>
      <c r="V104" s="568" t="str">
        <f t="shared" si="394"/>
        <v>F3Q09A</v>
      </c>
      <c r="W104" s="569" t="str">
        <f t="shared" si="394"/>
        <v>F4Q09A</v>
      </c>
      <c r="X104" s="568" t="str">
        <f t="shared" si="394"/>
        <v>F1Q10A</v>
      </c>
      <c r="Y104" s="568" t="str">
        <f t="shared" si="394"/>
        <v>F2Q10A</v>
      </c>
      <c r="Z104" s="568" t="str">
        <f t="shared" si="394"/>
        <v>F3Q10A</v>
      </c>
      <c r="AA104" s="569" t="str">
        <f t="shared" si="394"/>
        <v>F4Q10A</v>
      </c>
      <c r="AB104" s="568" t="str">
        <f t="shared" si="394"/>
        <v>F1Q11A</v>
      </c>
      <c r="AC104" s="568" t="str">
        <f t="shared" si="394"/>
        <v>F2Q11A</v>
      </c>
      <c r="AD104" s="568" t="str">
        <f t="shared" si="394"/>
        <v>F3Q11A</v>
      </c>
      <c r="AE104" s="569" t="str">
        <f t="shared" si="394"/>
        <v>F4Q11A</v>
      </c>
      <c r="AF104" s="568" t="str">
        <f t="shared" si="394"/>
        <v>F1Q12A</v>
      </c>
      <c r="AG104" s="568" t="str">
        <f t="shared" si="394"/>
        <v>F2Q12A</v>
      </c>
      <c r="AH104" s="568" t="str">
        <f t="shared" si="394"/>
        <v>F3Q12A</v>
      </c>
      <c r="AI104" s="569" t="str">
        <f t="shared" si="394"/>
        <v>F4Q12A</v>
      </c>
      <c r="AJ104" s="568" t="str">
        <f t="shared" si="394"/>
        <v>F1Q13A</v>
      </c>
      <c r="AK104" s="568" t="str">
        <f t="shared" si="394"/>
        <v>F2Q13A</v>
      </c>
      <c r="AL104" s="568" t="str">
        <f t="shared" si="394"/>
        <v>F3Q13A</v>
      </c>
      <c r="AM104" s="569" t="str">
        <f t="shared" si="394"/>
        <v>F4Q13A</v>
      </c>
      <c r="AN104" s="568" t="str">
        <f t="shared" si="394"/>
        <v>F1Q14A</v>
      </c>
      <c r="AO104" s="568" t="str">
        <f t="shared" si="394"/>
        <v>F2Q14A</v>
      </c>
      <c r="AP104" s="568" t="str">
        <f t="shared" si="394"/>
        <v>F3Q14A</v>
      </c>
      <c r="AQ104" s="569" t="str">
        <f t="shared" si="394"/>
        <v>F4Q14A</v>
      </c>
      <c r="AR104" s="568" t="str">
        <f t="shared" si="394"/>
        <v>F1Q15A</v>
      </c>
      <c r="AS104" s="568" t="str">
        <f t="shared" si="394"/>
        <v>F2Q15A</v>
      </c>
      <c r="AT104" s="568" t="str">
        <f t="shared" si="394"/>
        <v>F3Q15A</v>
      </c>
      <c r="AU104" s="569" t="str">
        <f t="shared" si="394"/>
        <v>F4Q15A</v>
      </c>
      <c r="AV104" s="568" t="str">
        <f t="shared" si="394"/>
        <v>F1Q16A</v>
      </c>
      <c r="AW104" s="568" t="str">
        <f t="shared" si="394"/>
        <v>C2Q16A</v>
      </c>
      <c r="AX104" s="568" t="str">
        <f t="shared" si="394"/>
        <v>F3Q16A</v>
      </c>
      <c r="AY104" s="569" t="str">
        <f t="shared" si="394"/>
        <v>F4Q16A</v>
      </c>
      <c r="AZ104" s="568" t="str">
        <f t="shared" si="394"/>
        <v>F1Q17A</v>
      </c>
      <c r="BA104" s="568" t="str">
        <f t="shared" si="394"/>
        <v>C2Q17A</v>
      </c>
      <c r="BB104" s="568" t="str">
        <f t="shared" si="394"/>
        <v>C3Q17A</v>
      </c>
      <c r="BC104" s="569" t="str">
        <f t="shared" si="394"/>
        <v>F4Q17A</v>
      </c>
      <c r="BD104" s="568" t="str">
        <f t="shared" si="394"/>
        <v>F1Q18A</v>
      </c>
      <c r="BE104" s="568" t="str">
        <f t="shared" si="394"/>
        <v>F2Q18E</v>
      </c>
      <c r="BF104" s="568" t="str">
        <f t="shared" si="394"/>
        <v>F3Q18E</v>
      </c>
      <c r="BG104" s="569" t="str">
        <f t="shared" si="394"/>
        <v>F4Q18E</v>
      </c>
      <c r="BH104" s="568" t="str">
        <f t="shared" si="394"/>
        <v>F1Q19E</v>
      </c>
      <c r="BI104" s="568" t="str">
        <f t="shared" si="394"/>
        <v>F2Q19E</v>
      </c>
      <c r="BJ104" s="568" t="str">
        <f t="shared" si="394"/>
        <v>F3Q19E</v>
      </c>
      <c r="BK104" s="569" t="str">
        <f t="shared" si="394"/>
        <v>F4Q19E</v>
      </c>
      <c r="BL104" s="2030"/>
      <c r="BM104" s="577" t="str">
        <f>+BM$6</f>
        <v>FY2005A</v>
      </c>
      <c r="BN104" s="568" t="str">
        <f t="shared" ref="BN104:CB104" si="395">+BN$6</f>
        <v>FY2006A</v>
      </c>
      <c r="BO104" s="568" t="str">
        <f t="shared" si="395"/>
        <v>FY2007A</v>
      </c>
      <c r="BP104" s="568" t="str">
        <f t="shared" si="395"/>
        <v>FY2008A</v>
      </c>
      <c r="BQ104" s="568" t="str">
        <f t="shared" si="395"/>
        <v>FY2009A</v>
      </c>
      <c r="BR104" s="568" t="str">
        <f t="shared" si="395"/>
        <v>FY2010A</v>
      </c>
      <c r="BS104" s="568" t="str">
        <f t="shared" si="395"/>
        <v>FY2011A</v>
      </c>
      <c r="BT104" s="568" t="str">
        <f t="shared" si="395"/>
        <v>FY2012A</v>
      </c>
      <c r="BU104" s="568" t="str">
        <f t="shared" si="395"/>
        <v>FY2013A</v>
      </c>
      <c r="BV104" s="568" t="str">
        <f t="shared" si="395"/>
        <v>FY2014A</v>
      </c>
      <c r="BW104" s="568" t="str">
        <f t="shared" si="395"/>
        <v>FY2015A</v>
      </c>
      <c r="BX104" s="568" t="str">
        <f t="shared" si="395"/>
        <v>FY2016A</v>
      </c>
      <c r="BY104" s="568" t="str">
        <f t="shared" si="395"/>
        <v>FY2017A</v>
      </c>
      <c r="BZ104" s="568" t="str">
        <f t="shared" si="395"/>
        <v>FY2018E</v>
      </c>
      <c r="CA104" s="568" t="str">
        <f t="shared" si="395"/>
        <v>FY2019E</v>
      </c>
      <c r="CB104" s="2123" t="str">
        <f t="shared" si="395"/>
        <v>FY2020E</v>
      </c>
      <c r="CC104" s="2140"/>
      <c r="CD104" s="7"/>
    </row>
    <row r="105" spans="1:88" s="360" customFormat="1" ht="14.25" customHeight="1">
      <c r="A105" s="10"/>
      <c r="B105" s="842" t="s">
        <v>364</v>
      </c>
      <c r="C105" s="69"/>
      <c r="D105" s="69"/>
      <c r="E105" s="69"/>
      <c r="F105" s="69"/>
      <c r="G105" s="22"/>
      <c r="H105" s="69"/>
      <c r="I105" s="69"/>
      <c r="J105" s="69"/>
      <c r="K105" s="22"/>
      <c r="L105" s="69"/>
      <c r="M105" s="69"/>
      <c r="N105" s="69"/>
      <c r="O105" s="22"/>
      <c r="P105" s="69"/>
      <c r="Q105" s="69"/>
      <c r="R105" s="69"/>
      <c r="S105" s="22"/>
      <c r="T105" s="69"/>
      <c r="U105" s="69"/>
      <c r="V105" s="69"/>
      <c r="W105" s="22"/>
      <c r="X105" s="69"/>
      <c r="Y105" s="69"/>
      <c r="Z105" s="69"/>
      <c r="AA105" s="22"/>
      <c r="AB105" s="446"/>
      <c r="AC105" s="69"/>
      <c r="AD105" s="69"/>
      <c r="AE105" s="22"/>
      <c r="AF105" s="446"/>
      <c r="AG105" s="446"/>
      <c r="AH105" s="69"/>
      <c r="AI105" s="22"/>
      <c r="AJ105" s="69"/>
      <c r="AK105" s="69"/>
      <c r="AL105" s="69"/>
      <c r="AM105" s="22"/>
      <c r="AN105" s="69"/>
      <c r="AO105" s="69"/>
      <c r="AP105" s="69"/>
      <c r="AQ105" s="22"/>
      <c r="AR105" s="69"/>
      <c r="AS105" s="69"/>
      <c r="AT105" s="69"/>
      <c r="AU105" s="22"/>
      <c r="AV105" s="69"/>
      <c r="AW105" s="69"/>
      <c r="AX105" s="69"/>
      <c r="AY105" s="22"/>
      <c r="AZ105" s="69"/>
      <c r="BA105" s="69"/>
      <c r="BB105" s="69"/>
      <c r="BC105" s="22"/>
      <c r="BD105" s="69"/>
      <c r="BE105" s="69"/>
      <c r="BF105" s="69"/>
      <c r="BG105" s="22"/>
      <c r="BH105" s="69"/>
      <c r="BI105" s="69"/>
      <c r="BJ105" s="69"/>
      <c r="BK105" s="22"/>
      <c r="BL105" s="2035"/>
      <c r="BM105" s="21"/>
      <c r="BN105" s="69"/>
      <c r="BO105" s="69"/>
      <c r="BP105" s="69"/>
      <c r="BQ105" s="69"/>
      <c r="BR105" s="69"/>
      <c r="BS105" s="69"/>
      <c r="BT105" s="69"/>
      <c r="BU105" s="69"/>
      <c r="BV105" s="69"/>
      <c r="BW105" s="69"/>
      <c r="BX105" s="69"/>
      <c r="BY105" s="69"/>
      <c r="BZ105" s="69"/>
      <c r="CA105" s="69"/>
      <c r="CB105" s="2124"/>
      <c r="CC105" s="2144"/>
      <c r="CD105" s="10"/>
      <c r="CE105"/>
      <c r="CF105"/>
      <c r="CG105"/>
      <c r="CH105"/>
      <c r="CI105"/>
      <c r="CJ105"/>
    </row>
    <row r="106" spans="1:88" ht="14.25" customHeight="1">
      <c r="A106" s="7"/>
      <c r="B106" s="849" t="s">
        <v>359</v>
      </c>
      <c r="C106" s="13"/>
      <c r="D106" s="13"/>
      <c r="E106" s="13"/>
      <c r="F106" s="13"/>
      <c r="G106" s="244"/>
      <c r="H106" s="13"/>
      <c r="I106" s="13"/>
      <c r="J106" s="13"/>
      <c r="K106" s="244"/>
      <c r="L106" s="13"/>
      <c r="M106" s="13"/>
      <c r="N106" s="13"/>
      <c r="O106" s="244"/>
      <c r="P106" s="13"/>
      <c r="Q106" s="13"/>
      <c r="R106" s="13"/>
      <c r="S106" s="244"/>
      <c r="T106" s="13"/>
      <c r="U106" s="13"/>
      <c r="V106" s="13"/>
      <c r="W106" s="244"/>
      <c r="X106" s="13"/>
      <c r="Y106" s="13"/>
      <c r="Z106" s="13"/>
      <c r="AA106" s="456">
        <v>485</v>
      </c>
      <c r="AB106" s="444">
        <v>485</v>
      </c>
      <c r="AC106" s="444">
        <v>485</v>
      </c>
      <c r="AD106" s="444">
        <v>485</v>
      </c>
      <c r="AE106" s="456">
        <f>+AD106</f>
        <v>485</v>
      </c>
      <c r="AF106" s="444">
        <v>485</v>
      </c>
      <c r="AG106" s="302">
        <f>+AF106</f>
        <v>485</v>
      </c>
      <c r="AH106" s="460">
        <v>0</v>
      </c>
      <c r="AI106" s="449">
        <v>0</v>
      </c>
      <c r="AJ106" s="445">
        <f t="shared" ref="AJ106:AL110" si="396">+AI106</f>
        <v>0</v>
      </c>
      <c r="AK106" s="445">
        <f t="shared" si="396"/>
        <v>0</v>
      </c>
      <c r="AL106" s="445">
        <f t="shared" si="396"/>
        <v>0</v>
      </c>
      <c r="AM106" s="449">
        <v>0</v>
      </c>
      <c r="AN106" s="445">
        <f>+AM106</f>
        <v>0</v>
      </c>
      <c r="AO106" s="445">
        <f t="shared" ref="AO106:AQ110" si="397">+AN106</f>
        <v>0</v>
      </c>
      <c r="AP106" s="445">
        <f>+AO106</f>
        <v>0</v>
      </c>
      <c r="AQ106" s="449">
        <f t="shared" si="397"/>
        <v>0</v>
      </c>
      <c r="AR106" s="445">
        <f t="shared" ref="AR106:AU116" si="398">+AQ106</f>
        <v>0</v>
      </c>
      <c r="AS106" s="445">
        <f t="shared" si="398"/>
        <v>0</v>
      </c>
      <c r="AT106" s="445">
        <f t="shared" si="398"/>
        <v>0</v>
      </c>
      <c r="AU106" s="449">
        <f t="shared" si="398"/>
        <v>0</v>
      </c>
      <c r="AV106" s="445">
        <f t="shared" ref="AV106:AV116" si="399">+AU106</f>
        <v>0</v>
      </c>
      <c r="AW106" s="445">
        <f t="shared" ref="AW106:AY116" si="400">+AV106</f>
        <v>0</v>
      </c>
      <c r="AX106" s="445">
        <f t="shared" si="400"/>
        <v>0</v>
      </c>
      <c r="AY106" s="449">
        <f t="shared" si="400"/>
        <v>0</v>
      </c>
      <c r="AZ106" s="445">
        <f t="shared" ref="AZ106:AZ115" si="401">+AY106</f>
        <v>0</v>
      </c>
      <c r="BA106" s="445">
        <f t="shared" ref="BA106:BA116" si="402">+AZ106</f>
        <v>0</v>
      </c>
      <c r="BB106" s="702">
        <f t="shared" ref="BB106:BB116" si="403">+BA106</f>
        <v>0</v>
      </c>
      <c r="BC106" s="457">
        <f t="shared" ref="BC106:BC116" si="404">+BB106</f>
        <v>0</v>
      </c>
      <c r="BD106" s="445">
        <f t="shared" ref="BD106:BD115" si="405">+BC106</f>
        <v>0</v>
      </c>
      <c r="BE106" s="445">
        <f t="shared" ref="BE106:BE116" si="406">+BD106</f>
        <v>0</v>
      </c>
      <c r="BF106" s="702">
        <f t="shared" ref="BF106:BF116" si="407">+BE106</f>
        <v>0</v>
      </c>
      <c r="BG106" s="457">
        <f t="shared" ref="BG106:BG116" si="408">+BF106</f>
        <v>0</v>
      </c>
      <c r="BH106" s="445">
        <f t="shared" ref="BH106:BH115" si="409">+BG106</f>
        <v>0</v>
      </c>
      <c r="BI106" s="445">
        <f t="shared" ref="BI106:BI116" si="410">+BH106</f>
        <v>0</v>
      </c>
      <c r="BJ106" s="702">
        <f t="shared" ref="BJ106:BJ116" si="411">+BI106</f>
        <v>0</v>
      </c>
      <c r="BK106" s="457">
        <f t="shared" ref="BK106:BK116" si="412">+BJ106</f>
        <v>0</v>
      </c>
      <c r="BL106" s="2030"/>
      <c r="BM106" s="20"/>
      <c r="BN106" s="13"/>
      <c r="BO106" s="13"/>
      <c r="BP106" s="13"/>
      <c r="BQ106" s="13"/>
      <c r="BR106" s="13"/>
      <c r="BS106" s="13">
        <f>+AE106</f>
        <v>485</v>
      </c>
      <c r="BT106" s="13">
        <f>+AI106</f>
        <v>0</v>
      </c>
      <c r="BU106" s="13">
        <f>+AM106</f>
        <v>0</v>
      </c>
      <c r="BV106" s="13">
        <f>+AQ106</f>
        <v>0</v>
      </c>
      <c r="BW106" s="13">
        <v>0</v>
      </c>
      <c r="BX106" s="13">
        <f>AY106</f>
        <v>0</v>
      </c>
      <c r="BY106" s="13">
        <f>BC106</f>
        <v>0</v>
      </c>
      <c r="BZ106" s="13">
        <f t="shared" ref="BZ106:BZ119" si="413">BG106</f>
        <v>0</v>
      </c>
      <c r="CA106" s="13">
        <f>BK106</f>
        <v>0</v>
      </c>
      <c r="CB106" s="2125">
        <f t="shared" ref="CB106:CB110" si="414">+CA106</f>
        <v>0</v>
      </c>
      <c r="CC106" s="2140"/>
      <c r="CD106" s="7"/>
    </row>
    <row r="107" spans="1:88" ht="14.25" customHeight="1">
      <c r="A107" s="7"/>
      <c r="B107" s="849" t="s">
        <v>360</v>
      </c>
      <c r="C107" s="13"/>
      <c r="D107" s="13"/>
      <c r="E107" s="13"/>
      <c r="F107" s="13"/>
      <c r="G107" s="244"/>
      <c r="H107" s="13"/>
      <c r="I107" s="13"/>
      <c r="J107" s="13"/>
      <c r="K107" s="244"/>
      <c r="L107" s="13"/>
      <c r="M107" s="13"/>
      <c r="N107" s="13"/>
      <c r="O107" s="244"/>
      <c r="P107" s="13"/>
      <c r="Q107" s="13"/>
      <c r="R107" s="13"/>
      <c r="S107" s="244"/>
      <c r="T107" s="13"/>
      <c r="U107" s="13"/>
      <c r="V107" s="13"/>
      <c r="W107" s="244"/>
      <c r="X107" s="13"/>
      <c r="Y107" s="13"/>
      <c r="Z107" s="13"/>
      <c r="AA107" s="456">
        <v>780</v>
      </c>
      <c r="AB107" s="444">
        <v>780</v>
      </c>
      <c r="AC107" s="444">
        <v>780</v>
      </c>
      <c r="AD107" s="444">
        <v>630</v>
      </c>
      <c r="AE107" s="456">
        <v>580</v>
      </c>
      <c r="AF107" s="444">
        <v>580</v>
      </c>
      <c r="AG107" s="302">
        <f t="shared" ref="AG107:AI110" si="415">+AF107</f>
        <v>580</v>
      </c>
      <c r="AH107" s="302">
        <f t="shared" si="415"/>
        <v>580</v>
      </c>
      <c r="AI107" s="449">
        <f t="shared" si="415"/>
        <v>580</v>
      </c>
      <c r="AJ107" s="302">
        <f t="shared" si="396"/>
        <v>580</v>
      </c>
      <c r="AK107" s="302">
        <f t="shared" si="396"/>
        <v>580</v>
      </c>
      <c r="AL107" s="302">
        <f t="shared" si="396"/>
        <v>580</v>
      </c>
      <c r="AM107" s="449">
        <f>+AL107</f>
        <v>580</v>
      </c>
      <c r="AN107" s="302">
        <f>+AM107</f>
        <v>580</v>
      </c>
      <c r="AO107" s="302">
        <f t="shared" si="397"/>
        <v>580</v>
      </c>
      <c r="AP107" s="302">
        <f>+AO107</f>
        <v>580</v>
      </c>
      <c r="AQ107" s="449">
        <f t="shared" si="397"/>
        <v>580</v>
      </c>
      <c r="AR107" s="302">
        <v>42</v>
      </c>
      <c r="AS107" s="302">
        <v>0</v>
      </c>
      <c r="AT107" s="302">
        <f t="shared" si="398"/>
        <v>0</v>
      </c>
      <c r="AU107" s="449">
        <f t="shared" si="398"/>
        <v>0</v>
      </c>
      <c r="AV107" s="302">
        <f t="shared" si="399"/>
        <v>0</v>
      </c>
      <c r="AW107" s="302">
        <f t="shared" si="400"/>
        <v>0</v>
      </c>
      <c r="AX107" s="302">
        <f t="shared" si="400"/>
        <v>0</v>
      </c>
      <c r="AY107" s="449">
        <f t="shared" si="400"/>
        <v>0</v>
      </c>
      <c r="AZ107" s="302">
        <f t="shared" si="401"/>
        <v>0</v>
      </c>
      <c r="BA107" s="302">
        <f t="shared" si="402"/>
        <v>0</v>
      </c>
      <c r="BB107" s="460">
        <f t="shared" si="403"/>
        <v>0</v>
      </c>
      <c r="BC107" s="449">
        <f t="shared" si="404"/>
        <v>0</v>
      </c>
      <c r="BD107" s="302">
        <f t="shared" si="405"/>
        <v>0</v>
      </c>
      <c r="BE107" s="302">
        <f t="shared" si="406"/>
        <v>0</v>
      </c>
      <c r="BF107" s="460">
        <f t="shared" si="407"/>
        <v>0</v>
      </c>
      <c r="BG107" s="449">
        <f t="shared" si="408"/>
        <v>0</v>
      </c>
      <c r="BH107" s="302">
        <f t="shared" si="409"/>
        <v>0</v>
      </c>
      <c r="BI107" s="302">
        <f t="shared" si="410"/>
        <v>0</v>
      </c>
      <c r="BJ107" s="460">
        <f t="shared" si="411"/>
        <v>0</v>
      </c>
      <c r="BK107" s="449">
        <f t="shared" si="412"/>
        <v>0</v>
      </c>
      <c r="BL107" s="2030"/>
      <c r="BM107" s="20"/>
      <c r="BN107" s="13"/>
      <c r="BO107" s="13"/>
      <c r="BP107" s="13"/>
      <c r="BQ107" s="13"/>
      <c r="BR107" s="13"/>
      <c r="BS107" s="13">
        <f>+AE107</f>
        <v>580</v>
      </c>
      <c r="BT107" s="13">
        <f>+AI107</f>
        <v>580</v>
      </c>
      <c r="BU107" s="13">
        <f>+AM107</f>
        <v>580</v>
      </c>
      <c r="BV107" s="13">
        <f>+AQ107</f>
        <v>580</v>
      </c>
      <c r="BW107" s="13">
        <f>AU107</f>
        <v>0</v>
      </c>
      <c r="BX107" s="13">
        <f t="shared" ref="BX107" si="416">+BW107</f>
        <v>0</v>
      </c>
      <c r="BY107" s="13">
        <f t="shared" ref="BY107:BY120" si="417">BC107</f>
        <v>0</v>
      </c>
      <c r="BZ107" s="13">
        <f t="shared" si="413"/>
        <v>0</v>
      </c>
      <c r="CA107" s="13">
        <f t="shared" ref="CA107:CA120" si="418">BK107</f>
        <v>0</v>
      </c>
      <c r="CB107" s="1670">
        <f t="shared" si="414"/>
        <v>0</v>
      </c>
      <c r="CC107" s="2140"/>
      <c r="CD107" s="7"/>
    </row>
    <row r="108" spans="1:88" ht="14.25" customHeight="1">
      <c r="A108" s="7"/>
      <c r="B108" s="849" t="s">
        <v>361</v>
      </c>
      <c r="C108" s="13"/>
      <c r="D108" s="13"/>
      <c r="E108" s="13"/>
      <c r="F108" s="13"/>
      <c r="G108" s="244"/>
      <c r="H108" s="13"/>
      <c r="I108" s="13"/>
      <c r="J108" s="13"/>
      <c r="K108" s="244"/>
      <c r="L108" s="13"/>
      <c r="M108" s="13"/>
      <c r="N108" s="13"/>
      <c r="O108" s="244"/>
      <c r="P108" s="13"/>
      <c r="Q108" s="13"/>
      <c r="R108" s="13"/>
      <c r="S108" s="244"/>
      <c r="T108" s="13"/>
      <c r="U108" s="13"/>
      <c r="V108" s="13"/>
      <c r="W108" s="244"/>
      <c r="X108" s="13"/>
      <c r="Y108" s="13"/>
      <c r="Z108" s="13"/>
      <c r="AA108" s="456">
        <v>500</v>
      </c>
      <c r="AB108" s="444">
        <v>500</v>
      </c>
      <c r="AC108" s="444">
        <v>500</v>
      </c>
      <c r="AD108" s="444">
        <v>500</v>
      </c>
      <c r="AE108" s="456">
        <f>+AD108</f>
        <v>500</v>
      </c>
      <c r="AF108" s="444">
        <v>500</v>
      </c>
      <c r="AG108" s="302">
        <f t="shared" si="415"/>
        <v>500</v>
      </c>
      <c r="AH108" s="302">
        <f t="shared" si="415"/>
        <v>500</v>
      </c>
      <c r="AI108" s="449">
        <f t="shared" si="415"/>
        <v>500</v>
      </c>
      <c r="AJ108" s="302">
        <f t="shared" si="396"/>
        <v>500</v>
      </c>
      <c r="AK108" s="302">
        <f t="shared" si="396"/>
        <v>500</v>
      </c>
      <c r="AL108" s="302">
        <f t="shared" si="396"/>
        <v>500</v>
      </c>
      <c r="AM108" s="449">
        <f>+AL108</f>
        <v>500</v>
      </c>
      <c r="AN108" s="302">
        <f>+AM108</f>
        <v>500</v>
      </c>
      <c r="AO108" s="302">
        <f t="shared" si="397"/>
        <v>500</v>
      </c>
      <c r="AP108" s="302">
        <f>+AO108</f>
        <v>500</v>
      </c>
      <c r="AQ108" s="449">
        <f t="shared" si="397"/>
        <v>500</v>
      </c>
      <c r="AR108" s="302">
        <v>0</v>
      </c>
      <c r="AS108" s="302">
        <f t="shared" si="398"/>
        <v>0</v>
      </c>
      <c r="AT108" s="302">
        <f t="shared" si="398"/>
        <v>0</v>
      </c>
      <c r="AU108" s="449">
        <f t="shared" si="398"/>
        <v>0</v>
      </c>
      <c r="AV108" s="302">
        <f t="shared" si="399"/>
        <v>0</v>
      </c>
      <c r="AW108" s="302">
        <f t="shared" si="400"/>
        <v>0</v>
      </c>
      <c r="AX108" s="302">
        <f t="shared" si="400"/>
        <v>0</v>
      </c>
      <c r="AY108" s="449">
        <f t="shared" si="400"/>
        <v>0</v>
      </c>
      <c r="AZ108" s="1420">
        <f t="shared" si="401"/>
        <v>0</v>
      </c>
      <c r="BA108" s="1420">
        <f t="shared" si="402"/>
        <v>0</v>
      </c>
      <c r="BB108" s="1420">
        <f t="shared" si="403"/>
        <v>0</v>
      </c>
      <c r="BC108" s="1478">
        <f t="shared" si="404"/>
        <v>0</v>
      </c>
      <c r="BD108" s="1420">
        <f t="shared" si="405"/>
        <v>0</v>
      </c>
      <c r="BE108" s="1420">
        <f t="shared" si="406"/>
        <v>0</v>
      </c>
      <c r="BF108" s="1420">
        <f t="shared" si="407"/>
        <v>0</v>
      </c>
      <c r="BG108" s="1478">
        <f t="shared" si="408"/>
        <v>0</v>
      </c>
      <c r="BH108" s="1420">
        <f t="shared" si="409"/>
        <v>0</v>
      </c>
      <c r="BI108" s="1420">
        <f t="shared" si="410"/>
        <v>0</v>
      </c>
      <c r="BJ108" s="1420">
        <f t="shared" si="411"/>
        <v>0</v>
      </c>
      <c r="BK108" s="1478">
        <f t="shared" si="412"/>
        <v>0</v>
      </c>
      <c r="BL108" s="2030"/>
      <c r="BM108" s="20"/>
      <c r="BN108" s="13"/>
      <c r="BO108" s="13"/>
      <c r="BP108" s="13"/>
      <c r="BQ108" s="13"/>
      <c r="BR108" s="13"/>
      <c r="BS108" s="13">
        <f>+AE108</f>
        <v>500</v>
      </c>
      <c r="BT108" s="13">
        <f>+AI108</f>
        <v>500</v>
      </c>
      <c r="BU108" s="13">
        <f>+AM108</f>
        <v>500</v>
      </c>
      <c r="BV108" s="13">
        <f>+AQ108</f>
        <v>500</v>
      </c>
      <c r="BW108" s="13">
        <v>0</v>
      </c>
      <c r="BX108" s="13">
        <f t="shared" ref="BX108:BX118" si="419">AY108</f>
        <v>0</v>
      </c>
      <c r="BY108" s="13">
        <f t="shared" si="417"/>
        <v>0</v>
      </c>
      <c r="BZ108" s="13">
        <f t="shared" si="413"/>
        <v>0</v>
      </c>
      <c r="CA108" s="13">
        <f t="shared" si="418"/>
        <v>0</v>
      </c>
      <c r="CB108" s="2126">
        <f t="shared" si="414"/>
        <v>0</v>
      </c>
      <c r="CC108" s="2140"/>
      <c r="CD108" s="7"/>
    </row>
    <row r="109" spans="1:88" s="405" customFormat="1" ht="14.25" customHeight="1">
      <c r="A109" s="7"/>
      <c r="B109" s="849" t="s">
        <v>362</v>
      </c>
      <c r="C109" s="13"/>
      <c r="D109" s="13"/>
      <c r="E109" s="13"/>
      <c r="F109" s="13"/>
      <c r="G109" s="244"/>
      <c r="H109" s="13"/>
      <c r="I109" s="13"/>
      <c r="J109" s="13"/>
      <c r="K109" s="244"/>
      <c r="L109" s="13"/>
      <c r="M109" s="13"/>
      <c r="N109" s="13"/>
      <c r="O109" s="244"/>
      <c r="P109" s="13"/>
      <c r="Q109" s="13"/>
      <c r="R109" s="13"/>
      <c r="S109" s="244"/>
      <c r="T109" s="13"/>
      <c r="U109" s="13"/>
      <c r="V109" s="13"/>
      <c r="W109" s="244"/>
      <c r="X109" s="13"/>
      <c r="Y109" s="13"/>
      <c r="Z109" s="13"/>
      <c r="AA109" s="456">
        <v>500</v>
      </c>
      <c r="AB109" s="444">
        <v>500</v>
      </c>
      <c r="AC109" s="444">
        <v>500</v>
      </c>
      <c r="AD109" s="444">
        <v>500</v>
      </c>
      <c r="AE109" s="456">
        <f>+AD109</f>
        <v>500</v>
      </c>
      <c r="AF109" s="444">
        <v>500</v>
      </c>
      <c r="AG109" s="302">
        <f t="shared" si="415"/>
        <v>500</v>
      </c>
      <c r="AH109" s="302">
        <f t="shared" si="415"/>
        <v>500</v>
      </c>
      <c r="AI109" s="449">
        <f t="shared" si="415"/>
        <v>500</v>
      </c>
      <c r="AJ109" s="302">
        <f t="shared" si="396"/>
        <v>500</v>
      </c>
      <c r="AK109" s="302">
        <f t="shared" si="396"/>
        <v>500</v>
      </c>
      <c r="AL109" s="302">
        <f t="shared" si="396"/>
        <v>500</v>
      </c>
      <c r="AM109" s="449">
        <f>+AL109</f>
        <v>500</v>
      </c>
      <c r="AN109" s="302">
        <f>+AM109</f>
        <v>500</v>
      </c>
      <c r="AO109" s="302">
        <f t="shared" si="397"/>
        <v>500</v>
      </c>
      <c r="AP109" s="302">
        <f>+AO109</f>
        <v>500</v>
      </c>
      <c r="AQ109" s="449">
        <f>+AP109</f>
        <v>500</v>
      </c>
      <c r="AR109" s="302">
        <v>0</v>
      </c>
      <c r="AS109" s="302">
        <f t="shared" si="398"/>
        <v>0</v>
      </c>
      <c r="AT109" s="302">
        <f t="shared" si="398"/>
        <v>0</v>
      </c>
      <c r="AU109" s="449">
        <f t="shared" si="398"/>
        <v>0</v>
      </c>
      <c r="AV109" s="302">
        <f t="shared" si="399"/>
        <v>0</v>
      </c>
      <c r="AW109" s="302">
        <f t="shared" si="400"/>
        <v>0</v>
      </c>
      <c r="AX109" s="302">
        <f t="shared" si="400"/>
        <v>0</v>
      </c>
      <c r="AY109" s="449">
        <f t="shared" si="400"/>
        <v>0</v>
      </c>
      <c r="AZ109" s="302">
        <f t="shared" si="401"/>
        <v>0</v>
      </c>
      <c r="BA109" s="302">
        <f t="shared" si="402"/>
        <v>0</v>
      </c>
      <c r="BB109" s="460">
        <f t="shared" si="403"/>
        <v>0</v>
      </c>
      <c r="BC109" s="449">
        <f t="shared" si="404"/>
        <v>0</v>
      </c>
      <c r="BD109" s="302">
        <f t="shared" si="405"/>
        <v>0</v>
      </c>
      <c r="BE109" s="302">
        <f t="shared" si="406"/>
        <v>0</v>
      </c>
      <c r="BF109" s="460">
        <f t="shared" si="407"/>
        <v>0</v>
      </c>
      <c r="BG109" s="449">
        <f t="shared" si="408"/>
        <v>0</v>
      </c>
      <c r="BH109" s="302">
        <f t="shared" si="409"/>
        <v>0</v>
      </c>
      <c r="BI109" s="302">
        <f t="shared" si="410"/>
        <v>0</v>
      </c>
      <c r="BJ109" s="460">
        <f t="shared" si="411"/>
        <v>0</v>
      </c>
      <c r="BK109" s="449">
        <f t="shared" si="412"/>
        <v>0</v>
      </c>
      <c r="BL109" s="2030"/>
      <c r="BM109" s="20"/>
      <c r="BN109" s="13"/>
      <c r="BO109" s="13"/>
      <c r="BP109" s="13"/>
      <c r="BQ109" s="13"/>
      <c r="BR109" s="13"/>
      <c r="BS109" s="13">
        <f>+AE109</f>
        <v>500</v>
      </c>
      <c r="BT109" s="13">
        <f>+AI109</f>
        <v>500</v>
      </c>
      <c r="BU109" s="13">
        <f>+AM109</f>
        <v>500</v>
      </c>
      <c r="BV109" s="13">
        <f>+AQ109</f>
        <v>500</v>
      </c>
      <c r="BW109" s="13">
        <v>0</v>
      </c>
      <c r="BX109" s="13">
        <f t="shared" si="419"/>
        <v>0</v>
      </c>
      <c r="BY109" s="13">
        <f t="shared" si="417"/>
        <v>0</v>
      </c>
      <c r="BZ109" s="13">
        <f t="shared" si="413"/>
        <v>0</v>
      </c>
      <c r="CA109" s="13">
        <f t="shared" si="418"/>
        <v>0</v>
      </c>
      <c r="CB109" s="1670">
        <f t="shared" si="414"/>
        <v>0</v>
      </c>
      <c r="CC109" s="2140"/>
      <c r="CD109" s="7"/>
      <c r="CE109"/>
      <c r="CF109"/>
      <c r="CG109"/>
      <c r="CH109"/>
      <c r="CI109"/>
      <c r="CJ109"/>
    </row>
    <row r="110" spans="1:88" s="405" customFormat="1" ht="14.25" customHeight="1">
      <c r="A110" s="7"/>
      <c r="B110" s="849" t="s">
        <v>443</v>
      </c>
      <c r="C110" s="13"/>
      <c r="D110" s="13"/>
      <c r="E110" s="13"/>
      <c r="F110" s="13"/>
      <c r="G110" s="244"/>
      <c r="H110" s="13"/>
      <c r="I110" s="13"/>
      <c r="J110" s="13"/>
      <c r="K110" s="244"/>
      <c r="L110" s="13"/>
      <c r="M110" s="13"/>
      <c r="N110" s="13"/>
      <c r="O110" s="244"/>
      <c r="P110" s="13"/>
      <c r="Q110" s="13"/>
      <c r="R110" s="13"/>
      <c r="S110" s="244"/>
      <c r="T110" s="13"/>
      <c r="U110" s="13"/>
      <c r="V110" s="13"/>
      <c r="W110" s="244"/>
      <c r="X110" s="13"/>
      <c r="Y110" s="13"/>
      <c r="Z110" s="13"/>
      <c r="AA110" s="884"/>
      <c r="AB110" s="302"/>
      <c r="AC110" s="885"/>
      <c r="AD110" s="885"/>
      <c r="AE110" s="884"/>
      <c r="AF110" s="302"/>
      <c r="AG110" s="302"/>
      <c r="AH110" s="444">
        <v>500</v>
      </c>
      <c r="AI110" s="449">
        <f t="shared" si="415"/>
        <v>500</v>
      </c>
      <c r="AJ110" s="302">
        <f t="shared" si="396"/>
        <v>500</v>
      </c>
      <c r="AK110" s="302">
        <f t="shared" si="396"/>
        <v>500</v>
      </c>
      <c r="AL110" s="302">
        <f t="shared" si="396"/>
        <v>500</v>
      </c>
      <c r="AM110" s="449">
        <f>+AL110</f>
        <v>500</v>
      </c>
      <c r="AN110" s="302">
        <f>+AM110</f>
        <v>500</v>
      </c>
      <c r="AO110" s="302">
        <f t="shared" si="397"/>
        <v>500</v>
      </c>
      <c r="AP110" s="302">
        <f>+AO110</f>
        <v>500</v>
      </c>
      <c r="AQ110" s="449">
        <f t="shared" si="397"/>
        <v>500</v>
      </c>
      <c r="AR110" s="302">
        <v>475</v>
      </c>
      <c r="AS110" s="302">
        <f t="shared" si="398"/>
        <v>475</v>
      </c>
      <c r="AT110" s="302">
        <f t="shared" si="398"/>
        <v>475</v>
      </c>
      <c r="AU110" s="449">
        <f t="shared" si="398"/>
        <v>475</v>
      </c>
      <c r="AV110" s="302">
        <f t="shared" si="399"/>
        <v>475</v>
      </c>
      <c r="AW110" s="302">
        <f t="shared" si="400"/>
        <v>475</v>
      </c>
      <c r="AX110" s="302">
        <f t="shared" si="400"/>
        <v>475</v>
      </c>
      <c r="AY110" s="449">
        <v>350</v>
      </c>
      <c r="AZ110" s="302">
        <f t="shared" si="401"/>
        <v>350</v>
      </c>
      <c r="BA110" s="302">
        <f t="shared" si="402"/>
        <v>350</v>
      </c>
      <c r="BB110" s="460">
        <f t="shared" si="403"/>
        <v>350</v>
      </c>
      <c r="BC110" s="449">
        <f t="shared" si="404"/>
        <v>350</v>
      </c>
      <c r="BD110" s="302">
        <f t="shared" si="405"/>
        <v>350</v>
      </c>
      <c r="BE110" s="302">
        <f t="shared" si="406"/>
        <v>350</v>
      </c>
      <c r="BF110" s="460">
        <f t="shared" si="407"/>
        <v>350</v>
      </c>
      <c r="BG110" s="449">
        <f t="shared" si="408"/>
        <v>350</v>
      </c>
      <c r="BH110" s="302">
        <f t="shared" si="409"/>
        <v>350</v>
      </c>
      <c r="BI110" s="302">
        <f t="shared" si="410"/>
        <v>350</v>
      </c>
      <c r="BJ110" s="460">
        <f t="shared" si="411"/>
        <v>350</v>
      </c>
      <c r="BK110" s="449">
        <f t="shared" si="412"/>
        <v>350</v>
      </c>
      <c r="BL110" s="2030"/>
      <c r="BM110" s="20"/>
      <c r="BN110" s="13"/>
      <c r="BO110" s="13"/>
      <c r="BP110" s="13"/>
      <c r="BQ110" s="13"/>
      <c r="BR110" s="13"/>
      <c r="BS110" s="13">
        <f>+AE110</f>
        <v>0</v>
      </c>
      <c r="BT110" s="13">
        <f>+AI110</f>
        <v>500</v>
      </c>
      <c r="BU110" s="13">
        <f>+AM110</f>
        <v>500</v>
      </c>
      <c r="BV110" s="13">
        <f>+AQ110</f>
        <v>500</v>
      </c>
      <c r="BW110" s="13">
        <f t="shared" ref="BW110:BW116" si="420">AU110</f>
        <v>475</v>
      </c>
      <c r="BX110" s="13">
        <f t="shared" si="419"/>
        <v>350</v>
      </c>
      <c r="BY110" s="13">
        <f t="shared" si="417"/>
        <v>350</v>
      </c>
      <c r="BZ110" s="13">
        <f t="shared" si="413"/>
        <v>350</v>
      </c>
      <c r="CA110" s="13">
        <f t="shared" si="418"/>
        <v>350</v>
      </c>
      <c r="CB110" s="1670">
        <f t="shared" si="414"/>
        <v>350</v>
      </c>
      <c r="CC110" s="2140"/>
      <c r="CD110" s="7"/>
      <c r="CE110"/>
      <c r="CF110"/>
      <c r="CG110"/>
      <c r="CH110"/>
      <c r="CI110"/>
      <c r="CJ110"/>
    </row>
    <row r="111" spans="1:88" s="405" customFormat="1" ht="14.25" customHeight="1">
      <c r="A111" s="7"/>
      <c r="B111" s="849" t="s">
        <v>559</v>
      </c>
      <c r="C111" s="13"/>
      <c r="D111" s="13"/>
      <c r="E111" s="13"/>
      <c r="F111" s="13"/>
      <c r="G111" s="244"/>
      <c r="H111" s="13"/>
      <c r="I111" s="13"/>
      <c r="J111" s="13"/>
      <c r="K111" s="244"/>
      <c r="L111" s="13"/>
      <c r="M111" s="13"/>
      <c r="N111" s="13"/>
      <c r="O111" s="244"/>
      <c r="P111" s="13"/>
      <c r="Q111" s="13"/>
      <c r="R111" s="13"/>
      <c r="S111" s="244"/>
      <c r="T111" s="13"/>
      <c r="U111" s="13"/>
      <c r="V111" s="13"/>
      <c r="W111" s="244"/>
      <c r="X111" s="13"/>
      <c r="Y111" s="13"/>
      <c r="Z111" s="13"/>
      <c r="AA111" s="884"/>
      <c r="AB111" s="302"/>
      <c r="AC111" s="885"/>
      <c r="AD111" s="885"/>
      <c r="AE111" s="884"/>
      <c r="AF111" s="302"/>
      <c r="AG111" s="302"/>
      <c r="AH111" s="444"/>
      <c r="AI111" s="449"/>
      <c r="AJ111" s="302"/>
      <c r="AK111" s="302"/>
      <c r="AL111" s="302"/>
      <c r="AM111" s="449"/>
      <c r="AN111" s="302"/>
      <c r="AO111" s="302"/>
      <c r="AP111" s="302"/>
      <c r="AQ111" s="449"/>
      <c r="AR111" s="302">
        <v>600</v>
      </c>
      <c r="AS111" s="302">
        <f t="shared" si="398"/>
        <v>600</v>
      </c>
      <c r="AT111" s="302">
        <f t="shared" si="398"/>
        <v>600</v>
      </c>
      <c r="AU111" s="449">
        <f t="shared" si="398"/>
        <v>600</v>
      </c>
      <c r="AV111" s="302">
        <f t="shared" si="399"/>
        <v>600</v>
      </c>
      <c r="AW111" s="302">
        <f t="shared" si="400"/>
        <v>600</v>
      </c>
      <c r="AX111" s="302">
        <f t="shared" si="400"/>
        <v>600</v>
      </c>
      <c r="AY111" s="449">
        <v>196</v>
      </c>
      <c r="AZ111" s="302">
        <f t="shared" si="401"/>
        <v>196</v>
      </c>
      <c r="BA111" s="302">
        <f t="shared" si="402"/>
        <v>196</v>
      </c>
      <c r="BB111" s="460">
        <f t="shared" si="403"/>
        <v>196</v>
      </c>
      <c r="BC111" s="449">
        <f t="shared" si="404"/>
        <v>196</v>
      </c>
      <c r="BD111" s="302">
        <f t="shared" si="405"/>
        <v>196</v>
      </c>
      <c r="BE111" s="302">
        <f t="shared" si="406"/>
        <v>196</v>
      </c>
      <c r="BF111" s="460">
        <f t="shared" si="407"/>
        <v>196</v>
      </c>
      <c r="BG111" s="449">
        <f t="shared" si="408"/>
        <v>196</v>
      </c>
      <c r="BH111" s="302">
        <f t="shared" si="409"/>
        <v>196</v>
      </c>
      <c r="BI111" s="302">
        <f t="shared" si="410"/>
        <v>196</v>
      </c>
      <c r="BJ111" s="460">
        <f t="shared" si="411"/>
        <v>196</v>
      </c>
      <c r="BK111" s="449">
        <f t="shared" si="412"/>
        <v>196</v>
      </c>
      <c r="BL111" s="2030"/>
      <c r="BM111" s="20"/>
      <c r="BN111" s="13"/>
      <c r="BO111" s="13"/>
      <c r="BP111" s="13"/>
      <c r="BQ111" s="13"/>
      <c r="BR111" s="13"/>
      <c r="BS111" s="13"/>
      <c r="BT111" s="13"/>
      <c r="BU111" s="13"/>
      <c r="BV111" s="13"/>
      <c r="BW111" s="13">
        <f t="shared" si="420"/>
        <v>600</v>
      </c>
      <c r="BX111" s="13">
        <f t="shared" si="419"/>
        <v>196</v>
      </c>
      <c r="BY111" s="13">
        <f t="shared" si="417"/>
        <v>196</v>
      </c>
      <c r="BZ111" s="13">
        <f t="shared" si="413"/>
        <v>196</v>
      </c>
      <c r="CA111" s="13">
        <f t="shared" si="418"/>
        <v>196</v>
      </c>
      <c r="CB111" s="1670">
        <f t="shared" ref="CB111:CB120" si="421">CA111</f>
        <v>196</v>
      </c>
      <c r="CC111" s="2140"/>
      <c r="CD111" s="7"/>
      <c r="CE111"/>
      <c r="CF111"/>
      <c r="CG111"/>
      <c r="CH111"/>
      <c r="CI111"/>
      <c r="CJ111"/>
    </row>
    <row r="112" spans="1:88" s="405" customFormat="1" ht="14.25" customHeight="1">
      <c r="A112" s="7"/>
      <c r="B112" s="849" t="s">
        <v>560</v>
      </c>
      <c r="C112" s="13"/>
      <c r="D112" s="13"/>
      <c r="E112" s="13"/>
      <c r="F112" s="13"/>
      <c r="G112" s="244"/>
      <c r="H112" s="13"/>
      <c r="I112" s="13"/>
      <c r="J112" s="13"/>
      <c r="K112" s="244"/>
      <c r="L112" s="13"/>
      <c r="M112" s="13"/>
      <c r="N112" s="13"/>
      <c r="O112" s="244"/>
      <c r="P112" s="13"/>
      <c r="Q112" s="13"/>
      <c r="R112" s="13"/>
      <c r="S112" s="244"/>
      <c r="T112" s="13"/>
      <c r="U112" s="13"/>
      <c r="V112" s="13"/>
      <c r="W112" s="244"/>
      <c r="X112" s="13"/>
      <c r="Y112" s="13"/>
      <c r="Z112" s="13"/>
      <c r="AA112" s="884"/>
      <c r="AB112" s="302"/>
      <c r="AC112" s="885"/>
      <c r="AD112" s="885"/>
      <c r="AE112" s="884"/>
      <c r="AF112" s="302"/>
      <c r="AG112" s="302"/>
      <c r="AH112" s="444"/>
      <c r="AI112" s="449"/>
      <c r="AJ112" s="302"/>
      <c r="AK112" s="302"/>
      <c r="AL112" s="302"/>
      <c r="AM112" s="449"/>
      <c r="AN112" s="302"/>
      <c r="AO112" s="302"/>
      <c r="AP112" s="302"/>
      <c r="AQ112" s="449"/>
      <c r="AR112" s="302">
        <v>3</v>
      </c>
      <c r="AS112" s="302">
        <v>6</v>
      </c>
      <c r="AT112" s="302">
        <v>0</v>
      </c>
      <c r="AU112" s="449">
        <f t="shared" si="398"/>
        <v>0</v>
      </c>
      <c r="AV112" s="302">
        <f t="shared" si="399"/>
        <v>0</v>
      </c>
      <c r="AW112" s="302">
        <f t="shared" si="400"/>
        <v>0</v>
      </c>
      <c r="AX112" s="302">
        <v>0</v>
      </c>
      <c r="AY112" s="449">
        <f t="shared" si="400"/>
        <v>0</v>
      </c>
      <c r="AZ112" s="302">
        <f t="shared" si="401"/>
        <v>0</v>
      </c>
      <c r="BA112" s="302">
        <f t="shared" si="402"/>
        <v>0</v>
      </c>
      <c r="BB112" s="460">
        <f t="shared" si="403"/>
        <v>0</v>
      </c>
      <c r="BC112" s="449">
        <f t="shared" si="404"/>
        <v>0</v>
      </c>
      <c r="BD112" s="302">
        <f t="shared" si="405"/>
        <v>0</v>
      </c>
      <c r="BE112" s="302">
        <f t="shared" si="406"/>
        <v>0</v>
      </c>
      <c r="BF112" s="460">
        <f t="shared" si="407"/>
        <v>0</v>
      </c>
      <c r="BG112" s="449">
        <f t="shared" si="408"/>
        <v>0</v>
      </c>
      <c r="BH112" s="302">
        <f t="shared" si="409"/>
        <v>0</v>
      </c>
      <c r="BI112" s="302">
        <f t="shared" si="410"/>
        <v>0</v>
      </c>
      <c r="BJ112" s="460">
        <f t="shared" si="411"/>
        <v>0</v>
      </c>
      <c r="BK112" s="449">
        <f t="shared" si="412"/>
        <v>0</v>
      </c>
      <c r="BL112" s="2030"/>
      <c r="BM112" s="20"/>
      <c r="BN112" s="13"/>
      <c r="BO112" s="13"/>
      <c r="BP112" s="13"/>
      <c r="BQ112" s="13"/>
      <c r="BR112" s="13"/>
      <c r="BS112" s="13"/>
      <c r="BT112" s="13"/>
      <c r="BU112" s="13"/>
      <c r="BV112" s="13"/>
      <c r="BW112" s="13">
        <f t="shared" si="420"/>
        <v>0</v>
      </c>
      <c r="BX112" s="13">
        <f t="shared" si="419"/>
        <v>0</v>
      </c>
      <c r="BY112" s="13">
        <f t="shared" si="417"/>
        <v>0</v>
      </c>
      <c r="BZ112" s="13">
        <f t="shared" si="413"/>
        <v>0</v>
      </c>
      <c r="CA112" s="13">
        <f t="shared" si="418"/>
        <v>0</v>
      </c>
      <c r="CB112" s="1670">
        <f t="shared" si="421"/>
        <v>0</v>
      </c>
      <c r="CC112" s="2140"/>
      <c r="CD112" s="7"/>
      <c r="CE112"/>
      <c r="CF112"/>
      <c r="CG112"/>
      <c r="CH112"/>
      <c r="CI112"/>
      <c r="CJ112"/>
    </row>
    <row r="113" spans="1:88" s="405" customFormat="1" ht="14.25" customHeight="1">
      <c r="A113" s="7"/>
      <c r="B113" s="849" t="s">
        <v>561</v>
      </c>
      <c r="C113" s="13"/>
      <c r="D113" s="13"/>
      <c r="E113" s="13"/>
      <c r="F113" s="13"/>
      <c r="G113" s="244"/>
      <c r="H113" s="13"/>
      <c r="I113" s="13"/>
      <c r="J113" s="13"/>
      <c r="K113" s="244"/>
      <c r="L113" s="13"/>
      <c r="M113" s="13"/>
      <c r="N113" s="13"/>
      <c r="O113" s="244"/>
      <c r="P113" s="13"/>
      <c r="Q113" s="13"/>
      <c r="R113" s="13"/>
      <c r="S113" s="244"/>
      <c r="T113" s="13"/>
      <c r="U113" s="13"/>
      <c r="V113" s="13"/>
      <c r="W113" s="244"/>
      <c r="X113" s="13"/>
      <c r="Y113" s="13"/>
      <c r="Z113" s="13"/>
      <c r="AA113" s="884"/>
      <c r="AB113" s="302"/>
      <c r="AC113" s="885"/>
      <c r="AD113" s="885"/>
      <c r="AE113" s="884"/>
      <c r="AF113" s="302"/>
      <c r="AG113" s="302"/>
      <c r="AH113" s="444"/>
      <c r="AI113" s="449"/>
      <c r="AJ113" s="302"/>
      <c r="AK113" s="302"/>
      <c r="AL113" s="302"/>
      <c r="AM113" s="449"/>
      <c r="AN113" s="302"/>
      <c r="AO113" s="302"/>
      <c r="AP113" s="302"/>
      <c r="AQ113" s="449"/>
      <c r="AR113" s="302">
        <v>450</v>
      </c>
      <c r="AS113" s="302">
        <f t="shared" si="398"/>
        <v>450</v>
      </c>
      <c r="AT113" s="302">
        <f t="shared" si="398"/>
        <v>450</v>
      </c>
      <c r="AU113" s="449">
        <f t="shared" si="398"/>
        <v>450</v>
      </c>
      <c r="AV113" s="302">
        <f t="shared" si="399"/>
        <v>450</v>
      </c>
      <c r="AW113" s="302">
        <f t="shared" si="400"/>
        <v>450</v>
      </c>
      <c r="AX113" s="302">
        <f t="shared" si="400"/>
        <v>450</v>
      </c>
      <c r="AY113" s="449">
        <v>0</v>
      </c>
      <c r="AZ113" s="302">
        <f t="shared" si="401"/>
        <v>0</v>
      </c>
      <c r="BA113" s="302">
        <f t="shared" si="402"/>
        <v>0</v>
      </c>
      <c r="BB113" s="460">
        <f t="shared" si="403"/>
        <v>0</v>
      </c>
      <c r="BC113" s="449">
        <f t="shared" si="404"/>
        <v>0</v>
      </c>
      <c r="BD113" s="302">
        <f t="shared" si="405"/>
        <v>0</v>
      </c>
      <c r="BE113" s="302">
        <f t="shared" si="406"/>
        <v>0</v>
      </c>
      <c r="BF113" s="460">
        <f t="shared" si="407"/>
        <v>0</v>
      </c>
      <c r="BG113" s="449">
        <f t="shared" si="408"/>
        <v>0</v>
      </c>
      <c r="BH113" s="302">
        <f t="shared" si="409"/>
        <v>0</v>
      </c>
      <c r="BI113" s="302">
        <f t="shared" si="410"/>
        <v>0</v>
      </c>
      <c r="BJ113" s="460">
        <f t="shared" si="411"/>
        <v>0</v>
      </c>
      <c r="BK113" s="449">
        <f t="shared" si="412"/>
        <v>0</v>
      </c>
      <c r="BL113" s="2030"/>
      <c r="BM113" s="20"/>
      <c r="BN113" s="13"/>
      <c r="BO113" s="13"/>
      <c r="BP113" s="13"/>
      <c r="BQ113" s="13"/>
      <c r="BR113" s="13"/>
      <c r="BS113" s="13"/>
      <c r="BT113" s="13"/>
      <c r="BU113" s="13"/>
      <c r="BV113" s="13"/>
      <c r="BW113" s="13">
        <f t="shared" si="420"/>
        <v>450</v>
      </c>
      <c r="BX113" s="13">
        <f t="shared" si="419"/>
        <v>0</v>
      </c>
      <c r="BY113" s="13">
        <f t="shared" si="417"/>
        <v>0</v>
      </c>
      <c r="BZ113" s="13">
        <f t="shared" si="413"/>
        <v>0</v>
      </c>
      <c r="CA113" s="13">
        <f t="shared" si="418"/>
        <v>0</v>
      </c>
      <c r="CB113" s="1670">
        <f t="shared" si="421"/>
        <v>0</v>
      </c>
      <c r="CC113" s="2140"/>
      <c r="CD113" s="7"/>
      <c r="CE113"/>
      <c r="CF113"/>
      <c r="CG113"/>
      <c r="CH113"/>
      <c r="CI113"/>
      <c r="CJ113"/>
    </row>
    <row r="114" spans="1:88" s="405" customFormat="1" ht="14.25" customHeight="1">
      <c r="A114" s="7"/>
      <c r="B114" s="849" t="s">
        <v>562</v>
      </c>
      <c r="C114" s="13"/>
      <c r="D114" s="13"/>
      <c r="E114" s="13"/>
      <c r="F114" s="13"/>
      <c r="G114" s="244"/>
      <c r="H114" s="13"/>
      <c r="I114" s="13"/>
      <c r="J114" s="13"/>
      <c r="K114" s="244"/>
      <c r="L114" s="13"/>
      <c r="M114" s="13"/>
      <c r="N114" s="13"/>
      <c r="O114" s="244"/>
      <c r="P114" s="13"/>
      <c r="Q114" s="13"/>
      <c r="R114" s="13"/>
      <c r="S114" s="244"/>
      <c r="T114" s="13"/>
      <c r="U114" s="13"/>
      <c r="V114" s="13"/>
      <c r="W114" s="244"/>
      <c r="X114" s="13"/>
      <c r="Y114" s="13"/>
      <c r="Z114" s="13"/>
      <c r="AA114" s="884"/>
      <c r="AB114" s="302"/>
      <c r="AC114" s="885"/>
      <c r="AD114" s="885"/>
      <c r="AE114" s="884"/>
      <c r="AF114" s="302"/>
      <c r="AG114" s="302"/>
      <c r="AH114" s="444"/>
      <c r="AI114" s="449"/>
      <c r="AJ114" s="302"/>
      <c r="AK114" s="302"/>
      <c r="AL114" s="302"/>
      <c r="AM114" s="449"/>
      <c r="AN114" s="302"/>
      <c r="AO114" s="302"/>
      <c r="AP114" s="302"/>
      <c r="AQ114" s="449"/>
      <c r="AR114" s="302">
        <v>500</v>
      </c>
      <c r="AS114" s="302">
        <f t="shared" si="398"/>
        <v>500</v>
      </c>
      <c r="AT114" s="302">
        <f t="shared" si="398"/>
        <v>500</v>
      </c>
      <c r="AU114" s="449">
        <f t="shared" si="398"/>
        <v>500</v>
      </c>
      <c r="AV114" s="302">
        <f t="shared" si="399"/>
        <v>500</v>
      </c>
      <c r="AW114" s="302">
        <f t="shared" si="400"/>
        <v>500</v>
      </c>
      <c r="AX114" s="302">
        <f t="shared" si="400"/>
        <v>500</v>
      </c>
      <c r="AY114" s="449">
        <v>416</v>
      </c>
      <c r="AZ114" s="302">
        <f t="shared" si="401"/>
        <v>416</v>
      </c>
      <c r="BA114" s="302">
        <f t="shared" si="402"/>
        <v>416</v>
      </c>
      <c r="BB114" s="460">
        <f t="shared" si="403"/>
        <v>416</v>
      </c>
      <c r="BC114" s="449">
        <f t="shared" si="404"/>
        <v>416</v>
      </c>
      <c r="BD114" s="302">
        <f t="shared" si="405"/>
        <v>416</v>
      </c>
      <c r="BE114" s="302">
        <f t="shared" si="406"/>
        <v>416</v>
      </c>
      <c r="BF114" s="460">
        <f t="shared" si="407"/>
        <v>416</v>
      </c>
      <c r="BG114" s="449">
        <f t="shared" si="408"/>
        <v>416</v>
      </c>
      <c r="BH114" s="302">
        <f t="shared" si="409"/>
        <v>416</v>
      </c>
      <c r="BI114" s="302">
        <f t="shared" si="410"/>
        <v>416</v>
      </c>
      <c r="BJ114" s="460">
        <f t="shared" si="411"/>
        <v>416</v>
      </c>
      <c r="BK114" s="449">
        <f t="shared" si="412"/>
        <v>416</v>
      </c>
      <c r="BL114" s="2030"/>
      <c r="BM114" s="20"/>
      <c r="BN114" s="13"/>
      <c r="BO114" s="13"/>
      <c r="BP114" s="13"/>
      <c r="BQ114" s="13"/>
      <c r="BR114" s="13"/>
      <c r="BS114" s="13"/>
      <c r="BT114" s="13"/>
      <c r="BU114" s="13"/>
      <c r="BV114" s="13"/>
      <c r="BW114" s="13">
        <f t="shared" si="420"/>
        <v>500</v>
      </c>
      <c r="BX114" s="13">
        <f t="shared" si="419"/>
        <v>416</v>
      </c>
      <c r="BY114" s="13">
        <f t="shared" si="417"/>
        <v>416</v>
      </c>
      <c r="BZ114" s="13">
        <f t="shared" si="413"/>
        <v>416</v>
      </c>
      <c r="CA114" s="13">
        <f t="shared" si="418"/>
        <v>416</v>
      </c>
      <c r="CB114" s="1670">
        <f t="shared" si="421"/>
        <v>416</v>
      </c>
      <c r="CC114" s="2140"/>
      <c r="CD114" s="7"/>
      <c r="CE114"/>
      <c r="CF114"/>
      <c r="CG114"/>
      <c r="CH114"/>
      <c r="CI114"/>
      <c r="CJ114"/>
    </row>
    <row r="115" spans="1:88" s="405" customFormat="1" ht="14.25" customHeight="1">
      <c r="A115" s="7"/>
      <c r="B115" s="849" t="s">
        <v>635</v>
      </c>
      <c r="C115" s="13"/>
      <c r="D115" s="13"/>
      <c r="E115" s="13"/>
      <c r="F115" s="13"/>
      <c r="G115" s="1664"/>
      <c r="H115" s="13"/>
      <c r="I115" s="13"/>
      <c r="J115" s="13"/>
      <c r="K115" s="1664"/>
      <c r="L115" s="13"/>
      <c r="M115" s="13"/>
      <c r="N115" s="13"/>
      <c r="O115" s="1664"/>
      <c r="P115" s="13"/>
      <c r="Q115" s="13"/>
      <c r="R115" s="13"/>
      <c r="S115" s="1664"/>
      <c r="T115" s="13"/>
      <c r="U115" s="13"/>
      <c r="V115" s="13"/>
      <c r="W115" s="1664"/>
      <c r="X115" s="13"/>
      <c r="Y115" s="13"/>
      <c r="Z115" s="13"/>
      <c r="AA115" s="1785"/>
      <c r="AB115" s="302"/>
      <c r="AC115" s="885"/>
      <c r="AD115" s="885"/>
      <c r="AE115" s="1785"/>
      <c r="AF115" s="302"/>
      <c r="AG115" s="302"/>
      <c r="AH115" s="444"/>
      <c r="AI115" s="1670"/>
      <c r="AJ115" s="302"/>
      <c r="AK115" s="302"/>
      <c r="AL115" s="302"/>
      <c r="AM115" s="1670"/>
      <c r="AN115" s="302"/>
      <c r="AO115" s="302"/>
      <c r="AP115" s="302"/>
      <c r="AQ115" s="1670"/>
      <c r="AR115" s="302"/>
      <c r="AS115" s="302"/>
      <c r="AT115" s="302"/>
      <c r="AU115" s="1670"/>
      <c r="AV115" s="302"/>
      <c r="AW115" s="302"/>
      <c r="AX115" s="302"/>
      <c r="AY115" s="1670">
        <v>805</v>
      </c>
      <c r="AZ115" s="302">
        <f t="shared" si="401"/>
        <v>805</v>
      </c>
      <c r="BA115" s="302">
        <f t="shared" si="402"/>
        <v>805</v>
      </c>
      <c r="BB115" s="460">
        <f t="shared" si="403"/>
        <v>805</v>
      </c>
      <c r="BC115" s="1670">
        <f t="shared" si="404"/>
        <v>805</v>
      </c>
      <c r="BD115" s="302">
        <f t="shared" si="405"/>
        <v>805</v>
      </c>
      <c r="BE115" s="302">
        <f t="shared" si="406"/>
        <v>805</v>
      </c>
      <c r="BF115" s="460">
        <f t="shared" si="407"/>
        <v>805</v>
      </c>
      <c r="BG115" s="1670">
        <f t="shared" si="408"/>
        <v>805</v>
      </c>
      <c r="BH115" s="302">
        <f t="shared" si="409"/>
        <v>805</v>
      </c>
      <c r="BI115" s="302">
        <f t="shared" si="410"/>
        <v>805</v>
      </c>
      <c r="BJ115" s="460">
        <f t="shared" si="411"/>
        <v>805</v>
      </c>
      <c r="BK115" s="1670">
        <f t="shared" si="412"/>
        <v>805</v>
      </c>
      <c r="BL115" s="2030"/>
      <c r="BM115" s="20"/>
      <c r="BN115" s="13"/>
      <c r="BO115" s="13"/>
      <c r="BP115" s="13"/>
      <c r="BQ115" s="13"/>
      <c r="BR115" s="13"/>
      <c r="BS115" s="13"/>
      <c r="BT115" s="13"/>
      <c r="BU115" s="13"/>
      <c r="BV115" s="13"/>
      <c r="BW115" s="13"/>
      <c r="BX115" s="13">
        <f t="shared" si="419"/>
        <v>805</v>
      </c>
      <c r="BY115" s="13">
        <f t="shared" si="417"/>
        <v>805</v>
      </c>
      <c r="BZ115" s="13">
        <f t="shared" si="413"/>
        <v>805</v>
      </c>
      <c r="CA115" s="13">
        <f t="shared" si="418"/>
        <v>805</v>
      </c>
      <c r="CB115" s="1670">
        <f t="shared" si="421"/>
        <v>805</v>
      </c>
      <c r="CC115" s="2140"/>
      <c r="CD115" s="7"/>
      <c r="CE115"/>
      <c r="CF115"/>
      <c r="CG115"/>
      <c r="CH115"/>
      <c r="CI115"/>
      <c r="CJ115"/>
    </row>
    <row r="116" spans="1:88" s="405" customFormat="1" ht="14.25" customHeight="1">
      <c r="A116" s="7"/>
      <c r="B116" s="849" t="s">
        <v>563</v>
      </c>
      <c r="C116" s="13"/>
      <c r="D116" s="13"/>
      <c r="E116" s="13"/>
      <c r="F116" s="13"/>
      <c r="G116" s="244"/>
      <c r="H116" s="13"/>
      <c r="I116" s="13"/>
      <c r="J116" s="13"/>
      <c r="K116" s="244"/>
      <c r="L116" s="13"/>
      <c r="M116" s="13"/>
      <c r="N116" s="13"/>
      <c r="O116" s="244"/>
      <c r="P116" s="13"/>
      <c r="Q116" s="13"/>
      <c r="R116" s="13"/>
      <c r="S116" s="244"/>
      <c r="T116" s="13"/>
      <c r="U116" s="13"/>
      <c r="V116" s="13"/>
      <c r="W116" s="244"/>
      <c r="X116" s="13"/>
      <c r="Y116" s="13"/>
      <c r="Z116" s="13"/>
      <c r="AA116" s="884"/>
      <c r="AB116" s="302"/>
      <c r="AC116" s="885"/>
      <c r="AD116" s="885"/>
      <c r="AE116" s="884"/>
      <c r="AF116" s="302"/>
      <c r="AG116" s="302"/>
      <c r="AH116" s="444"/>
      <c r="AI116" s="449"/>
      <c r="AJ116" s="302"/>
      <c r="AK116" s="302"/>
      <c r="AL116" s="302"/>
      <c r="AM116" s="449"/>
      <c r="AN116" s="302"/>
      <c r="AO116" s="302"/>
      <c r="AP116" s="302"/>
      <c r="AQ116" s="449"/>
      <c r="AR116" s="302">
        <v>188</v>
      </c>
      <c r="AS116" s="302">
        <v>230</v>
      </c>
      <c r="AT116" s="302">
        <v>230</v>
      </c>
      <c r="AU116" s="449">
        <f t="shared" si="398"/>
        <v>230</v>
      </c>
      <c r="AV116" s="302">
        <f t="shared" si="399"/>
        <v>230</v>
      </c>
      <c r="AW116" s="302">
        <f t="shared" si="400"/>
        <v>230</v>
      </c>
      <c r="AX116" s="302">
        <v>230</v>
      </c>
      <c r="AY116" s="449">
        <v>0</v>
      </c>
      <c r="AZ116" s="302">
        <f>+AY116</f>
        <v>0</v>
      </c>
      <c r="BA116" s="302">
        <f t="shared" si="402"/>
        <v>0</v>
      </c>
      <c r="BB116" s="460">
        <f t="shared" si="403"/>
        <v>0</v>
      </c>
      <c r="BC116" s="449">
        <f t="shared" si="404"/>
        <v>0</v>
      </c>
      <c r="BD116" s="302">
        <f>+BC116</f>
        <v>0</v>
      </c>
      <c r="BE116" s="302">
        <f t="shared" si="406"/>
        <v>0</v>
      </c>
      <c r="BF116" s="460">
        <f t="shared" si="407"/>
        <v>0</v>
      </c>
      <c r="BG116" s="449">
        <f t="shared" si="408"/>
        <v>0</v>
      </c>
      <c r="BH116" s="302">
        <f>+BG116</f>
        <v>0</v>
      </c>
      <c r="BI116" s="302">
        <f t="shared" si="410"/>
        <v>0</v>
      </c>
      <c r="BJ116" s="460">
        <f t="shared" si="411"/>
        <v>0</v>
      </c>
      <c r="BK116" s="449">
        <f t="shared" si="412"/>
        <v>0</v>
      </c>
      <c r="BL116" s="2030"/>
      <c r="BM116" s="20"/>
      <c r="BN116" s="13"/>
      <c r="BO116" s="13"/>
      <c r="BP116" s="13"/>
      <c r="BQ116" s="13"/>
      <c r="BR116" s="13"/>
      <c r="BS116" s="13"/>
      <c r="BT116" s="13"/>
      <c r="BU116" s="13"/>
      <c r="BV116" s="13"/>
      <c r="BW116" s="13">
        <f t="shared" si="420"/>
        <v>230</v>
      </c>
      <c r="BX116" s="13">
        <f t="shared" si="419"/>
        <v>0</v>
      </c>
      <c r="BY116" s="13">
        <f t="shared" si="417"/>
        <v>0</v>
      </c>
      <c r="BZ116" s="13">
        <f t="shared" si="413"/>
        <v>0</v>
      </c>
      <c r="CA116" s="13">
        <f t="shared" si="418"/>
        <v>0</v>
      </c>
      <c r="CB116" s="1670">
        <f t="shared" si="421"/>
        <v>0</v>
      </c>
      <c r="CC116" s="2140"/>
      <c r="CD116" s="7"/>
      <c r="CE116"/>
      <c r="CF116"/>
      <c r="CG116"/>
      <c r="CH116"/>
      <c r="CI116"/>
      <c r="CJ116"/>
    </row>
    <row r="117" spans="1:88" s="405" customFormat="1" ht="14.25" customHeight="1">
      <c r="A117" s="7"/>
      <c r="B117" s="849" t="s">
        <v>456</v>
      </c>
      <c r="C117" s="13"/>
      <c r="D117" s="13"/>
      <c r="E117" s="13"/>
      <c r="F117" s="13"/>
      <c r="G117" s="244"/>
      <c r="H117" s="13"/>
      <c r="I117" s="13"/>
      <c r="J117" s="13"/>
      <c r="K117" s="244"/>
      <c r="L117" s="13"/>
      <c r="M117" s="13"/>
      <c r="N117" s="13"/>
      <c r="O117" s="244"/>
      <c r="P117" s="13"/>
      <c r="Q117" s="13"/>
      <c r="R117" s="13"/>
      <c r="S117" s="244"/>
      <c r="T117" s="13"/>
      <c r="U117" s="13"/>
      <c r="V117" s="13"/>
      <c r="W117" s="244"/>
      <c r="X117" s="13"/>
      <c r="Y117" s="13"/>
      <c r="Z117" s="13"/>
      <c r="AA117" s="884"/>
      <c r="AB117" s="302"/>
      <c r="AC117" s="885"/>
      <c r="AD117" s="885"/>
      <c r="AE117" s="884"/>
      <c r="AF117" s="302"/>
      <c r="AG117" s="302"/>
      <c r="AH117" s="444">
        <v>0</v>
      </c>
      <c r="AI117" s="449">
        <v>0</v>
      </c>
      <c r="AJ117" s="302">
        <f>+AI117</f>
        <v>0</v>
      </c>
      <c r="AK117" s="302">
        <f>+AJ117</f>
        <v>0</v>
      </c>
      <c r="AL117" s="302">
        <f>+AK117</f>
        <v>0</v>
      </c>
      <c r="AM117" s="449">
        <v>0</v>
      </c>
      <c r="AN117" s="302">
        <f>+AM117</f>
        <v>0</v>
      </c>
      <c r="AO117" s="302">
        <f>+AN117</f>
        <v>0</v>
      </c>
      <c r="AP117" s="302">
        <f>+AO117</f>
        <v>0</v>
      </c>
      <c r="AQ117" s="449">
        <v>0</v>
      </c>
      <c r="AR117" s="302">
        <v>0</v>
      </c>
      <c r="AS117" s="302">
        <v>0</v>
      </c>
      <c r="AT117" s="302">
        <v>0</v>
      </c>
      <c r="AU117" s="449">
        <v>0</v>
      </c>
      <c r="AV117" s="302">
        <v>0</v>
      </c>
      <c r="AW117" s="302">
        <v>0</v>
      </c>
      <c r="AX117" s="302">
        <v>0</v>
      </c>
      <c r="AY117" s="449">
        <v>0</v>
      </c>
      <c r="AZ117" s="302">
        <v>0</v>
      </c>
      <c r="BA117" s="302">
        <v>0</v>
      </c>
      <c r="BB117" s="1094">
        <v>0</v>
      </c>
      <c r="BC117" s="456">
        <v>0</v>
      </c>
      <c r="BD117" s="302">
        <v>0</v>
      </c>
      <c r="BE117" s="302">
        <v>0</v>
      </c>
      <c r="BF117" s="1094">
        <v>0</v>
      </c>
      <c r="BG117" s="456">
        <v>0</v>
      </c>
      <c r="BH117" s="302">
        <v>0</v>
      </c>
      <c r="BI117" s="302">
        <v>0</v>
      </c>
      <c r="BJ117" s="1094">
        <v>0</v>
      </c>
      <c r="BK117" s="456">
        <v>0</v>
      </c>
      <c r="BL117" s="2030"/>
      <c r="BM117" s="20"/>
      <c r="BN117" s="13"/>
      <c r="BO117" s="13"/>
      <c r="BP117" s="13"/>
      <c r="BQ117" s="13"/>
      <c r="BR117" s="13"/>
      <c r="BS117" s="13">
        <f>+AE117</f>
        <v>0</v>
      </c>
      <c r="BT117" s="13">
        <f>+AI117</f>
        <v>0</v>
      </c>
      <c r="BU117" s="13">
        <f>+AM117</f>
        <v>0</v>
      </c>
      <c r="BV117" s="13">
        <f>+AQ117</f>
        <v>0</v>
      </c>
      <c r="BW117" s="13">
        <f>+BV117</f>
        <v>0</v>
      </c>
      <c r="BX117" s="13">
        <f t="shared" si="419"/>
        <v>0</v>
      </c>
      <c r="BY117" s="13">
        <f t="shared" si="417"/>
        <v>0</v>
      </c>
      <c r="BZ117" s="13">
        <f t="shared" si="413"/>
        <v>0</v>
      </c>
      <c r="CA117" s="13">
        <f t="shared" si="418"/>
        <v>0</v>
      </c>
      <c r="CB117" s="1670">
        <f t="shared" si="421"/>
        <v>0</v>
      </c>
      <c r="CC117" s="2140"/>
      <c r="CD117" s="7"/>
      <c r="CE117"/>
      <c r="CF117"/>
      <c r="CG117"/>
      <c r="CH117"/>
      <c r="CI117"/>
      <c r="CJ117"/>
    </row>
    <row r="118" spans="1:88" s="405" customFormat="1" ht="14.25" customHeight="1">
      <c r="A118" s="7"/>
      <c r="B118" s="849" t="s">
        <v>459</v>
      </c>
      <c r="C118" s="13"/>
      <c r="D118" s="13"/>
      <c r="E118" s="13"/>
      <c r="F118" s="13"/>
      <c r="G118" s="244"/>
      <c r="H118" s="13"/>
      <c r="I118" s="13"/>
      <c r="J118" s="13"/>
      <c r="K118" s="244"/>
      <c r="L118" s="13"/>
      <c r="M118" s="13"/>
      <c r="N118" s="13"/>
      <c r="O118" s="244"/>
      <c r="P118" s="13"/>
      <c r="Q118" s="13"/>
      <c r="R118" s="13"/>
      <c r="S118" s="244"/>
      <c r="T118" s="13"/>
      <c r="U118" s="13"/>
      <c r="V118" s="13"/>
      <c r="W118" s="244"/>
      <c r="X118" s="13"/>
      <c r="Y118" s="13"/>
      <c r="Z118" s="13"/>
      <c r="AA118" s="884">
        <v>25</v>
      </c>
      <c r="AB118" s="444">
        <f>+AA118</f>
        <v>25</v>
      </c>
      <c r="AC118" s="444">
        <v>31</v>
      </c>
      <c r="AD118" s="444">
        <v>31</v>
      </c>
      <c r="AE118" s="456">
        <v>26</v>
      </c>
      <c r="AF118" s="444">
        <v>30</v>
      </c>
      <c r="AG118" s="302">
        <f t="shared" ref="AG118:AL118" si="422">+AF118</f>
        <v>30</v>
      </c>
      <c r="AH118" s="302">
        <f t="shared" si="422"/>
        <v>30</v>
      </c>
      <c r="AI118" s="449">
        <f t="shared" si="422"/>
        <v>30</v>
      </c>
      <c r="AJ118" s="444">
        <v>180</v>
      </c>
      <c r="AK118" s="302">
        <f t="shared" si="422"/>
        <v>180</v>
      </c>
      <c r="AL118" s="302">
        <f t="shared" si="422"/>
        <v>180</v>
      </c>
      <c r="AM118" s="449">
        <f>+AL118</f>
        <v>180</v>
      </c>
      <c r="AN118" s="444">
        <v>180</v>
      </c>
      <c r="AO118" s="302">
        <f>+AN118</f>
        <v>180</v>
      </c>
      <c r="AP118" s="302">
        <f>+AO118</f>
        <v>180</v>
      </c>
      <c r="AQ118" s="449">
        <f>+AP118</f>
        <v>180</v>
      </c>
      <c r="AR118" s="444">
        <v>10</v>
      </c>
      <c r="AS118" s="302">
        <v>8</v>
      </c>
      <c r="AT118" s="302">
        <v>5</v>
      </c>
      <c r="AU118" s="449">
        <v>7</v>
      </c>
      <c r="AV118" s="444">
        <v>4</v>
      </c>
      <c r="AW118" s="302">
        <f t="shared" ref="AW118" si="423">+AV118</f>
        <v>4</v>
      </c>
      <c r="AX118" s="302">
        <v>5</v>
      </c>
      <c r="AY118" s="1670">
        <v>1</v>
      </c>
      <c r="AZ118" s="302">
        <f t="shared" ref="AZ118" si="424">+AY118</f>
        <v>1</v>
      </c>
      <c r="BA118" s="302">
        <f t="shared" ref="BA118:BA119" si="425">+AZ118</f>
        <v>1</v>
      </c>
      <c r="BB118" s="460">
        <f t="shared" ref="BB118:BB119" si="426">+BA118</f>
        <v>1</v>
      </c>
      <c r="BC118" s="449">
        <f t="shared" ref="BC118:BC119" si="427">+BB118</f>
        <v>1</v>
      </c>
      <c r="BD118" s="302">
        <f t="shared" ref="BD118" si="428">+BC118</f>
        <v>1</v>
      </c>
      <c r="BE118" s="302">
        <f t="shared" ref="BE118:BE119" si="429">+BD118</f>
        <v>1</v>
      </c>
      <c r="BF118" s="460">
        <f t="shared" ref="BF118:BF119" si="430">+BE118</f>
        <v>1</v>
      </c>
      <c r="BG118" s="449">
        <f t="shared" ref="BG118:BG119" si="431">+BF118</f>
        <v>1</v>
      </c>
      <c r="BH118" s="302">
        <f t="shared" ref="BH118" si="432">+BG118</f>
        <v>1</v>
      </c>
      <c r="BI118" s="302">
        <f t="shared" ref="BI118:BI119" si="433">+BH118</f>
        <v>1</v>
      </c>
      <c r="BJ118" s="460">
        <f t="shared" ref="BJ118:BJ119" si="434">+BI118</f>
        <v>1</v>
      </c>
      <c r="BK118" s="449">
        <f t="shared" ref="BK118:BK119" si="435">+BJ118</f>
        <v>1</v>
      </c>
      <c r="BL118" s="2030"/>
      <c r="BM118" s="20"/>
      <c r="BN118" s="13"/>
      <c r="BO118" s="13"/>
      <c r="BP118" s="13"/>
      <c r="BQ118" s="13"/>
      <c r="BR118" s="13"/>
      <c r="BS118" s="13">
        <f>+AE118</f>
        <v>26</v>
      </c>
      <c r="BT118" s="13">
        <f>+AI118</f>
        <v>30</v>
      </c>
      <c r="BU118" s="13">
        <f>+AM118</f>
        <v>180</v>
      </c>
      <c r="BV118" s="13">
        <f>+AQ118</f>
        <v>180</v>
      </c>
      <c r="BW118" s="13">
        <f>AU118</f>
        <v>7</v>
      </c>
      <c r="BX118" s="13">
        <f t="shared" si="419"/>
        <v>1</v>
      </c>
      <c r="BY118" s="13">
        <f t="shared" si="417"/>
        <v>1</v>
      </c>
      <c r="BZ118" s="13">
        <f t="shared" si="413"/>
        <v>1</v>
      </c>
      <c r="CA118" s="13">
        <f t="shared" si="418"/>
        <v>1</v>
      </c>
      <c r="CB118" s="1670">
        <f t="shared" si="421"/>
        <v>1</v>
      </c>
      <c r="CC118" s="2140"/>
      <c r="CD118" s="7"/>
      <c r="CE118"/>
      <c r="CF118"/>
      <c r="CG118"/>
      <c r="CH118"/>
      <c r="CI118"/>
      <c r="CJ118"/>
    </row>
    <row r="119" spans="1:88" s="405" customFormat="1" ht="14.25" customHeight="1">
      <c r="A119" s="7"/>
      <c r="B119" s="849" t="s">
        <v>601</v>
      </c>
      <c r="C119" s="13"/>
      <c r="D119" s="13"/>
      <c r="E119" s="13"/>
      <c r="F119" s="13"/>
      <c r="G119" s="244"/>
      <c r="H119" s="13"/>
      <c r="I119" s="13"/>
      <c r="J119" s="13"/>
      <c r="K119" s="244"/>
      <c r="L119" s="13"/>
      <c r="M119" s="13"/>
      <c r="N119" s="13"/>
      <c r="O119" s="244"/>
      <c r="P119" s="13"/>
      <c r="Q119" s="13"/>
      <c r="R119" s="13"/>
      <c r="S119" s="244"/>
      <c r="T119" s="13"/>
      <c r="U119" s="13"/>
      <c r="V119" s="13"/>
      <c r="W119" s="244"/>
      <c r="X119" s="13"/>
      <c r="Y119" s="13"/>
      <c r="Z119" s="13"/>
      <c r="AA119" s="884"/>
      <c r="AB119" s="444"/>
      <c r="AC119" s="444"/>
      <c r="AD119" s="444"/>
      <c r="AE119" s="456"/>
      <c r="AF119" s="444"/>
      <c r="AG119" s="302"/>
      <c r="AH119" s="302"/>
      <c r="AI119" s="449"/>
      <c r="AJ119" s="444"/>
      <c r="AK119" s="302"/>
      <c r="AL119" s="302"/>
      <c r="AM119" s="449"/>
      <c r="AN119" s="444"/>
      <c r="AO119" s="302"/>
      <c r="AP119" s="302"/>
      <c r="AQ119" s="449"/>
      <c r="AR119" s="444"/>
      <c r="AS119" s="302"/>
      <c r="AT119" s="302"/>
      <c r="AU119" s="449">
        <v>-25</v>
      </c>
      <c r="AV119" s="444">
        <v>-23</v>
      </c>
      <c r="AW119" s="444">
        <v>-21</v>
      </c>
      <c r="AX119" s="444">
        <v>0</v>
      </c>
      <c r="AY119" s="1783">
        <f>-308-25</f>
        <v>-333</v>
      </c>
      <c r="AZ119" s="302">
        <f>+AY119</f>
        <v>-333</v>
      </c>
      <c r="BA119" s="302">
        <f t="shared" si="425"/>
        <v>-333</v>
      </c>
      <c r="BB119" s="460">
        <f t="shared" si="426"/>
        <v>-333</v>
      </c>
      <c r="BC119" s="449">
        <f t="shared" si="427"/>
        <v>-333</v>
      </c>
      <c r="BD119" s="302">
        <f>+BC119</f>
        <v>-333</v>
      </c>
      <c r="BE119" s="302">
        <f t="shared" si="429"/>
        <v>-333</v>
      </c>
      <c r="BF119" s="460">
        <f t="shared" si="430"/>
        <v>-333</v>
      </c>
      <c r="BG119" s="449">
        <f t="shared" si="431"/>
        <v>-333</v>
      </c>
      <c r="BH119" s="302">
        <f>+BG119</f>
        <v>-333</v>
      </c>
      <c r="BI119" s="302">
        <f t="shared" si="433"/>
        <v>-333</v>
      </c>
      <c r="BJ119" s="460">
        <f t="shared" si="434"/>
        <v>-333</v>
      </c>
      <c r="BK119" s="449">
        <f t="shared" si="435"/>
        <v>-333</v>
      </c>
      <c r="BL119" s="2030"/>
      <c r="BM119" s="20"/>
      <c r="BN119" s="13"/>
      <c r="BO119" s="13"/>
      <c r="BP119" s="13"/>
      <c r="BQ119" s="13"/>
      <c r="BR119" s="13"/>
      <c r="BS119" s="13"/>
      <c r="BT119" s="13"/>
      <c r="BU119" s="13"/>
      <c r="BV119" s="13"/>
      <c r="BW119" s="13"/>
      <c r="BX119" s="13"/>
      <c r="BY119" s="13">
        <f t="shared" si="417"/>
        <v>-333</v>
      </c>
      <c r="BZ119" s="13">
        <f t="shared" si="413"/>
        <v>-333</v>
      </c>
      <c r="CA119" s="13">
        <f t="shared" si="418"/>
        <v>-333</v>
      </c>
      <c r="CB119" s="1670">
        <f t="shared" si="421"/>
        <v>-333</v>
      </c>
      <c r="CC119" s="2140"/>
      <c r="CD119" s="7"/>
      <c r="CE119"/>
      <c r="CF119"/>
      <c r="CG119"/>
      <c r="CH119"/>
      <c r="CI119"/>
      <c r="CJ119"/>
    </row>
    <row r="120" spans="1:88" s="423" customFormat="1" ht="14.25" customHeight="1">
      <c r="A120" s="415"/>
      <c r="B120" s="850" t="s">
        <v>444</v>
      </c>
      <c r="C120" s="440"/>
      <c r="D120" s="440"/>
      <c r="E120" s="440"/>
      <c r="F120" s="440"/>
      <c r="G120" s="575"/>
      <c r="H120" s="440"/>
      <c r="I120" s="440"/>
      <c r="J120" s="440"/>
      <c r="K120" s="575"/>
      <c r="L120" s="440"/>
      <c r="M120" s="440"/>
      <c r="N120" s="440"/>
      <c r="O120" s="575"/>
      <c r="P120" s="440"/>
      <c r="Q120" s="440"/>
      <c r="R120" s="440"/>
      <c r="S120" s="575"/>
      <c r="T120" s="440"/>
      <c r="U120" s="440"/>
      <c r="V120" s="440"/>
      <c r="W120" s="575"/>
      <c r="X120" s="440"/>
      <c r="Y120" s="440"/>
      <c r="Z120" s="440"/>
      <c r="AA120" s="571"/>
      <c r="AB120" s="443"/>
      <c r="AC120" s="442"/>
      <c r="AD120" s="442"/>
      <c r="AE120" s="571"/>
      <c r="AF120" s="443"/>
      <c r="AG120" s="443"/>
      <c r="AH120" s="486">
        <v>0</v>
      </c>
      <c r="AI120" s="450">
        <v>0</v>
      </c>
      <c r="AJ120" s="443">
        <v>0</v>
      </c>
      <c r="AK120" s="443">
        <v>0</v>
      </c>
      <c r="AL120" s="443">
        <v>0</v>
      </c>
      <c r="AM120" s="450">
        <v>0</v>
      </c>
      <c r="AN120" s="443">
        <v>0</v>
      </c>
      <c r="AO120" s="443">
        <v>0</v>
      </c>
      <c r="AP120" s="443">
        <v>0</v>
      </c>
      <c r="AQ120" s="450">
        <v>0</v>
      </c>
      <c r="AR120" s="443">
        <v>0</v>
      </c>
      <c r="AS120" s="443">
        <v>0</v>
      </c>
      <c r="AT120" s="443">
        <v>0</v>
      </c>
      <c r="AU120" s="450">
        <v>0</v>
      </c>
      <c r="AV120" s="443"/>
      <c r="AW120" s="443">
        <v>0</v>
      </c>
      <c r="AX120" s="443">
        <v>0</v>
      </c>
      <c r="AY120" s="1784">
        <v>0</v>
      </c>
      <c r="AZ120" s="443">
        <v>0</v>
      </c>
      <c r="BA120" s="443">
        <v>0</v>
      </c>
      <c r="BB120" s="1095">
        <v>0</v>
      </c>
      <c r="BC120" s="450">
        <f>BB120</f>
        <v>0</v>
      </c>
      <c r="BD120" s="443">
        <v>0</v>
      </c>
      <c r="BE120" s="443">
        <v>0</v>
      </c>
      <c r="BF120" s="1095">
        <v>0</v>
      </c>
      <c r="BG120" s="450">
        <f>BF120</f>
        <v>0</v>
      </c>
      <c r="BH120" s="443">
        <v>0</v>
      </c>
      <c r="BI120" s="443">
        <v>0</v>
      </c>
      <c r="BJ120" s="1095">
        <v>0</v>
      </c>
      <c r="BK120" s="450">
        <f>BJ120</f>
        <v>0</v>
      </c>
      <c r="BL120" s="2036"/>
      <c r="BM120" s="422"/>
      <c r="BN120" s="440"/>
      <c r="BO120" s="440"/>
      <c r="BP120" s="440"/>
      <c r="BQ120" s="440"/>
      <c r="BR120" s="440"/>
      <c r="BS120" s="440">
        <f t="shared" ref="BS120:BS125" si="436">+AE120</f>
        <v>0</v>
      </c>
      <c r="BT120" s="440">
        <f t="shared" ref="BT120:BT125" si="437">+AI120</f>
        <v>0</v>
      </c>
      <c r="BU120" s="440">
        <f t="shared" ref="BU120:BU125" si="438">+AM120</f>
        <v>0</v>
      </c>
      <c r="BV120" s="440">
        <f t="shared" ref="BV120:BV125" si="439">+AQ120</f>
        <v>0</v>
      </c>
      <c r="BW120" s="440">
        <v>0</v>
      </c>
      <c r="BX120" s="440">
        <f>AY120</f>
        <v>0</v>
      </c>
      <c r="BY120" s="440">
        <f t="shared" si="417"/>
        <v>0</v>
      </c>
      <c r="BZ120" s="440">
        <f>BG120</f>
        <v>0</v>
      </c>
      <c r="CA120" s="440">
        <f t="shared" si="418"/>
        <v>0</v>
      </c>
      <c r="CB120" s="1784">
        <f t="shared" si="421"/>
        <v>0</v>
      </c>
      <c r="CC120" s="2145"/>
      <c r="CD120" s="415"/>
      <c r="CE120"/>
      <c r="CF120"/>
      <c r="CG120"/>
      <c r="CH120"/>
      <c r="CI120"/>
      <c r="CJ120"/>
    </row>
    <row r="121" spans="1:88" s="114" customFormat="1" ht="14.25" customHeight="1">
      <c r="A121" s="115"/>
      <c r="B121" s="851" t="s">
        <v>458</v>
      </c>
      <c r="C121" s="314"/>
      <c r="D121" s="314"/>
      <c r="E121" s="314"/>
      <c r="F121" s="314"/>
      <c r="G121" s="317"/>
      <c r="H121" s="314"/>
      <c r="I121" s="314"/>
      <c r="J121" s="314"/>
      <c r="K121" s="317"/>
      <c r="L121" s="314"/>
      <c r="M121" s="314"/>
      <c r="N121" s="314"/>
      <c r="O121" s="317"/>
      <c r="P121" s="314"/>
      <c r="Q121" s="314"/>
      <c r="R121" s="314"/>
      <c r="S121" s="317"/>
      <c r="T121" s="314"/>
      <c r="U121" s="314"/>
      <c r="V121" s="314"/>
      <c r="W121" s="317"/>
      <c r="X121" s="314"/>
      <c r="Y121" s="314"/>
      <c r="Z121" s="314"/>
      <c r="AA121" s="451">
        <f t="shared" ref="AA121:AU121" si="440">+SUM(AA106:AA120)</f>
        <v>2290</v>
      </c>
      <c r="AB121" s="447">
        <f t="shared" si="440"/>
        <v>2290</v>
      </c>
      <c r="AC121" s="447">
        <f t="shared" si="440"/>
        <v>2296</v>
      </c>
      <c r="AD121" s="447">
        <f t="shared" si="440"/>
        <v>2146</v>
      </c>
      <c r="AE121" s="451">
        <f t="shared" si="440"/>
        <v>2091</v>
      </c>
      <c r="AF121" s="447">
        <f t="shared" si="440"/>
        <v>2095</v>
      </c>
      <c r="AG121" s="447">
        <f t="shared" si="440"/>
        <v>2095</v>
      </c>
      <c r="AH121" s="447">
        <f t="shared" si="440"/>
        <v>2110</v>
      </c>
      <c r="AI121" s="451">
        <f t="shared" si="440"/>
        <v>2110</v>
      </c>
      <c r="AJ121" s="447">
        <f t="shared" si="440"/>
        <v>2260</v>
      </c>
      <c r="AK121" s="447">
        <f t="shared" si="440"/>
        <v>2260</v>
      </c>
      <c r="AL121" s="447">
        <f t="shared" si="440"/>
        <v>2260</v>
      </c>
      <c r="AM121" s="451">
        <f t="shared" si="440"/>
        <v>2260</v>
      </c>
      <c r="AN121" s="447">
        <f t="shared" si="440"/>
        <v>2260</v>
      </c>
      <c r="AO121" s="447">
        <f t="shared" si="440"/>
        <v>2260</v>
      </c>
      <c r="AP121" s="447">
        <f t="shared" si="440"/>
        <v>2260</v>
      </c>
      <c r="AQ121" s="451">
        <f t="shared" si="440"/>
        <v>2260</v>
      </c>
      <c r="AR121" s="447">
        <f t="shared" si="440"/>
        <v>2268</v>
      </c>
      <c r="AS121" s="447">
        <f t="shared" si="440"/>
        <v>2269</v>
      </c>
      <c r="AT121" s="447">
        <f t="shared" si="440"/>
        <v>2260</v>
      </c>
      <c r="AU121" s="451">
        <f t="shared" si="440"/>
        <v>2237</v>
      </c>
      <c r="AV121" s="447">
        <f t="shared" ref="AV121:AW121" si="441">+SUM(AV106:AV120)</f>
        <v>2236</v>
      </c>
      <c r="AW121" s="447">
        <f t="shared" si="441"/>
        <v>2238</v>
      </c>
      <c r="AX121" s="447">
        <f t="shared" ref="AX121" si="442">+SUM(AX106:AX120)</f>
        <v>2260</v>
      </c>
      <c r="AY121" s="451">
        <f>+SUM(AY106:AY120)</f>
        <v>1435</v>
      </c>
      <c r="AZ121" s="447">
        <f t="shared" ref="AZ121:BC121" si="443">+SUM(AZ106:AZ120)</f>
        <v>1435</v>
      </c>
      <c r="BA121" s="447">
        <f t="shared" si="443"/>
        <v>1435</v>
      </c>
      <c r="BB121" s="807">
        <f t="shared" si="443"/>
        <v>1435</v>
      </c>
      <c r="BC121" s="451">
        <f t="shared" si="443"/>
        <v>1435</v>
      </c>
      <c r="BD121" s="447">
        <f t="shared" ref="BD121:BG121" si="444">+SUM(BD106:BD120)</f>
        <v>1435</v>
      </c>
      <c r="BE121" s="447">
        <f t="shared" si="444"/>
        <v>1435</v>
      </c>
      <c r="BF121" s="807">
        <f t="shared" si="444"/>
        <v>1435</v>
      </c>
      <c r="BG121" s="451">
        <f t="shared" si="444"/>
        <v>1435</v>
      </c>
      <c r="BH121" s="447">
        <f t="shared" ref="BH121:BK121" si="445">+SUM(BH106:BH120)</f>
        <v>1435</v>
      </c>
      <c r="BI121" s="447">
        <f t="shared" si="445"/>
        <v>1435</v>
      </c>
      <c r="BJ121" s="807">
        <f t="shared" si="445"/>
        <v>1435</v>
      </c>
      <c r="BK121" s="451">
        <f t="shared" si="445"/>
        <v>1435</v>
      </c>
      <c r="BL121" s="2032"/>
      <c r="BM121" s="316"/>
      <c r="BN121" s="314"/>
      <c r="BO121" s="314"/>
      <c r="BP121" s="314"/>
      <c r="BQ121" s="314"/>
      <c r="BR121" s="314"/>
      <c r="BS121" s="314">
        <f t="shared" si="436"/>
        <v>2091</v>
      </c>
      <c r="BT121" s="314">
        <f t="shared" si="437"/>
        <v>2110</v>
      </c>
      <c r="BU121" s="314">
        <f t="shared" si="438"/>
        <v>2260</v>
      </c>
      <c r="BV121" s="314">
        <f t="shared" si="439"/>
        <v>2260</v>
      </c>
      <c r="BW121" s="314">
        <f>+SUM(BW106:BW120)</f>
        <v>2262</v>
      </c>
      <c r="BX121" s="314">
        <f>+SUM(BX106:BX120)</f>
        <v>1768</v>
      </c>
      <c r="BY121" s="314">
        <f>+SUM(BY106:BY120)</f>
        <v>1435</v>
      </c>
      <c r="BZ121" s="314">
        <f>+SUM(BZ106:BZ120)</f>
        <v>1435</v>
      </c>
      <c r="CA121" s="314">
        <f>+SUM(CA106:CA120)</f>
        <v>1435</v>
      </c>
      <c r="CB121" s="2127">
        <f t="shared" ref="CB121" si="446">+SUM(CB106:CB120)</f>
        <v>1435</v>
      </c>
      <c r="CC121" s="2146"/>
      <c r="CD121" s="115"/>
      <c r="CE121"/>
      <c r="CF121"/>
      <c r="CG121"/>
      <c r="CH121"/>
      <c r="CI121"/>
      <c r="CJ121"/>
    </row>
    <row r="122" spans="1:88" ht="14.25" customHeight="1">
      <c r="A122" s="7"/>
      <c r="B122" s="852" t="s">
        <v>369</v>
      </c>
      <c r="C122" s="13"/>
      <c r="D122" s="13"/>
      <c r="E122" s="13"/>
      <c r="F122" s="13"/>
      <c r="G122" s="244"/>
      <c r="H122" s="13"/>
      <c r="I122" s="13"/>
      <c r="J122" s="13"/>
      <c r="K122" s="244"/>
      <c r="L122" s="13"/>
      <c r="M122" s="13"/>
      <c r="N122" s="13"/>
      <c r="O122" s="244"/>
      <c r="P122" s="13"/>
      <c r="Q122" s="13"/>
      <c r="R122" s="13"/>
      <c r="S122" s="244"/>
      <c r="T122" s="13"/>
      <c r="U122" s="13"/>
      <c r="V122" s="13"/>
      <c r="W122" s="244"/>
      <c r="X122" s="13"/>
      <c r="Y122" s="13"/>
      <c r="Z122" s="13"/>
      <c r="AA122" s="449"/>
      <c r="AB122" s="302">
        <f t="shared" ref="AB122:AH122" si="447">+AB121-AB123</f>
        <v>94</v>
      </c>
      <c r="AC122" s="302">
        <f t="shared" si="447"/>
        <v>97</v>
      </c>
      <c r="AD122" s="302">
        <f t="shared" si="447"/>
        <v>86</v>
      </c>
      <c r="AE122" s="449">
        <f t="shared" si="447"/>
        <v>75</v>
      </c>
      <c r="AF122" s="302">
        <f t="shared" si="447"/>
        <v>76</v>
      </c>
      <c r="AG122" s="652">
        <f t="shared" si="447"/>
        <v>74</v>
      </c>
      <c r="AH122" s="652">
        <f t="shared" si="447"/>
        <v>70</v>
      </c>
      <c r="AI122" s="449">
        <f t="shared" ref="AI122:AN122" si="448">+AI121-AI123</f>
        <v>68</v>
      </c>
      <c r="AJ122" s="1124">
        <f t="shared" si="448"/>
        <v>216</v>
      </c>
      <c r="AK122" s="1124">
        <f t="shared" si="448"/>
        <v>213</v>
      </c>
      <c r="AL122" s="1124">
        <f t="shared" si="448"/>
        <v>211</v>
      </c>
      <c r="AM122" s="1123">
        <f t="shared" si="448"/>
        <v>202</v>
      </c>
      <c r="AN122" s="1124">
        <f t="shared" si="448"/>
        <v>122</v>
      </c>
      <c r="AO122" s="1124">
        <f>+AO121-AO123</f>
        <v>50</v>
      </c>
      <c r="AP122" s="1124">
        <f>+AP121-AP123</f>
        <v>52</v>
      </c>
      <c r="AQ122" s="1123">
        <f>+AQ121-AQ123</f>
        <v>48</v>
      </c>
      <c r="AR122" s="1124"/>
      <c r="AS122" s="1124"/>
      <c r="AT122" s="1124"/>
      <c r="AU122" s="1123"/>
      <c r="AV122" s="1124"/>
      <c r="AW122" s="1124"/>
      <c r="AX122" s="1124"/>
      <c r="AY122" s="1123"/>
      <c r="AZ122" s="1124"/>
      <c r="BA122" s="1124"/>
      <c r="BB122" s="1094"/>
      <c r="BC122" s="456"/>
      <c r="BD122" s="1124"/>
      <c r="BE122" s="1124"/>
      <c r="BF122" s="1094"/>
      <c r="BG122" s="456"/>
      <c r="BH122" s="1124"/>
      <c r="BI122" s="1124"/>
      <c r="BJ122" s="1094"/>
      <c r="BK122" s="456"/>
      <c r="BL122" s="2030"/>
      <c r="BM122" s="20"/>
      <c r="BN122" s="13"/>
      <c r="BO122" s="13"/>
      <c r="BP122" s="13"/>
      <c r="BQ122" s="13"/>
      <c r="BR122" s="13"/>
      <c r="BS122" s="13">
        <f t="shared" si="436"/>
        <v>75</v>
      </c>
      <c r="BT122" s="13">
        <f t="shared" si="437"/>
        <v>68</v>
      </c>
      <c r="BU122" s="13">
        <f t="shared" si="438"/>
        <v>202</v>
      </c>
      <c r="BV122" s="13">
        <f t="shared" si="439"/>
        <v>48</v>
      </c>
      <c r="BW122" s="13"/>
      <c r="BX122" s="13"/>
      <c r="BY122" s="13"/>
      <c r="BZ122" s="13"/>
      <c r="CA122" s="13"/>
      <c r="CB122" s="1670"/>
      <c r="CC122" s="2140"/>
      <c r="CD122" s="7"/>
    </row>
    <row r="123" spans="1:88" ht="14.25" customHeight="1">
      <c r="A123" s="7"/>
      <c r="B123" s="852" t="s">
        <v>370</v>
      </c>
      <c r="C123" s="13"/>
      <c r="D123" s="13"/>
      <c r="E123" s="13"/>
      <c r="F123" s="13"/>
      <c r="G123" s="244"/>
      <c r="H123" s="13"/>
      <c r="I123" s="13"/>
      <c r="J123" s="13"/>
      <c r="K123" s="244"/>
      <c r="L123" s="13"/>
      <c r="M123" s="13"/>
      <c r="N123" s="13"/>
      <c r="O123" s="244"/>
      <c r="P123" s="13"/>
      <c r="Q123" s="13"/>
      <c r="R123" s="13"/>
      <c r="S123" s="244"/>
      <c r="T123" s="13"/>
      <c r="U123" s="13"/>
      <c r="V123" s="13"/>
      <c r="W123" s="244"/>
      <c r="X123" s="13"/>
      <c r="Y123" s="13"/>
      <c r="Z123" s="13"/>
      <c r="AA123" s="449"/>
      <c r="AB123" s="463">
        <f t="shared" ref="AB123:AQ123" si="449">+AB37+AB27</f>
        <v>2196</v>
      </c>
      <c r="AC123" s="463">
        <f t="shared" si="449"/>
        <v>2199</v>
      </c>
      <c r="AD123" s="463">
        <f t="shared" si="449"/>
        <v>2060</v>
      </c>
      <c r="AE123" s="572">
        <f t="shared" si="449"/>
        <v>2016</v>
      </c>
      <c r="AF123" s="463">
        <f t="shared" si="449"/>
        <v>2019</v>
      </c>
      <c r="AG123" s="463">
        <f t="shared" si="449"/>
        <v>2021</v>
      </c>
      <c r="AH123" s="463">
        <f t="shared" si="449"/>
        <v>2040</v>
      </c>
      <c r="AI123" s="572">
        <f t="shared" si="449"/>
        <v>2042</v>
      </c>
      <c r="AJ123" s="1125">
        <f t="shared" si="449"/>
        <v>2044</v>
      </c>
      <c r="AK123" s="1125">
        <f t="shared" si="449"/>
        <v>2047</v>
      </c>
      <c r="AL123" s="1125">
        <f t="shared" si="449"/>
        <v>2049</v>
      </c>
      <c r="AM123" s="1126">
        <f t="shared" si="449"/>
        <v>2058</v>
      </c>
      <c r="AN123" s="1125">
        <f t="shared" si="449"/>
        <v>2138</v>
      </c>
      <c r="AO123" s="1125">
        <f t="shared" si="449"/>
        <v>2210</v>
      </c>
      <c r="AP123" s="1125">
        <f t="shared" si="449"/>
        <v>2208</v>
      </c>
      <c r="AQ123" s="1126">
        <f t="shared" si="449"/>
        <v>2212</v>
      </c>
      <c r="AR123" s="1125">
        <f>AR121</f>
        <v>2268</v>
      </c>
      <c r="AS123" s="1125">
        <f>AS121</f>
        <v>2269</v>
      </c>
      <c r="AT123" s="1125">
        <f>AT121</f>
        <v>2260</v>
      </c>
      <c r="AU123" s="1126">
        <f>AU121</f>
        <v>2237</v>
      </c>
      <c r="AV123" s="1125">
        <f>AV121</f>
        <v>2236</v>
      </c>
      <c r="AW123" s="1125">
        <f t="shared" ref="AW123" si="450">AW121</f>
        <v>2238</v>
      </c>
      <c r="AX123" s="1125">
        <f>AX121</f>
        <v>2260</v>
      </c>
      <c r="AY123" s="1126">
        <f>AY121</f>
        <v>1435</v>
      </c>
      <c r="AZ123" s="1125">
        <f t="shared" ref="AZ123:BC123" si="451">AZ121</f>
        <v>1435</v>
      </c>
      <c r="BA123" s="1125">
        <f t="shared" si="451"/>
        <v>1435</v>
      </c>
      <c r="BB123" s="1413">
        <f t="shared" si="451"/>
        <v>1435</v>
      </c>
      <c r="BC123" s="1123">
        <f t="shared" si="451"/>
        <v>1435</v>
      </c>
      <c r="BD123" s="1125">
        <f t="shared" ref="BD123:BG123" si="452">BD121</f>
        <v>1435</v>
      </c>
      <c r="BE123" s="1125">
        <f t="shared" si="452"/>
        <v>1435</v>
      </c>
      <c r="BF123" s="1413">
        <f t="shared" si="452"/>
        <v>1435</v>
      </c>
      <c r="BG123" s="1123">
        <f t="shared" si="452"/>
        <v>1435</v>
      </c>
      <c r="BH123" s="1125">
        <f t="shared" ref="BH123:BK123" si="453">BH121</f>
        <v>1435</v>
      </c>
      <c r="BI123" s="1125">
        <f t="shared" si="453"/>
        <v>1435</v>
      </c>
      <c r="BJ123" s="1413">
        <f t="shared" si="453"/>
        <v>1435</v>
      </c>
      <c r="BK123" s="1123">
        <f t="shared" si="453"/>
        <v>1435</v>
      </c>
      <c r="BL123" s="2030"/>
      <c r="BM123" s="20"/>
      <c r="BN123" s="13"/>
      <c r="BO123" s="13"/>
      <c r="BP123" s="13"/>
      <c r="BQ123" s="13"/>
      <c r="BR123" s="13"/>
      <c r="BS123" s="13">
        <f t="shared" si="436"/>
        <v>2016</v>
      </c>
      <c r="BT123" s="13">
        <f t="shared" si="437"/>
        <v>2042</v>
      </c>
      <c r="BU123" s="13">
        <f t="shared" si="438"/>
        <v>2058</v>
      </c>
      <c r="BV123" s="13">
        <f t="shared" si="439"/>
        <v>2212</v>
      </c>
      <c r="BW123" s="13">
        <f>BW121</f>
        <v>2262</v>
      </c>
      <c r="BX123" s="13">
        <f>BX121</f>
        <v>1768</v>
      </c>
      <c r="BY123" s="13">
        <f>BY121</f>
        <v>1435</v>
      </c>
      <c r="BZ123" s="13">
        <f>BZ121</f>
        <v>1435</v>
      </c>
      <c r="CA123" s="13">
        <f>CA121</f>
        <v>1435</v>
      </c>
      <c r="CB123" s="2128"/>
      <c r="CC123" s="2140"/>
      <c r="CD123" s="7"/>
    </row>
    <row r="124" spans="1:88" ht="14.25" customHeight="1">
      <c r="A124" s="7"/>
      <c r="B124" s="853" t="s">
        <v>371</v>
      </c>
      <c r="C124" s="13"/>
      <c r="D124" s="13"/>
      <c r="E124" s="13"/>
      <c r="F124" s="13"/>
      <c r="G124" s="244"/>
      <c r="H124" s="13"/>
      <c r="I124" s="13"/>
      <c r="J124" s="13"/>
      <c r="K124" s="244"/>
      <c r="L124" s="13"/>
      <c r="M124" s="13"/>
      <c r="N124" s="13"/>
      <c r="O124" s="244"/>
      <c r="P124" s="13"/>
      <c r="Q124" s="13"/>
      <c r="R124" s="13"/>
      <c r="S124" s="244"/>
      <c r="T124" s="13"/>
      <c r="U124" s="13"/>
      <c r="V124" s="13"/>
      <c r="W124" s="244"/>
      <c r="X124" s="13"/>
      <c r="Y124" s="13"/>
      <c r="Z124" s="13"/>
      <c r="AA124" s="449"/>
      <c r="AB124" s="302"/>
      <c r="AC124" s="302"/>
      <c r="AD124" s="302"/>
      <c r="AE124" s="449"/>
      <c r="AF124" s="302"/>
      <c r="AG124" s="302">
        <f>+AG106</f>
        <v>485</v>
      </c>
      <c r="AH124" s="302">
        <f>+AH27</f>
        <v>5</v>
      </c>
      <c r="AI124" s="449">
        <f t="shared" ref="AI124:AW124" si="454">+AI27</f>
        <v>5</v>
      </c>
      <c r="AJ124" s="302">
        <f t="shared" si="454"/>
        <v>5</v>
      </c>
      <c r="AK124" s="302">
        <f t="shared" si="454"/>
        <v>5</v>
      </c>
      <c r="AL124" s="302">
        <f t="shared" si="454"/>
        <v>5</v>
      </c>
      <c r="AM124" s="449">
        <f t="shared" si="454"/>
        <v>60</v>
      </c>
      <c r="AN124" s="302">
        <f t="shared" si="454"/>
        <v>60</v>
      </c>
      <c r="AO124" s="302">
        <f t="shared" si="454"/>
        <v>101</v>
      </c>
      <c r="AP124" s="302">
        <f t="shared" si="454"/>
        <v>102</v>
      </c>
      <c r="AQ124" s="449">
        <f t="shared" si="454"/>
        <v>177</v>
      </c>
      <c r="AR124" s="302">
        <f t="shared" si="454"/>
        <v>235</v>
      </c>
      <c r="AS124" s="302">
        <f t="shared" si="454"/>
        <v>235</v>
      </c>
      <c r="AT124" s="302">
        <f t="shared" si="454"/>
        <v>230</v>
      </c>
      <c r="AU124" s="449">
        <f t="shared" si="454"/>
        <v>230</v>
      </c>
      <c r="AV124" s="302">
        <f t="shared" si="454"/>
        <v>230</v>
      </c>
      <c r="AW124" s="302">
        <f t="shared" si="454"/>
        <v>226</v>
      </c>
      <c r="AX124" s="302">
        <f t="shared" ref="AX124:AY124" si="455">+AX27</f>
        <v>0</v>
      </c>
      <c r="AY124" s="449">
        <f t="shared" si="455"/>
        <v>0</v>
      </c>
      <c r="AZ124" s="302">
        <f t="shared" ref="AZ124" si="456">+AY124</f>
        <v>0</v>
      </c>
      <c r="BA124" s="302">
        <f t="shared" ref="BA124" si="457">+AZ124</f>
        <v>0</v>
      </c>
      <c r="BB124" s="460">
        <f t="shared" ref="BB124" si="458">+BA124</f>
        <v>0</v>
      </c>
      <c r="BC124" s="449">
        <f t="shared" ref="BC124" si="459">+BB124</f>
        <v>0</v>
      </c>
      <c r="BD124" s="302">
        <f t="shared" ref="BD124" si="460">+BC124</f>
        <v>0</v>
      </c>
      <c r="BE124" s="302">
        <f t="shared" ref="BE124" si="461">+BD124</f>
        <v>0</v>
      </c>
      <c r="BF124" s="460">
        <f t="shared" ref="BF124" si="462">+BE124</f>
        <v>0</v>
      </c>
      <c r="BG124" s="449">
        <f t="shared" ref="BG124" si="463">+BF124</f>
        <v>0</v>
      </c>
      <c r="BH124" s="302">
        <f t="shared" ref="BH124" si="464">+BG124</f>
        <v>0</v>
      </c>
      <c r="BI124" s="302">
        <f t="shared" ref="BI124" si="465">+BH124</f>
        <v>0</v>
      </c>
      <c r="BJ124" s="460">
        <f t="shared" ref="BJ124" si="466">+BI124</f>
        <v>0</v>
      </c>
      <c r="BK124" s="449">
        <f t="shared" ref="BK124" si="467">+BJ124</f>
        <v>0</v>
      </c>
      <c r="BL124" s="2030"/>
      <c r="BM124" s="20"/>
      <c r="BN124" s="13"/>
      <c r="BO124" s="13"/>
      <c r="BP124" s="13"/>
      <c r="BQ124" s="13"/>
      <c r="BR124" s="13"/>
      <c r="BS124" s="13">
        <f t="shared" si="436"/>
        <v>0</v>
      </c>
      <c r="BT124" s="13">
        <f t="shared" si="437"/>
        <v>5</v>
      </c>
      <c r="BU124" s="13">
        <f t="shared" si="438"/>
        <v>60</v>
      </c>
      <c r="BV124" s="13">
        <f t="shared" si="439"/>
        <v>177</v>
      </c>
      <c r="BW124" s="13">
        <f>AU124</f>
        <v>230</v>
      </c>
      <c r="BX124" s="13">
        <f>AY124</f>
        <v>0</v>
      </c>
      <c r="BY124" s="13">
        <f t="shared" ref="BY124" si="468">BC124</f>
        <v>0</v>
      </c>
      <c r="BZ124" s="13">
        <f>BG124</f>
        <v>0</v>
      </c>
      <c r="CA124" s="13">
        <f>BK124</f>
        <v>0</v>
      </c>
      <c r="CB124" s="1670"/>
      <c r="CC124" s="2140"/>
      <c r="CD124" s="7"/>
    </row>
    <row r="125" spans="1:88" ht="14.25" customHeight="1">
      <c r="A125" s="7"/>
      <c r="B125" s="853" t="s">
        <v>372</v>
      </c>
      <c r="C125" s="13"/>
      <c r="D125" s="13"/>
      <c r="E125" s="13"/>
      <c r="F125" s="13"/>
      <c r="G125" s="244"/>
      <c r="H125" s="13"/>
      <c r="I125" s="13"/>
      <c r="J125" s="13"/>
      <c r="K125" s="244"/>
      <c r="L125" s="13"/>
      <c r="M125" s="13"/>
      <c r="N125" s="13"/>
      <c r="O125" s="244"/>
      <c r="P125" s="13"/>
      <c r="Q125" s="13"/>
      <c r="R125" s="13"/>
      <c r="S125" s="244"/>
      <c r="T125" s="13"/>
      <c r="U125" s="13"/>
      <c r="V125" s="13"/>
      <c r="W125" s="244"/>
      <c r="X125" s="13"/>
      <c r="Y125" s="13"/>
      <c r="Z125" s="13"/>
      <c r="AA125" s="449"/>
      <c r="AB125" s="302"/>
      <c r="AC125" s="302"/>
      <c r="AD125" s="302"/>
      <c r="AE125" s="449"/>
      <c r="AF125" s="302"/>
      <c r="AG125" s="302">
        <f t="shared" ref="AG125:AL125" si="469">+AG123-AG124</f>
        <v>1536</v>
      </c>
      <c r="AH125" s="302">
        <f>+AH123-AH124</f>
        <v>2035</v>
      </c>
      <c r="AI125" s="449">
        <f>+AI123-AI124</f>
        <v>2037</v>
      </c>
      <c r="AJ125" s="302">
        <f>+AJ123-AJ124</f>
        <v>2039</v>
      </c>
      <c r="AK125" s="302">
        <f t="shared" si="469"/>
        <v>2042</v>
      </c>
      <c r="AL125" s="302">
        <f t="shared" si="469"/>
        <v>2044</v>
      </c>
      <c r="AM125" s="449">
        <f t="shared" ref="AM125:AT125" si="470">+AM123-AM124</f>
        <v>1998</v>
      </c>
      <c r="AN125" s="302">
        <f t="shared" si="470"/>
        <v>2078</v>
      </c>
      <c r="AO125" s="302">
        <f t="shared" si="470"/>
        <v>2109</v>
      </c>
      <c r="AP125" s="302">
        <f t="shared" si="470"/>
        <v>2106</v>
      </c>
      <c r="AQ125" s="449">
        <f t="shared" si="470"/>
        <v>2035</v>
      </c>
      <c r="AR125" s="302">
        <f>+AR123-AR124</f>
        <v>2033</v>
      </c>
      <c r="AS125" s="302">
        <f t="shared" si="470"/>
        <v>2034</v>
      </c>
      <c r="AT125" s="302">
        <f t="shared" si="470"/>
        <v>2030</v>
      </c>
      <c r="AU125" s="449">
        <f>+AU123-AU124</f>
        <v>2007</v>
      </c>
      <c r="AV125" s="302">
        <f t="shared" ref="AV125:AX125" si="471">+AV123-AV124</f>
        <v>2006</v>
      </c>
      <c r="AW125" s="302">
        <f t="shared" si="471"/>
        <v>2012</v>
      </c>
      <c r="AX125" s="302">
        <f t="shared" si="471"/>
        <v>2260</v>
      </c>
      <c r="AY125" s="449">
        <f>+AY123-AY124</f>
        <v>1435</v>
      </c>
      <c r="AZ125" s="302">
        <f t="shared" ref="AZ125:BC125" si="472">+AZ123-AZ124</f>
        <v>1435</v>
      </c>
      <c r="BA125" s="302">
        <f t="shared" si="472"/>
        <v>1435</v>
      </c>
      <c r="BB125" s="460">
        <f t="shared" si="472"/>
        <v>1435</v>
      </c>
      <c r="BC125" s="449">
        <f t="shared" si="472"/>
        <v>1435</v>
      </c>
      <c r="BD125" s="302">
        <f t="shared" ref="BD125:BG125" si="473">+BD123-BD124</f>
        <v>1435</v>
      </c>
      <c r="BE125" s="302">
        <f t="shared" si="473"/>
        <v>1435</v>
      </c>
      <c r="BF125" s="460">
        <f t="shared" si="473"/>
        <v>1435</v>
      </c>
      <c r="BG125" s="449">
        <f t="shared" si="473"/>
        <v>1435</v>
      </c>
      <c r="BH125" s="302">
        <f t="shared" ref="BH125:BK125" si="474">+BH123-BH124</f>
        <v>1435</v>
      </c>
      <c r="BI125" s="302">
        <f t="shared" si="474"/>
        <v>1435</v>
      </c>
      <c r="BJ125" s="460">
        <f t="shared" si="474"/>
        <v>1435</v>
      </c>
      <c r="BK125" s="449">
        <f t="shared" si="474"/>
        <v>1435</v>
      </c>
      <c r="BL125" s="2030"/>
      <c r="BM125" s="20"/>
      <c r="BN125" s="13"/>
      <c r="BO125" s="13"/>
      <c r="BP125" s="13"/>
      <c r="BQ125" s="13"/>
      <c r="BR125" s="13"/>
      <c r="BS125" s="13">
        <f t="shared" si="436"/>
        <v>0</v>
      </c>
      <c r="BT125" s="13">
        <f t="shared" si="437"/>
        <v>2037</v>
      </c>
      <c r="BU125" s="13">
        <f t="shared" si="438"/>
        <v>1998</v>
      </c>
      <c r="BV125" s="13">
        <f t="shared" si="439"/>
        <v>2035</v>
      </c>
      <c r="BW125" s="13">
        <f>+BW123-BW124</f>
        <v>2032</v>
      </c>
      <c r="BX125" s="13">
        <f>+BX123-BX124</f>
        <v>1768</v>
      </c>
      <c r="BY125" s="13">
        <f>+BY123-BY124</f>
        <v>1435</v>
      </c>
      <c r="BZ125" s="13">
        <f>+BZ123-BZ124</f>
        <v>1435</v>
      </c>
      <c r="CA125" s="13">
        <f>+CA123-CA124</f>
        <v>1435</v>
      </c>
      <c r="CB125" s="1670"/>
      <c r="CC125" s="2140"/>
      <c r="CD125" s="7"/>
    </row>
    <row r="126" spans="1:88" ht="14.25" customHeight="1">
      <c r="A126" s="7"/>
      <c r="B126" s="849"/>
      <c r="C126" s="13"/>
      <c r="D126" s="13"/>
      <c r="E126" s="13"/>
      <c r="F126" s="13"/>
      <c r="G126" s="244"/>
      <c r="H126" s="13"/>
      <c r="I126" s="13"/>
      <c r="J126" s="13"/>
      <c r="K126" s="244"/>
      <c r="L126" s="13"/>
      <c r="M126" s="13"/>
      <c r="N126" s="13"/>
      <c r="O126" s="244"/>
      <c r="P126" s="13"/>
      <c r="Q126" s="13"/>
      <c r="R126" s="13"/>
      <c r="S126" s="244"/>
      <c r="T126" s="13"/>
      <c r="U126" s="13"/>
      <c r="V126" s="13"/>
      <c r="W126" s="244"/>
      <c r="X126" s="13"/>
      <c r="Y126" s="13"/>
      <c r="Z126" s="13"/>
      <c r="AA126" s="244"/>
      <c r="AB126" s="13"/>
      <c r="AC126" s="13"/>
      <c r="AD126" s="13"/>
      <c r="AE126" s="244"/>
      <c r="AF126" s="13"/>
      <c r="AG126" s="13"/>
      <c r="AH126" s="13"/>
      <c r="AI126" s="244"/>
      <c r="AJ126" s="445"/>
      <c r="AK126" s="1408"/>
      <c r="AL126" s="1408"/>
      <c r="AM126" s="1409"/>
      <c r="AN126" s="1408"/>
      <c r="AO126" s="1408"/>
      <c r="AP126" s="1408"/>
      <c r="AQ126" s="1409"/>
      <c r="AR126" s="1408"/>
      <c r="AS126" s="1408"/>
      <c r="AT126" s="1408"/>
      <c r="AU126" s="1409"/>
      <c r="AV126" s="1408"/>
      <c r="AW126" s="1408"/>
      <c r="AX126" s="1408"/>
      <c r="AY126" s="1409"/>
      <c r="AZ126" s="1408"/>
      <c r="BA126" s="1408"/>
      <c r="BB126" s="1410"/>
      <c r="BC126" s="1409"/>
      <c r="BD126" s="1408"/>
      <c r="BE126" s="1408"/>
      <c r="BF126" s="1410"/>
      <c r="BG126" s="1409"/>
      <c r="BH126" s="1408"/>
      <c r="BI126" s="1408"/>
      <c r="BJ126" s="1410"/>
      <c r="BK126" s="1409"/>
      <c r="BL126" s="2030"/>
      <c r="BM126" s="20"/>
      <c r="BN126" s="13"/>
      <c r="BO126" s="13"/>
      <c r="BP126" s="13"/>
      <c r="BQ126" s="13"/>
      <c r="BR126" s="13"/>
      <c r="BS126" s="13"/>
      <c r="BT126" s="13"/>
      <c r="BU126" s="13"/>
      <c r="BV126" s="13"/>
      <c r="BW126" s="13"/>
      <c r="BX126" s="13"/>
      <c r="BY126" s="13"/>
      <c r="BZ126" s="13"/>
      <c r="CA126" s="13"/>
      <c r="CB126" s="1678"/>
      <c r="CC126" s="2140"/>
      <c r="CD126" s="7"/>
    </row>
    <row r="127" spans="1:88" ht="14.25" customHeight="1">
      <c r="A127" s="7"/>
      <c r="B127" s="851" t="s">
        <v>384</v>
      </c>
      <c r="C127" s="13"/>
      <c r="D127" s="13"/>
      <c r="E127" s="13"/>
      <c r="F127" s="13"/>
      <c r="G127" s="244"/>
      <c r="H127" s="13"/>
      <c r="I127" s="13"/>
      <c r="J127" s="13"/>
      <c r="K127" s="244"/>
      <c r="L127" s="13"/>
      <c r="M127" s="13"/>
      <c r="N127" s="13"/>
      <c r="O127" s="244"/>
      <c r="P127" s="13"/>
      <c r="Q127" s="13"/>
      <c r="R127" s="13"/>
      <c r="S127" s="244"/>
      <c r="T127" s="13"/>
      <c r="U127" s="13"/>
      <c r="V127" s="13"/>
      <c r="W127" s="244"/>
      <c r="X127" s="13"/>
      <c r="Y127" s="13"/>
      <c r="Z127" s="13"/>
      <c r="AA127" s="244"/>
      <c r="AB127" s="13"/>
      <c r="AC127" s="13"/>
      <c r="AD127" s="13"/>
      <c r="AE127" s="244"/>
      <c r="AF127" s="13"/>
      <c r="AG127" s="13"/>
      <c r="AH127" s="13"/>
      <c r="AI127" s="244"/>
      <c r="AJ127" s="13"/>
      <c r="AK127" s="13"/>
      <c r="AL127" s="13"/>
      <c r="AM127" s="244"/>
      <c r="AN127" s="13"/>
      <c r="AO127" s="13"/>
      <c r="AP127" s="13"/>
      <c r="AQ127" s="244"/>
      <c r="AR127" s="13"/>
      <c r="AS127" s="13"/>
      <c r="AT127" s="13"/>
      <c r="AU127" s="244"/>
      <c r="AV127" s="13"/>
      <c r="AW127" s="13"/>
      <c r="AX127" s="13"/>
      <c r="AY127" s="244"/>
      <c r="AZ127" s="13"/>
      <c r="BA127" s="13"/>
      <c r="BB127" s="69"/>
      <c r="BC127" s="244"/>
      <c r="BD127" s="13"/>
      <c r="BE127" s="13"/>
      <c r="BF127" s="69"/>
      <c r="BG127" s="244"/>
      <c r="BH127" s="13"/>
      <c r="BI127" s="13"/>
      <c r="BJ127" s="69"/>
      <c r="BK127" s="244"/>
      <c r="BL127" s="2030"/>
      <c r="BM127" s="20"/>
      <c r="BN127" s="13"/>
      <c r="BO127" s="13"/>
      <c r="BP127" s="13"/>
      <c r="BQ127" s="13"/>
      <c r="BR127" s="13"/>
      <c r="BS127" s="13"/>
      <c r="BT127" s="13"/>
      <c r="BU127" s="13"/>
      <c r="BV127" s="13"/>
      <c r="BW127" s="13"/>
      <c r="BX127" s="13"/>
      <c r="BY127" s="13"/>
      <c r="BZ127" s="13"/>
      <c r="CA127" s="13"/>
      <c r="CB127" s="1678"/>
      <c r="CC127" s="2140"/>
      <c r="CD127" s="7"/>
    </row>
    <row r="128" spans="1:88" ht="14.25" customHeight="1">
      <c r="A128" s="7"/>
      <c r="B128" s="849" t="s">
        <v>359</v>
      </c>
      <c r="C128" s="13"/>
      <c r="D128" s="13"/>
      <c r="E128" s="13"/>
      <c r="F128" s="13"/>
      <c r="G128" s="244"/>
      <c r="H128" s="13"/>
      <c r="I128" s="13"/>
      <c r="J128" s="13"/>
      <c r="K128" s="244"/>
      <c r="L128" s="13"/>
      <c r="M128" s="13"/>
      <c r="N128" s="13"/>
      <c r="O128" s="244"/>
      <c r="P128" s="13"/>
      <c r="Q128" s="13"/>
      <c r="R128" s="13"/>
      <c r="S128" s="244"/>
      <c r="T128" s="13"/>
      <c r="U128" s="13"/>
      <c r="V128" s="13"/>
      <c r="W128" s="244"/>
      <c r="X128" s="13"/>
      <c r="Y128" s="13"/>
      <c r="Z128" s="13"/>
      <c r="AA128" s="244"/>
      <c r="AB128" s="886">
        <v>0.08</v>
      </c>
      <c r="AC128" s="454">
        <f>+AB128</f>
        <v>0.08</v>
      </c>
      <c r="AD128" s="454">
        <f t="shared" ref="AD128:AP128" si="475">+AC128</f>
        <v>0.08</v>
      </c>
      <c r="AE128" s="455">
        <f t="shared" si="475"/>
        <v>0.08</v>
      </c>
      <c r="AF128" s="454">
        <f t="shared" si="475"/>
        <v>0.08</v>
      </c>
      <c r="AG128" s="454">
        <f t="shared" si="475"/>
        <v>0.08</v>
      </c>
      <c r="AH128" s="454">
        <f t="shared" si="475"/>
        <v>0.08</v>
      </c>
      <c r="AI128" s="455">
        <f t="shared" si="475"/>
        <v>0.08</v>
      </c>
      <c r="AJ128" s="454">
        <f t="shared" si="475"/>
        <v>0.08</v>
      </c>
      <c r="AK128" s="454">
        <f t="shared" si="475"/>
        <v>0.08</v>
      </c>
      <c r="AL128" s="454">
        <f t="shared" si="475"/>
        <v>0.08</v>
      </c>
      <c r="AM128" s="455">
        <f>+AL128</f>
        <v>0.08</v>
      </c>
      <c r="AN128" s="454">
        <f t="shared" si="475"/>
        <v>0.08</v>
      </c>
      <c r="AO128" s="454">
        <f t="shared" ref="AO128:AQ132" si="476">+AN128</f>
        <v>0.08</v>
      </c>
      <c r="AP128" s="454">
        <f t="shared" si="475"/>
        <v>0.08</v>
      </c>
      <c r="AQ128" s="455">
        <f t="shared" si="476"/>
        <v>0.08</v>
      </c>
      <c r="AR128" s="454">
        <f t="shared" ref="AR128:AU132" si="477">+AQ128</f>
        <v>0.08</v>
      </c>
      <c r="AS128" s="454">
        <f t="shared" si="477"/>
        <v>0.08</v>
      </c>
      <c r="AT128" s="454">
        <f t="shared" si="477"/>
        <v>0.08</v>
      </c>
      <c r="AU128" s="455">
        <f t="shared" si="477"/>
        <v>0.08</v>
      </c>
      <c r="AV128" s="454">
        <f t="shared" ref="AV128:AV137" si="478">+AU128</f>
        <v>0.08</v>
      </c>
      <c r="AW128" s="454">
        <f t="shared" ref="AW128:AY137" si="479">+AV128</f>
        <v>0.08</v>
      </c>
      <c r="AX128" s="454">
        <f t="shared" si="479"/>
        <v>0.08</v>
      </c>
      <c r="AY128" s="455">
        <f t="shared" si="479"/>
        <v>0.08</v>
      </c>
      <c r="AZ128" s="454">
        <f t="shared" ref="AZ128:AZ137" si="480">+AY128</f>
        <v>0.08</v>
      </c>
      <c r="BA128" s="454">
        <f t="shared" ref="BA128:BA137" si="481">+AZ128</f>
        <v>0.08</v>
      </c>
      <c r="BB128" s="1096">
        <f t="shared" ref="BB128:BB137" si="482">+BA128</f>
        <v>0.08</v>
      </c>
      <c r="BC128" s="455">
        <f t="shared" ref="BC128:BC137" si="483">+BB128</f>
        <v>0.08</v>
      </c>
      <c r="BD128" s="454">
        <f t="shared" ref="BD128:BD137" si="484">+BC128</f>
        <v>0.08</v>
      </c>
      <c r="BE128" s="454">
        <f t="shared" ref="BE128:BE137" si="485">+BD128</f>
        <v>0.08</v>
      </c>
      <c r="BF128" s="1096">
        <f t="shared" ref="BF128:BF137" si="486">+BE128</f>
        <v>0.08</v>
      </c>
      <c r="BG128" s="455">
        <f t="shared" ref="BG128:BG137" si="487">+BF128</f>
        <v>0.08</v>
      </c>
      <c r="BH128" s="454">
        <f t="shared" ref="BH128:BH137" si="488">+BG128</f>
        <v>0.08</v>
      </c>
      <c r="BI128" s="454">
        <f t="shared" ref="BI128:BI137" si="489">+BH128</f>
        <v>0.08</v>
      </c>
      <c r="BJ128" s="1096">
        <f t="shared" ref="BJ128:BJ137" si="490">+BI128</f>
        <v>0.08</v>
      </c>
      <c r="BK128" s="455">
        <f t="shared" ref="BK128:BK137" si="491">+BJ128</f>
        <v>0.08</v>
      </c>
      <c r="BL128" s="2030"/>
      <c r="BM128" s="20"/>
      <c r="BN128" s="13"/>
      <c r="BO128" s="13"/>
      <c r="BP128" s="13"/>
      <c r="BQ128" s="13"/>
      <c r="BR128" s="13"/>
      <c r="BS128" s="13">
        <f>+AE128</f>
        <v>0.08</v>
      </c>
      <c r="BT128" s="13">
        <f>+AI128</f>
        <v>0.08</v>
      </c>
      <c r="BU128" s="13">
        <f>+AM128</f>
        <v>0.08</v>
      </c>
      <c r="BV128" s="13">
        <f>+AQ128</f>
        <v>0.08</v>
      </c>
      <c r="BW128" s="13">
        <f t="shared" ref="BW128:BW139" si="492">AU128</f>
        <v>0.08</v>
      </c>
      <c r="BX128" s="13">
        <f t="shared" ref="BX128:BX139" si="493">AY128</f>
        <v>0.08</v>
      </c>
      <c r="BY128" s="13">
        <f>BC128</f>
        <v>0.08</v>
      </c>
      <c r="BZ128" s="13">
        <f t="shared" ref="BZ128:BZ139" si="494">BG128</f>
        <v>0.08</v>
      </c>
      <c r="CA128" s="13">
        <f>BK128</f>
        <v>0.08</v>
      </c>
      <c r="CB128" s="2129">
        <f>+CA128</f>
        <v>0.08</v>
      </c>
      <c r="CC128" s="2140"/>
      <c r="CD128" s="7"/>
    </row>
    <row r="129" spans="1:82" ht="14.25" customHeight="1">
      <c r="A129" s="7"/>
      <c r="B129" s="849" t="s">
        <v>360</v>
      </c>
      <c r="C129" s="13"/>
      <c r="D129" s="13"/>
      <c r="E129" s="13"/>
      <c r="F129" s="13"/>
      <c r="G129" s="244"/>
      <c r="H129" s="13"/>
      <c r="I129" s="13"/>
      <c r="J129" s="13"/>
      <c r="K129" s="244"/>
      <c r="L129" s="13"/>
      <c r="M129" s="13"/>
      <c r="N129" s="13"/>
      <c r="O129" s="244"/>
      <c r="P129" s="13"/>
      <c r="Q129" s="13"/>
      <c r="R129" s="13"/>
      <c r="S129" s="244"/>
      <c r="T129" s="13"/>
      <c r="U129" s="13"/>
      <c r="V129" s="13"/>
      <c r="W129" s="244"/>
      <c r="X129" s="13"/>
      <c r="Y129" s="13"/>
      <c r="Z129" s="13"/>
      <c r="AA129" s="244"/>
      <c r="AB129" s="886">
        <v>0.08</v>
      </c>
      <c r="AC129" s="454">
        <f t="shared" ref="AC129:AP132" si="495">+AB129</f>
        <v>0.08</v>
      </c>
      <c r="AD129" s="454">
        <f t="shared" si="495"/>
        <v>0.08</v>
      </c>
      <c r="AE129" s="455">
        <f t="shared" si="495"/>
        <v>0.08</v>
      </c>
      <c r="AF129" s="454">
        <f t="shared" si="495"/>
        <v>0.08</v>
      </c>
      <c r="AG129" s="454">
        <f t="shared" si="495"/>
        <v>0.08</v>
      </c>
      <c r="AH129" s="454">
        <f t="shared" si="495"/>
        <v>0.08</v>
      </c>
      <c r="AI129" s="455">
        <f t="shared" si="495"/>
        <v>0.08</v>
      </c>
      <c r="AJ129" s="454">
        <f t="shared" si="495"/>
        <v>0.08</v>
      </c>
      <c r="AK129" s="454">
        <f t="shared" si="495"/>
        <v>0.08</v>
      </c>
      <c r="AL129" s="454">
        <f t="shared" si="495"/>
        <v>0.08</v>
      </c>
      <c r="AM129" s="455">
        <f>+AL129</f>
        <v>0.08</v>
      </c>
      <c r="AN129" s="454">
        <f t="shared" si="495"/>
        <v>0.08</v>
      </c>
      <c r="AO129" s="454">
        <f t="shared" si="476"/>
        <v>0.08</v>
      </c>
      <c r="AP129" s="454">
        <f t="shared" si="495"/>
        <v>0.08</v>
      </c>
      <c r="AQ129" s="455">
        <f t="shared" si="476"/>
        <v>0.08</v>
      </c>
      <c r="AR129" s="454">
        <f t="shared" si="477"/>
        <v>0.08</v>
      </c>
      <c r="AS129" s="454">
        <f t="shared" si="477"/>
        <v>0.08</v>
      </c>
      <c r="AT129" s="454">
        <f t="shared" si="477"/>
        <v>0.08</v>
      </c>
      <c r="AU129" s="455">
        <f t="shared" si="477"/>
        <v>0.08</v>
      </c>
      <c r="AV129" s="454">
        <f t="shared" si="478"/>
        <v>0.08</v>
      </c>
      <c r="AW129" s="454">
        <f t="shared" si="479"/>
        <v>0.08</v>
      </c>
      <c r="AX129" s="454">
        <f t="shared" si="479"/>
        <v>0.08</v>
      </c>
      <c r="AY129" s="455">
        <f t="shared" si="479"/>
        <v>0.08</v>
      </c>
      <c r="AZ129" s="454">
        <f t="shared" si="480"/>
        <v>0.08</v>
      </c>
      <c r="BA129" s="454">
        <f t="shared" si="481"/>
        <v>0.08</v>
      </c>
      <c r="BB129" s="1096">
        <f t="shared" si="482"/>
        <v>0.08</v>
      </c>
      <c r="BC129" s="455">
        <f t="shared" si="483"/>
        <v>0.08</v>
      </c>
      <c r="BD129" s="454">
        <f t="shared" si="484"/>
        <v>0.08</v>
      </c>
      <c r="BE129" s="454">
        <f t="shared" si="485"/>
        <v>0.08</v>
      </c>
      <c r="BF129" s="1096">
        <f t="shared" si="486"/>
        <v>0.08</v>
      </c>
      <c r="BG129" s="455">
        <f t="shared" si="487"/>
        <v>0.08</v>
      </c>
      <c r="BH129" s="454">
        <f t="shared" si="488"/>
        <v>0.08</v>
      </c>
      <c r="BI129" s="454">
        <f t="shared" si="489"/>
        <v>0.08</v>
      </c>
      <c r="BJ129" s="1096">
        <f t="shared" si="490"/>
        <v>0.08</v>
      </c>
      <c r="BK129" s="455">
        <f t="shared" si="491"/>
        <v>0.08</v>
      </c>
      <c r="BL129" s="2030"/>
      <c r="BM129" s="20"/>
      <c r="BN129" s="13"/>
      <c r="BO129" s="13"/>
      <c r="BP129" s="13"/>
      <c r="BQ129" s="13"/>
      <c r="BR129" s="13"/>
      <c r="BS129" s="13">
        <f>+AE129</f>
        <v>0.08</v>
      </c>
      <c r="BT129" s="13">
        <f>+AI129</f>
        <v>0.08</v>
      </c>
      <c r="BU129" s="13">
        <f>+AM129</f>
        <v>0.08</v>
      </c>
      <c r="BV129" s="13">
        <f>+AQ129</f>
        <v>0.08</v>
      </c>
      <c r="BW129" s="13">
        <f t="shared" si="492"/>
        <v>0.08</v>
      </c>
      <c r="BX129" s="13">
        <f t="shared" si="493"/>
        <v>0.08</v>
      </c>
      <c r="BY129" s="13">
        <f t="shared" ref="BY129:BY139" si="496">BC129</f>
        <v>0.08</v>
      </c>
      <c r="BZ129" s="13">
        <f t="shared" si="494"/>
        <v>0.08</v>
      </c>
      <c r="CA129" s="13">
        <f t="shared" ref="CA129:CA139" si="497">BK129</f>
        <v>0.08</v>
      </c>
      <c r="CB129" s="2129">
        <f t="shared" ref="CB129:CB131" si="498">+CA129</f>
        <v>0.08</v>
      </c>
      <c r="CC129" s="2140"/>
      <c r="CD129" s="7"/>
    </row>
    <row r="130" spans="1:82" ht="14.25" customHeight="1">
      <c r="A130" s="7"/>
      <c r="B130" s="849" t="s">
        <v>361</v>
      </c>
      <c r="C130" s="13"/>
      <c r="D130" s="13"/>
      <c r="E130" s="13"/>
      <c r="F130" s="13"/>
      <c r="G130" s="244"/>
      <c r="H130" s="13"/>
      <c r="I130" s="13"/>
      <c r="J130" s="13"/>
      <c r="K130" s="244"/>
      <c r="L130" s="13"/>
      <c r="M130" s="13"/>
      <c r="N130" s="13"/>
      <c r="O130" s="244"/>
      <c r="P130" s="13"/>
      <c r="Q130" s="13"/>
      <c r="R130" s="13"/>
      <c r="S130" s="244"/>
      <c r="T130" s="13"/>
      <c r="U130" s="13"/>
      <c r="V130" s="13"/>
      <c r="W130" s="244"/>
      <c r="X130" s="13"/>
      <c r="Y130" s="13"/>
      <c r="Z130" s="13"/>
      <c r="AA130" s="244"/>
      <c r="AB130" s="886">
        <v>8.1250000000000003E-2</v>
      </c>
      <c r="AC130" s="454">
        <f t="shared" si="495"/>
        <v>8.1250000000000003E-2</v>
      </c>
      <c r="AD130" s="454">
        <f t="shared" si="495"/>
        <v>8.1250000000000003E-2</v>
      </c>
      <c r="AE130" s="455">
        <f t="shared" si="495"/>
        <v>8.1250000000000003E-2</v>
      </c>
      <c r="AF130" s="454">
        <f t="shared" si="495"/>
        <v>8.1250000000000003E-2</v>
      </c>
      <c r="AG130" s="454">
        <f t="shared" si="495"/>
        <v>8.1250000000000003E-2</v>
      </c>
      <c r="AH130" s="454">
        <f t="shared" si="495"/>
        <v>8.1250000000000003E-2</v>
      </c>
      <c r="AI130" s="455">
        <f t="shared" si="495"/>
        <v>8.1250000000000003E-2</v>
      </c>
      <c r="AJ130" s="454">
        <f t="shared" si="495"/>
        <v>8.1250000000000003E-2</v>
      </c>
      <c r="AK130" s="454">
        <f t="shared" si="495"/>
        <v>8.1250000000000003E-2</v>
      </c>
      <c r="AL130" s="454">
        <f t="shared" si="495"/>
        <v>8.1250000000000003E-2</v>
      </c>
      <c r="AM130" s="455">
        <f>+AL130</f>
        <v>8.1250000000000003E-2</v>
      </c>
      <c r="AN130" s="454">
        <f t="shared" si="495"/>
        <v>8.1250000000000003E-2</v>
      </c>
      <c r="AO130" s="454">
        <f t="shared" si="476"/>
        <v>8.1250000000000003E-2</v>
      </c>
      <c r="AP130" s="454">
        <f t="shared" si="495"/>
        <v>8.1250000000000003E-2</v>
      </c>
      <c r="AQ130" s="455">
        <f t="shared" si="476"/>
        <v>8.1250000000000003E-2</v>
      </c>
      <c r="AR130" s="454">
        <f t="shared" si="477"/>
        <v>8.1250000000000003E-2</v>
      </c>
      <c r="AS130" s="454">
        <f t="shared" si="477"/>
        <v>8.1250000000000003E-2</v>
      </c>
      <c r="AT130" s="454">
        <f t="shared" si="477"/>
        <v>8.1250000000000003E-2</v>
      </c>
      <c r="AU130" s="455">
        <f t="shared" si="477"/>
        <v>8.1250000000000003E-2</v>
      </c>
      <c r="AV130" s="454">
        <f t="shared" si="478"/>
        <v>8.1250000000000003E-2</v>
      </c>
      <c r="AW130" s="454">
        <f t="shared" si="479"/>
        <v>8.1250000000000003E-2</v>
      </c>
      <c r="AX130" s="454">
        <f t="shared" si="479"/>
        <v>8.1250000000000003E-2</v>
      </c>
      <c r="AY130" s="455">
        <f t="shared" si="479"/>
        <v>8.1250000000000003E-2</v>
      </c>
      <c r="AZ130" s="454">
        <f t="shared" si="480"/>
        <v>8.1250000000000003E-2</v>
      </c>
      <c r="BA130" s="454">
        <f t="shared" si="481"/>
        <v>8.1250000000000003E-2</v>
      </c>
      <c r="BB130" s="1096">
        <f t="shared" si="482"/>
        <v>8.1250000000000003E-2</v>
      </c>
      <c r="BC130" s="455">
        <f t="shared" si="483"/>
        <v>8.1250000000000003E-2</v>
      </c>
      <c r="BD130" s="454">
        <f t="shared" si="484"/>
        <v>8.1250000000000003E-2</v>
      </c>
      <c r="BE130" s="454">
        <f t="shared" si="485"/>
        <v>8.1250000000000003E-2</v>
      </c>
      <c r="BF130" s="1096">
        <f t="shared" si="486"/>
        <v>8.1250000000000003E-2</v>
      </c>
      <c r="BG130" s="455">
        <f t="shared" si="487"/>
        <v>8.1250000000000003E-2</v>
      </c>
      <c r="BH130" s="454">
        <f t="shared" si="488"/>
        <v>8.1250000000000003E-2</v>
      </c>
      <c r="BI130" s="454">
        <f t="shared" si="489"/>
        <v>8.1250000000000003E-2</v>
      </c>
      <c r="BJ130" s="1096">
        <f t="shared" si="490"/>
        <v>8.1250000000000003E-2</v>
      </c>
      <c r="BK130" s="455">
        <f t="shared" si="491"/>
        <v>8.1250000000000003E-2</v>
      </c>
      <c r="BL130" s="2030"/>
      <c r="BM130" s="20"/>
      <c r="BN130" s="13"/>
      <c r="BO130" s="13"/>
      <c r="BP130" s="13"/>
      <c r="BQ130" s="13"/>
      <c r="BR130" s="13"/>
      <c r="BS130" s="13">
        <f>+AE130</f>
        <v>8.1250000000000003E-2</v>
      </c>
      <c r="BT130" s="13">
        <f>+AI130</f>
        <v>8.1250000000000003E-2</v>
      </c>
      <c r="BU130" s="13">
        <f>+AM130</f>
        <v>8.1250000000000003E-2</v>
      </c>
      <c r="BV130" s="13">
        <f>+AQ130</f>
        <v>8.1250000000000003E-2</v>
      </c>
      <c r="BW130" s="13">
        <f t="shared" si="492"/>
        <v>8.1250000000000003E-2</v>
      </c>
      <c r="BX130" s="13">
        <f t="shared" si="493"/>
        <v>8.1250000000000003E-2</v>
      </c>
      <c r="BY130" s="13">
        <f t="shared" si="496"/>
        <v>8.1250000000000003E-2</v>
      </c>
      <c r="BZ130" s="13">
        <f t="shared" si="494"/>
        <v>8.1250000000000003E-2</v>
      </c>
      <c r="CA130" s="13">
        <f t="shared" si="497"/>
        <v>8.1250000000000003E-2</v>
      </c>
      <c r="CB130" s="2129">
        <f t="shared" si="498"/>
        <v>8.1250000000000003E-2</v>
      </c>
      <c r="CC130" s="2140"/>
      <c r="CD130" s="7"/>
    </row>
    <row r="131" spans="1:82" ht="14.25" customHeight="1">
      <c r="A131" s="7"/>
      <c r="B131" s="849" t="s">
        <v>362</v>
      </c>
      <c r="C131" s="13"/>
      <c r="D131" s="13"/>
      <c r="E131" s="13"/>
      <c r="F131" s="13"/>
      <c r="G131" s="244"/>
      <c r="H131" s="13"/>
      <c r="I131" s="13"/>
      <c r="J131" s="13"/>
      <c r="K131" s="244"/>
      <c r="L131" s="13"/>
      <c r="M131" s="13"/>
      <c r="N131" s="13"/>
      <c r="O131" s="244"/>
      <c r="P131" s="13"/>
      <c r="Q131" s="13"/>
      <c r="R131" s="13"/>
      <c r="S131" s="244"/>
      <c r="T131" s="13"/>
      <c r="U131" s="13"/>
      <c r="V131" s="13"/>
      <c r="W131" s="244"/>
      <c r="X131" s="13"/>
      <c r="Y131" s="13"/>
      <c r="Z131" s="13"/>
      <c r="AA131" s="244"/>
      <c r="AB131" s="886">
        <v>7.7499999999999999E-2</v>
      </c>
      <c r="AC131" s="454">
        <f t="shared" si="495"/>
        <v>7.7499999999999999E-2</v>
      </c>
      <c r="AD131" s="454">
        <f t="shared" si="495"/>
        <v>7.7499999999999999E-2</v>
      </c>
      <c r="AE131" s="455">
        <f t="shared" si="495"/>
        <v>7.7499999999999999E-2</v>
      </c>
      <c r="AF131" s="454">
        <f t="shared" si="495"/>
        <v>7.7499999999999999E-2</v>
      </c>
      <c r="AG131" s="454">
        <f t="shared" si="495"/>
        <v>7.7499999999999999E-2</v>
      </c>
      <c r="AH131" s="454">
        <f t="shared" si="495"/>
        <v>7.7499999999999999E-2</v>
      </c>
      <c r="AI131" s="455">
        <f t="shared" si="495"/>
        <v>7.7499999999999999E-2</v>
      </c>
      <c r="AJ131" s="454">
        <f t="shared" si="495"/>
        <v>7.7499999999999999E-2</v>
      </c>
      <c r="AK131" s="454">
        <f t="shared" si="495"/>
        <v>7.7499999999999999E-2</v>
      </c>
      <c r="AL131" s="454">
        <f t="shared" si="495"/>
        <v>7.7499999999999999E-2</v>
      </c>
      <c r="AM131" s="455">
        <f>+AL131</f>
        <v>7.7499999999999999E-2</v>
      </c>
      <c r="AN131" s="454">
        <f t="shared" si="495"/>
        <v>7.7499999999999999E-2</v>
      </c>
      <c r="AO131" s="454">
        <f t="shared" si="476"/>
        <v>7.7499999999999999E-2</v>
      </c>
      <c r="AP131" s="454">
        <f t="shared" si="495"/>
        <v>7.7499999999999999E-2</v>
      </c>
      <c r="AQ131" s="455">
        <f t="shared" si="476"/>
        <v>7.7499999999999999E-2</v>
      </c>
      <c r="AR131" s="454">
        <f t="shared" si="477"/>
        <v>7.7499999999999999E-2</v>
      </c>
      <c r="AS131" s="454">
        <f t="shared" si="477"/>
        <v>7.7499999999999999E-2</v>
      </c>
      <c r="AT131" s="454">
        <f t="shared" si="477"/>
        <v>7.7499999999999999E-2</v>
      </c>
      <c r="AU131" s="455">
        <f t="shared" si="477"/>
        <v>7.7499999999999999E-2</v>
      </c>
      <c r="AV131" s="454">
        <f t="shared" si="478"/>
        <v>7.7499999999999999E-2</v>
      </c>
      <c r="AW131" s="454">
        <f t="shared" si="479"/>
        <v>7.7499999999999999E-2</v>
      </c>
      <c r="AX131" s="454">
        <f t="shared" si="479"/>
        <v>7.7499999999999999E-2</v>
      </c>
      <c r="AY131" s="455">
        <f t="shared" si="479"/>
        <v>7.7499999999999999E-2</v>
      </c>
      <c r="AZ131" s="454">
        <f t="shared" si="480"/>
        <v>7.7499999999999999E-2</v>
      </c>
      <c r="BA131" s="454">
        <f t="shared" si="481"/>
        <v>7.7499999999999999E-2</v>
      </c>
      <c r="BB131" s="1096">
        <f t="shared" si="482"/>
        <v>7.7499999999999999E-2</v>
      </c>
      <c r="BC131" s="455">
        <f t="shared" si="483"/>
        <v>7.7499999999999999E-2</v>
      </c>
      <c r="BD131" s="454">
        <f t="shared" si="484"/>
        <v>7.7499999999999999E-2</v>
      </c>
      <c r="BE131" s="454">
        <f t="shared" si="485"/>
        <v>7.7499999999999999E-2</v>
      </c>
      <c r="BF131" s="1096">
        <f t="shared" si="486"/>
        <v>7.7499999999999999E-2</v>
      </c>
      <c r="BG131" s="455">
        <f t="shared" si="487"/>
        <v>7.7499999999999999E-2</v>
      </c>
      <c r="BH131" s="454">
        <f t="shared" si="488"/>
        <v>7.7499999999999999E-2</v>
      </c>
      <c r="BI131" s="454">
        <f t="shared" si="489"/>
        <v>7.7499999999999999E-2</v>
      </c>
      <c r="BJ131" s="1096">
        <f t="shared" si="490"/>
        <v>7.7499999999999999E-2</v>
      </c>
      <c r="BK131" s="455">
        <f t="shared" si="491"/>
        <v>7.7499999999999999E-2</v>
      </c>
      <c r="BL131" s="2030"/>
      <c r="BM131" s="20"/>
      <c r="BN131" s="13"/>
      <c r="BO131" s="13"/>
      <c r="BP131" s="13"/>
      <c r="BQ131" s="13"/>
      <c r="BR131" s="13"/>
      <c r="BS131" s="13">
        <f>+AE131</f>
        <v>7.7499999999999999E-2</v>
      </c>
      <c r="BT131" s="13">
        <f>+AI131</f>
        <v>7.7499999999999999E-2</v>
      </c>
      <c r="BU131" s="13">
        <f>+AM131</f>
        <v>7.7499999999999999E-2</v>
      </c>
      <c r="BV131" s="13">
        <f>+AQ131</f>
        <v>7.7499999999999999E-2</v>
      </c>
      <c r="BW131" s="13">
        <f t="shared" si="492"/>
        <v>7.7499999999999999E-2</v>
      </c>
      <c r="BX131" s="13">
        <f t="shared" si="493"/>
        <v>7.7499999999999999E-2</v>
      </c>
      <c r="BY131" s="13">
        <f t="shared" si="496"/>
        <v>7.7499999999999999E-2</v>
      </c>
      <c r="BZ131" s="13">
        <f t="shared" si="494"/>
        <v>7.7499999999999999E-2</v>
      </c>
      <c r="CA131" s="13">
        <f t="shared" si="497"/>
        <v>7.7499999999999999E-2</v>
      </c>
      <c r="CB131" s="2129">
        <f t="shared" si="498"/>
        <v>7.7499999999999999E-2</v>
      </c>
      <c r="CC131" s="2140"/>
      <c r="CD131" s="7"/>
    </row>
    <row r="132" spans="1:82" ht="14.25" customHeight="1">
      <c r="A132" s="7"/>
      <c r="B132" s="849" t="s">
        <v>443</v>
      </c>
      <c r="C132" s="13"/>
      <c r="D132" s="13"/>
      <c r="E132" s="13"/>
      <c r="F132" s="13"/>
      <c r="G132" s="244"/>
      <c r="H132" s="13"/>
      <c r="I132" s="13"/>
      <c r="J132" s="13"/>
      <c r="K132" s="244"/>
      <c r="L132" s="13"/>
      <c r="M132" s="13"/>
      <c r="N132" s="13"/>
      <c r="O132" s="244"/>
      <c r="P132" s="13"/>
      <c r="Q132" s="13"/>
      <c r="R132" s="13"/>
      <c r="S132" s="244"/>
      <c r="T132" s="13"/>
      <c r="U132" s="13"/>
      <c r="V132" s="13"/>
      <c r="W132" s="244"/>
      <c r="X132" s="13"/>
      <c r="Y132" s="13"/>
      <c r="Z132" s="13"/>
      <c r="AA132" s="244"/>
      <c r="AB132" s="436"/>
      <c r="AC132" s="454"/>
      <c r="AD132" s="454"/>
      <c r="AE132" s="455"/>
      <c r="AF132" s="454"/>
      <c r="AG132" s="454"/>
      <c r="AH132" s="886">
        <v>7.4999999999999997E-2</v>
      </c>
      <c r="AI132" s="455">
        <f t="shared" si="495"/>
        <v>7.4999999999999997E-2</v>
      </c>
      <c r="AJ132" s="454">
        <f t="shared" si="495"/>
        <v>7.4999999999999997E-2</v>
      </c>
      <c r="AK132" s="454">
        <f t="shared" si="495"/>
        <v>7.4999999999999997E-2</v>
      </c>
      <c r="AL132" s="454">
        <f t="shared" si="495"/>
        <v>7.4999999999999997E-2</v>
      </c>
      <c r="AM132" s="455">
        <f>+AL132</f>
        <v>7.4999999999999997E-2</v>
      </c>
      <c r="AN132" s="454">
        <f t="shared" si="495"/>
        <v>7.4999999999999997E-2</v>
      </c>
      <c r="AO132" s="454">
        <f t="shared" si="476"/>
        <v>7.4999999999999997E-2</v>
      </c>
      <c r="AP132" s="454">
        <f t="shared" si="495"/>
        <v>7.4999999999999997E-2</v>
      </c>
      <c r="AQ132" s="455">
        <f t="shared" si="476"/>
        <v>7.4999999999999997E-2</v>
      </c>
      <c r="AR132" s="454">
        <f t="shared" si="477"/>
        <v>7.4999999999999997E-2</v>
      </c>
      <c r="AS132" s="454">
        <f t="shared" si="477"/>
        <v>7.4999999999999997E-2</v>
      </c>
      <c r="AT132" s="454">
        <f t="shared" si="477"/>
        <v>7.4999999999999997E-2</v>
      </c>
      <c r="AU132" s="455">
        <f t="shared" si="477"/>
        <v>7.4999999999999997E-2</v>
      </c>
      <c r="AV132" s="454">
        <f t="shared" si="478"/>
        <v>7.4999999999999997E-2</v>
      </c>
      <c r="AW132" s="454">
        <f t="shared" si="479"/>
        <v>7.4999999999999997E-2</v>
      </c>
      <c r="AX132" s="454">
        <f t="shared" si="479"/>
        <v>7.4999999999999997E-2</v>
      </c>
      <c r="AY132" s="455">
        <f t="shared" si="479"/>
        <v>7.4999999999999997E-2</v>
      </c>
      <c r="AZ132" s="454">
        <f t="shared" si="480"/>
        <v>7.4999999999999997E-2</v>
      </c>
      <c r="BA132" s="454">
        <f t="shared" si="481"/>
        <v>7.4999999999999997E-2</v>
      </c>
      <c r="BB132" s="1096">
        <f t="shared" si="482"/>
        <v>7.4999999999999997E-2</v>
      </c>
      <c r="BC132" s="455">
        <f t="shared" si="483"/>
        <v>7.4999999999999997E-2</v>
      </c>
      <c r="BD132" s="454">
        <f t="shared" si="484"/>
        <v>7.4999999999999997E-2</v>
      </c>
      <c r="BE132" s="454">
        <f t="shared" si="485"/>
        <v>7.4999999999999997E-2</v>
      </c>
      <c r="BF132" s="1096">
        <f t="shared" si="486"/>
        <v>7.4999999999999997E-2</v>
      </c>
      <c r="BG132" s="455">
        <f t="shared" si="487"/>
        <v>7.4999999999999997E-2</v>
      </c>
      <c r="BH132" s="454">
        <f t="shared" si="488"/>
        <v>7.4999999999999997E-2</v>
      </c>
      <c r="BI132" s="454">
        <f t="shared" si="489"/>
        <v>7.4999999999999997E-2</v>
      </c>
      <c r="BJ132" s="1096">
        <f t="shared" si="490"/>
        <v>7.4999999999999997E-2</v>
      </c>
      <c r="BK132" s="455">
        <f t="shared" si="491"/>
        <v>7.4999999999999997E-2</v>
      </c>
      <c r="BL132" s="2030"/>
      <c r="BM132" s="20"/>
      <c r="BN132" s="13"/>
      <c r="BO132" s="13"/>
      <c r="BP132" s="13"/>
      <c r="BQ132" s="13"/>
      <c r="BR132" s="13"/>
      <c r="BS132" s="13"/>
      <c r="BT132" s="13"/>
      <c r="BU132" s="13">
        <f>+AM132</f>
        <v>7.4999999999999997E-2</v>
      </c>
      <c r="BV132" s="13">
        <f>+AQ132</f>
        <v>7.4999999999999997E-2</v>
      </c>
      <c r="BW132" s="13">
        <f t="shared" si="492"/>
        <v>7.4999999999999997E-2</v>
      </c>
      <c r="BX132" s="13">
        <f t="shared" si="493"/>
        <v>7.4999999999999997E-2</v>
      </c>
      <c r="BY132" s="13">
        <f t="shared" si="496"/>
        <v>7.4999999999999997E-2</v>
      </c>
      <c r="BZ132" s="13">
        <f t="shared" si="494"/>
        <v>7.4999999999999997E-2</v>
      </c>
      <c r="CA132" s="13">
        <f t="shared" si="497"/>
        <v>7.4999999999999997E-2</v>
      </c>
      <c r="CB132" s="2129">
        <f>+CA132</f>
        <v>7.4999999999999997E-2</v>
      </c>
      <c r="CC132" s="2140"/>
      <c r="CD132" s="7"/>
    </row>
    <row r="133" spans="1:82" ht="14.25" customHeight="1">
      <c r="A133" s="7"/>
      <c r="B133" s="849" t="s">
        <v>559</v>
      </c>
      <c r="C133" s="13"/>
      <c r="D133" s="13"/>
      <c r="E133" s="13"/>
      <c r="F133" s="13"/>
      <c r="G133" s="244"/>
      <c r="H133" s="13"/>
      <c r="I133" s="13"/>
      <c r="J133" s="13"/>
      <c r="K133" s="244"/>
      <c r="L133" s="13"/>
      <c r="M133" s="13"/>
      <c r="N133" s="13"/>
      <c r="O133" s="244"/>
      <c r="P133" s="13"/>
      <c r="Q133" s="13"/>
      <c r="R133" s="13"/>
      <c r="S133" s="244"/>
      <c r="T133" s="13"/>
      <c r="U133" s="13"/>
      <c r="V133" s="13"/>
      <c r="W133" s="244"/>
      <c r="X133" s="13"/>
      <c r="Y133" s="13"/>
      <c r="Z133" s="13"/>
      <c r="AA133" s="244"/>
      <c r="AB133" s="436"/>
      <c r="AC133" s="454"/>
      <c r="AD133" s="454"/>
      <c r="AE133" s="455"/>
      <c r="AF133" s="454"/>
      <c r="AG133" s="454"/>
      <c r="AH133" s="886"/>
      <c r="AI133" s="455"/>
      <c r="AJ133" s="454"/>
      <c r="AK133" s="454"/>
      <c r="AL133" s="454"/>
      <c r="AM133" s="455"/>
      <c r="AN133" s="454"/>
      <c r="AO133" s="454"/>
      <c r="AP133" s="454"/>
      <c r="AQ133" s="455"/>
      <c r="AR133" s="454">
        <v>6.7500000000000004E-2</v>
      </c>
      <c r="AS133" s="454">
        <f t="shared" ref="AS133:AU137" si="499">+AR133</f>
        <v>6.7500000000000004E-2</v>
      </c>
      <c r="AT133" s="454">
        <f t="shared" si="499"/>
        <v>6.7500000000000004E-2</v>
      </c>
      <c r="AU133" s="455">
        <f t="shared" si="499"/>
        <v>6.7500000000000004E-2</v>
      </c>
      <c r="AV133" s="454">
        <f t="shared" si="478"/>
        <v>6.7500000000000004E-2</v>
      </c>
      <c r="AW133" s="454">
        <f t="shared" si="479"/>
        <v>6.7500000000000004E-2</v>
      </c>
      <c r="AX133" s="454">
        <f t="shared" si="479"/>
        <v>6.7500000000000004E-2</v>
      </c>
      <c r="AY133" s="455">
        <f t="shared" si="479"/>
        <v>6.7500000000000004E-2</v>
      </c>
      <c r="AZ133" s="454">
        <f t="shared" si="480"/>
        <v>6.7500000000000004E-2</v>
      </c>
      <c r="BA133" s="454">
        <f t="shared" si="481"/>
        <v>6.7500000000000004E-2</v>
      </c>
      <c r="BB133" s="1096">
        <f t="shared" si="482"/>
        <v>6.7500000000000004E-2</v>
      </c>
      <c r="BC133" s="455">
        <f t="shared" si="483"/>
        <v>6.7500000000000004E-2</v>
      </c>
      <c r="BD133" s="454">
        <f t="shared" si="484"/>
        <v>6.7500000000000004E-2</v>
      </c>
      <c r="BE133" s="454">
        <f t="shared" si="485"/>
        <v>6.7500000000000004E-2</v>
      </c>
      <c r="BF133" s="1096">
        <f t="shared" si="486"/>
        <v>6.7500000000000004E-2</v>
      </c>
      <c r="BG133" s="455">
        <f t="shared" si="487"/>
        <v>6.7500000000000004E-2</v>
      </c>
      <c r="BH133" s="454">
        <f t="shared" si="488"/>
        <v>6.7500000000000004E-2</v>
      </c>
      <c r="BI133" s="454">
        <f t="shared" si="489"/>
        <v>6.7500000000000004E-2</v>
      </c>
      <c r="BJ133" s="1096">
        <f t="shared" si="490"/>
        <v>6.7500000000000004E-2</v>
      </c>
      <c r="BK133" s="455">
        <f t="shared" si="491"/>
        <v>6.7500000000000004E-2</v>
      </c>
      <c r="BL133" s="2030"/>
      <c r="BM133" s="20"/>
      <c r="BN133" s="13"/>
      <c r="BO133" s="13"/>
      <c r="BP133" s="13"/>
      <c r="BQ133" s="13"/>
      <c r="BR133" s="13"/>
      <c r="BS133" s="13"/>
      <c r="BT133" s="13"/>
      <c r="BU133" s="13"/>
      <c r="BV133" s="13"/>
      <c r="BW133" s="13">
        <f t="shared" si="492"/>
        <v>6.7500000000000004E-2</v>
      </c>
      <c r="BX133" s="13">
        <f t="shared" si="493"/>
        <v>6.7500000000000004E-2</v>
      </c>
      <c r="BY133" s="13">
        <f t="shared" si="496"/>
        <v>6.7500000000000004E-2</v>
      </c>
      <c r="BZ133" s="13">
        <f t="shared" si="494"/>
        <v>6.7500000000000004E-2</v>
      </c>
      <c r="CA133" s="13">
        <f t="shared" si="497"/>
        <v>6.7500000000000004E-2</v>
      </c>
      <c r="CB133" s="2129">
        <f>CA133</f>
        <v>6.7500000000000004E-2</v>
      </c>
      <c r="CC133" s="2140"/>
      <c r="CD133" s="7"/>
    </row>
    <row r="134" spans="1:82" ht="14.25" customHeight="1">
      <c r="A134" s="7"/>
      <c r="B134" s="849" t="s">
        <v>560</v>
      </c>
      <c r="C134" s="13"/>
      <c r="D134" s="13"/>
      <c r="E134" s="13"/>
      <c r="F134" s="13"/>
      <c r="G134" s="244"/>
      <c r="H134" s="13"/>
      <c r="I134" s="13"/>
      <c r="J134" s="13"/>
      <c r="K134" s="244"/>
      <c r="L134" s="13"/>
      <c r="M134" s="13"/>
      <c r="N134" s="13"/>
      <c r="O134" s="244"/>
      <c r="P134" s="13"/>
      <c r="Q134" s="13"/>
      <c r="R134" s="13"/>
      <c r="S134" s="244"/>
      <c r="T134" s="13"/>
      <c r="U134" s="13"/>
      <c r="V134" s="13"/>
      <c r="W134" s="244"/>
      <c r="X134" s="13"/>
      <c r="Y134" s="13"/>
      <c r="Z134" s="13"/>
      <c r="AA134" s="244"/>
      <c r="AB134" s="436"/>
      <c r="AC134" s="454"/>
      <c r="AD134" s="454"/>
      <c r="AE134" s="455"/>
      <c r="AF134" s="454"/>
      <c r="AG134" s="454"/>
      <c r="AH134" s="886"/>
      <c r="AI134" s="455"/>
      <c r="AJ134" s="454"/>
      <c r="AK134" s="454"/>
      <c r="AL134" s="454"/>
      <c r="AM134" s="455"/>
      <c r="AN134" s="454"/>
      <c r="AO134" s="454"/>
      <c r="AP134" s="454"/>
      <c r="AQ134" s="455"/>
      <c r="AR134" s="454">
        <v>6.7500000000000004E-2</v>
      </c>
      <c r="AS134" s="454">
        <f t="shared" si="499"/>
        <v>6.7500000000000004E-2</v>
      </c>
      <c r="AT134" s="454">
        <f t="shared" si="499"/>
        <v>6.7500000000000004E-2</v>
      </c>
      <c r="AU134" s="455">
        <f t="shared" si="499"/>
        <v>6.7500000000000004E-2</v>
      </c>
      <c r="AV134" s="454">
        <f t="shared" si="478"/>
        <v>6.7500000000000004E-2</v>
      </c>
      <c r="AW134" s="454">
        <f t="shared" si="479"/>
        <v>6.7500000000000004E-2</v>
      </c>
      <c r="AX134" s="454">
        <f t="shared" si="479"/>
        <v>6.7500000000000004E-2</v>
      </c>
      <c r="AY134" s="455">
        <f t="shared" si="479"/>
        <v>6.7500000000000004E-2</v>
      </c>
      <c r="AZ134" s="454">
        <f t="shared" si="480"/>
        <v>6.7500000000000004E-2</v>
      </c>
      <c r="BA134" s="454">
        <f t="shared" si="481"/>
        <v>6.7500000000000004E-2</v>
      </c>
      <c r="BB134" s="1096">
        <f t="shared" si="482"/>
        <v>6.7500000000000004E-2</v>
      </c>
      <c r="BC134" s="455">
        <f t="shared" si="483"/>
        <v>6.7500000000000004E-2</v>
      </c>
      <c r="BD134" s="454">
        <f t="shared" si="484"/>
        <v>6.7500000000000004E-2</v>
      </c>
      <c r="BE134" s="454">
        <f t="shared" si="485"/>
        <v>6.7500000000000004E-2</v>
      </c>
      <c r="BF134" s="1096">
        <f t="shared" si="486"/>
        <v>6.7500000000000004E-2</v>
      </c>
      <c r="BG134" s="455">
        <f t="shared" si="487"/>
        <v>6.7500000000000004E-2</v>
      </c>
      <c r="BH134" s="454">
        <f t="shared" si="488"/>
        <v>6.7500000000000004E-2</v>
      </c>
      <c r="BI134" s="454">
        <f t="shared" si="489"/>
        <v>6.7500000000000004E-2</v>
      </c>
      <c r="BJ134" s="1096">
        <f t="shared" si="490"/>
        <v>6.7500000000000004E-2</v>
      </c>
      <c r="BK134" s="455">
        <f t="shared" si="491"/>
        <v>6.7500000000000004E-2</v>
      </c>
      <c r="BL134" s="2030"/>
      <c r="BM134" s="20"/>
      <c r="BN134" s="13"/>
      <c r="BO134" s="13"/>
      <c r="BP134" s="13"/>
      <c r="BQ134" s="13"/>
      <c r="BR134" s="13"/>
      <c r="BS134" s="13"/>
      <c r="BT134" s="13"/>
      <c r="BU134" s="13"/>
      <c r="BV134" s="13"/>
      <c r="BW134" s="13">
        <f t="shared" si="492"/>
        <v>6.7500000000000004E-2</v>
      </c>
      <c r="BX134" s="13">
        <f t="shared" si="493"/>
        <v>6.7500000000000004E-2</v>
      </c>
      <c r="BY134" s="13">
        <f t="shared" si="496"/>
        <v>6.7500000000000004E-2</v>
      </c>
      <c r="BZ134" s="13">
        <f t="shared" si="494"/>
        <v>6.7500000000000004E-2</v>
      </c>
      <c r="CA134" s="13">
        <f t="shared" si="497"/>
        <v>6.7500000000000004E-2</v>
      </c>
      <c r="CB134" s="2129">
        <f t="shared" ref="CB134:CB139" si="500">CA134</f>
        <v>6.7500000000000004E-2</v>
      </c>
      <c r="CC134" s="2140"/>
      <c r="CD134" s="7"/>
    </row>
    <row r="135" spans="1:82" ht="14.25" customHeight="1">
      <c r="A135" s="7"/>
      <c r="B135" s="849" t="s">
        <v>561</v>
      </c>
      <c r="C135" s="13"/>
      <c r="D135" s="13"/>
      <c r="E135" s="13"/>
      <c r="F135" s="13"/>
      <c r="G135" s="244"/>
      <c r="H135" s="13"/>
      <c r="I135" s="13"/>
      <c r="J135" s="13"/>
      <c r="K135" s="244"/>
      <c r="L135" s="13"/>
      <c r="M135" s="13"/>
      <c r="N135" s="13"/>
      <c r="O135" s="244"/>
      <c r="P135" s="13"/>
      <c r="Q135" s="13"/>
      <c r="R135" s="13"/>
      <c r="S135" s="244"/>
      <c r="T135" s="13"/>
      <c r="U135" s="13"/>
      <c r="V135" s="13"/>
      <c r="W135" s="244"/>
      <c r="X135" s="13"/>
      <c r="Y135" s="13"/>
      <c r="Z135" s="13"/>
      <c r="AA135" s="244"/>
      <c r="AB135" s="436"/>
      <c r="AC135" s="454"/>
      <c r="AD135" s="454"/>
      <c r="AE135" s="455"/>
      <c r="AF135" s="454"/>
      <c r="AG135" s="454"/>
      <c r="AH135" s="886"/>
      <c r="AI135" s="455"/>
      <c r="AJ135" s="454"/>
      <c r="AK135" s="454"/>
      <c r="AL135" s="454"/>
      <c r="AM135" s="455"/>
      <c r="AN135" s="454"/>
      <c r="AO135" s="454"/>
      <c r="AP135" s="454"/>
      <c r="AQ135" s="455"/>
      <c r="AR135" s="454">
        <v>7.7499999999999999E-2</v>
      </c>
      <c r="AS135" s="454">
        <f t="shared" si="499"/>
        <v>7.7499999999999999E-2</v>
      </c>
      <c r="AT135" s="454">
        <f t="shared" si="499"/>
        <v>7.7499999999999999E-2</v>
      </c>
      <c r="AU135" s="455">
        <f t="shared" si="499"/>
        <v>7.7499999999999999E-2</v>
      </c>
      <c r="AV135" s="454">
        <f t="shared" si="478"/>
        <v>7.7499999999999999E-2</v>
      </c>
      <c r="AW135" s="454">
        <f t="shared" si="479"/>
        <v>7.7499999999999999E-2</v>
      </c>
      <c r="AX135" s="454">
        <f t="shared" si="479"/>
        <v>7.7499999999999999E-2</v>
      </c>
      <c r="AY135" s="455">
        <f t="shared" si="479"/>
        <v>7.7499999999999999E-2</v>
      </c>
      <c r="AZ135" s="454">
        <f t="shared" si="480"/>
        <v>7.7499999999999999E-2</v>
      </c>
      <c r="BA135" s="454">
        <f t="shared" si="481"/>
        <v>7.7499999999999999E-2</v>
      </c>
      <c r="BB135" s="1096">
        <f t="shared" si="482"/>
        <v>7.7499999999999999E-2</v>
      </c>
      <c r="BC135" s="455">
        <f t="shared" si="483"/>
        <v>7.7499999999999999E-2</v>
      </c>
      <c r="BD135" s="454">
        <f t="shared" si="484"/>
        <v>7.7499999999999999E-2</v>
      </c>
      <c r="BE135" s="454">
        <f t="shared" si="485"/>
        <v>7.7499999999999999E-2</v>
      </c>
      <c r="BF135" s="1096">
        <f t="shared" si="486"/>
        <v>7.7499999999999999E-2</v>
      </c>
      <c r="BG135" s="455">
        <f t="shared" si="487"/>
        <v>7.7499999999999999E-2</v>
      </c>
      <c r="BH135" s="454">
        <f t="shared" si="488"/>
        <v>7.7499999999999999E-2</v>
      </c>
      <c r="BI135" s="454">
        <f t="shared" si="489"/>
        <v>7.7499999999999999E-2</v>
      </c>
      <c r="BJ135" s="1096">
        <f t="shared" si="490"/>
        <v>7.7499999999999999E-2</v>
      </c>
      <c r="BK135" s="455">
        <f t="shared" si="491"/>
        <v>7.7499999999999999E-2</v>
      </c>
      <c r="BL135" s="2030"/>
      <c r="BM135" s="20"/>
      <c r="BN135" s="13"/>
      <c r="BO135" s="13"/>
      <c r="BP135" s="13"/>
      <c r="BQ135" s="13"/>
      <c r="BR135" s="13"/>
      <c r="BS135" s="13"/>
      <c r="BT135" s="13"/>
      <c r="BU135" s="13"/>
      <c r="BV135" s="13"/>
      <c r="BW135" s="13">
        <f t="shared" si="492"/>
        <v>7.7499999999999999E-2</v>
      </c>
      <c r="BX135" s="13">
        <f t="shared" si="493"/>
        <v>7.7499999999999999E-2</v>
      </c>
      <c r="BY135" s="13">
        <f t="shared" si="496"/>
        <v>7.7499999999999999E-2</v>
      </c>
      <c r="BZ135" s="13">
        <f t="shared" si="494"/>
        <v>7.7499999999999999E-2</v>
      </c>
      <c r="CA135" s="13">
        <f t="shared" si="497"/>
        <v>7.7499999999999999E-2</v>
      </c>
      <c r="CB135" s="2129">
        <f t="shared" si="500"/>
        <v>7.7499999999999999E-2</v>
      </c>
      <c r="CC135" s="2140"/>
      <c r="CD135" s="7"/>
    </row>
    <row r="136" spans="1:82" ht="14.25" customHeight="1">
      <c r="A136" s="7"/>
      <c r="B136" s="849" t="s">
        <v>562</v>
      </c>
      <c r="C136" s="13"/>
      <c r="D136" s="13"/>
      <c r="E136" s="13"/>
      <c r="F136" s="13"/>
      <c r="G136" s="244"/>
      <c r="H136" s="13"/>
      <c r="I136" s="13"/>
      <c r="J136" s="13"/>
      <c r="K136" s="244"/>
      <c r="L136" s="13"/>
      <c r="M136" s="13"/>
      <c r="N136" s="13"/>
      <c r="O136" s="244"/>
      <c r="P136" s="13"/>
      <c r="Q136" s="13"/>
      <c r="R136" s="13"/>
      <c r="S136" s="244"/>
      <c r="T136" s="13"/>
      <c r="U136" s="13"/>
      <c r="V136" s="13"/>
      <c r="W136" s="244"/>
      <c r="X136" s="13"/>
      <c r="Y136" s="13"/>
      <c r="Z136" s="13"/>
      <c r="AA136" s="244"/>
      <c r="AB136" s="436"/>
      <c r="AC136" s="454"/>
      <c r="AD136" s="454"/>
      <c r="AE136" s="455"/>
      <c r="AF136" s="454"/>
      <c r="AG136" s="454"/>
      <c r="AH136" s="886"/>
      <c r="AI136" s="455"/>
      <c r="AJ136" s="454"/>
      <c r="AK136" s="454"/>
      <c r="AL136" s="454"/>
      <c r="AM136" s="455"/>
      <c r="AN136" s="454"/>
      <c r="AO136" s="454"/>
      <c r="AP136" s="454"/>
      <c r="AQ136" s="455"/>
      <c r="AR136" s="454">
        <v>7.0000000000000007E-2</v>
      </c>
      <c r="AS136" s="454">
        <f t="shared" si="499"/>
        <v>7.0000000000000007E-2</v>
      </c>
      <c r="AT136" s="454">
        <f t="shared" si="499"/>
        <v>7.0000000000000007E-2</v>
      </c>
      <c r="AU136" s="455">
        <f t="shared" si="499"/>
        <v>7.0000000000000007E-2</v>
      </c>
      <c r="AV136" s="454">
        <f t="shared" si="478"/>
        <v>7.0000000000000007E-2</v>
      </c>
      <c r="AW136" s="454">
        <f t="shared" si="479"/>
        <v>7.0000000000000007E-2</v>
      </c>
      <c r="AX136" s="454">
        <f t="shared" si="479"/>
        <v>7.0000000000000007E-2</v>
      </c>
      <c r="AY136" s="455">
        <f t="shared" si="479"/>
        <v>7.0000000000000007E-2</v>
      </c>
      <c r="AZ136" s="454">
        <f t="shared" si="480"/>
        <v>7.0000000000000007E-2</v>
      </c>
      <c r="BA136" s="454">
        <f t="shared" si="481"/>
        <v>7.0000000000000007E-2</v>
      </c>
      <c r="BB136" s="1096">
        <f t="shared" si="482"/>
        <v>7.0000000000000007E-2</v>
      </c>
      <c r="BC136" s="455">
        <f t="shared" si="483"/>
        <v>7.0000000000000007E-2</v>
      </c>
      <c r="BD136" s="454">
        <f t="shared" si="484"/>
        <v>7.0000000000000007E-2</v>
      </c>
      <c r="BE136" s="454">
        <f t="shared" si="485"/>
        <v>7.0000000000000007E-2</v>
      </c>
      <c r="BF136" s="1096">
        <f t="shared" si="486"/>
        <v>7.0000000000000007E-2</v>
      </c>
      <c r="BG136" s="455">
        <f t="shared" si="487"/>
        <v>7.0000000000000007E-2</v>
      </c>
      <c r="BH136" s="454">
        <f t="shared" si="488"/>
        <v>7.0000000000000007E-2</v>
      </c>
      <c r="BI136" s="454">
        <f t="shared" si="489"/>
        <v>7.0000000000000007E-2</v>
      </c>
      <c r="BJ136" s="1096">
        <f t="shared" si="490"/>
        <v>7.0000000000000007E-2</v>
      </c>
      <c r="BK136" s="455">
        <f t="shared" si="491"/>
        <v>7.0000000000000007E-2</v>
      </c>
      <c r="BL136" s="2030"/>
      <c r="BM136" s="20"/>
      <c r="BN136" s="13"/>
      <c r="BO136" s="13"/>
      <c r="BP136" s="13"/>
      <c r="BQ136" s="13"/>
      <c r="BR136" s="13"/>
      <c r="BS136" s="13"/>
      <c r="BT136" s="13"/>
      <c r="BU136" s="13"/>
      <c r="BV136" s="13"/>
      <c r="BW136" s="13">
        <f t="shared" si="492"/>
        <v>7.0000000000000007E-2</v>
      </c>
      <c r="BX136" s="13">
        <f t="shared" si="493"/>
        <v>7.0000000000000007E-2</v>
      </c>
      <c r="BY136" s="13">
        <f t="shared" si="496"/>
        <v>7.0000000000000007E-2</v>
      </c>
      <c r="BZ136" s="13">
        <f t="shared" si="494"/>
        <v>7.0000000000000007E-2</v>
      </c>
      <c r="CA136" s="13">
        <f t="shared" si="497"/>
        <v>7.0000000000000007E-2</v>
      </c>
      <c r="CB136" s="2129">
        <f t="shared" si="500"/>
        <v>7.0000000000000007E-2</v>
      </c>
      <c r="CC136" s="2140"/>
      <c r="CD136" s="7"/>
    </row>
    <row r="137" spans="1:82" ht="14.25" customHeight="1">
      <c r="A137" s="7"/>
      <c r="B137" s="849" t="s">
        <v>563</v>
      </c>
      <c r="C137" s="13"/>
      <c r="D137" s="13"/>
      <c r="E137" s="13"/>
      <c r="F137" s="13"/>
      <c r="G137" s="244"/>
      <c r="H137" s="13"/>
      <c r="I137" s="13"/>
      <c r="J137" s="13"/>
      <c r="K137" s="244"/>
      <c r="L137" s="13"/>
      <c r="M137" s="13"/>
      <c r="N137" s="13"/>
      <c r="O137" s="244"/>
      <c r="P137" s="13"/>
      <c r="Q137" s="13"/>
      <c r="R137" s="13"/>
      <c r="S137" s="244"/>
      <c r="T137" s="13"/>
      <c r="U137" s="13"/>
      <c r="V137" s="13"/>
      <c r="W137" s="244"/>
      <c r="X137" s="13"/>
      <c r="Y137" s="13"/>
      <c r="Z137" s="13"/>
      <c r="AA137" s="244"/>
      <c r="AB137" s="436"/>
      <c r="AC137" s="454"/>
      <c r="AD137" s="454"/>
      <c r="AE137" s="455"/>
      <c r="AF137" s="454"/>
      <c r="AG137" s="454"/>
      <c r="AH137" s="886"/>
      <c r="AI137" s="455"/>
      <c r="AJ137" s="454"/>
      <c r="AK137" s="454"/>
      <c r="AL137" s="454"/>
      <c r="AM137" s="455"/>
      <c r="AN137" s="454"/>
      <c r="AO137" s="454"/>
      <c r="AP137" s="454"/>
      <c r="AQ137" s="455"/>
      <c r="AR137" s="454">
        <v>7.0000000000000007E-2</v>
      </c>
      <c r="AS137" s="454">
        <f t="shared" si="499"/>
        <v>7.0000000000000007E-2</v>
      </c>
      <c r="AT137" s="454">
        <f t="shared" si="499"/>
        <v>7.0000000000000007E-2</v>
      </c>
      <c r="AU137" s="455">
        <f t="shared" si="499"/>
        <v>7.0000000000000007E-2</v>
      </c>
      <c r="AV137" s="454">
        <f t="shared" si="478"/>
        <v>7.0000000000000007E-2</v>
      </c>
      <c r="AW137" s="454">
        <f t="shared" si="479"/>
        <v>7.0000000000000007E-2</v>
      </c>
      <c r="AX137" s="454">
        <f t="shared" si="479"/>
        <v>7.0000000000000007E-2</v>
      </c>
      <c r="AY137" s="455">
        <f t="shared" si="479"/>
        <v>7.0000000000000007E-2</v>
      </c>
      <c r="AZ137" s="454">
        <f t="shared" si="480"/>
        <v>7.0000000000000007E-2</v>
      </c>
      <c r="BA137" s="454">
        <f t="shared" si="481"/>
        <v>7.0000000000000007E-2</v>
      </c>
      <c r="BB137" s="1096">
        <f t="shared" si="482"/>
        <v>7.0000000000000007E-2</v>
      </c>
      <c r="BC137" s="455">
        <f t="shared" si="483"/>
        <v>7.0000000000000007E-2</v>
      </c>
      <c r="BD137" s="454">
        <f t="shared" si="484"/>
        <v>7.0000000000000007E-2</v>
      </c>
      <c r="BE137" s="454">
        <f t="shared" si="485"/>
        <v>7.0000000000000007E-2</v>
      </c>
      <c r="BF137" s="1096">
        <f t="shared" si="486"/>
        <v>7.0000000000000007E-2</v>
      </c>
      <c r="BG137" s="455">
        <f t="shared" si="487"/>
        <v>7.0000000000000007E-2</v>
      </c>
      <c r="BH137" s="454">
        <f t="shared" si="488"/>
        <v>7.0000000000000007E-2</v>
      </c>
      <c r="BI137" s="454">
        <f t="shared" si="489"/>
        <v>7.0000000000000007E-2</v>
      </c>
      <c r="BJ137" s="1096">
        <f t="shared" si="490"/>
        <v>7.0000000000000007E-2</v>
      </c>
      <c r="BK137" s="455">
        <f t="shared" si="491"/>
        <v>7.0000000000000007E-2</v>
      </c>
      <c r="BL137" s="2030"/>
      <c r="BM137" s="20"/>
      <c r="BN137" s="13"/>
      <c r="BO137" s="13"/>
      <c r="BP137" s="13"/>
      <c r="BQ137" s="13"/>
      <c r="BR137" s="13"/>
      <c r="BS137" s="13"/>
      <c r="BT137" s="13"/>
      <c r="BU137" s="13"/>
      <c r="BV137" s="13"/>
      <c r="BW137" s="13">
        <f t="shared" si="492"/>
        <v>7.0000000000000007E-2</v>
      </c>
      <c r="BX137" s="13">
        <f t="shared" si="493"/>
        <v>7.0000000000000007E-2</v>
      </c>
      <c r="BY137" s="13">
        <f t="shared" si="496"/>
        <v>7.0000000000000007E-2</v>
      </c>
      <c r="BZ137" s="13">
        <f t="shared" si="494"/>
        <v>7.0000000000000007E-2</v>
      </c>
      <c r="CA137" s="13">
        <f t="shared" si="497"/>
        <v>7.0000000000000007E-2</v>
      </c>
      <c r="CB137" s="2129">
        <f t="shared" si="500"/>
        <v>7.0000000000000007E-2</v>
      </c>
      <c r="CC137" s="2140"/>
      <c r="CD137" s="7"/>
    </row>
    <row r="138" spans="1:82" ht="14.25" customHeight="1">
      <c r="A138" s="7"/>
      <c r="B138" s="849" t="s">
        <v>444</v>
      </c>
      <c r="C138" s="13"/>
      <c r="D138" s="13"/>
      <c r="E138" s="13"/>
      <c r="F138" s="13"/>
      <c r="G138" s="244"/>
      <c r="H138" s="13"/>
      <c r="I138" s="13"/>
      <c r="J138" s="13"/>
      <c r="K138" s="244"/>
      <c r="L138" s="13"/>
      <c r="M138" s="13"/>
      <c r="N138" s="13"/>
      <c r="O138" s="244"/>
      <c r="P138" s="13"/>
      <c r="Q138" s="13"/>
      <c r="R138" s="13"/>
      <c r="S138" s="244"/>
      <c r="T138" s="13"/>
      <c r="U138" s="13"/>
      <c r="V138" s="13"/>
      <c r="W138" s="244"/>
      <c r="X138" s="13"/>
      <c r="Y138" s="13"/>
      <c r="Z138" s="13"/>
      <c r="AA138" s="244"/>
      <c r="AB138" s="436"/>
      <c r="AC138" s="436"/>
      <c r="AD138" s="436"/>
      <c r="AE138" s="570"/>
      <c r="AF138" s="436"/>
      <c r="AG138" s="436"/>
      <c r="AH138" s="436"/>
      <c r="AI138" s="570"/>
      <c r="AJ138" s="436"/>
      <c r="AK138" s="436"/>
      <c r="AL138" s="436"/>
      <c r="AM138" s="570"/>
      <c r="AN138" s="436"/>
      <c r="AO138" s="436"/>
      <c r="AP138" s="436"/>
      <c r="AQ138" s="570"/>
      <c r="AR138" s="436"/>
      <c r="AS138" s="436"/>
      <c r="AT138" s="436"/>
      <c r="AU138" s="570"/>
      <c r="AV138" s="436"/>
      <c r="AW138" s="436"/>
      <c r="AX138" s="436"/>
      <c r="AY138" s="570"/>
      <c r="AZ138" s="436"/>
      <c r="BA138" s="436"/>
      <c r="BB138" s="1097"/>
      <c r="BC138" s="570"/>
      <c r="BD138" s="436"/>
      <c r="BE138" s="436"/>
      <c r="BF138" s="1097"/>
      <c r="BG138" s="570"/>
      <c r="BH138" s="436"/>
      <c r="BI138" s="436"/>
      <c r="BJ138" s="1097"/>
      <c r="BK138" s="570"/>
      <c r="BL138" s="2030"/>
      <c r="BM138" s="20"/>
      <c r="BN138" s="13"/>
      <c r="BO138" s="13"/>
      <c r="BP138" s="13"/>
      <c r="BQ138" s="13"/>
      <c r="BR138" s="13"/>
      <c r="BS138" s="13">
        <f>+AE138</f>
        <v>0</v>
      </c>
      <c r="BT138" s="13">
        <f>+AI138</f>
        <v>0</v>
      </c>
      <c r="BU138" s="13">
        <f>+AM138</f>
        <v>0</v>
      </c>
      <c r="BV138" s="13">
        <f>+AQ138</f>
        <v>0</v>
      </c>
      <c r="BW138" s="13">
        <f t="shared" si="492"/>
        <v>0</v>
      </c>
      <c r="BX138" s="13">
        <f t="shared" si="493"/>
        <v>0</v>
      </c>
      <c r="BY138" s="13">
        <f t="shared" si="496"/>
        <v>0</v>
      </c>
      <c r="BZ138" s="13">
        <f t="shared" si="494"/>
        <v>0</v>
      </c>
      <c r="CA138" s="13">
        <f t="shared" si="497"/>
        <v>0</v>
      </c>
      <c r="CB138" s="2129">
        <f t="shared" si="500"/>
        <v>0</v>
      </c>
      <c r="CC138" s="2140"/>
      <c r="CD138" s="7"/>
    </row>
    <row r="139" spans="1:82" ht="14.25" customHeight="1">
      <c r="A139" s="7"/>
      <c r="B139" s="849" t="s">
        <v>368</v>
      </c>
      <c r="C139" s="13"/>
      <c r="D139" s="13"/>
      <c r="E139" s="13"/>
      <c r="F139" s="13"/>
      <c r="G139" s="244"/>
      <c r="H139" s="13"/>
      <c r="I139" s="13"/>
      <c r="J139" s="13"/>
      <c r="K139" s="244"/>
      <c r="L139" s="13"/>
      <c r="M139" s="13"/>
      <c r="N139" s="13"/>
      <c r="O139" s="244"/>
      <c r="P139" s="13"/>
      <c r="Q139" s="13"/>
      <c r="R139" s="13"/>
      <c r="S139" s="244"/>
      <c r="T139" s="13"/>
      <c r="U139" s="13"/>
      <c r="V139" s="13"/>
      <c r="W139" s="244"/>
      <c r="X139" s="13"/>
      <c r="Y139" s="13"/>
      <c r="Z139" s="13"/>
      <c r="AA139" s="244"/>
      <c r="AB139" s="886">
        <v>0.08</v>
      </c>
      <c r="AC139" s="454">
        <f>+AB139</f>
        <v>0.08</v>
      </c>
      <c r="AD139" s="454">
        <f t="shared" ref="AD139:AL139" si="501">+AC139</f>
        <v>0.08</v>
      </c>
      <c r="AE139" s="455">
        <f t="shared" si="501"/>
        <v>0.08</v>
      </c>
      <c r="AF139" s="454">
        <f t="shared" si="501"/>
        <v>0.08</v>
      </c>
      <c r="AG139" s="454">
        <f t="shared" si="501"/>
        <v>0.08</v>
      </c>
      <c r="AH139" s="454">
        <f t="shared" si="501"/>
        <v>0.08</v>
      </c>
      <c r="AI139" s="455">
        <f t="shared" si="501"/>
        <v>0.08</v>
      </c>
      <c r="AJ139" s="886">
        <v>5.5E-2</v>
      </c>
      <c r="AK139" s="454">
        <f t="shared" si="501"/>
        <v>5.5E-2</v>
      </c>
      <c r="AL139" s="454">
        <f t="shared" si="501"/>
        <v>5.5E-2</v>
      </c>
      <c r="AM139" s="455">
        <f>+AL139</f>
        <v>5.5E-2</v>
      </c>
      <c r="AN139" s="454">
        <v>5.5E-2</v>
      </c>
      <c r="AO139" s="454">
        <f t="shared" ref="AO139:AU139" si="502">+AN139</f>
        <v>5.5E-2</v>
      </c>
      <c r="AP139" s="454">
        <f t="shared" si="502"/>
        <v>5.5E-2</v>
      </c>
      <c r="AQ139" s="455">
        <f t="shared" si="502"/>
        <v>5.5E-2</v>
      </c>
      <c r="AR139" s="454">
        <f t="shared" si="502"/>
        <v>5.5E-2</v>
      </c>
      <c r="AS139" s="454">
        <f t="shared" si="502"/>
        <v>5.5E-2</v>
      </c>
      <c r="AT139" s="454">
        <f t="shared" si="502"/>
        <v>5.5E-2</v>
      </c>
      <c r="AU139" s="455">
        <f t="shared" si="502"/>
        <v>5.5E-2</v>
      </c>
      <c r="AV139" s="454">
        <f t="shared" ref="AV139" si="503">+AU139</f>
        <v>5.5E-2</v>
      </c>
      <c r="AW139" s="454">
        <f t="shared" ref="AW139:AY139" si="504">+AV139</f>
        <v>5.5E-2</v>
      </c>
      <c r="AX139" s="454">
        <f t="shared" si="504"/>
        <v>5.5E-2</v>
      </c>
      <c r="AY139" s="455">
        <f t="shared" si="504"/>
        <v>5.5E-2</v>
      </c>
      <c r="AZ139" s="454">
        <f t="shared" ref="AZ139" si="505">+AY139</f>
        <v>5.5E-2</v>
      </c>
      <c r="BA139" s="454">
        <f t="shared" ref="BA139" si="506">+AZ139</f>
        <v>5.5E-2</v>
      </c>
      <c r="BB139" s="1096">
        <f t="shared" ref="BB139" si="507">+BA139</f>
        <v>5.5E-2</v>
      </c>
      <c r="BC139" s="455">
        <f t="shared" ref="BC139" si="508">+BB139</f>
        <v>5.5E-2</v>
      </c>
      <c r="BD139" s="454">
        <f t="shared" ref="BD139" si="509">+BC139</f>
        <v>5.5E-2</v>
      </c>
      <c r="BE139" s="454">
        <f t="shared" ref="BE139" si="510">+BD139</f>
        <v>5.5E-2</v>
      </c>
      <c r="BF139" s="1096">
        <f t="shared" ref="BF139" si="511">+BE139</f>
        <v>5.5E-2</v>
      </c>
      <c r="BG139" s="455">
        <f t="shared" ref="BG139" si="512">+BF139</f>
        <v>5.5E-2</v>
      </c>
      <c r="BH139" s="454">
        <f t="shared" ref="BH139" si="513">+BG139</f>
        <v>5.5E-2</v>
      </c>
      <c r="BI139" s="454">
        <f t="shared" ref="BI139" si="514">+BH139</f>
        <v>5.5E-2</v>
      </c>
      <c r="BJ139" s="1096">
        <f t="shared" ref="BJ139" si="515">+BI139</f>
        <v>5.5E-2</v>
      </c>
      <c r="BK139" s="455">
        <f t="shared" ref="BK139" si="516">+BJ139</f>
        <v>5.5E-2</v>
      </c>
      <c r="BL139" s="2030"/>
      <c r="BM139" s="20"/>
      <c r="BN139" s="13"/>
      <c r="BO139" s="13"/>
      <c r="BP139" s="13"/>
      <c r="BQ139" s="13"/>
      <c r="BR139" s="13"/>
      <c r="BS139" s="13">
        <f>+AE139</f>
        <v>0.08</v>
      </c>
      <c r="BT139" s="13">
        <f>+AI139</f>
        <v>0.08</v>
      </c>
      <c r="BU139" s="13">
        <f>+AM139</f>
        <v>5.5E-2</v>
      </c>
      <c r="BV139" s="13">
        <f>+AQ139</f>
        <v>5.5E-2</v>
      </c>
      <c r="BW139" s="13">
        <f t="shared" si="492"/>
        <v>5.5E-2</v>
      </c>
      <c r="BX139" s="13">
        <f t="shared" si="493"/>
        <v>5.5E-2</v>
      </c>
      <c r="BY139" s="13">
        <f t="shared" si="496"/>
        <v>5.5E-2</v>
      </c>
      <c r="BZ139" s="13">
        <f t="shared" si="494"/>
        <v>5.5E-2</v>
      </c>
      <c r="CA139" s="13">
        <f t="shared" si="497"/>
        <v>5.5E-2</v>
      </c>
      <c r="CB139" s="2129">
        <f t="shared" si="500"/>
        <v>5.5E-2</v>
      </c>
      <c r="CC139" s="2140"/>
      <c r="CD139" s="7"/>
    </row>
    <row r="140" spans="1:82" ht="14.25" customHeight="1">
      <c r="A140" s="7"/>
      <c r="B140" s="849"/>
      <c r="C140" s="13"/>
      <c r="D140" s="13"/>
      <c r="E140" s="13"/>
      <c r="F140" s="13"/>
      <c r="G140" s="244"/>
      <c r="H140" s="13"/>
      <c r="I140" s="13"/>
      <c r="J140" s="13"/>
      <c r="K140" s="244"/>
      <c r="L140" s="13"/>
      <c r="M140" s="13"/>
      <c r="N140" s="13"/>
      <c r="O140" s="244"/>
      <c r="P140" s="13"/>
      <c r="Q140" s="13"/>
      <c r="R140" s="13"/>
      <c r="S140" s="244"/>
      <c r="T140" s="13"/>
      <c r="U140" s="13"/>
      <c r="V140" s="13"/>
      <c r="W140" s="244"/>
      <c r="X140" s="13"/>
      <c r="Y140" s="13"/>
      <c r="Z140" s="13"/>
      <c r="AA140" s="244"/>
      <c r="AB140" s="13"/>
      <c r="AC140" s="13"/>
      <c r="AD140" s="13"/>
      <c r="AE140" s="244"/>
      <c r="AF140" s="13"/>
      <c r="AG140" s="13"/>
      <c r="AH140" s="13"/>
      <c r="AI140" s="244"/>
      <c r="AJ140" s="13"/>
      <c r="AK140" s="13"/>
      <c r="AL140" s="13"/>
      <c r="AM140" s="244"/>
      <c r="AN140" s="13"/>
      <c r="AO140" s="13"/>
      <c r="AP140" s="13"/>
      <c r="AQ140" s="244"/>
      <c r="AR140" s="13"/>
      <c r="AS140" s="13"/>
      <c r="AT140" s="13"/>
      <c r="AU140" s="244"/>
      <c r="AV140" s="13"/>
      <c r="AW140" s="13"/>
      <c r="AX140" s="13"/>
      <c r="AY140" s="244"/>
      <c r="AZ140" s="13"/>
      <c r="BA140" s="13"/>
      <c r="BB140" s="69"/>
      <c r="BC140" s="244"/>
      <c r="BD140" s="13"/>
      <c r="BE140" s="13"/>
      <c r="BF140" s="69"/>
      <c r="BG140" s="244"/>
      <c r="BH140" s="13"/>
      <c r="BI140" s="13"/>
      <c r="BJ140" s="69"/>
      <c r="BK140" s="244"/>
      <c r="BL140" s="2030"/>
      <c r="BM140" s="20"/>
      <c r="BN140" s="13"/>
      <c r="BO140" s="13"/>
      <c r="BP140" s="13"/>
      <c r="BQ140" s="13"/>
      <c r="BR140" s="13"/>
      <c r="BS140" s="13"/>
      <c r="BT140" s="13"/>
      <c r="BU140" s="13"/>
      <c r="BV140" s="13"/>
      <c r="BW140" s="13"/>
      <c r="BX140" s="13"/>
      <c r="BY140" s="13"/>
      <c r="BZ140" s="13"/>
      <c r="CA140" s="13"/>
      <c r="CB140" s="1678"/>
      <c r="CC140" s="2140"/>
      <c r="CD140" s="7"/>
    </row>
    <row r="141" spans="1:82" ht="14.25" customHeight="1">
      <c r="A141" s="7"/>
      <c r="B141" s="851" t="s">
        <v>366</v>
      </c>
      <c r="C141" s="13"/>
      <c r="D141" s="13"/>
      <c r="E141" s="13"/>
      <c r="F141" s="13"/>
      <c r="G141" s="244"/>
      <c r="H141" s="13"/>
      <c r="I141" s="13"/>
      <c r="J141" s="13"/>
      <c r="K141" s="244"/>
      <c r="L141" s="13"/>
      <c r="M141" s="13"/>
      <c r="N141" s="13"/>
      <c r="O141" s="244"/>
      <c r="P141" s="13"/>
      <c r="Q141" s="13"/>
      <c r="R141" s="13"/>
      <c r="S141" s="244"/>
      <c r="T141" s="13"/>
      <c r="U141" s="13"/>
      <c r="V141" s="13"/>
      <c r="W141" s="244"/>
      <c r="X141" s="13"/>
      <c r="Y141" s="13"/>
      <c r="Z141" s="13"/>
      <c r="AA141" s="244"/>
      <c r="AB141" s="13"/>
      <c r="AC141" s="13"/>
      <c r="AD141" s="13"/>
      <c r="AE141" s="244"/>
      <c r="AF141" s="13"/>
      <c r="AG141" s="13"/>
      <c r="AH141" s="13"/>
      <c r="AI141" s="244"/>
      <c r="AJ141" s="13"/>
      <c r="AK141" s="13"/>
      <c r="AL141" s="13"/>
      <c r="AM141" s="244"/>
      <c r="AN141" s="13"/>
      <c r="AO141" s="13"/>
      <c r="AP141" s="13"/>
      <c r="AQ141" s="244"/>
      <c r="AR141" s="13"/>
      <c r="AS141" s="13"/>
      <c r="AT141" s="13"/>
      <c r="AU141" s="244"/>
      <c r="AV141" s="13"/>
      <c r="AW141" s="13"/>
      <c r="AX141" s="13"/>
      <c r="AY141" s="244"/>
      <c r="AZ141" s="13"/>
      <c r="BA141" s="13"/>
      <c r="BB141" s="69"/>
      <c r="BC141" s="244"/>
      <c r="BD141" s="13"/>
      <c r="BE141" s="13"/>
      <c r="BF141" s="69"/>
      <c r="BG141" s="244"/>
      <c r="BH141" s="13"/>
      <c r="BI141" s="13"/>
      <c r="BJ141" s="69"/>
      <c r="BK141" s="244"/>
      <c r="BL141" s="2030"/>
      <c r="BM141" s="20"/>
      <c r="BN141" s="13"/>
      <c r="BO141" s="13"/>
      <c r="BP141" s="13"/>
      <c r="BQ141" s="13"/>
      <c r="BR141" s="13"/>
      <c r="BS141" s="13"/>
      <c r="BT141" s="13"/>
      <c r="BU141" s="13"/>
      <c r="BV141" s="13"/>
      <c r="BW141" s="13"/>
      <c r="BX141" s="13"/>
      <c r="BY141" s="13"/>
      <c r="BZ141" s="13"/>
      <c r="CA141" s="13"/>
      <c r="CB141" s="1678"/>
      <c r="CC141" s="2140"/>
      <c r="CD141" s="7"/>
    </row>
    <row r="142" spans="1:82" ht="14.25" customHeight="1">
      <c r="A142" s="7"/>
      <c r="B142" s="849" t="s">
        <v>359</v>
      </c>
      <c r="C142" s="13"/>
      <c r="D142" s="13"/>
      <c r="E142" s="13"/>
      <c r="F142" s="13"/>
      <c r="G142" s="244"/>
      <c r="H142" s="13"/>
      <c r="I142" s="13"/>
      <c r="J142" s="13"/>
      <c r="K142" s="244"/>
      <c r="L142" s="13"/>
      <c r="M142" s="13"/>
      <c r="N142" s="13"/>
      <c r="O142" s="244"/>
      <c r="P142" s="13"/>
      <c r="Q142" s="13"/>
      <c r="R142" s="13"/>
      <c r="S142" s="244"/>
      <c r="T142" s="13"/>
      <c r="U142" s="13"/>
      <c r="V142" s="13"/>
      <c r="W142" s="244"/>
      <c r="X142" s="13"/>
      <c r="Y142" s="13"/>
      <c r="Z142" s="13"/>
      <c r="AA142" s="244"/>
      <c r="AB142" s="241">
        <f t="shared" ref="AB142:AG145" si="517">+AB106*AB128/4</f>
        <v>9.7000000000000011</v>
      </c>
      <c r="AC142" s="241">
        <f t="shared" si="517"/>
        <v>9.7000000000000011</v>
      </c>
      <c r="AD142" s="241">
        <f t="shared" si="517"/>
        <v>9.7000000000000011</v>
      </c>
      <c r="AE142" s="242">
        <f t="shared" si="517"/>
        <v>9.7000000000000011</v>
      </c>
      <c r="AF142" s="241">
        <f t="shared" si="517"/>
        <v>9.7000000000000011</v>
      </c>
      <c r="AG142" s="241">
        <f t="shared" si="517"/>
        <v>9.7000000000000011</v>
      </c>
      <c r="AH142" s="259">
        <f>+AH106*AH128/8</f>
        <v>0</v>
      </c>
      <c r="AI142" s="242">
        <f t="shared" ref="AI142:AU142" si="518">+AI106*AI128/4</f>
        <v>0</v>
      </c>
      <c r="AJ142" s="241">
        <f t="shared" si="518"/>
        <v>0</v>
      </c>
      <c r="AK142" s="241">
        <f t="shared" si="518"/>
        <v>0</v>
      </c>
      <c r="AL142" s="241">
        <f t="shared" si="518"/>
        <v>0</v>
      </c>
      <c r="AM142" s="242">
        <f t="shared" si="518"/>
        <v>0</v>
      </c>
      <c r="AN142" s="241">
        <f t="shared" si="518"/>
        <v>0</v>
      </c>
      <c r="AO142" s="241">
        <f t="shared" si="518"/>
        <v>0</v>
      </c>
      <c r="AP142" s="241">
        <f t="shared" si="518"/>
        <v>0</v>
      </c>
      <c r="AQ142" s="242">
        <f t="shared" si="518"/>
        <v>0</v>
      </c>
      <c r="AR142" s="241">
        <f t="shared" si="518"/>
        <v>0</v>
      </c>
      <c r="AS142" s="241">
        <f t="shared" si="518"/>
        <v>0</v>
      </c>
      <c r="AT142" s="241">
        <f t="shared" si="518"/>
        <v>0</v>
      </c>
      <c r="AU142" s="242">
        <f t="shared" si="518"/>
        <v>0</v>
      </c>
      <c r="AV142" s="241">
        <f t="shared" ref="AV142:AY142" si="519">+AV106*AV128/4</f>
        <v>0</v>
      </c>
      <c r="AW142" s="241">
        <f t="shared" si="519"/>
        <v>0</v>
      </c>
      <c r="AX142" s="241">
        <f t="shared" si="519"/>
        <v>0</v>
      </c>
      <c r="AY142" s="242">
        <f t="shared" si="519"/>
        <v>0</v>
      </c>
      <c r="AZ142" s="241">
        <f t="shared" ref="AZ142:BC142" si="520">+AZ106*AZ128/4</f>
        <v>0</v>
      </c>
      <c r="BA142" s="241">
        <f t="shared" si="520"/>
        <v>0</v>
      </c>
      <c r="BB142" s="259">
        <f t="shared" si="520"/>
        <v>0</v>
      </c>
      <c r="BC142" s="242">
        <f t="shared" si="520"/>
        <v>0</v>
      </c>
      <c r="BD142" s="241">
        <f t="shared" ref="BD142:BG142" si="521">+BD106*BD128/4</f>
        <v>0</v>
      </c>
      <c r="BE142" s="241">
        <f t="shared" si="521"/>
        <v>0</v>
      </c>
      <c r="BF142" s="259">
        <f t="shared" si="521"/>
        <v>0</v>
      </c>
      <c r="BG142" s="242">
        <f t="shared" si="521"/>
        <v>0</v>
      </c>
      <c r="BH142" s="241">
        <f t="shared" ref="BH142:BK142" si="522">+BH106*BH128/4</f>
        <v>0</v>
      </c>
      <c r="BI142" s="241">
        <f t="shared" si="522"/>
        <v>0</v>
      </c>
      <c r="BJ142" s="259">
        <f t="shared" si="522"/>
        <v>0</v>
      </c>
      <c r="BK142" s="242">
        <f t="shared" si="522"/>
        <v>0</v>
      </c>
      <c r="BL142" s="2030"/>
      <c r="BM142" s="20"/>
      <c r="BN142" s="13"/>
      <c r="BO142" s="13"/>
      <c r="BP142" s="13"/>
      <c r="BQ142" s="13"/>
      <c r="BR142" s="13"/>
      <c r="BS142" s="13">
        <f>+SUM(AB142:AE142)</f>
        <v>38.800000000000004</v>
      </c>
      <c r="BT142" s="13">
        <f>+SUM(AF142:AI142)</f>
        <v>19.400000000000002</v>
      </c>
      <c r="BU142" s="13">
        <f t="shared" ref="BU142:BU151" si="523">+SUM(AJ142:AM142)</f>
        <v>0</v>
      </c>
      <c r="BV142" s="13">
        <f t="shared" ref="BV142:BV154" si="524">+SUM(AN142:AQ142)</f>
        <v>0</v>
      </c>
      <c r="BW142" s="13">
        <f t="shared" ref="BW142:BW154" si="525">+SUM(AR142:AU142)</f>
        <v>0</v>
      </c>
      <c r="BX142" s="13">
        <f t="shared" ref="BX142:BX154" si="526">SUM(AV142:AY142)</f>
        <v>0</v>
      </c>
      <c r="BY142" s="13">
        <f>SUM(AZ142:BC142)</f>
        <v>0</v>
      </c>
      <c r="BZ142" s="13">
        <f>SUM(BD142:BG142)</f>
        <v>0</v>
      </c>
      <c r="CA142" s="13">
        <f>SUM(BH142:BK142)</f>
        <v>0</v>
      </c>
      <c r="CB142" s="1678">
        <f>+CB106*CB128</f>
        <v>0</v>
      </c>
      <c r="CC142" s="2140"/>
      <c r="CD142" s="7"/>
    </row>
    <row r="143" spans="1:82" ht="14.25" customHeight="1">
      <c r="A143" s="7"/>
      <c r="B143" s="849" t="s">
        <v>360</v>
      </c>
      <c r="C143" s="13"/>
      <c r="D143" s="13"/>
      <c r="E143" s="13"/>
      <c r="F143" s="13"/>
      <c r="G143" s="244"/>
      <c r="H143" s="13"/>
      <c r="I143" s="13"/>
      <c r="J143" s="13"/>
      <c r="K143" s="244"/>
      <c r="L143" s="13"/>
      <c r="M143" s="13"/>
      <c r="N143" s="13"/>
      <c r="O143" s="244"/>
      <c r="P143" s="13"/>
      <c r="Q143" s="13"/>
      <c r="R143" s="13"/>
      <c r="S143" s="244"/>
      <c r="T143" s="13"/>
      <c r="U143" s="13"/>
      <c r="V143" s="13"/>
      <c r="W143" s="244"/>
      <c r="X143" s="13"/>
      <c r="Y143" s="13"/>
      <c r="Z143" s="13"/>
      <c r="AA143" s="244"/>
      <c r="AB143" s="241">
        <f t="shared" si="517"/>
        <v>15.6</v>
      </c>
      <c r="AC143" s="241">
        <f t="shared" si="517"/>
        <v>15.6</v>
      </c>
      <c r="AD143" s="241">
        <f t="shared" si="517"/>
        <v>12.6</v>
      </c>
      <c r="AE143" s="242">
        <f t="shared" si="517"/>
        <v>11.6</v>
      </c>
      <c r="AF143" s="241">
        <f t="shared" si="517"/>
        <v>11.6</v>
      </c>
      <c r="AG143" s="241">
        <f t="shared" si="517"/>
        <v>11.6</v>
      </c>
      <c r="AH143" s="241">
        <f>+AH107*AH129/4</f>
        <v>11.6</v>
      </c>
      <c r="AI143" s="242">
        <f t="shared" ref="AI143:AU143" si="527">+AI107*AI129/4</f>
        <v>11.6</v>
      </c>
      <c r="AJ143" s="241">
        <f t="shared" si="527"/>
        <v>11.6</v>
      </c>
      <c r="AK143" s="241">
        <f t="shared" si="527"/>
        <v>11.6</v>
      </c>
      <c r="AL143" s="241">
        <f t="shared" si="527"/>
        <v>11.6</v>
      </c>
      <c r="AM143" s="242">
        <f t="shared" si="527"/>
        <v>11.6</v>
      </c>
      <c r="AN143" s="241">
        <f t="shared" si="527"/>
        <v>11.6</v>
      </c>
      <c r="AO143" s="241">
        <f t="shared" si="527"/>
        <v>11.6</v>
      </c>
      <c r="AP143" s="241">
        <f t="shared" si="527"/>
        <v>11.6</v>
      </c>
      <c r="AQ143" s="242">
        <f t="shared" si="527"/>
        <v>11.6</v>
      </c>
      <c r="AR143" s="241">
        <f t="shared" si="527"/>
        <v>0.84</v>
      </c>
      <c r="AS143" s="241">
        <f t="shared" si="527"/>
        <v>0</v>
      </c>
      <c r="AT143" s="241">
        <f t="shared" si="527"/>
        <v>0</v>
      </c>
      <c r="AU143" s="242">
        <f t="shared" si="527"/>
        <v>0</v>
      </c>
      <c r="AV143" s="241">
        <f t="shared" ref="AV143:AY143" si="528">+AV107*AV129/4</f>
        <v>0</v>
      </c>
      <c r="AW143" s="241">
        <f t="shared" si="528"/>
        <v>0</v>
      </c>
      <c r="AX143" s="241">
        <f t="shared" si="528"/>
        <v>0</v>
      </c>
      <c r="AY143" s="242">
        <f t="shared" si="528"/>
        <v>0</v>
      </c>
      <c r="AZ143" s="241">
        <f t="shared" ref="AZ143:BC143" si="529">+AZ107*AZ129/4</f>
        <v>0</v>
      </c>
      <c r="BA143" s="241">
        <f t="shared" si="529"/>
        <v>0</v>
      </c>
      <c r="BB143" s="259">
        <f t="shared" si="529"/>
        <v>0</v>
      </c>
      <c r="BC143" s="242">
        <f t="shared" si="529"/>
        <v>0</v>
      </c>
      <c r="BD143" s="241">
        <f t="shared" ref="BD143:BG143" si="530">+BD107*BD129/4</f>
        <v>0</v>
      </c>
      <c r="BE143" s="241">
        <f t="shared" si="530"/>
        <v>0</v>
      </c>
      <c r="BF143" s="259">
        <f t="shared" si="530"/>
        <v>0</v>
      </c>
      <c r="BG143" s="242">
        <f t="shared" si="530"/>
        <v>0</v>
      </c>
      <c r="BH143" s="241">
        <f t="shared" ref="BH143:BK143" si="531">+BH107*BH129/4</f>
        <v>0</v>
      </c>
      <c r="BI143" s="241">
        <f t="shared" si="531"/>
        <v>0</v>
      </c>
      <c r="BJ143" s="259">
        <f t="shared" si="531"/>
        <v>0</v>
      </c>
      <c r="BK143" s="242">
        <f t="shared" si="531"/>
        <v>0</v>
      </c>
      <c r="BL143" s="2030"/>
      <c r="BM143" s="20"/>
      <c r="BN143" s="13"/>
      <c r="BO143" s="13"/>
      <c r="BP143" s="13"/>
      <c r="BQ143" s="13"/>
      <c r="BR143" s="13"/>
      <c r="BS143" s="13">
        <f>+SUM(AB143:AE143)</f>
        <v>55.4</v>
      </c>
      <c r="BT143" s="13">
        <f>+SUM(AF143:AI143)</f>
        <v>46.4</v>
      </c>
      <c r="BU143" s="13">
        <f t="shared" si="523"/>
        <v>46.4</v>
      </c>
      <c r="BV143" s="13">
        <f t="shared" si="524"/>
        <v>46.4</v>
      </c>
      <c r="BW143" s="13">
        <f t="shared" si="525"/>
        <v>0.84</v>
      </c>
      <c r="BX143" s="13">
        <f t="shared" si="526"/>
        <v>0</v>
      </c>
      <c r="BY143" s="13">
        <f t="shared" ref="BY143:BY154" si="532">SUM(AZ143:BC143)</f>
        <v>0</v>
      </c>
      <c r="BZ143" s="13">
        <f t="shared" ref="BZ143:BZ154" si="533">SUM(BD143:BG143)</f>
        <v>0</v>
      </c>
      <c r="CA143" s="13">
        <f t="shared" ref="CA143:CA154" si="534">SUM(BH143:BK143)</f>
        <v>0</v>
      </c>
      <c r="CB143" s="1678">
        <f t="shared" ref="CB143:CB154" si="535">+CB107*CB129</f>
        <v>0</v>
      </c>
      <c r="CC143" s="2140"/>
      <c r="CD143" s="7"/>
    </row>
    <row r="144" spans="1:82" ht="14.25" customHeight="1">
      <c r="A144" s="7"/>
      <c r="B144" s="849" t="s">
        <v>361</v>
      </c>
      <c r="C144" s="13"/>
      <c r="D144" s="13"/>
      <c r="E144" s="13"/>
      <c r="F144" s="13"/>
      <c r="G144" s="244"/>
      <c r="H144" s="13"/>
      <c r="I144" s="13"/>
      <c r="J144" s="13"/>
      <c r="K144" s="244"/>
      <c r="L144" s="13"/>
      <c r="M144" s="13"/>
      <c r="N144" s="13"/>
      <c r="O144" s="244"/>
      <c r="P144" s="13"/>
      <c r="Q144" s="13"/>
      <c r="R144" s="13"/>
      <c r="S144" s="244"/>
      <c r="T144" s="13"/>
      <c r="U144" s="13"/>
      <c r="V144" s="13"/>
      <c r="W144" s="244"/>
      <c r="X144" s="13"/>
      <c r="Y144" s="13"/>
      <c r="Z144" s="13"/>
      <c r="AA144" s="244"/>
      <c r="AB144" s="241">
        <f t="shared" si="517"/>
        <v>10.15625</v>
      </c>
      <c r="AC144" s="241">
        <f t="shared" si="517"/>
        <v>10.15625</v>
      </c>
      <c r="AD144" s="241">
        <f t="shared" si="517"/>
        <v>10.15625</v>
      </c>
      <c r="AE144" s="242">
        <f t="shared" si="517"/>
        <v>10.15625</v>
      </c>
      <c r="AF144" s="241">
        <f t="shared" si="517"/>
        <v>10.15625</v>
      </c>
      <c r="AG144" s="241">
        <f t="shared" si="517"/>
        <v>10.15625</v>
      </c>
      <c r="AH144" s="241">
        <f>+AH108*AH130/4</f>
        <v>10.15625</v>
      </c>
      <c r="AI144" s="242">
        <f t="shared" ref="AI144:AU144" si="536">+AI108*AI130/4</f>
        <v>10.15625</v>
      </c>
      <c r="AJ144" s="241">
        <f t="shared" si="536"/>
        <v>10.15625</v>
      </c>
      <c r="AK144" s="241">
        <f t="shared" si="536"/>
        <v>10.15625</v>
      </c>
      <c r="AL144" s="241">
        <f t="shared" si="536"/>
        <v>10.15625</v>
      </c>
      <c r="AM144" s="242">
        <f t="shared" si="536"/>
        <v>10.15625</v>
      </c>
      <c r="AN144" s="241">
        <f t="shared" si="536"/>
        <v>10.15625</v>
      </c>
      <c r="AO144" s="241">
        <f t="shared" si="536"/>
        <v>10.15625</v>
      </c>
      <c r="AP144" s="241">
        <f t="shared" si="536"/>
        <v>10.15625</v>
      </c>
      <c r="AQ144" s="242">
        <f t="shared" si="536"/>
        <v>10.15625</v>
      </c>
      <c r="AR144" s="241">
        <f t="shared" si="536"/>
        <v>0</v>
      </c>
      <c r="AS144" s="241">
        <f t="shared" si="536"/>
        <v>0</v>
      </c>
      <c r="AT144" s="241">
        <f t="shared" si="536"/>
        <v>0</v>
      </c>
      <c r="AU144" s="242">
        <f t="shared" si="536"/>
        <v>0</v>
      </c>
      <c r="AV144" s="241">
        <f t="shared" ref="AV144:AY144" si="537">+AV108*AV130/4</f>
        <v>0</v>
      </c>
      <c r="AW144" s="241">
        <f t="shared" si="537"/>
        <v>0</v>
      </c>
      <c r="AX144" s="241">
        <f t="shared" si="537"/>
        <v>0</v>
      </c>
      <c r="AY144" s="242">
        <f t="shared" si="537"/>
        <v>0</v>
      </c>
      <c r="AZ144" s="241">
        <f t="shared" ref="AZ144:BC144" si="538">+AZ108*AZ130/4</f>
        <v>0</v>
      </c>
      <c r="BA144" s="241">
        <f t="shared" si="538"/>
        <v>0</v>
      </c>
      <c r="BB144" s="259">
        <f t="shared" si="538"/>
        <v>0</v>
      </c>
      <c r="BC144" s="242">
        <f t="shared" si="538"/>
        <v>0</v>
      </c>
      <c r="BD144" s="241">
        <f t="shared" ref="BD144:BG144" si="539">+BD108*BD130/4</f>
        <v>0</v>
      </c>
      <c r="BE144" s="241">
        <f t="shared" si="539"/>
        <v>0</v>
      </c>
      <c r="BF144" s="259">
        <f t="shared" si="539"/>
        <v>0</v>
      </c>
      <c r="BG144" s="242">
        <f t="shared" si="539"/>
        <v>0</v>
      </c>
      <c r="BH144" s="241">
        <f t="shared" ref="BH144:BK144" si="540">+BH108*BH130/4</f>
        <v>0</v>
      </c>
      <c r="BI144" s="241">
        <f t="shared" si="540"/>
        <v>0</v>
      </c>
      <c r="BJ144" s="259">
        <f t="shared" si="540"/>
        <v>0</v>
      </c>
      <c r="BK144" s="242">
        <f t="shared" si="540"/>
        <v>0</v>
      </c>
      <c r="BL144" s="2030"/>
      <c r="BM144" s="20"/>
      <c r="BN144" s="13"/>
      <c r="BO144" s="13"/>
      <c r="BP144" s="13"/>
      <c r="BQ144" s="13"/>
      <c r="BR144" s="13"/>
      <c r="BS144" s="13">
        <f>+SUM(AB144:AE144)</f>
        <v>40.625</v>
      </c>
      <c r="BT144" s="13">
        <f>+SUM(AF144:AI144)</f>
        <v>40.625</v>
      </c>
      <c r="BU144" s="13">
        <f t="shared" si="523"/>
        <v>40.625</v>
      </c>
      <c r="BV144" s="13">
        <f t="shared" si="524"/>
        <v>40.625</v>
      </c>
      <c r="BW144" s="13">
        <f t="shared" si="525"/>
        <v>0</v>
      </c>
      <c r="BX144" s="13">
        <f t="shared" si="526"/>
        <v>0</v>
      </c>
      <c r="BY144" s="13">
        <f t="shared" si="532"/>
        <v>0</v>
      </c>
      <c r="BZ144" s="13">
        <f t="shared" si="533"/>
        <v>0</v>
      </c>
      <c r="CA144" s="13">
        <f t="shared" si="534"/>
        <v>0</v>
      </c>
      <c r="CB144" s="1678">
        <f t="shared" si="535"/>
        <v>0</v>
      </c>
      <c r="CC144" s="2140"/>
      <c r="CD144" s="7"/>
    </row>
    <row r="145" spans="1:88" ht="14.25" customHeight="1">
      <c r="A145" s="7"/>
      <c r="B145" s="849" t="s">
        <v>362</v>
      </c>
      <c r="C145" s="13"/>
      <c r="D145" s="13"/>
      <c r="E145" s="13"/>
      <c r="F145" s="13"/>
      <c r="G145" s="244"/>
      <c r="H145" s="13"/>
      <c r="I145" s="13"/>
      <c r="J145" s="13"/>
      <c r="K145" s="244"/>
      <c r="L145" s="13"/>
      <c r="M145" s="13"/>
      <c r="N145" s="13"/>
      <c r="O145" s="244"/>
      <c r="P145" s="13"/>
      <c r="Q145" s="13"/>
      <c r="R145" s="13"/>
      <c r="S145" s="244"/>
      <c r="T145" s="13"/>
      <c r="U145" s="13"/>
      <c r="V145" s="13"/>
      <c r="W145" s="244"/>
      <c r="X145" s="13"/>
      <c r="Y145" s="13"/>
      <c r="Z145" s="13"/>
      <c r="AA145" s="244"/>
      <c r="AB145" s="241">
        <f t="shared" si="517"/>
        <v>9.6875</v>
      </c>
      <c r="AC145" s="241">
        <f t="shared" si="517"/>
        <v>9.6875</v>
      </c>
      <c r="AD145" s="241">
        <f t="shared" si="517"/>
        <v>9.6875</v>
      </c>
      <c r="AE145" s="242">
        <f t="shared" si="517"/>
        <v>9.6875</v>
      </c>
      <c r="AF145" s="241">
        <f t="shared" si="517"/>
        <v>9.6875</v>
      </c>
      <c r="AG145" s="241">
        <f t="shared" si="517"/>
        <v>9.6875</v>
      </c>
      <c r="AH145" s="241">
        <f>+AH109*AH131/4</f>
        <v>9.6875</v>
      </c>
      <c r="AI145" s="242">
        <f t="shared" ref="AI145:AU145" si="541">+AI109*AI131/4</f>
        <v>9.6875</v>
      </c>
      <c r="AJ145" s="241">
        <f t="shared" si="541"/>
        <v>9.6875</v>
      </c>
      <c r="AK145" s="241">
        <f t="shared" si="541"/>
        <v>9.6875</v>
      </c>
      <c r="AL145" s="241">
        <f t="shared" si="541"/>
        <v>9.6875</v>
      </c>
      <c r="AM145" s="242">
        <f t="shared" si="541"/>
        <v>9.6875</v>
      </c>
      <c r="AN145" s="241">
        <f t="shared" si="541"/>
        <v>9.6875</v>
      </c>
      <c r="AO145" s="241">
        <f t="shared" si="541"/>
        <v>9.6875</v>
      </c>
      <c r="AP145" s="241">
        <f t="shared" si="541"/>
        <v>9.6875</v>
      </c>
      <c r="AQ145" s="242">
        <f t="shared" si="541"/>
        <v>9.6875</v>
      </c>
      <c r="AR145" s="241">
        <f t="shared" si="541"/>
        <v>0</v>
      </c>
      <c r="AS145" s="241">
        <f t="shared" si="541"/>
        <v>0</v>
      </c>
      <c r="AT145" s="241">
        <f t="shared" si="541"/>
        <v>0</v>
      </c>
      <c r="AU145" s="242">
        <f t="shared" si="541"/>
        <v>0</v>
      </c>
      <c r="AV145" s="241">
        <f t="shared" ref="AV145:AY145" si="542">+AV109*AV131/4</f>
        <v>0</v>
      </c>
      <c r="AW145" s="241">
        <f t="shared" si="542"/>
        <v>0</v>
      </c>
      <c r="AX145" s="241">
        <f t="shared" si="542"/>
        <v>0</v>
      </c>
      <c r="AY145" s="242">
        <f t="shared" si="542"/>
        <v>0</v>
      </c>
      <c r="AZ145" s="241">
        <f t="shared" ref="AZ145:BC145" si="543">+AZ109*AZ131/4</f>
        <v>0</v>
      </c>
      <c r="BA145" s="241">
        <f t="shared" si="543"/>
        <v>0</v>
      </c>
      <c r="BB145" s="259">
        <f t="shared" si="543"/>
        <v>0</v>
      </c>
      <c r="BC145" s="242">
        <f t="shared" si="543"/>
        <v>0</v>
      </c>
      <c r="BD145" s="241">
        <f t="shared" ref="BD145:BG145" si="544">+BD109*BD131/4</f>
        <v>0</v>
      </c>
      <c r="BE145" s="241">
        <f t="shared" si="544"/>
        <v>0</v>
      </c>
      <c r="BF145" s="259">
        <f t="shared" si="544"/>
        <v>0</v>
      </c>
      <c r="BG145" s="242">
        <f t="shared" si="544"/>
        <v>0</v>
      </c>
      <c r="BH145" s="241">
        <f t="shared" ref="BH145:BK145" si="545">+BH109*BH131/4</f>
        <v>0</v>
      </c>
      <c r="BI145" s="241">
        <f t="shared" si="545"/>
        <v>0</v>
      </c>
      <c r="BJ145" s="259">
        <f t="shared" si="545"/>
        <v>0</v>
      </c>
      <c r="BK145" s="242">
        <f t="shared" si="545"/>
        <v>0</v>
      </c>
      <c r="BL145" s="2030"/>
      <c r="BM145" s="20"/>
      <c r="BN145" s="13"/>
      <c r="BO145" s="13"/>
      <c r="BP145" s="13"/>
      <c r="BQ145" s="13"/>
      <c r="BR145" s="13"/>
      <c r="BS145" s="13">
        <f>+SUM(AB145:AE145)</f>
        <v>38.75</v>
      </c>
      <c r="BT145" s="13">
        <f>+SUM(AF145:AI145)</f>
        <v>38.75</v>
      </c>
      <c r="BU145" s="13">
        <f t="shared" si="523"/>
        <v>38.75</v>
      </c>
      <c r="BV145" s="13">
        <f t="shared" si="524"/>
        <v>38.75</v>
      </c>
      <c r="BW145" s="13">
        <f t="shared" si="525"/>
        <v>0</v>
      </c>
      <c r="BX145" s="13">
        <f t="shared" si="526"/>
        <v>0</v>
      </c>
      <c r="BY145" s="13">
        <f t="shared" si="532"/>
        <v>0</v>
      </c>
      <c r="BZ145" s="13">
        <f t="shared" si="533"/>
        <v>0</v>
      </c>
      <c r="CA145" s="13">
        <f t="shared" si="534"/>
        <v>0</v>
      </c>
      <c r="CB145" s="1678">
        <f t="shared" si="535"/>
        <v>0</v>
      </c>
      <c r="CC145" s="2140"/>
      <c r="CD145" s="7"/>
    </row>
    <row r="146" spans="1:88" s="360" customFormat="1" ht="14.25" customHeight="1">
      <c r="A146" s="10"/>
      <c r="B146" s="828" t="s">
        <v>443</v>
      </c>
      <c r="C146" s="69"/>
      <c r="D146" s="69"/>
      <c r="E146" s="69"/>
      <c r="F146" s="69"/>
      <c r="G146" s="22"/>
      <c r="H146" s="69"/>
      <c r="I146" s="69"/>
      <c r="J146" s="69"/>
      <c r="K146" s="22"/>
      <c r="L146" s="69"/>
      <c r="M146" s="69"/>
      <c r="N146" s="69"/>
      <c r="O146" s="22"/>
      <c r="P146" s="69"/>
      <c r="Q146" s="69"/>
      <c r="R146" s="69"/>
      <c r="S146" s="22"/>
      <c r="T146" s="69"/>
      <c r="U146" s="69"/>
      <c r="V146" s="69"/>
      <c r="W146" s="22"/>
      <c r="X146" s="69"/>
      <c r="Y146" s="69"/>
      <c r="Z146" s="69"/>
      <c r="AA146" s="22"/>
      <c r="AB146" s="259"/>
      <c r="AC146" s="259"/>
      <c r="AD146" s="259"/>
      <c r="AE146" s="240"/>
      <c r="AF146" s="259"/>
      <c r="AG146" s="259"/>
      <c r="AH146" s="259">
        <f>+AH110*AH132/4</f>
        <v>9.375</v>
      </c>
      <c r="AI146" s="240">
        <f t="shared" ref="AI146:AU146" si="546">+AI110*AI132/4</f>
        <v>9.375</v>
      </c>
      <c r="AJ146" s="259">
        <f t="shared" si="546"/>
        <v>9.375</v>
      </c>
      <c r="AK146" s="259">
        <f t="shared" si="546"/>
        <v>9.375</v>
      </c>
      <c r="AL146" s="259">
        <f t="shared" si="546"/>
        <v>9.375</v>
      </c>
      <c r="AM146" s="240">
        <f t="shared" si="546"/>
        <v>9.375</v>
      </c>
      <c r="AN146" s="259">
        <f t="shared" si="546"/>
        <v>9.375</v>
      </c>
      <c r="AO146" s="259">
        <f t="shared" si="546"/>
        <v>9.375</v>
      </c>
      <c r="AP146" s="259">
        <f t="shared" si="546"/>
        <v>9.375</v>
      </c>
      <c r="AQ146" s="240">
        <f t="shared" si="546"/>
        <v>9.375</v>
      </c>
      <c r="AR146" s="259">
        <f t="shared" si="546"/>
        <v>8.90625</v>
      </c>
      <c r="AS146" s="259">
        <f t="shared" si="546"/>
        <v>8.90625</v>
      </c>
      <c r="AT146" s="259">
        <f t="shared" si="546"/>
        <v>8.90625</v>
      </c>
      <c r="AU146" s="240">
        <f t="shared" si="546"/>
        <v>8.90625</v>
      </c>
      <c r="AV146" s="259">
        <f t="shared" ref="AV146:AY146" si="547">+AV110*AV132/4</f>
        <v>8.90625</v>
      </c>
      <c r="AW146" s="259">
        <f t="shared" si="547"/>
        <v>8.90625</v>
      </c>
      <c r="AX146" s="259">
        <f t="shared" si="547"/>
        <v>8.90625</v>
      </c>
      <c r="AY146" s="240">
        <f t="shared" si="547"/>
        <v>6.5625</v>
      </c>
      <c r="AZ146" s="259">
        <f t="shared" ref="AZ146:BC146" si="548">+AZ110*AZ132/4</f>
        <v>6.5625</v>
      </c>
      <c r="BA146" s="259">
        <f t="shared" si="548"/>
        <v>6.5625</v>
      </c>
      <c r="BB146" s="259">
        <f t="shared" si="548"/>
        <v>6.5625</v>
      </c>
      <c r="BC146" s="240">
        <f t="shared" si="548"/>
        <v>6.5625</v>
      </c>
      <c r="BD146" s="259">
        <f t="shared" ref="BD146:BG146" si="549">+BD110*BD132/4</f>
        <v>6.5625</v>
      </c>
      <c r="BE146" s="259">
        <f t="shared" si="549"/>
        <v>6.5625</v>
      </c>
      <c r="BF146" s="259">
        <f t="shared" si="549"/>
        <v>6.5625</v>
      </c>
      <c r="BG146" s="240">
        <f t="shared" si="549"/>
        <v>6.5625</v>
      </c>
      <c r="BH146" s="259">
        <f t="shared" ref="BH146:BK146" si="550">+BH110*BH132/4</f>
        <v>6.5625</v>
      </c>
      <c r="BI146" s="259">
        <f t="shared" si="550"/>
        <v>6.5625</v>
      </c>
      <c r="BJ146" s="259">
        <f t="shared" si="550"/>
        <v>6.5625</v>
      </c>
      <c r="BK146" s="240">
        <f t="shared" si="550"/>
        <v>6.5625</v>
      </c>
      <c r="BL146" s="2035"/>
      <c r="BM146" s="21"/>
      <c r="BN146" s="69"/>
      <c r="BO146" s="69"/>
      <c r="BP146" s="69"/>
      <c r="BQ146" s="69"/>
      <c r="BR146" s="69"/>
      <c r="BS146" s="69">
        <f>+SUM(AB146:AE146)</f>
        <v>0</v>
      </c>
      <c r="BT146" s="69">
        <f>+SUM(AF146:AI146)</f>
        <v>18.75</v>
      </c>
      <c r="BU146" s="69">
        <f t="shared" si="523"/>
        <v>37.5</v>
      </c>
      <c r="BV146" s="69">
        <f t="shared" si="524"/>
        <v>37.5</v>
      </c>
      <c r="BW146" s="69">
        <f t="shared" si="525"/>
        <v>35.625</v>
      </c>
      <c r="BX146" s="69">
        <f t="shared" si="526"/>
        <v>33.28125</v>
      </c>
      <c r="BY146" s="69">
        <f t="shared" si="532"/>
        <v>26.25</v>
      </c>
      <c r="BZ146" s="69">
        <f t="shared" si="533"/>
        <v>26.25</v>
      </c>
      <c r="CA146" s="69">
        <f t="shared" si="534"/>
        <v>26.25</v>
      </c>
      <c r="CB146" s="1678">
        <f t="shared" si="535"/>
        <v>26.25</v>
      </c>
      <c r="CC146" s="2144"/>
      <c r="CD146" s="10"/>
      <c r="CE146"/>
      <c r="CF146"/>
      <c r="CG146"/>
      <c r="CH146"/>
      <c r="CI146"/>
      <c r="CJ146"/>
    </row>
    <row r="147" spans="1:88" s="360" customFormat="1" ht="14.25" customHeight="1">
      <c r="A147" s="10"/>
      <c r="B147" s="849" t="s">
        <v>559</v>
      </c>
      <c r="C147" s="69"/>
      <c r="D147" s="69"/>
      <c r="E147" s="69"/>
      <c r="F147" s="69"/>
      <c r="G147" s="22"/>
      <c r="H147" s="69"/>
      <c r="I147" s="69"/>
      <c r="J147" s="69"/>
      <c r="K147" s="22"/>
      <c r="L147" s="69"/>
      <c r="M147" s="69"/>
      <c r="N147" s="69"/>
      <c r="O147" s="22"/>
      <c r="P147" s="69"/>
      <c r="Q147" s="69"/>
      <c r="R147" s="69"/>
      <c r="S147" s="22"/>
      <c r="T147" s="69"/>
      <c r="U147" s="69"/>
      <c r="V147" s="69"/>
      <c r="W147" s="22"/>
      <c r="X147" s="69"/>
      <c r="Y147" s="69"/>
      <c r="Z147" s="69"/>
      <c r="AA147" s="22"/>
      <c r="AB147" s="259"/>
      <c r="AC147" s="259"/>
      <c r="AD147" s="259"/>
      <c r="AE147" s="240"/>
      <c r="AF147" s="259"/>
      <c r="AG147" s="259"/>
      <c r="AH147" s="259"/>
      <c r="AI147" s="240"/>
      <c r="AJ147" s="259"/>
      <c r="AK147" s="259"/>
      <c r="AL147" s="259"/>
      <c r="AM147" s="240"/>
      <c r="AN147" s="259"/>
      <c r="AO147" s="259"/>
      <c r="AP147" s="259"/>
      <c r="AQ147" s="240"/>
      <c r="AR147" s="259">
        <f t="shared" ref="AR147:AU150" si="551">+AR111*AR133/4</f>
        <v>10.125</v>
      </c>
      <c r="AS147" s="259">
        <f t="shared" si="551"/>
        <v>10.125</v>
      </c>
      <c r="AT147" s="259">
        <f t="shared" si="551"/>
        <v>10.125</v>
      </c>
      <c r="AU147" s="240">
        <f t="shared" si="551"/>
        <v>10.125</v>
      </c>
      <c r="AV147" s="259">
        <f t="shared" ref="AV147:AY147" si="552">+AV111*AV133/4</f>
        <v>10.125</v>
      </c>
      <c r="AW147" s="259">
        <f t="shared" si="552"/>
        <v>10.125</v>
      </c>
      <c r="AX147" s="259">
        <f t="shared" si="552"/>
        <v>10.125</v>
      </c>
      <c r="AY147" s="240">
        <f t="shared" si="552"/>
        <v>3.3075000000000001</v>
      </c>
      <c r="AZ147" s="259">
        <f t="shared" ref="AZ147:BC147" si="553">+AZ111*AZ133/4</f>
        <v>3.3075000000000001</v>
      </c>
      <c r="BA147" s="259">
        <f t="shared" si="553"/>
        <v>3.3075000000000001</v>
      </c>
      <c r="BB147" s="259">
        <f t="shared" si="553"/>
        <v>3.3075000000000001</v>
      </c>
      <c r="BC147" s="240">
        <f t="shared" si="553"/>
        <v>3.3075000000000001</v>
      </c>
      <c r="BD147" s="259">
        <f t="shared" ref="BD147:BG147" si="554">+BD111*BD133/4</f>
        <v>3.3075000000000001</v>
      </c>
      <c r="BE147" s="259">
        <f t="shared" si="554"/>
        <v>3.3075000000000001</v>
      </c>
      <c r="BF147" s="259">
        <f t="shared" si="554"/>
        <v>3.3075000000000001</v>
      </c>
      <c r="BG147" s="240">
        <f t="shared" si="554"/>
        <v>3.3075000000000001</v>
      </c>
      <c r="BH147" s="259">
        <f t="shared" ref="BH147:BK147" si="555">+BH111*BH133/4</f>
        <v>3.3075000000000001</v>
      </c>
      <c r="BI147" s="259">
        <f t="shared" si="555"/>
        <v>3.3075000000000001</v>
      </c>
      <c r="BJ147" s="259">
        <f t="shared" si="555"/>
        <v>3.3075000000000001</v>
      </c>
      <c r="BK147" s="240">
        <f t="shared" si="555"/>
        <v>3.3075000000000001</v>
      </c>
      <c r="BL147" s="2035"/>
      <c r="BM147" s="21"/>
      <c r="BN147" s="69"/>
      <c r="BO147" s="69"/>
      <c r="BP147" s="69"/>
      <c r="BQ147" s="69"/>
      <c r="BR147" s="69"/>
      <c r="BS147" s="69"/>
      <c r="BT147" s="69"/>
      <c r="BU147" s="69">
        <f t="shared" si="523"/>
        <v>0</v>
      </c>
      <c r="BV147" s="69">
        <f t="shared" si="524"/>
        <v>0</v>
      </c>
      <c r="BW147" s="69">
        <f t="shared" si="525"/>
        <v>40.5</v>
      </c>
      <c r="BX147" s="69">
        <f t="shared" si="526"/>
        <v>33.682499999999997</v>
      </c>
      <c r="BY147" s="69">
        <f t="shared" si="532"/>
        <v>13.23</v>
      </c>
      <c r="BZ147" s="69">
        <f t="shared" si="533"/>
        <v>13.23</v>
      </c>
      <c r="CA147" s="69">
        <f t="shared" si="534"/>
        <v>13.23</v>
      </c>
      <c r="CB147" s="1678">
        <f t="shared" si="535"/>
        <v>13.23</v>
      </c>
      <c r="CC147" s="2144"/>
      <c r="CD147" s="10"/>
      <c r="CE147"/>
      <c r="CF147"/>
      <c r="CG147"/>
      <c r="CH147"/>
      <c r="CI147"/>
      <c r="CJ147"/>
    </row>
    <row r="148" spans="1:88" s="360" customFormat="1" ht="14.25" customHeight="1">
      <c r="A148" s="10"/>
      <c r="B148" s="849" t="s">
        <v>560</v>
      </c>
      <c r="C148" s="69"/>
      <c r="D148" s="69"/>
      <c r="E148" s="69"/>
      <c r="F148" s="69"/>
      <c r="G148" s="22"/>
      <c r="H148" s="69"/>
      <c r="I148" s="69"/>
      <c r="J148" s="69"/>
      <c r="K148" s="22"/>
      <c r="L148" s="69"/>
      <c r="M148" s="69"/>
      <c r="N148" s="69"/>
      <c r="O148" s="22"/>
      <c r="P148" s="69"/>
      <c r="Q148" s="69"/>
      <c r="R148" s="69"/>
      <c r="S148" s="22"/>
      <c r="T148" s="69"/>
      <c r="U148" s="69"/>
      <c r="V148" s="69"/>
      <c r="W148" s="22"/>
      <c r="X148" s="69"/>
      <c r="Y148" s="69"/>
      <c r="Z148" s="69"/>
      <c r="AA148" s="22"/>
      <c r="AB148" s="259"/>
      <c r="AC148" s="259"/>
      <c r="AD148" s="259"/>
      <c r="AE148" s="240"/>
      <c r="AF148" s="259"/>
      <c r="AG148" s="259"/>
      <c r="AH148" s="259"/>
      <c r="AI148" s="240"/>
      <c r="AJ148" s="259"/>
      <c r="AK148" s="259"/>
      <c r="AL148" s="259"/>
      <c r="AM148" s="240"/>
      <c r="AN148" s="259"/>
      <c r="AO148" s="259"/>
      <c r="AP148" s="259"/>
      <c r="AQ148" s="240"/>
      <c r="AR148" s="259">
        <f t="shared" si="551"/>
        <v>5.0625000000000003E-2</v>
      </c>
      <c r="AS148" s="259">
        <f t="shared" si="551"/>
        <v>0.10125000000000001</v>
      </c>
      <c r="AT148" s="259">
        <f t="shared" si="551"/>
        <v>0</v>
      </c>
      <c r="AU148" s="240">
        <f t="shared" si="551"/>
        <v>0</v>
      </c>
      <c r="AV148" s="259">
        <f t="shared" ref="AV148:AY148" si="556">+AV112*AV134/4</f>
        <v>0</v>
      </c>
      <c r="AW148" s="259">
        <f t="shared" si="556"/>
        <v>0</v>
      </c>
      <c r="AX148" s="259">
        <f t="shared" si="556"/>
        <v>0</v>
      </c>
      <c r="AY148" s="240">
        <f t="shared" si="556"/>
        <v>0</v>
      </c>
      <c r="AZ148" s="259">
        <f t="shared" ref="AZ148:BC148" si="557">+AZ112*AZ134/4</f>
        <v>0</v>
      </c>
      <c r="BA148" s="259">
        <f t="shared" si="557"/>
        <v>0</v>
      </c>
      <c r="BB148" s="259">
        <f t="shared" si="557"/>
        <v>0</v>
      </c>
      <c r="BC148" s="240">
        <f t="shared" si="557"/>
        <v>0</v>
      </c>
      <c r="BD148" s="259">
        <f t="shared" ref="BD148:BG148" si="558">+BD112*BD134/4</f>
        <v>0</v>
      </c>
      <c r="BE148" s="259">
        <f t="shared" si="558"/>
        <v>0</v>
      </c>
      <c r="BF148" s="259">
        <f t="shared" si="558"/>
        <v>0</v>
      </c>
      <c r="BG148" s="240">
        <f t="shared" si="558"/>
        <v>0</v>
      </c>
      <c r="BH148" s="259">
        <f t="shared" ref="BH148:BK148" si="559">+BH112*BH134/4</f>
        <v>0</v>
      </c>
      <c r="BI148" s="259">
        <f t="shared" si="559"/>
        <v>0</v>
      </c>
      <c r="BJ148" s="259">
        <f t="shared" si="559"/>
        <v>0</v>
      </c>
      <c r="BK148" s="240">
        <f t="shared" si="559"/>
        <v>0</v>
      </c>
      <c r="BL148" s="2035"/>
      <c r="BM148" s="21"/>
      <c r="BN148" s="69"/>
      <c r="BO148" s="69"/>
      <c r="BP148" s="69"/>
      <c r="BQ148" s="69"/>
      <c r="BR148" s="69"/>
      <c r="BS148" s="69"/>
      <c r="BT148" s="69"/>
      <c r="BU148" s="69">
        <f t="shared" si="523"/>
        <v>0</v>
      </c>
      <c r="BV148" s="69">
        <f t="shared" si="524"/>
        <v>0</v>
      </c>
      <c r="BW148" s="69">
        <f t="shared" si="525"/>
        <v>0.15187500000000001</v>
      </c>
      <c r="BX148" s="69">
        <f t="shared" si="526"/>
        <v>0</v>
      </c>
      <c r="BY148" s="69">
        <f t="shared" si="532"/>
        <v>0</v>
      </c>
      <c r="BZ148" s="69">
        <f t="shared" si="533"/>
        <v>0</v>
      </c>
      <c r="CA148" s="69">
        <f t="shared" si="534"/>
        <v>0</v>
      </c>
      <c r="CB148" s="1678">
        <f t="shared" si="535"/>
        <v>0</v>
      </c>
      <c r="CC148" s="2144"/>
      <c r="CD148" s="10"/>
      <c r="CE148"/>
      <c r="CF148"/>
      <c r="CG148"/>
      <c r="CH148"/>
      <c r="CI148"/>
      <c r="CJ148"/>
    </row>
    <row r="149" spans="1:88" s="360" customFormat="1" ht="14.25" customHeight="1">
      <c r="A149" s="10"/>
      <c r="B149" s="849" t="s">
        <v>561</v>
      </c>
      <c r="C149" s="69"/>
      <c r="D149" s="69"/>
      <c r="E149" s="69"/>
      <c r="F149" s="69"/>
      <c r="G149" s="22"/>
      <c r="H149" s="69"/>
      <c r="I149" s="69"/>
      <c r="J149" s="69"/>
      <c r="K149" s="22"/>
      <c r="L149" s="69"/>
      <c r="M149" s="69"/>
      <c r="N149" s="69"/>
      <c r="O149" s="22"/>
      <c r="P149" s="69"/>
      <c r="Q149" s="69"/>
      <c r="R149" s="69"/>
      <c r="S149" s="22"/>
      <c r="T149" s="69"/>
      <c r="U149" s="69"/>
      <c r="V149" s="69"/>
      <c r="W149" s="22"/>
      <c r="X149" s="69"/>
      <c r="Y149" s="69"/>
      <c r="Z149" s="69"/>
      <c r="AA149" s="22"/>
      <c r="AB149" s="259"/>
      <c r="AC149" s="259"/>
      <c r="AD149" s="259"/>
      <c r="AE149" s="240"/>
      <c r="AF149" s="259"/>
      <c r="AG149" s="259"/>
      <c r="AH149" s="259"/>
      <c r="AI149" s="240"/>
      <c r="AJ149" s="259"/>
      <c r="AK149" s="259"/>
      <c r="AL149" s="259"/>
      <c r="AM149" s="240"/>
      <c r="AN149" s="259"/>
      <c r="AO149" s="259"/>
      <c r="AP149" s="259"/>
      <c r="AQ149" s="240"/>
      <c r="AR149" s="259">
        <f t="shared" si="551"/>
        <v>8.71875</v>
      </c>
      <c r="AS149" s="259">
        <f t="shared" si="551"/>
        <v>8.71875</v>
      </c>
      <c r="AT149" s="259">
        <f t="shared" si="551"/>
        <v>8.71875</v>
      </c>
      <c r="AU149" s="240">
        <f t="shared" si="551"/>
        <v>8.71875</v>
      </c>
      <c r="AV149" s="259">
        <f t="shared" ref="AV149:AY149" si="560">+AV113*AV135/4</f>
        <v>8.71875</v>
      </c>
      <c r="AW149" s="259">
        <f t="shared" si="560"/>
        <v>8.71875</v>
      </c>
      <c r="AX149" s="259">
        <f t="shared" si="560"/>
        <v>8.71875</v>
      </c>
      <c r="AY149" s="240">
        <f t="shared" si="560"/>
        <v>0</v>
      </c>
      <c r="AZ149" s="259">
        <f t="shared" ref="AZ149:BC149" si="561">+AZ113*AZ135/4</f>
        <v>0</v>
      </c>
      <c r="BA149" s="259">
        <f t="shared" si="561"/>
        <v>0</v>
      </c>
      <c r="BB149" s="259">
        <f t="shared" si="561"/>
        <v>0</v>
      </c>
      <c r="BC149" s="240">
        <f t="shared" si="561"/>
        <v>0</v>
      </c>
      <c r="BD149" s="259">
        <f t="shared" ref="BD149:BG149" si="562">+BD113*BD135/4</f>
        <v>0</v>
      </c>
      <c r="BE149" s="259">
        <f t="shared" si="562"/>
        <v>0</v>
      </c>
      <c r="BF149" s="259">
        <f t="shared" si="562"/>
        <v>0</v>
      </c>
      <c r="BG149" s="240">
        <f t="shared" si="562"/>
        <v>0</v>
      </c>
      <c r="BH149" s="259">
        <f t="shared" ref="BH149:BK149" si="563">+BH113*BH135/4</f>
        <v>0</v>
      </c>
      <c r="BI149" s="259">
        <f t="shared" si="563"/>
        <v>0</v>
      </c>
      <c r="BJ149" s="259">
        <f t="shared" si="563"/>
        <v>0</v>
      </c>
      <c r="BK149" s="240">
        <f t="shared" si="563"/>
        <v>0</v>
      </c>
      <c r="BL149" s="2035"/>
      <c r="BM149" s="21"/>
      <c r="BN149" s="69"/>
      <c r="BO149" s="69"/>
      <c r="BP149" s="69"/>
      <c r="BQ149" s="69"/>
      <c r="BR149" s="69"/>
      <c r="BS149" s="69"/>
      <c r="BT149" s="69"/>
      <c r="BU149" s="69">
        <f t="shared" si="523"/>
        <v>0</v>
      </c>
      <c r="BV149" s="69">
        <f t="shared" si="524"/>
        <v>0</v>
      </c>
      <c r="BW149" s="69">
        <f t="shared" si="525"/>
        <v>34.875</v>
      </c>
      <c r="BX149" s="69">
        <f t="shared" si="526"/>
        <v>26.15625</v>
      </c>
      <c r="BY149" s="69">
        <f t="shared" si="532"/>
        <v>0</v>
      </c>
      <c r="BZ149" s="69">
        <f t="shared" si="533"/>
        <v>0</v>
      </c>
      <c r="CA149" s="69">
        <f t="shared" si="534"/>
        <v>0</v>
      </c>
      <c r="CB149" s="1678">
        <f t="shared" si="535"/>
        <v>0</v>
      </c>
      <c r="CC149" s="2144"/>
      <c r="CD149" s="10"/>
      <c r="CE149"/>
      <c r="CF149"/>
      <c r="CG149"/>
      <c r="CH149"/>
      <c r="CI149"/>
      <c r="CJ149"/>
    </row>
    <row r="150" spans="1:88" s="360" customFormat="1" ht="14.25" customHeight="1">
      <c r="A150" s="10"/>
      <c r="B150" s="849" t="s">
        <v>562</v>
      </c>
      <c r="C150" s="69"/>
      <c r="D150" s="69"/>
      <c r="E150" s="69"/>
      <c r="F150" s="69"/>
      <c r="G150" s="22"/>
      <c r="H150" s="69"/>
      <c r="I150" s="69"/>
      <c r="J150" s="69"/>
      <c r="K150" s="22"/>
      <c r="L150" s="69"/>
      <c r="M150" s="69"/>
      <c r="N150" s="69"/>
      <c r="O150" s="22"/>
      <c r="P150" s="69"/>
      <c r="Q150" s="69"/>
      <c r="R150" s="69"/>
      <c r="S150" s="22"/>
      <c r="T150" s="69"/>
      <c r="U150" s="69"/>
      <c r="V150" s="69"/>
      <c r="W150" s="22"/>
      <c r="X150" s="69"/>
      <c r="Y150" s="69"/>
      <c r="Z150" s="69"/>
      <c r="AA150" s="22"/>
      <c r="AB150" s="259"/>
      <c r="AC150" s="259"/>
      <c r="AD150" s="259"/>
      <c r="AE150" s="240"/>
      <c r="AF150" s="259"/>
      <c r="AG150" s="259"/>
      <c r="AH150" s="259"/>
      <c r="AI150" s="240"/>
      <c r="AJ150" s="259"/>
      <c r="AK150" s="259"/>
      <c r="AL150" s="259"/>
      <c r="AM150" s="240"/>
      <c r="AN150" s="259"/>
      <c r="AO150" s="259"/>
      <c r="AP150" s="259"/>
      <c r="AQ150" s="240"/>
      <c r="AR150" s="259">
        <f t="shared" si="551"/>
        <v>8.75</v>
      </c>
      <c r="AS150" s="259">
        <f t="shared" si="551"/>
        <v>8.75</v>
      </c>
      <c r="AT150" s="259">
        <f t="shared" si="551"/>
        <v>8.75</v>
      </c>
      <c r="AU150" s="240">
        <f t="shared" si="551"/>
        <v>8.75</v>
      </c>
      <c r="AV150" s="259">
        <f t="shared" ref="AV150:AY150" si="564">+AV114*AV136/4</f>
        <v>8.75</v>
      </c>
      <c r="AW150" s="259">
        <f t="shared" si="564"/>
        <v>8.75</v>
      </c>
      <c r="AX150" s="259">
        <f t="shared" si="564"/>
        <v>8.75</v>
      </c>
      <c r="AY150" s="240">
        <f t="shared" si="564"/>
        <v>7.2800000000000011</v>
      </c>
      <c r="AZ150" s="259">
        <f t="shared" ref="AZ150:BC150" si="565">+AZ114*AZ136/4</f>
        <v>7.2800000000000011</v>
      </c>
      <c r="BA150" s="259">
        <f t="shared" si="565"/>
        <v>7.2800000000000011</v>
      </c>
      <c r="BB150" s="259">
        <f t="shared" si="565"/>
        <v>7.2800000000000011</v>
      </c>
      <c r="BC150" s="240">
        <f t="shared" si="565"/>
        <v>7.2800000000000011</v>
      </c>
      <c r="BD150" s="259">
        <f t="shared" ref="BD150:BG150" si="566">+BD114*BD136/4</f>
        <v>7.2800000000000011</v>
      </c>
      <c r="BE150" s="259">
        <f t="shared" si="566"/>
        <v>7.2800000000000011</v>
      </c>
      <c r="BF150" s="259">
        <f t="shared" si="566"/>
        <v>7.2800000000000011</v>
      </c>
      <c r="BG150" s="240">
        <f t="shared" si="566"/>
        <v>7.2800000000000011</v>
      </c>
      <c r="BH150" s="259">
        <f t="shared" ref="BH150:BK150" si="567">+BH114*BH136/4</f>
        <v>7.2800000000000011</v>
      </c>
      <c r="BI150" s="259">
        <f t="shared" si="567"/>
        <v>7.2800000000000011</v>
      </c>
      <c r="BJ150" s="259">
        <f t="shared" si="567"/>
        <v>7.2800000000000011</v>
      </c>
      <c r="BK150" s="240">
        <f t="shared" si="567"/>
        <v>7.2800000000000011</v>
      </c>
      <c r="BL150" s="2035"/>
      <c r="BM150" s="21"/>
      <c r="BN150" s="69"/>
      <c r="BO150" s="69"/>
      <c r="BP150" s="69"/>
      <c r="BQ150" s="69"/>
      <c r="BR150" s="69"/>
      <c r="BS150" s="69"/>
      <c r="BT150" s="69"/>
      <c r="BU150" s="69">
        <f t="shared" si="523"/>
        <v>0</v>
      </c>
      <c r="BV150" s="69">
        <f t="shared" si="524"/>
        <v>0</v>
      </c>
      <c r="BW150" s="69">
        <f t="shared" si="525"/>
        <v>35</v>
      </c>
      <c r="BX150" s="69">
        <f t="shared" si="526"/>
        <v>33.53</v>
      </c>
      <c r="BY150" s="69">
        <f t="shared" si="532"/>
        <v>29.120000000000005</v>
      </c>
      <c r="BZ150" s="69">
        <f t="shared" si="533"/>
        <v>29.120000000000005</v>
      </c>
      <c r="CA150" s="69">
        <f t="shared" si="534"/>
        <v>29.120000000000005</v>
      </c>
      <c r="CB150" s="1678">
        <f t="shared" si="535"/>
        <v>29.120000000000005</v>
      </c>
      <c r="CC150" s="2144"/>
      <c r="CD150" s="10"/>
      <c r="CE150"/>
      <c r="CF150"/>
      <c r="CG150"/>
      <c r="CH150"/>
      <c r="CI150"/>
      <c r="CJ150"/>
    </row>
    <row r="151" spans="1:88" s="360" customFormat="1" ht="14.25" customHeight="1">
      <c r="A151" s="10"/>
      <c r="B151" s="849" t="s">
        <v>563</v>
      </c>
      <c r="C151" s="69"/>
      <c r="D151" s="69"/>
      <c r="E151" s="69"/>
      <c r="F151" s="69"/>
      <c r="G151" s="22"/>
      <c r="H151" s="69"/>
      <c r="I151" s="69"/>
      <c r="J151" s="69"/>
      <c r="K151" s="22"/>
      <c r="L151" s="69"/>
      <c r="M151" s="69"/>
      <c r="N151" s="69"/>
      <c r="O151" s="22"/>
      <c r="P151" s="69"/>
      <c r="Q151" s="69"/>
      <c r="R151" s="69"/>
      <c r="S151" s="22"/>
      <c r="T151" s="69"/>
      <c r="U151" s="69"/>
      <c r="V151" s="69"/>
      <c r="W151" s="22"/>
      <c r="X151" s="69"/>
      <c r="Y151" s="69"/>
      <c r="Z151" s="69"/>
      <c r="AA151" s="22"/>
      <c r="AB151" s="259"/>
      <c r="AC151" s="259"/>
      <c r="AD151" s="259"/>
      <c r="AE151" s="240"/>
      <c r="AF151" s="259"/>
      <c r="AG151" s="259"/>
      <c r="AH151" s="259"/>
      <c r="AI151" s="240"/>
      <c r="AJ151" s="259"/>
      <c r="AK151" s="259"/>
      <c r="AL151" s="259"/>
      <c r="AM151" s="240"/>
      <c r="AN151" s="259"/>
      <c r="AO151" s="259"/>
      <c r="AP151" s="259"/>
      <c r="AQ151" s="240"/>
      <c r="AR151" s="259">
        <f t="shared" ref="AR151:AU151" si="568">+AR116*AR137/4</f>
        <v>3.2900000000000005</v>
      </c>
      <c r="AS151" s="259">
        <f t="shared" si="568"/>
        <v>4.0250000000000004</v>
      </c>
      <c r="AT151" s="259">
        <f t="shared" si="568"/>
        <v>4.0250000000000004</v>
      </c>
      <c r="AU151" s="240">
        <f t="shared" si="568"/>
        <v>4.0250000000000004</v>
      </c>
      <c r="AV151" s="259">
        <f t="shared" ref="AV151:AY151" si="569">+AV116*AV137/4</f>
        <v>4.0250000000000004</v>
      </c>
      <c r="AW151" s="259">
        <f t="shared" si="569"/>
        <v>4.0250000000000004</v>
      </c>
      <c r="AX151" s="259">
        <f t="shared" si="569"/>
        <v>4.0250000000000004</v>
      </c>
      <c r="AY151" s="240">
        <f t="shared" si="569"/>
        <v>0</v>
      </c>
      <c r="AZ151" s="259">
        <f t="shared" ref="AZ151:BC151" si="570">+AZ116*AZ137/4</f>
        <v>0</v>
      </c>
      <c r="BA151" s="259">
        <f t="shared" si="570"/>
        <v>0</v>
      </c>
      <c r="BB151" s="259">
        <f t="shared" si="570"/>
        <v>0</v>
      </c>
      <c r="BC151" s="240">
        <f t="shared" si="570"/>
        <v>0</v>
      </c>
      <c r="BD151" s="259">
        <f t="shared" ref="BD151:BG151" si="571">+BD116*BD137/4</f>
        <v>0</v>
      </c>
      <c r="BE151" s="259">
        <f t="shared" si="571"/>
        <v>0</v>
      </c>
      <c r="BF151" s="259">
        <f t="shared" si="571"/>
        <v>0</v>
      </c>
      <c r="BG151" s="240">
        <f t="shared" si="571"/>
        <v>0</v>
      </c>
      <c r="BH151" s="259">
        <f t="shared" ref="BH151:BK151" si="572">+BH116*BH137/4</f>
        <v>0</v>
      </c>
      <c r="BI151" s="259">
        <f t="shared" si="572"/>
        <v>0</v>
      </c>
      <c r="BJ151" s="259">
        <f t="shared" si="572"/>
        <v>0</v>
      </c>
      <c r="BK151" s="240">
        <f t="shared" si="572"/>
        <v>0</v>
      </c>
      <c r="BL151" s="2035"/>
      <c r="BM151" s="21"/>
      <c r="BN151" s="69"/>
      <c r="BO151" s="69"/>
      <c r="BP151" s="69"/>
      <c r="BQ151" s="69"/>
      <c r="BR151" s="69"/>
      <c r="BS151" s="69"/>
      <c r="BT151" s="69"/>
      <c r="BU151" s="69">
        <f t="shared" si="523"/>
        <v>0</v>
      </c>
      <c r="BV151" s="69">
        <f t="shared" si="524"/>
        <v>0</v>
      </c>
      <c r="BW151" s="69">
        <f t="shared" si="525"/>
        <v>15.365000000000002</v>
      </c>
      <c r="BX151" s="69">
        <f t="shared" si="526"/>
        <v>12.075000000000001</v>
      </c>
      <c r="BY151" s="69">
        <f t="shared" si="532"/>
        <v>0</v>
      </c>
      <c r="BZ151" s="69">
        <f t="shared" si="533"/>
        <v>0</v>
      </c>
      <c r="CA151" s="69">
        <f t="shared" si="534"/>
        <v>0</v>
      </c>
      <c r="CB151" s="1678">
        <f t="shared" si="535"/>
        <v>56.350000000000009</v>
      </c>
      <c r="CC151" s="2144"/>
      <c r="CD151" s="10"/>
      <c r="CE151"/>
      <c r="CF151"/>
      <c r="CG151"/>
      <c r="CH151"/>
      <c r="CI151"/>
      <c r="CJ151"/>
    </row>
    <row r="152" spans="1:88" ht="14.25" customHeight="1">
      <c r="A152" s="7"/>
      <c r="B152" s="849" t="s">
        <v>444</v>
      </c>
      <c r="C152" s="13"/>
      <c r="D152" s="13"/>
      <c r="E152" s="13"/>
      <c r="F152" s="13"/>
      <c r="G152" s="244"/>
      <c r="H152" s="13"/>
      <c r="I152" s="13"/>
      <c r="J152" s="13"/>
      <c r="K152" s="244"/>
      <c r="L152" s="13"/>
      <c r="M152" s="13"/>
      <c r="N152" s="13"/>
      <c r="O152" s="244"/>
      <c r="P152" s="13"/>
      <c r="Q152" s="13"/>
      <c r="R152" s="13"/>
      <c r="S152" s="244"/>
      <c r="T152" s="13"/>
      <c r="U152" s="13"/>
      <c r="V152" s="13"/>
      <c r="W152" s="244"/>
      <c r="X152" s="13"/>
      <c r="Y152" s="13"/>
      <c r="Z152" s="13"/>
      <c r="AA152" s="244"/>
      <c r="AB152" s="241"/>
      <c r="AC152" s="241"/>
      <c r="AD152" s="241"/>
      <c r="AE152" s="242"/>
      <c r="AF152" s="241"/>
      <c r="AG152" s="241"/>
      <c r="AH152" s="241"/>
      <c r="AI152" s="242"/>
      <c r="AJ152" s="241"/>
      <c r="AK152" s="241"/>
      <c r="AL152" s="241"/>
      <c r="AM152" s="242"/>
      <c r="AN152" s="241"/>
      <c r="AO152" s="241"/>
      <c r="AP152" s="241"/>
      <c r="AQ152" s="242"/>
      <c r="AR152" s="241"/>
      <c r="AS152" s="241"/>
      <c r="AT152" s="241"/>
      <c r="AU152" s="242"/>
      <c r="AV152" s="241"/>
      <c r="AW152" s="241"/>
      <c r="AX152" s="241"/>
      <c r="AY152" s="242"/>
      <c r="AZ152" s="241"/>
      <c r="BA152" s="241"/>
      <c r="BB152" s="259"/>
      <c r="BC152" s="242"/>
      <c r="BD152" s="241"/>
      <c r="BE152" s="241"/>
      <c r="BF152" s="259"/>
      <c r="BG152" s="242"/>
      <c r="BH152" s="241"/>
      <c r="BI152" s="241"/>
      <c r="BJ152" s="259"/>
      <c r="BK152" s="242"/>
      <c r="BL152" s="2030"/>
      <c r="BM152" s="20"/>
      <c r="BN152" s="13"/>
      <c r="BO152" s="13"/>
      <c r="BP152" s="13"/>
      <c r="BQ152" s="13"/>
      <c r="BR152" s="13"/>
      <c r="BS152" s="13">
        <f t="shared" ref="BS152:BU152" si="573">+BS120*BS138</f>
        <v>0</v>
      </c>
      <c r="BT152" s="13">
        <f t="shared" si="573"/>
        <v>0</v>
      </c>
      <c r="BU152" s="13">
        <f t="shared" si="573"/>
        <v>0</v>
      </c>
      <c r="BV152" s="13">
        <f t="shared" si="524"/>
        <v>0</v>
      </c>
      <c r="BW152" s="13">
        <f t="shared" si="525"/>
        <v>0</v>
      </c>
      <c r="BX152" s="13">
        <f t="shared" si="526"/>
        <v>0</v>
      </c>
      <c r="BY152" s="13">
        <f t="shared" si="532"/>
        <v>0</v>
      </c>
      <c r="BZ152" s="13">
        <f t="shared" si="533"/>
        <v>0</v>
      </c>
      <c r="CA152" s="13">
        <f t="shared" si="534"/>
        <v>0</v>
      </c>
      <c r="CB152" s="1678">
        <f t="shared" si="535"/>
        <v>0</v>
      </c>
      <c r="CC152" s="2140"/>
      <c r="CD152" s="7"/>
    </row>
    <row r="153" spans="1:88" ht="14.25" customHeight="1">
      <c r="A153" s="7"/>
      <c r="B153" s="849" t="s">
        <v>363</v>
      </c>
      <c r="C153" s="13"/>
      <c r="D153" s="13"/>
      <c r="E153" s="13"/>
      <c r="F153" s="13"/>
      <c r="G153" s="244"/>
      <c r="H153" s="13"/>
      <c r="I153" s="13"/>
      <c r="J153" s="13"/>
      <c r="K153" s="244"/>
      <c r="L153" s="13"/>
      <c r="M153" s="13"/>
      <c r="N153" s="13"/>
      <c r="O153" s="244"/>
      <c r="P153" s="13"/>
      <c r="Q153" s="13"/>
      <c r="R153" s="13"/>
      <c r="S153" s="244"/>
      <c r="T153" s="13"/>
      <c r="U153" s="13"/>
      <c r="V153" s="13"/>
      <c r="W153" s="244"/>
      <c r="X153" s="13"/>
      <c r="Y153" s="13"/>
      <c r="Z153" s="13"/>
      <c r="AA153" s="244"/>
      <c r="AB153" s="241">
        <f t="shared" ref="AB153:AL153" si="574">+AB118*AB139/4</f>
        <v>0.5</v>
      </c>
      <c r="AC153" s="241">
        <f t="shared" si="574"/>
        <v>0.62</v>
      </c>
      <c r="AD153" s="241">
        <f t="shared" si="574"/>
        <v>0.62</v>
      </c>
      <c r="AE153" s="242">
        <f t="shared" si="574"/>
        <v>0.52</v>
      </c>
      <c r="AF153" s="241">
        <f t="shared" si="574"/>
        <v>0.6</v>
      </c>
      <c r="AG153" s="241">
        <f t="shared" si="574"/>
        <v>0.6</v>
      </c>
      <c r="AH153" s="241">
        <f t="shared" si="574"/>
        <v>0.6</v>
      </c>
      <c r="AI153" s="242">
        <f t="shared" si="574"/>
        <v>0.6</v>
      </c>
      <c r="AJ153" s="241">
        <f t="shared" si="574"/>
        <v>2.4750000000000001</v>
      </c>
      <c r="AK153" s="241">
        <f t="shared" si="574"/>
        <v>2.4750000000000001</v>
      </c>
      <c r="AL153" s="241">
        <f t="shared" si="574"/>
        <v>2.4750000000000001</v>
      </c>
      <c r="AM153" s="242">
        <f t="shared" ref="AM153:AU153" si="575">+AM118*AM139/4</f>
        <v>2.4750000000000001</v>
      </c>
      <c r="AN153" s="241">
        <f t="shared" si="575"/>
        <v>2.4750000000000001</v>
      </c>
      <c r="AO153" s="241">
        <f t="shared" si="575"/>
        <v>2.4750000000000001</v>
      </c>
      <c r="AP153" s="241">
        <f t="shared" si="575"/>
        <v>2.4750000000000001</v>
      </c>
      <c r="AQ153" s="242">
        <f t="shared" si="575"/>
        <v>2.4750000000000001</v>
      </c>
      <c r="AR153" s="241">
        <f t="shared" si="575"/>
        <v>0.13750000000000001</v>
      </c>
      <c r="AS153" s="241">
        <f t="shared" si="575"/>
        <v>0.11</v>
      </c>
      <c r="AT153" s="241">
        <f t="shared" si="575"/>
        <v>6.8750000000000006E-2</v>
      </c>
      <c r="AU153" s="242">
        <f t="shared" si="575"/>
        <v>9.6250000000000002E-2</v>
      </c>
      <c r="AV153" s="241">
        <f t="shared" ref="AV153:AY153" si="576">+AV118*AV139/4</f>
        <v>5.5E-2</v>
      </c>
      <c r="AW153" s="241">
        <f t="shared" si="576"/>
        <v>5.5E-2</v>
      </c>
      <c r="AX153" s="241">
        <f t="shared" si="576"/>
        <v>6.8750000000000006E-2</v>
      </c>
      <c r="AY153" s="242">
        <f t="shared" si="576"/>
        <v>1.375E-2</v>
      </c>
      <c r="AZ153" s="241">
        <f t="shared" ref="AZ153:BC153" si="577">+AZ118*AZ139/4</f>
        <v>1.375E-2</v>
      </c>
      <c r="BA153" s="241">
        <f t="shared" si="577"/>
        <v>1.375E-2</v>
      </c>
      <c r="BB153" s="259">
        <f t="shared" si="577"/>
        <v>1.375E-2</v>
      </c>
      <c r="BC153" s="242">
        <f t="shared" si="577"/>
        <v>1.375E-2</v>
      </c>
      <c r="BD153" s="241">
        <f t="shared" ref="BD153:BG153" si="578">+BD118*BD139/4</f>
        <v>1.375E-2</v>
      </c>
      <c r="BE153" s="241">
        <f t="shared" si="578"/>
        <v>1.375E-2</v>
      </c>
      <c r="BF153" s="259">
        <f t="shared" si="578"/>
        <v>1.375E-2</v>
      </c>
      <c r="BG153" s="242">
        <f t="shared" si="578"/>
        <v>1.375E-2</v>
      </c>
      <c r="BH153" s="241">
        <f t="shared" ref="BH153:BK153" si="579">+BH118*BH139/4</f>
        <v>1.375E-2</v>
      </c>
      <c r="BI153" s="241">
        <f t="shared" si="579"/>
        <v>1.375E-2</v>
      </c>
      <c r="BJ153" s="259">
        <f t="shared" si="579"/>
        <v>1.375E-2</v>
      </c>
      <c r="BK153" s="242">
        <f t="shared" si="579"/>
        <v>1.375E-2</v>
      </c>
      <c r="BL153" s="2030"/>
      <c r="BM153" s="20"/>
      <c r="BN153" s="13"/>
      <c r="BO153" s="13"/>
      <c r="BP153" s="13"/>
      <c r="BQ153" s="13"/>
      <c r="BR153" s="13"/>
      <c r="BS153" s="13">
        <f>+SUM(AB153:AE153)</f>
        <v>2.2600000000000002</v>
      </c>
      <c r="BT153" s="13">
        <f>+SUM(AF153:AI153)</f>
        <v>2.4</v>
      </c>
      <c r="BU153" s="13">
        <f>+SUM(AJ153:AM153)</f>
        <v>9.9</v>
      </c>
      <c r="BV153" s="13">
        <f t="shared" si="524"/>
        <v>9.9</v>
      </c>
      <c r="BW153" s="13">
        <f t="shared" si="525"/>
        <v>0.41250000000000003</v>
      </c>
      <c r="BX153" s="13">
        <f t="shared" si="526"/>
        <v>0.19250000000000003</v>
      </c>
      <c r="BY153" s="13">
        <f t="shared" si="532"/>
        <v>5.5E-2</v>
      </c>
      <c r="BZ153" s="13">
        <f t="shared" si="533"/>
        <v>5.5E-2</v>
      </c>
      <c r="CA153" s="13">
        <f t="shared" si="534"/>
        <v>5.5E-2</v>
      </c>
      <c r="CB153" s="1678">
        <f t="shared" si="535"/>
        <v>0</v>
      </c>
      <c r="CC153" s="2140"/>
      <c r="CD153" s="7"/>
    </row>
    <row r="154" spans="1:88" s="423" customFormat="1" ht="14.25" customHeight="1">
      <c r="A154" s="415"/>
      <c r="B154" s="850" t="s">
        <v>212</v>
      </c>
      <c r="C154" s="440"/>
      <c r="D154" s="440"/>
      <c r="E154" s="440"/>
      <c r="F154" s="440"/>
      <c r="G154" s="575"/>
      <c r="H154" s="440"/>
      <c r="I154" s="440"/>
      <c r="J154" s="440"/>
      <c r="K154" s="575"/>
      <c r="L154" s="440"/>
      <c r="M154" s="440"/>
      <c r="N154" s="440"/>
      <c r="O154" s="575"/>
      <c r="P154" s="440"/>
      <c r="Q154" s="440"/>
      <c r="R154" s="440"/>
      <c r="S154" s="575"/>
      <c r="T154" s="440"/>
      <c r="U154" s="440"/>
      <c r="V154" s="440"/>
      <c r="W154" s="575"/>
      <c r="X154" s="440"/>
      <c r="Y154" s="440"/>
      <c r="Z154" s="440"/>
      <c r="AA154" s="575"/>
      <c r="AB154" s="461">
        <f t="shared" ref="AB154:AH154" si="580">+AB155-SUM(AB142:AB153)</f>
        <v>2.3562500000000028</v>
      </c>
      <c r="AC154" s="461">
        <f t="shared" si="580"/>
        <v>1.2362500000000054</v>
      </c>
      <c r="AD154" s="461">
        <f t="shared" si="580"/>
        <v>-0.7637499999999946</v>
      </c>
      <c r="AE154" s="573">
        <f t="shared" si="580"/>
        <v>1.3362499999999997</v>
      </c>
      <c r="AF154" s="461">
        <f t="shared" si="580"/>
        <v>1.2562500000000014</v>
      </c>
      <c r="AG154" s="461">
        <f t="shared" si="580"/>
        <v>1.2562500000000014</v>
      </c>
      <c r="AH154" s="461">
        <f t="shared" si="580"/>
        <v>2.5812499999999972</v>
      </c>
      <c r="AI154" s="452">
        <f>+AH154</f>
        <v>2.5812499999999972</v>
      </c>
      <c r="AJ154" s="448">
        <v>2.5</v>
      </c>
      <c r="AK154" s="441">
        <f>+AJ154</f>
        <v>2.5</v>
      </c>
      <c r="AL154" s="441">
        <f>+AK154</f>
        <v>2.5</v>
      </c>
      <c r="AM154" s="452">
        <f>+AL154</f>
        <v>2.5</v>
      </c>
      <c r="AN154" s="448">
        <v>2.5</v>
      </c>
      <c r="AO154" s="441">
        <f t="shared" ref="AO154:AU154" si="581">+AN154</f>
        <v>2.5</v>
      </c>
      <c r="AP154" s="441">
        <f t="shared" si="581"/>
        <v>2.5</v>
      </c>
      <c r="AQ154" s="452">
        <f t="shared" si="581"/>
        <v>2.5</v>
      </c>
      <c r="AR154" s="448">
        <v>4</v>
      </c>
      <c r="AS154" s="441">
        <v>0</v>
      </c>
      <c r="AT154" s="441">
        <f t="shared" si="581"/>
        <v>0</v>
      </c>
      <c r="AU154" s="452">
        <f t="shared" si="581"/>
        <v>0</v>
      </c>
      <c r="AV154" s="448">
        <f t="shared" ref="AV154" si="582">+AU154</f>
        <v>0</v>
      </c>
      <c r="AW154" s="441">
        <f t="shared" ref="AW154:AY154" si="583">+AV154</f>
        <v>0</v>
      </c>
      <c r="AX154" s="441">
        <f t="shared" si="583"/>
        <v>0</v>
      </c>
      <c r="AY154" s="452">
        <f t="shared" si="583"/>
        <v>0</v>
      </c>
      <c r="AZ154" s="441">
        <f t="shared" ref="AZ154" si="584">+AY154</f>
        <v>0</v>
      </c>
      <c r="BA154" s="441">
        <f t="shared" ref="BA154" si="585">+AZ154</f>
        <v>0</v>
      </c>
      <c r="BB154" s="1098">
        <f t="shared" ref="BB154" si="586">+BA154</f>
        <v>0</v>
      </c>
      <c r="BC154" s="452">
        <f t="shared" ref="BC154" si="587">+BB154</f>
        <v>0</v>
      </c>
      <c r="BD154" s="441">
        <f t="shared" ref="BD154" si="588">+BC154</f>
        <v>0</v>
      </c>
      <c r="BE154" s="441">
        <f t="shared" ref="BE154" si="589">+BD154</f>
        <v>0</v>
      </c>
      <c r="BF154" s="1098">
        <f t="shared" ref="BF154" si="590">+BE154</f>
        <v>0</v>
      </c>
      <c r="BG154" s="452">
        <f t="shared" ref="BG154" si="591">+BF154</f>
        <v>0</v>
      </c>
      <c r="BH154" s="441">
        <f t="shared" ref="BH154" si="592">+BG154</f>
        <v>0</v>
      </c>
      <c r="BI154" s="441">
        <f t="shared" ref="BI154" si="593">+BH154</f>
        <v>0</v>
      </c>
      <c r="BJ154" s="1098">
        <f t="shared" ref="BJ154" si="594">+BI154</f>
        <v>0</v>
      </c>
      <c r="BK154" s="452">
        <f t="shared" ref="BK154" si="595">+BJ154</f>
        <v>0</v>
      </c>
      <c r="BL154" s="2036"/>
      <c r="BM154" s="422"/>
      <c r="BN154" s="440"/>
      <c r="BO154" s="440"/>
      <c r="BP154" s="440"/>
      <c r="BQ154" s="440"/>
      <c r="BR154" s="440"/>
      <c r="BS154" s="440">
        <f>+SUM(AB154:AE154)</f>
        <v>4.1650000000000134</v>
      </c>
      <c r="BT154" s="440">
        <f>+SUM(AF154:AI154)</f>
        <v>7.6749999999999972</v>
      </c>
      <c r="BU154" s="440">
        <f>+SUM(AJ154:AM154)</f>
        <v>10</v>
      </c>
      <c r="BV154" s="440">
        <f t="shared" si="524"/>
        <v>10</v>
      </c>
      <c r="BW154" s="440">
        <f t="shared" si="525"/>
        <v>4</v>
      </c>
      <c r="BX154" s="440">
        <f t="shared" si="526"/>
        <v>0</v>
      </c>
      <c r="BY154" s="440">
        <f t="shared" si="532"/>
        <v>0</v>
      </c>
      <c r="BZ154" s="440">
        <f t="shared" si="533"/>
        <v>0</v>
      </c>
      <c r="CA154" s="440">
        <f t="shared" si="534"/>
        <v>0</v>
      </c>
      <c r="CB154" s="2034">
        <f t="shared" si="535"/>
        <v>0</v>
      </c>
      <c r="CC154" s="2145"/>
      <c r="CD154" s="415"/>
      <c r="CE154"/>
      <c r="CF154"/>
      <c r="CG154"/>
      <c r="CH154"/>
      <c r="CI154"/>
      <c r="CJ154"/>
    </row>
    <row r="155" spans="1:88" s="114" customFormat="1" ht="14.25" customHeight="1">
      <c r="A155" s="115"/>
      <c r="B155" s="854" t="s">
        <v>365</v>
      </c>
      <c r="C155" s="438"/>
      <c r="D155" s="438"/>
      <c r="E155" s="438"/>
      <c r="F155" s="438"/>
      <c r="G155" s="576"/>
      <c r="H155" s="438"/>
      <c r="I155" s="438"/>
      <c r="J155" s="438"/>
      <c r="K155" s="576"/>
      <c r="L155" s="438"/>
      <c r="M155" s="438"/>
      <c r="N155" s="438"/>
      <c r="O155" s="576"/>
      <c r="P155" s="438"/>
      <c r="Q155" s="438"/>
      <c r="R155" s="438"/>
      <c r="S155" s="576"/>
      <c r="T155" s="438"/>
      <c r="U155" s="438"/>
      <c r="V155" s="438"/>
      <c r="W155" s="576"/>
      <c r="X155" s="438"/>
      <c r="Y155" s="438"/>
      <c r="Z155" s="438"/>
      <c r="AA155" s="576"/>
      <c r="AB155" s="462">
        <f>-IS!AB68</f>
        <v>48</v>
      </c>
      <c r="AC155" s="462">
        <f>-IS!AC68</f>
        <v>47</v>
      </c>
      <c r="AD155" s="462">
        <f>-IS!AD68</f>
        <v>42</v>
      </c>
      <c r="AE155" s="574">
        <f>-IS!AE68</f>
        <v>43</v>
      </c>
      <c r="AF155" s="462">
        <f>-IS!AF68</f>
        <v>43</v>
      </c>
      <c r="AG155" s="462">
        <f>-IS!AG68</f>
        <v>43</v>
      </c>
      <c r="AH155" s="462">
        <f>-IS!AH68</f>
        <v>44</v>
      </c>
      <c r="AI155" s="453">
        <f t="shared" ref="AI155:AU155" si="596">+SUM(AI142:AI154)</f>
        <v>44</v>
      </c>
      <c r="AJ155" s="439">
        <f t="shared" si="596"/>
        <v>45.793750000000003</v>
      </c>
      <c r="AK155" s="439">
        <f t="shared" si="596"/>
        <v>45.793750000000003</v>
      </c>
      <c r="AL155" s="439">
        <f t="shared" si="596"/>
        <v>45.793750000000003</v>
      </c>
      <c r="AM155" s="453">
        <f t="shared" si="596"/>
        <v>45.793750000000003</v>
      </c>
      <c r="AN155" s="439">
        <f>+SUM(AN142:AN154)</f>
        <v>45.793750000000003</v>
      </c>
      <c r="AO155" s="439">
        <f t="shared" si="596"/>
        <v>45.793750000000003</v>
      </c>
      <c r="AP155" s="439">
        <f>+SUM(AP142:AP154)</f>
        <v>45.793750000000003</v>
      </c>
      <c r="AQ155" s="453">
        <f t="shared" si="596"/>
        <v>45.793750000000003</v>
      </c>
      <c r="AR155" s="439">
        <f t="shared" si="596"/>
        <v>44.818125000000002</v>
      </c>
      <c r="AS155" s="439">
        <f t="shared" si="596"/>
        <v>40.736249999999998</v>
      </c>
      <c r="AT155" s="439">
        <f t="shared" si="596"/>
        <v>40.59375</v>
      </c>
      <c r="AU155" s="453">
        <f t="shared" si="596"/>
        <v>40.621249999999996</v>
      </c>
      <c r="AV155" s="439">
        <f t="shared" ref="AV155:AY155" si="597">+SUM(AV142:AV154)</f>
        <v>40.58</v>
      </c>
      <c r="AW155" s="439">
        <f t="shared" si="597"/>
        <v>40.58</v>
      </c>
      <c r="AX155" s="439">
        <f t="shared" si="597"/>
        <v>40.59375</v>
      </c>
      <c r="AY155" s="453">
        <f t="shared" si="597"/>
        <v>17.163750000000004</v>
      </c>
      <c r="AZ155" s="439">
        <f t="shared" ref="AZ155:BC155" si="598">+SUM(AZ142:AZ154)</f>
        <v>17.163750000000004</v>
      </c>
      <c r="BA155" s="439">
        <f t="shared" si="598"/>
        <v>17.163750000000004</v>
      </c>
      <c r="BB155" s="1099">
        <f t="shared" si="598"/>
        <v>17.163750000000004</v>
      </c>
      <c r="BC155" s="453">
        <f t="shared" si="598"/>
        <v>17.163750000000004</v>
      </c>
      <c r="BD155" s="439">
        <f t="shared" ref="BD155:BG155" si="599">+SUM(BD142:BD154)</f>
        <v>17.163750000000004</v>
      </c>
      <c r="BE155" s="439">
        <f t="shared" si="599"/>
        <v>17.163750000000004</v>
      </c>
      <c r="BF155" s="1099">
        <f t="shared" si="599"/>
        <v>17.163750000000004</v>
      </c>
      <c r="BG155" s="453">
        <f t="shared" si="599"/>
        <v>17.163750000000004</v>
      </c>
      <c r="BH155" s="439">
        <f t="shared" ref="BH155:BK155" si="600">+SUM(BH142:BH154)</f>
        <v>17.163750000000004</v>
      </c>
      <c r="BI155" s="439">
        <f t="shared" si="600"/>
        <v>17.163750000000004</v>
      </c>
      <c r="BJ155" s="1099">
        <f t="shared" si="600"/>
        <v>17.163750000000004</v>
      </c>
      <c r="BK155" s="453">
        <f t="shared" si="600"/>
        <v>17.163750000000004</v>
      </c>
      <c r="BL155" s="2032"/>
      <c r="BM155" s="437"/>
      <c r="BN155" s="438"/>
      <c r="BO155" s="438"/>
      <c r="BP155" s="438"/>
      <c r="BQ155" s="438"/>
      <c r="BR155" s="438"/>
      <c r="BS155" s="438">
        <f>+SUM(AB155:AE155)</f>
        <v>180</v>
      </c>
      <c r="BT155" s="438">
        <f>+SUM(AF155:AI155)</f>
        <v>174</v>
      </c>
      <c r="BU155" s="438">
        <f>+SUM(AJ155:AM155)</f>
        <v>183.17500000000001</v>
      </c>
      <c r="BV155" s="438">
        <f t="shared" ref="BV155:BY155" si="601">+SUM(BV142:BV154)</f>
        <v>183.17500000000001</v>
      </c>
      <c r="BW155" s="438">
        <f t="shared" si="601"/>
        <v>166.769375</v>
      </c>
      <c r="BX155" s="438">
        <f t="shared" si="601"/>
        <v>138.91749999999999</v>
      </c>
      <c r="BY155" s="438">
        <f t="shared" si="601"/>
        <v>68.655000000000015</v>
      </c>
      <c r="BZ155" s="438">
        <f t="shared" ref="BZ155:CB155" si="602">+SUM(BZ142:BZ154)</f>
        <v>68.655000000000015</v>
      </c>
      <c r="CA155" s="438">
        <f t="shared" si="602"/>
        <v>68.655000000000015</v>
      </c>
      <c r="CB155" s="2130">
        <f t="shared" si="602"/>
        <v>124.95000000000002</v>
      </c>
      <c r="CC155" s="2146"/>
      <c r="CD155" s="115"/>
      <c r="CE155"/>
      <c r="CF155"/>
      <c r="CG155"/>
      <c r="CH155"/>
      <c r="CI155"/>
      <c r="CJ155"/>
    </row>
    <row r="156" spans="1:88" s="114" customFormat="1" ht="14.25" customHeight="1">
      <c r="A156" s="115"/>
      <c r="B156" s="995"/>
      <c r="C156" s="314"/>
      <c r="D156" s="314"/>
      <c r="E156" s="314"/>
      <c r="F156" s="314"/>
      <c r="G156" s="314"/>
      <c r="H156" s="314"/>
      <c r="I156" s="314"/>
      <c r="J156" s="314"/>
      <c r="K156" s="314"/>
      <c r="L156" s="314"/>
      <c r="M156" s="314"/>
      <c r="N156" s="314"/>
      <c r="O156" s="314"/>
      <c r="P156" s="314"/>
      <c r="Q156" s="314"/>
      <c r="R156" s="314"/>
      <c r="S156" s="314"/>
      <c r="T156" s="314"/>
      <c r="U156" s="314"/>
      <c r="V156" s="314"/>
      <c r="W156" s="314"/>
      <c r="X156" s="314"/>
      <c r="Y156" s="314"/>
      <c r="Z156" s="314"/>
      <c r="AA156" s="314"/>
      <c r="AB156" s="996"/>
      <c r="AC156" s="996"/>
      <c r="AD156" s="996"/>
      <c r="AE156" s="996"/>
      <c r="AF156" s="996"/>
      <c r="AG156" s="996"/>
      <c r="AH156" s="996"/>
      <c r="AI156" s="997"/>
      <c r="AJ156" s="997"/>
      <c r="AK156" s="997"/>
      <c r="AL156" s="997"/>
      <c r="AM156" s="997"/>
      <c r="AN156" s="997"/>
      <c r="AO156" s="997"/>
      <c r="AP156" s="997"/>
      <c r="AQ156" s="997"/>
      <c r="AR156" s="997"/>
      <c r="AS156" s="997"/>
      <c r="AT156" s="997"/>
      <c r="AU156" s="997"/>
      <c r="AV156" s="997"/>
      <c r="AW156" s="997"/>
      <c r="AX156" s="997"/>
      <c r="AY156" s="997"/>
      <c r="AZ156" s="997"/>
      <c r="BA156" s="997"/>
      <c r="BB156" s="1100"/>
      <c r="BC156" s="997"/>
      <c r="BD156" s="997"/>
      <c r="BE156" s="997"/>
      <c r="BF156" s="1100"/>
      <c r="BG156" s="997"/>
      <c r="BH156" s="997"/>
      <c r="BI156" s="997"/>
      <c r="BJ156" s="1100"/>
      <c r="BK156" s="997"/>
      <c r="BL156" s="115"/>
      <c r="BM156" s="314"/>
      <c r="BN156" s="314"/>
      <c r="BO156" s="314"/>
      <c r="BP156" s="314"/>
      <c r="BQ156" s="314"/>
      <c r="BR156" s="314"/>
      <c r="BS156" s="314"/>
      <c r="BT156" s="314"/>
      <c r="BU156" s="314"/>
      <c r="BV156" s="314"/>
      <c r="BW156" s="314"/>
      <c r="BX156" s="314"/>
      <c r="BY156" s="314"/>
      <c r="BZ156" s="314"/>
      <c r="CA156" s="314"/>
      <c r="CB156" s="2131"/>
      <c r="CC156" s="115"/>
      <c r="CD156" s="115"/>
      <c r="CE156"/>
      <c r="CF156"/>
      <c r="CG156"/>
      <c r="CH156"/>
      <c r="CI156"/>
      <c r="CJ156"/>
    </row>
    <row r="157" spans="1:88" ht="14.25" customHeight="1">
      <c r="A157" s="7"/>
      <c r="B157" s="855"/>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324"/>
      <c r="AG157" s="324"/>
      <c r="AH157" s="324"/>
      <c r="AI157" s="324"/>
      <c r="AJ157" s="7"/>
      <c r="AK157" s="7"/>
      <c r="AL157" s="7"/>
      <c r="AM157" s="324"/>
      <c r="AN157" s="7"/>
      <c r="AO157" s="7"/>
      <c r="AP157" s="7"/>
      <c r="AQ157" s="324"/>
      <c r="AR157" s="7"/>
      <c r="AS157" s="7"/>
      <c r="AT157" s="7"/>
      <c r="AU157" s="324"/>
      <c r="AV157" s="7"/>
      <c r="AW157" s="7"/>
      <c r="AX157" s="7"/>
      <c r="AY157" s="324"/>
      <c r="AZ157" s="7"/>
      <c r="BA157" s="7"/>
      <c r="BB157" s="69"/>
      <c r="BC157" s="13"/>
      <c r="BD157" s="7"/>
      <c r="BE157" s="7"/>
      <c r="BF157" s="69"/>
      <c r="BG157" s="13"/>
      <c r="BH157" s="7"/>
      <c r="BI157" s="7"/>
      <c r="BJ157" s="69"/>
      <c r="BK157" s="13"/>
      <c r="BL157" s="7"/>
      <c r="BM157" s="7"/>
      <c r="BN157" s="7"/>
      <c r="BO157" s="7"/>
      <c r="BP157" s="7"/>
      <c r="BQ157" s="7"/>
      <c r="BR157" s="7"/>
      <c r="BS157" s="7"/>
      <c r="BT157" s="7"/>
      <c r="BU157" s="7"/>
      <c r="BV157" s="7"/>
      <c r="BW157" s="7"/>
      <c r="BX157" s="7"/>
      <c r="BY157" s="7"/>
      <c r="BZ157" s="7"/>
      <c r="CA157" s="7"/>
      <c r="CB157" s="2072"/>
      <c r="CC157" s="7"/>
      <c r="CD157" s="7"/>
    </row>
    <row r="158" spans="1:88" ht="14.25" customHeight="1">
      <c r="A158" s="7"/>
      <c r="B158" s="848" t="s">
        <v>427</v>
      </c>
      <c r="C158" s="434"/>
      <c r="D158" s="568" t="str">
        <f>+D$6</f>
        <v>F1Q05A</v>
      </c>
      <c r="E158" s="568" t="str">
        <f t="shared" ref="E158:BK158" si="603">+E$6</f>
        <v>F2Q05A</v>
      </c>
      <c r="F158" s="568" t="str">
        <f t="shared" si="603"/>
        <v>F3Q05A</v>
      </c>
      <c r="G158" s="569" t="str">
        <f t="shared" si="603"/>
        <v>F4Q05A</v>
      </c>
      <c r="H158" s="568" t="str">
        <f t="shared" si="603"/>
        <v>F1Q06A</v>
      </c>
      <c r="I158" s="568" t="str">
        <f t="shared" si="603"/>
        <v>F2Q06A</v>
      </c>
      <c r="J158" s="568" t="str">
        <f t="shared" si="603"/>
        <v>F3Q06A</v>
      </c>
      <c r="K158" s="569" t="str">
        <f t="shared" si="603"/>
        <v>F4Q06A</v>
      </c>
      <c r="L158" s="568" t="str">
        <f t="shared" si="603"/>
        <v>F1Q07A</v>
      </c>
      <c r="M158" s="568" t="str">
        <f t="shared" si="603"/>
        <v>F2Q07A</v>
      </c>
      <c r="N158" s="568" t="str">
        <f t="shared" si="603"/>
        <v>F3Q07A</v>
      </c>
      <c r="O158" s="569" t="str">
        <f t="shared" si="603"/>
        <v>F4Q07A</v>
      </c>
      <c r="P158" s="568" t="str">
        <f t="shared" si="603"/>
        <v>F1Q08A</v>
      </c>
      <c r="Q158" s="568" t="str">
        <f t="shared" si="603"/>
        <v>F2Q08A</v>
      </c>
      <c r="R158" s="568" t="str">
        <f t="shared" si="603"/>
        <v>F3Q08A</v>
      </c>
      <c r="S158" s="569" t="str">
        <f t="shared" si="603"/>
        <v>F4Q08A</v>
      </c>
      <c r="T158" s="568" t="str">
        <f t="shared" si="603"/>
        <v>F1Q09A</v>
      </c>
      <c r="U158" s="568" t="str">
        <f t="shared" si="603"/>
        <v>F2Q09A</v>
      </c>
      <c r="V158" s="568" t="str">
        <f t="shared" si="603"/>
        <v>F3Q09A</v>
      </c>
      <c r="W158" s="569" t="str">
        <f t="shared" si="603"/>
        <v>F4Q09A</v>
      </c>
      <c r="X158" s="568" t="str">
        <f t="shared" si="603"/>
        <v>F1Q10A</v>
      </c>
      <c r="Y158" s="568" t="str">
        <f t="shared" si="603"/>
        <v>F2Q10A</v>
      </c>
      <c r="Z158" s="568" t="str">
        <f t="shared" si="603"/>
        <v>F3Q10A</v>
      </c>
      <c r="AA158" s="569" t="str">
        <f t="shared" si="603"/>
        <v>F4Q10A</v>
      </c>
      <c r="AB158" s="568" t="str">
        <f t="shared" si="603"/>
        <v>F1Q11A</v>
      </c>
      <c r="AC158" s="568" t="str">
        <f t="shared" si="603"/>
        <v>F2Q11A</v>
      </c>
      <c r="AD158" s="568" t="str">
        <f t="shared" si="603"/>
        <v>F3Q11A</v>
      </c>
      <c r="AE158" s="569" t="str">
        <f t="shared" si="603"/>
        <v>F4Q11A</v>
      </c>
      <c r="AF158" s="568" t="str">
        <f t="shared" si="603"/>
        <v>F1Q12A</v>
      </c>
      <c r="AG158" s="568" t="str">
        <f t="shared" si="603"/>
        <v>F2Q12A</v>
      </c>
      <c r="AH158" s="568" t="str">
        <f t="shared" si="603"/>
        <v>F3Q12A</v>
      </c>
      <c r="AI158" s="569" t="str">
        <f t="shared" si="603"/>
        <v>F4Q12A</v>
      </c>
      <c r="AJ158" s="568" t="str">
        <f t="shared" si="603"/>
        <v>F1Q13A</v>
      </c>
      <c r="AK158" s="568" t="str">
        <f t="shared" si="603"/>
        <v>F2Q13A</v>
      </c>
      <c r="AL158" s="568" t="str">
        <f t="shared" si="603"/>
        <v>F3Q13A</v>
      </c>
      <c r="AM158" s="569" t="str">
        <f t="shared" si="603"/>
        <v>F4Q13A</v>
      </c>
      <c r="AN158" s="568" t="str">
        <f t="shared" si="603"/>
        <v>F1Q14A</v>
      </c>
      <c r="AO158" s="568" t="str">
        <f t="shared" si="603"/>
        <v>F2Q14A</v>
      </c>
      <c r="AP158" s="568" t="str">
        <f t="shared" si="603"/>
        <v>F3Q14A</v>
      </c>
      <c r="AQ158" s="569" t="str">
        <f t="shared" si="603"/>
        <v>F4Q14A</v>
      </c>
      <c r="AR158" s="568" t="str">
        <f t="shared" si="603"/>
        <v>F1Q15A</v>
      </c>
      <c r="AS158" s="568" t="str">
        <f t="shared" si="603"/>
        <v>F2Q15A</v>
      </c>
      <c r="AT158" s="568" t="str">
        <f t="shared" si="603"/>
        <v>F3Q15A</v>
      </c>
      <c r="AU158" s="569" t="str">
        <f t="shared" si="603"/>
        <v>F4Q15A</v>
      </c>
      <c r="AV158" s="568" t="str">
        <f t="shared" si="603"/>
        <v>F1Q16A</v>
      </c>
      <c r="AW158" s="568" t="str">
        <f t="shared" si="603"/>
        <v>C2Q16A</v>
      </c>
      <c r="AX158" s="568" t="str">
        <f t="shared" si="603"/>
        <v>F3Q16A</v>
      </c>
      <c r="AY158" s="569" t="str">
        <f t="shared" si="603"/>
        <v>F4Q16A</v>
      </c>
      <c r="AZ158" s="568" t="str">
        <f t="shared" si="603"/>
        <v>F1Q17A</v>
      </c>
      <c r="BA158" s="568" t="str">
        <f t="shared" si="603"/>
        <v>C2Q17A</v>
      </c>
      <c r="BB158" s="568" t="str">
        <f t="shared" si="603"/>
        <v>C3Q17A</v>
      </c>
      <c r="BC158" s="569" t="str">
        <f t="shared" si="603"/>
        <v>F4Q17A</v>
      </c>
      <c r="BD158" s="568" t="str">
        <f t="shared" si="603"/>
        <v>F1Q18A</v>
      </c>
      <c r="BE158" s="568" t="str">
        <f t="shared" si="603"/>
        <v>F2Q18E</v>
      </c>
      <c r="BF158" s="568" t="str">
        <f t="shared" si="603"/>
        <v>F3Q18E</v>
      </c>
      <c r="BG158" s="569" t="str">
        <f t="shared" si="603"/>
        <v>F4Q18E</v>
      </c>
      <c r="BH158" s="568" t="str">
        <f t="shared" si="603"/>
        <v>F1Q19E</v>
      </c>
      <c r="BI158" s="568" t="str">
        <f t="shared" si="603"/>
        <v>F2Q19E</v>
      </c>
      <c r="BJ158" s="568" t="str">
        <f t="shared" si="603"/>
        <v>F3Q19E</v>
      </c>
      <c r="BK158" s="569" t="str">
        <f t="shared" si="603"/>
        <v>F4Q19E</v>
      </c>
      <c r="BL158" s="2030"/>
      <c r="BM158" s="577" t="str">
        <f>+BM$6</f>
        <v>FY2005A</v>
      </c>
      <c r="BN158" s="568" t="str">
        <f t="shared" ref="BN158:CB158" si="604">+BN$6</f>
        <v>FY2006A</v>
      </c>
      <c r="BO158" s="568" t="str">
        <f t="shared" si="604"/>
        <v>FY2007A</v>
      </c>
      <c r="BP158" s="568" t="str">
        <f t="shared" si="604"/>
        <v>FY2008A</v>
      </c>
      <c r="BQ158" s="568" t="str">
        <f t="shared" si="604"/>
        <v>FY2009A</v>
      </c>
      <c r="BR158" s="568" t="str">
        <f t="shared" si="604"/>
        <v>FY2010A</v>
      </c>
      <c r="BS158" s="568" t="str">
        <f t="shared" si="604"/>
        <v>FY2011A</v>
      </c>
      <c r="BT158" s="568" t="str">
        <f t="shared" si="604"/>
        <v>FY2012A</v>
      </c>
      <c r="BU158" s="568" t="str">
        <f t="shared" si="604"/>
        <v>FY2013A</v>
      </c>
      <c r="BV158" s="568" t="str">
        <f t="shared" si="604"/>
        <v>FY2014A</v>
      </c>
      <c r="BW158" s="568" t="str">
        <f t="shared" si="604"/>
        <v>FY2015A</v>
      </c>
      <c r="BX158" s="568" t="str">
        <f t="shared" si="604"/>
        <v>FY2016A</v>
      </c>
      <c r="BY158" s="568" t="str">
        <f t="shared" si="604"/>
        <v>FY2017A</v>
      </c>
      <c r="BZ158" s="568" t="str">
        <f t="shared" si="604"/>
        <v>FY2018E</v>
      </c>
      <c r="CA158" s="568" t="str">
        <f t="shared" si="604"/>
        <v>FY2019E</v>
      </c>
      <c r="CB158" s="2132" t="str">
        <f t="shared" si="604"/>
        <v>FY2020E</v>
      </c>
      <c r="CC158" s="2140"/>
      <c r="CD158" s="7"/>
    </row>
    <row r="159" spans="1:88" s="808" customFormat="1" ht="14.25" customHeight="1">
      <c r="A159" s="713"/>
      <c r="B159" s="856" t="s">
        <v>429</v>
      </c>
      <c r="C159" s="710"/>
      <c r="D159" s="710"/>
      <c r="E159" s="710"/>
      <c r="F159" s="710"/>
      <c r="G159" s="711"/>
      <c r="H159" s="710"/>
      <c r="I159" s="710"/>
      <c r="J159" s="710"/>
      <c r="K159" s="711"/>
      <c r="L159" s="710"/>
      <c r="M159" s="710"/>
      <c r="N159" s="710"/>
      <c r="O159" s="711"/>
      <c r="P159" s="710"/>
      <c r="Q159" s="710"/>
      <c r="R159" s="710"/>
      <c r="S159" s="711"/>
      <c r="T159" s="710"/>
      <c r="U159" s="710"/>
      <c r="V159" s="710"/>
      <c r="W159" s="711"/>
      <c r="X159" s="710"/>
      <c r="Y159" s="710"/>
      <c r="Z159" s="710"/>
      <c r="AA159" s="711"/>
      <c r="AB159" s="710">
        <f t="shared" ref="AB159:AU159" si="605">+AA84</f>
        <v>1789</v>
      </c>
      <c r="AC159" s="710">
        <f t="shared" si="605"/>
        <v>1745</v>
      </c>
      <c r="AD159" s="710">
        <f t="shared" si="605"/>
        <v>1861</v>
      </c>
      <c r="AE159" s="711">
        <f t="shared" si="605"/>
        <v>1857</v>
      </c>
      <c r="AF159" s="710">
        <f t="shared" si="605"/>
        <v>1914</v>
      </c>
      <c r="AG159" s="710">
        <f t="shared" si="605"/>
        <v>1713</v>
      </c>
      <c r="AH159" s="710">
        <f t="shared" si="605"/>
        <v>1759</v>
      </c>
      <c r="AI159" s="711">
        <f t="shared" si="605"/>
        <v>1480</v>
      </c>
      <c r="AJ159" s="710">
        <f t="shared" si="605"/>
        <v>1183</v>
      </c>
      <c r="AK159" s="710">
        <f t="shared" si="605"/>
        <v>1183</v>
      </c>
      <c r="AL159" s="710">
        <f t="shared" si="605"/>
        <v>1117</v>
      </c>
      <c r="AM159" s="711">
        <f t="shared" si="605"/>
        <v>1181</v>
      </c>
      <c r="AN159" s="710">
        <f t="shared" si="605"/>
        <v>1187</v>
      </c>
      <c r="AO159" s="710">
        <f t="shared" si="605"/>
        <v>982</v>
      </c>
      <c r="AP159" s="710">
        <f t="shared" si="605"/>
        <v>948</v>
      </c>
      <c r="AQ159" s="711">
        <f t="shared" si="605"/>
        <v>938</v>
      </c>
      <c r="AR159" s="710">
        <f t="shared" si="605"/>
        <v>1040</v>
      </c>
      <c r="AS159" s="710">
        <f t="shared" si="605"/>
        <v>906</v>
      </c>
      <c r="AT159" s="710">
        <f t="shared" si="605"/>
        <v>829</v>
      </c>
      <c r="AU159" s="711">
        <f t="shared" si="605"/>
        <v>755</v>
      </c>
      <c r="AV159" s="710">
        <f t="shared" ref="AV159" si="606">+AU84</f>
        <v>785</v>
      </c>
      <c r="AW159" s="710">
        <f t="shared" ref="AW159:AY159" si="607">+AV84</f>
        <v>716</v>
      </c>
      <c r="AX159" s="710">
        <f t="shared" si="607"/>
        <v>957</v>
      </c>
      <c r="AY159" s="711">
        <f t="shared" si="607"/>
        <v>1258</v>
      </c>
      <c r="AZ159" s="710">
        <f t="shared" ref="AZ159" si="608">+AY84</f>
        <v>1264</v>
      </c>
      <c r="BA159" s="710">
        <f t="shared" ref="BA159" si="609">+AZ84</f>
        <v>943</v>
      </c>
      <c r="BB159" s="1101">
        <f t="shared" ref="BB159" si="610">+BA84</f>
        <v>844</v>
      </c>
      <c r="BC159" s="711">
        <f t="shared" ref="BC159" si="611">+BB84</f>
        <v>879</v>
      </c>
      <c r="BD159" s="710">
        <f t="shared" ref="BD159" si="612">+BC84</f>
        <v>1185</v>
      </c>
      <c r="BE159" s="710">
        <f t="shared" ref="BE159" si="613">+BD84</f>
        <v>1045</v>
      </c>
      <c r="BF159" s="1101">
        <f t="shared" ref="BF159" si="614">+BE84</f>
        <v>1175.4116601618136</v>
      </c>
      <c r="BG159" s="711">
        <f t="shared" ref="BG159" si="615">+BF84</f>
        <v>1321.55054594116</v>
      </c>
      <c r="BH159" s="710">
        <f t="shared" ref="BH159" si="616">+BG84</f>
        <v>1449.8981177399837</v>
      </c>
      <c r="BI159" s="710">
        <f t="shared" ref="BI159" si="617">+BH84</f>
        <v>1619.2365541236691</v>
      </c>
      <c r="BJ159" s="1101">
        <f t="shared" ref="BJ159" si="618">+BI84</f>
        <v>1733.9256624607945</v>
      </c>
      <c r="BK159" s="711">
        <f t="shared" ref="BK159" si="619">+BJ84</f>
        <v>1819.1713108402362</v>
      </c>
      <c r="BL159" s="2037"/>
      <c r="BM159" s="712"/>
      <c r="BN159" s="710"/>
      <c r="BO159" s="710"/>
      <c r="BP159" s="710"/>
      <c r="BQ159" s="710"/>
      <c r="BR159" s="710"/>
      <c r="BS159" s="710"/>
      <c r="BT159" s="710"/>
      <c r="BU159" s="710"/>
      <c r="BV159" s="710">
        <f t="shared" ref="BV159:CB159" si="620">+BU84</f>
        <v>1187</v>
      </c>
      <c r="BW159" s="710">
        <f t="shared" si="620"/>
        <v>1040</v>
      </c>
      <c r="BX159" s="710">
        <f t="shared" si="620"/>
        <v>785</v>
      </c>
      <c r="BY159" s="710">
        <f t="shared" si="620"/>
        <v>1264</v>
      </c>
      <c r="BZ159" s="710">
        <f t="shared" si="620"/>
        <v>1185</v>
      </c>
      <c r="CA159" s="710">
        <f t="shared" si="620"/>
        <v>1449.8981177399837</v>
      </c>
      <c r="CB159" s="302">
        <f t="shared" si="620"/>
        <v>1963.6684532005058</v>
      </c>
      <c r="CC159" s="1943"/>
      <c r="CD159" s="713"/>
      <c r="CE159"/>
      <c r="CF159"/>
      <c r="CG159"/>
      <c r="CH159"/>
      <c r="CI159"/>
      <c r="CJ159"/>
    </row>
    <row r="160" spans="1:88" s="808" customFormat="1" ht="14.25" customHeight="1">
      <c r="A160" s="713"/>
      <c r="B160" s="856" t="s">
        <v>430</v>
      </c>
      <c r="C160" s="710"/>
      <c r="D160" s="710"/>
      <c r="E160" s="710"/>
      <c r="F160" s="710"/>
      <c r="G160" s="711"/>
      <c r="H160" s="710"/>
      <c r="I160" s="710"/>
      <c r="J160" s="710"/>
      <c r="K160" s="711"/>
      <c r="L160" s="710"/>
      <c r="M160" s="710"/>
      <c r="N160" s="710"/>
      <c r="O160" s="711"/>
      <c r="P160" s="710"/>
      <c r="Q160" s="710"/>
      <c r="R160" s="710"/>
      <c r="S160" s="711"/>
      <c r="T160" s="710"/>
      <c r="U160" s="710"/>
      <c r="V160" s="710"/>
      <c r="W160" s="711"/>
      <c r="X160" s="710"/>
      <c r="Y160" s="710"/>
      <c r="Z160" s="710"/>
      <c r="AA160" s="711"/>
      <c r="AB160" s="710">
        <f t="shared" ref="AB160:AG160" si="621">+AB84</f>
        <v>1745</v>
      </c>
      <c r="AC160" s="710">
        <f t="shared" si="621"/>
        <v>1861</v>
      </c>
      <c r="AD160" s="710">
        <f t="shared" si="621"/>
        <v>1857</v>
      </c>
      <c r="AE160" s="711">
        <f t="shared" si="621"/>
        <v>1914</v>
      </c>
      <c r="AF160" s="710">
        <f t="shared" si="621"/>
        <v>1713</v>
      </c>
      <c r="AG160" s="710">
        <f t="shared" si="621"/>
        <v>1759</v>
      </c>
      <c r="AH160" s="710"/>
      <c r="AI160" s="711"/>
      <c r="AJ160" s="710"/>
      <c r="AK160" s="710"/>
      <c r="AL160" s="710"/>
      <c r="AM160" s="711"/>
      <c r="AN160" s="710"/>
      <c r="AO160" s="710"/>
      <c r="AP160" s="710"/>
      <c r="AQ160" s="711"/>
      <c r="AR160" s="710"/>
      <c r="AS160" s="710"/>
      <c r="AT160" s="710"/>
      <c r="AU160" s="711"/>
      <c r="AV160" s="710"/>
      <c r="AW160" s="710"/>
      <c r="AX160" s="710"/>
      <c r="AY160" s="711"/>
      <c r="AZ160" s="710"/>
      <c r="BA160" s="710"/>
      <c r="BB160" s="1101"/>
      <c r="BC160" s="711"/>
      <c r="BD160" s="710"/>
      <c r="BE160" s="710"/>
      <c r="BF160" s="1101"/>
      <c r="BG160" s="711"/>
      <c r="BH160" s="710"/>
      <c r="BI160" s="710"/>
      <c r="BJ160" s="1101"/>
      <c r="BK160" s="711"/>
      <c r="BL160" s="2037"/>
      <c r="BM160" s="712"/>
      <c r="BN160" s="710"/>
      <c r="BO160" s="710"/>
      <c r="BP160" s="710"/>
      <c r="BQ160" s="710"/>
      <c r="BR160" s="710"/>
      <c r="BS160" s="710"/>
      <c r="BT160" s="710"/>
      <c r="BU160" s="710"/>
      <c r="BV160" s="710"/>
      <c r="BW160" s="710"/>
      <c r="BX160" s="710"/>
      <c r="BY160" s="710"/>
      <c r="BZ160" s="710"/>
      <c r="CA160" s="710"/>
      <c r="CB160" s="302"/>
      <c r="CC160" s="1943"/>
      <c r="CD160" s="713"/>
      <c r="CE160"/>
      <c r="CF160"/>
      <c r="CG160"/>
      <c r="CH160"/>
      <c r="CI160"/>
      <c r="CJ160"/>
    </row>
    <row r="161" spans="1:88" s="816" customFormat="1" ht="14.25" customHeight="1">
      <c r="A161" s="319"/>
      <c r="B161" s="849" t="s">
        <v>428</v>
      </c>
      <c r="C161" s="300"/>
      <c r="D161" s="300"/>
      <c r="E161" s="300"/>
      <c r="F161" s="300"/>
      <c r="G161" s="301"/>
      <c r="H161" s="300"/>
      <c r="I161" s="300"/>
      <c r="J161" s="300"/>
      <c r="K161" s="301"/>
      <c r="L161" s="300"/>
      <c r="M161" s="300"/>
      <c r="N161" s="300"/>
      <c r="O161" s="301"/>
      <c r="P161" s="300"/>
      <c r="Q161" s="300"/>
      <c r="R161" s="300"/>
      <c r="S161" s="301"/>
      <c r="T161" s="300"/>
      <c r="U161" s="300"/>
      <c r="V161" s="300"/>
      <c r="W161" s="301"/>
      <c r="X161" s="300"/>
      <c r="Y161" s="300"/>
      <c r="Z161" s="300"/>
      <c r="AA161" s="301"/>
      <c r="AB161" s="811">
        <f t="shared" ref="AB161:AG161" si="622">+AB162/AVERAGE(AB159:AB160)*4</f>
        <v>6.7911714770797962E-3</v>
      </c>
      <c r="AC161" s="812">
        <f t="shared" si="622"/>
        <v>4.4370493621741546E-3</v>
      </c>
      <c r="AD161" s="812">
        <f t="shared" si="622"/>
        <v>6.4550833781603012E-3</v>
      </c>
      <c r="AE161" s="813">
        <f t="shared" si="622"/>
        <v>4.2429063908777515E-3</v>
      </c>
      <c r="AF161" s="812">
        <f t="shared" si="622"/>
        <v>4.4113592500689275E-3</v>
      </c>
      <c r="AG161" s="812">
        <f t="shared" si="622"/>
        <v>4.608294930875576E-3</v>
      </c>
      <c r="AH161" s="815">
        <v>5.0000000000000001E-3</v>
      </c>
      <c r="AI161" s="301">
        <f t="shared" ref="AI161:AQ161" si="623">+AH161</f>
        <v>5.0000000000000001E-3</v>
      </c>
      <c r="AJ161" s="300">
        <f t="shared" si="623"/>
        <v>5.0000000000000001E-3</v>
      </c>
      <c r="AK161" s="300">
        <f t="shared" si="623"/>
        <v>5.0000000000000001E-3</v>
      </c>
      <c r="AL161" s="300">
        <f t="shared" si="623"/>
        <v>5.0000000000000001E-3</v>
      </c>
      <c r="AM161" s="301">
        <f>+AL161</f>
        <v>5.0000000000000001E-3</v>
      </c>
      <c r="AN161" s="300">
        <f t="shared" si="623"/>
        <v>5.0000000000000001E-3</v>
      </c>
      <c r="AO161" s="300">
        <f t="shared" si="623"/>
        <v>5.0000000000000001E-3</v>
      </c>
      <c r="AP161" s="300">
        <f t="shared" si="623"/>
        <v>5.0000000000000001E-3</v>
      </c>
      <c r="AQ161" s="301">
        <f t="shared" si="623"/>
        <v>5.0000000000000001E-3</v>
      </c>
      <c r="AR161" s="300">
        <f>+AQ161</f>
        <v>5.0000000000000001E-3</v>
      </c>
      <c r="AS161" s="300">
        <f>+AR161</f>
        <v>5.0000000000000001E-3</v>
      </c>
      <c r="AT161" s="300">
        <f>+AS161</f>
        <v>5.0000000000000001E-3</v>
      </c>
      <c r="AU161" s="301">
        <f>+AT161</f>
        <v>5.0000000000000001E-3</v>
      </c>
      <c r="AV161" s="300">
        <f t="shared" ref="AV161:AW161" si="624">+AU161</f>
        <v>5.0000000000000001E-3</v>
      </c>
      <c r="AW161" s="300">
        <f t="shared" si="624"/>
        <v>5.0000000000000001E-3</v>
      </c>
      <c r="AX161" s="300">
        <f>+AW161</f>
        <v>5.0000000000000001E-3</v>
      </c>
      <c r="AY161" s="301">
        <f>+AX161</f>
        <v>5.0000000000000001E-3</v>
      </c>
      <c r="AZ161" s="300">
        <f t="shared" ref="AZ161" si="625">+AY161</f>
        <v>5.0000000000000001E-3</v>
      </c>
      <c r="BA161" s="300">
        <f t="shared" ref="BA161" si="626">+AZ161</f>
        <v>5.0000000000000001E-3</v>
      </c>
      <c r="BB161" s="1102">
        <f t="shared" ref="BB161" si="627">+BA161</f>
        <v>5.0000000000000001E-3</v>
      </c>
      <c r="BC161" s="301">
        <f t="shared" ref="BC161" si="628">+BB161</f>
        <v>5.0000000000000001E-3</v>
      </c>
      <c r="BD161" s="300">
        <f t="shared" ref="BD161" si="629">+BC161</f>
        <v>5.0000000000000001E-3</v>
      </c>
      <c r="BE161" s="300">
        <f t="shared" ref="BE161" si="630">+BD161</f>
        <v>5.0000000000000001E-3</v>
      </c>
      <c r="BF161" s="1102">
        <f t="shared" ref="BF161" si="631">+BE161</f>
        <v>5.0000000000000001E-3</v>
      </c>
      <c r="BG161" s="301">
        <f t="shared" ref="BG161" si="632">+BF161</f>
        <v>5.0000000000000001E-3</v>
      </c>
      <c r="BH161" s="300">
        <f t="shared" ref="BH161" si="633">+BG161</f>
        <v>5.0000000000000001E-3</v>
      </c>
      <c r="BI161" s="300">
        <f t="shared" ref="BI161" si="634">+BH161</f>
        <v>5.0000000000000001E-3</v>
      </c>
      <c r="BJ161" s="1102">
        <f t="shared" ref="BJ161" si="635">+BI161</f>
        <v>5.0000000000000001E-3</v>
      </c>
      <c r="BK161" s="301">
        <f t="shared" ref="BK161" si="636">+BJ161</f>
        <v>5.0000000000000001E-3</v>
      </c>
      <c r="BL161" s="2038"/>
      <c r="BM161" s="814"/>
      <c r="BN161" s="300"/>
      <c r="BO161" s="300"/>
      <c r="BP161" s="300"/>
      <c r="BQ161" s="300"/>
      <c r="BR161" s="300"/>
      <c r="BS161" s="300"/>
      <c r="BT161" s="300"/>
      <c r="BU161" s="300"/>
      <c r="BV161" s="300">
        <v>5.0000000000000001E-3</v>
      </c>
      <c r="BW161" s="300">
        <v>5.0000000000000001E-3</v>
      </c>
      <c r="BX161" s="300">
        <v>5.0000000000000001E-3</v>
      </c>
      <c r="BY161" s="300">
        <f>+BX161</f>
        <v>5.0000000000000001E-3</v>
      </c>
      <c r="BZ161" s="300">
        <f>+BY161</f>
        <v>5.0000000000000001E-3</v>
      </c>
      <c r="CA161" s="300">
        <f>+BZ161</f>
        <v>5.0000000000000001E-3</v>
      </c>
      <c r="CB161" s="2068">
        <f>+CA161</f>
        <v>5.0000000000000001E-3</v>
      </c>
      <c r="CC161" s="2141"/>
      <c r="CD161" s="319"/>
      <c r="CE161"/>
      <c r="CF161"/>
      <c r="CG161"/>
      <c r="CH161"/>
      <c r="CI161"/>
      <c r="CJ161"/>
    </row>
    <row r="162" spans="1:88" s="810" customFormat="1" ht="14.25" customHeight="1">
      <c r="A162" s="809"/>
      <c r="B162" s="857" t="s">
        <v>427</v>
      </c>
      <c r="C162" s="818"/>
      <c r="D162" s="818"/>
      <c r="E162" s="818"/>
      <c r="F162" s="818"/>
      <c r="G162" s="819"/>
      <c r="H162" s="818"/>
      <c r="I162" s="818"/>
      <c r="J162" s="818"/>
      <c r="K162" s="819"/>
      <c r="L162" s="818"/>
      <c r="M162" s="818"/>
      <c r="N162" s="818"/>
      <c r="O162" s="819"/>
      <c r="P162" s="818"/>
      <c r="Q162" s="818"/>
      <c r="R162" s="818"/>
      <c r="S162" s="819"/>
      <c r="T162" s="818"/>
      <c r="U162" s="818"/>
      <c r="V162" s="818"/>
      <c r="W162" s="819"/>
      <c r="X162" s="818"/>
      <c r="Y162" s="818"/>
      <c r="Z162" s="818"/>
      <c r="AA162" s="819"/>
      <c r="AB162" s="820">
        <f>+IS!AB67</f>
        <v>3</v>
      </c>
      <c r="AC162" s="820">
        <f>+IS!AC67</f>
        <v>2</v>
      </c>
      <c r="AD162" s="820">
        <f>+IS!AD67</f>
        <v>3</v>
      </c>
      <c r="AE162" s="821">
        <f>+IS!AE67</f>
        <v>2</v>
      </c>
      <c r="AF162" s="820">
        <f>+IS!AF67</f>
        <v>2</v>
      </c>
      <c r="AG162" s="820">
        <f>+IS!AG67</f>
        <v>2</v>
      </c>
      <c r="AH162" s="818">
        <f t="shared" ref="AH162:AM162" si="637">+AH159*AH161/4</f>
        <v>2.19875</v>
      </c>
      <c r="AI162" s="819">
        <f t="shared" si="637"/>
        <v>1.85</v>
      </c>
      <c r="AJ162" s="818">
        <f t="shared" si="637"/>
        <v>1.47875</v>
      </c>
      <c r="AK162" s="818">
        <f t="shared" si="637"/>
        <v>1.47875</v>
      </c>
      <c r="AL162" s="818">
        <f t="shared" si="637"/>
        <v>1.39625</v>
      </c>
      <c r="AM162" s="819">
        <f t="shared" si="637"/>
        <v>1.4762500000000001</v>
      </c>
      <c r="AN162" s="818">
        <f t="shared" ref="AN162:AU162" si="638">+AN159*AN161/4</f>
        <v>1.4837500000000001</v>
      </c>
      <c r="AO162" s="818">
        <f t="shared" si="638"/>
        <v>1.2275</v>
      </c>
      <c r="AP162" s="818">
        <f t="shared" si="638"/>
        <v>1.1850000000000001</v>
      </c>
      <c r="AQ162" s="819">
        <f t="shared" si="638"/>
        <v>1.1725000000000001</v>
      </c>
      <c r="AR162" s="818">
        <f t="shared" si="638"/>
        <v>1.3</v>
      </c>
      <c r="AS162" s="818">
        <f t="shared" si="638"/>
        <v>1.1325000000000001</v>
      </c>
      <c r="AT162" s="818">
        <f t="shared" si="638"/>
        <v>1.0362500000000001</v>
      </c>
      <c r="AU162" s="819">
        <f t="shared" si="638"/>
        <v>0.94374999999999998</v>
      </c>
      <c r="AV162" s="818">
        <f t="shared" ref="AV162:AY162" si="639">+AV159*AV161/4</f>
        <v>0.98125000000000007</v>
      </c>
      <c r="AW162" s="818">
        <f t="shared" si="639"/>
        <v>0.89500000000000002</v>
      </c>
      <c r="AX162" s="818">
        <f t="shared" si="639"/>
        <v>1.19625</v>
      </c>
      <c r="AY162" s="819">
        <f t="shared" si="639"/>
        <v>1.5725</v>
      </c>
      <c r="AZ162" s="818">
        <f t="shared" ref="AZ162:BC162" si="640">+AZ159*AZ161/4</f>
        <v>1.58</v>
      </c>
      <c r="BA162" s="818">
        <f t="shared" si="640"/>
        <v>1.17875</v>
      </c>
      <c r="BB162" s="257">
        <f t="shared" si="640"/>
        <v>1.0549999999999999</v>
      </c>
      <c r="BC162" s="819">
        <f t="shared" si="640"/>
        <v>1.0987500000000001</v>
      </c>
      <c r="BD162" s="818">
        <f t="shared" ref="BD162:BG162" si="641">+BD159*BD161/4</f>
        <v>1.48125</v>
      </c>
      <c r="BE162" s="818">
        <f t="shared" si="641"/>
        <v>1.3062500000000001</v>
      </c>
      <c r="BF162" s="257">
        <f t="shared" si="641"/>
        <v>1.4692645752022671</v>
      </c>
      <c r="BG162" s="819">
        <f t="shared" si="641"/>
        <v>1.6519381824264501</v>
      </c>
      <c r="BH162" s="818">
        <f t="shared" ref="BH162:BK162" si="642">+BH159*BH161/4</f>
        <v>1.8123726471749797</v>
      </c>
      <c r="BI162" s="818">
        <f t="shared" si="642"/>
        <v>2.0240456926545862</v>
      </c>
      <c r="BJ162" s="257">
        <f t="shared" si="642"/>
        <v>2.1674070780759931</v>
      </c>
      <c r="BK162" s="819">
        <f t="shared" si="642"/>
        <v>2.2739641385502951</v>
      </c>
      <c r="BL162" s="2039"/>
      <c r="BM162" s="817"/>
      <c r="BN162" s="818"/>
      <c r="BO162" s="818"/>
      <c r="BP162" s="818"/>
      <c r="BQ162" s="818"/>
      <c r="BR162" s="818"/>
      <c r="BS162" s="818"/>
      <c r="BT162" s="818"/>
      <c r="BU162" s="818"/>
      <c r="BV162" s="818">
        <f t="shared" ref="BV162:BY162" si="643">+BV159*BV161</f>
        <v>5.9350000000000005</v>
      </c>
      <c r="BW162" s="818">
        <f t="shared" si="643"/>
        <v>5.2</v>
      </c>
      <c r="BX162" s="818">
        <f t="shared" si="643"/>
        <v>3.9250000000000003</v>
      </c>
      <c r="BY162" s="818">
        <f t="shared" si="643"/>
        <v>6.32</v>
      </c>
      <c r="BZ162" s="818">
        <f t="shared" ref="BZ162:CB162" si="644">+BZ159*BZ161</f>
        <v>5.9249999999999998</v>
      </c>
      <c r="CA162" s="818">
        <f t="shared" si="644"/>
        <v>7.2494905886999188</v>
      </c>
      <c r="CB162" s="818">
        <f t="shared" si="644"/>
        <v>9.8183422660025297</v>
      </c>
      <c r="CC162" s="2142"/>
      <c r="CD162" s="809"/>
      <c r="CE162"/>
      <c r="CF162"/>
      <c r="CG162"/>
      <c r="CH162"/>
      <c r="CI162"/>
      <c r="CJ162"/>
    </row>
    <row r="163" spans="1:88" ht="14.25" customHeight="1">
      <c r="A163" s="7"/>
      <c r="B163" s="855"/>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324"/>
      <c r="AG163" s="324"/>
      <c r="AH163" s="324"/>
      <c r="AI163" s="435"/>
      <c r="AJ163" s="7"/>
      <c r="AK163" s="7"/>
      <c r="AL163" s="7"/>
      <c r="AM163" s="435"/>
      <c r="AN163" s="7"/>
      <c r="AO163" s="7"/>
      <c r="AP163" s="7"/>
      <c r="AQ163" s="435"/>
      <c r="AR163" s="7"/>
      <c r="AS163" s="7"/>
      <c r="AT163" s="7"/>
      <c r="AU163" s="435"/>
      <c r="AV163" s="7"/>
      <c r="AW163" s="7"/>
      <c r="AX163" s="7"/>
      <c r="AY163" s="435"/>
      <c r="AZ163" s="7"/>
      <c r="BA163" s="7"/>
      <c r="BB163" s="7"/>
      <c r="BC163" s="7"/>
      <c r="BD163" s="7"/>
      <c r="BE163" s="7"/>
      <c r="BF163" s="7"/>
      <c r="BG163" s="7"/>
      <c r="BH163" s="7"/>
      <c r="BI163" s="7"/>
      <c r="BJ163" s="7"/>
      <c r="BK163" s="7"/>
      <c r="BL163" s="7"/>
      <c r="BM163" s="7"/>
      <c r="BN163" s="7"/>
      <c r="BO163" s="7"/>
      <c r="BP163" s="7"/>
      <c r="BQ163" s="7"/>
      <c r="BR163" s="7"/>
      <c r="BS163" s="7"/>
      <c r="BT163" s="7"/>
      <c r="BU163" s="7"/>
      <c r="BV163" s="7"/>
      <c r="BW163" s="7"/>
      <c r="BX163" s="7"/>
      <c r="BY163" s="7"/>
      <c r="BZ163" s="7"/>
      <c r="CA163" s="7"/>
      <c r="CB163" s="2072"/>
      <c r="CC163" s="7"/>
      <c r="CD163" s="7"/>
    </row>
    <row r="164" spans="1:88" ht="14.25" customHeight="1">
      <c r="A164" s="7"/>
      <c r="B164" s="855"/>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324"/>
      <c r="AG164" s="324"/>
      <c r="AH164" s="324"/>
      <c r="AI164" s="435"/>
      <c r="AJ164" s="7"/>
      <c r="AK164" s="7"/>
      <c r="AL164" s="7"/>
      <c r="AM164" s="435"/>
      <c r="AN164" s="7"/>
      <c r="AO164" s="7"/>
      <c r="AP164" s="7"/>
      <c r="AQ164" s="435"/>
      <c r="AR164" s="7"/>
      <c r="AS164" s="7"/>
      <c r="AT164" s="7"/>
      <c r="AU164" s="435"/>
      <c r="AV164" s="7"/>
      <c r="AW164" s="7"/>
      <c r="AX164" s="7"/>
      <c r="AY164" s="435"/>
      <c r="AZ164" s="7"/>
      <c r="BA164" s="7"/>
      <c r="BB164" s="7"/>
      <c r="BC164" s="7"/>
      <c r="BD164" s="7"/>
      <c r="BE164" s="7"/>
      <c r="BF164" s="7"/>
      <c r="BG164" s="7"/>
      <c r="BH164" s="7"/>
      <c r="BI164" s="7"/>
      <c r="BJ164" s="7"/>
      <c r="BK164" s="7"/>
      <c r="BL164" s="7"/>
      <c r="BM164" s="7"/>
      <c r="BN164" s="7"/>
      <c r="BO164" s="7"/>
      <c r="BP164" s="7"/>
      <c r="BQ164" s="7"/>
      <c r="BR164" s="7"/>
      <c r="BS164" s="7"/>
      <c r="BT164" s="7"/>
      <c r="BU164" s="7"/>
      <c r="BV164" s="7"/>
      <c r="BW164" s="7"/>
      <c r="BX164" s="7"/>
      <c r="BY164" s="7"/>
      <c r="BZ164" s="7"/>
      <c r="CA164" s="7"/>
      <c r="CB164" s="2072"/>
      <c r="CC164" s="7"/>
      <c r="CD164" s="7"/>
    </row>
    <row r="165" spans="1:88" ht="14.25" customHeight="1">
      <c r="A165" s="7"/>
      <c r="B165" s="991" t="s">
        <v>445</v>
      </c>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324"/>
      <c r="AG165" s="324"/>
      <c r="AH165" s="324"/>
      <c r="AI165" s="435"/>
      <c r="AJ165" s="7"/>
      <c r="AK165" s="7"/>
      <c r="AL165" s="7"/>
      <c r="AM165" s="435"/>
      <c r="AN165" s="7"/>
      <c r="AO165" s="7"/>
      <c r="AP165" s="7"/>
      <c r="AQ165" s="435"/>
      <c r="AR165" s="7"/>
      <c r="AS165" s="7"/>
      <c r="AT165" s="7"/>
      <c r="AU165" s="435"/>
      <c r="AV165" s="7"/>
      <c r="AW165" s="7"/>
      <c r="AX165" s="7"/>
      <c r="AY165" s="435"/>
      <c r="AZ165" s="7"/>
      <c r="BA165" s="7"/>
      <c r="BB165" s="7"/>
      <c r="BC165" s="7"/>
      <c r="BD165" s="7"/>
      <c r="BE165" s="7"/>
      <c r="BF165" s="7"/>
      <c r="BG165" s="7"/>
      <c r="BH165" s="7"/>
      <c r="BI165" s="7"/>
      <c r="BJ165" s="7"/>
      <c r="BK165" s="7"/>
      <c r="BL165" s="7"/>
      <c r="BM165" s="7"/>
      <c r="BN165" s="7"/>
      <c r="BO165" s="7"/>
      <c r="BP165" s="7"/>
      <c r="BQ165" s="7"/>
      <c r="BR165" s="7"/>
      <c r="BS165" s="7"/>
      <c r="BT165" s="7"/>
      <c r="BU165" s="7"/>
      <c r="BV165" s="7"/>
      <c r="BW165" s="7"/>
      <c r="BX165" s="7"/>
      <c r="BY165" s="7"/>
      <c r="BZ165" s="7"/>
      <c r="CA165" s="7"/>
      <c r="CB165" s="2072"/>
      <c r="CC165" s="7"/>
      <c r="CD165" s="7"/>
    </row>
    <row r="166" spans="1:88" ht="14.25" customHeight="1">
      <c r="A166" s="7"/>
      <c r="B166" s="855" t="s">
        <v>400</v>
      </c>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324"/>
      <c r="AG166" s="324"/>
      <c r="AH166" s="324"/>
      <c r="AI166" s="435"/>
      <c r="AJ166" s="435">
        <f>+IS!AJ63</f>
        <v>-46</v>
      </c>
      <c r="AK166" s="435">
        <f>+IS!AK63</f>
        <v>-20</v>
      </c>
      <c r="AL166" s="435">
        <f>+IS!AL63</f>
        <v>78</v>
      </c>
      <c r="AM166" s="435">
        <f>+IS!AM63</f>
        <v>91</v>
      </c>
      <c r="AN166" s="435">
        <f>+IS!AN63</f>
        <v>38</v>
      </c>
      <c r="AO166" s="435">
        <f>+IS!AO63</f>
        <v>67</v>
      </c>
      <c r="AP166" s="435">
        <f>+IS!AP63</f>
        <v>66</v>
      </c>
      <c r="AQ166" s="435">
        <f>+IS!AQ63</f>
        <v>36</v>
      </c>
      <c r="AR166" s="435">
        <f>+IS!AR63</f>
        <v>-47</v>
      </c>
      <c r="AS166" s="435">
        <f>+IS!AS63</f>
        <v>-104</v>
      </c>
      <c r="AT166" s="435">
        <f>+IS!AT63</f>
        <v>-110</v>
      </c>
      <c r="AU166" s="435">
        <f>+IS!AU63</f>
        <v>-55</v>
      </c>
      <c r="AV166" s="435">
        <f>+IS!AV63</f>
        <v>-71</v>
      </c>
      <c r="AW166" s="435">
        <f>+IS!AW63</f>
        <v>-15</v>
      </c>
      <c r="AX166" s="435">
        <f>+IS!AX63</f>
        <v>47</v>
      </c>
      <c r="AY166" s="435">
        <f>+IS!AY63</f>
        <v>-3</v>
      </c>
      <c r="AZ166" s="435">
        <f>+IS!AZ63</f>
        <v>-29</v>
      </c>
      <c r="BA166" s="435">
        <f>+IS!BA63</f>
        <v>25</v>
      </c>
      <c r="BB166" s="435">
        <f>+IS!BB63</f>
        <v>126</v>
      </c>
      <c r="BC166" s="435">
        <f>+IS!BC63</f>
        <v>82</v>
      </c>
      <c r="BD166" s="435">
        <f>+IS!BD63</f>
        <v>120</v>
      </c>
      <c r="BE166" s="435"/>
      <c r="BF166" s="435"/>
      <c r="BG166" s="435"/>
      <c r="BH166" s="435"/>
      <c r="BI166" s="435"/>
      <c r="BJ166" s="435"/>
      <c r="BK166" s="435"/>
      <c r="BL166" s="7"/>
      <c r="BM166" s="7"/>
      <c r="BN166" s="7"/>
      <c r="BO166" s="7"/>
      <c r="BP166" s="7"/>
      <c r="BQ166" s="7"/>
      <c r="BR166" s="7"/>
      <c r="BS166" s="7"/>
      <c r="BT166" s="7"/>
      <c r="BU166" s="7">
        <f>+SUM(AJ166:AM166)</f>
        <v>103</v>
      </c>
      <c r="BV166" s="7">
        <f>+SUM(AN166:AQ166)</f>
        <v>207</v>
      </c>
      <c r="BW166" s="7">
        <f>+IS!BW63</f>
        <v>-316</v>
      </c>
      <c r="BX166" s="7">
        <f>+IS!BX63</f>
        <v>-42</v>
      </c>
      <c r="BY166" s="7">
        <f>+IS!BY63</f>
        <v>204</v>
      </c>
      <c r="BZ166" s="7">
        <f>+IS!BZ63</f>
        <v>522.1627410428955</v>
      </c>
      <c r="CA166" s="7">
        <f>+IS!CA63</f>
        <v>452.01675298991358</v>
      </c>
      <c r="CB166" s="2133"/>
      <c r="CC166" s="7"/>
      <c r="CD166" s="7"/>
    </row>
    <row r="167" spans="1:88" s="423" customFormat="1" ht="14.25" customHeight="1">
      <c r="A167" s="415"/>
      <c r="B167" s="987" t="s">
        <v>446</v>
      </c>
      <c r="C167" s="415"/>
      <c r="D167" s="415"/>
      <c r="E167" s="415"/>
      <c r="F167" s="415"/>
      <c r="G167" s="415"/>
      <c r="H167" s="415"/>
      <c r="I167" s="415"/>
      <c r="J167" s="415"/>
      <c r="K167" s="415"/>
      <c r="L167" s="415"/>
      <c r="M167" s="415"/>
      <c r="N167" s="415"/>
      <c r="O167" s="415"/>
      <c r="P167" s="415"/>
      <c r="Q167" s="415"/>
      <c r="R167" s="415"/>
      <c r="S167" s="415"/>
      <c r="T167" s="415"/>
      <c r="U167" s="415"/>
      <c r="V167" s="415"/>
      <c r="W167" s="415"/>
      <c r="X167" s="415"/>
      <c r="Y167" s="415"/>
      <c r="Z167" s="415"/>
      <c r="AA167" s="415"/>
      <c r="AB167" s="415"/>
      <c r="AC167" s="415"/>
      <c r="AD167" s="415"/>
      <c r="AE167" s="415"/>
      <c r="AF167" s="988"/>
      <c r="AG167" s="988"/>
      <c r="AH167" s="988"/>
      <c r="AI167" s="989"/>
      <c r="AJ167" s="989">
        <f>+CFS!AJ10</f>
        <v>66</v>
      </c>
      <c r="AK167" s="989">
        <f>+CFS!AK10</f>
        <v>59</v>
      </c>
      <c r="AL167" s="989">
        <f>+CFS!AL10</f>
        <v>57</v>
      </c>
      <c r="AM167" s="989">
        <f>+CFS!AM10</f>
        <v>54</v>
      </c>
      <c r="AN167" s="989">
        <f>+CFS!AN10</f>
        <v>53</v>
      </c>
      <c r="AO167" s="989">
        <f>+CFS!AO10</f>
        <v>53</v>
      </c>
      <c r="AP167" s="989">
        <f>+CFS!AP10</f>
        <v>49</v>
      </c>
      <c r="AQ167" s="989">
        <f>+CFS!AQ10</f>
        <v>48</v>
      </c>
      <c r="AR167" s="989">
        <f>+CFS!AR10</f>
        <v>46</v>
      </c>
      <c r="AS167" s="989">
        <f>+CFS!AS10</f>
        <v>45</v>
      </c>
      <c r="AT167" s="989">
        <f>+CFS!AT10</f>
        <v>42</v>
      </c>
      <c r="AU167" s="989">
        <f>+CFS!AU10</f>
        <v>34</v>
      </c>
      <c r="AV167" s="989">
        <f>+CFS!AV10</f>
        <v>33</v>
      </c>
      <c r="AW167" s="989">
        <f>+CFS!AW10</f>
        <v>33</v>
      </c>
      <c r="AX167" s="989">
        <f>+CFS!AX10</f>
        <v>33</v>
      </c>
      <c r="AY167" s="989">
        <f>+CFS!AY10</f>
        <v>34</v>
      </c>
      <c r="AZ167" s="989">
        <f>+CFS!AZ10</f>
        <v>34</v>
      </c>
      <c r="BA167" s="989">
        <f>+CFS!BA10</f>
        <v>35</v>
      </c>
      <c r="BB167" s="989">
        <f>+CFS!BB10</f>
        <v>36</v>
      </c>
      <c r="BC167" s="989">
        <f>+CFS!BC10</f>
        <v>39</v>
      </c>
      <c r="BD167" s="989">
        <f>+CFS!BD10</f>
        <v>39</v>
      </c>
      <c r="BE167" s="989"/>
      <c r="BF167" s="989"/>
      <c r="BG167" s="989"/>
      <c r="BH167" s="989"/>
      <c r="BI167" s="989"/>
      <c r="BJ167" s="989"/>
      <c r="BK167" s="989"/>
      <c r="BL167" s="415"/>
      <c r="BM167" s="415"/>
      <c r="BN167" s="415"/>
      <c r="BO167" s="415"/>
      <c r="BP167" s="415"/>
      <c r="BQ167" s="415"/>
      <c r="BR167" s="415"/>
      <c r="BS167" s="415"/>
      <c r="BT167" s="415"/>
      <c r="BU167" s="415">
        <f>+SUM(AJ167:AM167)</f>
        <v>236</v>
      </c>
      <c r="BV167" s="415">
        <f>+SUM(AN167:AQ167)</f>
        <v>203</v>
      </c>
      <c r="BW167" s="415">
        <f>+CFS!BW10</f>
        <v>167</v>
      </c>
      <c r="BX167" s="415">
        <f>+CFS!BX10</f>
        <v>133</v>
      </c>
      <c r="BY167" s="415">
        <f>+CFS!BY10</f>
        <v>144</v>
      </c>
      <c r="BZ167" s="415">
        <f>+CFS!BZ10</f>
        <v>156</v>
      </c>
      <c r="CA167" s="415">
        <f>+CFS!CA10</f>
        <v>156</v>
      </c>
      <c r="CB167" s="2134"/>
      <c r="CC167" s="415"/>
      <c r="CD167" s="415"/>
      <c r="CE167"/>
      <c r="CF167"/>
      <c r="CG167"/>
      <c r="CH167"/>
      <c r="CI167"/>
      <c r="CJ167"/>
    </row>
    <row r="168" spans="1:88" s="114" customFormat="1" ht="14.25" customHeight="1">
      <c r="A168" s="115"/>
      <c r="B168" s="991" t="s">
        <v>445</v>
      </c>
      <c r="C168" s="115"/>
      <c r="D168" s="115"/>
      <c r="E168" s="115"/>
      <c r="F168" s="115"/>
      <c r="G168" s="115"/>
      <c r="H168" s="115"/>
      <c r="I168" s="115"/>
      <c r="J168" s="115"/>
      <c r="K168" s="115"/>
      <c r="L168" s="115"/>
      <c r="M168" s="115"/>
      <c r="N168" s="115"/>
      <c r="O168" s="115"/>
      <c r="P168" s="115"/>
      <c r="Q168" s="115"/>
      <c r="R168" s="115"/>
      <c r="S168" s="115"/>
      <c r="T168" s="115"/>
      <c r="U168" s="115"/>
      <c r="V168" s="115"/>
      <c r="W168" s="115"/>
      <c r="X168" s="115"/>
      <c r="Y168" s="115"/>
      <c r="Z168" s="115"/>
      <c r="AA168" s="115"/>
      <c r="AB168" s="115"/>
      <c r="AC168" s="115"/>
      <c r="AD168" s="115"/>
      <c r="AE168" s="115"/>
      <c r="AF168" s="992"/>
      <c r="AG168" s="992"/>
      <c r="AH168" s="992"/>
      <c r="AI168" s="802"/>
      <c r="AJ168" s="802">
        <f>+SUM(AJ166:AJ167)</f>
        <v>20</v>
      </c>
      <c r="AK168" s="802">
        <f t="shared" ref="AK168:AQ168" si="645">+SUM(AK166:AK167)</f>
        <v>39</v>
      </c>
      <c r="AL168" s="802">
        <f t="shared" si="645"/>
        <v>135</v>
      </c>
      <c r="AM168" s="802">
        <f t="shared" si="645"/>
        <v>145</v>
      </c>
      <c r="AN168" s="802">
        <f>+SUM(AN166:AN167)</f>
        <v>91</v>
      </c>
      <c r="AO168" s="802">
        <f>+SUM(AO166:AO167)</f>
        <v>120</v>
      </c>
      <c r="AP168" s="802">
        <f t="shared" si="645"/>
        <v>115</v>
      </c>
      <c r="AQ168" s="802">
        <f t="shared" si="645"/>
        <v>84</v>
      </c>
      <c r="AR168" s="802">
        <f t="shared" ref="AR168:AX168" si="646">+SUM(AR166:AR167)</f>
        <v>-1</v>
      </c>
      <c r="AS168" s="802">
        <f t="shared" si="646"/>
        <v>-59</v>
      </c>
      <c r="AT168" s="802">
        <f t="shared" si="646"/>
        <v>-68</v>
      </c>
      <c r="AU168" s="802">
        <f t="shared" si="646"/>
        <v>-21</v>
      </c>
      <c r="AV168" s="802">
        <f t="shared" si="646"/>
        <v>-38</v>
      </c>
      <c r="AW168" s="802">
        <f t="shared" si="646"/>
        <v>18</v>
      </c>
      <c r="AX168" s="802">
        <f t="shared" si="646"/>
        <v>80</v>
      </c>
      <c r="AY168" s="802">
        <f t="shared" ref="AY168:BB168" si="647">+SUM(AY166:AY167)</f>
        <v>31</v>
      </c>
      <c r="AZ168" s="802">
        <f t="shared" si="647"/>
        <v>5</v>
      </c>
      <c r="BA168" s="802">
        <f t="shared" si="647"/>
        <v>60</v>
      </c>
      <c r="BB168" s="802">
        <f t="shared" si="647"/>
        <v>162</v>
      </c>
      <c r="BC168" s="802">
        <f t="shared" ref="BC168:BD168" si="648">+SUM(BC166:BC167)</f>
        <v>121</v>
      </c>
      <c r="BD168" s="802">
        <f t="shared" si="648"/>
        <v>159</v>
      </c>
      <c r="BE168" s="802"/>
      <c r="BF168" s="802"/>
      <c r="BG168" s="802"/>
      <c r="BH168" s="802"/>
      <c r="BI168" s="802"/>
      <c r="BJ168" s="802"/>
      <c r="BK168" s="802"/>
      <c r="BL168" s="115"/>
      <c r="BM168" s="115"/>
      <c r="BN168" s="115"/>
      <c r="BO168" s="115"/>
      <c r="BP168" s="115"/>
      <c r="BQ168" s="115"/>
      <c r="BR168" s="115"/>
      <c r="BS168" s="115"/>
      <c r="BT168" s="115"/>
      <c r="BU168" s="115">
        <f>+SUM(AJ168:AM168)</f>
        <v>339</v>
      </c>
      <c r="BV168" s="115">
        <f>+SUM(AN168:AQ168)</f>
        <v>410</v>
      </c>
      <c r="BW168" s="115">
        <f>+SUM(BW166:BW167)</f>
        <v>-149</v>
      </c>
      <c r="BX168" s="115">
        <f>+SUM(BX166:BX167)</f>
        <v>91</v>
      </c>
      <c r="BY168" s="115">
        <f>+SUM(BY166:BY167)</f>
        <v>348</v>
      </c>
      <c r="BZ168" s="115">
        <f>+SUM(BZ166:BZ167)</f>
        <v>678.1627410428955</v>
      </c>
      <c r="CA168" s="115">
        <f>+SUM(CA166:CA167)</f>
        <v>608.01675298991358</v>
      </c>
      <c r="CB168" s="2135"/>
      <c r="CC168" s="115"/>
      <c r="CD168" s="115"/>
      <c r="CE168"/>
      <c r="CF168"/>
      <c r="CG168"/>
      <c r="CH168"/>
      <c r="CI168"/>
      <c r="CJ168"/>
    </row>
    <row r="169" spans="1:88" ht="14.25" customHeight="1">
      <c r="A169" s="7"/>
      <c r="B169" s="855"/>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324"/>
      <c r="AG169" s="324"/>
      <c r="AH169" s="324"/>
      <c r="AI169" s="435"/>
      <c r="AJ169" s="7"/>
      <c r="AK169" s="7"/>
      <c r="AL169" s="7"/>
      <c r="AM169" s="7"/>
      <c r="AN169" s="7"/>
      <c r="AO169" s="7"/>
      <c r="AP169" s="7"/>
      <c r="AQ169" s="7"/>
      <c r="AR169" s="7"/>
      <c r="AS169" s="7"/>
      <c r="AT169" s="7"/>
      <c r="AU169" s="7"/>
      <c r="AV169" s="7"/>
      <c r="AW169" s="7"/>
      <c r="AX169" s="7"/>
      <c r="AY169" s="7"/>
      <c r="AZ169" s="7"/>
      <c r="BA169" s="7"/>
      <c r="BB169" s="7"/>
      <c r="BC169" s="7"/>
      <c r="BD169" s="7"/>
      <c r="BE169" s="7"/>
      <c r="BF169" s="7"/>
      <c r="BG169" s="7"/>
      <c r="BH169" s="7"/>
      <c r="BI169" s="7"/>
      <c r="BJ169" s="7"/>
      <c r="BK169" s="7"/>
      <c r="BL169" s="7"/>
      <c r="BM169" s="7"/>
      <c r="BN169" s="7"/>
      <c r="BO169" s="7"/>
      <c r="BP169" s="7"/>
      <c r="BQ169" s="7"/>
      <c r="BR169" s="7"/>
      <c r="BS169" s="7"/>
      <c r="BT169" s="7"/>
      <c r="BU169" s="7"/>
      <c r="BV169" s="7"/>
      <c r="BW169" s="7"/>
      <c r="BX169" s="7"/>
      <c r="BY169" s="7"/>
      <c r="BZ169" s="7"/>
      <c r="CA169" s="7"/>
      <c r="CB169" s="2072"/>
      <c r="CC169" s="7"/>
      <c r="CD169" s="7"/>
    </row>
    <row r="170" spans="1:88" ht="14.25" customHeight="1">
      <c r="A170" s="7"/>
      <c r="B170" s="991" t="s">
        <v>454</v>
      </c>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324"/>
      <c r="AG170" s="324"/>
      <c r="AH170" s="324"/>
      <c r="AI170" s="435"/>
      <c r="AJ170" s="7"/>
      <c r="AK170" s="7"/>
      <c r="AL170" s="7"/>
      <c r="AM170" s="7"/>
      <c r="AN170" s="7"/>
      <c r="AO170" s="7"/>
      <c r="AP170" s="7"/>
      <c r="AQ170" s="7"/>
      <c r="AR170" s="7"/>
      <c r="AS170" s="7"/>
      <c r="AT170" s="7"/>
      <c r="AU170" s="7"/>
      <c r="AV170" s="7"/>
      <c r="AW170" s="7"/>
      <c r="AX170" s="7"/>
      <c r="AY170" s="7"/>
      <c r="AZ170" s="7"/>
      <c r="BA170" s="7"/>
      <c r="BB170" s="7"/>
      <c r="BC170" s="7"/>
      <c r="BD170" s="7"/>
      <c r="BE170" s="7"/>
      <c r="BF170" s="7"/>
      <c r="BG170" s="7"/>
      <c r="BH170" s="7"/>
      <c r="BI170" s="7"/>
      <c r="BJ170" s="7"/>
      <c r="BK170" s="7"/>
      <c r="BL170" s="7"/>
      <c r="BM170" s="7"/>
      <c r="BN170" s="7"/>
      <c r="BO170" s="7"/>
      <c r="BP170" s="7"/>
      <c r="BQ170" s="7"/>
      <c r="BR170" s="7"/>
      <c r="BS170" s="7"/>
      <c r="BT170" s="7"/>
      <c r="BU170" s="7"/>
      <c r="BV170" s="7"/>
      <c r="BW170" s="7"/>
      <c r="BX170" s="7"/>
      <c r="BY170" s="7"/>
      <c r="BZ170" s="7"/>
      <c r="CA170" s="7"/>
      <c r="CB170" s="2072"/>
      <c r="CC170" s="7"/>
      <c r="CD170" s="7"/>
    </row>
    <row r="171" spans="1:88" ht="14.25" customHeight="1">
      <c r="A171" s="7"/>
      <c r="B171" s="855" t="s">
        <v>453</v>
      </c>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324"/>
      <c r="AG171" s="324"/>
      <c r="AH171" s="324"/>
      <c r="AI171" s="435"/>
      <c r="AJ171" s="435">
        <f>AJ155</f>
        <v>45.793750000000003</v>
      </c>
      <c r="AK171" s="435">
        <f t="shared" ref="AK171:AQ171" si="649">AK155</f>
        <v>45.793750000000003</v>
      </c>
      <c r="AL171" s="435">
        <f t="shared" si="649"/>
        <v>45.793750000000003</v>
      </c>
      <c r="AM171" s="435">
        <f>AM155</f>
        <v>45.793750000000003</v>
      </c>
      <c r="AN171" s="435">
        <f>AN155</f>
        <v>45.793750000000003</v>
      </c>
      <c r="AO171" s="435">
        <f>AO155</f>
        <v>45.793750000000003</v>
      </c>
      <c r="AP171" s="435">
        <f t="shared" si="649"/>
        <v>45.793750000000003</v>
      </c>
      <c r="AQ171" s="435">
        <f t="shared" si="649"/>
        <v>45.793750000000003</v>
      </c>
      <c r="AR171" s="435">
        <f t="shared" ref="AR171:AX171" si="650">AR155</f>
        <v>44.818125000000002</v>
      </c>
      <c r="AS171" s="435">
        <f t="shared" si="650"/>
        <v>40.736249999999998</v>
      </c>
      <c r="AT171" s="435">
        <f t="shared" si="650"/>
        <v>40.59375</v>
      </c>
      <c r="AU171" s="435">
        <f t="shared" si="650"/>
        <v>40.621249999999996</v>
      </c>
      <c r="AV171" s="435">
        <f t="shared" si="650"/>
        <v>40.58</v>
      </c>
      <c r="AW171" s="435">
        <f t="shared" si="650"/>
        <v>40.58</v>
      </c>
      <c r="AX171" s="435">
        <f t="shared" si="650"/>
        <v>40.59375</v>
      </c>
      <c r="AY171" s="435">
        <f t="shared" ref="AY171:BB171" si="651">AY155</f>
        <v>17.163750000000004</v>
      </c>
      <c r="AZ171" s="435">
        <f t="shared" si="651"/>
        <v>17.163750000000004</v>
      </c>
      <c r="BA171" s="435">
        <f t="shared" si="651"/>
        <v>17.163750000000004</v>
      </c>
      <c r="BB171" s="435">
        <f t="shared" si="651"/>
        <v>17.163750000000004</v>
      </c>
      <c r="BC171" s="435">
        <f t="shared" ref="BC171:BD171" si="652">BC155</f>
        <v>17.163750000000004</v>
      </c>
      <c r="BD171" s="435">
        <f t="shared" si="652"/>
        <v>17.163750000000004</v>
      </c>
      <c r="BE171" s="435"/>
      <c r="BF171" s="435"/>
      <c r="BG171" s="435"/>
      <c r="BH171" s="435"/>
      <c r="BI171" s="435"/>
      <c r="BJ171" s="435"/>
      <c r="BK171" s="435"/>
      <c r="BL171" s="7"/>
      <c r="BM171" s="7"/>
      <c r="BN171" s="7"/>
      <c r="BO171" s="7"/>
      <c r="BP171" s="7"/>
      <c r="BQ171" s="7"/>
      <c r="BR171" s="7"/>
      <c r="BS171" s="7"/>
      <c r="BT171" s="7"/>
      <c r="BU171" s="7">
        <f>+SUM(AJ171:AM171)</f>
        <v>183.17500000000001</v>
      </c>
      <c r="BV171" s="7">
        <f>+SUM(AN171:AQ171)</f>
        <v>183.17500000000001</v>
      </c>
      <c r="BW171" s="7">
        <f>+BW155</f>
        <v>166.769375</v>
      </c>
      <c r="BX171" s="7">
        <f>+BX155</f>
        <v>138.91749999999999</v>
      </c>
      <c r="BY171" s="7">
        <f>+BY155</f>
        <v>68.655000000000015</v>
      </c>
      <c r="BZ171" s="7">
        <f>+BZ155</f>
        <v>68.655000000000015</v>
      </c>
      <c r="CA171" s="7">
        <f>+CA155</f>
        <v>68.655000000000015</v>
      </c>
      <c r="CB171" s="2133"/>
      <c r="CC171" s="7"/>
      <c r="CD171" s="7"/>
    </row>
    <row r="172" spans="1:88" s="423" customFormat="1" ht="14.25" customHeight="1">
      <c r="A172" s="415"/>
      <c r="B172" s="987" t="s">
        <v>144</v>
      </c>
      <c r="C172" s="415"/>
      <c r="D172" s="415"/>
      <c r="E172" s="415"/>
      <c r="F172" s="415"/>
      <c r="G172" s="415"/>
      <c r="H172" s="415"/>
      <c r="I172" s="415"/>
      <c r="J172" s="415"/>
      <c r="K172" s="415"/>
      <c r="L172" s="415"/>
      <c r="M172" s="415"/>
      <c r="N172" s="415"/>
      <c r="O172" s="415"/>
      <c r="P172" s="415"/>
      <c r="Q172" s="415"/>
      <c r="R172" s="415"/>
      <c r="S172" s="415"/>
      <c r="T172" s="415"/>
      <c r="U172" s="415"/>
      <c r="V172" s="415"/>
      <c r="W172" s="415"/>
      <c r="X172" s="415"/>
      <c r="Y172" s="415"/>
      <c r="Z172" s="415"/>
      <c r="AA172" s="415"/>
      <c r="AB172" s="415"/>
      <c r="AC172" s="415"/>
      <c r="AD172" s="415"/>
      <c r="AE172" s="415"/>
      <c r="AF172" s="988"/>
      <c r="AG172" s="988"/>
      <c r="AH172" s="988"/>
      <c r="AI172" s="989"/>
      <c r="AJ172" s="989">
        <f>-CFS!AJ33</f>
        <v>20</v>
      </c>
      <c r="AK172" s="989">
        <f>-CFS!AK33</f>
        <v>28</v>
      </c>
      <c r="AL172" s="989">
        <f>-CFS!AL33</f>
        <v>15</v>
      </c>
      <c r="AM172" s="989">
        <f>-CFS!AM33</f>
        <v>21</v>
      </c>
      <c r="AN172" s="989">
        <f>-CFS!AN33</f>
        <v>21</v>
      </c>
      <c r="AO172" s="989">
        <f>-CFS!AO33</f>
        <v>23</v>
      </c>
      <c r="AP172" s="989">
        <f>-CFS!AP33</f>
        <v>29</v>
      </c>
      <c r="AQ172" s="989">
        <f>-CFS!AQ33</f>
        <v>22</v>
      </c>
      <c r="AR172" s="989">
        <f>-CFS!AR33</f>
        <v>22</v>
      </c>
      <c r="AS172" s="989">
        <f>-CFS!AS33</f>
        <v>17</v>
      </c>
      <c r="AT172" s="989">
        <f>-CFS!AT33</f>
        <v>25</v>
      </c>
      <c r="AU172" s="989">
        <f>-CFS!AU33</f>
        <v>32</v>
      </c>
      <c r="AV172" s="989">
        <f>-CFS!AV33</f>
        <v>26</v>
      </c>
      <c r="AW172" s="989">
        <f>-CFS!AW33</f>
        <v>21</v>
      </c>
      <c r="AX172" s="989">
        <f>-CFS!AX33</f>
        <v>9</v>
      </c>
      <c r="AY172" s="989">
        <f>-CFS!AY33</f>
        <v>21</v>
      </c>
      <c r="AZ172" s="989">
        <f>-CFS!AZ33</f>
        <v>23</v>
      </c>
      <c r="BA172" s="989">
        <f>-CFS!BA33</f>
        <v>12</v>
      </c>
      <c r="BB172" s="989">
        <f>-CFS!BB33</f>
        <v>34</v>
      </c>
      <c r="BC172" s="989">
        <f>-CFS!BC33</f>
        <v>44</v>
      </c>
      <c r="BD172" s="989">
        <f>-CFS!BD33</f>
        <v>46</v>
      </c>
      <c r="BE172" s="989"/>
      <c r="BF172" s="989"/>
      <c r="BG172" s="989"/>
      <c r="BH172" s="989"/>
      <c r="BI172" s="989"/>
      <c r="BJ172" s="989"/>
      <c r="BK172" s="989"/>
      <c r="BL172" s="415"/>
      <c r="BM172" s="415"/>
      <c r="BN172" s="415"/>
      <c r="BO172" s="415"/>
      <c r="BP172" s="415"/>
      <c r="BQ172" s="415"/>
      <c r="BR172" s="415"/>
      <c r="BS172" s="415"/>
      <c r="BT172" s="415"/>
      <c r="BU172" s="415">
        <f>+SUM(AJ172:AM172)</f>
        <v>84</v>
      </c>
      <c r="BV172" s="415">
        <f>+SUM(AN172:AQ172)</f>
        <v>95</v>
      </c>
      <c r="BW172" s="415">
        <f>-CFS!BW33</f>
        <v>96</v>
      </c>
      <c r="BX172" s="415">
        <f>-CFS!BX33</f>
        <v>77</v>
      </c>
      <c r="BY172" s="415">
        <f>-CFS!BY33</f>
        <v>113</v>
      </c>
      <c r="BZ172" s="415">
        <f>-CFS!BZ33</f>
        <v>121</v>
      </c>
      <c r="CA172" s="415">
        <f>-CFS!CA33</f>
        <v>100</v>
      </c>
      <c r="CB172" s="2134"/>
      <c r="CC172" s="415"/>
      <c r="CD172" s="415"/>
      <c r="CE172"/>
      <c r="CF172"/>
      <c r="CG172"/>
      <c r="CH172"/>
      <c r="CI172"/>
      <c r="CJ172"/>
    </row>
    <row r="173" spans="1:88" s="114" customFormat="1" ht="14.25" customHeight="1">
      <c r="A173" s="115"/>
      <c r="B173" s="991" t="s">
        <v>454</v>
      </c>
      <c r="C173" s="115"/>
      <c r="D173" s="115"/>
      <c r="E173" s="115"/>
      <c r="F173" s="115"/>
      <c r="G173" s="115"/>
      <c r="H173" s="115"/>
      <c r="I173" s="115"/>
      <c r="J173" s="115"/>
      <c r="K173" s="115"/>
      <c r="L173" s="115"/>
      <c r="M173" s="115"/>
      <c r="N173" s="115"/>
      <c r="O173" s="115"/>
      <c r="P173" s="115"/>
      <c r="Q173" s="115"/>
      <c r="R173" s="115"/>
      <c r="S173" s="115"/>
      <c r="T173" s="115"/>
      <c r="U173" s="115"/>
      <c r="V173" s="115"/>
      <c r="W173" s="115"/>
      <c r="X173" s="115"/>
      <c r="Y173" s="115"/>
      <c r="Z173" s="115"/>
      <c r="AA173" s="115"/>
      <c r="AB173" s="115"/>
      <c r="AC173" s="115"/>
      <c r="AD173" s="115"/>
      <c r="AE173" s="115"/>
      <c r="AF173" s="992"/>
      <c r="AG173" s="992"/>
      <c r="AH173" s="992"/>
      <c r="AI173" s="802"/>
      <c r="AJ173" s="802">
        <f>+SUM(AJ171:AJ172)</f>
        <v>65.793750000000003</v>
      </c>
      <c r="AK173" s="802">
        <f t="shared" ref="AK173:AQ173" si="653">+SUM(AK171:AK172)</f>
        <v>73.793750000000003</v>
      </c>
      <c r="AL173" s="802">
        <f t="shared" si="653"/>
        <v>60.793750000000003</v>
      </c>
      <c r="AM173" s="802">
        <f t="shared" si="653"/>
        <v>66.793750000000003</v>
      </c>
      <c r="AN173" s="802">
        <f>+SUM(AN171:AN172)</f>
        <v>66.793750000000003</v>
      </c>
      <c r="AO173" s="802">
        <f>+SUM(AO171:AO172)</f>
        <v>68.793750000000003</v>
      </c>
      <c r="AP173" s="802">
        <f t="shared" si="653"/>
        <v>74.793750000000003</v>
      </c>
      <c r="AQ173" s="802">
        <f t="shared" si="653"/>
        <v>67.793750000000003</v>
      </c>
      <c r="AR173" s="802">
        <f t="shared" ref="AR173:AX173" si="654">+SUM(AR171:AR172)</f>
        <v>66.818125000000009</v>
      </c>
      <c r="AS173" s="802">
        <f t="shared" si="654"/>
        <v>57.736249999999998</v>
      </c>
      <c r="AT173" s="802">
        <f t="shared" si="654"/>
        <v>65.59375</v>
      </c>
      <c r="AU173" s="802">
        <f t="shared" si="654"/>
        <v>72.621250000000003</v>
      </c>
      <c r="AV173" s="802">
        <f t="shared" si="654"/>
        <v>66.58</v>
      </c>
      <c r="AW173" s="802">
        <f t="shared" si="654"/>
        <v>61.58</v>
      </c>
      <c r="AX173" s="802">
        <f t="shared" si="654"/>
        <v>49.59375</v>
      </c>
      <c r="AY173" s="802">
        <f t="shared" ref="AY173:BB173" si="655">+SUM(AY171:AY172)</f>
        <v>38.163750000000007</v>
      </c>
      <c r="AZ173" s="802">
        <f t="shared" si="655"/>
        <v>40.163750000000007</v>
      </c>
      <c r="BA173" s="802">
        <f t="shared" si="655"/>
        <v>29.163750000000004</v>
      </c>
      <c r="BB173" s="802">
        <f t="shared" si="655"/>
        <v>51.163750000000007</v>
      </c>
      <c r="BC173" s="802">
        <f t="shared" ref="BC173:BD173" si="656">+SUM(BC171:BC172)</f>
        <v>61.163750000000007</v>
      </c>
      <c r="BD173" s="802">
        <f t="shared" si="656"/>
        <v>63.163750000000007</v>
      </c>
      <c r="BE173" s="802"/>
      <c r="BF173" s="802"/>
      <c r="BG173" s="802"/>
      <c r="BH173" s="802"/>
      <c r="BI173" s="802"/>
      <c r="BJ173" s="802"/>
      <c r="BK173" s="802"/>
      <c r="BL173" s="115"/>
      <c r="BM173" s="115"/>
      <c r="BN173" s="115"/>
      <c r="BO173" s="115"/>
      <c r="BP173" s="115"/>
      <c r="BQ173" s="115"/>
      <c r="BR173" s="115"/>
      <c r="BS173" s="115"/>
      <c r="BT173" s="115"/>
      <c r="BU173" s="115">
        <f>+SUM(AJ173:AM173)</f>
        <v>267.17500000000001</v>
      </c>
      <c r="BV173" s="115">
        <f>+SUM(AN173:AQ173)</f>
        <v>278.17500000000001</v>
      </c>
      <c r="BW173" s="115">
        <f>+SUM(BW171:BW172)</f>
        <v>262.76937499999997</v>
      </c>
      <c r="BX173" s="115">
        <f>+SUM(BX171:BX172)</f>
        <v>215.91749999999999</v>
      </c>
      <c r="BY173" s="115">
        <f>+SUM(BY171:BY172)</f>
        <v>181.65500000000003</v>
      </c>
      <c r="BZ173" s="115">
        <f>+SUM(BZ171:BZ172)</f>
        <v>189.65500000000003</v>
      </c>
      <c r="CA173" s="115">
        <f>+SUM(CA171:CA172)</f>
        <v>168.65500000000003</v>
      </c>
      <c r="CB173" s="2135"/>
      <c r="CC173" s="115"/>
      <c r="CD173" s="115"/>
      <c r="CE173"/>
      <c r="CF173"/>
      <c r="CG173"/>
      <c r="CH173"/>
      <c r="CI173"/>
      <c r="CJ173"/>
    </row>
    <row r="174" spans="1:88" ht="14.25" customHeight="1">
      <c r="A174" s="7"/>
      <c r="B174" s="855"/>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324"/>
      <c r="AG174" s="324"/>
      <c r="AH174" s="324"/>
      <c r="AI174" s="435"/>
      <c r="AJ174" s="435"/>
      <c r="AK174" s="435"/>
      <c r="AL174" s="435"/>
      <c r="AM174" s="435"/>
      <c r="AN174" s="435"/>
      <c r="AO174" s="435"/>
      <c r="AP174" s="435"/>
      <c r="AQ174" s="435"/>
      <c r="AR174" s="435"/>
      <c r="AS174" s="435"/>
      <c r="AT174" s="435"/>
      <c r="AU174" s="435"/>
      <c r="AV174" s="435"/>
      <c r="AW174" s="435"/>
      <c r="AX174" s="435"/>
      <c r="AY174" s="435"/>
      <c r="AZ174" s="435"/>
      <c r="BA174" s="435"/>
      <c r="BB174" s="435"/>
      <c r="BC174" s="435"/>
      <c r="BD174" s="435"/>
      <c r="BE174" s="435"/>
      <c r="BF174" s="435"/>
      <c r="BG174" s="435"/>
      <c r="BH174" s="435"/>
      <c r="BI174" s="435"/>
      <c r="BJ174" s="435"/>
      <c r="BK174" s="435"/>
      <c r="BL174" s="7"/>
      <c r="BM174" s="7"/>
      <c r="BN174" s="7"/>
      <c r="BO174" s="7"/>
      <c r="BP174" s="7"/>
      <c r="BQ174" s="7"/>
      <c r="BR174" s="7"/>
      <c r="BS174" s="7"/>
      <c r="BT174" s="7"/>
      <c r="BU174" s="7"/>
      <c r="BV174" s="7"/>
      <c r="BW174" s="7"/>
      <c r="BX174" s="7"/>
      <c r="BY174" s="7"/>
      <c r="BZ174" s="7"/>
      <c r="CA174" s="7"/>
      <c r="CB174" s="2072"/>
      <c r="CC174" s="7"/>
      <c r="CD174" s="7"/>
    </row>
    <row r="175" spans="1:88" ht="14.25" customHeight="1">
      <c r="A175" s="7"/>
      <c r="B175" s="855" t="s">
        <v>348</v>
      </c>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324"/>
      <c r="AG175" s="324"/>
      <c r="AH175" s="324"/>
      <c r="AI175" s="435"/>
      <c r="AJ175" s="435">
        <f t="shared" ref="AJ175:AR175" si="657">+AJ84</f>
        <v>1183</v>
      </c>
      <c r="AK175" s="435">
        <f t="shared" si="657"/>
        <v>1117</v>
      </c>
      <c r="AL175" s="435">
        <f t="shared" si="657"/>
        <v>1181</v>
      </c>
      <c r="AM175" s="435">
        <f t="shared" si="657"/>
        <v>1187</v>
      </c>
      <c r="AN175" s="435">
        <f t="shared" si="657"/>
        <v>982</v>
      </c>
      <c r="AO175" s="435">
        <f t="shared" si="657"/>
        <v>948</v>
      </c>
      <c r="AP175" s="435">
        <f t="shared" si="657"/>
        <v>938</v>
      </c>
      <c r="AQ175" s="435">
        <f t="shared" si="657"/>
        <v>1040</v>
      </c>
      <c r="AR175" s="435">
        <f t="shared" si="657"/>
        <v>906</v>
      </c>
      <c r="AS175" s="435">
        <f t="shared" ref="AS175:AT175" si="658">+AS84</f>
        <v>829</v>
      </c>
      <c r="AT175" s="435">
        <f t="shared" si="658"/>
        <v>755</v>
      </c>
      <c r="AU175" s="435">
        <f t="shared" ref="AU175:AW175" si="659">+AU84</f>
        <v>785</v>
      </c>
      <c r="AV175" s="435">
        <f t="shared" si="659"/>
        <v>716</v>
      </c>
      <c r="AW175" s="435">
        <f t="shared" si="659"/>
        <v>957</v>
      </c>
      <c r="AX175" s="435">
        <f t="shared" ref="AX175:AY175" si="660">+AX84</f>
        <v>1258</v>
      </c>
      <c r="AY175" s="435">
        <f t="shared" si="660"/>
        <v>1264</v>
      </c>
      <c r="AZ175" s="435">
        <f t="shared" ref="AZ175:BB175" si="661">+AZ84</f>
        <v>943</v>
      </c>
      <c r="BA175" s="435">
        <f t="shared" si="661"/>
        <v>844</v>
      </c>
      <c r="BB175" s="435">
        <f t="shared" si="661"/>
        <v>879</v>
      </c>
      <c r="BC175" s="435">
        <f t="shared" ref="BC175:BD175" si="662">+BC84</f>
        <v>1185</v>
      </c>
      <c r="BD175" s="435">
        <f t="shared" si="662"/>
        <v>1045</v>
      </c>
      <c r="BE175" s="435"/>
      <c r="BF175" s="435"/>
      <c r="BG175" s="435"/>
      <c r="BH175" s="435"/>
      <c r="BI175" s="435"/>
      <c r="BJ175" s="435"/>
      <c r="BK175" s="435"/>
      <c r="BL175" s="7"/>
      <c r="BM175" s="7"/>
      <c r="BN175" s="7"/>
      <c r="BO175" s="7"/>
      <c r="BP175" s="7"/>
      <c r="BQ175" s="7"/>
      <c r="BR175" s="7"/>
      <c r="BS175" s="7"/>
      <c r="BT175" s="7"/>
      <c r="BU175" s="7">
        <f>+AM175</f>
        <v>1187</v>
      </c>
      <c r="BV175" s="7">
        <f>+AQ175</f>
        <v>1040</v>
      </c>
      <c r="BW175" s="7">
        <f>+BW84</f>
        <v>785</v>
      </c>
      <c r="BX175" s="7">
        <f>+BX84</f>
        <v>1264</v>
      </c>
      <c r="BY175" s="7">
        <f>+BY84</f>
        <v>1185</v>
      </c>
      <c r="BZ175" s="7">
        <f>+BZ84</f>
        <v>1449.8981177399837</v>
      </c>
      <c r="CA175" s="7">
        <f>+CA84</f>
        <v>1963.6684532005058</v>
      </c>
      <c r="CB175" s="2133"/>
      <c r="CC175" s="7"/>
      <c r="CD175" s="7"/>
    </row>
    <row r="176" spans="1:88" ht="14.25" customHeight="1">
      <c r="A176" s="7"/>
      <c r="B176" s="855" t="s">
        <v>482</v>
      </c>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324"/>
      <c r="AG176" s="324"/>
      <c r="AH176" s="324"/>
      <c r="AI176" s="435"/>
      <c r="AJ176" s="435">
        <f>+AJ121</f>
        <v>2260</v>
      </c>
      <c r="AK176" s="435">
        <f t="shared" ref="AK176:AQ176" si="663">+AK121</f>
        <v>2260</v>
      </c>
      <c r="AL176" s="435">
        <f t="shared" si="663"/>
        <v>2260</v>
      </c>
      <c r="AM176" s="435">
        <f>+AM121</f>
        <v>2260</v>
      </c>
      <c r="AN176" s="435">
        <f>+AN121</f>
        <v>2260</v>
      </c>
      <c r="AO176" s="435">
        <f>+AO121</f>
        <v>2260</v>
      </c>
      <c r="AP176" s="435">
        <f t="shared" si="663"/>
        <v>2260</v>
      </c>
      <c r="AQ176" s="435">
        <f t="shared" si="663"/>
        <v>2260</v>
      </c>
      <c r="AR176" s="435">
        <f t="shared" ref="AR176:AX176" si="664">+AR121</f>
        <v>2268</v>
      </c>
      <c r="AS176" s="435">
        <f t="shared" si="664"/>
        <v>2269</v>
      </c>
      <c r="AT176" s="435">
        <f t="shared" si="664"/>
        <v>2260</v>
      </c>
      <c r="AU176" s="435">
        <f t="shared" si="664"/>
        <v>2237</v>
      </c>
      <c r="AV176" s="435">
        <f t="shared" si="664"/>
        <v>2236</v>
      </c>
      <c r="AW176" s="435">
        <f t="shared" si="664"/>
        <v>2238</v>
      </c>
      <c r="AX176" s="435">
        <f t="shared" si="664"/>
        <v>2260</v>
      </c>
      <c r="AY176" s="435">
        <f t="shared" ref="AY176:BB176" si="665">+AY121</f>
        <v>1435</v>
      </c>
      <c r="AZ176" s="435">
        <f t="shared" si="665"/>
        <v>1435</v>
      </c>
      <c r="BA176" s="435">
        <f t="shared" si="665"/>
        <v>1435</v>
      </c>
      <c r="BB176" s="435">
        <f t="shared" si="665"/>
        <v>1435</v>
      </c>
      <c r="BC176" s="435">
        <f t="shared" ref="BC176:BD176" si="666">+BC121</f>
        <v>1435</v>
      </c>
      <c r="BD176" s="435">
        <f t="shared" si="666"/>
        <v>1435</v>
      </c>
      <c r="BE176" s="435"/>
      <c r="BF176" s="435"/>
      <c r="BG176" s="435"/>
      <c r="BH176" s="435"/>
      <c r="BI176" s="435"/>
      <c r="BJ176" s="435"/>
      <c r="BK176" s="435"/>
      <c r="BL176" s="7"/>
      <c r="BM176" s="7"/>
      <c r="BN176" s="7"/>
      <c r="BO176" s="7"/>
      <c r="BP176" s="7"/>
      <c r="BQ176" s="7"/>
      <c r="BR176" s="7"/>
      <c r="BS176" s="7"/>
      <c r="BT176" s="7"/>
      <c r="BU176" s="7">
        <f>+AM176</f>
        <v>2260</v>
      </c>
      <c r="BV176" s="7">
        <f>+AQ176</f>
        <v>2260</v>
      </c>
      <c r="BW176" s="7">
        <f>+BW121</f>
        <v>2262</v>
      </c>
      <c r="BX176" s="7">
        <f>+BX121</f>
        <v>1768</v>
      </c>
      <c r="BY176" s="7">
        <f>+BY121</f>
        <v>1435</v>
      </c>
      <c r="BZ176" s="7">
        <f>+BZ121</f>
        <v>1435</v>
      </c>
      <c r="CA176" s="7">
        <f>+CA121</f>
        <v>1435</v>
      </c>
      <c r="CB176" s="2133"/>
      <c r="CC176" s="7"/>
      <c r="CD176" s="7"/>
    </row>
    <row r="177" spans="1:82" ht="14.25" customHeight="1">
      <c r="A177" s="7"/>
      <c r="B177" s="855" t="s">
        <v>447</v>
      </c>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324"/>
      <c r="AG177" s="324"/>
      <c r="AH177" s="324"/>
      <c r="AI177" s="435"/>
      <c r="AJ177" s="435">
        <f>+AJ90</f>
        <v>1077</v>
      </c>
      <c r="AK177" s="435">
        <f t="shared" ref="AK177:AQ177" si="667">+AK90</f>
        <v>1143</v>
      </c>
      <c r="AL177" s="435">
        <f t="shared" si="667"/>
        <v>1079</v>
      </c>
      <c r="AM177" s="435">
        <f>+AM90</f>
        <v>1073</v>
      </c>
      <c r="AN177" s="435">
        <f>+AN90</f>
        <v>1278</v>
      </c>
      <c r="AO177" s="435">
        <f>+AO90</f>
        <v>1312</v>
      </c>
      <c r="AP177" s="435">
        <f t="shared" si="667"/>
        <v>1322</v>
      </c>
      <c r="AQ177" s="435">
        <f t="shared" si="667"/>
        <v>1220</v>
      </c>
      <c r="AR177" s="435">
        <f t="shared" ref="AR177:AX177" si="668">+AR90</f>
        <v>1362</v>
      </c>
      <c r="AS177" s="435">
        <f t="shared" si="668"/>
        <v>1440</v>
      </c>
      <c r="AT177" s="435">
        <f t="shared" si="668"/>
        <v>1505</v>
      </c>
      <c r="AU177" s="435">
        <f t="shared" si="668"/>
        <v>1452</v>
      </c>
      <c r="AV177" s="435">
        <f t="shared" si="668"/>
        <v>1520</v>
      </c>
      <c r="AW177" s="435">
        <f t="shared" si="668"/>
        <v>1281</v>
      </c>
      <c r="AX177" s="435">
        <f t="shared" si="668"/>
        <v>1002</v>
      </c>
      <c r="AY177" s="435">
        <f t="shared" ref="AY177:BB177" si="669">+AY90</f>
        <v>171</v>
      </c>
      <c r="AZ177" s="435">
        <f t="shared" si="669"/>
        <v>492</v>
      </c>
      <c r="BA177" s="435">
        <f t="shared" si="669"/>
        <v>591</v>
      </c>
      <c r="BB177" s="435">
        <f t="shared" si="669"/>
        <v>477</v>
      </c>
      <c r="BC177" s="435">
        <f t="shared" ref="BC177:BD177" si="670">+BC90</f>
        <v>250</v>
      </c>
      <c r="BD177" s="435">
        <f t="shared" si="670"/>
        <v>390</v>
      </c>
      <c r="BE177" s="435"/>
      <c r="BF177" s="435"/>
      <c r="BG177" s="435"/>
      <c r="BH177" s="435"/>
      <c r="BI177" s="435"/>
      <c r="BJ177" s="435"/>
      <c r="BK177" s="435"/>
      <c r="BL177" s="7"/>
      <c r="BM177" s="7"/>
      <c r="BN177" s="7"/>
      <c r="BO177" s="7"/>
      <c r="BP177" s="7"/>
      <c r="BQ177" s="7"/>
      <c r="BR177" s="7"/>
      <c r="BS177" s="7"/>
      <c r="BT177" s="7"/>
      <c r="BU177" s="7">
        <f>+AM177</f>
        <v>1073</v>
      </c>
      <c r="BV177" s="7">
        <f>+AQ177</f>
        <v>1220</v>
      </c>
      <c r="BW177" s="7">
        <f>+BW90</f>
        <v>1477</v>
      </c>
      <c r="BX177" s="7">
        <f>+BX90</f>
        <v>504</v>
      </c>
      <c r="BY177" s="7">
        <f>+BY90</f>
        <v>250</v>
      </c>
      <c r="BZ177" s="7">
        <f>+BZ90</f>
        <v>-14.898117739983718</v>
      </c>
      <c r="CA177" s="7">
        <f>+CA90</f>
        <v>-528.66845320050584</v>
      </c>
      <c r="CB177" s="2133"/>
      <c r="CC177" s="7"/>
      <c r="CD177" s="7"/>
    </row>
    <row r="178" spans="1:82" ht="14.25" customHeight="1">
      <c r="A178" s="7"/>
      <c r="B178" s="855"/>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324"/>
      <c r="AG178" s="324"/>
      <c r="AH178" s="324"/>
      <c r="AI178" s="435"/>
      <c r="AJ178" s="435"/>
      <c r="AK178" s="435"/>
      <c r="AL178" s="435"/>
      <c r="AM178" s="435"/>
      <c r="AN178" s="435"/>
      <c r="AO178" s="435"/>
      <c r="AP178" s="435"/>
      <c r="AQ178" s="435"/>
      <c r="AR178" s="435"/>
      <c r="AS178" s="435"/>
      <c r="AT178" s="435"/>
      <c r="AU178" s="435"/>
      <c r="AV178" s="435"/>
      <c r="AW178" s="435"/>
      <c r="AX178" s="435"/>
      <c r="AY178" s="435"/>
      <c r="AZ178" s="435"/>
      <c r="BA178" s="435"/>
      <c r="BB178" s="435"/>
      <c r="BC178" s="435"/>
      <c r="BD178" s="435"/>
      <c r="BE178" s="435"/>
      <c r="BF178" s="435"/>
      <c r="BG178" s="435"/>
      <c r="BH178" s="435"/>
      <c r="BI178" s="435"/>
      <c r="BJ178" s="435"/>
      <c r="BK178" s="435"/>
      <c r="BL178" s="7"/>
      <c r="BM178" s="7"/>
      <c r="BN178" s="7"/>
      <c r="BO178" s="7"/>
      <c r="BP178" s="7"/>
      <c r="BQ178" s="7"/>
      <c r="BR178" s="7"/>
      <c r="BS178" s="7"/>
      <c r="BT178" s="7"/>
      <c r="BU178" s="7"/>
      <c r="BV178" s="7"/>
      <c r="BW178" s="7"/>
      <c r="BX178" s="7"/>
      <c r="BY178" s="7"/>
      <c r="BZ178" s="7"/>
      <c r="CA178" s="7"/>
      <c r="CB178" s="2072"/>
      <c r="CC178" s="7"/>
      <c r="CD178" s="7"/>
    </row>
    <row r="179" spans="1:82" ht="14.25" customHeight="1">
      <c r="A179" s="7"/>
      <c r="B179" s="990" t="s">
        <v>480</v>
      </c>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324"/>
      <c r="AG179" s="324"/>
      <c r="AH179" s="324"/>
      <c r="AI179" s="435"/>
      <c r="AJ179" s="435"/>
      <c r="AK179" s="435"/>
      <c r="AL179" s="435"/>
      <c r="AM179" s="435"/>
      <c r="AN179" s="435"/>
      <c r="AO179" s="435"/>
      <c r="AP179" s="435"/>
      <c r="AQ179" s="435"/>
      <c r="AR179" s="435"/>
      <c r="AS179" s="435"/>
      <c r="AT179" s="435"/>
      <c r="AU179" s="435"/>
      <c r="AV179" s="435"/>
      <c r="AW179" s="435"/>
      <c r="AX179" s="435"/>
      <c r="AY179" s="435"/>
      <c r="AZ179" s="435"/>
      <c r="BA179" s="435"/>
      <c r="BB179" s="435"/>
      <c r="BC179" s="435"/>
      <c r="BD179" s="435"/>
      <c r="BE179" s="435"/>
      <c r="BF179" s="435"/>
      <c r="BG179" s="435"/>
      <c r="BH179" s="435"/>
      <c r="BI179" s="435"/>
      <c r="BJ179" s="435"/>
      <c r="BK179" s="435"/>
      <c r="BL179" s="7"/>
      <c r="BM179" s="7"/>
      <c r="BN179" s="7"/>
      <c r="BO179" s="7"/>
      <c r="BP179" s="7"/>
      <c r="BQ179" s="7"/>
      <c r="BR179" s="7"/>
      <c r="BS179" s="7"/>
      <c r="BT179" s="7"/>
      <c r="BU179" s="7"/>
      <c r="BV179" s="7"/>
      <c r="BW179" s="7"/>
      <c r="BX179" s="7"/>
      <c r="BY179" s="7"/>
      <c r="BZ179" s="7"/>
      <c r="CA179" s="7"/>
      <c r="CB179" s="2072"/>
      <c r="CC179" s="7"/>
      <c r="CD179" s="7"/>
    </row>
    <row r="180" spans="1:82" ht="14.25" customHeight="1">
      <c r="A180" s="7"/>
      <c r="B180" s="994" t="s">
        <v>482</v>
      </c>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324"/>
      <c r="AG180" s="324"/>
      <c r="AH180" s="324"/>
      <c r="AI180" s="435"/>
      <c r="AJ180" s="435"/>
      <c r="AK180" s="435"/>
      <c r="AL180" s="435"/>
      <c r="AM180" s="435"/>
      <c r="AN180" s="435"/>
      <c r="AO180" s="435"/>
      <c r="AP180" s="435"/>
      <c r="AQ180" s="435"/>
      <c r="AR180" s="435"/>
      <c r="AS180" s="435"/>
      <c r="AT180" s="435"/>
      <c r="AU180" s="435"/>
      <c r="AV180" s="435"/>
      <c r="AW180" s="435"/>
      <c r="AX180" s="435"/>
      <c r="AY180" s="435"/>
      <c r="AZ180" s="435"/>
      <c r="BA180" s="435"/>
      <c r="BB180" s="435"/>
      <c r="BC180" s="435"/>
      <c r="BD180" s="435"/>
      <c r="BE180" s="435"/>
      <c r="BF180" s="435"/>
      <c r="BG180" s="435"/>
      <c r="BH180" s="435"/>
      <c r="BI180" s="435"/>
      <c r="BJ180" s="435"/>
      <c r="BK180" s="435"/>
      <c r="BL180" s="7"/>
      <c r="BM180" s="7"/>
      <c r="BN180" s="7"/>
      <c r="BO180" s="7"/>
      <c r="BP180" s="7"/>
      <c r="BQ180" s="7"/>
      <c r="BR180" s="7"/>
      <c r="BS180" s="7"/>
      <c r="BT180" s="7"/>
      <c r="BU180" s="7">
        <f t="shared" ref="BU180:BZ180" si="671">+BU176/BU168</f>
        <v>6.666666666666667</v>
      </c>
      <c r="BV180" s="7">
        <f t="shared" si="671"/>
        <v>5.5121951219512191</v>
      </c>
      <c r="BW180" s="7">
        <f t="shared" si="671"/>
        <v>-15.181208053691275</v>
      </c>
      <c r="BX180" s="7">
        <f t="shared" si="671"/>
        <v>19.428571428571427</v>
      </c>
      <c r="BY180" s="7">
        <f t="shared" si="671"/>
        <v>4.1235632183908049</v>
      </c>
      <c r="BZ180" s="7">
        <f t="shared" si="671"/>
        <v>2.1160112656634915</v>
      </c>
      <c r="CA180" s="7">
        <f t="shared" ref="CA180" si="672">+CA176/CA168</f>
        <v>2.3601323367216582</v>
      </c>
      <c r="CB180" s="2136"/>
      <c r="CC180" s="7"/>
      <c r="CD180" s="7"/>
    </row>
    <row r="181" spans="1:82" ht="14.25" customHeight="1">
      <c r="A181" s="7"/>
      <c r="B181" s="855" t="s">
        <v>481</v>
      </c>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324"/>
      <c r="AG181" s="324"/>
      <c r="AH181" s="324"/>
      <c r="AI181" s="435"/>
      <c r="AJ181" s="435"/>
      <c r="AK181" s="435"/>
      <c r="AL181" s="435"/>
      <c r="AM181" s="435"/>
      <c r="AN181" s="435"/>
      <c r="AO181" s="435"/>
      <c r="AP181" s="435"/>
      <c r="AQ181" s="435"/>
      <c r="AR181" s="435"/>
      <c r="AS181" s="435"/>
      <c r="AT181" s="435"/>
      <c r="AU181" s="435"/>
      <c r="AV181" s="435"/>
      <c r="AW181" s="435"/>
      <c r="AX181" s="435"/>
      <c r="AY181" s="435"/>
      <c r="AZ181" s="435"/>
      <c r="BA181" s="435"/>
      <c r="BB181" s="435"/>
      <c r="BC181" s="435"/>
      <c r="BD181" s="435"/>
      <c r="BE181" s="435"/>
      <c r="BF181" s="435"/>
      <c r="BG181" s="435"/>
      <c r="BH181" s="435"/>
      <c r="BI181" s="435"/>
      <c r="BJ181" s="435"/>
      <c r="BK181" s="435"/>
      <c r="BL181" s="7"/>
      <c r="BM181" s="7"/>
      <c r="BN181" s="7"/>
      <c r="BO181" s="7"/>
      <c r="BP181" s="7"/>
      <c r="BQ181" s="7"/>
      <c r="BR181" s="7"/>
      <c r="BS181" s="7"/>
      <c r="BT181" s="7"/>
      <c r="BU181" s="7">
        <f t="shared" ref="BU181:BZ181" si="673">+BU177/BU168</f>
        <v>3.1651917404129795</v>
      </c>
      <c r="BV181" s="7">
        <f t="shared" si="673"/>
        <v>2.975609756097561</v>
      </c>
      <c r="BW181" s="7">
        <f t="shared" si="673"/>
        <v>-9.9127516778523486</v>
      </c>
      <c r="BX181" s="7">
        <f t="shared" si="673"/>
        <v>5.5384615384615383</v>
      </c>
      <c r="BY181" s="7">
        <f t="shared" si="673"/>
        <v>0.7183908045977011</v>
      </c>
      <c r="BZ181" s="7">
        <f t="shared" si="673"/>
        <v>-2.1968351898945412E-2</v>
      </c>
      <c r="CA181" s="7">
        <f t="shared" ref="CA181" si="674">+CA177/CA168</f>
        <v>-0.86949652390462329</v>
      </c>
      <c r="CB181" s="2136"/>
      <c r="CC181" s="7"/>
      <c r="CD181" s="7"/>
    </row>
    <row r="182" spans="1:82" ht="14.25" customHeight="1">
      <c r="A182" s="7"/>
      <c r="B182" s="855" t="s">
        <v>455</v>
      </c>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324"/>
      <c r="AG182" s="324"/>
      <c r="AH182" s="324"/>
      <c r="AI182" s="435"/>
      <c r="AJ182" s="435"/>
      <c r="AK182" s="435"/>
      <c r="AL182" s="435"/>
      <c r="AM182" s="435"/>
      <c r="AN182" s="435"/>
      <c r="AO182" s="435"/>
      <c r="AP182" s="435"/>
      <c r="AQ182" s="435"/>
      <c r="AR182" s="435"/>
      <c r="AS182" s="435"/>
      <c r="AT182" s="435"/>
      <c r="AU182" s="435"/>
      <c r="AV182" s="435"/>
      <c r="AW182" s="435"/>
      <c r="AX182" s="435"/>
      <c r="AY182" s="435"/>
      <c r="AZ182" s="435"/>
      <c r="BA182" s="435"/>
      <c r="BB182" s="435"/>
      <c r="BC182" s="435"/>
      <c r="BD182" s="435"/>
      <c r="BE182" s="435"/>
      <c r="BF182" s="435"/>
      <c r="BG182" s="435"/>
      <c r="BH182" s="435"/>
      <c r="BI182" s="435"/>
      <c r="BJ182" s="435"/>
      <c r="BK182" s="435"/>
      <c r="BL182" s="7"/>
      <c r="BM182" s="7"/>
      <c r="BN182" s="7"/>
      <c r="BO182" s="7"/>
      <c r="BP182" s="7"/>
      <c r="BQ182" s="7"/>
      <c r="BR182" s="7"/>
      <c r="BS182" s="7"/>
      <c r="BT182" s="7"/>
      <c r="BU182" s="7">
        <f t="shared" ref="BU182:BZ182" si="675">+BU168/BU173</f>
        <v>1.268831290352765</v>
      </c>
      <c r="BV182" s="7">
        <f t="shared" si="675"/>
        <v>1.4738923339624337</v>
      </c>
      <c r="BW182" s="7">
        <f t="shared" si="675"/>
        <v>-0.56703715948633671</v>
      </c>
      <c r="BX182" s="7">
        <f t="shared" si="675"/>
        <v>0.42145726955897511</v>
      </c>
      <c r="BY182" s="7">
        <f t="shared" si="675"/>
        <v>1.9157193581239158</v>
      </c>
      <c r="BZ182" s="7">
        <f t="shared" si="675"/>
        <v>3.5757704307447491</v>
      </c>
      <c r="CA182" s="7">
        <f t="shared" ref="CA182" si="676">+CA168/CA173</f>
        <v>3.6050917730865581</v>
      </c>
      <c r="CB182" s="2136"/>
      <c r="CC182" s="7"/>
      <c r="CD182" s="7"/>
    </row>
    <row r="183" spans="1:82" ht="14.25" customHeight="1">
      <c r="A183" s="7"/>
      <c r="B183" s="855"/>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324"/>
      <c r="AG183" s="324"/>
      <c r="AH183" s="324"/>
      <c r="AI183" s="435"/>
      <c r="AJ183" s="7"/>
      <c r="AK183" s="7"/>
      <c r="AL183" s="7"/>
      <c r="AM183" s="435"/>
      <c r="AN183" s="7"/>
      <c r="AO183" s="7"/>
      <c r="AP183" s="7"/>
      <c r="AQ183" s="435"/>
      <c r="AR183" s="7"/>
      <c r="AS183" s="7"/>
      <c r="AT183" s="7"/>
      <c r="AU183" s="435"/>
      <c r="AV183" s="7"/>
      <c r="AW183" s="7"/>
      <c r="AX183" s="7"/>
      <c r="AY183" s="7"/>
      <c r="AZ183" s="7"/>
      <c r="BA183" s="7"/>
      <c r="BB183" s="7"/>
      <c r="BC183" s="7"/>
      <c r="BD183" s="7"/>
      <c r="BE183" s="7"/>
      <c r="BF183" s="7"/>
      <c r="BG183" s="7"/>
      <c r="BH183" s="7"/>
      <c r="BI183" s="7"/>
      <c r="BJ183" s="7"/>
      <c r="BK183" s="7"/>
      <c r="BL183" s="7"/>
      <c r="BM183" s="7"/>
      <c r="BN183" s="7"/>
      <c r="BO183" s="7"/>
      <c r="BP183" s="7"/>
      <c r="BQ183" s="7"/>
      <c r="BR183" s="7"/>
      <c r="BS183" s="7"/>
      <c r="BT183" s="7"/>
      <c r="BU183" s="7"/>
      <c r="BV183" s="7"/>
      <c r="BW183" s="7"/>
      <c r="BX183" s="7"/>
      <c r="BY183" s="7"/>
      <c r="BZ183" s="7"/>
      <c r="CA183" s="7"/>
      <c r="CB183" s="2072"/>
      <c r="CC183" s="7"/>
      <c r="CD183" s="7"/>
    </row>
    <row r="184" spans="1:82" ht="14.25" customHeight="1">
      <c r="A184" s="7"/>
      <c r="B184" s="855"/>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324"/>
      <c r="AG184" s="324"/>
      <c r="AH184" s="324"/>
      <c r="AI184" s="435"/>
      <c r="AJ184" s="7"/>
      <c r="AK184" s="7"/>
      <c r="AL184" s="7"/>
      <c r="AM184" s="435"/>
      <c r="AN184" s="7"/>
      <c r="AO184" s="7"/>
      <c r="AP184" s="7"/>
      <c r="AQ184" s="435"/>
      <c r="AR184" s="7"/>
      <c r="AS184" s="7"/>
      <c r="AT184" s="7"/>
      <c r="AU184" s="435"/>
      <c r="AV184" s="7"/>
      <c r="AW184" s="7"/>
      <c r="AX184" s="7"/>
      <c r="AY184" s="7"/>
      <c r="AZ184" s="7"/>
      <c r="BA184" s="7"/>
      <c r="BB184" s="7"/>
      <c r="BC184" s="7"/>
      <c r="BD184" s="7"/>
      <c r="BE184" s="7"/>
      <c r="BF184" s="7"/>
      <c r="BG184" s="7"/>
      <c r="BH184" s="7"/>
      <c r="BI184" s="7"/>
      <c r="BJ184" s="7"/>
      <c r="BK184" s="7"/>
      <c r="BL184" s="7"/>
      <c r="BM184" s="7"/>
      <c r="BN184" s="7"/>
      <c r="BO184" s="7"/>
      <c r="BP184" s="7"/>
      <c r="BQ184" s="7"/>
      <c r="BR184" s="7"/>
      <c r="BS184" s="7"/>
      <c r="BT184" s="7"/>
      <c r="BU184" s="7"/>
      <c r="BV184" s="7"/>
      <c r="BW184" s="7"/>
      <c r="BX184" s="7"/>
      <c r="BY184" s="7"/>
      <c r="BZ184" s="7"/>
      <c r="CA184" s="7"/>
      <c r="CB184" s="2072"/>
      <c r="CC184" s="7"/>
      <c r="CD184" s="7"/>
    </row>
    <row r="185" spans="1:82" ht="14.25" customHeight="1">
      <c r="A185" s="7"/>
      <c r="B185" s="855"/>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324"/>
      <c r="AG185" s="324"/>
      <c r="AH185" s="324"/>
      <c r="AI185" s="435"/>
      <c r="AJ185" s="7"/>
      <c r="AK185" s="7"/>
      <c r="AL185" s="7"/>
      <c r="AM185" s="435"/>
      <c r="AN185" s="7"/>
      <c r="AO185" s="7"/>
      <c r="AP185" s="7"/>
      <c r="AQ185" s="435"/>
      <c r="AR185" s="7"/>
      <c r="AS185" s="7"/>
      <c r="AT185" s="7"/>
      <c r="AU185" s="435"/>
      <c r="AV185" s="7"/>
      <c r="AW185" s="7"/>
      <c r="AX185" s="7"/>
      <c r="AY185" s="7"/>
      <c r="AZ185" s="7"/>
      <c r="BA185" s="7"/>
      <c r="BB185" s="7"/>
      <c r="BC185" s="7"/>
      <c r="BD185" s="7"/>
      <c r="BE185" s="7"/>
      <c r="BF185" s="7"/>
      <c r="BG185" s="7"/>
      <c r="BH185" s="7"/>
      <c r="BI185" s="7"/>
      <c r="BJ185" s="7"/>
      <c r="BK185" s="7"/>
      <c r="BL185" s="7"/>
      <c r="BM185" s="7"/>
      <c r="BN185" s="7"/>
      <c r="BO185" s="7"/>
      <c r="BP185" s="7"/>
      <c r="BQ185" s="7"/>
      <c r="BR185" s="7"/>
      <c r="BS185" s="7"/>
      <c r="BT185" s="7"/>
      <c r="BU185" s="7"/>
      <c r="BV185" s="7"/>
      <c r="BW185" s="7"/>
      <c r="BX185" s="7"/>
      <c r="BY185" s="7"/>
      <c r="BZ185" s="7"/>
      <c r="CA185" s="7"/>
      <c r="CB185" s="2072"/>
      <c r="CC185" s="7"/>
      <c r="CD185" s="7"/>
    </row>
    <row r="186" spans="1:82" ht="14.25" customHeight="1">
      <c r="A186" s="7"/>
      <c r="B186" s="855"/>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324"/>
      <c r="AG186" s="324"/>
      <c r="AH186" s="324"/>
      <c r="AI186" s="435"/>
      <c r="AJ186" s="7"/>
      <c r="AK186" s="7"/>
      <c r="AL186" s="7"/>
      <c r="AM186" s="435"/>
      <c r="AN186" s="7"/>
      <c r="AO186" s="7"/>
      <c r="AP186" s="7"/>
      <c r="AQ186" s="435"/>
      <c r="AR186" s="7"/>
      <c r="AS186" s="7"/>
      <c r="AT186" s="7"/>
      <c r="AU186" s="435"/>
      <c r="AV186" s="7"/>
      <c r="AW186" s="7"/>
      <c r="AX186" s="7"/>
      <c r="AY186" s="7"/>
      <c r="AZ186" s="7"/>
      <c r="BA186" s="7"/>
      <c r="BB186" s="7"/>
      <c r="BC186" s="7"/>
      <c r="BD186" s="7"/>
      <c r="BE186" s="7"/>
      <c r="BF186" s="7"/>
      <c r="BG186" s="7"/>
      <c r="BH186" s="7"/>
      <c r="BI186" s="7"/>
      <c r="BJ186" s="7"/>
      <c r="BK186" s="7"/>
      <c r="BL186" s="7"/>
      <c r="BM186" s="7"/>
      <c r="BN186" s="7"/>
      <c r="BO186" s="7"/>
      <c r="BP186" s="7"/>
      <c r="BQ186" s="7"/>
      <c r="BR186" s="7"/>
      <c r="BS186" s="7"/>
      <c r="BT186" s="7"/>
      <c r="BU186" s="7"/>
      <c r="BV186" s="7"/>
      <c r="BW186" s="7"/>
      <c r="BX186" s="7"/>
      <c r="BY186" s="7"/>
      <c r="BZ186" s="7"/>
      <c r="CA186" s="7"/>
      <c r="CB186" s="2072"/>
      <c r="CC186" s="7"/>
      <c r="CD186" s="7"/>
    </row>
    <row r="187" spans="1:82" ht="14.25" customHeight="1">
      <c r="A187" s="7"/>
      <c r="B187" s="855"/>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324"/>
      <c r="AG187" s="324"/>
      <c r="AH187" s="324"/>
      <c r="AI187" s="324"/>
      <c r="AJ187" s="7"/>
      <c r="AK187" s="7"/>
      <c r="AL187" s="7"/>
      <c r="AM187" s="324"/>
      <c r="AN187" s="7"/>
      <c r="AO187" s="7"/>
      <c r="AP187" s="7"/>
      <c r="AQ187" s="324"/>
      <c r="AR187" s="7"/>
      <c r="AS187" s="7"/>
      <c r="AT187" s="7"/>
      <c r="AU187" s="324"/>
      <c r="AV187" s="7"/>
      <c r="AW187" s="7"/>
      <c r="AX187" s="7"/>
      <c r="AY187" s="7"/>
      <c r="AZ187" s="7"/>
      <c r="BA187" s="7"/>
      <c r="BB187" s="7"/>
      <c r="BC187" s="7"/>
      <c r="BD187" s="7"/>
      <c r="BE187" s="7"/>
      <c r="BF187" s="7"/>
      <c r="BG187" s="7"/>
      <c r="BH187" s="7"/>
      <c r="BI187" s="7"/>
      <c r="BJ187" s="7"/>
      <c r="BK187" s="7"/>
      <c r="BL187" s="7"/>
      <c r="BM187" s="7"/>
      <c r="BN187" s="7"/>
      <c r="BO187" s="7"/>
      <c r="BP187" s="7"/>
      <c r="BQ187" s="7"/>
      <c r="BR187" s="7"/>
      <c r="BS187" s="7"/>
      <c r="BT187" s="7"/>
      <c r="BU187" s="7"/>
      <c r="BV187" s="7"/>
      <c r="BW187" s="7"/>
      <c r="BX187" s="7"/>
      <c r="BY187" s="7"/>
      <c r="BZ187" s="7"/>
      <c r="CA187" s="7"/>
      <c r="CB187" s="2072"/>
      <c r="CC187" s="7"/>
      <c r="CD187" s="7"/>
    </row>
    <row r="188" spans="1:82" ht="14.25" customHeight="1">
      <c r="A188" s="7"/>
      <c r="B188" s="855"/>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c r="AQ188" s="7"/>
      <c r="AR188" s="7"/>
      <c r="AS188" s="7"/>
      <c r="AT188" s="7"/>
      <c r="AU188" s="7"/>
      <c r="AV188" s="7"/>
      <c r="AW188" s="7"/>
      <c r="AX188" s="7"/>
      <c r="AY188" s="7"/>
      <c r="AZ188" s="7"/>
      <c r="BA188" s="7"/>
      <c r="BB188" s="7"/>
      <c r="BC188" s="7"/>
      <c r="BD188" s="7"/>
      <c r="BE188" s="7"/>
      <c r="BF188" s="7"/>
      <c r="BG188" s="7"/>
      <c r="BH188" s="7"/>
      <c r="BI188" s="7"/>
      <c r="BJ188" s="7"/>
      <c r="BK188" s="7"/>
      <c r="BL188" s="7"/>
      <c r="BM188" s="7"/>
      <c r="BN188" s="7"/>
      <c r="BO188" s="7"/>
      <c r="BP188" s="7"/>
      <c r="BQ188" s="7"/>
      <c r="BR188" s="7"/>
      <c r="BS188" s="7"/>
      <c r="BT188" s="7"/>
      <c r="BU188" s="7"/>
      <c r="BV188" s="7"/>
      <c r="BW188" s="7"/>
      <c r="BX188" s="7"/>
      <c r="BY188" s="7"/>
      <c r="BZ188" s="7"/>
      <c r="CA188" s="7"/>
      <c r="CB188" s="2072"/>
      <c r="CC188" s="7"/>
      <c r="CD188" s="7"/>
    </row>
    <row r="189" spans="1:82" ht="14.25" customHeight="1">
      <c r="B189"/>
    </row>
    <row r="190" spans="1:82" ht="14.25" customHeight="1">
      <c r="A190" s="7"/>
      <c r="B190" s="858" t="s">
        <v>65</v>
      </c>
      <c r="C190" s="112"/>
      <c r="D190" s="113" t="str">
        <f>IS!D157</f>
        <v>A</v>
      </c>
      <c r="E190" s="113" t="str">
        <f>IS!E157</f>
        <v>A</v>
      </c>
      <c r="F190" s="113" t="str">
        <f>IS!F157</f>
        <v>A</v>
      </c>
      <c r="G190" s="113" t="str">
        <f>IS!G157</f>
        <v>A</v>
      </c>
      <c r="H190" s="113" t="str">
        <f>IS!H157</f>
        <v>A</v>
      </c>
      <c r="I190" s="113" t="str">
        <f>IS!I157</f>
        <v>A</v>
      </c>
      <c r="J190" s="113" t="str">
        <f>IS!J157</f>
        <v>A</v>
      </c>
      <c r="K190" s="113" t="str">
        <f>IS!K157</f>
        <v>A</v>
      </c>
      <c r="L190" s="113" t="str">
        <f>IS!L157</f>
        <v>A</v>
      </c>
      <c r="M190" s="113" t="str">
        <f>IS!M157</f>
        <v>A</v>
      </c>
      <c r="N190" s="113" t="str">
        <f>IS!N157</f>
        <v>A</v>
      </c>
      <c r="O190" s="113" t="str">
        <f>IS!O157</f>
        <v>A</v>
      </c>
      <c r="P190" s="113" t="str">
        <f>IS!P157</f>
        <v>A</v>
      </c>
      <c r="Q190" s="113" t="str">
        <f>IS!Q157</f>
        <v>A</v>
      </c>
      <c r="R190" s="113" t="str">
        <f>IS!R157</f>
        <v>A</v>
      </c>
      <c r="S190" s="113" t="str">
        <f>IS!S157</f>
        <v>A</v>
      </c>
      <c r="T190" s="113" t="str">
        <f>IS!T157</f>
        <v>A</v>
      </c>
      <c r="U190" s="113" t="str">
        <f>IS!U157</f>
        <v>A</v>
      </c>
      <c r="V190" s="113" t="str">
        <f>IS!V157</f>
        <v>A</v>
      </c>
      <c r="W190" s="113" t="str">
        <f>IS!W157</f>
        <v>A</v>
      </c>
      <c r="X190" s="113" t="str">
        <f>IS!X157</f>
        <v>A</v>
      </c>
      <c r="Y190" s="113" t="str">
        <f>IS!Y157</f>
        <v>A</v>
      </c>
      <c r="Z190" s="113" t="str">
        <f>IS!Z157</f>
        <v>A</v>
      </c>
      <c r="AA190" s="113" t="str">
        <f>IS!AA157</f>
        <v>A</v>
      </c>
      <c r="AB190" s="113" t="str">
        <f>IS!AB157</f>
        <v>A</v>
      </c>
      <c r="AC190" s="113" t="e">
        <f>IS!AC157</f>
        <v>#NAME?</v>
      </c>
      <c r="AD190" s="113" t="e">
        <f>IS!AD157</f>
        <v>#NAME?</v>
      </c>
      <c r="AE190" s="113" t="e">
        <f>IS!AE157</f>
        <v>#NAME?</v>
      </c>
      <c r="AF190" s="113" t="e">
        <f>IS!AF157</f>
        <v>#NAME?</v>
      </c>
      <c r="AG190" s="113" t="e">
        <f>IS!AG157</f>
        <v>#NAME?</v>
      </c>
      <c r="AH190" s="113" t="e">
        <f>IS!AH157</f>
        <v>#NAME?</v>
      </c>
      <c r="AI190" s="113" t="e">
        <f>IS!AI157</f>
        <v>#NAME?</v>
      </c>
      <c r="AJ190" s="113" t="e">
        <f>IS!AJ157</f>
        <v>#NAME?</v>
      </c>
      <c r="AK190" s="113" t="e">
        <f>IS!AK157</f>
        <v>#NAME?</v>
      </c>
      <c r="AL190" s="113" t="e">
        <f>IS!AL157</f>
        <v>#NAME?</v>
      </c>
      <c r="AM190" s="113" t="e">
        <f>IS!AM157</f>
        <v>#NAME?</v>
      </c>
      <c r="AN190" s="113" t="e">
        <f>IS!AN157</f>
        <v>#NAME?</v>
      </c>
      <c r="AO190" s="113" t="e">
        <f>IS!AO157</f>
        <v>#NAME?</v>
      </c>
      <c r="AP190" s="113" t="e">
        <f>IS!AP157</f>
        <v>#NAME?</v>
      </c>
      <c r="AQ190" s="113" t="e">
        <f>IS!AQ157</f>
        <v>#NAME?</v>
      </c>
      <c r="AR190" s="113" t="e">
        <f>VLOOKUP(AR189,ValidDateTable,4,FALSE)</f>
        <v>#NAME?</v>
      </c>
      <c r="AS190" s="113" t="e">
        <f>VLOOKUP(AS189,ValidDateTable,4,FALSE)</f>
        <v>#NAME?</v>
      </c>
      <c r="AT190" s="113" t="e">
        <f>VLOOKUP(AT189,ValidDateTable,4,FALSE)</f>
        <v>#NAME?</v>
      </c>
      <c r="AU190" s="113" t="e">
        <f>VLOOKUP(AU189,ValidDateTable,4,FALSE)</f>
        <v>#NAME?</v>
      </c>
      <c r="AV190" s="113" t="e">
        <f t="shared" ref="AV190:BC190" si="677">VLOOKUP(AV189,ValidDateTable,4,FALSE)</f>
        <v>#NAME?</v>
      </c>
      <c r="AW190" s="113" t="e">
        <f t="shared" si="677"/>
        <v>#NAME?</v>
      </c>
      <c r="AX190" s="113" t="e">
        <f t="shared" si="677"/>
        <v>#NAME?</v>
      </c>
      <c r="AY190" s="113" t="e">
        <f t="shared" si="677"/>
        <v>#NAME?</v>
      </c>
      <c r="AZ190" s="113" t="e">
        <f t="shared" si="677"/>
        <v>#NAME?</v>
      </c>
      <c r="BA190" s="113" t="e">
        <f t="shared" si="677"/>
        <v>#NAME?</v>
      </c>
      <c r="BB190" s="113" t="e">
        <f t="shared" si="677"/>
        <v>#NAME?</v>
      </c>
      <c r="BC190" s="113" t="e">
        <f t="shared" si="677"/>
        <v>#NAME?</v>
      </c>
      <c r="BD190" s="113" t="e">
        <f t="shared" ref="BD190:BG190" si="678">VLOOKUP(BD189,ValidDateTable,4,FALSE)</f>
        <v>#NAME?</v>
      </c>
      <c r="BE190" s="113" t="e">
        <f t="shared" si="678"/>
        <v>#NAME?</v>
      </c>
      <c r="BF190" s="113" t="e">
        <f t="shared" si="678"/>
        <v>#NAME?</v>
      </c>
      <c r="BG190" s="113" t="e">
        <f t="shared" si="678"/>
        <v>#NAME?</v>
      </c>
      <c r="BH190" s="113" t="e">
        <f t="shared" ref="BH190:BK190" si="679">VLOOKUP(BH189,ValidDateTable,4,FALSE)</f>
        <v>#NAME?</v>
      </c>
      <c r="BI190" s="113" t="e">
        <f t="shared" si="679"/>
        <v>#NAME?</v>
      </c>
      <c r="BJ190" s="113" t="e">
        <f t="shared" si="679"/>
        <v>#NAME?</v>
      </c>
      <c r="BK190" s="113" t="e">
        <f t="shared" si="679"/>
        <v>#NAME?</v>
      </c>
      <c r="BL190" s="7"/>
      <c r="BM190" s="113" t="e">
        <f>IS!BM157</f>
        <v>#NAME?</v>
      </c>
      <c r="BN190" s="113" t="e">
        <f>IS!BN157</f>
        <v>#NAME?</v>
      </c>
      <c r="BO190" s="113" t="e">
        <f>IS!BO157</f>
        <v>#NAME?</v>
      </c>
      <c r="BP190" s="113" t="e">
        <f>IS!BP157</f>
        <v>#NAME?</v>
      </c>
      <c r="BQ190" s="113" t="e">
        <f>IS!BQ157</f>
        <v>#NAME?</v>
      </c>
      <c r="BR190" s="113" t="e">
        <f>IS!BR157</f>
        <v>#NAME?</v>
      </c>
      <c r="BS190" s="113" t="e">
        <f>IS!BS157</f>
        <v>#NAME?</v>
      </c>
      <c r="BT190" s="113" t="e">
        <f>IS!BT157</f>
        <v>#NAME?</v>
      </c>
      <c r="BU190" s="113" t="e">
        <f>IS!BU157</f>
        <v>#NAME?</v>
      </c>
      <c r="BV190" s="113" t="e">
        <f>IS!BV157</f>
        <v>#NAME?</v>
      </c>
      <c r="BW190" s="113" t="e">
        <f>IS!BW157</f>
        <v>#NAME?</v>
      </c>
      <c r="BX190" s="113" t="e">
        <f>IS!BX157</f>
        <v>#NAME?</v>
      </c>
      <c r="BY190" s="113" t="e">
        <f>IS!BY157</f>
        <v>#NAME?</v>
      </c>
      <c r="BZ190" s="113" t="e">
        <f>IS!BZ157</f>
        <v>#NAME?</v>
      </c>
      <c r="CA190" s="113" t="e">
        <f>IS!CA157</f>
        <v>#NAME?</v>
      </c>
      <c r="CB190" s="2137" t="e">
        <f>IS!CB157</f>
        <v>#NAME?</v>
      </c>
      <c r="CC190" s="7"/>
      <c r="CD190" s="7"/>
    </row>
    <row r="191" spans="1:82" ht="14.25" customHeight="1" outlineLevel="1">
      <c r="A191" s="7"/>
      <c r="B191" s="837" t="s">
        <v>121</v>
      </c>
      <c r="C191" s="69"/>
      <c r="D191" s="186" t="s">
        <v>122</v>
      </c>
      <c r="E191" s="186" t="s">
        <v>122</v>
      </c>
      <c r="F191" s="186" t="s">
        <v>122</v>
      </c>
      <c r="G191" s="186" t="s">
        <v>122</v>
      </c>
      <c r="H191" s="186" t="s">
        <v>122</v>
      </c>
      <c r="I191" s="186" t="s">
        <v>122</v>
      </c>
      <c r="J191" s="186" t="s">
        <v>122</v>
      </c>
      <c r="K191" s="186" t="s">
        <v>122</v>
      </c>
      <c r="L191" s="186" t="s">
        <v>122</v>
      </c>
      <c r="M191" s="186" t="s">
        <v>122</v>
      </c>
      <c r="N191" s="186" t="s">
        <v>122</v>
      </c>
      <c r="O191" s="186" t="s">
        <v>122</v>
      </c>
      <c r="P191" s="186" t="s">
        <v>122</v>
      </c>
      <c r="Q191" s="186" t="s">
        <v>122</v>
      </c>
      <c r="R191" s="186" t="s">
        <v>122</v>
      </c>
      <c r="S191" s="186" t="s">
        <v>122</v>
      </c>
      <c r="T191" s="186" t="s">
        <v>122</v>
      </c>
      <c r="U191" s="186" t="s">
        <v>122</v>
      </c>
      <c r="V191" s="186" t="s">
        <v>122</v>
      </c>
      <c r="W191" s="186" t="s">
        <v>122</v>
      </c>
      <c r="X191" s="186" t="s">
        <v>122</v>
      </c>
      <c r="Y191" s="186" t="s">
        <v>122</v>
      </c>
      <c r="Z191" s="186" t="s">
        <v>122</v>
      </c>
      <c r="AA191" s="186" t="s">
        <v>122</v>
      </c>
      <c r="AB191" s="186" t="s">
        <v>122</v>
      </c>
      <c r="AC191" s="186" t="s">
        <v>122</v>
      </c>
      <c r="AD191" s="186" t="s">
        <v>122</v>
      </c>
      <c r="AE191" s="186" t="s">
        <v>122</v>
      </c>
      <c r="AF191" s="186" t="s">
        <v>122</v>
      </c>
      <c r="AG191" s="186" t="s">
        <v>122</v>
      </c>
      <c r="AH191" s="186" t="s">
        <v>122</v>
      </c>
      <c r="AI191" s="186" t="s">
        <v>122</v>
      </c>
      <c r="AJ191" s="186" t="s">
        <v>122</v>
      </c>
      <c r="AK191" s="186" t="s">
        <v>122</v>
      </c>
      <c r="AL191" s="186" t="s">
        <v>122</v>
      </c>
      <c r="AM191" s="186" t="s">
        <v>122</v>
      </c>
      <c r="AN191" s="186" t="s">
        <v>122</v>
      </c>
      <c r="AO191" s="186" t="s">
        <v>122</v>
      </c>
      <c r="AP191" s="186" t="s">
        <v>122</v>
      </c>
      <c r="AQ191" s="186" t="s">
        <v>122</v>
      </c>
      <c r="AR191" s="186">
        <v>2015</v>
      </c>
      <c r="AS191" s="186">
        <v>2015</v>
      </c>
      <c r="AT191" s="186">
        <v>2015</v>
      </c>
      <c r="AU191" s="186">
        <v>2015</v>
      </c>
      <c r="AV191" s="186">
        <v>2016</v>
      </c>
      <c r="AW191" s="186">
        <v>2016</v>
      </c>
      <c r="AX191" s="7">
        <v>2016</v>
      </c>
      <c r="AY191" s="7">
        <v>2016</v>
      </c>
      <c r="AZ191" s="7">
        <v>2017</v>
      </c>
      <c r="BA191" s="7">
        <v>2017</v>
      </c>
      <c r="BB191" s="7">
        <v>2017</v>
      </c>
      <c r="BC191" s="7">
        <v>2017</v>
      </c>
      <c r="BD191" s="7">
        <v>2018</v>
      </c>
      <c r="BE191" s="7">
        <v>2018</v>
      </c>
      <c r="BF191" s="7">
        <v>2018</v>
      </c>
      <c r="BG191" s="7">
        <v>2018</v>
      </c>
      <c r="BH191" s="7">
        <v>2019</v>
      </c>
      <c r="BI191" s="7">
        <v>2019</v>
      </c>
      <c r="BJ191" s="7">
        <v>2019</v>
      </c>
      <c r="BK191" s="7">
        <v>2019</v>
      </c>
      <c r="BL191" s="7"/>
      <c r="BM191" s="186" t="s">
        <v>122</v>
      </c>
      <c r="BN191" s="186" t="s">
        <v>122</v>
      </c>
      <c r="BO191" s="186" t="s">
        <v>122</v>
      </c>
      <c r="BP191" s="186" t="s">
        <v>122</v>
      </c>
      <c r="BQ191" s="186" t="s">
        <v>122</v>
      </c>
      <c r="BR191" s="186" t="s">
        <v>122</v>
      </c>
      <c r="BS191" s="186" t="s">
        <v>122</v>
      </c>
      <c r="BT191" s="186" t="s">
        <v>122</v>
      </c>
      <c r="BU191" s="186" t="s">
        <v>122</v>
      </c>
      <c r="BV191" s="186" t="s">
        <v>122</v>
      </c>
      <c r="BW191" s="186" t="s">
        <v>122</v>
      </c>
      <c r="BX191" s="186" t="s">
        <v>122</v>
      </c>
      <c r="BY191" s="186" t="s">
        <v>122</v>
      </c>
      <c r="BZ191" s="186" t="s">
        <v>122</v>
      </c>
      <c r="CA191" s="186" t="s">
        <v>122</v>
      </c>
      <c r="CB191" s="2138" t="s">
        <v>122</v>
      </c>
      <c r="CC191" s="7"/>
      <c r="CD191" s="7"/>
    </row>
    <row r="192" spans="1:82" ht="14.25" customHeight="1">
      <c r="A192" s="7"/>
      <c r="B192" s="837" t="s">
        <v>123</v>
      </c>
      <c r="C192" s="69"/>
      <c r="D192" s="187">
        <f>C61-D61-D63+C63+D65-C65+D68-C68+D69-C69-IS!D88+IS!D98</f>
        <v>2664.4190000000003</v>
      </c>
      <c r="E192" s="187">
        <f>D61-E61-E63+D63+E65-D65+E68-D68+E69-D69-IS!E88+IS!E98</f>
        <v>18.195000000000043</v>
      </c>
      <c r="F192" s="187">
        <f>E61-F61-F63+E63+F65-E65+F68-E68+F69-E69-IS!F88+IS!F98</f>
        <v>68.08099999999979</v>
      </c>
      <c r="G192" s="187">
        <f>F61-G61-G63+F63+G65-F65+G68-F68+G69-F69-IS!G88+IS!G98</f>
        <v>272.50600000000031</v>
      </c>
      <c r="H192" s="187">
        <f>G61-H61-H63+G63+H65-G65+H68-G68+H69-G69-IS!H88+IS!H98</f>
        <v>1159.989</v>
      </c>
      <c r="I192" s="187">
        <f>H61-I61-I63+H63+I65-H65+I68-H68+I69-H69-IS!I88+IS!I98</f>
        <v>52.239000000000203</v>
      </c>
      <c r="J192" s="187">
        <f>I61-J61-J63+I63+J65-I65+J68-I68+J69-I69-IS!J88+IS!J98</f>
        <v>36.926999999999936</v>
      </c>
      <c r="K192" s="187">
        <f>J61-K61-K63+J63+K65-J65+K68-J68+K69-J69-IS!K88+IS!K98</f>
        <v>1357.6439999999998</v>
      </c>
      <c r="L192" s="187">
        <f>K61-L61-L63+K63+L65-K65+L68-K68+L69-K69-IS!L88+IS!L98</f>
        <v>28</v>
      </c>
      <c r="M192" s="187">
        <f>L61-M61-M63+L63+M65-L65+M68-L68+M69-L69-IS!M88+IS!M98</f>
        <v>-135</v>
      </c>
      <c r="N192" s="187">
        <f>M61-N61-N63+M63+N65-M65+N68-M68+N69-M69-IS!N88+IS!N98</f>
        <v>43</v>
      </c>
      <c r="O192" s="187">
        <f>N61-O61-O63+N63+O65-N65+O68-N68+O69-N69-IS!O88+IS!O98</f>
        <v>676</v>
      </c>
      <c r="P192" s="187">
        <f>O61-P61-P63+O63+P65-O65+P68-O68+P69-O69-IS!P88+IS!P98</f>
        <v>-4</v>
      </c>
      <c r="Q192" s="187">
        <f>P61-Q61-Q63+P63+Q65-P65+Q68-P68+Q69-P69-IS!Q88+IS!Q98</f>
        <v>-467</v>
      </c>
      <c r="R192" s="187">
        <f>Q61-R61-R63+Q63+R65-Q65+R68-Q68+R69-Q69-IS!R88+IS!R98</f>
        <v>-124</v>
      </c>
      <c r="S192" s="187">
        <f>R61-S61-S63+R63+S65-R65+S68-R68+S69-R69-IS!S88+IS!S98</f>
        <v>232</v>
      </c>
      <c r="T192" s="187">
        <f>S61-T61-T63+S63+T65-S65+T68-S68+T69-S69-IS!T88+IS!T98</f>
        <v>117</v>
      </c>
      <c r="U192" s="187">
        <f>T61-U61-U63+T63+U65-T65+U68-T68+U69-T69-IS!U88+IS!U98</f>
        <v>18</v>
      </c>
      <c r="V192" s="187">
        <f>U61-V61-V63+U63+V65-U65+V68-U68+V69-U69-IS!V88+IS!V98</f>
        <v>14</v>
      </c>
      <c r="W192" s="187">
        <f>V61-W61-W63+V63+W65-V65+W68-V68+W69-V69-IS!W88+IS!W98</f>
        <v>6</v>
      </c>
      <c r="X192" s="187">
        <f>W61-X61-X63+W63+X65-W65+X68-W68+X69-W69-IS!X88+IS!X98</f>
        <v>23</v>
      </c>
      <c r="Y192" s="187">
        <f>X61-Y61-Y63+X63+Y65-X65+Y68-X68+Y69-X69-IS!Y88+IS!Y98</f>
        <v>14</v>
      </c>
      <c r="Z192" s="187">
        <f>Y61-Z61-Z63+Y63+Z65-Y65+Z68-Y68+Z69-Y69-IS!Z88+IS!Z98</f>
        <v>-25</v>
      </c>
      <c r="AA192" s="187">
        <f>Z61-AA61-AA63+Z63+AA65-Z65+AA68-Z68+AA69-Z69-IS!AA88+IS!AA98</f>
        <v>35</v>
      </c>
      <c r="AB192" s="187">
        <f>AA61-AB61-AB63+AA63+AB65-AA65+AB68-AA68+AB69-AA69-IS!AB88+IS!AB98</f>
        <v>34</v>
      </c>
      <c r="AC192" s="187">
        <f>AB61-AC61-AC63+AB63+AC65-AB65+AC68-AB68+AC69-AB69-IS!AC88+IS!AC98</f>
        <v>24</v>
      </c>
      <c r="AD192" s="187">
        <f>AC61-AD61-AD63+AC63+AD65-AC65+AD68-AC68+AD69-AC69-IS!AD88+IS!AD98</f>
        <v>14</v>
      </c>
      <c r="AE192" s="187">
        <f>AD61-AE61-AE63+AD63+AE65-AD65+AE68-AD68+AE69-AD69-IS!AE88+IS!AE98</f>
        <v>16</v>
      </c>
      <c r="AF192" s="187">
        <f>AE61-AF61-AF63+AE63+AF65-AE65+AF68-AE68+AF69-AE69-IS!AF88+IS!AF98</f>
        <v>50</v>
      </c>
      <c r="AG192" s="187">
        <f>AF61-AG61-AG63+AF63+AG65-AF65+AG68-AF68+AG69-AF69-IS!AG88+IS!AG98</f>
        <v>29</v>
      </c>
      <c r="AH192" s="187">
        <f>AG61-AH61-AH63+AG63+AH65-AG65+AH68-AG68+AH69-AG69-IS!AH88+IS!AH98</f>
        <v>27</v>
      </c>
      <c r="AI192" s="187">
        <f>AH61-AI61-AI63+AH63+AI65-AH65+AI68-AH68+AI69-AH69-IS!AI88+IS!AI98</f>
        <v>23</v>
      </c>
      <c r="AJ192" s="187">
        <f>AI61-AJ61-AJ63+AI63+AJ65-AI65+AJ68-AI68+AJ69-AI69-IS!AJ88+IS!AJ98</f>
        <v>24</v>
      </c>
      <c r="AK192" s="187">
        <f>AJ61-AK61-AK63+AJ63+AK65-AJ65+AK68-AJ68+AK69-AJ69-IS!AK88+IS!AK98</f>
        <v>20</v>
      </c>
      <c r="AL192" s="187">
        <f>AK61-AL61-AL63+AK63+AL65-AK65+AL68-AK68+AL69-AK69-IS!AL88+IS!AL98</f>
        <v>23</v>
      </c>
      <c r="AM192" s="187">
        <f>AL61-AM61-AM63+AL63+AM65-AL65+AM68-AL68+AM69-AL69-IS!AM88+IS!AM98</f>
        <v>21</v>
      </c>
      <c r="AN192" s="187">
        <f>AM61-AN61-AN63+AM63+AN65-AM65+AN68-AM68+AN69-AM69-IS!AN88+IS!AN98</f>
        <v>-12</v>
      </c>
      <c r="AO192" s="187">
        <f>AN61-AO61-AO63+AN63+AO65-AN65+AO68-AN68+AO69-AN69-IS!AO88+IS!AO98</f>
        <v>22</v>
      </c>
      <c r="AP192" s="187">
        <f>AO61-AP61-AP63+AO63+AP65-AO65+AP68-AO68+AP69-AO69-IS!AP88+IS!AP98</f>
        <v>19</v>
      </c>
      <c r="AQ192" s="187">
        <f>AP61-AQ61-AQ63+AP63+AQ65-AP65+AQ68-AP68+AQ69-AP69-IS!AQ88+IS!AQ98</f>
        <v>20</v>
      </c>
      <c r="AR192" s="187">
        <f>AQ61-AR61-AR63+AQ63+AR65-AQ65+AR68-AQ68+AR69-AQ69-IS!AR88+IS!AR98</f>
        <v>17</v>
      </c>
      <c r="AS192" s="187">
        <f>AR61-AS61-AS63+AR63+AS65-AR65+AS68-AR68+AS69-AR69-IS!AS88+IS!AS98</f>
        <v>16</v>
      </c>
      <c r="AT192" s="187">
        <f>AS61-AT61-AT63+AS63+AT65-AS65+AT68-AS68+AT69-AS69-IS!AT88+IS!AT98</f>
        <v>12</v>
      </c>
      <c r="AU192" s="187">
        <f>AT61-AU61-AU63+AT63+AU65-AT65+AU68-AT68+AU69-AT69-IS!AU88+IS!AU98</f>
        <v>19</v>
      </c>
      <c r="AV192" s="187">
        <f>AU61-AV61-AV63+AU63+AV65-AU65+AV68-AU68+AV69-AU69-IS!AV88+IS!AV98</f>
        <v>16</v>
      </c>
      <c r="AW192" s="187">
        <f>AV61-AW61-AW63+AV63+AW65-AV65+AW68-AV68+AW69-AV69-IS!AW88+IS!AW98</f>
        <v>15</v>
      </c>
      <c r="AX192" s="187">
        <f>AW61-AX61-AX63+AW63+AX65-AW65+AX68-AW68+AX69-AW69-IS!AX88+IS!AX98</f>
        <v>1199</v>
      </c>
      <c r="AY192" s="187">
        <f>AX61-AY61-AY63+AX63+AY65-AX65+AY68-AX68+AY69-AX69-IS!AY88+IS!AY98</f>
        <v>82</v>
      </c>
      <c r="AZ192" s="187">
        <f>AY61-AZ61-AZ63+AY63+AZ65-AY65+AZ68-AY68+AZ69-AY69-IS!AZ88+IS!AZ98</f>
        <v>63</v>
      </c>
      <c r="BA192" s="187">
        <f>AZ61-BA61-BA63+AZ63+BA65-AZ65+BA68-AZ68+BA69-AZ69-IS!BA88+IS!BA98</f>
        <v>17</v>
      </c>
      <c r="BB192" s="187">
        <f>BA61-BB61-BB63+BA63+BB65-BA65+BB68-BA68+BB69-BA69-IS!BB88+IS!BB98</f>
        <v>28</v>
      </c>
      <c r="BC192" s="187">
        <f>BB61-BC61-BC63+BB63+BC65-BB65+BC68-BB68+BC69-BB69-IS!BC88+IS!BC98</f>
        <v>26</v>
      </c>
      <c r="BD192" s="187">
        <f>BC61-BD61-BD63+BC63+BD65-BC65+BD68-BC68+BD69-BC69-IS!BD88+IS!BD98</f>
        <v>25</v>
      </c>
      <c r="BE192" s="187">
        <f>BD61-BE61-BE63+BD63+BE65-BD65+BE68-BD68+BE69-BD69-IS!BE88+IS!BE98</f>
        <v>20.999999999999829</v>
      </c>
      <c r="BF192" s="187">
        <f>BE61-BF61-BF63+BE63+BF65-BE65+BF68-BE68+BF69-BE69-IS!BF88+IS!BF98</f>
        <v>20.999999999999872</v>
      </c>
      <c r="BG192" s="187">
        <f>BF61-BG61-BG63+BF63+BG65-BF65+BG68-BF68+BG69-BF69-IS!BG88+IS!BG98</f>
        <v>20.999999999999602</v>
      </c>
      <c r="BH192" s="187">
        <f>BG61-BH61-BH63+BG63+BH65-BG65+BH68-BG68+BH69-BG69-IS!BH88+IS!BH98</f>
        <v>20.999999999999559</v>
      </c>
      <c r="BI192" s="187">
        <f>BH61-BI61-BI63+BH63+BI65-BH65+BI68-BH68+BI69-BH69-IS!BI88+IS!BI98</f>
        <v>20.999999999999901</v>
      </c>
      <c r="BJ192" s="187">
        <f>BI61-BJ61-BJ63+BI63+BJ65-BI65+BJ68-BI68+BJ69-BI69-IS!BJ88+IS!BJ98</f>
        <v>20.999999999999744</v>
      </c>
      <c r="BK192" s="187">
        <f>BJ61-BK61-BK63+BJ63+BK65-BJ65+BK68-BJ68+BK69-BJ69-IS!BK88+IS!BK98</f>
        <v>20.999999999999915</v>
      </c>
      <c r="BL192" s="7"/>
      <c r="BM192" s="188">
        <f>BL61-BM61-BM63+BL63+BM65-BL65+BM68-BL68+BM69-BL69-IS!BM88+IS!BM98</f>
        <v>3023.201</v>
      </c>
      <c r="BN192" s="188">
        <f>BM61-BN61-BN63+BM63+BN65-BM65+BN68-BM68+BN69-BM69-IS!BN88+IS!BN98</f>
        <v>2606.799</v>
      </c>
      <c r="BO192" s="188">
        <f>BN61-BO61-BO63+BN63+BO65-BN65+BO68-BN68+BO69-BN69-IS!BO88+IS!BO98</f>
        <v>612</v>
      </c>
      <c r="BP192" s="188">
        <f>BO61-BP61-BP63+BO63+BP65-BO65+BP68-BO68+BP69-BO69-IS!BP88+IS!BP98</f>
        <v>-363</v>
      </c>
      <c r="BQ192" s="188">
        <f>BP61-BQ61-BQ63+BP63+BQ65-BP65+BQ68-BP68+BQ69-BP69-IS!BQ88+IS!BQ98</f>
        <v>155</v>
      </c>
      <c r="BR192" s="188">
        <f>BQ61-BR61-BR63+BQ63+BR65-BQ65+BR68-BQ68+BR69-BQ69-IS!BR88+IS!BR98</f>
        <v>47</v>
      </c>
      <c r="BS192" s="188">
        <f>BR61-BS61-BS63+BR63+BS65-BR65+BS68-BR68+BS69-BR69-IS!BS88+IS!BS98</f>
        <v>88</v>
      </c>
      <c r="BT192" s="188">
        <f>BS61-BT61-BT63+BS63+BT65-BS65+BT68-BS68+BT69-BS69-IS!BT88+IS!BT98</f>
        <v>129</v>
      </c>
      <c r="BU192" s="188">
        <f>BT61-BU61-BU63+BT63+BU65-BT65+BU68-BT68+BU69-BT69-IS!BU88+IS!BU98</f>
        <v>88</v>
      </c>
      <c r="BV192" s="188">
        <f>BU61-BV61-BV63+BU63+BV65-BU65+BV68-BU68+BV69-BU69-IS!BV88+IS!BV98</f>
        <v>49</v>
      </c>
      <c r="BW192" s="188">
        <f>BV61-BW61-BW63+BV63+BW65-BV65+BW68-BV68+BW69-BV69-IS!BW88+IS!BW98</f>
        <v>64</v>
      </c>
      <c r="BX192" s="188">
        <f>BW61-BX61-BX63+BW63+BX65-BW65+BX68-BW68+BX69-BW69-IS!BX88+IS!BX98</f>
        <v>1312</v>
      </c>
      <c r="BY192" s="188">
        <f>BX61-BY61-BY63+BX63+BY65-BX65+BY68-BX68+BY69-BX69-IS!BY88+IS!BY98</f>
        <v>134</v>
      </c>
      <c r="BZ192" s="188">
        <f>BY61-BZ61-BZ63+BY63+BZ65-BY65+BZ68-BY68+BZ69-BY69-IS!BZ88+IS!BZ98</f>
        <v>87.999999999999091</v>
      </c>
      <c r="CA192" s="188">
        <f>BZ61-CA61-CA63+BZ63+CA65-BZ65+CA68-BZ68+CA69-BZ69-IS!CA88+IS!CA98</f>
        <v>83.999999999999318</v>
      </c>
      <c r="CB192" s="2139">
        <f>CA61-CB61-CB63+CA63+CB65-CA65+CB68-CA68+CB69-CA69-IS!CB88+IS!CB98</f>
        <v>84.000000000000227</v>
      </c>
      <c r="CC192" s="7"/>
      <c r="CD192" s="7"/>
    </row>
  </sheetData>
  <phoneticPr fontId="31" type="noConversion"/>
  <pageMargins left="0" right="0" top="0" bottom="0" header="0" footer="0"/>
  <pageSetup paperSize="5" scale="28" orientation="landscape" r:id="rId1"/>
  <headerFooter alignWithMargins="0"/>
  <rowBreaks count="1" manualBreakCount="1">
    <brk id="76" max="74" man="1"/>
  </rowBreaks>
  <colBreaks count="1" manualBreakCount="1">
    <brk id="80" max="120" man="1"/>
  </colBreaks>
  <ignoredErrors>
    <ignoredError sqref="BL62:BT62 BL28:BT28 BL20:BT20 CK62:CU62" formula="1"/>
    <ignoredError sqref="D71:AD71 AE71:AF71 BW71:BY71 BL71:BT71 AG71:AH71 AJ71" formulaRange="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7"/>
    <pageSetUpPr fitToPage="1"/>
  </sheetPr>
  <dimension ref="A1:CJ164"/>
  <sheetViews>
    <sheetView showGridLines="0" zoomScale="80" zoomScaleNormal="80" workbookViewId="0">
      <pane xSplit="3" ySplit="6" topLeftCell="AZ7" activePane="bottomRight" state="frozen"/>
      <selection activeCell="AW17" sqref="AW17"/>
      <selection pane="topRight" activeCell="AW17" sqref="AW17"/>
      <selection pane="bottomLeft" activeCell="AW17" sqref="AW17"/>
      <selection pane="bottomRight" activeCell="B3" sqref="B3"/>
    </sheetView>
  </sheetViews>
  <sheetFormatPr defaultRowHeight="14.25" customHeight="1" outlineLevelRow="1" outlineLevelCol="1"/>
  <cols>
    <col min="1" max="1" width="1.7109375" customWidth="1"/>
    <col min="2" max="2" width="56" customWidth="1"/>
    <col min="3" max="3" width="1.7109375" customWidth="1"/>
    <col min="4" max="16" width="11.42578125" hidden="1" customWidth="1" outlineLevel="1"/>
    <col min="17" max="17" width="12" hidden="1" customWidth="1" outlineLevel="1"/>
    <col min="18" max="18" width="11.42578125" hidden="1" customWidth="1" outlineLevel="1"/>
    <col min="19" max="19" width="12" hidden="1" customWidth="1" outlineLevel="1"/>
    <col min="20" max="27" width="11.42578125" hidden="1" customWidth="1" outlineLevel="1"/>
    <col min="28" max="28" width="11.42578125" hidden="1" customWidth="1" outlineLevel="1" collapsed="1"/>
    <col min="29" max="31" width="11.42578125" hidden="1" customWidth="1" outlineLevel="1"/>
    <col min="32" max="32" width="11.42578125" hidden="1" customWidth="1" outlineLevel="1" collapsed="1"/>
    <col min="33" max="35" width="11.42578125" hidden="1" customWidth="1" outlineLevel="1"/>
    <col min="36" max="36" width="11.42578125" hidden="1" customWidth="1" outlineLevel="1" collapsed="1"/>
    <col min="37" max="39" width="11.42578125" hidden="1" customWidth="1" outlineLevel="1"/>
    <col min="40" max="40" width="11.42578125" hidden="1" customWidth="1" outlineLevel="1" collapsed="1"/>
    <col min="41" max="43" width="11.42578125" hidden="1" customWidth="1" outlineLevel="1"/>
    <col min="44" max="44" width="11.42578125" hidden="1" customWidth="1" outlineLevel="1" collapsed="1"/>
    <col min="45" max="51" width="11.42578125" hidden="1" customWidth="1" outlineLevel="1"/>
    <col min="52" max="52" width="11.42578125" customWidth="1" collapsed="1"/>
    <col min="53" max="63" width="11.42578125" customWidth="1"/>
    <col min="64" max="64" width="2.28515625" customWidth="1"/>
    <col min="65" max="66" width="11.42578125" hidden="1" customWidth="1" outlineLevel="1"/>
    <col min="67" max="70" width="12" hidden="1" customWidth="1" outlineLevel="1"/>
    <col min="71" max="71" width="11.42578125" hidden="1" customWidth="1" outlineLevel="1"/>
    <col min="72" max="72" width="12" hidden="1" customWidth="1" outlineLevel="1"/>
    <col min="73" max="76" width="11.42578125" hidden="1" customWidth="1" outlineLevel="1"/>
    <col min="77" max="77" width="11.42578125" customWidth="1" collapsed="1"/>
    <col min="78" max="79" width="11.42578125" customWidth="1"/>
    <col min="80" max="80" width="11.42578125" hidden="1" customWidth="1" outlineLevel="1"/>
    <col min="81" max="81" width="11.42578125" customWidth="1" collapsed="1"/>
    <col min="82" max="82" width="11.42578125" customWidth="1"/>
    <col min="83" max="83" width="34.42578125" customWidth="1"/>
  </cols>
  <sheetData>
    <row r="1" spans="1:82" ht="67.5" customHeight="1">
      <c r="A1" s="5"/>
      <c r="B1" s="303"/>
      <c r="C1" s="1"/>
      <c r="D1" s="2"/>
      <c r="E1" s="1"/>
      <c r="F1" s="2"/>
      <c r="G1" s="1"/>
      <c r="H1" s="2"/>
      <c r="I1" s="1"/>
      <c r="J1" s="2"/>
      <c r="K1" s="1"/>
      <c r="L1" s="2"/>
      <c r="M1" s="1"/>
      <c r="N1" s="2"/>
      <c r="O1" s="1"/>
      <c r="P1" s="2"/>
      <c r="Q1" s="1"/>
      <c r="R1" s="2"/>
      <c r="S1" s="1"/>
      <c r="T1" s="2"/>
      <c r="U1" s="1"/>
      <c r="V1" s="2"/>
      <c r="W1" s="1"/>
      <c r="X1" s="2"/>
      <c r="Y1" s="1"/>
      <c r="Z1" s="2"/>
      <c r="AA1" s="1"/>
      <c r="AB1" s="2"/>
      <c r="AC1" s="1"/>
      <c r="AD1" s="2"/>
      <c r="AE1" s="1"/>
      <c r="AF1" s="2"/>
      <c r="AG1" s="1"/>
      <c r="AH1" s="2"/>
      <c r="AI1" s="1"/>
      <c r="AJ1" s="2"/>
      <c r="AK1" s="1"/>
      <c r="AL1" s="2"/>
      <c r="AM1" s="1"/>
      <c r="AN1" s="2"/>
      <c r="AO1" s="1"/>
      <c r="AP1" s="1"/>
      <c r="AQ1" s="1"/>
      <c r="AR1" s="2"/>
      <c r="AS1" s="1"/>
      <c r="AT1" s="1"/>
      <c r="AU1" s="1"/>
      <c r="AV1" s="2"/>
      <c r="AW1" s="1"/>
      <c r="AX1" s="1"/>
      <c r="AY1" s="1"/>
      <c r="AZ1" s="1"/>
      <c r="BA1" s="1"/>
      <c r="BB1" s="1"/>
      <c r="BC1" s="1"/>
      <c r="BD1" s="1"/>
      <c r="BE1" s="1"/>
      <c r="BF1" s="1"/>
      <c r="BG1" s="1"/>
      <c r="BH1" s="1"/>
      <c r="BI1" s="1"/>
      <c r="BJ1" s="1"/>
      <c r="BK1" s="1"/>
      <c r="BL1" s="2"/>
      <c r="BM1" s="2"/>
      <c r="BN1" s="1"/>
      <c r="BO1" s="2"/>
      <c r="BP1" s="2"/>
      <c r="BQ1" s="2"/>
      <c r="BR1" s="2"/>
      <c r="BS1" s="2"/>
      <c r="BT1" s="2"/>
      <c r="BU1" s="2"/>
      <c r="BV1" s="2"/>
      <c r="BW1" s="2"/>
      <c r="BX1" s="2"/>
      <c r="BY1" s="2"/>
      <c r="BZ1" s="1"/>
      <c r="CA1" s="1"/>
      <c r="CB1" s="2069"/>
      <c r="CC1" s="1"/>
      <c r="CD1" s="1"/>
    </row>
    <row r="2" spans="1:82" ht="18" customHeight="1">
      <c r="A2" s="1"/>
      <c r="B2" s="4" t="s">
        <v>233</v>
      </c>
      <c r="C2" s="4"/>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t="s">
        <v>373</v>
      </c>
      <c r="BW2" s="1"/>
      <c r="BX2" s="1"/>
      <c r="BY2" s="1"/>
      <c r="BZ2" s="1"/>
      <c r="CA2" s="1"/>
      <c r="CB2" s="2099"/>
      <c r="CC2" s="1"/>
      <c r="CD2" s="1"/>
    </row>
    <row r="3" spans="1:82" ht="14.25" customHeight="1">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488"/>
      <c r="AX3" s="1"/>
      <c r="AY3" s="1"/>
      <c r="AZ3" s="1488"/>
      <c r="BA3" s="1488"/>
      <c r="BB3" s="1"/>
      <c r="BC3" s="1"/>
      <c r="BD3" s="1"/>
      <c r="BE3" s="1"/>
      <c r="BF3" s="1"/>
      <c r="BG3" s="1"/>
      <c r="BH3" s="1"/>
      <c r="BI3" s="1"/>
      <c r="BJ3" s="1"/>
      <c r="BK3" s="1"/>
      <c r="BL3" s="1"/>
      <c r="BM3" s="1"/>
      <c r="BN3" s="1"/>
      <c r="BO3" s="1"/>
      <c r="BP3" s="1"/>
      <c r="BQ3" s="1"/>
      <c r="BR3" s="1"/>
      <c r="BS3" s="1"/>
      <c r="BT3" s="1"/>
      <c r="BU3" s="1"/>
      <c r="BV3" s="1"/>
      <c r="BW3" s="1"/>
      <c r="BX3" s="1"/>
      <c r="BY3" s="1"/>
      <c r="BZ3" s="1"/>
      <c r="CA3" s="1"/>
      <c r="CB3" s="2099"/>
      <c r="CC3" s="1"/>
      <c r="CD3" s="1"/>
    </row>
    <row r="4" spans="1:82" ht="14.25" customHeight="1">
      <c r="A4" s="7"/>
      <c r="B4" s="8" t="s">
        <v>236</v>
      </c>
      <c r="C4" s="9"/>
      <c r="D4" s="469" t="str">
        <f>BS!D4</f>
        <v>C1Q05A</v>
      </c>
      <c r="E4" s="469" t="str">
        <f>BS!E4</f>
        <v>C2Q05A</v>
      </c>
      <c r="F4" s="469" t="str">
        <f>BS!F4</f>
        <v>C3Q05A</v>
      </c>
      <c r="G4" s="470" t="str">
        <f>BS!G4</f>
        <v>C4Q05A</v>
      </c>
      <c r="H4" s="468" t="str">
        <f>BS!H4</f>
        <v>C1Q06A</v>
      </c>
      <c r="I4" s="469" t="str">
        <f>BS!I4</f>
        <v>C2Q06A</v>
      </c>
      <c r="J4" s="469" t="str">
        <f>BS!J4</f>
        <v>C3Q06A</v>
      </c>
      <c r="K4" s="470" t="str">
        <f>BS!K4</f>
        <v>C4Q06A</v>
      </c>
      <c r="L4" s="468" t="str">
        <f>BS!L4</f>
        <v>C1Q07A</v>
      </c>
      <c r="M4" s="469" t="str">
        <f>BS!M4</f>
        <v>C2Q07A</v>
      </c>
      <c r="N4" s="469" t="str">
        <f>BS!N4</f>
        <v>C3Q07A</v>
      </c>
      <c r="O4" s="470" t="str">
        <f>BS!O4</f>
        <v>C4Q07A</v>
      </c>
      <c r="P4" s="468" t="str">
        <f>BS!P4</f>
        <v>C1Q08A</v>
      </c>
      <c r="Q4" s="469" t="str">
        <f>BS!Q4</f>
        <v>C2Q08A</v>
      </c>
      <c r="R4" s="469" t="str">
        <f>BS!R4</f>
        <v>C3Q08A</v>
      </c>
      <c r="S4" s="470" t="str">
        <f>BS!S4</f>
        <v>C4Q08A</v>
      </c>
      <c r="T4" s="468" t="str">
        <f>BS!T4</f>
        <v>C1Q09A</v>
      </c>
      <c r="U4" s="469" t="str">
        <f>BS!U4</f>
        <v>C2Q09A</v>
      </c>
      <c r="V4" s="469" t="str">
        <f>BS!V4</f>
        <v>C3Q09A</v>
      </c>
      <c r="W4" s="470" t="str">
        <f>BS!W4</f>
        <v>C4Q09A</v>
      </c>
      <c r="X4" s="468" t="str">
        <f>BS!X4</f>
        <v>C1Q10A</v>
      </c>
      <c r="Y4" s="469" t="str">
        <f>BS!Y4</f>
        <v>C2Q10A</v>
      </c>
      <c r="Z4" s="469" t="str">
        <f>BS!Z4</f>
        <v>C3Q10A</v>
      </c>
      <c r="AA4" s="470" t="str">
        <f>BS!AA4</f>
        <v>C4Q10A</v>
      </c>
      <c r="AB4" s="468" t="str">
        <f>BS!AB4</f>
        <v>C1Q11A</v>
      </c>
      <c r="AC4" s="469" t="str">
        <f>BS!AC4</f>
        <v>C2Q11A</v>
      </c>
      <c r="AD4" s="469" t="str">
        <f>BS!AD4</f>
        <v>C3Q11A</v>
      </c>
      <c r="AE4" s="470" t="str">
        <f>BS!AE4</f>
        <v>C4Q11A</v>
      </c>
      <c r="AF4" s="468" t="str">
        <f>BS!AF4</f>
        <v>C1Q12A</v>
      </c>
      <c r="AG4" s="469" t="str">
        <f>BS!AG4</f>
        <v>C2Q12A</v>
      </c>
      <c r="AH4" s="469" t="str">
        <f>BS!AH4</f>
        <v>C3Q12A</v>
      </c>
      <c r="AI4" s="470" t="str">
        <f>BS!AI4</f>
        <v>C4Q12A</v>
      </c>
      <c r="AJ4" s="468" t="str">
        <f>BS!AJ4</f>
        <v>C1Q13A</v>
      </c>
      <c r="AK4" s="469" t="str">
        <f>BS!AK4</f>
        <v>C2Q13A</v>
      </c>
      <c r="AL4" s="469" t="str">
        <f>BS!AL4</f>
        <v>C3Q13A</v>
      </c>
      <c r="AM4" s="470" t="str">
        <f>BS!AM4</f>
        <v>C4Q13A</v>
      </c>
      <c r="AN4" s="468" t="str">
        <f>BS!AN4</f>
        <v>C1Q14A</v>
      </c>
      <c r="AO4" s="469" t="str">
        <f>BS!AO4</f>
        <v>C2Q14A</v>
      </c>
      <c r="AP4" s="469" t="str">
        <f>BS!AP4</f>
        <v>C3Q14A</v>
      </c>
      <c r="AQ4" s="470" t="str">
        <f>BS!AQ4</f>
        <v>C4Q14A</v>
      </c>
      <c r="AR4" s="468" t="str">
        <f>BS!AR4</f>
        <v>C1Q15A</v>
      </c>
      <c r="AS4" s="469" t="str">
        <f>BS!AS4</f>
        <v>C2Q15A</v>
      </c>
      <c r="AT4" s="469" t="str">
        <f>BS!AT4</f>
        <v>C3Q15A</v>
      </c>
      <c r="AU4" s="470" t="str">
        <f>BS!AU4</f>
        <v>C4Q15A</v>
      </c>
      <c r="AV4" s="468" t="str">
        <f>BS!AV4</f>
        <v>C1Q16A</v>
      </c>
      <c r="AW4" s="469" t="str">
        <f>BS!AW4</f>
        <v>C2Q16A</v>
      </c>
      <c r="AX4" s="469" t="str">
        <f>BS!AX4</f>
        <v>C3Q16A</v>
      </c>
      <c r="AY4" s="470" t="str">
        <f>BS!AY4</f>
        <v>C4Q16A</v>
      </c>
      <c r="AZ4" s="469" t="str">
        <f>BS!AZ4</f>
        <v>C1Q17A</v>
      </c>
      <c r="BA4" s="469" t="str">
        <f>BS!BA4</f>
        <v>C2Q17A</v>
      </c>
      <c r="BB4" s="469" t="str">
        <f>BS!BB4</f>
        <v>C3Q17A</v>
      </c>
      <c r="BC4" s="470" t="str">
        <f>BS!BC4</f>
        <v>C4Q17A</v>
      </c>
      <c r="BD4" s="469" t="str">
        <f>BS!BD4</f>
        <v>C1Q18A</v>
      </c>
      <c r="BE4" s="469" t="str">
        <f>BS!BE4</f>
        <v>C2Q18E</v>
      </c>
      <c r="BF4" s="469" t="str">
        <f>BS!BF4</f>
        <v>C3Q18E</v>
      </c>
      <c r="BG4" s="470" t="str">
        <f>BS!BG4</f>
        <v>C4Q18E</v>
      </c>
      <c r="BH4" s="469" t="str">
        <f>BS!BH4</f>
        <v>C1Q19A</v>
      </c>
      <c r="BI4" s="469" t="str">
        <f>BS!BI4</f>
        <v>C2Q19E</v>
      </c>
      <c r="BJ4" s="469" t="str">
        <f>BS!BJ4</f>
        <v>C3Q19E</v>
      </c>
      <c r="BK4" s="470" t="str">
        <f>BS!BK4</f>
        <v>C4Q19E</v>
      </c>
      <c r="BL4" s="1"/>
      <c r="BM4" s="1"/>
      <c r="BN4" s="1"/>
      <c r="BO4" s="1"/>
      <c r="BP4" s="1"/>
      <c r="BQ4" s="1"/>
      <c r="BR4" s="1"/>
      <c r="BS4" s="1"/>
      <c r="BT4" s="1"/>
      <c r="BU4" s="1"/>
      <c r="BV4" s="1"/>
      <c r="BW4" s="1"/>
      <c r="BX4" s="1"/>
      <c r="BY4" s="1"/>
      <c r="BZ4" s="1"/>
      <c r="CA4" s="1"/>
      <c r="CB4" s="2099"/>
      <c r="CC4" s="1"/>
      <c r="CD4" s="1"/>
    </row>
    <row r="5" spans="1:82" ht="14.25" customHeight="1">
      <c r="A5" s="7"/>
      <c r="B5" s="11" t="s">
        <v>190</v>
      </c>
      <c r="C5" s="12"/>
      <c r="D5" s="469">
        <f>BS!D5</f>
        <v>38442</v>
      </c>
      <c r="E5" s="469">
        <f>BS!E5</f>
        <v>38533</v>
      </c>
      <c r="F5" s="469">
        <f>BS!F5</f>
        <v>38625</v>
      </c>
      <c r="G5" s="470">
        <f>BS!G5</f>
        <v>38717</v>
      </c>
      <c r="H5" s="468">
        <f>BS!H5</f>
        <v>38807</v>
      </c>
      <c r="I5" s="469">
        <f>BS!I5</f>
        <v>38898</v>
      </c>
      <c r="J5" s="469">
        <f>BS!J5</f>
        <v>38990</v>
      </c>
      <c r="K5" s="470">
        <f>BS!K5</f>
        <v>39082</v>
      </c>
      <c r="L5" s="468">
        <f>BS!L5</f>
        <v>39172</v>
      </c>
      <c r="M5" s="469">
        <f>BS!M5</f>
        <v>39263</v>
      </c>
      <c r="N5" s="469">
        <f>BS!N5</f>
        <v>39355</v>
      </c>
      <c r="O5" s="470">
        <f>BS!O5</f>
        <v>39447</v>
      </c>
      <c r="P5" s="468">
        <f>BS!P5</f>
        <v>39538</v>
      </c>
      <c r="Q5" s="469">
        <f>BS!Q5</f>
        <v>39629</v>
      </c>
      <c r="R5" s="469">
        <f>BS!R5</f>
        <v>39721</v>
      </c>
      <c r="S5" s="470">
        <f>BS!S5</f>
        <v>39813</v>
      </c>
      <c r="T5" s="468">
        <f>BS!T5</f>
        <v>39903</v>
      </c>
      <c r="U5" s="469">
        <f>BS!U5</f>
        <v>39994</v>
      </c>
      <c r="V5" s="469">
        <f>BS!V5</f>
        <v>40086</v>
      </c>
      <c r="W5" s="470">
        <f>BS!W5</f>
        <v>40178</v>
      </c>
      <c r="X5" s="468">
        <f>BS!X5</f>
        <v>40268</v>
      </c>
      <c r="Y5" s="469">
        <f>BS!Y5</f>
        <v>40359</v>
      </c>
      <c r="Z5" s="469">
        <f>BS!Z5</f>
        <v>40451</v>
      </c>
      <c r="AA5" s="470">
        <f>BS!AA5</f>
        <v>40543</v>
      </c>
      <c r="AB5" s="468">
        <f>BS!AB5</f>
        <v>40633</v>
      </c>
      <c r="AC5" s="469">
        <f>BS!AC5</f>
        <v>40724</v>
      </c>
      <c r="AD5" s="469">
        <f>BS!AD5</f>
        <v>40816</v>
      </c>
      <c r="AE5" s="470">
        <f>BS!AE5</f>
        <v>40908</v>
      </c>
      <c r="AF5" s="468">
        <f>BS!AF5</f>
        <v>40999</v>
      </c>
      <c r="AG5" s="469">
        <f>BS!AG5</f>
        <v>41090</v>
      </c>
      <c r="AH5" s="469">
        <f>BS!AH5</f>
        <v>41182</v>
      </c>
      <c r="AI5" s="470">
        <f>BS!AI5</f>
        <v>41274</v>
      </c>
      <c r="AJ5" s="468">
        <f>BS!AJ5</f>
        <v>41364</v>
      </c>
      <c r="AK5" s="469">
        <f>BS!AK5</f>
        <v>41455</v>
      </c>
      <c r="AL5" s="469">
        <f>BS!AL5</f>
        <v>41547</v>
      </c>
      <c r="AM5" s="470">
        <f>BS!AM5</f>
        <v>41639</v>
      </c>
      <c r="AN5" s="468">
        <f>BS!AN5</f>
        <v>41729</v>
      </c>
      <c r="AO5" s="469">
        <f>BS!AO5</f>
        <v>41820</v>
      </c>
      <c r="AP5" s="469">
        <f>BS!AP5</f>
        <v>41912</v>
      </c>
      <c r="AQ5" s="470">
        <f>BS!AQ5</f>
        <v>42004</v>
      </c>
      <c r="AR5" s="468">
        <f>BS!AR5</f>
        <v>42094</v>
      </c>
      <c r="AS5" s="469">
        <f>BS!AS5</f>
        <v>42185</v>
      </c>
      <c r="AT5" s="469">
        <f>BS!AT5</f>
        <v>42277</v>
      </c>
      <c r="AU5" s="470">
        <f>BS!AU5</f>
        <v>42369</v>
      </c>
      <c r="AV5" s="468">
        <f>BS!AV5</f>
        <v>42460</v>
      </c>
      <c r="AW5" s="469">
        <f>BS!AW5</f>
        <v>42551</v>
      </c>
      <c r="AX5" s="469">
        <f>BS!AX5</f>
        <v>42643</v>
      </c>
      <c r="AY5" s="470">
        <f>BS!AY5</f>
        <v>42735</v>
      </c>
      <c r="AZ5" s="469">
        <f>BS!AZ5</f>
        <v>42825</v>
      </c>
      <c r="BA5" s="469">
        <f>BS!BA5</f>
        <v>42916</v>
      </c>
      <c r="BB5" s="469">
        <f>BS!BB5</f>
        <v>43008</v>
      </c>
      <c r="BC5" s="470">
        <f>BS!BC5</f>
        <v>43100</v>
      </c>
      <c r="BD5" s="469">
        <f>BS!BD5</f>
        <v>43190</v>
      </c>
      <c r="BE5" s="469">
        <f>BS!BE5</f>
        <v>43281</v>
      </c>
      <c r="BF5" s="469">
        <f>BS!BF5</f>
        <v>43373</v>
      </c>
      <c r="BG5" s="470">
        <f>BS!BG5</f>
        <v>43465</v>
      </c>
      <c r="BH5" s="469">
        <f>BS!BH5</f>
        <v>43555</v>
      </c>
      <c r="BI5" s="469">
        <f>BS!BI5</f>
        <v>43646</v>
      </c>
      <c r="BJ5" s="469">
        <f>BS!BJ5</f>
        <v>43738</v>
      </c>
      <c r="BK5" s="470">
        <f>BS!BK5</f>
        <v>43830</v>
      </c>
      <c r="BL5" s="7"/>
      <c r="BM5" s="7"/>
      <c r="BN5" s="7"/>
      <c r="BO5" s="274"/>
      <c r="BP5" s="274"/>
      <c r="BQ5" s="274"/>
      <c r="BR5" s="274"/>
      <c r="BS5" s="274"/>
      <c r="BT5" s="274"/>
      <c r="BU5" s="274"/>
      <c r="BV5" s="274"/>
      <c r="BW5" s="274"/>
      <c r="BX5" s="274"/>
      <c r="BY5" s="274"/>
      <c r="BZ5" s="7"/>
      <c r="CA5" s="7"/>
      <c r="CB5" s="2072"/>
      <c r="CC5" s="10"/>
      <c r="CD5" s="10"/>
    </row>
    <row r="6" spans="1:82" ht="14.25" customHeight="1">
      <c r="A6" s="7"/>
      <c r="B6" s="306"/>
      <c r="C6" s="191"/>
      <c r="D6" s="17" t="str">
        <f>BS!D6</f>
        <v>F1Q05A</v>
      </c>
      <c r="E6" s="17" t="str">
        <f>BS!E6</f>
        <v>F2Q05A</v>
      </c>
      <c r="F6" s="17" t="str">
        <f>BS!F6</f>
        <v>F3Q05A</v>
      </c>
      <c r="G6" s="18" t="str">
        <f>BS!G6</f>
        <v>F4Q05A</v>
      </c>
      <c r="H6" s="16" t="str">
        <f>BS!H6</f>
        <v>F1Q06A</v>
      </c>
      <c r="I6" s="17" t="str">
        <f>BS!I6</f>
        <v>F2Q06A</v>
      </c>
      <c r="J6" s="17" t="str">
        <f>BS!J6</f>
        <v>F3Q06A</v>
      </c>
      <c r="K6" s="18" t="str">
        <f>BS!K6</f>
        <v>F4Q06A</v>
      </c>
      <c r="L6" s="16" t="str">
        <f>BS!L6</f>
        <v>F1Q07A</v>
      </c>
      <c r="M6" s="17" t="str">
        <f>BS!M6</f>
        <v>F2Q07A</v>
      </c>
      <c r="N6" s="17" t="str">
        <f>BS!N6</f>
        <v>F3Q07A</v>
      </c>
      <c r="O6" s="18" t="str">
        <f>BS!O6</f>
        <v>F4Q07A</v>
      </c>
      <c r="P6" s="16" t="str">
        <f>BS!P6</f>
        <v>F1Q08A</v>
      </c>
      <c r="Q6" s="17" t="str">
        <f>BS!Q6</f>
        <v>F2Q08A</v>
      </c>
      <c r="R6" s="17" t="str">
        <f>BS!R6</f>
        <v>F3Q08A</v>
      </c>
      <c r="S6" s="18" t="str">
        <f>BS!S6</f>
        <v>F4Q08A</v>
      </c>
      <c r="T6" s="16" t="str">
        <f>BS!T6</f>
        <v>F1Q09A</v>
      </c>
      <c r="U6" s="17" t="str">
        <f>BS!U6</f>
        <v>F2Q09A</v>
      </c>
      <c r="V6" s="17" t="str">
        <f>BS!V6</f>
        <v>F3Q09A</v>
      </c>
      <c r="W6" s="18" t="str">
        <f>BS!W6</f>
        <v>F4Q09A</v>
      </c>
      <c r="X6" s="16" t="str">
        <f>BS!X6</f>
        <v>F1Q10A</v>
      </c>
      <c r="Y6" s="17" t="str">
        <f>BS!Y6</f>
        <v>F2Q10A</v>
      </c>
      <c r="Z6" s="17" t="str">
        <f>BS!Z6</f>
        <v>F3Q10A</v>
      </c>
      <c r="AA6" s="18" t="str">
        <f>BS!AA6</f>
        <v>F4Q10A</v>
      </c>
      <c r="AB6" s="16" t="str">
        <f>BS!AB6</f>
        <v>F1Q11A</v>
      </c>
      <c r="AC6" s="17" t="str">
        <f>BS!AC6</f>
        <v>F2Q11A</v>
      </c>
      <c r="AD6" s="17" t="str">
        <f>BS!AD6</f>
        <v>F3Q11A</v>
      </c>
      <c r="AE6" s="18" t="str">
        <f>BS!AE6</f>
        <v>F4Q11A</v>
      </c>
      <c r="AF6" s="16" t="str">
        <f>BS!AF6</f>
        <v>F1Q12A</v>
      </c>
      <c r="AG6" s="17" t="str">
        <f>BS!AG6</f>
        <v>F2Q12A</v>
      </c>
      <c r="AH6" s="17" t="str">
        <f>BS!AH6</f>
        <v>F3Q12A</v>
      </c>
      <c r="AI6" s="18" t="str">
        <f>BS!AI6</f>
        <v>F4Q12A</v>
      </c>
      <c r="AJ6" s="16" t="str">
        <f>BS!AJ6</f>
        <v>F1Q13A</v>
      </c>
      <c r="AK6" s="17" t="str">
        <f>BS!AK6</f>
        <v>F2Q13A</v>
      </c>
      <c r="AL6" s="17" t="str">
        <f>BS!AL6</f>
        <v>F3Q13A</v>
      </c>
      <c r="AM6" s="18" t="str">
        <f>BS!AM6</f>
        <v>F4Q13A</v>
      </c>
      <c r="AN6" s="16" t="str">
        <f>BS!AN6</f>
        <v>F1Q14A</v>
      </c>
      <c r="AO6" s="17" t="str">
        <f>BS!AO6</f>
        <v>F2Q14A</v>
      </c>
      <c r="AP6" s="17" t="str">
        <f>BS!AP6</f>
        <v>F3Q14A</v>
      </c>
      <c r="AQ6" s="18" t="str">
        <f>BS!AQ6</f>
        <v>F4Q14A</v>
      </c>
      <c r="AR6" s="16" t="str">
        <f>BS!AR6</f>
        <v>F1Q15A</v>
      </c>
      <c r="AS6" s="17" t="str">
        <f>BS!AS6</f>
        <v>F2Q15A</v>
      </c>
      <c r="AT6" s="17" t="str">
        <f>BS!AT6</f>
        <v>F3Q15A</v>
      </c>
      <c r="AU6" s="18" t="str">
        <f>BS!AU6</f>
        <v>F4Q15A</v>
      </c>
      <c r="AV6" s="16" t="str">
        <f>BS!AV6</f>
        <v>F1Q16A</v>
      </c>
      <c r="AW6" s="17" t="str">
        <f>BS!AW6</f>
        <v>C2Q16A</v>
      </c>
      <c r="AX6" s="17" t="str">
        <f>BS!AX6</f>
        <v>F3Q16A</v>
      </c>
      <c r="AY6" s="18" t="str">
        <f>BS!AY6</f>
        <v>F4Q16A</v>
      </c>
      <c r="AZ6" s="17" t="str">
        <f>BS!AZ6</f>
        <v>F1Q17A</v>
      </c>
      <c r="BA6" s="17" t="str">
        <f>BS!BA6</f>
        <v>C2Q17A</v>
      </c>
      <c r="BB6" s="17" t="str">
        <f>BS!BB6</f>
        <v>C3Q17A</v>
      </c>
      <c r="BC6" s="18" t="str">
        <f>BS!BC6</f>
        <v>F4Q17A</v>
      </c>
      <c r="BD6" s="17" t="str">
        <f>BS!BD6</f>
        <v>F1Q18A</v>
      </c>
      <c r="BE6" s="17" t="str">
        <f>BS!BE6</f>
        <v>F2Q18E</v>
      </c>
      <c r="BF6" s="17" t="str">
        <f>BS!BF6</f>
        <v>F3Q18E</v>
      </c>
      <c r="BG6" s="18" t="str">
        <f>BS!BG6</f>
        <v>F4Q18E</v>
      </c>
      <c r="BH6" s="1848" t="str">
        <f>BS!BH6</f>
        <v>F1Q19E</v>
      </c>
      <c r="BI6" s="1848" t="str">
        <f>BS!BI6</f>
        <v>F2Q19E</v>
      </c>
      <c r="BJ6" s="1848" t="str">
        <f>BS!BJ6</f>
        <v>F3Q19E</v>
      </c>
      <c r="BK6" s="1849" t="str">
        <f>BS!BK6</f>
        <v>F4Q19E</v>
      </c>
      <c r="BL6" s="2030"/>
      <c r="BM6" s="16" t="str">
        <f>BS!BM6</f>
        <v>FY2005A</v>
      </c>
      <c r="BN6" s="17" t="str">
        <f>BS!BN6</f>
        <v>FY2006A</v>
      </c>
      <c r="BO6" s="17" t="str">
        <f>BS!BO6</f>
        <v>FY2007A</v>
      </c>
      <c r="BP6" s="1848" t="str">
        <f>BS!BP6</f>
        <v>FY2008A</v>
      </c>
      <c r="BQ6" s="1848" t="str">
        <f>BS!BQ6</f>
        <v>FY2009A</v>
      </c>
      <c r="BR6" s="1848" t="str">
        <f>BS!BR6</f>
        <v>FY2010A</v>
      </c>
      <c r="BS6" s="17" t="str">
        <f>BS!BS6</f>
        <v>FY2011A</v>
      </c>
      <c r="BT6" s="1848" t="str">
        <f>BS!BT6</f>
        <v>FY2012A</v>
      </c>
      <c r="BU6" s="1848" t="str">
        <f>BS!BU6</f>
        <v>FY2013A</v>
      </c>
      <c r="BV6" s="1848" t="str">
        <f>BS!BV6</f>
        <v>FY2014A</v>
      </c>
      <c r="BW6" s="1848" t="str">
        <f>BS!BW6</f>
        <v>FY2015A</v>
      </c>
      <c r="BX6" s="1848" t="str">
        <f>BS!BX6</f>
        <v>FY2016A</v>
      </c>
      <c r="BY6" s="1848" t="str">
        <f>BS!BY6</f>
        <v>FY2017A</v>
      </c>
      <c r="BZ6" s="1848" t="str">
        <f>BS!BZ6</f>
        <v>FY2018E</v>
      </c>
      <c r="CA6" s="1848" t="str">
        <f>BS!CA6</f>
        <v>FY2019E</v>
      </c>
      <c r="CB6" s="1849" t="str">
        <f>BS!CB6</f>
        <v>FY2020E</v>
      </c>
      <c r="CC6" s="2140"/>
      <c r="CD6" s="13"/>
    </row>
    <row r="7" spans="1:82" ht="14.25" customHeight="1">
      <c r="A7" s="7"/>
      <c r="B7" s="42" t="str">
        <f t="shared" ref="B7:B15" si="0">B100</f>
        <v>Cash flows provided by (used for) operating activities:</v>
      </c>
      <c r="C7" s="43"/>
      <c r="D7" s="479"/>
      <c r="E7" s="196"/>
      <c r="F7" s="196"/>
      <c r="G7" s="197"/>
      <c r="H7" s="479"/>
      <c r="I7" s="196"/>
      <c r="J7" s="196"/>
      <c r="K7" s="197"/>
      <c r="L7" s="479"/>
      <c r="M7" s="196"/>
      <c r="N7" s="196"/>
      <c r="O7" s="197"/>
      <c r="P7" s="479"/>
      <c r="Q7" s="196"/>
      <c r="R7" s="196"/>
      <c r="S7" s="197"/>
      <c r="T7" s="479"/>
      <c r="U7" s="196"/>
      <c r="V7" s="196"/>
      <c r="W7" s="197"/>
      <c r="X7" s="479"/>
      <c r="Y7" s="196"/>
      <c r="Z7" s="196"/>
      <c r="AA7" s="197"/>
      <c r="AB7" s="479"/>
      <c r="AC7" s="196"/>
      <c r="AD7" s="196"/>
      <c r="AE7" s="197"/>
      <c r="AF7" s="479"/>
      <c r="AG7" s="196"/>
      <c r="AH7" s="196"/>
      <c r="AI7" s="197"/>
      <c r="AJ7" s="479"/>
      <c r="AK7" s="196"/>
      <c r="AL7" s="196"/>
      <c r="AM7" s="197"/>
      <c r="AN7" s="479"/>
      <c r="AO7" s="196"/>
      <c r="AP7" s="196"/>
      <c r="AQ7" s="197"/>
      <c r="AR7" s="479"/>
      <c r="AS7" s="196"/>
      <c r="AT7" s="196"/>
      <c r="AU7" s="197"/>
      <c r="AV7" s="479"/>
      <c r="AW7" s="196"/>
      <c r="AX7" s="196"/>
      <c r="AY7" s="197"/>
      <c r="AZ7" s="196"/>
      <c r="BA7" s="196"/>
      <c r="BB7" s="196"/>
      <c r="BC7" s="197"/>
      <c r="BD7" s="196"/>
      <c r="BE7" s="196"/>
      <c r="BF7" s="196"/>
      <c r="BG7" s="197"/>
      <c r="BH7" s="196"/>
      <c r="BI7" s="196"/>
      <c r="BJ7" s="196"/>
      <c r="BK7" s="197"/>
      <c r="BL7" s="19"/>
      <c r="BM7" s="196"/>
      <c r="BN7" s="193"/>
      <c r="BO7" s="193"/>
      <c r="BP7" s="193"/>
      <c r="BQ7" s="193"/>
      <c r="BR7" s="193"/>
      <c r="BS7" s="193"/>
      <c r="BT7" s="193"/>
      <c r="BU7" s="193"/>
      <c r="BV7" s="193"/>
      <c r="BW7" s="1895"/>
      <c r="BX7" s="1895"/>
      <c r="BY7" s="193"/>
      <c r="BZ7" s="193"/>
      <c r="CA7" s="193"/>
      <c r="CB7" s="2147"/>
      <c r="CC7" s="2140"/>
      <c r="CD7" s="13"/>
    </row>
    <row r="8" spans="1:82" ht="14.25" customHeight="1">
      <c r="A8" s="7"/>
      <c r="B8" s="21" t="str">
        <f t="shared" si="0"/>
        <v>Net income</v>
      </c>
      <c r="C8" s="22"/>
      <c r="D8" s="103">
        <f>IS!D95</f>
        <v>-17.423000000000037</v>
      </c>
      <c r="E8" s="104">
        <f>IS!E95</f>
        <v>11.318999999999912</v>
      </c>
      <c r="F8" s="104">
        <f>IS!F95</f>
        <v>76.000000000000171</v>
      </c>
      <c r="G8" s="105">
        <f>IS!G95</f>
        <v>95.103999999999701</v>
      </c>
      <c r="H8" s="103">
        <f>IS!H95</f>
        <v>184.52399999999992</v>
      </c>
      <c r="I8" s="104">
        <f>IS!I95</f>
        <v>88.847000000000037</v>
      </c>
      <c r="J8" s="104">
        <f>IS!J95</f>
        <v>134.45500000000013</v>
      </c>
      <c r="K8" s="105">
        <f>IS!K95</f>
        <v>-573.82599999999991</v>
      </c>
      <c r="L8" s="103">
        <f>IS!L95</f>
        <v>-611</v>
      </c>
      <c r="M8" s="104">
        <f>IS!M95</f>
        <v>-600</v>
      </c>
      <c r="N8" s="104">
        <f>IS!N95</f>
        <v>-396</v>
      </c>
      <c r="O8" s="105">
        <f>IS!O95</f>
        <v>-1772</v>
      </c>
      <c r="P8" s="1896">
        <f>IS!P95</f>
        <v>-351</v>
      </c>
      <c r="Q8" s="1895">
        <f>IS!Q95</f>
        <v>-1188</v>
      </c>
      <c r="R8" s="1895">
        <f>IS!R95</f>
        <v>-127</v>
      </c>
      <c r="S8" s="1897">
        <f>IS!S95</f>
        <v>-1430</v>
      </c>
      <c r="T8" s="1896">
        <f>IS!T95</f>
        <v>-414</v>
      </c>
      <c r="U8" s="1895">
        <f>IS!U95</f>
        <v>-335</v>
      </c>
      <c r="V8" s="1895">
        <f>IS!V95</f>
        <v>-135</v>
      </c>
      <c r="W8" s="1897">
        <f>IS!W95</f>
        <v>1177</v>
      </c>
      <c r="X8" s="1896">
        <f>IS!X95</f>
        <v>257</v>
      </c>
      <c r="Y8" s="1895">
        <f>IS!Y95</f>
        <v>-43</v>
      </c>
      <c r="Z8" s="1895">
        <f>IS!Z95</f>
        <v>-118</v>
      </c>
      <c r="AA8" s="1897">
        <f>IS!AA95</f>
        <v>375</v>
      </c>
      <c r="AB8" s="1896">
        <f>IS!AB95</f>
        <v>510</v>
      </c>
      <c r="AC8" s="1895">
        <f>IS!AC95</f>
        <v>61</v>
      </c>
      <c r="AD8" s="1895">
        <f>IS!AD95</f>
        <v>97</v>
      </c>
      <c r="AE8" s="1897">
        <f>IS!AE95</f>
        <v>-177</v>
      </c>
      <c r="AF8" s="1896">
        <f>IS!AF95</f>
        <v>-590</v>
      </c>
      <c r="AG8" s="1895">
        <f>IS!AG95</f>
        <v>37</v>
      </c>
      <c r="AH8" s="1895">
        <f>IS!AH95</f>
        <v>-157</v>
      </c>
      <c r="AI8" s="1897">
        <f>IS!AI95</f>
        <v>-473</v>
      </c>
      <c r="AJ8" s="1896">
        <f>IS!AJ95</f>
        <v>-146</v>
      </c>
      <c r="AK8" s="1895">
        <f>IS!AK95</f>
        <v>-74</v>
      </c>
      <c r="AL8" s="1895">
        <f>IS!AL95</f>
        <v>48</v>
      </c>
      <c r="AM8" s="1897">
        <f>IS!AM95</f>
        <v>89</v>
      </c>
      <c r="AN8" s="1896">
        <f>IS!AN95</f>
        <v>-20</v>
      </c>
      <c r="AO8" s="1895">
        <f>IS!AO95</f>
        <v>-36</v>
      </c>
      <c r="AP8" s="1895">
        <f>IS!AP95</f>
        <v>17</v>
      </c>
      <c r="AQ8" s="1897">
        <f>IS!AQ95</f>
        <v>-364</v>
      </c>
      <c r="AR8" s="1896">
        <f>IS!AR95</f>
        <v>-180</v>
      </c>
      <c r="AS8" s="1895">
        <f>IS!AS95</f>
        <v>-181</v>
      </c>
      <c r="AT8" s="1895">
        <f>IS!AT95</f>
        <v>-197</v>
      </c>
      <c r="AU8" s="1897">
        <f>IS!AU95</f>
        <v>-102</v>
      </c>
      <c r="AV8" s="1896">
        <f>IS!AV95</f>
        <v>-109</v>
      </c>
      <c r="AW8" s="1895">
        <f>IS!AW95</f>
        <v>69</v>
      </c>
      <c r="AX8" s="1895">
        <f>IS!AX95</f>
        <v>-406</v>
      </c>
      <c r="AY8" s="1897">
        <f>IS!AY95</f>
        <v>-51</v>
      </c>
      <c r="AZ8" s="1895">
        <f>IS!AZ95</f>
        <v>-73</v>
      </c>
      <c r="BA8" s="1895">
        <f>IS!BA95</f>
        <v>-16</v>
      </c>
      <c r="BB8" s="1895">
        <f>IS!BB95</f>
        <v>71</v>
      </c>
      <c r="BC8" s="1897">
        <f>IS!BC95</f>
        <v>61</v>
      </c>
      <c r="BD8" s="1895">
        <f>IS!BD95</f>
        <v>81</v>
      </c>
      <c r="BE8" s="1895">
        <f>IS!BE95</f>
        <v>116.37655585449119</v>
      </c>
      <c r="BF8" s="1895">
        <f>IS!BF95</f>
        <v>112.48717211014186</v>
      </c>
      <c r="BG8" s="1897">
        <f>IS!BG95</f>
        <v>73.016381215144463</v>
      </c>
      <c r="BH8" s="1895">
        <f>IS!BH95</f>
        <v>44.043244047187258</v>
      </c>
      <c r="BI8" s="1895">
        <f>IS!BI95</f>
        <v>83.906703131034291</v>
      </c>
      <c r="BJ8" s="1895">
        <f>IS!BJ95</f>
        <v>108.0262736898724</v>
      </c>
      <c r="BK8" s="1897">
        <f>IS!BK95</f>
        <v>99.750379811057513</v>
      </c>
      <c r="BL8" s="19"/>
      <c r="BM8" s="104">
        <f>SUM(D8:G8)</f>
        <v>164.99999999999974</v>
      </c>
      <c r="BN8" s="104">
        <f>SUM(H8:K8)</f>
        <v>-165.99999999999977</v>
      </c>
      <c r="BO8" s="104">
        <f>SUM(L8:O8)</f>
        <v>-3379</v>
      </c>
      <c r="BP8" s="104">
        <f>SUM(P8:S8)</f>
        <v>-3096</v>
      </c>
      <c r="BQ8" s="104">
        <f>SUM(T8:W8)</f>
        <v>293</v>
      </c>
      <c r="BR8" s="104">
        <f>SUM(X8:AA8)</f>
        <v>471</v>
      </c>
      <c r="BS8" s="104">
        <f>SUM(AB8:AE8)</f>
        <v>491</v>
      </c>
      <c r="BT8" s="104">
        <f>SUM(AF8:AI8)</f>
        <v>-1183</v>
      </c>
      <c r="BU8" s="104">
        <f>SUM(AJ8:AM8)</f>
        <v>-83</v>
      </c>
      <c r="BV8" s="1895">
        <f>IS!BV95</f>
        <v>-403</v>
      </c>
      <c r="BW8" s="1895">
        <f>IS!BW95</f>
        <v>-660</v>
      </c>
      <c r="BX8" s="1895">
        <f>IS!BX95</f>
        <v>-497</v>
      </c>
      <c r="BY8" s="1895">
        <f>IS!BY95</f>
        <v>43</v>
      </c>
      <c r="BZ8" s="1895">
        <f>IS!BZ95</f>
        <v>382.88010917977772</v>
      </c>
      <c r="CA8" s="1895">
        <f>IS!CA95</f>
        <v>335.72660067915126</v>
      </c>
      <c r="CB8" s="2091">
        <f>IS!CB95</f>
        <v>335.72660067915126</v>
      </c>
      <c r="CC8" s="2143"/>
      <c r="CD8" s="1873"/>
    </row>
    <row r="9" spans="1:82" ht="14.25" customHeight="1">
      <c r="A9" s="7"/>
      <c r="B9" s="198" t="str">
        <f t="shared" si="0"/>
        <v>Adjustments to reconcile net income to net cash</v>
      </c>
      <c r="C9" s="199"/>
      <c r="D9" s="361"/>
      <c r="E9" s="362"/>
      <c r="F9" s="362"/>
      <c r="G9" s="363"/>
      <c r="H9" s="361"/>
      <c r="I9" s="362"/>
      <c r="J9" s="362"/>
      <c r="K9" s="363"/>
      <c r="L9" s="361"/>
      <c r="M9" s="362"/>
      <c r="N9" s="362"/>
      <c r="O9" s="363"/>
      <c r="P9" s="361"/>
      <c r="Q9" s="362"/>
      <c r="R9" s="362"/>
      <c r="S9" s="363"/>
      <c r="T9" s="361"/>
      <c r="U9" s="362"/>
      <c r="V9" s="362"/>
      <c r="W9" s="363"/>
      <c r="X9" s="361"/>
      <c r="Y9" s="362"/>
      <c r="Z9" s="362"/>
      <c r="AA9" s="363"/>
      <c r="AB9" s="202"/>
      <c r="AC9" s="200"/>
      <c r="AD9" s="200"/>
      <c r="AE9" s="363"/>
      <c r="AF9" s="202"/>
      <c r="AG9" s="200"/>
      <c r="AH9" s="200"/>
      <c r="AI9" s="363"/>
      <c r="AJ9" s="202"/>
      <c r="AK9" s="200"/>
      <c r="AL9" s="200"/>
      <c r="AM9" s="363"/>
      <c r="AN9" s="202"/>
      <c r="AO9" s="200"/>
      <c r="AP9" s="200"/>
      <c r="AQ9" s="363"/>
      <c r="AR9" s="202"/>
      <c r="AS9" s="200"/>
      <c r="AT9" s="200"/>
      <c r="AU9" s="363"/>
      <c r="AV9" s="202"/>
      <c r="AW9" s="200"/>
      <c r="AX9" s="200"/>
      <c r="AY9" s="363"/>
      <c r="AZ9" s="200"/>
      <c r="BA9" s="200"/>
      <c r="BB9" s="200"/>
      <c r="BC9" s="363"/>
      <c r="BD9" s="200"/>
      <c r="BE9" s="200"/>
      <c r="BF9" s="200"/>
      <c r="BG9" s="201"/>
      <c r="BH9" s="200"/>
      <c r="BI9" s="200"/>
      <c r="BJ9" s="200"/>
      <c r="BK9" s="201"/>
      <c r="BL9" s="19"/>
      <c r="BM9" s="362"/>
      <c r="BN9" s="362"/>
      <c r="BO9" s="362"/>
      <c r="BP9" s="362"/>
      <c r="BQ9" s="362"/>
      <c r="BR9" s="362"/>
      <c r="BS9" s="362"/>
      <c r="BT9" s="362"/>
      <c r="BU9" s="362"/>
      <c r="BV9" s="362"/>
      <c r="BW9" s="362"/>
      <c r="BX9" s="362"/>
      <c r="BY9" s="362"/>
      <c r="BZ9" s="362"/>
      <c r="CA9" s="362"/>
      <c r="CB9" s="2148"/>
      <c r="CC9" s="2143"/>
      <c r="CD9" s="1873"/>
    </row>
    <row r="10" spans="1:82" ht="14.25" customHeight="1">
      <c r="A10" s="7"/>
      <c r="B10" s="47" t="str">
        <f t="shared" si="0"/>
        <v>Depreciation and amortization</v>
      </c>
      <c r="C10" s="48"/>
      <c r="D10" s="205">
        <f t="shared" ref="D10:D17" si="1">D103</f>
        <v>332.88099999999997</v>
      </c>
      <c r="E10" s="203">
        <f t="shared" ref="E10:E17" si="2">E103-D10</f>
        <v>318.45500000000004</v>
      </c>
      <c r="F10" s="203">
        <f t="shared" ref="F10:F17" si="3">F103-E10-D10</f>
        <v>290.75</v>
      </c>
      <c r="G10" s="204">
        <f t="shared" ref="G10:G17" si="4">G103-F10-E10-D10</f>
        <v>276.91399999999999</v>
      </c>
      <c r="H10" s="205">
        <f t="shared" ref="H10:H17" si="5">H103</f>
        <v>173.55700000000002</v>
      </c>
      <c r="I10" s="203">
        <f t="shared" ref="I10:I17" si="6">I103-H10</f>
        <v>192.90499999999997</v>
      </c>
      <c r="J10" s="203">
        <f t="shared" ref="J10:J17" si="7">J103-I10-H10</f>
        <v>199.75400000000002</v>
      </c>
      <c r="K10" s="204">
        <f t="shared" ref="K10:K17" si="8">K103-J10-I10-H10</f>
        <v>270.78399999999999</v>
      </c>
      <c r="L10" s="205">
        <f t="shared" ref="L10:L17" si="9">L103</f>
        <v>314</v>
      </c>
      <c r="M10" s="203">
        <f t="shared" ref="M10:M17" si="10">M103-L10</f>
        <v>326</v>
      </c>
      <c r="N10" s="203">
        <f t="shared" ref="N10:N17" si="11">N103-M10-L10</f>
        <v>334</v>
      </c>
      <c r="O10" s="204">
        <f t="shared" ref="O10:O17" si="12">O103-N10-M10-L10</f>
        <v>331</v>
      </c>
      <c r="P10" s="205">
        <f t="shared" ref="P10:P17" si="13">P103</f>
        <v>317</v>
      </c>
      <c r="Q10" s="203">
        <f t="shared" ref="Q10:Q17" si="14">Q103-P10</f>
        <v>310</v>
      </c>
      <c r="R10" s="203">
        <f t="shared" ref="R10:R17" si="15">R103-Q10-P10</f>
        <v>293</v>
      </c>
      <c r="S10" s="204">
        <f t="shared" ref="S10:S17" si="16">S103-R10-Q10-P10</f>
        <v>303</v>
      </c>
      <c r="T10" s="205">
        <f t="shared" ref="T10:T17" si="17">T103</f>
        <v>280</v>
      </c>
      <c r="U10" s="203">
        <f t="shared" ref="U10:U17" si="18">U103-T10</f>
        <v>282</v>
      </c>
      <c r="V10" s="203">
        <f t="shared" ref="V10:V17" si="19">V103-U10-T10</f>
        <v>282</v>
      </c>
      <c r="W10" s="204">
        <f t="shared" ref="W10:W17" si="20">W103-V10-U10-T10</f>
        <v>284</v>
      </c>
      <c r="X10" s="205">
        <f t="shared" ref="X10:X17" si="21">X103</f>
        <v>100</v>
      </c>
      <c r="Y10" s="203">
        <f t="shared" ref="Y10:Y17" si="22">Y103-X10</f>
        <v>100</v>
      </c>
      <c r="Z10" s="203">
        <f t="shared" ref="Z10:Z17" si="23">Z103-Y10-X10</f>
        <v>94</v>
      </c>
      <c r="AA10" s="204">
        <f t="shared" ref="AA10:AA17" si="24">AA103-Z10-Y10-X10</f>
        <v>89</v>
      </c>
      <c r="AB10" s="205">
        <f t="shared" ref="AB10:AB17" si="25">AB103</f>
        <v>88</v>
      </c>
      <c r="AC10" s="203">
        <f t="shared" ref="AC10:AC17" si="26">AC103-AB10</f>
        <v>80</v>
      </c>
      <c r="AD10" s="203">
        <f t="shared" ref="AD10:AD17" si="27">AD103-AC10-AB10</f>
        <v>79</v>
      </c>
      <c r="AE10" s="204">
        <f t="shared" ref="AE10:AE17" si="28">AE103-AD10-AC10-AB10</f>
        <v>70</v>
      </c>
      <c r="AF10" s="205">
        <f t="shared" ref="AF10:AF17" si="29">AF103</f>
        <v>63</v>
      </c>
      <c r="AG10" s="203">
        <f t="shared" ref="AG10:AG17" si="30">AG103-AF10</f>
        <v>65</v>
      </c>
      <c r="AH10" s="203">
        <f t="shared" ref="AH10:AH17" si="31">AH103-AG10-AF10</f>
        <v>66</v>
      </c>
      <c r="AI10" s="204">
        <f t="shared" ref="AI10:AI17" si="32">AI103-AH10-AG10-AF10</f>
        <v>66</v>
      </c>
      <c r="AJ10" s="205">
        <f t="shared" ref="AJ10:AJ17" si="33">AJ103</f>
        <v>66</v>
      </c>
      <c r="AK10" s="203">
        <f t="shared" ref="AK10:AK17" si="34">AK103-AJ10</f>
        <v>59</v>
      </c>
      <c r="AL10" s="203">
        <f t="shared" ref="AL10:AL17" si="35">AL103-AK10-AJ10</f>
        <v>57</v>
      </c>
      <c r="AM10" s="204">
        <f t="shared" ref="AM10:AM17" si="36">AM103-AL10-AK10-AJ10</f>
        <v>54</v>
      </c>
      <c r="AN10" s="205">
        <f t="shared" ref="AN10:AN17" si="37">AN103</f>
        <v>53</v>
      </c>
      <c r="AO10" s="203">
        <f t="shared" ref="AO10:AO17" si="38">AO103-AN10</f>
        <v>53</v>
      </c>
      <c r="AP10" s="203">
        <f t="shared" ref="AP10:AP17" si="39">AP103-AO10-AN10</f>
        <v>49</v>
      </c>
      <c r="AQ10" s="204">
        <f t="shared" ref="AQ10:AQ17" si="40">AQ103-AP10-AO10-AN10</f>
        <v>48</v>
      </c>
      <c r="AR10" s="205">
        <f t="shared" ref="AR10:AR18" si="41">AR103</f>
        <v>46</v>
      </c>
      <c r="AS10" s="203">
        <f t="shared" ref="AS10:AS19" si="42">AS103-AR10</f>
        <v>45</v>
      </c>
      <c r="AT10" s="203">
        <f t="shared" ref="AT10:AT18" si="43">AT103-AS10-AR10</f>
        <v>42</v>
      </c>
      <c r="AU10" s="204">
        <f t="shared" ref="AU10:AU17" si="44">AU103-AT10-AS10-AR10</f>
        <v>34</v>
      </c>
      <c r="AV10" s="205">
        <f t="shared" ref="AV10:AV19" si="45">AV103</f>
        <v>33</v>
      </c>
      <c r="AW10" s="203">
        <f t="shared" ref="AW10:AW19" si="46">AW103-AV10</f>
        <v>33</v>
      </c>
      <c r="AX10" s="203">
        <f t="shared" ref="AX10:AX18" si="47">AX103-AW10-AV10</f>
        <v>33</v>
      </c>
      <c r="AY10" s="204">
        <f t="shared" ref="AY10:AY17" si="48">AY103-AX10-AW10-AV10</f>
        <v>34</v>
      </c>
      <c r="AZ10" s="203">
        <f t="shared" ref="AZ10:AZ19" si="49">AZ103</f>
        <v>34</v>
      </c>
      <c r="BA10" s="203">
        <f t="shared" ref="BA10:BA19" si="50">BA103-AZ10</f>
        <v>35</v>
      </c>
      <c r="BB10" s="203">
        <f t="shared" ref="BB10:BB18" si="51">BB103-BA10-AZ10</f>
        <v>36</v>
      </c>
      <c r="BC10" s="204">
        <f t="shared" ref="BC10:BC17" si="52">BC103-BB10-BA10-AZ10</f>
        <v>39</v>
      </c>
      <c r="BD10" s="203">
        <f t="shared" ref="BD10:BG10" si="53">BD84</f>
        <v>39</v>
      </c>
      <c r="BE10" s="203">
        <f t="shared" si="53"/>
        <v>39</v>
      </c>
      <c r="BF10" s="203">
        <f t="shared" si="53"/>
        <v>39</v>
      </c>
      <c r="BG10" s="204">
        <f t="shared" si="53"/>
        <v>39</v>
      </c>
      <c r="BH10" s="203">
        <f t="shared" ref="BH10:BK10" si="54">BH84</f>
        <v>39</v>
      </c>
      <c r="BI10" s="203">
        <f t="shared" si="54"/>
        <v>39</v>
      </c>
      <c r="BJ10" s="203">
        <f t="shared" si="54"/>
        <v>39</v>
      </c>
      <c r="BK10" s="204">
        <f t="shared" si="54"/>
        <v>39</v>
      </c>
      <c r="BL10" s="19"/>
      <c r="BM10" s="203">
        <f t="shared" ref="BM10:BM19" si="55">SUM(D10:G10)</f>
        <v>1219</v>
      </c>
      <c r="BN10" s="203">
        <f t="shared" ref="BN10:BN19" si="56">SUM(H10:K10)</f>
        <v>837</v>
      </c>
      <c r="BO10" s="203">
        <f t="shared" ref="BO10:BO19" si="57">SUM(L10:O10)</f>
        <v>1305</v>
      </c>
      <c r="BP10" s="203">
        <f t="shared" ref="BP10:BP19" si="58">SUM(P10:S10)</f>
        <v>1223</v>
      </c>
      <c r="BQ10" s="203">
        <f t="shared" ref="BQ10:BQ19" si="59">SUM(T10:W10)</f>
        <v>1128</v>
      </c>
      <c r="BR10" s="203">
        <f t="shared" ref="BR10:BR19" si="60">SUM(X10:AA10)</f>
        <v>383</v>
      </c>
      <c r="BS10" s="203">
        <f t="shared" ref="BS10:BS19" si="61">SUM(AB10:AE10)</f>
        <v>317</v>
      </c>
      <c r="BT10" s="203">
        <f t="shared" ref="BT10:BT19" si="62">SUM(AF10:AI10)</f>
        <v>260</v>
      </c>
      <c r="BU10" s="203">
        <f t="shared" ref="BU10:BU19" si="63">SUM(AJ10:AM10)</f>
        <v>236</v>
      </c>
      <c r="BV10" s="203">
        <f t="shared" ref="BV10:BV17" si="64">SUM(AN10:AQ10)</f>
        <v>203</v>
      </c>
      <c r="BW10" s="203">
        <f>BW84</f>
        <v>167</v>
      </c>
      <c r="BX10" s="203">
        <f>BX84</f>
        <v>133</v>
      </c>
      <c r="BY10" s="203">
        <f>BY84</f>
        <v>144</v>
      </c>
      <c r="BZ10" s="203">
        <f>BZ84</f>
        <v>156</v>
      </c>
      <c r="CA10" s="203">
        <f>CA84</f>
        <v>156</v>
      </c>
      <c r="CB10" s="2149">
        <f t="shared" ref="CB10" si="65">CB84</f>
        <v>24.88</v>
      </c>
      <c r="CC10" s="2143"/>
      <c r="CD10" s="1873"/>
    </row>
    <row r="11" spans="1:82" ht="14.25" customHeight="1">
      <c r="A11" s="7"/>
      <c r="B11" s="47" t="str">
        <f t="shared" si="0"/>
        <v>Compensation recognized under employee stock plans</v>
      </c>
      <c r="C11" s="48"/>
      <c r="D11" s="205">
        <f t="shared" si="1"/>
        <v>0.14599999999999999</v>
      </c>
      <c r="E11" s="203">
        <f t="shared" si="2"/>
        <v>0.32000000000000006</v>
      </c>
      <c r="F11" s="203">
        <f t="shared" si="3"/>
        <v>0.27699999999999991</v>
      </c>
      <c r="G11" s="204">
        <f t="shared" si="4"/>
        <v>4.2569999999999997</v>
      </c>
      <c r="H11" s="205">
        <f t="shared" si="5"/>
        <v>15.045</v>
      </c>
      <c r="I11" s="203">
        <f t="shared" si="6"/>
        <v>18.053999999999995</v>
      </c>
      <c r="J11" s="203">
        <f t="shared" si="7"/>
        <v>16.510000000000005</v>
      </c>
      <c r="K11" s="204">
        <f t="shared" si="8"/>
        <v>27.390999999999998</v>
      </c>
      <c r="L11" s="205">
        <f t="shared" si="9"/>
        <v>28</v>
      </c>
      <c r="M11" s="203">
        <f t="shared" si="10"/>
        <v>31</v>
      </c>
      <c r="N11" s="203">
        <f t="shared" si="11"/>
        <v>27</v>
      </c>
      <c r="O11" s="204">
        <f t="shared" si="12"/>
        <v>26</v>
      </c>
      <c r="P11" s="205">
        <f t="shared" si="13"/>
        <v>21</v>
      </c>
      <c r="Q11" s="203">
        <f t="shared" si="14"/>
        <v>20</v>
      </c>
      <c r="R11" s="203">
        <f t="shared" si="15"/>
        <v>21</v>
      </c>
      <c r="S11" s="204">
        <f t="shared" si="16"/>
        <v>21</v>
      </c>
      <c r="T11" s="205">
        <f t="shared" si="17"/>
        <v>21</v>
      </c>
      <c r="U11" s="203">
        <f t="shared" si="18"/>
        <v>19</v>
      </c>
      <c r="V11" s="203">
        <f t="shared" si="19"/>
        <v>17</v>
      </c>
      <c r="W11" s="204">
        <f t="shared" si="20"/>
        <v>18</v>
      </c>
      <c r="X11" s="205">
        <f t="shared" si="21"/>
        <v>20</v>
      </c>
      <c r="Y11" s="203">
        <f t="shared" si="22"/>
        <v>23</v>
      </c>
      <c r="Z11" s="203">
        <f t="shared" si="23"/>
        <v>22</v>
      </c>
      <c r="AA11" s="204">
        <f t="shared" si="24"/>
        <v>22</v>
      </c>
      <c r="AB11" s="203">
        <f t="shared" si="25"/>
        <v>27</v>
      </c>
      <c r="AC11" s="203">
        <f t="shared" si="26"/>
        <v>20</v>
      </c>
      <c r="AD11" s="203">
        <f t="shared" si="27"/>
        <v>22</v>
      </c>
      <c r="AE11" s="204">
        <f t="shared" si="28"/>
        <v>21</v>
      </c>
      <c r="AF11" s="203">
        <f t="shared" si="29"/>
        <v>21</v>
      </c>
      <c r="AG11" s="203">
        <f t="shared" si="30"/>
        <v>26</v>
      </c>
      <c r="AH11" s="203">
        <f t="shared" si="31"/>
        <v>27</v>
      </c>
      <c r="AI11" s="204">
        <f t="shared" si="32"/>
        <v>23</v>
      </c>
      <c r="AJ11" s="203">
        <f t="shared" si="33"/>
        <v>24</v>
      </c>
      <c r="AK11" s="203">
        <f t="shared" si="34"/>
        <v>20</v>
      </c>
      <c r="AL11" s="203">
        <f t="shared" si="35"/>
        <v>23</v>
      </c>
      <c r="AM11" s="204">
        <f t="shared" si="36"/>
        <v>24</v>
      </c>
      <c r="AN11" s="203">
        <f t="shared" si="37"/>
        <v>23</v>
      </c>
      <c r="AO11" s="203">
        <f t="shared" si="38"/>
        <v>21</v>
      </c>
      <c r="AP11" s="203">
        <f t="shared" si="39"/>
        <v>21</v>
      </c>
      <c r="AQ11" s="204">
        <f t="shared" si="40"/>
        <v>16</v>
      </c>
      <c r="AR11" s="203">
        <f t="shared" si="41"/>
        <v>17</v>
      </c>
      <c r="AS11" s="203">
        <f t="shared" si="42"/>
        <v>17</v>
      </c>
      <c r="AT11" s="203">
        <f t="shared" si="43"/>
        <v>13</v>
      </c>
      <c r="AU11" s="204">
        <f t="shared" si="44"/>
        <v>16</v>
      </c>
      <c r="AV11" s="203">
        <f t="shared" si="45"/>
        <v>16</v>
      </c>
      <c r="AW11" s="203">
        <f t="shared" si="46"/>
        <v>18</v>
      </c>
      <c r="AX11" s="203">
        <f t="shared" si="47"/>
        <v>23</v>
      </c>
      <c r="AY11" s="204">
        <f t="shared" si="48"/>
        <v>29</v>
      </c>
      <c r="AZ11" s="203">
        <f t="shared" si="49"/>
        <v>23</v>
      </c>
      <c r="BA11" s="203">
        <f t="shared" si="50"/>
        <v>24</v>
      </c>
      <c r="BB11" s="203">
        <f t="shared" si="51"/>
        <v>29</v>
      </c>
      <c r="BC11" s="204">
        <f t="shared" si="52"/>
        <v>21</v>
      </c>
      <c r="BD11" s="203">
        <f t="shared" ref="BD11" si="66">+BC11</f>
        <v>21</v>
      </c>
      <c r="BE11" s="203">
        <f t="shared" ref="BE11" si="67">+BD11</f>
        <v>21</v>
      </c>
      <c r="BF11" s="203">
        <f t="shared" ref="BF11" si="68">+BE11</f>
        <v>21</v>
      </c>
      <c r="BG11" s="204">
        <f t="shared" ref="BG11" si="69">+BF11</f>
        <v>21</v>
      </c>
      <c r="BH11" s="203">
        <f t="shared" ref="BH11" si="70">+BG11</f>
        <v>21</v>
      </c>
      <c r="BI11" s="203">
        <f t="shared" ref="BI11" si="71">+BH11</f>
        <v>21</v>
      </c>
      <c r="BJ11" s="203">
        <f t="shared" ref="BJ11" si="72">+BI11</f>
        <v>21</v>
      </c>
      <c r="BK11" s="204">
        <f t="shared" ref="BK11" si="73">+BJ11</f>
        <v>21</v>
      </c>
      <c r="BL11" s="19"/>
      <c r="BM11" s="203">
        <f t="shared" si="55"/>
        <v>5</v>
      </c>
      <c r="BN11" s="203">
        <f t="shared" si="56"/>
        <v>77</v>
      </c>
      <c r="BO11" s="203">
        <f t="shared" si="57"/>
        <v>112</v>
      </c>
      <c r="BP11" s="203">
        <f t="shared" si="58"/>
        <v>83</v>
      </c>
      <c r="BQ11" s="203">
        <f t="shared" si="59"/>
        <v>75</v>
      </c>
      <c r="BR11" s="203">
        <f t="shared" si="60"/>
        <v>87</v>
      </c>
      <c r="BS11" s="203">
        <f t="shared" si="61"/>
        <v>90</v>
      </c>
      <c r="BT11" s="203">
        <f t="shared" si="62"/>
        <v>97</v>
      </c>
      <c r="BU11" s="203">
        <f t="shared" si="63"/>
        <v>91</v>
      </c>
      <c r="BV11" s="203">
        <f t="shared" si="64"/>
        <v>81</v>
      </c>
      <c r="BW11" s="203">
        <f>SUM(AR11:AU11)</f>
        <v>63</v>
      </c>
      <c r="BX11" s="203">
        <f>SUM(AV11:AY11)</f>
        <v>86</v>
      </c>
      <c r="BY11" s="203">
        <f>SUM(AZ11:BC11)</f>
        <v>97</v>
      </c>
      <c r="BZ11" s="203">
        <f t="shared" ref="BZ11:BZ19" si="74">SUM(BD11:BG11)</f>
        <v>84</v>
      </c>
      <c r="CA11" s="203">
        <f>SUM(BH11:BK11)</f>
        <v>84</v>
      </c>
      <c r="CB11" s="2150">
        <f>+CA11</f>
        <v>84</v>
      </c>
      <c r="CC11" s="2143"/>
      <c r="CD11" s="1873"/>
    </row>
    <row r="12" spans="1:82" ht="14.25" customHeight="1">
      <c r="A12" s="7"/>
      <c r="B12" s="47" t="str">
        <f t="shared" si="0"/>
        <v>Net loss on sale of property, plant and equipment</v>
      </c>
      <c r="C12" s="48"/>
      <c r="D12" s="205">
        <f t="shared" si="1"/>
        <v>5.476</v>
      </c>
      <c r="E12" s="203">
        <f t="shared" si="2"/>
        <v>-4.1790000000000003</v>
      </c>
      <c r="F12" s="203">
        <f t="shared" si="3"/>
        <v>-2.5569999999999995</v>
      </c>
      <c r="G12" s="204">
        <f t="shared" si="4"/>
        <v>7.2599999999999989</v>
      </c>
      <c r="H12" s="205">
        <f t="shared" si="5"/>
        <v>2.7309999999999999</v>
      </c>
      <c r="I12" s="203">
        <f t="shared" si="6"/>
        <v>1.9809999999999999</v>
      </c>
      <c r="J12" s="203">
        <f t="shared" si="7"/>
        <v>-6.0720000000000001</v>
      </c>
      <c r="K12" s="204">
        <f t="shared" si="8"/>
        <v>15.360000000000001</v>
      </c>
      <c r="L12" s="205">
        <f t="shared" si="9"/>
        <v>3</v>
      </c>
      <c r="M12" s="203">
        <f t="shared" si="10"/>
        <v>5</v>
      </c>
      <c r="N12" s="203">
        <f t="shared" si="11"/>
        <v>-13</v>
      </c>
      <c r="O12" s="204">
        <f t="shared" si="12"/>
        <v>-15</v>
      </c>
      <c r="P12" s="205">
        <f t="shared" si="13"/>
        <v>0</v>
      </c>
      <c r="Q12" s="203">
        <f t="shared" si="14"/>
        <v>-169</v>
      </c>
      <c r="R12" s="203">
        <f t="shared" si="15"/>
        <v>5</v>
      </c>
      <c r="S12" s="204">
        <f t="shared" si="16"/>
        <v>164</v>
      </c>
      <c r="T12" s="205">
        <f t="shared" si="17"/>
        <v>0</v>
      </c>
      <c r="U12" s="203">
        <f t="shared" si="18"/>
        <v>4</v>
      </c>
      <c r="V12" s="203">
        <f t="shared" si="19"/>
        <v>8</v>
      </c>
      <c r="W12" s="204">
        <f t="shared" si="20"/>
        <v>-12</v>
      </c>
      <c r="X12" s="205">
        <f t="shared" si="21"/>
        <v>0</v>
      </c>
      <c r="Y12" s="203">
        <f t="shared" si="22"/>
        <v>0</v>
      </c>
      <c r="Z12" s="203">
        <f t="shared" si="23"/>
        <v>0</v>
      </c>
      <c r="AA12" s="204">
        <f t="shared" si="24"/>
        <v>0</v>
      </c>
      <c r="AB12" s="203">
        <f t="shared" si="25"/>
        <v>0</v>
      </c>
      <c r="AC12" s="203">
        <f t="shared" si="26"/>
        <v>0</v>
      </c>
      <c r="AD12" s="203">
        <f t="shared" si="27"/>
        <v>0</v>
      </c>
      <c r="AE12" s="204">
        <f t="shared" si="28"/>
        <v>0</v>
      </c>
      <c r="AF12" s="203">
        <f t="shared" si="29"/>
        <v>0</v>
      </c>
      <c r="AG12" s="203">
        <f t="shared" si="30"/>
        <v>0</v>
      </c>
      <c r="AH12" s="203">
        <f t="shared" si="31"/>
        <v>0</v>
      </c>
      <c r="AI12" s="204">
        <f t="shared" si="32"/>
        <v>0</v>
      </c>
      <c r="AJ12" s="203">
        <f t="shared" si="33"/>
        <v>48</v>
      </c>
      <c r="AK12" s="203">
        <f t="shared" si="34"/>
        <v>-1</v>
      </c>
      <c r="AL12" s="203">
        <f t="shared" si="35"/>
        <v>-17</v>
      </c>
      <c r="AM12" s="204">
        <f t="shared" si="36"/>
        <v>1</v>
      </c>
      <c r="AN12" s="203">
        <f t="shared" si="37"/>
        <v>0</v>
      </c>
      <c r="AO12" s="203">
        <f t="shared" si="38"/>
        <v>0</v>
      </c>
      <c r="AP12" s="203">
        <f t="shared" si="39"/>
        <v>0</v>
      </c>
      <c r="AQ12" s="204">
        <f t="shared" si="40"/>
        <v>0</v>
      </c>
      <c r="AR12" s="203">
        <f t="shared" si="41"/>
        <v>0</v>
      </c>
      <c r="AS12" s="203">
        <f t="shared" si="42"/>
        <v>0</v>
      </c>
      <c r="AT12" s="203">
        <f t="shared" si="43"/>
        <v>0</v>
      </c>
      <c r="AU12" s="204">
        <f t="shared" si="44"/>
        <v>0</v>
      </c>
      <c r="AV12" s="203">
        <f t="shared" si="45"/>
        <v>0</v>
      </c>
      <c r="AW12" s="203">
        <f t="shared" si="46"/>
        <v>0</v>
      </c>
      <c r="AX12" s="203">
        <f t="shared" si="47"/>
        <v>0</v>
      </c>
      <c r="AY12" s="204">
        <f t="shared" si="48"/>
        <v>0</v>
      </c>
      <c r="AZ12" s="1483">
        <f t="shared" si="49"/>
        <v>0</v>
      </c>
      <c r="BA12" s="1483">
        <f t="shared" si="50"/>
        <v>0</v>
      </c>
      <c r="BB12" s="203">
        <f t="shared" si="51"/>
        <v>0</v>
      </c>
      <c r="BC12" s="204">
        <f t="shared" si="52"/>
        <v>0</v>
      </c>
      <c r="BD12" s="1483">
        <v>0</v>
      </c>
      <c r="BE12" s="1483">
        <v>0</v>
      </c>
      <c r="BF12" s="203">
        <v>0</v>
      </c>
      <c r="BG12" s="207">
        <v>0</v>
      </c>
      <c r="BH12" s="1483">
        <v>0</v>
      </c>
      <c r="BI12" s="1483">
        <v>0</v>
      </c>
      <c r="BJ12" s="203">
        <v>0</v>
      </c>
      <c r="BK12" s="207">
        <v>0</v>
      </c>
      <c r="BL12" s="19"/>
      <c r="BM12" s="203">
        <f>SUM(D12:G12)</f>
        <v>5.9999999999999991</v>
      </c>
      <c r="BN12" s="203">
        <f>SUM(H12:K12)</f>
        <v>14</v>
      </c>
      <c r="BO12" s="203">
        <f>SUM(L12:O12)</f>
        <v>-20</v>
      </c>
      <c r="BP12" s="203">
        <f>SUM(P12:S12)</f>
        <v>0</v>
      </c>
      <c r="BQ12" s="203">
        <f>SUM(T12:W12)</f>
        <v>0</v>
      </c>
      <c r="BR12" s="203">
        <f>SUM(X12:AA12)</f>
        <v>0</v>
      </c>
      <c r="BS12" s="203">
        <f>SUM(AB12:AE12)</f>
        <v>0</v>
      </c>
      <c r="BT12" s="203">
        <f>SUM(AF12:AI12)</f>
        <v>0</v>
      </c>
      <c r="BU12" s="203">
        <f>SUM(AJ12:AM12)</f>
        <v>31</v>
      </c>
      <c r="BV12" s="203">
        <f t="shared" si="64"/>
        <v>0</v>
      </c>
      <c r="BW12" s="203">
        <f>SUM(AR12:AU12)</f>
        <v>0</v>
      </c>
      <c r="BX12" s="203">
        <f t="shared" ref="BX12:BX19" si="75">SUM(AV12:AY12)</f>
        <v>0</v>
      </c>
      <c r="BY12" s="203">
        <f t="shared" ref="BY12:BY19" si="76">SUM(AZ12:BC12)</f>
        <v>0</v>
      </c>
      <c r="BZ12" s="203">
        <f t="shared" si="74"/>
        <v>0</v>
      </c>
      <c r="CA12" s="203">
        <f t="shared" ref="CA12:CA29" si="77">SUM(BH12:BK12)</f>
        <v>0</v>
      </c>
      <c r="CB12" s="2150">
        <v>0</v>
      </c>
      <c r="CC12" s="2143"/>
      <c r="CD12" s="1873"/>
    </row>
    <row r="13" spans="1:82" ht="14.25" customHeight="1">
      <c r="A13" s="7"/>
      <c r="B13" s="47" t="str">
        <f t="shared" si="0"/>
        <v>Net gain on sale of marketable securities</v>
      </c>
      <c r="C13" s="48"/>
      <c r="D13" s="205">
        <f t="shared" si="1"/>
        <v>0</v>
      </c>
      <c r="E13" s="203">
        <f t="shared" si="2"/>
        <v>0</v>
      </c>
      <c r="F13" s="203">
        <f t="shared" si="3"/>
        <v>0</v>
      </c>
      <c r="G13" s="204">
        <f t="shared" si="4"/>
        <v>0</v>
      </c>
      <c r="H13" s="205">
        <f t="shared" si="5"/>
        <v>-2.3119999999999998</v>
      </c>
      <c r="I13" s="203">
        <f t="shared" si="6"/>
        <v>0</v>
      </c>
      <c r="J13" s="203">
        <f t="shared" si="7"/>
        <v>0</v>
      </c>
      <c r="K13" s="204">
        <f t="shared" si="8"/>
        <v>2.3119999999999998</v>
      </c>
      <c r="L13" s="205">
        <f t="shared" si="9"/>
        <v>0</v>
      </c>
      <c r="M13" s="203">
        <f t="shared" si="10"/>
        <v>0</v>
      </c>
      <c r="N13" s="203">
        <f t="shared" si="11"/>
        <v>0</v>
      </c>
      <c r="O13" s="204">
        <f t="shared" si="12"/>
        <v>0</v>
      </c>
      <c r="P13" s="205">
        <f t="shared" si="13"/>
        <v>0</v>
      </c>
      <c r="Q13" s="203">
        <f t="shared" si="14"/>
        <v>35</v>
      </c>
      <c r="R13" s="203">
        <f t="shared" si="15"/>
        <v>-35</v>
      </c>
      <c r="S13" s="204">
        <f t="shared" si="16"/>
        <v>77</v>
      </c>
      <c r="T13" s="205">
        <f t="shared" si="17"/>
        <v>0</v>
      </c>
      <c r="U13" s="203">
        <f t="shared" si="18"/>
        <v>-1</v>
      </c>
      <c r="V13" s="203">
        <f t="shared" si="19"/>
        <v>0</v>
      </c>
      <c r="W13" s="204">
        <f t="shared" si="20"/>
        <v>4</v>
      </c>
      <c r="X13" s="205">
        <f t="shared" si="21"/>
        <v>0</v>
      </c>
      <c r="Y13" s="203">
        <f t="shared" si="22"/>
        <v>-8</v>
      </c>
      <c r="Z13" s="203">
        <f t="shared" si="23"/>
        <v>0</v>
      </c>
      <c r="AA13" s="204">
        <f t="shared" si="24"/>
        <v>-9</v>
      </c>
      <c r="AB13" s="203">
        <f t="shared" si="25"/>
        <v>0</v>
      </c>
      <c r="AC13" s="203">
        <f t="shared" si="26"/>
        <v>-2</v>
      </c>
      <c r="AD13" s="203">
        <f t="shared" si="27"/>
        <v>2</v>
      </c>
      <c r="AE13" s="204">
        <f t="shared" si="28"/>
        <v>-4</v>
      </c>
      <c r="AF13" s="203">
        <f t="shared" si="29"/>
        <v>0</v>
      </c>
      <c r="AG13" s="203">
        <f t="shared" si="30"/>
        <v>0</v>
      </c>
      <c r="AH13" s="203">
        <f t="shared" si="31"/>
        <v>0</v>
      </c>
      <c r="AI13" s="204">
        <f t="shared" si="32"/>
        <v>0</v>
      </c>
      <c r="AJ13" s="203">
        <f t="shared" si="33"/>
        <v>0</v>
      </c>
      <c r="AK13" s="203">
        <f t="shared" si="34"/>
        <v>0</v>
      </c>
      <c r="AL13" s="203">
        <f t="shared" si="35"/>
        <v>0</v>
      </c>
      <c r="AM13" s="204">
        <f t="shared" si="36"/>
        <v>0</v>
      </c>
      <c r="AN13" s="203">
        <f t="shared" si="37"/>
        <v>0</v>
      </c>
      <c r="AO13" s="203">
        <f t="shared" si="38"/>
        <v>0</v>
      </c>
      <c r="AP13" s="203">
        <f t="shared" si="39"/>
        <v>0</v>
      </c>
      <c r="AQ13" s="204">
        <f t="shared" si="40"/>
        <v>0</v>
      </c>
      <c r="AR13" s="203">
        <f t="shared" si="41"/>
        <v>0</v>
      </c>
      <c r="AS13" s="203">
        <f t="shared" si="42"/>
        <v>0</v>
      </c>
      <c r="AT13" s="203">
        <f t="shared" si="43"/>
        <v>0</v>
      </c>
      <c r="AU13" s="204">
        <f t="shared" si="44"/>
        <v>0</v>
      </c>
      <c r="AV13" s="203">
        <f t="shared" si="45"/>
        <v>0</v>
      </c>
      <c r="AW13" s="203">
        <f t="shared" si="46"/>
        <v>-150</v>
      </c>
      <c r="AX13" s="203">
        <f t="shared" si="47"/>
        <v>4</v>
      </c>
      <c r="AY13" s="204">
        <f t="shared" si="48"/>
        <v>146</v>
      </c>
      <c r="AZ13" s="203">
        <f t="shared" si="49"/>
        <v>0</v>
      </c>
      <c r="BA13" s="203">
        <f t="shared" si="50"/>
        <v>0</v>
      </c>
      <c r="BB13" s="203">
        <f t="shared" si="51"/>
        <v>0</v>
      </c>
      <c r="BC13" s="204">
        <f t="shared" si="52"/>
        <v>0</v>
      </c>
      <c r="BD13" s="203">
        <v>0</v>
      </c>
      <c r="BE13" s="203">
        <v>0</v>
      </c>
      <c r="BF13" s="203">
        <v>0</v>
      </c>
      <c r="BG13" s="207">
        <v>0</v>
      </c>
      <c r="BH13" s="203">
        <v>0</v>
      </c>
      <c r="BI13" s="203">
        <v>0</v>
      </c>
      <c r="BJ13" s="203">
        <v>0</v>
      </c>
      <c r="BK13" s="207">
        <v>0</v>
      </c>
      <c r="BL13" s="19"/>
      <c r="BM13" s="203">
        <f t="shared" si="55"/>
        <v>0</v>
      </c>
      <c r="BN13" s="203">
        <f t="shared" si="56"/>
        <v>0</v>
      </c>
      <c r="BO13" s="203">
        <f t="shared" si="57"/>
        <v>0</v>
      </c>
      <c r="BP13" s="203">
        <f t="shared" si="58"/>
        <v>77</v>
      </c>
      <c r="BQ13" s="203">
        <f t="shared" si="59"/>
        <v>3</v>
      </c>
      <c r="BR13" s="203">
        <f t="shared" si="60"/>
        <v>-17</v>
      </c>
      <c r="BS13" s="203">
        <f t="shared" si="61"/>
        <v>-4</v>
      </c>
      <c r="BT13" s="203">
        <f t="shared" si="62"/>
        <v>0</v>
      </c>
      <c r="BU13" s="203">
        <f t="shared" si="63"/>
        <v>0</v>
      </c>
      <c r="BV13" s="203">
        <f t="shared" si="64"/>
        <v>0</v>
      </c>
      <c r="BW13" s="203">
        <f t="shared" ref="BW13:BW29" si="78">SUM(AR13:AU13)</f>
        <v>0</v>
      </c>
      <c r="BX13" s="203">
        <f t="shared" si="75"/>
        <v>0</v>
      </c>
      <c r="BY13" s="203">
        <f t="shared" si="76"/>
        <v>0</v>
      </c>
      <c r="BZ13" s="203">
        <f t="shared" si="74"/>
        <v>0</v>
      </c>
      <c r="CA13" s="203">
        <f t="shared" si="77"/>
        <v>0</v>
      </c>
      <c r="CB13" s="2150">
        <v>0</v>
      </c>
      <c r="CC13" s="2143"/>
      <c r="CD13" s="1873"/>
    </row>
    <row r="14" spans="1:82" ht="14.25" customHeight="1">
      <c r="A14" s="7"/>
      <c r="B14" s="47" t="str">
        <f t="shared" si="0"/>
        <v>Non-cash interest expense</v>
      </c>
      <c r="C14" s="48"/>
      <c r="D14" s="205">
        <f t="shared" si="1"/>
        <v>0</v>
      </c>
      <c r="E14" s="203">
        <f t="shared" si="2"/>
        <v>0</v>
      </c>
      <c r="F14" s="203">
        <f t="shared" si="3"/>
        <v>0</v>
      </c>
      <c r="G14" s="204">
        <f t="shared" si="4"/>
        <v>0</v>
      </c>
      <c r="H14" s="205">
        <f t="shared" si="5"/>
        <v>0</v>
      </c>
      <c r="I14" s="203">
        <f t="shared" si="6"/>
        <v>0</v>
      </c>
      <c r="J14" s="203">
        <f t="shared" si="7"/>
        <v>7.5149999999999997</v>
      </c>
      <c r="K14" s="204">
        <f t="shared" si="8"/>
        <v>-7.5149999999999997</v>
      </c>
      <c r="L14" s="205">
        <f t="shared" si="9"/>
        <v>0</v>
      </c>
      <c r="M14" s="203">
        <f t="shared" si="10"/>
        <v>0</v>
      </c>
      <c r="N14" s="203">
        <f t="shared" si="11"/>
        <v>0</v>
      </c>
      <c r="O14" s="204">
        <f t="shared" si="12"/>
        <v>0</v>
      </c>
      <c r="P14" s="205">
        <f t="shared" si="13"/>
        <v>0</v>
      </c>
      <c r="Q14" s="203">
        <f t="shared" si="14"/>
        <v>0</v>
      </c>
      <c r="R14" s="203">
        <f t="shared" si="15"/>
        <v>67</v>
      </c>
      <c r="S14" s="204">
        <f t="shared" si="16"/>
        <v>-38</v>
      </c>
      <c r="T14" s="205">
        <f t="shared" si="17"/>
        <v>6</v>
      </c>
      <c r="U14" s="203">
        <f t="shared" si="18"/>
        <v>40</v>
      </c>
      <c r="V14" s="203">
        <f t="shared" si="19"/>
        <v>36</v>
      </c>
      <c r="W14" s="204">
        <f t="shared" si="20"/>
        <v>39</v>
      </c>
      <c r="X14" s="205">
        <f t="shared" si="21"/>
        <v>8</v>
      </c>
      <c r="Y14" s="203">
        <f t="shared" si="22"/>
        <v>9</v>
      </c>
      <c r="Z14" s="203">
        <f t="shared" si="23"/>
        <v>8</v>
      </c>
      <c r="AA14" s="204">
        <f t="shared" si="24"/>
        <v>5</v>
      </c>
      <c r="AB14" s="203">
        <f t="shared" si="25"/>
        <v>5</v>
      </c>
      <c r="AC14" s="203">
        <f t="shared" si="26"/>
        <v>6</v>
      </c>
      <c r="AD14" s="203">
        <f t="shared" si="27"/>
        <v>5</v>
      </c>
      <c r="AE14" s="204">
        <f t="shared" si="28"/>
        <v>5</v>
      </c>
      <c r="AF14" s="203">
        <f t="shared" si="29"/>
        <v>6</v>
      </c>
      <c r="AG14" s="203">
        <f t="shared" si="30"/>
        <v>6</v>
      </c>
      <c r="AH14" s="203">
        <f t="shared" si="31"/>
        <v>5</v>
      </c>
      <c r="AI14" s="204">
        <f t="shared" si="32"/>
        <v>6</v>
      </c>
      <c r="AJ14" s="203">
        <f t="shared" si="33"/>
        <v>6</v>
      </c>
      <c r="AK14" s="203">
        <f t="shared" si="34"/>
        <v>6</v>
      </c>
      <c r="AL14" s="203">
        <f t="shared" si="35"/>
        <v>6</v>
      </c>
      <c r="AM14" s="204">
        <f t="shared" si="36"/>
        <v>7</v>
      </c>
      <c r="AN14" s="203">
        <f t="shared" si="37"/>
        <v>6</v>
      </c>
      <c r="AO14" s="203">
        <f t="shared" si="38"/>
        <v>3</v>
      </c>
      <c r="AP14" s="203">
        <f t="shared" si="39"/>
        <v>2</v>
      </c>
      <c r="AQ14" s="204">
        <f t="shared" si="40"/>
        <v>6</v>
      </c>
      <c r="AR14" s="203">
        <f t="shared" si="41"/>
        <v>3</v>
      </c>
      <c r="AS14" s="203">
        <f t="shared" si="42"/>
        <v>3</v>
      </c>
      <c r="AT14" s="203">
        <f t="shared" si="43"/>
        <v>2</v>
      </c>
      <c r="AU14" s="204">
        <f t="shared" si="44"/>
        <v>3</v>
      </c>
      <c r="AV14" s="203">
        <f t="shared" si="45"/>
        <v>4</v>
      </c>
      <c r="AW14" s="203">
        <f t="shared" si="46"/>
        <v>3</v>
      </c>
      <c r="AX14" s="203">
        <f t="shared" si="47"/>
        <v>4</v>
      </c>
      <c r="AY14" s="204">
        <f t="shared" si="48"/>
        <v>10</v>
      </c>
      <c r="AZ14" s="203">
        <f t="shared" si="49"/>
        <v>9</v>
      </c>
      <c r="BA14" s="203">
        <f t="shared" si="50"/>
        <v>9</v>
      </c>
      <c r="BB14" s="203">
        <f t="shared" si="51"/>
        <v>9</v>
      </c>
      <c r="BC14" s="204">
        <f t="shared" si="52"/>
        <v>-27</v>
      </c>
      <c r="BD14" s="203">
        <v>0</v>
      </c>
      <c r="BE14" s="203">
        <v>0</v>
      </c>
      <c r="BF14" s="203">
        <v>0</v>
      </c>
      <c r="BG14" s="207">
        <v>0</v>
      </c>
      <c r="BH14" s="203">
        <v>0</v>
      </c>
      <c r="BI14" s="203">
        <v>0</v>
      </c>
      <c r="BJ14" s="203">
        <v>0</v>
      </c>
      <c r="BK14" s="207">
        <v>0</v>
      </c>
      <c r="BL14" s="19"/>
      <c r="BM14" s="203">
        <f t="shared" si="55"/>
        <v>0</v>
      </c>
      <c r="BN14" s="203">
        <f t="shared" si="56"/>
        <v>0</v>
      </c>
      <c r="BO14" s="203">
        <f t="shared" si="57"/>
        <v>0</v>
      </c>
      <c r="BP14" s="203">
        <f t="shared" si="58"/>
        <v>29</v>
      </c>
      <c r="BQ14" s="203">
        <f t="shared" si="59"/>
        <v>121</v>
      </c>
      <c r="BR14" s="203">
        <f t="shared" si="60"/>
        <v>30</v>
      </c>
      <c r="BS14" s="203">
        <f t="shared" si="61"/>
        <v>21</v>
      </c>
      <c r="BT14" s="203">
        <f t="shared" si="62"/>
        <v>23</v>
      </c>
      <c r="BU14" s="203">
        <f t="shared" si="63"/>
        <v>25</v>
      </c>
      <c r="BV14" s="203">
        <f t="shared" si="64"/>
        <v>17</v>
      </c>
      <c r="BW14" s="203">
        <f t="shared" si="78"/>
        <v>11</v>
      </c>
      <c r="BX14" s="203">
        <f t="shared" si="75"/>
        <v>21</v>
      </c>
      <c r="BY14" s="203">
        <f t="shared" si="76"/>
        <v>0</v>
      </c>
      <c r="BZ14" s="203">
        <f t="shared" si="74"/>
        <v>0</v>
      </c>
      <c r="CA14" s="203">
        <f t="shared" si="77"/>
        <v>0</v>
      </c>
      <c r="CB14" s="2150">
        <v>0</v>
      </c>
      <c r="CC14" s="2143"/>
      <c r="CD14" s="1873"/>
    </row>
    <row r="15" spans="1:82" ht="14.25" customHeight="1">
      <c r="A15" s="7"/>
      <c r="B15" s="47" t="str">
        <f t="shared" si="0"/>
        <v>Amortization of intangibles</v>
      </c>
      <c r="C15" s="48"/>
      <c r="D15" s="205">
        <f t="shared" si="1"/>
        <v>0</v>
      </c>
      <c r="E15" s="203">
        <f t="shared" si="2"/>
        <v>0</v>
      </c>
      <c r="F15" s="203">
        <f t="shared" si="3"/>
        <v>0</v>
      </c>
      <c r="G15" s="204">
        <f t="shared" si="4"/>
        <v>16</v>
      </c>
      <c r="H15" s="205">
        <f t="shared" si="5"/>
        <v>0</v>
      </c>
      <c r="I15" s="203">
        <f t="shared" si="6"/>
        <v>0</v>
      </c>
      <c r="J15" s="203">
        <f t="shared" si="7"/>
        <v>0</v>
      </c>
      <c r="K15" s="204">
        <f t="shared" si="8"/>
        <v>0</v>
      </c>
      <c r="L15" s="205">
        <f t="shared" si="9"/>
        <v>0</v>
      </c>
      <c r="M15" s="203">
        <f t="shared" si="10"/>
        <v>0</v>
      </c>
      <c r="N15" s="203">
        <f t="shared" si="11"/>
        <v>0</v>
      </c>
      <c r="O15" s="204">
        <f t="shared" si="12"/>
        <v>1608</v>
      </c>
      <c r="P15" s="205">
        <f t="shared" si="13"/>
        <v>0</v>
      </c>
      <c r="Q15" s="203">
        <f t="shared" si="14"/>
        <v>876</v>
      </c>
      <c r="R15" s="203">
        <f t="shared" si="15"/>
        <v>127</v>
      </c>
      <c r="S15" s="204">
        <f t="shared" si="16"/>
        <v>684</v>
      </c>
      <c r="T15" s="205">
        <f t="shared" si="17"/>
        <v>0</v>
      </c>
      <c r="U15" s="203">
        <f t="shared" si="18"/>
        <v>0</v>
      </c>
      <c r="V15" s="203">
        <f t="shared" si="19"/>
        <v>0</v>
      </c>
      <c r="W15" s="204">
        <f t="shared" si="20"/>
        <v>0</v>
      </c>
      <c r="X15" s="205">
        <f t="shared" si="21"/>
        <v>0</v>
      </c>
      <c r="Y15" s="203">
        <f t="shared" si="22"/>
        <v>0</v>
      </c>
      <c r="Z15" s="203">
        <f t="shared" si="23"/>
        <v>0</v>
      </c>
      <c r="AA15" s="204">
        <f t="shared" si="24"/>
        <v>0</v>
      </c>
      <c r="AB15" s="203">
        <f t="shared" si="25"/>
        <v>0</v>
      </c>
      <c r="AC15" s="203">
        <f t="shared" si="26"/>
        <v>0</v>
      </c>
      <c r="AD15" s="203">
        <f t="shared" si="27"/>
        <v>0</v>
      </c>
      <c r="AE15" s="204">
        <f t="shared" si="28"/>
        <v>0</v>
      </c>
      <c r="AF15" s="203">
        <f t="shared" si="29"/>
        <v>0</v>
      </c>
      <c r="AG15" s="203">
        <f t="shared" si="30"/>
        <v>0</v>
      </c>
      <c r="AH15" s="203">
        <f t="shared" si="31"/>
        <v>0</v>
      </c>
      <c r="AI15" s="204">
        <f t="shared" si="32"/>
        <v>0</v>
      </c>
      <c r="AJ15" s="203">
        <f t="shared" si="33"/>
        <v>0</v>
      </c>
      <c r="AK15" s="203">
        <f t="shared" si="34"/>
        <v>0</v>
      </c>
      <c r="AL15" s="203">
        <f t="shared" si="35"/>
        <v>0</v>
      </c>
      <c r="AM15" s="204">
        <f t="shared" si="36"/>
        <v>0</v>
      </c>
      <c r="AN15" s="203">
        <f t="shared" si="37"/>
        <v>0</v>
      </c>
      <c r="AO15" s="203">
        <f t="shared" si="38"/>
        <v>0</v>
      </c>
      <c r="AP15" s="203">
        <f t="shared" si="39"/>
        <v>0</v>
      </c>
      <c r="AQ15" s="204">
        <f t="shared" si="40"/>
        <v>0</v>
      </c>
      <c r="AR15" s="203">
        <f t="shared" si="41"/>
        <v>0</v>
      </c>
      <c r="AS15" s="203">
        <f t="shared" si="42"/>
        <v>0</v>
      </c>
      <c r="AT15" s="203">
        <f t="shared" si="43"/>
        <v>0</v>
      </c>
      <c r="AU15" s="204">
        <f t="shared" si="44"/>
        <v>0</v>
      </c>
      <c r="AV15" s="203">
        <f t="shared" si="45"/>
        <v>0</v>
      </c>
      <c r="AW15" s="203">
        <f t="shared" si="46"/>
        <v>0</v>
      </c>
      <c r="AX15" s="203">
        <f t="shared" si="47"/>
        <v>0</v>
      </c>
      <c r="AY15" s="204">
        <f t="shared" si="48"/>
        <v>0</v>
      </c>
      <c r="AZ15" s="203">
        <f t="shared" si="49"/>
        <v>0</v>
      </c>
      <c r="BA15" s="203">
        <f t="shared" si="50"/>
        <v>0</v>
      </c>
      <c r="BB15" s="203">
        <f t="shared" si="51"/>
        <v>0</v>
      </c>
      <c r="BC15" s="204">
        <f t="shared" si="52"/>
        <v>0</v>
      </c>
      <c r="BD15" s="203">
        <v>0</v>
      </c>
      <c r="BE15" s="203">
        <v>0</v>
      </c>
      <c r="BF15" s="203">
        <v>0</v>
      </c>
      <c r="BG15" s="207">
        <v>0</v>
      </c>
      <c r="BH15" s="203">
        <v>0</v>
      </c>
      <c r="BI15" s="203">
        <v>0</v>
      </c>
      <c r="BJ15" s="203">
        <v>0</v>
      </c>
      <c r="BK15" s="207">
        <v>0</v>
      </c>
      <c r="BL15" s="19"/>
      <c r="BM15" s="203">
        <f t="shared" si="55"/>
        <v>16</v>
      </c>
      <c r="BN15" s="203">
        <f t="shared" si="56"/>
        <v>0</v>
      </c>
      <c r="BO15" s="203">
        <f t="shared" si="57"/>
        <v>1608</v>
      </c>
      <c r="BP15" s="203">
        <f t="shared" si="58"/>
        <v>1687</v>
      </c>
      <c r="BQ15" s="203">
        <f t="shared" si="59"/>
        <v>0</v>
      </c>
      <c r="BR15" s="203">
        <f t="shared" si="60"/>
        <v>0</v>
      </c>
      <c r="BS15" s="203">
        <f t="shared" si="61"/>
        <v>0</v>
      </c>
      <c r="BT15" s="203">
        <f t="shared" si="62"/>
        <v>0</v>
      </c>
      <c r="BU15" s="203">
        <f t="shared" si="63"/>
        <v>0</v>
      </c>
      <c r="BV15" s="203">
        <f t="shared" si="64"/>
        <v>0</v>
      </c>
      <c r="BW15" s="203">
        <f t="shared" si="78"/>
        <v>0</v>
      </c>
      <c r="BX15" s="203">
        <f t="shared" si="75"/>
        <v>0</v>
      </c>
      <c r="BY15" s="203">
        <f t="shared" si="76"/>
        <v>0</v>
      </c>
      <c r="BZ15" s="203">
        <f t="shared" si="74"/>
        <v>0</v>
      </c>
      <c r="CA15" s="203">
        <f t="shared" si="77"/>
        <v>0</v>
      </c>
      <c r="CB15" s="2150">
        <v>0</v>
      </c>
      <c r="CC15" s="2143"/>
      <c r="CD15" s="1873"/>
    </row>
    <row r="16" spans="1:82" ht="14.25" customHeight="1">
      <c r="A16" s="7"/>
      <c r="B16" s="47" t="str">
        <f>B109</f>
        <v>Equity (income) loss and dilution gain in investee</v>
      </c>
      <c r="C16" s="48"/>
      <c r="D16" s="205">
        <f t="shared" si="1"/>
        <v>0</v>
      </c>
      <c r="E16" s="203">
        <f t="shared" si="2"/>
        <v>0</v>
      </c>
      <c r="F16" s="203">
        <f t="shared" si="3"/>
        <v>0</v>
      </c>
      <c r="G16" s="204">
        <f t="shared" si="4"/>
        <v>107</v>
      </c>
      <c r="H16" s="205">
        <f t="shared" si="5"/>
        <v>18.242999999999999</v>
      </c>
      <c r="I16" s="203">
        <f t="shared" si="6"/>
        <v>12.467000000000002</v>
      </c>
      <c r="J16" s="203">
        <f t="shared" si="7"/>
        <v>10.204000000000001</v>
      </c>
      <c r="K16" s="204">
        <f t="shared" si="8"/>
        <v>4.0859999999999985</v>
      </c>
      <c r="L16" s="205">
        <f t="shared" si="9"/>
        <v>0</v>
      </c>
      <c r="M16" s="203">
        <f t="shared" si="10"/>
        <v>0</v>
      </c>
      <c r="N16" s="203">
        <f t="shared" si="11"/>
        <v>86</v>
      </c>
      <c r="O16" s="204">
        <f t="shared" si="12"/>
        <v>68</v>
      </c>
      <c r="P16" s="205">
        <f t="shared" si="13"/>
        <v>0</v>
      </c>
      <c r="Q16" s="203">
        <f t="shared" si="14"/>
        <v>0</v>
      </c>
      <c r="R16" s="203">
        <f t="shared" si="15"/>
        <v>0</v>
      </c>
      <c r="S16" s="204">
        <f t="shared" si="16"/>
        <v>0</v>
      </c>
      <c r="T16" s="205">
        <f t="shared" si="17"/>
        <v>0</v>
      </c>
      <c r="U16" s="203">
        <f t="shared" si="18"/>
        <v>0</v>
      </c>
      <c r="V16" s="203">
        <f t="shared" si="19"/>
        <v>0</v>
      </c>
      <c r="W16" s="204">
        <f t="shared" si="20"/>
        <v>0</v>
      </c>
      <c r="X16" s="205">
        <f t="shared" si="21"/>
        <v>-142</v>
      </c>
      <c r="Y16" s="203">
        <f t="shared" si="22"/>
        <v>120</v>
      </c>
      <c r="Z16" s="203">
        <f t="shared" si="23"/>
        <v>186</v>
      </c>
      <c r="AA16" s="204">
        <f t="shared" si="24"/>
        <v>-27</v>
      </c>
      <c r="AB16" s="203">
        <f t="shared" si="25"/>
        <v>-492</v>
      </c>
      <c r="AC16" s="203">
        <f t="shared" si="26"/>
        <v>0</v>
      </c>
      <c r="AD16" s="203">
        <f t="shared" si="27"/>
        <v>0</v>
      </c>
      <c r="AE16" s="204">
        <f t="shared" si="28"/>
        <v>0</v>
      </c>
      <c r="AF16" s="203">
        <f t="shared" si="29"/>
        <v>278</v>
      </c>
      <c r="AG16" s="203">
        <f t="shared" si="30"/>
        <v>0</v>
      </c>
      <c r="AH16" s="203">
        <f t="shared" si="31"/>
        <v>0</v>
      </c>
      <c r="AI16" s="204">
        <f t="shared" si="32"/>
        <v>0</v>
      </c>
      <c r="AJ16" s="203">
        <f t="shared" si="33"/>
        <v>0</v>
      </c>
      <c r="AK16" s="203">
        <f t="shared" si="34"/>
        <v>0</v>
      </c>
      <c r="AL16" s="203">
        <f t="shared" si="35"/>
        <v>0</v>
      </c>
      <c r="AM16" s="204">
        <f t="shared" si="36"/>
        <v>0</v>
      </c>
      <c r="AN16" s="203">
        <f t="shared" si="37"/>
        <v>0</v>
      </c>
      <c r="AO16" s="203">
        <f t="shared" si="38"/>
        <v>0</v>
      </c>
      <c r="AP16" s="203">
        <f t="shared" si="39"/>
        <v>0</v>
      </c>
      <c r="AQ16" s="204">
        <f t="shared" si="40"/>
        <v>0</v>
      </c>
      <c r="AR16" s="203">
        <f t="shared" si="41"/>
        <v>0</v>
      </c>
      <c r="AS16" s="203">
        <f t="shared" si="42"/>
        <v>0</v>
      </c>
      <c r="AT16" s="203">
        <f t="shared" si="43"/>
        <v>0</v>
      </c>
      <c r="AU16" s="204">
        <f t="shared" si="44"/>
        <v>0</v>
      </c>
      <c r="AV16" s="203">
        <f t="shared" si="45"/>
        <v>0</v>
      </c>
      <c r="AW16" s="203">
        <f t="shared" si="46"/>
        <v>-1</v>
      </c>
      <c r="AX16" s="203">
        <f t="shared" si="47"/>
        <v>2</v>
      </c>
      <c r="AY16" s="204">
        <f t="shared" si="48"/>
        <v>-1</v>
      </c>
      <c r="AZ16" s="203">
        <f t="shared" si="49"/>
        <v>0</v>
      </c>
      <c r="BA16" s="203">
        <f t="shared" si="50"/>
        <v>0</v>
      </c>
      <c r="BB16" s="203">
        <f t="shared" si="51"/>
        <v>0</v>
      </c>
      <c r="BC16" s="204">
        <f t="shared" si="52"/>
        <v>0</v>
      </c>
      <c r="BD16" s="203">
        <v>0</v>
      </c>
      <c r="BE16" s="203">
        <v>0</v>
      </c>
      <c r="BF16" s="203">
        <v>0</v>
      </c>
      <c r="BG16" s="207">
        <v>0</v>
      </c>
      <c r="BH16" s="203">
        <v>0</v>
      </c>
      <c r="BI16" s="203">
        <v>0</v>
      </c>
      <c r="BJ16" s="203">
        <v>0</v>
      </c>
      <c r="BK16" s="207">
        <v>0</v>
      </c>
      <c r="BL16" s="19"/>
      <c r="BM16" s="203">
        <f t="shared" si="55"/>
        <v>107</v>
      </c>
      <c r="BN16" s="203">
        <f t="shared" si="56"/>
        <v>45</v>
      </c>
      <c r="BO16" s="203">
        <f t="shared" si="57"/>
        <v>154</v>
      </c>
      <c r="BP16" s="203">
        <f t="shared" si="58"/>
        <v>0</v>
      </c>
      <c r="BQ16" s="203">
        <f t="shared" si="59"/>
        <v>0</v>
      </c>
      <c r="BR16" s="203">
        <f t="shared" si="60"/>
        <v>137</v>
      </c>
      <c r="BS16" s="203">
        <f t="shared" si="61"/>
        <v>-492</v>
      </c>
      <c r="BT16" s="203">
        <f t="shared" si="62"/>
        <v>278</v>
      </c>
      <c r="BU16" s="203">
        <f t="shared" si="63"/>
        <v>0</v>
      </c>
      <c r="BV16" s="203">
        <f t="shared" si="64"/>
        <v>0</v>
      </c>
      <c r="BW16" s="203">
        <f t="shared" si="78"/>
        <v>0</v>
      </c>
      <c r="BX16" s="203">
        <f t="shared" si="75"/>
        <v>0</v>
      </c>
      <c r="BY16" s="203">
        <f t="shared" si="76"/>
        <v>0</v>
      </c>
      <c r="BZ16" s="203">
        <f t="shared" si="74"/>
        <v>0</v>
      </c>
      <c r="CA16" s="203">
        <f t="shared" si="77"/>
        <v>0</v>
      </c>
      <c r="CB16" s="2150">
        <v>0</v>
      </c>
      <c r="CC16" s="2143"/>
      <c r="CD16" s="1873"/>
    </row>
    <row r="17" spans="1:82" ht="14.25" customHeight="1">
      <c r="A17" s="7"/>
      <c r="B17" s="47" t="str">
        <f>B110</f>
        <v>Deferred taxes</v>
      </c>
      <c r="C17" s="48"/>
      <c r="D17" s="205">
        <f t="shared" si="1"/>
        <v>-7.3289999999999997</v>
      </c>
      <c r="E17" s="203">
        <f t="shared" si="2"/>
        <v>-13.221</v>
      </c>
      <c r="F17" s="203">
        <f t="shared" si="3"/>
        <v>-0.57099999999999884</v>
      </c>
      <c r="G17" s="204">
        <f t="shared" si="4"/>
        <v>-0.87900000000000222</v>
      </c>
      <c r="H17" s="205">
        <f t="shared" si="5"/>
        <v>-3.7250000000000001</v>
      </c>
      <c r="I17" s="203">
        <f t="shared" si="6"/>
        <v>4.444</v>
      </c>
      <c r="J17" s="203">
        <f t="shared" si="7"/>
        <v>-0.43300000000000027</v>
      </c>
      <c r="K17" s="204">
        <f t="shared" si="8"/>
        <v>-2.2859999999999991</v>
      </c>
      <c r="L17" s="205">
        <f t="shared" si="9"/>
        <v>10</v>
      </c>
      <c r="M17" s="203">
        <f t="shared" si="10"/>
        <v>25</v>
      </c>
      <c r="N17" s="203">
        <f t="shared" si="11"/>
        <v>-10</v>
      </c>
      <c r="O17" s="204">
        <f t="shared" si="12"/>
        <v>-49</v>
      </c>
      <c r="P17" s="205">
        <f t="shared" si="13"/>
        <v>-50</v>
      </c>
      <c r="Q17" s="203">
        <f t="shared" si="14"/>
        <v>-20</v>
      </c>
      <c r="R17" s="203">
        <f t="shared" si="15"/>
        <v>5</v>
      </c>
      <c r="S17" s="204">
        <f t="shared" si="16"/>
        <v>147</v>
      </c>
      <c r="T17" s="205">
        <f t="shared" si="17"/>
        <v>116</v>
      </c>
      <c r="U17" s="203">
        <f t="shared" si="18"/>
        <v>8</v>
      </c>
      <c r="V17" s="203">
        <f t="shared" si="19"/>
        <v>18</v>
      </c>
      <c r="W17" s="204">
        <f t="shared" si="20"/>
        <v>-12</v>
      </c>
      <c r="X17" s="205">
        <f t="shared" si="21"/>
        <v>0</v>
      </c>
      <c r="Y17" s="203">
        <f t="shared" si="22"/>
        <v>-11</v>
      </c>
      <c r="Z17" s="203">
        <f t="shared" si="23"/>
        <v>9</v>
      </c>
      <c r="AA17" s="204">
        <f t="shared" si="24"/>
        <v>-3</v>
      </c>
      <c r="AB17" s="203">
        <f t="shared" si="25"/>
        <v>-1</v>
      </c>
      <c r="AC17" s="203">
        <f t="shared" si="26"/>
        <v>1</v>
      </c>
      <c r="AD17" s="203">
        <f t="shared" si="27"/>
        <v>0</v>
      </c>
      <c r="AE17" s="204">
        <f t="shared" si="28"/>
        <v>0</v>
      </c>
      <c r="AF17" s="203">
        <f t="shared" si="29"/>
        <v>-36</v>
      </c>
      <c r="AG17" s="203">
        <f t="shared" si="30"/>
        <v>-4</v>
      </c>
      <c r="AH17" s="203">
        <f t="shared" si="31"/>
        <v>-1</v>
      </c>
      <c r="AI17" s="204">
        <f t="shared" si="32"/>
        <v>1</v>
      </c>
      <c r="AJ17" s="203">
        <f t="shared" si="33"/>
        <v>1</v>
      </c>
      <c r="AK17" s="203">
        <f t="shared" si="34"/>
        <v>0</v>
      </c>
      <c r="AL17" s="203">
        <f t="shared" si="35"/>
        <v>-1</v>
      </c>
      <c r="AM17" s="204">
        <f t="shared" si="36"/>
        <v>0</v>
      </c>
      <c r="AN17" s="203">
        <f t="shared" si="37"/>
        <v>0</v>
      </c>
      <c r="AO17" s="203">
        <f t="shared" si="38"/>
        <v>1</v>
      </c>
      <c r="AP17" s="203">
        <f t="shared" si="39"/>
        <v>-1</v>
      </c>
      <c r="AQ17" s="204">
        <f t="shared" si="40"/>
        <v>0</v>
      </c>
      <c r="AR17" s="203">
        <f t="shared" si="41"/>
        <v>0</v>
      </c>
      <c r="AS17" s="203">
        <f t="shared" si="42"/>
        <v>0</v>
      </c>
      <c r="AT17" s="203">
        <f t="shared" si="43"/>
        <v>0</v>
      </c>
      <c r="AU17" s="204">
        <f t="shared" si="44"/>
        <v>0</v>
      </c>
      <c r="AV17" s="203">
        <f t="shared" si="45"/>
        <v>0</v>
      </c>
      <c r="AW17" s="203">
        <f t="shared" si="46"/>
        <v>11</v>
      </c>
      <c r="AX17" s="203">
        <f t="shared" si="47"/>
        <v>0</v>
      </c>
      <c r="AY17" s="204">
        <f t="shared" si="48"/>
        <v>0</v>
      </c>
      <c r="AZ17" s="203">
        <f t="shared" si="49"/>
        <v>0</v>
      </c>
      <c r="BA17" s="203">
        <f t="shared" si="50"/>
        <v>0</v>
      </c>
      <c r="BB17" s="203">
        <f t="shared" si="51"/>
        <v>0</v>
      </c>
      <c r="BC17" s="204">
        <f t="shared" si="52"/>
        <v>0</v>
      </c>
      <c r="BD17" s="203">
        <v>0</v>
      </c>
      <c r="BE17" s="203">
        <v>0</v>
      </c>
      <c r="BF17" s="203">
        <v>0</v>
      </c>
      <c r="BG17" s="207">
        <v>0</v>
      </c>
      <c r="BH17" s="203">
        <v>0</v>
      </c>
      <c r="BI17" s="203">
        <v>0</v>
      </c>
      <c r="BJ17" s="203">
        <v>0</v>
      </c>
      <c r="BK17" s="207">
        <v>0</v>
      </c>
      <c r="BL17" s="19"/>
      <c r="BM17" s="203">
        <f t="shared" si="55"/>
        <v>-22</v>
      </c>
      <c r="BN17" s="203">
        <f t="shared" si="56"/>
        <v>-1.9999999999999996</v>
      </c>
      <c r="BO17" s="203">
        <f t="shared" si="57"/>
        <v>-24</v>
      </c>
      <c r="BP17" s="203">
        <f t="shared" si="58"/>
        <v>82</v>
      </c>
      <c r="BQ17" s="203">
        <f t="shared" si="59"/>
        <v>130</v>
      </c>
      <c r="BR17" s="203">
        <f t="shared" si="60"/>
        <v>-5</v>
      </c>
      <c r="BS17" s="203">
        <f t="shared" si="61"/>
        <v>0</v>
      </c>
      <c r="BT17" s="203">
        <f t="shared" si="62"/>
        <v>-40</v>
      </c>
      <c r="BU17" s="203">
        <f t="shared" si="63"/>
        <v>0</v>
      </c>
      <c r="BV17" s="203">
        <f t="shared" si="64"/>
        <v>0</v>
      </c>
      <c r="BW17" s="203">
        <f t="shared" si="78"/>
        <v>0</v>
      </c>
      <c r="BX17" s="203">
        <f t="shared" si="75"/>
        <v>11</v>
      </c>
      <c r="BY17" s="203">
        <f t="shared" si="76"/>
        <v>0</v>
      </c>
      <c r="BZ17" s="203">
        <f t="shared" si="74"/>
        <v>0</v>
      </c>
      <c r="CA17" s="203">
        <f t="shared" si="77"/>
        <v>0</v>
      </c>
      <c r="CB17" s="2150">
        <v>0</v>
      </c>
      <c r="CC17" s="2143"/>
      <c r="CD17" s="1873"/>
    </row>
    <row r="18" spans="1:82" ht="14.25" customHeight="1">
      <c r="A18" s="7"/>
      <c r="B18" s="47" t="s">
        <v>589</v>
      </c>
      <c r="C18" s="48"/>
      <c r="D18" s="205"/>
      <c r="E18" s="203"/>
      <c r="F18" s="203"/>
      <c r="G18" s="204"/>
      <c r="H18" s="205"/>
      <c r="I18" s="203"/>
      <c r="J18" s="203"/>
      <c r="K18" s="204"/>
      <c r="L18" s="205"/>
      <c r="M18" s="203"/>
      <c r="N18" s="203"/>
      <c r="O18" s="204"/>
      <c r="P18" s="205"/>
      <c r="Q18" s="203"/>
      <c r="R18" s="203"/>
      <c r="S18" s="204"/>
      <c r="T18" s="205"/>
      <c r="U18" s="203"/>
      <c r="V18" s="203"/>
      <c r="W18" s="204"/>
      <c r="X18" s="205"/>
      <c r="Y18" s="203"/>
      <c r="Z18" s="203"/>
      <c r="AA18" s="204"/>
      <c r="AB18" s="203"/>
      <c r="AC18" s="203"/>
      <c r="AD18" s="203"/>
      <c r="AE18" s="204"/>
      <c r="AF18" s="203"/>
      <c r="AG18" s="203"/>
      <c r="AH18" s="203"/>
      <c r="AI18" s="204"/>
      <c r="AJ18" s="203"/>
      <c r="AK18" s="203"/>
      <c r="AL18" s="203"/>
      <c r="AM18" s="204"/>
      <c r="AN18" s="203"/>
      <c r="AO18" s="203"/>
      <c r="AP18" s="203"/>
      <c r="AQ18" s="204"/>
      <c r="AR18" s="203">
        <f t="shared" si="41"/>
        <v>71</v>
      </c>
      <c r="AS18" s="203">
        <f t="shared" si="42"/>
        <v>1</v>
      </c>
      <c r="AT18" s="203">
        <f t="shared" si="43"/>
        <v>11</v>
      </c>
      <c r="AU18" s="204">
        <f>AU111-AT18-AS18-AR18</f>
        <v>0</v>
      </c>
      <c r="AV18" s="203">
        <f t="shared" si="45"/>
        <v>0</v>
      </c>
      <c r="AW18" s="203">
        <f t="shared" si="46"/>
        <v>0</v>
      </c>
      <c r="AX18" s="203">
        <f t="shared" si="47"/>
        <v>0</v>
      </c>
      <c r="AY18" s="204">
        <f>AY111-AX18-AW18-AV18</f>
        <v>0</v>
      </c>
      <c r="AZ18" s="203">
        <f t="shared" si="49"/>
        <v>0</v>
      </c>
      <c r="BA18" s="203">
        <f t="shared" si="50"/>
        <v>0</v>
      </c>
      <c r="BB18" s="203">
        <f t="shared" si="51"/>
        <v>0</v>
      </c>
      <c r="BC18" s="204">
        <f>BC111-BB18-BA18-AZ18</f>
        <v>0</v>
      </c>
      <c r="BD18" s="203">
        <v>0</v>
      </c>
      <c r="BE18" s="203">
        <v>0</v>
      </c>
      <c r="BF18" s="203">
        <v>0</v>
      </c>
      <c r="BG18" s="207">
        <v>0</v>
      </c>
      <c r="BH18" s="203">
        <v>0</v>
      </c>
      <c r="BI18" s="203">
        <v>0</v>
      </c>
      <c r="BJ18" s="203">
        <v>0</v>
      </c>
      <c r="BK18" s="207">
        <v>0</v>
      </c>
      <c r="BL18" s="19"/>
      <c r="BM18" s="203">
        <f t="shared" ref="BM18" si="79">SUM(D18:G18)</f>
        <v>0</v>
      </c>
      <c r="BN18" s="203">
        <f t="shared" ref="BN18" si="80">SUM(H18:K18)</f>
        <v>0</v>
      </c>
      <c r="BO18" s="203">
        <f t="shared" ref="BO18" si="81">SUM(L18:O18)</f>
        <v>0</v>
      </c>
      <c r="BP18" s="203">
        <f t="shared" ref="BP18" si="82">SUM(P18:S18)</f>
        <v>0</v>
      </c>
      <c r="BQ18" s="203">
        <f t="shared" ref="BQ18" si="83">SUM(T18:W18)</f>
        <v>0</v>
      </c>
      <c r="BR18" s="203">
        <f t="shared" ref="BR18" si="84">SUM(X18:AA18)</f>
        <v>0</v>
      </c>
      <c r="BS18" s="203">
        <f t="shared" ref="BS18" si="85">SUM(AB18:AE18)</f>
        <v>0</v>
      </c>
      <c r="BT18" s="203">
        <f t="shared" ref="BT18" si="86">SUM(AF18:AI18)</f>
        <v>0</v>
      </c>
      <c r="BU18" s="203">
        <f t="shared" ref="BU18" si="87">SUM(AJ18:AM18)</f>
        <v>0</v>
      </c>
      <c r="BV18" s="203">
        <f t="shared" ref="BV18" si="88">SUM(AN18:AQ18)</f>
        <v>0</v>
      </c>
      <c r="BW18" s="203">
        <f t="shared" ref="BW18" si="89">SUM(AR18:AU18)</f>
        <v>83</v>
      </c>
      <c r="BX18" s="203">
        <f t="shared" si="75"/>
        <v>0</v>
      </c>
      <c r="BY18" s="203">
        <f t="shared" si="76"/>
        <v>0</v>
      </c>
      <c r="BZ18" s="203">
        <f t="shared" si="74"/>
        <v>0</v>
      </c>
      <c r="CA18" s="203">
        <f t="shared" si="77"/>
        <v>0</v>
      </c>
      <c r="CB18" s="2150">
        <v>0</v>
      </c>
      <c r="CC18" s="2143"/>
      <c r="CD18" s="1873"/>
    </row>
    <row r="19" spans="1:82" ht="14.25" customHeight="1">
      <c r="A19" s="7"/>
      <c r="B19" s="47" t="str">
        <f t="shared" ref="B19:B26" si="90">B112</f>
        <v>Other operating activities</v>
      </c>
      <c r="C19" s="48"/>
      <c r="D19" s="205">
        <f t="shared" ref="D19" si="91">D112</f>
        <v>-74.150000000000006</v>
      </c>
      <c r="E19" s="203">
        <f>E112-D19</f>
        <v>-60.788999999999987</v>
      </c>
      <c r="F19" s="203">
        <f>F112-E19-D19</f>
        <v>-45.299000000000007</v>
      </c>
      <c r="G19" s="204">
        <f>G112-F19-E19-D19</f>
        <v>-52.762</v>
      </c>
      <c r="H19" s="205">
        <f t="shared" ref="H19" si="92">H112</f>
        <v>-21.731999999999999</v>
      </c>
      <c r="I19" s="203">
        <f>I112-H19</f>
        <v>-28.77000000000001</v>
      </c>
      <c r="J19" s="203">
        <f>J112-I19-H19</f>
        <v>-37.560999999999993</v>
      </c>
      <c r="K19" s="204">
        <f>K112-J19-I19-H19</f>
        <v>398.06299999999999</v>
      </c>
      <c r="L19" s="205">
        <f t="shared" ref="L19" si="93">L112</f>
        <v>-9</v>
      </c>
      <c r="M19" s="203">
        <f>M112-L19</f>
        <v>-12</v>
      </c>
      <c r="N19" s="203">
        <f>N112-M19-L19</f>
        <v>-44</v>
      </c>
      <c r="O19" s="204">
        <f>O112-N19-M19-L19</f>
        <v>-28</v>
      </c>
      <c r="P19" s="205">
        <f t="shared" ref="P19" si="94">P112</f>
        <v>-26</v>
      </c>
      <c r="Q19" s="203">
        <f>Q112-P19</f>
        <v>-16</v>
      </c>
      <c r="R19" s="203">
        <f>R112-Q19-P19</f>
        <v>-86</v>
      </c>
      <c r="S19" s="204">
        <f>S112-R19-Q19-P19</f>
        <v>-249</v>
      </c>
      <c r="T19" s="205">
        <f t="shared" ref="T19" si="95">T112</f>
        <v>-147</v>
      </c>
      <c r="U19" s="203">
        <f>U112-T19</f>
        <v>-32</v>
      </c>
      <c r="V19" s="203">
        <f>V112-U19-T19</f>
        <v>-75</v>
      </c>
      <c r="W19" s="204">
        <f>W112-V19-U19-T19</f>
        <v>16</v>
      </c>
      <c r="X19" s="205">
        <f t="shared" ref="X19" si="96">X112</f>
        <v>4</v>
      </c>
      <c r="Y19" s="203">
        <f>Y112-X19</f>
        <v>-10</v>
      </c>
      <c r="Z19" s="203">
        <f>Z112-Y19-X19</f>
        <v>19</v>
      </c>
      <c r="AA19" s="204">
        <f>AA112-Z19-Y19-X19</f>
        <v>-16</v>
      </c>
      <c r="AB19" s="203">
        <f t="shared" ref="AB19" si="97">AB112</f>
        <v>11</v>
      </c>
      <c r="AC19" s="203">
        <f>AC112-AB19</f>
        <v>0</v>
      </c>
      <c r="AD19" s="203">
        <f>AD112-AC19-AB19</f>
        <v>-7</v>
      </c>
      <c r="AE19" s="204">
        <f>AE112-AD19-AC19-AB19</f>
        <v>207</v>
      </c>
      <c r="AF19" s="203">
        <f t="shared" ref="AF19" si="98">AF112</f>
        <v>-3</v>
      </c>
      <c r="AG19" s="203">
        <f>AG112-AF19</f>
        <v>2</v>
      </c>
      <c r="AH19" s="203">
        <f>AH112-AG19-AF19</f>
        <v>0</v>
      </c>
      <c r="AI19" s="204">
        <f>AI112-AH19-AG19-AF19</f>
        <v>8</v>
      </c>
      <c r="AJ19" s="203">
        <f t="shared" ref="AJ19" si="99">AJ112</f>
        <v>-1</v>
      </c>
      <c r="AK19" s="203">
        <f>AK112-AJ19</f>
        <v>2</v>
      </c>
      <c r="AL19" s="203">
        <f>AL112-AK19-AJ19</f>
        <v>0</v>
      </c>
      <c r="AM19" s="204">
        <f>AM112-AL19-AK19-AJ19</f>
        <v>-1</v>
      </c>
      <c r="AN19" s="203">
        <f t="shared" ref="AN19" si="100">AN112</f>
        <v>11</v>
      </c>
      <c r="AO19" s="203">
        <f>AO112-AN19</f>
        <v>48</v>
      </c>
      <c r="AP19" s="203">
        <f>AP112-AO19-AN19</f>
        <v>-4</v>
      </c>
      <c r="AQ19" s="204">
        <f>AQ112-AP19-AO19-AN19</f>
        <v>-7</v>
      </c>
      <c r="AR19" s="203">
        <f t="shared" ref="AR19" si="101">AR112</f>
        <v>-1</v>
      </c>
      <c r="AS19" s="203">
        <f t="shared" si="42"/>
        <v>2</v>
      </c>
      <c r="AT19" s="203">
        <f>AT112-AS19-AR19</f>
        <v>6</v>
      </c>
      <c r="AU19" s="204">
        <f>AU112-AT19-AS19-AR19</f>
        <v>-10</v>
      </c>
      <c r="AV19" s="203">
        <f t="shared" si="45"/>
        <v>-5</v>
      </c>
      <c r="AW19" s="203">
        <f t="shared" si="46"/>
        <v>-1</v>
      </c>
      <c r="AX19" s="203">
        <f>AX112-AW19-AV19</f>
        <v>302</v>
      </c>
      <c r="AY19" s="204">
        <f>AY112-AX19-AW19-AV19</f>
        <v>-140</v>
      </c>
      <c r="AZ19" s="203">
        <f t="shared" si="49"/>
        <v>9</v>
      </c>
      <c r="BA19" s="203">
        <f t="shared" si="50"/>
        <v>-1</v>
      </c>
      <c r="BB19" s="203">
        <f>BB112-BA19-AZ19</f>
        <v>5</v>
      </c>
      <c r="BC19" s="204">
        <f>BC112-BB19-BA19-AZ19</f>
        <v>35</v>
      </c>
      <c r="BD19" s="203">
        <f>BS!BD63-BS!BC63</f>
        <v>0</v>
      </c>
      <c r="BE19" s="203">
        <f>BS!BE63-BS!BD63</f>
        <v>0</v>
      </c>
      <c r="BF19" s="203">
        <f>BS!BF63-BS!BE63</f>
        <v>0</v>
      </c>
      <c r="BG19" s="204">
        <f>BS!BG63-BS!BF63</f>
        <v>0</v>
      </c>
      <c r="BH19" s="203">
        <f>BS!BH63-BS!BG63</f>
        <v>0</v>
      </c>
      <c r="BI19" s="203">
        <f>BS!BI63-BS!BH63</f>
        <v>0</v>
      </c>
      <c r="BJ19" s="203">
        <f>BS!BJ63-BS!BI63</f>
        <v>0</v>
      </c>
      <c r="BK19" s="204">
        <f>BS!BK63-BS!BJ63</f>
        <v>0</v>
      </c>
      <c r="BL19" s="19"/>
      <c r="BM19" s="203">
        <f t="shared" si="55"/>
        <v>-233</v>
      </c>
      <c r="BN19" s="203">
        <f t="shared" si="56"/>
        <v>310</v>
      </c>
      <c r="BO19" s="203">
        <f t="shared" si="57"/>
        <v>-93</v>
      </c>
      <c r="BP19" s="203">
        <f t="shared" si="58"/>
        <v>-377</v>
      </c>
      <c r="BQ19" s="203">
        <f t="shared" si="59"/>
        <v>-238</v>
      </c>
      <c r="BR19" s="203">
        <f t="shared" si="60"/>
        <v>-3</v>
      </c>
      <c r="BS19" s="203">
        <f t="shared" si="61"/>
        <v>211</v>
      </c>
      <c r="BT19" s="203">
        <f t="shared" si="62"/>
        <v>7</v>
      </c>
      <c r="BU19" s="203">
        <f t="shared" si="63"/>
        <v>0</v>
      </c>
      <c r="BV19" s="203">
        <f>SUM(AN19:AQ19)</f>
        <v>48</v>
      </c>
      <c r="BW19" s="203">
        <f t="shared" si="78"/>
        <v>-3</v>
      </c>
      <c r="BX19" s="203">
        <f t="shared" si="75"/>
        <v>156</v>
      </c>
      <c r="BY19" s="203">
        <f t="shared" si="76"/>
        <v>48</v>
      </c>
      <c r="BZ19" s="203">
        <f t="shared" si="74"/>
        <v>0</v>
      </c>
      <c r="CA19" s="203">
        <f t="shared" si="77"/>
        <v>0</v>
      </c>
      <c r="CB19" s="2149">
        <f>BS!CB63-BS!CA63</f>
        <v>0</v>
      </c>
      <c r="CC19" s="2143"/>
      <c r="CD19" s="1873"/>
    </row>
    <row r="20" spans="1:82" ht="14.25" customHeight="1">
      <c r="A20" s="7"/>
      <c r="B20" s="23" t="str">
        <f t="shared" si="90"/>
        <v>Changes in current assets and liabilities:</v>
      </c>
      <c r="C20" s="24"/>
      <c r="D20" s="205"/>
      <c r="E20" s="203"/>
      <c r="F20" s="203"/>
      <c r="G20" s="204"/>
      <c r="H20" s="205"/>
      <c r="I20" s="203"/>
      <c r="J20" s="203"/>
      <c r="K20" s="204"/>
      <c r="L20" s="205"/>
      <c r="M20" s="203"/>
      <c r="N20" s="203"/>
      <c r="O20" s="204"/>
      <c r="P20" s="205"/>
      <c r="Q20" s="203"/>
      <c r="R20" s="203"/>
      <c r="S20" s="204"/>
      <c r="T20" s="205"/>
      <c r="U20" s="203"/>
      <c r="V20" s="203"/>
      <c r="W20" s="204"/>
      <c r="X20" s="205"/>
      <c r="Y20" s="203"/>
      <c r="Z20" s="203"/>
      <c r="AA20" s="204"/>
      <c r="AB20" s="203"/>
      <c r="AC20" s="203"/>
      <c r="AD20" s="203"/>
      <c r="AE20" s="204"/>
      <c r="AF20" s="203"/>
      <c r="AG20" s="203"/>
      <c r="AH20" s="203"/>
      <c r="AI20" s="204"/>
      <c r="AJ20" s="203"/>
      <c r="AK20" s="203"/>
      <c r="AL20" s="203"/>
      <c r="AM20" s="204"/>
      <c r="AN20" s="203"/>
      <c r="AO20" s="203"/>
      <c r="AP20" s="203"/>
      <c r="AQ20" s="204"/>
      <c r="AR20" s="203"/>
      <c r="AS20" s="203"/>
      <c r="AT20" s="203"/>
      <c r="AU20" s="204"/>
      <c r="AV20" s="203"/>
      <c r="AW20" s="203"/>
      <c r="AX20" s="203"/>
      <c r="AY20" s="204"/>
      <c r="AZ20" s="203"/>
      <c r="BA20" s="203"/>
      <c r="BB20" s="203"/>
      <c r="BC20" s="204"/>
      <c r="BD20" s="203"/>
      <c r="BE20" s="203"/>
      <c r="BF20" s="203"/>
      <c r="BG20" s="207"/>
      <c r="BH20" s="203"/>
      <c r="BI20" s="203"/>
      <c r="BJ20" s="203"/>
      <c r="BK20" s="207"/>
      <c r="BL20" s="19"/>
      <c r="BM20" s="203"/>
      <c r="BN20" s="203"/>
      <c r="BO20" s="203"/>
      <c r="BP20" s="203"/>
      <c r="BQ20" s="203"/>
      <c r="BR20" s="203"/>
      <c r="BS20" s="203"/>
      <c r="BT20" s="203"/>
      <c r="BU20" s="203"/>
      <c r="BV20" s="203"/>
      <c r="BW20" s="203"/>
      <c r="BX20" s="203"/>
      <c r="BY20" s="203"/>
      <c r="BZ20" s="203"/>
      <c r="CA20" s="203"/>
      <c r="CB20" s="2149"/>
      <c r="CC20" s="2143"/>
      <c r="CD20" s="1873"/>
    </row>
    <row r="21" spans="1:82" ht="14.25" customHeight="1">
      <c r="A21" s="7"/>
      <c r="B21" s="47" t="str">
        <f t="shared" si="90"/>
        <v>Accounts receivable</v>
      </c>
      <c r="C21" s="48"/>
      <c r="D21" s="205">
        <f t="shared" ref="D21:D26" si="102">D114</f>
        <v>23.641000000000002</v>
      </c>
      <c r="E21" s="203">
        <f t="shared" ref="E21:E26" si="103">E114-D21</f>
        <v>-35.563000000000002</v>
      </c>
      <c r="F21" s="203">
        <f t="shared" ref="F21:F26" si="104">F114-E21-D21</f>
        <v>-136.827</v>
      </c>
      <c r="G21" s="204">
        <f t="shared" ref="G21:G26" si="105">G114-F21-E21-D21</f>
        <v>-73.251000000000005</v>
      </c>
      <c r="H21" s="205">
        <f t="shared" ref="H21:H26" si="106">H114</f>
        <v>66.95</v>
      </c>
      <c r="I21" s="203">
        <f t="shared" ref="I21:I26" si="107">I114-H21</f>
        <v>262.49900000000002</v>
      </c>
      <c r="J21" s="203">
        <f t="shared" ref="J21:J26" si="108">J114-I21-H21</f>
        <v>-116.60900000000002</v>
      </c>
      <c r="K21" s="204">
        <f t="shared" ref="K21:K26" si="109">K114-J21-I21-H21</f>
        <v>-152.83999999999997</v>
      </c>
      <c r="L21" s="205">
        <f t="shared" ref="L21:L26" si="110">L114</f>
        <v>476</v>
      </c>
      <c r="M21" s="203">
        <f t="shared" ref="M21:M26" si="111">M114-L21</f>
        <v>19</v>
      </c>
      <c r="N21" s="203">
        <f t="shared" ref="N21:N26" si="112">N114-M21-L21</f>
        <v>-16</v>
      </c>
      <c r="O21" s="204">
        <f t="shared" ref="O21:O26" si="113">O114-N21-M21-L21</f>
        <v>24</v>
      </c>
      <c r="P21" s="205">
        <f t="shared" ref="P21:P26" si="114">P114</f>
        <v>104</v>
      </c>
      <c r="Q21" s="203">
        <f t="shared" ref="Q21:Q26" si="115">Q114-P21</f>
        <v>81</v>
      </c>
      <c r="R21" s="203">
        <f t="shared" ref="R21:R26" si="116">R114-Q21-P21</f>
        <v>-261</v>
      </c>
      <c r="S21" s="204">
        <f t="shared" ref="S21:S26" si="117">S114-R21-Q21-P21</f>
        <v>177</v>
      </c>
      <c r="T21" s="205">
        <f t="shared" ref="T21:T26" si="118">T114</f>
        <v>-187</v>
      </c>
      <c r="U21" s="203">
        <f t="shared" ref="U21:U26" si="119">U114-T21</f>
        <v>-108</v>
      </c>
      <c r="V21" s="203">
        <f t="shared" ref="V21:V26" si="120">V114-U21-T21</f>
        <v>-316</v>
      </c>
      <c r="W21" s="204">
        <f t="shared" ref="W21:W26" si="121">W114-V21-U21-T21</f>
        <v>-349</v>
      </c>
      <c r="X21" s="205">
        <f t="shared" ref="X21:X26" si="122">X114</f>
        <v>-134</v>
      </c>
      <c r="Y21" s="203">
        <f t="shared" ref="Y21:Y26" si="123">Y114-X21</f>
        <v>-254</v>
      </c>
      <c r="Z21" s="203">
        <f t="shared" ref="Z21:Z26" si="124">Z114-Y21-X21</f>
        <v>-285</v>
      </c>
      <c r="AA21" s="204">
        <f t="shared" ref="AA21:AA26" si="125">AA114-Z21-Y21-X21</f>
        <v>-465</v>
      </c>
      <c r="AB21" s="203">
        <f t="shared" ref="AB21:AB26" si="126">AB114</f>
        <v>-189</v>
      </c>
      <c r="AC21" s="203">
        <f t="shared" ref="AC21:AC26" si="127">AC114-AB21</f>
        <v>2</v>
      </c>
      <c r="AD21" s="203">
        <f t="shared" ref="AD21:AD26" si="128">AD114-AC21-AB21</f>
        <v>-150</v>
      </c>
      <c r="AE21" s="204">
        <f t="shared" ref="AE21:AE26" si="129">AE114-AD21-AC21-AB21</f>
        <v>-10</v>
      </c>
      <c r="AF21" s="203">
        <f t="shared" ref="AF21:AF26" si="130">AF114</f>
        <v>-40</v>
      </c>
      <c r="AG21" s="203">
        <f t="shared" ref="AG21:AG26" si="131">AG114-AF21</f>
        <v>217</v>
      </c>
      <c r="AH21" s="203">
        <f t="shared" ref="AH21:AH26" si="132">AH114-AG21-AF21</f>
        <v>60</v>
      </c>
      <c r="AI21" s="204">
        <f t="shared" ref="AI21:AI26" si="133">AI114-AH21-AG21-AF21</f>
        <v>53</v>
      </c>
      <c r="AJ21" s="203">
        <f t="shared" ref="AJ21:AJ26" si="134">AJ114</f>
        <v>-14</v>
      </c>
      <c r="AK21" s="203">
        <f t="shared" ref="AK21:AK26" si="135">AK114-AJ21</f>
        <v>-25</v>
      </c>
      <c r="AL21" s="203">
        <f t="shared" ref="AL21:AL26" si="136">AL114-AK21-AJ21</f>
        <v>-203</v>
      </c>
      <c r="AM21" s="204">
        <f t="shared" ref="AM21:AM26" si="137">AM114-AL21-AK21-AJ21</f>
        <v>42</v>
      </c>
      <c r="AN21" s="203">
        <f t="shared" ref="AN21:AN26" si="138">AN114</f>
        <v>-8</v>
      </c>
      <c r="AO21" s="203">
        <f t="shared" ref="AO21:AO26" si="139">AO114-AN21</f>
        <v>-32</v>
      </c>
      <c r="AP21" s="203">
        <f t="shared" ref="AP21:AP26" si="140">AP114-AO21-AN21</f>
        <v>-104</v>
      </c>
      <c r="AQ21" s="204">
        <f t="shared" ref="AQ21:AQ26" si="141">AQ114-AP21-AO21-AN21</f>
        <v>151</v>
      </c>
      <c r="AR21" s="203">
        <f t="shared" ref="AR21:AR26" si="142">AR114</f>
        <v>46</v>
      </c>
      <c r="AS21" s="203">
        <f t="shared" ref="AS21:AS26" si="143">AS114-AR21</f>
        <v>83</v>
      </c>
      <c r="AT21" s="203">
        <f t="shared" ref="AT21:AT26" si="144">AT114-AS21-AR21</f>
        <v>35</v>
      </c>
      <c r="AU21" s="204">
        <f t="shared" ref="AU21:AU27" si="145">AU114-AT21-AS21-AR21</f>
        <v>116</v>
      </c>
      <c r="AV21" s="203">
        <f t="shared" ref="AV21:AV29" si="146">AV114</f>
        <v>26</v>
      </c>
      <c r="AW21" s="203">
        <f t="shared" ref="AW21:AW26" si="147">AW114-AV21</f>
        <v>-164</v>
      </c>
      <c r="AX21" s="203">
        <f t="shared" ref="AX21:AX27" si="148">AX114-AW21-AV21</f>
        <v>31</v>
      </c>
      <c r="AY21" s="204">
        <f t="shared" ref="AY21:AY27" si="149">AY114-AX21-AW21-AV21</f>
        <v>329</v>
      </c>
      <c r="AZ21" s="203">
        <f t="shared" ref="AZ21:AZ29" si="150">AZ114</f>
        <v>-183</v>
      </c>
      <c r="BA21" s="203">
        <f t="shared" ref="BA21:BA26" si="151">BA114-AZ21</f>
        <v>-120</v>
      </c>
      <c r="BB21" s="203">
        <f t="shared" ref="BB21:BB27" si="152">BB114-BA21-AZ21</f>
        <v>-157</v>
      </c>
      <c r="BC21" s="204">
        <f t="shared" ref="BC21:BC27" si="153">BC114-BB21-BA21-AZ21</f>
        <v>371</v>
      </c>
      <c r="BD21" s="203">
        <f>BS!BC11-BS!BD11</f>
        <v>-338</v>
      </c>
      <c r="BE21" s="203">
        <f>BS!BD11-BS!BE11</f>
        <v>65.7960083830435</v>
      </c>
      <c r="BF21" s="203">
        <f>BS!BE11-BS!BF11</f>
        <v>-0.71309873032282667</v>
      </c>
      <c r="BG21" s="204">
        <f>BS!BF11-BS!BG11</f>
        <v>40.840096140303899</v>
      </c>
      <c r="BH21" s="203">
        <f>BS!BG11-BS!BH11</f>
        <v>29.631624987604368</v>
      </c>
      <c r="BI21" s="203">
        <f>BS!BH11-BS!BI11</f>
        <v>-33.568561366697622</v>
      </c>
      <c r="BJ21" s="203">
        <f>BS!BI11-BS!BJ11</f>
        <v>-31.519979517847105</v>
      </c>
      <c r="BK21" s="204">
        <f>BS!BJ11-BS!BK11</f>
        <v>5.3169683482299206</v>
      </c>
      <c r="BL21" s="19"/>
      <c r="BM21" s="203">
        <f t="shared" ref="BM21:BM29" si="154">SUM(D21:G21)</f>
        <v>-222</v>
      </c>
      <c r="BN21" s="203">
        <f t="shared" ref="BN21:BN29" si="155">SUM(H21:K21)</f>
        <v>60</v>
      </c>
      <c r="BO21" s="203">
        <f t="shared" ref="BO21:BO29" si="156">SUM(L21:O21)</f>
        <v>503</v>
      </c>
      <c r="BP21" s="203">
        <f t="shared" ref="BP21:BP29" si="157">SUM(P21:S21)</f>
        <v>101</v>
      </c>
      <c r="BQ21" s="203">
        <f t="shared" ref="BQ21:BQ29" si="158">SUM(T21:W21)</f>
        <v>-960</v>
      </c>
      <c r="BR21" s="203">
        <f t="shared" ref="BR21:BR29" si="159">SUM(X21:AA21)</f>
        <v>-1138</v>
      </c>
      <c r="BS21" s="203">
        <f t="shared" ref="BS21:BS29" si="160">SUM(AB21:AE21)</f>
        <v>-347</v>
      </c>
      <c r="BT21" s="203">
        <f t="shared" ref="BT21:BT29" si="161">SUM(AF21:AI21)</f>
        <v>290</v>
      </c>
      <c r="BU21" s="203">
        <f t="shared" ref="BU21:BU29" si="162">SUM(AJ21:AM21)</f>
        <v>-200</v>
      </c>
      <c r="BV21" s="203">
        <f t="shared" ref="BV21:BV29" si="163">SUM(AN21:AQ21)</f>
        <v>7</v>
      </c>
      <c r="BW21" s="203">
        <f t="shared" si="78"/>
        <v>280</v>
      </c>
      <c r="BX21" s="203">
        <f t="shared" ref="BX21:BX29" si="164">SUM(AV21:AY21)</f>
        <v>222</v>
      </c>
      <c r="BY21" s="203">
        <f t="shared" ref="BY21:BY29" si="165">SUM(AZ21:BC21)</f>
        <v>-89</v>
      </c>
      <c r="BZ21" s="203">
        <f t="shared" ref="BZ21:BZ29" si="166">SUM(BD21:BG21)</f>
        <v>-232.07699420697543</v>
      </c>
      <c r="CA21" s="203">
        <f t="shared" si="77"/>
        <v>-30.139947548710438</v>
      </c>
      <c r="CB21" s="2149">
        <f>BS!CA11-BS!CB11</f>
        <v>0</v>
      </c>
      <c r="CC21" s="2143"/>
      <c r="CD21" s="1873"/>
    </row>
    <row r="22" spans="1:82" ht="14.25" customHeight="1">
      <c r="A22" s="7"/>
      <c r="B22" s="47" t="str">
        <f t="shared" si="90"/>
        <v>Inventory</v>
      </c>
      <c r="C22" s="48"/>
      <c r="D22" s="205">
        <f t="shared" si="102"/>
        <v>28.638000000000002</v>
      </c>
      <c r="E22" s="203">
        <f t="shared" si="103"/>
        <v>-63.972999999999999</v>
      </c>
      <c r="F22" s="203">
        <f t="shared" si="104"/>
        <v>-20.600000000000005</v>
      </c>
      <c r="G22" s="204">
        <f t="shared" si="105"/>
        <v>27.935000000000006</v>
      </c>
      <c r="H22" s="205">
        <f t="shared" si="106"/>
        <v>52.378</v>
      </c>
      <c r="I22" s="203">
        <f t="shared" si="107"/>
        <v>-65.040999999999997</v>
      </c>
      <c r="J22" s="203">
        <f t="shared" si="108"/>
        <v>-63.728999999999999</v>
      </c>
      <c r="K22" s="204">
        <f t="shared" si="109"/>
        <v>82.391999999999982</v>
      </c>
      <c r="L22" s="205">
        <f t="shared" si="110"/>
        <v>-124</v>
      </c>
      <c r="M22" s="203">
        <f t="shared" si="111"/>
        <v>46</v>
      </c>
      <c r="N22" s="203">
        <f t="shared" si="112"/>
        <v>55</v>
      </c>
      <c r="O22" s="204">
        <f t="shared" si="113"/>
        <v>27</v>
      </c>
      <c r="P22" s="205">
        <f t="shared" si="114"/>
        <v>36</v>
      </c>
      <c r="Q22" s="203">
        <f t="shared" si="115"/>
        <v>-23</v>
      </c>
      <c r="R22" s="203">
        <f t="shared" si="116"/>
        <v>-56</v>
      </c>
      <c r="S22" s="204">
        <f t="shared" si="117"/>
        <v>195</v>
      </c>
      <c r="T22" s="205">
        <f t="shared" si="118"/>
        <v>117</v>
      </c>
      <c r="U22" s="203">
        <f t="shared" si="119"/>
        <v>46</v>
      </c>
      <c r="V22" s="203">
        <f t="shared" si="120"/>
        <v>-22</v>
      </c>
      <c r="W22" s="204">
        <f t="shared" si="121"/>
        <v>-52</v>
      </c>
      <c r="X22" s="205">
        <f t="shared" si="122"/>
        <v>-89</v>
      </c>
      <c r="Y22" s="203">
        <f t="shared" si="123"/>
        <v>-4</v>
      </c>
      <c r="Z22" s="203">
        <f t="shared" si="124"/>
        <v>-41</v>
      </c>
      <c r="AA22" s="204">
        <f t="shared" si="125"/>
        <v>-10</v>
      </c>
      <c r="AB22" s="203">
        <f t="shared" si="126"/>
        <v>-16</v>
      </c>
      <c r="AC22" s="203">
        <f t="shared" si="127"/>
        <v>6</v>
      </c>
      <c r="AD22" s="203">
        <f t="shared" si="128"/>
        <v>102</v>
      </c>
      <c r="AE22" s="204">
        <f t="shared" si="129"/>
        <v>65</v>
      </c>
      <c r="AF22" s="203">
        <f t="shared" si="130"/>
        <v>-106</v>
      </c>
      <c r="AG22" s="203">
        <f t="shared" si="131"/>
        <v>-249</v>
      </c>
      <c r="AH22" s="203">
        <f t="shared" si="132"/>
        <v>89</v>
      </c>
      <c r="AI22" s="204">
        <f t="shared" si="133"/>
        <v>183</v>
      </c>
      <c r="AJ22" s="203">
        <f t="shared" si="134"/>
        <v>-52</v>
      </c>
      <c r="AK22" s="203">
        <f t="shared" si="135"/>
        <v>-97</v>
      </c>
      <c r="AL22" s="203">
        <f t="shared" si="136"/>
        <v>-211</v>
      </c>
      <c r="AM22" s="204">
        <f t="shared" si="137"/>
        <v>38</v>
      </c>
      <c r="AN22" s="203">
        <f t="shared" si="138"/>
        <v>14</v>
      </c>
      <c r="AO22" s="203">
        <f t="shared" si="139"/>
        <v>-90</v>
      </c>
      <c r="AP22" s="203">
        <f t="shared" si="140"/>
        <v>62</v>
      </c>
      <c r="AQ22" s="204">
        <f t="shared" si="141"/>
        <v>213</v>
      </c>
      <c r="AR22" s="203">
        <f t="shared" si="142"/>
        <v>-6</v>
      </c>
      <c r="AS22" s="203">
        <f t="shared" si="143"/>
        <v>-111</v>
      </c>
      <c r="AT22" s="203">
        <f t="shared" si="144"/>
        <v>24</v>
      </c>
      <c r="AU22" s="204">
        <f t="shared" si="145"/>
        <v>82</v>
      </c>
      <c r="AV22" s="203">
        <f t="shared" si="146"/>
        <v>3</v>
      </c>
      <c r="AW22" s="203">
        <f t="shared" si="147"/>
        <v>-69</v>
      </c>
      <c r="AX22" s="203">
        <f t="shared" si="148"/>
        <v>-28</v>
      </c>
      <c r="AY22" s="204">
        <f t="shared" si="149"/>
        <v>21</v>
      </c>
      <c r="AZ22" s="203">
        <f t="shared" si="150"/>
        <v>-88</v>
      </c>
      <c r="BA22" s="203">
        <f t="shared" si="151"/>
        <v>6</v>
      </c>
      <c r="BB22" s="203">
        <f t="shared" si="152"/>
        <v>39</v>
      </c>
      <c r="BC22" s="204">
        <f t="shared" si="153"/>
        <v>55</v>
      </c>
      <c r="BD22" s="203">
        <f>BS!BC12-BS!BD12</f>
        <v>24</v>
      </c>
      <c r="BE22" s="203">
        <f>BS!BD12-BS!BE12</f>
        <v>-10.980310946312898</v>
      </c>
      <c r="BF22" s="203">
        <f>BS!BE12-BS!BF12</f>
        <v>-0.77014662874864825</v>
      </c>
      <c r="BG22" s="204">
        <f>BS!BF12-BS!BG12</f>
        <v>-12.779625647099692</v>
      </c>
      <c r="BH22" s="203">
        <f>BS!BG12-BS!BH12</f>
        <v>34.669001235497149</v>
      </c>
      <c r="BI22" s="203">
        <f>BS!BH12-BS!BI12</f>
        <v>28.869132906614027</v>
      </c>
      <c r="BJ22" s="203">
        <f>BS!BI12-BS!BJ12</f>
        <v>-33.501235373254531</v>
      </c>
      <c r="BK22" s="204">
        <f>BS!BJ12-BS!BK12</f>
        <v>5.6511777872613038</v>
      </c>
      <c r="BL22" s="19"/>
      <c r="BM22" s="203">
        <f t="shared" si="154"/>
        <v>-27.999999999999996</v>
      </c>
      <c r="BN22" s="203">
        <f t="shared" si="155"/>
        <v>5.9999999999999858</v>
      </c>
      <c r="BO22" s="203">
        <f t="shared" si="156"/>
        <v>4</v>
      </c>
      <c r="BP22" s="203">
        <f t="shared" si="157"/>
        <v>152</v>
      </c>
      <c r="BQ22" s="203">
        <f t="shared" si="158"/>
        <v>89</v>
      </c>
      <c r="BR22" s="203">
        <f t="shared" si="159"/>
        <v>-144</v>
      </c>
      <c r="BS22" s="203">
        <f t="shared" si="160"/>
        <v>157</v>
      </c>
      <c r="BT22" s="203">
        <f t="shared" si="161"/>
        <v>-83</v>
      </c>
      <c r="BU22" s="203">
        <f t="shared" si="162"/>
        <v>-322</v>
      </c>
      <c r="BV22" s="203">
        <f t="shared" si="163"/>
        <v>199</v>
      </c>
      <c r="BW22" s="203">
        <f t="shared" si="78"/>
        <v>-11</v>
      </c>
      <c r="BX22" s="203">
        <f t="shared" si="164"/>
        <v>-73</v>
      </c>
      <c r="BY22" s="203">
        <f t="shared" si="165"/>
        <v>12</v>
      </c>
      <c r="BZ22" s="203">
        <f t="shared" si="166"/>
        <v>-0.53008322216123815</v>
      </c>
      <c r="CA22" s="203">
        <f t="shared" si="77"/>
        <v>35.688076556117949</v>
      </c>
      <c r="CB22" s="2149">
        <f>BS!CA12-BS!CB12</f>
        <v>-9.7755834259173753</v>
      </c>
      <c r="CC22" s="2143"/>
      <c r="CD22" s="1873"/>
    </row>
    <row r="23" spans="1:82" ht="14.25" customHeight="1">
      <c r="A23" s="7"/>
      <c r="B23" s="47" t="str">
        <f t="shared" si="90"/>
        <v>Prepaid expenses and other assets</v>
      </c>
      <c r="C23" s="48"/>
      <c r="D23" s="205">
        <f t="shared" si="102"/>
        <v>-53.021999999999998</v>
      </c>
      <c r="E23" s="203">
        <f t="shared" si="103"/>
        <v>43.043999999999997</v>
      </c>
      <c r="F23" s="203">
        <f t="shared" si="104"/>
        <v>30.861000000000001</v>
      </c>
      <c r="G23" s="204">
        <f t="shared" si="105"/>
        <v>-12.883000000000003</v>
      </c>
      <c r="H23" s="205">
        <f t="shared" si="106"/>
        <v>-31.754000000000001</v>
      </c>
      <c r="I23" s="203">
        <f t="shared" si="107"/>
        <v>-25.724999999999998</v>
      </c>
      <c r="J23" s="203">
        <f t="shared" si="108"/>
        <v>36.076999999999998</v>
      </c>
      <c r="K23" s="204">
        <f t="shared" si="109"/>
        <v>2.402000000000001</v>
      </c>
      <c r="L23" s="205">
        <f t="shared" si="110"/>
        <v>-51</v>
      </c>
      <c r="M23" s="203">
        <f t="shared" si="111"/>
        <v>-64</v>
      </c>
      <c r="N23" s="203">
        <f t="shared" si="112"/>
        <v>-65</v>
      </c>
      <c r="O23" s="204">
        <f t="shared" si="113"/>
        <v>46</v>
      </c>
      <c r="P23" s="205">
        <f t="shared" si="114"/>
        <v>-44</v>
      </c>
      <c r="Q23" s="203">
        <f t="shared" si="115"/>
        <v>78</v>
      </c>
      <c r="R23" s="203">
        <f t="shared" si="116"/>
        <v>22</v>
      </c>
      <c r="S23" s="204">
        <f t="shared" si="117"/>
        <v>8</v>
      </c>
      <c r="T23" s="205">
        <f t="shared" si="118"/>
        <v>-33</v>
      </c>
      <c r="U23" s="203">
        <f t="shared" si="119"/>
        <v>-27</v>
      </c>
      <c r="V23" s="203">
        <f t="shared" si="120"/>
        <v>31</v>
      </c>
      <c r="W23" s="204">
        <f t="shared" si="121"/>
        <v>12</v>
      </c>
      <c r="X23" s="205">
        <f t="shared" si="122"/>
        <v>-6</v>
      </c>
      <c r="Y23" s="203">
        <f t="shared" si="123"/>
        <v>25</v>
      </c>
      <c r="Z23" s="203">
        <f t="shared" si="124"/>
        <v>-5</v>
      </c>
      <c r="AA23" s="204">
        <f t="shared" si="125"/>
        <v>-111</v>
      </c>
      <c r="AB23" s="203">
        <f t="shared" si="126"/>
        <v>-11</v>
      </c>
      <c r="AC23" s="203">
        <f t="shared" si="127"/>
        <v>47</v>
      </c>
      <c r="AD23" s="203">
        <f t="shared" si="128"/>
        <v>6</v>
      </c>
      <c r="AE23" s="204">
        <f t="shared" si="129"/>
        <v>73</v>
      </c>
      <c r="AF23" s="203">
        <f t="shared" si="130"/>
        <v>-41</v>
      </c>
      <c r="AG23" s="203">
        <f t="shared" si="131"/>
        <v>25</v>
      </c>
      <c r="AH23" s="203">
        <f t="shared" si="132"/>
        <v>-14</v>
      </c>
      <c r="AI23" s="204">
        <f t="shared" si="133"/>
        <v>10</v>
      </c>
      <c r="AJ23" s="203">
        <f t="shared" si="134"/>
        <v>-7</v>
      </c>
      <c r="AK23" s="203">
        <f t="shared" si="135"/>
        <v>-35</v>
      </c>
      <c r="AL23" s="203">
        <f t="shared" si="136"/>
        <v>24</v>
      </c>
      <c r="AM23" s="204">
        <f t="shared" si="137"/>
        <v>7</v>
      </c>
      <c r="AN23" s="203">
        <f t="shared" si="138"/>
        <v>-8</v>
      </c>
      <c r="AO23" s="203">
        <f t="shared" si="139"/>
        <v>-76</v>
      </c>
      <c r="AP23" s="203">
        <f t="shared" si="140"/>
        <v>-72</v>
      </c>
      <c r="AQ23" s="204">
        <f t="shared" si="141"/>
        <v>36</v>
      </c>
      <c r="AR23" s="203">
        <f t="shared" si="142"/>
        <v>-16</v>
      </c>
      <c r="AS23" s="203">
        <f t="shared" si="143"/>
        <v>-57</v>
      </c>
      <c r="AT23" s="203">
        <f t="shared" si="144"/>
        <v>-40</v>
      </c>
      <c r="AU23" s="204">
        <f t="shared" si="145"/>
        <v>2</v>
      </c>
      <c r="AV23" s="203">
        <f t="shared" si="146"/>
        <v>22</v>
      </c>
      <c r="AW23" s="203">
        <f t="shared" si="147"/>
        <v>-139</v>
      </c>
      <c r="AX23" s="203">
        <f t="shared" si="148"/>
        <v>-17</v>
      </c>
      <c r="AY23" s="204">
        <f t="shared" si="149"/>
        <v>-32</v>
      </c>
      <c r="AZ23" s="203">
        <f t="shared" si="150"/>
        <v>-30</v>
      </c>
      <c r="BA23" s="203">
        <f t="shared" si="151"/>
        <v>-26</v>
      </c>
      <c r="BB23" s="203">
        <f t="shared" si="152"/>
        <v>-26</v>
      </c>
      <c r="BC23" s="204">
        <f t="shared" si="153"/>
        <v>-58</v>
      </c>
      <c r="BD23" s="203">
        <f>BS!BC14-BS!BD14</f>
        <v>45</v>
      </c>
      <c r="BE23" s="203">
        <f>BS!BD14-BS!BE14</f>
        <v>-92.70490997443477</v>
      </c>
      <c r="BF23" s="203">
        <f>BS!BE14-BS!BF14</f>
        <v>-0.36673648988033847</v>
      </c>
      <c r="BG23" s="204">
        <f>BS!BF14-BS!BG14</f>
        <v>21.003478015013457</v>
      </c>
      <c r="BH23" s="203">
        <f>BS!BG14-BS!BH14</f>
        <v>15.23912142219649</v>
      </c>
      <c r="BI23" s="203">
        <f>BS!BH14-BS!BI14</f>
        <v>-17.263831560015888</v>
      </c>
      <c r="BJ23" s="203">
        <f>BS!BI14-BS!BJ14</f>
        <v>-16.210275180607084</v>
      </c>
      <c r="BK23" s="204">
        <f>BS!BJ14-BS!BK14</f>
        <v>2.7344408648039575</v>
      </c>
      <c r="BL23" s="19"/>
      <c r="BM23" s="203">
        <f t="shared" si="154"/>
        <v>7.9999999999999964</v>
      </c>
      <c r="BN23" s="203">
        <f t="shared" si="155"/>
        <v>-19</v>
      </c>
      <c r="BO23" s="203">
        <f t="shared" si="156"/>
        <v>-134</v>
      </c>
      <c r="BP23" s="203">
        <f t="shared" si="157"/>
        <v>64</v>
      </c>
      <c r="BQ23" s="203">
        <f t="shared" si="158"/>
        <v>-17</v>
      </c>
      <c r="BR23" s="203">
        <f t="shared" si="159"/>
        <v>-97</v>
      </c>
      <c r="BS23" s="203">
        <f t="shared" si="160"/>
        <v>115</v>
      </c>
      <c r="BT23" s="203">
        <f t="shared" si="161"/>
        <v>-20</v>
      </c>
      <c r="BU23" s="203">
        <f t="shared" si="162"/>
        <v>-11</v>
      </c>
      <c r="BV23" s="203">
        <f t="shared" si="163"/>
        <v>-120</v>
      </c>
      <c r="BW23" s="203">
        <f t="shared" si="78"/>
        <v>-111</v>
      </c>
      <c r="BX23" s="203">
        <f t="shared" si="164"/>
        <v>-166</v>
      </c>
      <c r="BY23" s="203">
        <f t="shared" si="165"/>
        <v>-140</v>
      </c>
      <c r="BZ23" s="203">
        <f t="shared" si="166"/>
        <v>-27.068168449301652</v>
      </c>
      <c r="CA23" s="203">
        <f t="shared" si="77"/>
        <v>-15.500544453622524</v>
      </c>
      <c r="CB23" s="2149">
        <f>BS!CA14-BS!CB14</f>
        <v>0</v>
      </c>
      <c r="CC23" s="2143"/>
      <c r="CD23" s="1873"/>
    </row>
    <row r="24" spans="1:82" ht="14.25" customHeight="1">
      <c r="A24" s="7"/>
      <c r="B24" s="47" t="str">
        <f t="shared" si="90"/>
        <v>Accounts payable</v>
      </c>
      <c r="C24" s="48"/>
      <c r="D24" s="205">
        <f t="shared" si="102"/>
        <v>67.138000000000005</v>
      </c>
      <c r="E24" s="203">
        <f t="shared" si="103"/>
        <v>70.65100000000001</v>
      </c>
      <c r="F24" s="203">
        <f t="shared" si="104"/>
        <v>234.42399999999995</v>
      </c>
      <c r="G24" s="204">
        <f t="shared" si="105"/>
        <v>146.78700000000001</v>
      </c>
      <c r="H24" s="205">
        <f t="shared" si="106"/>
        <v>78.85199999999999</v>
      </c>
      <c r="I24" s="203">
        <f t="shared" si="107"/>
        <v>-190.27099999999999</v>
      </c>
      <c r="J24" s="203">
        <f t="shared" si="108"/>
        <v>186.173</v>
      </c>
      <c r="K24" s="204">
        <f t="shared" si="109"/>
        <v>226.24599999999998</v>
      </c>
      <c r="L24" s="205">
        <f t="shared" si="110"/>
        <v>91</v>
      </c>
      <c r="M24" s="203">
        <f t="shared" si="111"/>
        <v>-353</v>
      </c>
      <c r="N24" s="203">
        <f t="shared" si="112"/>
        <v>192</v>
      </c>
      <c r="O24" s="204">
        <f t="shared" si="113"/>
        <v>-251</v>
      </c>
      <c r="P24" s="205">
        <f t="shared" si="114"/>
        <v>-30</v>
      </c>
      <c r="Q24" s="203">
        <f t="shared" si="115"/>
        <v>-224</v>
      </c>
      <c r="R24" s="203">
        <f t="shared" si="116"/>
        <v>-202</v>
      </c>
      <c r="S24" s="204">
        <f t="shared" si="117"/>
        <v>-266</v>
      </c>
      <c r="T24" s="205">
        <f t="shared" si="118"/>
        <v>-158</v>
      </c>
      <c r="U24" s="203">
        <f t="shared" si="119"/>
        <v>-23</v>
      </c>
      <c r="V24" s="203">
        <f t="shared" si="120"/>
        <v>39</v>
      </c>
      <c r="W24" s="204">
        <f t="shared" si="121"/>
        <v>37</v>
      </c>
      <c r="X24" s="205">
        <f t="shared" si="122"/>
        <v>-9</v>
      </c>
      <c r="Y24" s="203">
        <f t="shared" si="123"/>
        <v>-50</v>
      </c>
      <c r="Z24" s="203">
        <f t="shared" si="124"/>
        <v>-10</v>
      </c>
      <c r="AA24" s="204">
        <f t="shared" si="125"/>
        <v>-60</v>
      </c>
      <c r="AB24" s="203">
        <f t="shared" si="126"/>
        <v>-32</v>
      </c>
      <c r="AC24" s="203">
        <f t="shared" si="127"/>
        <v>-29</v>
      </c>
      <c r="AD24" s="203">
        <f t="shared" si="128"/>
        <v>4</v>
      </c>
      <c r="AE24" s="204">
        <f t="shared" si="129"/>
        <v>-91</v>
      </c>
      <c r="AF24" s="203">
        <f t="shared" si="130"/>
        <v>187</v>
      </c>
      <c r="AG24" s="203">
        <f t="shared" si="131"/>
        <v>-142</v>
      </c>
      <c r="AH24" s="203">
        <f t="shared" si="132"/>
        <v>-107</v>
      </c>
      <c r="AI24" s="204">
        <f t="shared" si="133"/>
        <v>-170</v>
      </c>
      <c r="AJ24" s="203">
        <f t="shared" si="134"/>
        <v>-12</v>
      </c>
      <c r="AK24" s="203">
        <f t="shared" si="135"/>
        <v>115</v>
      </c>
      <c r="AL24" s="203">
        <f t="shared" si="136"/>
        <v>248</v>
      </c>
      <c r="AM24" s="204">
        <f t="shared" si="137"/>
        <v>33</v>
      </c>
      <c r="AN24" s="203">
        <f t="shared" si="138"/>
        <v>-124</v>
      </c>
      <c r="AO24" s="203">
        <f t="shared" si="139"/>
        <v>124</v>
      </c>
      <c r="AP24" s="203">
        <f t="shared" si="140"/>
        <v>0</v>
      </c>
      <c r="AQ24" s="204">
        <f t="shared" si="141"/>
        <v>-224</v>
      </c>
      <c r="AR24" s="203">
        <f t="shared" si="142"/>
        <v>-124</v>
      </c>
      <c r="AS24" s="203">
        <f t="shared" si="143"/>
        <v>38</v>
      </c>
      <c r="AT24" s="203">
        <f t="shared" si="144"/>
        <v>12</v>
      </c>
      <c r="AU24" s="204">
        <f t="shared" si="145"/>
        <v>-82</v>
      </c>
      <c r="AV24" s="203">
        <f t="shared" si="146"/>
        <v>-27</v>
      </c>
      <c r="AW24" s="203">
        <f t="shared" si="147"/>
        <v>280</v>
      </c>
      <c r="AX24" s="203">
        <f t="shared" si="148"/>
        <v>-102</v>
      </c>
      <c r="AY24" s="204">
        <f t="shared" si="149"/>
        <v>-93</v>
      </c>
      <c r="AZ24" s="203">
        <f t="shared" si="150"/>
        <v>53</v>
      </c>
      <c r="BA24" s="203">
        <f t="shared" si="151"/>
        <v>-59</v>
      </c>
      <c r="BB24" s="203">
        <f t="shared" si="152"/>
        <v>6</v>
      </c>
      <c r="BC24" s="204">
        <f t="shared" si="153"/>
        <v>-75</v>
      </c>
      <c r="BD24" s="203">
        <f>BS!BD28-BS!BC28</f>
        <v>72</v>
      </c>
      <c r="BE24" s="203">
        <f>BS!BE28-BS!BD28</f>
        <v>16.924316845026624</v>
      </c>
      <c r="BF24" s="203">
        <f>BS!BF28-BS!BE28</f>
        <v>0.50169551815628211</v>
      </c>
      <c r="BG24" s="204">
        <f>BS!BG28-BS!BF28</f>
        <v>-28.732757924538362</v>
      </c>
      <c r="BH24" s="203">
        <f>BS!BH28-BS!BG28</f>
        <v>10.755444691200012</v>
      </c>
      <c r="BI24" s="203">
        <f>BS!BI28-BS!BH28</f>
        <v>17.745665226190567</v>
      </c>
      <c r="BJ24" s="203">
        <f>BS!BJ28-BS!BI28</f>
        <v>23.450864761278126</v>
      </c>
      <c r="BK24" s="204">
        <f>BS!BK28-BS!BJ28</f>
        <v>-3.9558244510829468</v>
      </c>
      <c r="BL24" s="19"/>
      <c r="BM24" s="203">
        <f t="shared" si="154"/>
        <v>519</v>
      </c>
      <c r="BN24" s="203">
        <f t="shared" si="155"/>
        <v>301</v>
      </c>
      <c r="BO24" s="203">
        <f t="shared" si="156"/>
        <v>-321</v>
      </c>
      <c r="BP24" s="203">
        <f t="shared" si="157"/>
        <v>-722</v>
      </c>
      <c r="BQ24" s="203">
        <f t="shared" si="158"/>
        <v>-105</v>
      </c>
      <c r="BR24" s="203">
        <f t="shared" si="159"/>
        <v>-129</v>
      </c>
      <c r="BS24" s="203">
        <f t="shared" si="160"/>
        <v>-148</v>
      </c>
      <c r="BT24" s="203">
        <f t="shared" si="161"/>
        <v>-232</v>
      </c>
      <c r="BU24" s="203">
        <f t="shared" si="162"/>
        <v>384</v>
      </c>
      <c r="BV24" s="203">
        <f t="shared" si="163"/>
        <v>-224</v>
      </c>
      <c r="BW24" s="203">
        <f t="shared" si="78"/>
        <v>-156</v>
      </c>
      <c r="BX24" s="203">
        <f t="shared" si="164"/>
        <v>58</v>
      </c>
      <c r="BY24" s="203">
        <f t="shared" si="165"/>
        <v>-75</v>
      </c>
      <c r="BZ24" s="203">
        <f t="shared" si="166"/>
        <v>60.693254438644544</v>
      </c>
      <c r="CA24" s="203">
        <f t="shared" si="77"/>
        <v>47.996150227585758</v>
      </c>
      <c r="CB24" s="2149">
        <f>BS!CB28-BS!CA28</f>
        <v>6.8429083981421854</v>
      </c>
      <c r="CC24" s="2143"/>
      <c r="CD24" s="1873"/>
    </row>
    <row r="25" spans="1:82" ht="14.25" customHeight="1">
      <c r="A25" s="7"/>
      <c r="B25" s="47" t="str">
        <f t="shared" si="90"/>
        <v>Accrued liabilities</v>
      </c>
      <c r="C25" s="48"/>
      <c r="D25" s="205">
        <f t="shared" si="102"/>
        <v>0</v>
      </c>
      <c r="E25" s="203">
        <f t="shared" si="103"/>
        <v>0</v>
      </c>
      <c r="F25" s="203">
        <f t="shared" si="104"/>
        <v>0</v>
      </c>
      <c r="G25" s="204">
        <f t="shared" si="105"/>
        <v>0</v>
      </c>
      <c r="H25" s="205">
        <f t="shared" si="106"/>
        <v>0</v>
      </c>
      <c r="I25" s="203">
        <f t="shared" si="107"/>
        <v>0</v>
      </c>
      <c r="J25" s="203">
        <f t="shared" si="108"/>
        <v>0</v>
      </c>
      <c r="K25" s="204">
        <f t="shared" si="109"/>
        <v>0</v>
      </c>
      <c r="L25" s="205">
        <f t="shared" si="110"/>
        <v>0</v>
      </c>
      <c r="M25" s="203">
        <f t="shared" si="111"/>
        <v>0</v>
      </c>
      <c r="N25" s="203">
        <f t="shared" si="112"/>
        <v>0</v>
      </c>
      <c r="O25" s="204">
        <f t="shared" si="113"/>
        <v>0</v>
      </c>
      <c r="P25" s="205">
        <f t="shared" si="114"/>
        <v>0</v>
      </c>
      <c r="Q25" s="203">
        <f t="shared" si="115"/>
        <v>0</v>
      </c>
      <c r="R25" s="203">
        <f t="shared" si="116"/>
        <v>0</v>
      </c>
      <c r="S25" s="204">
        <f t="shared" si="117"/>
        <v>0</v>
      </c>
      <c r="T25" s="205">
        <f t="shared" si="118"/>
        <v>0</v>
      </c>
      <c r="U25" s="203">
        <f t="shared" si="119"/>
        <v>0</v>
      </c>
      <c r="V25" s="203">
        <f t="shared" si="120"/>
        <v>0</v>
      </c>
      <c r="W25" s="204">
        <f t="shared" si="121"/>
        <v>0</v>
      </c>
      <c r="X25" s="205">
        <f t="shared" si="122"/>
        <v>0</v>
      </c>
      <c r="Y25" s="203">
        <f t="shared" si="123"/>
        <v>0</v>
      </c>
      <c r="Z25" s="203">
        <f t="shared" si="124"/>
        <v>0</v>
      </c>
      <c r="AA25" s="204">
        <f t="shared" si="125"/>
        <v>0</v>
      </c>
      <c r="AB25" s="203">
        <f t="shared" si="126"/>
        <v>-78</v>
      </c>
      <c r="AC25" s="203">
        <f t="shared" si="127"/>
        <v>-10</v>
      </c>
      <c r="AD25" s="203">
        <f t="shared" si="128"/>
        <v>34</v>
      </c>
      <c r="AE25" s="204">
        <f t="shared" si="129"/>
        <v>26</v>
      </c>
      <c r="AF25" s="203">
        <f t="shared" si="130"/>
        <v>0</v>
      </c>
      <c r="AG25" s="203">
        <f t="shared" si="131"/>
        <v>0</v>
      </c>
      <c r="AH25" s="203">
        <f t="shared" si="132"/>
        <v>0</v>
      </c>
      <c r="AI25" s="204">
        <f t="shared" si="133"/>
        <v>0</v>
      </c>
      <c r="AJ25" s="203">
        <f t="shared" si="134"/>
        <v>0</v>
      </c>
      <c r="AK25" s="203">
        <f t="shared" si="135"/>
        <v>0</v>
      </c>
      <c r="AL25" s="203">
        <f t="shared" si="136"/>
        <v>0</v>
      </c>
      <c r="AM25" s="204">
        <f t="shared" si="137"/>
        <v>0</v>
      </c>
      <c r="AN25" s="203">
        <f t="shared" si="138"/>
        <v>0</v>
      </c>
      <c r="AO25" s="203">
        <f t="shared" si="139"/>
        <v>0</v>
      </c>
      <c r="AP25" s="203">
        <f t="shared" si="140"/>
        <v>0</v>
      </c>
      <c r="AQ25" s="204">
        <f t="shared" si="141"/>
        <v>0</v>
      </c>
      <c r="AR25" s="203">
        <f t="shared" si="142"/>
        <v>0</v>
      </c>
      <c r="AS25" s="203">
        <f t="shared" si="143"/>
        <v>0</v>
      </c>
      <c r="AT25" s="203">
        <f t="shared" si="144"/>
        <v>0</v>
      </c>
      <c r="AU25" s="204">
        <f t="shared" si="145"/>
        <v>0</v>
      </c>
      <c r="AV25" s="203">
        <f t="shared" si="146"/>
        <v>0</v>
      </c>
      <c r="AW25" s="203">
        <f t="shared" si="147"/>
        <v>0</v>
      </c>
      <c r="AX25" s="203">
        <f t="shared" si="148"/>
        <v>0</v>
      </c>
      <c r="AY25" s="204">
        <f t="shared" si="149"/>
        <v>0</v>
      </c>
      <c r="AZ25" s="203">
        <f t="shared" si="150"/>
        <v>0</v>
      </c>
      <c r="BA25" s="203">
        <f t="shared" si="151"/>
        <v>0</v>
      </c>
      <c r="BB25" s="203">
        <f t="shared" si="152"/>
        <v>0</v>
      </c>
      <c r="BC25" s="204">
        <f t="shared" si="153"/>
        <v>0</v>
      </c>
      <c r="BD25" s="203">
        <f>BS!BD30-BS!BC30</f>
        <v>-56</v>
      </c>
      <c r="BE25" s="203">
        <f>BS!BE30-BS!BD30</f>
        <v>0</v>
      </c>
      <c r="BF25" s="203">
        <f>BS!BF30-BS!BE30</f>
        <v>0</v>
      </c>
      <c r="BG25" s="204">
        <f>BS!BG30-BS!BF30</f>
        <v>0</v>
      </c>
      <c r="BH25" s="203">
        <f>BS!BH30-BS!BG30</f>
        <v>0</v>
      </c>
      <c r="BI25" s="203">
        <f>BS!BI30-BS!BH30</f>
        <v>0</v>
      </c>
      <c r="BJ25" s="203">
        <f>BS!BJ30-BS!BI30</f>
        <v>0</v>
      </c>
      <c r="BK25" s="204">
        <f>BS!BK30-BS!BJ30</f>
        <v>0</v>
      </c>
      <c r="BL25" s="19"/>
      <c r="BM25" s="203">
        <f t="shared" si="154"/>
        <v>0</v>
      </c>
      <c r="BN25" s="203">
        <f t="shared" si="155"/>
        <v>0</v>
      </c>
      <c r="BO25" s="203">
        <f t="shared" si="156"/>
        <v>0</v>
      </c>
      <c r="BP25" s="203">
        <f t="shared" si="157"/>
        <v>0</v>
      </c>
      <c r="BQ25" s="203">
        <f t="shared" si="158"/>
        <v>0</v>
      </c>
      <c r="BR25" s="203">
        <f t="shared" si="159"/>
        <v>0</v>
      </c>
      <c r="BS25" s="203">
        <f t="shared" si="160"/>
        <v>-28</v>
      </c>
      <c r="BT25" s="203">
        <f t="shared" si="161"/>
        <v>0</v>
      </c>
      <c r="BU25" s="203">
        <f t="shared" si="162"/>
        <v>0</v>
      </c>
      <c r="BV25" s="203">
        <f t="shared" si="163"/>
        <v>0</v>
      </c>
      <c r="BW25" s="203">
        <f t="shared" si="78"/>
        <v>0</v>
      </c>
      <c r="BX25" s="203">
        <f t="shared" si="164"/>
        <v>0</v>
      </c>
      <c r="BY25" s="203">
        <f t="shared" si="165"/>
        <v>0</v>
      </c>
      <c r="BZ25" s="203">
        <f t="shared" si="166"/>
        <v>-56</v>
      </c>
      <c r="CA25" s="203">
        <f t="shared" si="77"/>
        <v>0</v>
      </c>
      <c r="CB25" s="2149">
        <f>BS!CB30-BS!CA30</f>
        <v>0</v>
      </c>
      <c r="CC25" s="2143"/>
      <c r="CD25" s="1873"/>
    </row>
    <row r="26" spans="1:82" ht="14.25" customHeight="1">
      <c r="A26" s="7"/>
      <c r="B26" s="47" t="str">
        <f t="shared" si="90"/>
        <v>Income taxes payable and receivable</v>
      </c>
      <c r="C26" s="48"/>
      <c r="D26" s="205">
        <f t="shared" si="102"/>
        <v>-27.366</v>
      </c>
      <c r="E26" s="203">
        <f t="shared" si="103"/>
        <v>-1.8079999999999998</v>
      </c>
      <c r="F26" s="203">
        <f t="shared" si="104"/>
        <v>-5.7259999999999991</v>
      </c>
      <c r="G26" s="204">
        <f t="shared" si="105"/>
        <v>5.8999999999999986</v>
      </c>
      <c r="H26" s="205">
        <f t="shared" si="106"/>
        <v>30.545000000000002</v>
      </c>
      <c r="I26" s="203">
        <f t="shared" si="107"/>
        <v>11.695999999999998</v>
      </c>
      <c r="J26" s="203">
        <f t="shared" si="108"/>
        <v>-27.777000000000001</v>
      </c>
      <c r="K26" s="204">
        <f t="shared" si="109"/>
        <v>-15.463999999999999</v>
      </c>
      <c r="L26" s="205">
        <f t="shared" si="110"/>
        <v>-19</v>
      </c>
      <c r="M26" s="203">
        <f t="shared" si="111"/>
        <v>-60</v>
      </c>
      <c r="N26" s="203">
        <f t="shared" si="112"/>
        <v>2</v>
      </c>
      <c r="O26" s="204">
        <f t="shared" si="113"/>
        <v>1</v>
      </c>
      <c r="P26" s="205">
        <f t="shared" si="114"/>
        <v>44</v>
      </c>
      <c r="Q26" s="203">
        <f t="shared" si="115"/>
        <v>6</v>
      </c>
      <c r="R26" s="203">
        <f t="shared" si="116"/>
        <v>0</v>
      </c>
      <c r="S26" s="204">
        <f t="shared" si="117"/>
        <v>-4</v>
      </c>
      <c r="T26" s="205">
        <f t="shared" si="118"/>
        <v>9</v>
      </c>
      <c r="U26" s="203">
        <f t="shared" si="119"/>
        <v>-8</v>
      </c>
      <c r="V26" s="203">
        <f t="shared" si="120"/>
        <v>-20</v>
      </c>
      <c r="W26" s="204">
        <f t="shared" si="121"/>
        <v>-9</v>
      </c>
      <c r="X26" s="205">
        <f t="shared" si="122"/>
        <v>1</v>
      </c>
      <c r="Y26" s="203">
        <f t="shared" si="123"/>
        <v>4</v>
      </c>
      <c r="Z26" s="203">
        <f t="shared" si="124"/>
        <v>-2</v>
      </c>
      <c r="AA26" s="204">
        <f t="shared" si="125"/>
        <v>-1</v>
      </c>
      <c r="AB26" s="203">
        <f t="shared" si="126"/>
        <v>0</v>
      </c>
      <c r="AC26" s="203">
        <f t="shared" si="127"/>
        <v>1</v>
      </c>
      <c r="AD26" s="203">
        <f t="shared" si="128"/>
        <v>-1</v>
      </c>
      <c r="AE26" s="204">
        <f t="shared" si="129"/>
        <v>0</v>
      </c>
      <c r="AF26" s="203">
        <f t="shared" si="130"/>
        <v>0</v>
      </c>
      <c r="AG26" s="203">
        <f t="shared" si="131"/>
        <v>0</v>
      </c>
      <c r="AH26" s="203">
        <f t="shared" si="132"/>
        <v>0</v>
      </c>
      <c r="AI26" s="204">
        <f t="shared" si="133"/>
        <v>0</v>
      </c>
      <c r="AJ26" s="203">
        <f t="shared" si="134"/>
        <v>0</v>
      </c>
      <c r="AK26" s="203">
        <f t="shared" si="135"/>
        <v>0</v>
      </c>
      <c r="AL26" s="203">
        <f t="shared" si="136"/>
        <v>0</v>
      </c>
      <c r="AM26" s="204">
        <f t="shared" si="137"/>
        <v>0</v>
      </c>
      <c r="AN26" s="203">
        <f t="shared" si="138"/>
        <v>0</v>
      </c>
      <c r="AO26" s="203">
        <f t="shared" si="139"/>
        <v>0</v>
      </c>
      <c r="AP26" s="203">
        <f t="shared" si="140"/>
        <v>0</v>
      </c>
      <c r="AQ26" s="204">
        <f t="shared" si="141"/>
        <v>0</v>
      </c>
      <c r="AR26" s="203">
        <f t="shared" si="142"/>
        <v>0</v>
      </c>
      <c r="AS26" s="203">
        <f t="shared" si="143"/>
        <v>0</v>
      </c>
      <c r="AT26" s="203">
        <f t="shared" si="144"/>
        <v>0</v>
      </c>
      <c r="AU26" s="204">
        <f t="shared" si="145"/>
        <v>0</v>
      </c>
      <c r="AV26" s="203">
        <f t="shared" si="146"/>
        <v>0</v>
      </c>
      <c r="AW26" s="203">
        <f t="shared" si="147"/>
        <v>0</v>
      </c>
      <c r="AX26" s="203">
        <f t="shared" si="148"/>
        <v>0</v>
      </c>
      <c r="AY26" s="204">
        <f t="shared" si="149"/>
        <v>0</v>
      </c>
      <c r="AZ26" s="203">
        <f t="shared" si="150"/>
        <v>0</v>
      </c>
      <c r="BA26" s="203">
        <f t="shared" si="151"/>
        <v>0</v>
      </c>
      <c r="BB26" s="203">
        <f t="shared" si="152"/>
        <v>0</v>
      </c>
      <c r="BC26" s="204">
        <f t="shared" si="153"/>
        <v>0</v>
      </c>
      <c r="BD26" s="203">
        <f>BS!BC13-BS!BD13+BS!BD33-BS!BC33+BS!BD38-BS!BC38</f>
        <v>0</v>
      </c>
      <c r="BE26" s="203">
        <f>BS!BD13-BS!BE13+BS!BE33-BS!BD33+BS!BE38-BS!BD38</f>
        <v>0</v>
      </c>
      <c r="BF26" s="203">
        <f>BS!BE13-BS!BF13+BS!BF33-BS!BE33+BS!BF38-BS!BE38</f>
        <v>0</v>
      </c>
      <c r="BG26" s="204">
        <f>BS!BF13-BS!BG13+BS!BG33-BS!BF33+BS!BG38-BS!BF38</f>
        <v>0</v>
      </c>
      <c r="BH26" s="203">
        <f>BS!BG13-BS!BH13+BS!BH33-BS!BG33+BS!BH38-BS!BG38</f>
        <v>0</v>
      </c>
      <c r="BI26" s="203">
        <f>BS!BH13-BS!BI13+BS!BI33-BS!BH33+BS!BI38-BS!BH38</f>
        <v>0</v>
      </c>
      <c r="BJ26" s="203">
        <f>BS!BI13-BS!BJ13+BS!BJ33-BS!BI33+BS!BJ38-BS!BI38</f>
        <v>0</v>
      </c>
      <c r="BK26" s="204">
        <f>BS!BJ13-BS!BK13+BS!BK33-BS!BJ33+BS!BK38-BS!BJ38</f>
        <v>0</v>
      </c>
      <c r="BL26" s="19"/>
      <c r="BM26" s="203">
        <f t="shared" si="154"/>
        <v>-29</v>
      </c>
      <c r="BN26" s="203">
        <f t="shared" si="155"/>
        <v>-1</v>
      </c>
      <c r="BO26" s="203">
        <f t="shared" si="156"/>
        <v>-76</v>
      </c>
      <c r="BP26" s="203">
        <f t="shared" si="157"/>
        <v>46</v>
      </c>
      <c r="BQ26" s="203">
        <f t="shared" si="158"/>
        <v>-28</v>
      </c>
      <c r="BR26" s="203">
        <f t="shared" si="159"/>
        <v>2</v>
      </c>
      <c r="BS26" s="203">
        <f t="shared" si="160"/>
        <v>0</v>
      </c>
      <c r="BT26" s="203">
        <f t="shared" si="161"/>
        <v>0</v>
      </c>
      <c r="BU26" s="203">
        <f t="shared" si="162"/>
        <v>0</v>
      </c>
      <c r="BV26" s="203">
        <f t="shared" si="163"/>
        <v>0</v>
      </c>
      <c r="BW26" s="203">
        <f t="shared" si="78"/>
        <v>0</v>
      </c>
      <c r="BX26" s="203">
        <f t="shared" si="164"/>
        <v>0</v>
      </c>
      <c r="BY26" s="203">
        <f t="shared" si="165"/>
        <v>0</v>
      </c>
      <c r="BZ26" s="203">
        <f t="shared" si="166"/>
        <v>0</v>
      </c>
      <c r="CA26" s="203">
        <f t="shared" si="77"/>
        <v>0</v>
      </c>
      <c r="CB26" s="2149">
        <f>BS!CA13-BS!CB13+BS!CB33-BS!CA33+BS!CB38-BS!CA38</f>
        <v>0</v>
      </c>
      <c r="CC26" s="2143"/>
      <c r="CD26" s="1873"/>
    </row>
    <row r="27" spans="1:82" ht="14.25" customHeight="1">
      <c r="A27" s="7"/>
      <c r="B27" s="47" t="s">
        <v>588</v>
      </c>
      <c r="C27" s="48"/>
      <c r="D27" s="205"/>
      <c r="E27" s="203"/>
      <c r="F27" s="203"/>
      <c r="G27" s="204"/>
      <c r="H27" s="205"/>
      <c r="I27" s="203"/>
      <c r="J27" s="203"/>
      <c r="K27" s="204"/>
      <c r="L27" s="205"/>
      <c r="M27" s="203"/>
      <c r="N27" s="203"/>
      <c r="O27" s="204"/>
      <c r="P27" s="205"/>
      <c r="Q27" s="203"/>
      <c r="R27" s="203"/>
      <c r="S27" s="204"/>
      <c r="T27" s="205"/>
      <c r="U27" s="203"/>
      <c r="V27" s="203"/>
      <c r="W27" s="204"/>
      <c r="X27" s="205"/>
      <c r="Y27" s="203"/>
      <c r="Z27" s="203"/>
      <c r="AA27" s="204"/>
      <c r="AB27" s="203"/>
      <c r="AC27" s="203"/>
      <c r="AD27" s="203"/>
      <c r="AE27" s="204"/>
      <c r="AF27" s="203"/>
      <c r="AG27" s="203"/>
      <c r="AH27" s="203"/>
      <c r="AI27" s="204"/>
      <c r="AJ27" s="203">
        <v>0</v>
      </c>
      <c r="AK27" s="203">
        <v>0</v>
      </c>
      <c r="AL27" s="203">
        <v>0</v>
      </c>
      <c r="AM27" s="204">
        <v>0</v>
      </c>
      <c r="AN27" s="203">
        <v>0</v>
      </c>
      <c r="AO27" s="203">
        <v>0</v>
      </c>
      <c r="AP27" s="203">
        <v>0</v>
      </c>
      <c r="AQ27" s="204">
        <v>0</v>
      </c>
      <c r="AR27" s="203">
        <f t="shared" ref="AR27:AR29" si="167">AR120</f>
        <v>68</v>
      </c>
      <c r="AS27" s="203">
        <f>+AS120-AR120</f>
        <v>26</v>
      </c>
      <c r="AT27" s="203">
        <f t="shared" ref="AT27" si="168">AT120-AS27-AR27</f>
        <v>3</v>
      </c>
      <c r="AU27" s="204">
        <f t="shared" si="145"/>
        <v>-13</v>
      </c>
      <c r="AV27" s="203">
        <f t="shared" si="146"/>
        <v>7</v>
      </c>
      <c r="AW27" s="203">
        <f>+AW120-AV120</f>
        <v>14</v>
      </c>
      <c r="AX27" s="203">
        <f t="shared" si="148"/>
        <v>-1</v>
      </c>
      <c r="AY27" s="204">
        <f t="shared" si="149"/>
        <v>-19</v>
      </c>
      <c r="AZ27" s="203">
        <f t="shared" si="150"/>
        <v>1</v>
      </c>
      <c r="BA27" s="203">
        <f>+BA120-AZ120</f>
        <v>21</v>
      </c>
      <c r="BB27" s="203">
        <f t="shared" si="152"/>
        <v>-16</v>
      </c>
      <c r="BC27" s="204">
        <f t="shared" si="153"/>
        <v>-7</v>
      </c>
      <c r="BD27" s="203">
        <v>0</v>
      </c>
      <c r="BE27" s="203">
        <v>0</v>
      </c>
      <c r="BF27" s="203">
        <v>0</v>
      </c>
      <c r="BG27" s="204">
        <v>0</v>
      </c>
      <c r="BH27" s="203">
        <v>0</v>
      </c>
      <c r="BI27" s="203">
        <v>0</v>
      </c>
      <c r="BJ27" s="203">
        <v>0</v>
      </c>
      <c r="BK27" s="204">
        <v>0</v>
      </c>
      <c r="BL27" s="19"/>
      <c r="BM27" s="203"/>
      <c r="BN27" s="203"/>
      <c r="BO27" s="203"/>
      <c r="BP27" s="203"/>
      <c r="BQ27" s="203"/>
      <c r="BR27" s="203"/>
      <c r="BS27" s="203"/>
      <c r="BT27" s="203"/>
      <c r="BU27" s="203">
        <f t="shared" ref="BU27" si="169">SUM(AJ27:AM27)</f>
        <v>0</v>
      </c>
      <c r="BV27" s="203">
        <f t="shared" ref="BV27" si="170">SUM(AN27:AQ27)</f>
        <v>0</v>
      </c>
      <c r="BW27" s="203">
        <f t="shared" ref="BW27" si="171">SUM(AR27:AU27)</f>
        <v>84</v>
      </c>
      <c r="BX27" s="203">
        <f t="shared" si="164"/>
        <v>1</v>
      </c>
      <c r="BY27" s="203">
        <f t="shared" si="165"/>
        <v>-1</v>
      </c>
      <c r="BZ27" s="203">
        <f t="shared" si="166"/>
        <v>0</v>
      </c>
      <c r="CA27" s="203">
        <f t="shared" si="77"/>
        <v>0</v>
      </c>
      <c r="CB27" s="2149">
        <v>0</v>
      </c>
      <c r="CC27" s="2143"/>
      <c r="CD27" s="1873"/>
    </row>
    <row r="28" spans="1:82" ht="14.25" customHeight="1">
      <c r="A28" s="7"/>
      <c r="B28" s="47" t="s">
        <v>398</v>
      </c>
      <c r="C28" s="48"/>
      <c r="D28" s="205"/>
      <c r="E28" s="203"/>
      <c r="F28" s="203"/>
      <c r="G28" s="204"/>
      <c r="H28" s="205"/>
      <c r="I28" s="203"/>
      <c r="J28" s="203"/>
      <c r="K28" s="204"/>
      <c r="L28" s="205"/>
      <c r="M28" s="203"/>
      <c r="N28" s="203"/>
      <c r="O28" s="204"/>
      <c r="P28" s="205"/>
      <c r="Q28" s="203"/>
      <c r="R28" s="203"/>
      <c r="S28" s="204"/>
      <c r="T28" s="205"/>
      <c r="U28" s="203"/>
      <c r="V28" s="203"/>
      <c r="W28" s="204"/>
      <c r="X28" s="205"/>
      <c r="Y28" s="203"/>
      <c r="Z28" s="203"/>
      <c r="AA28" s="204"/>
      <c r="AB28" s="203"/>
      <c r="AC28" s="203"/>
      <c r="AD28" s="203"/>
      <c r="AE28" s="204"/>
      <c r="AF28" s="203">
        <f t="shared" ref="AF28:AF29" si="172">AF121</f>
        <v>101</v>
      </c>
      <c r="AG28" s="203">
        <f>+AG121-AF121</f>
        <v>383</v>
      </c>
      <c r="AH28" s="203">
        <f>AH121-AG28-AF28</f>
        <v>-213</v>
      </c>
      <c r="AI28" s="204">
        <f>AI121-AH28-AG28-AF28</f>
        <v>6</v>
      </c>
      <c r="AJ28" s="203">
        <f t="shared" ref="AJ28:AJ29" si="173">AJ121</f>
        <v>-74</v>
      </c>
      <c r="AK28" s="203">
        <f>+AK121-AJ121</f>
        <v>34</v>
      </c>
      <c r="AL28" s="203">
        <f>AL121-AK28-AJ28</f>
        <v>81</v>
      </c>
      <c r="AM28" s="204">
        <f>AM121-AL28-AK28-AJ28</f>
        <v>-130</v>
      </c>
      <c r="AN28" s="203">
        <f t="shared" ref="AN28:AN29" si="174">AN121</f>
        <v>-151</v>
      </c>
      <c r="AO28" s="203">
        <f>+AO121-AN121</f>
        <v>82</v>
      </c>
      <c r="AP28" s="203">
        <f>AP121-AO28-AN28</f>
        <v>22</v>
      </c>
      <c r="AQ28" s="204">
        <f>AQ121-AP28-AO28-AN28</f>
        <v>-106</v>
      </c>
      <c r="AR28" s="203">
        <f t="shared" si="167"/>
        <v>-97</v>
      </c>
      <c r="AS28" s="203">
        <f>+AS121-AR121</f>
        <v>76</v>
      </c>
      <c r="AT28" s="203">
        <f>AT121-AS28-AR28</f>
        <v>30</v>
      </c>
      <c r="AU28" s="204">
        <f>AU121-AT28-AS28-AR28</f>
        <v>18</v>
      </c>
      <c r="AV28" s="203">
        <f t="shared" si="146"/>
        <v>-12</v>
      </c>
      <c r="AW28" s="203">
        <f>+AW121-AV121</f>
        <v>-139</v>
      </c>
      <c r="AX28" s="203">
        <f>AX121-AW28-AV28</f>
        <v>190</v>
      </c>
      <c r="AY28" s="204">
        <f>AY121-AX28-AW28-AV28</f>
        <v>99</v>
      </c>
      <c r="AZ28" s="203">
        <f t="shared" si="150"/>
        <v>-54</v>
      </c>
      <c r="BA28" s="203">
        <f>+BA121-AZ121</f>
        <v>45</v>
      </c>
      <c r="BB28" s="203">
        <f>BB121-BA28-AZ28</f>
        <v>70</v>
      </c>
      <c r="BC28" s="204">
        <f>BC121-BB28-BA28-AZ28</f>
        <v>-32</v>
      </c>
      <c r="BD28" s="203">
        <v>0</v>
      </c>
      <c r="BE28" s="203">
        <v>0</v>
      </c>
      <c r="BF28" s="203">
        <v>0</v>
      </c>
      <c r="BG28" s="207">
        <v>0</v>
      </c>
      <c r="BH28" s="203">
        <v>0</v>
      </c>
      <c r="BI28" s="203">
        <v>0</v>
      </c>
      <c r="BJ28" s="203">
        <v>0</v>
      </c>
      <c r="BK28" s="207">
        <v>0</v>
      </c>
      <c r="BL28" s="19"/>
      <c r="BM28" s="203"/>
      <c r="BN28" s="203"/>
      <c r="BO28" s="203"/>
      <c r="BP28" s="203"/>
      <c r="BQ28" s="203"/>
      <c r="BR28" s="203">
        <f>SUM(X28:AA28)</f>
        <v>0</v>
      </c>
      <c r="BS28" s="203">
        <f>SUM(AB28:AE28)</f>
        <v>0</v>
      </c>
      <c r="BT28" s="203">
        <f>SUM(AF28:AI28)</f>
        <v>277</v>
      </c>
      <c r="BU28" s="203">
        <f>SUM(AJ28:AM28)</f>
        <v>-89</v>
      </c>
      <c r="BV28" s="203">
        <f t="shared" si="163"/>
        <v>-153</v>
      </c>
      <c r="BW28" s="203">
        <f>SUM(AR28:AU28)</f>
        <v>27</v>
      </c>
      <c r="BX28" s="203">
        <f t="shared" si="164"/>
        <v>138</v>
      </c>
      <c r="BY28" s="203">
        <f t="shared" si="165"/>
        <v>29</v>
      </c>
      <c r="BZ28" s="203">
        <f t="shared" si="166"/>
        <v>0</v>
      </c>
      <c r="CA28" s="203">
        <f t="shared" si="77"/>
        <v>0</v>
      </c>
      <c r="CB28" s="2150">
        <v>0</v>
      </c>
      <c r="CC28" s="2143"/>
      <c r="CD28" s="1873"/>
    </row>
    <row r="29" spans="1:82" ht="14.25" customHeight="1">
      <c r="A29" s="7"/>
      <c r="B29" s="47" t="s">
        <v>228</v>
      </c>
      <c r="C29" s="48"/>
      <c r="D29" s="205">
        <f>D122</f>
        <v>-27.303000000000001</v>
      </c>
      <c r="E29" s="203">
        <f>E122-D29</f>
        <v>0.90700000000000003</v>
      </c>
      <c r="F29" s="203">
        <f>F122-E29-D29</f>
        <v>8.3539999999999992</v>
      </c>
      <c r="G29" s="204">
        <f>G122-F29-E29-D29</f>
        <v>-9.9579999999999949</v>
      </c>
      <c r="H29" s="205">
        <f>H122</f>
        <v>3.0470000000000002</v>
      </c>
      <c r="I29" s="203">
        <f>I122-H29</f>
        <v>-64.236000000000004</v>
      </c>
      <c r="J29" s="203">
        <f>J122-I29-H29</f>
        <v>-108.32199999999999</v>
      </c>
      <c r="K29" s="204">
        <f>K122-J29-I29-H29</f>
        <v>-5.4890000000000079</v>
      </c>
      <c r="L29" s="205">
        <f>L122</f>
        <v>-67</v>
      </c>
      <c r="M29" s="203">
        <f>M122-L29</f>
        <v>2</v>
      </c>
      <c r="N29" s="203">
        <f>N122-M29-L29</f>
        <v>71</v>
      </c>
      <c r="O29" s="204">
        <f>O122-N29-M29-L29</f>
        <v>45</v>
      </c>
      <c r="P29" s="205">
        <f>P122</f>
        <v>-5</v>
      </c>
      <c r="Q29" s="203">
        <f>Q122-P29</f>
        <v>-8</v>
      </c>
      <c r="R29" s="203">
        <f>R122-Q29-P29</f>
        <v>11</v>
      </c>
      <c r="S29" s="204">
        <f>S122-R29-Q29-P29</f>
        <v>-39</v>
      </c>
      <c r="T29" s="205">
        <f>T122</f>
        <v>-1</v>
      </c>
      <c r="U29" s="203">
        <f>U122-T29</f>
        <v>-9</v>
      </c>
      <c r="V29" s="203">
        <f>V122-U29-T29</f>
        <v>-5</v>
      </c>
      <c r="W29" s="204">
        <f>W122-V29-U29-T29</f>
        <v>-3</v>
      </c>
      <c r="X29" s="205">
        <f>X122</f>
        <v>13</v>
      </c>
      <c r="Y29" s="203">
        <f>Y122-X29</f>
        <v>1</v>
      </c>
      <c r="Z29" s="203">
        <f>Z122-Y29-X29</f>
        <v>-1</v>
      </c>
      <c r="AA29" s="204">
        <f>AA122-Z29-Y29-X29</f>
        <v>-2</v>
      </c>
      <c r="AB29" s="203">
        <f>AB122</f>
        <v>10</v>
      </c>
      <c r="AC29" s="203">
        <f>AC122-AB29</f>
        <v>-9</v>
      </c>
      <c r="AD29" s="203">
        <f>AD122-AC29-AB29</f>
        <v>-4</v>
      </c>
      <c r="AE29" s="204">
        <f>AE122-AD29-AC29-AB29</f>
        <v>2</v>
      </c>
      <c r="AF29" s="203">
        <f t="shared" si="172"/>
        <v>267</v>
      </c>
      <c r="AG29" s="203">
        <f>AG122-AF29</f>
        <v>-285</v>
      </c>
      <c r="AH29" s="203">
        <f>AH122-AG29-AF29</f>
        <v>5</v>
      </c>
      <c r="AI29" s="204">
        <f>AI122-AH29-AG29-AF29</f>
        <v>1</v>
      </c>
      <c r="AJ29" s="203">
        <f t="shared" si="173"/>
        <v>6</v>
      </c>
      <c r="AK29" s="203">
        <f>AK122-AJ29</f>
        <v>-39</v>
      </c>
      <c r="AL29" s="203">
        <f>AL122-AK29-AJ29</f>
        <v>-34</v>
      </c>
      <c r="AM29" s="204">
        <f>AM122-AL29-AK29-AJ29</f>
        <v>-143</v>
      </c>
      <c r="AN29" s="203">
        <f t="shared" si="174"/>
        <v>0</v>
      </c>
      <c r="AO29" s="203">
        <f>AO122-AN29</f>
        <v>-126</v>
      </c>
      <c r="AP29" s="203">
        <f>AP122-AO29-AN29</f>
        <v>26</v>
      </c>
      <c r="AQ29" s="204">
        <f>AQ122-AP29-AO29-AN29</f>
        <v>347</v>
      </c>
      <c r="AR29" s="203">
        <f t="shared" si="167"/>
        <v>0</v>
      </c>
      <c r="AS29" s="203">
        <f>AS122-AR29</f>
        <v>0</v>
      </c>
      <c r="AT29" s="203">
        <f>AT122-AS29-AR29</f>
        <v>0</v>
      </c>
      <c r="AU29" s="204">
        <f>AU122-AT29-AS29-AR29</f>
        <v>0</v>
      </c>
      <c r="AV29" s="203">
        <f t="shared" si="146"/>
        <v>0</v>
      </c>
      <c r="AW29" s="203">
        <f>AW122-AV29</f>
        <v>150</v>
      </c>
      <c r="AX29" s="203">
        <f>AX122-AW29-AV29</f>
        <v>-6</v>
      </c>
      <c r="AY29" s="204">
        <f>AY122-AX29-AW29-AV29</f>
        <v>-144</v>
      </c>
      <c r="AZ29" s="203">
        <f t="shared" si="150"/>
        <v>0</v>
      </c>
      <c r="BA29" s="203">
        <f>BA122-AZ29</f>
        <v>0</v>
      </c>
      <c r="BB29" s="203">
        <f>BB122-BA29-AZ29</f>
        <v>0</v>
      </c>
      <c r="BC29" s="204">
        <f>BC122-BB29-BA29-AZ29</f>
        <v>0</v>
      </c>
      <c r="BD29" s="203">
        <f t="shared" ref="BD29" si="175">BD122</f>
        <v>26</v>
      </c>
      <c r="BE29" s="203">
        <v>0</v>
      </c>
      <c r="BF29" s="203">
        <v>0</v>
      </c>
      <c r="BG29" s="207">
        <v>0</v>
      </c>
      <c r="BH29" s="203">
        <v>0</v>
      </c>
      <c r="BI29" s="203">
        <v>0</v>
      </c>
      <c r="BJ29" s="203">
        <v>0</v>
      </c>
      <c r="BK29" s="207">
        <v>0</v>
      </c>
      <c r="BL29" s="19"/>
      <c r="BM29" s="203">
        <f t="shared" si="154"/>
        <v>-27.999999999999996</v>
      </c>
      <c r="BN29" s="203">
        <f t="shared" si="155"/>
        <v>-175</v>
      </c>
      <c r="BO29" s="203">
        <f t="shared" si="156"/>
        <v>51</v>
      </c>
      <c r="BP29" s="203">
        <f t="shared" si="157"/>
        <v>-41</v>
      </c>
      <c r="BQ29" s="203">
        <f t="shared" si="158"/>
        <v>-18</v>
      </c>
      <c r="BR29" s="203">
        <f t="shared" si="159"/>
        <v>11</v>
      </c>
      <c r="BS29" s="203">
        <f t="shared" si="160"/>
        <v>-1</v>
      </c>
      <c r="BT29" s="203">
        <f t="shared" si="161"/>
        <v>-12</v>
      </c>
      <c r="BU29" s="203">
        <f t="shared" si="162"/>
        <v>-210</v>
      </c>
      <c r="BV29" s="203">
        <f t="shared" si="163"/>
        <v>247</v>
      </c>
      <c r="BW29" s="203">
        <f t="shared" si="78"/>
        <v>0</v>
      </c>
      <c r="BX29" s="203">
        <f t="shared" si="164"/>
        <v>0</v>
      </c>
      <c r="BY29" s="203">
        <f t="shared" si="165"/>
        <v>0</v>
      </c>
      <c r="BZ29" s="203">
        <f t="shared" si="166"/>
        <v>26</v>
      </c>
      <c r="CA29" s="203">
        <f t="shared" si="77"/>
        <v>0</v>
      </c>
      <c r="CB29" s="2149">
        <f>BS!CB31-BS!CA31+BS!CB32-BS!CA32+BS!CB34-BS!CA34</f>
        <v>0</v>
      </c>
      <c r="CC29" s="2143"/>
      <c r="CD29" s="1873"/>
    </row>
    <row r="30" spans="1:82" ht="14.25" customHeight="1" thickBot="1">
      <c r="A30" s="7"/>
      <c r="B30" s="209" t="str">
        <f>B123</f>
        <v>Net cash provided by operating activities</v>
      </c>
      <c r="C30" s="210"/>
      <c r="D30" s="212">
        <f t="shared" ref="D30:AS30" si="176">D8+SUM(D10:D19)+SUM(D21:D29)</f>
        <v>251.32699999999997</v>
      </c>
      <c r="E30" s="211">
        <f t="shared" si="176"/>
        <v>265.16299999999995</v>
      </c>
      <c r="F30" s="211">
        <f t="shared" si="176"/>
        <v>429.08600000000013</v>
      </c>
      <c r="G30" s="213">
        <f t="shared" si="176"/>
        <v>537.42399999999964</v>
      </c>
      <c r="H30" s="212">
        <f t="shared" si="176"/>
        <v>566.34899999999993</v>
      </c>
      <c r="I30" s="211">
        <f t="shared" si="176"/>
        <v>218.85000000000002</v>
      </c>
      <c r="J30" s="211">
        <f t="shared" si="176"/>
        <v>230.18500000000017</v>
      </c>
      <c r="K30" s="213">
        <f t="shared" si="176"/>
        <v>271.6160000000001</v>
      </c>
      <c r="L30" s="212">
        <f t="shared" si="176"/>
        <v>41</v>
      </c>
      <c r="M30" s="211">
        <f t="shared" si="176"/>
        <v>-635</v>
      </c>
      <c r="N30" s="211">
        <f t="shared" si="176"/>
        <v>223</v>
      </c>
      <c r="O30" s="213">
        <f t="shared" si="176"/>
        <v>61</v>
      </c>
      <c r="P30" s="212">
        <f t="shared" si="176"/>
        <v>16</v>
      </c>
      <c r="Q30" s="211">
        <f t="shared" si="176"/>
        <v>-242</v>
      </c>
      <c r="R30" s="211">
        <f t="shared" si="176"/>
        <v>-216</v>
      </c>
      <c r="S30" s="213">
        <f t="shared" si="176"/>
        <v>-250</v>
      </c>
      <c r="T30" s="212">
        <f t="shared" si="176"/>
        <v>-391</v>
      </c>
      <c r="U30" s="211">
        <f t="shared" si="176"/>
        <v>-144</v>
      </c>
      <c r="V30" s="211">
        <f t="shared" si="176"/>
        <v>-142</v>
      </c>
      <c r="W30" s="213">
        <f t="shared" si="176"/>
        <v>1150</v>
      </c>
      <c r="X30" s="212">
        <f t="shared" si="176"/>
        <v>23</v>
      </c>
      <c r="Y30" s="211">
        <f t="shared" si="176"/>
        <v>-98</v>
      </c>
      <c r="Z30" s="211">
        <f t="shared" si="176"/>
        <v>-124</v>
      </c>
      <c r="AA30" s="213">
        <f t="shared" si="176"/>
        <v>-213</v>
      </c>
      <c r="AB30" s="211">
        <f t="shared" si="176"/>
        <v>-168</v>
      </c>
      <c r="AC30" s="211">
        <f t="shared" si="176"/>
        <v>174</v>
      </c>
      <c r="AD30" s="211">
        <f t="shared" si="176"/>
        <v>189</v>
      </c>
      <c r="AE30" s="213">
        <f t="shared" si="176"/>
        <v>187</v>
      </c>
      <c r="AF30" s="211">
        <f t="shared" si="176"/>
        <v>107</v>
      </c>
      <c r="AG30" s="211">
        <f t="shared" si="176"/>
        <v>81</v>
      </c>
      <c r="AH30" s="211">
        <f t="shared" si="176"/>
        <v>-240</v>
      </c>
      <c r="AI30" s="213">
        <f t="shared" si="176"/>
        <v>-286</v>
      </c>
      <c r="AJ30" s="211">
        <f t="shared" si="176"/>
        <v>-155</v>
      </c>
      <c r="AK30" s="211">
        <f t="shared" si="176"/>
        <v>-35</v>
      </c>
      <c r="AL30" s="211">
        <f t="shared" si="176"/>
        <v>21</v>
      </c>
      <c r="AM30" s="213">
        <f t="shared" si="176"/>
        <v>21</v>
      </c>
      <c r="AN30" s="211">
        <f t="shared" si="176"/>
        <v>-204</v>
      </c>
      <c r="AO30" s="211">
        <f t="shared" si="176"/>
        <v>-28</v>
      </c>
      <c r="AP30" s="211">
        <f t="shared" si="176"/>
        <v>18</v>
      </c>
      <c r="AQ30" s="213">
        <f t="shared" si="176"/>
        <v>116</v>
      </c>
      <c r="AR30" s="211">
        <f t="shared" si="176"/>
        <v>-173</v>
      </c>
      <c r="AS30" s="211">
        <f t="shared" si="176"/>
        <v>-58</v>
      </c>
      <c r="AT30" s="211">
        <f t="shared" ref="AT30" si="177">AT8+SUM(AT10:AT19)+SUM(AT21:AT29)</f>
        <v>-59</v>
      </c>
      <c r="AU30" s="213">
        <f t="shared" ref="AU30" si="178">AU8+SUM(AU10:AU19)+SUM(AU21:AU29)</f>
        <v>64</v>
      </c>
      <c r="AV30" s="211">
        <f t="shared" ref="AV30" si="179">AV8+SUM(AV10:AV19)+SUM(AV21:AV29)</f>
        <v>-42</v>
      </c>
      <c r="AW30" s="211">
        <f t="shared" ref="AW30" si="180">AW8+SUM(AW10:AW19)+SUM(AW21:AW29)</f>
        <v>-85</v>
      </c>
      <c r="AX30" s="211">
        <f t="shared" ref="AX30:BA30" si="181">AX8+SUM(AX10:AX19)+SUM(AX21:AX29)</f>
        <v>29</v>
      </c>
      <c r="AY30" s="213">
        <f t="shared" si="181"/>
        <v>188</v>
      </c>
      <c r="AZ30" s="211">
        <f t="shared" si="181"/>
        <v>-299</v>
      </c>
      <c r="BA30" s="211">
        <f t="shared" si="181"/>
        <v>-82</v>
      </c>
      <c r="BB30" s="211">
        <f t="shared" ref="BB30:BC30" si="182">BB8+SUM(BB10:BB19)+SUM(BB21:BB29)</f>
        <v>66</v>
      </c>
      <c r="BC30" s="213">
        <f t="shared" si="182"/>
        <v>383</v>
      </c>
      <c r="BD30" s="211">
        <f t="shared" ref="BD30:BG30" si="183">BD8+SUM(BD10:BD19)+SUM(BD21:BD29)</f>
        <v>-86</v>
      </c>
      <c r="BE30" s="211">
        <f t="shared" si="183"/>
        <v>155.41166016181364</v>
      </c>
      <c r="BF30" s="211">
        <f t="shared" si="183"/>
        <v>171.13888577934631</v>
      </c>
      <c r="BG30" s="213">
        <f t="shared" si="183"/>
        <v>153.34757179882376</v>
      </c>
      <c r="BH30" s="211">
        <f t="shared" ref="BH30:BK30" si="184">BH8+SUM(BH10:BH19)+SUM(BH21:BH29)</f>
        <v>194.33843638368529</v>
      </c>
      <c r="BI30" s="211">
        <f t="shared" si="184"/>
        <v>139.68910833712539</v>
      </c>
      <c r="BJ30" s="211">
        <f t="shared" si="184"/>
        <v>110.2456483794418</v>
      </c>
      <c r="BK30" s="213">
        <f t="shared" si="184"/>
        <v>169.49714236026975</v>
      </c>
      <c r="BL30" s="19"/>
      <c r="BM30" s="211">
        <f t="shared" ref="BM30:BY30" si="185">BM8+SUM(BM10:BM19)+SUM(BM21:BM29)</f>
        <v>1482.9999999999998</v>
      </c>
      <c r="BN30" s="211">
        <f t="shared" si="185"/>
        <v>1287.0000000000002</v>
      </c>
      <c r="BO30" s="211">
        <f t="shared" si="185"/>
        <v>-310</v>
      </c>
      <c r="BP30" s="211">
        <f t="shared" si="185"/>
        <v>-692</v>
      </c>
      <c r="BQ30" s="211">
        <f t="shared" si="185"/>
        <v>473</v>
      </c>
      <c r="BR30" s="211">
        <f t="shared" si="185"/>
        <v>-412</v>
      </c>
      <c r="BS30" s="211">
        <f t="shared" si="185"/>
        <v>382</v>
      </c>
      <c r="BT30" s="211">
        <f t="shared" si="185"/>
        <v>-338</v>
      </c>
      <c r="BU30" s="211">
        <f t="shared" si="185"/>
        <v>-148</v>
      </c>
      <c r="BV30" s="211">
        <f t="shared" si="185"/>
        <v>-98</v>
      </c>
      <c r="BW30" s="211">
        <f t="shared" si="185"/>
        <v>-226</v>
      </c>
      <c r="BX30" s="211">
        <f t="shared" si="185"/>
        <v>90</v>
      </c>
      <c r="BY30" s="211">
        <f t="shared" si="185"/>
        <v>68</v>
      </c>
      <c r="BZ30" s="211">
        <f t="shared" ref="BZ30:CB30" si="186">BZ8+SUM(BZ10:BZ19)+SUM(BZ21:BZ29)</f>
        <v>393.89811773998395</v>
      </c>
      <c r="CA30" s="211">
        <f t="shared" si="186"/>
        <v>613.77033546052201</v>
      </c>
      <c r="CB30" s="2151">
        <f t="shared" si="186"/>
        <v>441.67392565137607</v>
      </c>
      <c r="CC30" s="2143"/>
      <c r="CD30" s="1873"/>
    </row>
    <row r="31" spans="1:82" ht="14.25" customHeight="1" thickTop="1">
      <c r="A31" s="7"/>
      <c r="B31" s="21"/>
      <c r="C31" s="22"/>
      <c r="D31" s="205"/>
      <c r="E31" s="203"/>
      <c r="F31" s="203"/>
      <c r="G31" s="204"/>
      <c r="H31" s="205"/>
      <c r="I31" s="203"/>
      <c r="J31" s="203"/>
      <c r="K31" s="204"/>
      <c r="L31" s="205"/>
      <c r="M31" s="203"/>
      <c r="N31" s="203"/>
      <c r="O31" s="204"/>
      <c r="P31" s="205"/>
      <c r="Q31" s="203"/>
      <c r="R31" s="203"/>
      <c r="S31" s="204"/>
      <c r="T31" s="205"/>
      <c r="U31" s="203"/>
      <c r="V31" s="203"/>
      <c r="W31" s="204"/>
      <c r="X31" s="205"/>
      <c r="Y31" s="203"/>
      <c r="Z31" s="203"/>
      <c r="AA31" s="204"/>
      <c r="AB31" s="203"/>
      <c r="AC31" s="203"/>
      <c r="AD31" s="203"/>
      <c r="AE31" s="204"/>
      <c r="AF31" s="203"/>
      <c r="AG31" s="203"/>
      <c r="AH31" s="203"/>
      <c r="AI31" s="204"/>
      <c r="AJ31" s="203"/>
      <c r="AK31" s="203"/>
      <c r="AL31" s="203"/>
      <c r="AM31" s="204"/>
      <c r="AN31" s="203"/>
      <c r="AO31" s="203"/>
      <c r="AP31" s="203"/>
      <c r="AQ31" s="204"/>
      <c r="AR31" s="203"/>
      <c r="AS31" s="203"/>
      <c r="AT31" s="203"/>
      <c r="AU31" s="204"/>
      <c r="AV31" s="203"/>
      <c r="AW31" s="203"/>
      <c r="AX31" s="203"/>
      <c r="AY31" s="204"/>
      <c r="AZ31" s="203"/>
      <c r="BA31" s="203"/>
      <c r="BB31" s="203"/>
      <c r="BC31" s="204"/>
      <c r="BD31" s="203"/>
      <c r="BE31" s="203"/>
      <c r="BF31" s="203"/>
      <c r="BG31" s="207"/>
      <c r="BH31" s="203"/>
      <c r="BI31" s="203"/>
      <c r="BJ31" s="203"/>
      <c r="BK31" s="207"/>
      <c r="BL31" s="19"/>
      <c r="BM31" s="203"/>
      <c r="BN31" s="203"/>
      <c r="BO31" s="203"/>
      <c r="BP31" s="203"/>
      <c r="BQ31" s="203"/>
      <c r="BR31" s="203"/>
      <c r="BS31" s="203"/>
      <c r="BT31" s="203"/>
      <c r="BU31" s="203"/>
      <c r="BV31" s="203"/>
      <c r="BW31" s="203"/>
      <c r="BX31" s="203"/>
      <c r="BY31" s="203"/>
      <c r="BZ31" s="203"/>
      <c r="CA31" s="203"/>
      <c r="CB31" s="2150"/>
      <c r="CC31" s="2143"/>
      <c r="CD31" s="1873"/>
    </row>
    <row r="32" spans="1:82" ht="14.25" customHeight="1">
      <c r="A32" s="7"/>
      <c r="B32" s="42" t="str">
        <f t="shared" ref="B32:B42" si="187">B125</f>
        <v>Cash flows from investing activities:</v>
      </c>
      <c r="C32" s="43"/>
      <c r="D32" s="205"/>
      <c r="E32" s="203"/>
      <c r="F32" s="203"/>
      <c r="G32" s="204"/>
      <c r="H32" s="205"/>
      <c r="I32" s="203"/>
      <c r="J32" s="203"/>
      <c r="K32" s="204"/>
      <c r="L32" s="205"/>
      <c r="M32" s="203"/>
      <c r="N32" s="203"/>
      <c r="O32" s="204"/>
      <c r="P32" s="205"/>
      <c r="Q32" s="203"/>
      <c r="R32" s="203"/>
      <c r="S32" s="204"/>
      <c r="T32" s="205"/>
      <c r="U32" s="203"/>
      <c r="V32" s="203"/>
      <c r="W32" s="204"/>
      <c r="X32" s="205"/>
      <c r="Y32" s="203"/>
      <c r="Z32" s="203"/>
      <c r="AA32" s="204"/>
      <c r="AB32" s="203"/>
      <c r="AC32" s="203"/>
      <c r="AD32" s="203"/>
      <c r="AE32" s="204"/>
      <c r="AF32" s="203"/>
      <c r="AG32" s="203"/>
      <c r="AH32" s="203"/>
      <c r="AI32" s="204"/>
      <c r="AJ32" s="203"/>
      <c r="AK32" s="203"/>
      <c r="AL32" s="203"/>
      <c r="AM32" s="204"/>
      <c r="AN32" s="203"/>
      <c r="AO32" s="203"/>
      <c r="AP32" s="203"/>
      <c r="AQ32" s="204"/>
      <c r="AR32" s="203"/>
      <c r="AS32" s="203"/>
      <c r="AT32" s="203"/>
      <c r="AU32" s="204"/>
      <c r="AV32" s="203"/>
      <c r="AW32" s="203"/>
      <c r="AX32" s="203"/>
      <c r="AY32" s="204"/>
      <c r="AZ32" s="203"/>
      <c r="BA32" s="203"/>
      <c r="BB32" s="203"/>
      <c r="BC32" s="204"/>
      <c r="BD32" s="203"/>
      <c r="BE32" s="203"/>
      <c r="BF32" s="203"/>
      <c r="BG32" s="207"/>
      <c r="BH32" s="203"/>
      <c r="BI32" s="203"/>
      <c r="BJ32" s="203"/>
      <c r="BK32" s="207"/>
      <c r="BL32" s="19"/>
      <c r="BM32" s="203"/>
      <c r="BN32" s="203"/>
      <c r="BO32" s="203"/>
      <c r="BP32" s="203"/>
      <c r="BQ32" s="203"/>
      <c r="BR32" s="203"/>
      <c r="BS32" s="203"/>
      <c r="BT32" s="203"/>
      <c r="BU32" s="203"/>
      <c r="BV32" s="203"/>
      <c r="BW32" s="203"/>
      <c r="BX32" s="203"/>
      <c r="BY32" s="203"/>
      <c r="BZ32" s="203"/>
      <c r="CA32" s="203"/>
      <c r="CB32" s="2150"/>
      <c r="CC32" s="2143"/>
      <c r="CD32" s="1873"/>
    </row>
    <row r="33" spans="1:82" ht="14.25" customHeight="1">
      <c r="A33" s="7"/>
      <c r="B33" s="23" t="str">
        <f t="shared" si="187"/>
        <v>Purchases of property, plant and equipment</v>
      </c>
      <c r="C33" s="24"/>
      <c r="D33" s="205">
        <f t="shared" ref="D33:D41" si="188">D126</f>
        <v>-518.47199999999998</v>
      </c>
      <c r="E33" s="203">
        <f t="shared" ref="E33:E41" si="189">E126-D33</f>
        <v>-303.26499999999999</v>
      </c>
      <c r="F33" s="203">
        <f t="shared" ref="F33:F41" si="190">F126-E33-D33</f>
        <v>-362.29599999999994</v>
      </c>
      <c r="G33" s="204">
        <f t="shared" ref="G33:G41" si="191">G126-F33-E33-D33</f>
        <v>-328.96700000000021</v>
      </c>
      <c r="H33" s="205">
        <f t="shared" ref="H33:H41" si="192">H126</f>
        <v>-310.32600000000002</v>
      </c>
      <c r="I33" s="203">
        <f t="shared" ref="I33:I41" si="193">I126-H33</f>
        <v>-455.36400000000003</v>
      </c>
      <c r="J33" s="203">
        <f t="shared" ref="J33:J41" si="194">J126-I33-H33</f>
        <v>-424.89200000000005</v>
      </c>
      <c r="K33" s="204">
        <f t="shared" ref="K33:K41" si="195">K126-J33-I33-H33</f>
        <v>-666.41799999999989</v>
      </c>
      <c r="L33" s="205">
        <f t="shared" ref="L33:L41" si="196">L126</f>
        <v>-586</v>
      </c>
      <c r="M33" s="203">
        <f t="shared" ref="M33:M41" si="197">M126-L33</f>
        <v>-414</v>
      </c>
      <c r="N33" s="203">
        <f t="shared" ref="N33:N41" si="198">N126-M33-L33</f>
        <v>-419</v>
      </c>
      <c r="O33" s="204">
        <f t="shared" ref="O33:O41" si="199">O126-N33-M33-L33</f>
        <v>-266</v>
      </c>
      <c r="P33" s="205">
        <f t="shared" ref="P33:P41" si="200">P126</f>
        <v>-323</v>
      </c>
      <c r="Q33" s="203">
        <f t="shared" ref="Q33:Q41" si="201">Q126-P33</f>
        <v>-106</v>
      </c>
      <c r="R33" s="203">
        <f t="shared" ref="R33:R41" si="202">R126-Q33-P33</f>
        <v>-82</v>
      </c>
      <c r="S33" s="204">
        <f t="shared" ref="S33:S41" si="203">S126-R33-Q33-P33</f>
        <v>-113</v>
      </c>
      <c r="T33" s="205">
        <f t="shared" ref="T33:T41" si="204">T126</f>
        <v>-84</v>
      </c>
      <c r="U33" s="203">
        <f t="shared" ref="U33:U41" si="205">U126-T33</f>
        <v>-112</v>
      </c>
      <c r="V33" s="203">
        <f t="shared" ref="V33:V41" si="206">V126-U33-T33</f>
        <v>-97</v>
      </c>
      <c r="W33" s="204">
        <f t="shared" ref="W33:W41" si="207">W126-V33-U33-T33</f>
        <v>-173</v>
      </c>
      <c r="X33" s="205">
        <f t="shared" ref="X33:X41" si="208">X126</f>
        <v>-48</v>
      </c>
      <c r="Y33" s="203">
        <f t="shared" ref="Y33:Y41" si="209">Y126-X33</f>
        <v>-31</v>
      </c>
      <c r="Z33" s="203">
        <f t="shared" ref="Z33:Z41" si="210">Z126-Y33-X33</f>
        <v>-31</v>
      </c>
      <c r="AA33" s="204">
        <f t="shared" ref="AA33:AA41" si="211">AA126-Z33-Y33-X33</f>
        <v>-38</v>
      </c>
      <c r="AB33" s="203">
        <f t="shared" ref="AB33:AB41" si="212">AB126</f>
        <v>-38</v>
      </c>
      <c r="AC33" s="203">
        <f t="shared" ref="AC33:AC41" si="213">AC126-AB33</f>
        <v>-67</v>
      </c>
      <c r="AD33" s="203">
        <f t="shared" ref="AD33:AD41" si="214">AD126-AC33-AB33</f>
        <v>-58</v>
      </c>
      <c r="AE33" s="204">
        <f t="shared" ref="AE33:AE41" si="215">AE126-AD33-AC33-AB33</f>
        <v>-87</v>
      </c>
      <c r="AF33" s="203">
        <f t="shared" ref="AF33:AF41" si="216">AF126</f>
        <v>-40</v>
      </c>
      <c r="AG33" s="203">
        <f t="shared" ref="AG33:AG41" si="217">AG126-AF33</f>
        <v>-39</v>
      </c>
      <c r="AH33" s="203">
        <f t="shared" ref="AH33:AH41" si="218">AH126-AG33-AF33</f>
        <v>-32</v>
      </c>
      <c r="AI33" s="204">
        <f t="shared" ref="AI33:AI41" si="219">AI126-AH33-AG33-AF33</f>
        <v>-22</v>
      </c>
      <c r="AJ33" s="203">
        <f t="shared" ref="AJ33:AJ41" si="220">AJ126</f>
        <v>-20</v>
      </c>
      <c r="AK33" s="203">
        <f t="shared" ref="AK33:AK41" si="221">AK126-AJ33</f>
        <v>-28</v>
      </c>
      <c r="AL33" s="203">
        <f t="shared" ref="AL33:AL41" si="222">AL126-AK33-AJ33</f>
        <v>-15</v>
      </c>
      <c r="AM33" s="204">
        <f t="shared" ref="AM33:AM41" si="223">AM126-AL33-AK33-AJ33</f>
        <v>-21</v>
      </c>
      <c r="AN33" s="203">
        <f t="shared" ref="AN33:AN41" si="224">AN126</f>
        <v>-21</v>
      </c>
      <c r="AO33" s="203">
        <f t="shared" ref="AO33:AO41" si="225">AO126-AN33</f>
        <v>-23</v>
      </c>
      <c r="AP33" s="203">
        <f t="shared" ref="AP33:AP41" si="226">AP126-AO33-AN33</f>
        <v>-29</v>
      </c>
      <c r="AQ33" s="204">
        <f t="shared" ref="AQ33:AQ41" si="227">AQ126-AP33-AO33-AN33</f>
        <v>-22</v>
      </c>
      <c r="AR33" s="203">
        <f t="shared" ref="AR33:AR41" si="228">AR126</f>
        <v>-22</v>
      </c>
      <c r="AS33" s="203">
        <f t="shared" ref="AS33:AS41" si="229">AS126-AR33</f>
        <v>-17</v>
      </c>
      <c r="AT33" s="203">
        <f t="shared" ref="AT33:AT41" si="230">AT126-AS33-AR33</f>
        <v>-25</v>
      </c>
      <c r="AU33" s="204">
        <f t="shared" ref="AU33:AU41" si="231">AU126-AT33-AS33-AR33</f>
        <v>-32</v>
      </c>
      <c r="AV33" s="203">
        <f t="shared" ref="AV33:AV41" si="232">AV126</f>
        <v>-26</v>
      </c>
      <c r="AW33" s="203">
        <f t="shared" ref="AW33:AW41" si="233">AW126-AV33</f>
        <v>-21</v>
      </c>
      <c r="AX33" s="203">
        <f t="shared" ref="AX33:AX41" si="234">AX126-AW33-AV33</f>
        <v>-9</v>
      </c>
      <c r="AY33" s="204">
        <f t="shared" ref="AY33:AY41" si="235">AY126-AX33-AW33-AV33</f>
        <v>-21</v>
      </c>
      <c r="AZ33" s="203">
        <f t="shared" ref="AZ33:AZ41" si="236">AZ126</f>
        <v>-23</v>
      </c>
      <c r="BA33" s="203">
        <f t="shared" ref="BA33:BA41" si="237">BA126-AZ33</f>
        <v>-12</v>
      </c>
      <c r="BB33" s="203">
        <f t="shared" ref="BB33:BB41" si="238">BB126-BA33-AZ33</f>
        <v>-34</v>
      </c>
      <c r="BC33" s="204">
        <f t="shared" ref="BC33:BC41" si="239">BC126-BB33-BA33-AZ33</f>
        <v>-44</v>
      </c>
      <c r="BD33" s="203">
        <f t="shared" ref="BD33" si="240">BD126</f>
        <v>-46</v>
      </c>
      <c r="BE33" s="203">
        <f t="shared" ref="BE33:BG33" si="241">-BE69-BE70</f>
        <v>-25</v>
      </c>
      <c r="BF33" s="203">
        <f t="shared" si="241"/>
        <v>-25</v>
      </c>
      <c r="BG33" s="204">
        <f t="shared" si="241"/>
        <v>-25</v>
      </c>
      <c r="BH33" s="203">
        <f t="shared" ref="BH33:BK33" si="242">-BH69-BH70</f>
        <v>-25</v>
      </c>
      <c r="BI33" s="203">
        <f t="shared" si="242"/>
        <v>-25</v>
      </c>
      <c r="BJ33" s="203">
        <f t="shared" si="242"/>
        <v>-25</v>
      </c>
      <c r="BK33" s="204">
        <f t="shared" si="242"/>
        <v>-25</v>
      </c>
      <c r="BL33" s="19"/>
      <c r="BM33" s="203">
        <f t="shared" ref="BM33:BM41" si="243">SUM(D33:G33)</f>
        <v>-1513</v>
      </c>
      <c r="BN33" s="203">
        <f t="shared" ref="BN33:BN41" si="244">SUM(H33:K33)</f>
        <v>-1857</v>
      </c>
      <c r="BO33" s="203">
        <f t="shared" ref="BO33:BO41" si="245">SUM(L33:O33)</f>
        <v>-1685</v>
      </c>
      <c r="BP33" s="203">
        <f t="shared" ref="BP33:BP41" si="246">SUM(P33:S33)</f>
        <v>-624</v>
      </c>
      <c r="BQ33" s="203">
        <f t="shared" ref="BQ33:BQ41" si="247">SUM(T33:W33)</f>
        <v>-466</v>
      </c>
      <c r="BR33" s="203">
        <f t="shared" ref="BR33:BR41" si="248">SUM(X33:AA33)</f>
        <v>-148</v>
      </c>
      <c r="BS33" s="203">
        <f t="shared" ref="BS33:BS41" si="249">SUM(AB33:AE33)</f>
        <v>-250</v>
      </c>
      <c r="BT33" s="203">
        <f t="shared" ref="BT33:BT41" si="250">SUM(AF33:AI33)</f>
        <v>-133</v>
      </c>
      <c r="BU33" s="203">
        <f t="shared" ref="BU33:BU41" si="251">SUM(AJ33:AM33)</f>
        <v>-84</v>
      </c>
      <c r="BV33" s="203">
        <f t="shared" ref="BV33:BV41" si="252">SUM(AN33:AQ33)</f>
        <v>-95</v>
      </c>
      <c r="BW33" s="203">
        <f>SUM(AR33:AU33)</f>
        <v>-96</v>
      </c>
      <c r="BX33" s="203">
        <f>SUM(AV33:AY33)</f>
        <v>-77</v>
      </c>
      <c r="BY33" s="203">
        <f t="shared" ref="BY33:BY41" si="253">SUM(AZ33:BC33)</f>
        <v>-113</v>
      </c>
      <c r="BZ33" s="203">
        <f t="shared" ref="BZ33:BZ41" si="254">SUM(BD33:BG33)</f>
        <v>-121</v>
      </c>
      <c r="CA33" s="203">
        <f>SUM(BH33:BK33)</f>
        <v>-100</v>
      </c>
      <c r="CB33" s="2149">
        <f>-CB69-CB70</f>
        <v>-99.059534421365882</v>
      </c>
      <c r="CC33" s="2143"/>
      <c r="CD33" s="1873"/>
    </row>
    <row r="34" spans="1:82" ht="14.25" customHeight="1">
      <c r="A34" s="7"/>
      <c r="B34" s="23" t="str">
        <f t="shared" si="187"/>
        <v>Purchase of available-for-sale securities</v>
      </c>
      <c r="C34" s="24"/>
      <c r="D34" s="205">
        <f t="shared" si="188"/>
        <v>-233.40600000000001</v>
      </c>
      <c r="E34" s="203">
        <f t="shared" si="189"/>
        <v>-308.28199999999998</v>
      </c>
      <c r="F34" s="203">
        <f t="shared" si="190"/>
        <v>-278.04100000000005</v>
      </c>
      <c r="G34" s="204">
        <f t="shared" si="191"/>
        <v>-742.27099999999996</v>
      </c>
      <c r="H34" s="205">
        <f t="shared" si="192"/>
        <v>-1028.223</v>
      </c>
      <c r="I34" s="203">
        <f t="shared" si="193"/>
        <v>-842.05400000000009</v>
      </c>
      <c r="J34" s="203">
        <f t="shared" si="194"/>
        <v>-71.450000000000045</v>
      </c>
      <c r="K34" s="204">
        <f t="shared" si="195"/>
        <v>-177.27299999999991</v>
      </c>
      <c r="L34" s="205">
        <f t="shared" si="196"/>
        <v>-62</v>
      </c>
      <c r="M34" s="203">
        <f t="shared" si="197"/>
        <v>-300</v>
      </c>
      <c r="N34" s="203">
        <f t="shared" si="198"/>
        <v>-44</v>
      </c>
      <c r="O34" s="204">
        <f t="shared" si="199"/>
        <v>-139</v>
      </c>
      <c r="P34" s="205">
        <f t="shared" si="200"/>
        <v>-95</v>
      </c>
      <c r="Q34" s="203">
        <f t="shared" si="201"/>
        <v>-30</v>
      </c>
      <c r="R34" s="203">
        <f t="shared" si="202"/>
        <v>-75</v>
      </c>
      <c r="S34" s="204">
        <f t="shared" si="203"/>
        <v>0</v>
      </c>
      <c r="T34" s="205">
        <f t="shared" si="204"/>
        <v>-160</v>
      </c>
      <c r="U34" s="203">
        <f t="shared" si="205"/>
        <v>-279</v>
      </c>
      <c r="V34" s="203">
        <f t="shared" si="206"/>
        <v>-250</v>
      </c>
      <c r="W34" s="204">
        <f t="shared" si="207"/>
        <v>-797</v>
      </c>
      <c r="X34" s="205">
        <f t="shared" si="208"/>
        <v>-503</v>
      </c>
      <c r="Y34" s="203">
        <f t="shared" si="209"/>
        <v>-165</v>
      </c>
      <c r="Z34" s="203">
        <f t="shared" si="210"/>
        <v>-647</v>
      </c>
      <c r="AA34" s="204">
        <f t="shared" si="211"/>
        <v>-485</v>
      </c>
      <c r="AB34" s="203">
        <f t="shared" si="212"/>
        <v>-393</v>
      </c>
      <c r="AC34" s="203">
        <f t="shared" si="213"/>
        <v>-559</v>
      </c>
      <c r="AD34" s="203">
        <f t="shared" si="214"/>
        <v>-509</v>
      </c>
      <c r="AE34" s="204">
        <f t="shared" si="215"/>
        <v>-125</v>
      </c>
      <c r="AF34" s="203">
        <f t="shared" si="216"/>
        <v>-95</v>
      </c>
      <c r="AG34" s="203">
        <f t="shared" si="217"/>
        <v>-453</v>
      </c>
      <c r="AH34" s="203">
        <f t="shared" si="218"/>
        <v>-201</v>
      </c>
      <c r="AI34" s="204">
        <f t="shared" si="219"/>
        <v>-195</v>
      </c>
      <c r="AJ34" s="203">
        <f t="shared" si="220"/>
        <v>-361</v>
      </c>
      <c r="AK34" s="203">
        <f t="shared" si="221"/>
        <v>-392</v>
      </c>
      <c r="AL34" s="203">
        <f t="shared" si="222"/>
        <v>-232</v>
      </c>
      <c r="AM34" s="204">
        <f t="shared" si="223"/>
        <v>-58</v>
      </c>
      <c r="AN34" s="203">
        <f t="shared" si="224"/>
        <v>-310</v>
      </c>
      <c r="AO34" s="203">
        <f t="shared" si="225"/>
        <v>-308</v>
      </c>
      <c r="AP34" s="203">
        <f t="shared" si="226"/>
        <v>-28</v>
      </c>
      <c r="AQ34" s="204">
        <f t="shared" si="227"/>
        <v>-144</v>
      </c>
      <c r="AR34" s="203">
        <f t="shared" si="228"/>
        <v>-223</v>
      </c>
      <c r="AS34" s="203">
        <f t="shared" si="229"/>
        <v>-4</v>
      </c>
      <c r="AT34" s="203">
        <f t="shared" si="230"/>
        <v>0</v>
      </c>
      <c r="AU34" s="204">
        <f t="shared" si="231"/>
        <v>0</v>
      </c>
      <c r="AV34" s="203">
        <f t="shared" si="232"/>
        <v>0</v>
      </c>
      <c r="AW34" s="203">
        <f t="shared" si="233"/>
        <v>0</v>
      </c>
      <c r="AX34" s="203">
        <f t="shared" si="234"/>
        <v>0</v>
      </c>
      <c r="AY34" s="204">
        <f t="shared" si="235"/>
        <v>0</v>
      </c>
      <c r="AZ34" s="203">
        <f t="shared" si="236"/>
        <v>-221</v>
      </c>
      <c r="BA34" s="203">
        <f t="shared" si="237"/>
        <v>0</v>
      </c>
      <c r="BB34" s="203">
        <f t="shared" si="238"/>
        <v>0</v>
      </c>
      <c r="BC34" s="204">
        <f t="shared" si="239"/>
        <v>-1</v>
      </c>
      <c r="BD34" s="203">
        <v>0</v>
      </c>
      <c r="BE34" s="203">
        <v>0</v>
      </c>
      <c r="BF34" s="203">
        <v>0</v>
      </c>
      <c r="BG34" s="207">
        <v>0</v>
      </c>
      <c r="BH34" s="203">
        <v>0</v>
      </c>
      <c r="BI34" s="203">
        <v>0</v>
      </c>
      <c r="BJ34" s="203">
        <v>0</v>
      </c>
      <c r="BK34" s="207">
        <v>0</v>
      </c>
      <c r="BL34" s="19"/>
      <c r="BM34" s="203">
        <f>SUM(D34:G34)</f>
        <v>-1562</v>
      </c>
      <c r="BN34" s="203">
        <f>SUM(H34:K34)</f>
        <v>-2119</v>
      </c>
      <c r="BO34" s="203">
        <f>SUM(L34:O34)</f>
        <v>-545</v>
      </c>
      <c r="BP34" s="203">
        <f>SUM(P34:S34)</f>
        <v>-200</v>
      </c>
      <c r="BQ34" s="203">
        <f>SUM(T34:W34)</f>
        <v>-1486</v>
      </c>
      <c r="BR34" s="203">
        <f>SUM(X34:AA34)</f>
        <v>-1800</v>
      </c>
      <c r="BS34" s="203">
        <f>SUM(AB34:AE34)</f>
        <v>-1586</v>
      </c>
      <c r="BT34" s="203">
        <f>SUM(AF34:AI34)</f>
        <v>-944</v>
      </c>
      <c r="BU34" s="203">
        <f>SUM(AJ34:AM34)</f>
        <v>-1043</v>
      </c>
      <c r="BV34" s="203">
        <f t="shared" si="252"/>
        <v>-790</v>
      </c>
      <c r="BW34" s="203">
        <f t="shared" ref="BW34:BW41" si="255">SUM(AR34:AU34)</f>
        <v>-227</v>
      </c>
      <c r="BX34" s="203">
        <f t="shared" ref="BX34:BX41" si="256">SUM(AV34:AY34)</f>
        <v>0</v>
      </c>
      <c r="BY34" s="203">
        <f t="shared" si="253"/>
        <v>-222</v>
      </c>
      <c r="BZ34" s="203">
        <f t="shared" si="254"/>
        <v>0</v>
      </c>
      <c r="CA34" s="203">
        <f t="shared" ref="CA34:CA41" si="257">SUM(BH34:BK34)</f>
        <v>0</v>
      </c>
      <c r="CB34" s="2152">
        <v>0</v>
      </c>
      <c r="CC34" s="2143"/>
      <c r="CD34" s="1873"/>
    </row>
    <row r="35" spans="1:82" ht="14.25" customHeight="1">
      <c r="A35" s="7"/>
      <c r="B35" s="23" t="str">
        <f t="shared" si="187"/>
        <v>Maturities and sales of available-for-sale securities</v>
      </c>
      <c r="C35" s="24"/>
      <c r="D35" s="205">
        <f t="shared" si="188"/>
        <v>87.674999999999997</v>
      </c>
      <c r="E35" s="203">
        <f t="shared" si="189"/>
        <v>222.26400000000001</v>
      </c>
      <c r="F35" s="203">
        <f t="shared" si="190"/>
        <v>250.83199999999994</v>
      </c>
      <c r="G35" s="204">
        <f t="shared" si="191"/>
        <v>275.2290000000001</v>
      </c>
      <c r="H35" s="205">
        <f t="shared" si="192"/>
        <v>394.053</v>
      </c>
      <c r="I35" s="203">
        <f t="shared" si="193"/>
        <v>634.28000000000009</v>
      </c>
      <c r="J35" s="203">
        <f t="shared" si="194"/>
        <v>943.3249999999997</v>
      </c>
      <c r="K35" s="204">
        <f t="shared" si="195"/>
        <v>1094.3420000000001</v>
      </c>
      <c r="L35" s="205">
        <f t="shared" si="196"/>
        <v>46</v>
      </c>
      <c r="M35" s="203">
        <f t="shared" si="197"/>
        <v>187</v>
      </c>
      <c r="N35" s="203">
        <f t="shared" si="198"/>
        <v>22</v>
      </c>
      <c r="O35" s="204">
        <f t="shared" si="199"/>
        <v>52</v>
      </c>
      <c r="P35" s="205">
        <f t="shared" si="200"/>
        <v>184</v>
      </c>
      <c r="Q35" s="203">
        <f t="shared" si="201"/>
        <v>105</v>
      </c>
      <c r="R35" s="203">
        <f t="shared" si="202"/>
        <v>90</v>
      </c>
      <c r="S35" s="204">
        <f t="shared" si="203"/>
        <v>37</v>
      </c>
      <c r="T35" s="205">
        <f t="shared" si="204"/>
        <v>3</v>
      </c>
      <c r="U35" s="203">
        <f t="shared" si="205"/>
        <v>72</v>
      </c>
      <c r="V35" s="203">
        <f t="shared" si="206"/>
        <v>120</v>
      </c>
      <c r="W35" s="204">
        <f t="shared" si="207"/>
        <v>408</v>
      </c>
      <c r="X35" s="205">
        <f t="shared" si="208"/>
        <v>239</v>
      </c>
      <c r="Y35" s="203">
        <f t="shared" si="209"/>
        <v>670</v>
      </c>
      <c r="Z35" s="203">
        <f t="shared" si="210"/>
        <v>307</v>
      </c>
      <c r="AA35" s="204">
        <f t="shared" si="211"/>
        <v>424</v>
      </c>
      <c r="AB35" s="203">
        <f t="shared" si="212"/>
        <v>434</v>
      </c>
      <c r="AC35" s="203">
        <f t="shared" si="213"/>
        <v>396</v>
      </c>
      <c r="AD35" s="203">
        <f t="shared" si="214"/>
        <v>585</v>
      </c>
      <c r="AE35" s="204">
        <f t="shared" si="215"/>
        <v>311</v>
      </c>
      <c r="AF35" s="203">
        <f t="shared" si="216"/>
        <v>620</v>
      </c>
      <c r="AG35" s="203">
        <f t="shared" si="217"/>
        <v>230</v>
      </c>
      <c r="AH35" s="203">
        <f t="shared" si="218"/>
        <v>241</v>
      </c>
      <c r="AI35" s="204">
        <f t="shared" si="219"/>
        <v>257</v>
      </c>
      <c r="AJ35" s="203">
        <f t="shared" si="220"/>
        <v>250</v>
      </c>
      <c r="AK35" s="203">
        <f t="shared" si="221"/>
        <v>343</v>
      </c>
      <c r="AL35" s="203">
        <f t="shared" si="222"/>
        <v>376</v>
      </c>
      <c r="AM35" s="204">
        <f t="shared" si="223"/>
        <v>375</v>
      </c>
      <c r="AN35" s="203">
        <f t="shared" si="224"/>
        <v>200</v>
      </c>
      <c r="AO35" s="203">
        <f t="shared" si="225"/>
        <v>288</v>
      </c>
      <c r="AP35" s="203">
        <f t="shared" si="226"/>
        <v>176</v>
      </c>
      <c r="AQ35" s="204">
        <f t="shared" si="227"/>
        <v>209</v>
      </c>
      <c r="AR35" s="203">
        <f t="shared" si="228"/>
        <v>230</v>
      </c>
      <c r="AS35" s="203">
        <f t="shared" si="229"/>
        <v>232</v>
      </c>
      <c r="AT35" s="203">
        <f t="shared" si="230"/>
        <v>0</v>
      </c>
      <c r="AU35" s="204">
        <f t="shared" si="231"/>
        <v>0</v>
      </c>
      <c r="AV35" s="203">
        <f t="shared" si="232"/>
        <v>0</v>
      </c>
      <c r="AW35" s="203">
        <f t="shared" si="233"/>
        <v>0</v>
      </c>
      <c r="AX35" s="203">
        <f t="shared" si="234"/>
        <v>346</v>
      </c>
      <c r="AY35" s="204">
        <f t="shared" si="235"/>
        <v>-346</v>
      </c>
      <c r="AZ35" s="203">
        <f t="shared" si="236"/>
        <v>0</v>
      </c>
      <c r="BA35" s="203">
        <f t="shared" si="237"/>
        <v>137</v>
      </c>
      <c r="BB35" s="203">
        <f t="shared" si="238"/>
        <v>84</v>
      </c>
      <c r="BC35" s="204">
        <f t="shared" si="239"/>
        <v>1</v>
      </c>
      <c r="BD35" s="203">
        <v>0</v>
      </c>
      <c r="BE35" s="203">
        <v>0</v>
      </c>
      <c r="BF35" s="203">
        <v>0</v>
      </c>
      <c r="BG35" s="207">
        <v>0</v>
      </c>
      <c r="BH35" s="203">
        <v>0</v>
      </c>
      <c r="BI35" s="203">
        <v>0</v>
      </c>
      <c r="BJ35" s="203">
        <v>0</v>
      </c>
      <c r="BK35" s="207">
        <v>0</v>
      </c>
      <c r="BL35" s="19"/>
      <c r="BM35" s="203">
        <f>SUM(D35:G35)</f>
        <v>836</v>
      </c>
      <c r="BN35" s="203">
        <f>SUM(H35:K35)</f>
        <v>3066</v>
      </c>
      <c r="BO35" s="203">
        <f>SUM(L35:O35)</f>
        <v>307</v>
      </c>
      <c r="BP35" s="203">
        <f>SUM(P35:S35)</f>
        <v>416</v>
      </c>
      <c r="BQ35" s="203">
        <f>SUM(T35:W35)</f>
        <v>603</v>
      </c>
      <c r="BR35" s="203">
        <f>SUM(X35:AA35)</f>
        <v>1640</v>
      </c>
      <c r="BS35" s="203">
        <f>SUM(AB35:AE35)</f>
        <v>1726</v>
      </c>
      <c r="BT35" s="203">
        <f>SUM(AF35:AI35)</f>
        <v>1348</v>
      </c>
      <c r="BU35" s="203">
        <f>SUM(AJ35:AM35)</f>
        <v>1344</v>
      </c>
      <c r="BV35" s="203">
        <f t="shared" si="252"/>
        <v>873</v>
      </c>
      <c r="BW35" s="203">
        <f t="shared" si="255"/>
        <v>462</v>
      </c>
      <c r="BX35" s="203">
        <f t="shared" si="256"/>
        <v>0</v>
      </c>
      <c r="BY35" s="203">
        <f t="shared" si="253"/>
        <v>222</v>
      </c>
      <c r="BZ35" s="203">
        <f t="shared" si="254"/>
        <v>0</v>
      </c>
      <c r="CA35" s="203">
        <f t="shared" si="257"/>
        <v>0</v>
      </c>
      <c r="CB35" s="2152">
        <v>0</v>
      </c>
      <c r="CC35" s="2143"/>
      <c r="CD35" s="1873"/>
    </row>
    <row r="36" spans="1:82" ht="14.25" customHeight="1">
      <c r="A36" s="7"/>
      <c r="B36" s="23" t="str">
        <f t="shared" si="187"/>
        <v>Purchases of trading assets</v>
      </c>
      <c r="C36" s="24"/>
      <c r="D36" s="205">
        <f t="shared" si="188"/>
        <v>0</v>
      </c>
      <c r="E36" s="203">
        <f t="shared" si="189"/>
        <v>0</v>
      </c>
      <c r="F36" s="203">
        <f t="shared" si="190"/>
        <v>0</v>
      </c>
      <c r="G36" s="204">
        <f t="shared" si="191"/>
        <v>0</v>
      </c>
      <c r="H36" s="205">
        <f t="shared" si="192"/>
        <v>0</v>
      </c>
      <c r="I36" s="203">
        <f t="shared" si="193"/>
        <v>0</v>
      </c>
      <c r="J36" s="203">
        <f t="shared" si="194"/>
        <v>0</v>
      </c>
      <c r="K36" s="204">
        <f t="shared" si="195"/>
        <v>0</v>
      </c>
      <c r="L36" s="205">
        <f t="shared" si="196"/>
        <v>0</v>
      </c>
      <c r="M36" s="203">
        <f t="shared" si="197"/>
        <v>0</v>
      </c>
      <c r="N36" s="203">
        <f t="shared" si="198"/>
        <v>0</v>
      </c>
      <c r="O36" s="204">
        <f t="shared" si="199"/>
        <v>0</v>
      </c>
      <c r="P36" s="205">
        <f t="shared" si="200"/>
        <v>0</v>
      </c>
      <c r="Q36" s="203">
        <f t="shared" si="201"/>
        <v>0</v>
      </c>
      <c r="R36" s="203">
        <f t="shared" si="202"/>
        <v>0</v>
      </c>
      <c r="S36" s="204">
        <f t="shared" si="203"/>
        <v>0</v>
      </c>
      <c r="T36" s="205">
        <f t="shared" si="204"/>
        <v>0</v>
      </c>
      <c r="U36" s="203">
        <f t="shared" si="205"/>
        <v>0</v>
      </c>
      <c r="V36" s="203">
        <f t="shared" si="206"/>
        <v>0</v>
      </c>
      <c r="W36" s="204">
        <f t="shared" si="207"/>
        <v>0</v>
      </c>
      <c r="X36" s="205">
        <f t="shared" si="208"/>
        <v>0</v>
      </c>
      <c r="Y36" s="203">
        <f t="shared" si="209"/>
        <v>0</v>
      </c>
      <c r="Z36" s="203">
        <f t="shared" si="210"/>
        <v>0</v>
      </c>
      <c r="AA36" s="204">
        <f t="shared" si="211"/>
        <v>0</v>
      </c>
      <c r="AB36" s="203">
        <f t="shared" si="212"/>
        <v>0</v>
      </c>
      <c r="AC36" s="203">
        <f t="shared" si="213"/>
        <v>0</v>
      </c>
      <c r="AD36" s="203">
        <f t="shared" si="214"/>
        <v>0</v>
      </c>
      <c r="AE36" s="204">
        <f t="shared" si="215"/>
        <v>0</v>
      </c>
      <c r="AF36" s="203">
        <f t="shared" si="216"/>
        <v>0</v>
      </c>
      <c r="AG36" s="203">
        <f t="shared" si="217"/>
        <v>0</v>
      </c>
      <c r="AH36" s="203">
        <f t="shared" si="218"/>
        <v>0</v>
      </c>
      <c r="AI36" s="204">
        <f t="shared" si="219"/>
        <v>0</v>
      </c>
      <c r="AJ36" s="203">
        <f t="shared" si="220"/>
        <v>0</v>
      </c>
      <c r="AK36" s="203">
        <f t="shared" si="221"/>
        <v>0</v>
      </c>
      <c r="AL36" s="203">
        <f t="shared" si="222"/>
        <v>0</v>
      </c>
      <c r="AM36" s="204">
        <f t="shared" si="223"/>
        <v>0</v>
      </c>
      <c r="AN36" s="203">
        <f t="shared" si="224"/>
        <v>0</v>
      </c>
      <c r="AO36" s="203">
        <f t="shared" si="225"/>
        <v>0</v>
      </c>
      <c r="AP36" s="203">
        <f t="shared" si="226"/>
        <v>0</v>
      </c>
      <c r="AQ36" s="204">
        <f t="shared" si="227"/>
        <v>0</v>
      </c>
      <c r="AR36" s="203">
        <f t="shared" si="228"/>
        <v>0</v>
      </c>
      <c r="AS36" s="203">
        <f t="shared" si="229"/>
        <v>0</v>
      </c>
      <c r="AT36" s="203">
        <f t="shared" si="230"/>
        <v>0</v>
      </c>
      <c r="AU36" s="204">
        <f t="shared" si="231"/>
        <v>0</v>
      </c>
      <c r="AV36" s="203">
        <f t="shared" si="232"/>
        <v>0</v>
      </c>
      <c r="AW36" s="203">
        <f t="shared" si="233"/>
        <v>0</v>
      </c>
      <c r="AX36" s="203">
        <f t="shared" si="234"/>
        <v>0</v>
      </c>
      <c r="AY36" s="204">
        <f t="shared" si="235"/>
        <v>0</v>
      </c>
      <c r="AZ36" s="203">
        <f t="shared" si="236"/>
        <v>0</v>
      </c>
      <c r="BA36" s="203">
        <f t="shared" si="237"/>
        <v>0</v>
      </c>
      <c r="BB36" s="203">
        <f t="shared" si="238"/>
        <v>0</v>
      </c>
      <c r="BC36" s="204">
        <f t="shared" si="239"/>
        <v>0</v>
      </c>
      <c r="BD36" s="203">
        <v>0</v>
      </c>
      <c r="BE36" s="203">
        <v>0</v>
      </c>
      <c r="BF36" s="203">
        <v>0</v>
      </c>
      <c r="BG36" s="207">
        <v>0</v>
      </c>
      <c r="BH36" s="203">
        <v>0</v>
      </c>
      <c r="BI36" s="203">
        <v>0</v>
      </c>
      <c r="BJ36" s="203">
        <v>0</v>
      </c>
      <c r="BK36" s="207">
        <v>0</v>
      </c>
      <c r="BL36" s="19"/>
      <c r="BM36" s="203">
        <f>SUM(D36:G36)</f>
        <v>0</v>
      </c>
      <c r="BN36" s="203">
        <f>SUM(H36:K36)</f>
        <v>0</v>
      </c>
      <c r="BO36" s="203">
        <f>SUM(L36:O36)</f>
        <v>0</v>
      </c>
      <c r="BP36" s="203">
        <f>SUM(P36:S36)</f>
        <v>0</v>
      </c>
      <c r="BQ36" s="203">
        <f>SUM(T36:W36)</f>
        <v>0</v>
      </c>
      <c r="BR36" s="203">
        <f>SUM(X36:AA36)</f>
        <v>0</v>
      </c>
      <c r="BS36" s="203">
        <f>SUM(AB36:AE36)</f>
        <v>0</v>
      </c>
      <c r="BT36" s="203">
        <f>SUM(AF36:AI36)</f>
        <v>0</v>
      </c>
      <c r="BU36" s="203">
        <f>SUM(AJ36:AM36)</f>
        <v>0</v>
      </c>
      <c r="BV36" s="203">
        <f t="shared" si="252"/>
        <v>0</v>
      </c>
      <c r="BW36" s="203">
        <f t="shared" si="255"/>
        <v>0</v>
      </c>
      <c r="BX36" s="203">
        <f t="shared" si="256"/>
        <v>0</v>
      </c>
      <c r="BY36" s="203">
        <f t="shared" si="253"/>
        <v>0</v>
      </c>
      <c r="BZ36" s="203">
        <f t="shared" si="254"/>
        <v>0</v>
      </c>
      <c r="CA36" s="203">
        <f t="shared" si="257"/>
        <v>0</v>
      </c>
      <c r="CB36" s="2152">
        <v>0</v>
      </c>
      <c r="CC36" s="2143"/>
      <c r="CD36" s="1873"/>
    </row>
    <row r="37" spans="1:82" ht="14.25" customHeight="1">
      <c r="A37" s="7"/>
      <c r="B37" s="23" t="str">
        <f t="shared" si="187"/>
        <v>Maturities and sales of trading assets</v>
      </c>
      <c r="C37" s="24"/>
      <c r="D37" s="205">
        <f t="shared" si="188"/>
        <v>0</v>
      </c>
      <c r="E37" s="203">
        <f t="shared" si="189"/>
        <v>0</v>
      </c>
      <c r="F37" s="203">
        <f t="shared" si="190"/>
        <v>0</v>
      </c>
      <c r="G37" s="204">
        <f t="shared" si="191"/>
        <v>0</v>
      </c>
      <c r="H37" s="205">
        <f t="shared" si="192"/>
        <v>0</v>
      </c>
      <c r="I37" s="203">
        <f t="shared" si="193"/>
        <v>0</v>
      </c>
      <c r="J37" s="203">
        <f t="shared" si="194"/>
        <v>0</v>
      </c>
      <c r="K37" s="204">
        <f t="shared" si="195"/>
        <v>0</v>
      </c>
      <c r="L37" s="205">
        <f t="shared" si="196"/>
        <v>0</v>
      </c>
      <c r="M37" s="203">
        <f t="shared" si="197"/>
        <v>0</v>
      </c>
      <c r="N37" s="203">
        <f t="shared" si="198"/>
        <v>0</v>
      </c>
      <c r="O37" s="204">
        <f t="shared" si="199"/>
        <v>0</v>
      </c>
      <c r="P37" s="205">
        <f t="shared" si="200"/>
        <v>0</v>
      </c>
      <c r="Q37" s="203">
        <f t="shared" si="201"/>
        <v>0</v>
      </c>
      <c r="R37" s="203">
        <f t="shared" si="202"/>
        <v>0</v>
      </c>
      <c r="S37" s="204">
        <f t="shared" si="203"/>
        <v>0</v>
      </c>
      <c r="T37" s="205">
        <f t="shared" si="204"/>
        <v>0</v>
      </c>
      <c r="U37" s="203">
        <f t="shared" si="205"/>
        <v>0</v>
      </c>
      <c r="V37" s="203">
        <f t="shared" si="206"/>
        <v>8</v>
      </c>
      <c r="W37" s="204">
        <f t="shared" si="207"/>
        <v>6</v>
      </c>
      <c r="X37" s="205">
        <f t="shared" si="208"/>
        <v>0</v>
      </c>
      <c r="Y37" s="203">
        <f t="shared" si="209"/>
        <v>25</v>
      </c>
      <c r="Z37" s="203">
        <f t="shared" si="210"/>
        <v>44</v>
      </c>
      <c r="AA37" s="204">
        <f t="shared" si="211"/>
        <v>0</v>
      </c>
      <c r="AB37" s="203">
        <f t="shared" si="212"/>
        <v>0</v>
      </c>
      <c r="AC37" s="203">
        <f t="shared" si="213"/>
        <v>0</v>
      </c>
      <c r="AD37" s="203">
        <f t="shared" si="214"/>
        <v>0</v>
      </c>
      <c r="AE37" s="204">
        <f t="shared" si="215"/>
        <v>0</v>
      </c>
      <c r="AF37" s="203">
        <f t="shared" si="216"/>
        <v>0</v>
      </c>
      <c r="AG37" s="203">
        <f t="shared" si="217"/>
        <v>0</v>
      </c>
      <c r="AH37" s="203">
        <f t="shared" si="218"/>
        <v>0</v>
      </c>
      <c r="AI37" s="204">
        <f t="shared" si="219"/>
        <v>0</v>
      </c>
      <c r="AJ37" s="203">
        <f t="shared" si="220"/>
        <v>0</v>
      </c>
      <c r="AK37" s="203">
        <f t="shared" si="221"/>
        <v>0</v>
      </c>
      <c r="AL37" s="203">
        <f t="shared" si="222"/>
        <v>0</v>
      </c>
      <c r="AM37" s="204">
        <f t="shared" si="223"/>
        <v>0</v>
      </c>
      <c r="AN37" s="203">
        <f t="shared" si="224"/>
        <v>0</v>
      </c>
      <c r="AO37" s="203">
        <f t="shared" si="225"/>
        <v>0</v>
      </c>
      <c r="AP37" s="203">
        <f t="shared" si="226"/>
        <v>0</v>
      </c>
      <c r="AQ37" s="204">
        <f t="shared" si="227"/>
        <v>0</v>
      </c>
      <c r="AR37" s="203">
        <f t="shared" si="228"/>
        <v>0</v>
      </c>
      <c r="AS37" s="203">
        <f t="shared" si="229"/>
        <v>0</v>
      </c>
      <c r="AT37" s="203">
        <f t="shared" si="230"/>
        <v>0</v>
      </c>
      <c r="AU37" s="204">
        <f t="shared" si="231"/>
        <v>0</v>
      </c>
      <c r="AV37" s="203">
        <f t="shared" si="232"/>
        <v>0</v>
      </c>
      <c r="AW37" s="203">
        <f t="shared" si="233"/>
        <v>0</v>
      </c>
      <c r="AX37" s="203">
        <f t="shared" si="234"/>
        <v>0</v>
      </c>
      <c r="AY37" s="204">
        <f t="shared" si="235"/>
        <v>0</v>
      </c>
      <c r="AZ37" s="203">
        <f t="shared" si="236"/>
        <v>0</v>
      </c>
      <c r="BA37" s="203">
        <f t="shared" si="237"/>
        <v>0</v>
      </c>
      <c r="BB37" s="203">
        <f t="shared" si="238"/>
        <v>0</v>
      </c>
      <c r="BC37" s="204">
        <f t="shared" si="239"/>
        <v>0</v>
      </c>
      <c r="BD37" s="203">
        <v>0</v>
      </c>
      <c r="BE37" s="203">
        <v>0</v>
      </c>
      <c r="BF37" s="203">
        <v>0</v>
      </c>
      <c r="BG37" s="207">
        <v>0</v>
      </c>
      <c r="BH37" s="203">
        <v>0</v>
      </c>
      <c r="BI37" s="203">
        <v>0</v>
      </c>
      <c r="BJ37" s="203">
        <v>0</v>
      </c>
      <c r="BK37" s="207">
        <v>0</v>
      </c>
      <c r="BL37" s="19"/>
      <c r="BM37" s="203">
        <f>SUM(D37:G37)</f>
        <v>0</v>
      </c>
      <c r="BN37" s="203">
        <f>SUM(H37:K37)</f>
        <v>0</v>
      </c>
      <c r="BO37" s="203">
        <f>SUM(L37:O37)</f>
        <v>0</v>
      </c>
      <c r="BP37" s="203">
        <f>SUM(P37:S37)</f>
        <v>0</v>
      </c>
      <c r="BQ37" s="203">
        <f>SUM(T37:W37)</f>
        <v>14</v>
      </c>
      <c r="BR37" s="203">
        <f>SUM(X37:AA37)</f>
        <v>69</v>
      </c>
      <c r="BS37" s="203">
        <f>SUM(AB37:AE37)</f>
        <v>0</v>
      </c>
      <c r="BT37" s="203">
        <f>SUM(AF37:AI37)</f>
        <v>0</v>
      </c>
      <c r="BU37" s="203">
        <f>SUM(AJ37:AM37)</f>
        <v>0</v>
      </c>
      <c r="BV37" s="203">
        <f t="shared" si="252"/>
        <v>0</v>
      </c>
      <c r="BW37" s="203">
        <f t="shared" si="255"/>
        <v>0</v>
      </c>
      <c r="BX37" s="203">
        <f t="shared" si="256"/>
        <v>0</v>
      </c>
      <c r="BY37" s="203">
        <f t="shared" si="253"/>
        <v>0</v>
      </c>
      <c r="BZ37" s="203">
        <f t="shared" si="254"/>
        <v>0</v>
      </c>
      <c r="CA37" s="203">
        <f t="shared" si="257"/>
        <v>0</v>
      </c>
      <c r="CB37" s="2152">
        <v>0</v>
      </c>
      <c r="CC37" s="2143"/>
      <c r="CD37" s="1873"/>
    </row>
    <row r="38" spans="1:82" ht="14.25" customHeight="1">
      <c r="A38" s="7"/>
      <c r="B38" s="23" t="str">
        <f t="shared" si="187"/>
        <v>Restricted cash</v>
      </c>
      <c r="C38" s="24"/>
      <c r="D38" s="205">
        <f t="shared" si="188"/>
        <v>0</v>
      </c>
      <c r="E38" s="203">
        <f t="shared" si="189"/>
        <v>0</v>
      </c>
      <c r="F38" s="203">
        <f t="shared" si="190"/>
        <v>0</v>
      </c>
      <c r="G38" s="204">
        <f t="shared" si="191"/>
        <v>0</v>
      </c>
      <c r="H38" s="205">
        <f t="shared" si="192"/>
        <v>0</v>
      </c>
      <c r="I38" s="203">
        <f t="shared" si="193"/>
        <v>0</v>
      </c>
      <c r="J38" s="203">
        <f t="shared" si="194"/>
        <v>0</v>
      </c>
      <c r="K38" s="204">
        <f t="shared" si="195"/>
        <v>0</v>
      </c>
      <c r="L38" s="205">
        <f t="shared" si="196"/>
        <v>0</v>
      </c>
      <c r="M38" s="203">
        <f t="shared" si="197"/>
        <v>0</v>
      </c>
      <c r="N38" s="203">
        <f t="shared" si="198"/>
        <v>0</v>
      </c>
      <c r="O38" s="204">
        <f t="shared" si="199"/>
        <v>0</v>
      </c>
      <c r="P38" s="205">
        <f t="shared" si="200"/>
        <v>0</v>
      </c>
      <c r="Q38" s="203">
        <f t="shared" si="201"/>
        <v>0</v>
      </c>
      <c r="R38" s="203">
        <f t="shared" si="202"/>
        <v>0</v>
      </c>
      <c r="S38" s="204">
        <f t="shared" si="203"/>
        <v>0</v>
      </c>
      <c r="T38" s="205">
        <f t="shared" si="204"/>
        <v>0</v>
      </c>
      <c r="U38" s="203">
        <f t="shared" si="205"/>
        <v>0</v>
      </c>
      <c r="V38" s="203">
        <f t="shared" si="206"/>
        <v>0</v>
      </c>
      <c r="W38" s="204">
        <f t="shared" si="207"/>
        <v>0</v>
      </c>
      <c r="X38" s="205">
        <f t="shared" si="208"/>
        <v>0</v>
      </c>
      <c r="Y38" s="203">
        <f t="shared" si="209"/>
        <v>0</v>
      </c>
      <c r="Z38" s="203">
        <f t="shared" si="210"/>
        <v>0</v>
      </c>
      <c r="AA38" s="204">
        <f t="shared" si="211"/>
        <v>0</v>
      </c>
      <c r="AB38" s="203">
        <f t="shared" si="212"/>
        <v>0</v>
      </c>
      <c r="AC38" s="203">
        <f t="shared" si="213"/>
        <v>0</v>
      </c>
      <c r="AD38" s="203">
        <f t="shared" si="214"/>
        <v>0</v>
      </c>
      <c r="AE38" s="204">
        <f t="shared" si="215"/>
        <v>0</v>
      </c>
      <c r="AF38" s="203">
        <f t="shared" si="216"/>
        <v>0</v>
      </c>
      <c r="AG38" s="203">
        <f t="shared" si="217"/>
        <v>0</v>
      </c>
      <c r="AH38" s="203">
        <f t="shared" si="218"/>
        <v>0</v>
      </c>
      <c r="AI38" s="204">
        <f t="shared" si="219"/>
        <v>0</v>
      </c>
      <c r="AJ38" s="203">
        <f t="shared" si="220"/>
        <v>0</v>
      </c>
      <c r="AK38" s="203">
        <f t="shared" si="221"/>
        <v>0</v>
      </c>
      <c r="AL38" s="203">
        <f t="shared" si="222"/>
        <v>0</v>
      </c>
      <c r="AM38" s="204">
        <f t="shared" si="223"/>
        <v>0</v>
      </c>
      <c r="AN38" s="203">
        <f t="shared" si="224"/>
        <v>0</v>
      </c>
      <c r="AO38" s="203">
        <f t="shared" si="225"/>
        <v>0</v>
      </c>
      <c r="AP38" s="203">
        <f t="shared" si="226"/>
        <v>0</v>
      </c>
      <c r="AQ38" s="204">
        <f t="shared" si="227"/>
        <v>0</v>
      </c>
      <c r="AR38" s="203">
        <f t="shared" si="228"/>
        <v>0</v>
      </c>
      <c r="AS38" s="203">
        <f t="shared" si="229"/>
        <v>0</v>
      </c>
      <c r="AT38" s="203">
        <f t="shared" si="230"/>
        <v>0</v>
      </c>
      <c r="AU38" s="204">
        <f t="shared" si="231"/>
        <v>0</v>
      </c>
      <c r="AV38" s="203">
        <f t="shared" si="232"/>
        <v>0</v>
      </c>
      <c r="AW38" s="203">
        <f t="shared" si="233"/>
        <v>0</v>
      </c>
      <c r="AX38" s="203">
        <f t="shared" si="234"/>
        <v>0</v>
      </c>
      <c r="AY38" s="204">
        <f t="shared" si="235"/>
        <v>0</v>
      </c>
      <c r="AZ38" s="203">
        <f t="shared" si="236"/>
        <v>0</v>
      </c>
      <c r="BA38" s="203">
        <f t="shared" si="237"/>
        <v>0</v>
      </c>
      <c r="BB38" s="203">
        <f t="shared" si="238"/>
        <v>0</v>
      </c>
      <c r="BC38" s="204">
        <f t="shared" si="239"/>
        <v>0</v>
      </c>
      <c r="BD38" s="203">
        <v>0</v>
      </c>
      <c r="BE38" s="203">
        <v>0</v>
      </c>
      <c r="BF38" s="203">
        <v>0</v>
      </c>
      <c r="BG38" s="207">
        <v>0</v>
      </c>
      <c r="BH38" s="203">
        <v>0</v>
      </c>
      <c r="BI38" s="203">
        <v>0</v>
      </c>
      <c r="BJ38" s="203">
        <v>0</v>
      </c>
      <c r="BK38" s="207">
        <v>0</v>
      </c>
      <c r="BL38" s="19"/>
      <c r="BM38" s="203">
        <f t="shared" si="243"/>
        <v>0</v>
      </c>
      <c r="BN38" s="203">
        <f t="shared" si="244"/>
        <v>0</v>
      </c>
      <c r="BO38" s="203">
        <f t="shared" si="245"/>
        <v>0</v>
      </c>
      <c r="BP38" s="203">
        <f t="shared" si="246"/>
        <v>0</v>
      </c>
      <c r="BQ38" s="203">
        <f t="shared" si="247"/>
        <v>0</v>
      </c>
      <c r="BR38" s="203">
        <f t="shared" si="248"/>
        <v>0</v>
      </c>
      <c r="BS38" s="203">
        <f t="shared" si="249"/>
        <v>0</v>
      </c>
      <c r="BT38" s="203">
        <f t="shared" si="250"/>
        <v>0</v>
      </c>
      <c r="BU38" s="203">
        <f t="shared" si="251"/>
        <v>0</v>
      </c>
      <c r="BV38" s="203">
        <f t="shared" si="252"/>
        <v>0</v>
      </c>
      <c r="BW38" s="203">
        <f t="shared" si="255"/>
        <v>0</v>
      </c>
      <c r="BX38" s="203">
        <f t="shared" si="256"/>
        <v>0</v>
      </c>
      <c r="BY38" s="203">
        <f t="shared" si="253"/>
        <v>0</v>
      </c>
      <c r="BZ38" s="203">
        <f t="shared" si="254"/>
        <v>0</v>
      </c>
      <c r="CA38" s="203">
        <f t="shared" si="257"/>
        <v>0</v>
      </c>
      <c r="CB38" s="2152">
        <v>0</v>
      </c>
      <c r="CC38" s="2143"/>
      <c r="CD38" s="1873"/>
    </row>
    <row r="39" spans="1:82" ht="14.25" customHeight="1">
      <c r="A39" s="7"/>
      <c r="B39" s="23" t="str">
        <f t="shared" si="187"/>
        <v>Acquisitions, net of cash acquired</v>
      </c>
      <c r="C39" s="24"/>
      <c r="D39" s="205">
        <f t="shared" si="188"/>
        <v>0</v>
      </c>
      <c r="E39" s="203">
        <f t="shared" si="189"/>
        <v>0</v>
      </c>
      <c r="F39" s="203">
        <f t="shared" si="190"/>
        <v>0</v>
      </c>
      <c r="G39" s="204">
        <f t="shared" si="191"/>
        <v>0</v>
      </c>
      <c r="H39" s="205">
        <f t="shared" si="192"/>
        <v>0</v>
      </c>
      <c r="I39" s="203">
        <f t="shared" si="193"/>
        <v>0</v>
      </c>
      <c r="J39" s="203">
        <f t="shared" si="194"/>
        <v>0</v>
      </c>
      <c r="K39" s="204">
        <f t="shared" si="195"/>
        <v>-3893</v>
      </c>
      <c r="L39" s="205">
        <f t="shared" si="196"/>
        <v>0</v>
      </c>
      <c r="M39" s="203">
        <f t="shared" si="197"/>
        <v>0</v>
      </c>
      <c r="N39" s="203">
        <f t="shared" si="198"/>
        <v>0</v>
      </c>
      <c r="O39" s="204">
        <f t="shared" si="199"/>
        <v>0</v>
      </c>
      <c r="P39" s="205">
        <f t="shared" si="200"/>
        <v>0</v>
      </c>
      <c r="Q39" s="203">
        <f t="shared" si="201"/>
        <v>0</v>
      </c>
      <c r="R39" s="203">
        <f t="shared" si="202"/>
        <v>-95</v>
      </c>
      <c r="S39" s="204">
        <f t="shared" si="203"/>
        <v>127</v>
      </c>
      <c r="T39" s="205">
        <f t="shared" si="204"/>
        <v>0</v>
      </c>
      <c r="U39" s="203">
        <f t="shared" si="205"/>
        <v>0</v>
      </c>
      <c r="V39" s="203">
        <f t="shared" si="206"/>
        <v>0</v>
      </c>
      <c r="W39" s="204">
        <f t="shared" si="207"/>
        <v>58</v>
      </c>
      <c r="X39" s="205">
        <f t="shared" si="208"/>
        <v>-904</v>
      </c>
      <c r="Y39" s="203">
        <f t="shared" si="209"/>
        <v>0</v>
      </c>
      <c r="Z39" s="203">
        <f t="shared" si="210"/>
        <v>0</v>
      </c>
      <c r="AA39" s="204">
        <f t="shared" si="211"/>
        <v>0</v>
      </c>
      <c r="AB39" s="203">
        <f t="shared" si="212"/>
        <v>0</v>
      </c>
      <c r="AC39" s="203">
        <f t="shared" si="213"/>
        <v>0</v>
      </c>
      <c r="AD39" s="203">
        <f t="shared" si="214"/>
        <v>0</v>
      </c>
      <c r="AE39" s="204">
        <f t="shared" si="215"/>
        <v>0</v>
      </c>
      <c r="AF39" s="203">
        <f t="shared" si="216"/>
        <v>-281</v>
      </c>
      <c r="AG39" s="203">
        <f t="shared" si="217"/>
        <v>0</v>
      </c>
      <c r="AH39" s="203">
        <f t="shared" si="218"/>
        <v>0</v>
      </c>
      <c r="AI39" s="204">
        <f t="shared" si="219"/>
        <v>0</v>
      </c>
      <c r="AJ39" s="203">
        <f t="shared" si="220"/>
        <v>0</v>
      </c>
      <c r="AK39" s="203">
        <f t="shared" si="221"/>
        <v>0</v>
      </c>
      <c r="AL39" s="203">
        <f t="shared" si="222"/>
        <v>0</v>
      </c>
      <c r="AM39" s="204">
        <f t="shared" si="223"/>
        <v>0</v>
      </c>
      <c r="AN39" s="203">
        <f t="shared" si="224"/>
        <v>0</v>
      </c>
      <c r="AO39" s="203">
        <f t="shared" si="225"/>
        <v>0</v>
      </c>
      <c r="AP39" s="203">
        <f t="shared" si="226"/>
        <v>0</v>
      </c>
      <c r="AQ39" s="204">
        <f t="shared" si="227"/>
        <v>0</v>
      </c>
      <c r="AR39" s="203">
        <f t="shared" si="228"/>
        <v>0</v>
      </c>
      <c r="AS39" s="203">
        <f t="shared" si="229"/>
        <v>0</v>
      </c>
      <c r="AT39" s="203">
        <f t="shared" si="230"/>
        <v>0</v>
      </c>
      <c r="AU39" s="204">
        <f t="shared" si="231"/>
        <v>0</v>
      </c>
      <c r="AV39" s="203">
        <f t="shared" si="232"/>
        <v>0</v>
      </c>
      <c r="AW39" s="203">
        <f t="shared" si="233"/>
        <v>351</v>
      </c>
      <c r="AX39" s="203">
        <f t="shared" si="234"/>
        <v>-351</v>
      </c>
      <c r="AY39" s="204">
        <f t="shared" si="235"/>
        <v>342</v>
      </c>
      <c r="AZ39" s="203">
        <f t="shared" si="236"/>
        <v>0</v>
      </c>
      <c r="BA39" s="203">
        <f t="shared" si="237"/>
        <v>0</v>
      </c>
      <c r="BB39" s="203">
        <f t="shared" si="238"/>
        <v>0</v>
      </c>
      <c r="BC39" s="204">
        <f t="shared" si="239"/>
        <v>0</v>
      </c>
      <c r="BD39" s="203">
        <v>0</v>
      </c>
      <c r="BE39" s="203">
        <v>0</v>
      </c>
      <c r="BF39" s="203">
        <v>0</v>
      </c>
      <c r="BG39" s="207">
        <v>0</v>
      </c>
      <c r="BH39" s="203">
        <v>0</v>
      </c>
      <c r="BI39" s="203">
        <v>0</v>
      </c>
      <c r="BJ39" s="203">
        <v>0</v>
      </c>
      <c r="BK39" s="207">
        <v>0</v>
      </c>
      <c r="BL39" s="19"/>
      <c r="BM39" s="203">
        <f t="shared" si="243"/>
        <v>0</v>
      </c>
      <c r="BN39" s="203">
        <f t="shared" si="244"/>
        <v>-3893</v>
      </c>
      <c r="BO39" s="203">
        <f t="shared" si="245"/>
        <v>0</v>
      </c>
      <c r="BP39" s="203">
        <f t="shared" si="246"/>
        <v>32</v>
      </c>
      <c r="BQ39" s="203">
        <f t="shared" si="247"/>
        <v>58</v>
      </c>
      <c r="BR39" s="203">
        <f t="shared" si="248"/>
        <v>-904</v>
      </c>
      <c r="BS39" s="203">
        <f t="shared" si="249"/>
        <v>0</v>
      </c>
      <c r="BT39" s="203">
        <f t="shared" si="250"/>
        <v>-281</v>
      </c>
      <c r="BU39" s="203">
        <f t="shared" si="251"/>
        <v>0</v>
      </c>
      <c r="BV39" s="203">
        <f t="shared" si="252"/>
        <v>0</v>
      </c>
      <c r="BW39" s="203">
        <f t="shared" si="255"/>
        <v>0</v>
      </c>
      <c r="BX39" s="203">
        <f t="shared" si="256"/>
        <v>342</v>
      </c>
      <c r="BY39" s="203">
        <f t="shared" si="253"/>
        <v>0</v>
      </c>
      <c r="BZ39" s="203">
        <f t="shared" si="254"/>
        <v>0</v>
      </c>
      <c r="CA39" s="203">
        <f t="shared" si="257"/>
        <v>0</v>
      </c>
      <c r="CB39" s="2152">
        <v>0</v>
      </c>
      <c r="CC39" s="2143"/>
      <c r="CD39" s="1873"/>
    </row>
    <row r="40" spans="1:82" ht="14.25" customHeight="1">
      <c r="A40" s="7"/>
      <c r="B40" s="23" t="str">
        <f t="shared" si="187"/>
        <v>Proceeds from sale of property, plant and equipment</v>
      </c>
      <c r="C40" s="24"/>
      <c r="D40" s="205">
        <f t="shared" si="188"/>
        <v>0.216</v>
      </c>
      <c r="E40" s="203">
        <f t="shared" si="189"/>
        <v>5.5729999999999995</v>
      </c>
      <c r="F40" s="203">
        <f t="shared" si="190"/>
        <v>1.3430000000000002</v>
      </c>
      <c r="G40" s="204">
        <f t="shared" si="191"/>
        <v>2.8680000000000003</v>
      </c>
      <c r="H40" s="205">
        <f t="shared" si="192"/>
        <v>2.2909999999999999</v>
      </c>
      <c r="I40" s="203">
        <f t="shared" si="193"/>
        <v>0.99400000000000022</v>
      </c>
      <c r="J40" s="203">
        <f t="shared" si="194"/>
        <v>1.1379999999999999</v>
      </c>
      <c r="K40" s="204">
        <f t="shared" si="195"/>
        <v>18.577000000000002</v>
      </c>
      <c r="L40" s="205">
        <f t="shared" si="196"/>
        <v>1</v>
      </c>
      <c r="M40" s="203">
        <f t="shared" si="197"/>
        <v>-1</v>
      </c>
      <c r="N40" s="203">
        <f t="shared" si="198"/>
        <v>42</v>
      </c>
      <c r="O40" s="204">
        <f t="shared" si="199"/>
        <v>31</v>
      </c>
      <c r="P40" s="205">
        <f t="shared" si="200"/>
        <v>53</v>
      </c>
      <c r="Q40" s="203">
        <f t="shared" si="201"/>
        <v>290</v>
      </c>
      <c r="R40" s="203">
        <f t="shared" si="202"/>
        <v>0</v>
      </c>
      <c r="S40" s="204">
        <f t="shared" si="203"/>
        <v>0</v>
      </c>
      <c r="T40" s="205">
        <f t="shared" si="204"/>
        <v>0</v>
      </c>
      <c r="U40" s="203">
        <f t="shared" si="205"/>
        <v>0</v>
      </c>
      <c r="V40" s="203">
        <f t="shared" si="206"/>
        <v>1</v>
      </c>
      <c r="W40" s="204">
        <f t="shared" si="207"/>
        <v>-1</v>
      </c>
      <c r="X40" s="205">
        <f t="shared" si="208"/>
        <v>0</v>
      </c>
      <c r="Y40" s="203">
        <f t="shared" si="209"/>
        <v>0</v>
      </c>
      <c r="Z40" s="203">
        <f t="shared" si="210"/>
        <v>1</v>
      </c>
      <c r="AA40" s="204">
        <f t="shared" si="211"/>
        <v>0</v>
      </c>
      <c r="AB40" s="203">
        <f t="shared" si="212"/>
        <v>0</v>
      </c>
      <c r="AC40" s="203">
        <f t="shared" si="213"/>
        <v>0</v>
      </c>
      <c r="AD40" s="203">
        <f t="shared" si="214"/>
        <v>16</v>
      </c>
      <c r="AE40" s="204">
        <f t="shared" si="215"/>
        <v>0</v>
      </c>
      <c r="AF40" s="203">
        <f t="shared" si="216"/>
        <v>1</v>
      </c>
      <c r="AG40" s="203">
        <f t="shared" si="217"/>
        <v>-1</v>
      </c>
      <c r="AH40" s="203">
        <f t="shared" si="218"/>
        <v>0</v>
      </c>
      <c r="AI40" s="204">
        <f t="shared" si="219"/>
        <v>0</v>
      </c>
      <c r="AJ40" s="203">
        <f t="shared" si="220"/>
        <v>178</v>
      </c>
      <c r="AK40" s="203">
        <f t="shared" si="221"/>
        <v>3</v>
      </c>
      <c r="AL40" s="203">
        <f t="shared" si="222"/>
        <v>57</v>
      </c>
      <c r="AM40" s="204">
        <f t="shared" si="223"/>
        <v>0</v>
      </c>
      <c r="AN40" s="203">
        <f t="shared" si="224"/>
        <v>0</v>
      </c>
      <c r="AO40" s="203">
        <f t="shared" si="225"/>
        <v>0</v>
      </c>
      <c r="AP40" s="203">
        <f t="shared" si="226"/>
        <v>0</v>
      </c>
      <c r="AQ40" s="204">
        <f t="shared" si="227"/>
        <v>0</v>
      </c>
      <c r="AR40" s="203">
        <f t="shared" si="228"/>
        <v>0</v>
      </c>
      <c r="AS40" s="203">
        <f t="shared" si="229"/>
        <v>0</v>
      </c>
      <c r="AT40" s="203">
        <f t="shared" si="230"/>
        <v>8</v>
      </c>
      <c r="AU40" s="204">
        <f t="shared" si="231"/>
        <v>0</v>
      </c>
      <c r="AV40" s="203">
        <f t="shared" si="232"/>
        <v>0</v>
      </c>
      <c r="AW40" s="203">
        <f t="shared" si="233"/>
        <v>0</v>
      </c>
      <c r="AX40" s="203">
        <f t="shared" si="234"/>
        <v>0</v>
      </c>
      <c r="AY40" s="204">
        <f t="shared" si="235"/>
        <v>0</v>
      </c>
      <c r="AZ40" s="1483">
        <f t="shared" si="236"/>
        <v>0</v>
      </c>
      <c r="BA40" s="1483">
        <f t="shared" si="237"/>
        <v>0</v>
      </c>
      <c r="BB40" s="203">
        <f t="shared" si="238"/>
        <v>0</v>
      </c>
      <c r="BC40" s="204">
        <f t="shared" si="239"/>
        <v>0</v>
      </c>
      <c r="BD40" s="1483">
        <v>0</v>
      </c>
      <c r="BE40" s="1483">
        <v>0</v>
      </c>
      <c r="BF40" s="203">
        <v>0</v>
      </c>
      <c r="BG40" s="207">
        <v>0</v>
      </c>
      <c r="BH40" s="1483">
        <v>0</v>
      </c>
      <c r="BI40" s="1483">
        <v>0</v>
      </c>
      <c r="BJ40" s="203">
        <v>0</v>
      </c>
      <c r="BK40" s="207">
        <v>0</v>
      </c>
      <c r="BL40" s="19"/>
      <c r="BM40" s="203">
        <f t="shared" si="243"/>
        <v>10</v>
      </c>
      <c r="BN40" s="203">
        <f t="shared" si="244"/>
        <v>23</v>
      </c>
      <c r="BO40" s="203">
        <f t="shared" si="245"/>
        <v>73</v>
      </c>
      <c r="BP40" s="203">
        <f t="shared" si="246"/>
        <v>343</v>
      </c>
      <c r="BQ40" s="203">
        <f t="shared" si="247"/>
        <v>0</v>
      </c>
      <c r="BR40" s="203">
        <f t="shared" si="248"/>
        <v>1</v>
      </c>
      <c r="BS40" s="203">
        <f t="shared" si="249"/>
        <v>16</v>
      </c>
      <c r="BT40" s="203">
        <f t="shared" si="250"/>
        <v>0</v>
      </c>
      <c r="BU40" s="203">
        <f t="shared" si="251"/>
        <v>238</v>
      </c>
      <c r="BV40" s="203">
        <f t="shared" si="252"/>
        <v>0</v>
      </c>
      <c r="BW40" s="203">
        <f>SUM(AR40:AU40)</f>
        <v>8</v>
      </c>
      <c r="BX40" s="203">
        <f t="shared" si="256"/>
        <v>0</v>
      </c>
      <c r="BY40" s="203">
        <f t="shared" si="253"/>
        <v>0</v>
      </c>
      <c r="BZ40" s="203">
        <f t="shared" si="254"/>
        <v>0</v>
      </c>
      <c r="CA40" s="203">
        <f t="shared" si="257"/>
        <v>0</v>
      </c>
      <c r="CB40" s="2152">
        <v>0</v>
      </c>
      <c r="CC40" s="2143"/>
      <c r="CD40" s="1873"/>
    </row>
    <row r="41" spans="1:82" ht="14.25" customHeight="1">
      <c r="A41" s="10"/>
      <c r="B41" s="23" t="str">
        <f t="shared" si="187"/>
        <v>Other investing activities</v>
      </c>
      <c r="C41" s="24"/>
      <c r="D41" s="205">
        <f t="shared" si="188"/>
        <v>-5.625</v>
      </c>
      <c r="E41" s="203">
        <f t="shared" si="189"/>
        <v>-3.5</v>
      </c>
      <c r="F41" s="203">
        <f t="shared" si="190"/>
        <v>0</v>
      </c>
      <c r="G41" s="204">
        <f t="shared" si="191"/>
        <v>-31.875</v>
      </c>
      <c r="H41" s="205">
        <f t="shared" si="192"/>
        <v>16.858000000000001</v>
      </c>
      <c r="I41" s="203">
        <f t="shared" si="193"/>
        <v>181.56399999999999</v>
      </c>
      <c r="J41" s="203">
        <f t="shared" si="194"/>
        <v>0</v>
      </c>
      <c r="K41" s="204">
        <f t="shared" si="195"/>
        <v>278.57800000000003</v>
      </c>
      <c r="L41" s="205">
        <f t="shared" si="196"/>
        <v>9</v>
      </c>
      <c r="M41" s="203">
        <f t="shared" si="197"/>
        <v>2</v>
      </c>
      <c r="N41" s="203">
        <f t="shared" si="198"/>
        <v>168</v>
      </c>
      <c r="O41" s="204">
        <f t="shared" si="199"/>
        <v>-4</v>
      </c>
      <c r="P41" s="205">
        <f t="shared" si="200"/>
        <v>-17</v>
      </c>
      <c r="Q41" s="203">
        <f t="shared" si="201"/>
        <v>3</v>
      </c>
      <c r="R41" s="203">
        <f t="shared" si="202"/>
        <v>20</v>
      </c>
      <c r="S41" s="204">
        <f t="shared" si="203"/>
        <v>0</v>
      </c>
      <c r="T41" s="205">
        <f t="shared" si="204"/>
        <v>62</v>
      </c>
      <c r="U41" s="203">
        <f t="shared" si="205"/>
        <v>2</v>
      </c>
      <c r="V41" s="203">
        <f t="shared" si="206"/>
        <v>-2</v>
      </c>
      <c r="W41" s="204">
        <f t="shared" si="207"/>
        <v>-58</v>
      </c>
      <c r="X41" s="205">
        <f t="shared" si="208"/>
        <v>1</v>
      </c>
      <c r="Y41" s="203">
        <f t="shared" si="209"/>
        <v>17</v>
      </c>
      <c r="Z41" s="203">
        <f t="shared" si="210"/>
        <v>5</v>
      </c>
      <c r="AA41" s="204">
        <f t="shared" si="211"/>
        <v>-4</v>
      </c>
      <c r="AB41" s="203">
        <f t="shared" si="212"/>
        <v>-17</v>
      </c>
      <c r="AC41" s="203">
        <f t="shared" si="213"/>
        <v>0</v>
      </c>
      <c r="AD41" s="203">
        <f t="shared" si="214"/>
        <v>0</v>
      </c>
      <c r="AE41" s="204">
        <f t="shared" si="215"/>
        <v>-2</v>
      </c>
      <c r="AF41" s="203">
        <f t="shared" si="216"/>
        <v>-5</v>
      </c>
      <c r="AG41" s="203">
        <f t="shared" si="217"/>
        <v>0</v>
      </c>
      <c r="AH41" s="203">
        <f t="shared" si="218"/>
        <v>-18</v>
      </c>
      <c r="AI41" s="204">
        <f t="shared" si="219"/>
        <v>14</v>
      </c>
      <c r="AJ41" s="203">
        <f t="shared" si="220"/>
        <v>0</v>
      </c>
      <c r="AK41" s="203">
        <f t="shared" si="221"/>
        <v>0</v>
      </c>
      <c r="AL41" s="203">
        <f t="shared" si="222"/>
        <v>0</v>
      </c>
      <c r="AM41" s="204">
        <f t="shared" si="223"/>
        <v>0</v>
      </c>
      <c r="AN41" s="203">
        <f t="shared" si="224"/>
        <v>0</v>
      </c>
      <c r="AO41" s="203">
        <f t="shared" si="225"/>
        <v>0</v>
      </c>
      <c r="AP41" s="203">
        <f t="shared" si="226"/>
        <v>0</v>
      </c>
      <c r="AQ41" s="204">
        <f t="shared" si="227"/>
        <v>0</v>
      </c>
      <c r="AR41" s="203">
        <f t="shared" si="228"/>
        <v>0</v>
      </c>
      <c r="AS41" s="203">
        <f t="shared" si="229"/>
        <v>0</v>
      </c>
      <c r="AT41" s="203">
        <f t="shared" si="230"/>
        <v>0</v>
      </c>
      <c r="AU41" s="204">
        <f t="shared" si="231"/>
        <v>0</v>
      </c>
      <c r="AV41" s="203">
        <f t="shared" si="232"/>
        <v>0</v>
      </c>
      <c r="AW41" s="203">
        <f t="shared" si="233"/>
        <v>-1</v>
      </c>
      <c r="AX41" s="203">
        <f t="shared" si="234"/>
        <v>4</v>
      </c>
      <c r="AY41" s="204">
        <f t="shared" si="235"/>
        <v>-1</v>
      </c>
      <c r="AZ41" s="203">
        <f t="shared" si="236"/>
        <v>-2</v>
      </c>
      <c r="BA41" s="203">
        <f t="shared" si="237"/>
        <v>-1</v>
      </c>
      <c r="BB41" s="203">
        <f t="shared" si="238"/>
        <v>1</v>
      </c>
      <c r="BC41" s="204">
        <f t="shared" si="239"/>
        <v>1</v>
      </c>
      <c r="BD41" s="203">
        <f t="shared" ref="BD41" si="258">BD134</f>
        <v>0</v>
      </c>
      <c r="BE41" s="203">
        <f>BS!BD19-BS!BE19-BS!BE22+BS!BD22-BS!BE21+BS!BD21++BS!BD23-BS!BE23</f>
        <v>0</v>
      </c>
      <c r="BF41" s="203">
        <f>BS!BE19-BS!BF19-BS!BF22+BS!BE22-BS!BF21+BS!BE21++BS!BE23-BS!BF23</f>
        <v>0</v>
      </c>
      <c r="BG41" s="204">
        <f>BS!BF19-BS!BG19-BS!BG22+BS!BF22-BS!BG21+BS!BF21++BS!BF23-BS!BG23</f>
        <v>0</v>
      </c>
      <c r="BH41" s="203">
        <f>BS!BG19-BS!BH19-BS!BH22+BS!BG22-BS!BH21+BS!BG21++BS!BG23-BS!BH23</f>
        <v>0</v>
      </c>
      <c r="BI41" s="203">
        <f>BS!BH19-BS!BI19-BS!BI22+BS!BH22-BS!BI21+BS!BH21++BS!BH23-BS!BI23</f>
        <v>0</v>
      </c>
      <c r="BJ41" s="203">
        <f>BS!BI19-BS!BJ19-BS!BJ22+BS!BI22-BS!BJ21+BS!BI21++BS!BI23-BS!BJ23</f>
        <v>0</v>
      </c>
      <c r="BK41" s="204">
        <f>BS!BJ19-BS!BK19-BS!BK22+BS!BJ22-BS!BK21+BS!BJ21++BS!BJ23-BS!BK23</f>
        <v>0</v>
      </c>
      <c r="BL41" s="179"/>
      <c r="BM41" s="203">
        <f t="shared" si="243"/>
        <v>-41</v>
      </c>
      <c r="BN41" s="203">
        <f t="shared" si="244"/>
        <v>477</v>
      </c>
      <c r="BO41" s="203">
        <f t="shared" si="245"/>
        <v>175</v>
      </c>
      <c r="BP41" s="203">
        <f t="shared" si="246"/>
        <v>6</v>
      </c>
      <c r="BQ41" s="203">
        <f t="shared" si="247"/>
        <v>4</v>
      </c>
      <c r="BR41" s="203">
        <f t="shared" si="248"/>
        <v>19</v>
      </c>
      <c r="BS41" s="203">
        <f t="shared" si="249"/>
        <v>-19</v>
      </c>
      <c r="BT41" s="203">
        <f t="shared" si="250"/>
        <v>-9</v>
      </c>
      <c r="BU41" s="203">
        <f t="shared" si="251"/>
        <v>0</v>
      </c>
      <c r="BV41" s="203">
        <f t="shared" si="252"/>
        <v>0</v>
      </c>
      <c r="BW41" s="203">
        <f t="shared" si="255"/>
        <v>0</v>
      </c>
      <c r="BX41" s="203">
        <f t="shared" si="256"/>
        <v>2</v>
      </c>
      <c r="BY41" s="203">
        <f t="shared" si="253"/>
        <v>-1</v>
      </c>
      <c r="BZ41" s="203">
        <f t="shared" si="254"/>
        <v>0</v>
      </c>
      <c r="CA41" s="203">
        <f t="shared" si="257"/>
        <v>0</v>
      </c>
      <c r="CB41" s="2149">
        <f>BS!CA19-BS!CB19-BS!CB22+BS!CA22-BS!CB21+BS!CA21++BS!CA23-BS!CB23</f>
        <v>0</v>
      </c>
      <c r="CC41" s="2143"/>
      <c r="CD41" s="1873"/>
    </row>
    <row r="42" spans="1:82" ht="14.25" customHeight="1" thickBot="1">
      <c r="A42" s="7"/>
      <c r="B42" s="209" t="str">
        <f t="shared" si="187"/>
        <v>Net cash used for investing activities</v>
      </c>
      <c r="C42" s="210"/>
      <c r="D42" s="212">
        <f t="shared" ref="D42:Z42" si="259">SUM(D33:D41)</f>
        <v>-669.61199999999997</v>
      </c>
      <c r="E42" s="211">
        <f t="shared" si="259"/>
        <v>-387.21000000000004</v>
      </c>
      <c r="F42" s="211">
        <f t="shared" si="259"/>
        <v>-388.16200000000003</v>
      </c>
      <c r="G42" s="213">
        <f t="shared" si="259"/>
        <v>-825.01600000000019</v>
      </c>
      <c r="H42" s="212">
        <f t="shared" si="259"/>
        <v>-925.34699999999998</v>
      </c>
      <c r="I42" s="211">
        <f t="shared" si="259"/>
        <v>-480.58000000000004</v>
      </c>
      <c r="J42" s="211">
        <f t="shared" si="259"/>
        <v>448.12099999999958</v>
      </c>
      <c r="K42" s="213">
        <f t="shared" si="259"/>
        <v>-3345.1939999999995</v>
      </c>
      <c r="L42" s="212">
        <f t="shared" si="259"/>
        <v>-592</v>
      </c>
      <c r="M42" s="211">
        <f t="shared" si="259"/>
        <v>-526</v>
      </c>
      <c r="N42" s="211">
        <f t="shared" si="259"/>
        <v>-231</v>
      </c>
      <c r="O42" s="213">
        <f t="shared" si="259"/>
        <v>-326</v>
      </c>
      <c r="P42" s="212">
        <f t="shared" si="259"/>
        <v>-198</v>
      </c>
      <c r="Q42" s="211">
        <f t="shared" si="259"/>
        <v>262</v>
      </c>
      <c r="R42" s="211">
        <f t="shared" si="259"/>
        <v>-142</v>
      </c>
      <c r="S42" s="213">
        <f t="shared" si="259"/>
        <v>51</v>
      </c>
      <c r="T42" s="212">
        <f t="shared" si="259"/>
        <v>-179</v>
      </c>
      <c r="U42" s="211">
        <f t="shared" si="259"/>
        <v>-317</v>
      </c>
      <c r="V42" s="211">
        <f t="shared" si="259"/>
        <v>-220</v>
      </c>
      <c r="W42" s="213">
        <f t="shared" si="259"/>
        <v>-557</v>
      </c>
      <c r="X42" s="212">
        <f t="shared" si="259"/>
        <v>-1215</v>
      </c>
      <c r="Y42" s="211">
        <f t="shared" si="259"/>
        <v>516</v>
      </c>
      <c r="Z42" s="211">
        <f t="shared" si="259"/>
        <v>-321</v>
      </c>
      <c r="AA42" s="213">
        <f t="shared" ref="AA42:AM42" si="260">SUM(AA33:AA41)</f>
        <v>-103</v>
      </c>
      <c r="AB42" s="211">
        <f t="shared" si="260"/>
        <v>-14</v>
      </c>
      <c r="AC42" s="211">
        <f t="shared" si="260"/>
        <v>-230</v>
      </c>
      <c r="AD42" s="211">
        <f t="shared" si="260"/>
        <v>34</v>
      </c>
      <c r="AE42" s="213">
        <f t="shared" si="260"/>
        <v>97</v>
      </c>
      <c r="AF42" s="211">
        <f t="shared" si="260"/>
        <v>200</v>
      </c>
      <c r="AG42" s="211">
        <f t="shared" si="260"/>
        <v>-263</v>
      </c>
      <c r="AH42" s="211">
        <f t="shared" si="260"/>
        <v>-10</v>
      </c>
      <c r="AI42" s="213">
        <f t="shared" si="260"/>
        <v>54</v>
      </c>
      <c r="AJ42" s="211">
        <f t="shared" si="260"/>
        <v>47</v>
      </c>
      <c r="AK42" s="211">
        <f t="shared" si="260"/>
        <v>-74</v>
      </c>
      <c r="AL42" s="211">
        <f t="shared" si="260"/>
        <v>186</v>
      </c>
      <c r="AM42" s="213">
        <f t="shared" si="260"/>
        <v>296</v>
      </c>
      <c r="AN42" s="211">
        <f t="shared" ref="AN42:AQ42" si="261">SUM(AN33:AN41)</f>
        <v>-131</v>
      </c>
      <c r="AO42" s="211">
        <f t="shared" si="261"/>
        <v>-43</v>
      </c>
      <c r="AP42" s="211">
        <f t="shared" si="261"/>
        <v>119</v>
      </c>
      <c r="AQ42" s="213">
        <f t="shared" si="261"/>
        <v>43</v>
      </c>
      <c r="AR42" s="211">
        <f>SUM(AR33:AR41)</f>
        <v>-15</v>
      </c>
      <c r="AS42" s="211">
        <f t="shared" ref="AS42:AU42" si="262">SUM(AS33:AS41)</f>
        <v>211</v>
      </c>
      <c r="AT42" s="211">
        <f t="shared" si="262"/>
        <v>-17</v>
      </c>
      <c r="AU42" s="213">
        <f t="shared" si="262"/>
        <v>-32</v>
      </c>
      <c r="AV42" s="211">
        <f>SUM(AV33:AV41)</f>
        <v>-26</v>
      </c>
      <c r="AW42" s="211">
        <f t="shared" ref="AW42:AY42" si="263">SUM(AW33:AW41)</f>
        <v>329</v>
      </c>
      <c r="AX42" s="211">
        <f t="shared" si="263"/>
        <v>-10</v>
      </c>
      <c r="AY42" s="213">
        <f t="shared" si="263"/>
        <v>-26</v>
      </c>
      <c r="AZ42" s="211">
        <f>SUM(AZ33:AZ41)</f>
        <v>-246</v>
      </c>
      <c r="BA42" s="211">
        <f t="shared" ref="BA42:BC42" si="264">SUM(BA33:BA41)</f>
        <v>124</v>
      </c>
      <c r="BB42" s="211">
        <f t="shared" si="264"/>
        <v>51</v>
      </c>
      <c r="BC42" s="213">
        <f t="shared" si="264"/>
        <v>-43</v>
      </c>
      <c r="BD42" s="211">
        <f t="shared" ref="BD42:BG42" si="265">SUM(BD33:BD41)</f>
        <v>-46</v>
      </c>
      <c r="BE42" s="211">
        <f t="shared" si="265"/>
        <v>-25</v>
      </c>
      <c r="BF42" s="211">
        <f t="shared" si="265"/>
        <v>-25</v>
      </c>
      <c r="BG42" s="213">
        <f t="shared" si="265"/>
        <v>-25</v>
      </c>
      <c r="BH42" s="211">
        <f t="shared" ref="BH42:BK42" si="266">SUM(BH33:BH41)</f>
        <v>-25</v>
      </c>
      <c r="BI42" s="211">
        <f t="shared" si="266"/>
        <v>-25</v>
      </c>
      <c r="BJ42" s="211">
        <f t="shared" si="266"/>
        <v>-25</v>
      </c>
      <c r="BK42" s="213">
        <f t="shared" si="266"/>
        <v>-25</v>
      </c>
      <c r="BL42" s="19"/>
      <c r="BM42" s="211">
        <f t="shared" ref="BM42:BS42" si="267">SUM(BM33:BM41)</f>
        <v>-2270</v>
      </c>
      <c r="BN42" s="211">
        <f t="shared" si="267"/>
        <v>-4303</v>
      </c>
      <c r="BO42" s="211">
        <f t="shared" si="267"/>
        <v>-1675</v>
      </c>
      <c r="BP42" s="211">
        <f t="shared" si="267"/>
        <v>-27</v>
      </c>
      <c r="BQ42" s="211">
        <f t="shared" si="267"/>
        <v>-1273</v>
      </c>
      <c r="BR42" s="211">
        <f t="shared" si="267"/>
        <v>-1123</v>
      </c>
      <c r="BS42" s="211">
        <f t="shared" si="267"/>
        <v>-113</v>
      </c>
      <c r="BT42" s="211">
        <f t="shared" ref="BT42:BY42" si="268">SUM(BT33:BT41)</f>
        <v>-19</v>
      </c>
      <c r="BU42" s="211">
        <f t="shared" si="268"/>
        <v>455</v>
      </c>
      <c r="BV42" s="211">
        <f>SUM(BV33:BV41)</f>
        <v>-12</v>
      </c>
      <c r="BW42" s="211">
        <f>SUM(BW33:BW41)</f>
        <v>147</v>
      </c>
      <c r="BX42" s="211">
        <f t="shared" si="268"/>
        <v>267</v>
      </c>
      <c r="BY42" s="211">
        <f t="shared" si="268"/>
        <v>-114</v>
      </c>
      <c r="BZ42" s="211">
        <f t="shared" ref="BZ42:CB42" si="269">SUM(BZ33:BZ41)</f>
        <v>-121</v>
      </c>
      <c r="CA42" s="211">
        <f t="shared" si="269"/>
        <v>-100</v>
      </c>
      <c r="CB42" s="2151">
        <f t="shared" si="269"/>
        <v>-99.059534421365882</v>
      </c>
      <c r="CC42" s="2143"/>
      <c r="CD42" s="1873"/>
    </row>
    <row r="43" spans="1:82" ht="14.25" customHeight="1" thickTop="1">
      <c r="A43" s="7"/>
      <c r="B43" s="21"/>
      <c r="C43" s="22"/>
      <c r="D43" s="205"/>
      <c r="E43" s="203"/>
      <c r="F43" s="203"/>
      <c r="G43" s="204"/>
      <c r="H43" s="205"/>
      <c r="I43" s="203"/>
      <c r="J43" s="203"/>
      <c r="K43" s="204"/>
      <c r="L43" s="205"/>
      <c r="M43" s="203"/>
      <c r="N43" s="203"/>
      <c r="O43" s="204"/>
      <c r="P43" s="205"/>
      <c r="Q43" s="203"/>
      <c r="R43" s="203"/>
      <c r="S43" s="204"/>
      <c r="T43" s="205"/>
      <c r="U43" s="203"/>
      <c r="V43" s="203"/>
      <c r="W43" s="204"/>
      <c r="X43" s="205"/>
      <c r="Y43" s="203"/>
      <c r="Z43" s="203"/>
      <c r="AA43" s="204"/>
      <c r="AB43" s="203"/>
      <c r="AC43" s="203"/>
      <c r="AD43" s="203"/>
      <c r="AE43" s="204"/>
      <c r="AF43" s="203"/>
      <c r="AG43" s="203"/>
      <c r="AH43" s="203"/>
      <c r="AI43" s="204"/>
      <c r="AJ43" s="203"/>
      <c r="AK43" s="203"/>
      <c r="AL43" s="203"/>
      <c r="AM43" s="204"/>
      <c r="AN43" s="203"/>
      <c r="AO43" s="203"/>
      <c r="AP43" s="203"/>
      <c r="AQ43" s="204"/>
      <c r="AR43" s="203"/>
      <c r="AS43" s="203"/>
      <c r="AT43" s="203"/>
      <c r="AU43" s="204"/>
      <c r="AV43" s="203"/>
      <c r="AW43" s="203"/>
      <c r="AX43" s="203"/>
      <c r="AY43" s="204"/>
      <c r="AZ43" s="203"/>
      <c r="BA43" s="203"/>
      <c r="BB43" s="203"/>
      <c r="BC43" s="204"/>
      <c r="BD43" s="203"/>
      <c r="BE43" s="203"/>
      <c r="BF43" s="203"/>
      <c r="BG43" s="207"/>
      <c r="BH43" s="203"/>
      <c r="BI43" s="203"/>
      <c r="BJ43" s="203"/>
      <c r="BK43" s="207"/>
      <c r="BL43" s="19"/>
      <c r="BM43" s="203"/>
      <c r="BN43" s="203"/>
      <c r="BO43" s="203"/>
      <c r="BP43" s="203"/>
      <c r="BQ43" s="203"/>
      <c r="BR43" s="203"/>
      <c r="BS43" s="203"/>
      <c r="BT43" s="203"/>
      <c r="BU43" s="203"/>
      <c r="BV43" s="203"/>
      <c r="BW43" s="203"/>
      <c r="BX43" s="203"/>
      <c r="BY43" s="203"/>
      <c r="BZ43" s="203"/>
      <c r="CA43" s="203"/>
      <c r="CB43" s="2150"/>
      <c r="CC43" s="2143"/>
      <c r="CD43" s="1873"/>
    </row>
    <row r="44" spans="1:82" ht="14.25" customHeight="1">
      <c r="A44" s="7"/>
      <c r="B44" s="214" t="str">
        <f t="shared" ref="B44:B53" si="270">B137</f>
        <v>Cash flows from financing activities:</v>
      </c>
      <c r="C44" s="215"/>
      <c r="D44" s="205"/>
      <c r="E44" s="203"/>
      <c r="F44" s="203"/>
      <c r="G44" s="204"/>
      <c r="H44" s="205"/>
      <c r="I44" s="203"/>
      <c r="J44" s="203"/>
      <c r="K44" s="204"/>
      <c r="L44" s="205"/>
      <c r="M44" s="203"/>
      <c r="N44" s="203"/>
      <c r="O44" s="204"/>
      <c r="P44" s="205"/>
      <c r="Q44" s="203"/>
      <c r="R44" s="203"/>
      <c r="S44" s="204"/>
      <c r="T44" s="205"/>
      <c r="U44" s="203"/>
      <c r="V44" s="203"/>
      <c r="W44" s="204"/>
      <c r="X44" s="205"/>
      <c r="Y44" s="203"/>
      <c r="Z44" s="203"/>
      <c r="AA44" s="204"/>
      <c r="AB44" s="203"/>
      <c r="AC44" s="203"/>
      <c r="AD44" s="203"/>
      <c r="AE44" s="204"/>
      <c r="AF44" s="203"/>
      <c r="AG44" s="203"/>
      <c r="AH44" s="203"/>
      <c r="AI44" s="204"/>
      <c r="AJ44" s="203"/>
      <c r="AK44" s="203"/>
      <c r="AL44" s="203"/>
      <c r="AM44" s="204"/>
      <c r="AN44" s="203"/>
      <c r="AO44" s="203"/>
      <c r="AP44" s="203"/>
      <c r="AQ44" s="204"/>
      <c r="AR44" s="203"/>
      <c r="AS44" s="203"/>
      <c r="AT44" s="203"/>
      <c r="AU44" s="204"/>
      <c r="AV44" s="203"/>
      <c r="AW44" s="203"/>
      <c r="AX44" s="203"/>
      <c r="AY44" s="204"/>
      <c r="AZ44" s="203"/>
      <c r="BA44" s="203"/>
      <c r="BB44" s="203"/>
      <c r="BC44" s="204"/>
      <c r="BD44" s="203"/>
      <c r="BE44" s="203"/>
      <c r="BF44" s="203"/>
      <c r="BG44" s="207"/>
      <c r="BH44" s="203"/>
      <c r="BI44" s="203"/>
      <c r="BJ44" s="203"/>
      <c r="BK44" s="207"/>
      <c r="BL44" s="19"/>
      <c r="BM44" s="203"/>
      <c r="BN44" s="203"/>
      <c r="BO44" s="203"/>
      <c r="BP44" s="203"/>
      <c r="BQ44" s="203"/>
      <c r="BR44" s="203"/>
      <c r="BS44" s="203"/>
      <c r="BT44" s="203"/>
      <c r="BU44" s="203"/>
      <c r="BV44" s="203"/>
      <c r="BW44" s="203"/>
      <c r="BX44" s="203"/>
      <c r="BY44" s="203"/>
      <c r="BZ44" s="203"/>
      <c r="CA44" s="203"/>
      <c r="CB44" s="2150"/>
      <c r="CC44" s="2143"/>
      <c r="CD44" s="1873"/>
    </row>
    <row r="45" spans="1:82" ht="14.25" customHeight="1">
      <c r="A45" s="7"/>
      <c r="B45" s="23" t="str">
        <f t="shared" si="270"/>
        <v>Increase (decrease) in short-term debt, net</v>
      </c>
      <c r="C45" s="24"/>
      <c r="D45" s="205">
        <f t="shared" ref="D45:D53" si="271">D138</f>
        <v>0</v>
      </c>
      <c r="E45" s="203">
        <f t="shared" ref="E45:E53" si="272">E138-D45</f>
        <v>0</v>
      </c>
      <c r="F45" s="203">
        <f t="shared" ref="F45:F53" si="273">F138-E45-D45</f>
        <v>0</v>
      </c>
      <c r="G45" s="204">
        <f t="shared" ref="G45:G53" si="274">G138-F45-E45-D45</f>
        <v>0</v>
      </c>
      <c r="H45" s="205">
        <f t="shared" ref="H45:H53" si="275">H138</f>
        <v>0</v>
      </c>
      <c r="I45" s="203">
        <f t="shared" ref="I45:I53" si="276">I138-H45</f>
        <v>0</v>
      </c>
      <c r="J45" s="203">
        <f t="shared" ref="J45:J53" si="277">J138-I45-H45</f>
        <v>0</v>
      </c>
      <c r="K45" s="204">
        <f t="shared" ref="K45:K53" si="278">K138-J45-I45-H45</f>
        <v>0</v>
      </c>
      <c r="L45" s="205">
        <f t="shared" ref="L45:L53" si="279">L138</f>
        <v>0</v>
      </c>
      <c r="M45" s="203">
        <f t="shared" ref="M45:M53" si="280">M138-L45</f>
        <v>0</v>
      </c>
      <c r="N45" s="203">
        <f t="shared" ref="N45:N53" si="281">N138-M45-L45</f>
        <v>0</v>
      </c>
      <c r="O45" s="204">
        <f t="shared" ref="O45:O53" si="282">O138-N45-M45-L45</f>
        <v>0</v>
      </c>
      <c r="P45" s="205">
        <f t="shared" ref="P45:P53" si="283">P138</f>
        <v>0</v>
      </c>
      <c r="Q45" s="203">
        <f t="shared" ref="Q45:Q53" si="284">Q138-P45</f>
        <v>0</v>
      </c>
      <c r="R45" s="203">
        <f t="shared" ref="R45:R53" si="285">R138-Q45-P45</f>
        <v>0</v>
      </c>
      <c r="S45" s="204">
        <f t="shared" ref="S45:S53" si="286">S138-R45-Q45-P45</f>
        <v>0</v>
      </c>
      <c r="T45" s="205">
        <f t="shared" ref="T45:T53" si="287">T138</f>
        <v>0</v>
      </c>
      <c r="U45" s="203">
        <f t="shared" ref="U45:U53" si="288">U138-T45</f>
        <v>0</v>
      </c>
      <c r="V45" s="203">
        <f t="shared" ref="V45:V53" si="289">V138-U45-T45</f>
        <v>0</v>
      </c>
      <c r="W45" s="204">
        <f t="shared" ref="W45:W53" si="290">W138-V45-U45-T45</f>
        <v>0</v>
      </c>
      <c r="X45" s="205">
        <f t="shared" ref="X45:X53" si="291">X138</f>
        <v>0</v>
      </c>
      <c r="Y45" s="203">
        <f t="shared" ref="Y45:Y53" si="292">Y138-X45</f>
        <v>0</v>
      </c>
      <c r="Z45" s="203">
        <f t="shared" ref="Z45:Z53" si="293">Z138-Y45-X45</f>
        <v>0</v>
      </c>
      <c r="AA45" s="204">
        <f t="shared" ref="AA45:AA53" si="294">AA138-Z45-Y45-X45</f>
        <v>0</v>
      </c>
      <c r="AB45" s="203">
        <f t="shared" ref="AB45:AB53" si="295">AB138</f>
        <v>0</v>
      </c>
      <c r="AC45" s="203">
        <f t="shared" ref="AC45:AC53" si="296">AC138-AB45</f>
        <v>0</v>
      </c>
      <c r="AD45" s="203">
        <f t="shared" ref="AD45:AD53" si="297">AD138-AC45-AB45</f>
        <v>0</v>
      </c>
      <c r="AE45" s="204">
        <f t="shared" ref="AE45:AE53" si="298">AE138-AD45-AC45-AB45</f>
        <v>0</v>
      </c>
      <c r="AF45" s="203">
        <f t="shared" ref="AF45:AF53" si="299">AF138</f>
        <v>0</v>
      </c>
      <c r="AG45" s="203">
        <f t="shared" ref="AG45:AG53" si="300">AG138-AF45</f>
        <v>0</v>
      </c>
      <c r="AH45" s="203">
        <f t="shared" ref="AH45:AH53" si="301">AH138-AG45-AF45</f>
        <v>0</v>
      </c>
      <c r="AI45" s="204">
        <f t="shared" ref="AI45:AI53" si="302">AI138-AH45-AG45-AF45</f>
        <v>0</v>
      </c>
      <c r="AJ45" s="203">
        <f t="shared" ref="AJ45:AJ53" si="303">AJ138</f>
        <v>0</v>
      </c>
      <c r="AK45" s="203">
        <f t="shared" ref="AK45:AK53" si="304">AK138-AJ45</f>
        <v>0</v>
      </c>
      <c r="AL45" s="203">
        <f t="shared" ref="AL45:AL53" si="305">AL138-AK45-AJ45</f>
        <v>0</v>
      </c>
      <c r="AM45" s="204">
        <f t="shared" ref="AM45:AM53" si="306">AM138-AL45-AK45-AJ45</f>
        <v>55</v>
      </c>
      <c r="AN45" s="203">
        <f>AN138</f>
        <v>0</v>
      </c>
      <c r="AO45" s="203">
        <f t="shared" ref="AO45:AO53" si="307">AO138-AN45</f>
        <v>0</v>
      </c>
      <c r="AP45" s="203">
        <f t="shared" ref="AP45:AP53" si="308">AP138-AO45-AN45</f>
        <v>0</v>
      </c>
      <c r="AQ45" s="204">
        <f t="shared" ref="AQ45:AQ53" si="309">AQ138-AP45-AO45-AN45</f>
        <v>0</v>
      </c>
      <c r="AR45" s="203">
        <f>AR138</f>
        <v>0</v>
      </c>
      <c r="AS45" s="203">
        <f t="shared" ref="AS45:AS53" si="310">AS138-AR45</f>
        <v>0</v>
      </c>
      <c r="AT45" s="203">
        <f t="shared" ref="AT45:AT53" si="311">AT138-AS45-AR45</f>
        <v>0</v>
      </c>
      <c r="AU45" s="204">
        <f t="shared" ref="AU45:AU53" si="312">AU138-AT45-AS45-AR45</f>
        <v>0</v>
      </c>
      <c r="AV45" s="203">
        <f>AV138</f>
        <v>0</v>
      </c>
      <c r="AW45" s="203">
        <f t="shared" ref="AW45:AW53" si="313">AW138-AV45</f>
        <v>0</v>
      </c>
      <c r="AX45" s="203">
        <f t="shared" ref="AX45:AX53" si="314">AX138-AW45-AV45</f>
        <v>0</v>
      </c>
      <c r="AY45" s="204">
        <f t="shared" ref="AY45:AY53" si="315">AY138-AX45-AW45-AV45</f>
        <v>0</v>
      </c>
      <c r="AZ45" s="203">
        <f>AZ138</f>
        <v>0</v>
      </c>
      <c r="BA45" s="203">
        <f t="shared" ref="BA45:BA53" si="316">BA138-AZ45</f>
        <v>0</v>
      </c>
      <c r="BB45" s="203">
        <f t="shared" ref="BB45:BB53" si="317">BB138-BA45-AZ45</f>
        <v>0</v>
      </c>
      <c r="BC45" s="204">
        <f t="shared" ref="BC45:BC53" si="318">BC138-BB45-BA45-AZ45</f>
        <v>0</v>
      </c>
      <c r="BD45" s="203">
        <v>0</v>
      </c>
      <c r="BE45" s="203">
        <v>0</v>
      </c>
      <c r="BF45" s="203">
        <v>0</v>
      </c>
      <c r="BG45" s="207">
        <v>0</v>
      </c>
      <c r="BH45" s="203">
        <v>0</v>
      </c>
      <c r="BI45" s="203">
        <v>0</v>
      </c>
      <c r="BJ45" s="203">
        <v>0</v>
      </c>
      <c r="BK45" s="207">
        <v>0</v>
      </c>
      <c r="BL45" s="19"/>
      <c r="BM45" s="203">
        <f t="shared" ref="BM45:BM53" si="319">SUM(D45:G45)</f>
        <v>0</v>
      </c>
      <c r="BN45" s="203">
        <f t="shared" ref="BN45:BN53" si="320">SUM(H45:K45)</f>
        <v>0</v>
      </c>
      <c r="BO45" s="203">
        <f t="shared" ref="BO45:BO53" si="321">SUM(L45:O45)</f>
        <v>0</v>
      </c>
      <c r="BP45" s="203">
        <f t="shared" ref="BP45:BP53" si="322">SUM(P45:S45)</f>
        <v>0</v>
      </c>
      <c r="BQ45" s="203">
        <f t="shared" ref="BQ45:BQ53" si="323">SUM(T45:W45)</f>
        <v>0</v>
      </c>
      <c r="BR45" s="203">
        <f t="shared" ref="BR45:BR53" si="324">SUM(X45:AA45)</f>
        <v>0</v>
      </c>
      <c r="BS45" s="203">
        <f t="shared" ref="BS45:BS53" si="325">SUM(AB45:AE45)</f>
        <v>0</v>
      </c>
      <c r="BT45" s="203">
        <f t="shared" ref="BT45:BT53" si="326">SUM(AF45:AI45)</f>
        <v>0</v>
      </c>
      <c r="BU45" s="203">
        <f t="shared" ref="BU45:BU53" si="327">SUM(AJ45:AM45)</f>
        <v>55</v>
      </c>
      <c r="BV45" s="203">
        <f t="shared" ref="BV45:BV53" si="328">SUM(AN45:AQ45)</f>
        <v>0</v>
      </c>
      <c r="BW45" s="203">
        <f t="shared" ref="BW45:BW53" si="329">SUM(AR45:AU45)</f>
        <v>0</v>
      </c>
      <c r="BX45" s="203">
        <f t="shared" ref="BX45:BX53" si="330">SUM(AV45:AY45)</f>
        <v>0</v>
      </c>
      <c r="BY45" s="203">
        <f t="shared" ref="BY45:BY53" si="331">SUM(AZ45:BC45)</f>
        <v>0</v>
      </c>
      <c r="BZ45" s="203">
        <f t="shared" ref="BZ45:BZ53" si="332">SUM(BD45:BG45)</f>
        <v>0</v>
      </c>
      <c r="CA45" s="203">
        <f>SUM(BH45:BK45)</f>
        <v>0</v>
      </c>
      <c r="CB45" s="2150">
        <v>0</v>
      </c>
      <c r="CC45" s="2143"/>
      <c r="CD45" s="1873"/>
    </row>
    <row r="46" spans="1:82" ht="14.25" customHeight="1">
      <c r="A46" s="7"/>
      <c r="B46" s="23" t="str">
        <f t="shared" si="270"/>
        <v>Proceeds from borrowings</v>
      </c>
      <c r="C46" s="24"/>
      <c r="D46" s="205">
        <f t="shared" si="271"/>
        <v>0</v>
      </c>
      <c r="E46" s="203">
        <f t="shared" si="272"/>
        <v>36.267000000000003</v>
      </c>
      <c r="F46" s="203">
        <f t="shared" si="273"/>
        <v>57.710999999999991</v>
      </c>
      <c r="G46" s="204">
        <f t="shared" si="274"/>
        <v>152.02200000000002</v>
      </c>
      <c r="H46" s="205">
        <f t="shared" si="275"/>
        <v>0</v>
      </c>
      <c r="I46" s="203">
        <f t="shared" si="276"/>
        <v>0</v>
      </c>
      <c r="J46" s="203">
        <f t="shared" si="277"/>
        <v>0</v>
      </c>
      <c r="K46" s="204">
        <f t="shared" si="278"/>
        <v>3366</v>
      </c>
      <c r="L46" s="205">
        <f t="shared" si="279"/>
        <v>0</v>
      </c>
      <c r="M46" s="203">
        <f t="shared" si="280"/>
        <v>2169</v>
      </c>
      <c r="N46" s="203">
        <f t="shared" si="281"/>
        <v>1480</v>
      </c>
      <c r="O46" s="204">
        <f t="shared" si="282"/>
        <v>0</v>
      </c>
      <c r="P46" s="205">
        <f t="shared" si="283"/>
        <v>0</v>
      </c>
      <c r="Q46" s="203">
        <f t="shared" si="284"/>
        <v>65</v>
      </c>
      <c r="R46" s="203">
        <f t="shared" si="285"/>
        <v>117</v>
      </c>
      <c r="S46" s="204">
        <f t="shared" si="286"/>
        <v>126</v>
      </c>
      <c r="T46" s="205">
        <f t="shared" si="287"/>
        <v>142</v>
      </c>
      <c r="U46" s="203">
        <f t="shared" si="288"/>
        <v>112</v>
      </c>
      <c r="V46" s="203">
        <f t="shared" si="289"/>
        <v>145</v>
      </c>
      <c r="W46" s="204">
        <f t="shared" si="290"/>
        <v>661</v>
      </c>
      <c r="X46" s="205">
        <f t="shared" si="291"/>
        <v>199</v>
      </c>
      <c r="Y46" s="203">
        <f t="shared" si="292"/>
        <v>224</v>
      </c>
      <c r="Z46" s="203">
        <f t="shared" si="293"/>
        <v>800</v>
      </c>
      <c r="AA46" s="204">
        <f t="shared" si="294"/>
        <v>297</v>
      </c>
      <c r="AB46" s="203">
        <f t="shared" si="295"/>
        <v>165</v>
      </c>
      <c r="AC46" s="203">
        <f t="shared" si="296"/>
        <v>5</v>
      </c>
      <c r="AD46" s="203">
        <f t="shared" si="297"/>
        <v>0</v>
      </c>
      <c r="AE46" s="204">
        <f t="shared" si="298"/>
        <v>0</v>
      </c>
      <c r="AF46" s="203">
        <f t="shared" si="299"/>
        <v>0</v>
      </c>
      <c r="AG46" s="203">
        <f t="shared" si="300"/>
        <v>0</v>
      </c>
      <c r="AH46" s="203">
        <f t="shared" si="301"/>
        <v>491</v>
      </c>
      <c r="AI46" s="204">
        <f t="shared" si="302"/>
        <v>0</v>
      </c>
      <c r="AJ46" s="203">
        <f t="shared" si="303"/>
        <v>0</v>
      </c>
      <c r="AK46" s="203">
        <f t="shared" si="304"/>
        <v>0</v>
      </c>
      <c r="AL46" s="203">
        <f t="shared" si="305"/>
        <v>0</v>
      </c>
      <c r="AM46" s="204">
        <f t="shared" si="306"/>
        <v>0</v>
      </c>
      <c r="AN46" s="203">
        <f t="shared" ref="AN46:AN53" si="333">AN139</f>
        <v>589</v>
      </c>
      <c r="AO46" s="203">
        <f t="shared" si="307"/>
        <v>491</v>
      </c>
      <c r="AP46" s="203">
        <f t="shared" si="308"/>
        <v>0</v>
      </c>
      <c r="AQ46" s="204">
        <f t="shared" si="309"/>
        <v>75</v>
      </c>
      <c r="AR46" s="203">
        <f t="shared" ref="AR46:AR53" si="334">AR139</f>
        <v>58</v>
      </c>
      <c r="AS46" s="203">
        <f t="shared" si="310"/>
        <v>42</v>
      </c>
      <c r="AT46" s="203">
        <f t="shared" si="311"/>
        <v>0</v>
      </c>
      <c r="AU46" s="204">
        <f t="shared" si="312"/>
        <v>0</v>
      </c>
      <c r="AV46" s="203">
        <f t="shared" ref="AV46:AV53" si="335">AV139</f>
        <v>0</v>
      </c>
      <c r="AW46" s="203">
        <f t="shared" si="313"/>
        <v>-4</v>
      </c>
      <c r="AX46" s="203">
        <f t="shared" si="314"/>
        <v>-1074</v>
      </c>
      <c r="AY46" s="204">
        <f t="shared" si="315"/>
        <v>1860</v>
      </c>
      <c r="AZ46" s="203">
        <f t="shared" ref="AZ46:AZ53" si="336">AZ139</f>
        <v>0</v>
      </c>
      <c r="BA46" s="203">
        <f t="shared" si="316"/>
        <v>42</v>
      </c>
      <c r="BB46" s="203">
        <f t="shared" si="317"/>
        <v>28</v>
      </c>
      <c r="BC46" s="204">
        <f t="shared" si="318"/>
        <v>0</v>
      </c>
      <c r="BD46" s="203">
        <f>+BS!BD123-BS!BC123</f>
        <v>0</v>
      </c>
      <c r="BE46" s="203">
        <f>+BS!BE123-BS!BD123</f>
        <v>0</v>
      </c>
      <c r="BF46" s="203">
        <f>+BS!BF123-BS!BE123</f>
        <v>0</v>
      </c>
      <c r="BG46" s="204">
        <f>+BS!BG123-BS!BF123</f>
        <v>0</v>
      </c>
      <c r="BH46" s="203">
        <f>+BS!BH123-BS!BG123</f>
        <v>0</v>
      </c>
      <c r="BI46" s="203">
        <f>+BS!BI123-BS!BH123</f>
        <v>0</v>
      </c>
      <c r="BJ46" s="203">
        <f>+BS!BJ123-BS!BI123</f>
        <v>0</v>
      </c>
      <c r="BK46" s="204">
        <f>+BS!BK123-BS!BJ123</f>
        <v>0</v>
      </c>
      <c r="BL46" s="19"/>
      <c r="BM46" s="203">
        <f t="shared" si="319"/>
        <v>246</v>
      </c>
      <c r="BN46" s="203">
        <f t="shared" si="320"/>
        <v>3366</v>
      </c>
      <c r="BO46" s="203">
        <f t="shared" si="321"/>
        <v>3649</v>
      </c>
      <c r="BP46" s="203">
        <f t="shared" si="322"/>
        <v>308</v>
      </c>
      <c r="BQ46" s="203">
        <f t="shared" si="323"/>
        <v>1060</v>
      </c>
      <c r="BR46" s="203">
        <f t="shared" si="324"/>
        <v>1520</v>
      </c>
      <c r="BS46" s="203">
        <f t="shared" si="325"/>
        <v>170</v>
      </c>
      <c r="BT46" s="203">
        <f t="shared" si="326"/>
        <v>491</v>
      </c>
      <c r="BU46" s="203">
        <f t="shared" si="327"/>
        <v>0</v>
      </c>
      <c r="BV46" s="203">
        <f t="shared" si="328"/>
        <v>1155</v>
      </c>
      <c r="BW46" s="203">
        <f t="shared" si="329"/>
        <v>100</v>
      </c>
      <c r="BX46" s="203">
        <f t="shared" si="330"/>
        <v>782</v>
      </c>
      <c r="BY46" s="203">
        <f t="shared" si="331"/>
        <v>70</v>
      </c>
      <c r="BZ46" s="203">
        <f t="shared" si="332"/>
        <v>0</v>
      </c>
      <c r="CA46" s="203">
        <f t="shared" ref="CA46:CA53" si="337">SUM(BH46:BK46)</f>
        <v>0</v>
      </c>
      <c r="CB46" s="2149">
        <f>+BS!CB121-BS!CA121</f>
        <v>0</v>
      </c>
      <c r="CC46" s="2143"/>
      <c r="CD46" s="1873"/>
    </row>
    <row r="47" spans="1:82" ht="14.25" customHeight="1">
      <c r="A47" s="7"/>
      <c r="B47" s="23" t="str">
        <f t="shared" si="270"/>
        <v>Repayments of debt</v>
      </c>
      <c r="C47" s="24"/>
      <c r="D47" s="205">
        <f t="shared" si="271"/>
        <v>-54.332000000000001</v>
      </c>
      <c r="E47" s="203">
        <f t="shared" si="272"/>
        <v>-46.157999999999994</v>
      </c>
      <c r="F47" s="203">
        <f t="shared" si="273"/>
        <v>-84.93</v>
      </c>
      <c r="G47" s="204">
        <f t="shared" si="274"/>
        <v>-130.58000000000001</v>
      </c>
      <c r="H47" s="205">
        <f t="shared" si="275"/>
        <v>-211.20500000000001</v>
      </c>
      <c r="I47" s="203">
        <f t="shared" si="276"/>
        <v>-0.85699999999999932</v>
      </c>
      <c r="J47" s="203">
        <f t="shared" si="277"/>
        <v>-0.79499999999998749</v>
      </c>
      <c r="K47" s="204">
        <f t="shared" si="278"/>
        <v>-326.14300000000003</v>
      </c>
      <c r="L47" s="205">
        <f t="shared" si="279"/>
        <v>-21</v>
      </c>
      <c r="M47" s="203">
        <f t="shared" si="280"/>
        <v>-532</v>
      </c>
      <c r="N47" s="203">
        <f t="shared" si="281"/>
        <v>-1750</v>
      </c>
      <c r="O47" s="204">
        <f t="shared" si="282"/>
        <v>12</v>
      </c>
      <c r="P47" s="205">
        <f t="shared" si="283"/>
        <v>-3</v>
      </c>
      <c r="Q47" s="203">
        <f t="shared" si="284"/>
        <v>-48</v>
      </c>
      <c r="R47" s="203">
        <f t="shared" si="285"/>
        <v>-47</v>
      </c>
      <c r="S47" s="204">
        <f t="shared" si="286"/>
        <v>-68</v>
      </c>
      <c r="T47" s="205">
        <f t="shared" si="287"/>
        <v>-105</v>
      </c>
      <c r="U47" s="203">
        <f t="shared" si="288"/>
        <v>-79</v>
      </c>
      <c r="V47" s="203">
        <f t="shared" si="289"/>
        <v>-175</v>
      </c>
      <c r="W47" s="204">
        <f t="shared" si="290"/>
        <v>-1461</v>
      </c>
      <c r="X47" s="205">
        <f t="shared" si="291"/>
        <v>-25</v>
      </c>
      <c r="Y47" s="203">
        <f t="shared" si="292"/>
        <v>-215</v>
      </c>
      <c r="Z47" s="203">
        <f t="shared" si="293"/>
        <v>-818</v>
      </c>
      <c r="AA47" s="204">
        <f t="shared" si="294"/>
        <v>-16</v>
      </c>
      <c r="AB47" s="203">
        <f t="shared" si="295"/>
        <v>-1</v>
      </c>
      <c r="AC47" s="203">
        <f t="shared" si="296"/>
        <v>-4</v>
      </c>
      <c r="AD47" s="203">
        <f t="shared" si="297"/>
        <v>-153</v>
      </c>
      <c r="AE47" s="204">
        <f t="shared" si="298"/>
        <v>-51</v>
      </c>
      <c r="AF47" s="203">
        <f t="shared" si="299"/>
        <v>-1</v>
      </c>
      <c r="AG47" s="203">
        <f t="shared" si="300"/>
        <v>-1</v>
      </c>
      <c r="AH47" s="203">
        <f t="shared" si="301"/>
        <v>-486</v>
      </c>
      <c r="AI47" s="204">
        <f t="shared" si="302"/>
        <v>-1</v>
      </c>
      <c r="AJ47" s="203">
        <f t="shared" si="303"/>
        <v>-1</v>
      </c>
      <c r="AK47" s="203">
        <f t="shared" si="304"/>
        <v>-1</v>
      </c>
      <c r="AL47" s="203">
        <f t="shared" si="305"/>
        <v>-2</v>
      </c>
      <c r="AM47" s="204">
        <f t="shared" si="306"/>
        <v>-51</v>
      </c>
      <c r="AN47" s="203">
        <f t="shared" si="333"/>
        <v>-569</v>
      </c>
      <c r="AO47" s="203">
        <f t="shared" si="307"/>
        <v>-473</v>
      </c>
      <c r="AP47" s="203">
        <f t="shared" si="308"/>
        <v>-1</v>
      </c>
      <c r="AQ47" s="204">
        <f t="shared" si="309"/>
        <v>-72</v>
      </c>
      <c r="AR47" s="203">
        <f>AR140</f>
        <v>-1</v>
      </c>
      <c r="AS47" s="203">
        <f t="shared" si="310"/>
        <v>-43</v>
      </c>
      <c r="AT47" s="203">
        <f t="shared" si="311"/>
        <v>0</v>
      </c>
      <c r="AU47" s="204">
        <f t="shared" si="312"/>
        <v>0</v>
      </c>
      <c r="AV47" s="203">
        <f>AV140</f>
        <v>0</v>
      </c>
      <c r="AW47" s="203">
        <f t="shared" si="313"/>
        <v>0</v>
      </c>
      <c r="AX47" s="203">
        <f t="shared" si="314"/>
        <v>681</v>
      </c>
      <c r="AY47" s="204">
        <f t="shared" si="315"/>
        <v>-2024</v>
      </c>
      <c r="AZ47" s="203">
        <f>AZ140</f>
        <v>0</v>
      </c>
      <c r="BA47" s="203">
        <f t="shared" si="316"/>
        <v>-42</v>
      </c>
      <c r="BB47" s="203">
        <f t="shared" si="317"/>
        <v>-28</v>
      </c>
      <c r="BC47" s="204">
        <f t="shared" si="318"/>
        <v>-40</v>
      </c>
      <c r="BD47" s="203">
        <v>0</v>
      </c>
      <c r="BE47" s="203">
        <v>0</v>
      </c>
      <c r="BF47" s="203">
        <v>0</v>
      </c>
      <c r="BG47" s="207">
        <v>0</v>
      </c>
      <c r="BH47" s="203">
        <v>0</v>
      </c>
      <c r="BI47" s="203">
        <v>0</v>
      </c>
      <c r="BJ47" s="203">
        <v>0</v>
      </c>
      <c r="BK47" s="207">
        <v>0</v>
      </c>
      <c r="BL47" s="19"/>
      <c r="BM47" s="203">
        <f>SUM(D47:G47)</f>
        <v>-316</v>
      </c>
      <c r="BN47" s="203">
        <f>SUM(H47:K47)</f>
        <v>-539</v>
      </c>
      <c r="BO47" s="203">
        <f>SUM(L47:O47)</f>
        <v>-2291</v>
      </c>
      <c r="BP47" s="203">
        <f>SUM(P47:S47)</f>
        <v>-166</v>
      </c>
      <c r="BQ47" s="203">
        <f>SUM(T47:W47)</f>
        <v>-1820</v>
      </c>
      <c r="BR47" s="203">
        <f>SUM(X47:AA47)</f>
        <v>-1074</v>
      </c>
      <c r="BS47" s="203">
        <f>SUM(AB47:AE47)</f>
        <v>-209</v>
      </c>
      <c r="BT47" s="203">
        <f>SUM(AF47:AI47)</f>
        <v>-489</v>
      </c>
      <c r="BU47" s="203">
        <f>SUM(AJ47:AM47)</f>
        <v>-55</v>
      </c>
      <c r="BV47" s="203">
        <f t="shared" si="328"/>
        <v>-1115</v>
      </c>
      <c r="BW47" s="203">
        <f t="shared" si="329"/>
        <v>-44</v>
      </c>
      <c r="BX47" s="203">
        <f t="shared" si="330"/>
        <v>-1343</v>
      </c>
      <c r="BY47" s="203">
        <f t="shared" si="331"/>
        <v>-110</v>
      </c>
      <c r="BZ47" s="203">
        <f t="shared" si="332"/>
        <v>0</v>
      </c>
      <c r="CA47" s="203">
        <f t="shared" si="337"/>
        <v>0</v>
      </c>
      <c r="CB47" s="2150">
        <v>0</v>
      </c>
      <c r="CC47" s="2143"/>
      <c r="CD47" s="1873"/>
    </row>
    <row r="48" spans="1:82" ht="14.25" customHeight="1">
      <c r="A48" s="7"/>
      <c r="B48" s="23" t="str">
        <f t="shared" si="270"/>
        <v>Proceeds from issuance of GLOBALFOUNDRIES notes</v>
      </c>
      <c r="C48" s="24"/>
      <c r="D48" s="205">
        <f t="shared" si="271"/>
        <v>0</v>
      </c>
      <c r="E48" s="203">
        <f t="shared" si="272"/>
        <v>0</v>
      </c>
      <c r="F48" s="203">
        <f t="shared" si="273"/>
        <v>0</v>
      </c>
      <c r="G48" s="204">
        <f t="shared" si="274"/>
        <v>0</v>
      </c>
      <c r="H48" s="205">
        <f t="shared" si="275"/>
        <v>0</v>
      </c>
      <c r="I48" s="203">
        <f t="shared" si="276"/>
        <v>0</v>
      </c>
      <c r="J48" s="203">
        <f t="shared" si="277"/>
        <v>0</v>
      </c>
      <c r="K48" s="204">
        <f t="shared" si="278"/>
        <v>0</v>
      </c>
      <c r="L48" s="205">
        <f t="shared" si="279"/>
        <v>0</v>
      </c>
      <c r="M48" s="203">
        <f t="shared" si="280"/>
        <v>0</v>
      </c>
      <c r="N48" s="203">
        <f t="shared" si="281"/>
        <v>0</v>
      </c>
      <c r="O48" s="204">
        <f t="shared" si="282"/>
        <v>0</v>
      </c>
      <c r="P48" s="205">
        <f t="shared" si="283"/>
        <v>0</v>
      </c>
      <c r="Q48" s="203">
        <f t="shared" si="284"/>
        <v>0</v>
      </c>
      <c r="R48" s="203">
        <f t="shared" si="285"/>
        <v>0</v>
      </c>
      <c r="S48" s="204">
        <f t="shared" si="286"/>
        <v>-82</v>
      </c>
      <c r="T48" s="205">
        <f t="shared" si="287"/>
        <v>2100</v>
      </c>
      <c r="U48" s="203">
        <f t="shared" si="288"/>
        <v>0</v>
      </c>
      <c r="V48" s="203">
        <f t="shared" si="289"/>
        <v>260</v>
      </c>
      <c r="W48" s="204">
        <f t="shared" si="290"/>
        <v>0</v>
      </c>
      <c r="X48" s="205">
        <f t="shared" si="291"/>
        <v>0</v>
      </c>
      <c r="Y48" s="203">
        <f t="shared" si="292"/>
        <v>0</v>
      </c>
      <c r="Z48" s="203">
        <f t="shared" si="293"/>
        <v>0</v>
      </c>
      <c r="AA48" s="204">
        <f t="shared" si="294"/>
        <v>0</v>
      </c>
      <c r="AB48" s="203">
        <f t="shared" si="295"/>
        <v>0</v>
      </c>
      <c r="AC48" s="203">
        <f t="shared" si="296"/>
        <v>0</v>
      </c>
      <c r="AD48" s="203">
        <f t="shared" si="297"/>
        <v>0</v>
      </c>
      <c r="AE48" s="204">
        <f t="shared" si="298"/>
        <v>0</v>
      </c>
      <c r="AF48" s="203">
        <f t="shared" si="299"/>
        <v>0</v>
      </c>
      <c r="AG48" s="203">
        <f t="shared" si="300"/>
        <v>0</v>
      </c>
      <c r="AH48" s="203">
        <f t="shared" si="301"/>
        <v>0</v>
      </c>
      <c r="AI48" s="204">
        <f t="shared" si="302"/>
        <v>0</v>
      </c>
      <c r="AJ48" s="203">
        <f t="shared" si="303"/>
        <v>0</v>
      </c>
      <c r="AK48" s="203">
        <f t="shared" si="304"/>
        <v>0</v>
      </c>
      <c r="AL48" s="203">
        <f t="shared" si="305"/>
        <v>0</v>
      </c>
      <c r="AM48" s="204">
        <f t="shared" si="306"/>
        <v>0</v>
      </c>
      <c r="AN48" s="203">
        <f t="shared" si="333"/>
        <v>0</v>
      </c>
      <c r="AO48" s="203">
        <f t="shared" si="307"/>
        <v>0</v>
      </c>
      <c r="AP48" s="203">
        <f t="shared" si="308"/>
        <v>0</v>
      </c>
      <c r="AQ48" s="204">
        <f t="shared" si="309"/>
        <v>0</v>
      </c>
      <c r="AR48" s="203">
        <f t="shared" si="334"/>
        <v>0</v>
      </c>
      <c r="AS48" s="203">
        <f t="shared" si="310"/>
        <v>0</v>
      </c>
      <c r="AT48" s="203">
        <f t="shared" si="311"/>
        <v>0</v>
      </c>
      <c r="AU48" s="204">
        <f t="shared" si="312"/>
        <v>0</v>
      </c>
      <c r="AV48" s="203">
        <f t="shared" si="335"/>
        <v>0</v>
      </c>
      <c r="AW48" s="203">
        <f t="shared" si="313"/>
        <v>0</v>
      </c>
      <c r="AX48" s="203">
        <f t="shared" si="314"/>
        <v>0</v>
      </c>
      <c r="AY48" s="204">
        <f t="shared" si="315"/>
        <v>0</v>
      </c>
      <c r="AZ48" s="203">
        <f t="shared" si="336"/>
        <v>0</v>
      </c>
      <c r="BA48" s="203">
        <f t="shared" si="316"/>
        <v>0</v>
      </c>
      <c r="BB48" s="203">
        <f t="shared" si="317"/>
        <v>0</v>
      </c>
      <c r="BC48" s="204">
        <f t="shared" si="318"/>
        <v>0</v>
      </c>
      <c r="BD48" s="203">
        <v>0</v>
      </c>
      <c r="BE48" s="203">
        <v>0</v>
      </c>
      <c r="BF48" s="203">
        <v>0</v>
      </c>
      <c r="BG48" s="207">
        <v>0</v>
      </c>
      <c r="BH48" s="203">
        <v>0</v>
      </c>
      <c r="BI48" s="203">
        <v>0</v>
      </c>
      <c r="BJ48" s="203">
        <v>0</v>
      </c>
      <c r="BK48" s="207">
        <v>0</v>
      </c>
      <c r="BL48" s="19"/>
      <c r="BM48" s="203">
        <f>SUM(D48:G48)</f>
        <v>0</v>
      </c>
      <c r="BN48" s="203">
        <f>SUM(H48:K48)</f>
        <v>0</v>
      </c>
      <c r="BO48" s="203">
        <f>SUM(L48:O48)</f>
        <v>0</v>
      </c>
      <c r="BP48" s="203">
        <f>SUM(P48:S48)</f>
        <v>-82</v>
      </c>
      <c r="BQ48" s="203">
        <f>SUM(T48:W48)</f>
        <v>2360</v>
      </c>
      <c r="BR48" s="203">
        <f>SUM(X48:AA48)</f>
        <v>0</v>
      </c>
      <c r="BS48" s="203">
        <f>SUM(AB48:AE48)</f>
        <v>0</v>
      </c>
      <c r="BT48" s="203">
        <f>SUM(AF48:AI48)</f>
        <v>0</v>
      </c>
      <c r="BU48" s="203">
        <f>SUM(AJ48:AM48)</f>
        <v>0</v>
      </c>
      <c r="BV48" s="203">
        <f t="shared" si="328"/>
        <v>0</v>
      </c>
      <c r="BW48" s="203">
        <f t="shared" si="329"/>
        <v>0</v>
      </c>
      <c r="BX48" s="203">
        <f t="shared" si="330"/>
        <v>0</v>
      </c>
      <c r="BY48" s="203">
        <f t="shared" si="331"/>
        <v>0</v>
      </c>
      <c r="BZ48" s="203">
        <f t="shared" si="332"/>
        <v>0</v>
      </c>
      <c r="CA48" s="203">
        <f t="shared" si="337"/>
        <v>0</v>
      </c>
      <c r="CB48" s="2150">
        <v>0</v>
      </c>
      <c r="CC48" s="2143"/>
      <c r="CD48" s="1873"/>
    </row>
    <row r="49" spans="1:88" ht="14.25" customHeight="1">
      <c r="A49" s="7"/>
      <c r="B49" s="23" t="str">
        <f t="shared" si="270"/>
        <v>Proceeds from issuance of AMD common stock</v>
      </c>
      <c r="C49" s="24"/>
      <c r="D49" s="205">
        <f t="shared" si="271"/>
        <v>35.191000000000003</v>
      </c>
      <c r="E49" s="203">
        <f t="shared" si="272"/>
        <v>17.873999999999995</v>
      </c>
      <c r="F49" s="203">
        <f t="shared" si="273"/>
        <v>67.805000000000007</v>
      </c>
      <c r="G49" s="204">
        <f t="shared" si="274"/>
        <v>68.13</v>
      </c>
      <c r="H49" s="205">
        <f t="shared" si="275"/>
        <v>654.83199999999999</v>
      </c>
      <c r="I49" s="203">
        <f t="shared" si="276"/>
        <v>32.105999999999995</v>
      </c>
      <c r="J49" s="203">
        <f t="shared" si="277"/>
        <v>20.933999999999969</v>
      </c>
      <c r="K49" s="204">
        <f t="shared" si="278"/>
        <v>18.128000000000043</v>
      </c>
      <c r="L49" s="205">
        <f t="shared" si="279"/>
        <v>30</v>
      </c>
      <c r="M49" s="203">
        <f t="shared" si="280"/>
        <v>16</v>
      </c>
      <c r="N49" s="203">
        <f t="shared" si="281"/>
        <v>16</v>
      </c>
      <c r="O49" s="204">
        <f t="shared" si="282"/>
        <v>624</v>
      </c>
      <c r="P49" s="205">
        <f t="shared" si="283"/>
        <v>0</v>
      </c>
      <c r="Q49" s="203">
        <f t="shared" si="284"/>
        <v>0</v>
      </c>
      <c r="R49" s="203">
        <f t="shared" si="285"/>
        <v>0</v>
      </c>
      <c r="S49" s="204">
        <f t="shared" si="286"/>
        <v>0</v>
      </c>
      <c r="T49" s="205">
        <f t="shared" si="287"/>
        <v>125</v>
      </c>
      <c r="U49" s="203">
        <f t="shared" si="288"/>
        <v>0</v>
      </c>
      <c r="V49" s="203">
        <f t="shared" si="289"/>
        <v>0</v>
      </c>
      <c r="W49" s="204">
        <f t="shared" si="290"/>
        <v>2</v>
      </c>
      <c r="X49" s="205">
        <f t="shared" si="291"/>
        <v>3</v>
      </c>
      <c r="Y49" s="203">
        <f t="shared" si="292"/>
        <v>4</v>
      </c>
      <c r="Z49" s="203">
        <f t="shared" si="293"/>
        <v>2</v>
      </c>
      <c r="AA49" s="204">
        <f t="shared" si="294"/>
        <v>6</v>
      </c>
      <c r="AB49" s="203">
        <f t="shared" si="295"/>
        <v>9</v>
      </c>
      <c r="AC49" s="203">
        <f t="shared" si="296"/>
        <v>6</v>
      </c>
      <c r="AD49" s="203">
        <f t="shared" si="297"/>
        <v>2</v>
      </c>
      <c r="AE49" s="204">
        <f t="shared" si="298"/>
        <v>1</v>
      </c>
      <c r="AF49" s="203">
        <f t="shared" si="299"/>
        <v>9</v>
      </c>
      <c r="AG49" s="203">
        <f t="shared" si="300"/>
        <v>3</v>
      </c>
      <c r="AH49" s="203">
        <f t="shared" si="301"/>
        <v>0</v>
      </c>
      <c r="AI49" s="204">
        <f t="shared" si="302"/>
        <v>2</v>
      </c>
      <c r="AJ49" s="203">
        <f t="shared" si="303"/>
        <v>1</v>
      </c>
      <c r="AK49" s="203">
        <f t="shared" si="304"/>
        <v>1</v>
      </c>
      <c r="AL49" s="203">
        <f t="shared" si="305"/>
        <v>1</v>
      </c>
      <c r="AM49" s="204">
        <f t="shared" si="306"/>
        <v>1</v>
      </c>
      <c r="AN49" s="203">
        <f t="shared" si="333"/>
        <v>1</v>
      </c>
      <c r="AO49" s="203">
        <f t="shared" si="307"/>
        <v>1</v>
      </c>
      <c r="AP49" s="203">
        <f t="shared" si="308"/>
        <v>2</v>
      </c>
      <c r="AQ49" s="204">
        <f t="shared" si="309"/>
        <v>0</v>
      </c>
      <c r="AR49" s="203">
        <f t="shared" si="334"/>
        <v>0</v>
      </c>
      <c r="AS49" s="203">
        <f t="shared" si="310"/>
        <v>0</v>
      </c>
      <c r="AT49" s="203">
        <f t="shared" si="311"/>
        <v>0</v>
      </c>
      <c r="AU49" s="204">
        <f t="shared" si="312"/>
        <v>5</v>
      </c>
      <c r="AV49" s="203">
        <f t="shared" si="335"/>
        <v>0</v>
      </c>
      <c r="AW49" s="203">
        <f t="shared" si="313"/>
        <v>2</v>
      </c>
      <c r="AX49" s="203">
        <f t="shared" si="314"/>
        <v>666</v>
      </c>
      <c r="AY49" s="204">
        <f t="shared" si="315"/>
        <v>19</v>
      </c>
      <c r="AZ49" s="203">
        <f t="shared" si="336"/>
        <v>8</v>
      </c>
      <c r="BA49" s="203">
        <f t="shared" si="316"/>
        <v>2</v>
      </c>
      <c r="BB49" s="203">
        <f t="shared" si="317"/>
        <v>5</v>
      </c>
      <c r="BC49" s="204">
        <f t="shared" si="318"/>
        <v>5</v>
      </c>
      <c r="BD49" s="203">
        <v>0</v>
      </c>
      <c r="BE49" s="203">
        <v>0</v>
      </c>
      <c r="BF49" s="203">
        <v>0</v>
      </c>
      <c r="BG49" s="207">
        <v>0</v>
      </c>
      <c r="BH49" s="203">
        <v>0</v>
      </c>
      <c r="BI49" s="203">
        <v>0</v>
      </c>
      <c r="BJ49" s="203">
        <v>0</v>
      </c>
      <c r="BK49" s="207">
        <v>0</v>
      </c>
      <c r="BL49" s="19"/>
      <c r="BM49" s="203">
        <f t="shared" si="319"/>
        <v>189</v>
      </c>
      <c r="BN49" s="203">
        <f t="shared" si="320"/>
        <v>726</v>
      </c>
      <c r="BO49" s="203">
        <f t="shared" si="321"/>
        <v>686</v>
      </c>
      <c r="BP49" s="203">
        <f t="shared" si="322"/>
        <v>0</v>
      </c>
      <c r="BQ49" s="203">
        <f t="shared" si="323"/>
        <v>127</v>
      </c>
      <c r="BR49" s="203">
        <f t="shared" si="324"/>
        <v>15</v>
      </c>
      <c r="BS49" s="203">
        <f t="shared" si="325"/>
        <v>18</v>
      </c>
      <c r="BT49" s="203">
        <f t="shared" si="326"/>
        <v>14</v>
      </c>
      <c r="BU49" s="203">
        <f t="shared" si="327"/>
        <v>4</v>
      </c>
      <c r="BV49" s="203">
        <f t="shared" si="328"/>
        <v>4</v>
      </c>
      <c r="BW49" s="203">
        <f t="shared" si="329"/>
        <v>5</v>
      </c>
      <c r="BX49" s="203">
        <f t="shared" si="330"/>
        <v>687</v>
      </c>
      <c r="BY49" s="203">
        <f t="shared" si="331"/>
        <v>20</v>
      </c>
      <c r="BZ49" s="203">
        <f t="shared" si="332"/>
        <v>0</v>
      </c>
      <c r="CA49" s="203">
        <f t="shared" si="337"/>
        <v>0</v>
      </c>
      <c r="CB49" s="2150">
        <v>0</v>
      </c>
      <c r="CC49" s="2143"/>
      <c r="CD49" s="1873"/>
    </row>
    <row r="50" spans="1:88" ht="14.25" customHeight="1">
      <c r="A50" s="7"/>
      <c r="B50" s="23" t="str">
        <f t="shared" si="270"/>
        <v>Repurchase of noncontrolling interest</v>
      </c>
      <c r="C50" s="24"/>
      <c r="D50" s="205">
        <f t="shared" si="271"/>
        <v>0</v>
      </c>
      <c r="E50" s="203">
        <f t="shared" si="272"/>
        <v>0</v>
      </c>
      <c r="F50" s="203">
        <f t="shared" si="273"/>
        <v>0</v>
      </c>
      <c r="G50" s="204">
        <f t="shared" si="274"/>
        <v>0</v>
      </c>
      <c r="H50" s="205">
        <f t="shared" si="275"/>
        <v>0</v>
      </c>
      <c r="I50" s="203">
        <f t="shared" si="276"/>
        <v>0</v>
      </c>
      <c r="J50" s="203">
        <f t="shared" si="277"/>
        <v>0</v>
      </c>
      <c r="K50" s="204">
        <f t="shared" si="278"/>
        <v>0</v>
      </c>
      <c r="L50" s="205">
        <f t="shared" si="279"/>
        <v>0</v>
      </c>
      <c r="M50" s="203">
        <f t="shared" si="280"/>
        <v>0</v>
      </c>
      <c r="N50" s="203">
        <f t="shared" si="281"/>
        <v>0</v>
      </c>
      <c r="O50" s="204">
        <f t="shared" si="282"/>
        <v>0</v>
      </c>
      <c r="P50" s="205">
        <f t="shared" si="283"/>
        <v>0</v>
      </c>
      <c r="Q50" s="203">
        <f t="shared" si="284"/>
        <v>-136</v>
      </c>
      <c r="R50" s="203">
        <f t="shared" si="285"/>
        <v>117</v>
      </c>
      <c r="S50" s="204">
        <f t="shared" si="286"/>
        <v>19</v>
      </c>
      <c r="T50" s="205">
        <f t="shared" si="287"/>
        <v>-257</v>
      </c>
      <c r="U50" s="203">
        <f t="shared" si="288"/>
        <v>0</v>
      </c>
      <c r="V50" s="203">
        <f t="shared" si="289"/>
        <v>0</v>
      </c>
      <c r="W50" s="204">
        <f t="shared" si="290"/>
        <v>0</v>
      </c>
      <c r="X50" s="205">
        <f t="shared" si="291"/>
        <v>0</v>
      </c>
      <c r="Y50" s="203">
        <f t="shared" si="292"/>
        <v>0</v>
      </c>
      <c r="Z50" s="203">
        <f t="shared" si="293"/>
        <v>0</v>
      </c>
      <c r="AA50" s="204">
        <f t="shared" si="294"/>
        <v>0</v>
      </c>
      <c r="AB50" s="203">
        <f t="shared" si="295"/>
        <v>0</v>
      </c>
      <c r="AC50" s="203">
        <f t="shared" si="296"/>
        <v>0</v>
      </c>
      <c r="AD50" s="203">
        <f t="shared" si="297"/>
        <v>0</v>
      </c>
      <c r="AE50" s="204">
        <f t="shared" si="298"/>
        <v>0</v>
      </c>
      <c r="AF50" s="203">
        <f t="shared" si="299"/>
        <v>0</v>
      </c>
      <c r="AG50" s="203">
        <f t="shared" si="300"/>
        <v>0</v>
      </c>
      <c r="AH50" s="203">
        <f t="shared" si="301"/>
        <v>0</v>
      </c>
      <c r="AI50" s="204">
        <f t="shared" si="302"/>
        <v>0</v>
      </c>
      <c r="AJ50" s="203">
        <f t="shared" si="303"/>
        <v>0</v>
      </c>
      <c r="AK50" s="203">
        <f t="shared" si="304"/>
        <v>0</v>
      </c>
      <c r="AL50" s="203">
        <f t="shared" si="305"/>
        <v>0</v>
      </c>
      <c r="AM50" s="204">
        <f t="shared" si="306"/>
        <v>0</v>
      </c>
      <c r="AN50" s="203">
        <f t="shared" si="333"/>
        <v>0</v>
      </c>
      <c r="AO50" s="203">
        <f t="shared" si="307"/>
        <v>0</v>
      </c>
      <c r="AP50" s="203">
        <f t="shared" si="308"/>
        <v>0</v>
      </c>
      <c r="AQ50" s="204">
        <f t="shared" si="309"/>
        <v>0</v>
      </c>
      <c r="AR50" s="203">
        <f t="shared" si="334"/>
        <v>0</v>
      </c>
      <c r="AS50" s="203">
        <f t="shared" si="310"/>
        <v>0</v>
      </c>
      <c r="AT50" s="203">
        <f t="shared" si="311"/>
        <v>0</v>
      </c>
      <c r="AU50" s="204">
        <f t="shared" si="312"/>
        <v>0</v>
      </c>
      <c r="AV50" s="203">
        <f t="shared" si="335"/>
        <v>0</v>
      </c>
      <c r="AW50" s="203">
        <f t="shared" si="313"/>
        <v>0</v>
      </c>
      <c r="AX50" s="203">
        <f t="shared" si="314"/>
        <v>0</v>
      </c>
      <c r="AY50" s="204">
        <f t="shared" si="315"/>
        <v>0</v>
      </c>
      <c r="AZ50" s="203">
        <f t="shared" si="336"/>
        <v>0</v>
      </c>
      <c r="BA50" s="203">
        <f t="shared" si="316"/>
        <v>0</v>
      </c>
      <c r="BB50" s="203">
        <f t="shared" si="317"/>
        <v>0</v>
      </c>
      <c r="BC50" s="204">
        <f t="shared" si="318"/>
        <v>0</v>
      </c>
      <c r="BD50" s="203">
        <v>0</v>
      </c>
      <c r="BE50" s="203">
        <v>0</v>
      </c>
      <c r="BF50" s="203">
        <v>0</v>
      </c>
      <c r="BG50" s="207">
        <v>0</v>
      </c>
      <c r="BH50" s="203">
        <v>0</v>
      </c>
      <c r="BI50" s="203">
        <v>0</v>
      </c>
      <c r="BJ50" s="203">
        <v>0</v>
      </c>
      <c r="BK50" s="207">
        <v>0</v>
      </c>
      <c r="BL50" s="19"/>
      <c r="BM50" s="203">
        <f>SUM(D50:G50)</f>
        <v>0</v>
      </c>
      <c r="BN50" s="203">
        <f>SUM(H50:K50)</f>
        <v>0</v>
      </c>
      <c r="BO50" s="203">
        <f>SUM(L50:O50)</f>
        <v>0</v>
      </c>
      <c r="BP50" s="203">
        <f>SUM(P50:S50)</f>
        <v>0</v>
      </c>
      <c r="BQ50" s="203">
        <f>SUM(T50:W50)</f>
        <v>-257</v>
      </c>
      <c r="BR50" s="203">
        <f>SUM(X50:AA50)</f>
        <v>0</v>
      </c>
      <c r="BS50" s="203">
        <f>SUM(AB50:AE50)</f>
        <v>0</v>
      </c>
      <c r="BT50" s="203">
        <f>SUM(AF50:AI50)</f>
        <v>0</v>
      </c>
      <c r="BU50" s="203">
        <f>SUM(AJ50:AM50)</f>
        <v>0</v>
      </c>
      <c r="BV50" s="203">
        <f t="shared" si="328"/>
        <v>0</v>
      </c>
      <c r="BW50" s="203">
        <f t="shared" si="329"/>
        <v>0</v>
      </c>
      <c r="BX50" s="203">
        <f t="shared" si="330"/>
        <v>0</v>
      </c>
      <c r="BY50" s="203">
        <f t="shared" si="331"/>
        <v>0</v>
      </c>
      <c r="BZ50" s="203">
        <f t="shared" si="332"/>
        <v>0</v>
      </c>
      <c r="CA50" s="203">
        <f t="shared" si="337"/>
        <v>0</v>
      </c>
      <c r="CB50" s="2150">
        <v>0</v>
      </c>
      <c r="CC50" s="2143"/>
      <c r="CD50" s="1873"/>
    </row>
    <row r="51" spans="1:88" ht="14.25" customHeight="1">
      <c r="A51" s="7"/>
      <c r="B51" s="23" t="str">
        <f t="shared" si="270"/>
        <v>Repurchase of common stock</v>
      </c>
      <c r="C51" s="24"/>
      <c r="D51" s="205">
        <f t="shared" si="271"/>
        <v>0</v>
      </c>
      <c r="E51" s="203">
        <f t="shared" si="272"/>
        <v>0</v>
      </c>
      <c r="F51" s="203">
        <f t="shared" si="273"/>
        <v>0</v>
      </c>
      <c r="G51" s="204">
        <f t="shared" si="274"/>
        <v>0</v>
      </c>
      <c r="H51" s="205">
        <f t="shared" si="275"/>
        <v>0</v>
      </c>
      <c r="I51" s="203">
        <f t="shared" si="276"/>
        <v>0</v>
      </c>
      <c r="J51" s="203">
        <f t="shared" si="277"/>
        <v>0</v>
      </c>
      <c r="K51" s="204">
        <f t="shared" si="278"/>
        <v>0</v>
      </c>
      <c r="L51" s="205">
        <f t="shared" si="279"/>
        <v>0</v>
      </c>
      <c r="M51" s="203">
        <f t="shared" si="280"/>
        <v>0</v>
      </c>
      <c r="N51" s="203">
        <f t="shared" si="281"/>
        <v>0</v>
      </c>
      <c r="O51" s="204">
        <f t="shared" si="282"/>
        <v>0</v>
      </c>
      <c r="P51" s="205">
        <f t="shared" si="283"/>
        <v>0</v>
      </c>
      <c r="Q51" s="203">
        <f t="shared" si="284"/>
        <v>0</v>
      </c>
      <c r="R51" s="203">
        <f t="shared" si="285"/>
        <v>0</v>
      </c>
      <c r="S51" s="204">
        <f t="shared" si="286"/>
        <v>0</v>
      </c>
      <c r="T51" s="205">
        <f t="shared" si="287"/>
        <v>0</v>
      </c>
      <c r="U51" s="203">
        <f t="shared" si="288"/>
        <v>0</v>
      </c>
      <c r="V51" s="203">
        <f t="shared" si="289"/>
        <v>0</v>
      </c>
      <c r="W51" s="204">
        <f t="shared" si="290"/>
        <v>0</v>
      </c>
      <c r="X51" s="205">
        <f t="shared" si="291"/>
        <v>0</v>
      </c>
      <c r="Y51" s="203">
        <f t="shared" si="292"/>
        <v>0</v>
      </c>
      <c r="Z51" s="203">
        <f t="shared" si="293"/>
        <v>0</v>
      </c>
      <c r="AA51" s="204">
        <f t="shared" si="294"/>
        <v>0</v>
      </c>
      <c r="AB51" s="203">
        <f t="shared" si="295"/>
        <v>0</v>
      </c>
      <c r="AC51" s="203">
        <f t="shared" si="296"/>
        <v>0</v>
      </c>
      <c r="AD51" s="203">
        <f t="shared" si="297"/>
        <v>0</v>
      </c>
      <c r="AE51" s="204">
        <f t="shared" si="298"/>
        <v>0</v>
      </c>
      <c r="AF51" s="203">
        <f t="shared" si="299"/>
        <v>0</v>
      </c>
      <c r="AG51" s="203">
        <f t="shared" si="300"/>
        <v>0</v>
      </c>
      <c r="AH51" s="203">
        <f t="shared" si="301"/>
        <v>0</v>
      </c>
      <c r="AI51" s="204">
        <f t="shared" si="302"/>
        <v>0</v>
      </c>
      <c r="AJ51" s="203">
        <f t="shared" si="303"/>
        <v>0</v>
      </c>
      <c r="AK51" s="203">
        <f t="shared" si="304"/>
        <v>0</v>
      </c>
      <c r="AL51" s="203">
        <f t="shared" si="305"/>
        <v>0</v>
      </c>
      <c r="AM51" s="204">
        <f t="shared" si="306"/>
        <v>0</v>
      </c>
      <c r="AN51" s="203">
        <f t="shared" si="333"/>
        <v>0</v>
      </c>
      <c r="AO51" s="203">
        <f t="shared" si="307"/>
        <v>0</v>
      </c>
      <c r="AP51" s="203">
        <f t="shared" si="308"/>
        <v>0</v>
      </c>
      <c r="AQ51" s="204">
        <f t="shared" si="309"/>
        <v>0</v>
      </c>
      <c r="AR51" s="203">
        <f t="shared" si="334"/>
        <v>0</v>
      </c>
      <c r="AS51" s="203">
        <f t="shared" si="310"/>
        <v>0</v>
      </c>
      <c r="AT51" s="203">
        <f t="shared" si="311"/>
        <v>0</v>
      </c>
      <c r="AU51" s="204">
        <f t="shared" si="312"/>
        <v>0</v>
      </c>
      <c r="AV51" s="203">
        <f t="shared" si="335"/>
        <v>0</v>
      </c>
      <c r="AW51" s="203">
        <f t="shared" si="313"/>
        <v>0</v>
      </c>
      <c r="AX51" s="203">
        <f t="shared" si="314"/>
        <v>0</v>
      </c>
      <c r="AY51" s="204">
        <f t="shared" si="315"/>
        <v>0</v>
      </c>
      <c r="AZ51" s="203">
        <f t="shared" si="336"/>
        <v>0</v>
      </c>
      <c r="BA51" s="203">
        <f t="shared" si="316"/>
        <v>0</v>
      </c>
      <c r="BB51" s="203">
        <f t="shared" si="317"/>
        <v>0</v>
      </c>
      <c r="BC51" s="204">
        <f t="shared" si="318"/>
        <v>0</v>
      </c>
      <c r="BD51" s="203">
        <v>0</v>
      </c>
      <c r="BE51" s="203">
        <v>0</v>
      </c>
      <c r="BF51" s="203">
        <v>0</v>
      </c>
      <c r="BG51" s="207">
        <v>0</v>
      </c>
      <c r="BH51" s="203">
        <v>0</v>
      </c>
      <c r="BI51" s="203">
        <v>0</v>
      </c>
      <c r="BJ51" s="203">
        <v>0</v>
      </c>
      <c r="BK51" s="207">
        <v>0</v>
      </c>
      <c r="BL51" s="19"/>
      <c r="BM51" s="203">
        <f t="shared" si="319"/>
        <v>0</v>
      </c>
      <c r="BN51" s="203">
        <f t="shared" si="320"/>
        <v>0</v>
      </c>
      <c r="BO51" s="203">
        <f t="shared" si="321"/>
        <v>0</v>
      </c>
      <c r="BP51" s="203">
        <f t="shared" si="322"/>
        <v>0</v>
      </c>
      <c r="BQ51" s="203">
        <f t="shared" si="323"/>
        <v>0</v>
      </c>
      <c r="BR51" s="203">
        <f t="shared" si="324"/>
        <v>0</v>
      </c>
      <c r="BS51" s="203">
        <f t="shared" si="325"/>
        <v>0</v>
      </c>
      <c r="BT51" s="203">
        <f t="shared" si="326"/>
        <v>0</v>
      </c>
      <c r="BU51" s="203">
        <f t="shared" si="327"/>
        <v>0</v>
      </c>
      <c r="BV51" s="203">
        <f t="shared" si="328"/>
        <v>0</v>
      </c>
      <c r="BW51" s="203">
        <f t="shared" si="329"/>
        <v>0</v>
      </c>
      <c r="BX51" s="203">
        <f t="shared" si="330"/>
        <v>0</v>
      </c>
      <c r="BY51" s="203">
        <f t="shared" si="331"/>
        <v>0</v>
      </c>
      <c r="BZ51" s="203">
        <f t="shared" si="332"/>
        <v>0</v>
      </c>
      <c r="CA51" s="203">
        <f t="shared" si="337"/>
        <v>0</v>
      </c>
      <c r="CB51" s="2150">
        <v>0</v>
      </c>
      <c r="CC51" s="2143"/>
      <c r="CD51" s="1873"/>
    </row>
    <row r="52" spans="1:88" ht="14.25" customHeight="1">
      <c r="A52" s="7"/>
      <c r="B52" s="23" t="str">
        <f t="shared" si="270"/>
        <v>Payment of dividends to stockholders</v>
      </c>
      <c r="C52" s="24"/>
      <c r="D52" s="205">
        <f t="shared" si="271"/>
        <v>0</v>
      </c>
      <c r="E52" s="203">
        <f t="shared" si="272"/>
        <v>0</v>
      </c>
      <c r="F52" s="203">
        <f t="shared" si="273"/>
        <v>0</v>
      </c>
      <c r="G52" s="204">
        <f t="shared" si="274"/>
        <v>0</v>
      </c>
      <c r="H52" s="205">
        <f t="shared" si="275"/>
        <v>0</v>
      </c>
      <c r="I52" s="203">
        <f t="shared" si="276"/>
        <v>0</v>
      </c>
      <c r="J52" s="203">
        <f t="shared" si="277"/>
        <v>0</v>
      </c>
      <c r="K52" s="204">
        <f t="shared" si="278"/>
        <v>0</v>
      </c>
      <c r="L52" s="205">
        <f t="shared" si="279"/>
        <v>0</v>
      </c>
      <c r="M52" s="203">
        <f t="shared" si="280"/>
        <v>0</v>
      </c>
      <c r="N52" s="203">
        <f t="shared" si="281"/>
        <v>0</v>
      </c>
      <c r="O52" s="204">
        <f t="shared" si="282"/>
        <v>0</v>
      </c>
      <c r="P52" s="205">
        <f t="shared" si="283"/>
        <v>0</v>
      </c>
      <c r="Q52" s="203">
        <f t="shared" si="284"/>
        <v>0</v>
      </c>
      <c r="R52" s="203">
        <f t="shared" si="285"/>
        <v>0</v>
      </c>
      <c r="S52" s="204">
        <f t="shared" si="286"/>
        <v>0</v>
      </c>
      <c r="T52" s="205">
        <f t="shared" si="287"/>
        <v>0</v>
      </c>
      <c r="U52" s="203">
        <f t="shared" si="288"/>
        <v>0</v>
      </c>
      <c r="V52" s="203">
        <f t="shared" si="289"/>
        <v>0</v>
      </c>
      <c r="W52" s="204">
        <f t="shared" si="290"/>
        <v>0</v>
      </c>
      <c r="X52" s="205">
        <f t="shared" si="291"/>
        <v>0</v>
      </c>
      <c r="Y52" s="203">
        <f t="shared" si="292"/>
        <v>0</v>
      </c>
      <c r="Z52" s="203">
        <f t="shared" si="293"/>
        <v>0</v>
      </c>
      <c r="AA52" s="204">
        <f t="shared" si="294"/>
        <v>0</v>
      </c>
      <c r="AB52" s="203">
        <f t="shared" si="295"/>
        <v>0</v>
      </c>
      <c r="AC52" s="203">
        <f t="shared" si="296"/>
        <v>0</v>
      </c>
      <c r="AD52" s="203">
        <f t="shared" si="297"/>
        <v>0</v>
      </c>
      <c r="AE52" s="204">
        <f t="shared" si="298"/>
        <v>0</v>
      </c>
      <c r="AF52" s="203">
        <f t="shared" si="299"/>
        <v>0</v>
      </c>
      <c r="AG52" s="203">
        <f t="shared" si="300"/>
        <v>0</v>
      </c>
      <c r="AH52" s="203">
        <f t="shared" si="301"/>
        <v>0</v>
      </c>
      <c r="AI52" s="204">
        <f t="shared" si="302"/>
        <v>0</v>
      </c>
      <c r="AJ52" s="203">
        <f t="shared" si="303"/>
        <v>0</v>
      </c>
      <c r="AK52" s="203">
        <f t="shared" si="304"/>
        <v>0</v>
      </c>
      <c r="AL52" s="203">
        <f t="shared" si="305"/>
        <v>0</v>
      </c>
      <c r="AM52" s="204">
        <f t="shared" si="306"/>
        <v>0</v>
      </c>
      <c r="AN52" s="203">
        <f t="shared" si="333"/>
        <v>0</v>
      </c>
      <c r="AO52" s="203">
        <f t="shared" si="307"/>
        <v>0</v>
      </c>
      <c r="AP52" s="203">
        <f t="shared" si="308"/>
        <v>0</v>
      </c>
      <c r="AQ52" s="204">
        <f t="shared" si="309"/>
        <v>0</v>
      </c>
      <c r="AR52" s="203">
        <f t="shared" si="334"/>
        <v>0</v>
      </c>
      <c r="AS52" s="203">
        <f t="shared" si="310"/>
        <v>0</v>
      </c>
      <c r="AT52" s="203">
        <f t="shared" si="311"/>
        <v>0</v>
      </c>
      <c r="AU52" s="204">
        <f t="shared" si="312"/>
        <v>0</v>
      </c>
      <c r="AV52" s="203">
        <f t="shared" si="335"/>
        <v>0</v>
      </c>
      <c r="AW52" s="203">
        <f t="shared" si="313"/>
        <v>0</v>
      </c>
      <c r="AX52" s="203">
        <f t="shared" si="314"/>
        <v>0</v>
      </c>
      <c r="AY52" s="204">
        <f t="shared" si="315"/>
        <v>0</v>
      </c>
      <c r="AZ52" s="203">
        <f t="shared" si="336"/>
        <v>0</v>
      </c>
      <c r="BA52" s="203">
        <f t="shared" si="316"/>
        <v>0</v>
      </c>
      <c r="BB52" s="203">
        <f t="shared" si="317"/>
        <v>0</v>
      </c>
      <c r="BC52" s="204">
        <f t="shared" si="318"/>
        <v>0</v>
      </c>
      <c r="BD52" s="203">
        <v>0</v>
      </c>
      <c r="BE52" s="203">
        <v>0</v>
      </c>
      <c r="BF52" s="203">
        <v>0</v>
      </c>
      <c r="BG52" s="207">
        <v>0</v>
      </c>
      <c r="BH52" s="203">
        <v>0</v>
      </c>
      <c r="BI52" s="203">
        <v>0</v>
      </c>
      <c r="BJ52" s="203">
        <v>0</v>
      </c>
      <c r="BK52" s="207">
        <v>0</v>
      </c>
      <c r="BL52" s="19"/>
      <c r="BM52" s="203">
        <f t="shared" si="319"/>
        <v>0</v>
      </c>
      <c r="BN52" s="203">
        <f t="shared" si="320"/>
        <v>0</v>
      </c>
      <c r="BO52" s="203">
        <f t="shared" si="321"/>
        <v>0</v>
      </c>
      <c r="BP52" s="203">
        <f t="shared" si="322"/>
        <v>0</v>
      </c>
      <c r="BQ52" s="203">
        <f t="shared" si="323"/>
        <v>0</v>
      </c>
      <c r="BR52" s="203">
        <f t="shared" si="324"/>
        <v>0</v>
      </c>
      <c r="BS52" s="203">
        <f t="shared" si="325"/>
        <v>0</v>
      </c>
      <c r="BT52" s="203">
        <f t="shared" si="326"/>
        <v>0</v>
      </c>
      <c r="BU52" s="203">
        <f t="shared" si="327"/>
        <v>0</v>
      </c>
      <c r="BV52" s="203">
        <f t="shared" si="328"/>
        <v>0</v>
      </c>
      <c r="BW52" s="203">
        <f t="shared" si="329"/>
        <v>0</v>
      </c>
      <c r="BX52" s="203">
        <f t="shared" si="330"/>
        <v>0</v>
      </c>
      <c r="BY52" s="203">
        <f t="shared" si="331"/>
        <v>0</v>
      </c>
      <c r="BZ52" s="203">
        <f t="shared" si="332"/>
        <v>0</v>
      </c>
      <c r="CA52" s="203">
        <f t="shared" si="337"/>
        <v>0</v>
      </c>
      <c r="CB52" s="2150">
        <v>0</v>
      </c>
      <c r="CC52" s="2143"/>
      <c r="CD52" s="1873"/>
    </row>
    <row r="53" spans="1:88" s="405" customFormat="1" ht="14.25" customHeight="1">
      <c r="A53" s="7"/>
      <c r="B53" s="23" t="str">
        <f t="shared" si="270"/>
        <v>Other financing activities</v>
      </c>
      <c r="C53" s="24"/>
      <c r="D53" s="205">
        <f t="shared" si="271"/>
        <v>177.18799999999999</v>
      </c>
      <c r="E53" s="203">
        <f t="shared" si="272"/>
        <v>165.81799999999998</v>
      </c>
      <c r="F53" s="203">
        <f t="shared" si="273"/>
        <v>18.948000000000036</v>
      </c>
      <c r="G53" s="204">
        <f t="shared" si="274"/>
        <v>13.045999999999992</v>
      </c>
      <c r="H53" s="205">
        <f t="shared" si="275"/>
        <v>105.435</v>
      </c>
      <c r="I53" s="203">
        <f t="shared" si="276"/>
        <v>96.007000000000005</v>
      </c>
      <c r="J53" s="203">
        <f t="shared" si="277"/>
        <v>-2.5759999999999934</v>
      </c>
      <c r="K53" s="204">
        <f t="shared" si="278"/>
        <v>11.133999999999986</v>
      </c>
      <c r="L53" s="205">
        <f t="shared" si="279"/>
        <v>153</v>
      </c>
      <c r="M53" s="203">
        <f t="shared" si="280"/>
        <v>-179</v>
      </c>
      <c r="N53" s="203">
        <f t="shared" si="281"/>
        <v>54</v>
      </c>
      <c r="O53" s="204">
        <f t="shared" si="282"/>
        <v>-35</v>
      </c>
      <c r="P53" s="205">
        <f t="shared" si="283"/>
        <v>157</v>
      </c>
      <c r="Q53" s="203">
        <f t="shared" si="284"/>
        <v>5</v>
      </c>
      <c r="R53" s="203">
        <f t="shared" si="285"/>
        <v>-31</v>
      </c>
      <c r="S53" s="204">
        <f t="shared" si="286"/>
        <v>29</v>
      </c>
      <c r="T53" s="205">
        <f t="shared" si="287"/>
        <v>34</v>
      </c>
      <c r="U53" s="203">
        <f t="shared" si="288"/>
        <v>5</v>
      </c>
      <c r="V53" s="203">
        <f t="shared" si="289"/>
        <v>0</v>
      </c>
      <c r="W53" s="204">
        <f t="shared" si="290"/>
        <v>15</v>
      </c>
      <c r="X53" s="205">
        <f t="shared" si="291"/>
        <v>0</v>
      </c>
      <c r="Y53" s="203">
        <f t="shared" si="292"/>
        <v>11</v>
      </c>
      <c r="Z53" s="203">
        <f t="shared" si="293"/>
        <v>-3</v>
      </c>
      <c r="AA53" s="204">
        <f t="shared" si="294"/>
        <v>15</v>
      </c>
      <c r="AB53" s="203">
        <f t="shared" si="295"/>
        <v>5</v>
      </c>
      <c r="AC53" s="203">
        <f t="shared" si="296"/>
        <v>1</v>
      </c>
      <c r="AD53" s="203">
        <f t="shared" si="297"/>
        <v>-1</v>
      </c>
      <c r="AE53" s="204">
        <f t="shared" si="298"/>
        <v>10</v>
      </c>
      <c r="AF53" s="203">
        <f t="shared" si="299"/>
        <v>9</v>
      </c>
      <c r="AG53" s="203">
        <f t="shared" si="300"/>
        <v>2</v>
      </c>
      <c r="AH53" s="203">
        <f t="shared" si="301"/>
        <v>6</v>
      </c>
      <c r="AI53" s="204">
        <f t="shared" si="302"/>
        <v>4</v>
      </c>
      <c r="AJ53" s="203">
        <f t="shared" si="303"/>
        <v>0</v>
      </c>
      <c r="AK53" s="203">
        <f t="shared" si="304"/>
        <v>2</v>
      </c>
      <c r="AL53" s="203">
        <f t="shared" si="305"/>
        <v>3</v>
      </c>
      <c r="AM53" s="204">
        <f t="shared" si="306"/>
        <v>4</v>
      </c>
      <c r="AN53" s="203">
        <f t="shared" si="333"/>
        <v>-1</v>
      </c>
      <c r="AO53" s="203">
        <f t="shared" si="307"/>
        <v>1</v>
      </c>
      <c r="AP53" s="203">
        <f t="shared" si="308"/>
        <v>-1</v>
      </c>
      <c r="AQ53" s="204">
        <f t="shared" si="309"/>
        <v>3</v>
      </c>
      <c r="AR53" s="203">
        <f t="shared" si="334"/>
        <v>3</v>
      </c>
      <c r="AS53" s="203">
        <f t="shared" si="310"/>
        <v>0</v>
      </c>
      <c r="AT53" s="203">
        <f t="shared" si="311"/>
        <v>2</v>
      </c>
      <c r="AU53" s="204">
        <f t="shared" si="312"/>
        <v>-7</v>
      </c>
      <c r="AV53" s="203">
        <f t="shared" si="335"/>
        <v>-1</v>
      </c>
      <c r="AW53" s="203">
        <f t="shared" si="313"/>
        <v>-1</v>
      </c>
      <c r="AX53" s="203">
        <f t="shared" si="314"/>
        <v>9</v>
      </c>
      <c r="AY53" s="204">
        <f t="shared" si="315"/>
        <v>-11</v>
      </c>
      <c r="AZ53" s="203">
        <f t="shared" si="336"/>
        <v>-5</v>
      </c>
      <c r="BA53" s="203">
        <f t="shared" si="316"/>
        <v>-6</v>
      </c>
      <c r="BB53" s="203">
        <f t="shared" si="317"/>
        <v>-3</v>
      </c>
      <c r="BC53" s="204">
        <f t="shared" si="318"/>
        <v>1</v>
      </c>
      <c r="BD53" s="203">
        <f t="shared" ref="BD53" si="338">BD146</f>
        <v>-8</v>
      </c>
      <c r="BE53" s="203">
        <f>+BS!BE39-BS!BD39</f>
        <v>0</v>
      </c>
      <c r="BF53" s="203">
        <f>+BS!BF39-BS!BE39</f>
        <v>0</v>
      </c>
      <c r="BG53" s="204">
        <f>+BS!BG39-BS!BF39</f>
        <v>0</v>
      </c>
      <c r="BH53" s="203">
        <f>+BS!BH39-BS!BG39</f>
        <v>0</v>
      </c>
      <c r="BI53" s="203">
        <f>+BS!BI39-BS!BH39</f>
        <v>0</v>
      </c>
      <c r="BJ53" s="203">
        <f>+BS!BJ39-BS!BI39</f>
        <v>0</v>
      </c>
      <c r="BK53" s="204">
        <f>+BS!BK39-BS!BJ39</f>
        <v>0</v>
      </c>
      <c r="BL53" s="19"/>
      <c r="BM53" s="203">
        <f t="shared" si="319"/>
        <v>375</v>
      </c>
      <c r="BN53" s="203">
        <f t="shared" si="320"/>
        <v>210</v>
      </c>
      <c r="BO53" s="203">
        <f t="shared" si="321"/>
        <v>-7</v>
      </c>
      <c r="BP53" s="203">
        <f t="shared" si="322"/>
        <v>160</v>
      </c>
      <c r="BQ53" s="203">
        <f t="shared" si="323"/>
        <v>54</v>
      </c>
      <c r="BR53" s="203">
        <f t="shared" si="324"/>
        <v>23</v>
      </c>
      <c r="BS53" s="203">
        <f t="shared" si="325"/>
        <v>15</v>
      </c>
      <c r="BT53" s="203">
        <f t="shared" si="326"/>
        <v>21</v>
      </c>
      <c r="BU53" s="203">
        <f t="shared" si="327"/>
        <v>9</v>
      </c>
      <c r="BV53" s="203">
        <f t="shared" si="328"/>
        <v>2</v>
      </c>
      <c r="BW53" s="203">
        <f t="shared" si="329"/>
        <v>-2</v>
      </c>
      <c r="BX53" s="203">
        <f t="shared" si="330"/>
        <v>-4</v>
      </c>
      <c r="BY53" s="203">
        <f t="shared" si="331"/>
        <v>-13</v>
      </c>
      <c r="BZ53" s="203">
        <f t="shared" si="332"/>
        <v>-8</v>
      </c>
      <c r="CA53" s="203">
        <f t="shared" si="337"/>
        <v>0</v>
      </c>
      <c r="CB53" s="2149">
        <f>+BS!CB39-BS!CA39</f>
        <v>0</v>
      </c>
      <c r="CC53" s="2143"/>
      <c r="CD53" s="1873"/>
      <c r="CE53"/>
      <c r="CF53"/>
      <c r="CG53"/>
      <c r="CH53"/>
      <c r="CI53"/>
      <c r="CJ53"/>
    </row>
    <row r="54" spans="1:88" ht="14.25" customHeight="1" thickBot="1">
      <c r="A54" s="7"/>
      <c r="B54" s="209" t="str">
        <f t="shared" ref="B54:B64" si="339">B147</f>
        <v>Net cash used for financing activities</v>
      </c>
      <c r="C54" s="210"/>
      <c r="D54" s="212">
        <f t="shared" ref="D54:Z54" si="340">SUM(D45:D53)</f>
        <v>158.047</v>
      </c>
      <c r="E54" s="211">
        <f t="shared" si="340"/>
        <v>173.80099999999999</v>
      </c>
      <c r="F54" s="211">
        <f t="shared" si="340"/>
        <v>59.534000000000027</v>
      </c>
      <c r="G54" s="213">
        <f t="shared" si="340"/>
        <v>102.61799999999999</v>
      </c>
      <c r="H54" s="212">
        <f t="shared" si="340"/>
        <v>549.0619999999999</v>
      </c>
      <c r="I54" s="211">
        <f t="shared" si="340"/>
        <v>127.256</v>
      </c>
      <c r="J54" s="211">
        <f t="shared" si="340"/>
        <v>17.562999999999988</v>
      </c>
      <c r="K54" s="213">
        <f t="shared" si="340"/>
        <v>3069.1190000000001</v>
      </c>
      <c r="L54" s="212">
        <f t="shared" si="340"/>
        <v>162</v>
      </c>
      <c r="M54" s="211">
        <f t="shared" si="340"/>
        <v>1474</v>
      </c>
      <c r="N54" s="211">
        <f t="shared" si="340"/>
        <v>-200</v>
      </c>
      <c r="O54" s="213">
        <f t="shared" si="340"/>
        <v>601</v>
      </c>
      <c r="P54" s="212">
        <f t="shared" si="340"/>
        <v>154</v>
      </c>
      <c r="Q54" s="211">
        <f t="shared" si="340"/>
        <v>-114</v>
      </c>
      <c r="R54" s="211">
        <f t="shared" si="340"/>
        <v>156</v>
      </c>
      <c r="S54" s="213">
        <f t="shared" si="340"/>
        <v>24</v>
      </c>
      <c r="T54" s="212">
        <f t="shared" si="340"/>
        <v>2039</v>
      </c>
      <c r="U54" s="211">
        <f t="shared" si="340"/>
        <v>38</v>
      </c>
      <c r="V54" s="211">
        <f t="shared" si="340"/>
        <v>230</v>
      </c>
      <c r="W54" s="213">
        <f t="shared" si="340"/>
        <v>-783</v>
      </c>
      <c r="X54" s="212">
        <f t="shared" si="340"/>
        <v>177</v>
      </c>
      <c r="Y54" s="211">
        <f t="shared" si="340"/>
        <v>24</v>
      </c>
      <c r="Z54" s="211">
        <f t="shared" si="340"/>
        <v>-19</v>
      </c>
      <c r="AA54" s="213">
        <f t="shared" ref="AA54:AM54" si="341">SUM(AA45:AA53)</f>
        <v>302</v>
      </c>
      <c r="AB54" s="211">
        <f t="shared" si="341"/>
        <v>178</v>
      </c>
      <c r="AC54" s="211">
        <f t="shared" si="341"/>
        <v>8</v>
      </c>
      <c r="AD54" s="211">
        <f t="shared" si="341"/>
        <v>-152</v>
      </c>
      <c r="AE54" s="213">
        <f t="shared" si="341"/>
        <v>-40</v>
      </c>
      <c r="AF54" s="211">
        <f t="shared" si="341"/>
        <v>17</v>
      </c>
      <c r="AG54" s="211">
        <f t="shared" si="341"/>
        <v>4</v>
      </c>
      <c r="AH54" s="211">
        <f t="shared" si="341"/>
        <v>11</v>
      </c>
      <c r="AI54" s="213">
        <f t="shared" si="341"/>
        <v>5</v>
      </c>
      <c r="AJ54" s="211">
        <f t="shared" si="341"/>
        <v>0</v>
      </c>
      <c r="AK54" s="211">
        <f t="shared" si="341"/>
        <v>2</v>
      </c>
      <c r="AL54" s="211">
        <f t="shared" si="341"/>
        <v>2</v>
      </c>
      <c r="AM54" s="213">
        <f t="shared" si="341"/>
        <v>9</v>
      </c>
      <c r="AN54" s="211">
        <f t="shared" ref="AN54:AQ54" si="342">SUM(AN45:AN53)</f>
        <v>20</v>
      </c>
      <c r="AO54" s="211">
        <f t="shared" si="342"/>
        <v>20</v>
      </c>
      <c r="AP54" s="211">
        <f t="shared" si="342"/>
        <v>0</v>
      </c>
      <c r="AQ54" s="213">
        <f t="shared" si="342"/>
        <v>6</v>
      </c>
      <c r="AR54" s="211">
        <f>SUM(AR45:AR53)</f>
        <v>60</v>
      </c>
      <c r="AS54" s="211">
        <f t="shared" ref="AS54:AU54" si="343">SUM(AS45:AS53)</f>
        <v>-1</v>
      </c>
      <c r="AT54" s="211">
        <f t="shared" si="343"/>
        <v>2</v>
      </c>
      <c r="AU54" s="213">
        <f t="shared" si="343"/>
        <v>-2</v>
      </c>
      <c r="AV54" s="211">
        <f>SUM(AV45:AV53)</f>
        <v>-1</v>
      </c>
      <c r="AW54" s="211">
        <f t="shared" ref="AW54:AY54" si="344">SUM(AW45:AW53)</f>
        <v>-3</v>
      </c>
      <c r="AX54" s="211">
        <f t="shared" si="344"/>
        <v>282</v>
      </c>
      <c r="AY54" s="213">
        <f t="shared" si="344"/>
        <v>-156</v>
      </c>
      <c r="AZ54" s="211">
        <f>SUM(AZ45:AZ53)</f>
        <v>3</v>
      </c>
      <c r="BA54" s="211">
        <f t="shared" ref="BA54:BC54" si="345">SUM(BA45:BA53)</f>
        <v>-4</v>
      </c>
      <c r="BB54" s="211">
        <f t="shared" si="345"/>
        <v>2</v>
      </c>
      <c r="BC54" s="213">
        <f t="shared" si="345"/>
        <v>-34</v>
      </c>
      <c r="BD54" s="211">
        <f t="shared" ref="BD54:BG54" si="346">SUM(BD45:BD53)</f>
        <v>-8</v>
      </c>
      <c r="BE54" s="211">
        <f t="shared" si="346"/>
        <v>0</v>
      </c>
      <c r="BF54" s="211">
        <f t="shared" si="346"/>
        <v>0</v>
      </c>
      <c r="BG54" s="213">
        <f t="shared" si="346"/>
        <v>0</v>
      </c>
      <c r="BH54" s="211">
        <f t="shared" ref="BH54:BK54" si="347">SUM(BH45:BH53)</f>
        <v>0</v>
      </c>
      <c r="BI54" s="211">
        <f t="shared" si="347"/>
        <v>0</v>
      </c>
      <c r="BJ54" s="211">
        <f t="shared" si="347"/>
        <v>0</v>
      </c>
      <c r="BK54" s="213">
        <f t="shared" si="347"/>
        <v>0</v>
      </c>
      <c r="BL54" s="19"/>
      <c r="BM54" s="211">
        <f t="shared" ref="BM54:BS54" si="348">SUM(BM45:BM53)</f>
        <v>494</v>
      </c>
      <c r="BN54" s="211">
        <f t="shared" si="348"/>
        <v>3763</v>
      </c>
      <c r="BO54" s="211">
        <f t="shared" si="348"/>
        <v>2037</v>
      </c>
      <c r="BP54" s="211">
        <f t="shared" si="348"/>
        <v>220</v>
      </c>
      <c r="BQ54" s="211">
        <f t="shared" si="348"/>
        <v>1524</v>
      </c>
      <c r="BR54" s="211">
        <f t="shared" si="348"/>
        <v>484</v>
      </c>
      <c r="BS54" s="211">
        <f t="shared" si="348"/>
        <v>-6</v>
      </c>
      <c r="BT54" s="211">
        <f t="shared" ref="BT54:BY54" si="349">SUM(BT45:BT53)</f>
        <v>37</v>
      </c>
      <c r="BU54" s="211">
        <f t="shared" si="349"/>
        <v>13</v>
      </c>
      <c r="BV54" s="211">
        <f>SUM(BV45:BV53)</f>
        <v>46</v>
      </c>
      <c r="BW54" s="211">
        <f>SUM(BW45:BW53)</f>
        <v>59</v>
      </c>
      <c r="BX54" s="211">
        <f t="shared" si="349"/>
        <v>122</v>
      </c>
      <c r="BY54" s="211">
        <f t="shared" si="349"/>
        <v>-33</v>
      </c>
      <c r="BZ54" s="211">
        <f t="shared" ref="BZ54:CA54" si="350">SUM(BZ45:BZ53)</f>
        <v>-8</v>
      </c>
      <c r="CA54" s="211">
        <f t="shared" si="350"/>
        <v>0</v>
      </c>
      <c r="CB54" s="2151">
        <f t="shared" ref="CB54" si="351">SUM(CB45:CB53)</f>
        <v>0</v>
      </c>
      <c r="CC54" s="2143"/>
      <c r="CD54" s="1873"/>
    </row>
    <row r="55" spans="1:88" ht="14.25" customHeight="1" thickTop="1">
      <c r="A55" s="7"/>
      <c r="B55" s="42"/>
      <c r="C55" s="43"/>
      <c r="D55" s="218"/>
      <c r="E55" s="217"/>
      <c r="F55" s="217"/>
      <c r="G55" s="305"/>
      <c r="H55" s="218"/>
      <c r="I55" s="217"/>
      <c r="J55" s="217"/>
      <c r="K55" s="305"/>
      <c r="L55" s="218"/>
      <c r="M55" s="217"/>
      <c r="N55" s="217"/>
      <c r="O55" s="305"/>
      <c r="P55" s="218"/>
      <c r="Q55" s="217"/>
      <c r="R55" s="217"/>
      <c r="S55" s="305"/>
      <c r="T55" s="218"/>
      <c r="U55" s="217"/>
      <c r="V55" s="217"/>
      <c r="W55" s="305"/>
      <c r="X55" s="218"/>
      <c r="Y55" s="217"/>
      <c r="Z55" s="217"/>
      <c r="AA55" s="305"/>
      <c r="AB55" s="217"/>
      <c r="AC55" s="217"/>
      <c r="AD55" s="217"/>
      <c r="AE55" s="305"/>
      <c r="AF55" s="217"/>
      <c r="AG55" s="217"/>
      <c r="AH55" s="217"/>
      <c r="AI55" s="305"/>
      <c r="AJ55" s="217"/>
      <c r="AK55" s="217"/>
      <c r="AL55" s="217"/>
      <c r="AM55" s="305"/>
      <c r="AN55" s="217"/>
      <c r="AO55" s="217"/>
      <c r="AP55" s="217"/>
      <c r="AQ55" s="305"/>
      <c r="AR55" s="217"/>
      <c r="AS55" s="217"/>
      <c r="AT55" s="217"/>
      <c r="AU55" s="305"/>
      <c r="AV55" s="217"/>
      <c r="AW55" s="217"/>
      <c r="AX55" s="217"/>
      <c r="AY55" s="305"/>
      <c r="AZ55" s="217"/>
      <c r="BA55" s="217"/>
      <c r="BB55" s="217"/>
      <c r="BC55" s="305"/>
      <c r="BD55" s="217"/>
      <c r="BE55" s="217"/>
      <c r="BF55" s="217"/>
      <c r="BG55" s="219"/>
      <c r="BH55" s="217"/>
      <c r="BI55" s="217"/>
      <c r="BJ55" s="217"/>
      <c r="BK55" s="219"/>
      <c r="BL55" s="19"/>
      <c r="BM55" s="217"/>
      <c r="BN55" s="217"/>
      <c r="BO55" s="217"/>
      <c r="BP55" s="217"/>
      <c r="BQ55" s="217"/>
      <c r="BR55" s="217"/>
      <c r="BS55" s="217"/>
      <c r="BT55" s="217"/>
      <c r="BU55" s="217"/>
      <c r="BV55" s="217"/>
      <c r="BW55" s="217"/>
      <c r="BX55" s="217"/>
      <c r="BY55" s="217"/>
      <c r="BZ55" s="217"/>
      <c r="CA55" s="217"/>
      <c r="CB55" s="2153"/>
      <c r="CC55" s="2143"/>
      <c r="CD55" s="1873"/>
    </row>
    <row r="56" spans="1:88" ht="14.25" customHeight="1">
      <c r="A56" s="7"/>
      <c r="B56" s="42" t="str">
        <f t="shared" si="339"/>
        <v>Effect of exchange rate changes on cash and cash equivalents</v>
      </c>
      <c r="C56" s="43"/>
      <c r="D56" s="205">
        <f>D149</f>
        <v>3.8450000000000002</v>
      </c>
      <c r="E56" s="203">
        <f>E149-D56</f>
        <v>-2.5170000000000003</v>
      </c>
      <c r="F56" s="203">
        <f>F149-E56-D56</f>
        <v>-5.5640000000000001</v>
      </c>
      <c r="G56" s="204">
        <f>G149-F56-E56-D56</f>
        <v>11.464</v>
      </c>
      <c r="H56" s="205">
        <f>H149</f>
        <v>5.4950000000000001</v>
      </c>
      <c r="I56" s="203">
        <f>I149-H56</f>
        <v>-5.4950000000000001</v>
      </c>
      <c r="J56" s="203">
        <f>J149-I56-H56</f>
        <v>0</v>
      </c>
      <c r="K56" s="204">
        <f>K149-J56-I56-H56</f>
        <v>0</v>
      </c>
      <c r="L56" s="205">
        <f>L149</f>
        <v>0</v>
      </c>
      <c r="M56" s="203">
        <f>M149-L56</f>
        <v>0</v>
      </c>
      <c r="N56" s="203">
        <f>N149-M56-L56</f>
        <v>0</v>
      </c>
      <c r="O56" s="204">
        <f>O149-N56-M56-L56</f>
        <v>0</v>
      </c>
      <c r="P56" s="205">
        <f>P149</f>
        <v>0</v>
      </c>
      <c r="Q56" s="203">
        <f>Q149-P56</f>
        <v>0</v>
      </c>
      <c r="R56" s="203">
        <f>R149-Q56-P56</f>
        <v>0</v>
      </c>
      <c r="S56" s="204">
        <f>S149-R56-Q56-P56</f>
        <v>0</v>
      </c>
      <c r="T56" s="205">
        <f>T149</f>
        <v>0</v>
      </c>
      <c r="U56" s="203">
        <f>U149-T56</f>
        <v>0</v>
      </c>
      <c r="V56" s="203">
        <f>V149-U56-T56</f>
        <v>0</v>
      </c>
      <c r="W56" s="204">
        <f>W149-V56-U56-T56</f>
        <v>0</v>
      </c>
      <c r="X56" s="205">
        <f>X149</f>
        <v>0</v>
      </c>
      <c r="Y56" s="203">
        <f>Y149-X56</f>
        <v>0</v>
      </c>
      <c r="Z56" s="203">
        <f>Z149-Y56-X56</f>
        <v>0</v>
      </c>
      <c r="AA56" s="204">
        <f>AA149-Z56-Y56-X56</f>
        <v>0</v>
      </c>
      <c r="AB56" s="203">
        <f>AB149</f>
        <v>0</v>
      </c>
      <c r="AC56" s="203">
        <f>AC149-AB56</f>
        <v>0</v>
      </c>
      <c r="AD56" s="203">
        <f>AD149-AC56-AB56</f>
        <v>0</v>
      </c>
      <c r="AE56" s="204">
        <f>AE149-AD56-AC56-AB56</f>
        <v>0</v>
      </c>
      <c r="AF56" s="203">
        <f>AF149</f>
        <v>0</v>
      </c>
      <c r="AG56" s="203">
        <f>AG149-AF56</f>
        <v>0</v>
      </c>
      <c r="AH56" s="203">
        <f>AH149-AG56-AF56</f>
        <v>0</v>
      </c>
      <c r="AI56" s="204">
        <f>AI149-AH56-AG56-AF56</f>
        <v>0</v>
      </c>
      <c r="AJ56" s="203">
        <f>AJ149</f>
        <v>0</v>
      </c>
      <c r="AK56" s="203">
        <f>AK149-AJ56</f>
        <v>0</v>
      </c>
      <c r="AL56" s="203">
        <f>AL149-AK56-AJ56</f>
        <v>0</v>
      </c>
      <c r="AM56" s="204">
        <f>AM149-AL56-AK56-AJ56</f>
        <v>0</v>
      </c>
      <c r="AN56" s="203">
        <f>AN149</f>
        <v>0</v>
      </c>
      <c r="AO56" s="203">
        <f>AO149-AN56</f>
        <v>0</v>
      </c>
      <c r="AP56" s="203">
        <f>AP149-AO56-AN56</f>
        <v>0</v>
      </c>
      <c r="AQ56" s="204">
        <v>0</v>
      </c>
      <c r="AR56" s="203">
        <f>AR149</f>
        <v>0</v>
      </c>
      <c r="AS56" s="203">
        <f>AS149-AR56</f>
        <v>0</v>
      </c>
      <c r="AT56" s="203">
        <f>AT149-AS56-AR56</f>
        <v>0</v>
      </c>
      <c r="AU56" s="204">
        <v>0</v>
      </c>
      <c r="AV56" s="203">
        <f>AV149</f>
        <v>0</v>
      </c>
      <c r="AW56" s="203">
        <f>AW149-AV56</f>
        <v>0</v>
      </c>
      <c r="AX56" s="203">
        <v>0</v>
      </c>
      <c r="AY56" s="204">
        <v>0</v>
      </c>
      <c r="AZ56" s="203">
        <f>AZ149</f>
        <v>0</v>
      </c>
      <c r="BA56" s="203">
        <f>BA149-AZ56</f>
        <v>0</v>
      </c>
      <c r="BB56" s="203">
        <v>0</v>
      </c>
      <c r="BC56" s="204">
        <v>0</v>
      </c>
      <c r="BD56" s="203">
        <v>0</v>
      </c>
      <c r="BE56" s="203">
        <v>0</v>
      </c>
      <c r="BF56" s="203">
        <v>0</v>
      </c>
      <c r="BG56" s="207">
        <v>0</v>
      </c>
      <c r="BH56" s="203">
        <v>0</v>
      </c>
      <c r="BI56" s="203">
        <v>0</v>
      </c>
      <c r="BJ56" s="203">
        <v>0</v>
      </c>
      <c r="BK56" s="207">
        <v>0</v>
      </c>
      <c r="BL56" s="19"/>
      <c r="BM56" s="203">
        <f>SUM(D56:G56)</f>
        <v>7.2279999999999998</v>
      </c>
      <c r="BN56" s="203">
        <f>SUM(H56:K56)</f>
        <v>0</v>
      </c>
      <c r="BO56" s="203">
        <f>SUM(L56:O56)</f>
        <v>0</v>
      </c>
      <c r="BP56" s="203">
        <f>SUM(P56:S56)</f>
        <v>0</v>
      </c>
      <c r="BQ56" s="203">
        <f>SUM(T56:W56)</f>
        <v>0</v>
      </c>
      <c r="BR56" s="203">
        <f>SUM(X56:AA56)</f>
        <v>0</v>
      </c>
      <c r="BS56" s="203">
        <f>SUM(AB56:AE56)</f>
        <v>0</v>
      </c>
      <c r="BT56" s="203">
        <f>SUM(AF56:AI56)</f>
        <v>0</v>
      </c>
      <c r="BU56" s="203">
        <f>SUM(AJ56:AM56)</f>
        <v>0</v>
      </c>
      <c r="BV56" s="203">
        <f>SUM(AN56:AQ56)</f>
        <v>0</v>
      </c>
      <c r="BW56" s="203">
        <f t="shared" ref="BW56" si="352">SUM(AR56:AU56)</f>
        <v>0</v>
      </c>
      <c r="BX56" s="203">
        <f t="shared" ref="BX56" si="353">SUM(AV56:AY56)</f>
        <v>0</v>
      </c>
      <c r="BY56" s="203">
        <f t="shared" ref="BY56" si="354">SUM(AZ56:BC56)</f>
        <v>0</v>
      </c>
      <c r="BZ56" s="203">
        <f>SUM(BD56:BG56)</f>
        <v>0</v>
      </c>
      <c r="CA56" s="203">
        <f>SUM(BH56:BK56)</f>
        <v>0</v>
      </c>
      <c r="CB56" s="2149">
        <f>CA56</f>
        <v>0</v>
      </c>
      <c r="CC56" s="2143"/>
      <c r="CD56" s="1873"/>
    </row>
    <row r="57" spans="1:88" ht="14.25" customHeight="1">
      <c r="A57" s="7"/>
      <c r="B57" s="42"/>
      <c r="C57" s="43"/>
      <c r="D57" s="218"/>
      <c r="E57" s="217"/>
      <c r="F57" s="217"/>
      <c r="G57" s="219"/>
      <c r="H57" s="218"/>
      <c r="I57" s="217"/>
      <c r="J57" s="217"/>
      <c r="K57" s="219"/>
      <c r="L57" s="218"/>
      <c r="M57" s="217"/>
      <c r="N57" s="217"/>
      <c r="O57" s="219"/>
      <c r="P57" s="218"/>
      <c r="Q57" s="217"/>
      <c r="R57" s="217"/>
      <c r="S57" s="219"/>
      <c r="T57" s="218"/>
      <c r="U57" s="217"/>
      <c r="V57" s="217"/>
      <c r="W57" s="219"/>
      <c r="X57" s="218"/>
      <c r="Y57" s="217"/>
      <c r="Z57" s="217"/>
      <c r="AA57" s="219"/>
      <c r="AB57" s="217"/>
      <c r="AC57" s="217"/>
      <c r="AD57" s="217"/>
      <c r="AE57" s="219"/>
      <c r="AF57" s="217"/>
      <c r="AG57" s="217"/>
      <c r="AH57" s="217"/>
      <c r="AI57" s="221"/>
      <c r="AJ57" s="217"/>
      <c r="AK57" s="217"/>
      <c r="AL57" s="217"/>
      <c r="AM57" s="221"/>
      <c r="AN57" s="217"/>
      <c r="AO57" s="217"/>
      <c r="AP57" s="217"/>
      <c r="AQ57" s="221"/>
      <c r="AR57" s="217"/>
      <c r="AS57" s="217"/>
      <c r="AT57" s="217"/>
      <c r="AU57" s="221"/>
      <c r="AV57" s="217"/>
      <c r="AW57" s="217"/>
      <c r="AX57" s="217"/>
      <c r="AY57" s="221"/>
      <c r="AZ57" s="217"/>
      <c r="BA57" s="217"/>
      <c r="BB57" s="217"/>
      <c r="BC57" s="221"/>
      <c r="BD57" s="217"/>
      <c r="BE57" s="217"/>
      <c r="BF57" s="217"/>
      <c r="BG57" s="221"/>
      <c r="BH57" s="217"/>
      <c r="BI57" s="217"/>
      <c r="BJ57" s="217"/>
      <c r="BK57" s="221"/>
      <c r="BL57" s="19"/>
      <c r="BM57" s="217"/>
      <c r="BN57" s="217"/>
      <c r="BO57" s="217"/>
      <c r="BP57" s="217"/>
      <c r="BQ57" s="217"/>
      <c r="BR57" s="217"/>
      <c r="BS57" s="217"/>
      <c r="BT57" s="217"/>
      <c r="BU57" s="217"/>
      <c r="BV57" s="217"/>
      <c r="BW57" s="217"/>
      <c r="BX57" s="217"/>
      <c r="BY57" s="217"/>
      <c r="BZ57" s="217"/>
      <c r="CA57" s="217"/>
      <c r="CB57" s="2154"/>
      <c r="CC57" s="2143"/>
      <c r="CD57" s="1873"/>
    </row>
    <row r="58" spans="1:88" ht="14.25" customHeight="1">
      <c r="A58" s="7"/>
      <c r="B58" s="42" t="str">
        <f t="shared" si="339"/>
        <v>Cash and cash equivalents, beginning of period</v>
      </c>
      <c r="C58" s="43"/>
      <c r="D58" s="218">
        <f>D151</f>
        <v>918.37699999999995</v>
      </c>
      <c r="E58" s="217">
        <f t="shared" ref="E58:AA58" si="355">D61</f>
        <v>661.98400000000004</v>
      </c>
      <c r="F58" s="217">
        <f t="shared" si="355"/>
        <v>711.22099999999989</v>
      </c>
      <c r="G58" s="219">
        <f t="shared" si="355"/>
        <v>806.11500000000001</v>
      </c>
      <c r="H58" s="218">
        <f t="shared" si="355"/>
        <v>633.06699999999955</v>
      </c>
      <c r="I58" s="217">
        <f t="shared" si="355"/>
        <v>828.62599999999941</v>
      </c>
      <c r="J58" s="217">
        <f t="shared" si="355"/>
        <v>688.65699999999936</v>
      </c>
      <c r="K58" s="219">
        <f t="shared" si="355"/>
        <v>1384.5259999999989</v>
      </c>
      <c r="L58" s="218">
        <f t="shared" si="355"/>
        <v>1379.9999999999995</v>
      </c>
      <c r="M58" s="217">
        <f t="shared" si="355"/>
        <v>990.99999999999955</v>
      </c>
      <c r="N58" s="217">
        <f t="shared" si="355"/>
        <v>1303.9999999999995</v>
      </c>
      <c r="O58" s="219">
        <f t="shared" si="355"/>
        <v>1095.9999999999995</v>
      </c>
      <c r="P58" s="218">
        <f t="shared" si="355"/>
        <v>1431.9999999999995</v>
      </c>
      <c r="Q58" s="217">
        <f t="shared" si="355"/>
        <v>1403.9999999999995</v>
      </c>
      <c r="R58" s="217">
        <f t="shared" si="355"/>
        <v>1309.9999999999995</v>
      </c>
      <c r="S58" s="219">
        <f t="shared" si="355"/>
        <v>1107.9999999999995</v>
      </c>
      <c r="T58" s="218">
        <f t="shared" si="355"/>
        <v>932.99999999999955</v>
      </c>
      <c r="U58" s="217">
        <f t="shared" si="355"/>
        <v>2401.9999999999995</v>
      </c>
      <c r="V58" s="217">
        <f t="shared" si="355"/>
        <v>1978.9999999999995</v>
      </c>
      <c r="W58" s="219">
        <f t="shared" si="355"/>
        <v>1846.9999999999995</v>
      </c>
      <c r="X58" s="218">
        <f t="shared" si="355"/>
        <v>1656.9999999999995</v>
      </c>
      <c r="Y58" s="217">
        <f t="shared" si="355"/>
        <v>641.99999999999955</v>
      </c>
      <c r="Z58" s="217">
        <f t="shared" si="355"/>
        <v>1083.9999999999995</v>
      </c>
      <c r="AA58" s="219">
        <f t="shared" si="355"/>
        <v>619.99999999999955</v>
      </c>
      <c r="AB58" s="217">
        <f t="shared" ref="AB58:AW58" si="356">AA61</f>
        <v>605.99999999999955</v>
      </c>
      <c r="AC58" s="217">
        <f t="shared" si="356"/>
        <v>601.99999999999955</v>
      </c>
      <c r="AD58" s="217">
        <f t="shared" si="356"/>
        <v>553.99999999999955</v>
      </c>
      <c r="AE58" s="219">
        <f t="shared" si="356"/>
        <v>624.99999999999955</v>
      </c>
      <c r="AF58" s="217">
        <f t="shared" si="356"/>
        <v>868.99999999999955</v>
      </c>
      <c r="AG58" s="217">
        <f t="shared" si="356"/>
        <v>1192.9999999999995</v>
      </c>
      <c r="AH58" s="217">
        <f t="shared" si="356"/>
        <v>1014.9999999999995</v>
      </c>
      <c r="AI58" s="219">
        <f t="shared" si="356"/>
        <v>775.99999999999955</v>
      </c>
      <c r="AJ58" s="217">
        <f t="shared" si="356"/>
        <v>548.99999999999955</v>
      </c>
      <c r="AK58" s="217">
        <f t="shared" si="356"/>
        <v>440.99999999999955</v>
      </c>
      <c r="AL58" s="217">
        <f t="shared" si="356"/>
        <v>333.99999999999955</v>
      </c>
      <c r="AM58" s="219">
        <f t="shared" si="356"/>
        <v>542.99999999999955</v>
      </c>
      <c r="AN58" s="217">
        <f t="shared" si="356"/>
        <v>868.99999999999955</v>
      </c>
      <c r="AO58" s="217">
        <f t="shared" si="356"/>
        <v>553.99999999999955</v>
      </c>
      <c r="AP58" s="217">
        <f t="shared" si="356"/>
        <v>502.99999999999955</v>
      </c>
      <c r="AQ58" s="219">
        <f>AP61</f>
        <v>639.99999999999955</v>
      </c>
      <c r="AR58" s="217">
        <f t="shared" si="356"/>
        <v>804.99999999999955</v>
      </c>
      <c r="AS58" s="217">
        <f t="shared" si="356"/>
        <v>676.99999999999955</v>
      </c>
      <c r="AT58" s="217">
        <f t="shared" si="356"/>
        <v>828.99999999999955</v>
      </c>
      <c r="AU58" s="219">
        <f>AT61</f>
        <v>754.99999999999955</v>
      </c>
      <c r="AV58" s="217">
        <f t="shared" si="356"/>
        <v>784.99999999999955</v>
      </c>
      <c r="AW58" s="217">
        <f t="shared" si="356"/>
        <v>715.99999999999955</v>
      </c>
      <c r="AX58" s="217">
        <f t="shared" ref="AX58" si="357">AW61</f>
        <v>956.99999999999955</v>
      </c>
      <c r="AY58" s="219">
        <f>AX61</f>
        <v>1257.9999999999995</v>
      </c>
      <c r="AZ58" s="217">
        <f t="shared" ref="AZ58:BB58" si="358">AY61</f>
        <v>1263.9999999999995</v>
      </c>
      <c r="BA58" s="217">
        <f t="shared" si="358"/>
        <v>721.99999999999955</v>
      </c>
      <c r="BB58" s="217">
        <f t="shared" si="358"/>
        <v>759.99999999999955</v>
      </c>
      <c r="BC58" s="219">
        <f>BB61</f>
        <v>878.99999999999955</v>
      </c>
      <c r="BD58" s="217">
        <f t="shared" ref="BD58" si="359">BC61</f>
        <v>1184.9999999999995</v>
      </c>
      <c r="BE58" s="217">
        <f t="shared" ref="BE58" si="360">BD61</f>
        <v>1044.9999999999995</v>
      </c>
      <c r="BF58" s="217">
        <f t="shared" ref="BF58" si="361">BE61</f>
        <v>1175.4116601618132</v>
      </c>
      <c r="BG58" s="219">
        <f t="shared" ref="BG58" si="362">BF61</f>
        <v>1321.5505459411595</v>
      </c>
      <c r="BH58" s="217">
        <f t="shared" ref="BH58" si="363">BG61</f>
        <v>1449.8981177399833</v>
      </c>
      <c r="BI58" s="217">
        <f t="shared" ref="BI58" si="364">BH61</f>
        <v>1619.2365541236686</v>
      </c>
      <c r="BJ58" s="217">
        <f t="shared" ref="BJ58" si="365">BI61</f>
        <v>1733.925662460794</v>
      </c>
      <c r="BK58" s="219">
        <f t="shared" ref="BK58" si="366">BJ61</f>
        <v>1819.1713108402357</v>
      </c>
      <c r="BL58" s="19"/>
      <c r="BM58" s="217">
        <f>D58</f>
        <v>918.37699999999995</v>
      </c>
      <c r="BN58" s="217">
        <f t="shared" ref="BN58:BU58" si="367">BM61</f>
        <v>633.06699999999955</v>
      </c>
      <c r="BO58" s="217">
        <f t="shared" si="367"/>
        <v>1379.9999999999998</v>
      </c>
      <c r="BP58" s="217">
        <f t="shared" si="367"/>
        <v>1431.9999999999998</v>
      </c>
      <c r="BQ58" s="217">
        <f t="shared" si="367"/>
        <v>932.99999999999977</v>
      </c>
      <c r="BR58" s="217">
        <f t="shared" si="367"/>
        <v>1656.9999999999998</v>
      </c>
      <c r="BS58" s="217">
        <f t="shared" si="367"/>
        <v>605.99999999999977</v>
      </c>
      <c r="BT58" s="217">
        <f t="shared" si="367"/>
        <v>868.99999999999977</v>
      </c>
      <c r="BU58" s="217">
        <f t="shared" si="367"/>
        <v>548.99999999999977</v>
      </c>
      <c r="BV58" s="217">
        <f t="shared" ref="BV58:CB58" si="368">BU61</f>
        <v>868.99999999999977</v>
      </c>
      <c r="BW58" s="217">
        <f>BV61</f>
        <v>804.99999999999977</v>
      </c>
      <c r="BX58" s="217">
        <f t="shared" si="368"/>
        <v>784.99999999999977</v>
      </c>
      <c r="BY58" s="217">
        <f t="shared" si="368"/>
        <v>1263.9999999999998</v>
      </c>
      <c r="BZ58" s="217">
        <f t="shared" si="368"/>
        <v>1184.9999999999998</v>
      </c>
      <c r="CA58" s="217">
        <f t="shared" si="368"/>
        <v>1449.8981177399837</v>
      </c>
      <c r="CB58" s="2153">
        <f t="shared" si="368"/>
        <v>1963.6684532005056</v>
      </c>
      <c r="CC58" s="2143"/>
      <c r="CD58" s="1873"/>
    </row>
    <row r="59" spans="1:88" s="280" customFormat="1" ht="14.25" customHeight="1">
      <c r="A59" s="285"/>
      <c r="B59" s="329" t="str">
        <f t="shared" si="339"/>
        <v>Change in cash flow due to restatement</v>
      </c>
      <c r="C59" s="394"/>
      <c r="D59" s="400">
        <f>D152</f>
        <v>0</v>
      </c>
      <c r="E59" s="401">
        <f>E152-D59</f>
        <v>0</v>
      </c>
      <c r="F59" s="401">
        <f>F152-E59-D59</f>
        <v>0</v>
      </c>
      <c r="G59" s="402">
        <f>G152-F59-E59-D59</f>
        <v>0.46200000000000002</v>
      </c>
      <c r="H59" s="400">
        <f>H152</f>
        <v>0</v>
      </c>
      <c r="I59" s="401">
        <f>I152-H59</f>
        <v>0</v>
      </c>
      <c r="J59" s="401">
        <f>J152-I59-H59</f>
        <v>0</v>
      </c>
      <c r="K59" s="402">
        <f>K152-J59-I59-H59</f>
        <v>-6.7000000000000004E-2</v>
      </c>
      <c r="L59" s="400">
        <f>L152</f>
        <v>0</v>
      </c>
      <c r="M59" s="401">
        <f>M152-L59</f>
        <v>0</v>
      </c>
      <c r="N59" s="401">
        <f>N152-M59-L59</f>
        <v>0</v>
      </c>
      <c r="O59" s="402">
        <f>O152-N59-M59-L59</f>
        <v>0</v>
      </c>
      <c r="P59" s="400">
        <f>P152</f>
        <v>0</v>
      </c>
      <c r="Q59" s="401">
        <f>Q152-P59</f>
        <v>0</v>
      </c>
      <c r="R59" s="401">
        <f>R152-Q59-P59</f>
        <v>0</v>
      </c>
      <c r="S59" s="402">
        <f>S152-R59-Q59-P59</f>
        <v>0</v>
      </c>
      <c r="T59" s="400">
        <f>T152</f>
        <v>0</v>
      </c>
      <c r="U59" s="401">
        <f>U152-T59</f>
        <v>0</v>
      </c>
      <c r="V59" s="401">
        <f>V152-U59-T59</f>
        <v>0</v>
      </c>
      <c r="W59" s="402">
        <f>W152-V59-U59-T59</f>
        <v>0</v>
      </c>
      <c r="X59" s="400">
        <f>X152</f>
        <v>0</v>
      </c>
      <c r="Y59" s="401">
        <f>Y152-X59</f>
        <v>0</v>
      </c>
      <c r="Z59" s="401">
        <f>Z152-Y59-X59</f>
        <v>0</v>
      </c>
      <c r="AA59" s="402">
        <f>AA152-Z59-Y59-X59</f>
        <v>0</v>
      </c>
      <c r="AB59" s="401">
        <f>AB152</f>
        <v>0</v>
      </c>
      <c r="AC59" s="401">
        <f>AC152-AB59</f>
        <v>0</v>
      </c>
      <c r="AD59" s="401">
        <f>AD152-AC59-AB59</f>
        <v>0</v>
      </c>
      <c r="AE59" s="402">
        <f>AE152-AD59-AC59-AB59</f>
        <v>0</v>
      </c>
      <c r="AF59" s="401">
        <f>AF152</f>
        <v>0</v>
      </c>
      <c r="AG59" s="401">
        <f>AG152-AF59</f>
        <v>0</v>
      </c>
      <c r="AH59" s="401">
        <f>AH152-AG59-AF59</f>
        <v>0</v>
      </c>
      <c r="AI59" s="397"/>
      <c r="AJ59" s="401">
        <f>AJ152</f>
        <v>0</v>
      </c>
      <c r="AK59" s="401">
        <f>AK152-AJ59</f>
        <v>0</v>
      </c>
      <c r="AL59" s="401">
        <f>AL152-AK59-AJ59</f>
        <v>0</v>
      </c>
      <c r="AM59" s="397"/>
      <c r="AN59" s="401">
        <f>AN152</f>
        <v>0</v>
      </c>
      <c r="AO59" s="401">
        <f>AO152-AN59</f>
        <v>0</v>
      </c>
      <c r="AP59" s="401">
        <f>AP152-AO59-AN59</f>
        <v>0</v>
      </c>
      <c r="AQ59" s="397"/>
      <c r="AR59" s="401">
        <f>AR152</f>
        <v>0</v>
      </c>
      <c r="AS59" s="401">
        <f>AS152-AR59</f>
        <v>0</v>
      </c>
      <c r="AT59" s="401">
        <v>0</v>
      </c>
      <c r="AU59" s="397"/>
      <c r="AV59" s="401">
        <f>AV152</f>
        <v>0</v>
      </c>
      <c r="AW59" s="401">
        <f>AW152-AV59</f>
        <v>0</v>
      </c>
      <c r="AX59" s="401">
        <v>0</v>
      </c>
      <c r="AY59" s="397">
        <v>0</v>
      </c>
      <c r="AZ59" s="401">
        <f>AZ152</f>
        <v>0</v>
      </c>
      <c r="BA59" s="401">
        <f>BA152-AZ59</f>
        <v>0</v>
      </c>
      <c r="BB59" s="401">
        <v>0</v>
      </c>
      <c r="BC59" s="397">
        <v>0</v>
      </c>
      <c r="BD59" s="401"/>
      <c r="BE59" s="401"/>
      <c r="BF59" s="401"/>
      <c r="BG59" s="397"/>
      <c r="BH59" s="401"/>
      <c r="BI59" s="401"/>
      <c r="BJ59" s="401"/>
      <c r="BK59" s="397"/>
      <c r="BL59" s="399"/>
      <c r="BM59" s="203">
        <f>SUM(D59:G59)</f>
        <v>0.46200000000000002</v>
      </c>
      <c r="BN59" s="203">
        <f>SUM(H59:K59)</f>
        <v>-6.7000000000000004E-2</v>
      </c>
      <c r="BO59" s="203">
        <f>SUM(L59:O59)</f>
        <v>0</v>
      </c>
      <c r="BP59" s="203">
        <f>SUM(P59:S59)</f>
        <v>0</v>
      </c>
      <c r="BQ59" s="203">
        <f>SUM(T59:W59)</f>
        <v>0</v>
      </c>
      <c r="BR59" s="203">
        <f>SUM(X59:AA59)</f>
        <v>0</v>
      </c>
      <c r="BS59" s="203">
        <f>SUM(AB59:AE59)</f>
        <v>0</v>
      </c>
      <c r="BT59" s="203"/>
      <c r="BU59" s="203">
        <f>SUM(AJ59:AM59)</f>
        <v>0</v>
      </c>
      <c r="BV59" s="203">
        <f>SUM(AN59:AQ59)</f>
        <v>0</v>
      </c>
      <c r="BW59" s="203">
        <f t="shared" ref="BW59" si="369">SUM(AR59:AU59)</f>
        <v>0</v>
      </c>
      <c r="BX59" s="203">
        <f t="shared" ref="BX59" si="370">SUM(AV59:AY59)</f>
        <v>0</v>
      </c>
      <c r="BY59" s="203">
        <f t="shared" ref="BY59" si="371">SUM(AZ59:BC59)</f>
        <v>0</v>
      </c>
      <c r="BZ59" s="203">
        <f>SUM(BD59:BG59)</f>
        <v>0</v>
      </c>
      <c r="CA59" s="203">
        <f>SUM(BH59:BK59)</f>
        <v>0</v>
      </c>
      <c r="CB59" s="2149"/>
      <c r="CC59" s="2143"/>
      <c r="CD59" s="1873"/>
      <c r="CE59"/>
      <c r="CF59"/>
      <c r="CG59"/>
      <c r="CH59"/>
      <c r="CI59"/>
      <c r="CJ59"/>
    </row>
    <row r="60" spans="1:88" ht="14.25" customHeight="1">
      <c r="A60" s="7"/>
      <c r="B60" s="214" t="str">
        <f t="shared" si="339"/>
        <v>Net increase (decrease) in cash and cash equivalents</v>
      </c>
      <c r="C60" s="215"/>
      <c r="D60" s="218">
        <f t="shared" ref="D60:AI60" si="372">D54+D42+D30+D56</f>
        <v>-256.39299999999992</v>
      </c>
      <c r="E60" s="217">
        <f t="shared" si="372"/>
        <v>49.236999999999902</v>
      </c>
      <c r="F60" s="217">
        <f t="shared" si="372"/>
        <v>94.894000000000148</v>
      </c>
      <c r="G60" s="219">
        <f t="shared" si="372"/>
        <v>-173.5100000000005</v>
      </c>
      <c r="H60" s="218">
        <f t="shared" si="372"/>
        <v>195.55899999999986</v>
      </c>
      <c r="I60" s="217">
        <f t="shared" si="372"/>
        <v>-139.96900000000005</v>
      </c>
      <c r="J60" s="217">
        <f t="shared" si="372"/>
        <v>695.86899999999969</v>
      </c>
      <c r="K60" s="219">
        <f t="shared" si="372"/>
        <v>-4.4589999999992642</v>
      </c>
      <c r="L60" s="218">
        <f t="shared" si="372"/>
        <v>-389</v>
      </c>
      <c r="M60" s="217">
        <f t="shared" si="372"/>
        <v>313</v>
      </c>
      <c r="N60" s="217">
        <f t="shared" si="372"/>
        <v>-208</v>
      </c>
      <c r="O60" s="219">
        <f t="shared" si="372"/>
        <v>336</v>
      </c>
      <c r="P60" s="218">
        <f t="shared" si="372"/>
        <v>-28</v>
      </c>
      <c r="Q60" s="217">
        <f t="shared" si="372"/>
        <v>-94</v>
      </c>
      <c r="R60" s="217">
        <f t="shared" si="372"/>
        <v>-202</v>
      </c>
      <c r="S60" s="219">
        <f t="shared" si="372"/>
        <v>-175</v>
      </c>
      <c r="T60" s="218">
        <f t="shared" si="372"/>
        <v>1469</v>
      </c>
      <c r="U60" s="217">
        <f t="shared" si="372"/>
        <v>-423</v>
      </c>
      <c r="V60" s="217">
        <f t="shared" si="372"/>
        <v>-132</v>
      </c>
      <c r="W60" s="219">
        <f t="shared" si="372"/>
        <v>-190</v>
      </c>
      <c r="X60" s="218">
        <f t="shared" si="372"/>
        <v>-1015</v>
      </c>
      <c r="Y60" s="217">
        <f t="shared" si="372"/>
        <v>442</v>
      </c>
      <c r="Z60" s="217">
        <f t="shared" si="372"/>
        <v>-464</v>
      </c>
      <c r="AA60" s="219">
        <f t="shared" si="372"/>
        <v>-14</v>
      </c>
      <c r="AB60" s="217">
        <f t="shared" si="372"/>
        <v>-4</v>
      </c>
      <c r="AC60" s="217">
        <f t="shared" si="372"/>
        <v>-48</v>
      </c>
      <c r="AD60" s="217">
        <f t="shared" si="372"/>
        <v>71</v>
      </c>
      <c r="AE60" s="219">
        <f t="shared" si="372"/>
        <v>244</v>
      </c>
      <c r="AF60" s="217">
        <f t="shared" si="372"/>
        <v>324</v>
      </c>
      <c r="AG60" s="217">
        <f t="shared" si="372"/>
        <v>-178</v>
      </c>
      <c r="AH60" s="217">
        <f t="shared" si="372"/>
        <v>-239</v>
      </c>
      <c r="AI60" s="219">
        <f t="shared" si="372"/>
        <v>-227</v>
      </c>
      <c r="AJ60" s="217">
        <f t="shared" ref="AJ60:AQ60" si="373">AJ54+AJ42+AJ30+AJ56</f>
        <v>-108</v>
      </c>
      <c r="AK60" s="217">
        <f t="shared" si="373"/>
        <v>-107</v>
      </c>
      <c r="AL60" s="217">
        <f t="shared" si="373"/>
        <v>209</v>
      </c>
      <c r="AM60" s="219">
        <f t="shared" si="373"/>
        <v>326</v>
      </c>
      <c r="AN60" s="217">
        <f t="shared" si="373"/>
        <v>-315</v>
      </c>
      <c r="AO60" s="217">
        <f t="shared" si="373"/>
        <v>-51</v>
      </c>
      <c r="AP60" s="217">
        <f t="shared" si="373"/>
        <v>137</v>
      </c>
      <c r="AQ60" s="219">
        <f t="shared" si="373"/>
        <v>165</v>
      </c>
      <c r="AR60" s="217">
        <f>AR54+AR42+AR30+AR56</f>
        <v>-128</v>
      </c>
      <c r="AS60" s="217">
        <f t="shared" ref="AS60:AU60" si="374">AS54+AS42+AS30+AS56</f>
        <v>152</v>
      </c>
      <c r="AT60" s="217">
        <f t="shared" si="374"/>
        <v>-74</v>
      </c>
      <c r="AU60" s="219">
        <f t="shared" si="374"/>
        <v>30</v>
      </c>
      <c r="AV60" s="217">
        <f>AV54+AV42+AV30+AV56</f>
        <v>-69</v>
      </c>
      <c r="AW60" s="217">
        <f t="shared" ref="AW60:AY60" si="375">AW54+AW42+AW30+AW56</f>
        <v>241</v>
      </c>
      <c r="AX60" s="217">
        <f t="shared" si="375"/>
        <v>301</v>
      </c>
      <c r="AY60" s="219">
        <f t="shared" si="375"/>
        <v>6</v>
      </c>
      <c r="AZ60" s="217">
        <f>AZ54+AZ42+AZ30+AZ56</f>
        <v>-542</v>
      </c>
      <c r="BA60" s="217">
        <f t="shared" ref="BA60:BC60" si="376">BA54+BA42+BA30+BA56</f>
        <v>38</v>
      </c>
      <c r="BB60" s="217">
        <f t="shared" si="376"/>
        <v>119</v>
      </c>
      <c r="BC60" s="219">
        <f t="shared" si="376"/>
        <v>306</v>
      </c>
      <c r="BD60" s="217">
        <f t="shared" ref="BD60:BG60" si="377">BD54+BD42+BD30+BD56</f>
        <v>-140</v>
      </c>
      <c r="BE60" s="217">
        <f t="shared" si="377"/>
        <v>130.41166016181364</v>
      </c>
      <c r="BF60" s="217">
        <f t="shared" si="377"/>
        <v>146.13888577934631</v>
      </c>
      <c r="BG60" s="219">
        <f t="shared" si="377"/>
        <v>128.34757179882376</v>
      </c>
      <c r="BH60" s="217">
        <f t="shared" ref="BH60:BK60" si="378">BH54+BH42+BH30+BH56</f>
        <v>169.33843638368529</v>
      </c>
      <c r="BI60" s="217">
        <f t="shared" si="378"/>
        <v>114.68910833712539</v>
      </c>
      <c r="BJ60" s="217">
        <f t="shared" si="378"/>
        <v>85.245648379441803</v>
      </c>
      <c r="BK60" s="219">
        <f t="shared" si="378"/>
        <v>144.49714236026975</v>
      </c>
      <c r="BL60" s="19"/>
      <c r="BM60" s="217">
        <f>SUM(D60:G60)</f>
        <v>-285.77200000000039</v>
      </c>
      <c r="BN60" s="217">
        <f>SUM(H60:K60)</f>
        <v>747.00000000000023</v>
      </c>
      <c r="BO60" s="217">
        <f>SUM(L60:O60)</f>
        <v>52</v>
      </c>
      <c r="BP60" s="217">
        <f>SUM(P60:S60)</f>
        <v>-499</v>
      </c>
      <c r="BQ60" s="217">
        <f>SUM(T60:W60)</f>
        <v>724</v>
      </c>
      <c r="BR60" s="217">
        <f>SUM(X60:AA60)</f>
        <v>-1051</v>
      </c>
      <c r="BS60" s="217">
        <f>SUM(AB60:AE60)</f>
        <v>263</v>
      </c>
      <c r="BT60" s="217">
        <f>SUM(AF60:AI60)</f>
        <v>-320</v>
      </c>
      <c r="BU60" s="217">
        <f>SUM(AJ60:AM60)</f>
        <v>320</v>
      </c>
      <c r="BV60" s="217">
        <f>SUM(AN60:AQ60)</f>
        <v>-64</v>
      </c>
      <c r="BW60" s="217">
        <f>BW54+BW42+BW30+BW56</f>
        <v>-20</v>
      </c>
      <c r="BX60" s="217">
        <f>BX54+BX42+BX30+BX56</f>
        <v>479</v>
      </c>
      <c r="BY60" s="217">
        <f>BY54+BY42+BY30+BY56</f>
        <v>-79</v>
      </c>
      <c r="BZ60" s="217">
        <f>BZ54+BZ42+BZ30+BZ56</f>
        <v>264.89811773998395</v>
      </c>
      <c r="CA60" s="217">
        <f>CA54+CA42+CA30+CA56</f>
        <v>513.77033546052201</v>
      </c>
      <c r="CB60" s="2153">
        <f t="shared" ref="CB60" si="379">CB54+CB42+CB30+CB56</f>
        <v>342.6143912300102</v>
      </c>
      <c r="CC60" s="2143"/>
      <c r="CD60" s="1873"/>
    </row>
    <row r="61" spans="1:88" ht="14.25" customHeight="1">
      <c r="A61" s="7"/>
      <c r="B61" s="364" t="str">
        <f t="shared" si="339"/>
        <v>Cash and cash equivalents, end of period</v>
      </c>
      <c r="C61" s="223"/>
      <c r="D61" s="225">
        <f t="shared" ref="D61:V61" si="380">D60+D58+D59</f>
        <v>661.98400000000004</v>
      </c>
      <c r="E61" s="224">
        <f t="shared" si="380"/>
        <v>711.22099999999989</v>
      </c>
      <c r="F61" s="224">
        <f t="shared" si="380"/>
        <v>806.11500000000001</v>
      </c>
      <c r="G61" s="226">
        <f t="shared" si="380"/>
        <v>633.06699999999955</v>
      </c>
      <c r="H61" s="225">
        <f t="shared" si="380"/>
        <v>828.62599999999941</v>
      </c>
      <c r="I61" s="224">
        <f t="shared" si="380"/>
        <v>688.65699999999936</v>
      </c>
      <c r="J61" s="224">
        <f t="shared" si="380"/>
        <v>1384.5259999999989</v>
      </c>
      <c r="K61" s="226">
        <f t="shared" si="380"/>
        <v>1379.9999999999995</v>
      </c>
      <c r="L61" s="225">
        <f t="shared" si="380"/>
        <v>990.99999999999955</v>
      </c>
      <c r="M61" s="224">
        <f t="shared" si="380"/>
        <v>1303.9999999999995</v>
      </c>
      <c r="N61" s="224">
        <f t="shared" si="380"/>
        <v>1095.9999999999995</v>
      </c>
      <c r="O61" s="226">
        <f t="shared" si="380"/>
        <v>1431.9999999999995</v>
      </c>
      <c r="P61" s="225">
        <f t="shared" si="380"/>
        <v>1403.9999999999995</v>
      </c>
      <c r="Q61" s="224">
        <f t="shared" si="380"/>
        <v>1309.9999999999995</v>
      </c>
      <c r="R61" s="224">
        <f t="shared" si="380"/>
        <v>1107.9999999999995</v>
      </c>
      <c r="S61" s="226">
        <f t="shared" si="380"/>
        <v>932.99999999999955</v>
      </c>
      <c r="T61" s="225">
        <f t="shared" si="380"/>
        <v>2401.9999999999995</v>
      </c>
      <c r="U61" s="224">
        <f t="shared" si="380"/>
        <v>1978.9999999999995</v>
      </c>
      <c r="V61" s="224">
        <f t="shared" si="380"/>
        <v>1846.9999999999995</v>
      </c>
      <c r="W61" s="226">
        <f>W60+W58+W59</f>
        <v>1656.9999999999995</v>
      </c>
      <c r="X61" s="225">
        <f>X60+X58+X59</f>
        <v>641.99999999999955</v>
      </c>
      <c r="Y61" s="224">
        <f>Y60+Y58+Y59</f>
        <v>1083.9999999999995</v>
      </c>
      <c r="Z61" s="224">
        <f>Z60+Z58+Z59</f>
        <v>619.99999999999955</v>
      </c>
      <c r="AA61" s="226">
        <f>AA60+AA58+AA59</f>
        <v>605.99999999999955</v>
      </c>
      <c r="AB61" s="224">
        <f t="shared" ref="AB61:AM61" si="381">AB60+AB58+AB59</f>
        <v>601.99999999999955</v>
      </c>
      <c r="AC61" s="224">
        <f t="shared" si="381"/>
        <v>553.99999999999955</v>
      </c>
      <c r="AD61" s="224">
        <f t="shared" si="381"/>
        <v>624.99999999999955</v>
      </c>
      <c r="AE61" s="226">
        <f>AE60+AE58+AE59</f>
        <v>868.99999999999955</v>
      </c>
      <c r="AF61" s="224">
        <f t="shared" si="381"/>
        <v>1192.9999999999995</v>
      </c>
      <c r="AG61" s="224">
        <f t="shared" si="381"/>
        <v>1014.9999999999995</v>
      </c>
      <c r="AH61" s="224">
        <f t="shared" si="381"/>
        <v>775.99999999999955</v>
      </c>
      <c r="AI61" s="226">
        <f t="shared" si="381"/>
        <v>548.99999999999955</v>
      </c>
      <c r="AJ61" s="224">
        <f t="shared" si="381"/>
        <v>440.99999999999955</v>
      </c>
      <c r="AK61" s="224">
        <f t="shared" si="381"/>
        <v>333.99999999999955</v>
      </c>
      <c r="AL61" s="224">
        <f t="shared" si="381"/>
        <v>542.99999999999955</v>
      </c>
      <c r="AM61" s="226">
        <f t="shared" si="381"/>
        <v>868.99999999999955</v>
      </c>
      <c r="AN61" s="224">
        <f t="shared" ref="AN61:AQ61" si="382">AN60+AN58+AN59</f>
        <v>553.99999999999955</v>
      </c>
      <c r="AO61" s="224">
        <f t="shared" si="382"/>
        <v>502.99999999999955</v>
      </c>
      <c r="AP61" s="224">
        <f t="shared" si="382"/>
        <v>639.99999999999955</v>
      </c>
      <c r="AQ61" s="226">
        <f t="shared" si="382"/>
        <v>804.99999999999955</v>
      </c>
      <c r="AR61" s="224">
        <f>AR60+AR58+AR59</f>
        <v>676.99999999999955</v>
      </c>
      <c r="AS61" s="224">
        <f t="shared" ref="AS61:AU61" si="383">AS60+AS58+AS59</f>
        <v>828.99999999999955</v>
      </c>
      <c r="AT61" s="224">
        <f t="shared" si="383"/>
        <v>754.99999999999955</v>
      </c>
      <c r="AU61" s="226">
        <f t="shared" si="383"/>
        <v>784.99999999999955</v>
      </c>
      <c r="AV61" s="224">
        <f>AV60+AV58+AV59</f>
        <v>715.99999999999955</v>
      </c>
      <c r="AW61" s="224">
        <f t="shared" ref="AW61:AY61" si="384">AW60+AW58+AW59</f>
        <v>956.99999999999955</v>
      </c>
      <c r="AX61" s="224">
        <f t="shared" si="384"/>
        <v>1257.9999999999995</v>
      </c>
      <c r="AY61" s="226">
        <f t="shared" si="384"/>
        <v>1263.9999999999995</v>
      </c>
      <c r="AZ61" s="224">
        <f>AZ60+AZ58+AZ59</f>
        <v>721.99999999999955</v>
      </c>
      <c r="BA61" s="224">
        <f t="shared" ref="BA61:BC61" si="385">BA60+BA58+BA59</f>
        <v>759.99999999999955</v>
      </c>
      <c r="BB61" s="224">
        <f t="shared" si="385"/>
        <v>878.99999999999955</v>
      </c>
      <c r="BC61" s="226">
        <f t="shared" si="385"/>
        <v>1184.9999999999995</v>
      </c>
      <c r="BD61" s="224">
        <f t="shared" ref="BD61:BG61" si="386">BD60+BD58+BD59</f>
        <v>1044.9999999999995</v>
      </c>
      <c r="BE61" s="224">
        <f t="shared" si="386"/>
        <v>1175.4116601618132</v>
      </c>
      <c r="BF61" s="224">
        <f t="shared" si="386"/>
        <v>1321.5505459411595</v>
      </c>
      <c r="BG61" s="226">
        <f t="shared" si="386"/>
        <v>1449.8981177399833</v>
      </c>
      <c r="BH61" s="224">
        <f t="shared" ref="BH61:BK61" si="387">BH60+BH58+BH59</f>
        <v>1619.2365541236686</v>
      </c>
      <c r="BI61" s="224">
        <f t="shared" si="387"/>
        <v>1733.925662460794</v>
      </c>
      <c r="BJ61" s="224">
        <f t="shared" si="387"/>
        <v>1819.1713108402357</v>
      </c>
      <c r="BK61" s="226">
        <f t="shared" si="387"/>
        <v>1963.6684532005054</v>
      </c>
      <c r="BL61" s="19"/>
      <c r="BM61" s="224">
        <f t="shared" ref="BM61:BS61" si="388">BM60+BM58+BM59</f>
        <v>633.06699999999955</v>
      </c>
      <c r="BN61" s="224">
        <f t="shared" si="388"/>
        <v>1379.9999999999998</v>
      </c>
      <c r="BO61" s="224">
        <f t="shared" si="388"/>
        <v>1431.9999999999998</v>
      </c>
      <c r="BP61" s="224">
        <f t="shared" si="388"/>
        <v>932.99999999999977</v>
      </c>
      <c r="BQ61" s="224">
        <f t="shared" si="388"/>
        <v>1656.9999999999998</v>
      </c>
      <c r="BR61" s="224">
        <f t="shared" si="388"/>
        <v>605.99999999999977</v>
      </c>
      <c r="BS61" s="224">
        <f t="shared" si="388"/>
        <v>868.99999999999977</v>
      </c>
      <c r="BT61" s="224">
        <f t="shared" ref="BT61:BY61" si="389">BT60+BT58+BT59</f>
        <v>548.99999999999977</v>
      </c>
      <c r="BU61" s="224">
        <f t="shared" si="389"/>
        <v>868.99999999999977</v>
      </c>
      <c r="BV61" s="224">
        <f>BV60+BV58+BV59</f>
        <v>804.99999999999977</v>
      </c>
      <c r="BW61" s="224">
        <f>BW60+BW58+BW59</f>
        <v>784.99999999999977</v>
      </c>
      <c r="BX61" s="224">
        <f t="shared" si="389"/>
        <v>1263.9999999999998</v>
      </c>
      <c r="BY61" s="224">
        <f t="shared" si="389"/>
        <v>1184.9999999999998</v>
      </c>
      <c r="BZ61" s="224">
        <f t="shared" ref="BZ61:CB61" si="390">BZ60+BZ58+BZ59</f>
        <v>1449.8981177399837</v>
      </c>
      <c r="CA61" s="224">
        <f t="shared" si="390"/>
        <v>1963.6684532005056</v>
      </c>
      <c r="CB61" s="2155">
        <f t="shared" si="390"/>
        <v>2306.282844430516</v>
      </c>
      <c r="CC61" s="2143"/>
      <c r="CD61" s="1873"/>
    </row>
    <row r="62" spans="1:88" ht="14.25" customHeight="1">
      <c r="A62" s="7"/>
      <c r="B62" s="281"/>
      <c r="C62" s="227"/>
      <c r="D62" s="217"/>
      <c r="E62" s="217"/>
      <c r="F62" s="217"/>
      <c r="G62" s="217"/>
      <c r="H62" s="217"/>
      <c r="I62" s="217"/>
      <c r="J62" s="217"/>
      <c r="K62" s="217"/>
      <c r="L62" s="217"/>
      <c r="M62" s="217"/>
      <c r="N62" s="217"/>
      <c r="O62" s="217"/>
      <c r="P62" s="217"/>
      <c r="Q62" s="217"/>
      <c r="R62" s="217"/>
      <c r="S62" s="217"/>
      <c r="T62" s="217"/>
      <c r="U62" s="217"/>
      <c r="V62" s="217"/>
      <c r="W62" s="217"/>
      <c r="X62" s="217"/>
      <c r="Y62" s="217"/>
      <c r="Z62" s="217"/>
      <c r="AA62" s="217"/>
      <c r="AB62" s="217"/>
      <c r="AC62" s="217"/>
      <c r="AD62" s="217"/>
      <c r="AE62" s="217"/>
      <c r="AF62" s="217"/>
      <c r="AG62" s="217"/>
      <c r="AH62" s="217"/>
      <c r="AI62" s="217"/>
      <c r="AJ62" s="217"/>
      <c r="AK62" s="217"/>
      <c r="AL62" s="217"/>
      <c r="AM62" s="217"/>
      <c r="AN62" s="217"/>
      <c r="AO62" s="217"/>
      <c r="AP62" s="217"/>
      <c r="AQ62" s="217"/>
      <c r="AR62" s="217"/>
      <c r="AS62" s="217"/>
      <c r="AT62" s="217"/>
      <c r="AU62" s="217"/>
      <c r="AV62" s="217"/>
      <c r="AW62" s="217"/>
      <c r="AX62" s="217"/>
      <c r="AY62" s="217"/>
      <c r="AZ62" s="217"/>
      <c r="BA62" s="217"/>
      <c r="BB62" s="217"/>
      <c r="BC62" s="217"/>
      <c r="BD62" s="217"/>
      <c r="BE62" s="217"/>
      <c r="BF62" s="217"/>
      <c r="BG62" s="217"/>
      <c r="BH62" s="217"/>
      <c r="BI62" s="217"/>
      <c r="BJ62" s="217"/>
      <c r="BK62" s="217"/>
      <c r="BL62" s="13"/>
      <c r="BM62" s="228"/>
      <c r="BN62" s="228"/>
      <c r="BO62" s="228"/>
      <c r="BP62" s="228"/>
      <c r="BQ62" s="228"/>
      <c r="BR62" s="228"/>
      <c r="BS62" s="228"/>
      <c r="BT62" s="228"/>
      <c r="BU62" s="228"/>
      <c r="BV62" s="228"/>
      <c r="BW62" s="228"/>
      <c r="BX62" s="228"/>
      <c r="BY62" s="217"/>
      <c r="BZ62" s="217"/>
      <c r="CA62" s="217"/>
      <c r="CB62" s="2156"/>
      <c r="CC62" s="1873"/>
      <c r="CD62" s="1873"/>
    </row>
    <row r="63" spans="1:88" ht="14.25" customHeight="1">
      <c r="A63" s="7"/>
      <c r="B63" s="72" t="str">
        <f t="shared" si="339"/>
        <v>vs. Balance Sheet</v>
      </c>
      <c r="C63" s="229"/>
      <c r="D63" s="177">
        <f>BS!D8</f>
        <v>661.98400000000004</v>
      </c>
      <c r="E63" s="175">
        <f>BS!E8</f>
        <v>711.221</v>
      </c>
      <c r="F63" s="175">
        <f>BS!F8</f>
        <v>806.11500000000001</v>
      </c>
      <c r="G63" s="178">
        <f>BS!G8</f>
        <v>633.06700000000001</v>
      </c>
      <c r="H63" s="177">
        <f>BS!H8</f>
        <v>828.62599999999998</v>
      </c>
      <c r="I63" s="175">
        <f>BS!I8</f>
        <v>688.65700000000004</v>
      </c>
      <c r="J63" s="175">
        <f>BS!J8</f>
        <v>1384.5260000000001</v>
      </c>
      <c r="K63" s="178">
        <f>BS!K8</f>
        <v>1380</v>
      </c>
      <c r="L63" s="177">
        <f>BS!L8</f>
        <v>991</v>
      </c>
      <c r="M63" s="175">
        <f>BS!M8</f>
        <v>1304</v>
      </c>
      <c r="N63" s="175">
        <f>BS!N8</f>
        <v>1096</v>
      </c>
      <c r="O63" s="178">
        <f>BS!O8</f>
        <v>1432</v>
      </c>
      <c r="P63" s="177">
        <f>BS!P8</f>
        <v>1404</v>
      </c>
      <c r="Q63" s="175">
        <f>BS!Q8</f>
        <v>1310</v>
      </c>
      <c r="R63" s="175">
        <f>BS!R8</f>
        <v>1108</v>
      </c>
      <c r="S63" s="178">
        <f>BS!S8</f>
        <v>933</v>
      </c>
      <c r="T63" s="177">
        <f>BS!T8</f>
        <v>2402</v>
      </c>
      <c r="U63" s="175">
        <f>BS!U8</f>
        <v>1979</v>
      </c>
      <c r="V63" s="175">
        <f>BS!V8</f>
        <v>1847</v>
      </c>
      <c r="W63" s="178">
        <f>BS!W8</f>
        <v>1657</v>
      </c>
      <c r="X63" s="177">
        <f>BS!X8</f>
        <v>642</v>
      </c>
      <c r="Y63" s="175">
        <f>BS!Y8</f>
        <v>1084</v>
      </c>
      <c r="Z63" s="175">
        <f>BS!Z8</f>
        <v>620</v>
      </c>
      <c r="AA63" s="178">
        <f>BS!AA8</f>
        <v>606</v>
      </c>
      <c r="AB63" s="175">
        <f>BS!AB8</f>
        <v>602</v>
      </c>
      <c r="AC63" s="175">
        <f>BS!AC8</f>
        <v>554</v>
      </c>
      <c r="AD63" s="175">
        <f>BS!AD8</f>
        <v>625</v>
      </c>
      <c r="AE63" s="178">
        <f>BS!AE8</f>
        <v>869</v>
      </c>
      <c r="AF63" s="175">
        <f>BS!AF8</f>
        <v>1193</v>
      </c>
      <c r="AG63" s="175">
        <f>BS!AG8</f>
        <v>1015</v>
      </c>
      <c r="AH63" s="175">
        <f>BS!AH8</f>
        <v>776</v>
      </c>
      <c r="AI63" s="176">
        <f>BS!AI8</f>
        <v>549</v>
      </c>
      <c r="AJ63" s="175">
        <f>BS!AJ8</f>
        <v>441</v>
      </c>
      <c r="AK63" s="175">
        <f>BS!AK8</f>
        <v>334</v>
      </c>
      <c r="AL63" s="175">
        <f>BS!AL8</f>
        <v>543</v>
      </c>
      <c r="AM63" s="176">
        <f>BS!AM8</f>
        <v>869</v>
      </c>
      <c r="AN63" s="175">
        <f>BS!AN8</f>
        <v>554</v>
      </c>
      <c r="AO63" s="175">
        <f>BS!AO8</f>
        <v>503</v>
      </c>
      <c r="AP63" s="175">
        <f>BS!AP8</f>
        <v>640</v>
      </c>
      <c r="AQ63" s="176">
        <f>BS!AQ8</f>
        <v>805</v>
      </c>
      <c r="AR63" s="175">
        <f>BS!AR8</f>
        <v>677</v>
      </c>
      <c r="AS63" s="175">
        <f>BS!AS8</f>
        <v>829</v>
      </c>
      <c r="AT63" s="175">
        <f>BS!AT8</f>
        <v>755</v>
      </c>
      <c r="AU63" s="176">
        <f>BS!AU8</f>
        <v>785</v>
      </c>
      <c r="AV63" s="175">
        <f>BS!AV8</f>
        <v>716</v>
      </c>
      <c r="AW63" s="175">
        <f>BS!AW8</f>
        <v>957</v>
      </c>
      <c r="AX63" s="175">
        <f>BS!AX8</f>
        <v>1258</v>
      </c>
      <c r="AY63" s="176">
        <f>BS!AY8</f>
        <v>1264</v>
      </c>
      <c r="AZ63" s="175">
        <f>BS!AZ8</f>
        <v>722</v>
      </c>
      <c r="BA63" s="175">
        <f>BS!BA8</f>
        <v>760</v>
      </c>
      <c r="BB63" s="175">
        <f>BS!BB8</f>
        <v>879</v>
      </c>
      <c r="BC63" s="176">
        <f>BS!BC8</f>
        <v>1185</v>
      </c>
      <c r="BD63" s="175">
        <f>BS!BD8</f>
        <v>1045</v>
      </c>
      <c r="BE63" s="175">
        <f>BS!BE8</f>
        <v>1175.4116601618136</v>
      </c>
      <c r="BF63" s="175">
        <f>BS!BF8</f>
        <v>1321.55054594116</v>
      </c>
      <c r="BG63" s="176">
        <f>BS!BG8</f>
        <v>1449.8981177399837</v>
      </c>
      <c r="BH63" s="175">
        <f>BS!BH8</f>
        <v>1619.2365541236691</v>
      </c>
      <c r="BI63" s="175">
        <f>BS!BI8</f>
        <v>1733.9256624607945</v>
      </c>
      <c r="BJ63" s="175">
        <f>BS!BJ8</f>
        <v>1819.1713108402362</v>
      </c>
      <c r="BK63" s="176">
        <f>BS!BK8</f>
        <v>1963.6684532005058</v>
      </c>
      <c r="BL63" s="19"/>
      <c r="BM63" s="230">
        <f>BS!BM8</f>
        <v>633.06700000000001</v>
      </c>
      <c r="BN63" s="230">
        <f>BS!BN8</f>
        <v>1380</v>
      </c>
      <c r="BO63" s="230">
        <f>BS!BO8</f>
        <v>1432</v>
      </c>
      <c r="BP63" s="230">
        <f>BS!BP8</f>
        <v>933</v>
      </c>
      <c r="BQ63" s="230">
        <f>BS!BQ8</f>
        <v>1657</v>
      </c>
      <c r="BR63" s="230">
        <f>BS!BR8</f>
        <v>606</v>
      </c>
      <c r="BS63" s="230">
        <f>BS!BS8</f>
        <v>869</v>
      </c>
      <c r="BT63" s="230">
        <f>BS!BT8</f>
        <v>549</v>
      </c>
      <c r="BU63" s="230">
        <f>BS!BU8</f>
        <v>869</v>
      </c>
      <c r="BV63" s="230">
        <f>BS!BV8</f>
        <v>805</v>
      </c>
      <c r="BW63" s="230">
        <f>BS!BW8</f>
        <v>785</v>
      </c>
      <c r="BX63" s="230">
        <f>BS!BX8</f>
        <v>1264</v>
      </c>
      <c r="BY63" s="230">
        <f>BS!BY8</f>
        <v>1185</v>
      </c>
      <c r="BZ63" s="230">
        <f>BS!BZ8</f>
        <v>1449.8981177399837</v>
      </c>
      <c r="CA63" s="230">
        <f>BS!CA8</f>
        <v>1963.6684532005058</v>
      </c>
      <c r="CB63" s="176">
        <f>BS!CB8</f>
        <v>2306.282844430516</v>
      </c>
      <c r="CC63" s="2143"/>
      <c r="CD63" s="1873"/>
    </row>
    <row r="64" spans="1:88" ht="14.25" customHeight="1">
      <c r="A64" s="7"/>
      <c r="B64" s="145" t="str">
        <f t="shared" si="339"/>
        <v>Check</v>
      </c>
      <c r="C64" s="146"/>
      <c r="D64" s="149">
        <f t="shared" ref="D64:AA64" si="391">IF(ROUND(D63,4)=ROUND(D61,4),0,(D63-D61))</f>
        <v>0</v>
      </c>
      <c r="E64" s="147">
        <f t="shared" si="391"/>
        <v>0</v>
      </c>
      <c r="F64" s="147">
        <f t="shared" si="391"/>
        <v>0</v>
      </c>
      <c r="G64" s="148">
        <f t="shared" si="391"/>
        <v>0</v>
      </c>
      <c r="H64" s="149">
        <f t="shared" si="391"/>
        <v>0</v>
      </c>
      <c r="I64" s="147">
        <f t="shared" si="391"/>
        <v>0</v>
      </c>
      <c r="J64" s="147">
        <f t="shared" si="391"/>
        <v>0</v>
      </c>
      <c r="K64" s="148">
        <f t="shared" si="391"/>
        <v>0</v>
      </c>
      <c r="L64" s="149">
        <f t="shared" si="391"/>
        <v>0</v>
      </c>
      <c r="M64" s="147">
        <f t="shared" si="391"/>
        <v>0</v>
      </c>
      <c r="N64" s="147">
        <f t="shared" si="391"/>
        <v>0</v>
      </c>
      <c r="O64" s="148">
        <f t="shared" si="391"/>
        <v>0</v>
      </c>
      <c r="P64" s="149">
        <f t="shared" si="391"/>
        <v>0</v>
      </c>
      <c r="Q64" s="147">
        <f t="shared" si="391"/>
        <v>0</v>
      </c>
      <c r="R64" s="147">
        <f t="shared" si="391"/>
        <v>0</v>
      </c>
      <c r="S64" s="148">
        <f t="shared" si="391"/>
        <v>0</v>
      </c>
      <c r="T64" s="149">
        <f t="shared" si="391"/>
        <v>0</v>
      </c>
      <c r="U64" s="147">
        <f t="shared" si="391"/>
        <v>0</v>
      </c>
      <c r="V64" s="147">
        <f t="shared" si="391"/>
        <v>0</v>
      </c>
      <c r="W64" s="148">
        <f t="shared" si="391"/>
        <v>0</v>
      </c>
      <c r="X64" s="149">
        <f t="shared" si="391"/>
        <v>0</v>
      </c>
      <c r="Y64" s="147">
        <f t="shared" si="391"/>
        <v>0</v>
      </c>
      <c r="Z64" s="147">
        <f t="shared" si="391"/>
        <v>0</v>
      </c>
      <c r="AA64" s="148">
        <f t="shared" si="391"/>
        <v>0</v>
      </c>
      <c r="AB64" s="149">
        <f t="shared" ref="AB64:AM64" si="392">IF(ROUND(AB63,4)=ROUND(AB61,4),0,(AB63-AB61))</f>
        <v>0</v>
      </c>
      <c r="AC64" s="147">
        <f t="shared" si="392"/>
        <v>0</v>
      </c>
      <c r="AD64" s="147">
        <f t="shared" si="392"/>
        <v>0</v>
      </c>
      <c r="AE64" s="148">
        <f t="shared" si="392"/>
        <v>0</v>
      </c>
      <c r="AF64" s="149">
        <f t="shared" si="392"/>
        <v>0</v>
      </c>
      <c r="AG64" s="147">
        <f t="shared" si="392"/>
        <v>0</v>
      </c>
      <c r="AH64" s="147">
        <f t="shared" si="392"/>
        <v>0</v>
      </c>
      <c r="AI64" s="148">
        <f t="shared" si="392"/>
        <v>0</v>
      </c>
      <c r="AJ64" s="149">
        <f t="shared" si="392"/>
        <v>0</v>
      </c>
      <c r="AK64" s="147">
        <f t="shared" si="392"/>
        <v>0</v>
      </c>
      <c r="AL64" s="147">
        <f t="shared" si="392"/>
        <v>0</v>
      </c>
      <c r="AM64" s="148">
        <f t="shared" si="392"/>
        <v>0</v>
      </c>
      <c r="AN64" s="149">
        <f t="shared" ref="AN64:AS64" si="393">IF(ROUND(AN63,4)=ROUND(AN61,4),0,(AN63-AN61))</f>
        <v>0</v>
      </c>
      <c r="AO64" s="147">
        <f t="shared" si="393"/>
        <v>0</v>
      </c>
      <c r="AP64" s="147">
        <f t="shared" si="393"/>
        <v>0</v>
      </c>
      <c r="AQ64" s="148">
        <f t="shared" si="393"/>
        <v>0</v>
      </c>
      <c r="AR64" s="149">
        <f>IF(ROUND(AR63,4)=ROUND(AR61,4),0,(AR63-AR61))</f>
        <v>0</v>
      </c>
      <c r="AS64" s="147">
        <f t="shared" si="393"/>
        <v>0</v>
      </c>
      <c r="AT64" s="147">
        <f t="shared" ref="AT64:AU64" si="394">IF(ROUND(AT63,4)=ROUND(AT61,4),0,(AT63-AT61))</f>
        <v>0</v>
      </c>
      <c r="AU64" s="148">
        <f t="shared" si="394"/>
        <v>0</v>
      </c>
      <c r="AV64" s="149">
        <f>IF(ROUND(AV63,4)=ROUND(AV61,4),0,(AV63-AV61))</f>
        <v>0</v>
      </c>
      <c r="AW64" s="147">
        <f t="shared" ref="AW64:AY64" si="395">IF(ROUND(AW63,4)=ROUND(AW61,4),0,(AW63-AW61))</f>
        <v>0</v>
      </c>
      <c r="AX64" s="147">
        <f t="shared" si="395"/>
        <v>0</v>
      </c>
      <c r="AY64" s="148">
        <f t="shared" si="395"/>
        <v>0</v>
      </c>
      <c r="AZ64" s="147">
        <f>IF(ROUND(AZ63,4)=ROUND(AZ61,4),0,(AZ63-AZ61))</f>
        <v>0</v>
      </c>
      <c r="BA64" s="147">
        <f t="shared" ref="BA64:BC64" si="396">IF(ROUND(BA63,4)=ROUND(BA61,4),0,(BA63-BA61))</f>
        <v>0</v>
      </c>
      <c r="BB64" s="147">
        <f t="shared" si="396"/>
        <v>0</v>
      </c>
      <c r="BC64" s="148">
        <f t="shared" si="396"/>
        <v>0</v>
      </c>
      <c r="BD64" s="147">
        <f t="shared" ref="BD64:BG64" si="397">IF(ROUND(BD63,4)=ROUND(BD61,4),0,(BD63-BD61))</f>
        <v>0</v>
      </c>
      <c r="BE64" s="147">
        <f t="shared" si="397"/>
        <v>0</v>
      </c>
      <c r="BF64" s="147">
        <f t="shared" si="397"/>
        <v>0</v>
      </c>
      <c r="BG64" s="148">
        <f t="shared" si="397"/>
        <v>0</v>
      </c>
      <c r="BH64" s="147">
        <f t="shared" ref="BH64:BK64" si="398">IF(ROUND(BH63,4)=ROUND(BH61,4),0,(BH63-BH61))</f>
        <v>0</v>
      </c>
      <c r="BI64" s="147">
        <f t="shared" si="398"/>
        <v>0</v>
      </c>
      <c r="BJ64" s="147">
        <f t="shared" si="398"/>
        <v>0</v>
      </c>
      <c r="BK64" s="148">
        <f t="shared" si="398"/>
        <v>0</v>
      </c>
      <c r="BL64" s="19"/>
      <c r="BM64" s="231">
        <f t="shared" ref="BM64:BS64" si="399">IF(ROUND(BM63,4)=ROUND(BM61,4),0,(BM63-BM61))</f>
        <v>0</v>
      </c>
      <c r="BN64" s="231">
        <f t="shared" si="399"/>
        <v>0</v>
      </c>
      <c r="BO64" s="231">
        <f t="shared" si="399"/>
        <v>0</v>
      </c>
      <c r="BP64" s="231">
        <f t="shared" si="399"/>
        <v>0</v>
      </c>
      <c r="BQ64" s="231">
        <f t="shared" si="399"/>
        <v>0</v>
      </c>
      <c r="BR64" s="231">
        <f t="shared" si="399"/>
        <v>0</v>
      </c>
      <c r="BS64" s="231">
        <f t="shared" si="399"/>
        <v>0</v>
      </c>
      <c r="BT64" s="231">
        <f t="shared" ref="BT64:BY64" si="400">IF(ROUND(BT63,4)=ROUND(BT61,4),0,(BT63-BT61))</f>
        <v>0</v>
      </c>
      <c r="BU64" s="231">
        <f t="shared" si="400"/>
        <v>0</v>
      </c>
      <c r="BV64" s="231">
        <f>IF(ROUND(BV63,4)=ROUND(BV61,4),0,(BV63-BV61))</f>
        <v>0</v>
      </c>
      <c r="BW64" s="231">
        <f>IF(ROUND(BW63,4)=ROUND(BW61,4),0,(BW63-BW61))</f>
        <v>0</v>
      </c>
      <c r="BX64" s="231">
        <f t="shared" si="400"/>
        <v>0</v>
      </c>
      <c r="BY64" s="147">
        <f t="shared" si="400"/>
        <v>0</v>
      </c>
      <c r="BZ64" s="147">
        <f t="shared" ref="BZ64:CB64" si="401">IF(ROUND(BZ63,4)=ROUND(BZ61,4),0,(BZ63-BZ61))</f>
        <v>0</v>
      </c>
      <c r="CA64" s="147">
        <f t="shared" si="401"/>
        <v>0</v>
      </c>
      <c r="CB64" s="1922">
        <f t="shared" si="401"/>
        <v>0</v>
      </c>
      <c r="CC64" s="2143"/>
      <c r="CD64" s="1873"/>
    </row>
    <row r="65" spans="1:82" ht="14.25" customHeight="1">
      <c r="A65" s="7"/>
      <c r="B65" s="232"/>
      <c r="C65" s="232"/>
      <c r="D65" s="233"/>
      <c r="E65" s="233"/>
      <c r="F65" s="233"/>
      <c r="G65" s="233"/>
      <c r="H65" s="233"/>
      <c r="I65" s="233"/>
      <c r="J65" s="233"/>
      <c r="K65" s="233"/>
      <c r="L65" s="233"/>
      <c r="M65" s="233"/>
      <c r="N65" s="233"/>
      <c r="O65" s="233"/>
      <c r="P65" s="233"/>
      <c r="Q65" s="233"/>
      <c r="R65" s="233"/>
      <c r="S65" s="233"/>
      <c r="T65" s="233"/>
      <c r="U65" s="233"/>
      <c r="V65" s="233"/>
      <c r="W65" s="233"/>
      <c r="X65" s="233"/>
      <c r="Y65" s="233"/>
      <c r="Z65" s="233"/>
      <c r="AA65" s="233"/>
      <c r="AB65" s="233"/>
      <c r="AC65" s="233"/>
      <c r="AD65" s="233"/>
      <c r="AE65" s="233"/>
      <c r="AF65" s="233"/>
      <c r="AG65" s="233"/>
      <c r="AH65" s="233"/>
      <c r="AI65" s="233"/>
      <c r="AJ65" s="233"/>
      <c r="AK65" s="233"/>
      <c r="AL65" s="233"/>
      <c r="AM65" s="233"/>
      <c r="AN65" s="233"/>
      <c r="AO65" s="233"/>
      <c r="AP65" s="233"/>
      <c r="AQ65" s="233"/>
      <c r="AR65" s="233"/>
      <c r="AS65" s="233"/>
      <c r="AT65" s="233"/>
      <c r="AU65" s="233"/>
      <c r="AV65" s="233"/>
      <c r="AW65" s="233"/>
      <c r="AX65" s="233"/>
      <c r="AY65" s="233"/>
      <c r="AZ65" s="233"/>
      <c r="BA65" s="233"/>
      <c r="BB65" s="233"/>
      <c r="BC65" s="233"/>
      <c r="BD65" s="233"/>
      <c r="BE65" s="233"/>
      <c r="BF65" s="233"/>
      <c r="BG65" s="233"/>
      <c r="BH65" s="233"/>
      <c r="BI65" s="233"/>
      <c r="BJ65" s="233"/>
      <c r="BK65" s="233"/>
      <c r="BL65" s="13"/>
      <c r="BM65" s="233"/>
      <c r="BN65" s="233"/>
      <c r="BO65" s="233"/>
      <c r="BP65" s="233"/>
      <c r="BQ65" s="233"/>
      <c r="BR65" s="233"/>
      <c r="BS65" s="233"/>
      <c r="BT65" s="233"/>
      <c r="BU65" s="233"/>
      <c r="BV65" s="233"/>
      <c r="BW65" s="233"/>
      <c r="BX65" s="233"/>
      <c r="BY65" s="233"/>
      <c r="BZ65" s="233"/>
      <c r="CA65" s="233"/>
      <c r="CB65" s="2157"/>
      <c r="CC65" s="7"/>
      <c r="CD65" s="7"/>
    </row>
    <row r="66" spans="1:82" ht="14.25" customHeight="1">
      <c r="A66" s="7"/>
      <c r="B66" s="13"/>
      <c r="C66" s="13"/>
      <c r="D66" s="234"/>
      <c r="E66" s="234"/>
      <c r="F66" s="234"/>
      <c r="G66" s="234"/>
      <c r="H66" s="234"/>
      <c r="I66" s="234"/>
      <c r="J66" s="234"/>
      <c r="K66" s="234"/>
      <c r="L66" s="234"/>
      <c r="M66" s="234"/>
      <c r="N66" s="234"/>
      <c r="O66" s="234"/>
      <c r="P66" s="234"/>
      <c r="Q66" s="234"/>
      <c r="R66" s="234"/>
      <c r="S66" s="234"/>
      <c r="T66" s="234"/>
      <c r="U66" s="234"/>
      <c r="V66" s="234"/>
      <c r="W66" s="234"/>
      <c r="X66" s="234"/>
      <c r="Y66" s="234"/>
      <c r="Z66" s="234"/>
      <c r="AA66" s="234"/>
      <c r="AB66" s="266"/>
      <c r="AC66" s="234"/>
      <c r="AD66" s="234"/>
      <c r="AE66" s="234"/>
      <c r="AF66" s="266"/>
      <c r="AG66" s="234"/>
      <c r="AH66" s="234"/>
      <c r="AI66" s="234"/>
      <c r="AJ66" s="234"/>
      <c r="AK66" s="234"/>
      <c r="AL66" s="234"/>
      <c r="AM66" s="234"/>
      <c r="AN66" s="234"/>
      <c r="AO66" s="234"/>
      <c r="AP66" s="234"/>
      <c r="AQ66" s="234"/>
      <c r="AR66" s="234"/>
      <c r="AS66" s="234"/>
      <c r="AT66" s="234"/>
      <c r="AU66" s="234"/>
      <c r="AV66" s="234"/>
      <c r="AW66" s="234"/>
      <c r="AX66" s="234"/>
      <c r="AY66" s="234"/>
      <c r="AZ66" s="234"/>
      <c r="BA66" s="234"/>
      <c r="BB66" s="234"/>
      <c r="BC66" s="234"/>
      <c r="BD66" s="234"/>
      <c r="BE66" s="234"/>
      <c r="BF66" s="234"/>
      <c r="BG66" s="234"/>
      <c r="BH66" s="234"/>
      <c r="BI66" s="234"/>
      <c r="BJ66" s="234"/>
      <c r="BK66" s="234"/>
      <c r="BL66" s="13"/>
      <c r="BM66" s="234"/>
      <c r="BN66" s="234"/>
      <c r="BO66" s="234"/>
      <c r="BP66" s="234"/>
      <c r="BQ66" s="234"/>
      <c r="BR66" s="234"/>
      <c r="BS66" s="234"/>
      <c r="BT66" s="234"/>
      <c r="BU66" s="234"/>
      <c r="BV66" s="234"/>
      <c r="BW66" s="234"/>
      <c r="BX66" s="234"/>
      <c r="BY66" s="698"/>
      <c r="BZ66" s="234"/>
      <c r="CA66" s="234"/>
      <c r="CB66" s="2158"/>
      <c r="CC66" s="7"/>
      <c r="CD66" s="7"/>
    </row>
    <row r="67" spans="1:82" ht="14.25" customHeight="1">
      <c r="A67" s="7"/>
      <c r="B67" s="13"/>
      <c r="C67" s="235"/>
      <c r="D67" s="234"/>
      <c r="E67" s="234"/>
      <c r="F67" s="234"/>
      <c r="G67" s="234"/>
      <c r="H67" s="234"/>
      <c r="I67" s="234"/>
      <c r="J67" s="234"/>
      <c r="K67" s="234"/>
      <c r="L67" s="234"/>
      <c r="M67" s="234"/>
      <c r="N67" s="234"/>
      <c r="O67" s="234"/>
      <c r="P67" s="234"/>
      <c r="Q67" s="234"/>
      <c r="R67" s="234"/>
      <c r="S67" s="234"/>
      <c r="T67" s="234"/>
      <c r="U67" s="234"/>
      <c r="V67" s="234"/>
      <c r="W67" s="234"/>
      <c r="X67" s="234"/>
      <c r="Y67" s="234"/>
      <c r="Z67" s="234"/>
      <c r="AA67" s="234"/>
      <c r="AB67" s="234"/>
      <c r="AC67" s="234"/>
      <c r="AD67" s="234"/>
      <c r="AE67" s="234"/>
      <c r="AF67" s="234"/>
      <c r="AG67" s="234"/>
      <c r="AH67" s="234"/>
      <c r="AI67" s="234"/>
      <c r="AJ67" s="234"/>
      <c r="AK67" s="234"/>
      <c r="AL67" s="234"/>
      <c r="AM67" s="234"/>
      <c r="AN67" s="234"/>
      <c r="AO67" s="234"/>
      <c r="AP67" s="234"/>
      <c r="AQ67" s="234"/>
      <c r="AR67" s="234"/>
      <c r="AS67" s="234"/>
      <c r="AT67" s="234"/>
      <c r="AU67" s="234"/>
      <c r="AV67" s="234"/>
      <c r="AW67" s="234"/>
      <c r="AX67" s="234"/>
      <c r="AY67" s="234"/>
      <c r="AZ67" s="234"/>
      <c r="BA67" s="234"/>
      <c r="BB67" s="234"/>
      <c r="BC67" s="234"/>
      <c r="BD67" s="234"/>
      <c r="BE67" s="234"/>
      <c r="BF67" s="234"/>
      <c r="BG67" s="234"/>
      <c r="BH67" s="234"/>
      <c r="BI67" s="234"/>
      <c r="BJ67" s="234"/>
      <c r="BK67" s="234"/>
      <c r="BL67" s="13"/>
      <c r="BM67" s="234"/>
      <c r="BN67" s="234"/>
      <c r="BO67" s="234"/>
      <c r="BP67" s="234"/>
      <c r="BQ67" s="234"/>
      <c r="BR67" s="234"/>
      <c r="BS67" s="234"/>
      <c r="BT67" s="234"/>
      <c r="BU67" s="234"/>
      <c r="BV67" s="234"/>
      <c r="BW67" s="234"/>
      <c r="BX67" s="234"/>
      <c r="BY67" s="698"/>
      <c r="BZ67" s="234"/>
      <c r="CA67" s="234"/>
      <c r="CB67" s="2158"/>
      <c r="CC67" s="7"/>
      <c r="CD67" s="7"/>
    </row>
    <row r="68" spans="1:82" ht="14.25" customHeight="1">
      <c r="A68" s="7"/>
      <c r="B68" s="154" t="s">
        <v>143</v>
      </c>
      <c r="C68" s="155"/>
      <c r="D68" s="236" t="str">
        <f t="shared" ref="D68:AV68" si="402">D6</f>
        <v>F1Q05A</v>
      </c>
      <c r="E68" s="236" t="str">
        <f t="shared" si="402"/>
        <v>F2Q05A</v>
      </c>
      <c r="F68" s="236" t="str">
        <f t="shared" si="402"/>
        <v>F3Q05A</v>
      </c>
      <c r="G68" s="237" t="str">
        <f t="shared" si="402"/>
        <v>F4Q05A</v>
      </c>
      <c r="H68" s="236" t="str">
        <f t="shared" si="402"/>
        <v>F1Q06A</v>
      </c>
      <c r="I68" s="236" t="str">
        <f t="shared" si="402"/>
        <v>F2Q06A</v>
      </c>
      <c r="J68" s="236" t="str">
        <f t="shared" si="402"/>
        <v>F3Q06A</v>
      </c>
      <c r="K68" s="237" t="str">
        <f t="shared" si="402"/>
        <v>F4Q06A</v>
      </c>
      <c r="L68" s="236" t="str">
        <f t="shared" si="402"/>
        <v>F1Q07A</v>
      </c>
      <c r="M68" s="236" t="str">
        <f t="shared" si="402"/>
        <v>F2Q07A</v>
      </c>
      <c r="N68" s="236" t="str">
        <f t="shared" si="402"/>
        <v>F3Q07A</v>
      </c>
      <c r="O68" s="237" t="str">
        <f t="shared" si="402"/>
        <v>F4Q07A</v>
      </c>
      <c r="P68" s="236" t="str">
        <f t="shared" si="402"/>
        <v>F1Q08A</v>
      </c>
      <c r="Q68" s="236" t="str">
        <f t="shared" si="402"/>
        <v>F2Q08A</v>
      </c>
      <c r="R68" s="236" t="str">
        <f t="shared" si="402"/>
        <v>F3Q08A</v>
      </c>
      <c r="S68" s="237" t="str">
        <f t="shared" si="402"/>
        <v>F4Q08A</v>
      </c>
      <c r="T68" s="236" t="str">
        <f t="shared" si="402"/>
        <v>F1Q09A</v>
      </c>
      <c r="U68" s="236" t="str">
        <f t="shared" si="402"/>
        <v>F2Q09A</v>
      </c>
      <c r="V68" s="236" t="str">
        <f t="shared" si="402"/>
        <v>F3Q09A</v>
      </c>
      <c r="W68" s="237" t="str">
        <f t="shared" si="402"/>
        <v>F4Q09A</v>
      </c>
      <c r="X68" s="236" t="str">
        <f t="shared" si="402"/>
        <v>F1Q10A</v>
      </c>
      <c r="Y68" s="236" t="str">
        <f t="shared" si="402"/>
        <v>F2Q10A</v>
      </c>
      <c r="Z68" s="236" t="str">
        <f t="shared" si="402"/>
        <v>F3Q10A</v>
      </c>
      <c r="AA68" s="237" t="str">
        <f t="shared" si="402"/>
        <v>F4Q10A</v>
      </c>
      <c r="AB68" s="236" t="str">
        <f t="shared" si="402"/>
        <v>F1Q11A</v>
      </c>
      <c r="AC68" s="236" t="str">
        <f t="shared" si="402"/>
        <v>F2Q11A</v>
      </c>
      <c r="AD68" s="236" t="str">
        <f t="shared" si="402"/>
        <v>F3Q11A</v>
      </c>
      <c r="AE68" s="237" t="str">
        <f t="shared" si="402"/>
        <v>F4Q11A</v>
      </c>
      <c r="AF68" s="236" t="str">
        <f t="shared" si="402"/>
        <v>F1Q12A</v>
      </c>
      <c r="AG68" s="236" t="str">
        <f t="shared" si="402"/>
        <v>F2Q12A</v>
      </c>
      <c r="AH68" s="236" t="str">
        <f t="shared" si="402"/>
        <v>F3Q12A</v>
      </c>
      <c r="AI68" s="237" t="str">
        <f t="shared" si="402"/>
        <v>F4Q12A</v>
      </c>
      <c r="AJ68" s="236" t="str">
        <f t="shared" si="402"/>
        <v>F1Q13A</v>
      </c>
      <c r="AK68" s="236" t="str">
        <f t="shared" si="402"/>
        <v>F2Q13A</v>
      </c>
      <c r="AL68" s="236" t="str">
        <f t="shared" si="402"/>
        <v>F3Q13A</v>
      </c>
      <c r="AM68" s="237" t="str">
        <f t="shared" si="402"/>
        <v>F4Q13A</v>
      </c>
      <c r="AN68" s="236" t="str">
        <f t="shared" si="402"/>
        <v>F1Q14A</v>
      </c>
      <c r="AO68" s="236" t="str">
        <f t="shared" si="402"/>
        <v>F2Q14A</v>
      </c>
      <c r="AP68" s="236" t="str">
        <f t="shared" si="402"/>
        <v>F3Q14A</v>
      </c>
      <c r="AQ68" s="237" t="str">
        <f t="shared" si="402"/>
        <v>F4Q14A</v>
      </c>
      <c r="AR68" s="236" t="str">
        <f t="shared" si="402"/>
        <v>F1Q15A</v>
      </c>
      <c r="AS68" s="236" t="str">
        <f t="shared" si="402"/>
        <v>F2Q15A</v>
      </c>
      <c r="AT68" s="236" t="str">
        <f t="shared" si="402"/>
        <v>F3Q15A</v>
      </c>
      <c r="AU68" s="237" t="str">
        <f t="shared" si="402"/>
        <v>F4Q15A</v>
      </c>
      <c r="AV68" s="236" t="str">
        <f t="shared" si="402"/>
        <v>F1Q16A</v>
      </c>
      <c r="AW68" s="236" t="str">
        <f t="shared" ref="AW68" si="403">AW6</f>
        <v>C2Q16A</v>
      </c>
      <c r="AX68" s="236" t="str">
        <f t="shared" ref="AX68:AY68" si="404">AX6</f>
        <v>F3Q16A</v>
      </c>
      <c r="AY68" s="237" t="str">
        <f t="shared" si="404"/>
        <v>F4Q16A</v>
      </c>
      <c r="AZ68" s="236" t="str">
        <f t="shared" ref="AZ68:BC68" si="405">AZ6</f>
        <v>F1Q17A</v>
      </c>
      <c r="BA68" s="236" t="str">
        <f t="shared" si="405"/>
        <v>C2Q17A</v>
      </c>
      <c r="BB68" s="236" t="str">
        <f t="shared" si="405"/>
        <v>C3Q17A</v>
      </c>
      <c r="BC68" s="237" t="str">
        <f t="shared" si="405"/>
        <v>F4Q17A</v>
      </c>
      <c r="BD68" s="268" t="str">
        <f t="shared" ref="BD68:BG68" si="406">BD6</f>
        <v>F1Q18A</v>
      </c>
      <c r="BE68" s="236" t="str">
        <f t="shared" si="406"/>
        <v>F2Q18E</v>
      </c>
      <c r="BF68" s="236" t="str">
        <f t="shared" si="406"/>
        <v>F3Q18E</v>
      </c>
      <c r="BG68" s="237" t="str">
        <f t="shared" si="406"/>
        <v>F4Q18E</v>
      </c>
      <c r="BH68" s="268" t="str">
        <f t="shared" ref="BH68:BK68" si="407">BH6</f>
        <v>F1Q19E</v>
      </c>
      <c r="BI68" s="236" t="str">
        <f t="shared" si="407"/>
        <v>F2Q19E</v>
      </c>
      <c r="BJ68" s="236" t="str">
        <f t="shared" si="407"/>
        <v>F3Q19E</v>
      </c>
      <c r="BK68" s="237" t="str">
        <f t="shared" si="407"/>
        <v>F4Q19E</v>
      </c>
      <c r="BL68" s="2030"/>
      <c r="BM68" s="16" t="str">
        <f t="shared" ref="BM68:BY68" si="408">BM6</f>
        <v>FY2005A</v>
      </c>
      <c r="BN68" s="17" t="str">
        <f t="shared" si="408"/>
        <v>FY2006A</v>
      </c>
      <c r="BO68" s="17" t="str">
        <f t="shared" si="408"/>
        <v>FY2007A</v>
      </c>
      <c r="BP68" s="1848" t="str">
        <f t="shared" si="408"/>
        <v>FY2008A</v>
      </c>
      <c r="BQ68" s="1848" t="str">
        <f t="shared" si="408"/>
        <v>FY2009A</v>
      </c>
      <c r="BR68" s="1848" t="str">
        <f t="shared" si="408"/>
        <v>FY2010A</v>
      </c>
      <c r="BS68" s="17" t="str">
        <f t="shared" si="408"/>
        <v>FY2011A</v>
      </c>
      <c r="BT68" s="1848" t="str">
        <f t="shared" si="408"/>
        <v>FY2012A</v>
      </c>
      <c r="BU68" s="1848" t="str">
        <f t="shared" si="408"/>
        <v>FY2013A</v>
      </c>
      <c r="BV68" s="1848" t="str">
        <f t="shared" si="408"/>
        <v>FY2014A</v>
      </c>
      <c r="BW68" s="1848" t="str">
        <f t="shared" si="408"/>
        <v>FY2015A</v>
      </c>
      <c r="BX68" s="1848" t="str">
        <f t="shared" si="408"/>
        <v>FY2016A</v>
      </c>
      <c r="BY68" s="17" t="str">
        <f t="shared" si="408"/>
        <v>FY2017A</v>
      </c>
      <c r="BZ68" s="17" t="str">
        <f t="shared" ref="BZ68:CB68" si="409">BZ6</f>
        <v>FY2018E</v>
      </c>
      <c r="CA68" s="1848" t="str">
        <f t="shared" si="409"/>
        <v>FY2019E</v>
      </c>
      <c r="CB68" s="1849" t="str">
        <f t="shared" si="409"/>
        <v>FY2020E</v>
      </c>
      <c r="CC68" s="2140"/>
      <c r="CD68" s="13"/>
    </row>
    <row r="69" spans="1:82" ht="14.25" customHeight="1">
      <c r="A69" s="7"/>
      <c r="B69" s="20" t="s">
        <v>144</v>
      </c>
      <c r="C69" s="238"/>
      <c r="D69" s="356">
        <f t="shared" ref="D69:AD69" si="410">-D33</f>
        <v>518.47199999999998</v>
      </c>
      <c r="E69" s="357">
        <f t="shared" si="410"/>
        <v>303.26499999999999</v>
      </c>
      <c r="F69" s="357">
        <f t="shared" si="410"/>
        <v>362.29599999999994</v>
      </c>
      <c r="G69" s="178">
        <f t="shared" si="410"/>
        <v>328.96700000000021</v>
      </c>
      <c r="H69" s="356">
        <f t="shared" si="410"/>
        <v>310.32600000000002</v>
      </c>
      <c r="I69" s="357">
        <f t="shared" si="410"/>
        <v>455.36400000000003</v>
      </c>
      <c r="J69" s="357">
        <f t="shared" si="410"/>
        <v>424.89200000000005</v>
      </c>
      <c r="K69" s="178">
        <f t="shared" si="410"/>
        <v>666.41799999999989</v>
      </c>
      <c r="L69" s="356">
        <f t="shared" si="410"/>
        <v>586</v>
      </c>
      <c r="M69" s="357">
        <f t="shared" si="410"/>
        <v>414</v>
      </c>
      <c r="N69" s="357">
        <f t="shared" si="410"/>
        <v>419</v>
      </c>
      <c r="O69" s="178">
        <f t="shared" si="410"/>
        <v>266</v>
      </c>
      <c r="P69" s="356">
        <f t="shared" si="410"/>
        <v>323</v>
      </c>
      <c r="Q69" s="357">
        <f t="shared" si="410"/>
        <v>106</v>
      </c>
      <c r="R69" s="357">
        <f t="shared" si="410"/>
        <v>82</v>
      </c>
      <c r="S69" s="178">
        <f t="shared" si="410"/>
        <v>113</v>
      </c>
      <c r="T69" s="356">
        <f t="shared" si="410"/>
        <v>84</v>
      </c>
      <c r="U69" s="357">
        <f t="shared" si="410"/>
        <v>112</v>
      </c>
      <c r="V69" s="357">
        <f t="shared" si="410"/>
        <v>97</v>
      </c>
      <c r="W69" s="178">
        <f t="shared" si="410"/>
        <v>173</v>
      </c>
      <c r="X69" s="356">
        <f t="shared" si="410"/>
        <v>48</v>
      </c>
      <c r="Y69" s="357">
        <f t="shared" si="410"/>
        <v>31</v>
      </c>
      <c r="Z69" s="357">
        <f t="shared" si="410"/>
        <v>31</v>
      </c>
      <c r="AA69" s="178">
        <f t="shared" si="410"/>
        <v>38</v>
      </c>
      <c r="AB69" s="241">
        <f t="shared" si="410"/>
        <v>38</v>
      </c>
      <c r="AC69" s="241">
        <f t="shared" si="410"/>
        <v>67</v>
      </c>
      <c r="AD69" s="241">
        <f t="shared" si="410"/>
        <v>58</v>
      </c>
      <c r="AE69" s="178">
        <f t="shared" ref="AE69:AJ69" si="411">-AE33</f>
        <v>87</v>
      </c>
      <c r="AF69" s="241">
        <f t="shared" si="411"/>
        <v>40</v>
      </c>
      <c r="AG69" s="241">
        <f t="shared" si="411"/>
        <v>39</v>
      </c>
      <c r="AH69" s="241">
        <f t="shared" si="411"/>
        <v>32</v>
      </c>
      <c r="AI69" s="178">
        <f t="shared" si="411"/>
        <v>22</v>
      </c>
      <c r="AJ69" s="241">
        <f t="shared" si="411"/>
        <v>20</v>
      </c>
      <c r="AK69" s="241">
        <f t="shared" ref="AK69:AT69" si="412">-AK33</f>
        <v>28</v>
      </c>
      <c r="AL69" s="241">
        <f t="shared" si="412"/>
        <v>15</v>
      </c>
      <c r="AM69" s="178">
        <f t="shared" si="412"/>
        <v>21</v>
      </c>
      <c r="AN69" s="241">
        <f t="shared" si="412"/>
        <v>21</v>
      </c>
      <c r="AO69" s="241">
        <f t="shared" si="412"/>
        <v>23</v>
      </c>
      <c r="AP69" s="241">
        <f t="shared" si="412"/>
        <v>29</v>
      </c>
      <c r="AQ69" s="178">
        <f t="shared" si="412"/>
        <v>22</v>
      </c>
      <c r="AR69" s="241">
        <f t="shared" si="412"/>
        <v>22</v>
      </c>
      <c r="AS69" s="241">
        <f t="shared" si="412"/>
        <v>17</v>
      </c>
      <c r="AT69" s="241">
        <f t="shared" si="412"/>
        <v>25</v>
      </c>
      <c r="AU69" s="178">
        <f t="shared" ref="AU69:AW69" si="413">-AU33</f>
        <v>32</v>
      </c>
      <c r="AV69" s="241">
        <f t="shared" si="413"/>
        <v>26</v>
      </c>
      <c r="AW69" s="241">
        <f t="shared" si="413"/>
        <v>21</v>
      </c>
      <c r="AX69" s="241">
        <f>-AX126+AW126</f>
        <v>9</v>
      </c>
      <c r="AY69" s="178">
        <f t="shared" ref="AY69:BA69" si="414">-AY33</f>
        <v>21</v>
      </c>
      <c r="AZ69" s="241">
        <f t="shared" si="414"/>
        <v>23</v>
      </c>
      <c r="BA69" s="241">
        <f t="shared" si="414"/>
        <v>12</v>
      </c>
      <c r="BB69" s="175">
        <v>25</v>
      </c>
      <c r="BC69" s="178">
        <f t="shared" ref="BC69" si="415">-BC33</f>
        <v>44</v>
      </c>
      <c r="BD69" s="248">
        <v>25</v>
      </c>
      <c r="BE69" s="1899">
        <v>25</v>
      </c>
      <c r="BF69" s="1899">
        <v>25</v>
      </c>
      <c r="BG69" s="1900">
        <v>25</v>
      </c>
      <c r="BH69" s="1898">
        <v>25</v>
      </c>
      <c r="BI69" s="1899">
        <v>25</v>
      </c>
      <c r="BJ69" s="1899">
        <v>25</v>
      </c>
      <c r="BK69" s="1900">
        <v>25</v>
      </c>
      <c r="BL69" s="19"/>
      <c r="BM69" s="564">
        <f t="shared" ref="BM69:BU69" si="416">-BM33</f>
        <v>1513</v>
      </c>
      <c r="BN69" s="564">
        <f t="shared" si="416"/>
        <v>1857</v>
      </c>
      <c r="BO69" s="564">
        <f t="shared" si="416"/>
        <v>1685</v>
      </c>
      <c r="BP69" s="564">
        <f t="shared" si="416"/>
        <v>624</v>
      </c>
      <c r="BQ69" s="564">
        <f t="shared" si="416"/>
        <v>466</v>
      </c>
      <c r="BR69" s="564">
        <f t="shared" si="416"/>
        <v>148</v>
      </c>
      <c r="BS69" s="564">
        <f t="shared" si="416"/>
        <v>250</v>
      </c>
      <c r="BT69" s="564">
        <f t="shared" si="416"/>
        <v>133</v>
      </c>
      <c r="BU69" s="564">
        <f t="shared" si="416"/>
        <v>84</v>
      </c>
      <c r="BV69" s="564">
        <f>+SUM(AN69:AQ69)</f>
        <v>95</v>
      </c>
      <c r="BW69" s="564">
        <f>+SUM(AR69:AU69)</f>
        <v>96</v>
      </c>
      <c r="BX69" s="564">
        <f>SUM(AV69:AY69)</f>
        <v>77</v>
      </c>
      <c r="BY69" s="259">
        <f>SUM(AZ69:BC69)</f>
        <v>104</v>
      </c>
      <c r="BZ69" s="259">
        <f>SUM(BD69:BG69)</f>
        <v>100</v>
      </c>
      <c r="CA69" s="259">
        <f>SUM(BH69:BK69)</f>
        <v>100</v>
      </c>
      <c r="CB69" s="2159">
        <f>IS!CB9*CB71</f>
        <v>99.059534421365882</v>
      </c>
      <c r="CC69" s="20"/>
      <c r="CD69" s="13"/>
    </row>
    <row r="70" spans="1:82" ht="14.25" customHeight="1">
      <c r="A70" s="7"/>
      <c r="B70" s="20" t="s">
        <v>145</v>
      </c>
      <c r="C70" s="244"/>
      <c r="D70" s="358">
        <v>0</v>
      </c>
      <c r="E70" s="247">
        <v>0</v>
      </c>
      <c r="F70" s="247">
        <v>0</v>
      </c>
      <c r="G70" s="246">
        <v>0</v>
      </c>
      <c r="H70" s="358">
        <v>0</v>
      </c>
      <c r="I70" s="247">
        <v>0</v>
      </c>
      <c r="J70" s="247">
        <v>0</v>
      </c>
      <c r="K70" s="246">
        <v>0</v>
      </c>
      <c r="L70" s="358">
        <v>0</v>
      </c>
      <c r="M70" s="247">
        <v>0</v>
      </c>
      <c r="N70" s="247">
        <v>0</v>
      </c>
      <c r="O70" s="246">
        <v>9</v>
      </c>
      <c r="P70" s="358">
        <v>0</v>
      </c>
      <c r="Q70" s="247">
        <v>0</v>
      </c>
      <c r="R70" s="247">
        <v>0</v>
      </c>
      <c r="S70" s="246">
        <v>0</v>
      </c>
      <c r="T70" s="358">
        <v>0</v>
      </c>
      <c r="U70" s="247">
        <v>0</v>
      </c>
      <c r="V70" s="247">
        <v>0</v>
      </c>
      <c r="W70" s="246">
        <v>0</v>
      </c>
      <c r="X70" s="358">
        <v>0</v>
      </c>
      <c r="Y70" s="247">
        <v>0</v>
      </c>
      <c r="Z70" s="247">
        <v>0</v>
      </c>
      <c r="AA70" s="246">
        <v>0</v>
      </c>
      <c r="AB70" s="247">
        <v>0</v>
      </c>
      <c r="AC70" s="247">
        <v>0</v>
      </c>
      <c r="AD70" s="247">
        <v>0</v>
      </c>
      <c r="AE70" s="246">
        <v>0</v>
      </c>
      <c r="AF70" s="247">
        <v>0</v>
      </c>
      <c r="AG70" s="247">
        <v>0</v>
      </c>
      <c r="AH70" s="247">
        <v>0</v>
      </c>
      <c r="AI70" s="246">
        <v>0</v>
      </c>
      <c r="AJ70" s="247">
        <v>0</v>
      </c>
      <c r="AK70" s="247">
        <v>0</v>
      </c>
      <c r="AL70" s="247">
        <v>0</v>
      </c>
      <c r="AM70" s="246">
        <v>0</v>
      </c>
      <c r="AN70" s="247">
        <v>0</v>
      </c>
      <c r="AO70" s="247">
        <v>0</v>
      </c>
      <c r="AP70" s="247">
        <v>0</v>
      </c>
      <c r="AQ70" s="246">
        <v>0</v>
      </c>
      <c r="AR70" s="247">
        <v>0</v>
      </c>
      <c r="AS70" s="247">
        <v>0</v>
      </c>
      <c r="AT70" s="247">
        <v>0</v>
      </c>
      <c r="AU70" s="246">
        <v>0</v>
      </c>
      <c r="AV70" s="247">
        <v>0</v>
      </c>
      <c r="AW70" s="247">
        <v>0</v>
      </c>
      <c r="AX70" s="247">
        <v>0</v>
      </c>
      <c r="AY70" s="246">
        <v>0</v>
      </c>
      <c r="AZ70" s="247">
        <v>0</v>
      </c>
      <c r="BA70" s="247">
        <v>0</v>
      </c>
      <c r="BB70" s="1921">
        <v>0</v>
      </c>
      <c r="BC70" s="246">
        <v>0</v>
      </c>
      <c r="BD70" s="2221">
        <v>43</v>
      </c>
      <c r="BE70" s="247">
        <v>0</v>
      </c>
      <c r="BF70" s="1103">
        <v>0</v>
      </c>
      <c r="BG70" s="1676">
        <v>0</v>
      </c>
      <c r="BH70" s="358">
        <v>0</v>
      </c>
      <c r="BI70" s="247">
        <v>0</v>
      </c>
      <c r="BJ70" s="1103">
        <v>0</v>
      </c>
      <c r="BK70" s="1676">
        <v>0</v>
      </c>
      <c r="BL70" s="19"/>
      <c r="BM70" s="259">
        <f>G70</f>
        <v>0</v>
      </c>
      <c r="BN70" s="259">
        <f>K70</f>
        <v>0</v>
      </c>
      <c r="BO70" s="259">
        <f>O70</f>
        <v>9</v>
      </c>
      <c r="BP70" s="259">
        <f>S70</f>
        <v>0</v>
      </c>
      <c r="BQ70" s="259">
        <f>W70</f>
        <v>0</v>
      </c>
      <c r="BR70" s="259">
        <f>AA70</f>
        <v>0</v>
      </c>
      <c r="BS70" s="203">
        <f>AE70</f>
        <v>0</v>
      </c>
      <c r="BT70" s="203">
        <f>AI70</f>
        <v>0</v>
      </c>
      <c r="BU70" s="203">
        <f>AM70</f>
        <v>0</v>
      </c>
      <c r="BV70" s="203">
        <f>AN70</f>
        <v>0</v>
      </c>
      <c r="BW70" s="203">
        <f>+SUM(AR70:AU70)</f>
        <v>0</v>
      </c>
      <c r="BX70" s="203">
        <v>0</v>
      </c>
      <c r="BY70" s="249">
        <v>0</v>
      </c>
      <c r="BZ70" s="249">
        <v>0</v>
      </c>
      <c r="CA70" s="249">
        <v>0</v>
      </c>
      <c r="CB70" s="2160">
        <v>0</v>
      </c>
      <c r="CC70" s="20"/>
      <c r="CD70" s="13"/>
    </row>
    <row r="71" spans="1:82" ht="14.25" customHeight="1">
      <c r="A71" s="7"/>
      <c r="B71" s="250" t="s">
        <v>146</v>
      </c>
      <c r="C71" s="251"/>
      <c r="D71" s="157">
        <f>D69/IS!D9</f>
        <v>0.42268071493557952</v>
      </c>
      <c r="E71" s="95">
        <f>E69/IS!E9</f>
        <v>0.24070217268107927</v>
      </c>
      <c r="F71" s="95">
        <f>F69/IS!F9</f>
        <v>0.23792139904318155</v>
      </c>
      <c r="G71" s="96">
        <f>G69/IS!G9</f>
        <v>0.17891291614342544</v>
      </c>
      <c r="H71" s="157">
        <f>H69/IS!H9</f>
        <v>0.23294984528862195</v>
      </c>
      <c r="I71" s="95">
        <f>I69/IS!I9</f>
        <v>0.37436398718478886</v>
      </c>
      <c r="J71" s="95">
        <f>J69/IS!J9</f>
        <v>0.32003989087255258</v>
      </c>
      <c r="K71" s="96">
        <f>K69/IS!K9</f>
        <v>0.37590144247718216</v>
      </c>
      <c r="L71" s="157">
        <f>L69/IS!L9</f>
        <v>0.47526358475263586</v>
      </c>
      <c r="M71" s="95">
        <f>M69/IS!M9</f>
        <v>0.30043541364296084</v>
      </c>
      <c r="N71" s="95">
        <f>N69/IS!N9</f>
        <v>0.25674019607843135</v>
      </c>
      <c r="O71" s="96">
        <f>O69/IS!O9</f>
        <v>0.15028248587570622</v>
      </c>
      <c r="P71" s="157">
        <f>P69/IS!P9</f>
        <v>0.21721587088096839</v>
      </c>
      <c r="Q71" s="95">
        <f>Q69/IS!Q9</f>
        <v>7.7826725403817909E-2</v>
      </c>
      <c r="R71" s="95">
        <f>R69/IS!R9</f>
        <v>4.5631608235948806E-2</v>
      </c>
      <c r="S71" s="96">
        <f>S69/IS!S9</f>
        <v>9.72461273666093E-2</v>
      </c>
      <c r="T71" s="157">
        <f>T69/IS!T9</f>
        <v>7.1367884451996599E-2</v>
      </c>
      <c r="U71" s="95">
        <f>U69/IS!U9</f>
        <v>9.45945945945946E-2</v>
      </c>
      <c r="V71" s="95">
        <f>V69/IS!V9</f>
        <v>6.9484240687679083E-2</v>
      </c>
      <c r="W71" s="96">
        <f>W69/IS!W9</f>
        <v>0.10510328068043742</v>
      </c>
      <c r="X71" s="157">
        <f>X69/IS!X9</f>
        <v>3.0495552731893267E-2</v>
      </c>
      <c r="Y71" s="95">
        <f>Y69/IS!Y9</f>
        <v>1.8753781004234724E-2</v>
      </c>
      <c r="Z71" s="95">
        <f>Z69/IS!Z9</f>
        <v>1.9159456118665017E-2</v>
      </c>
      <c r="AA71" s="96">
        <f>AA69/IS!AA9</f>
        <v>2.3044269254093391E-2</v>
      </c>
      <c r="AB71" s="95">
        <f>AB69/IS!AB9</f>
        <v>2.3558586484810913E-2</v>
      </c>
      <c r="AC71" s="95">
        <f>AC69/IS!AC9</f>
        <v>4.2566709021601014E-2</v>
      </c>
      <c r="AD71" s="95">
        <f>AD69/IS!AD9</f>
        <v>3.4319526627218933E-2</v>
      </c>
      <c r="AE71" s="96">
        <f>AE69/IS!AE9</f>
        <v>5.1448846836191602E-2</v>
      </c>
      <c r="AF71" s="95">
        <f>AF69/IS!AF9</f>
        <v>2.5236593059936908E-2</v>
      </c>
      <c r="AG71" s="95">
        <f>AG69/IS!AG9</f>
        <v>2.7600849256900213E-2</v>
      </c>
      <c r="AH71" s="95">
        <f>AH69/IS!AH9</f>
        <v>2.5216706067769899E-2</v>
      </c>
      <c r="AI71" s="96">
        <f>AI69/IS!AI9</f>
        <v>1.9047619047619049E-2</v>
      </c>
      <c r="AJ71" s="95">
        <f>AJ69/IS!AJ9</f>
        <v>1.8382352941176471E-2</v>
      </c>
      <c r="AK71" s="95">
        <f>AK69/IS!AK9</f>
        <v>2.4117140396210164E-2</v>
      </c>
      <c r="AL71" s="95">
        <f>AL69/IS!AL9</f>
        <v>1.0266940451745379E-2</v>
      </c>
      <c r="AM71" s="96">
        <f>AM69/IS!AM9</f>
        <v>1.3215859030837005E-2</v>
      </c>
      <c r="AN71" s="95">
        <f>AN69/IS!AN9</f>
        <v>1.5032211882605583E-2</v>
      </c>
      <c r="AO71" s="95">
        <f>AO69/IS!AO9</f>
        <v>1.5961138098542677E-2</v>
      </c>
      <c r="AP71" s="95">
        <f>AP69/IS!AP9</f>
        <v>2.0293911826452064E-2</v>
      </c>
      <c r="AQ71" s="96">
        <f>AQ69/IS!AQ9</f>
        <v>1.7756255044390639E-2</v>
      </c>
      <c r="AR71" s="95">
        <f>AR69/IS!AR9</f>
        <v>2.1359223300970873E-2</v>
      </c>
      <c r="AS71" s="95">
        <f>AS69/IS!AS9</f>
        <v>1.8046709129511677E-2</v>
      </c>
      <c r="AT71" s="95">
        <f>AT69/IS!AT9</f>
        <v>2.35626767200754E-2</v>
      </c>
      <c r="AU71" s="96">
        <f>AU69/IS!AU9</f>
        <v>3.3402922755741124E-2</v>
      </c>
      <c r="AV71" s="95">
        <f>AV69/IS!AV9</f>
        <v>3.125E-2</v>
      </c>
      <c r="AW71" s="95">
        <f>AW69/IS!AW9</f>
        <v>2.0447906523855891E-2</v>
      </c>
      <c r="AX71" s="95">
        <f>AX69/IS!AX9</f>
        <v>6.8859984697781174E-3</v>
      </c>
      <c r="AY71" s="96">
        <f>AY69/IS!AY9</f>
        <v>1.8987341772151899E-2</v>
      </c>
      <c r="AZ71" s="95">
        <f>AZ69/IS!AZ9</f>
        <v>2.3373983739837397E-2</v>
      </c>
      <c r="BA71" s="95">
        <f>BA69/IS!BA9</f>
        <v>9.8199672667757774E-3</v>
      </c>
      <c r="BB71" s="95">
        <f>BB69/IS!BB9</f>
        <v>1.5216068167985392E-2</v>
      </c>
      <c r="BC71" s="96">
        <f>BC69/IS!BC9</f>
        <v>2.9729729729729731E-2</v>
      </c>
      <c r="BD71" s="157">
        <f>BD69/IS!BD9</f>
        <v>1.5179113539769277E-2</v>
      </c>
      <c r="BE71" s="95">
        <f>BE69/IS!BE9</f>
        <v>1.4463202158076827E-2</v>
      </c>
      <c r="BF71" s="95">
        <f>BF69/IS!BF9</f>
        <v>1.4447875320278721E-2</v>
      </c>
      <c r="BG71" s="1513">
        <f>BG69/IS!BG9</f>
        <v>1.5381389152471911E-2</v>
      </c>
      <c r="BH71" s="157">
        <f>BH69/IS!BH9</f>
        <v>1.6137931701292615E-2</v>
      </c>
      <c r="BI71" s="95">
        <f>BI69/IS!BI9</f>
        <v>1.5286178108179912E-2</v>
      </c>
      <c r="BJ71" s="95">
        <f>BJ69/IS!BJ9</f>
        <v>1.4564387029729699E-2</v>
      </c>
      <c r="BK71" s="1513">
        <f>BK69/IS!BK9</f>
        <v>1.4681325120505717E-2</v>
      </c>
      <c r="BL71" s="19"/>
      <c r="BM71" s="253">
        <f>BM69/IS!BM9</f>
        <v>0.25872093023255816</v>
      </c>
      <c r="BN71" s="253">
        <f>BN69/IS!BN9</f>
        <v>0.32873074880509823</v>
      </c>
      <c r="BO71" s="253">
        <f>BO69/IS!BO9</f>
        <v>0.28022617661732913</v>
      </c>
      <c r="BP71" s="253">
        <f>BP69/IS!BP9</f>
        <v>0.10743801652892562</v>
      </c>
      <c r="BQ71" s="253">
        <f>BQ69/IS!BQ9</f>
        <v>8.6248380529335561E-2</v>
      </c>
      <c r="BR71" s="253">
        <f>BR69/IS!BR9</f>
        <v>2.2790267939636587E-2</v>
      </c>
      <c r="BS71" s="253">
        <f>BS69/IS!BS9</f>
        <v>3.8063337393422658E-2</v>
      </c>
      <c r="BT71" s="253">
        <f>BT69/IS!BT9</f>
        <v>2.4529693839911472E-2</v>
      </c>
      <c r="BU71" s="253">
        <f>BU69/IS!BU9</f>
        <v>1.5852047556142668E-2</v>
      </c>
      <c r="BV71" s="253">
        <f>BV69/IS!BV9</f>
        <v>1.7253904831093354E-2</v>
      </c>
      <c r="BW71" s="253">
        <f>BW69/IS!BW9</f>
        <v>2.405412177399148E-2</v>
      </c>
      <c r="BX71" s="253">
        <f>BX69/IS!BX9</f>
        <v>1.8024344569288388E-2</v>
      </c>
      <c r="BY71" s="95">
        <f>BY69/IS!BY9</f>
        <v>1.9515856633514732E-2</v>
      </c>
      <c r="BZ71" s="1901">
        <f>BZ69/IS!BZ9</f>
        <v>1.4856139920372295E-2</v>
      </c>
      <c r="CA71" s="1901">
        <f>CA69/IS!CA9</f>
        <v>1.5142409145792119E-2</v>
      </c>
      <c r="CB71" s="1514">
        <v>1.4999999999999999E-2</v>
      </c>
      <c r="CC71" s="20"/>
      <c r="CD71" s="13"/>
    </row>
    <row r="72" spans="1:82" ht="14.25" customHeight="1">
      <c r="A72" s="7"/>
      <c r="B72" s="14" t="s">
        <v>147</v>
      </c>
      <c r="C72" s="15"/>
      <c r="D72" s="258">
        <f t="shared" ref="D72:AT72" si="417">D12+D40</f>
        <v>5.6920000000000002</v>
      </c>
      <c r="E72" s="257">
        <f t="shared" si="417"/>
        <v>1.3939999999999992</v>
      </c>
      <c r="F72" s="257">
        <f t="shared" si="417"/>
        <v>-1.2139999999999993</v>
      </c>
      <c r="G72" s="256">
        <f t="shared" si="417"/>
        <v>10.128</v>
      </c>
      <c r="H72" s="258">
        <f t="shared" si="417"/>
        <v>5.0220000000000002</v>
      </c>
      <c r="I72" s="257">
        <f t="shared" si="417"/>
        <v>2.9750000000000001</v>
      </c>
      <c r="J72" s="257">
        <f t="shared" si="417"/>
        <v>-4.9340000000000002</v>
      </c>
      <c r="K72" s="256">
        <f t="shared" si="417"/>
        <v>33.937000000000005</v>
      </c>
      <c r="L72" s="258">
        <f t="shared" si="417"/>
        <v>4</v>
      </c>
      <c r="M72" s="257">
        <f t="shared" si="417"/>
        <v>4</v>
      </c>
      <c r="N72" s="257">
        <f t="shared" si="417"/>
        <v>29</v>
      </c>
      <c r="O72" s="256">
        <f t="shared" si="417"/>
        <v>16</v>
      </c>
      <c r="P72" s="258">
        <f t="shared" si="417"/>
        <v>53</v>
      </c>
      <c r="Q72" s="257">
        <f t="shared" si="417"/>
        <v>121</v>
      </c>
      <c r="R72" s="257">
        <f t="shared" si="417"/>
        <v>5</v>
      </c>
      <c r="S72" s="256">
        <f t="shared" si="417"/>
        <v>164</v>
      </c>
      <c r="T72" s="258">
        <f t="shared" si="417"/>
        <v>0</v>
      </c>
      <c r="U72" s="257">
        <f t="shared" si="417"/>
        <v>4</v>
      </c>
      <c r="V72" s="257">
        <f t="shared" si="417"/>
        <v>9</v>
      </c>
      <c r="W72" s="256">
        <f t="shared" si="417"/>
        <v>-13</v>
      </c>
      <c r="X72" s="258">
        <f t="shared" si="417"/>
        <v>0</v>
      </c>
      <c r="Y72" s="257">
        <f t="shared" si="417"/>
        <v>0</v>
      </c>
      <c r="Z72" s="257">
        <f t="shared" si="417"/>
        <v>1</v>
      </c>
      <c r="AA72" s="256">
        <f t="shared" si="417"/>
        <v>0</v>
      </c>
      <c r="AB72" s="257">
        <f t="shared" si="417"/>
        <v>0</v>
      </c>
      <c r="AC72" s="257">
        <f t="shared" si="417"/>
        <v>0</v>
      </c>
      <c r="AD72" s="257">
        <f t="shared" si="417"/>
        <v>16</v>
      </c>
      <c r="AE72" s="256">
        <f t="shared" si="417"/>
        <v>0</v>
      </c>
      <c r="AF72" s="257">
        <f t="shared" si="417"/>
        <v>1</v>
      </c>
      <c r="AG72" s="257">
        <f t="shared" si="417"/>
        <v>-1</v>
      </c>
      <c r="AH72" s="257">
        <f t="shared" si="417"/>
        <v>0</v>
      </c>
      <c r="AI72" s="256">
        <f t="shared" si="417"/>
        <v>0</v>
      </c>
      <c r="AJ72" s="257">
        <f t="shared" si="417"/>
        <v>226</v>
      </c>
      <c r="AK72" s="257">
        <f t="shared" si="417"/>
        <v>2</v>
      </c>
      <c r="AL72" s="257">
        <f t="shared" si="417"/>
        <v>40</v>
      </c>
      <c r="AM72" s="256">
        <f t="shared" si="417"/>
        <v>1</v>
      </c>
      <c r="AN72" s="257">
        <f t="shared" si="417"/>
        <v>0</v>
      </c>
      <c r="AO72" s="257">
        <f t="shared" si="417"/>
        <v>0</v>
      </c>
      <c r="AP72" s="257">
        <f t="shared" si="417"/>
        <v>0</v>
      </c>
      <c r="AQ72" s="256">
        <f t="shared" si="417"/>
        <v>0</v>
      </c>
      <c r="AR72" s="257">
        <f t="shared" si="417"/>
        <v>0</v>
      </c>
      <c r="AS72" s="257">
        <f t="shared" si="417"/>
        <v>0</v>
      </c>
      <c r="AT72" s="257">
        <f t="shared" si="417"/>
        <v>8</v>
      </c>
      <c r="AU72" s="256">
        <f t="shared" ref="AU72:AX72" si="418">AU12+AU40</f>
        <v>0</v>
      </c>
      <c r="AV72" s="257">
        <f t="shared" si="418"/>
        <v>0</v>
      </c>
      <c r="AW72" s="257">
        <f t="shared" si="418"/>
        <v>0</v>
      </c>
      <c r="AX72" s="257">
        <f t="shared" si="418"/>
        <v>0</v>
      </c>
      <c r="AY72" s="256">
        <f t="shared" ref="AY72" si="419">AY12+AY40</f>
        <v>0</v>
      </c>
      <c r="AZ72" s="257">
        <f t="shared" ref="AZ72:BC72" si="420">AZ12+AZ40</f>
        <v>0</v>
      </c>
      <c r="BA72" s="257">
        <f t="shared" si="420"/>
        <v>0</v>
      </c>
      <c r="BB72" s="257">
        <f t="shared" si="420"/>
        <v>0</v>
      </c>
      <c r="BC72" s="256">
        <f t="shared" si="420"/>
        <v>0</v>
      </c>
      <c r="BD72" s="258">
        <f t="shared" ref="BD72:BG72" si="421">BD12+BD40</f>
        <v>0</v>
      </c>
      <c r="BE72" s="257">
        <f t="shared" si="421"/>
        <v>0</v>
      </c>
      <c r="BF72" s="257">
        <f t="shared" si="421"/>
        <v>0</v>
      </c>
      <c r="BG72" s="1677">
        <f t="shared" si="421"/>
        <v>0</v>
      </c>
      <c r="BH72" s="258">
        <f t="shared" ref="BH72:BK72" si="422">BH12+BH40</f>
        <v>0</v>
      </c>
      <c r="BI72" s="257">
        <f t="shared" si="422"/>
        <v>0</v>
      </c>
      <c r="BJ72" s="257">
        <f t="shared" si="422"/>
        <v>0</v>
      </c>
      <c r="BK72" s="1677">
        <f t="shared" si="422"/>
        <v>0</v>
      </c>
      <c r="BL72" s="19"/>
      <c r="BM72" s="255">
        <f t="shared" ref="BM72:BY72" si="423">BM12+BM40</f>
        <v>16</v>
      </c>
      <c r="BN72" s="255">
        <f t="shared" si="423"/>
        <v>37</v>
      </c>
      <c r="BO72" s="255">
        <f t="shared" si="423"/>
        <v>53</v>
      </c>
      <c r="BP72" s="255">
        <f t="shared" si="423"/>
        <v>343</v>
      </c>
      <c r="BQ72" s="255">
        <f t="shared" si="423"/>
        <v>0</v>
      </c>
      <c r="BR72" s="255">
        <f t="shared" si="423"/>
        <v>1</v>
      </c>
      <c r="BS72" s="255">
        <f t="shared" si="423"/>
        <v>16</v>
      </c>
      <c r="BT72" s="255">
        <f t="shared" si="423"/>
        <v>0</v>
      </c>
      <c r="BU72" s="255">
        <f t="shared" si="423"/>
        <v>269</v>
      </c>
      <c r="BV72" s="255">
        <f t="shared" si="423"/>
        <v>0</v>
      </c>
      <c r="BW72" s="255">
        <f t="shared" si="423"/>
        <v>8</v>
      </c>
      <c r="BX72" s="255">
        <f t="shared" si="423"/>
        <v>0</v>
      </c>
      <c r="BY72" s="257">
        <f t="shared" si="423"/>
        <v>0</v>
      </c>
      <c r="BZ72" s="257">
        <f t="shared" ref="BZ72:CB72" si="424">BZ12+BZ40</f>
        <v>0</v>
      </c>
      <c r="CA72" s="257">
        <f t="shared" si="424"/>
        <v>0</v>
      </c>
      <c r="CB72" s="1677">
        <f t="shared" si="424"/>
        <v>0</v>
      </c>
      <c r="CC72" s="20"/>
      <c r="CD72" s="13"/>
    </row>
    <row r="73" spans="1:82" ht="14.25" customHeight="1">
      <c r="A73" s="7"/>
      <c r="B73" s="20" t="s">
        <v>148</v>
      </c>
      <c r="C73" s="244"/>
      <c r="D73" s="358">
        <v>11282.208000000001</v>
      </c>
      <c r="E73" s="247">
        <v>11192.550999999999</v>
      </c>
      <c r="F73" s="247">
        <v>11483.755999999999</v>
      </c>
      <c r="G73" s="351">
        <v>5487.6049999999996</v>
      </c>
      <c r="H73" s="358">
        <v>5778.5039999999999</v>
      </c>
      <c r="I73" s="247">
        <v>6197.7049999999999</v>
      </c>
      <c r="J73" s="247">
        <v>6599.8469999999998</v>
      </c>
      <c r="K73" s="351">
        <v>7337</v>
      </c>
      <c r="L73" s="358">
        <v>7938</v>
      </c>
      <c r="M73" s="247">
        <v>8174</v>
      </c>
      <c r="N73" s="247">
        <v>8153</v>
      </c>
      <c r="O73" s="351">
        <f>7870+O70</f>
        <v>7879</v>
      </c>
      <c r="P73" s="358">
        <v>7559</v>
      </c>
      <c r="Q73" s="247">
        <v>7138</v>
      </c>
      <c r="R73" s="247">
        <v>7155</v>
      </c>
      <c r="S73" s="351">
        <v>7158</v>
      </c>
      <c r="T73" s="358">
        <v>7207</v>
      </c>
      <c r="U73" s="247">
        <v>7310</v>
      </c>
      <c r="V73" s="247">
        <v>7379</v>
      </c>
      <c r="W73" s="351">
        <v>7495</v>
      </c>
      <c r="X73" s="358">
        <v>2068</v>
      </c>
      <c r="Y73" s="247">
        <v>2088</v>
      </c>
      <c r="Z73" s="247">
        <v>2080</v>
      </c>
      <c r="AA73" s="351">
        <v>2079</v>
      </c>
      <c r="AB73" s="247">
        <v>2079</v>
      </c>
      <c r="AC73" s="247">
        <v>2092</v>
      </c>
      <c r="AD73" s="247">
        <v>2122</v>
      </c>
      <c r="AE73" s="351">
        <v>2196</v>
      </c>
      <c r="AF73" s="247">
        <v>2199</v>
      </c>
      <c r="AG73" s="247">
        <v>2221</v>
      </c>
      <c r="AH73" s="247">
        <v>2232</v>
      </c>
      <c r="AI73" s="351">
        <v>2218</v>
      </c>
      <c r="AJ73" s="247">
        <v>1917</v>
      </c>
      <c r="AK73" s="247">
        <v>1872</v>
      </c>
      <c r="AL73" s="247">
        <v>1766</v>
      </c>
      <c r="AM73" s="351">
        <v>1733</v>
      </c>
      <c r="AN73" s="247">
        <v>1725</v>
      </c>
      <c r="AO73" s="247">
        <v>1729</v>
      </c>
      <c r="AP73" s="247">
        <v>1740</v>
      </c>
      <c r="AQ73" s="351">
        <v>1680</v>
      </c>
      <c r="AR73" s="247">
        <v>1678</v>
      </c>
      <c r="AS73" s="247">
        <v>1662</v>
      </c>
      <c r="AT73" s="247">
        <v>1549</v>
      </c>
      <c r="AU73" s="351">
        <v>984</v>
      </c>
      <c r="AV73" s="247">
        <v>983</v>
      </c>
      <c r="AW73" s="247">
        <v>950</v>
      </c>
      <c r="AX73" s="247">
        <v>899</v>
      </c>
      <c r="AY73" s="351">
        <v>881</v>
      </c>
      <c r="AZ73" s="247">
        <v>905</v>
      </c>
      <c r="BA73" s="247">
        <v>930</v>
      </c>
      <c r="BB73" s="247">
        <v>978</v>
      </c>
      <c r="BC73" s="351">
        <v>1001</v>
      </c>
      <c r="BD73" s="1233">
        <f t="shared" ref="BD73" si="425">BC73+BD69+BD70-BD72</f>
        <v>1069</v>
      </c>
      <c r="BE73" s="1233">
        <f t="shared" ref="BE73" si="426">BD73+BE69+BE70-BE72</f>
        <v>1094</v>
      </c>
      <c r="BF73" s="241">
        <f t="shared" ref="BF73" si="427">BE73+BF69+BF70-BF72</f>
        <v>1119</v>
      </c>
      <c r="BG73" s="242">
        <f t="shared" ref="BG73" si="428">BF73+BG69+BG70-BG72</f>
        <v>1144</v>
      </c>
      <c r="BH73" s="1233">
        <f t="shared" ref="BH73" si="429">BG73+BH69+BH70-BH72</f>
        <v>1169</v>
      </c>
      <c r="BI73" s="1233">
        <f t="shared" ref="BI73" si="430">BH73+BI69+BI70-BI72</f>
        <v>1194</v>
      </c>
      <c r="BJ73" s="241">
        <f t="shared" ref="BJ73" si="431">BI73+BJ69+BJ70-BJ72</f>
        <v>1219</v>
      </c>
      <c r="BK73" s="242">
        <f t="shared" ref="BK73" si="432">BJ73+BK69+BK70-BK72</f>
        <v>1244</v>
      </c>
      <c r="BL73" s="19"/>
      <c r="BM73" s="259">
        <f>G73</f>
        <v>5487.6049999999996</v>
      </c>
      <c r="BN73" s="259">
        <f>K73</f>
        <v>7337</v>
      </c>
      <c r="BO73" s="259">
        <f>O73</f>
        <v>7879</v>
      </c>
      <c r="BP73" s="259">
        <f>S73</f>
        <v>7158</v>
      </c>
      <c r="BQ73" s="259">
        <f>W73</f>
        <v>7495</v>
      </c>
      <c r="BR73" s="259">
        <f>AA73</f>
        <v>2079</v>
      </c>
      <c r="BS73" s="259">
        <f>AE73</f>
        <v>2196</v>
      </c>
      <c r="BT73" s="259">
        <f>AI73</f>
        <v>2218</v>
      </c>
      <c r="BU73" s="259">
        <f>AM73</f>
        <v>1733</v>
      </c>
      <c r="BV73" s="259">
        <f>AQ73</f>
        <v>1680</v>
      </c>
      <c r="BW73" s="259">
        <f>AU73</f>
        <v>984</v>
      </c>
      <c r="BX73" s="259">
        <f>AY73</f>
        <v>881</v>
      </c>
      <c r="BY73" s="259">
        <f>BC73</f>
        <v>1001</v>
      </c>
      <c r="BZ73" s="259">
        <f>BG73</f>
        <v>1144</v>
      </c>
      <c r="CA73" s="259">
        <f>BK73</f>
        <v>1244</v>
      </c>
      <c r="CB73" s="2159">
        <f>CA73+CB69+CB70-CB72</f>
        <v>1343.0595344213659</v>
      </c>
      <c r="CC73" s="20"/>
      <c r="CD73" s="13"/>
    </row>
    <row r="74" spans="1:82" ht="14.25" customHeight="1">
      <c r="A74" s="7"/>
      <c r="B74" s="250" t="s">
        <v>149</v>
      </c>
      <c r="C74" s="251"/>
      <c r="D74" s="157">
        <f>D73/BS!D24</f>
        <v>1.4424103790265481</v>
      </c>
      <c r="E74" s="95">
        <f>E73/BS!E24</f>
        <v>1.4400079407536408</v>
      </c>
      <c r="F74" s="95">
        <f>F73/BS!F24</f>
        <v>1.4073306277631887</v>
      </c>
      <c r="G74" s="96">
        <f>G73/BS!G24</f>
        <v>0.75298729558072486</v>
      </c>
      <c r="H74" s="157">
        <f>H73/BS!H24</f>
        <v>0.7176442754604575</v>
      </c>
      <c r="I74" s="95">
        <f>I73/BS!I24</f>
        <v>0.76876528409263578</v>
      </c>
      <c r="J74" s="95">
        <f>J73/BS!J24</f>
        <v>0.78764229804025276</v>
      </c>
      <c r="K74" s="96">
        <f>K73/BS!K24</f>
        <v>0.55807408534266367</v>
      </c>
      <c r="L74" s="157">
        <f>L73/BS!L24</f>
        <v>0.62444933920704848</v>
      </c>
      <c r="M74" s="95">
        <f>M73/BS!M24</f>
        <v>0.61811857229280098</v>
      </c>
      <c r="N74" s="95">
        <f>N73/BS!N24</f>
        <v>0.63035410545848147</v>
      </c>
      <c r="O74" s="96">
        <f>O73/BS!O24</f>
        <v>0.6821645021645022</v>
      </c>
      <c r="P74" s="157">
        <f>P73/BS!P24</f>
        <v>0.67442897930049961</v>
      </c>
      <c r="Q74" s="95">
        <f>Q73/BS!Q24</f>
        <v>0.72955846279640224</v>
      </c>
      <c r="R74" s="95">
        <f>R73/BS!R24</f>
        <v>0.75786463298379414</v>
      </c>
      <c r="S74" s="96">
        <f>S73/BS!S24</f>
        <v>0.93300312825860277</v>
      </c>
      <c r="T74" s="157">
        <f>T73/BS!T24</f>
        <v>0.7961776403004861</v>
      </c>
      <c r="U74" s="95">
        <f>U73/BS!U24</f>
        <v>0.84187492802026953</v>
      </c>
      <c r="V74" s="95">
        <f>V73/BS!V24</f>
        <v>0.84360352120727111</v>
      </c>
      <c r="W74" s="96">
        <f>W73/BS!W24</f>
        <v>0.82562238378497466</v>
      </c>
      <c r="X74" s="157">
        <f>X73/BS!X24</f>
        <v>0.39525993883792049</v>
      </c>
      <c r="Y74" s="95">
        <f>Y73/BS!Y24</f>
        <v>0.42139253279515643</v>
      </c>
      <c r="Z74" s="95">
        <f>Z73/BS!Z24</f>
        <v>0.45266594124047876</v>
      </c>
      <c r="AA74" s="96">
        <f>AA73/BS!AA24</f>
        <v>0.41881547139403708</v>
      </c>
      <c r="AB74" s="95">
        <f>AB73/BS!AB24</f>
        <v>0.39911691303513153</v>
      </c>
      <c r="AC74" s="95">
        <f>AC73/BS!AC24</f>
        <v>0.40045941807044411</v>
      </c>
      <c r="AD74" s="95">
        <f>AD73/BS!AD24</f>
        <v>0.40527119938884643</v>
      </c>
      <c r="AE74" s="96">
        <f>AE73/BS!AE24</f>
        <v>0.44327815906338314</v>
      </c>
      <c r="AF74" s="95">
        <f>AF73/BS!AF24</f>
        <v>0.44085805934242184</v>
      </c>
      <c r="AG74" s="95">
        <f>AG73/BS!AG24</f>
        <v>0.44058718508232492</v>
      </c>
      <c r="AH74" s="95">
        <f>AH73/BS!AH24</f>
        <v>0.48395490026019078</v>
      </c>
      <c r="AI74" s="96">
        <f>AI73/BS!AI24</f>
        <v>0.55449999999999999</v>
      </c>
      <c r="AJ74" s="95">
        <f>AJ73/BS!AJ24</f>
        <v>0.50487226757966819</v>
      </c>
      <c r="AK74" s="95">
        <f>AK73/BS!AK24</f>
        <v>0.48036951501154734</v>
      </c>
      <c r="AL74" s="95">
        <f>AL73/BS!AL24</f>
        <v>0.40908037989344453</v>
      </c>
      <c r="AM74" s="96">
        <f>AM73/BS!AM24</f>
        <v>0.39958496656675119</v>
      </c>
      <c r="AN74" s="95">
        <f>AN73/BS!AN24</f>
        <v>0.41991236611489774</v>
      </c>
      <c r="AO74" s="95">
        <f>AO73/BS!AO24</f>
        <v>0.40720678285445122</v>
      </c>
      <c r="AP74" s="95">
        <f>AP73/BS!AP24</f>
        <v>0.40231213872832372</v>
      </c>
      <c r="AQ74" s="96">
        <f>AQ73/BS!AQ24</f>
        <v>0.44597823201486592</v>
      </c>
      <c r="AR74" s="95">
        <f>AR73/BS!AR24</f>
        <v>0.48949824970828471</v>
      </c>
      <c r="AS74" s="95">
        <f>AS73/BS!AS24</f>
        <v>0.49157054125998223</v>
      </c>
      <c r="AT74" s="95">
        <f>AT73/BS!AT24</f>
        <v>0.47971508206875191</v>
      </c>
      <c r="AU74" s="96">
        <f>AU73/BS!AU24</f>
        <v>0.31650048247024765</v>
      </c>
      <c r="AV74" s="95">
        <f>AV73/BS!AV24</f>
        <v>0.3297551157329755</v>
      </c>
      <c r="AW74" s="95">
        <f>AW73/BS!AW24</f>
        <v>0.28648974668275029</v>
      </c>
      <c r="AX74" s="95">
        <f>AX73/BS!AX24</f>
        <v>0.24861725663716813</v>
      </c>
      <c r="AY74" s="96">
        <f>AY73/BS!AY24</f>
        <v>0.26528154170430596</v>
      </c>
      <c r="AZ74" s="95">
        <f>AZ73/BS!AZ24</f>
        <v>0.27432555319793878</v>
      </c>
      <c r="BA74" s="95">
        <f>BA73/BS!BA24</f>
        <v>0.27596439169139464</v>
      </c>
      <c r="BB74" s="95">
        <f>BB73/BS!BB24</f>
        <v>0.27272727272727271</v>
      </c>
      <c r="BC74" s="96">
        <f>BC73/BS!BC24</f>
        <v>0.28276836158192092</v>
      </c>
      <c r="BD74" s="95">
        <f>BD73/BS!BD24</f>
        <v>0.28408184958809463</v>
      </c>
      <c r="BE74" s="95">
        <f>BE73/BS!BE24</f>
        <v>0.27927392752093994</v>
      </c>
      <c r="BF74" s="95">
        <f>BF73/BS!BF24</f>
        <v>0.27620833653567678</v>
      </c>
      <c r="BG74" s="96">
        <f>BG73/BS!BG24</f>
        <v>0.2779010353879463</v>
      </c>
      <c r="BH74" s="95">
        <f>BH73/BS!BH24</f>
        <v>0.27883975596651256</v>
      </c>
      <c r="BI74" s="95">
        <f>BI73/BS!BI24</f>
        <v>0.27670758808878798</v>
      </c>
      <c r="BJ74" s="95">
        <f>BJ73/BS!BJ24</f>
        <v>0.27285944590197014</v>
      </c>
      <c r="BK74" s="96">
        <f>BK73/BS!BK24</f>
        <v>0.27136117932225967</v>
      </c>
      <c r="BL74" s="19"/>
      <c r="BM74" s="95">
        <f>BM73/BS!BM24</f>
        <v>0.75298729558072486</v>
      </c>
      <c r="BN74" s="95">
        <f>BN73/BS!BN24</f>
        <v>0.55807408534266367</v>
      </c>
      <c r="BO74" s="95">
        <f>BO73/BS!BO24</f>
        <v>0.6821645021645022</v>
      </c>
      <c r="BP74" s="95">
        <f>BP73/BS!BP24</f>
        <v>0.93300312825860277</v>
      </c>
      <c r="BQ74" s="95">
        <f>BQ73/BS!BQ24</f>
        <v>0.82562238378497466</v>
      </c>
      <c r="BR74" s="95">
        <f>BR73/BS!BR24</f>
        <v>0.41881547139403708</v>
      </c>
      <c r="BS74" s="95">
        <f>BS73/BS!BS24</f>
        <v>0.44327815906338314</v>
      </c>
      <c r="BT74" s="95">
        <f>BT73/BS!BT24</f>
        <v>0.55449999999999999</v>
      </c>
      <c r="BU74" s="95">
        <f>BU73/BS!BU24</f>
        <v>0.39958496656675119</v>
      </c>
      <c r="BV74" s="95">
        <f>BV73/BS!BV24</f>
        <v>0.44597823201486592</v>
      </c>
      <c r="BW74" s="95">
        <f>BW73/BS!BW24</f>
        <v>0.31650048247024765</v>
      </c>
      <c r="BX74" s="95">
        <f>BX73/BS!BX24</f>
        <v>0.26528154170430596</v>
      </c>
      <c r="BY74" s="95">
        <f>BY73/BS!BY24</f>
        <v>0.28276836158192092</v>
      </c>
      <c r="BZ74" s="95">
        <f>BZ73/BS!BZ24</f>
        <v>0.2779010353879463</v>
      </c>
      <c r="CA74" s="95">
        <f>CA73/BS!CA24</f>
        <v>0.27136117932225967</v>
      </c>
      <c r="CB74" s="1513">
        <f>CB73/BS!CB24</f>
        <v>0.26802944547050189</v>
      </c>
      <c r="CC74" s="20"/>
      <c r="CD74" s="13"/>
    </row>
    <row r="75" spans="1:82" ht="14.25" customHeight="1">
      <c r="A75" s="7"/>
      <c r="B75" s="14" t="s">
        <v>150</v>
      </c>
      <c r="C75" s="15"/>
      <c r="D75" s="248">
        <v>6965.66</v>
      </c>
      <c r="E75" s="249">
        <v>7047.0680000000002</v>
      </c>
      <c r="F75" s="249">
        <v>7162.3720000000003</v>
      </c>
      <c r="G75" s="350">
        <v>2786.605</v>
      </c>
      <c r="H75" s="248">
        <v>2903.6170000000002</v>
      </c>
      <c r="I75" s="249">
        <v>3034.5239999999999</v>
      </c>
      <c r="J75" s="249">
        <v>3195.9679999999998</v>
      </c>
      <c r="K75" s="350">
        <v>3350</v>
      </c>
      <c r="L75" s="248">
        <v>3533</v>
      </c>
      <c r="M75" s="249">
        <v>3599</v>
      </c>
      <c r="N75" s="249">
        <v>3428</v>
      </c>
      <c r="O75" s="350">
        <v>3159</v>
      </c>
      <c r="P75" s="248">
        <v>2794</v>
      </c>
      <c r="Q75" s="249">
        <v>2539</v>
      </c>
      <c r="R75" s="249">
        <v>2715</v>
      </c>
      <c r="S75" s="350">
        <v>2862</v>
      </c>
      <c r="T75" s="248">
        <v>3070</v>
      </c>
      <c r="U75" s="249">
        <v>3268</v>
      </c>
      <c r="V75" s="249">
        <v>3484</v>
      </c>
      <c r="W75" s="350">
        <v>3686</v>
      </c>
      <c r="X75" s="248">
        <v>1279</v>
      </c>
      <c r="Y75" s="249">
        <v>1333</v>
      </c>
      <c r="Z75" s="249">
        <v>1357</v>
      </c>
      <c r="AA75" s="350">
        <v>1379</v>
      </c>
      <c r="AB75" s="245">
        <v>1403</v>
      </c>
      <c r="AC75" s="245">
        <v>1406</v>
      </c>
      <c r="AD75" s="245">
        <v>1425</v>
      </c>
      <c r="AE75" s="350">
        <v>1470</v>
      </c>
      <c r="AF75" s="245">
        <v>1484</v>
      </c>
      <c r="AG75" s="245">
        <v>1514</v>
      </c>
      <c r="AH75" s="245">
        <v>1547</v>
      </c>
      <c r="AI75" s="350">
        <v>1560</v>
      </c>
      <c r="AJ75" s="245">
        <v>1506</v>
      </c>
      <c r="AK75" s="245">
        <v>1470</v>
      </c>
      <c r="AL75" s="245">
        <v>1408</v>
      </c>
      <c r="AM75" s="350">
        <v>1387</v>
      </c>
      <c r="AN75" s="245">
        <v>1388</v>
      </c>
      <c r="AO75" s="245">
        <v>1400</v>
      </c>
      <c r="AP75" s="245">
        <v>1412</v>
      </c>
      <c r="AQ75" s="350">
        <v>1378</v>
      </c>
      <c r="AR75" s="245">
        <v>1381</v>
      </c>
      <c r="AS75" s="245">
        <v>1373</v>
      </c>
      <c r="AT75" s="245">
        <v>1355</v>
      </c>
      <c r="AU75" s="350">
        <v>796</v>
      </c>
      <c r="AV75" s="245">
        <v>807</v>
      </c>
      <c r="AW75" s="245">
        <v>781</v>
      </c>
      <c r="AX75" s="245">
        <v>738</v>
      </c>
      <c r="AY75" s="350">
        <v>717</v>
      </c>
      <c r="AZ75" s="245">
        <v>725</v>
      </c>
      <c r="BA75" s="245">
        <v>730</v>
      </c>
      <c r="BB75" s="245">
        <v>742</v>
      </c>
      <c r="BC75" s="350">
        <v>740</v>
      </c>
      <c r="BD75" s="239">
        <f t="shared" ref="BD75" si="433">BC75+BD84</f>
        <v>779</v>
      </c>
      <c r="BE75" s="239">
        <f t="shared" ref="BE75" si="434">BD75+BE84</f>
        <v>818</v>
      </c>
      <c r="BF75" s="239">
        <f t="shared" ref="BF75" si="435">BE75+BF84</f>
        <v>857</v>
      </c>
      <c r="BG75" s="240">
        <f t="shared" ref="BG75" si="436">BF75+BG84</f>
        <v>896</v>
      </c>
      <c r="BH75" s="239">
        <f t="shared" ref="BH75" si="437">BG75+BH84</f>
        <v>935</v>
      </c>
      <c r="BI75" s="239">
        <f t="shared" ref="BI75" si="438">BH75+BI84</f>
        <v>974</v>
      </c>
      <c r="BJ75" s="239">
        <f t="shared" ref="BJ75" si="439">BI75+BJ84</f>
        <v>1013</v>
      </c>
      <c r="BK75" s="240">
        <f t="shared" ref="BK75" si="440">BJ75+BK84</f>
        <v>1052</v>
      </c>
      <c r="BL75" s="19"/>
      <c r="BM75" s="257">
        <f>G75</f>
        <v>2786.605</v>
      </c>
      <c r="BN75" s="257">
        <f>K75</f>
        <v>3350</v>
      </c>
      <c r="BO75" s="257">
        <f>O75</f>
        <v>3159</v>
      </c>
      <c r="BP75" s="257">
        <f>S75</f>
        <v>2862</v>
      </c>
      <c r="BQ75" s="257">
        <f>W75</f>
        <v>3686</v>
      </c>
      <c r="BR75" s="257">
        <f>AA75</f>
        <v>1379</v>
      </c>
      <c r="BS75" s="257">
        <f>AE75</f>
        <v>1470</v>
      </c>
      <c r="BT75" s="257">
        <f>AI75</f>
        <v>1560</v>
      </c>
      <c r="BU75" s="257">
        <f>AM75</f>
        <v>1387</v>
      </c>
      <c r="BV75" s="257">
        <f>AQ75</f>
        <v>1378</v>
      </c>
      <c r="BW75" s="257">
        <f>AU75</f>
        <v>796</v>
      </c>
      <c r="BX75" s="257">
        <f>AY75</f>
        <v>717</v>
      </c>
      <c r="BY75" s="257">
        <f>BC75</f>
        <v>740</v>
      </c>
      <c r="BZ75" s="257">
        <f>BG75</f>
        <v>896</v>
      </c>
      <c r="CA75" s="257">
        <f>BK75</f>
        <v>1052</v>
      </c>
      <c r="CB75" s="1677">
        <f>CA75+CB84</f>
        <v>1076.8800000000001</v>
      </c>
      <c r="CC75" s="20"/>
      <c r="CD75" s="13"/>
    </row>
    <row r="76" spans="1:82" ht="14.25" customHeight="1">
      <c r="A76" s="7"/>
      <c r="B76" s="260" t="s">
        <v>151</v>
      </c>
      <c r="C76" s="261"/>
      <c r="D76" s="264">
        <f t="shared" ref="D76:AV76" si="441">D73-D75</f>
        <v>4316.5480000000007</v>
      </c>
      <c r="E76" s="262">
        <f t="shared" si="441"/>
        <v>4145.4829999999993</v>
      </c>
      <c r="F76" s="262">
        <f t="shared" si="441"/>
        <v>4321.3839999999991</v>
      </c>
      <c r="G76" s="263">
        <f t="shared" si="441"/>
        <v>2700.9999999999995</v>
      </c>
      <c r="H76" s="264">
        <f t="shared" si="441"/>
        <v>2874.8869999999997</v>
      </c>
      <c r="I76" s="262">
        <f t="shared" si="441"/>
        <v>3163.181</v>
      </c>
      <c r="J76" s="262">
        <f t="shared" si="441"/>
        <v>3403.8789999999999</v>
      </c>
      <c r="K76" s="263">
        <f t="shared" si="441"/>
        <v>3987</v>
      </c>
      <c r="L76" s="264">
        <f t="shared" si="441"/>
        <v>4405</v>
      </c>
      <c r="M76" s="262">
        <f t="shared" si="441"/>
        <v>4575</v>
      </c>
      <c r="N76" s="262">
        <f t="shared" si="441"/>
        <v>4725</v>
      </c>
      <c r="O76" s="263">
        <f t="shared" si="441"/>
        <v>4720</v>
      </c>
      <c r="P76" s="264">
        <f t="shared" si="441"/>
        <v>4765</v>
      </c>
      <c r="Q76" s="262">
        <f t="shared" si="441"/>
        <v>4599</v>
      </c>
      <c r="R76" s="262">
        <f t="shared" si="441"/>
        <v>4440</v>
      </c>
      <c r="S76" s="263">
        <f t="shared" si="441"/>
        <v>4296</v>
      </c>
      <c r="T76" s="264">
        <f t="shared" si="441"/>
        <v>4137</v>
      </c>
      <c r="U76" s="262">
        <f t="shared" si="441"/>
        <v>4042</v>
      </c>
      <c r="V76" s="262">
        <f t="shared" si="441"/>
        <v>3895</v>
      </c>
      <c r="W76" s="263">
        <f t="shared" si="441"/>
        <v>3809</v>
      </c>
      <c r="X76" s="264">
        <f t="shared" si="441"/>
        <v>789</v>
      </c>
      <c r="Y76" s="262">
        <f t="shared" si="441"/>
        <v>755</v>
      </c>
      <c r="Z76" s="262">
        <f t="shared" si="441"/>
        <v>723</v>
      </c>
      <c r="AA76" s="263">
        <f t="shared" si="441"/>
        <v>700</v>
      </c>
      <c r="AB76" s="262">
        <f t="shared" si="441"/>
        <v>676</v>
      </c>
      <c r="AC76" s="262">
        <f t="shared" si="441"/>
        <v>686</v>
      </c>
      <c r="AD76" s="262">
        <f t="shared" si="441"/>
        <v>697</v>
      </c>
      <c r="AE76" s="263">
        <f t="shared" si="441"/>
        <v>726</v>
      </c>
      <c r="AF76" s="262">
        <f t="shared" si="441"/>
        <v>715</v>
      </c>
      <c r="AG76" s="262">
        <f t="shared" si="441"/>
        <v>707</v>
      </c>
      <c r="AH76" s="262">
        <f t="shared" si="441"/>
        <v>685</v>
      </c>
      <c r="AI76" s="263">
        <f t="shared" si="441"/>
        <v>658</v>
      </c>
      <c r="AJ76" s="262">
        <f t="shared" si="441"/>
        <v>411</v>
      </c>
      <c r="AK76" s="262">
        <f t="shared" si="441"/>
        <v>402</v>
      </c>
      <c r="AL76" s="262">
        <f t="shared" si="441"/>
        <v>358</v>
      </c>
      <c r="AM76" s="263">
        <f t="shared" si="441"/>
        <v>346</v>
      </c>
      <c r="AN76" s="262">
        <f t="shared" si="441"/>
        <v>337</v>
      </c>
      <c r="AO76" s="262">
        <f t="shared" si="441"/>
        <v>329</v>
      </c>
      <c r="AP76" s="262">
        <f t="shared" si="441"/>
        <v>328</v>
      </c>
      <c r="AQ76" s="263">
        <f t="shared" si="441"/>
        <v>302</v>
      </c>
      <c r="AR76" s="262">
        <f t="shared" si="441"/>
        <v>297</v>
      </c>
      <c r="AS76" s="262">
        <f t="shared" si="441"/>
        <v>289</v>
      </c>
      <c r="AT76" s="262">
        <f t="shared" si="441"/>
        <v>194</v>
      </c>
      <c r="AU76" s="263">
        <f t="shared" si="441"/>
        <v>188</v>
      </c>
      <c r="AV76" s="262">
        <f t="shared" si="441"/>
        <v>176</v>
      </c>
      <c r="AW76" s="262">
        <f t="shared" ref="AW76:AY76" si="442">AW73-AW75</f>
        <v>169</v>
      </c>
      <c r="AX76" s="262">
        <f t="shared" si="442"/>
        <v>161</v>
      </c>
      <c r="AY76" s="263">
        <f t="shared" si="442"/>
        <v>164</v>
      </c>
      <c r="AZ76" s="262">
        <f t="shared" ref="AZ76:BC76" si="443">AZ73-AZ75</f>
        <v>180</v>
      </c>
      <c r="BA76" s="262">
        <f t="shared" si="443"/>
        <v>200</v>
      </c>
      <c r="BB76" s="262">
        <f t="shared" si="443"/>
        <v>236</v>
      </c>
      <c r="BC76" s="263">
        <f t="shared" si="443"/>
        <v>261</v>
      </c>
      <c r="BD76" s="262">
        <f t="shared" ref="BD76:BG76" si="444">BD73-BD75</f>
        <v>290</v>
      </c>
      <c r="BE76" s="262">
        <f t="shared" si="444"/>
        <v>276</v>
      </c>
      <c r="BF76" s="262">
        <f t="shared" si="444"/>
        <v>262</v>
      </c>
      <c r="BG76" s="263">
        <f t="shared" si="444"/>
        <v>248</v>
      </c>
      <c r="BH76" s="262">
        <f t="shared" ref="BH76:BK76" si="445">BH73-BH75</f>
        <v>234</v>
      </c>
      <c r="BI76" s="262">
        <f t="shared" si="445"/>
        <v>220</v>
      </c>
      <c r="BJ76" s="262">
        <f t="shared" si="445"/>
        <v>206</v>
      </c>
      <c r="BK76" s="263">
        <f t="shared" si="445"/>
        <v>192</v>
      </c>
      <c r="BL76" s="19"/>
      <c r="BM76" s="262">
        <f t="shared" ref="BM76:BY76" si="446">BM73-BM75</f>
        <v>2700.9999999999995</v>
      </c>
      <c r="BN76" s="262">
        <f t="shared" si="446"/>
        <v>3987</v>
      </c>
      <c r="BO76" s="262">
        <f t="shared" si="446"/>
        <v>4720</v>
      </c>
      <c r="BP76" s="262">
        <f t="shared" si="446"/>
        <v>4296</v>
      </c>
      <c r="BQ76" s="262">
        <f t="shared" si="446"/>
        <v>3809</v>
      </c>
      <c r="BR76" s="262">
        <f t="shared" si="446"/>
        <v>700</v>
      </c>
      <c r="BS76" s="262">
        <f t="shared" si="446"/>
        <v>726</v>
      </c>
      <c r="BT76" s="262">
        <f t="shared" si="446"/>
        <v>658</v>
      </c>
      <c r="BU76" s="262">
        <f t="shared" si="446"/>
        <v>346</v>
      </c>
      <c r="BV76" s="262">
        <f t="shared" si="446"/>
        <v>302</v>
      </c>
      <c r="BW76" s="262">
        <f t="shared" si="446"/>
        <v>188</v>
      </c>
      <c r="BX76" s="262">
        <f t="shared" si="446"/>
        <v>164</v>
      </c>
      <c r="BY76" s="262">
        <f t="shared" si="446"/>
        <v>261</v>
      </c>
      <c r="BZ76" s="262">
        <f t="shared" ref="BZ76:CB76" si="447">BZ73-BZ75</f>
        <v>248</v>
      </c>
      <c r="CA76" s="262">
        <f t="shared" si="447"/>
        <v>192</v>
      </c>
      <c r="CB76" s="263">
        <f t="shared" si="447"/>
        <v>266.17953442136582</v>
      </c>
      <c r="CC76" s="20"/>
      <c r="CD76" s="13"/>
    </row>
    <row r="77" spans="1:82" ht="14.25" customHeight="1">
      <c r="A77" s="7"/>
      <c r="B77" s="13"/>
      <c r="C77" s="13"/>
      <c r="D77" s="241"/>
      <c r="E77" s="241"/>
      <c r="F77" s="241"/>
      <c r="G77" s="241"/>
      <c r="H77" s="241"/>
      <c r="I77" s="241"/>
      <c r="J77" s="241"/>
      <c r="K77" s="241"/>
      <c r="L77" s="241"/>
      <c r="M77" s="241"/>
      <c r="N77" s="241"/>
      <c r="O77" s="241"/>
      <c r="P77" s="241"/>
      <c r="Q77" s="241"/>
      <c r="R77" s="241"/>
      <c r="S77" s="241"/>
      <c r="T77" s="241"/>
      <c r="U77" s="241"/>
      <c r="V77" s="241"/>
      <c r="W77" s="241"/>
      <c r="X77" s="241"/>
      <c r="Y77" s="241"/>
      <c r="Z77" s="241"/>
      <c r="AA77" s="241"/>
      <c r="AB77" s="241"/>
      <c r="AC77" s="241"/>
      <c r="AD77" s="241"/>
      <c r="AE77" s="241"/>
      <c r="AF77" s="241"/>
      <c r="AG77" s="241"/>
      <c r="AH77" s="241"/>
      <c r="AI77" s="241"/>
      <c r="AJ77" s="241"/>
      <c r="AK77" s="241"/>
      <c r="AL77" s="241"/>
      <c r="AM77" s="241"/>
      <c r="AN77" s="241"/>
      <c r="AO77" s="241"/>
      <c r="AP77" s="241"/>
      <c r="AQ77" s="241"/>
      <c r="AR77" s="241"/>
      <c r="AS77" s="241"/>
      <c r="AT77" s="241"/>
      <c r="AU77" s="241"/>
      <c r="AV77" s="241"/>
      <c r="AW77" s="241"/>
      <c r="AX77" s="241"/>
      <c r="AY77" s="241"/>
      <c r="AZ77" s="241"/>
      <c r="BA77" s="241"/>
      <c r="BB77" s="241"/>
      <c r="BC77" s="241"/>
      <c r="BD77" s="241"/>
      <c r="BE77" s="241"/>
      <c r="BF77" s="241"/>
      <c r="BG77" s="241"/>
      <c r="BH77" s="241"/>
      <c r="BI77" s="241"/>
      <c r="BJ77" s="241"/>
      <c r="BK77" s="241"/>
      <c r="BL77" s="13"/>
      <c r="BM77" s="241"/>
      <c r="BN77" s="241"/>
      <c r="BO77" s="241"/>
      <c r="BP77" s="241"/>
      <c r="BQ77" s="241"/>
      <c r="BR77" s="241"/>
      <c r="BS77" s="241"/>
      <c r="BT77" s="241"/>
      <c r="BU77" s="241"/>
      <c r="BV77" s="241"/>
      <c r="BW77" s="241"/>
      <c r="BX77" s="241"/>
      <c r="BY77" s="241"/>
      <c r="BZ77" s="241"/>
      <c r="CA77" s="241"/>
      <c r="CB77" s="2161"/>
      <c r="CC77" s="7"/>
      <c r="CD77" s="7"/>
    </row>
    <row r="78" spans="1:82" ht="14.25" customHeight="1">
      <c r="A78" s="7"/>
      <c r="B78" s="72" t="s">
        <v>118</v>
      </c>
      <c r="C78" s="229"/>
      <c r="D78" s="177">
        <f>BS!D17</f>
        <v>4316.5479999999998</v>
      </c>
      <c r="E78" s="175">
        <f>BS!E17</f>
        <v>4145.4830000000002</v>
      </c>
      <c r="F78" s="175">
        <f>BS!F17</f>
        <v>4321.384</v>
      </c>
      <c r="G78" s="178">
        <f>BS!G17</f>
        <v>2701</v>
      </c>
      <c r="H78" s="177">
        <f>BS!H17</f>
        <v>2874.8870000000002</v>
      </c>
      <c r="I78" s="175">
        <f>BS!I17</f>
        <v>3163.181</v>
      </c>
      <c r="J78" s="175">
        <f>BS!J17</f>
        <v>3403.8789999999999</v>
      </c>
      <c r="K78" s="178">
        <f>BS!K17</f>
        <v>3987</v>
      </c>
      <c r="L78" s="177">
        <f>BS!L17</f>
        <v>4405</v>
      </c>
      <c r="M78" s="175">
        <f>BS!M17</f>
        <v>4575</v>
      </c>
      <c r="N78" s="175">
        <f>BS!N17</f>
        <v>4725</v>
      </c>
      <c r="O78" s="178">
        <f>BS!O17</f>
        <v>4720</v>
      </c>
      <c r="P78" s="177">
        <f>BS!P17</f>
        <v>4765</v>
      </c>
      <c r="Q78" s="175">
        <f>BS!Q17</f>
        <v>4599</v>
      </c>
      <c r="R78" s="175">
        <f>BS!R17</f>
        <v>4440</v>
      </c>
      <c r="S78" s="178">
        <f>BS!S17</f>
        <v>4296</v>
      </c>
      <c r="T78" s="177">
        <f>BS!T17</f>
        <v>4137</v>
      </c>
      <c r="U78" s="175">
        <f>BS!U17</f>
        <v>4042</v>
      </c>
      <c r="V78" s="175">
        <f>BS!V17</f>
        <v>3895</v>
      </c>
      <c r="W78" s="178">
        <f>BS!W17</f>
        <v>3809</v>
      </c>
      <c r="X78" s="177">
        <f>BS!X17</f>
        <v>789</v>
      </c>
      <c r="Y78" s="175">
        <f>BS!Y17</f>
        <v>755</v>
      </c>
      <c r="Z78" s="175">
        <f>BS!Z17</f>
        <v>723</v>
      </c>
      <c r="AA78" s="178">
        <f>BS!AA17</f>
        <v>700</v>
      </c>
      <c r="AB78" s="175">
        <f>BS!AB17</f>
        <v>676</v>
      </c>
      <c r="AC78" s="175">
        <f>BS!AC17</f>
        <v>686</v>
      </c>
      <c r="AD78" s="175">
        <f>BS!AD17</f>
        <v>697</v>
      </c>
      <c r="AE78" s="178">
        <f>BS!AE17</f>
        <v>726</v>
      </c>
      <c r="AF78" s="175">
        <f>BS!AF17</f>
        <v>715</v>
      </c>
      <c r="AG78" s="175">
        <f>BS!AG17</f>
        <v>707</v>
      </c>
      <c r="AH78" s="175">
        <f>BS!AH17</f>
        <v>685</v>
      </c>
      <c r="AI78" s="178">
        <f>BS!AI17</f>
        <v>658</v>
      </c>
      <c r="AJ78" s="175">
        <f>BS!AJ17</f>
        <v>411</v>
      </c>
      <c r="AK78" s="175">
        <f>BS!AK17</f>
        <v>402</v>
      </c>
      <c r="AL78" s="175">
        <f>BS!AL17</f>
        <v>358</v>
      </c>
      <c r="AM78" s="178">
        <f>BS!AM17</f>
        <v>346</v>
      </c>
      <c r="AN78" s="175">
        <f>BS!AN17</f>
        <v>337</v>
      </c>
      <c r="AO78" s="175">
        <f>BS!AO17</f>
        <v>329</v>
      </c>
      <c r="AP78" s="175">
        <f>BS!AP17</f>
        <v>328</v>
      </c>
      <c r="AQ78" s="178">
        <f>BS!AQ17</f>
        <v>302</v>
      </c>
      <c r="AR78" s="175">
        <f>BS!AR17</f>
        <v>297</v>
      </c>
      <c r="AS78" s="175">
        <f>BS!AS17</f>
        <v>289</v>
      </c>
      <c r="AT78" s="175">
        <f>BS!AT17</f>
        <v>194</v>
      </c>
      <c r="AU78" s="178">
        <f>BS!AU17</f>
        <v>188</v>
      </c>
      <c r="AV78" s="175">
        <f>BS!AV17</f>
        <v>176</v>
      </c>
      <c r="AW78" s="175">
        <f>BS!AW17</f>
        <v>169</v>
      </c>
      <c r="AX78" s="175">
        <f>BS!AX17</f>
        <v>161</v>
      </c>
      <c r="AY78" s="178">
        <f>BS!AY17</f>
        <v>164</v>
      </c>
      <c r="AZ78" s="175">
        <f>BS!AZ17</f>
        <v>180</v>
      </c>
      <c r="BA78" s="175">
        <f>BS!BA17</f>
        <v>200</v>
      </c>
      <c r="BB78" s="175">
        <f>BS!BB17</f>
        <v>236</v>
      </c>
      <c r="BC78" s="178">
        <f>BS!BC17</f>
        <v>261</v>
      </c>
      <c r="BD78" s="175">
        <f>BS!BD17</f>
        <v>290</v>
      </c>
      <c r="BE78" s="175">
        <f>BS!BE17</f>
        <v>276</v>
      </c>
      <c r="BF78" s="175">
        <f>BS!BF17</f>
        <v>262</v>
      </c>
      <c r="BG78" s="176">
        <f>BS!BG17</f>
        <v>248</v>
      </c>
      <c r="BH78" s="175">
        <f>BS!BH17</f>
        <v>234</v>
      </c>
      <c r="BI78" s="175">
        <f>BS!BI17</f>
        <v>220</v>
      </c>
      <c r="BJ78" s="175">
        <f>BS!BJ17</f>
        <v>206</v>
      </c>
      <c r="BK78" s="176">
        <f>BS!BK17</f>
        <v>192</v>
      </c>
      <c r="BL78" s="179"/>
      <c r="BM78" s="175">
        <f>BS!BM17</f>
        <v>2701</v>
      </c>
      <c r="BN78" s="175">
        <f>BS!BN17</f>
        <v>3987</v>
      </c>
      <c r="BO78" s="175">
        <f>BS!BO17</f>
        <v>4720</v>
      </c>
      <c r="BP78" s="175">
        <f>BS!BP17</f>
        <v>4296</v>
      </c>
      <c r="BQ78" s="175">
        <f>BS!BQ17</f>
        <v>3809</v>
      </c>
      <c r="BR78" s="175">
        <f>BS!BR17</f>
        <v>700</v>
      </c>
      <c r="BS78" s="175">
        <f>BS!BS17</f>
        <v>726</v>
      </c>
      <c r="BT78" s="175">
        <f>BS!BT17</f>
        <v>658</v>
      </c>
      <c r="BU78" s="175">
        <f>BS!BU17</f>
        <v>346</v>
      </c>
      <c r="BV78" s="175">
        <f>BS!BV17</f>
        <v>302</v>
      </c>
      <c r="BW78" s="175">
        <f>BS!BW17</f>
        <v>188</v>
      </c>
      <c r="BX78" s="175">
        <f>BS!BX17</f>
        <v>164</v>
      </c>
      <c r="BY78" s="175">
        <f>BS!BY17</f>
        <v>261</v>
      </c>
      <c r="BZ78" s="175">
        <f>BS!BZ17</f>
        <v>248</v>
      </c>
      <c r="CA78" s="175">
        <f>BS!CA17</f>
        <v>192</v>
      </c>
      <c r="CB78" s="175">
        <f>BS!CB17</f>
        <v>266.17953442136582</v>
      </c>
      <c r="CC78" s="20"/>
      <c r="CD78" s="13"/>
    </row>
    <row r="79" spans="1:82" ht="14.25" customHeight="1">
      <c r="A79" s="7"/>
      <c r="B79" s="145" t="s">
        <v>105</v>
      </c>
      <c r="C79" s="146"/>
      <c r="D79" s="149">
        <f t="shared" ref="D79:Z79" si="448">IF(ROUND(D78,4)=ROUND(D76,4),0,(D78-D76))</f>
        <v>0</v>
      </c>
      <c r="E79" s="147">
        <f t="shared" si="448"/>
        <v>0</v>
      </c>
      <c r="F79" s="147">
        <f t="shared" si="448"/>
        <v>0</v>
      </c>
      <c r="G79" s="148">
        <f t="shared" si="448"/>
        <v>0</v>
      </c>
      <c r="H79" s="149">
        <f t="shared" si="448"/>
        <v>0</v>
      </c>
      <c r="I79" s="147">
        <f t="shared" si="448"/>
        <v>0</v>
      </c>
      <c r="J79" s="147">
        <f t="shared" si="448"/>
        <v>0</v>
      </c>
      <c r="K79" s="148">
        <f t="shared" si="448"/>
        <v>0</v>
      </c>
      <c r="L79" s="149">
        <f t="shared" si="448"/>
        <v>0</v>
      </c>
      <c r="M79" s="147">
        <f t="shared" si="448"/>
        <v>0</v>
      </c>
      <c r="N79" s="147">
        <f t="shared" si="448"/>
        <v>0</v>
      </c>
      <c r="O79" s="148">
        <f t="shared" si="448"/>
        <v>0</v>
      </c>
      <c r="P79" s="149">
        <f t="shared" si="448"/>
        <v>0</v>
      </c>
      <c r="Q79" s="147">
        <f t="shared" si="448"/>
        <v>0</v>
      </c>
      <c r="R79" s="147">
        <f t="shared" si="448"/>
        <v>0</v>
      </c>
      <c r="S79" s="148">
        <f t="shared" si="448"/>
        <v>0</v>
      </c>
      <c r="T79" s="149">
        <f t="shared" si="448"/>
        <v>0</v>
      </c>
      <c r="U79" s="147">
        <f t="shared" si="448"/>
        <v>0</v>
      </c>
      <c r="V79" s="147">
        <f t="shared" si="448"/>
        <v>0</v>
      </c>
      <c r="W79" s="148">
        <f t="shared" si="448"/>
        <v>0</v>
      </c>
      <c r="X79" s="149">
        <f t="shared" si="448"/>
        <v>0</v>
      </c>
      <c r="Y79" s="147">
        <f t="shared" si="448"/>
        <v>0</v>
      </c>
      <c r="Z79" s="147">
        <f t="shared" si="448"/>
        <v>0</v>
      </c>
      <c r="AA79" s="148">
        <f t="shared" ref="AA79:AM79" si="449">IF(ROUND(AA78,4)=ROUND(AA76,4),0,(AA78-AA76))</f>
        <v>0</v>
      </c>
      <c r="AB79" s="149">
        <f t="shared" si="449"/>
        <v>0</v>
      </c>
      <c r="AC79" s="147">
        <f t="shared" si="449"/>
        <v>0</v>
      </c>
      <c r="AD79" s="147">
        <f t="shared" si="449"/>
        <v>0</v>
      </c>
      <c r="AE79" s="148">
        <f t="shared" si="449"/>
        <v>0</v>
      </c>
      <c r="AF79" s="149">
        <f t="shared" si="449"/>
        <v>0</v>
      </c>
      <c r="AG79" s="147">
        <f t="shared" si="449"/>
        <v>0</v>
      </c>
      <c r="AH79" s="147">
        <f t="shared" si="449"/>
        <v>0</v>
      </c>
      <c r="AI79" s="148">
        <f t="shared" si="449"/>
        <v>0</v>
      </c>
      <c r="AJ79" s="149">
        <f t="shared" si="449"/>
        <v>0</v>
      </c>
      <c r="AK79" s="147">
        <f t="shared" si="449"/>
        <v>0</v>
      </c>
      <c r="AL79" s="147">
        <f t="shared" si="449"/>
        <v>0</v>
      </c>
      <c r="AM79" s="148">
        <f t="shared" si="449"/>
        <v>0</v>
      </c>
      <c r="AN79" s="149">
        <f t="shared" ref="AN79:AU79" si="450">IF(ROUND(AN78,4)=ROUND(AN76,4),0,(AN78-AN76))</f>
        <v>0</v>
      </c>
      <c r="AO79" s="147">
        <f t="shared" si="450"/>
        <v>0</v>
      </c>
      <c r="AP79" s="147">
        <f t="shared" si="450"/>
        <v>0</v>
      </c>
      <c r="AQ79" s="148">
        <f t="shared" si="450"/>
        <v>0</v>
      </c>
      <c r="AR79" s="149">
        <f t="shared" si="450"/>
        <v>0</v>
      </c>
      <c r="AS79" s="147">
        <f t="shared" si="450"/>
        <v>0</v>
      </c>
      <c r="AT79" s="147">
        <f t="shared" si="450"/>
        <v>0</v>
      </c>
      <c r="AU79" s="148">
        <f t="shared" si="450"/>
        <v>0</v>
      </c>
      <c r="AV79" s="149">
        <f t="shared" ref="AV79:AY79" si="451">IF(ROUND(AV78,4)=ROUND(AV76,4),0,(AV78-AV76))</f>
        <v>0</v>
      </c>
      <c r="AW79" s="147">
        <f t="shared" si="451"/>
        <v>0</v>
      </c>
      <c r="AX79" s="147">
        <f t="shared" si="451"/>
        <v>0</v>
      </c>
      <c r="AY79" s="148">
        <f t="shared" si="451"/>
        <v>0</v>
      </c>
      <c r="AZ79" s="147">
        <f t="shared" ref="AZ79:BC79" si="452">IF(ROUND(AZ78,4)=ROUND(AZ76,4),0,(AZ78-AZ76))</f>
        <v>0</v>
      </c>
      <c r="BA79" s="147">
        <f t="shared" si="452"/>
        <v>0</v>
      </c>
      <c r="BB79" s="147">
        <f t="shared" si="452"/>
        <v>0</v>
      </c>
      <c r="BC79" s="148">
        <f t="shared" si="452"/>
        <v>0</v>
      </c>
      <c r="BD79" s="147">
        <f t="shared" ref="BD79:BG79" si="453">IF(ROUND(BD78,4)=ROUND(BD76,4),0,(BD78-BD76))</f>
        <v>0</v>
      </c>
      <c r="BE79" s="147">
        <f t="shared" si="453"/>
        <v>0</v>
      </c>
      <c r="BF79" s="147">
        <f t="shared" si="453"/>
        <v>0</v>
      </c>
      <c r="BG79" s="148">
        <f t="shared" si="453"/>
        <v>0</v>
      </c>
      <c r="BH79" s="147">
        <f t="shared" ref="BH79:BK79" si="454">IF(ROUND(BH78,4)=ROUND(BH76,4),0,(BH78-BH76))</f>
        <v>0</v>
      </c>
      <c r="BI79" s="147">
        <f t="shared" si="454"/>
        <v>0</v>
      </c>
      <c r="BJ79" s="147">
        <f t="shared" si="454"/>
        <v>0</v>
      </c>
      <c r="BK79" s="148">
        <f t="shared" si="454"/>
        <v>0</v>
      </c>
      <c r="BL79" s="179"/>
      <c r="BM79" s="147">
        <f t="shared" ref="BM79:BS79" si="455">IF(ROUND(BM78,4)=ROUND(BM76,4),0,(BM78-BM76))</f>
        <v>0</v>
      </c>
      <c r="BN79" s="147">
        <f t="shared" si="455"/>
        <v>0</v>
      </c>
      <c r="BO79" s="147">
        <f t="shared" si="455"/>
        <v>0</v>
      </c>
      <c r="BP79" s="147">
        <f t="shared" si="455"/>
        <v>0</v>
      </c>
      <c r="BQ79" s="147">
        <f t="shared" si="455"/>
        <v>0</v>
      </c>
      <c r="BR79" s="147">
        <f t="shared" si="455"/>
        <v>0</v>
      </c>
      <c r="BS79" s="147">
        <f t="shared" si="455"/>
        <v>0</v>
      </c>
      <c r="BT79" s="147">
        <f t="shared" ref="BT79:BY79" si="456">IF(ROUND(BT78,4)=ROUND(BT76,4),0,(BT78-BT76))</f>
        <v>0</v>
      </c>
      <c r="BU79" s="147">
        <f t="shared" si="456"/>
        <v>0</v>
      </c>
      <c r="BV79" s="147">
        <f>IF(ROUND(BV78,4)=ROUND(BV76,4),0,(BV78-BV76))</f>
        <v>0</v>
      </c>
      <c r="BW79" s="147">
        <f t="shared" si="456"/>
        <v>0</v>
      </c>
      <c r="BX79" s="147">
        <f t="shared" si="456"/>
        <v>0</v>
      </c>
      <c r="BY79" s="147">
        <f t="shared" si="456"/>
        <v>0</v>
      </c>
      <c r="BZ79" s="147">
        <f t="shared" ref="BZ79:CB79" si="457">IF(ROUND(BZ78,4)=ROUND(BZ76,4),0,(BZ78-BZ76))</f>
        <v>0</v>
      </c>
      <c r="CA79" s="147">
        <f t="shared" si="457"/>
        <v>0</v>
      </c>
      <c r="CB79" s="147">
        <f t="shared" si="457"/>
        <v>0</v>
      </c>
      <c r="CC79" s="20"/>
      <c r="CD79" s="13"/>
    </row>
    <row r="80" spans="1:82" ht="14.25" customHeight="1">
      <c r="A80" s="7"/>
      <c r="B80" s="13"/>
      <c r="C80" s="13"/>
      <c r="D80" s="266"/>
      <c r="E80" s="266"/>
      <c r="F80" s="266"/>
      <c r="G80" s="265"/>
      <c r="H80" s="266"/>
      <c r="I80" s="266"/>
      <c r="J80" s="266"/>
      <c r="K80" s="265"/>
      <c r="L80" s="266"/>
      <c r="M80" s="266"/>
      <c r="N80" s="266"/>
      <c r="O80" s="265"/>
      <c r="P80" s="266"/>
      <c r="Q80" s="266"/>
      <c r="R80" s="266"/>
      <c r="S80" s="265"/>
      <c r="T80" s="266"/>
      <c r="U80" s="266"/>
      <c r="V80" s="266"/>
      <c r="W80" s="265"/>
      <c r="X80" s="266"/>
      <c r="Y80" s="266"/>
      <c r="Z80" s="266"/>
      <c r="AA80" s="265"/>
      <c r="AB80" s="266"/>
      <c r="AC80" s="266"/>
      <c r="AD80" s="266"/>
      <c r="AE80" s="265"/>
      <c r="AF80" s="266"/>
      <c r="AG80" s="266"/>
      <c r="AH80" s="266"/>
      <c r="AI80" s="265"/>
      <c r="AJ80" s="266"/>
      <c r="AK80" s="266"/>
      <c r="AL80" s="266"/>
      <c r="AM80" s="265"/>
      <c r="AN80" s="266"/>
      <c r="AO80" s="266"/>
      <c r="AP80" s="266"/>
      <c r="AQ80" s="265"/>
      <c r="AR80" s="266"/>
      <c r="AS80" s="266"/>
      <c r="AT80" s="266"/>
      <c r="AU80" s="265"/>
      <c r="AV80" s="266"/>
      <c r="AW80" s="266"/>
      <c r="AX80" s="266"/>
      <c r="AY80" s="265"/>
      <c r="AZ80" s="266"/>
      <c r="BA80" s="266"/>
      <c r="BB80" s="266"/>
      <c r="BC80" s="266"/>
      <c r="BD80" s="266"/>
      <c r="BE80" s="266"/>
      <c r="BF80" s="266"/>
      <c r="BG80" s="266"/>
      <c r="BH80" s="266"/>
      <c r="BI80" s="266"/>
      <c r="BJ80" s="266"/>
      <c r="BK80" s="266"/>
      <c r="BL80" s="7"/>
      <c r="BM80" s="234"/>
      <c r="BN80" s="234"/>
      <c r="BO80" s="234"/>
      <c r="BP80" s="234"/>
      <c r="BQ80" s="234"/>
      <c r="BR80" s="234"/>
      <c r="BS80" s="234"/>
      <c r="BT80" s="234"/>
      <c r="BU80" s="234"/>
      <c r="BV80" s="234"/>
      <c r="BW80" s="234"/>
      <c r="BX80" s="234"/>
      <c r="BY80" s="698"/>
      <c r="BZ80" s="234"/>
      <c r="CA80" s="234"/>
      <c r="CB80" s="2158"/>
      <c r="CC80" s="7"/>
      <c r="CD80" s="7"/>
    </row>
    <row r="81" spans="1:82" ht="14.25" customHeight="1">
      <c r="A81" s="7"/>
      <c r="B81" s="13"/>
      <c r="C81" s="13"/>
      <c r="D81" s="266"/>
      <c r="E81" s="266"/>
      <c r="F81" s="266"/>
      <c r="G81" s="245"/>
      <c r="H81" s="266"/>
      <c r="I81" s="266"/>
      <c r="J81" s="266"/>
      <c r="K81" s="245"/>
      <c r="L81" s="266"/>
      <c r="M81" s="266"/>
      <c r="N81" s="266"/>
      <c r="O81" s="245"/>
      <c r="P81" s="266"/>
      <c r="Q81" s="266"/>
      <c r="R81" s="266"/>
      <c r="S81" s="245"/>
      <c r="T81" s="266"/>
      <c r="U81" s="266"/>
      <c r="V81" s="266"/>
      <c r="W81" s="245"/>
      <c r="X81" s="266"/>
      <c r="Y81" s="266"/>
      <c r="Z81" s="266"/>
      <c r="AA81" s="245"/>
      <c r="AB81" s="266"/>
      <c r="AC81" s="266"/>
      <c r="AD81" s="266"/>
      <c r="AE81" s="266"/>
      <c r="AF81" s="266"/>
      <c r="AG81" s="266"/>
      <c r="AH81" s="266"/>
      <c r="AI81" s="266"/>
      <c r="AJ81" s="266"/>
      <c r="AK81" s="266"/>
      <c r="AL81" s="266"/>
      <c r="AM81" s="266"/>
      <c r="AN81" s="266"/>
      <c r="AO81" s="266"/>
      <c r="AP81" s="266"/>
      <c r="AQ81" s="266"/>
      <c r="AR81" s="266"/>
      <c r="AS81" s="266"/>
      <c r="AT81" s="266"/>
      <c r="AU81" s="266"/>
      <c r="AV81" s="266"/>
      <c r="AW81" s="266"/>
      <c r="AX81" s="266"/>
      <c r="AY81" s="266"/>
      <c r="AZ81" s="266"/>
      <c r="BA81" s="266"/>
      <c r="BB81" s="266"/>
      <c r="BC81" s="266"/>
      <c r="BD81" s="266"/>
      <c r="BE81" s="266"/>
      <c r="BF81" s="266"/>
      <c r="BG81" s="266"/>
      <c r="BH81" s="266"/>
      <c r="BI81" s="266"/>
      <c r="BJ81" s="266"/>
      <c r="BK81" s="266"/>
      <c r="BL81" s="7"/>
      <c r="BM81" s="234"/>
      <c r="BN81" s="234"/>
      <c r="BO81" s="234"/>
      <c r="BP81" s="234"/>
      <c r="BQ81" s="234"/>
      <c r="BR81" s="234"/>
      <c r="BS81" s="234"/>
      <c r="BT81" s="234"/>
      <c r="BU81" s="234"/>
      <c r="BV81" s="234"/>
      <c r="BW81" s="234"/>
      <c r="BX81" s="234"/>
      <c r="BY81" s="234"/>
      <c r="BZ81" s="234"/>
      <c r="CA81" s="234"/>
      <c r="CB81" s="2158"/>
      <c r="CC81" s="7"/>
      <c r="CD81" s="7"/>
    </row>
    <row r="82" spans="1:82" ht="14.25" customHeight="1">
      <c r="A82" s="7"/>
      <c r="B82" s="13"/>
      <c r="C82" s="13"/>
      <c r="D82" s="234"/>
      <c r="E82" s="234"/>
      <c r="F82" s="234"/>
      <c r="G82" s="267"/>
      <c r="H82" s="234"/>
      <c r="I82" s="234"/>
      <c r="J82" s="234"/>
      <c r="K82" s="267"/>
      <c r="L82" s="234"/>
      <c r="M82" s="234"/>
      <c r="N82" s="234"/>
      <c r="O82" s="267"/>
      <c r="P82" s="234"/>
      <c r="Q82" s="234"/>
      <c r="R82" s="234"/>
      <c r="S82" s="267"/>
      <c r="T82" s="234"/>
      <c r="U82" s="234"/>
      <c r="V82" s="234"/>
      <c r="W82" s="267"/>
      <c r="X82" s="234"/>
      <c r="Y82" s="234"/>
      <c r="Z82" s="234"/>
      <c r="AA82" s="267"/>
      <c r="AB82" s="234"/>
      <c r="AC82" s="234"/>
      <c r="AD82" s="234"/>
      <c r="AE82" s="234"/>
      <c r="AF82" s="234"/>
      <c r="AG82" s="234"/>
      <c r="AH82" s="234"/>
      <c r="AI82" s="234"/>
      <c r="AJ82" s="307"/>
      <c r="AK82" s="234"/>
      <c r="AL82" s="234"/>
      <c r="AM82" s="234"/>
      <c r="AN82" s="307"/>
      <c r="AO82" s="234"/>
      <c r="AP82" s="234"/>
      <c r="AQ82" s="234"/>
      <c r="AR82" s="307"/>
      <c r="AS82" s="234"/>
      <c r="AT82" s="234"/>
      <c r="AU82" s="234"/>
      <c r="AV82" s="307"/>
      <c r="AW82" s="234"/>
      <c r="AX82" s="234"/>
      <c r="AY82" s="234"/>
      <c r="AZ82" s="234"/>
      <c r="BA82" s="234"/>
      <c r="BB82" s="234"/>
      <c r="BC82" s="234"/>
      <c r="BD82" s="234"/>
      <c r="BE82" s="234"/>
      <c r="BF82" s="234"/>
      <c r="BG82" s="234"/>
      <c r="BH82" s="234"/>
      <c r="BI82" s="234"/>
      <c r="BJ82" s="234"/>
      <c r="BK82" s="234"/>
      <c r="BL82" s="7"/>
      <c r="BM82" s="234"/>
      <c r="BN82" s="234"/>
      <c r="BO82" s="234"/>
      <c r="BP82" s="234"/>
      <c r="BQ82" s="234"/>
      <c r="BR82" s="234"/>
      <c r="BS82" s="234"/>
      <c r="BT82" s="234"/>
      <c r="BU82" s="234"/>
      <c r="BV82" s="234"/>
      <c r="BW82" s="234"/>
      <c r="BX82" s="234"/>
      <c r="BY82" s="234"/>
      <c r="BZ82" s="234"/>
      <c r="CA82" s="234"/>
      <c r="CB82" s="2158"/>
      <c r="CC82" s="7"/>
      <c r="CD82" s="7"/>
    </row>
    <row r="83" spans="1:82" ht="14.25" customHeight="1">
      <c r="A83" s="7"/>
      <c r="B83" s="154" t="s">
        <v>152</v>
      </c>
      <c r="C83" s="155"/>
      <c r="D83" s="268" t="str">
        <f t="shared" ref="D83:AV83" si="458">D68</f>
        <v>F1Q05A</v>
      </c>
      <c r="E83" s="236" t="str">
        <f t="shared" si="458"/>
        <v>F2Q05A</v>
      </c>
      <c r="F83" s="236" t="str">
        <f t="shared" si="458"/>
        <v>F3Q05A</v>
      </c>
      <c r="G83" s="237" t="str">
        <f t="shared" si="458"/>
        <v>F4Q05A</v>
      </c>
      <c r="H83" s="268" t="str">
        <f t="shared" si="458"/>
        <v>F1Q06A</v>
      </c>
      <c r="I83" s="236" t="str">
        <f t="shared" si="458"/>
        <v>F2Q06A</v>
      </c>
      <c r="J83" s="236" t="str">
        <f t="shared" si="458"/>
        <v>F3Q06A</v>
      </c>
      <c r="K83" s="237" t="str">
        <f t="shared" si="458"/>
        <v>F4Q06A</v>
      </c>
      <c r="L83" s="268" t="str">
        <f t="shared" si="458"/>
        <v>F1Q07A</v>
      </c>
      <c r="M83" s="236" t="str">
        <f t="shared" si="458"/>
        <v>F2Q07A</v>
      </c>
      <c r="N83" s="236" t="str">
        <f t="shared" si="458"/>
        <v>F3Q07A</v>
      </c>
      <c r="O83" s="237" t="str">
        <f t="shared" si="458"/>
        <v>F4Q07A</v>
      </c>
      <c r="P83" s="268" t="str">
        <f t="shared" si="458"/>
        <v>F1Q08A</v>
      </c>
      <c r="Q83" s="236" t="str">
        <f t="shared" si="458"/>
        <v>F2Q08A</v>
      </c>
      <c r="R83" s="236" t="str">
        <f t="shared" si="458"/>
        <v>F3Q08A</v>
      </c>
      <c r="S83" s="237" t="str">
        <f t="shared" si="458"/>
        <v>F4Q08A</v>
      </c>
      <c r="T83" s="268" t="str">
        <f t="shared" si="458"/>
        <v>F1Q09A</v>
      </c>
      <c r="U83" s="236" t="str">
        <f t="shared" si="458"/>
        <v>F2Q09A</v>
      </c>
      <c r="V83" s="236" t="str">
        <f t="shared" si="458"/>
        <v>F3Q09A</v>
      </c>
      <c r="W83" s="237" t="str">
        <f t="shared" si="458"/>
        <v>F4Q09A</v>
      </c>
      <c r="X83" s="268" t="str">
        <f t="shared" si="458"/>
        <v>F1Q10A</v>
      </c>
      <c r="Y83" s="236" t="str">
        <f t="shared" si="458"/>
        <v>F2Q10A</v>
      </c>
      <c r="Z83" s="236" t="str">
        <f t="shared" si="458"/>
        <v>F3Q10A</v>
      </c>
      <c r="AA83" s="237" t="str">
        <f t="shared" si="458"/>
        <v>F4Q10A</v>
      </c>
      <c r="AB83" s="268" t="str">
        <f t="shared" si="458"/>
        <v>F1Q11A</v>
      </c>
      <c r="AC83" s="236" t="str">
        <f t="shared" si="458"/>
        <v>F2Q11A</v>
      </c>
      <c r="AD83" s="236" t="str">
        <f t="shared" si="458"/>
        <v>F3Q11A</v>
      </c>
      <c r="AE83" s="237" t="str">
        <f t="shared" si="458"/>
        <v>F4Q11A</v>
      </c>
      <c r="AF83" s="268" t="str">
        <f t="shared" si="458"/>
        <v>F1Q12A</v>
      </c>
      <c r="AG83" s="236" t="str">
        <f t="shared" si="458"/>
        <v>F2Q12A</v>
      </c>
      <c r="AH83" s="236" t="str">
        <f t="shared" si="458"/>
        <v>F3Q12A</v>
      </c>
      <c r="AI83" s="237" t="str">
        <f t="shared" si="458"/>
        <v>F4Q12A</v>
      </c>
      <c r="AJ83" s="268" t="str">
        <f t="shared" si="458"/>
        <v>F1Q13A</v>
      </c>
      <c r="AK83" s="236" t="str">
        <f t="shared" si="458"/>
        <v>F2Q13A</v>
      </c>
      <c r="AL83" s="236" t="str">
        <f t="shared" si="458"/>
        <v>F3Q13A</v>
      </c>
      <c r="AM83" s="237" t="str">
        <f t="shared" si="458"/>
        <v>F4Q13A</v>
      </c>
      <c r="AN83" s="268" t="str">
        <f t="shared" si="458"/>
        <v>F1Q14A</v>
      </c>
      <c r="AO83" s="236" t="str">
        <f t="shared" si="458"/>
        <v>F2Q14A</v>
      </c>
      <c r="AP83" s="236" t="str">
        <f t="shared" si="458"/>
        <v>F3Q14A</v>
      </c>
      <c r="AQ83" s="237" t="str">
        <f t="shared" si="458"/>
        <v>F4Q14A</v>
      </c>
      <c r="AR83" s="268" t="str">
        <f t="shared" si="458"/>
        <v>F1Q15A</v>
      </c>
      <c r="AS83" s="236" t="str">
        <f t="shared" si="458"/>
        <v>F2Q15A</v>
      </c>
      <c r="AT83" s="236" t="str">
        <f t="shared" si="458"/>
        <v>F3Q15A</v>
      </c>
      <c r="AU83" s="237" t="str">
        <f t="shared" si="458"/>
        <v>F4Q15A</v>
      </c>
      <c r="AV83" s="268" t="str">
        <f t="shared" si="458"/>
        <v>F1Q16A</v>
      </c>
      <c r="AW83" s="236" t="str">
        <f t="shared" ref="AW83" si="459">AW68</f>
        <v>C2Q16A</v>
      </c>
      <c r="AX83" s="236" t="str">
        <f t="shared" ref="AX83:AY83" si="460">AX68</f>
        <v>F3Q16A</v>
      </c>
      <c r="AY83" s="237" t="str">
        <f t="shared" si="460"/>
        <v>F4Q16A</v>
      </c>
      <c r="AZ83" s="236" t="str">
        <f t="shared" ref="AZ83:BC83" si="461">AZ68</f>
        <v>F1Q17A</v>
      </c>
      <c r="BA83" s="236" t="str">
        <f t="shared" si="461"/>
        <v>C2Q17A</v>
      </c>
      <c r="BB83" s="236" t="str">
        <f t="shared" si="461"/>
        <v>C3Q17A</v>
      </c>
      <c r="BC83" s="237" t="str">
        <f t="shared" si="461"/>
        <v>F4Q17A</v>
      </c>
      <c r="BD83" s="236" t="str">
        <f t="shared" ref="BD83:BG83" si="462">BD68</f>
        <v>F1Q18A</v>
      </c>
      <c r="BE83" s="236" t="str">
        <f t="shared" si="462"/>
        <v>F2Q18E</v>
      </c>
      <c r="BF83" s="236" t="str">
        <f t="shared" si="462"/>
        <v>F3Q18E</v>
      </c>
      <c r="BG83" s="237" t="str">
        <f t="shared" si="462"/>
        <v>F4Q18E</v>
      </c>
      <c r="BH83" s="236" t="str">
        <f t="shared" ref="BH83:BK83" si="463">BH68</f>
        <v>F1Q19E</v>
      </c>
      <c r="BI83" s="236" t="str">
        <f t="shared" si="463"/>
        <v>F2Q19E</v>
      </c>
      <c r="BJ83" s="236" t="str">
        <f t="shared" si="463"/>
        <v>F3Q19E</v>
      </c>
      <c r="BK83" s="237" t="str">
        <f t="shared" si="463"/>
        <v>F4Q19E</v>
      </c>
      <c r="BL83" s="19"/>
      <c r="BM83" s="16" t="str">
        <f t="shared" ref="BM83:BY83" si="464">BM68</f>
        <v>FY2005A</v>
      </c>
      <c r="BN83" s="17" t="str">
        <f t="shared" si="464"/>
        <v>FY2006A</v>
      </c>
      <c r="BO83" s="17" t="str">
        <f t="shared" si="464"/>
        <v>FY2007A</v>
      </c>
      <c r="BP83" s="1848" t="str">
        <f t="shared" si="464"/>
        <v>FY2008A</v>
      </c>
      <c r="BQ83" s="1848" t="str">
        <f t="shared" si="464"/>
        <v>FY2009A</v>
      </c>
      <c r="BR83" s="1848" t="str">
        <f t="shared" si="464"/>
        <v>FY2010A</v>
      </c>
      <c r="BS83" s="17" t="str">
        <f t="shared" si="464"/>
        <v>FY2011A</v>
      </c>
      <c r="BT83" s="1848" t="str">
        <f t="shared" si="464"/>
        <v>FY2012A</v>
      </c>
      <c r="BU83" s="1848" t="str">
        <f t="shared" si="464"/>
        <v>FY2013A</v>
      </c>
      <c r="BV83" s="1848" t="str">
        <f t="shared" si="464"/>
        <v>FY2014A</v>
      </c>
      <c r="BW83" s="1848" t="str">
        <f t="shared" si="464"/>
        <v>FY2015A</v>
      </c>
      <c r="BX83" s="1848" t="str">
        <f t="shared" si="464"/>
        <v>FY2016A</v>
      </c>
      <c r="BY83" s="17" t="str">
        <f t="shared" si="464"/>
        <v>FY2017A</v>
      </c>
      <c r="BZ83" s="17" t="str">
        <f t="shared" ref="BZ83:CB83" si="465">BZ68</f>
        <v>FY2018E</v>
      </c>
      <c r="CA83" s="1848" t="str">
        <f t="shared" si="465"/>
        <v>FY2019E</v>
      </c>
      <c r="CB83" s="1849" t="str">
        <f t="shared" si="465"/>
        <v>FY2020E</v>
      </c>
      <c r="CC83" s="20"/>
      <c r="CD83" s="13"/>
    </row>
    <row r="84" spans="1:82" ht="14.25" customHeight="1">
      <c r="A84" s="7"/>
      <c r="B84" s="269" t="s">
        <v>153</v>
      </c>
      <c r="C84" s="9"/>
      <c r="D84" s="354">
        <f t="shared" ref="D84:AT84" si="466">D10</f>
        <v>332.88099999999997</v>
      </c>
      <c r="E84" s="259">
        <f t="shared" si="466"/>
        <v>318.45500000000004</v>
      </c>
      <c r="F84" s="259">
        <f t="shared" si="466"/>
        <v>290.75</v>
      </c>
      <c r="G84" s="242">
        <f t="shared" si="466"/>
        <v>276.91399999999999</v>
      </c>
      <c r="H84" s="354">
        <f t="shared" si="466"/>
        <v>173.55700000000002</v>
      </c>
      <c r="I84" s="259">
        <f t="shared" si="466"/>
        <v>192.90499999999997</v>
      </c>
      <c r="J84" s="259">
        <f t="shared" si="466"/>
        <v>199.75400000000002</v>
      </c>
      <c r="K84" s="242">
        <f t="shared" si="466"/>
        <v>270.78399999999999</v>
      </c>
      <c r="L84" s="354">
        <f t="shared" si="466"/>
        <v>314</v>
      </c>
      <c r="M84" s="259">
        <f t="shared" si="466"/>
        <v>326</v>
      </c>
      <c r="N84" s="259">
        <f t="shared" si="466"/>
        <v>334</v>
      </c>
      <c r="O84" s="242">
        <f t="shared" si="466"/>
        <v>331</v>
      </c>
      <c r="P84" s="354">
        <f t="shared" si="466"/>
        <v>317</v>
      </c>
      <c r="Q84" s="259">
        <f t="shared" si="466"/>
        <v>310</v>
      </c>
      <c r="R84" s="259">
        <f t="shared" si="466"/>
        <v>293</v>
      </c>
      <c r="S84" s="242">
        <f t="shared" si="466"/>
        <v>303</v>
      </c>
      <c r="T84" s="354">
        <f t="shared" si="466"/>
        <v>280</v>
      </c>
      <c r="U84" s="259">
        <f t="shared" si="466"/>
        <v>282</v>
      </c>
      <c r="V84" s="259">
        <f t="shared" si="466"/>
        <v>282</v>
      </c>
      <c r="W84" s="242">
        <f t="shared" si="466"/>
        <v>284</v>
      </c>
      <c r="X84" s="354">
        <f t="shared" si="466"/>
        <v>100</v>
      </c>
      <c r="Y84" s="259">
        <f t="shared" si="466"/>
        <v>100</v>
      </c>
      <c r="Z84" s="259">
        <f t="shared" si="466"/>
        <v>94</v>
      </c>
      <c r="AA84" s="242">
        <f t="shared" si="466"/>
        <v>89</v>
      </c>
      <c r="AB84" s="241">
        <f t="shared" si="466"/>
        <v>88</v>
      </c>
      <c r="AC84" s="259">
        <f t="shared" si="466"/>
        <v>80</v>
      </c>
      <c r="AD84" s="259">
        <f t="shared" si="466"/>
        <v>79</v>
      </c>
      <c r="AE84" s="242">
        <f t="shared" si="466"/>
        <v>70</v>
      </c>
      <c r="AF84" s="241">
        <f t="shared" si="466"/>
        <v>63</v>
      </c>
      <c r="AG84" s="259">
        <f t="shared" si="466"/>
        <v>65</v>
      </c>
      <c r="AH84" s="259">
        <f t="shared" si="466"/>
        <v>66</v>
      </c>
      <c r="AI84" s="242">
        <f t="shared" si="466"/>
        <v>66</v>
      </c>
      <c r="AJ84" s="241">
        <f t="shared" si="466"/>
        <v>66</v>
      </c>
      <c r="AK84" s="259">
        <f t="shared" si="466"/>
        <v>59</v>
      </c>
      <c r="AL84" s="259">
        <f t="shared" si="466"/>
        <v>57</v>
      </c>
      <c r="AM84" s="242">
        <f t="shared" si="466"/>
        <v>54</v>
      </c>
      <c r="AN84" s="241">
        <f t="shared" si="466"/>
        <v>53</v>
      </c>
      <c r="AO84" s="259">
        <f t="shared" si="466"/>
        <v>53</v>
      </c>
      <c r="AP84" s="259">
        <f t="shared" si="466"/>
        <v>49</v>
      </c>
      <c r="AQ84" s="242">
        <f t="shared" si="466"/>
        <v>48</v>
      </c>
      <c r="AR84" s="241">
        <f t="shared" si="466"/>
        <v>46</v>
      </c>
      <c r="AS84" s="259">
        <f t="shared" si="466"/>
        <v>45</v>
      </c>
      <c r="AT84" s="259">
        <f t="shared" si="466"/>
        <v>42</v>
      </c>
      <c r="AU84" s="242">
        <f t="shared" ref="AU84:AX84" si="467">AU10</f>
        <v>34</v>
      </c>
      <c r="AV84" s="241">
        <f t="shared" si="467"/>
        <v>33</v>
      </c>
      <c r="AW84" s="259">
        <f t="shared" si="467"/>
        <v>33</v>
      </c>
      <c r="AX84" s="259">
        <f t="shared" si="467"/>
        <v>33</v>
      </c>
      <c r="AY84" s="242">
        <f t="shared" ref="AY84:BB84" si="468">AY10</f>
        <v>34</v>
      </c>
      <c r="AZ84" s="241">
        <f t="shared" si="468"/>
        <v>34</v>
      </c>
      <c r="BA84" s="259">
        <f t="shared" si="468"/>
        <v>35</v>
      </c>
      <c r="BB84" s="259">
        <f t="shared" si="468"/>
        <v>36</v>
      </c>
      <c r="BC84" s="242">
        <f t="shared" ref="BC84" si="469">BC10</f>
        <v>39</v>
      </c>
      <c r="BD84" s="249">
        <f t="shared" ref="BD84:BK84" si="470">BC84</f>
        <v>39</v>
      </c>
      <c r="BE84" s="1899">
        <f t="shared" si="470"/>
        <v>39</v>
      </c>
      <c r="BF84" s="1899">
        <f t="shared" si="470"/>
        <v>39</v>
      </c>
      <c r="BG84" s="1902">
        <f t="shared" si="470"/>
        <v>39</v>
      </c>
      <c r="BH84" s="1899">
        <f t="shared" si="470"/>
        <v>39</v>
      </c>
      <c r="BI84" s="1899">
        <f t="shared" si="470"/>
        <v>39</v>
      </c>
      <c r="BJ84" s="1899">
        <f t="shared" si="470"/>
        <v>39</v>
      </c>
      <c r="BK84" s="1902">
        <f t="shared" si="470"/>
        <v>39</v>
      </c>
      <c r="BL84" s="19"/>
      <c r="BM84" s="243">
        <f t="shared" ref="BM84:BV84" si="471">BM73*BM85</f>
        <v>1219</v>
      </c>
      <c r="BN84" s="243">
        <f t="shared" si="471"/>
        <v>837</v>
      </c>
      <c r="BO84" s="243">
        <f t="shared" si="471"/>
        <v>1305</v>
      </c>
      <c r="BP84" s="243">
        <f t="shared" si="471"/>
        <v>1223</v>
      </c>
      <c r="BQ84" s="243">
        <f t="shared" si="471"/>
        <v>1128</v>
      </c>
      <c r="BR84" s="243">
        <f t="shared" si="471"/>
        <v>383</v>
      </c>
      <c r="BS84" s="243">
        <f t="shared" si="471"/>
        <v>317</v>
      </c>
      <c r="BT84" s="243">
        <f t="shared" si="471"/>
        <v>260</v>
      </c>
      <c r="BU84" s="243">
        <f t="shared" si="471"/>
        <v>236</v>
      </c>
      <c r="BV84" s="243">
        <f t="shared" si="471"/>
        <v>203</v>
      </c>
      <c r="BW84" s="243">
        <f>SUM(AR84:AU84)</f>
        <v>167</v>
      </c>
      <c r="BX84" s="243">
        <f>SUM(AV84:AY84)</f>
        <v>133</v>
      </c>
      <c r="BY84" s="175">
        <f>SUM(AZ84:BC84)</f>
        <v>144</v>
      </c>
      <c r="BZ84" s="175">
        <f>SUM(BD84:BG84)</f>
        <v>156</v>
      </c>
      <c r="CA84" s="175">
        <f>SUM(BH84:BK84)</f>
        <v>156</v>
      </c>
      <c r="CB84" s="178">
        <f>CA73*CB85</f>
        <v>24.88</v>
      </c>
      <c r="CC84" s="20"/>
      <c r="CD84" s="13"/>
    </row>
    <row r="85" spans="1:82" ht="14.25" customHeight="1">
      <c r="A85" s="7"/>
      <c r="B85" s="270" t="s">
        <v>154</v>
      </c>
      <c r="C85" s="271"/>
      <c r="D85" s="355">
        <f t="shared" ref="D85:BA85" si="472">D84/D73</f>
        <v>2.9504951513037159E-2</v>
      </c>
      <c r="E85" s="254">
        <f t="shared" si="472"/>
        <v>2.8452405532929898E-2</v>
      </c>
      <c r="F85" s="254">
        <f t="shared" si="472"/>
        <v>2.5318371445718631E-2</v>
      </c>
      <c r="G85" s="273">
        <f t="shared" si="472"/>
        <v>5.0461722372510412E-2</v>
      </c>
      <c r="H85" s="355">
        <f t="shared" si="472"/>
        <v>3.0034936377996799E-2</v>
      </c>
      <c r="I85" s="254">
        <f t="shared" si="472"/>
        <v>3.1125231033100151E-2</v>
      </c>
      <c r="J85" s="254">
        <f t="shared" si="472"/>
        <v>3.0266459207311931E-2</v>
      </c>
      <c r="K85" s="273">
        <f t="shared" si="472"/>
        <v>3.6906637590295763E-2</v>
      </c>
      <c r="L85" s="355">
        <f t="shared" si="472"/>
        <v>3.9556563366087177E-2</v>
      </c>
      <c r="M85" s="254">
        <f t="shared" si="472"/>
        <v>3.9882554440910205E-2</v>
      </c>
      <c r="N85" s="254">
        <f t="shared" si="472"/>
        <v>4.0966515393106834E-2</v>
      </c>
      <c r="O85" s="273">
        <f t="shared" si="472"/>
        <v>4.2010407412108139E-2</v>
      </c>
      <c r="P85" s="355">
        <f t="shared" si="472"/>
        <v>4.1936764122238394E-2</v>
      </c>
      <c r="Q85" s="254">
        <f t="shared" si="472"/>
        <v>4.3429532081815637E-2</v>
      </c>
      <c r="R85" s="254">
        <f t="shared" si="472"/>
        <v>4.095038434661076E-2</v>
      </c>
      <c r="S85" s="273">
        <f t="shared" si="472"/>
        <v>4.2330259849119867E-2</v>
      </c>
      <c r="T85" s="355">
        <f t="shared" si="472"/>
        <v>3.8851116969612874E-2</v>
      </c>
      <c r="U85" s="254">
        <f t="shared" si="472"/>
        <v>3.8577291381668946E-2</v>
      </c>
      <c r="V85" s="254">
        <f t="shared" si="472"/>
        <v>3.8216560509554139E-2</v>
      </c>
      <c r="W85" s="273">
        <f t="shared" si="472"/>
        <v>3.7891927951967976E-2</v>
      </c>
      <c r="X85" s="355">
        <f t="shared" si="472"/>
        <v>4.8355899419729204E-2</v>
      </c>
      <c r="Y85" s="254">
        <f t="shared" si="472"/>
        <v>4.7892720306513412E-2</v>
      </c>
      <c r="Z85" s="254">
        <f t="shared" si="472"/>
        <v>4.5192307692307691E-2</v>
      </c>
      <c r="AA85" s="273">
        <f t="shared" si="472"/>
        <v>4.280904280904281E-2</v>
      </c>
      <c r="AB85" s="254">
        <f t="shared" si="472"/>
        <v>4.2328042328042326E-2</v>
      </c>
      <c r="AC85" s="254">
        <f t="shared" si="472"/>
        <v>3.8240917782026769E-2</v>
      </c>
      <c r="AD85" s="254">
        <f t="shared" si="472"/>
        <v>3.7229029217719131E-2</v>
      </c>
      <c r="AE85" s="273">
        <f t="shared" si="472"/>
        <v>3.1876138433515486E-2</v>
      </c>
      <c r="AF85" s="254">
        <f t="shared" si="472"/>
        <v>2.8649386084583901E-2</v>
      </c>
      <c r="AG85" s="254">
        <f t="shared" si="472"/>
        <v>2.9266096352994146E-2</v>
      </c>
      <c r="AH85" s="254">
        <f t="shared" si="472"/>
        <v>2.9569892473118281E-2</v>
      </c>
      <c r="AI85" s="915">
        <f t="shared" si="472"/>
        <v>2.9756537421100092E-2</v>
      </c>
      <c r="AJ85" s="254">
        <f t="shared" si="472"/>
        <v>3.4428794992175271E-2</v>
      </c>
      <c r="AK85" s="254">
        <f t="shared" si="472"/>
        <v>3.1517094017094016E-2</v>
      </c>
      <c r="AL85" s="254">
        <f t="shared" si="472"/>
        <v>3.2276330690826728E-2</v>
      </c>
      <c r="AM85" s="915">
        <f t="shared" si="472"/>
        <v>3.1159838430467397E-2</v>
      </c>
      <c r="AN85" s="254">
        <f t="shared" si="472"/>
        <v>3.072463768115942E-2</v>
      </c>
      <c r="AO85" s="254">
        <f t="shared" si="472"/>
        <v>3.0653556969346442E-2</v>
      </c>
      <c r="AP85" s="254">
        <f t="shared" si="472"/>
        <v>2.8160919540229885E-2</v>
      </c>
      <c r="AQ85" s="915">
        <f t="shared" si="472"/>
        <v>2.8571428571428571E-2</v>
      </c>
      <c r="AR85" s="254">
        <f t="shared" si="472"/>
        <v>2.7413587604290822E-2</v>
      </c>
      <c r="AS85" s="254">
        <f t="shared" si="472"/>
        <v>2.7075812274368231E-2</v>
      </c>
      <c r="AT85" s="254">
        <f t="shared" si="472"/>
        <v>2.711426726920594E-2</v>
      </c>
      <c r="AU85" s="915">
        <f t="shared" ref="AU85:AW85" si="473">AU84/AU73</f>
        <v>3.4552845528455285E-2</v>
      </c>
      <c r="AV85" s="254">
        <f t="shared" si="473"/>
        <v>3.3570701932858597E-2</v>
      </c>
      <c r="AW85" s="254">
        <f t="shared" si="473"/>
        <v>3.4736842105263156E-2</v>
      </c>
      <c r="AX85" s="254">
        <f t="shared" si="472"/>
        <v>3.6707452725250278E-2</v>
      </c>
      <c r="AY85" s="915">
        <f t="shared" si="472"/>
        <v>3.8592508513053347E-2</v>
      </c>
      <c r="AZ85" s="254">
        <f t="shared" si="472"/>
        <v>3.7569060773480663E-2</v>
      </c>
      <c r="BA85" s="254">
        <f t="shared" si="472"/>
        <v>3.7634408602150539E-2</v>
      </c>
      <c r="BB85" s="254">
        <f t="shared" ref="BB85:BC85" si="474">BB84/BB73</f>
        <v>3.6809815950920248E-2</v>
      </c>
      <c r="BC85" s="915">
        <f t="shared" si="474"/>
        <v>3.896103896103896E-2</v>
      </c>
      <c r="BD85" s="254">
        <f t="shared" ref="BD85:BG85" si="475">BD84/BD73</f>
        <v>3.6482694106641719E-2</v>
      </c>
      <c r="BE85" s="254">
        <f t="shared" si="475"/>
        <v>3.5648994515539302E-2</v>
      </c>
      <c r="BF85" s="254">
        <f t="shared" si="475"/>
        <v>3.4852546916890083E-2</v>
      </c>
      <c r="BG85" s="915">
        <f t="shared" si="475"/>
        <v>3.4090909090909088E-2</v>
      </c>
      <c r="BH85" s="254">
        <f t="shared" ref="BH85:BK85" si="476">BH84/BH73</f>
        <v>3.3361847733105215E-2</v>
      </c>
      <c r="BI85" s="254">
        <f t="shared" si="476"/>
        <v>3.2663316582914576E-2</v>
      </c>
      <c r="BJ85" s="254">
        <f t="shared" si="476"/>
        <v>3.1993437243642328E-2</v>
      </c>
      <c r="BK85" s="915">
        <f t="shared" si="476"/>
        <v>3.1350482315112539E-2</v>
      </c>
      <c r="BL85" s="19"/>
      <c r="BM85" s="272">
        <f t="shared" ref="BM85:BY85" si="477">BM87/BM73</f>
        <v>0.22213697961132409</v>
      </c>
      <c r="BN85" s="272">
        <f t="shared" si="477"/>
        <v>0.11407932397437645</v>
      </c>
      <c r="BO85" s="272">
        <f t="shared" si="477"/>
        <v>0.16563015611118162</v>
      </c>
      <c r="BP85" s="272">
        <f t="shared" si="477"/>
        <v>0.17085778150321318</v>
      </c>
      <c r="BQ85" s="272">
        <f t="shared" si="477"/>
        <v>0.1505003335557038</v>
      </c>
      <c r="BR85" s="272">
        <f t="shared" si="477"/>
        <v>0.18422318422318423</v>
      </c>
      <c r="BS85" s="272">
        <f t="shared" si="477"/>
        <v>0.14435336976320584</v>
      </c>
      <c r="BT85" s="272">
        <f t="shared" si="477"/>
        <v>0.11722272317403065</v>
      </c>
      <c r="BU85" s="272">
        <f t="shared" si="477"/>
        <v>0.1361800346220427</v>
      </c>
      <c r="BV85" s="272">
        <f t="shared" si="477"/>
        <v>0.12083333333333333</v>
      </c>
      <c r="BW85" s="272">
        <f t="shared" si="477"/>
        <v>0.16971544715447154</v>
      </c>
      <c r="BX85" s="272">
        <f t="shared" si="477"/>
        <v>0.15096481271282633</v>
      </c>
      <c r="BY85" s="254">
        <f t="shared" si="477"/>
        <v>0.14385614385614387</v>
      </c>
      <c r="BZ85" s="254">
        <f t="shared" ref="BZ85:CA85" si="478">BZ87/BZ73</f>
        <v>0.13636363636363635</v>
      </c>
      <c r="CA85" s="254">
        <f t="shared" si="478"/>
        <v>0.12540192926045016</v>
      </c>
      <c r="CB85" s="2162">
        <v>0.02</v>
      </c>
      <c r="CC85" s="20"/>
      <c r="CD85" s="13"/>
    </row>
    <row r="86" spans="1:82" ht="14.25" customHeight="1">
      <c r="A86" s="7"/>
      <c r="B86" s="13"/>
      <c r="C86" s="13"/>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241"/>
      <c r="AG86" s="241"/>
      <c r="AH86" s="241"/>
      <c r="AI86" s="241"/>
      <c r="AJ86" s="241"/>
      <c r="AK86" s="241"/>
      <c r="AL86" s="241"/>
      <c r="AM86" s="241"/>
      <c r="AN86" s="241"/>
      <c r="AO86" s="241"/>
      <c r="AP86" s="241"/>
      <c r="AQ86" s="241"/>
      <c r="AR86" s="241"/>
      <c r="AS86" s="241"/>
      <c r="AT86" s="241"/>
      <c r="AU86" s="241"/>
      <c r="AV86" s="241"/>
      <c r="AW86" s="241"/>
      <c r="AX86" s="241"/>
      <c r="AY86" s="241"/>
      <c r="AZ86" s="241"/>
      <c r="BA86" s="241"/>
      <c r="BB86" s="241"/>
      <c r="BC86" s="241"/>
      <c r="BD86" s="241"/>
      <c r="BE86" s="241"/>
      <c r="BF86" s="241"/>
      <c r="BG86" s="241"/>
      <c r="BH86" s="241"/>
      <c r="BI86" s="241"/>
      <c r="BJ86" s="241"/>
      <c r="BK86" s="241"/>
      <c r="BL86" s="7"/>
      <c r="BM86" s="241"/>
      <c r="BN86" s="241"/>
      <c r="BO86" s="241"/>
      <c r="BP86" s="241"/>
      <c r="BQ86" s="241"/>
      <c r="BR86" s="241"/>
      <c r="BS86" s="241"/>
      <c r="BT86" s="241"/>
      <c r="BU86" s="241"/>
      <c r="BV86" s="241"/>
      <c r="BW86" s="241"/>
      <c r="BX86" s="241"/>
      <c r="BY86" s="241"/>
      <c r="BZ86" s="241"/>
      <c r="CA86" s="241"/>
      <c r="CB86" s="2161"/>
      <c r="CC86" s="7"/>
      <c r="CD86" s="7"/>
    </row>
    <row r="87" spans="1:82" ht="14.25" customHeight="1">
      <c r="A87" s="7"/>
      <c r="B87" s="72" t="s">
        <v>155</v>
      </c>
      <c r="C87" s="229"/>
      <c r="D87" s="177">
        <f t="shared" ref="D87:AX87" si="479">D10</f>
        <v>332.88099999999997</v>
      </c>
      <c r="E87" s="175">
        <f t="shared" si="479"/>
        <v>318.45500000000004</v>
      </c>
      <c r="F87" s="175">
        <f t="shared" si="479"/>
        <v>290.75</v>
      </c>
      <c r="G87" s="178">
        <f t="shared" si="479"/>
        <v>276.91399999999999</v>
      </c>
      <c r="H87" s="177">
        <f t="shared" si="479"/>
        <v>173.55700000000002</v>
      </c>
      <c r="I87" s="175">
        <f t="shared" si="479"/>
        <v>192.90499999999997</v>
      </c>
      <c r="J87" s="175">
        <f t="shared" si="479"/>
        <v>199.75400000000002</v>
      </c>
      <c r="K87" s="178">
        <f t="shared" si="479"/>
        <v>270.78399999999999</v>
      </c>
      <c r="L87" s="177">
        <f t="shared" si="479"/>
        <v>314</v>
      </c>
      <c r="M87" s="175">
        <f t="shared" si="479"/>
        <v>326</v>
      </c>
      <c r="N87" s="175">
        <f t="shared" si="479"/>
        <v>334</v>
      </c>
      <c r="O87" s="178">
        <f t="shared" si="479"/>
        <v>331</v>
      </c>
      <c r="P87" s="177">
        <f t="shared" si="479"/>
        <v>317</v>
      </c>
      <c r="Q87" s="175">
        <f t="shared" si="479"/>
        <v>310</v>
      </c>
      <c r="R87" s="175">
        <f t="shared" si="479"/>
        <v>293</v>
      </c>
      <c r="S87" s="178">
        <f t="shared" si="479"/>
        <v>303</v>
      </c>
      <c r="T87" s="177">
        <f t="shared" si="479"/>
        <v>280</v>
      </c>
      <c r="U87" s="175">
        <f t="shared" si="479"/>
        <v>282</v>
      </c>
      <c r="V87" s="175">
        <f t="shared" si="479"/>
        <v>282</v>
      </c>
      <c r="W87" s="178">
        <f t="shared" si="479"/>
        <v>284</v>
      </c>
      <c r="X87" s="177">
        <f t="shared" si="479"/>
        <v>100</v>
      </c>
      <c r="Y87" s="175">
        <f t="shared" si="479"/>
        <v>100</v>
      </c>
      <c r="Z87" s="175">
        <f t="shared" si="479"/>
        <v>94</v>
      </c>
      <c r="AA87" s="178">
        <f t="shared" si="479"/>
        <v>89</v>
      </c>
      <c r="AB87" s="175">
        <f t="shared" si="479"/>
        <v>88</v>
      </c>
      <c r="AC87" s="175">
        <f t="shared" si="479"/>
        <v>80</v>
      </c>
      <c r="AD87" s="175">
        <f t="shared" si="479"/>
        <v>79</v>
      </c>
      <c r="AE87" s="178">
        <f t="shared" si="479"/>
        <v>70</v>
      </c>
      <c r="AF87" s="175">
        <f t="shared" si="479"/>
        <v>63</v>
      </c>
      <c r="AG87" s="175">
        <f t="shared" si="479"/>
        <v>65</v>
      </c>
      <c r="AH87" s="175">
        <f t="shared" si="479"/>
        <v>66</v>
      </c>
      <c r="AI87" s="176">
        <f t="shared" si="479"/>
        <v>66</v>
      </c>
      <c r="AJ87" s="175">
        <f t="shared" si="479"/>
        <v>66</v>
      </c>
      <c r="AK87" s="175">
        <f t="shared" si="479"/>
        <v>59</v>
      </c>
      <c r="AL87" s="175">
        <f t="shared" si="479"/>
        <v>57</v>
      </c>
      <c r="AM87" s="176">
        <f t="shared" si="479"/>
        <v>54</v>
      </c>
      <c r="AN87" s="175">
        <f t="shared" si="479"/>
        <v>53</v>
      </c>
      <c r="AO87" s="175">
        <f t="shared" si="479"/>
        <v>53</v>
      </c>
      <c r="AP87" s="175">
        <f t="shared" si="479"/>
        <v>49</v>
      </c>
      <c r="AQ87" s="176">
        <f t="shared" si="479"/>
        <v>48</v>
      </c>
      <c r="AR87" s="175">
        <f t="shared" si="479"/>
        <v>46</v>
      </c>
      <c r="AS87" s="175">
        <f t="shared" si="479"/>
        <v>45</v>
      </c>
      <c r="AT87" s="175">
        <f t="shared" si="479"/>
        <v>42</v>
      </c>
      <c r="AU87" s="176">
        <f t="shared" si="479"/>
        <v>34</v>
      </c>
      <c r="AV87" s="175">
        <f t="shared" ref="AV87:AW87" si="480">AV10</f>
        <v>33</v>
      </c>
      <c r="AW87" s="175">
        <f t="shared" si="480"/>
        <v>33</v>
      </c>
      <c r="AX87" s="175">
        <f t="shared" si="479"/>
        <v>33</v>
      </c>
      <c r="AY87" s="176">
        <f t="shared" ref="AY87:BB87" si="481">AY10</f>
        <v>34</v>
      </c>
      <c r="AZ87" s="175">
        <f t="shared" si="481"/>
        <v>34</v>
      </c>
      <c r="BA87" s="175">
        <f t="shared" si="481"/>
        <v>35</v>
      </c>
      <c r="BB87" s="175">
        <f t="shared" si="481"/>
        <v>36</v>
      </c>
      <c r="BC87" s="176">
        <f t="shared" ref="BC87" si="482">BC10</f>
        <v>39</v>
      </c>
      <c r="BD87" s="175">
        <f t="shared" ref="BD87:BG87" si="483">BD10</f>
        <v>39</v>
      </c>
      <c r="BE87" s="175">
        <f t="shared" si="483"/>
        <v>39</v>
      </c>
      <c r="BF87" s="175">
        <f t="shared" si="483"/>
        <v>39</v>
      </c>
      <c r="BG87" s="176">
        <f t="shared" si="483"/>
        <v>39</v>
      </c>
      <c r="BH87" s="175">
        <f t="shared" ref="BH87:BK87" si="484">BH10</f>
        <v>39</v>
      </c>
      <c r="BI87" s="175">
        <f t="shared" si="484"/>
        <v>39</v>
      </c>
      <c r="BJ87" s="175">
        <f t="shared" si="484"/>
        <v>39</v>
      </c>
      <c r="BK87" s="176">
        <f t="shared" si="484"/>
        <v>39</v>
      </c>
      <c r="BL87" s="179"/>
      <c r="BM87" s="175">
        <f t="shared" ref="BM87:BY87" si="485">BM10</f>
        <v>1219</v>
      </c>
      <c r="BN87" s="175">
        <f t="shared" si="485"/>
        <v>837</v>
      </c>
      <c r="BO87" s="175">
        <f t="shared" si="485"/>
        <v>1305</v>
      </c>
      <c r="BP87" s="175">
        <f t="shared" si="485"/>
        <v>1223</v>
      </c>
      <c r="BQ87" s="175">
        <f t="shared" si="485"/>
        <v>1128</v>
      </c>
      <c r="BR87" s="175">
        <f t="shared" si="485"/>
        <v>383</v>
      </c>
      <c r="BS87" s="175">
        <f t="shared" si="485"/>
        <v>317</v>
      </c>
      <c r="BT87" s="175">
        <f t="shared" si="485"/>
        <v>260</v>
      </c>
      <c r="BU87" s="175">
        <f t="shared" si="485"/>
        <v>236</v>
      </c>
      <c r="BV87" s="175">
        <f t="shared" si="485"/>
        <v>203</v>
      </c>
      <c r="BW87" s="175">
        <f t="shared" si="485"/>
        <v>167</v>
      </c>
      <c r="BX87" s="175">
        <f t="shared" si="485"/>
        <v>133</v>
      </c>
      <c r="BY87" s="175">
        <f t="shared" si="485"/>
        <v>144</v>
      </c>
      <c r="BZ87" s="175">
        <f t="shared" ref="BZ87:CB87" si="486">BZ10</f>
        <v>156</v>
      </c>
      <c r="CA87" s="175">
        <f t="shared" si="486"/>
        <v>156</v>
      </c>
      <c r="CB87" s="175">
        <f t="shared" si="486"/>
        <v>24.88</v>
      </c>
      <c r="CC87" s="20"/>
      <c r="CD87" s="13"/>
    </row>
    <row r="88" spans="1:82" ht="14.25" customHeight="1">
      <c r="A88" s="7"/>
      <c r="B88" s="145" t="s">
        <v>105</v>
      </c>
      <c r="C88" s="146"/>
      <c r="D88" s="149">
        <f t="shared" ref="D88:AA88" si="487">IF(ROUND(D87,4)=ROUND(D84,4),0,(D87-D84))</f>
        <v>0</v>
      </c>
      <c r="E88" s="147">
        <f t="shared" si="487"/>
        <v>0</v>
      </c>
      <c r="F88" s="147">
        <f t="shared" si="487"/>
        <v>0</v>
      </c>
      <c r="G88" s="148">
        <f t="shared" si="487"/>
        <v>0</v>
      </c>
      <c r="H88" s="149">
        <f t="shared" si="487"/>
        <v>0</v>
      </c>
      <c r="I88" s="147">
        <f t="shared" si="487"/>
        <v>0</v>
      </c>
      <c r="J88" s="147">
        <f t="shared" si="487"/>
        <v>0</v>
      </c>
      <c r="K88" s="148">
        <f t="shared" si="487"/>
        <v>0</v>
      </c>
      <c r="L88" s="149">
        <f t="shared" si="487"/>
        <v>0</v>
      </c>
      <c r="M88" s="147">
        <f t="shared" si="487"/>
        <v>0</v>
      </c>
      <c r="N88" s="147">
        <f t="shared" si="487"/>
        <v>0</v>
      </c>
      <c r="O88" s="148">
        <f t="shared" si="487"/>
        <v>0</v>
      </c>
      <c r="P88" s="149">
        <f t="shared" si="487"/>
        <v>0</v>
      </c>
      <c r="Q88" s="147">
        <f t="shared" si="487"/>
        <v>0</v>
      </c>
      <c r="R88" s="147">
        <f t="shared" si="487"/>
        <v>0</v>
      </c>
      <c r="S88" s="148">
        <f t="shared" si="487"/>
        <v>0</v>
      </c>
      <c r="T88" s="149">
        <f t="shared" si="487"/>
        <v>0</v>
      </c>
      <c r="U88" s="147">
        <f t="shared" si="487"/>
        <v>0</v>
      </c>
      <c r="V88" s="147">
        <f t="shared" si="487"/>
        <v>0</v>
      </c>
      <c r="W88" s="148">
        <f t="shared" si="487"/>
        <v>0</v>
      </c>
      <c r="X88" s="149">
        <f t="shared" si="487"/>
        <v>0</v>
      </c>
      <c r="Y88" s="147">
        <f t="shared" si="487"/>
        <v>0</v>
      </c>
      <c r="Z88" s="147">
        <f t="shared" si="487"/>
        <v>0</v>
      </c>
      <c r="AA88" s="148">
        <f t="shared" si="487"/>
        <v>0</v>
      </c>
      <c r="AB88" s="149">
        <f t="shared" ref="AB88:AM88" si="488">IF(ROUND(AB87,4)=ROUND(AB84,4),0,(AB87-AB84))</f>
        <v>0</v>
      </c>
      <c r="AC88" s="147">
        <f t="shared" si="488"/>
        <v>0</v>
      </c>
      <c r="AD88" s="147">
        <f t="shared" si="488"/>
        <v>0</v>
      </c>
      <c r="AE88" s="148">
        <f t="shared" si="488"/>
        <v>0</v>
      </c>
      <c r="AF88" s="149">
        <f t="shared" si="488"/>
        <v>0</v>
      </c>
      <c r="AG88" s="147">
        <f t="shared" si="488"/>
        <v>0</v>
      </c>
      <c r="AH88" s="147">
        <f t="shared" si="488"/>
        <v>0</v>
      </c>
      <c r="AI88" s="148">
        <f t="shared" si="488"/>
        <v>0</v>
      </c>
      <c r="AJ88" s="149">
        <f t="shared" si="488"/>
        <v>0</v>
      </c>
      <c r="AK88" s="147">
        <f t="shared" si="488"/>
        <v>0</v>
      </c>
      <c r="AL88" s="147">
        <f t="shared" si="488"/>
        <v>0</v>
      </c>
      <c r="AM88" s="148">
        <f t="shared" si="488"/>
        <v>0</v>
      </c>
      <c r="AN88" s="149">
        <f t="shared" ref="AN88:AU88" si="489">IF(ROUND(AN87,4)=ROUND(AN84,4),0,(AN87-AN84))</f>
        <v>0</v>
      </c>
      <c r="AO88" s="147">
        <f t="shared" si="489"/>
        <v>0</v>
      </c>
      <c r="AP88" s="147">
        <f t="shared" si="489"/>
        <v>0</v>
      </c>
      <c r="AQ88" s="148">
        <f t="shared" si="489"/>
        <v>0</v>
      </c>
      <c r="AR88" s="149">
        <f t="shared" si="489"/>
        <v>0</v>
      </c>
      <c r="AS88" s="147">
        <f t="shared" si="489"/>
        <v>0</v>
      </c>
      <c r="AT88" s="147">
        <f t="shared" si="489"/>
        <v>0</v>
      </c>
      <c r="AU88" s="148">
        <f t="shared" si="489"/>
        <v>0</v>
      </c>
      <c r="AV88" s="149">
        <f t="shared" ref="AV88:AW88" si="490">IF(ROUND(AV87,4)=ROUND(AV84,4),0,(AV87-AV84))</f>
        <v>0</v>
      </c>
      <c r="AW88" s="147">
        <f t="shared" si="490"/>
        <v>0</v>
      </c>
      <c r="AX88" s="147">
        <f t="shared" ref="AX88:BA88" si="491">IF(ROUND(AX87,4)=ROUND(AX84,4),0,(AX87-AX84))</f>
        <v>0</v>
      </c>
      <c r="AY88" s="148">
        <f t="shared" si="491"/>
        <v>0</v>
      </c>
      <c r="AZ88" s="147">
        <f t="shared" si="491"/>
        <v>0</v>
      </c>
      <c r="BA88" s="147">
        <f t="shared" si="491"/>
        <v>0</v>
      </c>
      <c r="BB88" s="147">
        <f t="shared" ref="BB88:BC88" si="492">IF(ROUND(BB87,4)=ROUND(BB84,4),0,(BB87-BB84))</f>
        <v>0</v>
      </c>
      <c r="BC88" s="148">
        <f t="shared" si="492"/>
        <v>0</v>
      </c>
      <c r="BD88" s="147">
        <f t="shared" ref="BD88:BG88" si="493">IF(ROUND(BD87,4)=ROUND(BD84,4),0,(BD87-BD84))</f>
        <v>0</v>
      </c>
      <c r="BE88" s="147">
        <f t="shared" si="493"/>
        <v>0</v>
      </c>
      <c r="BF88" s="147">
        <f t="shared" si="493"/>
        <v>0</v>
      </c>
      <c r="BG88" s="148">
        <f t="shared" si="493"/>
        <v>0</v>
      </c>
      <c r="BH88" s="147">
        <f t="shared" ref="BH88:BK88" si="494">IF(ROUND(BH87,4)=ROUND(BH84,4),0,(BH87-BH84))</f>
        <v>0</v>
      </c>
      <c r="BI88" s="147">
        <f t="shared" si="494"/>
        <v>0</v>
      </c>
      <c r="BJ88" s="147">
        <f t="shared" si="494"/>
        <v>0</v>
      </c>
      <c r="BK88" s="148">
        <f t="shared" si="494"/>
        <v>0</v>
      </c>
      <c r="BL88" s="179"/>
      <c r="BM88" s="147">
        <f t="shared" ref="BM88:BS88" si="495">IF(ROUND(BM87,4)=ROUND(BM84,4),0,(BM87-BM84))</f>
        <v>0</v>
      </c>
      <c r="BN88" s="147">
        <f t="shared" si="495"/>
        <v>0</v>
      </c>
      <c r="BO88" s="147">
        <f t="shared" si="495"/>
        <v>0</v>
      </c>
      <c r="BP88" s="147">
        <f t="shared" si="495"/>
        <v>0</v>
      </c>
      <c r="BQ88" s="147">
        <f t="shared" si="495"/>
        <v>0</v>
      </c>
      <c r="BR88" s="147">
        <f t="shared" si="495"/>
        <v>0</v>
      </c>
      <c r="BS88" s="147">
        <f t="shared" si="495"/>
        <v>0</v>
      </c>
      <c r="BT88" s="147">
        <f t="shared" ref="BT88:BY88" si="496">IF(ROUND(BT87,4)=ROUND(BT84,4),0,(BT87-BT84))</f>
        <v>0</v>
      </c>
      <c r="BU88" s="147">
        <f t="shared" si="496"/>
        <v>0</v>
      </c>
      <c r="BV88" s="147">
        <f>IF(ROUND(BV87,4)=ROUND(BV84,4),0,(BV87-BV84))</f>
        <v>0</v>
      </c>
      <c r="BW88" s="147">
        <f t="shared" si="496"/>
        <v>0</v>
      </c>
      <c r="BX88" s="147">
        <f t="shared" si="496"/>
        <v>0</v>
      </c>
      <c r="BY88" s="147">
        <f t="shared" si="496"/>
        <v>0</v>
      </c>
      <c r="BZ88" s="147">
        <f t="shared" ref="BZ88:CB88" si="497">IF(ROUND(BZ87,4)=ROUND(BZ84,4),0,(BZ87-BZ84))</f>
        <v>0</v>
      </c>
      <c r="CA88" s="147">
        <f t="shared" si="497"/>
        <v>0</v>
      </c>
      <c r="CB88" s="147">
        <f t="shared" si="497"/>
        <v>0</v>
      </c>
      <c r="CC88" s="20"/>
      <c r="CD88" s="13"/>
    </row>
    <row r="89" spans="1:82" ht="14.25" customHeight="1">
      <c r="A89" s="7"/>
      <c r="B89" s="13"/>
      <c r="C89" s="13"/>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c r="AQ89" s="7"/>
      <c r="AR89" s="7"/>
      <c r="AS89" s="7"/>
      <c r="AT89" s="7"/>
      <c r="AU89" s="7"/>
      <c r="AV89" s="7"/>
      <c r="AW89" s="7"/>
      <c r="AX89" s="7"/>
      <c r="AY89" s="7"/>
      <c r="AZ89" s="7"/>
      <c r="BA89" s="7"/>
      <c r="BB89" s="7"/>
      <c r="BC89" s="7"/>
      <c r="BD89" s="7"/>
      <c r="BE89" s="7"/>
      <c r="BF89" s="7"/>
      <c r="BG89" s="7"/>
      <c r="BH89" s="7"/>
      <c r="BI89" s="7"/>
      <c r="BJ89" s="7"/>
      <c r="BK89" s="7"/>
      <c r="BL89" s="7"/>
      <c r="BM89" s="7"/>
      <c r="BN89" s="7"/>
      <c r="BO89" s="7"/>
      <c r="BP89" s="7"/>
      <c r="BQ89" s="7"/>
      <c r="BR89" s="7"/>
      <c r="BS89" s="7"/>
      <c r="BT89" s="7"/>
      <c r="BU89" s="7"/>
      <c r="BV89" s="7"/>
      <c r="BW89" s="7"/>
      <c r="BX89" s="7"/>
      <c r="BY89" s="13"/>
      <c r="BZ89" s="7"/>
      <c r="CA89" s="7"/>
      <c r="CB89" s="2072"/>
      <c r="CC89" s="7"/>
      <c r="CD89" s="7"/>
    </row>
    <row r="90" spans="1:82" ht="14.25" customHeight="1">
      <c r="A90" s="7"/>
      <c r="B90" s="13"/>
      <c r="C90" s="13"/>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7"/>
      <c r="BL90" s="7"/>
      <c r="BM90" s="7"/>
      <c r="BN90" s="7"/>
      <c r="BO90" s="7"/>
      <c r="BP90" s="7"/>
      <c r="BQ90" s="7"/>
      <c r="BR90" s="7"/>
      <c r="BS90" s="7"/>
      <c r="BT90" s="7"/>
      <c r="BU90" s="7"/>
      <c r="BV90" s="7"/>
      <c r="BW90" s="7"/>
      <c r="BX90" s="7"/>
      <c r="BY90" s="13"/>
      <c r="BZ90" s="7"/>
      <c r="CA90" s="7"/>
      <c r="CB90" s="2072"/>
      <c r="CC90" s="7"/>
      <c r="CD90" s="7"/>
    </row>
    <row r="91" spans="1:82" ht="14.25" customHeight="1">
      <c r="A91" s="7"/>
      <c r="B91" s="154" t="s">
        <v>156</v>
      </c>
      <c r="C91" s="155"/>
      <c r="D91" s="268" t="str">
        <f t="shared" ref="D91:W91" si="498">D83</f>
        <v>F1Q05A</v>
      </c>
      <c r="E91" s="236" t="str">
        <f t="shared" si="498"/>
        <v>F2Q05A</v>
      </c>
      <c r="F91" s="236" t="str">
        <f t="shared" si="498"/>
        <v>F3Q05A</v>
      </c>
      <c r="G91" s="237" t="str">
        <f t="shared" si="498"/>
        <v>F4Q05A</v>
      </c>
      <c r="H91" s="268" t="str">
        <f t="shared" si="498"/>
        <v>F1Q06A</v>
      </c>
      <c r="I91" s="236" t="str">
        <f t="shared" si="498"/>
        <v>F2Q06A</v>
      </c>
      <c r="J91" s="236" t="str">
        <f t="shared" si="498"/>
        <v>F3Q06A</v>
      </c>
      <c r="K91" s="237" t="str">
        <f t="shared" si="498"/>
        <v>F4Q06A</v>
      </c>
      <c r="L91" s="268" t="str">
        <f t="shared" si="498"/>
        <v>F1Q07A</v>
      </c>
      <c r="M91" s="236" t="str">
        <f t="shared" si="498"/>
        <v>F2Q07A</v>
      </c>
      <c r="N91" s="236" t="str">
        <f t="shared" si="498"/>
        <v>F3Q07A</v>
      </c>
      <c r="O91" s="237" t="str">
        <f t="shared" si="498"/>
        <v>F4Q07A</v>
      </c>
      <c r="P91" s="268" t="str">
        <f t="shared" si="498"/>
        <v>F1Q08A</v>
      </c>
      <c r="Q91" s="236" t="str">
        <f t="shared" si="498"/>
        <v>F2Q08A</v>
      </c>
      <c r="R91" s="236" t="str">
        <f t="shared" si="498"/>
        <v>F3Q08A</v>
      </c>
      <c r="S91" s="237" t="str">
        <f t="shared" si="498"/>
        <v>F4Q08A</v>
      </c>
      <c r="T91" s="268" t="str">
        <f t="shared" si="498"/>
        <v>F1Q09A</v>
      </c>
      <c r="U91" s="236" t="str">
        <f t="shared" si="498"/>
        <v>F2Q09A</v>
      </c>
      <c r="V91" s="236" t="str">
        <f t="shared" si="498"/>
        <v>F3Q09A</v>
      </c>
      <c r="W91" s="237" t="str">
        <f t="shared" si="498"/>
        <v>F4Q09A</v>
      </c>
      <c r="X91" s="268" t="str">
        <f t="shared" ref="X91:AL91" si="499">X83</f>
        <v>F1Q10A</v>
      </c>
      <c r="Y91" s="236" t="str">
        <f t="shared" si="499"/>
        <v>F2Q10A</v>
      </c>
      <c r="Z91" s="236" t="str">
        <f t="shared" si="499"/>
        <v>F3Q10A</v>
      </c>
      <c r="AA91" s="237" t="str">
        <f t="shared" si="499"/>
        <v>F4Q10A</v>
      </c>
      <c r="AB91" s="268" t="str">
        <f>AB83</f>
        <v>F1Q11A</v>
      </c>
      <c r="AC91" s="236" t="str">
        <f t="shared" si="499"/>
        <v>F2Q11A</v>
      </c>
      <c r="AD91" s="236" t="str">
        <f t="shared" si="499"/>
        <v>F3Q11A</v>
      </c>
      <c r="AE91" s="237" t="str">
        <f>AE83</f>
        <v>F4Q11A</v>
      </c>
      <c r="AF91" s="268" t="str">
        <f>AF83</f>
        <v>F1Q12A</v>
      </c>
      <c r="AG91" s="236" t="str">
        <f t="shared" si="499"/>
        <v>F2Q12A</v>
      </c>
      <c r="AH91" s="236" t="str">
        <f t="shared" si="499"/>
        <v>F3Q12A</v>
      </c>
      <c r="AI91" s="237" t="str">
        <f t="shared" si="499"/>
        <v>F4Q12A</v>
      </c>
      <c r="AJ91" s="268" t="str">
        <f t="shared" si="499"/>
        <v>F1Q13A</v>
      </c>
      <c r="AK91" s="236" t="str">
        <f>AK83</f>
        <v>F2Q13A</v>
      </c>
      <c r="AL91" s="236" t="str">
        <f t="shared" si="499"/>
        <v>F3Q13A</v>
      </c>
      <c r="AM91" s="237" t="str">
        <f t="shared" ref="AM91:AU91" si="500">AM83</f>
        <v>F4Q13A</v>
      </c>
      <c r="AN91" s="268" t="str">
        <f t="shared" si="500"/>
        <v>F1Q14A</v>
      </c>
      <c r="AO91" s="236" t="str">
        <f t="shared" si="500"/>
        <v>F2Q14A</v>
      </c>
      <c r="AP91" s="236" t="str">
        <f t="shared" si="500"/>
        <v>F3Q14A</v>
      </c>
      <c r="AQ91" s="237" t="str">
        <f t="shared" si="500"/>
        <v>F4Q14A</v>
      </c>
      <c r="AR91" s="268" t="str">
        <f t="shared" si="500"/>
        <v>F1Q15A</v>
      </c>
      <c r="AS91" s="236" t="str">
        <f t="shared" si="500"/>
        <v>F2Q15A</v>
      </c>
      <c r="AT91" s="236" t="str">
        <f t="shared" si="500"/>
        <v>F3Q15A</v>
      </c>
      <c r="AU91" s="237" t="str">
        <f t="shared" si="500"/>
        <v>F4Q15A</v>
      </c>
      <c r="AV91" s="268" t="str">
        <f t="shared" ref="AV91:AY91" si="501">AV83</f>
        <v>F1Q16A</v>
      </c>
      <c r="AW91" s="236" t="str">
        <f t="shared" si="501"/>
        <v>C2Q16A</v>
      </c>
      <c r="AX91" s="236" t="str">
        <f t="shared" si="501"/>
        <v>F3Q16A</v>
      </c>
      <c r="AY91" s="237" t="str">
        <f t="shared" si="501"/>
        <v>F4Q16A</v>
      </c>
      <c r="AZ91" s="236" t="str">
        <f t="shared" ref="AZ91:BC91" si="502">AZ83</f>
        <v>F1Q17A</v>
      </c>
      <c r="BA91" s="236" t="str">
        <f t="shared" si="502"/>
        <v>C2Q17A</v>
      </c>
      <c r="BB91" s="236" t="str">
        <f t="shared" si="502"/>
        <v>C3Q17A</v>
      </c>
      <c r="BC91" s="237" t="str">
        <f t="shared" si="502"/>
        <v>F4Q17A</v>
      </c>
      <c r="BD91" s="236" t="str">
        <f t="shared" ref="BD91:BG91" si="503">BD83</f>
        <v>F1Q18A</v>
      </c>
      <c r="BE91" s="236" t="str">
        <f t="shared" si="503"/>
        <v>F2Q18E</v>
      </c>
      <c r="BF91" s="236" t="str">
        <f t="shared" si="503"/>
        <v>F3Q18E</v>
      </c>
      <c r="BG91" s="237" t="str">
        <f t="shared" si="503"/>
        <v>F4Q18E</v>
      </c>
      <c r="BH91" s="236" t="str">
        <f t="shared" ref="BH91:BK91" si="504">BH83</f>
        <v>F1Q19E</v>
      </c>
      <c r="BI91" s="236" t="str">
        <f t="shared" si="504"/>
        <v>F2Q19E</v>
      </c>
      <c r="BJ91" s="236" t="str">
        <f t="shared" si="504"/>
        <v>F3Q19E</v>
      </c>
      <c r="BK91" s="237" t="str">
        <f t="shared" si="504"/>
        <v>F4Q19E</v>
      </c>
      <c r="BL91" s="19"/>
      <c r="BM91" s="16" t="str">
        <f t="shared" ref="BM91:BS91" si="505">BM83</f>
        <v>FY2005A</v>
      </c>
      <c r="BN91" s="17" t="str">
        <f t="shared" si="505"/>
        <v>FY2006A</v>
      </c>
      <c r="BO91" s="17" t="str">
        <f t="shared" si="505"/>
        <v>FY2007A</v>
      </c>
      <c r="BP91" s="1848" t="str">
        <f t="shared" si="505"/>
        <v>FY2008A</v>
      </c>
      <c r="BQ91" s="1848" t="str">
        <f t="shared" si="505"/>
        <v>FY2009A</v>
      </c>
      <c r="BR91" s="1848" t="str">
        <f t="shared" si="505"/>
        <v>FY2010A</v>
      </c>
      <c r="BS91" s="17" t="str">
        <f t="shared" si="505"/>
        <v>FY2011A</v>
      </c>
      <c r="BT91" s="1848" t="str">
        <f t="shared" ref="BT91:BY91" si="506">BT83</f>
        <v>FY2012A</v>
      </c>
      <c r="BU91" s="1848" t="str">
        <f t="shared" si="506"/>
        <v>FY2013A</v>
      </c>
      <c r="BV91" s="1848" t="str">
        <f>BV83</f>
        <v>FY2014A</v>
      </c>
      <c r="BW91" s="1848" t="str">
        <f t="shared" si="506"/>
        <v>FY2015A</v>
      </c>
      <c r="BX91" s="1848" t="str">
        <f t="shared" si="506"/>
        <v>FY2016A</v>
      </c>
      <c r="BY91" s="17" t="str">
        <f t="shared" si="506"/>
        <v>FY2017A</v>
      </c>
      <c r="BZ91" s="17" t="str">
        <f t="shared" ref="BZ91:CB91" si="507">BZ83</f>
        <v>FY2018E</v>
      </c>
      <c r="CA91" s="1848" t="str">
        <f t="shared" si="507"/>
        <v>FY2019E</v>
      </c>
      <c r="CB91" s="1849" t="str">
        <f t="shared" si="507"/>
        <v>FY2020E</v>
      </c>
      <c r="CC91" s="20"/>
      <c r="CD91" s="13"/>
    </row>
    <row r="92" spans="1:82" ht="14.25" customHeight="1">
      <c r="A92" s="7"/>
      <c r="B92" s="20" t="s">
        <v>157</v>
      </c>
      <c r="C92" s="238"/>
      <c r="D92" s="352">
        <f t="shared" ref="D92:AU92" si="508">D30+D33</f>
        <v>-267.14499999999998</v>
      </c>
      <c r="E92" s="353">
        <f t="shared" si="508"/>
        <v>-38.102000000000032</v>
      </c>
      <c r="F92" s="353">
        <f t="shared" si="508"/>
        <v>66.790000000000191</v>
      </c>
      <c r="G92" s="275">
        <f t="shared" si="508"/>
        <v>208.45699999999943</v>
      </c>
      <c r="H92" s="352">
        <f t="shared" si="508"/>
        <v>256.02299999999991</v>
      </c>
      <c r="I92" s="353">
        <f t="shared" si="508"/>
        <v>-236.51400000000001</v>
      </c>
      <c r="J92" s="353">
        <f t="shared" si="508"/>
        <v>-194.70699999999988</v>
      </c>
      <c r="K92" s="275">
        <f t="shared" si="508"/>
        <v>-394.80199999999979</v>
      </c>
      <c r="L92" s="352">
        <f t="shared" si="508"/>
        <v>-545</v>
      </c>
      <c r="M92" s="353">
        <f t="shared" si="508"/>
        <v>-1049</v>
      </c>
      <c r="N92" s="353">
        <f t="shared" si="508"/>
        <v>-196</v>
      </c>
      <c r="O92" s="275">
        <f t="shared" si="508"/>
        <v>-205</v>
      </c>
      <c r="P92" s="352">
        <f t="shared" si="508"/>
        <v>-307</v>
      </c>
      <c r="Q92" s="353">
        <f t="shared" si="508"/>
        <v>-348</v>
      </c>
      <c r="R92" s="353">
        <f t="shared" si="508"/>
        <v>-298</v>
      </c>
      <c r="S92" s="275">
        <f t="shared" si="508"/>
        <v>-363</v>
      </c>
      <c r="T92" s="352">
        <f t="shared" si="508"/>
        <v>-475</v>
      </c>
      <c r="U92" s="353">
        <f t="shared" si="508"/>
        <v>-256</v>
      </c>
      <c r="V92" s="353">
        <f t="shared" si="508"/>
        <v>-239</v>
      </c>
      <c r="W92" s="275">
        <f t="shared" si="508"/>
        <v>977</v>
      </c>
      <c r="X92" s="352">
        <f t="shared" si="508"/>
        <v>-25</v>
      </c>
      <c r="Y92" s="353">
        <f t="shared" si="508"/>
        <v>-129</v>
      </c>
      <c r="Z92" s="353">
        <f t="shared" si="508"/>
        <v>-155</v>
      </c>
      <c r="AA92" s="275">
        <f t="shared" si="508"/>
        <v>-251</v>
      </c>
      <c r="AB92" s="274">
        <f t="shared" si="508"/>
        <v>-206</v>
      </c>
      <c r="AC92" s="274">
        <f t="shared" si="508"/>
        <v>107</v>
      </c>
      <c r="AD92" s="274">
        <f t="shared" si="508"/>
        <v>131</v>
      </c>
      <c r="AE92" s="275">
        <f t="shared" si="508"/>
        <v>100</v>
      </c>
      <c r="AF92" s="274">
        <f t="shared" si="508"/>
        <v>67</v>
      </c>
      <c r="AG92" s="274">
        <f t="shared" si="508"/>
        <v>42</v>
      </c>
      <c r="AH92" s="274">
        <f t="shared" si="508"/>
        <v>-272</v>
      </c>
      <c r="AI92" s="275">
        <f t="shared" si="508"/>
        <v>-308</v>
      </c>
      <c r="AJ92" s="274">
        <f t="shared" si="508"/>
        <v>-175</v>
      </c>
      <c r="AK92" s="274">
        <f t="shared" si="508"/>
        <v>-63</v>
      </c>
      <c r="AL92" s="274">
        <f t="shared" si="508"/>
        <v>6</v>
      </c>
      <c r="AM92" s="275">
        <f t="shared" si="508"/>
        <v>0</v>
      </c>
      <c r="AN92" s="274">
        <f t="shared" si="508"/>
        <v>-225</v>
      </c>
      <c r="AO92" s="274">
        <f t="shared" si="508"/>
        <v>-51</v>
      </c>
      <c r="AP92" s="274">
        <f t="shared" si="508"/>
        <v>-11</v>
      </c>
      <c r="AQ92" s="275">
        <f t="shared" si="508"/>
        <v>94</v>
      </c>
      <c r="AR92" s="274">
        <f t="shared" si="508"/>
        <v>-195</v>
      </c>
      <c r="AS92" s="274">
        <f t="shared" si="508"/>
        <v>-75</v>
      </c>
      <c r="AT92" s="274">
        <f>AT30+AT33</f>
        <v>-84</v>
      </c>
      <c r="AU92" s="275">
        <f t="shared" si="508"/>
        <v>32</v>
      </c>
      <c r="AV92" s="274">
        <f>AV30+AV33</f>
        <v>-68</v>
      </c>
      <c r="AW92" s="274">
        <f t="shared" ref="AW92" si="509">AW30+AW33</f>
        <v>-106</v>
      </c>
      <c r="AX92" s="274">
        <f>AX30+AX33</f>
        <v>20</v>
      </c>
      <c r="AY92" s="275">
        <f t="shared" ref="AY92" si="510">AY30+AY33</f>
        <v>167</v>
      </c>
      <c r="AZ92" s="274">
        <f t="shared" ref="AZ92:BC92" si="511">AZ30+AZ33</f>
        <v>-322</v>
      </c>
      <c r="BA92" s="274">
        <f t="shared" si="511"/>
        <v>-94</v>
      </c>
      <c r="BB92" s="274">
        <f t="shared" si="511"/>
        <v>32</v>
      </c>
      <c r="BC92" s="275">
        <f t="shared" si="511"/>
        <v>339</v>
      </c>
      <c r="BD92" s="274">
        <f t="shared" ref="BD92:BG92" si="512">BD30+BD33</f>
        <v>-132</v>
      </c>
      <c r="BE92" s="274">
        <f t="shared" si="512"/>
        <v>130.41166016181364</v>
      </c>
      <c r="BF92" s="274">
        <f t="shared" si="512"/>
        <v>146.13888577934631</v>
      </c>
      <c r="BG92" s="275">
        <f t="shared" si="512"/>
        <v>128.34757179882376</v>
      </c>
      <c r="BH92" s="274">
        <f t="shared" ref="BH92:BK92" si="513">BH30+BH33</f>
        <v>169.33843638368529</v>
      </c>
      <c r="BI92" s="274">
        <f t="shared" si="513"/>
        <v>114.68910833712539</v>
      </c>
      <c r="BJ92" s="274">
        <f t="shared" si="513"/>
        <v>85.245648379441803</v>
      </c>
      <c r="BK92" s="275">
        <f t="shared" si="513"/>
        <v>144.49714236026975</v>
      </c>
      <c r="BL92" s="19"/>
      <c r="BM92" s="276">
        <f t="shared" ref="BM92:BY92" si="514">BM30+BM33</f>
        <v>-30.000000000000227</v>
      </c>
      <c r="BN92" s="276">
        <f t="shared" si="514"/>
        <v>-569.99999999999977</v>
      </c>
      <c r="BO92" s="276">
        <f t="shared" si="514"/>
        <v>-1995</v>
      </c>
      <c r="BP92" s="276">
        <f t="shared" si="514"/>
        <v>-1316</v>
      </c>
      <c r="BQ92" s="276">
        <f t="shared" si="514"/>
        <v>7</v>
      </c>
      <c r="BR92" s="276">
        <f t="shared" si="514"/>
        <v>-560</v>
      </c>
      <c r="BS92" s="276">
        <f t="shared" si="514"/>
        <v>132</v>
      </c>
      <c r="BT92" s="276">
        <f t="shared" si="514"/>
        <v>-471</v>
      </c>
      <c r="BU92" s="276">
        <f t="shared" si="514"/>
        <v>-232</v>
      </c>
      <c r="BV92" s="276">
        <f t="shared" si="514"/>
        <v>-193</v>
      </c>
      <c r="BW92" s="276">
        <f t="shared" si="514"/>
        <v>-322</v>
      </c>
      <c r="BX92" s="276">
        <f t="shared" si="514"/>
        <v>13</v>
      </c>
      <c r="BY92" s="353">
        <f t="shared" si="514"/>
        <v>-45</v>
      </c>
      <c r="BZ92" s="276">
        <f t="shared" ref="BZ92:CB92" si="515">BZ30+BZ33</f>
        <v>272.89811773998395</v>
      </c>
      <c r="CA92" s="276">
        <f t="shared" si="515"/>
        <v>513.77033546052201</v>
      </c>
      <c r="CB92" s="2163">
        <f t="shared" si="515"/>
        <v>342.6143912300102</v>
      </c>
      <c r="CC92" s="20"/>
      <c r="CD92" s="13"/>
    </row>
    <row r="93" spans="1:82" ht="14.25" customHeight="1">
      <c r="A93" s="7"/>
      <c r="B93" s="14" t="s">
        <v>158</v>
      </c>
      <c r="C93" s="15"/>
      <c r="D93" s="279">
        <f t="shared" ref="D93:AV93" si="516">D92-D11</f>
        <v>-267.291</v>
      </c>
      <c r="E93" s="277">
        <f t="shared" si="516"/>
        <v>-38.422000000000033</v>
      </c>
      <c r="F93" s="277">
        <f t="shared" si="516"/>
        <v>66.51300000000019</v>
      </c>
      <c r="G93" s="278">
        <f t="shared" si="516"/>
        <v>204.19999999999942</v>
      </c>
      <c r="H93" s="279">
        <f t="shared" si="516"/>
        <v>240.97799999999992</v>
      </c>
      <c r="I93" s="277">
        <f t="shared" si="516"/>
        <v>-254.56800000000001</v>
      </c>
      <c r="J93" s="277">
        <f t="shared" si="516"/>
        <v>-211.21699999999987</v>
      </c>
      <c r="K93" s="278">
        <f t="shared" si="516"/>
        <v>-422.19299999999981</v>
      </c>
      <c r="L93" s="279">
        <f t="shared" si="516"/>
        <v>-573</v>
      </c>
      <c r="M93" s="277">
        <f t="shared" si="516"/>
        <v>-1080</v>
      </c>
      <c r="N93" s="277">
        <f t="shared" si="516"/>
        <v>-223</v>
      </c>
      <c r="O93" s="278">
        <f t="shared" si="516"/>
        <v>-231</v>
      </c>
      <c r="P93" s="279">
        <f t="shared" si="516"/>
        <v>-328</v>
      </c>
      <c r="Q93" s="277">
        <f t="shared" si="516"/>
        <v>-368</v>
      </c>
      <c r="R93" s="277">
        <f t="shared" si="516"/>
        <v>-319</v>
      </c>
      <c r="S93" s="278">
        <f t="shared" si="516"/>
        <v>-384</v>
      </c>
      <c r="T93" s="279">
        <f t="shared" si="516"/>
        <v>-496</v>
      </c>
      <c r="U93" s="277">
        <f t="shared" si="516"/>
        <v>-275</v>
      </c>
      <c r="V93" s="277">
        <f t="shared" si="516"/>
        <v>-256</v>
      </c>
      <c r="W93" s="278">
        <f t="shared" si="516"/>
        <v>959</v>
      </c>
      <c r="X93" s="279">
        <f t="shared" si="516"/>
        <v>-45</v>
      </c>
      <c r="Y93" s="277">
        <f t="shared" si="516"/>
        <v>-152</v>
      </c>
      <c r="Z93" s="277">
        <f t="shared" si="516"/>
        <v>-177</v>
      </c>
      <c r="AA93" s="278">
        <f t="shared" si="516"/>
        <v>-273</v>
      </c>
      <c r="AB93" s="277">
        <f t="shared" si="516"/>
        <v>-233</v>
      </c>
      <c r="AC93" s="277">
        <f t="shared" si="516"/>
        <v>87</v>
      </c>
      <c r="AD93" s="277">
        <f t="shared" si="516"/>
        <v>109</v>
      </c>
      <c r="AE93" s="278">
        <f t="shared" si="516"/>
        <v>79</v>
      </c>
      <c r="AF93" s="277">
        <f t="shared" si="516"/>
        <v>46</v>
      </c>
      <c r="AG93" s="277">
        <f t="shared" si="516"/>
        <v>16</v>
      </c>
      <c r="AH93" s="277">
        <f t="shared" si="516"/>
        <v>-299</v>
      </c>
      <c r="AI93" s="278">
        <f t="shared" si="516"/>
        <v>-331</v>
      </c>
      <c r="AJ93" s="277">
        <f t="shared" si="516"/>
        <v>-199</v>
      </c>
      <c r="AK93" s="277">
        <f t="shared" si="516"/>
        <v>-83</v>
      </c>
      <c r="AL93" s="277">
        <f t="shared" si="516"/>
        <v>-17</v>
      </c>
      <c r="AM93" s="278">
        <f t="shared" si="516"/>
        <v>-24</v>
      </c>
      <c r="AN93" s="277">
        <f t="shared" si="516"/>
        <v>-248</v>
      </c>
      <c r="AO93" s="277">
        <f t="shared" si="516"/>
        <v>-72</v>
      </c>
      <c r="AP93" s="277">
        <f t="shared" si="516"/>
        <v>-32</v>
      </c>
      <c r="AQ93" s="278">
        <f t="shared" si="516"/>
        <v>78</v>
      </c>
      <c r="AR93" s="277">
        <f t="shared" si="516"/>
        <v>-212</v>
      </c>
      <c r="AS93" s="277">
        <f t="shared" si="516"/>
        <v>-92</v>
      </c>
      <c r="AT93" s="277">
        <f>AT92-AT11</f>
        <v>-97</v>
      </c>
      <c r="AU93" s="278">
        <f t="shared" si="516"/>
        <v>16</v>
      </c>
      <c r="AV93" s="277">
        <f t="shared" si="516"/>
        <v>-84</v>
      </c>
      <c r="AW93" s="277">
        <f t="shared" ref="AW93" si="517">AW92-AW11</f>
        <v>-124</v>
      </c>
      <c r="AX93" s="277">
        <f>AX92-AX11</f>
        <v>-3</v>
      </c>
      <c r="AY93" s="278">
        <f t="shared" ref="AY93" si="518">AY92-AY11</f>
        <v>138</v>
      </c>
      <c r="AZ93" s="277">
        <f t="shared" ref="AZ93:BC93" si="519">AZ92-AZ11</f>
        <v>-345</v>
      </c>
      <c r="BA93" s="277">
        <f t="shared" si="519"/>
        <v>-118</v>
      </c>
      <c r="BB93" s="277">
        <f t="shared" si="519"/>
        <v>3</v>
      </c>
      <c r="BC93" s="278">
        <f t="shared" si="519"/>
        <v>318</v>
      </c>
      <c r="BD93" s="277">
        <f t="shared" ref="BD93:BG93" si="520">BD92-BD11</f>
        <v>-153</v>
      </c>
      <c r="BE93" s="277">
        <f t="shared" si="520"/>
        <v>109.41166016181364</v>
      </c>
      <c r="BF93" s="277">
        <f t="shared" si="520"/>
        <v>125.13888577934631</v>
      </c>
      <c r="BG93" s="278">
        <f t="shared" si="520"/>
        <v>107.34757179882376</v>
      </c>
      <c r="BH93" s="277">
        <f t="shared" ref="BH93:BK93" si="521">BH92-BH11</f>
        <v>148.33843638368529</v>
      </c>
      <c r="BI93" s="277">
        <f t="shared" si="521"/>
        <v>93.68910833712539</v>
      </c>
      <c r="BJ93" s="277">
        <f t="shared" si="521"/>
        <v>64.245648379441803</v>
      </c>
      <c r="BK93" s="278">
        <f t="shared" si="521"/>
        <v>123.49714236026975</v>
      </c>
      <c r="BL93" s="19"/>
      <c r="BM93" s="277">
        <f t="shared" ref="BM93:BY93" si="522">BM92-BM11</f>
        <v>-35.000000000000227</v>
      </c>
      <c r="BN93" s="277">
        <f t="shared" si="522"/>
        <v>-646.99999999999977</v>
      </c>
      <c r="BO93" s="277">
        <f t="shared" si="522"/>
        <v>-2107</v>
      </c>
      <c r="BP93" s="277">
        <f t="shared" si="522"/>
        <v>-1399</v>
      </c>
      <c r="BQ93" s="277">
        <f t="shared" si="522"/>
        <v>-68</v>
      </c>
      <c r="BR93" s="277">
        <f t="shared" si="522"/>
        <v>-647</v>
      </c>
      <c r="BS93" s="277">
        <f t="shared" si="522"/>
        <v>42</v>
      </c>
      <c r="BT93" s="277">
        <f t="shared" si="522"/>
        <v>-568</v>
      </c>
      <c r="BU93" s="277">
        <f t="shared" si="522"/>
        <v>-323</v>
      </c>
      <c r="BV93" s="277">
        <f t="shared" si="522"/>
        <v>-274</v>
      </c>
      <c r="BW93" s="277">
        <f t="shared" si="522"/>
        <v>-385</v>
      </c>
      <c r="BX93" s="277">
        <f t="shared" si="522"/>
        <v>-73</v>
      </c>
      <c r="BY93" s="277">
        <f t="shared" si="522"/>
        <v>-142</v>
      </c>
      <c r="BZ93" s="277">
        <f t="shared" ref="BZ93:CB93" si="523">BZ92-BZ11</f>
        <v>188.89811773998395</v>
      </c>
      <c r="CA93" s="277">
        <f t="shared" si="523"/>
        <v>429.77033546052201</v>
      </c>
      <c r="CB93" s="2164">
        <f t="shared" si="523"/>
        <v>258.6143912300102</v>
      </c>
      <c r="CC93" s="20"/>
      <c r="CD93" s="13"/>
    </row>
    <row r="94" spans="1:82" ht="14.2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280"/>
      <c r="BN94" s="280"/>
      <c r="BO94" s="280"/>
      <c r="BP94" s="280"/>
      <c r="BQ94" s="280"/>
      <c r="BR94" s="280"/>
      <c r="BS94" s="280"/>
      <c r="BT94" s="280"/>
      <c r="BU94" s="280"/>
      <c r="BV94" s="280"/>
      <c r="BW94" s="280"/>
      <c r="BX94" s="280"/>
      <c r="BY94" s="912"/>
      <c r="BZ94" s="280"/>
      <c r="CA94" s="280"/>
      <c r="CB94" s="2099"/>
      <c r="CC94" s="1"/>
      <c r="CD94" s="1"/>
    </row>
    <row r="95" spans="1:82" ht="14.2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280"/>
      <c r="BN95" s="280"/>
      <c r="BO95" s="280"/>
      <c r="BP95" s="280"/>
      <c r="BQ95" s="280"/>
      <c r="BR95" s="280"/>
      <c r="BS95" s="280"/>
      <c r="BT95" s="280"/>
      <c r="BU95" s="280"/>
      <c r="BV95" s="280"/>
      <c r="BW95" s="280"/>
      <c r="BX95" s="280"/>
      <c r="BY95" s="912"/>
      <c r="BZ95" s="280"/>
      <c r="CA95" s="280"/>
      <c r="CB95" s="2099"/>
      <c r="CC95" s="1"/>
      <c r="CD95" s="1"/>
    </row>
    <row r="96" spans="1:82" ht="14.2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280"/>
      <c r="BN96" s="280"/>
      <c r="BO96" s="280"/>
      <c r="BP96" s="280"/>
      <c r="BQ96" s="280"/>
      <c r="BR96" s="280"/>
      <c r="BS96" s="280"/>
      <c r="BT96" s="280"/>
      <c r="BU96" s="280"/>
      <c r="BV96" s="280"/>
      <c r="BW96" s="280"/>
      <c r="BX96" s="280"/>
      <c r="BY96" s="912"/>
      <c r="BZ96" s="280"/>
      <c r="CA96" s="280"/>
      <c r="CB96" s="2099"/>
      <c r="CC96" s="1"/>
      <c r="CD96" s="1"/>
    </row>
    <row r="97" spans="1:82" ht="14.25" customHeight="1" outlineLevel="1">
      <c r="A97" s="7"/>
      <c r="B97" s="8" t="s">
        <v>237</v>
      </c>
      <c r="C97" s="9"/>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3"/>
      <c r="BM97" s="234"/>
      <c r="BN97" s="234"/>
      <c r="BO97" s="234"/>
      <c r="BP97" s="234"/>
      <c r="BQ97" s="234"/>
      <c r="BR97" s="234"/>
      <c r="BS97" s="234"/>
      <c r="BT97" s="234"/>
      <c r="BU97" s="234"/>
      <c r="BV97" s="234"/>
      <c r="BW97" s="234"/>
      <c r="BX97" s="234"/>
      <c r="BY97" s="234"/>
      <c r="BZ97" s="234"/>
      <c r="CA97" s="234"/>
      <c r="CB97" s="2158"/>
      <c r="CC97" s="7"/>
      <c r="CD97" s="7"/>
    </row>
    <row r="98" spans="1:82" ht="14.25" customHeight="1" outlineLevel="1">
      <c r="A98" s="13"/>
      <c r="B98" s="11" t="s">
        <v>190</v>
      </c>
      <c r="C98" s="12"/>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69"/>
      <c r="BM98" s="117"/>
      <c r="BN98" s="117"/>
      <c r="BO98" s="117"/>
      <c r="BP98" s="117"/>
      <c r="BQ98" s="117"/>
      <c r="BR98" s="117"/>
      <c r="BS98" s="117"/>
      <c r="BT98" s="117"/>
      <c r="BU98" s="117"/>
      <c r="BV98" s="117"/>
      <c r="BW98" s="117"/>
      <c r="BX98" s="117"/>
      <c r="BY98" s="117"/>
      <c r="BZ98" s="117"/>
      <c r="CA98" s="117"/>
      <c r="CB98" s="2112"/>
      <c r="CC98" s="7"/>
      <c r="CD98" s="7"/>
    </row>
    <row r="99" spans="1:82" ht="14.25" customHeight="1" outlineLevel="1">
      <c r="A99" s="13"/>
      <c r="B99" s="306"/>
      <c r="C99" s="191"/>
      <c r="D99" s="16" t="str">
        <f t="shared" ref="D99:AV99" si="524">D6</f>
        <v>F1Q05A</v>
      </c>
      <c r="E99" s="17" t="str">
        <f t="shared" si="524"/>
        <v>F2Q05A</v>
      </c>
      <c r="F99" s="17" t="str">
        <f t="shared" si="524"/>
        <v>F3Q05A</v>
      </c>
      <c r="G99" s="18" t="str">
        <f t="shared" si="524"/>
        <v>F4Q05A</v>
      </c>
      <c r="H99" s="16" t="str">
        <f t="shared" si="524"/>
        <v>F1Q06A</v>
      </c>
      <c r="I99" s="17" t="str">
        <f t="shared" si="524"/>
        <v>F2Q06A</v>
      </c>
      <c r="J99" s="17" t="str">
        <f t="shared" si="524"/>
        <v>F3Q06A</v>
      </c>
      <c r="K99" s="18" t="str">
        <f t="shared" si="524"/>
        <v>F4Q06A</v>
      </c>
      <c r="L99" s="16" t="str">
        <f t="shared" si="524"/>
        <v>F1Q07A</v>
      </c>
      <c r="M99" s="17" t="str">
        <f t="shared" si="524"/>
        <v>F2Q07A</v>
      </c>
      <c r="N99" s="17" t="str">
        <f t="shared" si="524"/>
        <v>F3Q07A</v>
      </c>
      <c r="O99" s="18" t="str">
        <f t="shared" si="524"/>
        <v>F4Q07A</v>
      </c>
      <c r="P99" s="16" t="str">
        <f t="shared" si="524"/>
        <v>F1Q08A</v>
      </c>
      <c r="Q99" s="17" t="str">
        <f t="shared" si="524"/>
        <v>F2Q08A</v>
      </c>
      <c r="R99" s="17" t="str">
        <f t="shared" si="524"/>
        <v>F3Q08A</v>
      </c>
      <c r="S99" s="18" t="str">
        <f t="shared" si="524"/>
        <v>F4Q08A</v>
      </c>
      <c r="T99" s="16" t="str">
        <f t="shared" si="524"/>
        <v>F1Q09A</v>
      </c>
      <c r="U99" s="17" t="str">
        <f t="shared" si="524"/>
        <v>F2Q09A</v>
      </c>
      <c r="V99" s="17" t="str">
        <f t="shared" si="524"/>
        <v>F3Q09A</v>
      </c>
      <c r="W99" s="18" t="str">
        <f t="shared" si="524"/>
        <v>F4Q09A</v>
      </c>
      <c r="X99" s="16" t="str">
        <f t="shared" si="524"/>
        <v>F1Q10A</v>
      </c>
      <c r="Y99" s="17" t="str">
        <f t="shared" si="524"/>
        <v>F2Q10A</v>
      </c>
      <c r="Z99" s="17" t="str">
        <f t="shared" si="524"/>
        <v>F3Q10A</v>
      </c>
      <c r="AA99" s="18" t="str">
        <f t="shared" si="524"/>
        <v>F4Q10A</v>
      </c>
      <c r="AB99" s="16" t="str">
        <f t="shared" si="524"/>
        <v>F1Q11A</v>
      </c>
      <c r="AC99" s="17" t="str">
        <f t="shared" si="524"/>
        <v>F2Q11A</v>
      </c>
      <c r="AD99" s="17" t="str">
        <f t="shared" si="524"/>
        <v>F3Q11A</v>
      </c>
      <c r="AE99" s="18" t="str">
        <f t="shared" si="524"/>
        <v>F4Q11A</v>
      </c>
      <c r="AF99" s="16" t="str">
        <f t="shared" si="524"/>
        <v>F1Q12A</v>
      </c>
      <c r="AG99" s="17" t="str">
        <f t="shared" si="524"/>
        <v>F2Q12A</v>
      </c>
      <c r="AH99" s="17" t="str">
        <f t="shared" si="524"/>
        <v>F3Q12A</v>
      </c>
      <c r="AI99" s="18" t="str">
        <f t="shared" si="524"/>
        <v>F4Q12A</v>
      </c>
      <c r="AJ99" s="16" t="str">
        <f t="shared" si="524"/>
        <v>F1Q13A</v>
      </c>
      <c r="AK99" s="17" t="str">
        <f t="shared" si="524"/>
        <v>F2Q13A</v>
      </c>
      <c r="AL99" s="17" t="str">
        <f t="shared" si="524"/>
        <v>F3Q13A</v>
      </c>
      <c r="AM99" s="18" t="str">
        <f t="shared" si="524"/>
        <v>F4Q13A</v>
      </c>
      <c r="AN99" s="16" t="str">
        <f t="shared" si="524"/>
        <v>F1Q14A</v>
      </c>
      <c r="AO99" s="17" t="str">
        <f t="shared" si="524"/>
        <v>F2Q14A</v>
      </c>
      <c r="AP99" s="17" t="str">
        <f t="shared" si="524"/>
        <v>F3Q14A</v>
      </c>
      <c r="AQ99" s="18" t="str">
        <f t="shared" si="524"/>
        <v>F4Q14A</v>
      </c>
      <c r="AR99" s="16" t="str">
        <f t="shared" si="524"/>
        <v>F1Q15A</v>
      </c>
      <c r="AS99" s="17" t="str">
        <f t="shared" si="524"/>
        <v>F2Q15A</v>
      </c>
      <c r="AT99" s="17" t="str">
        <f t="shared" si="524"/>
        <v>F3Q15A</v>
      </c>
      <c r="AU99" s="18" t="str">
        <f t="shared" si="524"/>
        <v>F4Q15A</v>
      </c>
      <c r="AV99" s="16" t="str">
        <f t="shared" si="524"/>
        <v>F1Q16A</v>
      </c>
      <c r="AW99" s="17" t="str">
        <f t="shared" ref="AW99" si="525">AW6</f>
        <v>C2Q16A</v>
      </c>
      <c r="AX99" s="17" t="str">
        <f t="shared" ref="AX99:AY99" si="526">AX6</f>
        <v>F3Q16A</v>
      </c>
      <c r="AY99" s="18" t="str">
        <f t="shared" si="526"/>
        <v>F4Q16A</v>
      </c>
      <c r="AZ99" s="17" t="str">
        <f t="shared" ref="AZ99:BC99" si="527">AZ6</f>
        <v>F1Q17A</v>
      </c>
      <c r="BA99" s="17" t="str">
        <f t="shared" si="527"/>
        <v>C2Q17A</v>
      </c>
      <c r="BB99" s="17" t="str">
        <f t="shared" si="527"/>
        <v>C3Q17A</v>
      </c>
      <c r="BC99" s="18" t="str">
        <f t="shared" si="527"/>
        <v>F4Q17A</v>
      </c>
      <c r="BD99" s="17" t="str">
        <f t="shared" ref="BD99:BG99" si="528">BD6</f>
        <v>F1Q18A</v>
      </c>
      <c r="BE99" s="17" t="str">
        <f t="shared" si="528"/>
        <v>F2Q18E</v>
      </c>
      <c r="BF99" s="17" t="str">
        <f t="shared" si="528"/>
        <v>F3Q18E</v>
      </c>
      <c r="BG99" s="18" t="str">
        <f t="shared" si="528"/>
        <v>F4Q18E</v>
      </c>
      <c r="BH99" s="1848" t="str">
        <f t="shared" ref="BH99:BK99" si="529">BH6</f>
        <v>F1Q19E</v>
      </c>
      <c r="BI99" s="1848" t="str">
        <f t="shared" si="529"/>
        <v>F2Q19E</v>
      </c>
      <c r="BJ99" s="1848" t="str">
        <f t="shared" si="529"/>
        <v>F3Q19E</v>
      </c>
      <c r="BK99" s="1849" t="str">
        <f t="shared" si="529"/>
        <v>F4Q19E</v>
      </c>
      <c r="BL99" s="179"/>
      <c r="BM99" s="16" t="str">
        <f t="shared" ref="BM99:BY99" si="530">BM6</f>
        <v>FY2005A</v>
      </c>
      <c r="BN99" s="17" t="str">
        <f t="shared" si="530"/>
        <v>FY2006A</v>
      </c>
      <c r="BO99" s="17" t="str">
        <f t="shared" si="530"/>
        <v>FY2007A</v>
      </c>
      <c r="BP99" s="1848" t="str">
        <f t="shared" si="530"/>
        <v>FY2008A</v>
      </c>
      <c r="BQ99" s="1848" t="str">
        <f t="shared" si="530"/>
        <v>FY2009A</v>
      </c>
      <c r="BR99" s="1848" t="str">
        <f t="shared" si="530"/>
        <v>FY2010A</v>
      </c>
      <c r="BS99" s="17" t="str">
        <f t="shared" si="530"/>
        <v>FY2011A</v>
      </c>
      <c r="BT99" s="1848" t="str">
        <f t="shared" si="530"/>
        <v>FY2012A</v>
      </c>
      <c r="BU99" s="1848" t="str">
        <f t="shared" si="530"/>
        <v>FY2013A</v>
      </c>
      <c r="BV99" s="1848" t="str">
        <f t="shared" si="530"/>
        <v>FY2014A</v>
      </c>
      <c r="BW99" s="1848" t="str">
        <f t="shared" si="530"/>
        <v>FY2015A</v>
      </c>
      <c r="BX99" s="1848" t="str">
        <f t="shared" si="530"/>
        <v>FY2016A</v>
      </c>
      <c r="BY99" s="17" t="str">
        <f t="shared" si="530"/>
        <v>FY2017A</v>
      </c>
      <c r="BZ99" s="17" t="str">
        <f t="shared" ref="BZ99:CB99" si="531">BZ6</f>
        <v>FY2018E</v>
      </c>
      <c r="CA99" s="1848" t="str">
        <f t="shared" si="531"/>
        <v>FY2019E</v>
      </c>
      <c r="CB99" s="1849" t="str">
        <f t="shared" si="531"/>
        <v>FY2020E</v>
      </c>
      <c r="CC99" s="2140"/>
      <c r="CD99" s="13"/>
    </row>
    <row r="100" spans="1:82" ht="14.25" customHeight="1" outlineLevel="1">
      <c r="A100" s="7"/>
      <c r="B100" s="192" t="s">
        <v>124</v>
      </c>
      <c r="C100" s="43"/>
      <c r="D100" s="195"/>
      <c r="E100" s="193"/>
      <c r="F100" s="193"/>
      <c r="G100" s="194"/>
      <c r="H100" s="195"/>
      <c r="I100" s="193"/>
      <c r="J100" s="193"/>
      <c r="K100" s="194"/>
      <c r="L100" s="195"/>
      <c r="M100" s="193"/>
      <c r="N100" s="193"/>
      <c r="O100" s="194"/>
      <c r="P100" s="195"/>
      <c r="Q100" s="193"/>
      <c r="R100" s="193"/>
      <c r="S100" s="194"/>
      <c r="T100" s="195"/>
      <c r="U100" s="193"/>
      <c r="V100" s="193"/>
      <c r="W100" s="194"/>
      <c r="X100" s="195"/>
      <c r="Y100" s="193"/>
      <c r="Z100" s="193"/>
      <c r="AA100" s="194"/>
      <c r="AB100" s="195"/>
      <c r="AC100" s="193"/>
      <c r="AD100" s="193"/>
      <c r="AE100" s="194"/>
      <c r="AF100" s="195"/>
      <c r="AG100" s="193"/>
      <c r="AH100" s="193"/>
      <c r="AI100" s="194"/>
      <c r="AJ100" s="195"/>
      <c r="AK100" s="193"/>
      <c r="AL100" s="193"/>
      <c r="AM100" s="194"/>
      <c r="AN100" s="195"/>
      <c r="AO100" s="193"/>
      <c r="AP100" s="193"/>
      <c r="AQ100" s="194"/>
      <c r="AR100" s="195"/>
      <c r="AS100" s="193"/>
      <c r="AT100" s="193"/>
      <c r="AU100" s="194"/>
      <c r="AV100" s="195"/>
      <c r="AW100" s="193"/>
      <c r="AX100" s="193"/>
      <c r="AY100" s="194"/>
      <c r="AZ100" s="193"/>
      <c r="BA100" s="193"/>
      <c r="BB100" s="193"/>
      <c r="BC100" s="194"/>
      <c r="BD100" s="193"/>
      <c r="BE100" s="193"/>
      <c r="BF100" s="193"/>
      <c r="BG100" s="194"/>
      <c r="BH100" s="193"/>
      <c r="BI100" s="193"/>
      <c r="BJ100" s="193"/>
      <c r="BK100" s="194"/>
      <c r="BL100" s="179"/>
      <c r="BM100" s="193"/>
      <c r="BN100" s="193"/>
      <c r="BO100" s="193"/>
      <c r="BP100" s="193"/>
      <c r="BQ100" s="193"/>
      <c r="BR100" s="193"/>
      <c r="BS100" s="193"/>
      <c r="BT100" s="193"/>
      <c r="BU100" s="193"/>
      <c r="BV100" s="193"/>
      <c r="BW100" s="193"/>
      <c r="BX100" s="193"/>
      <c r="BY100" s="193"/>
      <c r="BZ100" s="193"/>
      <c r="CA100" s="193"/>
      <c r="CB100" s="2165"/>
      <c r="CC100" s="20"/>
      <c r="CD100" s="13"/>
    </row>
    <row r="101" spans="1:82" ht="14.25" customHeight="1" outlineLevel="1">
      <c r="A101" s="7"/>
      <c r="B101" s="21" t="s">
        <v>125</v>
      </c>
      <c r="C101" s="22"/>
      <c r="D101" s="103">
        <f>D8</f>
        <v>-17.423000000000037</v>
      </c>
      <c r="E101" s="104">
        <f>D101+E8</f>
        <v>-6.1040000000001253</v>
      </c>
      <c r="F101" s="104">
        <f>E101+F8</f>
        <v>69.896000000000043</v>
      </c>
      <c r="G101" s="105">
        <f>F101+G8</f>
        <v>164.99999999999974</v>
      </c>
      <c r="H101" s="103">
        <f>H8</f>
        <v>184.52399999999992</v>
      </c>
      <c r="I101" s="104">
        <f>H101+I8</f>
        <v>273.37099999999998</v>
      </c>
      <c r="J101" s="104">
        <f>I101+J8</f>
        <v>407.82600000000014</v>
      </c>
      <c r="K101" s="105">
        <f>J101+K8</f>
        <v>-165.99999999999977</v>
      </c>
      <c r="L101" s="103">
        <f>L8</f>
        <v>-611</v>
      </c>
      <c r="M101" s="104">
        <f>L101+M8</f>
        <v>-1211</v>
      </c>
      <c r="N101" s="104">
        <f>M101+N8</f>
        <v>-1607</v>
      </c>
      <c r="O101" s="105">
        <f>N101+O8</f>
        <v>-3379</v>
      </c>
      <c r="P101" s="103">
        <f>P8</f>
        <v>-351</v>
      </c>
      <c r="Q101" s="104">
        <f>P101+Q8</f>
        <v>-1539</v>
      </c>
      <c r="R101" s="104">
        <f>Q101+R8</f>
        <v>-1666</v>
      </c>
      <c r="S101" s="105">
        <f>R101+S8</f>
        <v>-3096</v>
      </c>
      <c r="T101" s="103">
        <f>T8</f>
        <v>-414</v>
      </c>
      <c r="U101" s="104">
        <f>T101+U8</f>
        <v>-749</v>
      </c>
      <c r="V101" s="104">
        <f>U101+V8</f>
        <v>-884</v>
      </c>
      <c r="W101" s="105">
        <f>V101+W8</f>
        <v>293</v>
      </c>
      <c r="X101" s="103">
        <f>X8</f>
        <v>257</v>
      </c>
      <c r="Y101" s="104">
        <f>X101+Y8</f>
        <v>214</v>
      </c>
      <c r="Z101" s="104">
        <f>Y101+Z8</f>
        <v>96</v>
      </c>
      <c r="AA101" s="105">
        <f>Z101+AA8</f>
        <v>471</v>
      </c>
      <c r="AB101" s="103">
        <f>AB8</f>
        <v>510</v>
      </c>
      <c r="AC101" s="104">
        <f>AB101+AC8</f>
        <v>571</v>
      </c>
      <c r="AD101" s="104">
        <f>AC101+AD8</f>
        <v>668</v>
      </c>
      <c r="AE101" s="105">
        <f>AD101+AE8</f>
        <v>491</v>
      </c>
      <c r="AF101" s="103">
        <f>AF8</f>
        <v>-590</v>
      </c>
      <c r="AG101" s="104">
        <f>AF101+AG8</f>
        <v>-553</v>
      </c>
      <c r="AH101" s="104">
        <f>AG101+AH8</f>
        <v>-710</v>
      </c>
      <c r="AI101" s="105">
        <f>AH101+AI8</f>
        <v>-1183</v>
      </c>
      <c r="AJ101" s="103">
        <f>AJ8</f>
        <v>-146</v>
      </c>
      <c r="AK101" s="104">
        <f>AJ101+AK8</f>
        <v>-220</v>
      </c>
      <c r="AL101" s="104">
        <f>AK101+AL8</f>
        <v>-172</v>
      </c>
      <c r="AM101" s="105">
        <f>AL101+AM8</f>
        <v>-83</v>
      </c>
      <c r="AN101" s="103">
        <f>AN8</f>
        <v>-20</v>
      </c>
      <c r="AO101" s="104">
        <f>AN101+AO8</f>
        <v>-56</v>
      </c>
      <c r="AP101" s="104">
        <f>AO101+AP8</f>
        <v>-39</v>
      </c>
      <c r="AQ101" s="105">
        <f>AP101+AQ8</f>
        <v>-403</v>
      </c>
      <c r="AR101" s="103">
        <f>AR8</f>
        <v>-180</v>
      </c>
      <c r="AS101" s="104">
        <f t="shared" ref="AS101:BA101" si="532">AR101+AS8</f>
        <v>-361</v>
      </c>
      <c r="AT101" s="104">
        <f t="shared" si="532"/>
        <v>-558</v>
      </c>
      <c r="AU101" s="105">
        <f t="shared" si="532"/>
        <v>-660</v>
      </c>
      <c r="AV101" s="103">
        <f>AV8</f>
        <v>-109</v>
      </c>
      <c r="AW101" s="104">
        <f t="shared" si="532"/>
        <v>-40</v>
      </c>
      <c r="AX101" s="104">
        <f t="shared" si="532"/>
        <v>-446</v>
      </c>
      <c r="AY101" s="105">
        <f t="shared" si="532"/>
        <v>-497</v>
      </c>
      <c r="AZ101" s="104">
        <f>AZ8</f>
        <v>-73</v>
      </c>
      <c r="BA101" s="104">
        <f t="shared" si="532"/>
        <v>-89</v>
      </c>
      <c r="BB101" s="1104">
        <f t="shared" ref="BB101" si="533">BA101+BB8</f>
        <v>-18</v>
      </c>
      <c r="BC101" s="105">
        <f t="shared" ref="BC101" si="534">BB101+BC8</f>
        <v>43</v>
      </c>
      <c r="BD101" s="104">
        <f>BD8</f>
        <v>81</v>
      </c>
      <c r="BE101" s="104">
        <f t="shared" ref="BE101" si="535">BD101+BE8</f>
        <v>197.37655585449119</v>
      </c>
      <c r="BF101" s="1104">
        <f t="shared" ref="BF101" si="536">BE101+BF8</f>
        <v>309.86372796463303</v>
      </c>
      <c r="BG101" s="105">
        <f t="shared" ref="BG101" si="537">BF101+BG8</f>
        <v>382.88010917977749</v>
      </c>
      <c r="BH101" s="104">
        <f>BH8</f>
        <v>44.043244047187258</v>
      </c>
      <c r="BI101" s="104">
        <f t="shared" ref="BI101" si="538">BH101+BI8</f>
        <v>127.94994717822155</v>
      </c>
      <c r="BJ101" s="1104">
        <f t="shared" ref="BJ101" si="539">BI101+BJ8</f>
        <v>235.97622086809395</v>
      </c>
      <c r="BK101" s="105">
        <f t="shared" ref="BK101" si="540">BJ101+BK8</f>
        <v>335.72660067915149</v>
      </c>
      <c r="BL101" s="179"/>
      <c r="BM101" s="104">
        <f t="shared" ref="BM101:BX101" si="541">BM8</f>
        <v>164.99999999999974</v>
      </c>
      <c r="BN101" s="104">
        <f t="shared" si="541"/>
        <v>-165.99999999999977</v>
      </c>
      <c r="BO101" s="104">
        <f t="shared" si="541"/>
        <v>-3379</v>
      </c>
      <c r="BP101" s="104">
        <f t="shared" si="541"/>
        <v>-3096</v>
      </c>
      <c r="BQ101" s="104">
        <f t="shared" si="541"/>
        <v>293</v>
      </c>
      <c r="BR101" s="104">
        <f t="shared" si="541"/>
        <v>471</v>
      </c>
      <c r="BS101" s="104">
        <f t="shared" si="541"/>
        <v>491</v>
      </c>
      <c r="BT101" s="104">
        <f t="shared" si="541"/>
        <v>-1183</v>
      </c>
      <c r="BU101" s="104">
        <f t="shared" si="541"/>
        <v>-83</v>
      </c>
      <c r="BV101" s="104">
        <f t="shared" si="541"/>
        <v>-403</v>
      </c>
      <c r="BW101" s="104">
        <f t="shared" si="541"/>
        <v>-660</v>
      </c>
      <c r="BX101" s="104">
        <f t="shared" si="541"/>
        <v>-497</v>
      </c>
      <c r="BY101" s="104">
        <f t="shared" ref="BY101" si="542">BY8</f>
        <v>43</v>
      </c>
      <c r="BZ101" s="104">
        <f t="shared" ref="BZ101:CB101" si="543">BZ8</f>
        <v>382.88010917977772</v>
      </c>
      <c r="CA101" s="104">
        <f t="shared" si="543"/>
        <v>335.72660067915126</v>
      </c>
      <c r="CB101" s="2166">
        <f t="shared" si="543"/>
        <v>335.72660067915126</v>
      </c>
      <c r="CC101" s="20"/>
      <c r="CD101" s="13"/>
    </row>
    <row r="102" spans="1:82" ht="14.25" customHeight="1" outlineLevel="1">
      <c r="A102" s="7"/>
      <c r="B102" s="198" t="s">
        <v>195</v>
      </c>
      <c r="C102" s="199"/>
      <c r="D102" s="202"/>
      <c r="E102" s="200"/>
      <c r="F102" s="200"/>
      <c r="G102" s="201"/>
      <c r="H102" s="202"/>
      <c r="I102" s="200"/>
      <c r="J102" s="200"/>
      <c r="K102" s="201"/>
      <c r="L102" s="202"/>
      <c r="M102" s="200"/>
      <c r="N102" s="200"/>
      <c r="O102" s="201"/>
      <c r="P102" s="202"/>
      <c r="Q102" s="200"/>
      <c r="R102" s="200"/>
      <c r="S102" s="201"/>
      <c r="T102" s="202"/>
      <c r="U102" s="200"/>
      <c r="V102" s="200"/>
      <c r="W102" s="201"/>
      <c r="X102" s="202"/>
      <c r="Y102" s="200"/>
      <c r="Z102" s="200"/>
      <c r="AA102" s="201"/>
      <c r="AB102" s="343"/>
      <c r="AC102" s="200"/>
      <c r="AD102" s="200"/>
      <c r="AE102" s="201"/>
      <c r="AF102" s="343"/>
      <c r="AG102" s="200"/>
      <c r="AH102" s="200"/>
      <c r="AI102" s="201"/>
      <c r="AJ102" s="202"/>
      <c r="AK102" s="200"/>
      <c r="AL102" s="200"/>
      <c r="AM102" s="201"/>
      <c r="AN102" s="202"/>
      <c r="AO102" s="200"/>
      <c r="AP102" s="200"/>
      <c r="AQ102" s="201"/>
      <c r="AR102" s="202"/>
      <c r="AS102" s="200"/>
      <c r="AT102" s="200"/>
      <c r="AU102" s="201"/>
      <c r="AV102" s="1465"/>
      <c r="AW102" s="200"/>
      <c r="AX102" s="200"/>
      <c r="AY102" s="201"/>
      <c r="AZ102" s="1466"/>
      <c r="BA102" s="200"/>
      <c r="BB102" s="1105"/>
      <c r="BC102" s="201"/>
      <c r="BD102" s="1466"/>
      <c r="BE102" s="1466"/>
      <c r="BF102" s="1105"/>
      <c r="BG102" s="201"/>
      <c r="BH102" s="1466"/>
      <c r="BI102" s="1466"/>
      <c r="BJ102" s="1105"/>
      <c r="BK102" s="201"/>
      <c r="BL102" s="179"/>
      <c r="BM102" s="200"/>
      <c r="BN102" s="200"/>
      <c r="BO102" s="200"/>
      <c r="BP102" s="200"/>
      <c r="BQ102" s="200"/>
      <c r="BR102" s="200"/>
      <c r="BS102" s="200"/>
      <c r="BT102" s="200"/>
      <c r="BU102" s="200"/>
      <c r="BV102" s="200"/>
      <c r="BW102" s="200"/>
      <c r="BX102" s="200"/>
      <c r="BY102" s="200"/>
      <c r="BZ102" s="200"/>
      <c r="CA102" s="200"/>
      <c r="CB102" s="2167"/>
      <c r="CC102" s="20"/>
      <c r="CD102" s="13"/>
    </row>
    <row r="103" spans="1:82" ht="14.25" customHeight="1" outlineLevel="1">
      <c r="A103" s="7"/>
      <c r="B103" s="47" t="s">
        <v>126</v>
      </c>
      <c r="C103" s="48"/>
      <c r="D103" s="208">
        <f>318.796+14.085</f>
        <v>332.88099999999997</v>
      </c>
      <c r="E103" s="206">
        <f>624.4+26.936</f>
        <v>651.33600000000001</v>
      </c>
      <c r="F103" s="206">
        <f>900.948+41.138</f>
        <v>942.08600000000001</v>
      </c>
      <c r="G103" s="207">
        <v>1219</v>
      </c>
      <c r="H103" s="208">
        <f>159.997+13.56</f>
        <v>173.55700000000002</v>
      </c>
      <c r="I103" s="206">
        <f>338.759+27.703</f>
        <v>366.46199999999999</v>
      </c>
      <c r="J103" s="206">
        <f>519.118+47.098</f>
        <v>566.21600000000001</v>
      </c>
      <c r="K103" s="207">
        <v>837</v>
      </c>
      <c r="L103" s="208">
        <v>314</v>
      </c>
      <c r="M103" s="206">
        <v>640</v>
      </c>
      <c r="N103" s="206">
        <v>974</v>
      </c>
      <c r="O103" s="207">
        <v>1305</v>
      </c>
      <c r="P103" s="208">
        <v>317</v>
      </c>
      <c r="Q103" s="206">
        <v>627</v>
      </c>
      <c r="R103" s="206">
        <v>920</v>
      </c>
      <c r="S103" s="207">
        <v>1223</v>
      </c>
      <c r="T103" s="208">
        <v>280</v>
      </c>
      <c r="U103" s="206">
        <v>562</v>
      </c>
      <c r="V103" s="206">
        <v>844</v>
      </c>
      <c r="W103" s="207">
        <v>1128</v>
      </c>
      <c r="X103" s="208">
        <v>100</v>
      </c>
      <c r="Y103" s="206">
        <v>200</v>
      </c>
      <c r="Z103" s="206">
        <v>294</v>
      </c>
      <c r="AA103" s="207">
        <v>383</v>
      </c>
      <c r="AB103" s="208">
        <v>88</v>
      </c>
      <c r="AC103" s="206">
        <v>168</v>
      </c>
      <c r="AD103" s="206">
        <v>247</v>
      </c>
      <c r="AE103" s="207">
        <v>317</v>
      </c>
      <c r="AF103" s="208">
        <v>63</v>
      </c>
      <c r="AG103" s="206">
        <v>128</v>
      </c>
      <c r="AH103" s="206">
        <v>194</v>
      </c>
      <c r="AI103" s="207">
        <v>260</v>
      </c>
      <c r="AJ103" s="208">
        <v>66</v>
      </c>
      <c r="AK103" s="206">
        <v>125</v>
      </c>
      <c r="AL103" s="206">
        <v>182</v>
      </c>
      <c r="AM103" s="207">
        <f>+AL103+54</f>
        <v>236</v>
      </c>
      <c r="AN103" s="208">
        <v>53</v>
      </c>
      <c r="AO103" s="206">
        <v>106</v>
      </c>
      <c r="AP103" s="206">
        <v>155</v>
      </c>
      <c r="AQ103" s="207">
        <v>203</v>
      </c>
      <c r="AR103" s="208">
        <v>46</v>
      </c>
      <c r="AS103" s="206">
        <v>91</v>
      </c>
      <c r="AT103" s="206">
        <v>133</v>
      </c>
      <c r="AU103" s="207">
        <v>167</v>
      </c>
      <c r="AV103" s="208">
        <v>33</v>
      </c>
      <c r="AW103" s="206">
        <v>66</v>
      </c>
      <c r="AX103" s="206">
        <v>99</v>
      </c>
      <c r="AY103" s="207">
        <v>133</v>
      </c>
      <c r="AZ103" s="208">
        <v>34</v>
      </c>
      <c r="BA103" s="206">
        <v>69</v>
      </c>
      <c r="BB103" s="206">
        <v>105</v>
      </c>
      <c r="BC103" s="207">
        <v>144</v>
      </c>
      <c r="BD103" s="1464">
        <f>BD10</f>
        <v>39</v>
      </c>
      <c r="BE103" s="1464">
        <f t="shared" ref="BE103:BE112" si="544">BD103+BE10</f>
        <v>78</v>
      </c>
      <c r="BF103" s="1106">
        <f t="shared" ref="BF103:BF112" si="545">BE103+BF10</f>
        <v>117</v>
      </c>
      <c r="BG103" s="204">
        <f t="shared" ref="BG103:BG112" si="546">BF103+BG10</f>
        <v>156</v>
      </c>
      <c r="BH103" s="1464">
        <f>BH10</f>
        <v>39</v>
      </c>
      <c r="BI103" s="1464">
        <f t="shared" ref="BI103:BI112" si="547">BH103+BI10</f>
        <v>78</v>
      </c>
      <c r="BJ103" s="1106">
        <f t="shared" ref="BJ103:BJ112" si="548">BI103+BJ10</f>
        <v>117</v>
      </c>
      <c r="BK103" s="204">
        <f t="shared" ref="BK103:BK112" si="549">BJ103+BK10</f>
        <v>156</v>
      </c>
      <c r="BL103" s="179"/>
      <c r="BM103" s="203">
        <f t="shared" ref="BM103:BX103" si="550">BM10</f>
        <v>1219</v>
      </c>
      <c r="BN103" s="203">
        <f t="shared" si="550"/>
        <v>837</v>
      </c>
      <c r="BO103" s="203">
        <f t="shared" si="550"/>
        <v>1305</v>
      </c>
      <c r="BP103" s="203">
        <f t="shared" si="550"/>
        <v>1223</v>
      </c>
      <c r="BQ103" s="203">
        <f t="shared" si="550"/>
        <v>1128</v>
      </c>
      <c r="BR103" s="203">
        <f t="shared" si="550"/>
        <v>383</v>
      </c>
      <c r="BS103" s="203">
        <f t="shared" si="550"/>
        <v>317</v>
      </c>
      <c r="BT103" s="203">
        <f t="shared" si="550"/>
        <v>260</v>
      </c>
      <c r="BU103" s="203">
        <f t="shared" si="550"/>
        <v>236</v>
      </c>
      <c r="BV103" s="203">
        <f t="shared" si="550"/>
        <v>203</v>
      </c>
      <c r="BW103" s="203">
        <f t="shared" si="550"/>
        <v>167</v>
      </c>
      <c r="BX103" s="203">
        <f t="shared" si="550"/>
        <v>133</v>
      </c>
      <c r="BY103" s="203">
        <f t="shared" ref="BY103" si="551">BY10</f>
        <v>144</v>
      </c>
      <c r="BZ103" s="203">
        <f t="shared" ref="BZ103:CB112" si="552">BZ10</f>
        <v>156</v>
      </c>
      <c r="CA103" s="203">
        <f t="shared" si="552"/>
        <v>156</v>
      </c>
      <c r="CB103" s="2168">
        <f t="shared" si="552"/>
        <v>24.88</v>
      </c>
      <c r="CC103" s="20"/>
      <c r="CD103" s="13"/>
    </row>
    <row r="104" spans="1:82" ht="14.25" customHeight="1" outlineLevel="1">
      <c r="A104" s="7"/>
      <c r="B104" s="47" t="s">
        <v>256</v>
      </c>
      <c r="C104" s="48"/>
      <c r="D104" s="208">
        <v>0.14599999999999999</v>
      </c>
      <c r="E104" s="206">
        <v>0.46600000000000003</v>
      </c>
      <c r="F104" s="206">
        <v>0.74299999999999999</v>
      </c>
      <c r="G104" s="207">
        <v>5</v>
      </c>
      <c r="H104" s="208">
        <v>15.045</v>
      </c>
      <c r="I104" s="206">
        <v>33.098999999999997</v>
      </c>
      <c r="J104" s="206">
        <v>49.609000000000002</v>
      </c>
      <c r="K104" s="207">
        <v>77</v>
      </c>
      <c r="L104" s="208">
        <v>28</v>
      </c>
      <c r="M104" s="206">
        <v>59</v>
      </c>
      <c r="N104" s="206">
        <v>86</v>
      </c>
      <c r="O104" s="207">
        <v>112</v>
      </c>
      <c r="P104" s="208">
        <v>21</v>
      </c>
      <c r="Q104" s="206">
        <v>41</v>
      </c>
      <c r="R104" s="206">
        <v>62</v>
      </c>
      <c r="S104" s="207">
        <v>83</v>
      </c>
      <c r="T104" s="208">
        <v>21</v>
      </c>
      <c r="U104" s="206">
        <v>40</v>
      </c>
      <c r="V104" s="206">
        <v>57</v>
      </c>
      <c r="W104" s="207">
        <v>75</v>
      </c>
      <c r="X104" s="208">
        <v>20</v>
      </c>
      <c r="Y104" s="206">
        <v>43</v>
      </c>
      <c r="Z104" s="206">
        <v>65</v>
      </c>
      <c r="AA104" s="207">
        <v>87</v>
      </c>
      <c r="AB104" s="208">
        <v>27</v>
      </c>
      <c r="AC104" s="206">
        <v>47</v>
      </c>
      <c r="AD104" s="206">
        <v>69</v>
      </c>
      <c r="AE104" s="207">
        <v>90</v>
      </c>
      <c r="AF104" s="208">
        <v>21</v>
      </c>
      <c r="AG104" s="206">
        <v>47</v>
      </c>
      <c r="AH104" s="206">
        <v>74</v>
      </c>
      <c r="AI104" s="207">
        <v>97</v>
      </c>
      <c r="AJ104" s="208">
        <v>24</v>
      </c>
      <c r="AK104" s="206">
        <v>44</v>
      </c>
      <c r="AL104" s="206">
        <v>67</v>
      </c>
      <c r="AM104" s="207">
        <f>+AL104+24</f>
        <v>91</v>
      </c>
      <c r="AN104" s="208">
        <v>23</v>
      </c>
      <c r="AO104" s="206">
        <v>44</v>
      </c>
      <c r="AP104" s="206">
        <v>65</v>
      </c>
      <c r="AQ104" s="207">
        <v>81</v>
      </c>
      <c r="AR104" s="208">
        <v>17</v>
      </c>
      <c r="AS104" s="206">
        <v>34</v>
      </c>
      <c r="AT104" s="206">
        <v>47</v>
      </c>
      <c r="AU104" s="207">
        <v>63</v>
      </c>
      <c r="AV104" s="208">
        <v>16</v>
      </c>
      <c r="AW104" s="206">
        <v>34</v>
      </c>
      <c r="AX104" s="206">
        <v>57</v>
      </c>
      <c r="AY104" s="207">
        <v>86</v>
      </c>
      <c r="AZ104" s="208">
        <v>23</v>
      </c>
      <c r="BA104" s="206">
        <v>47</v>
      </c>
      <c r="BB104" s="206">
        <v>76</v>
      </c>
      <c r="BC104" s="207">
        <v>97</v>
      </c>
      <c r="BD104" s="1464">
        <f t="shared" ref="BD104:BD112" si="553">BD11</f>
        <v>21</v>
      </c>
      <c r="BE104" s="1464">
        <f t="shared" si="544"/>
        <v>42</v>
      </c>
      <c r="BF104" s="1106">
        <f t="shared" si="545"/>
        <v>63</v>
      </c>
      <c r="BG104" s="204">
        <f t="shared" si="546"/>
        <v>84</v>
      </c>
      <c r="BH104" s="1464">
        <f t="shared" ref="BH104:BH112" si="554">BH11</f>
        <v>21</v>
      </c>
      <c r="BI104" s="1464">
        <f t="shared" si="547"/>
        <v>42</v>
      </c>
      <c r="BJ104" s="1106">
        <f t="shared" si="548"/>
        <v>63</v>
      </c>
      <c r="BK104" s="204">
        <f t="shared" si="549"/>
        <v>84</v>
      </c>
      <c r="BL104" s="179"/>
      <c r="BM104" s="203">
        <f t="shared" ref="BM104:BX104" si="555">BM11</f>
        <v>5</v>
      </c>
      <c r="BN104" s="203">
        <f t="shared" si="555"/>
        <v>77</v>
      </c>
      <c r="BO104" s="203">
        <f t="shared" si="555"/>
        <v>112</v>
      </c>
      <c r="BP104" s="203">
        <f t="shared" si="555"/>
        <v>83</v>
      </c>
      <c r="BQ104" s="203">
        <f t="shared" si="555"/>
        <v>75</v>
      </c>
      <c r="BR104" s="203">
        <f t="shared" si="555"/>
        <v>87</v>
      </c>
      <c r="BS104" s="203">
        <f t="shared" si="555"/>
        <v>90</v>
      </c>
      <c r="BT104" s="203">
        <f t="shared" si="555"/>
        <v>97</v>
      </c>
      <c r="BU104" s="203">
        <f t="shared" si="555"/>
        <v>91</v>
      </c>
      <c r="BV104" s="203">
        <f t="shared" si="555"/>
        <v>81</v>
      </c>
      <c r="BW104" s="203">
        <f t="shared" si="555"/>
        <v>63</v>
      </c>
      <c r="BX104" s="203">
        <f t="shared" si="555"/>
        <v>86</v>
      </c>
      <c r="BY104" s="203">
        <f t="shared" ref="BY104" si="556">BY11</f>
        <v>97</v>
      </c>
      <c r="BZ104" s="203">
        <f t="shared" ref="BZ104:CA104" si="557">BZ11</f>
        <v>84</v>
      </c>
      <c r="CA104" s="203">
        <f t="shared" si="557"/>
        <v>84</v>
      </c>
      <c r="CB104" s="2168">
        <f t="shared" si="552"/>
        <v>84</v>
      </c>
      <c r="CC104" s="20"/>
      <c r="CD104" s="13"/>
    </row>
    <row r="105" spans="1:82" ht="14.25" customHeight="1" outlineLevel="1">
      <c r="A105" s="7"/>
      <c r="B105" s="47" t="s">
        <v>266</v>
      </c>
      <c r="C105" s="48"/>
      <c r="D105" s="208">
        <f>5.896-0.42</f>
        <v>5.476</v>
      </c>
      <c r="E105" s="206">
        <v>1.2969999999999999</v>
      </c>
      <c r="F105" s="206">
        <v>-1.26</v>
      </c>
      <c r="G105" s="207">
        <v>6</v>
      </c>
      <c r="H105" s="208">
        <f>3.151-0.42</f>
        <v>2.7309999999999999</v>
      </c>
      <c r="I105" s="206">
        <v>4.7119999999999997</v>
      </c>
      <c r="J105" s="206">
        <v>-1.36</v>
      </c>
      <c r="K105" s="207">
        <v>14</v>
      </c>
      <c r="L105" s="208">
        <v>3</v>
      </c>
      <c r="M105" s="206">
        <v>8</v>
      </c>
      <c r="N105" s="206">
        <v>-5</v>
      </c>
      <c r="O105" s="207">
        <v>-20</v>
      </c>
      <c r="P105" s="208">
        <v>0</v>
      </c>
      <c r="Q105" s="206">
        <f>24-193</f>
        <v>-169</v>
      </c>
      <c r="R105" s="206">
        <f>29-193</f>
        <v>-164</v>
      </c>
      <c r="S105" s="207">
        <v>0</v>
      </c>
      <c r="T105" s="208">
        <v>0</v>
      </c>
      <c r="U105" s="206">
        <v>4</v>
      </c>
      <c r="V105" s="206">
        <v>12</v>
      </c>
      <c r="W105" s="207">
        <v>0</v>
      </c>
      <c r="X105" s="208">
        <v>0</v>
      </c>
      <c r="Y105" s="206">
        <v>0</v>
      </c>
      <c r="Z105" s="206">
        <v>0</v>
      </c>
      <c r="AA105" s="207">
        <v>0</v>
      </c>
      <c r="AB105" s="208">
        <v>0</v>
      </c>
      <c r="AC105" s="206">
        <v>0</v>
      </c>
      <c r="AD105" s="206">
        <v>0</v>
      </c>
      <c r="AE105" s="207">
        <v>0</v>
      </c>
      <c r="AF105" s="208">
        <v>0</v>
      </c>
      <c r="AG105" s="206">
        <v>0</v>
      </c>
      <c r="AH105" s="206">
        <v>0</v>
      </c>
      <c r="AI105" s="207">
        <v>0</v>
      </c>
      <c r="AJ105" s="208">
        <v>48</v>
      </c>
      <c r="AK105" s="206">
        <v>47</v>
      </c>
      <c r="AL105" s="206">
        <v>30</v>
      </c>
      <c r="AM105" s="207">
        <f>+AL105+1</f>
        <v>31</v>
      </c>
      <c r="AN105" s="208">
        <v>0</v>
      </c>
      <c r="AO105" s="206">
        <v>0</v>
      </c>
      <c r="AP105" s="206">
        <v>0</v>
      </c>
      <c r="AQ105" s="207">
        <v>0</v>
      </c>
      <c r="AR105" s="208">
        <v>0</v>
      </c>
      <c r="AS105" s="206">
        <v>0</v>
      </c>
      <c r="AT105" s="206">
        <v>0</v>
      </c>
      <c r="AU105" s="207">
        <v>0</v>
      </c>
      <c r="AV105" s="208">
        <v>0</v>
      </c>
      <c r="AW105" s="206">
        <v>0</v>
      </c>
      <c r="AX105" s="206">
        <v>0</v>
      </c>
      <c r="AY105" s="207">
        <v>0</v>
      </c>
      <c r="AZ105" s="208">
        <v>0</v>
      </c>
      <c r="BA105" s="206">
        <v>0</v>
      </c>
      <c r="BB105" s="206">
        <v>0</v>
      </c>
      <c r="BC105" s="207">
        <v>0</v>
      </c>
      <c r="BD105" s="1464">
        <f t="shared" si="553"/>
        <v>0</v>
      </c>
      <c r="BE105" s="1464">
        <f t="shared" si="544"/>
        <v>0</v>
      </c>
      <c r="BF105" s="1106">
        <f t="shared" si="545"/>
        <v>0</v>
      </c>
      <c r="BG105" s="204">
        <f t="shared" si="546"/>
        <v>0</v>
      </c>
      <c r="BH105" s="1464">
        <f t="shared" si="554"/>
        <v>0</v>
      </c>
      <c r="BI105" s="1464">
        <f t="shared" si="547"/>
        <v>0</v>
      </c>
      <c r="BJ105" s="1106">
        <f t="shared" si="548"/>
        <v>0</v>
      </c>
      <c r="BK105" s="204">
        <f t="shared" si="549"/>
        <v>0</v>
      </c>
      <c r="BL105" s="179"/>
      <c r="BM105" s="203">
        <f t="shared" ref="BM105:BX105" si="558">BM12</f>
        <v>5.9999999999999991</v>
      </c>
      <c r="BN105" s="203">
        <f t="shared" si="558"/>
        <v>14</v>
      </c>
      <c r="BO105" s="203">
        <f t="shared" si="558"/>
        <v>-20</v>
      </c>
      <c r="BP105" s="203">
        <f t="shared" si="558"/>
        <v>0</v>
      </c>
      <c r="BQ105" s="203">
        <f t="shared" si="558"/>
        <v>0</v>
      </c>
      <c r="BR105" s="203">
        <f t="shared" si="558"/>
        <v>0</v>
      </c>
      <c r="BS105" s="203">
        <f t="shared" si="558"/>
        <v>0</v>
      </c>
      <c r="BT105" s="203">
        <f t="shared" si="558"/>
        <v>0</v>
      </c>
      <c r="BU105" s="203">
        <f t="shared" si="558"/>
        <v>31</v>
      </c>
      <c r="BV105" s="203">
        <f t="shared" si="558"/>
        <v>0</v>
      </c>
      <c r="BW105" s="203">
        <f t="shared" si="558"/>
        <v>0</v>
      </c>
      <c r="BX105" s="203">
        <f t="shared" si="558"/>
        <v>0</v>
      </c>
      <c r="BY105" s="203">
        <f t="shared" ref="BY105" si="559">BY12</f>
        <v>0</v>
      </c>
      <c r="BZ105" s="203">
        <f t="shared" ref="BZ105:CA105" si="560">BZ12</f>
        <v>0</v>
      </c>
      <c r="CA105" s="203">
        <f t="shared" si="560"/>
        <v>0</v>
      </c>
      <c r="CB105" s="2168">
        <f t="shared" si="552"/>
        <v>0</v>
      </c>
      <c r="CC105" s="20"/>
      <c r="CD105" s="13"/>
    </row>
    <row r="106" spans="1:82" ht="14.25" customHeight="1" outlineLevel="1">
      <c r="A106" s="7"/>
      <c r="B106" s="47" t="s">
        <v>261</v>
      </c>
      <c r="C106" s="48"/>
      <c r="D106" s="208">
        <v>0</v>
      </c>
      <c r="E106" s="206">
        <v>0</v>
      </c>
      <c r="F106" s="206">
        <v>0</v>
      </c>
      <c r="G106" s="207">
        <v>0</v>
      </c>
      <c r="H106" s="208">
        <v>-2.3119999999999998</v>
      </c>
      <c r="I106" s="206">
        <v>-2.3119999999999998</v>
      </c>
      <c r="J106" s="206">
        <v>-2.3119999999999998</v>
      </c>
      <c r="K106" s="207">
        <v>0</v>
      </c>
      <c r="L106" s="208">
        <v>0</v>
      </c>
      <c r="M106" s="206">
        <v>0</v>
      </c>
      <c r="N106" s="206">
        <v>0</v>
      </c>
      <c r="O106" s="207">
        <v>0</v>
      </c>
      <c r="P106" s="208">
        <v>0</v>
      </c>
      <c r="Q106" s="206">
        <v>35</v>
      </c>
      <c r="R106" s="206">
        <v>0</v>
      </c>
      <c r="S106" s="207">
        <v>77</v>
      </c>
      <c r="T106" s="208">
        <v>0</v>
      </c>
      <c r="U106" s="206">
        <v>-1</v>
      </c>
      <c r="V106" s="206">
        <v>-1</v>
      </c>
      <c r="W106" s="207">
        <v>3</v>
      </c>
      <c r="X106" s="208">
        <v>0</v>
      </c>
      <c r="Y106" s="206">
        <v>-8</v>
      </c>
      <c r="Z106" s="206">
        <v>-8</v>
      </c>
      <c r="AA106" s="207">
        <v>-17</v>
      </c>
      <c r="AB106" s="208">
        <v>0</v>
      </c>
      <c r="AC106" s="206">
        <v>-2</v>
      </c>
      <c r="AD106" s="206">
        <v>0</v>
      </c>
      <c r="AE106" s="207">
        <v>-4</v>
      </c>
      <c r="AF106" s="208">
        <v>0</v>
      </c>
      <c r="AG106" s="206">
        <v>0</v>
      </c>
      <c r="AH106" s="206">
        <v>0</v>
      </c>
      <c r="AI106" s="207">
        <v>0</v>
      </c>
      <c r="AJ106" s="208">
        <v>0</v>
      </c>
      <c r="AK106" s="206">
        <v>0</v>
      </c>
      <c r="AL106" s="206">
        <v>0</v>
      </c>
      <c r="AM106" s="207">
        <v>0</v>
      </c>
      <c r="AN106" s="208">
        <v>0</v>
      </c>
      <c r="AO106" s="206">
        <v>0</v>
      </c>
      <c r="AP106" s="206">
        <v>0</v>
      </c>
      <c r="AQ106" s="207">
        <v>0</v>
      </c>
      <c r="AR106" s="208">
        <v>0</v>
      </c>
      <c r="AS106" s="206">
        <v>0</v>
      </c>
      <c r="AT106" s="206">
        <v>0</v>
      </c>
      <c r="AU106" s="207">
        <v>0</v>
      </c>
      <c r="AV106" s="208">
        <v>0</v>
      </c>
      <c r="AW106" s="206">
        <v>-150</v>
      </c>
      <c r="AX106" s="206">
        <v>-146</v>
      </c>
      <c r="AY106" s="207">
        <v>0</v>
      </c>
      <c r="AZ106" s="208">
        <v>0</v>
      </c>
      <c r="BA106" s="206">
        <v>0</v>
      </c>
      <c r="BB106" s="206">
        <v>0</v>
      </c>
      <c r="BC106" s="207">
        <v>0</v>
      </c>
      <c r="BD106" s="1464">
        <f t="shared" si="553"/>
        <v>0</v>
      </c>
      <c r="BE106" s="1464">
        <f t="shared" si="544"/>
        <v>0</v>
      </c>
      <c r="BF106" s="1106">
        <f t="shared" si="545"/>
        <v>0</v>
      </c>
      <c r="BG106" s="204">
        <f t="shared" si="546"/>
        <v>0</v>
      </c>
      <c r="BH106" s="1464">
        <f t="shared" si="554"/>
        <v>0</v>
      </c>
      <c r="BI106" s="1464">
        <f t="shared" si="547"/>
        <v>0</v>
      </c>
      <c r="BJ106" s="1106">
        <f t="shared" si="548"/>
        <v>0</v>
      </c>
      <c r="BK106" s="204">
        <f t="shared" si="549"/>
        <v>0</v>
      </c>
      <c r="BL106" s="179"/>
      <c r="BM106" s="203">
        <f t="shared" ref="BM106:BX106" si="561">BM13</f>
        <v>0</v>
      </c>
      <c r="BN106" s="203">
        <f t="shared" si="561"/>
        <v>0</v>
      </c>
      <c r="BO106" s="203">
        <f t="shared" si="561"/>
        <v>0</v>
      </c>
      <c r="BP106" s="203">
        <f t="shared" si="561"/>
        <v>77</v>
      </c>
      <c r="BQ106" s="203">
        <f t="shared" si="561"/>
        <v>3</v>
      </c>
      <c r="BR106" s="203">
        <f t="shared" si="561"/>
        <v>-17</v>
      </c>
      <c r="BS106" s="203">
        <f t="shared" si="561"/>
        <v>-4</v>
      </c>
      <c r="BT106" s="203">
        <f t="shared" si="561"/>
        <v>0</v>
      </c>
      <c r="BU106" s="203">
        <f t="shared" si="561"/>
        <v>0</v>
      </c>
      <c r="BV106" s="203">
        <f t="shared" si="561"/>
        <v>0</v>
      </c>
      <c r="BW106" s="203">
        <f t="shared" si="561"/>
        <v>0</v>
      </c>
      <c r="BX106" s="203">
        <f t="shared" si="561"/>
        <v>0</v>
      </c>
      <c r="BY106" s="203">
        <f t="shared" ref="BY106" si="562">BY13</f>
        <v>0</v>
      </c>
      <c r="BZ106" s="203">
        <f t="shared" ref="BZ106:CA106" si="563">BZ13</f>
        <v>0</v>
      </c>
      <c r="CA106" s="203">
        <f t="shared" si="563"/>
        <v>0</v>
      </c>
      <c r="CB106" s="2168">
        <f t="shared" si="552"/>
        <v>0</v>
      </c>
      <c r="CC106" s="20"/>
      <c r="CD106" s="13"/>
    </row>
    <row r="107" spans="1:82" ht="14.25" customHeight="1" outlineLevel="1">
      <c r="A107" s="7"/>
      <c r="B107" s="47" t="s">
        <v>258</v>
      </c>
      <c r="C107" s="48"/>
      <c r="D107" s="208">
        <v>0</v>
      </c>
      <c r="E107" s="206">
        <v>0</v>
      </c>
      <c r="F107" s="206">
        <v>0</v>
      </c>
      <c r="G107" s="207">
        <v>0</v>
      </c>
      <c r="H107" s="208">
        <v>0</v>
      </c>
      <c r="I107" s="206">
        <v>0</v>
      </c>
      <c r="J107" s="206">
        <v>7.5149999999999997</v>
      </c>
      <c r="K107" s="207">
        <v>0</v>
      </c>
      <c r="L107" s="208">
        <v>0</v>
      </c>
      <c r="M107" s="206">
        <v>0</v>
      </c>
      <c r="N107" s="206">
        <v>0</v>
      </c>
      <c r="O107" s="207">
        <v>0</v>
      </c>
      <c r="P107" s="208">
        <v>0</v>
      </c>
      <c r="Q107" s="206">
        <v>0</v>
      </c>
      <c r="R107" s="206">
        <f>22+45</f>
        <v>67</v>
      </c>
      <c r="S107" s="207">
        <v>29</v>
      </c>
      <c r="T107" s="208">
        <v>6</v>
      </c>
      <c r="U107" s="206">
        <v>46</v>
      </c>
      <c r="V107" s="206">
        <v>82</v>
      </c>
      <c r="W107" s="207">
        <v>121</v>
      </c>
      <c r="X107" s="208">
        <v>8</v>
      </c>
      <c r="Y107" s="206">
        <v>17</v>
      </c>
      <c r="Z107" s="206">
        <v>25</v>
      </c>
      <c r="AA107" s="207">
        <v>30</v>
      </c>
      <c r="AB107" s="208">
        <v>5</v>
      </c>
      <c r="AC107" s="206">
        <v>11</v>
      </c>
      <c r="AD107" s="206">
        <v>16</v>
      </c>
      <c r="AE107" s="207">
        <v>21</v>
      </c>
      <c r="AF107" s="208">
        <v>6</v>
      </c>
      <c r="AG107" s="206">
        <v>12</v>
      </c>
      <c r="AH107" s="206">
        <v>17</v>
      </c>
      <c r="AI107" s="207">
        <v>23</v>
      </c>
      <c r="AJ107" s="208">
        <v>6</v>
      </c>
      <c r="AK107" s="206">
        <v>12</v>
      </c>
      <c r="AL107" s="206">
        <v>18</v>
      </c>
      <c r="AM107" s="207">
        <f>+AL107+7</f>
        <v>25</v>
      </c>
      <c r="AN107" s="208">
        <v>6</v>
      </c>
      <c r="AO107" s="206">
        <v>9</v>
      </c>
      <c r="AP107" s="206">
        <v>11</v>
      </c>
      <c r="AQ107" s="207">
        <v>17</v>
      </c>
      <c r="AR107" s="208">
        <v>3</v>
      </c>
      <c r="AS107" s="206">
        <v>6</v>
      </c>
      <c r="AT107" s="206">
        <v>8</v>
      </c>
      <c r="AU107" s="207">
        <v>11</v>
      </c>
      <c r="AV107" s="208">
        <v>4</v>
      </c>
      <c r="AW107" s="206">
        <v>7</v>
      </c>
      <c r="AX107" s="206">
        <v>11</v>
      </c>
      <c r="AY107" s="207">
        <v>21</v>
      </c>
      <c r="AZ107" s="208">
        <v>9</v>
      </c>
      <c r="BA107" s="206">
        <v>18</v>
      </c>
      <c r="BB107" s="206">
        <v>27</v>
      </c>
      <c r="BC107" s="207">
        <v>0</v>
      </c>
      <c r="BD107" s="1464">
        <f t="shared" si="553"/>
        <v>0</v>
      </c>
      <c r="BE107" s="1464">
        <f t="shared" si="544"/>
        <v>0</v>
      </c>
      <c r="BF107" s="1106">
        <f t="shared" si="545"/>
        <v>0</v>
      </c>
      <c r="BG107" s="204">
        <f t="shared" si="546"/>
        <v>0</v>
      </c>
      <c r="BH107" s="1464">
        <f t="shared" si="554"/>
        <v>0</v>
      </c>
      <c r="BI107" s="1464">
        <f t="shared" si="547"/>
        <v>0</v>
      </c>
      <c r="BJ107" s="1106">
        <f t="shared" si="548"/>
        <v>0</v>
      </c>
      <c r="BK107" s="204">
        <f t="shared" si="549"/>
        <v>0</v>
      </c>
      <c r="BL107" s="179"/>
      <c r="BM107" s="203">
        <f t="shared" ref="BM107:BX107" si="564">BM14</f>
        <v>0</v>
      </c>
      <c r="BN107" s="203">
        <f t="shared" si="564"/>
        <v>0</v>
      </c>
      <c r="BO107" s="203">
        <f t="shared" si="564"/>
        <v>0</v>
      </c>
      <c r="BP107" s="203">
        <f t="shared" si="564"/>
        <v>29</v>
      </c>
      <c r="BQ107" s="203">
        <f t="shared" si="564"/>
        <v>121</v>
      </c>
      <c r="BR107" s="203">
        <f t="shared" si="564"/>
        <v>30</v>
      </c>
      <c r="BS107" s="203">
        <f t="shared" si="564"/>
        <v>21</v>
      </c>
      <c r="BT107" s="203">
        <f t="shared" si="564"/>
        <v>23</v>
      </c>
      <c r="BU107" s="203">
        <f t="shared" si="564"/>
        <v>25</v>
      </c>
      <c r="BV107" s="203">
        <f t="shared" si="564"/>
        <v>17</v>
      </c>
      <c r="BW107" s="203">
        <f t="shared" si="564"/>
        <v>11</v>
      </c>
      <c r="BX107" s="203">
        <f t="shared" si="564"/>
        <v>21</v>
      </c>
      <c r="BY107" s="203">
        <f t="shared" ref="BY107" si="565">BY14</f>
        <v>0</v>
      </c>
      <c r="BZ107" s="203">
        <f t="shared" ref="BZ107:CA107" si="566">BZ14</f>
        <v>0</v>
      </c>
      <c r="CA107" s="203">
        <f t="shared" si="566"/>
        <v>0</v>
      </c>
      <c r="CB107" s="2168">
        <f t="shared" si="552"/>
        <v>0</v>
      </c>
      <c r="CC107" s="20"/>
      <c r="CD107" s="13"/>
    </row>
    <row r="108" spans="1:82" ht="14.25" customHeight="1" outlineLevel="1">
      <c r="A108" s="7"/>
      <c r="B108" s="47" t="s">
        <v>227</v>
      </c>
      <c r="C108" s="48"/>
      <c r="D108" s="208">
        <v>0</v>
      </c>
      <c r="E108" s="206">
        <v>0</v>
      </c>
      <c r="F108" s="206">
        <v>0</v>
      </c>
      <c r="G108" s="207">
        <v>16</v>
      </c>
      <c r="H108" s="208">
        <v>0</v>
      </c>
      <c r="I108" s="206">
        <v>0</v>
      </c>
      <c r="J108" s="206">
        <v>0</v>
      </c>
      <c r="K108" s="207">
        <v>0</v>
      </c>
      <c r="L108" s="208">
        <v>0</v>
      </c>
      <c r="M108" s="206">
        <v>0</v>
      </c>
      <c r="N108" s="206">
        <v>0</v>
      </c>
      <c r="O108" s="207">
        <v>1608</v>
      </c>
      <c r="P108" s="208">
        <v>0</v>
      </c>
      <c r="Q108" s="206">
        <v>876</v>
      </c>
      <c r="R108" s="206">
        <v>1003</v>
      </c>
      <c r="S108" s="207">
        <v>1687</v>
      </c>
      <c r="T108" s="208">
        <v>0</v>
      </c>
      <c r="U108" s="206">
        <v>0</v>
      </c>
      <c r="V108" s="206">
        <v>0</v>
      </c>
      <c r="W108" s="207">
        <v>0</v>
      </c>
      <c r="X108" s="208">
        <v>0</v>
      </c>
      <c r="Y108" s="206">
        <v>0</v>
      </c>
      <c r="Z108" s="206">
        <v>0</v>
      </c>
      <c r="AA108" s="207">
        <v>0</v>
      </c>
      <c r="AB108" s="208">
        <v>0</v>
      </c>
      <c r="AC108" s="206">
        <v>0</v>
      </c>
      <c r="AD108" s="206">
        <v>0</v>
      </c>
      <c r="AE108" s="207">
        <v>0</v>
      </c>
      <c r="AF108" s="208">
        <v>0</v>
      </c>
      <c r="AG108" s="206">
        <v>0</v>
      </c>
      <c r="AH108" s="206">
        <v>0</v>
      </c>
      <c r="AI108" s="207">
        <v>0</v>
      </c>
      <c r="AJ108" s="208">
        <v>0</v>
      </c>
      <c r="AK108" s="206">
        <v>0</v>
      </c>
      <c r="AL108" s="206">
        <v>0</v>
      </c>
      <c r="AM108" s="207">
        <v>0</v>
      </c>
      <c r="AN108" s="208">
        <v>0</v>
      </c>
      <c r="AO108" s="206">
        <v>0</v>
      </c>
      <c r="AP108" s="206">
        <v>0</v>
      </c>
      <c r="AQ108" s="207">
        <v>0</v>
      </c>
      <c r="AR108" s="208">
        <v>0</v>
      </c>
      <c r="AS108" s="206">
        <v>0</v>
      </c>
      <c r="AT108" s="206">
        <v>0</v>
      </c>
      <c r="AU108" s="207">
        <v>0</v>
      </c>
      <c r="AV108" s="208">
        <v>0</v>
      </c>
      <c r="AW108" s="206">
        <v>0</v>
      </c>
      <c r="AX108" s="206">
        <v>0</v>
      </c>
      <c r="AY108" s="207">
        <v>0</v>
      </c>
      <c r="AZ108" s="208">
        <v>0</v>
      </c>
      <c r="BA108" s="206">
        <v>0</v>
      </c>
      <c r="BB108" s="206">
        <v>0</v>
      </c>
      <c r="BC108" s="207">
        <v>0</v>
      </c>
      <c r="BD108" s="1464">
        <f t="shared" si="553"/>
        <v>0</v>
      </c>
      <c r="BE108" s="1464">
        <f t="shared" si="544"/>
        <v>0</v>
      </c>
      <c r="BF108" s="1106">
        <f t="shared" si="545"/>
        <v>0</v>
      </c>
      <c r="BG108" s="204">
        <f t="shared" si="546"/>
        <v>0</v>
      </c>
      <c r="BH108" s="1464">
        <f t="shared" si="554"/>
        <v>0</v>
      </c>
      <c r="BI108" s="1464">
        <f t="shared" si="547"/>
        <v>0</v>
      </c>
      <c r="BJ108" s="1106">
        <f t="shared" si="548"/>
        <v>0</v>
      </c>
      <c r="BK108" s="204">
        <f t="shared" si="549"/>
        <v>0</v>
      </c>
      <c r="BL108" s="179"/>
      <c r="BM108" s="203">
        <f t="shared" ref="BM108:BX108" si="567">BM15</f>
        <v>16</v>
      </c>
      <c r="BN108" s="203">
        <f t="shared" si="567"/>
        <v>0</v>
      </c>
      <c r="BO108" s="203">
        <f t="shared" si="567"/>
        <v>1608</v>
      </c>
      <c r="BP108" s="203">
        <f t="shared" si="567"/>
        <v>1687</v>
      </c>
      <c r="BQ108" s="203">
        <f t="shared" si="567"/>
        <v>0</v>
      </c>
      <c r="BR108" s="203">
        <f t="shared" si="567"/>
        <v>0</v>
      </c>
      <c r="BS108" s="203">
        <f t="shared" si="567"/>
        <v>0</v>
      </c>
      <c r="BT108" s="203">
        <f t="shared" si="567"/>
        <v>0</v>
      </c>
      <c r="BU108" s="203">
        <f t="shared" si="567"/>
        <v>0</v>
      </c>
      <c r="BV108" s="203">
        <f t="shared" si="567"/>
        <v>0</v>
      </c>
      <c r="BW108" s="203">
        <f t="shared" si="567"/>
        <v>0</v>
      </c>
      <c r="BX108" s="203">
        <f t="shared" si="567"/>
        <v>0</v>
      </c>
      <c r="BY108" s="203">
        <f t="shared" ref="BY108" si="568">BY15</f>
        <v>0</v>
      </c>
      <c r="BZ108" s="203">
        <f t="shared" ref="BZ108:CA108" si="569">BZ15</f>
        <v>0</v>
      </c>
      <c r="CA108" s="203">
        <f t="shared" si="569"/>
        <v>0</v>
      </c>
      <c r="CB108" s="2168">
        <f t="shared" si="552"/>
        <v>0</v>
      </c>
      <c r="CC108" s="20"/>
      <c r="CD108" s="13"/>
    </row>
    <row r="109" spans="1:82" ht="14.25" customHeight="1" outlineLevel="1">
      <c r="A109" s="7"/>
      <c r="B109" s="47" t="s">
        <v>257</v>
      </c>
      <c r="C109" s="48"/>
      <c r="D109" s="208">
        <v>0</v>
      </c>
      <c r="E109" s="206">
        <v>0</v>
      </c>
      <c r="F109" s="206">
        <v>0</v>
      </c>
      <c r="G109" s="207">
        <f>-3+110</f>
        <v>107</v>
      </c>
      <c r="H109" s="208">
        <v>18.242999999999999</v>
      </c>
      <c r="I109" s="206">
        <v>30.71</v>
      </c>
      <c r="J109" s="206">
        <v>40.914000000000001</v>
      </c>
      <c r="K109" s="207">
        <f>51-6</f>
        <v>45</v>
      </c>
      <c r="L109" s="208">
        <v>0</v>
      </c>
      <c r="M109" s="206">
        <v>0</v>
      </c>
      <c r="N109" s="206">
        <v>86</v>
      </c>
      <c r="O109" s="207">
        <v>154</v>
      </c>
      <c r="P109" s="208">
        <v>0</v>
      </c>
      <c r="Q109" s="206">
        <v>0</v>
      </c>
      <c r="R109" s="206">
        <v>0</v>
      </c>
      <c r="S109" s="207">
        <v>0</v>
      </c>
      <c r="T109" s="208">
        <v>0</v>
      </c>
      <c r="U109" s="206">
        <v>0</v>
      </c>
      <c r="V109" s="206">
        <v>0</v>
      </c>
      <c r="W109" s="207">
        <v>0</v>
      </c>
      <c r="X109" s="208">
        <f>183-325</f>
        <v>-142</v>
      </c>
      <c r="Y109" s="206">
        <f>303-325</f>
        <v>-22</v>
      </c>
      <c r="Z109" s="206">
        <f>489-325</f>
        <v>164</v>
      </c>
      <c r="AA109" s="207">
        <f>462-325</f>
        <v>137</v>
      </c>
      <c r="AB109" s="208">
        <v>-492</v>
      </c>
      <c r="AC109" s="206">
        <v>-492</v>
      </c>
      <c r="AD109" s="206">
        <v>-492</v>
      </c>
      <c r="AE109" s="207">
        <v>-492</v>
      </c>
      <c r="AF109" s="208">
        <v>278</v>
      </c>
      <c r="AG109" s="206">
        <v>278</v>
      </c>
      <c r="AH109" s="206">
        <v>278</v>
      </c>
      <c r="AI109" s="207">
        <v>278</v>
      </c>
      <c r="AJ109" s="208">
        <v>0</v>
      </c>
      <c r="AK109" s="206">
        <v>0</v>
      </c>
      <c r="AL109" s="206">
        <v>0</v>
      </c>
      <c r="AM109" s="207">
        <v>0</v>
      </c>
      <c r="AN109" s="208">
        <v>0</v>
      </c>
      <c r="AO109" s="206">
        <v>0</v>
      </c>
      <c r="AP109" s="206">
        <v>0</v>
      </c>
      <c r="AQ109" s="207">
        <v>0</v>
      </c>
      <c r="AR109" s="208">
        <v>0</v>
      </c>
      <c r="AS109" s="206">
        <v>0</v>
      </c>
      <c r="AT109" s="206">
        <v>0</v>
      </c>
      <c r="AU109" s="207">
        <v>0</v>
      </c>
      <c r="AV109" s="208">
        <v>0</v>
      </c>
      <c r="AW109" s="206">
        <v>-1</v>
      </c>
      <c r="AX109" s="206">
        <v>1</v>
      </c>
      <c r="AY109" s="207">
        <v>0</v>
      </c>
      <c r="AZ109" s="208">
        <v>0</v>
      </c>
      <c r="BA109" s="206">
        <v>0</v>
      </c>
      <c r="BB109" s="206">
        <v>0</v>
      </c>
      <c r="BC109" s="207">
        <v>0</v>
      </c>
      <c r="BD109" s="1464">
        <f t="shared" si="553"/>
        <v>0</v>
      </c>
      <c r="BE109" s="1464">
        <f t="shared" si="544"/>
        <v>0</v>
      </c>
      <c r="BF109" s="1106">
        <f t="shared" si="545"/>
        <v>0</v>
      </c>
      <c r="BG109" s="204">
        <f t="shared" si="546"/>
        <v>0</v>
      </c>
      <c r="BH109" s="1464">
        <f t="shared" si="554"/>
        <v>0</v>
      </c>
      <c r="BI109" s="1464">
        <f t="shared" si="547"/>
        <v>0</v>
      </c>
      <c r="BJ109" s="1106">
        <f t="shared" si="548"/>
        <v>0</v>
      </c>
      <c r="BK109" s="204">
        <f t="shared" si="549"/>
        <v>0</v>
      </c>
      <c r="BL109" s="179"/>
      <c r="BM109" s="203">
        <f t="shared" ref="BM109:BX109" si="570">BM16</f>
        <v>107</v>
      </c>
      <c r="BN109" s="203">
        <f t="shared" si="570"/>
        <v>45</v>
      </c>
      <c r="BO109" s="203">
        <f t="shared" si="570"/>
        <v>154</v>
      </c>
      <c r="BP109" s="203">
        <f t="shared" si="570"/>
        <v>0</v>
      </c>
      <c r="BQ109" s="203">
        <f t="shared" si="570"/>
        <v>0</v>
      </c>
      <c r="BR109" s="203">
        <f t="shared" si="570"/>
        <v>137</v>
      </c>
      <c r="BS109" s="203">
        <f t="shared" si="570"/>
        <v>-492</v>
      </c>
      <c r="BT109" s="203">
        <f t="shared" si="570"/>
        <v>278</v>
      </c>
      <c r="BU109" s="203">
        <f t="shared" si="570"/>
        <v>0</v>
      </c>
      <c r="BV109" s="203">
        <f t="shared" si="570"/>
        <v>0</v>
      </c>
      <c r="BW109" s="203">
        <f t="shared" si="570"/>
        <v>0</v>
      </c>
      <c r="BX109" s="203">
        <f t="shared" si="570"/>
        <v>0</v>
      </c>
      <c r="BY109" s="203">
        <f t="shared" ref="BY109" si="571">BY16</f>
        <v>0</v>
      </c>
      <c r="BZ109" s="203">
        <f t="shared" ref="BZ109:CA109" si="572">BZ16</f>
        <v>0</v>
      </c>
      <c r="CA109" s="203">
        <f t="shared" si="572"/>
        <v>0</v>
      </c>
      <c r="CB109" s="2168">
        <f t="shared" si="552"/>
        <v>0</v>
      </c>
      <c r="CC109" s="20"/>
      <c r="CD109" s="13"/>
    </row>
    <row r="110" spans="1:82" ht="14.25" customHeight="1" outlineLevel="1">
      <c r="A110" s="7"/>
      <c r="B110" s="47" t="s">
        <v>226</v>
      </c>
      <c r="C110" s="48"/>
      <c r="D110" s="208">
        <v>-7.3289999999999997</v>
      </c>
      <c r="E110" s="206">
        <v>-20.55</v>
      </c>
      <c r="F110" s="206">
        <v>-21.120999999999999</v>
      </c>
      <c r="G110" s="207">
        <v>-22</v>
      </c>
      <c r="H110" s="208">
        <v>-3.7250000000000001</v>
      </c>
      <c r="I110" s="206">
        <v>0.71899999999999997</v>
      </c>
      <c r="J110" s="206">
        <v>0.28599999999999998</v>
      </c>
      <c r="K110" s="207">
        <v>-2</v>
      </c>
      <c r="L110" s="208">
        <v>10</v>
      </c>
      <c r="M110" s="206">
        <v>35</v>
      </c>
      <c r="N110" s="206">
        <v>25</v>
      </c>
      <c r="O110" s="207">
        <v>-24</v>
      </c>
      <c r="P110" s="208">
        <v>-50</v>
      </c>
      <c r="Q110" s="206">
        <v>-70</v>
      </c>
      <c r="R110" s="206">
        <v>-65</v>
      </c>
      <c r="S110" s="207">
        <v>82</v>
      </c>
      <c r="T110" s="208">
        <v>116</v>
      </c>
      <c r="U110" s="206">
        <v>124</v>
      </c>
      <c r="V110" s="206">
        <v>142</v>
      </c>
      <c r="W110" s="207">
        <v>130</v>
      </c>
      <c r="X110" s="208">
        <v>0</v>
      </c>
      <c r="Y110" s="206">
        <v>-11</v>
      </c>
      <c r="Z110" s="206">
        <v>-2</v>
      </c>
      <c r="AA110" s="207">
        <v>-5</v>
      </c>
      <c r="AB110" s="208">
        <v>-1</v>
      </c>
      <c r="AC110" s="206">
        <v>0</v>
      </c>
      <c r="AD110" s="206">
        <v>0</v>
      </c>
      <c r="AE110" s="207">
        <v>0</v>
      </c>
      <c r="AF110" s="208">
        <v>-36</v>
      </c>
      <c r="AG110" s="206">
        <v>-40</v>
      </c>
      <c r="AH110" s="206">
        <v>-41</v>
      </c>
      <c r="AI110" s="207">
        <v>-40</v>
      </c>
      <c r="AJ110" s="208">
        <v>1</v>
      </c>
      <c r="AK110" s="206">
        <v>1</v>
      </c>
      <c r="AL110" s="206">
        <v>0</v>
      </c>
      <c r="AM110" s="207">
        <v>0</v>
      </c>
      <c r="AN110" s="208">
        <v>0</v>
      </c>
      <c r="AO110" s="206">
        <v>1</v>
      </c>
      <c r="AP110" s="206">
        <v>0</v>
      </c>
      <c r="AQ110" s="207">
        <v>0</v>
      </c>
      <c r="AR110" s="208">
        <v>0</v>
      </c>
      <c r="AS110" s="206">
        <v>0</v>
      </c>
      <c r="AT110" s="206">
        <v>0</v>
      </c>
      <c r="AU110" s="207">
        <v>0</v>
      </c>
      <c r="AV110" s="208">
        <v>0</v>
      </c>
      <c r="AW110" s="206">
        <v>11</v>
      </c>
      <c r="AX110" s="206">
        <v>11</v>
      </c>
      <c r="AY110" s="207">
        <v>11</v>
      </c>
      <c r="AZ110" s="208">
        <v>0</v>
      </c>
      <c r="BA110" s="206">
        <v>0</v>
      </c>
      <c r="BB110" s="206">
        <v>0</v>
      </c>
      <c r="BC110" s="207">
        <v>0</v>
      </c>
      <c r="BD110" s="1464">
        <f t="shared" si="553"/>
        <v>0</v>
      </c>
      <c r="BE110" s="1464">
        <f t="shared" si="544"/>
        <v>0</v>
      </c>
      <c r="BF110" s="1106">
        <f t="shared" si="545"/>
        <v>0</v>
      </c>
      <c r="BG110" s="204">
        <f t="shared" si="546"/>
        <v>0</v>
      </c>
      <c r="BH110" s="1464">
        <f t="shared" si="554"/>
        <v>0</v>
      </c>
      <c r="BI110" s="1464">
        <f t="shared" si="547"/>
        <v>0</v>
      </c>
      <c r="BJ110" s="1106">
        <f t="shared" si="548"/>
        <v>0</v>
      </c>
      <c r="BK110" s="204">
        <f t="shared" si="549"/>
        <v>0</v>
      </c>
      <c r="BL110" s="179"/>
      <c r="BM110" s="203">
        <f t="shared" ref="BM110:BX110" si="573">BM17</f>
        <v>-22</v>
      </c>
      <c r="BN110" s="203">
        <f t="shared" si="573"/>
        <v>-1.9999999999999996</v>
      </c>
      <c r="BO110" s="203">
        <f t="shared" si="573"/>
        <v>-24</v>
      </c>
      <c r="BP110" s="203">
        <f t="shared" si="573"/>
        <v>82</v>
      </c>
      <c r="BQ110" s="203">
        <f t="shared" si="573"/>
        <v>130</v>
      </c>
      <c r="BR110" s="203">
        <f t="shared" si="573"/>
        <v>-5</v>
      </c>
      <c r="BS110" s="203">
        <f t="shared" si="573"/>
        <v>0</v>
      </c>
      <c r="BT110" s="203">
        <f t="shared" si="573"/>
        <v>-40</v>
      </c>
      <c r="BU110" s="203">
        <f t="shared" si="573"/>
        <v>0</v>
      </c>
      <c r="BV110" s="203">
        <f t="shared" si="573"/>
        <v>0</v>
      </c>
      <c r="BW110" s="203">
        <f t="shared" si="573"/>
        <v>0</v>
      </c>
      <c r="BX110" s="203">
        <f t="shared" si="573"/>
        <v>11</v>
      </c>
      <c r="BY110" s="203">
        <f t="shared" ref="BY110" si="574">BY17</f>
        <v>0</v>
      </c>
      <c r="BZ110" s="203">
        <f t="shared" ref="BZ110:CA110" si="575">BZ17</f>
        <v>0</v>
      </c>
      <c r="CA110" s="203">
        <f t="shared" si="575"/>
        <v>0</v>
      </c>
      <c r="CB110" s="2168">
        <f t="shared" si="552"/>
        <v>0</v>
      </c>
      <c r="CC110" s="20"/>
      <c r="CD110" s="13"/>
    </row>
    <row r="111" spans="1:82" ht="14.25" customHeight="1" outlineLevel="1">
      <c r="A111" s="7"/>
      <c r="B111" s="47" t="s">
        <v>589</v>
      </c>
      <c r="C111" s="48"/>
      <c r="D111" s="208"/>
      <c r="E111" s="206"/>
      <c r="F111" s="206"/>
      <c r="G111" s="207"/>
      <c r="H111" s="208"/>
      <c r="I111" s="206"/>
      <c r="J111" s="206"/>
      <c r="K111" s="207"/>
      <c r="L111" s="208"/>
      <c r="M111" s="206"/>
      <c r="N111" s="206"/>
      <c r="O111" s="207"/>
      <c r="P111" s="208"/>
      <c r="Q111" s="206"/>
      <c r="R111" s="206"/>
      <c r="S111" s="207"/>
      <c r="T111" s="208"/>
      <c r="U111" s="206"/>
      <c r="V111" s="206"/>
      <c r="W111" s="207"/>
      <c r="X111" s="208"/>
      <c r="Y111" s="206"/>
      <c r="Z111" s="206"/>
      <c r="AA111" s="207"/>
      <c r="AB111" s="208"/>
      <c r="AC111" s="206"/>
      <c r="AD111" s="206"/>
      <c r="AE111" s="207"/>
      <c r="AF111" s="208"/>
      <c r="AG111" s="206"/>
      <c r="AH111" s="206"/>
      <c r="AI111" s="207"/>
      <c r="AJ111" s="208"/>
      <c r="AK111" s="206"/>
      <c r="AL111" s="206"/>
      <c r="AM111" s="207"/>
      <c r="AN111" s="208"/>
      <c r="AO111" s="206"/>
      <c r="AP111" s="206"/>
      <c r="AQ111" s="207"/>
      <c r="AR111" s="208">
        <v>71</v>
      </c>
      <c r="AS111" s="206">
        <v>72</v>
      </c>
      <c r="AT111" s="206">
        <v>83</v>
      </c>
      <c r="AU111" s="207">
        <v>83</v>
      </c>
      <c r="AV111" s="208">
        <v>0</v>
      </c>
      <c r="AW111" s="206">
        <v>0</v>
      </c>
      <c r="AX111" s="206">
        <v>0</v>
      </c>
      <c r="AY111" s="207">
        <v>0</v>
      </c>
      <c r="AZ111" s="208">
        <v>0</v>
      </c>
      <c r="BA111" s="206">
        <v>0</v>
      </c>
      <c r="BB111" s="206">
        <v>0</v>
      </c>
      <c r="BC111" s="207">
        <v>0</v>
      </c>
      <c r="BD111" s="1464">
        <f t="shared" si="553"/>
        <v>0</v>
      </c>
      <c r="BE111" s="1464">
        <f t="shared" si="544"/>
        <v>0</v>
      </c>
      <c r="BF111" s="1106">
        <f t="shared" si="545"/>
        <v>0</v>
      </c>
      <c r="BG111" s="204">
        <f t="shared" si="546"/>
        <v>0</v>
      </c>
      <c r="BH111" s="1464">
        <f t="shared" si="554"/>
        <v>0</v>
      </c>
      <c r="BI111" s="1464">
        <f t="shared" si="547"/>
        <v>0</v>
      </c>
      <c r="BJ111" s="1106">
        <f t="shared" si="548"/>
        <v>0</v>
      </c>
      <c r="BK111" s="204">
        <f t="shared" si="549"/>
        <v>0</v>
      </c>
      <c r="BL111" s="179"/>
      <c r="BM111" s="203"/>
      <c r="BN111" s="203"/>
      <c r="BO111" s="203"/>
      <c r="BP111" s="203"/>
      <c r="BQ111" s="203"/>
      <c r="BR111" s="203"/>
      <c r="BS111" s="203"/>
      <c r="BT111" s="203"/>
      <c r="BU111" s="203">
        <f t="shared" ref="BU111:BX112" si="576">BU18</f>
        <v>0</v>
      </c>
      <c r="BV111" s="203">
        <f t="shared" si="576"/>
        <v>0</v>
      </c>
      <c r="BW111" s="203">
        <f t="shared" si="576"/>
        <v>83</v>
      </c>
      <c r="BX111" s="203">
        <f t="shared" si="576"/>
        <v>0</v>
      </c>
      <c r="BY111" s="203">
        <f t="shared" ref="BY111" si="577">BY18</f>
        <v>0</v>
      </c>
      <c r="BZ111" s="203">
        <f t="shared" ref="BZ111:CA111" si="578">BZ18</f>
        <v>0</v>
      </c>
      <c r="CA111" s="203">
        <f t="shared" si="578"/>
        <v>0</v>
      </c>
      <c r="CB111" s="2168">
        <f t="shared" si="552"/>
        <v>0</v>
      </c>
      <c r="CC111" s="20"/>
      <c r="CD111" s="13"/>
    </row>
    <row r="112" spans="1:82" ht="14.25" customHeight="1" outlineLevel="1">
      <c r="A112" s="10"/>
      <c r="B112" s="47" t="s">
        <v>127</v>
      </c>
      <c r="C112" s="48"/>
      <c r="D112" s="208">
        <f>-46.853-2.377-29.713+4.793</f>
        <v>-74.150000000000006</v>
      </c>
      <c r="E112" s="206">
        <f>-84.758-4.193-54.904-0.84+9.756</f>
        <v>-134.93899999999999</v>
      </c>
      <c r="F112" s="206">
        <f>-105.985-2.042-82.66+1.395+9.054</f>
        <v>-180.238</v>
      </c>
      <c r="G112" s="207">
        <f>-125-5-110+7</f>
        <v>-233</v>
      </c>
      <c r="H112" s="208">
        <f>6.347-0.622+3.822-32.033+0.754</f>
        <v>-21.731999999999999</v>
      </c>
      <c r="I112" s="206">
        <f>13.53-1.877+3.822-67.733+0.754+11.592-0.839-9.751</f>
        <v>-50.50200000000001</v>
      </c>
      <c r="J112" s="206">
        <f>20.473-0.975+3.822-109.795+0.754+7.409-9.751</f>
        <v>-88.063000000000002</v>
      </c>
      <c r="K112" s="207">
        <f>27-151-10+416+28</f>
        <v>310</v>
      </c>
      <c r="L112" s="208">
        <f>13+8-5+16-41</f>
        <v>-9</v>
      </c>
      <c r="M112" s="206">
        <f>-1+17-7+29-80+21</f>
        <v>-21</v>
      </c>
      <c r="N112" s="206">
        <f>17+26-6-127+25</f>
        <v>-65</v>
      </c>
      <c r="O112" s="207">
        <f>43-167-3+34</f>
        <v>-93</v>
      </c>
      <c r="P112" s="208">
        <f>-22-4</f>
        <v>-26</v>
      </c>
      <c r="Q112" s="206">
        <f>-10-46+14</f>
        <v>-42</v>
      </c>
      <c r="R112" s="206">
        <f>-56-72</f>
        <v>-128</v>
      </c>
      <c r="S112" s="207">
        <f>-34-107-72-193+29</f>
        <v>-377</v>
      </c>
      <c r="T112" s="208">
        <f>15-108-28-26</f>
        <v>-147</v>
      </c>
      <c r="U112" s="206">
        <f>13-53-114-28+3</f>
        <v>-179</v>
      </c>
      <c r="V112" s="206">
        <f>-180-28-78+3+29</f>
        <v>-254</v>
      </c>
      <c r="W112" s="207">
        <f>41-169-110+28-28</f>
        <v>-238</v>
      </c>
      <c r="X112" s="208">
        <v>4</v>
      </c>
      <c r="Y112" s="206">
        <f>-2-4</f>
        <v>-6</v>
      </c>
      <c r="Z112" s="206">
        <f>24-9-2</f>
        <v>13</v>
      </c>
      <c r="AA112" s="207">
        <f>-11+24-16</f>
        <v>-3</v>
      </c>
      <c r="AB112" s="208">
        <v>11</v>
      </c>
      <c r="AC112" s="206">
        <v>11</v>
      </c>
      <c r="AD112" s="206">
        <v>4</v>
      </c>
      <c r="AE112" s="207">
        <f>209+2</f>
        <v>211</v>
      </c>
      <c r="AF112" s="208">
        <v>-3</v>
      </c>
      <c r="AG112" s="206">
        <v>-1</v>
      </c>
      <c r="AH112" s="206">
        <v>-1</v>
      </c>
      <c r="AI112" s="207">
        <f>4+3</f>
        <v>7</v>
      </c>
      <c r="AJ112" s="208">
        <v>-1</v>
      </c>
      <c r="AK112" s="206">
        <v>1</v>
      </c>
      <c r="AL112" s="206">
        <v>1</v>
      </c>
      <c r="AM112" s="207">
        <f>+AL112-1</f>
        <v>0</v>
      </c>
      <c r="AN112" s="208">
        <f>-4+15</f>
        <v>11</v>
      </c>
      <c r="AO112" s="206">
        <f>64-5</f>
        <v>59</v>
      </c>
      <c r="AP112" s="206">
        <f>64-9</f>
        <v>55</v>
      </c>
      <c r="AQ112" s="207">
        <f>61-13</f>
        <v>48</v>
      </c>
      <c r="AR112" s="208">
        <f>-1</f>
        <v>-1</v>
      </c>
      <c r="AS112" s="206">
        <f>1</f>
        <v>1</v>
      </c>
      <c r="AT112" s="206">
        <v>7</v>
      </c>
      <c r="AU112" s="207">
        <v>-3</v>
      </c>
      <c r="AV112" s="208">
        <v>-5</v>
      </c>
      <c r="AW112" s="206">
        <v>-6</v>
      </c>
      <c r="AX112" s="206">
        <f>-5+240+61</f>
        <v>296</v>
      </c>
      <c r="AY112" s="207">
        <f>-146+2+68+240-8</f>
        <v>156</v>
      </c>
      <c r="AZ112" s="208">
        <f>4+5</f>
        <v>9</v>
      </c>
      <c r="BA112" s="206">
        <f>7+1</f>
        <v>8</v>
      </c>
      <c r="BB112" s="206">
        <f>4+9</f>
        <v>13</v>
      </c>
      <c r="BC112" s="207">
        <v>48</v>
      </c>
      <c r="BD112" s="1464">
        <f t="shared" si="553"/>
        <v>0</v>
      </c>
      <c r="BE112" s="1464">
        <f t="shared" si="544"/>
        <v>0</v>
      </c>
      <c r="BF112" s="1106">
        <f t="shared" si="545"/>
        <v>0</v>
      </c>
      <c r="BG112" s="204">
        <f t="shared" si="546"/>
        <v>0</v>
      </c>
      <c r="BH112" s="1464">
        <f t="shared" si="554"/>
        <v>0</v>
      </c>
      <c r="BI112" s="1464">
        <f t="shared" si="547"/>
        <v>0</v>
      </c>
      <c r="BJ112" s="1106">
        <f t="shared" si="548"/>
        <v>0</v>
      </c>
      <c r="BK112" s="204">
        <f t="shared" si="549"/>
        <v>0</v>
      </c>
      <c r="BL112" s="179"/>
      <c r="BM112" s="203">
        <f t="shared" ref="BM112:BT112" si="579">BM19</f>
        <v>-233</v>
      </c>
      <c r="BN112" s="203">
        <f t="shared" si="579"/>
        <v>310</v>
      </c>
      <c r="BO112" s="203">
        <f t="shared" si="579"/>
        <v>-93</v>
      </c>
      <c r="BP112" s="203">
        <f t="shared" si="579"/>
        <v>-377</v>
      </c>
      <c r="BQ112" s="203">
        <f t="shared" si="579"/>
        <v>-238</v>
      </c>
      <c r="BR112" s="203">
        <f t="shared" si="579"/>
        <v>-3</v>
      </c>
      <c r="BS112" s="203">
        <f t="shared" si="579"/>
        <v>211</v>
      </c>
      <c r="BT112" s="203">
        <f t="shared" si="579"/>
        <v>7</v>
      </c>
      <c r="BU112" s="203">
        <f t="shared" si="576"/>
        <v>0</v>
      </c>
      <c r="BV112" s="203">
        <f t="shared" si="576"/>
        <v>48</v>
      </c>
      <c r="BW112" s="203">
        <f t="shared" si="576"/>
        <v>-3</v>
      </c>
      <c r="BX112" s="203">
        <f t="shared" si="576"/>
        <v>156</v>
      </c>
      <c r="BY112" s="203">
        <f t="shared" ref="BY112" si="580">BY19</f>
        <v>48</v>
      </c>
      <c r="BZ112" s="203">
        <f t="shared" ref="BZ112:CA112" si="581">BZ19</f>
        <v>0</v>
      </c>
      <c r="CA112" s="203">
        <f t="shared" si="581"/>
        <v>0</v>
      </c>
      <c r="CB112" s="2168">
        <f t="shared" si="552"/>
        <v>0</v>
      </c>
      <c r="CC112" s="21"/>
      <c r="CD112" s="69"/>
    </row>
    <row r="113" spans="1:82" ht="14.25" customHeight="1" outlineLevel="1">
      <c r="A113" s="7"/>
      <c r="B113" s="23" t="s">
        <v>128</v>
      </c>
      <c r="C113" s="24"/>
      <c r="D113" s="208"/>
      <c r="E113" s="206"/>
      <c r="F113" s="206"/>
      <c r="G113" s="207"/>
      <c r="H113" s="208"/>
      <c r="I113" s="206"/>
      <c r="J113" s="206"/>
      <c r="K113" s="207"/>
      <c r="L113" s="208"/>
      <c r="M113" s="206"/>
      <c r="N113" s="206"/>
      <c r="O113" s="207"/>
      <c r="P113" s="208"/>
      <c r="Q113" s="206"/>
      <c r="R113" s="206"/>
      <c r="S113" s="207"/>
      <c r="T113" s="208"/>
      <c r="U113" s="206"/>
      <c r="V113" s="206"/>
      <c r="W113" s="207"/>
      <c r="X113" s="208"/>
      <c r="Y113" s="206"/>
      <c r="Z113" s="206"/>
      <c r="AA113" s="207"/>
      <c r="AB113" s="344"/>
      <c r="AC113" s="345"/>
      <c r="AD113" s="345"/>
      <c r="AE113" s="207"/>
      <c r="AF113" s="344"/>
      <c r="AG113" s="203"/>
      <c r="AH113" s="203"/>
      <c r="AI113" s="204"/>
      <c r="AJ113" s="205"/>
      <c r="AK113" s="203"/>
      <c r="AL113" s="203"/>
      <c r="AM113" s="204"/>
      <c r="AN113" s="205"/>
      <c r="AO113" s="203"/>
      <c r="AP113" s="203"/>
      <c r="AQ113" s="204"/>
      <c r="AR113" s="205"/>
      <c r="AS113" s="203"/>
      <c r="AT113" s="203"/>
      <c r="AU113" s="204"/>
      <c r="AV113" s="205"/>
      <c r="AW113" s="203"/>
      <c r="AX113" s="203"/>
      <c r="AY113" s="204"/>
      <c r="AZ113" s="205"/>
      <c r="BA113" s="203"/>
      <c r="BB113" s="203"/>
      <c r="BC113" s="204"/>
      <c r="BD113" s="1464"/>
      <c r="BE113" s="1464"/>
      <c r="BF113" s="1106"/>
      <c r="BG113" s="204"/>
      <c r="BH113" s="1464"/>
      <c r="BI113" s="1464"/>
      <c r="BJ113" s="1106"/>
      <c r="BK113" s="204"/>
      <c r="BL113" s="179"/>
      <c r="BM113" s="203"/>
      <c r="BN113" s="203"/>
      <c r="BO113" s="203"/>
      <c r="BP113" s="203"/>
      <c r="BQ113" s="203"/>
      <c r="BR113" s="203"/>
      <c r="BS113" s="203"/>
      <c r="BT113" s="203"/>
      <c r="BU113" s="203"/>
      <c r="BV113" s="203"/>
      <c r="BW113" s="203"/>
      <c r="BX113" s="203"/>
      <c r="BY113" s="203"/>
      <c r="BZ113" s="203"/>
      <c r="CA113" s="203"/>
      <c r="CB113" s="2168"/>
      <c r="CC113" s="20"/>
      <c r="CD113" s="13"/>
    </row>
    <row r="114" spans="1:82" ht="14.25" customHeight="1" outlineLevel="1">
      <c r="A114" s="7"/>
      <c r="B114" s="47" t="s">
        <v>129</v>
      </c>
      <c r="C114" s="48"/>
      <c r="D114" s="208">
        <f>25.448-1.807</f>
        <v>23.641000000000002</v>
      </c>
      <c r="E114" s="206">
        <f>-4.551-7.371</f>
        <v>-11.922000000000001</v>
      </c>
      <c r="F114" s="206">
        <f>-108.673-40.076</f>
        <v>-148.749</v>
      </c>
      <c r="G114" s="207">
        <f>-276+54</f>
        <v>-222</v>
      </c>
      <c r="H114" s="208">
        <f>-13.182+80.132</f>
        <v>66.95</v>
      </c>
      <c r="I114" s="206">
        <f>236.499+92.95</f>
        <v>329.44900000000001</v>
      </c>
      <c r="J114" s="206">
        <f>119.111+93.729</f>
        <v>212.84</v>
      </c>
      <c r="K114" s="207">
        <f>-55+115</f>
        <v>60</v>
      </c>
      <c r="L114" s="208">
        <v>476</v>
      </c>
      <c r="M114" s="206">
        <f>499-4</f>
        <v>495</v>
      </c>
      <c r="N114" s="206">
        <f>464+15</f>
        <v>479</v>
      </c>
      <c r="O114" s="207">
        <v>503</v>
      </c>
      <c r="P114" s="208">
        <v>104</v>
      </c>
      <c r="Q114" s="206">
        <v>185</v>
      </c>
      <c r="R114" s="206">
        <v>-76</v>
      </c>
      <c r="S114" s="207">
        <v>101</v>
      </c>
      <c r="T114" s="208">
        <v>-187</v>
      </c>
      <c r="U114" s="206">
        <v>-295</v>
      </c>
      <c r="V114" s="206">
        <v>-611</v>
      </c>
      <c r="W114" s="207">
        <v>-960</v>
      </c>
      <c r="X114" s="208">
        <v>-134</v>
      </c>
      <c r="Y114" s="206">
        <v>-388</v>
      </c>
      <c r="Z114" s="206">
        <v>-673</v>
      </c>
      <c r="AA114" s="207">
        <v>-1138</v>
      </c>
      <c r="AB114" s="208">
        <v>-189</v>
      </c>
      <c r="AC114" s="206">
        <v>-187</v>
      </c>
      <c r="AD114" s="206">
        <v>-337</v>
      </c>
      <c r="AE114" s="207">
        <v>-347</v>
      </c>
      <c r="AF114" s="208">
        <v>-40</v>
      </c>
      <c r="AG114" s="206">
        <v>177</v>
      </c>
      <c r="AH114" s="206">
        <v>237</v>
      </c>
      <c r="AI114" s="207">
        <v>290</v>
      </c>
      <c r="AJ114" s="208">
        <v>-14</v>
      </c>
      <c r="AK114" s="206">
        <v>-39</v>
      </c>
      <c r="AL114" s="206">
        <v>-242</v>
      </c>
      <c r="AM114" s="207">
        <f>+AL114+42</f>
        <v>-200</v>
      </c>
      <c r="AN114" s="208">
        <v>-8</v>
      </c>
      <c r="AO114" s="206">
        <v>-40</v>
      </c>
      <c r="AP114" s="206">
        <v>-144</v>
      </c>
      <c r="AQ114" s="207">
        <v>7</v>
      </c>
      <c r="AR114" s="208">
        <v>46</v>
      </c>
      <c r="AS114" s="206">
        <v>129</v>
      </c>
      <c r="AT114" s="206">
        <v>164</v>
      </c>
      <c r="AU114" s="207">
        <v>280</v>
      </c>
      <c r="AV114" s="208">
        <v>26</v>
      </c>
      <c r="AW114" s="206">
        <v>-138</v>
      </c>
      <c r="AX114" s="206">
        <v>-107</v>
      </c>
      <c r="AY114" s="207">
        <v>222</v>
      </c>
      <c r="AZ114" s="208">
        <v>-183</v>
      </c>
      <c r="BA114" s="206">
        <v>-303</v>
      </c>
      <c r="BB114" s="206">
        <v>-460</v>
      </c>
      <c r="BC114" s="207">
        <v>-89</v>
      </c>
      <c r="BD114" s="1464">
        <f t="shared" ref="BD114:BD121" si="582">BD21</f>
        <v>-338</v>
      </c>
      <c r="BE114" s="1464">
        <f t="shared" ref="BE114:BE122" si="583">BD114+BE21</f>
        <v>-272.2039916169565</v>
      </c>
      <c r="BF114" s="1106">
        <f t="shared" ref="BF114:BF122" si="584">BE114+BF21</f>
        <v>-272.91709034727933</v>
      </c>
      <c r="BG114" s="204">
        <f t="shared" ref="BG114:BG122" si="585">BF114+BG21</f>
        <v>-232.07699420697543</v>
      </c>
      <c r="BH114" s="1464">
        <f t="shared" ref="BH114:BH122" si="586">BH21</f>
        <v>29.631624987604368</v>
      </c>
      <c r="BI114" s="1464">
        <f t="shared" ref="BI114:BI122" si="587">BH114+BI21</f>
        <v>-3.9369363790932539</v>
      </c>
      <c r="BJ114" s="1106">
        <f t="shared" ref="BJ114:BJ122" si="588">BI114+BJ21</f>
        <v>-35.456915896940359</v>
      </c>
      <c r="BK114" s="204">
        <f t="shared" ref="BK114:BK122" si="589">BJ114+BK21</f>
        <v>-30.139947548710438</v>
      </c>
      <c r="BL114" s="179"/>
      <c r="BM114" s="203">
        <f t="shared" ref="BM114:BX114" si="590">BM21</f>
        <v>-222</v>
      </c>
      <c r="BN114" s="203">
        <f t="shared" si="590"/>
        <v>60</v>
      </c>
      <c r="BO114" s="203">
        <f t="shared" si="590"/>
        <v>503</v>
      </c>
      <c r="BP114" s="203">
        <f t="shared" si="590"/>
        <v>101</v>
      </c>
      <c r="BQ114" s="203">
        <f t="shared" si="590"/>
        <v>-960</v>
      </c>
      <c r="BR114" s="203">
        <f t="shared" si="590"/>
        <v>-1138</v>
      </c>
      <c r="BS114" s="203">
        <f t="shared" si="590"/>
        <v>-347</v>
      </c>
      <c r="BT114" s="203">
        <f t="shared" si="590"/>
        <v>290</v>
      </c>
      <c r="BU114" s="203">
        <f t="shared" si="590"/>
        <v>-200</v>
      </c>
      <c r="BV114" s="203">
        <f t="shared" si="590"/>
        <v>7</v>
      </c>
      <c r="BW114" s="203">
        <f t="shared" si="590"/>
        <v>280</v>
      </c>
      <c r="BX114" s="203">
        <f t="shared" si="590"/>
        <v>222</v>
      </c>
      <c r="BY114" s="203">
        <f t="shared" ref="BY114" si="591">BY21</f>
        <v>-89</v>
      </c>
      <c r="BZ114" s="203">
        <f t="shared" ref="BZ114:CB119" si="592">BZ21</f>
        <v>-232.07699420697543</v>
      </c>
      <c r="CA114" s="203">
        <f t="shared" si="592"/>
        <v>-30.139947548710438</v>
      </c>
      <c r="CB114" s="2168">
        <f t="shared" si="592"/>
        <v>0</v>
      </c>
      <c r="CC114" s="20"/>
      <c r="CD114" s="13"/>
    </row>
    <row r="115" spans="1:82" ht="14.25" customHeight="1" outlineLevel="1">
      <c r="A115" s="7"/>
      <c r="B115" s="47" t="s">
        <v>130</v>
      </c>
      <c r="C115" s="48"/>
      <c r="D115" s="208">
        <v>28.638000000000002</v>
      </c>
      <c r="E115" s="206">
        <v>-35.335000000000001</v>
      </c>
      <c r="F115" s="206">
        <v>-55.935000000000002</v>
      </c>
      <c r="G115" s="207">
        <v>-28</v>
      </c>
      <c r="H115" s="208">
        <v>52.378</v>
      </c>
      <c r="I115" s="206">
        <v>-12.663</v>
      </c>
      <c r="J115" s="206">
        <v>-76.391999999999996</v>
      </c>
      <c r="K115" s="207">
        <v>6</v>
      </c>
      <c r="L115" s="208">
        <v>-124</v>
      </c>
      <c r="M115" s="206">
        <v>-78</v>
      </c>
      <c r="N115" s="206">
        <v>-23</v>
      </c>
      <c r="O115" s="207">
        <v>4</v>
      </c>
      <c r="P115" s="208">
        <v>36</v>
      </c>
      <c r="Q115" s="206">
        <v>13</v>
      </c>
      <c r="R115" s="206">
        <v>-43</v>
      </c>
      <c r="S115" s="207">
        <v>152</v>
      </c>
      <c r="T115" s="208">
        <v>117</v>
      </c>
      <c r="U115" s="206">
        <v>163</v>
      </c>
      <c r="V115" s="206">
        <v>141</v>
      </c>
      <c r="W115" s="207">
        <v>89</v>
      </c>
      <c r="X115" s="208">
        <v>-89</v>
      </c>
      <c r="Y115" s="206">
        <v>-93</v>
      </c>
      <c r="Z115" s="206">
        <v>-134</v>
      </c>
      <c r="AA115" s="207">
        <v>-144</v>
      </c>
      <c r="AB115" s="208">
        <v>-16</v>
      </c>
      <c r="AC115" s="206">
        <v>-10</v>
      </c>
      <c r="AD115" s="206">
        <v>92</v>
      </c>
      <c r="AE115" s="207">
        <v>157</v>
      </c>
      <c r="AF115" s="208">
        <v>-106</v>
      </c>
      <c r="AG115" s="206">
        <v>-355</v>
      </c>
      <c r="AH115" s="206">
        <v>-266</v>
      </c>
      <c r="AI115" s="207">
        <v>-83</v>
      </c>
      <c r="AJ115" s="208">
        <v>-52</v>
      </c>
      <c r="AK115" s="206">
        <v>-149</v>
      </c>
      <c r="AL115" s="206">
        <v>-360</v>
      </c>
      <c r="AM115" s="207">
        <f>+AL115+38</f>
        <v>-322</v>
      </c>
      <c r="AN115" s="208">
        <v>14</v>
      </c>
      <c r="AO115" s="206">
        <v>-76</v>
      </c>
      <c r="AP115" s="206">
        <v>-14</v>
      </c>
      <c r="AQ115" s="207">
        <v>199</v>
      </c>
      <c r="AR115" s="208">
        <v>-6</v>
      </c>
      <c r="AS115" s="206">
        <v>-117</v>
      </c>
      <c r="AT115" s="206">
        <v>-93</v>
      </c>
      <c r="AU115" s="207">
        <v>-11</v>
      </c>
      <c r="AV115" s="208">
        <v>3</v>
      </c>
      <c r="AW115" s="206">
        <v>-66</v>
      </c>
      <c r="AX115" s="206">
        <v>-94</v>
      </c>
      <c r="AY115" s="207">
        <v>-73</v>
      </c>
      <c r="AZ115" s="208">
        <v>-88</v>
      </c>
      <c r="BA115" s="206">
        <v>-82</v>
      </c>
      <c r="BB115" s="206">
        <v>-43</v>
      </c>
      <c r="BC115" s="207">
        <v>12</v>
      </c>
      <c r="BD115" s="1464">
        <f t="shared" si="582"/>
        <v>24</v>
      </c>
      <c r="BE115" s="1464">
        <f t="shared" si="583"/>
        <v>13.019689053687102</v>
      </c>
      <c r="BF115" s="1106">
        <f t="shared" si="584"/>
        <v>12.249542424938454</v>
      </c>
      <c r="BG115" s="204">
        <f t="shared" si="585"/>
        <v>-0.53008322216123815</v>
      </c>
      <c r="BH115" s="1464">
        <f t="shared" si="586"/>
        <v>34.669001235497149</v>
      </c>
      <c r="BI115" s="1464">
        <f t="shared" si="587"/>
        <v>63.538134142111176</v>
      </c>
      <c r="BJ115" s="1106">
        <f t="shared" si="588"/>
        <v>30.036898768856645</v>
      </c>
      <c r="BK115" s="204">
        <f t="shared" si="589"/>
        <v>35.688076556117949</v>
      </c>
      <c r="BL115" s="179"/>
      <c r="BM115" s="203">
        <f t="shared" ref="BM115:BX115" si="593">BM22</f>
        <v>-27.999999999999996</v>
      </c>
      <c r="BN115" s="203">
        <f t="shared" si="593"/>
        <v>5.9999999999999858</v>
      </c>
      <c r="BO115" s="203">
        <f t="shared" si="593"/>
        <v>4</v>
      </c>
      <c r="BP115" s="203">
        <f t="shared" si="593"/>
        <v>152</v>
      </c>
      <c r="BQ115" s="203">
        <f t="shared" si="593"/>
        <v>89</v>
      </c>
      <c r="BR115" s="203">
        <f t="shared" si="593"/>
        <v>-144</v>
      </c>
      <c r="BS115" s="203">
        <f t="shared" si="593"/>
        <v>157</v>
      </c>
      <c r="BT115" s="203">
        <f t="shared" si="593"/>
        <v>-83</v>
      </c>
      <c r="BU115" s="203">
        <f t="shared" si="593"/>
        <v>-322</v>
      </c>
      <c r="BV115" s="203">
        <f t="shared" si="593"/>
        <v>199</v>
      </c>
      <c r="BW115" s="203">
        <f t="shared" si="593"/>
        <v>-11</v>
      </c>
      <c r="BX115" s="203">
        <f t="shared" si="593"/>
        <v>-73</v>
      </c>
      <c r="BY115" s="203">
        <f t="shared" ref="BY115" si="594">BY22</f>
        <v>12</v>
      </c>
      <c r="BZ115" s="203">
        <f t="shared" ref="BZ115:CA115" si="595">BZ22</f>
        <v>-0.53008322216123815</v>
      </c>
      <c r="CA115" s="203">
        <f t="shared" si="595"/>
        <v>35.688076556117949</v>
      </c>
      <c r="CB115" s="2168">
        <f t="shared" si="592"/>
        <v>-9.7755834259173753</v>
      </c>
      <c r="CC115" s="20"/>
      <c r="CD115" s="13"/>
    </row>
    <row r="116" spans="1:82" ht="14.25" customHeight="1" outlineLevel="1">
      <c r="A116" s="7"/>
      <c r="B116" s="47" t="s">
        <v>131</v>
      </c>
      <c r="C116" s="48"/>
      <c r="D116" s="208">
        <v>-53.021999999999998</v>
      </c>
      <c r="E116" s="206">
        <v>-9.9779999999999998</v>
      </c>
      <c r="F116" s="206">
        <v>20.882999999999999</v>
      </c>
      <c r="G116" s="207">
        <v>8</v>
      </c>
      <c r="H116" s="208">
        <v>-31.754000000000001</v>
      </c>
      <c r="I116" s="206">
        <v>-57.478999999999999</v>
      </c>
      <c r="J116" s="206">
        <v>-21.402000000000001</v>
      </c>
      <c r="K116" s="207">
        <v>-19</v>
      </c>
      <c r="L116" s="208">
        <v>-51</v>
      </c>
      <c r="M116" s="206">
        <v>-115</v>
      </c>
      <c r="N116" s="206">
        <v>-180</v>
      </c>
      <c r="O116" s="207">
        <v>-134</v>
      </c>
      <c r="P116" s="208">
        <v>-44</v>
      </c>
      <c r="Q116" s="206">
        <v>34</v>
      </c>
      <c r="R116" s="206">
        <v>56</v>
      </c>
      <c r="S116" s="207">
        <v>64</v>
      </c>
      <c r="T116" s="208">
        <v>-33</v>
      </c>
      <c r="U116" s="206">
        <v>-60</v>
      </c>
      <c r="V116" s="206">
        <v>-29</v>
      </c>
      <c r="W116" s="207">
        <v>-17</v>
      </c>
      <c r="X116" s="208">
        <v>-6</v>
      </c>
      <c r="Y116" s="206">
        <v>19</v>
      </c>
      <c r="Z116" s="206">
        <v>14</v>
      </c>
      <c r="AA116" s="207">
        <v>-97</v>
      </c>
      <c r="AB116" s="208">
        <v>-11</v>
      </c>
      <c r="AC116" s="206">
        <v>36</v>
      </c>
      <c r="AD116" s="206">
        <v>42</v>
      </c>
      <c r="AE116" s="207">
        <v>115</v>
      </c>
      <c r="AF116" s="208">
        <v>-41</v>
      </c>
      <c r="AG116" s="206">
        <v>-16</v>
      </c>
      <c r="AH116" s="206">
        <v>-30</v>
      </c>
      <c r="AI116" s="207">
        <v>-20</v>
      </c>
      <c r="AJ116" s="208">
        <v>-7</v>
      </c>
      <c r="AK116" s="206">
        <v>-42</v>
      </c>
      <c r="AL116" s="206">
        <v>-18</v>
      </c>
      <c r="AM116" s="207">
        <f>+AL116+7</f>
        <v>-11</v>
      </c>
      <c r="AN116" s="208">
        <v>-8</v>
      </c>
      <c r="AO116" s="206">
        <v>-84</v>
      </c>
      <c r="AP116" s="206">
        <v>-156</v>
      </c>
      <c r="AQ116" s="207">
        <v>-120</v>
      </c>
      <c r="AR116" s="208">
        <v>-16</v>
      </c>
      <c r="AS116" s="206">
        <v>-73</v>
      </c>
      <c r="AT116" s="206">
        <v>-113</v>
      </c>
      <c r="AU116" s="207">
        <v>-111</v>
      </c>
      <c r="AV116" s="208">
        <v>22</v>
      </c>
      <c r="AW116" s="206">
        <v>-117</v>
      </c>
      <c r="AX116" s="206">
        <v>-134</v>
      </c>
      <c r="AY116" s="207">
        <v>-166</v>
      </c>
      <c r="AZ116" s="208">
        <v>-30</v>
      </c>
      <c r="BA116" s="206">
        <v>-56</v>
      </c>
      <c r="BB116" s="206">
        <v>-82</v>
      </c>
      <c r="BC116" s="207">
        <v>-140</v>
      </c>
      <c r="BD116" s="1464">
        <f t="shared" si="582"/>
        <v>45</v>
      </c>
      <c r="BE116" s="1464">
        <f t="shared" si="583"/>
        <v>-47.70490997443477</v>
      </c>
      <c r="BF116" s="1106">
        <f t="shared" si="584"/>
        <v>-48.071646464315108</v>
      </c>
      <c r="BG116" s="204">
        <f t="shared" si="585"/>
        <v>-27.068168449301652</v>
      </c>
      <c r="BH116" s="1464">
        <f t="shared" si="586"/>
        <v>15.23912142219649</v>
      </c>
      <c r="BI116" s="1464">
        <f t="shared" si="587"/>
        <v>-2.0247101378193975</v>
      </c>
      <c r="BJ116" s="1106">
        <f t="shared" si="588"/>
        <v>-18.234985318426482</v>
      </c>
      <c r="BK116" s="204">
        <f t="shared" si="589"/>
        <v>-15.500544453622524</v>
      </c>
      <c r="BL116" s="179"/>
      <c r="BM116" s="203">
        <f t="shared" ref="BM116:BX116" si="596">BM23</f>
        <v>7.9999999999999964</v>
      </c>
      <c r="BN116" s="203">
        <f t="shared" si="596"/>
        <v>-19</v>
      </c>
      <c r="BO116" s="203">
        <f t="shared" si="596"/>
        <v>-134</v>
      </c>
      <c r="BP116" s="203">
        <f t="shared" si="596"/>
        <v>64</v>
      </c>
      <c r="BQ116" s="203">
        <f t="shared" si="596"/>
        <v>-17</v>
      </c>
      <c r="BR116" s="203">
        <f t="shared" si="596"/>
        <v>-97</v>
      </c>
      <c r="BS116" s="203">
        <f t="shared" si="596"/>
        <v>115</v>
      </c>
      <c r="BT116" s="203">
        <f t="shared" si="596"/>
        <v>-20</v>
      </c>
      <c r="BU116" s="203">
        <f t="shared" si="596"/>
        <v>-11</v>
      </c>
      <c r="BV116" s="203">
        <f t="shared" si="596"/>
        <v>-120</v>
      </c>
      <c r="BW116" s="203">
        <f t="shared" si="596"/>
        <v>-111</v>
      </c>
      <c r="BX116" s="203">
        <f t="shared" si="596"/>
        <v>-166</v>
      </c>
      <c r="BY116" s="203">
        <f t="shared" ref="BY116" si="597">BY23</f>
        <v>-140</v>
      </c>
      <c r="BZ116" s="203">
        <f t="shared" ref="BZ116:CA116" si="598">BZ23</f>
        <v>-27.068168449301652</v>
      </c>
      <c r="CA116" s="203">
        <f t="shared" si="598"/>
        <v>-15.500544453622524</v>
      </c>
      <c r="CB116" s="2168">
        <f t="shared" si="592"/>
        <v>0</v>
      </c>
      <c r="CC116" s="20"/>
      <c r="CD116" s="13"/>
    </row>
    <row r="117" spans="1:82" ht="14.25" customHeight="1" outlineLevel="1">
      <c r="A117" s="7"/>
      <c r="B117" s="47" t="s">
        <v>100</v>
      </c>
      <c r="C117" s="48"/>
      <c r="D117" s="208">
        <f>59.455+7.683</f>
        <v>67.138000000000005</v>
      </c>
      <c r="E117" s="206">
        <f>125.465+12.324</f>
        <v>137.78900000000002</v>
      </c>
      <c r="F117" s="206">
        <f>351.164+21.049</f>
        <v>372.21299999999997</v>
      </c>
      <c r="G117" s="207">
        <f>313+206</f>
        <v>519</v>
      </c>
      <c r="H117" s="208">
        <f>65.442+13.41</f>
        <v>78.85199999999999</v>
      </c>
      <c r="I117" s="206">
        <f>75.623-187.042</f>
        <v>-111.419</v>
      </c>
      <c r="J117" s="206">
        <f>269.25-194.496</f>
        <v>74.753999999999991</v>
      </c>
      <c r="K117" s="207">
        <f>530-229</f>
        <v>301</v>
      </c>
      <c r="L117" s="208">
        <v>91</v>
      </c>
      <c r="M117" s="206">
        <f>-265+3</f>
        <v>-262</v>
      </c>
      <c r="N117" s="206">
        <f>-72+2</f>
        <v>-70</v>
      </c>
      <c r="O117" s="207">
        <v>-321</v>
      </c>
      <c r="P117" s="208">
        <v>-30</v>
      </c>
      <c r="Q117" s="206">
        <v>-254</v>
      </c>
      <c r="R117" s="206">
        <v>-456</v>
      </c>
      <c r="S117" s="207">
        <v>-722</v>
      </c>
      <c r="T117" s="208">
        <v>-158</v>
      </c>
      <c r="U117" s="206">
        <v>-181</v>
      </c>
      <c r="V117" s="206">
        <v>-142</v>
      </c>
      <c r="W117" s="207">
        <v>-105</v>
      </c>
      <c r="X117" s="208">
        <f>22-31</f>
        <v>-9</v>
      </c>
      <c r="Y117" s="206">
        <f>4-63</f>
        <v>-59</v>
      </c>
      <c r="Z117" s="206">
        <f>-135+66</f>
        <v>-69</v>
      </c>
      <c r="AA117" s="207">
        <f>-184+55</f>
        <v>-129</v>
      </c>
      <c r="AB117" s="208">
        <v>-32</v>
      </c>
      <c r="AC117" s="206">
        <v>-61</v>
      </c>
      <c r="AD117" s="206">
        <v>-57</v>
      </c>
      <c r="AE117" s="207">
        <v>-148</v>
      </c>
      <c r="AF117" s="208">
        <v>187</v>
      </c>
      <c r="AG117" s="206">
        <v>45</v>
      </c>
      <c r="AH117" s="206">
        <v>-62</v>
      </c>
      <c r="AI117" s="207">
        <v>-232</v>
      </c>
      <c r="AJ117" s="208">
        <v>-12</v>
      </c>
      <c r="AK117" s="206">
        <v>103</v>
      </c>
      <c r="AL117" s="206">
        <v>351</v>
      </c>
      <c r="AM117" s="207">
        <f>+AL117+33</f>
        <v>384</v>
      </c>
      <c r="AN117" s="208">
        <v>-124</v>
      </c>
      <c r="AO117" s="206"/>
      <c r="AP117" s="206"/>
      <c r="AQ117" s="207">
        <v>-224</v>
      </c>
      <c r="AR117" s="208">
        <v>-124</v>
      </c>
      <c r="AS117" s="206">
        <v>-86</v>
      </c>
      <c r="AT117" s="206">
        <v>-74</v>
      </c>
      <c r="AU117" s="207">
        <v>-156</v>
      </c>
      <c r="AV117" s="208">
        <v>-27</v>
      </c>
      <c r="AW117" s="206">
        <v>253</v>
      </c>
      <c r="AX117" s="206">
        <v>151</v>
      </c>
      <c r="AY117" s="207">
        <v>58</v>
      </c>
      <c r="AZ117" s="208">
        <v>53</v>
      </c>
      <c r="BA117" s="206">
        <v>-6</v>
      </c>
      <c r="BB117" s="206">
        <v>0</v>
      </c>
      <c r="BC117" s="207">
        <v>-75</v>
      </c>
      <c r="BD117" s="1464">
        <f t="shared" si="582"/>
        <v>72</v>
      </c>
      <c r="BE117" s="1464">
        <f t="shared" si="583"/>
        <v>88.924316845026624</v>
      </c>
      <c r="BF117" s="1106">
        <f t="shared" si="584"/>
        <v>89.426012363182906</v>
      </c>
      <c r="BG117" s="204">
        <f t="shared" si="585"/>
        <v>60.693254438644544</v>
      </c>
      <c r="BH117" s="1464">
        <f t="shared" si="586"/>
        <v>10.755444691200012</v>
      </c>
      <c r="BI117" s="1464">
        <f t="shared" si="587"/>
        <v>28.501109917390579</v>
      </c>
      <c r="BJ117" s="1106">
        <f t="shared" si="588"/>
        <v>51.951974678668705</v>
      </c>
      <c r="BK117" s="204">
        <f t="shared" si="589"/>
        <v>47.996150227585758</v>
      </c>
      <c r="BL117" s="179"/>
      <c r="BM117" s="203">
        <f t="shared" ref="BM117:BX117" si="599">BM24</f>
        <v>519</v>
      </c>
      <c r="BN117" s="203">
        <f t="shared" si="599"/>
        <v>301</v>
      </c>
      <c r="BO117" s="203">
        <f t="shared" si="599"/>
        <v>-321</v>
      </c>
      <c r="BP117" s="203">
        <f t="shared" si="599"/>
        <v>-722</v>
      </c>
      <c r="BQ117" s="203">
        <f t="shared" si="599"/>
        <v>-105</v>
      </c>
      <c r="BR117" s="203">
        <f t="shared" si="599"/>
        <v>-129</v>
      </c>
      <c r="BS117" s="203">
        <f t="shared" si="599"/>
        <v>-148</v>
      </c>
      <c r="BT117" s="203">
        <f t="shared" si="599"/>
        <v>-232</v>
      </c>
      <c r="BU117" s="203">
        <f t="shared" si="599"/>
        <v>384</v>
      </c>
      <c r="BV117" s="203">
        <f t="shared" si="599"/>
        <v>-224</v>
      </c>
      <c r="BW117" s="203">
        <f t="shared" si="599"/>
        <v>-156</v>
      </c>
      <c r="BX117" s="203">
        <f t="shared" si="599"/>
        <v>58</v>
      </c>
      <c r="BY117" s="203">
        <f t="shared" ref="BY117" si="600">BY24</f>
        <v>-75</v>
      </c>
      <c r="BZ117" s="203">
        <f t="shared" ref="BZ117:CA117" si="601">BZ24</f>
        <v>60.693254438644544</v>
      </c>
      <c r="CA117" s="203">
        <f t="shared" si="601"/>
        <v>47.996150227585758</v>
      </c>
      <c r="CB117" s="2168">
        <f t="shared" si="592"/>
        <v>6.8429083981421854</v>
      </c>
      <c r="CC117" s="20"/>
      <c r="CD117" s="13"/>
    </row>
    <row r="118" spans="1:82" ht="14.25" customHeight="1" outlineLevel="1">
      <c r="A118" s="7"/>
      <c r="B118" s="47" t="s">
        <v>101</v>
      </c>
      <c r="C118" s="48"/>
      <c r="D118" s="208">
        <v>0</v>
      </c>
      <c r="E118" s="206">
        <v>0</v>
      </c>
      <c r="F118" s="206">
        <v>0</v>
      </c>
      <c r="G118" s="207">
        <v>0</v>
      </c>
      <c r="H118" s="208">
        <v>0</v>
      </c>
      <c r="I118" s="206">
        <v>0</v>
      </c>
      <c r="J118" s="206">
        <v>0</v>
      </c>
      <c r="K118" s="207">
        <v>0</v>
      </c>
      <c r="L118" s="208">
        <v>0</v>
      </c>
      <c r="M118" s="206">
        <v>0</v>
      </c>
      <c r="N118" s="206">
        <v>0</v>
      </c>
      <c r="O118" s="207">
        <v>0</v>
      </c>
      <c r="P118" s="208">
        <v>0</v>
      </c>
      <c r="Q118" s="206">
        <v>0</v>
      </c>
      <c r="R118" s="206">
        <v>0</v>
      </c>
      <c r="S118" s="207">
        <v>0</v>
      </c>
      <c r="T118" s="208">
        <v>0</v>
      </c>
      <c r="U118" s="206">
        <v>0</v>
      </c>
      <c r="V118" s="206">
        <v>0</v>
      </c>
      <c r="W118" s="207">
        <v>0</v>
      </c>
      <c r="X118" s="208">
        <v>0</v>
      </c>
      <c r="Y118" s="206">
        <v>0</v>
      </c>
      <c r="Z118" s="206">
        <v>0</v>
      </c>
      <c r="AA118" s="207">
        <v>0</v>
      </c>
      <c r="AB118" s="208">
        <v>-78</v>
      </c>
      <c r="AC118" s="206">
        <v>-88</v>
      </c>
      <c r="AD118" s="206">
        <v>-54</v>
      </c>
      <c r="AE118" s="207">
        <v>-28</v>
      </c>
      <c r="AF118" s="208">
        <v>0</v>
      </c>
      <c r="AG118" s="206">
        <v>0</v>
      </c>
      <c r="AH118" s="206">
        <v>0</v>
      </c>
      <c r="AI118" s="207">
        <v>0</v>
      </c>
      <c r="AJ118" s="208">
        <v>0</v>
      </c>
      <c r="AK118" s="206">
        <v>0</v>
      </c>
      <c r="AL118" s="206">
        <v>0</v>
      </c>
      <c r="AM118" s="207">
        <v>0</v>
      </c>
      <c r="AN118" s="208">
        <v>0</v>
      </c>
      <c r="AO118" s="206">
        <v>0</v>
      </c>
      <c r="AP118" s="206">
        <v>0</v>
      </c>
      <c r="AQ118" s="207">
        <v>0</v>
      </c>
      <c r="AR118" s="208">
        <v>0</v>
      </c>
      <c r="AS118" s="206">
        <v>0</v>
      </c>
      <c r="AT118" s="206">
        <v>0</v>
      </c>
      <c r="AU118" s="207">
        <v>0</v>
      </c>
      <c r="AV118" s="208">
        <v>0</v>
      </c>
      <c r="AW118" s="206">
        <v>0</v>
      </c>
      <c r="AX118" s="206">
        <v>0</v>
      </c>
      <c r="AY118" s="207">
        <v>0</v>
      </c>
      <c r="AZ118" s="208">
        <v>0</v>
      </c>
      <c r="BA118" s="206">
        <v>0</v>
      </c>
      <c r="BB118" s="206">
        <v>0</v>
      </c>
      <c r="BC118" s="207">
        <v>0</v>
      </c>
      <c r="BD118" s="1464">
        <f t="shared" si="582"/>
        <v>-56</v>
      </c>
      <c r="BE118" s="1464">
        <f t="shared" si="583"/>
        <v>-56</v>
      </c>
      <c r="BF118" s="1106">
        <f t="shared" si="584"/>
        <v>-56</v>
      </c>
      <c r="BG118" s="204">
        <f t="shared" si="585"/>
        <v>-56</v>
      </c>
      <c r="BH118" s="1464">
        <f t="shared" si="586"/>
        <v>0</v>
      </c>
      <c r="BI118" s="1464">
        <f t="shared" si="587"/>
        <v>0</v>
      </c>
      <c r="BJ118" s="1106">
        <f t="shared" si="588"/>
        <v>0</v>
      </c>
      <c r="BK118" s="204">
        <f t="shared" si="589"/>
        <v>0</v>
      </c>
      <c r="BL118" s="179"/>
      <c r="BM118" s="203">
        <f t="shared" ref="BM118:BX118" si="602">BM25</f>
        <v>0</v>
      </c>
      <c r="BN118" s="203">
        <f t="shared" si="602"/>
        <v>0</v>
      </c>
      <c r="BO118" s="203">
        <f t="shared" si="602"/>
        <v>0</v>
      </c>
      <c r="BP118" s="203">
        <f t="shared" si="602"/>
        <v>0</v>
      </c>
      <c r="BQ118" s="203">
        <f t="shared" si="602"/>
        <v>0</v>
      </c>
      <c r="BR118" s="203">
        <f t="shared" si="602"/>
        <v>0</v>
      </c>
      <c r="BS118" s="203">
        <f t="shared" si="602"/>
        <v>-28</v>
      </c>
      <c r="BT118" s="203">
        <f t="shared" si="602"/>
        <v>0</v>
      </c>
      <c r="BU118" s="203">
        <f t="shared" si="602"/>
        <v>0</v>
      </c>
      <c r="BV118" s="203">
        <f t="shared" si="602"/>
        <v>0</v>
      </c>
      <c r="BW118" s="203">
        <f t="shared" si="602"/>
        <v>0</v>
      </c>
      <c r="BX118" s="203">
        <f t="shared" si="602"/>
        <v>0</v>
      </c>
      <c r="BY118" s="203">
        <f t="shared" ref="BY118" si="603">BY25</f>
        <v>0</v>
      </c>
      <c r="BZ118" s="203">
        <f t="shared" ref="BZ118:CA118" si="604">BZ25</f>
        <v>-56</v>
      </c>
      <c r="CA118" s="203">
        <f t="shared" si="604"/>
        <v>0</v>
      </c>
      <c r="CB118" s="2168">
        <f t="shared" si="592"/>
        <v>0</v>
      </c>
      <c r="CC118" s="20"/>
      <c r="CD118" s="13"/>
    </row>
    <row r="119" spans="1:82" ht="14.25" customHeight="1" outlineLevel="1">
      <c r="A119" s="7"/>
      <c r="B119" s="47" t="s">
        <v>224</v>
      </c>
      <c r="C119" s="48"/>
      <c r="D119" s="208">
        <v>-27.366</v>
      </c>
      <c r="E119" s="206">
        <v>-29.173999999999999</v>
      </c>
      <c r="F119" s="206">
        <v>-34.9</v>
      </c>
      <c r="G119" s="207">
        <f>7-36</f>
        <v>-29</v>
      </c>
      <c r="H119" s="208">
        <v>30.545000000000002</v>
      </c>
      <c r="I119" s="206">
        <v>42.241</v>
      </c>
      <c r="J119" s="206">
        <v>14.464</v>
      </c>
      <c r="K119" s="207">
        <v>-1</v>
      </c>
      <c r="L119" s="208">
        <v>-19</v>
      </c>
      <c r="M119" s="206">
        <v>-79</v>
      </c>
      <c r="N119" s="206">
        <v>-77</v>
      </c>
      <c r="O119" s="207">
        <v>-76</v>
      </c>
      <c r="P119" s="208">
        <v>44</v>
      </c>
      <c r="Q119" s="206">
        <v>50</v>
      </c>
      <c r="R119" s="206">
        <v>50</v>
      </c>
      <c r="S119" s="207">
        <v>46</v>
      </c>
      <c r="T119" s="208">
        <v>9</v>
      </c>
      <c r="U119" s="206">
        <v>1</v>
      </c>
      <c r="V119" s="206">
        <v>-19</v>
      </c>
      <c r="W119" s="207">
        <v>-28</v>
      </c>
      <c r="X119" s="208">
        <v>1</v>
      </c>
      <c r="Y119" s="206">
        <v>5</v>
      </c>
      <c r="Z119" s="206">
        <v>3</v>
      </c>
      <c r="AA119" s="207">
        <v>2</v>
      </c>
      <c r="AB119" s="208">
        <v>0</v>
      </c>
      <c r="AC119" s="206">
        <v>1</v>
      </c>
      <c r="AD119" s="206">
        <v>0</v>
      </c>
      <c r="AE119" s="207">
        <v>0</v>
      </c>
      <c r="AF119" s="208">
        <v>0</v>
      </c>
      <c r="AG119" s="206">
        <v>0</v>
      </c>
      <c r="AH119" s="206">
        <v>0</v>
      </c>
      <c r="AI119" s="207">
        <v>0</v>
      </c>
      <c r="AJ119" s="208">
        <v>0</v>
      </c>
      <c r="AK119" s="206">
        <v>0</v>
      </c>
      <c r="AL119" s="206">
        <v>0</v>
      </c>
      <c r="AM119" s="207">
        <v>0</v>
      </c>
      <c r="AN119" s="208">
        <v>0</v>
      </c>
      <c r="AO119" s="206">
        <v>0</v>
      </c>
      <c r="AP119" s="206">
        <v>0</v>
      </c>
      <c r="AQ119" s="207">
        <v>0</v>
      </c>
      <c r="AR119" s="208">
        <v>0</v>
      </c>
      <c r="AS119" s="206">
        <v>0</v>
      </c>
      <c r="AT119" s="206">
        <v>0</v>
      </c>
      <c r="AU119" s="207">
        <v>0</v>
      </c>
      <c r="AV119" s="208">
        <v>0</v>
      </c>
      <c r="AW119" s="206">
        <v>0</v>
      </c>
      <c r="AX119" s="206">
        <v>0</v>
      </c>
      <c r="AY119" s="207">
        <v>0</v>
      </c>
      <c r="AZ119" s="208">
        <v>0</v>
      </c>
      <c r="BA119" s="206">
        <v>0</v>
      </c>
      <c r="BB119" s="206">
        <v>0</v>
      </c>
      <c r="BC119" s="207">
        <v>0</v>
      </c>
      <c r="BD119" s="1464">
        <f t="shared" si="582"/>
        <v>0</v>
      </c>
      <c r="BE119" s="1464">
        <f t="shared" si="583"/>
        <v>0</v>
      </c>
      <c r="BF119" s="1106">
        <f t="shared" si="584"/>
        <v>0</v>
      </c>
      <c r="BG119" s="204">
        <f t="shared" si="585"/>
        <v>0</v>
      </c>
      <c r="BH119" s="1464">
        <f t="shared" si="586"/>
        <v>0</v>
      </c>
      <c r="BI119" s="1464">
        <f t="shared" si="587"/>
        <v>0</v>
      </c>
      <c r="BJ119" s="1106">
        <f t="shared" si="588"/>
        <v>0</v>
      </c>
      <c r="BK119" s="204">
        <f t="shared" si="589"/>
        <v>0</v>
      </c>
      <c r="BL119" s="179"/>
      <c r="BM119" s="203">
        <f t="shared" ref="BM119:BX119" si="605">BM26</f>
        <v>-29</v>
      </c>
      <c r="BN119" s="203">
        <f t="shared" si="605"/>
        <v>-1</v>
      </c>
      <c r="BO119" s="203">
        <f t="shared" si="605"/>
        <v>-76</v>
      </c>
      <c r="BP119" s="203">
        <f t="shared" si="605"/>
        <v>46</v>
      </c>
      <c r="BQ119" s="203">
        <f t="shared" si="605"/>
        <v>-28</v>
      </c>
      <c r="BR119" s="203">
        <f t="shared" si="605"/>
        <v>2</v>
      </c>
      <c r="BS119" s="203">
        <f t="shared" si="605"/>
        <v>0</v>
      </c>
      <c r="BT119" s="203">
        <f t="shared" si="605"/>
        <v>0</v>
      </c>
      <c r="BU119" s="203">
        <f t="shared" si="605"/>
        <v>0</v>
      </c>
      <c r="BV119" s="203">
        <f t="shared" si="605"/>
        <v>0</v>
      </c>
      <c r="BW119" s="203">
        <f t="shared" si="605"/>
        <v>0</v>
      </c>
      <c r="BX119" s="203">
        <f t="shared" si="605"/>
        <v>0</v>
      </c>
      <c r="BY119" s="203">
        <f t="shared" ref="BY119" si="606">BY26</f>
        <v>0</v>
      </c>
      <c r="BZ119" s="203">
        <f t="shared" ref="BZ119:CA120" si="607">BZ26</f>
        <v>0</v>
      </c>
      <c r="CA119" s="203">
        <f t="shared" si="607"/>
        <v>0</v>
      </c>
      <c r="CB119" s="2168">
        <f t="shared" si="592"/>
        <v>0</v>
      </c>
      <c r="CC119" s="20"/>
      <c r="CD119" s="13"/>
    </row>
    <row r="120" spans="1:82" ht="14.25" customHeight="1" outlineLevel="1">
      <c r="A120" s="7"/>
      <c r="B120" s="47" t="s">
        <v>588</v>
      </c>
      <c r="C120" s="48"/>
      <c r="D120" s="208"/>
      <c r="E120" s="206"/>
      <c r="F120" s="206"/>
      <c r="G120" s="207"/>
      <c r="H120" s="208"/>
      <c r="I120" s="206"/>
      <c r="J120" s="206"/>
      <c r="K120" s="207"/>
      <c r="L120" s="208"/>
      <c r="M120" s="206"/>
      <c r="N120" s="206"/>
      <c r="O120" s="207"/>
      <c r="P120" s="208"/>
      <c r="Q120" s="206"/>
      <c r="R120" s="206"/>
      <c r="S120" s="207"/>
      <c r="T120" s="208"/>
      <c r="U120" s="206"/>
      <c r="V120" s="206"/>
      <c r="W120" s="207"/>
      <c r="X120" s="208"/>
      <c r="Y120" s="206"/>
      <c r="Z120" s="206"/>
      <c r="AA120" s="207"/>
      <c r="AB120" s="206"/>
      <c r="AC120" s="206"/>
      <c r="AD120" s="206"/>
      <c r="AE120" s="207"/>
      <c r="AF120" s="206"/>
      <c r="AG120" s="206"/>
      <c r="AH120" s="206"/>
      <c r="AI120" s="207"/>
      <c r="AJ120" s="208"/>
      <c r="AK120" s="206"/>
      <c r="AL120" s="206"/>
      <c r="AM120" s="207"/>
      <c r="AN120" s="208"/>
      <c r="AO120" s="206"/>
      <c r="AP120" s="206"/>
      <c r="AQ120" s="207"/>
      <c r="AR120" s="208">
        <v>68</v>
      </c>
      <c r="AS120" s="206">
        <v>94</v>
      </c>
      <c r="AT120" s="206">
        <v>97</v>
      </c>
      <c r="AU120" s="207">
        <v>84</v>
      </c>
      <c r="AV120" s="208">
        <v>7</v>
      </c>
      <c r="AW120" s="206">
        <v>21</v>
      </c>
      <c r="AX120" s="206">
        <v>20</v>
      </c>
      <c r="AY120" s="207">
        <v>1</v>
      </c>
      <c r="AZ120" s="208">
        <v>1</v>
      </c>
      <c r="BA120" s="206">
        <v>22</v>
      </c>
      <c r="BB120" s="206">
        <v>6</v>
      </c>
      <c r="BC120" s="207">
        <v>-1</v>
      </c>
      <c r="BD120" s="1464">
        <f t="shared" si="582"/>
        <v>0</v>
      </c>
      <c r="BE120" s="1464">
        <f t="shared" si="583"/>
        <v>0</v>
      </c>
      <c r="BF120" s="1106">
        <f t="shared" si="584"/>
        <v>0</v>
      </c>
      <c r="BG120" s="204">
        <f t="shared" si="585"/>
        <v>0</v>
      </c>
      <c r="BH120" s="1464">
        <f t="shared" si="586"/>
        <v>0</v>
      </c>
      <c r="BI120" s="1464">
        <f t="shared" si="587"/>
        <v>0</v>
      </c>
      <c r="BJ120" s="1106">
        <f t="shared" si="588"/>
        <v>0</v>
      </c>
      <c r="BK120" s="204">
        <f t="shared" si="589"/>
        <v>0</v>
      </c>
      <c r="BL120" s="179"/>
      <c r="BM120" s="203"/>
      <c r="BN120" s="203"/>
      <c r="BO120" s="203"/>
      <c r="BP120" s="203"/>
      <c r="BQ120" s="203"/>
      <c r="BR120" s="203"/>
      <c r="BS120" s="203"/>
      <c r="BT120" s="203"/>
      <c r="BU120" s="203">
        <f t="shared" ref="BU120:BX122" si="608">BU27</f>
        <v>0</v>
      </c>
      <c r="BV120" s="203">
        <f t="shared" si="608"/>
        <v>0</v>
      </c>
      <c r="BW120" s="203">
        <f t="shared" si="608"/>
        <v>84</v>
      </c>
      <c r="BX120" s="203">
        <f t="shared" si="608"/>
        <v>1</v>
      </c>
      <c r="BY120" s="203">
        <f t="shared" ref="BY120" si="609">BY27</f>
        <v>-1</v>
      </c>
      <c r="BZ120" s="203">
        <f t="shared" si="607"/>
        <v>0</v>
      </c>
      <c r="CA120" s="203">
        <f t="shared" si="607"/>
        <v>0</v>
      </c>
      <c r="CB120" s="2168"/>
      <c r="CC120" s="20"/>
      <c r="CD120" s="13"/>
    </row>
    <row r="121" spans="1:82" ht="14.25" customHeight="1" outlineLevel="1">
      <c r="A121" s="7"/>
      <c r="B121" s="47" t="s">
        <v>398</v>
      </c>
      <c r="C121" s="48"/>
      <c r="D121" s="208"/>
      <c r="E121" s="206"/>
      <c r="F121" s="206"/>
      <c r="G121" s="207"/>
      <c r="H121" s="208"/>
      <c r="I121" s="206"/>
      <c r="J121" s="206"/>
      <c r="K121" s="207"/>
      <c r="L121" s="208"/>
      <c r="M121" s="206"/>
      <c r="N121" s="206"/>
      <c r="O121" s="207"/>
      <c r="P121" s="208"/>
      <c r="Q121" s="206"/>
      <c r="R121" s="206"/>
      <c r="S121" s="207"/>
      <c r="T121" s="208"/>
      <c r="U121" s="206"/>
      <c r="V121" s="206"/>
      <c r="W121" s="207"/>
      <c r="X121" s="208"/>
      <c r="Y121" s="206"/>
      <c r="Z121" s="206"/>
      <c r="AA121" s="207"/>
      <c r="AB121" s="206"/>
      <c r="AC121" s="206"/>
      <c r="AD121" s="206"/>
      <c r="AE121" s="207"/>
      <c r="AF121" s="206">
        <v>101</v>
      </c>
      <c r="AG121" s="206">
        <v>484</v>
      </c>
      <c r="AH121" s="206">
        <v>271</v>
      </c>
      <c r="AI121" s="207">
        <v>277</v>
      </c>
      <c r="AJ121" s="208">
        <v>-74</v>
      </c>
      <c r="AK121" s="206">
        <v>-40</v>
      </c>
      <c r="AL121" s="206">
        <v>41</v>
      </c>
      <c r="AM121" s="207">
        <f>+AL121-130</f>
        <v>-89</v>
      </c>
      <c r="AN121" s="208">
        <v>-151</v>
      </c>
      <c r="AO121" s="206">
        <v>-69</v>
      </c>
      <c r="AP121" s="206">
        <v>-47</v>
      </c>
      <c r="AQ121" s="207">
        <v>-153</v>
      </c>
      <c r="AR121" s="208">
        <f>-97</f>
        <v>-97</v>
      </c>
      <c r="AS121" s="206">
        <v>-21</v>
      </c>
      <c r="AT121" s="206">
        <v>9</v>
      </c>
      <c r="AU121" s="207">
        <v>27</v>
      </c>
      <c r="AV121" s="208">
        <v>-12</v>
      </c>
      <c r="AW121" s="206">
        <v>-151</v>
      </c>
      <c r="AX121" s="206">
        <v>39</v>
      </c>
      <c r="AY121" s="207">
        <f>10+128</f>
        <v>138</v>
      </c>
      <c r="AZ121" s="208">
        <v>-54</v>
      </c>
      <c r="BA121" s="206">
        <v>-9</v>
      </c>
      <c r="BB121" s="206">
        <v>61</v>
      </c>
      <c r="BC121" s="207">
        <v>29</v>
      </c>
      <c r="BD121" s="1464">
        <f t="shared" si="582"/>
        <v>0</v>
      </c>
      <c r="BE121" s="1464">
        <f t="shared" si="583"/>
        <v>0</v>
      </c>
      <c r="BF121" s="1106">
        <f t="shared" si="584"/>
        <v>0</v>
      </c>
      <c r="BG121" s="204">
        <f t="shared" si="585"/>
        <v>0</v>
      </c>
      <c r="BH121" s="1464">
        <f t="shared" si="586"/>
        <v>0</v>
      </c>
      <c r="BI121" s="1464">
        <f t="shared" si="587"/>
        <v>0</v>
      </c>
      <c r="BJ121" s="1106">
        <f t="shared" si="588"/>
        <v>0</v>
      </c>
      <c r="BK121" s="204">
        <f t="shared" si="589"/>
        <v>0</v>
      </c>
      <c r="BL121" s="179"/>
      <c r="BM121" s="203"/>
      <c r="BN121" s="203"/>
      <c r="BO121" s="203"/>
      <c r="BP121" s="203"/>
      <c r="BQ121" s="203"/>
      <c r="BR121" s="203">
        <f t="shared" ref="BR121:BT122" si="610">BR28</f>
        <v>0</v>
      </c>
      <c r="BS121" s="203">
        <f t="shared" si="610"/>
        <v>0</v>
      </c>
      <c r="BT121" s="203">
        <f t="shared" si="610"/>
        <v>277</v>
      </c>
      <c r="BU121" s="203">
        <f t="shared" si="608"/>
        <v>-89</v>
      </c>
      <c r="BV121" s="203">
        <f t="shared" si="608"/>
        <v>-153</v>
      </c>
      <c r="BW121" s="203">
        <f t="shared" si="608"/>
        <v>27</v>
      </c>
      <c r="BX121" s="203">
        <f t="shared" si="608"/>
        <v>138</v>
      </c>
      <c r="BY121" s="203">
        <f t="shared" ref="BY121" si="611">BY28</f>
        <v>29</v>
      </c>
      <c r="BZ121" s="203">
        <f t="shared" ref="BZ121:CB122" si="612">BZ28</f>
        <v>0</v>
      </c>
      <c r="CA121" s="203">
        <f t="shared" si="612"/>
        <v>0</v>
      </c>
      <c r="CB121" s="2168">
        <f t="shared" si="612"/>
        <v>0</v>
      </c>
      <c r="CC121" s="20"/>
      <c r="CD121" s="13"/>
    </row>
    <row r="122" spans="1:82" ht="14.25" customHeight="1" outlineLevel="1">
      <c r="A122" s="7"/>
      <c r="B122" s="47" t="s">
        <v>225</v>
      </c>
      <c r="C122" s="48"/>
      <c r="D122" s="208">
        <f>-9.803-17.5</f>
        <v>-27.303000000000001</v>
      </c>
      <c r="E122" s="206">
        <f>-8.091-17.5-0.805</f>
        <v>-26.396000000000001</v>
      </c>
      <c r="F122" s="206">
        <f>-5.044-17.5-4.062+8.564</f>
        <v>-18.042000000000002</v>
      </c>
      <c r="G122" s="207">
        <f>-10-18</f>
        <v>-28</v>
      </c>
      <c r="H122" s="208">
        <v>3.0470000000000002</v>
      </c>
      <c r="I122" s="206">
        <v>-61.189</v>
      </c>
      <c r="J122" s="206">
        <v>-169.511</v>
      </c>
      <c r="K122" s="207">
        <v>-175</v>
      </c>
      <c r="L122" s="208">
        <v>-67</v>
      </c>
      <c r="M122" s="206">
        <v>-65</v>
      </c>
      <c r="N122" s="206">
        <v>6</v>
      </c>
      <c r="O122" s="207">
        <v>51</v>
      </c>
      <c r="P122" s="208">
        <v>-5</v>
      </c>
      <c r="Q122" s="206">
        <v>-13</v>
      </c>
      <c r="R122" s="206">
        <v>-2</v>
      </c>
      <c r="S122" s="207">
        <v>-41</v>
      </c>
      <c r="T122" s="208">
        <v>-1</v>
      </c>
      <c r="U122" s="206">
        <v>-10</v>
      </c>
      <c r="V122" s="206">
        <v>-15</v>
      </c>
      <c r="W122" s="207">
        <v>-18</v>
      </c>
      <c r="X122" s="208">
        <v>13</v>
      </c>
      <c r="Y122" s="206">
        <v>14</v>
      </c>
      <c r="Z122" s="206">
        <v>13</v>
      </c>
      <c r="AA122" s="207">
        <v>11</v>
      </c>
      <c r="AB122" s="206">
        <v>10</v>
      </c>
      <c r="AC122" s="206">
        <v>1</v>
      </c>
      <c r="AD122" s="206">
        <v>-3</v>
      </c>
      <c r="AE122" s="207">
        <v>-1</v>
      </c>
      <c r="AF122" s="206">
        <f>-16+384-AF121</f>
        <v>267</v>
      </c>
      <c r="AG122" s="206">
        <v>-18</v>
      </c>
      <c r="AH122" s="206">
        <v>-13</v>
      </c>
      <c r="AI122" s="207">
        <v>-12</v>
      </c>
      <c r="AJ122" s="206">
        <v>6</v>
      </c>
      <c r="AK122" s="206">
        <v>-33</v>
      </c>
      <c r="AL122" s="206">
        <v>-67</v>
      </c>
      <c r="AM122" s="207">
        <f>+AL122-143</f>
        <v>-210</v>
      </c>
      <c r="AN122" s="206">
        <v>0</v>
      </c>
      <c r="AO122" s="206">
        <v>-126</v>
      </c>
      <c r="AP122" s="206">
        <v>-100</v>
      </c>
      <c r="AQ122" s="207">
        <f>233+14</f>
        <v>247</v>
      </c>
      <c r="AR122" s="206">
        <v>0</v>
      </c>
      <c r="AS122" s="206">
        <v>0</v>
      </c>
      <c r="AT122" s="206">
        <v>0</v>
      </c>
      <c r="AU122" s="207">
        <v>0</v>
      </c>
      <c r="AV122" s="206">
        <v>0</v>
      </c>
      <c r="AW122" s="206">
        <v>150</v>
      </c>
      <c r="AX122" s="206">
        <v>144</v>
      </c>
      <c r="AY122" s="207">
        <v>0</v>
      </c>
      <c r="AZ122" s="206">
        <v>0</v>
      </c>
      <c r="BA122" s="206">
        <v>0</v>
      </c>
      <c r="BB122" s="206">
        <v>0</v>
      </c>
      <c r="BC122" s="207">
        <v>0</v>
      </c>
      <c r="BD122" s="1464">
        <f>-86-SUM(BD101:BD121)</f>
        <v>26</v>
      </c>
      <c r="BE122" s="1464">
        <f t="shared" si="583"/>
        <v>26</v>
      </c>
      <c r="BF122" s="1106">
        <f t="shared" si="584"/>
        <v>26</v>
      </c>
      <c r="BG122" s="204">
        <f t="shared" si="585"/>
        <v>26</v>
      </c>
      <c r="BH122" s="1464">
        <f t="shared" si="586"/>
        <v>0</v>
      </c>
      <c r="BI122" s="1464">
        <f t="shared" si="587"/>
        <v>0</v>
      </c>
      <c r="BJ122" s="1106">
        <f t="shared" si="588"/>
        <v>0</v>
      </c>
      <c r="BK122" s="204">
        <f t="shared" si="589"/>
        <v>0</v>
      </c>
      <c r="BL122" s="179"/>
      <c r="BM122" s="203">
        <f>BM29</f>
        <v>-27.999999999999996</v>
      </c>
      <c r="BN122" s="203">
        <f>BN29</f>
        <v>-175</v>
      </c>
      <c r="BO122" s="203">
        <f>BO29</f>
        <v>51</v>
      </c>
      <c r="BP122" s="203">
        <f>BP29</f>
        <v>-41</v>
      </c>
      <c r="BQ122" s="203">
        <f>BQ29</f>
        <v>-18</v>
      </c>
      <c r="BR122" s="203">
        <f t="shared" si="610"/>
        <v>11</v>
      </c>
      <c r="BS122" s="203">
        <f t="shared" si="610"/>
        <v>-1</v>
      </c>
      <c r="BT122" s="203">
        <f t="shared" si="610"/>
        <v>-12</v>
      </c>
      <c r="BU122" s="203">
        <f t="shared" si="608"/>
        <v>-210</v>
      </c>
      <c r="BV122" s="203">
        <f t="shared" si="608"/>
        <v>247</v>
      </c>
      <c r="BW122" s="203">
        <f t="shared" si="608"/>
        <v>0</v>
      </c>
      <c r="BX122" s="203">
        <f t="shared" si="608"/>
        <v>0</v>
      </c>
      <c r="BY122" s="203">
        <f t="shared" ref="BY122" si="613">BY29</f>
        <v>0</v>
      </c>
      <c r="BZ122" s="203">
        <f t="shared" ref="BZ122:CA122" si="614">BZ29</f>
        <v>26</v>
      </c>
      <c r="CA122" s="203">
        <f t="shared" si="614"/>
        <v>0</v>
      </c>
      <c r="CB122" s="2168">
        <f t="shared" si="612"/>
        <v>0</v>
      </c>
      <c r="CC122" s="20"/>
      <c r="CD122" s="13"/>
    </row>
    <row r="123" spans="1:82" ht="14.25" customHeight="1" outlineLevel="1" thickBot="1">
      <c r="A123" s="7"/>
      <c r="B123" s="209" t="s">
        <v>132</v>
      </c>
      <c r="C123" s="210"/>
      <c r="D123" s="212">
        <f t="shared" ref="D123:AM123" si="615">D101+SUM(D103:D112)+SUM(D114:D122)</f>
        <v>251.32699999999997</v>
      </c>
      <c r="E123" s="211">
        <f t="shared" si="615"/>
        <v>516.49</v>
      </c>
      <c r="F123" s="211">
        <f t="shared" si="615"/>
        <v>945.57600000000002</v>
      </c>
      <c r="G123" s="213">
        <f t="shared" si="615"/>
        <v>1482.9999999999998</v>
      </c>
      <c r="H123" s="212">
        <f t="shared" si="615"/>
        <v>566.34899999999993</v>
      </c>
      <c r="I123" s="211">
        <f t="shared" si="615"/>
        <v>785.19899999999996</v>
      </c>
      <c r="J123" s="211">
        <f t="shared" si="615"/>
        <v>1015.3840000000001</v>
      </c>
      <c r="K123" s="213">
        <f t="shared" si="615"/>
        <v>1287.0000000000002</v>
      </c>
      <c r="L123" s="212">
        <f t="shared" si="615"/>
        <v>41</v>
      </c>
      <c r="M123" s="211">
        <f t="shared" si="615"/>
        <v>-594</v>
      </c>
      <c r="N123" s="211">
        <f t="shared" si="615"/>
        <v>-371</v>
      </c>
      <c r="O123" s="213">
        <f t="shared" si="615"/>
        <v>-310</v>
      </c>
      <c r="P123" s="212">
        <f t="shared" si="615"/>
        <v>16</v>
      </c>
      <c r="Q123" s="211">
        <f t="shared" si="615"/>
        <v>-226</v>
      </c>
      <c r="R123" s="211">
        <f t="shared" si="615"/>
        <v>-442</v>
      </c>
      <c r="S123" s="213">
        <f t="shared" si="615"/>
        <v>-692</v>
      </c>
      <c r="T123" s="212">
        <f t="shared" si="615"/>
        <v>-391</v>
      </c>
      <c r="U123" s="211">
        <f t="shared" si="615"/>
        <v>-535</v>
      </c>
      <c r="V123" s="211">
        <f t="shared" si="615"/>
        <v>-677</v>
      </c>
      <c r="W123" s="213">
        <f t="shared" si="615"/>
        <v>473</v>
      </c>
      <c r="X123" s="212">
        <f t="shared" si="615"/>
        <v>23</v>
      </c>
      <c r="Y123" s="211">
        <f t="shared" si="615"/>
        <v>-75</v>
      </c>
      <c r="Z123" s="211">
        <f t="shared" si="615"/>
        <v>-199</v>
      </c>
      <c r="AA123" s="213">
        <f t="shared" si="615"/>
        <v>-412</v>
      </c>
      <c r="AB123" s="211">
        <f t="shared" si="615"/>
        <v>-168</v>
      </c>
      <c r="AC123" s="211">
        <f t="shared" si="615"/>
        <v>6</v>
      </c>
      <c r="AD123" s="211">
        <f t="shared" si="615"/>
        <v>195</v>
      </c>
      <c r="AE123" s="213">
        <f t="shared" si="615"/>
        <v>382</v>
      </c>
      <c r="AF123" s="211">
        <f t="shared" si="615"/>
        <v>107</v>
      </c>
      <c r="AG123" s="211">
        <f t="shared" si="615"/>
        <v>188</v>
      </c>
      <c r="AH123" s="211">
        <f>AH101+SUM(AH103:AH112)+SUM(AH114:AH122)</f>
        <v>-52</v>
      </c>
      <c r="AI123" s="213">
        <f t="shared" si="615"/>
        <v>-338</v>
      </c>
      <c r="AJ123" s="211">
        <f t="shared" si="615"/>
        <v>-155</v>
      </c>
      <c r="AK123" s="211">
        <f t="shared" si="615"/>
        <v>-190</v>
      </c>
      <c r="AL123" s="211">
        <f>AL101+SUM(AL103:AL112)+SUM(AL114:AL122)</f>
        <v>-169</v>
      </c>
      <c r="AM123" s="213">
        <f t="shared" si="615"/>
        <v>-148</v>
      </c>
      <c r="AN123" s="211">
        <f t="shared" ref="AN123:AU123" si="616">AN101+SUM(AN103:AN112)+SUM(AN114:AN122)</f>
        <v>-204</v>
      </c>
      <c r="AO123" s="211">
        <f t="shared" si="616"/>
        <v>-232</v>
      </c>
      <c r="AP123" s="211">
        <f t="shared" si="616"/>
        <v>-214</v>
      </c>
      <c r="AQ123" s="213">
        <f t="shared" si="616"/>
        <v>-98</v>
      </c>
      <c r="AR123" s="211">
        <f t="shared" si="616"/>
        <v>-173</v>
      </c>
      <c r="AS123" s="211">
        <f t="shared" si="616"/>
        <v>-231</v>
      </c>
      <c r="AT123" s="211">
        <f t="shared" si="616"/>
        <v>-290</v>
      </c>
      <c r="AU123" s="213">
        <f t="shared" si="616"/>
        <v>-226</v>
      </c>
      <c r="AV123" s="211">
        <f t="shared" ref="AV123:AY123" si="617">AV101+SUM(AV103:AV112)+SUM(AV114:AV122)</f>
        <v>-42</v>
      </c>
      <c r="AW123" s="211">
        <f t="shared" si="617"/>
        <v>-127</v>
      </c>
      <c r="AX123" s="211">
        <f t="shared" si="617"/>
        <v>-98</v>
      </c>
      <c r="AY123" s="213">
        <f t="shared" si="617"/>
        <v>90</v>
      </c>
      <c r="AZ123" s="211">
        <f t="shared" ref="AZ123:BC123" si="618">AZ101+SUM(AZ103:AZ112)+SUM(AZ114:AZ122)</f>
        <v>-299</v>
      </c>
      <c r="BA123" s="211">
        <f t="shared" si="618"/>
        <v>-381</v>
      </c>
      <c r="BB123" s="211">
        <f t="shared" si="618"/>
        <v>-315</v>
      </c>
      <c r="BC123" s="213">
        <f t="shared" si="618"/>
        <v>68</v>
      </c>
      <c r="BD123" s="1467">
        <f t="shared" ref="BD123:BG123" si="619">BD101+SUM(BD103:BD112)+SUM(BD114:BD122)</f>
        <v>-86</v>
      </c>
      <c r="BE123" s="1467">
        <f t="shared" si="619"/>
        <v>69.411660161813643</v>
      </c>
      <c r="BF123" s="1107">
        <f t="shared" si="619"/>
        <v>240.55054594115995</v>
      </c>
      <c r="BG123" s="213">
        <f t="shared" si="619"/>
        <v>393.89811773998372</v>
      </c>
      <c r="BH123" s="1467">
        <f t="shared" ref="BH123:BK123" si="620">BH101+SUM(BH103:BH112)+SUM(BH114:BH122)</f>
        <v>194.33843638368529</v>
      </c>
      <c r="BI123" s="1467">
        <f t="shared" si="620"/>
        <v>334.02754472081062</v>
      </c>
      <c r="BJ123" s="1107">
        <f t="shared" si="620"/>
        <v>444.27319310025246</v>
      </c>
      <c r="BK123" s="213">
        <f t="shared" si="620"/>
        <v>613.77033546052223</v>
      </c>
      <c r="BL123" s="179"/>
      <c r="BM123" s="211">
        <f t="shared" ref="BM123:BX123" si="621">BM101+SUM(BM103:BM112)+SUM(BM114:BM122)</f>
        <v>1482.9999999999998</v>
      </c>
      <c r="BN123" s="211">
        <f t="shared" si="621"/>
        <v>1287.0000000000002</v>
      </c>
      <c r="BO123" s="211">
        <f t="shared" si="621"/>
        <v>-310</v>
      </c>
      <c r="BP123" s="211">
        <f t="shared" si="621"/>
        <v>-692</v>
      </c>
      <c r="BQ123" s="211">
        <f t="shared" si="621"/>
        <v>473</v>
      </c>
      <c r="BR123" s="211">
        <f t="shared" si="621"/>
        <v>-412</v>
      </c>
      <c r="BS123" s="211">
        <f t="shared" si="621"/>
        <v>382</v>
      </c>
      <c r="BT123" s="211">
        <f t="shared" si="621"/>
        <v>-338</v>
      </c>
      <c r="BU123" s="211">
        <f t="shared" si="621"/>
        <v>-148</v>
      </c>
      <c r="BV123" s="211">
        <f t="shared" si="621"/>
        <v>-98</v>
      </c>
      <c r="BW123" s="211">
        <f t="shared" si="621"/>
        <v>-226</v>
      </c>
      <c r="BX123" s="211">
        <f t="shared" si="621"/>
        <v>90</v>
      </c>
      <c r="BY123" s="211">
        <f t="shared" ref="BY123" si="622">BY101+SUM(BY103:BY112)+SUM(BY114:BY122)</f>
        <v>68</v>
      </c>
      <c r="BZ123" s="211">
        <f t="shared" ref="BZ123:CB123" si="623">BZ101+SUM(BZ103:BZ112)+SUM(BZ114:BZ122)</f>
        <v>393.89811773998395</v>
      </c>
      <c r="CA123" s="211">
        <f t="shared" si="623"/>
        <v>613.77033546052201</v>
      </c>
      <c r="CB123" s="2169">
        <f t="shared" si="623"/>
        <v>441.67392565137607</v>
      </c>
      <c r="CC123" s="20"/>
      <c r="CD123" s="13"/>
    </row>
    <row r="124" spans="1:82" ht="14.25" customHeight="1" outlineLevel="1" thickTop="1">
      <c r="A124" s="7"/>
      <c r="B124" s="21"/>
      <c r="C124" s="22"/>
      <c r="D124" s="208"/>
      <c r="E124" s="206"/>
      <c r="F124" s="206"/>
      <c r="G124" s="207"/>
      <c r="H124" s="208"/>
      <c r="I124" s="206"/>
      <c r="J124" s="206"/>
      <c r="K124" s="207"/>
      <c r="L124" s="208"/>
      <c r="M124" s="206"/>
      <c r="N124" s="206"/>
      <c r="O124" s="207"/>
      <c r="P124" s="208"/>
      <c r="Q124" s="206"/>
      <c r="R124" s="206"/>
      <c r="S124" s="207"/>
      <c r="T124" s="208"/>
      <c r="U124" s="206"/>
      <c r="V124" s="206"/>
      <c r="W124" s="207"/>
      <c r="X124" s="208"/>
      <c r="Y124" s="206"/>
      <c r="Z124" s="206"/>
      <c r="AA124" s="207"/>
      <c r="AB124" s="206"/>
      <c r="AC124" s="206"/>
      <c r="AD124" s="206"/>
      <c r="AE124" s="207"/>
      <c r="AF124" s="206"/>
      <c r="AG124" s="206"/>
      <c r="AH124" s="206"/>
      <c r="AI124" s="207"/>
      <c r="AJ124" s="206"/>
      <c r="AK124" s="206"/>
      <c r="AL124" s="206"/>
      <c r="AM124" s="207"/>
      <c r="AN124" s="206"/>
      <c r="AO124" s="206"/>
      <c r="AP124" s="206"/>
      <c r="AQ124" s="207"/>
      <c r="AR124" s="206"/>
      <c r="AS124" s="206"/>
      <c r="AT124" s="206"/>
      <c r="AU124" s="207"/>
      <c r="AV124" s="206"/>
      <c r="AW124" s="206"/>
      <c r="AX124" s="206"/>
      <c r="AY124" s="207"/>
      <c r="AZ124" s="206"/>
      <c r="BA124" s="206"/>
      <c r="BB124" s="206"/>
      <c r="BC124" s="207"/>
      <c r="BD124" s="1464"/>
      <c r="BE124" s="1464"/>
      <c r="BF124" s="1106"/>
      <c r="BG124" s="207"/>
      <c r="BH124" s="1464"/>
      <c r="BI124" s="1464"/>
      <c r="BJ124" s="1106"/>
      <c r="BK124" s="207"/>
      <c r="BL124" s="179"/>
      <c r="BM124" s="206"/>
      <c r="BN124" s="206"/>
      <c r="BO124" s="206"/>
      <c r="BP124" s="206"/>
      <c r="BQ124" s="206"/>
      <c r="BR124" s="206"/>
      <c r="BS124" s="206"/>
      <c r="BT124" s="206"/>
      <c r="BU124" s="206"/>
      <c r="BV124" s="206"/>
      <c r="BW124" s="206"/>
      <c r="BX124" s="206"/>
      <c r="BY124" s="206"/>
      <c r="BZ124" s="206"/>
      <c r="CA124" s="206"/>
      <c r="CB124" s="2170"/>
      <c r="CC124" s="20"/>
      <c r="CD124" s="13"/>
    </row>
    <row r="125" spans="1:82" ht="14.25" customHeight="1" outlineLevel="1">
      <c r="A125" s="7"/>
      <c r="B125" s="42" t="s">
        <v>133</v>
      </c>
      <c r="C125" s="43"/>
      <c r="D125" s="208"/>
      <c r="E125" s="206"/>
      <c r="F125" s="206"/>
      <c r="G125" s="207"/>
      <c r="H125" s="208"/>
      <c r="I125" s="206"/>
      <c r="J125" s="206"/>
      <c r="K125" s="207"/>
      <c r="L125" s="208"/>
      <c r="M125" s="206"/>
      <c r="N125" s="206"/>
      <c r="O125" s="207"/>
      <c r="P125" s="208"/>
      <c r="Q125" s="206"/>
      <c r="R125" s="206"/>
      <c r="S125" s="207"/>
      <c r="T125" s="208"/>
      <c r="U125" s="206"/>
      <c r="V125" s="206"/>
      <c r="W125" s="207"/>
      <c r="X125" s="208"/>
      <c r="Y125" s="206"/>
      <c r="Z125" s="206"/>
      <c r="AA125" s="207"/>
      <c r="AB125" s="206"/>
      <c r="AC125" s="206"/>
      <c r="AD125" s="206"/>
      <c r="AE125" s="207"/>
      <c r="AF125" s="206"/>
      <c r="AG125" s="206"/>
      <c r="AH125" s="206"/>
      <c r="AI125" s="207"/>
      <c r="AJ125" s="206"/>
      <c r="AK125" s="206"/>
      <c r="AL125" s="206"/>
      <c r="AM125" s="207"/>
      <c r="AN125" s="206"/>
      <c r="AO125" s="206"/>
      <c r="AP125" s="206"/>
      <c r="AQ125" s="207"/>
      <c r="AR125" s="206"/>
      <c r="AS125" s="206"/>
      <c r="AT125" s="206"/>
      <c r="AU125" s="207"/>
      <c r="AV125" s="206"/>
      <c r="AW125" s="206"/>
      <c r="AX125" s="206"/>
      <c r="AY125" s="207"/>
      <c r="AZ125" s="206"/>
      <c r="BA125" s="206"/>
      <c r="BB125" s="206"/>
      <c r="BC125" s="207"/>
      <c r="BD125" s="1464"/>
      <c r="BE125" s="1464"/>
      <c r="BF125" s="1106"/>
      <c r="BG125" s="207"/>
      <c r="BH125" s="1464"/>
      <c r="BI125" s="1464"/>
      <c r="BJ125" s="1106"/>
      <c r="BK125" s="207"/>
      <c r="BL125" s="179"/>
      <c r="BM125" s="206"/>
      <c r="BN125" s="206"/>
      <c r="BO125" s="206"/>
      <c r="BP125" s="206"/>
      <c r="BQ125" s="206"/>
      <c r="BR125" s="206"/>
      <c r="BS125" s="206"/>
      <c r="BT125" s="206"/>
      <c r="BU125" s="206"/>
      <c r="BV125" s="206"/>
      <c r="BW125" s="206"/>
      <c r="BX125" s="206"/>
      <c r="BY125" s="206"/>
      <c r="BZ125" s="206"/>
      <c r="CA125" s="206"/>
      <c r="CB125" s="2170"/>
      <c r="CC125" s="20"/>
      <c r="CD125" s="13"/>
    </row>
    <row r="126" spans="1:82" ht="14.25" customHeight="1" outlineLevel="1">
      <c r="A126" s="7"/>
      <c r="B126" s="23" t="s">
        <v>254</v>
      </c>
      <c r="C126" s="24"/>
      <c r="D126" s="208">
        <v>-518.47199999999998</v>
      </c>
      <c r="E126" s="206">
        <v>-821.73699999999997</v>
      </c>
      <c r="F126" s="206">
        <v>-1184.0329999999999</v>
      </c>
      <c r="G126" s="207">
        <v>-1513</v>
      </c>
      <c r="H126" s="208">
        <v>-310.32600000000002</v>
      </c>
      <c r="I126" s="206">
        <v>-765.69</v>
      </c>
      <c r="J126" s="206">
        <v>-1190.5820000000001</v>
      </c>
      <c r="K126" s="207">
        <v>-1857</v>
      </c>
      <c r="L126" s="208">
        <v>-586</v>
      </c>
      <c r="M126" s="206">
        <v>-1000</v>
      </c>
      <c r="N126" s="206">
        <v>-1419</v>
      </c>
      <c r="O126" s="207">
        <v>-1685</v>
      </c>
      <c r="P126" s="208">
        <v>-323</v>
      </c>
      <c r="Q126" s="206">
        <v>-429</v>
      </c>
      <c r="R126" s="206">
        <v>-511</v>
      </c>
      <c r="S126" s="207">
        <v>-624</v>
      </c>
      <c r="T126" s="208">
        <v>-84</v>
      </c>
      <c r="U126" s="206">
        <v>-196</v>
      </c>
      <c r="V126" s="206">
        <v>-293</v>
      </c>
      <c r="W126" s="207">
        <v>-466</v>
      </c>
      <c r="X126" s="208">
        <v>-48</v>
      </c>
      <c r="Y126" s="206">
        <v>-79</v>
      </c>
      <c r="Z126" s="206">
        <v>-110</v>
      </c>
      <c r="AA126" s="207">
        <v>-148</v>
      </c>
      <c r="AB126" s="206">
        <v>-38</v>
      </c>
      <c r="AC126" s="206">
        <v>-105</v>
      </c>
      <c r="AD126" s="206">
        <v>-163</v>
      </c>
      <c r="AE126" s="207">
        <v>-250</v>
      </c>
      <c r="AF126" s="206">
        <v>-40</v>
      </c>
      <c r="AG126" s="206">
        <v>-79</v>
      </c>
      <c r="AH126" s="206">
        <v>-111</v>
      </c>
      <c r="AI126" s="207">
        <v>-133</v>
      </c>
      <c r="AJ126" s="206">
        <v>-20</v>
      </c>
      <c r="AK126" s="206">
        <v>-48</v>
      </c>
      <c r="AL126" s="206">
        <v>-63</v>
      </c>
      <c r="AM126" s="207">
        <f>+AL126-21</f>
        <v>-84</v>
      </c>
      <c r="AN126" s="206">
        <v>-21</v>
      </c>
      <c r="AO126" s="206">
        <v>-44</v>
      </c>
      <c r="AP126" s="206">
        <v>-73</v>
      </c>
      <c r="AQ126" s="207">
        <v>-95</v>
      </c>
      <c r="AR126" s="206">
        <v>-22</v>
      </c>
      <c r="AS126" s="206">
        <v>-39</v>
      </c>
      <c r="AT126" s="206">
        <v>-64</v>
      </c>
      <c r="AU126" s="207">
        <v>-96</v>
      </c>
      <c r="AV126" s="206">
        <v>-26</v>
      </c>
      <c r="AW126" s="206">
        <v>-47</v>
      </c>
      <c r="AX126" s="206">
        <v>-56</v>
      </c>
      <c r="AY126" s="207">
        <v>-77</v>
      </c>
      <c r="AZ126" s="206">
        <v>-23</v>
      </c>
      <c r="BA126" s="206">
        <v>-35</v>
      </c>
      <c r="BB126" s="206">
        <v>-69</v>
      </c>
      <c r="BC126" s="207">
        <v>-113</v>
      </c>
      <c r="BD126" s="206">
        <v>-46</v>
      </c>
      <c r="BE126" s="1464">
        <f t="shared" ref="BE126:BE134" si="624">BD126+BE33</f>
        <v>-71</v>
      </c>
      <c r="BF126" s="1106">
        <f t="shared" ref="BF126:BF134" si="625">BE126+BF33</f>
        <v>-96</v>
      </c>
      <c r="BG126" s="204">
        <f t="shared" ref="BG126:BG134" si="626">BF126+BG33</f>
        <v>-121</v>
      </c>
      <c r="BH126" s="1464">
        <f t="shared" ref="BH126:BH134" si="627">BH33</f>
        <v>-25</v>
      </c>
      <c r="BI126" s="1464">
        <f t="shared" ref="BI126:BI134" si="628">BH126+BI33</f>
        <v>-50</v>
      </c>
      <c r="BJ126" s="1106">
        <f t="shared" ref="BJ126:BJ134" si="629">BI126+BJ33</f>
        <v>-75</v>
      </c>
      <c r="BK126" s="204">
        <f t="shared" ref="BK126:BK134" si="630">BJ126+BK33</f>
        <v>-100</v>
      </c>
      <c r="BL126" s="179"/>
      <c r="BM126" s="203">
        <f t="shared" ref="BM126:BX126" si="631">BM33</f>
        <v>-1513</v>
      </c>
      <c r="BN126" s="203">
        <f t="shared" si="631"/>
        <v>-1857</v>
      </c>
      <c r="BO126" s="203">
        <f t="shared" si="631"/>
        <v>-1685</v>
      </c>
      <c r="BP126" s="203">
        <f t="shared" si="631"/>
        <v>-624</v>
      </c>
      <c r="BQ126" s="203">
        <f t="shared" si="631"/>
        <v>-466</v>
      </c>
      <c r="BR126" s="203">
        <f t="shared" si="631"/>
        <v>-148</v>
      </c>
      <c r="BS126" s="203">
        <f t="shared" si="631"/>
        <v>-250</v>
      </c>
      <c r="BT126" s="203">
        <f t="shared" si="631"/>
        <v>-133</v>
      </c>
      <c r="BU126" s="203">
        <f t="shared" si="631"/>
        <v>-84</v>
      </c>
      <c r="BV126" s="203">
        <f t="shared" si="631"/>
        <v>-95</v>
      </c>
      <c r="BW126" s="203">
        <f t="shared" si="631"/>
        <v>-96</v>
      </c>
      <c r="BX126" s="203">
        <f t="shared" si="631"/>
        <v>-77</v>
      </c>
      <c r="BY126" s="203">
        <f t="shared" ref="BY126" si="632">BY33</f>
        <v>-113</v>
      </c>
      <c r="BZ126" s="203">
        <f t="shared" ref="BZ126:CB134" si="633">BZ33</f>
        <v>-121</v>
      </c>
      <c r="CA126" s="203">
        <f t="shared" si="633"/>
        <v>-100</v>
      </c>
      <c r="CB126" s="2168">
        <f t="shared" si="633"/>
        <v>-99.059534421365882</v>
      </c>
      <c r="CC126" s="20"/>
      <c r="CD126" s="13"/>
    </row>
    <row r="127" spans="1:82" ht="14.25" customHeight="1" outlineLevel="1">
      <c r="A127" s="7"/>
      <c r="B127" s="23" t="s">
        <v>253</v>
      </c>
      <c r="C127" s="24"/>
      <c r="D127" s="208">
        <v>-233.40600000000001</v>
      </c>
      <c r="E127" s="206">
        <v>-541.68799999999999</v>
      </c>
      <c r="F127" s="206">
        <v>-819.72900000000004</v>
      </c>
      <c r="G127" s="207">
        <v>-1562</v>
      </c>
      <c r="H127" s="208">
        <v>-1028.223</v>
      </c>
      <c r="I127" s="206">
        <v>-1870.277</v>
      </c>
      <c r="J127" s="206">
        <v>-1941.7270000000001</v>
      </c>
      <c r="K127" s="207">
        <v>-2119</v>
      </c>
      <c r="L127" s="208">
        <v>-62</v>
      </c>
      <c r="M127" s="206">
        <v>-362</v>
      </c>
      <c r="N127" s="206">
        <v>-406</v>
      </c>
      <c r="O127" s="207">
        <v>-545</v>
      </c>
      <c r="P127" s="208">
        <v>-95</v>
      </c>
      <c r="Q127" s="206">
        <v>-125</v>
      </c>
      <c r="R127" s="206">
        <v>-200</v>
      </c>
      <c r="S127" s="207">
        <v>-200</v>
      </c>
      <c r="T127" s="208">
        <v>-160</v>
      </c>
      <c r="U127" s="206">
        <v>-439</v>
      </c>
      <c r="V127" s="206">
        <v>-689</v>
      </c>
      <c r="W127" s="207">
        <v>-1486</v>
      </c>
      <c r="X127" s="208">
        <v>-503</v>
      </c>
      <c r="Y127" s="206">
        <v>-668</v>
      </c>
      <c r="Z127" s="206">
        <v>-1315</v>
      </c>
      <c r="AA127" s="207">
        <v>-1800</v>
      </c>
      <c r="AB127" s="206">
        <v>-393</v>
      </c>
      <c r="AC127" s="206">
        <v>-952</v>
      </c>
      <c r="AD127" s="206">
        <v>-1461</v>
      </c>
      <c r="AE127" s="207">
        <v>-1586</v>
      </c>
      <c r="AF127" s="206">
        <v>-95</v>
      </c>
      <c r="AG127" s="206">
        <v>-548</v>
      </c>
      <c r="AH127" s="206">
        <v>-749</v>
      </c>
      <c r="AI127" s="207">
        <v>-944</v>
      </c>
      <c r="AJ127" s="206">
        <v>-361</v>
      </c>
      <c r="AK127" s="206">
        <v>-753</v>
      </c>
      <c r="AL127" s="206">
        <v>-985</v>
      </c>
      <c r="AM127" s="207">
        <f>+AL127-58</f>
        <v>-1043</v>
      </c>
      <c r="AN127" s="206">
        <v>-310</v>
      </c>
      <c r="AO127" s="206">
        <v>-618</v>
      </c>
      <c r="AP127" s="206">
        <v>-646</v>
      </c>
      <c r="AQ127" s="207">
        <v>-790</v>
      </c>
      <c r="AR127" s="206">
        <v>-223</v>
      </c>
      <c r="AS127" s="206">
        <v>-227</v>
      </c>
      <c r="AT127" s="206">
        <v>-227</v>
      </c>
      <c r="AU127" s="207">
        <v>-227</v>
      </c>
      <c r="AV127" s="206">
        <v>0</v>
      </c>
      <c r="AW127" s="206">
        <v>0</v>
      </c>
      <c r="AX127" s="206">
        <v>0</v>
      </c>
      <c r="AY127" s="207">
        <v>0</v>
      </c>
      <c r="AZ127" s="206">
        <v>-221</v>
      </c>
      <c r="BA127" s="206">
        <v>-221</v>
      </c>
      <c r="BB127" s="206">
        <v>-221</v>
      </c>
      <c r="BC127" s="207">
        <v>-222</v>
      </c>
      <c r="BD127" s="1464">
        <f t="shared" ref="BD127:BD133" si="634">BD34</f>
        <v>0</v>
      </c>
      <c r="BE127" s="1464">
        <f t="shared" si="624"/>
        <v>0</v>
      </c>
      <c r="BF127" s="1106">
        <f t="shared" si="625"/>
        <v>0</v>
      </c>
      <c r="BG127" s="204">
        <f t="shared" si="626"/>
        <v>0</v>
      </c>
      <c r="BH127" s="1464">
        <f t="shared" si="627"/>
        <v>0</v>
      </c>
      <c r="BI127" s="1464">
        <f t="shared" si="628"/>
        <v>0</v>
      </c>
      <c r="BJ127" s="1106">
        <f t="shared" si="629"/>
        <v>0</v>
      </c>
      <c r="BK127" s="204">
        <f t="shared" si="630"/>
        <v>0</v>
      </c>
      <c r="BL127" s="179"/>
      <c r="BM127" s="203">
        <f t="shared" ref="BM127:BX127" si="635">BM34</f>
        <v>-1562</v>
      </c>
      <c r="BN127" s="203">
        <f t="shared" si="635"/>
        <v>-2119</v>
      </c>
      <c r="BO127" s="203">
        <f t="shared" si="635"/>
        <v>-545</v>
      </c>
      <c r="BP127" s="203">
        <f t="shared" si="635"/>
        <v>-200</v>
      </c>
      <c r="BQ127" s="203">
        <f t="shared" si="635"/>
        <v>-1486</v>
      </c>
      <c r="BR127" s="203">
        <f t="shared" si="635"/>
        <v>-1800</v>
      </c>
      <c r="BS127" s="203">
        <f t="shared" si="635"/>
        <v>-1586</v>
      </c>
      <c r="BT127" s="203">
        <f t="shared" si="635"/>
        <v>-944</v>
      </c>
      <c r="BU127" s="203">
        <f t="shared" si="635"/>
        <v>-1043</v>
      </c>
      <c r="BV127" s="203">
        <f t="shared" si="635"/>
        <v>-790</v>
      </c>
      <c r="BW127" s="203">
        <f t="shared" si="635"/>
        <v>-227</v>
      </c>
      <c r="BX127" s="203">
        <f t="shared" si="635"/>
        <v>0</v>
      </c>
      <c r="BY127" s="203">
        <f t="shared" ref="BY127" si="636">BY34</f>
        <v>-222</v>
      </c>
      <c r="BZ127" s="203">
        <f t="shared" ref="BZ127:CA127" si="637">BZ34</f>
        <v>0</v>
      </c>
      <c r="CA127" s="203">
        <f t="shared" si="637"/>
        <v>0</v>
      </c>
      <c r="CB127" s="2168">
        <f t="shared" si="633"/>
        <v>0</v>
      </c>
      <c r="CC127" s="20"/>
      <c r="CD127" s="13"/>
    </row>
    <row r="128" spans="1:82" ht="14.25" customHeight="1" outlineLevel="1">
      <c r="A128" s="7"/>
      <c r="B128" s="23" t="s">
        <v>255</v>
      </c>
      <c r="C128" s="24"/>
      <c r="D128" s="208">
        <v>87.674999999999997</v>
      </c>
      <c r="E128" s="206">
        <v>309.93900000000002</v>
      </c>
      <c r="F128" s="206">
        <v>560.77099999999996</v>
      </c>
      <c r="G128" s="207">
        <v>836</v>
      </c>
      <c r="H128" s="208">
        <v>394.053</v>
      </c>
      <c r="I128" s="206">
        <v>1028.3330000000001</v>
      </c>
      <c r="J128" s="206">
        <v>1971.6579999999999</v>
      </c>
      <c r="K128" s="207">
        <v>3066</v>
      </c>
      <c r="L128" s="208">
        <v>46</v>
      </c>
      <c r="M128" s="206">
        <v>233</v>
      </c>
      <c r="N128" s="206">
        <v>255</v>
      </c>
      <c r="O128" s="207">
        <v>307</v>
      </c>
      <c r="P128" s="208">
        <v>184</v>
      </c>
      <c r="Q128" s="206">
        <v>289</v>
      </c>
      <c r="R128" s="206">
        <v>379</v>
      </c>
      <c r="S128" s="207">
        <v>416</v>
      </c>
      <c r="T128" s="208">
        <v>3</v>
      </c>
      <c r="U128" s="206">
        <v>75</v>
      </c>
      <c r="V128" s="206">
        <v>195</v>
      </c>
      <c r="W128" s="207">
        <v>603</v>
      </c>
      <c r="X128" s="208">
        <v>239</v>
      </c>
      <c r="Y128" s="206">
        <v>909</v>
      </c>
      <c r="Z128" s="206">
        <v>1216</v>
      </c>
      <c r="AA128" s="207">
        <v>1640</v>
      </c>
      <c r="AB128" s="206">
        <v>434</v>
      </c>
      <c r="AC128" s="206">
        <v>830</v>
      </c>
      <c r="AD128" s="206">
        <v>1415</v>
      </c>
      <c r="AE128" s="207">
        <v>1726</v>
      </c>
      <c r="AF128" s="206">
        <v>620</v>
      </c>
      <c r="AG128" s="206">
        <v>850</v>
      </c>
      <c r="AH128" s="206">
        <v>1091</v>
      </c>
      <c r="AI128" s="207">
        <v>1348</v>
      </c>
      <c r="AJ128" s="206">
        <v>250</v>
      </c>
      <c r="AK128" s="206">
        <v>593</v>
      </c>
      <c r="AL128" s="206">
        <v>969</v>
      </c>
      <c r="AM128" s="207">
        <f>+AL128+375</f>
        <v>1344</v>
      </c>
      <c r="AN128" s="206">
        <v>200</v>
      </c>
      <c r="AO128" s="206">
        <v>488</v>
      </c>
      <c r="AP128" s="206">
        <v>664</v>
      </c>
      <c r="AQ128" s="207">
        <v>873</v>
      </c>
      <c r="AR128" s="206">
        <v>230</v>
      </c>
      <c r="AS128" s="206">
        <v>462</v>
      </c>
      <c r="AT128" s="206">
        <v>462</v>
      </c>
      <c r="AU128" s="207">
        <v>462</v>
      </c>
      <c r="AV128" s="206">
        <v>0</v>
      </c>
      <c r="AW128" s="206">
        <v>0</v>
      </c>
      <c r="AX128" s="206">
        <v>346</v>
      </c>
      <c r="AY128" s="207">
        <v>0</v>
      </c>
      <c r="AZ128" s="206">
        <v>0</v>
      </c>
      <c r="BA128" s="206">
        <v>137</v>
      </c>
      <c r="BB128" s="206">
        <v>221</v>
      </c>
      <c r="BC128" s="207">
        <v>222</v>
      </c>
      <c r="BD128" s="1464">
        <f t="shared" si="634"/>
        <v>0</v>
      </c>
      <c r="BE128" s="1464">
        <f t="shared" si="624"/>
        <v>0</v>
      </c>
      <c r="BF128" s="1106">
        <f t="shared" si="625"/>
        <v>0</v>
      </c>
      <c r="BG128" s="204">
        <f t="shared" si="626"/>
        <v>0</v>
      </c>
      <c r="BH128" s="1464">
        <f t="shared" si="627"/>
        <v>0</v>
      </c>
      <c r="BI128" s="1464">
        <f t="shared" si="628"/>
        <v>0</v>
      </c>
      <c r="BJ128" s="1106">
        <f t="shared" si="629"/>
        <v>0</v>
      </c>
      <c r="BK128" s="204">
        <f t="shared" si="630"/>
        <v>0</v>
      </c>
      <c r="BL128" s="179"/>
      <c r="BM128" s="203">
        <f t="shared" ref="BM128:BX128" si="638">BM35</f>
        <v>836</v>
      </c>
      <c r="BN128" s="203">
        <f t="shared" si="638"/>
        <v>3066</v>
      </c>
      <c r="BO128" s="203">
        <f t="shared" si="638"/>
        <v>307</v>
      </c>
      <c r="BP128" s="203">
        <f t="shared" si="638"/>
        <v>416</v>
      </c>
      <c r="BQ128" s="203">
        <f t="shared" si="638"/>
        <v>603</v>
      </c>
      <c r="BR128" s="203">
        <f t="shared" si="638"/>
        <v>1640</v>
      </c>
      <c r="BS128" s="203">
        <f t="shared" si="638"/>
        <v>1726</v>
      </c>
      <c r="BT128" s="203">
        <f t="shared" si="638"/>
        <v>1348</v>
      </c>
      <c r="BU128" s="203">
        <f t="shared" si="638"/>
        <v>1344</v>
      </c>
      <c r="BV128" s="203">
        <f t="shared" si="638"/>
        <v>873</v>
      </c>
      <c r="BW128" s="203">
        <f t="shared" si="638"/>
        <v>462</v>
      </c>
      <c r="BX128" s="203">
        <f t="shared" si="638"/>
        <v>0</v>
      </c>
      <c r="BY128" s="203">
        <f t="shared" ref="BY128" si="639">BY35</f>
        <v>222</v>
      </c>
      <c r="BZ128" s="203">
        <f t="shared" ref="BZ128:CA128" si="640">BZ35</f>
        <v>0</v>
      </c>
      <c r="CA128" s="203">
        <f t="shared" si="640"/>
        <v>0</v>
      </c>
      <c r="CB128" s="2168">
        <f t="shared" si="633"/>
        <v>0</v>
      </c>
      <c r="CC128" s="20"/>
      <c r="CD128" s="13"/>
    </row>
    <row r="129" spans="1:82" ht="14.25" customHeight="1" outlineLevel="1">
      <c r="A129" s="7"/>
      <c r="B129" s="23" t="s">
        <v>222</v>
      </c>
      <c r="C129" s="24"/>
      <c r="D129" s="208">
        <v>0</v>
      </c>
      <c r="E129" s="206">
        <v>0</v>
      </c>
      <c r="F129" s="206">
        <v>0</v>
      </c>
      <c r="G129" s="207">
        <v>0</v>
      </c>
      <c r="H129" s="208">
        <v>0</v>
      </c>
      <c r="I129" s="206">
        <v>0</v>
      </c>
      <c r="J129" s="206">
        <v>0</v>
      </c>
      <c r="K129" s="207">
        <v>0</v>
      </c>
      <c r="L129" s="208">
        <v>0</v>
      </c>
      <c r="M129" s="206">
        <v>0</v>
      </c>
      <c r="N129" s="206">
        <v>0</v>
      </c>
      <c r="O129" s="207">
        <v>0</v>
      </c>
      <c r="P129" s="208">
        <v>0</v>
      </c>
      <c r="Q129" s="206">
        <v>0</v>
      </c>
      <c r="R129" s="206">
        <v>0</v>
      </c>
      <c r="S129" s="207">
        <v>0</v>
      </c>
      <c r="T129" s="208">
        <v>0</v>
      </c>
      <c r="U129" s="206">
        <v>0</v>
      </c>
      <c r="V129" s="206">
        <v>0</v>
      </c>
      <c r="W129" s="207">
        <v>0</v>
      </c>
      <c r="X129" s="208">
        <v>0</v>
      </c>
      <c r="Y129" s="206">
        <v>0</v>
      </c>
      <c r="Z129" s="206">
        <v>0</v>
      </c>
      <c r="AA129" s="207">
        <v>0</v>
      </c>
      <c r="AB129" s="206">
        <v>0</v>
      </c>
      <c r="AC129" s="206">
        <v>0</v>
      </c>
      <c r="AD129" s="206">
        <v>0</v>
      </c>
      <c r="AE129" s="207">
        <v>0</v>
      </c>
      <c r="AF129" s="206">
        <v>0</v>
      </c>
      <c r="AG129" s="206">
        <v>0</v>
      </c>
      <c r="AH129" s="206">
        <v>0</v>
      </c>
      <c r="AI129" s="207">
        <v>0</v>
      </c>
      <c r="AJ129" s="206">
        <v>0</v>
      </c>
      <c r="AK129" s="206">
        <v>0</v>
      </c>
      <c r="AL129" s="206">
        <v>0</v>
      </c>
      <c r="AM129" s="207">
        <v>0</v>
      </c>
      <c r="AN129" s="206">
        <v>0</v>
      </c>
      <c r="AO129" s="206">
        <v>0</v>
      </c>
      <c r="AP129" s="206">
        <v>0</v>
      </c>
      <c r="AQ129" s="207">
        <v>0</v>
      </c>
      <c r="AR129" s="206">
        <v>0</v>
      </c>
      <c r="AS129" s="206">
        <v>0</v>
      </c>
      <c r="AT129" s="206">
        <v>0</v>
      </c>
      <c r="AU129" s="207">
        <v>0</v>
      </c>
      <c r="AV129" s="206">
        <v>0</v>
      </c>
      <c r="AW129" s="206">
        <v>0</v>
      </c>
      <c r="AX129" s="206">
        <v>0</v>
      </c>
      <c r="AY129" s="207">
        <v>0</v>
      </c>
      <c r="AZ129" s="206">
        <v>0</v>
      </c>
      <c r="BA129" s="206">
        <v>0</v>
      </c>
      <c r="BB129" s="206">
        <v>0</v>
      </c>
      <c r="BC129" s="207">
        <v>0</v>
      </c>
      <c r="BD129" s="1464">
        <f t="shared" si="634"/>
        <v>0</v>
      </c>
      <c r="BE129" s="1464">
        <f t="shared" si="624"/>
        <v>0</v>
      </c>
      <c r="BF129" s="1106">
        <f t="shared" si="625"/>
        <v>0</v>
      </c>
      <c r="BG129" s="204">
        <f t="shared" si="626"/>
        <v>0</v>
      </c>
      <c r="BH129" s="1464">
        <f t="shared" si="627"/>
        <v>0</v>
      </c>
      <c r="BI129" s="1464">
        <f t="shared" si="628"/>
        <v>0</v>
      </c>
      <c r="BJ129" s="1106">
        <f t="shared" si="629"/>
        <v>0</v>
      </c>
      <c r="BK129" s="204">
        <f t="shared" si="630"/>
        <v>0</v>
      </c>
      <c r="BL129" s="179"/>
      <c r="BM129" s="203">
        <f t="shared" ref="BM129:BX129" si="641">BM36</f>
        <v>0</v>
      </c>
      <c r="BN129" s="203">
        <f t="shared" si="641"/>
        <v>0</v>
      </c>
      <c r="BO129" s="203">
        <f t="shared" si="641"/>
        <v>0</v>
      </c>
      <c r="BP129" s="203">
        <f t="shared" si="641"/>
        <v>0</v>
      </c>
      <c r="BQ129" s="203">
        <f t="shared" si="641"/>
        <v>0</v>
      </c>
      <c r="BR129" s="203">
        <f t="shared" si="641"/>
        <v>0</v>
      </c>
      <c r="BS129" s="203">
        <f t="shared" si="641"/>
        <v>0</v>
      </c>
      <c r="BT129" s="203">
        <f t="shared" si="641"/>
        <v>0</v>
      </c>
      <c r="BU129" s="203">
        <f t="shared" si="641"/>
        <v>0</v>
      </c>
      <c r="BV129" s="203">
        <f t="shared" si="641"/>
        <v>0</v>
      </c>
      <c r="BW129" s="203">
        <f t="shared" si="641"/>
        <v>0</v>
      </c>
      <c r="BX129" s="203">
        <f t="shared" si="641"/>
        <v>0</v>
      </c>
      <c r="BY129" s="203">
        <f t="shared" ref="BY129" si="642">BY36</f>
        <v>0</v>
      </c>
      <c r="BZ129" s="203">
        <f t="shared" ref="BZ129:CA129" si="643">BZ36</f>
        <v>0</v>
      </c>
      <c r="CA129" s="203">
        <f t="shared" si="643"/>
        <v>0</v>
      </c>
      <c r="CB129" s="2168">
        <f t="shared" si="633"/>
        <v>0</v>
      </c>
      <c r="CC129" s="20"/>
      <c r="CD129" s="13"/>
    </row>
    <row r="130" spans="1:82" ht="14.25" customHeight="1" outlineLevel="1">
      <c r="A130" s="7"/>
      <c r="B130" s="23" t="s">
        <v>223</v>
      </c>
      <c r="C130" s="24"/>
      <c r="D130" s="208">
        <v>0</v>
      </c>
      <c r="E130" s="206">
        <v>0</v>
      </c>
      <c r="F130" s="206">
        <v>0</v>
      </c>
      <c r="G130" s="207">
        <v>0</v>
      </c>
      <c r="H130" s="208">
        <v>0</v>
      </c>
      <c r="I130" s="206">
        <v>0</v>
      </c>
      <c r="J130" s="206">
        <v>0</v>
      </c>
      <c r="K130" s="207">
        <v>0</v>
      </c>
      <c r="L130" s="208">
        <v>0</v>
      </c>
      <c r="M130" s="206">
        <v>0</v>
      </c>
      <c r="N130" s="206">
        <v>0</v>
      </c>
      <c r="O130" s="207">
        <v>0</v>
      </c>
      <c r="P130" s="208">
        <v>0</v>
      </c>
      <c r="Q130" s="206">
        <v>0</v>
      </c>
      <c r="R130" s="206">
        <v>0</v>
      </c>
      <c r="S130" s="207">
        <v>0</v>
      </c>
      <c r="T130" s="208">
        <v>0</v>
      </c>
      <c r="U130" s="206">
        <v>0</v>
      </c>
      <c r="V130" s="206">
        <v>8</v>
      </c>
      <c r="W130" s="207">
        <v>14</v>
      </c>
      <c r="X130" s="208">
        <v>0</v>
      </c>
      <c r="Y130" s="206">
        <v>25</v>
      </c>
      <c r="Z130" s="206">
        <v>69</v>
      </c>
      <c r="AA130" s="207">
        <v>69</v>
      </c>
      <c r="AB130" s="206">
        <v>0</v>
      </c>
      <c r="AC130" s="206">
        <v>0</v>
      </c>
      <c r="AD130" s="206">
        <v>0</v>
      </c>
      <c r="AE130" s="207">
        <v>0</v>
      </c>
      <c r="AF130" s="206">
        <v>0</v>
      </c>
      <c r="AG130" s="206">
        <v>0</v>
      </c>
      <c r="AH130" s="206">
        <v>0</v>
      </c>
      <c r="AI130" s="207">
        <v>0</v>
      </c>
      <c r="AJ130" s="206">
        <v>0</v>
      </c>
      <c r="AK130" s="206">
        <v>0</v>
      </c>
      <c r="AL130" s="206">
        <v>0</v>
      </c>
      <c r="AM130" s="207">
        <v>0</v>
      </c>
      <c r="AN130" s="206">
        <v>0</v>
      </c>
      <c r="AO130" s="206">
        <v>0</v>
      </c>
      <c r="AP130" s="206">
        <v>0</v>
      </c>
      <c r="AQ130" s="207">
        <v>0</v>
      </c>
      <c r="AR130" s="206">
        <v>0</v>
      </c>
      <c r="AS130" s="206">
        <v>0</v>
      </c>
      <c r="AT130" s="206">
        <v>0</v>
      </c>
      <c r="AU130" s="207">
        <v>0</v>
      </c>
      <c r="AV130" s="206">
        <v>0</v>
      </c>
      <c r="AW130" s="206">
        <v>0</v>
      </c>
      <c r="AX130" s="206">
        <v>0</v>
      </c>
      <c r="AY130" s="207">
        <v>0</v>
      </c>
      <c r="AZ130" s="206">
        <v>0</v>
      </c>
      <c r="BA130" s="206">
        <v>0</v>
      </c>
      <c r="BB130" s="206">
        <v>0</v>
      </c>
      <c r="BC130" s="207">
        <v>0</v>
      </c>
      <c r="BD130" s="1464">
        <f t="shared" si="634"/>
        <v>0</v>
      </c>
      <c r="BE130" s="1464">
        <f t="shared" si="624"/>
        <v>0</v>
      </c>
      <c r="BF130" s="1106">
        <f t="shared" si="625"/>
        <v>0</v>
      </c>
      <c r="BG130" s="204">
        <f t="shared" si="626"/>
        <v>0</v>
      </c>
      <c r="BH130" s="1464">
        <f t="shared" si="627"/>
        <v>0</v>
      </c>
      <c r="BI130" s="1464">
        <f t="shared" si="628"/>
        <v>0</v>
      </c>
      <c r="BJ130" s="1106">
        <f t="shared" si="629"/>
        <v>0</v>
      </c>
      <c r="BK130" s="204">
        <f t="shared" si="630"/>
        <v>0</v>
      </c>
      <c r="BL130" s="179"/>
      <c r="BM130" s="203">
        <f t="shared" ref="BM130:BX130" si="644">BM37</f>
        <v>0</v>
      </c>
      <c r="BN130" s="203">
        <f t="shared" si="644"/>
        <v>0</v>
      </c>
      <c r="BO130" s="203">
        <f t="shared" si="644"/>
        <v>0</v>
      </c>
      <c r="BP130" s="203">
        <f t="shared" si="644"/>
        <v>0</v>
      </c>
      <c r="BQ130" s="203">
        <f t="shared" si="644"/>
        <v>14</v>
      </c>
      <c r="BR130" s="203">
        <f t="shared" si="644"/>
        <v>69</v>
      </c>
      <c r="BS130" s="203">
        <f t="shared" si="644"/>
        <v>0</v>
      </c>
      <c r="BT130" s="203">
        <f t="shared" si="644"/>
        <v>0</v>
      </c>
      <c r="BU130" s="203">
        <f t="shared" si="644"/>
        <v>0</v>
      </c>
      <c r="BV130" s="203">
        <f t="shared" si="644"/>
        <v>0</v>
      </c>
      <c r="BW130" s="203">
        <f t="shared" si="644"/>
        <v>0</v>
      </c>
      <c r="BX130" s="203">
        <f t="shared" si="644"/>
        <v>0</v>
      </c>
      <c r="BY130" s="203">
        <f t="shared" ref="BY130" si="645">BY37</f>
        <v>0</v>
      </c>
      <c r="BZ130" s="203">
        <f t="shared" ref="BZ130:CA130" si="646">BZ37</f>
        <v>0</v>
      </c>
      <c r="CA130" s="203">
        <f t="shared" si="646"/>
        <v>0</v>
      </c>
      <c r="CB130" s="2168">
        <f t="shared" si="633"/>
        <v>0</v>
      </c>
      <c r="CC130" s="20"/>
      <c r="CD130" s="13"/>
    </row>
    <row r="131" spans="1:82" ht="14.25" customHeight="1" outlineLevel="1">
      <c r="A131" s="7"/>
      <c r="B131" s="23" t="s">
        <v>189</v>
      </c>
      <c r="C131" s="24"/>
      <c r="D131" s="208">
        <v>0</v>
      </c>
      <c r="E131" s="206">
        <v>0</v>
      </c>
      <c r="F131" s="206">
        <v>0</v>
      </c>
      <c r="G131" s="207">
        <v>0</v>
      </c>
      <c r="H131" s="208">
        <v>0</v>
      </c>
      <c r="I131" s="206">
        <v>0</v>
      </c>
      <c r="J131" s="206">
        <v>0</v>
      </c>
      <c r="K131" s="207">
        <v>0</v>
      </c>
      <c r="L131" s="208">
        <v>0</v>
      </c>
      <c r="M131" s="206">
        <v>0</v>
      </c>
      <c r="N131" s="206">
        <v>0</v>
      </c>
      <c r="O131" s="207">
        <v>0</v>
      </c>
      <c r="P131" s="208">
        <v>0</v>
      </c>
      <c r="Q131" s="206">
        <v>0</v>
      </c>
      <c r="R131" s="206">
        <v>0</v>
      </c>
      <c r="S131" s="207">
        <v>0</v>
      </c>
      <c r="T131" s="208">
        <v>0</v>
      </c>
      <c r="U131" s="206">
        <v>0</v>
      </c>
      <c r="V131" s="206">
        <v>0</v>
      </c>
      <c r="W131" s="207">
        <v>0</v>
      </c>
      <c r="X131" s="208">
        <v>0</v>
      </c>
      <c r="Y131" s="206">
        <v>0</v>
      </c>
      <c r="Z131" s="206">
        <v>0</v>
      </c>
      <c r="AA131" s="207">
        <v>0</v>
      </c>
      <c r="AB131" s="206">
        <v>0</v>
      </c>
      <c r="AC131" s="206">
        <v>0</v>
      </c>
      <c r="AD131" s="206">
        <v>0</v>
      </c>
      <c r="AE131" s="207">
        <v>0</v>
      </c>
      <c r="AF131" s="206">
        <v>0</v>
      </c>
      <c r="AG131" s="206">
        <v>0</v>
      </c>
      <c r="AH131" s="206">
        <v>0</v>
      </c>
      <c r="AI131" s="207">
        <v>0</v>
      </c>
      <c r="AJ131" s="206">
        <v>0</v>
      </c>
      <c r="AK131" s="206">
        <v>0</v>
      </c>
      <c r="AL131" s="206">
        <v>0</v>
      </c>
      <c r="AM131" s="207">
        <v>0</v>
      </c>
      <c r="AN131" s="206">
        <v>0</v>
      </c>
      <c r="AO131" s="206">
        <v>0</v>
      </c>
      <c r="AP131" s="206">
        <v>0</v>
      </c>
      <c r="AQ131" s="207">
        <v>0</v>
      </c>
      <c r="AR131" s="206">
        <v>0</v>
      </c>
      <c r="AS131" s="206">
        <v>0</v>
      </c>
      <c r="AT131" s="206">
        <v>0</v>
      </c>
      <c r="AU131" s="207">
        <v>0</v>
      </c>
      <c r="AV131" s="206">
        <v>0</v>
      </c>
      <c r="AW131" s="206">
        <v>0</v>
      </c>
      <c r="AX131" s="206">
        <v>0</v>
      </c>
      <c r="AY131" s="207">
        <v>0</v>
      </c>
      <c r="AZ131" s="206">
        <v>0</v>
      </c>
      <c r="BA131" s="206">
        <v>0</v>
      </c>
      <c r="BB131" s="206">
        <v>0</v>
      </c>
      <c r="BC131" s="207">
        <v>0</v>
      </c>
      <c r="BD131" s="1464">
        <f t="shared" si="634"/>
        <v>0</v>
      </c>
      <c r="BE131" s="1464">
        <f t="shared" si="624"/>
        <v>0</v>
      </c>
      <c r="BF131" s="1106">
        <f t="shared" si="625"/>
        <v>0</v>
      </c>
      <c r="BG131" s="204">
        <f t="shared" si="626"/>
        <v>0</v>
      </c>
      <c r="BH131" s="1464">
        <f t="shared" si="627"/>
        <v>0</v>
      </c>
      <c r="BI131" s="1464">
        <f t="shared" si="628"/>
        <v>0</v>
      </c>
      <c r="BJ131" s="1106">
        <f t="shared" si="629"/>
        <v>0</v>
      </c>
      <c r="BK131" s="204">
        <f t="shared" si="630"/>
        <v>0</v>
      </c>
      <c r="BL131" s="179"/>
      <c r="BM131" s="203">
        <f t="shared" ref="BM131:BX131" si="647">BM38</f>
        <v>0</v>
      </c>
      <c r="BN131" s="203">
        <f t="shared" si="647"/>
        <v>0</v>
      </c>
      <c r="BO131" s="203">
        <f t="shared" si="647"/>
        <v>0</v>
      </c>
      <c r="BP131" s="203">
        <f t="shared" si="647"/>
        <v>0</v>
      </c>
      <c r="BQ131" s="203">
        <f t="shared" si="647"/>
        <v>0</v>
      </c>
      <c r="BR131" s="203">
        <f t="shared" si="647"/>
        <v>0</v>
      </c>
      <c r="BS131" s="203">
        <f t="shared" si="647"/>
        <v>0</v>
      </c>
      <c r="BT131" s="203">
        <f t="shared" si="647"/>
        <v>0</v>
      </c>
      <c r="BU131" s="203">
        <f t="shared" si="647"/>
        <v>0</v>
      </c>
      <c r="BV131" s="203">
        <f t="shared" si="647"/>
        <v>0</v>
      </c>
      <c r="BW131" s="203">
        <f t="shared" si="647"/>
        <v>0</v>
      </c>
      <c r="BX131" s="203">
        <f t="shared" si="647"/>
        <v>0</v>
      </c>
      <c r="BY131" s="203">
        <f t="shared" ref="BY131" si="648">BY38</f>
        <v>0</v>
      </c>
      <c r="BZ131" s="203">
        <f t="shared" ref="BZ131:CA131" si="649">BZ38</f>
        <v>0</v>
      </c>
      <c r="CA131" s="203">
        <f t="shared" si="649"/>
        <v>0</v>
      </c>
      <c r="CB131" s="2168">
        <f t="shared" si="633"/>
        <v>0</v>
      </c>
      <c r="CC131" s="20"/>
      <c r="CD131" s="13"/>
    </row>
    <row r="132" spans="1:82" ht="14.25" customHeight="1" outlineLevel="1">
      <c r="A132" s="7"/>
      <c r="B132" s="23" t="s">
        <v>221</v>
      </c>
      <c r="C132" s="24"/>
      <c r="D132" s="208">
        <v>0</v>
      </c>
      <c r="E132" s="206">
        <v>0</v>
      </c>
      <c r="F132" s="206">
        <v>0</v>
      </c>
      <c r="G132" s="207">
        <v>0</v>
      </c>
      <c r="H132" s="208">
        <v>0</v>
      </c>
      <c r="I132" s="206">
        <v>0</v>
      </c>
      <c r="J132" s="206">
        <v>0</v>
      </c>
      <c r="K132" s="207">
        <v>-3893</v>
      </c>
      <c r="L132" s="208">
        <v>0</v>
      </c>
      <c r="M132" s="206">
        <v>0</v>
      </c>
      <c r="N132" s="206">
        <v>0</v>
      </c>
      <c r="O132" s="207">
        <v>0</v>
      </c>
      <c r="P132" s="208">
        <v>0</v>
      </c>
      <c r="Q132" s="206">
        <v>0</v>
      </c>
      <c r="R132" s="206">
        <v>-95</v>
      </c>
      <c r="S132" s="207">
        <f>127-95</f>
        <v>32</v>
      </c>
      <c r="T132" s="208">
        <v>0</v>
      </c>
      <c r="U132" s="206">
        <v>0</v>
      </c>
      <c r="V132" s="206">
        <v>0</v>
      </c>
      <c r="W132" s="207">
        <v>58</v>
      </c>
      <c r="X132" s="208">
        <v>-904</v>
      </c>
      <c r="Y132" s="206">
        <v>-904</v>
      </c>
      <c r="Z132" s="206">
        <v>-904</v>
      </c>
      <c r="AA132" s="207">
        <v>-904</v>
      </c>
      <c r="AB132" s="206">
        <v>0</v>
      </c>
      <c r="AC132" s="206">
        <v>0</v>
      </c>
      <c r="AD132" s="206">
        <v>0</v>
      </c>
      <c r="AE132" s="207">
        <v>0</v>
      </c>
      <c r="AF132" s="206">
        <v>-281</v>
      </c>
      <c r="AG132" s="206">
        <v>-281</v>
      </c>
      <c r="AH132" s="206">
        <v>-281</v>
      </c>
      <c r="AI132" s="207">
        <v>-281</v>
      </c>
      <c r="AJ132" s="206">
        <v>0</v>
      </c>
      <c r="AK132" s="206">
        <v>0</v>
      </c>
      <c r="AL132" s="206">
        <v>0</v>
      </c>
      <c r="AM132" s="207">
        <v>0</v>
      </c>
      <c r="AN132" s="206">
        <v>0</v>
      </c>
      <c r="AO132" s="206">
        <v>0</v>
      </c>
      <c r="AP132" s="206">
        <v>0</v>
      </c>
      <c r="AQ132" s="207">
        <v>0</v>
      </c>
      <c r="AR132" s="206">
        <v>0</v>
      </c>
      <c r="AS132" s="206">
        <v>0</v>
      </c>
      <c r="AT132" s="206">
        <v>0</v>
      </c>
      <c r="AU132" s="207">
        <v>0</v>
      </c>
      <c r="AV132" s="206">
        <v>0</v>
      </c>
      <c r="AW132" s="206">
        <v>351</v>
      </c>
      <c r="AX132" s="206">
        <v>0</v>
      </c>
      <c r="AY132" s="207">
        <v>342</v>
      </c>
      <c r="AZ132" s="206">
        <v>0</v>
      </c>
      <c r="BA132" s="206">
        <v>0</v>
      </c>
      <c r="BB132" s="206">
        <v>0</v>
      </c>
      <c r="BC132" s="207">
        <v>0</v>
      </c>
      <c r="BD132" s="1464">
        <f t="shared" si="634"/>
        <v>0</v>
      </c>
      <c r="BE132" s="1464">
        <f t="shared" si="624"/>
        <v>0</v>
      </c>
      <c r="BF132" s="1106">
        <f t="shared" si="625"/>
        <v>0</v>
      </c>
      <c r="BG132" s="204">
        <f t="shared" si="626"/>
        <v>0</v>
      </c>
      <c r="BH132" s="1464">
        <f t="shared" si="627"/>
        <v>0</v>
      </c>
      <c r="BI132" s="1464">
        <f t="shared" si="628"/>
        <v>0</v>
      </c>
      <c r="BJ132" s="1106">
        <f t="shared" si="629"/>
        <v>0</v>
      </c>
      <c r="BK132" s="204">
        <f t="shared" si="630"/>
        <v>0</v>
      </c>
      <c r="BL132" s="179"/>
      <c r="BM132" s="203">
        <f t="shared" ref="BM132:BX132" si="650">BM39</f>
        <v>0</v>
      </c>
      <c r="BN132" s="203">
        <f t="shared" si="650"/>
        <v>-3893</v>
      </c>
      <c r="BO132" s="203">
        <f t="shared" si="650"/>
        <v>0</v>
      </c>
      <c r="BP132" s="203">
        <f t="shared" si="650"/>
        <v>32</v>
      </c>
      <c r="BQ132" s="203">
        <f t="shared" si="650"/>
        <v>58</v>
      </c>
      <c r="BR132" s="203">
        <f t="shared" si="650"/>
        <v>-904</v>
      </c>
      <c r="BS132" s="203">
        <f t="shared" si="650"/>
        <v>0</v>
      </c>
      <c r="BT132" s="203">
        <f t="shared" si="650"/>
        <v>-281</v>
      </c>
      <c r="BU132" s="203">
        <f t="shared" si="650"/>
        <v>0</v>
      </c>
      <c r="BV132" s="203">
        <f t="shared" si="650"/>
        <v>0</v>
      </c>
      <c r="BW132" s="203">
        <f t="shared" si="650"/>
        <v>0</v>
      </c>
      <c r="BX132" s="203">
        <f t="shared" si="650"/>
        <v>342</v>
      </c>
      <c r="BY132" s="203">
        <f t="shared" ref="BY132" si="651">BY39</f>
        <v>0</v>
      </c>
      <c r="BZ132" s="203">
        <f t="shared" ref="BZ132:CA132" si="652">BZ39</f>
        <v>0</v>
      </c>
      <c r="CA132" s="203">
        <f t="shared" si="652"/>
        <v>0</v>
      </c>
      <c r="CB132" s="2168">
        <f t="shared" si="633"/>
        <v>0</v>
      </c>
      <c r="CC132" s="20"/>
      <c r="CD132" s="13"/>
    </row>
    <row r="133" spans="1:82" ht="14.25" customHeight="1" outlineLevel="1">
      <c r="A133" s="7"/>
      <c r="B133" s="23" t="s">
        <v>252</v>
      </c>
      <c r="C133" s="24"/>
      <c r="D133" s="208">
        <v>0.216</v>
      </c>
      <c r="E133" s="206">
        <v>5.7889999999999997</v>
      </c>
      <c r="F133" s="206">
        <v>7.1319999999999997</v>
      </c>
      <c r="G133" s="207">
        <v>10</v>
      </c>
      <c r="H133" s="208">
        <v>2.2909999999999999</v>
      </c>
      <c r="I133" s="206">
        <v>3.2850000000000001</v>
      </c>
      <c r="J133" s="206">
        <v>4.423</v>
      </c>
      <c r="K133" s="207">
        <v>23</v>
      </c>
      <c r="L133" s="208">
        <v>1</v>
      </c>
      <c r="M133" s="206">
        <v>0</v>
      </c>
      <c r="N133" s="206">
        <v>42</v>
      </c>
      <c r="O133" s="207">
        <v>73</v>
      </c>
      <c r="P133" s="208">
        <v>53</v>
      </c>
      <c r="Q133" s="206">
        <v>343</v>
      </c>
      <c r="R133" s="206">
        <v>343</v>
      </c>
      <c r="S133" s="207">
        <v>343</v>
      </c>
      <c r="T133" s="208">
        <v>0</v>
      </c>
      <c r="U133" s="206">
        <v>0</v>
      </c>
      <c r="V133" s="206">
        <v>1</v>
      </c>
      <c r="W133" s="207">
        <v>0</v>
      </c>
      <c r="X133" s="208">
        <v>0</v>
      </c>
      <c r="Y133" s="206">
        <v>0</v>
      </c>
      <c r="Z133" s="206">
        <v>1</v>
      </c>
      <c r="AA133" s="207">
        <v>1</v>
      </c>
      <c r="AB133" s="206">
        <v>0</v>
      </c>
      <c r="AC133" s="206">
        <v>0</v>
      </c>
      <c r="AD133" s="206">
        <v>16</v>
      </c>
      <c r="AE133" s="207">
        <v>16</v>
      </c>
      <c r="AF133" s="206">
        <v>1</v>
      </c>
      <c r="AG133" s="206">
        <v>0</v>
      </c>
      <c r="AH133" s="206">
        <v>0</v>
      </c>
      <c r="AI133" s="207">
        <v>0</v>
      </c>
      <c r="AJ133" s="206">
        <v>178</v>
      </c>
      <c r="AK133" s="206">
        <v>181</v>
      </c>
      <c r="AL133" s="206">
        <v>238</v>
      </c>
      <c r="AM133" s="207">
        <f>+AL133+0</f>
        <v>238</v>
      </c>
      <c r="AN133" s="206">
        <v>0</v>
      </c>
      <c r="AO133" s="206">
        <v>0</v>
      </c>
      <c r="AP133" s="206">
        <v>0</v>
      </c>
      <c r="AQ133" s="207">
        <v>0</v>
      </c>
      <c r="AR133" s="206">
        <v>0</v>
      </c>
      <c r="AS133" s="206">
        <v>0</v>
      </c>
      <c r="AT133" s="206">
        <v>8</v>
      </c>
      <c r="AU133" s="207">
        <v>8</v>
      </c>
      <c r="AV133" s="206">
        <v>0</v>
      </c>
      <c r="AW133" s="206">
        <v>0</v>
      </c>
      <c r="AX133" s="206">
        <v>0</v>
      </c>
      <c r="AY133" s="207">
        <v>0</v>
      </c>
      <c r="AZ133" s="206">
        <v>0</v>
      </c>
      <c r="BA133" s="206">
        <v>0</v>
      </c>
      <c r="BB133" s="206">
        <v>0</v>
      </c>
      <c r="BC133" s="207">
        <v>0</v>
      </c>
      <c r="BD133" s="1464">
        <f t="shared" si="634"/>
        <v>0</v>
      </c>
      <c r="BE133" s="1464">
        <f t="shared" si="624"/>
        <v>0</v>
      </c>
      <c r="BF133" s="1106">
        <f t="shared" si="625"/>
        <v>0</v>
      </c>
      <c r="BG133" s="204">
        <f t="shared" si="626"/>
        <v>0</v>
      </c>
      <c r="BH133" s="1464">
        <f t="shared" si="627"/>
        <v>0</v>
      </c>
      <c r="BI133" s="1464">
        <f t="shared" si="628"/>
        <v>0</v>
      </c>
      <c r="BJ133" s="1106">
        <f t="shared" si="629"/>
        <v>0</v>
      </c>
      <c r="BK133" s="204">
        <f t="shared" si="630"/>
        <v>0</v>
      </c>
      <c r="BL133" s="179"/>
      <c r="BM133" s="203">
        <f t="shared" ref="BM133:BX133" si="653">BM40</f>
        <v>10</v>
      </c>
      <c r="BN133" s="203">
        <f t="shared" si="653"/>
        <v>23</v>
      </c>
      <c r="BO133" s="203">
        <f t="shared" si="653"/>
        <v>73</v>
      </c>
      <c r="BP133" s="203">
        <f t="shared" si="653"/>
        <v>343</v>
      </c>
      <c r="BQ133" s="203">
        <f t="shared" si="653"/>
        <v>0</v>
      </c>
      <c r="BR133" s="203">
        <f t="shared" si="653"/>
        <v>1</v>
      </c>
      <c r="BS133" s="203">
        <f t="shared" si="653"/>
        <v>16</v>
      </c>
      <c r="BT133" s="203">
        <f t="shared" si="653"/>
        <v>0</v>
      </c>
      <c r="BU133" s="203">
        <f t="shared" si="653"/>
        <v>238</v>
      </c>
      <c r="BV133" s="203">
        <f t="shared" si="653"/>
        <v>0</v>
      </c>
      <c r="BW133" s="203">
        <f t="shared" si="653"/>
        <v>8</v>
      </c>
      <c r="BX133" s="203">
        <f t="shared" si="653"/>
        <v>0</v>
      </c>
      <c r="BY133" s="203">
        <f t="shared" ref="BY133" si="654">BY40</f>
        <v>0</v>
      </c>
      <c r="BZ133" s="203">
        <f t="shared" ref="BZ133:CA133" si="655">BZ40</f>
        <v>0</v>
      </c>
      <c r="CA133" s="203">
        <f t="shared" si="655"/>
        <v>0</v>
      </c>
      <c r="CB133" s="2168">
        <f t="shared" si="633"/>
        <v>0</v>
      </c>
      <c r="CC133" s="20"/>
      <c r="CD133" s="13"/>
    </row>
    <row r="134" spans="1:82" ht="14.25" customHeight="1" outlineLevel="1">
      <c r="A134" s="10"/>
      <c r="B134" s="23" t="s">
        <v>134</v>
      </c>
      <c r="C134" s="24"/>
      <c r="D134" s="208">
        <v>-5.625</v>
      </c>
      <c r="E134" s="206">
        <v>-9.125</v>
      </c>
      <c r="F134" s="206">
        <v>-9.125</v>
      </c>
      <c r="G134" s="207">
        <f>-10+261-159-133</f>
        <v>-41</v>
      </c>
      <c r="H134" s="208">
        <f>15+1.858</f>
        <v>16.858000000000001</v>
      </c>
      <c r="I134" s="206">
        <f>21.564+175+1.858</f>
        <v>198.422</v>
      </c>
      <c r="J134" s="206">
        <f>21.564+1.858+175</f>
        <v>198.422</v>
      </c>
      <c r="K134" s="207">
        <f>2+22+278+175</f>
        <v>477</v>
      </c>
      <c r="L134" s="208">
        <f>13-4</f>
        <v>9</v>
      </c>
      <c r="M134" s="206">
        <f>1+13-3</f>
        <v>11</v>
      </c>
      <c r="N134" s="206">
        <f>157+22</f>
        <v>179</v>
      </c>
      <c r="O134" s="207">
        <f>18+157</f>
        <v>175</v>
      </c>
      <c r="P134" s="208">
        <v>-17</v>
      </c>
      <c r="Q134" s="206">
        <v>-14</v>
      </c>
      <c r="R134" s="206">
        <v>6</v>
      </c>
      <c r="S134" s="207">
        <v>6</v>
      </c>
      <c r="T134" s="208">
        <f>4+58</f>
        <v>62</v>
      </c>
      <c r="U134" s="206">
        <f>6+58</f>
        <v>64</v>
      </c>
      <c r="V134" s="206">
        <f>4+58</f>
        <v>62</v>
      </c>
      <c r="W134" s="207">
        <v>4</v>
      </c>
      <c r="X134" s="208">
        <v>1</v>
      </c>
      <c r="Y134" s="206">
        <v>18</v>
      </c>
      <c r="Z134" s="206">
        <v>23</v>
      </c>
      <c r="AA134" s="207">
        <v>19</v>
      </c>
      <c r="AB134" s="206">
        <v>-17</v>
      </c>
      <c r="AC134" s="206">
        <v>-17</v>
      </c>
      <c r="AD134" s="206">
        <v>-17</v>
      </c>
      <c r="AE134" s="207">
        <v>-19</v>
      </c>
      <c r="AF134" s="206">
        <v>-5</v>
      </c>
      <c r="AG134" s="206">
        <v>-5</v>
      </c>
      <c r="AH134" s="206">
        <v>-23</v>
      </c>
      <c r="AI134" s="207">
        <v>-9</v>
      </c>
      <c r="AJ134" s="206">
        <v>0</v>
      </c>
      <c r="AK134" s="206">
        <v>0</v>
      </c>
      <c r="AL134" s="206">
        <v>0</v>
      </c>
      <c r="AM134" s="207">
        <v>0</v>
      </c>
      <c r="AN134" s="206">
        <v>0</v>
      </c>
      <c r="AO134" s="206">
        <v>0</v>
      </c>
      <c r="AP134" s="206">
        <v>0</v>
      </c>
      <c r="AQ134" s="207">
        <v>0</v>
      </c>
      <c r="AR134" s="206">
        <v>0</v>
      </c>
      <c r="AS134" s="206">
        <v>0</v>
      </c>
      <c r="AT134" s="206">
        <v>0</v>
      </c>
      <c r="AU134" s="207">
        <v>0</v>
      </c>
      <c r="AV134" s="206">
        <v>0</v>
      </c>
      <c r="AW134" s="206">
        <f>-1</f>
        <v>-1</v>
      </c>
      <c r="AX134" s="206">
        <v>3</v>
      </c>
      <c r="AY134" s="207">
        <v>2</v>
      </c>
      <c r="AZ134" s="206">
        <v>-2</v>
      </c>
      <c r="BA134" s="206">
        <v>-3</v>
      </c>
      <c r="BB134" s="206">
        <v>-2</v>
      </c>
      <c r="BC134" s="207">
        <v>-1</v>
      </c>
      <c r="BD134" s="1464">
        <v>0</v>
      </c>
      <c r="BE134" s="1464">
        <f t="shared" si="624"/>
        <v>0</v>
      </c>
      <c r="BF134" s="1106">
        <f t="shared" si="625"/>
        <v>0</v>
      </c>
      <c r="BG134" s="204">
        <f t="shared" si="626"/>
        <v>0</v>
      </c>
      <c r="BH134" s="1464">
        <f t="shared" si="627"/>
        <v>0</v>
      </c>
      <c r="BI134" s="1464">
        <f t="shared" si="628"/>
        <v>0</v>
      </c>
      <c r="BJ134" s="1106">
        <f t="shared" si="629"/>
        <v>0</v>
      </c>
      <c r="BK134" s="204">
        <f t="shared" si="630"/>
        <v>0</v>
      </c>
      <c r="BL134" s="179"/>
      <c r="BM134" s="203">
        <f t="shared" ref="BM134:BX134" si="656">BM41</f>
        <v>-41</v>
      </c>
      <c r="BN134" s="203">
        <f t="shared" si="656"/>
        <v>477</v>
      </c>
      <c r="BO134" s="203">
        <f t="shared" si="656"/>
        <v>175</v>
      </c>
      <c r="BP134" s="203">
        <f t="shared" si="656"/>
        <v>6</v>
      </c>
      <c r="BQ134" s="203">
        <f t="shared" si="656"/>
        <v>4</v>
      </c>
      <c r="BR134" s="203">
        <f t="shared" si="656"/>
        <v>19</v>
      </c>
      <c r="BS134" s="203">
        <f t="shared" si="656"/>
        <v>-19</v>
      </c>
      <c r="BT134" s="203">
        <f t="shared" si="656"/>
        <v>-9</v>
      </c>
      <c r="BU134" s="203">
        <f t="shared" si="656"/>
        <v>0</v>
      </c>
      <c r="BV134" s="203">
        <f t="shared" si="656"/>
        <v>0</v>
      </c>
      <c r="BW134" s="203">
        <f t="shared" si="656"/>
        <v>0</v>
      </c>
      <c r="BX134" s="203">
        <f t="shared" si="656"/>
        <v>2</v>
      </c>
      <c r="BY134" s="203">
        <f t="shared" ref="BY134" si="657">BY41</f>
        <v>-1</v>
      </c>
      <c r="BZ134" s="203">
        <f t="shared" ref="BZ134:CA134" si="658">BZ41</f>
        <v>0</v>
      </c>
      <c r="CA134" s="203">
        <f t="shared" si="658"/>
        <v>0</v>
      </c>
      <c r="CB134" s="2168">
        <f t="shared" si="633"/>
        <v>0</v>
      </c>
      <c r="CC134" s="21"/>
      <c r="CD134" s="69"/>
    </row>
    <row r="135" spans="1:82" ht="14.25" customHeight="1" outlineLevel="1" thickBot="1">
      <c r="A135" s="7"/>
      <c r="B135" s="209" t="s">
        <v>135</v>
      </c>
      <c r="C135" s="210"/>
      <c r="D135" s="212">
        <f t="shared" ref="D135:AA135" si="659">SUM(D126:D134)</f>
        <v>-669.61199999999997</v>
      </c>
      <c r="E135" s="211">
        <f t="shared" si="659"/>
        <v>-1056.8219999999999</v>
      </c>
      <c r="F135" s="211">
        <f t="shared" si="659"/>
        <v>-1444.9839999999999</v>
      </c>
      <c r="G135" s="213">
        <f t="shared" si="659"/>
        <v>-2270</v>
      </c>
      <c r="H135" s="212">
        <f t="shared" si="659"/>
        <v>-925.34699999999998</v>
      </c>
      <c r="I135" s="211">
        <f t="shared" si="659"/>
        <v>-1405.9269999999999</v>
      </c>
      <c r="J135" s="211">
        <f t="shared" si="659"/>
        <v>-957.80600000000027</v>
      </c>
      <c r="K135" s="213">
        <f t="shared" si="659"/>
        <v>-4303</v>
      </c>
      <c r="L135" s="212">
        <f t="shared" si="659"/>
        <v>-592</v>
      </c>
      <c r="M135" s="211">
        <f t="shared" si="659"/>
        <v>-1118</v>
      </c>
      <c r="N135" s="211">
        <f t="shared" si="659"/>
        <v>-1349</v>
      </c>
      <c r="O135" s="213">
        <f t="shared" si="659"/>
        <v>-1675</v>
      </c>
      <c r="P135" s="212">
        <f t="shared" si="659"/>
        <v>-198</v>
      </c>
      <c r="Q135" s="211">
        <f t="shared" si="659"/>
        <v>64</v>
      </c>
      <c r="R135" s="211">
        <f t="shared" si="659"/>
        <v>-78</v>
      </c>
      <c r="S135" s="213">
        <f t="shared" si="659"/>
        <v>-27</v>
      </c>
      <c r="T135" s="212">
        <f t="shared" si="659"/>
        <v>-179</v>
      </c>
      <c r="U135" s="211">
        <f t="shared" si="659"/>
        <v>-496</v>
      </c>
      <c r="V135" s="211">
        <f t="shared" si="659"/>
        <v>-716</v>
      </c>
      <c r="W135" s="213">
        <f t="shared" si="659"/>
        <v>-1273</v>
      </c>
      <c r="X135" s="212">
        <f t="shared" si="659"/>
        <v>-1215</v>
      </c>
      <c r="Y135" s="211">
        <f t="shared" si="659"/>
        <v>-699</v>
      </c>
      <c r="Z135" s="211">
        <f t="shared" si="659"/>
        <v>-1020</v>
      </c>
      <c r="AA135" s="213">
        <f t="shared" si="659"/>
        <v>-1123</v>
      </c>
      <c r="AB135" s="211">
        <f t="shared" ref="AB135:AM135" si="660">SUM(AB126:AB134)</f>
        <v>-14</v>
      </c>
      <c r="AC135" s="211">
        <f t="shared" si="660"/>
        <v>-244</v>
      </c>
      <c r="AD135" s="211">
        <f t="shared" si="660"/>
        <v>-210</v>
      </c>
      <c r="AE135" s="213">
        <f t="shared" si="660"/>
        <v>-113</v>
      </c>
      <c r="AF135" s="211">
        <f t="shared" si="660"/>
        <v>200</v>
      </c>
      <c r="AG135" s="211">
        <f t="shared" si="660"/>
        <v>-63</v>
      </c>
      <c r="AH135" s="211">
        <f>SUM(AH126:AH134)</f>
        <v>-73</v>
      </c>
      <c r="AI135" s="213">
        <f t="shared" si="660"/>
        <v>-19</v>
      </c>
      <c r="AJ135" s="211">
        <f t="shared" si="660"/>
        <v>47</v>
      </c>
      <c r="AK135" s="211">
        <f t="shared" si="660"/>
        <v>-27</v>
      </c>
      <c r="AL135" s="211">
        <f>SUM(AL126:AL134)</f>
        <v>159</v>
      </c>
      <c r="AM135" s="213">
        <f t="shared" si="660"/>
        <v>455</v>
      </c>
      <c r="AN135" s="211">
        <f t="shared" ref="AN135:AU135" si="661">SUM(AN126:AN134)</f>
        <v>-131</v>
      </c>
      <c r="AO135" s="211">
        <f t="shared" si="661"/>
        <v>-174</v>
      </c>
      <c r="AP135" s="211">
        <f t="shared" si="661"/>
        <v>-55</v>
      </c>
      <c r="AQ135" s="213">
        <f t="shared" si="661"/>
        <v>-12</v>
      </c>
      <c r="AR135" s="211">
        <f t="shared" si="661"/>
        <v>-15</v>
      </c>
      <c r="AS135" s="211">
        <f t="shared" si="661"/>
        <v>196</v>
      </c>
      <c r="AT135" s="211">
        <f t="shared" si="661"/>
        <v>179</v>
      </c>
      <c r="AU135" s="213">
        <f t="shared" si="661"/>
        <v>147</v>
      </c>
      <c r="AV135" s="211">
        <f t="shared" ref="AV135:AY135" si="662">SUM(AV126:AV134)</f>
        <v>-26</v>
      </c>
      <c r="AW135" s="211">
        <f t="shared" si="662"/>
        <v>303</v>
      </c>
      <c r="AX135" s="211">
        <f t="shared" si="662"/>
        <v>293</v>
      </c>
      <c r="AY135" s="213">
        <f t="shared" si="662"/>
        <v>267</v>
      </c>
      <c r="AZ135" s="211">
        <f t="shared" ref="AZ135:BC135" si="663">SUM(AZ126:AZ134)</f>
        <v>-246</v>
      </c>
      <c r="BA135" s="211">
        <f t="shared" si="663"/>
        <v>-122</v>
      </c>
      <c r="BB135" s="211">
        <f t="shared" si="663"/>
        <v>-71</v>
      </c>
      <c r="BC135" s="213">
        <f t="shared" si="663"/>
        <v>-114</v>
      </c>
      <c r="BD135" s="1467">
        <f t="shared" ref="BD135:BG135" si="664">SUM(BD126:BD134)</f>
        <v>-46</v>
      </c>
      <c r="BE135" s="1467">
        <f t="shared" si="664"/>
        <v>-71</v>
      </c>
      <c r="BF135" s="1107">
        <f t="shared" si="664"/>
        <v>-96</v>
      </c>
      <c r="BG135" s="213">
        <f t="shared" si="664"/>
        <v>-121</v>
      </c>
      <c r="BH135" s="1467">
        <f t="shared" ref="BH135:BK135" si="665">SUM(BH126:BH134)</f>
        <v>-25</v>
      </c>
      <c r="BI135" s="1467">
        <f t="shared" si="665"/>
        <v>-50</v>
      </c>
      <c r="BJ135" s="1107">
        <f t="shared" si="665"/>
        <v>-75</v>
      </c>
      <c r="BK135" s="213">
        <f t="shared" si="665"/>
        <v>-100</v>
      </c>
      <c r="BL135" s="179"/>
      <c r="BM135" s="211">
        <f t="shared" ref="BM135:BS135" si="666">SUM(BM126:BM134)</f>
        <v>-2270</v>
      </c>
      <c r="BN135" s="211">
        <f t="shared" si="666"/>
        <v>-4303</v>
      </c>
      <c r="BO135" s="211">
        <f t="shared" si="666"/>
        <v>-1675</v>
      </c>
      <c r="BP135" s="211">
        <f t="shared" si="666"/>
        <v>-27</v>
      </c>
      <c r="BQ135" s="211">
        <f t="shared" si="666"/>
        <v>-1273</v>
      </c>
      <c r="BR135" s="211">
        <f t="shared" si="666"/>
        <v>-1123</v>
      </c>
      <c r="BS135" s="211">
        <f t="shared" si="666"/>
        <v>-113</v>
      </c>
      <c r="BT135" s="211">
        <f t="shared" ref="BT135:BX135" si="667">SUM(BT126:BT134)</f>
        <v>-19</v>
      </c>
      <c r="BU135" s="211">
        <f t="shared" si="667"/>
        <v>455</v>
      </c>
      <c r="BV135" s="211">
        <f t="shared" si="667"/>
        <v>-12</v>
      </c>
      <c r="BW135" s="211">
        <f t="shared" si="667"/>
        <v>147</v>
      </c>
      <c r="BX135" s="211">
        <f t="shared" si="667"/>
        <v>267</v>
      </c>
      <c r="BY135" s="211">
        <f t="shared" ref="BY135" si="668">SUM(BY126:BY134)</f>
        <v>-114</v>
      </c>
      <c r="BZ135" s="211">
        <f t="shared" ref="BZ135:CB135" si="669">SUM(BZ126:BZ134)</f>
        <v>-121</v>
      </c>
      <c r="CA135" s="211">
        <f t="shared" si="669"/>
        <v>-100</v>
      </c>
      <c r="CB135" s="2169">
        <f t="shared" si="669"/>
        <v>-99.059534421365882</v>
      </c>
      <c r="CC135" s="20"/>
      <c r="CD135" s="13"/>
    </row>
    <row r="136" spans="1:82" ht="14.25" customHeight="1" outlineLevel="1" thickTop="1">
      <c r="A136" s="7"/>
      <c r="B136" s="21"/>
      <c r="C136" s="22"/>
      <c r="D136" s="208"/>
      <c r="E136" s="206"/>
      <c r="F136" s="206"/>
      <c r="G136" s="207"/>
      <c r="H136" s="208"/>
      <c r="I136" s="206"/>
      <c r="J136" s="206"/>
      <c r="K136" s="207"/>
      <c r="L136" s="208"/>
      <c r="M136" s="206"/>
      <c r="N136" s="206"/>
      <c r="O136" s="207"/>
      <c r="P136" s="208"/>
      <c r="Q136" s="206"/>
      <c r="R136" s="206"/>
      <c r="S136" s="207"/>
      <c r="T136" s="208"/>
      <c r="U136" s="206"/>
      <c r="V136" s="206"/>
      <c r="W136" s="207"/>
      <c r="X136" s="208"/>
      <c r="Y136" s="206"/>
      <c r="Z136" s="206"/>
      <c r="AA136" s="207"/>
      <c r="AB136" s="206"/>
      <c r="AC136" s="206"/>
      <c r="AD136" s="206"/>
      <c r="AE136" s="207"/>
      <c r="AF136" s="206"/>
      <c r="AG136" s="206"/>
      <c r="AH136" s="206"/>
      <c r="AI136" s="207"/>
      <c r="AJ136" s="206"/>
      <c r="AK136" s="206"/>
      <c r="AL136" s="206"/>
      <c r="AM136" s="207"/>
      <c r="AN136" s="206"/>
      <c r="AO136" s="206"/>
      <c r="AP136" s="206"/>
      <c r="AQ136" s="207"/>
      <c r="AR136" s="206"/>
      <c r="AS136" s="206"/>
      <c r="AT136" s="206"/>
      <c r="AU136" s="207"/>
      <c r="AV136" s="206"/>
      <c r="AW136" s="206"/>
      <c r="AX136" s="206"/>
      <c r="AY136" s="207"/>
      <c r="AZ136" s="206"/>
      <c r="BA136" s="206"/>
      <c r="BB136" s="206"/>
      <c r="BC136" s="207"/>
      <c r="BD136" s="1464"/>
      <c r="BE136" s="1464"/>
      <c r="BF136" s="1106"/>
      <c r="BG136" s="207"/>
      <c r="BH136" s="1464"/>
      <c r="BI136" s="1464"/>
      <c r="BJ136" s="1106"/>
      <c r="BK136" s="207"/>
      <c r="BL136" s="179"/>
      <c r="BM136" s="206"/>
      <c r="BN136" s="206"/>
      <c r="BO136" s="206"/>
      <c r="BP136" s="206"/>
      <c r="BQ136" s="206"/>
      <c r="BR136" s="206"/>
      <c r="BS136" s="206"/>
      <c r="BT136" s="206"/>
      <c r="BU136" s="206"/>
      <c r="BV136" s="206"/>
      <c r="BW136" s="206"/>
      <c r="BX136" s="206"/>
      <c r="BY136" s="206"/>
      <c r="BZ136" s="206"/>
      <c r="CA136" s="206"/>
      <c r="CB136" s="2170"/>
      <c r="CC136" s="20"/>
      <c r="CD136" s="13"/>
    </row>
    <row r="137" spans="1:82" ht="14.25" customHeight="1" outlineLevel="1">
      <c r="A137" s="7"/>
      <c r="B137" s="214" t="s">
        <v>136</v>
      </c>
      <c r="C137" s="215"/>
      <c r="D137" s="208"/>
      <c r="E137" s="216"/>
      <c r="F137" s="216"/>
      <c r="G137" s="207"/>
      <c r="H137" s="208"/>
      <c r="I137" s="216"/>
      <c r="J137" s="216"/>
      <c r="K137" s="207"/>
      <c r="L137" s="208"/>
      <c r="M137" s="216"/>
      <c r="N137" s="216"/>
      <c r="O137" s="207"/>
      <c r="P137" s="208"/>
      <c r="Q137" s="216"/>
      <c r="R137" s="216"/>
      <c r="S137" s="207"/>
      <c r="T137" s="208"/>
      <c r="U137" s="216"/>
      <c r="V137" s="216"/>
      <c r="W137" s="207"/>
      <c r="X137" s="208"/>
      <c r="Y137" s="216"/>
      <c r="Z137" s="216"/>
      <c r="AA137" s="207"/>
      <c r="AB137" s="206"/>
      <c r="AC137" s="206"/>
      <c r="AD137" s="206"/>
      <c r="AE137" s="207"/>
      <c r="AF137" s="206"/>
      <c r="AG137" s="206"/>
      <c r="AH137" s="206"/>
      <c r="AI137" s="207"/>
      <c r="AJ137" s="206"/>
      <c r="AK137" s="206"/>
      <c r="AL137" s="206"/>
      <c r="AM137" s="207"/>
      <c r="AN137" s="206"/>
      <c r="AO137" s="206"/>
      <c r="AP137" s="206"/>
      <c r="AQ137" s="207"/>
      <c r="AR137" s="206"/>
      <c r="AS137" s="206"/>
      <c r="AT137" s="206"/>
      <c r="AU137" s="207"/>
      <c r="AV137" s="206"/>
      <c r="AW137" s="206"/>
      <c r="AX137" s="206"/>
      <c r="AY137" s="207"/>
      <c r="AZ137" s="206"/>
      <c r="BA137" s="206"/>
      <c r="BB137" s="206"/>
      <c r="BC137" s="207"/>
      <c r="BD137" s="1464"/>
      <c r="BE137" s="1464"/>
      <c r="BF137" s="1106"/>
      <c r="BG137" s="207"/>
      <c r="BH137" s="1464"/>
      <c r="BI137" s="1464"/>
      <c r="BJ137" s="1106"/>
      <c r="BK137" s="207"/>
      <c r="BL137" s="179"/>
      <c r="BM137" s="206"/>
      <c r="BN137" s="206"/>
      <c r="BO137" s="206"/>
      <c r="BP137" s="206"/>
      <c r="BQ137" s="206"/>
      <c r="BR137" s="206"/>
      <c r="BS137" s="206"/>
      <c r="BT137" s="206"/>
      <c r="BU137" s="206"/>
      <c r="BV137" s="206"/>
      <c r="BW137" s="206"/>
      <c r="BX137" s="206"/>
      <c r="BY137" s="206"/>
      <c r="BZ137" s="206"/>
      <c r="CA137" s="206"/>
      <c r="CB137" s="2170"/>
      <c r="CC137" s="20"/>
      <c r="CD137" s="13"/>
    </row>
    <row r="138" spans="1:82" ht="14.25" customHeight="1" outlineLevel="1">
      <c r="A138" s="7"/>
      <c r="B138" s="23" t="s">
        <v>220</v>
      </c>
      <c r="C138" s="24"/>
      <c r="D138" s="208">
        <v>0</v>
      </c>
      <c r="E138" s="206">
        <v>0</v>
      </c>
      <c r="F138" s="206">
        <v>0</v>
      </c>
      <c r="G138" s="207">
        <v>0</v>
      </c>
      <c r="H138" s="208">
        <v>0</v>
      </c>
      <c r="I138" s="206">
        <v>0</v>
      </c>
      <c r="J138" s="206">
        <v>0</v>
      </c>
      <c r="K138" s="207">
        <v>0</v>
      </c>
      <c r="L138" s="208">
        <v>0</v>
      </c>
      <c r="M138" s="206">
        <v>0</v>
      </c>
      <c r="N138" s="206">
        <v>0</v>
      </c>
      <c r="O138" s="207">
        <v>0</v>
      </c>
      <c r="P138" s="208">
        <v>0</v>
      </c>
      <c r="Q138" s="206">
        <v>0</v>
      </c>
      <c r="R138" s="206">
        <v>0</v>
      </c>
      <c r="S138" s="207">
        <v>0</v>
      </c>
      <c r="T138" s="208">
        <v>0</v>
      </c>
      <c r="U138" s="206">
        <v>0</v>
      </c>
      <c r="V138" s="206">
        <v>0</v>
      </c>
      <c r="W138" s="207">
        <v>0</v>
      </c>
      <c r="X138" s="208">
        <v>0</v>
      </c>
      <c r="Y138" s="206">
        <v>0</v>
      </c>
      <c r="Z138" s="206">
        <v>0</v>
      </c>
      <c r="AA138" s="207">
        <v>0</v>
      </c>
      <c r="AB138" s="206">
        <v>0</v>
      </c>
      <c r="AC138" s="206">
        <v>0</v>
      </c>
      <c r="AD138" s="206">
        <v>0</v>
      </c>
      <c r="AE138" s="207">
        <v>0</v>
      </c>
      <c r="AF138" s="206">
        <v>0</v>
      </c>
      <c r="AG138" s="206">
        <v>0</v>
      </c>
      <c r="AH138" s="206">
        <v>0</v>
      </c>
      <c r="AI138" s="207">
        <v>0</v>
      </c>
      <c r="AJ138" s="206">
        <v>0</v>
      </c>
      <c r="AK138" s="206">
        <v>0</v>
      </c>
      <c r="AL138" s="206">
        <v>0</v>
      </c>
      <c r="AM138" s="207">
        <v>55</v>
      </c>
      <c r="AN138" s="206">
        <v>0</v>
      </c>
      <c r="AO138" s="206">
        <v>0</v>
      </c>
      <c r="AP138" s="206">
        <v>0</v>
      </c>
      <c r="AQ138" s="207">
        <v>0</v>
      </c>
      <c r="AR138" s="206">
        <v>0</v>
      </c>
      <c r="AS138" s="206">
        <v>0</v>
      </c>
      <c r="AT138" s="206">
        <v>0</v>
      </c>
      <c r="AU138" s="207">
        <v>0</v>
      </c>
      <c r="AV138" s="206">
        <v>0</v>
      </c>
      <c r="AW138" s="206">
        <v>0</v>
      </c>
      <c r="AX138" s="206">
        <v>0</v>
      </c>
      <c r="AY138" s="207">
        <v>0</v>
      </c>
      <c r="AZ138" s="206">
        <v>0</v>
      </c>
      <c r="BA138" s="206">
        <v>0</v>
      </c>
      <c r="BB138" s="206">
        <v>0</v>
      </c>
      <c r="BC138" s="207">
        <v>0</v>
      </c>
      <c r="BD138" s="1464">
        <f t="shared" ref="BD138:BD145" si="670">BD45</f>
        <v>0</v>
      </c>
      <c r="BE138" s="1464">
        <f t="shared" ref="BE138:BE146" si="671">BD138+BE45</f>
        <v>0</v>
      </c>
      <c r="BF138" s="1106">
        <f t="shared" ref="BF138:BF146" si="672">BE138+BF45</f>
        <v>0</v>
      </c>
      <c r="BG138" s="204">
        <f t="shared" ref="BG138:BG146" si="673">BF138+BG45</f>
        <v>0</v>
      </c>
      <c r="BH138" s="1464">
        <f t="shared" ref="BH138:BH146" si="674">BH45</f>
        <v>0</v>
      </c>
      <c r="BI138" s="1464">
        <f t="shared" ref="BI138:BI146" si="675">BH138+BI45</f>
        <v>0</v>
      </c>
      <c r="BJ138" s="1106">
        <f t="shared" ref="BJ138:BJ146" si="676">BI138+BJ45</f>
        <v>0</v>
      </c>
      <c r="BK138" s="204">
        <f t="shared" ref="BK138:BK146" si="677">BJ138+BK45</f>
        <v>0</v>
      </c>
      <c r="BL138" s="179"/>
      <c r="BM138" s="203">
        <f t="shared" ref="BM138:BX138" si="678">BM45</f>
        <v>0</v>
      </c>
      <c r="BN138" s="203">
        <f t="shared" si="678"/>
        <v>0</v>
      </c>
      <c r="BO138" s="203">
        <f t="shared" si="678"/>
        <v>0</v>
      </c>
      <c r="BP138" s="203">
        <f t="shared" si="678"/>
        <v>0</v>
      </c>
      <c r="BQ138" s="203">
        <f t="shared" si="678"/>
        <v>0</v>
      </c>
      <c r="BR138" s="203">
        <f t="shared" si="678"/>
        <v>0</v>
      </c>
      <c r="BS138" s="203">
        <f t="shared" si="678"/>
        <v>0</v>
      </c>
      <c r="BT138" s="203">
        <f t="shared" si="678"/>
        <v>0</v>
      </c>
      <c r="BU138" s="203">
        <f t="shared" si="678"/>
        <v>55</v>
      </c>
      <c r="BV138" s="203">
        <f t="shared" si="678"/>
        <v>0</v>
      </c>
      <c r="BW138" s="203">
        <f t="shared" si="678"/>
        <v>0</v>
      </c>
      <c r="BX138" s="203">
        <f t="shared" si="678"/>
        <v>0</v>
      </c>
      <c r="BY138" s="203">
        <f t="shared" ref="BY138" si="679">BY45</f>
        <v>0</v>
      </c>
      <c r="BZ138" s="203">
        <f t="shared" ref="BZ138:CB146" si="680">BZ45</f>
        <v>0</v>
      </c>
      <c r="CA138" s="203">
        <f t="shared" si="680"/>
        <v>0</v>
      </c>
      <c r="CB138" s="2168">
        <f t="shared" si="680"/>
        <v>0</v>
      </c>
      <c r="CC138" s="20"/>
      <c r="CD138" s="13"/>
    </row>
    <row r="139" spans="1:82" ht="14.25" customHeight="1" outlineLevel="1">
      <c r="A139" s="7"/>
      <c r="B139" s="23" t="s">
        <v>260</v>
      </c>
      <c r="C139" s="24"/>
      <c r="D139" s="208">
        <v>0</v>
      </c>
      <c r="E139" s="206">
        <v>36.267000000000003</v>
      </c>
      <c r="F139" s="206">
        <v>93.977999999999994</v>
      </c>
      <c r="G139" s="207">
        <f>77+169</f>
        <v>246</v>
      </c>
      <c r="H139" s="208">
        <v>0</v>
      </c>
      <c r="I139" s="206">
        <v>0</v>
      </c>
      <c r="J139" s="206">
        <v>0</v>
      </c>
      <c r="K139" s="207">
        <v>3366</v>
      </c>
      <c r="L139" s="208">
        <v>0</v>
      </c>
      <c r="M139" s="206">
        <v>2169</v>
      </c>
      <c r="N139" s="206">
        <v>3649</v>
      </c>
      <c r="O139" s="207">
        <v>3649</v>
      </c>
      <c r="P139" s="208">
        <v>0</v>
      </c>
      <c r="Q139" s="206">
        <v>65</v>
      </c>
      <c r="R139" s="206">
        <v>182</v>
      </c>
      <c r="S139" s="207">
        <v>308</v>
      </c>
      <c r="T139" s="208">
        <v>142</v>
      </c>
      <c r="U139" s="206">
        <v>254</v>
      </c>
      <c r="V139" s="206">
        <v>399</v>
      </c>
      <c r="W139" s="207">
        <v>1060</v>
      </c>
      <c r="X139" s="208">
        <v>199</v>
      </c>
      <c r="Y139" s="206">
        <v>423</v>
      </c>
      <c r="Z139" s="206">
        <v>1223</v>
      </c>
      <c r="AA139" s="207">
        <v>1520</v>
      </c>
      <c r="AB139" s="206">
        <v>165</v>
      </c>
      <c r="AC139" s="206">
        <v>170</v>
      </c>
      <c r="AD139" s="206">
        <v>170</v>
      </c>
      <c r="AE139" s="207">
        <v>170</v>
      </c>
      <c r="AF139" s="206">
        <v>0</v>
      </c>
      <c r="AG139" s="206">
        <v>0</v>
      </c>
      <c r="AH139" s="206">
        <v>491</v>
      </c>
      <c r="AI139" s="207">
        <v>491</v>
      </c>
      <c r="AJ139" s="206">
        <v>0</v>
      </c>
      <c r="AK139" s="206">
        <v>0</v>
      </c>
      <c r="AL139" s="206">
        <v>0</v>
      </c>
      <c r="AM139" s="207">
        <v>0</v>
      </c>
      <c r="AN139" s="206">
        <v>589</v>
      </c>
      <c r="AO139" s="206">
        <v>1080</v>
      </c>
      <c r="AP139" s="206">
        <v>1080</v>
      </c>
      <c r="AQ139" s="207">
        <v>1155</v>
      </c>
      <c r="AR139" s="206">
        <v>58</v>
      </c>
      <c r="AS139" s="206">
        <v>100</v>
      </c>
      <c r="AT139" s="206">
        <v>100</v>
      </c>
      <c r="AU139" s="207">
        <v>100</v>
      </c>
      <c r="AV139" s="206">
        <v>0</v>
      </c>
      <c r="AW139" s="206">
        <v>-4</v>
      </c>
      <c r="AX139" s="206">
        <f>-230-848</f>
        <v>-1078</v>
      </c>
      <c r="AY139" s="207">
        <v>782</v>
      </c>
      <c r="AZ139" s="206">
        <v>0</v>
      </c>
      <c r="BA139" s="206">
        <v>42</v>
      </c>
      <c r="BB139" s="206">
        <v>70</v>
      </c>
      <c r="BC139" s="207">
        <v>70</v>
      </c>
      <c r="BD139" s="1464">
        <f t="shared" si="670"/>
        <v>0</v>
      </c>
      <c r="BE139" s="1464">
        <f t="shared" si="671"/>
        <v>0</v>
      </c>
      <c r="BF139" s="1106">
        <f t="shared" si="672"/>
        <v>0</v>
      </c>
      <c r="BG139" s="204">
        <f t="shared" si="673"/>
        <v>0</v>
      </c>
      <c r="BH139" s="1464">
        <f t="shared" si="674"/>
        <v>0</v>
      </c>
      <c r="BI139" s="1464">
        <f t="shared" si="675"/>
        <v>0</v>
      </c>
      <c r="BJ139" s="1106">
        <f t="shared" si="676"/>
        <v>0</v>
      </c>
      <c r="BK139" s="204">
        <f t="shared" si="677"/>
        <v>0</v>
      </c>
      <c r="BL139" s="179"/>
      <c r="BM139" s="203">
        <f t="shared" ref="BM139:BX139" si="681">BM46</f>
        <v>246</v>
      </c>
      <c r="BN139" s="203">
        <f t="shared" si="681"/>
        <v>3366</v>
      </c>
      <c r="BO139" s="203">
        <f t="shared" si="681"/>
        <v>3649</v>
      </c>
      <c r="BP139" s="203">
        <f t="shared" si="681"/>
        <v>308</v>
      </c>
      <c r="BQ139" s="203">
        <f t="shared" si="681"/>
        <v>1060</v>
      </c>
      <c r="BR139" s="203">
        <f t="shared" si="681"/>
        <v>1520</v>
      </c>
      <c r="BS139" s="203">
        <f t="shared" si="681"/>
        <v>170</v>
      </c>
      <c r="BT139" s="203">
        <f t="shared" si="681"/>
        <v>491</v>
      </c>
      <c r="BU139" s="203">
        <f t="shared" si="681"/>
        <v>0</v>
      </c>
      <c r="BV139" s="203">
        <f t="shared" si="681"/>
        <v>1155</v>
      </c>
      <c r="BW139" s="203">
        <f t="shared" si="681"/>
        <v>100</v>
      </c>
      <c r="BX139" s="203">
        <f t="shared" si="681"/>
        <v>782</v>
      </c>
      <c r="BY139" s="203">
        <f t="shared" ref="BY139" si="682">BY46</f>
        <v>70</v>
      </c>
      <c r="BZ139" s="203">
        <f t="shared" ref="BZ139:CA139" si="683">BZ46</f>
        <v>0</v>
      </c>
      <c r="CA139" s="203">
        <f t="shared" si="683"/>
        <v>0</v>
      </c>
      <c r="CB139" s="2168">
        <f t="shared" si="680"/>
        <v>0</v>
      </c>
      <c r="CC139" s="20"/>
      <c r="CD139" s="13"/>
    </row>
    <row r="140" spans="1:82" ht="14.25" customHeight="1" outlineLevel="1">
      <c r="A140" s="7"/>
      <c r="B140" s="23" t="s">
        <v>259</v>
      </c>
      <c r="C140" s="24"/>
      <c r="D140" s="208">
        <v>-54.332000000000001</v>
      </c>
      <c r="E140" s="206">
        <v>-100.49</v>
      </c>
      <c r="F140" s="206">
        <v>-185.42</v>
      </c>
      <c r="G140" s="207">
        <v>-316</v>
      </c>
      <c r="H140" s="208">
        <v>-211.20500000000001</v>
      </c>
      <c r="I140" s="206">
        <v>-212.06200000000001</v>
      </c>
      <c r="J140" s="206">
        <v>-212.857</v>
      </c>
      <c r="K140" s="207">
        <v>-539</v>
      </c>
      <c r="L140" s="208">
        <v>-21</v>
      </c>
      <c r="M140" s="206">
        <f>-531-22</f>
        <v>-553</v>
      </c>
      <c r="N140" s="206">
        <f>-2255-48</f>
        <v>-2303</v>
      </c>
      <c r="O140" s="207">
        <v>-2291</v>
      </c>
      <c r="P140" s="208">
        <v>-3</v>
      </c>
      <c r="Q140" s="206">
        <v>-51</v>
      </c>
      <c r="R140" s="206">
        <v>-98</v>
      </c>
      <c r="S140" s="207">
        <v>-166</v>
      </c>
      <c r="T140" s="208">
        <v>-105</v>
      </c>
      <c r="U140" s="206">
        <v>-184</v>
      </c>
      <c r="V140" s="206">
        <v>-359</v>
      </c>
      <c r="W140" s="207">
        <v>-1820</v>
      </c>
      <c r="X140" s="208">
        <v>-25</v>
      </c>
      <c r="Y140" s="206">
        <v>-240</v>
      </c>
      <c r="Z140" s="206">
        <v>-1058</v>
      </c>
      <c r="AA140" s="207">
        <v>-1074</v>
      </c>
      <c r="AB140" s="206">
        <v>-1</v>
      </c>
      <c r="AC140" s="206">
        <v>-5</v>
      </c>
      <c r="AD140" s="206">
        <v>-158</v>
      </c>
      <c r="AE140" s="207">
        <v>-209</v>
      </c>
      <c r="AF140" s="206">
        <v>-1</v>
      </c>
      <c r="AG140" s="206">
        <v>-2</v>
      </c>
      <c r="AH140" s="206">
        <v>-488</v>
      </c>
      <c r="AI140" s="207">
        <v>-489</v>
      </c>
      <c r="AJ140" s="206">
        <v>-1</v>
      </c>
      <c r="AK140" s="206">
        <v>-2</v>
      </c>
      <c r="AL140" s="206">
        <v>-4</v>
      </c>
      <c r="AM140" s="207">
        <f>+AL140-51</f>
        <v>-55</v>
      </c>
      <c r="AN140" s="206">
        <v>-569</v>
      </c>
      <c r="AO140" s="206">
        <f>-1042</f>
        <v>-1042</v>
      </c>
      <c r="AP140" s="206">
        <v>-1043</v>
      </c>
      <c r="AQ140" s="207">
        <v>-1115</v>
      </c>
      <c r="AR140" s="206">
        <v>-1</v>
      </c>
      <c r="AS140" s="206">
        <v>-44</v>
      </c>
      <c r="AT140" s="206">
        <v>-44</v>
      </c>
      <c r="AU140" s="207">
        <v>-44</v>
      </c>
      <c r="AV140" s="206">
        <v>0</v>
      </c>
      <c r="AW140" s="206">
        <v>0</v>
      </c>
      <c r="AX140" s="206">
        <v>681</v>
      </c>
      <c r="AY140" s="207">
        <f>-1113-230</f>
        <v>-1343</v>
      </c>
      <c r="AZ140" s="206">
        <v>0</v>
      </c>
      <c r="BA140" s="206">
        <v>-42</v>
      </c>
      <c r="BB140" s="206">
        <v>-70</v>
      </c>
      <c r="BC140" s="207">
        <v>-110</v>
      </c>
      <c r="BD140" s="1464">
        <f t="shared" si="670"/>
        <v>0</v>
      </c>
      <c r="BE140" s="1464">
        <f t="shared" si="671"/>
        <v>0</v>
      </c>
      <c r="BF140" s="1106">
        <f t="shared" si="672"/>
        <v>0</v>
      </c>
      <c r="BG140" s="204">
        <f t="shared" si="673"/>
        <v>0</v>
      </c>
      <c r="BH140" s="1464">
        <f t="shared" si="674"/>
        <v>0</v>
      </c>
      <c r="BI140" s="1464">
        <f t="shared" si="675"/>
        <v>0</v>
      </c>
      <c r="BJ140" s="1106">
        <f t="shared" si="676"/>
        <v>0</v>
      </c>
      <c r="BK140" s="204">
        <f t="shared" si="677"/>
        <v>0</v>
      </c>
      <c r="BL140" s="179"/>
      <c r="BM140" s="203">
        <f t="shared" ref="BM140:BX140" si="684">BM47</f>
        <v>-316</v>
      </c>
      <c r="BN140" s="203">
        <f t="shared" si="684"/>
        <v>-539</v>
      </c>
      <c r="BO140" s="203">
        <f t="shared" si="684"/>
        <v>-2291</v>
      </c>
      <c r="BP140" s="203">
        <f t="shared" si="684"/>
        <v>-166</v>
      </c>
      <c r="BQ140" s="203">
        <f t="shared" si="684"/>
        <v>-1820</v>
      </c>
      <c r="BR140" s="203">
        <f t="shared" si="684"/>
        <v>-1074</v>
      </c>
      <c r="BS140" s="203">
        <f t="shared" si="684"/>
        <v>-209</v>
      </c>
      <c r="BT140" s="203">
        <f t="shared" si="684"/>
        <v>-489</v>
      </c>
      <c r="BU140" s="203">
        <f t="shared" si="684"/>
        <v>-55</v>
      </c>
      <c r="BV140" s="203">
        <f t="shared" si="684"/>
        <v>-1115</v>
      </c>
      <c r="BW140" s="203">
        <f t="shared" si="684"/>
        <v>-44</v>
      </c>
      <c r="BX140" s="203">
        <f t="shared" si="684"/>
        <v>-1343</v>
      </c>
      <c r="BY140" s="203">
        <f t="shared" ref="BY140" si="685">BY47</f>
        <v>-110</v>
      </c>
      <c r="BZ140" s="203">
        <f t="shared" ref="BZ140:CA140" si="686">BZ47</f>
        <v>0</v>
      </c>
      <c r="CA140" s="203">
        <f t="shared" si="686"/>
        <v>0</v>
      </c>
      <c r="CB140" s="2168">
        <f t="shared" si="680"/>
        <v>0</v>
      </c>
      <c r="CC140" s="20"/>
      <c r="CD140" s="13"/>
    </row>
    <row r="141" spans="1:82" ht="14.25" customHeight="1" outlineLevel="1">
      <c r="A141" s="7"/>
      <c r="B141" s="23" t="s">
        <v>265</v>
      </c>
      <c r="C141" s="24"/>
      <c r="D141" s="208">
        <v>0</v>
      </c>
      <c r="E141" s="206">
        <v>0</v>
      </c>
      <c r="F141" s="206">
        <v>0</v>
      </c>
      <c r="G141" s="207">
        <v>0</v>
      </c>
      <c r="H141" s="208">
        <v>0</v>
      </c>
      <c r="I141" s="206">
        <v>0</v>
      </c>
      <c r="J141" s="206">
        <v>0</v>
      </c>
      <c r="K141" s="207">
        <v>0</v>
      </c>
      <c r="L141" s="208">
        <v>0</v>
      </c>
      <c r="M141" s="206">
        <v>0</v>
      </c>
      <c r="N141" s="206">
        <v>0</v>
      </c>
      <c r="O141" s="207">
        <v>0</v>
      </c>
      <c r="P141" s="208">
        <v>0</v>
      </c>
      <c r="Q141" s="206">
        <v>0</v>
      </c>
      <c r="R141" s="206">
        <v>0</v>
      </c>
      <c r="S141" s="207">
        <f>-19-63</f>
        <v>-82</v>
      </c>
      <c r="T141" s="208">
        <f>1009+1091</f>
        <v>2100</v>
      </c>
      <c r="U141" s="206">
        <f>1009+1091</f>
        <v>2100</v>
      </c>
      <c r="V141" s="206">
        <f>1091+1269</f>
        <v>2360</v>
      </c>
      <c r="W141" s="207">
        <f>1269+1091</f>
        <v>2360</v>
      </c>
      <c r="X141" s="208">
        <v>0</v>
      </c>
      <c r="Y141" s="206">
        <v>0</v>
      </c>
      <c r="Z141" s="206">
        <v>0</v>
      </c>
      <c r="AA141" s="207">
        <v>0</v>
      </c>
      <c r="AB141" s="206">
        <v>0</v>
      </c>
      <c r="AC141" s="206">
        <v>0</v>
      </c>
      <c r="AD141" s="206">
        <v>0</v>
      </c>
      <c r="AE141" s="207">
        <v>0</v>
      </c>
      <c r="AF141" s="206">
        <v>0</v>
      </c>
      <c r="AG141" s="206">
        <v>0</v>
      </c>
      <c r="AH141" s="206">
        <v>0</v>
      </c>
      <c r="AI141" s="207">
        <v>0</v>
      </c>
      <c r="AJ141" s="206">
        <v>0</v>
      </c>
      <c r="AK141" s="206">
        <v>0</v>
      </c>
      <c r="AL141" s="206">
        <v>0</v>
      </c>
      <c r="AM141" s="207">
        <v>0</v>
      </c>
      <c r="AN141" s="206">
        <v>0</v>
      </c>
      <c r="AO141" s="206">
        <v>0</v>
      </c>
      <c r="AP141" s="206">
        <v>0</v>
      </c>
      <c r="AQ141" s="207">
        <v>0</v>
      </c>
      <c r="AR141" s="206">
        <v>0</v>
      </c>
      <c r="AS141" s="206">
        <v>0</v>
      </c>
      <c r="AT141" s="206">
        <v>0</v>
      </c>
      <c r="AU141" s="207">
        <v>0</v>
      </c>
      <c r="AV141" s="206">
        <v>0</v>
      </c>
      <c r="AW141" s="206">
        <v>0</v>
      </c>
      <c r="AX141" s="206">
        <v>0</v>
      </c>
      <c r="AY141" s="207">
        <v>0</v>
      </c>
      <c r="AZ141" s="206">
        <v>0</v>
      </c>
      <c r="BA141" s="206">
        <v>0</v>
      </c>
      <c r="BB141" s="206">
        <v>0</v>
      </c>
      <c r="BC141" s="207">
        <v>0</v>
      </c>
      <c r="BD141" s="1464">
        <f t="shared" si="670"/>
        <v>0</v>
      </c>
      <c r="BE141" s="1464">
        <f t="shared" si="671"/>
        <v>0</v>
      </c>
      <c r="BF141" s="1106">
        <f t="shared" si="672"/>
        <v>0</v>
      </c>
      <c r="BG141" s="204">
        <f t="shared" si="673"/>
        <v>0</v>
      </c>
      <c r="BH141" s="1464">
        <f t="shared" si="674"/>
        <v>0</v>
      </c>
      <c r="BI141" s="1464">
        <f t="shared" si="675"/>
        <v>0</v>
      </c>
      <c r="BJ141" s="1106">
        <f t="shared" si="676"/>
        <v>0</v>
      </c>
      <c r="BK141" s="204">
        <f t="shared" si="677"/>
        <v>0</v>
      </c>
      <c r="BL141" s="179"/>
      <c r="BM141" s="203">
        <f t="shared" ref="BM141:BX141" si="687">BM48</f>
        <v>0</v>
      </c>
      <c r="BN141" s="203">
        <f t="shared" si="687"/>
        <v>0</v>
      </c>
      <c r="BO141" s="203">
        <f t="shared" si="687"/>
        <v>0</v>
      </c>
      <c r="BP141" s="203">
        <f t="shared" si="687"/>
        <v>-82</v>
      </c>
      <c r="BQ141" s="203">
        <f t="shared" si="687"/>
        <v>2360</v>
      </c>
      <c r="BR141" s="203">
        <f t="shared" si="687"/>
        <v>0</v>
      </c>
      <c r="BS141" s="203">
        <f t="shared" si="687"/>
        <v>0</v>
      </c>
      <c r="BT141" s="203">
        <f t="shared" si="687"/>
        <v>0</v>
      </c>
      <c r="BU141" s="203">
        <f t="shared" si="687"/>
        <v>0</v>
      </c>
      <c r="BV141" s="203">
        <f t="shared" si="687"/>
        <v>0</v>
      </c>
      <c r="BW141" s="203">
        <f t="shared" si="687"/>
        <v>0</v>
      </c>
      <c r="BX141" s="203">
        <f t="shared" si="687"/>
        <v>0</v>
      </c>
      <c r="BY141" s="203">
        <f t="shared" ref="BY141" si="688">BY48</f>
        <v>0</v>
      </c>
      <c r="BZ141" s="203">
        <f t="shared" ref="BZ141:CA141" si="689">BZ48</f>
        <v>0</v>
      </c>
      <c r="CA141" s="203">
        <f t="shared" si="689"/>
        <v>0</v>
      </c>
      <c r="CB141" s="2168">
        <f t="shared" si="680"/>
        <v>0</v>
      </c>
      <c r="CC141" s="20"/>
      <c r="CD141" s="13"/>
    </row>
    <row r="142" spans="1:82" ht="14.25" customHeight="1" outlineLevel="1">
      <c r="A142" s="7"/>
      <c r="B142" s="23" t="s">
        <v>251</v>
      </c>
      <c r="C142" s="24"/>
      <c r="D142" s="208">
        <v>35.191000000000003</v>
      </c>
      <c r="E142" s="206">
        <v>53.064999999999998</v>
      </c>
      <c r="F142" s="206">
        <v>120.87</v>
      </c>
      <c r="G142" s="207">
        <v>189</v>
      </c>
      <c r="H142" s="208">
        <f>494.618+160.214</f>
        <v>654.83199999999999</v>
      </c>
      <c r="I142" s="206">
        <f>494.618+192.32</f>
        <v>686.93799999999999</v>
      </c>
      <c r="J142" s="206">
        <f>494.618+213.254</f>
        <v>707.87199999999996</v>
      </c>
      <c r="K142" s="207">
        <f>495+231</f>
        <v>726</v>
      </c>
      <c r="L142" s="208">
        <v>30</v>
      </c>
      <c r="M142" s="206">
        <v>46</v>
      </c>
      <c r="N142" s="206">
        <v>62</v>
      </c>
      <c r="O142" s="207">
        <f>608+78</f>
        <v>686</v>
      </c>
      <c r="P142" s="208">
        <v>0</v>
      </c>
      <c r="Q142" s="206">
        <v>0</v>
      </c>
      <c r="R142" s="206">
        <v>0</v>
      </c>
      <c r="S142" s="207">
        <v>0</v>
      </c>
      <c r="T142" s="208">
        <v>125</v>
      </c>
      <c r="U142" s="206">
        <v>125</v>
      </c>
      <c r="V142" s="206">
        <v>125</v>
      </c>
      <c r="W142" s="207">
        <f>125+2</f>
        <v>127</v>
      </c>
      <c r="X142" s="208">
        <v>3</v>
      </c>
      <c r="Y142" s="206">
        <v>7</v>
      </c>
      <c r="Z142" s="206">
        <v>9</v>
      </c>
      <c r="AA142" s="207">
        <v>15</v>
      </c>
      <c r="AB142" s="206">
        <v>9</v>
      </c>
      <c r="AC142" s="206">
        <v>15</v>
      </c>
      <c r="AD142" s="206">
        <v>17</v>
      </c>
      <c r="AE142" s="207">
        <v>18</v>
      </c>
      <c r="AF142" s="206">
        <v>9</v>
      </c>
      <c r="AG142" s="206">
        <v>12</v>
      </c>
      <c r="AH142" s="206">
        <v>12</v>
      </c>
      <c r="AI142" s="207">
        <v>14</v>
      </c>
      <c r="AJ142" s="206">
        <v>1</v>
      </c>
      <c r="AK142" s="206">
        <v>2</v>
      </c>
      <c r="AL142" s="206">
        <v>3</v>
      </c>
      <c r="AM142" s="207">
        <f>+AL142+1</f>
        <v>4</v>
      </c>
      <c r="AN142" s="206">
        <v>1</v>
      </c>
      <c r="AO142" s="206">
        <v>2</v>
      </c>
      <c r="AP142" s="206">
        <v>4</v>
      </c>
      <c r="AQ142" s="207">
        <v>4</v>
      </c>
      <c r="AR142" s="206">
        <v>0</v>
      </c>
      <c r="AS142" s="206">
        <v>0</v>
      </c>
      <c r="AT142" s="206">
        <v>0</v>
      </c>
      <c r="AU142" s="207">
        <v>5</v>
      </c>
      <c r="AV142" s="206">
        <v>0</v>
      </c>
      <c r="AW142" s="206">
        <v>2</v>
      </c>
      <c r="AX142" s="206">
        <v>668</v>
      </c>
      <c r="AY142" s="207">
        <f>20+667</f>
        <v>687</v>
      </c>
      <c r="AZ142" s="206">
        <v>8</v>
      </c>
      <c r="BA142" s="206">
        <v>10</v>
      </c>
      <c r="BB142" s="206">
        <v>15</v>
      </c>
      <c r="BC142" s="207">
        <v>20</v>
      </c>
      <c r="BD142" s="1464">
        <f t="shared" si="670"/>
        <v>0</v>
      </c>
      <c r="BE142" s="1464">
        <f t="shared" si="671"/>
        <v>0</v>
      </c>
      <c r="BF142" s="1106">
        <f t="shared" si="672"/>
        <v>0</v>
      </c>
      <c r="BG142" s="204">
        <f t="shared" si="673"/>
        <v>0</v>
      </c>
      <c r="BH142" s="1464">
        <f t="shared" si="674"/>
        <v>0</v>
      </c>
      <c r="BI142" s="1464">
        <f t="shared" si="675"/>
        <v>0</v>
      </c>
      <c r="BJ142" s="1106">
        <f t="shared" si="676"/>
        <v>0</v>
      </c>
      <c r="BK142" s="204">
        <f t="shared" si="677"/>
        <v>0</v>
      </c>
      <c r="BL142" s="179"/>
      <c r="BM142" s="203">
        <f t="shared" ref="BM142:BX142" si="690">BM49</f>
        <v>189</v>
      </c>
      <c r="BN142" s="203">
        <f t="shared" si="690"/>
        <v>726</v>
      </c>
      <c r="BO142" s="203">
        <f t="shared" si="690"/>
        <v>686</v>
      </c>
      <c r="BP142" s="203">
        <f t="shared" si="690"/>
        <v>0</v>
      </c>
      <c r="BQ142" s="203">
        <f t="shared" si="690"/>
        <v>127</v>
      </c>
      <c r="BR142" s="203">
        <f t="shared" si="690"/>
        <v>15</v>
      </c>
      <c r="BS142" s="203">
        <f t="shared" si="690"/>
        <v>18</v>
      </c>
      <c r="BT142" s="203">
        <f t="shared" si="690"/>
        <v>14</v>
      </c>
      <c r="BU142" s="203">
        <f t="shared" si="690"/>
        <v>4</v>
      </c>
      <c r="BV142" s="203">
        <f t="shared" si="690"/>
        <v>4</v>
      </c>
      <c r="BW142" s="203">
        <f t="shared" si="690"/>
        <v>5</v>
      </c>
      <c r="BX142" s="203">
        <f t="shared" si="690"/>
        <v>687</v>
      </c>
      <c r="BY142" s="203">
        <f t="shared" ref="BY142" si="691">BY49</f>
        <v>20</v>
      </c>
      <c r="BZ142" s="203">
        <f t="shared" ref="BZ142:CA142" si="692">BZ49</f>
        <v>0</v>
      </c>
      <c r="CA142" s="203">
        <f t="shared" si="692"/>
        <v>0</v>
      </c>
      <c r="CB142" s="2168">
        <f t="shared" si="680"/>
        <v>0</v>
      </c>
      <c r="CC142" s="20"/>
      <c r="CD142" s="13"/>
    </row>
    <row r="143" spans="1:82" ht="14.25" customHeight="1" outlineLevel="1">
      <c r="A143" s="7"/>
      <c r="B143" s="23" t="s">
        <v>264</v>
      </c>
      <c r="C143" s="24"/>
      <c r="D143" s="208">
        <v>0</v>
      </c>
      <c r="E143" s="206">
        <v>0</v>
      </c>
      <c r="F143" s="206">
        <v>0</v>
      </c>
      <c r="G143" s="207">
        <v>0</v>
      </c>
      <c r="H143" s="208">
        <v>0</v>
      </c>
      <c r="I143" s="206">
        <v>0</v>
      </c>
      <c r="J143" s="206">
        <v>0</v>
      </c>
      <c r="K143" s="207">
        <v>0</v>
      </c>
      <c r="L143" s="208">
        <v>0</v>
      </c>
      <c r="M143" s="206">
        <v>0</v>
      </c>
      <c r="N143" s="206">
        <v>0</v>
      </c>
      <c r="O143" s="207">
        <v>0</v>
      </c>
      <c r="P143" s="208">
        <v>0</v>
      </c>
      <c r="Q143" s="206">
        <f>-95-3-38</f>
        <v>-136</v>
      </c>
      <c r="R143" s="206">
        <v>-19</v>
      </c>
      <c r="S143" s="207">
        <v>0</v>
      </c>
      <c r="T143" s="208">
        <f>-158-67-32</f>
        <v>-257</v>
      </c>
      <c r="U143" s="206">
        <f>-158-67-32</f>
        <v>-257</v>
      </c>
      <c r="V143" s="206">
        <f>-158-67-32</f>
        <v>-257</v>
      </c>
      <c r="W143" s="207">
        <f>-158-67-32</f>
        <v>-257</v>
      </c>
      <c r="X143" s="208">
        <v>0</v>
      </c>
      <c r="Y143" s="206">
        <v>0</v>
      </c>
      <c r="Z143" s="206">
        <v>0</v>
      </c>
      <c r="AA143" s="207">
        <v>0</v>
      </c>
      <c r="AB143" s="206">
        <v>0</v>
      </c>
      <c r="AC143" s="206">
        <v>0</v>
      </c>
      <c r="AD143" s="206">
        <v>0</v>
      </c>
      <c r="AE143" s="207">
        <v>0</v>
      </c>
      <c r="AF143" s="206">
        <v>0</v>
      </c>
      <c r="AG143" s="206">
        <v>0</v>
      </c>
      <c r="AH143" s="206">
        <v>0</v>
      </c>
      <c r="AI143" s="207">
        <v>0</v>
      </c>
      <c r="AJ143" s="206">
        <v>0</v>
      </c>
      <c r="AK143" s="206">
        <v>0</v>
      </c>
      <c r="AL143" s="206">
        <v>0</v>
      </c>
      <c r="AM143" s="207">
        <v>0</v>
      </c>
      <c r="AN143" s="206">
        <v>0</v>
      </c>
      <c r="AO143" s="206">
        <v>0</v>
      </c>
      <c r="AP143" s="206">
        <v>0</v>
      </c>
      <c r="AQ143" s="207">
        <v>0</v>
      </c>
      <c r="AR143" s="206">
        <v>0</v>
      </c>
      <c r="AS143" s="206">
        <v>0</v>
      </c>
      <c r="AT143" s="206">
        <v>0</v>
      </c>
      <c r="AU143" s="207">
        <v>0</v>
      </c>
      <c r="AV143" s="206">
        <v>0</v>
      </c>
      <c r="AW143" s="206">
        <v>0</v>
      </c>
      <c r="AX143" s="206">
        <v>0</v>
      </c>
      <c r="AY143" s="207">
        <v>0</v>
      </c>
      <c r="AZ143" s="206">
        <v>0</v>
      </c>
      <c r="BA143" s="206">
        <v>0</v>
      </c>
      <c r="BB143" s="206">
        <v>0</v>
      </c>
      <c r="BC143" s="207">
        <v>0</v>
      </c>
      <c r="BD143" s="1464">
        <f t="shared" si="670"/>
        <v>0</v>
      </c>
      <c r="BE143" s="1464">
        <f t="shared" si="671"/>
        <v>0</v>
      </c>
      <c r="BF143" s="1106">
        <f t="shared" si="672"/>
        <v>0</v>
      </c>
      <c r="BG143" s="204">
        <f t="shared" si="673"/>
        <v>0</v>
      </c>
      <c r="BH143" s="1464">
        <f t="shared" si="674"/>
        <v>0</v>
      </c>
      <c r="BI143" s="1464">
        <f t="shared" si="675"/>
        <v>0</v>
      </c>
      <c r="BJ143" s="1106">
        <f t="shared" si="676"/>
        <v>0</v>
      </c>
      <c r="BK143" s="204">
        <f t="shared" si="677"/>
        <v>0</v>
      </c>
      <c r="BL143" s="179"/>
      <c r="BM143" s="203">
        <f t="shared" ref="BM143:BX143" si="693">BM50</f>
        <v>0</v>
      </c>
      <c r="BN143" s="203">
        <f t="shared" si="693"/>
        <v>0</v>
      </c>
      <c r="BO143" s="203">
        <f t="shared" si="693"/>
        <v>0</v>
      </c>
      <c r="BP143" s="203">
        <f t="shared" si="693"/>
        <v>0</v>
      </c>
      <c r="BQ143" s="203">
        <f t="shared" si="693"/>
        <v>-257</v>
      </c>
      <c r="BR143" s="203">
        <f t="shared" si="693"/>
        <v>0</v>
      </c>
      <c r="BS143" s="203">
        <f t="shared" si="693"/>
        <v>0</v>
      </c>
      <c r="BT143" s="203">
        <f t="shared" si="693"/>
        <v>0</v>
      </c>
      <c r="BU143" s="203">
        <f t="shared" si="693"/>
        <v>0</v>
      </c>
      <c r="BV143" s="203">
        <f t="shared" si="693"/>
        <v>0</v>
      </c>
      <c r="BW143" s="203">
        <f t="shared" si="693"/>
        <v>0</v>
      </c>
      <c r="BX143" s="203">
        <f t="shared" si="693"/>
        <v>0</v>
      </c>
      <c r="BY143" s="203">
        <f t="shared" ref="BY143" si="694">BY50</f>
        <v>0</v>
      </c>
      <c r="BZ143" s="203">
        <f t="shared" ref="BZ143:CA143" si="695">BZ50</f>
        <v>0</v>
      </c>
      <c r="CA143" s="203">
        <f t="shared" si="695"/>
        <v>0</v>
      </c>
      <c r="CB143" s="2168">
        <f t="shared" si="680"/>
        <v>0</v>
      </c>
      <c r="CC143" s="20"/>
      <c r="CD143" s="13"/>
    </row>
    <row r="144" spans="1:82" ht="14.25" customHeight="1" outlineLevel="1">
      <c r="A144" s="7"/>
      <c r="B144" s="23" t="s">
        <v>219</v>
      </c>
      <c r="C144" s="24"/>
      <c r="D144" s="208">
        <v>0</v>
      </c>
      <c r="E144" s="206">
        <v>0</v>
      </c>
      <c r="F144" s="206">
        <v>0</v>
      </c>
      <c r="G144" s="207">
        <v>0</v>
      </c>
      <c r="H144" s="208">
        <v>0</v>
      </c>
      <c r="I144" s="206">
        <v>0</v>
      </c>
      <c r="J144" s="206">
        <v>0</v>
      </c>
      <c r="K144" s="207">
        <v>0</v>
      </c>
      <c r="L144" s="208">
        <v>0</v>
      </c>
      <c r="M144" s="206">
        <v>0</v>
      </c>
      <c r="N144" s="206">
        <v>0</v>
      </c>
      <c r="O144" s="207">
        <v>0</v>
      </c>
      <c r="P144" s="208">
        <v>0</v>
      </c>
      <c r="Q144" s="206">
        <v>0</v>
      </c>
      <c r="R144" s="206">
        <v>0</v>
      </c>
      <c r="S144" s="207">
        <v>0</v>
      </c>
      <c r="T144" s="208">
        <v>0</v>
      </c>
      <c r="U144" s="206">
        <v>0</v>
      </c>
      <c r="V144" s="206">
        <v>0</v>
      </c>
      <c r="W144" s="207">
        <v>0</v>
      </c>
      <c r="X144" s="208">
        <v>0</v>
      </c>
      <c r="Y144" s="206">
        <v>0</v>
      </c>
      <c r="Z144" s="206">
        <v>0</v>
      </c>
      <c r="AA144" s="207">
        <v>0</v>
      </c>
      <c r="AB144" s="206">
        <v>0</v>
      </c>
      <c r="AC144" s="206">
        <v>0</v>
      </c>
      <c r="AD144" s="206">
        <v>0</v>
      </c>
      <c r="AE144" s="207">
        <v>0</v>
      </c>
      <c r="AF144" s="206">
        <v>0</v>
      </c>
      <c r="AG144" s="206">
        <v>0</v>
      </c>
      <c r="AH144" s="206">
        <v>0</v>
      </c>
      <c r="AI144" s="207">
        <v>0</v>
      </c>
      <c r="AJ144" s="206">
        <v>0</v>
      </c>
      <c r="AK144" s="206">
        <v>0</v>
      </c>
      <c r="AL144" s="206">
        <v>0</v>
      </c>
      <c r="AM144" s="207">
        <v>0</v>
      </c>
      <c r="AN144" s="206">
        <v>0</v>
      </c>
      <c r="AO144" s="206">
        <v>0</v>
      </c>
      <c r="AP144" s="206">
        <v>0</v>
      </c>
      <c r="AQ144" s="207">
        <v>0</v>
      </c>
      <c r="AR144" s="206">
        <v>0</v>
      </c>
      <c r="AS144" s="206">
        <v>0</v>
      </c>
      <c r="AT144" s="206">
        <v>0</v>
      </c>
      <c r="AU144" s="207">
        <v>0</v>
      </c>
      <c r="AV144" s="206">
        <v>0</v>
      </c>
      <c r="AW144" s="206">
        <v>0</v>
      </c>
      <c r="AX144" s="206">
        <v>0</v>
      </c>
      <c r="AY144" s="207">
        <v>0</v>
      </c>
      <c r="AZ144" s="206">
        <v>0</v>
      </c>
      <c r="BA144" s="206">
        <v>0</v>
      </c>
      <c r="BB144" s="206">
        <v>0</v>
      </c>
      <c r="BC144" s="207">
        <v>0</v>
      </c>
      <c r="BD144" s="1464">
        <f t="shared" si="670"/>
        <v>0</v>
      </c>
      <c r="BE144" s="1464">
        <f t="shared" si="671"/>
        <v>0</v>
      </c>
      <c r="BF144" s="1106">
        <f t="shared" si="672"/>
        <v>0</v>
      </c>
      <c r="BG144" s="204">
        <f t="shared" si="673"/>
        <v>0</v>
      </c>
      <c r="BH144" s="1464">
        <f t="shared" si="674"/>
        <v>0</v>
      </c>
      <c r="BI144" s="1464">
        <f t="shared" si="675"/>
        <v>0</v>
      </c>
      <c r="BJ144" s="1106">
        <f t="shared" si="676"/>
        <v>0</v>
      </c>
      <c r="BK144" s="204">
        <f t="shared" si="677"/>
        <v>0</v>
      </c>
      <c r="BL144" s="179"/>
      <c r="BM144" s="203">
        <f t="shared" ref="BM144:BX144" si="696">BM51</f>
        <v>0</v>
      </c>
      <c r="BN144" s="203">
        <f t="shared" si="696"/>
        <v>0</v>
      </c>
      <c r="BO144" s="203">
        <f t="shared" si="696"/>
        <v>0</v>
      </c>
      <c r="BP144" s="203">
        <f t="shared" si="696"/>
        <v>0</v>
      </c>
      <c r="BQ144" s="203">
        <f t="shared" si="696"/>
        <v>0</v>
      </c>
      <c r="BR144" s="203">
        <f t="shared" si="696"/>
        <v>0</v>
      </c>
      <c r="BS144" s="203">
        <f t="shared" si="696"/>
        <v>0</v>
      </c>
      <c r="BT144" s="203">
        <f t="shared" si="696"/>
        <v>0</v>
      </c>
      <c r="BU144" s="203">
        <f t="shared" si="696"/>
        <v>0</v>
      </c>
      <c r="BV144" s="203">
        <f t="shared" si="696"/>
        <v>0</v>
      </c>
      <c r="BW144" s="203">
        <f t="shared" si="696"/>
        <v>0</v>
      </c>
      <c r="BX144" s="203">
        <f t="shared" si="696"/>
        <v>0</v>
      </c>
      <c r="BY144" s="203">
        <f t="shared" ref="BY144" si="697">BY51</f>
        <v>0</v>
      </c>
      <c r="BZ144" s="203">
        <f t="shared" ref="BZ144:CA144" si="698">BZ51</f>
        <v>0</v>
      </c>
      <c r="CA144" s="203">
        <f t="shared" si="698"/>
        <v>0</v>
      </c>
      <c r="CB144" s="2168">
        <f t="shared" si="680"/>
        <v>0</v>
      </c>
      <c r="CC144" s="20"/>
      <c r="CD144" s="13"/>
    </row>
    <row r="145" spans="1:88" ht="14.25" customHeight="1" outlineLevel="1">
      <c r="A145" s="7"/>
      <c r="B145" s="23" t="s">
        <v>218</v>
      </c>
      <c r="C145" s="24"/>
      <c r="D145" s="208">
        <v>0</v>
      </c>
      <c r="E145" s="206">
        <v>0</v>
      </c>
      <c r="F145" s="206">
        <v>0</v>
      </c>
      <c r="G145" s="207">
        <v>0</v>
      </c>
      <c r="H145" s="208">
        <v>0</v>
      </c>
      <c r="I145" s="206">
        <v>0</v>
      </c>
      <c r="J145" s="206">
        <v>0</v>
      </c>
      <c r="K145" s="207">
        <v>0</v>
      </c>
      <c r="L145" s="208">
        <v>0</v>
      </c>
      <c r="M145" s="206">
        <v>0</v>
      </c>
      <c r="N145" s="206">
        <v>0</v>
      </c>
      <c r="O145" s="207">
        <v>0</v>
      </c>
      <c r="P145" s="208">
        <v>0</v>
      </c>
      <c r="Q145" s="206">
        <v>0</v>
      </c>
      <c r="R145" s="206">
        <v>0</v>
      </c>
      <c r="S145" s="207">
        <v>0</v>
      </c>
      <c r="T145" s="208">
        <v>0</v>
      </c>
      <c r="U145" s="206">
        <v>0</v>
      </c>
      <c r="V145" s="206">
        <v>0</v>
      </c>
      <c r="W145" s="207">
        <v>0</v>
      </c>
      <c r="X145" s="208">
        <v>0</v>
      </c>
      <c r="Y145" s="206">
        <v>0</v>
      </c>
      <c r="Z145" s="206">
        <v>0</v>
      </c>
      <c r="AA145" s="207">
        <v>0</v>
      </c>
      <c r="AB145" s="206">
        <v>0</v>
      </c>
      <c r="AC145" s="206">
        <v>0</v>
      </c>
      <c r="AD145" s="206">
        <v>0</v>
      </c>
      <c r="AE145" s="207">
        <v>0</v>
      </c>
      <c r="AF145" s="206">
        <v>0</v>
      </c>
      <c r="AG145" s="206">
        <v>0</v>
      </c>
      <c r="AH145" s="206">
        <v>0</v>
      </c>
      <c r="AI145" s="207">
        <v>0</v>
      </c>
      <c r="AJ145" s="206">
        <v>0</v>
      </c>
      <c r="AK145" s="206">
        <v>0</v>
      </c>
      <c r="AL145" s="206">
        <v>0</v>
      </c>
      <c r="AM145" s="207">
        <v>0</v>
      </c>
      <c r="AN145" s="206">
        <v>0</v>
      </c>
      <c r="AO145" s="206">
        <v>0</v>
      </c>
      <c r="AP145" s="206">
        <v>0</v>
      </c>
      <c r="AQ145" s="207">
        <v>0</v>
      </c>
      <c r="AR145" s="206">
        <v>0</v>
      </c>
      <c r="AS145" s="206">
        <v>0</v>
      </c>
      <c r="AT145" s="206">
        <v>0</v>
      </c>
      <c r="AU145" s="207">
        <v>0</v>
      </c>
      <c r="AV145" s="206">
        <v>0</v>
      </c>
      <c r="AW145" s="206">
        <v>0</v>
      </c>
      <c r="AX145" s="206">
        <v>0</v>
      </c>
      <c r="AY145" s="207">
        <v>0</v>
      </c>
      <c r="AZ145" s="206">
        <v>0</v>
      </c>
      <c r="BA145" s="206">
        <v>0</v>
      </c>
      <c r="BB145" s="206">
        <v>0</v>
      </c>
      <c r="BC145" s="207">
        <v>0</v>
      </c>
      <c r="BD145" s="1464">
        <f t="shared" si="670"/>
        <v>0</v>
      </c>
      <c r="BE145" s="1464">
        <f t="shared" si="671"/>
        <v>0</v>
      </c>
      <c r="BF145" s="1106">
        <f t="shared" si="672"/>
        <v>0</v>
      </c>
      <c r="BG145" s="204">
        <f t="shared" si="673"/>
        <v>0</v>
      </c>
      <c r="BH145" s="1464">
        <f t="shared" si="674"/>
        <v>0</v>
      </c>
      <c r="BI145" s="1464">
        <f t="shared" si="675"/>
        <v>0</v>
      </c>
      <c r="BJ145" s="1106">
        <f t="shared" si="676"/>
        <v>0</v>
      </c>
      <c r="BK145" s="204">
        <f t="shared" si="677"/>
        <v>0</v>
      </c>
      <c r="BL145" s="179"/>
      <c r="BM145" s="203">
        <f t="shared" ref="BM145:BX145" si="699">BM52</f>
        <v>0</v>
      </c>
      <c r="BN145" s="203">
        <f t="shared" si="699"/>
        <v>0</v>
      </c>
      <c r="BO145" s="203">
        <f t="shared" si="699"/>
        <v>0</v>
      </c>
      <c r="BP145" s="203">
        <f t="shared" si="699"/>
        <v>0</v>
      </c>
      <c r="BQ145" s="203">
        <f t="shared" si="699"/>
        <v>0</v>
      </c>
      <c r="BR145" s="203">
        <f t="shared" si="699"/>
        <v>0</v>
      </c>
      <c r="BS145" s="203">
        <f t="shared" si="699"/>
        <v>0</v>
      </c>
      <c r="BT145" s="203">
        <f t="shared" si="699"/>
        <v>0</v>
      </c>
      <c r="BU145" s="203">
        <f t="shared" si="699"/>
        <v>0</v>
      </c>
      <c r="BV145" s="203">
        <f t="shared" si="699"/>
        <v>0</v>
      </c>
      <c r="BW145" s="203">
        <f t="shared" si="699"/>
        <v>0</v>
      </c>
      <c r="BX145" s="203">
        <f t="shared" si="699"/>
        <v>0</v>
      </c>
      <c r="BY145" s="203">
        <f t="shared" ref="BY145" si="700">BY52</f>
        <v>0</v>
      </c>
      <c r="BZ145" s="203">
        <f t="shared" ref="BZ145:CA145" si="701">BZ52</f>
        <v>0</v>
      </c>
      <c r="CA145" s="203">
        <f t="shared" si="701"/>
        <v>0</v>
      </c>
      <c r="CB145" s="2168">
        <f t="shared" si="680"/>
        <v>0</v>
      </c>
      <c r="CC145" s="20"/>
      <c r="CD145" s="13"/>
    </row>
    <row r="146" spans="1:88" ht="14.25" customHeight="1" outlineLevel="1">
      <c r="A146" s="10"/>
      <c r="B146" s="23" t="s">
        <v>159</v>
      </c>
      <c r="C146" s="24"/>
      <c r="D146" s="208">
        <f>99.043+78.145</f>
        <v>177.18799999999999</v>
      </c>
      <c r="E146" s="206">
        <f>50.528+159.932+78.145+54.401</f>
        <v>343.00599999999997</v>
      </c>
      <c r="F146" s="206">
        <f>77.489+159.932+78.145+54.401-8.013</f>
        <v>361.95400000000001</v>
      </c>
      <c r="G146" s="207">
        <f>-7+163+129+90</f>
        <v>375</v>
      </c>
      <c r="H146" s="208">
        <v>105.435</v>
      </c>
      <c r="I146" s="206">
        <v>201.44200000000001</v>
      </c>
      <c r="J146" s="206">
        <f>201.78-2.914</f>
        <v>198.86600000000001</v>
      </c>
      <c r="K146" s="207">
        <v>210</v>
      </c>
      <c r="L146" s="208">
        <v>153</v>
      </c>
      <c r="M146" s="206">
        <f>-182+156</f>
        <v>-26</v>
      </c>
      <c r="N146" s="206">
        <f>-182+210</f>
        <v>28</v>
      </c>
      <c r="O146" s="207">
        <f>-2-182+223-46</f>
        <v>-7</v>
      </c>
      <c r="P146" s="208">
        <f>141+16</f>
        <v>157</v>
      </c>
      <c r="Q146" s="206">
        <f>146+16</f>
        <v>162</v>
      </c>
      <c r="R146" s="206">
        <f>15+154-38</f>
        <v>131</v>
      </c>
      <c r="S146" s="207">
        <f>-1+161</f>
        <v>160</v>
      </c>
      <c r="T146" s="208">
        <v>34</v>
      </c>
      <c r="U146" s="206">
        <v>39</v>
      </c>
      <c r="V146" s="206">
        <f>-1+40</f>
        <v>39</v>
      </c>
      <c r="W146" s="207">
        <f>-1+55</f>
        <v>54</v>
      </c>
      <c r="X146" s="208">
        <v>0</v>
      </c>
      <c r="Y146" s="206">
        <v>11</v>
      </c>
      <c r="Z146" s="206">
        <f>-3+11</f>
        <v>8</v>
      </c>
      <c r="AA146" s="207">
        <f>4+19</f>
        <v>23</v>
      </c>
      <c r="AB146" s="206">
        <f>-2+7</f>
        <v>5</v>
      </c>
      <c r="AC146" s="206">
        <f>-4+10</f>
        <v>6</v>
      </c>
      <c r="AD146" s="206">
        <f>-5+10</f>
        <v>5</v>
      </c>
      <c r="AE146" s="207">
        <f>20-5</f>
        <v>15</v>
      </c>
      <c r="AF146" s="206">
        <v>9</v>
      </c>
      <c r="AG146" s="206">
        <f>12-1</f>
        <v>11</v>
      </c>
      <c r="AH146" s="206">
        <f>-1+18</f>
        <v>17</v>
      </c>
      <c r="AI146" s="207">
        <f>23-2</f>
        <v>21</v>
      </c>
      <c r="AJ146" s="206">
        <v>0</v>
      </c>
      <c r="AK146" s="206">
        <v>2</v>
      </c>
      <c r="AL146" s="206">
        <f>6-1</f>
        <v>5</v>
      </c>
      <c r="AM146" s="207">
        <f>+AL146-1+5</f>
        <v>9</v>
      </c>
      <c r="AN146" s="206">
        <v>-1</v>
      </c>
      <c r="AO146" s="206">
        <f>-2+2</f>
        <v>0</v>
      </c>
      <c r="AP146" s="206">
        <f>-6+5</f>
        <v>-1</v>
      </c>
      <c r="AQ146" s="207">
        <f>8-6</f>
        <v>2</v>
      </c>
      <c r="AR146" s="206">
        <f>4-1</f>
        <v>3</v>
      </c>
      <c r="AS146" s="206">
        <f>-2+4+1</f>
        <v>3</v>
      </c>
      <c r="AT146" s="206">
        <f>8-4+1</f>
        <v>5</v>
      </c>
      <c r="AU146" s="207">
        <v>-2</v>
      </c>
      <c r="AV146" s="206">
        <v>-1</v>
      </c>
      <c r="AW146" s="206">
        <v>-2</v>
      </c>
      <c r="AX146" s="206">
        <f>-5+12</f>
        <v>7</v>
      </c>
      <c r="AY146" s="207">
        <v>-4</v>
      </c>
      <c r="AZ146" s="206">
        <v>-5</v>
      </c>
      <c r="BA146" s="206">
        <v>-11</v>
      </c>
      <c r="BB146" s="206">
        <v>-14</v>
      </c>
      <c r="BC146" s="207">
        <v>-13</v>
      </c>
      <c r="BD146" s="1464">
        <f>-8-SUM(BD138:BD145)</f>
        <v>-8</v>
      </c>
      <c r="BE146" s="1464">
        <f t="shared" si="671"/>
        <v>-8</v>
      </c>
      <c r="BF146" s="1106">
        <f t="shared" si="672"/>
        <v>-8</v>
      </c>
      <c r="BG146" s="204">
        <f t="shared" si="673"/>
        <v>-8</v>
      </c>
      <c r="BH146" s="1464">
        <f t="shared" si="674"/>
        <v>0</v>
      </c>
      <c r="BI146" s="1464">
        <f t="shared" si="675"/>
        <v>0</v>
      </c>
      <c r="BJ146" s="1106">
        <f t="shared" si="676"/>
        <v>0</v>
      </c>
      <c r="BK146" s="204">
        <f t="shared" si="677"/>
        <v>0</v>
      </c>
      <c r="BL146" s="179"/>
      <c r="BM146" s="203">
        <f t="shared" ref="BM146:BX146" si="702">BM53</f>
        <v>375</v>
      </c>
      <c r="BN146" s="203">
        <f t="shared" si="702"/>
        <v>210</v>
      </c>
      <c r="BO146" s="203">
        <f t="shared" si="702"/>
        <v>-7</v>
      </c>
      <c r="BP146" s="203">
        <f t="shared" si="702"/>
        <v>160</v>
      </c>
      <c r="BQ146" s="203">
        <f t="shared" si="702"/>
        <v>54</v>
      </c>
      <c r="BR146" s="203">
        <f t="shared" si="702"/>
        <v>23</v>
      </c>
      <c r="BS146" s="203">
        <f t="shared" si="702"/>
        <v>15</v>
      </c>
      <c r="BT146" s="203">
        <f t="shared" si="702"/>
        <v>21</v>
      </c>
      <c r="BU146" s="203">
        <f t="shared" si="702"/>
        <v>9</v>
      </c>
      <c r="BV146" s="203">
        <f t="shared" si="702"/>
        <v>2</v>
      </c>
      <c r="BW146" s="203">
        <f t="shared" si="702"/>
        <v>-2</v>
      </c>
      <c r="BX146" s="203">
        <f t="shared" si="702"/>
        <v>-4</v>
      </c>
      <c r="BY146" s="203">
        <f t="shared" ref="BY146" si="703">BY53</f>
        <v>-13</v>
      </c>
      <c r="BZ146" s="203">
        <f t="shared" ref="BZ146:CA146" si="704">BZ53</f>
        <v>-8</v>
      </c>
      <c r="CA146" s="203">
        <f t="shared" si="704"/>
        <v>0</v>
      </c>
      <c r="CB146" s="2168">
        <f t="shared" si="680"/>
        <v>0</v>
      </c>
      <c r="CC146" s="21"/>
      <c r="CD146" s="69"/>
    </row>
    <row r="147" spans="1:88" ht="14.25" customHeight="1" outlineLevel="1" thickBot="1">
      <c r="A147" s="7"/>
      <c r="B147" s="209" t="s">
        <v>137</v>
      </c>
      <c r="C147" s="210"/>
      <c r="D147" s="212">
        <f t="shared" ref="D147:AM147" si="705">SUM(D138:D146)</f>
        <v>158.047</v>
      </c>
      <c r="E147" s="211">
        <f t="shared" si="705"/>
        <v>331.84799999999996</v>
      </c>
      <c r="F147" s="211">
        <f t="shared" si="705"/>
        <v>391.38200000000001</v>
      </c>
      <c r="G147" s="213">
        <f t="shared" si="705"/>
        <v>494</v>
      </c>
      <c r="H147" s="212">
        <f t="shared" si="705"/>
        <v>549.0619999999999</v>
      </c>
      <c r="I147" s="211">
        <f t="shared" si="705"/>
        <v>676.31799999999998</v>
      </c>
      <c r="J147" s="211">
        <f t="shared" si="705"/>
        <v>693.88099999999997</v>
      </c>
      <c r="K147" s="213">
        <f t="shared" si="705"/>
        <v>3763</v>
      </c>
      <c r="L147" s="212">
        <f t="shared" si="705"/>
        <v>162</v>
      </c>
      <c r="M147" s="211">
        <f t="shared" si="705"/>
        <v>1636</v>
      </c>
      <c r="N147" s="211">
        <f t="shared" si="705"/>
        <v>1436</v>
      </c>
      <c r="O147" s="213">
        <f t="shared" si="705"/>
        <v>2037</v>
      </c>
      <c r="P147" s="212">
        <f t="shared" si="705"/>
        <v>154</v>
      </c>
      <c r="Q147" s="211">
        <f t="shared" si="705"/>
        <v>40</v>
      </c>
      <c r="R147" s="211">
        <f t="shared" si="705"/>
        <v>196</v>
      </c>
      <c r="S147" s="213">
        <f t="shared" si="705"/>
        <v>220</v>
      </c>
      <c r="T147" s="212">
        <f t="shared" si="705"/>
        <v>2039</v>
      </c>
      <c r="U147" s="211">
        <f t="shared" si="705"/>
        <v>2077</v>
      </c>
      <c r="V147" s="211">
        <f t="shared" si="705"/>
        <v>2307</v>
      </c>
      <c r="W147" s="213">
        <f t="shared" si="705"/>
        <v>1524</v>
      </c>
      <c r="X147" s="212">
        <f t="shared" si="705"/>
        <v>177</v>
      </c>
      <c r="Y147" s="211">
        <f t="shared" si="705"/>
        <v>201</v>
      </c>
      <c r="Z147" s="211">
        <f t="shared" si="705"/>
        <v>182</v>
      </c>
      <c r="AA147" s="213">
        <f t="shared" si="705"/>
        <v>484</v>
      </c>
      <c r="AB147" s="211">
        <f t="shared" si="705"/>
        <v>178</v>
      </c>
      <c r="AC147" s="211">
        <f t="shared" si="705"/>
        <v>186</v>
      </c>
      <c r="AD147" s="211">
        <f t="shared" si="705"/>
        <v>34</v>
      </c>
      <c r="AE147" s="213">
        <f t="shared" si="705"/>
        <v>-6</v>
      </c>
      <c r="AF147" s="211">
        <f t="shared" si="705"/>
        <v>17</v>
      </c>
      <c r="AG147" s="211">
        <f t="shared" si="705"/>
        <v>21</v>
      </c>
      <c r="AH147" s="211">
        <f t="shared" si="705"/>
        <v>32</v>
      </c>
      <c r="AI147" s="213">
        <f t="shared" si="705"/>
        <v>37</v>
      </c>
      <c r="AJ147" s="211">
        <f t="shared" si="705"/>
        <v>0</v>
      </c>
      <c r="AK147" s="211">
        <f t="shared" si="705"/>
        <v>2</v>
      </c>
      <c r="AL147" s="211">
        <f t="shared" si="705"/>
        <v>4</v>
      </c>
      <c r="AM147" s="213">
        <f t="shared" si="705"/>
        <v>13</v>
      </c>
      <c r="AN147" s="211">
        <f t="shared" ref="AN147:AU147" si="706">SUM(AN138:AN146)</f>
        <v>20</v>
      </c>
      <c r="AO147" s="211">
        <f t="shared" si="706"/>
        <v>40</v>
      </c>
      <c r="AP147" s="211">
        <f t="shared" si="706"/>
        <v>40</v>
      </c>
      <c r="AQ147" s="213">
        <f t="shared" si="706"/>
        <v>46</v>
      </c>
      <c r="AR147" s="211">
        <f t="shared" si="706"/>
        <v>60</v>
      </c>
      <c r="AS147" s="211">
        <f t="shared" si="706"/>
        <v>59</v>
      </c>
      <c r="AT147" s="211">
        <f t="shared" si="706"/>
        <v>61</v>
      </c>
      <c r="AU147" s="213">
        <f t="shared" si="706"/>
        <v>59</v>
      </c>
      <c r="AV147" s="211">
        <f t="shared" ref="AV147:AY147" si="707">SUM(AV138:AV146)</f>
        <v>-1</v>
      </c>
      <c r="AW147" s="211">
        <f t="shared" si="707"/>
        <v>-4</v>
      </c>
      <c r="AX147" s="211">
        <f t="shared" si="707"/>
        <v>278</v>
      </c>
      <c r="AY147" s="213">
        <f t="shared" si="707"/>
        <v>122</v>
      </c>
      <c r="AZ147" s="211">
        <f t="shared" ref="AZ147:BC147" si="708">SUM(AZ138:AZ146)</f>
        <v>3</v>
      </c>
      <c r="BA147" s="211">
        <f t="shared" si="708"/>
        <v>-1</v>
      </c>
      <c r="BB147" s="211">
        <f t="shared" si="708"/>
        <v>1</v>
      </c>
      <c r="BC147" s="213">
        <f t="shared" si="708"/>
        <v>-33</v>
      </c>
      <c r="BD147" s="1467">
        <f t="shared" ref="BD147:BG147" si="709">SUM(BD138:BD146)</f>
        <v>-8</v>
      </c>
      <c r="BE147" s="1467">
        <f t="shared" si="709"/>
        <v>-8</v>
      </c>
      <c r="BF147" s="1107">
        <f t="shared" si="709"/>
        <v>-8</v>
      </c>
      <c r="BG147" s="213">
        <f t="shared" si="709"/>
        <v>-8</v>
      </c>
      <c r="BH147" s="1467">
        <f t="shared" ref="BH147:BK147" si="710">SUM(BH138:BH146)</f>
        <v>0</v>
      </c>
      <c r="BI147" s="1467">
        <f t="shared" si="710"/>
        <v>0</v>
      </c>
      <c r="BJ147" s="1107">
        <f t="shared" si="710"/>
        <v>0</v>
      </c>
      <c r="BK147" s="213">
        <f t="shared" si="710"/>
        <v>0</v>
      </c>
      <c r="BL147" s="179"/>
      <c r="BM147" s="211">
        <f t="shared" ref="BM147:BS147" si="711">SUM(BM138:BM146)</f>
        <v>494</v>
      </c>
      <c r="BN147" s="211">
        <f t="shared" si="711"/>
        <v>3763</v>
      </c>
      <c r="BO147" s="211">
        <f t="shared" si="711"/>
        <v>2037</v>
      </c>
      <c r="BP147" s="211">
        <f t="shared" si="711"/>
        <v>220</v>
      </c>
      <c r="BQ147" s="211">
        <f t="shared" si="711"/>
        <v>1524</v>
      </c>
      <c r="BR147" s="211">
        <f t="shared" si="711"/>
        <v>484</v>
      </c>
      <c r="BS147" s="211">
        <f t="shared" si="711"/>
        <v>-6</v>
      </c>
      <c r="BT147" s="211">
        <f t="shared" ref="BT147:BX147" si="712">SUM(BT138:BT146)</f>
        <v>37</v>
      </c>
      <c r="BU147" s="211">
        <f t="shared" si="712"/>
        <v>13</v>
      </c>
      <c r="BV147" s="211">
        <f t="shared" si="712"/>
        <v>46</v>
      </c>
      <c r="BW147" s="211">
        <f t="shared" si="712"/>
        <v>59</v>
      </c>
      <c r="BX147" s="211">
        <f t="shared" si="712"/>
        <v>122</v>
      </c>
      <c r="BY147" s="211">
        <f t="shared" ref="BY147" si="713">SUM(BY138:BY146)</f>
        <v>-33</v>
      </c>
      <c r="BZ147" s="211">
        <f t="shared" ref="BZ147:CB147" si="714">SUM(BZ138:BZ146)</f>
        <v>-8</v>
      </c>
      <c r="CA147" s="211">
        <f t="shared" si="714"/>
        <v>0</v>
      </c>
      <c r="CB147" s="2169">
        <f t="shared" si="714"/>
        <v>0</v>
      </c>
      <c r="CC147" s="20"/>
      <c r="CD147" s="13"/>
    </row>
    <row r="148" spans="1:88" ht="14.25" customHeight="1" outlineLevel="1" thickTop="1">
      <c r="A148" s="7"/>
      <c r="B148" s="42"/>
      <c r="C148" s="43"/>
      <c r="D148" s="218"/>
      <c r="E148" s="217"/>
      <c r="F148" s="217"/>
      <c r="G148" s="219"/>
      <c r="H148" s="218"/>
      <c r="I148" s="217"/>
      <c r="J148" s="217"/>
      <c r="K148" s="219"/>
      <c r="L148" s="218"/>
      <c r="M148" s="217"/>
      <c r="N148" s="217"/>
      <c r="O148" s="219"/>
      <c r="P148" s="218"/>
      <c r="Q148" s="217"/>
      <c r="R148" s="217"/>
      <c r="S148" s="219"/>
      <c r="T148" s="218"/>
      <c r="U148" s="217"/>
      <c r="V148" s="217"/>
      <c r="W148" s="219"/>
      <c r="X148" s="218"/>
      <c r="Y148" s="217"/>
      <c r="Z148" s="217"/>
      <c r="AA148" s="219"/>
      <c r="AB148" s="217"/>
      <c r="AC148" s="217"/>
      <c r="AD148" s="217"/>
      <c r="AE148" s="219"/>
      <c r="AF148" s="217"/>
      <c r="AG148" s="217"/>
      <c r="AH148" s="217"/>
      <c r="AI148" s="219"/>
      <c r="AJ148" s="217"/>
      <c r="AK148" s="217"/>
      <c r="AL148" s="217"/>
      <c r="AM148" s="219"/>
      <c r="AN148" s="217"/>
      <c r="AO148" s="217"/>
      <c r="AP148" s="217"/>
      <c r="AQ148" s="219"/>
      <c r="AR148" s="217"/>
      <c r="AS148" s="217"/>
      <c r="AT148" s="217"/>
      <c r="AU148" s="219"/>
      <c r="AV148" s="217"/>
      <c r="AW148" s="217"/>
      <c r="AX148" s="217"/>
      <c r="AY148" s="219"/>
      <c r="AZ148" s="217"/>
      <c r="BA148" s="217"/>
      <c r="BB148" s="217"/>
      <c r="BC148" s="219"/>
      <c r="BD148" s="1468"/>
      <c r="BE148" s="1468"/>
      <c r="BF148" s="1108"/>
      <c r="BG148" s="219"/>
      <c r="BH148" s="1468"/>
      <c r="BI148" s="1468"/>
      <c r="BJ148" s="1108"/>
      <c r="BK148" s="219"/>
      <c r="BL148" s="179"/>
      <c r="BM148" s="217"/>
      <c r="BN148" s="217"/>
      <c r="BO148" s="217"/>
      <c r="BP148" s="217"/>
      <c r="BQ148" s="217"/>
      <c r="BR148" s="217"/>
      <c r="BS148" s="217"/>
      <c r="BT148" s="217"/>
      <c r="BU148" s="217"/>
      <c r="BV148" s="217"/>
      <c r="BW148" s="217"/>
      <c r="BX148" s="217"/>
      <c r="BY148" s="217"/>
      <c r="BZ148" s="217"/>
      <c r="CA148" s="217"/>
      <c r="CB148" s="2171"/>
      <c r="CC148" s="20"/>
      <c r="CD148" s="13"/>
    </row>
    <row r="149" spans="1:88" ht="14.25" customHeight="1" outlineLevel="1">
      <c r="A149" s="7"/>
      <c r="B149" s="42" t="s">
        <v>138</v>
      </c>
      <c r="C149" s="43"/>
      <c r="D149" s="208">
        <v>3.8450000000000002</v>
      </c>
      <c r="E149" s="206">
        <v>1.3280000000000001</v>
      </c>
      <c r="F149" s="206">
        <v>-4.2359999999999998</v>
      </c>
      <c r="G149" s="207">
        <v>7.2279999999999998</v>
      </c>
      <c r="H149" s="208">
        <v>5.4950000000000001</v>
      </c>
      <c r="I149" s="206">
        <v>0</v>
      </c>
      <c r="J149" s="206">
        <v>0</v>
      </c>
      <c r="K149" s="207">
        <v>0</v>
      </c>
      <c r="L149" s="208">
        <v>0</v>
      </c>
      <c r="M149" s="206">
        <v>0</v>
      </c>
      <c r="N149" s="206">
        <v>0</v>
      </c>
      <c r="O149" s="207">
        <v>0</v>
      </c>
      <c r="P149" s="208">
        <v>0</v>
      </c>
      <c r="Q149" s="206">
        <v>0</v>
      </c>
      <c r="R149" s="206">
        <v>0</v>
      </c>
      <c r="S149" s="207">
        <v>0</v>
      </c>
      <c r="T149" s="208">
        <v>0</v>
      </c>
      <c r="U149" s="206">
        <v>0</v>
      </c>
      <c r="V149" s="206">
        <v>0</v>
      </c>
      <c r="W149" s="207">
        <v>0</v>
      </c>
      <c r="X149" s="208">
        <v>0</v>
      </c>
      <c r="Y149" s="206">
        <v>0</v>
      </c>
      <c r="Z149" s="206">
        <v>0</v>
      </c>
      <c r="AA149" s="207">
        <v>0</v>
      </c>
      <c r="AB149" s="206">
        <v>0</v>
      </c>
      <c r="AC149" s="206">
        <v>0</v>
      </c>
      <c r="AD149" s="206">
        <v>0</v>
      </c>
      <c r="AE149" s="207">
        <v>0</v>
      </c>
      <c r="AF149" s="206">
        <v>0</v>
      </c>
      <c r="AG149" s="206">
        <v>0</v>
      </c>
      <c r="AH149" s="206">
        <v>0</v>
      </c>
      <c r="AI149" s="207">
        <v>0</v>
      </c>
      <c r="AJ149" s="206">
        <v>0</v>
      </c>
      <c r="AK149" s="206">
        <v>0</v>
      </c>
      <c r="AL149" s="206">
        <v>0</v>
      </c>
      <c r="AM149" s="207">
        <v>0</v>
      </c>
      <c r="AN149" s="206">
        <v>0</v>
      </c>
      <c r="AO149" s="206">
        <v>0</v>
      </c>
      <c r="AP149" s="206">
        <v>0</v>
      </c>
      <c r="AQ149" s="207">
        <v>0</v>
      </c>
      <c r="AR149" s="206">
        <v>0</v>
      </c>
      <c r="AS149" s="206">
        <v>0</v>
      </c>
      <c r="AT149" s="206">
        <v>0</v>
      </c>
      <c r="AU149" s="207">
        <v>0</v>
      </c>
      <c r="AV149" s="206">
        <v>0</v>
      </c>
      <c r="AW149" s="206">
        <v>0</v>
      </c>
      <c r="AX149" s="206">
        <v>0</v>
      </c>
      <c r="AY149" s="207">
        <v>0</v>
      </c>
      <c r="AZ149" s="206">
        <v>0</v>
      </c>
      <c r="BA149" s="206">
        <v>0</v>
      </c>
      <c r="BB149" s="206">
        <v>0</v>
      </c>
      <c r="BC149" s="207">
        <v>0</v>
      </c>
      <c r="BD149" s="1464">
        <f t="shared" ref="BD149" si="715">BD56</f>
        <v>0</v>
      </c>
      <c r="BE149" s="1464">
        <f t="shared" ref="BE149" si="716">BD149+BE56</f>
        <v>0</v>
      </c>
      <c r="BF149" s="1106">
        <f t="shared" ref="BF149" si="717">BE149+BF56</f>
        <v>0</v>
      </c>
      <c r="BG149" s="204">
        <f t="shared" ref="BG149" si="718">BF149+BG56</f>
        <v>0</v>
      </c>
      <c r="BH149" s="1464">
        <f t="shared" ref="BH149" si="719">BH56</f>
        <v>0</v>
      </c>
      <c r="BI149" s="1464">
        <f t="shared" ref="BI149" si="720">BH149+BI56</f>
        <v>0</v>
      </c>
      <c r="BJ149" s="1106">
        <f t="shared" ref="BJ149" si="721">BI149+BJ56</f>
        <v>0</v>
      </c>
      <c r="BK149" s="204">
        <f t="shared" ref="BK149" si="722">BJ149+BK56</f>
        <v>0</v>
      </c>
      <c r="BL149" s="179"/>
      <c r="BM149" s="203">
        <f t="shared" ref="BM149:BX149" si="723">BM56</f>
        <v>7.2279999999999998</v>
      </c>
      <c r="BN149" s="203">
        <f t="shared" si="723"/>
        <v>0</v>
      </c>
      <c r="BO149" s="203">
        <f t="shared" si="723"/>
        <v>0</v>
      </c>
      <c r="BP149" s="203">
        <f t="shared" si="723"/>
        <v>0</v>
      </c>
      <c r="BQ149" s="203">
        <f t="shared" si="723"/>
        <v>0</v>
      </c>
      <c r="BR149" s="203">
        <f t="shared" si="723"/>
        <v>0</v>
      </c>
      <c r="BS149" s="203">
        <f t="shared" si="723"/>
        <v>0</v>
      </c>
      <c r="BT149" s="203">
        <f t="shared" si="723"/>
        <v>0</v>
      </c>
      <c r="BU149" s="203">
        <f t="shared" si="723"/>
        <v>0</v>
      </c>
      <c r="BV149" s="203">
        <f t="shared" si="723"/>
        <v>0</v>
      </c>
      <c r="BW149" s="203">
        <f t="shared" si="723"/>
        <v>0</v>
      </c>
      <c r="BX149" s="203">
        <f t="shared" si="723"/>
        <v>0</v>
      </c>
      <c r="BY149" s="203">
        <f t="shared" ref="BY149" si="724">BY56</f>
        <v>0</v>
      </c>
      <c r="BZ149" s="203">
        <f t="shared" ref="BZ149:CB149" si="725">BZ56</f>
        <v>0</v>
      </c>
      <c r="CA149" s="203">
        <f t="shared" si="725"/>
        <v>0</v>
      </c>
      <c r="CB149" s="2168">
        <f t="shared" si="725"/>
        <v>0</v>
      </c>
      <c r="CC149" s="20"/>
      <c r="CD149" s="13"/>
    </row>
    <row r="150" spans="1:88" ht="14.25" customHeight="1" outlineLevel="1">
      <c r="A150" s="7"/>
      <c r="B150" s="42"/>
      <c r="C150" s="43"/>
      <c r="D150" s="222"/>
      <c r="E150" s="220"/>
      <c r="F150" s="220"/>
      <c r="G150" s="221"/>
      <c r="H150" s="222"/>
      <c r="I150" s="220"/>
      <c r="J150" s="220"/>
      <c r="K150" s="221"/>
      <c r="L150" s="222"/>
      <c r="M150" s="220"/>
      <c r="N150" s="220"/>
      <c r="O150" s="221"/>
      <c r="P150" s="222"/>
      <c r="Q150" s="220"/>
      <c r="R150" s="220"/>
      <c r="S150" s="221"/>
      <c r="T150" s="222"/>
      <c r="U150" s="220"/>
      <c r="V150" s="220"/>
      <c r="W150" s="221"/>
      <c r="X150" s="222"/>
      <c r="Y150" s="220"/>
      <c r="Z150" s="220"/>
      <c r="AA150" s="221"/>
      <c r="AB150" s="220"/>
      <c r="AC150" s="220"/>
      <c r="AD150" s="220"/>
      <c r="AE150" s="221"/>
      <c r="AF150" s="220"/>
      <c r="AG150" s="220"/>
      <c r="AH150" s="220"/>
      <c r="AI150" s="221"/>
      <c r="AJ150" s="222"/>
      <c r="AK150" s="220"/>
      <c r="AL150" s="220"/>
      <c r="AM150" s="221"/>
      <c r="AN150" s="222"/>
      <c r="AO150" s="220"/>
      <c r="AP150" s="220"/>
      <c r="AQ150" s="221"/>
      <c r="AR150" s="222"/>
      <c r="AS150" s="220"/>
      <c r="AT150" s="220"/>
      <c r="AU150" s="221"/>
      <c r="AV150" s="222"/>
      <c r="AW150" s="220"/>
      <c r="AX150" s="220"/>
      <c r="AY150" s="221"/>
      <c r="AZ150" s="222"/>
      <c r="BA150" s="220"/>
      <c r="BB150" s="220"/>
      <c r="BC150" s="221"/>
      <c r="BD150" s="1468"/>
      <c r="BE150" s="1468"/>
      <c r="BF150" s="1108"/>
      <c r="BG150" s="221"/>
      <c r="BH150" s="1468"/>
      <c r="BI150" s="1468"/>
      <c r="BJ150" s="1108"/>
      <c r="BK150" s="221"/>
      <c r="BL150" s="179"/>
      <c r="BM150" s="220"/>
      <c r="BN150" s="220"/>
      <c r="BO150" s="220"/>
      <c r="BP150" s="220"/>
      <c r="BQ150" s="220"/>
      <c r="BR150" s="220"/>
      <c r="BS150" s="220"/>
      <c r="BT150" s="220"/>
      <c r="BU150" s="220"/>
      <c r="BV150" s="220"/>
      <c r="BW150" s="220"/>
      <c r="BX150" s="220"/>
      <c r="BY150" s="220"/>
      <c r="BZ150" s="220"/>
      <c r="CA150" s="220"/>
      <c r="CB150" s="2172"/>
      <c r="CC150" s="20"/>
      <c r="CD150" s="13"/>
    </row>
    <row r="151" spans="1:88" ht="14.25" customHeight="1" outlineLevel="1">
      <c r="A151" s="7"/>
      <c r="B151" s="42" t="s">
        <v>139</v>
      </c>
      <c r="C151" s="43"/>
      <c r="D151" s="222">
        <v>918.37699999999995</v>
      </c>
      <c r="E151" s="217">
        <f>D151</f>
        <v>918.37699999999995</v>
      </c>
      <c r="F151" s="217">
        <f>D151</f>
        <v>918.37699999999995</v>
      </c>
      <c r="G151" s="219">
        <f>D151</f>
        <v>918.37699999999995</v>
      </c>
      <c r="H151" s="218">
        <f>G154</f>
        <v>633.06699999999978</v>
      </c>
      <c r="I151" s="217">
        <f>H151</f>
        <v>633.06699999999978</v>
      </c>
      <c r="J151" s="217">
        <f>H151</f>
        <v>633.06699999999978</v>
      </c>
      <c r="K151" s="219">
        <f>H151</f>
        <v>633.06699999999978</v>
      </c>
      <c r="L151" s="218">
        <f>K154</f>
        <v>1380</v>
      </c>
      <c r="M151" s="217">
        <f>L151</f>
        <v>1380</v>
      </c>
      <c r="N151" s="217">
        <f>L151</f>
        <v>1380</v>
      </c>
      <c r="O151" s="219">
        <f>L151</f>
        <v>1380</v>
      </c>
      <c r="P151" s="218">
        <f>O154</f>
        <v>1432</v>
      </c>
      <c r="Q151" s="217">
        <f>P151</f>
        <v>1432</v>
      </c>
      <c r="R151" s="217">
        <f>P151</f>
        <v>1432</v>
      </c>
      <c r="S151" s="219">
        <f>P151</f>
        <v>1432</v>
      </c>
      <c r="T151" s="218">
        <f>S154</f>
        <v>933</v>
      </c>
      <c r="U151" s="217">
        <f>T151</f>
        <v>933</v>
      </c>
      <c r="V151" s="217">
        <f>T151</f>
        <v>933</v>
      </c>
      <c r="W151" s="219">
        <f>T151</f>
        <v>933</v>
      </c>
      <c r="X151" s="218">
        <f>W154</f>
        <v>1657</v>
      </c>
      <c r="Y151" s="217">
        <f>X151</f>
        <v>1657</v>
      </c>
      <c r="Z151" s="217">
        <f>X151</f>
        <v>1657</v>
      </c>
      <c r="AA151" s="219">
        <f>X151</f>
        <v>1657</v>
      </c>
      <c r="AB151" s="217">
        <f>AA154</f>
        <v>606</v>
      </c>
      <c r="AC151" s="217">
        <f>AB151</f>
        <v>606</v>
      </c>
      <c r="AD151" s="217">
        <f>AC151</f>
        <v>606</v>
      </c>
      <c r="AE151" s="219">
        <f>AB151</f>
        <v>606</v>
      </c>
      <c r="AF151" s="217">
        <f>AE154</f>
        <v>869</v>
      </c>
      <c r="AG151" s="217">
        <f>AF151</f>
        <v>869</v>
      </c>
      <c r="AH151" s="217">
        <f>AF151</f>
        <v>869</v>
      </c>
      <c r="AI151" s="219">
        <f>AF151</f>
        <v>869</v>
      </c>
      <c r="AJ151" s="218">
        <f>AI154</f>
        <v>549</v>
      </c>
      <c r="AK151" s="217">
        <f>AJ151</f>
        <v>549</v>
      </c>
      <c r="AL151" s="217">
        <f>AJ151</f>
        <v>549</v>
      </c>
      <c r="AM151" s="219">
        <f>AJ151</f>
        <v>549</v>
      </c>
      <c r="AN151" s="218">
        <f>AM154</f>
        <v>869</v>
      </c>
      <c r="AO151" s="217">
        <f>AN151</f>
        <v>869</v>
      </c>
      <c r="AP151" s="217">
        <f>AN151</f>
        <v>869</v>
      </c>
      <c r="AQ151" s="219">
        <f>AN151</f>
        <v>869</v>
      </c>
      <c r="AR151" s="218">
        <f>AQ154</f>
        <v>805</v>
      </c>
      <c r="AS151" s="217">
        <f>AR151</f>
        <v>805</v>
      </c>
      <c r="AT151" s="217">
        <f>AR151</f>
        <v>805</v>
      </c>
      <c r="AU151" s="219">
        <f>AR151</f>
        <v>805</v>
      </c>
      <c r="AV151" s="218">
        <f>AU154</f>
        <v>785</v>
      </c>
      <c r="AW151" s="217">
        <f>AV151</f>
        <v>785</v>
      </c>
      <c r="AX151" s="217">
        <f>AV151</f>
        <v>785</v>
      </c>
      <c r="AY151" s="219">
        <f>AV151</f>
        <v>785</v>
      </c>
      <c r="AZ151" s="218">
        <f>AY154</f>
        <v>1264</v>
      </c>
      <c r="BA151" s="217">
        <f>AZ151</f>
        <v>1264</v>
      </c>
      <c r="BB151" s="217">
        <f>AZ151</f>
        <v>1264</v>
      </c>
      <c r="BC151" s="219">
        <f>AZ151</f>
        <v>1264</v>
      </c>
      <c r="BD151" s="1468">
        <f>BC154</f>
        <v>1185</v>
      </c>
      <c r="BE151" s="1468">
        <f t="shared" ref="BE151" si="726">BD151</f>
        <v>1185</v>
      </c>
      <c r="BF151" s="217">
        <f t="shared" ref="BF151" si="727">BE151</f>
        <v>1185</v>
      </c>
      <c r="BG151" s="219">
        <f t="shared" ref="BG151" si="728">BF151</f>
        <v>1185</v>
      </c>
      <c r="BH151" s="1468">
        <f>BG154</f>
        <v>1449.8981177399837</v>
      </c>
      <c r="BI151" s="1468">
        <f t="shared" ref="BI151" si="729">BH151</f>
        <v>1449.8981177399837</v>
      </c>
      <c r="BJ151" s="217">
        <f t="shared" ref="BJ151" si="730">BI151</f>
        <v>1449.8981177399837</v>
      </c>
      <c r="BK151" s="219">
        <f t="shared" ref="BK151" si="731">BJ151</f>
        <v>1449.8981177399837</v>
      </c>
      <c r="BL151" s="179"/>
      <c r="BM151" s="217">
        <f>BM58</f>
        <v>918.37699999999995</v>
      </c>
      <c r="BN151" s="217">
        <f t="shared" ref="BN151:BS151" si="732">BM154</f>
        <v>633.06699999999978</v>
      </c>
      <c r="BO151" s="217">
        <f t="shared" si="732"/>
        <v>1380</v>
      </c>
      <c r="BP151" s="217">
        <f t="shared" si="732"/>
        <v>1432</v>
      </c>
      <c r="BQ151" s="217">
        <f t="shared" si="732"/>
        <v>933</v>
      </c>
      <c r="BR151" s="217">
        <f t="shared" si="732"/>
        <v>1657</v>
      </c>
      <c r="BS151" s="217">
        <f t="shared" si="732"/>
        <v>606</v>
      </c>
      <c r="BT151" s="217">
        <f t="shared" ref="BT151:CB151" si="733">BS154</f>
        <v>869</v>
      </c>
      <c r="BU151" s="217">
        <f t="shared" si="733"/>
        <v>549</v>
      </c>
      <c r="BV151" s="217">
        <f t="shared" si="733"/>
        <v>869</v>
      </c>
      <c r="BW151" s="217">
        <f t="shared" si="733"/>
        <v>805</v>
      </c>
      <c r="BX151" s="217">
        <f t="shared" si="733"/>
        <v>785</v>
      </c>
      <c r="BY151" s="217">
        <f t="shared" si="733"/>
        <v>1264</v>
      </c>
      <c r="BZ151" s="217">
        <f t="shared" si="733"/>
        <v>1185</v>
      </c>
      <c r="CA151" s="217">
        <f t="shared" si="733"/>
        <v>1449.8981177399839</v>
      </c>
      <c r="CB151" s="2171">
        <f t="shared" si="733"/>
        <v>1963.6684532005061</v>
      </c>
      <c r="CC151" s="20"/>
      <c r="CD151" s="13"/>
    </row>
    <row r="152" spans="1:88" s="280" customFormat="1" ht="14.25" customHeight="1" outlineLevel="1">
      <c r="A152" s="285"/>
      <c r="B152" s="329" t="s">
        <v>140</v>
      </c>
      <c r="C152" s="394"/>
      <c r="D152" s="395"/>
      <c r="E152" s="396"/>
      <c r="F152" s="396"/>
      <c r="G152" s="397">
        <v>0.46200000000000002</v>
      </c>
      <c r="H152" s="395"/>
      <c r="I152" s="396"/>
      <c r="J152" s="396"/>
      <c r="K152" s="397">
        <v>-6.7000000000000004E-2</v>
      </c>
      <c r="L152" s="395"/>
      <c r="M152" s="396"/>
      <c r="N152" s="396"/>
      <c r="O152" s="397"/>
      <c r="P152" s="395"/>
      <c r="Q152" s="396"/>
      <c r="R152" s="396"/>
      <c r="S152" s="397"/>
      <c r="T152" s="395"/>
      <c r="U152" s="396"/>
      <c r="V152" s="396"/>
      <c r="W152" s="397"/>
      <c r="X152" s="395"/>
      <c r="Y152" s="396"/>
      <c r="Z152" s="396"/>
      <c r="AA152" s="397"/>
      <c r="AB152" s="396"/>
      <c r="AC152" s="396"/>
      <c r="AD152" s="396"/>
      <c r="AE152" s="397"/>
      <c r="AF152" s="396"/>
      <c r="AG152" s="396"/>
      <c r="AH152" s="396"/>
      <c r="AI152" s="397"/>
      <c r="AJ152" s="396"/>
      <c r="AK152" s="396"/>
      <c r="AL152" s="396">
        <v>0</v>
      </c>
      <c r="AM152" s="397"/>
      <c r="AN152" s="396"/>
      <c r="AO152" s="396"/>
      <c r="AP152" s="1078"/>
      <c r="AQ152" s="397">
        <v>0</v>
      </c>
      <c r="AR152" s="396">
        <v>0</v>
      </c>
      <c r="AS152" s="396">
        <v>0</v>
      </c>
      <c r="AT152" s="396">
        <v>0</v>
      </c>
      <c r="AU152" s="397">
        <v>0</v>
      </c>
      <c r="AV152" s="396">
        <v>0</v>
      </c>
      <c r="AW152" s="396">
        <v>0</v>
      </c>
      <c r="AX152" s="396">
        <v>0</v>
      </c>
      <c r="AY152" s="397">
        <v>0</v>
      </c>
      <c r="AZ152" s="396">
        <v>0</v>
      </c>
      <c r="BA152" s="396">
        <v>0</v>
      </c>
      <c r="BB152" s="396">
        <v>0</v>
      </c>
      <c r="BC152" s="397">
        <v>0</v>
      </c>
      <c r="BD152" s="1464">
        <f>BD59</f>
        <v>0</v>
      </c>
      <c r="BE152" s="1464">
        <f t="shared" ref="BE152" si="734">BD152+BE59</f>
        <v>0</v>
      </c>
      <c r="BF152" s="1106">
        <f t="shared" ref="BF152" si="735">BE152+BF59</f>
        <v>0</v>
      </c>
      <c r="BG152" s="204">
        <f t="shared" ref="BG152" si="736">BF152+BG59</f>
        <v>0</v>
      </c>
      <c r="BH152" s="1464">
        <f>BH59</f>
        <v>0</v>
      </c>
      <c r="BI152" s="1464">
        <f t="shared" ref="BI152" si="737">BH152+BI59</f>
        <v>0</v>
      </c>
      <c r="BJ152" s="1106">
        <f t="shared" ref="BJ152" si="738">BI152+BJ59</f>
        <v>0</v>
      </c>
      <c r="BK152" s="204">
        <f t="shared" ref="BK152" si="739">BJ152+BK59</f>
        <v>0</v>
      </c>
      <c r="BL152" s="398"/>
      <c r="BM152" s="401">
        <f>BM59</f>
        <v>0.46200000000000002</v>
      </c>
      <c r="BN152" s="401">
        <f t="shared" ref="BN152:BX152" si="740">BN59</f>
        <v>-6.7000000000000004E-2</v>
      </c>
      <c r="BO152" s="401">
        <f t="shared" si="740"/>
        <v>0</v>
      </c>
      <c r="BP152" s="401">
        <f t="shared" si="740"/>
        <v>0</v>
      </c>
      <c r="BQ152" s="401">
        <f t="shared" si="740"/>
        <v>0</v>
      </c>
      <c r="BR152" s="401">
        <f t="shared" si="740"/>
        <v>0</v>
      </c>
      <c r="BS152" s="401">
        <f t="shared" si="740"/>
        <v>0</v>
      </c>
      <c r="BT152" s="401">
        <f t="shared" si="740"/>
        <v>0</v>
      </c>
      <c r="BU152" s="401">
        <f t="shared" si="740"/>
        <v>0</v>
      </c>
      <c r="BV152" s="401">
        <f t="shared" si="740"/>
        <v>0</v>
      </c>
      <c r="BW152" s="401">
        <f t="shared" si="740"/>
        <v>0</v>
      </c>
      <c r="BX152" s="401">
        <f t="shared" si="740"/>
        <v>0</v>
      </c>
      <c r="BY152" s="203">
        <f t="shared" ref="BY152" si="741">BY59</f>
        <v>0</v>
      </c>
      <c r="BZ152" s="396"/>
      <c r="CA152" s="396"/>
      <c r="CB152" s="2170"/>
      <c r="CC152" s="318"/>
      <c r="CD152" s="555"/>
      <c r="CE152"/>
      <c r="CF152"/>
      <c r="CG152"/>
      <c r="CH152"/>
      <c r="CI152"/>
      <c r="CJ152"/>
    </row>
    <row r="153" spans="1:88" ht="14.25" customHeight="1" outlineLevel="1">
      <c r="A153" s="7"/>
      <c r="B153" s="214" t="s">
        <v>141</v>
      </c>
      <c r="C153" s="215"/>
      <c r="D153" s="218">
        <f t="shared" ref="D153:AJ153" si="742">D147+D135+D123+D149</f>
        <v>-256.39299999999992</v>
      </c>
      <c r="E153" s="217">
        <f t="shared" si="742"/>
        <v>-207.15599999999992</v>
      </c>
      <c r="F153" s="217">
        <f t="shared" si="742"/>
        <v>-112.26199999999984</v>
      </c>
      <c r="G153" s="219">
        <f t="shared" si="742"/>
        <v>-285.77200000000022</v>
      </c>
      <c r="H153" s="218">
        <f t="shared" si="742"/>
        <v>195.55899999999986</v>
      </c>
      <c r="I153" s="217">
        <f t="shared" si="742"/>
        <v>55.590000000000032</v>
      </c>
      <c r="J153" s="217">
        <f t="shared" si="742"/>
        <v>751.45899999999983</v>
      </c>
      <c r="K153" s="219">
        <f t="shared" si="742"/>
        <v>747.00000000000023</v>
      </c>
      <c r="L153" s="218">
        <f t="shared" si="742"/>
        <v>-389</v>
      </c>
      <c r="M153" s="217">
        <f t="shared" si="742"/>
        <v>-76</v>
      </c>
      <c r="N153" s="217">
        <f t="shared" si="742"/>
        <v>-284</v>
      </c>
      <c r="O153" s="219">
        <f t="shared" si="742"/>
        <v>52</v>
      </c>
      <c r="P153" s="218">
        <f t="shared" si="742"/>
        <v>-28</v>
      </c>
      <c r="Q153" s="217">
        <f t="shared" si="742"/>
        <v>-122</v>
      </c>
      <c r="R153" s="217">
        <f t="shared" si="742"/>
        <v>-324</v>
      </c>
      <c r="S153" s="219">
        <f t="shared" si="742"/>
        <v>-499</v>
      </c>
      <c r="T153" s="218">
        <f t="shared" si="742"/>
        <v>1469</v>
      </c>
      <c r="U153" s="217">
        <f t="shared" si="742"/>
        <v>1046</v>
      </c>
      <c r="V153" s="217">
        <f t="shared" si="742"/>
        <v>914</v>
      </c>
      <c r="W153" s="219">
        <f t="shared" si="742"/>
        <v>724</v>
      </c>
      <c r="X153" s="218">
        <f t="shared" si="742"/>
        <v>-1015</v>
      </c>
      <c r="Y153" s="217">
        <f t="shared" si="742"/>
        <v>-573</v>
      </c>
      <c r="Z153" s="217">
        <f t="shared" si="742"/>
        <v>-1037</v>
      </c>
      <c r="AA153" s="219">
        <f t="shared" si="742"/>
        <v>-1051</v>
      </c>
      <c r="AB153" s="217">
        <f t="shared" si="742"/>
        <v>-4</v>
      </c>
      <c r="AC153" s="217">
        <f t="shared" si="742"/>
        <v>-52</v>
      </c>
      <c r="AD153" s="217">
        <f t="shared" si="742"/>
        <v>19</v>
      </c>
      <c r="AE153" s="219">
        <f>AE147+AE135+AE123+AE149</f>
        <v>263</v>
      </c>
      <c r="AF153" s="217">
        <f>AF147+AF135+AF123+AF149</f>
        <v>324</v>
      </c>
      <c r="AG153" s="217">
        <f t="shared" si="742"/>
        <v>146</v>
      </c>
      <c r="AH153" s="217">
        <f t="shared" si="742"/>
        <v>-93</v>
      </c>
      <c r="AI153" s="219">
        <f t="shared" si="742"/>
        <v>-320</v>
      </c>
      <c r="AJ153" s="217">
        <f t="shared" si="742"/>
        <v>-108</v>
      </c>
      <c r="AK153" s="217">
        <f t="shared" ref="AK153:AQ153" si="743">AK147+AK135+AK123+AK149</f>
        <v>-215</v>
      </c>
      <c r="AL153" s="217">
        <f t="shared" si="743"/>
        <v>-6</v>
      </c>
      <c r="AM153" s="219">
        <f t="shared" si="743"/>
        <v>320</v>
      </c>
      <c r="AN153" s="217">
        <f t="shared" si="743"/>
        <v>-315</v>
      </c>
      <c r="AO153" s="217">
        <f>AO147+AO135+AO123+AO149</f>
        <v>-366</v>
      </c>
      <c r="AP153" s="217">
        <f>AP147+AP135+AP123+AP149</f>
        <v>-229</v>
      </c>
      <c r="AQ153" s="219">
        <f t="shared" si="743"/>
        <v>-64</v>
      </c>
      <c r="AR153" s="217">
        <f>AR147+AR135+AR123+AR149</f>
        <v>-128</v>
      </c>
      <c r="AS153" s="217">
        <f>AS147+AS135+AS123+AS149</f>
        <v>24</v>
      </c>
      <c r="AT153" s="217">
        <f>AT147+AT135+AT123+AT149</f>
        <v>-50</v>
      </c>
      <c r="AU153" s="219">
        <f>AU147+AU135+AU123+AU149</f>
        <v>-20</v>
      </c>
      <c r="AV153" s="217">
        <f t="shared" ref="AV153" si="744">AV147+AV135+AV123+AV149</f>
        <v>-69</v>
      </c>
      <c r="AW153" s="217">
        <f>AW147+AW135+AW123+AW149</f>
        <v>172</v>
      </c>
      <c r="AX153" s="217">
        <f>AX147+AX135+AX123+AX149</f>
        <v>473</v>
      </c>
      <c r="AY153" s="219">
        <f>AY147+AY135+AY123+AY149</f>
        <v>479</v>
      </c>
      <c r="AZ153" s="217">
        <f t="shared" ref="AZ153" si="745">AZ147+AZ135+AZ123+AZ149</f>
        <v>-542</v>
      </c>
      <c r="BA153" s="217">
        <f>BA147+BA135+BA123+BA149</f>
        <v>-504</v>
      </c>
      <c r="BB153" s="217">
        <f>BB147+BB135+BB123+BB149</f>
        <v>-385</v>
      </c>
      <c r="BC153" s="219">
        <f>BC147+BC135+BC123+BC149</f>
        <v>-79</v>
      </c>
      <c r="BD153" s="1468">
        <f t="shared" ref="BD153:BG153" si="746">BD147+BD135+BD123+BD149</f>
        <v>-140</v>
      </c>
      <c r="BE153" s="1468">
        <f t="shared" si="746"/>
        <v>-9.5883398381863572</v>
      </c>
      <c r="BF153" s="1108">
        <f t="shared" si="746"/>
        <v>136.55054594115995</v>
      </c>
      <c r="BG153" s="219">
        <f t="shared" si="746"/>
        <v>264.89811773998372</v>
      </c>
      <c r="BH153" s="1468">
        <f t="shared" ref="BH153:BK153" si="747">BH147+BH135+BH123+BH149</f>
        <v>169.33843638368529</v>
      </c>
      <c r="BI153" s="1468">
        <f t="shared" si="747"/>
        <v>284.02754472081062</v>
      </c>
      <c r="BJ153" s="1108">
        <f t="shared" si="747"/>
        <v>369.27319310025246</v>
      </c>
      <c r="BK153" s="219">
        <f t="shared" si="747"/>
        <v>513.77033546052223</v>
      </c>
      <c r="BL153" s="179"/>
      <c r="BM153" s="217">
        <f t="shared" ref="BM153:BX153" si="748">BM147+BM135+BM123+BM149</f>
        <v>-285.77200000000022</v>
      </c>
      <c r="BN153" s="217">
        <f t="shared" si="748"/>
        <v>747.00000000000023</v>
      </c>
      <c r="BO153" s="217">
        <f t="shared" si="748"/>
        <v>52</v>
      </c>
      <c r="BP153" s="217">
        <f t="shared" si="748"/>
        <v>-499</v>
      </c>
      <c r="BQ153" s="217">
        <f t="shared" si="748"/>
        <v>724</v>
      </c>
      <c r="BR153" s="217">
        <f t="shared" si="748"/>
        <v>-1051</v>
      </c>
      <c r="BS153" s="217">
        <f t="shared" si="748"/>
        <v>263</v>
      </c>
      <c r="BT153" s="217">
        <f t="shared" si="748"/>
        <v>-320</v>
      </c>
      <c r="BU153" s="217">
        <f t="shared" si="748"/>
        <v>320</v>
      </c>
      <c r="BV153" s="217">
        <f>BV147+BV135+BV123+BV149</f>
        <v>-64</v>
      </c>
      <c r="BW153" s="217">
        <f t="shared" si="748"/>
        <v>-20</v>
      </c>
      <c r="BX153" s="217">
        <f t="shared" si="748"/>
        <v>479</v>
      </c>
      <c r="BY153" s="217">
        <f t="shared" ref="BY153" si="749">BY147+BY135+BY123+BY149</f>
        <v>-79</v>
      </c>
      <c r="BZ153" s="217">
        <f t="shared" ref="BZ153:CB153" si="750">BZ147+BZ135+BZ123+BZ149</f>
        <v>264.89811773998395</v>
      </c>
      <c r="CA153" s="217">
        <f t="shared" si="750"/>
        <v>513.77033546052201</v>
      </c>
      <c r="CB153" s="2171">
        <f t="shared" si="750"/>
        <v>342.6143912300102</v>
      </c>
      <c r="CC153" s="20"/>
      <c r="CD153" s="13"/>
    </row>
    <row r="154" spans="1:88" ht="14.25" customHeight="1" outlineLevel="1">
      <c r="A154" s="7"/>
      <c r="B154" s="364" t="s">
        <v>142</v>
      </c>
      <c r="C154" s="223"/>
      <c r="D154" s="225">
        <f t="shared" ref="D154:V154" si="751">D153+D151+D152</f>
        <v>661.98400000000004</v>
      </c>
      <c r="E154" s="224">
        <f t="shared" si="751"/>
        <v>711.221</v>
      </c>
      <c r="F154" s="224">
        <f t="shared" si="751"/>
        <v>806.11500000000012</v>
      </c>
      <c r="G154" s="226">
        <f t="shared" si="751"/>
        <v>633.06699999999978</v>
      </c>
      <c r="H154" s="225">
        <f t="shared" si="751"/>
        <v>828.62599999999964</v>
      </c>
      <c r="I154" s="224">
        <f t="shared" si="751"/>
        <v>688.65699999999981</v>
      </c>
      <c r="J154" s="224">
        <f t="shared" si="751"/>
        <v>1384.5259999999996</v>
      </c>
      <c r="K154" s="226">
        <f t="shared" si="751"/>
        <v>1380</v>
      </c>
      <c r="L154" s="225">
        <f t="shared" si="751"/>
        <v>991</v>
      </c>
      <c r="M154" s="224">
        <f t="shared" si="751"/>
        <v>1304</v>
      </c>
      <c r="N154" s="224">
        <f t="shared" si="751"/>
        <v>1096</v>
      </c>
      <c r="O154" s="226">
        <f t="shared" si="751"/>
        <v>1432</v>
      </c>
      <c r="P154" s="225">
        <f t="shared" si="751"/>
        <v>1404</v>
      </c>
      <c r="Q154" s="224">
        <f t="shared" si="751"/>
        <v>1310</v>
      </c>
      <c r="R154" s="224">
        <f t="shared" si="751"/>
        <v>1108</v>
      </c>
      <c r="S154" s="226">
        <f t="shared" si="751"/>
        <v>933</v>
      </c>
      <c r="T154" s="225">
        <f t="shared" si="751"/>
        <v>2402</v>
      </c>
      <c r="U154" s="224">
        <f t="shared" si="751"/>
        <v>1979</v>
      </c>
      <c r="V154" s="224">
        <f t="shared" si="751"/>
        <v>1847</v>
      </c>
      <c r="W154" s="226">
        <f t="shared" ref="W154:AU154" si="752">W153+W151+W152</f>
        <v>1657</v>
      </c>
      <c r="X154" s="225">
        <f t="shared" si="752"/>
        <v>642</v>
      </c>
      <c r="Y154" s="224">
        <f t="shared" si="752"/>
        <v>1084</v>
      </c>
      <c r="Z154" s="224">
        <f t="shared" si="752"/>
        <v>620</v>
      </c>
      <c r="AA154" s="226">
        <f t="shared" si="752"/>
        <v>606</v>
      </c>
      <c r="AB154" s="224">
        <f t="shared" si="752"/>
        <v>602</v>
      </c>
      <c r="AC154" s="224">
        <f t="shared" si="752"/>
        <v>554</v>
      </c>
      <c r="AD154" s="224">
        <f t="shared" si="752"/>
        <v>625</v>
      </c>
      <c r="AE154" s="226">
        <f t="shared" si="752"/>
        <v>869</v>
      </c>
      <c r="AF154" s="224">
        <f t="shared" si="752"/>
        <v>1193</v>
      </c>
      <c r="AG154" s="224">
        <f t="shared" si="752"/>
        <v>1015</v>
      </c>
      <c r="AH154" s="224">
        <f t="shared" si="752"/>
        <v>776</v>
      </c>
      <c r="AI154" s="226">
        <f t="shared" si="752"/>
        <v>549</v>
      </c>
      <c r="AJ154" s="224">
        <f t="shared" si="752"/>
        <v>441</v>
      </c>
      <c r="AK154" s="224">
        <f t="shared" si="752"/>
        <v>334</v>
      </c>
      <c r="AL154" s="224">
        <f t="shared" si="752"/>
        <v>543</v>
      </c>
      <c r="AM154" s="226">
        <f t="shared" si="752"/>
        <v>869</v>
      </c>
      <c r="AN154" s="224">
        <f t="shared" si="752"/>
        <v>554</v>
      </c>
      <c r="AO154" s="224">
        <f t="shared" si="752"/>
        <v>503</v>
      </c>
      <c r="AP154" s="224">
        <f t="shared" si="752"/>
        <v>640</v>
      </c>
      <c r="AQ154" s="226">
        <f t="shared" si="752"/>
        <v>805</v>
      </c>
      <c r="AR154" s="224">
        <f t="shared" si="752"/>
        <v>677</v>
      </c>
      <c r="AS154" s="224">
        <f t="shared" si="752"/>
        <v>829</v>
      </c>
      <c r="AT154" s="224">
        <f t="shared" si="752"/>
        <v>755</v>
      </c>
      <c r="AU154" s="226">
        <f t="shared" si="752"/>
        <v>785</v>
      </c>
      <c r="AV154" s="224">
        <f t="shared" ref="AV154:AY154" si="753">AV153+AV151+AV152</f>
        <v>716</v>
      </c>
      <c r="AW154" s="224">
        <f t="shared" si="753"/>
        <v>957</v>
      </c>
      <c r="AX154" s="224">
        <f t="shared" si="753"/>
        <v>1258</v>
      </c>
      <c r="AY154" s="226">
        <f t="shared" si="753"/>
        <v>1264</v>
      </c>
      <c r="AZ154" s="224">
        <f t="shared" ref="AZ154:BC154" si="754">AZ153+AZ151+AZ152</f>
        <v>722</v>
      </c>
      <c r="BA154" s="224">
        <f t="shared" si="754"/>
        <v>760</v>
      </c>
      <c r="BB154" s="224">
        <f t="shared" si="754"/>
        <v>879</v>
      </c>
      <c r="BC154" s="226">
        <f t="shared" si="754"/>
        <v>1185</v>
      </c>
      <c r="BD154" s="1469">
        <f t="shared" ref="BD154:BG154" si="755">BD153+BD151+BD152</f>
        <v>1045</v>
      </c>
      <c r="BE154" s="1469">
        <f t="shared" si="755"/>
        <v>1175.4116601618136</v>
      </c>
      <c r="BF154" s="1109">
        <f t="shared" si="755"/>
        <v>1321.55054594116</v>
      </c>
      <c r="BG154" s="226">
        <f t="shared" si="755"/>
        <v>1449.8981177399837</v>
      </c>
      <c r="BH154" s="1469">
        <f t="shared" ref="BH154:BK154" si="756">BH153+BH151+BH152</f>
        <v>1619.2365541236691</v>
      </c>
      <c r="BI154" s="1469">
        <f t="shared" si="756"/>
        <v>1733.9256624607942</v>
      </c>
      <c r="BJ154" s="1109">
        <f t="shared" si="756"/>
        <v>1819.1713108402362</v>
      </c>
      <c r="BK154" s="226">
        <f t="shared" si="756"/>
        <v>1963.6684532005061</v>
      </c>
      <c r="BL154" s="179"/>
      <c r="BM154" s="224">
        <f t="shared" ref="BM154:BS154" si="757">BM153+BM151+BM152</f>
        <v>633.06699999999978</v>
      </c>
      <c r="BN154" s="224">
        <f t="shared" si="757"/>
        <v>1380</v>
      </c>
      <c r="BO154" s="224">
        <f t="shared" si="757"/>
        <v>1432</v>
      </c>
      <c r="BP154" s="224">
        <f t="shared" si="757"/>
        <v>933</v>
      </c>
      <c r="BQ154" s="224">
        <f t="shared" si="757"/>
        <v>1657</v>
      </c>
      <c r="BR154" s="224">
        <f t="shared" si="757"/>
        <v>606</v>
      </c>
      <c r="BS154" s="224">
        <f t="shared" si="757"/>
        <v>869</v>
      </c>
      <c r="BT154" s="224">
        <f>BT153+BT151+BT152</f>
        <v>549</v>
      </c>
      <c r="BU154" s="224">
        <f>BU153+BU151+BU152</f>
        <v>869</v>
      </c>
      <c r="BV154" s="224">
        <f t="shared" ref="BV154:BX154" si="758">BV153+BV151+BV152</f>
        <v>805</v>
      </c>
      <c r="BW154" s="224">
        <f t="shared" si="758"/>
        <v>785</v>
      </c>
      <c r="BX154" s="224">
        <f t="shared" si="758"/>
        <v>1264</v>
      </c>
      <c r="BY154" s="224">
        <f t="shared" ref="BY154" si="759">BY153+BY151+BY152</f>
        <v>1185</v>
      </c>
      <c r="BZ154" s="224">
        <f t="shared" ref="BZ154:CB154" si="760">BZ153+BZ151+BZ152</f>
        <v>1449.8981177399839</v>
      </c>
      <c r="CA154" s="224">
        <f t="shared" si="760"/>
        <v>1963.6684532005061</v>
      </c>
      <c r="CB154" s="2173">
        <f t="shared" si="760"/>
        <v>2306.2828444305164</v>
      </c>
      <c r="CC154" s="20"/>
      <c r="CD154" s="13"/>
    </row>
    <row r="155" spans="1:88" ht="14.25" customHeight="1" outlineLevel="1">
      <c r="A155" s="7"/>
      <c r="B155" s="281"/>
      <c r="C155" s="282"/>
      <c r="D155" s="217"/>
      <c r="E155" s="217"/>
      <c r="F155" s="217"/>
      <c r="G155" s="217"/>
      <c r="H155" s="217"/>
      <c r="I155" s="217"/>
      <c r="J155" s="217"/>
      <c r="K155" s="217"/>
      <c r="L155" s="217"/>
      <c r="M155" s="217"/>
      <c r="N155" s="217"/>
      <c r="O155" s="217"/>
      <c r="P155" s="217"/>
      <c r="Q155" s="217"/>
      <c r="R155" s="217"/>
      <c r="S155" s="217"/>
      <c r="T155" s="217"/>
      <c r="U155" s="217"/>
      <c r="V155" s="217"/>
      <c r="W155" s="217"/>
      <c r="X155" s="217"/>
      <c r="Y155" s="217"/>
      <c r="Z155" s="217"/>
      <c r="AA155" s="217"/>
      <c r="AB155" s="217"/>
      <c r="AC155" s="217"/>
      <c r="AD155" s="217"/>
      <c r="AE155" s="217"/>
      <c r="AF155" s="217"/>
      <c r="AG155" s="217"/>
      <c r="AH155" s="217"/>
      <c r="AI155" s="217"/>
      <c r="AJ155" s="217"/>
      <c r="AK155" s="217"/>
      <c r="AL155" s="217"/>
      <c r="AM155" s="217"/>
      <c r="AN155" s="217"/>
      <c r="AO155" s="217"/>
      <c r="AP155" s="217"/>
      <c r="AQ155" s="217"/>
      <c r="AR155" s="217"/>
      <c r="AS155" s="217"/>
      <c r="AT155" s="217"/>
      <c r="AU155" s="217"/>
      <c r="AV155" s="217"/>
      <c r="AW155" s="217"/>
      <c r="AX155" s="217"/>
      <c r="AY155" s="217"/>
      <c r="AZ155" s="217"/>
      <c r="BA155" s="217"/>
      <c r="BB155" s="217"/>
      <c r="BC155" s="217"/>
      <c r="BD155" s="217"/>
      <c r="BE155" s="217"/>
      <c r="BF155" s="217"/>
      <c r="BG155" s="217"/>
      <c r="BH155" s="217"/>
      <c r="BI155" s="217"/>
      <c r="BJ155" s="217"/>
      <c r="BK155" s="217"/>
      <c r="BL155" s="69"/>
      <c r="BM155" s="217"/>
      <c r="BN155" s="217"/>
      <c r="BO155" s="217"/>
      <c r="BP155" s="217"/>
      <c r="BQ155" s="217"/>
      <c r="BR155" s="217"/>
      <c r="BS155" s="217"/>
      <c r="BT155" s="217"/>
      <c r="BU155" s="217"/>
      <c r="BV155" s="217"/>
      <c r="BW155" s="217"/>
      <c r="BX155" s="217"/>
      <c r="BY155" s="217"/>
      <c r="BZ155" s="217"/>
      <c r="CA155" s="217"/>
      <c r="CB155" s="2171"/>
      <c r="CC155" s="7"/>
      <c r="CD155" s="7"/>
    </row>
    <row r="156" spans="1:88" ht="14.25" customHeight="1" outlineLevel="1">
      <c r="A156" s="7"/>
      <c r="B156" s="72" t="s">
        <v>118</v>
      </c>
      <c r="C156" s="73"/>
      <c r="D156" s="177">
        <f>BS!D8</f>
        <v>661.98400000000004</v>
      </c>
      <c r="E156" s="175">
        <f>BS!E8</f>
        <v>711.221</v>
      </c>
      <c r="F156" s="175">
        <f>BS!F8</f>
        <v>806.11500000000001</v>
      </c>
      <c r="G156" s="178">
        <f>BS!G8</f>
        <v>633.06700000000001</v>
      </c>
      <c r="H156" s="177">
        <f>BS!H8</f>
        <v>828.62599999999998</v>
      </c>
      <c r="I156" s="175">
        <f>BS!I8</f>
        <v>688.65700000000004</v>
      </c>
      <c r="J156" s="175">
        <f>BS!J8</f>
        <v>1384.5260000000001</v>
      </c>
      <c r="K156" s="178">
        <f>BS!K8</f>
        <v>1380</v>
      </c>
      <c r="L156" s="177">
        <f>BS!L8</f>
        <v>991</v>
      </c>
      <c r="M156" s="175">
        <f>BS!M8</f>
        <v>1304</v>
      </c>
      <c r="N156" s="175">
        <f>BS!N8</f>
        <v>1096</v>
      </c>
      <c r="O156" s="178">
        <f>BS!O8</f>
        <v>1432</v>
      </c>
      <c r="P156" s="177">
        <f>BS!P8</f>
        <v>1404</v>
      </c>
      <c r="Q156" s="175">
        <f>BS!Q8</f>
        <v>1310</v>
      </c>
      <c r="R156" s="175">
        <f>BS!R8</f>
        <v>1108</v>
      </c>
      <c r="S156" s="178">
        <f>BS!S8</f>
        <v>933</v>
      </c>
      <c r="T156" s="177">
        <f>BS!T8</f>
        <v>2402</v>
      </c>
      <c r="U156" s="175">
        <f>BS!U8</f>
        <v>1979</v>
      </c>
      <c r="V156" s="175">
        <f>BS!V8</f>
        <v>1847</v>
      </c>
      <c r="W156" s="178">
        <f>BS!W8</f>
        <v>1657</v>
      </c>
      <c r="X156" s="177">
        <f>BS!X8</f>
        <v>642</v>
      </c>
      <c r="Y156" s="175">
        <f>BS!Y8</f>
        <v>1084</v>
      </c>
      <c r="Z156" s="175">
        <f>BS!Z8</f>
        <v>620</v>
      </c>
      <c r="AA156" s="178">
        <f>BS!AA8</f>
        <v>606</v>
      </c>
      <c r="AB156" s="175">
        <f>BS!AB8</f>
        <v>602</v>
      </c>
      <c r="AC156" s="175">
        <f>BS!AC8</f>
        <v>554</v>
      </c>
      <c r="AD156" s="175">
        <f>BS!AD8</f>
        <v>625</v>
      </c>
      <c r="AE156" s="178">
        <f>BS!AE8</f>
        <v>869</v>
      </c>
      <c r="AF156" s="175">
        <f>BS!AF8</f>
        <v>1193</v>
      </c>
      <c r="AG156" s="175">
        <f>BS!AG8</f>
        <v>1015</v>
      </c>
      <c r="AH156" s="175">
        <f>BS!AH8</f>
        <v>776</v>
      </c>
      <c r="AI156" s="176">
        <f>BS!AI8</f>
        <v>549</v>
      </c>
      <c r="AJ156" s="175">
        <f>BS!AJ8</f>
        <v>441</v>
      </c>
      <c r="AK156" s="175">
        <f>BS!AK8</f>
        <v>334</v>
      </c>
      <c r="AL156" s="175">
        <f>BS!AL8</f>
        <v>543</v>
      </c>
      <c r="AM156" s="176">
        <f>BS!AM8</f>
        <v>869</v>
      </c>
      <c r="AN156" s="175">
        <f>BS!AN8</f>
        <v>554</v>
      </c>
      <c r="AO156" s="175">
        <f>BS!AO8</f>
        <v>503</v>
      </c>
      <c r="AP156" s="175">
        <f>BS!AP8</f>
        <v>640</v>
      </c>
      <c r="AQ156" s="176">
        <f>BS!AQ8</f>
        <v>805</v>
      </c>
      <c r="AR156" s="175">
        <f>BS!AR8</f>
        <v>677</v>
      </c>
      <c r="AS156" s="175">
        <f>BS!AS8</f>
        <v>829</v>
      </c>
      <c r="AT156" s="175">
        <f>BS!AT8</f>
        <v>755</v>
      </c>
      <c r="AU156" s="176">
        <f>BS!AU8</f>
        <v>785</v>
      </c>
      <c r="AV156" s="175">
        <f>BS!AV8</f>
        <v>716</v>
      </c>
      <c r="AW156" s="175">
        <f>BS!AW8</f>
        <v>957</v>
      </c>
      <c r="AX156" s="175">
        <f>BS!AX8</f>
        <v>1258</v>
      </c>
      <c r="AY156" s="176">
        <f>BS!AY8</f>
        <v>1264</v>
      </c>
      <c r="AZ156" s="175">
        <f>BS!AZ8</f>
        <v>722</v>
      </c>
      <c r="BA156" s="175">
        <f>BS!BA8</f>
        <v>760</v>
      </c>
      <c r="BB156" s="175">
        <f>BS!BB8</f>
        <v>879</v>
      </c>
      <c r="BC156" s="176">
        <f>BS!BC8</f>
        <v>1185</v>
      </c>
      <c r="BD156" s="175">
        <f>BS!BD8</f>
        <v>1045</v>
      </c>
      <c r="BE156" s="175">
        <f>BS!BE8</f>
        <v>1175.4116601618136</v>
      </c>
      <c r="BF156" s="175">
        <f>BS!BF8</f>
        <v>1321.55054594116</v>
      </c>
      <c r="BG156" s="176">
        <f>BS!BG8</f>
        <v>1449.8981177399837</v>
      </c>
      <c r="BH156" s="175">
        <f>BS!BH8</f>
        <v>1619.2365541236691</v>
      </c>
      <c r="BI156" s="175">
        <f>BS!BI8</f>
        <v>1733.9256624607945</v>
      </c>
      <c r="BJ156" s="175">
        <f>BS!BJ8</f>
        <v>1819.1713108402362</v>
      </c>
      <c r="BK156" s="176">
        <f>BS!BK8</f>
        <v>1963.6684532005058</v>
      </c>
      <c r="BL156" s="179"/>
      <c r="BM156" s="175">
        <f>BS!BM8</f>
        <v>633.06700000000001</v>
      </c>
      <c r="BN156" s="175">
        <f>BS!BN8</f>
        <v>1380</v>
      </c>
      <c r="BO156" s="175">
        <f>BS!BO8</f>
        <v>1432</v>
      </c>
      <c r="BP156" s="175">
        <f>BS!BP8</f>
        <v>933</v>
      </c>
      <c r="BQ156" s="175">
        <f>BS!BQ8</f>
        <v>1657</v>
      </c>
      <c r="BR156" s="175">
        <f>BS!BR8</f>
        <v>606</v>
      </c>
      <c r="BS156" s="175">
        <f>BS!BS8</f>
        <v>869</v>
      </c>
      <c r="BT156" s="175">
        <f>BS!BT8</f>
        <v>549</v>
      </c>
      <c r="BU156" s="175">
        <f>BS!BU8</f>
        <v>869</v>
      </c>
      <c r="BV156" s="175">
        <f>BS!BV8</f>
        <v>805</v>
      </c>
      <c r="BW156" s="175">
        <f>BS!BW8</f>
        <v>785</v>
      </c>
      <c r="BX156" s="175">
        <f>BS!BX8</f>
        <v>1264</v>
      </c>
      <c r="BY156" s="175">
        <f>BS!BY8</f>
        <v>1185</v>
      </c>
      <c r="BZ156" s="175">
        <f>BS!BZ8</f>
        <v>1449.8981177399837</v>
      </c>
      <c r="CA156" s="175">
        <f>BS!CA8</f>
        <v>1963.6684532005058</v>
      </c>
      <c r="CB156" s="175">
        <f>BS!CB8</f>
        <v>2306.282844430516</v>
      </c>
      <c r="CC156" s="20"/>
      <c r="CD156" s="13"/>
    </row>
    <row r="157" spans="1:88" ht="14.25" customHeight="1" outlineLevel="1">
      <c r="A157" s="7"/>
      <c r="B157" s="145" t="s">
        <v>105</v>
      </c>
      <c r="C157" s="146"/>
      <c r="D157" s="149">
        <f t="shared" ref="D157:AB157" si="761">IF(ROUND(D156,4)=ROUND(D154,4),0,(D156-D154))</f>
        <v>0</v>
      </c>
      <c r="E157" s="147">
        <f t="shared" si="761"/>
        <v>0</v>
      </c>
      <c r="F157" s="180">
        <f t="shared" si="761"/>
        <v>0</v>
      </c>
      <c r="G157" s="148">
        <f t="shared" si="761"/>
        <v>0</v>
      </c>
      <c r="H157" s="149">
        <f t="shared" si="761"/>
        <v>0</v>
      </c>
      <c r="I157" s="147">
        <f t="shared" si="761"/>
        <v>0</v>
      </c>
      <c r="J157" s="180">
        <f t="shared" si="761"/>
        <v>0</v>
      </c>
      <c r="K157" s="148">
        <f t="shared" si="761"/>
        <v>0</v>
      </c>
      <c r="L157" s="149">
        <f t="shared" si="761"/>
        <v>0</v>
      </c>
      <c r="M157" s="147">
        <f t="shared" si="761"/>
        <v>0</v>
      </c>
      <c r="N157" s="180">
        <f t="shared" si="761"/>
        <v>0</v>
      </c>
      <c r="O157" s="148">
        <f t="shared" si="761"/>
        <v>0</v>
      </c>
      <c r="P157" s="149">
        <f t="shared" si="761"/>
        <v>0</v>
      </c>
      <c r="Q157" s="147">
        <f t="shared" si="761"/>
        <v>0</v>
      </c>
      <c r="R157" s="180">
        <f t="shared" si="761"/>
        <v>0</v>
      </c>
      <c r="S157" s="148">
        <f t="shared" si="761"/>
        <v>0</v>
      </c>
      <c r="T157" s="149">
        <f t="shared" si="761"/>
        <v>0</v>
      </c>
      <c r="U157" s="147">
        <f t="shared" si="761"/>
        <v>0</v>
      </c>
      <c r="V157" s="180">
        <f t="shared" si="761"/>
        <v>0</v>
      </c>
      <c r="W157" s="148">
        <f t="shared" si="761"/>
        <v>0</v>
      </c>
      <c r="X157" s="149">
        <f t="shared" si="761"/>
        <v>0</v>
      </c>
      <c r="Y157" s="147">
        <f t="shared" si="761"/>
        <v>0</v>
      </c>
      <c r="Z157" s="180">
        <f t="shared" si="761"/>
        <v>0</v>
      </c>
      <c r="AA157" s="148">
        <f t="shared" si="761"/>
        <v>0</v>
      </c>
      <c r="AB157" s="149">
        <f t="shared" si="761"/>
        <v>0</v>
      </c>
      <c r="AC157" s="147">
        <f t="shared" ref="AC157:AQ157" si="762">IF(ROUND(AC156,4)=ROUND(AC154,4),0,(AC156-AC154))</f>
        <v>0</v>
      </c>
      <c r="AD157" s="147">
        <f t="shared" si="762"/>
        <v>0</v>
      </c>
      <c r="AE157" s="148">
        <f t="shared" si="762"/>
        <v>0</v>
      </c>
      <c r="AF157" s="149">
        <f t="shared" si="762"/>
        <v>0</v>
      </c>
      <c r="AG157" s="147">
        <f t="shared" si="762"/>
        <v>0</v>
      </c>
      <c r="AH157" s="147">
        <f t="shared" si="762"/>
        <v>0</v>
      </c>
      <c r="AI157" s="148">
        <f t="shared" si="762"/>
        <v>0</v>
      </c>
      <c r="AJ157" s="149">
        <f t="shared" si="762"/>
        <v>0</v>
      </c>
      <c r="AK157" s="147">
        <f t="shared" si="762"/>
        <v>0</v>
      </c>
      <c r="AL157" s="147">
        <f t="shared" si="762"/>
        <v>0</v>
      </c>
      <c r="AM157" s="148">
        <f t="shared" si="762"/>
        <v>0</v>
      </c>
      <c r="AN157" s="149">
        <f>IF(ROUND(AN156,4)=ROUND(AN154,4),0,(AN156-AN154))</f>
        <v>0</v>
      </c>
      <c r="AO157" s="147">
        <f>IF(ROUND(AO156,4)=ROUND(AO154,4),0,(AO156-AO154))</f>
        <v>0</v>
      </c>
      <c r="AP157" s="147">
        <f>IF(ROUND(AP156,4)=ROUND(AP154,4),0,(AP156-AP154))</f>
        <v>0</v>
      </c>
      <c r="AQ157" s="148">
        <f t="shared" si="762"/>
        <v>0</v>
      </c>
      <c r="AR157" s="149">
        <f>IF(ROUND(AR156,4)=ROUND(AR154,4),0,(AR156-AR154))</f>
        <v>0</v>
      </c>
      <c r="AS157" s="147">
        <f>IF(ROUND(AS156,4)=ROUND(AS154,4),0,(AS156-AS154))</f>
        <v>0</v>
      </c>
      <c r="AT157" s="147">
        <f>IF(ROUND(AT156,4)=ROUND(AT154,4),0,(AT156-AT154))</f>
        <v>0</v>
      </c>
      <c r="AU157" s="148">
        <f>IF(ROUND(AU156,4)=ROUND(AU154,4),0,(AU156-AU154))</f>
        <v>0</v>
      </c>
      <c r="AV157" s="149">
        <f t="shared" ref="AV157" si="763">IF(ROUND(AV156,4)=ROUND(AV154,4),0,(AV156-AV154))</f>
        <v>0</v>
      </c>
      <c r="AW157" s="147">
        <f>IF(ROUND(AW156,4)=ROUND(AW154,4),0,(AW156-AW154))</f>
        <v>0</v>
      </c>
      <c r="AX157" s="147">
        <f>IF(ROUND(AX156,4)=ROUND(AX154,4),0,(AX156-AX154))</f>
        <v>0</v>
      </c>
      <c r="AY157" s="148">
        <f>IF(ROUND(AY156,4)=ROUND(AY154,4),0,(AY156-AY154))</f>
        <v>0</v>
      </c>
      <c r="AZ157" s="149">
        <f t="shared" ref="AZ157" si="764">IF(ROUND(AZ156,4)=ROUND(AZ154,4),0,(AZ156-AZ154))</f>
        <v>0</v>
      </c>
      <c r="BA157" s="147">
        <f>IF(ROUND(BA156,4)=ROUND(BA154,4),0,(BA156-BA154))</f>
        <v>0</v>
      </c>
      <c r="BB157" s="147">
        <f>IF(ROUND(BB156,4)=ROUND(BB154,4),0,(BB156-BB154))</f>
        <v>0</v>
      </c>
      <c r="BC157" s="148">
        <f t="shared" ref="BC157" si="765">IF(ROUND(BC156,4)=ROUND(BC154,4),0,(BC156-BC154))</f>
        <v>0</v>
      </c>
      <c r="BD157" s="147">
        <f t="shared" ref="BD157:BG157" si="766">IF(ROUND(BD156,4)=ROUND(BD154,4),0,(BD156-BD154))</f>
        <v>0</v>
      </c>
      <c r="BE157" s="147">
        <f t="shared" si="766"/>
        <v>0</v>
      </c>
      <c r="BF157" s="147">
        <f t="shared" si="766"/>
        <v>0</v>
      </c>
      <c r="BG157" s="148">
        <f t="shared" si="766"/>
        <v>0</v>
      </c>
      <c r="BH157" s="147">
        <f t="shared" ref="BH157:BK157" si="767">IF(ROUND(BH156,4)=ROUND(BH154,4),0,(BH156-BH154))</f>
        <v>0</v>
      </c>
      <c r="BI157" s="147">
        <f t="shared" si="767"/>
        <v>0</v>
      </c>
      <c r="BJ157" s="147">
        <f t="shared" si="767"/>
        <v>0</v>
      </c>
      <c r="BK157" s="148">
        <f t="shared" si="767"/>
        <v>0</v>
      </c>
      <c r="BL157" s="179"/>
      <c r="BM157" s="147">
        <f t="shared" ref="BM157:BS157" si="768">IF(ROUND(BM156,4)=ROUND(BM154,4),0,(BM156-BM154))</f>
        <v>0</v>
      </c>
      <c r="BN157" s="147">
        <f t="shared" si="768"/>
        <v>0</v>
      </c>
      <c r="BO157" s="147">
        <f t="shared" si="768"/>
        <v>0</v>
      </c>
      <c r="BP157" s="147">
        <f t="shared" si="768"/>
        <v>0</v>
      </c>
      <c r="BQ157" s="147">
        <f t="shared" si="768"/>
        <v>0</v>
      </c>
      <c r="BR157" s="147">
        <f t="shared" si="768"/>
        <v>0</v>
      </c>
      <c r="BS157" s="147">
        <f t="shared" si="768"/>
        <v>0</v>
      </c>
      <c r="BT157" s="147">
        <f>IF(ROUND(BT156,4)=ROUND(BT154,4),0,(BT156-BT154))</f>
        <v>0</v>
      </c>
      <c r="BU157" s="147">
        <f>IF(ROUND(BU156,4)=ROUND(BU154,4),0,(BU156-BU154))</f>
        <v>0</v>
      </c>
      <c r="BV157" s="147">
        <f t="shared" ref="BV157:BX157" si="769">IF(ROUND(BV156,4)=ROUND(BV154,4),0,(BV156-BV154))</f>
        <v>0</v>
      </c>
      <c r="BW157" s="147">
        <f t="shared" si="769"/>
        <v>0</v>
      </c>
      <c r="BX157" s="147">
        <f t="shared" si="769"/>
        <v>0</v>
      </c>
      <c r="BY157" s="147">
        <f t="shared" ref="BY157" si="770">IF(ROUND(BY156,4)=ROUND(BY154,4),0,(BY156-BY154))</f>
        <v>0</v>
      </c>
      <c r="BZ157" s="147">
        <f t="shared" ref="BZ157:CB157" si="771">IF(ROUND(BZ156,4)=ROUND(BZ154,4),0,(BZ156-BZ154))</f>
        <v>0</v>
      </c>
      <c r="CA157" s="147">
        <f t="shared" si="771"/>
        <v>0</v>
      </c>
      <c r="CB157" s="147">
        <f t="shared" si="771"/>
        <v>0</v>
      </c>
      <c r="CC157" s="20"/>
      <c r="CD157" s="13"/>
    </row>
    <row r="158" spans="1:88" ht="14.25" customHeight="1">
      <c r="A158" s="7"/>
      <c r="B158" s="232"/>
      <c r="C158" s="232"/>
      <c r="D158" s="233"/>
      <c r="E158" s="233"/>
      <c r="F158" s="233"/>
      <c r="G158" s="233"/>
      <c r="H158" s="233"/>
      <c r="I158" s="233"/>
      <c r="J158" s="233"/>
      <c r="K158" s="233"/>
      <c r="L158" s="233"/>
      <c r="M158" s="233"/>
      <c r="N158" s="233"/>
      <c r="O158" s="233"/>
      <c r="P158" s="233"/>
      <c r="Q158" s="233"/>
      <c r="R158" s="233"/>
      <c r="S158" s="233"/>
      <c r="T158" s="233"/>
      <c r="U158" s="233"/>
      <c r="V158" s="233"/>
      <c r="W158" s="233"/>
      <c r="X158" s="233"/>
      <c r="Y158" s="233"/>
      <c r="Z158" s="233"/>
      <c r="AA158" s="233"/>
      <c r="AB158" s="233"/>
      <c r="AC158" s="233"/>
      <c r="AD158" s="233"/>
      <c r="AE158" s="233"/>
      <c r="AF158" s="233"/>
      <c r="AG158" s="233"/>
      <c r="AH158" s="233"/>
      <c r="AI158" s="233"/>
      <c r="AJ158" s="233"/>
      <c r="AK158" s="233"/>
      <c r="AL158" s="233"/>
      <c r="AM158" s="233"/>
      <c r="AN158" s="233"/>
      <c r="AO158" s="233"/>
      <c r="AP158" s="233"/>
      <c r="AQ158" s="233"/>
      <c r="AR158" s="233"/>
      <c r="AS158" s="233"/>
      <c r="AT158" s="233"/>
      <c r="AU158" s="233"/>
      <c r="AV158" s="233"/>
      <c r="AW158" s="233"/>
      <c r="AX158" s="233"/>
      <c r="AY158" s="233"/>
      <c r="AZ158" s="233"/>
      <c r="BA158" s="233"/>
      <c r="BB158" s="233"/>
      <c r="BC158" s="233"/>
      <c r="BD158" s="233"/>
      <c r="BE158" s="233"/>
      <c r="BF158" s="233"/>
      <c r="BG158" s="233"/>
      <c r="BH158" s="233"/>
      <c r="BI158" s="233"/>
      <c r="BJ158" s="233"/>
      <c r="BK158" s="233"/>
      <c r="BL158" s="69"/>
      <c r="BM158" s="233"/>
      <c r="BN158" s="233"/>
      <c r="BO158" s="233"/>
      <c r="BP158" s="233"/>
      <c r="BQ158" s="233"/>
      <c r="BR158" s="233"/>
      <c r="BS158" s="233"/>
      <c r="BT158" s="233"/>
      <c r="BU158" s="233"/>
      <c r="BV158" s="233"/>
      <c r="BW158" s="233"/>
      <c r="BX158" s="233"/>
      <c r="BY158" s="233"/>
      <c r="BZ158" s="233"/>
      <c r="CA158" s="233"/>
      <c r="CB158" s="2157"/>
      <c r="CC158" s="7"/>
      <c r="CD158" s="7"/>
    </row>
    <row r="159" spans="1:88" ht="14.25" customHeight="1">
      <c r="A159" s="7"/>
      <c r="B159" s="69"/>
      <c r="C159" s="13"/>
      <c r="D159" s="234"/>
      <c r="E159" s="234"/>
      <c r="F159" s="234"/>
      <c r="G159" s="234"/>
      <c r="H159" s="234"/>
      <c r="I159" s="234"/>
      <c r="J159" s="234"/>
      <c r="K159" s="234"/>
      <c r="L159" s="234"/>
      <c r="M159" s="234"/>
      <c r="N159" s="234"/>
      <c r="O159" s="234"/>
      <c r="P159" s="234"/>
      <c r="Q159" s="234"/>
      <c r="R159" s="234"/>
      <c r="S159" s="234"/>
      <c r="T159" s="234"/>
      <c r="U159" s="234"/>
      <c r="V159" s="234"/>
      <c r="W159" s="234"/>
      <c r="X159" s="234"/>
      <c r="Y159" s="234"/>
      <c r="Z159" s="234"/>
      <c r="AA159" s="234"/>
      <c r="AB159" s="234"/>
      <c r="AC159" s="234"/>
      <c r="AD159" s="234"/>
      <c r="AE159" s="234"/>
      <c r="AF159" s="234"/>
      <c r="AG159" s="234"/>
      <c r="AH159" s="234"/>
      <c r="AI159" s="234"/>
      <c r="AJ159" s="234"/>
      <c r="AK159" s="234"/>
      <c r="AL159" s="234"/>
      <c r="AM159" s="234"/>
      <c r="AN159" s="234"/>
      <c r="AO159" s="234"/>
      <c r="AP159" s="234"/>
      <c r="AQ159" s="234"/>
      <c r="AR159" s="234"/>
      <c r="AS159" s="234"/>
      <c r="AT159" s="234"/>
      <c r="AU159" s="234"/>
      <c r="AV159" s="234"/>
      <c r="AW159" s="234"/>
      <c r="AX159" s="234"/>
      <c r="AY159" s="234"/>
      <c r="AZ159" s="234"/>
      <c r="BA159" s="234"/>
      <c r="BB159" s="234"/>
      <c r="BC159" s="234"/>
      <c r="BD159" s="234"/>
      <c r="BE159" s="234"/>
      <c r="BF159" s="234"/>
      <c r="BG159" s="234"/>
      <c r="BH159" s="234"/>
      <c r="BI159" s="234"/>
      <c r="BJ159" s="234"/>
      <c r="BK159" s="234"/>
      <c r="BL159" s="7"/>
      <c r="BM159" s="234"/>
      <c r="BN159" s="234"/>
      <c r="BO159" s="234"/>
      <c r="BP159" s="234"/>
      <c r="BQ159" s="234"/>
      <c r="BR159" s="234"/>
      <c r="BS159" s="234"/>
      <c r="BT159" s="234"/>
      <c r="BU159" s="234"/>
      <c r="BV159" s="234"/>
      <c r="BW159" s="234"/>
      <c r="BX159" s="234"/>
      <c r="BY159" s="234"/>
      <c r="BZ159" s="234"/>
      <c r="CA159" s="234"/>
      <c r="CB159" s="2158"/>
      <c r="CC159" s="7"/>
      <c r="CD159" s="7"/>
    </row>
    <row r="160" spans="1:88" ht="14.25" customHeight="1">
      <c r="A160" s="7"/>
      <c r="B160" s="69"/>
      <c r="C160" s="13"/>
      <c r="D160" s="234"/>
      <c r="E160" s="234"/>
      <c r="F160" s="234"/>
      <c r="G160" s="234"/>
      <c r="H160" s="234"/>
      <c r="I160" s="234"/>
      <c r="J160" s="234"/>
      <c r="K160" s="234"/>
      <c r="L160" s="234"/>
      <c r="M160" s="234"/>
      <c r="N160" s="234"/>
      <c r="O160" s="234"/>
      <c r="P160" s="234"/>
      <c r="Q160" s="234"/>
      <c r="R160" s="234"/>
      <c r="S160" s="234"/>
      <c r="T160" s="234"/>
      <c r="U160" s="234"/>
      <c r="V160" s="234"/>
      <c r="W160" s="234"/>
      <c r="X160" s="234"/>
      <c r="Y160" s="234"/>
      <c r="Z160" s="234"/>
      <c r="AA160" s="234"/>
      <c r="AB160" s="234"/>
      <c r="AC160" s="234"/>
      <c r="AD160" s="234"/>
      <c r="AE160" s="234"/>
      <c r="AF160" s="234"/>
      <c r="AG160" s="234"/>
      <c r="AH160" s="234"/>
      <c r="AI160" s="234"/>
      <c r="AJ160" s="234"/>
      <c r="AK160" s="234"/>
      <c r="AL160" s="234"/>
      <c r="AM160" s="234"/>
      <c r="AN160" s="234"/>
      <c r="AO160" s="234"/>
      <c r="AP160" s="234"/>
      <c r="AQ160" s="234"/>
      <c r="AR160" s="234"/>
      <c r="AS160" s="234"/>
      <c r="AT160" s="234"/>
      <c r="AU160" s="234"/>
      <c r="AV160" s="234"/>
      <c r="AW160" s="234"/>
      <c r="AX160" s="234"/>
      <c r="AY160" s="234"/>
      <c r="AZ160" s="234"/>
      <c r="BA160" s="234"/>
      <c r="BB160" s="234"/>
      <c r="BC160" s="234"/>
      <c r="BD160" s="234"/>
      <c r="BE160" s="234"/>
      <c r="BF160" s="234"/>
      <c r="BG160" s="234"/>
      <c r="BH160" s="234"/>
      <c r="BI160" s="234"/>
      <c r="BJ160" s="234"/>
      <c r="BK160" s="234"/>
      <c r="BL160" s="7"/>
      <c r="BM160" s="234"/>
      <c r="BN160" s="234"/>
      <c r="BO160" s="234"/>
      <c r="BP160" s="234"/>
      <c r="BQ160" s="234"/>
      <c r="BR160" s="234"/>
      <c r="BS160" s="234"/>
      <c r="BT160" s="234"/>
      <c r="BU160" s="234"/>
      <c r="BV160" s="234"/>
      <c r="BW160" s="234"/>
      <c r="BX160" s="234"/>
      <c r="BY160" s="234"/>
      <c r="BZ160" s="234"/>
      <c r="CA160" s="234"/>
      <c r="CB160" s="2158"/>
      <c r="CC160" s="7"/>
      <c r="CD160" s="7"/>
    </row>
    <row r="161" spans="1:82" ht="14.25" customHeight="1">
      <c r="A161" s="1"/>
      <c r="B161" s="5"/>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280"/>
      <c r="BN161" s="280"/>
      <c r="BO161" s="280"/>
      <c r="BP161" s="280"/>
      <c r="BQ161" s="280"/>
      <c r="BR161" s="280"/>
      <c r="BS161" s="280"/>
      <c r="BT161" s="280"/>
      <c r="BU161" s="280"/>
      <c r="BV161" s="280"/>
      <c r="BW161" s="280"/>
      <c r="BX161" s="280"/>
      <c r="BY161" s="280"/>
      <c r="BZ161" s="280"/>
      <c r="CA161" s="280"/>
      <c r="CB161" s="2099"/>
      <c r="CC161" s="5"/>
      <c r="CD161" s="5"/>
    </row>
    <row r="162" spans="1:82" ht="14.2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2099"/>
      <c r="CC162" s="1"/>
      <c r="CD162" s="1"/>
    </row>
    <row r="164" spans="1:82" ht="14.25" customHeight="1">
      <c r="A164" s="1"/>
      <c r="B164" s="189" t="s">
        <v>65</v>
      </c>
      <c r="C164" s="189"/>
      <c r="D164" s="284" t="str">
        <f>IS!D157</f>
        <v>A</v>
      </c>
      <c r="E164" s="284" t="str">
        <f>IS!E157</f>
        <v>A</v>
      </c>
      <c r="F164" s="284" t="str">
        <f>IS!F157</f>
        <v>A</v>
      </c>
      <c r="G164" s="284" t="str">
        <f>IS!G157</f>
        <v>A</v>
      </c>
      <c r="H164" s="284" t="str">
        <f>IS!H157</f>
        <v>A</v>
      </c>
      <c r="I164" s="284" t="str">
        <f>IS!I157</f>
        <v>A</v>
      </c>
      <c r="J164" s="284" t="str">
        <f>IS!J157</f>
        <v>A</v>
      </c>
      <c r="K164" s="284" t="str">
        <f>IS!K157</f>
        <v>A</v>
      </c>
      <c r="L164" s="284" t="str">
        <f>IS!L157</f>
        <v>A</v>
      </c>
      <c r="M164" s="284" t="str">
        <f>IS!M157</f>
        <v>A</v>
      </c>
      <c r="N164" s="284" t="str">
        <f>IS!N157</f>
        <v>A</v>
      </c>
      <c r="O164" s="284" t="str">
        <f>IS!O157</f>
        <v>A</v>
      </c>
      <c r="P164" s="284" t="str">
        <f>IS!P157</f>
        <v>A</v>
      </c>
      <c r="Q164" s="284" t="str">
        <f>IS!Q157</f>
        <v>A</v>
      </c>
      <c r="R164" s="284" t="str">
        <f>IS!R157</f>
        <v>A</v>
      </c>
      <c r="S164" s="284" t="str">
        <f>IS!S157</f>
        <v>A</v>
      </c>
      <c r="T164" s="284" t="str">
        <f>IS!T157</f>
        <v>A</v>
      </c>
      <c r="U164" s="284" t="str">
        <f>IS!U157</f>
        <v>A</v>
      </c>
      <c r="V164" s="284" t="str">
        <f>IS!V157</f>
        <v>A</v>
      </c>
      <c r="W164" s="284" t="str">
        <f>IS!W157</f>
        <v>A</v>
      </c>
      <c r="X164" s="284" t="str">
        <f>IS!X157</f>
        <v>A</v>
      </c>
      <c r="Y164" s="284" t="str">
        <f>IS!Y157</f>
        <v>A</v>
      </c>
      <c r="Z164" s="284" t="str">
        <f>IS!Z157</f>
        <v>A</v>
      </c>
      <c r="AA164" s="284" t="str">
        <f>IS!AA157</f>
        <v>A</v>
      </c>
      <c r="AB164" s="284" t="str">
        <f>IS!AB157</f>
        <v>A</v>
      </c>
      <c r="AC164" s="284" t="e">
        <f>IS!AC157</f>
        <v>#NAME?</v>
      </c>
      <c r="AD164" s="284" t="e">
        <f>IS!AD157</f>
        <v>#NAME?</v>
      </c>
      <c r="AE164" s="284" t="e">
        <f>IS!AE157</f>
        <v>#NAME?</v>
      </c>
      <c r="AF164" s="284" t="e">
        <f>IS!AF157</f>
        <v>#NAME?</v>
      </c>
      <c r="AG164" s="284" t="e">
        <f>IS!AG157</f>
        <v>#NAME?</v>
      </c>
      <c r="AH164" s="284" t="e">
        <f>IS!AH157</f>
        <v>#NAME?</v>
      </c>
      <c r="AI164" s="284" t="e">
        <f>IS!AI157</f>
        <v>#NAME?</v>
      </c>
      <c r="AJ164" s="284" t="e">
        <f>IS!AJ157</f>
        <v>#NAME?</v>
      </c>
      <c r="AK164" s="284" t="e">
        <f>IS!AK157</f>
        <v>#NAME?</v>
      </c>
      <c r="AL164" s="284" t="e">
        <f>IS!AL157</f>
        <v>#NAME?</v>
      </c>
      <c r="AM164" s="284" t="e">
        <f>IS!AM157</f>
        <v>#NAME?</v>
      </c>
      <c r="AN164" s="284" t="e">
        <f>IS!AN157</f>
        <v>#NAME?</v>
      </c>
      <c r="AO164" s="284" t="e">
        <f>IS!AO157</f>
        <v>#NAME?</v>
      </c>
      <c r="AP164" s="284" t="e">
        <f>IS!AP157</f>
        <v>#NAME?</v>
      </c>
      <c r="AQ164" s="284" t="e">
        <f>IS!AQ157</f>
        <v>#NAME?</v>
      </c>
      <c r="AR164" s="284" t="e">
        <f>IS!AR157</f>
        <v>#NAME?</v>
      </c>
      <c r="AS164" s="284" t="e">
        <f>IS!AS157</f>
        <v>#NAME?</v>
      </c>
      <c r="AT164" s="284" t="e">
        <f>IS!AT157</f>
        <v>#NAME?</v>
      </c>
      <c r="AU164" s="284" t="e">
        <f>IS!AU157</f>
        <v>#NAME?</v>
      </c>
      <c r="AV164" s="284" t="e">
        <f>IS!AV157</f>
        <v>#NAME?</v>
      </c>
      <c r="AW164" s="284" t="e">
        <f>IS!AW157</f>
        <v>#NAME?</v>
      </c>
      <c r="AX164" s="284" t="e">
        <f>IS!AX157</f>
        <v>#NAME?</v>
      </c>
      <c r="AY164" s="284" t="e">
        <f>IS!AY157</f>
        <v>#NAME?</v>
      </c>
      <c r="AZ164" s="284" t="e">
        <f t="shared" ref="AZ164:BC164" si="772">VLOOKUP(AZ163,ValidDateTable,4,FALSE)</f>
        <v>#NAME?</v>
      </c>
      <c r="BA164" s="284" t="e">
        <f t="shared" si="772"/>
        <v>#NAME?</v>
      </c>
      <c r="BB164" s="284" t="e">
        <f t="shared" si="772"/>
        <v>#NAME?</v>
      </c>
      <c r="BC164" s="284" t="e">
        <f t="shared" si="772"/>
        <v>#NAME?</v>
      </c>
      <c r="BD164" s="284" t="e">
        <f t="shared" ref="BD164:BG164" si="773">VLOOKUP(BD163,ValidDateTable,4,FALSE)</f>
        <v>#NAME?</v>
      </c>
      <c r="BE164" s="284" t="e">
        <f t="shared" si="773"/>
        <v>#NAME?</v>
      </c>
      <c r="BF164" s="284" t="e">
        <f t="shared" si="773"/>
        <v>#NAME?</v>
      </c>
      <c r="BG164" s="284" t="e">
        <f t="shared" si="773"/>
        <v>#NAME?</v>
      </c>
      <c r="BH164" s="284" t="e">
        <f t="shared" ref="BH164:BK164" si="774">VLOOKUP(BH163,ValidDateTable,4,FALSE)</f>
        <v>#NAME?</v>
      </c>
      <c r="BI164" s="284" t="e">
        <f t="shared" si="774"/>
        <v>#NAME?</v>
      </c>
      <c r="BJ164" s="284" t="e">
        <f t="shared" si="774"/>
        <v>#NAME?</v>
      </c>
      <c r="BK164" s="284" t="e">
        <f t="shared" si="774"/>
        <v>#NAME?</v>
      </c>
      <c r="BL164" s="1"/>
      <c r="BM164" s="1" t="e">
        <f>IS!BM157</f>
        <v>#NAME?</v>
      </c>
      <c r="BN164" s="1" t="e">
        <f>IS!BN157</f>
        <v>#NAME?</v>
      </c>
      <c r="BO164" s="1" t="e">
        <f>IS!BO157</f>
        <v>#NAME?</v>
      </c>
      <c r="BP164" s="1" t="e">
        <f>IS!BP157</f>
        <v>#NAME?</v>
      </c>
      <c r="BQ164" s="1" t="e">
        <f>IS!BQ157</f>
        <v>#NAME?</v>
      </c>
      <c r="BR164" s="1" t="e">
        <f>IS!BR157</f>
        <v>#NAME?</v>
      </c>
      <c r="BS164" s="1" t="e">
        <f>IS!BS157</f>
        <v>#NAME?</v>
      </c>
      <c r="BT164" s="1" t="e">
        <f>IS!BT157</f>
        <v>#NAME?</v>
      </c>
      <c r="BU164" s="1" t="e">
        <f>IS!BU157</f>
        <v>#NAME?</v>
      </c>
      <c r="BV164" s="1" t="e">
        <f>IS!BV157</f>
        <v>#NAME?</v>
      </c>
      <c r="BW164" s="1" t="e">
        <f>IS!BW157</f>
        <v>#NAME?</v>
      </c>
      <c r="BX164" s="1" t="e">
        <f>IS!BX157</f>
        <v>#NAME?</v>
      </c>
      <c r="BY164" s="1" t="e">
        <f>IS!BY157</f>
        <v>#NAME?</v>
      </c>
      <c r="BZ164" s="1" t="e">
        <f>IS!BZ157</f>
        <v>#NAME?</v>
      </c>
      <c r="CA164" s="1" t="e">
        <f>IS!CA157</f>
        <v>#NAME?</v>
      </c>
      <c r="CB164" s="2099" t="e">
        <f>IS!CB157</f>
        <v>#NAME?</v>
      </c>
      <c r="CC164" s="1"/>
      <c r="CD164" s="1"/>
    </row>
  </sheetData>
  <phoneticPr fontId="31" type="noConversion"/>
  <pageMargins left="0" right="0" top="0" bottom="0" header="0" footer="0"/>
  <pageSetup paperSize="5" scale="57" orientation="landscape" r:id="rId1"/>
  <headerFooter alignWithMargins="0"/>
  <colBreaks count="1" manualBreakCount="1">
    <brk id="80" min="3" max="73" man="1"/>
  </colBreaks>
  <ignoredErrors>
    <ignoredError sqref="AB161:AB162 D74:AD74 X164:AC164 AF76:AF83 AA155 AA148 AH124:AH125 U134 X161:Z162 AC148 BM74:BS74 D135:AC137 D113:AC113 D123:AC125 D57:AD58 AE81:AE83 AC150:AC162 AA158:AA162 AF162 AE160:AE162 AD164:AG302 D60:AD69 AH158:AH162 AD122:AD162 D76:AD102 AG150:AG162 AE67:AF68 AF74 AH77:AH83 AD112:AD119 AG82:AG83 AG113:AH113 AG123:AG125 AG65:AG68 AG135:AG137 AH64:AH68 AH136:AH137 AL89:AL100 AH150:AH156 AG147:AJ148 AH74 AI83 AL65:AL68 AJ113 AK161:AK162 AI57:AI68 AJ62:AJ68 AI135:AJ137 AL158:AL162 AG86:AJ102 AL80:AL83 AI123:AJ125 AJ80:AJ83 AI150:AJ162 AD105:AD110 D71:AD71 D70:N70 P70:AD70 AH164:AH302 AK164:AK302 AL164:AL302 AI164:AJ302" formula="1"/>
    <ignoredError sqref="BT123:BU125 BT136:BU137 BT61:BT62 BU94:BU100 BV158:BV162 BT57 BL6:CA7 BT102:BU102 BT164:BV164 BT59 BL29:BT56 B19:C19 B30:B33 BT71 BW55:BY55 B51:C56 B38:C46 B49:C49 B21:C26 C29:C33 D12:AD12 B20:Z20 D50:AD50 B8:AD8 BW9:BY9 D34:AD37 AD20 D47:AD48 AH8 BT148:BU148 BT150:BU151 BW20:BY20 AJ8 BL19:BT26 BY8 BT153:BU162 BT85:BT100 BW31:BY32 BT64:BT68 B5:AL7 BT76:BT83 B9:C11 BX10:BY10 BX30:BY30 BW43:BY44 BX42:BY42 BX54:BY54 BL8:BT17 B13:C17 BL5:BN5 BZ5:CA5" formulaRange="1"/>
    <ignoredError sqref="D51:AD56 D38:AD46 AD19 AD21:AD26 D29:AD33 D19:Z19 D49:AD49 BT74 D21:Z26 AA19:AC26 AJ9 AH9 D9:AD11 D13:AD17" formula="1" formulaRange="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51"/>
    <pageSetUpPr fitToPage="1"/>
  </sheetPr>
  <dimension ref="A1:CJ53"/>
  <sheetViews>
    <sheetView showGridLines="0" zoomScale="80" zoomScaleNormal="80" workbookViewId="0">
      <pane xSplit="3" ySplit="7" topLeftCell="AZ8" activePane="bottomRight" state="frozen"/>
      <selection activeCell="AJ87" sqref="AJ87"/>
      <selection pane="topRight" activeCell="AJ87" sqref="AJ87"/>
      <selection pane="bottomLeft" activeCell="AJ87" sqref="AJ87"/>
      <selection pane="bottomRight" activeCell="B4" sqref="B4"/>
    </sheetView>
  </sheetViews>
  <sheetFormatPr defaultRowHeight="14.25" customHeight="1" outlineLevelRow="1" outlineLevelCol="1"/>
  <cols>
    <col min="1" max="1" width="1.7109375" customWidth="1"/>
    <col min="2" max="2" width="56" customWidth="1"/>
    <col min="3" max="3" width="1.7109375" customWidth="1"/>
    <col min="4" max="27" width="11.42578125" hidden="1" customWidth="1" outlineLevel="1"/>
    <col min="28" max="28" width="11.42578125" hidden="1" customWidth="1" outlineLevel="1" collapsed="1"/>
    <col min="29" max="31" width="11.42578125" hidden="1" customWidth="1" outlineLevel="1"/>
    <col min="32" max="32" width="11.42578125" hidden="1" customWidth="1" outlineLevel="1" collapsed="1"/>
    <col min="33" max="35" width="11.42578125" hidden="1" customWidth="1" outlineLevel="1"/>
    <col min="36" max="36" width="11.42578125" hidden="1" customWidth="1" outlineLevel="1" collapsed="1"/>
    <col min="37" max="39" width="11.42578125" hidden="1" customWidth="1" outlineLevel="1"/>
    <col min="40" max="40" width="11.42578125" hidden="1" customWidth="1" outlineLevel="1" collapsed="1"/>
    <col min="41" max="43" width="11.42578125" hidden="1" customWidth="1" outlineLevel="1"/>
    <col min="44" max="44" width="11.42578125" hidden="1" customWidth="1" outlineLevel="1" collapsed="1"/>
    <col min="45" max="51" width="11.42578125" hidden="1" customWidth="1" outlineLevel="1"/>
    <col min="52" max="52" width="11.42578125" customWidth="1" collapsed="1"/>
    <col min="53" max="63" width="11.42578125" customWidth="1"/>
    <col min="64" max="64" width="2.7109375" customWidth="1"/>
    <col min="65" max="76" width="11.42578125" hidden="1" customWidth="1" outlineLevel="1"/>
    <col min="77" max="77" width="11.42578125" customWidth="1" collapsed="1"/>
    <col min="78" max="80" width="11.42578125" customWidth="1"/>
    <col min="87" max="87" width="0" hidden="1" customWidth="1" outlineLevel="1"/>
    <col min="88" max="88" width="9.140625" collapsed="1"/>
  </cols>
  <sheetData>
    <row r="1" spans="1:88" ht="67.5" customHeight="1">
      <c r="A1" s="5"/>
      <c r="B1" s="303"/>
      <c r="C1" s="1"/>
      <c r="D1" s="2"/>
      <c r="E1" s="1"/>
      <c r="F1" s="2"/>
      <c r="G1" s="1"/>
      <c r="H1" s="2"/>
      <c r="I1" s="1"/>
      <c r="J1" s="2"/>
      <c r="K1" s="1"/>
      <c r="L1" s="2"/>
      <c r="M1" s="1"/>
      <c r="N1" s="2"/>
      <c r="O1" s="1"/>
      <c r="P1" s="2"/>
      <c r="Q1" s="1"/>
      <c r="R1" s="2"/>
      <c r="S1" s="1"/>
      <c r="T1" s="2"/>
      <c r="U1" s="1"/>
      <c r="V1" s="2"/>
      <c r="W1" s="1"/>
      <c r="X1" s="2"/>
      <c r="Y1" s="1"/>
      <c r="Z1" s="2"/>
      <c r="AA1" s="1"/>
      <c r="AB1" s="2"/>
      <c r="AC1" s="1"/>
      <c r="AD1" s="2"/>
      <c r="AE1" s="1"/>
      <c r="AF1" s="2"/>
      <c r="AG1" s="1"/>
      <c r="AH1" s="2"/>
      <c r="AI1" s="1"/>
      <c r="AJ1" s="2"/>
      <c r="AK1" s="1"/>
      <c r="AL1" s="2"/>
      <c r="AM1" s="1"/>
      <c r="AN1" s="2"/>
      <c r="AO1" s="1"/>
      <c r="AP1" s="2"/>
      <c r="AQ1" s="1"/>
      <c r="AR1" s="2"/>
      <c r="AS1" s="1"/>
      <c r="AT1" s="1641"/>
      <c r="AU1" s="1"/>
      <c r="AV1" s="2"/>
      <c r="AW1" s="1"/>
      <c r="AX1" s="2"/>
      <c r="AY1" s="1"/>
      <c r="AZ1" s="1"/>
      <c r="BA1" s="1"/>
      <c r="BB1" s="2"/>
      <c r="BC1" s="1"/>
      <c r="BD1" s="1"/>
      <c r="BE1" s="1"/>
      <c r="BF1" s="1"/>
      <c r="BG1" s="1"/>
      <c r="BH1" s="1"/>
      <c r="BI1" s="1"/>
      <c r="BJ1" s="1"/>
      <c r="BK1" s="1"/>
      <c r="BL1" s="2"/>
      <c r="BM1" s="2"/>
      <c r="BN1" s="1"/>
      <c r="BO1" s="1"/>
      <c r="BP1" s="1"/>
      <c r="BQ1" s="1"/>
      <c r="BR1" s="1"/>
      <c r="BS1" s="1"/>
      <c r="BT1" s="2"/>
      <c r="BU1" s="2"/>
      <c r="BV1" s="2"/>
      <c r="BW1" s="2"/>
      <c r="BX1" s="1"/>
      <c r="BY1" s="2"/>
      <c r="BZ1" s="1"/>
      <c r="CA1" s="2"/>
      <c r="CB1" s="1"/>
      <c r="CC1" s="2"/>
      <c r="CD1" s="1"/>
      <c r="CE1" s="2"/>
      <c r="CF1" s="1"/>
      <c r="CG1" s="2"/>
      <c r="CH1" s="1"/>
      <c r="CI1" s="2"/>
      <c r="CJ1" s="1"/>
    </row>
    <row r="2" spans="1:88" ht="18" customHeight="1">
      <c r="A2" s="1"/>
      <c r="B2" s="4" t="s">
        <v>233</v>
      </c>
      <c r="C2" s="4"/>
      <c r="AL2" t="s">
        <v>373</v>
      </c>
      <c r="AT2" s="1454"/>
      <c r="AW2" s="1833"/>
      <c r="AZ2" s="1833"/>
    </row>
    <row r="3" spans="1:88" ht="14.25" customHeight="1">
      <c r="AI3" s="1075"/>
      <c r="AJ3" s="649"/>
      <c r="AK3" s="649"/>
      <c r="AL3" s="649"/>
      <c r="AM3" s="649"/>
      <c r="AN3" s="649"/>
      <c r="AO3" s="649"/>
      <c r="AP3" s="649"/>
      <c r="AQ3" s="649"/>
      <c r="AR3" s="649"/>
      <c r="AS3" s="649"/>
      <c r="AT3" s="649"/>
      <c r="AU3" s="649"/>
      <c r="AV3" s="649"/>
      <c r="AW3" s="649"/>
      <c r="AX3" s="649"/>
      <c r="AY3" s="649"/>
      <c r="AZ3" s="649"/>
      <c r="BA3" s="649"/>
      <c r="BB3" s="649"/>
      <c r="BC3" s="649"/>
      <c r="BD3" s="2224" t="s">
        <v>373</v>
      </c>
      <c r="BE3" s="1834"/>
      <c r="BF3" s="1834"/>
      <c r="BG3" s="1834"/>
      <c r="BH3" s="1834"/>
      <c r="BI3" s="1834"/>
      <c r="BJ3" s="1834"/>
      <c r="BK3" s="1834"/>
      <c r="BL3" s="1834"/>
      <c r="BM3" s="1834"/>
      <c r="BN3" s="1834"/>
      <c r="BO3" s="1834"/>
      <c r="BP3" s="1834"/>
      <c r="BQ3" s="1834"/>
      <c r="BR3" s="1834"/>
      <c r="BS3" s="1834"/>
      <c r="CI3" s="7"/>
    </row>
    <row r="4" spans="1:88" ht="14.25" customHeight="1">
      <c r="A4" s="288"/>
      <c r="B4" s="651"/>
      <c r="C4" s="289"/>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913"/>
      <c r="AK4" s="913"/>
      <c r="AL4" s="913"/>
      <c r="AM4" s="913"/>
      <c r="AN4" s="913"/>
      <c r="AO4" s="913"/>
      <c r="AP4" s="913"/>
      <c r="AQ4" s="913"/>
      <c r="AR4" s="913"/>
      <c r="AS4" s="913"/>
      <c r="AT4" s="1454"/>
      <c r="AU4" s="913"/>
      <c r="AV4" s="1459"/>
      <c r="AW4" s="1459"/>
      <c r="AX4" s="1459"/>
      <c r="AY4" s="1459"/>
      <c r="AZ4" s="1459"/>
      <c r="BA4" s="1459"/>
      <c r="BB4" s="1459"/>
      <c r="BC4" s="1459"/>
      <c r="BD4" s="1459"/>
      <c r="BE4" s="1459"/>
      <c r="BF4" s="1459"/>
      <c r="BG4" s="1459"/>
      <c r="BH4" s="1459"/>
      <c r="BI4" s="1459"/>
      <c r="BJ4" s="1459"/>
      <c r="BK4" s="1459"/>
      <c r="BL4" s="913"/>
      <c r="BM4" s="1"/>
      <c r="BN4" s="1"/>
      <c r="BO4" s="1"/>
      <c r="BP4" s="1"/>
      <c r="BQ4" s="1"/>
      <c r="BR4" s="1"/>
      <c r="BS4" s="1"/>
      <c r="BT4" s="1"/>
      <c r="BU4" s="1"/>
      <c r="BV4" s="1"/>
      <c r="BW4" s="1"/>
      <c r="BX4" s="1"/>
      <c r="BY4" s="1"/>
      <c r="BZ4" s="1"/>
      <c r="CA4" s="1"/>
      <c r="CB4" s="1"/>
      <c r="CI4" s="7"/>
    </row>
    <row r="5" spans="1:88" ht="14.25" customHeight="1">
      <c r="A5" s="1"/>
      <c r="B5" s="8" t="s">
        <v>235</v>
      </c>
      <c r="C5" s="379"/>
      <c r="D5" s="468" t="str">
        <f>IS!D4</f>
        <v>C1Q05A</v>
      </c>
      <c r="E5" s="469" t="str">
        <f>IS!E4</f>
        <v>C2Q05A</v>
      </c>
      <c r="F5" s="469" t="str">
        <f>IS!F4</f>
        <v>C3Q05A</v>
      </c>
      <c r="G5" s="470" t="str">
        <f>IS!G4</f>
        <v>C4Q05A</v>
      </c>
      <c r="H5" s="468" t="str">
        <f>IS!H4</f>
        <v>C1Q06A</v>
      </c>
      <c r="I5" s="469" t="str">
        <f>IS!I4</f>
        <v>C2Q06A</v>
      </c>
      <c r="J5" s="469" t="str">
        <f>IS!J4</f>
        <v>C3Q06A</v>
      </c>
      <c r="K5" s="469" t="str">
        <f>IS!K4</f>
        <v>C4Q06A</v>
      </c>
      <c r="L5" s="468" t="str">
        <f>IS!L4</f>
        <v>C1Q07A</v>
      </c>
      <c r="M5" s="469" t="str">
        <f>IS!M4</f>
        <v>C2Q07A</v>
      </c>
      <c r="N5" s="469" t="str">
        <f>IS!N4</f>
        <v>C3Q07A</v>
      </c>
      <c r="O5" s="470" t="str">
        <f>IS!O4</f>
        <v>C4Q07A</v>
      </c>
      <c r="P5" s="468" t="str">
        <f>IS!P4</f>
        <v>C1Q08A</v>
      </c>
      <c r="Q5" s="469" t="str">
        <f>IS!Q4</f>
        <v>C2Q08A</v>
      </c>
      <c r="R5" s="469" t="str">
        <f>IS!R4</f>
        <v>C3Q08A</v>
      </c>
      <c r="S5" s="470" t="str">
        <f>IS!S4</f>
        <v>C4Q08A</v>
      </c>
      <c r="T5" s="468" t="str">
        <f>IS!T4</f>
        <v>C1Q09A</v>
      </c>
      <c r="U5" s="469" t="str">
        <f>IS!U4</f>
        <v>C2Q09A</v>
      </c>
      <c r="V5" s="469" t="str">
        <f>IS!V4</f>
        <v>C3Q09A</v>
      </c>
      <c r="W5" s="470" t="str">
        <f>IS!W4</f>
        <v>C4Q09A</v>
      </c>
      <c r="X5" s="468" t="str">
        <f>IS!X4</f>
        <v>C1Q10A</v>
      </c>
      <c r="Y5" s="469" t="str">
        <f>IS!Y4</f>
        <v>C2Q10A</v>
      </c>
      <c r="Z5" s="469" t="str">
        <f>IS!Z4</f>
        <v>C3Q10A</v>
      </c>
      <c r="AA5" s="470" t="str">
        <f>IS!AA4</f>
        <v>C4Q10A</v>
      </c>
      <c r="AB5" s="468" t="str">
        <f>IS!AB4</f>
        <v>C1Q11A</v>
      </c>
      <c r="AC5" s="469" t="str">
        <f>IS!AC4</f>
        <v>C2Q11A</v>
      </c>
      <c r="AD5" s="469" t="str">
        <f>IS!AD4</f>
        <v>C3Q11A</v>
      </c>
      <c r="AE5" s="470" t="str">
        <f>IS!AE4</f>
        <v>C4Q11A</v>
      </c>
      <c r="AF5" s="468" t="str">
        <f>IS!AF4</f>
        <v>C1Q12A</v>
      </c>
      <c r="AG5" s="469" t="str">
        <f>IS!AG4</f>
        <v>C2Q12A</v>
      </c>
      <c r="AH5" s="469" t="str">
        <f>IS!AH4</f>
        <v>C3Q12A</v>
      </c>
      <c r="AI5" s="470" t="str">
        <f>IS!AI4</f>
        <v>C4Q12A</v>
      </c>
      <c r="AJ5" s="468" t="str">
        <f>IS!AJ4</f>
        <v>C1Q13A</v>
      </c>
      <c r="AK5" s="469" t="str">
        <f>IS!AK4</f>
        <v>C2Q13A</v>
      </c>
      <c r="AL5" s="469" t="str">
        <f>IS!AL4</f>
        <v>C3Q13A</v>
      </c>
      <c r="AM5" s="470" t="str">
        <f>IS!AM4</f>
        <v>C4Q13A</v>
      </c>
      <c r="AN5" s="468" t="str">
        <f>IS!AN4</f>
        <v>C1Q14A</v>
      </c>
      <c r="AO5" s="469" t="str">
        <f>IS!AO4</f>
        <v>C2Q14A</v>
      </c>
      <c r="AP5" s="469" t="str">
        <f>IS!AP4</f>
        <v>C3Q14A</v>
      </c>
      <c r="AQ5" s="470" t="str">
        <f>IS!AQ4</f>
        <v>C4Q14A</v>
      </c>
      <c r="AR5" s="468" t="str">
        <f>IS!AR4</f>
        <v>C1Q15A</v>
      </c>
      <c r="AS5" s="469" t="str">
        <f>IS!AS4</f>
        <v>C2Q15A</v>
      </c>
      <c r="AT5" s="469" t="str">
        <f>IS!AT4</f>
        <v>C3Q15A</v>
      </c>
      <c r="AU5" s="469" t="str">
        <f>IS!AU4</f>
        <v>C4Q15A</v>
      </c>
      <c r="AV5" s="468" t="str">
        <f>IS!AV4</f>
        <v>C1Q16A</v>
      </c>
      <c r="AW5" s="469" t="str">
        <f>IS!AW4</f>
        <v>C2Q16A</v>
      </c>
      <c r="AX5" s="469" t="str">
        <f>IS!AX4</f>
        <v>C3Q16A</v>
      </c>
      <c r="AY5" s="470" t="str">
        <f>IS!AY4</f>
        <v>C4Q16A</v>
      </c>
      <c r="AZ5" s="469" t="str">
        <f>IS!AZ4</f>
        <v>C1Q17A</v>
      </c>
      <c r="BA5" s="469" t="str">
        <f>IS!BA4</f>
        <v>C2Q17A</v>
      </c>
      <c r="BB5" s="469" t="str">
        <f>IS!BB4</f>
        <v>C3Q17A</v>
      </c>
      <c r="BC5" s="469" t="str">
        <f>IS!BC4</f>
        <v>C4Q17A</v>
      </c>
      <c r="BD5" s="468" t="str">
        <f>IS!BD4</f>
        <v>C1Q18A</v>
      </c>
      <c r="BE5" s="469" t="str">
        <f>IS!BE4</f>
        <v>C2Q18E</v>
      </c>
      <c r="BF5" s="469" t="str">
        <f>IS!BF4</f>
        <v>C3Q18E</v>
      </c>
      <c r="BG5" s="470" t="str">
        <f>IS!BG4</f>
        <v>C4Q18E</v>
      </c>
      <c r="BH5" s="468" t="str">
        <f>IS!BH4</f>
        <v>C1Q19A</v>
      </c>
      <c r="BI5" s="469" t="str">
        <f>IS!BI4</f>
        <v>C2Q19E</v>
      </c>
      <c r="BJ5" s="469" t="str">
        <f>IS!BJ4</f>
        <v>C3Q19E</v>
      </c>
      <c r="BK5" s="470" t="str">
        <f>IS!BK4</f>
        <v>C4Q19E</v>
      </c>
      <c r="BL5" s="1"/>
      <c r="BM5" s="1"/>
      <c r="BN5" s="1"/>
      <c r="BO5" s="1"/>
      <c r="BP5" s="1"/>
      <c r="BQ5" s="1"/>
      <c r="BR5" s="1"/>
      <c r="BS5" s="1"/>
      <c r="BT5" s="1"/>
      <c r="BU5" s="1"/>
      <c r="BV5" s="1"/>
      <c r="BW5" s="1"/>
      <c r="BX5" s="1"/>
      <c r="BY5" s="1"/>
      <c r="BZ5" s="1"/>
      <c r="CA5" s="1"/>
      <c r="CB5" s="1"/>
      <c r="CI5" s="7"/>
      <c r="CJ5" s="7"/>
    </row>
    <row r="6" spans="1:88" ht="14.25" customHeight="1">
      <c r="A6" s="1"/>
      <c r="B6" s="11" t="s">
        <v>190</v>
      </c>
      <c r="C6" s="290"/>
      <c r="D6" s="468">
        <f>IS!D5</f>
        <v>38442</v>
      </c>
      <c r="E6" s="469">
        <f>IS!E5</f>
        <v>38533</v>
      </c>
      <c r="F6" s="469">
        <f>IS!F5</f>
        <v>38625</v>
      </c>
      <c r="G6" s="470">
        <f>IS!G5</f>
        <v>38717</v>
      </c>
      <c r="H6" s="468">
        <f>IS!H5</f>
        <v>38807</v>
      </c>
      <c r="I6" s="469">
        <f>IS!I5</f>
        <v>38898</v>
      </c>
      <c r="J6" s="469">
        <f>IS!J5</f>
        <v>38990</v>
      </c>
      <c r="K6" s="469">
        <f>IS!K5</f>
        <v>39082</v>
      </c>
      <c r="L6" s="468">
        <f>IS!L5</f>
        <v>39172</v>
      </c>
      <c r="M6" s="469">
        <f>IS!M5</f>
        <v>39263</v>
      </c>
      <c r="N6" s="469">
        <f>IS!N5</f>
        <v>39355</v>
      </c>
      <c r="O6" s="470">
        <f>IS!O5</f>
        <v>39447</v>
      </c>
      <c r="P6" s="468">
        <f>IS!P5</f>
        <v>39538</v>
      </c>
      <c r="Q6" s="469">
        <f>IS!Q5</f>
        <v>39629</v>
      </c>
      <c r="R6" s="469">
        <f>IS!R5</f>
        <v>39721</v>
      </c>
      <c r="S6" s="470">
        <f>IS!S5</f>
        <v>39813</v>
      </c>
      <c r="T6" s="468">
        <f>IS!T5</f>
        <v>39903</v>
      </c>
      <c r="U6" s="469">
        <f>IS!U5</f>
        <v>39994</v>
      </c>
      <c r="V6" s="469">
        <f>IS!V5</f>
        <v>40086</v>
      </c>
      <c r="W6" s="470">
        <f>IS!W5</f>
        <v>40178</v>
      </c>
      <c r="X6" s="468">
        <f>IS!X5</f>
        <v>40268</v>
      </c>
      <c r="Y6" s="469">
        <f>IS!Y5</f>
        <v>40359</v>
      </c>
      <c r="Z6" s="469">
        <f>IS!Z5</f>
        <v>40451</v>
      </c>
      <c r="AA6" s="470">
        <f>IS!AA5</f>
        <v>40543</v>
      </c>
      <c r="AB6" s="468">
        <f>IS!AB5</f>
        <v>40633</v>
      </c>
      <c r="AC6" s="469">
        <f>IS!AC5</f>
        <v>40724</v>
      </c>
      <c r="AD6" s="469">
        <f>IS!AD5</f>
        <v>40816</v>
      </c>
      <c r="AE6" s="470">
        <f>IS!AE5</f>
        <v>40908</v>
      </c>
      <c r="AF6" s="468">
        <f>IS!AF5</f>
        <v>40999</v>
      </c>
      <c r="AG6" s="469">
        <f>IS!AG5</f>
        <v>41090</v>
      </c>
      <c r="AH6" s="469">
        <f>IS!AH5</f>
        <v>41182</v>
      </c>
      <c r="AI6" s="470">
        <f>IS!AI5</f>
        <v>41274</v>
      </c>
      <c r="AJ6" s="468">
        <f>IS!AJ5</f>
        <v>41364</v>
      </c>
      <c r="AK6" s="469">
        <f>IS!AK5</f>
        <v>41455</v>
      </c>
      <c r="AL6" s="469">
        <f>IS!AL5</f>
        <v>41547</v>
      </c>
      <c r="AM6" s="470">
        <f>IS!AM5</f>
        <v>41639</v>
      </c>
      <c r="AN6" s="468">
        <f>IS!AN5</f>
        <v>41729</v>
      </c>
      <c r="AO6" s="469">
        <f>IS!AO5</f>
        <v>41820</v>
      </c>
      <c r="AP6" s="469">
        <f>IS!AP5</f>
        <v>41912</v>
      </c>
      <c r="AQ6" s="470">
        <f>IS!AQ5</f>
        <v>42004</v>
      </c>
      <c r="AR6" s="468">
        <f>IS!AR5</f>
        <v>42094</v>
      </c>
      <c r="AS6" s="469">
        <f>IS!AS5</f>
        <v>42185</v>
      </c>
      <c r="AT6" s="469">
        <f>IS!AT5</f>
        <v>42277</v>
      </c>
      <c r="AU6" s="469">
        <f>IS!AU5</f>
        <v>42369</v>
      </c>
      <c r="AV6" s="468">
        <f>IS!AV5</f>
        <v>42460</v>
      </c>
      <c r="AW6" s="469">
        <f>IS!AW5</f>
        <v>42551</v>
      </c>
      <c r="AX6" s="469">
        <f>IS!AX5</f>
        <v>42643</v>
      </c>
      <c r="AY6" s="470">
        <f>IS!AY5</f>
        <v>42735</v>
      </c>
      <c r="AZ6" s="469">
        <f>IS!AZ5</f>
        <v>42825</v>
      </c>
      <c r="BA6" s="469">
        <f>IS!BA5</f>
        <v>42916</v>
      </c>
      <c r="BB6" s="469">
        <f>IS!BB5</f>
        <v>43008</v>
      </c>
      <c r="BC6" s="469">
        <f>IS!BC5</f>
        <v>43100</v>
      </c>
      <c r="BD6" s="468">
        <f>IS!BD5</f>
        <v>43190</v>
      </c>
      <c r="BE6" s="469">
        <f>IS!BE5</f>
        <v>43281</v>
      </c>
      <c r="BF6" s="469">
        <f>IS!BF5</f>
        <v>43373</v>
      </c>
      <c r="BG6" s="470">
        <f>IS!BG5</f>
        <v>43465</v>
      </c>
      <c r="BH6" s="468">
        <f>IS!BH5</f>
        <v>43555</v>
      </c>
      <c r="BI6" s="469">
        <f>IS!BI5</f>
        <v>43646</v>
      </c>
      <c r="BJ6" s="469">
        <f>IS!BJ5</f>
        <v>43738</v>
      </c>
      <c r="BK6" s="470">
        <f>IS!BK5</f>
        <v>43830</v>
      </c>
      <c r="BL6" s="13"/>
      <c r="BM6" s="7"/>
      <c r="BN6" s="7"/>
      <c r="BO6" s="7"/>
      <c r="BP6" s="7"/>
      <c r="BQ6" s="7"/>
      <c r="BR6" s="7"/>
      <c r="BS6" s="7"/>
      <c r="BT6" s="7"/>
      <c r="BU6" s="7"/>
      <c r="BV6" s="7"/>
      <c r="BW6" s="7"/>
      <c r="BX6" s="7"/>
      <c r="BY6" s="7"/>
      <c r="BZ6" s="7"/>
      <c r="CA6" s="7"/>
      <c r="CB6" s="7"/>
      <c r="CC6" s="2026"/>
      <c r="CD6" s="2026"/>
      <c r="CI6" s="7"/>
      <c r="CJ6" s="7"/>
    </row>
    <row r="7" spans="1:88" ht="14.25" customHeight="1">
      <c r="A7" s="1"/>
      <c r="B7" s="260"/>
      <c r="C7" s="291"/>
      <c r="D7" s="471" t="str">
        <f>IS!D6</f>
        <v>F1Q05A</v>
      </c>
      <c r="E7" s="472" t="str">
        <f>IS!E6</f>
        <v>F2Q05A</v>
      </c>
      <c r="F7" s="472" t="str">
        <f>IS!F6</f>
        <v>F3Q05A</v>
      </c>
      <c r="G7" s="473" t="str">
        <f>IS!G6</f>
        <v>F4Q05A</v>
      </c>
      <c r="H7" s="471" t="str">
        <f>IS!H6</f>
        <v>F1Q06A</v>
      </c>
      <c r="I7" s="472" t="str">
        <f>IS!I6</f>
        <v>F2Q06A</v>
      </c>
      <c r="J7" s="472" t="str">
        <f>IS!J6</f>
        <v>F3Q06A</v>
      </c>
      <c r="K7" s="472" t="str">
        <f>IS!K6</f>
        <v>F4Q06A</v>
      </c>
      <c r="L7" s="471" t="str">
        <f>IS!L6</f>
        <v>F1Q07A</v>
      </c>
      <c r="M7" s="472" t="str">
        <f>IS!M6</f>
        <v>F2Q07A</v>
      </c>
      <c r="N7" s="472" t="str">
        <f>IS!N6</f>
        <v>F3Q07A</v>
      </c>
      <c r="O7" s="473" t="str">
        <f>IS!O6</f>
        <v>F4Q07A</v>
      </c>
      <c r="P7" s="471" t="str">
        <f>IS!P6</f>
        <v>F1Q08A</v>
      </c>
      <c r="Q7" s="472" t="str">
        <f>IS!Q6</f>
        <v>F2Q08A</v>
      </c>
      <c r="R7" s="472" t="str">
        <f>IS!R6</f>
        <v>F3Q08A</v>
      </c>
      <c r="S7" s="473" t="str">
        <f>IS!S6</f>
        <v>F4Q08A</v>
      </c>
      <c r="T7" s="471" t="str">
        <f>IS!T6</f>
        <v>F1Q09A</v>
      </c>
      <c r="U7" s="472" t="str">
        <f>IS!U6</f>
        <v>F2Q09A</v>
      </c>
      <c r="V7" s="472" t="str">
        <f>IS!V6</f>
        <v>F3Q09A</v>
      </c>
      <c r="W7" s="473" t="str">
        <f>IS!W6</f>
        <v>F4Q09A</v>
      </c>
      <c r="X7" s="471" t="str">
        <f>IS!X6</f>
        <v>F1Q10A</v>
      </c>
      <c r="Y7" s="472" t="str">
        <f>IS!Y6</f>
        <v>F2Q10A</v>
      </c>
      <c r="Z7" s="472" t="str">
        <f>IS!Z6</f>
        <v>F3Q10A</v>
      </c>
      <c r="AA7" s="473" t="str">
        <f>IS!AA6</f>
        <v>F4Q10A</v>
      </c>
      <c r="AB7" s="471" t="str">
        <f>IS!AB6</f>
        <v>F1Q11A</v>
      </c>
      <c r="AC7" s="472" t="str">
        <f>IS!AC6</f>
        <v>F2Q11A</v>
      </c>
      <c r="AD7" s="472" t="str">
        <f>IS!AD6</f>
        <v>F3Q11A</v>
      </c>
      <c r="AE7" s="473" t="str">
        <f>IS!AE6</f>
        <v>F4Q11A</v>
      </c>
      <c r="AF7" s="471" t="str">
        <f>IS!AF6</f>
        <v>F1Q12A</v>
      </c>
      <c r="AG7" s="472" t="str">
        <f>IS!AG6</f>
        <v>F2Q12A</v>
      </c>
      <c r="AH7" s="472" t="str">
        <f>IS!AH6</f>
        <v>F3Q12A</v>
      </c>
      <c r="AI7" s="473" t="str">
        <f>IS!AI6</f>
        <v>F4Q12A</v>
      </c>
      <c r="AJ7" s="471" t="str">
        <f>IS!AJ6</f>
        <v>F1Q13A</v>
      </c>
      <c r="AK7" s="472" t="str">
        <f>IS!AK6</f>
        <v>F2Q13A</v>
      </c>
      <c r="AL7" s="472" t="str">
        <f>IS!AL6</f>
        <v>F3Q13A</v>
      </c>
      <c r="AM7" s="473" t="str">
        <f>IS!AM6</f>
        <v>F4Q13A</v>
      </c>
      <c r="AN7" s="471" t="str">
        <f>IS!AN6</f>
        <v>F1Q14A</v>
      </c>
      <c r="AO7" s="472" t="str">
        <f>IS!AO6</f>
        <v>F2Q14A</v>
      </c>
      <c r="AP7" s="472" t="str">
        <f>IS!AP6</f>
        <v>F3Q14A</v>
      </c>
      <c r="AQ7" s="473" t="str">
        <f>IS!AQ6</f>
        <v>F4Q14A</v>
      </c>
      <c r="AR7" s="471" t="str">
        <f>IS!AR6</f>
        <v>F1Q15A</v>
      </c>
      <c r="AS7" s="472" t="str">
        <f>IS!AS6</f>
        <v>F2Q15A</v>
      </c>
      <c r="AT7" s="472" t="str">
        <f>IS!AT6</f>
        <v>F3Q15A</v>
      </c>
      <c r="AU7" s="472" t="str">
        <f>IS!AU6</f>
        <v>F4Q15A</v>
      </c>
      <c r="AV7" s="471" t="str">
        <f>IS!AV6</f>
        <v>F1Q16A</v>
      </c>
      <c r="AW7" s="472" t="str">
        <f>IS!AW6</f>
        <v>C2Q16A</v>
      </c>
      <c r="AX7" s="472" t="str">
        <f>IS!AX6</f>
        <v>F3Q16A</v>
      </c>
      <c r="AY7" s="473" t="str">
        <f>IS!AY6</f>
        <v>F4Q16A</v>
      </c>
      <c r="AZ7" s="472" t="str">
        <f>IS!AZ6</f>
        <v>F1Q17A</v>
      </c>
      <c r="BA7" s="472" t="str">
        <f>IS!BA6</f>
        <v>C2Q17A</v>
      </c>
      <c r="BB7" s="472" t="str">
        <f>IS!BB6</f>
        <v>C3Q17A</v>
      </c>
      <c r="BC7" s="472" t="str">
        <f>IS!BC6</f>
        <v>F4Q17A</v>
      </c>
      <c r="BD7" s="471" t="str">
        <f>IS!BD6</f>
        <v>F1Q18A</v>
      </c>
      <c r="BE7" s="472" t="str">
        <f>IS!BE6</f>
        <v>F2Q18E</v>
      </c>
      <c r="BF7" s="472" t="str">
        <f>IS!BF6</f>
        <v>F3Q18E</v>
      </c>
      <c r="BG7" s="473" t="str">
        <f>IS!BG6</f>
        <v>F4Q18E</v>
      </c>
      <c r="BH7" s="471" t="str">
        <f>IS!BH6</f>
        <v>F1Q19E</v>
      </c>
      <c r="BI7" s="472" t="str">
        <f>IS!BI6</f>
        <v>F2Q19E</v>
      </c>
      <c r="BJ7" s="472" t="str">
        <f>IS!BJ6</f>
        <v>F3Q19E</v>
      </c>
      <c r="BK7" s="473" t="str">
        <f>IS!BK6</f>
        <v>F4Q19E</v>
      </c>
      <c r="BL7" s="244"/>
      <c r="BM7" s="471" t="str">
        <f>IS!BM6</f>
        <v>FY2005A</v>
      </c>
      <c r="BN7" s="472" t="str">
        <f>IS!BN6</f>
        <v>FY2006A</v>
      </c>
      <c r="BO7" s="472" t="str">
        <f>IS!BO6</f>
        <v>FY2007A</v>
      </c>
      <c r="BP7" s="472" t="str">
        <f>IS!BP6</f>
        <v>FY2008A</v>
      </c>
      <c r="BQ7" s="472" t="str">
        <f>IS!BQ6</f>
        <v>FY2009A</v>
      </c>
      <c r="BR7" s="472" t="str">
        <f>IS!BR6</f>
        <v>FY2010A</v>
      </c>
      <c r="BS7" s="472" t="str">
        <f>IS!BS6</f>
        <v>FY2011A</v>
      </c>
      <c r="BT7" s="1152" t="str">
        <f>IS!BT6</f>
        <v>FY2012A</v>
      </c>
      <c r="BU7" s="1152" t="str">
        <f>IS!BU6</f>
        <v>FY2013A</v>
      </c>
      <c r="BV7" s="1152" t="str">
        <f>IS!BV6</f>
        <v>FY2014A</v>
      </c>
      <c r="BW7" s="1152" t="str">
        <f>IS!BW6</f>
        <v>FY2015A</v>
      </c>
      <c r="BX7" s="1152" t="str">
        <f>IS!BX6</f>
        <v>FY2016A</v>
      </c>
      <c r="BY7" s="1152" t="str">
        <f>IS!BY6</f>
        <v>FY2017A</v>
      </c>
      <c r="BZ7" s="1152" t="str">
        <f>IS!BZ6</f>
        <v>FY2018E</v>
      </c>
      <c r="CA7" s="583" t="str">
        <f>IS!CA6</f>
        <v>FY2019E</v>
      </c>
      <c r="CB7" s="333"/>
      <c r="CI7" s="7"/>
      <c r="CJ7" s="7"/>
    </row>
    <row r="8" spans="1:88" s="7" customFormat="1" ht="14.25" customHeight="1">
      <c r="B8" s="269" t="s">
        <v>518</v>
      </c>
      <c r="C8" s="287"/>
      <c r="D8" s="382"/>
      <c r="E8" s="371"/>
      <c r="F8" s="371"/>
      <c r="G8" s="372"/>
      <c r="H8" s="382"/>
      <c r="I8" s="371"/>
      <c r="J8" s="371"/>
      <c r="K8" s="372"/>
      <c r="L8" s="382"/>
      <c r="M8" s="371"/>
      <c r="N8" s="371"/>
      <c r="O8" s="372"/>
      <c r="P8" s="382"/>
      <c r="Q8" s="371"/>
      <c r="R8" s="371"/>
      <c r="S8" s="372"/>
      <c r="T8" s="382"/>
      <c r="U8" s="371"/>
      <c r="V8" s="371"/>
      <c r="W8" s="372"/>
      <c r="X8" s="382"/>
      <c r="Y8" s="371"/>
      <c r="Z8" s="371"/>
      <c r="AA8" s="372"/>
      <c r="AB8" s="382"/>
      <c r="AC8" s="371"/>
      <c r="AD8" s="371"/>
      <c r="AE8" s="372"/>
      <c r="AF8" s="382"/>
      <c r="AG8" s="371"/>
      <c r="AH8" s="371"/>
      <c r="AI8" s="480"/>
      <c r="AJ8" s="371">
        <f>SUM(AJ9:AJ9)</f>
        <v>913</v>
      </c>
      <c r="AK8" s="371">
        <f t="shared" ref="AK8:BK8" si="0">SUM(AK9:AK9)</f>
        <v>994</v>
      </c>
      <c r="AL8" s="371">
        <f t="shared" si="0"/>
        <v>925</v>
      </c>
      <c r="AM8" s="371">
        <f t="shared" si="0"/>
        <v>888</v>
      </c>
      <c r="AN8" s="917">
        <f t="shared" si="0"/>
        <v>861</v>
      </c>
      <c r="AO8" s="918">
        <f t="shared" si="0"/>
        <v>828</v>
      </c>
      <c r="AP8" s="918">
        <f t="shared" si="0"/>
        <v>781</v>
      </c>
      <c r="AQ8" s="480">
        <f t="shared" si="0"/>
        <v>662</v>
      </c>
      <c r="AR8" s="917">
        <f t="shared" si="0"/>
        <v>532</v>
      </c>
      <c r="AS8" s="918">
        <f t="shared" si="0"/>
        <v>379</v>
      </c>
      <c r="AT8" s="918">
        <f t="shared" si="0"/>
        <v>424</v>
      </c>
      <c r="AU8" s="918">
        <f t="shared" si="0"/>
        <v>470</v>
      </c>
      <c r="AV8" s="917">
        <f t="shared" si="0"/>
        <v>460</v>
      </c>
      <c r="AW8" s="918">
        <f t="shared" si="0"/>
        <v>435</v>
      </c>
      <c r="AX8" s="1525">
        <f t="shared" si="0"/>
        <v>472</v>
      </c>
      <c r="AY8" s="480">
        <f t="shared" si="0"/>
        <v>600</v>
      </c>
      <c r="AZ8" s="918">
        <f t="shared" si="0"/>
        <v>593</v>
      </c>
      <c r="BA8" s="918">
        <f t="shared" si="0"/>
        <v>659</v>
      </c>
      <c r="BB8" s="918">
        <f t="shared" si="0"/>
        <v>819</v>
      </c>
      <c r="BC8" s="480">
        <f t="shared" si="0"/>
        <v>958</v>
      </c>
      <c r="BD8" s="917">
        <f t="shared" si="0"/>
        <v>1115</v>
      </c>
      <c r="BE8" s="918">
        <f t="shared" si="0"/>
        <v>1112.5475768505567</v>
      </c>
      <c r="BF8" s="918">
        <f t="shared" si="0"/>
        <v>1090.8408895969965</v>
      </c>
      <c r="BG8" s="480">
        <f t="shared" si="0"/>
        <v>1062.9429688041419</v>
      </c>
      <c r="BH8" s="917">
        <f t="shared" si="0"/>
        <v>1029.6891228076743</v>
      </c>
      <c r="BI8" s="918">
        <f t="shared" si="0"/>
        <v>1023.1800346103504</v>
      </c>
      <c r="BJ8" s="918">
        <f t="shared" si="0"/>
        <v>1060.3761658505473</v>
      </c>
      <c r="BK8" s="480">
        <f t="shared" si="0"/>
        <v>1083.7054479307026</v>
      </c>
      <c r="BL8" s="311"/>
      <c r="BM8" s="483"/>
      <c r="BN8" s="392"/>
      <c r="BO8" s="392"/>
      <c r="BP8" s="392"/>
      <c r="BQ8" s="392"/>
      <c r="BR8" s="392"/>
      <c r="BS8" s="392"/>
      <c r="BT8" s="2040"/>
      <c r="BU8" s="2040">
        <f>+SUM(AJ8:AM8)</f>
        <v>3720</v>
      </c>
      <c r="BV8" s="1085">
        <f>+SUM(AN8:AQ8)</f>
        <v>3132</v>
      </c>
      <c r="BW8" s="392">
        <f>SUM(AR8:AU8)</f>
        <v>1805</v>
      </c>
      <c r="BX8" s="1403">
        <f>SUM(BX9:BX9)</f>
        <v>1966.9667910988692</v>
      </c>
      <c r="BY8" s="2193">
        <f>SUM(BY9:BY9)</f>
        <v>3009.173600735674</v>
      </c>
      <c r="BZ8" s="2193">
        <f>SUM(BZ9:BZ9)</f>
        <v>4381.0890698476551</v>
      </c>
      <c r="CA8" s="2192">
        <f>SUM(CA9:CA9)</f>
        <v>4196.9507711992737</v>
      </c>
      <c r="CB8" s="1408"/>
    </row>
    <row r="9" spans="1:88" s="7" customFormat="1" ht="14.25" customHeight="1">
      <c r="B9" s="23" t="s">
        <v>269</v>
      </c>
      <c r="C9" s="287"/>
      <c r="D9" s="383"/>
      <c r="E9" s="373"/>
      <c r="F9" s="373"/>
      <c r="G9" s="403"/>
      <c r="H9" s="383"/>
      <c r="I9" s="373"/>
      <c r="J9" s="373"/>
      <c r="K9" s="403"/>
      <c r="L9" s="383"/>
      <c r="M9" s="373"/>
      <c r="N9" s="373"/>
      <c r="O9" s="374"/>
      <c r="P9" s="383"/>
      <c r="Q9" s="373"/>
      <c r="R9" s="373"/>
      <c r="S9" s="374"/>
      <c r="T9" s="383"/>
      <c r="U9" s="373"/>
      <c r="V9" s="373"/>
      <c r="W9" s="374"/>
      <c r="X9" s="383"/>
      <c r="Y9" s="373"/>
      <c r="Z9" s="373"/>
      <c r="AA9" s="374"/>
      <c r="AB9" s="383"/>
      <c r="AC9" s="373"/>
      <c r="AD9" s="373"/>
      <c r="AE9" s="374"/>
      <c r="AF9" s="383"/>
      <c r="AG9" s="373"/>
      <c r="AH9" s="891"/>
      <c r="AI9" s="374"/>
      <c r="AJ9" s="1154">
        <v>913</v>
      </c>
      <c r="AK9" s="1154">
        <v>994</v>
      </c>
      <c r="AL9" s="1154">
        <v>925</v>
      </c>
      <c r="AM9" s="1154">
        <v>888</v>
      </c>
      <c r="AN9" s="1460">
        <v>861</v>
      </c>
      <c r="AO9" s="1154">
        <v>828</v>
      </c>
      <c r="AP9" s="1154">
        <v>781</v>
      </c>
      <c r="AQ9" s="1155">
        <v>662</v>
      </c>
      <c r="AR9" s="1460">
        <v>532</v>
      </c>
      <c r="AS9" s="1154">
        <v>379</v>
      </c>
      <c r="AT9" s="1154">
        <v>424</v>
      </c>
      <c r="AU9" s="1154">
        <v>470</v>
      </c>
      <c r="AV9" s="1460">
        <v>460</v>
      </c>
      <c r="AW9" s="1154">
        <v>435</v>
      </c>
      <c r="AX9" s="1526">
        <v>472</v>
      </c>
      <c r="AY9" s="1511">
        <v>600</v>
      </c>
      <c r="AZ9" s="1460">
        <v>593</v>
      </c>
      <c r="BA9" s="1154">
        <v>659</v>
      </c>
      <c r="BB9" s="1154">
        <v>819</v>
      </c>
      <c r="BC9" s="1511">
        <v>958</v>
      </c>
      <c r="BD9" s="1460">
        <v>1115</v>
      </c>
      <c r="BE9" s="159">
        <f t="shared" ref="BE9:BG9" si="1">SUM(BE10:BE12)</f>
        <v>1112.5475768505567</v>
      </c>
      <c r="BF9" s="159">
        <f t="shared" si="1"/>
        <v>1090.8408895969965</v>
      </c>
      <c r="BG9" s="1707">
        <f t="shared" si="1"/>
        <v>1062.9429688041419</v>
      </c>
      <c r="BH9" s="161">
        <f t="shared" ref="BH9:BK9" si="2">SUM(BH10:BH12)</f>
        <v>1029.6891228076743</v>
      </c>
      <c r="BI9" s="159">
        <f t="shared" si="2"/>
        <v>1023.1800346103504</v>
      </c>
      <c r="BJ9" s="159">
        <f t="shared" si="2"/>
        <v>1060.3761658505473</v>
      </c>
      <c r="BK9" s="1707">
        <f t="shared" si="2"/>
        <v>1083.7054479307026</v>
      </c>
      <c r="BL9" s="311"/>
      <c r="BM9" s="482"/>
      <c r="BN9" s="391"/>
      <c r="BO9" s="391"/>
      <c r="BP9" s="391"/>
      <c r="BQ9" s="391"/>
      <c r="BR9" s="391"/>
      <c r="BS9" s="391"/>
      <c r="BT9" s="159"/>
      <c r="BU9" s="159">
        <f>+SUM(AJ9:AM9)</f>
        <v>3720</v>
      </c>
      <c r="BV9" s="1086">
        <f>+SUM(AN9:AQ9)</f>
        <v>3132</v>
      </c>
      <c r="BW9" s="391">
        <f>SUM(AR9:AU9)</f>
        <v>1805</v>
      </c>
      <c r="BX9" s="1402">
        <f>SUM(BX10:BX12)</f>
        <v>1966.9667910988692</v>
      </c>
      <c r="BY9" s="1402">
        <f>SUM(BY10:BY12)</f>
        <v>3009.173600735674</v>
      </c>
      <c r="BZ9" s="1402">
        <f>SUM(BZ10:BZ12)</f>
        <v>4381.0890698476551</v>
      </c>
      <c r="CA9" s="1657">
        <f>SUM(CA10:CA12)</f>
        <v>4196.9507711992737</v>
      </c>
      <c r="CB9" s="1408"/>
    </row>
    <row r="10" spans="1:88" s="7" customFormat="1" ht="14.25" customHeight="1">
      <c r="B10" s="23" t="s">
        <v>538</v>
      </c>
      <c r="C10" s="287"/>
      <c r="D10" s="383"/>
      <c r="E10" s="373"/>
      <c r="F10" s="373"/>
      <c r="G10" s="403"/>
      <c r="H10" s="383"/>
      <c r="I10" s="373"/>
      <c r="J10" s="373"/>
      <c r="K10" s="403"/>
      <c r="L10" s="383"/>
      <c r="M10" s="373"/>
      <c r="N10" s="373"/>
      <c r="O10" s="374"/>
      <c r="P10" s="383"/>
      <c r="Q10" s="373"/>
      <c r="R10" s="373"/>
      <c r="S10" s="374"/>
      <c r="T10" s="383"/>
      <c r="U10" s="373"/>
      <c r="V10" s="373"/>
      <c r="W10" s="374"/>
      <c r="X10" s="383"/>
      <c r="Y10" s="373"/>
      <c r="Z10" s="373"/>
      <c r="AA10" s="374"/>
      <c r="AB10" s="383"/>
      <c r="AC10" s="373"/>
      <c r="AD10" s="373"/>
      <c r="AE10" s="374"/>
      <c r="AF10" s="383"/>
      <c r="AG10" s="373"/>
      <c r="AH10" s="891"/>
      <c r="AI10" s="374"/>
      <c r="AJ10" s="1386">
        <f>'BU Bottoms Up'!AJ61</f>
        <v>277.69353595753495</v>
      </c>
      <c r="AK10" s="1386">
        <f>'BU Bottoms Up'!AK61</f>
        <v>310.92120037284548</v>
      </c>
      <c r="AL10" s="1386">
        <f>'BU Bottoms Up'!AL61</f>
        <v>332.02744700400802</v>
      </c>
      <c r="AM10" s="1386">
        <f>'BU Bottoms Up'!AM61</f>
        <v>364.05558909459688</v>
      </c>
      <c r="AN10" s="1387">
        <f>'BU Bottoms Up'!AN61</f>
        <v>339.80612959571431</v>
      </c>
      <c r="AO10" s="1386">
        <f>'BU Bottoms Up'!AO61</f>
        <v>327.18717337383777</v>
      </c>
      <c r="AP10" s="1386">
        <f>'BU Bottoms Up'!AP61</f>
        <v>332.81146525659824</v>
      </c>
      <c r="AQ10" s="1388">
        <f>'BU Bottoms Up'!AQ61</f>
        <v>236.55409976444582</v>
      </c>
      <c r="AR10" s="1387">
        <f>'BU Bottoms Up'!AR61</f>
        <v>174.76108536237302</v>
      </c>
      <c r="AS10" s="1386">
        <f>'BU Bottoms Up'!AS17</f>
        <v>121.18807464453756</v>
      </c>
      <c r="AT10" s="1386">
        <f>'BU Bottoms Up'!AT17</f>
        <v>145.45490473994613</v>
      </c>
      <c r="AU10" s="1386">
        <f>'BU Bottoms Up'!AU61</f>
        <v>140.25489189549302</v>
      </c>
      <c r="AV10" s="1387">
        <f>'BU Bottoms Up'!AV61</f>
        <v>115.64015836783399</v>
      </c>
      <c r="AW10" s="1386">
        <f>'BU Bottoms Up'!AW17</f>
        <v>86.177632917755233</v>
      </c>
      <c r="AX10" s="1386">
        <f>'BU Bottoms Up'!AX17</f>
        <v>85.315856588577674</v>
      </c>
      <c r="AY10" s="1510">
        <f>'BU Bottoms Up'!AY61</f>
        <v>97.132102726095695</v>
      </c>
      <c r="AZ10" s="1387">
        <f>'BU Bottoms Up'!AZ61</f>
        <v>135.00390957900038</v>
      </c>
      <c r="BA10" s="1386">
        <f>'BU Bottoms Up'!BA17</f>
        <v>217.97731240625407</v>
      </c>
      <c r="BB10" s="1386">
        <f>'BU Bottoms Up'!BB17</f>
        <v>244.57054451981708</v>
      </c>
      <c r="BC10" s="1510">
        <f>'BU Bottoms Up'!BC17</f>
        <v>255.68383006279757</v>
      </c>
      <c r="BD10" s="1387">
        <f>'BU Bottoms Up'!BD61</f>
        <v>309.27516084395995</v>
      </c>
      <c r="BE10" s="159">
        <f>'BU Bottoms Up'!BE17</f>
        <v>340.69751718570637</v>
      </c>
      <c r="BF10" s="159">
        <f>'BU Bottoms Up'!BF17</f>
        <v>378.99191811737984</v>
      </c>
      <c r="BG10" s="1707">
        <f>'BU Bottoms Up'!BG17</f>
        <v>378.99191811737984</v>
      </c>
      <c r="BH10" s="161">
        <f>'BU Bottoms Up'!BH17</f>
        <v>375.20199893620605</v>
      </c>
      <c r="BI10" s="159">
        <f>'BU Bottoms Up'!BI17</f>
        <v>371.449978946844</v>
      </c>
      <c r="BJ10" s="159">
        <f>'BU Bottoms Up'!BJ17</f>
        <v>378.91612352367554</v>
      </c>
      <c r="BK10" s="1707">
        <f>'BU Bottoms Up'!BK17</f>
        <v>382.70528475891228</v>
      </c>
      <c r="BL10" s="311"/>
      <c r="BM10" s="482"/>
      <c r="BN10" s="391"/>
      <c r="BO10" s="391"/>
      <c r="BP10" s="391"/>
      <c r="BQ10" s="391"/>
      <c r="BR10" s="391"/>
      <c r="BS10" s="391"/>
      <c r="BT10" s="159"/>
      <c r="BU10" s="159">
        <f>+SUM(AJ10:AM10)</f>
        <v>1284.6977724289852</v>
      </c>
      <c r="BV10" s="1086">
        <f>+SUM(AN10:AQ10)</f>
        <v>1236.3588679905961</v>
      </c>
      <c r="BW10" s="391">
        <f>SUM(AR10:AU10)</f>
        <v>581.65895664234972</v>
      </c>
      <c r="BX10" s="391">
        <f>SUM(AV10:AY10)</f>
        <v>384.26575060026261</v>
      </c>
      <c r="BY10" s="1402">
        <f>SUM(AZ10:BC10)</f>
        <v>853.23559656786915</v>
      </c>
      <c r="BZ10" s="1402">
        <f>SUM(BD10:BG10)</f>
        <v>1407.956514264426</v>
      </c>
      <c r="CA10" s="1657">
        <f>SUM(BH10:BK10)</f>
        <v>1508.2733861656377</v>
      </c>
      <c r="CB10" s="1408"/>
      <c r="CC10" s="324"/>
    </row>
    <row r="11" spans="1:88" s="7" customFormat="1" ht="14.25" customHeight="1">
      <c r="B11" s="23" t="s">
        <v>539</v>
      </c>
      <c r="C11" s="287"/>
      <c r="D11" s="383"/>
      <c r="E11" s="373"/>
      <c r="F11" s="373"/>
      <c r="G11" s="403"/>
      <c r="H11" s="383"/>
      <c r="I11" s="373"/>
      <c r="J11" s="373"/>
      <c r="K11" s="403"/>
      <c r="L11" s="383"/>
      <c r="M11" s="373"/>
      <c r="N11" s="373"/>
      <c r="O11" s="374"/>
      <c r="P11" s="383"/>
      <c r="Q11" s="373"/>
      <c r="R11" s="373"/>
      <c r="S11" s="374"/>
      <c r="T11" s="383"/>
      <c r="U11" s="373"/>
      <c r="V11" s="373"/>
      <c r="W11" s="374"/>
      <c r="X11" s="383"/>
      <c r="Y11" s="373"/>
      <c r="Z11" s="373"/>
      <c r="AA11" s="374"/>
      <c r="AB11" s="383"/>
      <c r="AC11" s="373"/>
      <c r="AD11" s="373"/>
      <c r="AE11" s="374"/>
      <c r="AF11" s="383"/>
      <c r="AG11" s="373"/>
      <c r="AH11" s="891"/>
      <c r="AI11" s="374"/>
      <c r="AJ11" s="1386">
        <f>'BU Bottoms Up'!AJ70</f>
        <v>251.14678763976951</v>
      </c>
      <c r="AK11" s="1386">
        <f>'BU Bottoms Up'!AK70</f>
        <v>311.84629962715439</v>
      </c>
      <c r="AL11" s="1386">
        <f>'BU Bottoms Up'!AL70</f>
        <v>277.14127420950393</v>
      </c>
      <c r="AM11" s="1386">
        <f>'BU Bottoms Up'!AM70</f>
        <v>188.44083505517338</v>
      </c>
      <c r="AN11" s="1387">
        <f>'BU Bottoms Up'!AN70</f>
        <v>194.09406010682858</v>
      </c>
      <c r="AO11" s="1386">
        <f>'BU Bottoms Up'!AO70</f>
        <v>228.44870874573726</v>
      </c>
      <c r="AP11" s="1386">
        <f>'BU Bottoms Up'!AP70</f>
        <v>230.59612660794721</v>
      </c>
      <c r="AQ11" s="1388">
        <f>'BU Bottoms Up'!AQ70</f>
        <v>237.56012963150724</v>
      </c>
      <c r="AR11" s="1387">
        <f>'BU Bottoms Up'!AR70</f>
        <v>187.67250240889072</v>
      </c>
      <c r="AS11" s="1386">
        <f>'BU Bottoms Up'!AS70</f>
        <v>113.95474346267845</v>
      </c>
      <c r="AT11" s="1386">
        <f>'BU Bottoms Up'!AT70</f>
        <v>111.67564859342487</v>
      </c>
      <c r="AU11" s="1386">
        <f>'BU Bottoms Up'!AU70</f>
        <v>130.99553580008737</v>
      </c>
      <c r="AV11" s="1387">
        <f>'BU Bottoms Up'!AV70</f>
        <v>150.82825992022063</v>
      </c>
      <c r="AW11" s="1386">
        <f>'BU Bottoms Up'!AW70</f>
        <v>153.85990794461705</v>
      </c>
      <c r="AX11" s="1386">
        <f>'BU Bottoms Up'!AX70</f>
        <v>163.65386038483163</v>
      </c>
      <c r="AY11" s="1510">
        <f>'BU Bottoms Up'!AY70</f>
        <v>178.21905395908163</v>
      </c>
      <c r="AZ11" s="1387">
        <f>'BU Bottoms Up'!AZ70</f>
        <v>161.1741836384351</v>
      </c>
      <c r="BA11" s="1386">
        <f>'BU Bottoms Up'!BA70</f>
        <v>114.836605842385</v>
      </c>
      <c r="BB11" s="1386">
        <f>'BU Bottoms Up'!BB70</f>
        <v>103.35294525814651</v>
      </c>
      <c r="BC11" s="1510">
        <f>'BU Bottoms Up'!BC70</f>
        <v>154.51265316092901</v>
      </c>
      <c r="BD11" s="1387">
        <f>'BU Bottoms Up'!BD70</f>
        <v>214.58717270989823</v>
      </c>
      <c r="BE11" s="159">
        <f>'BU Bottoms Up'!BE70</f>
        <v>287.0103434994889</v>
      </c>
      <c r="BF11" s="159">
        <f>'BU Bottoms Up'!BF70</f>
        <v>310.40168649469729</v>
      </c>
      <c r="BG11" s="1707">
        <f>'BU Bottoms Up'!BG70</f>
        <v>310.40168649469729</v>
      </c>
      <c r="BH11" s="161">
        <f>'BU Bottoms Up'!BH70</f>
        <v>299.61522788900658</v>
      </c>
      <c r="BI11" s="159">
        <f>'BU Bottoms Up'!BI70</f>
        <v>290.6866940979142</v>
      </c>
      <c r="BJ11" s="159">
        <f>'BU Bottoms Up'!BJ70</f>
        <v>290.65762542850439</v>
      </c>
      <c r="BK11" s="1707">
        <f>'BU Bottoms Up'!BK70</f>
        <v>290.65762542850439</v>
      </c>
      <c r="BL11" s="311"/>
      <c r="BM11" s="482"/>
      <c r="BN11" s="391"/>
      <c r="BO11" s="391"/>
      <c r="BP11" s="391"/>
      <c r="BQ11" s="391"/>
      <c r="BR11" s="391"/>
      <c r="BS11" s="391"/>
      <c r="BT11" s="159"/>
      <c r="BU11" s="159">
        <f>+SUM(AJ11:AM11)</f>
        <v>1028.5751965316013</v>
      </c>
      <c r="BV11" s="1086">
        <f>+SUM(AN11:AQ11)</f>
        <v>890.69902509202029</v>
      </c>
      <c r="BW11" s="391">
        <f>SUM(AR11:AU11)</f>
        <v>544.29843026508138</v>
      </c>
      <c r="BX11" s="391">
        <f t="shared" ref="BX11:BX12" si="3">SUM(AV11:AY11)</f>
        <v>646.56108220875092</v>
      </c>
      <c r="BY11" s="1402">
        <f t="shared" ref="BY11:BY12" si="4">SUM(AZ11:BC11)</f>
        <v>533.87638789989569</v>
      </c>
      <c r="BZ11" s="1402">
        <f>SUM(BD11:BG11)</f>
        <v>1122.4008891987817</v>
      </c>
      <c r="CA11" s="1657">
        <f>SUM(BH11:BK11)</f>
        <v>1171.6171728439294</v>
      </c>
      <c r="CB11" s="1408"/>
      <c r="CC11" s="324"/>
    </row>
    <row r="12" spans="1:88" s="7" customFormat="1" ht="14.25" customHeight="1">
      <c r="B12" s="23" t="s">
        <v>540</v>
      </c>
      <c r="C12" s="287"/>
      <c r="D12" s="383"/>
      <c r="E12" s="373"/>
      <c r="F12" s="373"/>
      <c r="G12" s="403"/>
      <c r="H12" s="383"/>
      <c r="I12" s="373"/>
      <c r="J12" s="373"/>
      <c r="K12" s="403"/>
      <c r="L12" s="383"/>
      <c r="M12" s="373"/>
      <c r="N12" s="373"/>
      <c r="O12" s="374"/>
      <c r="P12" s="383"/>
      <c r="Q12" s="373"/>
      <c r="R12" s="373"/>
      <c r="S12" s="374"/>
      <c r="T12" s="383"/>
      <c r="U12" s="373"/>
      <c r="V12" s="373"/>
      <c r="W12" s="374"/>
      <c r="X12" s="383"/>
      <c r="Y12" s="373"/>
      <c r="Z12" s="373"/>
      <c r="AA12" s="374"/>
      <c r="AB12" s="383"/>
      <c r="AC12" s="373"/>
      <c r="AD12" s="373"/>
      <c r="AE12" s="374"/>
      <c r="AF12" s="383"/>
      <c r="AG12" s="373"/>
      <c r="AH12" s="891"/>
      <c r="AI12" s="374"/>
      <c r="AJ12" s="1386">
        <f>'BU Bottoms Up'!AJ111</f>
        <v>384.15970000000027</v>
      </c>
      <c r="AK12" s="1386">
        <f>'BU Bottoms Up'!AK111</f>
        <v>371.23250000000007</v>
      </c>
      <c r="AL12" s="1386">
        <f>'BU Bottoms Up'!AL111</f>
        <v>315.83130000000006</v>
      </c>
      <c r="AM12" s="1386">
        <f>'BU Bottoms Up'!AM111</f>
        <v>335.50364999999999</v>
      </c>
      <c r="AN12" s="1387">
        <f>'BU Bottoms Up'!AN111</f>
        <v>327.09981029745711</v>
      </c>
      <c r="AO12" s="1386">
        <f>'BU Bottoms Up'!AO111</f>
        <v>272.36411788042483</v>
      </c>
      <c r="AP12" s="1386">
        <f>'BU Bottoms Up'!AP111</f>
        <v>217.59240813545455</v>
      </c>
      <c r="AQ12" s="1388">
        <f>'BU Bottoms Up'!AQ111</f>
        <v>187.88577060404671</v>
      </c>
      <c r="AR12" s="1387">
        <f>'BU Bottoms Up'!AR111</f>
        <v>169.56641222873625</v>
      </c>
      <c r="AS12" s="1386">
        <f>'BU Bottoms Up'!AS111</f>
        <v>143.85718189278404</v>
      </c>
      <c r="AT12" s="1386">
        <f>'BU Bottoms Up'!AT111</f>
        <v>166.86944666662936</v>
      </c>
      <c r="AU12" s="1386">
        <f>'BU Bottoms Up'!AU111</f>
        <v>198.7495723044197</v>
      </c>
      <c r="AV12" s="1387">
        <f>'BU Bottoms Up'!AV111</f>
        <v>193.53</v>
      </c>
      <c r="AW12" s="1386">
        <f>'BU Bottoms Up'!AW111</f>
        <v>194.96245913762772</v>
      </c>
      <c r="AX12" s="1386">
        <f>'BU Bottoms Up'!AX111</f>
        <v>223.03705325344609</v>
      </c>
      <c r="AY12" s="1510">
        <f>'BU Bottoms Up'!AY111</f>
        <v>324.61044589878202</v>
      </c>
      <c r="AZ12" s="1387">
        <f>'BU Bottoms Up'!AZ111</f>
        <v>296.83239292936787</v>
      </c>
      <c r="BA12" s="1386">
        <f>'BU Bottoms Up'!BA111</f>
        <v>323.1216444827943</v>
      </c>
      <c r="BB12" s="1386">
        <f>'BU Bottoms Up'!BB111</f>
        <v>466.14812212821698</v>
      </c>
      <c r="BC12" s="1510">
        <f>'BU Bottoms Up'!BC111</f>
        <v>535.95945672752998</v>
      </c>
      <c r="BD12" s="1387">
        <f>'BU Bottoms Up'!BD111</f>
        <v>590.89530104210189</v>
      </c>
      <c r="BE12" s="159">
        <f>'BU Bottoms Up'!BE111</f>
        <v>484.83971616536144</v>
      </c>
      <c r="BF12" s="159">
        <f>'BU Bottoms Up'!BF111</f>
        <v>401.44728498491929</v>
      </c>
      <c r="BG12" s="1707">
        <f>'BU Bottoms Up'!BG111</f>
        <v>373.54936419206479</v>
      </c>
      <c r="BH12" s="161">
        <f>'BU Bottoms Up'!BH111</f>
        <v>354.87189598246152</v>
      </c>
      <c r="BI12" s="159">
        <f>'BU Bottoms Up'!BI111</f>
        <v>361.04336156559214</v>
      </c>
      <c r="BJ12" s="159">
        <f>'BU Bottoms Up'!BJ111</f>
        <v>390.80241689836737</v>
      </c>
      <c r="BK12" s="1707">
        <f>'BU Bottoms Up'!BK111</f>
        <v>410.34253774328579</v>
      </c>
      <c r="BL12" s="311"/>
      <c r="BM12" s="482"/>
      <c r="BN12" s="391"/>
      <c r="BO12" s="391"/>
      <c r="BP12" s="391"/>
      <c r="BQ12" s="391"/>
      <c r="BR12" s="391"/>
      <c r="BS12" s="391"/>
      <c r="BT12" s="159"/>
      <c r="BU12" s="159">
        <f>+SUM(AJ12:AM12)</f>
        <v>1406.7271500000006</v>
      </c>
      <c r="BV12" s="1086">
        <f>+SUM(AN12:AQ12)</f>
        <v>1004.9421069173832</v>
      </c>
      <c r="BW12" s="391">
        <f>SUM(AR12:AU12)</f>
        <v>679.04261309256935</v>
      </c>
      <c r="BX12" s="391">
        <f t="shared" si="3"/>
        <v>936.13995828985583</v>
      </c>
      <c r="BY12" s="1402">
        <f t="shared" si="4"/>
        <v>1622.0616162679089</v>
      </c>
      <c r="BZ12" s="1402">
        <f>SUM(BD12:BG12)</f>
        <v>1850.7316663844476</v>
      </c>
      <c r="CA12" s="1657">
        <f>SUM(BH12:BK12)</f>
        <v>1517.0602121897068</v>
      </c>
      <c r="CB12" s="1408"/>
    </row>
    <row r="13" spans="1:88" s="7" customFormat="1" ht="14.25" customHeight="1">
      <c r="B13" s="23"/>
      <c r="C13" s="287"/>
      <c r="D13" s="383"/>
      <c r="E13" s="373"/>
      <c r="F13" s="373"/>
      <c r="G13" s="403"/>
      <c r="H13" s="383"/>
      <c r="I13" s="373"/>
      <c r="J13" s="373"/>
      <c r="K13" s="403"/>
      <c r="L13" s="383"/>
      <c r="M13" s="373"/>
      <c r="N13" s="373"/>
      <c r="O13" s="374"/>
      <c r="P13" s="383"/>
      <c r="Q13" s="373"/>
      <c r="R13" s="373"/>
      <c r="S13" s="374"/>
      <c r="T13" s="383"/>
      <c r="U13" s="373"/>
      <c r="V13" s="373"/>
      <c r="W13" s="374"/>
      <c r="X13" s="383"/>
      <c r="Y13" s="373"/>
      <c r="Z13" s="373"/>
      <c r="AA13" s="374"/>
      <c r="AB13" s="383"/>
      <c r="AC13" s="373"/>
      <c r="AD13" s="373"/>
      <c r="AE13" s="374"/>
      <c r="AF13" s="383"/>
      <c r="AG13" s="373"/>
      <c r="AH13" s="891"/>
      <c r="AI13" s="374"/>
      <c r="AJ13" s="891"/>
      <c r="AK13" s="891"/>
      <c r="AL13" s="891"/>
      <c r="AM13" s="373"/>
      <c r="AN13" s="1416"/>
      <c r="AO13" s="1417"/>
      <c r="AP13" s="1417"/>
      <c r="AQ13" s="1418"/>
      <c r="AR13" s="323"/>
      <c r="AS13" s="386"/>
      <c r="AT13" s="1417"/>
      <c r="AU13" s="1417"/>
      <c r="AV13" s="323"/>
      <c r="AW13" s="386"/>
      <c r="AX13" s="386"/>
      <c r="AY13" s="1679"/>
      <c r="AZ13" s="323"/>
      <c r="BA13" s="386"/>
      <c r="BB13" s="386"/>
      <c r="BC13" s="1679"/>
      <c r="BD13" s="323"/>
      <c r="BE13" s="95"/>
      <c r="BF13" s="95"/>
      <c r="BG13" s="1513"/>
      <c r="BH13" s="157"/>
      <c r="BI13" s="95"/>
      <c r="BJ13" s="95"/>
      <c r="BK13" s="1513"/>
      <c r="BL13" s="311"/>
      <c r="BM13" s="482"/>
      <c r="BN13" s="391"/>
      <c r="BO13" s="391"/>
      <c r="BP13" s="391"/>
      <c r="BQ13" s="391"/>
      <c r="BR13" s="391"/>
      <c r="BS13" s="391"/>
      <c r="BT13" s="378"/>
      <c r="BU13" s="378"/>
      <c r="BV13" s="1086"/>
      <c r="BW13" s="391"/>
      <c r="BX13" s="391"/>
      <c r="BY13" s="391"/>
      <c r="BZ13" s="391"/>
      <c r="CA13" s="1657"/>
      <c r="CB13" s="1408"/>
    </row>
    <row r="14" spans="1:88" s="7" customFormat="1" ht="14.25" customHeight="1">
      <c r="B14" s="30" t="s">
        <v>165</v>
      </c>
      <c r="C14" s="380"/>
      <c r="D14" s="385"/>
      <c r="E14" s="377"/>
      <c r="F14" s="377"/>
      <c r="G14" s="368"/>
      <c r="H14" s="385"/>
      <c r="I14" s="377"/>
      <c r="J14" s="377"/>
      <c r="K14" s="368"/>
      <c r="L14" s="385"/>
      <c r="M14" s="377"/>
      <c r="N14" s="377"/>
      <c r="O14" s="368"/>
      <c r="P14" s="385"/>
      <c r="Q14" s="377"/>
      <c r="R14" s="377"/>
      <c r="S14" s="368"/>
      <c r="T14" s="385"/>
      <c r="U14" s="377"/>
      <c r="V14" s="377"/>
      <c r="W14" s="368"/>
      <c r="X14" s="385"/>
      <c r="Y14" s="377"/>
      <c r="Z14" s="377"/>
      <c r="AA14" s="368"/>
      <c r="AB14" s="385"/>
      <c r="AC14" s="377"/>
      <c r="AD14" s="377"/>
      <c r="AE14" s="368"/>
      <c r="AF14" s="385"/>
      <c r="AG14" s="377"/>
      <c r="AH14" s="95"/>
      <c r="AI14" s="96"/>
      <c r="AJ14" s="95"/>
      <c r="AK14" s="95">
        <f t="shared" ref="AK14:AU14" si="5">AK8/AJ8-1</f>
        <v>8.8718510405257467E-2</v>
      </c>
      <c r="AL14" s="95">
        <f t="shared" si="5"/>
        <v>-6.9416498993963738E-2</v>
      </c>
      <c r="AM14" s="95">
        <f t="shared" si="5"/>
        <v>-4.0000000000000036E-2</v>
      </c>
      <c r="AN14" s="157">
        <f t="shared" si="5"/>
        <v>-3.0405405405405372E-2</v>
      </c>
      <c r="AO14" s="95">
        <f t="shared" si="5"/>
        <v>-3.8327526132404199E-2</v>
      </c>
      <c r="AP14" s="95">
        <f t="shared" si="5"/>
        <v>-5.6763285024154619E-2</v>
      </c>
      <c r="AQ14" s="96">
        <f t="shared" si="5"/>
        <v>-0.15236875800256078</v>
      </c>
      <c r="AR14" s="157">
        <f t="shared" si="5"/>
        <v>-0.1963746223564955</v>
      </c>
      <c r="AS14" s="95">
        <f t="shared" si="5"/>
        <v>-0.28759398496240607</v>
      </c>
      <c r="AT14" s="95">
        <f t="shared" si="5"/>
        <v>0.1187335092348285</v>
      </c>
      <c r="AU14" s="95">
        <f t="shared" si="5"/>
        <v>0.10849056603773577</v>
      </c>
      <c r="AV14" s="157">
        <f t="shared" ref="AV14" si="6">AV8/AU8-1</f>
        <v>-2.1276595744680882E-2</v>
      </c>
      <c r="AW14" s="95">
        <f t="shared" ref="AW14:BD14" si="7">AW8/AV8-1</f>
        <v>-5.4347826086956541E-2</v>
      </c>
      <c r="AX14" s="95">
        <f t="shared" si="7"/>
        <v>8.5057471264367912E-2</v>
      </c>
      <c r="AY14" s="1513">
        <f t="shared" si="7"/>
        <v>0.27118644067796605</v>
      </c>
      <c r="AZ14" s="157">
        <f t="shared" si="7"/>
        <v>-1.1666666666666714E-2</v>
      </c>
      <c r="BA14" s="95">
        <f t="shared" si="7"/>
        <v>0.11129848229342332</v>
      </c>
      <c r="BB14" s="95">
        <f t="shared" si="7"/>
        <v>0.24279210925644912</v>
      </c>
      <c r="BC14" s="1513">
        <f t="shared" si="7"/>
        <v>0.16971916971916978</v>
      </c>
      <c r="BD14" s="157">
        <f t="shared" si="7"/>
        <v>0.16388308977035493</v>
      </c>
      <c r="BE14" s="95">
        <f t="shared" ref="BE14" si="8">BE8/BD8-1</f>
        <v>-2.1994826452407246E-3</v>
      </c>
      <c r="BF14" s="95">
        <f t="shared" ref="BF14" si="9">BF8/BE8-1</f>
        <v>-1.9510794599012393E-2</v>
      </c>
      <c r="BG14" s="1513">
        <f t="shared" ref="BG14" si="10">BG8/BF8-1</f>
        <v>-2.5574692935430132E-2</v>
      </c>
      <c r="BH14" s="157">
        <f t="shared" ref="BH14" si="11">BH8/BG8-1</f>
        <v>-3.1284694449674633E-2</v>
      </c>
      <c r="BI14" s="95">
        <f t="shared" ref="BI14" si="12">BI8/BH8-1</f>
        <v>-6.3214110483904573E-3</v>
      </c>
      <c r="BJ14" s="95">
        <f t="shared" ref="BJ14" si="13">BJ8/BI8-1</f>
        <v>3.6353456852157962E-2</v>
      </c>
      <c r="BK14" s="1513">
        <f t="shared" ref="BK14" si="14">BK8/BJ8-1</f>
        <v>2.2000949126805835E-2</v>
      </c>
      <c r="BL14" s="244"/>
      <c r="BM14" s="252"/>
      <c r="BN14" s="253"/>
      <c r="BO14" s="253"/>
      <c r="BP14" s="253"/>
      <c r="BQ14" s="253"/>
      <c r="BR14" s="253"/>
      <c r="BS14" s="253"/>
      <c r="BT14" s="377"/>
      <c r="BU14" s="377"/>
      <c r="BV14" s="377"/>
      <c r="BW14" s="369"/>
      <c r="BX14" s="369"/>
      <c r="BY14" s="369"/>
      <c r="BZ14" s="369"/>
      <c r="CA14" s="1658"/>
      <c r="CB14" s="1408"/>
    </row>
    <row r="15" spans="1:88" s="7" customFormat="1" ht="14.25" customHeight="1">
      <c r="B15" s="30" t="s">
        <v>166</v>
      </c>
      <c r="C15" s="293"/>
      <c r="D15" s="385"/>
      <c r="E15" s="377"/>
      <c r="F15" s="377"/>
      <c r="G15" s="368"/>
      <c r="H15" s="385"/>
      <c r="I15" s="377"/>
      <c r="J15" s="377"/>
      <c r="K15" s="368"/>
      <c r="L15" s="385"/>
      <c r="M15" s="377"/>
      <c r="N15" s="377"/>
      <c r="O15" s="368"/>
      <c r="P15" s="385"/>
      <c r="Q15" s="377"/>
      <c r="R15" s="377"/>
      <c r="S15" s="368"/>
      <c r="T15" s="385"/>
      <c r="U15" s="377"/>
      <c r="V15" s="377"/>
      <c r="W15" s="368"/>
      <c r="X15" s="385"/>
      <c r="Y15" s="377"/>
      <c r="Z15" s="377"/>
      <c r="AA15" s="368"/>
      <c r="AB15" s="385"/>
      <c r="AC15" s="377"/>
      <c r="AD15" s="377"/>
      <c r="AE15" s="368"/>
      <c r="AF15" s="385"/>
      <c r="AG15" s="377"/>
      <c r="AH15" s="253"/>
      <c r="AI15" s="292"/>
      <c r="AJ15" s="253"/>
      <c r="AK15" s="253"/>
      <c r="AL15" s="253"/>
      <c r="AM15" s="95"/>
      <c r="AN15" s="252">
        <f t="shared" ref="AN15:AU15" si="15">AN8/AJ8-1</f>
        <v>-5.6955093099671394E-2</v>
      </c>
      <c r="AO15" s="253">
        <f t="shared" si="15"/>
        <v>-0.16700201207243459</v>
      </c>
      <c r="AP15" s="253">
        <f t="shared" si="15"/>
        <v>-0.15567567567567564</v>
      </c>
      <c r="AQ15" s="96">
        <f t="shared" si="15"/>
        <v>-0.25450450450450446</v>
      </c>
      <c r="AR15" s="252">
        <f t="shared" si="15"/>
        <v>-0.38211382113821135</v>
      </c>
      <c r="AS15" s="253">
        <f t="shared" si="15"/>
        <v>-0.54227053140096615</v>
      </c>
      <c r="AT15" s="253">
        <f t="shared" si="15"/>
        <v>-0.45710627400768244</v>
      </c>
      <c r="AU15" s="95">
        <f t="shared" si="15"/>
        <v>-0.29003021148036257</v>
      </c>
      <c r="AV15" s="252">
        <f t="shared" ref="AV15" si="16">AV8/AR8-1</f>
        <v>-0.13533834586466165</v>
      </c>
      <c r="AW15" s="253">
        <f t="shared" ref="AW15:BD15" si="17">AW8/AS8-1</f>
        <v>0.14775725593667555</v>
      </c>
      <c r="AX15" s="253">
        <f t="shared" si="17"/>
        <v>0.1132075471698113</v>
      </c>
      <c r="AY15" s="1513">
        <f t="shared" si="17"/>
        <v>0.27659574468085113</v>
      </c>
      <c r="AZ15" s="252">
        <f t="shared" si="17"/>
        <v>0.28913043478260869</v>
      </c>
      <c r="BA15" s="253">
        <f t="shared" si="17"/>
        <v>0.51494252873563218</v>
      </c>
      <c r="BB15" s="253">
        <f t="shared" si="17"/>
        <v>0.73516949152542366</v>
      </c>
      <c r="BC15" s="1513">
        <f t="shared" si="17"/>
        <v>0.59666666666666668</v>
      </c>
      <c r="BD15" s="252">
        <f t="shared" si="17"/>
        <v>0.88026981450252961</v>
      </c>
      <c r="BE15" s="95">
        <f t="shared" ref="BE15" si="18">BE8/BA8-1</f>
        <v>0.68823608019811333</v>
      </c>
      <c r="BF15" s="95">
        <f t="shared" ref="BF15" si="19">BF8/BB8-1</f>
        <v>0.33191805811599084</v>
      </c>
      <c r="BG15" s="1513">
        <f t="shared" ref="BG15" si="20">BG8/BC8-1</f>
        <v>0.10954380877259062</v>
      </c>
      <c r="BH15" s="157">
        <f t="shared" ref="BH15" si="21">BH8/BD8-1</f>
        <v>-7.6511997481906513E-2</v>
      </c>
      <c r="BI15" s="95">
        <f t="shared" ref="BI15" si="22">BI8/BE8-1</f>
        <v>-8.0326939808894604E-2</v>
      </c>
      <c r="BJ15" s="95">
        <f t="shared" ref="BJ15" si="23">BJ8/BF8-1</f>
        <v>-2.7927742750552875E-2</v>
      </c>
      <c r="BK15" s="1513">
        <f t="shared" ref="BK15" si="24">BK8/BG8-1</f>
        <v>1.9533013280965905E-2</v>
      </c>
      <c r="BL15" s="244"/>
      <c r="BM15" s="376"/>
      <c r="BN15" s="369"/>
      <c r="BO15" s="369"/>
      <c r="BP15" s="369"/>
      <c r="BQ15" s="369"/>
      <c r="BR15" s="369"/>
      <c r="BS15" s="369"/>
      <c r="BT15" s="377"/>
      <c r="BU15" s="377"/>
      <c r="BV15" s="95">
        <f t="shared" ref="BV15:CA15" si="25">BV8/BU8-1</f>
        <v>-0.15806451612903227</v>
      </c>
      <c r="BW15" s="369">
        <f t="shared" si="25"/>
        <v>-0.42369093231162192</v>
      </c>
      <c r="BX15" s="369">
        <f t="shared" si="25"/>
        <v>8.9732294237600652E-2</v>
      </c>
      <c r="BY15" s="369">
        <f t="shared" si="25"/>
        <v>0.52985480708322674</v>
      </c>
      <c r="BZ15" s="369">
        <f t="shared" si="25"/>
        <v>0.45591104108336555</v>
      </c>
      <c r="CA15" s="1658">
        <f t="shared" si="25"/>
        <v>-4.203025679520922E-2</v>
      </c>
      <c r="CB15" s="1408"/>
    </row>
    <row r="16" spans="1:88" s="7" customFormat="1" ht="14.25" customHeight="1">
      <c r="B16" s="30" t="s">
        <v>167</v>
      </c>
      <c r="C16" s="380"/>
      <c r="D16" s="385"/>
      <c r="E16" s="377"/>
      <c r="F16" s="377"/>
      <c r="G16" s="368"/>
      <c r="H16" s="385"/>
      <c r="I16" s="377"/>
      <c r="J16" s="377"/>
      <c r="K16" s="368"/>
      <c r="L16" s="385"/>
      <c r="M16" s="377"/>
      <c r="N16" s="377"/>
      <c r="O16" s="368"/>
      <c r="P16" s="385"/>
      <c r="Q16" s="377"/>
      <c r="R16" s="377"/>
      <c r="S16" s="368"/>
      <c r="T16" s="385"/>
      <c r="U16" s="377"/>
      <c r="V16" s="377"/>
      <c r="W16" s="368"/>
      <c r="X16" s="385"/>
      <c r="Y16" s="377"/>
      <c r="Z16" s="377"/>
      <c r="AA16" s="368"/>
      <c r="AB16" s="385"/>
      <c r="AC16" s="377"/>
      <c r="AD16" s="377"/>
      <c r="AE16" s="368"/>
      <c r="AF16" s="385"/>
      <c r="AG16" s="377"/>
      <c r="AH16" s="95"/>
      <c r="AI16" s="96"/>
      <c r="AJ16" s="95">
        <f t="shared" ref="AJ16:AU16" si="26">AJ8/AJ45</f>
        <v>0.83915441176470584</v>
      </c>
      <c r="AK16" s="95">
        <f t="shared" si="26"/>
        <v>0.8561584840654608</v>
      </c>
      <c r="AL16" s="95">
        <f t="shared" si="26"/>
        <v>0.63312799452429847</v>
      </c>
      <c r="AM16" s="95">
        <f t="shared" si="26"/>
        <v>0.55954631379962194</v>
      </c>
      <c r="AN16" s="157">
        <f t="shared" si="26"/>
        <v>0.61632068718682886</v>
      </c>
      <c r="AO16" s="95">
        <f t="shared" si="26"/>
        <v>0.57460097154753642</v>
      </c>
      <c r="AP16" s="95">
        <f t="shared" si="26"/>
        <v>0.54653603918824356</v>
      </c>
      <c r="AQ16" s="96">
        <f t="shared" si="26"/>
        <v>0.53430185633575467</v>
      </c>
      <c r="AR16" s="157">
        <f t="shared" si="26"/>
        <v>0.51650485436893201</v>
      </c>
      <c r="AS16" s="95">
        <f t="shared" si="26"/>
        <v>0.40233545647558389</v>
      </c>
      <c r="AT16" s="95">
        <f t="shared" si="26"/>
        <v>0.39962299717247879</v>
      </c>
      <c r="AU16" s="95">
        <f t="shared" si="26"/>
        <v>0.49060542797494783</v>
      </c>
      <c r="AV16" s="157">
        <f t="shared" ref="AV16:AY16" si="27">AV8/AV45</f>
        <v>0.55288461538461542</v>
      </c>
      <c r="AW16" s="95">
        <f t="shared" si="27"/>
        <v>0.42356377799415773</v>
      </c>
      <c r="AX16" s="95">
        <f t="shared" si="27"/>
        <v>0.36113236419280798</v>
      </c>
      <c r="AY16" s="1513">
        <f t="shared" si="27"/>
        <v>0.54249547920433994</v>
      </c>
      <c r="AZ16" s="157">
        <f t="shared" ref="AZ16:BA16" si="28">AZ8/AZ45</f>
        <v>0.60264227642276424</v>
      </c>
      <c r="BA16" s="95">
        <f t="shared" si="28"/>
        <v>0.53927986906710312</v>
      </c>
      <c r="BB16" s="95">
        <f t="shared" ref="BB16:BD16" si="29">BB8/BB45</f>
        <v>0.49847839318320147</v>
      </c>
      <c r="BC16" s="1513">
        <f t="shared" si="29"/>
        <v>0.64729729729729735</v>
      </c>
      <c r="BD16" s="157">
        <f t="shared" si="29"/>
        <v>0.67698846387370981</v>
      </c>
      <c r="BE16" s="95">
        <f t="shared" ref="BE16:BG16" si="30">BE8/BE45</f>
        <v>0.6436400205787246</v>
      </c>
      <c r="BF16" s="95">
        <f t="shared" si="30"/>
        <v>0.63041332668637318</v>
      </c>
      <c r="BG16" s="1513">
        <f t="shared" si="30"/>
        <v>0.65398157800241263</v>
      </c>
      <c r="BH16" s="157">
        <f t="shared" ref="BH16:BK16" si="31">BH8/BH45</f>
        <v>0.66468210949736606</v>
      </c>
      <c r="BI16" s="95">
        <f t="shared" si="31"/>
        <v>0.6256204898315002</v>
      </c>
      <c r="BJ16" s="95">
        <f t="shared" si="31"/>
        <v>0.61774915506192885</v>
      </c>
      <c r="BK16" s="1513">
        <f t="shared" si="31"/>
        <v>0.63640928063735702</v>
      </c>
      <c r="BL16" s="244"/>
      <c r="BM16" s="376"/>
      <c r="BN16" s="369"/>
      <c r="BO16" s="369"/>
      <c r="BP16" s="369"/>
      <c r="BQ16" s="369"/>
      <c r="BR16" s="369"/>
      <c r="BS16" s="369"/>
      <c r="BT16" s="377"/>
      <c r="BU16" s="377"/>
      <c r="BV16" s="377"/>
      <c r="BW16" s="369"/>
      <c r="BX16" s="369"/>
      <c r="BY16" s="369"/>
      <c r="BZ16" s="369"/>
      <c r="CA16" s="1658"/>
      <c r="CB16" s="1408"/>
      <c r="CC16" s="319"/>
    </row>
    <row r="17" spans="2:81" s="7" customFormat="1" ht="8.25" customHeight="1">
      <c r="B17" s="30"/>
      <c r="C17" s="380"/>
      <c r="D17" s="99"/>
      <c r="E17" s="97"/>
      <c r="F17" s="97"/>
      <c r="G17" s="98"/>
      <c r="H17" s="99"/>
      <c r="I17" s="97"/>
      <c r="J17" s="97"/>
      <c r="K17" s="98"/>
      <c r="L17" s="99"/>
      <c r="M17" s="97"/>
      <c r="N17" s="97"/>
      <c r="O17" s="98"/>
      <c r="P17" s="99"/>
      <c r="Q17" s="97"/>
      <c r="R17" s="97"/>
      <c r="S17" s="98"/>
      <c r="T17" s="99"/>
      <c r="U17" s="97"/>
      <c r="V17" s="97"/>
      <c r="W17" s="98"/>
      <c r="X17" s="99"/>
      <c r="Y17" s="97"/>
      <c r="Z17" s="97"/>
      <c r="AA17" s="98"/>
      <c r="AB17" s="99"/>
      <c r="AC17" s="97"/>
      <c r="AD17" s="97"/>
      <c r="AE17" s="98"/>
      <c r="AF17" s="99"/>
      <c r="AG17" s="97"/>
      <c r="AH17" s="97"/>
      <c r="AI17" s="98"/>
      <c r="AJ17" s="97"/>
      <c r="AK17" s="97"/>
      <c r="AL17" s="97"/>
      <c r="AM17" s="97"/>
      <c r="AN17" s="99"/>
      <c r="AO17" s="97"/>
      <c r="AP17" s="97"/>
      <c r="AQ17" s="98"/>
      <c r="AR17" s="99"/>
      <c r="AS17" s="97"/>
      <c r="AT17" s="97"/>
      <c r="AU17" s="97"/>
      <c r="AV17" s="99"/>
      <c r="AW17" s="97"/>
      <c r="AX17" s="97"/>
      <c r="AY17" s="1514"/>
      <c r="AZ17" s="99"/>
      <c r="BA17" s="97"/>
      <c r="BB17" s="95"/>
      <c r="BC17" s="1514"/>
      <c r="BD17" s="99"/>
      <c r="BE17" s="95"/>
      <c r="BF17" s="95"/>
      <c r="BG17" s="1513"/>
      <c r="BH17" s="157"/>
      <c r="BI17" s="95"/>
      <c r="BJ17" s="95"/>
      <c r="BK17" s="1513"/>
      <c r="BL17" s="244"/>
      <c r="BM17" s="252"/>
      <c r="BN17" s="253"/>
      <c r="BO17" s="253"/>
      <c r="BP17" s="253"/>
      <c r="BQ17" s="253"/>
      <c r="BR17" s="253"/>
      <c r="BS17" s="253"/>
      <c r="BT17" s="377"/>
      <c r="BU17" s="377"/>
      <c r="BV17" s="377"/>
      <c r="BW17" s="369"/>
      <c r="BX17" s="369"/>
      <c r="BY17" s="369"/>
      <c r="BZ17" s="369"/>
      <c r="CA17" s="1658"/>
      <c r="CB17" s="1408"/>
    </row>
    <row r="18" spans="2:81" s="7" customFormat="1" ht="14.25" customHeight="1">
      <c r="B18" s="42" t="s">
        <v>519</v>
      </c>
      <c r="C18" s="380"/>
      <c r="D18" s="384"/>
      <c r="E18" s="370"/>
      <c r="F18" s="370"/>
      <c r="G18" s="393"/>
      <c r="H18" s="384"/>
      <c r="I18" s="370"/>
      <c r="J18" s="370"/>
      <c r="K18" s="393"/>
      <c r="L18" s="384"/>
      <c r="M18" s="370"/>
      <c r="N18" s="370"/>
      <c r="O18" s="393"/>
      <c r="P18" s="384"/>
      <c r="Q18" s="370"/>
      <c r="R18" s="370"/>
      <c r="S18" s="393"/>
      <c r="T18" s="384"/>
      <c r="U18" s="370"/>
      <c r="V18" s="370"/>
      <c r="W18" s="393"/>
      <c r="X18" s="384"/>
      <c r="Y18" s="370"/>
      <c r="Z18" s="370"/>
      <c r="AA18" s="393"/>
      <c r="AB18" s="384"/>
      <c r="AC18" s="370"/>
      <c r="AD18" s="370"/>
      <c r="AE18" s="393"/>
      <c r="AF18" s="384"/>
      <c r="AG18" s="370"/>
      <c r="AH18" s="370"/>
      <c r="AI18" s="372"/>
      <c r="AJ18" s="370"/>
      <c r="AK18" s="370"/>
      <c r="AL18" s="370"/>
      <c r="AM18" s="371"/>
      <c r="AN18" s="384"/>
      <c r="AO18" s="370"/>
      <c r="AP18" s="370"/>
      <c r="AQ18" s="372"/>
      <c r="AR18" s="1415"/>
      <c r="AS18" s="1414"/>
      <c r="AT18" s="370"/>
      <c r="AU18" s="371"/>
      <c r="AV18" s="1415"/>
      <c r="AW18" s="1414"/>
      <c r="AX18" s="1528"/>
      <c r="AY18" s="1515"/>
      <c r="AZ18" s="1415"/>
      <c r="BA18" s="1414"/>
      <c r="BB18" s="371"/>
      <c r="BC18" s="1515"/>
      <c r="BD18" s="1415"/>
      <c r="BE18" s="1870"/>
      <c r="BF18" s="371"/>
      <c r="BG18" s="1515"/>
      <c r="BH18" s="1869"/>
      <c r="BI18" s="1870"/>
      <c r="BJ18" s="371"/>
      <c r="BK18" s="1515"/>
      <c r="BL18" s="311"/>
      <c r="BM18" s="481"/>
      <c r="BN18" s="365"/>
      <c r="BO18" s="365"/>
      <c r="BP18" s="365"/>
      <c r="BQ18" s="365"/>
      <c r="BR18" s="365"/>
      <c r="BS18" s="365"/>
      <c r="BT18" s="378"/>
      <c r="BU18" s="378"/>
      <c r="BV18" s="378"/>
      <c r="BW18" s="365"/>
      <c r="BX18" s="365"/>
      <c r="BY18" s="365"/>
      <c r="BZ18" s="365"/>
      <c r="CA18" s="1673"/>
      <c r="CB18" s="1408"/>
    </row>
    <row r="19" spans="2:81" s="7" customFormat="1" ht="14.25" customHeight="1">
      <c r="B19" s="30" t="s">
        <v>192</v>
      </c>
      <c r="C19" s="380"/>
      <c r="D19" s="385"/>
      <c r="E19" s="377"/>
      <c r="F19" s="377"/>
      <c r="G19" s="368"/>
      <c r="H19" s="385"/>
      <c r="I19" s="377"/>
      <c r="J19" s="377"/>
      <c r="K19" s="368"/>
      <c r="L19" s="385"/>
      <c r="M19" s="377"/>
      <c r="N19" s="377"/>
      <c r="O19" s="368"/>
      <c r="P19" s="385"/>
      <c r="Q19" s="377"/>
      <c r="R19" s="377"/>
      <c r="S19" s="368"/>
      <c r="T19" s="385"/>
      <c r="U19" s="377"/>
      <c r="V19" s="377"/>
      <c r="W19" s="368"/>
      <c r="X19" s="385"/>
      <c r="Y19" s="377"/>
      <c r="Z19" s="377"/>
      <c r="AA19" s="368"/>
      <c r="AB19" s="385"/>
      <c r="AC19" s="377"/>
      <c r="AD19" s="377"/>
      <c r="AE19" s="368"/>
      <c r="AF19" s="385"/>
      <c r="AG19" s="377"/>
      <c r="AH19" s="386"/>
      <c r="AI19" s="322"/>
      <c r="AJ19" s="386"/>
      <c r="AK19" s="386"/>
      <c r="AL19" s="386"/>
      <c r="AM19" s="386"/>
      <c r="AN19" s="323"/>
      <c r="AO19" s="386"/>
      <c r="AP19" s="386"/>
      <c r="AQ19" s="322"/>
      <c r="AR19" s="1415"/>
      <c r="AS19" s="1414"/>
      <c r="AT19" s="386"/>
      <c r="AU19" s="386"/>
      <c r="AV19" s="1415"/>
      <c r="AW19" s="1414"/>
      <c r="AX19" s="1528"/>
      <c r="AY19" s="1512"/>
      <c r="AZ19" s="1415"/>
      <c r="BA19" s="1414"/>
      <c r="BB19" s="95"/>
      <c r="BC19" s="1512"/>
      <c r="BD19" s="1415"/>
      <c r="BE19" s="1870"/>
      <c r="BF19" s="95"/>
      <c r="BG19" s="1513"/>
      <c r="BH19" s="1869"/>
      <c r="BI19" s="1870"/>
      <c r="BJ19" s="95"/>
      <c r="BK19" s="1513"/>
      <c r="BL19" s="244"/>
      <c r="BM19" s="376"/>
      <c r="BN19" s="369"/>
      <c r="BO19" s="369"/>
      <c r="BP19" s="369"/>
      <c r="BQ19" s="369"/>
      <c r="BR19" s="369"/>
      <c r="BS19" s="369"/>
      <c r="BT19" s="377"/>
      <c r="BU19" s="377"/>
      <c r="BV19" s="377"/>
      <c r="BW19" s="369"/>
      <c r="BX19" s="369"/>
      <c r="BY19" s="369"/>
      <c r="BZ19" s="369"/>
      <c r="CA19" s="1658"/>
      <c r="CB19" s="1408"/>
    </row>
    <row r="20" spans="2:81" s="7" customFormat="1" ht="14.25" customHeight="1">
      <c r="B20" s="30"/>
      <c r="C20" s="380"/>
      <c r="D20" s="99"/>
      <c r="E20" s="97"/>
      <c r="F20" s="97"/>
      <c r="G20" s="98"/>
      <c r="H20" s="99"/>
      <c r="I20" s="97"/>
      <c r="J20" s="97"/>
      <c r="K20" s="98"/>
      <c r="L20" s="99"/>
      <c r="M20" s="97"/>
      <c r="N20" s="97"/>
      <c r="O20" s="98"/>
      <c r="P20" s="99"/>
      <c r="Q20" s="97"/>
      <c r="R20" s="97"/>
      <c r="S20" s="98"/>
      <c r="T20" s="99"/>
      <c r="U20" s="97"/>
      <c r="V20" s="97"/>
      <c r="W20" s="98"/>
      <c r="X20" s="99"/>
      <c r="Y20" s="97"/>
      <c r="Z20" s="97"/>
      <c r="AA20" s="98"/>
      <c r="AB20" s="99"/>
      <c r="AC20" s="97"/>
      <c r="AD20" s="97"/>
      <c r="AE20" s="98"/>
      <c r="AF20" s="99"/>
      <c r="AG20" s="97"/>
      <c r="AH20" s="97"/>
      <c r="AI20" s="98"/>
      <c r="AJ20" s="97"/>
      <c r="AK20" s="97"/>
      <c r="AL20" s="97"/>
      <c r="AM20" s="97"/>
      <c r="AN20" s="99"/>
      <c r="AO20" s="97"/>
      <c r="AP20" s="97"/>
      <c r="AQ20" s="98"/>
      <c r="AR20" s="1415"/>
      <c r="AS20" s="1414"/>
      <c r="AT20" s="97"/>
      <c r="AU20" s="97"/>
      <c r="AV20" s="1415"/>
      <c r="AW20" s="1414"/>
      <c r="AX20" s="1528"/>
      <c r="AY20" s="1514"/>
      <c r="AZ20" s="1415"/>
      <c r="BA20" s="1414"/>
      <c r="BB20" s="95"/>
      <c r="BC20" s="1514"/>
      <c r="BD20" s="1415"/>
      <c r="BE20" s="1870"/>
      <c r="BF20" s="95"/>
      <c r="BG20" s="1513"/>
      <c r="BH20" s="1869"/>
      <c r="BI20" s="1870"/>
      <c r="BJ20" s="95"/>
      <c r="BK20" s="1513"/>
      <c r="BL20" s="244"/>
      <c r="BM20" s="252"/>
      <c r="BN20" s="253"/>
      <c r="BO20" s="253"/>
      <c r="BP20" s="253"/>
      <c r="BQ20" s="253"/>
      <c r="BR20" s="253"/>
      <c r="BS20" s="253"/>
      <c r="BT20" s="377"/>
      <c r="BU20" s="377"/>
      <c r="BV20" s="377"/>
      <c r="BW20" s="369"/>
      <c r="BX20" s="369"/>
      <c r="BY20" s="369"/>
      <c r="BZ20" s="369"/>
      <c r="CA20" s="1658"/>
      <c r="CB20" s="1408"/>
    </row>
    <row r="21" spans="2:81" s="7" customFormat="1" ht="14.25" customHeight="1">
      <c r="B21" s="42" t="s">
        <v>520</v>
      </c>
      <c r="C21" s="380"/>
      <c r="D21" s="384"/>
      <c r="E21" s="370"/>
      <c r="F21" s="370"/>
      <c r="G21" s="404"/>
      <c r="H21" s="384"/>
      <c r="I21" s="370"/>
      <c r="J21" s="370"/>
      <c r="K21" s="404"/>
      <c r="L21" s="384"/>
      <c r="M21" s="370"/>
      <c r="N21" s="370"/>
      <c r="O21" s="393"/>
      <c r="P21" s="384"/>
      <c r="Q21" s="370"/>
      <c r="R21" s="370"/>
      <c r="S21" s="393"/>
      <c r="T21" s="384"/>
      <c r="U21" s="370"/>
      <c r="V21" s="370"/>
      <c r="W21" s="393"/>
      <c r="X21" s="384"/>
      <c r="Y21" s="370"/>
      <c r="Z21" s="370"/>
      <c r="AA21" s="393"/>
      <c r="AB21" s="384"/>
      <c r="AC21" s="370"/>
      <c r="AD21" s="370"/>
      <c r="AE21" s="393"/>
      <c r="AF21" s="384"/>
      <c r="AG21" s="370"/>
      <c r="AH21" s="370"/>
      <c r="AI21" s="393"/>
      <c r="AJ21" s="1156">
        <v>-75</v>
      </c>
      <c r="AK21" s="1156">
        <v>-20</v>
      </c>
      <c r="AL21" s="1156">
        <v>9</v>
      </c>
      <c r="AM21" s="1156">
        <v>-15</v>
      </c>
      <c r="AN21" s="1157">
        <v>3</v>
      </c>
      <c r="AO21" s="1156">
        <v>-6</v>
      </c>
      <c r="AP21" s="1156">
        <v>-17</v>
      </c>
      <c r="AQ21" s="1158">
        <v>-56</v>
      </c>
      <c r="AR21" s="1157">
        <v>-75</v>
      </c>
      <c r="AS21" s="1156">
        <v>-147</v>
      </c>
      <c r="AT21" s="1156">
        <v>-181</v>
      </c>
      <c r="AU21" s="1156">
        <v>-99</v>
      </c>
      <c r="AV21" s="1157">
        <v>-70</v>
      </c>
      <c r="AW21" s="1156">
        <v>-81</v>
      </c>
      <c r="AX21" s="1529">
        <v>-66</v>
      </c>
      <c r="AY21" s="1516">
        <v>-21</v>
      </c>
      <c r="AZ21" s="1157">
        <v>-15</v>
      </c>
      <c r="BA21" s="1156">
        <v>7</v>
      </c>
      <c r="BB21" s="1156">
        <v>70</v>
      </c>
      <c r="BC21" s="1516">
        <v>85</v>
      </c>
      <c r="BD21" s="1157">
        <v>138</v>
      </c>
      <c r="BE21" s="371"/>
      <c r="BF21" s="371"/>
      <c r="BG21" s="1515"/>
      <c r="BH21" s="382"/>
      <c r="BI21" s="371"/>
      <c r="BJ21" s="371"/>
      <c r="BK21" s="1515"/>
      <c r="BL21" s="311"/>
      <c r="BM21" s="481"/>
      <c r="BN21" s="365"/>
      <c r="BO21" s="365"/>
      <c r="BP21" s="365"/>
      <c r="BQ21" s="365"/>
      <c r="BR21" s="365"/>
      <c r="BS21" s="365"/>
      <c r="BT21" s="378"/>
      <c r="BU21" s="378">
        <f>SUM(AJ21:AM21)</f>
        <v>-101</v>
      </c>
      <c r="BV21" s="378">
        <f>SUM(AN21:AQ21)</f>
        <v>-76</v>
      </c>
      <c r="BW21" s="378"/>
      <c r="BX21" s="365"/>
      <c r="BY21" s="365"/>
      <c r="BZ21" s="365"/>
      <c r="CA21" s="1673"/>
      <c r="CB21" s="1408"/>
    </row>
    <row r="22" spans="2:81" s="7" customFormat="1" ht="14.25" customHeight="1">
      <c r="B22" s="30" t="s">
        <v>165</v>
      </c>
      <c r="C22" s="380"/>
      <c r="D22" s="385"/>
      <c r="E22" s="377"/>
      <c r="F22" s="377"/>
      <c r="G22" s="368"/>
      <c r="H22" s="385"/>
      <c r="I22" s="377"/>
      <c r="J22" s="377"/>
      <c r="K22" s="368"/>
      <c r="L22" s="385"/>
      <c r="M22" s="377"/>
      <c r="N22" s="377"/>
      <c r="O22" s="368"/>
      <c r="P22" s="385"/>
      <c r="Q22" s="377"/>
      <c r="R22" s="377"/>
      <c r="S22" s="368"/>
      <c r="T22" s="385"/>
      <c r="U22" s="377"/>
      <c r="V22" s="377"/>
      <c r="W22" s="368"/>
      <c r="X22" s="385"/>
      <c r="Y22" s="377"/>
      <c r="Z22" s="377"/>
      <c r="AA22" s="368"/>
      <c r="AB22" s="385"/>
      <c r="AC22" s="377"/>
      <c r="AD22" s="377"/>
      <c r="AE22" s="368"/>
      <c r="AF22" s="385"/>
      <c r="AG22" s="377"/>
      <c r="AH22" s="377"/>
      <c r="AI22" s="368"/>
      <c r="AJ22" s="377"/>
      <c r="AK22" s="377"/>
      <c r="AL22" s="377"/>
      <c r="AM22" s="377"/>
      <c r="AN22" s="385"/>
      <c r="AO22" s="377"/>
      <c r="AP22" s="377"/>
      <c r="AQ22" s="368"/>
      <c r="AR22" s="385"/>
      <c r="AS22" s="377"/>
      <c r="AT22" s="377"/>
      <c r="AU22" s="377"/>
      <c r="AV22" s="385"/>
      <c r="AW22" s="377"/>
      <c r="AX22" s="95"/>
      <c r="AY22" s="1517"/>
      <c r="AZ22" s="385"/>
      <c r="BA22" s="377"/>
      <c r="BB22" s="95"/>
      <c r="BC22" s="1517"/>
      <c r="BD22" s="385"/>
      <c r="BE22" s="95"/>
      <c r="BF22" s="95"/>
      <c r="BG22" s="1513"/>
      <c r="BH22" s="157"/>
      <c r="BI22" s="95"/>
      <c r="BJ22" s="95"/>
      <c r="BK22" s="1513"/>
      <c r="BL22" s="244"/>
      <c r="BM22" s="252"/>
      <c r="BN22" s="253"/>
      <c r="BO22" s="253"/>
      <c r="BP22" s="253"/>
      <c r="BQ22" s="253"/>
      <c r="BR22" s="253"/>
      <c r="BS22" s="253"/>
      <c r="BT22" s="377"/>
      <c r="BU22" s="377"/>
      <c r="BV22" s="377"/>
      <c r="BW22" s="369"/>
      <c r="BX22" s="369"/>
      <c r="BY22" s="369"/>
      <c r="BZ22" s="369"/>
      <c r="CA22" s="1658"/>
      <c r="CB22" s="1408"/>
    </row>
    <row r="23" spans="2:81" s="7" customFormat="1" ht="14.25" customHeight="1">
      <c r="B23" s="30" t="s">
        <v>166</v>
      </c>
      <c r="C23" s="380"/>
      <c r="D23" s="385"/>
      <c r="E23" s="377"/>
      <c r="F23" s="377"/>
      <c r="G23" s="368"/>
      <c r="H23" s="385"/>
      <c r="I23" s="377"/>
      <c r="J23" s="377"/>
      <c r="K23" s="368"/>
      <c r="L23" s="385"/>
      <c r="M23" s="377"/>
      <c r="N23" s="377"/>
      <c r="O23" s="368"/>
      <c r="P23" s="385"/>
      <c r="Q23" s="377"/>
      <c r="R23" s="377"/>
      <c r="S23" s="368"/>
      <c r="T23" s="385"/>
      <c r="U23" s="377"/>
      <c r="V23" s="377"/>
      <c r="W23" s="368"/>
      <c r="X23" s="385"/>
      <c r="Y23" s="377"/>
      <c r="Z23" s="377"/>
      <c r="AA23" s="368"/>
      <c r="AB23" s="385"/>
      <c r="AC23" s="377"/>
      <c r="AD23" s="377"/>
      <c r="AE23" s="368"/>
      <c r="AF23" s="385"/>
      <c r="AG23" s="377"/>
      <c r="AH23" s="377"/>
      <c r="AI23" s="368"/>
      <c r="AJ23" s="377"/>
      <c r="AK23" s="377"/>
      <c r="AL23" s="377"/>
      <c r="AM23" s="377"/>
      <c r="AN23" s="385"/>
      <c r="AO23" s="377"/>
      <c r="AP23" s="377"/>
      <c r="AQ23" s="368"/>
      <c r="AR23" s="385"/>
      <c r="AS23" s="377"/>
      <c r="AT23" s="377"/>
      <c r="AU23" s="377"/>
      <c r="AV23" s="385"/>
      <c r="AW23" s="377"/>
      <c r="AX23" s="95"/>
      <c r="AY23" s="1517"/>
      <c r="AZ23" s="385"/>
      <c r="BA23" s="377"/>
      <c r="BB23" s="95"/>
      <c r="BC23" s="1517"/>
      <c r="BD23" s="385"/>
      <c r="BE23" s="95"/>
      <c r="BF23" s="95"/>
      <c r="BG23" s="1513"/>
      <c r="BH23" s="157"/>
      <c r="BI23" s="95"/>
      <c r="BJ23" s="95"/>
      <c r="BK23" s="1513"/>
      <c r="BL23" s="244"/>
      <c r="BM23" s="376"/>
      <c r="BN23" s="369"/>
      <c r="BO23" s="369"/>
      <c r="BP23" s="369"/>
      <c r="BQ23" s="369"/>
      <c r="BR23" s="369"/>
      <c r="BS23" s="369"/>
      <c r="BT23" s="377"/>
      <c r="BU23" s="377"/>
      <c r="BV23" s="95">
        <f>BV21/BU21-1</f>
        <v>-0.24752475247524752</v>
      </c>
      <c r="BW23" s="95"/>
      <c r="BX23" s="369"/>
      <c r="BY23" s="369"/>
      <c r="BZ23" s="369"/>
      <c r="CA23" s="1658"/>
      <c r="CB23" s="1408"/>
    </row>
    <row r="24" spans="2:81" s="7" customFormat="1" ht="14.25" customHeight="1">
      <c r="B24" s="330" t="s">
        <v>385</v>
      </c>
      <c r="C24" s="381"/>
      <c r="D24" s="464"/>
      <c r="E24" s="465"/>
      <c r="F24" s="465"/>
      <c r="G24" s="466"/>
      <c r="H24" s="464"/>
      <c r="I24" s="465"/>
      <c r="J24" s="465"/>
      <c r="K24" s="466"/>
      <c r="L24" s="464"/>
      <c r="M24" s="465"/>
      <c r="N24" s="465"/>
      <c r="O24" s="466"/>
      <c r="P24" s="464"/>
      <c r="Q24" s="465"/>
      <c r="R24" s="465"/>
      <c r="S24" s="466"/>
      <c r="T24" s="464"/>
      <c r="U24" s="465"/>
      <c r="V24" s="465"/>
      <c r="W24" s="466"/>
      <c r="X24" s="464"/>
      <c r="Y24" s="465"/>
      <c r="Z24" s="465"/>
      <c r="AA24" s="466"/>
      <c r="AB24" s="464"/>
      <c r="AC24" s="465"/>
      <c r="AD24" s="465"/>
      <c r="AE24" s="466"/>
      <c r="AF24" s="464"/>
      <c r="AG24" s="465"/>
      <c r="AH24" s="465"/>
      <c r="AI24" s="466"/>
      <c r="AJ24" s="465">
        <f t="shared" ref="AJ24:AX24" si="32">AJ21/AJ8</f>
        <v>-8.2146768893756841E-2</v>
      </c>
      <c r="AK24" s="465">
        <f t="shared" si="32"/>
        <v>-2.0120724346076459E-2</v>
      </c>
      <c r="AL24" s="465">
        <f t="shared" si="32"/>
        <v>9.7297297297297292E-3</v>
      </c>
      <c r="AM24" s="465">
        <f t="shared" si="32"/>
        <v>-1.6891891891891893E-2</v>
      </c>
      <c r="AN24" s="464">
        <f t="shared" si="32"/>
        <v>3.4843205574912892E-3</v>
      </c>
      <c r="AO24" s="465">
        <f t="shared" si="32"/>
        <v>-7.246376811594203E-3</v>
      </c>
      <c r="AP24" s="465">
        <f t="shared" si="32"/>
        <v>-2.176696542893726E-2</v>
      </c>
      <c r="AQ24" s="466">
        <f t="shared" si="32"/>
        <v>-8.4592145015105744E-2</v>
      </c>
      <c r="AR24" s="464">
        <f t="shared" si="32"/>
        <v>-0.14097744360902256</v>
      </c>
      <c r="AS24" s="465">
        <f t="shared" si="32"/>
        <v>-0.38786279683377306</v>
      </c>
      <c r="AT24" s="465">
        <f t="shared" ref="AT24" si="33">AT21/AT8</f>
        <v>-0.42688679245283018</v>
      </c>
      <c r="AU24" s="465">
        <f t="shared" si="32"/>
        <v>-0.21063829787234042</v>
      </c>
      <c r="AV24" s="464">
        <f t="shared" si="32"/>
        <v>-0.15217391304347827</v>
      </c>
      <c r="AW24" s="465">
        <f t="shared" si="32"/>
        <v>-0.18620689655172415</v>
      </c>
      <c r="AX24" s="254">
        <f t="shared" si="32"/>
        <v>-0.13983050847457626</v>
      </c>
      <c r="AY24" s="1680">
        <f t="shared" ref="AY24:BB24" si="34">AY21/AY8</f>
        <v>-3.5000000000000003E-2</v>
      </c>
      <c r="AZ24" s="464">
        <f t="shared" si="34"/>
        <v>-2.5295109612141653E-2</v>
      </c>
      <c r="BA24" s="465">
        <f t="shared" si="34"/>
        <v>1.0622154779969651E-2</v>
      </c>
      <c r="BB24" s="254">
        <f t="shared" si="34"/>
        <v>8.5470085470085472E-2</v>
      </c>
      <c r="BC24" s="1680">
        <f t="shared" ref="BC24:BD24" si="35">BC21/BC8</f>
        <v>8.8726513569937368E-2</v>
      </c>
      <c r="BD24" s="464">
        <f t="shared" si="35"/>
        <v>0.12376681614349776</v>
      </c>
      <c r="BE24" s="254"/>
      <c r="BF24" s="254"/>
      <c r="BG24" s="1871"/>
      <c r="BH24" s="355"/>
      <c r="BI24" s="254"/>
      <c r="BJ24" s="254"/>
      <c r="BK24" s="1871"/>
      <c r="BL24" s="244"/>
      <c r="BM24" s="922"/>
      <c r="BN24" s="923"/>
      <c r="BO24" s="923"/>
      <c r="BP24" s="923"/>
      <c r="BQ24" s="923"/>
      <c r="BR24" s="923"/>
      <c r="BS24" s="923"/>
      <c r="BT24" s="465"/>
      <c r="BU24" s="465">
        <f>BU21/BU8</f>
        <v>-2.7150537634408601E-2</v>
      </c>
      <c r="BV24" s="465">
        <f>BV21/BV8</f>
        <v>-2.4265644955300127E-2</v>
      </c>
      <c r="BW24" s="923"/>
      <c r="BX24" s="923"/>
      <c r="BY24" s="923"/>
      <c r="BZ24" s="923"/>
      <c r="CA24" s="1712"/>
      <c r="CB24" s="1408"/>
    </row>
    <row r="25" spans="2:81" s="7" customFormat="1" ht="14.25" customHeight="1">
      <c r="B25" s="269" t="s">
        <v>523</v>
      </c>
      <c r="C25" s="287"/>
      <c r="D25" s="382"/>
      <c r="E25" s="371"/>
      <c r="F25" s="371"/>
      <c r="G25" s="372"/>
      <c r="H25" s="382"/>
      <c r="I25" s="371"/>
      <c r="J25" s="371"/>
      <c r="K25" s="372"/>
      <c r="L25" s="382"/>
      <c r="M25" s="371"/>
      <c r="N25" s="371"/>
      <c r="O25" s="372"/>
      <c r="P25" s="382"/>
      <c r="Q25" s="371"/>
      <c r="R25" s="371"/>
      <c r="S25" s="372"/>
      <c r="T25" s="382"/>
      <c r="U25" s="371"/>
      <c r="V25" s="371"/>
      <c r="W25" s="372"/>
      <c r="X25" s="382"/>
      <c r="Y25" s="371"/>
      <c r="Z25" s="371"/>
      <c r="AA25" s="372"/>
      <c r="AB25" s="382"/>
      <c r="AC25" s="371"/>
      <c r="AD25" s="371"/>
      <c r="AE25" s="372"/>
      <c r="AF25" s="382"/>
      <c r="AG25" s="371"/>
      <c r="AH25" s="371"/>
      <c r="AI25" s="480"/>
      <c r="AJ25" s="371">
        <f>SUM(AJ26:AJ26)</f>
        <v>175</v>
      </c>
      <c r="AK25" s="371">
        <f>SUM(AK26:AK26)</f>
        <v>167</v>
      </c>
      <c r="AL25" s="371">
        <f>SUM(AL26:AL26)</f>
        <v>536</v>
      </c>
      <c r="AM25" s="1079">
        <f>SUM(AM26:AM26)</f>
        <v>699</v>
      </c>
      <c r="AN25" s="371">
        <v>536</v>
      </c>
      <c r="AO25" s="371">
        <f t="shared" ref="AO25:BK25" si="36">SUM(AO26:AO26)</f>
        <v>613</v>
      </c>
      <c r="AP25" s="371">
        <f t="shared" si="36"/>
        <v>648</v>
      </c>
      <c r="AQ25" s="1079">
        <f t="shared" si="36"/>
        <v>577</v>
      </c>
      <c r="AR25" s="371">
        <f>SUM(AR26:AR26)</f>
        <v>498</v>
      </c>
      <c r="AS25" s="371">
        <f t="shared" si="36"/>
        <v>563</v>
      </c>
      <c r="AT25" s="371">
        <f t="shared" si="36"/>
        <v>637</v>
      </c>
      <c r="AU25" s="371">
        <f t="shared" si="36"/>
        <v>488</v>
      </c>
      <c r="AV25" s="382">
        <f t="shared" si="36"/>
        <v>372</v>
      </c>
      <c r="AW25" s="371">
        <f t="shared" si="36"/>
        <v>592</v>
      </c>
      <c r="AX25" s="1530">
        <f t="shared" si="36"/>
        <v>835</v>
      </c>
      <c r="AY25" s="1515">
        <f t="shared" si="36"/>
        <v>506</v>
      </c>
      <c r="AZ25" s="382">
        <f t="shared" si="36"/>
        <v>391</v>
      </c>
      <c r="BA25" s="371">
        <f t="shared" si="36"/>
        <v>563</v>
      </c>
      <c r="BB25" s="371">
        <f t="shared" si="36"/>
        <v>824</v>
      </c>
      <c r="BC25" s="1515">
        <f t="shared" si="36"/>
        <v>522</v>
      </c>
      <c r="BD25" s="382">
        <f t="shared" si="36"/>
        <v>532</v>
      </c>
      <c r="BE25" s="371">
        <f t="shared" si="36"/>
        <v>615.97697302161725</v>
      </c>
      <c r="BF25" s="371">
        <f t="shared" si="36"/>
        <v>639.51734272457884</v>
      </c>
      <c r="BG25" s="1515">
        <f t="shared" si="36"/>
        <v>562.39787344236618</v>
      </c>
      <c r="BH25" s="382">
        <f t="shared" si="36"/>
        <v>519.4561123278512</v>
      </c>
      <c r="BI25" s="371">
        <f t="shared" si="36"/>
        <v>612.28435832525497</v>
      </c>
      <c r="BJ25" s="371">
        <f t="shared" si="36"/>
        <v>656.1396029880932</v>
      </c>
      <c r="BK25" s="1515">
        <f t="shared" si="36"/>
        <v>619.13811658391819</v>
      </c>
      <c r="BL25" s="311"/>
      <c r="BM25" s="1087" t="s">
        <v>373</v>
      </c>
      <c r="BN25" s="919" t="s">
        <v>373</v>
      </c>
      <c r="BO25" s="919"/>
      <c r="BP25" s="919"/>
      <c r="BQ25" s="919"/>
      <c r="BR25" s="919"/>
      <c r="BS25" s="919"/>
      <c r="BT25" s="1085"/>
      <c r="BU25" s="1085">
        <f>+SUM(AJ25:AM25)</f>
        <v>1577</v>
      </c>
      <c r="BV25" s="1085">
        <f>+SUM(AN25:AQ25)</f>
        <v>2374</v>
      </c>
      <c r="BW25" s="392">
        <f>SUM(AR25:AU25)</f>
        <v>2186</v>
      </c>
      <c r="BX25" s="392">
        <f>SUM(AV25:AY25)</f>
        <v>2305</v>
      </c>
      <c r="BY25" s="1085">
        <f>BY26</f>
        <v>2299.9272724983794</v>
      </c>
      <c r="BZ25" s="1085">
        <f>BZ26</f>
        <v>2349.8961112136453</v>
      </c>
      <c r="CA25" s="2192">
        <f>CA26</f>
        <v>2407.0181902251179</v>
      </c>
      <c r="CB25" s="1408"/>
    </row>
    <row r="26" spans="2:81" s="7" customFormat="1" ht="14.25" customHeight="1">
      <c r="B26" s="23" t="s">
        <v>537</v>
      </c>
      <c r="C26" s="287"/>
      <c r="D26" s="383"/>
      <c r="E26" s="373"/>
      <c r="F26" s="373"/>
      <c r="G26" s="403"/>
      <c r="H26" s="383"/>
      <c r="I26" s="373"/>
      <c r="J26" s="373"/>
      <c r="K26" s="403"/>
      <c r="L26" s="383"/>
      <c r="M26" s="373"/>
      <c r="N26" s="373"/>
      <c r="O26" s="374"/>
      <c r="P26" s="383"/>
      <c r="Q26" s="373"/>
      <c r="R26" s="373"/>
      <c r="S26" s="374"/>
      <c r="T26" s="383"/>
      <c r="U26" s="373"/>
      <c r="V26" s="373"/>
      <c r="W26" s="374"/>
      <c r="X26" s="383"/>
      <c r="Y26" s="373"/>
      <c r="Z26" s="373"/>
      <c r="AA26" s="374"/>
      <c r="AB26" s="383"/>
      <c r="AC26" s="373"/>
      <c r="AD26" s="373"/>
      <c r="AE26" s="374"/>
      <c r="AF26" s="383"/>
      <c r="AG26" s="373"/>
      <c r="AH26" s="891"/>
      <c r="AI26" s="374"/>
      <c r="AJ26" s="1154">
        <v>175</v>
      </c>
      <c r="AK26" s="1154">
        <v>167</v>
      </c>
      <c r="AL26" s="1154">
        <v>536</v>
      </c>
      <c r="AM26" s="1159">
        <v>699</v>
      </c>
      <c r="AN26" s="1154">
        <v>536</v>
      </c>
      <c r="AO26" s="1154">
        <v>613</v>
      </c>
      <c r="AP26" s="1154">
        <v>648</v>
      </c>
      <c r="AQ26" s="1159">
        <v>577</v>
      </c>
      <c r="AR26" s="1154">
        <v>498</v>
      </c>
      <c r="AS26" s="1154">
        <v>563</v>
      </c>
      <c r="AT26" s="1154">
        <v>637</v>
      </c>
      <c r="AU26" s="1154">
        <v>488</v>
      </c>
      <c r="AV26" s="1460">
        <v>372</v>
      </c>
      <c r="AW26" s="1154">
        <v>592</v>
      </c>
      <c r="AX26" s="1526">
        <v>835</v>
      </c>
      <c r="AY26" s="1511">
        <v>506</v>
      </c>
      <c r="AZ26" s="1460">
        <v>391</v>
      </c>
      <c r="BA26" s="1154">
        <v>563</v>
      </c>
      <c r="BB26" s="1154">
        <v>824</v>
      </c>
      <c r="BC26" s="1511">
        <v>522</v>
      </c>
      <c r="BD26" s="1460">
        <v>532</v>
      </c>
      <c r="BE26" s="159">
        <f t="shared" ref="BE26:BG26" si="37">SUM(BE27:BE30)</f>
        <v>615.97697302161725</v>
      </c>
      <c r="BF26" s="159">
        <f t="shared" si="37"/>
        <v>639.51734272457884</v>
      </c>
      <c r="BG26" s="1707">
        <f t="shared" si="37"/>
        <v>562.39787344236618</v>
      </c>
      <c r="BH26" s="161">
        <f t="shared" ref="BH26:BK26" si="38">SUM(BH27:BH30)</f>
        <v>519.4561123278512</v>
      </c>
      <c r="BI26" s="159">
        <f t="shared" si="38"/>
        <v>612.28435832525497</v>
      </c>
      <c r="BJ26" s="159">
        <f t="shared" si="38"/>
        <v>656.1396029880932</v>
      </c>
      <c r="BK26" s="1707">
        <f t="shared" si="38"/>
        <v>619.13811658391819</v>
      </c>
      <c r="BL26" s="2041"/>
      <c r="BM26" s="482"/>
      <c r="BN26" s="391"/>
      <c r="BO26" s="391"/>
      <c r="BP26" s="391"/>
      <c r="BQ26" s="391"/>
      <c r="BR26" s="391"/>
      <c r="BS26" s="391"/>
      <c r="BT26" s="1086"/>
      <c r="BU26" s="1086">
        <f>+SUM(AJ26:AM26)</f>
        <v>1577</v>
      </c>
      <c r="BV26" s="1086">
        <f>+SUM(AN26:AQ26)</f>
        <v>2374</v>
      </c>
      <c r="BW26" s="391">
        <f>SUM(AR26:AU26)</f>
        <v>2186</v>
      </c>
      <c r="BX26" s="391">
        <f>SUM(BX27:BX30)</f>
        <v>2304.5882670415144</v>
      </c>
      <c r="BY26" s="391">
        <f>SUM(BY27:BY30)</f>
        <v>2299.9272724983794</v>
      </c>
      <c r="BZ26" s="391">
        <f>SUM(BZ27:BZ30)</f>
        <v>2349.8961112136453</v>
      </c>
      <c r="CA26" s="1657">
        <f>SUM(CA27:CA30)</f>
        <v>2407.0181902251179</v>
      </c>
      <c r="CB26" s="1408"/>
    </row>
    <row r="27" spans="2:81" s="7" customFormat="1" ht="14.25" customHeight="1">
      <c r="B27" s="23" t="s">
        <v>529</v>
      </c>
      <c r="C27" s="287"/>
      <c r="D27" s="383"/>
      <c r="E27" s="373"/>
      <c r="F27" s="373"/>
      <c r="G27" s="403"/>
      <c r="H27" s="383"/>
      <c r="I27" s="373"/>
      <c r="J27" s="373"/>
      <c r="K27" s="403"/>
      <c r="L27" s="383"/>
      <c r="M27" s="373"/>
      <c r="N27" s="373"/>
      <c r="O27" s="374"/>
      <c r="P27" s="383"/>
      <c r="Q27" s="373"/>
      <c r="R27" s="373"/>
      <c r="S27" s="374"/>
      <c r="T27" s="383"/>
      <c r="U27" s="373"/>
      <c r="V27" s="373"/>
      <c r="W27" s="374"/>
      <c r="X27" s="383"/>
      <c r="Y27" s="373"/>
      <c r="Z27" s="373"/>
      <c r="AA27" s="374"/>
      <c r="AB27" s="383"/>
      <c r="AC27" s="373"/>
      <c r="AD27" s="373"/>
      <c r="AE27" s="374"/>
      <c r="AF27" s="383"/>
      <c r="AG27" s="373"/>
      <c r="AH27" s="891"/>
      <c r="AI27" s="374"/>
      <c r="AJ27" s="1386">
        <f t="shared" ref="AJ27:AQ27" si="39">250/4</f>
        <v>62.5</v>
      </c>
      <c r="AK27" s="1386">
        <f t="shared" si="39"/>
        <v>62.5</v>
      </c>
      <c r="AL27" s="1386">
        <f t="shared" si="39"/>
        <v>62.5</v>
      </c>
      <c r="AM27" s="1389">
        <f t="shared" si="39"/>
        <v>62.5</v>
      </c>
      <c r="AN27" s="1386">
        <f t="shared" si="39"/>
        <v>62.5</v>
      </c>
      <c r="AO27" s="1386">
        <f t="shared" si="39"/>
        <v>62.5</v>
      </c>
      <c r="AP27" s="1386">
        <f t="shared" si="39"/>
        <v>62.5</v>
      </c>
      <c r="AQ27" s="1389">
        <f t="shared" si="39"/>
        <v>62.5</v>
      </c>
      <c r="AR27" s="1386">
        <f>'BU Bottoms Up'!AR94</f>
        <v>59.45946856389503</v>
      </c>
      <c r="AS27" s="1386">
        <f>'BU Bottoms Up'!AS94</f>
        <v>58.946018650788858</v>
      </c>
      <c r="AT27" s="1386">
        <f>'BU Bottoms Up'!AT94</f>
        <v>61.893319583328307</v>
      </c>
      <c r="AU27" s="1386">
        <f>'BU Bottoms Up'!AU94</f>
        <v>64.987985562494728</v>
      </c>
      <c r="AV27" s="1387">
        <f>'BU Bottoms Up'!AV94</f>
        <v>61.738586284369987</v>
      </c>
      <c r="AW27" s="1386">
        <f>'BU Bottoms Up'!AW94</f>
        <v>61.738586284369987</v>
      </c>
      <c r="AX27" s="1386">
        <f>'BU Bottoms Up'!AX94</f>
        <v>62.355972147213684</v>
      </c>
      <c r="AY27" s="1510">
        <f>'BU Bottoms Up'!AY94</f>
        <v>60.485292982797269</v>
      </c>
      <c r="AZ27" s="1387">
        <f>'BU Bottoms Up'!AZ94</f>
        <v>60.485292982797269</v>
      </c>
      <c r="BA27" s="1386">
        <f>'BU Bottoms Up'!BA94</f>
        <v>60.485292982797269</v>
      </c>
      <c r="BB27" s="1386">
        <f>'BU Bottoms Up'!BB94</f>
        <v>60.485292982797269</v>
      </c>
      <c r="BC27" s="1510">
        <f>'BU Bottoms Up'!BC94</f>
        <v>60.598112293228567</v>
      </c>
      <c r="BD27" s="1387">
        <f>'BU Bottoms Up'!BD94</f>
        <v>60.598112293228567</v>
      </c>
      <c r="BE27" s="159">
        <f>'BU Bottoms Up'!BE94</f>
        <v>57.568206678567137</v>
      </c>
      <c r="BF27" s="159">
        <f>'BU Bottoms Up'!BF94</f>
        <v>54.689796344638779</v>
      </c>
      <c r="BG27" s="1707">
        <f>'BU Bottoms Up'!BG94</f>
        <v>51.95530652740684</v>
      </c>
      <c r="BH27" s="161">
        <f>'BU Bottoms Up'!BH94</f>
        <v>51.95530652740684</v>
      </c>
      <c r="BI27" s="159">
        <f>'BU Bottoms Up'!BI94</f>
        <v>51.95530652740684</v>
      </c>
      <c r="BJ27" s="159">
        <f>'BU Bottoms Up'!BJ94</f>
        <v>51.95530652740684</v>
      </c>
      <c r="BK27" s="1707">
        <f>'BU Bottoms Up'!BK94</f>
        <v>52.052215405029962</v>
      </c>
      <c r="BL27" s="2041"/>
      <c r="BM27" s="482"/>
      <c r="BN27" s="391"/>
      <c r="BO27" s="391"/>
      <c r="BP27" s="391"/>
      <c r="BQ27" s="391"/>
      <c r="BR27" s="391"/>
      <c r="BS27" s="391"/>
      <c r="BT27" s="1086"/>
      <c r="BU27" s="1086">
        <f>+SUM(AJ27:AM27)</f>
        <v>250</v>
      </c>
      <c r="BV27" s="1086">
        <f>+SUM(AN27:AQ27)</f>
        <v>250</v>
      </c>
      <c r="BW27" s="391">
        <f>SUM(AR27:AU27)</f>
        <v>245.28679236050692</v>
      </c>
      <c r="BX27" s="391">
        <f t="shared" ref="BX27:BX28" si="40">SUM(AV27:AY27)</f>
        <v>246.31843769875093</v>
      </c>
      <c r="BY27" s="1402">
        <f t="shared" ref="BY27:BY28" si="41">SUM(AZ27:BC27)</f>
        <v>242.05399124162039</v>
      </c>
      <c r="BZ27" s="1402">
        <f>SUM(BD27:BG27)</f>
        <v>224.81142184384132</v>
      </c>
      <c r="CA27" s="1657">
        <f>SUM(BH27:BK27)</f>
        <v>207.91813498725048</v>
      </c>
      <c r="CB27" s="1408"/>
    </row>
    <row r="28" spans="2:81" s="7" customFormat="1" ht="14.25" customHeight="1">
      <c r="B28" s="23" t="s">
        <v>530</v>
      </c>
      <c r="C28" s="287"/>
      <c r="D28" s="383"/>
      <c r="E28" s="373"/>
      <c r="F28" s="373"/>
      <c r="G28" s="403"/>
      <c r="H28" s="383"/>
      <c r="I28" s="373"/>
      <c r="J28" s="373"/>
      <c r="K28" s="403"/>
      <c r="L28" s="383"/>
      <c r="M28" s="373"/>
      <c r="N28" s="373"/>
      <c r="O28" s="374"/>
      <c r="P28" s="383"/>
      <c r="Q28" s="373"/>
      <c r="R28" s="373"/>
      <c r="S28" s="374"/>
      <c r="T28" s="383"/>
      <c r="U28" s="373"/>
      <c r="V28" s="373"/>
      <c r="W28" s="374"/>
      <c r="X28" s="383"/>
      <c r="Y28" s="373"/>
      <c r="Z28" s="373"/>
      <c r="AA28" s="374"/>
      <c r="AB28" s="383"/>
      <c r="AC28" s="373"/>
      <c r="AD28" s="373"/>
      <c r="AE28" s="374"/>
      <c r="AF28" s="383"/>
      <c r="AG28" s="373"/>
      <c r="AH28" s="891"/>
      <c r="AI28" s="374"/>
      <c r="AJ28" s="1386">
        <v>50</v>
      </c>
      <c r="AK28" s="1386">
        <v>50</v>
      </c>
      <c r="AL28" s="1386">
        <v>50</v>
      </c>
      <c r="AM28" s="1389">
        <v>50</v>
      </c>
      <c r="AN28" s="1386">
        <v>50</v>
      </c>
      <c r="AO28" s="1386">
        <v>50</v>
      </c>
      <c r="AP28" s="1386">
        <v>50</v>
      </c>
      <c r="AQ28" s="1389">
        <v>50</v>
      </c>
      <c r="AR28" s="1386">
        <f>'BU Bottoms Up'!AR85</f>
        <v>40</v>
      </c>
      <c r="AS28" s="1386">
        <f>'BU Bottoms Up'!AS85</f>
        <v>17.574999999999999</v>
      </c>
      <c r="AT28" s="1386">
        <f>'BU Bottoms Up'!AT85</f>
        <v>18.453749999999999</v>
      </c>
      <c r="AU28" s="1386">
        <f>'BU Bottoms Up'!AU85</f>
        <v>15.653609437505077</v>
      </c>
      <c r="AV28" s="1387">
        <f>'BU Bottoms Up'!AV85</f>
        <v>18.972174638256149</v>
      </c>
      <c r="AW28" s="1386">
        <f>'BU Bottoms Up'!AW85</f>
        <v>22.994275661566455</v>
      </c>
      <c r="AX28" s="1386">
        <f>'BU Bottoms Up'!AX85</f>
        <v>24.856811990153339</v>
      </c>
      <c r="AY28" s="1510">
        <f>'BU Bottoms Up'!AY85</f>
        <v>26.099652589661005</v>
      </c>
      <c r="AZ28" s="1387">
        <f>'BU Bottoms Up'!AZ85</f>
        <v>29.283810205599654</v>
      </c>
      <c r="BA28" s="1386">
        <f>'BU Bottoms Up'!BA85</f>
        <v>35.433410348775588</v>
      </c>
      <c r="BB28" s="1386">
        <f>'BU Bottoms Up'!BB85</f>
        <v>65.870709838373813</v>
      </c>
      <c r="BC28" s="1510">
        <f>'BU Bottoms Up'!BC85</f>
        <v>86.949336986653435</v>
      </c>
      <c r="BD28" s="1387">
        <f>'BU Bottoms Up'!BD85</f>
        <v>102.99148966069097</v>
      </c>
      <c r="BE28" s="159">
        <f>'BU Bottoms Up'!BE85</f>
        <v>114.03732692680009</v>
      </c>
      <c r="BF28" s="159">
        <f>'BU Bottoms Up'!BF85</f>
        <v>119.7391932731401</v>
      </c>
      <c r="BG28" s="1707">
        <f>'BU Bottoms Up'!BG85</f>
        <v>123.33136907133429</v>
      </c>
      <c r="BH28" s="161">
        <f>'BU Bottoms Up'!BH85</f>
        <v>146.08600666499549</v>
      </c>
      <c r="BI28" s="159">
        <f>'BU Bottoms Up'!BI85</f>
        <v>173.03887489468713</v>
      </c>
      <c r="BJ28" s="159">
        <f>'BU Bottoms Up'!BJ85</f>
        <v>198.99470612889019</v>
      </c>
      <c r="BK28" s="1707">
        <f>'BU Bottoms Up'!BK85</f>
        <v>228.84391204822373</v>
      </c>
      <c r="BL28" s="2041"/>
      <c r="BM28" s="482"/>
      <c r="BN28" s="391"/>
      <c r="BO28" s="391"/>
      <c r="BP28" s="391"/>
      <c r="BQ28" s="391"/>
      <c r="BR28" s="391"/>
      <c r="BS28" s="391"/>
      <c r="BT28" s="159"/>
      <c r="BU28" s="159">
        <f>+SUM(AJ28:AM28)</f>
        <v>200</v>
      </c>
      <c r="BV28" s="159">
        <f>+SUM(AN28:AQ28)</f>
        <v>200</v>
      </c>
      <c r="BW28" s="366">
        <f>SUM(AR28:AU28)</f>
        <v>91.682359437505085</v>
      </c>
      <c r="BX28" s="366">
        <f t="shared" si="40"/>
        <v>92.922914879636949</v>
      </c>
      <c r="BY28" s="366">
        <f t="shared" si="41"/>
        <v>217.53726737940249</v>
      </c>
      <c r="BZ28" s="1402">
        <f>SUM(BD28:BG28)</f>
        <v>460.09937893196548</v>
      </c>
      <c r="CA28" s="1657">
        <f>SUM(BH28:BK28)</f>
        <v>746.96349973679662</v>
      </c>
      <c r="CB28" s="1408"/>
      <c r="CC28" s="324"/>
    </row>
    <row r="29" spans="2:81" s="7" customFormat="1" ht="14.25" customHeight="1">
      <c r="B29" s="23" t="s">
        <v>531</v>
      </c>
      <c r="C29" s="287"/>
      <c r="D29" s="383"/>
      <c r="E29" s="373"/>
      <c r="F29" s="373"/>
      <c r="G29" s="403"/>
      <c r="H29" s="383"/>
      <c r="I29" s="373"/>
      <c r="J29" s="373"/>
      <c r="K29" s="403"/>
      <c r="L29" s="383"/>
      <c r="M29" s="373"/>
      <c r="N29" s="373"/>
      <c r="O29" s="374"/>
      <c r="P29" s="383"/>
      <c r="Q29" s="373"/>
      <c r="R29" s="373"/>
      <c r="S29" s="374"/>
      <c r="T29" s="383"/>
      <c r="U29" s="373"/>
      <c r="V29" s="373"/>
      <c r="W29" s="374"/>
      <c r="X29" s="383"/>
      <c r="Y29" s="373"/>
      <c r="Z29" s="373"/>
      <c r="AA29" s="374"/>
      <c r="AB29" s="383"/>
      <c r="AC29" s="373"/>
      <c r="AD29" s="373"/>
      <c r="AE29" s="374"/>
      <c r="AF29" s="383"/>
      <c r="AG29" s="373"/>
      <c r="AH29" s="891"/>
      <c r="AI29" s="374"/>
      <c r="AJ29" s="1386">
        <f t="shared" ref="AJ29:AK29" si="42">AJ26-AJ27-AJ28</f>
        <v>62.5</v>
      </c>
      <c r="AK29" s="1386">
        <f t="shared" si="42"/>
        <v>54.5</v>
      </c>
      <c r="AL29" s="1386">
        <f>'BU Bottoms Up'!AL146</f>
        <v>423.5</v>
      </c>
      <c r="AM29" s="1389">
        <f>'BU Bottoms Up'!AM146</f>
        <v>586.49999999999955</v>
      </c>
      <c r="AN29" s="1386">
        <f>'BU Bottoms Up'!AN146</f>
        <v>423.50000000000011</v>
      </c>
      <c r="AO29" s="1386">
        <f>'BU Bottoms Up'!AO146</f>
        <v>500.5</v>
      </c>
      <c r="AP29" s="1386">
        <f>'BU Bottoms Up'!AP146</f>
        <v>535.50000000000023</v>
      </c>
      <c r="AQ29" s="1389">
        <f>'BU Bottoms Up'!AQ146</f>
        <v>464.5</v>
      </c>
      <c r="AR29" s="1386">
        <f>'BU Bottoms Up'!AR146</f>
        <v>398.54053143610497</v>
      </c>
      <c r="AS29" s="1386">
        <f>'BU Bottoms Up'!AS146</f>
        <v>486.47898134921115</v>
      </c>
      <c r="AT29" s="1386">
        <f>'BU Bottoms Up'!AT146</f>
        <v>556.65293041667167</v>
      </c>
      <c r="AU29" s="1386">
        <f>'BU Bottoms Up'!AU146</f>
        <v>407.35840500000006</v>
      </c>
      <c r="AV29" s="1387">
        <f>'BU Bottoms Up'!AV146</f>
        <v>291.29000000000002</v>
      </c>
      <c r="AW29" s="1386">
        <f>'BU Bottoms Up'!AW146</f>
        <v>507.26713805406393</v>
      </c>
      <c r="AX29" s="1386">
        <f>'BU Bottoms Up'!AX146</f>
        <v>747.41517610125004</v>
      </c>
      <c r="AY29" s="1510">
        <f>'BU Bottoms Up'!AY146</f>
        <v>419.3746003078125</v>
      </c>
      <c r="AZ29" s="1387">
        <f>'BU Bottoms Up'!AZ146</f>
        <v>301.25288961103126</v>
      </c>
      <c r="BA29" s="1386">
        <f>'BU Bottoms Up'!BA146</f>
        <v>467.10349150462503</v>
      </c>
      <c r="BB29" s="1386">
        <f>'BU Bottoms Up'!BB146</f>
        <v>697.54750261406252</v>
      </c>
      <c r="BC29" s="1510">
        <f>'BU Bottoms Up'!BC146</f>
        <v>374.43213014763751</v>
      </c>
      <c r="BD29" s="1387">
        <f>'BU Bottoms Up'!BD146</f>
        <v>368.41432007116316</v>
      </c>
      <c r="BE29" s="159">
        <f>'BU Bottoms Up'!BE146</f>
        <v>444.37143941625004</v>
      </c>
      <c r="BF29" s="159">
        <f>'BU Bottoms Up'!BF146</f>
        <v>465.08835310680001</v>
      </c>
      <c r="BG29" s="1707">
        <f>'BU Bottoms Up'!BG146</f>
        <v>387.11119784362506</v>
      </c>
      <c r="BH29" s="161">
        <f>'BU Bottoms Up'!BH146</f>
        <v>321.41479913544885</v>
      </c>
      <c r="BI29" s="159">
        <f>'BU Bottoms Up'!BI146</f>
        <v>387.29017690316101</v>
      </c>
      <c r="BJ29" s="159">
        <f>'BU Bottoms Up'!BJ146</f>
        <v>405.18959033179624</v>
      </c>
      <c r="BK29" s="1707">
        <f>'BU Bottoms Up'!BK146</f>
        <v>338.24198913066454</v>
      </c>
      <c r="BL29" s="2042"/>
      <c r="BM29" s="1903">
        <f>'BU Bottoms Up'!BM146</f>
        <v>0</v>
      </c>
      <c r="BN29" s="1154">
        <f>'BU Bottoms Up'!BN146</f>
        <v>0</v>
      </c>
      <c r="BO29" s="1154">
        <f>'BU Bottoms Up'!BO146</f>
        <v>0</v>
      </c>
      <c r="BP29" s="1154">
        <f>'BU Bottoms Up'!BP146</f>
        <v>0</v>
      </c>
      <c r="BQ29" s="1154">
        <f>'BU Bottoms Up'!BQ146</f>
        <v>0</v>
      </c>
      <c r="BR29" s="1154">
        <f>'BU Bottoms Up'!BR146</f>
        <v>0</v>
      </c>
      <c r="BS29" s="1154">
        <f>'BU Bottoms Up'!BS146</f>
        <v>0</v>
      </c>
      <c r="BT29" s="159">
        <f>'BU Bottoms Up'!BT146</f>
        <v>0</v>
      </c>
      <c r="BU29" s="159">
        <f>'BU Bottoms Up'!BU146</f>
        <v>911.6077999999992</v>
      </c>
      <c r="BV29" s="159">
        <f>'BU Bottoms Up'!BV146</f>
        <v>1924.0000000000005</v>
      </c>
      <c r="BW29" s="159">
        <f>'BU Bottoms Up'!BW146</f>
        <v>1849.0308482019877</v>
      </c>
      <c r="BX29" s="159">
        <f>'BU Bottoms Up'!BX146</f>
        <v>1965.3469144631265</v>
      </c>
      <c r="BY29" s="159">
        <f>'BU Bottoms Up'!BY146</f>
        <v>1840.3360138773564</v>
      </c>
      <c r="BZ29" s="1402">
        <f>SUM(BD29:BG29)</f>
        <v>1664.9853104378385</v>
      </c>
      <c r="CA29" s="1657">
        <f>SUM(BH29:BK29)</f>
        <v>1452.1365555010707</v>
      </c>
      <c r="CB29" s="1408"/>
    </row>
    <row r="30" spans="2:81" s="7" customFormat="1" ht="14.25" customHeight="1">
      <c r="B30" s="23"/>
      <c r="C30" s="287"/>
      <c r="D30" s="383"/>
      <c r="E30" s="373"/>
      <c r="F30" s="373"/>
      <c r="G30" s="403"/>
      <c r="H30" s="383"/>
      <c r="I30" s="373"/>
      <c r="J30" s="373"/>
      <c r="K30" s="403"/>
      <c r="L30" s="383"/>
      <c r="M30" s="373"/>
      <c r="N30" s="373"/>
      <c r="O30" s="374"/>
      <c r="P30" s="383"/>
      <c r="Q30" s="373"/>
      <c r="R30" s="373"/>
      <c r="S30" s="374"/>
      <c r="T30" s="383"/>
      <c r="U30" s="373"/>
      <c r="V30" s="373"/>
      <c r="W30" s="374"/>
      <c r="X30" s="383"/>
      <c r="Y30" s="373"/>
      <c r="Z30" s="373"/>
      <c r="AA30" s="374"/>
      <c r="AB30" s="383"/>
      <c r="AC30" s="373"/>
      <c r="AD30" s="373"/>
      <c r="AE30" s="374"/>
      <c r="AF30" s="383"/>
      <c r="AG30" s="373"/>
      <c r="AH30" s="891"/>
      <c r="AI30" s="374"/>
      <c r="AJ30" s="1386"/>
      <c r="AK30" s="1386"/>
      <c r="AL30" s="1386"/>
      <c r="AM30" s="1389"/>
      <c r="AN30" s="1386"/>
      <c r="AO30" s="1386"/>
      <c r="AP30" s="1386"/>
      <c r="AQ30" s="1389"/>
      <c r="AR30" s="1386"/>
      <c r="AS30" s="1386"/>
      <c r="AT30" s="1489"/>
      <c r="AU30" s="1386"/>
      <c r="AV30" s="1387"/>
      <c r="AW30" s="1386"/>
      <c r="AX30" s="1527"/>
      <c r="AY30" s="1510"/>
      <c r="AZ30" s="1387"/>
      <c r="BA30" s="1386"/>
      <c r="BB30" s="1386"/>
      <c r="BC30" s="1510"/>
      <c r="BD30" s="1387"/>
      <c r="BE30" s="159"/>
      <c r="BF30" s="159"/>
      <c r="BG30" s="1707"/>
      <c r="BH30" s="161"/>
      <c r="BI30" s="159"/>
      <c r="BJ30" s="159"/>
      <c r="BK30" s="1707"/>
      <c r="BL30" s="2041"/>
      <c r="BM30" s="482"/>
      <c r="BN30" s="391"/>
      <c r="BO30" s="391"/>
      <c r="BP30" s="391"/>
      <c r="BQ30" s="391"/>
      <c r="BR30" s="391"/>
      <c r="BS30" s="391"/>
      <c r="BT30" s="1086"/>
      <c r="BU30" s="1086"/>
      <c r="BV30" s="1086"/>
      <c r="BW30" s="391"/>
      <c r="BX30" s="391"/>
      <c r="BY30" s="1402"/>
      <c r="BZ30" s="2223"/>
      <c r="CA30" s="1657"/>
      <c r="CB30" s="1408"/>
    </row>
    <row r="31" spans="2:81" s="7" customFormat="1" ht="14.25" customHeight="1">
      <c r="B31" s="23"/>
      <c r="C31" s="287"/>
      <c r="D31" s="383"/>
      <c r="E31" s="373"/>
      <c r="F31" s="373"/>
      <c r="G31" s="403"/>
      <c r="H31" s="383"/>
      <c r="I31" s="373"/>
      <c r="J31" s="373"/>
      <c r="K31" s="403"/>
      <c r="L31" s="383"/>
      <c r="M31" s="373"/>
      <c r="N31" s="373"/>
      <c r="O31" s="374"/>
      <c r="P31" s="383"/>
      <c r="Q31" s="373"/>
      <c r="R31" s="373"/>
      <c r="S31" s="374"/>
      <c r="T31" s="383"/>
      <c r="U31" s="373"/>
      <c r="V31" s="373"/>
      <c r="W31" s="374"/>
      <c r="X31" s="383"/>
      <c r="Y31" s="373"/>
      <c r="Z31" s="373"/>
      <c r="AA31" s="374"/>
      <c r="AB31" s="383"/>
      <c r="AC31" s="373"/>
      <c r="AD31" s="373"/>
      <c r="AE31" s="374"/>
      <c r="AF31" s="383"/>
      <c r="AG31" s="373"/>
      <c r="AH31" s="891"/>
      <c r="AI31" s="374"/>
      <c r="AJ31" s="891"/>
      <c r="AK31" s="891"/>
      <c r="AL31" s="891"/>
      <c r="AM31" s="1111"/>
      <c r="AN31" s="891"/>
      <c r="AO31" s="891"/>
      <c r="AP31" s="891">
        <f>'BU-Segment'!AP9</f>
        <v>781</v>
      </c>
      <c r="AQ31" s="1506"/>
      <c r="AR31" s="891"/>
      <c r="AS31" s="1407"/>
      <c r="AT31" s="891"/>
      <c r="AU31" s="100"/>
      <c r="AV31" s="1518"/>
      <c r="AW31" s="1407"/>
      <c r="AX31" s="1531"/>
      <c r="AY31" s="1681"/>
      <c r="AZ31" s="1518"/>
      <c r="BA31" s="1407"/>
      <c r="BB31" s="1407"/>
      <c r="BC31" s="1681"/>
      <c r="BD31" s="1518"/>
      <c r="BE31" s="181"/>
      <c r="BF31" s="159"/>
      <c r="BG31" s="1707"/>
      <c r="BH31" s="1872"/>
      <c r="BI31" s="181"/>
      <c r="BJ31" s="159"/>
      <c r="BK31" s="1707"/>
      <c r="BL31" s="311"/>
      <c r="BM31" s="482"/>
      <c r="BN31" s="391"/>
      <c r="BO31" s="391"/>
      <c r="BP31" s="391"/>
      <c r="BQ31" s="391"/>
      <c r="BR31" s="391"/>
      <c r="BS31" s="391"/>
      <c r="BT31" s="159"/>
      <c r="BU31" s="159"/>
      <c r="BV31" s="1086"/>
      <c r="BW31" s="391"/>
      <c r="BX31" s="391"/>
      <c r="BY31" s="391"/>
      <c r="BZ31" s="2029"/>
      <c r="CA31" s="1657"/>
      <c r="CB31" s="1408"/>
    </row>
    <row r="32" spans="2:81" s="7" customFormat="1" ht="14.25" customHeight="1">
      <c r="B32" s="30" t="s">
        <v>165</v>
      </c>
      <c r="C32" s="380"/>
      <c r="D32" s="385"/>
      <c r="E32" s="377"/>
      <c r="F32" s="377"/>
      <c r="G32" s="368"/>
      <c r="H32" s="385"/>
      <c r="I32" s="377"/>
      <c r="J32" s="377"/>
      <c r="K32" s="368"/>
      <c r="L32" s="385"/>
      <c r="M32" s="377"/>
      <c r="N32" s="377"/>
      <c r="O32" s="368"/>
      <c r="P32" s="385"/>
      <c r="Q32" s="377"/>
      <c r="R32" s="377"/>
      <c r="S32" s="368"/>
      <c r="T32" s="385"/>
      <c r="U32" s="377"/>
      <c r="V32" s="377"/>
      <c r="W32" s="368"/>
      <c r="X32" s="385"/>
      <c r="Y32" s="377"/>
      <c r="Z32" s="377"/>
      <c r="AA32" s="368"/>
      <c r="AB32" s="385"/>
      <c r="AC32" s="377"/>
      <c r="AD32" s="377"/>
      <c r="AE32" s="368"/>
      <c r="AF32" s="385"/>
      <c r="AG32" s="377"/>
      <c r="AH32" s="95"/>
      <c r="AI32" s="96"/>
      <c r="AJ32" s="95"/>
      <c r="AK32" s="95">
        <f t="shared" ref="AK32:AU32" si="43">AK25/AJ25-1</f>
        <v>-4.5714285714285707E-2</v>
      </c>
      <c r="AL32" s="95">
        <f t="shared" si="43"/>
        <v>2.2095808383233533</v>
      </c>
      <c r="AM32" s="1080">
        <f t="shared" si="43"/>
        <v>0.30410447761194037</v>
      </c>
      <c r="AN32" s="95">
        <f t="shared" si="43"/>
        <v>-0.23319027181688123</v>
      </c>
      <c r="AO32" s="95">
        <f t="shared" si="43"/>
        <v>0.14365671641791056</v>
      </c>
      <c r="AP32" s="95">
        <f t="shared" si="43"/>
        <v>5.7096247960848334E-2</v>
      </c>
      <c r="AQ32" s="1080">
        <f t="shared" si="43"/>
        <v>-0.10956790123456794</v>
      </c>
      <c r="AR32" s="95">
        <f t="shared" si="43"/>
        <v>-0.13691507798960134</v>
      </c>
      <c r="AS32" s="95">
        <f t="shared" si="43"/>
        <v>0.13052208835341372</v>
      </c>
      <c r="AT32" s="95">
        <f t="shared" si="43"/>
        <v>0.13143872113676736</v>
      </c>
      <c r="AU32" s="95">
        <f t="shared" si="43"/>
        <v>-0.23390894819466246</v>
      </c>
      <c r="AV32" s="157">
        <f t="shared" ref="AV32" si="44">AV25/AU25-1</f>
        <v>-0.23770491803278693</v>
      </c>
      <c r="AW32" s="95">
        <f t="shared" ref="AW32:BD32" si="45">AW25/AV25-1</f>
        <v>0.59139784946236551</v>
      </c>
      <c r="AX32" s="95">
        <f t="shared" si="45"/>
        <v>0.41047297297297303</v>
      </c>
      <c r="AY32" s="1513">
        <f t="shared" si="45"/>
        <v>-0.39401197604790417</v>
      </c>
      <c r="AZ32" s="157">
        <f t="shared" si="45"/>
        <v>-0.22727272727272729</v>
      </c>
      <c r="BA32" s="95">
        <f t="shared" si="45"/>
        <v>0.43989769820971869</v>
      </c>
      <c r="BB32" s="95">
        <f t="shared" si="45"/>
        <v>0.46358792184724695</v>
      </c>
      <c r="BC32" s="1513">
        <f t="shared" si="45"/>
        <v>-0.36650485436893199</v>
      </c>
      <c r="BD32" s="157">
        <f t="shared" si="45"/>
        <v>1.9157088122605304E-2</v>
      </c>
      <c r="BE32" s="95">
        <f t="shared" ref="BE32" si="46">BE25/BD25-1</f>
        <v>0.15785145304815273</v>
      </c>
      <c r="BF32" s="95">
        <f t="shared" ref="BF32" si="47">BF25/BE25-1</f>
        <v>3.8216314463001E-2</v>
      </c>
      <c r="BG32" s="1513">
        <f t="shared" ref="BG32" si="48">BG25/BF25-1</f>
        <v>-0.12059011402826914</v>
      </c>
      <c r="BH32" s="157">
        <f t="shared" ref="BH32" si="49">BH25/BG25-1</f>
        <v>-7.6354771492420315E-2</v>
      </c>
      <c r="BI32" s="95">
        <f t="shared" ref="BI32" si="50">BI25/BH25-1</f>
        <v>0.17870276967463194</v>
      </c>
      <c r="BJ32" s="95">
        <f t="shared" ref="BJ32" si="51">BJ25/BI25-1</f>
        <v>7.1625616539989556E-2</v>
      </c>
      <c r="BK32" s="1513">
        <f t="shared" ref="BK32" si="52">BK25/BJ25-1</f>
        <v>-5.6392703985048809E-2</v>
      </c>
      <c r="BL32" s="244"/>
      <c r="BM32" s="252"/>
      <c r="BN32" s="253"/>
      <c r="BO32" s="253"/>
      <c r="BP32" s="253"/>
      <c r="BQ32" s="253"/>
      <c r="BR32" s="253"/>
      <c r="BS32" s="253"/>
      <c r="BT32" s="377"/>
      <c r="BU32" s="377"/>
      <c r="BV32" s="377"/>
      <c r="BW32" s="369"/>
      <c r="BX32" s="369"/>
      <c r="BY32" s="369"/>
      <c r="BZ32" s="369"/>
      <c r="CA32" s="1658"/>
      <c r="CB32" s="1408"/>
    </row>
    <row r="33" spans="2:81" s="7" customFormat="1" ht="14.25" customHeight="1">
      <c r="B33" s="30" t="s">
        <v>166</v>
      </c>
      <c r="C33" s="293"/>
      <c r="D33" s="385"/>
      <c r="E33" s="377"/>
      <c r="F33" s="377"/>
      <c r="G33" s="368"/>
      <c r="H33" s="385"/>
      <c r="I33" s="377"/>
      <c r="J33" s="377"/>
      <c r="K33" s="368"/>
      <c r="L33" s="385"/>
      <c r="M33" s="377"/>
      <c r="N33" s="377"/>
      <c r="O33" s="368"/>
      <c r="P33" s="385"/>
      <c r="Q33" s="377"/>
      <c r="R33" s="377"/>
      <c r="S33" s="368"/>
      <c r="T33" s="385"/>
      <c r="U33" s="377"/>
      <c r="V33" s="377"/>
      <c r="W33" s="368"/>
      <c r="X33" s="385"/>
      <c r="Y33" s="377"/>
      <c r="Z33" s="377"/>
      <c r="AA33" s="368"/>
      <c r="AB33" s="385"/>
      <c r="AC33" s="377"/>
      <c r="AD33" s="377"/>
      <c r="AE33" s="368"/>
      <c r="AF33" s="385"/>
      <c r="AG33" s="377"/>
      <c r="AH33" s="253"/>
      <c r="AI33" s="292"/>
      <c r="AJ33" s="253"/>
      <c r="AK33" s="253"/>
      <c r="AL33" s="253"/>
      <c r="AM33" s="1080"/>
      <c r="AN33" s="253">
        <f t="shared" ref="AN33:AU33" si="53">AN25/AJ25-1</f>
        <v>2.0628571428571427</v>
      </c>
      <c r="AO33" s="253">
        <f t="shared" si="53"/>
        <v>2.6706586826347305</v>
      </c>
      <c r="AP33" s="253">
        <f t="shared" si="53"/>
        <v>0.20895522388059695</v>
      </c>
      <c r="AQ33" s="1080">
        <f t="shared" si="53"/>
        <v>-0.17453505007153081</v>
      </c>
      <c r="AR33" s="253">
        <f t="shared" si="53"/>
        <v>-7.089552238805974E-2</v>
      </c>
      <c r="AS33" s="253">
        <f t="shared" si="53"/>
        <v>-8.1566068515497525E-2</v>
      </c>
      <c r="AT33" s="253">
        <f t="shared" si="53"/>
        <v>-1.6975308641975273E-2</v>
      </c>
      <c r="AU33" s="95">
        <f t="shared" si="53"/>
        <v>-0.15424610051993071</v>
      </c>
      <c r="AV33" s="252">
        <f t="shared" ref="AV33" si="54">AV25/AR25-1</f>
        <v>-0.25301204819277112</v>
      </c>
      <c r="AW33" s="253">
        <f t="shared" ref="AW33:BD33" si="55">AW25/AS25-1</f>
        <v>5.1509769094138624E-2</v>
      </c>
      <c r="AX33" s="253">
        <f t="shared" si="55"/>
        <v>0.31083202511773944</v>
      </c>
      <c r="AY33" s="1513">
        <f t="shared" si="55"/>
        <v>3.688524590163933E-2</v>
      </c>
      <c r="AZ33" s="252">
        <f t="shared" si="55"/>
        <v>5.1075268817204256E-2</v>
      </c>
      <c r="BA33" s="253">
        <f t="shared" si="55"/>
        <v>-4.8986486486486513E-2</v>
      </c>
      <c r="BB33" s="253">
        <f t="shared" si="55"/>
        <v>-1.3173652694610793E-2</v>
      </c>
      <c r="BC33" s="1513">
        <f t="shared" si="55"/>
        <v>3.1620553359683834E-2</v>
      </c>
      <c r="BD33" s="252">
        <f t="shared" si="55"/>
        <v>0.36061381074168808</v>
      </c>
      <c r="BE33" s="253">
        <f t="shared" ref="BE33" si="56">BE25/BA25-1</f>
        <v>9.4097643022410749E-2</v>
      </c>
      <c r="BF33" s="253">
        <f t="shared" ref="BF33" si="57">BF25/BB25-1</f>
        <v>-0.22388671999444321</v>
      </c>
      <c r="BG33" s="1513">
        <f t="shared" ref="BG33" si="58">BG25/BC25-1</f>
        <v>7.739056215012674E-2</v>
      </c>
      <c r="BH33" s="252">
        <f t="shared" ref="BH33" si="59">BH25/BD25-1</f>
        <v>-2.3578736225843611E-2</v>
      </c>
      <c r="BI33" s="253">
        <f t="shared" ref="BI33" si="60">BI25/BE25-1</f>
        <v>-5.9947284689044755E-3</v>
      </c>
      <c r="BJ33" s="253">
        <f t="shared" ref="BJ33" si="61">BJ25/BF25-1</f>
        <v>2.5991883492474832E-2</v>
      </c>
      <c r="BK33" s="1513">
        <f t="shared" ref="BK33" si="62">BK25/BG25-1</f>
        <v>0.10088986075685558</v>
      </c>
      <c r="BL33" s="244"/>
      <c r="BM33" s="376"/>
      <c r="BN33" s="369"/>
      <c r="BO33" s="369"/>
      <c r="BP33" s="369"/>
      <c r="BQ33" s="369"/>
      <c r="BR33" s="369"/>
      <c r="BS33" s="369"/>
      <c r="BT33" s="377"/>
      <c r="BU33" s="377"/>
      <c r="BV33" s="95">
        <f t="shared" ref="BV33:CA33" si="63">BV25/BU25-1</f>
        <v>0.50538998097653764</v>
      </c>
      <c r="BW33" s="369">
        <f t="shared" si="63"/>
        <v>-7.9191238416175258E-2</v>
      </c>
      <c r="BX33" s="369">
        <f t="shared" si="63"/>
        <v>5.4437328453796896E-2</v>
      </c>
      <c r="BY33" s="369">
        <f t="shared" si="63"/>
        <v>-2.2007494584037612E-3</v>
      </c>
      <c r="BZ33" s="369">
        <f t="shared" si="63"/>
        <v>2.1726269048927493E-2</v>
      </c>
      <c r="CA33" s="1658">
        <f t="shared" si="63"/>
        <v>2.430834228751122E-2</v>
      </c>
      <c r="CB33" s="1408"/>
    </row>
    <row r="34" spans="2:81" s="7" customFormat="1" ht="14.25" customHeight="1">
      <c r="B34" s="30" t="s">
        <v>167</v>
      </c>
      <c r="C34" s="380"/>
      <c r="D34" s="385"/>
      <c r="E34" s="377"/>
      <c r="F34" s="377"/>
      <c r="G34" s="368"/>
      <c r="H34" s="385"/>
      <c r="I34" s="377"/>
      <c r="J34" s="377"/>
      <c r="K34" s="368"/>
      <c r="L34" s="385"/>
      <c r="M34" s="377"/>
      <c r="N34" s="377"/>
      <c r="O34" s="368"/>
      <c r="P34" s="385"/>
      <c r="Q34" s="377"/>
      <c r="R34" s="377"/>
      <c r="S34" s="368"/>
      <c r="T34" s="385"/>
      <c r="U34" s="377"/>
      <c r="V34" s="377"/>
      <c r="W34" s="368"/>
      <c r="X34" s="385"/>
      <c r="Y34" s="377"/>
      <c r="Z34" s="377"/>
      <c r="AA34" s="368"/>
      <c r="AB34" s="385"/>
      <c r="AC34" s="377"/>
      <c r="AD34" s="377"/>
      <c r="AE34" s="368"/>
      <c r="AF34" s="385"/>
      <c r="AG34" s="377"/>
      <c r="AH34" s="95"/>
      <c r="AI34" s="96"/>
      <c r="AJ34" s="95">
        <f t="shared" ref="AJ34:AU34" si="64">AJ25/AJ45</f>
        <v>0.16084558823529413</v>
      </c>
      <c r="AK34" s="95">
        <f t="shared" si="64"/>
        <v>0.1438415159345392</v>
      </c>
      <c r="AL34" s="95">
        <f t="shared" si="64"/>
        <v>0.36687200547570159</v>
      </c>
      <c r="AM34" s="1080">
        <f t="shared" si="64"/>
        <v>0.44045368620037806</v>
      </c>
      <c r="AN34" s="95">
        <f t="shared" si="64"/>
        <v>0.38367931281317108</v>
      </c>
      <c r="AO34" s="95">
        <f t="shared" si="64"/>
        <v>0.42539902845246358</v>
      </c>
      <c r="AP34" s="95">
        <f t="shared" si="64"/>
        <v>0.45346396081175649</v>
      </c>
      <c r="AQ34" s="1080">
        <f t="shared" si="64"/>
        <v>0.46569814366424533</v>
      </c>
      <c r="AR34" s="95">
        <f t="shared" si="64"/>
        <v>0.48349514563106794</v>
      </c>
      <c r="AS34" s="95">
        <f t="shared" si="64"/>
        <v>0.59766454352441611</v>
      </c>
      <c r="AT34" s="95">
        <f t="shared" si="64"/>
        <v>0.60037700282752116</v>
      </c>
      <c r="AU34" s="95">
        <f t="shared" si="64"/>
        <v>0.50939457202505223</v>
      </c>
      <c r="AV34" s="157">
        <f t="shared" ref="AV34:AY34" si="65">AV25/AV45</f>
        <v>0.44711538461538464</v>
      </c>
      <c r="AW34" s="95">
        <f t="shared" si="65"/>
        <v>0.57643622200584221</v>
      </c>
      <c r="AX34" s="95">
        <f t="shared" si="65"/>
        <v>0.63886763580719208</v>
      </c>
      <c r="AY34" s="1513">
        <f t="shared" si="65"/>
        <v>0.45750452079566006</v>
      </c>
      <c r="AZ34" s="157">
        <f t="shared" ref="AZ34:BA34" si="66">AZ25/AZ45</f>
        <v>0.39735772357723576</v>
      </c>
      <c r="BA34" s="95">
        <f t="shared" si="66"/>
        <v>0.46072013093289688</v>
      </c>
      <c r="BB34" s="95">
        <f t="shared" ref="BB34:BD34" si="67">BB25/BB45</f>
        <v>0.50152160681679858</v>
      </c>
      <c r="BC34" s="1513">
        <f t="shared" si="67"/>
        <v>0.35270270270270271</v>
      </c>
      <c r="BD34" s="157">
        <f t="shared" si="67"/>
        <v>0.32301153612629024</v>
      </c>
      <c r="BE34" s="95">
        <f t="shared" ref="BE34:BG34" si="68">BE25/BE45</f>
        <v>0.35635997942127545</v>
      </c>
      <c r="BF34" s="95">
        <f t="shared" si="68"/>
        <v>0.36958667331362682</v>
      </c>
      <c r="BG34" s="1513">
        <f t="shared" si="68"/>
        <v>0.34601842199758726</v>
      </c>
      <c r="BH34" s="157">
        <f t="shared" ref="BH34:BK34" si="69">BH25/BH45</f>
        <v>0.33531789050263389</v>
      </c>
      <c r="BI34" s="95">
        <f t="shared" si="69"/>
        <v>0.37437951016849991</v>
      </c>
      <c r="BJ34" s="95">
        <f t="shared" si="69"/>
        <v>0.38225084493807115</v>
      </c>
      <c r="BK34" s="1513">
        <f t="shared" si="69"/>
        <v>0.36359071936264303</v>
      </c>
      <c r="BL34" s="244"/>
      <c r="BM34" s="376"/>
      <c r="BN34" s="369"/>
      <c r="BO34" s="369"/>
      <c r="BP34" s="369"/>
      <c r="BQ34" s="369"/>
      <c r="BR34" s="369"/>
      <c r="BS34" s="369"/>
      <c r="BT34" s="377"/>
      <c r="BU34" s="377"/>
      <c r="BV34" s="377"/>
      <c r="BW34" s="369"/>
      <c r="BX34" s="369"/>
      <c r="BY34" s="369"/>
      <c r="BZ34" s="369"/>
      <c r="CA34" s="1658"/>
      <c r="CB34" s="1408"/>
      <c r="CC34" s="319"/>
    </row>
    <row r="35" spans="2:81" s="7" customFormat="1" ht="8.25" customHeight="1">
      <c r="B35" s="30"/>
      <c r="C35" s="380"/>
      <c r="D35" s="99"/>
      <c r="E35" s="97"/>
      <c r="F35" s="97"/>
      <c r="G35" s="98"/>
      <c r="H35" s="99"/>
      <c r="I35" s="97"/>
      <c r="J35" s="97"/>
      <c r="K35" s="98"/>
      <c r="L35" s="99"/>
      <c r="M35" s="97"/>
      <c r="N35" s="97"/>
      <c r="O35" s="98"/>
      <c r="P35" s="99"/>
      <c r="Q35" s="97"/>
      <c r="R35" s="97"/>
      <c r="S35" s="98"/>
      <c r="T35" s="99"/>
      <c r="U35" s="97"/>
      <c r="V35" s="97"/>
      <c r="W35" s="98"/>
      <c r="X35" s="99"/>
      <c r="Y35" s="97"/>
      <c r="Z35" s="97"/>
      <c r="AA35" s="98"/>
      <c r="AB35" s="99"/>
      <c r="AC35" s="97"/>
      <c r="AD35" s="97"/>
      <c r="AE35" s="98"/>
      <c r="AF35" s="99"/>
      <c r="AG35" s="97"/>
      <c r="AH35" s="97"/>
      <c r="AI35" s="98"/>
      <c r="AJ35" s="97"/>
      <c r="AK35" s="97"/>
      <c r="AL35" s="97"/>
      <c r="AM35" s="1081"/>
      <c r="AN35" s="97"/>
      <c r="AO35" s="97"/>
      <c r="AP35" s="97"/>
      <c r="AQ35" s="1081"/>
      <c r="AR35" s="97"/>
      <c r="AS35" s="97"/>
      <c r="AT35" s="97"/>
      <c r="AU35" s="97"/>
      <c r="AV35" s="99"/>
      <c r="AW35" s="97"/>
      <c r="AX35" s="97"/>
      <c r="AY35" s="1514"/>
      <c r="AZ35" s="99"/>
      <c r="BA35" s="97"/>
      <c r="BB35" s="97"/>
      <c r="BC35" s="1514"/>
      <c r="BD35" s="99"/>
      <c r="BE35" s="97"/>
      <c r="BF35" s="97"/>
      <c r="BG35" s="1514"/>
      <c r="BH35" s="99"/>
      <c r="BI35" s="97"/>
      <c r="BJ35" s="97"/>
      <c r="BK35" s="1514"/>
      <c r="BL35" s="244"/>
      <c r="BM35" s="252"/>
      <c r="BN35" s="253"/>
      <c r="BO35" s="253"/>
      <c r="BP35" s="253"/>
      <c r="BQ35" s="253"/>
      <c r="BR35" s="253"/>
      <c r="BS35" s="253"/>
      <c r="BT35" s="377"/>
      <c r="BU35" s="377"/>
      <c r="BV35" s="377"/>
      <c r="BW35" s="369"/>
      <c r="BX35" s="369"/>
      <c r="BY35" s="369"/>
      <c r="BZ35" s="369"/>
      <c r="CA35" s="1658"/>
      <c r="CB35" s="1408"/>
    </row>
    <row r="36" spans="2:81" s="7" customFormat="1" ht="14.25" customHeight="1">
      <c r="B36" s="42" t="s">
        <v>521</v>
      </c>
      <c r="C36" s="380"/>
      <c r="D36" s="384"/>
      <c r="E36" s="370"/>
      <c r="F36" s="370"/>
      <c r="G36" s="393"/>
      <c r="H36" s="384"/>
      <c r="I36" s="370"/>
      <c r="J36" s="370"/>
      <c r="K36" s="393"/>
      <c r="L36" s="384"/>
      <c r="M36" s="370"/>
      <c r="N36" s="370"/>
      <c r="O36" s="393"/>
      <c r="P36" s="384"/>
      <c r="Q36" s="370"/>
      <c r="R36" s="370"/>
      <c r="S36" s="393"/>
      <c r="T36" s="384"/>
      <c r="U36" s="370"/>
      <c r="V36" s="370"/>
      <c r="W36" s="393"/>
      <c r="X36" s="384"/>
      <c r="Y36" s="370"/>
      <c r="Z36" s="370"/>
      <c r="AA36" s="393"/>
      <c r="AB36" s="384"/>
      <c r="AC36" s="370"/>
      <c r="AD36" s="370"/>
      <c r="AE36" s="393"/>
      <c r="AF36" s="384"/>
      <c r="AG36" s="370"/>
      <c r="AH36" s="370"/>
      <c r="AI36" s="372"/>
      <c r="AJ36" s="370"/>
      <c r="AK36" s="370"/>
      <c r="AL36" s="370"/>
      <c r="AM36" s="1079"/>
      <c r="AN36" s="370"/>
      <c r="AO36" s="370"/>
      <c r="AP36" s="370"/>
      <c r="AQ36" s="1079"/>
      <c r="AR36" s="370"/>
      <c r="AS36" s="370"/>
      <c r="AT36" s="370"/>
      <c r="AU36" s="371"/>
      <c r="AV36" s="384"/>
      <c r="AW36" s="370"/>
      <c r="AX36" s="1532"/>
      <c r="AY36" s="1515"/>
      <c r="AZ36" s="384"/>
      <c r="BA36" s="370"/>
      <c r="BB36" s="370"/>
      <c r="BC36" s="1515"/>
      <c r="BD36" s="384"/>
      <c r="BE36" s="370"/>
      <c r="BF36" s="370"/>
      <c r="BG36" s="1515"/>
      <c r="BH36" s="384"/>
      <c r="BI36" s="370"/>
      <c r="BJ36" s="370"/>
      <c r="BK36" s="1515"/>
      <c r="BL36" s="311"/>
      <c r="BM36" s="481"/>
      <c r="BN36" s="365"/>
      <c r="BO36" s="365"/>
      <c r="BP36" s="365"/>
      <c r="BQ36" s="365"/>
      <c r="BR36" s="365"/>
      <c r="BS36" s="365"/>
      <c r="BT36" s="378"/>
      <c r="BU36" s="378"/>
      <c r="BV36" s="378"/>
      <c r="BW36" s="365"/>
      <c r="BX36" s="365"/>
      <c r="BY36" s="365"/>
      <c r="BZ36" s="365"/>
      <c r="CA36" s="1673"/>
      <c r="CB36" s="1408"/>
    </row>
    <row r="37" spans="2:81" s="7" customFormat="1" ht="14.25" customHeight="1">
      <c r="B37" s="30" t="s">
        <v>192</v>
      </c>
      <c r="C37" s="380"/>
      <c r="D37" s="385"/>
      <c r="E37" s="377"/>
      <c r="F37" s="377"/>
      <c r="G37" s="368"/>
      <c r="H37" s="385"/>
      <c r="I37" s="377"/>
      <c r="J37" s="377"/>
      <c r="K37" s="368"/>
      <c r="L37" s="385"/>
      <c r="M37" s="377"/>
      <c r="N37" s="377"/>
      <c r="O37" s="368"/>
      <c r="P37" s="385"/>
      <c r="Q37" s="377"/>
      <c r="R37" s="377"/>
      <c r="S37" s="368"/>
      <c r="T37" s="385"/>
      <c r="U37" s="377"/>
      <c r="V37" s="377"/>
      <c r="W37" s="368"/>
      <c r="X37" s="385"/>
      <c r="Y37" s="377"/>
      <c r="Z37" s="377"/>
      <c r="AA37" s="368"/>
      <c r="AB37" s="385"/>
      <c r="AC37" s="377"/>
      <c r="AD37" s="377"/>
      <c r="AE37" s="368"/>
      <c r="AF37" s="385"/>
      <c r="AG37" s="377"/>
      <c r="AH37" s="386"/>
      <c r="AI37" s="322"/>
      <c r="AJ37" s="386"/>
      <c r="AK37" s="386"/>
      <c r="AL37" s="386"/>
      <c r="AM37" s="1082"/>
      <c r="AN37" s="386"/>
      <c r="AO37" s="386"/>
      <c r="AP37" s="386"/>
      <c r="AQ37" s="1082"/>
      <c r="AR37" s="386"/>
      <c r="AS37" s="386"/>
      <c r="AT37" s="386"/>
      <c r="AU37" s="386"/>
      <c r="AV37" s="323"/>
      <c r="AW37" s="386"/>
      <c r="AX37" s="386"/>
      <c r="AY37" s="1512"/>
      <c r="AZ37" s="323"/>
      <c r="BA37" s="386"/>
      <c r="BB37" s="386"/>
      <c r="BC37" s="1512"/>
      <c r="BD37" s="323"/>
      <c r="BE37" s="386"/>
      <c r="BF37" s="386"/>
      <c r="BG37" s="1512"/>
      <c r="BH37" s="323"/>
      <c r="BI37" s="386"/>
      <c r="BJ37" s="386"/>
      <c r="BK37" s="1512"/>
      <c r="BL37" s="244"/>
      <c r="BM37" s="376"/>
      <c r="BN37" s="369"/>
      <c r="BO37" s="369"/>
      <c r="BP37" s="369"/>
      <c r="BQ37" s="369"/>
      <c r="BR37" s="369"/>
      <c r="BS37" s="369"/>
      <c r="BT37" s="377"/>
      <c r="BU37" s="377"/>
      <c r="BV37" s="377"/>
      <c r="BW37" s="369"/>
      <c r="BX37" s="369"/>
      <c r="BY37" s="369"/>
      <c r="BZ37" s="369"/>
      <c r="CA37" s="1658"/>
      <c r="CB37" s="1408"/>
    </row>
    <row r="38" spans="2:81" s="7" customFormat="1" ht="14.25" customHeight="1">
      <c r="B38" s="30"/>
      <c r="C38" s="380"/>
      <c r="D38" s="99"/>
      <c r="E38" s="97"/>
      <c r="F38" s="97"/>
      <c r="G38" s="98"/>
      <c r="H38" s="99"/>
      <c r="I38" s="97"/>
      <c r="J38" s="97"/>
      <c r="K38" s="98"/>
      <c r="L38" s="99"/>
      <c r="M38" s="97"/>
      <c r="N38" s="97"/>
      <c r="O38" s="98"/>
      <c r="P38" s="99"/>
      <c r="Q38" s="97"/>
      <c r="R38" s="97"/>
      <c r="S38" s="98"/>
      <c r="T38" s="99"/>
      <c r="U38" s="97"/>
      <c r="V38" s="97"/>
      <c r="W38" s="98"/>
      <c r="X38" s="99"/>
      <c r="Y38" s="97"/>
      <c r="Z38" s="97"/>
      <c r="AA38" s="98"/>
      <c r="AB38" s="99"/>
      <c r="AC38" s="97"/>
      <c r="AD38" s="97"/>
      <c r="AE38" s="98"/>
      <c r="AF38" s="99"/>
      <c r="AG38" s="97"/>
      <c r="AH38" s="97"/>
      <c r="AI38" s="98"/>
      <c r="AJ38" s="97"/>
      <c r="AK38" s="97"/>
      <c r="AL38" s="97"/>
      <c r="AM38" s="1081"/>
      <c r="AN38" s="97"/>
      <c r="AO38" s="97"/>
      <c r="AP38" s="97"/>
      <c r="AQ38" s="1081"/>
      <c r="AR38" s="97"/>
      <c r="AS38" s="97"/>
      <c r="AT38" s="97"/>
      <c r="AU38" s="97"/>
      <c r="AV38" s="99"/>
      <c r="AW38" s="97"/>
      <c r="AX38" s="97"/>
      <c r="AY38" s="1514"/>
      <c r="AZ38" s="99"/>
      <c r="BA38" s="97"/>
      <c r="BB38" s="97"/>
      <c r="BC38" s="1514"/>
      <c r="BD38" s="99"/>
      <c r="BE38" s="97"/>
      <c r="BF38" s="97"/>
      <c r="BG38" s="1514"/>
      <c r="BH38" s="99"/>
      <c r="BI38" s="97"/>
      <c r="BJ38" s="97"/>
      <c r="BK38" s="1514"/>
      <c r="BL38" s="244"/>
      <c r="BM38" s="252"/>
      <c r="BN38" s="253"/>
      <c r="BO38" s="253"/>
      <c r="BP38" s="253"/>
      <c r="BQ38" s="253"/>
      <c r="BR38" s="253"/>
      <c r="BS38" s="253"/>
      <c r="BT38" s="377"/>
      <c r="BU38" s="377"/>
      <c r="BV38" s="377"/>
      <c r="BW38" s="369"/>
      <c r="BX38" s="369"/>
      <c r="BY38" s="369"/>
      <c r="BZ38" s="369"/>
      <c r="CA38" s="1658"/>
      <c r="CB38" s="1408"/>
    </row>
    <row r="39" spans="2:81" s="7" customFormat="1" ht="14.25" customHeight="1">
      <c r="B39" s="42" t="s">
        <v>522</v>
      </c>
      <c r="C39" s="380"/>
      <c r="D39" s="384"/>
      <c r="E39" s="370"/>
      <c r="F39" s="370"/>
      <c r="G39" s="404"/>
      <c r="H39" s="384"/>
      <c r="I39" s="370"/>
      <c r="J39" s="370"/>
      <c r="K39" s="404"/>
      <c r="L39" s="384"/>
      <c r="M39" s="370"/>
      <c r="N39" s="370"/>
      <c r="O39" s="393"/>
      <c r="P39" s="384"/>
      <c r="Q39" s="370"/>
      <c r="R39" s="370"/>
      <c r="S39" s="393"/>
      <c r="T39" s="384"/>
      <c r="U39" s="370"/>
      <c r="V39" s="370"/>
      <c r="W39" s="393"/>
      <c r="X39" s="384"/>
      <c r="Y39" s="370"/>
      <c r="Z39" s="370"/>
      <c r="AA39" s="393"/>
      <c r="AB39" s="384"/>
      <c r="AC39" s="370"/>
      <c r="AD39" s="370"/>
      <c r="AE39" s="393"/>
      <c r="AF39" s="384"/>
      <c r="AG39" s="370"/>
      <c r="AH39" s="370"/>
      <c r="AI39" s="393"/>
      <c r="AJ39" s="1156">
        <v>52</v>
      </c>
      <c r="AK39" s="1156">
        <v>22</v>
      </c>
      <c r="AL39" s="1156">
        <v>92</v>
      </c>
      <c r="AM39" s="1160">
        <v>129</v>
      </c>
      <c r="AN39" s="1156">
        <v>85</v>
      </c>
      <c r="AO39" s="1156">
        <v>97</v>
      </c>
      <c r="AP39" s="1156">
        <v>108</v>
      </c>
      <c r="AQ39" s="1160">
        <v>106.48497854077254</v>
      </c>
      <c r="AR39" s="1156">
        <v>45</v>
      </c>
      <c r="AS39" s="1156">
        <v>27</v>
      </c>
      <c r="AT39" s="1156">
        <v>84</v>
      </c>
      <c r="AU39" s="1156">
        <v>59</v>
      </c>
      <c r="AV39" s="1157">
        <v>16</v>
      </c>
      <c r="AW39" s="1156">
        <v>84</v>
      </c>
      <c r="AX39" s="1529">
        <v>136</v>
      </c>
      <c r="AY39" s="1516">
        <v>47</v>
      </c>
      <c r="AZ39" s="1157">
        <v>9</v>
      </c>
      <c r="BA39" s="1156">
        <v>42</v>
      </c>
      <c r="BB39" s="1156">
        <v>84</v>
      </c>
      <c r="BC39" s="1516">
        <v>19</v>
      </c>
      <c r="BD39" s="1157">
        <v>14</v>
      </c>
      <c r="BE39" s="1156"/>
      <c r="BF39" s="1156"/>
      <c r="BG39" s="1516"/>
      <c r="BH39" s="1157"/>
      <c r="BI39" s="1156"/>
      <c r="BJ39" s="1156"/>
      <c r="BK39" s="1516"/>
      <c r="BL39" s="311"/>
      <c r="BM39" s="481"/>
      <c r="BN39" s="365"/>
      <c r="BO39" s="365"/>
      <c r="BP39" s="365"/>
      <c r="BQ39" s="365"/>
      <c r="BR39" s="365"/>
      <c r="BS39" s="365"/>
      <c r="BT39" s="378"/>
      <c r="BU39" s="378">
        <f>+SUM(AJ39:AM39)</f>
        <v>295</v>
      </c>
      <c r="BV39" s="378">
        <f>SUM(AN39:AQ39)</f>
        <v>396.48497854077254</v>
      </c>
      <c r="BW39" s="378"/>
      <c r="BX39" s="365"/>
      <c r="BY39" s="365"/>
      <c r="BZ39" s="365"/>
      <c r="CA39" s="1673"/>
      <c r="CB39" s="1408"/>
    </row>
    <row r="40" spans="2:81" s="7" customFormat="1" ht="14.25" customHeight="1">
      <c r="B40" s="30" t="s">
        <v>165</v>
      </c>
      <c r="C40" s="380"/>
      <c r="D40" s="385"/>
      <c r="E40" s="377"/>
      <c r="F40" s="377"/>
      <c r="G40" s="368"/>
      <c r="H40" s="385"/>
      <c r="I40" s="377"/>
      <c r="J40" s="377"/>
      <c r="K40" s="368"/>
      <c r="L40" s="385"/>
      <c r="M40" s="377"/>
      <c r="N40" s="377"/>
      <c r="O40" s="368"/>
      <c r="P40" s="385"/>
      <c r="Q40" s="377"/>
      <c r="R40" s="377"/>
      <c r="S40" s="368"/>
      <c r="T40" s="385"/>
      <c r="U40" s="377"/>
      <c r="V40" s="377"/>
      <c r="W40" s="368"/>
      <c r="X40" s="385"/>
      <c r="Y40" s="377"/>
      <c r="Z40" s="377"/>
      <c r="AA40" s="368"/>
      <c r="AB40" s="385"/>
      <c r="AC40" s="377"/>
      <c r="AD40" s="377"/>
      <c r="AE40" s="368"/>
      <c r="AF40" s="385"/>
      <c r="AG40" s="377"/>
      <c r="AH40" s="377"/>
      <c r="AI40" s="368"/>
      <c r="AJ40" s="377"/>
      <c r="AK40" s="377"/>
      <c r="AL40" s="377"/>
      <c r="AM40" s="1083"/>
      <c r="AN40" s="377"/>
      <c r="AO40" s="377"/>
      <c r="AP40" s="377"/>
      <c r="AQ40" s="1083"/>
      <c r="AR40" s="377"/>
      <c r="AS40" s="377"/>
      <c r="AT40" s="377"/>
      <c r="AU40" s="377"/>
      <c r="AV40" s="385"/>
      <c r="AW40" s="377"/>
      <c r="AX40" s="95"/>
      <c r="AY40" s="1517"/>
      <c r="AZ40" s="385"/>
      <c r="BA40" s="377"/>
      <c r="BB40" s="377"/>
      <c r="BC40" s="1517"/>
      <c r="BD40" s="385"/>
      <c r="BE40" s="377"/>
      <c r="BF40" s="377"/>
      <c r="BG40" s="1517"/>
      <c r="BH40" s="385"/>
      <c r="BI40" s="377"/>
      <c r="BJ40" s="377"/>
      <c r="BK40" s="1517"/>
      <c r="BL40" s="244"/>
      <c r="BM40" s="252"/>
      <c r="BN40" s="253"/>
      <c r="BO40" s="253"/>
      <c r="BP40" s="253"/>
      <c r="BQ40" s="253"/>
      <c r="BR40" s="253"/>
      <c r="BS40" s="253"/>
      <c r="BT40" s="377"/>
      <c r="BU40" s="377"/>
      <c r="BV40" s="377"/>
      <c r="BW40" s="369"/>
      <c r="BX40" s="369"/>
      <c r="BY40" s="369"/>
      <c r="BZ40" s="369"/>
      <c r="CA40" s="1658"/>
      <c r="CB40" s="1408"/>
    </row>
    <row r="41" spans="2:81" s="7" customFormat="1" ht="14.25" customHeight="1">
      <c r="B41" s="30" t="s">
        <v>166</v>
      </c>
      <c r="C41" s="380"/>
      <c r="D41" s="385"/>
      <c r="E41" s="377"/>
      <c r="F41" s="377"/>
      <c r="G41" s="368"/>
      <c r="H41" s="385"/>
      <c r="I41" s="377"/>
      <c r="J41" s="377"/>
      <c r="K41" s="368"/>
      <c r="L41" s="385"/>
      <c r="M41" s="377"/>
      <c r="N41" s="377"/>
      <c r="O41" s="368"/>
      <c r="P41" s="385"/>
      <c r="Q41" s="377"/>
      <c r="R41" s="377"/>
      <c r="S41" s="368"/>
      <c r="T41" s="385"/>
      <c r="U41" s="377"/>
      <c r="V41" s="377"/>
      <c r="W41" s="368"/>
      <c r="X41" s="385"/>
      <c r="Y41" s="377"/>
      <c r="Z41" s="377"/>
      <c r="AA41" s="368"/>
      <c r="AB41" s="385"/>
      <c r="AC41" s="377"/>
      <c r="AD41" s="377"/>
      <c r="AE41" s="368"/>
      <c r="AF41" s="385"/>
      <c r="AG41" s="377"/>
      <c r="AH41" s="377"/>
      <c r="AI41" s="368"/>
      <c r="AJ41" s="377"/>
      <c r="AK41" s="377"/>
      <c r="AL41" s="377"/>
      <c r="AM41" s="1083"/>
      <c r="AN41" s="377"/>
      <c r="AO41" s="377"/>
      <c r="AP41" s="377"/>
      <c r="AQ41" s="1083"/>
      <c r="AR41" s="377"/>
      <c r="AS41" s="377"/>
      <c r="AT41" s="377"/>
      <c r="AU41" s="377"/>
      <c r="AV41" s="385"/>
      <c r="AW41" s="377"/>
      <c r="AX41" s="95"/>
      <c r="AY41" s="1517"/>
      <c r="AZ41" s="385"/>
      <c r="BA41" s="377"/>
      <c r="BB41" s="377"/>
      <c r="BC41" s="1517"/>
      <c r="BD41" s="385"/>
      <c r="BE41" s="377"/>
      <c r="BF41" s="377"/>
      <c r="BG41" s="1517"/>
      <c r="BH41" s="385"/>
      <c r="BI41" s="377"/>
      <c r="BJ41" s="377"/>
      <c r="BK41" s="1517"/>
      <c r="BL41" s="244"/>
      <c r="BM41" s="376"/>
      <c r="BN41" s="369"/>
      <c r="BO41" s="369"/>
      <c r="BP41" s="369"/>
      <c r="BQ41" s="369"/>
      <c r="BR41" s="369"/>
      <c r="BS41" s="369"/>
      <c r="BT41" s="377"/>
      <c r="BU41" s="377"/>
      <c r="BV41" s="95">
        <f>BV39/BU39-1</f>
        <v>0.34401687640939849</v>
      </c>
      <c r="BW41" s="95"/>
      <c r="BX41" s="369"/>
      <c r="BY41" s="369"/>
      <c r="BZ41" s="369"/>
      <c r="CA41" s="1658"/>
      <c r="CB41" s="1408"/>
    </row>
    <row r="42" spans="2:81" s="7" customFormat="1" ht="14.25" customHeight="1">
      <c r="B42" s="330" t="s">
        <v>385</v>
      </c>
      <c r="C42" s="381"/>
      <c r="D42" s="464"/>
      <c r="E42" s="465"/>
      <c r="F42" s="465"/>
      <c r="G42" s="466"/>
      <c r="H42" s="464"/>
      <c r="I42" s="465"/>
      <c r="J42" s="465"/>
      <c r="K42" s="466"/>
      <c r="L42" s="464"/>
      <c r="M42" s="465"/>
      <c r="N42" s="465"/>
      <c r="O42" s="466"/>
      <c r="P42" s="464"/>
      <c r="Q42" s="465"/>
      <c r="R42" s="465"/>
      <c r="S42" s="466"/>
      <c r="T42" s="464"/>
      <c r="U42" s="465"/>
      <c r="V42" s="465"/>
      <c r="W42" s="466"/>
      <c r="X42" s="464"/>
      <c r="Y42" s="465"/>
      <c r="Z42" s="465"/>
      <c r="AA42" s="466"/>
      <c r="AB42" s="464"/>
      <c r="AC42" s="465"/>
      <c r="AD42" s="465"/>
      <c r="AE42" s="466"/>
      <c r="AF42" s="464"/>
      <c r="AG42" s="465"/>
      <c r="AH42" s="465"/>
      <c r="AI42" s="466"/>
      <c r="AJ42" s="465">
        <f t="shared" ref="AJ42:AX42" si="70">AJ39/AJ25</f>
        <v>0.29714285714285715</v>
      </c>
      <c r="AK42" s="465">
        <f t="shared" si="70"/>
        <v>0.1317365269461078</v>
      </c>
      <c r="AL42" s="465">
        <f t="shared" si="70"/>
        <v>0.17164179104477612</v>
      </c>
      <c r="AM42" s="1084">
        <f t="shared" si="70"/>
        <v>0.18454935622317598</v>
      </c>
      <c r="AN42" s="465">
        <f t="shared" si="70"/>
        <v>0.15858208955223882</v>
      </c>
      <c r="AO42" s="465">
        <f t="shared" si="70"/>
        <v>0.15823817292006526</v>
      </c>
      <c r="AP42" s="465">
        <f t="shared" si="70"/>
        <v>0.16666666666666666</v>
      </c>
      <c r="AQ42" s="1084">
        <f t="shared" si="70"/>
        <v>0.18454935622317598</v>
      </c>
      <c r="AR42" s="465">
        <f t="shared" si="70"/>
        <v>9.036144578313253E-2</v>
      </c>
      <c r="AS42" s="465">
        <f t="shared" si="70"/>
        <v>4.7957371225577264E-2</v>
      </c>
      <c r="AT42" s="465">
        <f t="shared" si="70"/>
        <v>0.13186813186813187</v>
      </c>
      <c r="AU42" s="465">
        <f t="shared" si="70"/>
        <v>0.12090163934426229</v>
      </c>
      <c r="AV42" s="464">
        <f t="shared" si="70"/>
        <v>4.3010752688172046E-2</v>
      </c>
      <c r="AW42" s="465">
        <f t="shared" si="70"/>
        <v>0.14189189189189189</v>
      </c>
      <c r="AX42" s="254">
        <f t="shared" si="70"/>
        <v>0.16287425149700599</v>
      </c>
      <c r="AY42" s="1680">
        <f t="shared" ref="AY42:BA42" si="71">AY39/AY25</f>
        <v>9.2885375494071151E-2</v>
      </c>
      <c r="AZ42" s="464">
        <f t="shared" si="71"/>
        <v>2.3017902813299233E-2</v>
      </c>
      <c r="BA42" s="465">
        <f t="shared" si="71"/>
        <v>7.460035523978685E-2</v>
      </c>
      <c r="BB42" s="465">
        <f t="shared" ref="BB42:BD42" si="72">BB39/BB25</f>
        <v>0.10194174757281553</v>
      </c>
      <c r="BC42" s="1680">
        <f t="shared" si="72"/>
        <v>3.6398467432950193E-2</v>
      </c>
      <c r="BD42" s="464">
        <f t="shared" si="72"/>
        <v>2.6315789473684209E-2</v>
      </c>
      <c r="BE42" s="465"/>
      <c r="BF42" s="1093"/>
      <c r="BG42" s="1709"/>
      <c r="BH42" s="464"/>
      <c r="BI42" s="465"/>
      <c r="BJ42" s="1093"/>
      <c r="BK42" s="1709"/>
      <c r="BL42" s="244"/>
      <c r="BM42" s="922"/>
      <c r="BN42" s="923"/>
      <c r="BO42" s="923"/>
      <c r="BP42" s="923"/>
      <c r="BQ42" s="923"/>
      <c r="BR42" s="923"/>
      <c r="BS42" s="923"/>
      <c r="BT42" s="465"/>
      <c r="BU42" s="465">
        <f>BU39/BU25</f>
        <v>0.18706404565630944</v>
      </c>
      <c r="BV42" s="465">
        <f>BV39/BV25</f>
        <v>0.16701136417050233</v>
      </c>
      <c r="BW42" s="923"/>
      <c r="BX42" s="923"/>
      <c r="BY42" s="923"/>
      <c r="BZ42" s="923"/>
      <c r="CA42" s="1712"/>
      <c r="CB42" s="1408"/>
    </row>
    <row r="43" spans="2:81" s="7" customFormat="1" ht="14.25" customHeight="1">
      <c r="B43" s="42" t="s">
        <v>271</v>
      </c>
      <c r="C43" s="380"/>
      <c r="D43" s="385"/>
      <c r="E43" s="377"/>
      <c r="F43" s="377"/>
      <c r="G43" s="368"/>
      <c r="H43" s="385"/>
      <c r="I43" s="377"/>
      <c r="J43" s="377"/>
      <c r="K43" s="368"/>
      <c r="L43" s="385"/>
      <c r="M43" s="377"/>
      <c r="N43" s="377"/>
      <c r="O43" s="368"/>
      <c r="P43" s="385"/>
      <c r="Q43" s="377"/>
      <c r="R43" s="377"/>
      <c r="S43" s="368"/>
      <c r="T43" s="385"/>
      <c r="U43" s="377"/>
      <c r="V43" s="377"/>
      <c r="W43" s="368"/>
      <c r="X43" s="385"/>
      <c r="Y43" s="377"/>
      <c r="Z43" s="377"/>
      <c r="AA43" s="368"/>
      <c r="AB43" s="385"/>
      <c r="AC43" s="377"/>
      <c r="AD43" s="377"/>
      <c r="AE43" s="368"/>
      <c r="AF43" s="385"/>
      <c r="AG43" s="377"/>
      <c r="AH43" s="377"/>
      <c r="AI43" s="368"/>
      <c r="AJ43" s="1161"/>
      <c r="AK43" s="1161"/>
      <c r="AL43" s="1161"/>
      <c r="AM43" s="1160"/>
      <c r="AN43" s="1162"/>
      <c r="AO43" s="1161"/>
      <c r="AP43" s="1161"/>
      <c r="AQ43" s="1160"/>
      <c r="AR43" s="1162"/>
      <c r="AS43" s="1161"/>
      <c r="AT43" s="1161"/>
      <c r="AU43" s="1156"/>
      <c r="AV43" s="1519"/>
      <c r="AW43" s="1161"/>
      <c r="AX43" s="1161"/>
      <c r="AY43" s="1516"/>
      <c r="AZ43" s="1519"/>
      <c r="BA43" s="1161"/>
      <c r="BB43" s="1161"/>
      <c r="BC43" s="1516"/>
      <c r="BD43" s="1519"/>
      <c r="BE43" s="1161"/>
      <c r="BF43" s="1161"/>
      <c r="BG43" s="1516"/>
      <c r="BH43" s="1710"/>
      <c r="BI43" s="1161"/>
      <c r="BJ43" s="1161"/>
      <c r="BK43" s="1516"/>
      <c r="BL43" s="244"/>
      <c r="BM43" s="376"/>
      <c r="BN43" s="369"/>
      <c r="BO43" s="369"/>
      <c r="BP43" s="369"/>
      <c r="BQ43" s="369"/>
      <c r="BR43" s="369"/>
      <c r="BS43" s="369"/>
      <c r="BT43" s="378"/>
      <c r="BU43" s="378">
        <f>+SUM(AJ43:AM43)</f>
        <v>0</v>
      </c>
      <c r="BV43" s="378">
        <f>SUM(AN43:AQ43)</f>
        <v>0</v>
      </c>
      <c r="BW43" s="378"/>
      <c r="BX43" s="378"/>
      <c r="BY43" s="378"/>
      <c r="BZ43" s="378"/>
      <c r="CA43" s="1713"/>
      <c r="CB43" s="1408"/>
    </row>
    <row r="44" spans="2:81" s="7" customFormat="1" ht="14.25" customHeight="1">
      <c r="B44" s="42" t="s">
        <v>524</v>
      </c>
      <c r="C44" s="293"/>
      <c r="D44" s="385"/>
      <c r="E44" s="377"/>
      <c r="F44" s="377"/>
      <c r="G44" s="368"/>
      <c r="H44" s="385"/>
      <c r="I44" s="377"/>
      <c r="J44" s="377"/>
      <c r="K44" s="368"/>
      <c r="L44" s="385"/>
      <c r="M44" s="377"/>
      <c r="N44" s="377"/>
      <c r="O44" s="368"/>
      <c r="P44" s="385"/>
      <c r="Q44" s="377"/>
      <c r="R44" s="377"/>
      <c r="S44" s="368"/>
      <c r="T44" s="385"/>
      <c r="U44" s="377"/>
      <c r="V44" s="377"/>
      <c r="W44" s="368"/>
      <c r="X44" s="385"/>
      <c r="Y44" s="377"/>
      <c r="Z44" s="377"/>
      <c r="AA44" s="368"/>
      <c r="AB44" s="385"/>
      <c r="AC44" s="377"/>
      <c r="AD44" s="377"/>
      <c r="AE44" s="368"/>
      <c r="AF44" s="385"/>
      <c r="AG44" s="377"/>
      <c r="AH44" s="377"/>
      <c r="AI44" s="368"/>
      <c r="AJ44" s="1156">
        <v>-75</v>
      </c>
      <c r="AK44" s="1156">
        <v>-31</v>
      </c>
      <c r="AL44" s="1156">
        <v>-6</v>
      </c>
      <c r="AM44" s="1160">
        <v>21</v>
      </c>
      <c r="AN44" s="1156">
        <v>-39</v>
      </c>
      <c r="AO44" s="1156">
        <v>-28</v>
      </c>
      <c r="AP44" s="1156">
        <v>-28</v>
      </c>
      <c r="AQ44" s="1160">
        <v>-383</v>
      </c>
      <c r="AR44" s="1156">
        <v>-107</v>
      </c>
      <c r="AS44" s="1156">
        <v>-17</v>
      </c>
      <c r="AT44" s="1156">
        <v>-61</v>
      </c>
      <c r="AU44" s="1156">
        <v>-9</v>
      </c>
      <c r="AV44" s="1157">
        <v>-14</v>
      </c>
      <c r="AW44" s="1156">
        <v>-11</v>
      </c>
      <c r="AX44" s="1529">
        <v>-363</v>
      </c>
      <c r="AY44" s="1516">
        <v>-29</v>
      </c>
      <c r="AZ44" s="1157">
        <v>-23</v>
      </c>
      <c r="BA44" s="1156">
        <v>-24</v>
      </c>
      <c r="BB44" s="1156">
        <v>-28</v>
      </c>
      <c r="BC44" s="1516">
        <v>-22</v>
      </c>
      <c r="BD44" s="1157">
        <v>-32</v>
      </c>
      <c r="BE44" s="1156"/>
      <c r="BF44" s="1156"/>
      <c r="BG44" s="1516"/>
      <c r="BH44" s="1157"/>
      <c r="BI44" s="1156"/>
      <c r="BJ44" s="1156"/>
      <c r="BK44" s="1516"/>
      <c r="BL44" s="22"/>
      <c r="BM44" s="385"/>
      <c r="BN44" s="377"/>
      <c r="BO44" s="377"/>
      <c r="BP44" s="377"/>
      <c r="BQ44" s="377"/>
      <c r="BR44" s="377"/>
      <c r="BS44" s="377"/>
      <c r="BT44" s="378"/>
      <c r="BU44" s="378">
        <f>+SUM(AJ44:AM44)</f>
        <v>-91</v>
      </c>
      <c r="BV44" s="378">
        <f>SUM(AN44:AQ44)</f>
        <v>-478</v>
      </c>
      <c r="BW44" s="378"/>
      <c r="BX44" s="378"/>
      <c r="BY44" s="378"/>
      <c r="BZ44" s="378"/>
      <c r="CA44" s="1713"/>
      <c r="CB44" s="1408"/>
    </row>
    <row r="45" spans="2:81" s="7" customFormat="1" ht="14.25" customHeight="1">
      <c r="B45" s="30" t="s">
        <v>171</v>
      </c>
      <c r="C45" s="380"/>
      <c r="D45" s="385"/>
      <c r="E45" s="377"/>
      <c r="F45" s="377"/>
      <c r="G45" s="368"/>
      <c r="H45" s="385"/>
      <c r="I45" s="377"/>
      <c r="J45" s="377"/>
      <c r="K45" s="368"/>
      <c r="L45" s="385"/>
      <c r="M45" s="377"/>
      <c r="N45" s="377"/>
      <c r="O45" s="368"/>
      <c r="P45" s="385"/>
      <c r="Q45" s="377"/>
      <c r="R45" s="377"/>
      <c r="S45" s="368"/>
      <c r="T45" s="385"/>
      <c r="U45" s="377"/>
      <c r="V45" s="377"/>
      <c r="W45" s="368"/>
      <c r="X45" s="385"/>
      <c r="Y45" s="377"/>
      <c r="Z45" s="377"/>
      <c r="AA45" s="368"/>
      <c r="AB45" s="385"/>
      <c r="AC45" s="377"/>
      <c r="AD45" s="377"/>
      <c r="AE45" s="368"/>
      <c r="AF45" s="385"/>
      <c r="AG45" s="377"/>
      <c r="AH45" s="377"/>
      <c r="AI45" s="368"/>
      <c r="AJ45" s="371">
        <f t="shared" ref="AJ45:AU45" si="73">AJ8+AJ25</f>
        <v>1088</v>
      </c>
      <c r="AK45" s="371">
        <f t="shared" si="73"/>
        <v>1161</v>
      </c>
      <c r="AL45" s="371">
        <f t="shared" si="73"/>
        <v>1461</v>
      </c>
      <c r="AM45" s="1079">
        <f t="shared" si="73"/>
        <v>1587</v>
      </c>
      <c r="AN45" s="371">
        <f t="shared" si="73"/>
        <v>1397</v>
      </c>
      <c r="AO45" s="371">
        <f t="shared" si="73"/>
        <v>1441</v>
      </c>
      <c r="AP45" s="371">
        <f t="shared" si="73"/>
        <v>1429</v>
      </c>
      <c r="AQ45" s="1079">
        <f t="shared" si="73"/>
        <v>1239</v>
      </c>
      <c r="AR45" s="371">
        <f t="shared" si="73"/>
        <v>1030</v>
      </c>
      <c r="AS45" s="371">
        <f t="shared" si="73"/>
        <v>942</v>
      </c>
      <c r="AT45" s="371">
        <f t="shared" si="73"/>
        <v>1061</v>
      </c>
      <c r="AU45" s="371">
        <f t="shared" si="73"/>
        <v>958</v>
      </c>
      <c r="AV45" s="382">
        <f t="shared" ref="AV45:AY45" si="74">AV8+AV25</f>
        <v>832</v>
      </c>
      <c r="AW45" s="371">
        <f t="shared" si="74"/>
        <v>1027</v>
      </c>
      <c r="AX45" s="1530">
        <f t="shared" si="74"/>
        <v>1307</v>
      </c>
      <c r="AY45" s="1515">
        <f t="shared" si="74"/>
        <v>1106</v>
      </c>
      <c r="AZ45" s="382">
        <f t="shared" ref="AZ45:BA45" si="75">AZ8+AZ25</f>
        <v>984</v>
      </c>
      <c r="BA45" s="371">
        <f t="shared" si="75"/>
        <v>1222</v>
      </c>
      <c r="BB45" s="371">
        <f t="shared" ref="BB45:BD45" si="76">BB8+BB25</f>
        <v>1643</v>
      </c>
      <c r="BC45" s="1515">
        <f t="shared" si="76"/>
        <v>1480</v>
      </c>
      <c r="BD45" s="382">
        <f t="shared" si="76"/>
        <v>1647</v>
      </c>
      <c r="BE45" s="371">
        <f t="shared" ref="BE45:BG45" si="77">BE8+BE25</f>
        <v>1728.5245498721738</v>
      </c>
      <c r="BF45" s="371">
        <f t="shared" si="77"/>
        <v>1730.3582323215753</v>
      </c>
      <c r="BG45" s="1515">
        <f t="shared" si="77"/>
        <v>1625.3408422465081</v>
      </c>
      <c r="BH45" s="382">
        <f t="shared" ref="BH45:BK45" si="78">BH8+BH25</f>
        <v>1549.1452351355256</v>
      </c>
      <c r="BI45" s="371">
        <f t="shared" si="78"/>
        <v>1635.4643929356052</v>
      </c>
      <c r="BJ45" s="371">
        <f t="shared" si="78"/>
        <v>1716.5157688386405</v>
      </c>
      <c r="BK45" s="1515">
        <f t="shared" si="78"/>
        <v>1702.8435645146208</v>
      </c>
      <c r="BL45" s="244"/>
      <c r="BM45" s="376"/>
      <c r="BN45" s="369"/>
      <c r="BO45" s="369"/>
      <c r="BP45" s="369"/>
      <c r="BQ45" s="369"/>
      <c r="BR45" s="369"/>
      <c r="BS45" s="369"/>
      <c r="BT45" s="378"/>
      <c r="BU45" s="378">
        <f>+SUM(AJ45:AM45)</f>
        <v>5297</v>
      </c>
      <c r="BV45" s="378">
        <f>SUM(AN45:AQ45)</f>
        <v>5506</v>
      </c>
      <c r="BW45" s="365">
        <f>SUM(AR45:AU45)</f>
        <v>3991</v>
      </c>
      <c r="BX45" s="365">
        <f>BX8+BX25</f>
        <v>4271.9667910988692</v>
      </c>
      <c r="BY45" s="378">
        <f>BY8+BY25</f>
        <v>5309.1008732340533</v>
      </c>
      <c r="BZ45" s="378">
        <f>BZ8+BZ25</f>
        <v>6730.9851810613</v>
      </c>
      <c r="CA45" s="1713">
        <f>CA8+CA25</f>
        <v>6603.9689614243916</v>
      </c>
      <c r="CB45" s="1408"/>
    </row>
    <row r="46" spans="2:81" s="7" customFormat="1" ht="14.25" customHeight="1">
      <c r="B46" s="1088" t="s">
        <v>525</v>
      </c>
      <c r="C46" s="1089"/>
      <c r="D46" s="1090"/>
      <c r="E46" s="1091"/>
      <c r="F46" s="1091"/>
      <c r="G46" s="1092"/>
      <c r="H46" s="1090"/>
      <c r="I46" s="1091"/>
      <c r="J46" s="1091"/>
      <c r="K46" s="1092"/>
      <c r="L46" s="1090"/>
      <c r="M46" s="1091"/>
      <c r="N46" s="1091"/>
      <c r="O46" s="1092"/>
      <c r="P46" s="1090"/>
      <c r="Q46" s="1091"/>
      <c r="R46" s="1091"/>
      <c r="S46" s="1092"/>
      <c r="T46" s="1090"/>
      <c r="U46" s="1091"/>
      <c r="V46" s="1091"/>
      <c r="W46" s="1092"/>
      <c r="X46" s="1090"/>
      <c r="Y46" s="1091"/>
      <c r="Z46" s="1091"/>
      <c r="AA46" s="1092"/>
      <c r="AB46" s="1090"/>
      <c r="AC46" s="1091"/>
      <c r="AD46" s="1091"/>
      <c r="AE46" s="1092"/>
      <c r="AF46" s="1090"/>
      <c r="AG46" s="1091"/>
      <c r="AH46" s="1091"/>
      <c r="AI46" s="1092"/>
      <c r="AJ46" s="1905">
        <f t="shared" ref="AJ46:AV46" si="79">AJ21+AJ39+AJ44</f>
        <v>-98</v>
      </c>
      <c r="AK46" s="1905">
        <f t="shared" si="79"/>
        <v>-29</v>
      </c>
      <c r="AL46" s="1905">
        <f t="shared" si="79"/>
        <v>95</v>
      </c>
      <c r="AM46" s="1906">
        <f t="shared" si="79"/>
        <v>135</v>
      </c>
      <c r="AN46" s="1905">
        <f t="shared" si="79"/>
        <v>49</v>
      </c>
      <c r="AO46" s="1905">
        <f t="shared" si="79"/>
        <v>63</v>
      </c>
      <c r="AP46" s="1905">
        <f t="shared" si="79"/>
        <v>63</v>
      </c>
      <c r="AQ46" s="1906">
        <f t="shared" si="79"/>
        <v>-332.51502145922746</v>
      </c>
      <c r="AR46" s="1905">
        <f t="shared" si="79"/>
        <v>-137</v>
      </c>
      <c r="AS46" s="1905">
        <f>AS21+AS39+AS44</f>
        <v>-137</v>
      </c>
      <c r="AT46" s="1905">
        <f t="shared" si="79"/>
        <v>-158</v>
      </c>
      <c r="AU46" s="1905">
        <f>AU21+AU39+AU44</f>
        <v>-49</v>
      </c>
      <c r="AV46" s="1907">
        <f t="shared" si="79"/>
        <v>-68</v>
      </c>
      <c r="AW46" s="1908">
        <v>-8</v>
      </c>
      <c r="AX46" s="1909">
        <f>SUM(AX21,AX39,AX44)</f>
        <v>-293</v>
      </c>
      <c r="AY46" s="1910">
        <f t="shared" ref="AY46:BD46" si="80">AY21+AY39+AY44</f>
        <v>-3</v>
      </c>
      <c r="AZ46" s="1907">
        <f t="shared" si="80"/>
        <v>-29</v>
      </c>
      <c r="BA46" s="1908">
        <f t="shared" si="80"/>
        <v>25</v>
      </c>
      <c r="BB46" s="1908">
        <f t="shared" si="80"/>
        <v>126</v>
      </c>
      <c r="BC46" s="1910">
        <f t="shared" si="80"/>
        <v>82</v>
      </c>
      <c r="BD46" s="1907">
        <f t="shared" si="80"/>
        <v>120</v>
      </c>
      <c r="BE46" s="1521"/>
      <c r="BF46" s="1521"/>
      <c r="BG46" s="1711"/>
      <c r="BH46" s="1520"/>
      <c r="BI46" s="1521"/>
      <c r="BJ46" s="1521"/>
      <c r="BK46" s="1711"/>
      <c r="BL46" s="244"/>
      <c r="BM46" s="1090"/>
      <c r="BN46" s="1091"/>
      <c r="BO46" s="1091"/>
      <c r="BP46" s="1091"/>
      <c r="BQ46" s="1091"/>
      <c r="BR46" s="1091"/>
      <c r="BS46" s="1091"/>
      <c r="BT46" s="1153"/>
      <c r="BU46" s="1153">
        <f>+SUM(AJ46:AM46)</f>
        <v>103</v>
      </c>
      <c r="BV46" s="1153">
        <f>SUM(AN46:AQ46)</f>
        <v>-157.51502145922746</v>
      </c>
      <c r="BW46" s="1153"/>
      <c r="BX46" s="1153"/>
      <c r="BY46" s="1153"/>
      <c r="BZ46" s="1153"/>
      <c r="CA46" s="1714"/>
      <c r="CB46" s="1408"/>
    </row>
    <row r="47" spans="2:81" s="13" customFormat="1" ht="14.25" customHeight="1">
      <c r="B47" s="293"/>
      <c r="C47" s="380"/>
      <c r="D47" s="377"/>
      <c r="E47" s="377"/>
      <c r="F47" s="377"/>
      <c r="G47" s="377"/>
      <c r="H47" s="377"/>
      <c r="I47" s="377"/>
      <c r="J47" s="377"/>
      <c r="K47" s="377"/>
      <c r="L47" s="377"/>
      <c r="M47" s="377"/>
      <c r="N47" s="377"/>
      <c r="O47" s="377"/>
      <c r="P47" s="377"/>
      <c r="Q47" s="377"/>
      <c r="R47" s="377"/>
      <c r="S47" s="377"/>
      <c r="T47" s="377"/>
      <c r="U47" s="377"/>
      <c r="V47" s="377"/>
      <c r="W47" s="377"/>
      <c r="X47" s="377"/>
      <c r="Y47" s="377"/>
      <c r="Z47" s="377"/>
      <c r="AA47" s="377"/>
      <c r="AB47" s="377"/>
      <c r="AC47" s="377"/>
      <c r="AD47" s="377"/>
      <c r="AE47" s="377"/>
      <c r="AF47" s="377"/>
      <c r="AG47" s="377"/>
      <c r="AH47" s="377"/>
      <c r="AI47" s="377"/>
      <c r="AJ47" s="370"/>
      <c r="AK47" s="370"/>
      <c r="AL47" s="370"/>
      <c r="AM47" s="370"/>
      <c r="AN47" s="370"/>
      <c r="AO47" s="370"/>
      <c r="AP47" s="370"/>
      <c r="AQ47" s="370"/>
      <c r="AR47" s="370"/>
      <c r="AS47" s="370"/>
      <c r="AT47" s="370"/>
      <c r="AU47" s="370"/>
      <c r="AV47" s="370"/>
      <c r="AW47" s="370"/>
      <c r="AX47" s="370"/>
      <c r="AY47" s="370"/>
      <c r="AZ47" s="370"/>
      <c r="BA47" s="370"/>
      <c r="BB47" s="370"/>
      <c r="BC47" s="370"/>
      <c r="BD47" s="370"/>
      <c r="BE47" s="370"/>
      <c r="BF47" s="370"/>
      <c r="BG47" s="370"/>
      <c r="BH47" s="370"/>
      <c r="BI47" s="370"/>
      <c r="BJ47" s="370"/>
      <c r="BK47" s="370"/>
      <c r="BM47" s="369"/>
      <c r="BN47" s="369"/>
      <c r="BO47" s="369"/>
      <c r="BP47" s="369"/>
      <c r="BQ47" s="369"/>
      <c r="BR47" s="369"/>
      <c r="BS47" s="369"/>
      <c r="BT47" s="378"/>
      <c r="BU47" s="378"/>
      <c r="BV47" s="378"/>
      <c r="BW47" s="378"/>
      <c r="BX47" s="378"/>
      <c r="BY47" s="378"/>
      <c r="BZ47" s="378"/>
      <c r="CA47" s="378"/>
    </row>
    <row r="48" spans="2:81" s="13" customFormat="1" ht="14.25" customHeight="1">
      <c r="B48" s="293"/>
      <c r="C48" s="380"/>
      <c r="D48" s="377"/>
      <c r="E48" s="377"/>
      <c r="F48" s="377"/>
      <c r="G48" s="377"/>
      <c r="H48" s="377"/>
      <c r="I48" s="377"/>
      <c r="J48" s="377"/>
      <c r="K48" s="377"/>
      <c r="L48" s="377"/>
      <c r="M48" s="377"/>
      <c r="N48" s="377"/>
      <c r="O48" s="377"/>
      <c r="P48" s="377"/>
      <c r="Q48" s="377"/>
      <c r="R48" s="377"/>
      <c r="S48" s="377"/>
      <c r="T48" s="377"/>
      <c r="U48" s="377"/>
      <c r="V48" s="377"/>
      <c r="W48" s="377"/>
      <c r="X48" s="377"/>
      <c r="Y48" s="377"/>
      <c r="Z48" s="377"/>
      <c r="AA48" s="377"/>
      <c r="AB48" s="377"/>
      <c r="AC48" s="377"/>
      <c r="AD48" s="377"/>
      <c r="AE48" s="377"/>
      <c r="AF48" s="377"/>
      <c r="AG48" s="377"/>
      <c r="AH48" s="377"/>
      <c r="AI48" s="377"/>
      <c r="AJ48" s="1458"/>
      <c r="AK48" s="1458"/>
      <c r="AL48" s="1458"/>
      <c r="AM48" s="1458"/>
      <c r="AN48" s="1458"/>
      <c r="AO48" s="1458"/>
      <c r="AP48" s="1458"/>
      <c r="AQ48" s="1458"/>
      <c r="AR48" s="1458"/>
      <c r="AS48" s="1458"/>
      <c r="AT48" s="1458"/>
      <c r="AU48" s="1458"/>
      <c r="AV48" s="1458"/>
      <c r="AW48" s="1458"/>
      <c r="AX48" s="1458"/>
      <c r="AY48" s="1458"/>
      <c r="AZ48" s="1458"/>
      <c r="BA48" s="1458"/>
      <c r="BB48" s="1458"/>
      <c r="BC48" s="1458"/>
      <c r="BD48" s="1458"/>
      <c r="BE48" s="1458"/>
      <c r="BF48" s="1458"/>
      <c r="BG48" s="1458"/>
      <c r="BH48" s="1458"/>
      <c r="BI48" s="1458"/>
      <c r="BJ48" s="1458"/>
      <c r="BK48" s="1458"/>
      <c r="BM48" s="369"/>
      <c r="BN48" s="369"/>
      <c r="BO48" s="369"/>
      <c r="BP48" s="369"/>
      <c r="BQ48" s="369"/>
      <c r="BR48" s="369"/>
      <c r="BS48" s="369"/>
      <c r="BT48" s="378"/>
      <c r="BU48" s="378"/>
      <c r="BV48" s="378"/>
      <c r="BW48" s="378"/>
      <c r="BX48" s="378"/>
      <c r="BY48" s="378"/>
      <c r="BZ48" s="378"/>
      <c r="CA48" s="378"/>
    </row>
    <row r="49" spans="1:88" ht="14.25" customHeight="1">
      <c r="A49" s="1"/>
      <c r="B49" s="297"/>
      <c r="C49" s="297"/>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459"/>
      <c r="AK49" s="1459"/>
      <c r="AL49" s="1459"/>
      <c r="AM49" s="1459"/>
      <c r="AN49" s="1459"/>
      <c r="AO49" s="1459"/>
      <c r="AP49" s="1459"/>
      <c r="AQ49" s="1459"/>
      <c r="AR49" s="1459"/>
      <c r="AS49" s="1459"/>
      <c r="AT49" s="1459"/>
      <c r="AU49" s="1459"/>
      <c r="AV49" s="1459"/>
      <c r="AW49" s="1459"/>
      <c r="AX49" s="1459"/>
      <c r="AY49" s="1459"/>
      <c r="AZ49" s="1459"/>
      <c r="BA49" s="1459"/>
      <c r="BB49" s="1459"/>
      <c r="BC49" s="1459"/>
      <c r="BD49" s="1459"/>
      <c r="BE49" s="1459"/>
      <c r="BF49" s="1459"/>
      <c r="BG49" s="1459"/>
      <c r="BH49" s="1459"/>
      <c r="BI49" s="1459"/>
      <c r="BJ49" s="1459"/>
      <c r="BK49" s="1459"/>
      <c r="BL49" s="1"/>
      <c r="BM49" s="1"/>
      <c r="BN49" s="1"/>
      <c r="BO49" s="1"/>
      <c r="BP49" s="1"/>
      <c r="BQ49" s="1"/>
      <c r="BR49" s="1"/>
      <c r="BS49" s="1"/>
      <c r="BT49" s="1"/>
      <c r="BU49" s="1"/>
      <c r="BV49" s="1"/>
      <c r="BW49" s="1"/>
      <c r="CE49" s="7"/>
      <c r="CF49" s="7"/>
    </row>
    <row r="50" spans="1:88" ht="14.25" customHeight="1">
      <c r="A50" s="1"/>
      <c r="B50" s="297"/>
      <c r="C50" s="297"/>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I50" s="7"/>
      <c r="CJ50" s="7"/>
    </row>
    <row r="51" spans="1:88" ht="14.2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I51" s="7"/>
      <c r="CJ51" s="7"/>
    </row>
    <row r="52" spans="1:88" ht="14.25" customHeight="1">
      <c r="A52" s="3"/>
      <c r="B52" s="283"/>
      <c r="C52" s="283"/>
      <c r="D52" s="283" t="s">
        <v>196</v>
      </c>
      <c r="E52" s="283" t="s">
        <v>197</v>
      </c>
      <c r="F52" s="283" t="s">
        <v>198</v>
      </c>
      <c r="G52" s="283" t="s">
        <v>199</v>
      </c>
      <c r="H52" s="283" t="s">
        <v>200</v>
      </c>
      <c r="I52" s="283" t="s">
        <v>201</v>
      </c>
      <c r="J52" s="283" t="s">
        <v>202</v>
      </c>
      <c r="K52" s="283" t="s">
        <v>203</v>
      </c>
      <c r="L52" s="283" t="s">
        <v>205</v>
      </c>
      <c r="M52" s="283" t="s">
        <v>206</v>
      </c>
      <c r="N52" s="283" t="s">
        <v>207</v>
      </c>
      <c r="O52" s="283" t="s">
        <v>208</v>
      </c>
      <c r="P52" s="283" t="s">
        <v>24</v>
      </c>
      <c r="Q52" s="283" t="s">
        <v>25</v>
      </c>
      <c r="R52" s="283" t="s">
        <v>26</v>
      </c>
      <c r="S52" s="283" t="s">
        <v>27</v>
      </c>
      <c r="T52" s="283" t="s">
        <v>28</v>
      </c>
      <c r="U52" s="283" t="s">
        <v>29</v>
      </c>
      <c r="V52" s="283" t="s">
        <v>30</v>
      </c>
      <c r="W52" s="283" t="s">
        <v>31</v>
      </c>
      <c r="X52" s="283" t="s">
        <v>32</v>
      </c>
      <c r="Y52" s="283" t="s">
        <v>33</v>
      </c>
      <c r="Z52" s="283" t="s">
        <v>34</v>
      </c>
      <c r="AA52" s="283" t="s">
        <v>35</v>
      </c>
      <c r="AB52" s="283" t="s">
        <v>36</v>
      </c>
      <c r="AC52" s="283" t="s">
        <v>37</v>
      </c>
      <c r="AD52" s="283" t="s">
        <v>38</v>
      </c>
      <c r="AE52" s="283" t="s">
        <v>39</v>
      </c>
      <c r="AF52" s="283" t="s">
        <v>40</v>
      </c>
      <c r="AG52" s="283" t="s">
        <v>41</v>
      </c>
      <c r="AH52" s="283" t="s">
        <v>42</v>
      </c>
      <c r="AI52" s="283" t="s">
        <v>43</v>
      </c>
      <c r="AJ52" s="283" t="s">
        <v>44</v>
      </c>
      <c r="AK52" s="283" t="s">
        <v>45</v>
      </c>
      <c r="AL52" s="283" t="s">
        <v>46</v>
      </c>
      <c r="AM52" s="1073" t="s">
        <v>47</v>
      </c>
      <c r="AN52" s="283" t="s">
        <v>48</v>
      </c>
      <c r="AO52" s="283" t="s">
        <v>49</v>
      </c>
      <c r="AP52" s="283" t="s">
        <v>50</v>
      </c>
      <c r="AQ52" s="1073" t="s">
        <v>51</v>
      </c>
      <c r="AR52" s="283" t="s">
        <v>72</v>
      </c>
      <c r="AS52" s="1073" t="s">
        <v>73</v>
      </c>
      <c r="AT52" s="283" t="s">
        <v>74</v>
      </c>
      <c r="AU52" s="1073" t="s">
        <v>75</v>
      </c>
      <c r="AV52" s="283" t="s">
        <v>76</v>
      </c>
      <c r="AW52" s="283" t="s">
        <v>77</v>
      </c>
      <c r="AX52" s="283" t="s">
        <v>78</v>
      </c>
      <c r="AY52" s="283" t="s">
        <v>79</v>
      </c>
      <c r="AZ52" s="283" t="s">
        <v>80</v>
      </c>
      <c r="BA52" s="283" t="s">
        <v>81</v>
      </c>
      <c r="BB52" s="283" t="s">
        <v>82</v>
      </c>
      <c r="BC52" s="283" t="s">
        <v>83</v>
      </c>
      <c r="BD52" s="283" t="s">
        <v>84</v>
      </c>
      <c r="BE52" s="283" t="s">
        <v>85</v>
      </c>
      <c r="BF52" s="283" t="s">
        <v>86</v>
      </c>
      <c r="BG52" s="283" t="s">
        <v>87</v>
      </c>
      <c r="BH52" s="283" t="s">
        <v>88</v>
      </c>
      <c r="BI52" s="283" t="s">
        <v>89</v>
      </c>
      <c r="BJ52" s="283" t="s">
        <v>90</v>
      </c>
      <c r="BK52" s="283" t="s">
        <v>91</v>
      </c>
      <c r="BL52" s="3"/>
      <c r="BM52" s="1904"/>
      <c r="BN52" s="3" t="s">
        <v>204</v>
      </c>
      <c r="BO52" s="3" t="s">
        <v>52</v>
      </c>
      <c r="BP52" s="3" t="s">
        <v>53</v>
      </c>
      <c r="BQ52" s="3" t="s">
        <v>54</v>
      </c>
      <c r="BR52" s="3" t="s">
        <v>55</v>
      </c>
      <c r="BS52" s="3" t="s">
        <v>56</v>
      </c>
      <c r="BT52" s="3" t="s">
        <v>57</v>
      </c>
      <c r="BU52" s="3" t="s">
        <v>58</v>
      </c>
      <c r="BV52" s="3" t="s">
        <v>59</v>
      </c>
      <c r="BW52" s="3" t="s">
        <v>60</v>
      </c>
      <c r="BX52" s="3" t="s">
        <v>61</v>
      </c>
      <c r="BY52" s="3" t="s">
        <v>62</v>
      </c>
      <c r="BZ52" s="3" t="s">
        <v>63</v>
      </c>
      <c r="CA52" s="3" t="s">
        <v>64</v>
      </c>
    </row>
    <row r="53" spans="1:88" ht="14.25" customHeight="1" outlineLevel="1">
      <c r="A53" s="5"/>
      <c r="B53" s="189" t="s">
        <v>65</v>
      </c>
      <c r="C53" s="189"/>
      <c r="D53" s="284" t="str">
        <f>IS!D$157</f>
        <v>A</v>
      </c>
      <c r="E53" s="284" t="str">
        <f>IS!E$157</f>
        <v>A</v>
      </c>
      <c r="F53" s="284" t="str">
        <f>IS!F$157</f>
        <v>A</v>
      </c>
      <c r="G53" s="284" t="str">
        <f>IS!G$157</f>
        <v>A</v>
      </c>
      <c r="H53" s="284" t="str">
        <f>IS!H$157</f>
        <v>A</v>
      </c>
      <c r="I53" s="284" t="str">
        <f>IS!I$157</f>
        <v>A</v>
      </c>
      <c r="J53" s="284" t="str">
        <f>IS!J$157</f>
        <v>A</v>
      </c>
      <c r="K53" s="284" t="str">
        <f>IS!K$157</f>
        <v>A</v>
      </c>
      <c r="L53" s="284" t="str">
        <f>IS!L$157</f>
        <v>A</v>
      </c>
      <c r="M53" s="284" t="str">
        <f>IS!M$157</f>
        <v>A</v>
      </c>
      <c r="N53" s="284" t="str">
        <f>IS!N$157</f>
        <v>A</v>
      </c>
      <c r="O53" s="284" t="str">
        <f>IS!O$157</f>
        <v>A</v>
      </c>
      <c r="P53" s="284" t="str">
        <f>IS!P$157</f>
        <v>A</v>
      </c>
      <c r="Q53" s="284" t="str">
        <f>IS!Q$157</f>
        <v>A</v>
      </c>
      <c r="R53" s="284" t="str">
        <f>IS!R$157</f>
        <v>A</v>
      </c>
      <c r="S53" s="284" t="str">
        <f>IS!S$157</f>
        <v>A</v>
      </c>
      <c r="T53" s="284" t="str">
        <f>IS!T$157</f>
        <v>A</v>
      </c>
      <c r="U53" s="284" t="str">
        <f>IS!U$157</f>
        <v>A</v>
      </c>
      <c r="V53" s="284" t="str">
        <f>IS!V$157</f>
        <v>A</v>
      </c>
      <c r="W53" s="284" t="str">
        <f>IS!W$157</f>
        <v>A</v>
      </c>
      <c r="X53" s="284" t="str">
        <f>IS!X$157</f>
        <v>A</v>
      </c>
      <c r="Y53" s="284" t="str">
        <f>IS!Y$157</f>
        <v>A</v>
      </c>
      <c r="Z53" s="284" t="str">
        <f>IS!Z$157</f>
        <v>A</v>
      </c>
      <c r="AA53" s="284" t="str">
        <f>IS!AA$157</f>
        <v>A</v>
      </c>
      <c r="AB53" s="284" t="str">
        <f>IS!AB$157</f>
        <v>A</v>
      </c>
      <c r="AC53" s="284" t="e">
        <f>IS!AC$157</f>
        <v>#NAME?</v>
      </c>
      <c r="AD53" s="284" t="e">
        <f>IS!AD$157</f>
        <v>#NAME?</v>
      </c>
      <c r="AE53" s="284" t="e">
        <f>IS!AE$157</f>
        <v>#NAME?</v>
      </c>
      <c r="AF53" s="284" t="e">
        <f>IS!AF$157</f>
        <v>#NAME?</v>
      </c>
      <c r="AG53" s="284" t="e">
        <f>IS!AG$157</f>
        <v>#NAME?</v>
      </c>
      <c r="AH53" s="284" t="e">
        <f>IS!AH$157</f>
        <v>#NAME?</v>
      </c>
      <c r="AI53" s="284" t="e">
        <f>IS!AI$157</f>
        <v>#NAME?</v>
      </c>
      <c r="AJ53" s="284" t="e">
        <f>IS!AJ$157</f>
        <v>#NAME?</v>
      </c>
      <c r="AK53" s="284" t="e">
        <f>IS!AK$157</f>
        <v>#NAME?</v>
      </c>
      <c r="AL53" s="284" t="e">
        <f>IS!AL$157</f>
        <v>#NAME?</v>
      </c>
      <c r="AM53" s="284" t="e">
        <f>IS!AM$157</f>
        <v>#NAME?</v>
      </c>
      <c r="AN53" s="284" t="e">
        <f>IS!AN$157</f>
        <v>#NAME?</v>
      </c>
      <c r="AO53" s="284" t="e">
        <f>IS!AO$157</f>
        <v>#NAME?</v>
      </c>
      <c r="AP53" s="284" t="e">
        <f>IS!AP$157</f>
        <v>#NAME?</v>
      </c>
      <c r="AQ53" s="284" t="e">
        <f>IS!AQ$157</f>
        <v>#NAME?</v>
      </c>
      <c r="AR53" s="284" t="e">
        <f>IS!AR$157</f>
        <v>#NAME?</v>
      </c>
      <c r="AS53" s="284" t="e">
        <f>IS!AS$157</f>
        <v>#NAME?</v>
      </c>
      <c r="AT53" s="284" t="e">
        <f>IS!AT$157</f>
        <v>#NAME?</v>
      </c>
      <c r="AU53" s="284" t="e">
        <f>IS!AU$157</f>
        <v>#NAME?</v>
      </c>
      <c r="AV53" s="284" t="e">
        <f>IS!AV$157</f>
        <v>#NAME?</v>
      </c>
      <c r="AW53" s="284" t="e">
        <f>IS!AW$157</f>
        <v>#NAME?</v>
      </c>
      <c r="AX53" s="284" t="e">
        <f>IS!AX$157</f>
        <v>#NAME?</v>
      </c>
      <c r="AY53" s="284" t="e">
        <f>IS!AY$157</f>
        <v>#NAME?</v>
      </c>
      <c r="AZ53" s="284" t="e">
        <f>IS!AZ$157</f>
        <v>#NAME?</v>
      </c>
      <c r="BA53" s="284" t="e">
        <f>IS!BA$157</f>
        <v>#NAME?</v>
      </c>
      <c r="BB53" s="284" t="e">
        <f>IS!BB$157</f>
        <v>#NAME?</v>
      </c>
      <c r="BC53" s="284" t="e">
        <f>IS!BC$157</f>
        <v>#NAME?</v>
      </c>
      <c r="BD53" s="284" t="e">
        <f>IS!BD$157</f>
        <v>#NAME?</v>
      </c>
      <c r="BE53" s="284" t="e">
        <f>IS!BE$157</f>
        <v>#NAME?</v>
      </c>
      <c r="BF53" s="284" t="e">
        <f>IS!BF$157</f>
        <v>#NAME?</v>
      </c>
      <c r="BG53" s="284" t="e">
        <f>IS!BG$157</f>
        <v>#NAME?</v>
      </c>
      <c r="BH53" s="284" t="e">
        <f>IS!BH$157</f>
        <v>#NAME?</v>
      </c>
      <c r="BI53" s="284" t="e">
        <f>IS!BI$157</f>
        <v>#NAME?</v>
      </c>
      <c r="BJ53" s="284" t="e">
        <f>IS!BJ$157</f>
        <v>#NAME?</v>
      </c>
      <c r="BK53" s="284" t="e">
        <f>IS!BK$157</f>
        <v>#NAME?</v>
      </c>
      <c r="BL53" s="298"/>
      <c r="BN53" s="284" t="e">
        <f>IS!BM$157</f>
        <v>#NAME?</v>
      </c>
      <c r="BO53" s="284" t="e">
        <f>IS!BN$157</f>
        <v>#NAME?</v>
      </c>
      <c r="BP53" s="284" t="e">
        <f>IS!BO$157</f>
        <v>#NAME?</v>
      </c>
      <c r="BQ53" s="284" t="e">
        <f>IS!BP$157</f>
        <v>#NAME?</v>
      </c>
      <c r="BR53" s="284" t="e">
        <f>IS!BQ$157</f>
        <v>#NAME?</v>
      </c>
      <c r="BS53" s="284" t="e">
        <f>IS!BR$157</f>
        <v>#NAME?</v>
      </c>
      <c r="BT53" s="284" t="e">
        <f>IS!BS$157</f>
        <v>#NAME?</v>
      </c>
      <c r="BU53" s="284" t="e">
        <f>IS!BT$157</f>
        <v>#NAME?</v>
      </c>
      <c r="BV53" s="284" t="e">
        <f>IS!BU$157</f>
        <v>#NAME?</v>
      </c>
      <c r="BW53" s="284" t="e">
        <f>IS!BV$157</f>
        <v>#NAME?</v>
      </c>
      <c r="BX53" s="284" t="e">
        <f>IS!BW$157</f>
        <v>#NAME?</v>
      </c>
      <c r="BY53" s="284" t="e">
        <f>IS!BX$157</f>
        <v>#NAME?</v>
      </c>
      <c r="BZ53" s="284" t="e">
        <f>IS!BY$157</f>
        <v>#NAME?</v>
      </c>
      <c r="CA53" s="284" t="e">
        <f>IS!BZ$157</f>
        <v>#NAME?</v>
      </c>
      <c r="CI53" s="7"/>
      <c r="CJ53" s="7"/>
    </row>
  </sheetData>
  <phoneticPr fontId="31" type="noConversion"/>
  <pageMargins left="0.5" right="0.5" top="0.5" bottom="0.5" header="0.5" footer="0.5"/>
  <pageSetup scale="6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tabColor indexed="51"/>
    <pageSetUpPr fitToPage="1"/>
  </sheetPr>
  <dimension ref="A1:CJ271"/>
  <sheetViews>
    <sheetView showGridLines="0" zoomScale="80" zoomScaleNormal="80" workbookViewId="0">
      <pane xSplit="2" ySplit="7" topLeftCell="C8" activePane="bottomRight" state="frozen"/>
      <selection pane="topRight" activeCell="C1" sqref="C1"/>
      <selection pane="bottomLeft" activeCell="A8" sqref="A8"/>
      <selection pane="bottomRight" activeCell="B4" sqref="B4"/>
    </sheetView>
  </sheetViews>
  <sheetFormatPr defaultRowHeight="14.25" customHeight="1" outlineLevelCol="1"/>
  <cols>
    <col min="1" max="1" width="1.7109375" customWidth="1"/>
    <col min="2" max="2" width="56" style="723" customWidth="1"/>
    <col min="3" max="3" width="1.7109375" customWidth="1"/>
    <col min="4" max="19" width="11.42578125" style="595" hidden="1" customWidth="1" outlineLevel="1"/>
    <col min="20" max="20" width="11.42578125" style="595" hidden="1" customWidth="1" outlineLevel="1" collapsed="1"/>
    <col min="21" max="27" width="11.42578125" style="595" hidden="1" customWidth="1" outlineLevel="1"/>
    <col min="28" max="28" width="11.42578125" hidden="1" customWidth="1" outlineLevel="1" collapsed="1"/>
    <col min="29" max="31" width="11.42578125" hidden="1" customWidth="1" outlineLevel="1"/>
    <col min="32" max="32" width="11.42578125" style="409" hidden="1" customWidth="1" outlineLevel="1" collapsed="1"/>
    <col min="33" max="35" width="11.42578125" style="409" hidden="1" customWidth="1" outlineLevel="1"/>
    <col min="36" max="36" width="12.5703125" style="409" hidden="1" customWidth="1" outlineLevel="1" collapsed="1"/>
    <col min="37" max="37" width="12.5703125" style="409" hidden="1" customWidth="1" outlineLevel="1"/>
    <col min="38" max="39" width="11.42578125" style="409" hidden="1" customWidth="1" outlineLevel="1"/>
    <col min="40" max="40" width="11.42578125" style="409" hidden="1" customWidth="1" outlineLevel="1" collapsed="1"/>
    <col min="41" max="47" width="11.42578125" style="409" hidden="1" customWidth="1" outlineLevel="1"/>
    <col min="48" max="48" width="11.42578125" style="409" customWidth="1" collapsed="1"/>
    <col min="49" max="51" width="11.42578125" style="409" customWidth="1"/>
    <col min="52" max="52" width="11.42578125" style="1627" customWidth="1"/>
    <col min="53" max="59" width="11.42578125" style="409" customWidth="1"/>
    <col min="60" max="63" width="11.42578125" style="409" customWidth="1" outlineLevel="1"/>
    <col min="64" max="64" width="2.7109375" customWidth="1"/>
    <col min="65" max="68" width="11.42578125" hidden="1" customWidth="1" outlineLevel="1"/>
    <col min="69" max="69" width="11.42578125" hidden="1" customWidth="1" outlineLevel="1" collapsed="1"/>
    <col min="70" max="73" width="11.42578125" hidden="1" customWidth="1" outlineLevel="1"/>
    <col min="74" max="74" width="11.42578125" customWidth="1" collapsed="1"/>
    <col min="75" max="80" width="11.42578125" customWidth="1"/>
    <col min="81" max="81" width="13.5703125" customWidth="1"/>
    <col min="87" max="87" width="9.140625" hidden="1" customWidth="1" outlineLevel="1"/>
    <col min="88" max="88" width="9.140625" collapsed="1"/>
  </cols>
  <sheetData>
    <row r="1" spans="1:88" ht="67.5" customHeight="1">
      <c r="A1" s="5"/>
      <c r="B1" s="722"/>
      <c r="C1" s="1"/>
      <c r="D1" s="593"/>
      <c r="E1" s="594"/>
      <c r="F1" s="593"/>
      <c r="G1" s="594"/>
      <c r="H1" s="593"/>
      <c r="I1" s="594"/>
      <c r="J1" s="593"/>
      <c r="K1" s="594"/>
      <c r="L1" s="593"/>
      <c r="M1" s="594"/>
      <c r="N1" s="593"/>
      <c r="O1" s="594"/>
      <c r="P1" s="593"/>
      <c r="Q1" s="594"/>
      <c r="R1" s="593"/>
      <c r="S1" s="594"/>
      <c r="T1" s="1365"/>
      <c r="U1" s="594"/>
      <c r="V1" s="593"/>
      <c r="W1" s="594"/>
      <c r="X1" s="593"/>
      <c r="Y1" s="594"/>
      <c r="Z1" s="593"/>
      <c r="AA1" s="594"/>
      <c r="AB1" s="2"/>
      <c r="AC1" s="1"/>
      <c r="AD1" s="2"/>
      <c r="AE1" s="1"/>
      <c r="AF1" s="407"/>
      <c r="AG1" s="408"/>
      <c r="AH1" s="407"/>
      <c r="AI1" s="408"/>
      <c r="AJ1" s="407"/>
      <c r="AK1" s="408"/>
      <c r="AL1" s="407"/>
      <c r="AM1" s="408"/>
      <c r="AN1" s="408"/>
      <c r="AO1" s="408"/>
      <c r="AP1" s="408"/>
      <c r="AQ1" s="408"/>
      <c r="AR1" s="408"/>
      <c r="AS1" s="408"/>
      <c r="AT1" s="1641"/>
      <c r="AU1" s="408"/>
      <c r="AV1" s="408"/>
      <c r="AW1" s="408"/>
      <c r="AX1" s="408"/>
      <c r="AY1" s="408"/>
      <c r="AZ1" s="1787"/>
      <c r="BA1" s="408"/>
      <c r="BB1" s="408"/>
      <c r="BC1" s="408"/>
      <c r="BD1" s="408"/>
      <c r="BE1" s="408"/>
      <c r="BF1" s="408"/>
      <c r="BG1" s="408"/>
      <c r="BH1" s="408"/>
      <c r="BI1" s="408"/>
      <c r="BJ1" s="408"/>
      <c r="BK1" s="408"/>
      <c r="BL1" s="2"/>
      <c r="BM1" s="2"/>
      <c r="BN1" s="1"/>
      <c r="BO1" s="2"/>
      <c r="BP1" s="1"/>
      <c r="BQ1" s="2"/>
      <c r="BR1" s="1"/>
      <c r="BS1" s="2"/>
      <c r="BT1" s="1"/>
      <c r="BU1" s="2"/>
      <c r="BV1" s="1"/>
      <c r="BW1" s="2"/>
      <c r="BX1" s="1"/>
      <c r="BY1" s="2"/>
      <c r="BZ1" s="1"/>
      <c r="CA1" s="2"/>
      <c r="CB1" s="1"/>
      <c r="CC1" s="2"/>
      <c r="CD1" s="1"/>
      <c r="CE1" s="2"/>
      <c r="CF1" s="1"/>
      <c r="CG1" s="2"/>
      <c r="CH1" s="1"/>
      <c r="CI1" s="2" t="str">
        <f>IF(SUM(BS)&lt;&gt;0,"BS BREAK","")</f>
        <v/>
      </c>
      <c r="CJ1" s="1"/>
    </row>
    <row r="2" spans="1:88" ht="18" customHeight="1">
      <c r="A2" s="1"/>
      <c r="B2" s="4" t="s">
        <v>233</v>
      </c>
      <c r="C2" s="4"/>
      <c r="T2" s="1366"/>
      <c r="U2" s="1366"/>
      <c r="V2" s="1366"/>
      <c r="W2" s="1366"/>
      <c r="X2" s="1366"/>
      <c r="Y2" s="1366"/>
      <c r="Z2" s="1366"/>
      <c r="AA2" s="1366"/>
      <c r="AB2" s="1366"/>
      <c r="AC2" s="1366"/>
      <c r="AD2" s="1366"/>
      <c r="AE2" s="1366"/>
      <c r="AF2" s="1366"/>
      <c r="AG2" s="1366"/>
      <c r="AH2" s="1366"/>
      <c r="AI2" s="1366"/>
      <c r="AJ2" s="1366"/>
      <c r="AK2" s="1366"/>
      <c r="AL2" s="1366"/>
      <c r="AM2" s="1366"/>
      <c r="AN2" s="1366"/>
      <c r="AO2" s="1366"/>
      <c r="AP2" s="1366"/>
      <c r="AQ2" s="1366"/>
      <c r="AR2" s="1366"/>
      <c r="AV2" s="1366"/>
      <c r="AZ2" s="1835"/>
      <c r="BA2" s="1835"/>
    </row>
    <row r="3" spans="1:88" ht="18" customHeight="1">
      <c r="A3" s="1"/>
      <c r="B3" s="4"/>
      <c r="C3" s="4"/>
      <c r="T3" s="1363"/>
      <c r="U3" s="1363"/>
      <c r="V3" s="1363"/>
      <c r="W3" s="1363"/>
      <c r="X3" s="1363"/>
      <c r="Y3" s="1363"/>
      <c r="Z3" s="1363"/>
      <c r="AA3" s="1363"/>
      <c r="AB3" s="1363"/>
      <c r="AC3" s="1363"/>
      <c r="AD3" s="1363"/>
      <c r="AE3" s="1363"/>
      <c r="AF3" s="1363"/>
      <c r="AG3" s="1363"/>
      <c r="AH3" s="1363"/>
      <c r="AI3" s="1363"/>
      <c r="AJ3" s="1363"/>
      <c r="AK3" s="1363"/>
      <c r="AL3" s="1363"/>
      <c r="AM3" s="1363"/>
      <c r="AN3" s="1363"/>
      <c r="AO3" s="1363"/>
      <c r="AP3" s="1363"/>
      <c r="AQ3" s="1363"/>
      <c r="AS3" s="1455"/>
      <c r="AT3" s="1457"/>
      <c r="AU3" s="1484"/>
      <c r="AV3" s="1484"/>
      <c r="AW3" s="1484"/>
      <c r="AX3" s="649"/>
      <c r="BC3" s="1484"/>
      <c r="BD3" s="1484"/>
      <c r="BE3" s="1484"/>
      <c r="BF3" s="1484"/>
      <c r="BG3" s="1843"/>
      <c r="BH3" s="1843"/>
      <c r="BI3" s="1843"/>
      <c r="BJ3" s="1843"/>
      <c r="BK3" s="1843"/>
    </row>
    <row r="4" spans="1:88" ht="14.25" customHeight="1">
      <c r="T4" s="1364"/>
      <c r="U4" s="1364"/>
      <c r="V4" s="1364"/>
      <c r="W4" s="1364"/>
      <c r="X4" s="1364"/>
      <c r="Y4" s="1364"/>
      <c r="Z4" s="1364"/>
      <c r="AA4" s="1364"/>
      <c r="AB4" s="1364"/>
      <c r="AC4" s="1364"/>
      <c r="AD4" s="1364"/>
      <c r="AE4" s="1364"/>
      <c r="AF4" s="1364"/>
      <c r="AG4" s="1364"/>
      <c r="AH4" s="1364"/>
      <c r="AI4" s="1364"/>
      <c r="AJ4" s="1364"/>
      <c r="AK4" s="1364"/>
      <c r="AL4" s="1364"/>
      <c r="AM4" s="1364"/>
      <c r="AN4" s="1364"/>
      <c r="AO4" s="1364"/>
      <c r="AP4" s="1364"/>
      <c r="AQ4" s="1364"/>
      <c r="AR4" s="1364"/>
      <c r="AS4" s="1364"/>
      <c r="AT4" s="1364"/>
      <c r="AU4" s="1485"/>
      <c r="AV4" s="1485"/>
      <c r="AW4" s="1364"/>
      <c r="AX4" s="1364"/>
      <c r="AY4" s="1364"/>
      <c r="AZ4" s="1788"/>
      <c r="BA4" s="1364"/>
      <c r="BB4" s="1364"/>
      <c r="BC4" s="1364"/>
      <c r="BD4" s="1364"/>
      <c r="BE4" s="1364"/>
      <c r="BF4" s="1364"/>
      <c r="BG4" s="1364"/>
      <c r="BH4" s="1364"/>
      <c r="BI4" s="1364"/>
      <c r="BJ4" s="1364"/>
      <c r="BK4" s="1364"/>
      <c r="BW4" s="1074"/>
      <c r="CI4" s="7" t="s">
        <v>191</v>
      </c>
    </row>
    <row r="5" spans="1:88" ht="14.25" customHeight="1">
      <c r="A5" s="1"/>
      <c r="B5" s="724" t="s">
        <v>235</v>
      </c>
      <c r="C5" s="379"/>
      <c r="D5" s="469" t="str">
        <f>IS!D4</f>
        <v>C1Q05A</v>
      </c>
      <c r="E5" s="469" t="str">
        <f>IS!E4</f>
        <v>C2Q05A</v>
      </c>
      <c r="F5" s="469" t="str">
        <f>IS!F4</f>
        <v>C3Q05A</v>
      </c>
      <c r="G5" s="470" t="str">
        <f>IS!G4</f>
        <v>C4Q05A</v>
      </c>
      <c r="H5" s="468" t="str">
        <f>IS!H4</f>
        <v>C1Q06A</v>
      </c>
      <c r="I5" s="469" t="str">
        <f>IS!I4</f>
        <v>C2Q06A</v>
      </c>
      <c r="J5" s="469" t="str">
        <f>IS!J4</f>
        <v>C3Q06A</v>
      </c>
      <c r="K5" s="469" t="str">
        <f>IS!K4</f>
        <v>C4Q06A</v>
      </c>
      <c r="L5" s="468" t="str">
        <f>IS!L4</f>
        <v>C1Q07A</v>
      </c>
      <c r="M5" s="469" t="str">
        <f>IS!M4</f>
        <v>C2Q07A</v>
      </c>
      <c r="N5" s="469" t="str">
        <f>IS!N4</f>
        <v>C3Q07A</v>
      </c>
      <c r="O5" s="470" t="str">
        <f>IS!O4</f>
        <v>C4Q07A</v>
      </c>
      <c r="P5" s="468" t="str">
        <f>IS!P4</f>
        <v>C1Q08A</v>
      </c>
      <c r="Q5" s="469" t="str">
        <f>IS!Q4</f>
        <v>C2Q08A</v>
      </c>
      <c r="R5" s="469" t="str">
        <f>IS!R4</f>
        <v>C3Q08A</v>
      </c>
      <c r="S5" s="470" t="str">
        <f>IS!S4</f>
        <v>C4Q08A</v>
      </c>
      <c r="T5" s="468" t="str">
        <f>IS!T4</f>
        <v>C1Q09A</v>
      </c>
      <c r="U5" s="469" t="str">
        <f>IS!U4</f>
        <v>C2Q09A</v>
      </c>
      <c r="V5" s="469" t="str">
        <f>IS!V4</f>
        <v>C3Q09A</v>
      </c>
      <c r="W5" s="470" t="str">
        <f>IS!W4</f>
        <v>C4Q09A</v>
      </c>
      <c r="X5" s="468" t="str">
        <f>IS!X4</f>
        <v>C1Q10A</v>
      </c>
      <c r="Y5" s="469" t="str">
        <f>IS!Y4</f>
        <v>C2Q10A</v>
      </c>
      <c r="Z5" s="469" t="str">
        <f>IS!Z4</f>
        <v>C3Q10A</v>
      </c>
      <c r="AA5" s="470" t="str">
        <f>IS!AA4</f>
        <v>C4Q10A</v>
      </c>
      <c r="AB5" s="468" t="str">
        <f>IS!AB4</f>
        <v>C1Q11A</v>
      </c>
      <c r="AC5" s="469" t="str">
        <f>IS!AC4</f>
        <v>C2Q11A</v>
      </c>
      <c r="AD5" s="469" t="str">
        <f>IS!AD4</f>
        <v>C3Q11A</v>
      </c>
      <c r="AE5" s="470" t="str">
        <f>IS!AE4</f>
        <v>C4Q11A</v>
      </c>
      <c r="AF5" s="468" t="str">
        <f>IS!AF4</f>
        <v>C1Q12A</v>
      </c>
      <c r="AG5" s="469" t="str">
        <f>IS!AG4</f>
        <v>C2Q12A</v>
      </c>
      <c r="AH5" s="469" t="str">
        <f>IS!AH4</f>
        <v>C3Q12A</v>
      </c>
      <c r="AI5" s="470" t="str">
        <f>IS!AI4</f>
        <v>C4Q12A</v>
      </c>
      <c r="AJ5" s="468" t="str">
        <f>IS!AJ4</f>
        <v>C1Q13A</v>
      </c>
      <c r="AK5" s="469" t="str">
        <f>IS!AK4</f>
        <v>C2Q13A</v>
      </c>
      <c r="AL5" s="469" t="str">
        <f>IS!AL4</f>
        <v>C3Q13A</v>
      </c>
      <c r="AM5" s="470" t="str">
        <f>IS!AM4</f>
        <v>C4Q13A</v>
      </c>
      <c r="AN5" s="468" t="str">
        <f>IS!AN4</f>
        <v>C1Q14A</v>
      </c>
      <c r="AO5" s="469" t="str">
        <f>IS!AO4</f>
        <v>C2Q14A</v>
      </c>
      <c r="AP5" s="469" t="str">
        <f>IS!AP4</f>
        <v>C3Q14A</v>
      </c>
      <c r="AQ5" s="470" t="str">
        <f>IS!AQ4</f>
        <v>C4Q14A</v>
      </c>
      <c r="AR5" s="468" t="str">
        <f>IS!AR4</f>
        <v>C1Q15A</v>
      </c>
      <c r="AS5" s="469" t="str">
        <f>IS!AS4</f>
        <v>C2Q15A</v>
      </c>
      <c r="AT5" s="469" t="str">
        <f>IS!AT4</f>
        <v>C3Q15A</v>
      </c>
      <c r="AU5" s="470" t="str">
        <f>IS!AU4</f>
        <v>C4Q15A</v>
      </c>
      <c r="AV5" s="468" t="str">
        <f>IS!AV4</f>
        <v>C1Q16A</v>
      </c>
      <c r="AW5" s="469" t="str">
        <f>IS!AW4</f>
        <v>C2Q16A</v>
      </c>
      <c r="AX5" s="469" t="str">
        <f>IS!AX4</f>
        <v>C3Q16A</v>
      </c>
      <c r="AY5" s="470" t="str">
        <f>IS!AY4</f>
        <v>C4Q16A</v>
      </c>
      <c r="AZ5" s="468" t="s">
        <v>602</v>
      </c>
      <c r="BA5" s="469" t="str">
        <f>IS!BA4</f>
        <v>C2Q17A</v>
      </c>
      <c r="BB5" s="469" t="str">
        <f>IS!BB4</f>
        <v>C3Q17A</v>
      </c>
      <c r="BC5" s="469" t="str">
        <f>IS!BC4</f>
        <v>C4Q17A</v>
      </c>
      <c r="BD5" s="468" t="str">
        <f>IS!BD4</f>
        <v>C1Q18A</v>
      </c>
      <c r="BE5" s="469" t="str">
        <f>IS!BE4</f>
        <v>C2Q18E</v>
      </c>
      <c r="BF5" s="469" t="str">
        <f>IS!BF4</f>
        <v>C3Q18E</v>
      </c>
      <c r="BG5" s="470" t="str">
        <f>IS!BG4</f>
        <v>C4Q18E</v>
      </c>
      <c r="BH5" s="468" t="str">
        <f>IS!BH4</f>
        <v>C1Q19A</v>
      </c>
      <c r="BI5" s="469" t="str">
        <f>IS!BI4</f>
        <v>C2Q19E</v>
      </c>
      <c r="BJ5" s="469" t="str">
        <f>IS!BJ4</f>
        <v>C3Q19E</v>
      </c>
      <c r="BK5" s="470" t="str">
        <f>IS!BK4</f>
        <v>C4Q19E</v>
      </c>
      <c r="BL5" s="1"/>
      <c r="BM5" s="1"/>
      <c r="BN5" s="1"/>
      <c r="BO5" s="1"/>
      <c r="BP5" s="1"/>
      <c r="BQ5" s="1"/>
      <c r="BR5" s="6"/>
      <c r="BS5" s="6"/>
      <c r="BT5" s="1"/>
      <c r="BU5" s="1"/>
      <c r="BV5" s="1"/>
      <c r="BW5" s="1"/>
      <c r="BX5" s="1509"/>
      <c r="BY5" s="1509"/>
      <c r="BZ5" s="1"/>
      <c r="CA5" s="1"/>
      <c r="CI5" s="7"/>
      <c r="CJ5" s="7"/>
    </row>
    <row r="6" spans="1:88" ht="14.25" customHeight="1">
      <c r="A6" s="1"/>
      <c r="B6" s="725" t="s">
        <v>190</v>
      </c>
      <c r="C6" s="290"/>
      <c r="D6" s="469">
        <f>IS!D5</f>
        <v>38442</v>
      </c>
      <c r="E6" s="469">
        <f>IS!E5</f>
        <v>38533</v>
      </c>
      <c r="F6" s="469">
        <f>IS!F5</f>
        <v>38625</v>
      </c>
      <c r="G6" s="470">
        <f>IS!G5</f>
        <v>38717</v>
      </c>
      <c r="H6" s="468">
        <f>IS!H5</f>
        <v>38807</v>
      </c>
      <c r="I6" s="469">
        <f>IS!I5</f>
        <v>38898</v>
      </c>
      <c r="J6" s="469">
        <f>IS!J5</f>
        <v>38990</v>
      </c>
      <c r="K6" s="469">
        <f>IS!K5</f>
        <v>39082</v>
      </c>
      <c r="L6" s="468">
        <f>IS!L5</f>
        <v>39172</v>
      </c>
      <c r="M6" s="469">
        <f>IS!M5</f>
        <v>39263</v>
      </c>
      <c r="N6" s="469">
        <f>IS!N5</f>
        <v>39355</v>
      </c>
      <c r="O6" s="470">
        <f>IS!O5</f>
        <v>39447</v>
      </c>
      <c r="P6" s="468">
        <f>IS!P5</f>
        <v>39538</v>
      </c>
      <c r="Q6" s="469">
        <f>IS!Q5</f>
        <v>39629</v>
      </c>
      <c r="R6" s="469">
        <f>IS!R5</f>
        <v>39721</v>
      </c>
      <c r="S6" s="470">
        <f>IS!S5</f>
        <v>39813</v>
      </c>
      <c r="T6" s="468">
        <f>IS!T5</f>
        <v>39903</v>
      </c>
      <c r="U6" s="469">
        <f>IS!U5</f>
        <v>39994</v>
      </c>
      <c r="V6" s="469">
        <f>IS!V5</f>
        <v>40086</v>
      </c>
      <c r="W6" s="470">
        <f>IS!W5</f>
        <v>40178</v>
      </c>
      <c r="X6" s="468">
        <f>IS!X5</f>
        <v>40268</v>
      </c>
      <c r="Y6" s="469">
        <f>IS!Y5</f>
        <v>40359</v>
      </c>
      <c r="Z6" s="469">
        <f>IS!Z5</f>
        <v>40451</v>
      </c>
      <c r="AA6" s="470">
        <f>IS!AA5</f>
        <v>40543</v>
      </c>
      <c r="AB6" s="468">
        <f>IS!AB5</f>
        <v>40633</v>
      </c>
      <c r="AC6" s="469">
        <f>IS!AC5</f>
        <v>40724</v>
      </c>
      <c r="AD6" s="469">
        <f>IS!AD5</f>
        <v>40816</v>
      </c>
      <c r="AE6" s="470">
        <f>IS!AE5</f>
        <v>40908</v>
      </c>
      <c r="AF6" s="468">
        <f>IS!AF5</f>
        <v>40999</v>
      </c>
      <c r="AG6" s="469">
        <f>IS!AG5</f>
        <v>41090</v>
      </c>
      <c r="AH6" s="469">
        <f>IS!AH5</f>
        <v>41182</v>
      </c>
      <c r="AI6" s="470">
        <f>IS!AI5</f>
        <v>41274</v>
      </c>
      <c r="AJ6" s="468">
        <f>IS!AJ5</f>
        <v>41364</v>
      </c>
      <c r="AK6" s="469">
        <f>IS!AK5</f>
        <v>41455</v>
      </c>
      <c r="AL6" s="469">
        <f>IS!AL5</f>
        <v>41547</v>
      </c>
      <c r="AM6" s="470">
        <f>IS!AM5</f>
        <v>41639</v>
      </c>
      <c r="AN6" s="468">
        <f>IS!AN5</f>
        <v>41729</v>
      </c>
      <c r="AO6" s="469">
        <f>IS!AO5</f>
        <v>41820</v>
      </c>
      <c r="AP6" s="469">
        <f>IS!AP5</f>
        <v>41912</v>
      </c>
      <c r="AQ6" s="470">
        <f>IS!AQ5</f>
        <v>42004</v>
      </c>
      <c r="AR6" s="468">
        <f>IS!AR5</f>
        <v>42094</v>
      </c>
      <c r="AS6" s="469">
        <f>IS!AS5</f>
        <v>42185</v>
      </c>
      <c r="AT6" s="469">
        <f>IS!AT5</f>
        <v>42277</v>
      </c>
      <c r="AU6" s="470">
        <f>IS!AU5</f>
        <v>42369</v>
      </c>
      <c r="AV6" s="468">
        <f>IS!AV5</f>
        <v>42460</v>
      </c>
      <c r="AW6" s="469">
        <f>IS!AW5</f>
        <v>42551</v>
      </c>
      <c r="AX6" s="469">
        <f>IS!AX5</f>
        <v>42643</v>
      </c>
      <c r="AY6" s="470">
        <f>IS!AY5</f>
        <v>42735</v>
      </c>
      <c r="AZ6" s="1828">
        <v>42825</v>
      </c>
      <c r="BA6" s="1827">
        <f>IS!BA5</f>
        <v>42916</v>
      </c>
      <c r="BB6" s="1827">
        <f>IS!BB5</f>
        <v>43008</v>
      </c>
      <c r="BC6" s="1827">
        <f>IS!BC5</f>
        <v>43100</v>
      </c>
      <c r="BD6" s="468">
        <f>IS!BD5</f>
        <v>43190</v>
      </c>
      <c r="BE6" s="469">
        <f>IS!BE5</f>
        <v>43281</v>
      </c>
      <c r="BF6" s="469">
        <f>IS!BF5</f>
        <v>43373</v>
      </c>
      <c r="BG6" s="470">
        <f>IS!BG5</f>
        <v>43465</v>
      </c>
      <c r="BH6" s="468">
        <f>IS!BH5</f>
        <v>43555</v>
      </c>
      <c r="BI6" s="469">
        <f>IS!BI5</f>
        <v>43646</v>
      </c>
      <c r="BJ6" s="469">
        <f>IS!BJ5</f>
        <v>43738</v>
      </c>
      <c r="BK6" s="470">
        <f>IS!BK5</f>
        <v>43830</v>
      </c>
      <c r="BL6" s="13"/>
      <c r="BM6" s="7"/>
      <c r="BN6" s="7"/>
      <c r="BO6" s="7"/>
      <c r="BP6" s="7"/>
      <c r="BQ6" s="7"/>
      <c r="BR6" s="7"/>
      <c r="BS6" s="7"/>
      <c r="BT6" s="7"/>
      <c r="BU6" s="7"/>
      <c r="BV6" s="7"/>
      <c r="BW6" s="7"/>
      <c r="BX6" s="7"/>
      <c r="BY6" s="7"/>
      <c r="BZ6" s="7"/>
      <c r="CA6" s="7"/>
      <c r="CI6" s="7"/>
      <c r="CJ6" s="7"/>
    </row>
    <row r="7" spans="1:88" ht="14.25" customHeight="1">
      <c r="A7" s="1"/>
      <c r="B7" s="726"/>
      <c r="C7" s="291"/>
      <c r="D7" s="472" t="str">
        <f>IS!D6</f>
        <v>F1Q05A</v>
      </c>
      <c r="E7" s="472" t="str">
        <f>IS!E6</f>
        <v>F2Q05A</v>
      </c>
      <c r="F7" s="472" t="str">
        <f>IS!F6</f>
        <v>F3Q05A</v>
      </c>
      <c r="G7" s="473" t="str">
        <f>IS!G6</f>
        <v>F4Q05A</v>
      </c>
      <c r="H7" s="471" t="str">
        <f>IS!H6</f>
        <v>F1Q06A</v>
      </c>
      <c r="I7" s="472" t="str">
        <f>IS!I6</f>
        <v>F2Q06A</v>
      </c>
      <c r="J7" s="472" t="str">
        <f>IS!J6</f>
        <v>F3Q06A</v>
      </c>
      <c r="K7" s="472" t="str">
        <f>IS!K6</f>
        <v>F4Q06A</v>
      </c>
      <c r="L7" s="471" t="str">
        <f>IS!L6</f>
        <v>F1Q07A</v>
      </c>
      <c r="M7" s="472" t="str">
        <f>IS!M6</f>
        <v>F2Q07A</v>
      </c>
      <c r="N7" s="472" t="str">
        <f>IS!N6</f>
        <v>F3Q07A</v>
      </c>
      <c r="O7" s="473" t="str">
        <f>IS!O6</f>
        <v>F4Q07A</v>
      </c>
      <c r="P7" s="471" t="str">
        <f>IS!P6</f>
        <v>F1Q08A</v>
      </c>
      <c r="Q7" s="472" t="str">
        <f>IS!Q6</f>
        <v>F2Q08A</v>
      </c>
      <c r="R7" s="472" t="str">
        <f>IS!R6</f>
        <v>F3Q08A</v>
      </c>
      <c r="S7" s="473" t="str">
        <f>IS!S6</f>
        <v>F4Q08A</v>
      </c>
      <c r="T7" s="471" t="str">
        <f>IS!T6</f>
        <v>F1Q09A</v>
      </c>
      <c r="U7" s="472" t="str">
        <f>IS!U6</f>
        <v>F2Q09A</v>
      </c>
      <c r="V7" s="472" t="str">
        <f>IS!V6</f>
        <v>F3Q09A</v>
      </c>
      <c r="W7" s="473" t="str">
        <f>IS!W6</f>
        <v>F4Q09A</v>
      </c>
      <c r="X7" s="471" t="str">
        <f>IS!X6</f>
        <v>F1Q10A</v>
      </c>
      <c r="Y7" s="472" t="str">
        <f>IS!Y6</f>
        <v>F2Q10A</v>
      </c>
      <c r="Z7" s="472" t="str">
        <f>IS!Z6</f>
        <v>F3Q10A</v>
      </c>
      <c r="AA7" s="473" t="str">
        <f>IS!AA6</f>
        <v>F4Q10A</v>
      </c>
      <c r="AB7" s="471" t="str">
        <f>IS!AB6</f>
        <v>F1Q11A</v>
      </c>
      <c r="AC7" s="472" t="str">
        <f>IS!AC6</f>
        <v>F2Q11A</v>
      </c>
      <c r="AD7" s="472" t="str">
        <f>IS!AD6</f>
        <v>F3Q11A</v>
      </c>
      <c r="AE7" s="473" t="str">
        <f>IS!AE6</f>
        <v>F4Q11A</v>
      </c>
      <c r="AF7" s="471" t="str">
        <f>IS!AF6</f>
        <v>F1Q12A</v>
      </c>
      <c r="AG7" s="472" t="str">
        <f>IS!AG6</f>
        <v>F2Q12A</v>
      </c>
      <c r="AH7" s="472" t="str">
        <f>IS!AH6</f>
        <v>F3Q12A</v>
      </c>
      <c r="AI7" s="473" t="str">
        <f>IS!AI6</f>
        <v>F4Q12A</v>
      </c>
      <c r="AJ7" s="471" t="str">
        <f>IS!AJ6</f>
        <v>F1Q13A</v>
      </c>
      <c r="AK7" s="472" t="str">
        <f>IS!AK6</f>
        <v>F2Q13A</v>
      </c>
      <c r="AL7" s="472" t="str">
        <f>IS!AL6</f>
        <v>F3Q13A</v>
      </c>
      <c r="AM7" s="473" t="str">
        <f>IS!AM6</f>
        <v>F4Q13A</v>
      </c>
      <c r="AN7" s="471" t="str">
        <f>IS!AN6</f>
        <v>F1Q14A</v>
      </c>
      <c r="AO7" s="472" t="str">
        <f>IS!AO6</f>
        <v>F2Q14A</v>
      </c>
      <c r="AP7" s="472" t="str">
        <f>IS!AP6</f>
        <v>F3Q14A</v>
      </c>
      <c r="AQ7" s="473" t="str">
        <f>IS!AQ6</f>
        <v>F4Q14A</v>
      </c>
      <c r="AR7" s="471" t="str">
        <f>IS!AR6</f>
        <v>F1Q15A</v>
      </c>
      <c r="AS7" s="472" t="str">
        <f>IS!AS6</f>
        <v>F2Q15A</v>
      </c>
      <c r="AT7" s="472" t="str">
        <f>IS!AT6</f>
        <v>F3Q15A</v>
      </c>
      <c r="AU7" s="473" t="str">
        <f>IS!AU6</f>
        <v>F4Q15A</v>
      </c>
      <c r="AV7" s="471" t="str">
        <f>IS!AV6</f>
        <v>F1Q16A</v>
      </c>
      <c r="AW7" s="472" t="str">
        <f>IS!AW6</f>
        <v>C2Q16A</v>
      </c>
      <c r="AX7" s="472" t="str">
        <f>IS!AX6</f>
        <v>F3Q16A</v>
      </c>
      <c r="AY7" s="473" t="str">
        <f>IS!AY6</f>
        <v>F4Q16A</v>
      </c>
      <c r="AZ7" s="471" t="str">
        <f>IS!AZ6</f>
        <v>F1Q17A</v>
      </c>
      <c r="BA7" s="1152" t="str">
        <f>IS!BA6</f>
        <v>C2Q17A</v>
      </c>
      <c r="BB7" s="472" t="str">
        <f>IS!BB6</f>
        <v>C3Q17A</v>
      </c>
      <c r="BC7" s="473" t="str">
        <f>IS!BC6</f>
        <v>F4Q17A</v>
      </c>
      <c r="BD7" s="471" t="str">
        <f>IS!BD6</f>
        <v>F1Q18A</v>
      </c>
      <c r="BE7" s="472" t="str">
        <f>IS!BE6</f>
        <v>F2Q18E</v>
      </c>
      <c r="BF7" s="472" t="str">
        <f>IS!BF6</f>
        <v>F3Q18E</v>
      </c>
      <c r="BG7" s="473" t="str">
        <f>IS!BG6</f>
        <v>F4Q18E</v>
      </c>
      <c r="BH7" s="471" t="str">
        <f>IS!BH6</f>
        <v>F1Q19E</v>
      </c>
      <c r="BI7" s="472" t="str">
        <f>IS!BI6</f>
        <v>F2Q19E</v>
      </c>
      <c r="BJ7" s="472" t="str">
        <f>IS!BJ6</f>
        <v>F3Q19E</v>
      </c>
      <c r="BK7" s="473" t="str">
        <f>IS!BK6</f>
        <v>F4Q19E</v>
      </c>
      <c r="BL7" s="244"/>
      <c r="BM7" s="471" t="str">
        <f>IS!BM6</f>
        <v>FY2005A</v>
      </c>
      <c r="BN7" s="472" t="str">
        <f>IS!BN6</f>
        <v>FY2006A</v>
      </c>
      <c r="BO7" s="472" t="str">
        <f>IS!BO6</f>
        <v>FY2007A</v>
      </c>
      <c r="BP7" s="472" t="str">
        <f>IS!BP6</f>
        <v>FY2008A</v>
      </c>
      <c r="BQ7" s="472" t="str">
        <f>IS!BQ6</f>
        <v>FY2009A</v>
      </c>
      <c r="BR7" s="1152" t="str">
        <f>IS!BR6</f>
        <v>FY2010A</v>
      </c>
      <c r="BS7" s="1152" t="str">
        <f>IS!BS6</f>
        <v>FY2011A</v>
      </c>
      <c r="BT7" s="1152" t="str">
        <f>IS!BT6</f>
        <v>FY2012A</v>
      </c>
      <c r="BU7" s="1032" t="str">
        <f>IS!BU6</f>
        <v>FY2013A</v>
      </c>
      <c r="BV7" s="1037" t="str">
        <f>IS!BV6</f>
        <v>FY2014A</v>
      </c>
      <c r="BW7" s="472" t="str">
        <f>IS!BW6</f>
        <v>FY2015A</v>
      </c>
      <c r="BX7" s="472" t="str">
        <f>IS!BX6</f>
        <v>FY2016A</v>
      </c>
      <c r="BY7" s="472" t="str">
        <f>IS!BY6</f>
        <v>FY2017A</v>
      </c>
      <c r="BZ7" s="472" t="str">
        <f>IS!BZ6</f>
        <v>FY2018E</v>
      </c>
      <c r="CA7" s="473" t="str">
        <f>IS!CA6</f>
        <v>FY2019E</v>
      </c>
      <c r="CB7" s="333"/>
      <c r="CI7" s="7"/>
      <c r="CJ7" s="7"/>
    </row>
    <row r="8" spans="1:88" s="7" customFormat="1" ht="14.25" customHeight="1">
      <c r="B8" s="727" t="s">
        <v>395</v>
      </c>
      <c r="C8" s="687"/>
      <c r="D8" s="689"/>
      <c r="E8" s="689"/>
      <c r="F8" s="689"/>
      <c r="G8" s="690"/>
      <c r="H8" s="688"/>
      <c r="I8" s="689"/>
      <c r="J8" s="689"/>
      <c r="K8" s="689"/>
      <c r="L8" s="688"/>
      <c r="M8" s="689"/>
      <c r="N8" s="689"/>
      <c r="O8" s="690"/>
      <c r="P8" s="688"/>
      <c r="Q8" s="689"/>
      <c r="R8" s="689"/>
      <c r="S8" s="691"/>
      <c r="T8" s="1051" t="str">
        <f t="shared" ref="T8:AE8" si="0">+T$7</f>
        <v>F1Q09A</v>
      </c>
      <c r="U8" s="1051" t="str">
        <f t="shared" si="0"/>
        <v>F2Q09A</v>
      </c>
      <c r="V8" s="1051" t="str">
        <f t="shared" si="0"/>
        <v>F3Q09A</v>
      </c>
      <c r="W8" s="1052" t="str">
        <f t="shared" si="0"/>
        <v>F4Q09A</v>
      </c>
      <c r="X8" s="1053" t="str">
        <f t="shared" si="0"/>
        <v>F1Q10A</v>
      </c>
      <c r="Y8" s="1053" t="str">
        <f t="shared" si="0"/>
        <v>F2Q10A</v>
      </c>
      <c r="Z8" s="1053" t="str">
        <f t="shared" si="0"/>
        <v>F3Q10A</v>
      </c>
      <c r="AA8" s="1052" t="str">
        <f t="shared" si="0"/>
        <v>F4Q10A</v>
      </c>
      <c r="AB8" s="1053" t="str">
        <f t="shared" si="0"/>
        <v>F1Q11A</v>
      </c>
      <c r="AC8" s="1053" t="str">
        <f t="shared" si="0"/>
        <v>F2Q11A</v>
      </c>
      <c r="AD8" s="1053" t="str">
        <f t="shared" si="0"/>
        <v>F3Q11A</v>
      </c>
      <c r="AE8" s="1052" t="str">
        <f t="shared" si="0"/>
        <v>F4Q11A</v>
      </c>
      <c r="AF8" s="1051" t="str">
        <f>+AF$7</f>
        <v>F1Q12A</v>
      </c>
      <c r="AG8" s="1051" t="str">
        <f t="shared" ref="AG8:BK8" si="1">+AG$7</f>
        <v>F2Q12A</v>
      </c>
      <c r="AH8" s="1051" t="str">
        <f t="shared" si="1"/>
        <v>F3Q12A</v>
      </c>
      <c r="AI8" s="1052" t="str">
        <f t="shared" si="1"/>
        <v>F4Q12A</v>
      </c>
      <c r="AJ8" s="1053" t="str">
        <f t="shared" si="1"/>
        <v>F1Q13A</v>
      </c>
      <c r="AK8" s="1053" t="str">
        <f t="shared" si="1"/>
        <v>F2Q13A</v>
      </c>
      <c r="AL8" s="1053" t="str">
        <f t="shared" si="1"/>
        <v>F3Q13A</v>
      </c>
      <c r="AM8" s="1052" t="str">
        <f t="shared" si="1"/>
        <v>F4Q13A</v>
      </c>
      <c r="AN8" s="1053" t="str">
        <f t="shared" si="1"/>
        <v>F1Q14A</v>
      </c>
      <c r="AO8" s="1053" t="str">
        <f t="shared" si="1"/>
        <v>F2Q14A</v>
      </c>
      <c r="AP8" s="1053" t="str">
        <f t="shared" si="1"/>
        <v>F3Q14A</v>
      </c>
      <c r="AQ8" s="1052" t="str">
        <f t="shared" si="1"/>
        <v>F4Q14A</v>
      </c>
      <c r="AR8" s="1053" t="str">
        <f t="shared" si="1"/>
        <v>F1Q15A</v>
      </c>
      <c r="AS8" s="1053" t="str">
        <f t="shared" si="1"/>
        <v>F2Q15A</v>
      </c>
      <c r="AT8" s="1053" t="str">
        <f t="shared" si="1"/>
        <v>F3Q15A</v>
      </c>
      <c r="AU8" s="1052" t="str">
        <f t="shared" si="1"/>
        <v>F4Q15A</v>
      </c>
      <c r="AV8" s="1053" t="str">
        <f t="shared" si="1"/>
        <v>F1Q16A</v>
      </c>
      <c r="AW8" s="1053" t="str">
        <f t="shared" si="1"/>
        <v>C2Q16A</v>
      </c>
      <c r="AX8" s="1053" t="str">
        <f t="shared" si="1"/>
        <v>F3Q16A</v>
      </c>
      <c r="AY8" s="1682" t="str">
        <f t="shared" si="1"/>
        <v>F4Q16A</v>
      </c>
      <c r="AZ8" s="1829" t="str">
        <f t="shared" si="1"/>
        <v>F1Q17A</v>
      </c>
      <c r="BA8" s="1830" t="str">
        <f t="shared" si="1"/>
        <v>C2Q17A</v>
      </c>
      <c r="BB8" s="1831" t="str">
        <f t="shared" si="1"/>
        <v>C3Q17A</v>
      </c>
      <c r="BC8" s="1832" t="str">
        <f t="shared" si="1"/>
        <v>F4Q17A</v>
      </c>
      <c r="BD8" s="1716" t="str">
        <f t="shared" si="1"/>
        <v>F1Q18A</v>
      </c>
      <c r="BE8" s="1053" t="str">
        <f t="shared" si="1"/>
        <v>F2Q18E</v>
      </c>
      <c r="BF8" s="1053" t="str">
        <f t="shared" si="1"/>
        <v>F3Q18E</v>
      </c>
      <c r="BG8" s="1052" t="str">
        <f t="shared" si="1"/>
        <v>F4Q18E</v>
      </c>
      <c r="BH8" s="1716" t="str">
        <f t="shared" si="1"/>
        <v>F1Q19E</v>
      </c>
      <c r="BI8" s="1053" t="str">
        <f t="shared" si="1"/>
        <v>F2Q19E</v>
      </c>
      <c r="BJ8" s="1053" t="str">
        <f t="shared" si="1"/>
        <v>F3Q19E</v>
      </c>
      <c r="BK8" s="1052" t="str">
        <f t="shared" si="1"/>
        <v>F4Q19E</v>
      </c>
      <c r="BL8" s="311"/>
      <c r="BM8" s="1336" t="str">
        <f t="shared" ref="BM8:BP8" si="2">+BM$7</f>
        <v>FY2005A</v>
      </c>
      <c r="BN8" s="1336" t="str">
        <f t="shared" si="2"/>
        <v>FY2006A</v>
      </c>
      <c r="BO8" s="1336" t="str">
        <f t="shared" si="2"/>
        <v>FY2007A</v>
      </c>
      <c r="BP8" s="1336" t="str">
        <f t="shared" si="2"/>
        <v>FY2008A</v>
      </c>
      <c r="BQ8" s="1336" t="str">
        <f t="shared" ref="BQ8:CA8" si="3">+BQ$7</f>
        <v>FY2009A</v>
      </c>
      <c r="BR8" s="1336" t="str">
        <f t="shared" si="3"/>
        <v>FY2010A</v>
      </c>
      <c r="BS8" s="1336" t="str">
        <f t="shared" si="3"/>
        <v>FY2011A</v>
      </c>
      <c r="BT8" s="1336" t="str">
        <f t="shared" si="3"/>
        <v>FY2012A</v>
      </c>
      <c r="BU8" s="1336" t="str">
        <f t="shared" si="3"/>
        <v>FY2013A</v>
      </c>
      <c r="BV8" s="1937" t="str">
        <f t="shared" si="3"/>
        <v>FY2014A</v>
      </c>
      <c r="BW8" s="1336" t="str">
        <f t="shared" si="3"/>
        <v>FY2015A</v>
      </c>
      <c r="BX8" s="1336" t="str">
        <f t="shared" si="3"/>
        <v>FY2016A</v>
      </c>
      <c r="BY8" s="1336" t="str">
        <f t="shared" si="3"/>
        <v>FY2017A</v>
      </c>
      <c r="BZ8" s="1336" t="str">
        <f t="shared" si="3"/>
        <v>FY2018E</v>
      </c>
      <c r="CA8" s="1672" t="str">
        <f t="shared" si="3"/>
        <v>FY2019E</v>
      </c>
      <c r="CB8" s="13"/>
    </row>
    <row r="9" spans="1:88" s="7" customFormat="1" ht="14.25" customHeight="1">
      <c r="B9" s="656"/>
      <c r="C9" s="287"/>
      <c r="D9" s="519"/>
      <c r="E9" s="519"/>
      <c r="F9" s="519"/>
      <c r="G9" s="520"/>
      <c r="H9" s="518"/>
      <c r="I9" s="519"/>
      <c r="J9" s="519"/>
      <c r="K9" s="519"/>
      <c r="L9" s="518"/>
      <c r="M9" s="519"/>
      <c r="N9" s="519"/>
      <c r="O9" s="520"/>
      <c r="P9" s="518"/>
      <c r="Q9" s="519"/>
      <c r="R9" s="519"/>
      <c r="S9" s="520"/>
      <c r="T9" s="519"/>
      <c r="U9" s="519"/>
      <c r="V9" s="519"/>
      <c r="W9" s="596"/>
      <c r="X9" s="519"/>
      <c r="Y9" s="519"/>
      <c r="Z9" s="519"/>
      <c r="AA9" s="596"/>
      <c r="AB9" s="519"/>
      <c r="AC9" s="519"/>
      <c r="AD9" s="519"/>
      <c r="AE9" s="596"/>
      <c r="AF9" s="541"/>
      <c r="AG9" s="541"/>
      <c r="AH9" s="541"/>
      <c r="AI9" s="596"/>
      <c r="AJ9" s="541"/>
      <c r="AK9" s="541"/>
      <c r="AL9" s="541"/>
      <c r="AM9" s="596"/>
      <c r="AN9" s="541"/>
      <c r="AO9" s="541" t="s">
        <v>373</v>
      </c>
      <c r="AP9" s="541"/>
      <c r="AQ9" s="596"/>
      <c r="AR9" s="541"/>
      <c r="AS9" s="541" t="s">
        <v>373</v>
      </c>
      <c r="AT9" s="541"/>
      <c r="AU9" s="596"/>
      <c r="AV9" s="541"/>
      <c r="AW9" s="541" t="s">
        <v>373</v>
      </c>
      <c r="AX9" s="541"/>
      <c r="AY9" s="1683"/>
      <c r="AZ9" s="1789"/>
      <c r="BA9" s="541"/>
      <c r="BB9" s="541"/>
      <c r="BC9" s="541"/>
      <c r="BD9" s="1717"/>
      <c r="BE9" s="541"/>
      <c r="BF9" s="541"/>
      <c r="BG9" s="1718"/>
      <c r="BH9" s="1717"/>
      <c r="BI9" s="541"/>
      <c r="BJ9" s="541"/>
      <c r="BK9" s="1718"/>
      <c r="BL9" s="311"/>
      <c r="BM9" s="287"/>
      <c r="BN9" s="287"/>
      <c r="BO9" s="287"/>
      <c r="BP9" s="287"/>
      <c r="BQ9" s="294"/>
      <c r="BR9" s="321"/>
      <c r="BS9" s="294"/>
      <c r="BT9" s="294"/>
      <c r="BU9" s="294"/>
      <c r="BV9" s="1938"/>
      <c r="BW9" s="13"/>
      <c r="BX9" s="13"/>
      <c r="BY9" s="387"/>
      <c r="BZ9" s="13"/>
      <c r="CA9" s="1664"/>
      <c r="CB9" s="13"/>
    </row>
    <row r="10" spans="1:88" s="7" customFormat="1" ht="14.25" customHeight="1">
      <c r="B10" s="656" t="s">
        <v>564</v>
      </c>
      <c r="C10" s="287"/>
      <c r="D10" s="519"/>
      <c r="E10" s="519"/>
      <c r="F10" s="519"/>
      <c r="G10" s="520"/>
      <c r="H10" s="518"/>
      <c r="I10" s="519"/>
      <c r="J10" s="519"/>
      <c r="K10" s="520"/>
      <c r="L10" s="518"/>
      <c r="M10" s="519"/>
      <c r="N10" s="519"/>
      <c r="O10" s="520"/>
      <c r="P10" s="518"/>
      <c r="Q10" s="519"/>
      <c r="R10" s="519"/>
      <c r="S10" s="520"/>
      <c r="T10" s="519">
        <f t="shared" ref="T10:AW10" si="4">T61+T70+T85+T94</f>
        <v>942</v>
      </c>
      <c r="U10" s="519">
        <f t="shared" si="4"/>
        <v>910</v>
      </c>
      <c r="V10" s="519">
        <f t="shared" si="4"/>
        <v>1082</v>
      </c>
      <c r="W10" s="520">
        <f t="shared" si="4"/>
        <v>1220</v>
      </c>
      <c r="X10" s="519">
        <f t="shared" si="4"/>
        <v>1160</v>
      </c>
      <c r="Y10" s="519">
        <f t="shared" si="4"/>
        <v>1212</v>
      </c>
      <c r="Z10" s="519">
        <f t="shared" si="4"/>
        <v>1226</v>
      </c>
      <c r="AA10" s="520">
        <f t="shared" si="4"/>
        <v>1219</v>
      </c>
      <c r="AB10" s="519">
        <f t="shared" si="4"/>
        <v>1200</v>
      </c>
      <c r="AC10" s="519">
        <f t="shared" si="4"/>
        <v>1207</v>
      </c>
      <c r="AD10" s="519">
        <f t="shared" si="4"/>
        <v>1286</v>
      </c>
      <c r="AE10" s="520">
        <f t="shared" si="4"/>
        <v>1309</v>
      </c>
      <c r="AF10" s="519">
        <f t="shared" si="4"/>
        <v>1203</v>
      </c>
      <c r="AG10" s="519">
        <f t="shared" si="4"/>
        <v>1046</v>
      </c>
      <c r="AH10" s="519">
        <f t="shared" si="4"/>
        <v>927</v>
      </c>
      <c r="AI10" s="520">
        <f t="shared" si="4"/>
        <v>829</v>
      </c>
      <c r="AJ10" s="519">
        <f t="shared" si="4"/>
        <v>751</v>
      </c>
      <c r="AK10" s="519">
        <f t="shared" si="4"/>
        <v>841</v>
      </c>
      <c r="AL10" s="519">
        <f t="shared" si="4"/>
        <v>790</v>
      </c>
      <c r="AM10" s="520">
        <f t="shared" si="4"/>
        <v>722</v>
      </c>
      <c r="AN10" s="519">
        <f t="shared" si="4"/>
        <v>646.40018970254289</v>
      </c>
      <c r="AO10" s="519">
        <f t="shared" si="4"/>
        <v>668.13588211957506</v>
      </c>
      <c r="AP10" s="519">
        <f t="shared" si="4"/>
        <v>675.90759186454545</v>
      </c>
      <c r="AQ10" s="520">
        <f t="shared" si="4"/>
        <v>586.61422939595309</v>
      </c>
      <c r="AR10" s="519">
        <f t="shared" si="4"/>
        <v>461.8930563351588</v>
      </c>
      <c r="AS10" s="519">
        <f t="shared" si="4"/>
        <v>311.66383675800489</v>
      </c>
      <c r="AT10" s="519">
        <f t="shared" si="4"/>
        <v>337.47762291669932</v>
      </c>
      <c r="AU10" s="520">
        <f t="shared" si="4"/>
        <v>351.89202269558012</v>
      </c>
      <c r="AV10" s="519">
        <f t="shared" si="4"/>
        <v>347.17917921068079</v>
      </c>
      <c r="AW10" s="519">
        <f t="shared" si="4"/>
        <v>324.77040280830875</v>
      </c>
      <c r="AX10" s="1533">
        <f>AX61+AX70+AX85+AX94</f>
        <v>336.18250111077629</v>
      </c>
      <c r="AY10" s="1534">
        <f t="shared" ref="AY10" si="5">AY61+AY70+AY85+AY94</f>
        <v>361.93610225763558</v>
      </c>
      <c r="AZ10" s="1533">
        <f>AZ61+AZ70+AZ85+AZ94</f>
        <v>385.94719640583241</v>
      </c>
      <c r="BA10" s="519">
        <f t="shared" ref="BA10:BC10" si="6">BA61+BA70+BA85+BA94</f>
        <v>428.73262158021191</v>
      </c>
      <c r="BB10" s="519">
        <f t="shared" si="6"/>
        <v>474.2794925991347</v>
      </c>
      <c r="BC10" s="519">
        <f t="shared" si="6"/>
        <v>557.74393250360856</v>
      </c>
      <c r="BD10" s="518">
        <f>BD61+BD70+BD85+BD94</f>
        <v>687.45193550777776</v>
      </c>
      <c r="BE10" s="519">
        <f t="shared" ref="BE10:BG10" si="7">BE61+BE70+BE85+BE94</f>
        <v>799.31339429056254</v>
      </c>
      <c r="BF10" s="519">
        <f t="shared" si="7"/>
        <v>863.82259422985601</v>
      </c>
      <c r="BG10" s="1719">
        <f t="shared" si="7"/>
        <v>864.68028021081818</v>
      </c>
      <c r="BH10" s="518">
        <f>BH61+BH70+BH85+BH94</f>
        <v>872.85854001761493</v>
      </c>
      <c r="BI10" s="519">
        <f t="shared" ref="BI10:BK10" si="8">BI61+BI70+BI85+BI94</f>
        <v>887.13085446685216</v>
      </c>
      <c r="BJ10" s="519">
        <f t="shared" si="8"/>
        <v>920.523761608477</v>
      </c>
      <c r="BK10" s="1719">
        <f t="shared" si="8"/>
        <v>954.25903764067039</v>
      </c>
      <c r="BL10" s="311"/>
      <c r="BM10" s="365"/>
      <c r="BN10" s="365"/>
      <c r="BO10" s="365"/>
      <c r="BP10" s="365"/>
      <c r="BQ10" s="365">
        <f>BQ61+BQ70+BQ81+BQ94+BQ84</f>
        <v>4154</v>
      </c>
      <c r="BR10" s="365">
        <f t="shared" ref="BR10:BY10" si="9">BR61+BR70+BR81+BR94+BR84</f>
        <v>4817</v>
      </c>
      <c r="BS10" s="365">
        <f t="shared" si="9"/>
        <v>5002</v>
      </c>
      <c r="BT10" s="365">
        <f t="shared" si="9"/>
        <v>4005</v>
      </c>
      <c r="BU10" s="365">
        <f t="shared" si="9"/>
        <v>3104</v>
      </c>
      <c r="BV10" s="1939">
        <f t="shared" si="9"/>
        <v>2577.0578930826164</v>
      </c>
      <c r="BW10" s="365">
        <f t="shared" si="9"/>
        <v>1462.9265387054431</v>
      </c>
      <c r="BX10" s="365">
        <f>BX61+BX70+BX81+BX94+BX84</f>
        <v>1370.0681853874012</v>
      </c>
      <c r="BY10" s="365">
        <f t="shared" si="9"/>
        <v>1846.7032430887878</v>
      </c>
      <c r="BZ10" s="365">
        <f t="shared" ref="BZ10:CA10" si="10">BZ61+BZ70+BZ81+BZ94+BZ84</f>
        <v>3215.2682042390143</v>
      </c>
      <c r="CA10" s="1673">
        <f t="shared" si="10"/>
        <v>3634.7721937336146</v>
      </c>
      <c r="CB10" s="1408"/>
    </row>
    <row r="11" spans="1:88" s="552" customFormat="1" ht="14.25" customHeight="1">
      <c r="B11" s="888" t="s">
        <v>390</v>
      </c>
      <c r="C11" s="889"/>
      <c r="D11" s="546"/>
      <c r="E11" s="546"/>
      <c r="F11" s="546"/>
      <c r="G11" s="614"/>
      <c r="H11" s="890"/>
      <c r="I11" s="546"/>
      <c r="J11" s="546"/>
      <c r="K11" s="614"/>
      <c r="L11" s="890"/>
      <c r="M11" s="546"/>
      <c r="N11" s="546"/>
      <c r="O11" s="614"/>
      <c r="P11" s="890"/>
      <c r="Q11" s="546"/>
      <c r="R11" s="546"/>
      <c r="S11" s="614"/>
      <c r="T11" s="546"/>
      <c r="U11" s="500"/>
      <c r="V11" s="507"/>
      <c r="W11" s="528"/>
      <c r="X11" s="507">
        <f t="shared" ref="X11:AC11" si="11">X10/W10-1</f>
        <v>-4.9180327868852514E-2</v>
      </c>
      <c r="Y11" s="500">
        <f t="shared" si="11"/>
        <v>4.482758620689653E-2</v>
      </c>
      <c r="Z11" s="507">
        <f t="shared" si="11"/>
        <v>1.1551155115511635E-2</v>
      </c>
      <c r="AA11" s="528">
        <f t="shared" si="11"/>
        <v>-5.7096247960848334E-3</v>
      </c>
      <c r="AB11" s="507">
        <f t="shared" si="11"/>
        <v>-1.5586546349466768E-2</v>
      </c>
      <c r="AC11" s="500">
        <f t="shared" si="11"/>
        <v>5.833333333333357E-3</v>
      </c>
      <c r="AD11" s="507">
        <f t="shared" ref="AD11:AI11" si="12">AD10/AC10-1</f>
        <v>6.5451532725766315E-2</v>
      </c>
      <c r="AE11" s="528">
        <f t="shared" si="12"/>
        <v>1.7884914463452528E-2</v>
      </c>
      <c r="AF11" s="507">
        <f t="shared" si="12"/>
        <v>-8.0977845683728011E-2</v>
      </c>
      <c r="AG11" s="507">
        <f t="shared" si="12"/>
        <v>-0.13050706566916048</v>
      </c>
      <c r="AH11" s="507">
        <f t="shared" si="12"/>
        <v>-0.11376673040152963</v>
      </c>
      <c r="AI11" s="528">
        <f t="shared" si="12"/>
        <v>-0.10571736785329022</v>
      </c>
      <c r="AJ11" s="507">
        <f t="shared" ref="AJ11:AQ11" si="13">AJ10/AI10-1</f>
        <v>-9.4089264173703224E-2</v>
      </c>
      <c r="AK11" s="507">
        <f t="shared" si="13"/>
        <v>0.11984021304926773</v>
      </c>
      <c r="AL11" s="507">
        <f t="shared" si="13"/>
        <v>-6.0642092746730047E-2</v>
      </c>
      <c r="AM11" s="528">
        <f t="shared" si="13"/>
        <v>-8.6075949367088622E-2</v>
      </c>
      <c r="AN11" s="507">
        <f t="shared" si="13"/>
        <v>-0.10470887852833399</v>
      </c>
      <c r="AO11" s="507">
        <f t="shared" si="13"/>
        <v>3.3625751915441704E-2</v>
      </c>
      <c r="AP11" s="507">
        <f t="shared" si="13"/>
        <v>1.1631929900719706E-2</v>
      </c>
      <c r="AQ11" s="528">
        <f t="shared" si="13"/>
        <v>-0.13210883195181966</v>
      </c>
      <c r="AR11" s="507">
        <f t="shared" ref="AR11:AZ11" si="14">AR10/AQ10-1</f>
        <v>-0.21261191224294351</v>
      </c>
      <c r="AS11" s="507">
        <f t="shared" si="14"/>
        <v>-0.32524675899900213</v>
      </c>
      <c r="AT11" s="507">
        <f t="shared" si="14"/>
        <v>8.2825734378473514E-2</v>
      </c>
      <c r="AU11" s="528">
        <f t="shared" si="14"/>
        <v>4.2712164600136271E-2</v>
      </c>
      <c r="AV11" s="507">
        <f t="shared" si="14"/>
        <v>-1.339286821223673E-2</v>
      </c>
      <c r="AW11" s="507">
        <f t="shared" si="14"/>
        <v>-6.4545277321407579E-2</v>
      </c>
      <c r="AX11" s="1535">
        <f t="shared" si="14"/>
        <v>3.5138972652022593E-2</v>
      </c>
      <c r="AY11" s="1536">
        <f t="shared" si="14"/>
        <v>7.6606013286732999E-2</v>
      </c>
      <c r="AZ11" s="1535">
        <f t="shared" si="14"/>
        <v>6.6340699362190447E-2</v>
      </c>
      <c r="BA11" s="507">
        <f t="shared" ref="BA11" si="15">BA10/AZ10-1</f>
        <v>0.11085823546024587</v>
      </c>
      <c r="BB11" s="507">
        <f t="shared" ref="BB11" si="16">BB10/BA10-1</f>
        <v>0.1062360751814202</v>
      </c>
      <c r="BC11" s="507">
        <f t="shared" ref="BC11" si="17">BC10/BB10-1</f>
        <v>0.17598154929084986</v>
      </c>
      <c r="BD11" s="558">
        <f t="shared" ref="BD11" si="18">BD10/BC10-1</f>
        <v>0.23255833984949725</v>
      </c>
      <c r="BE11" s="507">
        <f t="shared" ref="BE11" si="19">BE10/BD10-1</f>
        <v>0.16271895241688372</v>
      </c>
      <c r="BF11" s="507">
        <f t="shared" ref="BF11" si="20">BF10/BE10-1</f>
        <v>8.0705766223959197E-2</v>
      </c>
      <c r="BG11" s="1720">
        <f t="shared" ref="BG11" si="21">BG10/BF10-1</f>
        <v>9.9289597967366916E-4</v>
      </c>
      <c r="BH11" s="558">
        <f t="shared" ref="BH11" si="22">BH10/BG10-1</f>
        <v>9.4581315128441368E-3</v>
      </c>
      <c r="BI11" s="507">
        <f t="shared" ref="BI11" si="23">BI10/BH10-1</f>
        <v>1.6351234243465296E-2</v>
      </c>
      <c r="BJ11" s="507">
        <f t="shared" ref="BJ11" si="24">BJ10/BI10-1</f>
        <v>3.7641467404144535E-2</v>
      </c>
      <c r="BK11" s="1720">
        <f t="shared" ref="BK11" si="25">BK10/BJ10-1</f>
        <v>3.6647914414773997E-2</v>
      </c>
      <c r="BL11" s="545"/>
      <c r="BM11" s="548"/>
      <c r="BN11" s="548"/>
      <c r="BO11" s="548"/>
      <c r="BP11" s="548"/>
      <c r="BQ11" s="548"/>
      <c r="BR11" s="548"/>
      <c r="BS11" s="548"/>
      <c r="BT11" s="549"/>
      <c r="BU11" s="549"/>
      <c r="BV11" s="1940"/>
      <c r="BW11" s="549"/>
      <c r="BX11" s="549"/>
      <c r="BY11" s="549"/>
      <c r="BZ11" s="549"/>
      <c r="CA11" s="1674"/>
      <c r="CB11" s="1408"/>
    </row>
    <row r="12" spans="1:88" s="7" customFormat="1" ht="14.25" customHeight="1">
      <c r="B12" s="657" t="s">
        <v>391</v>
      </c>
      <c r="C12" s="287"/>
      <c r="D12" s="519"/>
      <c r="E12" s="519"/>
      <c r="F12" s="519"/>
      <c r="G12" s="520"/>
      <c r="H12" s="518"/>
      <c r="I12" s="519"/>
      <c r="J12" s="519"/>
      <c r="K12" s="520"/>
      <c r="L12" s="518"/>
      <c r="M12" s="519"/>
      <c r="N12" s="519"/>
      <c r="O12" s="520"/>
      <c r="P12" s="518"/>
      <c r="Q12" s="519"/>
      <c r="R12" s="519"/>
      <c r="S12" s="520"/>
      <c r="T12" s="519"/>
      <c r="U12" s="500"/>
      <c r="V12" s="507"/>
      <c r="W12" s="528"/>
      <c r="X12" s="508"/>
      <c r="Y12" s="506"/>
      <c r="Z12" s="508"/>
      <c r="AA12" s="509"/>
      <c r="AB12" s="508"/>
      <c r="AC12" s="506"/>
      <c r="AD12" s="507"/>
      <c r="AE12" s="528"/>
      <c r="AF12" s="507"/>
      <c r="AG12" s="507"/>
      <c r="AH12" s="507"/>
      <c r="AI12" s="509"/>
      <c r="AJ12" s="507"/>
      <c r="AK12" s="507"/>
      <c r="AL12" s="507"/>
      <c r="AM12" s="509"/>
      <c r="AN12" s="507"/>
      <c r="AO12" s="507"/>
      <c r="AP12" s="507"/>
      <c r="AQ12" s="509"/>
      <c r="AR12" s="507"/>
      <c r="AS12" s="507"/>
      <c r="AT12" s="507"/>
      <c r="AU12" s="509"/>
      <c r="AV12" s="507"/>
      <c r="AW12" s="507"/>
      <c r="AX12" s="1535"/>
      <c r="AY12" s="1537"/>
      <c r="AZ12" s="1535"/>
      <c r="BA12" s="507"/>
      <c r="BB12" s="507"/>
      <c r="BC12" s="508"/>
      <c r="BD12" s="558"/>
      <c r="BE12" s="507"/>
      <c r="BF12" s="507"/>
      <c r="BG12" s="1721"/>
      <c r="BH12" s="558"/>
      <c r="BI12" s="507"/>
      <c r="BJ12" s="507"/>
      <c r="BK12" s="1721"/>
      <c r="BL12" s="311"/>
      <c r="BM12" s="365"/>
      <c r="BN12" s="365"/>
      <c r="BO12" s="365"/>
      <c r="BP12" s="365"/>
      <c r="BQ12" s="365"/>
      <c r="BR12" s="1239">
        <f t="shared" ref="BR12:BW12" si="26">BR10/BQ10-1</f>
        <v>0.15960519980741461</v>
      </c>
      <c r="BS12" s="1239">
        <f t="shared" si="26"/>
        <v>3.8405646668050686E-2</v>
      </c>
      <c r="BT12" s="1239">
        <f t="shared" si="26"/>
        <v>-0.19932027189124346</v>
      </c>
      <c r="BU12" s="1239">
        <f t="shared" si="26"/>
        <v>-0.22496878901373285</v>
      </c>
      <c r="BV12" s="1941">
        <f t="shared" si="26"/>
        <v>-0.16976227671307464</v>
      </c>
      <c r="BW12" s="1239">
        <f t="shared" si="26"/>
        <v>-0.4323268628802418</v>
      </c>
      <c r="BX12" s="1237">
        <f>BX10/BW10-1</f>
        <v>-6.3474378829857847E-2</v>
      </c>
      <c r="BY12" s="1237">
        <f>BY10/BX10-1</f>
        <v>0.34789148655883362</v>
      </c>
      <c r="BZ12" s="1237">
        <f>BZ10/BY10-1</f>
        <v>0.74108548098998872</v>
      </c>
      <c r="CA12" s="1675">
        <f>CA10/BZ10-1</f>
        <v>0.13047247160953024</v>
      </c>
      <c r="CB12" s="1408"/>
    </row>
    <row r="13" spans="1:88" s="7" customFormat="1" ht="14.25" customHeight="1">
      <c r="B13" s="657"/>
      <c r="C13" s="287"/>
      <c r="D13" s="519"/>
      <c r="E13" s="519"/>
      <c r="F13" s="519"/>
      <c r="G13" s="520"/>
      <c r="H13" s="518"/>
      <c r="I13" s="519"/>
      <c r="J13" s="519"/>
      <c r="K13" s="520"/>
      <c r="L13" s="518"/>
      <c r="M13" s="519"/>
      <c r="N13" s="519"/>
      <c r="O13" s="520"/>
      <c r="P13" s="518"/>
      <c r="Q13" s="519"/>
      <c r="R13" s="519"/>
      <c r="S13" s="520"/>
      <c r="T13" s="519"/>
      <c r="U13" s="500"/>
      <c r="V13" s="507"/>
      <c r="W13" s="528"/>
      <c r="X13" s="508"/>
      <c r="Y13" s="506"/>
      <c r="Z13" s="508"/>
      <c r="AA13" s="509"/>
      <c r="AB13" s="508"/>
      <c r="AC13" s="506"/>
      <c r="AD13" s="507"/>
      <c r="AE13" s="528"/>
      <c r="AF13" s="507"/>
      <c r="AG13" s="507"/>
      <c r="AH13" s="507"/>
      <c r="AI13" s="509"/>
      <c r="AJ13" s="507"/>
      <c r="AK13" s="507"/>
      <c r="AL13" s="507"/>
      <c r="AM13" s="509"/>
      <c r="AN13" s="507"/>
      <c r="AO13" s="507"/>
      <c r="AP13" s="507"/>
      <c r="AQ13" s="509"/>
      <c r="AR13" s="507"/>
      <c r="AS13" s="507"/>
      <c r="AT13" s="507"/>
      <c r="AU13" s="509"/>
      <c r="AV13" s="507"/>
      <c r="AW13" s="507"/>
      <c r="AX13" s="1535"/>
      <c r="AY13" s="1537"/>
      <c r="AZ13" s="1535"/>
      <c r="BA13" s="507"/>
      <c r="BB13" s="507"/>
      <c r="BC13" s="508"/>
      <c r="BD13" s="558"/>
      <c r="BE13" s="507"/>
      <c r="BF13" s="507"/>
      <c r="BG13" s="1721"/>
      <c r="BH13" s="558"/>
      <c r="BI13" s="507"/>
      <c r="BJ13" s="507"/>
      <c r="BK13" s="1721"/>
      <c r="BL13" s="311"/>
      <c r="BM13" s="365"/>
      <c r="BN13" s="365"/>
      <c r="BO13" s="365"/>
      <c r="BP13" s="365"/>
      <c r="BQ13" s="365"/>
      <c r="BR13" s="365"/>
      <c r="BS13" s="365"/>
      <c r="BT13" s="467"/>
      <c r="BU13" s="467"/>
      <c r="BV13" s="1942"/>
      <c r="BW13" s="13"/>
      <c r="BX13" s="13"/>
      <c r="BY13" s="387"/>
      <c r="BZ13" s="387"/>
      <c r="CA13" s="1667"/>
      <c r="CB13" s="1408"/>
    </row>
    <row r="14" spans="1:88" s="7" customFormat="1" ht="14.25" customHeight="1">
      <c r="B14" s="661" t="s">
        <v>414</v>
      </c>
      <c r="C14" s="668"/>
      <c r="D14" s="663"/>
      <c r="E14" s="663"/>
      <c r="F14" s="663"/>
      <c r="G14" s="666"/>
      <c r="H14" s="669"/>
      <c r="I14" s="663"/>
      <c r="J14" s="663"/>
      <c r="K14" s="666"/>
      <c r="L14" s="669"/>
      <c r="M14" s="663"/>
      <c r="N14" s="663"/>
      <c r="O14" s="666"/>
      <c r="P14" s="669"/>
      <c r="Q14" s="663"/>
      <c r="R14" s="663"/>
      <c r="S14" s="666"/>
      <c r="T14" s="663"/>
      <c r="U14" s="670"/>
      <c r="V14" s="671"/>
      <c r="W14" s="672"/>
      <c r="X14" s="673"/>
      <c r="Y14" s="674"/>
      <c r="Z14" s="673"/>
      <c r="AA14" s="675"/>
      <c r="AB14" s="676"/>
      <c r="AC14" s="676"/>
      <c r="AD14" s="677"/>
      <c r="AE14" s="678"/>
      <c r="AF14" s="677"/>
      <c r="AG14" s="671"/>
      <c r="AH14" s="671"/>
      <c r="AI14" s="675"/>
      <c r="AJ14" s="671"/>
      <c r="AK14" s="671"/>
      <c r="AL14" s="671"/>
      <c r="AM14" s="675"/>
      <c r="AN14" s="671"/>
      <c r="AO14" s="671"/>
      <c r="AP14" s="671"/>
      <c r="AQ14" s="675"/>
      <c r="AR14" s="671"/>
      <c r="AS14" s="671"/>
      <c r="AT14" s="671"/>
      <c r="AU14" s="675"/>
      <c r="AV14" s="671"/>
      <c r="AW14" s="671"/>
      <c r="AX14" s="1538"/>
      <c r="AY14" s="1539"/>
      <c r="AZ14" s="1538"/>
      <c r="BA14" s="671"/>
      <c r="BB14" s="671"/>
      <c r="BC14" s="673"/>
      <c r="BD14" s="1722"/>
      <c r="BE14" s="671"/>
      <c r="BF14" s="671"/>
      <c r="BG14" s="675"/>
      <c r="BH14" s="1722"/>
      <c r="BI14" s="671"/>
      <c r="BJ14" s="671"/>
      <c r="BK14" s="675"/>
      <c r="BL14" s="311"/>
      <c r="BM14" s="680"/>
      <c r="BN14" s="681"/>
      <c r="BO14" s="681"/>
      <c r="BP14" s="681"/>
      <c r="BQ14" s="681"/>
      <c r="BR14" s="682"/>
      <c r="BS14" s="682"/>
      <c r="BT14" s="682"/>
      <c r="BU14" s="682"/>
      <c r="BV14" s="1936"/>
      <c r="BW14" s="682"/>
      <c r="BX14" s="682"/>
      <c r="BY14" s="683"/>
      <c r="BZ14" s="683"/>
      <c r="CA14" s="1423"/>
      <c r="CB14" s="1408"/>
    </row>
    <row r="15" spans="1:88" s="7" customFormat="1" ht="14.25" customHeight="1">
      <c r="B15" s="667"/>
      <c r="C15" s="287"/>
      <c r="D15" s="519"/>
      <c r="E15" s="519"/>
      <c r="F15" s="519"/>
      <c r="G15" s="520"/>
      <c r="H15" s="518"/>
      <c r="I15" s="519"/>
      <c r="J15" s="519"/>
      <c r="K15" s="520"/>
      <c r="L15" s="518"/>
      <c r="M15" s="519"/>
      <c r="N15" s="519"/>
      <c r="O15" s="520"/>
      <c r="P15" s="518"/>
      <c r="Q15" s="519"/>
      <c r="R15" s="519"/>
      <c r="S15" s="520"/>
      <c r="T15" s="519"/>
      <c r="U15" s="500"/>
      <c r="V15" s="507"/>
      <c r="W15" s="528"/>
      <c r="X15" s="508"/>
      <c r="Y15" s="506"/>
      <c r="Z15" s="508"/>
      <c r="AA15" s="509"/>
      <c r="AB15" s="565"/>
      <c r="AC15" s="565"/>
      <c r="AD15" s="566"/>
      <c r="AE15" s="567"/>
      <c r="AF15" s="566"/>
      <c r="AG15" s="507"/>
      <c r="AH15" s="507"/>
      <c r="AI15" s="509"/>
      <c r="AJ15" s="507"/>
      <c r="AK15" s="507"/>
      <c r="AL15" s="507"/>
      <c r="AM15" s="509"/>
      <c r="AN15" s="507"/>
      <c r="AO15" s="507"/>
      <c r="AP15" s="507"/>
      <c r="AQ15" s="509"/>
      <c r="AR15" s="507"/>
      <c r="AS15" s="507"/>
      <c r="AT15" s="507"/>
      <c r="AU15" s="509"/>
      <c r="AV15" s="507"/>
      <c r="AW15" s="507"/>
      <c r="AX15" s="1535"/>
      <c r="AY15" s="1537"/>
      <c r="AZ15" s="1535"/>
      <c r="BA15" s="507"/>
      <c r="BB15" s="507"/>
      <c r="BC15" s="508"/>
      <c r="BD15" s="558"/>
      <c r="BE15" s="507"/>
      <c r="BF15" s="507"/>
      <c r="BG15" s="1721"/>
      <c r="BH15" s="558"/>
      <c r="BI15" s="507"/>
      <c r="BJ15" s="507"/>
      <c r="BK15" s="1721"/>
      <c r="BL15" s="311"/>
      <c r="BM15" s="365"/>
      <c r="BN15" s="365"/>
      <c r="BO15" s="365"/>
      <c r="BP15" s="365"/>
      <c r="BQ15" s="365"/>
      <c r="BR15" s="365"/>
      <c r="BS15" s="365"/>
      <c r="BT15" s="467"/>
      <c r="BU15" s="467"/>
      <c r="BV15" s="1942"/>
      <c r="BW15" s="13"/>
      <c r="BX15" s="13"/>
      <c r="BY15" s="387"/>
      <c r="BZ15" s="387"/>
      <c r="CA15" s="1667"/>
      <c r="CB15" s="1408"/>
    </row>
    <row r="16" spans="1:88" s="7" customFormat="1" ht="14.25" customHeight="1">
      <c r="B16" s="667" t="s">
        <v>409</v>
      </c>
      <c r="C16" s="287"/>
      <c r="D16" s="519"/>
      <c r="E16" s="519"/>
      <c r="F16" s="519"/>
      <c r="G16" s="520"/>
      <c r="H16" s="519"/>
      <c r="I16" s="519"/>
      <c r="J16" s="519"/>
      <c r="K16" s="520"/>
      <c r="L16" s="519"/>
      <c r="M16" s="519"/>
      <c r="N16" s="519"/>
      <c r="O16" s="520"/>
      <c r="P16" s="519"/>
      <c r="Q16" s="519"/>
      <c r="R16" s="519"/>
      <c r="S16" s="520"/>
      <c r="T16" s="519"/>
      <c r="U16" s="500"/>
      <c r="V16" s="507"/>
      <c r="W16" s="528"/>
      <c r="X16" s="508"/>
      <c r="Y16" s="506"/>
      <c r="Z16" s="508"/>
      <c r="AA16" s="509"/>
      <c r="AB16" s="565"/>
      <c r="AC16" s="565"/>
      <c r="AD16" s="566"/>
      <c r="AE16" s="567"/>
      <c r="AF16" s="566"/>
      <c r="AG16" s="507"/>
      <c r="AH16" s="507"/>
      <c r="AI16" s="509"/>
      <c r="AJ16" s="507"/>
      <c r="AK16" s="507"/>
      <c r="AL16" s="507"/>
      <c r="AM16" s="509"/>
      <c r="AN16" s="507"/>
      <c r="AO16" s="507"/>
      <c r="AP16" s="507"/>
      <c r="AQ16" s="509"/>
      <c r="AR16" s="507"/>
      <c r="AS16" s="507"/>
      <c r="AT16" s="507"/>
      <c r="AU16" s="509"/>
      <c r="AV16" s="507"/>
      <c r="AW16" s="507"/>
      <c r="AX16" s="1535"/>
      <c r="AY16" s="1537"/>
      <c r="AZ16" s="1535"/>
      <c r="BA16" s="507"/>
      <c r="BB16" s="507"/>
      <c r="BC16" s="508"/>
      <c r="BD16" s="558"/>
      <c r="BE16" s="507"/>
      <c r="BF16" s="507"/>
      <c r="BG16" s="1721"/>
      <c r="BH16" s="558"/>
      <c r="BI16" s="507"/>
      <c r="BJ16" s="507"/>
      <c r="BK16" s="1721"/>
      <c r="BL16" s="311"/>
      <c r="BM16" s="365"/>
      <c r="BN16" s="365"/>
      <c r="BO16" s="365"/>
      <c r="BP16" s="365"/>
      <c r="BQ16" s="365"/>
      <c r="BR16" s="365"/>
      <c r="BS16" s="365"/>
      <c r="BT16" s="467"/>
      <c r="BU16" s="467"/>
      <c r="BV16" s="1942"/>
      <c r="BW16" s="13"/>
      <c r="BX16" s="13"/>
      <c r="BY16" s="387"/>
      <c r="BZ16" s="387"/>
      <c r="CA16" s="1667"/>
      <c r="CB16" s="1408"/>
    </row>
    <row r="17" spans="2:83" s="713" customFormat="1" ht="14.25" customHeight="1">
      <c r="B17" s="728" t="s">
        <v>420</v>
      </c>
      <c r="C17" s="710"/>
      <c r="D17" s="565"/>
      <c r="E17" s="565"/>
      <c r="F17" s="565"/>
      <c r="G17" s="589"/>
      <c r="H17" s="565"/>
      <c r="I17" s="565"/>
      <c r="J17" s="565"/>
      <c r="K17" s="589"/>
      <c r="L17" s="565"/>
      <c r="M17" s="565"/>
      <c r="N17" s="565"/>
      <c r="O17" s="589"/>
      <c r="P17" s="565"/>
      <c r="Q17" s="565"/>
      <c r="R17" s="565"/>
      <c r="S17" s="589"/>
      <c r="T17" s="565">
        <f>+T61</f>
        <v>481.76580000000007</v>
      </c>
      <c r="U17" s="565">
        <f t="shared" ref="U17:AL17" si="27">+U61</f>
        <v>490.11005000000006</v>
      </c>
      <c r="V17" s="565">
        <f t="shared" si="27"/>
        <v>528.0077</v>
      </c>
      <c r="W17" s="589">
        <f t="shared" si="27"/>
        <v>587.57934999999998</v>
      </c>
      <c r="X17" s="565">
        <f t="shared" si="27"/>
        <v>551.30999999999995</v>
      </c>
      <c r="Y17" s="565">
        <f t="shared" si="27"/>
        <v>529.30799999999999</v>
      </c>
      <c r="Z17" s="565">
        <f t="shared" si="27"/>
        <v>537.13800000000003</v>
      </c>
      <c r="AA17" s="589">
        <f t="shared" si="27"/>
        <v>575.63300000000004</v>
      </c>
      <c r="AB17" s="565">
        <f t="shared" si="27"/>
        <v>594</v>
      </c>
      <c r="AC17" s="565">
        <f t="shared" si="27"/>
        <v>593.6</v>
      </c>
      <c r="AD17" s="565">
        <f t="shared" si="27"/>
        <v>509.6</v>
      </c>
      <c r="AE17" s="589">
        <f t="shared" si="27"/>
        <v>490</v>
      </c>
      <c r="AF17" s="565">
        <f t="shared" si="27"/>
        <v>451.34384999999997</v>
      </c>
      <c r="AG17" s="565">
        <f t="shared" si="27"/>
        <v>379.63590000000005</v>
      </c>
      <c r="AH17" s="565">
        <f t="shared" si="27"/>
        <v>324.45999999999992</v>
      </c>
      <c r="AI17" s="589">
        <f t="shared" si="27"/>
        <v>323.36054999999999</v>
      </c>
      <c r="AJ17" s="565">
        <f t="shared" si="27"/>
        <v>277.69353595753495</v>
      </c>
      <c r="AK17" s="565">
        <f t="shared" si="27"/>
        <v>310.92120037284548</v>
      </c>
      <c r="AL17" s="565">
        <f t="shared" si="27"/>
        <v>332.02744700400802</v>
      </c>
      <c r="AM17" s="589">
        <f>+AM61</f>
        <v>364.05558909459688</v>
      </c>
      <c r="AN17" s="565">
        <f t="shared" ref="AN17:AU17" si="28">+AN61</f>
        <v>339.80612959571431</v>
      </c>
      <c r="AO17" s="565">
        <f t="shared" si="28"/>
        <v>327.18717337383777</v>
      </c>
      <c r="AP17" s="565">
        <f t="shared" si="28"/>
        <v>332.81146525659824</v>
      </c>
      <c r="AQ17" s="589">
        <f t="shared" si="28"/>
        <v>236.55409976444582</v>
      </c>
      <c r="AR17" s="565">
        <f t="shared" si="28"/>
        <v>174.76108536237302</v>
      </c>
      <c r="AS17" s="565">
        <f>+AS61</f>
        <v>121.18807464453756</v>
      </c>
      <c r="AT17" s="565">
        <f t="shared" si="28"/>
        <v>145.45490473994613</v>
      </c>
      <c r="AU17" s="589">
        <f t="shared" si="28"/>
        <v>140.25489189549302</v>
      </c>
      <c r="AV17" s="565">
        <f t="shared" ref="AV17" si="29">+AV61</f>
        <v>115.64015836783399</v>
      </c>
      <c r="AW17" s="565">
        <f>+AW61</f>
        <v>86.177632917755233</v>
      </c>
      <c r="AX17" s="750">
        <f t="shared" ref="AX17:AY17" si="30">+AX61</f>
        <v>85.315856588577674</v>
      </c>
      <c r="AY17" s="1540">
        <f t="shared" si="30"/>
        <v>97.132102726095695</v>
      </c>
      <c r="AZ17" s="750">
        <f>+AZ61</f>
        <v>135.00390957900038</v>
      </c>
      <c r="BA17" s="565">
        <f t="shared" ref="BA17:BC17" si="31">+BA61</f>
        <v>217.97731240625407</v>
      </c>
      <c r="BB17" s="565">
        <f t="shared" si="31"/>
        <v>244.57054451981708</v>
      </c>
      <c r="BC17" s="565">
        <f t="shared" si="31"/>
        <v>255.68383006279757</v>
      </c>
      <c r="BD17" s="720">
        <f>+BD61</f>
        <v>309.27516084395995</v>
      </c>
      <c r="BE17" s="565">
        <f t="shared" ref="BE17:BG17" si="32">+BE61</f>
        <v>340.69751718570637</v>
      </c>
      <c r="BF17" s="565">
        <f t="shared" si="32"/>
        <v>378.99191811737984</v>
      </c>
      <c r="BG17" s="1723">
        <f t="shared" si="32"/>
        <v>378.99191811737984</v>
      </c>
      <c r="BH17" s="720">
        <f>+BH61</f>
        <v>375.20199893620605</v>
      </c>
      <c r="BI17" s="565">
        <f t="shared" ref="BI17:BK17" si="33">+BI61</f>
        <v>371.449978946844</v>
      </c>
      <c r="BJ17" s="565">
        <f t="shared" si="33"/>
        <v>378.91612352367554</v>
      </c>
      <c r="BK17" s="1723">
        <f t="shared" si="33"/>
        <v>382.70528475891228</v>
      </c>
      <c r="BL17" s="711"/>
      <c r="BM17" s="710"/>
      <c r="BN17" s="710"/>
      <c r="BO17" s="710"/>
      <c r="BP17" s="710"/>
      <c r="BQ17" s="710">
        <f>SUM(T17:W17)</f>
        <v>2087.4629</v>
      </c>
      <c r="BR17" s="710">
        <f>SUM(X17:AA17)</f>
        <v>2193.3890000000001</v>
      </c>
      <c r="BS17" s="710">
        <f>SUM(AB17:AE17)</f>
        <v>2187.1999999999998</v>
      </c>
      <c r="BT17" s="710">
        <f>SUM(AF17:AI17)</f>
        <v>1478.8002999999999</v>
      </c>
      <c r="BU17" s="710">
        <f>SUM(AJ17:AM17)</f>
        <v>1284.6977724289852</v>
      </c>
      <c r="BV17" s="1943">
        <f>+SUM(AN17:AQ17)</f>
        <v>1236.3588679905961</v>
      </c>
      <c r="BW17" s="710">
        <f>SUM(AR17:AU17)</f>
        <v>581.65895664234972</v>
      </c>
      <c r="BX17" s="710">
        <f>+BX61</f>
        <v>384.26575060026261</v>
      </c>
      <c r="BY17" s="710">
        <f>+BY61</f>
        <v>853.23559656786915</v>
      </c>
      <c r="BZ17" s="710">
        <f>+BZ61</f>
        <v>1407.956514264426</v>
      </c>
      <c r="CA17" s="1660">
        <f>+CA61</f>
        <v>1508.2733861656377</v>
      </c>
      <c r="CB17" s="713">
        <f>BZ17-BX17</f>
        <v>1023.6907636641633</v>
      </c>
      <c r="CC17" s="1408">
        <f>CA17-BX17</f>
        <v>1124.007635565375</v>
      </c>
    </row>
    <row r="18" spans="2:83" s="713" customFormat="1" ht="14.25" customHeight="1">
      <c r="B18" s="728" t="s">
        <v>418</v>
      </c>
      <c r="C18" s="710"/>
      <c r="D18" s="565"/>
      <c r="E18" s="565"/>
      <c r="F18" s="565"/>
      <c r="G18" s="589"/>
      <c r="H18" s="565"/>
      <c r="I18" s="565"/>
      <c r="J18" s="565"/>
      <c r="K18" s="589"/>
      <c r="L18" s="565"/>
      <c r="M18" s="565"/>
      <c r="N18" s="565"/>
      <c r="O18" s="589"/>
      <c r="P18" s="565"/>
      <c r="Q18" s="565"/>
      <c r="R18" s="565"/>
      <c r="S18" s="589"/>
      <c r="T18" s="565">
        <f>+T70</f>
        <v>224.77</v>
      </c>
      <c r="U18" s="565">
        <f t="shared" ref="U18:AM18" si="34">+U70</f>
        <v>179.54464999999999</v>
      </c>
      <c r="V18" s="565">
        <f t="shared" si="34"/>
        <v>222.61299000000002</v>
      </c>
      <c r="W18" s="589">
        <f t="shared" si="34"/>
        <v>247.22222499999998</v>
      </c>
      <c r="X18" s="565">
        <f t="shared" si="34"/>
        <v>321.86</v>
      </c>
      <c r="Y18" s="565">
        <f t="shared" si="34"/>
        <v>389.73</v>
      </c>
      <c r="Z18" s="565">
        <f t="shared" si="34"/>
        <v>383.94</v>
      </c>
      <c r="AA18" s="589">
        <f t="shared" si="34"/>
        <v>364.31200000000001</v>
      </c>
      <c r="AB18" s="565">
        <f t="shared" si="34"/>
        <v>338.4</v>
      </c>
      <c r="AC18" s="565">
        <f t="shared" si="34"/>
        <v>335.4</v>
      </c>
      <c r="AD18" s="565">
        <f t="shared" si="34"/>
        <v>393.6</v>
      </c>
      <c r="AE18" s="589">
        <f t="shared" si="34"/>
        <v>441.6</v>
      </c>
      <c r="AF18" s="565">
        <f t="shared" si="34"/>
        <v>412.46534000000003</v>
      </c>
      <c r="AG18" s="565">
        <f t="shared" si="34"/>
        <v>371.82817</v>
      </c>
      <c r="AH18" s="565">
        <f t="shared" si="34"/>
        <v>327.38015000000001</v>
      </c>
      <c r="AI18" s="589">
        <f t="shared" si="34"/>
        <v>268.23070000000001</v>
      </c>
      <c r="AJ18" s="565">
        <f t="shared" si="34"/>
        <v>251.14678763976951</v>
      </c>
      <c r="AK18" s="565">
        <f t="shared" si="34"/>
        <v>311.84629962715439</v>
      </c>
      <c r="AL18" s="565">
        <f t="shared" si="34"/>
        <v>277.14127420950393</v>
      </c>
      <c r="AM18" s="589">
        <f t="shared" si="34"/>
        <v>188.44083505517338</v>
      </c>
      <c r="AN18" s="565">
        <f t="shared" ref="AN18:AU18" si="35">+AN70</f>
        <v>194.09406010682858</v>
      </c>
      <c r="AO18" s="565">
        <f t="shared" si="35"/>
        <v>228.44870874573726</v>
      </c>
      <c r="AP18" s="565">
        <f t="shared" si="35"/>
        <v>230.59612660794721</v>
      </c>
      <c r="AQ18" s="589">
        <f t="shared" si="35"/>
        <v>237.56012963150724</v>
      </c>
      <c r="AR18" s="565">
        <f t="shared" si="35"/>
        <v>187.67250240889072</v>
      </c>
      <c r="AS18" s="565">
        <f t="shared" si="35"/>
        <v>113.95474346267845</v>
      </c>
      <c r="AT18" s="565">
        <f t="shared" si="35"/>
        <v>111.67564859342487</v>
      </c>
      <c r="AU18" s="589">
        <f t="shared" si="35"/>
        <v>130.99553580008737</v>
      </c>
      <c r="AV18" s="565">
        <f t="shared" ref="AV18:AY18" si="36">+AV70</f>
        <v>150.82825992022063</v>
      </c>
      <c r="AW18" s="565">
        <f t="shared" si="36"/>
        <v>153.85990794461705</v>
      </c>
      <c r="AX18" s="750">
        <f t="shared" si="36"/>
        <v>163.65386038483163</v>
      </c>
      <c r="AY18" s="1540">
        <f t="shared" si="36"/>
        <v>178.21905395908163</v>
      </c>
      <c r="AZ18" s="750">
        <f>+AZ70</f>
        <v>161.1741836384351</v>
      </c>
      <c r="BA18" s="565">
        <f t="shared" ref="BA18:BC18" si="37">+BA70</f>
        <v>114.836605842385</v>
      </c>
      <c r="BB18" s="565">
        <f t="shared" si="37"/>
        <v>103.35294525814651</v>
      </c>
      <c r="BC18" s="565">
        <f t="shared" si="37"/>
        <v>154.51265316092901</v>
      </c>
      <c r="BD18" s="720">
        <f t="shared" ref="BD18:BG18" si="38">+BD70</f>
        <v>214.58717270989823</v>
      </c>
      <c r="BE18" s="565">
        <f t="shared" si="38"/>
        <v>287.0103434994889</v>
      </c>
      <c r="BF18" s="565">
        <f t="shared" si="38"/>
        <v>310.40168649469729</v>
      </c>
      <c r="BG18" s="1723">
        <f t="shared" si="38"/>
        <v>310.40168649469729</v>
      </c>
      <c r="BH18" s="720">
        <f t="shared" ref="BH18:BK18" si="39">+BH70</f>
        <v>299.61522788900658</v>
      </c>
      <c r="BI18" s="565">
        <f t="shared" si="39"/>
        <v>290.6866940979142</v>
      </c>
      <c r="BJ18" s="565">
        <f t="shared" si="39"/>
        <v>290.65762542850439</v>
      </c>
      <c r="BK18" s="1723">
        <f t="shared" si="39"/>
        <v>290.65762542850439</v>
      </c>
      <c r="BL18" s="711"/>
      <c r="BM18" s="710"/>
      <c r="BN18" s="710"/>
      <c r="BO18" s="710"/>
      <c r="BP18" s="710"/>
      <c r="BQ18" s="710">
        <f>SUM(T18:W18)</f>
        <v>874.14986500000009</v>
      </c>
      <c r="BR18" s="710">
        <f>SUM(X18:AA18)</f>
        <v>1459.8420000000001</v>
      </c>
      <c r="BS18" s="710">
        <f>SUM(AB18:AE18)</f>
        <v>1509</v>
      </c>
      <c r="BT18" s="710">
        <f>SUM(AF18:AI18)</f>
        <v>1379.90436</v>
      </c>
      <c r="BU18" s="710">
        <f>SUM(AJ18:AM18)</f>
        <v>1028.5751965316013</v>
      </c>
      <c r="BV18" s="1943">
        <f>+SUM(AN18:AQ18)</f>
        <v>890.69902509202029</v>
      </c>
      <c r="BW18" s="710">
        <f>SUM(AR18:AU18)</f>
        <v>544.29843026508138</v>
      </c>
      <c r="BX18" s="710">
        <f>+BX70</f>
        <v>646.56108220875092</v>
      </c>
      <c r="BY18" s="710">
        <f>+BY70</f>
        <v>533.87638789989569</v>
      </c>
      <c r="BZ18" s="710">
        <f>+BZ70</f>
        <v>1122.4008891987817</v>
      </c>
      <c r="CA18" s="1660">
        <f>+CA70</f>
        <v>1171.6171728439294</v>
      </c>
      <c r="CB18" s="713">
        <f t="shared" ref="CB18:CB19" si="40">BZ18-BX18</f>
        <v>475.83980699003075</v>
      </c>
      <c r="CC18" s="1408">
        <f>CA18-BX18</f>
        <v>525.05609063517852</v>
      </c>
    </row>
    <row r="19" spans="2:83" s="717" customFormat="1" ht="14.25" customHeight="1">
      <c r="B19" s="729" t="s">
        <v>413</v>
      </c>
      <c r="C19" s="714"/>
      <c r="D19" s="707"/>
      <c r="E19" s="707"/>
      <c r="F19" s="707"/>
      <c r="G19" s="715"/>
      <c r="H19" s="707"/>
      <c r="I19" s="707"/>
      <c r="J19" s="707"/>
      <c r="K19" s="715"/>
      <c r="L19" s="707"/>
      <c r="M19" s="707"/>
      <c r="N19" s="707"/>
      <c r="O19" s="715"/>
      <c r="P19" s="707"/>
      <c r="Q19" s="707"/>
      <c r="R19" s="707"/>
      <c r="S19" s="715"/>
      <c r="T19" s="707">
        <f t="shared" ref="T19:AQ19" si="41">+T85</f>
        <v>117.962</v>
      </c>
      <c r="U19" s="707">
        <f t="shared" si="41"/>
        <v>107.91789999999999</v>
      </c>
      <c r="V19" s="707">
        <f t="shared" si="41"/>
        <v>117.33143201284797</v>
      </c>
      <c r="W19" s="715">
        <f t="shared" si="41"/>
        <v>145.59089025695931</v>
      </c>
      <c r="X19" s="707">
        <f t="shared" si="41"/>
        <v>145.09700000000001</v>
      </c>
      <c r="Y19" s="707">
        <f t="shared" si="41"/>
        <v>140.01400000000001</v>
      </c>
      <c r="Z19" s="707">
        <f t="shared" si="41"/>
        <v>139.15</v>
      </c>
      <c r="AA19" s="715">
        <f t="shared" si="41"/>
        <v>120.384</v>
      </c>
      <c r="AB19" s="707">
        <f t="shared" si="41"/>
        <v>115.2</v>
      </c>
      <c r="AC19" s="707">
        <f t="shared" si="41"/>
        <v>82.214449999999999</v>
      </c>
      <c r="AD19" s="707">
        <f t="shared" si="41"/>
        <v>114.75</v>
      </c>
      <c r="AE19" s="715">
        <f t="shared" si="41"/>
        <v>127.44845864661653</v>
      </c>
      <c r="AF19" s="707">
        <f t="shared" si="41"/>
        <v>112.85899999999998</v>
      </c>
      <c r="AG19" s="707">
        <f t="shared" si="41"/>
        <v>99.491249999999994</v>
      </c>
      <c r="AH19" s="707">
        <f t="shared" si="41"/>
        <v>64.400000000000006</v>
      </c>
      <c r="AI19" s="715">
        <f t="shared" si="41"/>
        <v>72.2</v>
      </c>
      <c r="AJ19" s="707">
        <f t="shared" si="41"/>
        <v>50</v>
      </c>
      <c r="AK19" s="707">
        <f t="shared" si="41"/>
        <v>50</v>
      </c>
      <c r="AL19" s="707">
        <f t="shared" si="41"/>
        <v>50</v>
      </c>
      <c r="AM19" s="715">
        <f t="shared" si="41"/>
        <v>50</v>
      </c>
      <c r="AN19" s="707">
        <f t="shared" si="41"/>
        <v>50</v>
      </c>
      <c r="AO19" s="707">
        <f t="shared" si="41"/>
        <v>50</v>
      </c>
      <c r="AP19" s="707">
        <f t="shared" si="41"/>
        <v>50</v>
      </c>
      <c r="AQ19" s="715">
        <f t="shared" si="41"/>
        <v>50</v>
      </c>
      <c r="AR19" s="707">
        <f t="shared" ref="AR19:AZ19" si="42">+AR85</f>
        <v>40</v>
      </c>
      <c r="AS19" s="707">
        <f t="shared" si="42"/>
        <v>17.574999999999999</v>
      </c>
      <c r="AT19" s="707">
        <f t="shared" si="42"/>
        <v>18.453749999999999</v>
      </c>
      <c r="AU19" s="715">
        <f t="shared" si="42"/>
        <v>15.653609437505077</v>
      </c>
      <c r="AV19" s="707">
        <f t="shared" si="42"/>
        <v>18.972174638256149</v>
      </c>
      <c r="AW19" s="707">
        <f t="shared" si="42"/>
        <v>22.994275661566455</v>
      </c>
      <c r="AX19" s="1541">
        <f t="shared" si="42"/>
        <v>24.856811990153339</v>
      </c>
      <c r="AY19" s="1542">
        <f t="shared" si="42"/>
        <v>26.099652589661005</v>
      </c>
      <c r="AZ19" s="1541">
        <f t="shared" si="42"/>
        <v>29.283810205599654</v>
      </c>
      <c r="BA19" s="707">
        <f t="shared" ref="BA19:BC19" si="43">+BA85</f>
        <v>35.433410348775588</v>
      </c>
      <c r="BB19" s="707">
        <f t="shared" si="43"/>
        <v>65.870709838373813</v>
      </c>
      <c r="BC19" s="707">
        <f t="shared" si="43"/>
        <v>86.949336986653435</v>
      </c>
      <c r="BD19" s="1048">
        <f t="shared" ref="BD19:BG19" si="44">+BD85</f>
        <v>102.99148966069097</v>
      </c>
      <c r="BE19" s="707">
        <f t="shared" si="44"/>
        <v>114.03732692680009</v>
      </c>
      <c r="BF19" s="707">
        <f t="shared" si="44"/>
        <v>119.7391932731401</v>
      </c>
      <c r="BG19" s="1724">
        <f t="shared" si="44"/>
        <v>123.33136907133429</v>
      </c>
      <c r="BH19" s="1048">
        <f t="shared" ref="BH19:BK19" si="45">+BH85</f>
        <v>146.08600666499549</v>
      </c>
      <c r="BI19" s="707">
        <f t="shared" si="45"/>
        <v>173.03887489468713</v>
      </c>
      <c r="BJ19" s="707">
        <f t="shared" si="45"/>
        <v>198.99470612889019</v>
      </c>
      <c r="BK19" s="1724">
        <f t="shared" si="45"/>
        <v>228.84391204822373</v>
      </c>
      <c r="BL19" s="716"/>
      <c r="BM19" s="714"/>
      <c r="BN19" s="714"/>
      <c r="BO19" s="714"/>
      <c r="BP19" s="714"/>
      <c r="BQ19" s="714">
        <f>SUM(T19:W19)</f>
        <v>488.80222226980726</v>
      </c>
      <c r="BR19" s="714">
        <f>SUM(X19:AA19)</f>
        <v>544.64499999999998</v>
      </c>
      <c r="BS19" s="714">
        <f>SUM(AB19:AE19)</f>
        <v>439.61290864661652</v>
      </c>
      <c r="BT19" s="714">
        <f>SUM(AF19:AI19)</f>
        <v>348.95024999999993</v>
      </c>
      <c r="BU19" s="714">
        <f>SUM(AJ19:AM19)</f>
        <v>200</v>
      </c>
      <c r="BV19" s="1944">
        <f>+SUM(AN19:AQ19)</f>
        <v>200</v>
      </c>
      <c r="BW19" s="714">
        <f>SUM(AR19:AU19)</f>
        <v>91.682359437505085</v>
      </c>
      <c r="BX19" s="714">
        <f>+BX85</f>
        <v>92.922914879636949</v>
      </c>
      <c r="BY19" s="714">
        <f>+BY85</f>
        <v>217.53726737940249</v>
      </c>
      <c r="BZ19" s="714">
        <f>+BZ85</f>
        <v>460.09937893196548</v>
      </c>
      <c r="CA19" s="1668">
        <f>+CA85</f>
        <v>746.96349973679662</v>
      </c>
      <c r="CB19" s="713">
        <f t="shared" si="40"/>
        <v>367.17646405232853</v>
      </c>
      <c r="CC19" s="1408">
        <f>CA19-BX19</f>
        <v>654.04058485715973</v>
      </c>
    </row>
    <row r="20" spans="2:83" s="802" customFormat="1" ht="14.25" customHeight="1">
      <c r="B20" s="803" t="s">
        <v>419</v>
      </c>
      <c r="C20" s="799"/>
      <c r="D20" s="800"/>
      <c r="E20" s="800"/>
      <c r="F20" s="800"/>
      <c r="G20" s="801"/>
      <c r="H20" s="800"/>
      <c r="I20" s="800"/>
      <c r="J20" s="800"/>
      <c r="K20" s="801"/>
      <c r="L20" s="800"/>
      <c r="M20" s="800"/>
      <c r="N20" s="800"/>
      <c r="O20" s="801"/>
      <c r="P20" s="800"/>
      <c r="Q20" s="800"/>
      <c r="R20" s="800"/>
      <c r="S20" s="801"/>
      <c r="T20" s="739">
        <f t="shared" ref="T20:AZ20" si="46">+SUM(T17:T19)</f>
        <v>824.4978000000001</v>
      </c>
      <c r="U20" s="739">
        <f t="shared" si="46"/>
        <v>777.57260000000008</v>
      </c>
      <c r="V20" s="739">
        <f t="shared" si="46"/>
        <v>867.95212201284789</v>
      </c>
      <c r="W20" s="740">
        <f t="shared" si="46"/>
        <v>980.39246525695921</v>
      </c>
      <c r="X20" s="739">
        <f t="shared" si="46"/>
        <v>1018.2669999999999</v>
      </c>
      <c r="Y20" s="739">
        <f t="shared" si="46"/>
        <v>1059.0520000000001</v>
      </c>
      <c r="Z20" s="739">
        <f t="shared" si="46"/>
        <v>1060.2280000000001</v>
      </c>
      <c r="AA20" s="740">
        <f t="shared" si="46"/>
        <v>1060.329</v>
      </c>
      <c r="AB20" s="739">
        <f t="shared" si="46"/>
        <v>1047.5999999999999</v>
      </c>
      <c r="AC20" s="739">
        <f t="shared" si="46"/>
        <v>1011.2144499999999</v>
      </c>
      <c r="AD20" s="739">
        <f t="shared" si="46"/>
        <v>1017.95</v>
      </c>
      <c r="AE20" s="740">
        <f t="shared" si="46"/>
        <v>1059.0484586466166</v>
      </c>
      <c r="AF20" s="739">
        <f t="shared" si="46"/>
        <v>976.66818999999987</v>
      </c>
      <c r="AG20" s="739">
        <f t="shared" si="46"/>
        <v>850.95532000000003</v>
      </c>
      <c r="AH20" s="739">
        <f t="shared" si="46"/>
        <v>716.24014999999997</v>
      </c>
      <c r="AI20" s="740">
        <f t="shared" si="46"/>
        <v>663.79124999999999</v>
      </c>
      <c r="AJ20" s="739">
        <f t="shared" si="46"/>
        <v>578.8403235973044</v>
      </c>
      <c r="AK20" s="739">
        <f t="shared" si="46"/>
        <v>672.76749999999993</v>
      </c>
      <c r="AL20" s="739">
        <f t="shared" si="46"/>
        <v>659.16872121351196</v>
      </c>
      <c r="AM20" s="740">
        <f t="shared" si="46"/>
        <v>602.49642414977029</v>
      </c>
      <c r="AN20" s="739">
        <f t="shared" si="46"/>
        <v>583.90018970254289</v>
      </c>
      <c r="AO20" s="739">
        <f t="shared" si="46"/>
        <v>605.63588211957506</v>
      </c>
      <c r="AP20" s="739">
        <f t="shared" si="46"/>
        <v>613.40759186454545</v>
      </c>
      <c r="AQ20" s="740">
        <f t="shared" si="46"/>
        <v>524.11422939595309</v>
      </c>
      <c r="AR20" s="739">
        <f t="shared" si="46"/>
        <v>402.43358777126377</v>
      </c>
      <c r="AS20" s="739">
        <f t="shared" si="46"/>
        <v>252.717818107216</v>
      </c>
      <c r="AT20" s="739">
        <f t="shared" si="46"/>
        <v>275.584303333371</v>
      </c>
      <c r="AU20" s="740">
        <f t="shared" si="46"/>
        <v>286.90403713308541</v>
      </c>
      <c r="AV20" s="739">
        <f t="shared" si="46"/>
        <v>285.44059292631079</v>
      </c>
      <c r="AW20" s="739">
        <f t="shared" si="46"/>
        <v>263.03181652393874</v>
      </c>
      <c r="AX20" s="1543">
        <f t="shared" si="46"/>
        <v>273.82652896356262</v>
      </c>
      <c r="AY20" s="1544">
        <f t="shared" si="46"/>
        <v>301.45080927483832</v>
      </c>
      <c r="AZ20" s="1543">
        <f t="shared" si="46"/>
        <v>325.46190342303515</v>
      </c>
      <c r="BA20" s="739">
        <f t="shared" ref="BA20:BC20" si="47">+SUM(BA17:BA19)</f>
        <v>368.24732859741465</v>
      </c>
      <c r="BB20" s="739">
        <f t="shared" si="47"/>
        <v>413.79419961633744</v>
      </c>
      <c r="BC20" s="739">
        <f t="shared" si="47"/>
        <v>497.14582021037995</v>
      </c>
      <c r="BD20" s="1725">
        <f t="shared" ref="BD20:BG20" si="48">+SUM(BD17:BD19)</f>
        <v>626.85382321454915</v>
      </c>
      <c r="BE20" s="739">
        <f t="shared" si="48"/>
        <v>741.74518761199545</v>
      </c>
      <c r="BF20" s="739">
        <f t="shared" si="48"/>
        <v>809.1327978852172</v>
      </c>
      <c r="BG20" s="1726">
        <f t="shared" si="48"/>
        <v>812.72497368341135</v>
      </c>
      <c r="BH20" s="1725">
        <f t="shared" ref="BH20:BK20" si="49">+SUM(BH17:BH19)</f>
        <v>820.90323349020809</v>
      </c>
      <c r="BI20" s="739">
        <f t="shared" si="49"/>
        <v>835.17554793944532</v>
      </c>
      <c r="BJ20" s="739">
        <f t="shared" si="49"/>
        <v>868.56845508107017</v>
      </c>
      <c r="BK20" s="1726">
        <f t="shared" si="49"/>
        <v>902.2068222356404</v>
      </c>
      <c r="BL20" s="451"/>
      <c r="BM20" s="447"/>
      <c r="BN20" s="447"/>
      <c r="BO20" s="447"/>
      <c r="BP20" s="447"/>
      <c r="BQ20" s="447">
        <f>SUM(T20:W20)</f>
        <v>3450.4149872698072</v>
      </c>
      <c r="BR20" s="807">
        <f>SUM(X20:AA20)</f>
        <v>4197.8760000000002</v>
      </c>
      <c r="BS20" s="807">
        <f>SUM(AB20:AE20)</f>
        <v>4135.8129086466161</v>
      </c>
      <c r="BT20" s="447">
        <f>SUM(AF20:AI20)</f>
        <v>3207.6549100000002</v>
      </c>
      <c r="BU20" s="447">
        <f>SUM(AJ20:AM20)</f>
        <v>2513.2729689605867</v>
      </c>
      <c r="BV20" s="1945">
        <f>+SUM(AN20:AQ20)</f>
        <v>2327.0578930826168</v>
      </c>
      <c r="BW20" s="447">
        <f>SUM(AR20:AU20)</f>
        <v>1217.6397463449362</v>
      </c>
      <c r="BX20" s="447">
        <f>+SUM(BX17:BX19)</f>
        <v>1123.7497476886504</v>
      </c>
      <c r="BY20" s="447">
        <f>+SUM(BY17:BY19)</f>
        <v>1604.6492518471673</v>
      </c>
      <c r="BZ20" s="447">
        <f>+SUM(BZ17:BZ19)</f>
        <v>2990.4567823951729</v>
      </c>
      <c r="CA20" s="1669">
        <f>+SUM(CA17:CA19)</f>
        <v>3426.854058746364</v>
      </c>
      <c r="CB20" s="1408">
        <f>SUM(CB17:CB19)</f>
        <v>1866.7070347065226</v>
      </c>
      <c r="CC20" s="1408">
        <f>SUM(CC17:CC19)</f>
        <v>2303.1043110577129</v>
      </c>
    </row>
    <row r="21" spans="2:83" s="7" customFormat="1" ht="14.25" customHeight="1">
      <c r="B21" s="692" t="s">
        <v>390</v>
      </c>
      <c r="C21" s="380"/>
      <c r="D21" s="500"/>
      <c r="E21" s="500"/>
      <c r="F21" s="500"/>
      <c r="G21" s="501"/>
      <c r="H21" s="606"/>
      <c r="I21" s="500"/>
      <c r="J21" s="500"/>
      <c r="K21" s="501"/>
      <c r="L21" s="606"/>
      <c r="M21" s="500"/>
      <c r="N21" s="500"/>
      <c r="O21" s="501"/>
      <c r="P21" s="606"/>
      <c r="Q21" s="500"/>
      <c r="R21" s="500"/>
      <c r="S21" s="501"/>
      <c r="T21" s="52"/>
      <c r="U21" s="52">
        <f>U20/T20-1</f>
        <v>-5.6913675209321335E-2</v>
      </c>
      <c r="V21" s="52">
        <f t="shared" ref="V21:AF21" si="50">V20/U20-1</f>
        <v>0.11623290482824089</v>
      </c>
      <c r="W21" s="499">
        <f t="shared" si="50"/>
        <v>0.12954671161279441</v>
      </c>
      <c r="X21" s="52">
        <f t="shared" si="50"/>
        <v>3.863201328573429E-2</v>
      </c>
      <c r="Y21" s="52">
        <f t="shared" si="50"/>
        <v>4.0053345537074403E-2</v>
      </c>
      <c r="Z21" s="52">
        <f t="shared" si="50"/>
        <v>1.110427061183028E-3</v>
      </c>
      <c r="AA21" s="499">
        <f t="shared" si="50"/>
        <v>9.5262528437167759E-5</v>
      </c>
      <c r="AB21" s="52">
        <f t="shared" si="50"/>
        <v>-1.200476455892463E-2</v>
      </c>
      <c r="AC21" s="52">
        <f t="shared" si="50"/>
        <v>-3.4732292859870117E-2</v>
      </c>
      <c r="AD21" s="52">
        <f t="shared" si="50"/>
        <v>6.6608522059787845E-3</v>
      </c>
      <c r="AE21" s="499">
        <f t="shared" si="50"/>
        <v>4.0373749837041562E-2</v>
      </c>
      <c r="AF21" s="52">
        <f t="shared" si="50"/>
        <v>-7.7787062503157256E-2</v>
      </c>
      <c r="AG21" s="52">
        <f t="shared" ref="AG21:AM21" si="51">AG20/AF20-1</f>
        <v>-0.12871604838486639</v>
      </c>
      <c r="AH21" s="52">
        <f>AH20/AG20-1</f>
        <v>-0.15831050918161016</v>
      </c>
      <c r="AI21" s="499">
        <f t="shared" si="51"/>
        <v>-7.3228092560854052E-2</v>
      </c>
      <c r="AJ21" s="52">
        <f t="shared" si="51"/>
        <v>-0.1279783763384883</v>
      </c>
      <c r="AK21" s="52">
        <f t="shared" si="51"/>
        <v>0.16226785276286337</v>
      </c>
      <c r="AL21" s="52">
        <f t="shared" si="51"/>
        <v>-2.0213192204569852E-2</v>
      </c>
      <c r="AM21" s="499">
        <f t="shared" si="51"/>
        <v>-8.5975403929072214E-2</v>
      </c>
      <c r="AN21" s="52">
        <f t="shared" ref="AN21:AU21" si="52">AN20/AM20-1</f>
        <v>-3.0865302600708411E-2</v>
      </c>
      <c r="AO21" s="52">
        <f t="shared" si="52"/>
        <v>3.7225013453249689E-2</v>
      </c>
      <c r="AP21" s="52">
        <f t="shared" si="52"/>
        <v>1.2832313894235226E-2</v>
      </c>
      <c r="AQ21" s="499">
        <f t="shared" si="52"/>
        <v>-0.14556937940264425</v>
      </c>
      <c r="AR21" s="52">
        <f t="shared" si="52"/>
        <v>-0.23216435425713866</v>
      </c>
      <c r="AS21" s="52">
        <f t="shared" si="52"/>
        <v>-0.37202602917215644</v>
      </c>
      <c r="AT21" s="52">
        <f t="shared" si="52"/>
        <v>9.0482283352311343E-2</v>
      </c>
      <c r="AU21" s="499">
        <f t="shared" si="52"/>
        <v>4.1075393855146691E-2</v>
      </c>
      <c r="AV21" s="52">
        <f t="shared" ref="AV21" si="53">AV20/AU20-1</f>
        <v>-5.1008142701588488E-3</v>
      </c>
      <c r="AW21" s="52">
        <f t="shared" ref="AW21:AZ21" si="54">AW20/AV20-1</f>
        <v>-7.8505920172878385E-2</v>
      </c>
      <c r="AX21" s="52">
        <f t="shared" si="54"/>
        <v>4.1039569213640936E-2</v>
      </c>
      <c r="AY21" s="1545">
        <f t="shared" si="54"/>
        <v>0.1008824105386501</v>
      </c>
      <c r="AZ21" s="52">
        <f t="shared" si="54"/>
        <v>7.9651782013646866E-2</v>
      </c>
      <c r="BA21" s="52">
        <f t="shared" ref="BA21" si="55">BA20/AZ20-1</f>
        <v>0.13146062480549991</v>
      </c>
      <c r="BB21" s="52">
        <f t="shared" ref="BB21" si="56">BB20/BA20-1</f>
        <v>0.12368554360571271</v>
      </c>
      <c r="BC21" s="52">
        <f t="shared" ref="BC21" si="57">BC20/BB20-1</f>
        <v>0.20143254949277845</v>
      </c>
      <c r="BD21" s="504">
        <f t="shared" ref="BD21" si="58">BD20/BC20-1</f>
        <v>0.26090534754829076</v>
      </c>
      <c r="BE21" s="52">
        <f t="shared" ref="BE21" si="59">BE20/BD20-1</f>
        <v>0.18328254553553736</v>
      </c>
      <c r="BF21" s="52">
        <f t="shared" ref="BF21" si="60">BF20/BE20-1</f>
        <v>9.0850080861558657E-2</v>
      </c>
      <c r="BG21" s="1545">
        <f t="shared" ref="BG21" si="61">BG20/BF20-1</f>
        <v>4.43953799374186E-3</v>
      </c>
      <c r="BH21" s="504">
        <f t="shared" ref="BH21" si="62">BH20/BG20-1</f>
        <v>1.0062764245734268E-2</v>
      </c>
      <c r="BI21" s="52">
        <f t="shared" ref="BI21" si="63">BI20/BH20-1</f>
        <v>1.7386110648579312E-2</v>
      </c>
      <c r="BJ21" s="52">
        <f t="shared" ref="BJ21" si="64">BJ20/BI20-1</f>
        <v>3.9983099629786967E-2</v>
      </c>
      <c r="BK21" s="1545">
        <f t="shared" ref="BK21" si="65">BK20/BJ20-1</f>
        <v>3.872851582139325E-2</v>
      </c>
      <c r="BL21" s="244"/>
      <c r="BM21" s="253"/>
      <c r="BN21" s="253"/>
      <c r="BO21" s="253"/>
      <c r="BP21" s="253"/>
      <c r="BQ21" s="253"/>
      <c r="BR21" s="253"/>
      <c r="BS21" s="253"/>
      <c r="BT21" s="253"/>
      <c r="BU21" s="253"/>
      <c r="BV21" s="1946"/>
      <c r="BW21" s="13"/>
      <c r="BX21" s="13"/>
      <c r="BY21" s="13"/>
      <c r="BZ21" s="13"/>
      <c r="CA21" s="1664"/>
      <c r="CB21" s="1408"/>
    </row>
    <row r="22" spans="2:83" s="552" customFormat="1" ht="14.25" customHeight="1">
      <c r="B22" s="804" t="s">
        <v>391</v>
      </c>
      <c r="C22" s="805"/>
      <c r="D22" s="500"/>
      <c r="E22" s="500"/>
      <c r="F22" s="500"/>
      <c r="G22" s="501"/>
      <c r="H22" s="606"/>
      <c r="I22" s="500"/>
      <c r="J22" s="500"/>
      <c r="K22" s="501"/>
      <c r="L22" s="606"/>
      <c r="M22" s="500"/>
      <c r="N22" s="500"/>
      <c r="O22" s="501"/>
      <c r="P22" s="606"/>
      <c r="Q22" s="500"/>
      <c r="R22" s="500"/>
      <c r="S22" s="501"/>
      <c r="T22" s="500"/>
      <c r="U22" s="500"/>
      <c r="V22" s="500"/>
      <c r="W22" s="501"/>
      <c r="X22" s="500">
        <f t="shared" ref="X22:AF22" si="66">X20/T20-1</f>
        <v>0.23501481750466757</v>
      </c>
      <c r="Y22" s="500">
        <f t="shared" si="66"/>
        <v>0.36199758067606802</v>
      </c>
      <c r="Z22" s="500">
        <f t="shared" si="66"/>
        <v>0.22152820773252979</v>
      </c>
      <c r="AA22" s="501">
        <f t="shared" si="66"/>
        <v>8.1535239790005321E-2</v>
      </c>
      <c r="AB22" s="500">
        <f t="shared" si="66"/>
        <v>2.8806786432242104E-2</v>
      </c>
      <c r="AC22" s="500">
        <f t="shared" si="66"/>
        <v>-4.5170161616238103E-2</v>
      </c>
      <c r="AD22" s="500">
        <f t="shared" si="66"/>
        <v>-3.9876328487834733E-2</v>
      </c>
      <c r="AE22" s="501">
        <f t="shared" si="66"/>
        <v>-1.207683043077501E-3</v>
      </c>
      <c r="AF22" s="500">
        <f t="shared" si="66"/>
        <v>-6.7708867888507163E-2</v>
      </c>
      <c r="AG22" s="500">
        <f t="shared" ref="AG22:AM22" si="67">AG20/AC20-1</f>
        <v>-0.15848184329248849</v>
      </c>
      <c r="AH22" s="500">
        <f t="shared" si="67"/>
        <v>-0.29638965568053444</v>
      </c>
      <c r="AI22" s="501">
        <f t="shared" si="67"/>
        <v>-0.37321919069853071</v>
      </c>
      <c r="AJ22" s="500">
        <f t="shared" si="67"/>
        <v>-0.4073316510929833</v>
      </c>
      <c r="AK22" s="500">
        <f t="shared" si="67"/>
        <v>-0.20939738645737604</v>
      </c>
      <c r="AL22" s="500">
        <f t="shared" si="67"/>
        <v>-7.9681973687858787E-2</v>
      </c>
      <c r="AM22" s="501">
        <f t="shared" si="67"/>
        <v>-9.2340514958926811E-2</v>
      </c>
      <c r="AN22" s="500">
        <f t="shared" ref="AN22:AU22" si="68">AN20/AJ20-1</f>
        <v>8.7413849708899427E-3</v>
      </c>
      <c r="AO22" s="500">
        <f t="shared" si="68"/>
        <v>-9.9784275965210667E-2</v>
      </c>
      <c r="AP22" s="500">
        <f t="shared" si="68"/>
        <v>-6.942248300969367E-2</v>
      </c>
      <c r="AQ22" s="501">
        <f t="shared" si="68"/>
        <v>-0.13009570117271385</v>
      </c>
      <c r="AR22" s="500">
        <f t="shared" si="68"/>
        <v>-0.31078359817578394</v>
      </c>
      <c r="AS22" s="500">
        <f t="shared" si="68"/>
        <v>-0.58272317481790137</v>
      </c>
      <c r="AT22" s="500">
        <f t="shared" si="68"/>
        <v>-0.5507321608203597</v>
      </c>
      <c r="AU22" s="501">
        <f t="shared" si="68"/>
        <v>-0.4525925436831868</v>
      </c>
      <c r="AV22" s="500">
        <f t="shared" ref="AV22" si="69">AV20/AR20-1</f>
        <v>-0.29071379328171232</v>
      </c>
      <c r="AW22" s="500">
        <f t="shared" ref="AW22:AZ22" si="70">AW20/AS20-1</f>
        <v>4.0812311905712217E-2</v>
      </c>
      <c r="AX22" s="52">
        <f t="shared" si="70"/>
        <v>-6.3783544583162488E-3</v>
      </c>
      <c r="AY22" s="1545">
        <f t="shared" si="70"/>
        <v>5.0702570403375447E-2</v>
      </c>
      <c r="AZ22" s="52">
        <f t="shared" si="70"/>
        <v>0.14020889631159172</v>
      </c>
      <c r="BA22" s="500">
        <f t="shared" ref="BA22" si="71">BA20/AW20-1</f>
        <v>0.4000105898363826</v>
      </c>
      <c r="BB22" s="500">
        <f t="shared" ref="BB22" si="72">BB20/AX20-1</f>
        <v>0.51115452977676945</v>
      </c>
      <c r="BC22" s="500">
        <f t="shared" ref="BC22" si="73">BC20/AY20-1</f>
        <v>0.64917726181031021</v>
      </c>
      <c r="BD22" s="606">
        <f t="shared" ref="BD22" si="74">BD20/AZ20-1</f>
        <v>0.92604362176228339</v>
      </c>
      <c r="BE22" s="500">
        <f t="shared" ref="BE22" si="75">BE20/BA20-1</f>
        <v>1.0142581629503313</v>
      </c>
      <c r="BF22" s="500">
        <f t="shared" ref="BF22" si="76">BF20/BB20-1</f>
        <v>0.95539908156139131</v>
      </c>
      <c r="BG22" s="1727">
        <f t="shared" ref="BG22" si="77">BG20/BC20-1</f>
        <v>0.63478187011506204</v>
      </c>
      <c r="BH22" s="606">
        <f t="shared" ref="BH22" si="78">BH20/BD20-1</f>
        <v>0.30956086265943195</v>
      </c>
      <c r="BI22" s="500">
        <f t="shared" ref="BI22" si="79">BI20/BE20-1</f>
        <v>0.12596018401985654</v>
      </c>
      <c r="BJ22" s="500">
        <f t="shared" ref="BJ22" si="80">BJ20/BF20-1</f>
        <v>7.3455998015648838E-2</v>
      </c>
      <c r="BK22" s="1727">
        <f t="shared" ref="BK22" si="81">BK20/BG20-1</f>
        <v>0.11010101996334831</v>
      </c>
      <c r="BL22" s="551"/>
      <c r="BM22" s="369"/>
      <c r="BN22" s="369"/>
      <c r="BO22" s="369"/>
      <c r="BP22" s="369"/>
      <c r="BQ22" s="369"/>
      <c r="BR22" s="369">
        <f t="shared" ref="BR22:CA22" si="82">+BR20/BQ20-1</f>
        <v>0.21662930849997064</v>
      </c>
      <c r="BS22" s="369">
        <f t="shared" si="82"/>
        <v>-1.4784403196612783E-2</v>
      </c>
      <c r="BT22" s="369">
        <f t="shared" si="82"/>
        <v>-0.22441972573424307</v>
      </c>
      <c r="BU22" s="369">
        <f t="shared" si="82"/>
        <v>-0.21647651026132775</v>
      </c>
      <c r="BV22" s="1947">
        <f t="shared" si="82"/>
        <v>-7.4092658528445821E-2</v>
      </c>
      <c r="BW22" s="369">
        <f t="shared" si="82"/>
        <v>-0.4767471191995365</v>
      </c>
      <c r="BX22" s="369">
        <f t="shared" si="82"/>
        <v>-7.7108191431924933E-2</v>
      </c>
      <c r="BY22" s="369">
        <f t="shared" si="82"/>
        <v>0.42794181279919319</v>
      </c>
      <c r="BZ22" s="369">
        <f t="shared" si="82"/>
        <v>0.86362021417001533</v>
      </c>
      <c r="CA22" s="1658">
        <f t="shared" si="82"/>
        <v>0.1459299726116301</v>
      </c>
      <c r="CB22" s="1408"/>
      <c r="CE22" s="1401"/>
    </row>
    <row r="23" spans="2:83" s="7" customFormat="1" ht="14.25" customHeight="1">
      <c r="B23" s="692" t="s">
        <v>407</v>
      </c>
      <c r="C23" s="380"/>
      <c r="D23" s="500"/>
      <c r="E23" s="500"/>
      <c r="F23" s="500"/>
      <c r="G23" s="501"/>
      <c r="H23" s="500"/>
      <c r="I23" s="500"/>
      <c r="J23" s="500"/>
      <c r="K23" s="501"/>
      <c r="L23" s="500"/>
      <c r="M23" s="500"/>
      <c r="N23" s="500"/>
      <c r="O23" s="501"/>
      <c r="P23" s="500"/>
      <c r="Q23" s="500"/>
      <c r="R23" s="500"/>
      <c r="S23" s="501"/>
      <c r="T23" s="52"/>
      <c r="U23" s="52"/>
      <c r="V23" s="52"/>
      <c r="W23" s="499"/>
      <c r="X23" s="52"/>
      <c r="Y23" s="52"/>
      <c r="Z23" s="508">
        <f>(1+Z35)*(1+Z29)-1</f>
        <v>6.9999999999998952E-3</v>
      </c>
      <c r="AA23" s="509"/>
      <c r="AB23" s="508">
        <f>(1+AB35)*(1+AB29)-1</f>
        <v>-2.0000000000000018E-2</v>
      </c>
      <c r="AC23" s="508">
        <f>(1+AC35)*(1+AC29)-1</f>
        <v>4.3999999999999595E-3</v>
      </c>
      <c r="AD23" s="508">
        <f>(1+AD35)*(1+AD29)-1</f>
        <v>7.1000000000000174E-2</v>
      </c>
      <c r="AE23" s="509">
        <f>(1+AE35)*(1+AE29)-1</f>
        <v>0</v>
      </c>
      <c r="AF23" s="52"/>
      <c r="AG23" s="516">
        <v>-0.13</v>
      </c>
      <c r="AH23" s="52"/>
      <c r="AI23" s="499"/>
      <c r="AJ23" s="52"/>
      <c r="AK23" s="52"/>
      <c r="AL23" s="52"/>
      <c r="AM23" s="499"/>
      <c r="AN23" s="52"/>
      <c r="AO23" s="52"/>
      <c r="AP23" s="52"/>
      <c r="AQ23" s="499"/>
      <c r="AR23" s="52"/>
      <c r="AS23" s="52"/>
      <c r="AT23" s="52"/>
      <c r="AU23" s="499"/>
      <c r="AV23" s="52"/>
      <c r="AW23" s="52"/>
      <c r="AX23" s="52"/>
      <c r="AY23" s="1545"/>
      <c r="AZ23" s="52"/>
      <c r="BA23" s="52"/>
      <c r="BB23" s="52"/>
      <c r="BC23" s="52"/>
      <c r="BD23" s="504"/>
      <c r="BE23" s="52"/>
      <c r="BF23" s="52"/>
      <c r="BG23" s="1545"/>
      <c r="BH23" s="504"/>
      <c r="BI23" s="52"/>
      <c r="BJ23" s="52"/>
      <c r="BK23" s="1545"/>
      <c r="BL23" s="244"/>
      <c r="BM23" s="253"/>
      <c r="BN23" s="253"/>
      <c r="BO23" s="253"/>
      <c r="BP23" s="253"/>
      <c r="BQ23" s="253"/>
      <c r="BR23" s="253"/>
      <c r="BS23" s="253"/>
      <c r="BT23" s="253"/>
      <c r="BU23" s="253"/>
      <c r="BV23" s="1946"/>
      <c r="BW23" s="13"/>
      <c r="BX23" s="13"/>
      <c r="BY23" s="13"/>
      <c r="BZ23" s="13"/>
      <c r="CA23" s="1664"/>
      <c r="CB23" s="1408"/>
      <c r="CE23" s="1401"/>
    </row>
    <row r="24" spans="2:83" s="7" customFormat="1" ht="14.25" customHeight="1">
      <c r="B24" s="692" t="s">
        <v>408</v>
      </c>
      <c r="C24" s="380"/>
      <c r="D24" s="500"/>
      <c r="E24" s="500"/>
      <c r="F24" s="500"/>
      <c r="G24" s="501"/>
      <c r="H24" s="500"/>
      <c r="I24" s="500"/>
      <c r="J24" s="500"/>
      <c r="K24" s="501"/>
      <c r="L24" s="500"/>
      <c r="M24" s="500"/>
      <c r="N24" s="500"/>
      <c r="O24" s="501"/>
      <c r="P24" s="500"/>
      <c r="Q24" s="500"/>
      <c r="R24" s="500"/>
      <c r="S24" s="501"/>
      <c r="T24" s="52"/>
      <c r="U24" s="52"/>
      <c r="V24" s="52"/>
      <c r="W24" s="499"/>
      <c r="X24" s="52"/>
      <c r="Y24" s="52"/>
      <c r="Z24" s="508"/>
      <c r="AA24" s="509"/>
      <c r="AB24" s="508">
        <f>(1+AB30)*(1+AB23)-1</f>
        <v>0.13679999999999981</v>
      </c>
      <c r="AC24" s="508">
        <f>(1+AC30)*(1+AC23)-1</f>
        <v>0.15505999999999975</v>
      </c>
      <c r="AD24" s="508">
        <f>(1+AD30)*(1+AD23)-1</f>
        <v>0.31733000000000011</v>
      </c>
      <c r="AE24" s="509">
        <f>(1+AE30)*(1+AE23)-1</f>
        <v>0</v>
      </c>
      <c r="AF24" s="52"/>
      <c r="AG24" s="52"/>
      <c r="AH24" s="52"/>
      <c r="AI24" s="499"/>
      <c r="AJ24" s="52"/>
      <c r="AK24" s="52"/>
      <c r="AL24" s="52"/>
      <c r="AM24" s="499"/>
      <c r="AN24" s="52"/>
      <c r="AO24" s="52"/>
      <c r="AP24" s="52"/>
      <c r="AQ24" s="499"/>
      <c r="AR24" s="52"/>
      <c r="AS24" s="52"/>
      <c r="AT24" s="52"/>
      <c r="AU24" s="499"/>
      <c r="AV24" s="52"/>
      <c r="AW24" s="52"/>
      <c r="AX24" s="52"/>
      <c r="AY24" s="1545"/>
      <c r="AZ24" s="52"/>
      <c r="BA24" s="52"/>
      <c r="BB24" s="52"/>
      <c r="BC24" s="52"/>
      <c r="BD24" s="504"/>
      <c r="BE24" s="52"/>
      <c r="BF24" s="52"/>
      <c r="BG24" s="1545"/>
      <c r="BH24" s="504"/>
      <c r="BI24" s="52"/>
      <c r="BJ24" s="52"/>
      <c r="BK24" s="1545"/>
      <c r="BL24" s="244"/>
      <c r="BM24" s="253"/>
      <c r="BN24" s="253"/>
      <c r="BO24" s="253"/>
      <c r="BP24" s="253"/>
      <c r="BQ24" s="253"/>
      <c r="BR24" s="253"/>
      <c r="BS24" s="679">
        <v>0.09</v>
      </c>
      <c r="BT24" s="253"/>
      <c r="BU24" s="253"/>
      <c r="BV24" s="1946"/>
      <c r="BW24" s="13"/>
      <c r="BX24" s="13"/>
      <c r="BY24" s="13"/>
      <c r="BZ24" s="13"/>
      <c r="CA24" s="1664"/>
      <c r="CB24" s="1408"/>
    </row>
    <row r="25" spans="2:83" s="7" customFormat="1" ht="14.25" customHeight="1">
      <c r="B25" s="667"/>
      <c r="C25" s="287"/>
      <c r="D25" s="519"/>
      <c r="E25" s="519"/>
      <c r="F25" s="519"/>
      <c r="G25" s="520"/>
      <c r="H25" s="519"/>
      <c r="I25" s="519"/>
      <c r="J25" s="519"/>
      <c r="K25" s="520"/>
      <c r="L25" s="519"/>
      <c r="M25" s="519"/>
      <c r="N25" s="519"/>
      <c r="O25" s="520"/>
      <c r="P25" s="519"/>
      <c r="Q25" s="519"/>
      <c r="R25" s="519"/>
      <c r="S25" s="520"/>
      <c r="T25" s="519"/>
      <c r="U25" s="500"/>
      <c r="V25" s="507"/>
      <c r="W25" s="528"/>
      <c r="X25" s="508"/>
      <c r="Y25" s="506"/>
      <c r="Z25" s="508"/>
      <c r="AA25" s="509"/>
      <c r="AB25" s="565"/>
      <c r="AC25" s="565"/>
      <c r="AD25" s="566"/>
      <c r="AE25" s="567"/>
      <c r="AF25" s="566"/>
      <c r="AG25" s="507"/>
      <c r="AH25" s="507"/>
      <c r="AI25" s="509"/>
      <c r="AJ25" s="507"/>
      <c r="AK25" s="507"/>
      <c r="AL25" s="507"/>
      <c r="AM25" s="509"/>
      <c r="AN25" s="507"/>
      <c r="AO25" s="507"/>
      <c r="AP25" s="507"/>
      <c r="AQ25" s="509"/>
      <c r="AR25" s="507"/>
      <c r="AS25" s="507"/>
      <c r="AT25" s="507"/>
      <c r="AU25" s="509"/>
      <c r="AV25" s="507"/>
      <c r="AW25" s="507"/>
      <c r="AX25" s="1535"/>
      <c r="AY25" s="1537"/>
      <c r="AZ25" s="1535"/>
      <c r="BA25" s="507"/>
      <c r="BB25" s="507"/>
      <c r="BC25" s="508"/>
      <c r="BD25" s="558"/>
      <c r="BE25" s="507"/>
      <c r="BF25" s="507"/>
      <c r="BG25" s="1721"/>
      <c r="BH25" s="558"/>
      <c r="BI25" s="507"/>
      <c r="BJ25" s="507"/>
      <c r="BK25" s="1721"/>
      <c r="BL25" s="311"/>
      <c r="BM25" s="365"/>
      <c r="BN25" s="365"/>
      <c r="BO25" s="365"/>
      <c r="BP25" s="365"/>
      <c r="BQ25" s="365"/>
      <c r="BR25" s="365"/>
      <c r="BS25" s="365"/>
      <c r="BT25" s="467"/>
      <c r="BU25" s="467"/>
      <c r="BV25" s="1942"/>
      <c r="BW25" s="13"/>
      <c r="BX25" s="13"/>
      <c r="BY25" s="13"/>
      <c r="BZ25" s="13"/>
      <c r="CA25" s="1664"/>
      <c r="CB25" s="1408"/>
    </row>
    <row r="26" spans="2:83" s="435" customFormat="1" ht="14.25" customHeight="1">
      <c r="B26" s="781" t="s">
        <v>423</v>
      </c>
      <c r="C26" s="749"/>
      <c r="D26" s="566"/>
      <c r="E26" s="566"/>
      <c r="F26" s="566"/>
      <c r="G26" s="567"/>
      <c r="H26" s="566"/>
      <c r="I26" s="566"/>
      <c r="J26" s="566"/>
      <c r="K26" s="567"/>
      <c r="L26" s="566"/>
      <c r="M26" s="566"/>
      <c r="N26" s="566"/>
      <c r="O26" s="567"/>
      <c r="P26" s="566"/>
      <c r="Q26" s="566"/>
      <c r="R26" s="566"/>
      <c r="S26" s="567"/>
      <c r="T26" s="750">
        <f t="shared" ref="T26:AZ26" si="83">T57+T66+T77</f>
        <v>14497</v>
      </c>
      <c r="U26" s="750">
        <f t="shared" si="83"/>
        <v>14725</v>
      </c>
      <c r="V26" s="750">
        <f t="shared" si="83"/>
        <v>16508</v>
      </c>
      <c r="W26" s="751">
        <f t="shared" si="83"/>
        <v>18510</v>
      </c>
      <c r="X26" s="750">
        <f t="shared" si="83"/>
        <v>17051</v>
      </c>
      <c r="Y26" s="750">
        <f t="shared" si="83"/>
        <v>17539</v>
      </c>
      <c r="Z26" s="750">
        <f t="shared" si="83"/>
        <v>18347</v>
      </c>
      <c r="AA26" s="751">
        <f t="shared" si="83"/>
        <v>18155</v>
      </c>
      <c r="AB26" s="750">
        <f t="shared" si="83"/>
        <v>18488</v>
      </c>
      <c r="AC26" s="750">
        <f t="shared" si="83"/>
        <v>19244</v>
      </c>
      <c r="AD26" s="750">
        <f t="shared" si="83"/>
        <v>19655</v>
      </c>
      <c r="AE26" s="751">
        <f t="shared" si="83"/>
        <v>19290</v>
      </c>
      <c r="AF26" s="750">
        <f t="shared" si="83"/>
        <v>18868</v>
      </c>
      <c r="AG26" s="750">
        <f t="shared" si="83"/>
        <v>17366</v>
      </c>
      <c r="AH26" s="750">
        <f t="shared" si="83"/>
        <v>15361</v>
      </c>
      <c r="AI26" s="751">
        <f t="shared" si="83"/>
        <v>13141</v>
      </c>
      <c r="AJ26" s="750">
        <f t="shared" si="83"/>
        <v>11682.404474999999</v>
      </c>
      <c r="AK26" s="750">
        <f t="shared" si="83"/>
        <v>14294.671005551514</v>
      </c>
      <c r="AL26" s="750">
        <f t="shared" si="83"/>
        <v>13944.603296583828</v>
      </c>
      <c r="AM26" s="751">
        <f t="shared" si="83"/>
        <v>12491.188796088018</v>
      </c>
      <c r="AN26" s="750">
        <f t="shared" si="83"/>
        <v>12149.721053646796</v>
      </c>
      <c r="AO26" s="750">
        <f t="shared" si="83"/>
        <v>12281.172643169488</v>
      </c>
      <c r="AP26" s="750">
        <f t="shared" si="83"/>
        <v>12564.4886652763</v>
      </c>
      <c r="AQ26" s="751">
        <f t="shared" si="83"/>
        <v>10893.115454301649</v>
      </c>
      <c r="AR26" s="750">
        <f t="shared" si="83"/>
        <v>8407.9421347460284</v>
      </c>
      <c r="AS26" s="750">
        <f t="shared" si="83"/>
        <v>5278.6055613845683</v>
      </c>
      <c r="AT26" s="750">
        <f t="shared" si="83"/>
        <v>5699.5846600661225</v>
      </c>
      <c r="AU26" s="751">
        <f t="shared" si="83"/>
        <v>5977.4358926698333</v>
      </c>
      <c r="AV26" s="750">
        <f t="shared" si="83"/>
        <v>6051.4829691761497</v>
      </c>
      <c r="AW26" s="750">
        <f t="shared" si="83"/>
        <v>5514.0455329016559</v>
      </c>
      <c r="AX26" s="750">
        <f t="shared" si="83"/>
        <v>5781.175221047436</v>
      </c>
      <c r="AY26" s="1540">
        <f t="shared" si="83"/>
        <v>6437.6059415628552</v>
      </c>
      <c r="AZ26" s="750">
        <f t="shared" si="83"/>
        <v>6530.596143219308</v>
      </c>
      <c r="BA26" s="750">
        <f t="shared" ref="BA26:BC26" si="84">BA57+BA66+BA77</f>
        <v>7497.395185443931</v>
      </c>
      <c r="BB26" s="750">
        <f t="shared" si="84"/>
        <v>7897.5469961232257</v>
      </c>
      <c r="BC26" s="750">
        <f t="shared" si="84"/>
        <v>9309.6696254264716</v>
      </c>
      <c r="BD26" s="1728">
        <f t="shared" ref="BD26:BG26" si="85">BD57+BD66+BD77</f>
        <v>11037.637861994404</v>
      </c>
      <c r="BE26" s="750">
        <f t="shared" si="85"/>
        <v>12708.480741848693</v>
      </c>
      <c r="BF26" s="750">
        <f t="shared" si="85"/>
        <v>13250.89396288014</v>
      </c>
      <c r="BG26" s="1540">
        <f t="shared" si="85"/>
        <v>13258.617559516317</v>
      </c>
      <c r="BH26" s="1728">
        <f t="shared" ref="BH26:BK26" si="86">BH57+BH66+BH77</f>
        <v>13168.459674775884</v>
      </c>
      <c r="BI26" s="750">
        <f t="shared" si="86"/>
        <v>13085.567612511069</v>
      </c>
      <c r="BJ26" s="750">
        <f t="shared" si="86"/>
        <v>13265.520776459638</v>
      </c>
      <c r="BK26" s="1540">
        <f t="shared" si="86"/>
        <v>13373.432717797214</v>
      </c>
      <c r="BL26" s="449"/>
      <c r="BM26" s="752"/>
      <c r="BN26" s="752"/>
      <c r="BO26" s="752"/>
      <c r="BP26" s="752"/>
      <c r="BQ26" s="753">
        <f>SUM(T26:W26)</f>
        <v>64240</v>
      </c>
      <c r="BR26" s="753">
        <f>SUM(X26:AA26)</f>
        <v>71092</v>
      </c>
      <c r="BS26" s="753">
        <f>SUM(AB26:AE26)</f>
        <v>76677</v>
      </c>
      <c r="BT26" s="753">
        <f>SUM(AF26:AI26)</f>
        <v>64736</v>
      </c>
      <c r="BU26" s="753">
        <f>SUM(AJ26:AM26)</f>
        <v>52412.867573223361</v>
      </c>
      <c r="BV26" s="1948">
        <f>+SUM(AN26:AQ26)</f>
        <v>47888.497816394229</v>
      </c>
      <c r="BW26" s="302">
        <f>SUM(AR26:AU26)</f>
        <v>25363.568248866555</v>
      </c>
      <c r="BX26" s="302">
        <f>+BX42+BX77</f>
        <v>23784.309664688099</v>
      </c>
      <c r="BY26" s="302">
        <f>+BY42+BY77</f>
        <v>31235.207950212938</v>
      </c>
      <c r="BZ26" s="302">
        <f>+BZ42+BZ77</f>
        <v>50255.63012623955</v>
      </c>
      <c r="CA26" s="1670">
        <f>+CA42+CA77</f>
        <v>52892.980781543803</v>
      </c>
      <c r="CB26" s="1408"/>
    </row>
    <row r="27" spans="2:83" s="7" customFormat="1" ht="14.25" customHeight="1">
      <c r="B27" s="692" t="s">
        <v>390</v>
      </c>
      <c r="C27" s="380"/>
      <c r="D27" s="500"/>
      <c r="E27" s="500"/>
      <c r="F27" s="500"/>
      <c r="G27" s="501"/>
      <c r="H27" s="606"/>
      <c r="I27" s="500"/>
      <c r="J27" s="500"/>
      <c r="K27" s="501"/>
      <c r="L27" s="606"/>
      <c r="M27" s="500"/>
      <c r="N27" s="500"/>
      <c r="O27" s="501"/>
      <c r="P27" s="606"/>
      <c r="Q27" s="500"/>
      <c r="R27" s="500"/>
      <c r="S27" s="501"/>
      <c r="T27" s="52"/>
      <c r="U27" s="52">
        <f t="shared" ref="U27:AM27" si="87">U26/T26-1</f>
        <v>1.5727391874180929E-2</v>
      </c>
      <c r="V27" s="52">
        <f t="shared" si="87"/>
        <v>0.12108658743633272</v>
      </c>
      <c r="W27" s="499">
        <f t="shared" si="87"/>
        <v>0.12127453355948625</v>
      </c>
      <c r="X27" s="52">
        <f t="shared" si="87"/>
        <v>-7.8822258238789855E-2</v>
      </c>
      <c r="Y27" s="52">
        <f t="shared" si="87"/>
        <v>2.8620022286082847E-2</v>
      </c>
      <c r="Z27" s="52">
        <f t="shared" si="87"/>
        <v>4.6068761046810014E-2</v>
      </c>
      <c r="AA27" s="499">
        <f t="shared" si="87"/>
        <v>-1.0464926145963949E-2</v>
      </c>
      <c r="AB27" s="52">
        <f t="shared" si="87"/>
        <v>1.8342054530432472E-2</v>
      </c>
      <c r="AC27" s="52">
        <f t="shared" si="87"/>
        <v>4.0891389009086954E-2</v>
      </c>
      <c r="AD27" s="52">
        <f t="shared" si="87"/>
        <v>2.1357306173352741E-2</v>
      </c>
      <c r="AE27" s="499">
        <f t="shared" si="87"/>
        <v>-1.8570338336301173E-2</v>
      </c>
      <c r="AF27" s="52">
        <f t="shared" si="87"/>
        <v>-2.1876620010368053E-2</v>
      </c>
      <c r="AG27" s="52">
        <f t="shared" si="87"/>
        <v>-7.9605681577273657E-2</v>
      </c>
      <c r="AH27" s="52">
        <f>AH26/AG26-1</f>
        <v>-0.11545548773465397</v>
      </c>
      <c r="AI27" s="499">
        <f t="shared" si="87"/>
        <v>-0.14452184102597487</v>
      </c>
      <c r="AJ27" s="52">
        <f t="shared" si="87"/>
        <v>-0.11099577847956776</v>
      </c>
      <c r="AK27" s="52">
        <f t="shared" si="87"/>
        <v>0.22360692408328164</v>
      </c>
      <c r="AL27" s="52">
        <f t="shared" si="87"/>
        <v>-2.4489385508189243E-2</v>
      </c>
      <c r="AM27" s="499">
        <f t="shared" si="87"/>
        <v>-0.10422774098219556</v>
      </c>
      <c r="AN27" s="52">
        <f t="shared" ref="AN27:AU27" si="88">AN26/AM26-1</f>
        <v>-2.7336688926530628E-2</v>
      </c>
      <c r="AO27" s="52">
        <f t="shared" si="88"/>
        <v>1.0819309261691723E-2</v>
      </c>
      <c r="AP27" s="52">
        <f t="shared" si="88"/>
        <v>2.3069134384686496E-2</v>
      </c>
      <c r="AQ27" s="499">
        <f t="shared" si="88"/>
        <v>-0.13302357584942726</v>
      </c>
      <c r="AR27" s="52">
        <f t="shared" si="88"/>
        <v>-0.22814164873045895</v>
      </c>
      <c r="AS27" s="52">
        <f t="shared" si="88"/>
        <v>-0.37218816723647508</v>
      </c>
      <c r="AT27" s="52">
        <f t="shared" si="88"/>
        <v>7.9751952250649349E-2</v>
      </c>
      <c r="AU27" s="499">
        <f t="shared" si="88"/>
        <v>4.8749382485790971E-2</v>
      </c>
      <c r="AV27" s="52">
        <f t="shared" ref="AV27" si="89">AV26/AU26-1</f>
        <v>1.238776589760171E-2</v>
      </c>
      <c r="AW27" s="52">
        <f t="shared" ref="AW27:AZ27" si="90">AW26/AV26-1</f>
        <v>-8.8810864875929818E-2</v>
      </c>
      <c r="AX27" s="52">
        <f t="shared" si="90"/>
        <v>4.8445317789243658E-2</v>
      </c>
      <c r="AY27" s="1545">
        <f t="shared" si="90"/>
        <v>0.11354624196920415</v>
      </c>
      <c r="AZ27" s="52">
        <f t="shared" si="90"/>
        <v>1.444484215103703E-2</v>
      </c>
      <c r="BA27" s="52">
        <f t="shared" ref="BA27" si="91">BA26/AZ26-1</f>
        <v>0.1480414683471809</v>
      </c>
      <c r="BB27" s="52">
        <f t="shared" ref="BB27" si="92">BB26/BA26-1</f>
        <v>5.3372111350910689E-2</v>
      </c>
      <c r="BC27" s="52">
        <f t="shared" ref="BC27" si="93">BC26/BB26-1</f>
        <v>0.17880522015208444</v>
      </c>
      <c r="BD27" s="504">
        <f t="shared" ref="BD27" si="94">BD26/BC26-1</f>
        <v>0.18561004913090828</v>
      </c>
      <c r="BE27" s="52">
        <f t="shared" ref="BE27" si="95">BE26/BD26-1</f>
        <v>0.15137685261512845</v>
      </c>
      <c r="BF27" s="52">
        <f t="shared" ref="BF27" si="96">BF26/BE26-1</f>
        <v>4.2681201006607772E-2</v>
      </c>
      <c r="BG27" s="1545">
        <f t="shared" ref="BG27" si="97">BG26/BF26-1</f>
        <v>5.8287362783326913E-4</v>
      </c>
      <c r="BH27" s="504">
        <f t="shared" ref="BH27" si="98">BH26/BG26-1</f>
        <v>-6.7999460981301718E-3</v>
      </c>
      <c r="BI27" s="52">
        <f t="shared" ref="BI27" si="99">BI26/BH26-1</f>
        <v>-6.2947424613065683E-3</v>
      </c>
      <c r="BJ27" s="52">
        <f t="shared" ref="BJ27" si="100">BJ26/BI26-1</f>
        <v>1.3752033482790305E-2</v>
      </c>
      <c r="BK27" s="1545">
        <f t="shared" ref="BK27" si="101">BK26/BJ26-1</f>
        <v>8.1347685594876928E-3</v>
      </c>
      <c r="BL27" s="244"/>
      <c r="BM27" s="253"/>
      <c r="BN27" s="253"/>
      <c r="BO27" s="253"/>
      <c r="BP27" s="253"/>
      <c r="BQ27" s="253"/>
      <c r="BR27" s="253"/>
      <c r="BS27" s="253"/>
      <c r="BT27" s="253"/>
      <c r="BU27" s="253"/>
      <c r="BV27" s="1946"/>
      <c r="BW27" s="13"/>
      <c r="BX27" s="13"/>
      <c r="BY27" s="13"/>
      <c r="BZ27" s="13"/>
      <c r="CA27" s="1664"/>
      <c r="CB27" s="1408"/>
    </row>
    <row r="28" spans="2:83" s="7" customFormat="1" ht="14.25" customHeight="1">
      <c r="B28" s="692" t="s">
        <v>391</v>
      </c>
      <c r="C28" s="380"/>
      <c r="D28" s="500"/>
      <c r="E28" s="500"/>
      <c r="F28" s="500"/>
      <c r="G28" s="501"/>
      <c r="H28" s="606"/>
      <c r="I28" s="500"/>
      <c r="J28" s="500"/>
      <c r="K28" s="501"/>
      <c r="L28" s="606"/>
      <c r="M28" s="500"/>
      <c r="N28" s="500"/>
      <c r="O28" s="501"/>
      <c r="P28" s="606"/>
      <c r="Q28" s="500"/>
      <c r="R28" s="500"/>
      <c r="S28" s="501"/>
      <c r="T28" s="52"/>
      <c r="U28" s="52"/>
      <c r="V28" s="52"/>
      <c r="W28" s="499"/>
      <c r="X28" s="52">
        <f t="shared" ref="X28:AM28" si="102">X26/T26-1</f>
        <v>0.17617438090639448</v>
      </c>
      <c r="Y28" s="52">
        <f t="shared" si="102"/>
        <v>0.19110356536502549</v>
      </c>
      <c r="Z28" s="52">
        <f t="shared" si="102"/>
        <v>0.11140053307487285</v>
      </c>
      <c r="AA28" s="499">
        <f t="shared" si="102"/>
        <v>-1.9178822258238748E-2</v>
      </c>
      <c r="AB28" s="52">
        <f t="shared" si="102"/>
        <v>8.4276582018649959E-2</v>
      </c>
      <c r="AC28" s="52">
        <f t="shared" si="102"/>
        <v>9.7211927703974021E-2</v>
      </c>
      <c r="AD28" s="52">
        <f t="shared" si="102"/>
        <v>7.1292309369379137E-2</v>
      </c>
      <c r="AE28" s="499">
        <f t="shared" si="102"/>
        <v>6.2517212889011242E-2</v>
      </c>
      <c r="AF28" s="52">
        <f t="shared" si="102"/>
        <v>2.0553872782345328E-2</v>
      </c>
      <c r="AG28" s="52">
        <f t="shared" si="102"/>
        <v>-9.7588858865100825E-2</v>
      </c>
      <c r="AH28" s="52">
        <f t="shared" si="102"/>
        <v>-0.21846858305774608</v>
      </c>
      <c r="AI28" s="499">
        <f t="shared" si="102"/>
        <v>-0.31876620010368062</v>
      </c>
      <c r="AJ28" s="52">
        <f t="shared" si="102"/>
        <v>-0.3808350394848421</v>
      </c>
      <c r="AK28" s="52">
        <f t="shared" si="102"/>
        <v>-0.17685874665717416</v>
      </c>
      <c r="AL28" s="52">
        <f t="shared" si="102"/>
        <v>-9.2207323964336507E-2</v>
      </c>
      <c r="AM28" s="499">
        <f t="shared" si="102"/>
        <v>-4.944914419846147E-2</v>
      </c>
      <c r="AN28" s="52">
        <f t="shared" ref="AN28:AU28" si="103">AN26/AJ26-1</f>
        <v>4.0001746185628129E-2</v>
      </c>
      <c r="AO28" s="52">
        <f t="shared" si="103"/>
        <v>-0.14085657246676464</v>
      </c>
      <c r="AP28" s="52">
        <f t="shared" si="103"/>
        <v>-9.8971236538914709E-2</v>
      </c>
      <c r="AQ28" s="499">
        <f t="shared" si="103"/>
        <v>-0.12793604899213851</v>
      </c>
      <c r="AR28" s="52">
        <f t="shared" si="103"/>
        <v>-0.30797241371872108</v>
      </c>
      <c r="AS28" s="52">
        <f t="shared" si="103"/>
        <v>-0.57018717065911373</v>
      </c>
      <c r="AT28" s="52">
        <f t="shared" si="103"/>
        <v>-0.54637352844945353</v>
      </c>
      <c r="AU28" s="499">
        <f t="shared" si="103"/>
        <v>-0.45126479951983189</v>
      </c>
      <c r="AV28" s="52">
        <f t="shared" ref="AV28" si="104">AV26/AR26-1</f>
        <v>-0.28026586384696361</v>
      </c>
      <c r="AW28" s="52">
        <f t="shared" ref="AW28:AZ28" si="105">AW26/AS26-1</f>
        <v>4.4602683185771541E-2</v>
      </c>
      <c r="AX28" s="52">
        <f t="shared" si="105"/>
        <v>1.4315176604529523E-2</v>
      </c>
      <c r="AY28" s="1545">
        <f t="shared" si="105"/>
        <v>7.698452265415856E-2</v>
      </c>
      <c r="AZ28" s="52">
        <f t="shared" si="105"/>
        <v>7.9172853411894284E-2</v>
      </c>
      <c r="BA28" s="52">
        <f t="shared" ref="BA28" si="106">BA26/AW26-1</f>
        <v>0.35969047420951883</v>
      </c>
      <c r="BB28" s="52">
        <f t="shared" ref="BB28" si="107">BB26/AX26-1</f>
        <v>0.36607985299783818</v>
      </c>
      <c r="BC28" s="52">
        <f t="shared" ref="BC28" si="108">BC26/AY26-1</f>
        <v>0.44613847289422104</v>
      </c>
      <c r="BD28" s="504">
        <f t="shared" ref="BD28" si="109">BD26/AZ26-1</f>
        <v>0.69014246478167851</v>
      </c>
      <c r="BE28" s="52">
        <f t="shared" ref="BE28" si="110">BE26/BA26-1</f>
        <v>0.69505280534258063</v>
      </c>
      <c r="BF28" s="52">
        <f t="shared" ref="BF28" si="111">BF26/BB26-1</f>
        <v>0.67784933339235365</v>
      </c>
      <c r="BG28" s="1545">
        <f t="shared" ref="BG28" si="112">BG26/BC26-1</f>
        <v>0.4241770216318439</v>
      </c>
      <c r="BH28" s="504">
        <f t="shared" ref="BH28" si="113">BH26/BD26-1</f>
        <v>0.19305052760595465</v>
      </c>
      <c r="BI28" s="52">
        <f t="shared" ref="BI28" si="114">BI26/BE26-1</f>
        <v>2.9672065317818852E-2</v>
      </c>
      <c r="BJ28" s="52">
        <f t="shared" ref="BJ28" si="115">BJ26/BF26-1</f>
        <v>1.1038359842341361E-3</v>
      </c>
      <c r="BK28" s="1545">
        <f t="shared" ref="BK28" si="116">BK26/BG26-1</f>
        <v>8.6596628770312378E-3</v>
      </c>
      <c r="BL28" s="244"/>
      <c r="BM28" s="253"/>
      <c r="BN28" s="253"/>
      <c r="BO28" s="253"/>
      <c r="BP28" s="253"/>
      <c r="BQ28" s="253"/>
      <c r="BR28" s="253">
        <f t="shared" ref="BR28:CA28" si="117">BR26/BQ26-1</f>
        <v>0.1066625155666252</v>
      </c>
      <c r="BS28" s="253">
        <f t="shared" si="117"/>
        <v>7.8560175547178313E-2</v>
      </c>
      <c r="BT28" s="253">
        <f t="shared" si="117"/>
        <v>-0.15573118405780095</v>
      </c>
      <c r="BU28" s="253">
        <f t="shared" si="117"/>
        <v>-0.19035980639484429</v>
      </c>
      <c r="BV28" s="1946">
        <f t="shared" si="117"/>
        <v>-8.6321736747342892E-2</v>
      </c>
      <c r="BW28" s="369">
        <f t="shared" si="117"/>
        <v>-0.4703619991148783</v>
      </c>
      <c r="BX28" s="369">
        <f t="shared" si="117"/>
        <v>-6.2264842575887602E-2</v>
      </c>
      <c r="BY28" s="369">
        <f t="shared" si="117"/>
        <v>0.31326947851620779</v>
      </c>
      <c r="BZ28" s="369">
        <f t="shared" si="117"/>
        <v>0.60894174952649682</v>
      </c>
      <c r="CA28" s="1658">
        <f t="shared" si="117"/>
        <v>5.2478710319209254E-2</v>
      </c>
      <c r="CB28" s="1408"/>
    </row>
    <row r="29" spans="2:83" s="7" customFormat="1" ht="14.25" customHeight="1">
      <c r="B29" s="692" t="s">
        <v>392</v>
      </c>
      <c r="C29" s="380"/>
      <c r="D29" s="500"/>
      <c r="E29" s="500"/>
      <c r="F29" s="500"/>
      <c r="G29" s="501"/>
      <c r="H29" s="500"/>
      <c r="I29" s="500"/>
      <c r="J29" s="500"/>
      <c r="K29" s="501"/>
      <c r="L29" s="500"/>
      <c r="M29" s="500"/>
      <c r="N29" s="500"/>
      <c r="O29" s="501"/>
      <c r="P29" s="500"/>
      <c r="Q29" s="500"/>
      <c r="R29" s="500"/>
      <c r="S29" s="501"/>
      <c r="T29" s="52"/>
      <c r="U29" s="52"/>
      <c r="V29" s="52"/>
      <c r="W29" s="499"/>
      <c r="X29" s="52">
        <v>-0.11</v>
      </c>
      <c r="Y29" s="52">
        <v>0.09</v>
      </c>
      <c r="Z29" s="508">
        <v>-0.05</v>
      </c>
      <c r="AA29" s="509"/>
      <c r="AB29" s="508">
        <v>0</v>
      </c>
      <c r="AC29" s="506">
        <v>0.08</v>
      </c>
      <c r="AD29" s="507">
        <v>0.02</v>
      </c>
      <c r="AE29" s="499"/>
      <c r="AF29" s="516">
        <v>-7.0000000000000007E-2</v>
      </c>
      <c r="AG29" s="516">
        <v>-0.04</v>
      </c>
      <c r="AH29" s="516">
        <v>-0.08</v>
      </c>
      <c r="AI29" s="499"/>
      <c r="AJ29" s="52"/>
      <c r="AK29" s="52"/>
      <c r="AL29" s="52"/>
      <c r="AM29" s="499"/>
      <c r="AN29" s="52"/>
      <c r="AO29" s="52"/>
      <c r="AP29" s="52"/>
      <c r="AQ29" s="499"/>
      <c r="AR29" s="52"/>
      <c r="AS29" s="52"/>
      <c r="AT29" s="52"/>
      <c r="AU29" s="499"/>
      <c r="AV29" s="52"/>
      <c r="AW29" s="52"/>
      <c r="AX29" s="52"/>
      <c r="AY29" s="1545"/>
      <c r="AZ29" s="52"/>
      <c r="BA29" s="52"/>
      <c r="BB29" s="52"/>
      <c r="BC29" s="52"/>
      <c r="BD29" s="504"/>
      <c r="BE29" s="52"/>
      <c r="BF29" s="52"/>
      <c r="BG29" s="1545"/>
      <c r="BH29" s="504"/>
      <c r="BI29" s="52"/>
      <c r="BJ29" s="52"/>
      <c r="BK29" s="1545"/>
      <c r="BL29" s="244"/>
      <c r="BM29" s="253"/>
      <c r="BN29" s="253"/>
      <c r="BO29" s="253"/>
      <c r="BP29" s="253"/>
      <c r="BQ29" s="253"/>
      <c r="BR29" s="253"/>
      <c r="BS29" s="253"/>
      <c r="BT29" s="253"/>
      <c r="BU29" s="253"/>
      <c r="BV29" s="1946"/>
      <c r="BW29" s="13"/>
      <c r="BX29" s="13"/>
      <c r="BY29" s="13"/>
      <c r="BZ29" s="13"/>
      <c r="CA29" s="1664"/>
      <c r="CB29" s="1408"/>
    </row>
    <row r="30" spans="2:83" s="7" customFormat="1" ht="14.25" customHeight="1">
      <c r="B30" s="692" t="s">
        <v>393</v>
      </c>
      <c r="C30" s="380"/>
      <c r="D30" s="500"/>
      <c r="E30" s="500"/>
      <c r="F30" s="500"/>
      <c r="G30" s="501"/>
      <c r="H30" s="500"/>
      <c r="I30" s="500"/>
      <c r="J30" s="500"/>
      <c r="K30" s="501"/>
      <c r="L30" s="500"/>
      <c r="M30" s="500"/>
      <c r="N30" s="500"/>
      <c r="O30" s="501"/>
      <c r="P30" s="500"/>
      <c r="Q30" s="500"/>
      <c r="R30" s="500"/>
      <c r="S30" s="501"/>
      <c r="T30" s="52"/>
      <c r="U30" s="52"/>
      <c r="V30" s="52"/>
      <c r="W30" s="499"/>
      <c r="X30" s="52">
        <v>0.36</v>
      </c>
      <c r="Y30" s="52">
        <v>0.31</v>
      </c>
      <c r="Z30" s="508">
        <v>7.0000000000000007E-2</v>
      </c>
      <c r="AA30" s="509"/>
      <c r="AB30" s="508">
        <v>0.16</v>
      </c>
      <c r="AC30" s="506">
        <v>0.15</v>
      </c>
      <c r="AD30" s="507">
        <v>0.23</v>
      </c>
      <c r="AE30" s="499"/>
      <c r="AF30" s="516">
        <v>0.02</v>
      </c>
      <c r="AG30" s="516">
        <v>-0.1</v>
      </c>
      <c r="AH30" s="516">
        <v>-0.18</v>
      </c>
      <c r="AI30" s="499"/>
      <c r="AJ30" s="52"/>
      <c r="AK30" s="52"/>
      <c r="AL30" s="52"/>
      <c r="AM30" s="499"/>
      <c r="AN30" s="52"/>
      <c r="AO30" s="52"/>
      <c r="AP30" s="52"/>
      <c r="AQ30" s="499"/>
      <c r="AR30" s="52"/>
      <c r="AS30" s="52"/>
      <c r="AT30" s="52"/>
      <c r="AU30" s="499"/>
      <c r="AV30" s="52"/>
      <c r="AW30" s="52"/>
      <c r="AX30" s="52"/>
      <c r="AY30" s="1545"/>
      <c r="AZ30" s="52"/>
      <c r="BA30" s="52"/>
      <c r="BB30" s="52"/>
      <c r="BC30" s="52"/>
      <c r="BD30" s="504"/>
      <c r="BE30" s="52"/>
      <c r="BF30" s="52"/>
      <c r="BG30" s="1545"/>
      <c r="BH30" s="504"/>
      <c r="BI30" s="52"/>
      <c r="BJ30" s="52"/>
      <c r="BK30" s="1545"/>
      <c r="BL30" s="244"/>
      <c r="BM30" s="253"/>
      <c r="BN30" s="253"/>
      <c r="BO30" s="253"/>
      <c r="BP30" s="253"/>
      <c r="BQ30" s="253"/>
      <c r="BR30" s="253">
        <v>0.18</v>
      </c>
      <c r="BS30" s="253">
        <v>0.16</v>
      </c>
      <c r="BT30" s="253"/>
      <c r="BU30" s="253"/>
      <c r="BV30" s="1946"/>
      <c r="BW30" s="13"/>
      <c r="BX30" s="13"/>
      <c r="BY30" s="13"/>
      <c r="BZ30" s="13"/>
      <c r="CA30" s="1664"/>
      <c r="CB30" s="1408"/>
    </row>
    <row r="31" spans="2:83" s="7" customFormat="1" ht="14.25" customHeight="1">
      <c r="B31" s="657"/>
      <c r="C31" s="380"/>
      <c r="D31" s="500"/>
      <c r="E31" s="500"/>
      <c r="F31" s="500"/>
      <c r="G31" s="501"/>
      <c r="H31" s="500"/>
      <c r="I31" s="500"/>
      <c r="J31" s="500"/>
      <c r="K31" s="501"/>
      <c r="L31" s="500"/>
      <c r="M31" s="500"/>
      <c r="N31" s="500"/>
      <c r="O31" s="501"/>
      <c r="P31" s="500"/>
      <c r="Q31" s="500"/>
      <c r="R31" s="500"/>
      <c r="S31" s="501"/>
      <c r="T31" s="52"/>
      <c r="U31" s="52"/>
      <c r="V31" s="52"/>
      <c r="W31" s="499"/>
      <c r="X31" s="52"/>
      <c r="Y31" s="52"/>
      <c r="Z31" s="508"/>
      <c r="AA31" s="509"/>
      <c r="AB31" s="508"/>
      <c r="AC31" s="506"/>
      <c r="AD31" s="507"/>
      <c r="AE31" s="499"/>
      <c r="AF31" s="52"/>
      <c r="AG31" s="52"/>
      <c r="AH31" s="52"/>
      <c r="AI31" s="499"/>
      <c r="AJ31" s="52"/>
      <c r="AK31" s="52"/>
      <c r="AL31" s="52"/>
      <c r="AM31" s="499"/>
      <c r="AN31" s="52"/>
      <c r="AO31" s="52"/>
      <c r="AP31" s="52"/>
      <c r="AQ31" s="499"/>
      <c r="AR31" s="52"/>
      <c r="AS31" s="52"/>
      <c r="AT31" s="52"/>
      <c r="AU31" s="499"/>
      <c r="AV31" s="52"/>
      <c r="AW31" s="52"/>
      <c r="AX31" s="52"/>
      <c r="AY31" s="1545"/>
      <c r="AZ31" s="52"/>
      <c r="BA31" s="52"/>
      <c r="BB31" s="52"/>
      <c r="BC31" s="52"/>
      <c r="BD31" s="504"/>
      <c r="BE31" s="52"/>
      <c r="BF31" s="52"/>
      <c r="BG31" s="1545"/>
      <c r="BH31" s="504"/>
      <c r="BI31" s="52"/>
      <c r="BJ31" s="52"/>
      <c r="BK31" s="1545"/>
      <c r="BL31" s="244"/>
      <c r="BM31" s="253"/>
      <c r="BN31" s="253"/>
      <c r="BO31" s="253"/>
      <c r="BP31" s="253"/>
      <c r="BQ31" s="253"/>
      <c r="BR31" s="253"/>
      <c r="BS31" s="253"/>
      <c r="BT31" s="253"/>
      <c r="BU31" s="253"/>
      <c r="BV31" s="1946"/>
      <c r="BW31" s="13"/>
      <c r="BX31" s="13"/>
      <c r="BY31" s="13"/>
      <c r="BZ31" s="13"/>
      <c r="CA31" s="1664"/>
      <c r="CB31" s="1408"/>
    </row>
    <row r="32" spans="2:83" s="474" customFormat="1" ht="14.25" customHeight="1">
      <c r="B32" s="658" t="s">
        <v>424</v>
      </c>
      <c r="C32" s="475"/>
      <c r="D32" s="611"/>
      <c r="E32" s="611"/>
      <c r="F32" s="611"/>
      <c r="G32" s="612"/>
      <c r="H32" s="611"/>
      <c r="I32" s="611"/>
      <c r="J32" s="611"/>
      <c r="K32" s="612"/>
      <c r="L32" s="611"/>
      <c r="M32" s="611"/>
      <c r="N32" s="611"/>
      <c r="O32" s="612"/>
      <c r="P32" s="611"/>
      <c r="Q32" s="611"/>
      <c r="R32" s="611"/>
      <c r="S32" s="612"/>
      <c r="T32" s="631">
        <f t="shared" ref="T32:AE32" si="118">1000*(T61+T70+T81)/T26</f>
        <v>56.873684210526321</v>
      </c>
      <c r="U32" s="631">
        <f t="shared" si="118"/>
        <v>52.806288624787783</v>
      </c>
      <c r="V32" s="631">
        <f t="shared" si="118"/>
        <v>52.577666707829408</v>
      </c>
      <c r="W32" s="632">
        <f t="shared" si="118"/>
        <v>52.965557280224701</v>
      </c>
      <c r="X32" s="631">
        <f t="shared" si="118"/>
        <v>59.718902117177869</v>
      </c>
      <c r="Y32" s="631">
        <f t="shared" si="118"/>
        <v>60.382690005131437</v>
      </c>
      <c r="Z32" s="631">
        <f t="shared" si="118"/>
        <v>57.787540197307464</v>
      </c>
      <c r="AA32" s="632">
        <f t="shared" si="118"/>
        <v>58.404241255852384</v>
      </c>
      <c r="AB32" s="631">
        <f t="shared" si="118"/>
        <v>56.663781912591944</v>
      </c>
      <c r="AC32" s="631">
        <f t="shared" si="118"/>
        <v>52.546999064643522</v>
      </c>
      <c r="AD32" s="631">
        <f t="shared" si="118"/>
        <v>51.790892902569318</v>
      </c>
      <c r="AE32" s="632">
        <f t="shared" si="118"/>
        <v>54.901423465350788</v>
      </c>
      <c r="AF32" s="631">
        <f>AB32*0.98</f>
        <v>55.530506274340105</v>
      </c>
      <c r="AG32" s="631">
        <f t="shared" ref="AG32:AZ32" si="119">1000*(AG61+AG70+AG81)/AG26</f>
        <v>48.425389842220433</v>
      </c>
      <c r="AH32" s="631">
        <f t="shared" si="119"/>
        <v>45.976183191198494</v>
      </c>
      <c r="AI32" s="632">
        <f t="shared" si="119"/>
        <v>48.610550947416485</v>
      </c>
      <c r="AJ32" s="631">
        <f t="shared" si="119"/>
        <v>49.31232956623893</v>
      </c>
      <c r="AK32" s="631">
        <f t="shared" si="119"/>
        <v>46.904627486677249</v>
      </c>
      <c r="AL32" s="631">
        <f t="shared" si="119"/>
        <v>47.10692916839286</v>
      </c>
      <c r="AM32" s="632">
        <f t="shared" si="119"/>
        <v>48.089284350861362</v>
      </c>
      <c r="AN32" s="631">
        <f t="shared" si="119"/>
        <v>47.749586900294567</v>
      </c>
      <c r="AO32" s="631">
        <f t="shared" si="119"/>
        <v>48.969930042228199</v>
      </c>
      <c r="AP32" s="631">
        <f t="shared" si="119"/>
        <v>48.52068508230299</v>
      </c>
      <c r="AQ32" s="632">
        <f t="shared" si="119"/>
        <v>47.810613733338769</v>
      </c>
      <c r="AR32" s="631">
        <f t="shared" si="119"/>
        <v>47.506700375659655</v>
      </c>
      <c r="AS32" s="631">
        <f t="shared" si="119"/>
        <v>47.875867057762996</v>
      </c>
      <c r="AT32" s="631">
        <f t="shared" si="119"/>
        <v>48.351646614575223</v>
      </c>
      <c r="AU32" s="632">
        <f t="shared" si="119"/>
        <v>47.997844273816071</v>
      </c>
      <c r="AV32" s="631">
        <f t="shared" si="119"/>
        <v>47.168701354731027</v>
      </c>
      <c r="AW32" s="631">
        <f t="shared" si="119"/>
        <v>47.702148078839585</v>
      </c>
      <c r="AX32" s="631">
        <f t="shared" si="119"/>
        <v>47.365201450156114</v>
      </c>
      <c r="AY32" s="1546">
        <f t="shared" si="119"/>
        <v>46.826539556979348</v>
      </c>
      <c r="AZ32" s="631">
        <f t="shared" si="119"/>
        <v>49.836476836951704</v>
      </c>
      <c r="BA32" s="631">
        <f t="shared" ref="BA32:BC32" si="120">1000*(BA61+BA70+BA81)/BA26</f>
        <v>49.116702466526078</v>
      </c>
      <c r="BB32" s="631">
        <f t="shared" si="120"/>
        <v>52.395281701959114</v>
      </c>
      <c r="BC32" s="631">
        <f t="shared" si="120"/>
        <v>53.401016385434403</v>
      </c>
      <c r="BD32" s="1729">
        <f t="shared" ref="BD32:BG32" si="121">1000*(BD61+BD70+BD81)/BD26</f>
        <v>56.792389010422028</v>
      </c>
      <c r="BE32" s="631">
        <f t="shared" si="121"/>
        <v>58.366157425053032</v>
      </c>
      <c r="BF32" s="631">
        <f t="shared" si="121"/>
        <v>61.062506435554383</v>
      </c>
      <c r="BG32" s="1546">
        <f t="shared" si="121"/>
        <v>61.297866842843014</v>
      </c>
      <c r="BH32" s="1729">
        <f t="shared" ref="BH32:BK32" si="122">1000*(BH61+BH70+BH81)/BH26</f>
        <v>62.338591890336566</v>
      </c>
      <c r="BI32" s="631">
        <f t="shared" si="122"/>
        <v>63.824174286558012</v>
      </c>
      <c r="BJ32" s="631">
        <f t="shared" si="122"/>
        <v>65.475639420232213</v>
      </c>
      <c r="BK32" s="1546">
        <f t="shared" si="122"/>
        <v>67.462620949593116</v>
      </c>
      <c r="BL32" s="476"/>
      <c r="BM32" s="477"/>
      <c r="BN32" s="477"/>
      <c r="BO32" s="477"/>
      <c r="BP32" s="477"/>
      <c r="BQ32" s="706">
        <f t="shared" ref="BQ32:BX32" si="123">+BQ20/BQ26*1000</f>
        <v>53.711316738322033</v>
      </c>
      <c r="BR32" s="706">
        <f t="shared" si="123"/>
        <v>59.048500534518652</v>
      </c>
      <c r="BS32" s="706">
        <f t="shared" si="123"/>
        <v>53.938115844994144</v>
      </c>
      <c r="BT32" s="706">
        <f t="shared" si="123"/>
        <v>49.549785436233321</v>
      </c>
      <c r="BU32" s="706">
        <f t="shared" si="123"/>
        <v>47.951449430799038</v>
      </c>
      <c r="BV32" s="1949">
        <f t="shared" si="123"/>
        <v>48.593253060570376</v>
      </c>
      <c r="BW32" s="980">
        <f t="shared" si="123"/>
        <v>48.007430752546021</v>
      </c>
      <c r="BX32" s="980">
        <f t="shared" si="123"/>
        <v>47.247524251546814</v>
      </c>
      <c r="BY32" s="980">
        <f>+BY20/BY26*1000</f>
        <v>51.373093286424819</v>
      </c>
      <c r="BZ32" s="980">
        <f>+BZ20/BZ26*1000</f>
        <v>59.504910691265827</v>
      </c>
      <c r="CA32" s="1671">
        <f>+CA20/CA26*1000</f>
        <v>64.788446559663598</v>
      </c>
      <c r="CB32" s="1408"/>
    </row>
    <row r="33" spans="2:80" s="7" customFormat="1" ht="14.25" customHeight="1">
      <c r="B33" s="692" t="s">
        <v>390</v>
      </c>
      <c r="C33" s="380"/>
      <c r="D33" s="500"/>
      <c r="E33" s="500"/>
      <c r="F33" s="500"/>
      <c r="G33" s="501"/>
      <c r="H33" s="606"/>
      <c r="I33" s="500"/>
      <c r="J33" s="500"/>
      <c r="K33" s="501"/>
      <c r="L33" s="606"/>
      <c r="M33" s="500"/>
      <c r="N33" s="500"/>
      <c r="O33" s="501"/>
      <c r="P33" s="606"/>
      <c r="Q33" s="500"/>
      <c r="R33" s="500"/>
      <c r="S33" s="501"/>
      <c r="T33" s="52"/>
      <c r="U33" s="52">
        <f t="shared" ref="U33:AM33" si="124">U32/T32-1</f>
        <v>-7.1516302173822099E-2</v>
      </c>
      <c r="V33" s="52">
        <f t="shared" si="124"/>
        <v>-4.3294448996943347E-3</v>
      </c>
      <c r="W33" s="499">
        <f t="shared" si="124"/>
        <v>7.3774778662349938E-3</v>
      </c>
      <c r="X33" s="52">
        <f t="shared" si="124"/>
        <v>0.12750446108257241</v>
      </c>
      <c r="Y33" s="52">
        <f t="shared" si="124"/>
        <v>1.111520581291181E-2</v>
      </c>
      <c r="Z33" s="52">
        <f t="shared" si="124"/>
        <v>-4.2978373563738792E-2</v>
      </c>
      <c r="AA33" s="499">
        <f t="shared" si="124"/>
        <v>1.0671868995276057E-2</v>
      </c>
      <c r="AB33" s="52">
        <f t="shared" si="124"/>
        <v>-2.9800221796153159E-2</v>
      </c>
      <c r="AC33" s="52">
        <f t="shared" si="124"/>
        <v>-7.265280764878812E-2</v>
      </c>
      <c r="AD33" s="52">
        <f t="shared" si="124"/>
        <v>-1.4389140684209933E-2</v>
      </c>
      <c r="AE33" s="499">
        <f t="shared" si="124"/>
        <v>6.0059411770194693E-2</v>
      </c>
      <c r="AF33" s="52">
        <f t="shared" si="124"/>
        <v>1.1458406162935697E-2</v>
      </c>
      <c r="AG33" s="52">
        <f>AG32/AF32-1</f>
        <v>-0.12794978668153889</v>
      </c>
      <c r="AH33" s="52">
        <f t="shared" si="124"/>
        <v>-5.0576911388879764E-2</v>
      </c>
      <c r="AI33" s="499">
        <f t="shared" si="124"/>
        <v>5.7298530964664751E-2</v>
      </c>
      <c r="AJ33" s="52">
        <f t="shared" si="124"/>
        <v>1.4436755090095232E-2</v>
      </c>
      <c r="AK33" s="52">
        <f t="shared" si="124"/>
        <v>-4.8825559464343082E-2</v>
      </c>
      <c r="AL33" s="52">
        <f t="shared" si="124"/>
        <v>4.3130431378668455E-3</v>
      </c>
      <c r="AM33" s="499">
        <f t="shared" si="124"/>
        <v>2.0853730009801286E-2</v>
      </c>
      <c r="AN33" s="52">
        <f t="shared" ref="AN33:AU33" si="125">AN32/AM32-1</f>
        <v>-7.063890743067569E-3</v>
      </c>
      <c r="AO33" s="52">
        <f t="shared" si="125"/>
        <v>2.5557145541003745E-2</v>
      </c>
      <c r="AP33" s="52">
        <f t="shared" si="125"/>
        <v>-9.1738942558793335E-3</v>
      </c>
      <c r="AQ33" s="499">
        <f t="shared" si="125"/>
        <v>-1.4634404847329807E-2</v>
      </c>
      <c r="AR33" s="52">
        <f t="shared" si="125"/>
        <v>-6.3566085843234088E-3</v>
      </c>
      <c r="AS33" s="52">
        <f t="shared" si="125"/>
        <v>7.7708339915032454E-3</v>
      </c>
      <c r="AT33" s="52">
        <f t="shared" si="125"/>
        <v>9.9377742075812403E-3</v>
      </c>
      <c r="AU33" s="499">
        <f t="shared" si="125"/>
        <v>-7.317275946761681E-3</v>
      </c>
      <c r="AV33" s="52">
        <f t="shared" ref="AV33" si="126">AV32/AU32-1</f>
        <v>-1.7274586632578415E-2</v>
      </c>
      <c r="AW33" s="52">
        <f t="shared" ref="AW33:AZ33" si="127">AW32/AV32-1</f>
        <v>1.1309336674266035E-2</v>
      </c>
      <c r="AX33" s="52">
        <f t="shared" si="127"/>
        <v>-7.063552528632111E-3</v>
      </c>
      <c r="AY33" s="1545">
        <f t="shared" si="127"/>
        <v>-1.1372524061649236E-2</v>
      </c>
      <c r="AZ33" s="52">
        <f t="shared" si="127"/>
        <v>6.4278447829992036E-2</v>
      </c>
      <c r="BA33" s="52">
        <f t="shared" ref="BA33" si="128">BA32/AZ32-1</f>
        <v>-1.444272179954631E-2</v>
      </c>
      <c r="BB33" s="52">
        <f t="shared" ref="BB33" si="129">BB32/BA32-1</f>
        <v>6.675080106746667E-2</v>
      </c>
      <c r="BC33" s="52">
        <f t="shared" ref="BC33" si="130">BC32/BB32-1</f>
        <v>1.9195138394259015E-2</v>
      </c>
      <c r="BD33" s="504">
        <f t="shared" ref="BD33" si="131">BD32/BC32-1</f>
        <v>6.3507641886618726E-2</v>
      </c>
      <c r="BE33" s="52">
        <f t="shared" ref="BE33" si="132">BE32/BD32-1</f>
        <v>2.7710903556851685E-2</v>
      </c>
      <c r="BF33" s="52">
        <f t="shared" ref="BF33" si="133">BF32/BE32-1</f>
        <v>4.6197130828146138E-2</v>
      </c>
      <c r="BG33" s="1545">
        <f t="shared" ref="BG33" si="134">BG32/BF32-1</f>
        <v>3.854417727464643E-3</v>
      </c>
      <c r="BH33" s="504">
        <f t="shared" ref="BH33" si="135">BH32/BG32-1</f>
        <v>1.6978160922985985E-2</v>
      </c>
      <c r="BI33" s="52">
        <f t="shared" ref="BI33" si="136">BI32/BH32-1</f>
        <v>2.3830862250382889E-2</v>
      </c>
      <c r="BJ33" s="52">
        <f t="shared" ref="BJ33" si="137">BJ32/BI32-1</f>
        <v>2.5875229129631139E-2</v>
      </c>
      <c r="BK33" s="1545">
        <f t="shared" ref="BK33" si="138">BK32/BJ32-1</f>
        <v>3.0346882397102926E-2</v>
      </c>
      <c r="BL33" s="244"/>
      <c r="BM33" s="253"/>
      <c r="BN33" s="253"/>
      <c r="BO33" s="253"/>
      <c r="BP33" s="253"/>
      <c r="BQ33" s="253"/>
      <c r="BR33" s="253"/>
      <c r="BS33" s="253"/>
      <c r="BT33" s="253"/>
      <c r="BU33" s="253"/>
      <c r="BV33" s="1946"/>
      <c r="BW33" s="13"/>
      <c r="BX33" s="13"/>
      <c r="BY33" s="13"/>
      <c r="BZ33" s="13"/>
      <c r="CA33" s="1664"/>
      <c r="CB33" s="1408"/>
    </row>
    <row r="34" spans="2:80" s="7" customFormat="1" ht="14.25" customHeight="1">
      <c r="B34" s="692" t="s">
        <v>391</v>
      </c>
      <c r="C34" s="380"/>
      <c r="D34" s="500"/>
      <c r="E34" s="500"/>
      <c r="F34" s="500"/>
      <c r="G34" s="501"/>
      <c r="H34" s="606"/>
      <c r="I34" s="500"/>
      <c r="J34" s="500"/>
      <c r="K34" s="501"/>
      <c r="L34" s="606"/>
      <c r="M34" s="500"/>
      <c r="N34" s="500"/>
      <c r="O34" s="501"/>
      <c r="P34" s="606"/>
      <c r="Q34" s="500"/>
      <c r="R34" s="500"/>
      <c r="S34" s="501"/>
      <c r="T34" s="52"/>
      <c r="U34" s="52"/>
      <c r="V34" s="52"/>
      <c r="W34" s="499"/>
      <c r="X34" s="52">
        <f t="shared" ref="X34:AM34" si="139">X32/T32-1</f>
        <v>5.0026966709586729E-2</v>
      </c>
      <c r="Y34" s="52">
        <f t="shared" si="139"/>
        <v>0.14347536207623612</v>
      </c>
      <c r="Z34" s="52">
        <f t="shared" si="139"/>
        <v>9.9089096487087858E-2</v>
      </c>
      <c r="AA34" s="499">
        <f t="shared" si="139"/>
        <v>0.10268340889633731</v>
      </c>
      <c r="AB34" s="52">
        <f t="shared" si="139"/>
        <v>-5.1158345118121895E-2</v>
      </c>
      <c r="AC34" s="52">
        <f t="shared" si="139"/>
        <v>-0.12976717234396185</v>
      </c>
      <c r="AD34" s="52">
        <f t="shared" si="139"/>
        <v>-0.10377059266173005</v>
      </c>
      <c r="AE34" s="499">
        <f t="shared" si="139"/>
        <v>-5.9975401018510732E-2</v>
      </c>
      <c r="AF34" s="52">
        <f t="shared" si="139"/>
        <v>-2.0000000000000018E-2</v>
      </c>
      <c r="AG34" s="52">
        <f t="shared" si="139"/>
        <v>-7.8436624275206812E-2</v>
      </c>
      <c r="AH34" s="52">
        <f t="shared" si="139"/>
        <v>-0.11227282221817725</v>
      </c>
      <c r="AI34" s="499">
        <f t="shared" si="139"/>
        <v>-0.11458487086231162</v>
      </c>
      <c r="AJ34" s="52">
        <f t="shared" si="139"/>
        <v>-0.11197767002845627</v>
      </c>
      <c r="AK34" s="52">
        <f t="shared" si="139"/>
        <v>-3.1404235680871806E-2</v>
      </c>
      <c r="AL34" s="52">
        <f t="shared" si="139"/>
        <v>2.4594168082461287E-2</v>
      </c>
      <c r="AM34" s="499">
        <f t="shared" si="139"/>
        <v>-1.0723322126486301E-2</v>
      </c>
      <c r="AN34" s="52">
        <f t="shared" ref="AN34:AU34" si="140">AN32/AJ32-1</f>
        <v>-3.1690708585267791E-2</v>
      </c>
      <c r="AO34" s="52">
        <f t="shared" si="140"/>
        <v>4.4031957318871662E-2</v>
      </c>
      <c r="AP34" s="52">
        <f t="shared" si="140"/>
        <v>3.0011633933011872E-2</v>
      </c>
      <c r="AQ34" s="499">
        <f t="shared" si="140"/>
        <v>-5.7948589022327468E-3</v>
      </c>
      <c r="AR34" s="52">
        <f t="shared" si="140"/>
        <v>-5.086672794511915E-3</v>
      </c>
      <c r="AS34" s="52">
        <f t="shared" si="140"/>
        <v>-2.234152639225262E-2</v>
      </c>
      <c r="AT34" s="52">
        <f t="shared" si="140"/>
        <v>-3.4838433843429328E-3</v>
      </c>
      <c r="AU34" s="499">
        <f t="shared" si="140"/>
        <v>3.9160873675785357E-3</v>
      </c>
      <c r="AV34" s="52">
        <f t="shared" ref="AV34" si="141">AV32/AR32-1</f>
        <v>-7.1147652490258784E-3</v>
      </c>
      <c r="AW34" s="52">
        <f t="shared" ref="AW34:AZ34" si="142">AW32/AS32-1</f>
        <v>-3.6285291442098577E-3</v>
      </c>
      <c r="AX34" s="52">
        <f t="shared" si="142"/>
        <v>-2.0401480269789829E-2</v>
      </c>
      <c r="AY34" s="1545">
        <f t="shared" si="142"/>
        <v>-2.4403277575440918E-2</v>
      </c>
      <c r="AZ34" s="52">
        <f t="shared" si="142"/>
        <v>5.6558171109222233E-2</v>
      </c>
      <c r="BA34" s="52">
        <f t="shared" ref="BA34" si="143">BA32/AW32-1</f>
        <v>2.9653892846682517E-2</v>
      </c>
      <c r="BB34" s="52">
        <f t="shared" ref="BB34" si="144">BB32/AX32-1</f>
        <v>0.10619780129292411</v>
      </c>
      <c r="BC34" s="52">
        <f t="shared" ref="BC34" si="145">BC32/AY32-1</f>
        <v>0.14040065506986954</v>
      </c>
      <c r="BD34" s="504">
        <f t="shared" ref="BD34" si="146">BD32/AZ32-1</f>
        <v>0.13957471745500283</v>
      </c>
      <c r="BE34" s="52">
        <f t="shared" ref="BE34" si="147">BE32/BA32-1</f>
        <v>0.18831587818483175</v>
      </c>
      <c r="BF34" s="52">
        <f t="shared" ref="BF34" si="148">BF32/BB32-1</f>
        <v>0.16541994721771269</v>
      </c>
      <c r="BG34" s="1545">
        <f t="shared" ref="BG34" si="149">BG32/BC32-1</f>
        <v>0.14787828007637982</v>
      </c>
      <c r="BH34" s="504">
        <f t="shared" ref="BH34" si="150">BH32/BD32-1</f>
        <v>9.7657502643474725E-2</v>
      </c>
      <c r="BI34" s="52">
        <f t="shared" ref="BI34" si="151">BI32/BE32-1</f>
        <v>9.3513383479348011E-2</v>
      </c>
      <c r="BJ34" s="52">
        <f t="shared" ref="BJ34" si="152">BJ32/BF32-1</f>
        <v>7.2272385171995301E-2</v>
      </c>
      <c r="BK34" s="1545">
        <f t="shared" ref="BK34" si="153">BK32/BG32-1</f>
        <v>0.10057045088625105</v>
      </c>
      <c r="BL34" s="244"/>
      <c r="BM34" s="253"/>
      <c r="BN34" s="253"/>
      <c r="BO34" s="253"/>
      <c r="BP34" s="253"/>
      <c r="BQ34" s="253"/>
      <c r="BR34" s="253"/>
      <c r="BS34" s="253"/>
      <c r="BT34" s="253"/>
      <c r="BU34" s="253"/>
      <c r="BV34" s="1946"/>
      <c r="BW34" s="13"/>
      <c r="BX34" s="13"/>
      <c r="BY34" s="13"/>
      <c r="BZ34" s="13"/>
      <c r="CA34" s="1664"/>
      <c r="CB34" s="1408"/>
    </row>
    <row r="35" spans="2:80" s="7" customFormat="1" ht="14.25" customHeight="1">
      <c r="B35" s="692" t="s">
        <v>392</v>
      </c>
      <c r="C35" s="380"/>
      <c r="D35" s="500"/>
      <c r="E35" s="500"/>
      <c r="F35" s="500"/>
      <c r="G35" s="501"/>
      <c r="H35" s="500"/>
      <c r="I35" s="500"/>
      <c r="J35" s="500"/>
      <c r="K35" s="501"/>
      <c r="L35" s="500"/>
      <c r="M35" s="500"/>
      <c r="N35" s="500"/>
      <c r="O35" s="501"/>
      <c r="P35" s="500"/>
      <c r="Q35" s="500"/>
      <c r="R35" s="500"/>
      <c r="S35" s="501"/>
      <c r="T35" s="52"/>
      <c r="U35" s="52"/>
      <c r="V35" s="52"/>
      <c r="W35" s="499"/>
      <c r="X35" s="52">
        <v>7.0000000000000007E-2</v>
      </c>
      <c r="Y35" s="52">
        <v>-0.05</v>
      </c>
      <c r="Z35" s="508">
        <v>0.06</v>
      </c>
      <c r="AA35" s="509"/>
      <c r="AB35" s="508">
        <v>-0.02</v>
      </c>
      <c r="AC35" s="506">
        <v>-7.0000000000000007E-2</v>
      </c>
      <c r="AD35" s="507">
        <v>0.05</v>
      </c>
      <c r="AE35" s="499"/>
      <c r="AF35" s="516">
        <v>-0.01</v>
      </c>
      <c r="AG35" s="516">
        <v>-0.09</v>
      </c>
      <c r="AH35" s="516">
        <v>-0.04</v>
      </c>
      <c r="AI35" s="499"/>
      <c r="AJ35" s="52"/>
      <c r="AK35" s="52"/>
      <c r="AL35" s="52"/>
      <c r="AM35" s="499"/>
      <c r="AN35" s="52"/>
      <c r="AO35" s="52"/>
      <c r="AP35" s="52"/>
      <c r="AQ35" s="499"/>
      <c r="AR35" s="52"/>
      <c r="AS35" s="52"/>
      <c r="AT35" s="52"/>
      <c r="AU35" s="499"/>
      <c r="AV35" s="52"/>
      <c r="AW35" s="52"/>
      <c r="AX35" s="52"/>
      <c r="AY35" s="1545"/>
      <c r="AZ35" s="52"/>
      <c r="BA35" s="52"/>
      <c r="BB35" s="52"/>
      <c r="BC35" s="52"/>
      <c r="BD35" s="504"/>
      <c r="BE35" s="52"/>
      <c r="BF35" s="52"/>
      <c r="BG35" s="1545"/>
      <c r="BH35" s="504"/>
      <c r="BI35" s="52"/>
      <c r="BJ35" s="52"/>
      <c r="BK35" s="1545"/>
      <c r="BL35" s="244"/>
      <c r="BM35" s="253"/>
      <c r="BN35" s="253"/>
      <c r="BO35" s="253"/>
      <c r="BP35" s="253"/>
      <c r="BQ35" s="253"/>
      <c r="BR35" s="253"/>
      <c r="BS35" s="253"/>
      <c r="BT35" s="253"/>
      <c r="BU35" s="253"/>
      <c r="BV35" s="1946"/>
      <c r="BW35" s="13"/>
      <c r="BX35" s="13"/>
      <c r="BY35" s="13"/>
      <c r="BZ35" s="13"/>
      <c r="CA35" s="1664"/>
      <c r="CB35" s="1408"/>
    </row>
    <row r="36" spans="2:80" s="7" customFormat="1" ht="14.25" customHeight="1">
      <c r="B36" s="692" t="s">
        <v>393</v>
      </c>
      <c r="C36" s="380"/>
      <c r="D36" s="500"/>
      <c r="E36" s="500"/>
      <c r="F36" s="500"/>
      <c r="G36" s="501"/>
      <c r="H36" s="500"/>
      <c r="I36" s="500"/>
      <c r="J36" s="500"/>
      <c r="K36" s="501"/>
      <c r="L36" s="500"/>
      <c r="M36" s="500"/>
      <c r="N36" s="500"/>
      <c r="O36" s="501"/>
      <c r="P36" s="500"/>
      <c r="Q36" s="500"/>
      <c r="R36" s="500"/>
      <c r="S36" s="501"/>
      <c r="T36" s="52"/>
      <c r="U36" s="52"/>
      <c r="V36" s="52"/>
      <c r="W36" s="499"/>
      <c r="X36" s="52">
        <v>-0.09</v>
      </c>
      <c r="Y36" s="52">
        <v>0.02</v>
      </c>
      <c r="Z36" s="508">
        <v>0.06</v>
      </c>
      <c r="AA36" s="509"/>
      <c r="AB36" s="508">
        <v>-0.11</v>
      </c>
      <c r="AC36" s="506">
        <v>-0.13</v>
      </c>
      <c r="AD36" s="507">
        <v>-0.15</v>
      </c>
      <c r="AE36" s="499"/>
      <c r="AF36" s="516">
        <v>-0.02</v>
      </c>
      <c r="AG36" s="516">
        <v>-0.04</v>
      </c>
      <c r="AH36" s="516">
        <v>-0.12</v>
      </c>
      <c r="AI36" s="499"/>
      <c r="AJ36" s="52"/>
      <c r="AK36" s="52"/>
      <c r="AL36" s="52"/>
      <c r="AM36" s="499"/>
      <c r="AN36" s="52"/>
      <c r="AO36" s="52"/>
      <c r="AP36" s="52"/>
      <c r="AQ36" s="499"/>
      <c r="AR36" s="52"/>
      <c r="AS36" s="52"/>
      <c r="AT36" s="52"/>
      <c r="AU36" s="499"/>
      <c r="AV36" s="52"/>
      <c r="AW36" s="52"/>
      <c r="AX36" s="52"/>
      <c r="AY36" s="1545"/>
      <c r="AZ36" s="52"/>
      <c r="BA36" s="52"/>
      <c r="BB36" s="52"/>
      <c r="BC36" s="52"/>
      <c r="BD36" s="504"/>
      <c r="BE36" s="52"/>
      <c r="BF36" s="52"/>
      <c r="BG36" s="1545"/>
      <c r="BH36" s="504"/>
      <c r="BI36" s="52"/>
      <c r="BJ36" s="52"/>
      <c r="BK36" s="1545"/>
      <c r="BL36" s="244"/>
      <c r="BM36" s="253"/>
      <c r="BN36" s="253"/>
      <c r="BO36" s="253"/>
      <c r="BP36" s="253"/>
      <c r="BQ36" s="253"/>
      <c r="BR36" s="253">
        <v>-0.02</v>
      </c>
      <c r="BS36" s="253">
        <v>-0.11</v>
      </c>
      <c r="BT36" s="253"/>
      <c r="BU36" s="253"/>
      <c r="BV36" s="1946"/>
      <c r="BW36" s="13"/>
      <c r="BX36" s="13"/>
      <c r="BY36" s="13"/>
      <c r="BZ36" s="13"/>
      <c r="CA36" s="1664"/>
      <c r="CB36" s="1408"/>
    </row>
    <row r="37" spans="2:80" s="7" customFormat="1" ht="14.25" customHeight="1">
      <c r="B37" s="657"/>
      <c r="C37" s="380"/>
      <c r="D37" s="500"/>
      <c r="E37" s="500"/>
      <c r="F37" s="500"/>
      <c r="G37" s="501"/>
      <c r="H37" s="500"/>
      <c r="I37" s="500"/>
      <c r="J37" s="500"/>
      <c r="K37" s="501"/>
      <c r="L37" s="500"/>
      <c r="M37" s="500"/>
      <c r="N37" s="500"/>
      <c r="O37" s="501"/>
      <c r="P37" s="500"/>
      <c r="Q37" s="500"/>
      <c r="R37" s="500"/>
      <c r="S37" s="501"/>
      <c r="T37" s="52"/>
      <c r="U37" s="52"/>
      <c r="V37" s="52"/>
      <c r="W37" s="499"/>
      <c r="X37" s="52"/>
      <c r="Y37" s="52"/>
      <c r="Z37" s="508"/>
      <c r="AA37" s="509"/>
      <c r="AB37" s="565"/>
      <c r="AC37" s="565"/>
      <c r="AD37" s="566"/>
      <c r="AE37" s="704"/>
      <c r="AF37" s="705"/>
      <c r="AG37" s="705"/>
      <c r="AH37" s="52"/>
      <c r="AI37" s="499"/>
      <c r="AJ37" s="52"/>
      <c r="AK37" s="52"/>
      <c r="AL37" s="52"/>
      <c r="AM37" s="499"/>
      <c r="AN37" s="52"/>
      <c r="AO37" s="52"/>
      <c r="AP37" s="52"/>
      <c r="AQ37" s="499"/>
      <c r="AR37" s="52"/>
      <c r="AS37" s="52"/>
      <c r="AT37" s="52"/>
      <c r="AU37" s="499"/>
      <c r="AV37" s="52"/>
      <c r="AW37" s="52"/>
      <c r="AX37" s="52"/>
      <c r="AY37" s="1545"/>
      <c r="AZ37" s="52"/>
      <c r="BA37" s="52"/>
      <c r="BB37" s="52"/>
      <c r="BC37" s="52"/>
      <c r="BD37" s="504"/>
      <c r="BE37" s="52"/>
      <c r="BF37" s="52"/>
      <c r="BG37" s="1545"/>
      <c r="BH37" s="504"/>
      <c r="BI37" s="52"/>
      <c r="BJ37" s="52"/>
      <c r="BK37" s="1545"/>
      <c r="BL37" s="244"/>
      <c r="BM37" s="253"/>
      <c r="BN37" s="253"/>
      <c r="BO37" s="253"/>
      <c r="BP37" s="253"/>
      <c r="BQ37" s="253"/>
      <c r="BR37" s="253"/>
      <c r="BS37" s="253"/>
      <c r="BT37" s="253"/>
      <c r="BU37" s="253"/>
      <c r="BV37" s="1946"/>
      <c r="BW37" s="13"/>
      <c r="BX37" s="13"/>
      <c r="BY37" s="13"/>
      <c r="BZ37" s="13"/>
      <c r="CA37" s="1664"/>
      <c r="CB37" s="1408"/>
    </row>
    <row r="38" spans="2:80" s="7" customFormat="1" ht="14.25" customHeight="1">
      <c r="B38" s="657"/>
      <c r="C38" s="380"/>
      <c r="D38" s="500"/>
      <c r="E38" s="500"/>
      <c r="F38" s="500"/>
      <c r="G38" s="501"/>
      <c r="H38" s="500"/>
      <c r="I38" s="500"/>
      <c r="J38" s="500"/>
      <c r="K38" s="501"/>
      <c r="L38" s="500"/>
      <c r="M38" s="500"/>
      <c r="N38" s="500"/>
      <c r="O38" s="501"/>
      <c r="P38" s="500"/>
      <c r="Q38" s="500"/>
      <c r="R38" s="500"/>
      <c r="S38" s="501"/>
      <c r="T38" s="52"/>
      <c r="U38" s="52"/>
      <c r="V38" s="52"/>
      <c r="W38" s="499"/>
      <c r="X38" s="52"/>
      <c r="Y38" s="52"/>
      <c r="Z38" s="508"/>
      <c r="AA38" s="509"/>
      <c r="AB38" s="565"/>
      <c r="AC38" s="565"/>
      <c r="AD38" s="566"/>
      <c r="AE38" s="704"/>
      <c r="AF38" s="705"/>
      <c r="AG38" s="705"/>
      <c r="AH38" s="52"/>
      <c r="AI38" s="499"/>
      <c r="AJ38" s="52"/>
      <c r="AK38" s="52"/>
      <c r="AL38" s="52"/>
      <c r="AM38" s="499"/>
      <c r="AN38" s="52"/>
      <c r="AO38" s="52"/>
      <c r="AP38" s="52"/>
      <c r="AQ38" s="499"/>
      <c r="AR38" s="52"/>
      <c r="AS38" s="52"/>
      <c r="AT38" s="52"/>
      <c r="AU38" s="499"/>
      <c r="AV38" s="52"/>
      <c r="AW38" s="52"/>
      <c r="AX38" s="52"/>
      <c r="AY38" s="1545"/>
      <c r="AZ38" s="52"/>
      <c r="BA38" s="52"/>
      <c r="BB38" s="52"/>
      <c r="BC38" s="52"/>
      <c r="BD38" s="504"/>
      <c r="BE38" s="52"/>
      <c r="BF38" s="52"/>
      <c r="BG38" s="1545"/>
      <c r="BH38" s="504"/>
      <c r="BI38" s="52"/>
      <c r="BJ38" s="52"/>
      <c r="BK38" s="1545"/>
      <c r="BL38" s="244"/>
      <c r="BM38" s="253"/>
      <c r="BN38" s="253"/>
      <c r="BO38" s="253"/>
      <c r="BP38" s="253"/>
      <c r="BQ38" s="253"/>
      <c r="BR38" s="253"/>
      <c r="BS38" s="253"/>
      <c r="BT38" s="253"/>
      <c r="BU38" s="253"/>
      <c r="BV38" s="1946"/>
      <c r="BW38" s="13"/>
      <c r="BX38" s="13"/>
      <c r="BY38" s="13"/>
      <c r="BZ38" s="13"/>
      <c r="CA38" s="1664"/>
      <c r="CB38" s="1408"/>
    </row>
    <row r="39" spans="2:80" s="115" customFormat="1" ht="14.25" customHeight="1">
      <c r="B39" s="755" t="s">
        <v>421</v>
      </c>
      <c r="C39" s="756"/>
      <c r="D39" s="757"/>
      <c r="E39" s="757"/>
      <c r="F39" s="757"/>
      <c r="G39" s="758"/>
      <c r="H39" s="757"/>
      <c r="I39" s="757"/>
      <c r="J39" s="757"/>
      <c r="K39" s="758"/>
      <c r="L39" s="757"/>
      <c r="M39" s="757"/>
      <c r="N39" s="757"/>
      <c r="O39" s="758"/>
      <c r="P39" s="757"/>
      <c r="Q39" s="757"/>
      <c r="R39" s="757"/>
      <c r="S39" s="758"/>
      <c r="T39" s="757"/>
      <c r="U39" s="757"/>
      <c r="V39" s="757"/>
      <c r="W39" s="758"/>
      <c r="X39" s="757"/>
      <c r="Y39" s="757"/>
      <c r="Z39" s="759"/>
      <c r="AA39" s="760"/>
      <c r="AB39" s="761"/>
      <c r="AC39" s="761"/>
      <c r="AD39" s="761"/>
      <c r="AE39" s="762"/>
      <c r="AF39" s="761"/>
      <c r="AG39" s="761"/>
      <c r="AH39" s="757"/>
      <c r="AI39" s="758"/>
      <c r="AJ39" s="757"/>
      <c r="AK39" s="757"/>
      <c r="AL39" s="757"/>
      <c r="AM39" s="758"/>
      <c r="AN39" s="757"/>
      <c r="AO39" s="757"/>
      <c r="AP39" s="757"/>
      <c r="AQ39" s="758"/>
      <c r="AR39" s="757"/>
      <c r="AS39" s="757"/>
      <c r="AT39" s="757"/>
      <c r="AU39" s="758"/>
      <c r="AV39" s="757"/>
      <c r="AW39" s="757"/>
      <c r="AX39" s="1547"/>
      <c r="AY39" s="1548"/>
      <c r="AZ39" s="1547"/>
      <c r="BA39" s="757"/>
      <c r="BB39" s="757"/>
      <c r="BC39" s="757"/>
      <c r="BD39" s="1730"/>
      <c r="BE39" s="757"/>
      <c r="BF39" s="757"/>
      <c r="BG39" s="1731"/>
      <c r="BH39" s="1730"/>
      <c r="BI39" s="757"/>
      <c r="BJ39" s="757"/>
      <c r="BK39" s="1731"/>
      <c r="BL39" s="489"/>
      <c r="BM39" s="763"/>
      <c r="BN39" s="763"/>
      <c r="BO39" s="763"/>
      <c r="BP39" s="763"/>
      <c r="BQ39" s="763"/>
      <c r="BR39" s="763"/>
      <c r="BS39" s="763"/>
      <c r="BT39" s="763"/>
      <c r="BU39" s="763"/>
      <c r="BV39" s="1950"/>
      <c r="BW39" s="776"/>
      <c r="BX39" s="776"/>
      <c r="BY39" s="776"/>
      <c r="BZ39" s="776"/>
      <c r="CA39" s="1951"/>
      <c r="CB39" s="1408"/>
    </row>
    <row r="40" spans="2:80" s="764" customFormat="1" ht="14.25" customHeight="1">
      <c r="B40" s="659"/>
      <c r="C40" s="765"/>
      <c r="D40" s="735"/>
      <c r="E40" s="735"/>
      <c r="F40" s="735"/>
      <c r="G40" s="736"/>
      <c r="H40" s="735"/>
      <c r="I40" s="735"/>
      <c r="J40" s="735"/>
      <c r="K40" s="736"/>
      <c r="L40" s="735"/>
      <c r="M40" s="735"/>
      <c r="N40" s="735"/>
      <c r="O40" s="736"/>
      <c r="P40" s="735"/>
      <c r="Q40" s="735"/>
      <c r="R40" s="735"/>
      <c r="S40" s="736"/>
      <c r="T40" s="735"/>
      <c r="U40" s="735"/>
      <c r="V40" s="735"/>
      <c r="W40" s="736"/>
      <c r="X40" s="735"/>
      <c r="Y40" s="735"/>
      <c r="Z40" s="737"/>
      <c r="AA40" s="738"/>
      <c r="AB40" s="739"/>
      <c r="AC40" s="739"/>
      <c r="AD40" s="739"/>
      <c r="AE40" s="740"/>
      <c r="AF40" s="739"/>
      <c r="AG40" s="739"/>
      <c r="AH40" s="735"/>
      <c r="AI40" s="736"/>
      <c r="AJ40" s="735"/>
      <c r="AK40" s="735"/>
      <c r="AL40" s="735"/>
      <c r="AM40" s="736"/>
      <c r="AN40" s="735"/>
      <c r="AO40" s="735"/>
      <c r="AP40" s="735"/>
      <c r="AQ40" s="736"/>
      <c r="AR40" s="735"/>
      <c r="AS40" s="735"/>
      <c r="AT40" s="735"/>
      <c r="AU40" s="736"/>
      <c r="AV40" s="735"/>
      <c r="AW40" s="735"/>
      <c r="AX40" s="1549"/>
      <c r="AY40" s="1550"/>
      <c r="AZ40" s="1549"/>
      <c r="BA40" s="735"/>
      <c r="BB40" s="735"/>
      <c r="BC40" s="735"/>
      <c r="BD40" s="1732"/>
      <c r="BE40" s="735"/>
      <c r="BF40" s="735"/>
      <c r="BG40" s="1733"/>
      <c r="BH40" s="1732"/>
      <c r="BI40" s="735"/>
      <c r="BJ40" s="735"/>
      <c r="BK40" s="1733"/>
      <c r="BL40" s="489"/>
      <c r="BM40" s="766"/>
      <c r="BN40" s="766"/>
      <c r="BO40" s="766"/>
      <c r="BP40" s="766"/>
      <c r="BQ40" s="766"/>
      <c r="BR40" s="766"/>
      <c r="BS40" s="766"/>
      <c r="BT40" s="766"/>
      <c r="BU40" s="766"/>
      <c r="BV40" s="1952"/>
      <c r="BW40" s="767"/>
      <c r="BX40" s="767"/>
      <c r="BY40" s="767"/>
      <c r="BZ40" s="767"/>
      <c r="CA40" s="1953"/>
      <c r="CB40" s="1408"/>
    </row>
    <row r="41" spans="2:80" s="764" customFormat="1" ht="14.25" customHeight="1">
      <c r="B41" s="1347" t="s">
        <v>422</v>
      </c>
      <c r="C41" s="765"/>
      <c r="D41" s="735"/>
      <c r="E41" s="735"/>
      <c r="F41" s="735"/>
      <c r="G41" s="736"/>
      <c r="H41" s="735"/>
      <c r="I41" s="735"/>
      <c r="J41" s="735"/>
      <c r="K41" s="736"/>
      <c r="L41" s="735"/>
      <c r="M41" s="735"/>
      <c r="N41" s="735"/>
      <c r="O41" s="736"/>
      <c r="P41" s="735"/>
      <c r="Q41" s="735"/>
      <c r="R41" s="735"/>
      <c r="S41" s="736"/>
      <c r="T41" s="735"/>
      <c r="U41" s="735"/>
      <c r="V41" s="735"/>
      <c r="W41" s="736"/>
      <c r="X41" s="735"/>
      <c r="Y41" s="735"/>
      <c r="Z41" s="737"/>
      <c r="AA41" s="738"/>
      <c r="AB41" s="739"/>
      <c r="AC41" s="739"/>
      <c r="AD41" s="739"/>
      <c r="AE41" s="740"/>
      <c r="AF41" s="739"/>
      <c r="AG41" s="739"/>
      <c r="AH41" s="735"/>
      <c r="AI41" s="736"/>
      <c r="AJ41" s="735"/>
      <c r="AK41" s="735"/>
      <c r="AL41" s="735"/>
      <c r="AM41" s="736"/>
      <c r="AN41" s="735"/>
      <c r="AO41" s="735"/>
      <c r="AP41" s="735"/>
      <c r="AQ41" s="736"/>
      <c r="AR41" s="735"/>
      <c r="AS41" s="735"/>
      <c r="AT41" s="735"/>
      <c r="AU41" s="736"/>
      <c r="AV41" s="735"/>
      <c r="AW41" s="735"/>
      <c r="AX41" s="1549"/>
      <c r="AY41" s="1550"/>
      <c r="AZ41" s="1549"/>
      <c r="BA41" s="735"/>
      <c r="BB41" s="735"/>
      <c r="BC41" s="735"/>
      <c r="BD41" s="1732"/>
      <c r="BE41" s="735"/>
      <c r="BF41" s="735"/>
      <c r="BG41" s="1733"/>
      <c r="BH41" s="1732"/>
      <c r="BI41" s="735"/>
      <c r="BJ41" s="735"/>
      <c r="BK41" s="1733"/>
      <c r="BL41" s="489"/>
      <c r="BM41" s="766"/>
      <c r="BN41" s="766"/>
      <c r="BO41" s="766"/>
      <c r="BP41" s="766"/>
      <c r="BQ41" s="766"/>
      <c r="BR41" s="766"/>
      <c r="BS41" s="766"/>
      <c r="BT41" s="766"/>
      <c r="BU41" s="766"/>
      <c r="BV41" s="1952"/>
      <c r="BW41" s="767"/>
      <c r="BX41" s="767"/>
      <c r="BY41" s="767"/>
      <c r="BZ41" s="767"/>
      <c r="CA41" s="1953"/>
      <c r="CB41" s="1408"/>
    </row>
    <row r="42" spans="2:80" s="713" customFormat="1" ht="14.25" customHeight="1">
      <c r="B42" s="1348" t="s">
        <v>344</v>
      </c>
      <c r="C42" s="721"/>
      <c r="D42" s="565"/>
      <c r="E42" s="565"/>
      <c r="F42" s="565"/>
      <c r="G42" s="589"/>
      <c r="H42" s="565"/>
      <c r="I42" s="565"/>
      <c r="J42" s="565"/>
      <c r="K42" s="589"/>
      <c r="L42" s="565"/>
      <c r="M42" s="565"/>
      <c r="N42" s="565"/>
      <c r="O42" s="589"/>
      <c r="P42" s="565"/>
      <c r="Q42" s="565"/>
      <c r="R42" s="565"/>
      <c r="S42" s="589"/>
      <c r="T42" s="565">
        <f t="shared" ref="T42:AU42" si="154">+T57+T66</f>
        <v>14222</v>
      </c>
      <c r="U42" s="565">
        <f t="shared" si="154"/>
        <v>14440</v>
      </c>
      <c r="V42" s="565">
        <f t="shared" si="154"/>
        <v>16200</v>
      </c>
      <c r="W42" s="589">
        <f t="shared" si="154"/>
        <v>18140</v>
      </c>
      <c r="X42" s="565">
        <f t="shared" si="154"/>
        <v>16662</v>
      </c>
      <c r="Y42" s="565">
        <f t="shared" si="154"/>
        <v>17265</v>
      </c>
      <c r="Z42" s="565">
        <f t="shared" si="154"/>
        <v>18072</v>
      </c>
      <c r="AA42" s="589">
        <f t="shared" si="154"/>
        <v>17867</v>
      </c>
      <c r="AB42" s="565">
        <f t="shared" si="154"/>
        <v>18200</v>
      </c>
      <c r="AC42" s="565">
        <f t="shared" si="154"/>
        <v>19000</v>
      </c>
      <c r="AD42" s="565">
        <f t="shared" si="154"/>
        <v>19400</v>
      </c>
      <c r="AE42" s="589">
        <f t="shared" si="154"/>
        <v>19000</v>
      </c>
      <c r="AF42" s="565">
        <f t="shared" si="154"/>
        <v>18582</v>
      </c>
      <c r="AG42" s="565">
        <f t="shared" si="154"/>
        <v>17126</v>
      </c>
      <c r="AH42" s="565">
        <f t="shared" si="154"/>
        <v>15191</v>
      </c>
      <c r="AI42" s="589">
        <f t="shared" si="154"/>
        <v>12981</v>
      </c>
      <c r="AJ42" s="565">
        <f t="shared" si="154"/>
        <v>11523.044474999999</v>
      </c>
      <c r="AK42" s="565">
        <f t="shared" si="154"/>
        <v>14133.717405551513</v>
      </c>
      <c r="AL42" s="565">
        <f t="shared" si="154"/>
        <v>13783.649696583827</v>
      </c>
      <c r="AM42" s="589">
        <f t="shared" si="154"/>
        <v>12328.625660088017</v>
      </c>
      <c r="AN42" s="565">
        <f t="shared" si="154"/>
        <v>11995.286074446796</v>
      </c>
      <c r="AO42" s="565">
        <f t="shared" si="154"/>
        <v>12129.826363553488</v>
      </c>
      <c r="AP42" s="565">
        <f t="shared" si="154"/>
        <v>12411.62892286414</v>
      </c>
      <c r="AQ42" s="589">
        <f t="shared" si="154"/>
        <v>10738.727114465368</v>
      </c>
      <c r="AR42" s="565">
        <f t="shared" si="154"/>
        <v>8276.7120458851896</v>
      </c>
      <c r="AS42" s="565">
        <f t="shared" si="154"/>
        <v>5212.9905169541489</v>
      </c>
      <c r="AT42" s="565">
        <f t="shared" si="154"/>
        <v>5630.6888634141815</v>
      </c>
      <c r="AU42" s="589">
        <f t="shared" si="154"/>
        <v>5918.994226738776</v>
      </c>
      <c r="AV42" s="565">
        <f t="shared" ref="AV42:AW42" si="155">+AV57+AV66</f>
        <v>5981.3529700588806</v>
      </c>
      <c r="AW42" s="565">
        <f t="shared" si="155"/>
        <v>5429.8895339609335</v>
      </c>
      <c r="AX42" s="750">
        <f>+AX57+AX66</f>
        <v>5690.2025861925149</v>
      </c>
      <c r="AY42" s="1540">
        <f t="shared" ref="AY42:AZ42" si="156">+AY57+AY66</f>
        <v>6342.0846749651882</v>
      </c>
      <c r="AZ42" s="750">
        <f t="shared" si="156"/>
        <v>6425.5227499618741</v>
      </c>
      <c r="BA42" s="565">
        <f t="shared" ref="BA42:BC42" si="157">+BA57+BA66</f>
        <v>7381.8144528607536</v>
      </c>
      <c r="BB42" s="565">
        <f t="shared" si="157"/>
        <v>7732.2665485292819</v>
      </c>
      <c r="BC42" s="565">
        <f t="shared" si="157"/>
        <v>9111.3330883137387</v>
      </c>
      <c r="BD42" s="720">
        <f t="shared" ref="BD42:BG42" si="158">+BD57+BD66</f>
        <v>10809.550844314763</v>
      </c>
      <c r="BE42" s="565">
        <f t="shared" si="158"/>
        <v>12463.287197843078</v>
      </c>
      <c r="BF42" s="565">
        <f t="shared" si="158"/>
        <v>12993.440741674243</v>
      </c>
      <c r="BG42" s="1723">
        <f t="shared" si="158"/>
        <v>12993.440741674243</v>
      </c>
      <c r="BH42" s="720">
        <f t="shared" ref="BH42:BK42" si="159">+BH57+BH66</f>
        <v>12863.506334257501</v>
      </c>
      <c r="BI42" s="565">
        <f t="shared" si="159"/>
        <v>12734.871270914928</v>
      </c>
      <c r="BJ42" s="565">
        <f t="shared" si="159"/>
        <v>12862.219983624076</v>
      </c>
      <c r="BK42" s="1723">
        <f t="shared" si="159"/>
        <v>12909.636806036317</v>
      </c>
      <c r="BL42" s="711"/>
      <c r="BM42" s="710"/>
      <c r="BN42" s="710"/>
      <c r="BO42" s="710"/>
      <c r="BP42" s="710"/>
      <c r="BQ42" s="710">
        <f>+BQ57+BQ66</f>
        <v>63002</v>
      </c>
      <c r="BR42" s="710">
        <f t="shared" ref="BR42:BX42" si="160">+BR57+BR66</f>
        <v>69866</v>
      </c>
      <c r="BS42" s="710">
        <f t="shared" si="160"/>
        <v>75600</v>
      </c>
      <c r="BT42" s="710">
        <f t="shared" si="160"/>
        <v>63880</v>
      </c>
      <c r="BU42" s="710">
        <f t="shared" si="160"/>
        <v>51769.037237223354</v>
      </c>
      <c r="BV42" s="1943">
        <f t="shared" si="160"/>
        <v>47275.468475329792</v>
      </c>
      <c r="BW42" s="710">
        <f t="shared" si="160"/>
        <v>25039.385652992296</v>
      </c>
      <c r="BX42" s="710">
        <f t="shared" si="160"/>
        <v>23443.529765177518</v>
      </c>
      <c r="BY42" s="710">
        <f>+BY57+BY66</f>
        <v>30650.93683966565</v>
      </c>
      <c r="BZ42" s="710">
        <f>+BZ57+BZ66</f>
        <v>49259.719525506327</v>
      </c>
      <c r="CA42" s="1660">
        <f>+CA57+CA66</f>
        <v>51370.23439483282</v>
      </c>
      <c r="CB42" s="1408"/>
    </row>
    <row r="43" spans="2:80" s="777" customFormat="1" ht="14.25" customHeight="1">
      <c r="B43" s="1349" t="s">
        <v>411</v>
      </c>
      <c r="C43" s="778"/>
      <c r="D43" s="625"/>
      <c r="E43" s="625"/>
      <c r="F43" s="625"/>
      <c r="G43" s="626"/>
      <c r="H43" s="625"/>
      <c r="I43" s="625"/>
      <c r="J43" s="625"/>
      <c r="K43" s="626"/>
      <c r="L43" s="625"/>
      <c r="M43" s="625"/>
      <c r="N43" s="625"/>
      <c r="O43" s="626"/>
      <c r="P43" s="625"/>
      <c r="Q43" s="625"/>
      <c r="R43" s="625"/>
      <c r="S43" s="626"/>
      <c r="T43" s="625">
        <f>+T44/T42*1000</f>
        <v>49.679074673041775</v>
      </c>
      <c r="U43" s="625">
        <f t="shared" ref="U43:AM43" si="161">+U44/U42*1000</f>
        <v>46.374979224376737</v>
      </c>
      <c r="V43" s="625">
        <f t="shared" si="161"/>
        <v>46.334610493827157</v>
      </c>
      <c r="W43" s="626">
        <f t="shared" si="161"/>
        <v>46.019932469680256</v>
      </c>
      <c r="X43" s="625">
        <f t="shared" si="161"/>
        <v>52.40487336454207</v>
      </c>
      <c r="Y43" s="625">
        <f t="shared" si="161"/>
        <v>53.231277150304081</v>
      </c>
      <c r="Z43" s="625">
        <f t="shared" si="161"/>
        <v>50.967131474103581</v>
      </c>
      <c r="AA43" s="626">
        <f t="shared" si="161"/>
        <v>52.607880449991612</v>
      </c>
      <c r="AB43" s="625">
        <f t="shared" si="161"/>
        <v>51.230769230769234</v>
      </c>
      <c r="AC43" s="625">
        <f t="shared" si="161"/>
        <v>48.89473684210526</v>
      </c>
      <c r="AD43" s="625">
        <f t="shared" si="161"/>
        <v>46.556701030927833</v>
      </c>
      <c r="AE43" s="626">
        <f t="shared" si="161"/>
        <v>49.031578947368416</v>
      </c>
      <c r="AF43" s="625">
        <f t="shared" si="161"/>
        <v>46.486341082768263</v>
      </c>
      <c r="AG43" s="625">
        <f t="shared" si="161"/>
        <v>43.878551325470049</v>
      </c>
      <c r="AH43" s="625">
        <f t="shared" si="161"/>
        <v>42.909627410967019</v>
      </c>
      <c r="AI43" s="626">
        <f t="shared" si="161"/>
        <v>45.573626839226556</v>
      </c>
      <c r="AJ43" s="625">
        <f t="shared" si="161"/>
        <v>45.894149306171485</v>
      </c>
      <c r="AK43" s="625">
        <f t="shared" si="161"/>
        <v>44.062540811477248</v>
      </c>
      <c r="AL43" s="625">
        <f t="shared" si="161"/>
        <v>44.195023424346729</v>
      </c>
      <c r="AM43" s="626">
        <f t="shared" si="161"/>
        <v>44.814113055471417</v>
      </c>
      <c r="AN43" s="625">
        <f t="shared" ref="AN43:AU43" si="162">+AN44/AN42*1000</f>
        <v>44.509166883472219</v>
      </c>
      <c r="AO43" s="625">
        <f t="shared" si="162"/>
        <v>45.807406096850258</v>
      </c>
      <c r="AP43" s="625">
        <f t="shared" si="162"/>
        <v>45.393525327417869</v>
      </c>
      <c r="AQ43" s="626">
        <f t="shared" si="162"/>
        <v>44.149946668940672</v>
      </c>
      <c r="AR43" s="625">
        <f t="shared" si="162"/>
        <v>43.789561091647435</v>
      </c>
      <c r="AS43" s="625">
        <f t="shared" si="162"/>
        <v>45.107087254899803</v>
      </c>
      <c r="AT43" s="625">
        <f t="shared" si="162"/>
        <v>45.665913988623274</v>
      </c>
      <c r="AU43" s="626">
        <f t="shared" si="162"/>
        <v>45.827114760514448</v>
      </c>
      <c r="AV43" s="625">
        <f t="shared" ref="AV43:AZ43" si="163">+AV44/AV42*1000</f>
        <v>44.549856800280338</v>
      </c>
      <c r="AW43" s="625">
        <f t="shared" si="163"/>
        <v>44.206707956224747</v>
      </c>
      <c r="AX43" s="631">
        <f t="shared" si="163"/>
        <v>43.754104217228303</v>
      </c>
      <c r="AY43" s="1546">
        <f t="shared" si="163"/>
        <v>43.41650589625543</v>
      </c>
      <c r="AZ43" s="631">
        <f t="shared" si="163"/>
        <v>46.094007404952833</v>
      </c>
      <c r="BA43" s="625">
        <f t="shared" ref="BA43:BC43" si="164">+BA44/BA42*1000</f>
        <v>45.085652094609358</v>
      </c>
      <c r="BB43" s="625">
        <f t="shared" si="164"/>
        <v>44.996313512257345</v>
      </c>
      <c r="BC43" s="625">
        <f t="shared" si="164"/>
        <v>45.020468382376173</v>
      </c>
      <c r="BD43" s="627">
        <f t="shared" ref="BD43:BG43" si="165">+BD44/BD42*1000</f>
        <v>48.462914056172956</v>
      </c>
      <c r="BE43" s="625">
        <f t="shared" si="165"/>
        <v>50.364550757831189</v>
      </c>
      <c r="BF43" s="625">
        <f t="shared" si="165"/>
        <v>53.057047653356726</v>
      </c>
      <c r="BG43" s="1734">
        <f t="shared" si="165"/>
        <v>53.057047653356726</v>
      </c>
      <c r="BH43" s="627">
        <f t="shared" ref="BH43:BK43" si="166">+BH44/BH42*1000</f>
        <v>52.459819996984052</v>
      </c>
      <c r="BI43" s="625">
        <f t="shared" si="166"/>
        <v>51.993982425013357</v>
      </c>
      <c r="BJ43" s="625">
        <f t="shared" si="166"/>
        <v>52.057401428732206</v>
      </c>
      <c r="BK43" s="1734">
        <f t="shared" si="166"/>
        <v>52.159709858960881</v>
      </c>
      <c r="BL43" s="779"/>
      <c r="BM43" s="780"/>
      <c r="BN43" s="780"/>
      <c r="BO43" s="780"/>
      <c r="BP43" s="780"/>
      <c r="BQ43" s="780">
        <f>+BQ44/BQ42*1000</f>
        <v>47.00823410367925</v>
      </c>
      <c r="BR43" s="780">
        <f t="shared" ref="BR43:BX43" si="167">+BR44/BR42*1000</f>
        <v>52.289110583116255</v>
      </c>
      <c r="BS43" s="780">
        <f t="shared" si="167"/>
        <v>48.891534391534385</v>
      </c>
      <c r="BT43" s="780">
        <f t="shared" si="167"/>
        <v>44.751168753913582</v>
      </c>
      <c r="BU43" s="780">
        <f t="shared" si="167"/>
        <v>44.684488883970978</v>
      </c>
      <c r="BV43" s="1954">
        <f t="shared" si="167"/>
        <v>44.992846431391776</v>
      </c>
      <c r="BW43" s="780">
        <f t="shared" si="167"/>
        <v>44.967452576971482</v>
      </c>
      <c r="BX43" s="780">
        <f t="shared" si="167"/>
        <v>43.970632542723152</v>
      </c>
      <c r="BY43" s="780">
        <f>+BY44/BY42*1000</f>
        <v>45.255125209507163</v>
      </c>
      <c r="BZ43" s="780">
        <f>+BZ44/BZ42*1000</f>
        <v>51.367677847881509</v>
      </c>
      <c r="CA43" s="1666">
        <f>+CA44/CA42*1000</f>
        <v>52.168159062928659</v>
      </c>
      <c r="CB43" s="1408"/>
    </row>
    <row r="44" spans="2:80" s="713" customFormat="1" ht="14.25" customHeight="1">
      <c r="B44" s="1348" t="s">
        <v>478</v>
      </c>
      <c r="C44" s="721"/>
      <c r="D44" s="565"/>
      <c r="E44" s="565"/>
      <c r="F44" s="565"/>
      <c r="G44" s="589"/>
      <c r="H44" s="565"/>
      <c r="I44" s="565"/>
      <c r="J44" s="565"/>
      <c r="K44" s="589"/>
      <c r="L44" s="565"/>
      <c r="M44" s="565"/>
      <c r="N44" s="565"/>
      <c r="O44" s="589"/>
      <c r="P44" s="565"/>
      <c r="Q44" s="565"/>
      <c r="R44" s="565"/>
      <c r="S44" s="589"/>
      <c r="T44" s="565">
        <f>+T61+T70</f>
        <v>706.53580000000011</v>
      </c>
      <c r="U44" s="565">
        <f t="shared" ref="U44:AU44" si="168">+U61+U70</f>
        <v>669.65470000000005</v>
      </c>
      <c r="V44" s="565">
        <f t="shared" si="168"/>
        <v>750.62068999999997</v>
      </c>
      <c r="W44" s="589">
        <f t="shared" si="168"/>
        <v>834.80157499999996</v>
      </c>
      <c r="X44" s="565">
        <f t="shared" si="168"/>
        <v>873.17</v>
      </c>
      <c r="Y44" s="565">
        <f t="shared" si="168"/>
        <v>919.03800000000001</v>
      </c>
      <c r="Z44" s="565">
        <f t="shared" si="168"/>
        <v>921.07799999999997</v>
      </c>
      <c r="AA44" s="589">
        <f t="shared" si="168"/>
        <v>939.94500000000005</v>
      </c>
      <c r="AB44" s="565">
        <f t="shared" si="168"/>
        <v>932.4</v>
      </c>
      <c r="AC44" s="565">
        <f t="shared" si="168"/>
        <v>929</v>
      </c>
      <c r="AD44" s="565">
        <f t="shared" si="168"/>
        <v>903.2</v>
      </c>
      <c r="AE44" s="589">
        <f t="shared" si="168"/>
        <v>931.6</v>
      </c>
      <c r="AF44" s="565">
        <f t="shared" si="168"/>
        <v>863.80918999999994</v>
      </c>
      <c r="AG44" s="565">
        <f t="shared" si="168"/>
        <v>751.46406999999999</v>
      </c>
      <c r="AH44" s="565">
        <f t="shared" si="168"/>
        <v>651.84014999999999</v>
      </c>
      <c r="AI44" s="589">
        <f t="shared" si="168"/>
        <v>591.59124999999995</v>
      </c>
      <c r="AJ44" s="565">
        <f t="shared" si="168"/>
        <v>528.8403235973044</v>
      </c>
      <c r="AK44" s="565">
        <f t="shared" si="168"/>
        <v>622.76749999999993</v>
      </c>
      <c r="AL44" s="565">
        <f t="shared" si="168"/>
        <v>609.16872121351196</v>
      </c>
      <c r="AM44" s="589">
        <f t="shared" si="168"/>
        <v>552.49642414977029</v>
      </c>
      <c r="AN44" s="565">
        <f>+AN61+AN70</f>
        <v>533.90018970254289</v>
      </c>
      <c r="AO44" s="565">
        <f t="shared" si="168"/>
        <v>555.63588211957506</v>
      </c>
      <c r="AP44" s="565">
        <f t="shared" si="168"/>
        <v>563.40759186454545</v>
      </c>
      <c r="AQ44" s="589">
        <f t="shared" si="168"/>
        <v>474.11422939595309</v>
      </c>
      <c r="AR44" s="565">
        <f t="shared" si="168"/>
        <v>362.43358777126377</v>
      </c>
      <c r="AS44" s="565">
        <f t="shared" si="168"/>
        <v>235.14281810721602</v>
      </c>
      <c r="AT44" s="565">
        <f t="shared" si="168"/>
        <v>257.13055333337098</v>
      </c>
      <c r="AU44" s="589">
        <f t="shared" si="168"/>
        <v>271.25042769558036</v>
      </c>
      <c r="AV44" s="565">
        <f t="shared" ref="AV44:AZ44" si="169">+AV61+AV70</f>
        <v>266.46841828805464</v>
      </c>
      <c r="AW44" s="565">
        <f t="shared" si="169"/>
        <v>240.03754086237228</v>
      </c>
      <c r="AX44" s="750">
        <f t="shared" si="169"/>
        <v>248.96971697340931</v>
      </c>
      <c r="AY44" s="1540">
        <f t="shared" si="169"/>
        <v>275.35115668517733</v>
      </c>
      <c r="AZ44" s="750">
        <f t="shared" si="169"/>
        <v>296.1780932174355</v>
      </c>
      <c r="BA44" s="565">
        <f t="shared" ref="BA44:BC44" si="170">+BA61+BA70</f>
        <v>332.81391824863908</v>
      </c>
      <c r="BB44" s="565">
        <f t="shared" si="170"/>
        <v>347.9234897779636</v>
      </c>
      <c r="BC44" s="565">
        <f t="shared" si="170"/>
        <v>410.19648322372655</v>
      </c>
      <c r="BD44" s="720">
        <f t="shared" ref="BD44:BG44" si="171">+BD61+BD70</f>
        <v>523.86233355385821</v>
      </c>
      <c r="BE44" s="565">
        <f t="shared" si="171"/>
        <v>627.70786068519533</v>
      </c>
      <c r="BF44" s="565">
        <f t="shared" si="171"/>
        <v>689.39360461207707</v>
      </c>
      <c r="BG44" s="1723">
        <f t="shared" si="171"/>
        <v>689.39360461207707</v>
      </c>
      <c r="BH44" s="720">
        <f t="shared" ref="BH44:BK44" si="172">+BH61+BH70</f>
        <v>674.81722682521263</v>
      </c>
      <c r="BI44" s="565">
        <f t="shared" si="172"/>
        <v>662.13667304475825</v>
      </c>
      <c r="BJ44" s="565">
        <f t="shared" si="172"/>
        <v>669.57374895217993</v>
      </c>
      <c r="BK44" s="1723">
        <f t="shared" si="172"/>
        <v>673.36291018741667</v>
      </c>
      <c r="BL44" s="711"/>
      <c r="BM44" s="710"/>
      <c r="BN44" s="710"/>
      <c r="BO44" s="710"/>
      <c r="BP44" s="710"/>
      <c r="BQ44" s="710">
        <f>+BQ70+BQ61</f>
        <v>2961.6127649999999</v>
      </c>
      <c r="BR44" s="710">
        <f t="shared" ref="BR44:BX44" si="173">+BR70+BR61</f>
        <v>3653.2310000000002</v>
      </c>
      <c r="BS44" s="710">
        <f t="shared" si="173"/>
        <v>3696.2</v>
      </c>
      <c r="BT44" s="710">
        <f t="shared" si="173"/>
        <v>2858.7046599999999</v>
      </c>
      <c r="BU44" s="710">
        <f t="shared" si="173"/>
        <v>2313.2729689605867</v>
      </c>
      <c r="BV44" s="1943">
        <f t="shared" si="173"/>
        <v>2127.0578930826164</v>
      </c>
      <c r="BW44" s="710">
        <f t="shared" si="173"/>
        <v>1125.9573869074311</v>
      </c>
      <c r="BX44" s="710">
        <f t="shared" si="173"/>
        <v>1030.8268328090135</v>
      </c>
      <c r="BY44" s="710">
        <f>+BY70+BY61</f>
        <v>1387.1119844677648</v>
      </c>
      <c r="BZ44" s="710">
        <f>+BZ70+BZ61</f>
        <v>2530.3574034632074</v>
      </c>
      <c r="CA44" s="1660">
        <f>+CA70+CA61</f>
        <v>2679.8905590095674</v>
      </c>
      <c r="CB44" s="1408"/>
    </row>
    <row r="45" spans="2:80" s="7" customFormat="1" ht="14.25" customHeight="1">
      <c r="B45" s="1350"/>
      <c r="C45" s="380"/>
      <c r="D45" s="500"/>
      <c r="E45" s="500"/>
      <c r="F45" s="500"/>
      <c r="G45" s="501"/>
      <c r="H45" s="500"/>
      <c r="I45" s="500"/>
      <c r="J45" s="500"/>
      <c r="K45" s="501"/>
      <c r="L45" s="500"/>
      <c r="M45" s="500"/>
      <c r="N45" s="500"/>
      <c r="O45" s="501"/>
      <c r="P45" s="500"/>
      <c r="Q45" s="500"/>
      <c r="R45" s="500"/>
      <c r="S45" s="501"/>
      <c r="T45" s="52"/>
      <c r="U45" s="52"/>
      <c r="V45" s="52"/>
      <c r="W45" s="499"/>
      <c r="X45" s="52"/>
      <c r="Y45" s="52"/>
      <c r="Z45" s="508"/>
      <c r="AA45" s="509"/>
      <c r="AB45" s="565"/>
      <c r="AC45" s="565"/>
      <c r="AD45" s="566"/>
      <c r="AE45" s="704"/>
      <c r="AF45" s="705"/>
      <c r="AG45" s="705"/>
      <c r="AH45" s="52"/>
      <c r="AI45" s="499"/>
      <c r="AJ45" s="52"/>
      <c r="AK45" s="52"/>
      <c r="AL45" s="52"/>
      <c r="AM45" s="499"/>
      <c r="AN45" s="52"/>
      <c r="AO45" s="52"/>
      <c r="AP45" s="52"/>
      <c r="AQ45" s="499"/>
      <c r="AR45" s="52"/>
      <c r="AS45" s="52"/>
      <c r="AT45" s="52"/>
      <c r="AU45" s="499"/>
      <c r="AV45" s="52"/>
      <c r="AW45" s="52"/>
      <c r="AX45" s="52"/>
      <c r="AY45" s="1545"/>
      <c r="AZ45" s="52"/>
      <c r="BA45" s="52"/>
      <c r="BB45" s="52"/>
      <c r="BC45" s="52"/>
      <c r="BD45" s="504"/>
      <c r="BE45" s="52"/>
      <c r="BF45" s="52"/>
      <c r="BG45" s="1545"/>
      <c r="BH45" s="504"/>
      <c r="BI45" s="52"/>
      <c r="BJ45" s="52"/>
      <c r="BK45" s="1545"/>
      <c r="BL45" s="244"/>
      <c r="BM45" s="253"/>
      <c r="BN45" s="253"/>
      <c r="BO45" s="253"/>
      <c r="BP45" s="253"/>
      <c r="BQ45" s="253"/>
      <c r="BR45" s="253"/>
      <c r="BS45" s="253"/>
      <c r="BT45" s="253"/>
      <c r="BU45" s="253"/>
      <c r="BV45" s="1946"/>
      <c r="BW45" s="253"/>
      <c r="BX45" s="253"/>
      <c r="BY45" s="253"/>
      <c r="BZ45" s="253"/>
      <c r="CA45" s="1955"/>
      <c r="CB45" s="1408"/>
    </row>
    <row r="46" spans="2:80" s="7" customFormat="1" ht="14.25" customHeight="1">
      <c r="B46" s="1350" t="s">
        <v>391</v>
      </c>
      <c r="C46" s="380"/>
      <c r="D46" s="500"/>
      <c r="E46" s="500"/>
      <c r="F46" s="500"/>
      <c r="G46" s="501"/>
      <c r="H46" s="500"/>
      <c r="I46" s="500"/>
      <c r="J46" s="500"/>
      <c r="K46" s="501"/>
      <c r="L46" s="500"/>
      <c r="M46" s="500"/>
      <c r="N46" s="500"/>
      <c r="O46" s="501"/>
      <c r="P46" s="500"/>
      <c r="Q46" s="500"/>
      <c r="R46" s="500"/>
      <c r="S46" s="501"/>
      <c r="T46" s="52"/>
      <c r="U46" s="52"/>
      <c r="V46" s="52"/>
      <c r="W46" s="499"/>
      <c r="X46" s="52"/>
      <c r="Y46" s="52"/>
      <c r="Z46" s="508"/>
      <c r="AA46" s="509"/>
      <c r="AB46" s="565"/>
      <c r="AC46" s="565"/>
      <c r="AD46" s="566"/>
      <c r="AE46" s="704"/>
      <c r="AF46" s="705"/>
      <c r="AG46" s="705"/>
      <c r="AH46" s="52"/>
      <c r="AI46" s="499"/>
      <c r="AJ46" s="52"/>
      <c r="AK46" s="52"/>
      <c r="AL46" s="52"/>
      <c r="AM46" s="499"/>
      <c r="AN46" s="52"/>
      <c r="AO46" s="52"/>
      <c r="AP46" s="52"/>
      <c r="AQ46" s="499"/>
      <c r="AR46" s="52"/>
      <c r="AS46" s="52"/>
      <c r="AT46" s="52"/>
      <c r="AU46" s="499"/>
      <c r="AV46" s="52"/>
      <c r="AW46" s="52"/>
      <c r="AX46" s="52"/>
      <c r="AY46" s="1545"/>
      <c r="AZ46" s="52"/>
      <c r="BA46" s="52"/>
      <c r="BB46" s="52"/>
      <c r="BC46" s="52"/>
      <c r="BD46" s="504"/>
      <c r="BE46" s="52"/>
      <c r="BF46" s="52"/>
      <c r="BG46" s="1545"/>
      <c r="BH46" s="504"/>
      <c r="BI46" s="52"/>
      <c r="BJ46" s="52"/>
      <c r="BK46" s="1545"/>
      <c r="BL46" s="244"/>
      <c r="BM46" s="253"/>
      <c r="BN46" s="253"/>
      <c r="BO46" s="253"/>
      <c r="BP46" s="253"/>
      <c r="BQ46" s="253"/>
      <c r="BR46" s="253"/>
      <c r="BS46" s="253"/>
      <c r="BT46" s="253"/>
      <c r="BU46" s="253"/>
      <c r="BV46" s="1946"/>
      <c r="BW46" s="253"/>
      <c r="BX46" s="253"/>
      <c r="BY46" s="253"/>
      <c r="BZ46" s="253"/>
      <c r="CA46" s="1955"/>
      <c r="CB46" s="1408"/>
    </row>
    <row r="47" spans="2:80" s="901" customFormat="1" ht="14.25" customHeight="1">
      <c r="B47" s="1351" t="s">
        <v>344</v>
      </c>
      <c r="C47" s="896"/>
      <c r="D47" s="897"/>
      <c r="E47" s="897"/>
      <c r="F47" s="897"/>
      <c r="G47" s="898"/>
      <c r="H47" s="897"/>
      <c r="I47" s="897"/>
      <c r="J47" s="897"/>
      <c r="K47" s="898"/>
      <c r="L47" s="897"/>
      <c r="M47" s="897"/>
      <c r="N47" s="897"/>
      <c r="O47" s="898"/>
      <c r="P47" s="897"/>
      <c r="Q47" s="897"/>
      <c r="R47" s="897"/>
      <c r="S47" s="898"/>
      <c r="T47" s="897"/>
      <c r="U47" s="897"/>
      <c r="V47" s="897"/>
      <c r="W47" s="898"/>
      <c r="X47" s="897">
        <f>+X42/T42-1</f>
        <v>0.17156518070594862</v>
      </c>
      <c r="Y47" s="897">
        <f t="shared" ref="Y47:AU47" si="174">+Y42/U42-1</f>
        <v>0.19563711911357351</v>
      </c>
      <c r="Z47" s="897">
        <f t="shared" si="174"/>
        <v>0.11555555555555563</v>
      </c>
      <c r="AA47" s="898">
        <f t="shared" si="174"/>
        <v>-1.5049614112458642E-2</v>
      </c>
      <c r="AB47" s="897">
        <f t="shared" si="174"/>
        <v>9.2305845636778239E-2</v>
      </c>
      <c r="AC47" s="897">
        <f t="shared" si="174"/>
        <v>0.10049232551404574</v>
      </c>
      <c r="AD47" s="897">
        <f t="shared" si="174"/>
        <v>7.3483842408145206E-2</v>
      </c>
      <c r="AE47" s="898">
        <f t="shared" si="174"/>
        <v>6.3412996026193547E-2</v>
      </c>
      <c r="AF47" s="897">
        <f t="shared" si="174"/>
        <v>2.0989010989010959E-2</v>
      </c>
      <c r="AG47" s="897">
        <f t="shared" si="174"/>
        <v>-9.8631578947368403E-2</v>
      </c>
      <c r="AH47" s="897">
        <f t="shared" si="174"/>
        <v>-0.21695876288659799</v>
      </c>
      <c r="AI47" s="898">
        <f t="shared" si="174"/>
        <v>-0.31678947368421051</v>
      </c>
      <c r="AJ47" s="897">
        <f t="shared" si="174"/>
        <v>-0.37988136503067493</v>
      </c>
      <c r="AK47" s="897">
        <f t="shared" si="174"/>
        <v>-0.17472162760997823</v>
      </c>
      <c r="AL47" s="897">
        <f t="shared" si="174"/>
        <v>-9.2643690567847603E-2</v>
      </c>
      <c r="AM47" s="898">
        <f>+AM42/AI42-1</f>
        <v>-5.0256092744163205E-2</v>
      </c>
      <c r="AN47" s="897">
        <f t="shared" si="174"/>
        <v>4.098236368620789E-2</v>
      </c>
      <c r="AO47" s="897">
        <f t="shared" si="174"/>
        <v>-0.14178089065307953</v>
      </c>
      <c r="AP47" s="897">
        <f t="shared" si="174"/>
        <v>-9.9539730326992593E-2</v>
      </c>
      <c r="AQ47" s="898">
        <f t="shared" si="174"/>
        <v>-0.12895991730608669</v>
      </c>
      <c r="AR47" s="897">
        <f t="shared" si="174"/>
        <v>-0.31000294661443506</v>
      </c>
      <c r="AS47" s="897">
        <f t="shared" si="174"/>
        <v>-0.57023370650897109</v>
      </c>
      <c r="AT47" s="897">
        <f t="shared" si="174"/>
        <v>-0.54633764041707833</v>
      </c>
      <c r="AU47" s="898">
        <f t="shared" si="174"/>
        <v>-0.44881789399735061</v>
      </c>
      <c r="AV47" s="897">
        <f t="shared" ref="AV47" si="175">+AV42/AR42-1</f>
        <v>-0.27732740526686062</v>
      </c>
      <c r="AW47" s="897">
        <f t="shared" ref="AW47:AZ49" si="176">+AW42/AS42-1</f>
        <v>4.1607406785292733E-2</v>
      </c>
      <c r="AX47" s="514">
        <f t="shared" si="176"/>
        <v>1.056952785387022E-2</v>
      </c>
      <c r="AY47" s="1551">
        <f t="shared" si="176"/>
        <v>7.1480125173145392E-2</v>
      </c>
      <c r="AZ47" s="514">
        <f t="shared" si="176"/>
        <v>7.4259081871006938E-2</v>
      </c>
      <c r="BA47" s="897">
        <f t="shared" ref="BA47:BA49" si="177">+BA42/AW42-1</f>
        <v>0.35947783222690211</v>
      </c>
      <c r="BB47" s="897">
        <f t="shared" ref="BB47:BB49" si="178">+BB42/AX42-1</f>
        <v>0.35887368356478389</v>
      </c>
      <c r="BC47" s="897">
        <f t="shared" ref="BC47:BC49" si="179">+BC42/AY42-1</f>
        <v>0.43664639551091322</v>
      </c>
      <c r="BD47" s="1735">
        <f t="shared" ref="BD47:BD49" si="180">+BD42/AZ42-1</f>
        <v>0.68228349115702702</v>
      </c>
      <c r="BE47" s="897">
        <f t="shared" ref="BE47:BE49" si="181">+BE42/BA42-1</f>
        <v>0.68837719742644654</v>
      </c>
      <c r="BF47" s="897">
        <f t="shared" ref="BF47:BF49" si="182">+BF42/BB42-1</f>
        <v>0.68041811028173416</v>
      </c>
      <c r="BG47" s="1736">
        <f t="shared" ref="BG47:BG49" si="183">+BG42/BC42-1</f>
        <v>0.42607460573905742</v>
      </c>
      <c r="BH47" s="1735">
        <f t="shared" ref="BH47:BH49" si="184">+BH42/BD42-1</f>
        <v>0.19001302824927335</v>
      </c>
      <c r="BI47" s="897">
        <f t="shared" ref="BI47:BI49" si="185">+BI42/BE42-1</f>
        <v>2.1790725733966232E-2</v>
      </c>
      <c r="BJ47" s="897">
        <f t="shared" ref="BJ47:BJ49" si="186">+BJ42/BF42-1</f>
        <v>-1.0098999999999969E-2</v>
      </c>
      <c r="BK47" s="1736">
        <f t="shared" ref="BK47:BK49" si="187">+BK42/BG42-1</f>
        <v>-6.4497108428824834E-3</v>
      </c>
      <c r="BL47" s="899"/>
      <c r="BM47" s="900"/>
      <c r="BN47" s="900"/>
      <c r="BO47" s="900"/>
      <c r="BP47" s="900"/>
      <c r="BQ47" s="900"/>
      <c r="BR47" s="900">
        <f>+BR42/BQ42-1</f>
        <v>0.10894892225643638</v>
      </c>
      <c r="BS47" s="900">
        <f t="shared" ref="BS47:CA49" si="188">+BS42/BR42-1</f>
        <v>8.2071393811009585E-2</v>
      </c>
      <c r="BT47" s="900">
        <f t="shared" si="188"/>
        <v>-0.15502645502645507</v>
      </c>
      <c r="BU47" s="900">
        <f t="shared" si="188"/>
        <v>-0.18958927305536388</v>
      </c>
      <c r="BV47" s="1956">
        <f t="shared" si="188"/>
        <v>-8.680031543376987E-2</v>
      </c>
      <c r="BW47" s="900">
        <f t="shared" si="188"/>
        <v>-0.47035140083151505</v>
      </c>
      <c r="BX47" s="900">
        <f t="shared" si="188"/>
        <v>-6.3733827575920055E-2</v>
      </c>
      <c r="BY47" s="900">
        <f t="shared" si="188"/>
        <v>0.30743694088224927</v>
      </c>
      <c r="BZ47" s="900">
        <f t="shared" si="188"/>
        <v>0.6071195403645504</v>
      </c>
      <c r="CA47" s="1957">
        <f t="shared" si="188"/>
        <v>4.2844638370985511E-2</v>
      </c>
      <c r="CB47" s="1408"/>
    </row>
    <row r="48" spans="2:80" s="901" customFormat="1" ht="14.25" customHeight="1">
      <c r="B48" s="1352" t="s">
        <v>411</v>
      </c>
      <c r="C48" s="896"/>
      <c r="D48" s="897"/>
      <c r="E48" s="897"/>
      <c r="F48" s="897"/>
      <c r="G48" s="898"/>
      <c r="H48" s="897"/>
      <c r="I48" s="897"/>
      <c r="J48" s="897"/>
      <c r="K48" s="898"/>
      <c r="L48" s="897"/>
      <c r="M48" s="897"/>
      <c r="N48" s="897"/>
      <c r="O48" s="898"/>
      <c r="P48" s="897"/>
      <c r="Q48" s="897"/>
      <c r="R48" s="897"/>
      <c r="S48" s="898"/>
      <c r="T48" s="897"/>
      <c r="U48" s="897"/>
      <c r="V48" s="897"/>
      <c r="W48" s="898"/>
      <c r="X48" s="897">
        <f>+X43/T43-1</f>
        <v>5.4868145379918687E-2</v>
      </c>
      <c r="Y48" s="897">
        <f t="shared" ref="Y48:AT48" si="189">+Y43/U43-1</f>
        <v>0.1478447654446251</v>
      </c>
      <c r="Z48" s="897">
        <f t="shared" si="189"/>
        <v>9.9979711297963458E-2</v>
      </c>
      <c r="AA48" s="898">
        <f t="shared" si="189"/>
        <v>0.1431542296297752</v>
      </c>
      <c r="AB48" s="897">
        <f t="shared" si="189"/>
        <v>-2.2404483751071402E-2</v>
      </c>
      <c r="AC48" s="897">
        <f t="shared" si="189"/>
        <v>-8.1466020361565694E-2</v>
      </c>
      <c r="AD48" s="897">
        <f t="shared" si="189"/>
        <v>-8.653479832226163E-2</v>
      </c>
      <c r="AE48" s="898">
        <f t="shared" si="189"/>
        <v>-6.7980338155284259E-2</v>
      </c>
      <c r="AF48" s="897">
        <f t="shared" si="189"/>
        <v>-9.2608957843862805E-2</v>
      </c>
      <c r="AG48" s="897">
        <f t="shared" si="189"/>
        <v>-0.10259152294517659</v>
      </c>
      <c r="AH48" s="897">
        <f t="shared" si="189"/>
        <v>-7.8336169427856261E-2</v>
      </c>
      <c r="AI48" s="898">
        <f t="shared" si="189"/>
        <v>-7.0525000058711207E-2</v>
      </c>
      <c r="AJ48" s="897">
        <f t="shared" si="189"/>
        <v>-1.273904899381928E-2</v>
      </c>
      <c r="AK48" s="897">
        <f t="shared" si="189"/>
        <v>4.193153156822671E-3</v>
      </c>
      <c r="AL48" s="897">
        <f t="shared" si="189"/>
        <v>2.9955888478565118E-2</v>
      </c>
      <c r="AM48" s="898">
        <f t="shared" si="189"/>
        <v>-1.6665642750675391E-2</v>
      </c>
      <c r="AN48" s="897">
        <f t="shared" si="189"/>
        <v>-3.0177755631980441E-2</v>
      </c>
      <c r="AO48" s="897">
        <f t="shared" si="189"/>
        <v>3.9599742848204444E-2</v>
      </c>
      <c r="AP48" s="897">
        <f t="shared" si="189"/>
        <v>2.7118481000982797E-2</v>
      </c>
      <c r="AQ48" s="898">
        <f t="shared" si="189"/>
        <v>-1.4820473758091146E-2</v>
      </c>
      <c r="AR48" s="897">
        <f>+AR43/AN43-1</f>
        <v>-1.6167586189801186E-2</v>
      </c>
      <c r="AS48" s="897">
        <f t="shared" si="189"/>
        <v>-1.528833220701864E-2</v>
      </c>
      <c r="AT48" s="897">
        <f t="shared" si="189"/>
        <v>6.0006060168427133E-3</v>
      </c>
      <c r="AU48" s="898">
        <f>+AU43/AQ43-1</f>
        <v>3.7987998131686407E-2</v>
      </c>
      <c r="AV48" s="897">
        <f>+AV43/AR43-1</f>
        <v>1.7362487535366622E-2</v>
      </c>
      <c r="AW48" s="897">
        <f t="shared" si="176"/>
        <v>-1.9960927505405457E-2</v>
      </c>
      <c r="AX48" s="514">
        <f t="shared" si="176"/>
        <v>-4.1865137570032185E-2</v>
      </c>
      <c r="AY48" s="1551">
        <f t="shared" si="176"/>
        <v>-5.260223945706588E-2</v>
      </c>
      <c r="AZ48" s="514">
        <f t="shared" si="176"/>
        <v>3.466117998078011E-2</v>
      </c>
      <c r="BA48" s="897">
        <f t="shared" si="177"/>
        <v>1.9882596533878472E-2</v>
      </c>
      <c r="BB48" s="897">
        <f t="shared" si="178"/>
        <v>2.8390691964844672E-2</v>
      </c>
      <c r="BC48" s="897">
        <f t="shared" si="179"/>
        <v>3.6943610569524887E-2</v>
      </c>
      <c r="BD48" s="1735">
        <f t="shared" si="180"/>
        <v>5.1392942045771939E-2</v>
      </c>
      <c r="BE48" s="897">
        <f t="shared" si="181"/>
        <v>0.11708600004596592</v>
      </c>
      <c r="BF48" s="897">
        <f t="shared" si="182"/>
        <v>0.17914210102797812</v>
      </c>
      <c r="BG48" s="1736">
        <f t="shared" si="183"/>
        <v>0.17850945491554615</v>
      </c>
      <c r="BH48" s="1735">
        <f t="shared" si="184"/>
        <v>8.2473495840103883E-2</v>
      </c>
      <c r="BI48" s="897">
        <f t="shared" si="185"/>
        <v>3.235274896061302E-2</v>
      </c>
      <c r="BJ48" s="897">
        <f t="shared" si="186"/>
        <v>-1.8840969651300887E-2</v>
      </c>
      <c r="BK48" s="1736">
        <f t="shared" si="187"/>
        <v>-1.6912697447067138E-2</v>
      </c>
      <c r="BL48" s="899"/>
      <c r="BM48" s="900"/>
      <c r="BN48" s="900"/>
      <c r="BO48" s="900"/>
      <c r="BP48" s="900"/>
      <c r="BQ48" s="900"/>
      <c r="BR48" s="900">
        <f>+BR43/BQ43-1</f>
        <v>0.11233939287720829</v>
      </c>
      <c r="BS48" s="900">
        <f t="shared" si="188"/>
        <v>-6.4976744750348092E-2</v>
      </c>
      <c r="BT48" s="900">
        <f t="shared" si="188"/>
        <v>-8.4684714626950042E-2</v>
      </c>
      <c r="BU48" s="900">
        <f t="shared" si="188"/>
        <v>-1.4900140443097065E-3</v>
      </c>
      <c r="BV48" s="1956">
        <f t="shared" si="188"/>
        <v>6.9007737387685175E-3</v>
      </c>
      <c r="BW48" s="900">
        <f t="shared" si="188"/>
        <v>-5.6439759727178185E-4</v>
      </c>
      <c r="BX48" s="900">
        <f t="shared" si="188"/>
        <v>-2.216758960365961E-2</v>
      </c>
      <c r="BY48" s="900">
        <f t="shared" si="188"/>
        <v>2.9212512818321601E-2</v>
      </c>
      <c r="BZ48" s="900">
        <f t="shared" si="188"/>
        <v>0.13506873774133821</v>
      </c>
      <c r="CA48" s="1957">
        <f t="shared" si="188"/>
        <v>1.5583363869740463E-2</v>
      </c>
      <c r="CB48" s="1408"/>
    </row>
    <row r="49" spans="2:80" s="901" customFormat="1" ht="14.25" customHeight="1">
      <c r="B49" s="1351" t="s">
        <v>478</v>
      </c>
      <c r="C49" s="896"/>
      <c r="D49" s="897"/>
      <c r="E49" s="897"/>
      <c r="F49" s="897"/>
      <c r="G49" s="898"/>
      <c r="H49" s="897"/>
      <c r="I49" s="897"/>
      <c r="J49" s="897"/>
      <c r="K49" s="898"/>
      <c r="L49" s="897"/>
      <c r="M49" s="897"/>
      <c r="N49" s="897"/>
      <c r="O49" s="898"/>
      <c r="P49" s="897"/>
      <c r="Q49" s="897"/>
      <c r="R49" s="897"/>
      <c r="S49" s="898"/>
      <c r="T49" s="897"/>
      <c r="U49" s="897"/>
      <c r="V49" s="897"/>
      <c r="W49" s="898"/>
      <c r="X49" s="897">
        <f>+X44/T44-1</f>
        <v>0.23584678936297321</v>
      </c>
      <c r="Y49" s="897">
        <f t="shared" ref="Y49:AT49" si="190">+Y44/U44-1</f>
        <v>0.37240580854580729</v>
      </c>
      <c r="Z49" s="897">
        <f t="shared" si="190"/>
        <v>0.22708847793683917</v>
      </c>
      <c r="AA49" s="898">
        <f t="shared" si="190"/>
        <v>0.12595019960282183</v>
      </c>
      <c r="AB49" s="897">
        <f t="shared" si="190"/>
        <v>6.7833297067008802E-2</v>
      </c>
      <c r="AC49" s="897">
        <f t="shared" si="190"/>
        <v>1.0839595315971673E-2</v>
      </c>
      <c r="AD49" s="897">
        <f t="shared" si="190"/>
        <v>-1.940986539685019E-2</v>
      </c>
      <c r="AE49" s="898">
        <f t="shared" si="190"/>
        <v>-8.8781790423908546E-3</v>
      </c>
      <c r="AF49" s="897">
        <f t="shared" si="190"/>
        <v>-7.3563717288717356E-2</v>
      </c>
      <c r="AG49" s="897">
        <f t="shared" si="190"/>
        <v>-0.19110433799784721</v>
      </c>
      <c r="AH49" s="897">
        <f t="shared" si="190"/>
        <v>-0.27829921390611168</v>
      </c>
      <c r="AI49" s="898">
        <f t="shared" si="190"/>
        <v>-0.36497289609274375</v>
      </c>
      <c r="AJ49" s="897">
        <f t="shared" si="190"/>
        <v>-0.38778108670352951</v>
      </c>
      <c r="AK49" s="897">
        <f t="shared" si="190"/>
        <v>-0.17126110899753344</v>
      </c>
      <c r="AL49" s="897">
        <f t="shared" si="190"/>
        <v>-6.5463026152175585E-2</v>
      </c>
      <c r="AM49" s="898">
        <f t="shared" si="190"/>
        <v>-6.6084185407119578E-2</v>
      </c>
      <c r="AN49" s="897">
        <f t="shared" si="190"/>
        <v>9.5678522976840874E-3</v>
      </c>
      <c r="AO49" s="897">
        <f t="shared" si="190"/>
        <v>-0.10779563461552644</v>
      </c>
      <c r="AP49" s="897">
        <f t="shared" si="190"/>
        <v>-7.5120615611725339E-2</v>
      </c>
      <c r="AQ49" s="898">
        <f t="shared" si="190"/>
        <v>-0.1418691439938975</v>
      </c>
      <c r="AR49" s="897">
        <f t="shared" si="190"/>
        <v>-0.32115853344575507</v>
      </c>
      <c r="AS49" s="897">
        <f t="shared" si="190"/>
        <v>-0.57680411637524098</v>
      </c>
      <c r="AT49" s="897">
        <f t="shared" si="190"/>
        <v>-0.54361539133254999</v>
      </c>
      <c r="AU49" s="898">
        <f>+AU44/AQ44-1</f>
        <v>-0.42787958918430291</v>
      </c>
      <c r="AV49" s="897">
        <f t="shared" ref="AV49" si="191">+AV44/AR44-1</f>
        <v>-0.26478001134865548</v>
      </c>
      <c r="AW49" s="897">
        <f t="shared" si="176"/>
        <v>2.0815956849357997E-2</v>
      </c>
      <c r="AX49" s="514">
        <f t="shared" si="176"/>
        <v>-3.1738104453814642E-2</v>
      </c>
      <c r="AY49" s="1551">
        <f>+AY44/AU44-1</f>
        <v>1.5117871055300824E-2</v>
      </c>
      <c r="AZ49" s="514">
        <f t="shared" si="176"/>
        <v>0.11149416925372546</v>
      </c>
      <c r="BA49" s="897">
        <f t="shared" si="177"/>
        <v>0.38650778146182141</v>
      </c>
      <c r="BB49" s="897">
        <f t="shared" si="178"/>
        <v>0.39745304773400547</v>
      </c>
      <c r="BC49" s="897">
        <f t="shared" si="179"/>
        <v>0.48972130047277984</v>
      </c>
      <c r="BD49" s="1735">
        <f t="shared" si="180"/>
        <v>0.76874098912261934</v>
      </c>
      <c r="BE49" s="897">
        <f t="shared" si="181"/>
        <v>0.88606253004192714</v>
      </c>
      <c r="BF49" s="897">
        <f t="shared" si="182"/>
        <v>0.98145174116306855</v>
      </c>
      <c r="BG49" s="1736">
        <f t="shared" si="183"/>
        <v>0.68064240627843886</v>
      </c>
      <c r="BH49" s="1735">
        <f t="shared" si="184"/>
        <v>0.28815756278425919</v>
      </c>
      <c r="BI49" s="897">
        <f t="shared" si="185"/>
        <v>5.4848464573919786E-2</v>
      </c>
      <c r="BJ49" s="897">
        <f t="shared" si="186"/>
        <v>-2.8749694698792294E-2</v>
      </c>
      <c r="BK49" s="1736">
        <f t="shared" si="187"/>
        <v>-2.3253326281842845E-2</v>
      </c>
      <c r="BL49" s="899"/>
      <c r="BM49" s="900"/>
      <c r="BN49" s="900"/>
      <c r="BO49" s="900"/>
      <c r="BP49" s="900"/>
      <c r="BQ49" s="900"/>
      <c r="BR49" s="900">
        <f>+BR44/BQ44-1</f>
        <v>0.233527570914559</v>
      </c>
      <c r="BS49" s="900">
        <f t="shared" si="188"/>
        <v>1.1761917053698445E-2</v>
      </c>
      <c r="BT49" s="900">
        <f t="shared" si="188"/>
        <v>-0.22658279854986196</v>
      </c>
      <c r="BU49" s="900">
        <f t="shared" si="188"/>
        <v>-0.19079679642017067</v>
      </c>
      <c r="BV49" s="1956">
        <f t="shared" si="188"/>
        <v>-8.0498531032263565E-2</v>
      </c>
      <c r="BW49" s="900">
        <f t="shared" si="188"/>
        <v>-0.47065033322828409</v>
      </c>
      <c r="BX49" s="900">
        <f t="shared" si="188"/>
        <v>-8.4488591846006211E-2</v>
      </c>
      <c r="BY49" s="900">
        <f t="shared" si="188"/>
        <v>0.34563045927691927</v>
      </c>
      <c r="BZ49" s="900">
        <f t="shared" si="188"/>
        <v>0.82419114808102978</v>
      </c>
      <c r="CA49" s="1957">
        <f t="shared" si="188"/>
        <v>5.909566583032877E-2</v>
      </c>
      <c r="CB49" s="1408"/>
    </row>
    <row r="50" spans="2:80" s="901" customFormat="1" ht="14.25" customHeight="1">
      <c r="B50" s="1353"/>
      <c r="C50" s="896"/>
      <c r="D50" s="897"/>
      <c r="E50" s="897"/>
      <c r="F50" s="897"/>
      <c r="G50" s="898"/>
      <c r="H50" s="897"/>
      <c r="I50" s="897"/>
      <c r="J50" s="897"/>
      <c r="K50" s="898"/>
      <c r="L50" s="897"/>
      <c r="M50" s="897"/>
      <c r="N50" s="897"/>
      <c r="O50" s="898"/>
      <c r="P50" s="897"/>
      <c r="Q50" s="897"/>
      <c r="R50" s="897"/>
      <c r="S50" s="898"/>
      <c r="T50" s="897"/>
      <c r="U50" s="897"/>
      <c r="V50" s="897"/>
      <c r="W50" s="898"/>
      <c r="X50" s="897"/>
      <c r="Y50" s="897"/>
      <c r="Z50" s="897"/>
      <c r="AA50" s="898"/>
      <c r="AB50" s="897"/>
      <c r="AC50" s="897"/>
      <c r="AD50" s="897"/>
      <c r="AE50" s="898"/>
      <c r="AF50" s="897"/>
      <c r="AG50" s="897"/>
      <c r="AH50" s="897"/>
      <c r="AI50" s="898"/>
      <c r="AJ50" s="897"/>
      <c r="AK50" s="897"/>
      <c r="AL50" s="897"/>
      <c r="AM50" s="898"/>
      <c r="AN50" s="897"/>
      <c r="AO50" s="897"/>
      <c r="AP50" s="897"/>
      <c r="AQ50" s="898"/>
      <c r="AR50" s="897"/>
      <c r="AS50" s="897"/>
      <c r="AT50" s="897"/>
      <c r="AU50" s="898"/>
      <c r="AV50" s="897"/>
      <c r="AW50" s="897"/>
      <c r="AX50" s="514"/>
      <c r="AY50" s="1551"/>
      <c r="AZ50" s="514"/>
      <c r="BA50" s="897"/>
      <c r="BB50" s="897"/>
      <c r="BC50" s="897"/>
      <c r="BD50" s="1735"/>
      <c r="BE50" s="897"/>
      <c r="BF50" s="897"/>
      <c r="BG50" s="1736"/>
      <c r="BH50" s="1735"/>
      <c r="BI50" s="897"/>
      <c r="BJ50" s="897"/>
      <c r="BK50" s="1736"/>
      <c r="BL50" s="899"/>
      <c r="BM50" s="900"/>
      <c r="BN50" s="900"/>
      <c r="BO50" s="900"/>
      <c r="BP50" s="900"/>
      <c r="BQ50" s="900"/>
      <c r="BR50" s="900"/>
      <c r="BS50" s="900"/>
      <c r="BT50" s="900"/>
      <c r="BU50" s="900"/>
      <c r="BV50" s="1956"/>
      <c r="BW50" s="900"/>
      <c r="BX50" s="900"/>
      <c r="BY50" s="900"/>
      <c r="BZ50" s="900"/>
      <c r="CA50" s="1957"/>
      <c r="CB50" s="1408"/>
    </row>
    <row r="51" spans="2:80" s="7" customFormat="1" ht="14.25" customHeight="1">
      <c r="B51" s="1350" t="s">
        <v>390</v>
      </c>
      <c r="C51" s="380"/>
      <c r="D51" s="500"/>
      <c r="E51" s="500"/>
      <c r="F51" s="500"/>
      <c r="G51" s="501"/>
      <c r="H51" s="500"/>
      <c r="I51" s="500"/>
      <c r="J51" s="500"/>
      <c r="K51" s="501"/>
      <c r="L51" s="500"/>
      <c r="M51" s="500"/>
      <c r="N51" s="500"/>
      <c r="O51" s="501"/>
      <c r="P51" s="500"/>
      <c r="Q51" s="500"/>
      <c r="R51" s="500"/>
      <c r="S51" s="501"/>
      <c r="T51" s="52"/>
      <c r="U51" s="52"/>
      <c r="V51" s="52"/>
      <c r="W51" s="499"/>
      <c r="X51" s="52"/>
      <c r="Y51" s="52"/>
      <c r="Z51" s="508"/>
      <c r="AA51" s="509"/>
      <c r="AB51" s="565"/>
      <c r="AC51" s="565"/>
      <c r="AD51" s="566"/>
      <c r="AE51" s="704"/>
      <c r="AF51" s="705"/>
      <c r="AG51" s="705"/>
      <c r="AH51" s="52"/>
      <c r="AI51" s="499"/>
      <c r="AJ51" s="52"/>
      <c r="AK51" s="52"/>
      <c r="AL51" s="52"/>
      <c r="AM51" s="499"/>
      <c r="AN51" s="52"/>
      <c r="AO51" s="52"/>
      <c r="AP51" s="52"/>
      <c r="AQ51" s="499"/>
      <c r="AR51" s="52"/>
      <c r="AS51" s="52"/>
      <c r="AT51" s="52"/>
      <c r="AU51" s="499"/>
      <c r="AV51" s="52"/>
      <c r="AW51" s="52"/>
      <c r="AX51" s="52"/>
      <c r="AY51" s="1545"/>
      <c r="AZ51" s="52"/>
      <c r="BA51" s="52"/>
      <c r="BB51" s="52"/>
      <c r="BC51" s="52"/>
      <c r="BD51" s="504"/>
      <c r="BE51" s="52"/>
      <c r="BF51" s="52"/>
      <c r="BG51" s="1545"/>
      <c r="BH51" s="504"/>
      <c r="BI51" s="52"/>
      <c r="BJ51" s="52"/>
      <c r="BK51" s="1545"/>
      <c r="BL51" s="244"/>
      <c r="BM51" s="253"/>
      <c r="BN51" s="253"/>
      <c r="BO51" s="253"/>
      <c r="BP51" s="253"/>
      <c r="BQ51" s="253"/>
      <c r="BR51" s="253"/>
      <c r="BS51" s="253"/>
      <c r="BT51" s="253"/>
      <c r="BU51" s="253"/>
      <c r="BV51" s="1946"/>
      <c r="BW51" s="13"/>
      <c r="BX51" s="13"/>
      <c r="BY51" s="13"/>
      <c r="BZ51" s="13"/>
      <c r="CA51" s="1664"/>
      <c r="CB51" s="1408"/>
    </row>
    <row r="52" spans="2:80" s="902" customFormat="1" ht="14.25" customHeight="1">
      <c r="B52" s="1351" t="s">
        <v>344</v>
      </c>
      <c r="C52" s="903"/>
      <c r="D52" s="894"/>
      <c r="E52" s="894"/>
      <c r="F52" s="894"/>
      <c r="G52" s="895"/>
      <c r="H52" s="894"/>
      <c r="I52" s="894"/>
      <c r="J52" s="894"/>
      <c r="K52" s="895"/>
      <c r="L52" s="894"/>
      <c r="M52" s="894"/>
      <c r="N52" s="894"/>
      <c r="O52" s="895"/>
      <c r="P52" s="894"/>
      <c r="Q52" s="894"/>
      <c r="R52" s="894"/>
      <c r="S52" s="895"/>
      <c r="T52" s="904"/>
      <c r="U52" s="904">
        <f>+U42/T42-1</f>
        <v>1.5328364505695413E-2</v>
      </c>
      <c r="V52" s="904">
        <f t="shared" ref="V52:AU54" si="192">+V42/U42-1</f>
        <v>0.12188365650969524</v>
      </c>
      <c r="W52" s="905">
        <f t="shared" si="192"/>
        <v>0.11975308641975313</v>
      </c>
      <c r="X52" s="904">
        <f t="shared" si="192"/>
        <v>-8.147739801543552E-2</v>
      </c>
      <c r="Y52" s="904">
        <f t="shared" si="192"/>
        <v>3.6190133237306465E-2</v>
      </c>
      <c r="Z52" s="906">
        <f t="shared" si="192"/>
        <v>4.6741963509991269E-2</v>
      </c>
      <c r="AA52" s="907">
        <f t="shared" si="192"/>
        <v>-1.1343514829570633E-2</v>
      </c>
      <c r="AB52" s="906">
        <f t="shared" si="192"/>
        <v>1.8637711982985472E-2</v>
      </c>
      <c r="AC52" s="906">
        <f t="shared" si="192"/>
        <v>4.3956043956044022E-2</v>
      </c>
      <c r="AD52" s="894">
        <f t="shared" si="192"/>
        <v>2.1052631578947434E-2</v>
      </c>
      <c r="AE52" s="905">
        <f t="shared" si="192"/>
        <v>-2.0618556701030966E-2</v>
      </c>
      <c r="AF52" s="904">
        <f t="shared" si="192"/>
        <v>-2.200000000000002E-2</v>
      </c>
      <c r="AG52" s="904">
        <f t="shared" si="192"/>
        <v>-7.835539769669575E-2</v>
      </c>
      <c r="AH52" s="904">
        <f t="shared" si="192"/>
        <v>-0.11298610300128464</v>
      </c>
      <c r="AI52" s="905">
        <f t="shared" si="192"/>
        <v>-0.14548087683496802</v>
      </c>
      <c r="AJ52" s="904">
        <f t="shared" si="192"/>
        <v>-0.11231457707418546</v>
      </c>
      <c r="AK52" s="904">
        <f t="shared" si="192"/>
        <v>0.22656103916074799</v>
      </c>
      <c r="AL52" s="904">
        <f t="shared" si="192"/>
        <v>-2.4768268596497167E-2</v>
      </c>
      <c r="AM52" s="905">
        <f t="shared" si="192"/>
        <v>-0.10556159424571177</v>
      </c>
      <c r="AN52" s="904">
        <f t="shared" si="192"/>
        <v>-2.7037854407434447E-2</v>
      </c>
      <c r="AO52" s="904">
        <f t="shared" si="192"/>
        <v>1.1216096745979121E-2</v>
      </c>
      <c r="AP52" s="904">
        <f t="shared" si="192"/>
        <v>2.3232200599126784E-2</v>
      </c>
      <c r="AQ52" s="905">
        <f t="shared" si="192"/>
        <v>-0.13478503255257879</v>
      </c>
      <c r="AR52" s="904">
        <f t="shared" si="192"/>
        <v>-0.22926507418777542</v>
      </c>
      <c r="AS52" s="904">
        <f t="shared" si="192"/>
        <v>-0.3701616670902772</v>
      </c>
      <c r="AT52" s="904">
        <f t="shared" si="192"/>
        <v>8.0126435124245221E-2</v>
      </c>
      <c r="AU52" s="905">
        <f t="shared" si="192"/>
        <v>5.1202502982873099E-2</v>
      </c>
      <c r="AV52" s="904">
        <f t="shared" ref="AV52:AV54" si="193">+AV42/AU42-1</f>
        <v>1.0535361402854937E-2</v>
      </c>
      <c r="AW52" s="904">
        <f t="shared" ref="AW52:AZ54" si="194">+AW42/AV42-1</f>
        <v>-9.2197106383527516E-2</v>
      </c>
      <c r="AX52" s="904">
        <f t="shared" si="194"/>
        <v>4.7940763914895212E-2</v>
      </c>
      <c r="AY52" s="1552">
        <f t="shared" si="194"/>
        <v>0.11456219333112827</v>
      </c>
      <c r="AZ52" s="904">
        <f t="shared" si="194"/>
        <v>1.3156253704093679E-2</v>
      </c>
      <c r="BA52" s="904">
        <f t="shared" ref="BA52:BA54" si="195">+BA42/AZ42-1</f>
        <v>0.14882706670123502</v>
      </c>
      <c r="BB52" s="904">
        <f t="shared" ref="BB52:BB54" si="196">+BB42/BA42-1</f>
        <v>4.7475061572797239E-2</v>
      </c>
      <c r="BC52" s="904">
        <f t="shared" ref="BC52:BC54" si="197">+BC42/BB42-1</f>
        <v>0.17835217282399074</v>
      </c>
      <c r="BD52" s="1737">
        <f t="shared" ref="BD52:BD54" si="198">+BD42/BC42-1</f>
        <v>0.18638521273897557</v>
      </c>
      <c r="BE52" s="904">
        <f t="shared" ref="BE52:BE54" si="199">+BE42/BD42-1</f>
        <v>0.15298844303027548</v>
      </c>
      <c r="BF52" s="904">
        <f t="shared" ref="BF52:BF54" si="200">+BF42/BE42-1</f>
        <v>4.2537216339114448E-2</v>
      </c>
      <c r="BG52" s="1552">
        <f t="shared" ref="BG52:BG54" si="201">+BG42/BF42-1</f>
        <v>0</v>
      </c>
      <c r="BH52" s="1737">
        <f t="shared" ref="BH52:BH54" si="202">+BH42/BG42-1</f>
        <v>-1.0000000000000009E-2</v>
      </c>
      <c r="BI52" s="904">
        <f t="shared" ref="BI52:BI54" si="203">+BI42/BH42-1</f>
        <v>-9.9999999999998979E-3</v>
      </c>
      <c r="BJ52" s="904">
        <f t="shared" ref="BJ52:BJ54" si="204">+BJ42/BI42-1</f>
        <v>1.0000000000000009E-2</v>
      </c>
      <c r="BK52" s="1552">
        <f t="shared" ref="BK52:BK54" si="205">+BK42/BJ42-1</f>
        <v>3.6865193156865317E-3</v>
      </c>
      <c r="BL52" s="908"/>
      <c r="BM52" s="909"/>
      <c r="BN52" s="909"/>
      <c r="BO52" s="909"/>
      <c r="BP52" s="909"/>
      <c r="BQ52" s="909"/>
      <c r="BR52" s="909"/>
      <c r="BS52" s="909"/>
      <c r="BT52" s="909"/>
      <c r="BU52" s="909"/>
      <c r="BV52" s="1958"/>
      <c r="BW52" s="911"/>
      <c r="BX52" s="911"/>
      <c r="BY52" s="911"/>
      <c r="BZ52" s="911"/>
      <c r="CA52" s="1959"/>
      <c r="CB52" s="1408"/>
    </row>
    <row r="53" spans="2:80" s="902" customFormat="1" ht="14.25" customHeight="1">
      <c r="B53" s="1352" t="s">
        <v>411</v>
      </c>
      <c r="C53" s="903"/>
      <c r="D53" s="894"/>
      <c r="E53" s="894"/>
      <c r="F53" s="894"/>
      <c r="G53" s="895"/>
      <c r="H53" s="894"/>
      <c r="I53" s="894"/>
      <c r="J53" s="894"/>
      <c r="K53" s="895"/>
      <c r="L53" s="894"/>
      <c r="M53" s="894"/>
      <c r="N53" s="894"/>
      <c r="O53" s="895"/>
      <c r="P53" s="894"/>
      <c r="Q53" s="894"/>
      <c r="R53" s="894"/>
      <c r="S53" s="895"/>
      <c r="T53" s="904"/>
      <c r="U53" s="904">
        <f>+U43/T43-1</f>
        <v>-6.6508796116083846E-2</v>
      </c>
      <c r="V53" s="904">
        <f t="shared" si="192"/>
        <v>-8.7048514575638336E-4</v>
      </c>
      <c r="W53" s="905">
        <f t="shared" si="192"/>
        <v>-6.7914248289369095E-3</v>
      </c>
      <c r="X53" s="904">
        <f t="shared" si="192"/>
        <v>0.13874294359446226</v>
      </c>
      <c r="Y53" s="904">
        <f t="shared" si="192"/>
        <v>1.5769597991647233E-2</v>
      </c>
      <c r="Z53" s="906">
        <f t="shared" si="192"/>
        <v>-4.2534122745307212E-2</v>
      </c>
      <c r="AA53" s="907">
        <f t="shared" si="192"/>
        <v>3.2192295866634968E-2</v>
      </c>
      <c r="AB53" s="906">
        <f t="shared" si="192"/>
        <v>-2.6176899875893E-2</v>
      </c>
      <c r="AC53" s="906">
        <f t="shared" si="192"/>
        <v>-4.5598229808756274E-2</v>
      </c>
      <c r="AD53" s="894">
        <f t="shared" si="192"/>
        <v>-4.7817739948731064E-2</v>
      </c>
      <c r="AE53" s="905">
        <f t="shared" si="192"/>
        <v>5.315836091557502E-2</v>
      </c>
      <c r="AF53" s="904">
        <f t="shared" si="192"/>
        <v>-5.1910175426581051E-2</v>
      </c>
      <c r="AG53" s="904">
        <f t="shared" si="192"/>
        <v>-5.6097978385846292E-2</v>
      </c>
      <c r="AH53" s="904">
        <f t="shared" si="192"/>
        <v>-2.2081948588412059E-2</v>
      </c>
      <c r="AI53" s="905">
        <f t="shared" si="192"/>
        <v>6.2083956188784262E-2</v>
      </c>
      <c r="AJ53" s="904">
        <f t="shared" si="192"/>
        <v>7.0330691054205641E-3</v>
      </c>
      <c r="AK53" s="904">
        <f t="shared" si="192"/>
        <v>-3.9909411600052014E-2</v>
      </c>
      <c r="AL53" s="904">
        <f t="shared" si="192"/>
        <v>3.006694812183186E-3</v>
      </c>
      <c r="AM53" s="905">
        <f t="shared" si="192"/>
        <v>1.4008129946676995E-2</v>
      </c>
      <c r="AN53" s="904">
        <f t="shared" si="192"/>
        <v>-6.8046905585686934E-3</v>
      </c>
      <c r="AO53" s="904">
        <f t="shared" si="192"/>
        <v>2.9167906395033416E-2</v>
      </c>
      <c r="AP53" s="904">
        <f t="shared" si="192"/>
        <v>-9.0352369779970187E-3</v>
      </c>
      <c r="AQ53" s="905">
        <f t="shared" si="192"/>
        <v>-2.7395507388056295E-2</v>
      </c>
      <c r="AR53" s="904">
        <f t="shared" si="192"/>
        <v>-8.1627635927987718E-3</v>
      </c>
      <c r="AS53" s="904">
        <f t="shared" si="192"/>
        <v>3.008767684368685E-2</v>
      </c>
      <c r="AT53" s="904">
        <f t="shared" si="192"/>
        <v>1.2388889811606463E-2</v>
      </c>
      <c r="AU53" s="515">
        <f t="shared" si="192"/>
        <v>3.530002091523432E-3</v>
      </c>
      <c r="AV53" s="904">
        <f t="shared" si="193"/>
        <v>-2.7871227916242747E-2</v>
      </c>
      <c r="AW53" s="514">
        <f t="shared" si="194"/>
        <v>-7.7025801809856853E-3</v>
      </c>
      <c r="AX53" s="904">
        <f t="shared" si="194"/>
        <v>-1.0238349787200396E-2</v>
      </c>
      <c r="AY53" s="1552">
        <f t="shared" si="194"/>
        <v>-7.7158092255021904E-3</v>
      </c>
      <c r="AZ53" s="904">
        <f t="shared" si="194"/>
        <v>6.1670128754611087E-2</v>
      </c>
      <c r="BA53" s="904">
        <f t="shared" si="195"/>
        <v>-2.1876060839855049E-2</v>
      </c>
      <c r="BB53" s="904">
        <f t="shared" si="196"/>
        <v>-1.9815302252819134E-3</v>
      </c>
      <c r="BC53" s="904">
        <f t="shared" si="197"/>
        <v>5.3681886877798846E-4</v>
      </c>
      <c r="BD53" s="1737">
        <f t="shared" si="198"/>
        <v>7.646401286985216E-2</v>
      </c>
      <c r="BE53" s="904">
        <f t="shared" si="199"/>
        <v>3.92390086046841E-2</v>
      </c>
      <c r="BF53" s="904">
        <f t="shared" si="200"/>
        <v>5.3460159080380265E-2</v>
      </c>
      <c r="BG53" s="1552">
        <f t="shared" si="201"/>
        <v>0</v>
      </c>
      <c r="BH53" s="1737">
        <f t="shared" si="202"/>
        <v>-1.1256330361135158E-2</v>
      </c>
      <c r="BI53" s="904">
        <f t="shared" si="203"/>
        <v>-8.8798926873457917E-3</v>
      </c>
      <c r="BJ53" s="904">
        <f t="shared" si="204"/>
        <v>1.2197373765379105E-3</v>
      </c>
      <c r="BK53" s="1552">
        <f t="shared" si="205"/>
        <v>1.965300368838685E-3</v>
      </c>
      <c r="BL53" s="908"/>
      <c r="BM53" s="909"/>
      <c r="BN53" s="909"/>
      <c r="BO53" s="909"/>
      <c r="BP53" s="909"/>
      <c r="BQ53" s="909"/>
      <c r="BR53" s="909"/>
      <c r="BS53" s="909"/>
      <c r="BT53" s="909"/>
      <c r="BU53" s="909"/>
      <c r="BV53" s="1958"/>
      <c r="BW53" s="911"/>
      <c r="BX53" s="911"/>
      <c r="BY53" s="911"/>
      <c r="BZ53" s="911"/>
      <c r="CA53" s="1959"/>
      <c r="CB53" s="1408"/>
    </row>
    <row r="54" spans="2:80" s="902" customFormat="1" ht="14.25" customHeight="1">
      <c r="B54" s="1351" t="s">
        <v>478</v>
      </c>
      <c r="C54" s="903"/>
      <c r="D54" s="894"/>
      <c r="E54" s="894"/>
      <c r="F54" s="894"/>
      <c r="G54" s="895"/>
      <c r="H54" s="894"/>
      <c r="I54" s="894"/>
      <c r="J54" s="894"/>
      <c r="K54" s="895"/>
      <c r="L54" s="894"/>
      <c r="M54" s="894"/>
      <c r="N54" s="894"/>
      <c r="O54" s="895"/>
      <c r="P54" s="894"/>
      <c r="Q54" s="894"/>
      <c r="R54" s="894"/>
      <c r="S54" s="895"/>
      <c r="T54" s="904"/>
      <c r="U54" s="904">
        <f>+U44/T44-1</f>
        <v>-5.2199902680090782E-2</v>
      </c>
      <c r="V54" s="904">
        <f t="shared" si="192"/>
        <v>0.12090707345143681</v>
      </c>
      <c r="W54" s="905">
        <f t="shared" si="192"/>
        <v>0.11214836750636326</v>
      </c>
      <c r="X54" s="904">
        <f t="shared" si="192"/>
        <v>4.5961131541947475E-2</v>
      </c>
      <c r="Y54" s="904">
        <f t="shared" si="192"/>
        <v>5.253043508137023E-2</v>
      </c>
      <c r="Z54" s="906">
        <f t="shared" si="192"/>
        <v>2.2197123513933992E-3</v>
      </c>
      <c r="AA54" s="907">
        <f t="shared" si="192"/>
        <v>2.0483607251503111E-2</v>
      </c>
      <c r="AB54" s="906">
        <f t="shared" si="192"/>
        <v>-8.0270654134019237E-3</v>
      </c>
      <c r="AC54" s="906">
        <f t="shared" si="192"/>
        <v>-3.6465036465036516E-3</v>
      </c>
      <c r="AD54" s="894">
        <f t="shared" si="192"/>
        <v>-2.7771797631862216E-2</v>
      </c>
      <c r="AE54" s="905">
        <f t="shared" si="192"/>
        <v>3.144375553587242E-2</v>
      </c>
      <c r="AF54" s="904">
        <f t="shared" si="192"/>
        <v>-7.2768151567196293E-2</v>
      </c>
      <c r="AG54" s="904">
        <f t="shared" si="192"/>
        <v>-0.13005779667613859</v>
      </c>
      <c r="AH54" s="904">
        <f t="shared" si="192"/>
        <v>-0.13257309827201713</v>
      </c>
      <c r="AI54" s="905">
        <f t="shared" si="192"/>
        <v>-9.2428949029911833E-2</v>
      </c>
      <c r="AJ54" s="904">
        <f t="shared" si="192"/>
        <v>-0.10607142415087367</v>
      </c>
      <c r="AK54" s="904">
        <f t="shared" si="192"/>
        <v>0.17760970979629409</v>
      </c>
      <c r="AL54" s="904">
        <f t="shared" si="192"/>
        <v>-2.1836044409009769E-2</v>
      </c>
      <c r="AM54" s="905">
        <f t="shared" si="192"/>
        <v>-9.303218482860709E-2</v>
      </c>
      <c r="AN54" s="904">
        <f t="shared" si="192"/>
        <v>-3.3658560733392795E-2</v>
      </c>
      <c r="AO54" s="904">
        <f t="shared" si="192"/>
        <v>4.0711153201016925E-2</v>
      </c>
      <c r="AP54" s="904">
        <f t="shared" si="192"/>
        <v>1.3987055183196206E-2</v>
      </c>
      <c r="AQ54" s="905">
        <f t="shared" si="192"/>
        <v>-0.15848803558554159</v>
      </c>
      <c r="AR54" s="904">
        <f t="shared" si="192"/>
        <v>-0.23555640117989374</v>
      </c>
      <c r="AS54" s="904">
        <f t="shared" si="192"/>
        <v>-0.35121129486592317</v>
      </c>
      <c r="AT54" s="904">
        <f t="shared" si="192"/>
        <v>9.3508002511603072E-2</v>
      </c>
      <c r="AU54" s="905">
        <f t="shared" si="192"/>
        <v>5.4913250017017079E-2</v>
      </c>
      <c r="AV54" s="904">
        <f t="shared" si="193"/>
        <v>-1.7629499972226736E-2</v>
      </c>
      <c r="AW54" s="904">
        <f t="shared" si="194"/>
        <v>-9.9189530960139383E-2</v>
      </c>
      <c r="AX54" s="904">
        <f t="shared" si="194"/>
        <v>3.7211579817668428E-2</v>
      </c>
      <c r="AY54" s="1552">
        <f t="shared" si="194"/>
        <v>0.10596244407742827</v>
      </c>
      <c r="AZ54" s="904">
        <f t="shared" si="194"/>
        <v>7.5637730318564245E-2</v>
      </c>
      <c r="BA54" s="904">
        <f t="shared" si="195"/>
        <v>0.12369525589560681</v>
      </c>
      <c r="BB54" s="904">
        <f t="shared" si="196"/>
        <v>4.5399458078061672E-2</v>
      </c>
      <c r="BC54" s="904">
        <f t="shared" si="197"/>
        <v>0.1789847345044282</v>
      </c>
      <c r="BD54" s="1737">
        <f t="shared" si="198"/>
        <v>0.27710098691445095</v>
      </c>
      <c r="BE54" s="904">
        <f t="shared" si="199"/>
        <v>0.19823056646744153</v>
      </c>
      <c r="BF54" s="904">
        <f t="shared" si="200"/>
        <v>9.8271421771820133E-2</v>
      </c>
      <c r="BG54" s="1552">
        <f t="shared" si="201"/>
        <v>0</v>
      </c>
      <c r="BH54" s="1737">
        <f t="shared" si="202"/>
        <v>-2.1143767057523855E-2</v>
      </c>
      <c r="BI54" s="904">
        <f t="shared" si="203"/>
        <v>-1.8791093760472166E-2</v>
      </c>
      <c r="BJ54" s="904">
        <f t="shared" si="204"/>
        <v>1.1231934750303374E-2</v>
      </c>
      <c r="BK54" s="1552">
        <f t="shared" si="205"/>
        <v>5.6590648022960544E-3</v>
      </c>
      <c r="BL54" s="908"/>
      <c r="BM54" s="909"/>
      <c r="BN54" s="909"/>
      <c r="BO54" s="909"/>
      <c r="BP54" s="909"/>
      <c r="BQ54" s="909"/>
      <c r="BR54" s="909"/>
      <c r="BS54" s="909"/>
      <c r="BT54" s="909"/>
      <c r="BU54" s="909"/>
      <c r="BV54" s="1958"/>
      <c r="BW54" s="911"/>
      <c r="BX54" s="911"/>
      <c r="BY54" s="911"/>
      <c r="BZ54" s="911"/>
      <c r="CA54" s="1959"/>
      <c r="CB54" s="1408"/>
    </row>
    <row r="55" spans="2:80" s="7" customFormat="1" ht="14.25" customHeight="1">
      <c r="B55" s="1350"/>
      <c r="C55" s="380"/>
      <c r="D55" s="500"/>
      <c r="E55" s="500"/>
      <c r="F55" s="500"/>
      <c r="G55" s="501"/>
      <c r="H55" s="500"/>
      <c r="I55" s="500"/>
      <c r="J55" s="500"/>
      <c r="K55" s="501"/>
      <c r="L55" s="500"/>
      <c r="M55" s="500"/>
      <c r="N55" s="500"/>
      <c r="O55" s="501"/>
      <c r="P55" s="500"/>
      <c r="Q55" s="500"/>
      <c r="R55" s="500"/>
      <c r="S55" s="501"/>
      <c r="T55" s="52"/>
      <c r="U55" s="52"/>
      <c r="V55" s="52"/>
      <c r="W55" s="499"/>
      <c r="X55" s="52"/>
      <c r="Y55" s="52"/>
      <c r="Z55" s="508"/>
      <c r="AA55" s="509"/>
      <c r="AB55" s="565"/>
      <c r="AC55" s="565"/>
      <c r="AD55" s="566"/>
      <c r="AE55" s="704"/>
      <c r="AF55" s="705"/>
      <c r="AG55" s="705"/>
      <c r="AH55" s="52"/>
      <c r="AI55" s="499"/>
      <c r="AJ55" s="52"/>
      <c r="AK55" s="52"/>
      <c r="AL55" s="52"/>
      <c r="AM55" s="499"/>
      <c r="AN55" s="52"/>
      <c r="AO55" s="52"/>
      <c r="AP55" s="52"/>
      <c r="AQ55" s="499"/>
      <c r="AR55" s="52"/>
      <c r="AS55" s="52"/>
      <c r="AT55" s="52"/>
      <c r="AU55" s="499"/>
      <c r="AV55" s="52"/>
      <c r="AW55" s="52"/>
      <c r="AX55" s="52"/>
      <c r="AY55" s="1545"/>
      <c r="AZ55" s="52"/>
      <c r="BA55" s="52"/>
      <c r="BB55" s="52"/>
      <c r="BC55" s="52"/>
      <c r="BD55" s="504"/>
      <c r="BE55" s="52"/>
      <c r="BF55" s="52"/>
      <c r="BG55" s="1545"/>
      <c r="BH55" s="504"/>
      <c r="BI55" s="52"/>
      <c r="BJ55" s="52"/>
      <c r="BK55" s="1545"/>
      <c r="BL55" s="244"/>
      <c r="BM55" s="253"/>
      <c r="BN55" s="253"/>
      <c r="BO55" s="253"/>
      <c r="BP55" s="253"/>
      <c r="BQ55" s="253"/>
      <c r="BR55" s="253"/>
      <c r="BS55" s="253"/>
      <c r="BT55" s="253"/>
      <c r="BU55" s="253"/>
      <c r="BV55" s="1946"/>
      <c r="BW55" s="13"/>
      <c r="BX55" s="13"/>
      <c r="BY55" s="13"/>
      <c r="BZ55" s="13"/>
      <c r="CA55" s="1664"/>
      <c r="CB55" s="1408"/>
    </row>
    <row r="56" spans="2:80" s="115" customFormat="1" ht="14.25" customHeight="1">
      <c r="B56" s="1347" t="s">
        <v>420</v>
      </c>
      <c r="C56" s="734"/>
      <c r="D56" s="735"/>
      <c r="E56" s="735"/>
      <c r="F56" s="735"/>
      <c r="G56" s="736"/>
      <c r="H56" s="735"/>
      <c r="I56" s="735"/>
      <c r="J56" s="735"/>
      <c r="K56" s="736"/>
      <c r="L56" s="735"/>
      <c r="M56" s="735"/>
      <c r="N56" s="735"/>
      <c r="O56" s="736"/>
      <c r="P56" s="735"/>
      <c r="Q56" s="735"/>
      <c r="R56" s="735"/>
      <c r="S56" s="736"/>
      <c r="T56" s="735"/>
      <c r="U56" s="735"/>
      <c r="V56" s="735"/>
      <c r="W56" s="736"/>
      <c r="X56" s="735"/>
      <c r="Y56" s="735"/>
      <c r="Z56" s="737"/>
      <c r="AA56" s="738"/>
      <c r="AB56" s="739"/>
      <c r="AC56" s="739"/>
      <c r="AD56" s="739"/>
      <c r="AE56" s="740"/>
      <c r="AF56" s="565"/>
      <c r="AG56" s="565"/>
      <c r="AH56" s="565"/>
      <c r="AI56" s="589"/>
      <c r="AJ56" s="565"/>
      <c r="AK56" s="565"/>
      <c r="AL56" s="565"/>
      <c r="AM56" s="589"/>
      <c r="AN56" s="735"/>
      <c r="AO56" s="735"/>
      <c r="AP56" s="735"/>
      <c r="AQ56" s="736"/>
      <c r="AR56" s="735"/>
      <c r="AS56" s="735"/>
      <c r="AT56" s="735"/>
      <c r="AU56" s="736"/>
      <c r="AV56" s="735"/>
      <c r="AW56" s="735"/>
      <c r="AX56" s="1549"/>
      <c r="AY56" s="1550"/>
      <c r="AZ56" s="1549"/>
      <c r="BA56" s="735"/>
      <c r="BB56" s="735"/>
      <c r="BC56" s="735"/>
      <c r="BD56" s="1732"/>
      <c r="BE56" s="735"/>
      <c r="BF56" s="735"/>
      <c r="BG56" s="1733"/>
      <c r="BH56" s="1732"/>
      <c r="BI56" s="735"/>
      <c r="BJ56" s="735"/>
      <c r="BK56" s="1733"/>
      <c r="BL56" s="317"/>
      <c r="BM56" s="741"/>
      <c r="BN56" s="741"/>
      <c r="BO56" s="741"/>
      <c r="BP56" s="741"/>
      <c r="BQ56" s="741"/>
      <c r="BR56" s="741"/>
      <c r="BS56" s="741"/>
      <c r="BT56" s="741"/>
      <c r="BU56" s="741"/>
      <c r="BV56" s="1960"/>
      <c r="BW56" s="314"/>
      <c r="BX56" s="314"/>
      <c r="BY56" s="314"/>
      <c r="BZ56" s="314"/>
      <c r="CA56" s="1665"/>
      <c r="CB56" s="1408"/>
    </row>
    <row r="57" spans="2:80" s="435" customFormat="1" ht="14.25" customHeight="1">
      <c r="B57" s="1348" t="s">
        <v>344</v>
      </c>
      <c r="C57" s="718"/>
      <c r="D57" s="1174"/>
      <c r="E57" s="1174"/>
      <c r="F57" s="1174"/>
      <c r="G57" s="1175"/>
      <c r="H57" s="1173"/>
      <c r="I57" s="1174"/>
      <c r="J57" s="1174"/>
      <c r="K57" s="1175"/>
      <c r="L57" s="1173"/>
      <c r="M57" s="1174"/>
      <c r="N57" s="1174"/>
      <c r="O57" s="1175"/>
      <c r="P57" s="1173"/>
      <c r="Q57" s="1174"/>
      <c r="R57" s="1174"/>
      <c r="S57" s="1175"/>
      <c r="T57" s="1174">
        <v>9772</v>
      </c>
      <c r="U57" s="1174">
        <v>10190</v>
      </c>
      <c r="V57" s="1174">
        <v>10753</v>
      </c>
      <c r="W57" s="1175">
        <v>11662</v>
      </c>
      <c r="X57" s="1174">
        <v>10810</v>
      </c>
      <c r="Y57" s="1174">
        <v>10179</v>
      </c>
      <c r="Z57" s="1174">
        <v>10962</v>
      </c>
      <c r="AA57" s="1175">
        <v>10861</v>
      </c>
      <c r="AB57" s="1174">
        <v>11000</v>
      </c>
      <c r="AC57" s="1174">
        <v>11200</v>
      </c>
      <c r="AD57" s="1174">
        <v>9800</v>
      </c>
      <c r="AE57" s="1175">
        <v>9800</v>
      </c>
      <c r="AF57" s="1174">
        <v>9654</v>
      </c>
      <c r="AG57" s="1174">
        <v>8703</v>
      </c>
      <c r="AH57" s="1174">
        <v>7418</v>
      </c>
      <c r="AI57" s="1175">
        <v>6631</v>
      </c>
      <c r="AJ57" s="1171">
        <f>+AI57*(1+AJ58)</f>
        <v>5636.3499999999995</v>
      </c>
      <c r="AK57" s="1171">
        <f t="shared" ref="AK57:AU57" si="206">+AJ57*(1+AK58)</f>
        <v>6439.5636930999999</v>
      </c>
      <c r="AL57" s="1171">
        <f t="shared" si="206"/>
        <v>6876.7002387606508</v>
      </c>
      <c r="AM57" s="1172">
        <f t="shared" si="206"/>
        <v>7278.7912167713439</v>
      </c>
      <c r="AN57" s="750">
        <f t="shared" si="206"/>
        <v>6793.9565978306227</v>
      </c>
      <c r="AO57" s="750">
        <f t="shared" si="206"/>
        <v>6408.3639392756968</v>
      </c>
      <c r="AP57" s="750">
        <f t="shared" si="206"/>
        <v>6518.5226258580151</v>
      </c>
      <c r="AQ57" s="751">
        <f t="shared" si="206"/>
        <v>4727.7586915191205</v>
      </c>
      <c r="AR57" s="750">
        <f t="shared" si="206"/>
        <v>3528.0469917576538</v>
      </c>
      <c r="AS57" s="750">
        <f t="shared" si="206"/>
        <v>2363.7914844776278</v>
      </c>
      <c r="AT57" s="750">
        <f t="shared" si="206"/>
        <v>2781.4898309376599</v>
      </c>
      <c r="AU57" s="751">
        <f t="shared" si="206"/>
        <v>2642.4153393907768</v>
      </c>
      <c r="AV57" s="750">
        <f t="shared" ref="AV57" si="207">+AU57*(1+AV58)</f>
        <v>2246.0530384821604</v>
      </c>
      <c r="AW57" s="750">
        <f t="shared" ref="AW57:AZ57" si="208">+AV57*(1+AW58)</f>
        <v>1657.2366030684459</v>
      </c>
      <c r="AX57" s="750">
        <f t="shared" si="208"/>
        <v>1657.2366030684459</v>
      </c>
      <c r="AY57" s="1540">
        <f t="shared" si="208"/>
        <v>1905.8220935287127</v>
      </c>
      <c r="AZ57" s="750">
        <f t="shared" si="208"/>
        <v>2344.1611750403167</v>
      </c>
      <c r="BA57" s="750">
        <f t="shared" ref="BA57" si="209">+AZ57*(1+BA58)</f>
        <v>3504.5209566852736</v>
      </c>
      <c r="BB57" s="750">
        <f t="shared" ref="BB57" si="210">+BA57*(1+BB58)</f>
        <v>3854.9730523538014</v>
      </c>
      <c r="BC57" s="750">
        <f t="shared" ref="BC57" si="211">+BB57*(1+BC58)</f>
        <v>4070.8515432856143</v>
      </c>
      <c r="BD57" s="1728">
        <f t="shared" ref="BD57" si="212">+BC57*(1+BD58)</f>
        <v>4559.3537284798886</v>
      </c>
      <c r="BE57" s="750">
        <f t="shared" ref="BE57" si="213">+BD57*(1+BE58)</f>
        <v>4650.5408030494864</v>
      </c>
      <c r="BF57" s="750">
        <f t="shared" ref="BF57" si="214">+BE57*(1+BF58)</f>
        <v>4790.0570271409715</v>
      </c>
      <c r="BG57" s="1540">
        <f t="shared" ref="BG57" si="215">+BF57*(1+BG58)</f>
        <v>4790.0570271409715</v>
      </c>
      <c r="BH57" s="1728">
        <f t="shared" ref="BH57" si="216">+BG57*(1+BH58)</f>
        <v>4742.1564568695621</v>
      </c>
      <c r="BI57" s="750">
        <f t="shared" ref="BI57" si="217">+BH57*(1+BI58)</f>
        <v>4694.7348923008667</v>
      </c>
      <c r="BJ57" s="750">
        <f t="shared" ref="BJ57" si="218">+BI57*(1+BJ58)</f>
        <v>4741.6822412238753</v>
      </c>
      <c r="BK57" s="1540">
        <f t="shared" ref="BK57" si="219">+BJ57*(1+BK58)</f>
        <v>4789.0990636361139</v>
      </c>
      <c r="BL57" s="719"/>
      <c r="BM57" s="710"/>
      <c r="BN57" s="710"/>
      <c r="BO57" s="710"/>
      <c r="BP57" s="710"/>
      <c r="BQ57" s="710">
        <f>SUM(T57:W57)</f>
        <v>42377</v>
      </c>
      <c r="BR57" s="753">
        <f>SUM(X57:AA57)</f>
        <v>42812</v>
      </c>
      <c r="BS57" s="753">
        <f>SUM(AB57:AE57)</f>
        <v>41800</v>
      </c>
      <c r="BT57" s="753">
        <f>SUM(AF57:AI57)</f>
        <v>32406</v>
      </c>
      <c r="BU57" s="753">
        <f>SUM(AJ57:AM57)</f>
        <v>26231.405148631995</v>
      </c>
      <c r="BV57" s="1948">
        <f>+SUM(AN57:AQ57)</f>
        <v>24448.601854483455</v>
      </c>
      <c r="BW57" s="302">
        <f>SUM(AR57:AU57)</f>
        <v>11315.743646563718</v>
      </c>
      <c r="BX57" s="302">
        <f>SUM(AV57:AY57)</f>
        <v>7466.3483381477654</v>
      </c>
      <c r="BY57" s="710">
        <f>SUM(AZ57:BC57)</f>
        <v>13774.506727365007</v>
      </c>
      <c r="BZ57" s="710">
        <f>SUM(BD57:BG57)</f>
        <v>18790.008585811316</v>
      </c>
      <c r="CA57" s="1660">
        <f>SUM(BH57:BK57)</f>
        <v>18967.672654030419</v>
      </c>
      <c r="CB57" s="1408"/>
    </row>
    <row r="58" spans="2:80" s="7" customFormat="1" ht="14.25" customHeight="1">
      <c r="B58" s="1354" t="s">
        <v>390</v>
      </c>
      <c r="C58" s="380"/>
      <c r="D58" s="500"/>
      <c r="E58" s="500"/>
      <c r="F58" s="500"/>
      <c r="G58" s="501"/>
      <c r="H58" s="606"/>
      <c r="I58" s="500"/>
      <c r="J58" s="500"/>
      <c r="K58" s="501"/>
      <c r="L58" s="606"/>
      <c r="M58" s="500"/>
      <c r="N58" s="500"/>
      <c r="O58" s="501"/>
      <c r="P58" s="606"/>
      <c r="Q58" s="500"/>
      <c r="R58" s="500"/>
      <c r="S58" s="501"/>
      <c r="T58" s="52"/>
      <c r="U58" s="52">
        <f t="shared" ref="U58:AI58" si="220">U57/T57-1</f>
        <v>4.2775276299631626E-2</v>
      </c>
      <c r="V58" s="52">
        <f t="shared" si="220"/>
        <v>5.5250245338567261E-2</v>
      </c>
      <c r="W58" s="499">
        <f t="shared" si="220"/>
        <v>8.4534548498093498E-2</v>
      </c>
      <c r="X58" s="52">
        <f t="shared" si="220"/>
        <v>-7.3057794546389943E-2</v>
      </c>
      <c r="Y58" s="52">
        <f t="shared" si="220"/>
        <v>-5.8371877890841861E-2</v>
      </c>
      <c r="Z58" s="52">
        <f t="shared" si="220"/>
        <v>7.6923076923076872E-2</v>
      </c>
      <c r="AA58" s="499">
        <f t="shared" si="220"/>
        <v>-9.213647144681647E-3</v>
      </c>
      <c r="AB58" s="52">
        <f t="shared" si="220"/>
        <v>1.2798084890893957E-2</v>
      </c>
      <c r="AC58" s="52">
        <f t="shared" si="220"/>
        <v>1.8181818181818077E-2</v>
      </c>
      <c r="AD58" s="52">
        <f t="shared" si="220"/>
        <v>-0.125</v>
      </c>
      <c r="AE58" s="499">
        <f t="shared" si="220"/>
        <v>0</v>
      </c>
      <c r="AF58" s="500">
        <f t="shared" si="220"/>
        <v>-1.4897959183673426E-2</v>
      </c>
      <c r="AG58" s="500">
        <f t="shared" si="220"/>
        <v>-9.8508390304536952E-2</v>
      </c>
      <c r="AH58" s="500">
        <f t="shared" si="220"/>
        <v>-0.14765023555095946</v>
      </c>
      <c r="AI58" s="501">
        <f t="shared" si="220"/>
        <v>-0.10609328660016182</v>
      </c>
      <c r="AJ58" s="1176">
        <v>-0.15</v>
      </c>
      <c r="AK58" s="1176">
        <v>0.14250599999999999</v>
      </c>
      <c r="AL58" s="1176">
        <v>6.7882944636302511E-2</v>
      </c>
      <c r="AM58" s="1177">
        <v>5.8471500000000003E-2</v>
      </c>
      <c r="AN58" s="1176">
        <v>-6.6609221847659966E-2</v>
      </c>
      <c r="AO58" s="1176">
        <v>-5.6755243134471757E-2</v>
      </c>
      <c r="AP58" s="1176">
        <v>1.7189829982528902E-2</v>
      </c>
      <c r="AQ58" s="1177">
        <v>-0.2747192940982055</v>
      </c>
      <c r="AR58" s="1176">
        <v>-0.25375908079098175</v>
      </c>
      <c r="AS58" s="1176">
        <v>-0.33</v>
      </c>
      <c r="AT58" s="1176">
        <v>0.17670693426342521</v>
      </c>
      <c r="AU58" s="1177">
        <v>-0.05</v>
      </c>
      <c r="AV58" s="1176">
        <v>-0.15</v>
      </c>
      <c r="AW58" s="1176">
        <v>-0.26215606903549593</v>
      </c>
      <c r="AX58" s="1176">
        <v>0</v>
      </c>
      <c r="AY58" s="1553">
        <v>0.15</v>
      </c>
      <c r="AZ58" s="1702">
        <v>0.23</v>
      </c>
      <c r="BA58" s="1176">
        <v>0.495</v>
      </c>
      <c r="BB58" s="1863">
        <v>0.1</v>
      </c>
      <c r="BC58" s="1863">
        <v>5.6000000000000001E-2</v>
      </c>
      <c r="BD58" s="1864">
        <v>0.12</v>
      </c>
      <c r="BE58" s="1863">
        <v>0.02</v>
      </c>
      <c r="BF58" s="1863">
        <v>0.03</v>
      </c>
      <c r="BG58" s="1553">
        <v>0</v>
      </c>
      <c r="BH58" s="1864">
        <v>-0.01</v>
      </c>
      <c r="BI58" s="1863">
        <v>-0.01</v>
      </c>
      <c r="BJ58" s="1863">
        <v>0.01</v>
      </c>
      <c r="BK58" s="1553">
        <v>0.01</v>
      </c>
      <c r="BL58" s="244"/>
      <c r="BM58" s="253"/>
      <c r="BN58" s="253"/>
      <c r="BO58" s="253"/>
      <c r="BP58" s="253"/>
      <c r="BQ58" s="253"/>
      <c r="BR58" s="1337">
        <f t="shared" ref="BR58:CA58" si="221">BR57/BQ57-1</f>
        <v>1.0265002241782062E-2</v>
      </c>
      <c r="BS58" s="1337">
        <f t="shared" si="221"/>
        <v>-2.3638232271325776E-2</v>
      </c>
      <c r="BT58" s="1337">
        <f t="shared" si="221"/>
        <v>-0.22473684210526312</v>
      </c>
      <c r="BU58" s="1337">
        <f t="shared" si="221"/>
        <v>-0.19053863023415429</v>
      </c>
      <c r="BV58" s="1961">
        <f t="shared" si="221"/>
        <v>-6.7964460311860764E-2</v>
      </c>
      <c r="BW58" s="1338">
        <f t="shared" si="221"/>
        <v>-0.53716193204362706</v>
      </c>
      <c r="BX58" s="1338">
        <f t="shared" si="221"/>
        <v>-0.34018049795471539</v>
      </c>
      <c r="BY58" s="1338">
        <f t="shared" si="221"/>
        <v>0.84487866136475431</v>
      </c>
      <c r="BZ58" s="1338">
        <f t="shared" si="221"/>
        <v>0.36411480699213028</v>
      </c>
      <c r="CA58" s="1661">
        <f t="shared" si="221"/>
        <v>9.4552414602546708E-3</v>
      </c>
      <c r="CB58" s="1408"/>
    </row>
    <row r="59" spans="2:80" s="7" customFormat="1" ht="14.25" customHeight="1">
      <c r="B59" s="1355" t="s">
        <v>472</v>
      </c>
      <c r="C59" s="380"/>
      <c r="D59" s="516"/>
      <c r="E59" s="516"/>
      <c r="F59" s="516"/>
      <c r="G59" s="517"/>
      <c r="H59" s="584"/>
      <c r="I59" s="516"/>
      <c r="J59" s="516"/>
      <c r="K59" s="517"/>
      <c r="L59" s="584"/>
      <c r="M59" s="516"/>
      <c r="N59" s="516"/>
      <c r="O59" s="517"/>
      <c r="P59" s="584"/>
      <c r="Q59" s="516"/>
      <c r="R59" s="516"/>
      <c r="S59" s="517"/>
      <c r="T59" s="1180">
        <v>49.300634465820714</v>
      </c>
      <c r="U59" s="1180">
        <v>48.097158979391565</v>
      </c>
      <c r="V59" s="1180">
        <v>49.103292104528961</v>
      </c>
      <c r="W59" s="1181">
        <v>50.384097924884237</v>
      </c>
      <c r="X59" s="1180">
        <v>51</v>
      </c>
      <c r="Y59" s="1180">
        <v>52</v>
      </c>
      <c r="Z59" s="1180">
        <v>49</v>
      </c>
      <c r="AA59" s="1181">
        <v>53</v>
      </c>
      <c r="AB59" s="1180">
        <v>54</v>
      </c>
      <c r="AC59" s="1180">
        <v>53</v>
      </c>
      <c r="AD59" s="1180">
        <v>52</v>
      </c>
      <c r="AE59" s="1181">
        <v>50</v>
      </c>
      <c r="AF59" s="1180">
        <v>46.752004350528274</v>
      </c>
      <c r="AG59" s="1180">
        <v>43.621268528093765</v>
      </c>
      <c r="AH59" s="1180">
        <v>43.739552440010776</v>
      </c>
      <c r="AI59" s="1181">
        <v>48.764975116875284</v>
      </c>
      <c r="AJ59" s="1178">
        <f t="shared" ref="AJ59:AS59" si="222">+AI59*(1+AJ60)</f>
        <v>49.26832719003167</v>
      </c>
      <c r="AK59" s="1178">
        <f t="shared" si="222"/>
        <v>48.282960646231032</v>
      </c>
      <c r="AL59" s="1178">
        <f t="shared" si="222"/>
        <v>48.282960646231032</v>
      </c>
      <c r="AM59" s="1179">
        <f t="shared" si="222"/>
        <v>50.015940594059401</v>
      </c>
      <c r="AN59" s="1178">
        <f t="shared" si="222"/>
        <v>50.015940594059401</v>
      </c>
      <c r="AO59" s="1178">
        <f t="shared" si="222"/>
        <v>51.056272158415837</v>
      </c>
      <c r="AP59" s="1178">
        <f t="shared" si="222"/>
        <v>51.056272158415837</v>
      </c>
      <c r="AQ59" s="1179">
        <f t="shared" si="222"/>
        <v>50.035146715247521</v>
      </c>
      <c r="AR59" s="1178">
        <f t="shared" si="222"/>
        <v>49.534795248095044</v>
      </c>
      <c r="AS59" s="1178">
        <f t="shared" si="222"/>
        <v>51.268513081778366</v>
      </c>
      <c r="AT59" s="1178">
        <f>+AS59*(1+AT60)</f>
        <v>52.293883343413931</v>
      </c>
      <c r="AU59" s="1179">
        <f>+AT59*(1+AU60)</f>
        <v>53.078291593565133</v>
      </c>
      <c r="AV59" s="1178">
        <f t="shared" ref="AV59" si="223">+AU59*(1+AV60)</f>
        <v>51.485942845758174</v>
      </c>
      <c r="AW59" s="1178">
        <f t="shared" ref="AW59:AZ59" si="224">+AV59*(1+AW60)</f>
        <v>52.000802274215758</v>
      </c>
      <c r="AX59" s="1178">
        <f t="shared" si="224"/>
        <v>51.480794251473597</v>
      </c>
      <c r="AY59" s="1554">
        <f t="shared" si="224"/>
        <v>50.965986308958861</v>
      </c>
      <c r="AZ59" s="1178">
        <f t="shared" si="224"/>
        <v>57.591564529123509</v>
      </c>
      <c r="BA59" s="1178">
        <f t="shared" ref="BA59" si="225">+AZ59*(1+BA60)</f>
        <v>62.198889691453395</v>
      </c>
      <c r="BB59" s="1178">
        <f t="shared" ref="BB59" si="226">+BA59*(1+BB60)</f>
        <v>63.442867485282463</v>
      </c>
      <c r="BC59" s="1178">
        <f t="shared" ref="BC59" si="227">+BB59*(1+BC60)</f>
        <v>62.808438810429635</v>
      </c>
      <c r="BD59" s="1738">
        <f t="shared" ref="BD59" si="228">+BC59*(1+BD60)</f>
        <v>67.833113915264008</v>
      </c>
      <c r="BE59" s="1178">
        <f t="shared" ref="BE59" si="229">+BD59*(1+BE60)</f>
        <v>73.259763028485139</v>
      </c>
      <c r="BF59" s="1178">
        <f t="shared" ref="BF59" si="230">+BE59*(1+BF60)</f>
        <v>79.120544070763955</v>
      </c>
      <c r="BG59" s="1554">
        <f t="shared" ref="BG59" si="231">+BF59*(1+BG60)</f>
        <v>79.120544070763955</v>
      </c>
      <c r="BH59" s="1738">
        <f t="shared" ref="BH59" si="232">+BG59*(1+BH60)</f>
        <v>79.120544070763955</v>
      </c>
      <c r="BI59" s="1178">
        <f t="shared" ref="BI59" si="233">+BH59*(1+BI60)</f>
        <v>79.120544070763955</v>
      </c>
      <c r="BJ59" s="1178">
        <f t="shared" ref="BJ59" si="234">+BI59*(1+BJ60)</f>
        <v>79.911749511471598</v>
      </c>
      <c r="BK59" s="1554">
        <f t="shared" ref="BK59" si="235">+BJ59*(1+BK60)</f>
        <v>79.911749511471598</v>
      </c>
      <c r="BL59" s="244"/>
      <c r="BM59" s="253"/>
      <c r="BN59" s="253"/>
      <c r="BO59" s="253"/>
      <c r="BP59" s="253"/>
      <c r="BQ59" s="780">
        <f t="shared" ref="BQ59:BW59" si="236">+BQ61/BQ57*1000</f>
        <v>49.259336432498763</v>
      </c>
      <c r="BR59" s="780">
        <f t="shared" si="236"/>
        <v>51.2330421377184</v>
      </c>
      <c r="BS59" s="780">
        <f t="shared" si="236"/>
        <v>52.325358851674636</v>
      </c>
      <c r="BT59" s="780">
        <f t="shared" si="236"/>
        <v>45.63353391347281</v>
      </c>
      <c r="BU59" s="780">
        <f t="shared" si="236"/>
        <v>48.975560598056028</v>
      </c>
      <c r="BV59" s="1954">
        <f t="shared" si="236"/>
        <v>50.569716638576168</v>
      </c>
      <c r="BW59" s="780">
        <f t="shared" si="236"/>
        <v>51.402627596550722</v>
      </c>
      <c r="BX59" s="780">
        <f t="shared" ref="BX59:BY59" si="237">+BX61/BX57*1000</f>
        <v>51.466357206632871</v>
      </c>
      <c r="BY59" s="780">
        <f t="shared" si="237"/>
        <v>61.943096290540545</v>
      </c>
      <c r="BZ59" s="780">
        <f t="shared" ref="BZ59:CA59" si="238">+BZ61/BZ57*1000</f>
        <v>74.931126712076122</v>
      </c>
      <c r="CA59" s="1666">
        <f t="shared" si="238"/>
        <v>79.518105024084051</v>
      </c>
      <c r="CB59" s="1408"/>
    </row>
    <row r="60" spans="2:80" s="7" customFormat="1" ht="14.25" customHeight="1">
      <c r="B60" s="1354" t="s">
        <v>390</v>
      </c>
      <c r="C60" s="380"/>
      <c r="D60" s="608"/>
      <c r="E60" s="608"/>
      <c r="F60" s="608"/>
      <c r="G60" s="609"/>
      <c r="H60" s="607"/>
      <c r="I60" s="608"/>
      <c r="J60" s="608"/>
      <c r="K60" s="609"/>
      <c r="L60" s="607"/>
      <c r="M60" s="608"/>
      <c r="N60" s="608"/>
      <c r="O60" s="609"/>
      <c r="P60" s="607"/>
      <c r="Q60" s="608"/>
      <c r="R60" s="608"/>
      <c r="S60" s="609"/>
      <c r="T60" s="610"/>
      <c r="U60" s="500">
        <f t="shared" ref="U60:AI60" si="239">U59/T59-1</f>
        <v>-2.4410953316706285E-2</v>
      </c>
      <c r="V60" s="500">
        <f t="shared" si="239"/>
        <v>2.0918764153377456E-2</v>
      </c>
      <c r="W60" s="501">
        <f t="shared" si="239"/>
        <v>2.608390935639826E-2</v>
      </c>
      <c r="X60" s="512">
        <f t="shared" si="239"/>
        <v>1.222413619539231E-2</v>
      </c>
      <c r="Y60" s="500">
        <f t="shared" si="239"/>
        <v>1.9607843137254832E-2</v>
      </c>
      <c r="Z60" s="500">
        <f t="shared" si="239"/>
        <v>-5.7692307692307709E-2</v>
      </c>
      <c r="AA60" s="501">
        <f t="shared" si="239"/>
        <v>8.163265306122458E-2</v>
      </c>
      <c r="AB60" s="512">
        <f t="shared" si="239"/>
        <v>1.8867924528301883E-2</v>
      </c>
      <c r="AC60" s="500">
        <f t="shared" si="239"/>
        <v>-1.851851851851849E-2</v>
      </c>
      <c r="AD60" s="500">
        <f t="shared" si="239"/>
        <v>-1.8867924528301883E-2</v>
      </c>
      <c r="AE60" s="501">
        <f t="shared" si="239"/>
        <v>-3.8461538461538436E-2</v>
      </c>
      <c r="AF60" s="542">
        <f t="shared" si="239"/>
        <v>-6.4959912989434487E-2</v>
      </c>
      <c r="AG60" s="500">
        <f t="shared" si="239"/>
        <v>-6.6964740141651991E-2</v>
      </c>
      <c r="AH60" s="500">
        <f t="shared" si="239"/>
        <v>2.7116110078466704E-3</v>
      </c>
      <c r="AI60" s="501">
        <f t="shared" si="239"/>
        <v>0.11489424094489586</v>
      </c>
      <c r="AJ60" s="1176">
        <v>1.0322E-2</v>
      </c>
      <c r="AK60" s="1176">
        <v>-0.02</v>
      </c>
      <c r="AL60" s="1176">
        <v>0</v>
      </c>
      <c r="AM60" s="1177">
        <v>3.5892164122368175E-2</v>
      </c>
      <c r="AN60" s="1176">
        <v>0</v>
      </c>
      <c r="AO60" s="1176">
        <v>2.079999999999993E-2</v>
      </c>
      <c r="AP60" s="1176">
        <v>0</v>
      </c>
      <c r="AQ60" s="1177">
        <v>-0.02</v>
      </c>
      <c r="AR60" s="1176">
        <v>-0.01</v>
      </c>
      <c r="AS60" s="1176">
        <v>3.5000000000000003E-2</v>
      </c>
      <c r="AT60" s="1176">
        <v>0.02</v>
      </c>
      <c r="AU60" s="1177">
        <v>1.4999999999999999E-2</v>
      </c>
      <c r="AV60" s="1176">
        <v>-0.03</v>
      </c>
      <c r="AW60" s="1176">
        <v>0.01</v>
      </c>
      <c r="AX60" s="1176">
        <v>-0.01</v>
      </c>
      <c r="AY60" s="1553">
        <v>-0.01</v>
      </c>
      <c r="AZ60" s="1702">
        <v>0.13</v>
      </c>
      <c r="BA60" s="1176">
        <v>0.08</v>
      </c>
      <c r="BB60" s="1863">
        <v>0.02</v>
      </c>
      <c r="BC60" s="1863">
        <v>-0.01</v>
      </c>
      <c r="BD60" s="1864">
        <v>0.08</v>
      </c>
      <c r="BE60" s="1863">
        <v>0.08</v>
      </c>
      <c r="BF60" s="1863">
        <v>0.08</v>
      </c>
      <c r="BG60" s="1553">
        <v>0</v>
      </c>
      <c r="BH60" s="1864">
        <v>0</v>
      </c>
      <c r="BI60" s="1863">
        <v>0</v>
      </c>
      <c r="BJ60" s="1863">
        <v>0.01</v>
      </c>
      <c r="BK60" s="1553">
        <v>0</v>
      </c>
      <c r="BL60" s="311"/>
      <c r="BM60" s="365"/>
      <c r="BN60" s="365"/>
      <c r="BO60" s="365"/>
      <c r="BP60" s="365"/>
      <c r="BQ60" s="365"/>
      <c r="BR60" s="1337">
        <f t="shared" ref="BR60:CA60" si="240">BR59/BQ59-1</f>
        <v>4.0067647032238307E-2</v>
      </c>
      <c r="BS60" s="1337">
        <f t="shared" si="240"/>
        <v>2.1320551510878527E-2</v>
      </c>
      <c r="BT60" s="1337">
        <f t="shared" si="240"/>
        <v>-0.1278887538482244</v>
      </c>
      <c r="BU60" s="1337">
        <f t="shared" si="240"/>
        <v>7.3236201494281339E-2</v>
      </c>
      <c r="BV60" s="1961">
        <f t="shared" si="240"/>
        <v>3.2550031506600297E-2</v>
      </c>
      <c r="BW60" s="1338">
        <f t="shared" si="240"/>
        <v>1.6470548251780848E-2</v>
      </c>
      <c r="BX60" s="1338">
        <f t="shared" si="240"/>
        <v>1.2398123026384766E-3</v>
      </c>
      <c r="BY60" s="1338">
        <f t="shared" si="240"/>
        <v>0.20356480723600656</v>
      </c>
      <c r="BZ60" s="1338">
        <f t="shared" si="240"/>
        <v>0.20967680337799011</v>
      </c>
      <c r="CA60" s="1661">
        <f t="shared" si="240"/>
        <v>6.1215926054781766E-2</v>
      </c>
      <c r="CB60" s="1408"/>
    </row>
    <row r="61" spans="2:80" s="285" customFormat="1" ht="14.25" customHeight="1">
      <c r="B61" s="1355" t="s">
        <v>399</v>
      </c>
      <c r="C61" s="635"/>
      <c r="D61" s="506"/>
      <c r="E61" s="506"/>
      <c r="F61" s="506"/>
      <c r="G61" s="615"/>
      <c r="H61" s="636"/>
      <c r="I61" s="506"/>
      <c r="J61" s="506"/>
      <c r="K61" s="615"/>
      <c r="L61" s="636"/>
      <c r="M61" s="506"/>
      <c r="N61" s="506"/>
      <c r="O61" s="615"/>
      <c r="P61" s="636"/>
      <c r="Q61" s="506"/>
      <c r="R61" s="506"/>
      <c r="S61" s="615"/>
      <c r="T61" s="565">
        <f>T59*T57/1000</f>
        <v>481.76580000000007</v>
      </c>
      <c r="U61" s="565">
        <f>U59*U57/1000</f>
        <v>490.11005000000006</v>
      </c>
      <c r="V61" s="565">
        <f>V59*V57/1000</f>
        <v>528.0077</v>
      </c>
      <c r="W61" s="589">
        <f t="shared" ref="W61:AU61" si="241">W59*W57/1000</f>
        <v>587.57934999999998</v>
      </c>
      <c r="X61" s="565">
        <f t="shared" si="241"/>
        <v>551.30999999999995</v>
      </c>
      <c r="Y61" s="565">
        <f t="shared" si="241"/>
        <v>529.30799999999999</v>
      </c>
      <c r="Z61" s="565">
        <f t="shared" si="241"/>
        <v>537.13800000000003</v>
      </c>
      <c r="AA61" s="589">
        <f t="shared" si="241"/>
        <v>575.63300000000004</v>
      </c>
      <c r="AB61" s="565">
        <f t="shared" si="241"/>
        <v>594</v>
      </c>
      <c r="AC61" s="565">
        <f t="shared" si="241"/>
        <v>593.6</v>
      </c>
      <c r="AD61" s="565">
        <f t="shared" si="241"/>
        <v>509.6</v>
      </c>
      <c r="AE61" s="589">
        <f t="shared" si="241"/>
        <v>490</v>
      </c>
      <c r="AF61" s="565">
        <f t="shared" si="241"/>
        <v>451.34384999999997</v>
      </c>
      <c r="AG61" s="565">
        <f t="shared" si="241"/>
        <v>379.63590000000005</v>
      </c>
      <c r="AH61" s="565">
        <f t="shared" si="241"/>
        <v>324.45999999999992</v>
      </c>
      <c r="AI61" s="589">
        <f t="shared" si="241"/>
        <v>323.36054999999999</v>
      </c>
      <c r="AJ61" s="565">
        <f t="shared" si="241"/>
        <v>277.69353595753495</v>
      </c>
      <c r="AK61" s="565">
        <f t="shared" si="241"/>
        <v>310.92120037284548</v>
      </c>
      <c r="AL61" s="565">
        <f t="shared" si="241"/>
        <v>332.02744700400802</v>
      </c>
      <c r="AM61" s="589">
        <f t="shared" si="241"/>
        <v>364.05558909459688</v>
      </c>
      <c r="AN61" s="565">
        <f t="shared" si="241"/>
        <v>339.80612959571431</v>
      </c>
      <c r="AO61" s="565">
        <f t="shared" si="241"/>
        <v>327.18717337383777</v>
      </c>
      <c r="AP61" s="565">
        <f t="shared" si="241"/>
        <v>332.81146525659824</v>
      </c>
      <c r="AQ61" s="589">
        <f t="shared" si="241"/>
        <v>236.55409976444582</v>
      </c>
      <c r="AR61" s="565">
        <f t="shared" si="241"/>
        <v>174.76108536237302</v>
      </c>
      <c r="AS61" s="565">
        <f>AS59*AS57/1000</f>
        <v>121.18807464453756</v>
      </c>
      <c r="AT61" s="565">
        <f t="shared" si="241"/>
        <v>145.45490473994613</v>
      </c>
      <c r="AU61" s="589">
        <f t="shared" si="241"/>
        <v>140.25489189549302</v>
      </c>
      <c r="AV61" s="565">
        <f t="shared" ref="AV61" si="242">AV59*AV57/1000</f>
        <v>115.64015836783399</v>
      </c>
      <c r="AW61" s="565">
        <f>AW59*AW57/1000</f>
        <v>86.177632917755233</v>
      </c>
      <c r="AX61" s="750">
        <f t="shared" ref="AX61:AZ61" si="243">AX59*AX57/1000</f>
        <v>85.315856588577674</v>
      </c>
      <c r="AY61" s="1540">
        <f t="shared" si="243"/>
        <v>97.132102726095695</v>
      </c>
      <c r="AZ61" s="750">
        <f t="shared" si="243"/>
        <v>135.00390957900038</v>
      </c>
      <c r="BA61" s="565">
        <f t="shared" ref="BA61:BC61" si="244">BA59*BA57/1000</f>
        <v>217.97731240625407</v>
      </c>
      <c r="BB61" s="565">
        <f t="shared" si="244"/>
        <v>244.57054451981708</v>
      </c>
      <c r="BC61" s="565">
        <f t="shared" si="244"/>
        <v>255.68383006279757</v>
      </c>
      <c r="BD61" s="720">
        <f t="shared" ref="BD61:BG61" si="245">BD59*BD57/1000</f>
        <v>309.27516084395995</v>
      </c>
      <c r="BE61" s="565">
        <f t="shared" si="245"/>
        <v>340.69751718570637</v>
      </c>
      <c r="BF61" s="565">
        <f t="shared" si="245"/>
        <v>378.99191811737984</v>
      </c>
      <c r="BG61" s="1723">
        <f t="shared" si="245"/>
        <v>378.99191811737984</v>
      </c>
      <c r="BH61" s="720">
        <f t="shared" ref="BH61:BK61" si="246">BH59*BH57/1000</f>
        <v>375.20199893620605</v>
      </c>
      <c r="BI61" s="565">
        <f t="shared" si="246"/>
        <v>371.449978946844</v>
      </c>
      <c r="BJ61" s="565">
        <f t="shared" si="246"/>
        <v>378.91612352367554</v>
      </c>
      <c r="BK61" s="1723">
        <f t="shared" si="246"/>
        <v>382.70528475891228</v>
      </c>
      <c r="BL61" s="556"/>
      <c r="BM61" s="554"/>
      <c r="BN61" s="554"/>
      <c r="BO61" s="554"/>
      <c r="BP61" s="554"/>
      <c r="BQ61" s="710">
        <f>SUM(T61:W61)</f>
        <v>2087.4629</v>
      </c>
      <c r="BR61" s="753">
        <f>SUM(X61:AA61)</f>
        <v>2193.3890000000001</v>
      </c>
      <c r="BS61" s="753">
        <f>SUM(AB61:AE61)</f>
        <v>2187.1999999999998</v>
      </c>
      <c r="BT61" s="753">
        <f>SUM(AF61:AI61)</f>
        <v>1478.8002999999999</v>
      </c>
      <c r="BU61" s="753">
        <f>SUM(AJ61:AM61)</f>
        <v>1284.6977724289852</v>
      </c>
      <c r="BV61" s="1948">
        <f>+SUM(AN61:AQ61)</f>
        <v>1236.3588679905961</v>
      </c>
      <c r="BW61" s="302">
        <f>SUM(AR61:AU61)</f>
        <v>581.65895664234972</v>
      </c>
      <c r="BX61" s="302">
        <f>SUM(AV61:AY61)</f>
        <v>384.26575060026261</v>
      </c>
      <c r="BY61" s="710">
        <f>SUM(AZ61:BC61)</f>
        <v>853.23559656786915</v>
      </c>
      <c r="BZ61" s="710">
        <f>SUM(BD61:BG61)</f>
        <v>1407.956514264426</v>
      </c>
      <c r="CA61" s="1660">
        <f>SUM(BH61:BK61)</f>
        <v>1508.2733861656377</v>
      </c>
      <c r="CB61" s="1408">
        <f>BZ61-BX61</f>
        <v>1023.6907636641633</v>
      </c>
    </row>
    <row r="62" spans="2:80" s="7" customFormat="1" ht="14.25" customHeight="1">
      <c r="B62" s="1354" t="s">
        <v>390</v>
      </c>
      <c r="C62" s="380"/>
      <c r="D62" s="500"/>
      <c r="E62" s="500"/>
      <c r="F62" s="500"/>
      <c r="G62" s="501"/>
      <c r="H62" s="606"/>
      <c r="I62" s="500"/>
      <c r="J62" s="500"/>
      <c r="K62" s="501"/>
      <c r="L62" s="606"/>
      <c r="M62" s="500"/>
      <c r="N62" s="500"/>
      <c r="O62" s="501"/>
      <c r="P62" s="606"/>
      <c r="Q62" s="500"/>
      <c r="R62" s="500"/>
      <c r="S62" s="501"/>
      <c r="T62" s="514"/>
      <c r="U62" s="52">
        <f t="shared" ref="U62:AU62" si="247">U61/T61-1</f>
        <v>1.7320137710065797E-2</v>
      </c>
      <c r="V62" s="52">
        <f t="shared" si="247"/>
        <v>7.7324776343598689E-2</v>
      </c>
      <c r="W62" s="499">
        <f t="shared" si="247"/>
        <v>0.11282344935499999</v>
      </c>
      <c r="X62" s="514">
        <f t="shared" si="247"/>
        <v>-6.1726726781667907E-2</v>
      </c>
      <c r="Y62" s="52">
        <f t="shared" si="247"/>
        <v>-3.9908581378897412E-2</v>
      </c>
      <c r="Z62" s="52">
        <f t="shared" si="247"/>
        <v>1.479289940828421E-2</v>
      </c>
      <c r="AA62" s="499">
        <f t="shared" si="247"/>
        <v>7.1666871455752457E-2</v>
      </c>
      <c r="AB62" s="514">
        <f t="shared" si="247"/>
        <v>3.1907482719023994E-2</v>
      </c>
      <c r="AC62" s="52">
        <f t="shared" si="247"/>
        <v>-6.7340067340060372E-4</v>
      </c>
      <c r="AD62" s="52">
        <f t="shared" si="247"/>
        <v>-0.14150943396226412</v>
      </c>
      <c r="AE62" s="499">
        <f t="shared" si="247"/>
        <v>-3.8461538461538547E-2</v>
      </c>
      <c r="AF62" s="52">
        <f t="shared" si="247"/>
        <v>-7.8890102040816368E-2</v>
      </c>
      <c r="AG62" s="375">
        <f t="shared" si="247"/>
        <v>-0.15887654168767318</v>
      </c>
      <c r="AH62" s="375">
        <f t="shared" si="247"/>
        <v>-0.14533899454714405</v>
      </c>
      <c r="AI62" s="533">
        <f t="shared" si="247"/>
        <v>-3.3885532885407077E-3</v>
      </c>
      <c r="AJ62" s="52">
        <f t="shared" si="247"/>
        <v>-0.14122630000000014</v>
      </c>
      <c r="AK62" s="375">
        <f t="shared" si="247"/>
        <v>0.11965588000000005</v>
      </c>
      <c r="AL62" s="375">
        <f t="shared" si="247"/>
        <v>6.7882944636302289E-2</v>
      </c>
      <c r="AM62" s="533">
        <f t="shared" si="247"/>
        <v>9.6462332796849237E-2</v>
      </c>
      <c r="AN62" s="52">
        <f t="shared" si="247"/>
        <v>-6.6609221847660049E-2</v>
      </c>
      <c r="AO62" s="375">
        <f t="shared" si="247"/>
        <v>-3.7135752191668758E-2</v>
      </c>
      <c r="AP62" s="375">
        <f t="shared" si="247"/>
        <v>1.7189829982528826E-2</v>
      </c>
      <c r="AQ62" s="533">
        <f t="shared" si="247"/>
        <v>-0.28922490821624136</v>
      </c>
      <c r="AR62" s="52">
        <f t="shared" si="247"/>
        <v>-0.26122148998307204</v>
      </c>
      <c r="AS62" s="375">
        <f t="shared" si="247"/>
        <v>-0.3065500000000001</v>
      </c>
      <c r="AT62" s="375">
        <f t="shared" si="247"/>
        <v>0.20024107294869364</v>
      </c>
      <c r="AU62" s="533">
        <f t="shared" si="247"/>
        <v>-3.5750000000000282E-2</v>
      </c>
      <c r="AV62" s="52">
        <f t="shared" ref="AV62" si="248">AV61/AU61-1</f>
        <v>-0.17549999999999999</v>
      </c>
      <c r="AW62" s="375">
        <f t="shared" ref="AW62:AZ62" si="249">AW61/AV61-1</f>
        <v>-0.25477762972585083</v>
      </c>
      <c r="AX62" s="375">
        <f t="shared" si="249"/>
        <v>-1.000000000000012E-2</v>
      </c>
      <c r="AY62" s="1555">
        <f t="shared" si="249"/>
        <v>0.13850000000000007</v>
      </c>
      <c r="AZ62" s="52">
        <f t="shared" si="249"/>
        <v>0.38989999999999969</v>
      </c>
      <c r="BA62" s="375">
        <f t="shared" ref="BA62" si="250">BA61/AZ61-1</f>
        <v>0.61460000000000048</v>
      </c>
      <c r="BB62" s="52">
        <f t="shared" ref="BB62" si="251">BB61/BA61-1</f>
        <v>0.12200000000000011</v>
      </c>
      <c r="BC62" s="52">
        <f t="shared" ref="BC62" si="252">BC61/BB61-1</f>
        <v>4.5439999999999925E-2</v>
      </c>
      <c r="BD62" s="504">
        <f t="shared" ref="BD62" si="253">BD61/BC61-1</f>
        <v>0.20960000000000001</v>
      </c>
      <c r="BE62" s="52">
        <f t="shared" ref="BE62" si="254">BE61/BD61-1</f>
        <v>0.10160000000000036</v>
      </c>
      <c r="BF62" s="52">
        <f t="shared" ref="BF62" si="255">BF61/BE61-1</f>
        <v>0.11240000000000028</v>
      </c>
      <c r="BG62" s="1545">
        <f t="shared" ref="BG62" si="256">BG61/BF61-1</f>
        <v>0</v>
      </c>
      <c r="BH62" s="504">
        <f t="shared" ref="BH62" si="257">BH61/BG61-1</f>
        <v>-1.0000000000000009E-2</v>
      </c>
      <c r="BI62" s="375">
        <f t="shared" ref="BI62" si="258">BI61/BH61-1</f>
        <v>-1.0000000000000009E-2</v>
      </c>
      <c r="BJ62" s="375">
        <f t="shared" ref="BJ62" si="259">BJ61/BI61-1</f>
        <v>2.0100000000000007E-2</v>
      </c>
      <c r="BK62" s="1555">
        <f t="shared" ref="BK62" si="260">BK61/BJ61-1</f>
        <v>1.0000000000000009E-2</v>
      </c>
      <c r="BL62" s="244"/>
      <c r="BM62" s="369"/>
      <c r="BN62" s="369"/>
      <c r="BO62" s="369"/>
      <c r="BP62" s="369"/>
      <c r="BQ62" s="369"/>
      <c r="BR62" s="1337">
        <f t="shared" ref="BR62:CA62" si="261">BR61/BQ61-1</f>
        <v>5.0743943760629184E-2</v>
      </c>
      <c r="BS62" s="1337">
        <f t="shared" si="261"/>
        <v>-2.8216609092140965E-3</v>
      </c>
      <c r="BT62" s="1337">
        <f t="shared" si="261"/>
        <v>-0.32388428127286029</v>
      </c>
      <c r="BU62" s="1337">
        <f t="shared" si="261"/>
        <v>-0.1312567542561458</v>
      </c>
      <c r="BV62" s="1961">
        <f t="shared" si="261"/>
        <v>-3.7626674129740634E-2</v>
      </c>
      <c r="BW62" s="1338">
        <f t="shared" si="261"/>
        <v>-0.52953873531259055</v>
      </c>
      <c r="BX62" s="1338">
        <f t="shared" si="261"/>
        <v>-0.33936244561855888</v>
      </c>
      <c r="BY62" s="957">
        <f t="shared" si="261"/>
        <v>1.220431030439292</v>
      </c>
      <c r="BZ62" s="957">
        <f t="shared" si="261"/>
        <v>0.65013803916282398</v>
      </c>
      <c r="CA62" s="1663">
        <f t="shared" si="261"/>
        <v>7.1249978877097053E-2</v>
      </c>
      <c r="CB62" s="1408"/>
    </row>
    <row r="63" spans="2:80" s="7" customFormat="1" ht="14.25" customHeight="1">
      <c r="B63" s="1354" t="s">
        <v>391</v>
      </c>
      <c r="C63" s="380"/>
      <c r="D63" s="500"/>
      <c r="E63" s="500"/>
      <c r="F63" s="500"/>
      <c r="G63" s="501"/>
      <c r="H63" s="500"/>
      <c r="I63" s="500"/>
      <c r="J63" s="500"/>
      <c r="K63" s="501"/>
      <c r="L63" s="500"/>
      <c r="M63" s="500"/>
      <c r="N63" s="500"/>
      <c r="O63" s="501"/>
      <c r="P63" s="500"/>
      <c r="Q63" s="500"/>
      <c r="R63" s="500"/>
      <c r="S63" s="501"/>
      <c r="T63" s="514"/>
      <c r="U63" s="52"/>
      <c r="V63" s="52"/>
      <c r="W63" s="499"/>
      <c r="X63" s="514">
        <f t="shared" ref="X63:AU63" si="262">X61/T61-1</f>
        <v>0.14435271245904113</v>
      </c>
      <c r="Y63" s="52">
        <f t="shared" si="262"/>
        <v>7.9977853953413058E-2</v>
      </c>
      <c r="Z63" s="52">
        <f t="shared" si="262"/>
        <v>1.729198267373766E-2</v>
      </c>
      <c r="AA63" s="499">
        <f t="shared" si="262"/>
        <v>-2.0331466720196922E-2</v>
      </c>
      <c r="AB63" s="52">
        <f t="shared" si="262"/>
        <v>7.7433748707623762E-2</v>
      </c>
      <c r="AC63" s="52">
        <f t="shared" si="262"/>
        <v>0.12146425143772621</v>
      </c>
      <c r="AD63" s="52">
        <f t="shared" si="262"/>
        <v>-5.1268016785258164E-2</v>
      </c>
      <c r="AE63" s="499">
        <f t="shared" si="262"/>
        <v>-0.14876318765602392</v>
      </c>
      <c r="AF63" s="52">
        <f t="shared" si="262"/>
        <v>-0.24016186868686873</v>
      </c>
      <c r="AG63" s="52">
        <f t="shared" si="262"/>
        <v>-0.36045165094339615</v>
      </c>
      <c r="AH63" s="52">
        <f t="shared" si="262"/>
        <v>-0.36330455259026706</v>
      </c>
      <c r="AI63" s="499">
        <f t="shared" si="262"/>
        <v>-0.3400805102040817</v>
      </c>
      <c r="AJ63" s="52">
        <f t="shared" si="262"/>
        <v>-0.38474062301383971</v>
      </c>
      <c r="AK63" s="52">
        <f t="shared" si="262"/>
        <v>-0.181001585011203</v>
      </c>
      <c r="AL63" s="52">
        <f t="shared" si="262"/>
        <v>2.3323204721716451E-2</v>
      </c>
      <c r="AM63" s="499">
        <f t="shared" si="262"/>
        <v>0.12585035216756313</v>
      </c>
      <c r="AN63" s="52">
        <f t="shared" si="262"/>
        <v>0.22367317058355174</v>
      </c>
      <c r="AO63" s="52">
        <f t="shared" si="262"/>
        <v>5.2315419410084329E-2</v>
      </c>
      <c r="AP63" s="52">
        <f t="shared" si="262"/>
        <v>2.3613055476727762E-3</v>
      </c>
      <c r="AQ63" s="499">
        <f t="shared" si="262"/>
        <v>-0.35022533137657952</v>
      </c>
      <c r="AR63" s="52">
        <f t="shared" si="262"/>
        <v>-0.48570355228642959</v>
      </c>
      <c r="AS63" s="52">
        <f t="shared" si="262"/>
        <v>-0.62960627889263132</v>
      </c>
      <c r="AT63" s="52">
        <f t="shared" si="262"/>
        <v>-0.56295104007970354</v>
      </c>
      <c r="AU63" s="499">
        <f t="shared" si="262"/>
        <v>-0.40709168839113319</v>
      </c>
      <c r="AV63" s="52">
        <f t="shared" ref="AV63" si="263">AV61/AR61-1</f>
        <v>-0.33829571882063902</v>
      </c>
      <c r="AW63" s="52">
        <f t="shared" ref="AW63:AZ63" si="264">AW61/AS61-1</f>
        <v>-0.28889345613809858</v>
      </c>
      <c r="AX63" s="52">
        <f t="shared" si="264"/>
        <v>-0.41345493477094508</v>
      </c>
      <c r="AY63" s="1545">
        <f t="shared" si="264"/>
        <v>-0.30746014336190897</v>
      </c>
      <c r="AZ63" s="52">
        <f t="shared" si="264"/>
        <v>0.16744832837026391</v>
      </c>
      <c r="BA63" s="52">
        <f t="shared" ref="BA63" si="265">BA61/AW61-1</f>
        <v>1.5293954478221004</v>
      </c>
      <c r="BB63" s="52">
        <f t="shared" ref="BB63" si="266">BB61/AX61-1</f>
        <v>1.8666481741983807</v>
      </c>
      <c r="BC63" s="52">
        <f t="shared" ref="BC63" si="267">BC61/AY61-1</f>
        <v>1.6323308451769476</v>
      </c>
      <c r="BD63" s="504">
        <f t="shared" ref="BD63" si="268">BD61/AZ61-1</f>
        <v>1.2908607743909895</v>
      </c>
      <c r="BE63" s="52">
        <f t="shared" ref="BE63" si="269">BE61/BA61-1</f>
        <v>0.5629953109557253</v>
      </c>
      <c r="BF63" s="52">
        <f t="shared" ref="BF63" si="270">BF61/BB61-1</f>
        <v>0.54962208904380505</v>
      </c>
      <c r="BG63" s="1545">
        <f t="shared" ref="BG63" si="271">BG61/BC61-1</f>
        <v>0.48226783846400068</v>
      </c>
      <c r="BH63" s="504">
        <f t="shared" ref="BH63" si="272">BH61/BD61-1</f>
        <v>0.21316564160000051</v>
      </c>
      <c r="BI63" s="52">
        <f t="shared" ref="BI63" si="273">BI61/BE61-1</f>
        <v>9.02632400000003E-2</v>
      </c>
      <c r="BJ63" s="52">
        <f t="shared" ref="BJ63" si="274">BJ61/BF61-1</f>
        <v>-1.9999000000003875E-4</v>
      </c>
      <c r="BK63" s="1545">
        <f t="shared" ref="BK63" si="275">BK61/BG61-1</f>
        <v>9.7980100999999209E-3</v>
      </c>
      <c r="BL63" s="244"/>
      <c r="BM63" s="369"/>
      <c r="BN63" s="369"/>
      <c r="BO63" s="369"/>
      <c r="BP63" s="369"/>
      <c r="BQ63" s="369"/>
      <c r="BR63" s="369"/>
      <c r="BS63" s="679"/>
      <c r="BT63" s="253"/>
      <c r="BU63" s="253"/>
      <c r="BV63" s="1946"/>
      <c r="BW63" s="13"/>
      <c r="BX63" s="13"/>
      <c r="BY63" s="13"/>
      <c r="BZ63" s="13"/>
      <c r="CA63" s="1664"/>
      <c r="CB63" s="1408"/>
    </row>
    <row r="64" spans="2:80" s="7" customFormat="1" ht="14.25" customHeight="1">
      <c r="B64" s="1350"/>
      <c r="C64" s="380"/>
      <c r="D64" s="500"/>
      <c r="E64" s="500"/>
      <c r="F64" s="500"/>
      <c r="G64" s="501"/>
      <c r="H64" s="606"/>
      <c r="I64" s="500"/>
      <c r="J64" s="500"/>
      <c r="K64" s="501"/>
      <c r="L64" s="606"/>
      <c r="M64" s="500"/>
      <c r="N64" s="500"/>
      <c r="O64" s="501"/>
      <c r="P64" s="606"/>
      <c r="Q64" s="500"/>
      <c r="R64" s="500"/>
      <c r="S64" s="501"/>
      <c r="T64" s="52"/>
      <c r="U64" s="52"/>
      <c r="V64" s="52"/>
      <c r="W64" s="499"/>
      <c r="X64" s="52"/>
      <c r="Y64" s="52"/>
      <c r="Z64" s="52"/>
      <c r="AA64" s="499"/>
      <c r="AB64" s="52"/>
      <c r="AC64" s="52"/>
      <c r="AD64" s="52"/>
      <c r="AE64" s="499"/>
      <c r="AF64" s="998"/>
      <c r="AG64" s="998"/>
      <c r="AH64" s="998"/>
      <c r="AI64" s="999"/>
      <c r="AJ64" s="1380"/>
      <c r="AK64" s="1380"/>
      <c r="AL64" s="1380"/>
      <c r="AM64" s="1379"/>
      <c r="AN64" s="1380"/>
      <c r="AO64" s="1380"/>
      <c r="AP64" s="1380"/>
      <c r="AQ64" s="1379"/>
      <c r="AR64" s="1380"/>
      <c r="AS64" s="1380"/>
      <c r="AT64" s="1380"/>
      <c r="AU64" s="1379"/>
      <c r="AV64" s="1380"/>
      <c r="AW64" s="1380"/>
      <c r="AX64" s="1380"/>
      <c r="AY64" s="1556"/>
      <c r="AZ64" s="1380"/>
      <c r="BA64" s="1380"/>
      <c r="BB64" s="1380"/>
      <c r="BC64" s="1380"/>
      <c r="BD64" s="1739"/>
      <c r="BE64" s="1380"/>
      <c r="BF64" s="1380"/>
      <c r="BG64" s="1556"/>
      <c r="BH64" s="1739"/>
      <c r="BI64" s="1380"/>
      <c r="BJ64" s="1380"/>
      <c r="BK64" s="1556"/>
      <c r="BL64" s="244"/>
      <c r="BM64" s="369"/>
      <c r="BN64" s="369"/>
      <c r="BO64" s="369"/>
      <c r="BP64" s="369"/>
      <c r="BQ64" s="369"/>
      <c r="BR64" s="369"/>
      <c r="BS64" s="369"/>
      <c r="BT64" s="369"/>
      <c r="BU64" s="369"/>
      <c r="BV64" s="1947"/>
      <c r="BW64" s="13"/>
      <c r="BX64" s="13"/>
      <c r="BY64" s="13"/>
      <c r="BZ64" s="13"/>
      <c r="CA64" s="1664"/>
      <c r="CB64" s="1408"/>
    </row>
    <row r="65" spans="2:80" s="115" customFormat="1" ht="14.25" customHeight="1">
      <c r="B65" s="1347" t="s">
        <v>479</v>
      </c>
      <c r="C65" s="742"/>
      <c r="D65" s="744"/>
      <c r="E65" s="744"/>
      <c r="F65" s="744"/>
      <c r="G65" s="745"/>
      <c r="H65" s="743"/>
      <c r="I65" s="744"/>
      <c r="J65" s="744"/>
      <c r="K65" s="745"/>
      <c r="L65" s="743"/>
      <c r="M65" s="744"/>
      <c r="N65" s="744"/>
      <c r="O65" s="745"/>
      <c r="P65" s="743"/>
      <c r="Q65" s="744"/>
      <c r="R65" s="744"/>
      <c r="S65" s="745"/>
      <c r="T65" s="744"/>
      <c r="U65" s="744"/>
      <c r="V65" s="744"/>
      <c r="W65" s="745"/>
      <c r="X65" s="744"/>
      <c r="Y65" s="744"/>
      <c r="Z65" s="744"/>
      <c r="AA65" s="745"/>
      <c r="AB65" s="744"/>
      <c r="AC65" s="744"/>
      <c r="AD65" s="744"/>
      <c r="AE65" s="745"/>
      <c r="AF65" s="746"/>
      <c r="AG65" s="746"/>
      <c r="AH65" s="746"/>
      <c r="AI65" s="747"/>
      <c r="AJ65" s="1383"/>
      <c r="AK65" s="1383"/>
      <c r="AL65" s="1383"/>
      <c r="AM65" s="1384"/>
      <c r="AN65" s="1383"/>
      <c r="AO65" s="1383"/>
      <c r="AP65" s="1383"/>
      <c r="AQ65" s="1383"/>
      <c r="AR65" s="1385"/>
      <c r="AS65" s="1382"/>
      <c r="AT65" s="1382"/>
      <c r="AU65" s="1381"/>
      <c r="AV65" s="1385"/>
      <c r="AW65" s="1382"/>
      <c r="AX65" s="1382"/>
      <c r="AY65" s="1557"/>
      <c r="AZ65" s="1385"/>
      <c r="BA65" s="1382"/>
      <c r="BB65" s="1382"/>
      <c r="BC65" s="1382"/>
      <c r="BD65" s="1385"/>
      <c r="BE65" s="1382"/>
      <c r="BF65" s="1382"/>
      <c r="BG65" s="1557"/>
      <c r="BH65" s="1385"/>
      <c r="BI65" s="1382"/>
      <c r="BJ65" s="1382"/>
      <c r="BK65" s="1557"/>
      <c r="BL65" s="317"/>
      <c r="BM65" s="748"/>
      <c r="BN65" s="748"/>
      <c r="BO65" s="748"/>
      <c r="BP65" s="748"/>
      <c r="BQ65" s="748"/>
      <c r="BR65" s="748"/>
      <c r="BS65" s="748"/>
      <c r="BT65" s="748"/>
      <c r="BU65" s="748"/>
      <c r="BV65" s="1962"/>
      <c r="BW65" s="314"/>
      <c r="BX65" s="314"/>
      <c r="BY65" s="314"/>
      <c r="BZ65" s="314"/>
      <c r="CA65" s="1665"/>
      <c r="CB65" s="1408"/>
    </row>
    <row r="66" spans="2:80" s="435" customFormat="1" ht="14.25" customHeight="1">
      <c r="B66" s="1348" t="s">
        <v>344</v>
      </c>
      <c r="C66" s="749"/>
      <c r="D66" s="566"/>
      <c r="E66" s="566"/>
      <c r="F66" s="566"/>
      <c r="G66" s="567"/>
      <c r="H66" s="754"/>
      <c r="I66" s="566"/>
      <c r="J66" s="566"/>
      <c r="K66" s="567"/>
      <c r="L66" s="754"/>
      <c r="M66" s="566"/>
      <c r="N66" s="566"/>
      <c r="O66" s="567"/>
      <c r="P66" s="754"/>
      <c r="Q66" s="566"/>
      <c r="R66" s="566"/>
      <c r="S66" s="567"/>
      <c r="T66" s="1174">
        <v>4450</v>
      </c>
      <c r="U66" s="1174">
        <v>4250</v>
      </c>
      <c r="V66" s="1174">
        <v>5447</v>
      </c>
      <c r="W66" s="1175">
        <v>6478</v>
      </c>
      <c r="X66" s="1174">
        <v>5852</v>
      </c>
      <c r="Y66" s="1174">
        <v>7086</v>
      </c>
      <c r="Z66" s="1174">
        <v>7110</v>
      </c>
      <c r="AA66" s="1175">
        <v>7006</v>
      </c>
      <c r="AB66" s="1174">
        <v>7200</v>
      </c>
      <c r="AC66" s="1174">
        <v>7800</v>
      </c>
      <c r="AD66" s="1174">
        <v>9600</v>
      </c>
      <c r="AE66" s="1175">
        <v>9200</v>
      </c>
      <c r="AF66" s="1174">
        <v>8928</v>
      </c>
      <c r="AG66" s="1174">
        <v>8423</v>
      </c>
      <c r="AH66" s="1174">
        <v>7773</v>
      </c>
      <c r="AI66" s="1175">
        <v>6350</v>
      </c>
      <c r="AJ66" s="1171">
        <f t="shared" ref="AJ66:AU66" si="276">+AI66*(1+AJ67)</f>
        <v>5886.6944750000002</v>
      </c>
      <c r="AK66" s="1171">
        <f t="shared" si="276"/>
        <v>7694.1537124515144</v>
      </c>
      <c r="AL66" s="1171">
        <f t="shared" si="276"/>
        <v>6906.9494578231752</v>
      </c>
      <c r="AM66" s="1172">
        <f t="shared" si="276"/>
        <v>5049.8344433166731</v>
      </c>
      <c r="AN66" s="1171">
        <f t="shared" si="276"/>
        <v>5201.3294766161735</v>
      </c>
      <c r="AO66" s="1171">
        <f t="shared" si="276"/>
        <v>5721.4624242777909</v>
      </c>
      <c r="AP66" s="1171">
        <f t="shared" si="276"/>
        <v>5893.1062970061248</v>
      </c>
      <c r="AQ66" s="1172">
        <f t="shared" si="276"/>
        <v>6010.9684229462473</v>
      </c>
      <c r="AR66" s="1171">
        <f t="shared" si="276"/>
        <v>4748.6650541275358</v>
      </c>
      <c r="AS66" s="1171">
        <f t="shared" si="276"/>
        <v>2849.1990324765216</v>
      </c>
      <c r="AT66" s="1171">
        <f t="shared" si="276"/>
        <v>2849.1990324765216</v>
      </c>
      <c r="AU66" s="1172">
        <f t="shared" si="276"/>
        <v>3276.5788873479996</v>
      </c>
      <c r="AV66" s="1171">
        <f t="shared" ref="AV66" si="277">+AU66*(1+AV67)</f>
        <v>3735.2999315767202</v>
      </c>
      <c r="AW66" s="1171">
        <f t="shared" ref="AW66:AZ66" si="278">+AV66*(1+AW67)</f>
        <v>3772.6529308924873</v>
      </c>
      <c r="AX66" s="1171">
        <f t="shared" si="278"/>
        <v>4032.9659831240688</v>
      </c>
      <c r="AY66" s="1558">
        <f t="shared" si="278"/>
        <v>4436.2625814364756</v>
      </c>
      <c r="AZ66" s="1171">
        <f t="shared" si="278"/>
        <v>4081.3615749215578</v>
      </c>
      <c r="BA66" s="1171">
        <f t="shared" ref="BA66" si="279">+AZ66*(1+BA67)</f>
        <v>3877.29349617548</v>
      </c>
      <c r="BB66" s="1171">
        <f t="shared" ref="BB66" si="280">+BA66*(1+BB67)</f>
        <v>3877.29349617548</v>
      </c>
      <c r="BC66" s="1171">
        <f t="shared" ref="BC66" si="281">+BB66*(1+BC67)</f>
        <v>5040.4815450281239</v>
      </c>
      <c r="BD66" s="1740">
        <f t="shared" ref="BD66" si="282">+BC66*(1+BD67)</f>
        <v>6250.1971158348733</v>
      </c>
      <c r="BE66" s="1171">
        <f t="shared" ref="BE66" si="283">+BD66*(1+BE67)</f>
        <v>7812.7463947935921</v>
      </c>
      <c r="BF66" s="1171">
        <f t="shared" ref="BF66" si="284">+BE66*(1+BF67)</f>
        <v>8203.3837145332727</v>
      </c>
      <c r="BG66" s="1558">
        <f t="shared" ref="BG66" si="285">+BF66*(1+BG67)</f>
        <v>8203.3837145332727</v>
      </c>
      <c r="BH66" s="1740">
        <f t="shared" ref="BH66" si="286">+BG66*(1+BH67)</f>
        <v>8121.3498773879401</v>
      </c>
      <c r="BI66" s="1171">
        <f t="shared" ref="BI66" si="287">+BH66*(1+BI67)</f>
        <v>8040.136378614061</v>
      </c>
      <c r="BJ66" s="1171">
        <f t="shared" ref="BJ66" si="288">+BI66*(1+BJ67)</f>
        <v>8120.5377424002018</v>
      </c>
      <c r="BK66" s="1558">
        <f t="shared" ref="BK66" si="289">+BJ66*(1+BK67)</f>
        <v>8120.5377424002018</v>
      </c>
      <c r="BL66" s="449"/>
      <c r="BM66" s="752"/>
      <c r="BN66" s="752"/>
      <c r="BO66" s="752"/>
      <c r="BP66" s="752"/>
      <c r="BQ66" s="710">
        <f>SUM(T66:W66)</f>
        <v>20625</v>
      </c>
      <c r="BR66" s="753">
        <f>SUM(X66:AA66)</f>
        <v>27054</v>
      </c>
      <c r="BS66" s="753">
        <f>SUM(AB66:AE66)</f>
        <v>33800</v>
      </c>
      <c r="BT66" s="753">
        <f>SUM(AF66:AI66)</f>
        <v>31474</v>
      </c>
      <c r="BU66" s="753">
        <f>SUM(AJ66:AM66)</f>
        <v>25537.632088591359</v>
      </c>
      <c r="BV66" s="1948">
        <f>+SUM(AN66:AQ66)</f>
        <v>22826.866620846336</v>
      </c>
      <c r="BW66" s="302">
        <f>SUM(AR66:AU66)</f>
        <v>13723.642006428578</v>
      </c>
      <c r="BX66" s="302">
        <f>SUM(AV66:AY66)</f>
        <v>15977.181427029751</v>
      </c>
      <c r="BY66" s="710">
        <f>SUM(AZ66:BC66)</f>
        <v>16876.430112300641</v>
      </c>
      <c r="BZ66" s="710">
        <f>SUM(BD66:BG66)</f>
        <v>30469.710939695011</v>
      </c>
      <c r="CA66" s="1660">
        <f>SUM(BH66:BK66)</f>
        <v>32402.561740802405</v>
      </c>
      <c r="CB66" s="1408"/>
    </row>
    <row r="67" spans="2:80" s="7" customFormat="1" ht="14.25" customHeight="1">
      <c r="B67" s="1354" t="s">
        <v>390</v>
      </c>
      <c r="C67" s="380"/>
      <c r="D67" s="500"/>
      <c r="E67" s="500"/>
      <c r="F67" s="500"/>
      <c r="G67" s="501"/>
      <c r="H67" s="606"/>
      <c r="I67" s="500"/>
      <c r="J67" s="500"/>
      <c r="K67" s="501"/>
      <c r="L67" s="606"/>
      <c r="M67" s="500"/>
      <c r="N67" s="500"/>
      <c r="O67" s="501"/>
      <c r="P67" s="606"/>
      <c r="Q67" s="500"/>
      <c r="R67" s="500"/>
      <c r="S67" s="501"/>
      <c r="T67" s="52"/>
      <c r="U67" s="52">
        <f t="shared" ref="U67:AA67" si="290">U66/T66-1</f>
        <v>-4.49438202247191E-2</v>
      </c>
      <c r="V67" s="52">
        <f t="shared" si="290"/>
        <v>0.28164705882352936</v>
      </c>
      <c r="W67" s="499">
        <f t="shared" si="290"/>
        <v>0.1892785019276666</v>
      </c>
      <c r="X67" s="52">
        <f t="shared" si="290"/>
        <v>-9.6634763815992564E-2</v>
      </c>
      <c r="Y67" s="52">
        <f t="shared" si="290"/>
        <v>0.21086807928913198</v>
      </c>
      <c r="Z67" s="52">
        <f t="shared" si="290"/>
        <v>3.3869602032177148E-3</v>
      </c>
      <c r="AA67" s="499">
        <f t="shared" si="290"/>
        <v>-1.4627285513361454E-2</v>
      </c>
      <c r="AB67" s="52">
        <f t="shared" ref="AB67:AI67" si="291">AB66/AA66-1</f>
        <v>2.7690550956323223E-2</v>
      </c>
      <c r="AC67" s="52">
        <f t="shared" si="291"/>
        <v>8.3333333333333259E-2</v>
      </c>
      <c r="AD67" s="52">
        <f t="shared" si="291"/>
        <v>0.23076923076923084</v>
      </c>
      <c r="AE67" s="499">
        <f t="shared" si="291"/>
        <v>-4.166666666666663E-2</v>
      </c>
      <c r="AF67" s="52">
        <f t="shared" si="291"/>
        <v>-2.9565217391304355E-2</v>
      </c>
      <c r="AG67" s="52">
        <f t="shared" si="291"/>
        <v>-5.6563620071684584E-2</v>
      </c>
      <c r="AH67" s="52">
        <f>+AH66/AG66-1</f>
        <v>-7.7169654517392883E-2</v>
      </c>
      <c r="AI67" s="499">
        <f t="shared" si="291"/>
        <v>-0.1830695998970796</v>
      </c>
      <c r="AJ67" s="1176">
        <v>-7.2961499999999999E-2</v>
      </c>
      <c r="AK67" s="1176">
        <v>0.30704145512011044</v>
      </c>
      <c r="AL67" s="1176">
        <v>-0.102312</v>
      </c>
      <c r="AM67" s="1177">
        <v>-0.26887630000000001</v>
      </c>
      <c r="AN67" s="1176">
        <v>0.03</v>
      </c>
      <c r="AO67" s="1176">
        <v>0.1</v>
      </c>
      <c r="AP67" s="1176">
        <v>0.03</v>
      </c>
      <c r="AQ67" s="1177">
        <v>0.02</v>
      </c>
      <c r="AR67" s="1176">
        <v>-0.21</v>
      </c>
      <c r="AS67" s="1176">
        <v>-0.4</v>
      </c>
      <c r="AT67" s="1176">
        <v>0</v>
      </c>
      <c r="AU67" s="1177">
        <v>0.15</v>
      </c>
      <c r="AV67" s="1176">
        <v>0.14000000000000001</v>
      </c>
      <c r="AW67" s="1176">
        <v>0.01</v>
      </c>
      <c r="AX67" s="1176">
        <v>6.9000000000000006E-2</v>
      </c>
      <c r="AY67" s="1553">
        <v>0.1</v>
      </c>
      <c r="AZ67" s="1702">
        <v>-0.08</v>
      </c>
      <c r="BA67" s="1176">
        <v>-0.05</v>
      </c>
      <c r="BB67" s="1863">
        <v>0</v>
      </c>
      <c r="BC67" s="1863">
        <v>0.3</v>
      </c>
      <c r="BD67" s="1864">
        <v>0.24</v>
      </c>
      <c r="BE67" s="1863">
        <v>0.25</v>
      </c>
      <c r="BF67" s="1863">
        <v>0.05</v>
      </c>
      <c r="BG67" s="1553">
        <v>0</v>
      </c>
      <c r="BH67" s="1864">
        <v>-0.01</v>
      </c>
      <c r="BI67" s="1863">
        <v>-0.01</v>
      </c>
      <c r="BJ67" s="1863">
        <v>0.01</v>
      </c>
      <c r="BK67" s="1553">
        <v>0</v>
      </c>
      <c r="BL67" s="244"/>
      <c r="BM67" s="369"/>
      <c r="BN67" s="369"/>
      <c r="BO67" s="369"/>
      <c r="BP67" s="369"/>
      <c r="BQ67" s="369"/>
      <c r="BR67" s="1337">
        <f t="shared" ref="BR67:CA67" si="292">BR66/BQ66-1</f>
        <v>0.31170909090909094</v>
      </c>
      <c r="BS67" s="1337">
        <f t="shared" si="292"/>
        <v>0.24935314556073029</v>
      </c>
      <c r="BT67" s="1337">
        <f t="shared" si="292"/>
        <v>-6.8816568047337268E-2</v>
      </c>
      <c r="BU67" s="1337">
        <f t="shared" si="292"/>
        <v>-0.18861180375575526</v>
      </c>
      <c r="BV67" s="1961">
        <f t="shared" si="292"/>
        <v>-0.10614787848541474</v>
      </c>
      <c r="BW67" s="1338">
        <f t="shared" si="292"/>
        <v>-0.39879431398194432</v>
      </c>
      <c r="BX67" s="1338">
        <f t="shared" si="292"/>
        <v>0.16420855480968877</v>
      </c>
      <c r="BY67" s="1338">
        <f t="shared" si="292"/>
        <v>5.6283311883131404E-2</v>
      </c>
      <c r="BZ67" s="1338">
        <f t="shared" si="292"/>
        <v>0.80545949214026624</v>
      </c>
      <c r="CA67" s="1661">
        <f t="shared" si="292"/>
        <v>6.3435153846153947E-2</v>
      </c>
      <c r="CB67" s="1408"/>
    </row>
    <row r="68" spans="2:80" s="7" customFormat="1" ht="14.25" customHeight="1">
      <c r="B68" s="1355" t="s">
        <v>472</v>
      </c>
      <c r="C68" s="380"/>
      <c r="D68" s="500"/>
      <c r="E68" s="500"/>
      <c r="F68" s="500"/>
      <c r="G68" s="501"/>
      <c r="H68" s="606"/>
      <c r="I68" s="500"/>
      <c r="J68" s="500"/>
      <c r="K68" s="501"/>
      <c r="L68" s="606"/>
      <c r="M68" s="500"/>
      <c r="N68" s="500"/>
      <c r="O68" s="501"/>
      <c r="P68" s="606"/>
      <c r="Q68" s="500"/>
      <c r="R68" s="500"/>
      <c r="S68" s="501"/>
      <c r="T68" s="1184">
        <v>50.510112359550561</v>
      </c>
      <c r="U68" s="1184">
        <v>42.245799999999996</v>
      </c>
      <c r="V68" s="1184">
        <v>40.868916834955023</v>
      </c>
      <c r="W68" s="1185">
        <v>38.163356745909226</v>
      </c>
      <c r="X68" s="1184">
        <v>55</v>
      </c>
      <c r="Y68" s="1184">
        <v>55</v>
      </c>
      <c r="Z68" s="1184">
        <v>54</v>
      </c>
      <c r="AA68" s="1185">
        <v>52</v>
      </c>
      <c r="AB68" s="1184">
        <v>47</v>
      </c>
      <c r="AC68" s="1184">
        <v>43</v>
      </c>
      <c r="AD68" s="1184">
        <v>41</v>
      </c>
      <c r="AE68" s="1185">
        <v>48</v>
      </c>
      <c r="AF68" s="1184">
        <v>46.199074820788532</v>
      </c>
      <c r="AG68" s="1184">
        <v>44.144386798052949</v>
      </c>
      <c r="AH68" s="1184">
        <v>42.117605815000644</v>
      </c>
      <c r="AI68" s="1185">
        <v>42.241055118110239</v>
      </c>
      <c r="AJ68" s="1182">
        <f t="shared" ref="AJ68:AU68" si="293">+AI68*(1+AJ69)</f>
        <v>42.663465669291341</v>
      </c>
      <c r="AK68" s="1182">
        <f t="shared" si="293"/>
        <v>40.530292385826769</v>
      </c>
      <c r="AL68" s="1182">
        <f t="shared" si="293"/>
        <v>40.124989461968504</v>
      </c>
      <c r="AM68" s="1183">
        <f t="shared" si="293"/>
        <v>37.316240199630705</v>
      </c>
      <c r="AN68" s="1182">
        <f t="shared" si="293"/>
        <v>37.316240199630705</v>
      </c>
      <c r="AO68" s="1182">
        <f t="shared" si="293"/>
        <v>39.928377013604859</v>
      </c>
      <c r="AP68" s="1182">
        <f t="shared" si="293"/>
        <v>39.129809473332763</v>
      </c>
      <c r="AQ68" s="1183">
        <f t="shared" si="293"/>
        <v>39.521107568066093</v>
      </c>
      <c r="AR68" s="1182">
        <f t="shared" si="293"/>
        <v>39.521107568066093</v>
      </c>
      <c r="AS68" s="1182">
        <f t="shared" si="293"/>
        <v>39.995360858882883</v>
      </c>
      <c r="AT68" s="1182">
        <f t="shared" si="293"/>
        <v>39.195453641705221</v>
      </c>
      <c r="AU68" s="1183">
        <f t="shared" si="293"/>
        <v>39.979362714539327</v>
      </c>
      <c r="AV68" s="1182">
        <f t="shared" ref="AV68" si="294">+AU68*(1+AV69)</f>
        <v>40.37915634168472</v>
      </c>
      <c r="AW68" s="1182">
        <f t="shared" ref="AW68:AZ68" si="295">+AV68*(1+AW69)</f>
        <v>40.782947905101565</v>
      </c>
      <c r="AX68" s="1182">
        <f t="shared" si="295"/>
        <v>40.579033165576057</v>
      </c>
      <c r="AY68" s="1559">
        <f t="shared" si="295"/>
        <v>40.173242833920298</v>
      </c>
      <c r="AZ68" s="1182">
        <f t="shared" si="295"/>
        <v>39.49029770574365</v>
      </c>
      <c r="BA68" s="1182">
        <f t="shared" ref="BA68" si="296">+AZ68*(1+BA69)</f>
        <v>29.617723279307739</v>
      </c>
      <c r="BB68" s="1182">
        <f t="shared" ref="BB68" si="297">+BA68*(1+BB69)</f>
        <v>26.655950951376965</v>
      </c>
      <c r="BC68" s="1182">
        <f t="shared" ref="BC68" si="298">+BB68*(1+BC69)</f>
        <v>30.654343594083507</v>
      </c>
      <c r="BD68" s="1741">
        <f t="shared" ref="BD68" si="299">+BC68*(1+BD69)</f>
        <v>34.332864825373534</v>
      </c>
      <c r="BE68" s="1182">
        <f t="shared" ref="BE68" si="300">+BD68*(1+BE69)</f>
        <v>36.736165363149681</v>
      </c>
      <c r="BF68" s="1182">
        <f t="shared" ref="BF68" si="301">+BE68*(1+BF69)</f>
        <v>37.838250324044175</v>
      </c>
      <c r="BG68" s="1559">
        <f t="shared" ref="BG68" si="302">+BF68*(1+BG69)</f>
        <v>37.838250324044175</v>
      </c>
      <c r="BH68" s="1741">
        <f t="shared" ref="BH68" si="303">+BG68*(1+BH69)</f>
        <v>36.892294065943069</v>
      </c>
      <c r="BI68" s="1182">
        <f t="shared" ref="BI68" si="304">+BH68*(1+BI69)</f>
        <v>36.154448184624208</v>
      </c>
      <c r="BJ68" s="1182">
        <f t="shared" ref="BJ68" si="305">+BI68*(1+BJ69)</f>
        <v>35.792903702777963</v>
      </c>
      <c r="BK68" s="1559">
        <f t="shared" ref="BK68" si="306">+BJ68*(1+BK69)</f>
        <v>35.792903702777963</v>
      </c>
      <c r="BL68" s="244"/>
      <c r="BM68" s="369"/>
      <c r="BN68" s="369"/>
      <c r="BO68" s="369"/>
      <c r="BP68" s="369"/>
      <c r="BQ68" s="780">
        <f t="shared" ref="BQ68:BY68" si="307">+BQ70/BQ66*1000</f>
        <v>42.383023757575764</v>
      </c>
      <c r="BR68" s="780">
        <f t="shared" si="307"/>
        <v>53.960301618984253</v>
      </c>
      <c r="BS68" s="780">
        <f t="shared" si="307"/>
        <v>44.64497041420119</v>
      </c>
      <c r="BT68" s="780">
        <f t="shared" si="307"/>
        <v>43.842675223994412</v>
      </c>
      <c r="BU68" s="780">
        <f t="shared" si="307"/>
        <v>40.276842933730933</v>
      </c>
      <c r="BV68" s="1954">
        <f t="shared" si="307"/>
        <v>39.019767359511405</v>
      </c>
      <c r="BW68" s="780">
        <f t="shared" si="307"/>
        <v>39.661369045484804</v>
      </c>
      <c r="BX68" s="780">
        <f t="shared" si="307"/>
        <v>40.467781201690357</v>
      </c>
      <c r="BY68" s="780">
        <f t="shared" si="307"/>
        <v>31.634438346695834</v>
      </c>
      <c r="BZ68" s="780">
        <f t="shared" ref="BZ68:CA68" si="308">+BZ70/BZ66*1000</f>
        <v>36.836611001010581</v>
      </c>
      <c r="CA68" s="1666">
        <f t="shared" si="308"/>
        <v>36.158164969055193</v>
      </c>
      <c r="CB68" s="1408"/>
    </row>
    <row r="69" spans="2:80" s="7" customFormat="1" ht="14.25" customHeight="1">
      <c r="B69" s="1354" t="s">
        <v>390</v>
      </c>
      <c r="C69" s="380"/>
      <c r="D69" s="500"/>
      <c r="E69" s="500"/>
      <c r="F69" s="500"/>
      <c r="G69" s="501"/>
      <c r="H69" s="606"/>
      <c r="I69" s="500"/>
      <c r="J69" s="500"/>
      <c r="K69" s="501"/>
      <c r="L69" s="606"/>
      <c r="M69" s="500"/>
      <c r="N69" s="500"/>
      <c r="O69" s="501"/>
      <c r="P69" s="606"/>
      <c r="Q69" s="500"/>
      <c r="R69" s="500"/>
      <c r="S69" s="501"/>
      <c r="T69" s="610"/>
      <c r="U69" s="52">
        <f t="shared" ref="U69:AI69" si="309">U68/T68-1</f>
        <v>-0.16361698625261389</v>
      </c>
      <c r="V69" s="52">
        <f t="shared" si="309"/>
        <v>-3.2592190585690739E-2</v>
      </c>
      <c r="W69" s="499">
        <f t="shared" si="309"/>
        <v>-6.6200924775470016E-2</v>
      </c>
      <c r="X69" s="1186">
        <f t="shared" si="309"/>
        <v>0.44117301751491</v>
      </c>
      <c r="Y69" s="52">
        <f t="shared" si="309"/>
        <v>0</v>
      </c>
      <c r="Z69" s="52">
        <f t="shared" si="309"/>
        <v>-1.8181818181818188E-2</v>
      </c>
      <c r="AA69" s="499">
        <f t="shared" si="309"/>
        <v>-3.703703703703709E-2</v>
      </c>
      <c r="AB69" s="52">
        <f t="shared" si="309"/>
        <v>-9.6153846153846145E-2</v>
      </c>
      <c r="AC69" s="52">
        <f t="shared" si="309"/>
        <v>-8.5106382978723416E-2</v>
      </c>
      <c r="AD69" s="52">
        <f t="shared" si="309"/>
        <v>-4.6511627906976716E-2</v>
      </c>
      <c r="AE69" s="499">
        <f t="shared" si="309"/>
        <v>0.1707317073170731</v>
      </c>
      <c r="AF69" s="52">
        <f t="shared" si="309"/>
        <v>-3.7519274566905625E-2</v>
      </c>
      <c r="AG69" s="52">
        <f t="shared" si="309"/>
        <v>-4.4474657354199199E-2</v>
      </c>
      <c r="AH69" s="52">
        <f t="shared" si="309"/>
        <v>-4.5912541323185785E-2</v>
      </c>
      <c r="AI69" s="499">
        <f t="shared" si="309"/>
        <v>2.9310617429643138E-3</v>
      </c>
      <c r="AJ69" s="1176">
        <v>1.0000000000000009E-2</v>
      </c>
      <c r="AK69" s="1176">
        <v>-5.0000000000000155E-2</v>
      </c>
      <c r="AL69" s="1176">
        <v>-9.9999999999998979E-3</v>
      </c>
      <c r="AM69" s="1177">
        <v>-7.0000000000000007E-2</v>
      </c>
      <c r="AN69" s="1176">
        <v>0</v>
      </c>
      <c r="AO69" s="1176">
        <v>7.0000000000000007E-2</v>
      </c>
      <c r="AP69" s="1176">
        <v>-2.0000000000000018E-2</v>
      </c>
      <c r="AQ69" s="1177">
        <v>0.01</v>
      </c>
      <c r="AR69" s="1176">
        <v>0</v>
      </c>
      <c r="AS69" s="1176">
        <v>1.2E-2</v>
      </c>
      <c r="AT69" s="1176">
        <v>-0.02</v>
      </c>
      <c r="AU69" s="1177">
        <v>0.02</v>
      </c>
      <c r="AV69" s="1176">
        <v>0.01</v>
      </c>
      <c r="AW69" s="1176">
        <v>0.01</v>
      </c>
      <c r="AX69" s="1176">
        <v>-5.0000000000000001E-3</v>
      </c>
      <c r="AY69" s="1553">
        <v>-0.01</v>
      </c>
      <c r="AZ69" s="1702">
        <v>-1.7000000000000001E-2</v>
      </c>
      <c r="BA69" s="1176">
        <v>-0.25</v>
      </c>
      <c r="BB69" s="1176">
        <v>-0.1</v>
      </c>
      <c r="BC69" s="1702">
        <v>0.15</v>
      </c>
      <c r="BD69" s="1213">
        <v>0.12</v>
      </c>
      <c r="BE69" s="1702">
        <v>7.0000000000000007E-2</v>
      </c>
      <c r="BF69" s="1702">
        <v>0.03</v>
      </c>
      <c r="BG69" s="1553">
        <v>0</v>
      </c>
      <c r="BH69" s="1864">
        <v>-2.5000000000000001E-2</v>
      </c>
      <c r="BI69" s="1863">
        <v>-0.02</v>
      </c>
      <c r="BJ69" s="1863">
        <v>-0.01</v>
      </c>
      <c r="BK69" s="1553">
        <v>0</v>
      </c>
      <c r="BL69" s="244"/>
      <c r="BM69" s="369"/>
      <c r="BN69" s="369"/>
      <c r="BO69" s="369"/>
      <c r="BP69" s="369"/>
      <c r="BQ69" s="365"/>
      <c r="BR69" s="1337">
        <f t="shared" ref="BR69:CA69" si="310">BR68/BQ68-1</f>
        <v>0.2731583741553858</v>
      </c>
      <c r="BS69" s="1337">
        <f t="shared" si="310"/>
        <v>-0.17263304550369218</v>
      </c>
      <c r="BT69" s="1337">
        <f t="shared" si="310"/>
        <v>-1.797056158316046E-2</v>
      </c>
      <c r="BU69" s="1337">
        <f t="shared" si="310"/>
        <v>-8.1332452274991529E-2</v>
      </c>
      <c r="BV69" s="1961">
        <f t="shared" si="310"/>
        <v>-3.1210876589504388E-2</v>
      </c>
      <c r="BW69" s="1338">
        <f t="shared" si="310"/>
        <v>1.6442991063015722E-2</v>
      </c>
      <c r="BX69" s="1338">
        <f t="shared" si="310"/>
        <v>2.0332433690847473E-2</v>
      </c>
      <c r="BY69" s="1338">
        <f t="shared" si="310"/>
        <v>-0.21828087907684823</v>
      </c>
      <c r="BZ69" s="1338">
        <f t="shared" si="310"/>
        <v>0.16444649964389546</v>
      </c>
      <c r="CA69" s="1661">
        <f t="shared" si="310"/>
        <v>-1.8417710357143791E-2</v>
      </c>
      <c r="CB69" s="1408"/>
    </row>
    <row r="70" spans="2:80" s="285" customFormat="1" ht="14.25" customHeight="1">
      <c r="B70" s="1355" t="s">
        <v>399</v>
      </c>
      <c r="C70" s="635"/>
      <c r="D70" s="506"/>
      <c r="E70" s="506"/>
      <c r="F70" s="506"/>
      <c r="G70" s="615"/>
      <c r="H70" s="636"/>
      <c r="I70" s="506"/>
      <c r="J70" s="506"/>
      <c r="K70" s="615"/>
      <c r="L70" s="636"/>
      <c r="M70" s="506"/>
      <c r="N70" s="506"/>
      <c r="O70" s="615"/>
      <c r="P70" s="636"/>
      <c r="Q70" s="506"/>
      <c r="R70" s="506"/>
      <c r="S70" s="615"/>
      <c r="T70" s="565">
        <f>T66*T68/1000</f>
        <v>224.77</v>
      </c>
      <c r="U70" s="565">
        <f>U66*U68/1000</f>
        <v>179.54464999999999</v>
      </c>
      <c r="V70" s="565">
        <f t="shared" ref="V70:AU70" si="311">V66*V68/1000</f>
        <v>222.61299000000002</v>
      </c>
      <c r="W70" s="589">
        <f t="shared" si="311"/>
        <v>247.22222499999998</v>
      </c>
      <c r="X70" s="565">
        <f t="shared" si="311"/>
        <v>321.86</v>
      </c>
      <c r="Y70" s="565">
        <f t="shared" si="311"/>
        <v>389.73</v>
      </c>
      <c r="Z70" s="565">
        <f t="shared" si="311"/>
        <v>383.94</v>
      </c>
      <c r="AA70" s="589">
        <f t="shared" si="311"/>
        <v>364.31200000000001</v>
      </c>
      <c r="AB70" s="565">
        <f t="shared" si="311"/>
        <v>338.4</v>
      </c>
      <c r="AC70" s="565">
        <f t="shared" si="311"/>
        <v>335.4</v>
      </c>
      <c r="AD70" s="565">
        <f t="shared" si="311"/>
        <v>393.6</v>
      </c>
      <c r="AE70" s="589">
        <f t="shared" si="311"/>
        <v>441.6</v>
      </c>
      <c r="AF70" s="1171">
        <f t="shared" si="311"/>
        <v>412.46534000000003</v>
      </c>
      <c r="AG70" s="1171">
        <f t="shared" si="311"/>
        <v>371.82817</v>
      </c>
      <c r="AH70" s="1171">
        <f t="shared" si="311"/>
        <v>327.38015000000001</v>
      </c>
      <c r="AI70" s="1172">
        <f t="shared" si="311"/>
        <v>268.23070000000001</v>
      </c>
      <c r="AJ70" s="565">
        <f t="shared" si="311"/>
        <v>251.14678763976951</v>
      </c>
      <c r="AK70" s="565">
        <f t="shared" si="311"/>
        <v>311.84629962715439</v>
      </c>
      <c r="AL70" s="565">
        <f t="shared" si="311"/>
        <v>277.14127420950393</v>
      </c>
      <c r="AM70" s="589">
        <f t="shared" si="311"/>
        <v>188.44083505517338</v>
      </c>
      <c r="AN70" s="565">
        <f t="shared" si="311"/>
        <v>194.09406010682858</v>
      </c>
      <c r="AO70" s="565">
        <f t="shared" si="311"/>
        <v>228.44870874573726</v>
      </c>
      <c r="AP70" s="565">
        <f t="shared" si="311"/>
        <v>230.59612660794721</v>
      </c>
      <c r="AQ70" s="589">
        <f t="shared" si="311"/>
        <v>237.56012963150724</v>
      </c>
      <c r="AR70" s="565">
        <f t="shared" si="311"/>
        <v>187.67250240889072</v>
      </c>
      <c r="AS70" s="565">
        <f t="shared" si="311"/>
        <v>113.95474346267845</v>
      </c>
      <c r="AT70" s="565">
        <f t="shared" si="311"/>
        <v>111.67564859342487</v>
      </c>
      <c r="AU70" s="589">
        <f t="shared" si="311"/>
        <v>130.99553580008737</v>
      </c>
      <c r="AV70" s="565">
        <f t="shared" ref="AV70:AZ70" si="312">AV66*AV68/1000</f>
        <v>150.82825992022063</v>
      </c>
      <c r="AW70" s="565">
        <f t="shared" si="312"/>
        <v>153.85990794461705</v>
      </c>
      <c r="AX70" s="750">
        <f t="shared" si="312"/>
        <v>163.65386038483163</v>
      </c>
      <c r="AY70" s="1540">
        <f t="shared" si="312"/>
        <v>178.21905395908163</v>
      </c>
      <c r="AZ70" s="750">
        <f t="shared" si="312"/>
        <v>161.1741836384351</v>
      </c>
      <c r="BA70" s="565">
        <f t="shared" ref="BA70:BC70" si="313">BA66*BA68/1000</f>
        <v>114.836605842385</v>
      </c>
      <c r="BB70" s="565">
        <f t="shared" si="313"/>
        <v>103.35294525814651</v>
      </c>
      <c r="BC70" s="565">
        <f t="shared" si="313"/>
        <v>154.51265316092901</v>
      </c>
      <c r="BD70" s="720">
        <f t="shared" ref="BD70:BG70" si="314">BD66*BD68/1000</f>
        <v>214.58717270989823</v>
      </c>
      <c r="BE70" s="565">
        <f t="shared" si="314"/>
        <v>287.0103434994889</v>
      </c>
      <c r="BF70" s="565">
        <f t="shared" si="314"/>
        <v>310.40168649469729</v>
      </c>
      <c r="BG70" s="1723">
        <f t="shared" si="314"/>
        <v>310.40168649469729</v>
      </c>
      <c r="BH70" s="720">
        <f t="shared" ref="BH70:BK70" si="315">BH66*BH68/1000</f>
        <v>299.61522788900658</v>
      </c>
      <c r="BI70" s="565">
        <f t="shared" si="315"/>
        <v>290.6866940979142</v>
      </c>
      <c r="BJ70" s="565">
        <f t="shared" si="315"/>
        <v>290.65762542850439</v>
      </c>
      <c r="BK70" s="1723">
        <f t="shared" si="315"/>
        <v>290.65762542850439</v>
      </c>
      <c r="BL70" s="556"/>
      <c r="BM70" s="554"/>
      <c r="BN70" s="554"/>
      <c r="BO70" s="554"/>
      <c r="BP70" s="554"/>
      <c r="BQ70" s="710">
        <f>SUM(T70:W70)</f>
        <v>874.14986500000009</v>
      </c>
      <c r="BR70" s="753">
        <f>SUM(X70:AA70)</f>
        <v>1459.8420000000001</v>
      </c>
      <c r="BS70" s="753">
        <f>SUM(AB70:AE70)</f>
        <v>1509</v>
      </c>
      <c r="BT70" s="753">
        <f>SUM(AF70:AI70)</f>
        <v>1379.90436</v>
      </c>
      <c r="BU70" s="753">
        <f>SUM(AJ70:AM70)</f>
        <v>1028.5751965316013</v>
      </c>
      <c r="BV70" s="1948">
        <f>+SUM(AN70:AQ70)</f>
        <v>890.69902509202029</v>
      </c>
      <c r="BW70" s="302">
        <f>SUM(AR70:AU70)</f>
        <v>544.29843026508138</v>
      </c>
      <c r="BX70" s="302">
        <f>SUM(AV70:AY70)</f>
        <v>646.56108220875092</v>
      </c>
      <c r="BY70" s="710">
        <f>SUM(AZ70:BC70)</f>
        <v>533.87638789989569</v>
      </c>
      <c r="BZ70" s="710">
        <f>SUM(BD70:BG70)</f>
        <v>1122.4008891987817</v>
      </c>
      <c r="CA70" s="1660">
        <f>SUM(BH70:BK70)</f>
        <v>1171.6171728439294</v>
      </c>
      <c r="CB70" s="1408">
        <f>BZ70-BX70</f>
        <v>475.83980699003075</v>
      </c>
    </row>
    <row r="71" spans="2:80" s="7" customFormat="1" ht="14.25" customHeight="1">
      <c r="B71" s="1354" t="s">
        <v>390</v>
      </c>
      <c r="C71" s="380"/>
      <c r="D71" s="500"/>
      <c r="E71" s="500"/>
      <c r="F71" s="500"/>
      <c r="G71" s="501"/>
      <c r="H71" s="606"/>
      <c r="I71" s="500"/>
      <c r="J71" s="500"/>
      <c r="K71" s="501"/>
      <c r="L71" s="606"/>
      <c r="M71" s="500"/>
      <c r="N71" s="500"/>
      <c r="O71" s="501"/>
      <c r="P71" s="606"/>
      <c r="Q71" s="500"/>
      <c r="R71" s="500"/>
      <c r="S71" s="501"/>
      <c r="T71" s="514"/>
      <c r="U71" s="52">
        <f t="shared" ref="U71:AU71" si="316">U70/T70-1</f>
        <v>-0.20120723406148511</v>
      </c>
      <c r="V71" s="52">
        <f t="shared" si="316"/>
        <v>0.2398753736187631</v>
      </c>
      <c r="W71" s="499">
        <f t="shared" si="316"/>
        <v>0.1105471652844694</v>
      </c>
      <c r="X71" s="514">
        <f t="shared" si="316"/>
        <v>0.30190560334937544</v>
      </c>
      <c r="Y71" s="52">
        <f t="shared" si="316"/>
        <v>0.21086807928913198</v>
      </c>
      <c r="Z71" s="52">
        <f t="shared" si="316"/>
        <v>-1.4856439073204553E-2</v>
      </c>
      <c r="AA71" s="499">
        <f t="shared" si="316"/>
        <v>-5.1122571235088787E-2</v>
      </c>
      <c r="AB71" s="52">
        <f t="shared" si="316"/>
        <v>-7.1125848174092621E-2</v>
      </c>
      <c r="AC71" s="52">
        <f t="shared" si="316"/>
        <v>-8.8652482269503396E-3</v>
      </c>
      <c r="AD71" s="52">
        <f t="shared" si="316"/>
        <v>0.17352415026833645</v>
      </c>
      <c r="AE71" s="499">
        <f t="shared" si="316"/>
        <v>0.12195121951219501</v>
      </c>
      <c r="AF71" s="52">
        <f t="shared" si="316"/>
        <v>-6.5975226449275337E-2</v>
      </c>
      <c r="AG71" s="52">
        <f t="shared" si="316"/>
        <v>-9.8522629804482564E-2</v>
      </c>
      <c r="AH71" s="52">
        <f t="shared" si="316"/>
        <v>-0.11953914088865292</v>
      </c>
      <c r="AI71" s="499">
        <f t="shared" si="316"/>
        <v>-0.18067512645467354</v>
      </c>
      <c r="AJ71" s="52">
        <f t="shared" si="316"/>
        <v>-6.369111500000002E-2</v>
      </c>
      <c r="AK71" s="52">
        <f t="shared" si="316"/>
        <v>0.24168938236410487</v>
      </c>
      <c r="AL71" s="52">
        <f t="shared" si="316"/>
        <v>-0.11128888000000015</v>
      </c>
      <c r="AM71" s="499">
        <f t="shared" si="316"/>
        <v>-0.32005495900000003</v>
      </c>
      <c r="AN71" s="52">
        <f t="shared" si="316"/>
        <v>3.0000000000000027E-2</v>
      </c>
      <c r="AO71" s="52">
        <f t="shared" si="316"/>
        <v>0.17700000000000005</v>
      </c>
      <c r="AP71" s="52">
        <f t="shared" si="316"/>
        <v>9.400000000000075E-3</v>
      </c>
      <c r="AQ71" s="499">
        <f t="shared" si="316"/>
        <v>3.0200000000000005E-2</v>
      </c>
      <c r="AR71" s="52">
        <f t="shared" si="316"/>
        <v>-0.20999999999999996</v>
      </c>
      <c r="AS71" s="52">
        <f t="shared" si="316"/>
        <v>-0.39279999999999993</v>
      </c>
      <c r="AT71" s="52">
        <f t="shared" si="316"/>
        <v>-2.0000000000000129E-2</v>
      </c>
      <c r="AU71" s="499">
        <f t="shared" si="316"/>
        <v>0.17300000000000004</v>
      </c>
      <c r="AV71" s="52">
        <f t="shared" ref="AV71" si="317">AV70/AU70-1</f>
        <v>0.1514000000000002</v>
      </c>
      <c r="AW71" s="52">
        <f t="shared" ref="AW71:AZ71" si="318">AW70/AV70-1</f>
        <v>2.0099999999999785E-2</v>
      </c>
      <c r="AX71" s="52">
        <f t="shared" si="318"/>
        <v>6.3654999999999795E-2</v>
      </c>
      <c r="AY71" s="1545">
        <f t="shared" si="318"/>
        <v>8.8999999999999968E-2</v>
      </c>
      <c r="AZ71" s="52">
        <f t="shared" si="318"/>
        <v>-9.5639999999999836E-2</v>
      </c>
      <c r="BA71" s="52">
        <f t="shared" ref="BA71" si="319">BA70/AZ70-1</f>
        <v>-0.28750000000000009</v>
      </c>
      <c r="BB71" s="52">
        <f t="shared" ref="BB71" si="320">BB70/BA70-1</f>
        <v>-9.9999999999999978E-2</v>
      </c>
      <c r="BC71" s="52">
        <f t="shared" ref="BC71" si="321">BC70/BB70-1</f>
        <v>0.49499999999999988</v>
      </c>
      <c r="BD71" s="504">
        <f t="shared" ref="BD71" si="322">BD70/BC70-1</f>
        <v>0.38880000000000026</v>
      </c>
      <c r="BE71" s="52">
        <f t="shared" ref="BE71" si="323">BE70/BD70-1</f>
        <v>0.33750000000000013</v>
      </c>
      <c r="BF71" s="52">
        <f t="shared" ref="BF71" si="324">BF70/BE70-1</f>
        <v>8.1500000000000128E-2</v>
      </c>
      <c r="BG71" s="1545">
        <f t="shared" ref="BG71" si="325">BG70/BF70-1</f>
        <v>0</v>
      </c>
      <c r="BH71" s="504">
        <f t="shared" ref="BH71" si="326">BH70/BG70-1</f>
        <v>-3.4749999999999948E-2</v>
      </c>
      <c r="BI71" s="52">
        <f t="shared" ref="BI71" si="327">BI70/BH70-1</f>
        <v>-2.9799999999999938E-2</v>
      </c>
      <c r="BJ71" s="52">
        <f t="shared" ref="BJ71" si="328">BJ70/BI70-1</f>
        <v>-1.0000000000010001E-4</v>
      </c>
      <c r="BK71" s="1545">
        <f t="shared" ref="BK71" si="329">BK70/BJ70-1</f>
        <v>0</v>
      </c>
      <c r="BL71" s="244"/>
      <c r="BM71" s="369"/>
      <c r="BN71" s="369"/>
      <c r="BO71" s="369"/>
      <c r="BP71" s="369"/>
      <c r="BQ71" s="369"/>
      <c r="BR71" s="1337">
        <f t="shared" ref="BR71:CA71" si="330">BR70/BQ70-1</f>
        <v>0.67001341354665755</v>
      </c>
      <c r="BS71" s="1337">
        <f t="shared" si="330"/>
        <v>3.3673507132963687E-2</v>
      </c>
      <c r="BT71" s="1337">
        <f t="shared" si="330"/>
        <v>-8.5550457256461265E-2</v>
      </c>
      <c r="BU71" s="1337">
        <f t="shared" si="330"/>
        <v>-0.25460399550328161</v>
      </c>
      <c r="BV71" s="1961">
        <f t="shared" si="330"/>
        <v>-0.13404578673927314</v>
      </c>
      <c r="BW71" s="1338">
        <f t="shared" si="330"/>
        <v>-0.38890869425971519</v>
      </c>
      <c r="BX71" s="1338">
        <f t="shared" si="330"/>
        <v>0.18787974805267416</v>
      </c>
      <c r="BY71" s="957">
        <f t="shared" si="330"/>
        <v>-0.17428313798892314</v>
      </c>
      <c r="BZ71" s="957">
        <f t="shared" si="330"/>
        <v>1.1023609858715782</v>
      </c>
      <c r="CA71" s="1663">
        <f t="shared" si="330"/>
        <v>4.3849113199010858E-2</v>
      </c>
      <c r="CB71" s="1408"/>
    </row>
    <row r="72" spans="2:80" s="7" customFormat="1" ht="14.25" customHeight="1">
      <c r="B72" s="1354" t="s">
        <v>391</v>
      </c>
      <c r="C72" s="380"/>
      <c r="D72" s="500"/>
      <c r="E72" s="500"/>
      <c r="F72" s="500"/>
      <c r="G72" s="501"/>
      <c r="H72" s="500"/>
      <c r="I72" s="500"/>
      <c r="J72" s="500"/>
      <c r="K72" s="501"/>
      <c r="L72" s="500"/>
      <c r="M72" s="500"/>
      <c r="N72" s="500"/>
      <c r="O72" s="501"/>
      <c r="P72" s="500"/>
      <c r="Q72" s="500"/>
      <c r="R72" s="500"/>
      <c r="S72" s="501"/>
      <c r="T72" s="514"/>
      <c r="U72" s="52"/>
      <c r="V72" s="52"/>
      <c r="W72" s="499"/>
      <c r="X72" s="514">
        <f>X70/T70-1</f>
        <v>0.43195266272189348</v>
      </c>
      <c r="Y72" s="52">
        <f t="shared" ref="Y72:AU72" si="331">Y70/U70-1</f>
        <v>1.1706578280110271</v>
      </c>
      <c r="Z72" s="52">
        <f t="shared" si="331"/>
        <v>0.72469719758941276</v>
      </c>
      <c r="AA72" s="499">
        <f t="shared" si="331"/>
        <v>0.47362155647616255</v>
      </c>
      <c r="AB72" s="52">
        <f t="shared" si="331"/>
        <v>5.1388802584974691E-2</v>
      </c>
      <c r="AC72" s="52">
        <f t="shared" si="331"/>
        <v>-0.13940420290970679</v>
      </c>
      <c r="AD72" s="52">
        <f t="shared" si="331"/>
        <v>2.5160181278324867E-2</v>
      </c>
      <c r="AE72" s="499">
        <f t="shared" si="331"/>
        <v>0.21214782933309917</v>
      </c>
      <c r="AF72" s="52">
        <f t="shared" si="331"/>
        <v>0.21886920803782517</v>
      </c>
      <c r="AG72" s="52">
        <f t="shared" si="331"/>
        <v>0.10861112104949311</v>
      </c>
      <c r="AH72" s="52">
        <f t="shared" si="331"/>
        <v>-0.16824148882113821</v>
      </c>
      <c r="AI72" s="499">
        <f t="shared" si="331"/>
        <v>-0.39259352355072463</v>
      </c>
      <c r="AJ72" s="52">
        <f t="shared" si="331"/>
        <v>-0.39110814101429836</v>
      </c>
      <c r="AK72" s="52">
        <f t="shared" si="331"/>
        <v>-0.16131610031818089</v>
      </c>
      <c r="AL72" s="52">
        <f t="shared" si="331"/>
        <v>-0.15345730579723937</v>
      </c>
      <c r="AM72" s="499">
        <f t="shared" si="331"/>
        <v>-0.29746731058311604</v>
      </c>
      <c r="AN72" s="52">
        <f t="shared" si="331"/>
        <v>-0.22716885240345608</v>
      </c>
      <c r="AO72" s="52">
        <f t="shared" si="331"/>
        <v>-0.2674317154993594</v>
      </c>
      <c r="AP72" s="52">
        <f t="shared" si="331"/>
        <v>-0.16794736812233568</v>
      </c>
      <c r="AQ72" s="499">
        <f t="shared" si="331"/>
        <v>0.26066162656280034</v>
      </c>
      <c r="AR72" s="52">
        <f t="shared" si="331"/>
        <v>-3.3084771859599682E-2</v>
      </c>
      <c r="AS72" s="52">
        <f t="shared" si="331"/>
        <v>-0.50118018137055986</v>
      </c>
      <c r="AT72" s="52">
        <f t="shared" si="331"/>
        <v>-0.51570891395199991</v>
      </c>
      <c r="AU72" s="499">
        <f t="shared" si="331"/>
        <v>-0.44857945648000008</v>
      </c>
      <c r="AV72" s="52">
        <f t="shared" ref="AV72" si="332">AV70/AR70-1</f>
        <v>-0.19632200783679987</v>
      </c>
      <c r="AW72" s="52">
        <f t="shared" ref="AW72:AZ72" si="333">AW70/AS70-1</f>
        <v>0.35018432115559994</v>
      </c>
      <c r="AX72" s="52">
        <f t="shared" si="333"/>
        <v>0.46543908583546911</v>
      </c>
      <c r="AY72" s="1545">
        <f t="shared" si="333"/>
        <v>0.36049715641502633</v>
      </c>
      <c r="AZ72" s="52">
        <f t="shared" si="333"/>
        <v>6.8594066680122578E-2</v>
      </c>
      <c r="BA72" s="52">
        <f t="shared" ref="BA72" si="334">BA70/AW70-1</f>
        <v>-0.25362878883483253</v>
      </c>
      <c r="BB72" s="52">
        <f t="shared" ref="BB72" si="335">BB70/AX70-1</f>
        <v>-0.36846619434999994</v>
      </c>
      <c r="BC72" s="52">
        <f t="shared" ref="BC72" si="336">BC70/AY70-1</f>
        <v>-0.1330183292499999</v>
      </c>
      <c r="BD72" s="504">
        <f t="shared" ref="BD72" si="337">BD70/AZ70-1</f>
        <v>0.33139915999999991</v>
      </c>
      <c r="BE72" s="52">
        <f t="shared" ref="BE72" si="338">BE70/BA70-1</f>
        <v>1.4992931600000001</v>
      </c>
      <c r="BF72" s="52">
        <f t="shared" ref="BF72" si="339">BF70/BB70-1</f>
        <v>2.0033172806000006</v>
      </c>
      <c r="BG72" s="1545">
        <f t="shared" ref="BG72" si="340">BG70/BC70-1</f>
        <v>1.0089078800000006</v>
      </c>
      <c r="BH72" s="504">
        <f t="shared" ref="BH72" si="341">BH70/BD70-1</f>
        <v>0.39624015781250033</v>
      </c>
      <c r="BI72" s="52">
        <f t="shared" ref="BI72" si="342">BI70/BE70-1</f>
        <v>1.28091223250002E-2</v>
      </c>
      <c r="BJ72" s="52">
        <f t="shared" ref="BJ72" si="343">BJ70/BF70-1</f>
        <v>-6.3608098554999937E-2</v>
      </c>
      <c r="BK72" s="1545">
        <f t="shared" ref="BK72" si="344">BK70/BG70-1</f>
        <v>-6.3608098554999937E-2</v>
      </c>
      <c r="BL72" s="244"/>
      <c r="BM72" s="369"/>
      <c r="BN72" s="369"/>
      <c r="BO72" s="369"/>
      <c r="BP72" s="369"/>
      <c r="BQ72" s="369"/>
      <c r="BR72" s="369"/>
      <c r="BS72" s="679">
        <v>0.15</v>
      </c>
      <c r="BT72" s="253"/>
      <c r="BU72" s="253"/>
      <c r="BV72" s="1946"/>
      <c r="BW72" s="13"/>
      <c r="BX72" s="13"/>
      <c r="BY72" s="13"/>
      <c r="BZ72" s="13"/>
      <c r="CA72" s="1664"/>
      <c r="CB72" s="1408"/>
    </row>
    <row r="73" spans="2:80" s="7" customFormat="1" ht="14.25" customHeight="1">
      <c r="B73" s="657"/>
      <c r="C73" s="380"/>
      <c r="D73" s="500"/>
      <c r="E73" s="500"/>
      <c r="F73" s="500"/>
      <c r="G73" s="501"/>
      <c r="H73" s="500"/>
      <c r="I73" s="500"/>
      <c r="J73" s="500"/>
      <c r="K73" s="501"/>
      <c r="L73" s="500"/>
      <c r="M73" s="500"/>
      <c r="N73" s="500"/>
      <c r="O73" s="501"/>
      <c r="P73" s="500"/>
      <c r="Q73" s="500"/>
      <c r="R73" s="500"/>
      <c r="S73" s="501"/>
      <c r="T73" s="514"/>
      <c r="U73" s="52"/>
      <c r="V73" s="52"/>
      <c r="W73" s="499"/>
      <c r="X73" s="514"/>
      <c r="Y73" s="52"/>
      <c r="Z73" s="52"/>
      <c r="AA73" s="499"/>
      <c r="AB73" s="52"/>
      <c r="AC73" s="52"/>
      <c r="AD73" s="52"/>
      <c r="AE73" s="499"/>
      <c r="AF73" s="52"/>
      <c r="AG73" s="52"/>
      <c r="AH73" s="52"/>
      <c r="AI73" s="499"/>
      <c r="AJ73" s="52"/>
      <c r="AK73" s="52"/>
      <c r="AL73" s="52"/>
      <c r="AM73" s="499"/>
      <c r="AN73" s="52"/>
      <c r="AO73" s="52"/>
      <c r="AP73" s="52"/>
      <c r="AQ73" s="499"/>
      <c r="AR73" s="52"/>
      <c r="AS73" s="52"/>
      <c r="AT73" s="52"/>
      <c r="AU73" s="499"/>
      <c r="AV73" s="52"/>
      <c r="AW73" s="52"/>
      <c r="AX73" s="52"/>
      <c r="AY73" s="1545"/>
      <c r="AZ73" s="52"/>
      <c r="BA73" s="52"/>
      <c r="BB73" s="52"/>
      <c r="BC73" s="52"/>
      <c r="BD73" s="504"/>
      <c r="BE73" s="52"/>
      <c r="BF73" s="52"/>
      <c r="BG73" s="1545"/>
      <c r="BH73" s="504"/>
      <c r="BI73" s="52"/>
      <c r="BJ73" s="52"/>
      <c r="BK73" s="1545"/>
      <c r="BL73" s="244"/>
      <c r="BM73" s="369"/>
      <c r="BN73" s="369"/>
      <c r="BO73" s="369"/>
      <c r="BP73" s="369"/>
      <c r="BQ73" s="369"/>
      <c r="BR73" s="369"/>
      <c r="BS73" s="253"/>
      <c r="BT73" s="253"/>
      <c r="BU73" s="253"/>
      <c r="BV73" s="1946"/>
      <c r="BW73" s="13"/>
      <c r="BX73" s="13"/>
      <c r="BY73" s="13"/>
      <c r="BZ73" s="13"/>
      <c r="CA73" s="1664"/>
      <c r="CB73" s="1408"/>
    </row>
    <row r="74" spans="2:80" s="7" customFormat="1" ht="14.25" customHeight="1">
      <c r="B74" s="755" t="s">
        <v>413</v>
      </c>
      <c r="C74" s="768"/>
      <c r="D74" s="769"/>
      <c r="E74" s="769"/>
      <c r="F74" s="769"/>
      <c r="G74" s="770"/>
      <c r="H74" s="769"/>
      <c r="I74" s="769"/>
      <c r="J74" s="769"/>
      <c r="K74" s="770"/>
      <c r="L74" s="769"/>
      <c r="M74" s="769"/>
      <c r="N74" s="769"/>
      <c r="O74" s="770"/>
      <c r="P74" s="769"/>
      <c r="Q74" s="769"/>
      <c r="R74" s="769"/>
      <c r="S74" s="770"/>
      <c r="T74" s="771"/>
      <c r="U74" s="772"/>
      <c r="V74" s="772"/>
      <c r="W74" s="773"/>
      <c r="X74" s="771"/>
      <c r="Y74" s="772"/>
      <c r="Z74" s="772"/>
      <c r="AA74" s="773"/>
      <c r="AB74" s="772"/>
      <c r="AC74" s="772"/>
      <c r="AD74" s="772"/>
      <c r="AE74" s="773"/>
      <c r="AF74" s="772"/>
      <c r="AG74" s="772"/>
      <c r="AH74" s="772"/>
      <c r="AI74" s="773"/>
      <c r="AJ74" s="772"/>
      <c r="AK74" s="772"/>
      <c r="AL74" s="772"/>
      <c r="AM74" s="773"/>
      <c r="AN74" s="772"/>
      <c r="AO74" s="772"/>
      <c r="AP74" s="772"/>
      <c r="AQ74" s="773"/>
      <c r="AR74" s="772"/>
      <c r="AS74" s="772"/>
      <c r="AT74" s="772"/>
      <c r="AU74" s="773"/>
      <c r="AV74" s="772"/>
      <c r="AW74" s="772"/>
      <c r="AX74" s="772"/>
      <c r="AY74" s="1560"/>
      <c r="AZ74" s="772"/>
      <c r="BA74" s="772"/>
      <c r="BB74" s="772"/>
      <c r="BC74" s="772"/>
      <c r="BD74" s="1742"/>
      <c r="BE74" s="772"/>
      <c r="BF74" s="772"/>
      <c r="BG74" s="1560"/>
      <c r="BH74" s="1742"/>
      <c r="BI74" s="772"/>
      <c r="BJ74" s="772"/>
      <c r="BK74" s="1560"/>
      <c r="BL74" s="244"/>
      <c r="BM74" s="774"/>
      <c r="BN74" s="774"/>
      <c r="BO74" s="774"/>
      <c r="BP74" s="774"/>
      <c r="BQ74" s="774"/>
      <c r="BR74" s="774"/>
      <c r="BS74" s="775"/>
      <c r="BT74" s="775"/>
      <c r="BU74" s="775"/>
      <c r="BV74" s="1963"/>
      <c r="BW74" s="111"/>
      <c r="BX74" s="111"/>
      <c r="BY74" s="111"/>
      <c r="BZ74" s="111"/>
      <c r="CA74" s="1964"/>
      <c r="CB74" s="1408"/>
    </row>
    <row r="75" spans="2:80" s="10" customFormat="1" ht="14.25" customHeight="1">
      <c r="B75" s="659"/>
      <c r="C75" s="293"/>
      <c r="D75" s="608"/>
      <c r="E75" s="608"/>
      <c r="F75" s="608"/>
      <c r="G75" s="609"/>
      <c r="H75" s="608"/>
      <c r="I75" s="608"/>
      <c r="J75" s="608"/>
      <c r="K75" s="609"/>
      <c r="L75" s="608"/>
      <c r="M75" s="608"/>
      <c r="N75" s="608"/>
      <c r="O75" s="609"/>
      <c r="P75" s="608"/>
      <c r="Q75" s="608"/>
      <c r="R75" s="608"/>
      <c r="S75" s="609"/>
      <c r="T75" s="519"/>
      <c r="U75" s="52"/>
      <c r="V75" s="52"/>
      <c r="W75" s="499"/>
      <c r="X75" s="519"/>
      <c r="Y75" s="52"/>
      <c r="Z75" s="52"/>
      <c r="AA75" s="499"/>
      <c r="AB75" s="519"/>
      <c r="AC75" s="52"/>
      <c r="AD75" s="52"/>
      <c r="AE75" s="499"/>
      <c r="AF75" s="1000"/>
      <c r="AG75" s="1000"/>
      <c r="AH75" s="1000"/>
      <c r="AI75" s="1001"/>
      <c r="AJ75" s="519"/>
      <c r="AK75" s="519"/>
      <c r="AL75" s="519"/>
      <c r="AM75" s="520"/>
      <c r="AN75" s="519"/>
      <c r="AO75" s="519"/>
      <c r="AP75" s="519"/>
      <c r="AQ75" s="520"/>
      <c r="AR75" s="519"/>
      <c r="AS75" s="519"/>
      <c r="AT75" s="519"/>
      <c r="AU75" s="520"/>
      <c r="AV75" s="519"/>
      <c r="AW75" s="519"/>
      <c r="AX75" s="1533"/>
      <c r="AY75" s="1534"/>
      <c r="AZ75" s="1533"/>
      <c r="BA75" s="519"/>
      <c r="BB75" s="519"/>
      <c r="BC75" s="519"/>
      <c r="BD75" s="518"/>
      <c r="BE75" s="519"/>
      <c r="BF75" s="519"/>
      <c r="BG75" s="1719"/>
      <c r="BH75" s="518"/>
      <c r="BI75" s="519"/>
      <c r="BJ75" s="519"/>
      <c r="BK75" s="1719"/>
      <c r="BL75" s="43"/>
      <c r="BM75" s="378"/>
      <c r="BN75" s="378"/>
      <c r="BO75" s="378"/>
      <c r="BP75" s="378"/>
      <c r="BQ75" s="378"/>
      <c r="BR75" s="378"/>
      <c r="BS75" s="378"/>
      <c r="BT75" s="378"/>
      <c r="BU75" s="378"/>
      <c r="BV75" s="1919"/>
      <c r="BW75" s="69"/>
      <c r="BX75" s="69"/>
      <c r="BY75" s="69"/>
      <c r="BZ75" s="69"/>
      <c r="CA75" s="1965"/>
      <c r="CB75" s="1408"/>
    </row>
    <row r="76" spans="2:80" s="10" customFormat="1" ht="14.25" customHeight="1">
      <c r="B76" s="1358" t="s">
        <v>655</v>
      </c>
      <c r="C76" s="293"/>
      <c r="D76" s="608"/>
      <c r="E76" s="608"/>
      <c r="F76" s="608"/>
      <c r="G76" s="609"/>
      <c r="H76" s="608"/>
      <c r="I76" s="608"/>
      <c r="J76" s="608"/>
      <c r="K76" s="609"/>
      <c r="L76" s="608"/>
      <c r="M76" s="608"/>
      <c r="N76" s="608"/>
      <c r="O76" s="609"/>
      <c r="P76" s="608"/>
      <c r="Q76" s="608"/>
      <c r="R76" s="608"/>
      <c r="S76" s="609"/>
      <c r="T76" s="519"/>
      <c r="U76" s="52"/>
      <c r="V76" s="52"/>
      <c r="W76" s="499"/>
      <c r="X76" s="519"/>
      <c r="Y76" s="52"/>
      <c r="Z76" s="52"/>
      <c r="AA76" s="499"/>
      <c r="AB76" s="519"/>
      <c r="AC76" s="52"/>
      <c r="AD76" s="52"/>
      <c r="AE76" s="499"/>
      <c r="AF76" s="1000"/>
      <c r="AG76" s="1000"/>
      <c r="AH76" s="1000"/>
      <c r="AI76" s="1001"/>
      <c r="AJ76" s="519"/>
      <c r="AK76" s="519"/>
      <c r="AL76" s="519"/>
      <c r="AM76" s="520"/>
      <c r="AN76" s="519"/>
      <c r="AO76" s="519"/>
      <c r="AP76" s="519"/>
      <c r="AQ76" s="520"/>
      <c r="AR76" s="519"/>
      <c r="AS76" s="519"/>
      <c r="AT76" s="519"/>
      <c r="AU76" s="520"/>
      <c r="AV76" s="519"/>
      <c r="AW76" s="519"/>
      <c r="AX76" s="1533"/>
      <c r="AY76" s="1534"/>
      <c r="AZ76" s="1533"/>
      <c r="BA76" s="519"/>
      <c r="BB76" s="519"/>
      <c r="BC76" s="519"/>
      <c r="BD76" s="518"/>
      <c r="BE76" s="519"/>
      <c r="BF76" s="519"/>
      <c r="BG76" s="1719"/>
      <c r="BH76" s="518"/>
      <c r="BI76" s="519"/>
      <c r="BJ76" s="519"/>
      <c r="BK76" s="1719"/>
      <c r="BL76" s="43"/>
      <c r="BM76" s="378"/>
      <c r="BN76" s="378"/>
      <c r="BO76" s="378"/>
      <c r="BP76" s="378"/>
      <c r="BQ76" s="378"/>
      <c r="BR76" s="378"/>
      <c r="BS76" s="378"/>
      <c r="BT76" s="378"/>
      <c r="BU76" s="378"/>
      <c r="BV76" s="1919"/>
      <c r="BW76" s="69"/>
      <c r="BX76" s="69"/>
      <c r="BY76" s="69"/>
      <c r="BZ76" s="69"/>
      <c r="CA76" s="1965"/>
      <c r="CB76" s="1408"/>
    </row>
    <row r="77" spans="2:80" s="304" customFormat="1" ht="14.25" customHeight="1">
      <c r="B77" s="1411" t="s">
        <v>344</v>
      </c>
      <c r="C77" s="782"/>
      <c r="D77" s="784"/>
      <c r="E77" s="784"/>
      <c r="F77" s="784"/>
      <c r="G77" s="785"/>
      <c r="H77" s="783"/>
      <c r="I77" s="784"/>
      <c r="J77" s="784"/>
      <c r="K77" s="785"/>
      <c r="L77" s="783"/>
      <c r="M77" s="784"/>
      <c r="N77" s="784"/>
      <c r="O77" s="785"/>
      <c r="P77" s="783"/>
      <c r="Q77" s="784"/>
      <c r="R77" s="784"/>
      <c r="S77" s="785"/>
      <c r="T77" s="1189">
        <v>275</v>
      </c>
      <c r="U77" s="1189">
        <v>285</v>
      </c>
      <c r="V77" s="1189">
        <v>308</v>
      </c>
      <c r="W77" s="1190">
        <v>370</v>
      </c>
      <c r="X77" s="1189">
        <v>389</v>
      </c>
      <c r="Y77" s="1189">
        <v>274</v>
      </c>
      <c r="Z77" s="1189">
        <v>275</v>
      </c>
      <c r="AA77" s="1190">
        <v>288</v>
      </c>
      <c r="AB77" s="1189">
        <v>288</v>
      </c>
      <c r="AC77" s="1189">
        <v>244</v>
      </c>
      <c r="AD77" s="1189">
        <v>255</v>
      </c>
      <c r="AE77" s="1190">
        <v>290</v>
      </c>
      <c r="AF77" s="1189">
        <v>286</v>
      </c>
      <c r="AG77" s="1189">
        <v>240</v>
      </c>
      <c r="AH77" s="1189">
        <v>170</v>
      </c>
      <c r="AI77" s="1190">
        <v>160</v>
      </c>
      <c r="AJ77" s="495">
        <f t="shared" ref="AJ77:AU77" si="345">+AI77*(1+AJ78)</f>
        <v>159.36000000000001</v>
      </c>
      <c r="AK77" s="495">
        <f t="shared" si="345"/>
        <v>160.95360000000002</v>
      </c>
      <c r="AL77" s="495">
        <f t="shared" si="345"/>
        <v>160.95360000000002</v>
      </c>
      <c r="AM77" s="496">
        <f t="shared" si="345"/>
        <v>162.56313600000001</v>
      </c>
      <c r="AN77" s="495">
        <f t="shared" si="345"/>
        <v>154.43497920000001</v>
      </c>
      <c r="AO77" s="495">
        <f t="shared" si="345"/>
        <v>151.346279616</v>
      </c>
      <c r="AP77" s="495">
        <f t="shared" si="345"/>
        <v>152.85974241216002</v>
      </c>
      <c r="AQ77" s="496">
        <f t="shared" si="345"/>
        <v>154.38833983628163</v>
      </c>
      <c r="AR77" s="495">
        <f t="shared" si="345"/>
        <v>131.23008886083937</v>
      </c>
      <c r="AS77" s="495">
        <f t="shared" si="345"/>
        <v>65.615044430419687</v>
      </c>
      <c r="AT77" s="495">
        <f t="shared" si="345"/>
        <v>68.895796651940671</v>
      </c>
      <c r="AU77" s="496">
        <f t="shared" si="345"/>
        <v>58.441665931057329</v>
      </c>
      <c r="AV77" s="495">
        <f t="shared" ref="AV77" si="346">+AU77*(1+AV78)</f>
        <v>70.129999117268795</v>
      </c>
      <c r="AW77" s="495">
        <f t="shared" ref="AW77:AZ77" si="347">+AV77*(1+AW78)</f>
        <v>84.155998940722554</v>
      </c>
      <c r="AX77" s="1561">
        <f t="shared" si="347"/>
        <v>90.972634854921083</v>
      </c>
      <c r="AY77" s="1562">
        <f t="shared" si="347"/>
        <v>95.521266597667136</v>
      </c>
      <c r="AZ77" s="1561">
        <f t="shared" si="347"/>
        <v>105.07339325743386</v>
      </c>
      <c r="BA77" s="495">
        <f t="shared" ref="BA77" si="348">+AZ77*(1+BA78)</f>
        <v>115.58073258317727</v>
      </c>
      <c r="BB77" s="495">
        <f t="shared" ref="BB77" si="349">+BA77*(1+BB78)</f>
        <v>165.28044759394348</v>
      </c>
      <c r="BC77" s="495">
        <f t="shared" ref="BC77" si="350">+BB77*(1+BC78)</f>
        <v>198.33653711273217</v>
      </c>
      <c r="BD77" s="1743">
        <f t="shared" ref="BD77" si="351">+BC77*(1+BD78)</f>
        <v>228.08701767964197</v>
      </c>
      <c r="BE77" s="495">
        <f t="shared" ref="BE77" si="352">+BD77*(1+BE78)</f>
        <v>245.19354400561511</v>
      </c>
      <c r="BF77" s="495">
        <f t="shared" ref="BF77" si="353">+BE77*(1+BF78)</f>
        <v>257.45322120589589</v>
      </c>
      <c r="BG77" s="1744">
        <f t="shared" ref="BG77" si="354">+BF77*(1+BG78)</f>
        <v>265.17681784207275</v>
      </c>
      <c r="BH77" s="1743">
        <f t="shared" ref="BH77" si="355">+BG77*(1+BH78)</f>
        <v>304.95334051838364</v>
      </c>
      <c r="BI77" s="495">
        <f t="shared" ref="BI77" si="356">+BH77*(1+BI78)</f>
        <v>350.69634159614117</v>
      </c>
      <c r="BJ77" s="495">
        <f t="shared" ref="BJ77" si="357">+BI77*(1+BJ78)</f>
        <v>403.30079283556233</v>
      </c>
      <c r="BK77" s="1744">
        <f t="shared" ref="BK77" si="358">+BJ77*(1+BK78)</f>
        <v>463.79591176089667</v>
      </c>
      <c r="BL77" s="786"/>
      <c r="BM77" s="787"/>
      <c r="BN77" s="787"/>
      <c r="BO77" s="787"/>
      <c r="BP77" s="787"/>
      <c r="BQ77" s="710">
        <f>SUM(T77:W77)</f>
        <v>1238</v>
      </c>
      <c r="BR77" s="753">
        <f>SUM(X77:AA77)</f>
        <v>1226</v>
      </c>
      <c r="BS77" s="753">
        <f>SUM(AB77:AE77)</f>
        <v>1077</v>
      </c>
      <c r="BT77" s="753">
        <f>SUM(AF77:AI77)</f>
        <v>856</v>
      </c>
      <c r="BU77" s="753">
        <f>SUM(AJ77:AM77)</f>
        <v>643.8303360000001</v>
      </c>
      <c r="BV77" s="1948">
        <f>+SUM(AN77:AQ77)</f>
        <v>613.02934106444161</v>
      </c>
      <c r="BW77" s="302">
        <f>SUM(AR77:AU77)</f>
        <v>324.18259587425706</v>
      </c>
      <c r="BX77" s="302">
        <f>SUM(AV77:AY77)</f>
        <v>340.77989951057958</v>
      </c>
      <c r="BY77" s="710">
        <f>SUM(AZ77:BC77)</f>
        <v>584.27111054728675</v>
      </c>
      <c r="BZ77" s="710">
        <f>SUM(BD77:BG77)</f>
        <v>995.91060073322569</v>
      </c>
      <c r="CA77" s="1660">
        <f>SUM(BH77:BK77)</f>
        <v>1522.7463867109836</v>
      </c>
      <c r="CB77" s="1408"/>
    </row>
    <row r="78" spans="2:80" s="7" customFormat="1" ht="14.25" customHeight="1">
      <c r="B78" s="1354" t="s">
        <v>390</v>
      </c>
      <c r="C78" s="380"/>
      <c r="D78" s="500"/>
      <c r="E78" s="500"/>
      <c r="F78" s="500"/>
      <c r="G78" s="501"/>
      <c r="H78" s="606"/>
      <c r="I78" s="500"/>
      <c r="J78" s="500"/>
      <c r="K78" s="501"/>
      <c r="L78" s="606"/>
      <c r="M78" s="500"/>
      <c r="N78" s="500"/>
      <c r="O78" s="501"/>
      <c r="P78" s="606"/>
      <c r="Q78" s="500"/>
      <c r="R78" s="500"/>
      <c r="S78" s="501"/>
      <c r="T78" s="52"/>
      <c r="U78" s="52">
        <f t="shared" ref="U78:AA78" si="359">U77/T77-1</f>
        <v>3.6363636363636376E-2</v>
      </c>
      <c r="V78" s="52">
        <f t="shared" si="359"/>
        <v>8.0701754385964941E-2</v>
      </c>
      <c r="W78" s="499">
        <f t="shared" si="359"/>
        <v>0.20129870129870131</v>
      </c>
      <c r="X78" s="52">
        <f t="shared" si="359"/>
        <v>5.1351351351351271E-2</v>
      </c>
      <c r="Y78" s="52">
        <f t="shared" si="359"/>
        <v>-0.29562982005141392</v>
      </c>
      <c r="Z78" s="52">
        <f t="shared" si="359"/>
        <v>3.6496350364962904E-3</v>
      </c>
      <c r="AA78" s="499">
        <f t="shared" si="359"/>
        <v>4.7272727272727355E-2</v>
      </c>
      <c r="AB78" s="52">
        <f t="shared" ref="AB78:AI78" si="360">AB77/AA77-1</f>
        <v>0</v>
      </c>
      <c r="AC78" s="52">
        <f t="shared" si="360"/>
        <v>-0.15277777777777779</v>
      </c>
      <c r="AD78" s="52">
        <f t="shared" si="360"/>
        <v>4.508196721311486E-2</v>
      </c>
      <c r="AE78" s="499">
        <f t="shared" si="360"/>
        <v>0.13725490196078427</v>
      </c>
      <c r="AF78" s="52">
        <f t="shared" si="360"/>
        <v>-1.379310344827589E-2</v>
      </c>
      <c r="AG78" s="52">
        <f t="shared" si="360"/>
        <v>-0.16083916083916083</v>
      </c>
      <c r="AH78" s="52">
        <f t="shared" si="360"/>
        <v>-0.29166666666666663</v>
      </c>
      <c r="AI78" s="499">
        <f t="shared" si="360"/>
        <v>-5.8823529411764719E-2</v>
      </c>
      <c r="AJ78" s="1176">
        <v>-4.0000000000000001E-3</v>
      </c>
      <c r="AK78" s="1176">
        <v>0.01</v>
      </c>
      <c r="AL78" s="1176">
        <v>0</v>
      </c>
      <c r="AM78" s="1177">
        <v>0.01</v>
      </c>
      <c r="AN78" s="1176">
        <v>-0.05</v>
      </c>
      <c r="AO78" s="1176">
        <v>-0.02</v>
      </c>
      <c r="AP78" s="1176">
        <v>0.01</v>
      </c>
      <c r="AQ78" s="1177">
        <v>0.01</v>
      </c>
      <c r="AR78" s="1176">
        <v>-0.15</v>
      </c>
      <c r="AS78" s="1176">
        <v>-0.5</v>
      </c>
      <c r="AT78" s="1176">
        <v>0.05</v>
      </c>
      <c r="AU78" s="1177">
        <v>-0.15173829506170405</v>
      </c>
      <c r="AV78" s="1176">
        <v>0.2</v>
      </c>
      <c r="AW78" s="1176">
        <v>0.2</v>
      </c>
      <c r="AX78" s="1176">
        <v>8.1000000000000003E-2</v>
      </c>
      <c r="AY78" s="1553">
        <v>0.05</v>
      </c>
      <c r="AZ78" s="1702">
        <v>0.1</v>
      </c>
      <c r="BA78" s="1176">
        <v>0.1</v>
      </c>
      <c r="BB78" s="1176">
        <v>0.43</v>
      </c>
      <c r="BC78" s="1702">
        <v>0.2</v>
      </c>
      <c r="BD78" s="1213">
        <v>0.15</v>
      </c>
      <c r="BE78" s="1702">
        <v>7.4999999999999997E-2</v>
      </c>
      <c r="BF78" s="1863">
        <v>0.05</v>
      </c>
      <c r="BG78" s="1863">
        <v>0.03</v>
      </c>
      <c r="BH78" s="1864">
        <v>0.15</v>
      </c>
      <c r="BI78" s="1863">
        <v>0.15</v>
      </c>
      <c r="BJ78" s="1863">
        <v>0.15</v>
      </c>
      <c r="BK78" s="1863">
        <v>0.15</v>
      </c>
      <c r="BL78" s="244"/>
      <c r="BM78" s="369"/>
      <c r="BN78" s="369"/>
      <c r="BO78" s="369"/>
      <c r="BP78" s="369"/>
      <c r="BQ78" s="369"/>
      <c r="BR78" s="1337">
        <f t="shared" ref="BR78:CA78" si="361">BR77/BQ77-1</f>
        <v>-9.6930533117932649E-3</v>
      </c>
      <c r="BS78" s="1337">
        <f t="shared" si="361"/>
        <v>-0.12153344208809136</v>
      </c>
      <c r="BT78" s="1337">
        <f t="shared" si="361"/>
        <v>-0.20519962859795726</v>
      </c>
      <c r="BU78" s="1337">
        <f t="shared" si="361"/>
        <v>-0.24786175700934565</v>
      </c>
      <c r="BV78" s="1961">
        <f t="shared" si="361"/>
        <v>-4.7840235561001143E-2</v>
      </c>
      <c r="BW78" s="1338">
        <f t="shared" si="361"/>
        <v>-0.47117931531407886</v>
      </c>
      <c r="BX78" s="1338">
        <f t="shared" si="361"/>
        <v>5.1197392603890002E-2</v>
      </c>
      <c r="BY78" s="1338">
        <f t="shared" si="361"/>
        <v>0.71451165807139372</v>
      </c>
      <c r="BZ78" s="1338">
        <f t="shared" si="361"/>
        <v>0.70453507413768279</v>
      </c>
      <c r="CA78" s="1661">
        <f t="shared" si="361"/>
        <v>0.52899907440475302</v>
      </c>
      <c r="CB78" s="1408"/>
    </row>
    <row r="79" spans="2:80" s="789" customFormat="1" ht="14.25" customHeight="1">
      <c r="B79" s="1355" t="s">
        <v>472</v>
      </c>
      <c r="C79" s="790"/>
      <c r="D79" s="792"/>
      <c r="E79" s="792"/>
      <c r="F79" s="792"/>
      <c r="G79" s="793"/>
      <c r="H79" s="791"/>
      <c r="I79" s="792"/>
      <c r="J79" s="792"/>
      <c r="K79" s="793"/>
      <c r="L79" s="791"/>
      <c r="M79" s="792"/>
      <c r="N79" s="792"/>
      <c r="O79" s="793"/>
      <c r="P79" s="791"/>
      <c r="Q79" s="792"/>
      <c r="R79" s="792"/>
      <c r="S79" s="793"/>
      <c r="T79" s="1191">
        <v>428.95272727272726</v>
      </c>
      <c r="U79" s="1191">
        <v>378.65929824561402</v>
      </c>
      <c r="V79" s="1191">
        <v>380.94620783392202</v>
      </c>
      <c r="W79" s="1192">
        <v>393.48889258637649</v>
      </c>
      <c r="X79" s="1191">
        <v>373</v>
      </c>
      <c r="Y79" s="1191">
        <v>511</v>
      </c>
      <c r="Z79" s="1191">
        <v>506</v>
      </c>
      <c r="AA79" s="1192">
        <v>418</v>
      </c>
      <c r="AB79" s="1191">
        <v>400</v>
      </c>
      <c r="AC79" s="1191">
        <v>336.94446721311476</v>
      </c>
      <c r="AD79" s="1191">
        <v>450</v>
      </c>
      <c r="AE79" s="1192">
        <v>439.47744360902254</v>
      </c>
      <c r="AF79" s="1191">
        <v>394.61188811188805</v>
      </c>
      <c r="AG79" s="1191">
        <v>372.88020833333331</v>
      </c>
      <c r="AH79" s="1191">
        <v>320</v>
      </c>
      <c r="AI79" s="1192">
        <v>295</v>
      </c>
      <c r="AJ79" s="633">
        <f t="shared" ref="AJ79:AU79" si="362">+AI79*(1+AJ80)</f>
        <v>296.47499999999997</v>
      </c>
      <c r="AK79" s="633">
        <f t="shared" si="362"/>
        <v>296.47499999999997</v>
      </c>
      <c r="AL79" s="633">
        <f t="shared" si="362"/>
        <v>296.47499999999997</v>
      </c>
      <c r="AM79" s="634">
        <f t="shared" si="362"/>
        <v>296.47499999999997</v>
      </c>
      <c r="AN79" s="633">
        <f t="shared" si="362"/>
        <v>299.43974999999995</v>
      </c>
      <c r="AO79" s="633">
        <f t="shared" si="362"/>
        <v>302.43414749999994</v>
      </c>
      <c r="AP79" s="633">
        <f t="shared" si="362"/>
        <v>302.43414749999994</v>
      </c>
      <c r="AQ79" s="634">
        <f t="shared" si="362"/>
        <v>302.43414749999994</v>
      </c>
      <c r="AR79" s="633">
        <f t="shared" si="362"/>
        <v>281.94753445024332</v>
      </c>
      <c r="AS79" s="633">
        <f t="shared" si="362"/>
        <v>267.85015772773113</v>
      </c>
      <c r="AT79" s="633">
        <f t="shared" si="362"/>
        <v>267.85015772773113</v>
      </c>
      <c r="AU79" s="634">
        <f t="shared" si="362"/>
        <v>267.85015772773113</v>
      </c>
      <c r="AV79" s="633">
        <f t="shared" ref="AV79" si="363">+AU79*(1+AV80)</f>
        <v>270.52865930500843</v>
      </c>
      <c r="AW79" s="633">
        <f t="shared" ref="AW79:AZ79" si="364">+AV79*(1+AW80)</f>
        <v>273.23394589805849</v>
      </c>
      <c r="AX79" s="1563">
        <f t="shared" si="364"/>
        <v>273.23394589805849</v>
      </c>
      <c r="AY79" s="1564">
        <f t="shared" si="364"/>
        <v>273.23394589805849</v>
      </c>
      <c r="AZ79" s="1563">
        <f t="shared" si="364"/>
        <v>278.69862481601967</v>
      </c>
      <c r="BA79" s="633">
        <f t="shared" ref="BA79" si="365">+AZ79*(1+BA80)</f>
        <v>306.56848729762169</v>
      </c>
      <c r="BB79" s="633">
        <f t="shared" ref="BB79" si="366">+BA79*(1+BB80)</f>
        <v>398.53903348690818</v>
      </c>
      <c r="BC79" s="633">
        <f t="shared" ref="BC79" si="367">+BB79*(1+BC80)</f>
        <v>438.39293683559902</v>
      </c>
      <c r="BD79" s="1745">
        <f t="shared" ref="BD79" si="368">+BC79*(1+BD80)</f>
        <v>451.54472494066698</v>
      </c>
      <c r="BE79" s="633">
        <f t="shared" ref="BE79" si="369">+BD79*(1+BE80)</f>
        <v>465.091066688887</v>
      </c>
      <c r="BF79" s="633">
        <f t="shared" ref="BF79" si="370">+BE79*(1+BF80)</f>
        <v>465.091066688887</v>
      </c>
      <c r="BG79" s="1746">
        <f t="shared" ref="BG79" si="371">+BF79*(1+BG80)</f>
        <v>465.091066688887</v>
      </c>
      <c r="BH79" s="1745">
        <f t="shared" ref="BH79" si="372">+BG79*(1+BH80)</f>
        <v>479.04379868955363</v>
      </c>
      <c r="BI79" s="633">
        <f t="shared" ref="BI79" si="373">+BH79*(1+BI80)</f>
        <v>493.41511265024025</v>
      </c>
      <c r="BJ79" s="633">
        <f t="shared" ref="BJ79" si="374">+BI79*(1+BJ80)</f>
        <v>493.41511265024025</v>
      </c>
      <c r="BK79" s="1746">
        <f t="shared" ref="BK79" si="375">+BJ79*(1+BK80)</f>
        <v>493.41511265024025</v>
      </c>
      <c r="BL79" s="794"/>
      <c r="BM79" s="795"/>
      <c r="BN79" s="795"/>
      <c r="BO79" s="795"/>
      <c r="BP79" s="795"/>
      <c r="BQ79" s="796">
        <f t="shared" ref="BQ79:BY79" si="376">+BQ81/BQ77*1000</f>
        <v>394.83216661535317</v>
      </c>
      <c r="BR79" s="796">
        <f t="shared" si="376"/>
        <v>444.24551386623165</v>
      </c>
      <c r="BS79" s="796">
        <f t="shared" si="376"/>
        <v>408.1828306839522</v>
      </c>
      <c r="BT79" s="796">
        <f t="shared" si="376"/>
        <v>355.08206775700921</v>
      </c>
      <c r="BU79" s="796">
        <f t="shared" si="376"/>
        <v>296.47499999999991</v>
      </c>
      <c r="BV79" s="1966">
        <f t="shared" si="376"/>
        <v>301.67979581623547</v>
      </c>
      <c r="BW79" s="796">
        <f t="shared" si="376"/>
        <v>273.55681818250019</v>
      </c>
      <c r="BX79" s="796">
        <f t="shared" si="376"/>
        <v>272.67721779685581</v>
      </c>
      <c r="BY79" s="796">
        <f t="shared" si="376"/>
        <v>372.32247744653216</v>
      </c>
      <c r="BZ79" s="796">
        <f t="shared" ref="BZ79:CA79" si="377">+BZ81/BZ77*1000</f>
        <v>461.9886349168525</v>
      </c>
      <c r="CA79" s="1662">
        <f t="shared" si="377"/>
        <v>490.53703640708085</v>
      </c>
      <c r="CB79" s="1408"/>
    </row>
    <row r="80" spans="2:80" s="7" customFormat="1" ht="14.25" customHeight="1">
      <c r="B80" s="1354" t="s">
        <v>390</v>
      </c>
      <c r="C80" s="380"/>
      <c r="D80" s="500"/>
      <c r="E80" s="500"/>
      <c r="F80" s="500"/>
      <c r="G80" s="501"/>
      <c r="H80" s="606"/>
      <c r="I80" s="500"/>
      <c r="J80" s="500"/>
      <c r="K80" s="501"/>
      <c r="L80" s="606"/>
      <c r="M80" s="500"/>
      <c r="N80" s="500"/>
      <c r="O80" s="501"/>
      <c r="P80" s="606"/>
      <c r="Q80" s="500"/>
      <c r="R80" s="500"/>
      <c r="S80" s="501"/>
      <c r="T80" s="610"/>
      <c r="U80" s="52">
        <f t="shared" ref="U80:AI80" si="378">U79/T79-1</f>
        <v>-0.11724702007812804</v>
      </c>
      <c r="V80" s="52">
        <f t="shared" si="378"/>
        <v>6.0394914343939732E-3</v>
      </c>
      <c r="W80" s="499">
        <f t="shared" si="378"/>
        <v>3.292508100755942E-2</v>
      </c>
      <c r="X80" s="610">
        <f t="shared" si="378"/>
        <v>-5.2069811810199651E-2</v>
      </c>
      <c r="Y80" s="52">
        <f t="shared" si="378"/>
        <v>0.36997319034852549</v>
      </c>
      <c r="Z80" s="52">
        <f t="shared" si="378"/>
        <v>-9.7847358121331274E-3</v>
      </c>
      <c r="AA80" s="499">
        <f t="shared" si="378"/>
        <v>-0.17391304347826086</v>
      </c>
      <c r="AB80" s="52">
        <f t="shared" si="378"/>
        <v>-4.3062200956937802E-2</v>
      </c>
      <c r="AC80" s="52">
        <f t="shared" si="378"/>
        <v>-0.15763883196721307</v>
      </c>
      <c r="AD80" s="52">
        <f t="shared" si="378"/>
        <v>0.33553164924170864</v>
      </c>
      <c r="AE80" s="499">
        <f t="shared" si="378"/>
        <v>-2.3383458646616617E-2</v>
      </c>
      <c r="AF80" s="52">
        <f t="shared" si="378"/>
        <v>-0.10208841466059126</v>
      </c>
      <c r="AG80" s="52">
        <f t="shared" si="378"/>
        <v>-5.507102151061638E-2</v>
      </c>
      <c r="AH80" s="52">
        <f t="shared" si="378"/>
        <v>-0.14181554062548007</v>
      </c>
      <c r="AI80" s="499">
        <f t="shared" si="378"/>
        <v>-7.8125E-2</v>
      </c>
      <c r="AJ80" s="1176">
        <v>5.0000000000000001E-3</v>
      </c>
      <c r="AK80" s="1176">
        <v>0</v>
      </c>
      <c r="AL80" s="1176">
        <v>0</v>
      </c>
      <c r="AM80" s="1177">
        <v>0</v>
      </c>
      <c r="AN80" s="1176">
        <v>0.01</v>
      </c>
      <c r="AO80" s="1176">
        <v>0.01</v>
      </c>
      <c r="AP80" s="1176">
        <v>0</v>
      </c>
      <c r="AQ80" s="1177">
        <v>0</v>
      </c>
      <c r="AR80" s="1176">
        <v>-6.7739087067728077E-2</v>
      </c>
      <c r="AS80" s="1176">
        <v>-0.05</v>
      </c>
      <c r="AT80" s="1176">
        <v>0</v>
      </c>
      <c r="AU80" s="1177">
        <v>0</v>
      </c>
      <c r="AV80" s="1176">
        <v>0.01</v>
      </c>
      <c r="AW80" s="1176">
        <v>0.01</v>
      </c>
      <c r="AX80" s="1176">
        <v>0</v>
      </c>
      <c r="AY80" s="1553">
        <v>0</v>
      </c>
      <c r="AZ80" s="1702">
        <v>0.02</v>
      </c>
      <c r="BA80" s="1176">
        <v>0.1</v>
      </c>
      <c r="BB80" s="1176">
        <v>0.3</v>
      </c>
      <c r="BC80" s="1702">
        <v>0.1</v>
      </c>
      <c r="BD80" s="1213">
        <v>0.03</v>
      </c>
      <c r="BE80" s="1702">
        <v>0.03</v>
      </c>
      <c r="BF80" s="1702">
        <v>0</v>
      </c>
      <c r="BG80" s="1553">
        <v>0</v>
      </c>
      <c r="BH80" s="1864">
        <v>0.03</v>
      </c>
      <c r="BI80" s="1863">
        <v>0.03</v>
      </c>
      <c r="BJ80" s="1863">
        <v>0</v>
      </c>
      <c r="BK80" s="1553">
        <v>0</v>
      </c>
      <c r="BL80" s="244"/>
      <c r="BM80" s="369"/>
      <c r="BN80" s="369"/>
      <c r="BO80" s="369"/>
      <c r="BP80" s="369"/>
      <c r="BQ80" s="365"/>
      <c r="BR80" s="1337">
        <f t="shared" ref="BR80:CA80" si="379">BR79/BQ79-1</f>
        <v>0.12515025732190943</v>
      </c>
      <c r="BS80" s="1337">
        <f t="shared" si="379"/>
        <v>-8.1177371648458396E-2</v>
      </c>
      <c r="BT80" s="1337">
        <f t="shared" si="379"/>
        <v>-0.13009063325365067</v>
      </c>
      <c r="BU80" s="1337">
        <f t="shared" si="379"/>
        <v>-0.16505217547937523</v>
      </c>
      <c r="BV80" s="1961">
        <f t="shared" si="379"/>
        <v>1.7555597659956401E-2</v>
      </c>
      <c r="BW80" s="1338">
        <f t="shared" si="379"/>
        <v>-9.3221283041659331E-2</v>
      </c>
      <c r="BX80" s="1338">
        <f t="shared" si="379"/>
        <v>-3.2154211746152628E-3</v>
      </c>
      <c r="BY80" s="1338">
        <f t="shared" si="379"/>
        <v>0.36543302170521619</v>
      </c>
      <c r="BZ80" s="1338">
        <f t="shared" si="379"/>
        <v>0.24082928886074839</v>
      </c>
      <c r="CA80" s="1661">
        <f t="shared" si="379"/>
        <v>6.1794596950131453E-2</v>
      </c>
      <c r="CB80" s="1408"/>
    </row>
    <row r="81" spans="2:82" s="713" customFormat="1" ht="14.25" customHeight="1">
      <c r="B81" s="1355" t="s">
        <v>399</v>
      </c>
      <c r="C81" s="721"/>
      <c r="D81" s="565"/>
      <c r="E81" s="565"/>
      <c r="F81" s="565"/>
      <c r="G81" s="589"/>
      <c r="H81" s="720"/>
      <c r="I81" s="565"/>
      <c r="J81" s="565"/>
      <c r="K81" s="589"/>
      <c r="L81" s="720"/>
      <c r="M81" s="565"/>
      <c r="N81" s="565"/>
      <c r="O81" s="589"/>
      <c r="P81" s="720"/>
      <c r="Q81" s="565"/>
      <c r="R81" s="565"/>
      <c r="S81" s="589"/>
      <c r="T81" s="565">
        <f>T77*T79/1000</f>
        <v>117.962</v>
      </c>
      <c r="U81" s="565">
        <f>U77*U79/1000</f>
        <v>107.91789999999999</v>
      </c>
      <c r="V81" s="1171">
        <f t="shared" ref="V81:AU81" si="380">V77*V79/1000</f>
        <v>117.33143201284797</v>
      </c>
      <c r="W81" s="1172">
        <f t="shared" si="380"/>
        <v>145.59089025695931</v>
      </c>
      <c r="X81" s="1171">
        <f t="shared" si="380"/>
        <v>145.09700000000001</v>
      </c>
      <c r="Y81" s="1171">
        <f t="shared" si="380"/>
        <v>140.01400000000001</v>
      </c>
      <c r="Z81" s="1171">
        <f t="shared" si="380"/>
        <v>139.15</v>
      </c>
      <c r="AA81" s="1172">
        <f t="shared" si="380"/>
        <v>120.384</v>
      </c>
      <c r="AB81" s="1171">
        <f t="shared" si="380"/>
        <v>115.2</v>
      </c>
      <c r="AC81" s="1171">
        <f t="shared" si="380"/>
        <v>82.214449999999999</v>
      </c>
      <c r="AD81" s="1171">
        <f t="shared" si="380"/>
        <v>114.75</v>
      </c>
      <c r="AE81" s="1172">
        <f t="shared" si="380"/>
        <v>127.44845864661653</v>
      </c>
      <c r="AF81" s="1171">
        <f t="shared" si="380"/>
        <v>112.85899999999998</v>
      </c>
      <c r="AG81" s="1171">
        <f t="shared" si="380"/>
        <v>89.491249999999994</v>
      </c>
      <c r="AH81" s="1171">
        <f t="shared" si="380"/>
        <v>54.4</v>
      </c>
      <c r="AI81" s="1172">
        <f t="shared" si="380"/>
        <v>47.2</v>
      </c>
      <c r="AJ81" s="1171">
        <f t="shared" si="380"/>
        <v>47.246256000000002</v>
      </c>
      <c r="AK81" s="1171">
        <f t="shared" si="380"/>
        <v>47.718718559999999</v>
      </c>
      <c r="AL81" s="1171">
        <f t="shared" si="380"/>
        <v>47.718718559999999</v>
      </c>
      <c r="AM81" s="1172">
        <f t="shared" si="380"/>
        <v>48.195905745600001</v>
      </c>
      <c r="AN81" s="1171">
        <f t="shared" si="380"/>
        <v>46.243971562903198</v>
      </c>
      <c r="AO81" s="1171">
        <f t="shared" si="380"/>
        <v>45.772283052961583</v>
      </c>
      <c r="AP81" s="1171">
        <f t="shared" si="380"/>
        <v>46.230005883491195</v>
      </c>
      <c r="AQ81" s="1172">
        <f t="shared" si="380"/>
        <v>46.692305942326115</v>
      </c>
      <c r="AR81" s="1171">
        <f t="shared" si="380"/>
        <v>37</v>
      </c>
      <c r="AS81" s="1171">
        <f t="shared" si="380"/>
        <v>17.574999999999999</v>
      </c>
      <c r="AT81" s="1171">
        <f t="shared" si="380"/>
        <v>18.453749999999999</v>
      </c>
      <c r="AU81" s="1172">
        <f t="shared" si="380"/>
        <v>15.653609437505077</v>
      </c>
      <c r="AV81" s="1171">
        <f t="shared" ref="AV81:AZ81" si="381">AV77*AV79/1000</f>
        <v>18.972174638256149</v>
      </c>
      <c r="AW81" s="1171">
        <f t="shared" si="381"/>
        <v>22.994275661566455</v>
      </c>
      <c r="AX81" s="1171">
        <f t="shared" si="381"/>
        <v>24.856811990153339</v>
      </c>
      <c r="AY81" s="1558">
        <f t="shared" si="381"/>
        <v>26.099652589661005</v>
      </c>
      <c r="AZ81" s="1171">
        <f t="shared" si="381"/>
        <v>29.283810205599654</v>
      </c>
      <c r="BA81" s="1171">
        <f t="shared" ref="BA81:BC81" si="382">BA77*BA79/1000</f>
        <v>35.433410348775588</v>
      </c>
      <c r="BB81" s="1171">
        <f t="shared" si="382"/>
        <v>65.870709838373813</v>
      </c>
      <c r="BC81" s="1171">
        <f t="shared" si="382"/>
        <v>86.949336986653435</v>
      </c>
      <c r="BD81" s="1740">
        <f t="shared" ref="BD81:BG81" si="383">BD77*BD79/1000</f>
        <v>102.99148966069097</v>
      </c>
      <c r="BE81" s="1171">
        <f t="shared" si="383"/>
        <v>114.03732692680009</v>
      </c>
      <c r="BF81" s="1171">
        <f t="shared" si="383"/>
        <v>119.7391932731401</v>
      </c>
      <c r="BG81" s="1558">
        <f t="shared" si="383"/>
        <v>123.33136907133429</v>
      </c>
      <c r="BH81" s="1740">
        <f t="shared" ref="BH81:BK81" si="384">BH77*BH79/1000</f>
        <v>146.08600666499549</v>
      </c>
      <c r="BI81" s="1171">
        <f t="shared" si="384"/>
        <v>173.03887489468713</v>
      </c>
      <c r="BJ81" s="1171">
        <f t="shared" si="384"/>
        <v>198.99470612889019</v>
      </c>
      <c r="BK81" s="1558">
        <f t="shared" si="384"/>
        <v>228.84391204822373</v>
      </c>
      <c r="BL81" s="711"/>
      <c r="BM81" s="710"/>
      <c r="BN81" s="710"/>
      <c r="BO81" s="710"/>
      <c r="BP81" s="710"/>
      <c r="BQ81" s="710">
        <f>SUM(T81:W81)</f>
        <v>488.80222226980726</v>
      </c>
      <c r="BR81" s="753">
        <f>SUM(X81:AA81)</f>
        <v>544.64499999999998</v>
      </c>
      <c r="BS81" s="753">
        <f>SUM(AB81:AE81)</f>
        <v>439.61290864661652</v>
      </c>
      <c r="BT81" s="753">
        <f>SUM(AF81:AI81)</f>
        <v>303.95024999999993</v>
      </c>
      <c r="BU81" s="753">
        <f>SUM(AJ81:AM81)</f>
        <v>190.87959886559997</v>
      </c>
      <c r="BV81" s="1948">
        <f>+SUM(AN81:AQ81)</f>
        <v>184.9385664416821</v>
      </c>
      <c r="BW81" s="302">
        <f>SUM(AR81:AU81)</f>
        <v>88.682359437505085</v>
      </c>
      <c r="BX81" s="302">
        <f>SUM(AV81:AY81)</f>
        <v>92.922914879636949</v>
      </c>
      <c r="BY81" s="391">
        <f>SUM(AZ81:BC81)</f>
        <v>217.53726737940249</v>
      </c>
      <c r="BZ81" s="391">
        <f>SUM(BD81:BG81)</f>
        <v>460.09937893196548</v>
      </c>
      <c r="CA81" s="1657">
        <f>SUM(BH81:BK81)</f>
        <v>746.96349973679662</v>
      </c>
      <c r="CB81" s="1408">
        <f t="shared" ref="CB81" si="385">CA81-BX81</f>
        <v>654.04058485715973</v>
      </c>
    </row>
    <row r="82" spans="2:82" s="7" customFormat="1" ht="14.25" customHeight="1">
      <c r="B82" s="1354" t="s">
        <v>390</v>
      </c>
      <c r="C82" s="380"/>
      <c r="D82" s="500"/>
      <c r="E82" s="500"/>
      <c r="F82" s="500"/>
      <c r="G82" s="501"/>
      <c r="H82" s="606"/>
      <c r="I82" s="500"/>
      <c r="J82" s="500"/>
      <c r="K82" s="501"/>
      <c r="L82" s="606"/>
      <c r="M82" s="500"/>
      <c r="N82" s="500"/>
      <c r="O82" s="501"/>
      <c r="P82" s="606"/>
      <c r="Q82" s="500"/>
      <c r="R82" s="500"/>
      <c r="S82" s="501"/>
      <c r="T82" s="514"/>
      <c r="U82" s="52">
        <f t="shared" ref="U82:AU82" si="386">U81/T81-1</f>
        <v>-8.5146911717332796E-2</v>
      </c>
      <c r="V82" s="1187">
        <f t="shared" si="386"/>
        <v>8.7228643374713366E-2</v>
      </c>
      <c r="W82" s="1188">
        <f t="shared" si="386"/>
        <v>0.24085155835323735</v>
      </c>
      <c r="X82" s="1193">
        <f t="shared" si="386"/>
        <v>-3.3923156599126036E-3</v>
      </c>
      <c r="Y82" s="1187">
        <f t="shared" si="386"/>
        <v>-3.5031737389470519E-2</v>
      </c>
      <c r="Z82" s="1187">
        <f t="shared" si="386"/>
        <v>-6.1708114902795375E-3</v>
      </c>
      <c r="AA82" s="1188">
        <f t="shared" si="386"/>
        <v>-0.13486166007905143</v>
      </c>
      <c r="AB82" s="1187">
        <f t="shared" si="386"/>
        <v>-4.3062200956937802E-2</v>
      </c>
      <c r="AC82" s="1187">
        <f t="shared" si="386"/>
        <v>-0.28633289930555561</v>
      </c>
      <c r="AD82" s="1187">
        <f t="shared" si="386"/>
        <v>0.39574004326490053</v>
      </c>
      <c r="AE82" s="1188">
        <f t="shared" si="386"/>
        <v>0.11066194899012216</v>
      </c>
      <c r="AF82" s="1187">
        <f t="shared" si="386"/>
        <v>-0.11447340204458301</v>
      </c>
      <c r="AG82" s="1187">
        <f t="shared" si="386"/>
        <v>-0.20705260546345428</v>
      </c>
      <c r="AH82" s="1187">
        <f t="shared" si="386"/>
        <v>-0.39211934127638171</v>
      </c>
      <c r="AI82" s="1188">
        <f>AI81/AH81-1</f>
        <v>-0.13235294117647056</v>
      </c>
      <c r="AJ82" s="1187">
        <f t="shared" si="386"/>
        <v>9.7999999999998089E-4</v>
      </c>
      <c r="AK82" s="1187">
        <f t="shared" si="386"/>
        <v>1.0000000000000009E-2</v>
      </c>
      <c r="AL82" s="1187">
        <f t="shared" si="386"/>
        <v>0</v>
      </c>
      <c r="AM82" s="1188">
        <f t="shared" si="386"/>
        <v>1.0000000000000009E-2</v>
      </c>
      <c r="AN82" s="1187">
        <f t="shared" si="386"/>
        <v>-4.0500000000000091E-2</v>
      </c>
      <c r="AO82" s="1187">
        <f t="shared" si="386"/>
        <v>-1.0200000000000098E-2</v>
      </c>
      <c r="AP82" s="1187">
        <f t="shared" si="386"/>
        <v>1.0000000000000009E-2</v>
      </c>
      <c r="AQ82" s="1188">
        <f t="shared" si="386"/>
        <v>1.0000000000000231E-2</v>
      </c>
      <c r="AR82" s="1187">
        <f t="shared" si="386"/>
        <v>-0.20757822400756898</v>
      </c>
      <c r="AS82" s="1187">
        <f t="shared" si="386"/>
        <v>-0.52500000000000002</v>
      </c>
      <c r="AT82" s="1187">
        <f t="shared" si="386"/>
        <v>5.0000000000000044E-2</v>
      </c>
      <c r="AU82" s="1188">
        <f t="shared" si="386"/>
        <v>-0.15173829506170411</v>
      </c>
      <c r="AV82" s="1187">
        <f t="shared" ref="AV82" si="387">AV81/AU81-1</f>
        <v>0.21199999999999974</v>
      </c>
      <c r="AW82" s="1187">
        <f t="shared" ref="AW82:AZ82" si="388">AW81/AV81-1</f>
        <v>0.21200000000000019</v>
      </c>
      <c r="AX82" s="1187">
        <f t="shared" si="388"/>
        <v>8.0999999999999961E-2</v>
      </c>
      <c r="AY82" s="1565">
        <f t="shared" si="388"/>
        <v>5.0000000000000044E-2</v>
      </c>
      <c r="AZ82" s="1187">
        <f t="shared" si="388"/>
        <v>0.12200000000000033</v>
      </c>
      <c r="BA82" s="1187">
        <f t="shared" ref="BA82" si="389">BA81/AZ81-1</f>
        <v>0.21000000000000019</v>
      </c>
      <c r="BB82" s="1187">
        <f t="shared" ref="BB82" si="390">BB81/BA81-1</f>
        <v>0.85899999999999976</v>
      </c>
      <c r="BC82" s="1187">
        <f t="shared" ref="BC82" si="391">BC81/BB81-1</f>
        <v>0.32000000000000006</v>
      </c>
      <c r="BD82" s="1747">
        <f t="shared" ref="BD82" si="392">BD81/BC81-1</f>
        <v>0.18449999999999966</v>
      </c>
      <c r="BE82" s="1187">
        <f t="shared" ref="BE82" si="393">BE81/BD81-1</f>
        <v>0.10725000000000007</v>
      </c>
      <c r="BF82" s="1187">
        <f t="shared" ref="BF82" si="394">BF81/BE81-1</f>
        <v>5.0000000000000044E-2</v>
      </c>
      <c r="BG82" s="1565">
        <f t="shared" ref="BG82" si="395">BG81/BF81-1</f>
        <v>2.9999999999999805E-2</v>
      </c>
      <c r="BH82" s="1747">
        <f t="shared" ref="BH82" si="396">BH81/BG81-1</f>
        <v>0.18450000000000011</v>
      </c>
      <c r="BI82" s="1187">
        <f t="shared" ref="BI82" si="397">BI81/BH81-1</f>
        <v>0.18449999999999966</v>
      </c>
      <c r="BJ82" s="1187">
        <f t="shared" ref="BJ82" si="398">BJ81/BI81-1</f>
        <v>0.14999999999999991</v>
      </c>
      <c r="BK82" s="1565">
        <f t="shared" ref="BK82" si="399">BK81/BJ81-1</f>
        <v>0.15000000000000013</v>
      </c>
      <c r="BL82" s="244"/>
      <c r="BM82" s="369"/>
      <c r="BN82" s="369"/>
      <c r="BO82" s="369"/>
      <c r="BP82" s="369"/>
      <c r="BQ82" s="369"/>
      <c r="BR82" s="1337">
        <f t="shared" ref="BR82:CA82" si="400">BR81/BQ81-1</f>
        <v>0.11424411589391026</v>
      </c>
      <c r="BS82" s="1337">
        <f t="shared" si="400"/>
        <v>-0.19284504834044836</v>
      </c>
      <c r="BT82" s="1337">
        <f t="shared" si="400"/>
        <v>-0.3085957122238856</v>
      </c>
      <c r="BU82" s="1337">
        <f t="shared" si="400"/>
        <v>-0.37200381027618823</v>
      </c>
      <c r="BV82" s="1961">
        <f t="shared" si="400"/>
        <v>-3.1124501828511342E-2</v>
      </c>
      <c r="BW82" s="1338">
        <f t="shared" si="400"/>
        <v>-0.52047665803946908</v>
      </c>
      <c r="BX82" s="1338">
        <f t="shared" si="400"/>
        <v>4.7817350249010904E-2</v>
      </c>
      <c r="BY82" s="957">
        <f t="shared" si="400"/>
        <v>1.3410508340292435</v>
      </c>
      <c r="BZ82" s="957">
        <f t="shared" si="400"/>
        <v>1.1150370438804638</v>
      </c>
      <c r="CA82" s="1663">
        <f t="shared" si="400"/>
        <v>0.62348295594471881</v>
      </c>
      <c r="CB82" s="1408"/>
    </row>
    <row r="83" spans="2:82" s="7" customFormat="1" ht="14.25" customHeight="1">
      <c r="B83" s="1350"/>
      <c r="C83" s="380"/>
      <c r="D83" s="500"/>
      <c r="E83" s="500"/>
      <c r="F83" s="500"/>
      <c r="G83" s="501"/>
      <c r="H83" s="606"/>
      <c r="I83" s="500"/>
      <c r="J83" s="500"/>
      <c r="K83" s="501"/>
      <c r="L83" s="606"/>
      <c r="M83" s="500"/>
      <c r="N83" s="500"/>
      <c r="O83" s="501"/>
      <c r="P83" s="606"/>
      <c r="Q83" s="500"/>
      <c r="R83" s="500"/>
      <c r="S83" s="501"/>
      <c r="T83" s="514"/>
      <c r="U83" s="52"/>
      <c r="V83" s="52"/>
      <c r="W83" s="499"/>
      <c r="X83" s="514"/>
      <c r="Y83" s="52"/>
      <c r="Z83" s="52"/>
      <c r="AA83" s="499"/>
      <c r="AB83" s="52"/>
      <c r="AC83" s="52"/>
      <c r="AD83" s="52"/>
      <c r="AE83" s="499"/>
      <c r="AF83" s="500"/>
      <c r="AG83" s="500"/>
      <c r="AH83" s="500"/>
      <c r="AI83" s="501"/>
      <c r="AJ83" s="500"/>
      <c r="AK83" s="500"/>
      <c r="AL83" s="500"/>
      <c r="AM83" s="501"/>
      <c r="AN83" s="500"/>
      <c r="AO83" s="500"/>
      <c r="AP83" s="500"/>
      <c r="AQ83" s="501"/>
      <c r="AR83" s="500"/>
      <c r="AS83" s="500"/>
      <c r="AT83" s="500">
        <v>0.01</v>
      </c>
      <c r="AU83" s="501"/>
      <c r="AV83" s="500"/>
      <c r="AW83" s="500"/>
      <c r="AX83" s="52">
        <v>0.01</v>
      </c>
      <c r="AY83" s="1545"/>
      <c r="AZ83" s="52"/>
      <c r="BA83" s="500"/>
      <c r="BB83" s="500"/>
      <c r="BC83" s="500"/>
      <c r="BD83" s="606"/>
      <c r="BE83" s="500"/>
      <c r="BF83" s="500"/>
      <c r="BG83" s="1727"/>
      <c r="BH83" s="606"/>
      <c r="BI83" s="500"/>
      <c r="BJ83" s="500"/>
      <c r="BK83" s="1727"/>
      <c r="BL83" s="244"/>
      <c r="BM83" s="369"/>
      <c r="BN83" s="369"/>
      <c r="BO83" s="369"/>
      <c r="BP83" s="369"/>
      <c r="BQ83" s="369"/>
      <c r="BR83" s="369"/>
      <c r="BS83" s="253"/>
      <c r="BT83" s="253"/>
      <c r="BU83" s="253"/>
      <c r="BV83" s="1946"/>
      <c r="BW83" s="13"/>
      <c r="BX83" s="13"/>
      <c r="BY83" s="13"/>
      <c r="BZ83" s="13"/>
      <c r="CA83" s="1664"/>
      <c r="CB83" s="1408"/>
    </row>
    <row r="84" spans="2:82" s="415" customFormat="1" ht="14.25" customHeight="1">
      <c r="B84" s="1356" t="s">
        <v>484</v>
      </c>
      <c r="C84" s="1007"/>
      <c r="D84" s="1009"/>
      <c r="E84" s="1009"/>
      <c r="F84" s="1009"/>
      <c r="G84" s="1010"/>
      <c r="H84" s="1008"/>
      <c r="I84" s="1009"/>
      <c r="J84" s="1009"/>
      <c r="K84" s="1010"/>
      <c r="L84" s="1008"/>
      <c r="M84" s="1009"/>
      <c r="N84" s="1009"/>
      <c r="O84" s="1010"/>
      <c r="P84" s="1008"/>
      <c r="Q84" s="1009"/>
      <c r="R84" s="1009"/>
      <c r="S84" s="1010"/>
      <c r="T84" s="1011"/>
      <c r="U84" s="1009"/>
      <c r="V84" s="1009"/>
      <c r="W84" s="1010"/>
      <c r="X84" s="1011"/>
      <c r="Y84" s="1009"/>
      <c r="Z84" s="1009"/>
      <c r="AA84" s="1010"/>
      <c r="AB84" s="1009"/>
      <c r="AC84" s="1009"/>
      <c r="AD84" s="1009"/>
      <c r="AE84" s="1010"/>
      <c r="AF84" s="1012"/>
      <c r="AG84" s="1194">
        <v>10</v>
      </c>
      <c r="AH84" s="1194">
        <v>10</v>
      </c>
      <c r="AI84" s="1195">
        <v>25</v>
      </c>
      <c r="AJ84" s="1194">
        <v>2.7537440000000002</v>
      </c>
      <c r="AK84" s="1194">
        <v>2.2812814400000008</v>
      </c>
      <c r="AL84" s="1194">
        <v>2.2812814400000008</v>
      </c>
      <c r="AM84" s="1195">
        <v>1.8040942543999989</v>
      </c>
      <c r="AN84" s="1194">
        <v>3.756028437096802</v>
      </c>
      <c r="AO84" s="1194">
        <v>4.2277169470384166</v>
      </c>
      <c r="AP84" s="1194">
        <v>3.7699941165088049</v>
      </c>
      <c r="AQ84" s="1195">
        <v>3.3076940576738849</v>
      </c>
      <c r="AR84" s="1194">
        <v>3</v>
      </c>
      <c r="AS84" s="1194">
        <v>0</v>
      </c>
      <c r="AT84" s="1194">
        <v>0</v>
      </c>
      <c r="AU84" s="1195">
        <v>0</v>
      </c>
      <c r="AV84" s="1194">
        <v>0</v>
      </c>
      <c r="AW84" s="1194">
        <v>0</v>
      </c>
      <c r="AX84" s="1194">
        <v>0</v>
      </c>
      <c r="AY84" s="1566">
        <v>0</v>
      </c>
      <c r="AZ84" s="1194">
        <v>0</v>
      </c>
      <c r="BA84" s="1194">
        <v>0</v>
      </c>
      <c r="BB84" s="1194">
        <v>0</v>
      </c>
      <c r="BC84" s="1194">
        <v>0</v>
      </c>
      <c r="BD84" s="1748">
        <v>0</v>
      </c>
      <c r="BE84" s="1194">
        <v>0</v>
      </c>
      <c r="BF84" s="1194">
        <v>0</v>
      </c>
      <c r="BG84" s="1566">
        <v>0</v>
      </c>
      <c r="BH84" s="1748">
        <v>0</v>
      </c>
      <c r="BI84" s="1194">
        <v>0</v>
      </c>
      <c r="BJ84" s="1194">
        <v>0</v>
      </c>
      <c r="BK84" s="1566">
        <v>0</v>
      </c>
      <c r="BL84" s="575"/>
      <c r="BM84" s="1013"/>
      <c r="BN84" s="1013"/>
      <c r="BO84" s="1013"/>
      <c r="BP84" s="1013"/>
      <c r="BQ84" s="443">
        <f>SUM(T84:W84)</f>
        <v>0</v>
      </c>
      <c r="BR84" s="443">
        <f>SUM(X84:AA84)</f>
        <v>0</v>
      </c>
      <c r="BS84" s="443">
        <f>SUM(AB84:AE84)</f>
        <v>0</v>
      </c>
      <c r="BT84" s="443">
        <f>SUM(AF84:AI84)</f>
        <v>45</v>
      </c>
      <c r="BU84" s="443">
        <f>SUM(AJ84:AM84)</f>
        <v>9.1204011344000016</v>
      </c>
      <c r="BV84" s="1931">
        <f>+SUM(AN84:AQ84)</f>
        <v>15.061433558317908</v>
      </c>
      <c r="BW84" s="443">
        <f>SUM(AR84:AU84)</f>
        <v>3</v>
      </c>
      <c r="BX84" s="443">
        <f>SUM(AV84:AY84)</f>
        <v>0</v>
      </c>
      <c r="BY84" s="710">
        <f>SUM(AZ84:BC84)</f>
        <v>0</v>
      </c>
      <c r="BZ84" s="710">
        <f>SUM(BD84:BG84)</f>
        <v>0</v>
      </c>
      <c r="CA84" s="1660">
        <f>SUM(BH84:BK84)</f>
        <v>0</v>
      </c>
      <c r="CB84" s="1408"/>
    </row>
    <row r="85" spans="2:82" s="115" customFormat="1" ht="14.25" customHeight="1">
      <c r="B85" s="1347" t="s">
        <v>485</v>
      </c>
      <c r="C85" s="742"/>
      <c r="D85" s="744"/>
      <c r="E85" s="744"/>
      <c r="F85" s="744"/>
      <c r="G85" s="745"/>
      <c r="H85" s="743"/>
      <c r="I85" s="744"/>
      <c r="J85" s="744"/>
      <c r="K85" s="745"/>
      <c r="L85" s="743"/>
      <c r="M85" s="744"/>
      <c r="N85" s="744"/>
      <c r="O85" s="745"/>
      <c r="P85" s="743"/>
      <c r="Q85" s="744"/>
      <c r="R85" s="744"/>
      <c r="S85" s="745"/>
      <c r="T85" s="1367">
        <f t="shared" ref="T85:AE85" si="401">+T81+T84</f>
        <v>117.962</v>
      </c>
      <c r="U85" s="800">
        <f t="shared" si="401"/>
        <v>107.91789999999999</v>
      </c>
      <c r="V85" s="800">
        <f t="shared" si="401"/>
        <v>117.33143201284797</v>
      </c>
      <c r="W85" s="801">
        <f t="shared" si="401"/>
        <v>145.59089025695931</v>
      </c>
      <c r="X85" s="1367">
        <f t="shared" si="401"/>
        <v>145.09700000000001</v>
      </c>
      <c r="Y85" s="800">
        <f t="shared" si="401"/>
        <v>140.01400000000001</v>
      </c>
      <c r="Z85" s="800">
        <f t="shared" si="401"/>
        <v>139.15</v>
      </c>
      <c r="AA85" s="801">
        <f t="shared" si="401"/>
        <v>120.384</v>
      </c>
      <c r="AB85" s="1367">
        <f t="shared" si="401"/>
        <v>115.2</v>
      </c>
      <c r="AC85" s="800">
        <f t="shared" si="401"/>
        <v>82.214449999999999</v>
      </c>
      <c r="AD85" s="800">
        <f t="shared" si="401"/>
        <v>114.75</v>
      </c>
      <c r="AE85" s="801">
        <f t="shared" si="401"/>
        <v>127.44845864661653</v>
      </c>
      <c r="AF85" s="800">
        <f t="shared" ref="AF85:AU85" si="402">+AF81+AF84</f>
        <v>112.85899999999998</v>
      </c>
      <c r="AG85" s="800">
        <f t="shared" si="402"/>
        <v>99.491249999999994</v>
      </c>
      <c r="AH85" s="800">
        <f t="shared" si="402"/>
        <v>64.400000000000006</v>
      </c>
      <c r="AI85" s="801">
        <f t="shared" si="402"/>
        <v>72.2</v>
      </c>
      <c r="AJ85" s="800">
        <f t="shared" si="402"/>
        <v>50</v>
      </c>
      <c r="AK85" s="800">
        <f t="shared" si="402"/>
        <v>50</v>
      </c>
      <c r="AL85" s="800">
        <f t="shared" si="402"/>
        <v>50</v>
      </c>
      <c r="AM85" s="801">
        <f t="shared" si="402"/>
        <v>50</v>
      </c>
      <c r="AN85" s="800">
        <f t="shared" si="402"/>
        <v>50</v>
      </c>
      <c r="AO85" s="800">
        <f t="shared" si="402"/>
        <v>50</v>
      </c>
      <c r="AP85" s="800">
        <f t="shared" si="402"/>
        <v>50</v>
      </c>
      <c r="AQ85" s="801">
        <f t="shared" si="402"/>
        <v>50</v>
      </c>
      <c r="AR85" s="800">
        <f t="shared" si="402"/>
        <v>40</v>
      </c>
      <c r="AS85" s="800">
        <f t="shared" si="402"/>
        <v>17.574999999999999</v>
      </c>
      <c r="AT85" s="800">
        <f t="shared" si="402"/>
        <v>18.453749999999999</v>
      </c>
      <c r="AU85" s="801">
        <f t="shared" si="402"/>
        <v>15.653609437505077</v>
      </c>
      <c r="AV85" s="800">
        <f t="shared" ref="AV85:AZ85" si="403">+AV81+AV84</f>
        <v>18.972174638256149</v>
      </c>
      <c r="AW85" s="800">
        <f t="shared" si="403"/>
        <v>22.994275661566455</v>
      </c>
      <c r="AX85" s="1567">
        <f t="shared" si="403"/>
        <v>24.856811990153339</v>
      </c>
      <c r="AY85" s="1568">
        <f t="shared" si="403"/>
        <v>26.099652589661005</v>
      </c>
      <c r="AZ85" s="1567">
        <f t="shared" si="403"/>
        <v>29.283810205599654</v>
      </c>
      <c r="BA85" s="800">
        <f t="shared" ref="BA85:BC85" si="404">+BA81+BA84</f>
        <v>35.433410348775588</v>
      </c>
      <c r="BB85" s="800">
        <f t="shared" si="404"/>
        <v>65.870709838373813</v>
      </c>
      <c r="BC85" s="800">
        <f t="shared" si="404"/>
        <v>86.949336986653435</v>
      </c>
      <c r="BD85" s="1367">
        <f t="shared" ref="BD85:BG85" si="405">+BD81+BD84</f>
        <v>102.99148966069097</v>
      </c>
      <c r="BE85" s="800">
        <f t="shared" si="405"/>
        <v>114.03732692680009</v>
      </c>
      <c r="BF85" s="800">
        <f t="shared" si="405"/>
        <v>119.7391932731401</v>
      </c>
      <c r="BG85" s="1749">
        <f t="shared" si="405"/>
        <v>123.33136907133429</v>
      </c>
      <c r="BH85" s="1367">
        <f t="shared" ref="BH85:BK85" si="406">+BH81+BH84</f>
        <v>146.08600666499549</v>
      </c>
      <c r="BI85" s="800">
        <f t="shared" si="406"/>
        <v>173.03887489468713</v>
      </c>
      <c r="BJ85" s="800">
        <f t="shared" si="406"/>
        <v>198.99470612889019</v>
      </c>
      <c r="BK85" s="1749">
        <f t="shared" si="406"/>
        <v>228.84391204822373</v>
      </c>
      <c r="BL85" s="317"/>
      <c r="BM85" s="748"/>
      <c r="BN85" s="748"/>
      <c r="BO85" s="748"/>
      <c r="BP85" s="748"/>
      <c r="BQ85" s="447">
        <f>+BQ84+BQ81</f>
        <v>488.80222226980726</v>
      </c>
      <c r="BR85" s="447">
        <f t="shared" ref="BR85:BX85" si="407">+BR84+BR81</f>
        <v>544.64499999999998</v>
      </c>
      <c r="BS85" s="447">
        <f t="shared" si="407"/>
        <v>439.61290864661652</v>
      </c>
      <c r="BT85" s="447">
        <f t="shared" si="407"/>
        <v>348.95024999999993</v>
      </c>
      <c r="BU85" s="447">
        <f t="shared" si="407"/>
        <v>199.99999999999997</v>
      </c>
      <c r="BV85" s="1970">
        <f t="shared" si="407"/>
        <v>200</v>
      </c>
      <c r="BW85" s="1971">
        <f t="shared" si="407"/>
        <v>91.682359437505085</v>
      </c>
      <c r="BX85" s="1971">
        <f t="shared" si="407"/>
        <v>92.922914879636949</v>
      </c>
      <c r="BY85" s="1971">
        <f>+BY84+BY81</f>
        <v>217.53726737940249</v>
      </c>
      <c r="BZ85" s="1971">
        <f>+BZ84+BZ81</f>
        <v>460.09937893196548</v>
      </c>
      <c r="CA85" s="1972">
        <f>+CA84+CA81</f>
        <v>746.96349973679662</v>
      </c>
      <c r="CB85" s="1408"/>
      <c r="CC85" s="1395"/>
      <c r="CD85" s="993"/>
    </row>
    <row r="86" spans="2:82" s="7" customFormat="1" ht="14.25" customHeight="1">
      <c r="B86" s="1350"/>
      <c r="C86" s="380"/>
      <c r="D86" s="500"/>
      <c r="E86" s="500"/>
      <c r="F86" s="500"/>
      <c r="G86" s="501"/>
      <c r="H86" s="606"/>
      <c r="I86" s="500"/>
      <c r="J86" s="500"/>
      <c r="K86" s="501"/>
      <c r="L86" s="606"/>
      <c r="M86" s="500"/>
      <c r="N86" s="500"/>
      <c r="O86" s="501"/>
      <c r="P86" s="606"/>
      <c r="Q86" s="500"/>
      <c r="R86" s="500"/>
      <c r="S86" s="501"/>
      <c r="T86" s="514"/>
      <c r="U86" s="52"/>
      <c r="V86" s="52"/>
      <c r="W86" s="499"/>
      <c r="X86" s="514"/>
      <c r="Y86" s="52"/>
      <c r="Z86" s="52"/>
      <c r="AA86" s="499"/>
      <c r="AB86" s="52"/>
      <c r="AC86" s="52"/>
      <c r="AD86" s="52"/>
      <c r="AE86" s="499"/>
      <c r="AF86" s="1002"/>
      <c r="AG86" s="1002"/>
      <c r="AH86" s="1002"/>
      <c r="AI86" s="1003"/>
      <c r="AJ86" s="500"/>
      <c r="AK86" s="500"/>
      <c r="AL86" s="500"/>
      <c r="AM86" s="501"/>
      <c r="AN86" s="500"/>
      <c r="AO86" s="500"/>
      <c r="AP86" s="500"/>
      <c r="AQ86" s="501"/>
      <c r="AR86" s="500"/>
      <c r="AS86" s="500"/>
      <c r="AT86" s="500"/>
      <c r="AU86" s="501"/>
      <c r="AV86" s="500"/>
      <c r="AW86" s="500"/>
      <c r="AX86" s="52"/>
      <c r="AY86" s="1545"/>
      <c r="AZ86" s="52"/>
      <c r="BA86" s="500"/>
      <c r="BB86" s="500"/>
      <c r="BC86" s="500"/>
      <c r="BD86" s="606"/>
      <c r="BE86" s="500"/>
      <c r="BF86" s="500"/>
      <c r="BG86" s="1727"/>
      <c r="BH86" s="606"/>
      <c r="BI86" s="500"/>
      <c r="BJ86" s="500"/>
      <c r="BK86" s="1727"/>
      <c r="BL86" s="244"/>
      <c r="BM86" s="369"/>
      <c r="BN86" s="369"/>
      <c r="BO86" s="369"/>
      <c r="BP86" s="369"/>
      <c r="BQ86" s="369"/>
      <c r="BR86" s="369"/>
      <c r="BS86" s="253"/>
      <c r="BT86" s="253"/>
      <c r="BU86" s="253"/>
      <c r="BV86" s="1946"/>
      <c r="BW86" s="13"/>
      <c r="BX86" s="13"/>
      <c r="BY86" s="13"/>
      <c r="BZ86" s="13"/>
      <c r="CA86" s="1664"/>
      <c r="CB86" s="1408"/>
      <c r="CC86" s="304"/>
    </row>
    <row r="87" spans="2:82" s="7" customFormat="1" ht="14.25" customHeight="1">
      <c r="B87" s="1355" t="s">
        <v>412</v>
      </c>
      <c r="C87" s="380"/>
      <c r="D87" s="500"/>
      <c r="E87" s="500"/>
      <c r="F87" s="500"/>
      <c r="G87" s="501"/>
      <c r="H87" s="606"/>
      <c r="I87" s="500"/>
      <c r="J87" s="500"/>
      <c r="K87" s="501"/>
      <c r="L87" s="606"/>
      <c r="M87" s="500"/>
      <c r="N87" s="500"/>
      <c r="O87" s="501"/>
      <c r="P87" s="606"/>
      <c r="Q87" s="500"/>
      <c r="R87" s="500"/>
      <c r="S87" s="501"/>
      <c r="T87" s="514"/>
      <c r="U87" s="52"/>
      <c r="V87" s="52"/>
      <c r="W87" s="499"/>
      <c r="X87" s="514"/>
      <c r="Y87" s="52"/>
      <c r="Z87" s="52"/>
      <c r="AA87" s="499"/>
      <c r="AB87" s="52"/>
      <c r="AC87" s="52"/>
      <c r="AD87" s="52"/>
      <c r="AE87" s="499"/>
      <c r="AF87" s="1002"/>
      <c r="AG87" s="1002"/>
      <c r="AH87" s="1002"/>
      <c r="AI87" s="1003"/>
      <c r="AJ87" s="500"/>
      <c r="AK87" s="500"/>
      <c r="AL87" s="500"/>
      <c r="AM87" s="501"/>
      <c r="AN87" s="500"/>
      <c r="AO87" s="500"/>
      <c r="AP87" s="500"/>
      <c r="AQ87" s="501"/>
      <c r="AR87" s="500"/>
      <c r="AS87" s="500"/>
      <c r="AT87" s="500"/>
      <c r="AU87" s="501"/>
      <c r="AV87" s="500"/>
      <c r="AW87" s="500"/>
      <c r="AX87" s="52"/>
      <c r="AY87" s="1545"/>
      <c r="AZ87" s="52"/>
      <c r="BA87" s="500"/>
      <c r="BB87" s="500"/>
      <c r="BC87" s="500"/>
      <c r="BD87" s="606"/>
      <c r="BE87" s="500"/>
      <c r="BF87" s="500"/>
      <c r="BG87" s="1727"/>
      <c r="BH87" s="606"/>
      <c r="BI87" s="500"/>
      <c r="BJ87" s="500"/>
      <c r="BK87" s="1727"/>
      <c r="BL87" s="244"/>
      <c r="BM87" s="369"/>
      <c r="BN87" s="369"/>
      <c r="BO87" s="369"/>
      <c r="BP87" s="369"/>
      <c r="BQ87" s="369"/>
      <c r="BR87" s="369"/>
      <c r="BS87" s="253"/>
      <c r="BT87" s="253"/>
      <c r="BU87" s="253"/>
      <c r="BV87" s="1946"/>
      <c r="BW87" s="13"/>
      <c r="BX87" s="13"/>
      <c r="BY87" s="13"/>
      <c r="BZ87" s="13"/>
      <c r="CA87" s="1664"/>
      <c r="CB87" s="1408"/>
    </row>
    <row r="88" spans="2:82" s="234" customFormat="1" ht="14.25" customHeight="1">
      <c r="B88" s="1357" t="s">
        <v>399</v>
      </c>
      <c r="C88" s="695"/>
      <c r="D88" s="516"/>
      <c r="E88" s="516"/>
      <c r="F88" s="516"/>
      <c r="G88" s="517"/>
      <c r="H88" s="584"/>
      <c r="I88" s="516"/>
      <c r="J88" s="516"/>
      <c r="K88" s="517"/>
      <c r="L88" s="584"/>
      <c r="M88" s="516"/>
      <c r="N88" s="516"/>
      <c r="O88" s="517"/>
      <c r="P88" s="584"/>
      <c r="Q88" s="516"/>
      <c r="R88" s="516"/>
      <c r="S88" s="517"/>
      <c r="T88" s="696"/>
      <c r="U88" s="516"/>
      <c r="V88" s="516"/>
      <c r="W88" s="517"/>
      <c r="X88" s="696"/>
      <c r="Y88" s="516"/>
      <c r="Z88" s="516"/>
      <c r="AA88" s="517"/>
      <c r="AB88" s="516"/>
      <c r="AC88" s="516"/>
      <c r="AD88" s="516"/>
      <c r="AE88" s="517" t="s">
        <v>406</v>
      </c>
      <c r="AF88" s="516"/>
      <c r="AG88" s="516" t="s">
        <v>405</v>
      </c>
      <c r="AH88" s="516" t="s">
        <v>405</v>
      </c>
      <c r="AI88" s="517"/>
      <c r="AJ88" s="1393"/>
      <c r="AK88" s="1393"/>
      <c r="AL88" s="1393"/>
      <c r="AM88" s="1394"/>
      <c r="AN88" s="1393"/>
      <c r="AO88" s="1393"/>
      <c r="AP88" s="1393"/>
      <c r="AQ88" s="1394"/>
      <c r="AR88" s="1393"/>
      <c r="AS88" s="1393"/>
      <c r="AT88" s="1393"/>
      <c r="AU88" s="1394"/>
      <c r="AV88" s="1393"/>
      <c r="AW88" s="1393"/>
      <c r="AX88" s="1393"/>
      <c r="AY88" s="1569"/>
      <c r="AZ88" s="1393"/>
      <c r="BA88" s="1393"/>
      <c r="BB88" s="1393"/>
      <c r="BC88" s="1393"/>
      <c r="BD88" s="1750"/>
      <c r="BE88" s="1393"/>
      <c r="BF88" s="1393"/>
      <c r="BG88" s="1569"/>
      <c r="BH88" s="1750"/>
      <c r="BI88" s="1393"/>
      <c r="BJ88" s="1393"/>
      <c r="BK88" s="1569"/>
      <c r="BL88" s="697"/>
      <c r="BM88" s="679"/>
      <c r="BN88" s="679"/>
      <c r="BO88" s="679"/>
      <c r="BP88" s="679"/>
      <c r="BQ88" s="679"/>
      <c r="BR88" s="679"/>
      <c r="BS88" s="679"/>
      <c r="BT88" s="679"/>
      <c r="BU88" s="679"/>
      <c r="BV88" s="1967"/>
      <c r="BW88" s="698"/>
      <c r="BX88" s="698"/>
      <c r="BY88" s="698"/>
      <c r="BZ88" s="698"/>
      <c r="CA88" s="1968"/>
      <c r="CB88" s="1408"/>
    </row>
    <row r="89" spans="2:82" s="234" customFormat="1" ht="14.25" customHeight="1">
      <c r="B89" s="1357" t="s">
        <v>410</v>
      </c>
      <c r="C89" s="695"/>
      <c r="D89" s="516"/>
      <c r="E89" s="516"/>
      <c r="F89" s="516"/>
      <c r="G89" s="517"/>
      <c r="H89" s="584"/>
      <c r="I89" s="516"/>
      <c r="J89" s="516"/>
      <c r="K89" s="517"/>
      <c r="L89" s="584"/>
      <c r="M89" s="516"/>
      <c r="N89" s="516"/>
      <c r="O89" s="517"/>
      <c r="P89" s="584"/>
      <c r="Q89" s="516"/>
      <c r="R89" s="516"/>
      <c r="S89" s="517"/>
      <c r="T89" s="696"/>
      <c r="U89" s="516"/>
      <c r="V89" s="516"/>
      <c r="W89" s="517"/>
      <c r="X89" s="696"/>
      <c r="Y89" s="516"/>
      <c r="Z89" s="516"/>
      <c r="AA89" s="517"/>
      <c r="AB89" s="516"/>
      <c r="AC89" s="516"/>
      <c r="AD89" s="516"/>
      <c r="AE89" s="517" t="s">
        <v>406</v>
      </c>
      <c r="AF89" s="516" t="s">
        <v>406</v>
      </c>
      <c r="AG89" s="516" t="s">
        <v>405</v>
      </c>
      <c r="AH89" s="516" t="s">
        <v>405</v>
      </c>
      <c r="AI89" s="517"/>
      <c r="AJ89" s="1393"/>
      <c r="AK89" s="1393"/>
      <c r="AL89" s="1393"/>
      <c r="AM89" s="1394"/>
      <c r="AN89" s="1393"/>
      <c r="AO89" s="1393"/>
      <c r="AP89" s="1393"/>
      <c r="AQ89" s="1394"/>
      <c r="AR89" s="1393"/>
      <c r="AS89" s="1393"/>
      <c r="AT89" s="1393"/>
      <c r="AU89" s="1394"/>
      <c r="AV89" s="1393"/>
      <c r="AW89" s="1393"/>
      <c r="AX89" s="1393"/>
      <c r="AY89" s="1569"/>
      <c r="AZ89" s="1393"/>
      <c r="BA89" s="1393"/>
      <c r="BB89" s="1393"/>
      <c r="BC89" s="1393"/>
      <c r="BD89" s="1750"/>
      <c r="BE89" s="1393"/>
      <c r="BF89" s="1393"/>
      <c r="BG89" s="1569"/>
      <c r="BH89" s="1750"/>
      <c r="BI89" s="1393"/>
      <c r="BJ89" s="1393"/>
      <c r="BK89" s="1569"/>
      <c r="BL89" s="697"/>
      <c r="BM89" s="679"/>
      <c r="BN89" s="679"/>
      <c r="BO89" s="679"/>
      <c r="BP89" s="679"/>
      <c r="BQ89" s="679"/>
      <c r="BR89" s="679"/>
      <c r="BS89" s="679"/>
      <c r="BT89" s="679"/>
      <c r="BU89" s="679"/>
      <c r="BV89" s="1967"/>
      <c r="BW89" s="698"/>
      <c r="BX89" s="698"/>
      <c r="BY89" s="698"/>
      <c r="BZ89" s="698"/>
      <c r="CA89" s="1968"/>
      <c r="CB89" s="1408"/>
    </row>
    <row r="90" spans="2:82" s="234" customFormat="1" ht="14.25" customHeight="1">
      <c r="B90" s="1357" t="s">
        <v>411</v>
      </c>
      <c r="C90" s="695"/>
      <c r="D90" s="516"/>
      <c r="E90" s="516"/>
      <c r="F90" s="516"/>
      <c r="G90" s="517"/>
      <c r="H90" s="584"/>
      <c r="I90" s="516"/>
      <c r="J90" s="516"/>
      <c r="K90" s="517"/>
      <c r="L90" s="584"/>
      <c r="M90" s="516"/>
      <c r="N90" s="516"/>
      <c r="O90" s="517"/>
      <c r="P90" s="584"/>
      <c r="Q90" s="516"/>
      <c r="R90" s="516"/>
      <c r="S90" s="517"/>
      <c r="T90" s="696"/>
      <c r="U90" s="516"/>
      <c r="V90" s="516"/>
      <c r="W90" s="517"/>
      <c r="X90" s="696"/>
      <c r="Y90" s="516"/>
      <c r="Z90" s="516"/>
      <c r="AA90" s="517"/>
      <c r="AB90" s="516"/>
      <c r="AC90" s="516"/>
      <c r="AD90" s="516"/>
      <c r="AE90" s="517" t="s">
        <v>405</v>
      </c>
      <c r="AF90" s="516" t="s">
        <v>405</v>
      </c>
      <c r="AG90" s="516" t="s">
        <v>405</v>
      </c>
      <c r="AH90" s="516" t="s">
        <v>405</v>
      </c>
      <c r="AI90" s="517"/>
      <c r="AJ90" s="1393"/>
      <c r="AK90" s="1393"/>
      <c r="AL90" s="1393"/>
      <c r="AM90" s="1394"/>
      <c r="AN90" s="1393"/>
      <c r="AO90" s="1393"/>
      <c r="AP90" s="1393"/>
      <c r="AQ90" s="1394"/>
      <c r="AR90" s="1393"/>
      <c r="AS90" s="1393"/>
      <c r="AT90" s="1393"/>
      <c r="AU90" s="1394"/>
      <c r="AV90" s="1393"/>
      <c r="AW90" s="1393"/>
      <c r="AX90" s="1393"/>
      <c r="AY90" s="1569"/>
      <c r="AZ90" s="1393"/>
      <c r="BA90" s="1393"/>
      <c r="BB90" s="1393"/>
      <c r="BC90" s="1393"/>
      <c r="BD90" s="1750"/>
      <c r="BE90" s="1393"/>
      <c r="BF90" s="1393"/>
      <c r="BG90" s="1569"/>
      <c r="BH90" s="1750"/>
      <c r="BI90" s="1393"/>
      <c r="BJ90" s="1393"/>
      <c r="BK90" s="1569"/>
      <c r="BL90" s="697"/>
      <c r="BM90" s="679"/>
      <c r="BN90" s="679"/>
      <c r="BO90" s="679"/>
      <c r="BP90" s="679"/>
      <c r="BQ90" s="679"/>
      <c r="BR90" s="679"/>
      <c r="BS90" s="679"/>
      <c r="BT90" s="679"/>
      <c r="BU90" s="679"/>
      <c r="BV90" s="1967"/>
      <c r="BW90" s="698"/>
      <c r="BX90" s="698"/>
      <c r="BY90" s="698"/>
      <c r="BZ90" s="698"/>
      <c r="CA90" s="1968"/>
      <c r="CB90" s="1408"/>
    </row>
    <row r="91" spans="2:82" s="7" customFormat="1" ht="14.25" customHeight="1">
      <c r="B91" s="660"/>
      <c r="C91" s="380"/>
      <c r="D91" s="500"/>
      <c r="E91" s="500"/>
      <c r="F91" s="500"/>
      <c r="G91" s="501"/>
      <c r="H91" s="606"/>
      <c r="I91" s="500"/>
      <c r="J91" s="500"/>
      <c r="K91" s="501"/>
      <c r="L91" s="606"/>
      <c r="M91" s="500"/>
      <c r="N91" s="500"/>
      <c r="O91" s="501"/>
      <c r="P91" s="606"/>
      <c r="Q91" s="500"/>
      <c r="R91" s="500"/>
      <c r="S91" s="501"/>
      <c r="T91" s="514"/>
      <c r="U91" s="52"/>
      <c r="V91" s="52"/>
      <c r="W91" s="499"/>
      <c r="X91" s="514"/>
      <c r="Y91" s="52"/>
      <c r="Z91" s="52"/>
      <c r="AA91" s="499"/>
      <c r="AB91" s="514"/>
      <c r="AC91" s="52"/>
      <c r="AD91" s="52"/>
      <c r="AE91" s="694" t="s">
        <v>373</v>
      </c>
      <c r="AF91" s="503"/>
      <c r="AG91" s="503"/>
      <c r="AH91" s="503"/>
      <c r="AI91" s="502" t="s">
        <v>373</v>
      </c>
      <c r="AJ91" s="503"/>
      <c r="AK91" s="503"/>
      <c r="AL91" s="503"/>
      <c r="AM91" s="502"/>
      <c r="AN91" s="503"/>
      <c r="AO91" s="503"/>
      <c r="AP91" s="503"/>
      <c r="AQ91" s="502"/>
      <c r="AR91" s="503"/>
      <c r="AS91" s="503"/>
      <c r="AT91" s="503"/>
      <c r="AU91" s="502"/>
      <c r="AV91" s="503"/>
      <c r="AW91" s="503"/>
      <c r="AX91" s="503"/>
      <c r="AY91" s="1570"/>
      <c r="AZ91" s="503"/>
      <c r="BA91" s="503"/>
      <c r="BB91" s="503"/>
      <c r="BC91" s="503"/>
      <c r="BD91" s="1751"/>
      <c r="BE91" s="503"/>
      <c r="BF91" s="503"/>
      <c r="BG91" s="1570"/>
      <c r="BH91" s="1751"/>
      <c r="BI91" s="503"/>
      <c r="BJ91" s="503"/>
      <c r="BK91" s="1570"/>
      <c r="BL91" s="244"/>
      <c r="BM91" s="369"/>
      <c r="BN91" s="369"/>
      <c r="BO91" s="369"/>
      <c r="BP91" s="369"/>
      <c r="BQ91" s="369"/>
      <c r="BR91" s="369"/>
      <c r="BS91" s="369"/>
      <c r="BT91" s="369"/>
      <c r="BU91" s="369"/>
      <c r="BV91" s="922"/>
      <c r="BW91" s="235"/>
      <c r="BX91" s="235"/>
      <c r="BY91" s="235"/>
      <c r="BZ91" s="235"/>
      <c r="CA91" s="1969"/>
      <c r="CB91" s="1408"/>
    </row>
    <row r="92" spans="2:82" s="7" customFormat="1" ht="14.25" customHeight="1">
      <c r="B92" s="661" t="s">
        <v>415</v>
      </c>
      <c r="C92" s="662"/>
      <c r="D92" s="670"/>
      <c r="E92" s="670"/>
      <c r="F92" s="670"/>
      <c r="G92" s="684"/>
      <c r="H92" s="670"/>
      <c r="I92" s="670"/>
      <c r="J92" s="670"/>
      <c r="K92" s="684"/>
      <c r="L92" s="670"/>
      <c r="M92" s="670"/>
      <c r="N92" s="670"/>
      <c r="O92" s="684"/>
      <c r="P92" s="670"/>
      <c r="Q92" s="670"/>
      <c r="R92" s="670"/>
      <c r="S92" s="684"/>
      <c r="T92" s="664"/>
      <c r="U92" s="664"/>
      <c r="V92" s="664"/>
      <c r="W92" s="665"/>
      <c r="X92" s="664"/>
      <c r="Y92" s="664"/>
      <c r="Z92" s="673"/>
      <c r="AA92" s="675"/>
      <c r="AB92" s="673"/>
      <c r="AC92" s="673"/>
      <c r="AD92" s="673"/>
      <c r="AE92" s="675"/>
      <c r="AF92" s="664"/>
      <c r="AG92" s="664"/>
      <c r="AH92" s="664"/>
      <c r="AI92" s="665"/>
      <c r="AJ92" s="664"/>
      <c r="AK92" s="664"/>
      <c r="AL92" s="664"/>
      <c r="AM92" s="665"/>
      <c r="AN92" s="664"/>
      <c r="AO92" s="664"/>
      <c r="AP92" s="664"/>
      <c r="AQ92" s="665"/>
      <c r="AR92" s="664"/>
      <c r="AS92" s="664"/>
      <c r="AT92" s="664"/>
      <c r="AU92" s="665"/>
      <c r="AV92" s="664"/>
      <c r="AW92" s="664"/>
      <c r="AX92" s="664"/>
      <c r="AY92" s="665"/>
      <c r="AZ92" s="664"/>
      <c r="BA92" s="664"/>
      <c r="BB92" s="664"/>
      <c r="BC92" s="664"/>
      <c r="BD92" s="1752"/>
      <c r="BE92" s="664"/>
      <c r="BF92" s="664"/>
      <c r="BG92" s="665"/>
      <c r="BH92" s="1752"/>
      <c r="BI92" s="664"/>
      <c r="BJ92" s="664"/>
      <c r="BK92" s="665"/>
      <c r="BL92" s="244"/>
      <c r="BM92" s="685"/>
      <c r="BN92" s="686"/>
      <c r="BO92" s="686"/>
      <c r="BP92" s="686"/>
      <c r="BQ92" s="686"/>
      <c r="BR92" s="686"/>
      <c r="BS92" s="686"/>
      <c r="BT92" s="686"/>
      <c r="BU92" s="686"/>
      <c r="BV92" s="1973"/>
      <c r="BW92" s="1935"/>
      <c r="BX92" s="1935"/>
      <c r="BY92" s="1935"/>
      <c r="BZ92" s="1935"/>
      <c r="CA92" s="1935"/>
      <c r="CB92" s="1408"/>
    </row>
    <row r="93" spans="2:82" s="7" customFormat="1" ht="14.25" customHeight="1">
      <c r="B93" s="660"/>
      <c r="C93" s="380"/>
      <c r="D93" s="500"/>
      <c r="E93" s="500"/>
      <c r="F93" s="500"/>
      <c r="G93" s="501"/>
      <c r="H93" s="500"/>
      <c r="I93" s="500"/>
      <c r="J93" s="500"/>
      <c r="K93" s="501"/>
      <c r="L93" s="500"/>
      <c r="M93" s="500"/>
      <c r="N93" s="500"/>
      <c r="O93" s="501"/>
      <c r="P93" s="500"/>
      <c r="Q93" s="500"/>
      <c r="R93" s="500"/>
      <c r="S93" s="501"/>
      <c r="T93" s="514"/>
      <c r="U93" s="52"/>
      <c r="V93" s="52"/>
      <c r="W93" s="499"/>
      <c r="X93" s="514"/>
      <c r="Y93" s="52"/>
      <c r="Z93" s="52"/>
      <c r="AA93" s="499"/>
      <c r="AB93" s="514"/>
      <c r="AC93" s="52"/>
      <c r="AD93" s="52"/>
      <c r="AE93" s="499"/>
      <c r="AF93" s="503"/>
      <c r="AG93" s="503"/>
      <c r="AH93" s="503"/>
      <c r="AI93" s="502"/>
      <c r="AJ93" s="503"/>
      <c r="AK93" s="503"/>
      <c r="AL93" s="503"/>
      <c r="AM93" s="502"/>
      <c r="AN93" s="503"/>
      <c r="AO93" s="503"/>
      <c r="AP93" s="503"/>
      <c r="AQ93" s="502"/>
      <c r="AR93" s="503"/>
      <c r="AS93" s="503"/>
      <c r="AT93" s="503"/>
      <c r="AU93" s="502"/>
      <c r="AV93" s="503"/>
      <c r="AW93" s="503"/>
      <c r="AX93" s="503"/>
      <c r="AY93" s="1570"/>
      <c r="AZ93" s="503"/>
      <c r="BA93" s="503"/>
      <c r="BB93" s="503"/>
      <c r="BC93" s="503"/>
      <c r="BD93" s="1751"/>
      <c r="BE93" s="503"/>
      <c r="BF93" s="503"/>
      <c r="BG93" s="1570"/>
      <c r="BH93" s="1751"/>
      <c r="BI93" s="503"/>
      <c r="BJ93" s="503"/>
      <c r="BK93" s="1570"/>
      <c r="BL93" s="244"/>
      <c r="BM93" s="369"/>
      <c r="BN93" s="369"/>
      <c r="BO93" s="369"/>
      <c r="BP93" s="369"/>
      <c r="BQ93" s="369"/>
      <c r="BR93" s="369"/>
      <c r="BS93" s="369"/>
      <c r="BT93" s="369"/>
      <c r="BU93" s="369"/>
      <c r="BV93" s="390"/>
      <c r="BW93" s="389"/>
      <c r="BX93" s="389"/>
      <c r="BY93" s="389"/>
      <c r="BZ93" s="389"/>
      <c r="CA93" s="238"/>
      <c r="CB93" s="1408"/>
    </row>
    <row r="94" spans="2:82" s="285" customFormat="1" ht="14.25" customHeight="1">
      <c r="B94" s="1355" t="s">
        <v>394</v>
      </c>
      <c r="C94" s="635"/>
      <c r="D94" s="618"/>
      <c r="E94" s="618"/>
      <c r="F94" s="618"/>
      <c r="G94" s="609"/>
      <c r="H94" s="618"/>
      <c r="I94" s="618"/>
      <c r="J94" s="618"/>
      <c r="K94" s="609"/>
      <c r="L94" s="618"/>
      <c r="M94" s="618"/>
      <c r="N94" s="618"/>
      <c r="O94" s="609"/>
      <c r="P94" s="618"/>
      <c r="Q94" s="618"/>
      <c r="R94" s="618"/>
      <c r="S94" s="609"/>
      <c r="T94" s="1025">
        <f t="shared" ref="T94:AM94" si="408">T98-SUM(T61,T70,T85)</f>
        <v>117.5021999999999</v>
      </c>
      <c r="U94" s="1025">
        <f t="shared" si="408"/>
        <v>132.42739999999992</v>
      </c>
      <c r="V94" s="1025">
        <f t="shared" si="408"/>
        <v>214.04787798715211</v>
      </c>
      <c r="W94" s="1026">
        <f t="shared" si="408"/>
        <v>239.60753474304079</v>
      </c>
      <c r="X94" s="1025">
        <f t="shared" si="408"/>
        <v>141.73300000000006</v>
      </c>
      <c r="Y94" s="1025">
        <f t="shared" si="408"/>
        <v>152.94799999999987</v>
      </c>
      <c r="Z94" s="1025">
        <f t="shared" si="408"/>
        <v>165.77199999999993</v>
      </c>
      <c r="AA94" s="1026">
        <f t="shared" si="408"/>
        <v>158.67100000000005</v>
      </c>
      <c r="AB94" s="1025">
        <f t="shared" si="408"/>
        <v>152.40000000000009</v>
      </c>
      <c r="AC94" s="1025">
        <f t="shared" si="408"/>
        <v>195.78555000000006</v>
      </c>
      <c r="AD94" s="1025">
        <f t="shared" si="408"/>
        <v>268.04999999999995</v>
      </c>
      <c r="AE94" s="1026">
        <f t="shared" si="408"/>
        <v>249.95154135338339</v>
      </c>
      <c r="AF94" s="1025">
        <f t="shared" si="408"/>
        <v>226.33181000000013</v>
      </c>
      <c r="AG94" s="1025">
        <f t="shared" si="408"/>
        <v>195.04467999999997</v>
      </c>
      <c r="AH94" s="1025">
        <f t="shared" si="408"/>
        <v>210.75985000000003</v>
      </c>
      <c r="AI94" s="1026">
        <f t="shared" si="408"/>
        <v>165.20875000000001</v>
      </c>
      <c r="AJ94" s="1027">
        <f t="shared" si="408"/>
        <v>172.1596764026956</v>
      </c>
      <c r="AK94" s="1025">
        <f t="shared" si="408"/>
        <v>168.23250000000007</v>
      </c>
      <c r="AL94" s="1025">
        <f t="shared" si="408"/>
        <v>130.83127878648804</v>
      </c>
      <c r="AM94" s="1026">
        <f t="shared" si="408"/>
        <v>119.50357585022971</v>
      </c>
      <c r="AN94" s="1396">
        <v>62.5</v>
      </c>
      <c r="AO94" s="1397">
        <v>62.5</v>
      </c>
      <c r="AP94" s="1397">
        <v>62.5</v>
      </c>
      <c r="AQ94" s="1398">
        <v>62.5</v>
      </c>
      <c r="AR94" s="1404">
        <f t="shared" ref="AR94:AZ94" si="409">+AQ94*(1+AR95)</f>
        <v>59.45946856389503</v>
      </c>
      <c r="AS94" s="1405">
        <f t="shared" si="409"/>
        <v>58.946018650788858</v>
      </c>
      <c r="AT94" s="1405">
        <f t="shared" si="409"/>
        <v>61.893319583328307</v>
      </c>
      <c r="AU94" s="1406">
        <f t="shared" si="409"/>
        <v>64.987985562494728</v>
      </c>
      <c r="AV94" s="1404">
        <f t="shared" si="409"/>
        <v>61.738586284369987</v>
      </c>
      <c r="AW94" s="1405">
        <f t="shared" si="409"/>
        <v>61.738586284369987</v>
      </c>
      <c r="AX94" s="1405">
        <f t="shared" si="409"/>
        <v>62.355972147213684</v>
      </c>
      <c r="AY94" s="1571">
        <f t="shared" si="409"/>
        <v>60.485292982797269</v>
      </c>
      <c r="AZ94" s="1404">
        <f t="shared" si="409"/>
        <v>60.485292982797269</v>
      </c>
      <c r="BA94" s="1405">
        <f t="shared" ref="BA94" si="410">+AZ94*(1+BA95)</f>
        <v>60.485292982797269</v>
      </c>
      <c r="BB94" s="1405">
        <f t="shared" ref="BB94" si="411">+BA94*(1+BB95)</f>
        <v>60.485292982797269</v>
      </c>
      <c r="BC94" s="1405">
        <f t="shared" ref="BC94" si="412">+BB94*(1+BC95)</f>
        <v>60.598112293228567</v>
      </c>
      <c r="BD94" s="1404">
        <f t="shared" ref="BD94" si="413">+BC94*(1+BD95)</f>
        <v>60.598112293228567</v>
      </c>
      <c r="BE94" s="1405">
        <f t="shared" ref="BE94" si="414">+BD94*(1+BE95)</f>
        <v>57.568206678567137</v>
      </c>
      <c r="BF94" s="1405">
        <f t="shared" ref="BF94" si="415">+BE94*(1+BF95)</f>
        <v>54.689796344638779</v>
      </c>
      <c r="BG94" s="1571">
        <f t="shared" ref="BG94" si="416">+BF94*(1+BG95)</f>
        <v>51.95530652740684</v>
      </c>
      <c r="BH94" s="1404">
        <f t="shared" ref="BH94" si="417">+BG94*(1+BH95)</f>
        <v>51.95530652740684</v>
      </c>
      <c r="BI94" s="1405">
        <f t="shared" ref="BI94" si="418">+BH94*(1+BI95)</f>
        <v>51.95530652740684</v>
      </c>
      <c r="BJ94" s="1405">
        <f t="shared" ref="BJ94" si="419">+BI94*(1+BJ95)</f>
        <v>51.95530652740684</v>
      </c>
      <c r="BK94" s="1571">
        <f t="shared" ref="BK94" si="420">+BJ94*(1+BK95)</f>
        <v>52.052215405029962</v>
      </c>
      <c r="BL94" s="313"/>
      <c r="BM94" s="365"/>
      <c r="BN94" s="365"/>
      <c r="BO94" s="365"/>
      <c r="BP94" s="365"/>
      <c r="BQ94" s="391">
        <f>SUM(T94:W94)</f>
        <v>703.58501273019272</v>
      </c>
      <c r="BR94" s="391">
        <f>SUM(X94:AA94)</f>
        <v>619.12399999999991</v>
      </c>
      <c r="BS94" s="391">
        <f>SUM(AB94:AE94)</f>
        <v>866.18709135338349</v>
      </c>
      <c r="BT94" s="391">
        <f>SUM(AF94:AI94)</f>
        <v>797.34509000000014</v>
      </c>
      <c r="BU94" s="391">
        <f>SUM(AJ94:AM94)</f>
        <v>590.72703103941342</v>
      </c>
      <c r="BV94" s="1974">
        <f>+SUM(AN94:AQ94)</f>
        <v>250</v>
      </c>
      <c r="BW94" s="391">
        <f>SUM(AR94:AU94)</f>
        <v>245.28679236050692</v>
      </c>
      <c r="BX94" s="391">
        <f>SUM(AV94:AY94)</f>
        <v>246.31843769875093</v>
      </c>
      <c r="BY94" s="391">
        <f>SUM(AZ94:BC94)</f>
        <v>242.05399124162039</v>
      </c>
      <c r="BZ94" s="391">
        <f>SUM(BD94:BG94)</f>
        <v>224.81142184384132</v>
      </c>
      <c r="CA94" s="1657">
        <f>SUM(BH94:BK94)</f>
        <v>207.91813498725048</v>
      </c>
      <c r="CB94" s="1408"/>
    </row>
    <row r="95" spans="2:82" s="7" customFormat="1" ht="14.25" customHeight="1">
      <c r="B95" s="1354" t="s">
        <v>390</v>
      </c>
      <c r="C95" s="380"/>
      <c r="D95" s="608"/>
      <c r="E95" s="608"/>
      <c r="F95" s="608"/>
      <c r="G95" s="609"/>
      <c r="H95" s="608"/>
      <c r="I95" s="608"/>
      <c r="J95" s="608"/>
      <c r="K95" s="609"/>
      <c r="L95" s="608"/>
      <c r="M95" s="608"/>
      <c r="N95" s="608"/>
      <c r="O95" s="609"/>
      <c r="P95" s="608"/>
      <c r="Q95" s="608"/>
      <c r="R95" s="608"/>
      <c r="S95" s="609"/>
      <c r="T95" s="514"/>
      <c r="U95" s="52">
        <f t="shared" ref="U95:AQ95" si="421">U94/T94-1</f>
        <v>0.12702060046535335</v>
      </c>
      <c r="V95" s="500">
        <f t="shared" si="421"/>
        <v>0.61634131597503417</v>
      </c>
      <c r="W95" s="501">
        <f t="shared" si="421"/>
        <v>0.11941093271395498</v>
      </c>
      <c r="X95" s="514">
        <f t="shared" si="421"/>
        <v>-0.4084785349008454</v>
      </c>
      <c r="Y95" s="52">
        <f t="shared" si="421"/>
        <v>7.9127655521295637E-2</v>
      </c>
      <c r="Z95" s="500">
        <f t="shared" si="421"/>
        <v>8.3845489970447939E-2</v>
      </c>
      <c r="AA95" s="501">
        <f t="shared" si="421"/>
        <v>-4.2835943343869198E-2</v>
      </c>
      <c r="AB95" s="514">
        <f t="shared" si="421"/>
        <v>-3.9522029860528773E-2</v>
      </c>
      <c r="AC95" s="52">
        <f t="shared" si="421"/>
        <v>0.28468208661417282</v>
      </c>
      <c r="AD95" s="500">
        <f t="shared" si="421"/>
        <v>0.36910001785116364</v>
      </c>
      <c r="AE95" s="501">
        <f t="shared" si="421"/>
        <v>-6.7518965292358013E-2</v>
      </c>
      <c r="AF95" s="512">
        <f t="shared" si="421"/>
        <v>-9.4497242247406299E-2</v>
      </c>
      <c r="AG95" s="512">
        <f t="shared" si="421"/>
        <v>-0.13823567266130266</v>
      </c>
      <c r="AH95" s="512">
        <f t="shared" si="421"/>
        <v>8.0572154031579135E-2</v>
      </c>
      <c r="AI95" s="513">
        <f t="shared" si="421"/>
        <v>-0.21612797693678376</v>
      </c>
      <c r="AJ95" s="512">
        <f t="shared" si="421"/>
        <v>4.2073597207748392E-2</v>
      </c>
      <c r="AK95" s="512">
        <f t="shared" si="421"/>
        <v>-2.2811244100561234E-2</v>
      </c>
      <c r="AL95" s="512">
        <f t="shared" si="421"/>
        <v>-0.22231864362422249</v>
      </c>
      <c r="AM95" s="513">
        <f t="shared" si="421"/>
        <v>-8.6582528591994667E-2</v>
      </c>
      <c r="AN95" s="512">
        <f t="shared" si="421"/>
        <v>-0.47700309756145376</v>
      </c>
      <c r="AO95" s="512">
        <f t="shared" si="421"/>
        <v>0</v>
      </c>
      <c r="AP95" s="512">
        <f t="shared" si="421"/>
        <v>0</v>
      </c>
      <c r="AQ95" s="513">
        <f t="shared" si="421"/>
        <v>0</v>
      </c>
      <c r="AR95" s="1399">
        <v>-4.8648502977679531E-2</v>
      </c>
      <c r="AS95" s="1399">
        <v>-8.6352926709127864E-3</v>
      </c>
      <c r="AT95" s="1399">
        <v>0.05</v>
      </c>
      <c r="AU95" s="1400">
        <v>0.05</v>
      </c>
      <c r="AV95" s="1399">
        <v>-0.05</v>
      </c>
      <c r="AW95" s="1399">
        <v>0</v>
      </c>
      <c r="AX95" s="1572">
        <v>0.01</v>
      </c>
      <c r="AY95" s="1573">
        <v>-0.03</v>
      </c>
      <c r="AZ95" s="1572">
        <v>0</v>
      </c>
      <c r="BA95" s="1399">
        <v>0</v>
      </c>
      <c r="BB95" s="1399">
        <v>0</v>
      </c>
      <c r="BC95" s="1399">
        <v>1.86523541290258E-3</v>
      </c>
      <c r="BD95" s="1753">
        <v>0</v>
      </c>
      <c r="BE95" s="1399">
        <v>-0.05</v>
      </c>
      <c r="BF95" s="1399">
        <v>-0.05</v>
      </c>
      <c r="BG95" s="1399">
        <v>-0.05</v>
      </c>
      <c r="BH95" s="1753">
        <v>0</v>
      </c>
      <c r="BI95" s="1399">
        <v>0</v>
      </c>
      <c r="BJ95" s="1399">
        <v>0</v>
      </c>
      <c r="BK95" s="1754">
        <v>1.86523541290258E-3</v>
      </c>
      <c r="BL95" s="295"/>
      <c r="BM95" s="365"/>
      <c r="BN95" s="365"/>
      <c r="BO95" s="365"/>
      <c r="BP95" s="365"/>
      <c r="BQ95" s="365"/>
      <c r="BR95" s="1337">
        <f t="shared" ref="BR95:CA95" si="422">BR94/BQ94-1</f>
        <v>-0.12004379172667434</v>
      </c>
      <c r="BS95" s="1337">
        <f t="shared" si="422"/>
        <v>0.39905267984019943</v>
      </c>
      <c r="BT95" s="1337">
        <f t="shared" si="422"/>
        <v>-7.9477057601747947E-2</v>
      </c>
      <c r="BU95" s="1337">
        <f t="shared" si="422"/>
        <v>-0.25913254066766334</v>
      </c>
      <c r="BV95" s="1961">
        <f t="shared" si="422"/>
        <v>-0.57679268619194102</v>
      </c>
      <c r="BW95" s="1338">
        <f t="shared" si="422"/>
        <v>-1.8852830557972267E-2</v>
      </c>
      <c r="BX95" s="1338">
        <f t="shared" si="422"/>
        <v>4.2058739825165947E-3</v>
      </c>
      <c r="BY95" s="1338">
        <f t="shared" si="422"/>
        <v>-1.7312737515597476E-2</v>
      </c>
      <c r="BZ95" s="1338">
        <f t="shared" si="422"/>
        <v>-7.1234394067757334E-2</v>
      </c>
      <c r="CA95" s="1661">
        <f t="shared" si="422"/>
        <v>-7.5144255207483468E-2</v>
      </c>
      <c r="CB95" s="1408"/>
    </row>
    <row r="96" spans="2:82" s="7" customFormat="1" ht="14.25" customHeight="1">
      <c r="B96" s="1354" t="s">
        <v>391</v>
      </c>
      <c r="C96" s="380"/>
      <c r="D96" s="608"/>
      <c r="E96" s="608"/>
      <c r="F96" s="608"/>
      <c r="G96" s="609"/>
      <c r="H96" s="608"/>
      <c r="I96" s="608"/>
      <c r="J96" s="608"/>
      <c r="K96" s="609"/>
      <c r="L96" s="608"/>
      <c r="M96" s="608"/>
      <c r="N96" s="608"/>
      <c r="O96" s="609"/>
      <c r="P96" s="608"/>
      <c r="Q96" s="608"/>
      <c r="R96" s="608"/>
      <c r="S96" s="609"/>
      <c r="T96" s="514"/>
      <c r="U96" s="52"/>
      <c r="V96" s="500"/>
      <c r="W96" s="501"/>
      <c r="X96" s="514">
        <f>X94/T94-1</f>
        <v>0.20621571340792078</v>
      </c>
      <c r="Y96" s="52">
        <f t="shared" ref="Y96:AU96" si="423">Y94/U94-1</f>
        <v>0.15495735776734998</v>
      </c>
      <c r="Z96" s="500">
        <f t="shared" si="423"/>
        <v>-0.22553775557658118</v>
      </c>
      <c r="AA96" s="501">
        <f t="shared" si="423"/>
        <v>-0.33778793655148809</v>
      </c>
      <c r="AB96" s="514">
        <f t="shared" si="423"/>
        <v>7.5261230623778763E-2</v>
      </c>
      <c r="AC96" s="514">
        <f t="shared" si="423"/>
        <v>0.2800791772367095</v>
      </c>
      <c r="AD96" s="514">
        <f t="shared" si="423"/>
        <v>0.616979948362812</v>
      </c>
      <c r="AE96" s="515">
        <f t="shared" si="423"/>
        <v>0.57528181805990575</v>
      </c>
      <c r="AF96" s="512">
        <f t="shared" si="423"/>
        <v>0.4851168635170604</v>
      </c>
      <c r="AG96" s="512">
        <f t="shared" si="423"/>
        <v>-3.78408927523044E-3</v>
      </c>
      <c r="AH96" s="512">
        <f t="shared" si="423"/>
        <v>-0.21372934154075707</v>
      </c>
      <c r="AI96" s="513">
        <f t="shared" si="423"/>
        <v>-0.33903688248744734</v>
      </c>
      <c r="AJ96" s="512">
        <f t="shared" si="423"/>
        <v>-0.23934829840005478</v>
      </c>
      <c r="AK96" s="512">
        <f t="shared" si="423"/>
        <v>-0.13746686143913234</v>
      </c>
      <c r="AL96" s="512">
        <f t="shared" si="423"/>
        <v>-0.37924002704268378</v>
      </c>
      <c r="AM96" s="513">
        <f t="shared" si="423"/>
        <v>-0.2766510499581305</v>
      </c>
      <c r="AN96" s="512">
        <f t="shared" si="423"/>
        <v>-0.6369649310108636</v>
      </c>
      <c r="AO96" s="512">
        <f t="shared" si="423"/>
        <v>-0.62849033331847304</v>
      </c>
      <c r="AP96" s="512">
        <f t="shared" si="423"/>
        <v>-0.52228549182036388</v>
      </c>
      <c r="AQ96" s="513">
        <f t="shared" si="423"/>
        <v>-0.47700309756145376</v>
      </c>
      <c r="AR96" s="512">
        <f t="shared" si="423"/>
        <v>-4.8648502977679531E-2</v>
      </c>
      <c r="AS96" s="512">
        <f t="shared" si="423"/>
        <v>-5.6863701587378301E-2</v>
      </c>
      <c r="AT96" s="512">
        <f t="shared" si="423"/>
        <v>-9.7068866667471276E-3</v>
      </c>
      <c r="AU96" s="513">
        <f t="shared" si="423"/>
        <v>3.9807768999915671E-2</v>
      </c>
      <c r="AV96" s="512">
        <f t="shared" ref="AV96" si="424">AV94/AR94-1</f>
        <v>3.8330610338802806E-2</v>
      </c>
      <c r="AW96" s="512">
        <f t="shared" ref="AW96:AZ96" si="425">AW94/AS94-1</f>
        <v>4.7375000000000167E-2</v>
      </c>
      <c r="AX96" s="1574">
        <f t="shared" si="425"/>
        <v>7.4749999999998984E-3</v>
      </c>
      <c r="AY96" s="1575">
        <f t="shared" si="425"/>
        <v>-6.9285000000000152E-2</v>
      </c>
      <c r="AZ96" s="1574">
        <f t="shared" si="425"/>
        <v>-2.0300000000000096E-2</v>
      </c>
      <c r="BA96" s="512">
        <f t="shared" ref="BA96" si="426">BA94/AW94-1</f>
        <v>-2.0300000000000096E-2</v>
      </c>
      <c r="BB96" s="512">
        <f t="shared" ref="BB96" si="427">BB94/AX94-1</f>
        <v>-3.0000000000000027E-2</v>
      </c>
      <c r="BC96" s="512">
        <f t="shared" ref="BC96" si="428">BC94/AY94-1</f>
        <v>1.8652354129025106E-3</v>
      </c>
      <c r="BD96" s="542">
        <f t="shared" ref="BD96" si="429">BD94/AZ94-1</f>
        <v>1.8652354129025106E-3</v>
      </c>
      <c r="BE96" s="512">
        <f t="shared" ref="BE96" si="430">BE94/BA94-1</f>
        <v>-4.8228026357742593E-2</v>
      </c>
      <c r="BF96" s="512">
        <f t="shared" ref="BF96" si="431">BF94/BB94-1</f>
        <v>-9.5816625039855552E-2</v>
      </c>
      <c r="BG96" s="1755">
        <f t="shared" ref="BG96" si="432">BG94/BC94-1</f>
        <v>-0.142625</v>
      </c>
      <c r="BH96" s="542">
        <f t="shared" ref="BH96" si="433">BH94/BD94-1</f>
        <v>-0.142625</v>
      </c>
      <c r="BI96" s="512">
        <f t="shared" ref="BI96" si="434">BI94/BE94-1</f>
        <v>-9.7500000000000031E-2</v>
      </c>
      <c r="BJ96" s="512">
        <f t="shared" ref="BJ96" si="435">BJ94/BF94-1</f>
        <v>-5.0000000000000044E-2</v>
      </c>
      <c r="BK96" s="1755">
        <f t="shared" ref="BK96" si="436">BK94/BG94-1</f>
        <v>1.8652354129025106E-3</v>
      </c>
      <c r="BL96" s="311"/>
      <c r="BM96" s="365"/>
      <c r="BN96" s="365"/>
      <c r="BO96" s="365"/>
      <c r="BP96" s="365"/>
      <c r="BQ96" s="365"/>
      <c r="BR96" s="365"/>
      <c r="BS96" s="679"/>
      <c r="BT96" s="253"/>
      <c r="BU96" s="253"/>
      <c r="BV96" s="1946"/>
      <c r="BW96" s="13"/>
      <c r="BX96" s="13"/>
      <c r="BY96" s="13"/>
      <c r="BZ96" s="13"/>
      <c r="CA96" s="1664"/>
      <c r="CB96" s="1408"/>
    </row>
    <row r="97" spans="1:80" s="7" customFormat="1" ht="14.25" customHeight="1">
      <c r="B97" s="1350"/>
      <c r="C97" s="380"/>
      <c r="D97" s="516"/>
      <c r="E97" s="516"/>
      <c r="F97" s="516"/>
      <c r="G97" s="517"/>
      <c r="H97" s="584"/>
      <c r="I97" s="516"/>
      <c r="J97" s="516"/>
      <c r="K97" s="517"/>
      <c r="L97" s="584"/>
      <c r="M97" s="516"/>
      <c r="N97" s="516"/>
      <c r="O97" s="517"/>
      <c r="P97" s="584"/>
      <c r="Q97" s="516"/>
      <c r="R97" s="516"/>
      <c r="S97" s="517"/>
      <c r="T97" s="52"/>
      <c r="U97" s="52"/>
      <c r="V97" s="52"/>
      <c r="W97" s="499"/>
      <c r="X97" s="52"/>
      <c r="Y97" s="52"/>
      <c r="Z97" s="52"/>
      <c r="AA97" s="499"/>
      <c r="AB97" s="52"/>
      <c r="AC97" s="52"/>
      <c r="AD97" s="52"/>
      <c r="AE97" s="499"/>
      <c r="AF97" s="516"/>
      <c r="AG97" s="516"/>
      <c r="AH97" s="516"/>
      <c r="AI97" s="517"/>
      <c r="AJ97" s="516"/>
      <c r="AK97" s="516"/>
      <c r="AL97" s="516"/>
      <c r="AM97" s="517"/>
      <c r="AN97" s="516"/>
      <c r="AO97" s="516"/>
      <c r="AP97" s="516"/>
      <c r="AQ97" s="517"/>
      <c r="AR97" s="516"/>
      <c r="AS97" s="516"/>
      <c r="AT97" s="516"/>
      <c r="AU97" s="517"/>
      <c r="AV97" s="516"/>
      <c r="AW97" s="516"/>
      <c r="AX97" s="516"/>
      <c r="AY97" s="1576"/>
      <c r="AZ97" s="516"/>
      <c r="BA97" s="516"/>
      <c r="BB97" s="516"/>
      <c r="BC97" s="516"/>
      <c r="BD97" s="584"/>
      <c r="BE97" s="516"/>
      <c r="BF97" s="516"/>
      <c r="BG97" s="1576"/>
      <c r="BH97" s="584"/>
      <c r="BI97" s="516"/>
      <c r="BJ97" s="516"/>
      <c r="BK97" s="1576"/>
      <c r="BL97" s="244"/>
      <c r="BM97" s="253"/>
      <c r="BN97" s="253"/>
      <c r="BO97" s="253"/>
      <c r="BP97" s="253"/>
      <c r="BQ97" s="253"/>
      <c r="BR97" s="253"/>
      <c r="BS97" s="253"/>
      <c r="BT97" s="253"/>
      <c r="BU97" s="253"/>
      <c r="BV97" s="1946"/>
      <c r="BW97" s="13"/>
      <c r="BX97" s="13"/>
      <c r="BY97" s="13"/>
      <c r="BZ97" s="13"/>
      <c r="CA97" s="1664"/>
      <c r="CB97" s="1408"/>
    </row>
    <row r="98" spans="1:80" s="7" customFormat="1" ht="14.25" customHeight="1">
      <c r="B98" s="1358" t="s">
        <v>277</v>
      </c>
      <c r="C98" s="380"/>
      <c r="D98" s="654"/>
      <c r="E98" s="654"/>
      <c r="F98" s="654"/>
      <c r="G98" s="655"/>
      <c r="H98" s="653"/>
      <c r="I98" s="654"/>
      <c r="J98" s="654"/>
      <c r="K98" s="655"/>
      <c r="L98" s="653"/>
      <c r="M98" s="654"/>
      <c r="N98" s="654"/>
      <c r="O98" s="655"/>
      <c r="P98" s="653"/>
      <c r="Q98" s="654"/>
      <c r="R98" s="654"/>
      <c r="S98" s="655"/>
      <c r="T98" s="1196">
        <v>942</v>
      </c>
      <c r="U98" s="1196">
        <v>910</v>
      </c>
      <c r="V98" s="1196">
        <v>1082</v>
      </c>
      <c r="W98" s="1197">
        <v>1220</v>
      </c>
      <c r="X98" s="1196">
        <v>1160</v>
      </c>
      <c r="Y98" s="1196">
        <v>1212</v>
      </c>
      <c r="Z98" s="1196">
        <v>1226</v>
      </c>
      <c r="AA98" s="1197">
        <v>1219</v>
      </c>
      <c r="AB98" s="1196">
        <v>1200</v>
      </c>
      <c r="AC98" s="1196">
        <v>1207</v>
      </c>
      <c r="AD98" s="1196">
        <v>1286</v>
      </c>
      <c r="AE98" s="1197">
        <v>1309</v>
      </c>
      <c r="AF98" s="1196">
        <v>1203</v>
      </c>
      <c r="AG98" s="1196">
        <v>1046</v>
      </c>
      <c r="AH98" s="1196">
        <v>927</v>
      </c>
      <c r="AI98" s="1197">
        <v>829</v>
      </c>
      <c r="AJ98" s="1196">
        <v>751</v>
      </c>
      <c r="AK98" s="1196">
        <v>841</v>
      </c>
      <c r="AL98" s="1196">
        <v>790</v>
      </c>
      <c r="AM98" s="1197">
        <v>722</v>
      </c>
      <c r="AN98" s="1196">
        <v>663</v>
      </c>
      <c r="AO98" s="1196">
        <v>669</v>
      </c>
      <c r="AP98" s="1196">
        <v>668.55178269047053</v>
      </c>
      <c r="AQ98" s="1197">
        <v>652.07446739272154</v>
      </c>
      <c r="AR98" s="1014"/>
      <c r="AS98" s="1117"/>
      <c r="AT98" s="1117"/>
      <c r="AU98" s="1118"/>
      <c r="AV98" s="1014"/>
      <c r="AW98" s="1117"/>
      <c r="AX98" s="1577"/>
      <c r="AY98" s="1578"/>
      <c r="AZ98" s="1790"/>
      <c r="BA98" s="1117"/>
      <c r="BB98" s="1117"/>
      <c r="BC98" s="1117"/>
      <c r="BD98" s="1756"/>
      <c r="BE98" s="1117"/>
      <c r="BF98" s="1117"/>
      <c r="BG98" s="1757"/>
      <c r="BH98" s="1756"/>
      <c r="BI98" s="1117"/>
      <c r="BJ98" s="1117"/>
      <c r="BK98" s="1757"/>
      <c r="BL98" s="311"/>
      <c r="BM98" s="365"/>
      <c r="BN98" s="365"/>
      <c r="BO98" s="365"/>
      <c r="BP98" s="365"/>
      <c r="BQ98" s="365">
        <f>SUM(T98:W98)</f>
        <v>4154</v>
      </c>
      <c r="BR98" s="365">
        <f>SUM(X98:AA98)</f>
        <v>4817</v>
      </c>
      <c r="BS98" s="365">
        <f>SUM(AB98:AE98)</f>
        <v>5002</v>
      </c>
      <c r="BT98" s="365">
        <f>SUM(AF98:AI98)</f>
        <v>4005</v>
      </c>
      <c r="BU98" s="365">
        <f>SUM(AJ98:AM98)</f>
        <v>3104</v>
      </c>
      <c r="BV98" s="1939">
        <f>+SUM(AN98:AQ98)</f>
        <v>2652.6262500831922</v>
      </c>
      <c r="BW98" s="13"/>
      <c r="BX98" s="13"/>
      <c r="BY98" s="13"/>
      <c r="BZ98" s="13"/>
      <c r="CA98" s="1664"/>
      <c r="CB98" s="1408"/>
    </row>
    <row r="99" spans="1:80" s="7" customFormat="1" ht="14.25" customHeight="1">
      <c r="B99" s="1359"/>
      <c r="C99" s="381"/>
      <c r="D99" s="523"/>
      <c r="E99" s="523"/>
      <c r="F99" s="523"/>
      <c r="G99" s="613"/>
      <c r="H99" s="562"/>
      <c r="I99" s="523"/>
      <c r="J99" s="523"/>
      <c r="K99" s="613"/>
      <c r="L99" s="562"/>
      <c r="M99" s="523"/>
      <c r="N99" s="523"/>
      <c r="O99" s="613"/>
      <c r="P99" s="562"/>
      <c r="Q99" s="523"/>
      <c r="R99" s="523"/>
      <c r="S99" s="613"/>
      <c r="T99" s="521"/>
      <c r="U99" s="521"/>
      <c r="V99" s="521"/>
      <c r="W99" s="522"/>
      <c r="X99" s="521"/>
      <c r="Y99" s="521"/>
      <c r="Z99" s="521"/>
      <c r="AA99" s="522"/>
      <c r="AB99" s="521"/>
      <c r="AC99" s="521"/>
      <c r="AD99" s="521"/>
      <c r="AE99" s="522"/>
      <c r="AF99" s="523"/>
      <c r="AG99" s="524"/>
      <c r="AH99" s="524"/>
      <c r="AI99" s="525"/>
      <c r="AJ99" s="523"/>
      <c r="AK99" s="524"/>
      <c r="AL99" s="524"/>
      <c r="AM99" s="525"/>
      <c r="AN99" s="523"/>
      <c r="AO99" s="524"/>
      <c r="AP99" s="524"/>
      <c r="AQ99" s="525"/>
      <c r="AR99" s="523"/>
      <c r="AS99" s="524"/>
      <c r="AT99" s="524"/>
      <c r="AU99" s="525"/>
      <c r="AV99" s="523"/>
      <c r="AW99" s="524"/>
      <c r="AX99" s="524"/>
      <c r="AY99" s="1579"/>
      <c r="AZ99" s="523"/>
      <c r="BA99" s="524"/>
      <c r="BB99" s="524"/>
      <c r="BC99" s="524"/>
      <c r="BD99" s="562"/>
      <c r="BE99" s="524"/>
      <c r="BF99" s="524"/>
      <c r="BG99" s="1579"/>
      <c r="BH99" s="562"/>
      <c r="BI99" s="524"/>
      <c r="BJ99" s="524"/>
      <c r="BK99" s="1579"/>
      <c r="BL99" s="244"/>
      <c r="BM99" s="235"/>
      <c r="BN99" s="235"/>
      <c r="BO99" s="235"/>
      <c r="BP99" s="235"/>
      <c r="BQ99" s="235"/>
      <c r="BR99" s="13"/>
      <c r="BS99" s="13"/>
      <c r="BT99" s="13"/>
      <c r="BU99" s="13"/>
      <c r="BV99" s="14"/>
      <c r="BW99" s="235"/>
      <c r="BX99" s="235"/>
      <c r="BY99" s="235"/>
      <c r="BZ99" s="235"/>
      <c r="CA99" s="1969"/>
      <c r="CB99" s="1408"/>
    </row>
    <row r="100" spans="1:80" s="1060" customFormat="1" ht="14.25" customHeight="1">
      <c r="B100" s="731" t="s">
        <v>396</v>
      </c>
      <c r="C100" s="1054"/>
      <c r="D100" s="1055"/>
      <c r="E100" s="1055"/>
      <c r="F100" s="1055"/>
      <c r="G100" s="1056"/>
      <c r="H100" s="1055"/>
      <c r="I100" s="1055"/>
      <c r="J100" s="1055"/>
      <c r="K100" s="1056"/>
      <c r="L100" s="1055"/>
      <c r="M100" s="1055"/>
      <c r="N100" s="1055"/>
      <c r="O100" s="1056"/>
      <c r="P100" s="1055"/>
      <c r="Q100" s="1055"/>
      <c r="R100" s="1055"/>
      <c r="S100" s="1056"/>
      <c r="T100" s="1055"/>
      <c r="U100" s="1055"/>
      <c r="V100" s="1055"/>
      <c r="W100" s="1056"/>
      <c r="X100" s="1055"/>
      <c r="Y100" s="1055"/>
      <c r="Z100" s="1055"/>
      <c r="AA100" s="1056"/>
      <c r="AB100" s="1055"/>
      <c r="AC100" s="1055"/>
      <c r="AD100" s="1055"/>
      <c r="AE100" s="1057"/>
      <c r="AF100" s="1055" t="str">
        <f t="shared" ref="AF100:BK100" si="437">+AF$7</f>
        <v>F1Q12A</v>
      </c>
      <c r="AG100" s="1055" t="str">
        <f t="shared" si="437"/>
        <v>F2Q12A</v>
      </c>
      <c r="AH100" s="1055" t="str">
        <f t="shared" si="437"/>
        <v>F3Q12A</v>
      </c>
      <c r="AI100" s="1057" t="str">
        <f t="shared" si="437"/>
        <v>F4Q12A</v>
      </c>
      <c r="AJ100" s="1055" t="str">
        <f t="shared" si="437"/>
        <v>F1Q13A</v>
      </c>
      <c r="AK100" s="1055" t="str">
        <f t="shared" si="437"/>
        <v>F2Q13A</v>
      </c>
      <c r="AL100" s="1055" t="str">
        <f t="shared" si="437"/>
        <v>F3Q13A</v>
      </c>
      <c r="AM100" s="1057" t="str">
        <f t="shared" si="437"/>
        <v>F4Q13A</v>
      </c>
      <c r="AN100" s="1055" t="str">
        <f t="shared" si="437"/>
        <v>F1Q14A</v>
      </c>
      <c r="AO100" s="1055" t="str">
        <f t="shared" si="437"/>
        <v>F2Q14A</v>
      </c>
      <c r="AP100" s="1055" t="str">
        <f t="shared" si="437"/>
        <v>F3Q14A</v>
      </c>
      <c r="AQ100" s="1057" t="str">
        <f t="shared" si="437"/>
        <v>F4Q14A</v>
      </c>
      <c r="AR100" s="1055" t="str">
        <f t="shared" si="437"/>
        <v>F1Q15A</v>
      </c>
      <c r="AS100" s="1055" t="str">
        <f t="shared" si="437"/>
        <v>F2Q15A</v>
      </c>
      <c r="AT100" s="1055" t="str">
        <f t="shared" si="437"/>
        <v>F3Q15A</v>
      </c>
      <c r="AU100" s="1057" t="str">
        <f t="shared" si="437"/>
        <v>F4Q15A</v>
      </c>
      <c r="AV100" s="1055" t="str">
        <f t="shared" si="437"/>
        <v>F1Q16A</v>
      </c>
      <c r="AW100" s="1055" t="str">
        <f t="shared" si="437"/>
        <v>C2Q16A</v>
      </c>
      <c r="AX100" s="1580" t="str">
        <f t="shared" si="437"/>
        <v>F3Q16A</v>
      </c>
      <c r="AY100" s="1581" t="str">
        <f t="shared" si="437"/>
        <v>F4Q16A</v>
      </c>
      <c r="AZ100" s="1580" t="str">
        <f t="shared" si="437"/>
        <v>F1Q17A</v>
      </c>
      <c r="BA100" s="1055" t="str">
        <f t="shared" si="437"/>
        <v>C2Q17A</v>
      </c>
      <c r="BB100" s="1055" t="str">
        <f t="shared" si="437"/>
        <v>C3Q17A</v>
      </c>
      <c r="BC100" s="1715" t="str">
        <f t="shared" si="437"/>
        <v>F4Q17A</v>
      </c>
      <c r="BD100" s="1758" t="str">
        <f t="shared" si="437"/>
        <v>F1Q18A</v>
      </c>
      <c r="BE100" s="1055" t="str">
        <f t="shared" si="437"/>
        <v>F2Q18E</v>
      </c>
      <c r="BF100" s="1055" t="str">
        <f t="shared" si="437"/>
        <v>F3Q18E</v>
      </c>
      <c r="BG100" s="1057" t="str">
        <f t="shared" si="437"/>
        <v>F4Q18E</v>
      </c>
      <c r="BH100" s="1758" t="str">
        <f t="shared" si="437"/>
        <v>F1Q19E</v>
      </c>
      <c r="BI100" s="1055" t="str">
        <f t="shared" si="437"/>
        <v>F2Q19E</v>
      </c>
      <c r="BJ100" s="1055" t="str">
        <f t="shared" si="437"/>
        <v>F3Q19E</v>
      </c>
      <c r="BK100" s="1057" t="str">
        <f t="shared" si="437"/>
        <v>F4Q19E</v>
      </c>
      <c r="BL100" s="1058"/>
      <c r="BM100" s="1911" t="str">
        <f t="shared" ref="BM100:BP100" si="438">+BM$7</f>
        <v>FY2005A</v>
      </c>
      <c r="BN100" s="1911" t="str">
        <f t="shared" si="438"/>
        <v>FY2006A</v>
      </c>
      <c r="BO100" s="1911" t="str">
        <f t="shared" si="438"/>
        <v>FY2007A</v>
      </c>
      <c r="BP100" s="1911" t="str">
        <f t="shared" si="438"/>
        <v>FY2008A</v>
      </c>
      <c r="BQ100" s="1059" t="str">
        <f>+BQ$7</f>
        <v>FY2009A</v>
      </c>
      <c r="BR100" s="1059" t="str">
        <f>+BR$7</f>
        <v>FY2010A</v>
      </c>
      <c r="BS100" s="1059" t="str">
        <f t="shared" ref="BS100:CA100" si="439">+BS$7</f>
        <v>FY2011A</v>
      </c>
      <c r="BT100" s="1059" t="str">
        <f t="shared" si="439"/>
        <v>FY2012A</v>
      </c>
      <c r="BU100" s="1059" t="str">
        <f t="shared" si="439"/>
        <v>FY2013A</v>
      </c>
      <c r="BV100" s="1059" t="str">
        <f t="shared" si="439"/>
        <v>FY2014A</v>
      </c>
      <c r="BW100" s="1059" t="str">
        <f t="shared" si="439"/>
        <v>FY2015A</v>
      </c>
      <c r="BX100" s="1059" t="str">
        <f t="shared" si="439"/>
        <v>FY2016A</v>
      </c>
      <c r="BY100" s="1059" t="str">
        <f t="shared" si="439"/>
        <v>FY2017A</v>
      </c>
      <c r="BZ100" s="1059" t="str">
        <f t="shared" si="439"/>
        <v>FY2018E</v>
      </c>
      <c r="CA100" s="1059" t="str">
        <f t="shared" si="439"/>
        <v>FY2019E</v>
      </c>
      <c r="CB100" s="1408"/>
    </row>
    <row r="101" spans="1:80" s="7" customFormat="1" ht="14.25" customHeight="1">
      <c r="B101" s="657"/>
      <c r="C101" s="380"/>
      <c r="D101" s="516"/>
      <c r="E101" s="516"/>
      <c r="F101" s="516"/>
      <c r="G101" s="517"/>
      <c r="H101" s="516"/>
      <c r="I101" s="516"/>
      <c r="J101" s="516"/>
      <c r="K101" s="517"/>
      <c r="L101" s="516"/>
      <c r="M101" s="516"/>
      <c r="N101" s="516"/>
      <c r="O101" s="517"/>
      <c r="P101" s="516"/>
      <c r="Q101" s="516"/>
      <c r="R101" s="516"/>
      <c r="S101" s="517"/>
      <c r="T101" s="52"/>
      <c r="U101" s="52"/>
      <c r="V101" s="52"/>
      <c r="W101" s="533"/>
      <c r="X101" s="52"/>
      <c r="Y101" s="52"/>
      <c r="Z101" s="52"/>
      <c r="AA101" s="533"/>
      <c r="AB101" s="52"/>
      <c r="AC101" s="52"/>
      <c r="AD101" s="52"/>
      <c r="AE101" s="533"/>
      <c r="AF101" s="516"/>
      <c r="AG101" s="643"/>
      <c r="AH101" s="643"/>
      <c r="AI101" s="644"/>
      <c r="AJ101" s="516"/>
      <c r="AK101" s="643"/>
      <c r="AL101" s="643"/>
      <c r="AM101" s="644"/>
      <c r="AN101" s="516" t="s">
        <v>373</v>
      </c>
      <c r="AO101" s="643"/>
      <c r="AP101" s="643"/>
      <c r="AQ101" s="644"/>
      <c r="AR101" s="516"/>
      <c r="AS101" s="643"/>
      <c r="AT101" s="643"/>
      <c r="AU101" s="644"/>
      <c r="AV101" s="516"/>
      <c r="AW101" s="643"/>
      <c r="AX101" s="643"/>
      <c r="AY101" s="1582"/>
      <c r="AZ101" s="516"/>
      <c r="BA101" s="643"/>
      <c r="BB101" s="643"/>
      <c r="BC101" s="643"/>
      <c r="BD101" s="584"/>
      <c r="BE101" s="643"/>
      <c r="BF101" s="643"/>
      <c r="BG101" s="1582"/>
      <c r="BH101" s="584"/>
      <c r="BI101" s="643"/>
      <c r="BJ101" s="643"/>
      <c r="BK101" s="1582"/>
      <c r="BL101" s="244"/>
      <c r="BM101" s="13"/>
      <c r="BN101" s="13"/>
      <c r="BO101" s="13"/>
      <c r="BP101" s="13"/>
      <c r="BQ101" s="13"/>
      <c r="BR101" s="13"/>
      <c r="BS101" s="13"/>
      <c r="BT101" s="13"/>
      <c r="BU101" s="13"/>
      <c r="BV101" s="299"/>
      <c r="BW101" s="389"/>
      <c r="BX101" s="389"/>
      <c r="BY101" s="389"/>
      <c r="BZ101" s="389"/>
      <c r="CA101" s="238"/>
      <c r="CB101" s="1408"/>
    </row>
    <row r="102" spans="1:80" s="7" customFormat="1" ht="14.25" customHeight="1">
      <c r="A102" s="312"/>
      <c r="B102" s="1358" t="s">
        <v>270</v>
      </c>
      <c r="C102" s="287"/>
      <c r="D102" s="519"/>
      <c r="E102" s="519"/>
      <c r="F102" s="519"/>
      <c r="G102" s="520"/>
      <c r="H102" s="519"/>
      <c r="I102" s="519"/>
      <c r="J102" s="519"/>
      <c r="K102" s="520"/>
      <c r="L102" s="519"/>
      <c r="M102" s="519"/>
      <c r="N102" s="519"/>
      <c r="O102" s="520"/>
      <c r="P102" s="519"/>
      <c r="Q102" s="519"/>
      <c r="R102" s="519"/>
      <c r="S102" s="520"/>
      <c r="T102" s="519">
        <f t="shared" ref="T102:AA102" si="440">T131+T140+T146</f>
        <v>234.99999999999994</v>
      </c>
      <c r="U102" s="519">
        <f t="shared" si="440"/>
        <v>274</v>
      </c>
      <c r="V102" s="519">
        <f t="shared" si="440"/>
        <v>313.99999999999989</v>
      </c>
      <c r="W102" s="520">
        <f t="shared" si="440"/>
        <v>426</v>
      </c>
      <c r="X102" s="519">
        <f t="shared" si="440"/>
        <v>414.00000000000011</v>
      </c>
      <c r="Y102" s="519">
        <f t="shared" si="440"/>
        <v>440.99999999999994</v>
      </c>
      <c r="Z102" s="519">
        <f t="shared" si="440"/>
        <v>392.00000000000011</v>
      </c>
      <c r="AA102" s="520">
        <f t="shared" si="440"/>
        <v>430</v>
      </c>
      <c r="AB102" s="519">
        <f t="shared" ref="AB102:AT102" si="441">AB131+AB140+AB146</f>
        <v>413</v>
      </c>
      <c r="AC102" s="519">
        <f t="shared" si="441"/>
        <v>367</v>
      </c>
      <c r="AD102" s="519">
        <f t="shared" si="441"/>
        <v>404</v>
      </c>
      <c r="AE102" s="519">
        <f t="shared" si="441"/>
        <v>382</v>
      </c>
      <c r="AF102" s="559">
        <f t="shared" si="441"/>
        <v>382</v>
      </c>
      <c r="AG102" s="526">
        <f t="shared" si="441"/>
        <v>367</v>
      </c>
      <c r="AH102" s="526">
        <f t="shared" si="441"/>
        <v>342</v>
      </c>
      <c r="AI102" s="527">
        <f t="shared" si="441"/>
        <v>326</v>
      </c>
      <c r="AJ102" s="559">
        <f>AJ131+AJ140+AJ146</f>
        <v>337</v>
      </c>
      <c r="AK102" s="526">
        <f t="shared" si="441"/>
        <v>320</v>
      </c>
      <c r="AL102" s="526">
        <f t="shared" si="441"/>
        <v>739.33130000000006</v>
      </c>
      <c r="AM102" s="527">
        <f>AM131+AM140+AM146</f>
        <v>922.00364999999954</v>
      </c>
      <c r="AN102" s="559">
        <f t="shared" si="441"/>
        <v>750.59981029745722</v>
      </c>
      <c r="AO102" s="526">
        <f t="shared" si="441"/>
        <v>772.86411788042483</v>
      </c>
      <c r="AP102" s="526">
        <f t="shared" si="441"/>
        <v>753.09240813545478</v>
      </c>
      <c r="AQ102" s="527">
        <f t="shared" si="441"/>
        <v>652.38577060404668</v>
      </c>
      <c r="AR102" s="559">
        <f>AR131+AR140+AR146</f>
        <v>568.1069436648412</v>
      </c>
      <c r="AS102" s="526">
        <f>AS131+AS140+AS146</f>
        <v>630.33616324199522</v>
      </c>
      <c r="AT102" s="526">
        <f t="shared" si="441"/>
        <v>723.52237708330108</v>
      </c>
      <c r="AU102" s="527">
        <f>AU131+AU140+AU146</f>
        <v>606.10797730441982</v>
      </c>
      <c r="AV102" s="559">
        <f>AV131+AV140+AV146</f>
        <v>484.82000000000005</v>
      </c>
      <c r="AW102" s="526">
        <f>AW131+AW140+AW146</f>
        <v>702.22959719169171</v>
      </c>
      <c r="AX102" s="1533">
        <f>AX131+AX140+AX146</f>
        <v>970.4522293546961</v>
      </c>
      <c r="AY102" s="1534">
        <f t="shared" ref="AY102:AZ102" si="442">AY131+AY140+AY146</f>
        <v>743.98504620659446</v>
      </c>
      <c r="AZ102" s="1791">
        <f t="shared" si="442"/>
        <v>598.08528254039913</v>
      </c>
      <c r="BA102" s="526">
        <f t="shared" ref="BA102:BC102" si="443">BA131+BA140+BA146</f>
        <v>790.22513598741932</v>
      </c>
      <c r="BB102" s="526">
        <f t="shared" si="443"/>
        <v>1163.6956247422795</v>
      </c>
      <c r="BC102" s="526">
        <f t="shared" si="443"/>
        <v>910.39158687516749</v>
      </c>
      <c r="BD102" s="559">
        <f t="shared" ref="BD102:BF102" si="444">BD131+BD140+BD146</f>
        <v>959.30962111326505</v>
      </c>
      <c r="BE102" s="526">
        <f t="shared" si="444"/>
        <v>929.21115558161148</v>
      </c>
      <c r="BF102" s="526">
        <f t="shared" si="444"/>
        <v>866.53563809171931</v>
      </c>
      <c r="BG102" s="1759">
        <f>BG131+BG140+BG146</f>
        <v>760.66056203568985</v>
      </c>
      <c r="BH102" s="559">
        <f t="shared" ref="BH102:BJ102" si="445">BH131+BH140+BH146</f>
        <v>676.28669511791031</v>
      </c>
      <c r="BI102" s="526">
        <f t="shared" si="445"/>
        <v>748.3335384687532</v>
      </c>
      <c r="BJ102" s="526">
        <f t="shared" si="445"/>
        <v>795.99200723016361</v>
      </c>
      <c r="BK102" s="1759">
        <f>BK131+BK140+BK146</f>
        <v>748.58452687395038</v>
      </c>
      <c r="BL102" s="313"/>
      <c r="BM102" s="365"/>
      <c r="BN102" s="365"/>
      <c r="BO102" s="365"/>
      <c r="BP102" s="365"/>
      <c r="BQ102" s="365">
        <f>SUM(T102:W102)</f>
        <v>1248.9999999999998</v>
      </c>
      <c r="BR102" s="365">
        <f>SUM(X102:AA102)</f>
        <v>1677</v>
      </c>
      <c r="BS102" s="365">
        <f>SUM(AB102:AE102)</f>
        <v>1566</v>
      </c>
      <c r="BT102" s="365">
        <f>SUM(AF102:AI102)</f>
        <v>1417</v>
      </c>
      <c r="BU102" s="365">
        <f>SUM(AJ102:AM102)</f>
        <v>2318.3349499999995</v>
      </c>
      <c r="BV102" s="1939">
        <f>+SUM(AN102:AQ102)</f>
        <v>2928.9421069173836</v>
      </c>
      <c r="BW102" s="365">
        <f>SUM(AR102:AU102)</f>
        <v>2528.0734612945571</v>
      </c>
      <c r="BX102" s="365">
        <f>+BX111+BX146</f>
        <v>2901.4868727529824</v>
      </c>
      <c r="BY102" s="365">
        <f>+BY111+BY146</f>
        <v>3462.3976301452658</v>
      </c>
      <c r="BZ102" s="365">
        <f>+BZ111+BZ146</f>
        <v>3515.7169768222857</v>
      </c>
      <c r="CA102" s="1673">
        <f>+CA111+CA146</f>
        <v>2969.196767690778</v>
      </c>
      <c r="CB102" s="1408"/>
    </row>
    <row r="103" spans="1:80" s="552" customFormat="1" ht="14.25" customHeight="1">
      <c r="A103" s="544"/>
      <c r="B103" s="1360" t="s">
        <v>390</v>
      </c>
      <c r="C103" s="889"/>
      <c r="D103" s="546"/>
      <c r="E103" s="546"/>
      <c r="F103" s="546"/>
      <c r="G103" s="614"/>
      <c r="H103" s="890"/>
      <c r="I103" s="546"/>
      <c r="J103" s="546"/>
      <c r="K103" s="614"/>
      <c r="L103" s="890"/>
      <c r="M103" s="546"/>
      <c r="N103" s="546"/>
      <c r="O103" s="614"/>
      <c r="P103" s="890"/>
      <c r="Q103" s="546"/>
      <c r="R103" s="546"/>
      <c r="S103" s="614"/>
      <c r="T103" s="546"/>
      <c r="U103" s="1198">
        <f t="shared" ref="U103:AU103" si="446">U102/T102-1</f>
        <v>0.16595744680851099</v>
      </c>
      <c r="V103" s="1199">
        <f t="shared" si="446"/>
        <v>0.14598540145985361</v>
      </c>
      <c r="W103" s="1200">
        <f t="shared" si="446"/>
        <v>0.35668789808917256</v>
      </c>
      <c r="X103" s="1199">
        <f t="shared" si="446"/>
        <v>-2.8169014084506783E-2</v>
      </c>
      <c r="Y103" s="1198">
        <f t="shared" si="446"/>
        <v>6.521739130434745E-2</v>
      </c>
      <c r="Z103" s="1199">
        <f t="shared" si="446"/>
        <v>-0.11111111111111072</v>
      </c>
      <c r="AA103" s="1200">
        <f t="shared" si="446"/>
        <v>9.6938775510203801E-2</v>
      </c>
      <c r="AB103" s="1199">
        <f t="shared" si="446"/>
        <v>-3.9534883720930281E-2</v>
      </c>
      <c r="AC103" s="1198">
        <f t="shared" si="446"/>
        <v>-0.11138014527845042</v>
      </c>
      <c r="AD103" s="1199">
        <f t="shared" si="446"/>
        <v>0.10081743869209814</v>
      </c>
      <c r="AE103" s="1199">
        <f t="shared" si="446"/>
        <v>-5.4455445544554504E-2</v>
      </c>
      <c r="AF103" s="1201">
        <f t="shared" si="446"/>
        <v>0</v>
      </c>
      <c r="AG103" s="1199">
        <f t="shared" si="446"/>
        <v>-3.9267015706806241E-2</v>
      </c>
      <c r="AH103" s="1199">
        <f t="shared" si="446"/>
        <v>-6.8119891008174394E-2</v>
      </c>
      <c r="AI103" s="1199">
        <f t="shared" si="446"/>
        <v>-4.6783625730994149E-2</v>
      </c>
      <c r="AJ103" s="1201">
        <f t="shared" si="446"/>
        <v>3.3742331288343586E-2</v>
      </c>
      <c r="AK103" s="1199">
        <f t="shared" si="446"/>
        <v>-5.0445103857566731E-2</v>
      </c>
      <c r="AL103" s="1199">
        <f t="shared" si="446"/>
        <v>1.3104103125000002</v>
      </c>
      <c r="AM103" s="1200">
        <f t="shared" si="446"/>
        <v>0.24707779854579326</v>
      </c>
      <c r="AN103" s="1201">
        <f t="shared" si="446"/>
        <v>-0.18590364550351013</v>
      </c>
      <c r="AO103" s="1199">
        <f t="shared" si="446"/>
        <v>2.9662021329507793E-2</v>
      </c>
      <c r="AP103" s="1199">
        <f t="shared" si="446"/>
        <v>-2.558238801303625E-2</v>
      </c>
      <c r="AQ103" s="1200">
        <f t="shared" si="446"/>
        <v>-0.13372414386800524</v>
      </c>
      <c r="AR103" s="1201">
        <f t="shared" si="446"/>
        <v>-0.12918556893288979</v>
      </c>
      <c r="AS103" s="1199">
        <f t="shared" si="446"/>
        <v>0.10953786126202791</v>
      </c>
      <c r="AT103" s="1199">
        <f t="shared" si="446"/>
        <v>0.14783574110998665</v>
      </c>
      <c r="AU103" s="1200">
        <f t="shared" si="446"/>
        <v>-0.1622816425556981</v>
      </c>
      <c r="AV103" s="1201">
        <f t="shared" ref="AV103" si="447">AV102/AU102-1</f>
        <v>-0.20010952148135552</v>
      </c>
      <c r="AW103" s="1199">
        <f t="shared" ref="AW103:AZ103" si="448">AW102/AV102-1</f>
        <v>0.44843363968419547</v>
      </c>
      <c r="AX103" s="1583">
        <f t="shared" si="448"/>
        <v>0.38195859763766982</v>
      </c>
      <c r="AY103" s="1584">
        <f t="shared" si="448"/>
        <v>-0.23336252552966097</v>
      </c>
      <c r="AZ103" s="1792">
        <f t="shared" si="448"/>
        <v>-0.19610577445084965</v>
      </c>
      <c r="BA103" s="1199">
        <f t="shared" ref="BA103" si="449">BA102/AZ102-1</f>
        <v>0.32125828716415805</v>
      </c>
      <c r="BB103" s="1199">
        <f t="shared" ref="BB103" si="450">BB102/BA102-1</f>
        <v>0.47261276786417739</v>
      </c>
      <c r="BC103" s="1199">
        <f t="shared" ref="BC103" si="451">BC102/BB102-1</f>
        <v>-0.21767207204479311</v>
      </c>
      <c r="BD103" s="1201">
        <f t="shared" ref="BD103" si="452">BD102/BC102-1</f>
        <v>5.3732959468577812E-2</v>
      </c>
      <c r="BE103" s="1199">
        <f t="shared" ref="BE103" si="453">BE102/BD102-1</f>
        <v>-3.1375131520858468E-2</v>
      </c>
      <c r="BF103" s="1199">
        <f t="shared" ref="BF103" si="454">BF102/BE102-1</f>
        <v>-6.7450242190282728E-2</v>
      </c>
      <c r="BG103" s="1760">
        <f t="shared" ref="BG103" si="455">BG102/BF102-1</f>
        <v>-0.12218202160639002</v>
      </c>
      <c r="BH103" s="1201">
        <f t="shared" ref="BH103" si="456">BH102/BG102-1</f>
        <v>-0.11092183705696146</v>
      </c>
      <c r="BI103" s="1199">
        <f t="shared" ref="BI103" si="457">BI102/BH102-1</f>
        <v>0.10653298944212053</v>
      </c>
      <c r="BJ103" s="1199">
        <f t="shared" ref="BJ103" si="458">BJ102/BI102-1</f>
        <v>6.3686132334693335E-2</v>
      </c>
      <c r="BK103" s="1760">
        <f t="shared" ref="BK103" si="459">BK102/BJ102-1</f>
        <v>-5.9557734155118447E-2</v>
      </c>
      <c r="BL103" s="545"/>
      <c r="BM103" s="548"/>
      <c r="BN103" s="548"/>
      <c r="BO103" s="548"/>
      <c r="BP103" s="369"/>
      <c r="BQ103" s="369"/>
      <c r="BR103" s="369">
        <f t="shared" ref="BR103:BX103" si="460">BR102/BQ102-1</f>
        <v>0.34267413931144941</v>
      </c>
      <c r="BS103" s="369">
        <f t="shared" si="460"/>
        <v>-6.6189624329159202E-2</v>
      </c>
      <c r="BT103" s="369">
        <f t="shared" si="460"/>
        <v>-9.5146871008939926E-2</v>
      </c>
      <c r="BU103" s="369">
        <f t="shared" si="460"/>
        <v>0.63608676781933626</v>
      </c>
      <c r="BV103" s="1947">
        <f t="shared" si="460"/>
        <v>0.26338176755579878</v>
      </c>
      <c r="BW103" s="369">
        <f t="shared" si="460"/>
        <v>-0.13686465317156016</v>
      </c>
      <c r="BX103" s="369">
        <f t="shared" si="460"/>
        <v>0.14770670915045736</v>
      </c>
      <c r="BY103" s="549"/>
      <c r="BZ103" s="549"/>
      <c r="CA103" s="1674"/>
      <c r="CB103" s="1408"/>
    </row>
    <row r="104" spans="1:80" s="7" customFormat="1" ht="14.25" customHeight="1">
      <c r="A104" s="312"/>
      <c r="B104" s="1358"/>
      <c r="C104" s="287"/>
      <c r="D104" s="519"/>
      <c r="E104" s="519"/>
      <c r="F104" s="519"/>
      <c r="G104" s="520"/>
      <c r="H104" s="519"/>
      <c r="I104" s="519"/>
      <c r="J104" s="519"/>
      <c r="K104" s="520"/>
      <c r="L104" s="519"/>
      <c r="M104" s="519"/>
      <c r="N104" s="519"/>
      <c r="O104" s="520"/>
      <c r="P104" s="519"/>
      <c r="Q104" s="519"/>
      <c r="R104" s="519"/>
      <c r="S104" s="520"/>
      <c r="T104" s="519"/>
      <c r="U104" s="519"/>
      <c r="V104" s="519"/>
      <c r="W104" s="520"/>
      <c r="X104" s="519"/>
      <c r="Y104" s="519"/>
      <c r="Z104" s="519"/>
      <c r="AA104" s="520"/>
      <c r="AB104" s="519"/>
      <c r="AC104" s="519"/>
      <c r="AD104" s="519"/>
      <c r="AE104" s="519"/>
      <c r="AF104" s="559"/>
      <c r="AG104" s="526"/>
      <c r="AH104" s="1050"/>
      <c r="AI104" s="526"/>
      <c r="AJ104" s="559"/>
      <c r="AK104" s="526"/>
      <c r="AL104" s="526"/>
      <c r="AM104" s="527"/>
      <c r="AN104" s="559"/>
      <c r="AO104" s="526"/>
      <c r="AP104" s="526"/>
      <c r="AQ104" s="527"/>
      <c r="AR104" s="559"/>
      <c r="AS104" s="526"/>
      <c r="AT104" s="526"/>
      <c r="AU104" s="527"/>
      <c r="AV104" s="559"/>
      <c r="AW104" s="526"/>
      <c r="AX104" s="1533"/>
      <c r="AY104" s="1534"/>
      <c r="AZ104" s="1791"/>
      <c r="BA104" s="526"/>
      <c r="BB104" s="526"/>
      <c r="BC104" s="526"/>
      <c r="BD104" s="559"/>
      <c r="BE104" s="526"/>
      <c r="BF104" s="526"/>
      <c r="BG104" s="1759"/>
      <c r="BH104" s="559"/>
      <c r="BI104" s="526"/>
      <c r="BJ104" s="526"/>
      <c r="BK104" s="1759"/>
      <c r="BL104" s="313"/>
      <c r="BM104" s="365"/>
      <c r="BN104" s="365"/>
      <c r="BO104" s="365"/>
      <c r="BP104" s="365"/>
      <c r="BQ104" s="365"/>
      <c r="BR104" s="365"/>
      <c r="BS104" s="365"/>
      <c r="BT104" s="365"/>
      <c r="BU104" s="365"/>
      <c r="BV104" s="1939"/>
      <c r="BW104" s="13"/>
      <c r="BX104" s="294"/>
      <c r="BY104" s="13"/>
      <c r="BZ104" s="13"/>
      <c r="CA104" s="1664"/>
      <c r="CB104" s="1408"/>
    </row>
    <row r="105" spans="1:80" s="713" customFormat="1" ht="14.25" customHeight="1">
      <c r="A105" s="1045"/>
      <c r="B105" s="1348" t="s">
        <v>416</v>
      </c>
      <c r="C105" s="710"/>
      <c r="D105" s="565"/>
      <c r="E105" s="565"/>
      <c r="F105" s="565"/>
      <c r="G105" s="589"/>
      <c r="H105" s="565"/>
      <c r="I105" s="565"/>
      <c r="J105" s="565"/>
      <c r="K105" s="589"/>
      <c r="L105" s="565"/>
      <c r="M105" s="565"/>
      <c r="N105" s="565"/>
      <c r="O105" s="589"/>
      <c r="P105" s="565"/>
      <c r="Q105" s="565"/>
      <c r="R105" s="565"/>
      <c r="S105" s="589"/>
      <c r="T105" s="565"/>
      <c r="U105" s="565"/>
      <c r="V105" s="565"/>
      <c r="W105" s="589"/>
      <c r="X105" s="565"/>
      <c r="Y105" s="565"/>
      <c r="Z105" s="565"/>
      <c r="AA105" s="589"/>
      <c r="AB105" s="565"/>
      <c r="AC105" s="565"/>
      <c r="AD105" s="565"/>
      <c r="AE105" s="565"/>
      <c r="AF105" s="720">
        <f>+AF107-AF106</f>
        <v>360.3488372093023</v>
      </c>
      <c r="AG105" s="565">
        <f t="shared" ref="AG105:AL105" si="461">+AG107-AG106</f>
        <v>345.3488372093023</v>
      </c>
      <c r="AH105" s="565">
        <f t="shared" si="461"/>
        <v>297</v>
      </c>
      <c r="AI105" s="565">
        <f t="shared" si="461"/>
        <v>271</v>
      </c>
      <c r="AJ105" s="720">
        <f t="shared" si="461"/>
        <v>280</v>
      </c>
      <c r="AK105" s="565">
        <f t="shared" si="461"/>
        <v>280</v>
      </c>
      <c r="AL105" s="565">
        <f t="shared" si="461"/>
        <v>699.33130000000006</v>
      </c>
      <c r="AM105" s="589"/>
      <c r="AN105" s="720"/>
      <c r="AO105" s="565"/>
      <c r="AP105" s="565"/>
      <c r="AQ105" s="589"/>
      <c r="AR105" s="720"/>
      <c r="AS105" s="565"/>
      <c r="AT105" s="565"/>
      <c r="AU105" s="589"/>
      <c r="AV105" s="720"/>
      <c r="AW105" s="565"/>
      <c r="AX105" s="750"/>
      <c r="AY105" s="1540"/>
      <c r="AZ105" s="1728"/>
      <c r="BA105" s="565"/>
      <c r="BB105" s="565"/>
      <c r="BC105" s="565"/>
      <c r="BD105" s="720"/>
      <c r="BE105" s="565"/>
      <c r="BF105" s="565"/>
      <c r="BG105" s="1723"/>
      <c r="BH105" s="720"/>
      <c r="BI105" s="565"/>
      <c r="BJ105" s="565"/>
      <c r="BK105" s="1723"/>
      <c r="BL105" s="1046"/>
      <c r="BM105" s="710"/>
      <c r="BN105" s="710"/>
      <c r="BO105" s="710"/>
      <c r="BP105" s="710"/>
      <c r="BQ105" s="710"/>
      <c r="BR105" s="710"/>
      <c r="BS105" s="710"/>
      <c r="BT105" s="710"/>
      <c r="BU105" s="710"/>
      <c r="BV105" s="1943"/>
      <c r="BW105" s="710"/>
      <c r="BX105" s="710"/>
      <c r="BY105" s="710"/>
      <c r="BZ105" s="710"/>
      <c r="CA105" s="1660"/>
      <c r="CB105" s="1408"/>
    </row>
    <row r="106" spans="1:80" s="717" customFormat="1" ht="14.25" customHeight="1">
      <c r="A106" s="1047"/>
      <c r="B106" s="1361" t="s">
        <v>503</v>
      </c>
      <c r="C106" s="714"/>
      <c r="D106" s="707"/>
      <c r="E106" s="707"/>
      <c r="F106" s="707"/>
      <c r="G106" s="715"/>
      <c r="H106" s="707"/>
      <c r="I106" s="707"/>
      <c r="J106" s="707"/>
      <c r="K106" s="715"/>
      <c r="L106" s="707"/>
      <c r="M106" s="707"/>
      <c r="N106" s="707"/>
      <c r="O106" s="715"/>
      <c r="P106" s="707"/>
      <c r="Q106" s="707"/>
      <c r="R106" s="707"/>
      <c r="S106" s="715"/>
      <c r="T106" s="707"/>
      <c r="U106" s="707"/>
      <c r="V106" s="707"/>
      <c r="W106" s="715"/>
      <c r="X106" s="707"/>
      <c r="Y106" s="707"/>
      <c r="Z106" s="707"/>
      <c r="AA106" s="715"/>
      <c r="AB106" s="707"/>
      <c r="AC106" s="707"/>
      <c r="AD106" s="707"/>
      <c r="AE106" s="707"/>
      <c r="AF106" s="1202">
        <v>21.651162790697697</v>
      </c>
      <c r="AG106" s="1203">
        <v>21.651162790697697</v>
      </c>
      <c r="AH106" s="1203">
        <v>45</v>
      </c>
      <c r="AI106" s="1203">
        <v>55</v>
      </c>
      <c r="AJ106" s="1202">
        <v>57</v>
      </c>
      <c r="AK106" s="1203">
        <v>40</v>
      </c>
      <c r="AL106" s="1203">
        <v>40</v>
      </c>
      <c r="AM106" s="715"/>
      <c r="AN106" s="1048"/>
      <c r="AO106" s="707"/>
      <c r="AP106" s="707"/>
      <c r="AQ106" s="715"/>
      <c r="AR106" s="1048"/>
      <c r="AS106" s="707"/>
      <c r="AT106" s="707"/>
      <c r="AU106" s="715"/>
      <c r="AV106" s="1048"/>
      <c r="AW106" s="707"/>
      <c r="AX106" s="1541"/>
      <c r="AY106" s="1542"/>
      <c r="AZ106" s="1793"/>
      <c r="BA106" s="707"/>
      <c r="BB106" s="707"/>
      <c r="BC106" s="707"/>
      <c r="BD106" s="1048"/>
      <c r="BE106" s="707"/>
      <c r="BF106" s="707"/>
      <c r="BG106" s="1724"/>
      <c r="BH106" s="1048"/>
      <c r="BI106" s="707"/>
      <c r="BJ106" s="707"/>
      <c r="BK106" s="1724"/>
      <c r="BL106" s="1049"/>
      <c r="BM106" s="714"/>
      <c r="BN106" s="714"/>
      <c r="BO106" s="714"/>
      <c r="BP106" s="714"/>
      <c r="BQ106" s="714"/>
      <c r="BR106" s="714"/>
      <c r="BS106" s="714"/>
      <c r="BT106" s="714"/>
      <c r="BU106" s="714"/>
      <c r="BV106" s="1944"/>
      <c r="BW106" s="714"/>
      <c r="BX106" s="714"/>
      <c r="BY106" s="714"/>
      <c r="BZ106" s="714"/>
      <c r="CA106" s="1668"/>
      <c r="CB106" s="1408"/>
    </row>
    <row r="107" spans="1:80" s="713" customFormat="1" ht="14.25" customHeight="1">
      <c r="A107" s="1045"/>
      <c r="B107" s="1348" t="s">
        <v>487</v>
      </c>
      <c r="C107" s="710"/>
      <c r="D107" s="565"/>
      <c r="E107" s="565"/>
      <c r="F107" s="565"/>
      <c r="G107" s="589"/>
      <c r="H107" s="565"/>
      <c r="I107" s="565"/>
      <c r="J107" s="565"/>
      <c r="K107" s="589"/>
      <c r="L107" s="565"/>
      <c r="M107" s="565"/>
      <c r="N107" s="565"/>
      <c r="O107" s="589"/>
      <c r="P107" s="565"/>
      <c r="Q107" s="565"/>
      <c r="R107" s="565"/>
      <c r="S107" s="589"/>
      <c r="T107" s="565"/>
      <c r="U107" s="565"/>
      <c r="V107" s="565"/>
      <c r="W107" s="589"/>
      <c r="X107" s="565"/>
      <c r="Y107" s="565"/>
      <c r="Z107" s="565"/>
      <c r="AA107" s="589"/>
      <c r="AB107" s="565"/>
      <c r="AC107" s="565"/>
      <c r="AD107" s="565"/>
      <c r="AE107" s="565"/>
      <c r="AF107" s="720">
        <f t="shared" ref="AF107:AL107" si="462">+AF102</f>
        <v>382</v>
      </c>
      <c r="AG107" s="565">
        <f>+AG102</f>
        <v>367</v>
      </c>
      <c r="AH107" s="565">
        <f t="shared" si="462"/>
        <v>342</v>
      </c>
      <c r="AI107" s="565">
        <f t="shared" si="462"/>
        <v>326</v>
      </c>
      <c r="AJ107" s="720">
        <f t="shared" si="462"/>
        <v>337</v>
      </c>
      <c r="AK107" s="565">
        <f t="shared" si="462"/>
        <v>320</v>
      </c>
      <c r="AL107" s="565">
        <f t="shared" si="462"/>
        <v>739.33130000000006</v>
      </c>
      <c r="AM107" s="589"/>
      <c r="AN107" s="720"/>
      <c r="AO107" s="565"/>
      <c r="AP107" s="565"/>
      <c r="AQ107" s="589"/>
      <c r="AR107" s="720"/>
      <c r="AS107" s="565"/>
      <c r="AT107" s="565"/>
      <c r="AU107" s="589"/>
      <c r="AV107" s="720"/>
      <c r="AW107" s="565"/>
      <c r="AX107" s="750"/>
      <c r="AY107" s="1540"/>
      <c r="AZ107" s="1728"/>
      <c r="BA107" s="565"/>
      <c r="BB107" s="565"/>
      <c r="BC107" s="565"/>
      <c r="BD107" s="720"/>
      <c r="BE107" s="565"/>
      <c r="BF107" s="565"/>
      <c r="BG107" s="1723"/>
      <c r="BH107" s="720"/>
      <c r="BI107" s="565"/>
      <c r="BJ107" s="565"/>
      <c r="BK107" s="1723"/>
      <c r="BL107" s="1046"/>
      <c r="BM107" s="710"/>
      <c r="BN107" s="710"/>
      <c r="BO107" s="710"/>
      <c r="BP107" s="710"/>
      <c r="BQ107" s="710"/>
      <c r="BR107" s="710"/>
      <c r="BS107" s="710"/>
      <c r="BT107" s="710"/>
      <c r="BU107" s="710"/>
      <c r="BV107" s="1943"/>
      <c r="BW107" s="710"/>
      <c r="BX107" s="710"/>
      <c r="BY107" s="710"/>
      <c r="BZ107" s="710"/>
      <c r="CA107" s="1660"/>
      <c r="CB107" s="1408"/>
    </row>
    <row r="108" spans="1:80" s="7" customFormat="1" ht="14.25" customHeight="1">
      <c r="A108" s="312"/>
      <c r="B108" s="1358"/>
      <c r="C108" s="287"/>
      <c r="D108" s="519"/>
      <c r="E108" s="519"/>
      <c r="F108" s="519"/>
      <c r="G108" s="520"/>
      <c r="H108" s="519"/>
      <c r="I108" s="519"/>
      <c r="J108" s="519"/>
      <c r="K108" s="520"/>
      <c r="L108" s="519"/>
      <c r="M108" s="519"/>
      <c r="N108" s="519"/>
      <c r="O108" s="520"/>
      <c r="P108" s="519"/>
      <c r="Q108" s="519"/>
      <c r="R108" s="519"/>
      <c r="S108" s="520"/>
      <c r="T108" s="519"/>
      <c r="U108" s="519"/>
      <c r="V108" s="519"/>
      <c r="W108" s="520"/>
      <c r="X108" s="519"/>
      <c r="Y108" s="519"/>
      <c r="Z108" s="519"/>
      <c r="AA108" s="520"/>
      <c r="AB108" s="519"/>
      <c r="AC108" s="519"/>
      <c r="AD108" s="519"/>
      <c r="AE108" s="519"/>
      <c r="AF108" s="559"/>
      <c r="AG108" s="526"/>
      <c r="AH108" s="526"/>
      <c r="AI108" s="526"/>
      <c r="AJ108" s="559"/>
      <c r="AK108" s="526"/>
      <c r="AL108" s="526"/>
      <c r="AM108" s="527"/>
      <c r="AN108" s="559"/>
      <c r="AO108" s="526"/>
      <c r="AP108" s="526"/>
      <c r="AQ108" s="527"/>
      <c r="AR108" s="559"/>
      <c r="AS108" s="526"/>
      <c r="AT108" s="526"/>
      <c r="AU108" s="527"/>
      <c r="AV108" s="559"/>
      <c r="AW108" s="526"/>
      <c r="AX108" s="1533"/>
      <c r="AY108" s="1534"/>
      <c r="AZ108" s="1791"/>
      <c r="BA108" s="526"/>
      <c r="BB108" s="526"/>
      <c r="BC108" s="526"/>
      <c r="BD108" s="559"/>
      <c r="BE108" s="526"/>
      <c r="BF108" s="526"/>
      <c r="BG108" s="1759"/>
      <c r="BH108" s="559"/>
      <c r="BI108" s="526"/>
      <c r="BJ108" s="526"/>
      <c r="BK108" s="1759"/>
      <c r="BL108" s="313"/>
      <c r="BM108" s="365"/>
      <c r="BN108" s="365"/>
      <c r="BO108" s="365"/>
      <c r="BP108" s="365"/>
      <c r="BQ108" s="365"/>
      <c r="BR108" s="365"/>
      <c r="BS108" s="365"/>
      <c r="BT108" s="365"/>
      <c r="BU108" s="365"/>
      <c r="BV108" s="1983"/>
      <c r="BW108" s="235"/>
      <c r="BX108" s="296"/>
      <c r="BY108" s="235"/>
      <c r="BZ108" s="235"/>
      <c r="CA108" s="1969"/>
      <c r="CB108" s="1408"/>
    </row>
    <row r="109" spans="1:80" s="7" customFormat="1" ht="14.25" customHeight="1">
      <c r="A109" s="312"/>
      <c r="B109" s="732" t="s">
        <v>474</v>
      </c>
      <c r="C109" s="668"/>
      <c r="D109" s="663"/>
      <c r="E109" s="663"/>
      <c r="F109" s="663"/>
      <c r="G109" s="666"/>
      <c r="H109" s="663"/>
      <c r="I109" s="663"/>
      <c r="J109" s="663"/>
      <c r="K109" s="666"/>
      <c r="L109" s="663"/>
      <c r="M109" s="663"/>
      <c r="N109" s="663"/>
      <c r="O109" s="666"/>
      <c r="P109" s="663"/>
      <c r="Q109" s="663"/>
      <c r="R109" s="663"/>
      <c r="S109" s="666"/>
      <c r="T109" s="663"/>
      <c r="U109" s="663"/>
      <c r="V109" s="663"/>
      <c r="W109" s="666"/>
      <c r="X109" s="663"/>
      <c r="Y109" s="663"/>
      <c r="Z109" s="663"/>
      <c r="AA109" s="666"/>
      <c r="AB109" s="663"/>
      <c r="AC109" s="663"/>
      <c r="AD109" s="663"/>
      <c r="AE109" s="663"/>
      <c r="AF109" s="699"/>
      <c r="AG109" s="700"/>
      <c r="AH109" s="700"/>
      <c r="AI109" s="700"/>
      <c r="AJ109" s="699"/>
      <c r="AK109" s="700"/>
      <c r="AL109" s="700"/>
      <c r="AM109" s="701"/>
      <c r="AN109" s="699"/>
      <c r="AO109" s="700"/>
      <c r="AP109" s="700"/>
      <c r="AQ109" s="701"/>
      <c r="AR109" s="699"/>
      <c r="AS109" s="700"/>
      <c r="AT109" s="700"/>
      <c r="AU109" s="701"/>
      <c r="AV109" s="699"/>
      <c r="AW109" s="700"/>
      <c r="AX109" s="1585"/>
      <c r="AY109" s="1586"/>
      <c r="AZ109" s="1794"/>
      <c r="BA109" s="700"/>
      <c r="BB109" s="700"/>
      <c r="BC109" s="700"/>
      <c r="BD109" s="699"/>
      <c r="BE109" s="700"/>
      <c r="BF109" s="700"/>
      <c r="BG109" s="701"/>
      <c r="BH109" s="699"/>
      <c r="BI109" s="700"/>
      <c r="BJ109" s="700"/>
      <c r="BK109" s="701"/>
      <c r="BL109" s="313"/>
      <c r="BM109" s="680"/>
      <c r="BN109" s="681"/>
      <c r="BO109" s="681"/>
      <c r="BP109" s="686"/>
      <c r="BQ109" s="686"/>
      <c r="BR109" s="686"/>
      <c r="BS109" s="681"/>
      <c r="BT109" s="681"/>
      <c r="BU109" s="681"/>
      <c r="BV109" s="1981"/>
      <c r="BW109" s="1935"/>
      <c r="BX109" s="1982"/>
      <c r="BY109" s="1935"/>
      <c r="BZ109" s="1935"/>
      <c r="CA109" s="1935"/>
      <c r="CB109" s="1408"/>
    </row>
    <row r="110" spans="1:80" s="7" customFormat="1" ht="14.25" customHeight="1">
      <c r="A110" s="312"/>
      <c r="B110" s="1358"/>
      <c r="C110" s="287"/>
      <c r="D110" s="519"/>
      <c r="E110" s="519"/>
      <c r="F110" s="519"/>
      <c r="G110" s="520"/>
      <c r="H110" s="519"/>
      <c r="I110" s="519"/>
      <c r="J110" s="519"/>
      <c r="K110" s="520"/>
      <c r="L110" s="519"/>
      <c r="M110" s="519"/>
      <c r="N110" s="519"/>
      <c r="O110" s="520"/>
      <c r="P110" s="519"/>
      <c r="Q110" s="519"/>
      <c r="R110" s="519"/>
      <c r="S110" s="520"/>
      <c r="T110" s="519"/>
      <c r="U110" s="519"/>
      <c r="V110" s="519"/>
      <c r="W110" s="520"/>
      <c r="X110" s="519"/>
      <c r="Y110" s="519"/>
      <c r="Z110" s="519"/>
      <c r="AA110" s="520"/>
      <c r="AB110" s="519"/>
      <c r="AC110" s="519"/>
      <c r="AD110" s="519"/>
      <c r="AE110" s="519"/>
      <c r="AF110" s="559"/>
      <c r="AG110" s="526"/>
      <c r="AH110" s="526"/>
      <c r="AI110" s="526"/>
      <c r="AJ110" s="543"/>
      <c r="AK110" s="510"/>
      <c r="AL110" s="510"/>
      <c r="AM110" s="511"/>
      <c r="AN110" s="543"/>
      <c r="AO110" s="510"/>
      <c r="AP110" s="510"/>
      <c r="AQ110" s="511"/>
      <c r="AR110" s="543"/>
      <c r="AS110" s="510"/>
      <c r="AT110" s="510"/>
      <c r="AU110" s="511"/>
      <c r="AV110" s="543"/>
      <c r="AW110" s="510"/>
      <c r="AX110" s="1587"/>
      <c r="AY110" s="1588"/>
      <c r="AZ110" s="1795"/>
      <c r="BA110" s="510"/>
      <c r="BB110" s="510"/>
      <c r="BC110" s="510"/>
      <c r="BD110" s="543"/>
      <c r="BE110" s="510"/>
      <c r="BF110" s="510"/>
      <c r="BG110" s="1761"/>
      <c r="BH110" s="543"/>
      <c r="BI110" s="510"/>
      <c r="BJ110" s="510"/>
      <c r="BK110" s="1761"/>
      <c r="BL110" s="313"/>
      <c r="BM110" s="365"/>
      <c r="BN110" s="365"/>
      <c r="BO110" s="365"/>
      <c r="BP110" s="365"/>
      <c r="BQ110" s="365"/>
      <c r="BR110" s="365"/>
      <c r="BS110" s="365"/>
      <c r="BT110" s="365"/>
      <c r="BU110" s="365"/>
      <c r="BV110" s="483"/>
      <c r="BW110" s="389"/>
      <c r="BX110" s="388"/>
      <c r="BY110" s="389"/>
      <c r="BZ110" s="389"/>
      <c r="CA110" s="238"/>
      <c r="CB110" s="1408"/>
    </row>
    <row r="111" spans="1:80" s="285" customFormat="1" ht="14.25" customHeight="1">
      <c r="A111" s="553"/>
      <c r="B111" s="1355" t="s">
        <v>387</v>
      </c>
      <c r="C111" s="314"/>
      <c r="D111" s="526"/>
      <c r="E111" s="526"/>
      <c r="F111" s="526"/>
      <c r="G111" s="527"/>
      <c r="H111" s="526"/>
      <c r="I111" s="526"/>
      <c r="J111" s="526"/>
      <c r="K111" s="527"/>
      <c r="L111" s="526"/>
      <c r="M111" s="526"/>
      <c r="N111" s="526"/>
      <c r="O111" s="527"/>
      <c r="P111" s="526"/>
      <c r="Q111" s="526"/>
      <c r="R111" s="526"/>
      <c r="S111" s="527"/>
      <c r="T111" s="526"/>
      <c r="U111" s="508"/>
      <c r="V111" s="508"/>
      <c r="W111" s="615"/>
      <c r="X111" s="510">
        <f>X131+X140</f>
        <v>339.35328711116756</v>
      </c>
      <c r="Y111" s="510">
        <f>Y131+Y140</f>
        <v>383.03499870967738</v>
      </c>
      <c r="Z111" s="510">
        <f>Z131+Z140</f>
        <v>352.130855</v>
      </c>
      <c r="AA111" s="511">
        <f>AA131+AA140</f>
        <v>389.3318729593193</v>
      </c>
      <c r="AB111" s="510">
        <f t="shared" ref="AB111:AU111" si="463">AB131+AB140</f>
        <v>357.67663711085299</v>
      </c>
      <c r="AC111" s="510">
        <f t="shared" si="463"/>
        <v>340.13095830740508</v>
      </c>
      <c r="AD111" s="510">
        <f t="shared" si="463"/>
        <v>364.98545912977869</v>
      </c>
      <c r="AE111" s="510">
        <f t="shared" si="463"/>
        <v>309.05921170610213</v>
      </c>
      <c r="AF111" s="543">
        <f t="shared" si="463"/>
        <v>336.91051556550985</v>
      </c>
      <c r="AG111" s="510">
        <f t="shared" si="463"/>
        <v>332.16631363981458</v>
      </c>
      <c r="AH111" s="510">
        <f t="shared" si="463"/>
        <v>321.25693362592153</v>
      </c>
      <c r="AI111" s="510">
        <f t="shared" si="463"/>
        <v>316.08426844856302</v>
      </c>
      <c r="AJ111" s="543">
        <f t="shared" si="463"/>
        <v>384.15970000000027</v>
      </c>
      <c r="AK111" s="510">
        <f t="shared" si="463"/>
        <v>371.23250000000007</v>
      </c>
      <c r="AL111" s="510">
        <f t="shared" si="463"/>
        <v>315.83130000000006</v>
      </c>
      <c r="AM111" s="511">
        <f t="shared" si="463"/>
        <v>335.50364999999999</v>
      </c>
      <c r="AN111" s="543">
        <f t="shared" si="463"/>
        <v>327.09981029745711</v>
      </c>
      <c r="AO111" s="510">
        <f t="shared" si="463"/>
        <v>272.36411788042483</v>
      </c>
      <c r="AP111" s="510">
        <f t="shared" si="463"/>
        <v>217.59240813545455</v>
      </c>
      <c r="AQ111" s="511">
        <f t="shared" si="463"/>
        <v>187.88577060404671</v>
      </c>
      <c r="AR111" s="543">
        <f>AR131+AR140</f>
        <v>169.56641222873625</v>
      </c>
      <c r="AS111" s="510">
        <f t="shared" si="463"/>
        <v>143.85718189278404</v>
      </c>
      <c r="AT111" s="510">
        <f t="shared" si="463"/>
        <v>166.86944666662936</v>
      </c>
      <c r="AU111" s="511">
        <f t="shared" si="463"/>
        <v>198.7495723044197</v>
      </c>
      <c r="AV111" s="543">
        <f>AV131+AV140</f>
        <v>193.53</v>
      </c>
      <c r="AW111" s="510">
        <f t="shared" ref="AW111" si="464">AW131+AW140</f>
        <v>194.96245913762772</v>
      </c>
      <c r="AX111" s="1587">
        <f>AX131+AX140</f>
        <v>223.03705325344609</v>
      </c>
      <c r="AY111" s="1588">
        <f>AY131+AY140</f>
        <v>324.61044589878202</v>
      </c>
      <c r="AZ111" s="1795">
        <f>AZ131+AZ140</f>
        <v>296.83239292936787</v>
      </c>
      <c r="BA111" s="510">
        <f t="shared" ref="BA111:BC111" si="465">BA131+BA140</f>
        <v>323.1216444827943</v>
      </c>
      <c r="BB111" s="510">
        <f t="shared" si="465"/>
        <v>466.14812212821698</v>
      </c>
      <c r="BC111" s="510">
        <f t="shared" si="465"/>
        <v>535.95945672752998</v>
      </c>
      <c r="BD111" s="543">
        <f t="shared" ref="BD111:BG111" si="466">BD131+BD140</f>
        <v>590.89530104210189</v>
      </c>
      <c r="BE111" s="510">
        <f t="shared" si="466"/>
        <v>484.83971616536144</v>
      </c>
      <c r="BF111" s="510">
        <f>BF131+BF140</f>
        <v>401.44728498491929</v>
      </c>
      <c r="BG111" s="1761">
        <f t="shared" si="466"/>
        <v>373.54936419206479</v>
      </c>
      <c r="BH111" s="543">
        <f t="shared" ref="BH111:BI111" si="467">BH131+BH140</f>
        <v>354.87189598246152</v>
      </c>
      <c r="BI111" s="510">
        <f t="shared" si="467"/>
        <v>361.04336156559214</v>
      </c>
      <c r="BJ111" s="510">
        <f>BJ131+BJ140</f>
        <v>390.80241689836737</v>
      </c>
      <c r="BK111" s="1761">
        <f t="shared" ref="BK111" si="468">BK131+BK140</f>
        <v>410.34253774328579</v>
      </c>
      <c r="BL111" s="313"/>
      <c r="BM111" s="365"/>
      <c r="BN111" s="365"/>
      <c r="BO111" s="365"/>
      <c r="BP111" s="365"/>
      <c r="BQ111" s="391">
        <f>+BQ131+BQ140</f>
        <v>1059.8537961819604</v>
      </c>
      <c r="BR111" s="788">
        <f>+BR131+BR140</f>
        <v>1463.8510137801643</v>
      </c>
      <c r="BS111" s="788">
        <f>SUM(AB111:AE111)</f>
        <v>1371.8522662541388</v>
      </c>
      <c r="BT111" s="788">
        <f>SUM(AF111:AI111)</f>
        <v>1306.4180312798089</v>
      </c>
      <c r="BU111" s="788">
        <f>SUM(AJ111:AM111)</f>
        <v>1406.7271500000006</v>
      </c>
      <c r="BV111" s="1975">
        <f>+SUM(AN111:AQ111)</f>
        <v>1004.9421069173832</v>
      </c>
      <c r="BW111" s="788">
        <f>SUM(AR111:AU111)</f>
        <v>679.04261309256935</v>
      </c>
      <c r="BX111" s="788">
        <f>+BX131+BX140</f>
        <v>936.13995828985583</v>
      </c>
      <c r="BY111" s="788">
        <f>+BY131+BY140</f>
        <v>1622.0616162679094</v>
      </c>
      <c r="BZ111" s="788">
        <f>+BZ131+BZ140</f>
        <v>1850.7316663844474</v>
      </c>
      <c r="CA111" s="1976">
        <f>+CA131+CA140</f>
        <v>1517.060212189707</v>
      </c>
      <c r="CB111" s="1408"/>
    </row>
    <row r="112" spans="1:80" s="552" customFormat="1" ht="14.25" customHeight="1">
      <c r="A112" s="544"/>
      <c r="B112" s="1354" t="s">
        <v>390</v>
      </c>
      <c r="C112" s="889"/>
      <c r="D112" s="546"/>
      <c r="E112" s="546"/>
      <c r="F112" s="546"/>
      <c r="G112" s="614"/>
      <c r="H112" s="546"/>
      <c r="I112" s="546"/>
      <c r="J112" s="546"/>
      <c r="K112" s="614"/>
      <c r="L112" s="546"/>
      <c r="M112" s="546"/>
      <c r="N112" s="546"/>
      <c r="O112" s="614"/>
      <c r="P112" s="546"/>
      <c r="Q112" s="546"/>
      <c r="R112" s="546"/>
      <c r="S112" s="614"/>
      <c r="T112" s="546"/>
      <c r="U112" s="507"/>
      <c r="V112" s="507"/>
      <c r="W112" s="501"/>
      <c r="X112" s="546"/>
      <c r="Y112" s="507">
        <f>Y111/X111-1</f>
        <v>0.12872046111697233</v>
      </c>
      <c r="Z112" s="507">
        <f>Z111/Y111-1</f>
        <v>-8.0682297476166842E-2</v>
      </c>
      <c r="AA112" s="528">
        <f>AA111/Z111-1</f>
        <v>0.10564543672073068</v>
      </c>
      <c r="AB112" s="546"/>
      <c r="AC112" s="507">
        <f t="shared" ref="AC112:AU112" si="469">AC111/AB111-1</f>
        <v>-4.9054584456993955E-2</v>
      </c>
      <c r="AD112" s="507">
        <f t="shared" si="469"/>
        <v>7.3073327244474129E-2</v>
      </c>
      <c r="AE112" s="507">
        <f t="shared" si="469"/>
        <v>-0.15322870000634936</v>
      </c>
      <c r="AF112" s="558">
        <f t="shared" si="469"/>
        <v>9.0116401014743941E-2</v>
      </c>
      <c r="AG112" s="507">
        <f t="shared" si="469"/>
        <v>-1.408148961373934E-2</v>
      </c>
      <c r="AH112" s="507">
        <f t="shared" si="469"/>
        <v>-3.2843125765373848E-2</v>
      </c>
      <c r="AI112" s="507">
        <f t="shared" si="469"/>
        <v>-1.6101333966480724E-2</v>
      </c>
      <c r="AJ112" s="558">
        <f t="shared" si="469"/>
        <v>0.21537114733856266</v>
      </c>
      <c r="AK112" s="507">
        <f t="shared" si="469"/>
        <v>-3.3650588544296034E-2</v>
      </c>
      <c r="AL112" s="507">
        <f t="shared" si="469"/>
        <v>-0.1492358562356475</v>
      </c>
      <c r="AM112" s="528">
        <f t="shared" si="469"/>
        <v>6.2287525017311163E-2</v>
      </c>
      <c r="AN112" s="558">
        <f t="shared" si="469"/>
        <v>-2.5048430032111102E-2</v>
      </c>
      <c r="AO112" s="507">
        <f t="shared" si="469"/>
        <v>-0.16733636246152783</v>
      </c>
      <c r="AP112" s="507">
        <f t="shared" si="469"/>
        <v>-0.20109737718467213</v>
      </c>
      <c r="AQ112" s="528">
        <f t="shared" si="469"/>
        <v>-0.1365242371549793</v>
      </c>
      <c r="AR112" s="558">
        <f t="shared" si="469"/>
        <v>-9.7502638525601482E-2</v>
      </c>
      <c r="AS112" s="507">
        <f t="shared" si="469"/>
        <v>-0.15161746950965616</v>
      </c>
      <c r="AT112" s="507">
        <f t="shared" si="469"/>
        <v>0.15996604737465403</v>
      </c>
      <c r="AU112" s="528">
        <f t="shared" si="469"/>
        <v>0.19104830916998394</v>
      </c>
      <c r="AV112" s="558">
        <f t="shared" ref="AV112" si="470">AV111/AU111-1</f>
        <v>-2.6262055529986283E-2</v>
      </c>
      <c r="AW112" s="507">
        <f t="shared" ref="AW112:AZ112" si="471">AW111/AV111-1</f>
        <v>7.4017420432372916E-3</v>
      </c>
      <c r="AX112" s="1535">
        <f t="shared" si="471"/>
        <v>0.14399999999999991</v>
      </c>
      <c r="AY112" s="1536">
        <f t="shared" si="471"/>
        <v>0.45541039555393481</v>
      </c>
      <c r="AZ112" s="1796">
        <f t="shared" si="471"/>
        <v>-8.557350301066935E-2</v>
      </c>
      <c r="BA112" s="507">
        <f t="shared" ref="BA112" si="472">BA111/AZ111-1</f>
        <v>8.8565979251739035E-2</v>
      </c>
      <c r="BB112" s="507">
        <f t="shared" ref="BB112" si="473">BB111/BA111-1</f>
        <v>0.44263973053974293</v>
      </c>
      <c r="BC112" s="507">
        <f t="shared" ref="BC112" si="474">BC111/BB111-1</f>
        <v>0.14976212771293951</v>
      </c>
      <c r="BD112" s="558">
        <f t="shared" ref="BD112" si="475">BD111/BC111-1</f>
        <v>0.10250000000000026</v>
      </c>
      <c r="BE112" s="507">
        <f t="shared" ref="BE112" si="476">BE111/BD111-1</f>
        <v>-0.17948287063664414</v>
      </c>
      <c r="BF112" s="507">
        <f t="shared" ref="BF112" si="477">BF111/BE111-1</f>
        <v>-0.17199999999999993</v>
      </c>
      <c r="BG112" s="1720">
        <f t="shared" ref="BG112" si="478">BG111/BF111-1</f>
        <v>-6.9493360240068691E-2</v>
      </c>
      <c r="BH112" s="558">
        <f t="shared" ref="BH112" si="479">BH111/BG111-1</f>
        <v>-5.0000000000000044E-2</v>
      </c>
      <c r="BI112" s="507">
        <f t="shared" ref="BI112" si="480">BI111/BH111-1</f>
        <v>1.7390685633318359E-2</v>
      </c>
      <c r="BJ112" s="507">
        <f t="shared" ref="BJ112" si="481">BJ111/BI111-1</f>
        <v>8.2425155814334961E-2</v>
      </c>
      <c r="BK112" s="1720">
        <f t="shared" ref="BK112" si="482">BK111/BJ111-1</f>
        <v>5.0000000000000044E-2</v>
      </c>
      <c r="BL112" s="547"/>
      <c r="BM112" s="548"/>
      <c r="BN112" s="548"/>
      <c r="BO112" s="548"/>
      <c r="BP112" s="548"/>
      <c r="BQ112" s="548"/>
      <c r="BR112" s="548"/>
      <c r="BS112" s="369"/>
      <c r="BT112" s="549"/>
      <c r="BU112" s="549"/>
      <c r="BV112" s="1940"/>
      <c r="BW112" s="549"/>
      <c r="BX112" s="549"/>
      <c r="BY112" s="549"/>
      <c r="BZ112" s="549"/>
      <c r="CA112" s="1674"/>
      <c r="CB112" s="1408"/>
    </row>
    <row r="113" spans="1:80" s="552" customFormat="1" ht="14.25" customHeight="1">
      <c r="A113" s="544"/>
      <c r="B113" s="1354" t="s">
        <v>391</v>
      </c>
      <c r="C113" s="889"/>
      <c r="D113" s="546"/>
      <c r="E113" s="546"/>
      <c r="F113" s="546"/>
      <c r="G113" s="614"/>
      <c r="H113" s="546"/>
      <c r="I113" s="546"/>
      <c r="J113" s="546"/>
      <c r="K113" s="614"/>
      <c r="L113" s="546"/>
      <c r="M113" s="546"/>
      <c r="N113" s="546"/>
      <c r="O113" s="614"/>
      <c r="P113" s="546"/>
      <c r="Q113" s="546"/>
      <c r="R113" s="546"/>
      <c r="S113" s="614"/>
      <c r="T113" s="546"/>
      <c r="U113" s="507"/>
      <c r="V113" s="507"/>
      <c r="W113" s="501"/>
      <c r="X113" s="546"/>
      <c r="Y113" s="507"/>
      <c r="Z113" s="507"/>
      <c r="AA113" s="501"/>
      <c r="AB113" s="546"/>
      <c r="AC113" s="507"/>
      <c r="AD113" s="507"/>
      <c r="AE113" s="507"/>
      <c r="AF113" s="558">
        <f>AF111/AB111-1</f>
        <v>-5.805836722544222E-2</v>
      </c>
      <c r="AG113" s="507">
        <f t="shared" ref="AG113:AU113" si="483">AG111/AC111-1</f>
        <v>-2.3416406160806424E-2</v>
      </c>
      <c r="AH113" s="507">
        <f t="shared" si="483"/>
        <v>-0.11980895241174117</v>
      </c>
      <c r="AI113" s="507">
        <f t="shared" si="483"/>
        <v>2.2730455771502234E-2</v>
      </c>
      <c r="AJ113" s="558">
        <f t="shared" si="483"/>
        <v>0.14024253400099984</v>
      </c>
      <c r="AK113" s="507">
        <f t="shared" si="483"/>
        <v>0.1176103197585141</v>
      </c>
      <c r="AL113" s="507">
        <f t="shared" si="483"/>
        <v>-1.6888767394633741E-2</v>
      </c>
      <c r="AM113" s="528">
        <f t="shared" si="483"/>
        <v>6.1437355445600472E-2</v>
      </c>
      <c r="AN113" s="558">
        <f t="shared" si="483"/>
        <v>-0.14853169060300475</v>
      </c>
      <c r="AO113" s="507">
        <f t="shared" si="483"/>
        <v>-0.26632469441542761</v>
      </c>
      <c r="AP113" s="507">
        <f t="shared" si="483"/>
        <v>-0.31104862584723392</v>
      </c>
      <c r="AQ113" s="528">
        <f t="shared" si="483"/>
        <v>-0.43998889250818374</v>
      </c>
      <c r="AR113" s="558">
        <f t="shared" si="483"/>
        <v>-0.48160651002965604</v>
      </c>
      <c r="AS113" s="507">
        <f t="shared" si="483"/>
        <v>-0.4718203594060022</v>
      </c>
      <c r="AT113" s="507">
        <f t="shared" si="483"/>
        <v>-0.23310997797887045</v>
      </c>
      <c r="AU113" s="528">
        <f t="shared" si="483"/>
        <v>5.7821311669564945E-2</v>
      </c>
      <c r="AV113" s="558">
        <f t="shared" ref="AV113" si="484">AV111/AR111-1</f>
        <v>0.14132272692623893</v>
      </c>
      <c r="AW113" s="507">
        <f t="shared" ref="AW113:AZ113" si="485">AW111/AS111-1</f>
        <v>0.35525009299106225</v>
      </c>
      <c r="AX113" s="1535">
        <f t="shared" si="485"/>
        <v>0.3365961097661454</v>
      </c>
      <c r="AY113" s="1536">
        <f t="shared" si="485"/>
        <v>0.63326361981591783</v>
      </c>
      <c r="AZ113" s="1796">
        <f t="shared" si="485"/>
        <v>0.53377973921029231</v>
      </c>
      <c r="BA113" s="507">
        <f t="shared" ref="BA113" si="486">BA111/AW111-1</f>
        <v>0.65735314332846295</v>
      </c>
      <c r="BB113" s="507">
        <f t="shared" ref="BB113" si="487">BB111/AX111-1</f>
        <v>1.0900030525354634</v>
      </c>
      <c r="BC113" s="507">
        <f t="shared" ref="BC113" si="488">BC111/AY111-1</f>
        <v>0.65108505748656498</v>
      </c>
      <c r="BD113" s="558">
        <f t="shared" ref="BD113" si="489">BD111/AZ111-1</f>
        <v>0.99066986999194229</v>
      </c>
      <c r="BE113" s="507">
        <f t="shared" ref="BE113" si="490">BE111/BA111-1</f>
        <v>0.5004866570960349</v>
      </c>
      <c r="BF113" s="507">
        <f t="shared" ref="BF113" si="491">BF111/BB111-1</f>
        <v>-0.13879887973784721</v>
      </c>
      <c r="BG113" s="1720">
        <f t="shared" ref="BG113" si="492">BG111/BC111-1</f>
        <v>-0.30302682506455136</v>
      </c>
      <c r="BH113" s="558">
        <f t="shared" ref="BH113" si="493">BH111/BD111-1</f>
        <v>-0.39943354540709652</v>
      </c>
      <c r="BI113" s="507">
        <f t="shared" ref="BI113" si="494">BI111/BE111-1</f>
        <v>-0.25533459919266766</v>
      </c>
      <c r="BJ113" s="507">
        <f t="shared" ref="BJ113" si="495">BJ111/BF111-1</f>
        <v>-2.65162288666414E-2</v>
      </c>
      <c r="BK113" s="1720">
        <f t="shared" ref="BK113" si="496">BK111/BG111-1</f>
        <v>9.8496148242146031E-2</v>
      </c>
      <c r="BL113" s="547"/>
      <c r="BM113" s="548"/>
      <c r="BN113" s="548"/>
      <c r="BO113" s="548"/>
      <c r="BP113" s="548"/>
      <c r="BQ113" s="548"/>
      <c r="BR113" s="548"/>
      <c r="BS113" s="369"/>
      <c r="BT113" s="377">
        <f t="shared" ref="BT113:CA113" si="497">BT111/BS111-1</f>
        <v>-4.7697727068672591E-2</v>
      </c>
      <c r="BU113" s="377">
        <f t="shared" si="497"/>
        <v>7.6781792901255086E-2</v>
      </c>
      <c r="BV113" s="1920">
        <f t="shared" si="497"/>
        <v>-0.28561689669714363</v>
      </c>
      <c r="BW113" s="377">
        <f t="shared" si="497"/>
        <v>-0.32429678444313226</v>
      </c>
      <c r="BX113" s="377">
        <f t="shared" si="497"/>
        <v>0.37861739490307667</v>
      </c>
      <c r="BY113" s="377">
        <f t="shared" si="497"/>
        <v>0.73271272303245971</v>
      </c>
      <c r="BZ113" s="377">
        <f t="shared" si="497"/>
        <v>0.14097494683504652</v>
      </c>
      <c r="CA113" s="1517">
        <f t="shared" si="497"/>
        <v>-0.18029164370791484</v>
      </c>
      <c r="CB113" s="1408"/>
    </row>
    <row r="114" spans="1:80" s="552" customFormat="1" ht="14.25" customHeight="1">
      <c r="A114" s="544"/>
      <c r="B114" s="1354" t="s">
        <v>392</v>
      </c>
      <c r="C114" s="889"/>
      <c r="D114" s="546"/>
      <c r="E114" s="546"/>
      <c r="F114" s="546"/>
      <c r="G114" s="614"/>
      <c r="H114" s="546"/>
      <c r="I114" s="546"/>
      <c r="J114" s="546"/>
      <c r="K114" s="614"/>
      <c r="L114" s="546"/>
      <c r="M114" s="546"/>
      <c r="N114" s="546"/>
      <c r="O114" s="614"/>
      <c r="P114" s="546"/>
      <c r="Q114" s="546"/>
      <c r="R114" s="546"/>
      <c r="S114" s="614"/>
      <c r="T114" s="546"/>
      <c r="U114" s="507"/>
      <c r="V114" s="507"/>
      <c r="W114" s="501"/>
      <c r="X114" s="546"/>
      <c r="Y114" s="507"/>
      <c r="Z114" s="507"/>
      <c r="AA114" s="501"/>
      <c r="AB114" s="546"/>
      <c r="AC114" s="507"/>
      <c r="AD114" s="507"/>
      <c r="AE114" s="507"/>
      <c r="AF114" s="1204"/>
      <c r="AG114" s="1205"/>
      <c r="AH114" s="1205">
        <v>-0.14000000000000001</v>
      </c>
      <c r="AI114" s="507"/>
      <c r="AJ114" s="558"/>
      <c r="AK114" s="507"/>
      <c r="AL114" s="507"/>
      <c r="AM114" s="528"/>
      <c r="AN114" s="558"/>
      <c r="AO114" s="507"/>
      <c r="AP114" s="507"/>
      <c r="AQ114" s="528"/>
      <c r="AR114" s="558"/>
      <c r="AS114" s="507"/>
      <c r="AT114" s="507"/>
      <c r="AU114" s="528"/>
      <c r="AV114" s="558"/>
      <c r="AW114" s="507"/>
      <c r="AX114" s="1535"/>
      <c r="AY114" s="1536"/>
      <c r="AZ114" s="1796"/>
      <c r="BA114" s="507"/>
      <c r="BB114" s="507"/>
      <c r="BC114" s="507"/>
      <c r="BD114" s="558"/>
      <c r="BE114" s="507"/>
      <c r="BF114" s="507"/>
      <c r="BG114" s="1720"/>
      <c r="BH114" s="558"/>
      <c r="BI114" s="507"/>
      <c r="BJ114" s="507"/>
      <c r="BK114" s="1720"/>
      <c r="BL114" s="547"/>
      <c r="BM114" s="548"/>
      <c r="BN114" s="548"/>
      <c r="BO114" s="548"/>
      <c r="BP114" s="548"/>
      <c r="BQ114" s="548"/>
      <c r="BR114" s="548"/>
      <c r="BS114" s="369"/>
      <c r="BT114" s="377"/>
      <c r="BU114" s="377"/>
      <c r="BV114" s="1920"/>
      <c r="BW114" s="377"/>
      <c r="BX114" s="377"/>
      <c r="BY114" s="377"/>
      <c r="BZ114" s="377"/>
      <c r="CA114" s="1517"/>
      <c r="CB114" s="1408"/>
    </row>
    <row r="115" spans="1:80" s="552" customFormat="1" ht="14.25" customHeight="1">
      <c r="A115" s="544"/>
      <c r="B115" s="1354" t="s">
        <v>393</v>
      </c>
      <c r="C115" s="889"/>
      <c r="D115" s="546"/>
      <c r="E115" s="546"/>
      <c r="F115" s="546"/>
      <c r="G115" s="614"/>
      <c r="H115" s="546"/>
      <c r="I115" s="546"/>
      <c r="J115" s="546"/>
      <c r="K115" s="614"/>
      <c r="L115" s="546"/>
      <c r="M115" s="546"/>
      <c r="N115" s="546"/>
      <c r="O115" s="614"/>
      <c r="P115" s="546"/>
      <c r="Q115" s="546"/>
      <c r="R115" s="546"/>
      <c r="S115" s="614"/>
      <c r="T115" s="546"/>
      <c r="U115" s="507"/>
      <c r="V115" s="507"/>
      <c r="W115" s="501"/>
      <c r="X115" s="546"/>
      <c r="Y115" s="507"/>
      <c r="Z115" s="507"/>
      <c r="AA115" s="501"/>
      <c r="AB115" s="546"/>
      <c r="AC115" s="507"/>
      <c r="AD115" s="507"/>
      <c r="AE115" s="507"/>
      <c r="AF115" s="1204">
        <v>-0.11</v>
      </c>
      <c r="AG115" s="1205"/>
      <c r="AH115" s="1205"/>
      <c r="AI115" s="507"/>
      <c r="AJ115" s="558"/>
      <c r="AK115" s="507"/>
      <c r="AL115" s="507"/>
      <c r="AM115" s="528"/>
      <c r="AN115" s="558"/>
      <c r="AO115" s="507"/>
      <c r="AP115" s="507"/>
      <c r="AQ115" s="528"/>
      <c r="AR115" s="558"/>
      <c r="AS115" s="507"/>
      <c r="AT115" s="507"/>
      <c r="AU115" s="528"/>
      <c r="AV115" s="558"/>
      <c r="AW115" s="507"/>
      <c r="AX115" s="1535"/>
      <c r="AY115" s="1536"/>
      <c r="AZ115" s="1796"/>
      <c r="BA115" s="507"/>
      <c r="BB115" s="507"/>
      <c r="BC115" s="507"/>
      <c r="BD115" s="558"/>
      <c r="BE115" s="507"/>
      <c r="BF115" s="507"/>
      <c r="BG115" s="1720"/>
      <c r="BH115" s="558"/>
      <c r="BI115" s="507"/>
      <c r="BJ115" s="507"/>
      <c r="BK115" s="1720"/>
      <c r="BL115" s="547"/>
      <c r="BM115" s="548"/>
      <c r="BN115" s="548"/>
      <c r="BO115" s="548"/>
      <c r="BP115" s="548"/>
      <c r="BQ115" s="548"/>
      <c r="BR115" s="548"/>
      <c r="BS115" s="369"/>
      <c r="BT115" s="377"/>
      <c r="BU115" s="377"/>
      <c r="BV115" s="1920"/>
      <c r="BW115" s="377"/>
      <c r="BX115" s="377"/>
      <c r="BY115" s="377"/>
      <c r="BZ115" s="377"/>
      <c r="CA115" s="1517"/>
      <c r="CB115" s="1408"/>
    </row>
    <row r="116" spans="1:80" s="7" customFormat="1" ht="14.25" customHeight="1">
      <c r="A116" s="312"/>
      <c r="B116" s="1358"/>
      <c r="C116" s="287"/>
      <c r="D116" s="519"/>
      <c r="E116" s="519"/>
      <c r="F116" s="519"/>
      <c r="G116" s="520"/>
      <c r="H116" s="519"/>
      <c r="I116" s="519"/>
      <c r="J116" s="519"/>
      <c r="K116" s="520"/>
      <c r="L116" s="519"/>
      <c r="M116" s="519"/>
      <c r="N116" s="519"/>
      <c r="O116" s="520"/>
      <c r="P116" s="519"/>
      <c r="Q116" s="519"/>
      <c r="R116" s="519"/>
      <c r="S116" s="520"/>
      <c r="T116" s="519"/>
      <c r="U116" s="519"/>
      <c r="V116" s="519"/>
      <c r="W116" s="520"/>
      <c r="X116" s="519"/>
      <c r="Y116" s="519"/>
      <c r="Z116" s="519"/>
      <c r="AA116" s="520"/>
      <c r="AB116" s="519"/>
      <c r="AC116" s="519"/>
      <c r="AD116" s="519"/>
      <c r="AE116" s="519"/>
      <c r="AF116" s="559"/>
      <c r="AG116" s="526"/>
      <c r="AH116" s="526"/>
      <c r="AI116" s="526"/>
      <c r="AJ116" s="559"/>
      <c r="AK116" s="526"/>
      <c r="AL116" s="526"/>
      <c r="AM116" s="527"/>
      <c r="AN116" s="559"/>
      <c r="AO116" s="526"/>
      <c r="AP116" s="526"/>
      <c r="AQ116" s="527"/>
      <c r="AR116" s="559"/>
      <c r="AS116" s="526"/>
      <c r="AT116" s="526"/>
      <c r="AU116" s="527"/>
      <c r="AV116" s="559"/>
      <c r="AW116" s="526"/>
      <c r="AX116" s="1533"/>
      <c r="AY116" s="1534"/>
      <c r="AZ116" s="1791"/>
      <c r="BA116" s="526"/>
      <c r="BB116" s="526"/>
      <c r="BC116" s="526"/>
      <c r="BD116" s="559"/>
      <c r="BE116" s="526"/>
      <c r="BF116" s="526"/>
      <c r="BG116" s="1759"/>
      <c r="BH116" s="559"/>
      <c r="BI116" s="526"/>
      <c r="BJ116" s="526"/>
      <c r="BK116" s="1759"/>
      <c r="BL116" s="313"/>
      <c r="BM116" s="365"/>
      <c r="BN116" s="365"/>
      <c r="BO116" s="365"/>
      <c r="BP116" s="365"/>
      <c r="BQ116" s="365"/>
      <c r="BR116" s="365"/>
      <c r="BS116" s="365"/>
      <c r="BT116" s="365"/>
      <c r="BU116" s="365"/>
      <c r="BV116" s="1939"/>
      <c r="BW116" s="365"/>
      <c r="BX116" s="365"/>
      <c r="BY116" s="365"/>
      <c r="BZ116" s="365"/>
      <c r="CA116" s="1673"/>
      <c r="CB116" s="1408"/>
    </row>
    <row r="117" spans="1:80" s="7" customFormat="1" ht="14.25" customHeight="1">
      <c r="A117" s="312"/>
      <c r="B117" s="1355" t="s">
        <v>345</v>
      </c>
      <c r="C117" s="287"/>
      <c r="D117" s="510"/>
      <c r="E117" s="510"/>
      <c r="F117" s="510"/>
      <c r="G117" s="511"/>
      <c r="H117" s="510"/>
      <c r="I117" s="510"/>
      <c r="J117" s="510"/>
      <c r="K117" s="511"/>
      <c r="L117" s="510"/>
      <c r="M117" s="510"/>
      <c r="N117" s="510"/>
      <c r="O117" s="511"/>
      <c r="P117" s="510"/>
      <c r="Q117" s="510"/>
      <c r="R117" s="510"/>
      <c r="S117" s="511"/>
      <c r="T117" s="497">
        <f>T127+T136</f>
        <v>7805</v>
      </c>
      <c r="U117" s="497">
        <f>U127+U136</f>
        <v>11040</v>
      </c>
      <c r="V117" s="497">
        <f t="shared" ref="V117:AU117" si="498">V127+V136</f>
        <v>14040</v>
      </c>
      <c r="W117" s="498">
        <f t="shared" si="498"/>
        <v>15815</v>
      </c>
      <c r="X117" s="497">
        <f t="shared" si="498"/>
        <v>15950</v>
      </c>
      <c r="Y117" s="497">
        <f t="shared" si="498"/>
        <v>17820</v>
      </c>
      <c r="Z117" s="497">
        <f t="shared" si="498"/>
        <v>16950</v>
      </c>
      <c r="AA117" s="498">
        <f t="shared" si="498"/>
        <v>17775</v>
      </c>
      <c r="AB117" s="497">
        <f t="shared" si="498"/>
        <v>16754.419407877667</v>
      </c>
      <c r="AC117" s="497">
        <f t="shared" si="498"/>
        <v>15950</v>
      </c>
      <c r="AD117" s="497">
        <f t="shared" si="498"/>
        <v>16790</v>
      </c>
      <c r="AE117" s="497">
        <f t="shared" si="498"/>
        <v>14110</v>
      </c>
      <c r="AF117" s="560">
        <f t="shared" si="498"/>
        <v>15226.315756810345</v>
      </c>
      <c r="AG117" s="497">
        <f t="shared" si="498"/>
        <v>14892.586284106033</v>
      </c>
      <c r="AH117" s="497">
        <f t="shared" si="498"/>
        <v>14120.860507059671</v>
      </c>
      <c r="AI117" s="497">
        <f t="shared" si="498"/>
        <v>13779.965184918477</v>
      </c>
      <c r="AJ117" s="560">
        <f t="shared" si="498"/>
        <v>15939.941427620699</v>
      </c>
      <c r="AK117" s="497">
        <f t="shared" si="498"/>
        <v>15724.608688299035</v>
      </c>
      <c r="AL117" s="497">
        <f t="shared" si="498"/>
        <v>13823.75183658791</v>
      </c>
      <c r="AM117" s="498">
        <f t="shared" si="498"/>
        <v>14581.340773009975</v>
      </c>
      <c r="AN117" s="560">
        <f t="shared" si="498"/>
        <v>13976.464639460573</v>
      </c>
      <c r="AO117" s="497">
        <f t="shared" si="498"/>
        <v>12370.716928857943</v>
      </c>
      <c r="AP117" s="497">
        <f t="shared" si="498"/>
        <v>10306.172094363752</v>
      </c>
      <c r="AQ117" s="498">
        <f t="shared" si="498"/>
        <v>8750.570875237554</v>
      </c>
      <c r="AR117" s="560">
        <f t="shared" si="498"/>
        <v>7825.2204239797393</v>
      </c>
      <c r="AS117" s="497">
        <f t="shared" si="498"/>
        <v>6459.4579993196112</v>
      </c>
      <c r="AT117" s="497">
        <f t="shared" si="498"/>
        <v>7461.9544577023153</v>
      </c>
      <c r="AU117" s="498">
        <f t="shared" si="498"/>
        <v>8522.3045496425584</v>
      </c>
      <c r="AV117" s="560">
        <f t="shared" ref="AV117:AZ117" si="499">AV127+AV136</f>
        <v>8367.4795804078622</v>
      </c>
      <c r="AW117" s="497">
        <f t="shared" si="499"/>
        <v>8451.15437621194</v>
      </c>
      <c r="AX117" s="1561">
        <f t="shared" si="499"/>
        <v>9296.2698138331361</v>
      </c>
      <c r="AY117" s="1562">
        <f t="shared" si="499"/>
        <v>11744.369127016522</v>
      </c>
      <c r="AZ117" s="1797">
        <f t="shared" si="499"/>
        <v>10569.932214314869</v>
      </c>
      <c r="BA117" s="497">
        <f t="shared" ref="BA117:BC117" si="500">BA127+BA136</f>
        <v>10985.257440537329</v>
      </c>
      <c r="BB117" s="497">
        <f t="shared" si="500"/>
        <v>13424.605634614065</v>
      </c>
      <c r="BC117" s="497">
        <f t="shared" si="500"/>
        <v>13965.011076744893</v>
      </c>
      <c r="BD117" s="560">
        <f t="shared" ref="BD117:BG117" si="501">BD127+BD136</f>
        <v>14663.261630582139</v>
      </c>
      <c r="BE117" s="497">
        <f t="shared" si="501"/>
        <v>13350.140410368014</v>
      </c>
      <c r="BF117" s="497">
        <f t="shared" si="501"/>
        <v>12141.180630122011</v>
      </c>
      <c r="BG117" s="1762">
        <f t="shared" si="501"/>
        <v>11851.255830303176</v>
      </c>
      <c r="BH117" s="560">
        <f t="shared" ref="BH117:BK117" si="502">BH127+BH136</f>
        <v>11258.693038788017</v>
      </c>
      <c r="BI117" s="497">
        <f t="shared" si="502"/>
        <v>11369.711410573062</v>
      </c>
      <c r="BJ117" s="497">
        <f t="shared" si="502"/>
        <v>12051.894095207448</v>
      </c>
      <c r="BK117" s="1762">
        <f t="shared" si="502"/>
        <v>12654.488799967821</v>
      </c>
      <c r="BL117" s="313"/>
      <c r="BM117" s="365"/>
      <c r="BN117" s="365"/>
      <c r="BO117" s="365"/>
      <c r="BP117" s="365"/>
      <c r="BQ117" s="391">
        <f>SUM(T117:W117)</f>
        <v>48700</v>
      </c>
      <c r="BR117" s="788">
        <f>SUM(X117:AA117)</f>
        <v>68495</v>
      </c>
      <c r="BS117" s="788">
        <f>SUM(AB117:AE117)</f>
        <v>63604.419407877664</v>
      </c>
      <c r="BT117" s="788">
        <f>SUM(AF117:AI117)</f>
        <v>58019.72773289452</v>
      </c>
      <c r="BU117" s="788">
        <f>SUM(AJ117:AM117)</f>
        <v>60069.642725517624</v>
      </c>
      <c r="BV117" s="1975">
        <f>+SUM(AN117:AQ117)</f>
        <v>45403.924537919826</v>
      </c>
      <c r="BW117" s="788">
        <f>SUM(AR117:AU117)</f>
        <v>30268.937430644222</v>
      </c>
      <c r="BX117" s="788">
        <f>+BX127+BX136</f>
        <v>37859.272897469462</v>
      </c>
      <c r="BY117" s="788">
        <f>+BY127+BY136</f>
        <v>48944.806366211153</v>
      </c>
      <c r="BZ117" s="788">
        <f>+BZ127+BZ136</f>
        <v>52005.838501375343</v>
      </c>
      <c r="CA117" s="1976">
        <f>+CA127+CA136</f>
        <v>47334.787344536344</v>
      </c>
      <c r="CB117" s="1408"/>
    </row>
    <row r="118" spans="1:80" s="552" customFormat="1" ht="14.25" customHeight="1">
      <c r="A118" s="544"/>
      <c r="B118" s="1354" t="s">
        <v>390</v>
      </c>
      <c r="C118" s="889"/>
      <c r="D118" s="546"/>
      <c r="E118" s="546"/>
      <c r="F118" s="546"/>
      <c r="G118" s="614"/>
      <c r="H118" s="546"/>
      <c r="I118" s="546"/>
      <c r="J118" s="546"/>
      <c r="K118" s="614"/>
      <c r="L118" s="546"/>
      <c r="M118" s="546"/>
      <c r="N118" s="546"/>
      <c r="O118" s="614"/>
      <c r="P118" s="546"/>
      <c r="Q118" s="546"/>
      <c r="R118" s="546"/>
      <c r="S118" s="614"/>
      <c r="T118" s="546"/>
      <c r="U118" s="1199">
        <f t="shared" ref="U118:AU118" si="503">U117/T117-1</f>
        <v>0.41447789878283148</v>
      </c>
      <c r="V118" s="1199">
        <f t="shared" si="503"/>
        <v>0.27173913043478271</v>
      </c>
      <c r="W118" s="1206">
        <f t="shared" si="503"/>
        <v>0.12642450142450135</v>
      </c>
      <c r="X118" s="1199">
        <f t="shared" si="503"/>
        <v>8.5361998103066217E-3</v>
      </c>
      <c r="Y118" s="1199">
        <f t="shared" si="503"/>
        <v>0.11724137931034484</v>
      </c>
      <c r="Z118" s="1199">
        <f t="shared" si="503"/>
        <v>-4.8821548821548877E-2</v>
      </c>
      <c r="AA118" s="1206">
        <f t="shared" si="503"/>
        <v>4.8672566371681381E-2</v>
      </c>
      <c r="AB118" s="1199">
        <f t="shared" si="503"/>
        <v>-5.7416629655264839E-2</v>
      </c>
      <c r="AC118" s="1199">
        <f t="shared" si="503"/>
        <v>-4.8012371440304347E-2</v>
      </c>
      <c r="AD118" s="1199">
        <f t="shared" si="503"/>
        <v>5.2664576802507801E-2</v>
      </c>
      <c r="AE118" s="1198">
        <f t="shared" si="503"/>
        <v>-0.15961882072662303</v>
      </c>
      <c r="AF118" s="1201">
        <f t="shared" si="503"/>
        <v>7.9115220184999613E-2</v>
      </c>
      <c r="AG118" s="1199">
        <f t="shared" si="503"/>
        <v>-2.1917939837484468E-2</v>
      </c>
      <c r="AH118" s="1199">
        <f t="shared" si="503"/>
        <v>-5.1819459852314509E-2</v>
      </c>
      <c r="AI118" s="1199">
        <f t="shared" si="503"/>
        <v>-2.4141256970194203E-2</v>
      </c>
      <c r="AJ118" s="1201">
        <f t="shared" si="503"/>
        <v>0.15674758344572703</v>
      </c>
      <c r="AK118" s="1199">
        <f t="shared" si="503"/>
        <v>-1.3509004427615823E-2</v>
      </c>
      <c r="AL118" s="1199">
        <f t="shared" si="503"/>
        <v>-0.12088420700259384</v>
      </c>
      <c r="AM118" s="1200">
        <f t="shared" si="503"/>
        <v>5.4803424235157605E-2</v>
      </c>
      <c r="AN118" s="1201">
        <f t="shared" si="503"/>
        <v>-4.1482888505632198E-2</v>
      </c>
      <c r="AO118" s="1199">
        <f t="shared" si="503"/>
        <v>-0.11488940529846359</v>
      </c>
      <c r="AP118" s="1199">
        <f t="shared" si="503"/>
        <v>-0.16688966745961975</v>
      </c>
      <c r="AQ118" s="1200">
        <f t="shared" si="503"/>
        <v>-0.15093879714825709</v>
      </c>
      <c r="AR118" s="1201">
        <f t="shared" si="503"/>
        <v>-0.10574743801874453</v>
      </c>
      <c r="AS118" s="1199">
        <f t="shared" si="503"/>
        <v>-0.17453341256367194</v>
      </c>
      <c r="AT118" s="1199">
        <f t="shared" si="503"/>
        <v>0.15519823156808199</v>
      </c>
      <c r="AU118" s="1200">
        <f t="shared" si="503"/>
        <v>0.14210085279276097</v>
      </c>
      <c r="AV118" s="1201">
        <f t="shared" ref="AV118" si="504">AV117/AU117-1</f>
        <v>-1.8167030799338235E-2</v>
      </c>
      <c r="AW118" s="1199">
        <f t="shared" ref="AW118:AZ118" si="505">AW117/AV117-1</f>
        <v>1.0000000000000009E-2</v>
      </c>
      <c r="AX118" s="1583">
        <f t="shared" si="505"/>
        <v>0.10000000000000031</v>
      </c>
      <c r="AY118" s="1584">
        <f t="shared" si="505"/>
        <v>0.26334211056789014</v>
      </c>
      <c r="AZ118" s="1792">
        <f t="shared" si="505"/>
        <v>-9.9999999999999978E-2</v>
      </c>
      <c r="BA118" s="1199">
        <f t="shared" ref="BA118" si="506">BA117/AZ117-1</f>
        <v>3.929308322904701E-2</v>
      </c>
      <c r="BB118" s="1199">
        <f t="shared" ref="BB118" si="507">BB117/BA117-1</f>
        <v>0.2220565341577847</v>
      </c>
      <c r="BC118" s="1199">
        <f t="shared" ref="BC118" si="508">BC117/BB117-1</f>
        <v>4.0254846722457494E-2</v>
      </c>
      <c r="BD118" s="1201">
        <f t="shared" ref="BD118" si="509">BD117/BC117-1</f>
        <v>5.0000000000000044E-2</v>
      </c>
      <c r="BE118" s="1199">
        <f t="shared" ref="BE118" si="510">BE117/BD117-1</f>
        <v>-8.9551782768128474E-2</v>
      </c>
      <c r="BF118" s="1199">
        <f t="shared" ref="BF118" si="511">BF117/BE117-1</f>
        <v>-9.0557832583326059E-2</v>
      </c>
      <c r="BG118" s="1760">
        <f t="shared" ref="BG118" si="512">BG117/BF117-1</f>
        <v>-2.3879456920321007E-2</v>
      </c>
      <c r="BH118" s="1201">
        <f t="shared" ref="BH118" si="513">BH117/BG117-1</f>
        <v>-5.0000000000000044E-2</v>
      </c>
      <c r="BI118" s="1199">
        <f t="shared" ref="BI118" si="514">BI117/BH117-1</f>
        <v>9.8606802230569723E-3</v>
      </c>
      <c r="BJ118" s="1199">
        <f t="shared" ref="BJ118" si="515">BJ117/BI117-1</f>
        <v>6.0000000000000275E-2</v>
      </c>
      <c r="BK118" s="1760">
        <f t="shared" ref="BK118" si="516">BK117/BJ117-1</f>
        <v>5.0000000000000044E-2</v>
      </c>
      <c r="BL118" s="547"/>
      <c r="BM118" s="548"/>
      <c r="BN118" s="548"/>
      <c r="BO118" s="548"/>
      <c r="BP118" s="548"/>
      <c r="BQ118" s="548"/>
      <c r="BR118" s="548"/>
      <c r="BS118" s="369"/>
      <c r="BT118" s="549"/>
      <c r="BU118" s="549"/>
      <c r="BV118" s="1977" t="s">
        <v>373</v>
      </c>
      <c r="BW118" s="549"/>
      <c r="BX118" s="549"/>
      <c r="BY118" s="549"/>
      <c r="BZ118" s="549"/>
      <c r="CA118" s="1674"/>
      <c r="CB118" s="1408"/>
    </row>
    <row r="119" spans="1:80" s="552" customFormat="1" ht="14.25" customHeight="1">
      <c r="A119" s="544"/>
      <c r="B119" s="1354" t="s">
        <v>391</v>
      </c>
      <c r="C119" s="889"/>
      <c r="D119" s="546"/>
      <c r="E119" s="546"/>
      <c r="F119" s="546"/>
      <c r="G119" s="614"/>
      <c r="H119" s="546"/>
      <c r="I119" s="546"/>
      <c r="J119" s="546"/>
      <c r="K119" s="614"/>
      <c r="L119" s="546"/>
      <c r="M119" s="546"/>
      <c r="N119" s="546"/>
      <c r="O119" s="614"/>
      <c r="P119" s="546"/>
      <c r="Q119" s="546"/>
      <c r="R119" s="546"/>
      <c r="S119" s="614"/>
      <c r="T119" s="546"/>
      <c r="U119" s="507"/>
      <c r="V119" s="507"/>
      <c r="W119" s="501"/>
      <c r="X119" s="1199">
        <f>X117/T117-1</f>
        <v>1.0435618193465728</v>
      </c>
      <c r="Y119" s="1208">
        <f t="shared" ref="Y119:AU119" si="517">Y117/U117-1</f>
        <v>0.61413043478260865</v>
      </c>
      <c r="Z119" s="1208">
        <f t="shared" si="517"/>
        <v>0.20726495726495719</v>
      </c>
      <c r="AA119" s="1209">
        <f t="shared" si="517"/>
        <v>0.1239329750237117</v>
      </c>
      <c r="AB119" s="1208">
        <f t="shared" si="517"/>
        <v>5.0433818675715836E-2</v>
      </c>
      <c r="AC119" s="1208">
        <f t="shared" si="517"/>
        <v>-0.10493827160493829</v>
      </c>
      <c r="AD119" s="1208">
        <f t="shared" si="517"/>
        <v>-9.4395280235988199E-3</v>
      </c>
      <c r="AE119" s="1210">
        <f t="shared" si="517"/>
        <v>-0.20618846694796067</v>
      </c>
      <c r="AF119" s="1211">
        <f t="shared" si="517"/>
        <v>-9.1206004449717382E-2</v>
      </c>
      <c r="AG119" s="1208">
        <f t="shared" si="517"/>
        <v>-6.6295530777051193E-2</v>
      </c>
      <c r="AH119" s="1208">
        <f t="shared" si="517"/>
        <v>-0.15897197694701182</v>
      </c>
      <c r="AI119" s="1208">
        <f t="shared" si="517"/>
        <v>-2.3390135725125605E-2</v>
      </c>
      <c r="AJ119" s="1211">
        <f t="shared" si="517"/>
        <v>4.6867914878959915E-2</v>
      </c>
      <c r="AK119" s="1208">
        <f t="shared" si="517"/>
        <v>5.5868227876642917E-2</v>
      </c>
      <c r="AL119" s="1208">
        <f t="shared" si="517"/>
        <v>-2.1040408289793922E-2</v>
      </c>
      <c r="AM119" s="1212">
        <f t="shared" si="517"/>
        <v>5.8155124293678639E-2</v>
      </c>
      <c r="AN119" s="1211">
        <f t="shared" si="517"/>
        <v>-0.12317967397030816</v>
      </c>
      <c r="AO119" s="1208">
        <f t="shared" si="517"/>
        <v>-0.21328936229343398</v>
      </c>
      <c r="AP119" s="1208">
        <f t="shared" si="517"/>
        <v>-0.25445912106972512</v>
      </c>
      <c r="AQ119" s="1212">
        <f t="shared" si="517"/>
        <v>-0.39987885809274559</v>
      </c>
      <c r="AR119" s="1211">
        <f t="shared" si="517"/>
        <v>-0.44011446200161841</v>
      </c>
      <c r="AS119" s="1208">
        <f t="shared" si="517"/>
        <v>-0.47784287390399893</v>
      </c>
      <c r="AT119" s="1208">
        <f t="shared" si="517"/>
        <v>-0.27597226308853162</v>
      </c>
      <c r="AU119" s="1212">
        <f t="shared" si="517"/>
        <v>-2.6085878150069686E-2</v>
      </c>
      <c r="AV119" s="1211">
        <f t="shared" ref="AV119" si="518">AV117/AR117-1</f>
        <v>6.9296342728751181E-2</v>
      </c>
      <c r="AW119" s="1208">
        <f t="shared" ref="AW119:AZ119" si="519">AW117/AS117-1</f>
        <v>0.30833800252314036</v>
      </c>
      <c r="AX119" s="1589">
        <f t="shared" si="519"/>
        <v>0.24582237355220249</v>
      </c>
      <c r="AY119" s="1590">
        <f t="shared" si="519"/>
        <v>0.37807432937949903</v>
      </c>
      <c r="AZ119" s="1798">
        <f t="shared" si="519"/>
        <v>0.26321577635683346</v>
      </c>
      <c r="BA119" s="1208">
        <f t="shared" ref="BA119" si="520">BA117/AW117-1</f>
        <v>0.29985289009254257</v>
      </c>
      <c r="BB119" s="1208">
        <f t="shared" ref="BB119" si="521">BB117/AX117-1</f>
        <v>0.44408519798315638</v>
      </c>
      <c r="BC119" s="1208">
        <f t="shared" ref="BC119" si="522">BC117/AY117-1</f>
        <v>0.18908141643981957</v>
      </c>
      <c r="BD119" s="1211">
        <f t="shared" ref="BD119" si="523">BD117/AZ117-1</f>
        <v>0.38726165251312294</v>
      </c>
      <c r="BE119" s="1208">
        <f t="shared" ref="BE119" si="524">BE117/BA117-1</f>
        <v>0.21527788334790365</v>
      </c>
      <c r="BF119" s="1208">
        <f t="shared" ref="BF119" si="525">BF117/BB117-1</f>
        <v>-9.5602436259495382E-2</v>
      </c>
      <c r="BG119" s="1763">
        <f t="shared" ref="BG119" si="526">BG117/BC117-1</f>
        <v>-0.15136079984652706</v>
      </c>
      <c r="BH119" s="1211">
        <f t="shared" ref="BH119" si="527">BH117/BD117-1</f>
        <v>-0.23218358081352464</v>
      </c>
      <c r="BI119" s="1208">
        <f t="shared" ref="BI119" si="528">BI117/BE117-1</f>
        <v>-0.14834518131786145</v>
      </c>
      <c r="BJ119" s="1208">
        <f t="shared" ref="BJ119" si="529">BJ117/BF117-1</f>
        <v>-7.3540240965566106E-3</v>
      </c>
      <c r="BK119" s="1763">
        <f t="shared" ref="BK119" si="530">BK117/BG117-1</f>
        <v>6.7776190233849398E-2</v>
      </c>
      <c r="BL119" s="547"/>
      <c r="BM119" s="548"/>
      <c r="BN119" s="548"/>
      <c r="BO119" s="548"/>
      <c r="BP119" s="548"/>
      <c r="BQ119" s="548"/>
      <c r="BR119" s="548"/>
      <c r="BS119" s="369"/>
      <c r="BT119" s="377">
        <f t="shared" ref="BT119:CA119" si="531">BT117/BS117-1</f>
        <v>-8.7803516280371197E-2</v>
      </c>
      <c r="BU119" s="377">
        <f t="shared" si="531"/>
        <v>3.5331344574043744E-2</v>
      </c>
      <c r="BV119" s="1920">
        <f t="shared" si="531"/>
        <v>-0.2441452541113216</v>
      </c>
      <c r="BW119" s="377">
        <f t="shared" si="531"/>
        <v>-0.33334094489200761</v>
      </c>
      <c r="BX119" s="377">
        <f t="shared" si="531"/>
        <v>0.2507631952465168</v>
      </c>
      <c r="BY119" s="377">
        <f t="shared" si="531"/>
        <v>0.29280893742369396</v>
      </c>
      <c r="BZ119" s="377">
        <f t="shared" si="531"/>
        <v>6.2540489224968354E-2</v>
      </c>
      <c r="CA119" s="1517">
        <f t="shared" si="531"/>
        <v>-8.9817822218470122E-2</v>
      </c>
      <c r="CB119" s="1408"/>
    </row>
    <row r="120" spans="1:80" s="552" customFormat="1" ht="14.25" customHeight="1">
      <c r="A120" s="544"/>
      <c r="B120" s="1350"/>
      <c r="C120" s="889"/>
      <c r="D120" s="546"/>
      <c r="E120" s="546"/>
      <c r="F120" s="546"/>
      <c r="G120" s="614"/>
      <c r="H120" s="546"/>
      <c r="I120" s="546"/>
      <c r="J120" s="546"/>
      <c r="K120" s="614"/>
      <c r="L120" s="546"/>
      <c r="M120" s="546"/>
      <c r="N120" s="546"/>
      <c r="O120" s="614"/>
      <c r="P120" s="546"/>
      <c r="Q120" s="546"/>
      <c r="R120" s="546"/>
      <c r="S120" s="614"/>
      <c r="T120" s="546"/>
      <c r="U120" s="507"/>
      <c r="V120" s="507"/>
      <c r="W120" s="501"/>
      <c r="X120" s="546"/>
      <c r="Y120" s="507"/>
      <c r="Z120" s="507"/>
      <c r="AA120" s="501"/>
      <c r="AB120" s="546"/>
      <c r="AC120" s="507"/>
      <c r="AD120" s="507"/>
      <c r="AE120" s="500"/>
      <c r="AF120" s="558"/>
      <c r="AG120" s="507"/>
      <c r="AH120" s="507"/>
      <c r="AI120" s="507"/>
      <c r="AJ120" s="558"/>
      <c r="AK120" s="507"/>
      <c r="AL120" s="507"/>
      <c r="AM120" s="528"/>
      <c r="AN120" s="558"/>
      <c r="AO120" s="507"/>
      <c r="AP120" s="507"/>
      <c r="AQ120" s="528"/>
      <c r="AR120" s="558"/>
      <c r="AS120" s="507"/>
      <c r="AT120" s="507"/>
      <c r="AU120" s="528"/>
      <c r="AV120" s="558"/>
      <c r="AW120" s="507"/>
      <c r="AX120" s="1535"/>
      <c r="AY120" s="1536"/>
      <c r="AZ120" s="1796"/>
      <c r="BA120" s="507"/>
      <c r="BB120" s="507"/>
      <c r="BC120" s="507"/>
      <c r="BD120" s="558"/>
      <c r="BE120" s="507"/>
      <c r="BF120" s="507"/>
      <c r="BG120" s="1720"/>
      <c r="BH120" s="558"/>
      <c r="BI120" s="507"/>
      <c r="BJ120" s="507"/>
      <c r="BK120" s="1720"/>
      <c r="BL120" s="547"/>
      <c r="BM120" s="548"/>
      <c r="BN120" s="548"/>
      <c r="BO120" s="548"/>
      <c r="BP120" s="548"/>
      <c r="BQ120" s="548"/>
      <c r="BR120" s="548"/>
      <c r="BS120" s="369"/>
      <c r="BT120" s="377"/>
      <c r="BU120" s="377"/>
      <c r="BV120" s="1920"/>
      <c r="BW120" s="377"/>
      <c r="BX120" s="377"/>
      <c r="BY120" s="377"/>
      <c r="BZ120" s="377"/>
      <c r="CA120" s="1517"/>
      <c r="CB120" s="1408"/>
    </row>
    <row r="121" spans="1:80" s="285" customFormat="1" ht="14.25" customHeight="1">
      <c r="A121" s="553"/>
      <c r="B121" s="1355" t="s">
        <v>386</v>
      </c>
      <c r="C121" s="555"/>
      <c r="D121" s="510"/>
      <c r="E121" s="510"/>
      <c r="F121" s="510"/>
      <c r="G121" s="511"/>
      <c r="H121" s="510"/>
      <c r="I121" s="510"/>
      <c r="J121" s="510"/>
      <c r="K121" s="511"/>
      <c r="L121" s="510"/>
      <c r="M121" s="510"/>
      <c r="N121" s="510"/>
      <c r="O121" s="511"/>
      <c r="P121" s="510"/>
      <c r="Q121" s="510"/>
      <c r="R121" s="510"/>
      <c r="S121" s="511"/>
      <c r="T121" s="510"/>
      <c r="U121" s="508"/>
      <c r="V121" s="508"/>
      <c r="W121" s="501"/>
      <c r="X121" s="510"/>
      <c r="Y121" s="508"/>
      <c r="Z121" s="508"/>
      <c r="AA121" s="501"/>
      <c r="AB121" s="625">
        <f t="shared" ref="AB121:AU121" si="532">AB111*1000/AB117</f>
        <v>21.348196461088886</v>
      </c>
      <c r="AC121" s="625">
        <f t="shared" si="532"/>
        <v>21.324824972251101</v>
      </c>
      <c r="AD121" s="625">
        <f t="shared" si="532"/>
        <v>21.738264391291164</v>
      </c>
      <c r="AE121" s="625">
        <f t="shared" si="532"/>
        <v>21.903558590085197</v>
      </c>
      <c r="AF121" s="627">
        <f t="shared" si="532"/>
        <v>22.126857274375013</v>
      </c>
      <c r="AG121" s="625">
        <f t="shared" si="532"/>
        <v>22.304138938870263</v>
      </c>
      <c r="AH121" s="625">
        <f t="shared" si="532"/>
        <v>22.75052100863898</v>
      </c>
      <c r="AI121" s="625">
        <f t="shared" si="532"/>
        <v>22.937958420570055</v>
      </c>
      <c r="AJ121" s="627">
        <f t="shared" si="532"/>
        <v>24.100446149339614</v>
      </c>
      <c r="AK121" s="625">
        <f t="shared" si="532"/>
        <v>23.608377630169002</v>
      </c>
      <c r="AL121" s="625">
        <f t="shared" si="532"/>
        <v>22.847003023019841</v>
      </c>
      <c r="AM121" s="626">
        <f t="shared" si="532"/>
        <v>23.009108368210992</v>
      </c>
      <c r="AN121" s="627">
        <f t="shared" si="532"/>
        <v>23.403615916856182</v>
      </c>
      <c r="AO121" s="625">
        <f t="shared" si="532"/>
        <v>22.01684182466936</v>
      </c>
      <c r="AP121" s="625">
        <f t="shared" si="532"/>
        <v>21.112825027873509</v>
      </c>
      <c r="AQ121" s="626">
        <f t="shared" si="532"/>
        <v>21.471258650761584</v>
      </c>
      <c r="AR121" s="627">
        <f t="shared" si="532"/>
        <v>21.669218634290996</v>
      </c>
      <c r="AS121" s="625">
        <f t="shared" si="532"/>
        <v>22.270782147346857</v>
      </c>
      <c r="AT121" s="625">
        <f t="shared" si="532"/>
        <v>22.362699693829516</v>
      </c>
      <c r="AU121" s="626">
        <f t="shared" si="532"/>
        <v>23.321106532476083</v>
      </c>
      <c r="AV121" s="627">
        <f t="shared" ref="AV121:AZ121" si="533">AV111*1000/AV117</f>
        <v>23.128828476993622</v>
      </c>
      <c r="AW121" s="625">
        <f t="shared" si="533"/>
        <v>23.069328811032289</v>
      </c>
      <c r="AX121" s="631">
        <f t="shared" si="533"/>
        <v>23.992101963473573</v>
      </c>
      <c r="AY121" s="1546">
        <f t="shared" si="533"/>
        <v>27.639666497884022</v>
      </c>
      <c r="AZ121" s="1729">
        <f t="shared" si="533"/>
        <v>28.082714904014949</v>
      </c>
      <c r="BA121" s="625">
        <f t="shared" ref="BA121:BC121" si="534">BA111*1000/BA117</f>
        <v>29.414116713407605</v>
      </c>
      <c r="BB121" s="625">
        <f t="shared" si="534"/>
        <v>34.723412725532768</v>
      </c>
      <c r="BC121" s="625">
        <f t="shared" si="534"/>
        <v>38.3787348096008</v>
      </c>
      <c r="BD121" s="627">
        <f t="shared" ref="BD121:BG121" si="535">BD111*1000/BD117</f>
        <v>40.297671550080842</v>
      </c>
      <c r="BE121" s="625">
        <f t="shared" si="535"/>
        <v>36.317199764342867</v>
      </c>
      <c r="BF121" s="625">
        <f t="shared" si="535"/>
        <v>33.064929780299714</v>
      </c>
      <c r="BG121" s="1734">
        <f t="shared" si="535"/>
        <v>31.519812713595663</v>
      </c>
      <c r="BH121" s="627">
        <f t="shared" ref="BH121:BK121" si="536">BH111*1000/BH117</f>
        <v>31.519812713595663</v>
      </c>
      <c r="BI121" s="625">
        <f t="shared" si="536"/>
        <v>31.754839549387881</v>
      </c>
      <c r="BJ121" s="625">
        <f t="shared" si="536"/>
        <v>32.426638818023939</v>
      </c>
      <c r="BK121" s="1734">
        <f t="shared" si="536"/>
        <v>32.426638818023939</v>
      </c>
      <c r="BL121" s="399"/>
      <c r="BM121" s="391"/>
      <c r="BN121" s="391"/>
      <c r="BO121" s="391"/>
      <c r="BP121" s="391"/>
      <c r="BQ121" s="780">
        <f t="shared" ref="BQ121:BX121" si="537">+BQ111/BQ117*1000</f>
        <v>21.762911625912945</v>
      </c>
      <c r="BR121" s="780">
        <f t="shared" si="537"/>
        <v>21.371647766700697</v>
      </c>
      <c r="BS121" s="780">
        <f t="shared" si="537"/>
        <v>21.568505443887904</v>
      </c>
      <c r="BT121" s="780">
        <f t="shared" si="537"/>
        <v>22.516790104465279</v>
      </c>
      <c r="BU121" s="780">
        <f t="shared" si="537"/>
        <v>23.418270630106843</v>
      </c>
      <c r="BV121" s="1954">
        <f t="shared" si="537"/>
        <v>22.133375410711235</v>
      </c>
      <c r="BW121" s="780">
        <f t="shared" si="537"/>
        <v>22.433645536731255</v>
      </c>
      <c r="BX121" s="887">
        <f t="shared" si="537"/>
        <v>24.726834052653661</v>
      </c>
      <c r="BY121" s="887">
        <f>+BY111/BY117*1000</f>
        <v>33.140627917320622</v>
      </c>
      <c r="BZ121" s="887">
        <f>+BZ111/BZ117*1000</f>
        <v>35.586997916310942</v>
      </c>
      <c r="CA121" s="1978">
        <f>+CA111/CA117*1000</f>
        <v>32.049583346545127</v>
      </c>
      <c r="CB121" s="1408"/>
    </row>
    <row r="122" spans="1:80" s="552" customFormat="1" ht="14.25" customHeight="1">
      <c r="A122" s="544"/>
      <c r="B122" s="1354" t="s">
        <v>390</v>
      </c>
      <c r="C122" s="889"/>
      <c r="D122" s="546"/>
      <c r="E122" s="546"/>
      <c r="F122" s="546"/>
      <c r="G122" s="614"/>
      <c r="H122" s="546"/>
      <c r="I122" s="546"/>
      <c r="J122" s="546"/>
      <c r="K122" s="614"/>
      <c r="L122" s="546"/>
      <c r="M122" s="546"/>
      <c r="N122" s="546"/>
      <c r="O122" s="614"/>
      <c r="P122" s="546"/>
      <c r="Q122" s="546"/>
      <c r="R122" s="546"/>
      <c r="S122" s="614"/>
      <c r="T122" s="546"/>
      <c r="U122" s="507"/>
      <c r="V122" s="507"/>
      <c r="W122" s="501"/>
      <c r="X122" s="546"/>
      <c r="Y122" s="507"/>
      <c r="Z122" s="507"/>
      <c r="AA122" s="501"/>
      <c r="AB122" s="546"/>
      <c r="AC122" s="507">
        <f>AC121/AB121-1</f>
        <v>-1.0947757989947515E-3</v>
      </c>
      <c r="AD122" s="507">
        <f t="shared" ref="AD122:AU122" si="538">AD121/AC121-1</f>
        <v>1.9387705154816137E-2</v>
      </c>
      <c r="AE122" s="507">
        <f t="shared" si="538"/>
        <v>7.6038360661512261E-3</v>
      </c>
      <c r="AF122" s="558">
        <f t="shared" si="538"/>
        <v>1.0194630400874427E-2</v>
      </c>
      <c r="AG122" s="507">
        <f t="shared" si="538"/>
        <v>8.0120580296128008E-3</v>
      </c>
      <c r="AH122" s="507">
        <f t="shared" si="538"/>
        <v>2.001341863015349E-2</v>
      </c>
      <c r="AI122" s="507">
        <f t="shared" si="538"/>
        <v>8.2388184367250261E-3</v>
      </c>
      <c r="AJ122" s="558">
        <f t="shared" si="538"/>
        <v>5.0679651059401865E-2</v>
      </c>
      <c r="AK122" s="507">
        <f t="shared" si="538"/>
        <v>-2.0417402902895843E-2</v>
      </c>
      <c r="AL122" s="507">
        <f t="shared" si="538"/>
        <v>-3.225018758494469E-2</v>
      </c>
      <c r="AM122" s="528">
        <f t="shared" si="538"/>
        <v>7.0952564337571911E-3</v>
      </c>
      <c r="AN122" s="558">
        <f t="shared" si="538"/>
        <v>1.7145712138512792E-2</v>
      </c>
      <c r="AO122" s="507">
        <f t="shared" si="538"/>
        <v>-5.925469368124503E-2</v>
      </c>
      <c r="AP122" s="507">
        <f t="shared" si="538"/>
        <v>-4.106023942920467E-2</v>
      </c>
      <c r="AQ122" s="528">
        <f t="shared" si="538"/>
        <v>1.6977056477040176E-2</v>
      </c>
      <c r="AR122" s="558">
        <f>AR121/AQ121-1</f>
        <v>9.2197661417670052E-3</v>
      </c>
      <c r="AS122" s="507">
        <f t="shared" si="538"/>
        <v>2.776120003256155E-2</v>
      </c>
      <c r="AT122" s="507">
        <f t="shared" si="538"/>
        <v>4.1272706937061088E-3</v>
      </c>
      <c r="AU122" s="528">
        <f t="shared" si="538"/>
        <v>4.2857385367967016E-2</v>
      </c>
      <c r="AV122" s="558">
        <f>AV121/AU121-1</f>
        <v>-8.2448084191332205E-3</v>
      </c>
      <c r="AW122" s="507">
        <f t="shared" ref="AW122:AZ122" si="539">AW121/AV121-1</f>
        <v>-2.5725326304579799E-3</v>
      </c>
      <c r="AX122" s="1535">
        <f t="shared" si="539"/>
        <v>3.9999999999999591E-2</v>
      </c>
      <c r="AY122" s="1536">
        <f t="shared" si="539"/>
        <v>0.15203188699196213</v>
      </c>
      <c r="AZ122" s="1796">
        <f t="shared" si="539"/>
        <v>1.6029441099256525E-2</v>
      </c>
      <c r="BA122" s="507">
        <f t="shared" ref="BA122" si="540">BA121/AZ121-1</f>
        <v>4.7410010532931368E-2</v>
      </c>
      <c r="BB122" s="507">
        <f t="shared" ref="BB122" si="541">BB121/BA121-1</f>
        <v>0.18050163001172392</v>
      </c>
      <c r="BC122" s="507">
        <f t="shared" ref="BC122" si="542">BC121/BB121-1</f>
        <v>0.10526966669322246</v>
      </c>
      <c r="BD122" s="558">
        <f t="shared" ref="BD122" si="543">BD121/BC121-1</f>
        <v>5.0000000000000044E-2</v>
      </c>
      <c r="BE122" s="507">
        <f t="shared" ref="BE122" si="544">BE121/BD121-1</f>
        <v>-9.8776719165799776E-2</v>
      </c>
      <c r="BF122" s="507">
        <f t="shared" ref="BF122" si="545">BF121/BE121-1</f>
        <v>-8.9551782768128252E-2</v>
      </c>
      <c r="BG122" s="1720">
        <f t="shared" ref="BG122" si="546">BG121/BF121-1</f>
        <v>-4.6729785212628605E-2</v>
      </c>
      <c r="BH122" s="558">
        <f t="shared" ref="BH122" si="547">BH121/BG121-1</f>
        <v>0</v>
      </c>
      <c r="BI122" s="507">
        <f t="shared" ref="BI122" si="548">BI121/BH121-1</f>
        <v>7.4564794508071852E-3</v>
      </c>
      <c r="BJ122" s="507">
        <f t="shared" ref="BJ122" si="549">BJ121/BI121-1</f>
        <v>2.1155807372013946E-2</v>
      </c>
      <c r="BK122" s="1720">
        <f t="shared" ref="BK122" si="550">BK121/BJ121-1</f>
        <v>0</v>
      </c>
      <c r="BL122" s="547"/>
      <c r="BM122" s="548"/>
      <c r="BN122" s="548"/>
      <c r="BO122" s="548"/>
      <c r="BP122" s="548"/>
      <c r="BQ122" s="548"/>
      <c r="BR122" s="548"/>
      <c r="BS122" s="369"/>
      <c r="BT122" s="377"/>
      <c r="BU122" s="377"/>
      <c r="BV122" s="1920"/>
      <c r="BW122" s="549"/>
      <c r="BX122" s="550"/>
      <c r="BY122" s="550"/>
      <c r="BZ122" s="550"/>
      <c r="CA122" s="1979"/>
      <c r="CB122" s="1408"/>
    </row>
    <row r="123" spans="1:80" s="552" customFormat="1" ht="14.25" customHeight="1">
      <c r="A123" s="544"/>
      <c r="B123" s="1354" t="s">
        <v>391</v>
      </c>
      <c r="C123" s="889"/>
      <c r="D123" s="546"/>
      <c r="E123" s="546"/>
      <c r="F123" s="546"/>
      <c r="G123" s="614"/>
      <c r="H123" s="546"/>
      <c r="I123" s="546"/>
      <c r="J123" s="546"/>
      <c r="K123" s="614"/>
      <c r="L123" s="546"/>
      <c r="M123" s="546"/>
      <c r="N123" s="546"/>
      <c r="O123" s="614"/>
      <c r="P123" s="546"/>
      <c r="Q123" s="546"/>
      <c r="R123" s="546"/>
      <c r="S123" s="614"/>
      <c r="T123" s="546"/>
      <c r="U123" s="507"/>
      <c r="V123" s="507"/>
      <c r="W123" s="501"/>
      <c r="X123" s="546"/>
      <c r="Y123" s="507"/>
      <c r="Z123" s="507"/>
      <c r="AA123" s="501"/>
      <c r="AB123" s="546"/>
      <c r="AC123" s="507"/>
      <c r="AD123" s="507"/>
      <c r="AE123" s="507"/>
      <c r="AF123" s="558"/>
      <c r="AG123" s="598" t="s">
        <v>406</v>
      </c>
      <c r="AH123" s="598"/>
      <c r="AI123" s="507"/>
      <c r="AJ123" s="558"/>
      <c r="AK123" s="507"/>
      <c r="AL123" s="507"/>
      <c r="AM123" s="528"/>
      <c r="AN123" s="558"/>
      <c r="AO123" s="507"/>
      <c r="AP123" s="507"/>
      <c r="AQ123" s="528"/>
      <c r="AR123" s="558">
        <f t="shared" ref="AR123:AZ123" si="551">AR121/AN121-1</f>
        <v>-7.4108090336417076E-2</v>
      </c>
      <c r="AS123" s="507">
        <f t="shared" si="551"/>
        <v>1.1533912297674087E-2</v>
      </c>
      <c r="AT123" s="507">
        <f t="shared" si="551"/>
        <v>5.9199783274189954E-2</v>
      </c>
      <c r="AU123" s="528">
        <f t="shared" si="551"/>
        <v>8.615460843739986E-2</v>
      </c>
      <c r="AV123" s="558">
        <f t="shared" si="551"/>
        <v>6.7358674409830011E-2</v>
      </c>
      <c r="AW123" s="507">
        <f t="shared" si="551"/>
        <v>3.5856246915897616E-2</v>
      </c>
      <c r="AX123" s="1535">
        <f t="shared" si="551"/>
        <v>7.2862502826242181E-2</v>
      </c>
      <c r="AY123" s="1536">
        <f t="shared" si="551"/>
        <v>0.18517817580371143</v>
      </c>
      <c r="AZ123" s="1796">
        <f t="shared" si="551"/>
        <v>0.21418665592807629</v>
      </c>
      <c r="BA123" s="507">
        <f t="shared" ref="BA123" si="552">BA121/AW121-1</f>
        <v>0.27503131774432421</v>
      </c>
      <c r="BB123" s="507">
        <f t="shared" ref="BB123" si="553">BB121/AX121-1</f>
        <v>0.44728514318574186</v>
      </c>
      <c r="BC123" s="507">
        <f t="shared" ref="BC123" si="554">BC121/AY121-1</f>
        <v>0.38853827388036377</v>
      </c>
      <c r="BD123" s="558">
        <f t="shared" ref="BD123" si="555">BD121/AZ121-1</f>
        <v>0.4349635242823171</v>
      </c>
      <c r="BE123" s="507">
        <f t="shared" ref="BE123" si="556">BE121/BA121-1</f>
        <v>0.23468605629720241</v>
      </c>
      <c r="BF123" s="507">
        <f t="shared" ref="BF123" si="557">BF121/BB121-1</f>
        <v>-4.7762671208107954E-2</v>
      </c>
      <c r="BG123" s="1720">
        <f t="shared" ref="BG123" si="558">BG121/BC121-1</f>
        <v>-0.17871673284782996</v>
      </c>
      <c r="BH123" s="558">
        <f t="shared" ref="BH123" si="559">BH121/BD121-1</f>
        <v>-0.21782545985507618</v>
      </c>
      <c r="BI123" s="507">
        <f t="shared" ref="BI123" si="560">BI121/BE121-1</f>
        <v>-0.12562533027214351</v>
      </c>
      <c r="BJ123" s="507">
        <f t="shared" ref="BJ123" si="561">BJ121/BF121-1</f>
        <v>-1.930416808736346E-2</v>
      </c>
      <c r="BK123" s="1720">
        <f t="shared" ref="BK123" si="562">BK121/BG121-1</f>
        <v>2.8770034665755784E-2</v>
      </c>
      <c r="BL123" s="547"/>
      <c r="BM123" s="548"/>
      <c r="BN123" s="548"/>
      <c r="BO123" s="548"/>
      <c r="BP123" s="548"/>
      <c r="BQ123" s="548"/>
      <c r="BR123" s="548"/>
      <c r="BS123" s="369"/>
      <c r="BT123" s="377">
        <f t="shared" ref="BT123:CA123" si="563">+BT121/BS121-1</f>
        <v>4.3966173875348513E-2</v>
      </c>
      <c r="BU123" s="377">
        <f t="shared" si="563"/>
        <v>4.0035925256628468E-2</v>
      </c>
      <c r="BV123" s="1920">
        <f t="shared" si="563"/>
        <v>-5.4867212002569055E-2</v>
      </c>
      <c r="BW123" s="377">
        <f t="shared" si="563"/>
        <v>1.3566395565436817E-2</v>
      </c>
      <c r="BX123" s="377">
        <f t="shared" si="563"/>
        <v>0.10222094809190518</v>
      </c>
      <c r="BY123" s="377">
        <f t="shared" si="563"/>
        <v>0.34026975902982604</v>
      </c>
      <c r="BZ123" s="377">
        <f t="shared" si="563"/>
        <v>7.3817852971691966E-2</v>
      </c>
      <c r="CA123" s="1517">
        <f t="shared" si="563"/>
        <v>-9.9401882060539792E-2</v>
      </c>
      <c r="CB123" s="1408"/>
    </row>
    <row r="124" spans="1:80" s="552" customFormat="1" ht="14.25" customHeight="1">
      <c r="A124" s="544"/>
      <c r="B124" s="1350"/>
      <c r="C124" s="889"/>
      <c r="D124" s="546"/>
      <c r="E124" s="546"/>
      <c r="F124" s="546"/>
      <c r="G124" s="614"/>
      <c r="H124" s="546"/>
      <c r="I124" s="546"/>
      <c r="J124" s="546"/>
      <c r="K124" s="614"/>
      <c r="L124" s="546"/>
      <c r="M124" s="546"/>
      <c r="N124" s="546"/>
      <c r="O124" s="614"/>
      <c r="P124" s="546"/>
      <c r="Q124" s="546"/>
      <c r="R124" s="546"/>
      <c r="S124" s="614"/>
      <c r="T124" s="546"/>
      <c r="U124" s="507"/>
      <c r="V124" s="507"/>
      <c r="W124" s="501"/>
      <c r="X124" s="546"/>
      <c r="Y124" s="507"/>
      <c r="Z124" s="507"/>
      <c r="AA124" s="501"/>
      <c r="AB124" s="546"/>
      <c r="AC124" s="507"/>
      <c r="AD124" s="507"/>
      <c r="AE124" s="507"/>
      <c r="AF124" s="558"/>
      <c r="AG124" s="507"/>
      <c r="AH124" s="507"/>
      <c r="AI124" s="507"/>
      <c r="AJ124" s="558"/>
      <c r="AK124" s="507"/>
      <c r="AL124" s="507"/>
      <c r="AM124" s="528"/>
      <c r="AN124" s="558"/>
      <c r="AO124" s="507"/>
      <c r="AP124" s="507"/>
      <c r="AQ124" s="528"/>
      <c r="AR124" s="558"/>
      <c r="AS124" s="507"/>
      <c r="AT124" s="507"/>
      <c r="AU124" s="528"/>
      <c r="AV124" s="558"/>
      <c r="AW124" s="507"/>
      <c r="AX124" s="1535"/>
      <c r="AY124" s="1536"/>
      <c r="AZ124" s="1796"/>
      <c r="BA124" s="507"/>
      <c r="BB124" s="507"/>
      <c r="BC124" s="507"/>
      <c r="BD124" s="558"/>
      <c r="BE124" s="507"/>
      <c r="BF124" s="507"/>
      <c r="BG124" s="1720"/>
      <c r="BH124" s="558"/>
      <c r="BI124" s="507"/>
      <c r="BJ124" s="507"/>
      <c r="BK124" s="1720"/>
      <c r="BL124" s="547"/>
      <c r="BM124" s="548"/>
      <c r="BN124" s="548"/>
      <c r="BO124" s="548"/>
      <c r="BP124" s="548"/>
      <c r="BQ124" s="548"/>
      <c r="BR124" s="548"/>
      <c r="BS124" s="369"/>
      <c r="BT124" s="377"/>
      <c r="BU124" s="377"/>
      <c r="BV124" s="1920"/>
      <c r="BW124" s="549"/>
      <c r="BX124" s="550"/>
      <c r="BY124" s="549"/>
      <c r="BZ124" s="549"/>
      <c r="CA124" s="1674"/>
      <c r="CB124" s="1408"/>
    </row>
    <row r="125" spans="1:80" s="552" customFormat="1" ht="14.25" customHeight="1">
      <c r="A125" s="544"/>
      <c r="B125" s="1350"/>
      <c r="C125" s="889"/>
      <c r="D125" s="546"/>
      <c r="E125" s="546"/>
      <c r="F125" s="546"/>
      <c r="G125" s="614"/>
      <c r="H125" s="546"/>
      <c r="I125" s="546"/>
      <c r="J125" s="546"/>
      <c r="K125" s="614"/>
      <c r="L125" s="546"/>
      <c r="M125" s="546"/>
      <c r="N125" s="546"/>
      <c r="O125" s="614"/>
      <c r="P125" s="546"/>
      <c r="Q125" s="546"/>
      <c r="R125" s="546"/>
      <c r="S125" s="614"/>
      <c r="T125" s="546"/>
      <c r="U125" s="507"/>
      <c r="V125" s="507"/>
      <c r="W125" s="501"/>
      <c r="X125" s="546"/>
      <c r="Y125" s="507"/>
      <c r="Z125" s="507"/>
      <c r="AA125" s="501"/>
      <c r="AB125" s="546"/>
      <c r="AC125" s="507"/>
      <c r="AD125" s="507"/>
      <c r="AE125" s="507"/>
      <c r="AF125" s="558"/>
      <c r="AG125" s="507"/>
      <c r="AH125" s="507"/>
      <c r="AI125" s="507"/>
      <c r="AJ125" s="558"/>
      <c r="AK125" s="507"/>
      <c r="AL125" s="507"/>
      <c r="AM125" s="528"/>
      <c r="AN125" s="558"/>
      <c r="AO125" s="507"/>
      <c r="AP125" s="507"/>
      <c r="AQ125" s="528"/>
      <c r="AR125" s="558"/>
      <c r="AS125" s="507"/>
      <c r="AT125" s="507"/>
      <c r="AU125" s="528"/>
      <c r="AV125" s="558"/>
      <c r="AW125" s="507"/>
      <c r="AX125" s="1535"/>
      <c r="AY125" s="1536"/>
      <c r="AZ125" s="1796"/>
      <c r="BA125" s="507"/>
      <c r="BB125" s="507"/>
      <c r="BC125" s="507"/>
      <c r="BD125" s="558"/>
      <c r="BE125" s="507"/>
      <c r="BF125" s="507"/>
      <c r="BG125" s="1720"/>
      <c r="BH125" s="558"/>
      <c r="BI125" s="507"/>
      <c r="BJ125" s="507"/>
      <c r="BK125" s="1720"/>
      <c r="BL125" s="547"/>
      <c r="BM125" s="548"/>
      <c r="BN125" s="548"/>
      <c r="BO125" s="548"/>
      <c r="BP125" s="548"/>
      <c r="BQ125" s="548"/>
      <c r="BR125" s="548"/>
      <c r="BS125" s="369"/>
      <c r="BT125" s="377"/>
      <c r="BU125" s="377"/>
      <c r="BV125" s="1920"/>
      <c r="BW125" s="549"/>
      <c r="BX125" s="550"/>
      <c r="BY125" s="549"/>
      <c r="BZ125" s="549"/>
      <c r="CA125" s="1674"/>
      <c r="CB125" s="1408"/>
    </row>
    <row r="126" spans="1:80" s="7" customFormat="1" ht="14.25" customHeight="1">
      <c r="A126" s="312"/>
      <c r="B126" s="1362" t="s">
        <v>420</v>
      </c>
      <c r="C126" s="287"/>
      <c r="D126" s="519"/>
      <c r="E126" s="519"/>
      <c r="F126" s="519"/>
      <c r="G126" s="520"/>
      <c r="H126" s="519"/>
      <c r="I126" s="519"/>
      <c r="J126" s="519"/>
      <c r="K126" s="520"/>
      <c r="L126" s="519"/>
      <c r="M126" s="519"/>
      <c r="N126" s="519"/>
      <c r="O126" s="520"/>
      <c r="P126" s="519"/>
      <c r="Q126" s="519"/>
      <c r="R126" s="519"/>
      <c r="S126" s="520"/>
      <c r="T126" s="519"/>
      <c r="U126" s="508"/>
      <c r="V126" s="508"/>
      <c r="W126" s="499"/>
      <c r="X126" s="519"/>
      <c r="Y126" s="508"/>
      <c r="Z126" s="508"/>
      <c r="AA126" s="499"/>
      <c r="AB126" s="519"/>
      <c r="AC126" s="508"/>
      <c r="AD126" s="508"/>
      <c r="AE126" s="52"/>
      <c r="AF126" s="505"/>
      <c r="AG126" s="508"/>
      <c r="AH126" s="508"/>
      <c r="AI126" s="508"/>
      <c r="AJ126" s="505"/>
      <c r="AK126" s="508"/>
      <c r="AL126" s="508"/>
      <c r="AM126" s="509"/>
      <c r="AN126" s="505"/>
      <c r="AO126" s="508"/>
      <c r="AP126" s="508"/>
      <c r="AQ126" s="509"/>
      <c r="AR126" s="505"/>
      <c r="AS126" s="508"/>
      <c r="AT126" s="508"/>
      <c r="AU126" s="509"/>
      <c r="AV126" s="505"/>
      <c r="AW126" s="508"/>
      <c r="AX126" s="1591"/>
      <c r="AY126" s="1537"/>
      <c r="AZ126" s="1799"/>
      <c r="BA126" s="508"/>
      <c r="BB126" s="508"/>
      <c r="BC126" s="508"/>
      <c r="BD126" s="505"/>
      <c r="BE126" s="508"/>
      <c r="BF126" s="508"/>
      <c r="BG126" s="1721"/>
      <c r="BH126" s="505"/>
      <c r="BI126" s="508"/>
      <c r="BJ126" s="508"/>
      <c r="BK126" s="1721"/>
      <c r="BL126" s="313"/>
      <c r="BM126" s="365"/>
      <c r="BN126" s="365"/>
      <c r="BO126" s="365"/>
      <c r="BP126" s="365"/>
      <c r="BQ126" s="365"/>
      <c r="BR126" s="365"/>
      <c r="BS126" s="253"/>
      <c r="BT126" s="377"/>
      <c r="BU126" s="377"/>
      <c r="BV126" s="1920"/>
      <c r="BW126" s="13"/>
      <c r="BX126" s="294"/>
      <c r="BY126" s="13"/>
      <c r="BZ126" s="13"/>
      <c r="CA126" s="1664"/>
      <c r="CB126" s="1408"/>
    </row>
    <row r="127" spans="1:80" s="7" customFormat="1" ht="14.25" customHeight="1">
      <c r="A127" s="312"/>
      <c r="B127" s="1355" t="s">
        <v>344</v>
      </c>
      <c r="C127" s="287"/>
      <c r="D127" s="603"/>
      <c r="E127" s="603"/>
      <c r="F127" s="603"/>
      <c r="G127" s="605"/>
      <c r="H127" s="603"/>
      <c r="I127" s="603"/>
      <c r="J127" s="603"/>
      <c r="K127" s="604"/>
      <c r="L127" s="603"/>
      <c r="M127" s="603"/>
      <c r="N127" s="603"/>
      <c r="O127" s="605"/>
      <c r="P127" s="603"/>
      <c r="Q127" s="603"/>
      <c r="R127" s="603"/>
      <c r="S127" s="605"/>
      <c r="T127" s="1189">
        <v>5055</v>
      </c>
      <c r="U127" s="1189">
        <v>5950</v>
      </c>
      <c r="V127" s="1189">
        <v>7140</v>
      </c>
      <c r="W127" s="1190">
        <v>7515</v>
      </c>
      <c r="X127" s="1189">
        <v>6850</v>
      </c>
      <c r="Y127" s="1189">
        <v>6900</v>
      </c>
      <c r="Z127" s="1189">
        <v>7670</v>
      </c>
      <c r="AA127" s="1190">
        <v>7335</v>
      </c>
      <c r="AB127" s="1189">
        <v>6683.0389178181822</v>
      </c>
      <c r="AC127" s="1189">
        <v>6550</v>
      </c>
      <c r="AD127" s="1189">
        <v>6895</v>
      </c>
      <c r="AE127" s="1189">
        <v>5860</v>
      </c>
      <c r="AF127" s="560">
        <f t="shared" ref="AF127:AU127" si="564">AE127*(1+AF128)</f>
        <v>6153</v>
      </c>
      <c r="AG127" s="497">
        <f>AF127*(1+AG128)</f>
        <v>6091.47</v>
      </c>
      <c r="AH127" s="497">
        <f t="shared" si="564"/>
        <v>5847.8112000000001</v>
      </c>
      <c r="AI127" s="497">
        <f t="shared" si="564"/>
        <v>5672.3768639999998</v>
      </c>
      <c r="AJ127" s="560">
        <f t="shared" si="564"/>
        <v>7021.5942746103728</v>
      </c>
      <c r="AK127" s="497">
        <f t="shared" si="564"/>
        <v>6627.8945922285038</v>
      </c>
      <c r="AL127" s="497">
        <f t="shared" si="564"/>
        <v>4908.9720224387893</v>
      </c>
      <c r="AM127" s="498">
        <f t="shared" si="564"/>
        <v>5220.8219681533992</v>
      </c>
      <c r="AN127" s="560">
        <f t="shared" si="564"/>
        <v>4803.1562107011277</v>
      </c>
      <c r="AO127" s="497">
        <f t="shared" si="564"/>
        <v>4178.7459033099813</v>
      </c>
      <c r="AP127" s="497">
        <f t="shared" si="564"/>
        <v>3342.9967226479853</v>
      </c>
      <c r="AQ127" s="498">
        <f t="shared" si="564"/>
        <v>2674.3973781183886</v>
      </c>
      <c r="AR127" s="560">
        <f t="shared" si="564"/>
        <v>2353.4696927441819</v>
      </c>
      <c r="AS127" s="497">
        <f t="shared" si="564"/>
        <v>2377.0043896716238</v>
      </c>
      <c r="AT127" s="497">
        <f t="shared" si="564"/>
        <v>2971.2554870895297</v>
      </c>
      <c r="AU127" s="498">
        <f t="shared" si="564"/>
        <v>3565.5065845074355</v>
      </c>
      <c r="AV127" s="560">
        <f t="shared" ref="AV127" si="565">AU127*(1+AV128)</f>
        <v>3922.0572429581794</v>
      </c>
      <c r="AW127" s="497">
        <f t="shared" ref="AW127:AZ127" si="566">AV127*(1+AW128)</f>
        <v>3961.2778153877612</v>
      </c>
      <c r="AX127" s="1561">
        <f t="shared" si="566"/>
        <v>4357.4055969265373</v>
      </c>
      <c r="AY127" s="1562">
        <f t="shared" si="566"/>
        <v>5664.6272760044985</v>
      </c>
      <c r="AZ127" s="1797">
        <f t="shared" si="566"/>
        <v>5098.1645484040491</v>
      </c>
      <c r="BA127" s="497">
        <f t="shared" ref="BA127" si="567">AZ127*(1+BA128)</f>
        <v>5404.0544213082921</v>
      </c>
      <c r="BB127" s="497">
        <f t="shared" ref="BB127" si="568">BA127*(1+BB128)</f>
        <v>6755.0680266353647</v>
      </c>
      <c r="BC127" s="497">
        <f t="shared" ref="BC127" si="569">BB127*(1+BC128)</f>
        <v>7295.4734687661939</v>
      </c>
      <c r="BD127" s="560">
        <f t="shared" ref="BD127" si="570">BC127*(1+BD128)</f>
        <v>7660.2471422045037</v>
      </c>
      <c r="BE127" s="497">
        <f t="shared" ref="BE127" si="571">BD127*(1+BE128)</f>
        <v>7047.4273708281435</v>
      </c>
      <c r="BF127" s="497">
        <f t="shared" ref="BF127" si="572">BE127*(1+BF128)</f>
        <v>6342.6846337453289</v>
      </c>
      <c r="BG127" s="1762">
        <f t="shared" ref="BG127" si="573">BF127*(1+BG128)</f>
        <v>6342.6846337453289</v>
      </c>
      <c r="BH127" s="560">
        <f t="shared" ref="BH127" si="574">BG127*(1+BH128)</f>
        <v>6025.550402058062</v>
      </c>
      <c r="BI127" s="497">
        <f t="shared" ref="BI127" si="575">BH127*(1+BI128)</f>
        <v>5874.9116420066102</v>
      </c>
      <c r="BJ127" s="497">
        <f t="shared" ref="BJ127" si="576">BI127*(1+BJ128)</f>
        <v>6227.4063405270072</v>
      </c>
      <c r="BK127" s="1762">
        <f t="shared" ref="BK127" si="577">BJ127*(1+BK128)</f>
        <v>6538.7766575533578</v>
      </c>
      <c r="BL127" s="313"/>
      <c r="BM127" s="391"/>
      <c r="BN127" s="391"/>
      <c r="BO127" s="391"/>
      <c r="BP127" s="391"/>
      <c r="BQ127" s="391">
        <f>SUM(T127:W127)</f>
        <v>25660</v>
      </c>
      <c r="BR127" s="788">
        <f>SUM(X127:AA127)</f>
        <v>28755</v>
      </c>
      <c r="BS127" s="788">
        <f>SUM(AB127:AE127)</f>
        <v>25988.038917818183</v>
      </c>
      <c r="BT127" s="788">
        <f>SUM(AF127:AI127)</f>
        <v>23764.658064000003</v>
      </c>
      <c r="BU127" s="788">
        <f>SUM(AJ127:AM127)</f>
        <v>23779.282857431066</v>
      </c>
      <c r="BV127" s="1975">
        <f>+SUM(AN127:AQ127)</f>
        <v>14999.296214777483</v>
      </c>
      <c r="BW127" s="788">
        <f>SUM(AR127:AU127)</f>
        <v>11267.236154012769</v>
      </c>
      <c r="BX127" s="302">
        <f>SUM(AV127:AY127)</f>
        <v>17905.367931276978</v>
      </c>
      <c r="BY127" s="302">
        <f>SUM(AZ127:BC127)</f>
        <v>24552.760465113901</v>
      </c>
      <c r="BZ127" s="302">
        <f>SUM(BD127:BG127)</f>
        <v>27393.043780523305</v>
      </c>
      <c r="CA127" s="1670">
        <f>SUM(BH127:BK127)</f>
        <v>24666.645042145035</v>
      </c>
      <c r="CB127" s="1408"/>
    </row>
    <row r="128" spans="1:80" s="7" customFormat="1" ht="14.25" customHeight="1">
      <c r="B128" s="1354" t="s">
        <v>390</v>
      </c>
      <c r="C128" s="380"/>
      <c r="D128" s="500"/>
      <c r="E128" s="500"/>
      <c r="F128" s="500"/>
      <c r="G128" s="501"/>
      <c r="H128" s="500"/>
      <c r="I128" s="500"/>
      <c r="J128" s="500"/>
      <c r="K128" s="501"/>
      <c r="L128" s="500"/>
      <c r="M128" s="500"/>
      <c r="N128" s="500"/>
      <c r="O128" s="501"/>
      <c r="P128" s="500"/>
      <c r="Q128" s="500"/>
      <c r="R128" s="500"/>
      <c r="S128" s="501"/>
      <c r="T128" s="52"/>
      <c r="U128" s="52">
        <f t="shared" ref="U128:AA128" si="578">U102/T102-1</f>
        <v>0.16595744680851099</v>
      </c>
      <c r="V128" s="52">
        <f t="shared" si="578"/>
        <v>0.14598540145985361</v>
      </c>
      <c r="W128" s="499">
        <f t="shared" si="578"/>
        <v>0.35668789808917256</v>
      </c>
      <c r="X128" s="52">
        <f t="shared" si="578"/>
        <v>-2.8169014084506783E-2</v>
      </c>
      <c r="Y128" s="52">
        <f t="shared" si="578"/>
        <v>6.521739130434745E-2</v>
      </c>
      <c r="Z128" s="52">
        <f t="shared" si="578"/>
        <v>-0.11111111111111072</v>
      </c>
      <c r="AA128" s="499">
        <f t="shared" si="578"/>
        <v>9.6938775510203801E-2</v>
      </c>
      <c r="AB128" s="52">
        <f>AB127/AA127-1</f>
        <v>-8.8883583119538923E-2</v>
      </c>
      <c r="AC128" s="52">
        <f>AC127/AB127-1</f>
        <v>-1.9906949436352406E-2</v>
      </c>
      <c r="AD128" s="52">
        <f>AD127/AC127-1</f>
        <v>5.2671755725190783E-2</v>
      </c>
      <c r="AE128" s="52">
        <f>AE127/AD127-1</f>
        <v>-0.15010877447425675</v>
      </c>
      <c r="AF128" s="1213">
        <v>0.05</v>
      </c>
      <c r="AG128" s="1176">
        <v>-0.01</v>
      </c>
      <c r="AH128" s="1176">
        <v>-0.04</v>
      </c>
      <c r="AI128" s="1176">
        <v>-0.03</v>
      </c>
      <c r="AJ128" s="1213">
        <v>0.23785750540893072</v>
      </c>
      <c r="AK128" s="1176">
        <v>-5.6069842116264292E-2</v>
      </c>
      <c r="AL128" s="1176">
        <v>-0.25934669688398876</v>
      </c>
      <c r="AM128" s="1177">
        <v>6.3526527405157851E-2</v>
      </c>
      <c r="AN128" s="1213">
        <v>-0.08</v>
      </c>
      <c r="AO128" s="1176">
        <v>-0.13</v>
      </c>
      <c r="AP128" s="1176">
        <v>-0.2</v>
      </c>
      <c r="AQ128" s="1177">
        <v>-0.2</v>
      </c>
      <c r="AR128" s="1213">
        <v>-0.12</v>
      </c>
      <c r="AS128" s="1176">
        <v>0.01</v>
      </c>
      <c r="AT128" s="1176">
        <v>0.25</v>
      </c>
      <c r="AU128" s="1177">
        <v>0.2</v>
      </c>
      <c r="AV128" s="1213">
        <v>0.1</v>
      </c>
      <c r="AW128" s="1176">
        <v>0.01</v>
      </c>
      <c r="AX128" s="1176">
        <v>0.1</v>
      </c>
      <c r="AY128" s="1553">
        <v>0.3</v>
      </c>
      <c r="AZ128" s="1213">
        <v>-0.1</v>
      </c>
      <c r="BA128" s="1863">
        <v>0.06</v>
      </c>
      <c r="BB128" s="1863">
        <v>0.25</v>
      </c>
      <c r="BC128" s="1863">
        <v>0.08</v>
      </c>
      <c r="BD128" s="1864">
        <v>0.05</v>
      </c>
      <c r="BE128" s="1205">
        <v>-0.08</v>
      </c>
      <c r="BF128" s="1863">
        <v>-0.1</v>
      </c>
      <c r="BG128" s="1553">
        <v>0</v>
      </c>
      <c r="BH128" s="1864">
        <v>-0.05</v>
      </c>
      <c r="BI128" s="1205">
        <v>-2.5000000000000001E-2</v>
      </c>
      <c r="BJ128" s="1863">
        <v>0.06</v>
      </c>
      <c r="BK128" s="1553">
        <v>0.05</v>
      </c>
      <c r="BL128" s="19"/>
      <c r="BM128" s="253"/>
      <c r="BN128" s="253"/>
      <c r="BO128" s="253"/>
      <c r="BP128" s="253"/>
      <c r="BQ128" s="253"/>
      <c r="BR128" s="253">
        <f t="shared" ref="BR128:CA128" si="579">BR127/BQ127-1</f>
        <v>0.12061574434918154</v>
      </c>
      <c r="BS128" s="253">
        <f t="shared" si="579"/>
        <v>-9.62253897472376E-2</v>
      </c>
      <c r="BT128" s="253">
        <f t="shared" si="579"/>
        <v>-8.5554006627786117E-2</v>
      </c>
      <c r="BU128" s="253">
        <f t="shared" si="579"/>
        <v>6.1540096186862847E-4</v>
      </c>
      <c r="BV128" s="1946">
        <f t="shared" si="579"/>
        <v>-0.36922840336666507</v>
      </c>
      <c r="BW128" s="253">
        <f t="shared" si="579"/>
        <v>-0.24881567823747919</v>
      </c>
      <c r="BX128" s="1338">
        <f t="shared" si="579"/>
        <v>0.58915351436031371</v>
      </c>
      <c r="BY128" s="1338">
        <f t="shared" si="579"/>
        <v>0.37125137887981086</v>
      </c>
      <c r="BZ128" s="1338">
        <f t="shared" si="579"/>
        <v>0.11568081395348839</v>
      </c>
      <c r="CA128" s="1661">
        <f t="shared" si="579"/>
        <v>-9.9528871644295469E-2</v>
      </c>
      <c r="CB128" s="1408"/>
    </row>
    <row r="129" spans="1:82" s="285" customFormat="1" ht="14.25" customHeight="1">
      <c r="B129" s="1355" t="s">
        <v>472</v>
      </c>
      <c r="C129" s="1445"/>
      <c r="D129" s="506"/>
      <c r="E129" s="506"/>
      <c r="F129" s="506"/>
      <c r="G129" s="615"/>
      <c r="H129" s="506"/>
      <c r="I129" s="506"/>
      <c r="J129" s="506"/>
      <c r="K129" s="615"/>
      <c r="L129" s="506"/>
      <c r="M129" s="506"/>
      <c r="N129" s="506"/>
      <c r="O129" s="615"/>
      <c r="P129" s="506"/>
      <c r="Q129" s="506"/>
      <c r="R129" s="506"/>
      <c r="S129" s="615"/>
      <c r="T129" s="1180">
        <v>22.30980960651706</v>
      </c>
      <c r="U129" s="1180">
        <v>22.060501923293849</v>
      </c>
      <c r="V129" s="1180">
        <v>23.117038057085626</v>
      </c>
      <c r="W129" s="1214">
        <v>23.846449826989623</v>
      </c>
      <c r="X129" s="1180">
        <v>23.273176950535401</v>
      </c>
      <c r="Y129" s="1180">
        <v>25.667483870967743</v>
      </c>
      <c r="Z129" s="1180">
        <v>21.208653846153847</v>
      </c>
      <c r="AA129" s="1214">
        <v>21.402818399361873</v>
      </c>
      <c r="AB129" s="1180">
        <v>21.66797782470961</v>
      </c>
      <c r="AC129" s="1180">
        <v>21.073428749222153</v>
      </c>
      <c r="AD129" s="1180">
        <v>21.55997413049727</v>
      </c>
      <c r="AE129" s="1215">
        <v>21.683312577833124</v>
      </c>
      <c r="AF129" s="627">
        <f t="shared" ref="AF129:AM129" si="580">AE129*(1+AF130)</f>
        <v>21.900145703611457</v>
      </c>
      <c r="AG129" s="628">
        <f t="shared" si="580"/>
        <v>22.338148617683686</v>
      </c>
      <c r="AH129" s="628">
        <f t="shared" si="580"/>
        <v>22.78491159003736</v>
      </c>
      <c r="AI129" s="629">
        <f t="shared" si="580"/>
        <v>23.24060982183811</v>
      </c>
      <c r="AJ129" s="627">
        <f t="shared" si="580"/>
        <v>24.402640312930018</v>
      </c>
      <c r="AK129" s="628">
        <f t="shared" si="580"/>
        <v>23.914587506671417</v>
      </c>
      <c r="AL129" s="628">
        <f t="shared" si="580"/>
        <v>22.718858131337846</v>
      </c>
      <c r="AM129" s="630">
        <f t="shared" si="580"/>
        <v>23.173235293964602</v>
      </c>
      <c r="AN129" s="627">
        <f t="shared" ref="AN129:AU129" si="581">AM129*(1+AN130)</f>
        <v>24.331897058662832</v>
      </c>
      <c r="AO129" s="628">
        <f t="shared" si="581"/>
        <v>23.845259117489576</v>
      </c>
      <c r="AP129" s="628">
        <f t="shared" si="581"/>
        <v>23.368353935139783</v>
      </c>
      <c r="AQ129" s="630">
        <f t="shared" si="581"/>
        <v>23.83572101384258</v>
      </c>
      <c r="AR129" s="627">
        <f t="shared" si="581"/>
        <v>24.074078223981004</v>
      </c>
      <c r="AS129" s="628">
        <f t="shared" si="581"/>
        <v>24.194448615100907</v>
      </c>
      <c r="AT129" s="628">
        <f t="shared" si="581"/>
        <v>24.194448615100907</v>
      </c>
      <c r="AU129" s="630">
        <f t="shared" si="581"/>
        <v>25.162226559704944</v>
      </c>
      <c r="AV129" s="627">
        <f t="shared" ref="AV129" si="582">AU129*(1+AV130)</f>
        <v>24.910604294107895</v>
      </c>
      <c r="AW129" s="628">
        <f t="shared" ref="AW129:AZ129" si="583">AV129*(1+AW130)</f>
        <v>24.661498251166815</v>
      </c>
      <c r="AX129" s="1592">
        <f t="shared" si="583"/>
        <v>25.64795818121349</v>
      </c>
      <c r="AY129" s="1593">
        <f t="shared" si="583"/>
        <v>29.49515190839551</v>
      </c>
      <c r="AZ129" s="1729">
        <f t="shared" si="583"/>
        <v>30.969909503815288</v>
      </c>
      <c r="BA129" s="2218">
        <f t="shared" ref="BA129" si="584">AZ129*(1+BA130)</f>
        <v>32.51840497900605</v>
      </c>
      <c r="BB129" s="2218">
        <f t="shared" ref="BB129" si="585">BA129*(1+BB130)</f>
        <v>39.022085974807261</v>
      </c>
      <c r="BC129" s="625">
        <f t="shared" ref="BC129" si="586">BB129*(1+BC130)</f>
        <v>42.924294572287991</v>
      </c>
      <c r="BD129" s="627">
        <f t="shared" ref="BD129" si="587">BC129*(1+BD130)</f>
        <v>45.070509300902394</v>
      </c>
      <c r="BE129" s="625">
        <f t="shared" ref="BE129" si="588">BD129*(1+BE130)</f>
        <v>40.563458370812157</v>
      </c>
      <c r="BF129" s="625">
        <f t="shared" ref="BF129" si="589">BE129*(1+BF130)</f>
        <v>37.318381701147189</v>
      </c>
      <c r="BG129" s="1734">
        <f t="shared" ref="BG129" si="590">BF129*(1+BG130)</f>
        <v>35.452462616089825</v>
      </c>
      <c r="BH129" s="627">
        <f t="shared" ref="BH129" si="591">BG129*(1+BH130)</f>
        <v>35.452462616089825</v>
      </c>
      <c r="BI129" s="625">
        <f t="shared" ref="BI129" si="592">BH129*(1+BI130)</f>
        <v>35.452462616089825</v>
      </c>
      <c r="BJ129" s="625">
        <f t="shared" ref="BJ129" si="593">BI129*(1+BJ130)</f>
        <v>35.452462616089825</v>
      </c>
      <c r="BK129" s="1734">
        <f t="shared" ref="BK129" si="594">BJ129*(1+BK130)</f>
        <v>35.452462616089825</v>
      </c>
      <c r="BL129" s="399"/>
      <c r="BM129" s="554"/>
      <c r="BN129" s="554"/>
      <c r="BO129" s="554"/>
      <c r="BP129" s="554"/>
      <c r="BQ129" s="780">
        <f>BQ131/BQ127*1000</f>
        <v>22.926648331331268</v>
      </c>
      <c r="BR129" s="780">
        <f t="shared" ref="BR129:BW129" si="595">BR131/BR127*1000</f>
        <v>22.819925187973027</v>
      </c>
      <c r="BS129" s="780">
        <f t="shared" si="595"/>
        <v>21.492931131993828</v>
      </c>
      <c r="BT129" s="780">
        <f t="shared" si="595"/>
        <v>22.550087439808866</v>
      </c>
      <c r="BU129" s="780">
        <f t="shared" si="595"/>
        <v>23.649089122389665</v>
      </c>
      <c r="BV129" s="1954">
        <f t="shared" si="595"/>
        <v>23.893101156091841</v>
      </c>
      <c r="BW129" s="780">
        <f t="shared" si="595"/>
        <v>24.475558420835679</v>
      </c>
      <c r="BX129" s="780">
        <f t="shared" ref="BX129" si="596">+BX131/BX127*1000</f>
        <v>26.485323411037651</v>
      </c>
      <c r="BY129" s="780">
        <f>+BY131/BY127*1000</f>
        <v>37.078145396828376</v>
      </c>
      <c r="BZ129" s="780">
        <f>+BZ131/BZ127*1000</f>
        <v>39.889024076264491</v>
      </c>
      <c r="CA129" s="1666">
        <f>+CA131/CA127*1000</f>
        <v>35.452462616089832</v>
      </c>
      <c r="CB129" s="1408"/>
    </row>
    <row r="130" spans="1:82" s="7" customFormat="1" ht="14.25" customHeight="1">
      <c r="B130" s="1354" t="s">
        <v>390</v>
      </c>
      <c r="C130" s="380"/>
      <c r="D130" s="500"/>
      <c r="E130" s="500"/>
      <c r="F130" s="500"/>
      <c r="G130" s="501"/>
      <c r="H130" s="500"/>
      <c r="I130" s="500"/>
      <c r="J130" s="500"/>
      <c r="K130" s="501"/>
      <c r="L130" s="500"/>
      <c r="M130" s="500"/>
      <c r="N130" s="500"/>
      <c r="O130" s="501"/>
      <c r="P130" s="500"/>
      <c r="Q130" s="500"/>
      <c r="R130" s="500"/>
      <c r="S130" s="501"/>
      <c r="T130" s="52"/>
      <c r="U130" s="52">
        <f t="shared" ref="U130:AE130" si="597">U129/T129-1</f>
        <v>-1.1174801023419945E-2</v>
      </c>
      <c r="V130" s="52">
        <f t="shared" si="597"/>
        <v>4.7892660713951152E-2</v>
      </c>
      <c r="W130" s="499">
        <f t="shared" si="597"/>
        <v>3.1552994293766234E-2</v>
      </c>
      <c r="X130" s="52">
        <f t="shared" si="597"/>
        <v>-2.4040177075137947E-2</v>
      </c>
      <c r="Y130" s="52">
        <f t="shared" si="597"/>
        <v>0.10287838766152047</v>
      </c>
      <c r="Z130" s="52">
        <f t="shared" si="597"/>
        <v>-0.17371511937939654</v>
      </c>
      <c r="AA130" s="499">
        <f t="shared" si="597"/>
        <v>9.154968279292186E-3</v>
      </c>
      <c r="AB130" s="52">
        <f t="shared" si="597"/>
        <v>1.2388995710753692E-2</v>
      </c>
      <c r="AC130" s="52">
        <f t="shared" si="597"/>
        <v>-2.7439066086243136E-2</v>
      </c>
      <c r="AD130" s="52">
        <f t="shared" si="597"/>
        <v>2.3088097673382935E-2</v>
      </c>
      <c r="AE130" s="52">
        <f t="shared" si="597"/>
        <v>5.7207140690112013E-3</v>
      </c>
      <c r="AF130" s="1204">
        <v>0.01</v>
      </c>
      <c r="AG130" s="1205">
        <v>0.02</v>
      </c>
      <c r="AH130" s="1205">
        <v>0.02</v>
      </c>
      <c r="AI130" s="1205">
        <v>0.02</v>
      </c>
      <c r="AJ130" s="1204">
        <v>0.05</v>
      </c>
      <c r="AK130" s="1205">
        <v>-0.02</v>
      </c>
      <c r="AL130" s="1205">
        <v>-0.05</v>
      </c>
      <c r="AM130" s="1207">
        <v>0.02</v>
      </c>
      <c r="AN130" s="1204">
        <v>0.05</v>
      </c>
      <c r="AO130" s="1205">
        <v>-0.02</v>
      </c>
      <c r="AP130" s="1205">
        <v>-0.02</v>
      </c>
      <c r="AQ130" s="1207">
        <v>0.02</v>
      </c>
      <c r="AR130" s="1204">
        <v>0.01</v>
      </c>
      <c r="AS130" s="1205">
        <v>5.0000000000000001E-3</v>
      </c>
      <c r="AT130" s="1205">
        <v>0</v>
      </c>
      <c r="AU130" s="1207">
        <v>0.04</v>
      </c>
      <c r="AV130" s="1204">
        <v>-0.01</v>
      </c>
      <c r="AW130" s="1205">
        <v>-0.01</v>
      </c>
      <c r="AX130" s="1594">
        <v>0.04</v>
      </c>
      <c r="AY130" s="1595">
        <v>0.15</v>
      </c>
      <c r="AZ130" s="1800">
        <v>0.05</v>
      </c>
      <c r="BA130" s="1205">
        <v>0.05</v>
      </c>
      <c r="BB130" s="1205">
        <v>0.2</v>
      </c>
      <c r="BC130" s="1205">
        <v>0.1</v>
      </c>
      <c r="BD130" s="1864">
        <v>0.05</v>
      </c>
      <c r="BE130" s="1205">
        <v>-0.1</v>
      </c>
      <c r="BF130" s="1863">
        <v>-0.08</v>
      </c>
      <c r="BG130" s="1764">
        <v>-0.05</v>
      </c>
      <c r="BH130" s="1204">
        <v>0</v>
      </c>
      <c r="BI130" s="1205">
        <v>0</v>
      </c>
      <c r="BJ130" s="1863">
        <v>0</v>
      </c>
      <c r="BK130" s="1764">
        <v>0</v>
      </c>
      <c r="BL130" s="19"/>
      <c r="BM130" s="369"/>
      <c r="BN130" s="369"/>
      <c r="BO130" s="369"/>
      <c r="BP130" s="253"/>
      <c r="BQ130" s="253"/>
      <c r="BR130" s="253">
        <f t="shared" ref="BR130:CA130" si="598">BR129/BQ129-1</f>
        <v>-4.6549823513625244E-3</v>
      </c>
      <c r="BS130" s="253">
        <f t="shared" si="598"/>
        <v>-5.8150675124849949E-2</v>
      </c>
      <c r="BT130" s="253">
        <f t="shared" si="598"/>
        <v>4.9186232502340443E-2</v>
      </c>
      <c r="BU130" s="253">
        <f t="shared" si="598"/>
        <v>4.8736027543763383E-2</v>
      </c>
      <c r="BV130" s="1946">
        <f t="shared" si="598"/>
        <v>1.031803095837458E-2</v>
      </c>
      <c r="BW130" s="253">
        <f t="shared" si="598"/>
        <v>2.4377633566220025E-2</v>
      </c>
      <c r="BX130" s="1338">
        <f t="shared" si="598"/>
        <v>8.2113141430558256E-2</v>
      </c>
      <c r="BY130" s="1338">
        <f t="shared" si="598"/>
        <v>0.39995063761902983</v>
      </c>
      <c r="BZ130" s="1338">
        <f t="shared" si="598"/>
        <v>7.5809581341049315E-2</v>
      </c>
      <c r="CA130" s="1661">
        <f t="shared" si="598"/>
        <v>-0.1112226123078951</v>
      </c>
      <c r="CB130" s="1408"/>
    </row>
    <row r="131" spans="1:82" s="592" customFormat="1" ht="14.25" customHeight="1">
      <c r="A131" s="590"/>
      <c r="B131" s="1355" t="s">
        <v>473</v>
      </c>
      <c r="C131" s="367"/>
      <c r="D131" s="603"/>
      <c r="E131" s="603"/>
      <c r="F131" s="603"/>
      <c r="G131" s="605"/>
      <c r="H131" s="603"/>
      <c r="I131" s="603"/>
      <c r="J131" s="603"/>
      <c r="K131" s="604"/>
      <c r="L131" s="603"/>
      <c r="M131" s="603"/>
      <c r="N131" s="603"/>
      <c r="O131" s="605"/>
      <c r="P131" s="603"/>
      <c r="Q131" s="603"/>
      <c r="R131" s="603"/>
      <c r="S131" s="605"/>
      <c r="T131" s="510">
        <f>T127*T129/1000</f>
        <v>112.77608756094374</v>
      </c>
      <c r="U131" s="510">
        <f>U127*U129/1000</f>
        <v>131.25998644359839</v>
      </c>
      <c r="V131" s="510">
        <f t="shared" ref="V131:AU131" si="599">V127*V129/1000</f>
        <v>165.05565172759137</v>
      </c>
      <c r="W131" s="511">
        <f t="shared" si="599"/>
        <v>179.206070449827</v>
      </c>
      <c r="X131" s="510">
        <f t="shared" si="599"/>
        <v>159.42126211116752</v>
      </c>
      <c r="Y131" s="510">
        <f t="shared" si="599"/>
        <v>177.10563870967744</v>
      </c>
      <c r="Z131" s="510">
        <f t="shared" si="599"/>
        <v>162.67037500000001</v>
      </c>
      <c r="AA131" s="511">
        <f t="shared" si="599"/>
        <v>156.98967295931934</v>
      </c>
      <c r="AB131" s="510">
        <f t="shared" si="599"/>
        <v>144.80793907295569</v>
      </c>
      <c r="AC131" s="510">
        <f t="shared" si="599"/>
        <v>138.03095830740509</v>
      </c>
      <c r="AD131" s="510">
        <f t="shared" si="599"/>
        <v>148.65602162977868</v>
      </c>
      <c r="AE131" s="510">
        <f t="shared" si="599"/>
        <v>127.06421170610211</v>
      </c>
      <c r="AF131" s="543">
        <f t="shared" si="599"/>
        <v>134.75159651432131</v>
      </c>
      <c r="AG131" s="510">
        <f t="shared" si="599"/>
        <v>136.07216216016164</v>
      </c>
      <c r="AH131" s="510">
        <f t="shared" si="599"/>
        <v>133.24186118723031</v>
      </c>
      <c r="AI131" s="510">
        <f t="shared" si="599"/>
        <v>131.82949745864565</v>
      </c>
      <c r="AJ131" s="543">
        <f t="shared" si="599"/>
        <v>171.3454395066457</v>
      </c>
      <c r="AK131" s="510">
        <f t="shared" si="599"/>
        <v>158.50336521084284</v>
      </c>
      <c r="AL131" s="510">
        <f t="shared" si="599"/>
        <v>111.52623894849349</v>
      </c>
      <c r="AM131" s="511">
        <f t="shared" si="599"/>
        <v>120.98333589591809</v>
      </c>
      <c r="AN131" s="543">
        <f t="shared" si="599"/>
        <v>116.86990247545688</v>
      </c>
      <c r="AO131" s="510">
        <f t="shared" si="599"/>
        <v>99.643278850574546</v>
      </c>
      <c r="AP131" s="510">
        <f t="shared" si="599"/>
        <v>78.120330618850446</v>
      </c>
      <c r="AQ131" s="511">
        <f t="shared" si="599"/>
        <v>63.746189784981972</v>
      </c>
      <c r="AR131" s="543">
        <f t="shared" si="599"/>
        <v>56.657613480891975</v>
      </c>
      <c r="AS131" s="510">
        <f t="shared" si="599"/>
        <v>57.510310563779392</v>
      </c>
      <c r="AT131" s="510">
        <f t="shared" si="599"/>
        <v>71.887888204724234</v>
      </c>
      <c r="AU131" s="511">
        <f t="shared" si="599"/>
        <v>89.716084479495848</v>
      </c>
      <c r="AV131" s="543">
        <f t="shared" ref="AV131:AZ131" si="600">AV127*AV129/1000</f>
        <v>97.700815998170995</v>
      </c>
      <c r="AW131" s="510">
        <f t="shared" si="600"/>
        <v>97.691045916571184</v>
      </c>
      <c r="AX131" s="1587">
        <f t="shared" si="600"/>
        <v>111.75855652855742</v>
      </c>
      <c r="AY131" s="1588">
        <f t="shared" si="600"/>
        <v>167.07904201019335</v>
      </c>
      <c r="AZ131" s="1795">
        <f t="shared" si="600"/>
        <v>157.88969469963274</v>
      </c>
      <c r="BA131" s="510">
        <f t="shared" ref="BA131:BC131" si="601">BA127*BA129/1000</f>
        <v>175.73123020069124</v>
      </c>
      <c r="BB131" s="510">
        <f t="shared" si="601"/>
        <v>263.59684530103686</v>
      </c>
      <c r="BC131" s="510">
        <f t="shared" si="601"/>
        <v>313.1530522176318</v>
      </c>
      <c r="BD131" s="543">
        <f t="shared" ref="BD131:BG131" si="602">BD127*BD129/1000</f>
        <v>345.25124006993906</v>
      </c>
      <c r="BE131" s="510">
        <f t="shared" si="602"/>
        <v>285.86802677790956</v>
      </c>
      <c r="BF131" s="510">
        <f t="shared" si="602"/>
        <v>236.69872617210913</v>
      </c>
      <c r="BG131" s="1761">
        <f t="shared" si="602"/>
        <v>224.86378986350365</v>
      </c>
      <c r="BH131" s="543">
        <f t="shared" ref="BH131:BK131" si="603">BH127*BH129/1000</f>
        <v>213.62060037032848</v>
      </c>
      <c r="BI131" s="510">
        <f t="shared" si="603"/>
        <v>208.28008536107023</v>
      </c>
      <c r="BJ131" s="510">
        <f t="shared" si="603"/>
        <v>220.77689048273444</v>
      </c>
      <c r="BK131" s="1761">
        <f t="shared" si="603"/>
        <v>231.81573500687119</v>
      </c>
      <c r="BL131" s="591"/>
      <c r="BM131" s="391"/>
      <c r="BN131" s="391"/>
      <c r="BO131" s="391"/>
      <c r="BP131" s="391"/>
      <c r="BQ131" s="391">
        <f>SUM(T131:W131)</f>
        <v>588.29779618196039</v>
      </c>
      <c r="BR131" s="391">
        <f>SUM(X131:AA131)</f>
        <v>656.18694878016436</v>
      </c>
      <c r="BS131" s="391">
        <f>SUM(AB131:AE131)</f>
        <v>558.55913071624161</v>
      </c>
      <c r="BT131" s="391">
        <f>SUM(AF131:AI131)</f>
        <v>535.89511732035896</v>
      </c>
      <c r="BU131" s="391">
        <f>SUM(AJ131:AM131)</f>
        <v>562.35837956190005</v>
      </c>
      <c r="BV131" s="1980">
        <f>+SUM(AN131:AQ131)</f>
        <v>358.37970172986388</v>
      </c>
      <c r="BW131" s="788">
        <f>SUM(AR131:AU131)</f>
        <v>275.77189672889148</v>
      </c>
      <c r="BX131" s="302">
        <f>SUM(AV131:AY131)</f>
        <v>474.22946045349295</v>
      </c>
      <c r="BY131" s="302">
        <f>SUM(AZ131:BC131)</f>
        <v>910.3708224189927</v>
      </c>
      <c r="BZ131" s="302">
        <f>SUM(BD131:BG131)</f>
        <v>1092.6817828834614</v>
      </c>
      <c r="CA131" s="1670">
        <f>SUM(BH131:BK131)</f>
        <v>874.49331122100443</v>
      </c>
      <c r="CB131" s="1408"/>
    </row>
    <row r="132" spans="1:82" s="7" customFormat="1" ht="14.25" customHeight="1">
      <c r="B132" s="1354" t="s">
        <v>390</v>
      </c>
      <c r="C132" s="380"/>
      <c r="D132" s="608"/>
      <c r="E132" s="608"/>
      <c r="F132" s="608"/>
      <c r="G132" s="609"/>
      <c r="H132" s="608"/>
      <c r="I132" s="608"/>
      <c r="J132" s="608"/>
      <c r="K132" s="609"/>
      <c r="L132" s="608"/>
      <c r="M132" s="608"/>
      <c r="N132" s="608"/>
      <c r="O132" s="609"/>
      <c r="P132" s="608"/>
      <c r="Q132" s="608"/>
      <c r="R132" s="608"/>
      <c r="S132" s="609"/>
      <c r="T132" s="519"/>
      <c r="U132" s="1198">
        <f t="shared" ref="U132:AU132" si="604">U131/T131-1</f>
        <v>0.16389909671822966</v>
      </c>
      <c r="V132" s="1198">
        <f t="shared" si="604"/>
        <v>0.25747119285674125</v>
      </c>
      <c r="W132" s="1206">
        <f t="shared" si="604"/>
        <v>8.5731197775581469E-2</v>
      </c>
      <c r="X132" s="1198">
        <f t="shared" si="604"/>
        <v>-0.11040255661539489</v>
      </c>
      <c r="Y132" s="1198">
        <f t="shared" si="604"/>
        <v>0.11092859487072837</v>
      </c>
      <c r="Z132" s="1198">
        <f t="shared" si="604"/>
        <v>-8.1506516759416114E-2</v>
      </c>
      <c r="AA132" s="1206">
        <f t="shared" si="604"/>
        <v>-3.4921552499529662E-2</v>
      </c>
      <c r="AB132" s="1198">
        <f t="shared" si="604"/>
        <v>-7.7595765738809441E-2</v>
      </c>
      <c r="AC132" s="1198">
        <f t="shared" si="604"/>
        <v>-4.6799787421436201E-2</v>
      </c>
      <c r="AD132" s="1198">
        <f t="shared" si="604"/>
        <v>7.6975944039385569E-2</v>
      </c>
      <c r="AE132" s="1198">
        <f t="shared" si="604"/>
        <v>-0.14524678978326233</v>
      </c>
      <c r="AF132" s="1201">
        <f t="shared" si="604"/>
        <v>6.050000000000022E-2</v>
      </c>
      <c r="AG132" s="1199">
        <f t="shared" si="604"/>
        <v>9.7999999999998089E-3</v>
      </c>
      <c r="AH132" s="1199">
        <f t="shared" si="604"/>
        <v>-2.0799999999999708E-2</v>
      </c>
      <c r="AI132" s="1199">
        <f t="shared" si="604"/>
        <v>-1.0600000000000165E-2</v>
      </c>
      <c r="AJ132" s="1201">
        <f t="shared" si="604"/>
        <v>0.29975038067937754</v>
      </c>
      <c r="AK132" s="1199">
        <f t="shared" si="604"/>
        <v>-7.4948445273938957E-2</v>
      </c>
      <c r="AL132" s="1199">
        <f t="shared" si="604"/>
        <v>-0.29637936203978943</v>
      </c>
      <c r="AM132" s="1200">
        <f t="shared" si="604"/>
        <v>8.4797057953260646E-2</v>
      </c>
      <c r="AN132" s="1201">
        <f t="shared" si="604"/>
        <v>-3.3999999999999919E-2</v>
      </c>
      <c r="AO132" s="1199">
        <f t="shared" si="604"/>
        <v>-0.14739999999999998</v>
      </c>
      <c r="AP132" s="1199">
        <f t="shared" si="604"/>
        <v>-0.21599999999999997</v>
      </c>
      <c r="AQ132" s="1200">
        <f t="shared" si="604"/>
        <v>-0.18399999999999994</v>
      </c>
      <c r="AR132" s="1201">
        <f t="shared" si="604"/>
        <v>-0.11120000000000008</v>
      </c>
      <c r="AS132" s="1199">
        <f t="shared" si="604"/>
        <v>1.5049999999999786E-2</v>
      </c>
      <c r="AT132" s="1199">
        <f t="shared" si="604"/>
        <v>0.25</v>
      </c>
      <c r="AU132" s="1200">
        <f t="shared" si="604"/>
        <v>0.248</v>
      </c>
      <c r="AV132" s="1201">
        <f t="shared" ref="AV132" si="605">AV131/AU131-1</f>
        <v>8.900000000000019E-2</v>
      </c>
      <c r="AW132" s="1199">
        <f t="shared" ref="AW132:AZ132" si="606">AW131/AV131-1</f>
        <v>-9.9999999999988987E-5</v>
      </c>
      <c r="AX132" s="1583">
        <f t="shared" si="606"/>
        <v>0.14399999999999991</v>
      </c>
      <c r="AY132" s="1584">
        <f t="shared" si="606"/>
        <v>0.49500000000000011</v>
      </c>
      <c r="AZ132" s="1792">
        <f t="shared" si="606"/>
        <v>-5.4999999999999827E-2</v>
      </c>
      <c r="BA132" s="1199">
        <f t="shared" ref="BA132" si="607">BA131/AZ131-1</f>
        <v>0.11299999999999999</v>
      </c>
      <c r="BB132" s="1199">
        <f t="shared" ref="BB132" si="608">BB131/BA131-1</f>
        <v>0.5</v>
      </c>
      <c r="BC132" s="1199">
        <f t="shared" ref="BC132" si="609">BC131/BB131-1</f>
        <v>0.18799999999999994</v>
      </c>
      <c r="BD132" s="1201">
        <f t="shared" ref="BD132" si="610">BD131/BC131-1</f>
        <v>0.10250000000000004</v>
      </c>
      <c r="BE132" s="1199">
        <f t="shared" ref="BE132" si="611">BE131/BD131-1</f>
        <v>-0.17199999999999993</v>
      </c>
      <c r="BF132" s="1199">
        <f t="shared" ref="BF132" si="612">BF131/BE131-1</f>
        <v>-0.17199999999999993</v>
      </c>
      <c r="BG132" s="1760">
        <f t="shared" ref="BG132" si="613">BG131/BF131-1</f>
        <v>-5.0000000000000044E-2</v>
      </c>
      <c r="BH132" s="1201">
        <f t="shared" ref="BH132" si="614">BH131/BG131-1</f>
        <v>-4.9999999999999933E-2</v>
      </c>
      <c r="BI132" s="1199">
        <f t="shared" ref="BI132" si="615">BI131/BH131-1</f>
        <v>-2.5000000000000133E-2</v>
      </c>
      <c r="BJ132" s="1199">
        <f t="shared" ref="BJ132" si="616">BJ131/BI131-1</f>
        <v>6.0000000000000053E-2</v>
      </c>
      <c r="BK132" s="1760">
        <f t="shared" ref="BK132" si="617">BK131/BJ131-1</f>
        <v>5.0000000000000044E-2</v>
      </c>
      <c r="BL132" s="295"/>
      <c r="BM132" s="365"/>
      <c r="BN132" s="365"/>
      <c r="BO132" s="365"/>
      <c r="BP132" s="365"/>
      <c r="BQ132" s="365"/>
      <c r="BR132" s="253">
        <f t="shared" ref="BR132:CA132" si="618">BR131/BQ131-1</f>
        <v>0.11539929783657699</v>
      </c>
      <c r="BS132" s="253">
        <f t="shared" si="618"/>
        <v>-0.1487804934941338</v>
      </c>
      <c r="BT132" s="253">
        <f t="shared" si="618"/>
        <v>-4.0575853386946803E-2</v>
      </c>
      <c r="BU132" s="253">
        <f t="shared" si="618"/>
        <v>4.9381420703860091E-2</v>
      </c>
      <c r="BV132" s="1946">
        <f t="shared" si="618"/>
        <v>-0.36272008250493892</v>
      </c>
      <c r="BW132" s="253">
        <f t="shared" si="618"/>
        <v>-0.23050358210086286</v>
      </c>
      <c r="BX132" s="1338">
        <f t="shared" si="618"/>
        <v>0.71964390163985081</v>
      </c>
      <c r="BY132" s="1338">
        <f t="shared" si="618"/>
        <v>0.91968424219876477</v>
      </c>
      <c r="BZ132" s="1338">
        <f t="shared" si="618"/>
        <v>0.20026010936954353</v>
      </c>
      <c r="CA132" s="1661">
        <f t="shared" si="618"/>
        <v>-0.19968162284785484</v>
      </c>
      <c r="CB132" s="1408"/>
    </row>
    <row r="133" spans="1:82" s="7" customFormat="1" ht="14.25" customHeight="1">
      <c r="B133" s="1354"/>
      <c r="C133" s="380"/>
      <c r="D133" s="608"/>
      <c r="E133" s="608"/>
      <c r="F133" s="608"/>
      <c r="G133" s="609"/>
      <c r="H133" s="608"/>
      <c r="I133" s="608"/>
      <c r="J133" s="608"/>
      <c r="K133" s="609"/>
      <c r="L133" s="608"/>
      <c r="M133" s="608"/>
      <c r="N133" s="608"/>
      <c r="O133" s="609"/>
      <c r="P133" s="608"/>
      <c r="Q133" s="608"/>
      <c r="R133" s="608"/>
      <c r="S133" s="609"/>
      <c r="T133" s="519"/>
      <c r="U133" s="52"/>
      <c r="V133" s="52"/>
      <c r="W133" s="499"/>
      <c r="X133" s="52"/>
      <c r="Y133" s="52"/>
      <c r="Z133" s="52"/>
      <c r="AA133" s="499"/>
      <c r="AB133" s="52"/>
      <c r="AC133" s="52"/>
      <c r="AD133" s="52"/>
      <c r="AE133" s="52"/>
      <c r="AF133" s="561"/>
      <c r="AG133" s="529"/>
      <c r="AH133" s="529"/>
      <c r="AI133" s="529"/>
      <c r="AJ133" s="561"/>
      <c r="AK133" s="529"/>
      <c r="AL133" s="529"/>
      <c r="AM133" s="530"/>
      <c r="AN133" s="561"/>
      <c r="AO133" s="529"/>
      <c r="AP133" s="529"/>
      <c r="AQ133" s="530"/>
      <c r="AR133" s="561"/>
      <c r="AS133" s="529"/>
      <c r="AT133" s="529"/>
      <c r="AU133" s="530"/>
      <c r="AV133" s="561"/>
      <c r="AW133" s="529"/>
      <c r="AX133" s="1596"/>
      <c r="AY133" s="1597"/>
      <c r="AZ133" s="1801"/>
      <c r="BA133" s="529"/>
      <c r="BB133" s="529"/>
      <c r="BC133" s="529"/>
      <c r="BD133" s="561"/>
      <c r="BE133" s="529"/>
      <c r="BF133" s="529"/>
      <c r="BG133" s="1765"/>
      <c r="BH133" s="561"/>
      <c r="BI133" s="529"/>
      <c r="BJ133" s="529"/>
      <c r="BK133" s="1765"/>
      <c r="BL133" s="295"/>
      <c r="BM133" s="365"/>
      <c r="BN133" s="365"/>
      <c r="BO133" s="365"/>
      <c r="BP133" s="365"/>
      <c r="BQ133" s="365"/>
      <c r="BR133" s="253"/>
      <c r="BS133" s="253"/>
      <c r="BT133" s="253"/>
      <c r="BU133" s="253"/>
      <c r="BV133" s="1946"/>
      <c r="BW133" s="13"/>
      <c r="BX133" s="13"/>
      <c r="BY133" s="13"/>
      <c r="BZ133" s="13"/>
      <c r="CA133" s="1664"/>
      <c r="CB133" s="1408"/>
    </row>
    <row r="134" spans="1:82" s="7" customFormat="1" ht="14.25" customHeight="1">
      <c r="B134" s="1350"/>
      <c r="C134" s="380"/>
      <c r="D134" s="608"/>
      <c r="E134" s="608"/>
      <c r="F134" s="608"/>
      <c r="G134" s="609"/>
      <c r="H134" s="608"/>
      <c r="I134" s="608"/>
      <c r="J134" s="608"/>
      <c r="K134" s="609"/>
      <c r="L134" s="608"/>
      <c r="M134" s="608"/>
      <c r="N134" s="608"/>
      <c r="O134" s="609"/>
      <c r="P134" s="608"/>
      <c r="Q134" s="608"/>
      <c r="R134" s="608"/>
      <c r="S134" s="609"/>
      <c r="T134" s="519"/>
      <c r="U134" s="52"/>
      <c r="V134" s="52"/>
      <c r="W134" s="499"/>
      <c r="X134" s="52"/>
      <c r="Y134" s="52"/>
      <c r="Z134" s="52"/>
      <c r="AA134" s="499"/>
      <c r="AB134" s="52"/>
      <c r="AC134" s="52"/>
      <c r="AD134" s="52"/>
      <c r="AE134" s="52"/>
      <c r="AF134" s="561"/>
      <c r="AG134" s="529"/>
      <c r="AH134" s="529"/>
      <c r="AI134" s="529"/>
      <c r="AJ134" s="1390">
        <f>AJ142-AJ143</f>
        <v>0</v>
      </c>
      <c r="AK134" s="1391">
        <f t="shared" ref="AK134:AU134" si="619">AK142-AK143</f>
        <v>0</v>
      </c>
      <c r="AL134" s="1391">
        <f t="shared" si="619"/>
        <v>0</v>
      </c>
      <c r="AM134" s="1392">
        <f t="shared" si="619"/>
        <v>0</v>
      </c>
      <c r="AN134" s="1390">
        <f t="shared" si="619"/>
        <v>0</v>
      </c>
      <c r="AO134" s="1391">
        <f t="shared" si="619"/>
        <v>0</v>
      </c>
      <c r="AP134" s="1391">
        <f t="shared" si="619"/>
        <v>0</v>
      </c>
      <c r="AQ134" s="1392">
        <f t="shared" si="619"/>
        <v>0</v>
      </c>
      <c r="AR134" s="1390">
        <f t="shared" si="619"/>
        <v>0</v>
      </c>
      <c r="AS134" s="1391">
        <f t="shared" si="619"/>
        <v>0</v>
      </c>
      <c r="AT134" s="1391">
        <f t="shared" si="619"/>
        <v>0</v>
      </c>
      <c r="AU134" s="1392">
        <f t="shared" si="619"/>
        <v>0</v>
      </c>
      <c r="AV134" s="1390">
        <f t="shared" ref="AV134:AZ134" si="620">AV142-AV143</f>
        <v>0</v>
      </c>
      <c r="AW134" s="1391">
        <f t="shared" si="620"/>
        <v>0</v>
      </c>
      <c r="AX134" s="1598">
        <f t="shared" si="620"/>
        <v>0</v>
      </c>
      <c r="AY134" s="1599">
        <f t="shared" si="620"/>
        <v>0</v>
      </c>
      <c r="AZ134" s="1802">
        <f t="shared" si="620"/>
        <v>0</v>
      </c>
      <c r="BA134" s="1391">
        <f t="shared" ref="BA134:BC134" si="621">BA142-BA143</f>
        <v>0</v>
      </c>
      <c r="BB134" s="1391">
        <f t="shared" si="621"/>
        <v>0</v>
      </c>
      <c r="BC134" s="1391">
        <f t="shared" si="621"/>
        <v>0</v>
      </c>
      <c r="BD134" s="1390">
        <f t="shared" ref="BD134:BG134" si="622">BD142-BD143</f>
        <v>0</v>
      </c>
      <c r="BE134" s="1391">
        <f t="shared" si="622"/>
        <v>0</v>
      </c>
      <c r="BF134" s="1391">
        <f t="shared" si="622"/>
        <v>0</v>
      </c>
      <c r="BG134" s="1766">
        <f t="shared" si="622"/>
        <v>0</v>
      </c>
      <c r="BH134" s="1390">
        <f t="shared" ref="BH134:BK134" si="623">BH142-BH143</f>
        <v>0</v>
      </c>
      <c r="BI134" s="1391">
        <f t="shared" si="623"/>
        <v>0</v>
      </c>
      <c r="BJ134" s="1391">
        <f t="shared" si="623"/>
        <v>0</v>
      </c>
      <c r="BK134" s="1766">
        <f t="shared" si="623"/>
        <v>0</v>
      </c>
      <c r="BL134" s="295"/>
      <c r="BM134" s="365"/>
      <c r="BN134" s="365"/>
      <c r="BO134" s="365"/>
      <c r="BP134" s="365"/>
      <c r="BQ134" s="365"/>
      <c r="BR134" s="253"/>
      <c r="BS134" s="253"/>
      <c r="BT134" s="253"/>
      <c r="BU134" s="253"/>
      <c r="BV134" s="1946"/>
      <c r="BW134" s="13"/>
      <c r="BX134" s="13"/>
      <c r="BY134" s="13"/>
      <c r="BZ134" s="13"/>
      <c r="CA134" s="1664"/>
      <c r="CB134" s="1408"/>
    </row>
    <row r="135" spans="1:82" s="7" customFormat="1" ht="14.25" customHeight="1">
      <c r="B135" s="1362" t="s">
        <v>418</v>
      </c>
      <c r="C135" s="1446"/>
      <c r="D135" s="637"/>
      <c r="E135" s="637"/>
      <c r="F135" s="637"/>
      <c r="G135" s="638"/>
      <c r="H135" s="637"/>
      <c r="I135" s="637"/>
      <c r="J135" s="637"/>
      <c r="K135" s="638"/>
      <c r="L135" s="637"/>
      <c r="M135" s="637"/>
      <c r="N135" s="637"/>
      <c r="O135" s="638"/>
      <c r="P135" s="637"/>
      <c r="Q135" s="637"/>
      <c r="R135" s="637"/>
      <c r="S135" s="638"/>
      <c r="T135" s="637"/>
      <c r="U135" s="637"/>
      <c r="V135" s="637"/>
      <c r="W135" s="638"/>
      <c r="X135" s="637"/>
      <c r="Y135" s="637"/>
      <c r="Z135" s="637"/>
      <c r="AA135" s="638"/>
      <c r="AB135" s="637"/>
      <c r="AC135" s="637"/>
      <c r="AD135" s="637"/>
      <c r="AE135" s="637"/>
      <c r="AF135" s="639"/>
      <c r="AG135" s="637"/>
      <c r="AH135" s="640"/>
      <c r="AI135" s="640"/>
      <c r="AJ135" s="641"/>
      <c r="AK135" s="640"/>
      <c r="AL135" s="640"/>
      <c r="AM135" s="642"/>
      <c r="AN135" s="641"/>
      <c r="AO135" s="640"/>
      <c r="AP135" s="640"/>
      <c r="AQ135" s="642"/>
      <c r="AR135" s="641"/>
      <c r="AS135" s="640"/>
      <c r="AT135" s="640"/>
      <c r="AU135" s="642"/>
      <c r="AV135" s="641"/>
      <c r="AW135" s="640"/>
      <c r="AX135" s="1600"/>
      <c r="AY135" s="1601"/>
      <c r="AZ135" s="1803"/>
      <c r="BA135" s="640"/>
      <c r="BB135" s="640"/>
      <c r="BC135" s="640"/>
      <c r="BD135" s="641"/>
      <c r="BE135" s="640"/>
      <c r="BF135" s="640"/>
      <c r="BG135" s="1767"/>
      <c r="BH135" s="641"/>
      <c r="BI135" s="640"/>
      <c r="BJ135" s="640"/>
      <c r="BK135" s="1767"/>
      <c r="BL135" s="295"/>
      <c r="BM135" s="365"/>
      <c r="BN135" s="365"/>
      <c r="BO135" s="365"/>
      <c r="BP135" s="365"/>
      <c r="BQ135" s="365"/>
      <c r="BR135" s="365"/>
      <c r="BS135" s="365"/>
      <c r="BT135" s="365"/>
      <c r="BU135" s="365"/>
      <c r="BV135" s="1939"/>
      <c r="BW135" s="13"/>
      <c r="BX135" s="13"/>
      <c r="BY135" s="13"/>
      <c r="BZ135" s="13"/>
      <c r="CA135" s="1664"/>
      <c r="CB135" s="1408"/>
      <c r="CC135" s="1339"/>
      <c r="CD135" s="1339"/>
    </row>
    <row r="136" spans="1:82" s="7" customFormat="1" ht="14.25" customHeight="1">
      <c r="B136" s="1355" t="s">
        <v>344</v>
      </c>
      <c r="C136" s="380"/>
      <c r="D136" s="608"/>
      <c r="E136" s="608"/>
      <c r="F136" s="608"/>
      <c r="G136" s="609"/>
      <c r="H136" s="608"/>
      <c r="I136" s="608"/>
      <c r="J136" s="608"/>
      <c r="K136" s="609"/>
      <c r="L136" s="608"/>
      <c r="M136" s="608"/>
      <c r="N136" s="608"/>
      <c r="O136" s="609"/>
      <c r="P136" s="608"/>
      <c r="Q136" s="608"/>
      <c r="R136" s="608"/>
      <c r="S136" s="609"/>
      <c r="T136" s="1189">
        <v>2750</v>
      </c>
      <c r="U136" s="1189">
        <v>5090</v>
      </c>
      <c r="V136" s="1189">
        <v>6899.9999999999991</v>
      </c>
      <c r="W136" s="1190">
        <v>8300</v>
      </c>
      <c r="X136" s="1189">
        <v>9100</v>
      </c>
      <c r="Y136" s="1189">
        <v>10920</v>
      </c>
      <c r="Z136" s="1189">
        <v>9280</v>
      </c>
      <c r="AA136" s="1190">
        <v>10440</v>
      </c>
      <c r="AB136" s="1189">
        <v>10071.380490059484</v>
      </c>
      <c r="AC136" s="1189">
        <v>9400</v>
      </c>
      <c r="AD136" s="1189">
        <v>9895</v>
      </c>
      <c r="AE136" s="1189">
        <v>8250</v>
      </c>
      <c r="AF136" s="560">
        <f t="shared" ref="AF136:AU136" si="624">AE136*(1+AF137)</f>
        <v>9073.3157568103452</v>
      </c>
      <c r="AG136" s="497">
        <f t="shared" si="624"/>
        <v>8801.1162841060341</v>
      </c>
      <c r="AH136" s="497">
        <f t="shared" si="624"/>
        <v>8273.0493070596713</v>
      </c>
      <c r="AI136" s="497">
        <f t="shared" si="624"/>
        <v>8107.5883209184776</v>
      </c>
      <c r="AJ136" s="560">
        <f t="shared" si="624"/>
        <v>8918.3471530103252</v>
      </c>
      <c r="AK136" s="497">
        <f t="shared" si="624"/>
        <v>9096.714096070531</v>
      </c>
      <c r="AL136" s="497">
        <f t="shared" si="624"/>
        <v>8914.7798141491203</v>
      </c>
      <c r="AM136" s="498">
        <f t="shared" si="624"/>
        <v>9360.518804856576</v>
      </c>
      <c r="AN136" s="560">
        <f t="shared" si="624"/>
        <v>9173.3084287594447</v>
      </c>
      <c r="AO136" s="497">
        <f t="shared" si="624"/>
        <v>8191.9710255479604</v>
      </c>
      <c r="AP136" s="497">
        <f t="shared" si="624"/>
        <v>6963.1753717157662</v>
      </c>
      <c r="AQ136" s="498">
        <f t="shared" si="624"/>
        <v>6076.1734971191654</v>
      </c>
      <c r="AR136" s="560">
        <f t="shared" si="624"/>
        <v>5471.7507312355574</v>
      </c>
      <c r="AS136" s="497">
        <f t="shared" si="624"/>
        <v>4082.4536096479874</v>
      </c>
      <c r="AT136" s="497">
        <f t="shared" si="624"/>
        <v>4490.6989706127861</v>
      </c>
      <c r="AU136" s="498">
        <f t="shared" si="624"/>
        <v>4956.7979651351225</v>
      </c>
      <c r="AV136" s="560">
        <f t="shared" ref="AV136" si="625">AU136*(1+AV137)</f>
        <v>4445.4223374496823</v>
      </c>
      <c r="AW136" s="497">
        <f t="shared" ref="AW136:AZ136" si="626">AV136*(1+AW137)</f>
        <v>4489.8765608241793</v>
      </c>
      <c r="AX136" s="1561">
        <f t="shared" si="626"/>
        <v>4938.8642169065979</v>
      </c>
      <c r="AY136" s="1562">
        <f t="shared" si="626"/>
        <v>6079.7418510120224</v>
      </c>
      <c r="AZ136" s="1797">
        <f t="shared" si="626"/>
        <v>5471.7676659108201</v>
      </c>
      <c r="BA136" s="497">
        <f t="shared" ref="BA136" si="627">AZ136*(1+BA137)</f>
        <v>5581.2030192290367</v>
      </c>
      <c r="BB136" s="497">
        <f t="shared" ref="BB136" si="628">BA136*(1+BB137)</f>
        <v>6669.5376079786993</v>
      </c>
      <c r="BC136" s="497">
        <f t="shared" ref="BC136" si="629">BB136*(1+BC137)</f>
        <v>6669.5376079786993</v>
      </c>
      <c r="BD136" s="560">
        <f t="shared" ref="BD136" si="630">BC136*(1+BD137)</f>
        <v>7003.0144883776347</v>
      </c>
      <c r="BE136" s="497">
        <f t="shared" ref="BE136" si="631">BD136*(1+BE137)</f>
        <v>6302.7130395398717</v>
      </c>
      <c r="BF136" s="497">
        <f t="shared" ref="BF136" si="632">BE136*(1+BF137)</f>
        <v>5798.4959963766823</v>
      </c>
      <c r="BG136" s="1762">
        <f t="shared" ref="BG136" si="633">BF136*(1+BG137)</f>
        <v>5508.5711965578475</v>
      </c>
      <c r="BH136" s="560">
        <f t="shared" ref="BH136" si="634">BG136*(1+BH137)</f>
        <v>5233.1426367299546</v>
      </c>
      <c r="BI136" s="497">
        <f t="shared" ref="BI136" si="635">BH136*(1+BI137)</f>
        <v>5494.7997685664523</v>
      </c>
      <c r="BJ136" s="497">
        <f t="shared" ref="BJ136" si="636">BI136*(1+BJ137)</f>
        <v>5824.48775468044</v>
      </c>
      <c r="BK136" s="1762">
        <f t="shared" ref="BK136" si="637">BJ136*(1+BK137)</f>
        <v>6115.7121424144625</v>
      </c>
      <c r="BL136" s="295"/>
      <c r="BM136" s="365"/>
      <c r="BN136" s="365"/>
      <c r="BO136" s="365"/>
      <c r="BP136" s="365"/>
      <c r="BQ136" s="788">
        <f>SUM(T136:W136)</f>
        <v>23040</v>
      </c>
      <c r="BR136" s="788">
        <f>SUM(X136:AA136)</f>
        <v>39740</v>
      </c>
      <c r="BS136" s="788">
        <f>SUM(AB136:AE136)</f>
        <v>37616.380490059484</v>
      </c>
      <c r="BT136" s="788">
        <f>SUM(AF136:AI136)</f>
        <v>34255.069668894525</v>
      </c>
      <c r="BU136" s="788">
        <f>SUM(AJ136:AM136)</f>
        <v>36290.359868086554</v>
      </c>
      <c r="BV136" s="1975">
        <f>+SUM(AN136:AQ136)</f>
        <v>30404.628323142337</v>
      </c>
      <c r="BW136" s="788">
        <f>SUM(AR136:AU136)</f>
        <v>19001.701276631455</v>
      </c>
      <c r="BX136" s="302">
        <f>SUM(AV136:AY136)</f>
        <v>19953.90496619248</v>
      </c>
      <c r="BY136" s="302">
        <f>SUM(AZ136:BC136)</f>
        <v>24392.045901097255</v>
      </c>
      <c r="BZ136" s="302">
        <f>SUM(BD136:BG136)</f>
        <v>24612.794720852038</v>
      </c>
      <c r="CA136" s="1670">
        <f>SUM(BH136:BK136)</f>
        <v>22668.142302391308</v>
      </c>
      <c r="CB136" s="1408"/>
      <c r="CC136" s="1339"/>
      <c r="CD136" s="1339"/>
    </row>
    <row r="137" spans="1:82" s="7" customFormat="1" ht="14.25" customHeight="1">
      <c r="B137" s="1354" t="s">
        <v>390</v>
      </c>
      <c r="C137" s="380"/>
      <c r="D137" s="608"/>
      <c r="E137" s="608"/>
      <c r="F137" s="608"/>
      <c r="G137" s="609"/>
      <c r="H137" s="608"/>
      <c r="I137" s="608"/>
      <c r="J137" s="608"/>
      <c r="K137" s="609"/>
      <c r="L137" s="608"/>
      <c r="M137" s="608"/>
      <c r="N137" s="608"/>
      <c r="O137" s="609"/>
      <c r="P137" s="608"/>
      <c r="Q137" s="608"/>
      <c r="R137" s="608"/>
      <c r="S137" s="609"/>
      <c r="T137" s="519"/>
      <c r="U137" s="52">
        <f t="shared" ref="U137:AA137" si="638">U136/T136-1</f>
        <v>0.85090909090909084</v>
      </c>
      <c r="V137" s="52">
        <f t="shared" si="638"/>
        <v>0.35559921414538298</v>
      </c>
      <c r="W137" s="499">
        <f t="shared" si="638"/>
        <v>0.20289855072463792</v>
      </c>
      <c r="X137" s="529">
        <f t="shared" si="638"/>
        <v>9.6385542168674787E-2</v>
      </c>
      <c r="Y137" s="52">
        <f t="shared" si="638"/>
        <v>0.19999999999999996</v>
      </c>
      <c r="Z137" s="52">
        <f t="shared" si="638"/>
        <v>-0.1501831501831502</v>
      </c>
      <c r="AA137" s="499">
        <f t="shared" si="638"/>
        <v>0.125</v>
      </c>
      <c r="AB137" s="519"/>
      <c r="AC137" s="52">
        <f>AC136/AB136-1</f>
        <v>-6.6662210877857397E-2</v>
      </c>
      <c r="AD137" s="52">
        <f>AD136/AC136-1</f>
        <v>5.2659574468085113E-2</v>
      </c>
      <c r="AE137" s="52">
        <f>AE136/AD136-1</f>
        <v>-0.16624557857503786</v>
      </c>
      <c r="AF137" s="1213">
        <v>9.9795849310344797E-2</v>
      </c>
      <c r="AG137" s="1176">
        <v>-0.03</v>
      </c>
      <c r="AH137" s="1176">
        <v>-0.06</v>
      </c>
      <c r="AI137" s="1176">
        <v>-0.02</v>
      </c>
      <c r="AJ137" s="1213">
        <v>0.1</v>
      </c>
      <c r="AK137" s="1176">
        <v>0.02</v>
      </c>
      <c r="AL137" s="1176">
        <v>-0.02</v>
      </c>
      <c r="AM137" s="1177">
        <v>0.05</v>
      </c>
      <c r="AN137" s="1213">
        <v>-0.02</v>
      </c>
      <c r="AO137" s="1176">
        <v>-0.10697747828197636</v>
      </c>
      <c r="AP137" s="1176">
        <v>-0.15</v>
      </c>
      <c r="AQ137" s="1177">
        <v>-0.12738468116135326</v>
      </c>
      <c r="AR137" s="1213">
        <v>-9.9474244139041934E-2</v>
      </c>
      <c r="AS137" s="1176">
        <v>-0.25390358403147834</v>
      </c>
      <c r="AT137" s="1176">
        <v>0.1</v>
      </c>
      <c r="AU137" s="1177">
        <v>0.1037920817165649</v>
      </c>
      <c r="AV137" s="1213">
        <v>-0.10316652631039801</v>
      </c>
      <c r="AW137" s="1176">
        <v>0.01</v>
      </c>
      <c r="AX137" s="1176">
        <v>0.1</v>
      </c>
      <c r="AY137" s="1553">
        <v>0.23100000000000001</v>
      </c>
      <c r="AZ137" s="1213">
        <v>-0.1</v>
      </c>
      <c r="BA137" s="1702">
        <v>0.02</v>
      </c>
      <c r="BB137" s="1863">
        <v>0.19500000000000001</v>
      </c>
      <c r="BC137" s="1863">
        <v>0</v>
      </c>
      <c r="BD137" s="1864">
        <v>0.05</v>
      </c>
      <c r="BE137" s="1205">
        <v>-0.1</v>
      </c>
      <c r="BF137" s="1863">
        <v>-0.08</v>
      </c>
      <c r="BG137" s="1553">
        <v>-0.05</v>
      </c>
      <c r="BH137" s="1864">
        <v>-0.05</v>
      </c>
      <c r="BI137" s="1205">
        <v>0.05</v>
      </c>
      <c r="BJ137" s="1863">
        <v>0.06</v>
      </c>
      <c r="BK137" s="1553">
        <v>0.05</v>
      </c>
      <c r="BL137" s="295"/>
      <c r="BM137" s="365"/>
      <c r="BN137" s="365"/>
      <c r="BO137" s="365"/>
      <c r="BP137" s="365"/>
      <c r="BQ137" s="365"/>
      <c r="BR137" s="253">
        <f t="shared" ref="BR137:CA137" si="639">BR136/BQ136-1</f>
        <v>0.72482638888888884</v>
      </c>
      <c r="BS137" s="253">
        <f t="shared" si="639"/>
        <v>-5.3437833667350665E-2</v>
      </c>
      <c r="BT137" s="253">
        <f t="shared" si="639"/>
        <v>-8.935763561975929E-2</v>
      </c>
      <c r="BU137" s="253">
        <f t="shared" si="639"/>
        <v>5.9415736673867681E-2</v>
      </c>
      <c r="BV137" s="1946">
        <f t="shared" si="639"/>
        <v>-0.16218443593115428</v>
      </c>
      <c r="BW137" s="253">
        <f t="shared" si="639"/>
        <v>-0.37503918565686256</v>
      </c>
      <c r="BX137" s="1338">
        <f t="shared" si="639"/>
        <v>5.0111496633833408E-2</v>
      </c>
      <c r="BY137" s="1338">
        <f t="shared" si="639"/>
        <v>0.22241966885300068</v>
      </c>
      <c r="BZ137" s="1338">
        <f t="shared" si="639"/>
        <v>9.0500329759075626E-3</v>
      </c>
      <c r="CA137" s="1661">
        <f t="shared" si="639"/>
        <v>-7.9009817475673039E-2</v>
      </c>
      <c r="CB137" s="1408"/>
      <c r="CC137" s="1339"/>
      <c r="CD137" s="1339"/>
    </row>
    <row r="138" spans="1:82" s="7" customFormat="1" ht="14.25" customHeight="1">
      <c r="B138" s="1355" t="s">
        <v>472</v>
      </c>
      <c r="C138" s="380"/>
      <c r="D138" s="608"/>
      <c r="E138" s="608"/>
      <c r="F138" s="608"/>
      <c r="G138" s="609"/>
      <c r="H138" s="608"/>
      <c r="I138" s="608"/>
      <c r="J138" s="608"/>
      <c r="K138" s="609"/>
      <c r="L138" s="608"/>
      <c r="M138" s="608"/>
      <c r="N138" s="608"/>
      <c r="O138" s="609"/>
      <c r="P138" s="608"/>
      <c r="Q138" s="608"/>
      <c r="R138" s="608"/>
      <c r="S138" s="609"/>
      <c r="T138" s="1180">
        <v>25</v>
      </c>
      <c r="U138" s="1180">
        <v>22.1</v>
      </c>
      <c r="V138" s="1180">
        <v>19.28</v>
      </c>
      <c r="W138" s="1181">
        <v>18.95</v>
      </c>
      <c r="X138" s="1180">
        <v>19.772750000000002</v>
      </c>
      <c r="Y138" s="1180">
        <v>18.857999999999997</v>
      </c>
      <c r="Z138" s="1180">
        <v>20.416</v>
      </c>
      <c r="AA138" s="1181">
        <v>22.254999999999999</v>
      </c>
      <c r="AB138" s="1180">
        <v>21.136000000000003</v>
      </c>
      <c r="AC138" s="1180">
        <v>21.5</v>
      </c>
      <c r="AD138" s="1180">
        <v>21.862500000000001</v>
      </c>
      <c r="AE138" s="1180">
        <v>22.06</v>
      </c>
      <c r="AF138" s="627">
        <f t="shared" ref="AF138:AU138" si="640">AE138*(1+AF139)</f>
        <v>22.2806</v>
      </c>
      <c r="AG138" s="628">
        <f t="shared" si="640"/>
        <v>22.2806</v>
      </c>
      <c r="AH138" s="628">
        <f t="shared" si="640"/>
        <v>22.726212</v>
      </c>
      <c r="AI138" s="629">
        <f t="shared" si="640"/>
        <v>22.726212</v>
      </c>
      <c r="AJ138" s="627">
        <f t="shared" si="640"/>
        <v>23.862522600000002</v>
      </c>
      <c r="AK138" s="628">
        <f t="shared" si="640"/>
        <v>23.385272148000002</v>
      </c>
      <c r="AL138" s="628">
        <f t="shared" si="640"/>
        <v>22.917566705040002</v>
      </c>
      <c r="AM138" s="630">
        <f t="shared" si="640"/>
        <v>22.917566705040002</v>
      </c>
      <c r="AN138" s="627">
        <f t="shared" si="640"/>
        <v>22.917566705040002</v>
      </c>
      <c r="AO138" s="628">
        <f t="shared" si="640"/>
        <v>21.084161368636803</v>
      </c>
      <c r="AP138" s="628">
        <f t="shared" si="640"/>
        <v>20.029953300204962</v>
      </c>
      <c r="AQ138" s="630">
        <f t="shared" si="640"/>
        <v>20.43055236620906</v>
      </c>
      <c r="AR138" s="627">
        <f t="shared" si="640"/>
        <v>20.634857889871149</v>
      </c>
      <c r="AS138" s="628">
        <f t="shared" si="640"/>
        <v>21.150729337117927</v>
      </c>
      <c r="AT138" s="628">
        <f t="shared" si="640"/>
        <v>21.150729337117927</v>
      </c>
      <c r="AU138" s="630">
        <f t="shared" si="640"/>
        <v>21.996758510602643</v>
      </c>
      <c r="AV138" s="627">
        <f t="shared" ref="AV138" si="641">AU138*(1+AV139)</f>
        <v>21.55682334039059</v>
      </c>
      <c r="AW138" s="628">
        <f t="shared" ref="AW138:AZ138" si="642">AV138*(1+AW139)</f>
        <v>21.66460745709254</v>
      </c>
      <c r="AX138" s="1592">
        <f t="shared" si="642"/>
        <v>22.531191755376241</v>
      </c>
      <c r="AY138" s="1593">
        <f t="shared" si="642"/>
        <v>25.910870518682675</v>
      </c>
      <c r="AZ138" s="1729">
        <f t="shared" si="642"/>
        <v>25.39265310830902</v>
      </c>
      <c r="BA138" s="628">
        <f t="shared" ref="BA138" si="643">AZ138*(1+BA139)</f>
        <v>26.408359232641381</v>
      </c>
      <c r="BB138" s="2218">
        <f t="shared" ref="BB138" si="644">BA138*(1+BB139)</f>
        <v>30.369613117537586</v>
      </c>
      <c r="BC138" s="625">
        <f t="shared" ref="BC138" si="645">BB138*(1+BC139)</f>
        <v>33.406574429291346</v>
      </c>
      <c r="BD138" s="627">
        <f t="shared" ref="BD138" si="646">BC138*(1+BD139)</f>
        <v>35.076903150755918</v>
      </c>
      <c r="BE138" s="625">
        <f t="shared" ref="BE138" si="647">BD138*(1+BE139)</f>
        <v>31.569212835680325</v>
      </c>
      <c r="BF138" s="625">
        <f t="shared" ref="BF138" si="648">BE138*(1+BF139)</f>
        <v>28.412291552112293</v>
      </c>
      <c r="BG138" s="1734">
        <f t="shared" ref="BG138" si="649">BF138*(1+BG139)</f>
        <v>26.991676974506678</v>
      </c>
      <c r="BH138" s="627">
        <f t="shared" ref="BH138" si="650">BG138*(1+BH139)</f>
        <v>26.991676974506678</v>
      </c>
      <c r="BI138" s="625">
        <f t="shared" ref="BI138" si="651">BH138*(1+BI139)</f>
        <v>27.80142728374188</v>
      </c>
      <c r="BJ138" s="625">
        <f t="shared" ref="BJ138" si="652">BI138*(1+BJ139)</f>
        <v>29.191498647928974</v>
      </c>
      <c r="BK138" s="1734">
        <f t="shared" ref="BK138" si="653">BJ138*(1+BK139)</f>
        <v>29.191498647928974</v>
      </c>
      <c r="BL138" s="295"/>
      <c r="BM138" s="365"/>
      <c r="BN138" s="365"/>
      <c r="BO138" s="365"/>
      <c r="BP138" s="365"/>
      <c r="BQ138" s="780">
        <f>BQ140/BQ136*1000</f>
        <v>20.466840277777781</v>
      </c>
      <c r="BR138" s="780">
        <f t="shared" ref="BR138:BW138" si="654">BR140/BR136*1000</f>
        <v>20.323705712128834</v>
      </c>
      <c r="BS138" s="780">
        <f t="shared" si="654"/>
        <v>21.620717489095433</v>
      </c>
      <c r="BT138" s="780">
        <f t="shared" si="654"/>
        <v>22.493689880278566</v>
      </c>
      <c r="BU138" s="780">
        <f t="shared" si="654"/>
        <v>23.267026656867934</v>
      </c>
      <c r="BV138" s="1954">
        <f t="shared" si="654"/>
        <v>21.265262588176139</v>
      </c>
      <c r="BW138" s="780">
        <f t="shared" si="654"/>
        <v>21.22287423072089</v>
      </c>
      <c r="BX138" s="796">
        <f t="shared" ref="BX138" si="655">+BX140/BX136*1000</f>
        <v>23.148877305919267</v>
      </c>
      <c r="BY138" s="780">
        <f>+BY140/BY136*1000</f>
        <v>29.177166881967118</v>
      </c>
      <c r="BZ138" s="780">
        <f>+BZ140/BZ136*1000</f>
        <v>30.799017019337658</v>
      </c>
      <c r="CA138" s="1666">
        <f>+CA140/CA136*1000</f>
        <v>28.346694334141219</v>
      </c>
      <c r="CB138" s="1408"/>
      <c r="CC138" s="1339"/>
      <c r="CD138" s="1339"/>
    </row>
    <row r="139" spans="1:82" s="319" customFormat="1" ht="14.25" customHeight="1">
      <c r="B139" s="1354" t="s">
        <v>390</v>
      </c>
      <c r="C139" s="1447"/>
      <c r="D139" s="616"/>
      <c r="E139" s="616"/>
      <c r="F139" s="616"/>
      <c r="G139" s="617"/>
      <c r="H139" s="616"/>
      <c r="I139" s="616"/>
      <c r="J139" s="616"/>
      <c r="K139" s="617"/>
      <c r="L139" s="616"/>
      <c r="M139" s="616"/>
      <c r="N139" s="616"/>
      <c r="O139" s="617"/>
      <c r="P139" s="616"/>
      <c r="Q139" s="616"/>
      <c r="R139" s="616"/>
      <c r="S139" s="617"/>
      <c r="T139" s="597"/>
      <c r="U139" s="52">
        <f t="shared" ref="U139:AA139" si="656">U138/T138-1</f>
        <v>-0.11599999999999999</v>
      </c>
      <c r="V139" s="52">
        <f t="shared" si="656"/>
        <v>-0.12760180995475112</v>
      </c>
      <c r="W139" s="499">
        <f t="shared" si="656"/>
        <v>-1.7116182572614158E-2</v>
      </c>
      <c r="X139" s="507">
        <f t="shared" si="656"/>
        <v>4.3416886543535815E-2</v>
      </c>
      <c r="Y139" s="52">
        <f t="shared" si="656"/>
        <v>-4.6263165214752933E-2</v>
      </c>
      <c r="Z139" s="52">
        <f t="shared" si="656"/>
        <v>8.2617456782267729E-2</v>
      </c>
      <c r="AA139" s="499">
        <f t="shared" si="656"/>
        <v>9.0076410658307182E-2</v>
      </c>
      <c r="AB139" s="597"/>
      <c r="AC139" s="52">
        <f>AC138/AB138-1</f>
        <v>1.7221801665404879E-2</v>
      </c>
      <c r="AD139" s="52">
        <f>AD138/AC138-1</f>
        <v>1.6860465116279144E-2</v>
      </c>
      <c r="AE139" s="52">
        <f>AE138/AD138-1</f>
        <v>9.0337335620354065E-3</v>
      </c>
      <c r="AF139" s="1204">
        <v>0.01</v>
      </c>
      <c r="AG139" s="1205">
        <v>0</v>
      </c>
      <c r="AH139" s="1205">
        <v>0.02</v>
      </c>
      <c r="AI139" s="1205">
        <v>0</v>
      </c>
      <c r="AJ139" s="1204">
        <v>0.05</v>
      </c>
      <c r="AK139" s="1205">
        <v>-0.02</v>
      </c>
      <c r="AL139" s="1205">
        <v>-0.02</v>
      </c>
      <c r="AM139" s="1207">
        <v>0</v>
      </c>
      <c r="AN139" s="1204">
        <v>0</v>
      </c>
      <c r="AO139" s="1205">
        <v>-0.08</v>
      </c>
      <c r="AP139" s="1205">
        <v>-0.05</v>
      </c>
      <c r="AQ139" s="1207">
        <v>0.02</v>
      </c>
      <c r="AR139" s="1204">
        <v>0.01</v>
      </c>
      <c r="AS139" s="1205">
        <v>2.5000000000000001E-2</v>
      </c>
      <c r="AT139" s="1205">
        <v>0</v>
      </c>
      <c r="AU139" s="1207">
        <v>0.04</v>
      </c>
      <c r="AV139" s="1204">
        <v>-0.02</v>
      </c>
      <c r="AW139" s="1205">
        <v>5.0000000000000001E-3</v>
      </c>
      <c r="AX139" s="1594">
        <v>0.04</v>
      </c>
      <c r="AY139" s="1595">
        <v>0.15</v>
      </c>
      <c r="AZ139" s="1800">
        <v>-0.02</v>
      </c>
      <c r="BA139" s="1205">
        <v>0.04</v>
      </c>
      <c r="BB139" s="1205">
        <v>0.15</v>
      </c>
      <c r="BC139" s="1205">
        <v>0.1</v>
      </c>
      <c r="BD139" s="1864">
        <v>0.05</v>
      </c>
      <c r="BE139" s="1205">
        <v>-0.1</v>
      </c>
      <c r="BF139" s="1863">
        <v>-0.1</v>
      </c>
      <c r="BG139" s="1764">
        <v>-0.05</v>
      </c>
      <c r="BH139" s="1204">
        <v>0</v>
      </c>
      <c r="BI139" s="1205">
        <v>0.03</v>
      </c>
      <c r="BJ139" s="1863">
        <v>0.05</v>
      </c>
      <c r="BK139" s="1764">
        <v>0</v>
      </c>
      <c r="BL139" s="599"/>
      <c r="BM139" s="600"/>
      <c r="BN139" s="600"/>
      <c r="BO139" s="600"/>
      <c r="BP139" s="600"/>
      <c r="BQ139" s="600"/>
      <c r="BR139" s="253">
        <f t="shared" ref="BR139:CA139" si="657">BR138/BQ138-1</f>
        <v>-6.9934862297409417E-3</v>
      </c>
      <c r="BS139" s="253">
        <f t="shared" si="657"/>
        <v>6.3817681447363439E-2</v>
      </c>
      <c r="BT139" s="253">
        <f t="shared" si="657"/>
        <v>4.0376661487918852E-2</v>
      </c>
      <c r="BU139" s="253">
        <f t="shared" si="657"/>
        <v>3.4380165313268263E-2</v>
      </c>
      <c r="BV139" s="1946">
        <f t="shared" si="657"/>
        <v>-8.6034373803449249E-2</v>
      </c>
      <c r="BW139" s="253">
        <f t="shared" si="657"/>
        <v>-1.9933145560505627E-3</v>
      </c>
      <c r="BX139" s="1338">
        <f t="shared" si="657"/>
        <v>9.0751283462369825E-2</v>
      </c>
      <c r="BY139" s="1338">
        <f t="shared" si="657"/>
        <v>0.26041390674727838</v>
      </c>
      <c r="BZ139" s="1338">
        <f t="shared" si="657"/>
        <v>5.5586278953386747E-2</v>
      </c>
      <c r="CA139" s="1661">
        <f t="shared" si="657"/>
        <v>-7.9623407580076577E-2</v>
      </c>
      <c r="CB139" s="1408"/>
      <c r="CC139" s="1340"/>
      <c r="CD139" s="1340"/>
    </row>
    <row r="140" spans="1:82" s="285" customFormat="1" ht="14.25" customHeight="1">
      <c r="B140" s="1355" t="s">
        <v>473</v>
      </c>
      <c r="C140" s="635"/>
      <c r="D140" s="618"/>
      <c r="E140" s="618"/>
      <c r="F140" s="618"/>
      <c r="G140" s="609"/>
      <c r="H140" s="618"/>
      <c r="I140" s="618"/>
      <c r="J140" s="618"/>
      <c r="K140" s="609"/>
      <c r="L140" s="618"/>
      <c r="M140" s="618"/>
      <c r="N140" s="618"/>
      <c r="O140" s="609"/>
      <c r="P140" s="618"/>
      <c r="Q140" s="618"/>
      <c r="R140" s="618"/>
      <c r="S140" s="609"/>
      <c r="T140" s="586">
        <f>T136*T138/1000</f>
        <v>68.75</v>
      </c>
      <c r="U140" s="586">
        <f>U136*U138/1000</f>
        <v>112.489</v>
      </c>
      <c r="V140" s="586">
        <f t="shared" ref="V140:AU140" si="658">V136*V138/1000</f>
        <v>133.03200000000001</v>
      </c>
      <c r="W140" s="588">
        <f t="shared" si="658"/>
        <v>157.285</v>
      </c>
      <c r="X140" s="586">
        <f t="shared" si="658"/>
        <v>179.93202500000001</v>
      </c>
      <c r="Y140" s="586">
        <f t="shared" si="658"/>
        <v>205.92935999999995</v>
      </c>
      <c r="Z140" s="586">
        <f t="shared" si="658"/>
        <v>189.46048000000002</v>
      </c>
      <c r="AA140" s="588">
        <f t="shared" si="658"/>
        <v>232.34219999999999</v>
      </c>
      <c r="AB140" s="586">
        <f t="shared" si="658"/>
        <v>212.8686980378973</v>
      </c>
      <c r="AC140" s="586">
        <f t="shared" si="658"/>
        <v>202.1</v>
      </c>
      <c r="AD140" s="586">
        <f t="shared" si="658"/>
        <v>216.32943750000001</v>
      </c>
      <c r="AE140" s="586">
        <f t="shared" si="658"/>
        <v>181.995</v>
      </c>
      <c r="AF140" s="587">
        <f t="shared" si="658"/>
        <v>202.15891905118858</v>
      </c>
      <c r="AG140" s="585">
        <f t="shared" si="658"/>
        <v>196.09415147965291</v>
      </c>
      <c r="AH140" s="585">
        <f t="shared" si="658"/>
        <v>188.01507243869119</v>
      </c>
      <c r="AI140" s="601">
        <f t="shared" si="658"/>
        <v>184.25477098991738</v>
      </c>
      <c r="AJ140" s="587">
        <f t="shared" si="658"/>
        <v>212.81426049335454</v>
      </c>
      <c r="AK140" s="585">
        <f t="shared" si="658"/>
        <v>212.7291347891572</v>
      </c>
      <c r="AL140" s="585">
        <f t="shared" si="658"/>
        <v>204.30506105150658</v>
      </c>
      <c r="AM140" s="602">
        <f t="shared" si="658"/>
        <v>214.52031410408188</v>
      </c>
      <c r="AN140" s="587">
        <f t="shared" si="658"/>
        <v>210.22990782200026</v>
      </c>
      <c r="AO140" s="585">
        <f t="shared" si="658"/>
        <v>172.72083902985031</v>
      </c>
      <c r="AP140" s="585">
        <f t="shared" si="658"/>
        <v>139.47207751660412</v>
      </c>
      <c r="AQ140" s="602">
        <f t="shared" si="658"/>
        <v>124.13958081906473</v>
      </c>
      <c r="AR140" s="587">
        <f t="shared" si="658"/>
        <v>112.90879874784427</v>
      </c>
      <c r="AS140" s="585">
        <f t="shared" si="658"/>
        <v>86.346871329004657</v>
      </c>
      <c r="AT140" s="585">
        <f t="shared" si="658"/>
        <v>94.981558461905124</v>
      </c>
      <c r="AU140" s="602">
        <f t="shared" si="658"/>
        <v>109.03348782492387</v>
      </c>
      <c r="AV140" s="587">
        <f t="shared" ref="AV140:AZ140" si="659">AV136*AV138/1000</f>
        <v>95.829184001829006</v>
      </c>
      <c r="AW140" s="585">
        <f t="shared" si="659"/>
        <v>97.27141322105652</v>
      </c>
      <c r="AX140" s="1602">
        <f t="shared" si="659"/>
        <v>111.27849672488867</v>
      </c>
      <c r="AY140" s="1603">
        <f t="shared" si="659"/>
        <v>157.53140388858864</v>
      </c>
      <c r="AZ140" s="1804">
        <f t="shared" si="659"/>
        <v>138.94269822973516</v>
      </c>
      <c r="BA140" s="585">
        <f t="shared" ref="BA140:BC140" si="660">BA136*BA138/1000</f>
        <v>147.39041428210308</v>
      </c>
      <c r="BB140" s="2219">
        <f t="shared" si="660"/>
        <v>202.55127682718015</v>
      </c>
      <c r="BC140" s="586">
        <f t="shared" si="660"/>
        <v>222.80640450989819</v>
      </c>
      <c r="BD140" s="587">
        <f t="shared" ref="BD140:BG140" si="661">BD136*BD138/1000</f>
        <v>245.64406097216278</v>
      </c>
      <c r="BE140" s="586">
        <f t="shared" si="661"/>
        <v>198.97168938745187</v>
      </c>
      <c r="BF140" s="586">
        <f t="shared" si="661"/>
        <v>164.74855881281016</v>
      </c>
      <c r="BG140" s="2220">
        <f t="shared" si="661"/>
        <v>148.68557432856116</v>
      </c>
      <c r="BH140" s="587">
        <f t="shared" ref="BH140:BK140" si="662">BH136*BH138/1000</f>
        <v>141.25129561213308</v>
      </c>
      <c r="BI140" s="586">
        <f t="shared" si="662"/>
        <v>152.76327620452193</v>
      </c>
      <c r="BJ140" s="586">
        <f t="shared" si="662"/>
        <v>170.02552641563292</v>
      </c>
      <c r="BK140" s="2220">
        <f t="shared" si="662"/>
        <v>178.5268027364146</v>
      </c>
      <c r="BL140" s="313"/>
      <c r="BM140" s="365"/>
      <c r="BN140" s="365"/>
      <c r="BO140" s="365"/>
      <c r="BP140" s="365"/>
      <c r="BQ140" s="391">
        <f>SUM(T140:W140)</f>
        <v>471.55600000000004</v>
      </c>
      <c r="BR140" s="788">
        <f>SUM(X140:AA140)</f>
        <v>807.66406499999994</v>
      </c>
      <c r="BS140" s="788">
        <f>SUM(AB140:AE140)</f>
        <v>813.29313553789734</v>
      </c>
      <c r="BT140" s="788">
        <f>SUM(AF140:AI140)</f>
        <v>770.52291395944997</v>
      </c>
      <c r="BU140" s="788">
        <f>SUM(AJ140:AM140)</f>
        <v>844.36877043810011</v>
      </c>
      <c r="BV140" s="1975">
        <f>+SUM(AN140:AQ140)</f>
        <v>646.5624051875194</v>
      </c>
      <c r="BW140" s="788">
        <f>SUM(AR140:AU140)</f>
        <v>403.27071636367793</v>
      </c>
      <c r="BX140" s="302">
        <f>SUM(AV140:AY140)</f>
        <v>461.91049783636288</v>
      </c>
      <c r="BY140" s="302">
        <f>SUM(AZ140:BC140)</f>
        <v>711.69079384891666</v>
      </c>
      <c r="BZ140" s="302">
        <f>SUM(BD140:BG140)</f>
        <v>758.04988350098597</v>
      </c>
      <c r="CA140" s="1670">
        <f>SUM(BH140:BK140)</f>
        <v>642.56690096870261</v>
      </c>
      <c r="CB140" s="1408"/>
      <c r="CC140" s="1341"/>
      <c r="CD140" s="1341"/>
    </row>
    <row r="141" spans="1:82" s="7" customFormat="1" ht="14.25" customHeight="1">
      <c r="B141" s="1354" t="s">
        <v>390</v>
      </c>
      <c r="C141" s="380"/>
      <c r="D141" s="608"/>
      <c r="E141" s="608"/>
      <c r="F141" s="608"/>
      <c r="G141" s="609"/>
      <c r="H141" s="608"/>
      <c r="I141" s="608"/>
      <c r="J141" s="608"/>
      <c r="K141" s="609"/>
      <c r="L141" s="608"/>
      <c r="M141" s="608"/>
      <c r="N141" s="608"/>
      <c r="O141" s="609"/>
      <c r="P141" s="608"/>
      <c r="Q141" s="608"/>
      <c r="R141" s="608"/>
      <c r="S141" s="609"/>
      <c r="T141" s="519"/>
      <c r="U141" s="1198">
        <f t="shared" ref="U141:AU141" si="663">U140/T140-1</f>
        <v>0.63620363636363653</v>
      </c>
      <c r="V141" s="1198">
        <f t="shared" si="663"/>
        <v>0.18262230084719411</v>
      </c>
      <c r="W141" s="1206">
        <f t="shared" si="663"/>
        <v>0.18230951951410179</v>
      </c>
      <c r="X141" s="1199">
        <f t="shared" si="663"/>
        <v>0.14398718886098494</v>
      </c>
      <c r="Y141" s="1198">
        <f t="shared" si="663"/>
        <v>0.14448420174229648</v>
      </c>
      <c r="Z141" s="1198">
        <f t="shared" si="663"/>
        <v>-7.9973443320563553E-2</v>
      </c>
      <c r="AA141" s="1206">
        <f t="shared" si="663"/>
        <v>0.22633596199059536</v>
      </c>
      <c r="AB141" s="1199">
        <f t="shared" si="663"/>
        <v>-8.3813882979943743E-2</v>
      </c>
      <c r="AC141" s="1198">
        <f t="shared" si="663"/>
        <v>-5.0588452586768473E-2</v>
      </c>
      <c r="AD141" s="1198">
        <f t="shared" si="663"/>
        <v>7.0407904502721497E-2</v>
      </c>
      <c r="AE141" s="1198">
        <f t="shared" si="663"/>
        <v>-0.15871366327571579</v>
      </c>
      <c r="AF141" s="1201">
        <f t="shared" si="663"/>
        <v>0.11079380780344827</v>
      </c>
      <c r="AG141" s="1199">
        <f t="shared" si="663"/>
        <v>-3.0000000000000027E-2</v>
      </c>
      <c r="AH141" s="1199">
        <f t="shared" si="663"/>
        <v>-4.1200000000000125E-2</v>
      </c>
      <c r="AI141" s="1199">
        <f t="shared" si="663"/>
        <v>-1.9999999999999907E-2</v>
      </c>
      <c r="AJ141" s="1201">
        <f t="shared" si="663"/>
        <v>0.1549999999999998</v>
      </c>
      <c r="AK141" s="1199">
        <f t="shared" si="663"/>
        <v>-3.9999999999995595E-4</v>
      </c>
      <c r="AL141" s="1199">
        <f t="shared" si="663"/>
        <v>-3.9599999999999969E-2</v>
      </c>
      <c r="AM141" s="1200">
        <f t="shared" si="663"/>
        <v>4.9999999999999822E-2</v>
      </c>
      <c r="AN141" s="1201">
        <f t="shared" si="663"/>
        <v>-1.9999999999999907E-2</v>
      </c>
      <c r="AO141" s="1199">
        <f t="shared" si="663"/>
        <v>-0.1784192800194182</v>
      </c>
      <c r="AP141" s="1199">
        <f t="shared" si="663"/>
        <v>-0.1925</v>
      </c>
      <c r="AQ141" s="1200">
        <f t="shared" si="663"/>
        <v>-0.10993237478458051</v>
      </c>
      <c r="AR141" s="1201">
        <f t="shared" si="663"/>
        <v>-9.0468986580432342E-2</v>
      </c>
      <c r="AS141" s="1199">
        <f t="shared" si="663"/>
        <v>-0.23525117363226533</v>
      </c>
      <c r="AT141" s="1199">
        <f t="shared" si="663"/>
        <v>0.10000000000000009</v>
      </c>
      <c r="AU141" s="1200">
        <f t="shared" si="663"/>
        <v>0.14794376498522754</v>
      </c>
      <c r="AV141" s="1201">
        <f t="shared" ref="AV141" si="664">AV140/AU140-1</f>
        <v>-0.12110319578419004</v>
      </c>
      <c r="AW141" s="1199">
        <f t="shared" ref="AW141:AZ141" si="665">AW140/AV140-1</f>
        <v>1.5049999999999786E-2</v>
      </c>
      <c r="AX141" s="1583">
        <f t="shared" si="665"/>
        <v>0.14400000000000013</v>
      </c>
      <c r="AY141" s="1584">
        <f t="shared" si="665"/>
        <v>0.41565000000000007</v>
      </c>
      <c r="AZ141" s="1792">
        <f t="shared" si="665"/>
        <v>-0.1180000000000001</v>
      </c>
      <c r="BA141" s="1199">
        <f t="shared" ref="BA141" si="666">BA140/AZ140-1</f>
        <v>6.0800000000000187E-2</v>
      </c>
      <c r="BB141" s="1199">
        <f t="shared" ref="BB141" si="667">BB140/BA140-1</f>
        <v>0.37424999999999997</v>
      </c>
      <c r="BC141" s="1199">
        <f t="shared" ref="BC141" si="668">BC140/BB140-1</f>
        <v>0.10000000000000009</v>
      </c>
      <c r="BD141" s="1201">
        <f t="shared" ref="BD141" si="669">BD140/BC140-1</f>
        <v>0.10250000000000004</v>
      </c>
      <c r="BE141" s="1199">
        <f t="shared" ref="BE141" si="670">BE140/BD140-1</f>
        <v>-0.18999999999999995</v>
      </c>
      <c r="BF141" s="1199">
        <f t="shared" ref="BF141" si="671">BF140/BE140-1</f>
        <v>-0.17199999999999993</v>
      </c>
      <c r="BG141" s="1760">
        <f t="shared" ref="BG141" si="672">BG140/BF140-1</f>
        <v>-9.7500000000000031E-2</v>
      </c>
      <c r="BH141" s="1201">
        <f t="shared" ref="BH141" si="673">BH140/BG140-1</f>
        <v>-5.0000000000000155E-2</v>
      </c>
      <c r="BI141" s="1199">
        <f t="shared" ref="BI141" si="674">BI140/BH140-1</f>
        <v>8.1500000000000128E-2</v>
      </c>
      <c r="BJ141" s="1199">
        <f t="shared" ref="BJ141" si="675">BJ140/BI140-1</f>
        <v>0.11300000000000021</v>
      </c>
      <c r="BK141" s="1760">
        <f t="shared" ref="BK141" si="676">BK140/BJ140-1</f>
        <v>5.0000000000000044E-2</v>
      </c>
      <c r="BL141" s="295"/>
      <c r="BM141" s="365"/>
      <c r="BN141" s="365"/>
      <c r="BO141" s="365"/>
      <c r="BP141" s="365"/>
      <c r="BQ141" s="365"/>
      <c r="BR141" s="253">
        <f t="shared" ref="BR141:CA141" si="677">BR140/BQ140-1</f>
        <v>0.71276383928950082</v>
      </c>
      <c r="BS141" s="253">
        <f t="shared" si="677"/>
        <v>6.9695691337925414E-3</v>
      </c>
      <c r="BT141" s="253">
        <f t="shared" si="677"/>
        <v>-5.2588937136620384E-2</v>
      </c>
      <c r="BU141" s="253">
        <f t="shared" si="677"/>
        <v>9.583862483619332E-2</v>
      </c>
      <c r="BV141" s="1946">
        <f t="shared" si="677"/>
        <v>-0.23426537334860098</v>
      </c>
      <c r="BW141" s="957">
        <f t="shared" si="677"/>
        <v>-0.37628492914505407</v>
      </c>
      <c r="BX141" s="1338">
        <f t="shared" si="677"/>
        <v>0.14541046273194391</v>
      </c>
      <c r="BY141" s="1338">
        <f t="shared" si="677"/>
        <v>0.5407547505037249</v>
      </c>
      <c r="BZ141" s="1338">
        <f t="shared" si="677"/>
        <v>6.5139369586830309E-2</v>
      </c>
      <c r="CA141" s="1661">
        <f t="shared" si="677"/>
        <v>-0.15234219415605665</v>
      </c>
      <c r="CB141" s="1408"/>
      <c r="CC141" s="1339"/>
      <c r="CD141" s="1339"/>
    </row>
    <row r="142" spans="1:82" s="7" customFormat="1" ht="14.25" customHeight="1">
      <c r="B142" s="657"/>
      <c r="C142" s="380"/>
      <c r="D142" s="608"/>
      <c r="E142" s="608"/>
      <c r="F142" s="608"/>
      <c r="G142" s="609"/>
      <c r="H142" s="608"/>
      <c r="I142" s="608"/>
      <c r="J142" s="608"/>
      <c r="K142" s="609"/>
      <c r="L142" s="608"/>
      <c r="M142" s="608"/>
      <c r="N142" s="608"/>
      <c r="O142" s="609"/>
      <c r="P142" s="608"/>
      <c r="Q142" s="608"/>
      <c r="R142" s="608"/>
      <c r="S142" s="609"/>
      <c r="T142" s="519"/>
      <c r="U142" s="52"/>
      <c r="V142" s="52"/>
      <c r="W142" s="499"/>
      <c r="X142" s="529"/>
      <c r="Y142" s="52"/>
      <c r="Z142" s="52"/>
      <c r="AA142" s="499"/>
      <c r="AB142" s="529"/>
      <c r="AC142" s="52"/>
      <c r="AD142" s="52"/>
      <c r="AE142" s="52"/>
      <c r="AF142" s="561"/>
      <c r="AG142" s="529"/>
      <c r="AH142" s="529"/>
      <c r="AI142" s="529"/>
      <c r="AJ142" s="1390"/>
      <c r="AK142" s="1391"/>
      <c r="AL142" s="1391"/>
      <c r="AM142" s="1392"/>
      <c r="AN142" s="1390"/>
      <c r="AO142" s="1391"/>
      <c r="AP142" s="1391"/>
      <c r="AQ142" s="1392"/>
      <c r="AR142" s="1390"/>
      <c r="AS142" s="1391"/>
      <c r="AT142" s="1391"/>
      <c r="AU142" s="1392"/>
      <c r="AV142" s="1390"/>
      <c r="AW142" s="1391"/>
      <c r="AX142" s="1598"/>
      <c r="AY142" s="1599"/>
      <c r="AZ142" s="1802"/>
      <c r="BA142" s="1391"/>
      <c r="BB142" s="1391"/>
      <c r="BC142" s="1391"/>
      <c r="BD142" s="1390"/>
      <c r="BE142" s="1391"/>
      <c r="BF142" s="1391"/>
      <c r="BG142" s="1766"/>
      <c r="BH142" s="1390"/>
      <c r="BI142" s="1391"/>
      <c r="BJ142" s="1391"/>
      <c r="BK142" s="1766"/>
      <c r="BL142" s="295"/>
      <c r="BM142" s="365"/>
      <c r="BN142" s="365"/>
      <c r="BO142" s="365"/>
      <c r="BP142" s="365"/>
      <c r="BQ142" s="365"/>
      <c r="BR142" s="253"/>
      <c r="BS142" s="253"/>
      <c r="BT142" s="253"/>
      <c r="BU142" s="253"/>
      <c r="BV142" s="1946"/>
      <c r="BW142" s="13"/>
      <c r="BX142" s="13"/>
      <c r="BY142" s="13"/>
      <c r="BZ142" s="13"/>
      <c r="CA142" s="1664"/>
      <c r="CB142" s="1408"/>
      <c r="CC142" s="1339"/>
      <c r="CD142" s="1339"/>
    </row>
    <row r="143" spans="1:82" s="7" customFormat="1" ht="14.25" customHeight="1">
      <c r="B143" s="657"/>
      <c r="C143" s="380"/>
      <c r="D143" s="608"/>
      <c r="E143" s="608"/>
      <c r="F143" s="608"/>
      <c r="G143" s="609"/>
      <c r="H143" s="608"/>
      <c r="I143" s="608"/>
      <c r="J143" s="608"/>
      <c r="K143" s="609"/>
      <c r="L143" s="608"/>
      <c r="M143" s="608"/>
      <c r="N143" s="608"/>
      <c r="O143" s="609"/>
      <c r="P143" s="608"/>
      <c r="Q143" s="608"/>
      <c r="R143" s="608"/>
      <c r="S143" s="609"/>
      <c r="T143" s="519"/>
      <c r="U143" s="52"/>
      <c r="V143" s="52"/>
      <c r="W143" s="499"/>
      <c r="X143" s="529"/>
      <c r="Y143" s="52"/>
      <c r="Z143" s="52"/>
      <c r="AA143" s="499"/>
      <c r="AB143" s="529"/>
      <c r="AC143" s="52"/>
      <c r="AD143" s="52"/>
      <c r="AE143" s="52"/>
      <c r="AF143" s="561"/>
      <c r="AG143" s="529"/>
      <c r="AH143" s="529"/>
      <c r="AI143" s="529"/>
      <c r="AJ143" s="1390"/>
      <c r="AK143" s="1391"/>
      <c r="AL143" s="1391"/>
      <c r="AM143" s="1392"/>
      <c r="AN143" s="1390"/>
      <c r="AO143" s="1391"/>
      <c r="AP143" s="1391"/>
      <c r="AQ143" s="1392"/>
      <c r="AR143" s="1390"/>
      <c r="AS143" s="1391"/>
      <c r="AT143" s="1391"/>
      <c r="AU143" s="1392"/>
      <c r="AV143" s="1390"/>
      <c r="AW143" s="1391"/>
      <c r="AX143" s="1598"/>
      <c r="AY143" s="1599"/>
      <c r="AZ143" s="1802"/>
      <c r="BA143" s="1391"/>
      <c r="BB143" s="1391"/>
      <c r="BC143" s="1391"/>
      <c r="BD143" s="1390"/>
      <c r="BE143" s="1391"/>
      <c r="BF143" s="1391"/>
      <c r="BG143" s="1766"/>
      <c r="BH143" s="1390"/>
      <c r="BI143" s="1391"/>
      <c r="BJ143" s="1391"/>
      <c r="BK143" s="1766"/>
      <c r="BL143" s="295"/>
      <c r="BM143" s="365"/>
      <c r="BN143" s="365"/>
      <c r="BO143" s="365"/>
      <c r="BP143" s="365"/>
      <c r="BQ143" s="365"/>
      <c r="BR143" s="253"/>
      <c r="BS143" s="253"/>
      <c r="BT143" s="253"/>
      <c r="BU143" s="253"/>
      <c r="BV143" s="1946"/>
      <c r="BW143" s="13"/>
      <c r="BX143" s="13"/>
      <c r="BY143" s="13"/>
      <c r="BZ143" s="13"/>
      <c r="CA143" s="1664"/>
      <c r="CB143" s="1408"/>
      <c r="CC143" s="1339"/>
      <c r="CD143" s="1339"/>
    </row>
    <row r="144" spans="1:82" s="924" customFormat="1" ht="14.25" customHeight="1">
      <c r="B144" s="953" t="s">
        <v>475</v>
      </c>
      <c r="C144" s="944"/>
      <c r="D144" s="939"/>
      <c r="E144" s="939"/>
      <c r="F144" s="939"/>
      <c r="G144" s="940"/>
      <c r="H144" s="939"/>
      <c r="I144" s="939"/>
      <c r="J144" s="939"/>
      <c r="K144" s="940"/>
      <c r="L144" s="939"/>
      <c r="M144" s="939"/>
      <c r="N144" s="939"/>
      <c r="O144" s="940"/>
      <c r="P144" s="939"/>
      <c r="Q144" s="939"/>
      <c r="R144" s="939"/>
      <c r="S144" s="940"/>
      <c r="T144" s="941"/>
      <c r="U144" s="942"/>
      <c r="V144" s="942"/>
      <c r="W144" s="943"/>
      <c r="X144" s="941"/>
      <c r="Y144" s="942"/>
      <c r="Z144" s="942"/>
      <c r="AA144" s="943"/>
      <c r="AB144" s="941"/>
      <c r="AC144" s="942"/>
      <c r="AD144" s="942"/>
      <c r="AE144" s="942"/>
      <c r="AF144" s="1061" t="str">
        <f t="shared" ref="AF144:BK144" si="678">+AF$7</f>
        <v>F1Q12A</v>
      </c>
      <c r="AG144" s="1062" t="str">
        <f t="shared" si="678"/>
        <v>F2Q12A</v>
      </c>
      <c r="AH144" s="1062" t="str">
        <f t="shared" si="678"/>
        <v>F3Q12A</v>
      </c>
      <c r="AI144" s="1062" t="str">
        <f t="shared" si="678"/>
        <v>F4Q12A</v>
      </c>
      <c r="AJ144" s="1061" t="str">
        <f t="shared" si="678"/>
        <v>F1Q13A</v>
      </c>
      <c r="AK144" s="1062" t="str">
        <f t="shared" si="678"/>
        <v>F2Q13A</v>
      </c>
      <c r="AL144" s="1062" t="str">
        <f t="shared" si="678"/>
        <v>F3Q13A</v>
      </c>
      <c r="AM144" s="1063" t="str">
        <f t="shared" si="678"/>
        <v>F4Q13A</v>
      </c>
      <c r="AN144" s="1061" t="str">
        <f t="shared" si="678"/>
        <v>F1Q14A</v>
      </c>
      <c r="AO144" s="1062" t="str">
        <f t="shared" si="678"/>
        <v>F2Q14A</v>
      </c>
      <c r="AP144" s="1062" t="str">
        <f t="shared" si="678"/>
        <v>F3Q14A</v>
      </c>
      <c r="AQ144" s="1063" t="str">
        <f t="shared" si="678"/>
        <v>F4Q14A</v>
      </c>
      <c r="AR144" s="1061" t="str">
        <f t="shared" si="678"/>
        <v>F1Q15A</v>
      </c>
      <c r="AS144" s="1062" t="str">
        <f t="shared" si="678"/>
        <v>F2Q15A</v>
      </c>
      <c r="AT144" s="1062" t="str">
        <f t="shared" si="678"/>
        <v>F3Q15A</v>
      </c>
      <c r="AU144" s="1063" t="str">
        <f t="shared" si="678"/>
        <v>F4Q15A</v>
      </c>
      <c r="AV144" s="1061" t="str">
        <f t="shared" si="678"/>
        <v>F1Q16A</v>
      </c>
      <c r="AW144" s="1062" t="str">
        <f t="shared" si="678"/>
        <v>C2Q16A</v>
      </c>
      <c r="AX144" s="1604" t="str">
        <f t="shared" si="678"/>
        <v>F3Q16A</v>
      </c>
      <c r="AY144" s="1605" t="str">
        <f t="shared" si="678"/>
        <v>F4Q16A</v>
      </c>
      <c r="AZ144" s="1805" t="str">
        <f t="shared" si="678"/>
        <v>F1Q17A</v>
      </c>
      <c r="BA144" s="1062" t="str">
        <f t="shared" si="678"/>
        <v>C2Q17A</v>
      </c>
      <c r="BB144" s="1062" t="str">
        <f t="shared" si="678"/>
        <v>C3Q17A</v>
      </c>
      <c r="BC144" s="1062" t="str">
        <f t="shared" si="678"/>
        <v>F4Q17A</v>
      </c>
      <c r="BD144" s="1061" t="str">
        <f t="shared" si="678"/>
        <v>F1Q18A</v>
      </c>
      <c r="BE144" s="1062" t="str">
        <f t="shared" si="678"/>
        <v>F2Q18E</v>
      </c>
      <c r="BF144" s="1062" t="str">
        <f t="shared" si="678"/>
        <v>F3Q18E</v>
      </c>
      <c r="BG144" s="1063" t="str">
        <f t="shared" si="678"/>
        <v>F4Q18E</v>
      </c>
      <c r="BH144" s="1061" t="str">
        <f t="shared" si="678"/>
        <v>F1Q19E</v>
      </c>
      <c r="BI144" s="1062" t="str">
        <f t="shared" si="678"/>
        <v>F2Q19E</v>
      </c>
      <c r="BJ144" s="1062" t="str">
        <f t="shared" si="678"/>
        <v>F3Q19E</v>
      </c>
      <c r="BK144" s="1063" t="str">
        <f t="shared" si="678"/>
        <v>F4Q19E</v>
      </c>
      <c r="BL144" s="1064"/>
      <c r="BM144" s="1066" t="str">
        <f t="shared" ref="BM144:BQ144" si="679">+BM$7</f>
        <v>FY2005A</v>
      </c>
      <c r="BN144" s="1066" t="str">
        <f t="shared" si="679"/>
        <v>FY2006A</v>
      </c>
      <c r="BO144" s="1066" t="str">
        <f t="shared" si="679"/>
        <v>FY2007A</v>
      </c>
      <c r="BP144" s="1066" t="str">
        <f t="shared" si="679"/>
        <v>FY2008A</v>
      </c>
      <c r="BQ144" s="1066" t="str">
        <f t="shared" si="679"/>
        <v>FY2009A</v>
      </c>
      <c r="BR144" s="1066" t="str">
        <f t="shared" ref="BR144:CA144" si="680">+BR$7</f>
        <v>FY2010A</v>
      </c>
      <c r="BS144" s="1066" t="str">
        <f t="shared" si="680"/>
        <v>FY2011A</v>
      </c>
      <c r="BT144" s="1066" t="str">
        <f t="shared" si="680"/>
        <v>FY2012A</v>
      </c>
      <c r="BU144" s="1066" t="str">
        <f t="shared" si="680"/>
        <v>FY2013A</v>
      </c>
      <c r="BV144" s="1065" t="str">
        <f t="shared" si="680"/>
        <v>FY2014A</v>
      </c>
      <c r="BW144" s="1066" t="str">
        <f t="shared" si="680"/>
        <v>FY2015A</v>
      </c>
      <c r="BX144" s="1066" t="str">
        <f t="shared" si="680"/>
        <v>FY2016A</v>
      </c>
      <c r="BY144" s="1659" t="str">
        <f t="shared" si="680"/>
        <v>FY2017A</v>
      </c>
      <c r="BZ144" s="1659" t="str">
        <f t="shared" si="680"/>
        <v>FY2018E</v>
      </c>
      <c r="CA144" s="1463" t="str">
        <f t="shared" si="680"/>
        <v>FY2019E</v>
      </c>
      <c r="CB144" s="1408"/>
      <c r="CC144" s="1342"/>
      <c r="CD144" s="1342"/>
    </row>
    <row r="145" spans="2:82" s="924" customFormat="1" ht="14.25" customHeight="1">
      <c r="B145" s="318"/>
      <c r="C145" s="937"/>
      <c r="D145" s="926"/>
      <c r="E145" s="926"/>
      <c r="F145" s="926"/>
      <c r="G145" s="927"/>
      <c r="H145" s="926"/>
      <c r="I145" s="926"/>
      <c r="J145" s="926"/>
      <c r="K145" s="927"/>
      <c r="L145" s="926"/>
      <c r="M145" s="926"/>
      <c r="N145" s="926"/>
      <c r="O145" s="927"/>
      <c r="P145" s="926"/>
      <c r="Q145" s="926"/>
      <c r="R145" s="926"/>
      <c r="S145" s="927"/>
      <c r="T145" s="928"/>
      <c r="U145" s="929"/>
      <c r="V145" s="929"/>
      <c r="W145" s="930"/>
      <c r="X145" s="928"/>
      <c r="Y145" s="929"/>
      <c r="Z145" s="929"/>
      <c r="AA145" s="930"/>
      <c r="AB145" s="928"/>
      <c r="AC145" s="929"/>
      <c r="AD145" s="929"/>
      <c r="AE145" s="929"/>
      <c r="AF145" s="931"/>
      <c r="AG145" s="932"/>
      <c r="AH145" s="932"/>
      <c r="AI145" s="932"/>
      <c r="AJ145" s="931"/>
      <c r="AK145" s="932"/>
      <c r="AL145" s="1067" t="s">
        <v>373</v>
      </c>
      <c r="AM145" s="933"/>
      <c r="AN145" s="931"/>
      <c r="AO145" s="932"/>
      <c r="AP145" s="932"/>
      <c r="AQ145" s="1016" t="s">
        <v>373</v>
      </c>
      <c r="AR145" s="973"/>
      <c r="AS145" s="971"/>
      <c r="AT145" s="1223"/>
      <c r="AU145" s="972"/>
      <c r="AV145" s="973"/>
      <c r="AW145" s="971"/>
      <c r="AX145" s="1223" t="s">
        <v>373</v>
      </c>
      <c r="AY145" s="1606"/>
      <c r="AZ145" s="1806"/>
      <c r="BA145" s="971"/>
      <c r="BB145" s="1223"/>
      <c r="BC145" s="971"/>
      <c r="BD145" s="973"/>
      <c r="BE145" s="971"/>
      <c r="BF145" s="1223"/>
      <c r="BG145" s="1768"/>
      <c r="BH145" s="973"/>
      <c r="BI145" s="971"/>
      <c r="BJ145" s="1223"/>
      <c r="BK145" s="1768"/>
      <c r="BL145" s="934"/>
      <c r="BM145" s="935"/>
      <c r="BN145" s="935"/>
      <c r="BO145" s="935"/>
      <c r="BP145" s="935"/>
      <c r="BQ145" s="935"/>
      <c r="BR145" s="936"/>
      <c r="BS145" s="936"/>
      <c r="BT145" s="936"/>
      <c r="BU145" s="936"/>
      <c r="BV145" s="1984"/>
      <c r="BW145" s="1985"/>
      <c r="BX145" s="1985"/>
      <c r="BY145" s="1985"/>
      <c r="BZ145" s="1985"/>
      <c r="CA145" s="1986"/>
      <c r="CB145" s="1408"/>
      <c r="CC145" s="1342"/>
      <c r="CD145" s="1342"/>
    </row>
    <row r="146" spans="2:82" s="985" customFormat="1" ht="14.25" customHeight="1">
      <c r="B146" s="316" t="s">
        <v>476</v>
      </c>
      <c r="C146" s="975"/>
      <c r="D146" s="968"/>
      <c r="E146" s="968"/>
      <c r="F146" s="968"/>
      <c r="G146" s="969"/>
      <c r="H146" s="968"/>
      <c r="I146" s="968"/>
      <c r="J146" s="968"/>
      <c r="K146" s="969"/>
      <c r="L146" s="968"/>
      <c r="M146" s="968"/>
      <c r="N146" s="968"/>
      <c r="O146" s="969"/>
      <c r="P146" s="968"/>
      <c r="Q146" s="968"/>
      <c r="R146" s="968"/>
      <c r="S146" s="969"/>
      <c r="T146" s="1377">
        <v>53.473912439056221</v>
      </c>
      <c r="U146" s="1377">
        <v>30.251013556401631</v>
      </c>
      <c r="V146" s="1377">
        <v>15.912348272408508</v>
      </c>
      <c r="W146" s="1378">
        <v>89.508929550172979</v>
      </c>
      <c r="X146" s="1377">
        <v>74.646712888832553</v>
      </c>
      <c r="Y146" s="1377">
        <v>57.965001290322562</v>
      </c>
      <c r="Z146" s="1377">
        <v>39.869145000000117</v>
      </c>
      <c r="AA146" s="1378">
        <v>40.668127040680702</v>
      </c>
      <c r="AB146" s="1377">
        <v>55.323362889147006</v>
      </c>
      <c r="AC146" s="1377">
        <v>26.869041692594919</v>
      </c>
      <c r="AD146" s="1377">
        <v>39.01454087022131</v>
      </c>
      <c r="AE146" s="1377">
        <v>72.940788293897867</v>
      </c>
      <c r="AF146" s="1219">
        <f>AF200-AF111</f>
        <v>45.089484434490146</v>
      </c>
      <c r="AG146" s="1220">
        <f>AG200-AG111</f>
        <v>34.833686360185425</v>
      </c>
      <c r="AH146" s="1220">
        <f>AH200-AH111</f>
        <v>20.743066374078467</v>
      </c>
      <c r="AI146" s="1220">
        <f>AI200-AI111</f>
        <v>9.915731551436977</v>
      </c>
      <c r="AJ146" s="1221">
        <f>+AJ200-AJ111</f>
        <v>-47.159700000000271</v>
      </c>
      <c r="AK146" s="1222">
        <f>+AK200-AK111</f>
        <v>-51.232500000000073</v>
      </c>
      <c r="AL146" s="970">
        <f t="shared" ref="AL146:AU146" si="681">+AL161+AL175+AL193+AL197</f>
        <v>423.5</v>
      </c>
      <c r="AM146" s="970">
        <f>+AM161+AM175+AM193+AM197</f>
        <v>586.49999999999955</v>
      </c>
      <c r="AN146" s="984">
        <f t="shared" si="681"/>
        <v>423.50000000000011</v>
      </c>
      <c r="AO146" s="970">
        <f t="shared" si="681"/>
        <v>500.5</v>
      </c>
      <c r="AP146" s="970">
        <f t="shared" si="681"/>
        <v>535.50000000000023</v>
      </c>
      <c r="AQ146" s="970">
        <f t="shared" si="681"/>
        <v>464.5</v>
      </c>
      <c r="AR146" s="984">
        <f>+AR161+AR175+AR193+AR197</f>
        <v>398.54053143610497</v>
      </c>
      <c r="AS146" s="970">
        <f>+AS161+AS175+AS193+AS197</f>
        <v>486.47898134921115</v>
      </c>
      <c r="AT146" s="970">
        <f t="shared" si="681"/>
        <v>556.65293041667167</v>
      </c>
      <c r="AU146" s="970">
        <f t="shared" si="681"/>
        <v>407.35840500000006</v>
      </c>
      <c r="AV146" s="984">
        <f>+AV161+AV175+AV193+AV197</f>
        <v>291.29000000000002</v>
      </c>
      <c r="AW146" s="970">
        <f>+AW161+AW175+AW193+AW197</f>
        <v>507.26713805406393</v>
      </c>
      <c r="AX146" s="1496">
        <f t="shared" ref="AX146" si="682">+AX161+AX175+AX193+AX197</f>
        <v>747.41517610125004</v>
      </c>
      <c r="AY146" s="1496">
        <f>+AY161+AY175+AY193+AY197</f>
        <v>419.3746003078125</v>
      </c>
      <c r="AZ146" s="1498">
        <f>+AZ161+AZ175+AZ193+AZ197</f>
        <v>301.25288961103126</v>
      </c>
      <c r="BA146" s="970">
        <f t="shared" ref="BA146:BC146" si="683">+BA161+BA175+BA193+BA197</f>
        <v>467.10349150462503</v>
      </c>
      <c r="BB146" s="970">
        <f>+BB161+BB175+BB193+BB197</f>
        <v>697.54750261406252</v>
      </c>
      <c r="BC146" s="970">
        <f t="shared" si="683"/>
        <v>374.43213014763751</v>
      </c>
      <c r="BD146" s="984">
        <f>+BD161+BD175+BD193+BD197</f>
        <v>368.41432007116316</v>
      </c>
      <c r="BE146" s="970">
        <f t="shared" ref="BE146:BG146" si="684">+BE161+BE175+BE193+BE197</f>
        <v>444.37143941625004</v>
      </c>
      <c r="BF146" s="970">
        <f>+BF161+BF175+BF193+BF197</f>
        <v>465.08835310680001</v>
      </c>
      <c r="BG146" s="1769">
        <f t="shared" si="684"/>
        <v>387.11119784362506</v>
      </c>
      <c r="BH146" s="984">
        <f>+BH161+BH175+BH193+BH197</f>
        <v>321.41479913544885</v>
      </c>
      <c r="BI146" s="970">
        <f t="shared" ref="BI146" si="685">+BI161+BI175+BI193+BI197</f>
        <v>387.29017690316101</v>
      </c>
      <c r="BJ146" s="970">
        <f>+BJ161+BJ175+BJ193+BJ197</f>
        <v>405.18959033179624</v>
      </c>
      <c r="BK146" s="1769">
        <f t="shared" ref="BK146" si="686">+BK161+BK175+BK193+BK197</f>
        <v>338.24198913066454</v>
      </c>
      <c r="BL146" s="974"/>
      <c r="BM146" s="975"/>
      <c r="BN146" s="975"/>
      <c r="BO146" s="975"/>
      <c r="BP146" s="975"/>
      <c r="BQ146" s="975"/>
      <c r="BR146" s="975"/>
      <c r="BS146" s="970"/>
      <c r="BT146" s="970"/>
      <c r="BU146" s="970">
        <f>+SUM(AJ146:AM146)</f>
        <v>911.6077999999992</v>
      </c>
      <c r="BV146" s="1987">
        <f>+SUM(AN146:AQ146)</f>
        <v>1924.0000000000005</v>
      </c>
      <c r="BW146" s="975">
        <f>+SUM(AR146:AU146)</f>
        <v>1849.0308482019877</v>
      </c>
      <c r="BX146" s="975">
        <f>+BX161+BX175+BX193</f>
        <v>1965.3469144631265</v>
      </c>
      <c r="BY146" s="975">
        <f>+BY161+BY175+BY193</f>
        <v>1840.3360138773564</v>
      </c>
      <c r="BZ146" s="975">
        <f>+BZ161+BZ175+BZ193</f>
        <v>1664.9853104378383</v>
      </c>
      <c r="CA146" s="1988">
        <f>+CA161+CA175+CA193</f>
        <v>1452.1365555010707</v>
      </c>
      <c r="CB146" s="1408"/>
      <c r="CC146" s="1343"/>
      <c r="CD146" s="1343"/>
    </row>
    <row r="147" spans="2:82" s="985" customFormat="1" ht="14.25" customHeight="1">
      <c r="B147" s="1354" t="s">
        <v>390</v>
      </c>
      <c r="C147" s="975"/>
      <c r="D147" s="968"/>
      <c r="E147" s="968"/>
      <c r="F147" s="968"/>
      <c r="G147" s="969"/>
      <c r="H147" s="968"/>
      <c r="I147" s="968"/>
      <c r="J147" s="968"/>
      <c r="K147" s="969"/>
      <c r="L147" s="968"/>
      <c r="M147" s="968"/>
      <c r="N147" s="968"/>
      <c r="O147" s="969"/>
      <c r="P147" s="968"/>
      <c r="Q147" s="968"/>
      <c r="R147" s="968"/>
      <c r="S147" s="969"/>
      <c r="T147" s="983"/>
      <c r="U147" s="1224">
        <f t="shared" ref="U147:AU147" si="687">+U146/T146-1</f>
        <v>-0.43428464130283229</v>
      </c>
      <c r="V147" s="1224">
        <f t="shared" si="687"/>
        <v>-0.47398958244024902</v>
      </c>
      <c r="W147" s="1225">
        <f t="shared" si="687"/>
        <v>4.6251238357683846</v>
      </c>
      <c r="X147" s="1224">
        <f t="shared" si="687"/>
        <v>-0.16604172048565968</v>
      </c>
      <c r="Y147" s="1224">
        <f t="shared" si="687"/>
        <v>-0.22347550150471052</v>
      </c>
      <c r="Z147" s="1224">
        <f t="shared" si="687"/>
        <v>-0.31218590334688057</v>
      </c>
      <c r="AA147" s="1225">
        <f t="shared" si="687"/>
        <v>2.0040109730985689E-2</v>
      </c>
      <c r="AB147" s="1224">
        <f t="shared" si="687"/>
        <v>0.36036171112100979</v>
      </c>
      <c r="AC147" s="1224">
        <f t="shared" si="687"/>
        <v>-0.51432739643045233</v>
      </c>
      <c r="AD147" s="1224">
        <f t="shared" si="687"/>
        <v>0.452025766924679</v>
      </c>
      <c r="AE147" s="1224">
        <f t="shared" si="687"/>
        <v>0.86957956359218613</v>
      </c>
      <c r="AF147" s="1226">
        <f t="shared" si="687"/>
        <v>-0.38183442365864484</v>
      </c>
      <c r="AG147" s="1227">
        <f t="shared" si="687"/>
        <v>-0.22745432117781739</v>
      </c>
      <c r="AH147" s="1227">
        <f t="shared" si="687"/>
        <v>-0.40451130668192514</v>
      </c>
      <c r="AI147" s="1227">
        <f t="shared" si="687"/>
        <v>-0.52197368640597164</v>
      </c>
      <c r="AJ147" s="1228">
        <f t="shared" si="687"/>
        <v>-5.7560484826927309</v>
      </c>
      <c r="AK147" s="1229">
        <f t="shared" si="687"/>
        <v>8.6361872530991146E-2</v>
      </c>
      <c r="AL147" s="1230">
        <f t="shared" si="687"/>
        <v>-9.2662372517444869</v>
      </c>
      <c r="AM147" s="1230">
        <f t="shared" si="687"/>
        <v>0.38488783943329286</v>
      </c>
      <c r="AN147" s="1231">
        <f t="shared" si="687"/>
        <v>-0.27791986359761223</v>
      </c>
      <c r="AO147" s="1230">
        <f t="shared" si="687"/>
        <v>0.18181818181818143</v>
      </c>
      <c r="AP147" s="1230">
        <f t="shared" si="687"/>
        <v>6.9930069930070449E-2</v>
      </c>
      <c r="AQ147" s="1232">
        <f t="shared" si="687"/>
        <v>-0.13258636788048594</v>
      </c>
      <c r="AR147" s="1231">
        <f t="shared" si="687"/>
        <v>-0.14200100874896671</v>
      </c>
      <c r="AS147" s="1230">
        <f t="shared" si="687"/>
        <v>0.22065120853888542</v>
      </c>
      <c r="AT147" s="1230">
        <f t="shared" si="687"/>
        <v>0.14424867621790893</v>
      </c>
      <c r="AU147" s="1232">
        <f t="shared" si="687"/>
        <v>-0.26820037631872362</v>
      </c>
      <c r="AV147" s="1231">
        <f t="shared" ref="AV147" si="688">+AV146/AU146-1</f>
        <v>-0.28492944683441601</v>
      </c>
      <c r="AW147" s="1230">
        <f t="shared" ref="AW147:AZ147" si="689">+AW146/AV146-1</f>
        <v>0.74145057521392399</v>
      </c>
      <c r="AX147" s="1230">
        <f t="shared" si="689"/>
        <v>0.47341532701767775</v>
      </c>
      <c r="AY147" s="1607">
        <f t="shared" si="689"/>
        <v>-0.43890007359042293</v>
      </c>
      <c r="AZ147" s="1231">
        <f t="shared" si="689"/>
        <v>-0.28166157561779437</v>
      </c>
      <c r="BA147" s="1230">
        <f t="shared" ref="BA147" si="690">+BA146/AZ146-1</f>
        <v>0.55053613629311604</v>
      </c>
      <c r="BB147" s="1230">
        <f t="shared" ref="BB147" si="691">+BB146/BA146-1</f>
        <v>0.49334679637511503</v>
      </c>
      <c r="BC147" s="1230">
        <f t="shared" ref="BC147" si="692">+BC146/BB146-1</f>
        <v>-0.46321629889799421</v>
      </c>
      <c r="BD147" s="1231">
        <f t="shared" ref="BD147" si="693">+BD146/BC146-1</f>
        <v>-1.6071831426703542E-2</v>
      </c>
      <c r="BE147" s="1230">
        <f t="shared" ref="BE147" si="694">+BE146/BD146-1</f>
        <v>0.20617309156282237</v>
      </c>
      <c r="BF147" s="1230">
        <f t="shared" ref="BF147" si="695">+BF146/BE146-1</f>
        <v>4.6620713783416923E-2</v>
      </c>
      <c r="BG147" s="1607">
        <f t="shared" ref="BG147" si="696">+BG146/BF146-1</f>
        <v>-0.16766095031682882</v>
      </c>
      <c r="BH147" s="1231">
        <f t="shared" ref="BH147" si="697">+BH146/BG146-1</f>
        <v>-0.1697093731055398</v>
      </c>
      <c r="BI147" s="1230">
        <f t="shared" ref="BI147" si="698">+BI146/BH146-1</f>
        <v>0.20495440143050581</v>
      </c>
      <c r="BJ147" s="1230">
        <f t="shared" ref="BJ147" si="699">+BJ146/BI146-1</f>
        <v>4.6217060220225648E-2</v>
      </c>
      <c r="BK147" s="1607">
        <f t="shared" ref="BK147" si="700">+BK146/BJ146-1</f>
        <v>-0.16522537300701767</v>
      </c>
      <c r="BL147" s="974"/>
      <c r="BM147" s="975"/>
      <c r="BN147" s="975"/>
      <c r="BO147" s="975"/>
      <c r="BP147" s="975"/>
      <c r="BQ147" s="975"/>
      <c r="BR147" s="975"/>
      <c r="BS147" s="970"/>
      <c r="BT147" s="970"/>
      <c r="BU147" s="970"/>
      <c r="BV147" s="1989">
        <f t="shared" ref="BV147:CA147" si="701">+BV146/BU146-1</f>
        <v>1.110556754779854</v>
      </c>
      <c r="BW147" s="1344">
        <f t="shared" si="701"/>
        <v>-3.8965255612272709E-2</v>
      </c>
      <c r="BX147" s="1344">
        <f t="shared" si="701"/>
        <v>6.2906503898648047E-2</v>
      </c>
      <c r="BY147" s="1344">
        <f t="shared" si="701"/>
        <v>-6.360754921474987E-2</v>
      </c>
      <c r="BZ147" s="1344">
        <f t="shared" si="701"/>
        <v>-9.5281895326319366E-2</v>
      </c>
      <c r="CA147" s="1990">
        <f t="shared" si="701"/>
        <v>-0.12783821791244221</v>
      </c>
      <c r="CB147" s="1408"/>
    </row>
    <row r="148" spans="2:82" s="924" customFormat="1" ht="14.25" customHeight="1">
      <c r="B148" s="318" t="s">
        <v>508</v>
      </c>
      <c r="C148" s="937"/>
      <c r="D148" s="926"/>
      <c r="E148" s="926"/>
      <c r="F148" s="926"/>
      <c r="G148" s="927"/>
      <c r="H148" s="926"/>
      <c r="I148" s="926"/>
      <c r="J148" s="926"/>
      <c r="K148" s="927"/>
      <c r="L148" s="926"/>
      <c r="M148" s="926"/>
      <c r="N148" s="926"/>
      <c r="O148" s="927"/>
      <c r="P148" s="926"/>
      <c r="Q148" s="926"/>
      <c r="R148" s="926"/>
      <c r="S148" s="927"/>
      <c r="T148" s="928"/>
      <c r="U148" s="1368"/>
      <c r="V148" s="1368"/>
      <c r="W148" s="1016"/>
      <c r="X148" s="1369"/>
      <c r="Y148" s="1368"/>
      <c r="Z148" s="1368"/>
      <c r="AA148" s="1016"/>
      <c r="AB148" s="1368"/>
      <c r="AC148" s="1368"/>
      <c r="AD148" s="1368"/>
      <c r="AE148" s="1016"/>
      <c r="AF148" s="1217"/>
      <c r="AG148" s="1218"/>
      <c r="AH148" s="1218"/>
      <c r="AI148" s="1218"/>
      <c r="AJ148" s="1217"/>
      <c r="AK148" s="1218"/>
      <c r="AL148" s="971">
        <f t="shared" ref="AL148:BL148" si="702">+AL161+AL175</f>
        <v>383.5</v>
      </c>
      <c r="AM148" s="971">
        <f t="shared" si="702"/>
        <v>524.49999999999955</v>
      </c>
      <c r="AN148" s="973">
        <f t="shared" si="702"/>
        <v>416.00000000000011</v>
      </c>
      <c r="AO148" s="971">
        <f t="shared" si="702"/>
        <v>493</v>
      </c>
      <c r="AP148" s="971">
        <f t="shared" si="702"/>
        <v>528.00000000000023</v>
      </c>
      <c r="AQ148" s="972">
        <f t="shared" si="702"/>
        <v>438.54999999999995</v>
      </c>
      <c r="AR148" s="973">
        <f t="shared" si="702"/>
        <v>389.54053143610497</v>
      </c>
      <c r="AS148" s="971">
        <f t="shared" si="702"/>
        <v>478.97898134921115</v>
      </c>
      <c r="AT148" s="971">
        <f t="shared" si="702"/>
        <v>549.15293041667167</v>
      </c>
      <c r="AU148" s="972">
        <f t="shared" si="702"/>
        <v>396.10840500000006</v>
      </c>
      <c r="AV148" s="973">
        <f t="shared" ref="AV148:AZ148" si="703">+AV161+AV175</f>
        <v>288.29000000000002</v>
      </c>
      <c r="AW148" s="971">
        <f t="shared" si="703"/>
        <v>504.26713805406393</v>
      </c>
      <c r="AX148" s="1608">
        <f t="shared" si="703"/>
        <v>741.41517610125004</v>
      </c>
      <c r="AY148" s="1606">
        <f t="shared" si="703"/>
        <v>413.3746003078125</v>
      </c>
      <c r="AZ148" s="1806">
        <f t="shared" si="703"/>
        <v>298.25288961103126</v>
      </c>
      <c r="BA148" s="971">
        <f t="shared" ref="BA148:BC148" si="704">+BA161+BA175</f>
        <v>464.10349150462503</v>
      </c>
      <c r="BB148" s="971">
        <f t="shared" si="704"/>
        <v>691.54750261406252</v>
      </c>
      <c r="BC148" s="971">
        <f t="shared" si="704"/>
        <v>368.43213014763751</v>
      </c>
      <c r="BD148" s="973">
        <f t="shared" ref="BD148:BG148" si="705">+BD161+BD175</f>
        <v>365.41432007116316</v>
      </c>
      <c r="BE148" s="971">
        <f t="shared" si="705"/>
        <v>441.37143941625004</v>
      </c>
      <c r="BF148" s="971">
        <f t="shared" si="705"/>
        <v>462.08835310680001</v>
      </c>
      <c r="BG148" s="1768">
        <f t="shared" si="705"/>
        <v>384.11119784362506</v>
      </c>
      <c r="BH148" s="973">
        <f t="shared" ref="BH148:BK148" si="706">+BH161+BH175</f>
        <v>321.41479913544885</v>
      </c>
      <c r="BI148" s="971">
        <f t="shared" si="706"/>
        <v>387.29017690316101</v>
      </c>
      <c r="BJ148" s="971">
        <f t="shared" si="706"/>
        <v>405.18959033179624</v>
      </c>
      <c r="BK148" s="1768">
        <f t="shared" si="706"/>
        <v>338.24198913066454</v>
      </c>
      <c r="BL148" s="1069">
        <f t="shared" si="702"/>
        <v>0</v>
      </c>
      <c r="BM148" s="935"/>
      <c r="BN148" s="935"/>
      <c r="BO148" s="935"/>
      <c r="BP148" s="935"/>
      <c r="BQ148" s="935"/>
      <c r="BR148" s="971"/>
      <c r="BS148" s="971"/>
      <c r="BT148" s="971"/>
      <c r="BU148" s="971">
        <f t="shared" ref="BU148:BZ148" si="707">+BU161+BU175</f>
        <v>907.99999999999955</v>
      </c>
      <c r="BV148" s="1991">
        <f t="shared" si="707"/>
        <v>1875.5500000000002</v>
      </c>
      <c r="BW148" s="971">
        <f t="shared" si="707"/>
        <v>1813.780848201988</v>
      </c>
      <c r="BX148" s="971">
        <f t="shared" si="707"/>
        <v>1947.3469144631265</v>
      </c>
      <c r="BY148" s="971">
        <f t="shared" si="707"/>
        <v>1822.3360138773564</v>
      </c>
      <c r="BZ148" s="971">
        <f t="shared" si="707"/>
        <v>1652.9853104378383</v>
      </c>
      <c r="CA148" s="1768">
        <f t="shared" ref="CA148" si="708">+CA161+CA175</f>
        <v>1452.1365555010707</v>
      </c>
      <c r="CB148" s="1408"/>
    </row>
    <row r="149" spans="2:82" s="924" customFormat="1" ht="14.25" customHeight="1">
      <c r="B149" s="410" t="s">
        <v>509</v>
      </c>
      <c r="C149" s="937"/>
      <c r="D149" s="926"/>
      <c r="E149" s="926"/>
      <c r="F149" s="926"/>
      <c r="G149" s="927"/>
      <c r="H149" s="926"/>
      <c r="I149" s="926"/>
      <c r="J149" s="926"/>
      <c r="K149" s="927"/>
      <c r="L149" s="926"/>
      <c r="M149" s="926"/>
      <c r="N149" s="926"/>
      <c r="O149" s="927"/>
      <c r="P149" s="926"/>
      <c r="Q149" s="926"/>
      <c r="R149" s="926"/>
      <c r="S149" s="927"/>
      <c r="T149" s="928"/>
      <c r="U149" s="929"/>
      <c r="V149" s="929"/>
      <c r="W149" s="930"/>
      <c r="X149" s="928"/>
      <c r="Y149" s="929"/>
      <c r="Z149" s="929"/>
      <c r="AA149" s="930"/>
      <c r="AB149" s="928"/>
      <c r="AC149" s="929"/>
      <c r="AD149" s="929"/>
      <c r="AE149" s="929"/>
      <c r="AF149" s="931"/>
      <c r="AG149" s="932"/>
      <c r="AH149" s="932"/>
      <c r="AI149" s="932"/>
      <c r="AJ149" s="931"/>
      <c r="AK149" s="932"/>
      <c r="AL149" s="971">
        <f t="shared" ref="AL149:BL149" si="709">+AL152+AL166</f>
        <v>4.9562499999999998</v>
      </c>
      <c r="AM149" s="971">
        <f t="shared" si="709"/>
        <v>6.743749999999995</v>
      </c>
      <c r="AN149" s="973">
        <f t="shared" si="709"/>
        <v>5.4858247422680426</v>
      </c>
      <c r="AO149" s="971">
        <f t="shared" si="709"/>
        <v>6.4664777880181292</v>
      </c>
      <c r="AP149" s="971">
        <f t="shared" si="709"/>
        <v>6.9500171821305869</v>
      </c>
      <c r="AQ149" s="972">
        <f t="shared" si="709"/>
        <v>5.8389175257731951</v>
      </c>
      <c r="AR149" s="971">
        <f t="shared" si="709"/>
        <v>5.4414999169613827</v>
      </c>
      <c r="AS149" s="971">
        <f t="shared" si="709"/>
        <v>6.8001241027214769</v>
      </c>
      <c r="AT149" s="971">
        <f t="shared" si="709"/>
        <v>7.823555399907379</v>
      </c>
      <c r="AU149" s="1461">
        <f t="shared" si="709"/>
        <v>6.3</v>
      </c>
      <c r="AV149" s="971">
        <f t="shared" ref="AV149:AZ149" si="710">+AV152+AV166</f>
        <v>4.813369220070113</v>
      </c>
      <c r="AW149" s="971">
        <f t="shared" si="710"/>
        <v>8.7760349258585233</v>
      </c>
      <c r="AX149" s="1608">
        <f t="shared" si="710"/>
        <v>12.3</v>
      </c>
      <c r="AY149" s="1609">
        <f t="shared" si="710"/>
        <v>6.875</v>
      </c>
      <c r="AZ149" s="1608">
        <f t="shared" si="710"/>
        <v>4.9075000000000006</v>
      </c>
      <c r="BA149" s="971">
        <f t="shared" ref="BA149:BC149" si="711">+BA152+BA166</f>
        <v>7.1</v>
      </c>
      <c r="BB149" s="971">
        <f t="shared" si="711"/>
        <v>10.7</v>
      </c>
      <c r="BC149" s="971">
        <f t="shared" si="711"/>
        <v>5.7</v>
      </c>
      <c r="BD149" s="973">
        <f t="shared" ref="BD149:BG149" si="712">+BD152+BD166</f>
        <v>5.6829999999999998</v>
      </c>
      <c r="BE149" s="971">
        <f t="shared" si="712"/>
        <v>6.8</v>
      </c>
      <c r="BF149" s="971">
        <f t="shared" si="712"/>
        <v>7.1</v>
      </c>
      <c r="BG149" s="1768">
        <f t="shared" si="712"/>
        <v>6</v>
      </c>
      <c r="BH149" s="973">
        <f t="shared" ref="BH149:BK149" si="713">+BH152+BH166</f>
        <v>5.1147</v>
      </c>
      <c r="BI149" s="971">
        <f t="shared" si="713"/>
        <v>6.12</v>
      </c>
      <c r="BJ149" s="971">
        <f t="shared" si="713"/>
        <v>6.3900000000000006</v>
      </c>
      <c r="BK149" s="1768">
        <f t="shared" si="713"/>
        <v>5.4</v>
      </c>
      <c r="BL149" s="1070">
        <f t="shared" si="709"/>
        <v>0</v>
      </c>
      <c r="BM149" s="935"/>
      <c r="BN149" s="935"/>
      <c r="BO149" s="935"/>
      <c r="BP149" s="935"/>
      <c r="BQ149" s="935"/>
      <c r="BR149" s="971"/>
      <c r="BS149" s="971"/>
      <c r="BT149" s="971"/>
      <c r="BU149" s="971">
        <f>+BU152+BU166</f>
        <v>11.699999999999994</v>
      </c>
      <c r="BV149" s="1991">
        <f>+BV152+BV166</f>
        <v>24.741237238189953</v>
      </c>
      <c r="BW149" s="1076">
        <f>BW152+BW166</f>
        <v>26.365179419590241</v>
      </c>
      <c r="BX149" s="1076">
        <f>BX152+BX166</f>
        <v>32.764404145928637</v>
      </c>
      <c r="BY149" s="1076">
        <f>BY152+BY166</f>
        <v>28.407500000000002</v>
      </c>
      <c r="BZ149" s="1076">
        <f>BZ152+BZ166</f>
        <v>25.582999999999998</v>
      </c>
      <c r="CA149" s="1992">
        <f>CA152+CA166</f>
        <v>23.024699999999999</v>
      </c>
      <c r="CB149" s="1408"/>
    </row>
    <row r="150" spans="2:82" s="924" customFormat="1" ht="14.25" customHeight="1">
      <c r="B150" s="318"/>
      <c r="C150" s="937"/>
      <c r="D150" s="926"/>
      <c r="E150" s="926"/>
      <c r="F150" s="926"/>
      <c r="G150" s="927"/>
      <c r="H150" s="926"/>
      <c r="I150" s="926"/>
      <c r="J150" s="926"/>
      <c r="K150" s="927"/>
      <c r="L150" s="926"/>
      <c r="M150" s="926"/>
      <c r="N150" s="926"/>
      <c r="O150" s="927"/>
      <c r="P150" s="926"/>
      <c r="Q150" s="926"/>
      <c r="R150" s="926"/>
      <c r="S150" s="927"/>
      <c r="T150" s="1372"/>
      <c r="X150" s="1370"/>
      <c r="Y150" s="937"/>
      <c r="Z150" s="937"/>
      <c r="AA150" s="925"/>
      <c r="AB150" s="928"/>
      <c r="AC150" s="929"/>
      <c r="AD150" s="929"/>
      <c r="AE150" s="929"/>
      <c r="AF150" s="931"/>
      <c r="AG150" s="932"/>
      <c r="AH150" s="932"/>
      <c r="AI150" s="932"/>
      <c r="AJ150" s="931"/>
      <c r="AK150" s="932"/>
      <c r="AL150" s="1015"/>
      <c r="AM150" s="932"/>
      <c r="AN150" s="931"/>
      <c r="AO150" s="932"/>
      <c r="AP150" s="932"/>
      <c r="AQ150" s="933"/>
      <c r="AR150" s="931"/>
      <c r="AS150" s="932"/>
      <c r="AT150" s="932"/>
      <c r="AU150" s="933"/>
      <c r="AV150" s="931"/>
      <c r="AW150" s="932"/>
      <c r="AX150" s="1610"/>
      <c r="AY150" s="1611"/>
      <c r="AZ150" s="1807"/>
      <c r="BA150" s="932"/>
      <c r="BB150" s="932"/>
      <c r="BC150" s="932"/>
      <c r="BD150" s="931"/>
      <c r="BE150" s="932"/>
      <c r="BF150" s="932"/>
      <c r="BG150" s="1770"/>
      <c r="BH150" s="931"/>
      <c r="BI150" s="932"/>
      <c r="BJ150" s="932"/>
      <c r="BK150" s="1770"/>
      <c r="BL150" s="934"/>
      <c r="BM150" s="935"/>
      <c r="BN150" s="935"/>
      <c r="BO150" s="935"/>
      <c r="BP150" s="935"/>
      <c r="BQ150" s="935"/>
      <c r="BR150" s="936"/>
      <c r="BS150" s="936"/>
      <c r="BT150" s="936"/>
      <c r="BU150" s="936"/>
      <c r="BV150" s="1993"/>
      <c r="BW150" s="1076"/>
      <c r="BX150" s="937"/>
      <c r="BY150" s="937"/>
      <c r="BZ150" s="937"/>
      <c r="CA150" s="1994"/>
      <c r="CB150" s="1408"/>
    </row>
    <row r="151" spans="2:82" s="924" customFormat="1" ht="14.25" customHeight="1">
      <c r="B151" s="954" t="s">
        <v>466</v>
      </c>
      <c r="C151" s="937"/>
      <c r="D151" s="926"/>
      <c r="E151" s="926"/>
      <c r="F151" s="926"/>
      <c r="G151" s="927"/>
      <c r="H151" s="926"/>
      <c r="I151" s="926"/>
      <c r="J151" s="926"/>
      <c r="K151" s="927"/>
      <c r="L151" s="926"/>
      <c r="M151" s="926"/>
      <c r="N151" s="926"/>
      <c r="O151" s="927"/>
      <c r="P151" s="926"/>
      <c r="Q151" s="926"/>
      <c r="R151" s="926"/>
      <c r="S151" s="927"/>
      <c r="T151" s="928"/>
      <c r="U151" s="929"/>
      <c r="V151" s="929"/>
      <c r="W151" s="929"/>
      <c r="X151" s="1371"/>
      <c r="Y151" s="929"/>
      <c r="Z151" s="929"/>
      <c r="AA151" s="930"/>
      <c r="AB151" s="928"/>
      <c r="AC151" s="929"/>
      <c r="AD151" s="929"/>
      <c r="AE151" s="929"/>
      <c r="AF151" s="931"/>
      <c r="AG151" s="932"/>
      <c r="AH151" s="932"/>
      <c r="AI151" s="932"/>
      <c r="AJ151" s="931"/>
      <c r="AK151" s="932"/>
      <c r="AL151" s="1015"/>
      <c r="AM151" s="1016"/>
      <c r="AN151" s="1017"/>
      <c r="AO151" s="932"/>
      <c r="AP151" s="932"/>
      <c r="AQ151" s="933"/>
      <c r="AR151" s="1017"/>
      <c r="AS151" s="932"/>
      <c r="AT151" s="932"/>
      <c r="AU151" s="933"/>
      <c r="AV151" s="1017"/>
      <c r="AW151" s="932"/>
      <c r="AX151" s="1610"/>
      <c r="AY151" s="1611"/>
      <c r="AZ151" s="893"/>
      <c r="BA151" s="932"/>
      <c r="BB151" s="932"/>
      <c r="BC151" s="932"/>
      <c r="BD151" s="1017"/>
      <c r="BE151" s="932"/>
      <c r="BF151" s="932"/>
      <c r="BG151" s="1770"/>
      <c r="BH151" s="1017"/>
      <c r="BI151" s="932"/>
      <c r="BJ151" s="932"/>
      <c r="BK151" s="1770"/>
      <c r="BL151" s="934"/>
      <c r="BM151" s="935"/>
      <c r="BN151" s="935"/>
      <c r="BO151" s="935"/>
      <c r="BP151" s="935"/>
      <c r="BQ151" s="935"/>
      <c r="BR151" s="936"/>
      <c r="BS151" s="936"/>
      <c r="BT151" s="936"/>
      <c r="BU151" s="936"/>
      <c r="BV151" s="1993"/>
      <c r="BW151" s="937"/>
      <c r="BX151" s="937"/>
      <c r="BY151" s="937"/>
      <c r="BZ151" s="937"/>
      <c r="CA151" s="1994"/>
      <c r="CB151" s="1408"/>
    </row>
    <row r="152" spans="2:82" s="924" customFormat="1" ht="14.25" customHeight="1">
      <c r="B152" s="856" t="s">
        <v>410</v>
      </c>
      <c r="C152" s="937"/>
      <c r="D152" s="926"/>
      <c r="E152" s="926"/>
      <c r="F152" s="926"/>
      <c r="G152" s="927"/>
      <c r="H152" s="926"/>
      <c r="I152" s="926"/>
      <c r="J152" s="926"/>
      <c r="K152" s="927"/>
      <c r="L152" s="926"/>
      <c r="M152" s="926"/>
      <c r="N152" s="926"/>
      <c r="O152" s="927"/>
      <c r="P152" s="926"/>
      <c r="Q152" s="926"/>
      <c r="R152" s="926"/>
      <c r="S152" s="927"/>
      <c r="T152" s="1373"/>
      <c r="U152" s="1374"/>
      <c r="V152" s="1374"/>
      <c r="W152" s="1374"/>
      <c r="X152" s="1375"/>
      <c r="Y152" s="1374"/>
      <c r="Z152" s="1374"/>
      <c r="AA152" s="1376"/>
      <c r="AB152" s="928"/>
      <c r="AC152" s="929"/>
      <c r="AD152" s="929"/>
      <c r="AE152" s="929"/>
      <c r="AF152" s="931"/>
      <c r="AG152" s="932"/>
      <c r="AH152" s="932"/>
      <c r="AI152" s="932"/>
      <c r="AJ152" s="709"/>
      <c r="AK152" s="708"/>
      <c r="AL152" s="1119">
        <v>2.3562499999999997</v>
      </c>
      <c r="AM152" s="1120">
        <v>3.743749999999995</v>
      </c>
      <c r="AN152" s="1236">
        <v>3.4858247422680426</v>
      </c>
      <c r="AO152" s="1119">
        <v>4.6523177158105469</v>
      </c>
      <c r="AP152" s="1119">
        <v>4.6157216494845379</v>
      </c>
      <c r="AQ152" s="1119">
        <v>2.8389175257731951</v>
      </c>
      <c r="AR152" s="1236">
        <v>3.4414999169613827</v>
      </c>
      <c r="AS152" s="1119">
        <v>4.8001241027214769</v>
      </c>
      <c r="AT152" s="1119">
        <v>5.0235553999073792</v>
      </c>
      <c r="AU152" s="1119">
        <v>3.5</v>
      </c>
      <c r="AV152" s="1236">
        <v>2.9133692200701131</v>
      </c>
      <c r="AW152" s="1119">
        <v>5.7760349258585233</v>
      </c>
      <c r="AX152" s="1119">
        <v>6.5</v>
      </c>
      <c r="AY152" s="1119">
        <v>3.5</v>
      </c>
      <c r="AZ152" s="1236">
        <v>2.9075000000000002</v>
      </c>
      <c r="BA152" s="1119">
        <v>4.5</v>
      </c>
      <c r="BB152" s="1246">
        <v>6</v>
      </c>
      <c r="BC152" s="1246">
        <v>3.2</v>
      </c>
      <c r="BD152" s="2194">
        <v>3</v>
      </c>
      <c r="BE152" s="1246">
        <v>4</v>
      </c>
      <c r="BF152" s="1246">
        <v>4.3</v>
      </c>
      <c r="BG152" s="2195">
        <v>3</v>
      </c>
      <c r="BH152" s="2194">
        <f>BD152*0.9</f>
        <v>2.7</v>
      </c>
      <c r="BI152" s="1246">
        <f>BE152*0.9</f>
        <v>3.6</v>
      </c>
      <c r="BJ152" s="1246">
        <f t="shared" ref="BJ152:BK152" si="714">BF152*0.9</f>
        <v>3.87</v>
      </c>
      <c r="BK152" s="1246">
        <f t="shared" si="714"/>
        <v>2.7</v>
      </c>
      <c r="BL152" s="934"/>
      <c r="BM152" s="935"/>
      <c r="BN152" s="935"/>
      <c r="BO152" s="935"/>
      <c r="BP152" s="935"/>
      <c r="BQ152" s="935"/>
      <c r="BR152" s="936"/>
      <c r="BS152" s="936"/>
      <c r="BT152" s="936"/>
      <c r="BU152" s="391">
        <f>SUM(AJ152:AM152)</f>
        <v>6.0999999999999943</v>
      </c>
      <c r="BV152" s="1980">
        <f>+SUM(AN152:AQ152)</f>
        <v>15.592781633336322</v>
      </c>
      <c r="BW152" s="1345">
        <f>+SUM(AR152:AU152)</f>
        <v>16.76517941959024</v>
      </c>
      <c r="BX152" s="1345">
        <f>+SUM(AV152:AY152)</f>
        <v>18.689404145928634</v>
      </c>
      <c r="BY152" s="1345">
        <f>+SUM(AZ152:BC152)</f>
        <v>16.607500000000002</v>
      </c>
      <c r="BZ152" s="1345">
        <f>+SUM(BD152:BG152)</f>
        <v>14.3</v>
      </c>
      <c r="CA152" s="1995">
        <f>+SUM(BH152:BK152)</f>
        <v>12.870000000000001</v>
      </c>
      <c r="CB152" s="1408"/>
    </row>
    <row r="153" spans="2:82" s="924" customFormat="1" ht="14.25" customHeight="1">
      <c r="B153" s="804" t="s">
        <v>390</v>
      </c>
      <c r="C153" s="937"/>
      <c r="D153" s="926"/>
      <c r="E153" s="926"/>
      <c r="F153" s="926"/>
      <c r="G153" s="927"/>
      <c r="H153" s="926"/>
      <c r="I153" s="926"/>
      <c r="J153" s="926"/>
      <c r="K153" s="927"/>
      <c r="L153" s="926"/>
      <c r="M153" s="926"/>
      <c r="N153" s="926"/>
      <c r="O153" s="927"/>
      <c r="P153" s="926"/>
      <c r="Q153" s="926"/>
      <c r="R153" s="926"/>
      <c r="S153" s="927"/>
      <c r="T153" s="928"/>
      <c r="U153" s="929"/>
      <c r="V153" s="929"/>
      <c r="W153" s="929"/>
      <c r="X153" s="1371"/>
      <c r="Y153" s="929"/>
      <c r="Z153" s="929"/>
      <c r="AA153" s="930"/>
      <c r="AB153" s="928"/>
      <c r="AC153" s="929"/>
      <c r="AD153" s="929"/>
      <c r="AE153" s="929"/>
      <c r="AF153" s="931"/>
      <c r="AG153" s="932"/>
      <c r="AH153" s="932"/>
      <c r="AI153" s="932"/>
      <c r="AJ153" s="806"/>
      <c r="AK153" s="549"/>
      <c r="AL153" s="549"/>
      <c r="AM153" s="955">
        <f t="shared" ref="AM153:AU153" si="715">+AM152/AL152-1</f>
        <v>0.58885941644562134</v>
      </c>
      <c r="AN153" s="956">
        <f t="shared" si="715"/>
        <v>-6.8894893551105896E-2</v>
      </c>
      <c r="AO153" s="957">
        <f t="shared" si="715"/>
        <v>0.33463901939703611</v>
      </c>
      <c r="AP153" s="957">
        <f t="shared" si="715"/>
        <v>-7.8662010123771164E-3</v>
      </c>
      <c r="AQ153" s="957">
        <f t="shared" si="715"/>
        <v>-0.38494611647774901</v>
      </c>
      <c r="AR153" s="956">
        <f t="shared" si="715"/>
        <v>0.21225780098140423</v>
      </c>
      <c r="AS153" s="957">
        <f t="shared" si="715"/>
        <v>0.39477675970995518</v>
      </c>
      <c r="AT153" s="957">
        <f t="shared" si="715"/>
        <v>4.6546983453870538E-2</v>
      </c>
      <c r="AU153" s="957">
        <f t="shared" si="715"/>
        <v>-0.3032822928429274</v>
      </c>
      <c r="AV153" s="956">
        <f t="shared" ref="AV153" si="716">+AV152/AU152-1</f>
        <v>-0.16760879426568198</v>
      </c>
      <c r="AW153" s="957">
        <f t="shared" ref="AW153:AZ153" si="717">+AW152/AV152-1</f>
        <v>0.98259626211040874</v>
      </c>
      <c r="AX153" s="909">
        <f t="shared" si="717"/>
        <v>0.12533945577447669</v>
      </c>
      <c r="AY153" s="909">
        <f t="shared" si="717"/>
        <v>-0.46153846153846156</v>
      </c>
      <c r="AZ153" s="910">
        <f t="shared" si="717"/>
        <v>-0.16928571428571426</v>
      </c>
      <c r="BA153" s="957">
        <f t="shared" ref="BA153" si="718">+BA152/AZ152-1</f>
        <v>0.54772141014617359</v>
      </c>
      <c r="BB153" s="2196">
        <f t="shared" ref="BB153" si="719">+BB152/BA152-1</f>
        <v>0.33333333333333326</v>
      </c>
      <c r="BC153" s="2196">
        <f t="shared" ref="BC153" si="720">+BC152/BB152-1</f>
        <v>-0.46666666666666667</v>
      </c>
      <c r="BD153" s="2197">
        <f t="shared" ref="BD153" si="721">+BD152/BC152-1</f>
        <v>-6.25E-2</v>
      </c>
      <c r="BE153" s="2196">
        <f t="shared" ref="BE153" si="722">+BE152/BD152-1</f>
        <v>0.33333333333333326</v>
      </c>
      <c r="BF153" s="2196">
        <f t="shared" ref="BF153" si="723">+BF152/BE152-1</f>
        <v>7.4999999999999956E-2</v>
      </c>
      <c r="BG153" s="2198">
        <f t="shared" ref="BG153" si="724">+BG152/BF152-1</f>
        <v>-0.30232558139534882</v>
      </c>
      <c r="BH153" s="2197">
        <f t="shared" ref="BH153" si="725">+BH152/BG152-1</f>
        <v>-9.9999999999999978E-2</v>
      </c>
      <c r="BI153" s="2196">
        <f t="shared" ref="BI153" si="726">+BI152/BH152-1</f>
        <v>0.33333333333333326</v>
      </c>
      <c r="BJ153" s="2196">
        <f t="shared" ref="BJ153" si="727">+BJ152/BI152-1</f>
        <v>7.4999999999999956E-2</v>
      </c>
      <c r="BK153" s="2198">
        <f t="shared" ref="BK153" si="728">+BK152/BJ152-1</f>
        <v>-0.30232558139534882</v>
      </c>
      <c r="BL153" s="934"/>
      <c r="BM153" s="935"/>
      <c r="BN153" s="935"/>
      <c r="BO153" s="935"/>
      <c r="BP153" s="935"/>
      <c r="BQ153" s="935"/>
      <c r="BR153" s="936"/>
      <c r="BS153" s="936"/>
      <c r="BT153" s="936"/>
      <c r="BU153" s="936"/>
      <c r="BV153" s="1993"/>
      <c r="BW153" s="937"/>
      <c r="BX153" s="937"/>
      <c r="BY153" s="937"/>
      <c r="BZ153" s="937"/>
      <c r="CA153" s="1994"/>
      <c r="CB153" s="1408"/>
    </row>
    <row r="154" spans="2:82" s="924" customFormat="1" ht="14.25" customHeight="1">
      <c r="B154" s="804" t="s">
        <v>391</v>
      </c>
      <c r="C154" s="937"/>
      <c r="D154" s="926"/>
      <c r="E154" s="926"/>
      <c r="F154" s="926"/>
      <c r="G154" s="927"/>
      <c r="H154" s="926"/>
      <c r="I154" s="926"/>
      <c r="J154" s="926"/>
      <c r="K154" s="927"/>
      <c r="L154" s="926"/>
      <c r="M154" s="926"/>
      <c r="N154" s="926"/>
      <c r="O154" s="927"/>
      <c r="P154" s="926"/>
      <c r="Q154" s="926"/>
      <c r="R154" s="926"/>
      <c r="S154" s="927"/>
      <c r="T154" s="928"/>
      <c r="U154" s="929"/>
      <c r="V154" s="929"/>
      <c r="W154" s="929"/>
      <c r="X154" s="1371"/>
      <c r="Y154" s="929"/>
      <c r="Z154" s="929"/>
      <c r="AA154" s="930"/>
      <c r="AB154" s="928"/>
      <c r="AC154" s="929"/>
      <c r="AD154" s="929"/>
      <c r="AE154" s="929"/>
      <c r="AF154" s="931"/>
      <c r="AG154" s="932"/>
      <c r="AH154" s="932"/>
      <c r="AI154" s="932"/>
      <c r="AJ154" s="806"/>
      <c r="AK154" s="549"/>
      <c r="AL154" s="549"/>
      <c r="AM154" s="551"/>
      <c r="AN154" s="806"/>
      <c r="AO154" s="549"/>
      <c r="AP154" s="1237">
        <f t="shared" ref="AP154:AU154" si="729">+AP152/AL152-1</f>
        <v>0.95892695999343802</v>
      </c>
      <c r="AQ154" s="1237">
        <f t="shared" si="729"/>
        <v>-0.24169147892535592</v>
      </c>
      <c r="AR154" s="1238">
        <f t="shared" si="729"/>
        <v>-1.2715735466901301E-2</v>
      </c>
      <c r="AS154" s="1239">
        <f t="shared" si="729"/>
        <v>3.1770484291866241E-2</v>
      </c>
      <c r="AT154" s="1237">
        <f t="shared" si="729"/>
        <v>8.8357527033370076E-2</v>
      </c>
      <c r="AU154" s="1237">
        <f t="shared" si="729"/>
        <v>0.23286427598729031</v>
      </c>
      <c r="AV154" s="1238">
        <f t="shared" ref="AV154" si="730">+AV152/AR152-1</f>
        <v>-0.15345945362031976</v>
      </c>
      <c r="AW154" s="1239">
        <f t="shared" ref="AW154:AZ154" si="731">+AW152/AS152-1</f>
        <v>0.2033094983072925</v>
      </c>
      <c r="AX154" s="1237">
        <f t="shared" si="731"/>
        <v>0.2939043132917063</v>
      </c>
      <c r="AY154" s="1237">
        <f t="shared" si="731"/>
        <v>0</v>
      </c>
      <c r="AZ154" s="1808">
        <f t="shared" si="731"/>
        <v>-2.0145816155673346E-3</v>
      </c>
      <c r="BA154" s="1239">
        <f t="shared" ref="BA154" si="732">+BA152/AW152-1</f>
        <v>-0.22091883830997772</v>
      </c>
      <c r="BB154" s="2199">
        <f t="shared" ref="BB154" si="733">+BB152/AX152-1</f>
        <v>-7.6923076923076872E-2</v>
      </c>
      <c r="BC154" s="2199">
        <f t="shared" ref="BC154" si="734">+BC152/AY152-1</f>
        <v>-8.5714285714285632E-2</v>
      </c>
      <c r="BD154" s="2200">
        <f t="shared" ref="BD154" si="735">+BD152/AZ152-1</f>
        <v>3.1814273430782469E-2</v>
      </c>
      <c r="BE154" s="2201">
        <f t="shared" ref="BE154" si="736">+BE152/BA152-1</f>
        <v>-0.11111111111111116</v>
      </c>
      <c r="BF154" s="2199">
        <f t="shared" ref="BF154" si="737">+BF152/BB152-1</f>
        <v>-0.28333333333333333</v>
      </c>
      <c r="BG154" s="2202">
        <f t="shared" ref="BG154" si="738">+BG152/BC152-1</f>
        <v>-6.25E-2</v>
      </c>
      <c r="BH154" s="2200">
        <f t="shared" ref="BH154" si="739">+BH152/BD152-1</f>
        <v>-9.9999999999999978E-2</v>
      </c>
      <c r="BI154" s="2201">
        <f t="shared" ref="BI154" si="740">+BI152/BE152-1</f>
        <v>-9.9999999999999978E-2</v>
      </c>
      <c r="BJ154" s="2199">
        <f t="shared" ref="BJ154" si="741">+BJ152/BF152-1</f>
        <v>-9.9999999999999978E-2</v>
      </c>
      <c r="BK154" s="2202">
        <f t="shared" ref="BK154" si="742">+BK152/BG152-1</f>
        <v>-9.9999999999999978E-2</v>
      </c>
      <c r="BL154" s="934"/>
      <c r="BM154" s="935"/>
      <c r="BN154" s="935"/>
      <c r="BO154" s="935"/>
      <c r="BP154" s="935"/>
      <c r="BQ154" s="935"/>
      <c r="BR154" s="936"/>
      <c r="BS154" s="936"/>
      <c r="BT154" s="936"/>
      <c r="BU154" s="936"/>
      <c r="BV154" s="1996">
        <f t="shared" ref="BV154:CA154" si="743">+BV152/BU152-1</f>
        <v>1.5561937103830061</v>
      </c>
      <c r="BW154" s="979">
        <f t="shared" si="743"/>
        <v>7.5188495152616497E-2</v>
      </c>
      <c r="BX154" s="979">
        <f t="shared" si="743"/>
        <v>0.11477507506361206</v>
      </c>
      <c r="BY154" s="979">
        <f t="shared" si="743"/>
        <v>-0.11139489144078263</v>
      </c>
      <c r="BZ154" s="979">
        <f t="shared" si="743"/>
        <v>-0.13894324853228968</v>
      </c>
      <c r="CA154" s="1997">
        <f t="shared" si="743"/>
        <v>-9.9999999999999978E-2</v>
      </c>
      <c r="CB154" s="1408"/>
    </row>
    <row r="155" spans="2:82" s="924" customFormat="1" ht="14.25" customHeight="1">
      <c r="B155" s="804" t="s">
        <v>471</v>
      </c>
      <c r="C155" s="937"/>
      <c r="D155" s="926"/>
      <c r="E155" s="926"/>
      <c r="F155" s="926"/>
      <c r="G155" s="927"/>
      <c r="H155" s="926"/>
      <c r="I155" s="926"/>
      <c r="J155" s="926"/>
      <c r="K155" s="927"/>
      <c r="L155" s="926"/>
      <c r="M155" s="926"/>
      <c r="N155" s="926"/>
      <c r="O155" s="927"/>
      <c r="P155" s="926"/>
      <c r="Q155" s="926"/>
      <c r="R155" s="926"/>
      <c r="S155" s="927"/>
      <c r="T155" s="928"/>
      <c r="U155" s="929"/>
      <c r="V155" s="929"/>
      <c r="W155" s="929"/>
      <c r="X155" s="1371"/>
      <c r="Y155" s="929"/>
      <c r="Z155" s="929"/>
      <c r="AA155" s="930"/>
      <c r="AB155" s="928"/>
      <c r="AC155" s="929"/>
      <c r="AD155" s="929"/>
      <c r="AE155" s="929"/>
      <c r="AF155" s="931"/>
      <c r="AG155" s="932"/>
      <c r="AH155" s="932"/>
      <c r="AI155" s="932"/>
      <c r="AJ155" s="806"/>
      <c r="AK155" s="549"/>
      <c r="AL155" s="549"/>
      <c r="AM155" s="551"/>
      <c r="AN155" s="1038"/>
      <c r="AO155" s="1039"/>
      <c r="AP155" s="1039"/>
      <c r="AQ155" s="1039"/>
      <c r="AR155" s="1038"/>
      <c r="AS155" s="1039"/>
      <c r="AT155" s="1039"/>
      <c r="AU155" s="1039"/>
      <c r="AV155" s="1038"/>
      <c r="AW155" s="1039"/>
      <c r="AX155" s="1612"/>
      <c r="AY155" s="1612"/>
      <c r="AZ155" s="1809"/>
      <c r="BA155" s="1039"/>
      <c r="BB155" s="1022"/>
      <c r="BC155" s="1022"/>
      <c r="BD155" s="2203"/>
      <c r="BE155" s="1022"/>
      <c r="BF155" s="1022"/>
      <c r="BG155" s="2204"/>
      <c r="BH155" s="2203"/>
      <c r="BI155" s="1022"/>
      <c r="BJ155" s="1022"/>
      <c r="BK155" s="2204"/>
      <c r="BL155" s="934"/>
      <c r="BM155" s="935"/>
      <c r="BN155" s="935"/>
      <c r="BO155" s="935"/>
      <c r="BP155" s="935"/>
      <c r="BQ155" s="935"/>
      <c r="BR155" s="936"/>
      <c r="BS155" s="936"/>
      <c r="BT155" s="936"/>
      <c r="BU155" s="981">
        <f t="shared" ref="BU155:BZ155" si="744">+BU152/15.1</f>
        <v>0.40397350993377446</v>
      </c>
      <c r="BV155" s="1998">
        <f t="shared" si="744"/>
        <v>1.0326345452540611</v>
      </c>
      <c r="BW155" s="981">
        <f t="shared" si="744"/>
        <v>1.1102767827543205</v>
      </c>
      <c r="BX155" s="981">
        <f t="shared" si="744"/>
        <v>1.2377088838363335</v>
      </c>
      <c r="BY155" s="981">
        <f t="shared" si="744"/>
        <v>1.0998344370860929</v>
      </c>
      <c r="BZ155" s="981">
        <f t="shared" si="744"/>
        <v>0.94701986754966894</v>
      </c>
      <c r="CA155" s="1999">
        <f t="shared" ref="CA155" si="745">+CA152/15.1</f>
        <v>0.85231788079470205</v>
      </c>
      <c r="CB155" s="1408"/>
    </row>
    <row r="156" spans="2:82" s="924" customFormat="1" ht="14.25" customHeight="1">
      <c r="B156" s="1040"/>
      <c r="C156" s="937"/>
      <c r="D156" s="926"/>
      <c r="E156" s="926"/>
      <c r="F156" s="926"/>
      <c r="G156" s="927"/>
      <c r="H156" s="926"/>
      <c r="I156" s="926"/>
      <c r="J156" s="926"/>
      <c r="K156" s="927"/>
      <c r="L156" s="926"/>
      <c r="M156" s="926"/>
      <c r="N156" s="926"/>
      <c r="O156" s="927"/>
      <c r="P156" s="926"/>
      <c r="Q156" s="926"/>
      <c r="R156" s="926"/>
      <c r="S156" s="927"/>
      <c r="T156" s="928"/>
      <c r="U156" s="929"/>
      <c r="V156" s="929"/>
      <c r="W156" s="930"/>
      <c r="X156" s="928"/>
      <c r="Y156" s="929"/>
      <c r="Z156" s="929"/>
      <c r="AA156" s="930"/>
      <c r="AB156" s="928"/>
      <c r="AC156" s="929"/>
      <c r="AD156" s="929"/>
      <c r="AE156" s="929"/>
      <c r="AF156" s="931"/>
      <c r="AG156" s="932"/>
      <c r="AH156" s="932"/>
      <c r="AI156" s="932"/>
      <c r="AJ156" s="318"/>
      <c r="AK156" s="555"/>
      <c r="AL156" s="555"/>
      <c r="AM156" s="556"/>
      <c r="AN156" s="318"/>
      <c r="AO156" s="555"/>
      <c r="AP156" s="555"/>
      <c r="AQ156" s="555"/>
      <c r="AR156" s="318"/>
      <c r="AS156" s="555"/>
      <c r="AT156" s="555"/>
      <c r="AU156" s="555"/>
      <c r="AV156" s="318"/>
      <c r="AW156" s="555"/>
      <c r="AX156" s="1613"/>
      <c r="AY156" s="1613"/>
      <c r="AZ156" s="1810"/>
      <c r="BA156" s="555"/>
      <c r="BB156" s="2205"/>
      <c r="BC156" s="2205"/>
      <c r="BD156" s="332"/>
      <c r="BE156" s="2205"/>
      <c r="BF156" s="2205"/>
      <c r="BG156" s="2206"/>
      <c r="BH156" s="332"/>
      <c r="BI156" s="2205"/>
      <c r="BJ156" s="2205"/>
      <c r="BK156" s="2206"/>
      <c r="BL156" s="934"/>
      <c r="BM156" s="935"/>
      <c r="BN156" s="935"/>
      <c r="BO156" s="935"/>
      <c r="BP156" s="935"/>
      <c r="BQ156" s="935"/>
      <c r="BR156" s="936"/>
      <c r="BS156" s="936"/>
      <c r="BT156" s="936"/>
      <c r="BU156" s="936"/>
      <c r="BV156" s="1993"/>
      <c r="BW156" s="937"/>
      <c r="BX156" s="937"/>
      <c r="BY156" s="937"/>
      <c r="BZ156" s="937"/>
      <c r="CA156" s="1994"/>
      <c r="CB156" s="1408"/>
    </row>
    <row r="157" spans="2:82" s="967" customFormat="1" ht="14.25" customHeight="1">
      <c r="B157" s="1041" t="s">
        <v>467</v>
      </c>
      <c r="C157" s="966"/>
      <c r="D157" s="958"/>
      <c r="E157" s="958"/>
      <c r="F157" s="958"/>
      <c r="G157" s="959"/>
      <c r="H157" s="958"/>
      <c r="I157" s="958"/>
      <c r="J157" s="958"/>
      <c r="K157" s="959"/>
      <c r="L157" s="958"/>
      <c r="M157" s="958"/>
      <c r="N157" s="958"/>
      <c r="O157" s="959"/>
      <c r="P157" s="958"/>
      <c r="Q157" s="958"/>
      <c r="R157" s="958"/>
      <c r="S157" s="959"/>
      <c r="T157" s="960"/>
      <c r="U157" s="961"/>
      <c r="V157" s="961"/>
      <c r="W157" s="962"/>
      <c r="X157" s="960"/>
      <c r="Y157" s="961"/>
      <c r="Z157" s="961"/>
      <c r="AA157" s="962"/>
      <c r="AB157" s="960"/>
      <c r="AC157" s="961"/>
      <c r="AD157" s="961"/>
      <c r="AE157" s="961"/>
      <c r="AF157" s="963"/>
      <c r="AG157" s="961"/>
      <c r="AH157" s="961"/>
      <c r="AI157" s="961"/>
      <c r="AJ157" s="797"/>
      <c r="AK157" s="796"/>
      <c r="AL157" s="1241">
        <v>80</v>
      </c>
      <c r="AM157" s="798">
        <f>AL157*(1+AM158)</f>
        <v>80</v>
      </c>
      <c r="AN157" s="1116">
        <f t="shared" ref="AN157:AU157" si="746">AM157*(1+AN158)</f>
        <v>77.599999999999994</v>
      </c>
      <c r="AO157" s="1240">
        <f t="shared" si="746"/>
        <v>77.599999999999994</v>
      </c>
      <c r="AP157" s="1240">
        <f t="shared" si="746"/>
        <v>77.599999999999994</v>
      </c>
      <c r="AQ157" s="1240">
        <f t="shared" si="746"/>
        <v>77.599999999999994</v>
      </c>
      <c r="AR157" s="1116">
        <f t="shared" si="746"/>
        <v>73.025000000000006</v>
      </c>
      <c r="AS157" s="1240">
        <f t="shared" si="746"/>
        <v>71.56450000000001</v>
      </c>
      <c r="AT157" s="1240">
        <f t="shared" si="746"/>
        <v>71.56450000000001</v>
      </c>
      <c r="AU157" s="1240">
        <f t="shared" si="746"/>
        <v>64.408050000000017</v>
      </c>
      <c r="AV157" s="1116">
        <f t="shared" ref="AV157" si="747">AU157*(1+AV158)</f>
        <v>61.187647500000011</v>
      </c>
      <c r="AW157" s="1240">
        <f t="shared" ref="AW157:AZ157" si="748">AV157*(1+AW158)</f>
        <v>58.128265125000006</v>
      </c>
      <c r="AX157" s="1240">
        <f t="shared" si="748"/>
        <v>63.941091637500008</v>
      </c>
      <c r="AY157" s="1240">
        <f t="shared" si="748"/>
        <v>63.941091637500008</v>
      </c>
      <c r="AZ157" s="1116">
        <f t="shared" si="748"/>
        <v>63.941091637500008</v>
      </c>
      <c r="BA157" s="1240">
        <f t="shared" ref="BA157" si="749">AZ157*(1+BA158)</f>
        <v>69.056378968500013</v>
      </c>
      <c r="BB157" s="2207">
        <f t="shared" ref="BB157" si="750">BA157*(1+BB158)</f>
        <v>69.056378968500013</v>
      </c>
      <c r="BC157" s="2207">
        <f t="shared" ref="BC157" si="751">BB157*(1+BC158)</f>
        <v>69.056378968500013</v>
      </c>
      <c r="BD157" s="2208">
        <f t="shared" ref="BD157" si="752">BC157*(1+BD158)</f>
        <v>69.056378968500013</v>
      </c>
      <c r="BE157" s="2207">
        <f t="shared" ref="BE157" si="753">BD157*(1+BE158)</f>
        <v>69.056378968500013</v>
      </c>
      <c r="BF157" s="2207">
        <f t="shared" ref="BF157" si="754">BE157*(1+BF158)</f>
        <v>69.056378968500013</v>
      </c>
      <c r="BG157" s="2209">
        <f t="shared" ref="BG157" si="755">BF157*(1+BG158)</f>
        <v>69.056378968500013</v>
      </c>
      <c r="BH157" s="2208">
        <f>BD157*0.96</f>
        <v>66.294123809760009</v>
      </c>
      <c r="BI157" s="2207">
        <f t="shared" ref="BI157" si="756">BH157*(1+BI158)</f>
        <v>66.294123809760009</v>
      </c>
      <c r="BJ157" s="2207">
        <f t="shared" ref="BJ157" si="757">BI157*(1+BJ158)</f>
        <v>66.294123809760009</v>
      </c>
      <c r="BK157" s="2209">
        <f t="shared" ref="BK157" si="758">BJ157*(1+BK158)</f>
        <v>66.294123809760009</v>
      </c>
      <c r="BL157" s="964"/>
      <c r="BM157" s="965"/>
      <c r="BN157" s="965"/>
      <c r="BO157" s="965"/>
      <c r="BP157" s="965"/>
      <c r="BQ157" s="965"/>
      <c r="BR157" s="966"/>
      <c r="BS157" s="966"/>
      <c r="BT157" s="966"/>
      <c r="BU157" s="966">
        <f t="shared" ref="BU157:BZ157" si="759">+BU161/BU152</f>
        <v>80</v>
      </c>
      <c r="BV157" s="2000">
        <f t="shared" si="759"/>
        <v>77.599999999999994</v>
      </c>
      <c r="BW157" s="966">
        <f t="shared" si="759"/>
        <v>70.370282874719322</v>
      </c>
      <c r="BX157" s="966">
        <f t="shared" si="759"/>
        <v>61.715397975533108</v>
      </c>
      <c r="BY157" s="966">
        <f t="shared" si="759"/>
        <v>68.160837922895169</v>
      </c>
      <c r="BZ157" s="966">
        <f t="shared" si="759"/>
        <v>69.056378968500013</v>
      </c>
      <c r="CA157" s="2001">
        <f t="shared" ref="CA157" si="760">+CA161/CA152</f>
        <v>66.294123809760009</v>
      </c>
      <c r="CB157" s="1408"/>
    </row>
    <row r="158" spans="2:82" s="924" customFormat="1" ht="14.25" customHeight="1">
      <c r="B158" s="804" t="s">
        <v>390</v>
      </c>
      <c r="C158" s="937"/>
      <c r="D158" s="926"/>
      <c r="E158" s="926"/>
      <c r="F158" s="926"/>
      <c r="G158" s="927"/>
      <c r="H158" s="926"/>
      <c r="I158" s="926"/>
      <c r="J158" s="926"/>
      <c r="K158" s="927"/>
      <c r="L158" s="926"/>
      <c r="M158" s="926"/>
      <c r="N158" s="926"/>
      <c r="O158" s="927"/>
      <c r="P158" s="926"/>
      <c r="Q158" s="926"/>
      <c r="R158" s="926"/>
      <c r="S158" s="927"/>
      <c r="T158" s="928"/>
      <c r="U158" s="929"/>
      <c r="V158" s="929"/>
      <c r="W158" s="930"/>
      <c r="X158" s="928"/>
      <c r="Y158" s="929"/>
      <c r="Z158" s="929"/>
      <c r="AA158" s="930"/>
      <c r="AB158" s="928"/>
      <c r="AC158" s="929"/>
      <c r="AD158" s="929"/>
      <c r="AE158" s="929"/>
      <c r="AF158" s="931"/>
      <c r="AG158" s="932"/>
      <c r="AH158" s="932"/>
      <c r="AI158" s="932"/>
      <c r="AJ158" s="806"/>
      <c r="AK158" s="549"/>
      <c r="AL158" s="549"/>
      <c r="AM158" s="1242">
        <v>0</v>
      </c>
      <c r="AN158" s="1243">
        <v>-0.03</v>
      </c>
      <c r="AO158" s="1244">
        <v>0</v>
      </c>
      <c r="AP158" s="1244">
        <v>0</v>
      </c>
      <c r="AQ158" s="1244">
        <v>0</v>
      </c>
      <c r="AR158" s="1243">
        <v>-5.8956185567010065E-2</v>
      </c>
      <c r="AS158" s="1244">
        <v>-0.02</v>
      </c>
      <c r="AT158" s="1244">
        <v>0</v>
      </c>
      <c r="AU158" s="1244">
        <v>-0.1</v>
      </c>
      <c r="AV158" s="1243">
        <v>-0.05</v>
      </c>
      <c r="AW158" s="1244">
        <v>-0.05</v>
      </c>
      <c r="AX158" s="1244">
        <v>0.1</v>
      </c>
      <c r="AY158" s="1244">
        <v>0</v>
      </c>
      <c r="AZ158" s="1243">
        <v>0</v>
      </c>
      <c r="BA158" s="1244">
        <v>0.08</v>
      </c>
      <c r="BB158" s="2210">
        <v>0</v>
      </c>
      <c r="BC158" s="2210">
        <v>0</v>
      </c>
      <c r="BD158" s="2211">
        <v>0</v>
      </c>
      <c r="BE158" s="2210">
        <v>0</v>
      </c>
      <c r="BF158" s="2210">
        <v>0</v>
      </c>
      <c r="BG158" s="2212">
        <v>0</v>
      </c>
      <c r="BH158" s="2211">
        <v>0</v>
      </c>
      <c r="BI158" s="2210">
        <v>0</v>
      </c>
      <c r="BJ158" s="2210">
        <v>0</v>
      </c>
      <c r="BK158" s="2212">
        <v>0</v>
      </c>
      <c r="BL158" s="934"/>
      <c r="BM158" s="935"/>
      <c r="BN158" s="935"/>
      <c r="BO158" s="935"/>
      <c r="BP158" s="935"/>
      <c r="BQ158" s="935"/>
      <c r="BR158" s="936"/>
      <c r="BS158" s="936"/>
      <c r="BT158" s="936"/>
      <c r="BU158" s="936"/>
      <c r="BV158" s="1993"/>
      <c r="BW158" s="937"/>
      <c r="BX158" s="937"/>
      <c r="BY158" s="937"/>
      <c r="BZ158" s="937"/>
      <c r="CA158" s="1994"/>
      <c r="CB158" s="1408"/>
    </row>
    <row r="159" spans="2:82" s="924" customFormat="1" ht="14.25" customHeight="1">
      <c r="B159" s="804" t="s">
        <v>391</v>
      </c>
      <c r="C159" s="937"/>
      <c r="D159" s="926"/>
      <c r="E159" s="926"/>
      <c r="F159" s="926"/>
      <c r="G159" s="927"/>
      <c r="H159" s="926"/>
      <c r="I159" s="926"/>
      <c r="J159" s="926"/>
      <c r="K159" s="927"/>
      <c r="L159" s="926"/>
      <c r="M159" s="926"/>
      <c r="N159" s="926"/>
      <c r="O159" s="927"/>
      <c r="P159" s="926"/>
      <c r="Q159" s="926"/>
      <c r="R159" s="926"/>
      <c r="S159" s="927"/>
      <c r="T159" s="928"/>
      <c r="U159" s="929"/>
      <c r="V159" s="929"/>
      <c r="W159" s="930"/>
      <c r="X159" s="928"/>
      <c r="Y159" s="929"/>
      <c r="Z159" s="929"/>
      <c r="AA159" s="930"/>
      <c r="AB159" s="928"/>
      <c r="AC159" s="929"/>
      <c r="AD159" s="929"/>
      <c r="AE159" s="929"/>
      <c r="AF159" s="931"/>
      <c r="AG159" s="932"/>
      <c r="AH159" s="932"/>
      <c r="AI159" s="932"/>
      <c r="AJ159" s="806"/>
      <c r="AK159" s="549"/>
      <c r="AL159" s="549"/>
      <c r="AM159" s="1245"/>
      <c r="AN159" s="1238"/>
      <c r="AO159" s="1239"/>
      <c r="AP159" s="1237">
        <f t="shared" ref="AP159:AU159" si="761">+AP157/AL157-1</f>
        <v>-3.0000000000000027E-2</v>
      </c>
      <c r="AQ159" s="1237">
        <f t="shared" si="761"/>
        <v>-3.0000000000000027E-2</v>
      </c>
      <c r="AR159" s="1238">
        <f t="shared" si="761"/>
        <v>-5.8956185567010211E-2</v>
      </c>
      <c r="AS159" s="1239">
        <f t="shared" si="761"/>
        <v>-7.7777061855669904E-2</v>
      </c>
      <c r="AT159" s="1237">
        <f t="shared" si="761"/>
        <v>-7.7777061855669904E-2</v>
      </c>
      <c r="AU159" s="1237">
        <f t="shared" si="761"/>
        <v>-0.16999935567010283</v>
      </c>
      <c r="AV159" s="1238">
        <f t="shared" ref="AV159" si="762">+AV157/AR157-1</f>
        <v>-0.16209999999999991</v>
      </c>
      <c r="AW159" s="1239">
        <f t="shared" ref="AW159:AZ159" si="763">+AW157/AS157-1</f>
        <v>-0.18775000000000008</v>
      </c>
      <c r="AX159" s="1237">
        <f t="shared" si="763"/>
        <v>-0.10652499999999998</v>
      </c>
      <c r="AY159" s="1237">
        <f t="shared" si="763"/>
        <v>-7.2500000000000897E-3</v>
      </c>
      <c r="AZ159" s="1808">
        <f t="shared" si="763"/>
        <v>4.4999999999999929E-2</v>
      </c>
      <c r="BA159" s="1239">
        <f t="shared" ref="BA159" si="764">+BA157/AW157-1</f>
        <v>0.18800000000000017</v>
      </c>
      <c r="BB159" s="2199">
        <f t="shared" ref="BB159" si="765">+BB157/AX157-1</f>
        <v>8.0000000000000071E-2</v>
      </c>
      <c r="BC159" s="2199">
        <f t="shared" ref="BC159" si="766">+BC157/AY157-1</f>
        <v>8.0000000000000071E-2</v>
      </c>
      <c r="BD159" s="2200">
        <f t="shared" ref="BD159" si="767">+BD157/AZ157-1</f>
        <v>8.0000000000000071E-2</v>
      </c>
      <c r="BE159" s="2201">
        <f t="shared" ref="BE159" si="768">+BE157/BA157-1</f>
        <v>0</v>
      </c>
      <c r="BF159" s="2199">
        <f t="shared" ref="BF159" si="769">+BF157/BB157-1</f>
        <v>0</v>
      </c>
      <c r="BG159" s="2202">
        <f t="shared" ref="BG159" si="770">+BG157/BC157-1</f>
        <v>0</v>
      </c>
      <c r="BH159" s="2200">
        <f t="shared" ref="BH159" si="771">+BH157/BD157-1</f>
        <v>-4.0000000000000036E-2</v>
      </c>
      <c r="BI159" s="2201">
        <f t="shared" ref="BI159" si="772">+BI157/BE157-1</f>
        <v>-4.0000000000000036E-2</v>
      </c>
      <c r="BJ159" s="2199">
        <f t="shared" ref="BJ159" si="773">+BJ157/BF157-1</f>
        <v>-4.0000000000000036E-2</v>
      </c>
      <c r="BK159" s="2202">
        <f t="shared" ref="BK159" si="774">+BK157/BG157-1</f>
        <v>-4.0000000000000036E-2</v>
      </c>
      <c r="BL159" s="934"/>
      <c r="BM159" s="935"/>
      <c r="BN159" s="935"/>
      <c r="BO159" s="935"/>
      <c r="BP159" s="935"/>
      <c r="BQ159" s="935"/>
      <c r="BR159" s="936"/>
      <c r="BS159" s="936"/>
      <c r="BT159" s="936"/>
      <c r="BU159" s="936"/>
      <c r="BV159" s="1996">
        <f t="shared" ref="BV159:CA159" si="775">+BV157/BU157-1</f>
        <v>-3.0000000000000027E-2</v>
      </c>
      <c r="BW159" s="979">
        <f t="shared" si="775"/>
        <v>-9.3166457800008651E-2</v>
      </c>
      <c r="BX159" s="979">
        <f t="shared" si="775"/>
        <v>-0.12299062254154303</v>
      </c>
      <c r="BY159" s="979">
        <f t="shared" si="775"/>
        <v>0.10443811688482252</v>
      </c>
      <c r="BZ159" s="979">
        <f t="shared" si="775"/>
        <v>1.3138644900725804E-2</v>
      </c>
      <c r="CA159" s="1997">
        <f t="shared" si="775"/>
        <v>-4.0000000000000036E-2</v>
      </c>
      <c r="CB159" s="1408"/>
    </row>
    <row r="160" spans="2:82" s="924" customFormat="1" ht="14.25" customHeight="1">
      <c r="B160" s="1040"/>
      <c r="C160" s="937"/>
      <c r="D160" s="926"/>
      <c r="E160" s="926"/>
      <c r="F160" s="926"/>
      <c r="G160" s="927"/>
      <c r="H160" s="926"/>
      <c r="I160" s="926"/>
      <c r="J160" s="926"/>
      <c r="K160" s="927"/>
      <c r="L160" s="926"/>
      <c r="M160" s="926"/>
      <c r="N160" s="926"/>
      <c r="O160" s="927"/>
      <c r="P160" s="926"/>
      <c r="Q160" s="926"/>
      <c r="R160" s="926"/>
      <c r="S160" s="927"/>
      <c r="T160" s="928"/>
      <c r="U160" s="929"/>
      <c r="V160" s="929"/>
      <c r="W160" s="930"/>
      <c r="X160" s="928"/>
      <c r="Y160" s="929"/>
      <c r="Z160" s="929"/>
      <c r="AA160" s="930"/>
      <c r="AB160" s="928"/>
      <c r="AC160" s="929"/>
      <c r="AD160" s="929"/>
      <c r="AE160" s="929"/>
      <c r="AF160" s="931"/>
      <c r="AG160" s="932"/>
      <c r="AH160" s="932"/>
      <c r="AI160" s="932"/>
      <c r="AJ160" s="318"/>
      <c r="AK160" s="555"/>
      <c r="AL160" s="555"/>
      <c r="AM160" s="556"/>
      <c r="AN160" s="318"/>
      <c r="AO160" s="555"/>
      <c r="AP160" s="555"/>
      <c r="AQ160" s="555"/>
      <c r="AR160" s="318"/>
      <c r="AS160" s="555"/>
      <c r="AT160" s="555"/>
      <c r="AU160" s="555"/>
      <c r="AV160" s="318"/>
      <c r="AW160" s="555"/>
      <c r="AX160" s="1613"/>
      <c r="AY160" s="1613"/>
      <c r="AZ160" s="1810"/>
      <c r="BA160" s="555"/>
      <c r="BB160" s="2205"/>
      <c r="BC160" s="2205"/>
      <c r="BD160" s="332"/>
      <c r="BE160" s="2205"/>
      <c r="BF160" s="2205"/>
      <c r="BG160" s="2206"/>
      <c r="BH160" s="332"/>
      <c r="BI160" s="2205"/>
      <c r="BJ160" s="2205"/>
      <c r="BK160" s="2206"/>
      <c r="BL160" s="934"/>
      <c r="BM160" s="935"/>
      <c r="BN160" s="935"/>
      <c r="BO160" s="935"/>
      <c r="BP160" s="935"/>
      <c r="BQ160" s="935"/>
      <c r="BR160" s="936"/>
      <c r="BS160" s="936"/>
      <c r="BT160" s="936"/>
      <c r="BU160" s="936"/>
      <c r="BV160" s="1993"/>
      <c r="BW160" s="937"/>
      <c r="BX160" s="937"/>
      <c r="BY160" s="937"/>
      <c r="BZ160" s="937"/>
      <c r="CA160" s="1994"/>
      <c r="CB160" s="1408"/>
    </row>
    <row r="161" spans="2:80" s="924" customFormat="1" ht="14.25" customHeight="1">
      <c r="B161" s="856" t="s">
        <v>160</v>
      </c>
      <c r="C161" s="937"/>
      <c r="D161" s="926"/>
      <c r="E161" s="926"/>
      <c r="F161" s="926"/>
      <c r="G161" s="927"/>
      <c r="H161" s="926"/>
      <c r="I161" s="926"/>
      <c r="J161" s="926"/>
      <c r="K161" s="927"/>
      <c r="L161" s="926"/>
      <c r="M161" s="926"/>
      <c r="N161" s="926"/>
      <c r="O161" s="927"/>
      <c r="P161" s="926"/>
      <c r="Q161" s="926"/>
      <c r="R161" s="926"/>
      <c r="S161" s="927"/>
      <c r="T161" s="928"/>
      <c r="U161" s="929"/>
      <c r="V161" s="929"/>
      <c r="W161" s="930"/>
      <c r="X161" s="928"/>
      <c r="Y161" s="929"/>
      <c r="Z161" s="929"/>
      <c r="AA161" s="930"/>
      <c r="AB161" s="928"/>
      <c r="AC161" s="929"/>
      <c r="AD161" s="929"/>
      <c r="AE161" s="929"/>
      <c r="AF161" s="931"/>
      <c r="AG161" s="932"/>
      <c r="AH161" s="932"/>
      <c r="AI161" s="932"/>
      <c r="AJ161" s="712"/>
      <c r="AK161" s="710"/>
      <c r="AL161" s="710">
        <f>+AL152*AL157</f>
        <v>188.49999999999997</v>
      </c>
      <c r="AM161" s="711">
        <f>+AM152*AM157</f>
        <v>299.4999999999996</v>
      </c>
      <c r="AN161" s="712">
        <f t="shared" ref="AN161:AU161" si="776">+AN152*AN157</f>
        <v>270.50000000000011</v>
      </c>
      <c r="AO161" s="710">
        <f t="shared" si="776"/>
        <v>361.01985474689843</v>
      </c>
      <c r="AP161" s="710">
        <f t="shared" si="776"/>
        <v>358.18000000000012</v>
      </c>
      <c r="AQ161" s="710">
        <f t="shared" si="776"/>
        <v>220.29999999999993</v>
      </c>
      <c r="AR161" s="712">
        <f t="shared" si="776"/>
        <v>251.315531436105</v>
      </c>
      <c r="AS161" s="710">
        <f t="shared" si="776"/>
        <v>343.51848134921119</v>
      </c>
      <c r="AT161" s="710">
        <f t="shared" si="776"/>
        <v>359.50823041667167</v>
      </c>
      <c r="AU161" s="710">
        <f t="shared" si="776"/>
        <v>225.42817500000007</v>
      </c>
      <c r="AV161" s="712">
        <f t="shared" ref="AV161:AZ161" si="777">+AV152*AV157</f>
        <v>178.26220887500003</v>
      </c>
      <c r="AW161" s="710">
        <f t="shared" si="777"/>
        <v>335.75088954156399</v>
      </c>
      <c r="AX161" s="302">
        <f t="shared" si="777"/>
        <v>415.61709564375008</v>
      </c>
      <c r="AY161" s="302">
        <f t="shared" si="777"/>
        <v>223.79382073125004</v>
      </c>
      <c r="AZ161" s="578">
        <f t="shared" si="777"/>
        <v>185.90872393603129</v>
      </c>
      <c r="BA161" s="710">
        <f t="shared" ref="BA161:BC161" si="778">+BA152*BA157</f>
        <v>310.75370535825004</v>
      </c>
      <c r="BB161" s="1101">
        <f t="shared" si="778"/>
        <v>414.33827381100008</v>
      </c>
      <c r="BC161" s="1101">
        <f t="shared" si="778"/>
        <v>220.98041269920006</v>
      </c>
      <c r="BD161" s="2213">
        <f t="shared" ref="BD161:BG161" si="779">+BD152*BD157</f>
        <v>207.16913690550004</v>
      </c>
      <c r="BE161" s="1101">
        <f t="shared" si="779"/>
        <v>276.22551587400005</v>
      </c>
      <c r="BF161" s="1101">
        <f t="shared" si="779"/>
        <v>296.94242956455003</v>
      </c>
      <c r="BG161" s="2214">
        <f t="shared" si="779"/>
        <v>207.16913690550004</v>
      </c>
      <c r="BH161" s="2213">
        <f t="shared" ref="BH161:BK161" si="780">+BH152*BH157</f>
        <v>178.99413428635205</v>
      </c>
      <c r="BI161" s="1101">
        <f t="shared" si="780"/>
        <v>238.65884571513604</v>
      </c>
      <c r="BJ161" s="1101">
        <f t="shared" si="780"/>
        <v>256.55825914377124</v>
      </c>
      <c r="BK161" s="2214">
        <f t="shared" si="780"/>
        <v>178.99413428635205</v>
      </c>
      <c r="BL161" s="934"/>
      <c r="BM161" s="935"/>
      <c r="BN161" s="935"/>
      <c r="BO161" s="935"/>
      <c r="BP161" s="935"/>
      <c r="BQ161" s="935"/>
      <c r="BR161" s="936"/>
      <c r="BS161" s="936"/>
      <c r="BT161" s="936"/>
      <c r="BU161" s="788">
        <f>SUM(AJ161:AM161)</f>
        <v>487.99999999999955</v>
      </c>
      <c r="BV161" s="1975">
        <f>+SUM(AN161:AQ161)</f>
        <v>1209.9998547468986</v>
      </c>
      <c r="BW161" s="1345">
        <f>+SUM(AR161:AU161)</f>
        <v>1179.7704182019879</v>
      </c>
      <c r="BX161" s="1345">
        <f>+SUM(AV161:AY161)</f>
        <v>1153.4240147915641</v>
      </c>
      <c r="BY161" s="1345">
        <f>+SUM(AZ161:BC161)</f>
        <v>1131.9811158044815</v>
      </c>
      <c r="BZ161" s="1345">
        <f>+SUM(BD161:BG161)</f>
        <v>987.50621924955021</v>
      </c>
      <c r="CA161" s="1995">
        <f>+SUM(BH161:BK161)</f>
        <v>853.20537343161141</v>
      </c>
      <c r="CB161" s="1408"/>
    </row>
    <row r="162" spans="2:80" s="924" customFormat="1" ht="14.25" customHeight="1">
      <c r="B162" s="804" t="s">
        <v>390</v>
      </c>
      <c r="C162" s="937"/>
      <c r="D162" s="926"/>
      <c r="E162" s="926"/>
      <c r="F162" s="926"/>
      <c r="G162" s="927"/>
      <c r="H162" s="926"/>
      <c r="I162" s="926"/>
      <c r="J162" s="926"/>
      <c r="K162" s="927"/>
      <c r="L162" s="926"/>
      <c r="M162" s="926"/>
      <c r="N162" s="926"/>
      <c r="O162" s="927"/>
      <c r="P162" s="926"/>
      <c r="Q162" s="926"/>
      <c r="R162" s="926"/>
      <c r="S162" s="927"/>
      <c r="T162" s="928"/>
      <c r="U162" s="929"/>
      <c r="V162" s="929"/>
      <c r="W162" s="930"/>
      <c r="X162" s="928"/>
      <c r="Y162" s="929"/>
      <c r="Z162" s="929"/>
      <c r="AA162" s="930"/>
      <c r="AB162" s="928"/>
      <c r="AC162" s="929"/>
      <c r="AD162" s="929"/>
      <c r="AE162" s="929"/>
      <c r="AF162" s="931"/>
      <c r="AG162" s="932"/>
      <c r="AH162" s="932"/>
      <c r="AI162" s="932"/>
      <c r="AJ162" s="806"/>
      <c r="AK162" s="549"/>
      <c r="AL162" s="549"/>
      <c r="AM162" s="955">
        <f t="shared" ref="AM162:AU162" si="781">+AM161/AL161-1</f>
        <v>0.58885941644562156</v>
      </c>
      <c r="AN162" s="956">
        <f t="shared" si="781"/>
        <v>-9.6828046744572682E-2</v>
      </c>
      <c r="AO162" s="957">
        <f t="shared" si="781"/>
        <v>0.33463901939703611</v>
      </c>
      <c r="AP162" s="957">
        <f t="shared" si="781"/>
        <v>-7.8662010123771164E-3</v>
      </c>
      <c r="AQ162" s="957">
        <f t="shared" si="781"/>
        <v>-0.38494611647774901</v>
      </c>
      <c r="AR162" s="956">
        <f t="shared" si="781"/>
        <v>0.14078770511168903</v>
      </c>
      <c r="AS162" s="957">
        <f t="shared" si="781"/>
        <v>0.366881224515756</v>
      </c>
      <c r="AT162" s="957">
        <f t="shared" si="781"/>
        <v>4.6546983453870538E-2</v>
      </c>
      <c r="AU162" s="957">
        <f t="shared" si="781"/>
        <v>-0.37295406355863459</v>
      </c>
      <c r="AV162" s="956">
        <f t="shared" ref="AV162" si="782">+AV161/AU161-1</f>
        <v>-0.20922835455239797</v>
      </c>
      <c r="AW162" s="957">
        <f t="shared" ref="AW162:AZ162" si="783">+AW161/AV161-1</f>
        <v>0.88346644900488824</v>
      </c>
      <c r="AX162" s="909">
        <f t="shared" si="783"/>
        <v>0.23787340135192436</v>
      </c>
      <c r="AY162" s="909">
        <f t="shared" si="783"/>
        <v>-0.46153846153846156</v>
      </c>
      <c r="AZ162" s="910">
        <f t="shared" si="783"/>
        <v>-0.16928571428571426</v>
      </c>
      <c r="BA162" s="957">
        <f t="shared" ref="BA162" si="784">+BA161/AZ161-1</f>
        <v>0.67153912295786733</v>
      </c>
      <c r="BB162" s="2196">
        <f t="shared" ref="BB162" si="785">+BB161/BA161-1</f>
        <v>0.33333333333333348</v>
      </c>
      <c r="BC162" s="2196">
        <f t="shared" ref="BC162" si="786">+BC161/BB161-1</f>
        <v>-0.46666666666666667</v>
      </c>
      <c r="BD162" s="2197">
        <f t="shared" ref="BD162" si="787">+BD161/BC161-1</f>
        <v>-6.2500000000000111E-2</v>
      </c>
      <c r="BE162" s="2196">
        <f t="shared" ref="BE162" si="788">+BE161/BD161-1</f>
        <v>0.33333333333333326</v>
      </c>
      <c r="BF162" s="2196">
        <f t="shared" ref="BF162" si="789">+BF161/BE161-1</f>
        <v>7.4999999999999956E-2</v>
      </c>
      <c r="BG162" s="2198">
        <f t="shared" ref="BG162" si="790">+BG161/BF161-1</f>
        <v>-0.30232558139534882</v>
      </c>
      <c r="BH162" s="2197">
        <f t="shared" ref="BH162" si="791">+BH161/BG161-1</f>
        <v>-0.1359999999999999</v>
      </c>
      <c r="BI162" s="2196">
        <f t="shared" ref="BI162" si="792">+BI161/BH161-1</f>
        <v>0.33333333333333326</v>
      </c>
      <c r="BJ162" s="2196">
        <f t="shared" ref="BJ162" si="793">+BJ161/BI161-1</f>
        <v>7.4999999999999956E-2</v>
      </c>
      <c r="BK162" s="2198">
        <f t="shared" ref="BK162" si="794">+BK161/BJ161-1</f>
        <v>-0.30232558139534871</v>
      </c>
      <c r="BL162" s="934"/>
      <c r="BM162" s="935"/>
      <c r="BN162" s="935"/>
      <c r="BO162" s="935"/>
      <c r="BP162" s="935"/>
      <c r="BQ162" s="935"/>
      <c r="BR162" s="936"/>
      <c r="BS162" s="936"/>
      <c r="BT162" s="936"/>
      <c r="BU162" s="936"/>
      <c r="BV162" s="1993"/>
      <c r="BW162" s="937"/>
      <c r="BX162" s="937"/>
      <c r="BY162" s="937"/>
      <c r="BZ162" s="937"/>
      <c r="CA162" s="1994"/>
      <c r="CB162" s="1408"/>
    </row>
    <row r="163" spans="2:80" s="924" customFormat="1" ht="14.25" customHeight="1">
      <c r="B163" s="804" t="s">
        <v>391</v>
      </c>
      <c r="C163" s="937"/>
      <c r="D163" s="926"/>
      <c r="E163" s="926"/>
      <c r="F163" s="926"/>
      <c r="G163" s="927"/>
      <c r="H163" s="926"/>
      <c r="I163" s="926"/>
      <c r="J163" s="926"/>
      <c r="K163" s="927"/>
      <c r="L163" s="926"/>
      <c r="M163" s="926"/>
      <c r="N163" s="926"/>
      <c r="O163" s="927"/>
      <c r="P163" s="926"/>
      <c r="Q163" s="926"/>
      <c r="R163" s="926"/>
      <c r="S163" s="927"/>
      <c r="T163" s="928"/>
      <c r="U163" s="929"/>
      <c r="V163" s="929"/>
      <c r="W163" s="930"/>
      <c r="X163" s="928"/>
      <c r="Y163" s="929"/>
      <c r="Z163" s="929"/>
      <c r="AA163" s="930"/>
      <c r="AB163" s="928"/>
      <c r="AC163" s="929"/>
      <c r="AD163" s="929"/>
      <c r="AE163" s="929"/>
      <c r="AF163" s="931"/>
      <c r="AG163" s="932"/>
      <c r="AH163" s="932"/>
      <c r="AI163" s="932"/>
      <c r="AJ163" s="806"/>
      <c r="AK163" s="549"/>
      <c r="AL163" s="549"/>
      <c r="AM163" s="551"/>
      <c r="AN163" s="806"/>
      <c r="AO163" s="549"/>
      <c r="AP163" s="1237">
        <f t="shared" ref="AP163:AU163" si="795">+AP161/AL161-1</f>
        <v>0.90015915119363488</v>
      </c>
      <c r="AQ163" s="1237">
        <f t="shared" si="795"/>
        <v>-0.26444073455759531</v>
      </c>
      <c r="AR163" s="1238">
        <f t="shared" si="795"/>
        <v>-7.0922249774103885E-2</v>
      </c>
      <c r="AS163" s="1239">
        <f t="shared" si="795"/>
        <v>-4.8477592485756782E-2</v>
      </c>
      <c r="AT163" s="1237">
        <f t="shared" si="795"/>
        <v>3.7082763322116019E-3</v>
      </c>
      <c r="AU163" s="1237">
        <f t="shared" si="795"/>
        <v>2.3278143440763177E-2</v>
      </c>
      <c r="AV163" s="1238">
        <f t="shared" ref="AV163" si="796">+AV161/AR161-1</f>
        <v>-0.29068367618846591</v>
      </c>
      <c r="AW163" s="1239">
        <f t="shared" ref="AW163:AZ163" si="797">+AW161/AS161-1</f>
        <v>-2.2611859999901673E-2</v>
      </c>
      <c r="AX163" s="1237">
        <f t="shared" si="797"/>
        <v>0.15607115631830726</v>
      </c>
      <c r="AY163" s="1237">
        <f t="shared" si="797"/>
        <v>-7.2500000000000897E-3</v>
      </c>
      <c r="AZ163" s="1808">
        <f t="shared" si="797"/>
        <v>4.2894762211732163E-2</v>
      </c>
      <c r="BA163" s="1239">
        <f t="shared" ref="BA163" si="798">+BA161/AW161-1</f>
        <v>-7.4451579912253485E-2</v>
      </c>
      <c r="BB163" s="2199">
        <f t="shared" ref="BB163" si="799">+BB161/AX161-1</f>
        <v>-3.0769230769230882E-3</v>
      </c>
      <c r="BC163" s="2199">
        <f t="shared" ref="BC163" si="800">+BC161/AY161-1</f>
        <v>-1.2571428571428456E-2</v>
      </c>
      <c r="BD163" s="2200">
        <f t="shared" ref="BD163" si="801">+BD161/AZ161-1</f>
        <v>0.11435941530524496</v>
      </c>
      <c r="BE163" s="2201">
        <f t="shared" ref="BE163" si="802">+BE161/BA161-1</f>
        <v>-0.11111111111111105</v>
      </c>
      <c r="BF163" s="2199">
        <f t="shared" ref="BF163" si="803">+BF161/BB161-1</f>
        <v>-0.28333333333333344</v>
      </c>
      <c r="BG163" s="2202">
        <f t="shared" ref="BG163" si="804">+BG161/BC161-1</f>
        <v>-6.2500000000000111E-2</v>
      </c>
      <c r="BH163" s="2200">
        <f t="shared" ref="BH163" si="805">+BH161/BD161-1</f>
        <v>-0.1359999999999999</v>
      </c>
      <c r="BI163" s="2201">
        <f t="shared" ref="BI163" si="806">+BI161/BE161-1</f>
        <v>-0.13600000000000001</v>
      </c>
      <c r="BJ163" s="2199">
        <f t="shared" ref="BJ163" si="807">+BJ161/BF161-1</f>
        <v>-0.1359999999999999</v>
      </c>
      <c r="BK163" s="2202">
        <f t="shared" ref="BK163" si="808">+BK161/BG161-1</f>
        <v>-0.1359999999999999</v>
      </c>
      <c r="BL163" s="934"/>
      <c r="BM163" s="935"/>
      <c r="BN163" s="935"/>
      <c r="BO163" s="935"/>
      <c r="BP163" s="935"/>
      <c r="BQ163" s="935"/>
      <c r="BR163" s="936"/>
      <c r="BS163" s="936"/>
      <c r="BT163" s="936"/>
      <c r="BU163" s="936"/>
      <c r="BV163" s="1996">
        <f t="shared" ref="BV163:CA163" si="809">+BV161/BU161-1</f>
        <v>1.4795078990715158</v>
      </c>
      <c r="BW163" s="979">
        <f t="shared" si="809"/>
        <v>-2.4983008408074436E-2</v>
      </c>
      <c r="BX163" s="979">
        <f t="shared" si="809"/>
        <v>-2.2331805412256989E-2</v>
      </c>
      <c r="BY163" s="979">
        <f t="shared" si="809"/>
        <v>-1.8590647248624803E-2</v>
      </c>
      <c r="BZ163" s="979">
        <f t="shared" si="809"/>
        <v>-0.12763012963538289</v>
      </c>
      <c r="CA163" s="1997">
        <f t="shared" si="809"/>
        <v>-0.13600000000000001</v>
      </c>
      <c r="CB163" s="1408"/>
    </row>
    <row r="164" spans="2:80" s="924" customFormat="1" ht="14.25" customHeight="1">
      <c r="B164" s="1040"/>
      <c r="C164" s="937"/>
      <c r="D164" s="926"/>
      <c r="E164" s="926"/>
      <c r="F164" s="926"/>
      <c r="G164" s="927"/>
      <c r="H164" s="926"/>
      <c r="I164" s="926"/>
      <c r="J164" s="926"/>
      <c r="K164" s="927"/>
      <c r="L164" s="926"/>
      <c r="M164" s="926"/>
      <c r="N164" s="926"/>
      <c r="O164" s="927"/>
      <c r="P164" s="926"/>
      <c r="Q164" s="926"/>
      <c r="R164" s="926"/>
      <c r="S164" s="927"/>
      <c r="T164" s="928"/>
      <c r="U164" s="929"/>
      <c r="V164" s="929"/>
      <c r="W164" s="930"/>
      <c r="X164" s="928"/>
      <c r="Y164" s="929"/>
      <c r="Z164" s="929"/>
      <c r="AA164" s="930"/>
      <c r="AB164" s="928"/>
      <c r="AC164" s="929"/>
      <c r="AD164" s="929"/>
      <c r="AE164" s="929"/>
      <c r="AF164" s="931"/>
      <c r="AG164" s="932"/>
      <c r="AH164" s="932"/>
      <c r="AI164" s="932"/>
      <c r="AJ164" s="318"/>
      <c r="AK164" s="555"/>
      <c r="AL164" s="555"/>
      <c r="AM164" s="556"/>
      <c r="AN164" s="318"/>
      <c r="AO164" s="555"/>
      <c r="AP164" s="555"/>
      <c r="AQ164" s="555"/>
      <c r="AR164" s="318"/>
      <c r="AS164" s="555"/>
      <c r="AT164" s="555"/>
      <c r="AU164" s="555"/>
      <c r="AV164" s="318"/>
      <c r="AW164" s="555"/>
      <c r="AX164" s="1613"/>
      <c r="AY164" s="1613"/>
      <c r="AZ164" s="1810"/>
      <c r="BA164" s="555"/>
      <c r="BB164" s="2205"/>
      <c r="BC164" s="2205"/>
      <c r="BD164" s="332"/>
      <c r="BE164" s="2205"/>
      <c r="BF164" s="2205"/>
      <c r="BG164" s="2206"/>
      <c r="BH164" s="332"/>
      <c r="BI164" s="2205"/>
      <c r="BJ164" s="2205"/>
      <c r="BK164" s="2206"/>
      <c r="BL164" s="934"/>
      <c r="BM164" s="935"/>
      <c r="BN164" s="935"/>
      <c r="BO164" s="935"/>
      <c r="BP164" s="935"/>
      <c r="BQ164" s="935"/>
      <c r="BR164" s="936"/>
      <c r="BS164" s="936"/>
      <c r="BT164" s="936"/>
      <c r="BU164" s="936"/>
      <c r="BV164" s="1993"/>
      <c r="BW164" s="937"/>
      <c r="BX164" s="937"/>
      <c r="BY164" s="937"/>
      <c r="BZ164" s="937"/>
      <c r="CA164" s="1994"/>
      <c r="CB164" s="1408"/>
    </row>
    <row r="165" spans="2:80" s="924" customFormat="1" ht="14.25" customHeight="1">
      <c r="B165" s="1042" t="s">
        <v>502</v>
      </c>
      <c r="C165" s="937"/>
      <c r="D165" s="926"/>
      <c r="E165" s="926"/>
      <c r="F165" s="926"/>
      <c r="G165" s="927"/>
      <c r="H165" s="926"/>
      <c r="I165" s="926"/>
      <c r="J165" s="926"/>
      <c r="K165" s="927"/>
      <c r="L165" s="926"/>
      <c r="M165" s="926"/>
      <c r="N165" s="926"/>
      <c r="O165" s="927"/>
      <c r="P165" s="926"/>
      <c r="Q165" s="926"/>
      <c r="R165" s="926"/>
      <c r="S165" s="927"/>
      <c r="T165" s="928"/>
      <c r="U165" s="929"/>
      <c r="V165" s="929"/>
      <c r="W165" s="930"/>
      <c r="X165" s="928"/>
      <c r="Y165" s="929"/>
      <c r="Z165" s="929"/>
      <c r="AA165" s="930"/>
      <c r="AB165" s="928"/>
      <c r="AC165" s="929"/>
      <c r="AD165" s="929"/>
      <c r="AE165" s="929"/>
      <c r="AF165" s="931"/>
      <c r="AG165" s="932"/>
      <c r="AH165" s="932"/>
      <c r="AI165" s="932"/>
      <c r="AJ165" s="318"/>
      <c r="AK165" s="555"/>
      <c r="AL165" s="710"/>
      <c r="AM165" s="711"/>
      <c r="AN165" s="712"/>
      <c r="AO165" s="710"/>
      <c r="AP165" s="710"/>
      <c r="AQ165" s="710"/>
      <c r="AR165" s="712"/>
      <c r="AS165" s="710"/>
      <c r="AT165" s="710"/>
      <c r="AU165" s="710"/>
      <c r="AV165" s="712"/>
      <c r="AW165" s="710"/>
      <c r="AX165" s="302"/>
      <c r="AY165" s="302"/>
      <c r="AZ165" s="578"/>
      <c r="BA165" s="710"/>
      <c r="BB165" s="1101"/>
      <c r="BC165" s="1101"/>
      <c r="BD165" s="2213"/>
      <c r="BE165" s="1101"/>
      <c r="BF165" s="1101"/>
      <c r="BG165" s="2214"/>
      <c r="BH165" s="2213"/>
      <c r="BI165" s="1101"/>
      <c r="BJ165" s="1101"/>
      <c r="BK165" s="2214"/>
      <c r="BL165" s="934"/>
      <c r="BM165" s="935"/>
      <c r="BN165" s="935"/>
      <c r="BO165" s="935"/>
      <c r="BP165" s="935"/>
      <c r="BQ165" s="935"/>
      <c r="BR165" s="936"/>
      <c r="BS165" s="936"/>
      <c r="BT165" s="936"/>
      <c r="BU165" s="936"/>
      <c r="BV165" s="1993"/>
      <c r="BW165" s="937"/>
      <c r="BX165" s="937"/>
      <c r="BY165" s="937"/>
      <c r="BZ165" s="937"/>
      <c r="CA165" s="1994"/>
      <c r="CB165" s="1408"/>
    </row>
    <row r="166" spans="2:80" s="977" customFormat="1" ht="14.25" customHeight="1">
      <c r="B166" s="856" t="s">
        <v>410</v>
      </c>
      <c r="C166" s="976"/>
      <c r="D166" s="968"/>
      <c r="E166" s="968"/>
      <c r="F166" s="968"/>
      <c r="G166" s="969"/>
      <c r="H166" s="968"/>
      <c r="I166" s="968"/>
      <c r="J166" s="968"/>
      <c r="K166" s="969"/>
      <c r="L166" s="968"/>
      <c r="M166" s="968"/>
      <c r="N166" s="968"/>
      <c r="O166" s="969"/>
      <c r="P166" s="968"/>
      <c r="Q166" s="968"/>
      <c r="R166" s="968"/>
      <c r="S166" s="969"/>
      <c r="T166" s="970"/>
      <c r="U166" s="971"/>
      <c r="V166" s="971"/>
      <c r="W166" s="972"/>
      <c r="X166" s="970"/>
      <c r="Y166" s="971"/>
      <c r="Z166" s="971"/>
      <c r="AA166" s="972"/>
      <c r="AB166" s="970"/>
      <c r="AC166" s="971"/>
      <c r="AD166" s="971"/>
      <c r="AE166" s="971"/>
      <c r="AF166" s="973"/>
      <c r="AG166" s="971"/>
      <c r="AH166" s="971"/>
      <c r="AI166" s="971"/>
      <c r="AJ166" s="709"/>
      <c r="AK166" s="708"/>
      <c r="AL166" s="1246">
        <v>2.6</v>
      </c>
      <c r="AM166" s="1247">
        <v>3</v>
      </c>
      <c r="AN166" s="1236">
        <v>2</v>
      </c>
      <c r="AO166" s="1119">
        <v>1.8141600722075821</v>
      </c>
      <c r="AP166" s="1119">
        <v>2.3342955326460495</v>
      </c>
      <c r="AQ166" s="1119">
        <v>3</v>
      </c>
      <c r="AR166" s="1236">
        <v>2</v>
      </c>
      <c r="AS166" s="1119">
        <v>2</v>
      </c>
      <c r="AT166" s="1119">
        <v>2.8</v>
      </c>
      <c r="AU166" s="1119">
        <v>2.8</v>
      </c>
      <c r="AV166" s="1236">
        <v>1.9</v>
      </c>
      <c r="AW166" s="1119">
        <v>3</v>
      </c>
      <c r="AX166" s="1119">
        <v>5.8</v>
      </c>
      <c r="AY166" s="1119">
        <v>3.375</v>
      </c>
      <c r="AZ166" s="1236">
        <v>2</v>
      </c>
      <c r="BA166" s="1119">
        <v>2.6</v>
      </c>
      <c r="BB166" s="1246">
        <v>4.7</v>
      </c>
      <c r="BC166" s="1246">
        <v>2.5</v>
      </c>
      <c r="BD166" s="2194">
        <v>2.6829999999999998</v>
      </c>
      <c r="BE166" s="1246">
        <v>2.8</v>
      </c>
      <c r="BF166" s="1246">
        <v>2.8</v>
      </c>
      <c r="BG166" s="2195">
        <v>3</v>
      </c>
      <c r="BH166" s="2194">
        <f>BD166*0.9</f>
        <v>2.4146999999999998</v>
      </c>
      <c r="BI166" s="1246">
        <f>BE166*0.9</f>
        <v>2.52</v>
      </c>
      <c r="BJ166" s="1246">
        <f t="shared" ref="BJ166:BK166" si="810">BF166*0.9</f>
        <v>2.52</v>
      </c>
      <c r="BK166" s="1246">
        <f t="shared" si="810"/>
        <v>2.7</v>
      </c>
      <c r="BL166" s="974"/>
      <c r="BM166" s="975"/>
      <c r="BN166" s="975"/>
      <c r="BO166" s="975"/>
      <c r="BP166" s="975"/>
      <c r="BQ166" s="975"/>
      <c r="BR166" s="976"/>
      <c r="BS166" s="976"/>
      <c r="BT166" s="976"/>
      <c r="BU166" s="708">
        <f>SUM(AJ166:AM166)</f>
        <v>5.6</v>
      </c>
      <c r="BV166" s="1974">
        <f>+SUM(AN166:AQ166)</f>
        <v>9.1484556048536323</v>
      </c>
      <c r="BW166" s="1345">
        <f>+SUM(AR166:AU166)</f>
        <v>9.6</v>
      </c>
      <c r="BX166" s="1345">
        <f>+SUM(AV166:AY166)</f>
        <v>14.074999999999999</v>
      </c>
      <c r="BY166" s="1345">
        <f>+SUM(AZ166:BC166)</f>
        <v>11.8</v>
      </c>
      <c r="BZ166" s="1345">
        <f>+SUM(BD166:BG166)</f>
        <v>11.282999999999999</v>
      </c>
      <c r="CA166" s="1995">
        <f>+SUM(BH166:BK166)</f>
        <v>10.154699999999998</v>
      </c>
      <c r="CB166" s="1408"/>
    </row>
    <row r="167" spans="2:80" s="924" customFormat="1" ht="14.25" customHeight="1">
      <c r="B167" s="804" t="s">
        <v>390</v>
      </c>
      <c r="C167" s="937"/>
      <c r="D167" s="926"/>
      <c r="E167" s="926"/>
      <c r="F167" s="926"/>
      <c r="G167" s="927"/>
      <c r="H167" s="926"/>
      <c r="I167" s="926"/>
      <c r="J167" s="926"/>
      <c r="K167" s="927"/>
      <c r="L167" s="926"/>
      <c r="M167" s="926"/>
      <c r="N167" s="926"/>
      <c r="O167" s="927"/>
      <c r="P167" s="926"/>
      <c r="Q167" s="926"/>
      <c r="R167" s="926"/>
      <c r="S167" s="927"/>
      <c r="T167" s="928"/>
      <c r="U167" s="929"/>
      <c r="V167" s="929"/>
      <c r="W167" s="930"/>
      <c r="X167" s="928"/>
      <c r="Y167" s="929"/>
      <c r="Z167" s="929"/>
      <c r="AA167" s="930"/>
      <c r="AB167" s="928"/>
      <c r="AC167" s="929"/>
      <c r="AD167" s="929"/>
      <c r="AE167" s="929"/>
      <c r="AF167" s="931"/>
      <c r="AG167" s="932"/>
      <c r="AH167" s="932"/>
      <c r="AI167" s="932"/>
      <c r="AJ167" s="318"/>
      <c r="AK167" s="555"/>
      <c r="AL167" s="549"/>
      <c r="AM167" s="955">
        <f t="shared" ref="AM167:AU167" si="811">+AM166/AL166-1</f>
        <v>0.15384615384615374</v>
      </c>
      <c r="AN167" s="956">
        <f t="shared" si="811"/>
        <v>-0.33333333333333337</v>
      </c>
      <c r="AO167" s="957">
        <f t="shared" si="811"/>
        <v>-9.2919963896208935E-2</v>
      </c>
      <c r="AP167" s="957">
        <f t="shared" si="811"/>
        <v>0.28670869148031364</v>
      </c>
      <c r="AQ167" s="957">
        <f t="shared" si="811"/>
        <v>0.28518431280178946</v>
      </c>
      <c r="AR167" s="956">
        <f t="shared" si="811"/>
        <v>-0.33333333333333337</v>
      </c>
      <c r="AS167" s="957">
        <f t="shared" si="811"/>
        <v>0</v>
      </c>
      <c r="AT167" s="957">
        <f t="shared" si="811"/>
        <v>0.39999999999999991</v>
      </c>
      <c r="AU167" s="957">
        <f t="shared" si="811"/>
        <v>0</v>
      </c>
      <c r="AV167" s="956">
        <f t="shared" ref="AV167" si="812">+AV166/AU166-1</f>
        <v>-0.3214285714285714</v>
      </c>
      <c r="AW167" s="957">
        <f t="shared" ref="AW167:AZ167" si="813">+AW166/AV166-1</f>
        <v>0.57894736842105265</v>
      </c>
      <c r="AX167" s="909">
        <f t="shared" si="813"/>
        <v>0.93333333333333335</v>
      </c>
      <c r="AY167" s="909">
        <f t="shared" si="813"/>
        <v>-0.4181034482758621</v>
      </c>
      <c r="AZ167" s="910">
        <f t="shared" si="813"/>
        <v>-0.40740740740740744</v>
      </c>
      <c r="BA167" s="957">
        <f t="shared" ref="BA167" si="814">+BA166/AZ166-1</f>
        <v>0.30000000000000004</v>
      </c>
      <c r="BB167" s="2196">
        <f t="shared" ref="BB167" si="815">+BB166/BA166-1</f>
        <v>0.80769230769230771</v>
      </c>
      <c r="BC167" s="2196">
        <f t="shared" ref="BC167" si="816">+BC166/BB166-1</f>
        <v>-0.46808510638297873</v>
      </c>
      <c r="BD167" s="2197">
        <f t="shared" ref="BD167" si="817">+BD166/BC166-1</f>
        <v>7.3199999999999932E-2</v>
      </c>
      <c r="BE167" s="2196">
        <f t="shared" ref="BE167" si="818">+BE166/BD166-1</f>
        <v>4.3607901602683574E-2</v>
      </c>
      <c r="BF167" s="2196">
        <f t="shared" ref="BF167" si="819">+BF166/BE166-1</f>
        <v>0</v>
      </c>
      <c r="BG167" s="2198">
        <f t="shared" ref="BG167" si="820">+BG166/BF166-1</f>
        <v>7.1428571428571397E-2</v>
      </c>
      <c r="BH167" s="2197">
        <f t="shared" ref="BH167" si="821">+BH166/BG166-1</f>
        <v>-0.19510000000000005</v>
      </c>
      <c r="BI167" s="2196">
        <f t="shared" ref="BI167" si="822">+BI166/BH166-1</f>
        <v>4.3607901602683574E-2</v>
      </c>
      <c r="BJ167" s="2196">
        <f t="shared" ref="BJ167" si="823">+BJ166/BI166-1</f>
        <v>0</v>
      </c>
      <c r="BK167" s="2198">
        <f t="shared" ref="BK167" si="824">+BK166/BJ166-1</f>
        <v>7.1428571428571397E-2</v>
      </c>
      <c r="BL167" s="934"/>
      <c r="BM167" s="935"/>
      <c r="BN167" s="935"/>
      <c r="BO167" s="935"/>
      <c r="BP167" s="935"/>
      <c r="BQ167" s="935"/>
      <c r="BR167" s="936"/>
      <c r="BS167" s="936"/>
      <c r="BT167" s="936"/>
      <c r="BU167" s="936"/>
      <c r="BV167" s="1993"/>
      <c r="BW167" s="937"/>
      <c r="BX167" s="937"/>
      <c r="BY167" s="937"/>
      <c r="BZ167" s="937"/>
      <c r="CA167" s="1994"/>
      <c r="CB167" s="1408"/>
    </row>
    <row r="168" spans="2:80" s="924" customFormat="1" ht="14.25" customHeight="1">
      <c r="B168" s="804" t="s">
        <v>391</v>
      </c>
      <c r="C168" s="937"/>
      <c r="D168" s="926"/>
      <c r="E168" s="926"/>
      <c r="F168" s="926"/>
      <c r="G168" s="927"/>
      <c r="H168" s="926"/>
      <c r="I168" s="926"/>
      <c r="J168" s="926"/>
      <c r="K168" s="927"/>
      <c r="L168" s="926"/>
      <c r="M168" s="926"/>
      <c r="N168" s="926"/>
      <c r="O168" s="927"/>
      <c r="P168" s="926"/>
      <c r="Q168" s="926"/>
      <c r="R168" s="926"/>
      <c r="S168" s="927"/>
      <c r="T168" s="928"/>
      <c r="U168" s="929"/>
      <c r="V168" s="929"/>
      <c r="W168" s="930"/>
      <c r="X168" s="928"/>
      <c r="Y168" s="929"/>
      <c r="Z168" s="929"/>
      <c r="AA168" s="930"/>
      <c r="AB168" s="928"/>
      <c r="AC168" s="929"/>
      <c r="AD168" s="929"/>
      <c r="AE168" s="929"/>
      <c r="AF168" s="931"/>
      <c r="AG168" s="932"/>
      <c r="AH168" s="932"/>
      <c r="AI168" s="932"/>
      <c r="AJ168" s="318"/>
      <c r="AK168" s="555"/>
      <c r="AL168" s="549"/>
      <c r="AM168" s="551"/>
      <c r="AN168" s="806"/>
      <c r="AO168" s="549"/>
      <c r="AP168" s="1237">
        <f t="shared" ref="AP168:AU168" si="825">+AP166/AL166-1</f>
        <v>-0.10219402590536564</v>
      </c>
      <c r="AQ168" s="1237">
        <f t="shared" si="825"/>
        <v>0</v>
      </c>
      <c r="AR168" s="1238">
        <f t="shared" si="825"/>
        <v>0</v>
      </c>
      <c r="AS168" s="1239">
        <f t="shared" si="825"/>
        <v>0.10243855029081117</v>
      </c>
      <c r="AT168" s="1237">
        <f t="shared" si="825"/>
        <v>0.19950535861500329</v>
      </c>
      <c r="AU168" s="1237">
        <f t="shared" si="825"/>
        <v>-6.6666666666666763E-2</v>
      </c>
      <c r="AV168" s="1238">
        <f t="shared" ref="AV168" si="826">+AV166/AR166-1</f>
        <v>-5.0000000000000044E-2</v>
      </c>
      <c r="AW168" s="1239">
        <f t="shared" ref="AW168:AZ168" si="827">+AW166/AS166-1</f>
        <v>0.5</v>
      </c>
      <c r="AX168" s="1237">
        <f t="shared" si="827"/>
        <v>1.0714285714285716</v>
      </c>
      <c r="AY168" s="1237">
        <f t="shared" si="827"/>
        <v>0.20535714285714302</v>
      </c>
      <c r="AZ168" s="1808">
        <f t="shared" si="827"/>
        <v>5.2631578947368363E-2</v>
      </c>
      <c r="BA168" s="1239">
        <f t="shared" ref="BA168" si="828">+BA166/AW166-1</f>
        <v>-0.1333333333333333</v>
      </c>
      <c r="BB168" s="2199">
        <f t="shared" ref="BB168" si="829">+BB166/AX166-1</f>
        <v>-0.18965517241379304</v>
      </c>
      <c r="BC168" s="2199">
        <f t="shared" ref="BC168" si="830">+BC166/AY166-1</f>
        <v>-0.2592592592592593</v>
      </c>
      <c r="BD168" s="2200">
        <f t="shared" ref="BD168" si="831">+BD166/AZ166-1</f>
        <v>0.34149999999999991</v>
      </c>
      <c r="BE168" s="2201">
        <f t="shared" ref="BE168" si="832">+BE166/BA166-1</f>
        <v>7.6923076923076872E-2</v>
      </c>
      <c r="BF168" s="2199">
        <f t="shared" ref="BF168" si="833">+BF166/BB166-1</f>
        <v>-0.4042553191489362</v>
      </c>
      <c r="BG168" s="2202">
        <f t="shared" ref="BG168" si="834">+BG166/BC166-1</f>
        <v>0.19999999999999996</v>
      </c>
      <c r="BH168" s="2200">
        <f t="shared" ref="BH168" si="835">+BH166/BD166-1</f>
        <v>-9.9999999999999978E-2</v>
      </c>
      <c r="BI168" s="2201">
        <f t="shared" ref="BI168" si="836">+BI166/BE166-1</f>
        <v>-9.9999999999999978E-2</v>
      </c>
      <c r="BJ168" s="2199">
        <f t="shared" ref="BJ168" si="837">+BJ166/BF166-1</f>
        <v>-9.9999999999999978E-2</v>
      </c>
      <c r="BK168" s="2202">
        <f t="shared" ref="BK168" si="838">+BK166/BG166-1</f>
        <v>-9.9999999999999978E-2</v>
      </c>
      <c r="BL168" s="934"/>
      <c r="BM168" s="935"/>
      <c r="BN168" s="935"/>
      <c r="BO168" s="935"/>
      <c r="BP168" s="935"/>
      <c r="BQ168" s="935"/>
      <c r="BR168" s="936"/>
      <c r="BS168" s="936"/>
      <c r="BT168" s="936"/>
      <c r="BU168" s="936"/>
      <c r="BV168" s="1996">
        <f>+BV166/BU166-1</f>
        <v>0.63365278658100577</v>
      </c>
      <c r="BW168" s="979">
        <f>+BW166/BV166-1</f>
        <v>4.9357445086884777E-2</v>
      </c>
      <c r="BX168" s="979">
        <v>0</v>
      </c>
      <c r="BY168" s="979">
        <f>+BY166/BX166-1</f>
        <v>-0.16163410301953807</v>
      </c>
      <c r="BZ168" s="979">
        <f>+BZ166/BY166-1</f>
        <v>-4.3813559322034012E-2</v>
      </c>
      <c r="CA168" s="1997">
        <f>+CA166/BZ166-1</f>
        <v>-0.10000000000000009</v>
      </c>
      <c r="CB168" s="1408"/>
    </row>
    <row r="169" spans="2:80" s="924" customFormat="1" ht="14.25" customHeight="1">
      <c r="B169" s="804" t="s">
        <v>471</v>
      </c>
      <c r="C169" s="937"/>
      <c r="D169" s="926"/>
      <c r="E169" s="926"/>
      <c r="F169" s="926"/>
      <c r="G169" s="927"/>
      <c r="H169" s="926"/>
      <c r="I169" s="926"/>
      <c r="J169" s="926"/>
      <c r="K169" s="927"/>
      <c r="L169" s="926"/>
      <c r="M169" s="926"/>
      <c r="N169" s="926"/>
      <c r="O169" s="927"/>
      <c r="P169" s="926"/>
      <c r="Q169" s="926"/>
      <c r="R169" s="926"/>
      <c r="S169" s="927"/>
      <c r="T169" s="928"/>
      <c r="U169" s="929"/>
      <c r="V169" s="929"/>
      <c r="W169" s="930"/>
      <c r="X169" s="928"/>
      <c r="Y169" s="929"/>
      <c r="Z169" s="929"/>
      <c r="AA169" s="930"/>
      <c r="AB169" s="928"/>
      <c r="AC169" s="929"/>
      <c r="AD169" s="929"/>
      <c r="AE169" s="929"/>
      <c r="AF169" s="931"/>
      <c r="AG169" s="932"/>
      <c r="AH169" s="932"/>
      <c r="AI169" s="932"/>
      <c r="AJ169" s="806"/>
      <c r="AK169" s="549"/>
      <c r="AL169" s="549"/>
      <c r="AM169" s="551"/>
      <c r="AN169" s="806"/>
      <c r="AO169" s="549"/>
      <c r="AP169" s="957"/>
      <c r="AQ169" s="957"/>
      <c r="AR169" s="806"/>
      <c r="AS169" s="549"/>
      <c r="AT169" s="957"/>
      <c r="AU169" s="957"/>
      <c r="AV169" s="806"/>
      <c r="AW169" s="549"/>
      <c r="AX169" s="909"/>
      <c r="AY169" s="909"/>
      <c r="AZ169" s="1811"/>
      <c r="BA169" s="549"/>
      <c r="BB169" s="2196"/>
      <c r="BC169" s="2196"/>
      <c r="BD169" s="2215"/>
      <c r="BE169" s="2216"/>
      <c r="BF169" s="2196"/>
      <c r="BG169" s="2198"/>
      <c r="BH169" s="2215"/>
      <c r="BI169" s="2216"/>
      <c r="BJ169" s="2196"/>
      <c r="BK169" s="2198"/>
      <c r="BL169" s="934"/>
      <c r="BM169" s="935"/>
      <c r="BN169" s="935"/>
      <c r="BO169" s="935"/>
      <c r="BP169" s="935"/>
      <c r="BQ169" s="935"/>
      <c r="BR169" s="936"/>
      <c r="BS169" s="936"/>
      <c r="BT169" s="936"/>
      <c r="BU169" s="981">
        <f t="shared" ref="BU169:BZ169" si="839">+BU166/14.9</f>
        <v>0.3758389261744966</v>
      </c>
      <c r="BV169" s="1998">
        <f t="shared" si="839"/>
        <v>0.61399030905057939</v>
      </c>
      <c r="BW169" s="981">
        <f t="shared" si="839"/>
        <v>0.64429530201342278</v>
      </c>
      <c r="BX169" s="981">
        <f t="shared" si="839"/>
        <v>0.94463087248322142</v>
      </c>
      <c r="BY169" s="981">
        <f t="shared" si="839"/>
        <v>0.79194630872483229</v>
      </c>
      <c r="BZ169" s="981">
        <f t="shared" si="839"/>
        <v>0.75724832214765092</v>
      </c>
      <c r="CA169" s="1999">
        <f t="shared" ref="CA169" si="840">+CA166/14.9</f>
        <v>0.68152348993288581</v>
      </c>
      <c r="CB169" s="1408"/>
    </row>
    <row r="170" spans="2:80" s="924" customFormat="1" ht="14.25" customHeight="1">
      <c r="B170" s="1040"/>
      <c r="C170" s="937"/>
      <c r="D170" s="926"/>
      <c r="E170" s="926"/>
      <c r="F170" s="926"/>
      <c r="G170" s="927"/>
      <c r="H170" s="926"/>
      <c r="I170" s="926"/>
      <c r="J170" s="926"/>
      <c r="K170" s="927"/>
      <c r="L170" s="926"/>
      <c r="M170" s="926"/>
      <c r="N170" s="926"/>
      <c r="O170" s="927"/>
      <c r="P170" s="926"/>
      <c r="Q170" s="926"/>
      <c r="R170" s="926"/>
      <c r="S170" s="927"/>
      <c r="T170" s="928"/>
      <c r="U170" s="929"/>
      <c r="V170" s="929"/>
      <c r="W170" s="930"/>
      <c r="X170" s="928"/>
      <c r="Y170" s="929"/>
      <c r="Z170" s="929"/>
      <c r="AA170" s="930"/>
      <c r="AB170" s="928"/>
      <c r="AC170" s="929"/>
      <c r="AD170" s="929"/>
      <c r="AE170" s="929"/>
      <c r="AF170" s="931"/>
      <c r="AG170" s="932"/>
      <c r="AH170" s="932"/>
      <c r="AI170" s="932"/>
      <c r="AJ170" s="318"/>
      <c r="AK170" s="555"/>
      <c r="AL170" s="555"/>
      <c r="AM170" s="556"/>
      <c r="AN170" s="318"/>
      <c r="AO170" s="555"/>
      <c r="AP170" s="555"/>
      <c r="AQ170" s="555"/>
      <c r="AR170" s="318"/>
      <c r="AS170" s="555"/>
      <c r="AT170" s="555"/>
      <c r="AU170" s="555"/>
      <c r="AV170" s="318"/>
      <c r="AW170" s="555"/>
      <c r="AX170" s="1613"/>
      <c r="AY170" s="1613"/>
      <c r="AZ170" s="1810"/>
      <c r="BA170" s="555"/>
      <c r="BB170" s="2205"/>
      <c r="BC170" s="2205"/>
      <c r="BD170" s="332"/>
      <c r="BE170" s="2205"/>
      <c r="BF170" s="2205"/>
      <c r="BG170" s="2206"/>
      <c r="BH170" s="332"/>
      <c r="BI170" s="2205"/>
      <c r="BJ170" s="2205"/>
      <c r="BK170" s="2206"/>
      <c r="BL170" s="934"/>
      <c r="BM170" s="935"/>
      <c r="BN170" s="935"/>
      <c r="BO170" s="935"/>
      <c r="BP170" s="935"/>
      <c r="BQ170" s="935"/>
      <c r="BR170" s="936"/>
      <c r="BS170" s="936"/>
      <c r="BT170" s="936"/>
      <c r="BU170" s="936"/>
      <c r="BV170" s="1993"/>
      <c r="BW170" s="937"/>
      <c r="BX170" s="937"/>
      <c r="BY170" s="937"/>
      <c r="BZ170" s="937"/>
      <c r="CA170" s="1994"/>
      <c r="CB170" s="1408"/>
    </row>
    <row r="171" spans="2:80" s="924" customFormat="1" ht="14.25" customHeight="1">
      <c r="B171" s="856" t="s">
        <v>467</v>
      </c>
      <c r="C171" s="937"/>
      <c r="D171" s="926"/>
      <c r="E171" s="926"/>
      <c r="F171" s="926"/>
      <c r="G171" s="927"/>
      <c r="H171" s="926"/>
      <c r="I171" s="926"/>
      <c r="J171" s="926"/>
      <c r="K171" s="927"/>
      <c r="L171" s="926"/>
      <c r="M171" s="926"/>
      <c r="N171" s="926"/>
      <c r="O171" s="927"/>
      <c r="P171" s="926"/>
      <c r="Q171" s="926"/>
      <c r="R171" s="926"/>
      <c r="S171" s="927"/>
      <c r="T171" s="928"/>
      <c r="U171" s="929"/>
      <c r="V171" s="929"/>
      <c r="W171" s="930"/>
      <c r="X171" s="928"/>
      <c r="Y171" s="929"/>
      <c r="Z171" s="929"/>
      <c r="AA171" s="930"/>
      <c r="AB171" s="928"/>
      <c r="AC171" s="929"/>
      <c r="AD171" s="929"/>
      <c r="AE171" s="929"/>
      <c r="AF171" s="931"/>
      <c r="AG171" s="932"/>
      <c r="AH171" s="932"/>
      <c r="AI171" s="932"/>
      <c r="AJ171" s="709"/>
      <c r="AK171" s="708"/>
      <c r="AL171" s="1241">
        <v>75</v>
      </c>
      <c r="AM171" s="798">
        <f t="shared" ref="AM171:AU171" si="841">AL171*(1+AM172)</f>
        <v>75</v>
      </c>
      <c r="AN171" s="1116">
        <f t="shared" si="841"/>
        <v>72.75</v>
      </c>
      <c r="AO171" s="1240">
        <f t="shared" si="841"/>
        <v>72.75</v>
      </c>
      <c r="AP171" s="1240">
        <f t="shared" si="841"/>
        <v>72.75</v>
      </c>
      <c r="AQ171" s="1240">
        <f t="shared" si="841"/>
        <v>72.75</v>
      </c>
      <c r="AR171" s="1116">
        <f t="shared" si="841"/>
        <v>69.112499999999997</v>
      </c>
      <c r="AS171" s="1240">
        <f t="shared" si="841"/>
        <v>67.730249999999998</v>
      </c>
      <c r="AT171" s="1240">
        <f t="shared" si="841"/>
        <v>67.730249999999998</v>
      </c>
      <c r="AU171" s="1240">
        <f t="shared" si="841"/>
        <v>60.957225000000001</v>
      </c>
      <c r="AV171" s="1116">
        <f t="shared" ref="AV171" si="842">AU171*(1+AV172)</f>
        <v>57.909363749999997</v>
      </c>
      <c r="AW171" s="1240">
        <f t="shared" ref="AW171:AZ171" si="843">AV171*(1+AW172)</f>
        <v>56.172082837499993</v>
      </c>
      <c r="AX171" s="1240">
        <f t="shared" si="843"/>
        <v>56.172082837499993</v>
      </c>
      <c r="AY171" s="1240">
        <f t="shared" si="843"/>
        <v>56.172082837499993</v>
      </c>
      <c r="AZ171" s="1116">
        <f t="shared" si="843"/>
        <v>56.172082837499993</v>
      </c>
      <c r="BA171" s="1240">
        <f t="shared" ref="BA171" si="844">AZ171*(1+BA172)</f>
        <v>58.980686979374994</v>
      </c>
      <c r="BB171" s="2207">
        <f t="shared" ref="BB171" si="845">BA171*(1+BB172)</f>
        <v>58.980686979374994</v>
      </c>
      <c r="BC171" s="2207">
        <f t="shared" ref="BC171" si="846">BB171*(1+BC172)</f>
        <v>58.980686979374994</v>
      </c>
      <c r="BD171" s="2208">
        <f t="shared" ref="BD171" si="847">BC171*(1+BD172)</f>
        <v>58.980686979374994</v>
      </c>
      <c r="BE171" s="2207">
        <f t="shared" ref="BE171" si="848">BD171*(1+BE172)</f>
        <v>58.980686979374994</v>
      </c>
      <c r="BF171" s="2207">
        <f t="shared" ref="BF171" si="849">BE171*(1+BF172)</f>
        <v>58.980686979374994</v>
      </c>
      <c r="BG171" s="2209">
        <f t="shared" ref="BG171" si="850">BF171*(1+BG172)</f>
        <v>58.980686979374994</v>
      </c>
      <c r="BH171" s="2208">
        <f t="shared" ref="BH171" si="851">BG171*(1+BH172)</f>
        <v>58.980686979374994</v>
      </c>
      <c r="BI171" s="2207">
        <f t="shared" ref="BI171" si="852">BH171*(1+BI172)</f>
        <v>58.980686979374994</v>
      </c>
      <c r="BJ171" s="2207">
        <f t="shared" ref="BJ171" si="853">BI171*(1+BJ172)</f>
        <v>58.980686979374994</v>
      </c>
      <c r="BK171" s="2209">
        <f t="shared" ref="BK171" si="854">BJ171*(1+BK172)</f>
        <v>58.980686979374994</v>
      </c>
      <c r="BL171" s="934"/>
      <c r="BM171" s="935"/>
      <c r="BN171" s="935"/>
      <c r="BO171" s="935"/>
      <c r="BP171" s="935"/>
      <c r="BQ171" s="935"/>
      <c r="BR171" s="936"/>
      <c r="BS171" s="936"/>
      <c r="BT171" s="936"/>
      <c r="BU171" s="966">
        <f t="shared" ref="BU171:BZ171" si="855">+BU175/BU166</f>
        <v>75</v>
      </c>
      <c r="BV171" s="2000">
        <f t="shared" si="855"/>
        <v>72.749999999999986</v>
      </c>
      <c r="BW171" s="966">
        <f t="shared" si="855"/>
        <v>66.042753125000004</v>
      </c>
      <c r="BX171" s="966">
        <f t="shared" si="855"/>
        <v>56.406600331904968</v>
      </c>
      <c r="BY171" s="966">
        <f t="shared" si="855"/>
        <v>58.504652379057191</v>
      </c>
      <c r="BZ171" s="966">
        <f t="shared" si="855"/>
        <v>58.980686979375001</v>
      </c>
      <c r="CA171" s="2001">
        <f t="shared" ref="CA171" si="856">+CA175/CA166</f>
        <v>58.980686979375008</v>
      </c>
      <c r="CB171" s="1408"/>
    </row>
    <row r="172" spans="2:80" s="924" customFormat="1" ht="14.25" customHeight="1">
      <c r="B172" s="804" t="s">
        <v>390</v>
      </c>
      <c r="C172" s="937"/>
      <c r="D172" s="926"/>
      <c r="E172" s="926"/>
      <c r="F172" s="926"/>
      <c r="G172" s="927"/>
      <c r="H172" s="926"/>
      <c r="I172" s="926"/>
      <c r="J172" s="926"/>
      <c r="K172" s="927"/>
      <c r="L172" s="926"/>
      <c r="M172" s="926"/>
      <c r="N172" s="926"/>
      <c r="O172" s="927"/>
      <c r="P172" s="926"/>
      <c r="Q172" s="926"/>
      <c r="R172" s="926"/>
      <c r="S172" s="927"/>
      <c r="T172" s="928"/>
      <c r="U172" s="929"/>
      <c r="V172" s="929"/>
      <c r="W172" s="930"/>
      <c r="X172" s="928"/>
      <c r="Y172" s="929"/>
      <c r="Z172" s="929"/>
      <c r="AA172" s="930"/>
      <c r="AB172" s="928"/>
      <c r="AC172" s="929"/>
      <c r="AD172" s="929"/>
      <c r="AE172" s="929"/>
      <c r="AF172" s="931"/>
      <c r="AG172" s="932"/>
      <c r="AH172" s="932"/>
      <c r="AI172" s="932"/>
      <c r="AJ172" s="318"/>
      <c r="AK172" s="555"/>
      <c r="AL172" s="549"/>
      <c r="AM172" s="1242">
        <v>0</v>
      </c>
      <c r="AN172" s="1243">
        <v>-0.03</v>
      </c>
      <c r="AO172" s="1244">
        <v>0</v>
      </c>
      <c r="AP172" s="1244">
        <v>0</v>
      </c>
      <c r="AQ172" s="1244">
        <v>0</v>
      </c>
      <c r="AR172" s="1243">
        <v>-0.05</v>
      </c>
      <c r="AS172" s="1244">
        <v>-0.02</v>
      </c>
      <c r="AT172" s="1244">
        <v>0</v>
      </c>
      <c r="AU172" s="1244">
        <v>-0.1</v>
      </c>
      <c r="AV172" s="1243">
        <v>-0.05</v>
      </c>
      <c r="AW172" s="1244">
        <v>-0.03</v>
      </c>
      <c r="AX172" s="1244">
        <v>0</v>
      </c>
      <c r="AY172" s="1244">
        <v>0</v>
      </c>
      <c r="AZ172" s="1243">
        <v>0</v>
      </c>
      <c r="BA172" s="1244">
        <v>0.05</v>
      </c>
      <c r="BB172" s="2210">
        <v>0</v>
      </c>
      <c r="BC172" s="2210">
        <v>0</v>
      </c>
      <c r="BD172" s="2211">
        <v>0</v>
      </c>
      <c r="BE172" s="2210">
        <v>0</v>
      </c>
      <c r="BF172" s="2210">
        <v>0</v>
      </c>
      <c r="BG172" s="2212">
        <v>0</v>
      </c>
      <c r="BH172" s="2211">
        <v>0</v>
      </c>
      <c r="BI172" s="2210">
        <v>0</v>
      </c>
      <c r="BJ172" s="2210">
        <v>0</v>
      </c>
      <c r="BK172" s="2212">
        <v>0</v>
      </c>
      <c r="BL172" s="934"/>
      <c r="BM172" s="935"/>
      <c r="BN172" s="935"/>
      <c r="BO172" s="935"/>
      <c r="BP172" s="935"/>
      <c r="BQ172" s="935"/>
      <c r="BR172" s="936"/>
      <c r="BS172" s="936"/>
      <c r="BT172" s="936"/>
      <c r="BU172" s="936"/>
      <c r="BV172" s="1993"/>
      <c r="BW172" s="937"/>
      <c r="BX172" s="937"/>
      <c r="BY172" s="937"/>
      <c r="BZ172" s="937"/>
      <c r="CA172" s="1994"/>
      <c r="CB172" s="1408"/>
    </row>
    <row r="173" spans="2:80" s="924" customFormat="1" ht="14.25" customHeight="1">
      <c r="B173" s="804" t="s">
        <v>391</v>
      </c>
      <c r="C173" s="937"/>
      <c r="D173" s="926"/>
      <c r="E173" s="926"/>
      <c r="F173" s="926"/>
      <c r="G173" s="927"/>
      <c r="H173" s="926"/>
      <c r="I173" s="926"/>
      <c r="J173" s="926"/>
      <c r="K173" s="927"/>
      <c r="L173" s="926"/>
      <c r="M173" s="926"/>
      <c r="N173" s="926"/>
      <c r="O173" s="927"/>
      <c r="P173" s="926"/>
      <c r="Q173" s="926"/>
      <c r="R173" s="926"/>
      <c r="S173" s="927"/>
      <c r="T173" s="928"/>
      <c r="U173" s="929"/>
      <c r="V173" s="929"/>
      <c r="W173" s="930"/>
      <c r="X173" s="928"/>
      <c r="Y173" s="929"/>
      <c r="Z173" s="929"/>
      <c r="AA173" s="930"/>
      <c r="AB173" s="928"/>
      <c r="AC173" s="929"/>
      <c r="AD173" s="929"/>
      <c r="AE173" s="929"/>
      <c r="AF173" s="931"/>
      <c r="AG173" s="932"/>
      <c r="AH173" s="932"/>
      <c r="AI173" s="932"/>
      <c r="AJ173" s="318"/>
      <c r="AK173" s="555"/>
      <c r="AL173" s="549"/>
      <c r="AM173" s="551"/>
      <c r="AN173" s="806"/>
      <c r="AO173" s="549"/>
      <c r="AP173" s="1237">
        <f t="shared" ref="AP173:AU173" si="857">+AP171/AL171-1</f>
        <v>-3.0000000000000027E-2</v>
      </c>
      <c r="AQ173" s="1237">
        <f t="shared" si="857"/>
        <v>-3.0000000000000027E-2</v>
      </c>
      <c r="AR173" s="1238">
        <f t="shared" si="857"/>
        <v>-5.0000000000000044E-2</v>
      </c>
      <c r="AS173" s="1239">
        <f t="shared" si="857"/>
        <v>-6.9000000000000061E-2</v>
      </c>
      <c r="AT173" s="1237">
        <f t="shared" si="857"/>
        <v>-6.9000000000000061E-2</v>
      </c>
      <c r="AU173" s="1237">
        <f t="shared" si="857"/>
        <v>-0.16210000000000002</v>
      </c>
      <c r="AV173" s="1238">
        <f t="shared" ref="AV173" si="858">+AV171/AR171-1</f>
        <v>-0.16210000000000002</v>
      </c>
      <c r="AW173" s="1239">
        <f t="shared" ref="AW173:AZ173" si="859">+AW171/AS171-1</f>
        <v>-0.17065000000000008</v>
      </c>
      <c r="AX173" s="1237">
        <f t="shared" si="859"/>
        <v>-0.17065000000000008</v>
      </c>
      <c r="AY173" s="1237">
        <f t="shared" si="859"/>
        <v>-7.8500000000000125E-2</v>
      </c>
      <c r="AZ173" s="1808">
        <f t="shared" si="859"/>
        <v>-3.0000000000000027E-2</v>
      </c>
      <c r="BA173" s="1239">
        <f t="shared" ref="BA173" si="860">+BA171/AW171-1</f>
        <v>5.0000000000000044E-2</v>
      </c>
      <c r="BB173" s="2199">
        <f t="shared" ref="BB173" si="861">+BB171/AX171-1</f>
        <v>5.0000000000000044E-2</v>
      </c>
      <c r="BC173" s="2199">
        <f t="shared" ref="BC173" si="862">+BC171/AY171-1</f>
        <v>5.0000000000000044E-2</v>
      </c>
      <c r="BD173" s="2200">
        <f t="shared" ref="BD173" si="863">+BD171/AZ171-1</f>
        <v>5.0000000000000044E-2</v>
      </c>
      <c r="BE173" s="2201">
        <f t="shared" ref="BE173" si="864">+BE171/BA171-1</f>
        <v>0</v>
      </c>
      <c r="BF173" s="2199">
        <f t="shared" ref="BF173" si="865">+BF171/BB171-1</f>
        <v>0</v>
      </c>
      <c r="BG173" s="2202">
        <f t="shared" ref="BG173" si="866">+BG171/BC171-1</f>
        <v>0</v>
      </c>
      <c r="BH173" s="2200">
        <f t="shared" ref="BH173" si="867">+BH171/BD171-1</f>
        <v>0</v>
      </c>
      <c r="BI173" s="2201">
        <f t="shared" ref="BI173" si="868">+BI171/BE171-1</f>
        <v>0</v>
      </c>
      <c r="BJ173" s="2199">
        <f t="shared" ref="BJ173" si="869">+BJ171/BF171-1</f>
        <v>0</v>
      </c>
      <c r="BK173" s="2202">
        <f t="shared" ref="BK173" si="870">+BK171/BG171-1</f>
        <v>0</v>
      </c>
      <c r="BL173" s="934"/>
      <c r="BM173" s="935"/>
      <c r="BN173" s="935"/>
      <c r="BO173" s="935"/>
      <c r="BP173" s="935"/>
      <c r="BQ173" s="935"/>
      <c r="BR173" s="936"/>
      <c r="BS173" s="936"/>
      <c r="BT173" s="936"/>
      <c r="BU173" s="936"/>
      <c r="BV173" s="1996">
        <f t="shared" ref="BV173:CA173" si="871">+BV171/BU171-1</f>
        <v>-3.0000000000000138E-2</v>
      </c>
      <c r="BW173" s="979">
        <f t="shared" si="871"/>
        <v>-9.2195833333333144E-2</v>
      </c>
      <c r="BX173" s="979">
        <f t="shared" si="871"/>
        <v>-0.14590779967722667</v>
      </c>
      <c r="BY173" s="979">
        <f t="shared" si="871"/>
        <v>3.719515153912778E-2</v>
      </c>
      <c r="BZ173" s="979">
        <f t="shared" si="871"/>
        <v>8.1366965012208414E-3</v>
      </c>
      <c r="CA173" s="1997">
        <f t="shared" si="871"/>
        <v>0</v>
      </c>
      <c r="CB173" s="1408"/>
    </row>
    <row r="174" spans="2:80" s="924" customFormat="1" ht="14.25" customHeight="1">
      <c r="B174" s="1040"/>
      <c r="C174" s="937"/>
      <c r="D174" s="926"/>
      <c r="E174" s="926"/>
      <c r="F174" s="926"/>
      <c r="G174" s="927"/>
      <c r="H174" s="926"/>
      <c r="I174" s="926"/>
      <c r="J174" s="926"/>
      <c r="K174" s="927"/>
      <c r="L174" s="926"/>
      <c r="M174" s="926"/>
      <c r="N174" s="926"/>
      <c r="O174" s="927"/>
      <c r="P174" s="926"/>
      <c r="Q174" s="926"/>
      <c r="R174" s="926"/>
      <c r="S174" s="927"/>
      <c r="T174" s="928"/>
      <c r="U174" s="929"/>
      <c r="V174" s="929"/>
      <c r="W174" s="930"/>
      <c r="X174" s="928"/>
      <c r="Y174" s="929"/>
      <c r="Z174" s="929"/>
      <c r="AA174" s="930"/>
      <c r="AB174" s="928"/>
      <c r="AC174" s="929"/>
      <c r="AD174" s="929"/>
      <c r="AE174" s="929"/>
      <c r="AF174" s="931"/>
      <c r="AG174" s="932"/>
      <c r="AH174" s="932"/>
      <c r="AI174" s="932"/>
      <c r="AJ174" s="318"/>
      <c r="AK174" s="555"/>
      <c r="AL174" s="555"/>
      <c r="AM174" s="556"/>
      <c r="AN174" s="318"/>
      <c r="AO174" s="555"/>
      <c r="AP174" s="555"/>
      <c r="AQ174" s="555"/>
      <c r="AR174" s="318"/>
      <c r="AS174" s="555"/>
      <c r="AT174" s="555"/>
      <c r="AU174" s="555"/>
      <c r="AV174" s="318"/>
      <c r="AW174" s="555"/>
      <c r="AX174" s="1613"/>
      <c r="AY174" s="1613"/>
      <c r="AZ174" s="1810"/>
      <c r="BA174" s="555"/>
      <c r="BB174" s="2205"/>
      <c r="BC174" s="2205"/>
      <c r="BD174" s="332"/>
      <c r="BE174" s="2205"/>
      <c r="BF174" s="2205"/>
      <c r="BG174" s="2206"/>
      <c r="BH174" s="332"/>
      <c r="BI174" s="2205"/>
      <c r="BJ174" s="2205"/>
      <c r="BK174" s="2206"/>
      <c r="BL174" s="934"/>
      <c r="BM174" s="935"/>
      <c r="BN174" s="935"/>
      <c r="BO174" s="935"/>
      <c r="BP174" s="935"/>
      <c r="BQ174" s="935"/>
      <c r="BR174" s="936"/>
      <c r="BS174" s="936"/>
      <c r="BT174" s="936"/>
      <c r="BU174" s="936"/>
      <c r="BV174" s="1993"/>
      <c r="BW174" s="937"/>
      <c r="BX174" s="937"/>
      <c r="BY174" s="937"/>
      <c r="BZ174" s="937"/>
      <c r="CA174" s="1994"/>
      <c r="CB174" s="1408"/>
    </row>
    <row r="175" spans="2:80" s="924" customFormat="1" ht="14.25" customHeight="1">
      <c r="B175" s="856" t="s">
        <v>160</v>
      </c>
      <c r="C175" s="937"/>
      <c r="D175" s="926"/>
      <c r="E175" s="926"/>
      <c r="F175" s="926"/>
      <c r="G175" s="927"/>
      <c r="H175" s="926"/>
      <c r="I175" s="926"/>
      <c r="J175" s="926"/>
      <c r="K175" s="927"/>
      <c r="L175" s="926"/>
      <c r="M175" s="926"/>
      <c r="N175" s="926"/>
      <c r="O175" s="927"/>
      <c r="P175" s="926"/>
      <c r="Q175" s="926"/>
      <c r="R175" s="926"/>
      <c r="S175" s="927"/>
      <c r="T175" s="928"/>
      <c r="U175" s="929"/>
      <c r="V175" s="929"/>
      <c r="W175" s="930"/>
      <c r="X175" s="928"/>
      <c r="Y175" s="929"/>
      <c r="Z175" s="929"/>
      <c r="AA175" s="930"/>
      <c r="AB175" s="928"/>
      <c r="AC175" s="929"/>
      <c r="AD175" s="929"/>
      <c r="AE175" s="929"/>
      <c r="AF175" s="931"/>
      <c r="AG175" s="932"/>
      <c r="AH175" s="932"/>
      <c r="AI175" s="932"/>
      <c r="AJ175" s="712"/>
      <c r="AK175" s="710"/>
      <c r="AL175" s="710">
        <f>+AL166*AL171</f>
        <v>195</v>
      </c>
      <c r="AM175" s="711">
        <f>+AM166*AM171</f>
        <v>225</v>
      </c>
      <c r="AN175" s="712">
        <f t="shared" ref="AN175:AU175" si="872">+AN166*AN171</f>
        <v>145.5</v>
      </c>
      <c r="AO175" s="710">
        <f t="shared" si="872"/>
        <v>131.9801452531016</v>
      </c>
      <c r="AP175" s="710">
        <f t="shared" si="872"/>
        <v>169.82000000000011</v>
      </c>
      <c r="AQ175" s="710">
        <f t="shared" si="872"/>
        <v>218.25</v>
      </c>
      <c r="AR175" s="712">
        <f t="shared" si="872"/>
        <v>138.22499999999999</v>
      </c>
      <c r="AS175" s="710">
        <f t="shared" si="872"/>
        <v>135.4605</v>
      </c>
      <c r="AT175" s="710">
        <f t="shared" si="872"/>
        <v>189.64469999999997</v>
      </c>
      <c r="AU175" s="710">
        <f t="shared" si="872"/>
        <v>170.68022999999999</v>
      </c>
      <c r="AV175" s="712">
        <f t="shared" ref="AV175:AZ175" si="873">+AV166*AV171</f>
        <v>110.02779112499999</v>
      </c>
      <c r="AW175" s="710">
        <f t="shared" si="873"/>
        <v>168.51624851249997</v>
      </c>
      <c r="AX175" s="302">
        <f t="shared" si="873"/>
        <v>325.79808045749996</v>
      </c>
      <c r="AY175" s="302">
        <f t="shared" si="873"/>
        <v>189.58077957656246</v>
      </c>
      <c r="AZ175" s="578">
        <f t="shared" si="873"/>
        <v>112.34416567499999</v>
      </c>
      <c r="BA175" s="710">
        <f t="shared" ref="BA175:BC175" si="874">+BA166*BA171</f>
        <v>153.34978614637498</v>
      </c>
      <c r="BB175" s="1101">
        <f t="shared" si="874"/>
        <v>277.2092288030625</v>
      </c>
      <c r="BC175" s="1101">
        <f t="shared" si="874"/>
        <v>147.45171744843748</v>
      </c>
      <c r="BD175" s="2213">
        <f t="shared" ref="BD175:BG175" si="875">+BD166*BD171</f>
        <v>158.24518316566309</v>
      </c>
      <c r="BE175" s="1101">
        <f t="shared" si="875"/>
        <v>165.14592354224996</v>
      </c>
      <c r="BF175" s="1101">
        <f t="shared" si="875"/>
        <v>165.14592354224996</v>
      </c>
      <c r="BG175" s="2214">
        <f t="shared" si="875"/>
        <v>176.942060938125</v>
      </c>
      <c r="BH175" s="2213">
        <f t="shared" ref="BH175:BK175" si="876">+BH166*BH171</f>
        <v>142.4206648490968</v>
      </c>
      <c r="BI175" s="1101">
        <f t="shared" si="876"/>
        <v>148.63133118802497</v>
      </c>
      <c r="BJ175" s="1101">
        <f t="shared" si="876"/>
        <v>148.63133118802497</v>
      </c>
      <c r="BK175" s="2214">
        <f t="shared" si="876"/>
        <v>159.24785484431249</v>
      </c>
      <c r="BL175" s="934"/>
      <c r="BM175" s="935"/>
      <c r="BN175" s="935"/>
      <c r="BO175" s="935"/>
      <c r="BP175" s="935"/>
      <c r="BQ175" s="935"/>
      <c r="BR175" s="936"/>
      <c r="BS175" s="936"/>
      <c r="BT175" s="936"/>
      <c r="BU175" s="788">
        <f>SUM(AJ175:AM175)</f>
        <v>420</v>
      </c>
      <c r="BV175" s="1975">
        <f>+SUM(AN175:AQ175)</f>
        <v>665.55014525310162</v>
      </c>
      <c r="BW175" s="1346">
        <f>+SUM(AR175:AU175)</f>
        <v>634.01043000000004</v>
      </c>
      <c r="BX175" s="1345">
        <f>+SUM(AV175:AY175)</f>
        <v>793.92289967156239</v>
      </c>
      <c r="BY175" s="1345">
        <f>+SUM(AZ175:BC175)</f>
        <v>690.3548980728749</v>
      </c>
      <c r="BZ175" s="1345">
        <f>+SUM(BD175:BG175)</f>
        <v>665.47909118828807</v>
      </c>
      <c r="CA175" s="1995">
        <f>+SUM(BH175:BK175)</f>
        <v>598.93118206945928</v>
      </c>
      <c r="CB175" s="1408"/>
    </row>
    <row r="176" spans="2:80" s="924" customFormat="1" ht="14.25" customHeight="1">
      <c r="B176" s="804" t="s">
        <v>390</v>
      </c>
      <c r="C176" s="937"/>
      <c r="D176" s="926"/>
      <c r="E176" s="926"/>
      <c r="F176" s="926"/>
      <c r="G176" s="927"/>
      <c r="H176" s="926"/>
      <c r="I176" s="926"/>
      <c r="J176" s="926"/>
      <c r="K176" s="927"/>
      <c r="L176" s="926"/>
      <c r="M176" s="926"/>
      <c r="N176" s="926"/>
      <c r="O176" s="927"/>
      <c r="P176" s="926"/>
      <c r="Q176" s="926"/>
      <c r="R176" s="926"/>
      <c r="S176" s="927"/>
      <c r="T176" s="928"/>
      <c r="U176" s="929"/>
      <c r="V176" s="929"/>
      <c r="W176" s="930"/>
      <c r="X176" s="928"/>
      <c r="Y176" s="929"/>
      <c r="Z176" s="929"/>
      <c r="AA176" s="930"/>
      <c r="AB176" s="928"/>
      <c r="AC176" s="929"/>
      <c r="AD176" s="929"/>
      <c r="AE176" s="929"/>
      <c r="AF176" s="931"/>
      <c r="AG176" s="932"/>
      <c r="AH176" s="932"/>
      <c r="AI176" s="932"/>
      <c r="AJ176" s="318"/>
      <c r="AK176" s="555"/>
      <c r="AL176" s="549"/>
      <c r="AM176" s="1248">
        <f t="shared" ref="AM176:AU176" si="877">+AM175/AL175-1</f>
        <v>0.15384615384615374</v>
      </c>
      <c r="AN176" s="1249">
        <f t="shared" si="877"/>
        <v>-0.35333333333333339</v>
      </c>
      <c r="AO176" s="1237">
        <f t="shared" si="877"/>
        <v>-9.2919963896208935E-2</v>
      </c>
      <c r="AP176" s="1237">
        <f t="shared" si="877"/>
        <v>0.28670869148031386</v>
      </c>
      <c r="AQ176" s="1237">
        <f t="shared" si="877"/>
        <v>0.28518431280178924</v>
      </c>
      <c r="AR176" s="1249">
        <f t="shared" si="877"/>
        <v>-0.3666666666666667</v>
      </c>
      <c r="AS176" s="1237">
        <f t="shared" si="877"/>
        <v>-2.0000000000000018E-2</v>
      </c>
      <c r="AT176" s="1237">
        <f t="shared" si="877"/>
        <v>0.39999999999999991</v>
      </c>
      <c r="AU176" s="1237">
        <f t="shared" si="877"/>
        <v>-9.9999999999999867E-2</v>
      </c>
      <c r="AV176" s="1249">
        <f t="shared" ref="AV176" si="878">+AV175/AU175-1</f>
        <v>-0.35535714285714293</v>
      </c>
      <c r="AW176" s="1237">
        <f t="shared" ref="AW176:AZ176" si="879">+AW175/AV175-1</f>
        <v>0.53157894736842093</v>
      </c>
      <c r="AX176" s="1237">
        <f t="shared" si="879"/>
        <v>0.93333333333333335</v>
      </c>
      <c r="AY176" s="1237">
        <f t="shared" si="879"/>
        <v>-0.4181034482758621</v>
      </c>
      <c r="AZ176" s="1249">
        <f t="shared" si="879"/>
        <v>-0.40740740740740733</v>
      </c>
      <c r="BA176" s="1237">
        <f t="shared" ref="BA176" si="880">+BA175/AZ175-1</f>
        <v>0.36499999999999999</v>
      </c>
      <c r="BB176" s="2199">
        <f t="shared" ref="BB176" si="881">+BB175/BA175-1</f>
        <v>0.80769230769230793</v>
      </c>
      <c r="BC176" s="2199">
        <f t="shared" ref="BC176" si="882">+BC175/BB175-1</f>
        <v>-0.46808510638297884</v>
      </c>
      <c r="BD176" s="2217">
        <f t="shared" ref="BD176" si="883">+BD175/BC175-1</f>
        <v>7.3199999999999932E-2</v>
      </c>
      <c r="BE176" s="2199">
        <f t="shared" ref="BE176" si="884">+BE175/BD175-1</f>
        <v>4.3607901602683574E-2</v>
      </c>
      <c r="BF176" s="2199">
        <f t="shared" ref="BF176" si="885">+BF175/BE175-1</f>
        <v>0</v>
      </c>
      <c r="BG176" s="2202">
        <f t="shared" ref="BG176" si="886">+BG175/BF175-1</f>
        <v>7.1428571428571619E-2</v>
      </c>
      <c r="BH176" s="2217">
        <f t="shared" ref="BH176" si="887">+BH175/BG175-1</f>
        <v>-0.19510000000000005</v>
      </c>
      <c r="BI176" s="2199">
        <f t="shared" ref="BI176" si="888">+BI175/BH175-1</f>
        <v>4.3607901602683574E-2</v>
      </c>
      <c r="BJ176" s="2199">
        <f t="shared" ref="BJ176" si="889">+BJ175/BI175-1</f>
        <v>0</v>
      </c>
      <c r="BK176" s="2202">
        <f t="shared" ref="BK176" si="890">+BK175/BJ175-1</f>
        <v>7.1428571428571619E-2</v>
      </c>
      <c r="BL176" s="934"/>
      <c r="BM176" s="935"/>
      <c r="BN176" s="935"/>
      <c r="BO176" s="935"/>
      <c r="BP176" s="935"/>
      <c r="BQ176" s="935"/>
      <c r="BR176" s="936"/>
      <c r="BS176" s="936"/>
      <c r="BT176" s="936"/>
      <c r="BU176" s="936"/>
      <c r="BV176" s="1993"/>
      <c r="BW176" s="937"/>
      <c r="BX176" s="937"/>
      <c r="BY176" s="937"/>
      <c r="BZ176" s="937"/>
      <c r="CA176" s="1994"/>
      <c r="CB176" s="1408"/>
    </row>
    <row r="177" spans="2:80" s="924" customFormat="1" ht="14.25" customHeight="1">
      <c r="B177" s="804" t="s">
        <v>391</v>
      </c>
      <c r="C177" s="937"/>
      <c r="D177" s="926"/>
      <c r="E177" s="926"/>
      <c r="F177" s="926"/>
      <c r="G177" s="927"/>
      <c r="H177" s="926"/>
      <c r="I177" s="926"/>
      <c r="J177" s="926"/>
      <c r="K177" s="927"/>
      <c r="L177" s="926"/>
      <c r="M177" s="926"/>
      <c r="N177" s="926"/>
      <c r="O177" s="927"/>
      <c r="P177" s="926"/>
      <c r="Q177" s="926"/>
      <c r="R177" s="926"/>
      <c r="S177" s="927"/>
      <c r="T177" s="928"/>
      <c r="U177" s="929"/>
      <c r="V177" s="929"/>
      <c r="W177" s="930"/>
      <c r="X177" s="928"/>
      <c r="Y177" s="929"/>
      <c r="Z177" s="929"/>
      <c r="AA177" s="930"/>
      <c r="AB177" s="928"/>
      <c r="AC177" s="929"/>
      <c r="AD177" s="929"/>
      <c r="AE177" s="929"/>
      <c r="AF177" s="931"/>
      <c r="AG177" s="932"/>
      <c r="AH177" s="932"/>
      <c r="AI177" s="932"/>
      <c r="AJ177" s="318"/>
      <c r="AK177" s="555"/>
      <c r="AL177" s="549"/>
      <c r="AM177" s="551"/>
      <c r="AN177" s="806"/>
      <c r="AO177" s="549"/>
      <c r="AP177" s="957">
        <f t="shared" ref="AP177:AU177" si="891">+AP175/AL175-1</f>
        <v>-0.12912820512820455</v>
      </c>
      <c r="AQ177" s="1237">
        <f t="shared" si="891"/>
        <v>-3.0000000000000027E-2</v>
      </c>
      <c r="AR177" s="1238">
        <f t="shared" si="891"/>
        <v>-5.0000000000000044E-2</v>
      </c>
      <c r="AS177" s="1239">
        <f t="shared" si="891"/>
        <v>2.6370290320745005E-2</v>
      </c>
      <c r="AT177" s="1237">
        <f t="shared" si="891"/>
        <v>0.11673948887056795</v>
      </c>
      <c r="AU177" s="1237">
        <f t="shared" si="891"/>
        <v>-0.21796000000000004</v>
      </c>
      <c r="AV177" s="1238">
        <f t="shared" ref="AV177" si="892">+AV175/AR175-1</f>
        <v>-0.20399500000000004</v>
      </c>
      <c r="AW177" s="1239">
        <f t="shared" ref="AW177:AZ177" si="893">+AW175/AS175-1</f>
        <v>0.24402499999999971</v>
      </c>
      <c r="AX177" s="1237">
        <f t="shared" si="893"/>
        <v>0.71793928571428567</v>
      </c>
      <c r="AY177" s="1237">
        <f t="shared" si="893"/>
        <v>0.11073660714285705</v>
      </c>
      <c r="AZ177" s="1808">
        <f t="shared" si="893"/>
        <v>2.1052631578947212E-2</v>
      </c>
      <c r="BA177" s="1239">
        <f t="shared" ref="BA177" si="894">+BA175/AW175-1</f>
        <v>-8.9999999999999969E-2</v>
      </c>
      <c r="BB177" s="2199">
        <f t="shared" ref="BB177" si="895">+BB175/AX175-1</f>
        <v>-0.1491379310344827</v>
      </c>
      <c r="BC177" s="2199">
        <f t="shared" ref="BC177" si="896">+BC175/AY175-1</f>
        <v>-0.22222222222222221</v>
      </c>
      <c r="BD177" s="2200">
        <f t="shared" ref="BD177" si="897">+BD175/AZ175-1</f>
        <v>0.40857499999999991</v>
      </c>
      <c r="BE177" s="2201">
        <f t="shared" ref="BE177" si="898">+BE175/BA175-1</f>
        <v>7.6923076923076872E-2</v>
      </c>
      <c r="BF177" s="2199">
        <f t="shared" ref="BF177" si="899">+BF175/BB175-1</f>
        <v>-0.40425531914893631</v>
      </c>
      <c r="BG177" s="2202">
        <f t="shared" ref="BG177" si="900">+BG175/BC175-1</f>
        <v>0.20000000000000018</v>
      </c>
      <c r="BH177" s="2200">
        <f t="shared" ref="BH177" si="901">+BH175/BD175-1</f>
        <v>-9.9999999999999978E-2</v>
      </c>
      <c r="BI177" s="2201">
        <f t="shared" ref="BI177" si="902">+BI175/BE175-1</f>
        <v>-9.9999999999999978E-2</v>
      </c>
      <c r="BJ177" s="2199">
        <f t="shared" ref="BJ177" si="903">+BJ175/BF175-1</f>
        <v>-9.9999999999999978E-2</v>
      </c>
      <c r="BK177" s="2202">
        <f t="shared" ref="BK177" si="904">+BK175/BG175-1</f>
        <v>-0.10000000000000009</v>
      </c>
      <c r="BL177" s="934"/>
      <c r="BM177" s="935"/>
      <c r="BN177" s="935"/>
      <c r="BO177" s="935"/>
      <c r="BP177" s="935"/>
      <c r="BQ177" s="935"/>
      <c r="BR177" s="936"/>
      <c r="BS177" s="936"/>
      <c r="BT177" s="936"/>
      <c r="BU177" s="936"/>
      <c r="BV177" s="1996">
        <f t="shared" ref="BV177:CA177" si="905">+BV175/BU175-1</f>
        <v>0.58464320298357531</v>
      </c>
      <c r="BW177" s="979">
        <f t="shared" si="905"/>
        <v>-4.7388939027437793E-2</v>
      </c>
      <c r="BX177" s="979">
        <f t="shared" si="905"/>
        <v>0.25222372078573274</v>
      </c>
      <c r="BY177" s="979">
        <f t="shared" si="905"/>
        <v>-0.13045095643611304</v>
      </c>
      <c r="BZ177" s="979">
        <f t="shared" si="905"/>
        <v>-3.6033360455654972E-2</v>
      </c>
      <c r="CA177" s="1997">
        <f t="shared" si="905"/>
        <v>-9.9999999999999978E-2</v>
      </c>
      <c r="CB177" s="1408"/>
    </row>
    <row r="178" spans="2:80" s="924" customFormat="1" ht="14.25" customHeight="1">
      <c r="B178" s="1040"/>
      <c r="C178" s="937"/>
      <c r="D178" s="926"/>
      <c r="E178" s="926"/>
      <c r="F178" s="926"/>
      <c r="G178" s="927"/>
      <c r="H178" s="926"/>
      <c r="I178" s="926"/>
      <c r="J178" s="926"/>
      <c r="K178" s="927"/>
      <c r="L178" s="926"/>
      <c r="M178" s="926"/>
      <c r="N178" s="926"/>
      <c r="O178" s="927"/>
      <c r="P178" s="926"/>
      <c r="Q178" s="926"/>
      <c r="R178" s="926"/>
      <c r="S178" s="927"/>
      <c r="T178" s="928"/>
      <c r="U178" s="929"/>
      <c r="V178" s="929"/>
      <c r="W178" s="930"/>
      <c r="X178" s="928"/>
      <c r="Y178" s="929"/>
      <c r="Z178" s="929"/>
      <c r="AA178" s="930"/>
      <c r="AB178" s="928"/>
      <c r="AC178" s="929"/>
      <c r="AD178" s="929"/>
      <c r="AE178" s="929"/>
      <c r="AF178" s="931"/>
      <c r="AG178" s="932"/>
      <c r="AH178" s="932"/>
      <c r="AI178" s="932"/>
      <c r="AJ178" s="931"/>
      <c r="AK178" s="932"/>
      <c r="AL178" s="932"/>
      <c r="AM178" s="933"/>
      <c r="AN178" s="931"/>
      <c r="AO178" s="932"/>
      <c r="AP178" s="932"/>
      <c r="AQ178" s="933"/>
      <c r="AR178" s="931"/>
      <c r="AS178" s="932"/>
      <c r="AT178" s="932"/>
      <c r="AU178" s="933"/>
      <c r="AV178" s="931"/>
      <c r="AW178" s="932"/>
      <c r="AX178" s="1610"/>
      <c r="AY178" s="1611"/>
      <c r="AZ178" s="1807"/>
      <c r="BA178" s="932"/>
      <c r="BB178" s="932"/>
      <c r="BC178" s="932"/>
      <c r="BD178" s="931"/>
      <c r="BE178" s="932"/>
      <c r="BF178" s="932"/>
      <c r="BG178" s="1770"/>
      <c r="BH178" s="931"/>
      <c r="BI178" s="932"/>
      <c r="BJ178" s="932"/>
      <c r="BK178" s="1770"/>
      <c r="BL178" s="934"/>
      <c r="BM178" s="935"/>
      <c r="BN178" s="935"/>
      <c r="BO178" s="935"/>
      <c r="BP178" s="935"/>
      <c r="BQ178" s="935"/>
      <c r="BR178" s="936"/>
      <c r="BS178" s="936"/>
      <c r="BT178" s="936"/>
      <c r="BU178" s="936"/>
      <c r="BV178" s="1993"/>
      <c r="BW178" s="937"/>
      <c r="BX178" s="937"/>
      <c r="BY178" s="937"/>
      <c r="BZ178" s="937"/>
      <c r="CA178" s="1994"/>
      <c r="CB178" s="1408"/>
    </row>
    <row r="179" spans="2:80" s="924" customFormat="1" ht="14.25" customHeight="1">
      <c r="B179" s="1040" t="s">
        <v>468</v>
      </c>
      <c r="C179" s="937"/>
      <c r="D179" s="926"/>
      <c r="E179" s="926"/>
      <c r="F179" s="926"/>
      <c r="G179" s="927"/>
      <c r="H179" s="926"/>
      <c r="I179" s="926"/>
      <c r="J179" s="926"/>
      <c r="K179" s="927"/>
      <c r="L179" s="926"/>
      <c r="M179" s="926"/>
      <c r="N179" s="926"/>
      <c r="O179" s="927"/>
      <c r="P179" s="926"/>
      <c r="Q179" s="926"/>
      <c r="R179" s="926"/>
      <c r="S179" s="927"/>
      <c r="T179" s="928"/>
      <c r="U179" s="929"/>
      <c r="V179" s="929"/>
      <c r="W179" s="930"/>
      <c r="X179" s="928"/>
      <c r="Y179" s="929"/>
      <c r="Z179" s="929"/>
      <c r="AA179" s="930"/>
      <c r="AB179" s="928"/>
      <c r="AC179" s="929"/>
      <c r="AD179" s="929"/>
      <c r="AE179" s="929"/>
      <c r="AF179" s="931"/>
      <c r="AG179" s="932"/>
      <c r="AH179" s="932"/>
      <c r="AI179" s="932"/>
      <c r="AJ179" s="931"/>
      <c r="AK179" s="932"/>
      <c r="AL179" s="1250">
        <v>0.3</v>
      </c>
      <c r="AM179" s="1251">
        <v>0.3</v>
      </c>
      <c r="AN179" s="1252">
        <v>0.3</v>
      </c>
      <c r="AO179" s="1250">
        <v>0.3</v>
      </c>
      <c r="AP179" s="1250">
        <v>0.3</v>
      </c>
      <c r="AQ179" s="1251">
        <v>0.3</v>
      </c>
      <c r="AR179" s="1252">
        <v>0.3</v>
      </c>
      <c r="AS179" s="1250">
        <v>0.3</v>
      </c>
      <c r="AT179" s="1250">
        <v>0.3</v>
      </c>
      <c r="AU179" s="1251">
        <v>0.3</v>
      </c>
      <c r="AV179" s="1252">
        <v>0.3</v>
      </c>
      <c r="AW179" s="1250">
        <v>0.3</v>
      </c>
      <c r="AX179" s="1614">
        <v>0.3</v>
      </c>
      <c r="AY179" s="1615">
        <v>0.3</v>
      </c>
      <c r="AZ179" s="1812">
        <v>0.3</v>
      </c>
      <c r="BA179" s="1250">
        <v>0.3</v>
      </c>
      <c r="BB179" s="1250">
        <v>0.3</v>
      </c>
      <c r="BC179" s="1250">
        <v>0.3</v>
      </c>
      <c r="BD179" s="1252">
        <v>0.3</v>
      </c>
      <c r="BE179" s="1250">
        <v>0.3</v>
      </c>
      <c r="BF179" s="1250">
        <v>0.3</v>
      </c>
      <c r="BG179" s="1773">
        <v>0.3</v>
      </c>
      <c r="BH179" s="1252">
        <v>0.3</v>
      </c>
      <c r="BI179" s="1250">
        <v>0.3</v>
      </c>
      <c r="BJ179" s="1250">
        <v>0.3</v>
      </c>
      <c r="BK179" s="1773">
        <v>0.3</v>
      </c>
      <c r="BL179" s="934"/>
      <c r="BM179" s="935"/>
      <c r="BN179" s="935"/>
      <c r="BO179" s="935"/>
      <c r="BP179" s="935"/>
      <c r="BQ179" s="935"/>
      <c r="BR179" s="936"/>
      <c r="BS179" s="936"/>
      <c r="BT179" s="936"/>
      <c r="BU179" s="936"/>
      <c r="BV179" s="1993"/>
      <c r="BW179" s="937"/>
      <c r="BX179" s="937"/>
      <c r="BY179" s="937"/>
      <c r="BZ179" s="937"/>
      <c r="CA179" s="1994"/>
      <c r="CB179" s="1408"/>
    </row>
    <row r="180" spans="2:80" s="924" customFormat="1" ht="14.25" customHeight="1">
      <c r="B180" s="1040" t="s">
        <v>469</v>
      </c>
      <c r="C180" s="937"/>
      <c r="D180" s="926"/>
      <c r="E180" s="926"/>
      <c r="F180" s="926"/>
      <c r="G180" s="927"/>
      <c r="H180" s="926"/>
      <c r="I180" s="926"/>
      <c r="J180" s="926"/>
      <c r="K180" s="927"/>
      <c r="L180" s="926"/>
      <c r="M180" s="926"/>
      <c r="N180" s="926"/>
      <c r="O180" s="927"/>
      <c r="P180" s="926"/>
      <c r="Q180" s="926"/>
      <c r="R180" s="926"/>
      <c r="S180" s="927"/>
      <c r="T180" s="928"/>
      <c r="U180" s="929"/>
      <c r="V180" s="929"/>
      <c r="W180" s="930"/>
      <c r="X180" s="928"/>
      <c r="Y180" s="929"/>
      <c r="Z180" s="929"/>
      <c r="AA180" s="930"/>
      <c r="AB180" s="928"/>
      <c r="AC180" s="929"/>
      <c r="AD180" s="929"/>
      <c r="AE180" s="929"/>
      <c r="AF180" s="931"/>
      <c r="AG180" s="932"/>
      <c r="AH180" s="932"/>
      <c r="AI180" s="932"/>
      <c r="AJ180" s="931"/>
      <c r="AK180" s="932"/>
      <c r="AL180" s="710">
        <f>+AL179*(AL175+AL161)</f>
        <v>115.05</v>
      </c>
      <c r="AM180" s="711">
        <f>+AM179*(AM175+AM161)</f>
        <v>157.34999999999985</v>
      </c>
      <c r="AN180" s="712">
        <f t="shared" ref="AN180:AU180" si="906">+AN179*(AN175+AN161)</f>
        <v>124.80000000000003</v>
      </c>
      <c r="AO180" s="710">
        <f t="shared" si="906"/>
        <v>147.9</v>
      </c>
      <c r="AP180" s="710">
        <f t="shared" si="906"/>
        <v>158.40000000000006</v>
      </c>
      <c r="AQ180" s="710">
        <f t="shared" si="906"/>
        <v>131.56499999999997</v>
      </c>
      <c r="AR180" s="712">
        <f t="shared" si="906"/>
        <v>116.86215943083148</v>
      </c>
      <c r="AS180" s="710">
        <f t="shared" si="906"/>
        <v>143.69369440476333</v>
      </c>
      <c r="AT180" s="710">
        <f t="shared" si="906"/>
        <v>164.74587912500149</v>
      </c>
      <c r="AU180" s="710">
        <f t="shared" si="906"/>
        <v>118.83252150000001</v>
      </c>
      <c r="AV180" s="712">
        <f t="shared" ref="AV180:AZ180" si="907">+AV179*(AV175+AV161)</f>
        <v>86.487000000000009</v>
      </c>
      <c r="AW180" s="710">
        <f t="shared" si="907"/>
        <v>151.28014141621918</v>
      </c>
      <c r="AX180" s="302">
        <f t="shared" si="907"/>
        <v>222.42455283037501</v>
      </c>
      <c r="AY180" s="302">
        <f t="shared" si="907"/>
        <v>124.01238009234375</v>
      </c>
      <c r="AZ180" s="578">
        <f t="shared" si="907"/>
        <v>89.475866883309379</v>
      </c>
      <c r="BA180" s="710">
        <f t="shared" ref="BA180:BC180" si="908">+BA179*(BA175+BA161)</f>
        <v>139.2310474513875</v>
      </c>
      <c r="BB180" s="1101">
        <f t="shared" si="908"/>
        <v>207.46425078421876</v>
      </c>
      <c r="BC180" s="1101">
        <f t="shared" si="908"/>
        <v>110.52963904429124</v>
      </c>
      <c r="BD180" s="2213">
        <f t="shared" ref="BD180:BG180" si="909">+BD179*(BD175+BD161)</f>
        <v>109.62429602134894</v>
      </c>
      <c r="BE180" s="1101">
        <f t="shared" si="909"/>
        <v>132.411431824875</v>
      </c>
      <c r="BF180" s="1101">
        <f t="shared" si="909"/>
        <v>138.62650593204</v>
      </c>
      <c r="BG180" s="2214">
        <f t="shared" si="909"/>
        <v>115.23335935308751</v>
      </c>
      <c r="BH180" s="2213">
        <f t="shared" ref="BH180:BK180" si="910">+BH179*(BH175+BH161)</f>
        <v>96.424439740634654</v>
      </c>
      <c r="BI180" s="1101">
        <f t="shared" si="910"/>
        <v>116.18705307094829</v>
      </c>
      <c r="BJ180" s="1101">
        <f t="shared" si="910"/>
        <v>121.55687709953887</v>
      </c>
      <c r="BK180" s="2214">
        <f t="shared" si="910"/>
        <v>101.47259673919936</v>
      </c>
      <c r="BL180" s="934"/>
      <c r="BM180" s="935"/>
      <c r="BN180" s="935"/>
      <c r="BO180" s="935"/>
      <c r="BP180" s="935"/>
      <c r="BQ180" s="935"/>
      <c r="BR180" s="936"/>
      <c r="BS180" s="936"/>
      <c r="BT180" s="936"/>
      <c r="BU180" s="788"/>
      <c r="BV180" s="1975"/>
      <c r="BW180" s="978"/>
      <c r="BX180" s="937"/>
      <c r="BY180" s="937"/>
      <c r="BZ180" s="937"/>
      <c r="CA180" s="1994"/>
      <c r="CB180" s="1408"/>
    </row>
    <row r="181" spans="2:80" s="924" customFormat="1" ht="14.25" customHeight="1">
      <c r="B181" s="1040"/>
      <c r="C181" s="937"/>
      <c r="D181" s="926"/>
      <c r="E181" s="926"/>
      <c r="F181" s="926"/>
      <c r="G181" s="927"/>
      <c r="H181" s="926"/>
      <c r="I181" s="926"/>
      <c r="J181" s="926"/>
      <c r="K181" s="927"/>
      <c r="L181" s="926"/>
      <c r="M181" s="926"/>
      <c r="N181" s="926"/>
      <c r="O181" s="927"/>
      <c r="P181" s="926"/>
      <c r="Q181" s="926"/>
      <c r="R181" s="926"/>
      <c r="S181" s="927"/>
      <c r="T181" s="928"/>
      <c r="U181" s="929"/>
      <c r="V181" s="929"/>
      <c r="W181" s="930"/>
      <c r="X181" s="928"/>
      <c r="Y181" s="929"/>
      <c r="Z181" s="929"/>
      <c r="AA181" s="930"/>
      <c r="AB181" s="928"/>
      <c r="AC181" s="929"/>
      <c r="AD181" s="929"/>
      <c r="AE181" s="929"/>
      <c r="AF181" s="931"/>
      <c r="AG181" s="932"/>
      <c r="AH181" s="932"/>
      <c r="AI181" s="932"/>
      <c r="AJ181" s="931"/>
      <c r="AK181" s="932"/>
      <c r="AL181" s="932"/>
      <c r="AM181" s="986"/>
      <c r="AN181" s="931"/>
      <c r="AO181" s="932"/>
      <c r="AP181" s="932"/>
      <c r="AQ181" s="933"/>
      <c r="AR181" s="931"/>
      <c r="AS181" s="932"/>
      <c r="AT181" s="932"/>
      <c r="AU181" s="933"/>
      <c r="AV181" s="931"/>
      <c r="AW181" s="932"/>
      <c r="AX181" s="1610"/>
      <c r="AY181" s="1611"/>
      <c r="AZ181" s="1807"/>
      <c r="BA181" s="932"/>
      <c r="BB181" s="932"/>
      <c r="BC181" s="932"/>
      <c r="BD181" s="931"/>
      <c r="BE181" s="932"/>
      <c r="BF181" s="932"/>
      <c r="BG181" s="1770"/>
      <c r="BH181" s="931"/>
      <c r="BI181" s="932"/>
      <c r="BJ181" s="932"/>
      <c r="BK181" s="1770"/>
      <c r="BL181" s="934"/>
      <c r="BM181" s="935"/>
      <c r="BN181" s="935"/>
      <c r="BO181" s="935"/>
      <c r="BP181" s="935"/>
      <c r="BQ181" s="935"/>
      <c r="BR181" s="936"/>
      <c r="BS181" s="936"/>
      <c r="BT181" s="936"/>
      <c r="BU181" s="936"/>
      <c r="BV181" s="1993"/>
      <c r="BW181" s="937"/>
      <c r="BX181" s="937"/>
      <c r="BY181" s="937"/>
      <c r="BZ181" s="937"/>
      <c r="CA181" s="1994"/>
      <c r="CB181" s="1408"/>
    </row>
    <row r="182" spans="2:80" s="1253" customFormat="1" ht="14.25" customHeight="1">
      <c r="B182" s="733" t="s">
        <v>505</v>
      </c>
      <c r="C182" s="1265"/>
      <c r="D182" s="1254"/>
      <c r="E182" s="1254"/>
      <c r="F182" s="1254"/>
      <c r="G182" s="1255"/>
      <c r="H182" s="1254"/>
      <c r="I182" s="1254"/>
      <c r="J182" s="1254"/>
      <c r="K182" s="1255"/>
      <c r="L182" s="1254"/>
      <c r="M182" s="1254"/>
      <c r="N182" s="1254"/>
      <c r="O182" s="1255"/>
      <c r="P182" s="1254"/>
      <c r="Q182" s="1254"/>
      <c r="R182" s="1254"/>
      <c r="S182" s="1255"/>
      <c r="T182" s="1256"/>
      <c r="U182" s="1257"/>
      <c r="V182" s="1257"/>
      <c r="W182" s="1258"/>
      <c r="X182" s="1256"/>
      <c r="Y182" s="1257"/>
      <c r="Z182" s="1257"/>
      <c r="AA182" s="1258"/>
      <c r="AB182" s="1256"/>
      <c r="AC182" s="1257"/>
      <c r="AD182" s="1257"/>
      <c r="AE182" s="1257"/>
      <c r="AF182" s="1259"/>
      <c r="AG182" s="1260"/>
      <c r="AH182" s="1260"/>
      <c r="AI182" s="1260"/>
      <c r="AJ182" s="1259"/>
      <c r="AK182" s="1260"/>
      <c r="AL182" s="1261">
        <f>AL152+AL166</f>
        <v>4.9562499999999998</v>
      </c>
      <c r="AM182" s="1261">
        <f t="shared" ref="AM182:AU182" si="911">AM152+AM166</f>
        <v>6.743749999999995</v>
      </c>
      <c r="AN182" s="1267">
        <f t="shared" si="911"/>
        <v>5.4858247422680426</v>
      </c>
      <c r="AO182" s="1261">
        <f t="shared" si="911"/>
        <v>6.4664777880181292</v>
      </c>
      <c r="AP182" s="1261">
        <f t="shared" si="911"/>
        <v>6.9500171821305869</v>
      </c>
      <c r="AQ182" s="1269">
        <f t="shared" si="911"/>
        <v>5.8389175257731951</v>
      </c>
      <c r="AR182" s="1261">
        <f t="shared" si="911"/>
        <v>5.4414999169613827</v>
      </c>
      <c r="AS182" s="1261">
        <f t="shared" si="911"/>
        <v>6.8001241027214769</v>
      </c>
      <c r="AT182" s="1261">
        <f t="shared" si="911"/>
        <v>7.823555399907379</v>
      </c>
      <c r="AU182" s="1269">
        <f t="shared" si="911"/>
        <v>6.3</v>
      </c>
      <c r="AV182" s="1261">
        <f t="shared" ref="AV182:AZ182" si="912">AV152+AV166</f>
        <v>4.813369220070113</v>
      </c>
      <c r="AW182" s="1261">
        <f t="shared" si="912"/>
        <v>8.7760349258585233</v>
      </c>
      <c r="AX182" s="1616">
        <f t="shared" si="912"/>
        <v>12.3</v>
      </c>
      <c r="AY182" s="1617">
        <f t="shared" si="912"/>
        <v>6.875</v>
      </c>
      <c r="AZ182" s="1616">
        <f t="shared" si="912"/>
        <v>4.9075000000000006</v>
      </c>
      <c r="BA182" s="1261">
        <f t="shared" ref="BA182:BC182" si="913">BA152+BA166</f>
        <v>7.1</v>
      </c>
      <c r="BB182" s="1261">
        <f t="shared" si="913"/>
        <v>10.7</v>
      </c>
      <c r="BC182" s="1261">
        <f t="shared" si="913"/>
        <v>5.7</v>
      </c>
      <c r="BD182" s="1267">
        <f t="shared" ref="BD182:BG182" si="914">BD152+BD166</f>
        <v>5.6829999999999998</v>
      </c>
      <c r="BE182" s="1261">
        <f t="shared" si="914"/>
        <v>6.8</v>
      </c>
      <c r="BF182" s="1261">
        <f t="shared" si="914"/>
        <v>7.1</v>
      </c>
      <c r="BG182" s="1774">
        <f t="shared" si="914"/>
        <v>6</v>
      </c>
      <c r="BH182" s="1267">
        <f t="shared" ref="BH182:BK182" si="915">BH152+BH166</f>
        <v>5.1147</v>
      </c>
      <c r="BI182" s="1261">
        <f t="shared" si="915"/>
        <v>6.12</v>
      </c>
      <c r="BJ182" s="1261">
        <f t="shared" si="915"/>
        <v>6.3900000000000006</v>
      </c>
      <c r="BK182" s="1774">
        <f t="shared" si="915"/>
        <v>5.4</v>
      </c>
      <c r="BL182" s="1262"/>
      <c r="BM182" s="1263"/>
      <c r="BN182" s="1263"/>
      <c r="BO182" s="1263"/>
      <c r="BP182" s="1263"/>
      <c r="BQ182" s="1263"/>
      <c r="BR182" s="1264"/>
      <c r="BS182" s="1264"/>
      <c r="BT182" s="1264"/>
      <c r="BU182" s="1261">
        <f t="shared" ref="BU182:BZ182" si="916">BU152+BU166</f>
        <v>11.699999999999994</v>
      </c>
      <c r="BV182" s="2002">
        <f t="shared" si="916"/>
        <v>24.741237238189953</v>
      </c>
      <c r="BW182" s="1261">
        <f t="shared" si="916"/>
        <v>26.365179419590241</v>
      </c>
      <c r="BX182" s="1261">
        <f t="shared" si="916"/>
        <v>32.764404145928637</v>
      </c>
      <c r="BY182" s="1261">
        <f t="shared" si="916"/>
        <v>28.407500000000002</v>
      </c>
      <c r="BZ182" s="1261">
        <f t="shared" si="916"/>
        <v>25.582999999999998</v>
      </c>
      <c r="CA182" s="1774">
        <f t="shared" ref="CA182" si="917">CA152+CA166</f>
        <v>23.024699999999999</v>
      </c>
      <c r="CB182" s="1408"/>
    </row>
    <row r="183" spans="2:80" s="1253" customFormat="1" ht="14.25" customHeight="1">
      <c r="B183" s="733" t="s">
        <v>555</v>
      </c>
      <c r="C183" s="1265"/>
      <c r="D183" s="1254"/>
      <c r="E183" s="1254"/>
      <c r="F183" s="1254"/>
      <c r="G183" s="1255"/>
      <c r="H183" s="1254"/>
      <c r="I183" s="1254"/>
      <c r="J183" s="1254"/>
      <c r="K183" s="1255"/>
      <c r="L183" s="1254"/>
      <c r="M183" s="1254"/>
      <c r="N183" s="1254"/>
      <c r="O183" s="1255"/>
      <c r="P183" s="1254"/>
      <c r="Q183" s="1254"/>
      <c r="R183" s="1254"/>
      <c r="S183" s="1255"/>
      <c r="T183" s="1256"/>
      <c r="U183" s="1257"/>
      <c r="V183" s="1257"/>
      <c r="W183" s="1258"/>
      <c r="X183" s="1256"/>
      <c r="Y183" s="1257"/>
      <c r="Z183" s="1257"/>
      <c r="AA183" s="1258"/>
      <c r="AB183" s="1256"/>
      <c r="AC183" s="1257"/>
      <c r="AD183" s="1257"/>
      <c r="AE183" s="1257"/>
      <c r="AF183" s="1259"/>
      <c r="AG183" s="1260"/>
      <c r="AH183" s="1260"/>
      <c r="AI183" s="1260"/>
      <c r="AJ183" s="1259"/>
      <c r="AK183" s="1260"/>
      <c r="AL183" s="1266">
        <f>(AL175+AL161)/(AL166+AL152)</f>
        <v>77.377049180327873</v>
      </c>
      <c r="AM183" s="1266">
        <f t="shared" ref="AM183:AU183" si="918">(AM175+AM161)/(AM166+AM152)</f>
        <v>77.775718257645963</v>
      </c>
      <c r="AN183" s="1268">
        <f t="shared" si="918"/>
        <v>75.831806436457597</v>
      </c>
      <c r="AO183" s="1266">
        <f t="shared" si="918"/>
        <v>76.23934020364068</v>
      </c>
      <c r="AP183" s="1266">
        <f t="shared" si="918"/>
        <v>75.971035202266549</v>
      </c>
      <c r="AQ183" s="1270">
        <f t="shared" si="918"/>
        <v>75.10809975722799</v>
      </c>
      <c r="AR183" s="1266">
        <f t="shared" si="918"/>
        <v>71.586977373994046</v>
      </c>
      <c r="AS183" s="1266">
        <f t="shared" si="918"/>
        <v>70.436799992741172</v>
      </c>
      <c r="AT183" s="1266">
        <f t="shared" si="918"/>
        <v>70.192246663604237</v>
      </c>
      <c r="AU183" s="1270">
        <f t="shared" si="918"/>
        <v>62.874350000000014</v>
      </c>
      <c r="AV183" s="1266">
        <f t="shared" ref="AV183:AZ183" si="919">(AV175+AV161)/(AV166+AV152)</f>
        <v>59.893597773037804</v>
      </c>
      <c r="AW183" s="1266">
        <f t="shared" si="919"/>
        <v>57.459563722592357</v>
      </c>
      <c r="AX183" s="1618">
        <f t="shared" si="919"/>
        <v>60.277656593597563</v>
      </c>
      <c r="AY183" s="1619">
        <f t="shared" si="919"/>
        <v>60.127214590227275</v>
      </c>
      <c r="AZ183" s="1618">
        <f t="shared" si="919"/>
        <v>60.774913828024701</v>
      </c>
      <c r="BA183" s="1266">
        <f t="shared" ref="BA183:BC183" si="920">(BA175+BA161)/(BA166+BA152)</f>
        <v>65.366688944313381</v>
      </c>
      <c r="BB183" s="1266">
        <f t="shared" si="920"/>
        <v>64.630607720940432</v>
      </c>
      <c r="BC183" s="1266">
        <f t="shared" si="920"/>
        <v>64.637215815375001</v>
      </c>
      <c r="BD183" s="1268">
        <f t="shared" ref="BD183:BG183" si="921">(BD175+BD161)/(BD166+BD152)</f>
        <v>64.299546026951106</v>
      </c>
      <c r="BE183" s="1266">
        <f t="shared" si="921"/>
        <v>64.907564620036766</v>
      </c>
      <c r="BF183" s="1266">
        <f t="shared" si="921"/>
        <v>65.082866634760563</v>
      </c>
      <c r="BG183" s="1775">
        <f t="shared" si="921"/>
        <v>64.018532973937511</v>
      </c>
      <c r="BH183" s="1268">
        <f t="shared" ref="BH183:BK183" si="922">(BH175+BH161)/(BH166+BH152)</f>
        <v>62.841378601960791</v>
      </c>
      <c r="BI183" s="1266">
        <f t="shared" si="922"/>
        <v>63.282708644307355</v>
      </c>
      <c r="BJ183" s="1266">
        <f t="shared" si="922"/>
        <v>63.409951538622252</v>
      </c>
      <c r="BK183" s="1775">
        <f t="shared" si="922"/>
        <v>62.637405394567502</v>
      </c>
      <c r="BL183" s="1262"/>
      <c r="BM183" s="1263"/>
      <c r="BN183" s="1263"/>
      <c r="BO183" s="1263"/>
      <c r="BP183" s="1263"/>
      <c r="BQ183" s="1263"/>
      <c r="BR183" s="1264"/>
      <c r="BS183" s="1264"/>
      <c r="BT183" s="1264"/>
      <c r="BU183" s="1266">
        <f t="shared" ref="BU183:BZ183" si="923">(BU175+BU161)/(BU166+BU152)</f>
        <v>77.606837606837601</v>
      </c>
      <c r="BV183" s="2003">
        <f t="shared" si="923"/>
        <v>75.806637394226527</v>
      </c>
      <c r="BW183" s="1266">
        <f t="shared" si="923"/>
        <v>68.79455737192086</v>
      </c>
      <c r="BX183" s="1266">
        <f t="shared" si="923"/>
        <v>59.434833784551131</v>
      </c>
      <c r="BY183" s="1266">
        <f t="shared" si="923"/>
        <v>64.14982007840733</v>
      </c>
      <c r="BZ183" s="1266">
        <f t="shared" si="923"/>
        <v>64.612645523896276</v>
      </c>
      <c r="CA183" s="1775">
        <f t="shared" ref="CA183" si="924">(CA175+CA161)/(CA166+CA152)</f>
        <v>63.068641741306976</v>
      </c>
      <c r="CB183" s="1408"/>
    </row>
    <row r="184" spans="2:80" s="924" customFormat="1" ht="15" customHeight="1">
      <c r="B184" s="1040"/>
      <c r="C184" s="937"/>
      <c r="D184" s="926"/>
      <c r="E184" s="926"/>
      <c r="F184" s="926"/>
      <c r="G184" s="927"/>
      <c r="H184" s="926"/>
      <c r="I184" s="926"/>
      <c r="J184" s="926"/>
      <c r="K184" s="927"/>
      <c r="L184" s="926"/>
      <c r="M184" s="926"/>
      <c r="N184" s="926"/>
      <c r="O184" s="927"/>
      <c r="P184" s="926"/>
      <c r="Q184" s="926"/>
      <c r="R184" s="926"/>
      <c r="S184" s="927"/>
      <c r="T184" s="928"/>
      <c r="U184" s="929"/>
      <c r="V184" s="929"/>
      <c r="W184" s="930"/>
      <c r="X184" s="928"/>
      <c r="Y184" s="929"/>
      <c r="Z184" s="929"/>
      <c r="AA184" s="930"/>
      <c r="AB184" s="928"/>
      <c r="AC184" s="929"/>
      <c r="AD184" s="929"/>
      <c r="AE184" s="929"/>
      <c r="AF184" s="931"/>
      <c r="AG184" s="932"/>
      <c r="AH184" s="932"/>
      <c r="AI184" s="932"/>
      <c r="AJ184" s="931"/>
      <c r="AK184" s="932"/>
      <c r="AL184" s="932"/>
      <c r="AM184" s="933"/>
      <c r="AN184" s="931"/>
      <c r="AO184" s="932"/>
      <c r="AP184" s="932"/>
      <c r="AQ184" s="933"/>
      <c r="AR184" s="931"/>
      <c r="AS184" s="932"/>
      <c r="AT184" s="932"/>
      <c r="AU184" s="933"/>
      <c r="AV184" s="931"/>
      <c r="AW184" s="932"/>
      <c r="AX184" s="1610"/>
      <c r="AY184" s="1611"/>
      <c r="AZ184" s="1807"/>
      <c r="BA184" s="932"/>
      <c r="BB184" s="932"/>
      <c r="BC184" s="932"/>
      <c r="BD184" s="931"/>
      <c r="BE184" s="932"/>
      <c r="BF184" s="932"/>
      <c r="BG184" s="1770"/>
      <c r="BH184" s="931"/>
      <c r="BI184" s="932"/>
      <c r="BJ184" s="932"/>
      <c r="BK184" s="1770"/>
      <c r="BL184" s="934"/>
      <c r="BM184" s="935"/>
      <c r="BN184" s="935"/>
      <c r="BO184" s="935"/>
      <c r="BP184" s="935"/>
      <c r="BQ184" s="935"/>
      <c r="BR184" s="936"/>
      <c r="BS184" s="936"/>
      <c r="BT184" s="936"/>
      <c r="BU184" s="936"/>
      <c r="BV184" s="1993"/>
      <c r="BW184" s="937"/>
      <c r="BX184" s="937"/>
      <c r="BY184" s="937"/>
      <c r="BZ184" s="937"/>
      <c r="CA184" s="1994"/>
      <c r="CB184" s="1408"/>
    </row>
    <row r="185" spans="2:80" s="924" customFormat="1" ht="14.25" customHeight="1">
      <c r="B185" s="1042" t="s">
        <v>470</v>
      </c>
      <c r="C185" s="937"/>
      <c r="D185" s="926"/>
      <c r="E185" s="926"/>
      <c r="F185" s="926"/>
      <c r="G185" s="927"/>
      <c r="H185" s="926"/>
      <c r="I185" s="926"/>
      <c r="J185" s="926"/>
      <c r="K185" s="927"/>
      <c r="L185" s="926"/>
      <c r="M185" s="926"/>
      <c r="N185" s="926"/>
      <c r="O185" s="927"/>
      <c r="P185" s="926"/>
      <c r="Q185" s="926"/>
      <c r="R185" s="926"/>
      <c r="S185" s="927"/>
      <c r="T185" s="928"/>
      <c r="U185" s="929"/>
      <c r="V185" s="929"/>
      <c r="W185" s="930"/>
      <c r="X185" s="928"/>
      <c r="Y185" s="929"/>
      <c r="Z185" s="929"/>
      <c r="AA185" s="930"/>
      <c r="AB185" s="928"/>
      <c r="AC185" s="929"/>
      <c r="AD185" s="929"/>
      <c r="AE185" s="929"/>
      <c r="AF185" s="931"/>
      <c r="AG185" s="932"/>
      <c r="AH185" s="932"/>
      <c r="AI185" s="932"/>
      <c r="AJ185" s="931"/>
      <c r="AK185" s="932"/>
      <c r="AL185" s="932"/>
      <c r="AM185" s="933"/>
      <c r="AN185" s="931"/>
      <c r="AO185" s="932"/>
      <c r="AP185" s="932"/>
      <c r="AQ185" s="933"/>
      <c r="AR185" s="931"/>
      <c r="AS185" s="932"/>
      <c r="AT185" s="932"/>
      <c r="AU185" s="933"/>
      <c r="AV185" s="931"/>
      <c r="AW185" s="932"/>
      <c r="AX185" s="1610"/>
      <c r="AY185" s="1611"/>
      <c r="AZ185" s="1807"/>
      <c r="BA185" s="932"/>
      <c r="BB185" s="932"/>
      <c r="BC185" s="932"/>
      <c r="BD185" s="931"/>
      <c r="BE185" s="932"/>
      <c r="BF185" s="932"/>
      <c r="BG185" s="1770"/>
      <c r="BH185" s="931"/>
      <c r="BI185" s="932"/>
      <c r="BJ185" s="932"/>
      <c r="BK185" s="1770"/>
      <c r="BL185" s="934"/>
      <c r="BM185" s="935"/>
      <c r="BN185" s="935"/>
      <c r="BO185" s="935"/>
      <c r="BP185" s="935"/>
      <c r="BQ185" s="935"/>
      <c r="BR185" s="936"/>
      <c r="BS185" s="936"/>
      <c r="BT185" s="936"/>
      <c r="BU185" s="936"/>
      <c r="BV185" s="1993"/>
      <c r="BW185" s="937"/>
      <c r="BX185" s="937"/>
      <c r="BY185" s="937"/>
      <c r="BZ185" s="937"/>
      <c r="CA185" s="1994"/>
      <c r="CB185" s="1408"/>
    </row>
    <row r="186" spans="2:80" s="924" customFormat="1" ht="14.25" customHeight="1">
      <c r="B186" s="856" t="s">
        <v>410</v>
      </c>
      <c r="C186" s="937"/>
      <c r="D186" s="926"/>
      <c r="E186" s="926"/>
      <c r="F186" s="926"/>
      <c r="G186" s="927"/>
      <c r="H186" s="926"/>
      <c r="I186" s="926"/>
      <c r="J186" s="926"/>
      <c r="K186" s="927"/>
      <c r="L186" s="926"/>
      <c r="M186" s="926"/>
      <c r="N186" s="926"/>
      <c r="O186" s="927"/>
      <c r="P186" s="926"/>
      <c r="Q186" s="926"/>
      <c r="R186" s="926"/>
      <c r="S186" s="927"/>
      <c r="T186" s="928"/>
      <c r="U186" s="929"/>
      <c r="V186" s="929"/>
      <c r="W186" s="930"/>
      <c r="X186" s="928"/>
      <c r="Y186" s="929"/>
      <c r="Z186" s="929"/>
      <c r="AA186" s="930"/>
      <c r="AB186" s="928"/>
      <c r="AC186" s="929"/>
      <c r="AD186" s="929"/>
      <c r="AE186" s="929"/>
      <c r="AF186" s="931"/>
      <c r="AG186" s="932"/>
      <c r="AH186" s="932"/>
      <c r="AI186" s="932"/>
      <c r="AJ186" s="1236">
        <v>1.5</v>
      </c>
      <c r="AK186" s="1119">
        <v>1.5</v>
      </c>
      <c r="AL186" s="1119">
        <v>1.5</v>
      </c>
      <c r="AM186" s="1120">
        <v>4.1334999999999997</v>
      </c>
      <c r="AN186" s="1236">
        <v>1</v>
      </c>
      <c r="AO186" s="1119">
        <v>1</v>
      </c>
      <c r="AP186" s="1119">
        <v>1</v>
      </c>
      <c r="AQ186" s="1119">
        <v>3.4600000000000093</v>
      </c>
      <c r="AR186" s="1236">
        <v>1.2</v>
      </c>
      <c r="AS186" s="1119">
        <v>1</v>
      </c>
      <c r="AT186" s="1119">
        <v>1</v>
      </c>
      <c r="AU186" s="1119">
        <v>1.5</v>
      </c>
      <c r="AV186" s="1236">
        <v>0.5</v>
      </c>
      <c r="AW186" s="1119">
        <v>0.5</v>
      </c>
      <c r="AX186" s="1119">
        <v>1</v>
      </c>
      <c r="AY186" s="1119">
        <v>1</v>
      </c>
      <c r="AZ186" s="1236">
        <v>0.5</v>
      </c>
      <c r="BA186" s="1119">
        <v>0.5</v>
      </c>
      <c r="BB186" s="1119">
        <v>1</v>
      </c>
      <c r="BC186" s="1119">
        <v>1</v>
      </c>
      <c r="BD186" s="1236">
        <v>0.5</v>
      </c>
      <c r="BE186" s="1119">
        <v>0.5</v>
      </c>
      <c r="BF186" s="1119">
        <v>0.5</v>
      </c>
      <c r="BG186" s="1771">
        <v>0.5</v>
      </c>
      <c r="BH186" s="1236">
        <v>0</v>
      </c>
      <c r="BI186" s="1842">
        <v>0</v>
      </c>
      <c r="BJ186" s="1842">
        <v>0</v>
      </c>
      <c r="BK186" s="1771">
        <v>0</v>
      </c>
      <c r="BL186" s="934"/>
      <c r="BM186" s="935"/>
      <c r="BN186" s="935"/>
      <c r="BO186" s="935"/>
      <c r="BP186" s="935"/>
      <c r="BQ186" s="935"/>
      <c r="BR186" s="936"/>
      <c r="BS186" s="936"/>
      <c r="BT186" s="936"/>
      <c r="BU186" s="391">
        <f>SUM(AJ186:AM186)</f>
        <v>8.6334999999999997</v>
      </c>
      <c r="BV186" s="1980">
        <f>+SUM(AN186:AQ186)</f>
        <v>6.4600000000000097</v>
      </c>
      <c r="BW186" s="391">
        <f>+SUM(AR186:AU186)</f>
        <v>4.7</v>
      </c>
      <c r="BX186" s="1345">
        <f>+SUM(AV186:AY186)</f>
        <v>3</v>
      </c>
      <c r="BY186" s="1345">
        <f>+SUM(AZ186:BC186)</f>
        <v>3</v>
      </c>
      <c r="BZ186" s="1345">
        <f>+SUM(BD186:BG186)</f>
        <v>2</v>
      </c>
      <c r="CA186" s="1995">
        <f>+SUM(BH186:BK186)</f>
        <v>0</v>
      </c>
      <c r="CB186" s="1408"/>
    </row>
    <row r="187" spans="2:80" s="924" customFormat="1" ht="14.25" customHeight="1">
      <c r="B187" s="804" t="s">
        <v>390</v>
      </c>
      <c r="C187" s="937"/>
      <c r="D187" s="926"/>
      <c r="E187" s="926"/>
      <c r="F187" s="926"/>
      <c r="G187" s="927"/>
      <c r="H187" s="926"/>
      <c r="I187" s="926"/>
      <c r="J187" s="926"/>
      <c r="K187" s="927"/>
      <c r="L187" s="926"/>
      <c r="M187" s="926"/>
      <c r="N187" s="926"/>
      <c r="O187" s="927"/>
      <c r="P187" s="926"/>
      <c r="Q187" s="926"/>
      <c r="R187" s="926"/>
      <c r="S187" s="927"/>
      <c r="T187" s="928"/>
      <c r="U187" s="929"/>
      <c r="V187" s="929"/>
      <c r="W187" s="930"/>
      <c r="X187" s="928"/>
      <c r="Y187" s="929"/>
      <c r="Z187" s="929"/>
      <c r="AA187" s="930"/>
      <c r="AB187" s="928"/>
      <c r="AC187" s="929"/>
      <c r="AD187" s="929"/>
      <c r="AE187" s="929"/>
      <c r="AF187" s="931"/>
      <c r="AG187" s="932"/>
      <c r="AH187" s="932"/>
      <c r="AI187" s="932"/>
      <c r="AJ187" s="1238"/>
      <c r="AK187" s="1237">
        <f t="shared" ref="AK187:AU187" si="925">+AK186/AJ186-1</f>
        <v>0</v>
      </c>
      <c r="AL187" s="1237">
        <f t="shared" si="925"/>
        <v>0</v>
      </c>
      <c r="AM187" s="1237">
        <f t="shared" si="925"/>
        <v>1.7556666666666665</v>
      </c>
      <c r="AN187" s="1249">
        <f t="shared" si="925"/>
        <v>-0.75807427119874193</v>
      </c>
      <c r="AO187" s="1237">
        <f t="shared" si="925"/>
        <v>0</v>
      </c>
      <c r="AP187" s="1237">
        <f t="shared" si="925"/>
        <v>0</v>
      </c>
      <c r="AQ187" s="1237">
        <f t="shared" si="925"/>
        <v>2.4600000000000093</v>
      </c>
      <c r="AR187" s="1249">
        <f t="shared" si="925"/>
        <v>-0.65317919075144604</v>
      </c>
      <c r="AS187" s="1237">
        <f t="shared" si="925"/>
        <v>-0.16666666666666663</v>
      </c>
      <c r="AT187" s="1237">
        <f t="shared" si="925"/>
        <v>0</v>
      </c>
      <c r="AU187" s="1237">
        <f t="shared" si="925"/>
        <v>0.5</v>
      </c>
      <c r="AV187" s="1249">
        <f t="shared" ref="AV187" si="926">+AV186/AU186-1</f>
        <v>-0.66666666666666674</v>
      </c>
      <c r="AW187" s="1237">
        <f t="shared" ref="AW187:AZ187" si="927">+AW186/AV186-1</f>
        <v>0</v>
      </c>
      <c r="AX187" s="1237">
        <f t="shared" si="927"/>
        <v>1</v>
      </c>
      <c r="AY187" s="1237">
        <f t="shared" si="927"/>
        <v>0</v>
      </c>
      <c r="AZ187" s="1249">
        <f t="shared" si="927"/>
        <v>-0.5</v>
      </c>
      <c r="BA187" s="1237">
        <f t="shared" ref="BA187" si="928">+BA186/AZ186-1</f>
        <v>0</v>
      </c>
      <c r="BB187" s="1237">
        <f t="shared" ref="BB187" si="929">+BB186/BA186-1</f>
        <v>1</v>
      </c>
      <c r="BC187" s="1237">
        <f t="shared" ref="BC187" si="930">+BC186/BB186-1</f>
        <v>0</v>
      </c>
      <c r="BD187" s="1249">
        <f t="shared" ref="BD187" si="931">+BD186/BC186-1</f>
        <v>-0.5</v>
      </c>
      <c r="BE187" s="1237">
        <f t="shared" ref="BE187" si="932">+BE186/BD186-1</f>
        <v>0</v>
      </c>
      <c r="BF187" s="1237">
        <f t="shared" ref="BF187" si="933">+BF186/BE186-1</f>
        <v>0</v>
      </c>
      <c r="BG187" s="1675">
        <f t="shared" ref="BG187" si="934">+BG186/BF186-1</f>
        <v>0</v>
      </c>
      <c r="BH187" s="1249">
        <f t="shared" ref="BH187" si="935">+BH186/BG186-1</f>
        <v>-1</v>
      </c>
      <c r="BI187" s="1237"/>
      <c r="BJ187" s="1237"/>
      <c r="BK187" s="1675"/>
      <c r="BL187" s="934"/>
      <c r="BM187" s="935"/>
      <c r="BN187" s="935"/>
      <c r="BO187" s="935"/>
      <c r="BP187" s="935"/>
      <c r="BQ187" s="935"/>
      <c r="BR187" s="936"/>
      <c r="BS187" s="936"/>
      <c r="BT187" s="936"/>
      <c r="BU187" s="936"/>
      <c r="BV187" s="1993"/>
      <c r="BW187" s="937"/>
      <c r="BX187" s="937"/>
      <c r="BY187" s="937"/>
      <c r="BZ187" s="937"/>
      <c r="CA187" s="1994"/>
      <c r="CB187" s="1408"/>
    </row>
    <row r="188" spans="2:80" s="924" customFormat="1" ht="14.25" customHeight="1">
      <c r="B188" s="804" t="s">
        <v>391</v>
      </c>
      <c r="C188" s="937"/>
      <c r="D188" s="926"/>
      <c r="E188" s="926"/>
      <c r="F188" s="926"/>
      <c r="G188" s="927"/>
      <c r="H188" s="926"/>
      <c r="I188" s="926"/>
      <c r="J188" s="926"/>
      <c r="K188" s="927"/>
      <c r="L188" s="926"/>
      <c r="M188" s="926"/>
      <c r="N188" s="926"/>
      <c r="O188" s="927"/>
      <c r="P188" s="926"/>
      <c r="Q188" s="926"/>
      <c r="R188" s="926"/>
      <c r="S188" s="927"/>
      <c r="T188" s="928"/>
      <c r="U188" s="929"/>
      <c r="V188" s="929"/>
      <c r="W188" s="930"/>
      <c r="X188" s="928"/>
      <c r="Y188" s="929"/>
      <c r="Z188" s="929"/>
      <c r="AA188" s="930"/>
      <c r="AB188" s="928"/>
      <c r="AC188" s="929"/>
      <c r="AD188" s="929"/>
      <c r="AE188" s="929"/>
      <c r="AF188" s="931"/>
      <c r="AG188" s="932"/>
      <c r="AH188" s="932"/>
      <c r="AI188" s="932"/>
      <c r="AJ188" s="1238"/>
      <c r="AK188" s="1239"/>
      <c r="AL188" s="1239"/>
      <c r="AM188" s="1245"/>
      <c r="AN188" s="1238">
        <f t="shared" ref="AN188:AU188" si="936">+AN186/AJ186-1</f>
        <v>-0.33333333333333337</v>
      </c>
      <c r="AO188" s="1237">
        <f t="shared" si="936"/>
        <v>-0.33333333333333337</v>
      </c>
      <c r="AP188" s="1237">
        <f t="shared" si="936"/>
        <v>-0.33333333333333337</v>
      </c>
      <c r="AQ188" s="1237">
        <f t="shared" si="936"/>
        <v>-0.16293697834764498</v>
      </c>
      <c r="AR188" s="1238">
        <f t="shared" si="936"/>
        <v>0.19999999999999996</v>
      </c>
      <c r="AS188" s="1237">
        <f t="shared" si="936"/>
        <v>0</v>
      </c>
      <c r="AT188" s="1237">
        <f t="shared" si="936"/>
        <v>0</v>
      </c>
      <c r="AU188" s="1237">
        <f t="shared" si="936"/>
        <v>-0.56647398843930752</v>
      </c>
      <c r="AV188" s="1238">
        <f t="shared" ref="AV188" si="937">+AV186/AR186-1</f>
        <v>-0.58333333333333326</v>
      </c>
      <c r="AW188" s="1237">
        <f t="shared" ref="AW188:AZ188" si="938">+AW186/AS186-1</f>
        <v>-0.5</v>
      </c>
      <c r="AX188" s="1237">
        <f t="shared" si="938"/>
        <v>0</v>
      </c>
      <c r="AY188" s="1237">
        <f t="shared" si="938"/>
        <v>-0.33333333333333337</v>
      </c>
      <c r="AZ188" s="1808">
        <f t="shared" si="938"/>
        <v>0</v>
      </c>
      <c r="BA188" s="1237">
        <f t="shared" ref="BA188" si="939">+BA186/AW186-1</f>
        <v>0</v>
      </c>
      <c r="BB188" s="1237">
        <f t="shared" ref="BB188" si="940">+BB186/AX186-1</f>
        <v>0</v>
      </c>
      <c r="BC188" s="1237">
        <f t="shared" ref="BC188" si="941">+BC186/AY186-1</f>
        <v>0</v>
      </c>
      <c r="BD188" s="1238">
        <f t="shared" ref="BD188" si="942">+BD186/AZ186-1</f>
        <v>0</v>
      </c>
      <c r="BE188" s="1237">
        <f t="shared" ref="BE188" si="943">+BE186/BA186-1</f>
        <v>0</v>
      </c>
      <c r="BF188" s="1237">
        <f t="shared" ref="BF188" si="944">+BF186/BB186-1</f>
        <v>-0.5</v>
      </c>
      <c r="BG188" s="1675">
        <f t="shared" ref="BG188" si="945">+BG186/BC186-1</f>
        <v>-0.5</v>
      </c>
      <c r="BH188" s="1238">
        <f t="shared" ref="BH188" si="946">+BH186/BD186-1</f>
        <v>-1</v>
      </c>
      <c r="BI188" s="1237">
        <f t="shared" ref="BI188" si="947">+BI186/BE186-1</f>
        <v>-1</v>
      </c>
      <c r="BJ188" s="1237">
        <f t="shared" ref="BJ188" si="948">+BJ186/BF186-1</f>
        <v>-1</v>
      </c>
      <c r="BK188" s="1675">
        <f t="shared" ref="BK188" si="949">+BK186/BG186-1</f>
        <v>-1</v>
      </c>
      <c r="BL188" s="934"/>
      <c r="BM188" s="935"/>
      <c r="BN188" s="935"/>
      <c r="BO188" s="935"/>
      <c r="BP188" s="935"/>
      <c r="BQ188" s="935"/>
      <c r="BR188" s="936"/>
      <c r="BS188" s="936"/>
      <c r="BT188" s="936"/>
      <c r="BU188" s="936"/>
      <c r="BV188" s="1996">
        <f t="shared" ref="BV188:CA188" si="950">+BV186/BU186-1</f>
        <v>-0.25175189668153009</v>
      </c>
      <c r="BW188" s="979">
        <f t="shared" si="950"/>
        <v>-0.27244582043343757</v>
      </c>
      <c r="BX188" s="979">
        <f t="shared" si="950"/>
        <v>-0.36170212765957455</v>
      </c>
      <c r="BY188" s="979">
        <f t="shared" si="950"/>
        <v>0</v>
      </c>
      <c r="BZ188" s="979">
        <f t="shared" si="950"/>
        <v>-0.33333333333333337</v>
      </c>
      <c r="CA188" s="1997">
        <f t="shared" si="950"/>
        <v>-1</v>
      </c>
      <c r="CB188" s="1408"/>
    </row>
    <row r="189" spans="2:80" s="924" customFormat="1" ht="14.25" customHeight="1">
      <c r="B189" s="804" t="s">
        <v>471</v>
      </c>
      <c r="C189" s="937"/>
      <c r="D189" s="926"/>
      <c r="E189" s="926"/>
      <c r="F189" s="926"/>
      <c r="G189" s="927"/>
      <c r="H189" s="926"/>
      <c r="I189" s="926"/>
      <c r="J189" s="926"/>
      <c r="K189" s="927"/>
      <c r="L189" s="926"/>
      <c r="M189" s="926"/>
      <c r="N189" s="926"/>
      <c r="O189" s="927"/>
      <c r="P189" s="926"/>
      <c r="Q189" s="926"/>
      <c r="R189" s="926"/>
      <c r="S189" s="927"/>
      <c r="T189" s="928"/>
      <c r="U189" s="929"/>
      <c r="V189" s="929"/>
      <c r="W189" s="930"/>
      <c r="X189" s="928"/>
      <c r="Y189" s="929"/>
      <c r="Z189" s="929"/>
      <c r="AA189" s="930"/>
      <c r="AB189" s="928"/>
      <c r="AC189" s="929"/>
      <c r="AD189" s="929"/>
      <c r="AE189" s="929"/>
      <c r="AF189" s="931"/>
      <c r="AG189" s="932"/>
      <c r="AH189" s="932"/>
      <c r="AI189" s="932"/>
      <c r="AJ189" s="318"/>
      <c r="AK189" s="555"/>
      <c r="AL189" s="549"/>
      <c r="AM189" s="551"/>
      <c r="AN189" s="806"/>
      <c r="AO189" s="549"/>
      <c r="AP189" s="957"/>
      <c r="AQ189" s="957"/>
      <c r="AR189" s="806"/>
      <c r="AS189" s="549"/>
      <c r="AT189" s="957"/>
      <c r="AU189" s="957"/>
      <c r="AV189" s="806"/>
      <c r="AW189" s="549"/>
      <c r="AX189" s="909"/>
      <c r="AY189" s="909"/>
      <c r="AZ189" s="1811"/>
      <c r="BA189" s="549"/>
      <c r="BB189" s="957"/>
      <c r="BC189" s="957"/>
      <c r="BD189" s="806"/>
      <c r="BE189" s="549"/>
      <c r="BF189" s="957"/>
      <c r="BG189" s="1663"/>
      <c r="BH189" s="806"/>
      <c r="BI189" s="549"/>
      <c r="BJ189" s="957"/>
      <c r="BK189" s="1663"/>
      <c r="BL189" s="934"/>
      <c r="BM189" s="935"/>
      <c r="BN189" s="935"/>
      <c r="BO189" s="935"/>
      <c r="BP189" s="935"/>
      <c r="BQ189" s="935"/>
      <c r="BR189" s="936"/>
      <c r="BS189" s="936"/>
      <c r="BT189" s="936"/>
      <c r="BU189" s="982">
        <f t="shared" ref="BU189:BZ189" si="951">+BU186/20.5</f>
        <v>0.42114634146341462</v>
      </c>
      <c r="BV189" s="2004">
        <f t="shared" si="951"/>
        <v>0.3151219512195127</v>
      </c>
      <c r="BW189" s="982">
        <f t="shared" si="951"/>
        <v>0.22926829268292684</v>
      </c>
      <c r="BX189" s="982">
        <f t="shared" si="951"/>
        <v>0.14634146341463414</v>
      </c>
      <c r="BY189" s="982">
        <f t="shared" si="951"/>
        <v>0.14634146341463414</v>
      </c>
      <c r="BZ189" s="982">
        <f t="shared" si="951"/>
        <v>9.7560975609756101E-2</v>
      </c>
      <c r="CA189" s="2005">
        <f t="shared" ref="CA189" si="952">+CA186/20.5</f>
        <v>0</v>
      </c>
      <c r="CB189" s="1408"/>
    </row>
    <row r="190" spans="2:80" s="924" customFormat="1" ht="14.25" customHeight="1">
      <c r="B190" s="1040"/>
      <c r="C190" s="937"/>
      <c r="D190" s="926"/>
      <c r="E190" s="926"/>
      <c r="F190" s="926"/>
      <c r="G190" s="927"/>
      <c r="H190" s="926"/>
      <c r="I190" s="926"/>
      <c r="J190" s="926"/>
      <c r="K190" s="927"/>
      <c r="L190" s="926"/>
      <c r="M190" s="926"/>
      <c r="N190" s="926"/>
      <c r="O190" s="927"/>
      <c r="P190" s="926"/>
      <c r="Q190" s="926"/>
      <c r="R190" s="926"/>
      <c r="S190" s="927"/>
      <c r="T190" s="928"/>
      <c r="U190" s="929"/>
      <c r="V190" s="929"/>
      <c r="W190" s="930"/>
      <c r="X190" s="928"/>
      <c r="Y190" s="929"/>
      <c r="Z190" s="929"/>
      <c r="AA190" s="930"/>
      <c r="AB190" s="928"/>
      <c r="AC190" s="929"/>
      <c r="AD190" s="929"/>
      <c r="AE190" s="929"/>
      <c r="AF190" s="931"/>
      <c r="AG190" s="932"/>
      <c r="AH190" s="932"/>
      <c r="AI190" s="932"/>
      <c r="AJ190" s="318"/>
      <c r="AK190" s="555"/>
      <c r="AL190" s="555"/>
      <c r="AM190" s="556"/>
      <c r="AN190" s="318"/>
      <c r="AO190" s="555"/>
      <c r="AP190" s="555"/>
      <c r="AQ190" s="555"/>
      <c r="AR190" s="318"/>
      <c r="AS190" s="555"/>
      <c r="AT190" s="555"/>
      <c r="AU190" s="555"/>
      <c r="AV190" s="318"/>
      <c r="AW190" s="555"/>
      <c r="AX190" s="1613"/>
      <c r="AY190" s="1613"/>
      <c r="AZ190" s="1810"/>
      <c r="BA190" s="555"/>
      <c r="BB190" s="555"/>
      <c r="BC190" s="555"/>
      <c r="BD190" s="318"/>
      <c r="BE190" s="555"/>
      <c r="BF190" s="555"/>
      <c r="BG190" s="1772"/>
      <c r="BH190" s="318"/>
      <c r="BI190" s="555"/>
      <c r="BJ190" s="555"/>
      <c r="BK190" s="1772"/>
      <c r="BL190" s="934"/>
      <c r="BM190" s="935"/>
      <c r="BN190" s="935"/>
      <c r="BO190" s="935"/>
      <c r="BP190" s="935"/>
      <c r="BQ190" s="935"/>
      <c r="BR190" s="936"/>
      <c r="BS190" s="936"/>
      <c r="BT190" s="936"/>
      <c r="BU190" s="936"/>
      <c r="BV190" s="1993"/>
      <c r="BW190" s="937"/>
      <c r="BX190" s="937"/>
      <c r="BY190" s="937"/>
      <c r="BZ190" s="937"/>
      <c r="CA190" s="1994"/>
      <c r="CB190" s="1408"/>
    </row>
    <row r="191" spans="2:80" s="967" customFormat="1" ht="14.25" customHeight="1">
      <c r="B191" s="1041" t="s">
        <v>467</v>
      </c>
      <c r="C191" s="966"/>
      <c r="D191" s="958"/>
      <c r="E191" s="958"/>
      <c r="F191" s="958"/>
      <c r="G191" s="959"/>
      <c r="H191" s="958"/>
      <c r="I191" s="958"/>
      <c r="J191" s="958"/>
      <c r="K191" s="959"/>
      <c r="L191" s="958"/>
      <c r="M191" s="958"/>
      <c r="N191" s="958"/>
      <c r="O191" s="959"/>
      <c r="P191" s="958"/>
      <c r="Q191" s="958"/>
      <c r="R191" s="958"/>
      <c r="S191" s="959"/>
      <c r="T191" s="960"/>
      <c r="U191" s="961"/>
      <c r="V191" s="961"/>
      <c r="W191" s="962"/>
      <c r="X191" s="960"/>
      <c r="Y191" s="961"/>
      <c r="Z191" s="961"/>
      <c r="AA191" s="962"/>
      <c r="AB191" s="960"/>
      <c r="AC191" s="961"/>
      <c r="AD191" s="961"/>
      <c r="AE191" s="961"/>
      <c r="AF191" s="963"/>
      <c r="AG191" s="961"/>
      <c r="AH191" s="961"/>
      <c r="AI191" s="961"/>
      <c r="AJ191" s="1271">
        <v>7.5</v>
      </c>
      <c r="AK191" s="1272">
        <v>7.5</v>
      </c>
      <c r="AL191" s="1272">
        <v>7.5</v>
      </c>
      <c r="AM191" s="1273">
        <v>7.5</v>
      </c>
      <c r="AN191" s="1271">
        <v>7.5</v>
      </c>
      <c r="AO191" s="1272">
        <v>7.5</v>
      </c>
      <c r="AP191" s="1272">
        <v>7.5</v>
      </c>
      <c r="AQ191" s="1272">
        <v>7.5</v>
      </c>
      <c r="AR191" s="1271">
        <v>7.5</v>
      </c>
      <c r="AS191" s="1272">
        <v>7.5</v>
      </c>
      <c r="AT191" s="1272">
        <v>7.5</v>
      </c>
      <c r="AU191" s="1272">
        <v>7.5</v>
      </c>
      <c r="AV191" s="1271">
        <v>6</v>
      </c>
      <c r="AW191" s="1272">
        <v>6</v>
      </c>
      <c r="AX191" s="1272">
        <v>6</v>
      </c>
      <c r="AY191" s="1272">
        <v>6</v>
      </c>
      <c r="AZ191" s="1271">
        <v>6</v>
      </c>
      <c r="BA191" s="1272">
        <v>6</v>
      </c>
      <c r="BB191" s="1272">
        <v>6</v>
      </c>
      <c r="BC191" s="1272">
        <v>6</v>
      </c>
      <c r="BD191" s="1271">
        <v>6</v>
      </c>
      <c r="BE191" s="1272">
        <v>6</v>
      </c>
      <c r="BF191" s="1272">
        <v>6</v>
      </c>
      <c r="BG191" s="1776">
        <v>6</v>
      </c>
      <c r="BH191" s="1271">
        <v>6</v>
      </c>
      <c r="BI191" s="1272">
        <v>6</v>
      </c>
      <c r="BJ191" s="1272">
        <v>6</v>
      </c>
      <c r="BK191" s="1776">
        <v>6</v>
      </c>
      <c r="BL191" s="1018"/>
      <c r="BM191" s="1019"/>
      <c r="BN191" s="1019"/>
      <c r="BO191" s="1019"/>
      <c r="BP191" s="1019"/>
      <c r="BQ191" s="1019"/>
      <c r="BR191" s="1020"/>
      <c r="BS191" s="1020"/>
      <c r="BT191" s="1020"/>
      <c r="BU191" s="1020">
        <f t="shared" ref="BU191:BZ191" si="953">+BU193/BU186</f>
        <v>7.5</v>
      </c>
      <c r="BV191" s="2006">
        <f t="shared" si="953"/>
        <v>7.5</v>
      </c>
      <c r="BW191" s="1020">
        <f t="shared" si="953"/>
        <v>7.5</v>
      </c>
      <c r="BX191" s="1020">
        <f t="shared" si="953"/>
        <v>6</v>
      </c>
      <c r="BY191" s="1020">
        <f t="shared" si="953"/>
        <v>6</v>
      </c>
      <c r="BZ191" s="1020">
        <f t="shared" si="953"/>
        <v>6</v>
      </c>
      <c r="CA191" s="2007"/>
      <c r="CB191" s="1408"/>
    </row>
    <row r="192" spans="2:80" s="924" customFormat="1" ht="14.25" customHeight="1">
      <c r="B192" s="1040"/>
      <c r="C192" s="937"/>
      <c r="D192" s="926"/>
      <c r="E192" s="926"/>
      <c r="F192" s="926"/>
      <c r="G192" s="927"/>
      <c r="H192" s="926"/>
      <c r="I192" s="926"/>
      <c r="J192" s="926"/>
      <c r="K192" s="927"/>
      <c r="L192" s="926"/>
      <c r="M192" s="926"/>
      <c r="N192" s="926"/>
      <c r="O192" s="927"/>
      <c r="P192" s="926"/>
      <c r="Q192" s="926"/>
      <c r="R192" s="926"/>
      <c r="S192" s="927"/>
      <c r="T192" s="928"/>
      <c r="U192" s="929"/>
      <c r="V192" s="929"/>
      <c r="W192" s="930"/>
      <c r="X192" s="928"/>
      <c r="Y192" s="929"/>
      <c r="Z192" s="929"/>
      <c r="AA192" s="930"/>
      <c r="AB192" s="928"/>
      <c r="AC192" s="929"/>
      <c r="AD192" s="929"/>
      <c r="AE192" s="929"/>
      <c r="AF192" s="931"/>
      <c r="AG192" s="932"/>
      <c r="AH192" s="932"/>
      <c r="AI192" s="932"/>
      <c r="AJ192" s="318"/>
      <c r="AK192" s="555"/>
      <c r="AL192" s="555"/>
      <c r="AM192" s="556"/>
      <c r="AN192" s="318"/>
      <c r="AO192" s="555"/>
      <c r="AP192" s="555"/>
      <c r="AQ192" s="555"/>
      <c r="AR192" s="318"/>
      <c r="AS192" s="555"/>
      <c r="AT192" s="555"/>
      <c r="AU192" s="555"/>
      <c r="AV192" s="318"/>
      <c r="AW192" s="555"/>
      <c r="AX192" s="1613"/>
      <c r="AY192" s="1613"/>
      <c r="AZ192" s="1810"/>
      <c r="BA192" s="555"/>
      <c r="BB192" s="555"/>
      <c r="BC192" s="555"/>
      <c r="BD192" s="318"/>
      <c r="BE192" s="555"/>
      <c r="BF192" s="555"/>
      <c r="BG192" s="1772"/>
      <c r="BH192" s="318"/>
      <c r="BI192" s="555"/>
      <c r="BJ192" s="555"/>
      <c r="BK192" s="1772"/>
      <c r="BL192" s="934"/>
      <c r="BM192" s="935"/>
      <c r="BN192" s="935"/>
      <c r="BO192" s="935"/>
      <c r="BP192" s="935"/>
      <c r="BQ192" s="935"/>
      <c r="BR192" s="936"/>
      <c r="BS192" s="936"/>
      <c r="BT192" s="936"/>
      <c r="BU192" s="936"/>
      <c r="BV192" s="1993"/>
      <c r="BW192" s="937"/>
      <c r="BX192" s="937"/>
      <c r="BY192" s="937"/>
      <c r="BZ192" s="937"/>
      <c r="CA192" s="1994"/>
      <c r="CB192" s="1408"/>
    </row>
    <row r="193" spans="2:80" s="924" customFormat="1" ht="14.25" customHeight="1">
      <c r="B193" s="856" t="s">
        <v>160</v>
      </c>
      <c r="C193" s="937"/>
      <c r="D193" s="926"/>
      <c r="E193" s="926"/>
      <c r="F193" s="926"/>
      <c r="G193" s="927"/>
      <c r="H193" s="926"/>
      <c r="I193" s="926"/>
      <c r="J193" s="926"/>
      <c r="K193" s="927"/>
      <c r="L193" s="926"/>
      <c r="M193" s="926"/>
      <c r="N193" s="926"/>
      <c r="O193" s="927"/>
      <c r="P193" s="926"/>
      <c r="Q193" s="926"/>
      <c r="R193" s="926"/>
      <c r="S193" s="927"/>
      <c r="T193" s="928"/>
      <c r="U193" s="929"/>
      <c r="V193" s="929"/>
      <c r="W193" s="930"/>
      <c r="X193" s="928"/>
      <c r="Y193" s="929"/>
      <c r="Z193" s="929"/>
      <c r="AA193" s="930"/>
      <c r="AB193" s="928"/>
      <c r="AC193" s="929"/>
      <c r="AD193" s="929"/>
      <c r="AE193" s="929"/>
      <c r="AF193" s="931"/>
      <c r="AG193" s="932"/>
      <c r="AH193" s="932"/>
      <c r="AI193" s="932"/>
      <c r="AJ193" s="712">
        <f>+AJ186*AJ191</f>
        <v>11.25</v>
      </c>
      <c r="AK193" s="710">
        <f t="shared" ref="AK193:AU193" si="954">+AK186*AK191</f>
        <v>11.25</v>
      </c>
      <c r="AL193" s="710">
        <f t="shared" si="954"/>
        <v>11.25</v>
      </c>
      <c r="AM193" s="711">
        <f>+AM186*AM191</f>
        <v>31.001249999999999</v>
      </c>
      <c r="AN193" s="712">
        <f t="shared" si="954"/>
        <v>7.5</v>
      </c>
      <c r="AO193" s="710">
        <f t="shared" si="954"/>
        <v>7.5</v>
      </c>
      <c r="AP193" s="710">
        <f t="shared" si="954"/>
        <v>7.5</v>
      </c>
      <c r="AQ193" s="710">
        <f t="shared" si="954"/>
        <v>25.95000000000007</v>
      </c>
      <c r="AR193" s="712">
        <f>+AR186*AR191</f>
        <v>9</v>
      </c>
      <c r="AS193" s="710">
        <f t="shared" si="954"/>
        <v>7.5</v>
      </c>
      <c r="AT193" s="710">
        <f t="shared" si="954"/>
        <v>7.5</v>
      </c>
      <c r="AU193" s="710">
        <f t="shared" si="954"/>
        <v>11.25</v>
      </c>
      <c r="AV193" s="712">
        <f>+AV186*AV191</f>
        <v>3</v>
      </c>
      <c r="AW193" s="710">
        <f t="shared" ref="AW193:AZ193" si="955">+AW186*AW191</f>
        <v>3</v>
      </c>
      <c r="AX193" s="302">
        <f t="shared" si="955"/>
        <v>6</v>
      </c>
      <c r="AY193" s="302">
        <f t="shared" si="955"/>
        <v>6</v>
      </c>
      <c r="AZ193" s="578">
        <f t="shared" si="955"/>
        <v>3</v>
      </c>
      <c r="BA193" s="710">
        <f t="shared" ref="BA193:BC193" si="956">+BA186*BA191</f>
        <v>3</v>
      </c>
      <c r="BB193" s="710">
        <f t="shared" si="956"/>
        <v>6</v>
      </c>
      <c r="BC193" s="710">
        <f t="shared" si="956"/>
        <v>6</v>
      </c>
      <c r="BD193" s="712">
        <f t="shared" ref="BD193:BG193" si="957">+BD186*BD191</f>
        <v>3</v>
      </c>
      <c r="BE193" s="710">
        <f t="shared" si="957"/>
        <v>3</v>
      </c>
      <c r="BF193" s="710">
        <f t="shared" si="957"/>
        <v>3</v>
      </c>
      <c r="BG193" s="1660">
        <f t="shared" si="957"/>
        <v>3</v>
      </c>
      <c r="BH193" s="712">
        <f t="shared" ref="BH193:BK193" si="958">+BH186*BH191</f>
        <v>0</v>
      </c>
      <c r="BI193" s="710">
        <f t="shared" si="958"/>
        <v>0</v>
      </c>
      <c r="BJ193" s="710">
        <f t="shared" si="958"/>
        <v>0</v>
      </c>
      <c r="BK193" s="1660">
        <f t="shared" si="958"/>
        <v>0</v>
      </c>
      <c r="BL193" s="934"/>
      <c r="BM193" s="935"/>
      <c r="BN193" s="935"/>
      <c r="BO193" s="935"/>
      <c r="BP193" s="935"/>
      <c r="BQ193" s="935"/>
      <c r="BR193" s="936"/>
      <c r="BS193" s="936"/>
      <c r="BT193" s="936"/>
      <c r="BU193" s="788">
        <f>SUM(AJ193:AM193)</f>
        <v>64.751249999999999</v>
      </c>
      <c r="BV193" s="1975">
        <f>+SUM(AN193:AQ193)</f>
        <v>48.450000000000074</v>
      </c>
      <c r="BW193" s="1346">
        <f>+SUM(AR193:AU193)</f>
        <v>35.25</v>
      </c>
      <c r="BX193" s="1345">
        <f>+SUM(AV193:AY193)</f>
        <v>18</v>
      </c>
      <c r="BY193" s="1345">
        <f>+SUM(AZ193:BC193)</f>
        <v>18</v>
      </c>
      <c r="BZ193" s="1345">
        <f>+SUM(BD193:BG193)</f>
        <v>12</v>
      </c>
      <c r="CA193" s="1995">
        <f>+SUM(BH193:BK193)</f>
        <v>0</v>
      </c>
      <c r="CB193" s="1408"/>
    </row>
    <row r="194" spans="2:80" s="924" customFormat="1" ht="14.25" customHeight="1">
      <c r="B194" s="804" t="s">
        <v>390</v>
      </c>
      <c r="C194" s="937"/>
      <c r="D194" s="926"/>
      <c r="E194" s="926"/>
      <c r="F194" s="926"/>
      <c r="G194" s="927"/>
      <c r="H194" s="926"/>
      <c r="I194" s="926"/>
      <c r="J194" s="926"/>
      <c r="K194" s="927"/>
      <c r="L194" s="926"/>
      <c r="M194" s="926"/>
      <c r="N194" s="926"/>
      <c r="O194" s="927"/>
      <c r="P194" s="926"/>
      <c r="Q194" s="926"/>
      <c r="R194" s="926"/>
      <c r="S194" s="927"/>
      <c r="T194" s="928"/>
      <c r="U194" s="929"/>
      <c r="V194" s="929"/>
      <c r="W194" s="930"/>
      <c r="X194" s="928"/>
      <c r="Y194" s="929"/>
      <c r="Z194" s="929"/>
      <c r="AA194" s="930"/>
      <c r="AB194" s="928"/>
      <c r="AC194" s="929"/>
      <c r="AD194" s="929"/>
      <c r="AE194" s="929"/>
      <c r="AF194" s="931"/>
      <c r="AG194" s="932"/>
      <c r="AH194" s="932"/>
      <c r="AI194" s="932"/>
      <c r="AJ194" s="1249"/>
      <c r="AK194" s="1237">
        <f t="shared" ref="AK194:AU194" si="959">+AK193/AJ193-1</f>
        <v>0</v>
      </c>
      <c r="AL194" s="1237">
        <f t="shared" si="959"/>
        <v>0</v>
      </c>
      <c r="AM194" s="1248">
        <f t="shared" si="959"/>
        <v>1.7556666666666665</v>
      </c>
      <c r="AN194" s="1249">
        <f t="shared" si="959"/>
        <v>-0.75807427119874204</v>
      </c>
      <c r="AO194" s="1237">
        <f t="shared" si="959"/>
        <v>0</v>
      </c>
      <c r="AP194" s="1237">
        <f t="shared" si="959"/>
        <v>0</v>
      </c>
      <c r="AQ194" s="1237">
        <f t="shared" si="959"/>
        <v>2.4600000000000093</v>
      </c>
      <c r="AR194" s="1249">
        <f t="shared" si="959"/>
        <v>-0.65317919075144604</v>
      </c>
      <c r="AS194" s="1237">
        <f t="shared" si="959"/>
        <v>-0.16666666666666663</v>
      </c>
      <c r="AT194" s="1237">
        <f t="shared" si="959"/>
        <v>0</v>
      </c>
      <c r="AU194" s="1237">
        <f t="shared" si="959"/>
        <v>0.5</v>
      </c>
      <c r="AV194" s="1249">
        <f t="shared" ref="AV194" si="960">+AV193/AU193-1</f>
        <v>-0.73333333333333339</v>
      </c>
      <c r="AW194" s="1237">
        <f t="shared" ref="AW194:AZ194" si="961">+AW193/AV193-1</f>
        <v>0</v>
      </c>
      <c r="AX194" s="1237">
        <f t="shared" si="961"/>
        <v>1</v>
      </c>
      <c r="AY194" s="1237">
        <f t="shared" si="961"/>
        <v>0</v>
      </c>
      <c r="AZ194" s="1249">
        <f t="shared" si="961"/>
        <v>-0.5</v>
      </c>
      <c r="BA194" s="1237">
        <f t="shared" ref="BA194" si="962">+BA193/AZ193-1</f>
        <v>0</v>
      </c>
      <c r="BB194" s="1237">
        <f t="shared" ref="BB194" si="963">+BB193/BA193-1</f>
        <v>1</v>
      </c>
      <c r="BC194" s="1237">
        <f t="shared" ref="BC194" si="964">+BC193/BB193-1</f>
        <v>0</v>
      </c>
      <c r="BD194" s="1249">
        <f t="shared" ref="BD194" si="965">+BD193/BC193-1</f>
        <v>-0.5</v>
      </c>
      <c r="BE194" s="1237">
        <f t="shared" ref="BE194" si="966">+BE193/BD193-1</f>
        <v>0</v>
      </c>
      <c r="BF194" s="1237">
        <f t="shared" ref="BF194" si="967">+BF193/BE193-1</f>
        <v>0</v>
      </c>
      <c r="BG194" s="1675">
        <f t="shared" ref="BG194" si="968">+BG193/BF193-1</f>
        <v>0</v>
      </c>
      <c r="BH194" s="1249">
        <f t="shared" ref="BH194" si="969">+BH193/BG193-1</f>
        <v>-1</v>
      </c>
      <c r="BI194" s="1237"/>
      <c r="BJ194" s="1237"/>
      <c r="BK194" s="1675"/>
      <c r="BL194" s="934"/>
      <c r="BM194" s="935"/>
      <c r="BN194" s="935"/>
      <c r="BO194" s="935"/>
      <c r="BP194" s="935"/>
      <c r="BQ194" s="935"/>
      <c r="BR194" s="936"/>
      <c r="BS194" s="936"/>
      <c r="BT194" s="936"/>
      <c r="BU194" s="936"/>
      <c r="BV194" s="1993"/>
      <c r="BW194" s="937"/>
      <c r="BX194" s="937"/>
      <c r="BY194" s="937"/>
      <c r="BZ194" s="937"/>
      <c r="CA194" s="1994"/>
      <c r="CB194" s="1408"/>
    </row>
    <row r="195" spans="2:80" s="924" customFormat="1" ht="14.25" customHeight="1">
      <c r="B195" s="804" t="s">
        <v>391</v>
      </c>
      <c r="C195" s="937"/>
      <c r="D195" s="926"/>
      <c r="E195" s="926"/>
      <c r="F195" s="926"/>
      <c r="G195" s="927"/>
      <c r="H195" s="926"/>
      <c r="I195" s="926"/>
      <c r="J195" s="926"/>
      <c r="K195" s="927"/>
      <c r="L195" s="926"/>
      <c r="M195" s="926"/>
      <c r="N195" s="926"/>
      <c r="O195" s="927"/>
      <c r="P195" s="926"/>
      <c r="Q195" s="926"/>
      <c r="R195" s="926"/>
      <c r="S195" s="927"/>
      <c r="T195" s="928"/>
      <c r="U195" s="929"/>
      <c r="V195" s="929"/>
      <c r="W195" s="930"/>
      <c r="X195" s="928"/>
      <c r="Y195" s="929"/>
      <c r="Z195" s="929"/>
      <c r="AA195" s="930"/>
      <c r="AB195" s="928"/>
      <c r="AC195" s="929"/>
      <c r="AD195" s="929"/>
      <c r="AE195" s="929"/>
      <c r="AF195" s="931"/>
      <c r="AG195" s="932"/>
      <c r="AH195" s="932"/>
      <c r="AI195" s="932"/>
      <c r="AJ195" s="1238"/>
      <c r="AK195" s="1237"/>
      <c r="AL195" s="1237"/>
      <c r="AM195" s="1248"/>
      <c r="AN195" s="1249">
        <f t="shared" ref="AN195:AU195" si="970">+AN193/AJ193-1</f>
        <v>-0.33333333333333337</v>
      </c>
      <c r="AO195" s="1237">
        <f t="shared" si="970"/>
        <v>-0.33333333333333337</v>
      </c>
      <c r="AP195" s="1237">
        <f t="shared" si="970"/>
        <v>-0.33333333333333337</v>
      </c>
      <c r="AQ195" s="1237">
        <f t="shared" si="970"/>
        <v>-0.16293697834764498</v>
      </c>
      <c r="AR195" s="1249">
        <f t="shared" si="970"/>
        <v>0.19999999999999996</v>
      </c>
      <c r="AS195" s="1237">
        <f t="shared" si="970"/>
        <v>0</v>
      </c>
      <c r="AT195" s="1237">
        <f t="shared" si="970"/>
        <v>0</v>
      </c>
      <c r="AU195" s="1237">
        <f t="shared" si="970"/>
        <v>-0.56647398843930752</v>
      </c>
      <c r="AV195" s="1249">
        <f t="shared" ref="AV195" si="971">+AV193/AR193-1</f>
        <v>-0.66666666666666674</v>
      </c>
      <c r="AW195" s="1237">
        <f t="shared" ref="AW195:AZ195" si="972">+AW193/AS193-1</f>
        <v>-0.6</v>
      </c>
      <c r="AX195" s="1237">
        <f t="shared" si="972"/>
        <v>-0.19999999999999996</v>
      </c>
      <c r="AY195" s="1237">
        <f t="shared" si="972"/>
        <v>-0.46666666666666667</v>
      </c>
      <c r="AZ195" s="1249">
        <f t="shared" si="972"/>
        <v>0</v>
      </c>
      <c r="BA195" s="1237">
        <f t="shared" ref="BA195" si="973">+BA193/AW193-1</f>
        <v>0</v>
      </c>
      <c r="BB195" s="1237">
        <f t="shared" ref="BB195" si="974">+BB193/AX193-1</f>
        <v>0</v>
      </c>
      <c r="BC195" s="1237">
        <f t="shared" ref="BC195" si="975">+BC193/AY193-1</f>
        <v>0</v>
      </c>
      <c r="BD195" s="1249">
        <f t="shared" ref="BD195" si="976">+BD193/AZ193-1</f>
        <v>0</v>
      </c>
      <c r="BE195" s="1237">
        <f t="shared" ref="BE195" si="977">+BE193/BA193-1</f>
        <v>0</v>
      </c>
      <c r="BF195" s="1237">
        <f t="shared" ref="BF195" si="978">+BF193/BB193-1</f>
        <v>-0.5</v>
      </c>
      <c r="BG195" s="1675">
        <f t="shared" ref="BG195" si="979">+BG193/BC193-1</f>
        <v>-0.5</v>
      </c>
      <c r="BH195" s="1249">
        <f t="shared" ref="BH195" si="980">+BH193/BD193-1</f>
        <v>-1</v>
      </c>
      <c r="BI195" s="1237">
        <f t="shared" ref="BI195" si="981">+BI193/BE193-1</f>
        <v>-1</v>
      </c>
      <c r="BJ195" s="1237">
        <f t="shared" ref="BJ195" si="982">+BJ193/BF193-1</f>
        <v>-1</v>
      </c>
      <c r="BK195" s="1675">
        <f t="shared" ref="BK195" si="983">+BK193/BG193-1</f>
        <v>-1</v>
      </c>
      <c r="BL195" s="934"/>
      <c r="BM195" s="935"/>
      <c r="BN195" s="935"/>
      <c r="BO195" s="935"/>
      <c r="BP195" s="935"/>
      <c r="BQ195" s="935"/>
      <c r="BR195" s="936"/>
      <c r="BS195" s="936"/>
      <c r="BT195" s="936"/>
      <c r="BU195" s="936"/>
      <c r="BV195" s="1996">
        <f t="shared" ref="BV195:CA195" si="984">+BV193/BU193-1</f>
        <v>-0.25175189668153009</v>
      </c>
      <c r="BW195" s="979">
        <f t="shared" si="984"/>
        <v>-0.27244582043343768</v>
      </c>
      <c r="BX195" s="979">
        <f t="shared" si="984"/>
        <v>-0.48936170212765961</v>
      </c>
      <c r="BY195" s="979">
        <f t="shared" si="984"/>
        <v>0</v>
      </c>
      <c r="BZ195" s="979">
        <f t="shared" si="984"/>
        <v>-0.33333333333333337</v>
      </c>
      <c r="CA195" s="1997">
        <f t="shared" si="984"/>
        <v>-1</v>
      </c>
      <c r="CB195" s="1408"/>
    </row>
    <row r="196" spans="2:80" s="924" customFormat="1" ht="14.25" customHeight="1">
      <c r="B196" s="804"/>
      <c r="C196" s="937"/>
      <c r="D196" s="926"/>
      <c r="E196" s="926"/>
      <c r="F196" s="926"/>
      <c r="G196" s="927"/>
      <c r="H196" s="926"/>
      <c r="I196" s="926"/>
      <c r="J196" s="926"/>
      <c r="K196" s="927"/>
      <c r="L196" s="926"/>
      <c r="M196" s="926"/>
      <c r="N196" s="926"/>
      <c r="O196" s="927"/>
      <c r="P196" s="926"/>
      <c r="Q196" s="926"/>
      <c r="R196" s="926"/>
      <c r="S196" s="927"/>
      <c r="T196" s="928"/>
      <c r="U196" s="929"/>
      <c r="V196" s="929"/>
      <c r="W196" s="930"/>
      <c r="X196" s="928"/>
      <c r="Y196" s="929"/>
      <c r="Z196" s="929"/>
      <c r="AA196" s="930"/>
      <c r="AB196" s="928"/>
      <c r="AC196" s="929"/>
      <c r="AD196" s="929"/>
      <c r="AE196" s="929"/>
      <c r="AF196" s="931"/>
      <c r="AG196" s="932"/>
      <c r="AH196" s="932"/>
      <c r="AI196" s="932"/>
      <c r="AJ196" s="318"/>
      <c r="AK196" s="957"/>
      <c r="AL196" s="957"/>
      <c r="AM196" s="955"/>
      <c r="AN196" s="956"/>
      <c r="AO196" s="957"/>
      <c r="AP196" s="957"/>
      <c r="AQ196" s="957"/>
      <c r="AR196" s="956"/>
      <c r="AS196" s="957"/>
      <c r="AT196" s="957"/>
      <c r="AU196" s="957"/>
      <c r="AV196" s="956"/>
      <c r="AW196" s="957"/>
      <c r="AX196" s="909"/>
      <c r="AY196" s="909"/>
      <c r="AZ196" s="910"/>
      <c r="BA196" s="957"/>
      <c r="BB196" s="957"/>
      <c r="BC196" s="957"/>
      <c r="BD196" s="956"/>
      <c r="BE196" s="957"/>
      <c r="BF196" s="957"/>
      <c r="BG196" s="1663"/>
      <c r="BH196" s="956"/>
      <c r="BI196" s="957"/>
      <c r="BJ196" s="957"/>
      <c r="BK196" s="1663"/>
      <c r="BL196" s="934"/>
      <c r="BM196" s="935"/>
      <c r="BN196" s="935"/>
      <c r="BO196" s="935"/>
      <c r="BP196" s="935"/>
      <c r="BQ196" s="935"/>
      <c r="BR196" s="936"/>
      <c r="BS196" s="936"/>
      <c r="BT196" s="936"/>
      <c r="BU196" s="936"/>
      <c r="BV196" s="1996"/>
      <c r="BW196" s="979"/>
      <c r="BX196" s="979"/>
      <c r="BY196" s="937"/>
      <c r="BZ196" s="937"/>
      <c r="CA196" s="1994"/>
      <c r="CB196" s="1408"/>
    </row>
    <row r="197" spans="2:80" s="924" customFormat="1" ht="14.25" customHeight="1">
      <c r="B197" s="667" t="s">
        <v>504</v>
      </c>
      <c r="C197" s="937"/>
      <c r="D197" s="926"/>
      <c r="E197" s="926"/>
      <c r="F197" s="926"/>
      <c r="G197" s="927"/>
      <c r="H197" s="926"/>
      <c r="I197" s="926"/>
      <c r="J197" s="926"/>
      <c r="K197" s="927"/>
      <c r="L197" s="926"/>
      <c r="M197" s="926"/>
      <c r="N197" s="926"/>
      <c r="O197" s="927"/>
      <c r="P197" s="926"/>
      <c r="Q197" s="926"/>
      <c r="R197" s="926"/>
      <c r="S197" s="927"/>
      <c r="T197" s="928"/>
      <c r="U197" s="929"/>
      <c r="V197" s="929"/>
      <c r="W197" s="930"/>
      <c r="X197" s="928"/>
      <c r="Y197" s="929"/>
      <c r="Z197" s="929"/>
      <c r="AA197" s="930"/>
      <c r="AB197" s="928"/>
      <c r="AC197" s="929"/>
      <c r="AD197" s="929"/>
      <c r="AE197" s="929"/>
      <c r="AF197" s="931"/>
      <c r="AG197" s="932"/>
      <c r="AH197" s="932"/>
      <c r="AI197" s="932"/>
      <c r="AJ197" s="1235">
        <f>AJ106-AJ193</f>
        <v>45.75</v>
      </c>
      <c r="AK197" s="1233">
        <f>AK106-AK193</f>
        <v>28.75</v>
      </c>
      <c r="AL197" s="1233">
        <f>AL106-AL193</f>
        <v>28.75</v>
      </c>
      <c r="AM197" s="1234">
        <v>30.998750000000001</v>
      </c>
      <c r="AN197" s="1327"/>
      <c r="AO197" s="1124"/>
      <c r="AP197" s="1124"/>
      <c r="AQ197" s="1124"/>
      <c r="AR197" s="1327"/>
      <c r="AS197" s="1124"/>
      <c r="AT197" s="1124"/>
      <c r="AU197" s="1124"/>
      <c r="AV197" s="1327"/>
      <c r="AW197" s="1124"/>
      <c r="AX197" s="1124"/>
      <c r="AY197" s="1124"/>
      <c r="AZ197" s="1327"/>
      <c r="BA197" s="1124"/>
      <c r="BB197" s="1124"/>
      <c r="BC197" s="1124"/>
      <c r="BD197" s="1327"/>
      <c r="BE197" s="1124"/>
      <c r="BF197" s="1124"/>
      <c r="BG197" s="1777"/>
      <c r="BH197" s="1327"/>
      <c r="BI197" s="1124"/>
      <c r="BJ197" s="1124"/>
      <c r="BK197" s="1777"/>
      <c r="BL197" s="934"/>
      <c r="BM197" s="935"/>
      <c r="BN197" s="935"/>
      <c r="BO197" s="935"/>
      <c r="BP197" s="935"/>
      <c r="BQ197" s="935"/>
      <c r="BR197" s="936"/>
      <c r="BS197" s="936"/>
      <c r="BT197" s="936"/>
      <c r="BU197" s="936"/>
      <c r="BV197" s="1993"/>
      <c r="BW197" s="937"/>
      <c r="BX197" s="937"/>
      <c r="BY197" s="937"/>
      <c r="BZ197" s="937"/>
      <c r="CA197" s="1994"/>
      <c r="CB197" s="1408"/>
    </row>
    <row r="198" spans="2:80" s="924" customFormat="1" ht="14.25" customHeight="1">
      <c r="B198" s="667"/>
      <c r="C198" s="937"/>
      <c r="D198" s="926"/>
      <c r="E198" s="926"/>
      <c r="F198" s="926"/>
      <c r="G198" s="927"/>
      <c r="H198" s="926"/>
      <c r="I198" s="926"/>
      <c r="J198" s="926"/>
      <c r="K198" s="927"/>
      <c r="L198" s="926"/>
      <c r="M198" s="926"/>
      <c r="N198" s="926"/>
      <c r="O198" s="927"/>
      <c r="P198" s="926"/>
      <c r="Q198" s="926"/>
      <c r="R198" s="926"/>
      <c r="S198" s="927"/>
      <c r="T198" s="928"/>
      <c r="U198" s="929"/>
      <c r="V198" s="929"/>
      <c r="W198" s="930"/>
      <c r="X198" s="928"/>
      <c r="Y198" s="929"/>
      <c r="Z198" s="929"/>
      <c r="AA198" s="930"/>
      <c r="AB198" s="928"/>
      <c r="AC198" s="929"/>
      <c r="AD198" s="929"/>
      <c r="AE198" s="929"/>
      <c r="AF198" s="931"/>
      <c r="AG198" s="932"/>
      <c r="AH198" s="932"/>
      <c r="AI198" s="932"/>
      <c r="AJ198" s="1277">
        <v>1</v>
      </c>
      <c r="AK198" s="1278">
        <v>1</v>
      </c>
      <c r="AL198" s="1278">
        <v>1</v>
      </c>
      <c r="AM198" s="1279">
        <v>1</v>
      </c>
      <c r="AN198" s="1277"/>
      <c r="AO198" s="1278"/>
      <c r="AP198" s="1278"/>
      <c r="AQ198" s="1278"/>
      <c r="AR198" s="1277"/>
      <c r="AS198" s="1278"/>
      <c r="AT198" s="1278"/>
      <c r="AU198" s="1278"/>
      <c r="AV198" s="1277"/>
      <c r="AW198" s="1278"/>
      <c r="AX198" s="1620"/>
      <c r="AY198" s="1620"/>
      <c r="AZ198" s="1813"/>
      <c r="BA198" s="1278"/>
      <c r="BB198" s="1278"/>
      <c r="BC198" s="1278"/>
      <c r="BD198" s="1277"/>
      <c r="BE198" s="1278"/>
      <c r="BF198" s="1278"/>
      <c r="BG198" s="1778"/>
      <c r="BH198" s="1277"/>
      <c r="BI198" s="1278"/>
      <c r="BJ198" s="1278"/>
      <c r="BK198" s="1778"/>
      <c r="BL198" s="934"/>
      <c r="BM198" s="936"/>
      <c r="BN198" s="936"/>
      <c r="BO198" s="936"/>
      <c r="BP198" s="936"/>
      <c r="BQ198" s="936"/>
      <c r="BR198" s="936"/>
      <c r="BS198" s="936"/>
      <c r="BT198" s="936"/>
      <c r="BU198" s="936"/>
      <c r="BV198" s="1993"/>
      <c r="BW198" s="937"/>
      <c r="BX198" s="937"/>
      <c r="BY198" s="937"/>
      <c r="BZ198" s="937"/>
      <c r="CA198" s="1994"/>
      <c r="CB198" s="1408"/>
    </row>
    <row r="199" spans="2:80" s="924" customFormat="1" ht="14.25" customHeight="1">
      <c r="B199" s="945"/>
      <c r="C199" s="1448"/>
      <c r="D199" s="946"/>
      <c r="E199" s="946"/>
      <c r="F199" s="946"/>
      <c r="G199" s="947"/>
      <c r="H199" s="946"/>
      <c r="I199" s="946"/>
      <c r="J199" s="946"/>
      <c r="K199" s="947"/>
      <c r="L199" s="946"/>
      <c r="M199" s="946"/>
      <c r="N199" s="946"/>
      <c r="O199" s="947"/>
      <c r="P199" s="946"/>
      <c r="Q199" s="946"/>
      <c r="R199" s="946"/>
      <c r="S199" s="947"/>
      <c r="T199" s="948"/>
      <c r="U199" s="949"/>
      <c r="V199" s="949"/>
      <c r="W199" s="950"/>
      <c r="X199" s="948"/>
      <c r="Y199" s="949"/>
      <c r="Z199" s="949"/>
      <c r="AA199" s="950"/>
      <c r="AB199" s="948"/>
      <c r="AC199" s="949"/>
      <c r="AD199" s="949"/>
      <c r="AE199" s="949"/>
      <c r="AF199" s="951"/>
      <c r="AG199" s="952"/>
      <c r="AH199" s="952"/>
      <c r="AI199" s="952"/>
      <c r="AJ199" s="1274">
        <f>+AJ193*AJ198</f>
        <v>11.25</v>
      </c>
      <c r="AK199" s="1275">
        <f>+AK193*AK198</f>
        <v>11.25</v>
      </c>
      <c r="AL199" s="1275">
        <f>+AL193*AL198</f>
        <v>11.25</v>
      </c>
      <c r="AM199" s="1276">
        <f>+AM193*AM198</f>
        <v>31.001249999999999</v>
      </c>
      <c r="AN199" s="1328"/>
      <c r="AO199" s="1329"/>
      <c r="AP199" s="1329"/>
      <c r="AQ199" s="1329"/>
      <c r="AR199" s="1328"/>
      <c r="AS199" s="1329"/>
      <c r="AT199" s="1329"/>
      <c r="AU199" s="1330"/>
      <c r="AV199" s="1328"/>
      <c r="AW199" s="1329"/>
      <c r="AX199" s="1329"/>
      <c r="AY199" s="1621"/>
      <c r="AZ199" s="1328"/>
      <c r="BA199" s="1329"/>
      <c r="BB199" s="1329"/>
      <c r="BC199" s="1329"/>
      <c r="BD199" s="1328"/>
      <c r="BE199" s="1329"/>
      <c r="BF199" s="1329"/>
      <c r="BG199" s="1621"/>
      <c r="BH199" s="1328"/>
      <c r="BI199" s="1329"/>
      <c r="BJ199" s="1329"/>
      <c r="BK199" s="1621"/>
      <c r="BL199" s="934"/>
      <c r="BM199" s="936"/>
      <c r="BN199" s="936"/>
      <c r="BO199" s="936"/>
      <c r="BP199" s="936"/>
      <c r="BQ199" s="936"/>
      <c r="BR199" s="936"/>
      <c r="BS199" s="936"/>
      <c r="BT199" s="936"/>
      <c r="BU199" s="936"/>
      <c r="BV199" s="1993"/>
      <c r="BW199" s="937"/>
      <c r="BX199" s="937"/>
      <c r="BY199" s="937"/>
      <c r="BZ199" s="937"/>
      <c r="CA199" s="1994"/>
      <c r="CB199" s="1408"/>
    </row>
    <row r="200" spans="2:80" s="7" customFormat="1" ht="14.25" customHeight="1">
      <c r="B200" s="733" t="s">
        <v>278</v>
      </c>
      <c r="C200" s="380"/>
      <c r="D200" s="654"/>
      <c r="E200" s="654"/>
      <c r="F200" s="654"/>
      <c r="G200" s="655"/>
      <c r="H200" s="654"/>
      <c r="I200" s="654"/>
      <c r="J200" s="654"/>
      <c r="K200" s="655"/>
      <c r="L200" s="654"/>
      <c r="M200" s="654"/>
      <c r="N200" s="654"/>
      <c r="O200" s="655"/>
      <c r="P200" s="654"/>
      <c r="Q200" s="654"/>
      <c r="R200" s="654"/>
      <c r="S200" s="655"/>
      <c r="T200" s="1196">
        <v>218</v>
      </c>
      <c r="U200" s="1196">
        <v>251</v>
      </c>
      <c r="V200" s="1196">
        <v>293</v>
      </c>
      <c r="W200" s="1197">
        <v>421</v>
      </c>
      <c r="X200" s="1196">
        <v>409</v>
      </c>
      <c r="Y200" s="1196">
        <v>440</v>
      </c>
      <c r="Z200" s="1196">
        <v>390</v>
      </c>
      <c r="AA200" s="1197">
        <v>424</v>
      </c>
      <c r="AB200" s="1196">
        <v>413</v>
      </c>
      <c r="AC200" s="1196">
        <v>367</v>
      </c>
      <c r="AD200" s="1196">
        <v>403</v>
      </c>
      <c r="AE200" s="1196">
        <v>382</v>
      </c>
      <c r="AF200" s="1216">
        <v>382</v>
      </c>
      <c r="AG200" s="1196">
        <v>367</v>
      </c>
      <c r="AH200" s="1196">
        <v>342</v>
      </c>
      <c r="AI200" s="1196">
        <v>326</v>
      </c>
      <c r="AJ200" s="1216">
        <v>337</v>
      </c>
      <c r="AK200" s="1196">
        <v>320</v>
      </c>
      <c r="AL200" s="1196">
        <v>671</v>
      </c>
      <c r="AM200" s="1196">
        <v>865</v>
      </c>
      <c r="AN200" s="1216">
        <v>734</v>
      </c>
      <c r="AO200" s="1196">
        <v>772</v>
      </c>
      <c r="AP200" s="1196">
        <v>792.18984748424373</v>
      </c>
      <c r="AQ200" s="1196">
        <v>766.66899482610836</v>
      </c>
      <c r="AR200" s="653"/>
      <c r="AS200" s="654"/>
      <c r="AT200" s="654"/>
      <c r="AU200" s="654"/>
      <c r="AV200" s="653"/>
      <c r="AW200" s="654"/>
      <c r="AX200" s="1622"/>
      <c r="AY200" s="1622"/>
      <c r="AZ200" s="1814"/>
      <c r="BA200" s="654"/>
      <c r="BB200" s="654"/>
      <c r="BC200" s="654"/>
      <c r="BD200" s="653"/>
      <c r="BE200" s="654"/>
      <c r="BF200" s="654"/>
      <c r="BG200" s="1779"/>
      <c r="BH200" s="653"/>
      <c r="BI200" s="654"/>
      <c r="BJ200" s="654"/>
      <c r="BK200" s="1779"/>
      <c r="BL200" s="295"/>
      <c r="BM200" s="392"/>
      <c r="BN200" s="392"/>
      <c r="BO200" s="392"/>
      <c r="BP200" s="392"/>
      <c r="BQ200" s="392">
        <f>SUM(T200:W200)</f>
        <v>1183</v>
      </c>
      <c r="BR200" s="392">
        <f>SUM(X200:AA200)</f>
        <v>1663</v>
      </c>
      <c r="BS200" s="392">
        <f>SUM(AB200:AE200)</f>
        <v>1565</v>
      </c>
      <c r="BT200" s="392">
        <f>+SUM(AF200:AI200)</f>
        <v>1417</v>
      </c>
      <c r="BU200" s="392">
        <f>+SUM(AJ200:AM200)</f>
        <v>2193</v>
      </c>
      <c r="BV200" s="483">
        <f>+SUM(AN200:AQ200)</f>
        <v>3064.858842310352</v>
      </c>
      <c r="BW200" s="389"/>
      <c r="BX200" s="389"/>
      <c r="BY200" s="389"/>
      <c r="BZ200" s="389"/>
      <c r="CA200" s="238"/>
      <c r="CB200" s="1408"/>
    </row>
    <row r="201" spans="2:80" s="7" customFormat="1" ht="14.25" customHeight="1">
      <c r="B201" s="730"/>
      <c r="C201" s="381"/>
      <c r="D201" s="523"/>
      <c r="E201" s="523"/>
      <c r="F201" s="523"/>
      <c r="G201" s="613"/>
      <c r="H201" s="523"/>
      <c r="I201" s="523"/>
      <c r="J201" s="523"/>
      <c r="K201" s="613"/>
      <c r="L201" s="523"/>
      <c r="M201" s="523"/>
      <c r="N201" s="523"/>
      <c r="O201" s="613"/>
      <c r="P201" s="523"/>
      <c r="Q201" s="523"/>
      <c r="R201" s="523"/>
      <c r="S201" s="613"/>
      <c r="T201" s="521">
        <f>T146+T140+T131</f>
        <v>234.99999999999994</v>
      </c>
      <c r="U201" s="521"/>
      <c r="V201" s="521"/>
      <c r="W201" s="522"/>
      <c r="X201" s="521"/>
      <c r="Y201" s="521"/>
      <c r="Z201" s="521"/>
      <c r="AA201" s="522"/>
      <c r="AB201" s="521"/>
      <c r="AC201" s="521"/>
      <c r="AD201" s="521"/>
      <c r="AE201" s="557"/>
      <c r="AF201" s="562"/>
      <c r="AG201" s="524"/>
      <c r="AH201" s="524"/>
      <c r="AI201" s="524"/>
      <c r="AJ201" s="562"/>
      <c r="AK201" s="524"/>
      <c r="AL201" s="524"/>
      <c r="AM201" s="525"/>
      <c r="AN201" s="562"/>
      <c r="AO201" s="524"/>
      <c r="AP201" s="524"/>
      <c r="AQ201" s="525"/>
      <c r="AR201" s="562"/>
      <c r="AS201" s="524"/>
      <c r="AT201" s="524"/>
      <c r="AU201" s="525"/>
      <c r="AV201" s="562"/>
      <c r="AW201" s="524"/>
      <c r="AX201" s="524"/>
      <c r="AY201" s="1579"/>
      <c r="AZ201" s="562"/>
      <c r="BA201" s="524"/>
      <c r="BB201" s="524"/>
      <c r="BC201" s="524"/>
      <c r="BD201" s="562"/>
      <c r="BE201" s="524"/>
      <c r="BF201" s="524"/>
      <c r="BG201" s="1579"/>
      <c r="BH201" s="562"/>
      <c r="BI201" s="524"/>
      <c r="BJ201" s="524"/>
      <c r="BK201" s="1579"/>
      <c r="BL201" s="19"/>
      <c r="BM201" s="235"/>
      <c r="BN201" s="235"/>
      <c r="BO201" s="235"/>
      <c r="BP201" s="235"/>
      <c r="BQ201" s="235"/>
      <c r="BR201" s="235"/>
      <c r="BS201" s="235"/>
      <c r="BT201" s="235"/>
      <c r="BU201" s="235"/>
      <c r="BV201" s="14"/>
      <c r="BW201" s="235"/>
      <c r="BX201" s="235"/>
      <c r="BY201" s="235"/>
      <c r="BZ201" s="235"/>
      <c r="CA201" s="1969"/>
      <c r="CB201" s="1408"/>
    </row>
    <row r="202" spans="2:80" s="7" customFormat="1" ht="14.25" customHeight="1">
      <c r="B202" s="733" t="s">
        <v>168</v>
      </c>
      <c r="C202" s="287"/>
      <c r="D202" s="519"/>
      <c r="E202" s="519"/>
      <c r="F202" s="519"/>
      <c r="G202" s="520"/>
      <c r="H202" s="518"/>
      <c r="I202" s="519"/>
      <c r="J202" s="519"/>
      <c r="K202" s="520"/>
      <c r="L202" s="518"/>
      <c r="M202" s="519"/>
      <c r="N202" s="519"/>
      <c r="O202" s="520"/>
      <c r="P202" s="518"/>
      <c r="Q202" s="519"/>
      <c r="R202" s="519"/>
      <c r="S202" s="520"/>
      <c r="T202" s="519">
        <f t="shared" ref="T202:AZ202" si="985">T102+T10</f>
        <v>1177</v>
      </c>
      <c r="U202" s="519">
        <f t="shared" si="985"/>
        <v>1184</v>
      </c>
      <c r="V202" s="519">
        <f t="shared" si="985"/>
        <v>1396</v>
      </c>
      <c r="W202" s="531">
        <f t="shared" si="985"/>
        <v>1646</v>
      </c>
      <c r="X202" s="519">
        <f t="shared" si="985"/>
        <v>1574</v>
      </c>
      <c r="Y202" s="519">
        <f t="shared" si="985"/>
        <v>1653</v>
      </c>
      <c r="Z202" s="519">
        <f t="shared" si="985"/>
        <v>1618</v>
      </c>
      <c r="AA202" s="531">
        <f t="shared" si="985"/>
        <v>1649</v>
      </c>
      <c r="AB202" s="519">
        <f t="shared" si="985"/>
        <v>1613</v>
      </c>
      <c r="AC202" s="519">
        <f t="shared" si="985"/>
        <v>1574</v>
      </c>
      <c r="AD202" s="519">
        <f t="shared" si="985"/>
        <v>1690</v>
      </c>
      <c r="AE202" s="532">
        <f t="shared" si="985"/>
        <v>1691</v>
      </c>
      <c r="AF202" s="518">
        <f t="shared" si="985"/>
        <v>1585</v>
      </c>
      <c r="AG202" s="532">
        <f t="shared" si="985"/>
        <v>1413</v>
      </c>
      <c r="AH202" s="532">
        <f t="shared" si="985"/>
        <v>1269</v>
      </c>
      <c r="AI202" s="532">
        <f t="shared" si="985"/>
        <v>1155</v>
      </c>
      <c r="AJ202" s="518">
        <f t="shared" si="985"/>
        <v>1088</v>
      </c>
      <c r="AK202" s="532">
        <f t="shared" si="985"/>
        <v>1161</v>
      </c>
      <c r="AL202" s="532">
        <f t="shared" si="985"/>
        <v>1529.3313000000001</v>
      </c>
      <c r="AM202" s="531">
        <f t="shared" si="985"/>
        <v>1644.0036499999997</v>
      </c>
      <c r="AN202" s="518">
        <f t="shared" si="985"/>
        <v>1397</v>
      </c>
      <c r="AO202" s="532">
        <f t="shared" si="985"/>
        <v>1441</v>
      </c>
      <c r="AP202" s="532">
        <f t="shared" si="985"/>
        <v>1429.0000000000002</v>
      </c>
      <c r="AQ202" s="531">
        <f t="shared" si="985"/>
        <v>1238.9999999999998</v>
      </c>
      <c r="AR202" s="518">
        <f t="shared" si="985"/>
        <v>1030</v>
      </c>
      <c r="AS202" s="532">
        <f t="shared" si="985"/>
        <v>942.00000000000011</v>
      </c>
      <c r="AT202" s="532">
        <f t="shared" si="985"/>
        <v>1061.0000000000005</v>
      </c>
      <c r="AU202" s="531">
        <f t="shared" si="985"/>
        <v>958</v>
      </c>
      <c r="AV202" s="518">
        <f t="shared" si="985"/>
        <v>831.99917921068084</v>
      </c>
      <c r="AW202" s="532">
        <f t="shared" si="985"/>
        <v>1027.0000000000005</v>
      </c>
      <c r="AX202" s="1623">
        <f t="shared" si="985"/>
        <v>1306.6347304654723</v>
      </c>
      <c r="AY202" s="1624">
        <f t="shared" si="985"/>
        <v>1105.9211484642301</v>
      </c>
      <c r="AZ202" s="1791">
        <f t="shared" si="985"/>
        <v>984.03247894623155</v>
      </c>
      <c r="BA202" s="532">
        <f t="shared" ref="BA202:BC202" si="986">BA102+BA10</f>
        <v>1218.9577575676312</v>
      </c>
      <c r="BB202" s="532">
        <f t="shared" si="986"/>
        <v>1637.9751173414143</v>
      </c>
      <c r="BC202" s="532">
        <f t="shared" si="986"/>
        <v>1468.1355193787761</v>
      </c>
      <c r="BD202" s="518">
        <f t="shared" ref="BD202:BG202" si="987">BD102+BD10</f>
        <v>1646.7615566210429</v>
      </c>
      <c r="BE202" s="532">
        <f t="shared" si="987"/>
        <v>1728.524549872174</v>
      </c>
      <c r="BF202" s="532">
        <f t="shared" si="987"/>
        <v>1730.3582323215753</v>
      </c>
      <c r="BG202" s="1780">
        <f t="shared" si="987"/>
        <v>1625.3408422465081</v>
      </c>
      <c r="BH202" s="518">
        <f t="shared" ref="BH202:BK202" si="988">BH102+BH10</f>
        <v>1549.1452351355251</v>
      </c>
      <c r="BI202" s="532">
        <f t="shared" si="988"/>
        <v>1635.4643929356052</v>
      </c>
      <c r="BJ202" s="532">
        <f t="shared" si="988"/>
        <v>1716.5157688386407</v>
      </c>
      <c r="BK202" s="1780">
        <f t="shared" si="988"/>
        <v>1702.8435645146208</v>
      </c>
      <c r="BL202" s="19"/>
      <c r="BM202" s="392"/>
      <c r="BN202" s="392"/>
      <c r="BO202" s="392"/>
      <c r="BP202" s="392"/>
      <c r="BQ202" s="392">
        <f>SUM(T202:W202)</f>
        <v>5403</v>
      </c>
      <c r="BR202" s="392">
        <f>SUM(X202:AA202)</f>
        <v>6494</v>
      </c>
      <c r="BS202" s="392">
        <f>SUM(AB202:AE202)</f>
        <v>6568</v>
      </c>
      <c r="BT202" s="392">
        <f>SUM(AF202:AI202)</f>
        <v>5422</v>
      </c>
      <c r="BU202" s="392">
        <f>SUM(AJ202:AM202)</f>
        <v>5422.3349499999995</v>
      </c>
      <c r="BV202" s="1939">
        <f>+SUM(AN202:AQ202)</f>
        <v>5506</v>
      </c>
      <c r="BW202" s="315">
        <f>+SUM(AR202:AU202)</f>
        <v>3991.0000000000005</v>
      </c>
      <c r="BX202" s="315">
        <f>+SUM(AV202:AY202)</f>
        <v>4271.5550581403841</v>
      </c>
      <c r="BY202" s="315">
        <f>SUM(AZ202:BC202)</f>
        <v>5309.1008732340533</v>
      </c>
      <c r="BZ202" s="315">
        <f>SUM(BD202:BG202)</f>
        <v>6730.9851810613</v>
      </c>
      <c r="CA202" s="2008">
        <f>SUM(BH202:BK202)</f>
        <v>6603.9689614243916</v>
      </c>
      <c r="CB202" s="1408"/>
    </row>
    <row r="203" spans="2:80" s="7" customFormat="1" ht="14.25" customHeight="1">
      <c r="B203" s="692" t="s">
        <v>165</v>
      </c>
      <c r="C203" s="380"/>
      <c r="D203" s="52"/>
      <c r="E203" s="52"/>
      <c r="F203" s="52"/>
      <c r="G203" s="499"/>
      <c r="H203" s="52"/>
      <c r="I203" s="52"/>
      <c r="J203" s="52"/>
      <c r="K203" s="499"/>
      <c r="L203" s="52"/>
      <c r="M203" s="52"/>
      <c r="N203" s="52"/>
      <c r="O203" s="499"/>
      <c r="P203" s="52"/>
      <c r="Q203" s="52"/>
      <c r="R203" s="52"/>
      <c r="S203" s="499"/>
      <c r="T203" s="52"/>
      <c r="U203" s="52">
        <f t="shared" ref="U203:AU203" si="989">U202/T202-1</f>
        <v>5.9473237043330407E-3</v>
      </c>
      <c r="V203" s="52">
        <f t="shared" si="989"/>
        <v>0.17905405405405395</v>
      </c>
      <c r="W203" s="533">
        <f t="shared" si="989"/>
        <v>0.1790830945558739</v>
      </c>
      <c r="X203" s="52">
        <f t="shared" si="989"/>
        <v>-4.3742405832320808E-2</v>
      </c>
      <c r="Y203" s="52">
        <f t="shared" si="989"/>
        <v>5.0190597204574416E-2</v>
      </c>
      <c r="Z203" s="52">
        <f t="shared" si="989"/>
        <v>-2.1173623714458523E-2</v>
      </c>
      <c r="AA203" s="533">
        <f t="shared" si="989"/>
        <v>1.9159456118664986E-2</v>
      </c>
      <c r="AB203" s="52">
        <f t="shared" si="989"/>
        <v>-2.1831412977562192E-2</v>
      </c>
      <c r="AC203" s="52">
        <f t="shared" si="989"/>
        <v>-2.4178549287042772E-2</v>
      </c>
      <c r="AD203" s="52">
        <f t="shared" si="989"/>
        <v>7.369758576874208E-2</v>
      </c>
      <c r="AE203" s="375">
        <f t="shared" si="989"/>
        <v>5.9171597633134176E-4</v>
      </c>
      <c r="AF203" s="504">
        <f t="shared" si="989"/>
        <v>-6.2684801892371356E-2</v>
      </c>
      <c r="AG203" s="534">
        <f t="shared" si="989"/>
        <v>-0.10851735015772868</v>
      </c>
      <c r="AH203" s="534">
        <f t="shared" si="989"/>
        <v>-0.10191082802547768</v>
      </c>
      <c r="AI203" s="375">
        <f t="shared" si="989"/>
        <v>-8.9834515366430279E-2</v>
      </c>
      <c r="AJ203" s="504">
        <f t="shared" si="989"/>
        <v>-5.8008658008657954E-2</v>
      </c>
      <c r="AK203" s="534">
        <f t="shared" si="989"/>
        <v>6.7095588235294157E-2</v>
      </c>
      <c r="AL203" s="534">
        <f t="shared" si="989"/>
        <v>0.317253488372093</v>
      </c>
      <c r="AM203" s="533">
        <f t="shared" si="989"/>
        <v>7.4982019919424658E-2</v>
      </c>
      <c r="AN203" s="504">
        <f t="shared" si="989"/>
        <v>-0.15024519562350103</v>
      </c>
      <c r="AO203" s="534">
        <f t="shared" si="989"/>
        <v>3.1496062992125928E-2</v>
      </c>
      <c r="AP203" s="534">
        <f t="shared" si="989"/>
        <v>-8.3275503122829386E-3</v>
      </c>
      <c r="AQ203" s="533">
        <f t="shared" si="989"/>
        <v>-0.13296011196641033</v>
      </c>
      <c r="AR203" s="504">
        <f t="shared" si="989"/>
        <v>-0.16868442292171093</v>
      </c>
      <c r="AS203" s="534">
        <f t="shared" si="989"/>
        <v>-8.5436893203883368E-2</v>
      </c>
      <c r="AT203" s="534">
        <f t="shared" si="989"/>
        <v>0.12632696390658205</v>
      </c>
      <c r="AU203" s="533">
        <f t="shared" si="989"/>
        <v>-9.7078228086711071E-2</v>
      </c>
      <c r="AV203" s="504">
        <f t="shared" ref="AV203" si="990">AV202/AU202-1</f>
        <v>-0.13152486512455031</v>
      </c>
      <c r="AW203" s="534">
        <f t="shared" ref="AW203:AZ203" si="991">AW202/AV202-1</f>
        <v>0.23437621774376893</v>
      </c>
      <c r="AX203" s="534">
        <f t="shared" si="991"/>
        <v>0.27228308711340965</v>
      </c>
      <c r="AY203" s="1555">
        <f t="shared" si="991"/>
        <v>-0.15361108756824526</v>
      </c>
      <c r="AZ203" s="504">
        <f t="shared" si="991"/>
        <v>-0.11021461131045629</v>
      </c>
      <c r="BA203" s="534">
        <f t="shared" ref="BA203" si="992">BA202/AZ202-1</f>
        <v>0.23873732183410601</v>
      </c>
      <c r="BB203" s="534">
        <f t="shared" ref="BB203" si="993">BB202/BA202-1</f>
        <v>0.3437505173353268</v>
      </c>
      <c r="BC203" s="375">
        <f t="shared" ref="BC203" si="994">BC202/BB202-1</f>
        <v>-0.10368875336659789</v>
      </c>
      <c r="BD203" s="504">
        <f t="shared" ref="BD203" si="995">BD202/BC202-1</f>
        <v>0.12166862996261441</v>
      </c>
      <c r="BE203" s="375">
        <f t="shared" ref="BE203" si="996">BE202/BD202-1</f>
        <v>4.9650778476332036E-2</v>
      </c>
      <c r="BF203" s="375">
        <f t="shared" ref="BF203" si="997">BF202/BE202-1</f>
        <v>1.06083679837643E-3</v>
      </c>
      <c r="BG203" s="1555">
        <f t="shared" ref="BG203" si="998">BG202/BF202-1</f>
        <v>-6.06911263306259E-2</v>
      </c>
      <c r="BH203" s="504">
        <f t="shared" ref="BH203" si="999">BH202/BG202-1</f>
        <v>-4.6879771387315472E-2</v>
      </c>
      <c r="BI203" s="375">
        <f t="shared" ref="BI203" si="1000">BI202/BH202-1</f>
        <v>5.572050692363173E-2</v>
      </c>
      <c r="BJ203" s="375">
        <f t="shared" ref="BJ203" si="1001">BJ202/BI202-1</f>
        <v>4.9558630718673724E-2</v>
      </c>
      <c r="BK203" s="1555">
        <f t="shared" ref="BK203" si="1002">BK202/BJ202-1</f>
        <v>-7.9650910129828167E-3</v>
      </c>
      <c r="BL203" s="19"/>
      <c r="BM203" s="253"/>
      <c r="BN203" s="253"/>
      <c r="BO203" s="253"/>
      <c r="BP203" s="253"/>
      <c r="BQ203" s="253"/>
      <c r="BR203" s="253"/>
      <c r="BS203" s="253"/>
      <c r="BT203" s="253"/>
      <c r="BU203" s="253"/>
      <c r="BV203" s="1946"/>
      <c r="BW203" s="13"/>
      <c r="BX203" s="13"/>
      <c r="BY203" s="13"/>
      <c r="BZ203" s="13"/>
      <c r="CA203" s="1664"/>
      <c r="CB203" s="1408"/>
    </row>
    <row r="204" spans="2:80" s="7" customFormat="1" ht="14.25" customHeight="1">
      <c r="B204" s="693"/>
      <c r="C204" s="293"/>
      <c r="D204" s="619"/>
      <c r="E204" s="619"/>
      <c r="F204" s="619"/>
      <c r="G204" s="620"/>
      <c r="H204" s="619"/>
      <c r="I204" s="619"/>
      <c r="J204" s="619"/>
      <c r="K204" s="620"/>
      <c r="L204" s="619"/>
      <c r="M204" s="619"/>
      <c r="N204" s="619"/>
      <c r="O204" s="620"/>
      <c r="P204" s="619"/>
      <c r="Q204" s="619"/>
      <c r="R204" s="619"/>
      <c r="S204" s="620"/>
      <c r="T204" s="52"/>
      <c r="U204" s="52"/>
      <c r="V204" s="52"/>
      <c r="W204" s="533"/>
      <c r="X204" s="52"/>
      <c r="Y204" s="52"/>
      <c r="Z204" s="52"/>
      <c r="AA204" s="533"/>
      <c r="AB204" s="52"/>
      <c r="AC204" s="52"/>
      <c r="AD204" s="52"/>
      <c r="AE204" s="375"/>
      <c r="AF204" s="504"/>
      <c r="AG204" s="534"/>
      <c r="AH204" s="534"/>
      <c r="AI204" s="375"/>
      <c r="AJ204" s="504"/>
      <c r="AK204" s="534"/>
      <c r="AL204" s="534"/>
      <c r="AM204" s="533"/>
      <c r="AN204" s="504"/>
      <c r="AO204" s="534"/>
      <c r="AP204" s="534"/>
      <c r="AQ204" s="533"/>
      <c r="AR204" s="504"/>
      <c r="AS204" s="534"/>
      <c r="AT204" s="534"/>
      <c r="AU204" s="533"/>
      <c r="AV204" s="504"/>
      <c r="AW204" s="534"/>
      <c r="AX204" s="534"/>
      <c r="AY204" s="1555"/>
      <c r="AZ204" s="504"/>
      <c r="BA204" s="534"/>
      <c r="BB204" s="534"/>
      <c r="BC204" s="375"/>
      <c r="BD204" s="504"/>
      <c r="BE204" s="375"/>
      <c r="BF204" s="375"/>
      <c r="BG204" s="1555"/>
      <c r="BH204" s="504"/>
      <c r="BI204" s="375"/>
      <c r="BJ204" s="375"/>
      <c r="BK204" s="1555"/>
      <c r="BL204" s="295"/>
      <c r="BM204" s="253"/>
      <c r="BN204" s="253"/>
      <c r="BO204" s="253"/>
      <c r="BP204" s="253"/>
      <c r="BQ204" s="253"/>
      <c r="BR204" s="253"/>
      <c r="BS204" s="253"/>
      <c r="BT204" s="253"/>
      <c r="BU204" s="253"/>
      <c r="BV204" s="1946"/>
      <c r="BW204" s="13"/>
      <c r="BX204" s="13"/>
      <c r="BY204" s="13"/>
      <c r="BZ204" s="13"/>
      <c r="CA204" s="1664"/>
      <c r="CB204" s="1408"/>
    </row>
    <row r="205" spans="2:80" s="7" customFormat="1" ht="14.25" customHeight="1">
      <c r="B205" s="733" t="s">
        <v>169</v>
      </c>
      <c r="C205" s="287"/>
      <c r="D205" s="535"/>
      <c r="E205" s="535"/>
      <c r="F205" s="535"/>
      <c r="G205" s="621"/>
      <c r="H205" s="535"/>
      <c r="I205" s="535"/>
      <c r="J205" s="535"/>
      <c r="K205" s="621"/>
      <c r="L205" s="535"/>
      <c r="M205" s="535"/>
      <c r="N205" s="535"/>
      <c r="O205" s="621"/>
      <c r="P205" s="535"/>
      <c r="Q205" s="535"/>
      <c r="R205" s="535"/>
      <c r="S205" s="621"/>
      <c r="T205" s="535">
        <f>IS!T$9</f>
        <v>1177</v>
      </c>
      <c r="U205" s="535">
        <f>IS!U$9</f>
        <v>1184</v>
      </c>
      <c r="V205" s="535">
        <f>IS!V$9</f>
        <v>1396</v>
      </c>
      <c r="W205" s="531">
        <f>IS!W$9</f>
        <v>1646</v>
      </c>
      <c r="X205" s="535">
        <f>IS!X$9</f>
        <v>1574</v>
      </c>
      <c r="Y205" s="535">
        <f>IS!Y$9</f>
        <v>1653</v>
      </c>
      <c r="Z205" s="535">
        <f>IS!Z$9</f>
        <v>1618</v>
      </c>
      <c r="AA205" s="531">
        <f>IS!AA$9</f>
        <v>1649</v>
      </c>
      <c r="AB205" s="535">
        <f>IS!AB$9</f>
        <v>1613</v>
      </c>
      <c r="AC205" s="535">
        <f>IS!AC$9</f>
        <v>1574</v>
      </c>
      <c r="AD205" s="535">
        <f>IS!AD$9</f>
        <v>1690</v>
      </c>
      <c r="AE205" s="532">
        <f>IS!AE$9</f>
        <v>1691</v>
      </c>
      <c r="AF205" s="559">
        <f>IS!AF$9</f>
        <v>1585</v>
      </c>
      <c r="AG205" s="536">
        <f>IS!AG$9</f>
        <v>1413</v>
      </c>
      <c r="AH205" s="536">
        <f>IS!AH$9</f>
        <v>1269</v>
      </c>
      <c r="AI205" s="536">
        <f>IS!AI$9</f>
        <v>1155</v>
      </c>
      <c r="AJ205" s="559">
        <f>IS!AJ$9</f>
        <v>1088</v>
      </c>
      <c r="AK205" s="536">
        <f>IS!AK$9</f>
        <v>1161</v>
      </c>
      <c r="AL205" s="536">
        <f>IS!AL$9</f>
        <v>1461</v>
      </c>
      <c r="AM205" s="537">
        <f>IS!AM$9</f>
        <v>1589</v>
      </c>
      <c r="AN205" s="559">
        <f>IS!AN$9</f>
        <v>1397</v>
      </c>
      <c r="AO205" s="536">
        <f>IS!AO$9</f>
        <v>1441</v>
      </c>
      <c r="AP205" s="536">
        <f>IS!AP$9</f>
        <v>1429</v>
      </c>
      <c r="AQ205" s="537">
        <f>IS!AQ$9</f>
        <v>1239</v>
      </c>
      <c r="AR205" s="559">
        <f>IS!AR$9</f>
        <v>1030</v>
      </c>
      <c r="AS205" s="536">
        <f>IS!AS$9</f>
        <v>942</v>
      </c>
      <c r="AT205" s="536">
        <f>IS!AT$9</f>
        <v>1061</v>
      </c>
      <c r="AU205" s="537">
        <f>IS!AU$9</f>
        <v>958</v>
      </c>
      <c r="AV205" s="559">
        <f>IS!AV$9</f>
        <v>832</v>
      </c>
      <c r="AW205" s="536">
        <f>IS!AW$9</f>
        <v>1027</v>
      </c>
      <c r="AX205" s="1623">
        <v>1307</v>
      </c>
      <c r="AY205" s="1624">
        <v>1106</v>
      </c>
      <c r="AZ205" s="1791">
        <v>984.14183542395028</v>
      </c>
      <c r="BA205" s="536">
        <f>IS!BA$9</f>
        <v>1222</v>
      </c>
      <c r="BB205" s="536">
        <f>IS!BB$9</f>
        <v>1643</v>
      </c>
      <c r="BC205" s="536">
        <f>IS!BC$9</f>
        <v>1480</v>
      </c>
      <c r="BD205" s="559">
        <f>IS!BD$9</f>
        <v>1647</v>
      </c>
      <c r="BE205" s="536">
        <f>IS!BE$9</f>
        <v>1728.5245498721738</v>
      </c>
      <c r="BF205" s="536">
        <f>IS!BF$9</f>
        <v>1730.3582323215753</v>
      </c>
      <c r="BG205" s="1781">
        <f>IS!BG$9</f>
        <v>1625.3408422465081</v>
      </c>
      <c r="BH205" s="559">
        <f>IS!BH$9</f>
        <v>1549.1452351355256</v>
      </c>
      <c r="BI205" s="536">
        <f>IS!BI$9</f>
        <v>1635.4643929356052</v>
      </c>
      <c r="BJ205" s="536">
        <f>IS!BJ$9</f>
        <v>1716.5157688386405</v>
      </c>
      <c r="BK205" s="1781">
        <f>IS!BK$9</f>
        <v>1702.8435645146208</v>
      </c>
      <c r="BL205" s="295"/>
      <c r="BM205" s="365"/>
      <c r="BN205" s="365"/>
      <c r="BO205" s="365"/>
      <c r="BP205" s="365"/>
      <c r="BQ205" s="365">
        <f>IS!BQ$9</f>
        <v>5403</v>
      </c>
      <c r="BR205" s="365">
        <f>IS!BR$9</f>
        <v>6494</v>
      </c>
      <c r="BS205" s="365">
        <f>IS!BS$9</f>
        <v>6568</v>
      </c>
      <c r="BT205" s="365">
        <f>IS!BT$9</f>
        <v>5422</v>
      </c>
      <c r="BU205" s="365">
        <f>IS!BU$9</f>
        <v>5299</v>
      </c>
      <c r="BV205" s="1939">
        <f>IS!BV$9</f>
        <v>5506</v>
      </c>
      <c r="BW205" s="365">
        <f>IS!BW$9</f>
        <v>3991</v>
      </c>
      <c r="BX205" s="365">
        <f>IS!BX$9</f>
        <v>4272</v>
      </c>
      <c r="BY205" s="365">
        <f>IS!BY$9</f>
        <v>5329</v>
      </c>
      <c r="BZ205" s="365">
        <f>IS!BZ$9</f>
        <v>6731.2236244402575</v>
      </c>
      <c r="CA205" s="1673">
        <f>IS!CA$9</f>
        <v>6603.9689614243925</v>
      </c>
      <c r="CB205" s="1408"/>
    </row>
    <row r="206" spans="2:80" s="7" customFormat="1" ht="14.25" customHeight="1">
      <c r="B206" s="726"/>
      <c r="C206" s="291"/>
      <c r="D206" s="538"/>
      <c r="E206" s="538"/>
      <c r="F206" s="538"/>
      <c r="G206" s="622"/>
      <c r="H206" s="538"/>
      <c r="I206" s="538"/>
      <c r="J206" s="538"/>
      <c r="K206" s="622"/>
      <c r="L206" s="538"/>
      <c r="M206" s="538"/>
      <c r="N206" s="538"/>
      <c r="O206" s="622"/>
      <c r="P206" s="538"/>
      <c r="Q206" s="538"/>
      <c r="R206" s="538"/>
      <c r="S206" s="622"/>
      <c r="T206" s="538"/>
      <c r="U206" s="538"/>
      <c r="V206" s="538"/>
      <c r="W206" s="539"/>
      <c r="X206" s="538"/>
      <c r="Y206" s="538"/>
      <c r="Z206" s="538"/>
      <c r="AA206" s="539"/>
      <c r="AB206" s="538"/>
      <c r="AC206" s="538"/>
      <c r="AD206" s="538"/>
      <c r="AE206" s="540"/>
      <c r="AF206" s="563"/>
      <c r="AG206" s="540"/>
      <c r="AH206" s="540"/>
      <c r="AI206" s="540"/>
      <c r="AJ206" s="563"/>
      <c r="AK206" s="540"/>
      <c r="AL206" s="540"/>
      <c r="AM206" s="539"/>
      <c r="AN206" s="563"/>
      <c r="AO206" s="540"/>
      <c r="AP206" s="540"/>
      <c r="AQ206" s="539"/>
      <c r="AR206" s="563"/>
      <c r="AS206" s="540"/>
      <c r="AT206" s="540"/>
      <c r="AU206" s="539"/>
      <c r="AV206" s="563"/>
      <c r="AW206" s="540"/>
      <c r="AX206" s="1625"/>
      <c r="AY206" s="1626"/>
      <c r="AZ206" s="1815"/>
      <c r="BA206" s="540"/>
      <c r="BB206" s="540"/>
      <c r="BC206" s="540"/>
      <c r="BD206" s="563"/>
      <c r="BE206" s="540"/>
      <c r="BF206" s="540"/>
      <c r="BG206" s="1782"/>
      <c r="BH206" s="563"/>
      <c r="BI206" s="540"/>
      <c r="BJ206" s="540"/>
      <c r="BK206" s="1782"/>
      <c r="BL206" s="295"/>
      <c r="BM206" s="296"/>
      <c r="BN206" s="296"/>
      <c r="BO206" s="296"/>
      <c r="BP206" s="296"/>
      <c r="BQ206" s="296"/>
      <c r="BR206" s="296"/>
      <c r="BS206" s="296"/>
      <c r="BT206" s="296"/>
      <c r="BU206" s="296"/>
      <c r="BV206" s="484"/>
      <c r="BW206" s="235"/>
      <c r="BX206" s="235"/>
      <c r="BY206" s="235"/>
      <c r="BZ206" s="235"/>
      <c r="CA206" s="1969"/>
      <c r="CB206" s="1408"/>
    </row>
    <row r="207" spans="2:80" ht="14.25" customHeight="1">
      <c r="C207" s="1419"/>
      <c r="D207" s="1450"/>
      <c r="AX207" s="1627"/>
      <c r="AY207" s="1627"/>
      <c r="BR207" s="333"/>
      <c r="BS207" s="333"/>
      <c r="BT207" s="333"/>
      <c r="BU207" s="333"/>
      <c r="BV207" s="333"/>
      <c r="BX207" s="1419"/>
      <c r="BY207" s="1419"/>
      <c r="CB207" s="1490"/>
    </row>
    <row r="208" spans="2:80" ht="14.25" customHeight="1">
      <c r="C208" s="1419"/>
      <c r="D208" s="1450"/>
      <c r="AX208" s="1627"/>
      <c r="AY208" s="1627"/>
      <c r="BR208" s="333"/>
      <c r="BS208" s="333"/>
      <c r="BT208" s="333"/>
      <c r="BU208" s="333"/>
      <c r="BV208" s="333"/>
      <c r="BX208" s="1419"/>
      <c r="BY208" s="1419"/>
      <c r="CB208" s="1490"/>
    </row>
    <row r="209" spans="2:80" ht="14.25" customHeight="1">
      <c r="B209" s="1028" t="s">
        <v>496</v>
      </c>
      <c r="C209" s="1449"/>
      <c r="D209" s="1029" t="str">
        <f>+D$7</f>
        <v>F1Q05A</v>
      </c>
      <c r="E209" s="1029" t="str">
        <f t="shared" ref="E209:CA209" si="1003">+E$7</f>
        <v>F2Q05A</v>
      </c>
      <c r="F209" s="1029" t="str">
        <f t="shared" si="1003"/>
        <v>F3Q05A</v>
      </c>
      <c r="G209" s="1031" t="str">
        <f t="shared" si="1003"/>
        <v>F4Q05A</v>
      </c>
      <c r="H209" s="1029" t="str">
        <f t="shared" si="1003"/>
        <v>F1Q06A</v>
      </c>
      <c r="I209" s="1029" t="str">
        <f t="shared" si="1003"/>
        <v>F2Q06A</v>
      </c>
      <c r="J209" s="1029" t="str">
        <f t="shared" si="1003"/>
        <v>F3Q06A</v>
      </c>
      <c r="K209" s="1031" t="str">
        <f t="shared" si="1003"/>
        <v>F4Q06A</v>
      </c>
      <c r="L209" s="1029" t="str">
        <f t="shared" si="1003"/>
        <v>F1Q07A</v>
      </c>
      <c r="M209" s="1029" t="str">
        <f t="shared" si="1003"/>
        <v>F2Q07A</v>
      </c>
      <c r="N209" s="1029" t="str">
        <f t="shared" si="1003"/>
        <v>F3Q07A</v>
      </c>
      <c r="O209" s="1031" t="str">
        <f t="shared" si="1003"/>
        <v>F4Q07A</v>
      </c>
      <c r="P209" s="1029" t="str">
        <f t="shared" si="1003"/>
        <v>F1Q08A</v>
      </c>
      <c r="Q209" s="1029" t="str">
        <f t="shared" si="1003"/>
        <v>F2Q08A</v>
      </c>
      <c r="R209" s="1029" t="str">
        <f t="shared" si="1003"/>
        <v>F3Q08A</v>
      </c>
      <c r="S209" s="1029" t="str">
        <f t="shared" si="1003"/>
        <v>F4Q08A</v>
      </c>
      <c r="T209" s="1030" t="str">
        <f t="shared" si="1003"/>
        <v>F1Q09A</v>
      </c>
      <c r="U209" s="1032" t="str">
        <f t="shared" si="1003"/>
        <v>F2Q09A</v>
      </c>
      <c r="V209" s="1032" t="str">
        <f t="shared" si="1003"/>
        <v>F3Q09A</v>
      </c>
      <c r="W209" s="1033" t="str">
        <f t="shared" si="1003"/>
        <v>F4Q09A</v>
      </c>
      <c r="X209" s="1029" t="str">
        <f t="shared" si="1003"/>
        <v>F1Q10A</v>
      </c>
      <c r="Y209" s="1032" t="str">
        <f t="shared" si="1003"/>
        <v>F2Q10A</v>
      </c>
      <c r="Z209" s="1032" t="str">
        <f t="shared" si="1003"/>
        <v>F3Q10A</v>
      </c>
      <c r="AA209" s="1032" t="str">
        <f t="shared" si="1003"/>
        <v>F4Q10A</v>
      </c>
      <c r="AB209" s="1030" t="str">
        <f t="shared" si="1003"/>
        <v>F1Q11A</v>
      </c>
      <c r="AC209" s="1032" t="str">
        <f t="shared" si="1003"/>
        <v>F2Q11A</v>
      </c>
      <c r="AD209" s="1032" t="str">
        <f t="shared" si="1003"/>
        <v>F3Q11A</v>
      </c>
      <c r="AE209" s="1033" t="str">
        <f t="shared" si="1003"/>
        <v>F4Q11A</v>
      </c>
      <c r="AF209" s="1035" t="str">
        <f t="shared" si="1003"/>
        <v>F1Q12A</v>
      </c>
      <c r="AG209" s="1035" t="str">
        <f t="shared" si="1003"/>
        <v>F2Q12A</v>
      </c>
      <c r="AH209" s="1035" t="str">
        <f t="shared" si="1003"/>
        <v>F3Q12A</v>
      </c>
      <c r="AI209" s="1035" t="str">
        <f t="shared" si="1003"/>
        <v>F4Q12A</v>
      </c>
      <c r="AJ209" s="1034" t="str">
        <f t="shared" si="1003"/>
        <v>F1Q13A</v>
      </c>
      <c r="AK209" s="1035" t="str">
        <f t="shared" si="1003"/>
        <v>F2Q13A</v>
      </c>
      <c r="AL209" s="1035" t="str">
        <f t="shared" si="1003"/>
        <v>F3Q13A</v>
      </c>
      <c r="AM209" s="1036" t="str">
        <f t="shared" si="1003"/>
        <v>F4Q13A</v>
      </c>
      <c r="AN209" s="1035" t="str">
        <f t="shared" si="1003"/>
        <v>F1Q14A</v>
      </c>
      <c r="AO209" s="1035" t="str">
        <f t="shared" si="1003"/>
        <v>F2Q14A</v>
      </c>
      <c r="AP209" s="1035" t="str">
        <f t="shared" si="1003"/>
        <v>F3Q14A</v>
      </c>
      <c r="AQ209" s="1036" t="str">
        <f t="shared" si="1003"/>
        <v>F4Q14A</v>
      </c>
      <c r="AR209" s="1035" t="str">
        <f t="shared" si="1003"/>
        <v>F1Q15A</v>
      </c>
      <c r="AS209" s="1035" t="str">
        <f t="shared" si="1003"/>
        <v>F2Q15A</v>
      </c>
      <c r="AT209" s="1035" t="str">
        <f t="shared" si="1003"/>
        <v>F3Q15A</v>
      </c>
      <c r="AU209" s="1036" t="str">
        <f t="shared" si="1003"/>
        <v>F4Q15A</v>
      </c>
      <c r="AV209" s="1035" t="str">
        <f t="shared" si="1003"/>
        <v>F1Q16A</v>
      </c>
      <c r="AW209" s="1035" t="str">
        <f t="shared" si="1003"/>
        <v>C2Q16A</v>
      </c>
      <c r="AX209" s="1628" t="str">
        <f t="shared" si="1003"/>
        <v>F3Q16A</v>
      </c>
      <c r="AY209" s="1629" t="str">
        <f t="shared" si="1003"/>
        <v>F4Q16A</v>
      </c>
      <c r="AZ209" s="1628" t="str">
        <f t="shared" si="1003"/>
        <v>F1Q17A</v>
      </c>
      <c r="BA209" s="1035" t="str">
        <f t="shared" si="1003"/>
        <v>C2Q17A</v>
      </c>
      <c r="BB209" s="1035" t="str">
        <f t="shared" si="1003"/>
        <v>C3Q17A</v>
      </c>
      <c r="BC209" s="1036" t="str">
        <f t="shared" si="1003"/>
        <v>F4Q17A</v>
      </c>
      <c r="BD209" s="1035" t="str">
        <f t="shared" si="1003"/>
        <v>F1Q18A</v>
      </c>
      <c r="BE209" s="1035" t="str">
        <f t="shared" si="1003"/>
        <v>F2Q18E</v>
      </c>
      <c r="BF209" s="1035" t="str">
        <f t="shared" si="1003"/>
        <v>F3Q18E</v>
      </c>
      <c r="BG209" s="1036" t="str">
        <f t="shared" si="1003"/>
        <v>F4Q18E</v>
      </c>
      <c r="BH209" s="1035" t="str">
        <f t="shared" si="1003"/>
        <v>F1Q19E</v>
      </c>
      <c r="BI209" s="1035" t="str">
        <f t="shared" si="1003"/>
        <v>F2Q19E</v>
      </c>
      <c r="BJ209" s="1035" t="str">
        <f t="shared" si="1003"/>
        <v>F3Q19E</v>
      </c>
      <c r="BK209" s="1036" t="str">
        <f t="shared" si="1003"/>
        <v>F4Q19E</v>
      </c>
      <c r="BL209" s="1043"/>
      <c r="BM209" s="1030" t="str">
        <f t="shared" si="1003"/>
        <v>FY2005A</v>
      </c>
      <c r="BN209" s="1029" t="str">
        <f t="shared" si="1003"/>
        <v>FY2006A</v>
      </c>
      <c r="BO209" s="1032" t="str">
        <f t="shared" si="1003"/>
        <v>FY2007A</v>
      </c>
      <c r="BP209" s="1032" t="str">
        <f t="shared" si="1003"/>
        <v>FY2008A</v>
      </c>
      <c r="BQ209" s="1032" t="str">
        <f t="shared" si="1003"/>
        <v>FY2009A</v>
      </c>
      <c r="BR209" s="1032" t="str">
        <f t="shared" si="1003"/>
        <v>FY2010A</v>
      </c>
      <c r="BS209" s="1032" t="str">
        <f t="shared" si="1003"/>
        <v>FY2011A</v>
      </c>
      <c r="BT209" s="1032" t="str">
        <f t="shared" si="1003"/>
        <v>FY2012A</v>
      </c>
      <c r="BU209" s="1032" t="str">
        <f t="shared" si="1003"/>
        <v>FY2013A</v>
      </c>
      <c r="BV209" s="1037" t="str">
        <f t="shared" si="1003"/>
        <v>FY2014A</v>
      </c>
      <c r="BW209" s="1032" t="str">
        <f t="shared" si="1003"/>
        <v>FY2015A</v>
      </c>
      <c r="BX209" s="1032" t="str">
        <f t="shared" si="1003"/>
        <v>FY2016A</v>
      </c>
      <c r="BY209" s="1032" t="str">
        <f t="shared" si="1003"/>
        <v>FY2017A</v>
      </c>
      <c r="BZ209" s="1032" t="str">
        <f t="shared" si="1003"/>
        <v>FY2018E</v>
      </c>
      <c r="CA209" s="1033" t="str">
        <f t="shared" si="1003"/>
        <v>FY2019E</v>
      </c>
      <c r="CB209" s="1408"/>
    </row>
    <row r="210" spans="2:80" s="7" customFormat="1" ht="14.25" customHeight="1">
      <c r="B210" s="849" t="s">
        <v>373</v>
      </c>
      <c r="C210" s="13"/>
      <c r="D210" s="619"/>
      <c r="E210" s="1280"/>
      <c r="F210" s="1280"/>
      <c r="G210" s="1280"/>
      <c r="H210" s="1280"/>
      <c r="I210" s="1280"/>
      <c r="J210" s="1280"/>
      <c r="K210" s="1280"/>
      <c r="L210" s="1280"/>
      <c r="M210" s="1280"/>
      <c r="N210" s="1280"/>
      <c r="O210" s="1280"/>
      <c r="P210" s="1280"/>
      <c r="Q210" s="1280"/>
      <c r="R210" s="1280"/>
      <c r="S210" s="1280"/>
      <c r="T210" s="1281"/>
      <c r="U210" s="1282"/>
      <c r="V210" s="1283"/>
      <c r="W210" s="1284"/>
      <c r="X210" s="1280"/>
      <c r="Y210" s="1282"/>
      <c r="Z210" s="1283"/>
      <c r="AA210" s="1282"/>
      <c r="AB210" s="20"/>
      <c r="AC210" s="1285"/>
      <c r="AD210" s="1286"/>
      <c r="AE210" s="1287"/>
      <c r="AF210" s="1285"/>
      <c r="AG210" s="1285"/>
      <c r="AH210" s="1285"/>
      <c r="AI210" s="1285"/>
      <c r="AJ210" s="1331"/>
      <c r="AK210" s="1332"/>
      <c r="AL210" s="1332"/>
      <c r="AM210" s="1333"/>
      <c r="AN210" s="1285"/>
      <c r="AO210" s="1285"/>
      <c r="AP210" s="1285"/>
      <c r="AQ210" s="1285"/>
      <c r="AR210" s="1331"/>
      <c r="AS210" s="1332"/>
      <c r="AT210" s="1332"/>
      <c r="AU210" s="1333"/>
      <c r="AV210" s="1331"/>
      <c r="AW210" s="1332"/>
      <c r="AX210" s="1630"/>
      <c r="AY210" s="1631"/>
      <c r="AZ210" s="1816"/>
      <c r="BA210" s="1332"/>
      <c r="BB210" s="1332"/>
      <c r="BC210" s="1333"/>
      <c r="BD210" s="1331"/>
      <c r="BE210" s="1332"/>
      <c r="BF210" s="1332"/>
      <c r="BG210" s="1333"/>
      <c r="BH210" s="1331"/>
      <c r="BI210" s="1332"/>
      <c r="BJ210" s="1332"/>
      <c r="BK210" s="1333"/>
      <c r="BM210" s="20"/>
      <c r="BN210" s="13"/>
      <c r="BO210" s="302"/>
      <c r="BP210" s="302"/>
      <c r="BQ210" s="302"/>
      <c r="BR210" s="302"/>
      <c r="BS210" s="302"/>
      <c r="BT210" s="302"/>
      <c r="BU210" s="302"/>
      <c r="BV210" s="1923"/>
      <c r="BW210" s="302"/>
      <c r="BX210" s="302"/>
      <c r="BY210" s="302"/>
      <c r="BZ210" s="302"/>
      <c r="CA210" s="1670"/>
      <c r="CB210" s="1408"/>
    </row>
    <row r="211" spans="2:80" s="1432" customFormat="1" ht="14.25" customHeight="1">
      <c r="B211" s="1424" t="s">
        <v>565</v>
      </c>
      <c r="C211" s="1425"/>
      <c r="D211" s="1451"/>
      <c r="E211" s="1426"/>
      <c r="F211" s="1426"/>
      <c r="G211" s="1426"/>
      <c r="H211" s="1426"/>
      <c r="I211" s="1426"/>
      <c r="J211" s="1426"/>
      <c r="K211" s="1426"/>
      <c r="L211" s="1426"/>
      <c r="M211" s="1426"/>
      <c r="N211" s="1426"/>
      <c r="O211" s="1426"/>
      <c r="P211" s="1426"/>
      <c r="Q211" s="1426"/>
      <c r="R211" s="1426"/>
      <c r="S211" s="1426"/>
      <c r="T211" s="1427"/>
      <c r="U211" s="1426"/>
      <c r="V211" s="1426"/>
      <c r="W211" s="1428"/>
      <c r="X211" s="1426"/>
      <c r="Y211" s="1426"/>
      <c r="Z211" s="1426"/>
      <c r="AA211" s="1426"/>
      <c r="AB211" s="1424"/>
      <c r="AC211" s="1429"/>
      <c r="AD211" s="1429"/>
      <c r="AE211" s="1430"/>
      <c r="AF211" s="1429"/>
      <c r="AG211" s="1429"/>
      <c r="AH211" s="1429"/>
      <c r="AI211" s="1429"/>
      <c r="AJ211" s="1431"/>
      <c r="AK211" s="1429"/>
      <c r="AL211" s="1429"/>
      <c r="AM211" s="1430"/>
      <c r="AN211" s="1429">
        <f>'BU-Segment'!AN10</f>
        <v>339.80612959571431</v>
      </c>
      <c r="AO211" s="1429">
        <f>'BU-Segment'!AO10</f>
        <v>327.18717337383777</v>
      </c>
      <c r="AP211" s="1429">
        <f>'BU-Segment'!AP10</f>
        <v>332.81146525659824</v>
      </c>
      <c r="AQ211" s="1429">
        <f>'BU-Segment'!AQ10</f>
        <v>236.55409976444582</v>
      </c>
      <c r="AR211" s="1431">
        <f>'BU-Segment'!AR10</f>
        <v>174.76108536237302</v>
      </c>
      <c r="AS211" s="1429">
        <f>'BU-Segment'!AS10</f>
        <v>121.18807464453756</v>
      </c>
      <c r="AT211" s="1429">
        <f>'BU-Segment'!AT10</f>
        <v>145.45490473994613</v>
      </c>
      <c r="AU211" s="1430">
        <f>'BU-Segment'!AU10</f>
        <v>140.25489189549302</v>
      </c>
      <c r="AV211" s="1431">
        <f>'BU-Segment'!AV10</f>
        <v>115.64015836783399</v>
      </c>
      <c r="AW211" s="1429">
        <f>'BU-Segment'!AW10</f>
        <v>86.177632917755233</v>
      </c>
      <c r="AX211" s="1632">
        <v>85.315856588577674</v>
      </c>
      <c r="AY211" s="1633">
        <v>97.132102726095695</v>
      </c>
      <c r="AZ211" s="1817">
        <v>135.00390957900038</v>
      </c>
      <c r="BA211" s="1429">
        <f>'BU-Segment'!BA10</f>
        <v>217.97731240625407</v>
      </c>
      <c r="BB211" s="1429">
        <f>'BU-Segment'!BB10</f>
        <v>244.57054451981708</v>
      </c>
      <c r="BC211" s="1430">
        <f>'BU-Segment'!BC10</f>
        <v>255.68383006279757</v>
      </c>
      <c r="BD211" s="1431">
        <f>'BU-Segment'!BD10</f>
        <v>309.27516084395995</v>
      </c>
      <c r="BE211" s="1429">
        <f>'BU-Segment'!BE10</f>
        <v>340.69751718570637</v>
      </c>
      <c r="BF211" s="1429">
        <f>'BU-Segment'!BF10</f>
        <v>378.99191811737984</v>
      </c>
      <c r="BG211" s="1430">
        <f>'BU-Segment'!BG10</f>
        <v>378.99191811737984</v>
      </c>
      <c r="BH211" s="1431">
        <f>'BU-Segment'!BH10</f>
        <v>375.20199893620605</v>
      </c>
      <c r="BI211" s="1429">
        <f>'BU-Segment'!BI10</f>
        <v>371.449978946844</v>
      </c>
      <c r="BJ211" s="1429">
        <f>'BU-Segment'!BJ10</f>
        <v>378.91612352367554</v>
      </c>
      <c r="BK211" s="1430">
        <f>'BU-Segment'!BK10</f>
        <v>382.70528475891228</v>
      </c>
      <c r="BM211" s="1424"/>
      <c r="BN211" s="1425"/>
      <c r="BO211" s="1433"/>
      <c r="BP211" s="1433"/>
      <c r="BQ211" s="1433"/>
      <c r="BR211" s="1433"/>
      <c r="BS211" s="1433"/>
      <c r="BT211" s="1433"/>
      <c r="BU211" s="1433"/>
      <c r="BV211" s="1924"/>
      <c r="BW211" s="1442">
        <f t="shared" ref="BW211:BW216" si="1004">SUM(AR211:AU211)</f>
        <v>581.65895664234972</v>
      </c>
      <c r="BX211" s="1426">
        <f>'BU-Segment'!BX10</f>
        <v>384.26575060026261</v>
      </c>
      <c r="BY211" s="1426">
        <f>'BU-Segment'!BY10</f>
        <v>853.23559656786915</v>
      </c>
      <c r="BZ211" s="1426">
        <f>'BU-Segment'!BZ10</f>
        <v>1407.956514264426</v>
      </c>
      <c r="CA211" s="1925">
        <f>'BU-Segment'!CA10</f>
        <v>1508.2733861656377</v>
      </c>
      <c r="CB211" s="1408"/>
    </row>
    <row r="212" spans="2:80" s="1432" customFormat="1" ht="14.25" customHeight="1">
      <c r="B212" s="1424" t="s">
        <v>566</v>
      </c>
      <c r="C212" s="1425"/>
      <c r="D212" s="1451"/>
      <c r="E212" s="1426"/>
      <c r="F212" s="1426"/>
      <c r="G212" s="1426"/>
      <c r="H212" s="1426"/>
      <c r="I212" s="1426"/>
      <c r="J212" s="1426"/>
      <c r="K212" s="1426"/>
      <c r="L212" s="1426"/>
      <c r="M212" s="1426"/>
      <c r="N212" s="1426"/>
      <c r="O212" s="1426"/>
      <c r="P212" s="1426"/>
      <c r="Q212" s="1426"/>
      <c r="R212" s="1426"/>
      <c r="S212" s="1426"/>
      <c r="T212" s="1427"/>
      <c r="U212" s="1426"/>
      <c r="V212" s="1426"/>
      <c r="W212" s="1428"/>
      <c r="X212" s="1426"/>
      <c r="Y212" s="1426"/>
      <c r="Z212" s="1426"/>
      <c r="AA212" s="1426"/>
      <c r="AB212" s="1424"/>
      <c r="AC212" s="1429"/>
      <c r="AD212" s="1429"/>
      <c r="AE212" s="1430"/>
      <c r="AF212" s="1429"/>
      <c r="AG212" s="1429"/>
      <c r="AH212" s="1429"/>
      <c r="AI212" s="1429"/>
      <c r="AJ212" s="1431"/>
      <c r="AK212" s="1429"/>
      <c r="AL212" s="1429"/>
      <c r="AM212" s="1430"/>
      <c r="AN212" s="1429">
        <f>'BU-Segment'!AN11</f>
        <v>194.09406010682858</v>
      </c>
      <c r="AO212" s="1429">
        <f>'BU-Segment'!AO11</f>
        <v>228.44870874573726</v>
      </c>
      <c r="AP212" s="1429">
        <f>'BU-Segment'!AP11</f>
        <v>230.59612660794721</v>
      </c>
      <c r="AQ212" s="1429">
        <f>'BU-Segment'!AQ11</f>
        <v>237.56012963150724</v>
      </c>
      <c r="AR212" s="1431">
        <f>'BU-Segment'!AR11</f>
        <v>187.67250240889072</v>
      </c>
      <c r="AS212" s="1429">
        <f>'BU-Segment'!AS11</f>
        <v>113.95474346267845</v>
      </c>
      <c r="AT212" s="1429">
        <f>'BU-Segment'!AT11</f>
        <v>111.67564859342487</v>
      </c>
      <c r="AU212" s="1430">
        <f>'BU-Segment'!AU11</f>
        <v>130.99553580008737</v>
      </c>
      <c r="AV212" s="1431">
        <f>'BU-Segment'!AV11</f>
        <v>150.82825992022063</v>
      </c>
      <c r="AW212" s="1429">
        <f>'BU-Segment'!AW11</f>
        <v>153.85990794461705</v>
      </c>
      <c r="AX212" s="1632">
        <v>163.65386038483163</v>
      </c>
      <c r="AY212" s="1633">
        <v>178.21905395908163</v>
      </c>
      <c r="AZ212" s="1817">
        <v>161.1741836384351</v>
      </c>
      <c r="BA212" s="1429">
        <f>'BU-Segment'!BA11</f>
        <v>114.836605842385</v>
      </c>
      <c r="BB212" s="1429">
        <f>'BU-Segment'!BB11</f>
        <v>103.35294525814651</v>
      </c>
      <c r="BC212" s="1430">
        <f>'BU-Segment'!BC11</f>
        <v>154.51265316092901</v>
      </c>
      <c r="BD212" s="1431">
        <f>'BU-Segment'!BD11</f>
        <v>214.58717270989823</v>
      </c>
      <c r="BE212" s="1429">
        <f>'BU-Segment'!BE11</f>
        <v>287.0103434994889</v>
      </c>
      <c r="BF212" s="1429">
        <f>'BU-Segment'!BF11</f>
        <v>310.40168649469729</v>
      </c>
      <c r="BG212" s="1430">
        <f>'BU-Segment'!BG11</f>
        <v>310.40168649469729</v>
      </c>
      <c r="BH212" s="1431">
        <f>'BU-Segment'!BH11</f>
        <v>299.61522788900658</v>
      </c>
      <c r="BI212" s="1429">
        <f>'BU-Segment'!BI11</f>
        <v>290.6866940979142</v>
      </c>
      <c r="BJ212" s="1429">
        <f>'BU-Segment'!BJ11</f>
        <v>290.65762542850439</v>
      </c>
      <c r="BK212" s="1430">
        <f>'BU-Segment'!BK11</f>
        <v>290.65762542850439</v>
      </c>
      <c r="BM212" s="1424"/>
      <c r="BN212" s="1425"/>
      <c r="BO212" s="1433"/>
      <c r="BP212" s="1433"/>
      <c r="BQ212" s="1433"/>
      <c r="BR212" s="1433"/>
      <c r="BS212" s="1433"/>
      <c r="BT212" s="1433"/>
      <c r="BU212" s="1433"/>
      <c r="BV212" s="1924"/>
      <c r="BW212" s="1442">
        <f t="shared" si="1004"/>
        <v>544.29843026508138</v>
      </c>
      <c r="BX212" s="1426">
        <f>'BU-Segment'!BX11</f>
        <v>646.56108220875092</v>
      </c>
      <c r="BY212" s="1426">
        <f>'BU-Segment'!BY11</f>
        <v>533.87638789989569</v>
      </c>
      <c r="BZ212" s="1426">
        <f>'BU-Segment'!BZ11</f>
        <v>1122.4008891987817</v>
      </c>
      <c r="CA212" s="1925">
        <f>'BU-Segment'!CA11</f>
        <v>1171.6171728439294</v>
      </c>
      <c r="CB212" s="1408"/>
    </row>
    <row r="213" spans="2:80" s="1432" customFormat="1" ht="14.25" customHeight="1">
      <c r="B213" s="1424" t="s">
        <v>567</v>
      </c>
      <c r="C213" s="1425"/>
      <c r="D213" s="1451"/>
      <c r="E213" s="1426"/>
      <c r="F213" s="1426"/>
      <c r="G213" s="1426"/>
      <c r="H213" s="1426"/>
      <c r="I213" s="1426"/>
      <c r="J213" s="1426"/>
      <c r="K213" s="1426"/>
      <c r="L213" s="1426"/>
      <c r="M213" s="1426"/>
      <c r="N213" s="1426"/>
      <c r="O213" s="1426"/>
      <c r="P213" s="1426"/>
      <c r="Q213" s="1426"/>
      <c r="R213" s="1426"/>
      <c r="S213" s="1426"/>
      <c r="T213" s="1427"/>
      <c r="U213" s="1426"/>
      <c r="V213" s="1426"/>
      <c r="W213" s="1428"/>
      <c r="X213" s="1426"/>
      <c r="Y213" s="1426"/>
      <c r="Z213" s="1426"/>
      <c r="AA213" s="1426"/>
      <c r="AB213" s="1424"/>
      <c r="AC213" s="1429"/>
      <c r="AD213" s="1429"/>
      <c r="AE213" s="1430"/>
      <c r="AF213" s="1429"/>
      <c r="AG213" s="1429"/>
      <c r="AH213" s="1429"/>
      <c r="AI213" s="1429"/>
      <c r="AJ213" s="1431"/>
      <c r="AK213" s="1429"/>
      <c r="AL213" s="1429"/>
      <c r="AM213" s="1430"/>
      <c r="AN213" s="1429">
        <f>'BU-Segment'!AN12</f>
        <v>327.09981029745711</v>
      </c>
      <c r="AO213" s="1429">
        <f>'BU-Segment'!AO12</f>
        <v>272.36411788042483</v>
      </c>
      <c r="AP213" s="1429">
        <f>'BU-Segment'!AP12</f>
        <v>217.59240813545455</v>
      </c>
      <c r="AQ213" s="1429">
        <f>'BU-Segment'!AQ12</f>
        <v>187.88577060404671</v>
      </c>
      <c r="AR213" s="1431">
        <f>'BU-Segment'!AR12</f>
        <v>169.56641222873625</v>
      </c>
      <c r="AS213" s="1429">
        <f>'BU-Segment'!AS12</f>
        <v>143.85718189278404</v>
      </c>
      <c r="AT213" s="1429">
        <f>'BU-Segment'!AT12</f>
        <v>166.86944666662936</v>
      </c>
      <c r="AU213" s="1430">
        <f>'BU-Segment'!AU12</f>
        <v>198.7495723044197</v>
      </c>
      <c r="AV213" s="1431">
        <f>'BU-Segment'!AV12</f>
        <v>193.53</v>
      </c>
      <c r="AW213" s="1429">
        <f>'BU-Segment'!AW12</f>
        <v>194.96245913762772</v>
      </c>
      <c r="AX213" s="1632">
        <v>223.03705325344609</v>
      </c>
      <c r="AY213" s="1633">
        <v>324.61044589878202</v>
      </c>
      <c r="AZ213" s="1817">
        <v>296.83239292936787</v>
      </c>
      <c r="BA213" s="1429">
        <f>'BU-Segment'!BA12</f>
        <v>323.1216444827943</v>
      </c>
      <c r="BB213" s="1429">
        <f>'BU-Segment'!BB12</f>
        <v>466.14812212821698</v>
      </c>
      <c r="BC213" s="1430">
        <f>'BU-Segment'!BC12</f>
        <v>535.95945672752998</v>
      </c>
      <c r="BD213" s="1431">
        <f>'BU-Segment'!BD12</f>
        <v>590.89530104210189</v>
      </c>
      <c r="BE213" s="1429">
        <f>'BU-Segment'!BE12</f>
        <v>484.83971616536144</v>
      </c>
      <c r="BF213" s="1429">
        <f>'BU-Segment'!BF12</f>
        <v>401.44728498491929</v>
      </c>
      <c r="BG213" s="1430">
        <f>'BU-Segment'!BG12</f>
        <v>373.54936419206479</v>
      </c>
      <c r="BH213" s="1431">
        <f>'BU-Segment'!BH12</f>
        <v>354.87189598246152</v>
      </c>
      <c r="BI213" s="1429">
        <f>'BU-Segment'!BI12</f>
        <v>361.04336156559214</v>
      </c>
      <c r="BJ213" s="1429">
        <f>'BU-Segment'!BJ12</f>
        <v>390.80241689836737</v>
      </c>
      <c r="BK213" s="1430">
        <f>'BU-Segment'!BK12</f>
        <v>410.34253774328579</v>
      </c>
      <c r="BM213" s="1424"/>
      <c r="BN213" s="1425"/>
      <c r="BO213" s="1433"/>
      <c r="BP213" s="1433"/>
      <c r="BQ213" s="1433"/>
      <c r="BR213" s="1433"/>
      <c r="BS213" s="1433"/>
      <c r="BT213" s="1433"/>
      <c r="BU213" s="1433"/>
      <c r="BV213" s="1924"/>
      <c r="BW213" s="1442">
        <f t="shared" si="1004"/>
        <v>679.04261309256935</v>
      </c>
      <c r="BX213" s="1426">
        <f>'BU-Segment'!BX12</f>
        <v>936.13995828985583</v>
      </c>
      <c r="BY213" s="1426">
        <f>'BU-Segment'!BY12</f>
        <v>1622.0616162679089</v>
      </c>
      <c r="BZ213" s="1426">
        <f>'BU-Segment'!BZ12</f>
        <v>1850.7316663844476</v>
      </c>
      <c r="CA213" s="1925">
        <f>'BU-Segment'!CA12</f>
        <v>1517.0602121897068</v>
      </c>
      <c r="CB213" s="1408"/>
    </row>
    <row r="214" spans="2:80" s="1432" customFormat="1" ht="14.25" customHeight="1">
      <c r="B214" s="1424" t="s">
        <v>568</v>
      </c>
      <c r="C214" s="1425"/>
      <c r="D214" s="1451"/>
      <c r="E214" s="1426"/>
      <c r="F214" s="1426"/>
      <c r="G214" s="1426"/>
      <c r="H214" s="1426"/>
      <c r="I214" s="1426"/>
      <c r="J214" s="1426"/>
      <c r="K214" s="1426"/>
      <c r="L214" s="1426"/>
      <c r="M214" s="1426"/>
      <c r="N214" s="1426"/>
      <c r="O214" s="1426"/>
      <c r="P214" s="1426"/>
      <c r="Q214" s="1426"/>
      <c r="R214" s="1426"/>
      <c r="S214" s="1426"/>
      <c r="T214" s="1427"/>
      <c r="U214" s="1426"/>
      <c r="V214" s="1426"/>
      <c r="W214" s="1428"/>
      <c r="X214" s="1426"/>
      <c r="Y214" s="1426"/>
      <c r="Z214" s="1426"/>
      <c r="AA214" s="1426"/>
      <c r="AB214" s="1424"/>
      <c r="AC214" s="1429"/>
      <c r="AD214" s="1429"/>
      <c r="AE214" s="1430"/>
      <c r="AF214" s="1429"/>
      <c r="AG214" s="1429"/>
      <c r="AH214" s="1429"/>
      <c r="AI214" s="1429"/>
      <c r="AJ214" s="1431"/>
      <c r="AK214" s="1429"/>
      <c r="AL214" s="1429"/>
      <c r="AM214" s="1430"/>
      <c r="AN214" s="1429">
        <f>'BU-Segment'!AN27</f>
        <v>62.5</v>
      </c>
      <c r="AO214" s="1429">
        <f>'BU-Segment'!AO27</f>
        <v>62.5</v>
      </c>
      <c r="AP214" s="1429">
        <f>'BU-Segment'!AP27</f>
        <v>62.5</v>
      </c>
      <c r="AQ214" s="1429">
        <f>'BU-Segment'!AQ27</f>
        <v>62.5</v>
      </c>
      <c r="AR214" s="1431">
        <f>'BU-Segment'!AR27</f>
        <v>59.45946856389503</v>
      </c>
      <c r="AS214" s="1429">
        <f>'BU-Segment'!AS27</f>
        <v>58.946018650788858</v>
      </c>
      <c r="AT214" s="1429">
        <f>'BU-Segment'!AT27</f>
        <v>61.893319583328307</v>
      </c>
      <c r="AU214" s="1430">
        <f>'BU-Segment'!AU27</f>
        <v>64.987985562494728</v>
      </c>
      <c r="AV214" s="1431">
        <f>'BU-Segment'!AV27</f>
        <v>61.738586284369987</v>
      </c>
      <c r="AW214" s="1429">
        <f>'BU-Segment'!AW27</f>
        <v>61.738586284369987</v>
      </c>
      <c r="AX214" s="1632">
        <v>62.355972147213684</v>
      </c>
      <c r="AY214" s="1633">
        <v>60.485292982797269</v>
      </c>
      <c r="AZ214" s="1817">
        <v>60.485292982797269</v>
      </c>
      <c r="BA214" s="1429">
        <f>'BU-Segment'!BA27</f>
        <v>60.485292982797269</v>
      </c>
      <c r="BB214" s="1429">
        <f>'BU-Segment'!BB27</f>
        <v>60.485292982797269</v>
      </c>
      <c r="BC214" s="1430">
        <f>'BU-Segment'!BC27</f>
        <v>60.598112293228567</v>
      </c>
      <c r="BD214" s="1431">
        <f>'BU-Segment'!BD27</f>
        <v>60.598112293228567</v>
      </c>
      <c r="BE214" s="1429">
        <f>'BU-Segment'!BE27</f>
        <v>57.568206678567137</v>
      </c>
      <c r="BF214" s="1429">
        <f>'BU-Segment'!BF27</f>
        <v>54.689796344638779</v>
      </c>
      <c r="BG214" s="1430">
        <f>'BU-Segment'!BG27</f>
        <v>51.95530652740684</v>
      </c>
      <c r="BH214" s="1431">
        <f>'BU-Segment'!BH27</f>
        <v>51.95530652740684</v>
      </c>
      <c r="BI214" s="1429">
        <f>'BU-Segment'!BI27</f>
        <v>51.95530652740684</v>
      </c>
      <c r="BJ214" s="1429">
        <f>'BU-Segment'!BJ27</f>
        <v>51.95530652740684</v>
      </c>
      <c r="BK214" s="1430">
        <f>'BU-Segment'!BK27</f>
        <v>52.052215405029962</v>
      </c>
      <c r="BM214" s="1424"/>
      <c r="BN214" s="1425"/>
      <c r="BO214" s="1433"/>
      <c r="BP214" s="1433"/>
      <c r="BQ214" s="1433"/>
      <c r="BR214" s="1433"/>
      <c r="BS214" s="1433"/>
      <c r="BT214" s="1433"/>
      <c r="BU214" s="1433"/>
      <c r="BV214" s="1924"/>
      <c r="BW214" s="1442">
        <f t="shared" si="1004"/>
        <v>245.28679236050692</v>
      </c>
      <c r="BX214" s="1426">
        <f>'BU-Segment'!BX27</f>
        <v>246.31843769875093</v>
      </c>
      <c r="BY214" s="1426">
        <f>'BU-Segment'!BY27</f>
        <v>242.05399124162039</v>
      </c>
      <c r="BZ214" s="1426">
        <f>'BU-Segment'!BZ27</f>
        <v>224.81142184384132</v>
      </c>
      <c r="CA214" s="1925">
        <f>'BU-Segment'!CA27</f>
        <v>207.91813498725048</v>
      </c>
      <c r="CB214" s="1408"/>
    </row>
    <row r="215" spans="2:80" s="1432" customFormat="1" ht="14.25" customHeight="1">
      <c r="B215" s="1424" t="s">
        <v>583</v>
      </c>
      <c r="C215" s="1425"/>
      <c r="D215" s="1451"/>
      <c r="E215" s="1426"/>
      <c r="F215" s="1426"/>
      <c r="G215" s="1426"/>
      <c r="H215" s="1426"/>
      <c r="I215" s="1426"/>
      <c r="J215" s="1426"/>
      <c r="K215" s="1426"/>
      <c r="L215" s="1426"/>
      <c r="M215" s="1426"/>
      <c r="N215" s="1426"/>
      <c r="O215" s="1426"/>
      <c r="P215" s="1426"/>
      <c r="Q215" s="1426"/>
      <c r="R215" s="1426"/>
      <c r="S215" s="1426"/>
      <c r="T215" s="1427"/>
      <c r="U215" s="1426"/>
      <c r="V215" s="1426"/>
      <c r="W215" s="1428"/>
      <c r="X215" s="1426"/>
      <c r="Y215" s="1426"/>
      <c r="Z215" s="1426"/>
      <c r="AA215" s="1426"/>
      <c r="AB215" s="1424"/>
      <c r="AC215" s="1429"/>
      <c r="AD215" s="1429"/>
      <c r="AE215" s="1430"/>
      <c r="AF215" s="1429"/>
      <c r="AG215" s="1429"/>
      <c r="AH215" s="1429"/>
      <c r="AI215" s="1429"/>
      <c r="AJ215" s="1431"/>
      <c r="AK215" s="1429"/>
      <c r="AL215" s="1429"/>
      <c r="AM215" s="1430"/>
      <c r="AN215" s="1429">
        <f>'BU-Segment'!AN28</f>
        <v>50</v>
      </c>
      <c r="AO215" s="1429">
        <f>'BU-Segment'!AO28</f>
        <v>50</v>
      </c>
      <c r="AP215" s="1429">
        <f>'BU-Segment'!AP28</f>
        <v>50</v>
      </c>
      <c r="AQ215" s="1429">
        <f>'BU-Segment'!AQ28</f>
        <v>50</v>
      </c>
      <c r="AR215" s="1431">
        <f>'BU-Segment'!AR28</f>
        <v>40</v>
      </c>
      <c r="AS215" s="1429">
        <f>'BU-Segment'!AS28</f>
        <v>17.574999999999999</v>
      </c>
      <c r="AT215" s="1429">
        <f>'BU-Segment'!AT28</f>
        <v>18.453749999999999</v>
      </c>
      <c r="AU215" s="1430">
        <f>'BU-Segment'!AU28</f>
        <v>15.653609437505077</v>
      </c>
      <c r="AV215" s="1431">
        <f>'BU-Segment'!AV28</f>
        <v>18.972174638256149</v>
      </c>
      <c r="AW215" s="1429">
        <f>'BU-Segment'!AW28</f>
        <v>22.994275661566455</v>
      </c>
      <c r="AX215" s="1632">
        <v>24.856811990153339</v>
      </c>
      <c r="AY215" s="1633">
        <v>26.099652589661005</v>
      </c>
      <c r="AZ215" s="1817">
        <v>29.283810205599654</v>
      </c>
      <c r="BA215" s="1429">
        <f>'BU-Segment'!BA28</f>
        <v>35.433410348775588</v>
      </c>
      <c r="BB215" s="1429">
        <f>'BU-Segment'!BB28</f>
        <v>65.870709838373813</v>
      </c>
      <c r="BC215" s="1430">
        <f>'BU-Segment'!BC28</f>
        <v>86.949336986653435</v>
      </c>
      <c r="BD215" s="1431">
        <f>'BU-Segment'!BD28</f>
        <v>102.99148966069097</v>
      </c>
      <c r="BE215" s="1429">
        <f>'BU-Segment'!BE28</f>
        <v>114.03732692680009</v>
      </c>
      <c r="BF215" s="1429">
        <f>'BU-Segment'!BF28</f>
        <v>119.7391932731401</v>
      </c>
      <c r="BG215" s="1430">
        <f>'BU-Segment'!BG28</f>
        <v>123.33136907133429</v>
      </c>
      <c r="BH215" s="1431">
        <f>'BU-Segment'!BH28</f>
        <v>146.08600666499549</v>
      </c>
      <c r="BI215" s="1429">
        <f>'BU-Segment'!BI28</f>
        <v>173.03887489468713</v>
      </c>
      <c r="BJ215" s="1429">
        <f>'BU-Segment'!BJ28</f>
        <v>198.99470612889019</v>
      </c>
      <c r="BK215" s="1430">
        <f>'BU-Segment'!BK28</f>
        <v>228.84391204822373</v>
      </c>
      <c r="BM215" s="1424"/>
      <c r="BN215" s="1425"/>
      <c r="BO215" s="1433"/>
      <c r="BP215" s="1433"/>
      <c r="BQ215" s="1433"/>
      <c r="BR215" s="1433"/>
      <c r="BS215" s="1433"/>
      <c r="BT215" s="1433"/>
      <c r="BU215" s="1433"/>
      <c r="BV215" s="1924"/>
      <c r="BW215" s="1442">
        <f t="shared" si="1004"/>
        <v>91.682359437505085</v>
      </c>
      <c r="BX215" s="1426">
        <f>'BU-Segment'!BX28</f>
        <v>92.922914879636949</v>
      </c>
      <c r="BY215" s="1426">
        <f>'BU-Segment'!BY28</f>
        <v>217.53726737940249</v>
      </c>
      <c r="BZ215" s="1426">
        <f>'BU-Segment'!BZ28</f>
        <v>460.09937893196548</v>
      </c>
      <c r="CA215" s="1925">
        <f>'BU-Segment'!CA28</f>
        <v>746.96349973679662</v>
      </c>
      <c r="CB215" s="1408"/>
    </row>
    <row r="216" spans="2:80" s="1432" customFormat="1" ht="14.25" customHeight="1">
      <c r="B216" s="1424" t="s">
        <v>569</v>
      </c>
      <c r="C216" s="1425"/>
      <c r="D216" s="1451"/>
      <c r="E216" s="1426"/>
      <c r="F216" s="1426"/>
      <c r="G216" s="1426"/>
      <c r="H216" s="1426"/>
      <c r="I216" s="1426"/>
      <c r="J216" s="1426"/>
      <c r="K216" s="1426"/>
      <c r="L216" s="1426"/>
      <c r="M216" s="1426"/>
      <c r="N216" s="1426"/>
      <c r="O216" s="1426"/>
      <c r="P216" s="1426"/>
      <c r="Q216" s="1426"/>
      <c r="R216" s="1426"/>
      <c r="S216" s="1426"/>
      <c r="T216" s="1427"/>
      <c r="U216" s="1426"/>
      <c r="V216" s="1426"/>
      <c r="W216" s="1428"/>
      <c r="X216" s="1426"/>
      <c r="Y216" s="1426"/>
      <c r="Z216" s="1426"/>
      <c r="AA216" s="1426"/>
      <c r="AB216" s="1424"/>
      <c r="AC216" s="1429"/>
      <c r="AD216" s="1429"/>
      <c r="AE216" s="1430"/>
      <c r="AF216" s="1429"/>
      <c r="AG216" s="1429"/>
      <c r="AH216" s="1429"/>
      <c r="AI216" s="1429"/>
      <c r="AJ216" s="1431"/>
      <c r="AK216" s="1429"/>
      <c r="AL216" s="1429"/>
      <c r="AM216" s="1430"/>
      <c r="AN216" s="1429">
        <f>'BU-Segment'!AN29</f>
        <v>423.50000000000011</v>
      </c>
      <c r="AO216" s="1429">
        <f>'BU-Segment'!AO29</f>
        <v>500.5</v>
      </c>
      <c r="AP216" s="1429">
        <f>'BU-Segment'!AP29</f>
        <v>535.50000000000023</v>
      </c>
      <c r="AQ216" s="1429">
        <f>'BU-Segment'!AQ29</f>
        <v>464.5</v>
      </c>
      <c r="AR216" s="1431">
        <f>'BU-Segment'!AR29</f>
        <v>398.54053143610497</v>
      </c>
      <c r="AS216" s="1429">
        <f>'BU-Segment'!AS29</f>
        <v>486.47898134921115</v>
      </c>
      <c r="AT216" s="1429">
        <f>'BU-Segment'!AT29</f>
        <v>556.65293041667167</v>
      </c>
      <c r="AU216" s="1430">
        <f>'BU-Segment'!AU29</f>
        <v>407.35840500000006</v>
      </c>
      <c r="AV216" s="1431">
        <f>'BU-Segment'!AV29</f>
        <v>291.29000000000002</v>
      </c>
      <c r="AW216" s="1429">
        <f>'BU-Segment'!AW29</f>
        <v>507.26713805406393</v>
      </c>
      <c r="AX216" s="1632">
        <v>747.41517610125004</v>
      </c>
      <c r="AY216" s="1633">
        <v>419.3746003078125</v>
      </c>
      <c r="AZ216" s="1817">
        <v>276.36224608875</v>
      </c>
      <c r="BA216" s="1429">
        <f>'BU-Segment'!BA29</f>
        <v>467.10349150462503</v>
      </c>
      <c r="BB216" s="1429">
        <f>'BU-Segment'!BB29</f>
        <v>697.54750261406252</v>
      </c>
      <c r="BC216" s="1430">
        <f>'BU-Segment'!BC29</f>
        <v>374.43213014763751</v>
      </c>
      <c r="BD216" s="1431">
        <f>'BU-Segment'!BD29</f>
        <v>368.41432007116316</v>
      </c>
      <c r="BE216" s="1429">
        <f>'BU-Segment'!BE29</f>
        <v>444.37143941625004</v>
      </c>
      <c r="BF216" s="1429">
        <f>'BU-Segment'!BF29</f>
        <v>465.08835310680001</v>
      </c>
      <c r="BG216" s="1430">
        <f>'BU-Segment'!BG29</f>
        <v>387.11119784362506</v>
      </c>
      <c r="BH216" s="1431">
        <f>'BU-Segment'!BH29</f>
        <v>321.41479913544885</v>
      </c>
      <c r="BI216" s="1429">
        <f>'BU-Segment'!BI29</f>
        <v>387.29017690316101</v>
      </c>
      <c r="BJ216" s="1429">
        <f>'BU-Segment'!BJ29</f>
        <v>405.18959033179624</v>
      </c>
      <c r="BK216" s="1430">
        <f>'BU-Segment'!BK29</f>
        <v>338.24198913066454</v>
      </c>
      <c r="BM216" s="1424"/>
      <c r="BN216" s="1425"/>
      <c r="BO216" s="1433"/>
      <c r="BP216" s="1433"/>
      <c r="BQ216" s="1433"/>
      <c r="BR216" s="1433"/>
      <c r="BS216" s="1433"/>
      <c r="BT216" s="1433"/>
      <c r="BU216" s="1433"/>
      <c r="BV216" s="1924"/>
      <c r="BW216" s="1442">
        <f t="shared" si="1004"/>
        <v>1849.0308482019877</v>
      </c>
      <c r="BX216" s="1426">
        <f>'BU-Segment'!BX29+'BU-Segment'!BX30</f>
        <v>1965.3469144631265</v>
      </c>
      <c r="BY216" s="1426">
        <f>'BU-Segment'!BY29+'BU-Segment'!BY30</f>
        <v>1840.3360138773564</v>
      </c>
      <c r="BZ216" s="1426">
        <f>'BU-Segment'!BZ29+'BU-Segment'!BZ30</f>
        <v>1664.9853104378385</v>
      </c>
      <c r="CA216" s="1925">
        <f>'BU-Segment'!CA29+'BU-Segment'!CA30</f>
        <v>1452.1365555010707</v>
      </c>
      <c r="CB216" s="1408"/>
    </row>
    <row r="217" spans="2:80" s="1432" customFormat="1" ht="14.25" customHeight="1">
      <c r="B217" s="1424" t="s">
        <v>575</v>
      </c>
      <c r="C217" s="1425"/>
      <c r="D217" s="1451"/>
      <c r="E217" s="1426"/>
      <c r="F217" s="1426"/>
      <c r="G217" s="1426"/>
      <c r="H217" s="1426"/>
      <c r="I217" s="1426"/>
      <c r="J217" s="1426"/>
      <c r="K217" s="1426"/>
      <c r="L217" s="1426"/>
      <c r="M217" s="1426"/>
      <c r="N217" s="1426"/>
      <c r="O217" s="1426"/>
      <c r="P217" s="1426"/>
      <c r="Q217" s="1426"/>
      <c r="R217" s="1426"/>
      <c r="S217" s="1426"/>
      <c r="T217" s="1427"/>
      <c r="U217" s="1426"/>
      <c r="V217" s="1426"/>
      <c r="W217" s="1428"/>
      <c r="X217" s="1426"/>
      <c r="Y217" s="1426"/>
      <c r="Z217" s="1426"/>
      <c r="AA217" s="1426"/>
      <c r="AB217" s="1424"/>
      <c r="AC217" s="1429"/>
      <c r="AD217" s="1429"/>
      <c r="AE217" s="1430"/>
      <c r="AF217" s="1429"/>
      <c r="AG217" s="1429"/>
      <c r="AH217" s="1429"/>
      <c r="AI217" s="1429"/>
      <c r="AJ217" s="1431"/>
      <c r="AK217" s="1429"/>
      <c r="AL217" s="1429"/>
      <c r="AM217" s="1430"/>
      <c r="AN217" s="1429">
        <f t="shared" ref="AN217:AU217" si="1005">SUM(AN211:AN216)</f>
        <v>1397</v>
      </c>
      <c r="AO217" s="1429">
        <f t="shared" si="1005"/>
        <v>1441</v>
      </c>
      <c r="AP217" s="1429">
        <f t="shared" si="1005"/>
        <v>1429.0000000000002</v>
      </c>
      <c r="AQ217" s="1429">
        <f t="shared" si="1005"/>
        <v>1238.9999999999998</v>
      </c>
      <c r="AR217" s="1431">
        <f t="shared" si="1005"/>
        <v>1030</v>
      </c>
      <c r="AS217" s="1429">
        <f t="shared" si="1005"/>
        <v>942</v>
      </c>
      <c r="AT217" s="1429">
        <f t="shared" si="1005"/>
        <v>1061.0000000000005</v>
      </c>
      <c r="AU217" s="1430">
        <f t="shared" si="1005"/>
        <v>958</v>
      </c>
      <c r="AV217" s="1431">
        <f t="shared" ref="AV217:AZ217" si="1006">SUM(AV211:AV216)</f>
        <v>831.99917921068072</v>
      </c>
      <c r="AW217" s="1429">
        <f t="shared" si="1006"/>
        <v>1027.0000000000005</v>
      </c>
      <c r="AX217" s="1632">
        <f t="shared" si="1006"/>
        <v>1306.6347304654723</v>
      </c>
      <c r="AY217" s="1633">
        <f t="shared" si="1006"/>
        <v>1105.9211484642301</v>
      </c>
      <c r="AZ217" s="1817">
        <f t="shared" si="1006"/>
        <v>959.1418354239504</v>
      </c>
      <c r="BA217" s="1429">
        <f t="shared" ref="BA217:BC217" si="1007">SUM(BA211:BA216)</f>
        <v>1218.9577575676312</v>
      </c>
      <c r="BB217" s="1429">
        <f t="shared" si="1007"/>
        <v>1637.9751173414143</v>
      </c>
      <c r="BC217" s="1430">
        <f t="shared" si="1007"/>
        <v>1468.1355193787761</v>
      </c>
      <c r="BD217" s="1431">
        <f t="shared" ref="BD217:BG217" si="1008">SUM(BD211:BD216)</f>
        <v>1646.7615566210429</v>
      </c>
      <c r="BE217" s="1429">
        <f t="shared" si="1008"/>
        <v>1728.5245498721738</v>
      </c>
      <c r="BF217" s="1429">
        <f t="shared" si="1008"/>
        <v>1730.3582323215753</v>
      </c>
      <c r="BG217" s="1430">
        <f t="shared" si="1008"/>
        <v>1625.3408422465081</v>
      </c>
      <c r="BH217" s="1431">
        <f t="shared" ref="BH217:BK217" si="1009">SUM(BH211:BH216)</f>
        <v>1549.1452351355256</v>
      </c>
      <c r="BI217" s="1429">
        <f t="shared" si="1009"/>
        <v>1635.4643929356052</v>
      </c>
      <c r="BJ217" s="1429">
        <f t="shared" si="1009"/>
        <v>1716.5157688386407</v>
      </c>
      <c r="BK217" s="1430">
        <f t="shared" si="1009"/>
        <v>1702.8435645146208</v>
      </c>
      <c r="BM217" s="1424"/>
      <c r="BN217" s="1425"/>
      <c r="BO217" s="1433"/>
      <c r="BP217" s="1433"/>
      <c r="BQ217" s="1433"/>
      <c r="BR217" s="1433"/>
      <c r="BS217" s="1433"/>
      <c r="BT217" s="1433"/>
      <c r="BU217" s="1433"/>
      <c r="BV217" s="1924"/>
      <c r="BW217" s="1442">
        <f>SUM(BW211:BW216)</f>
        <v>3991</v>
      </c>
      <c r="BX217" s="1426">
        <f>SUM(BX211:BX216)</f>
        <v>4271.5550581403841</v>
      </c>
      <c r="BY217" s="1426">
        <f>SUM(BY211:BY216)</f>
        <v>5309.1008732340533</v>
      </c>
      <c r="BZ217" s="1426">
        <f>SUM(BZ211:BZ216)</f>
        <v>6730.9851810613</v>
      </c>
      <c r="CA217" s="1925">
        <f>SUM(CA211:CA216)</f>
        <v>6603.9689614243916</v>
      </c>
      <c r="CB217" s="1408"/>
    </row>
    <row r="218" spans="2:80" s="7" customFormat="1" ht="14.25" customHeight="1">
      <c r="B218" s="849"/>
      <c r="C218" s="13"/>
      <c r="D218" s="619"/>
      <c r="E218" s="1280"/>
      <c r="F218" s="1280"/>
      <c r="G218" s="1280"/>
      <c r="H218" s="1280"/>
      <c r="I218" s="1280"/>
      <c r="J218" s="1280"/>
      <c r="K218" s="1280"/>
      <c r="L218" s="1280"/>
      <c r="M218" s="1280"/>
      <c r="N218" s="1280"/>
      <c r="O218" s="1280"/>
      <c r="P218" s="1280"/>
      <c r="Q218" s="1280"/>
      <c r="R218" s="1280"/>
      <c r="S218" s="1280"/>
      <c r="T218" s="1281"/>
      <c r="U218" s="1282"/>
      <c r="V218" s="1283"/>
      <c r="W218" s="1284"/>
      <c r="X218" s="1280"/>
      <c r="Y218" s="1282"/>
      <c r="Z218" s="1283"/>
      <c r="AA218" s="1282"/>
      <c r="AB218" s="20"/>
      <c r="AC218" s="1285"/>
      <c r="AD218" s="1286"/>
      <c r="AE218" s="1287"/>
      <c r="AF218" s="1285"/>
      <c r="AG218" s="1285"/>
      <c r="AH218" s="1285"/>
      <c r="AI218" s="1285"/>
      <c r="AJ218" s="1288"/>
      <c r="AK218" s="1285"/>
      <c r="AL218" s="1285"/>
      <c r="AM218" s="1287"/>
      <c r="AN218" s="1285"/>
      <c r="AO218" s="1285"/>
      <c r="AP218" s="1285"/>
      <c r="AQ218" s="1285"/>
      <c r="AR218" s="1288"/>
      <c r="AS218" s="1285"/>
      <c r="AT218" s="1285"/>
      <c r="AU218" s="1287"/>
      <c r="AV218" s="1288"/>
      <c r="AW218" s="1285"/>
      <c r="AX218" s="1634"/>
      <c r="AY218" s="1635"/>
      <c r="AZ218" s="1818"/>
      <c r="BA218" s="1285"/>
      <c r="BB218" s="1285"/>
      <c r="BC218" s="1287"/>
      <c r="BD218" s="1288"/>
      <c r="BE218" s="1285"/>
      <c r="BF218" s="1285"/>
      <c r="BG218" s="1287"/>
      <c r="BH218" s="1288"/>
      <c r="BI218" s="1285"/>
      <c r="BJ218" s="1285"/>
      <c r="BK218" s="1287"/>
      <c r="BM218" s="20"/>
      <c r="BN218" s="13"/>
      <c r="BO218" s="302"/>
      <c r="BP218" s="302"/>
      <c r="BQ218" s="302"/>
      <c r="BR218" s="302"/>
      <c r="BS218" s="302"/>
      <c r="BT218" s="302"/>
      <c r="BU218" s="302"/>
      <c r="BV218" s="1923"/>
      <c r="BW218" s="1443"/>
      <c r="BX218" s="1282"/>
      <c r="BY218" s="1443"/>
      <c r="BZ218" s="1443"/>
      <c r="CA218" s="1926"/>
      <c r="CB218" s="1408"/>
    </row>
    <row r="219" spans="2:80" s="1434" customFormat="1" ht="14.25" customHeight="1">
      <c r="B219" s="1435" t="s">
        <v>570</v>
      </c>
      <c r="C219" s="1436"/>
      <c r="D219" s="1186"/>
      <c r="E219" s="1283"/>
      <c r="F219" s="1283"/>
      <c r="G219" s="1283"/>
      <c r="H219" s="1283"/>
      <c r="I219" s="1283"/>
      <c r="J219" s="1283"/>
      <c r="K219" s="1283"/>
      <c r="L219" s="1283"/>
      <c r="M219" s="1283"/>
      <c r="N219" s="1283"/>
      <c r="O219" s="1283"/>
      <c r="P219" s="1283"/>
      <c r="Q219" s="1283"/>
      <c r="R219" s="1283"/>
      <c r="S219" s="1283"/>
      <c r="T219" s="1437"/>
      <c r="U219" s="1283"/>
      <c r="V219" s="1283"/>
      <c r="W219" s="1438"/>
      <c r="X219" s="1283"/>
      <c r="Y219" s="1283"/>
      <c r="Z219" s="1283"/>
      <c r="AA219" s="1283"/>
      <c r="AB219" s="1435"/>
      <c r="AC219" s="1286"/>
      <c r="AD219" s="1286"/>
      <c r="AE219" s="1439"/>
      <c r="AF219" s="1286"/>
      <c r="AG219" s="1286"/>
      <c r="AH219" s="1286"/>
      <c r="AI219" s="1286"/>
      <c r="AJ219" s="1440"/>
      <c r="AK219" s="1286"/>
      <c r="AL219" s="1286"/>
      <c r="AM219" s="1439"/>
      <c r="AN219" s="1286">
        <v>0.42</v>
      </c>
      <c r="AO219" s="1286">
        <v>0.42499999999999999</v>
      </c>
      <c r="AP219" s="1286">
        <v>0.43</v>
      </c>
      <c r="AQ219" s="1286">
        <v>0.41499999999999998</v>
      </c>
      <c r="AR219" s="1440">
        <v>0.4</v>
      </c>
      <c r="AS219" s="1286">
        <v>0.42499999999999999</v>
      </c>
      <c r="AT219" s="1286">
        <v>0.43</v>
      </c>
      <c r="AU219" s="1439">
        <v>0.42499999999999999</v>
      </c>
      <c r="AV219" s="1440">
        <v>0.4</v>
      </c>
      <c r="AW219" s="1286">
        <v>0.42499999999999999</v>
      </c>
      <c r="AX219" s="1636">
        <v>0.43</v>
      </c>
      <c r="AY219" s="1637">
        <v>0.42499999999999999</v>
      </c>
      <c r="AZ219" s="1819">
        <v>0.42499999999999999</v>
      </c>
      <c r="BA219" s="1286">
        <v>0.42499999999999999</v>
      </c>
      <c r="BB219" s="1286">
        <v>0.42499999999999999</v>
      </c>
      <c r="BC219" s="1439">
        <v>0.42499999999999999</v>
      </c>
      <c r="BD219" s="1440">
        <v>0.42499999999999999</v>
      </c>
      <c r="BE219" s="1286">
        <v>0.42499999999999999</v>
      </c>
      <c r="BF219" s="1286">
        <v>0.42499999999999999</v>
      </c>
      <c r="BG219" s="1439">
        <v>0.42499999999999999</v>
      </c>
      <c r="BH219" s="1440">
        <v>0.42499999999999999</v>
      </c>
      <c r="BI219" s="1286">
        <v>0.42499999999999999</v>
      </c>
      <c r="BJ219" s="1286">
        <v>0.42499999999999999</v>
      </c>
      <c r="BK219" s="1439">
        <v>0.42499999999999999</v>
      </c>
      <c r="BM219" s="1435"/>
      <c r="BN219" s="1436"/>
      <c r="BO219" s="1441"/>
      <c r="BP219" s="1441"/>
      <c r="BQ219" s="1441"/>
      <c r="BR219" s="1441"/>
      <c r="BS219" s="1441"/>
      <c r="BT219" s="1441"/>
      <c r="BU219" s="1441"/>
      <c r="BV219" s="1927"/>
      <c r="BW219" s="1444">
        <f t="shared" ref="BW219:BW224" si="1010">BW226/BW211</f>
        <v>0.41873902427054205</v>
      </c>
      <c r="BX219" s="1283">
        <v>0.42499999999999999</v>
      </c>
      <c r="BY219" s="1283">
        <v>0.46</v>
      </c>
      <c r="BZ219" s="1283">
        <v>0.46</v>
      </c>
      <c r="CA219" s="1928">
        <v>0.46</v>
      </c>
      <c r="CB219" s="1408"/>
    </row>
    <row r="220" spans="2:80" s="1434" customFormat="1" ht="14.25" customHeight="1">
      <c r="B220" s="1435" t="s">
        <v>571</v>
      </c>
      <c r="C220" s="1436"/>
      <c r="D220" s="1186"/>
      <c r="E220" s="1283"/>
      <c r="F220" s="1283"/>
      <c r="G220" s="1283"/>
      <c r="H220" s="1283"/>
      <c r="I220" s="1283"/>
      <c r="J220" s="1283"/>
      <c r="K220" s="1283"/>
      <c r="L220" s="1283"/>
      <c r="M220" s="1283"/>
      <c r="N220" s="1283"/>
      <c r="O220" s="1283"/>
      <c r="P220" s="1283"/>
      <c r="Q220" s="1283"/>
      <c r="R220" s="1283"/>
      <c r="S220" s="1283"/>
      <c r="T220" s="1437"/>
      <c r="U220" s="1283"/>
      <c r="V220" s="1283"/>
      <c r="W220" s="1438"/>
      <c r="X220" s="1283"/>
      <c r="Y220" s="1283"/>
      <c r="Z220" s="1283"/>
      <c r="AA220" s="1283"/>
      <c r="AB220" s="1435"/>
      <c r="AC220" s="1286"/>
      <c r="AD220" s="1286"/>
      <c r="AE220" s="1439"/>
      <c r="AF220" s="1286"/>
      <c r="AG220" s="1286"/>
      <c r="AH220" s="1286"/>
      <c r="AI220" s="1286"/>
      <c r="AJ220" s="1440"/>
      <c r="AK220" s="1286"/>
      <c r="AL220" s="1286"/>
      <c r="AM220" s="1439"/>
      <c r="AN220" s="1286">
        <v>0.37</v>
      </c>
      <c r="AO220" s="1286">
        <v>0.38</v>
      </c>
      <c r="AP220" s="1286">
        <v>0.38</v>
      </c>
      <c r="AQ220" s="1286">
        <v>0.36</v>
      </c>
      <c r="AR220" s="1440">
        <v>0.35</v>
      </c>
      <c r="AS220" s="1286">
        <v>0.36</v>
      </c>
      <c r="AT220" s="1286">
        <v>0.37</v>
      </c>
      <c r="AU220" s="1439">
        <v>0.36</v>
      </c>
      <c r="AV220" s="1440">
        <v>0.35</v>
      </c>
      <c r="AW220" s="1286">
        <v>0.36</v>
      </c>
      <c r="AX220" s="1636">
        <v>0.37</v>
      </c>
      <c r="AY220" s="1637">
        <v>0.36</v>
      </c>
      <c r="AZ220" s="1819">
        <v>0.36</v>
      </c>
      <c r="BA220" s="1286">
        <v>0.36</v>
      </c>
      <c r="BB220" s="1286">
        <v>0.36</v>
      </c>
      <c r="BC220" s="1439">
        <v>0.36</v>
      </c>
      <c r="BD220" s="1440">
        <v>0.36</v>
      </c>
      <c r="BE220" s="1286">
        <v>0.36</v>
      </c>
      <c r="BF220" s="1286">
        <v>0.36</v>
      </c>
      <c r="BG220" s="1439">
        <v>0.36</v>
      </c>
      <c r="BH220" s="1440">
        <v>0.36</v>
      </c>
      <c r="BI220" s="1286">
        <v>0.36</v>
      </c>
      <c r="BJ220" s="1286">
        <v>0.36</v>
      </c>
      <c r="BK220" s="1439">
        <v>0.36</v>
      </c>
      <c r="BM220" s="1435"/>
      <c r="BN220" s="1436"/>
      <c r="BO220" s="1441"/>
      <c r="BP220" s="1441"/>
      <c r="BQ220" s="1441"/>
      <c r="BR220" s="1441"/>
      <c r="BS220" s="1441"/>
      <c r="BT220" s="1441"/>
      <c r="BU220" s="1441"/>
      <c r="BV220" s="1927"/>
      <c r="BW220" s="1444">
        <f t="shared" si="1010"/>
        <v>0.35860376496440644</v>
      </c>
      <c r="BX220" s="1283">
        <v>0.36</v>
      </c>
      <c r="BY220" s="1283">
        <v>0.4</v>
      </c>
      <c r="BZ220" s="1283">
        <v>0.4</v>
      </c>
      <c r="CA220" s="1928">
        <v>0.4</v>
      </c>
      <c r="CB220" s="1408"/>
    </row>
    <row r="221" spans="2:80" s="1434" customFormat="1" ht="14.25" customHeight="1">
      <c r="B221" s="1435" t="s">
        <v>572</v>
      </c>
      <c r="C221" s="1436"/>
      <c r="D221" s="1186"/>
      <c r="E221" s="1283"/>
      <c r="F221" s="1283"/>
      <c r="G221" s="1283"/>
      <c r="H221" s="1283"/>
      <c r="I221" s="1283"/>
      <c r="J221" s="1283"/>
      <c r="K221" s="1283"/>
      <c r="L221" s="1283"/>
      <c r="M221" s="1283"/>
      <c r="N221" s="1283"/>
      <c r="O221" s="1283"/>
      <c r="P221" s="1283"/>
      <c r="Q221" s="1283"/>
      <c r="R221" s="1283"/>
      <c r="S221" s="1283"/>
      <c r="T221" s="1437"/>
      <c r="U221" s="1283"/>
      <c r="V221" s="1283"/>
      <c r="W221" s="1438"/>
      <c r="X221" s="1283"/>
      <c r="Y221" s="1283"/>
      <c r="Z221" s="1283"/>
      <c r="AA221" s="1283"/>
      <c r="AB221" s="1435"/>
      <c r="AC221" s="1286"/>
      <c r="AD221" s="1286"/>
      <c r="AE221" s="1439"/>
      <c r="AF221" s="1286"/>
      <c r="AG221" s="1286"/>
      <c r="AH221" s="1286"/>
      <c r="AI221" s="1286"/>
      <c r="AJ221" s="1440"/>
      <c r="AK221" s="1286"/>
      <c r="AL221" s="1286"/>
      <c r="AM221" s="1439"/>
      <c r="AN221" s="1286">
        <v>0.36</v>
      </c>
      <c r="AO221" s="1286">
        <v>0.36</v>
      </c>
      <c r="AP221" s="1286">
        <v>0.36</v>
      </c>
      <c r="AQ221" s="1286">
        <v>0.36</v>
      </c>
      <c r="AR221" s="1440">
        <v>0.35</v>
      </c>
      <c r="AS221" s="1286">
        <v>0.35</v>
      </c>
      <c r="AT221" s="1286">
        <v>0.36</v>
      </c>
      <c r="AU221" s="1439">
        <v>0.35</v>
      </c>
      <c r="AV221" s="1440">
        <v>0.35</v>
      </c>
      <c r="AW221" s="1286">
        <v>0.35</v>
      </c>
      <c r="AX221" s="1636">
        <v>0.36</v>
      </c>
      <c r="AY221" s="1637">
        <v>0.35</v>
      </c>
      <c r="AZ221" s="1819">
        <v>0.35</v>
      </c>
      <c r="BA221" s="1286">
        <v>0.35</v>
      </c>
      <c r="BB221" s="1286">
        <v>0.35</v>
      </c>
      <c r="BC221" s="1439">
        <v>0.35</v>
      </c>
      <c r="BD221" s="1440">
        <v>0.35</v>
      </c>
      <c r="BE221" s="1286">
        <v>0.35</v>
      </c>
      <c r="BF221" s="1286">
        <v>0.35</v>
      </c>
      <c r="BG221" s="1439">
        <v>0.35</v>
      </c>
      <c r="BH221" s="1440">
        <v>0.35</v>
      </c>
      <c r="BI221" s="1286">
        <v>0.35</v>
      </c>
      <c r="BJ221" s="1286">
        <v>0.35</v>
      </c>
      <c r="BK221" s="1439">
        <v>0.35</v>
      </c>
      <c r="BM221" s="1435"/>
      <c r="BN221" s="1436"/>
      <c r="BO221" s="1441"/>
      <c r="BP221" s="1441"/>
      <c r="BQ221" s="1441"/>
      <c r="BR221" s="1441"/>
      <c r="BS221" s="1441"/>
      <c r="BT221" s="1441"/>
      <c r="BU221" s="1441"/>
      <c r="BV221" s="1927"/>
      <c r="BW221" s="1444">
        <f t="shared" si="1010"/>
        <v>0.35245742230972299</v>
      </c>
      <c r="BX221" s="1283">
        <v>0.35</v>
      </c>
      <c r="BY221" s="1283">
        <v>0.4</v>
      </c>
      <c r="BZ221" s="1283">
        <v>0.4</v>
      </c>
      <c r="CA221" s="1928">
        <v>0.4</v>
      </c>
      <c r="CB221" s="1408"/>
    </row>
    <row r="222" spans="2:80" s="1434" customFormat="1" ht="14.25" customHeight="1">
      <c r="B222" s="1435" t="s">
        <v>573</v>
      </c>
      <c r="C222" s="1436"/>
      <c r="D222" s="1186"/>
      <c r="E222" s="1283"/>
      <c r="F222" s="1283"/>
      <c r="G222" s="1283"/>
      <c r="H222" s="1283"/>
      <c r="I222" s="1283"/>
      <c r="J222" s="1283"/>
      <c r="K222" s="1283"/>
      <c r="L222" s="1283"/>
      <c r="M222" s="1283"/>
      <c r="N222" s="1283"/>
      <c r="O222" s="1283"/>
      <c r="P222" s="1283"/>
      <c r="Q222" s="1283"/>
      <c r="R222" s="1283"/>
      <c r="S222" s="1283"/>
      <c r="T222" s="1437"/>
      <c r="U222" s="1283"/>
      <c r="V222" s="1283"/>
      <c r="W222" s="1438"/>
      <c r="X222" s="1283"/>
      <c r="Y222" s="1283"/>
      <c r="Z222" s="1283"/>
      <c r="AA222" s="1283"/>
      <c r="AB222" s="1435"/>
      <c r="AC222" s="1286"/>
      <c r="AD222" s="1286"/>
      <c r="AE222" s="1439"/>
      <c r="AF222" s="1286"/>
      <c r="AG222" s="1286"/>
      <c r="AH222" s="1286"/>
      <c r="AI222" s="1286"/>
      <c r="AJ222" s="1440"/>
      <c r="AK222" s="1286"/>
      <c r="AL222" s="1286"/>
      <c r="AM222" s="1439"/>
      <c r="AN222" s="1286">
        <v>0.45</v>
      </c>
      <c r="AO222" s="1286">
        <v>0.45</v>
      </c>
      <c r="AP222" s="1286">
        <v>0.45</v>
      </c>
      <c r="AQ222" s="1286">
        <v>0.45</v>
      </c>
      <c r="AR222" s="1440">
        <v>0.4</v>
      </c>
      <c r="AS222" s="1286">
        <v>0.4</v>
      </c>
      <c r="AT222" s="1286">
        <v>0.4</v>
      </c>
      <c r="AU222" s="1439">
        <v>0.4</v>
      </c>
      <c r="AV222" s="1440">
        <v>0.4</v>
      </c>
      <c r="AW222" s="1286">
        <v>0.4</v>
      </c>
      <c r="AX222" s="1636">
        <v>0.4</v>
      </c>
      <c r="AY222" s="1637">
        <v>0.4</v>
      </c>
      <c r="AZ222" s="1819">
        <v>0.4</v>
      </c>
      <c r="BA222" s="1286">
        <v>0.4</v>
      </c>
      <c r="BB222" s="1286">
        <v>0.4</v>
      </c>
      <c r="BC222" s="1439">
        <v>0.4</v>
      </c>
      <c r="BD222" s="1440">
        <v>0.4</v>
      </c>
      <c r="BE222" s="1286">
        <v>0.4</v>
      </c>
      <c r="BF222" s="1286">
        <v>0.4</v>
      </c>
      <c r="BG222" s="1439">
        <v>0.4</v>
      </c>
      <c r="BH222" s="1440">
        <v>0.4</v>
      </c>
      <c r="BI222" s="1286">
        <v>0.4</v>
      </c>
      <c r="BJ222" s="1286">
        <v>0.4</v>
      </c>
      <c r="BK222" s="1439">
        <v>0.4</v>
      </c>
      <c r="BM222" s="1435"/>
      <c r="BN222" s="1436"/>
      <c r="BO222" s="1441"/>
      <c r="BP222" s="1441"/>
      <c r="BQ222" s="1441"/>
      <c r="BR222" s="1441"/>
      <c r="BS222" s="1441"/>
      <c r="BT222" s="1441"/>
      <c r="BU222" s="1441"/>
      <c r="BV222" s="1927"/>
      <c r="BW222" s="1444">
        <f t="shared" si="1010"/>
        <v>0.40000000000000008</v>
      </c>
      <c r="BX222" s="1283">
        <v>0.4</v>
      </c>
      <c r="BY222" s="1283">
        <v>0.4</v>
      </c>
      <c r="BZ222" s="1283">
        <v>0.4</v>
      </c>
      <c r="CA222" s="1928">
        <v>0.4</v>
      </c>
      <c r="CB222" s="1408"/>
    </row>
    <row r="223" spans="2:80" s="1434" customFormat="1" ht="14.25" customHeight="1">
      <c r="B223" s="1435" t="s">
        <v>584</v>
      </c>
      <c r="C223" s="1436"/>
      <c r="D223" s="1186"/>
      <c r="E223" s="1283"/>
      <c r="F223" s="1283"/>
      <c r="G223" s="1283"/>
      <c r="H223" s="1283"/>
      <c r="I223" s="1283"/>
      <c r="J223" s="1283"/>
      <c r="K223" s="1283"/>
      <c r="L223" s="1283"/>
      <c r="M223" s="1283"/>
      <c r="N223" s="1283"/>
      <c r="O223" s="1283"/>
      <c r="P223" s="1283"/>
      <c r="Q223" s="1283"/>
      <c r="R223" s="1283"/>
      <c r="S223" s="1283"/>
      <c r="T223" s="1437"/>
      <c r="U223" s="1283"/>
      <c r="V223" s="1283"/>
      <c r="W223" s="1438"/>
      <c r="X223" s="1283"/>
      <c r="Y223" s="1283"/>
      <c r="Z223" s="1283"/>
      <c r="AA223" s="1283"/>
      <c r="AB223" s="1435"/>
      <c r="AC223" s="1286"/>
      <c r="AD223" s="1286"/>
      <c r="AE223" s="1439"/>
      <c r="AF223" s="1286"/>
      <c r="AG223" s="1286"/>
      <c r="AH223" s="1286"/>
      <c r="AI223" s="1286"/>
      <c r="AJ223" s="1440"/>
      <c r="AK223" s="1286"/>
      <c r="AL223" s="1286"/>
      <c r="AM223" s="1439"/>
      <c r="AN223" s="1286">
        <v>0.45</v>
      </c>
      <c r="AO223" s="1286">
        <v>0.45</v>
      </c>
      <c r="AP223" s="1286">
        <v>0.45</v>
      </c>
      <c r="AQ223" s="1286">
        <v>0.45</v>
      </c>
      <c r="AR223" s="1440">
        <v>0.4</v>
      </c>
      <c r="AS223" s="1286">
        <v>0.4</v>
      </c>
      <c r="AT223" s="1286">
        <v>0.4</v>
      </c>
      <c r="AU223" s="1439">
        <v>0.4</v>
      </c>
      <c r="AV223" s="1440">
        <v>0.4</v>
      </c>
      <c r="AW223" s="1286">
        <v>0.4</v>
      </c>
      <c r="AX223" s="1636">
        <v>0.4</v>
      </c>
      <c r="AY223" s="1637">
        <v>0.4</v>
      </c>
      <c r="AZ223" s="1819">
        <v>0.4</v>
      </c>
      <c r="BA223" s="1286">
        <v>0.4</v>
      </c>
      <c r="BB223" s="1286">
        <v>0.4</v>
      </c>
      <c r="BC223" s="1439">
        <v>0.4</v>
      </c>
      <c r="BD223" s="1440">
        <v>0.4</v>
      </c>
      <c r="BE223" s="1286">
        <v>0.4</v>
      </c>
      <c r="BF223" s="1286">
        <v>0.4</v>
      </c>
      <c r="BG223" s="1439">
        <v>0.4</v>
      </c>
      <c r="BH223" s="1440">
        <v>0.4</v>
      </c>
      <c r="BI223" s="1286">
        <v>0.4</v>
      </c>
      <c r="BJ223" s="1286">
        <v>0.4</v>
      </c>
      <c r="BK223" s="1439">
        <v>0.4</v>
      </c>
      <c r="BM223" s="1435"/>
      <c r="BN223" s="1436"/>
      <c r="BO223" s="1441"/>
      <c r="BP223" s="1441"/>
      <c r="BQ223" s="1441"/>
      <c r="BR223" s="1441"/>
      <c r="BS223" s="1441"/>
      <c r="BT223" s="1441"/>
      <c r="BU223" s="1441"/>
      <c r="BV223" s="1927"/>
      <c r="BW223" s="1444">
        <f t="shared" si="1010"/>
        <v>0.39999999999999997</v>
      </c>
      <c r="BX223" s="1283">
        <v>0.4</v>
      </c>
      <c r="BY223" s="1283">
        <v>0.4</v>
      </c>
      <c r="BZ223" s="1283">
        <v>0.4</v>
      </c>
      <c r="CA223" s="1928">
        <v>0.4</v>
      </c>
      <c r="CB223" s="1408"/>
    </row>
    <row r="224" spans="2:80" s="1434" customFormat="1" ht="14.25" customHeight="1">
      <c r="B224" s="1435" t="s">
        <v>574</v>
      </c>
      <c r="C224" s="1436"/>
      <c r="D224" s="1186"/>
      <c r="E224" s="1283"/>
      <c r="F224" s="1283"/>
      <c r="G224" s="1283"/>
      <c r="H224" s="1283"/>
      <c r="I224" s="1283"/>
      <c r="J224" s="1283"/>
      <c r="K224" s="1283"/>
      <c r="L224" s="1283"/>
      <c r="M224" s="1283"/>
      <c r="N224" s="1283"/>
      <c r="O224" s="1283"/>
      <c r="P224" s="1283"/>
      <c r="Q224" s="1283"/>
      <c r="R224" s="1283"/>
      <c r="S224" s="1283"/>
      <c r="T224" s="1437"/>
      <c r="U224" s="1283"/>
      <c r="V224" s="1283"/>
      <c r="W224" s="1438"/>
      <c r="X224" s="1283"/>
      <c r="Y224" s="1283"/>
      <c r="Z224" s="1283"/>
      <c r="AA224" s="1283"/>
      <c r="AB224" s="1435"/>
      <c r="AC224" s="1286"/>
      <c r="AD224" s="1286"/>
      <c r="AE224" s="1439"/>
      <c r="AF224" s="1286"/>
      <c r="AG224" s="1286"/>
      <c r="AH224" s="1286"/>
      <c r="AI224" s="1286"/>
      <c r="AJ224" s="1440"/>
      <c r="AK224" s="1286"/>
      <c r="AL224" s="1286"/>
      <c r="AM224" s="1439"/>
      <c r="AN224" s="1286">
        <v>0.25</v>
      </c>
      <c r="AO224" s="1286">
        <v>0.25</v>
      </c>
      <c r="AP224" s="1286">
        <v>0.25</v>
      </c>
      <c r="AQ224" s="1286">
        <v>0.25</v>
      </c>
      <c r="AR224" s="1440">
        <v>0.23</v>
      </c>
      <c r="AS224" s="1286">
        <v>0.25</v>
      </c>
      <c r="AT224" s="1286">
        <v>0.25</v>
      </c>
      <c r="AU224" s="1439">
        <v>0.25</v>
      </c>
      <c r="AV224" s="1440">
        <v>0.23</v>
      </c>
      <c r="AW224" s="1286">
        <v>0.25</v>
      </c>
      <c r="AX224" s="1636">
        <v>0.25</v>
      </c>
      <c r="AY224" s="1637">
        <v>0.25</v>
      </c>
      <c r="AZ224" s="1819">
        <v>0.25</v>
      </c>
      <c r="BA224" s="1286">
        <v>0.25</v>
      </c>
      <c r="BB224" s="1286">
        <v>0.25</v>
      </c>
      <c r="BC224" s="1439">
        <v>0.25</v>
      </c>
      <c r="BD224" s="1440">
        <v>0.25</v>
      </c>
      <c r="BE224" s="1286">
        <v>0.25</v>
      </c>
      <c r="BF224" s="1286">
        <v>0.25</v>
      </c>
      <c r="BG224" s="1439">
        <v>0.25</v>
      </c>
      <c r="BH224" s="1440">
        <v>0.25</v>
      </c>
      <c r="BI224" s="1286">
        <v>0.25</v>
      </c>
      <c r="BJ224" s="1286">
        <v>0.25</v>
      </c>
      <c r="BK224" s="1439">
        <v>0.25</v>
      </c>
      <c r="BM224" s="1435"/>
      <c r="BN224" s="1436"/>
      <c r="BO224" s="1441"/>
      <c r="BP224" s="1441"/>
      <c r="BQ224" s="1441"/>
      <c r="BR224" s="1441"/>
      <c r="BS224" s="1441"/>
      <c r="BT224" s="1441"/>
      <c r="BU224" s="1441"/>
      <c r="BV224" s="1927"/>
      <c r="BW224" s="1444">
        <f t="shared" si="1010"/>
        <v>0.24568919543096157</v>
      </c>
      <c r="BX224" s="1283">
        <v>0.25</v>
      </c>
      <c r="BY224" s="1283">
        <v>0.25</v>
      </c>
      <c r="BZ224" s="1283">
        <v>0.25</v>
      </c>
      <c r="CA224" s="1928">
        <v>0.25</v>
      </c>
      <c r="CB224" s="1408"/>
    </row>
    <row r="225" spans="2:80" s="7" customFormat="1" ht="14.25" customHeight="1">
      <c r="B225" s="849"/>
      <c r="C225" s="13"/>
      <c r="D225" s="619"/>
      <c r="E225" s="1280"/>
      <c r="F225" s="1280"/>
      <c r="G225" s="1280"/>
      <c r="H225" s="1280"/>
      <c r="I225" s="1280"/>
      <c r="J225" s="1280"/>
      <c r="K225" s="1280"/>
      <c r="L225" s="1280"/>
      <c r="M225" s="1280"/>
      <c r="N225" s="1280"/>
      <c r="O225" s="1280"/>
      <c r="P225" s="1280"/>
      <c r="Q225" s="1280"/>
      <c r="R225" s="1280"/>
      <c r="S225" s="1280"/>
      <c r="T225" s="1281"/>
      <c r="U225" s="1282"/>
      <c r="V225" s="1283"/>
      <c r="W225" s="1284"/>
      <c r="X225" s="1280"/>
      <c r="Y225" s="1282"/>
      <c r="Z225" s="1283"/>
      <c r="AA225" s="1282"/>
      <c r="AB225" s="20"/>
      <c r="AC225" s="1285"/>
      <c r="AD225" s="1286"/>
      <c r="AE225" s="1287"/>
      <c r="AF225" s="1285"/>
      <c r="AG225" s="1285"/>
      <c r="AH225" s="1285"/>
      <c r="AI225" s="1285"/>
      <c r="AJ225" s="1288"/>
      <c r="AK225" s="1285"/>
      <c r="AL225" s="1285"/>
      <c r="AM225" s="1287"/>
      <c r="AN225" s="1285"/>
      <c r="AO225" s="1285"/>
      <c r="AP225" s="1285"/>
      <c r="AQ225" s="1285"/>
      <c r="AR225" s="1288"/>
      <c r="AS225" s="1285"/>
      <c r="AT225" s="1285"/>
      <c r="AU225" s="1287"/>
      <c r="AV225" s="1288"/>
      <c r="AW225" s="1285"/>
      <c r="AX225" s="1634"/>
      <c r="AY225" s="1635"/>
      <c r="AZ225" s="1818"/>
      <c r="BA225" s="1285"/>
      <c r="BB225" s="1285"/>
      <c r="BC225" s="1287"/>
      <c r="BD225" s="1288"/>
      <c r="BE225" s="1285"/>
      <c r="BF225" s="1285"/>
      <c r="BG225" s="1287"/>
      <c r="BH225" s="1288"/>
      <c r="BI225" s="1285"/>
      <c r="BJ225" s="1285"/>
      <c r="BK225" s="1287"/>
      <c r="BM225" s="20"/>
      <c r="BN225" s="13"/>
      <c r="BO225" s="302"/>
      <c r="BP225" s="302"/>
      <c r="BQ225" s="302"/>
      <c r="BR225" s="302"/>
      <c r="BS225" s="302"/>
      <c r="BT225" s="302"/>
      <c r="BU225" s="302"/>
      <c r="BV225" s="1923"/>
      <c r="BW225" s="1443"/>
      <c r="BX225" s="1282"/>
      <c r="BY225" s="1443"/>
      <c r="BZ225" s="1443"/>
      <c r="CA225" s="1926"/>
      <c r="CB225" s="1408"/>
    </row>
    <row r="226" spans="2:80" s="1432" customFormat="1" ht="14.25" customHeight="1">
      <c r="B226" s="1424" t="s">
        <v>576</v>
      </c>
      <c r="C226" s="1425"/>
      <c r="D226" s="1451"/>
      <c r="E226" s="1426"/>
      <c r="F226" s="1426"/>
      <c r="G226" s="1426"/>
      <c r="H226" s="1426"/>
      <c r="I226" s="1426"/>
      <c r="J226" s="1426"/>
      <c r="K226" s="1426"/>
      <c r="L226" s="1426"/>
      <c r="M226" s="1426"/>
      <c r="N226" s="1426"/>
      <c r="O226" s="1426"/>
      <c r="P226" s="1426"/>
      <c r="Q226" s="1426"/>
      <c r="R226" s="1426"/>
      <c r="S226" s="1426"/>
      <c r="T226" s="1427"/>
      <c r="U226" s="1426"/>
      <c r="V226" s="1426"/>
      <c r="W226" s="1428"/>
      <c r="X226" s="1426"/>
      <c r="Y226" s="1426"/>
      <c r="Z226" s="1426"/>
      <c r="AA226" s="1426"/>
      <c r="AB226" s="1424"/>
      <c r="AC226" s="1429"/>
      <c r="AD226" s="1429"/>
      <c r="AE226" s="1430"/>
      <c r="AF226" s="1429"/>
      <c r="AG226" s="1429"/>
      <c r="AH226" s="1429"/>
      <c r="AI226" s="1429"/>
      <c r="AJ226" s="1431"/>
      <c r="AK226" s="1429"/>
      <c r="AL226" s="1429"/>
      <c r="AM226" s="1430"/>
      <c r="AN226" s="1429">
        <f t="shared" ref="AN226:AU226" si="1011">AN211*AN219</f>
        <v>142.71857443019999</v>
      </c>
      <c r="AO226" s="1429">
        <f t="shared" si="1011"/>
        <v>139.05454868388105</v>
      </c>
      <c r="AP226" s="1429">
        <f t="shared" si="1011"/>
        <v>143.10893006033723</v>
      </c>
      <c r="AQ226" s="1429">
        <f t="shared" si="1011"/>
        <v>98.169951402245019</v>
      </c>
      <c r="AR226" s="1431">
        <f t="shared" si="1011"/>
        <v>69.904434144949207</v>
      </c>
      <c r="AS226" s="1429">
        <f t="shared" si="1011"/>
        <v>51.504931723928465</v>
      </c>
      <c r="AT226" s="1429">
        <f t="shared" si="1011"/>
        <v>62.545609038176835</v>
      </c>
      <c r="AU226" s="1430">
        <f t="shared" si="1011"/>
        <v>59.608329055584534</v>
      </c>
      <c r="AV226" s="1431">
        <f t="shared" ref="AV226:AZ231" si="1012">AV211*AV219</f>
        <v>46.256063347133598</v>
      </c>
      <c r="AW226" s="1429">
        <f t="shared" si="1012"/>
        <v>36.625493990045975</v>
      </c>
      <c r="AX226" s="1632">
        <f t="shared" si="1012"/>
        <v>36.685818333088399</v>
      </c>
      <c r="AY226" s="1633">
        <f t="shared" si="1012"/>
        <v>41.281143658590672</v>
      </c>
      <c r="AZ226" s="1817">
        <f t="shared" si="1012"/>
        <v>57.376661571075161</v>
      </c>
      <c r="BA226" s="1429">
        <f t="shared" ref="BA226:BC226" si="1013">BA211*BA219</f>
        <v>92.640357772657978</v>
      </c>
      <c r="BB226" s="1429">
        <f t="shared" si="1013"/>
        <v>103.94248142092225</v>
      </c>
      <c r="BC226" s="1430">
        <f t="shared" si="1013"/>
        <v>108.66562777668896</v>
      </c>
      <c r="BD226" s="1431">
        <f t="shared" ref="BD226:BG226" si="1014">BD211*BD219</f>
        <v>131.44194335868298</v>
      </c>
      <c r="BE226" s="1429">
        <f t="shared" si="1014"/>
        <v>144.7964448039252</v>
      </c>
      <c r="BF226" s="1429">
        <f t="shared" si="1014"/>
        <v>161.07156519988644</v>
      </c>
      <c r="BG226" s="1430">
        <f t="shared" si="1014"/>
        <v>161.07156519988644</v>
      </c>
      <c r="BH226" s="1431">
        <f t="shared" ref="BH226:BK226" si="1015">BH211*BH219</f>
        <v>159.46084954788756</v>
      </c>
      <c r="BI226" s="1429">
        <f t="shared" si="1015"/>
        <v>157.8662410524087</v>
      </c>
      <c r="BJ226" s="1429">
        <f t="shared" si="1015"/>
        <v>161.03935249756211</v>
      </c>
      <c r="BK226" s="1430">
        <f t="shared" si="1015"/>
        <v>162.64974602253773</v>
      </c>
      <c r="BM226" s="1424"/>
      <c r="BN226" s="1425"/>
      <c r="BO226" s="1433"/>
      <c r="BP226" s="1433"/>
      <c r="BQ226" s="1433"/>
      <c r="BR226" s="1433"/>
      <c r="BS226" s="1433"/>
      <c r="BT226" s="1433"/>
      <c r="BU226" s="1433"/>
      <c r="BV226" s="1924"/>
      <c r="BW226" s="1442">
        <f t="shared" ref="BW226:BW231" si="1016">SUM(AR226:AU226)</f>
        <v>243.56330396263905</v>
      </c>
      <c r="BX226" s="1426">
        <f t="shared" ref="BX226:BY231" si="1017">BX211*BX219</f>
        <v>163.3129440051116</v>
      </c>
      <c r="BY226" s="1426">
        <f t="shared" si="1017"/>
        <v>392.48837442121982</v>
      </c>
      <c r="BZ226" s="1426">
        <f t="shared" ref="BZ226:CA226" si="1018">BZ211*BZ219</f>
        <v>647.65999656163604</v>
      </c>
      <c r="CA226" s="1925">
        <f t="shared" si="1018"/>
        <v>693.80575763619333</v>
      </c>
      <c r="CB226" s="1408"/>
    </row>
    <row r="227" spans="2:80" s="1432" customFormat="1" ht="14.25" customHeight="1">
      <c r="B227" s="1424" t="s">
        <v>577</v>
      </c>
      <c r="C227" s="1425"/>
      <c r="D227" s="1451"/>
      <c r="E227" s="1426"/>
      <c r="F227" s="1426"/>
      <c r="G227" s="1426"/>
      <c r="H227" s="1426"/>
      <c r="I227" s="1426"/>
      <c r="J227" s="1426"/>
      <c r="K227" s="1426"/>
      <c r="L227" s="1426"/>
      <c r="M227" s="1426"/>
      <c r="N227" s="1426"/>
      <c r="O227" s="1426"/>
      <c r="P227" s="1426"/>
      <c r="Q227" s="1426"/>
      <c r="R227" s="1426"/>
      <c r="S227" s="1426"/>
      <c r="T227" s="1427"/>
      <c r="U227" s="1426"/>
      <c r="V227" s="1426"/>
      <c r="W227" s="1428"/>
      <c r="X227" s="1426"/>
      <c r="Y227" s="1426"/>
      <c r="Z227" s="1426"/>
      <c r="AA227" s="1426"/>
      <c r="AB227" s="1424"/>
      <c r="AC227" s="1429"/>
      <c r="AD227" s="1429"/>
      <c r="AE227" s="1430"/>
      <c r="AF227" s="1429"/>
      <c r="AG227" s="1429"/>
      <c r="AH227" s="1429"/>
      <c r="AI227" s="1429"/>
      <c r="AJ227" s="1431"/>
      <c r="AK227" s="1429"/>
      <c r="AL227" s="1429"/>
      <c r="AM227" s="1430"/>
      <c r="AN227" s="1429">
        <f>AN212*AN220</f>
        <v>71.814802239526571</v>
      </c>
      <c r="AO227" s="1429">
        <f t="shared" ref="AO227:AU231" si="1019">AO212*AO220</f>
        <v>86.81050932338016</v>
      </c>
      <c r="AP227" s="1429">
        <f t="shared" si="1019"/>
        <v>87.626528111019937</v>
      </c>
      <c r="AQ227" s="1429">
        <f t="shared" si="1019"/>
        <v>85.521646667342608</v>
      </c>
      <c r="AR227" s="1431">
        <f t="shared" si="1019"/>
        <v>65.685375843111743</v>
      </c>
      <c r="AS227" s="1429">
        <f t="shared" si="1019"/>
        <v>41.02370764656424</v>
      </c>
      <c r="AT227" s="1429">
        <f t="shared" si="1019"/>
        <v>41.319989979567204</v>
      </c>
      <c r="AU227" s="1430">
        <f t="shared" si="1019"/>
        <v>47.15839288803145</v>
      </c>
      <c r="AV227" s="1431">
        <f t="shared" ref="AV227:AW227" si="1020">AV212*AV220</f>
        <v>52.789890972077217</v>
      </c>
      <c r="AW227" s="1429">
        <f t="shared" si="1020"/>
        <v>55.389566860062139</v>
      </c>
      <c r="AX227" s="1632">
        <f t="shared" si="1012"/>
        <v>60.551928342387704</v>
      </c>
      <c r="AY227" s="1633">
        <f t="shared" si="1012"/>
        <v>64.158859425269384</v>
      </c>
      <c r="AZ227" s="1817">
        <f t="shared" si="1012"/>
        <v>58.022706109836633</v>
      </c>
      <c r="BA227" s="1429">
        <f t="shared" ref="BA227:BC227" si="1021">BA212*BA220</f>
        <v>41.341178103258599</v>
      </c>
      <c r="BB227" s="1429">
        <f t="shared" si="1021"/>
        <v>37.207060292932738</v>
      </c>
      <c r="BC227" s="1430">
        <f t="shared" si="1021"/>
        <v>55.624555137934443</v>
      </c>
      <c r="BD227" s="1431">
        <f t="shared" ref="BD227:BG227" si="1022">BD212*BD220</f>
        <v>77.251382175563364</v>
      </c>
      <c r="BE227" s="1429">
        <f t="shared" si="1022"/>
        <v>103.323723659816</v>
      </c>
      <c r="BF227" s="1429">
        <f t="shared" si="1022"/>
        <v>111.74460713809101</v>
      </c>
      <c r="BG227" s="1430">
        <f t="shared" si="1022"/>
        <v>111.74460713809101</v>
      </c>
      <c r="BH227" s="1431">
        <f t="shared" ref="BH227:BK227" si="1023">BH212*BH220</f>
        <v>107.86148204004236</v>
      </c>
      <c r="BI227" s="1429">
        <f t="shared" si="1023"/>
        <v>104.6472098752491</v>
      </c>
      <c r="BJ227" s="1429">
        <f t="shared" si="1023"/>
        <v>104.63674515426158</v>
      </c>
      <c r="BK227" s="1430">
        <f t="shared" si="1023"/>
        <v>104.63674515426158</v>
      </c>
      <c r="BM227" s="1424"/>
      <c r="BN227" s="1425"/>
      <c r="BO227" s="1433"/>
      <c r="BP227" s="1433"/>
      <c r="BQ227" s="1433"/>
      <c r="BR227" s="1433"/>
      <c r="BS227" s="1433"/>
      <c r="BT227" s="1433"/>
      <c r="BU227" s="1433"/>
      <c r="BV227" s="1924"/>
      <c r="BW227" s="1442">
        <f t="shared" si="1016"/>
        <v>195.18746635727462</v>
      </c>
      <c r="BX227" s="1426">
        <f t="shared" si="1017"/>
        <v>232.76198959515031</v>
      </c>
      <c r="BY227" s="1426">
        <f t="shared" si="1017"/>
        <v>213.55055515995829</v>
      </c>
      <c r="BZ227" s="1426">
        <f t="shared" ref="BZ227:CA227" si="1024">BZ212*BZ220</f>
        <v>448.9603556795127</v>
      </c>
      <c r="CA227" s="1925">
        <f t="shared" si="1024"/>
        <v>468.6468691375718</v>
      </c>
      <c r="CB227" s="1408"/>
    </row>
    <row r="228" spans="2:80" s="1432" customFormat="1" ht="14.25" customHeight="1">
      <c r="B228" s="1424" t="s">
        <v>578</v>
      </c>
      <c r="C228" s="1425"/>
      <c r="D228" s="1451"/>
      <c r="E228" s="1426"/>
      <c r="F228" s="1426"/>
      <c r="G228" s="1426"/>
      <c r="H228" s="1426"/>
      <c r="I228" s="1426"/>
      <c r="J228" s="1426"/>
      <c r="K228" s="1426"/>
      <c r="L228" s="1426"/>
      <c r="M228" s="1426"/>
      <c r="N228" s="1426"/>
      <c r="O228" s="1426"/>
      <c r="P228" s="1426"/>
      <c r="Q228" s="1426"/>
      <c r="R228" s="1426"/>
      <c r="S228" s="1426"/>
      <c r="T228" s="1427"/>
      <c r="U228" s="1426"/>
      <c r="V228" s="1426"/>
      <c r="W228" s="1428"/>
      <c r="X228" s="1426"/>
      <c r="Y228" s="1426"/>
      <c r="Z228" s="1426"/>
      <c r="AA228" s="1426"/>
      <c r="AB228" s="1424"/>
      <c r="AC228" s="1429"/>
      <c r="AD228" s="1429"/>
      <c r="AE228" s="1430"/>
      <c r="AF228" s="1429"/>
      <c r="AG228" s="1429"/>
      <c r="AH228" s="1429"/>
      <c r="AI228" s="1429"/>
      <c r="AJ228" s="1431"/>
      <c r="AK228" s="1429"/>
      <c r="AL228" s="1429"/>
      <c r="AM228" s="1430"/>
      <c r="AN228" s="1429">
        <f>AN213*AN221</f>
        <v>117.75593170708456</v>
      </c>
      <c r="AO228" s="1429">
        <f t="shared" si="1019"/>
        <v>98.051082436952939</v>
      </c>
      <c r="AP228" s="1429">
        <f t="shared" si="1019"/>
        <v>78.333266928763635</v>
      </c>
      <c r="AQ228" s="1429">
        <f t="shared" si="1019"/>
        <v>67.638877417456811</v>
      </c>
      <c r="AR228" s="1431">
        <f t="shared" si="1019"/>
        <v>59.348244280057685</v>
      </c>
      <c r="AS228" s="1429">
        <f t="shared" si="1019"/>
        <v>50.35001366247441</v>
      </c>
      <c r="AT228" s="1429">
        <f t="shared" si="1019"/>
        <v>60.073000799986566</v>
      </c>
      <c r="AU228" s="1430">
        <f t="shared" si="1019"/>
        <v>69.56235030654689</v>
      </c>
      <c r="AV228" s="1431">
        <f t="shared" ref="AV228:AW228" si="1025">AV213*AV221</f>
        <v>67.735500000000002</v>
      </c>
      <c r="AW228" s="1429">
        <f t="shared" si="1025"/>
        <v>68.236860698169693</v>
      </c>
      <c r="AX228" s="1632">
        <f t="shared" si="1012"/>
        <v>80.293339171240589</v>
      </c>
      <c r="AY228" s="1633">
        <f t="shared" si="1012"/>
        <v>113.6136560645737</v>
      </c>
      <c r="AZ228" s="1817">
        <f t="shared" si="1012"/>
        <v>103.89133752527874</v>
      </c>
      <c r="BA228" s="1429">
        <f t="shared" ref="BA228:BC228" si="1026">BA213*BA221</f>
        <v>113.09257556897799</v>
      </c>
      <c r="BB228" s="1429">
        <f t="shared" si="1026"/>
        <v>163.15184274487592</v>
      </c>
      <c r="BC228" s="1430">
        <f t="shared" si="1026"/>
        <v>187.58580985463547</v>
      </c>
      <c r="BD228" s="1431">
        <f t="shared" ref="BD228:BG228" si="1027">BD213*BD221</f>
        <v>206.81335536473566</v>
      </c>
      <c r="BE228" s="1429">
        <f t="shared" si="1027"/>
        <v>169.6939006578765</v>
      </c>
      <c r="BF228" s="1429">
        <f t="shared" si="1027"/>
        <v>140.50654974472175</v>
      </c>
      <c r="BG228" s="1430">
        <f t="shared" si="1027"/>
        <v>130.74227746722266</v>
      </c>
      <c r="BH228" s="1431">
        <f t="shared" ref="BH228:BK228" si="1028">BH213*BH221</f>
        <v>124.20516359386153</v>
      </c>
      <c r="BI228" s="1429">
        <f t="shared" si="1028"/>
        <v>126.36517654795723</v>
      </c>
      <c r="BJ228" s="1429">
        <f t="shared" si="1028"/>
        <v>136.78084591442857</v>
      </c>
      <c r="BK228" s="1430">
        <f t="shared" si="1028"/>
        <v>143.61988821015001</v>
      </c>
      <c r="BM228" s="1424"/>
      <c r="BN228" s="1425"/>
      <c r="BO228" s="1433"/>
      <c r="BP228" s="1433"/>
      <c r="BQ228" s="1433"/>
      <c r="BR228" s="1433"/>
      <c r="BS228" s="1433"/>
      <c r="BT228" s="1433"/>
      <c r="BU228" s="1433"/>
      <c r="BV228" s="1924"/>
      <c r="BW228" s="1442">
        <f t="shared" si="1016"/>
        <v>239.33360904906556</v>
      </c>
      <c r="BX228" s="1426">
        <f t="shared" si="1017"/>
        <v>327.64898540144952</v>
      </c>
      <c r="BY228" s="1426">
        <f t="shared" si="1017"/>
        <v>648.82464650716361</v>
      </c>
      <c r="BZ228" s="1426">
        <f t="shared" ref="BZ228:CA228" si="1029">BZ213*BZ221</f>
        <v>740.2926665537791</v>
      </c>
      <c r="CA228" s="1925">
        <f t="shared" si="1029"/>
        <v>606.8240848758827</v>
      </c>
      <c r="CB228" s="1408"/>
    </row>
    <row r="229" spans="2:80" s="1432" customFormat="1" ht="14.25" customHeight="1">
      <c r="B229" s="1424" t="s">
        <v>579</v>
      </c>
      <c r="C229" s="1425"/>
      <c r="D229" s="1451"/>
      <c r="E229" s="1426"/>
      <c r="F229" s="1426"/>
      <c r="G229" s="1426"/>
      <c r="H229" s="1426"/>
      <c r="I229" s="1426"/>
      <c r="J229" s="1426"/>
      <c r="K229" s="1426"/>
      <c r="L229" s="1426"/>
      <c r="M229" s="1426"/>
      <c r="N229" s="1426"/>
      <c r="O229" s="1426"/>
      <c r="P229" s="1426"/>
      <c r="Q229" s="1426"/>
      <c r="R229" s="1426"/>
      <c r="S229" s="1426"/>
      <c r="T229" s="1427"/>
      <c r="U229" s="1426"/>
      <c r="V229" s="1426"/>
      <c r="W229" s="1428"/>
      <c r="X229" s="1426"/>
      <c r="Y229" s="1426"/>
      <c r="Z229" s="1426"/>
      <c r="AA229" s="1426"/>
      <c r="AB229" s="1424"/>
      <c r="AC229" s="1429"/>
      <c r="AD229" s="1429"/>
      <c r="AE229" s="1430"/>
      <c r="AF229" s="1429"/>
      <c r="AG229" s="1429"/>
      <c r="AH229" s="1429"/>
      <c r="AI229" s="1429"/>
      <c r="AJ229" s="1431"/>
      <c r="AK229" s="1429"/>
      <c r="AL229" s="1429"/>
      <c r="AM229" s="1430"/>
      <c r="AN229" s="1429">
        <f>AN214*AN222</f>
        <v>28.125</v>
      </c>
      <c r="AO229" s="1429">
        <f t="shared" si="1019"/>
        <v>28.125</v>
      </c>
      <c r="AP229" s="1429">
        <f t="shared" si="1019"/>
        <v>28.125</v>
      </c>
      <c r="AQ229" s="1429">
        <f t="shared" si="1019"/>
        <v>28.125</v>
      </c>
      <c r="AR229" s="1431">
        <f t="shared" si="1019"/>
        <v>23.783787425558014</v>
      </c>
      <c r="AS229" s="1429">
        <f t="shared" si="1019"/>
        <v>23.578407460315546</v>
      </c>
      <c r="AT229" s="1429">
        <f t="shared" si="1019"/>
        <v>24.757327833331324</v>
      </c>
      <c r="AU229" s="1430">
        <f t="shared" si="1019"/>
        <v>25.995194224997892</v>
      </c>
      <c r="AV229" s="1431">
        <f t="shared" ref="AV229:AW229" si="1030">AV214*AV222</f>
        <v>24.695434513747998</v>
      </c>
      <c r="AW229" s="1429">
        <f t="shared" si="1030"/>
        <v>24.695434513747998</v>
      </c>
      <c r="AX229" s="1632">
        <f t="shared" si="1012"/>
        <v>24.942388858885476</v>
      </c>
      <c r="AY229" s="1633">
        <f t="shared" si="1012"/>
        <v>24.19411719311891</v>
      </c>
      <c r="AZ229" s="1817">
        <f t="shared" si="1012"/>
        <v>24.19411719311891</v>
      </c>
      <c r="BA229" s="1429">
        <f t="shared" ref="BA229:BC229" si="1031">BA214*BA222</f>
        <v>24.19411719311891</v>
      </c>
      <c r="BB229" s="1429">
        <f t="shared" si="1031"/>
        <v>24.19411719311891</v>
      </c>
      <c r="BC229" s="1430">
        <f t="shared" si="1031"/>
        <v>24.23924491729143</v>
      </c>
      <c r="BD229" s="1431">
        <f t="shared" ref="BD229:BG229" si="1032">BD214*BD222</f>
        <v>24.23924491729143</v>
      </c>
      <c r="BE229" s="1429">
        <f t="shared" si="1032"/>
        <v>23.027282671426857</v>
      </c>
      <c r="BF229" s="1429">
        <f t="shared" si="1032"/>
        <v>21.875918537855512</v>
      </c>
      <c r="BG229" s="1430">
        <f t="shared" si="1032"/>
        <v>20.782122610962737</v>
      </c>
      <c r="BH229" s="1431">
        <f t="shared" ref="BH229:BK229" si="1033">BH214*BH222</f>
        <v>20.782122610962737</v>
      </c>
      <c r="BI229" s="1429">
        <f t="shared" si="1033"/>
        <v>20.782122610962737</v>
      </c>
      <c r="BJ229" s="1429">
        <f t="shared" si="1033"/>
        <v>20.782122610962737</v>
      </c>
      <c r="BK229" s="1430">
        <f t="shared" si="1033"/>
        <v>20.820886162011988</v>
      </c>
      <c r="BM229" s="1424"/>
      <c r="BN229" s="1425"/>
      <c r="BO229" s="1433"/>
      <c r="BP229" s="1433"/>
      <c r="BQ229" s="1433"/>
      <c r="BR229" s="1433"/>
      <c r="BS229" s="1433"/>
      <c r="BT229" s="1433"/>
      <c r="BU229" s="1433"/>
      <c r="BV229" s="1924"/>
      <c r="BW229" s="1442">
        <f t="shared" si="1016"/>
        <v>98.114716944202783</v>
      </c>
      <c r="BX229" s="1426">
        <f t="shared" si="1017"/>
        <v>98.527375079500374</v>
      </c>
      <c r="BY229" s="1426">
        <f t="shared" si="1017"/>
        <v>96.821596496648169</v>
      </c>
      <c r="BZ229" s="1426">
        <f t="shared" ref="BZ229:CA229" si="1034">BZ214*BZ222</f>
        <v>89.924568737536532</v>
      </c>
      <c r="CA229" s="1925">
        <f t="shared" si="1034"/>
        <v>83.167253994900193</v>
      </c>
      <c r="CB229" s="1408"/>
    </row>
    <row r="230" spans="2:80" s="1432" customFormat="1" ht="14.25" customHeight="1">
      <c r="B230" s="1424" t="s">
        <v>584</v>
      </c>
      <c r="C230" s="1425"/>
      <c r="D230" s="1451"/>
      <c r="E230" s="1426"/>
      <c r="F230" s="1426"/>
      <c r="G230" s="1426"/>
      <c r="H230" s="1426"/>
      <c r="I230" s="1426"/>
      <c r="J230" s="1426"/>
      <c r="K230" s="1426"/>
      <c r="L230" s="1426"/>
      <c r="M230" s="1426"/>
      <c r="N230" s="1426"/>
      <c r="O230" s="1426"/>
      <c r="P230" s="1426"/>
      <c r="Q230" s="1426"/>
      <c r="R230" s="1426"/>
      <c r="S230" s="1426"/>
      <c r="T230" s="1427"/>
      <c r="U230" s="1426"/>
      <c r="V230" s="1426"/>
      <c r="W230" s="1428"/>
      <c r="X230" s="1426"/>
      <c r="Y230" s="1426"/>
      <c r="Z230" s="1426"/>
      <c r="AA230" s="1426"/>
      <c r="AB230" s="1424"/>
      <c r="AC230" s="1429"/>
      <c r="AD230" s="1429"/>
      <c r="AE230" s="1430"/>
      <c r="AF230" s="1429"/>
      <c r="AG230" s="1429"/>
      <c r="AH230" s="1429"/>
      <c r="AI230" s="1429"/>
      <c r="AJ230" s="1431"/>
      <c r="AK230" s="1429"/>
      <c r="AL230" s="1429"/>
      <c r="AM230" s="1430"/>
      <c r="AN230" s="1429">
        <f>AN215*AN223</f>
        <v>22.5</v>
      </c>
      <c r="AO230" s="1429">
        <f t="shared" si="1019"/>
        <v>22.5</v>
      </c>
      <c r="AP230" s="1429">
        <f t="shared" si="1019"/>
        <v>22.5</v>
      </c>
      <c r="AQ230" s="1429">
        <f t="shared" si="1019"/>
        <v>22.5</v>
      </c>
      <c r="AR230" s="1431">
        <f t="shared" si="1019"/>
        <v>16</v>
      </c>
      <c r="AS230" s="1429">
        <f t="shared" si="1019"/>
        <v>7.03</v>
      </c>
      <c r="AT230" s="1429">
        <f t="shared" si="1019"/>
        <v>7.3815</v>
      </c>
      <c r="AU230" s="1430">
        <f t="shared" si="1019"/>
        <v>6.2614437750020313</v>
      </c>
      <c r="AV230" s="1431">
        <f t="shared" ref="AV230:AW230" si="1035">AV215*AV223</f>
        <v>7.5888698553024598</v>
      </c>
      <c r="AW230" s="1429">
        <f t="shared" si="1035"/>
        <v>9.1977102646265827</v>
      </c>
      <c r="AX230" s="1632">
        <f t="shared" si="1012"/>
        <v>9.9427247960613361</v>
      </c>
      <c r="AY230" s="1633">
        <f t="shared" si="1012"/>
        <v>10.439861035864404</v>
      </c>
      <c r="AZ230" s="1817">
        <f t="shared" si="1012"/>
        <v>11.713524082239863</v>
      </c>
      <c r="BA230" s="1429">
        <f t="shared" ref="BA230:BC230" si="1036">BA215*BA223</f>
        <v>14.173364139510236</v>
      </c>
      <c r="BB230" s="1429">
        <f t="shared" si="1036"/>
        <v>26.348283935349528</v>
      </c>
      <c r="BC230" s="1430">
        <f t="shared" si="1036"/>
        <v>34.779734794661373</v>
      </c>
      <c r="BD230" s="1431">
        <f t="shared" ref="BD230:BG230" si="1037">BD215*BD223</f>
        <v>41.196595864276389</v>
      </c>
      <c r="BE230" s="1429">
        <f t="shared" si="1037"/>
        <v>45.614930770720036</v>
      </c>
      <c r="BF230" s="1429">
        <f t="shared" si="1037"/>
        <v>47.895677309256044</v>
      </c>
      <c r="BG230" s="1430">
        <f t="shared" si="1037"/>
        <v>49.332547628533717</v>
      </c>
      <c r="BH230" s="1431">
        <f t="shared" ref="BH230:BK230" si="1038">BH215*BH223</f>
        <v>58.434402665998199</v>
      </c>
      <c r="BI230" s="1429">
        <f t="shared" si="1038"/>
        <v>69.215549957874856</v>
      </c>
      <c r="BJ230" s="1429">
        <f t="shared" si="1038"/>
        <v>79.597882451556075</v>
      </c>
      <c r="BK230" s="1430">
        <f t="shared" si="1038"/>
        <v>91.5375648192895</v>
      </c>
      <c r="BM230" s="1424"/>
      <c r="BN230" s="1425"/>
      <c r="BO230" s="1433"/>
      <c r="BP230" s="1433"/>
      <c r="BQ230" s="1433"/>
      <c r="BR230" s="1433"/>
      <c r="BS230" s="1433"/>
      <c r="BT230" s="1433"/>
      <c r="BU230" s="1433"/>
      <c r="BV230" s="1924"/>
      <c r="BW230" s="1442">
        <f t="shared" si="1016"/>
        <v>36.672943775002032</v>
      </c>
      <c r="BX230" s="1426">
        <f t="shared" si="1017"/>
        <v>37.169165951854779</v>
      </c>
      <c r="BY230" s="1426">
        <f t="shared" si="1017"/>
        <v>87.014906951761006</v>
      </c>
      <c r="BZ230" s="1426">
        <f t="shared" ref="BZ230:CA230" si="1039">BZ215*BZ223</f>
        <v>184.0397515727862</v>
      </c>
      <c r="CA230" s="1925">
        <f t="shared" si="1039"/>
        <v>298.78539989471864</v>
      </c>
      <c r="CB230" s="1408"/>
    </row>
    <row r="231" spans="2:80" s="1432" customFormat="1" ht="14.25" customHeight="1">
      <c r="B231" s="1424" t="s">
        <v>580</v>
      </c>
      <c r="C231" s="1425"/>
      <c r="D231" s="1451"/>
      <c r="E231" s="1426"/>
      <c r="F231" s="1426"/>
      <c r="G231" s="1426"/>
      <c r="H231" s="1426"/>
      <c r="I231" s="1426"/>
      <c r="J231" s="1426"/>
      <c r="K231" s="1426"/>
      <c r="L231" s="1426"/>
      <c r="M231" s="1426"/>
      <c r="N231" s="1426"/>
      <c r="O231" s="1426"/>
      <c r="P231" s="1426"/>
      <c r="Q231" s="1426"/>
      <c r="R231" s="1426"/>
      <c r="S231" s="1426"/>
      <c r="T231" s="1427"/>
      <c r="U231" s="1426"/>
      <c r="V231" s="1426"/>
      <c r="W231" s="1428"/>
      <c r="X231" s="1426"/>
      <c r="Y231" s="1426"/>
      <c r="Z231" s="1426"/>
      <c r="AA231" s="1426"/>
      <c r="AB231" s="1424"/>
      <c r="AC231" s="1429"/>
      <c r="AD231" s="1429"/>
      <c r="AE231" s="1430"/>
      <c r="AF231" s="1429"/>
      <c r="AG231" s="1429"/>
      <c r="AH231" s="1429"/>
      <c r="AI231" s="1429"/>
      <c r="AJ231" s="1431"/>
      <c r="AK231" s="1429"/>
      <c r="AL231" s="1429"/>
      <c r="AM231" s="1430"/>
      <c r="AN231" s="1429">
        <f>AN216*AN224</f>
        <v>105.87500000000003</v>
      </c>
      <c r="AO231" s="1429">
        <f t="shared" si="1019"/>
        <v>125.125</v>
      </c>
      <c r="AP231" s="1429">
        <f t="shared" si="1019"/>
        <v>133.87500000000006</v>
      </c>
      <c r="AQ231" s="1429">
        <f t="shared" si="1019"/>
        <v>116.125</v>
      </c>
      <c r="AR231" s="1431">
        <f t="shared" si="1019"/>
        <v>91.664322230304151</v>
      </c>
      <c r="AS231" s="1429">
        <f t="shared" si="1019"/>
        <v>121.61974533730279</v>
      </c>
      <c r="AT231" s="1429">
        <f t="shared" si="1019"/>
        <v>139.16323260416792</v>
      </c>
      <c r="AU231" s="1430">
        <f t="shared" si="1019"/>
        <v>101.83960125000002</v>
      </c>
      <c r="AV231" s="1431">
        <f t="shared" ref="AV231:AW231" si="1040">AV216*AV224</f>
        <v>66.996700000000004</v>
      </c>
      <c r="AW231" s="1429">
        <f t="shared" si="1040"/>
        <v>126.81678451351598</v>
      </c>
      <c r="AX231" s="1632">
        <f t="shared" si="1012"/>
        <v>186.85379402531251</v>
      </c>
      <c r="AY231" s="1633">
        <f t="shared" si="1012"/>
        <v>104.84365007695312</v>
      </c>
      <c r="AZ231" s="1817">
        <f t="shared" si="1012"/>
        <v>69.0905615221875</v>
      </c>
      <c r="BA231" s="1429">
        <f t="shared" ref="BA231:BC231" si="1041">BA216*BA224</f>
        <v>116.77587287615626</v>
      </c>
      <c r="BB231" s="1429">
        <f t="shared" si="1041"/>
        <v>174.38687565351563</v>
      </c>
      <c r="BC231" s="1430">
        <f t="shared" si="1041"/>
        <v>93.608032536909377</v>
      </c>
      <c r="BD231" s="1431">
        <f t="shared" ref="BD231:BG231" si="1042">BD216*BD224</f>
        <v>92.10358001779079</v>
      </c>
      <c r="BE231" s="1429">
        <f t="shared" si="1042"/>
        <v>111.09285985406251</v>
      </c>
      <c r="BF231" s="1429">
        <f t="shared" si="1042"/>
        <v>116.2720882767</v>
      </c>
      <c r="BG231" s="1430">
        <f t="shared" si="1042"/>
        <v>96.777799460906266</v>
      </c>
      <c r="BH231" s="1431">
        <f t="shared" ref="BH231:BK231" si="1043">BH216*BH224</f>
        <v>80.353699783862211</v>
      </c>
      <c r="BI231" s="1429">
        <f t="shared" si="1043"/>
        <v>96.822544225790253</v>
      </c>
      <c r="BJ231" s="1429">
        <f t="shared" si="1043"/>
        <v>101.29739758294906</v>
      </c>
      <c r="BK231" s="1430">
        <f t="shared" si="1043"/>
        <v>84.560497282666134</v>
      </c>
      <c r="BM231" s="1424"/>
      <c r="BN231" s="1425"/>
      <c r="BO231" s="1433"/>
      <c r="BP231" s="1433"/>
      <c r="BQ231" s="1433"/>
      <c r="BR231" s="1433"/>
      <c r="BS231" s="1433"/>
      <c r="BT231" s="1433"/>
      <c r="BU231" s="1433"/>
      <c r="BV231" s="1924"/>
      <c r="BW231" s="1442">
        <f t="shared" si="1016"/>
        <v>454.28690142177481</v>
      </c>
      <c r="BX231" s="1426">
        <f t="shared" si="1017"/>
        <v>491.33672861578162</v>
      </c>
      <c r="BY231" s="1426">
        <f t="shared" si="1017"/>
        <v>460.08400346933911</v>
      </c>
      <c r="BZ231" s="1426">
        <f t="shared" ref="BZ231:CA231" si="1044">BZ216*BZ224</f>
        <v>416.24632760945963</v>
      </c>
      <c r="CA231" s="1925">
        <f t="shared" si="1044"/>
        <v>363.03413887526767</v>
      </c>
      <c r="CB231" s="1408"/>
    </row>
    <row r="232" spans="2:80" s="1432" customFormat="1" ht="14.25" customHeight="1">
      <c r="B232" s="1424" t="s">
        <v>585</v>
      </c>
      <c r="C232" s="1425"/>
      <c r="D232" s="1451"/>
      <c r="E232" s="1426"/>
      <c r="F232" s="1426"/>
      <c r="G232" s="1426"/>
      <c r="H232" s="1426"/>
      <c r="I232" s="1426"/>
      <c r="J232" s="1426"/>
      <c r="K232" s="1426"/>
      <c r="L232" s="1426"/>
      <c r="M232" s="1426"/>
      <c r="N232" s="1426"/>
      <c r="O232" s="1426"/>
      <c r="P232" s="1426"/>
      <c r="Q232" s="1426"/>
      <c r="R232" s="1426"/>
      <c r="S232" s="1426"/>
      <c r="T232" s="1427"/>
      <c r="U232" s="1426"/>
      <c r="V232" s="1426"/>
      <c r="W232" s="1428"/>
      <c r="X232" s="1426"/>
      <c r="Y232" s="1426"/>
      <c r="Z232" s="1426"/>
      <c r="AA232" s="1426"/>
      <c r="AB232" s="1424"/>
      <c r="AC232" s="1429"/>
      <c r="AD232" s="1429"/>
      <c r="AE232" s="1430"/>
      <c r="AF232" s="1429"/>
      <c r="AG232" s="1429"/>
      <c r="AH232" s="1429"/>
      <c r="AI232" s="1429"/>
      <c r="AJ232" s="1431"/>
      <c r="AK232" s="1429"/>
      <c r="AL232" s="1429"/>
      <c r="AM232" s="1430"/>
      <c r="AN232" s="1429">
        <f t="shared" ref="AN232:AU232" si="1045">SUM(AN226:AN231)</f>
        <v>488.78930837681116</v>
      </c>
      <c r="AO232" s="1429">
        <f t="shared" si="1045"/>
        <v>499.66614044421414</v>
      </c>
      <c r="AP232" s="1429">
        <f t="shared" si="1045"/>
        <v>493.56872510012084</v>
      </c>
      <c r="AQ232" s="1429">
        <f t="shared" si="1045"/>
        <v>418.08047548704445</v>
      </c>
      <c r="AR232" s="1431">
        <f t="shared" si="1045"/>
        <v>326.3861639239808</v>
      </c>
      <c r="AS232" s="1429">
        <f t="shared" si="1045"/>
        <v>295.10680583058547</v>
      </c>
      <c r="AT232" s="1429">
        <f t="shared" si="1045"/>
        <v>335.24066025522984</v>
      </c>
      <c r="AU232" s="1430">
        <f t="shared" si="1045"/>
        <v>310.42531150016282</v>
      </c>
      <c r="AV232" s="1431">
        <f t="shared" ref="AV232:AZ232" si="1046">SUM(AV226:AV231)</f>
        <v>266.06245868826124</v>
      </c>
      <c r="AW232" s="1429">
        <f t="shared" si="1046"/>
        <v>320.96185084016838</v>
      </c>
      <c r="AX232" s="1632">
        <f t="shared" si="1046"/>
        <v>399.26999352697601</v>
      </c>
      <c r="AY232" s="1633">
        <f t="shared" si="1046"/>
        <v>358.53128745437022</v>
      </c>
      <c r="AZ232" s="1817">
        <f t="shared" si="1046"/>
        <v>324.28890800373676</v>
      </c>
      <c r="BA232" s="1429">
        <f t="shared" ref="BA232:BC232" si="1047">SUM(BA226:BA231)</f>
        <v>402.21746565367994</v>
      </c>
      <c r="BB232" s="1429">
        <f t="shared" si="1047"/>
        <v>529.23066124071499</v>
      </c>
      <c r="BC232" s="1430">
        <f t="shared" si="1047"/>
        <v>504.50300501812109</v>
      </c>
      <c r="BD232" s="1431">
        <f t="shared" ref="BD232:BG232" si="1048">SUM(BD226:BD231)</f>
        <v>573.04610169834064</v>
      </c>
      <c r="BE232" s="1429">
        <f t="shared" si="1048"/>
        <v>597.54914241782717</v>
      </c>
      <c r="BF232" s="1429">
        <f t="shared" si="1048"/>
        <v>599.36640620651076</v>
      </c>
      <c r="BG232" s="1430">
        <f t="shared" si="1048"/>
        <v>570.45091950560288</v>
      </c>
      <c r="BH232" s="1431">
        <f t="shared" ref="BH232:BK232" si="1049">SUM(BH226:BH231)</f>
        <v>551.09772024261463</v>
      </c>
      <c r="BI232" s="1429">
        <f t="shared" si="1049"/>
        <v>575.69884427024283</v>
      </c>
      <c r="BJ232" s="1429">
        <f t="shared" si="1049"/>
        <v>604.13434621172007</v>
      </c>
      <c r="BK232" s="1430">
        <f t="shared" si="1049"/>
        <v>607.82532765091696</v>
      </c>
      <c r="BM232" s="1424"/>
      <c r="BN232" s="1425"/>
      <c r="BO232" s="1433"/>
      <c r="BP232" s="1433"/>
      <c r="BQ232" s="1433"/>
      <c r="BR232" s="1433"/>
      <c r="BS232" s="1433"/>
      <c r="BT232" s="1433"/>
      <c r="BU232" s="1433"/>
      <c r="BV232" s="1924"/>
      <c r="BW232" s="1426">
        <f>SUM(BW226:BW231)</f>
        <v>1267.1589415099588</v>
      </c>
      <c r="BX232" s="1426">
        <f>SUM(BX226:BX231)</f>
        <v>1350.7571886488483</v>
      </c>
      <c r="BY232" s="1426">
        <f>SUM(BY226:BY231)</f>
        <v>1898.78408300609</v>
      </c>
      <c r="BZ232" s="1426">
        <f>SUM(BZ226:BZ231)</f>
        <v>2527.12366671471</v>
      </c>
      <c r="CA232" s="1925">
        <f>SUM(CA226:CA231)</f>
        <v>2514.2635044145345</v>
      </c>
      <c r="CB232" s="1408"/>
    </row>
    <row r="233" spans="2:80" s="7" customFormat="1" ht="14.25" customHeight="1">
      <c r="B233" s="849"/>
      <c r="C233" s="13"/>
      <c r="D233" s="619"/>
      <c r="E233" s="1280"/>
      <c r="F233" s="1280"/>
      <c r="G233" s="1280"/>
      <c r="H233" s="1280"/>
      <c r="I233" s="1280"/>
      <c r="J233" s="1280"/>
      <c r="K233" s="1280"/>
      <c r="L233" s="1280"/>
      <c r="M233" s="1280"/>
      <c r="N233" s="1280"/>
      <c r="O233" s="1280"/>
      <c r="P233" s="1280"/>
      <c r="Q233" s="1280"/>
      <c r="R233" s="1280"/>
      <c r="S233" s="1280"/>
      <c r="T233" s="1281"/>
      <c r="U233" s="1282"/>
      <c r="V233" s="1283"/>
      <c r="W233" s="1284"/>
      <c r="X233" s="1280"/>
      <c r="Y233" s="1282"/>
      <c r="Z233" s="1283"/>
      <c r="AA233" s="1282"/>
      <c r="AB233" s="20"/>
      <c r="AC233" s="1285"/>
      <c r="AD233" s="1286"/>
      <c r="AE233" s="1287"/>
      <c r="AF233" s="1285"/>
      <c r="AG233" s="1285"/>
      <c r="AH233" s="1285"/>
      <c r="AI233" s="1285"/>
      <c r="AJ233" s="1288"/>
      <c r="AK233" s="1285"/>
      <c r="AL233" s="1285"/>
      <c r="AM233" s="1287"/>
      <c r="AN233" s="1285"/>
      <c r="AO233" s="1285"/>
      <c r="AP233" s="1285"/>
      <c r="AQ233" s="1285"/>
      <c r="AR233" s="1288"/>
      <c r="AS233" s="1285"/>
      <c r="AT233" s="1285"/>
      <c r="AU233" s="1287"/>
      <c r="AV233" s="1288"/>
      <c r="AW233" s="1285"/>
      <c r="AX233" s="1634"/>
      <c r="AY233" s="1635"/>
      <c r="AZ233" s="1818"/>
      <c r="BA233" s="1285"/>
      <c r="BB233" s="1285"/>
      <c r="BC233" s="1287"/>
      <c r="BD233" s="1288"/>
      <c r="BE233" s="1285"/>
      <c r="BF233" s="1285"/>
      <c r="BG233" s="1287"/>
      <c r="BH233" s="1288"/>
      <c r="BI233" s="1285"/>
      <c r="BJ233" s="1285"/>
      <c r="BK233" s="1287"/>
      <c r="BM233" s="20"/>
      <c r="BN233" s="13"/>
      <c r="BO233" s="302"/>
      <c r="BP233" s="302"/>
      <c r="BQ233" s="302"/>
      <c r="BR233" s="302"/>
      <c r="BS233" s="302"/>
      <c r="BT233" s="302"/>
      <c r="BU233" s="302"/>
      <c r="BV233" s="1923"/>
      <c r="BW233" s="1443"/>
      <c r="BX233" s="1282"/>
      <c r="BY233" s="1443"/>
      <c r="BZ233" s="1443"/>
      <c r="CA233" s="1926"/>
      <c r="CB233" s="1408"/>
    </row>
    <row r="234" spans="2:80" s="7" customFormat="1" ht="14.25" customHeight="1">
      <c r="B234" s="849" t="s">
        <v>581</v>
      </c>
      <c r="C234" s="13"/>
      <c r="D234" s="619"/>
      <c r="E234" s="1280"/>
      <c r="F234" s="1280"/>
      <c r="G234" s="1280"/>
      <c r="H234" s="1280"/>
      <c r="I234" s="1280"/>
      <c r="J234" s="1280"/>
      <c r="K234" s="1280"/>
      <c r="L234" s="1280"/>
      <c r="M234" s="1280"/>
      <c r="N234" s="1280"/>
      <c r="O234" s="1280"/>
      <c r="P234" s="1280"/>
      <c r="Q234" s="1280"/>
      <c r="R234" s="1280"/>
      <c r="S234" s="1280"/>
      <c r="T234" s="1281"/>
      <c r="U234" s="1282"/>
      <c r="V234" s="1283"/>
      <c r="W234" s="1284"/>
      <c r="X234" s="1280"/>
      <c r="Y234" s="1282"/>
      <c r="Z234" s="1283"/>
      <c r="AA234" s="1282"/>
      <c r="AB234" s="20"/>
      <c r="AC234" s="1285"/>
      <c r="AD234" s="1286"/>
      <c r="AE234" s="1287"/>
      <c r="AF234" s="1285"/>
      <c r="AG234" s="1285"/>
      <c r="AH234" s="1285"/>
      <c r="AI234" s="1285"/>
      <c r="AJ234" s="1288"/>
      <c r="AK234" s="1285"/>
      <c r="AL234" s="1285"/>
      <c r="AM234" s="1287"/>
      <c r="AN234" s="1285">
        <f t="shared" ref="AN234:AU234" si="1050">AN232/AN217</f>
        <v>0.34988497378440314</v>
      </c>
      <c r="AO234" s="1285">
        <f t="shared" si="1050"/>
        <v>0.34674957699112707</v>
      </c>
      <c r="AP234" s="1285">
        <f t="shared" si="1050"/>
        <v>0.34539448922331756</v>
      </c>
      <c r="AQ234" s="1285">
        <f t="shared" si="1050"/>
        <v>0.33743379781036686</v>
      </c>
      <c r="AR234" s="1288">
        <f t="shared" si="1050"/>
        <v>0.31687977079998136</v>
      </c>
      <c r="AS234" s="1285">
        <f t="shared" si="1050"/>
        <v>0.31327686393905041</v>
      </c>
      <c r="AT234" s="1285">
        <f t="shared" si="1050"/>
        <v>0.31596669204074429</v>
      </c>
      <c r="AU234" s="1287">
        <f t="shared" si="1050"/>
        <v>0.32403477192083802</v>
      </c>
      <c r="AV234" s="1288">
        <f t="shared" ref="AV234:AZ234" si="1051">AV232/AV217</f>
        <v>0.31978692447830925</v>
      </c>
      <c r="AW234" s="1285">
        <f t="shared" si="1051"/>
        <v>0.31252371065254941</v>
      </c>
      <c r="AX234" s="1634">
        <f t="shared" si="1051"/>
        <v>0.30557123901393701</v>
      </c>
      <c r="AY234" s="1635">
        <f t="shared" si="1051"/>
        <v>0.32419245074773662</v>
      </c>
      <c r="AZ234" s="1818">
        <f t="shared" si="1051"/>
        <v>0.33810318351966973</v>
      </c>
      <c r="BA234" s="1285">
        <f t="shared" ref="BA234:BC234" si="1052">BA232/BA217</f>
        <v>0.32996833824355376</v>
      </c>
      <c r="BB234" s="1285">
        <f t="shared" si="1052"/>
        <v>0.32310054996421772</v>
      </c>
      <c r="BC234" s="1287">
        <f t="shared" si="1052"/>
        <v>0.34363517424576412</v>
      </c>
      <c r="BD234" s="1288">
        <f t="shared" ref="BD234:BG234" si="1053">BD232/BD217</f>
        <v>0.34798365276036836</v>
      </c>
      <c r="BE234" s="1285">
        <f t="shared" si="1053"/>
        <v>0.34569896184697901</v>
      </c>
      <c r="BF234" s="1285">
        <f t="shared" si="1053"/>
        <v>0.34638284432140787</v>
      </c>
      <c r="BG234" s="1287">
        <f t="shared" si="1053"/>
        <v>0.3509731034120443</v>
      </c>
      <c r="BH234" s="1288">
        <f t="shared" ref="BH234:BK234" si="1054">BH232/BH217</f>
        <v>0.35574309480053518</v>
      </c>
      <c r="BI234" s="1285">
        <f t="shared" si="1054"/>
        <v>0.35200940280753051</v>
      </c>
      <c r="BJ234" s="1285">
        <f t="shared" si="1054"/>
        <v>0.35195385744720825</v>
      </c>
      <c r="BK234" s="1287">
        <f t="shared" si="1054"/>
        <v>0.35694725006884104</v>
      </c>
      <c r="BM234" s="20"/>
      <c r="BN234" s="13"/>
      <c r="BO234" s="302"/>
      <c r="BP234" s="302"/>
      <c r="BQ234" s="302"/>
      <c r="BR234" s="302"/>
      <c r="BS234" s="302"/>
      <c r="BT234" s="302"/>
      <c r="BU234" s="302"/>
      <c r="BV234" s="1923"/>
      <c r="BW234" s="1443"/>
      <c r="BX234" s="1282">
        <f>BX232/BX217</f>
        <v>0.31622141591612746</v>
      </c>
      <c r="BY234" s="1282">
        <f>BY232/BY217</f>
        <v>0.35764701563288259</v>
      </c>
      <c r="BZ234" s="1282">
        <f>BZ232/BZ217</f>
        <v>0.37544632750420776</v>
      </c>
      <c r="CA234" s="1929">
        <f>CA232/CA217</f>
        <v>0.38072006684177995</v>
      </c>
      <c r="CB234" s="1408"/>
    </row>
    <row r="235" spans="2:80" s="7" customFormat="1" ht="14.25" customHeight="1">
      <c r="B235" s="849" t="s">
        <v>582</v>
      </c>
      <c r="C235" s="13"/>
      <c r="D235" s="619"/>
      <c r="E235" s="1280"/>
      <c r="F235" s="1280"/>
      <c r="G235" s="1280"/>
      <c r="H235" s="1280"/>
      <c r="I235" s="1280"/>
      <c r="J235" s="1280"/>
      <c r="K235" s="1280"/>
      <c r="L235" s="1280"/>
      <c r="M235" s="1280"/>
      <c r="N235" s="1280"/>
      <c r="O235" s="1280"/>
      <c r="P235" s="1280"/>
      <c r="Q235" s="1280"/>
      <c r="R235" s="1280"/>
      <c r="S235" s="1280"/>
      <c r="T235" s="1281"/>
      <c r="U235" s="1282"/>
      <c r="V235" s="1283"/>
      <c r="W235" s="1284"/>
      <c r="X235" s="1280"/>
      <c r="Y235" s="1282"/>
      <c r="Z235" s="1283"/>
      <c r="AA235" s="1282"/>
      <c r="AB235" s="20"/>
      <c r="AC235" s="1285"/>
      <c r="AD235" s="1286"/>
      <c r="AE235" s="1287"/>
      <c r="AF235" s="1285"/>
      <c r="AG235" s="1285"/>
      <c r="AH235" s="1285"/>
      <c r="AI235" s="1285"/>
      <c r="AJ235" s="1288"/>
      <c r="AK235" s="1285"/>
      <c r="AL235" s="1285"/>
      <c r="AM235" s="1287"/>
      <c r="AN235" s="1285">
        <f>IS!AN26</f>
        <v>0.34860415175375803</v>
      </c>
      <c r="AO235" s="1285">
        <f>IS!AO26</f>
        <v>0.34559333795975017</v>
      </c>
      <c r="AP235" s="1285">
        <f>IS!AP26</f>
        <v>0.3456962911126662</v>
      </c>
      <c r="AQ235" s="1285">
        <f>IS!AQ26</f>
        <v>0.33736884584342214</v>
      </c>
      <c r="AR235" s="1288">
        <f>IS!AR26</f>
        <v>0.31650485436893205</v>
      </c>
      <c r="AS235" s="1285">
        <f>IS!AS26</f>
        <v>0.28131634819532908</v>
      </c>
      <c r="AT235" s="1285">
        <f>IS!AT26</f>
        <v>0.22525918944392084</v>
      </c>
      <c r="AU235" s="1287">
        <f>IS!AU26</f>
        <v>0.29540709812108562</v>
      </c>
      <c r="AV235" s="1288">
        <f>IS!AV26</f>
        <v>0.32331730769230771</v>
      </c>
      <c r="AW235" s="1285">
        <f>IS!AW26</f>
        <v>0.31061343719571566</v>
      </c>
      <c r="AX235" s="1634">
        <v>0.30527926549349654</v>
      </c>
      <c r="AY235" s="1635">
        <v>0.31735985533453887</v>
      </c>
      <c r="AZ235" s="1818">
        <v>0.34000000000000008</v>
      </c>
      <c r="BA235" s="1285">
        <f>IS!BA26</f>
        <v>0.33060556464811786</v>
      </c>
      <c r="BB235" s="1285">
        <f>IS!BB26</f>
        <v>0.34875228241022521</v>
      </c>
      <c r="BC235" s="1287">
        <f>IS!BC26</f>
        <v>0.34797297297297297</v>
      </c>
      <c r="BD235" s="1288">
        <f>IS!BD26</f>
        <v>0.36247723132969034</v>
      </c>
      <c r="BE235" s="1285">
        <f>IS!BE26</f>
        <v>0.37000000000000005</v>
      </c>
      <c r="BF235" s="1285">
        <f>IS!BF26</f>
        <v>0.37</v>
      </c>
      <c r="BG235" s="1287">
        <f>IS!BG26</f>
        <v>0.37</v>
      </c>
      <c r="BH235" s="1288">
        <f>IS!BH26</f>
        <v>0.37</v>
      </c>
      <c r="BI235" s="1285">
        <f>IS!BI26</f>
        <v>0.38</v>
      </c>
      <c r="BJ235" s="1285">
        <f>IS!BJ26</f>
        <v>0.38000000000000006</v>
      </c>
      <c r="BK235" s="1287">
        <f>IS!BK26</f>
        <v>0.37999999999999995</v>
      </c>
      <c r="BM235" s="20"/>
      <c r="BN235" s="13"/>
      <c r="BO235" s="302"/>
      <c r="BP235" s="302"/>
      <c r="BQ235" s="302"/>
      <c r="BR235" s="302"/>
      <c r="BS235" s="302"/>
      <c r="BT235" s="302"/>
      <c r="BU235" s="302"/>
      <c r="BV235" s="1923"/>
      <c r="BW235" s="302"/>
      <c r="BX235" s="1285">
        <f>IS!BX26</f>
        <v>0.31320224719101125</v>
      </c>
      <c r="BY235" s="1285">
        <f>IS!BY26</f>
        <v>0.34209044848939762</v>
      </c>
      <c r="BZ235" s="1285">
        <f>IS!BZ26</f>
        <v>0.36815932426386588</v>
      </c>
      <c r="CA235" s="1930">
        <f>IS!CA26</f>
        <v>0.3776542209023323</v>
      </c>
      <c r="CB235" s="1408"/>
    </row>
    <row r="236" spans="2:80" s="7" customFormat="1" ht="14.25" customHeight="1">
      <c r="B236" s="849"/>
      <c r="C236" s="13"/>
      <c r="D236" s="619"/>
      <c r="E236" s="1280"/>
      <c r="F236" s="1280"/>
      <c r="G236" s="1280"/>
      <c r="H236" s="1280"/>
      <c r="I236" s="1280"/>
      <c r="J236" s="1280"/>
      <c r="K236" s="1280"/>
      <c r="L236" s="1280"/>
      <c r="M236" s="1280"/>
      <c r="N236" s="1280"/>
      <c r="O236" s="1280"/>
      <c r="P236" s="1280"/>
      <c r="Q236" s="1280"/>
      <c r="R236" s="1280"/>
      <c r="S236" s="1280"/>
      <c r="T236" s="1281"/>
      <c r="U236" s="1282"/>
      <c r="V236" s="1283"/>
      <c r="W236" s="1284"/>
      <c r="X236" s="1280"/>
      <c r="Y236" s="1282"/>
      <c r="Z236" s="1283"/>
      <c r="AA236" s="1282"/>
      <c r="AB236" s="20"/>
      <c r="AC236" s="1285"/>
      <c r="AD236" s="1286"/>
      <c r="AE236" s="1287"/>
      <c r="AF236" s="1285"/>
      <c r="AG236" s="1285"/>
      <c r="AH236" s="1285"/>
      <c r="AI236" s="1285"/>
      <c r="AJ236" s="1288"/>
      <c r="AK236" s="1285"/>
      <c r="AL236" s="1285"/>
      <c r="AM236" s="1287"/>
      <c r="AN236" s="1285"/>
      <c r="AO236" s="1285"/>
      <c r="AP236" s="1285"/>
      <c r="AQ236" s="1285"/>
      <c r="AR236" s="1288"/>
      <c r="AS236" s="1285"/>
      <c r="AT236" s="1285"/>
      <c r="AU236" s="1287"/>
      <c r="AV236" s="1288"/>
      <c r="AW236" s="1285"/>
      <c r="AX236" s="1285"/>
      <c r="AY236" s="1635"/>
      <c r="AZ236" s="1818"/>
      <c r="BA236" s="1285"/>
      <c r="BB236" s="1285"/>
      <c r="BC236" s="1287"/>
      <c r="BD236" s="1288"/>
      <c r="BE236" s="1285"/>
      <c r="BF236" s="1285"/>
      <c r="BG236" s="1287"/>
      <c r="BH236" s="1288"/>
      <c r="BI236" s="1285"/>
      <c r="BJ236" s="1285"/>
      <c r="BK236" s="1287"/>
      <c r="BM236" s="20"/>
      <c r="BN236" s="13"/>
      <c r="BO236" s="302"/>
      <c r="BP236" s="302"/>
      <c r="BQ236" s="302"/>
      <c r="BR236" s="302"/>
      <c r="BS236" s="302"/>
      <c r="BT236" s="302"/>
      <c r="BU236" s="302"/>
      <c r="BV236" s="1923"/>
      <c r="BW236" s="302"/>
      <c r="BX236" s="302"/>
      <c r="BY236" s="302"/>
      <c r="BZ236" s="302"/>
      <c r="CA236" s="1670"/>
      <c r="CB236" s="1408"/>
    </row>
    <row r="237" spans="2:80" s="7" customFormat="1" ht="14.25" customHeight="1">
      <c r="B237" s="849"/>
      <c r="C237" s="13"/>
      <c r="D237" s="619"/>
      <c r="E237" s="1280"/>
      <c r="F237" s="1280"/>
      <c r="G237" s="1280"/>
      <c r="H237" s="1280"/>
      <c r="I237" s="1280"/>
      <c r="J237" s="1280"/>
      <c r="K237" s="1280"/>
      <c r="L237" s="1280"/>
      <c r="M237" s="1280"/>
      <c r="N237" s="1280"/>
      <c r="O237" s="1280"/>
      <c r="P237" s="1280"/>
      <c r="Q237" s="1280"/>
      <c r="R237" s="1280"/>
      <c r="S237" s="1280"/>
      <c r="T237" s="1281"/>
      <c r="U237" s="1282"/>
      <c r="V237" s="1283"/>
      <c r="W237" s="1284"/>
      <c r="X237" s="1280"/>
      <c r="Y237" s="1282"/>
      <c r="Z237" s="1283"/>
      <c r="AA237" s="1282"/>
      <c r="AB237" s="20"/>
      <c r="AC237" s="1285"/>
      <c r="AD237" s="1286"/>
      <c r="AE237" s="1287"/>
      <c r="AF237" s="1285"/>
      <c r="AG237" s="1285"/>
      <c r="AH237" s="1285"/>
      <c r="AI237" s="1285"/>
      <c r="AJ237" s="1288"/>
      <c r="AK237" s="1285"/>
      <c r="AL237" s="1285"/>
      <c r="AM237" s="1287"/>
      <c r="AN237" s="1285"/>
      <c r="AO237" s="1285"/>
      <c r="AP237" s="1285"/>
      <c r="AQ237" s="1287"/>
      <c r="AR237" s="1285"/>
      <c r="AS237" s="1285"/>
      <c r="AT237" s="1285"/>
      <c r="AU237" s="1287"/>
      <c r="AV237" s="1285"/>
      <c r="AW237" s="1285"/>
      <c r="AX237" s="1285"/>
      <c r="AY237" s="1635"/>
      <c r="AZ237" s="1634"/>
      <c r="BA237" s="1285"/>
      <c r="BB237" s="1285"/>
      <c r="BC237" s="1287"/>
      <c r="BD237" s="1285"/>
      <c r="BE237" s="1285"/>
      <c r="BF237" s="1285"/>
      <c r="BG237" s="1287"/>
      <c r="BH237" s="1285"/>
      <c r="BI237" s="1285"/>
      <c r="BJ237" s="1285"/>
      <c r="BK237" s="1287"/>
      <c r="BM237" s="20"/>
      <c r="BN237" s="13"/>
      <c r="BO237" s="302"/>
      <c r="BP237" s="302"/>
      <c r="BQ237" s="302"/>
      <c r="BR237" s="302"/>
      <c r="BS237" s="302"/>
      <c r="BT237" s="302"/>
      <c r="BU237" s="302"/>
      <c r="BV237" s="1923"/>
      <c r="BW237" s="302"/>
      <c r="BX237" s="302"/>
      <c r="BY237" s="302"/>
      <c r="BZ237" s="302"/>
      <c r="CA237" s="1670"/>
      <c r="CB237" s="1408"/>
    </row>
    <row r="238" spans="2:80" s="7" customFormat="1" ht="14.25" customHeight="1">
      <c r="B238" s="849"/>
      <c r="C238" s="13"/>
      <c r="D238" s="619"/>
      <c r="E238" s="1280"/>
      <c r="F238" s="1280"/>
      <c r="G238" s="1280"/>
      <c r="H238" s="1280"/>
      <c r="I238" s="1280"/>
      <c r="J238" s="1280"/>
      <c r="K238" s="1280"/>
      <c r="L238" s="1280"/>
      <c r="M238" s="1280"/>
      <c r="N238" s="1280"/>
      <c r="O238" s="1280"/>
      <c r="P238" s="1280"/>
      <c r="Q238" s="1280"/>
      <c r="R238" s="1280"/>
      <c r="S238" s="1280"/>
      <c r="T238" s="1281"/>
      <c r="U238" s="1282"/>
      <c r="V238" s="1283"/>
      <c r="W238" s="1284"/>
      <c r="X238" s="1280"/>
      <c r="Y238" s="1282"/>
      <c r="Z238" s="1283"/>
      <c r="AA238" s="1282"/>
      <c r="AB238" s="20"/>
      <c r="AC238" s="1285"/>
      <c r="AD238" s="1286"/>
      <c r="AE238" s="1287"/>
      <c r="AF238" s="1285"/>
      <c r="AG238" s="1285"/>
      <c r="AH238" s="1285"/>
      <c r="AI238" s="1285"/>
      <c r="AJ238" s="1288"/>
      <c r="AK238" s="1285"/>
      <c r="AL238" s="1285"/>
      <c r="AM238" s="1287"/>
      <c r="AN238" s="1285"/>
      <c r="AO238" s="1285"/>
      <c r="AP238" s="1285"/>
      <c r="AQ238" s="1287"/>
      <c r="AR238" s="1285"/>
      <c r="AS238" s="1285"/>
      <c r="AT238" s="1285"/>
      <c r="AU238" s="1287"/>
      <c r="AV238" s="1285"/>
      <c r="AW238" s="1285"/>
      <c r="AX238" s="1285"/>
      <c r="AY238" s="1635"/>
      <c r="AZ238" s="1634"/>
      <c r="BA238" s="1285"/>
      <c r="BB238" s="1285"/>
      <c r="BC238" s="1287"/>
      <c r="BD238" s="1285"/>
      <c r="BE238" s="1285"/>
      <c r="BF238" s="1285"/>
      <c r="BG238" s="1287"/>
      <c r="BH238" s="1285"/>
      <c r="BI238" s="1285"/>
      <c r="BJ238" s="1285"/>
      <c r="BK238" s="1287"/>
      <c r="BM238" s="20"/>
      <c r="BN238" s="13"/>
      <c r="BO238" s="302"/>
      <c r="BP238" s="302"/>
      <c r="BQ238" s="302"/>
      <c r="BR238" s="302"/>
      <c r="BS238" s="302"/>
      <c r="BT238" s="302"/>
      <c r="BU238" s="302"/>
      <c r="BV238" s="1923"/>
      <c r="BW238" s="302"/>
      <c r="BX238" s="302"/>
      <c r="BY238" s="302"/>
      <c r="BZ238" s="302"/>
      <c r="CA238" s="1670"/>
      <c r="CB238" s="1408"/>
    </row>
    <row r="239" spans="2:80" s="7" customFormat="1" ht="14.25" customHeight="1">
      <c r="B239" s="849"/>
      <c r="C239" s="13"/>
      <c r="D239" s="619"/>
      <c r="E239" s="1280"/>
      <c r="F239" s="1280"/>
      <c r="G239" s="1280"/>
      <c r="H239" s="1280"/>
      <c r="I239" s="1280"/>
      <c r="J239" s="1280"/>
      <c r="K239" s="1280"/>
      <c r="L239" s="1280"/>
      <c r="M239" s="1280"/>
      <c r="N239" s="1280"/>
      <c r="O239" s="1280"/>
      <c r="P239" s="1280"/>
      <c r="Q239" s="1280"/>
      <c r="R239" s="1280"/>
      <c r="S239" s="1280"/>
      <c r="T239" s="1281"/>
      <c r="U239" s="1282"/>
      <c r="V239" s="1283"/>
      <c r="W239" s="1284"/>
      <c r="X239" s="1280"/>
      <c r="Y239" s="1282"/>
      <c r="Z239" s="1283"/>
      <c r="AA239" s="1282"/>
      <c r="AB239" s="20"/>
      <c r="AC239" s="1285"/>
      <c r="AD239" s="1286"/>
      <c r="AE239" s="1287"/>
      <c r="AF239" s="1285"/>
      <c r="AG239" s="1285"/>
      <c r="AH239" s="1285"/>
      <c r="AI239" s="1285"/>
      <c r="AJ239" s="1288"/>
      <c r="AK239" s="1285"/>
      <c r="AL239" s="1285"/>
      <c r="AM239" s="1287"/>
      <c r="AN239" s="1285"/>
      <c r="AO239" s="1285"/>
      <c r="AP239" s="1285"/>
      <c r="AQ239" s="1287"/>
      <c r="AR239" s="1285"/>
      <c r="AS239" s="1285"/>
      <c r="AT239" s="1285"/>
      <c r="AU239" s="1287"/>
      <c r="AV239" s="1285"/>
      <c r="AW239" s="1285"/>
      <c r="AX239" s="1285"/>
      <c r="AY239" s="1635"/>
      <c r="AZ239" s="1634"/>
      <c r="BA239" s="1285"/>
      <c r="BB239" s="1285"/>
      <c r="BC239" s="1287"/>
      <c r="BD239" s="1285"/>
      <c r="BE239" s="1285"/>
      <c r="BF239" s="1285"/>
      <c r="BG239" s="1287"/>
      <c r="BH239" s="1285"/>
      <c r="BI239" s="1285"/>
      <c r="BJ239" s="1285"/>
      <c r="BK239" s="1287"/>
      <c r="BM239" s="20"/>
      <c r="BN239" s="13"/>
      <c r="BO239" s="302"/>
      <c r="BP239" s="302"/>
      <c r="BQ239" s="302"/>
      <c r="BR239" s="302"/>
      <c r="BS239" s="302"/>
      <c r="BT239" s="302"/>
      <c r="BU239" s="302"/>
      <c r="BV239" s="1923"/>
      <c r="BW239" s="302"/>
      <c r="BX239" s="302"/>
      <c r="BY239" s="302"/>
      <c r="BZ239" s="302"/>
      <c r="CA239" s="1670"/>
      <c r="CB239" s="1408"/>
    </row>
    <row r="240" spans="2:80" s="7" customFormat="1" ht="14.25" customHeight="1">
      <c r="B240" s="849"/>
      <c r="C240" s="13"/>
      <c r="D240" s="619"/>
      <c r="E240" s="1280"/>
      <c r="F240" s="1280"/>
      <c r="G240" s="1280"/>
      <c r="H240" s="1280"/>
      <c r="I240" s="1280"/>
      <c r="J240" s="1280"/>
      <c r="K240" s="1280"/>
      <c r="L240" s="1280"/>
      <c r="M240" s="1280"/>
      <c r="N240" s="1280"/>
      <c r="O240" s="1280"/>
      <c r="P240" s="1280"/>
      <c r="Q240" s="1280"/>
      <c r="R240" s="1280"/>
      <c r="S240" s="1280"/>
      <c r="T240" s="1281"/>
      <c r="U240" s="1282"/>
      <c r="V240" s="1283"/>
      <c r="W240" s="1284"/>
      <c r="X240" s="1280"/>
      <c r="Y240" s="1282"/>
      <c r="Z240" s="1283"/>
      <c r="AA240" s="1282"/>
      <c r="AB240" s="20"/>
      <c r="AC240" s="1285"/>
      <c r="AD240" s="1286"/>
      <c r="AE240" s="1287"/>
      <c r="AF240" s="1285"/>
      <c r="AG240" s="1285"/>
      <c r="AH240" s="1285"/>
      <c r="AI240" s="1285"/>
      <c r="AJ240" s="1288"/>
      <c r="AK240" s="1285"/>
      <c r="AL240" s="1285"/>
      <c r="AM240" s="1287"/>
      <c r="AN240" s="1285"/>
      <c r="AO240" s="1285"/>
      <c r="AP240" s="1285"/>
      <c r="AQ240" s="1287"/>
      <c r="AR240" s="1285"/>
      <c r="AS240" s="1285"/>
      <c r="AT240" s="1285"/>
      <c r="AU240" s="1287"/>
      <c r="AV240" s="1285"/>
      <c r="AW240" s="1285"/>
      <c r="AX240" s="1285"/>
      <c r="AY240" s="1635"/>
      <c r="AZ240" s="1634"/>
      <c r="BA240" s="1285"/>
      <c r="BB240" s="1285"/>
      <c r="BC240" s="1287"/>
      <c r="BD240" s="1285"/>
      <c r="BE240" s="1285"/>
      <c r="BF240" s="1285"/>
      <c r="BG240" s="1287"/>
      <c r="BH240" s="1285"/>
      <c r="BI240" s="1285"/>
      <c r="BJ240" s="1285"/>
      <c r="BK240" s="1287"/>
      <c r="BM240" s="20"/>
      <c r="BN240" s="13"/>
      <c r="BO240" s="302"/>
      <c r="BP240" s="302"/>
      <c r="BQ240" s="302"/>
      <c r="BR240" s="302"/>
      <c r="BS240" s="302"/>
      <c r="BT240" s="302"/>
      <c r="BU240" s="302"/>
      <c r="BV240" s="1923"/>
      <c r="BW240" s="302"/>
      <c r="BX240" s="302"/>
      <c r="BY240" s="302"/>
      <c r="BZ240" s="302"/>
      <c r="CA240" s="1670"/>
      <c r="CB240" s="1408"/>
    </row>
    <row r="241" spans="2:80" s="7" customFormat="1" ht="14.25" customHeight="1">
      <c r="B241" s="849"/>
      <c r="C241" s="13"/>
      <c r="D241" s="619"/>
      <c r="E241" s="1280"/>
      <c r="F241" s="1280"/>
      <c r="G241" s="1280"/>
      <c r="H241" s="1280"/>
      <c r="I241" s="1280"/>
      <c r="J241" s="1280"/>
      <c r="K241" s="1280"/>
      <c r="L241" s="1280"/>
      <c r="M241" s="1280"/>
      <c r="N241" s="1280"/>
      <c r="O241" s="1280"/>
      <c r="P241" s="1280"/>
      <c r="Q241" s="1280"/>
      <c r="R241" s="1280"/>
      <c r="S241" s="1280"/>
      <c r="T241" s="1281"/>
      <c r="U241" s="1282"/>
      <c r="V241" s="1283"/>
      <c r="W241" s="1284"/>
      <c r="X241" s="1280"/>
      <c r="Y241" s="1282"/>
      <c r="Z241" s="1283"/>
      <c r="AA241" s="1282"/>
      <c r="AB241" s="20"/>
      <c r="AC241" s="1285"/>
      <c r="AD241" s="1286"/>
      <c r="AE241" s="1287"/>
      <c r="AF241" s="1285"/>
      <c r="AG241" s="1285"/>
      <c r="AH241" s="1285"/>
      <c r="AI241" s="1285"/>
      <c r="AJ241" s="1288"/>
      <c r="AK241" s="1285"/>
      <c r="AL241" s="1285"/>
      <c r="AM241" s="1287"/>
      <c r="AN241" s="1285"/>
      <c r="AO241" s="1285"/>
      <c r="AP241" s="1285"/>
      <c r="AQ241" s="1287"/>
      <c r="AR241" s="1285"/>
      <c r="AS241" s="1285"/>
      <c r="AT241" s="1285"/>
      <c r="AU241" s="1287"/>
      <c r="AV241" s="1285"/>
      <c r="AW241" s="1285"/>
      <c r="AX241" s="1285"/>
      <c r="AY241" s="1635"/>
      <c r="AZ241" s="1634"/>
      <c r="BA241" s="1285"/>
      <c r="BB241" s="1285"/>
      <c r="BC241" s="1287"/>
      <c r="BD241" s="1285"/>
      <c r="BE241" s="1285"/>
      <c r="BF241" s="1285"/>
      <c r="BG241" s="1287"/>
      <c r="BH241" s="1285"/>
      <c r="BI241" s="1285"/>
      <c r="BJ241" s="1285"/>
      <c r="BK241" s="1287"/>
      <c r="BM241" s="20"/>
      <c r="BN241" s="13"/>
      <c r="BO241" s="302"/>
      <c r="BP241" s="302"/>
      <c r="BQ241" s="302"/>
      <c r="BR241" s="302"/>
      <c r="BS241" s="302"/>
      <c r="BT241" s="302"/>
      <c r="BU241" s="302"/>
      <c r="BV241" s="1923"/>
      <c r="BW241" s="302"/>
      <c r="BX241" s="302"/>
      <c r="BY241" s="302"/>
      <c r="BZ241" s="302"/>
      <c r="CA241" s="1670"/>
      <c r="CB241" s="1408"/>
    </row>
    <row r="242" spans="2:80" s="7" customFormat="1" ht="14.25" customHeight="1">
      <c r="B242" s="849"/>
      <c r="C242" s="13"/>
      <c r="D242" s="619"/>
      <c r="E242" s="1280"/>
      <c r="F242" s="1280"/>
      <c r="G242" s="1280"/>
      <c r="H242" s="1280"/>
      <c r="I242" s="1280"/>
      <c r="J242" s="1280"/>
      <c r="K242" s="1280"/>
      <c r="L242" s="1280"/>
      <c r="M242" s="1280"/>
      <c r="N242" s="1280"/>
      <c r="O242" s="1280"/>
      <c r="P242" s="1280"/>
      <c r="Q242" s="1280"/>
      <c r="R242" s="1280"/>
      <c r="S242" s="1280"/>
      <c r="T242" s="1281"/>
      <c r="U242" s="1282"/>
      <c r="V242" s="1283"/>
      <c r="W242" s="1284"/>
      <c r="X242" s="1280"/>
      <c r="Y242" s="1282"/>
      <c r="Z242" s="1283"/>
      <c r="AA242" s="1282"/>
      <c r="AB242" s="20"/>
      <c r="AC242" s="1285"/>
      <c r="AD242" s="1286"/>
      <c r="AE242" s="1287"/>
      <c r="AF242" s="1285"/>
      <c r="AG242" s="1285"/>
      <c r="AH242" s="1285"/>
      <c r="AI242" s="1285"/>
      <c r="AJ242" s="1288"/>
      <c r="AK242" s="1285"/>
      <c r="AL242" s="1285"/>
      <c r="AM242" s="1287"/>
      <c r="AN242" s="1285"/>
      <c r="AO242" s="1285"/>
      <c r="AP242" s="1285"/>
      <c r="AQ242" s="1287"/>
      <c r="AR242" s="1285"/>
      <c r="AS242" s="1285"/>
      <c r="AT242" s="1285"/>
      <c r="AU242" s="1287"/>
      <c r="AV242" s="1285"/>
      <c r="AW242" s="1285"/>
      <c r="AX242" s="1285"/>
      <c r="AY242" s="1635"/>
      <c r="AZ242" s="1634"/>
      <c r="BA242" s="1285"/>
      <c r="BB242" s="1285"/>
      <c r="BC242" s="1287"/>
      <c r="BD242" s="1285"/>
      <c r="BE242" s="1285"/>
      <c r="BF242" s="1285"/>
      <c r="BG242" s="1287"/>
      <c r="BH242" s="1285"/>
      <c r="BI242" s="1285"/>
      <c r="BJ242" s="1285"/>
      <c r="BK242" s="1287"/>
      <c r="BM242" s="20"/>
      <c r="BN242" s="13"/>
      <c r="BO242" s="302"/>
      <c r="BP242" s="302"/>
      <c r="BQ242" s="302"/>
      <c r="BR242" s="302"/>
      <c r="BS242" s="302"/>
      <c r="BT242" s="302"/>
      <c r="BU242" s="302"/>
      <c r="BV242" s="1923"/>
      <c r="BW242" s="302"/>
      <c r="BX242" s="302"/>
      <c r="BY242" s="302"/>
      <c r="BZ242" s="302"/>
      <c r="CA242" s="1670"/>
      <c r="CB242" s="1408"/>
    </row>
    <row r="243" spans="2:80" s="7" customFormat="1" ht="14.25" customHeight="1">
      <c r="B243" s="849" t="s">
        <v>399</v>
      </c>
      <c r="C243" s="13"/>
      <c r="D243" s="619"/>
      <c r="E243" s="1280"/>
      <c r="F243" s="1280"/>
      <c r="G243" s="1280"/>
      <c r="H243" s="1280"/>
      <c r="I243" s="1280"/>
      <c r="J243" s="1280"/>
      <c r="K243" s="1280"/>
      <c r="L243" s="1280"/>
      <c r="M243" s="1280"/>
      <c r="N243" s="1280"/>
      <c r="O243" s="1280"/>
      <c r="P243" s="1280"/>
      <c r="Q243" s="1280"/>
      <c r="R243" s="1280"/>
      <c r="S243" s="1280"/>
      <c r="T243" s="1281"/>
      <c r="U243" s="1282"/>
      <c r="V243" s="1282"/>
      <c r="W243" s="1284"/>
      <c r="X243" s="1280"/>
      <c r="Y243" s="1282"/>
      <c r="Z243" s="1282"/>
      <c r="AA243" s="1282"/>
      <c r="AB243" s="20"/>
      <c r="AC243" s="1285"/>
      <c r="AD243" s="1285"/>
      <c r="AE243" s="1287"/>
      <c r="AF243" s="1289">
        <f>+IS!AF9</f>
        <v>1585</v>
      </c>
      <c r="AG243" s="1289">
        <f>+IS!AG9</f>
        <v>1413</v>
      </c>
      <c r="AH243" s="1289">
        <f>+IS!AH9</f>
        <v>1269</v>
      </c>
      <c r="AI243" s="1289">
        <f>+IS!AI9</f>
        <v>1155</v>
      </c>
      <c r="AJ243" s="1290">
        <f>+IS!AJ9</f>
        <v>1088</v>
      </c>
      <c r="AK243" s="1289">
        <f>+IS!AK9</f>
        <v>1161</v>
      </c>
      <c r="AL243" s="1289">
        <f>+IS!AL9</f>
        <v>1461</v>
      </c>
      <c r="AM243" s="1287"/>
      <c r="AN243" s="1285"/>
      <c r="AO243" s="1285"/>
      <c r="AP243" s="1285"/>
      <c r="AQ243" s="1287"/>
      <c r="AR243" s="1285"/>
      <c r="AS243" s="1285"/>
      <c r="AT243" s="1285"/>
      <c r="AU243" s="1287"/>
      <c r="AV243" s="1285"/>
      <c r="AW243" s="1285"/>
      <c r="AX243" s="1285"/>
      <c r="AY243" s="1635"/>
      <c r="AZ243" s="1634"/>
      <c r="BA243" s="1285"/>
      <c r="BB243" s="1285"/>
      <c r="BC243" s="1287"/>
      <c r="BD243" s="1285"/>
      <c r="BE243" s="1285"/>
      <c r="BF243" s="1285"/>
      <c r="BG243" s="1287"/>
      <c r="BH243" s="1285"/>
      <c r="BI243" s="1285"/>
      <c r="BJ243" s="1285"/>
      <c r="BK243" s="1287"/>
      <c r="BM243" s="20"/>
      <c r="BN243" s="13"/>
      <c r="BO243" s="302"/>
      <c r="BP243" s="302"/>
      <c r="BQ243" s="302"/>
      <c r="BR243" s="302"/>
      <c r="BS243" s="302"/>
      <c r="BT243" s="302">
        <f>SUM(AF243:AI243)</f>
        <v>5422</v>
      </c>
      <c r="BU243" s="302">
        <f>SUM(AJ243:AM243)</f>
        <v>3710</v>
      </c>
      <c r="BV243" s="1923">
        <f>+SUM(AN243:AQ243)</f>
        <v>0</v>
      </c>
      <c r="BW243" s="302">
        <f>+SUM(AR243:AU243)</f>
        <v>0</v>
      </c>
      <c r="BX243" s="1420"/>
      <c r="BY243" s="302"/>
      <c r="BZ243" s="302"/>
      <c r="CA243" s="1670"/>
      <c r="CB243" s="1408"/>
    </row>
    <row r="244" spans="2:80" s="415" customFormat="1" ht="14.25" customHeight="1">
      <c r="B244" s="850" t="s">
        <v>498</v>
      </c>
      <c r="C244" s="440"/>
      <c r="D244" s="1452"/>
      <c r="E244" s="1291"/>
      <c r="F244" s="1291"/>
      <c r="G244" s="1291"/>
      <c r="H244" s="1291"/>
      <c r="I244" s="1291"/>
      <c r="J244" s="1291"/>
      <c r="K244" s="1291"/>
      <c r="L244" s="1291"/>
      <c r="M244" s="1291"/>
      <c r="N244" s="1291"/>
      <c r="O244" s="1291"/>
      <c r="P244" s="1291"/>
      <c r="Q244" s="1291"/>
      <c r="R244" s="1291"/>
      <c r="S244" s="1291"/>
      <c r="T244" s="1292"/>
      <c r="U244" s="1293"/>
      <c r="V244" s="1293"/>
      <c r="W244" s="1294"/>
      <c r="X244" s="1291"/>
      <c r="Y244" s="1293"/>
      <c r="Z244" s="1293"/>
      <c r="AA244" s="1293"/>
      <c r="AB244" s="422"/>
      <c r="AC244" s="1295"/>
      <c r="AD244" s="1295"/>
      <c r="AE244" s="1296"/>
      <c r="AF244" s="1297">
        <v>0</v>
      </c>
      <c r="AG244" s="1297">
        <v>0</v>
      </c>
      <c r="AH244" s="1297">
        <v>0</v>
      </c>
      <c r="AI244" s="1297">
        <v>0</v>
      </c>
      <c r="AJ244" s="1298">
        <v>20</v>
      </c>
      <c r="AK244" s="1297">
        <v>11</v>
      </c>
      <c r="AL244" s="1297">
        <v>11</v>
      </c>
      <c r="AM244" s="1296"/>
      <c r="AN244" s="1295"/>
      <c r="AO244" s="1295"/>
      <c r="AP244" s="1295"/>
      <c r="AQ244" s="1296"/>
      <c r="AR244" s="1295"/>
      <c r="AS244" s="1295"/>
      <c r="AT244" s="1295"/>
      <c r="AU244" s="1296"/>
      <c r="AV244" s="1295"/>
      <c r="AW244" s="1295"/>
      <c r="AX244" s="1295"/>
      <c r="AY244" s="1684"/>
      <c r="AZ244" s="1820"/>
      <c r="BA244" s="1295"/>
      <c r="BB244" s="1295"/>
      <c r="BC244" s="1296"/>
      <c r="BD244" s="1295"/>
      <c r="BE244" s="1295"/>
      <c r="BF244" s="1295"/>
      <c r="BG244" s="1296"/>
      <c r="BH244" s="1295"/>
      <c r="BI244" s="1295"/>
      <c r="BJ244" s="1295"/>
      <c r="BK244" s="1296"/>
      <c r="BM244" s="422"/>
      <c r="BN244" s="440"/>
      <c r="BO244" s="443"/>
      <c r="BP244" s="443"/>
      <c r="BQ244" s="443"/>
      <c r="BR244" s="443"/>
      <c r="BS244" s="443"/>
      <c r="BT244" s="443">
        <f>SUM(AF244:AI244)</f>
        <v>0</v>
      </c>
      <c r="BU244" s="443">
        <f>SUM(AJ244:AM244)</f>
        <v>42</v>
      </c>
      <c r="BV244" s="1931">
        <f>+SUM(AN244:AQ244)</f>
        <v>0</v>
      </c>
      <c r="BW244" s="443">
        <f>+SUM(AR244:AU244)</f>
        <v>0</v>
      </c>
      <c r="BX244" s="1421"/>
      <c r="BY244" s="302"/>
      <c r="BZ244" s="302"/>
      <c r="CA244" s="1670"/>
      <c r="CB244" s="1408"/>
    </row>
    <row r="245" spans="2:80" s="7" customFormat="1" ht="14.25" customHeight="1">
      <c r="B245" s="849" t="s">
        <v>488</v>
      </c>
      <c r="C245" s="13"/>
      <c r="D245" s="619"/>
      <c r="E245" s="1280"/>
      <c r="F245" s="1280"/>
      <c r="G245" s="1280"/>
      <c r="H245" s="1280"/>
      <c r="I245" s="1280"/>
      <c r="J245" s="1280"/>
      <c r="K245" s="1280"/>
      <c r="L245" s="1280"/>
      <c r="M245" s="1280"/>
      <c r="N245" s="1280"/>
      <c r="O245" s="1280"/>
      <c r="P245" s="1280"/>
      <c r="Q245" s="1280"/>
      <c r="R245" s="1280"/>
      <c r="S245" s="1280"/>
      <c r="T245" s="1281"/>
      <c r="U245" s="1282"/>
      <c r="V245" s="1282"/>
      <c r="W245" s="1284"/>
      <c r="X245" s="1280"/>
      <c r="Y245" s="1282"/>
      <c r="Z245" s="1282"/>
      <c r="AA245" s="1282"/>
      <c r="AB245" s="20"/>
      <c r="AC245" s="1285"/>
      <c r="AD245" s="1285"/>
      <c r="AE245" s="1287"/>
      <c r="AF245" s="1289">
        <f t="shared" ref="AF245:AL245" si="1055">+AF243-AF244</f>
        <v>1585</v>
      </c>
      <c r="AG245" s="1289">
        <f t="shared" si="1055"/>
        <v>1413</v>
      </c>
      <c r="AH245" s="1289">
        <f t="shared" si="1055"/>
        <v>1269</v>
      </c>
      <c r="AI245" s="1289">
        <f t="shared" si="1055"/>
        <v>1155</v>
      </c>
      <c r="AJ245" s="1290">
        <f t="shared" si="1055"/>
        <v>1068</v>
      </c>
      <c r="AK245" s="1289">
        <f t="shared" si="1055"/>
        <v>1150</v>
      </c>
      <c r="AL245" s="1289">
        <f t="shared" si="1055"/>
        <v>1450</v>
      </c>
      <c r="AM245" s="1299">
        <f t="shared" ref="AM245:AU245" si="1056">+AM202</f>
        <v>1644.0036499999997</v>
      </c>
      <c r="AN245" s="1289">
        <f t="shared" si="1056"/>
        <v>1397</v>
      </c>
      <c r="AO245" s="1289">
        <f t="shared" si="1056"/>
        <v>1441</v>
      </c>
      <c r="AP245" s="1289">
        <f t="shared" si="1056"/>
        <v>1429.0000000000002</v>
      </c>
      <c r="AQ245" s="1299">
        <f t="shared" si="1056"/>
        <v>1238.9999999999998</v>
      </c>
      <c r="AR245" s="1289">
        <f t="shared" si="1056"/>
        <v>1030</v>
      </c>
      <c r="AS245" s="1289">
        <f t="shared" si="1056"/>
        <v>942.00000000000011</v>
      </c>
      <c r="AT245" s="1289">
        <f t="shared" si="1056"/>
        <v>1061.0000000000005</v>
      </c>
      <c r="AU245" s="1299">
        <f t="shared" si="1056"/>
        <v>958</v>
      </c>
      <c r="AV245" s="1289"/>
      <c r="AW245" s="1289"/>
      <c r="AX245" s="1289"/>
      <c r="AY245" s="1685"/>
      <c r="AZ245" s="1289"/>
      <c r="BA245" s="1289"/>
      <c r="BB245" s="1289"/>
      <c r="BC245" s="1299"/>
      <c r="BD245" s="1289"/>
      <c r="BE245" s="1289"/>
      <c r="BF245" s="1289"/>
      <c r="BG245" s="1299"/>
      <c r="BH245" s="1289"/>
      <c r="BI245" s="1289"/>
      <c r="BJ245" s="1289"/>
      <c r="BK245" s="1299"/>
      <c r="BM245" s="20"/>
      <c r="BN245" s="13"/>
      <c r="BO245" s="302"/>
      <c r="BP245" s="302"/>
      <c r="BQ245" s="302"/>
      <c r="BR245" s="302"/>
      <c r="BS245" s="302"/>
      <c r="BT245" s="302">
        <f>SUM(AF245:AI245)</f>
        <v>5422</v>
      </c>
      <c r="BU245" s="302">
        <f>SUM(AJ245:AM245)</f>
        <v>5312.0036499999997</v>
      </c>
      <c r="BV245" s="1923">
        <f>+SUM(AN245:AQ245)</f>
        <v>5506</v>
      </c>
      <c r="BW245" s="302">
        <f>+SUM(AR245:AU245)</f>
        <v>3991.0000000000005</v>
      </c>
      <c r="BX245" s="1420"/>
      <c r="BY245" s="302"/>
      <c r="BZ245" s="302"/>
      <c r="CA245" s="1670"/>
      <c r="CB245" s="1408"/>
    </row>
    <row r="246" spans="2:80" s="7" customFormat="1" ht="14.25" customHeight="1">
      <c r="B246" s="849"/>
      <c r="C246" s="13"/>
      <c r="D246" s="619"/>
      <c r="E246" s="1280"/>
      <c r="F246" s="1280"/>
      <c r="G246" s="1280"/>
      <c r="H246" s="1280"/>
      <c r="I246" s="1280"/>
      <c r="J246" s="1280"/>
      <c r="K246" s="1280"/>
      <c r="L246" s="1280"/>
      <c r="M246" s="1280"/>
      <c r="N246" s="1280"/>
      <c r="O246" s="1280"/>
      <c r="P246" s="1280"/>
      <c r="Q246" s="1280"/>
      <c r="R246" s="1280"/>
      <c r="S246" s="1280"/>
      <c r="T246" s="1281"/>
      <c r="U246" s="1282"/>
      <c r="V246" s="1282"/>
      <c r="W246" s="1284"/>
      <c r="X246" s="1280"/>
      <c r="Y246" s="1282"/>
      <c r="Z246" s="1282"/>
      <c r="AA246" s="1282"/>
      <c r="AB246" s="20"/>
      <c r="AC246" s="1285"/>
      <c r="AD246" s="1285"/>
      <c r="AE246" s="1287"/>
      <c r="AF246" s="1289"/>
      <c r="AG246" s="1289"/>
      <c r="AH246" s="1289"/>
      <c r="AI246" s="1289"/>
      <c r="AJ246" s="1290"/>
      <c r="AK246" s="1289"/>
      <c r="AL246" s="1285"/>
      <c r="AM246" s="1287"/>
      <c r="AN246" s="1285"/>
      <c r="AO246" s="1285"/>
      <c r="AP246" s="1285"/>
      <c r="AQ246" s="1287"/>
      <c r="AR246" s="1285"/>
      <c r="AS246" s="1285"/>
      <c r="AT246" s="1285"/>
      <c r="AU246" s="1287"/>
      <c r="AV246" s="1285"/>
      <c r="AW246" s="1285"/>
      <c r="AX246" s="1285"/>
      <c r="AY246" s="1635"/>
      <c r="AZ246" s="1634"/>
      <c r="BA246" s="1285"/>
      <c r="BB246" s="1285"/>
      <c r="BC246" s="1287"/>
      <c r="BD246" s="1285"/>
      <c r="BE246" s="1285"/>
      <c r="BF246" s="1285"/>
      <c r="BG246" s="1287"/>
      <c r="BH246" s="1285"/>
      <c r="BI246" s="1285"/>
      <c r="BJ246" s="1285"/>
      <c r="BK246" s="1287"/>
      <c r="BM246" s="20"/>
      <c r="BN246" s="13"/>
      <c r="BO246" s="302"/>
      <c r="BP246" s="302"/>
      <c r="BQ246" s="302"/>
      <c r="BR246" s="302"/>
      <c r="BS246" s="302"/>
      <c r="BT246" s="302"/>
      <c r="BU246" s="302"/>
      <c r="BV246" s="1923"/>
      <c r="BW246" s="302"/>
      <c r="BX246" s="1420"/>
      <c r="BY246" s="302"/>
      <c r="BZ246" s="302"/>
      <c r="CA246" s="1670"/>
      <c r="CB246" s="1408"/>
    </row>
    <row r="247" spans="2:80" s="7" customFormat="1" ht="14.25" customHeight="1">
      <c r="B247" s="849" t="s">
        <v>486</v>
      </c>
      <c r="C247" s="13"/>
      <c r="D247" s="619"/>
      <c r="E247" s="1280"/>
      <c r="F247" s="1280"/>
      <c r="G247" s="1280"/>
      <c r="H247" s="1280"/>
      <c r="I247" s="1280"/>
      <c r="J247" s="1280"/>
      <c r="K247" s="1280"/>
      <c r="L247" s="1280"/>
      <c r="M247" s="1280"/>
      <c r="N247" s="1280"/>
      <c r="O247" s="1280"/>
      <c r="P247" s="1280"/>
      <c r="Q247" s="1280"/>
      <c r="R247" s="1280"/>
      <c r="S247" s="1280"/>
      <c r="T247" s="1281"/>
      <c r="U247" s="1282"/>
      <c r="V247" s="1282"/>
      <c r="W247" s="1284"/>
      <c r="X247" s="1280"/>
      <c r="Y247" s="1282"/>
      <c r="Z247" s="1282"/>
      <c r="AA247" s="1282"/>
      <c r="AB247" s="20"/>
      <c r="AC247" s="1285"/>
      <c r="AD247" s="1285"/>
      <c r="AE247" s="1287"/>
      <c r="AF247" s="1282">
        <f>+IS!AF21</f>
        <v>1.7034700315457414E-2</v>
      </c>
      <c r="AG247" s="1322">
        <f>+IS!AG21</f>
        <v>0.45152158527954706</v>
      </c>
      <c r="AH247" s="1322">
        <f>+IS!AH21</f>
        <v>0.30890464933018125</v>
      </c>
      <c r="AI247" s="1322">
        <f>+IS!AI21</f>
        <v>0.15411255411255412</v>
      </c>
      <c r="AJ247" s="1323">
        <f>+IS!AJ21</f>
        <v>0.40900735294117646</v>
      </c>
      <c r="AK247" s="1322">
        <f>+IS!AK21</f>
        <v>0.39534883720930231</v>
      </c>
      <c r="AL247" s="1322">
        <f>+IS!AL21</f>
        <v>0.35660506502395617</v>
      </c>
      <c r="AM247" s="1324">
        <f>+IS!AM21</f>
        <v>0.34801762114537443</v>
      </c>
      <c r="AN247" s="1322">
        <f>+IS!AN21</f>
        <v>0.34860415175375803</v>
      </c>
      <c r="AO247" s="1322">
        <f>+IS!AO21</f>
        <v>0.34559333795975017</v>
      </c>
      <c r="AP247" s="1322">
        <f>+IS!AP21</f>
        <v>0.3456962911126662</v>
      </c>
      <c r="AQ247" s="1324">
        <f>+IS!AQ21</f>
        <v>0.29055690072639223</v>
      </c>
      <c r="AR247" s="1322">
        <f>+IS!AR21</f>
        <v>0.31650485436893205</v>
      </c>
      <c r="AS247" s="1322">
        <f>+IS!AS21</f>
        <v>0.24628450106157113</v>
      </c>
      <c r="AT247" s="1322">
        <f>+IS!AT21</f>
        <v>0.22525918944392084</v>
      </c>
      <c r="AU247" s="1324">
        <f>+IS!AU21</f>
        <v>0.29540709812108562</v>
      </c>
      <c r="AV247" s="1322"/>
      <c r="AW247" s="1322"/>
      <c r="AX247" s="1322"/>
      <c r="AY247" s="1686"/>
      <c r="AZ247" s="1821"/>
      <c r="BA247" s="1322"/>
      <c r="BB247" s="1322"/>
      <c r="BC247" s="1324"/>
      <c r="BD247" s="1322"/>
      <c r="BE247" s="1322"/>
      <c r="BF247" s="1322"/>
      <c r="BG247" s="1324"/>
      <c r="BH247" s="1322"/>
      <c r="BI247" s="1322"/>
      <c r="BJ247" s="1322"/>
      <c r="BK247" s="1324"/>
      <c r="BM247" s="20"/>
      <c r="BN247" s="13"/>
      <c r="BO247" s="302"/>
      <c r="BP247" s="302"/>
      <c r="BQ247" s="302"/>
      <c r="BR247" s="302"/>
      <c r="BS247" s="302"/>
      <c r="BT247" s="302"/>
      <c r="BU247" s="302"/>
      <c r="BV247" s="1923"/>
      <c r="BW247" s="302"/>
      <c r="BX247" s="1420"/>
      <c r="BY247" s="302"/>
      <c r="BZ247" s="302"/>
      <c r="CA247" s="1670"/>
      <c r="CB247" s="1408"/>
    </row>
    <row r="248" spans="2:80" s="7" customFormat="1" ht="14.25" customHeight="1">
      <c r="B248" s="849" t="s">
        <v>451</v>
      </c>
      <c r="C248" s="13"/>
      <c r="D248" s="619"/>
      <c r="E248" s="1280"/>
      <c r="F248" s="1280"/>
      <c r="G248" s="1280"/>
      <c r="H248" s="1280"/>
      <c r="I248" s="1280"/>
      <c r="J248" s="1280"/>
      <c r="K248" s="1280"/>
      <c r="L248" s="1280"/>
      <c r="M248" s="1280"/>
      <c r="N248" s="1280"/>
      <c r="O248" s="1280"/>
      <c r="P248" s="1280"/>
      <c r="Q248" s="1280"/>
      <c r="R248" s="1280"/>
      <c r="S248" s="1280"/>
      <c r="T248" s="1281"/>
      <c r="U248" s="1282"/>
      <c r="V248" s="1282"/>
      <c r="W248" s="1284"/>
      <c r="X248" s="1280"/>
      <c r="Y248" s="1282"/>
      <c r="Z248" s="1282"/>
      <c r="AA248" s="1282"/>
      <c r="AB248" s="20"/>
      <c r="AC248" s="1285"/>
      <c r="AD248" s="1285"/>
      <c r="AE248" s="1287"/>
      <c r="AF248" s="1289">
        <f>+IS!AF14</f>
        <v>1558</v>
      </c>
      <c r="AG248" s="1289">
        <f>+IS!AG14</f>
        <v>775</v>
      </c>
      <c r="AH248" s="1289">
        <f>+IS!AH14</f>
        <v>877</v>
      </c>
      <c r="AI248" s="1289">
        <f>+IS!AI14</f>
        <v>977</v>
      </c>
      <c r="AJ248" s="1290">
        <f>+IS!AJ14</f>
        <v>643</v>
      </c>
      <c r="AK248" s="1289">
        <f>+IS!AK14</f>
        <v>702</v>
      </c>
      <c r="AL248" s="1289">
        <f>+IS!AL14</f>
        <v>940</v>
      </c>
      <c r="AM248" s="1299">
        <f>+IS!AM14</f>
        <v>1036</v>
      </c>
      <c r="AN248" s="1289">
        <f>+IS!AN14</f>
        <v>910</v>
      </c>
      <c r="AO248" s="1289">
        <f>+IS!AO14</f>
        <v>943</v>
      </c>
      <c r="AP248" s="1289">
        <f>+IS!AP14</f>
        <v>935</v>
      </c>
      <c r="AQ248" s="1289">
        <f>+IS!AQ14</f>
        <v>879</v>
      </c>
      <c r="AR248" s="1290">
        <f>+IS!AR14</f>
        <v>704</v>
      </c>
      <c r="AS248" s="1289">
        <f>+IS!AS14</f>
        <v>710</v>
      </c>
      <c r="AT248" s="1289">
        <f>+IS!AT14</f>
        <v>822</v>
      </c>
      <c r="AU248" s="1299">
        <f>+IS!AU14</f>
        <v>675</v>
      </c>
      <c r="AV248" s="1290"/>
      <c r="AW248" s="1289"/>
      <c r="AX248" s="1289"/>
      <c r="AY248" s="1685"/>
      <c r="AZ248" s="1290"/>
      <c r="BA248" s="1289"/>
      <c r="BB248" s="1289"/>
      <c r="BC248" s="1299"/>
      <c r="BD248" s="1290"/>
      <c r="BE248" s="1289"/>
      <c r="BF248" s="1289"/>
      <c r="BG248" s="1299"/>
      <c r="BH248" s="1290"/>
      <c r="BI248" s="1289"/>
      <c r="BJ248" s="1289"/>
      <c r="BK248" s="1299"/>
      <c r="BM248" s="20"/>
      <c r="BN248" s="13"/>
      <c r="BO248" s="302"/>
      <c r="BP248" s="302"/>
      <c r="BQ248" s="302"/>
      <c r="BR248" s="302"/>
      <c r="BS248" s="302"/>
      <c r="BT248" s="302">
        <f>SUM(AF248:AI248)</f>
        <v>4187</v>
      </c>
      <c r="BU248" s="302">
        <f>SUM(AJ248:AM248)</f>
        <v>3321</v>
      </c>
      <c r="BV248" s="1923">
        <f>+SUM(AN248:AQ248)</f>
        <v>3667</v>
      </c>
      <c r="BW248" s="302">
        <f>+SUM(AR248:AU248)</f>
        <v>2911</v>
      </c>
      <c r="BX248" s="1420"/>
      <c r="BY248" s="302"/>
      <c r="BZ248" s="302"/>
      <c r="CA248" s="1670"/>
      <c r="CB248" s="1408"/>
    </row>
    <row r="249" spans="2:80" s="415" customFormat="1" ht="14.25" customHeight="1">
      <c r="B249" s="850" t="s">
        <v>498</v>
      </c>
      <c r="C249" s="440"/>
      <c r="D249" s="1452"/>
      <c r="E249" s="1291"/>
      <c r="F249" s="1291"/>
      <c r="G249" s="1291"/>
      <c r="H249" s="1291"/>
      <c r="I249" s="1291"/>
      <c r="J249" s="1291"/>
      <c r="K249" s="1291"/>
      <c r="L249" s="1291"/>
      <c r="M249" s="1291"/>
      <c r="N249" s="1291"/>
      <c r="O249" s="1291"/>
      <c r="P249" s="1291"/>
      <c r="Q249" s="1291"/>
      <c r="R249" s="1291"/>
      <c r="S249" s="1291"/>
      <c r="T249" s="1292"/>
      <c r="U249" s="1293"/>
      <c r="V249" s="1293"/>
      <c r="W249" s="1294"/>
      <c r="X249" s="1291"/>
      <c r="Y249" s="1293"/>
      <c r="Z249" s="1293"/>
      <c r="AA249" s="1293"/>
      <c r="AB249" s="422"/>
      <c r="AC249" s="1295"/>
      <c r="AD249" s="1295"/>
      <c r="AE249" s="1296"/>
      <c r="AF249" s="1301">
        <f>+IS!AF16</f>
        <v>703</v>
      </c>
      <c r="AG249" s="1301">
        <f>+IS!AG16</f>
        <v>5</v>
      </c>
      <c r="AH249" s="1301">
        <f>+IS!AH16</f>
        <v>100</v>
      </c>
      <c r="AI249" s="1301">
        <f>+IS!AI16</f>
        <v>273</v>
      </c>
      <c r="AJ249" s="1302">
        <f>+IS!AJ16</f>
        <v>0</v>
      </c>
      <c r="AK249" s="1301">
        <f>+IS!AK16</f>
        <v>0</v>
      </c>
      <c r="AL249" s="1301">
        <f>+IS!AL16</f>
        <v>0</v>
      </c>
      <c r="AM249" s="1334">
        <f>+IS!AM16</f>
        <v>0</v>
      </c>
      <c r="AN249" s="1301">
        <f>+IS!AN16</f>
        <v>0</v>
      </c>
      <c r="AO249" s="1301">
        <f>+IS!AO16</f>
        <v>0</v>
      </c>
      <c r="AP249" s="1301">
        <f>+IS!AP16</f>
        <v>0</v>
      </c>
      <c r="AQ249" s="1301">
        <f>+IS!AQ16</f>
        <v>58</v>
      </c>
      <c r="AR249" s="1302">
        <f>+IS!AR16</f>
        <v>0</v>
      </c>
      <c r="AS249" s="1301">
        <f>+IS!AS16</f>
        <v>33</v>
      </c>
      <c r="AT249" s="1301">
        <f>+IS!AT16</f>
        <v>0</v>
      </c>
      <c r="AU249" s="1334">
        <f>+IS!AU16</f>
        <v>0</v>
      </c>
      <c r="AV249" s="1302"/>
      <c r="AW249" s="1301"/>
      <c r="AX249" s="1301"/>
      <c r="AY249" s="1687"/>
      <c r="AZ249" s="1302"/>
      <c r="BA249" s="1301"/>
      <c r="BB249" s="1301"/>
      <c r="BC249" s="1334"/>
      <c r="BD249" s="1302"/>
      <c r="BE249" s="1301"/>
      <c r="BF249" s="1301"/>
      <c r="BG249" s="1334"/>
      <c r="BH249" s="1302"/>
      <c r="BI249" s="1301"/>
      <c r="BJ249" s="1301"/>
      <c r="BK249" s="1334"/>
      <c r="BM249" s="422"/>
      <c r="BN249" s="440"/>
      <c r="BO249" s="443"/>
      <c r="BP249" s="443"/>
      <c r="BQ249" s="443"/>
      <c r="BR249" s="443"/>
      <c r="BS249" s="443"/>
      <c r="BT249" s="443">
        <f>SUM(AF249:AI249)</f>
        <v>1081</v>
      </c>
      <c r="BU249" s="443">
        <f>SUM(AJ249:AM249)</f>
        <v>0</v>
      </c>
      <c r="BV249" s="1931">
        <f>+SUM(AN249:AQ249)</f>
        <v>58</v>
      </c>
      <c r="BW249" s="443">
        <f>+SUM(AR249:AU249)</f>
        <v>33</v>
      </c>
      <c r="BX249" s="1421"/>
      <c r="BY249" s="302"/>
      <c r="BZ249" s="302"/>
      <c r="CA249" s="1670"/>
      <c r="CB249" s="1408"/>
    </row>
    <row r="250" spans="2:80" s="7" customFormat="1" ht="14.25" customHeight="1">
      <c r="B250" s="849" t="s">
        <v>457</v>
      </c>
      <c r="C250" s="13"/>
      <c r="D250" s="619"/>
      <c r="E250" s="1280"/>
      <c r="F250" s="1280"/>
      <c r="G250" s="1280"/>
      <c r="H250" s="1280"/>
      <c r="I250" s="1280"/>
      <c r="J250" s="1280"/>
      <c r="K250" s="1280"/>
      <c r="L250" s="1280"/>
      <c r="M250" s="1280"/>
      <c r="N250" s="1280"/>
      <c r="O250" s="1280"/>
      <c r="P250" s="1280"/>
      <c r="Q250" s="1280"/>
      <c r="R250" s="1280"/>
      <c r="S250" s="1280"/>
      <c r="T250" s="1281"/>
      <c r="U250" s="1282"/>
      <c r="V250" s="1282"/>
      <c r="W250" s="1284"/>
      <c r="X250" s="1280"/>
      <c r="Y250" s="1282"/>
      <c r="Z250" s="1282"/>
      <c r="AA250" s="1282"/>
      <c r="AB250" s="20"/>
      <c r="AC250" s="1285"/>
      <c r="AD250" s="1285"/>
      <c r="AE250" s="1287"/>
      <c r="AF250" s="1289">
        <f t="shared" ref="AF250:AL250" si="1057">+AF248-AF249</f>
        <v>855</v>
      </c>
      <c r="AG250" s="1289">
        <f t="shared" si="1057"/>
        <v>770</v>
      </c>
      <c r="AH250" s="1289">
        <f t="shared" si="1057"/>
        <v>777</v>
      </c>
      <c r="AI250" s="1289">
        <f t="shared" si="1057"/>
        <v>704</v>
      </c>
      <c r="AJ250" s="1290">
        <f t="shared" si="1057"/>
        <v>643</v>
      </c>
      <c r="AK250" s="1289">
        <f t="shared" si="1057"/>
        <v>702</v>
      </c>
      <c r="AL250" s="1289">
        <f t="shared" si="1057"/>
        <v>940</v>
      </c>
      <c r="AM250" s="1299">
        <f t="shared" ref="AM250:AU250" si="1058">+AM258+AM263</f>
        <v>1379.7771899999993</v>
      </c>
      <c r="AN250" s="1289">
        <f t="shared" si="1058"/>
        <v>1162.68</v>
      </c>
      <c r="AO250" s="1289">
        <f t="shared" si="1058"/>
        <v>1234.3499999999999</v>
      </c>
      <c r="AP250" s="1289">
        <f t="shared" si="1058"/>
        <v>1248.1200000000003</v>
      </c>
      <c r="AQ250" s="1289">
        <f t="shared" si="1058"/>
        <v>1067.9269999999999</v>
      </c>
      <c r="AR250" s="1290">
        <f t="shared" si="1058"/>
        <v>921.8416145201619</v>
      </c>
      <c r="AS250" s="1289">
        <f t="shared" si="1058"/>
        <v>924.43423601190841</v>
      </c>
      <c r="AT250" s="1289">
        <f t="shared" si="1058"/>
        <v>1042.9731685083373</v>
      </c>
      <c r="AU250" s="1299">
        <f t="shared" si="1058"/>
        <v>867.92021969999996</v>
      </c>
      <c r="AV250" s="1290"/>
      <c r="AW250" s="1289"/>
      <c r="AX250" s="1289"/>
      <c r="AY250" s="1685"/>
      <c r="AZ250" s="1290"/>
      <c r="BA250" s="1289"/>
      <c r="BB250" s="1289"/>
      <c r="BC250" s="1299"/>
      <c r="BD250" s="1290"/>
      <c r="BE250" s="1289"/>
      <c r="BF250" s="1289"/>
      <c r="BG250" s="1299"/>
      <c r="BH250" s="1290"/>
      <c r="BI250" s="1289"/>
      <c r="BJ250" s="1289"/>
      <c r="BK250" s="1299"/>
      <c r="BM250" s="20"/>
      <c r="BN250" s="13"/>
      <c r="BO250" s="302"/>
      <c r="BP250" s="302"/>
      <c r="BQ250" s="302"/>
      <c r="BR250" s="302"/>
      <c r="BS250" s="302"/>
      <c r="BT250" s="302">
        <f>SUM(AF250:AI250)</f>
        <v>3106</v>
      </c>
      <c r="BU250" s="302">
        <f>SUM(AJ250:AM250)</f>
        <v>3664.7771899999993</v>
      </c>
      <c r="BV250" s="1923">
        <f>+SUM(AN250:AQ250)</f>
        <v>4713.0770000000002</v>
      </c>
      <c r="BW250" s="302">
        <f>+SUM(AR250:AU250)</f>
        <v>3757.1692387404078</v>
      </c>
      <c r="BX250" s="1420"/>
      <c r="BY250" s="302"/>
      <c r="BZ250" s="302"/>
      <c r="CA250" s="1670"/>
      <c r="CB250" s="1408"/>
    </row>
    <row r="251" spans="2:80" s="7" customFormat="1" ht="14.25" customHeight="1">
      <c r="B251" s="849"/>
      <c r="C251" s="13"/>
      <c r="D251" s="619"/>
      <c r="E251" s="1280"/>
      <c r="F251" s="1280"/>
      <c r="G251" s="1280"/>
      <c r="H251" s="1280"/>
      <c r="I251" s="1280"/>
      <c r="J251" s="1280"/>
      <c r="K251" s="1280"/>
      <c r="L251" s="1280"/>
      <c r="M251" s="1280"/>
      <c r="N251" s="1280"/>
      <c r="O251" s="1280"/>
      <c r="P251" s="1280"/>
      <c r="Q251" s="1280"/>
      <c r="R251" s="1280"/>
      <c r="S251" s="1280"/>
      <c r="T251" s="1281"/>
      <c r="U251" s="1282"/>
      <c r="V251" s="1282"/>
      <c r="W251" s="1284"/>
      <c r="X251" s="1280"/>
      <c r="Y251" s="1282"/>
      <c r="Z251" s="1282"/>
      <c r="AA251" s="1282"/>
      <c r="AB251" s="20"/>
      <c r="AC251" s="1285"/>
      <c r="AD251" s="1285"/>
      <c r="AE251" s="1287"/>
      <c r="AF251" s="1289"/>
      <c r="AG251" s="1289"/>
      <c r="AH251" s="1289"/>
      <c r="AI251" s="1289"/>
      <c r="AJ251" s="1290"/>
      <c r="AK251" s="1289"/>
      <c r="AL251" s="1285"/>
      <c r="AM251" s="1287"/>
      <c r="AN251" s="1285"/>
      <c r="AO251" s="1285"/>
      <c r="AP251" s="1285"/>
      <c r="AQ251" s="1287"/>
      <c r="AR251" s="1285"/>
      <c r="AS251" s="1285"/>
      <c r="AT251" s="1285"/>
      <c r="AU251" s="1287"/>
      <c r="AV251" s="1285"/>
      <c r="AW251" s="1285"/>
      <c r="AX251" s="1285"/>
      <c r="AY251" s="1635"/>
      <c r="AZ251" s="1634"/>
      <c r="BA251" s="1285"/>
      <c r="BB251" s="1285"/>
      <c r="BC251" s="1287"/>
      <c r="BD251" s="1285"/>
      <c r="BE251" s="1285"/>
      <c r="BF251" s="1285"/>
      <c r="BG251" s="1287"/>
      <c r="BH251" s="1285"/>
      <c r="BI251" s="1285"/>
      <c r="BJ251" s="1285"/>
      <c r="BK251" s="1287"/>
      <c r="BM251" s="20"/>
      <c r="BN251" s="13"/>
      <c r="BO251" s="302"/>
      <c r="BP251" s="302"/>
      <c r="BQ251" s="302"/>
      <c r="BR251" s="302"/>
      <c r="BS251" s="302"/>
      <c r="BT251" s="302"/>
      <c r="BU251" s="302"/>
      <c r="BV251" s="1923"/>
      <c r="BW251" s="302"/>
      <c r="BX251" s="1420"/>
      <c r="BY251" s="302"/>
      <c r="BZ251" s="302"/>
      <c r="CA251" s="1670"/>
      <c r="CB251" s="1408"/>
    </row>
    <row r="252" spans="2:80" s="7" customFormat="1" ht="14.25" customHeight="1">
      <c r="B252" s="849" t="s">
        <v>500</v>
      </c>
      <c r="C252" s="13"/>
      <c r="D252" s="619"/>
      <c r="E252" s="1280"/>
      <c r="F252" s="1280"/>
      <c r="G252" s="1280"/>
      <c r="H252" s="1280"/>
      <c r="I252" s="1280"/>
      <c r="J252" s="1280"/>
      <c r="K252" s="1280"/>
      <c r="L252" s="1280"/>
      <c r="M252" s="1280"/>
      <c r="N252" s="1280"/>
      <c r="O252" s="1280"/>
      <c r="P252" s="1280"/>
      <c r="Q252" s="1280"/>
      <c r="R252" s="1280"/>
      <c r="S252" s="1280"/>
      <c r="T252" s="1281"/>
      <c r="U252" s="1282"/>
      <c r="V252" s="1282"/>
      <c r="W252" s="1284"/>
      <c r="X252" s="1280"/>
      <c r="Y252" s="1282"/>
      <c r="Z252" s="1282"/>
      <c r="AA252" s="1282"/>
      <c r="AB252" s="20"/>
      <c r="AC252" s="1285"/>
      <c r="AD252" s="1285"/>
      <c r="AE252" s="1287"/>
      <c r="AF252" s="1289">
        <f>+AF245-AF250</f>
        <v>730</v>
      </c>
      <c r="AG252" s="1289">
        <f t="shared" ref="AG252:AU252" si="1059">+AG245-AG250</f>
        <v>643</v>
      </c>
      <c r="AH252" s="1289">
        <f t="shared" si="1059"/>
        <v>492</v>
      </c>
      <c r="AI252" s="1289">
        <f t="shared" si="1059"/>
        <v>451</v>
      </c>
      <c r="AJ252" s="1290">
        <f t="shared" si="1059"/>
        <v>425</v>
      </c>
      <c r="AK252" s="1289">
        <f t="shared" si="1059"/>
        <v>448</v>
      </c>
      <c r="AL252" s="1289">
        <f t="shared" si="1059"/>
        <v>510</v>
      </c>
      <c r="AM252" s="1299">
        <f t="shared" si="1059"/>
        <v>264.22646000000032</v>
      </c>
      <c r="AN252" s="1289">
        <f t="shared" si="1059"/>
        <v>234.31999999999994</v>
      </c>
      <c r="AO252" s="1289">
        <f t="shared" si="1059"/>
        <v>206.65000000000009</v>
      </c>
      <c r="AP252" s="1289">
        <f t="shared" si="1059"/>
        <v>180.87999999999988</v>
      </c>
      <c r="AQ252" s="1299">
        <f t="shared" si="1059"/>
        <v>171.07299999999987</v>
      </c>
      <c r="AR252" s="1289">
        <f t="shared" si="1059"/>
        <v>108.1583854798381</v>
      </c>
      <c r="AS252" s="1289">
        <f t="shared" si="1059"/>
        <v>17.565763988091703</v>
      </c>
      <c r="AT252" s="1289">
        <f t="shared" si="1059"/>
        <v>18.026831491663188</v>
      </c>
      <c r="AU252" s="1299">
        <f t="shared" si="1059"/>
        <v>90.079780300000039</v>
      </c>
      <c r="AV252" s="1289"/>
      <c r="AW252" s="1289"/>
      <c r="AX252" s="1289"/>
      <c r="AY252" s="1685"/>
      <c r="AZ252" s="1289"/>
      <c r="BA252" s="1289"/>
      <c r="BB252" s="1289"/>
      <c r="BC252" s="1299"/>
      <c r="BD252" s="1289"/>
      <c r="BE252" s="1289"/>
      <c r="BF252" s="1289"/>
      <c r="BG252" s="1299"/>
      <c r="BH252" s="1289"/>
      <c r="BI252" s="1289"/>
      <c r="BJ252" s="1289"/>
      <c r="BK252" s="1299"/>
      <c r="BM252" s="20"/>
      <c r="BN252" s="13"/>
      <c r="BO252" s="302"/>
      <c r="BP252" s="302"/>
      <c r="BQ252" s="302"/>
      <c r="BR252" s="302"/>
      <c r="BS252" s="302"/>
      <c r="BT252" s="302">
        <f>SUM(AF252:AI252)</f>
        <v>2316</v>
      </c>
      <c r="BU252" s="302">
        <f>SUM(AJ252:AM252)</f>
        <v>1647.2264600000003</v>
      </c>
      <c r="BV252" s="1923">
        <f>+SUM(AN252:AQ252)</f>
        <v>792.92299999999977</v>
      </c>
      <c r="BW252" s="302">
        <f>+SUM(AR252:AU252)</f>
        <v>233.83076125959303</v>
      </c>
      <c r="BX252" s="1420"/>
      <c r="BY252" s="302"/>
      <c r="BZ252" s="302"/>
      <c r="CA252" s="1670"/>
      <c r="CB252" s="1408"/>
    </row>
    <row r="253" spans="2:80" s="7" customFormat="1" ht="14.25" customHeight="1">
      <c r="B253" s="849" t="s">
        <v>499</v>
      </c>
      <c r="C253" s="13"/>
      <c r="D253" s="619"/>
      <c r="E253" s="1280"/>
      <c r="F253" s="1280"/>
      <c r="G253" s="1280"/>
      <c r="H253" s="1280"/>
      <c r="I253" s="1280"/>
      <c r="J253" s="1280"/>
      <c r="K253" s="1280"/>
      <c r="L253" s="1280"/>
      <c r="M253" s="1280"/>
      <c r="N253" s="1280"/>
      <c r="O253" s="1280"/>
      <c r="P253" s="1280"/>
      <c r="Q253" s="1280"/>
      <c r="R253" s="1280"/>
      <c r="S253" s="1280"/>
      <c r="T253" s="1281"/>
      <c r="U253" s="1282"/>
      <c r="V253" s="1282"/>
      <c r="W253" s="1284"/>
      <c r="X253" s="1280"/>
      <c r="Y253" s="1282"/>
      <c r="Z253" s="1282"/>
      <c r="AA253" s="1282"/>
      <c r="AB253" s="20"/>
      <c r="AC253" s="1285"/>
      <c r="AD253" s="1285"/>
      <c r="AE253" s="1287"/>
      <c r="AF253" s="1282">
        <f>+AF252/AF245</f>
        <v>0.4605678233438486</v>
      </c>
      <c r="AG253" s="1282">
        <f t="shared" ref="AG253:AU253" si="1060">+AG252/AG245</f>
        <v>0.45506015569709835</v>
      </c>
      <c r="AH253" s="1282">
        <f t="shared" si="1060"/>
        <v>0.38770685579196218</v>
      </c>
      <c r="AI253" s="1282">
        <f t="shared" si="1060"/>
        <v>0.39047619047619048</v>
      </c>
      <c r="AJ253" s="1300">
        <f t="shared" si="1060"/>
        <v>0.39794007490636701</v>
      </c>
      <c r="AK253" s="1282">
        <f t="shared" si="1060"/>
        <v>0.38956521739130434</v>
      </c>
      <c r="AL253" s="1282">
        <f t="shared" si="1060"/>
        <v>0.35172413793103446</v>
      </c>
      <c r="AM253" s="1284">
        <f t="shared" si="1060"/>
        <v>0.16072133416492132</v>
      </c>
      <c r="AN253" s="1282">
        <f t="shared" si="1060"/>
        <v>0.16773085182533998</v>
      </c>
      <c r="AO253" s="1282">
        <f t="shared" si="1060"/>
        <v>0.1434073560027759</v>
      </c>
      <c r="AP253" s="1282">
        <f t="shared" si="1060"/>
        <v>0.1265780265920223</v>
      </c>
      <c r="AQ253" s="1284">
        <f t="shared" si="1060"/>
        <v>0.13807344632768354</v>
      </c>
      <c r="AR253" s="1282">
        <f t="shared" si="1060"/>
        <v>0.10500814124256126</v>
      </c>
      <c r="AS253" s="1282">
        <f t="shared" si="1060"/>
        <v>1.8647307842984819E-2</v>
      </c>
      <c r="AT253" s="1282">
        <f t="shared" si="1060"/>
        <v>1.6990416109013366E-2</v>
      </c>
      <c r="AU253" s="1284">
        <f t="shared" si="1060"/>
        <v>9.402899822546977E-2</v>
      </c>
      <c r="AV253" s="1282"/>
      <c r="AW253" s="1282"/>
      <c r="AX253" s="1282"/>
      <c r="AY253" s="1688"/>
      <c r="AZ253" s="1822"/>
      <c r="BA253" s="1282"/>
      <c r="BB253" s="1282"/>
      <c r="BC253" s="1284"/>
      <c r="BD253" s="1282"/>
      <c r="BE253" s="1282"/>
      <c r="BF253" s="1282"/>
      <c r="BG253" s="1284"/>
      <c r="BH253" s="1282"/>
      <c r="BI253" s="1282"/>
      <c r="BJ253" s="1282"/>
      <c r="BK253" s="1284"/>
      <c r="BM253" s="20"/>
      <c r="BN253" s="13"/>
      <c r="BO253" s="302"/>
      <c r="BP253" s="302"/>
      <c r="BQ253" s="302"/>
      <c r="BR253" s="302"/>
      <c r="BS253" s="302"/>
      <c r="BT253" s="911">
        <f>+BT252/BT245</f>
        <v>0.42714865363334564</v>
      </c>
      <c r="BU253" s="302">
        <f>+BU252/BU245</f>
        <v>0.3100951295468331</v>
      </c>
      <c r="BV253" s="1932">
        <f>+BV252/BV245</f>
        <v>0.14401071558300033</v>
      </c>
      <c r="BW253" s="911">
        <f>+BW252/BW245</f>
        <v>5.8589516727535207E-2</v>
      </c>
      <c r="BX253" s="1420"/>
      <c r="BY253" s="302"/>
      <c r="BZ253" s="302"/>
      <c r="CA253" s="1670"/>
      <c r="CB253" s="1408"/>
    </row>
    <row r="254" spans="2:80" s="7" customFormat="1" ht="14.25" customHeight="1">
      <c r="B254" s="849"/>
      <c r="C254" s="13"/>
      <c r="D254" s="619"/>
      <c r="E254" s="1280"/>
      <c r="F254" s="1280"/>
      <c r="G254" s="1280"/>
      <c r="H254" s="1280"/>
      <c r="I254" s="1280"/>
      <c r="J254" s="1280"/>
      <c r="K254" s="1280"/>
      <c r="L254" s="1280"/>
      <c r="M254" s="1280"/>
      <c r="N254" s="1280"/>
      <c r="O254" s="1280"/>
      <c r="P254" s="1280"/>
      <c r="Q254" s="1280"/>
      <c r="R254" s="1280"/>
      <c r="S254" s="1280"/>
      <c r="T254" s="1281"/>
      <c r="U254" s="1282"/>
      <c r="V254" s="1282"/>
      <c r="W254" s="1284"/>
      <c r="X254" s="1280"/>
      <c r="Y254" s="1282"/>
      <c r="Z254" s="1282"/>
      <c r="AA254" s="1282"/>
      <c r="AB254" s="20"/>
      <c r="AC254" s="1285"/>
      <c r="AD254" s="1285"/>
      <c r="AE254" s="1287"/>
      <c r="AF254" s="1285"/>
      <c r="AG254" s="1285"/>
      <c r="AH254" s="1285"/>
      <c r="AI254" s="1285"/>
      <c r="AJ254" s="1288"/>
      <c r="AK254" s="1285"/>
      <c r="AL254" s="1285"/>
      <c r="AM254" s="1287"/>
      <c r="AN254" s="1285"/>
      <c r="AO254" s="1285"/>
      <c r="AP254" s="1285"/>
      <c r="AQ254" s="1287"/>
      <c r="AR254" s="1285"/>
      <c r="AS254" s="1285"/>
      <c r="AT254" s="1285"/>
      <c r="AU254" s="1287"/>
      <c r="AV254" s="1285"/>
      <c r="AW254" s="1285"/>
      <c r="AX254" s="1285"/>
      <c r="AY254" s="1635"/>
      <c r="AZ254" s="1634"/>
      <c r="BA254" s="1285"/>
      <c r="BB254" s="1285"/>
      <c r="BC254" s="1287"/>
      <c r="BD254" s="1285"/>
      <c r="BE254" s="1285"/>
      <c r="BF254" s="1285"/>
      <c r="BG254" s="1287"/>
      <c r="BH254" s="1285"/>
      <c r="BI254" s="1285"/>
      <c r="BJ254" s="1285"/>
      <c r="BK254" s="1287"/>
      <c r="BM254" s="20"/>
      <c r="BN254" s="13"/>
      <c r="BO254" s="302"/>
      <c r="BP254" s="302"/>
      <c r="BQ254" s="302"/>
      <c r="BR254" s="302"/>
      <c r="BS254" s="302"/>
      <c r="BT254" s="302"/>
      <c r="BU254" s="302"/>
      <c r="BV254" s="1923"/>
      <c r="BW254" s="302"/>
      <c r="BX254" s="1420"/>
      <c r="BY254" s="302"/>
      <c r="BZ254" s="302"/>
      <c r="CA254" s="1670"/>
      <c r="CB254" s="1408"/>
    </row>
    <row r="255" spans="2:80" s="7" customFormat="1" ht="14.25" customHeight="1">
      <c r="B255" s="1042" t="s">
        <v>491</v>
      </c>
      <c r="C255" s="13"/>
      <c r="D255" s="619"/>
      <c r="E255" s="1280"/>
      <c r="F255" s="1280"/>
      <c r="G255" s="1280"/>
      <c r="H255" s="1280"/>
      <c r="I255" s="1280"/>
      <c r="J255" s="1280"/>
      <c r="K255" s="1280"/>
      <c r="L255" s="1280"/>
      <c r="M255" s="1280"/>
      <c r="N255" s="1280"/>
      <c r="O255" s="1280"/>
      <c r="P255" s="1280"/>
      <c r="Q255" s="1280"/>
      <c r="R255" s="1280"/>
      <c r="S255" s="1280"/>
      <c r="T255" s="1281"/>
      <c r="U255" s="1303"/>
      <c r="V255" s="1282"/>
      <c r="W255" s="1284"/>
      <c r="X255" s="1280"/>
      <c r="Y255" s="1303"/>
      <c r="Z255" s="1282"/>
      <c r="AA255" s="1282"/>
      <c r="AB255" s="20"/>
      <c r="AC255" s="1304"/>
      <c r="AD255" s="1285"/>
      <c r="AE255" s="1287"/>
      <c r="AF255" s="1285"/>
      <c r="AG255" s="1285"/>
      <c r="AH255" s="1285"/>
      <c r="AI255" s="1285"/>
      <c r="AJ255" s="1288"/>
      <c r="AK255" s="1285"/>
      <c r="AL255" s="1285"/>
      <c r="AM255" s="1287"/>
      <c r="AN255" s="1285"/>
      <c r="AO255" s="1285"/>
      <c r="AP255" s="1285"/>
      <c r="AQ255" s="1287"/>
      <c r="AR255" s="1285"/>
      <c r="AS255" s="1285"/>
      <c r="AT255" s="1285"/>
      <c r="AU255" s="1287"/>
      <c r="AV255" s="1285"/>
      <c r="AW255" s="1285"/>
      <c r="AX255" s="1285"/>
      <c r="AY255" s="1635"/>
      <c r="AZ255" s="1634"/>
      <c r="BA255" s="1285"/>
      <c r="BB255" s="1285"/>
      <c r="BC255" s="1287"/>
      <c r="BD255" s="1285"/>
      <c r="BE255" s="1285"/>
      <c r="BF255" s="1285"/>
      <c r="BG255" s="1287"/>
      <c r="BH255" s="1285"/>
      <c r="BI255" s="1285"/>
      <c r="BJ255" s="1285"/>
      <c r="BK255" s="1287"/>
      <c r="BM255" s="20"/>
      <c r="BN255" s="13"/>
      <c r="BO255" s="302"/>
      <c r="BP255" s="302"/>
      <c r="BQ255" s="302"/>
      <c r="BR255" s="302"/>
      <c r="BS255" s="302"/>
      <c r="BT255" s="302"/>
      <c r="BU255" s="302"/>
      <c r="BV255" s="1923"/>
      <c r="BW255" s="302"/>
      <c r="BX255" s="1420"/>
      <c r="BY255" s="302"/>
      <c r="BZ255" s="302"/>
      <c r="CA255" s="1670"/>
      <c r="CB255" s="1408"/>
    </row>
    <row r="256" spans="2:80" s="7" customFormat="1" ht="14.25" customHeight="1">
      <c r="B256" s="849" t="s">
        <v>399</v>
      </c>
      <c r="C256" s="13"/>
      <c r="D256" s="619"/>
      <c r="E256" s="1280"/>
      <c r="F256" s="1280"/>
      <c r="G256" s="1280"/>
      <c r="H256" s="1280"/>
      <c r="I256" s="1280"/>
      <c r="J256" s="1280"/>
      <c r="K256" s="1280"/>
      <c r="L256" s="1280"/>
      <c r="M256" s="1280"/>
      <c r="N256" s="1280"/>
      <c r="O256" s="1280"/>
      <c r="P256" s="1280"/>
      <c r="Q256" s="1280"/>
      <c r="R256" s="1280"/>
      <c r="S256" s="1280"/>
      <c r="T256" s="1281"/>
      <c r="U256" s="1303"/>
      <c r="V256" s="1282"/>
      <c r="W256" s="1284"/>
      <c r="X256" s="1280"/>
      <c r="Y256" s="1303"/>
      <c r="Z256" s="1282"/>
      <c r="AA256" s="1282"/>
      <c r="AB256" s="20"/>
      <c r="AC256" s="1304"/>
      <c r="AD256" s="1285"/>
      <c r="AE256" s="1287"/>
      <c r="AF256" s="1289">
        <f>+AF245</f>
        <v>1585</v>
      </c>
      <c r="AG256" s="1289">
        <f t="shared" ref="AG256:AU256" si="1061">+AG245</f>
        <v>1413</v>
      </c>
      <c r="AH256" s="1289">
        <f t="shared" si="1061"/>
        <v>1269</v>
      </c>
      <c r="AI256" s="1289">
        <f t="shared" si="1061"/>
        <v>1155</v>
      </c>
      <c r="AJ256" s="1290">
        <f t="shared" si="1061"/>
        <v>1068</v>
      </c>
      <c r="AK256" s="1289">
        <f t="shared" si="1061"/>
        <v>1150</v>
      </c>
      <c r="AL256" s="1289">
        <f t="shared" si="1061"/>
        <v>1450</v>
      </c>
      <c r="AM256" s="1299">
        <f t="shared" si="1061"/>
        <v>1644.0036499999997</v>
      </c>
      <c r="AN256" s="1289">
        <f t="shared" si="1061"/>
        <v>1397</v>
      </c>
      <c r="AO256" s="1289">
        <f t="shared" si="1061"/>
        <v>1441</v>
      </c>
      <c r="AP256" s="1289">
        <f t="shared" si="1061"/>
        <v>1429.0000000000002</v>
      </c>
      <c r="AQ256" s="1299">
        <f t="shared" si="1061"/>
        <v>1238.9999999999998</v>
      </c>
      <c r="AR256" s="1289">
        <f t="shared" si="1061"/>
        <v>1030</v>
      </c>
      <c r="AS256" s="1289">
        <f t="shared" si="1061"/>
        <v>942.00000000000011</v>
      </c>
      <c r="AT256" s="1289">
        <f t="shared" si="1061"/>
        <v>1061.0000000000005</v>
      </c>
      <c r="AU256" s="1299">
        <f t="shared" si="1061"/>
        <v>958</v>
      </c>
      <c r="AV256" s="1289"/>
      <c r="AW256" s="1289"/>
      <c r="AX256" s="1289"/>
      <c r="AY256" s="1685"/>
      <c r="AZ256" s="1289"/>
      <c r="BA256" s="1289"/>
      <c r="BB256" s="1289"/>
      <c r="BC256" s="1299"/>
      <c r="BD256" s="1289"/>
      <c r="BE256" s="1289"/>
      <c r="BF256" s="1289"/>
      <c r="BG256" s="1299"/>
      <c r="BH256" s="1289"/>
      <c r="BI256" s="1289"/>
      <c r="BJ256" s="1289"/>
      <c r="BK256" s="1299"/>
      <c r="BM256" s="20"/>
      <c r="BN256" s="13"/>
      <c r="BO256" s="302"/>
      <c r="BP256" s="302"/>
      <c r="BQ256" s="302"/>
      <c r="BR256" s="302"/>
      <c r="BS256" s="302"/>
      <c r="BT256" s="302">
        <f>SUM(AF256:AI256)</f>
        <v>5422</v>
      </c>
      <c r="BU256" s="302">
        <f>SUM(AJ256:AM256)</f>
        <v>5312.0036499999997</v>
      </c>
      <c r="BV256" s="1923">
        <f>+SUM(AN256:AQ256)</f>
        <v>5506</v>
      </c>
      <c r="BW256" s="302">
        <f>+SUM(AR256:AU256)</f>
        <v>3991.0000000000005</v>
      </c>
      <c r="BX256" s="1420"/>
      <c r="BY256" s="302"/>
      <c r="BZ256" s="302"/>
      <c r="CA256" s="1670"/>
      <c r="CB256" s="1408"/>
    </row>
    <row r="257" spans="2:80" s="7" customFormat="1" ht="14.25" customHeight="1">
      <c r="B257" s="849" t="s">
        <v>499</v>
      </c>
      <c r="C257" s="13"/>
      <c r="D257" s="619"/>
      <c r="E257" s="1280"/>
      <c r="F257" s="1280"/>
      <c r="G257" s="1280"/>
      <c r="H257" s="1280"/>
      <c r="I257" s="1280"/>
      <c r="J257" s="1280"/>
      <c r="K257" s="1280"/>
      <c r="L257" s="1280"/>
      <c r="M257" s="1280"/>
      <c r="N257" s="1280"/>
      <c r="O257" s="1280"/>
      <c r="P257" s="1280"/>
      <c r="Q257" s="1280"/>
      <c r="R257" s="1280"/>
      <c r="S257" s="1280"/>
      <c r="T257" s="1281"/>
      <c r="U257" s="1303"/>
      <c r="V257" s="1282"/>
      <c r="W257" s="1284"/>
      <c r="X257" s="1280"/>
      <c r="Y257" s="1303"/>
      <c r="Z257" s="1282"/>
      <c r="AA257" s="1282"/>
      <c r="AB257" s="20"/>
      <c r="AC257" s="1304"/>
      <c r="AD257" s="1285"/>
      <c r="AE257" s="1287"/>
      <c r="AF257" s="1282">
        <f>+(AF256-AF258)/AF256</f>
        <v>0.4605678233438486</v>
      </c>
      <c r="AG257" s="1282">
        <f t="shared" ref="AG257:AL257" si="1062">+(AG256-AG258)/AG256</f>
        <v>0.45506015569709835</v>
      </c>
      <c r="AH257" s="1282">
        <f t="shared" si="1062"/>
        <v>0.38770685579196218</v>
      </c>
      <c r="AI257" s="1282">
        <f t="shared" si="1062"/>
        <v>0.39047619047619048</v>
      </c>
      <c r="AJ257" s="1300">
        <f t="shared" si="1062"/>
        <v>0.39794007490636701</v>
      </c>
      <c r="AK257" s="1282">
        <f t="shared" si="1062"/>
        <v>0.38956521739130434</v>
      </c>
      <c r="AL257" s="1282">
        <f t="shared" si="1062"/>
        <v>0.35172413793103446</v>
      </c>
      <c r="AM257" s="1325">
        <v>0.4</v>
      </c>
      <c r="AN257" s="1326">
        <f t="shared" ref="AN257:AU257" si="1063">+AM257</f>
        <v>0.4</v>
      </c>
      <c r="AO257" s="1326">
        <f t="shared" si="1063"/>
        <v>0.4</v>
      </c>
      <c r="AP257" s="1326">
        <f t="shared" si="1063"/>
        <v>0.4</v>
      </c>
      <c r="AQ257" s="1325">
        <f t="shared" si="1063"/>
        <v>0.4</v>
      </c>
      <c r="AR257" s="1326">
        <f t="shared" si="1063"/>
        <v>0.4</v>
      </c>
      <c r="AS257" s="1326">
        <f t="shared" si="1063"/>
        <v>0.4</v>
      </c>
      <c r="AT257" s="1326">
        <f t="shared" si="1063"/>
        <v>0.4</v>
      </c>
      <c r="AU257" s="1325">
        <f t="shared" si="1063"/>
        <v>0.4</v>
      </c>
      <c r="AV257" s="1326"/>
      <c r="AW257" s="1326"/>
      <c r="AX257" s="1326"/>
      <c r="AY257" s="1689"/>
      <c r="AZ257" s="1823"/>
      <c r="BA257" s="1326"/>
      <c r="BB257" s="1326"/>
      <c r="BC257" s="1325"/>
      <c r="BD257" s="1326"/>
      <c r="BE257" s="1326"/>
      <c r="BF257" s="1326"/>
      <c r="BG257" s="1325"/>
      <c r="BH257" s="1326"/>
      <c r="BI257" s="1326"/>
      <c r="BJ257" s="1326"/>
      <c r="BK257" s="1325"/>
      <c r="BM257" s="20"/>
      <c r="BN257" s="13"/>
      <c r="BO257" s="302"/>
      <c r="BP257" s="302"/>
      <c r="BQ257" s="302"/>
      <c r="BR257" s="302"/>
      <c r="BS257" s="302"/>
      <c r="BT257" s="911">
        <f>+(BT256-BT258)/BT256</f>
        <v>0.42714865363334564</v>
      </c>
      <c r="BU257" s="302">
        <f>+(BU256-BU258)/BU256</f>
        <v>0.38414910727706297</v>
      </c>
      <c r="BV257" s="1932">
        <f>+(BV256-BV258)/BV256</f>
        <v>0.40000000000000008</v>
      </c>
      <c r="BW257" s="911">
        <f>+(BW256-BW258)/BW256</f>
        <v>0.39999999999999997</v>
      </c>
      <c r="BX257" s="1420"/>
      <c r="BY257" s="302"/>
      <c r="BZ257" s="302"/>
      <c r="CA257" s="1670"/>
      <c r="CB257" s="1408"/>
    </row>
    <row r="258" spans="2:80" s="7" customFormat="1" ht="14.25" customHeight="1">
      <c r="B258" s="849" t="s">
        <v>457</v>
      </c>
      <c r="C258" s="13"/>
      <c r="D258" s="619"/>
      <c r="E258" s="1280"/>
      <c r="F258" s="1280"/>
      <c r="G258" s="1280"/>
      <c r="H258" s="1280"/>
      <c r="I258" s="1280"/>
      <c r="J258" s="1280"/>
      <c r="K258" s="1280"/>
      <c r="L258" s="1280"/>
      <c r="M258" s="1280"/>
      <c r="N258" s="1280"/>
      <c r="O258" s="1280"/>
      <c r="P258" s="1280"/>
      <c r="Q258" s="1280"/>
      <c r="R258" s="1280"/>
      <c r="S258" s="1280"/>
      <c r="T258" s="1281"/>
      <c r="U258" s="1303"/>
      <c r="V258" s="1282"/>
      <c r="W258" s="1284"/>
      <c r="X258" s="1280"/>
      <c r="Y258" s="1303"/>
      <c r="Z258" s="1282"/>
      <c r="AA258" s="1282"/>
      <c r="AB258" s="20"/>
      <c r="AC258" s="1304"/>
      <c r="AD258" s="1285"/>
      <c r="AE258" s="1287"/>
      <c r="AF258" s="1289">
        <f>+AF250</f>
        <v>855</v>
      </c>
      <c r="AG258" s="1289">
        <f t="shared" ref="AG258:AL258" si="1064">+AG250</f>
        <v>770</v>
      </c>
      <c r="AH258" s="1289">
        <f t="shared" si="1064"/>
        <v>777</v>
      </c>
      <c r="AI258" s="1289">
        <f t="shared" si="1064"/>
        <v>704</v>
      </c>
      <c r="AJ258" s="1290">
        <f t="shared" si="1064"/>
        <v>643</v>
      </c>
      <c r="AK258" s="1289">
        <f t="shared" si="1064"/>
        <v>702</v>
      </c>
      <c r="AL258" s="1289">
        <f t="shared" si="1064"/>
        <v>940</v>
      </c>
      <c r="AM258" s="1299">
        <f t="shared" ref="AM258:AU258" si="1065">+(1-AM257)*AM256</f>
        <v>986.40218999999979</v>
      </c>
      <c r="AN258" s="1289">
        <f t="shared" si="1065"/>
        <v>838.19999999999993</v>
      </c>
      <c r="AO258" s="1289">
        <f t="shared" si="1065"/>
        <v>864.6</v>
      </c>
      <c r="AP258" s="1289">
        <f t="shared" si="1065"/>
        <v>857.40000000000009</v>
      </c>
      <c r="AQ258" s="1299">
        <f t="shared" si="1065"/>
        <v>743.39999999999986</v>
      </c>
      <c r="AR258" s="1289">
        <f t="shared" si="1065"/>
        <v>618</v>
      </c>
      <c r="AS258" s="1289">
        <f t="shared" si="1065"/>
        <v>565.20000000000005</v>
      </c>
      <c r="AT258" s="1289">
        <f t="shared" si="1065"/>
        <v>636.60000000000025</v>
      </c>
      <c r="AU258" s="1299">
        <f t="shared" si="1065"/>
        <v>574.79999999999995</v>
      </c>
      <c r="AV258" s="1289"/>
      <c r="AW258" s="1289"/>
      <c r="AX258" s="1289"/>
      <c r="AY258" s="1685"/>
      <c r="AZ258" s="1289"/>
      <c r="BA258" s="1289"/>
      <c r="BB258" s="1289"/>
      <c r="BC258" s="1299"/>
      <c r="BD258" s="1289"/>
      <c r="BE258" s="1289"/>
      <c r="BF258" s="1289"/>
      <c r="BG258" s="1299"/>
      <c r="BH258" s="1289"/>
      <c r="BI258" s="1289"/>
      <c r="BJ258" s="1289"/>
      <c r="BK258" s="1299"/>
      <c r="BM258" s="20"/>
      <c r="BN258" s="13"/>
      <c r="BO258" s="302"/>
      <c r="BP258" s="302"/>
      <c r="BQ258" s="302"/>
      <c r="BR258" s="302"/>
      <c r="BS258" s="302"/>
      <c r="BT258" s="302">
        <f>SUM(AF258:AI258)</f>
        <v>3106</v>
      </c>
      <c r="BU258" s="302">
        <f>SUM(AJ258:AM258)</f>
        <v>3271.4021899999998</v>
      </c>
      <c r="BV258" s="1923">
        <f>+SUM(AN258:AQ258)</f>
        <v>3303.5999999999995</v>
      </c>
      <c r="BW258" s="302">
        <f>+SUM(AR258:AU258)</f>
        <v>2394.6000000000004</v>
      </c>
      <c r="BX258" s="1420"/>
      <c r="BY258" s="302"/>
      <c r="BZ258" s="302"/>
      <c r="CA258" s="1670"/>
      <c r="CB258" s="1408"/>
    </row>
    <row r="259" spans="2:80" s="7" customFormat="1" ht="14.25" customHeight="1">
      <c r="B259" s="849"/>
      <c r="C259" s="13"/>
      <c r="D259" s="619"/>
      <c r="E259" s="1280"/>
      <c r="F259" s="1280"/>
      <c r="G259" s="1280"/>
      <c r="H259" s="1280"/>
      <c r="I259" s="1280"/>
      <c r="J259" s="1280"/>
      <c r="K259" s="1280"/>
      <c r="L259" s="1280"/>
      <c r="M259" s="1280"/>
      <c r="N259" s="1280"/>
      <c r="O259" s="1280"/>
      <c r="P259" s="1280"/>
      <c r="Q259" s="1280"/>
      <c r="R259" s="1280"/>
      <c r="S259" s="1280"/>
      <c r="T259" s="1281"/>
      <c r="U259" s="1303"/>
      <c r="V259" s="1282"/>
      <c r="W259" s="1284"/>
      <c r="X259" s="1280"/>
      <c r="Y259" s="1303"/>
      <c r="Z259" s="1282"/>
      <c r="AA259" s="1282"/>
      <c r="AB259" s="20"/>
      <c r="AC259" s="1304"/>
      <c r="AD259" s="1285"/>
      <c r="AE259" s="1287"/>
      <c r="AF259" s="1285"/>
      <c r="AG259" s="1285"/>
      <c r="AH259" s="1285"/>
      <c r="AI259" s="1285"/>
      <c r="AJ259" s="1288"/>
      <c r="AK259" s="1285"/>
      <c r="AL259" s="1285"/>
      <c r="AM259" s="1287"/>
      <c r="AN259" s="1285"/>
      <c r="AO259" s="1285"/>
      <c r="AP259" s="1285"/>
      <c r="AQ259" s="1287"/>
      <c r="AR259" s="1285"/>
      <c r="AS259" s="1285"/>
      <c r="AT259" s="1285"/>
      <c r="AU259" s="1287"/>
      <c r="AV259" s="1285"/>
      <c r="AW259" s="1285"/>
      <c r="AX259" s="1285"/>
      <c r="AY259" s="1635"/>
      <c r="AZ259" s="1634"/>
      <c r="BA259" s="1285"/>
      <c r="BB259" s="1285"/>
      <c r="BC259" s="1287"/>
      <c r="BD259" s="1285"/>
      <c r="BE259" s="1285"/>
      <c r="BF259" s="1285"/>
      <c r="BG259" s="1287"/>
      <c r="BH259" s="1285"/>
      <c r="BI259" s="1285"/>
      <c r="BJ259" s="1285"/>
      <c r="BK259" s="1287"/>
      <c r="BM259" s="20"/>
      <c r="BN259" s="13"/>
      <c r="BO259" s="302"/>
      <c r="BP259" s="302"/>
      <c r="BQ259" s="302"/>
      <c r="BR259" s="302"/>
      <c r="BS259" s="302"/>
      <c r="BT259" s="302"/>
      <c r="BU259" s="302"/>
      <c r="BV259" s="1923"/>
      <c r="BW259" s="302"/>
      <c r="BX259" s="1420"/>
      <c r="BY259" s="302"/>
      <c r="BZ259" s="302"/>
      <c r="CA259" s="1670"/>
      <c r="CB259" s="1408"/>
    </row>
    <row r="260" spans="2:80" s="7" customFormat="1" ht="14.25" customHeight="1">
      <c r="B260" s="1042" t="s">
        <v>497</v>
      </c>
      <c r="C260" s="13"/>
      <c r="D260" s="619"/>
      <c r="E260" s="1280"/>
      <c r="F260" s="1280"/>
      <c r="G260" s="1280"/>
      <c r="H260" s="1280"/>
      <c r="I260" s="1280"/>
      <c r="J260" s="1280"/>
      <c r="K260" s="1280"/>
      <c r="L260" s="1280"/>
      <c r="M260" s="1280"/>
      <c r="N260" s="1280"/>
      <c r="O260" s="1280"/>
      <c r="P260" s="1280"/>
      <c r="Q260" s="1280"/>
      <c r="R260" s="1280"/>
      <c r="S260" s="1280"/>
      <c r="T260" s="1281"/>
      <c r="U260" s="1303"/>
      <c r="V260" s="1282"/>
      <c r="W260" s="1284"/>
      <c r="X260" s="1280"/>
      <c r="Y260" s="1303"/>
      <c r="Z260" s="1282"/>
      <c r="AA260" s="1282"/>
      <c r="AB260" s="20"/>
      <c r="AC260" s="1304"/>
      <c r="AD260" s="1285"/>
      <c r="AE260" s="1287"/>
      <c r="AF260" s="1285"/>
      <c r="AG260" s="1285"/>
      <c r="AH260" s="1285"/>
      <c r="AI260" s="1285"/>
      <c r="AJ260" s="1288"/>
      <c r="AK260" s="1285"/>
      <c r="AL260" s="1285"/>
      <c r="AM260" s="1287"/>
      <c r="AN260" s="1285"/>
      <c r="AO260" s="1285"/>
      <c r="AP260" s="1285"/>
      <c r="AQ260" s="1287"/>
      <c r="AR260" s="1285"/>
      <c r="AS260" s="1285"/>
      <c r="AT260" s="1285"/>
      <c r="AU260" s="1287"/>
      <c r="AV260" s="1285"/>
      <c r="AW260" s="1285"/>
      <c r="AX260" s="1285"/>
      <c r="AY260" s="1635"/>
      <c r="AZ260" s="1634"/>
      <c r="BA260" s="1285"/>
      <c r="BB260" s="1285"/>
      <c r="BC260" s="1287"/>
      <c r="BD260" s="1285"/>
      <c r="BE260" s="1285"/>
      <c r="BF260" s="1285"/>
      <c r="BG260" s="1287"/>
      <c r="BH260" s="1285"/>
      <c r="BI260" s="1285"/>
      <c r="BJ260" s="1285"/>
      <c r="BK260" s="1287"/>
      <c r="BM260" s="20"/>
      <c r="BN260" s="13"/>
      <c r="BO260" s="302"/>
      <c r="BP260" s="302"/>
      <c r="BQ260" s="302"/>
      <c r="BR260" s="302"/>
      <c r="BS260" s="302"/>
      <c r="BT260" s="302"/>
      <c r="BU260" s="302"/>
      <c r="BV260" s="1923"/>
      <c r="BW260" s="302"/>
      <c r="BX260" s="1420"/>
      <c r="BY260" s="302"/>
      <c r="BZ260" s="302"/>
      <c r="CA260" s="1670"/>
      <c r="CB260" s="1408"/>
    </row>
    <row r="261" spans="2:80" s="7" customFormat="1" ht="14.25" customHeight="1">
      <c r="B261" s="849" t="s">
        <v>490</v>
      </c>
      <c r="C261" s="13"/>
      <c r="D261" s="619"/>
      <c r="E261" s="1280"/>
      <c r="F261" s="1280"/>
      <c r="G261" s="1280"/>
      <c r="H261" s="1280"/>
      <c r="I261" s="1280"/>
      <c r="J261" s="1280"/>
      <c r="K261" s="1280"/>
      <c r="L261" s="1280"/>
      <c r="M261" s="1280"/>
      <c r="N261" s="1280"/>
      <c r="O261" s="1280"/>
      <c r="P261" s="1280"/>
      <c r="Q261" s="1280"/>
      <c r="R261" s="1280"/>
      <c r="S261" s="1280"/>
      <c r="T261" s="1281"/>
      <c r="U261" s="1280"/>
      <c r="V261" s="1280"/>
      <c r="W261" s="1305"/>
      <c r="X261" s="1280"/>
      <c r="Y261" s="1280"/>
      <c r="Z261" s="1280"/>
      <c r="AA261" s="1280"/>
      <c r="AB261" s="20"/>
      <c r="AC261" s="13"/>
      <c r="AD261" s="13"/>
      <c r="AE261" s="244"/>
      <c r="AF261" s="1306"/>
      <c r="AG261" s="1306"/>
      <c r="AH261" s="1306"/>
      <c r="AI261" s="1306"/>
      <c r="AJ261" s="1307"/>
      <c r="AK261" s="1306"/>
      <c r="AL261" s="1308">
        <f t="shared" ref="AL261:AU261" si="1066">AL146-AL197-AL193</f>
        <v>383.5</v>
      </c>
      <c r="AM261" s="1309">
        <f t="shared" si="1066"/>
        <v>524.49999999999955</v>
      </c>
      <c r="AN261" s="1308">
        <f t="shared" si="1066"/>
        <v>416.00000000000011</v>
      </c>
      <c r="AO261" s="1308">
        <f t="shared" si="1066"/>
        <v>493</v>
      </c>
      <c r="AP261" s="1308">
        <f t="shared" si="1066"/>
        <v>528.00000000000023</v>
      </c>
      <c r="AQ261" s="1309">
        <f t="shared" si="1066"/>
        <v>438.54999999999995</v>
      </c>
      <c r="AR261" s="1308">
        <f t="shared" si="1066"/>
        <v>389.54053143610497</v>
      </c>
      <c r="AS261" s="1308">
        <f t="shared" si="1066"/>
        <v>478.97898134921115</v>
      </c>
      <c r="AT261" s="1308">
        <f t="shared" si="1066"/>
        <v>549.15293041667167</v>
      </c>
      <c r="AU261" s="1309">
        <f t="shared" si="1066"/>
        <v>396.10840500000006</v>
      </c>
      <c r="AV261" s="1308"/>
      <c r="AW261" s="1308"/>
      <c r="AX261" s="1308"/>
      <c r="AY261" s="1690"/>
      <c r="AZ261" s="1824"/>
      <c r="BA261" s="1308"/>
      <c r="BB261" s="1308"/>
      <c r="BC261" s="1309"/>
      <c r="BD261" s="1308"/>
      <c r="BE261" s="1308"/>
      <c r="BF261" s="1308"/>
      <c r="BG261" s="1309"/>
      <c r="BH261" s="1308"/>
      <c r="BI261" s="1308"/>
      <c r="BJ261" s="1308"/>
      <c r="BK261" s="1309"/>
      <c r="BM261" s="20"/>
      <c r="BN261" s="13"/>
      <c r="BO261" s="302"/>
      <c r="BP261" s="302"/>
      <c r="BQ261" s="302"/>
      <c r="BR261" s="302"/>
      <c r="BS261" s="302"/>
      <c r="BT261" s="302">
        <f>SUM(AF261:AI261)</f>
        <v>0</v>
      </c>
      <c r="BU261" s="302">
        <f>SUM(AJ261:AM261)</f>
        <v>907.99999999999955</v>
      </c>
      <c r="BV261" s="1923">
        <f>+SUM(AN261:AQ261)</f>
        <v>1875.5500000000004</v>
      </c>
      <c r="BW261" s="302">
        <f>+SUM(AR261:AU261)</f>
        <v>1813.7808482019877</v>
      </c>
      <c r="BX261" s="1420"/>
      <c r="BY261" s="302"/>
      <c r="BZ261" s="302"/>
      <c r="CA261" s="1670"/>
      <c r="CB261" s="1408"/>
    </row>
    <row r="262" spans="2:80" s="7" customFormat="1" ht="14.25" customHeight="1">
      <c r="B262" s="849" t="s">
        <v>486</v>
      </c>
      <c r="C262" s="13"/>
      <c r="D262" s="619"/>
      <c r="E262" s="1280"/>
      <c r="F262" s="1280"/>
      <c r="G262" s="1280"/>
      <c r="H262" s="1280"/>
      <c r="I262" s="1280"/>
      <c r="J262" s="1280"/>
      <c r="K262" s="1280"/>
      <c r="L262" s="1280"/>
      <c r="M262" s="1280"/>
      <c r="N262" s="1280"/>
      <c r="O262" s="1280"/>
      <c r="P262" s="1280"/>
      <c r="Q262" s="1280"/>
      <c r="R262" s="1280"/>
      <c r="S262" s="1280"/>
      <c r="T262" s="1281"/>
      <c r="U262" s="1280"/>
      <c r="V262" s="1280"/>
      <c r="W262" s="1305"/>
      <c r="X262" s="1280"/>
      <c r="Y262" s="1280"/>
      <c r="Z262" s="1280"/>
      <c r="AA262" s="1280"/>
      <c r="AB262" s="20"/>
      <c r="AC262" s="13"/>
      <c r="AD262" s="13"/>
      <c r="AE262" s="244"/>
      <c r="AF262" s="1306"/>
      <c r="AG262" s="1306"/>
      <c r="AH262" s="1306"/>
      <c r="AI262" s="1306"/>
      <c r="AJ262" s="1307"/>
      <c r="AK262" s="1306"/>
      <c r="AL262" s="1326">
        <v>0.25</v>
      </c>
      <c r="AM262" s="1326">
        <v>0.25</v>
      </c>
      <c r="AN262" s="1335">
        <v>0.22</v>
      </c>
      <c r="AO262" s="1326">
        <v>0.25</v>
      </c>
      <c r="AP262" s="1326">
        <v>0.26</v>
      </c>
      <c r="AQ262" s="1325">
        <v>0.26</v>
      </c>
      <c r="AR262" s="1335">
        <v>0.22</v>
      </c>
      <c r="AS262" s="1326">
        <v>0.25</v>
      </c>
      <c r="AT262" s="1326">
        <v>0.26</v>
      </c>
      <c r="AU262" s="1325">
        <v>0.26</v>
      </c>
      <c r="AV262" s="1335"/>
      <c r="AW262" s="1326"/>
      <c r="AX262" s="1326"/>
      <c r="AY262" s="1689"/>
      <c r="AZ262" s="1825"/>
      <c r="BA262" s="1326"/>
      <c r="BB262" s="1326"/>
      <c r="BC262" s="1325"/>
      <c r="BD262" s="1335"/>
      <c r="BE262" s="1326"/>
      <c r="BF262" s="1326"/>
      <c r="BG262" s="1325"/>
      <c r="BH262" s="1335"/>
      <c r="BI262" s="1326"/>
      <c r="BJ262" s="1326"/>
      <c r="BK262" s="1325"/>
      <c r="BM262" s="20"/>
      <c r="BN262" s="13"/>
      <c r="BO262" s="302"/>
      <c r="BP262" s="302"/>
      <c r="BQ262" s="302"/>
      <c r="BR262" s="302"/>
      <c r="BS262" s="302"/>
      <c r="BT262" s="911"/>
      <c r="BU262" s="302">
        <f>+(BU261-BU263)/BU261</f>
        <v>0.25</v>
      </c>
      <c r="BV262" s="1932">
        <f>+(BV261-BV263)/BV261</f>
        <v>0.24849937351710163</v>
      </c>
      <c r="BW262" s="911">
        <f>+(BW261-BW263)/BW261</f>
        <v>0.24876853778055349</v>
      </c>
      <c r="BX262" s="1420"/>
      <c r="BY262" s="302"/>
      <c r="BZ262" s="302"/>
      <c r="CA262" s="1670"/>
      <c r="CB262" s="1408"/>
    </row>
    <row r="263" spans="2:80" s="7" customFormat="1" ht="14.25" customHeight="1">
      <c r="B263" s="849" t="s">
        <v>451</v>
      </c>
      <c r="C263" s="13"/>
      <c r="D263" s="619"/>
      <c r="E263" s="1280"/>
      <c r="F263" s="1280"/>
      <c r="G263" s="1280"/>
      <c r="H263" s="1280"/>
      <c r="I263" s="1280"/>
      <c r="J263" s="1280"/>
      <c r="K263" s="1280"/>
      <c r="L263" s="1280"/>
      <c r="M263" s="1280"/>
      <c r="N263" s="1280"/>
      <c r="O263" s="1280"/>
      <c r="P263" s="1280"/>
      <c r="Q263" s="1280"/>
      <c r="R263" s="1280"/>
      <c r="S263" s="1280"/>
      <c r="T263" s="1281"/>
      <c r="U263" s="1310"/>
      <c r="V263" s="1283"/>
      <c r="W263" s="1284"/>
      <c r="X263" s="1280"/>
      <c r="Y263" s="1310"/>
      <c r="Z263" s="1283"/>
      <c r="AA263" s="1282"/>
      <c r="AB263" s="20"/>
      <c r="AC263" s="1311"/>
      <c r="AD263" s="1286"/>
      <c r="AE263" s="1287"/>
      <c r="AF263" s="1285"/>
      <c r="AG263" s="1285"/>
      <c r="AH263" s="1285"/>
      <c r="AI263" s="1285"/>
      <c r="AJ263" s="1288"/>
      <c r="AK263" s="1285"/>
      <c r="AL263" s="1308">
        <f>(1-AL262)*AL261</f>
        <v>287.625</v>
      </c>
      <c r="AM263" s="1309">
        <f t="shared" ref="AM263:AU263" si="1067">(1-AM262)*AM261</f>
        <v>393.37499999999966</v>
      </c>
      <c r="AN263" s="1308">
        <f t="shared" si="1067"/>
        <v>324.48000000000008</v>
      </c>
      <c r="AO263" s="1308">
        <f t="shared" si="1067"/>
        <v>369.75</v>
      </c>
      <c r="AP263" s="1308">
        <f t="shared" si="1067"/>
        <v>390.72000000000014</v>
      </c>
      <c r="AQ263" s="1309">
        <f t="shared" si="1067"/>
        <v>324.52699999999999</v>
      </c>
      <c r="AR263" s="1308">
        <f t="shared" si="1067"/>
        <v>303.8416145201619</v>
      </c>
      <c r="AS263" s="1308">
        <f t="shared" si="1067"/>
        <v>359.23423601190837</v>
      </c>
      <c r="AT263" s="1308">
        <f t="shared" si="1067"/>
        <v>406.37316850833702</v>
      </c>
      <c r="AU263" s="1309">
        <f t="shared" si="1067"/>
        <v>293.12021970000006</v>
      </c>
      <c r="AV263" s="1308"/>
      <c r="AW263" s="1308"/>
      <c r="AX263" s="1308"/>
      <c r="AY263" s="1690"/>
      <c r="AZ263" s="1824"/>
      <c r="BA263" s="1308"/>
      <c r="BB263" s="1308"/>
      <c r="BC263" s="1309"/>
      <c r="BD263" s="1308"/>
      <c r="BE263" s="1308"/>
      <c r="BF263" s="1308"/>
      <c r="BG263" s="1309"/>
      <c r="BH263" s="1308"/>
      <c r="BI263" s="1308"/>
      <c r="BJ263" s="1308"/>
      <c r="BK263" s="1309"/>
      <c r="BM263" s="20"/>
      <c r="BN263" s="13"/>
      <c r="BO263" s="302"/>
      <c r="BP263" s="302"/>
      <c r="BQ263" s="302"/>
      <c r="BR263" s="302"/>
      <c r="BS263" s="302"/>
      <c r="BT263" s="302">
        <f>SUM(AF263:AI263)</f>
        <v>0</v>
      </c>
      <c r="BU263" s="302">
        <f>SUM(AJ263:AM263)</f>
        <v>680.99999999999966</v>
      </c>
      <c r="BV263" s="1923">
        <f>+SUM(AN263:AQ263)</f>
        <v>1409.4770000000003</v>
      </c>
      <c r="BW263" s="302">
        <f>+SUM(AR263:AU263)</f>
        <v>1362.5692387404072</v>
      </c>
      <c r="BX263" s="1420"/>
      <c r="BY263" s="302"/>
      <c r="BZ263" s="302"/>
      <c r="CA263" s="1670"/>
      <c r="CB263" s="1408"/>
    </row>
    <row r="264" spans="2:80" s="7" customFormat="1" ht="14.25" customHeight="1">
      <c r="B264" s="1312"/>
      <c r="C264" s="235"/>
      <c r="D264" s="1453"/>
      <c r="E264" s="1313"/>
      <c r="F264" s="1313"/>
      <c r="G264" s="1313"/>
      <c r="H264" s="1313"/>
      <c r="I264" s="1313"/>
      <c r="J264" s="1313"/>
      <c r="K264" s="1313"/>
      <c r="L264" s="1313"/>
      <c r="M264" s="1313"/>
      <c r="N264" s="1313"/>
      <c r="O264" s="1313"/>
      <c r="P264" s="1313"/>
      <c r="Q264" s="1313"/>
      <c r="R264" s="1313"/>
      <c r="S264" s="1313"/>
      <c r="T264" s="1314"/>
      <c r="U264" s="1315"/>
      <c r="V264" s="1313"/>
      <c r="W264" s="1316"/>
      <c r="X264" s="1313"/>
      <c r="Y264" s="1315"/>
      <c r="Z264" s="1313"/>
      <c r="AA264" s="1313"/>
      <c r="AB264" s="14"/>
      <c r="AC264" s="1317"/>
      <c r="AD264" s="235"/>
      <c r="AE264" s="15"/>
      <c r="AF264" s="1318"/>
      <c r="AG264" s="1318"/>
      <c r="AH264" s="1318"/>
      <c r="AI264" s="1318"/>
      <c r="AJ264" s="1319"/>
      <c r="AK264" s="1318"/>
      <c r="AL264" s="1318"/>
      <c r="AM264" s="1320"/>
      <c r="AN264" s="1318"/>
      <c r="AO264" s="1318"/>
      <c r="AP264" s="1318"/>
      <c r="AQ264" s="1320"/>
      <c r="AR264" s="1318"/>
      <c r="AS264" s="1318"/>
      <c r="AT264" s="1318"/>
      <c r="AU264" s="1320"/>
      <c r="AV264" s="1318"/>
      <c r="AW264" s="1318"/>
      <c r="AX264" s="1318"/>
      <c r="AY264" s="1691"/>
      <c r="AZ264" s="1826"/>
      <c r="BA264" s="1318"/>
      <c r="BB264" s="1318"/>
      <c r="BC264" s="1320"/>
      <c r="BD264" s="1318"/>
      <c r="BE264" s="1318"/>
      <c r="BF264" s="1318"/>
      <c r="BG264" s="1320"/>
      <c r="BH264" s="1318"/>
      <c r="BI264" s="1318"/>
      <c r="BJ264" s="1318"/>
      <c r="BK264" s="1320"/>
      <c r="BM264" s="14"/>
      <c r="BN264" s="235"/>
      <c r="BO264" s="1321"/>
      <c r="BP264" s="1321"/>
      <c r="BQ264" s="1321"/>
      <c r="BR264" s="1321"/>
      <c r="BS264" s="1321"/>
      <c r="BT264" s="1321"/>
      <c r="BU264" s="1321"/>
      <c r="BV264" s="1933"/>
      <c r="BW264" s="1321"/>
      <c r="BX264" s="1422"/>
      <c r="BY264" s="1321"/>
      <c r="BZ264" s="1321"/>
      <c r="CA264" s="1934"/>
      <c r="CB264" s="1408"/>
    </row>
    <row r="265" spans="2:80" ht="14.25" customHeight="1">
      <c r="U265" s="623"/>
      <c r="Y265" s="623"/>
      <c r="AC265" s="320"/>
      <c r="BY265" s="1419"/>
    </row>
    <row r="266" spans="2:80" ht="14.25" customHeight="1">
      <c r="U266" s="623"/>
      <c r="Y266" s="623"/>
      <c r="AC266" s="320"/>
      <c r="BY266" s="1419"/>
    </row>
    <row r="267" spans="2:80" ht="14.25" customHeight="1">
      <c r="U267" s="623"/>
      <c r="Y267" s="623"/>
      <c r="AC267" s="320"/>
      <c r="BY267" s="1419"/>
    </row>
    <row r="268" spans="2:80" ht="14.25" customHeight="1">
      <c r="U268" s="623"/>
      <c r="Y268" s="623"/>
      <c r="AC268" s="320"/>
      <c r="BY268" s="1419"/>
    </row>
    <row r="271" spans="2:80" ht="14.25" customHeight="1">
      <c r="AK271" s="1068"/>
    </row>
  </sheetData>
  <phoneticPr fontId="31" type="noConversion"/>
  <pageMargins left="0.25" right="0.25" top="0.25" bottom="0.25" header="0.5" footer="0.5"/>
  <pageSetup scale="43" orientation="landscape" r:id="rId1"/>
  <headerFooter alignWithMargins="0"/>
  <rowBreaks count="2" manualBreakCount="2">
    <brk id="98" max="16383" man="1"/>
    <brk id="99" min="1" max="53" man="1"/>
  </rowBreak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3"/>
  <sheetViews>
    <sheetView workbookViewId="0">
      <selection activeCell="B42" sqref="B42"/>
    </sheetView>
  </sheetViews>
  <sheetFormatPr defaultRowHeight="12.75"/>
  <cols>
    <col min="1" max="1" width="29.5703125" style="2028" bestFit="1" customWidth="1"/>
    <col min="2" max="2" width="19.85546875" style="2248" customWidth="1"/>
    <col min="3" max="3" width="12" style="2028" bestFit="1" customWidth="1"/>
    <col min="4" max="256" width="9.140625" style="2028"/>
    <col min="257" max="257" width="29.5703125" style="2028" bestFit="1" customWidth="1"/>
    <col min="258" max="258" width="19.85546875" style="2028" customWidth="1"/>
    <col min="259" max="259" width="12" style="2028" bestFit="1" customWidth="1"/>
    <col min="260" max="512" width="9.140625" style="2028"/>
    <col min="513" max="513" width="29.5703125" style="2028" bestFit="1" customWidth="1"/>
    <col min="514" max="514" width="19.85546875" style="2028" customWidth="1"/>
    <col min="515" max="515" width="12" style="2028" bestFit="1" customWidth="1"/>
    <col min="516" max="768" width="9.140625" style="2028"/>
    <col min="769" max="769" width="29.5703125" style="2028" bestFit="1" customWidth="1"/>
    <col min="770" max="770" width="19.85546875" style="2028" customWidth="1"/>
    <col min="771" max="771" width="12" style="2028" bestFit="1" customWidth="1"/>
    <col min="772" max="1024" width="9.140625" style="2028"/>
    <col min="1025" max="1025" width="29.5703125" style="2028" bestFit="1" customWidth="1"/>
    <col min="1026" max="1026" width="19.85546875" style="2028" customWidth="1"/>
    <col min="1027" max="1027" width="12" style="2028" bestFit="1" customWidth="1"/>
    <col min="1028" max="1280" width="9.140625" style="2028"/>
    <col min="1281" max="1281" width="29.5703125" style="2028" bestFit="1" customWidth="1"/>
    <col min="1282" max="1282" width="19.85546875" style="2028" customWidth="1"/>
    <col min="1283" max="1283" width="12" style="2028" bestFit="1" customWidth="1"/>
    <col min="1284" max="1536" width="9.140625" style="2028"/>
    <col min="1537" max="1537" width="29.5703125" style="2028" bestFit="1" customWidth="1"/>
    <col min="1538" max="1538" width="19.85546875" style="2028" customWidth="1"/>
    <col min="1539" max="1539" width="12" style="2028" bestFit="1" customWidth="1"/>
    <col min="1540" max="1792" width="9.140625" style="2028"/>
    <col min="1793" max="1793" width="29.5703125" style="2028" bestFit="1" customWidth="1"/>
    <col min="1794" max="1794" width="19.85546875" style="2028" customWidth="1"/>
    <col min="1795" max="1795" width="12" style="2028" bestFit="1" customWidth="1"/>
    <col min="1796" max="2048" width="9.140625" style="2028"/>
    <col min="2049" max="2049" width="29.5703125" style="2028" bestFit="1" customWidth="1"/>
    <col min="2050" max="2050" width="19.85546875" style="2028" customWidth="1"/>
    <col min="2051" max="2051" width="12" style="2028" bestFit="1" customWidth="1"/>
    <col min="2052" max="2304" width="9.140625" style="2028"/>
    <col min="2305" max="2305" width="29.5703125" style="2028" bestFit="1" customWidth="1"/>
    <col min="2306" max="2306" width="19.85546875" style="2028" customWidth="1"/>
    <col min="2307" max="2307" width="12" style="2028" bestFit="1" customWidth="1"/>
    <col min="2308" max="2560" width="9.140625" style="2028"/>
    <col min="2561" max="2561" width="29.5703125" style="2028" bestFit="1" customWidth="1"/>
    <col min="2562" max="2562" width="19.85546875" style="2028" customWidth="1"/>
    <col min="2563" max="2563" width="12" style="2028" bestFit="1" customWidth="1"/>
    <col min="2564" max="2816" width="9.140625" style="2028"/>
    <col min="2817" max="2817" width="29.5703125" style="2028" bestFit="1" customWidth="1"/>
    <col min="2818" max="2818" width="19.85546875" style="2028" customWidth="1"/>
    <col min="2819" max="2819" width="12" style="2028" bestFit="1" customWidth="1"/>
    <col min="2820" max="3072" width="9.140625" style="2028"/>
    <col min="3073" max="3073" width="29.5703125" style="2028" bestFit="1" customWidth="1"/>
    <col min="3074" max="3074" width="19.85546875" style="2028" customWidth="1"/>
    <col min="3075" max="3075" width="12" style="2028" bestFit="1" customWidth="1"/>
    <col min="3076" max="3328" width="9.140625" style="2028"/>
    <col min="3329" max="3329" width="29.5703125" style="2028" bestFit="1" customWidth="1"/>
    <col min="3330" max="3330" width="19.85546875" style="2028" customWidth="1"/>
    <col min="3331" max="3331" width="12" style="2028" bestFit="1" customWidth="1"/>
    <col min="3332" max="3584" width="9.140625" style="2028"/>
    <col min="3585" max="3585" width="29.5703125" style="2028" bestFit="1" customWidth="1"/>
    <col min="3586" max="3586" width="19.85546875" style="2028" customWidth="1"/>
    <col min="3587" max="3587" width="12" style="2028" bestFit="1" customWidth="1"/>
    <col min="3588" max="3840" width="9.140625" style="2028"/>
    <col min="3841" max="3841" width="29.5703125" style="2028" bestFit="1" customWidth="1"/>
    <col min="3842" max="3842" width="19.85546875" style="2028" customWidth="1"/>
    <col min="3843" max="3843" width="12" style="2028" bestFit="1" customWidth="1"/>
    <col min="3844" max="4096" width="9.140625" style="2028"/>
    <col min="4097" max="4097" width="29.5703125" style="2028" bestFit="1" customWidth="1"/>
    <col min="4098" max="4098" width="19.85546875" style="2028" customWidth="1"/>
    <col min="4099" max="4099" width="12" style="2028" bestFit="1" customWidth="1"/>
    <col min="4100" max="4352" width="9.140625" style="2028"/>
    <col min="4353" max="4353" width="29.5703125" style="2028" bestFit="1" customWidth="1"/>
    <col min="4354" max="4354" width="19.85546875" style="2028" customWidth="1"/>
    <col min="4355" max="4355" width="12" style="2028" bestFit="1" customWidth="1"/>
    <col min="4356" max="4608" width="9.140625" style="2028"/>
    <col min="4609" max="4609" width="29.5703125" style="2028" bestFit="1" customWidth="1"/>
    <col min="4610" max="4610" width="19.85546875" style="2028" customWidth="1"/>
    <col min="4611" max="4611" width="12" style="2028" bestFit="1" customWidth="1"/>
    <col min="4612" max="4864" width="9.140625" style="2028"/>
    <col min="4865" max="4865" width="29.5703125" style="2028" bestFit="1" customWidth="1"/>
    <col min="4866" max="4866" width="19.85546875" style="2028" customWidth="1"/>
    <col min="4867" max="4867" width="12" style="2028" bestFit="1" customWidth="1"/>
    <col min="4868" max="5120" width="9.140625" style="2028"/>
    <col min="5121" max="5121" width="29.5703125" style="2028" bestFit="1" customWidth="1"/>
    <col min="5122" max="5122" width="19.85546875" style="2028" customWidth="1"/>
    <col min="5123" max="5123" width="12" style="2028" bestFit="1" customWidth="1"/>
    <col min="5124" max="5376" width="9.140625" style="2028"/>
    <col min="5377" max="5377" width="29.5703125" style="2028" bestFit="1" customWidth="1"/>
    <col min="5378" max="5378" width="19.85546875" style="2028" customWidth="1"/>
    <col min="5379" max="5379" width="12" style="2028" bestFit="1" customWidth="1"/>
    <col min="5380" max="5632" width="9.140625" style="2028"/>
    <col min="5633" max="5633" width="29.5703125" style="2028" bestFit="1" customWidth="1"/>
    <col min="5634" max="5634" width="19.85546875" style="2028" customWidth="1"/>
    <col min="5635" max="5635" width="12" style="2028" bestFit="1" customWidth="1"/>
    <col min="5636" max="5888" width="9.140625" style="2028"/>
    <col min="5889" max="5889" width="29.5703125" style="2028" bestFit="1" customWidth="1"/>
    <col min="5890" max="5890" width="19.85546875" style="2028" customWidth="1"/>
    <col min="5891" max="5891" width="12" style="2028" bestFit="1" customWidth="1"/>
    <col min="5892" max="6144" width="9.140625" style="2028"/>
    <col min="6145" max="6145" width="29.5703125" style="2028" bestFit="1" customWidth="1"/>
    <col min="6146" max="6146" width="19.85546875" style="2028" customWidth="1"/>
    <col min="6147" max="6147" width="12" style="2028" bestFit="1" customWidth="1"/>
    <col min="6148" max="6400" width="9.140625" style="2028"/>
    <col min="6401" max="6401" width="29.5703125" style="2028" bestFit="1" customWidth="1"/>
    <col min="6402" max="6402" width="19.85546875" style="2028" customWidth="1"/>
    <col min="6403" max="6403" width="12" style="2028" bestFit="1" customWidth="1"/>
    <col min="6404" max="6656" width="9.140625" style="2028"/>
    <col min="6657" max="6657" width="29.5703125" style="2028" bestFit="1" customWidth="1"/>
    <col min="6658" max="6658" width="19.85546875" style="2028" customWidth="1"/>
    <col min="6659" max="6659" width="12" style="2028" bestFit="1" customWidth="1"/>
    <col min="6660" max="6912" width="9.140625" style="2028"/>
    <col min="6913" max="6913" width="29.5703125" style="2028" bestFit="1" customWidth="1"/>
    <col min="6914" max="6914" width="19.85546875" style="2028" customWidth="1"/>
    <col min="6915" max="6915" width="12" style="2028" bestFit="1" customWidth="1"/>
    <col min="6916" max="7168" width="9.140625" style="2028"/>
    <col min="7169" max="7169" width="29.5703125" style="2028" bestFit="1" customWidth="1"/>
    <col min="7170" max="7170" width="19.85546875" style="2028" customWidth="1"/>
    <col min="7171" max="7171" width="12" style="2028" bestFit="1" customWidth="1"/>
    <col min="7172" max="7424" width="9.140625" style="2028"/>
    <col min="7425" max="7425" width="29.5703125" style="2028" bestFit="1" customWidth="1"/>
    <col min="7426" max="7426" width="19.85546875" style="2028" customWidth="1"/>
    <col min="7427" max="7427" width="12" style="2028" bestFit="1" customWidth="1"/>
    <col min="7428" max="7680" width="9.140625" style="2028"/>
    <col min="7681" max="7681" width="29.5703125" style="2028" bestFit="1" customWidth="1"/>
    <col min="7682" max="7682" width="19.85546875" style="2028" customWidth="1"/>
    <col min="7683" max="7683" width="12" style="2028" bestFit="1" customWidth="1"/>
    <col min="7684" max="7936" width="9.140625" style="2028"/>
    <col min="7937" max="7937" width="29.5703125" style="2028" bestFit="1" customWidth="1"/>
    <col min="7938" max="7938" width="19.85546875" style="2028" customWidth="1"/>
    <col min="7939" max="7939" width="12" style="2028" bestFit="1" customWidth="1"/>
    <col min="7940" max="8192" width="9.140625" style="2028"/>
    <col min="8193" max="8193" width="29.5703125" style="2028" bestFit="1" customWidth="1"/>
    <col min="8194" max="8194" width="19.85546875" style="2028" customWidth="1"/>
    <col min="8195" max="8195" width="12" style="2028" bestFit="1" customWidth="1"/>
    <col min="8196" max="8448" width="9.140625" style="2028"/>
    <col min="8449" max="8449" width="29.5703125" style="2028" bestFit="1" customWidth="1"/>
    <col min="8450" max="8450" width="19.85546875" style="2028" customWidth="1"/>
    <col min="8451" max="8451" width="12" style="2028" bestFit="1" customWidth="1"/>
    <col min="8452" max="8704" width="9.140625" style="2028"/>
    <col min="8705" max="8705" width="29.5703125" style="2028" bestFit="1" customWidth="1"/>
    <col min="8706" max="8706" width="19.85546875" style="2028" customWidth="1"/>
    <col min="8707" max="8707" width="12" style="2028" bestFit="1" customWidth="1"/>
    <col min="8708" max="8960" width="9.140625" style="2028"/>
    <col min="8961" max="8961" width="29.5703125" style="2028" bestFit="1" customWidth="1"/>
    <col min="8962" max="8962" width="19.85546875" style="2028" customWidth="1"/>
    <col min="8963" max="8963" width="12" style="2028" bestFit="1" customWidth="1"/>
    <col min="8964" max="9216" width="9.140625" style="2028"/>
    <col min="9217" max="9217" width="29.5703125" style="2028" bestFit="1" customWidth="1"/>
    <col min="9218" max="9218" width="19.85546875" style="2028" customWidth="1"/>
    <col min="9219" max="9219" width="12" style="2028" bestFit="1" customWidth="1"/>
    <col min="9220" max="9472" width="9.140625" style="2028"/>
    <col min="9473" max="9473" width="29.5703125" style="2028" bestFit="1" customWidth="1"/>
    <col min="9474" max="9474" width="19.85546875" style="2028" customWidth="1"/>
    <col min="9475" max="9475" width="12" style="2028" bestFit="1" customWidth="1"/>
    <col min="9476" max="9728" width="9.140625" style="2028"/>
    <col min="9729" max="9729" width="29.5703125" style="2028" bestFit="1" customWidth="1"/>
    <col min="9730" max="9730" width="19.85546875" style="2028" customWidth="1"/>
    <col min="9731" max="9731" width="12" style="2028" bestFit="1" customWidth="1"/>
    <col min="9732" max="9984" width="9.140625" style="2028"/>
    <col min="9985" max="9985" width="29.5703125" style="2028" bestFit="1" customWidth="1"/>
    <col min="9986" max="9986" width="19.85546875" style="2028" customWidth="1"/>
    <col min="9987" max="9987" width="12" style="2028" bestFit="1" customWidth="1"/>
    <col min="9988" max="10240" width="9.140625" style="2028"/>
    <col min="10241" max="10241" width="29.5703125" style="2028" bestFit="1" customWidth="1"/>
    <col min="10242" max="10242" width="19.85546875" style="2028" customWidth="1"/>
    <col min="10243" max="10243" width="12" style="2028" bestFit="1" customWidth="1"/>
    <col min="10244" max="10496" width="9.140625" style="2028"/>
    <col min="10497" max="10497" width="29.5703125" style="2028" bestFit="1" customWidth="1"/>
    <col min="10498" max="10498" width="19.85546875" style="2028" customWidth="1"/>
    <col min="10499" max="10499" width="12" style="2028" bestFit="1" customWidth="1"/>
    <col min="10500" max="10752" width="9.140625" style="2028"/>
    <col min="10753" max="10753" width="29.5703125" style="2028" bestFit="1" customWidth="1"/>
    <col min="10754" max="10754" width="19.85546875" style="2028" customWidth="1"/>
    <col min="10755" max="10755" width="12" style="2028" bestFit="1" customWidth="1"/>
    <col min="10756" max="11008" width="9.140625" style="2028"/>
    <col min="11009" max="11009" width="29.5703125" style="2028" bestFit="1" customWidth="1"/>
    <col min="11010" max="11010" width="19.85546875" style="2028" customWidth="1"/>
    <col min="11011" max="11011" width="12" style="2028" bestFit="1" customWidth="1"/>
    <col min="11012" max="11264" width="9.140625" style="2028"/>
    <col min="11265" max="11265" width="29.5703125" style="2028" bestFit="1" customWidth="1"/>
    <col min="11266" max="11266" width="19.85546875" style="2028" customWidth="1"/>
    <col min="11267" max="11267" width="12" style="2028" bestFit="1" customWidth="1"/>
    <col min="11268" max="11520" width="9.140625" style="2028"/>
    <col min="11521" max="11521" width="29.5703125" style="2028" bestFit="1" customWidth="1"/>
    <col min="11522" max="11522" width="19.85546875" style="2028" customWidth="1"/>
    <col min="11523" max="11523" width="12" style="2028" bestFit="1" customWidth="1"/>
    <col min="11524" max="11776" width="9.140625" style="2028"/>
    <col min="11777" max="11777" width="29.5703125" style="2028" bestFit="1" customWidth="1"/>
    <col min="11778" max="11778" width="19.85546875" style="2028" customWidth="1"/>
    <col min="11779" max="11779" width="12" style="2028" bestFit="1" customWidth="1"/>
    <col min="11780" max="12032" width="9.140625" style="2028"/>
    <col min="12033" max="12033" width="29.5703125" style="2028" bestFit="1" customWidth="1"/>
    <col min="12034" max="12034" width="19.85546875" style="2028" customWidth="1"/>
    <col min="12035" max="12035" width="12" style="2028" bestFit="1" customWidth="1"/>
    <col min="12036" max="12288" width="9.140625" style="2028"/>
    <col min="12289" max="12289" width="29.5703125" style="2028" bestFit="1" customWidth="1"/>
    <col min="12290" max="12290" width="19.85546875" style="2028" customWidth="1"/>
    <col min="12291" max="12291" width="12" style="2028" bestFit="1" customWidth="1"/>
    <col min="12292" max="12544" width="9.140625" style="2028"/>
    <col min="12545" max="12545" width="29.5703125" style="2028" bestFit="1" customWidth="1"/>
    <col min="12546" max="12546" width="19.85546875" style="2028" customWidth="1"/>
    <col min="12547" max="12547" width="12" style="2028" bestFit="1" customWidth="1"/>
    <col min="12548" max="12800" width="9.140625" style="2028"/>
    <col min="12801" max="12801" width="29.5703125" style="2028" bestFit="1" customWidth="1"/>
    <col min="12802" max="12802" width="19.85546875" style="2028" customWidth="1"/>
    <col min="12803" max="12803" width="12" style="2028" bestFit="1" customWidth="1"/>
    <col min="12804" max="13056" width="9.140625" style="2028"/>
    <col min="13057" max="13057" width="29.5703125" style="2028" bestFit="1" customWidth="1"/>
    <col min="13058" max="13058" width="19.85546875" style="2028" customWidth="1"/>
    <col min="13059" max="13059" width="12" style="2028" bestFit="1" customWidth="1"/>
    <col min="13060" max="13312" width="9.140625" style="2028"/>
    <col min="13313" max="13313" width="29.5703125" style="2028" bestFit="1" customWidth="1"/>
    <col min="13314" max="13314" width="19.85546875" style="2028" customWidth="1"/>
    <col min="13315" max="13315" width="12" style="2028" bestFit="1" customWidth="1"/>
    <col min="13316" max="13568" width="9.140625" style="2028"/>
    <col min="13569" max="13569" width="29.5703125" style="2028" bestFit="1" customWidth="1"/>
    <col min="13570" max="13570" width="19.85546875" style="2028" customWidth="1"/>
    <col min="13571" max="13571" width="12" style="2028" bestFit="1" customWidth="1"/>
    <col min="13572" max="13824" width="9.140625" style="2028"/>
    <col min="13825" max="13825" width="29.5703125" style="2028" bestFit="1" customWidth="1"/>
    <col min="13826" max="13826" width="19.85546875" style="2028" customWidth="1"/>
    <col min="13827" max="13827" width="12" style="2028" bestFit="1" customWidth="1"/>
    <col min="13828" max="14080" width="9.140625" style="2028"/>
    <col min="14081" max="14081" width="29.5703125" style="2028" bestFit="1" customWidth="1"/>
    <col min="14082" max="14082" width="19.85546875" style="2028" customWidth="1"/>
    <col min="14083" max="14083" width="12" style="2028" bestFit="1" customWidth="1"/>
    <col min="14084" max="14336" width="9.140625" style="2028"/>
    <col min="14337" max="14337" width="29.5703125" style="2028" bestFit="1" customWidth="1"/>
    <col min="14338" max="14338" width="19.85546875" style="2028" customWidth="1"/>
    <col min="14339" max="14339" width="12" style="2028" bestFit="1" customWidth="1"/>
    <col min="14340" max="14592" width="9.140625" style="2028"/>
    <col min="14593" max="14593" width="29.5703125" style="2028" bestFit="1" customWidth="1"/>
    <col min="14594" max="14594" width="19.85546875" style="2028" customWidth="1"/>
    <col min="14595" max="14595" width="12" style="2028" bestFit="1" customWidth="1"/>
    <col min="14596" max="14848" width="9.140625" style="2028"/>
    <col min="14849" max="14849" width="29.5703125" style="2028" bestFit="1" customWidth="1"/>
    <col min="14850" max="14850" width="19.85546875" style="2028" customWidth="1"/>
    <col min="14851" max="14851" width="12" style="2028" bestFit="1" customWidth="1"/>
    <col min="14852" max="15104" width="9.140625" style="2028"/>
    <col min="15105" max="15105" width="29.5703125" style="2028" bestFit="1" customWidth="1"/>
    <col min="15106" max="15106" width="19.85546875" style="2028" customWidth="1"/>
    <col min="15107" max="15107" width="12" style="2028" bestFit="1" customWidth="1"/>
    <col min="15108" max="15360" width="9.140625" style="2028"/>
    <col min="15361" max="15361" width="29.5703125" style="2028" bestFit="1" customWidth="1"/>
    <col min="15362" max="15362" width="19.85546875" style="2028" customWidth="1"/>
    <col min="15363" max="15363" width="12" style="2028" bestFit="1" customWidth="1"/>
    <col min="15364" max="15616" width="9.140625" style="2028"/>
    <col min="15617" max="15617" width="29.5703125" style="2028" bestFit="1" customWidth="1"/>
    <col min="15618" max="15618" width="19.85546875" style="2028" customWidth="1"/>
    <col min="15619" max="15619" width="12" style="2028" bestFit="1" customWidth="1"/>
    <col min="15620" max="15872" width="9.140625" style="2028"/>
    <col min="15873" max="15873" width="29.5703125" style="2028" bestFit="1" customWidth="1"/>
    <col min="15874" max="15874" width="19.85546875" style="2028" customWidth="1"/>
    <col min="15875" max="15875" width="12" style="2028" bestFit="1" customWidth="1"/>
    <col min="15876" max="16128" width="9.140625" style="2028"/>
    <col min="16129" max="16129" width="29.5703125" style="2028" bestFit="1" customWidth="1"/>
    <col min="16130" max="16130" width="19.85546875" style="2028" customWidth="1"/>
    <col min="16131" max="16131" width="12" style="2028" bestFit="1" customWidth="1"/>
    <col min="16132" max="16384" width="9.140625" style="2028"/>
  </cols>
  <sheetData>
    <row r="1" spans="1:2">
      <c r="A1" s="2028" t="s">
        <v>955</v>
      </c>
      <c r="B1" s="2247">
        <v>6.1</v>
      </c>
    </row>
    <row r="2" spans="1:2">
      <c r="A2" s="2028" t="s">
        <v>956</v>
      </c>
      <c r="B2" s="2251">
        <v>43216.356249999997</v>
      </c>
    </row>
    <row r="3" spans="1:2">
      <c r="A3" s="2028" t="s">
        <v>957</v>
      </c>
      <c r="B3" s="2248" t="s">
        <v>656</v>
      </c>
    </row>
    <row r="4" spans="1:2">
      <c r="A4" s="2028" t="s">
        <v>958</v>
      </c>
      <c r="B4" s="2248" t="s">
        <v>417</v>
      </c>
    </row>
    <row r="5" spans="1:2">
      <c r="A5" s="2028" t="s">
        <v>959</v>
      </c>
      <c r="B5" s="2248" t="s">
        <v>960</v>
      </c>
    </row>
    <row r="6" spans="1:2">
      <c r="A6" s="2028" t="s">
        <v>961</v>
      </c>
    </row>
    <row r="7" spans="1:2">
      <c r="A7" s="2028" t="s">
        <v>401</v>
      </c>
      <c r="B7" s="2248" t="s">
        <v>229</v>
      </c>
    </row>
    <row r="8" spans="1:2">
      <c r="A8" s="2028" t="s">
        <v>962</v>
      </c>
      <c r="B8" s="2248" t="s">
        <v>963</v>
      </c>
    </row>
    <row r="9" spans="1:2">
      <c r="A9" s="2028" t="s">
        <v>964</v>
      </c>
      <c r="B9" s="2248" t="s">
        <v>1001</v>
      </c>
    </row>
    <row r="10" spans="1:2">
      <c r="A10" s="2028" t="s">
        <v>965</v>
      </c>
    </row>
    <row r="11" spans="1:2">
      <c r="A11" s="2028" t="s">
        <v>966</v>
      </c>
    </row>
    <row r="12" spans="1:2">
      <c r="A12" s="2028" t="s">
        <v>967</v>
      </c>
    </row>
    <row r="13" spans="1:2">
      <c r="A13" s="2028" t="s">
        <v>968</v>
      </c>
    </row>
    <row r="14" spans="1:2">
      <c r="A14" s="2028" t="s">
        <v>969</v>
      </c>
    </row>
    <row r="15" spans="1:2">
      <c r="A15" s="2028" t="s">
        <v>970</v>
      </c>
    </row>
    <row r="16" spans="1:2">
      <c r="A16" s="2028" t="s">
        <v>971</v>
      </c>
    </row>
    <row r="17" spans="1:4">
      <c r="A17" s="2028" t="s">
        <v>972</v>
      </c>
      <c r="B17" s="2248" t="s">
        <v>1002</v>
      </c>
    </row>
    <row r="18" spans="1:4">
      <c r="A18" s="2028" t="s">
        <v>973</v>
      </c>
      <c r="B18" s="2248" t="s">
        <v>1005</v>
      </c>
    </row>
    <row r="19" spans="1:4">
      <c r="A19" s="2028" t="s">
        <v>974</v>
      </c>
      <c r="B19" s="2248" t="s">
        <v>532</v>
      </c>
    </row>
    <row r="20" spans="1:4">
      <c r="A20" s="2028" t="s">
        <v>975</v>
      </c>
      <c r="B20" s="2249">
        <v>7903107</v>
      </c>
    </row>
    <row r="21" spans="1:4">
      <c r="A21" s="2028" t="s">
        <v>976</v>
      </c>
      <c r="B21" s="2248" t="s">
        <v>532</v>
      </c>
    </row>
    <row r="22" spans="1:4">
      <c r="A22" s="2028" t="s">
        <v>977</v>
      </c>
      <c r="B22" s="2249">
        <v>2007849</v>
      </c>
    </row>
    <row r="23" spans="1:4">
      <c r="A23" s="2028" t="s">
        <v>187</v>
      </c>
      <c r="B23" s="2247">
        <v>9.7100000000000009</v>
      </c>
    </row>
    <row r="24" spans="1:4">
      <c r="A24" s="2028" t="s">
        <v>186</v>
      </c>
      <c r="B24" s="2248" t="s">
        <v>70</v>
      </c>
      <c r="D24" s="2028" t="s">
        <v>373</v>
      </c>
    </row>
    <row r="25" spans="1:4">
      <c r="A25" s="2028" t="s">
        <v>978</v>
      </c>
      <c r="B25" s="2248" t="s">
        <v>1006</v>
      </c>
    </row>
    <row r="26" spans="1:4">
      <c r="A26" s="2028" t="s">
        <v>979</v>
      </c>
      <c r="B26" s="2248">
        <v>0</v>
      </c>
    </row>
    <row r="27" spans="1:4">
      <c r="A27" s="2028" t="s">
        <v>980</v>
      </c>
      <c r="B27" s="2248" t="s">
        <v>981</v>
      </c>
    </row>
    <row r="28" spans="1:4">
      <c r="A28" s="2028" t="s">
        <v>982</v>
      </c>
      <c r="B28" s="2248" t="s">
        <v>983</v>
      </c>
    </row>
    <row r="29" spans="1:4">
      <c r="A29" s="2028" t="s">
        <v>984</v>
      </c>
    </row>
    <row r="30" spans="1:4">
      <c r="A30" s="2028" t="s">
        <v>985</v>
      </c>
    </row>
    <row r="31" spans="1:4">
      <c r="A31" s="2028" t="s">
        <v>986</v>
      </c>
    </row>
    <row r="32" spans="1:4">
      <c r="A32" s="2028" t="s">
        <v>987</v>
      </c>
      <c r="B32" s="2247"/>
    </row>
    <row r="33" spans="1:2">
      <c r="A33" s="2028" t="s">
        <v>988</v>
      </c>
      <c r="B33" s="2247"/>
    </row>
    <row r="34" spans="1:2">
      <c r="A34" s="2028" t="s">
        <v>989</v>
      </c>
      <c r="B34" s="2247"/>
    </row>
    <row r="35" spans="1:2">
      <c r="A35" s="2028" t="s">
        <v>990</v>
      </c>
      <c r="B35" s="2248">
        <v>1000000</v>
      </c>
    </row>
    <row r="36" spans="1:2">
      <c r="A36" s="2028" t="s">
        <v>991</v>
      </c>
      <c r="B36" s="2248" t="s">
        <v>1003</v>
      </c>
    </row>
    <row r="37" spans="1:2">
      <c r="A37" s="2028" t="s">
        <v>992</v>
      </c>
      <c r="B37" s="2248" t="s">
        <v>993</v>
      </c>
    </row>
    <row r="38" spans="1:2">
      <c r="A38" s="2028" t="s">
        <v>994</v>
      </c>
      <c r="B38" s="2248" t="s">
        <v>995</v>
      </c>
    </row>
    <row r="39" spans="1:2">
      <c r="A39" s="2028" t="s">
        <v>996</v>
      </c>
      <c r="B39" s="2248" t="s">
        <v>1004</v>
      </c>
    </row>
    <row r="40" spans="1:2">
      <c r="A40" s="2028" t="s">
        <v>997</v>
      </c>
      <c r="B40" s="2248">
        <v>1500000092</v>
      </c>
    </row>
    <row r="41" spans="1:2">
      <c r="A41" s="2028" t="s">
        <v>998</v>
      </c>
      <c r="B41" s="2248">
        <v>1</v>
      </c>
    </row>
    <row r="42" spans="1:2">
      <c r="A42" s="2250" t="s">
        <v>999</v>
      </c>
    </row>
    <row r="43" spans="1:2">
      <c r="A43" s="2028" t="s">
        <v>1000</v>
      </c>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cols>
    <col min="1" max="1" width="28.5703125" style="2028" bestFit="1" customWidth="1"/>
    <col min="2" max="256" width="9.140625" style="2028"/>
    <col min="257" max="257" width="28.5703125" style="2028" bestFit="1" customWidth="1"/>
    <col min="258" max="512" width="9.140625" style="2028"/>
    <col min="513" max="513" width="28.5703125" style="2028" bestFit="1" customWidth="1"/>
    <col min="514" max="768" width="9.140625" style="2028"/>
    <col min="769" max="769" width="28.5703125" style="2028" bestFit="1" customWidth="1"/>
    <col min="770" max="1024" width="9.140625" style="2028"/>
    <col min="1025" max="1025" width="28.5703125" style="2028" bestFit="1" customWidth="1"/>
    <col min="1026" max="1280" width="9.140625" style="2028"/>
    <col min="1281" max="1281" width="28.5703125" style="2028" bestFit="1" customWidth="1"/>
    <col min="1282" max="1536" width="9.140625" style="2028"/>
    <col min="1537" max="1537" width="28.5703125" style="2028" bestFit="1" customWidth="1"/>
    <col min="1538" max="1792" width="9.140625" style="2028"/>
    <col min="1793" max="1793" width="28.5703125" style="2028" bestFit="1" customWidth="1"/>
    <col min="1794" max="2048" width="9.140625" style="2028"/>
    <col min="2049" max="2049" width="28.5703125" style="2028" bestFit="1" customWidth="1"/>
    <col min="2050" max="2304" width="9.140625" style="2028"/>
    <col min="2305" max="2305" width="28.5703125" style="2028" bestFit="1" customWidth="1"/>
    <col min="2306" max="2560" width="9.140625" style="2028"/>
    <col min="2561" max="2561" width="28.5703125" style="2028" bestFit="1" customWidth="1"/>
    <col min="2562" max="2816" width="9.140625" style="2028"/>
    <col min="2817" max="2817" width="28.5703125" style="2028" bestFit="1" customWidth="1"/>
    <col min="2818" max="3072" width="9.140625" style="2028"/>
    <col min="3073" max="3073" width="28.5703125" style="2028" bestFit="1" customWidth="1"/>
    <col min="3074" max="3328" width="9.140625" style="2028"/>
    <col min="3329" max="3329" width="28.5703125" style="2028" bestFit="1" customWidth="1"/>
    <col min="3330" max="3584" width="9.140625" style="2028"/>
    <col min="3585" max="3585" width="28.5703125" style="2028" bestFit="1" customWidth="1"/>
    <col min="3586" max="3840" width="9.140625" style="2028"/>
    <col min="3841" max="3841" width="28.5703125" style="2028" bestFit="1" customWidth="1"/>
    <col min="3842" max="4096" width="9.140625" style="2028"/>
    <col min="4097" max="4097" width="28.5703125" style="2028" bestFit="1" customWidth="1"/>
    <col min="4098" max="4352" width="9.140625" style="2028"/>
    <col min="4353" max="4353" width="28.5703125" style="2028" bestFit="1" customWidth="1"/>
    <col min="4354" max="4608" width="9.140625" style="2028"/>
    <col min="4609" max="4609" width="28.5703125" style="2028" bestFit="1" customWidth="1"/>
    <col min="4610" max="4864" width="9.140625" style="2028"/>
    <col min="4865" max="4865" width="28.5703125" style="2028" bestFit="1" customWidth="1"/>
    <col min="4866" max="5120" width="9.140625" style="2028"/>
    <col min="5121" max="5121" width="28.5703125" style="2028" bestFit="1" customWidth="1"/>
    <col min="5122" max="5376" width="9.140625" style="2028"/>
    <col min="5377" max="5377" width="28.5703125" style="2028" bestFit="1" customWidth="1"/>
    <col min="5378" max="5632" width="9.140625" style="2028"/>
    <col min="5633" max="5633" width="28.5703125" style="2028" bestFit="1" customWidth="1"/>
    <col min="5634" max="5888" width="9.140625" style="2028"/>
    <col min="5889" max="5889" width="28.5703125" style="2028" bestFit="1" customWidth="1"/>
    <col min="5890" max="6144" width="9.140625" style="2028"/>
    <col min="6145" max="6145" width="28.5703125" style="2028" bestFit="1" customWidth="1"/>
    <col min="6146" max="6400" width="9.140625" style="2028"/>
    <col min="6401" max="6401" width="28.5703125" style="2028" bestFit="1" customWidth="1"/>
    <col min="6402" max="6656" width="9.140625" style="2028"/>
    <col min="6657" max="6657" width="28.5703125" style="2028" bestFit="1" customWidth="1"/>
    <col min="6658" max="6912" width="9.140625" style="2028"/>
    <col min="6913" max="6913" width="28.5703125" style="2028" bestFit="1" customWidth="1"/>
    <col min="6914" max="7168" width="9.140625" style="2028"/>
    <col min="7169" max="7169" width="28.5703125" style="2028" bestFit="1" customWidth="1"/>
    <col min="7170" max="7424" width="9.140625" style="2028"/>
    <col min="7425" max="7425" width="28.5703125" style="2028" bestFit="1" customWidth="1"/>
    <col min="7426" max="7680" width="9.140625" style="2028"/>
    <col min="7681" max="7681" width="28.5703125" style="2028" bestFit="1" customWidth="1"/>
    <col min="7682" max="7936" width="9.140625" style="2028"/>
    <col min="7937" max="7937" width="28.5703125" style="2028" bestFit="1" customWidth="1"/>
    <col min="7938" max="8192" width="9.140625" style="2028"/>
    <col min="8193" max="8193" width="28.5703125" style="2028" bestFit="1" customWidth="1"/>
    <col min="8194" max="8448" width="9.140625" style="2028"/>
    <col min="8449" max="8449" width="28.5703125" style="2028" bestFit="1" customWidth="1"/>
    <col min="8450" max="8704" width="9.140625" style="2028"/>
    <col min="8705" max="8705" width="28.5703125" style="2028" bestFit="1" customWidth="1"/>
    <col min="8706" max="8960" width="9.140625" style="2028"/>
    <col min="8961" max="8961" width="28.5703125" style="2028" bestFit="1" customWidth="1"/>
    <col min="8962" max="9216" width="9.140625" style="2028"/>
    <col min="9217" max="9217" width="28.5703125" style="2028" bestFit="1" customWidth="1"/>
    <col min="9218" max="9472" width="9.140625" style="2028"/>
    <col min="9473" max="9473" width="28.5703125" style="2028" bestFit="1" customWidth="1"/>
    <col min="9474" max="9728" width="9.140625" style="2028"/>
    <col min="9729" max="9729" width="28.5703125" style="2028" bestFit="1" customWidth="1"/>
    <col min="9730" max="9984" width="9.140625" style="2028"/>
    <col min="9985" max="9985" width="28.5703125" style="2028" bestFit="1" customWidth="1"/>
    <col min="9986" max="10240" width="9.140625" style="2028"/>
    <col min="10241" max="10241" width="28.5703125" style="2028" bestFit="1" customWidth="1"/>
    <col min="10242" max="10496" width="9.140625" style="2028"/>
    <col min="10497" max="10497" width="28.5703125" style="2028" bestFit="1" customWidth="1"/>
    <col min="10498" max="10752" width="9.140625" style="2028"/>
    <col min="10753" max="10753" width="28.5703125" style="2028" bestFit="1" customWidth="1"/>
    <col min="10754" max="11008" width="9.140625" style="2028"/>
    <col min="11009" max="11009" width="28.5703125" style="2028" bestFit="1" customWidth="1"/>
    <col min="11010" max="11264" width="9.140625" style="2028"/>
    <col min="11265" max="11265" width="28.5703125" style="2028" bestFit="1" customWidth="1"/>
    <col min="11266" max="11520" width="9.140625" style="2028"/>
    <col min="11521" max="11521" width="28.5703125" style="2028" bestFit="1" customWidth="1"/>
    <col min="11522" max="11776" width="9.140625" style="2028"/>
    <col min="11777" max="11777" width="28.5703125" style="2028" bestFit="1" customWidth="1"/>
    <col min="11778" max="12032" width="9.140625" style="2028"/>
    <col min="12033" max="12033" width="28.5703125" style="2028" bestFit="1" customWidth="1"/>
    <col min="12034" max="12288" width="9.140625" style="2028"/>
    <col min="12289" max="12289" width="28.5703125" style="2028" bestFit="1" customWidth="1"/>
    <col min="12290" max="12544" width="9.140625" style="2028"/>
    <col min="12545" max="12545" width="28.5703125" style="2028" bestFit="1" customWidth="1"/>
    <col min="12546" max="12800" width="9.140625" style="2028"/>
    <col min="12801" max="12801" width="28.5703125" style="2028" bestFit="1" customWidth="1"/>
    <col min="12802" max="13056" width="9.140625" style="2028"/>
    <col min="13057" max="13057" width="28.5703125" style="2028" bestFit="1" customWidth="1"/>
    <col min="13058" max="13312" width="9.140625" style="2028"/>
    <col min="13313" max="13313" width="28.5703125" style="2028" bestFit="1" customWidth="1"/>
    <col min="13314" max="13568" width="9.140625" style="2028"/>
    <col min="13569" max="13569" width="28.5703125" style="2028" bestFit="1" customWidth="1"/>
    <col min="13570" max="13824" width="9.140625" style="2028"/>
    <col min="13825" max="13825" width="28.5703125" style="2028" bestFit="1" customWidth="1"/>
    <col min="13826" max="14080" width="9.140625" style="2028"/>
    <col min="14081" max="14081" width="28.5703125" style="2028" bestFit="1" customWidth="1"/>
    <col min="14082" max="14336" width="9.140625" style="2028"/>
    <col min="14337" max="14337" width="28.5703125" style="2028" bestFit="1" customWidth="1"/>
    <col min="14338" max="14592" width="9.140625" style="2028"/>
    <col min="14593" max="14593" width="28.5703125" style="2028" bestFit="1" customWidth="1"/>
    <col min="14594" max="14848" width="9.140625" style="2028"/>
    <col min="14849" max="14849" width="28.5703125" style="2028" bestFit="1" customWidth="1"/>
    <col min="14850" max="15104" width="9.140625" style="2028"/>
    <col min="15105" max="15105" width="28.5703125" style="2028" bestFit="1" customWidth="1"/>
    <col min="15106" max="15360" width="9.140625" style="2028"/>
    <col min="15361" max="15361" width="28.5703125" style="2028" bestFit="1" customWidth="1"/>
    <col min="15362" max="15616" width="9.140625" style="2028"/>
    <col min="15617" max="15617" width="28.5703125" style="2028" bestFit="1" customWidth="1"/>
    <col min="15618" max="15872" width="9.140625" style="2028"/>
    <col min="15873" max="15873" width="28.5703125" style="2028" bestFit="1" customWidth="1"/>
    <col min="15874" max="16128" width="9.140625" style="2028"/>
    <col min="16129" max="16129" width="28.5703125" style="2028" bestFit="1" customWidth="1"/>
    <col min="16130" max="16384" width="9.140625" style="2028"/>
  </cols>
  <sheetData>
    <row r="1" spans="1:1">
      <c r="A1" s="2252" t="s">
        <v>1007</v>
      </c>
    </row>
    <row r="2" spans="1:1">
      <c r="A2" s="2252" t="s">
        <v>1012</v>
      </c>
    </row>
    <row r="3" spans="1:1">
      <c r="A3" s="2252" t="s">
        <v>1013</v>
      </c>
    </row>
    <row r="4" spans="1:1">
      <c r="A4" s="2252" t="s">
        <v>1014</v>
      </c>
    </row>
    <row r="5" spans="1:1">
      <c r="A5" s="2252" t="s">
        <v>1015</v>
      </c>
    </row>
    <row r="6" spans="1:1">
      <c r="A6" s="2252" t="s">
        <v>1008</v>
      </c>
    </row>
    <row r="7" spans="1:1">
      <c r="A7" s="2252" t="s">
        <v>1016</v>
      </c>
    </row>
    <row r="8" spans="1:1">
      <c r="A8" s="2252" t="s">
        <v>1017</v>
      </c>
    </row>
    <row r="9" spans="1:1">
      <c r="A9" s="2252" t="s">
        <v>1018</v>
      </c>
    </row>
    <row r="10" spans="1:1">
      <c r="A10" s="2252" t="s">
        <v>1009</v>
      </c>
    </row>
    <row r="11" spans="1:1">
      <c r="A11" s="2252" t="s">
        <v>1019</v>
      </c>
    </row>
    <row r="12" spans="1:1">
      <c r="A12" s="2252" t="s">
        <v>1010</v>
      </c>
    </row>
    <row r="13" spans="1:1">
      <c r="A13" s="2252" t="s">
        <v>1011</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66d21581-3bd0-4caf-abda-8c82daf01d0e</GUID>
    <SOURCE_ALTADDRESS>$D$6:$X$15</SOURCE_ALTADDRESS>
    <SOURCETYPE>Table</SOURCETYPE>
    <SOURCE_OBJECTNAME>Linking_Range_64</SOURCE_OBJECTNAME>
    <OBJECTTYPE>Native</OBJECTTYPE>
    <SOURCE_SHEETCODE>Sheet34</SOURCE_SHEETCODE>
    <SOURCE_SHEETNAME>MS vs. Cons.</SOURCE_SHEETNAME>
    <SOURCEAPPLICATION>EXCEL_SOURCE</SOURCEAPPLICATION>
    <UPDATEDAT>4/10/2015 3:22:40 PM</UPDATEDAT>
    <SOURCE_ISOUTOFDATE>False</SOURCE_ISOUTOFDATE>
    <SOURCE_WORKBOOKNAME>AMD WIP-new.xls</SOURCE_WORKBOOKNAME>
    <SOURCE_WORKBOOKPATH>\\MSAD\ROOT\NA\NY\LIB\ER\SEMI CAP\Joe Files\Companies\AMD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/MSResearch/Content/ExternalAssets/2015-04/Images/7ngdWIpgUUemhxik_eXv9w--.png</TARGET_BINARYFULLNAME>
    <TARGET_STORYFULLNAME>/MSResearch/Content/ExternalAssets/2015-04/Sections/20150410_032238_Linking_Range_64.xml</TARGET_STORYFULLNAME>
    <TARGET_UUID>f3141502-dfb6-11e4-9cfb-6eb77350c59b</TARGET_UUID>
  </Link>
  <Link>
    <GUID>bfdb6ef8-d372-4bf2-952e-bd6266c6165f</GUID>
    <SOURCE_ALTADDRESS>$B$5:$J$35</SOURCE_ALTADDRESS>
    <SOURCETYPE>Table</SOURCETYPE>
    <SOURCE_OBJECTNAME>Linking_Range_29</SOURCE_OBJECTNAME>
    <OBJECTTYPE>Native</OBJECTTYPE>
    <SOURCE_SHEETCODE>Sheet15</SOURCE_SHEETCODE>
    <SOURCE_SHEETNAME>QoQ Comp</SOURCE_SHEETNAME>
    <SOURCEAPPLICATION>EXCEL_SOURCE</SOURCEAPPLICATION>
    <UPDATEDAT>4/16/2015 9:41:37 PM</UPDATEDAT>
    <SOURCE_ISOUTOFDATE>False</SOURCE_ISOUTOFDATE>
    <SOURCE_WORKBOOKNAME>AMD WIP-new.xls</SOURCE_WORKBOOKNAME>
    <SOURCE_WORKBOOKPATH>\\MSAD\ROOT\NA\NY\LIB\ER\SEMI CAP\Joe Files\Companies\AMD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/MSResearch/Content/ExternalAssets/2015-04/Images/ui0Yytf-EkujODp9GcG0Ag--.png</TARGET_BINARYFULLNAME>
    <TARGET_STORYFULLNAME>/MSResearch/Content/ExternalAssets/2015-04/Sections/20150416_094135_Linking_Range_29.xml</TARGET_STORYFULLNAME>
    <TARGET_UUID>e1c417e8-e4a2-11e4-8428-e799a3b9280a</TARGET_UUID>
  </Link>
  <Link>
    <GUID>d7e15ca7-1f92-4076-9c58-24e759095be1</GUID>
    <SOURCE_ALTADDRESS>$C$9:$L$18</SOURCE_ALTADDRESS>
    <SOURCETYPE>Table</SOURCETYPE>
    <SOURCE_OBJECTNAME>Linking_Range_65</SOURCE_OBJECTNAME>
    <OBJECTTYPE>Native</OBJECTTYPE>
    <SOURCE_SHEETCODE>Sheet13</SOURCE_SHEETCODE>
    <SOURCE_SHEETNAME>Snapshot</SOURCE_SHEETNAME>
    <SOURCEAPPLICATION>EXCEL_SOURCE</SOURCEAPPLICATION>
    <UPDATEDAT>4/16/2015 9:42:17 PM</UPDATEDAT>
    <SOURCE_ISOUTOFDATE>False</SOURCE_ISOUTOFDATE>
    <SOURCE_WORKBOOKNAME>AMD WIP-new.xls</SOURCE_WORKBOOKNAME>
    <SOURCE_WORKBOOKPATH>\\MSAD\ROOT\NA\NY\LIB\ER\SEMI CAP\Joe Files\Companies\AMD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/MSResearch/Content/ExternalAssets/2015-04/Images/zTlEFN4YjkyqZ1Ku3ptCIA--.png</TARGET_BINARYFULLNAME>
    <TARGET_STORYFULLNAME>/MSResearch/Content/ExternalAssets/2015-04/Sections/20150416_094214_Linking_Range_65.xml</TARGET_STORYFULLNAME>
    <TARGET_UUID>f947830a-e4a2-11e4-8428-e799a3b9280a</TARGET_UUID>
  </Link>
  <Link>
    <GUID>48851fd0-3735-43dd-a3b6-d3015ee16bf3</GUID>
    <SOURCE_ALTADDRESS>$C$20:$J$27</SOURCE_ALTADDRESS>
    <SOURCETYPE>Table</SOURCETYPE>
    <SOURCE_OBJECTNAME>Linking_Range_71</SOURCE_OBJECTNAME>
    <OBJECTTYPE>Native</OBJECTTYPE>
    <SOURCE_SHEETCODE>Sheet13</SOURCE_SHEETCODE>
    <SOURCE_SHEETNAME>Snapshot</SOURCE_SHEETNAME>
    <SOURCEAPPLICATION>EXCEL_SOURCE</SOURCEAPPLICATION>
    <UPDATEDAT>4/16/2015 9:42:30 PM</UPDATEDAT>
    <SOURCE_ISOUTOFDATE>False</SOURCE_ISOUTOFDATE>
    <SOURCE_WORKBOOKNAME>AMD WIP-new.xls</SOURCE_WORKBOOKNAME>
    <SOURCE_WORKBOOKPATH>\\MSAD\ROOT\NA\NY\LIB\ER\SEMI CAP\Joe Files\Companies\AMD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/MSResearch/Content/ExternalAssets/2015-04/Images/-lPkd_yTSk_GcxcL4xn9bg--.png</TARGET_BINARYFULLNAME>
    <TARGET_STORYFULLNAME>/MSResearch/Content/ExternalAssets/2015-04/Sections/20150416_094226_Linking_Range_71.xml</TARGET_STORYFULLNAME>
    <TARGET_UUID>00a37ad2-e4a3-11e4-8428-e799a3b9280a</TARGET_UUID>
  </Link>
  <Link>
    <GUID>f47405cb-8882-4f66-89ca-159dce1feeb8</GUID>
    <SOURCETYPE>Chart</SOURCETYPE>
    <SOURCE_OBJECTNAME>MWA_Risk_Reward</SOURCE_OBJECTNAME>
    <SOURCE_SHEETCODE>MWRSSData</SOURCE_SHEETCODE>
    <SOURCE_SHEETNAME>MWA RR</SOURCE_SHEETNAME>
    <OBJECTTYPE>Native</OBJECTTYPE>
    <SOURCEAPPLICATION>EXCEL_SOURCE</SOURCEAPPLICATION>
    <UPDATEDAT>4/16/2015 9:43:38 PM</UPDATEDAT>
    <SOURCE_ISOUTOFDATE>False</SOURCE_ISOUTOFDATE>
    <SOURCE_WORKBOOKNAME>AMD WIP-new.xls</SOURCE_WORKBOOKNAME>
    <SOURCE_WORKBOOKPATH>\\MSAD\ROOT\NA\NY\LIB\ER\SEMI CAP\Joe Files\Companies\AMD</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/MSResearch/Content/ExternalAssets/2015-04/Images/XMmOQWot-0yLHb_4L90Ueg--.png</TARGET_BINARYFULLNAME>
    <TARGET_STORYFULLNAME>/MSResearch/Content/ExternalAssets/2015-04/Sections/20150410_074725_MWA_Risk_Reward.xml</TARGET_STORYFULLNAME>
    <TARGET_UUID>f0b35bea-dfdb-11e4-9cfb-6eb77350c59b</TARGET_UUID>
    <HIDEGRIDLINES>False</HIDEGRIDLINES>
  </Link>
  <Link>
    <GUID>f6bfafc9-7ff8-4d6f-954e-f697aef85778</GUID>
    <SOURCE_ALTADDRESS>$B$5:$BH$107</SOURCE_ALTADDRESS>
    <SOURCETYPE>Table</SOURCETYPE>
    <SOURCE_OBJECTNAME>Linking_Range_72</SOURCE_OBJECTNAME>
    <OBJECTTYPE>Native</OBJECTTYPE>
    <SOURCE_SHEETCODE>Sheet2</SOURCE_SHEETCODE>
    <SOURCE_SHEETNAME>IS</SOURCE_SHEETNAME>
    <SOURCEAPPLICATION>EXCEL_SOURCE</SOURCEAPPLICATION>
    <UPDATEDAT>4/16/2015 10:02:31 PM</UPDATEDAT>
    <SOURCE_ISOUTOFDATE>False</SOURCE_ISOUTOFDATE>
    <SOURCE_WORKBOOKNAME>AMD WIP-new.xls</SOURCE_WORKBOOKNAME>
    <SOURCE_WORKBOOKPATH>\\MSAD\ROOT\NA\NY\LIB\ER\SEMI CAP\Joe Files\Companies\AMD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/MSResearch/Content/ExternalAssets/2015-04/Images/TfegDcwmg0W9kEU2XHCeeg--.png</TARGET_BINARYFULLNAME>
    <TARGET_STORYFULLNAME>/MSResearch/Content/ExternalAssets/2015-04/Sections/20150416_100226_Linking_Range_72.xml</TARGET_STORYFULLNAME>
    <TARGET_UUID>cbdaa2dc-e4a5-11e4-8428-e799a3b9280a</TARGET_UUID>
  </Link>
  <Link>
    <GUID>eb7cf6e7-b0d7-41dc-a392-697847088168</GUID>
    <SOURCE_ALTADDRESS>$B$4:$BH$107</SOURCE_ALTADDRESS>
    <SOURCETYPE>Table</SOURCETYPE>
    <SOURCE_OBJECTNAME>Linking_Range_68</SOURCE_OBJECTNAME>
    <OBJECTTYPE>Native</OBJECTTYPE>
    <SOURCE_SHEETCODE>Sheet2</SOURCE_SHEETCODE>
    <SOURCE_SHEETNAME>IS</SOURCE_SHEETNAME>
    <SOURCEAPPLICATION>EXCEL_SOURCE</SOURCEAPPLICATION>
    <UPDATEDAT>4/16/2015 10:03:06 PM</UPDATEDAT>
    <SOURCE_ISOUTOFDATE>False</SOURCE_ISOUTOFDATE>
    <SOURCE_WORKBOOKNAME>AMD WIP-new.xls</SOURCE_WORKBOOKNAME>
    <SOURCE_WORKBOOKPATH>\\MSAD\ROOT\NA\NY\LIB\ER\SEMI CAP\Joe Files\Companies\AMD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/MSResearch/Content/ExternalAssets/2015-04/Images/53A6ryd6RU2GwUbrNr4Anw--.png</TARGET_BINARYFULLNAME>
    <TARGET_STORYFULLNAME>/MSResearch/Content/ExternalAssets/2015-04/Sections/20150416_100303_Linking_Range_68.xml</TARGET_STORYFULLNAME>
    <TARGET_UUID>e1d2d1c2-e4a5-11e4-8428-e799a3b9280a</TARGET_UUID>
  </Link>
  <Link>
    <GUID>6762658b-d739-4c2a-b1df-f2c8e26853b8</GUID>
    <SOURCE_ALTADDRESS>$B$4:$BH$44</SOURCE_ALTADDRESS>
    <SOURCETYPE>Table</SOURCETYPE>
    <SOURCE_OBJECTNAME>Linking_Range_69</SOURCE_OBJECTNAME>
    <OBJECTTYPE>Native</OBJECTTYPE>
    <SOURCE_SHEETCODE>Sheet3</SOURCE_SHEETCODE>
    <SOURCE_SHEETNAME>BS</SOURCE_SHEETNAME>
    <SOURCEAPPLICATION>EXCEL_SOURCE</SOURCEAPPLICATION>
    <UPDATEDAT>4/16/2015 10:04:26 PM</UPDATEDAT>
    <SOURCE_ISOUTOFDATE>False</SOURCE_ISOUTOFDATE>
    <SOURCE_WORKBOOKNAME>AMD WIP-new.xls</SOURCE_WORKBOOKNAME>
    <SOURCE_WORKBOOKPATH>\\MSAD\ROOT\NA\NY\LIB\ER\SEMI CAP\Joe Files\Companies\AMD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/MSResearch/Content/ExternalAssets/2015-04/Images/wIfShYlpkk_n64fTZdCWgQ--.png</TARGET_BINARYFULLNAME>
    <TARGET_STORYFULLNAME>/MSResearch/Content/ExternalAssets/2015-04/Sections/20150416_100422_Linking_Range_69.xml</TARGET_STORYFULLNAME>
    <TARGET_UUID>10d03938-e4a6-11e4-8428-e799a3b9280a</TARGET_UUID>
  </Link>
  <Link>
    <GUID>a9d2b965-fea5-4a60-ab4d-60001a26cc0c</GUID>
    <SOURCE_ALTADDRESS>$B$4:$BH$59</SOURCE_ALTADDRESS>
    <SOURCETYPE>Table</SOURCETYPE>
    <SOURCE_OBJECTNAME>Linking_Range_70</SOURCE_OBJECTNAME>
    <OBJECTTYPE>Native</OBJECTTYPE>
    <SOURCE_SHEETCODE>Sheet4</SOURCE_SHEETCODE>
    <SOURCE_SHEETNAME>CFS</SOURCE_SHEETNAME>
    <SOURCEAPPLICATION>EXCEL_SOURCE</SOURCEAPPLICATION>
    <UPDATEDAT>4/16/2015 10:05:01 PM</UPDATEDAT>
    <SOURCE_ISOUTOFDATE>False</SOURCE_ISOUTOFDATE>
    <SOURCE_WORKBOOKNAME>AMD WIP-new.xls</SOURCE_WORKBOOKNAME>
    <SOURCE_WORKBOOKPATH>\\MSAD\ROOT\NA\NY\LIB\ER\SEMI CAP\Joe Files\Companies\AMD</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/MSResearch/Content/ExternalAssets/2015-04/Images/Y2IF_8Huk0u94lj57TgBsA--.png</TARGET_BINARYFULLNAME>
    <TARGET_STORYFULLNAME>/MSResearch/Content/ExternalAssets/2015-04/Sections/20150416_100458_Linking_Range_70.xml</TARGET_STORYFULLNAME>
    <TARGET_UUID>26886b6a-e4a6-11e4-8428-e799a3b9280a</TARGET_UUID>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EA7A0106-431E-49CB-800F-4B4978CE5BA5}">
  <ds:schemaRefs>
    <ds:schemaRef ds:uri="thomsonreuters.linking.metadata"/>
  </ds:schemaRefs>
</ds:datastoreItem>
</file>

<file path=customXml/itemProps2.xml><?xml version="1.0" encoding="utf-8"?>
<ds:datastoreItem xmlns:ds="http://schemas.openxmlformats.org/officeDocument/2006/customXml" ds:itemID="{1176E554-A3CB-465E-83DB-EA6942D6D138}">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107</vt:i4>
      </vt:variant>
    </vt:vector>
  </HeadingPairs>
  <TitlesOfParts>
    <vt:vector size="115" baseType="lpstr">
      <vt:lpstr>ImportantDisclosures</vt:lpstr>
      <vt:lpstr>IS</vt:lpstr>
      <vt:lpstr>BS</vt:lpstr>
      <vt:lpstr>CFS</vt:lpstr>
      <vt:lpstr>BU-Segment</vt:lpstr>
      <vt:lpstr>BU Bottoms Up</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'BU Bottoms Up'!BS</vt:lpstr>
      <vt:lpstr>BS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Linking_15</vt:lpstr>
      <vt:lpstr>Linking_17</vt:lpstr>
      <vt:lpstr>Linking_18</vt:lpstr>
      <vt:lpstr>Linking_19</vt:lpstr>
      <vt:lpstr>Linking_24</vt:lpstr>
      <vt:lpstr>Linking_25</vt:lpstr>
      <vt:lpstr>Linking_5</vt:lpstr>
      <vt:lpstr>Linking_7</vt:lpstr>
      <vt:lpstr>Linking_8</vt:lpstr>
      <vt:lpstr>Linking_Range_1</vt:lpstr>
      <vt:lpstr>Linking_Range_10</vt:lpstr>
      <vt:lpstr>Linking_Range_11</vt:lpstr>
      <vt:lpstr>Linking_Range_12</vt:lpstr>
      <vt:lpstr>Linking_Range_13</vt:lpstr>
      <vt:lpstr>Linking_Range_14</vt:lpstr>
      <vt:lpstr>Linking_Range_2</vt:lpstr>
      <vt:lpstr>Linking_Range_3</vt:lpstr>
      <vt:lpstr>Linking_Range_4</vt:lpstr>
      <vt:lpstr>Linking_Range_5</vt:lpstr>
      <vt:lpstr>Linking_Range_54</vt:lpstr>
      <vt:lpstr>Linking_Range_6</vt:lpstr>
      <vt:lpstr>Linking_Range_62</vt:lpstr>
      <vt:lpstr>Linking_Range_63</vt:lpstr>
      <vt:lpstr>Linking_Range_68</vt:lpstr>
      <vt:lpstr>Linking_Range_69</vt:lpstr>
      <vt:lpstr>Linking_Range_7</vt:lpstr>
      <vt:lpstr>Linking_Range_70</vt:lpstr>
      <vt:lpstr>Linking_Range_72</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BS!Print_Area</vt:lpstr>
      <vt:lpstr>'BU Bottoms Up'!Print_Area</vt:lpstr>
      <vt:lpstr>'BU-Segment'!Print_Area</vt:lpstr>
      <vt:lpstr>CFS!Print_Area</vt:lpstr>
      <vt:lpstr>IS!Print_Area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2011-04-06T14:26:47Z</dcterms:created>
  <dc:creator>josuev</dc:creator>
  <cp:lastModifiedBy>Rao, Vinayak (Research)</cp:lastModifiedBy>
  <cp:lastPrinted>2018-04-20T21:17:22Z</cp:lastPrinted>
  <dcterms:modified xsi:type="dcterms:W3CDTF">2018-04-26T12:33:03Z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72</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764311</vt:lpwstr>
  </property>
  <property fmtid="{D5CDD505-2E9C-101B-9397-08002B2CF9AE}" name="ERModPubCompanyName" pid="6">
    <vt:lpwstr>Advanced Micro Devices</vt:lpwstr>
  </property>
  <property fmtid="{D5CDD505-2E9C-101B-9397-08002B2CF9AE}" name="MSDH34TAG" pid="7">
    <vt:lpwstr>.TEZUF76X5TAHATHESADREYAK-00-INB160+*94600-06=f921993e/-494d/-11e8/-adef/-6a0a1ce82510,MD=20180426083720/-0400,ZZ=000Z-7876.</vt:lpwstr>
  </property>
</Properties>
</file>